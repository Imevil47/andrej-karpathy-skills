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2.xml" ContentType="application/vnd.openxmlformats-officedocument.spreadsheetml.worksheet+xml"/>
  <Override PartName="/xl/tables/table16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7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8.xml" ContentType="application/vnd.openxmlformats-officedocument.spreadsheetml.table+xml"/>
  <Override PartName="/xl/worksheets/sheet8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ES" sheetId="1" state="visible" r:id="rId1"/>
    <sheet name="RUNS" sheetId="2" state="visible" r:id="rId2"/>
    <sheet name="SAISIE CONTROLE" sheetId="3" state="visible" r:id="rId3"/>
    <sheet name="BASE CONTROLES" sheetId="4" state="visible" r:id="rId4"/>
    <sheet name="SYNTHESE CONTROLES" sheetId="5" state="visible" r:id="rId5"/>
    <sheet name="RECHERCHE MATRICULE" sheetId="6" state="visible" r:id="rId6"/>
    <sheet name="TEST RENDEMENT" sheetId="7" state="visible" r:id="rId7"/>
    <sheet name="ARRETS" sheetId="8" state="visible" r:id="rId8"/>
  </sheets>
  <definedNames>
    <definedName name="SeuilConforme">PARAMETRES!$B$5</definedName>
    <definedName name="SeuilSurveiller">PARAMETRES!$B$6</definedName>
    <definedName name="SeuilAlerte">PARAMETRES!$B$6</definedName>
    <definedName name="StatutConforme">PARAMETRES!$B$7</definedName>
    <definedName name="StatutSurveiller">PARAMETRES!$B$8</definedName>
    <definedName name="StatutSousStandard">PARAMETRES!$B$9</definedName>
    <definedName name="StatutInitial">PARAMETRES!$B$10</definedName>
    <definedName name="StatutStandardManquant">PARAMETRES!$B$11</definedName>
    <definedName name="StatutDoublon">PARAMETRES!$B$12</definedName>
    <definedName name="MatriculesEmployes">T_EMPLOYES[MATRICULE]</definedName>
    <definedName name="NomsEmployes">T_EMPLOYES[NOM ET PRENOM]</definedName>
    <definedName name="ListeMatricules">T_EMPLOYES[MATRICULE]</definedName>
    <definedName name="ListeRuns">T_RUNS[ID RUN]</definedName>
    <definedName name="ListeLignes">T_LIGNES[LIGNE]</definedName>
    <definedName name="ListeEspeces">T_ESPECES[ESPÈCE]</definedName>
    <definedName name="ListeProduits">T_PRODUITS[PRODUIT]</definedName>
    <definedName name="ListeMarques">T_MARQUES[MARQUE]</definedName>
    <definedName name="ListeFormats">T_FORMATS[FORMAT]</definedName>
    <definedName name="ListePreparations">T_PREPARATIONS[PRÉPARATION]</definedName>
    <definedName name="ListeMoules">T_MOULES[MOULE]</definedName>
    <definedName name="ListeActivites">T_ACTIVITES[ACTIVITÉ]</definedName>
    <definedName name="ListeTours">T_TOURS[TOUR]</definedName>
    <definedName name="ListeMotifs">T_MOTIFS[MOTIF ARRÊT]</definedName>
    <definedName name="ListeTypesTest">T_TYPES_TEST[TYPE DE TEST]</definedName>
    <definedName name="ListeStatutsRun">T_STATUTS_RUN[STATUT RUN]</definedName>
    <definedName name="ListeOuiNon">T_OUI_NON[OUI / NON]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.0"/>
    <numFmt numFmtId="166" formatCode="dd/mm/yyyy"/>
    <numFmt numFmtId="167" formatCode="hh:mm"/>
    <numFmt numFmtId="168" formatCode="#,##0.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A6672"/>
      <sz val="9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A0F1A"/>
      <sz val="10"/>
    </font>
    <font>
      <name val="Arial"/>
      <color rgb="000000FF"/>
      <sz val="10"/>
    </font>
    <font>
      <name val="Arial"/>
      <color rgb="000A0F1A"/>
      <sz val="10"/>
    </font>
    <font>
      <name val="Arial"/>
      <color rgb="005A6672"/>
      <sz val="9"/>
    </font>
    <font>
      <name val="Arial"/>
      <b val="1"/>
      <color rgb="00FFFFFF"/>
      <sz val="10"/>
    </font>
    <font>
      <name val="Arial"/>
      <color rgb="005A6672"/>
      <sz val="8"/>
    </font>
  </fonts>
  <fills count="8">
    <fill>
      <patternFill/>
    </fill>
    <fill>
      <patternFill patternType="gray125"/>
    </fill>
    <fill>
      <patternFill patternType="solid">
        <fgColor rgb="000A0F1A"/>
      </patternFill>
    </fill>
    <fill>
      <patternFill patternType="solid">
        <fgColor rgb="00FF7F3F"/>
      </patternFill>
    </fill>
    <fill>
      <patternFill patternType="solid">
        <fgColor rgb="00F2F5F7"/>
      </patternFill>
    </fill>
    <fill>
      <patternFill patternType="solid">
        <fgColor rgb="00FFF6E5"/>
      </patternFill>
    </fill>
    <fill>
      <patternFill patternType="solid">
        <fgColor rgb="00FFFFFF"/>
      </patternFill>
    </fill>
    <fill>
      <patternFill patternType="solid">
        <fgColor rgb="0017A598"/>
      </patternFill>
    </fill>
  </fills>
  <borders count="2">
    <border>
      <left/>
      <right/>
      <top/>
      <bottom/>
      <diagonal/>
    </border>
    <border>
      <left style="thin">
        <color rgb="00BFC7CF"/>
      </left>
      <right style="thin">
        <color rgb="00BFC7CF"/>
      </right>
      <top style="thin">
        <color rgb="00BFC7CF"/>
      </top>
      <bottom style="thin">
        <color rgb="00BFC7CF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indent="1"/>
    </xf>
    <xf numFmtId="164" fontId="6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165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49" fontId="6" fillId="5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left" vertical="center"/>
    </xf>
    <xf numFmtId="166" fontId="6" fillId="5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166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center" vertical="center"/>
    </xf>
    <xf numFmtId="3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6" fontId="7" fillId="4" borderId="1" applyAlignment="1" pivotButton="0" quotePrefix="0" xfId="0">
      <alignment horizontal="center" vertical="center"/>
    </xf>
    <xf numFmtId="167" fontId="7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49" fontId="7" fillId="4" borderId="1" applyAlignment="1" pivotButton="0" quotePrefix="0" xfId="0">
      <alignment horizontal="center" vertical="center"/>
    </xf>
    <xf numFmtId="3" fontId="7" fillId="4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7" fontId="7" fillId="6" borderId="1" applyAlignment="1" pivotButton="0" quotePrefix="0" xfId="0">
      <alignment horizontal="center" vertical="center"/>
    </xf>
    <xf numFmtId="3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3" fontId="9" fillId="2" borderId="1" applyAlignment="1" pivotButton="0" quotePrefix="0" xfId="0">
      <alignment horizontal="center" vertical="center"/>
    </xf>
    <xf numFmtId="164" fontId="9" fillId="2" borderId="1" applyAlignment="1" pivotButton="0" quotePrefix="0" xfId="0">
      <alignment horizontal="center" vertical="center"/>
    </xf>
    <xf numFmtId="165" fontId="9" fillId="2" borderId="1" applyAlignment="1" pivotButton="0" quotePrefix="0" xfId="0">
      <alignment horizontal="center" vertical="center"/>
    </xf>
    <xf numFmtId="0" fontId="10" fillId="0" borderId="0" pivotButton="0" quotePrefix="0" xfId="0"/>
    <xf numFmtId="166" fontId="7" fillId="6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8">
    <dxf>
      <font>
        <b val="1"/>
        <color rgb="000E6B62"/>
      </font>
      <fill>
        <patternFill>
          <bgColor rgb="00D6F2EC"/>
        </patternFill>
      </fill>
    </dxf>
    <dxf>
      <font>
        <color rgb="005A6672"/>
      </font>
      <fill>
        <patternFill>
          <bgColor rgb="00F2F5F7"/>
        </patternFill>
      </fill>
    </dxf>
    <dxf>
      <font>
        <color rgb="009E1C1C"/>
      </font>
      <fill>
        <patternFill>
          <bgColor rgb="00FBD9D9"/>
        </patternFill>
      </fill>
    </dxf>
    <dxf>
      <font>
        <b val="1"/>
        <color rgb="009E1C1C"/>
      </font>
      <fill>
        <patternFill>
          <bgColor rgb="00FBD9D9"/>
        </patternFill>
      </fill>
    </dxf>
    <dxf>
      <font>
        <color rgb="00B04E14"/>
      </font>
      <fill>
        <patternFill>
          <bgColor rgb="00FFEBDA"/>
        </patternFill>
      </fill>
    </dxf>
    <dxf>
      <font>
        <color rgb="000E6B62"/>
      </font>
      <fill>
        <patternFill>
          <bgColor rgb="00D6F2EC"/>
        </patternFill>
      </fill>
    </dxf>
    <dxf>
      <font>
        <b val="1"/>
        <color rgb="00B04E14"/>
      </font>
      <fill>
        <patternFill>
          <bgColor rgb="00FFEBDA"/>
        </patternFill>
      </fill>
    </dxf>
    <dxf>
      <font>
        <i val="1"/>
        <color rgb="005A6672"/>
      </font>
      <fill>
        <patternFill>
          <bgColor rgb="00F2F5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_LIGNES" displayName="T_LIGNES" ref="A15:A37" headerRowCount="1">
  <autoFilter ref="A15:A37"/>
  <tableColumns count="1">
    <tableColumn id="1" name="LIGNE"/>
  </tableColumns>
  <tableStyleInfo name="TableStyleLight9" showFirstColumn="0" showLastColumn="0" showRowStripes="0" showColumnStripes="0"/>
</table>
</file>

<file path=xl/tables/table2.xml><?xml version="1.0" encoding="utf-8"?>
<table xmlns="http://schemas.openxmlformats.org/spreadsheetml/2006/main" id="2" name="T_ESPECES" displayName="T_ESPECES" ref="B15:B37" headerRowCount="1">
  <autoFilter ref="B15:B37"/>
  <tableColumns count="1">
    <tableColumn id="2" name="ESPÈCE"/>
  </tableColumns>
  <tableStyleInfo name="TableStyleLight9" showFirstColumn="0" showLastColumn="0" showRowStripes="0" showColumnStripes="0"/>
</table>
</file>

<file path=xl/tables/table3.xml><?xml version="1.0" encoding="utf-8"?>
<table xmlns="http://schemas.openxmlformats.org/spreadsheetml/2006/main" id="3" name="T_PRODUITS" displayName="T_PRODUITS" ref="C15:C37" headerRowCount="1">
  <autoFilter ref="C15:C37"/>
  <tableColumns count="1">
    <tableColumn id="3" name="PRODUIT"/>
  </tableColumns>
  <tableStyleInfo name="TableStyleLight9" showFirstColumn="0" showLastColumn="0" showRowStripes="0" showColumnStripes="0"/>
</table>
</file>

<file path=xl/tables/table4.xml><?xml version="1.0" encoding="utf-8"?>
<table xmlns="http://schemas.openxmlformats.org/spreadsheetml/2006/main" id="4" name="T_MARQUES" displayName="T_MARQUES" ref="D15:D37" headerRowCount="1">
  <autoFilter ref="D15:D37"/>
  <tableColumns count="1">
    <tableColumn id="4" name="MARQUE"/>
  </tableColumns>
  <tableStyleInfo name="TableStyleLight9" showFirstColumn="0" showLastColumn="0" showRowStripes="0" showColumnStripes="0"/>
</table>
</file>

<file path=xl/tables/table5.xml><?xml version="1.0" encoding="utf-8"?>
<table xmlns="http://schemas.openxmlformats.org/spreadsheetml/2006/main" id="5" name="T_FORMATS" displayName="T_FORMATS" ref="E15:E37" headerRowCount="1">
  <autoFilter ref="E15:E37"/>
  <tableColumns count="1">
    <tableColumn id="5" name="FORMAT"/>
  </tableColumns>
  <tableStyleInfo name="TableStyleLight9" showFirstColumn="0" showLastColumn="0" showRowStripes="0" showColumnStripes="0"/>
</table>
</file>

<file path=xl/tables/table6.xml><?xml version="1.0" encoding="utf-8"?>
<table xmlns="http://schemas.openxmlformats.org/spreadsheetml/2006/main" id="6" name="T_PREPARATIONS" displayName="T_PREPARATIONS" ref="F15:F37" headerRowCount="1">
  <autoFilter ref="F15:F37"/>
  <tableColumns count="1">
    <tableColumn id="6" name="PRÉPARATION"/>
  </tableColumns>
  <tableStyleInfo name="TableStyleLight9" showFirstColumn="0" showLastColumn="0" showRowStripes="0" showColumnStripes="0"/>
</table>
</file>

<file path=xl/tables/table7.xml><?xml version="1.0" encoding="utf-8"?>
<table xmlns="http://schemas.openxmlformats.org/spreadsheetml/2006/main" id="7" name="T_MOULES" displayName="T_MOULES" ref="G15:G37" headerRowCount="1">
  <autoFilter ref="G15:G37"/>
  <tableColumns count="1">
    <tableColumn id="7" name="MOULE"/>
  </tableColumns>
  <tableStyleInfo name="TableStyleLight9" showFirstColumn="0" showLastColumn="0" showRowStripes="0" showColumnStripes="0"/>
</table>
</file>

<file path=xl/tables/table8.xml><?xml version="1.0" encoding="utf-8"?>
<table xmlns="http://schemas.openxmlformats.org/spreadsheetml/2006/main" id="8" name="T_ACTIVITES" displayName="T_ACTIVITES" ref="H15:H37" headerRowCount="1">
  <autoFilter ref="H15:H37"/>
  <tableColumns count="1">
    <tableColumn id="8" name="ACTIVITÉ"/>
  </tableColumns>
  <tableStyleInfo name="TableStyleLight9" showFirstColumn="0" showLastColumn="0" showRowStripes="0" showColumnStripes="0"/>
</table>
</file>

<file path=xl/tables/table9.xml><?xml version="1.0" encoding="utf-8"?>
<table xmlns="http://schemas.openxmlformats.org/spreadsheetml/2006/main" id="9" name="T_TOURS" displayName="T_TOURS" ref="I15:I37" headerRowCount="1">
  <autoFilter ref="I15:I37"/>
  <tableColumns count="1">
    <tableColumn id="9" name="TOUR"/>
  </tableColumns>
  <tableStyleInfo name="TableStyleLight9" showFirstColumn="0" showLastColumn="0" showRowStripes="0" showColumnStripes="0"/>
</table>
</file>

<file path=xl/tables/table10.xml><?xml version="1.0" encoding="utf-8"?>
<table xmlns="http://schemas.openxmlformats.org/spreadsheetml/2006/main" id="10" name="T_MOTIFS" displayName="T_MOTIFS" ref="J15:J37" headerRowCount="1">
  <autoFilter ref="J15:J37"/>
  <tableColumns count="1">
    <tableColumn id="10" name="MOTIF ARRÊT"/>
  </tableColumns>
  <tableStyleInfo name="TableStyleLight9" showFirstColumn="0" showLastColumn="0" showRowStripes="0" showColumnStripes="0"/>
</table>
</file>

<file path=xl/tables/table11.xml><?xml version="1.0" encoding="utf-8"?>
<table xmlns="http://schemas.openxmlformats.org/spreadsheetml/2006/main" id="11" name="T_TYPES_TEST" displayName="T_TYPES_TEST" ref="K15:K37" headerRowCount="1">
  <autoFilter ref="K15:K37"/>
  <tableColumns count="1">
    <tableColumn id="11" name="TYPE DE TEST"/>
  </tableColumns>
  <tableStyleInfo name="TableStyleLight9" showFirstColumn="0" showLastColumn="0" showRowStripes="0" showColumnStripes="0"/>
</table>
</file>

<file path=xl/tables/table12.xml><?xml version="1.0" encoding="utf-8"?>
<table xmlns="http://schemas.openxmlformats.org/spreadsheetml/2006/main" id="12" name="T_STATUTS_RUN" displayName="T_STATUTS_RUN" ref="L15:L37" headerRowCount="1">
  <autoFilter ref="L15:L37"/>
  <tableColumns count="1">
    <tableColumn id="12" name="STATUT RUN"/>
  </tableColumns>
  <tableStyleInfo name="TableStyleLight9" showFirstColumn="0" showLastColumn="0" showRowStripes="0" showColumnStripes="0"/>
</table>
</file>

<file path=xl/tables/table13.xml><?xml version="1.0" encoding="utf-8"?>
<table xmlns="http://schemas.openxmlformats.org/spreadsheetml/2006/main" id="13" name="T_OUI_NON" displayName="T_OUI_NON" ref="M15:M37" headerRowCount="1">
  <autoFilter ref="M15:M37"/>
  <tableColumns count="1">
    <tableColumn id="13" name="OUI / NON"/>
  </tableColumns>
  <tableStyleInfo name="TableStyleLight9" showFirstColumn="0" showLastColumn="0" showRowStripes="0" showColumnStripes="0"/>
</table>
</file>

<file path=xl/tables/table14.xml><?xml version="1.0" encoding="utf-8"?>
<table xmlns="http://schemas.openxmlformats.org/spreadsheetml/2006/main" id="14" name="T_STANDARDS" displayName="T_STANDARDS" ref="A42:J342" headerRowCount="1">
  <autoFilter ref="A42:J342"/>
  <tableColumns count="10">
    <tableColumn id="1" name="ESPÈCE"/>
    <tableColumn id="2" name="PRODUIT"/>
    <tableColumn id="3" name="MARQUE"/>
    <tableColumn id="4" name="FORMAT"/>
    <tableColumn id="5" name="PRÉPARATION"/>
    <tableColumn id="6" name="MOULE"/>
    <tableColumn id="7" name="ACTIVITÉ"/>
    <tableColumn id="8" name="STANDARD BOITES/H/FEMME"/>
    <tableColumn id="9" name="ACTIF"/>
    <tableColumn id="10" name="CLÉ (CALCULÉE)"/>
  </tableColumns>
  <tableStyleInfo name="TableStyleLight9" showFirstColumn="0" showLastColumn="0" showRowStripes="0" showColumnStripes="0"/>
</table>
</file>

<file path=xl/tables/table15.xml><?xml version="1.0" encoding="utf-8"?>
<table xmlns="http://schemas.openxmlformats.org/spreadsheetml/2006/main" id="15" name="T_EMPLOYES" displayName="T_EMPLOYES" ref="A346:C646" headerRowCount="1">
  <autoFilter ref="A346:C646"/>
  <tableColumns count="3">
    <tableColumn id="1" name="MATRICULE"/>
    <tableColumn id="2" name="NOM ET PRENOM"/>
    <tableColumn id="3" name="ACTIF"/>
  </tableColumns>
  <tableStyleInfo name="TableStyleLight9" showFirstColumn="0" showLastColumn="0" showRowStripes="0" showColumnStripes="0"/>
</table>
</file>

<file path=xl/tables/table16.xml><?xml version="1.0" encoding="utf-8"?>
<table xmlns="http://schemas.openxmlformats.org/spreadsheetml/2006/main" id="16" name="T_RUNS" displayName="T_RUNS" ref="A5:U205" headerRowCount="1">
  <autoFilter ref="A5:U205"/>
  <tableColumns count="21">
    <tableColumn id="1" name="ID RUN"/>
    <tableColumn id="2" name="DATE"/>
    <tableColumn id="3" name="HEURE DEBUT"/>
    <tableColumn id="4" name="HEURE FIN"/>
    <tableColumn id="5" name="ESPÈCE"/>
    <tableColumn id="6" name="PRODUIT"/>
    <tableColumn id="7" name="MARQUE"/>
    <tableColumn id="8" name="FORMAT"/>
    <tableColumn id="9" name="LOT MP"/>
    <tableColumn id="10" name="PRÉPARATION"/>
    <tableColumn id="11" name="MOULE"/>
    <tableColumn id="12" name="ACTIVITÉ L1"/>
    <tableColumn id="13" name="ACTIVITÉ L2"/>
    <tableColumn id="14" name="ACTIVITÉ L3"/>
    <tableColumn id="15" name="ACTIVITÉ L4"/>
    <tableColumn id="16" name="ACTIVITÉ L5"/>
    <tableColumn id="17" name="ACTIVITÉ L6"/>
    <tableColumn id="18" name="ACTIVITÉ L7"/>
    <tableColumn id="19" name="ACTIVITÉ L8"/>
    <tableColumn id="20" name="STATUT RUN"/>
    <tableColumn id="21" name="CONTRÔLE DE COHÉRENCE"/>
  </tableColumns>
  <tableStyleInfo name="TableStyleLight9" showFirstColumn="0" showLastColumn="0" showRowStripes="0" showColumnStripes="0"/>
</table>
</file>

<file path=xl/tables/table17.xml><?xml version="1.0" encoding="utf-8"?>
<table xmlns="http://schemas.openxmlformats.org/spreadsheetml/2006/main" id="17" name="T_BASE" displayName="T_BASE" ref="A3:X2003" headerRowCount="1">
  <autoFilter ref="A3:X2003"/>
  <tableColumns count="24">
    <tableColumn id="1" name="ID CONTROLE"/>
    <tableColumn id="2" name="DATE"/>
    <tableColumn id="3" name="HEURE"/>
    <tableColumn id="4" name="ID RUN"/>
    <tableColumn id="5" name="TOUR"/>
    <tableColumn id="6" name="LIGNE"/>
    <tableColumn id="7" name="MATRICULE"/>
    <tableColumn id="8" name="NB BOÎTES"/>
    <tableColumn id="9" name="EFFECTIF LIGNE"/>
    <tableColumn id="10" name="NOM ET PRENOM"/>
    <tableColumn id="11" name="ACTIVITÉ"/>
    <tableColumn id="12" name="ESPÈCE"/>
    <tableColumn id="13" name="PRODUIT"/>
    <tableColumn id="14" name="MARQUE"/>
    <tableColumn id="15" name="FORMAT"/>
    <tableColumn id="16" name="PRÉPARATION"/>
    <tableColumn id="17" name="MOULE"/>
    <tableColumn id="18" name="STANDARD"/>
    <tableColumn id="19" name="HEURE CONTROLE PRECEDENT"/>
    <tableColumn id="20" name="DUREE MESUREE MIN"/>
    <tableColumn id="21" name="CADENCE BOITES/H/FEMME"/>
    <tableColumn id="22" name="ATTEINTE %"/>
    <tableColumn id="23" name="STATUT PERFORMANCE"/>
    <tableColumn id="24" name="CONTROLE VALIDE"/>
  </tableColumns>
  <tableStyleInfo name="TableStyleLight9" showFirstColumn="0" showLastColumn="0" showRowStripes="0" showColumnStripes="0"/>
</table>
</file>

<file path=xl/tables/table18.xml><?xml version="1.0" encoding="utf-8"?>
<table xmlns="http://schemas.openxmlformats.org/spreadsheetml/2006/main" id="18" name="T_TESTS" displayName="T_TESTS" ref="A3:O203" headerRowCount="1">
  <autoFilter ref="A3:O203"/>
  <tableColumns count="15">
    <tableColumn id="1" name="ID TEST"/>
    <tableColumn id="2" name="DATE"/>
    <tableColumn id="3" name="MATRICULE"/>
    <tableColumn id="4" name="NOM ET PRENOM"/>
    <tableColumn id="5" name="ESPÈCE"/>
    <tableColumn id="6" name="PRODUIT"/>
    <tableColumn id="7" name="MARQUE"/>
    <tableColumn id="8" name="FORMAT"/>
    <tableColumn id="9" name="PRÉPARATION"/>
    <tableColumn id="10" name="MOULE"/>
    <tableColumn id="11" name="QUANTITE MP KG"/>
    <tableColumn id="12" name="QUANTITE SORTIE KG"/>
    <tableColumn id="13" name="RENDEMENT %"/>
    <tableColumn id="14" name="TYPE TEST"/>
    <tableColumn id="15" name="OBSERVATION"/>
  </tableColumns>
  <tableStyleInfo name="TableStyleLight9" showFirstColumn="0" showLastColumn="0" showRowStripes="0" showColumnStripes="0"/>
</table>
</file>

<file path=xl/tables/table19.xml><?xml version="1.0" encoding="utf-8"?>
<table xmlns="http://schemas.openxmlformats.org/spreadsheetml/2006/main" id="19" name="T_ARRETS" displayName="T_ARRETS" ref="A3:H203" headerRowCount="1">
  <autoFilter ref="A3:H203"/>
  <tableColumns count="8">
    <tableColumn id="1" name="DATE"/>
    <tableColumn id="2" name="ID RUN"/>
    <tableColumn id="3" name="LIGNE"/>
    <tableColumn id="4" name="HEURE DEBUT"/>
    <tableColumn id="5" name="HEURE FIN"/>
    <tableColumn id="6" name="DUREE MIN"/>
    <tableColumn id="7" name="MOTIF"/>
    <tableColumn id="8" name="OBSERVATION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Relationship Type="http://schemas.openxmlformats.org/officeDocument/2006/relationships/table" Target="/xl/tables/table8.xml" Id="rId8" /><Relationship Type="http://schemas.openxmlformats.org/officeDocument/2006/relationships/table" Target="/xl/tables/table9.xml" Id="rId9" /><Relationship Type="http://schemas.openxmlformats.org/officeDocument/2006/relationships/table" Target="/xl/tables/table10.xml" Id="rId10" /><Relationship Type="http://schemas.openxmlformats.org/officeDocument/2006/relationships/table" Target="/xl/tables/table11.xml" Id="rId11" /><Relationship Type="http://schemas.openxmlformats.org/officeDocument/2006/relationships/table" Target="/xl/tables/table12.xml" Id="rId12" /><Relationship Type="http://schemas.openxmlformats.org/officeDocument/2006/relationships/table" Target="/xl/tables/table13.xml" Id="rId13" /><Relationship Type="http://schemas.openxmlformats.org/officeDocument/2006/relationships/table" Target="/xl/tables/table14.xml" Id="rId14" /><Relationship Type="http://schemas.openxmlformats.org/officeDocument/2006/relationships/table" Target="/xl/tables/table15.xml" Id="rId15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sheet1.xml><?xml version="1.0" encoding="utf-8"?>
<worksheet xmlns="http://schemas.openxmlformats.org/spreadsheetml/2006/main">
  <sheetPr>
    <tabColor rgb="005A6672"/>
    <outlinePr summaryBelow="1" summaryRight="1"/>
    <pageSetUpPr/>
  </sheetPr>
  <dimension ref="A1:M64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8" customWidth="1" min="4" max="4"/>
    <col width="18" customWidth="1" min="5" max="5"/>
    <col width="16" customWidth="1" min="6" max="6"/>
    <col width="16" customWidth="1" min="7" max="7"/>
    <col width="24" customWidth="1" min="8" max="8"/>
    <col width="14" customWidth="1" min="9" max="9"/>
    <col width="42" customWidth="1" min="10" max="10"/>
    <col width="19" customWidth="1" min="11" max="11"/>
    <col width="14" customWidth="1" min="12" max="12"/>
    <col width="12" customWidth="1" min="13" max="13"/>
  </cols>
  <sheetData>
    <row r="1" ht="30" customHeight="1">
      <c r="A1" s="1" t="inlineStr">
        <is>
          <t>PARAMETRES — CADENCES MO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Feuille de reference unique. Completer les listes ci-dessous AVANT de creer un RUN. Les cellules creme sont les seules a saisir.</t>
        </is>
      </c>
    </row>
    <row r="3" ht="21" customHeight="1">
      <c r="A3" s="4" t="inlineStr">
        <is>
          <t>SEUILS ET LIBELLES DE PERFORMANCE (CONFIGURABLES)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 ht="33" customHeight="1">
      <c r="A4" s="5" t="inlineStr">
        <is>
          <t>PARAMÈTRE</t>
        </is>
      </c>
      <c r="B4" s="5" t="inlineStr">
        <is>
          <t>VALEUR</t>
        </is>
      </c>
      <c r="C4" s="5" t="inlineStr">
        <is>
          <t>COMMENTAIRE</t>
        </is>
      </c>
    </row>
    <row r="5" ht="18" customHeight="1">
      <c r="A5" s="6" t="inlineStr">
        <is>
          <t>SEUIL CONFORME (% DU STANDARD)</t>
        </is>
      </c>
      <c r="B5" s="7" t="n">
        <v>1</v>
      </c>
      <c r="C5" s="8" t="inlineStr">
        <is>
          <t>ATTEINTE &gt;= CE SEUIL : STATUT CONFORME</t>
        </is>
      </c>
    </row>
    <row r="6" ht="18" customHeight="1">
      <c r="A6" s="6" t="inlineStr">
        <is>
          <t>SEUIL A SURVEILLER (% DU STANDARD)</t>
        </is>
      </c>
      <c r="B6" s="7" t="n">
        <v>0.9</v>
      </c>
      <c r="C6" s="8" t="inlineStr">
        <is>
          <t>ATTEINTE &gt;= CE SEUIL ET &lt; SEUIL CONFORME : STATUT A SURVEILLER (valeur reprise de la version 1.3)</t>
        </is>
      </c>
    </row>
    <row r="7" ht="18" customHeight="1">
      <c r="A7" s="6" t="inlineStr">
        <is>
          <t>LIBELLE STATUT CONFORME</t>
        </is>
      </c>
      <c r="B7" s="9" t="inlineStr">
        <is>
          <t>CONFORME</t>
        </is>
      </c>
      <c r="C7" s="8" t="inlineStr"/>
    </row>
    <row r="8" ht="18" customHeight="1">
      <c r="A8" s="6" t="inlineStr">
        <is>
          <t>LIBELLE STATUT INTERMEDIAIRE</t>
        </is>
      </c>
      <c r="B8" s="9" t="inlineStr">
        <is>
          <t>A SURVEILLER</t>
        </is>
      </c>
      <c r="C8" s="8" t="inlineStr"/>
    </row>
    <row r="9" ht="18" customHeight="1">
      <c r="A9" s="6" t="inlineStr">
        <is>
          <t>LIBELLE STATUT INSUFFISANT</t>
        </is>
      </c>
      <c r="B9" s="9" t="inlineStr">
        <is>
          <t>SOUS STANDARD</t>
        </is>
      </c>
      <c r="C9" s="8" t="inlineStr"/>
    </row>
    <row r="10" ht="18" customHeight="1">
      <c r="A10" s="6" t="inlineStr">
        <is>
          <t>LIBELLE STATUT PREMIER CONTROLE</t>
        </is>
      </c>
      <c r="B10" s="9" t="inlineStr">
        <is>
          <t>CONTROLE INITIAL</t>
        </is>
      </c>
      <c r="C10" s="8" t="inlineStr">
        <is>
          <t>Premier controle du matricule : aucune duree mesuree, pas de cadence</t>
        </is>
      </c>
    </row>
    <row r="11" ht="18" customHeight="1">
      <c r="A11" s="6" t="inlineStr">
        <is>
          <t>LIBELLE STATUT STANDARD ABSENT</t>
        </is>
      </c>
      <c r="B11" s="9" t="inlineStr">
        <is>
          <t>STANDARD MANQUANT</t>
        </is>
      </c>
      <c r="C11" s="8" t="inlineStr">
        <is>
          <t>Aucune ligne active de la table STANDARDS ne correspond a la configuration</t>
        </is>
      </c>
    </row>
    <row r="12" ht="18" customHeight="1">
      <c r="A12" s="6" t="inlineStr">
        <is>
          <t>LIBELLE STATUT DOUBLON</t>
        </is>
      </c>
      <c r="B12" s="9" t="inlineStr">
        <is>
          <t>DOUBLON</t>
        </is>
      </c>
      <c r="C12" s="8" t="inlineStr">
        <is>
          <t>Matricule deja controle sur le meme RUN + TOUR + LIGNE</t>
        </is>
      </c>
    </row>
    <row r="14" ht="21" customHeight="1">
      <c r="A14" s="4" t="inlineStr">
        <is>
          <t>LISTES DE REFERENCE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</row>
    <row r="15" ht="33" customHeight="1">
      <c r="A15" s="5" t="inlineStr">
        <is>
          <t>LIGNE</t>
        </is>
      </c>
      <c r="B15" s="5" t="inlineStr">
        <is>
          <t>ESPÈCE</t>
        </is>
      </c>
      <c r="C15" s="5" t="inlineStr">
        <is>
          <t>PRODUIT</t>
        </is>
      </c>
      <c r="D15" s="5" t="inlineStr">
        <is>
          <t>MARQUE</t>
        </is>
      </c>
      <c r="E15" s="5" t="inlineStr">
        <is>
          <t>FORMAT</t>
        </is>
      </c>
      <c r="F15" s="5" t="inlineStr">
        <is>
          <t>PRÉPARATION</t>
        </is>
      </c>
      <c r="G15" s="5" t="inlineStr">
        <is>
          <t>MOULE</t>
        </is>
      </c>
      <c r="H15" s="5" t="inlineStr">
        <is>
          <t>ACTIVITÉ</t>
        </is>
      </c>
      <c r="I15" s="5" t="inlineStr">
        <is>
          <t>TOUR</t>
        </is>
      </c>
      <c r="J15" s="5" t="inlineStr">
        <is>
          <t>MOTIF ARRÊT</t>
        </is>
      </c>
      <c r="K15" s="5" t="inlineStr">
        <is>
          <t>TYPE DE TEST</t>
        </is>
      </c>
      <c r="L15" s="5" t="inlineStr">
        <is>
          <t>STATUT RUN</t>
        </is>
      </c>
      <c r="M15" s="5" t="inlineStr">
        <is>
          <t>OUI / NON</t>
        </is>
      </c>
    </row>
    <row r="16" ht="15" customHeight="1">
      <c r="A16" s="9" t="inlineStr">
        <is>
          <t>L1</t>
        </is>
      </c>
      <c r="B16" s="9" t="inlineStr">
        <is>
          <t>SARDINE</t>
        </is>
      </c>
      <c r="C16" s="9" t="inlineStr">
        <is>
          <t>FMHT</t>
        </is>
      </c>
      <c r="D16" s="9" t="n"/>
      <c r="E16" s="9" t="n"/>
      <c r="F16" s="9" t="inlineStr">
        <is>
          <t>HG</t>
        </is>
      </c>
      <c r="G16" s="9" t="n"/>
      <c r="H16" s="9" t="inlineStr">
        <is>
          <t>GRATTAGE</t>
        </is>
      </c>
      <c r="I16" s="9" t="inlineStr">
        <is>
          <t>TOUR 01</t>
        </is>
      </c>
      <c r="J16" s="9" t="inlineStr">
        <is>
          <t>PAUSE</t>
        </is>
      </c>
      <c r="K16" s="9" t="inlineStr">
        <is>
          <t>TEST INDIVIDUEL</t>
        </is>
      </c>
      <c r="L16" s="9" t="inlineStr">
        <is>
          <t>ACTIF</t>
        </is>
      </c>
      <c r="M16" s="9" t="inlineStr">
        <is>
          <t>OUI</t>
        </is>
      </c>
    </row>
    <row r="17" ht="15" customHeight="1">
      <c r="A17" s="9" t="inlineStr">
        <is>
          <t>L2</t>
        </is>
      </c>
      <c r="B17" s="9" t="inlineStr">
        <is>
          <t>MAQUEREAU</t>
        </is>
      </c>
      <c r="C17" s="9" t="inlineStr">
        <is>
          <t>SPSA HO</t>
        </is>
      </c>
      <c r="D17" s="9" t="n"/>
      <c r="E17" s="9" t="n"/>
      <c r="F17" s="9" t="inlineStr">
        <is>
          <t>HGT</t>
        </is>
      </c>
      <c r="G17" s="9" t="n"/>
      <c r="H17" s="9" t="inlineStr">
        <is>
          <t>REMPLISSAGE</t>
        </is>
      </c>
      <c r="I17" s="9" t="inlineStr">
        <is>
          <t>TOUR 02</t>
        </is>
      </c>
      <c r="J17" s="9" t="inlineStr">
        <is>
          <t>MANQUE MATIERE</t>
        </is>
      </c>
      <c r="K17" s="9" t="inlineStr">
        <is>
          <t>TEST COMPARATIF</t>
        </is>
      </c>
      <c r="L17" s="9" t="inlineStr">
        <is>
          <t>CLOTURE</t>
        </is>
      </c>
      <c r="M17" s="9" t="inlineStr">
        <is>
          <t>NON</t>
        </is>
      </c>
    </row>
    <row r="18" ht="15" customHeight="1">
      <c r="A18" s="9" t="inlineStr">
        <is>
          <t>L3</t>
        </is>
      </c>
      <c r="B18" s="9" t="n"/>
      <c r="C18" s="9" t="inlineStr">
        <is>
          <t>SPSA HOEV BIO</t>
        </is>
      </c>
      <c r="D18" s="9" t="n"/>
      <c r="E18" s="9" t="n"/>
      <c r="F18" s="9" t="n"/>
      <c r="G18" s="9" t="n"/>
      <c r="H18" s="9" t="inlineStr">
        <is>
          <t>GRATTAGE + REMPLISSAGE</t>
        </is>
      </c>
      <c r="I18" s="9" t="inlineStr">
        <is>
          <t>TOUR 03</t>
        </is>
      </c>
      <c r="J18" s="9" t="inlineStr">
        <is>
          <t>PANNE</t>
        </is>
      </c>
      <c r="K18" s="9" t="inlineStr">
        <is>
          <t>TEST FORMATION</t>
        </is>
      </c>
      <c r="L18" s="9" t="inlineStr">
        <is>
          <t>ANNULE</t>
        </is>
      </c>
      <c r="M18" s="9" t="n"/>
    </row>
    <row r="19" ht="15" customHeight="1">
      <c r="A19" s="9" t="inlineStr">
        <is>
          <t>L4</t>
        </is>
      </c>
      <c r="B19" s="9" t="n"/>
      <c r="C19" s="9" t="inlineStr">
        <is>
          <t>FMHOEV BIO</t>
        </is>
      </c>
      <c r="D19" s="9" t="n"/>
      <c r="E19" s="9" t="n"/>
      <c r="F19" s="9" t="n"/>
      <c r="G19" s="9" t="n"/>
      <c r="H19" s="9" t="inlineStr">
        <is>
          <t>INACTIVE</t>
        </is>
      </c>
      <c r="I19" s="9" t="inlineStr">
        <is>
          <t>TOUR 04</t>
        </is>
      </c>
      <c r="J19" s="9" t="inlineStr">
        <is>
          <t>ATTENTE CUISSON</t>
        </is>
      </c>
      <c r="K19" s="9" t="inlineStr">
        <is>
          <t>TEST QUALITE</t>
        </is>
      </c>
      <c r="L19" s="9" t="n"/>
      <c r="M19" s="9" t="n"/>
    </row>
    <row r="20" ht="15" customHeight="1">
      <c r="A20" s="9" t="inlineStr">
        <is>
          <t>L5</t>
        </is>
      </c>
      <c r="B20" s="9" t="n"/>
      <c r="C20" s="9" t="n"/>
      <c r="D20" s="9" t="n"/>
      <c r="E20" s="9" t="n"/>
      <c r="F20" s="9" t="n"/>
      <c r="G20" s="9" t="n"/>
      <c r="H20" s="9" t="n"/>
      <c r="I20" s="9" t="inlineStr">
        <is>
          <t>TOUR 05</t>
        </is>
      </c>
      <c r="J20" s="9" t="inlineStr">
        <is>
          <t>ATTENTE QUALITE</t>
        </is>
      </c>
      <c r="K20" s="9" t="n"/>
      <c r="L20" s="9" t="n"/>
      <c r="M20" s="9" t="n"/>
    </row>
    <row r="21" ht="15" customHeight="1">
      <c r="A21" s="9" t="inlineStr">
        <is>
          <t>L6</t>
        </is>
      </c>
      <c r="B21" s="9" t="n"/>
      <c r="C21" s="9" t="n"/>
      <c r="D21" s="9" t="n"/>
      <c r="E21" s="9" t="n"/>
      <c r="F21" s="9" t="n"/>
      <c r="G21" s="9" t="n"/>
      <c r="H21" s="9" t="n"/>
      <c r="I21" s="9" t="inlineStr">
        <is>
          <t>TOUR 06</t>
        </is>
      </c>
      <c r="J21" s="9" t="inlineStr">
        <is>
          <t>NETTOYAGE</t>
        </is>
      </c>
      <c r="K21" s="9" t="n"/>
      <c r="L21" s="9" t="n"/>
      <c r="M21" s="9" t="n"/>
    </row>
    <row r="22" ht="15" customHeight="1">
      <c r="A22" s="9" t="inlineStr">
        <is>
          <t>L7</t>
        </is>
      </c>
      <c r="B22" s="9" t="n"/>
      <c r="C22" s="9" t="n"/>
      <c r="D22" s="9" t="n"/>
      <c r="E22" s="9" t="n"/>
      <c r="F22" s="9" t="n"/>
      <c r="G22" s="9" t="n"/>
      <c r="H22" s="9" t="n"/>
      <c r="I22" s="9" t="inlineStr">
        <is>
          <t>TOUR 07</t>
        </is>
      </c>
      <c r="J22" s="9" t="inlineStr">
        <is>
          <t>CHANGEMENT PRODUIT</t>
        </is>
      </c>
      <c r="K22" s="9" t="n"/>
      <c r="L22" s="9" t="n"/>
      <c r="M22" s="9" t="n"/>
    </row>
    <row r="23" ht="15" customHeight="1">
      <c r="A23" s="9" t="inlineStr">
        <is>
          <t>L8</t>
        </is>
      </c>
      <c r="B23" s="9" t="n"/>
      <c r="C23" s="9" t="n"/>
      <c r="D23" s="9" t="n"/>
      <c r="E23" s="9" t="n"/>
      <c r="F23" s="9" t="n"/>
      <c r="G23" s="9" t="n"/>
      <c r="H23" s="9" t="n"/>
      <c r="I23" s="9" t="inlineStr">
        <is>
          <t>TOUR 08</t>
        </is>
      </c>
      <c r="J23" s="9" t="inlineStr">
        <is>
          <t>ORGANISATION</t>
        </is>
      </c>
      <c r="K23" s="9" t="n"/>
      <c r="L23" s="9" t="n"/>
      <c r="M23" s="9" t="n"/>
    </row>
    <row r="24" ht="15" customHeight="1">
      <c r="A24" s="9" t="n"/>
      <c r="B24" s="9" t="n"/>
      <c r="C24" s="9" t="n"/>
      <c r="D24" s="9" t="n"/>
      <c r="E24" s="9" t="n"/>
      <c r="F24" s="9" t="n"/>
      <c r="G24" s="9" t="n"/>
      <c r="H24" s="9" t="n"/>
      <c r="I24" s="9" t="inlineStr">
        <is>
          <t>TOUR 09</t>
        </is>
      </c>
      <c r="J24" s="9" t="inlineStr">
        <is>
          <t>CHANGEMENT DE LOT</t>
        </is>
      </c>
      <c r="K24" s="9" t="n"/>
      <c r="L24" s="9" t="n"/>
      <c r="M24" s="9" t="n"/>
    </row>
    <row r="25" ht="1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inlineStr">
        <is>
          <t>TOUR 10</t>
        </is>
      </c>
      <c r="J25" s="9" t="inlineStr">
        <is>
          <t>REGLAGE MACHINE</t>
        </is>
      </c>
      <c r="K25" s="9" t="n"/>
      <c r="L25" s="9" t="n"/>
      <c r="M25" s="9" t="n"/>
    </row>
    <row r="26" ht="15" customHeight="1">
      <c r="A26" s="9" t="n"/>
      <c r="B26" s="9" t="n"/>
      <c r="C26" s="9" t="n"/>
      <c r="D26" s="9" t="n"/>
      <c r="E26" s="9" t="n"/>
      <c r="F26" s="9" t="n"/>
      <c r="G26" s="9" t="n"/>
      <c r="H26" s="9" t="n"/>
      <c r="I26" s="9" t="inlineStr">
        <is>
          <t>TOUR 11</t>
        </is>
      </c>
      <c r="J26" s="9" t="inlineStr">
        <is>
          <t>MANQUE DE PERSONNEL</t>
        </is>
      </c>
      <c r="K26" s="9" t="n"/>
      <c r="L26" s="9" t="n"/>
      <c r="M26" s="9" t="n"/>
    </row>
    <row r="27" ht="15" customHeight="1">
      <c r="A27" s="9" t="n"/>
      <c r="B27" s="9" t="n"/>
      <c r="C27" s="9" t="n"/>
      <c r="D27" s="9" t="n"/>
      <c r="E27" s="9" t="n"/>
      <c r="F27" s="9" t="n"/>
      <c r="G27" s="9" t="n"/>
      <c r="H27" s="9" t="n"/>
      <c r="I27" s="9" t="inlineStr">
        <is>
          <t>TOUR 12</t>
        </is>
      </c>
      <c r="J27" s="9" t="inlineStr">
        <is>
          <t>COUPURE ELECTRICITE</t>
        </is>
      </c>
      <c r="K27" s="9" t="n"/>
      <c r="L27" s="9" t="n"/>
      <c r="M27" s="9" t="n"/>
    </row>
    <row r="28" ht="1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inlineStr">
        <is>
          <t>MANQUE EMBALLAGE</t>
        </is>
      </c>
      <c r="K28" s="9" t="n"/>
      <c r="L28" s="9" t="n"/>
      <c r="M28" s="9" t="n"/>
    </row>
    <row r="29" ht="15" customHeight="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inlineStr">
        <is>
          <t>EVACUATION DECHETS</t>
        </is>
      </c>
      <c r="K29" s="9" t="n"/>
      <c r="L29" s="9" t="n"/>
      <c r="M29" s="9" t="n"/>
    </row>
    <row r="30" ht="15" customHeight="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inlineStr">
        <is>
          <t>AUTRE</t>
        </is>
      </c>
      <c r="K30" s="9" t="n"/>
      <c r="L30" s="9" t="n"/>
      <c r="M30" s="9" t="n"/>
    </row>
    <row r="31" ht="1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</row>
    <row r="32" ht="15" customHeight="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15" customHeight="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</row>
    <row r="34" ht="1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</row>
    <row r="35" ht="15" customHeight="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</row>
    <row r="36" ht="15" customHeight="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</row>
    <row r="37" ht="1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</row>
    <row r="40" ht="21" customHeight="1">
      <c r="A40" s="4" t="inlineStr">
        <is>
          <t>STANDARDS DE CADENCE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</row>
    <row r="41">
      <c r="A41" s="3" t="inlineStr">
        <is>
          <t>Une ligne = une configuration de production. Laisser vide une dimension non applicable (ex. MOULE pour la sardine). Seules les lignes ACTIF = OUI sont utilisees. Le standard repris de la version 1.3 est a confirmer.</t>
        </is>
      </c>
    </row>
    <row r="42" ht="33" customHeight="1">
      <c r="A42" s="5" t="inlineStr">
        <is>
          <t>ESPÈCE</t>
        </is>
      </c>
      <c r="B42" s="5" t="inlineStr">
        <is>
          <t>PRODUIT</t>
        </is>
      </c>
      <c r="C42" s="5" t="inlineStr">
        <is>
          <t>MARQUE</t>
        </is>
      </c>
      <c r="D42" s="5" t="inlineStr">
        <is>
          <t>FORMAT</t>
        </is>
      </c>
      <c r="E42" s="5" t="inlineStr">
        <is>
          <t>PRÉPARATION</t>
        </is>
      </c>
      <c r="F42" s="5" t="inlineStr">
        <is>
          <t>MOULE</t>
        </is>
      </c>
      <c r="G42" s="5" t="inlineStr">
        <is>
          <t>ACTIVITÉ</t>
        </is>
      </c>
      <c r="H42" s="5" t="inlineStr">
        <is>
          <t>STANDARD BOITES/H/FEMME</t>
        </is>
      </c>
      <c r="I42" s="5" t="inlineStr">
        <is>
          <t>ACTIF</t>
        </is>
      </c>
      <c r="J42" s="5" t="inlineStr">
        <is>
          <t>CLÉ (CALCULÉE)</t>
        </is>
      </c>
    </row>
    <row r="43" ht="15" customHeight="1">
      <c r="A43" s="10" t="inlineStr">
        <is>
          <t>SARDINE</t>
        </is>
      </c>
      <c r="B43" s="10" t="inlineStr">
        <is>
          <t>FMHOEV BIO</t>
        </is>
      </c>
      <c r="C43" s="10" t="n"/>
      <c r="D43" s="10" t="n"/>
      <c r="E43" s="9" t="n"/>
      <c r="F43" s="9" t="n"/>
      <c r="G43" s="9" t="inlineStr">
        <is>
          <t>GRATTAGE + REMPLISSAGE</t>
        </is>
      </c>
      <c r="H43" s="11" t="n">
        <v>112</v>
      </c>
      <c r="I43" s="9" t="inlineStr">
        <is>
          <t>OUI</t>
        </is>
      </c>
      <c r="J43" s="12">
        <f>IF(OR($A43="",$I43&lt;&gt;"OUI"),"",$A43&amp;"|"&amp;$B43&amp;"|"&amp;$C43&amp;"|"&amp;$D43&amp;"|"&amp;$E43&amp;"|"&amp;$F43&amp;"|"&amp;$G43)</f>
        <v/>
      </c>
    </row>
    <row r="44" ht="15" customHeight="1">
      <c r="A44" s="10" t="n"/>
      <c r="B44" s="10" t="n"/>
      <c r="C44" s="10" t="n"/>
      <c r="D44" s="10" t="n"/>
      <c r="E44" s="9" t="n"/>
      <c r="F44" s="9" t="n"/>
      <c r="G44" s="9" t="n"/>
      <c r="H44" s="11" t="n"/>
      <c r="I44" s="9" t="n"/>
      <c r="J44" s="12">
        <f>IF(OR($A44="",$I44&lt;&gt;"OUI"),"",$A44&amp;"|"&amp;$B44&amp;"|"&amp;$C44&amp;"|"&amp;$D44&amp;"|"&amp;$E44&amp;"|"&amp;$F44&amp;"|"&amp;$G44)</f>
        <v/>
      </c>
    </row>
    <row r="45" ht="15" customHeight="1">
      <c r="A45" s="10" t="n"/>
      <c r="B45" s="10" t="n"/>
      <c r="C45" s="10" t="n"/>
      <c r="D45" s="10" t="n"/>
      <c r="E45" s="9" t="n"/>
      <c r="F45" s="9" t="n"/>
      <c r="G45" s="9" t="n"/>
      <c r="H45" s="11" t="n"/>
      <c r="I45" s="9" t="n"/>
      <c r="J45" s="12">
        <f>IF(OR($A45="",$I45&lt;&gt;"OUI"),"",$A45&amp;"|"&amp;$B45&amp;"|"&amp;$C45&amp;"|"&amp;$D45&amp;"|"&amp;$E45&amp;"|"&amp;$F45&amp;"|"&amp;$G45)</f>
        <v/>
      </c>
    </row>
    <row r="46" ht="15" customHeight="1">
      <c r="A46" s="10" t="n"/>
      <c r="B46" s="10" t="n"/>
      <c r="C46" s="10" t="n"/>
      <c r="D46" s="10" t="n"/>
      <c r="E46" s="9" t="n"/>
      <c r="F46" s="9" t="n"/>
      <c r="G46" s="9" t="n"/>
      <c r="H46" s="11" t="n"/>
      <c r="I46" s="9" t="n"/>
      <c r="J46" s="12">
        <f>IF(OR($A46="",$I46&lt;&gt;"OUI"),"",$A46&amp;"|"&amp;$B46&amp;"|"&amp;$C46&amp;"|"&amp;$D46&amp;"|"&amp;$E46&amp;"|"&amp;$F46&amp;"|"&amp;$G46)</f>
        <v/>
      </c>
    </row>
    <row r="47" ht="15" customHeight="1">
      <c r="A47" s="10" t="n"/>
      <c r="B47" s="10" t="n"/>
      <c r="C47" s="10" t="n"/>
      <c r="D47" s="10" t="n"/>
      <c r="E47" s="9" t="n"/>
      <c r="F47" s="9" t="n"/>
      <c r="G47" s="9" t="n"/>
      <c r="H47" s="11" t="n"/>
      <c r="I47" s="9" t="n"/>
      <c r="J47" s="12">
        <f>IF(OR($A47="",$I47&lt;&gt;"OUI"),"",$A47&amp;"|"&amp;$B47&amp;"|"&amp;$C47&amp;"|"&amp;$D47&amp;"|"&amp;$E47&amp;"|"&amp;$F47&amp;"|"&amp;$G47)</f>
        <v/>
      </c>
    </row>
    <row r="48" ht="15" customHeight="1">
      <c r="A48" s="10" t="n"/>
      <c r="B48" s="10" t="n"/>
      <c r="C48" s="10" t="n"/>
      <c r="D48" s="10" t="n"/>
      <c r="E48" s="9" t="n"/>
      <c r="F48" s="9" t="n"/>
      <c r="G48" s="9" t="n"/>
      <c r="H48" s="11" t="n"/>
      <c r="I48" s="9" t="n"/>
      <c r="J48" s="12">
        <f>IF(OR($A48="",$I48&lt;&gt;"OUI"),"",$A48&amp;"|"&amp;$B48&amp;"|"&amp;$C48&amp;"|"&amp;$D48&amp;"|"&amp;$E48&amp;"|"&amp;$F48&amp;"|"&amp;$G48)</f>
        <v/>
      </c>
    </row>
    <row r="49" ht="15" customHeight="1">
      <c r="A49" s="10" t="n"/>
      <c r="B49" s="10" t="n"/>
      <c r="C49" s="10" t="n"/>
      <c r="D49" s="10" t="n"/>
      <c r="E49" s="9" t="n"/>
      <c r="F49" s="9" t="n"/>
      <c r="G49" s="9" t="n"/>
      <c r="H49" s="11" t="n"/>
      <c r="I49" s="9" t="n"/>
      <c r="J49" s="12">
        <f>IF(OR($A49="",$I49&lt;&gt;"OUI"),"",$A49&amp;"|"&amp;$B49&amp;"|"&amp;$C49&amp;"|"&amp;$D49&amp;"|"&amp;$E49&amp;"|"&amp;$F49&amp;"|"&amp;$G49)</f>
        <v/>
      </c>
    </row>
    <row r="50" ht="15" customHeight="1">
      <c r="A50" s="10" t="n"/>
      <c r="B50" s="10" t="n"/>
      <c r="C50" s="10" t="n"/>
      <c r="D50" s="10" t="n"/>
      <c r="E50" s="9" t="n"/>
      <c r="F50" s="9" t="n"/>
      <c r="G50" s="9" t="n"/>
      <c r="H50" s="11" t="n"/>
      <c r="I50" s="9" t="n"/>
      <c r="J50" s="12">
        <f>IF(OR($A50="",$I50&lt;&gt;"OUI"),"",$A50&amp;"|"&amp;$B50&amp;"|"&amp;$C50&amp;"|"&amp;$D50&amp;"|"&amp;$E50&amp;"|"&amp;$F50&amp;"|"&amp;$G50)</f>
        <v/>
      </c>
    </row>
    <row r="51" ht="15" customHeight="1">
      <c r="A51" s="10" t="n"/>
      <c r="B51" s="10" t="n"/>
      <c r="C51" s="10" t="n"/>
      <c r="D51" s="10" t="n"/>
      <c r="E51" s="9" t="n"/>
      <c r="F51" s="9" t="n"/>
      <c r="G51" s="9" t="n"/>
      <c r="H51" s="11" t="n"/>
      <c r="I51" s="9" t="n"/>
      <c r="J51" s="12">
        <f>IF(OR($A51="",$I51&lt;&gt;"OUI"),"",$A51&amp;"|"&amp;$B51&amp;"|"&amp;$C51&amp;"|"&amp;$D51&amp;"|"&amp;$E51&amp;"|"&amp;$F51&amp;"|"&amp;$G51)</f>
        <v/>
      </c>
    </row>
    <row r="52" ht="15" customHeight="1">
      <c r="A52" s="10" t="n"/>
      <c r="B52" s="10" t="n"/>
      <c r="C52" s="10" t="n"/>
      <c r="D52" s="10" t="n"/>
      <c r="E52" s="9" t="n"/>
      <c r="F52" s="9" t="n"/>
      <c r="G52" s="9" t="n"/>
      <c r="H52" s="11" t="n"/>
      <c r="I52" s="9" t="n"/>
      <c r="J52" s="12">
        <f>IF(OR($A52="",$I52&lt;&gt;"OUI"),"",$A52&amp;"|"&amp;$B52&amp;"|"&amp;$C52&amp;"|"&amp;$D52&amp;"|"&amp;$E52&amp;"|"&amp;$F52&amp;"|"&amp;$G52)</f>
        <v/>
      </c>
    </row>
    <row r="53" ht="15" customHeight="1">
      <c r="A53" s="10" t="n"/>
      <c r="B53" s="10" t="n"/>
      <c r="C53" s="10" t="n"/>
      <c r="D53" s="10" t="n"/>
      <c r="E53" s="9" t="n"/>
      <c r="F53" s="9" t="n"/>
      <c r="G53" s="9" t="n"/>
      <c r="H53" s="11" t="n"/>
      <c r="I53" s="9" t="n"/>
      <c r="J53" s="12">
        <f>IF(OR($A53="",$I53&lt;&gt;"OUI"),"",$A53&amp;"|"&amp;$B53&amp;"|"&amp;$C53&amp;"|"&amp;$D53&amp;"|"&amp;$E53&amp;"|"&amp;$F53&amp;"|"&amp;$G53)</f>
        <v/>
      </c>
    </row>
    <row r="54" ht="15" customHeight="1">
      <c r="A54" s="10" t="n"/>
      <c r="B54" s="10" t="n"/>
      <c r="C54" s="10" t="n"/>
      <c r="D54" s="10" t="n"/>
      <c r="E54" s="9" t="n"/>
      <c r="F54" s="9" t="n"/>
      <c r="G54" s="9" t="n"/>
      <c r="H54" s="11" t="n"/>
      <c r="I54" s="9" t="n"/>
      <c r="J54" s="12">
        <f>IF(OR($A54="",$I54&lt;&gt;"OUI"),"",$A54&amp;"|"&amp;$B54&amp;"|"&amp;$C54&amp;"|"&amp;$D54&amp;"|"&amp;$E54&amp;"|"&amp;$F54&amp;"|"&amp;$G54)</f>
        <v/>
      </c>
    </row>
    <row r="55" ht="15" customHeight="1">
      <c r="A55" s="10" t="n"/>
      <c r="B55" s="10" t="n"/>
      <c r="C55" s="10" t="n"/>
      <c r="D55" s="10" t="n"/>
      <c r="E55" s="9" t="n"/>
      <c r="F55" s="9" t="n"/>
      <c r="G55" s="9" t="n"/>
      <c r="H55" s="11" t="n"/>
      <c r="I55" s="9" t="n"/>
      <c r="J55" s="12">
        <f>IF(OR($A55="",$I55&lt;&gt;"OUI"),"",$A55&amp;"|"&amp;$B55&amp;"|"&amp;$C55&amp;"|"&amp;$D55&amp;"|"&amp;$E55&amp;"|"&amp;$F55&amp;"|"&amp;$G55)</f>
        <v/>
      </c>
    </row>
    <row r="56" ht="15" customHeight="1">
      <c r="A56" s="10" t="n"/>
      <c r="B56" s="10" t="n"/>
      <c r="C56" s="10" t="n"/>
      <c r="D56" s="10" t="n"/>
      <c r="E56" s="9" t="n"/>
      <c r="F56" s="9" t="n"/>
      <c r="G56" s="9" t="n"/>
      <c r="H56" s="11" t="n"/>
      <c r="I56" s="9" t="n"/>
      <c r="J56" s="12">
        <f>IF(OR($A56="",$I56&lt;&gt;"OUI"),"",$A56&amp;"|"&amp;$B56&amp;"|"&amp;$C56&amp;"|"&amp;$D56&amp;"|"&amp;$E56&amp;"|"&amp;$F56&amp;"|"&amp;$G56)</f>
        <v/>
      </c>
    </row>
    <row r="57" ht="15" customHeight="1">
      <c r="A57" s="10" t="n"/>
      <c r="B57" s="10" t="n"/>
      <c r="C57" s="10" t="n"/>
      <c r="D57" s="10" t="n"/>
      <c r="E57" s="9" t="n"/>
      <c r="F57" s="9" t="n"/>
      <c r="G57" s="9" t="n"/>
      <c r="H57" s="11" t="n"/>
      <c r="I57" s="9" t="n"/>
      <c r="J57" s="12">
        <f>IF(OR($A57="",$I57&lt;&gt;"OUI"),"",$A57&amp;"|"&amp;$B57&amp;"|"&amp;$C57&amp;"|"&amp;$D57&amp;"|"&amp;$E57&amp;"|"&amp;$F57&amp;"|"&amp;$G57)</f>
        <v/>
      </c>
    </row>
    <row r="58" ht="15" customHeight="1">
      <c r="A58" s="10" t="n"/>
      <c r="B58" s="10" t="n"/>
      <c r="C58" s="10" t="n"/>
      <c r="D58" s="10" t="n"/>
      <c r="E58" s="9" t="n"/>
      <c r="F58" s="9" t="n"/>
      <c r="G58" s="9" t="n"/>
      <c r="H58" s="11" t="n"/>
      <c r="I58" s="9" t="n"/>
      <c r="J58" s="12">
        <f>IF(OR($A58="",$I58&lt;&gt;"OUI"),"",$A58&amp;"|"&amp;$B58&amp;"|"&amp;$C58&amp;"|"&amp;$D58&amp;"|"&amp;$E58&amp;"|"&amp;$F58&amp;"|"&amp;$G58)</f>
        <v/>
      </c>
    </row>
    <row r="59" ht="15" customHeight="1">
      <c r="A59" s="10" t="n"/>
      <c r="B59" s="10" t="n"/>
      <c r="C59" s="10" t="n"/>
      <c r="D59" s="10" t="n"/>
      <c r="E59" s="9" t="n"/>
      <c r="F59" s="9" t="n"/>
      <c r="G59" s="9" t="n"/>
      <c r="H59" s="11" t="n"/>
      <c r="I59" s="9" t="n"/>
      <c r="J59" s="12">
        <f>IF(OR($A59="",$I59&lt;&gt;"OUI"),"",$A59&amp;"|"&amp;$B59&amp;"|"&amp;$C59&amp;"|"&amp;$D59&amp;"|"&amp;$E59&amp;"|"&amp;$F59&amp;"|"&amp;$G59)</f>
        <v/>
      </c>
    </row>
    <row r="60" ht="15" customHeight="1">
      <c r="A60" s="10" t="n"/>
      <c r="B60" s="10" t="n"/>
      <c r="C60" s="10" t="n"/>
      <c r="D60" s="10" t="n"/>
      <c r="E60" s="9" t="n"/>
      <c r="F60" s="9" t="n"/>
      <c r="G60" s="9" t="n"/>
      <c r="H60" s="11" t="n"/>
      <c r="I60" s="9" t="n"/>
      <c r="J60" s="12">
        <f>IF(OR($A60="",$I60&lt;&gt;"OUI"),"",$A60&amp;"|"&amp;$B60&amp;"|"&amp;$C60&amp;"|"&amp;$D60&amp;"|"&amp;$E60&amp;"|"&amp;$F60&amp;"|"&amp;$G60)</f>
        <v/>
      </c>
    </row>
    <row r="61" ht="15" customHeight="1">
      <c r="A61" s="10" t="n"/>
      <c r="B61" s="10" t="n"/>
      <c r="C61" s="10" t="n"/>
      <c r="D61" s="10" t="n"/>
      <c r="E61" s="9" t="n"/>
      <c r="F61" s="9" t="n"/>
      <c r="G61" s="9" t="n"/>
      <c r="H61" s="11" t="n"/>
      <c r="I61" s="9" t="n"/>
      <c r="J61" s="12">
        <f>IF(OR($A61="",$I61&lt;&gt;"OUI"),"",$A61&amp;"|"&amp;$B61&amp;"|"&amp;$C61&amp;"|"&amp;$D61&amp;"|"&amp;$E61&amp;"|"&amp;$F61&amp;"|"&amp;$G61)</f>
        <v/>
      </c>
    </row>
    <row r="62" ht="15" customHeight="1">
      <c r="A62" s="10" t="n"/>
      <c r="B62" s="10" t="n"/>
      <c r="C62" s="10" t="n"/>
      <c r="D62" s="10" t="n"/>
      <c r="E62" s="9" t="n"/>
      <c r="F62" s="9" t="n"/>
      <c r="G62" s="9" t="n"/>
      <c r="H62" s="11" t="n"/>
      <c r="I62" s="9" t="n"/>
      <c r="J62" s="12">
        <f>IF(OR($A62="",$I62&lt;&gt;"OUI"),"",$A62&amp;"|"&amp;$B62&amp;"|"&amp;$C62&amp;"|"&amp;$D62&amp;"|"&amp;$E62&amp;"|"&amp;$F62&amp;"|"&amp;$G62)</f>
        <v/>
      </c>
    </row>
    <row r="63" ht="15" customHeight="1">
      <c r="A63" s="10" t="n"/>
      <c r="B63" s="10" t="n"/>
      <c r="C63" s="10" t="n"/>
      <c r="D63" s="10" t="n"/>
      <c r="E63" s="9" t="n"/>
      <c r="F63" s="9" t="n"/>
      <c r="G63" s="9" t="n"/>
      <c r="H63" s="11" t="n"/>
      <c r="I63" s="9" t="n"/>
      <c r="J63" s="12">
        <f>IF(OR($A63="",$I63&lt;&gt;"OUI"),"",$A63&amp;"|"&amp;$B63&amp;"|"&amp;$C63&amp;"|"&amp;$D63&amp;"|"&amp;$E63&amp;"|"&amp;$F63&amp;"|"&amp;$G63)</f>
        <v/>
      </c>
    </row>
    <row r="64" ht="15" customHeight="1">
      <c r="A64" s="10" t="n"/>
      <c r="B64" s="10" t="n"/>
      <c r="C64" s="10" t="n"/>
      <c r="D64" s="10" t="n"/>
      <c r="E64" s="9" t="n"/>
      <c r="F64" s="9" t="n"/>
      <c r="G64" s="9" t="n"/>
      <c r="H64" s="11" t="n"/>
      <c r="I64" s="9" t="n"/>
      <c r="J64" s="12">
        <f>IF(OR($A64="",$I64&lt;&gt;"OUI"),"",$A64&amp;"|"&amp;$B64&amp;"|"&amp;$C64&amp;"|"&amp;$D64&amp;"|"&amp;$E64&amp;"|"&amp;$F64&amp;"|"&amp;$G64)</f>
        <v/>
      </c>
    </row>
    <row r="65" ht="15" customHeight="1">
      <c r="A65" s="10" t="n"/>
      <c r="B65" s="10" t="n"/>
      <c r="C65" s="10" t="n"/>
      <c r="D65" s="10" t="n"/>
      <c r="E65" s="9" t="n"/>
      <c r="F65" s="9" t="n"/>
      <c r="G65" s="9" t="n"/>
      <c r="H65" s="11" t="n"/>
      <c r="I65" s="9" t="n"/>
      <c r="J65" s="12">
        <f>IF(OR($A65="",$I65&lt;&gt;"OUI"),"",$A65&amp;"|"&amp;$B65&amp;"|"&amp;$C65&amp;"|"&amp;$D65&amp;"|"&amp;$E65&amp;"|"&amp;$F65&amp;"|"&amp;$G65)</f>
        <v/>
      </c>
    </row>
    <row r="66" ht="15" customHeight="1">
      <c r="A66" s="10" t="n"/>
      <c r="B66" s="10" t="n"/>
      <c r="C66" s="10" t="n"/>
      <c r="D66" s="10" t="n"/>
      <c r="E66" s="9" t="n"/>
      <c r="F66" s="9" t="n"/>
      <c r="G66" s="9" t="n"/>
      <c r="H66" s="11" t="n"/>
      <c r="I66" s="9" t="n"/>
      <c r="J66" s="12">
        <f>IF(OR($A66="",$I66&lt;&gt;"OUI"),"",$A66&amp;"|"&amp;$B66&amp;"|"&amp;$C66&amp;"|"&amp;$D66&amp;"|"&amp;$E66&amp;"|"&amp;$F66&amp;"|"&amp;$G66)</f>
        <v/>
      </c>
    </row>
    <row r="67" ht="15" customHeight="1">
      <c r="A67" s="10" t="n"/>
      <c r="B67" s="10" t="n"/>
      <c r="C67" s="10" t="n"/>
      <c r="D67" s="10" t="n"/>
      <c r="E67" s="9" t="n"/>
      <c r="F67" s="9" t="n"/>
      <c r="G67" s="9" t="n"/>
      <c r="H67" s="11" t="n"/>
      <c r="I67" s="9" t="n"/>
      <c r="J67" s="12">
        <f>IF(OR($A67="",$I67&lt;&gt;"OUI"),"",$A67&amp;"|"&amp;$B67&amp;"|"&amp;$C67&amp;"|"&amp;$D67&amp;"|"&amp;$E67&amp;"|"&amp;$F67&amp;"|"&amp;$G67)</f>
        <v/>
      </c>
    </row>
    <row r="68" ht="15" customHeight="1">
      <c r="A68" s="10" t="n"/>
      <c r="B68" s="10" t="n"/>
      <c r="C68" s="10" t="n"/>
      <c r="D68" s="10" t="n"/>
      <c r="E68" s="9" t="n"/>
      <c r="F68" s="9" t="n"/>
      <c r="G68" s="9" t="n"/>
      <c r="H68" s="11" t="n"/>
      <c r="I68" s="9" t="n"/>
      <c r="J68" s="12">
        <f>IF(OR($A68="",$I68&lt;&gt;"OUI"),"",$A68&amp;"|"&amp;$B68&amp;"|"&amp;$C68&amp;"|"&amp;$D68&amp;"|"&amp;$E68&amp;"|"&amp;$F68&amp;"|"&amp;$G68)</f>
        <v/>
      </c>
    </row>
    <row r="69" ht="15" customHeight="1">
      <c r="A69" s="10" t="n"/>
      <c r="B69" s="10" t="n"/>
      <c r="C69" s="10" t="n"/>
      <c r="D69" s="10" t="n"/>
      <c r="E69" s="9" t="n"/>
      <c r="F69" s="9" t="n"/>
      <c r="G69" s="9" t="n"/>
      <c r="H69" s="11" t="n"/>
      <c r="I69" s="9" t="n"/>
      <c r="J69" s="12">
        <f>IF(OR($A69="",$I69&lt;&gt;"OUI"),"",$A69&amp;"|"&amp;$B69&amp;"|"&amp;$C69&amp;"|"&amp;$D69&amp;"|"&amp;$E69&amp;"|"&amp;$F69&amp;"|"&amp;$G69)</f>
        <v/>
      </c>
    </row>
    <row r="70" ht="15" customHeight="1">
      <c r="A70" s="10" t="n"/>
      <c r="B70" s="10" t="n"/>
      <c r="C70" s="10" t="n"/>
      <c r="D70" s="10" t="n"/>
      <c r="E70" s="9" t="n"/>
      <c r="F70" s="9" t="n"/>
      <c r="G70" s="9" t="n"/>
      <c r="H70" s="11" t="n"/>
      <c r="I70" s="9" t="n"/>
      <c r="J70" s="12">
        <f>IF(OR($A70="",$I70&lt;&gt;"OUI"),"",$A70&amp;"|"&amp;$B70&amp;"|"&amp;$C70&amp;"|"&amp;$D70&amp;"|"&amp;$E70&amp;"|"&amp;$F70&amp;"|"&amp;$G70)</f>
        <v/>
      </c>
    </row>
    <row r="71" ht="15" customHeight="1">
      <c r="A71" s="10" t="n"/>
      <c r="B71" s="10" t="n"/>
      <c r="C71" s="10" t="n"/>
      <c r="D71" s="10" t="n"/>
      <c r="E71" s="9" t="n"/>
      <c r="F71" s="9" t="n"/>
      <c r="G71" s="9" t="n"/>
      <c r="H71" s="11" t="n"/>
      <c r="I71" s="9" t="n"/>
      <c r="J71" s="12">
        <f>IF(OR($A71="",$I71&lt;&gt;"OUI"),"",$A71&amp;"|"&amp;$B71&amp;"|"&amp;$C71&amp;"|"&amp;$D71&amp;"|"&amp;$E71&amp;"|"&amp;$F71&amp;"|"&amp;$G71)</f>
        <v/>
      </c>
    </row>
    <row r="72" ht="15" customHeight="1">
      <c r="A72" s="10" t="n"/>
      <c r="B72" s="10" t="n"/>
      <c r="C72" s="10" t="n"/>
      <c r="D72" s="10" t="n"/>
      <c r="E72" s="9" t="n"/>
      <c r="F72" s="9" t="n"/>
      <c r="G72" s="9" t="n"/>
      <c r="H72" s="11" t="n"/>
      <c r="I72" s="9" t="n"/>
      <c r="J72" s="12">
        <f>IF(OR($A72="",$I72&lt;&gt;"OUI"),"",$A72&amp;"|"&amp;$B72&amp;"|"&amp;$C72&amp;"|"&amp;$D72&amp;"|"&amp;$E72&amp;"|"&amp;$F72&amp;"|"&amp;$G72)</f>
        <v/>
      </c>
    </row>
    <row r="73" ht="15" customHeight="1">
      <c r="A73" s="10" t="n"/>
      <c r="B73" s="10" t="n"/>
      <c r="C73" s="10" t="n"/>
      <c r="D73" s="10" t="n"/>
      <c r="E73" s="9" t="n"/>
      <c r="F73" s="9" t="n"/>
      <c r="G73" s="9" t="n"/>
      <c r="H73" s="11" t="n"/>
      <c r="I73" s="9" t="n"/>
      <c r="J73" s="12">
        <f>IF(OR($A73="",$I73&lt;&gt;"OUI"),"",$A73&amp;"|"&amp;$B73&amp;"|"&amp;$C73&amp;"|"&amp;$D73&amp;"|"&amp;$E73&amp;"|"&amp;$F73&amp;"|"&amp;$G73)</f>
        <v/>
      </c>
    </row>
    <row r="74" ht="15" customHeight="1">
      <c r="A74" s="10" t="n"/>
      <c r="B74" s="10" t="n"/>
      <c r="C74" s="10" t="n"/>
      <c r="D74" s="10" t="n"/>
      <c r="E74" s="9" t="n"/>
      <c r="F74" s="9" t="n"/>
      <c r="G74" s="9" t="n"/>
      <c r="H74" s="11" t="n"/>
      <c r="I74" s="9" t="n"/>
      <c r="J74" s="12">
        <f>IF(OR($A74="",$I74&lt;&gt;"OUI"),"",$A74&amp;"|"&amp;$B74&amp;"|"&amp;$C74&amp;"|"&amp;$D74&amp;"|"&amp;$E74&amp;"|"&amp;$F74&amp;"|"&amp;$G74)</f>
        <v/>
      </c>
    </row>
    <row r="75" ht="15" customHeight="1">
      <c r="A75" s="10" t="n"/>
      <c r="B75" s="10" t="n"/>
      <c r="C75" s="10" t="n"/>
      <c r="D75" s="10" t="n"/>
      <c r="E75" s="9" t="n"/>
      <c r="F75" s="9" t="n"/>
      <c r="G75" s="9" t="n"/>
      <c r="H75" s="11" t="n"/>
      <c r="I75" s="9" t="n"/>
      <c r="J75" s="12">
        <f>IF(OR($A75="",$I75&lt;&gt;"OUI"),"",$A75&amp;"|"&amp;$B75&amp;"|"&amp;$C75&amp;"|"&amp;$D75&amp;"|"&amp;$E75&amp;"|"&amp;$F75&amp;"|"&amp;$G75)</f>
        <v/>
      </c>
    </row>
    <row r="76" ht="15" customHeight="1">
      <c r="A76" s="10" t="n"/>
      <c r="B76" s="10" t="n"/>
      <c r="C76" s="10" t="n"/>
      <c r="D76" s="10" t="n"/>
      <c r="E76" s="9" t="n"/>
      <c r="F76" s="9" t="n"/>
      <c r="G76" s="9" t="n"/>
      <c r="H76" s="11" t="n"/>
      <c r="I76" s="9" t="n"/>
      <c r="J76" s="12">
        <f>IF(OR($A76="",$I76&lt;&gt;"OUI"),"",$A76&amp;"|"&amp;$B76&amp;"|"&amp;$C76&amp;"|"&amp;$D76&amp;"|"&amp;$E76&amp;"|"&amp;$F76&amp;"|"&amp;$G76)</f>
        <v/>
      </c>
    </row>
    <row r="77" ht="15" customHeight="1">
      <c r="A77" s="10" t="n"/>
      <c r="B77" s="10" t="n"/>
      <c r="C77" s="10" t="n"/>
      <c r="D77" s="10" t="n"/>
      <c r="E77" s="9" t="n"/>
      <c r="F77" s="9" t="n"/>
      <c r="G77" s="9" t="n"/>
      <c r="H77" s="11" t="n"/>
      <c r="I77" s="9" t="n"/>
      <c r="J77" s="12">
        <f>IF(OR($A77="",$I77&lt;&gt;"OUI"),"",$A77&amp;"|"&amp;$B77&amp;"|"&amp;$C77&amp;"|"&amp;$D77&amp;"|"&amp;$E77&amp;"|"&amp;$F77&amp;"|"&amp;$G77)</f>
        <v/>
      </c>
    </row>
    <row r="78" ht="15" customHeight="1">
      <c r="A78" s="10" t="n"/>
      <c r="B78" s="10" t="n"/>
      <c r="C78" s="10" t="n"/>
      <c r="D78" s="10" t="n"/>
      <c r="E78" s="9" t="n"/>
      <c r="F78" s="9" t="n"/>
      <c r="G78" s="9" t="n"/>
      <c r="H78" s="11" t="n"/>
      <c r="I78" s="9" t="n"/>
      <c r="J78" s="12">
        <f>IF(OR($A78="",$I78&lt;&gt;"OUI"),"",$A78&amp;"|"&amp;$B78&amp;"|"&amp;$C78&amp;"|"&amp;$D78&amp;"|"&amp;$E78&amp;"|"&amp;$F78&amp;"|"&amp;$G78)</f>
        <v/>
      </c>
    </row>
    <row r="79" ht="15" customHeight="1">
      <c r="A79" s="10" t="n"/>
      <c r="B79" s="10" t="n"/>
      <c r="C79" s="10" t="n"/>
      <c r="D79" s="10" t="n"/>
      <c r="E79" s="9" t="n"/>
      <c r="F79" s="9" t="n"/>
      <c r="G79" s="9" t="n"/>
      <c r="H79" s="11" t="n"/>
      <c r="I79" s="9" t="n"/>
      <c r="J79" s="12">
        <f>IF(OR($A79="",$I79&lt;&gt;"OUI"),"",$A79&amp;"|"&amp;$B79&amp;"|"&amp;$C79&amp;"|"&amp;$D79&amp;"|"&amp;$E79&amp;"|"&amp;$F79&amp;"|"&amp;$G79)</f>
        <v/>
      </c>
    </row>
    <row r="80" ht="15" customHeight="1">
      <c r="A80" s="10" t="n"/>
      <c r="B80" s="10" t="n"/>
      <c r="C80" s="10" t="n"/>
      <c r="D80" s="10" t="n"/>
      <c r="E80" s="9" t="n"/>
      <c r="F80" s="9" t="n"/>
      <c r="G80" s="9" t="n"/>
      <c r="H80" s="11" t="n"/>
      <c r="I80" s="9" t="n"/>
      <c r="J80" s="12">
        <f>IF(OR($A80="",$I80&lt;&gt;"OUI"),"",$A80&amp;"|"&amp;$B80&amp;"|"&amp;$C80&amp;"|"&amp;$D80&amp;"|"&amp;$E80&amp;"|"&amp;$F80&amp;"|"&amp;$G80)</f>
        <v/>
      </c>
    </row>
    <row r="81" ht="15" customHeight="1">
      <c r="A81" s="10" t="n"/>
      <c r="B81" s="10" t="n"/>
      <c r="C81" s="10" t="n"/>
      <c r="D81" s="10" t="n"/>
      <c r="E81" s="9" t="n"/>
      <c r="F81" s="9" t="n"/>
      <c r="G81" s="9" t="n"/>
      <c r="H81" s="11" t="n"/>
      <c r="I81" s="9" t="n"/>
      <c r="J81" s="12">
        <f>IF(OR($A81="",$I81&lt;&gt;"OUI"),"",$A81&amp;"|"&amp;$B81&amp;"|"&amp;$C81&amp;"|"&amp;$D81&amp;"|"&amp;$E81&amp;"|"&amp;$F81&amp;"|"&amp;$G81)</f>
        <v/>
      </c>
    </row>
    <row r="82" ht="15" customHeight="1">
      <c r="A82" s="10" t="n"/>
      <c r="B82" s="10" t="n"/>
      <c r="C82" s="10" t="n"/>
      <c r="D82" s="10" t="n"/>
      <c r="E82" s="9" t="n"/>
      <c r="F82" s="9" t="n"/>
      <c r="G82" s="9" t="n"/>
      <c r="H82" s="11" t="n"/>
      <c r="I82" s="9" t="n"/>
      <c r="J82" s="12">
        <f>IF(OR($A82="",$I82&lt;&gt;"OUI"),"",$A82&amp;"|"&amp;$B82&amp;"|"&amp;$C82&amp;"|"&amp;$D82&amp;"|"&amp;$E82&amp;"|"&amp;$F82&amp;"|"&amp;$G82)</f>
        <v/>
      </c>
    </row>
    <row r="83" ht="15" customHeight="1">
      <c r="A83" s="10" t="n"/>
      <c r="B83" s="10" t="n"/>
      <c r="C83" s="10" t="n"/>
      <c r="D83" s="10" t="n"/>
      <c r="E83" s="9" t="n"/>
      <c r="F83" s="9" t="n"/>
      <c r="G83" s="9" t="n"/>
      <c r="H83" s="11" t="n"/>
      <c r="I83" s="9" t="n"/>
      <c r="J83" s="12">
        <f>IF(OR($A83="",$I83&lt;&gt;"OUI"),"",$A83&amp;"|"&amp;$B83&amp;"|"&amp;$C83&amp;"|"&amp;$D83&amp;"|"&amp;$E83&amp;"|"&amp;$F83&amp;"|"&amp;$G83)</f>
        <v/>
      </c>
    </row>
    <row r="84" ht="15" customHeight="1">
      <c r="A84" s="10" t="n"/>
      <c r="B84" s="10" t="n"/>
      <c r="C84" s="10" t="n"/>
      <c r="D84" s="10" t="n"/>
      <c r="E84" s="9" t="n"/>
      <c r="F84" s="9" t="n"/>
      <c r="G84" s="9" t="n"/>
      <c r="H84" s="11" t="n"/>
      <c r="I84" s="9" t="n"/>
      <c r="J84" s="12">
        <f>IF(OR($A84="",$I84&lt;&gt;"OUI"),"",$A84&amp;"|"&amp;$B84&amp;"|"&amp;$C84&amp;"|"&amp;$D84&amp;"|"&amp;$E84&amp;"|"&amp;$F84&amp;"|"&amp;$G84)</f>
        <v/>
      </c>
    </row>
    <row r="85" ht="15" customHeight="1">
      <c r="A85" s="10" t="n"/>
      <c r="B85" s="10" t="n"/>
      <c r="C85" s="10" t="n"/>
      <c r="D85" s="10" t="n"/>
      <c r="E85" s="9" t="n"/>
      <c r="F85" s="9" t="n"/>
      <c r="G85" s="9" t="n"/>
      <c r="H85" s="11" t="n"/>
      <c r="I85" s="9" t="n"/>
      <c r="J85" s="12">
        <f>IF(OR($A85="",$I85&lt;&gt;"OUI"),"",$A85&amp;"|"&amp;$B85&amp;"|"&amp;$C85&amp;"|"&amp;$D85&amp;"|"&amp;$E85&amp;"|"&amp;$F85&amp;"|"&amp;$G85)</f>
        <v/>
      </c>
    </row>
    <row r="86" ht="15" customHeight="1">
      <c r="A86" s="10" t="n"/>
      <c r="B86" s="10" t="n"/>
      <c r="C86" s="10" t="n"/>
      <c r="D86" s="10" t="n"/>
      <c r="E86" s="9" t="n"/>
      <c r="F86" s="9" t="n"/>
      <c r="G86" s="9" t="n"/>
      <c r="H86" s="11" t="n"/>
      <c r="I86" s="9" t="n"/>
      <c r="J86" s="12">
        <f>IF(OR($A86="",$I86&lt;&gt;"OUI"),"",$A86&amp;"|"&amp;$B86&amp;"|"&amp;$C86&amp;"|"&amp;$D86&amp;"|"&amp;$E86&amp;"|"&amp;$F86&amp;"|"&amp;$G86)</f>
        <v/>
      </c>
    </row>
    <row r="87" ht="15" customHeight="1">
      <c r="A87" s="10" t="n"/>
      <c r="B87" s="10" t="n"/>
      <c r="C87" s="10" t="n"/>
      <c r="D87" s="10" t="n"/>
      <c r="E87" s="9" t="n"/>
      <c r="F87" s="9" t="n"/>
      <c r="G87" s="9" t="n"/>
      <c r="H87" s="11" t="n"/>
      <c r="I87" s="9" t="n"/>
      <c r="J87" s="12">
        <f>IF(OR($A87="",$I87&lt;&gt;"OUI"),"",$A87&amp;"|"&amp;$B87&amp;"|"&amp;$C87&amp;"|"&amp;$D87&amp;"|"&amp;$E87&amp;"|"&amp;$F87&amp;"|"&amp;$G87)</f>
        <v/>
      </c>
    </row>
    <row r="88" ht="15" customHeight="1">
      <c r="A88" s="10" t="n"/>
      <c r="B88" s="10" t="n"/>
      <c r="C88" s="10" t="n"/>
      <c r="D88" s="10" t="n"/>
      <c r="E88" s="9" t="n"/>
      <c r="F88" s="9" t="n"/>
      <c r="G88" s="9" t="n"/>
      <c r="H88" s="11" t="n"/>
      <c r="I88" s="9" t="n"/>
      <c r="J88" s="12">
        <f>IF(OR($A88="",$I88&lt;&gt;"OUI"),"",$A88&amp;"|"&amp;$B88&amp;"|"&amp;$C88&amp;"|"&amp;$D88&amp;"|"&amp;$E88&amp;"|"&amp;$F88&amp;"|"&amp;$G88)</f>
        <v/>
      </c>
    </row>
    <row r="89" ht="15" customHeight="1">
      <c r="A89" s="10" t="n"/>
      <c r="B89" s="10" t="n"/>
      <c r="C89" s="10" t="n"/>
      <c r="D89" s="10" t="n"/>
      <c r="E89" s="9" t="n"/>
      <c r="F89" s="9" t="n"/>
      <c r="G89" s="9" t="n"/>
      <c r="H89" s="11" t="n"/>
      <c r="I89" s="9" t="n"/>
      <c r="J89" s="12">
        <f>IF(OR($A89="",$I89&lt;&gt;"OUI"),"",$A89&amp;"|"&amp;$B89&amp;"|"&amp;$C89&amp;"|"&amp;$D89&amp;"|"&amp;$E89&amp;"|"&amp;$F89&amp;"|"&amp;$G89)</f>
        <v/>
      </c>
    </row>
    <row r="90" ht="15" customHeight="1">
      <c r="A90" s="10" t="n"/>
      <c r="B90" s="10" t="n"/>
      <c r="C90" s="10" t="n"/>
      <c r="D90" s="10" t="n"/>
      <c r="E90" s="9" t="n"/>
      <c r="F90" s="9" t="n"/>
      <c r="G90" s="9" t="n"/>
      <c r="H90" s="11" t="n"/>
      <c r="I90" s="9" t="n"/>
      <c r="J90" s="12">
        <f>IF(OR($A90="",$I90&lt;&gt;"OUI"),"",$A90&amp;"|"&amp;$B90&amp;"|"&amp;$C90&amp;"|"&amp;$D90&amp;"|"&amp;$E90&amp;"|"&amp;$F90&amp;"|"&amp;$G90)</f>
        <v/>
      </c>
    </row>
    <row r="91" ht="15" customHeight="1">
      <c r="A91" s="10" t="n"/>
      <c r="B91" s="10" t="n"/>
      <c r="C91" s="10" t="n"/>
      <c r="D91" s="10" t="n"/>
      <c r="E91" s="9" t="n"/>
      <c r="F91" s="9" t="n"/>
      <c r="G91" s="9" t="n"/>
      <c r="H91" s="11" t="n"/>
      <c r="I91" s="9" t="n"/>
      <c r="J91" s="12">
        <f>IF(OR($A91="",$I91&lt;&gt;"OUI"),"",$A91&amp;"|"&amp;$B91&amp;"|"&amp;$C91&amp;"|"&amp;$D91&amp;"|"&amp;$E91&amp;"|"&amp;$F91&amp;"|"&amp;$G91)</f>
        <v/>
      </c>
    </row>
    <row r="92" ht="15" customHeight="1">
      <c r="A92" s="10" t="n"/>
      <c r="B92" s="10" t="n"/>
      <c r="C92" s="10" t="n"/>
      <c r="D92" s="10" t="n"/>
      <c r="E92" s="9" t="n"/>
      <c r="F92" s="9" t="n"/>
      <c r="G92" s="9" t="n"/>
      <c r="H92" s="11" t="n"/>
      <c r="I92" s="9" t="n"/>
      <c r="J92" s="12">
        <f>IF(OR($A92="",$I92&lt;&gt;"OUI"),"",$A92&amp;"|"&amp;$B92&amp;"|"&amp;$C92&amp;"|"&amp;$D92&amp;"|"&amp;$E92&amp;"|"&amp;$F92&amp;"|"&amp;$G92)</f>
        <v/>
      </c>
    </row>
    <row r="93" ht="15" customHeight="1">
      <c r="A93" s="10" t="n"/>
      <c r="B93" s="10" t="n"/>
      <c r="C93" s="10" t="n"/>
      <c r="D93" s="10" t="n"/>
      <c r="E93" s="9" t="n"/>
      <c r="F93" s="9" t="n"/>
      <c r="G93" s="9" t="n"/>
      <c r="H93" s="11" t="n"/>
      <c r="I93" s="9" t="n"/>
      <c r="J93" s="12">
        <f>IF(OR($A93="",$I93&lt;&gt;"OUI"),"",$A93&amp;"|"&amp;$B93&amp;"|"&amp;$C93&amp;"|"&amp;$D93&amp;"|"&amp;$E93&amp;"|"&amp;$F93&amp;"|"&amp;$G93)</f>
        <v/>
      </c>
    </row>
    <row r="94" ht="15" customHeight="1">
      <c r="A94" s="10" t="n"/>
      <c r="B94" s="10" t="n"/>
      <c r="C94" s="10" t="n"/>
      <c r="D94" s="10" t="n"/>
      <c r="E94" s="9" t="n"/>
      <c r="F94" s="9" t="n"/>
      <c r="G94" s="9" t="n"/>
      <c r="H94" s="11" t="n"/>
      <c r="I94" s="9" t="n"/>
      <c r="J94" s="12">
        <f>IF(OR($A94="",$I94&lt;&gt;"OUI"),"",$A94&amp;"|"&amp;$B94&amp;"|"&amp;$C94&amp;"|"&amp;$D94&amp;"|"&amp;$E94&amp;"|"&amp;$F94&amp;"|"&amp;$G94)</f>
        <v/>
      </c>
    </row>
    <row r="95" ht="15" customHeight="1">
      <c r="A95" s="10" t="n"/>
      <c r="B95" s="10" t="n"/>
      <c r="C95" s="10" t="n"/>
      <c r="D95" s="10" t="n"/>
      <c r="E95" s="9" t="n"/>
      <c r="F95" s="9" t="n"/>
      <c r="G95" s="9" t="n"/>
      <c r="H95" s="11" t="n"/>
      <c r="I95" s="9" t="n"/>
      <c r="J95" s="12">
        <f>IF(OR($A95="",$I95&lt;&gt;"OUI"),"",$A95&amp;"|"&amp;$B95&amp;"|"&amp;$C95&amp;"|"&amp;$D95&amp;"|"&amp;$E95&amp;"|"&amp;$F95&amp;"|"&amp;$G95)</f>
        <v/>
      </c>
    </row>
    <row r="96" ht="15" customHeight="1">
      <c r="A96" s="10" t="n"/>
      <c r="B96" s="10" t="n"/>
      <c r="C96" s="10" t="n"/>
      <c r="D96" s="10" t="n"/>
      <c r="E96" s="9" t="n"/>
      <c r="F96" s="9" t="n"/>
      <c r="G96" s="9" t="n"/>
      <c r="H96" s="11" t="n"/>
      <c r="I96" s="9" t="n"/>
      <c r="J96" s="12">
        <f>IF(OR($A96="",$I96&lt;&gt;"OUI"),"",$A96&amp;"|"&amp;$B96&amp;"|"&amp;$C96&amp;"|"&amp;$D96&amp;"|"&amp;$E96&amp;"|"&amp;$F96&amp;"|"&amp;$G96)</f>
        <v/>
      </c>
    </row>
    <row r="97" ht="15" customHeight="1">
      <c r="A97" s="10" t="n"/>
      <c r="B97" s="10" t="n"/>
      <c r="C97" s="10" t="n"/>
      <c r="D97" s="10" t="n"/>
      <c r="E97" s="9" t="n"/>
      <c r="F97" s="9" t="n"/>
      <c r="G97" s="9" t="n"/>
      <c r="H97" s="11" t="n"/>
      <c r="I97" s="9" t="n"/>
      <c r="J97" s="12">
        <f>IF(OR($A97="",$I97&lt;&gt;"OUI"),"",$A97&amp;"|"&amp;$B97&amp;"|"&amp;$C97&amp;"|"&amp;$D97&amp;"|"&amp;$E97&amp;"|"&amp;$F97&amp;"|"&amp;$G97)</f>
        <v/>
      </c>
    </row>
    <row r="98" ht="15" customHeight="1">
      <c r="A98" s="10" t="n"/>
      <c r="B98" s="10" t="n"/>
      <c r="C98" s="10" t="n"/>
      <c r="D98" s="10" t="n"/>
      <c r="E98" s="9" t="n"/>
      <c r="F98" s="9" t="n"/>
      <c r="G98" s="9" t="n"/>
      <c r="H98" s="11" t="n"/>
      <c r="I98" s="9" t="n"/>
      <c r="J98" s="12">
        <f>IF(OR($A98="",$I98&lt;&gt;"OUI"),"",$A98&amp;"|"&amp;$B98&amp;"|"&amp;$C98&amp;"|"&amp;$D98&amp;"|"&amp;$E98&amp;"|"&amp;$F98&amp;"|"&amp;$G98)</f>
        <v/>
      </c>
    </row>
    <row r="99" ht="15" customHeight="1">
      <c r="A99" s="10" t="n"/>
      <c r="B99" s="10" t="n"/>
      <c r="C99" s="10" t="n"/>
      <c r="D99" s="10" t="n"/>
      <c r="E99" s="9" t="n"/>
      <c r="F99" s="9" t="n"/>
      <c r="G99" s="9" t="n"/>
      <c r="H99" s="11" t="n"/>
      <c r="I99" s="9" t="n"/>
      <c r="J99" s="12">
        <f>IF(OR($A99="",$I99&lt;&gt;"OUI"),"",$A99&amp;"|"&amp;$B99&amp;"|"&amp;$C99&amp;"|"&amp;$D99&amp;"|"&amp;$E99&amp;"|"&amp;$F99&amp;"|"&amp;$G99)</f>
        <v/>
      </c>
    </row>
    <row r="100" ht="15" customHeight="1">
      <c r="A100" s="10" t="n"/>
      <c r="B100" s="10" t="n"/>
      <c r="C100" s="10" t="n"/>
      <c r="D100" s="10" t="n"/>
      <c r="E100" s="9" t="n"/>
      <c r="F100" s="9" t="n"/>
      <c r="G100" s="9" t="n"/>
      <c r="H100" s="11" t="n"/>
      <c r="I100" s="9" t="n"/>
      <c r="J100" s="12">
        <f>IF(OR($A100="",$I100&lt;&gt;"OUI"),"",$A100&amp;"|"&amp;$B100&amp;"|"&amp;$C100&amp;"|"&amp;$D100&amp;"|"&amp;$E100&amp;"|"&amp;$F100&amp;"|"&amp;$G100)</f>
        <v/>
      </c>
    </row>
    <row r="101" ht="15" customHeight="1">
      <c r="A101" s="10" t="n"/>
      <c r="B101" s="10" t="n"/>
      <c r="C101" s="10" t="n"/>
      <c r="D101" s="10" t="n"/>
      <c r="E101" s="9" t="n"/>
      <c r="F101" s="9" t="n"/>
      <c r="G101" s="9" t="n"/>
      <c r="H101" s="11" t="n"/>
      <c r="I101" s="9" t="n"/>
      <c r="J101" s="12">
        <f>IF(OR($A101="",$I101&lt;&gt;"OUI"),"",$A101&amp;"|"&amp;$B101&amp;"|"&amp;$C101&amp;"|"&amp;$D101&amp;"|"&amp;$E101&amp;"|"&amp;$F101&amp;"|"&amp;$G101)</f>
        <v/>
      </c>
    </row>
    <row r="102" ht="15" customHeight="1">
      <c r="A102" s="10" t="n"/>
      <c r="B102" s="10" t="n"/>
      <c r="C102" s="10" t="n"/>
      <c r="D102" s="10" t="n"/>
      <c r="E102" s="9" t="n"/>
      <c r="F102" s="9" t="n"/>
      <c r="G102" s="9" t="n"/>
      <c r="H102" s="11" t="n"/>
      <c r="I102" s="9" t="n"/>
      <c r="J102" s="12">
        <f>IF(OR($A102="",$I102&lt;&gt;"OUI"),"",$A102&amp;"|"&amp;$B102&amp;"|"&amp;$C102&amp;"|"&amp;$D102&amp;"|"&amp;$E102&amp;"|"&amp;$F102&amp;"|"&amp;$G102)</f>
        <v/>
      </c>
    </row>
    <row r="103" ht="15" customHeight="1">
      <c r="A103" s="10" t="n"/>
      <c r="B103" s="10" t="n"/>
      <c r="C103" s="10" t="n"/>
      <c r="D103" s="10" t="n"/>
      <c r="E103" s="9" t="n"/>
      <c r="F103" s="9" t="n"/>
      <c r="G103" s="9" t="n"/>
      <c r="H103" s="11" t="n"/>
      <c r="I103" s="9" t="n"/>
      <c r="J103" s="12">
        <f>IF(OR($A103="",$I103&lt;&gt;"OUI"),"",$A103&amp;"|"&amp;$B103&amp;"|"&amp;$C103&amp;"|"&amp;$D103&amp;"|"&amp;$E103&amp;"|"&amp;$F103&amp;"|"&amp;$G103)</f>
        <v/>
      </c>
    </row>
    <row r="104" ht="15" customHeight="1">
      <c r="A104" s="10" t="n"/>
      <c r="B104" s="10" t="n"/>
      <c r="C104" s="10" t="n"/>
      <c r="D104" s="10" t="n"/>
      <c r="E104" s="9" t="n"/>
      <c r="F104" s="9" t="n"/>
      <c r="G104" s="9" t="n"/>
      <c r="H104" s="11" t="n"/>
      <c r="I104" s="9" t="n"/>
      <c r="J104" s="12">
        <f>IF(OR($A104="",$I104&lt;&gt;"OUI"),"",$A104&amp;"|"&amp;$B104&amp;"|"&amp;$C104&amp;"|"&amp;$D104&amp;"|"&amp;$E104&amp;"|"&amp;$F104&amp;"|"&amp;$G104)</f>
        <v/>
      </c>
    </row>
    <row r="105" ht="15" customHeight="1">
      <c r="A105" s="10" t="n"/>
      <c r="B105" s="10" t="n"/>
      <c r="C105" s="10" t="n"/>
      <c r="D105" s="10" t="n"/>
      <c r="E105" s="9" t="n"/>
      <c r="F105" s="9" t="n"/>
      <c r="G105" s="9" t="n"/>
      <c r="H105" s="11" t="n"/>
      <c r="I105" s="9" t="n"/>
      <c r="J105" s="12">
        <f>IF(OR($A105="",$I105&lt;&gt;"OUI"),"",$A105&amp;"|"&amp;$B105&amp;"|"&amp;$C105&amp;"|"&amp;$D105&amp;"|"&amp;$E105&amp;"|"&amp;$F105&amp;"|"&amp;$G105)</f>
        <v/>
      </c>
    </row>
    <row r="106" ht="15" customHeight="1">
      <c r="A106" s="10" t="n"/>
      <c r="B106" s="10" t="n"/>
      <c r="C106" s="10" t="n"/>
      <c r="D106" s="10" t="n"/>
      <c r="E106" s="9" t="n"/>
      <c r="F106" s="9" t="n"/>
      <c r="G106" s="9" t="n"/>
      <c r="H106" s="11" t="n"/>
      <c r="I106" s="9" t="n"/>
      <c r="J106" s="12">
        <f>IF(OR($A106="",$I106&lt;&gt;"OUI"),"",$A106&amp;"|"&amp;$B106&amp;"|"&amp;$C106&amp;"|"&amp;$D106&amp;"|"&amp;$E106&amp;"|"&amp;$F106&amp;"|"&amp;$G106)</f>
        <v/>
      </c>
    </row>
    <row r="107" ht="15" customHeight="1">
      <c r="A107" s="10" t="n"/>
      <c r="B107" s="10" t="n"/>
      <c r="C107" s="10" t="n"/>
      <c r="D107" s="10" t="n"/>
      <c r="E107" s="9" t="n"/>
      <c r="F107" s="9" t="n"/>
      <c r="G107" s="9" t="n"/>
      <c r="H107" s="11" t="n"/>
      <c r="I107" s="9" t="n"/>
      <c r="J107" s="12">
        <f>IF(OR($A107="",$I107&lt;&gt;"OUI"),"",$A107&amp;"|"&amp;$B107&amp;"|"&amp;$C107&amp;"|"&amp;$D107&amp;"|"&amp;$E107&amp;"|"&amp;$F107&amp;"|"&amp;$G107)</f>
        <v/>
      </c>
    </row>
    <row r="108" ht="15" customHeight="1">
      <c r="A108" s="10" t="n"/>
      <c r="B108" s="10" t="n"/>
      <c r="C108" s="10" t="n"/>
      <c r="D108" s="10" t="n"/>
      <c r="E108" s="9" t="n"/>
      <c r="F108" s="9" t="n"/>
      <c r="G108" s="9" t="n"/>
      <c r="H108" s="11" t="n"/>
      <c r="I108" s="9" t="n"/>
      <c r="J108" s="12">
        <f>IF(OR($A108="",$I108&lt;&gt;"OUI"),"",$A108&amp;"|"&amp;$B108&amp;"|"&amp;$C108&amp;"|"&amp;$D108&amp;"|"&amp;$E108&amp;"|"&amp;$F108&amp;"|"&amp;$G108)</f>
        <v/>
      </c>
    </row>
    <row r="109" ht="15" customHeight="1">
      <c r="A109" s="10" t="n"/>
      <c r="B109" s="10" t="n"/>
      <c r="C109" s="10" t="n"/>
      <c r="D109" s="10" t="n"/>
      <c r="E109" s="9" t="n"/>
      <c r="F109" s="9" t="n"/>
      <c r="G109" s="9" t="n"/>
      <c r="H109" s="11" t="n"/>
      <c r="I109" s="9" t="n"/>
      <c r="J109" s="12">
        <f>IF(OR($A109="",$I109&lt;&gt;"OUI"),"",$A109&amp;"|"&amp;$B109&amp;"|"&amp;$C109&amp;"|"&amp;$D109&amp;"|"&amp;$E109&amp;"|"&amp;$F109&amp;"|"&amp;$G109)</f>
        <v/>
      </c>
    </row>
    <row r="110" ht="15" customHeight="1">
      <c r="A110" s="10" t="n"/>
      <c r="B110" s="10" t="n"/>
      <c r="C110" s="10" t="n"/>
      <c r="D110" s="10" t="n"/>
      <c r="E110" s="9" t="n"/>
      <c r="F110" s="9" t="n"/>
      <c r="G110" s="9" t="n"/>
      <c r="H110" s="11" t="n"/>
      <c r="I110" s="9" t="n"/>
      <c r="J110" s="12">
        <f>IF(OR($A110="",$I110&lt;&gt;"OUI"),"",$A110&amp;"|"&amp;$B110&amp;"|"&amp;$C110&amp;"|"&amp;$D110&amp;"|"&amp;$E110&amp;"|"&amp;$F110&amp;"|"&amp;$G110)</f>
        <v/>
      </c>
    </row>
    <row r="111" ht="15" customHeight="1">
      <c r="A111" s="10" t="n"/>
      <c r="B111" s="10" t="n"/>
      <c r="C111" s="10" t="n"/>
      <c r="D111" s="10" t="n"/>
      <c r="E111" s="9" t="n"/>
      <c r="F111" s="9" t="n"/>
      <c r="G111" s="9" t="n"/>
      <c r="H111" s="11" t="n"/>
      <c r="I111" s="9" t="n"/>
      <c r="J111" s="12">
        <f>IF(OR($A111="",$I111&lt;&gt;"OUI"),"",$A111&amp;"|"&amp;$B111&amp;"|"&amp;$C111&amp;"|"&amp;$D111&amp;"|"&amp;$E111&amp;"|"&amp;$F111&amp;"|"&amp;$G111)</f>
        <v/>
      </c>
    </row>
    <row r="112" ht="15" customHeight="1">
      <c r="A112" s="10" t="n"/>
      <c r="B112" s="10" t="n"/>
      <c r="C112" s="10" t="n"/>
      <c r="D112" s="10" t="n"/>
      <c r="E112" s="9" t="n"/>
      <c r="F112" s="9" t="n"/>
      <c r="G112" s="9" t="n"/>
      <c r="H112" s="11" t="n"/>
      <c r="I112" s="9" t="n"/>
      <c r="J112" s="12">
        <f>IF(OR($A112="",$I112&lt;&gt;"OUI"),"",$A112&amp;"|"&amp;$B112&amp;"|"&amp;$C112&amp;"|"&amp;$D112&amp;"|"&amp;$E112&amp;"|"&amp;$F112&amp;"|"&amp;$G112)</f>
        <v/>
      </c>
    </row>
    <row r="113" ht="15" customHeight="1">
      <c r="A113" s="10" t="n"/>
      <c r="B113" s="10" t="n"/>
      <c r="C113" s="10" t="n"/>
      <c r="D113" s="10" t="n"/>
      <c r="E113" s="9" t="n"/>
      <c r="F113" s="9" t="n"/>
      <c r="G113" s="9" t="n"/>
      <c r="H113" s="11" t="n"/>
      <c r="I113" s="9" t="n"/>
      <c r="J113" s="12">
        <f>IF(OR($A113="",$I113&lt;&gt;"OUI"),"",$A113&amp;"|"&amp;$B113&amp;"|"&amp;$C113&amp;"|"&amp;$D113&amp;"|"&amp;$E113&amp;"|"&amp;$F113&amp;"|"&amp;$G113)</f>
        <v/>
      </c>
    </row>
    <row r="114" ht="15" customHeight="1">
      <c r="A114" s="10" t="n"/>
      <c r="B114" s="10" t="n"/>
      <c r="C114" s="10" t="n"/>
      <c r="D114" s="10" t="n"/>
      <c r="E114" s="9" t="n"/>
      <c r="F114" s="9" t="n"/>
      <c r="G114" s="9" t="n"/>
      <c r="H114" s="11" t="n"/>
      <c r="I114" s="9" t="n"/>
      <c r="J114" s="12">
        <f>IF(OR($A114="",$I114&lt;&gt;"OUI"),"",$A114&amp;"|"&amp;$B114&amp;"|"&amp;$C114&amp;"|"&amp;$D114&amp;"|"&amp;$E114&amp;"|"&amp;$F114&amp;"|"&amp;$G114)</f>
        <v/>
      </c>
    </row>
    <row r="115" ht="15" customHeight="1">
      <c r="A115" s="10" t="n"/>
      <c r="B115" s="10" t="n"/>
      <c r="C115" s="10" t="n"/>
      <c r="D115" s="10" t="n"/>
      <c r="E115" s="9" t="n"/>
      <c r="F115" s="9" t="n"/>
      <c r="G115" s="9" t="n"/>
      <c r="H115" s="11" t="n"/>
      <c r="I115" s="9" t="n"/>
      <c r="J115" s="12">
        <f>IF(OR($A115="",$I115&lt;&gt;"OUI"),"",$A115&amp;"|"&amp;$B115&amp;"|"&amp;$C115&amp;"|"&amp;$D115&amp;"|"&amp;$E115&amp;"|"&amp;$F115&amp;"|"&amp;$G115)</f>
        <v/>
      </c>
    </row>
    <row r="116" ht="15" customHeight="1">
      <c r="A116" s="10" t="n"/>
      <c r="B116" s="10" t="n"/>
      <c r="C116" s="10" t="n"/>
      <c r="D116" s="10" t="n"/>
      <c r="E116" s="9" t="n"/>
      <c r="F116" s="9" t="n"/>
      <c r="G116" s="9" t="n"/>
      <c r="H116" s="11" t="n"/>
      <c r="I116" s="9" t="n"/>
      <c r="J116" s="12">
        <f>IF(OR($A116="",$I116&lt;&gt;"OUI"),"",$A116&amp;"|"&amp;$B116&amp;"|"&amp;$C116&amp;"|"&amp;$D116&amp;"|"&amp;$E116&amp;"|"&amp;$F116&amp;"|"&amp;$G116)</f>
        <v/>
      </c>
    </row>
    <row r="117" ht="15" customHeight="1">
      <c r="A117" s="10" t="n"/>
      <c r="B117" s="10" t="n"/>
      <c r="C117" s="10" t="n"/>
      <c r="D117" s="10" t="n"/>
      <c r="E117" s="9" t="n"/>
      <c r="F117" s="9" t="n"/>
      <c r="G117" s="9" t="n"/>
      <c r="H117" s="11" t="n"/>
      <c r="I117" s="9" t="n"/>
      <c r="J117" s="12">
        <f>IF(OR($A117="",$I117&lt;&gt;"OUI"),"",$A117&amp;"|"&amp;$B117&amp;"|"&amp;$C117&amp;"|"&amp;$D117&amp;"|"&amp;$E117&amp;"|"&amp;$F117&amp;"|"&amp;$G117)</f>
        <v/>
      </c>
    </row>
    <row r="118" ht="15" customHeight="1">
      <c r="A118" s="10" t="n"/>
      <c r="B118" s="10" t="n"/>
      <c r="C118" s="10" t="n"/>
      <c r="D118" s="10" t="n"/>
      <c r="E118" s="9" t="n"/>
      <c r="F118" s="9" t="n"/>
      <c r="G118" s="9" t="n"/>
      <c r="H118" s="11" t="n"/>
      <c r="I118" s="9" t="n"/>
      <c r="J118" s="12">
        <f>IF(OR($A118="",$I118&lt;&gt;"OUI"),"",$A118&amp;"|"&amp;$B118&amp;"|"&amp;$C118&amp;"|"&amp;$D118&amp;"|"&amp;$E118&amp;"|"&amp;$F118&amp;"|"&amp;$G118)</f>
        <v/>
      </c>
    </row>
    <row r="119" ht="15" customHeight="1">
      <c r="A119" s="10" t="n"/>
      <c r="B119" s="10" t="n"/>
      <c r="C119" s="10" t="n"/>
      <c r="D119" s="10" t="n"/>
      <c r="E119" s="9" t="n"/>
      <c r="F119" s="9" t="n"/>
      <c r="G119" s="9" t="n"/>
      <c r="H119" s="11" t="n"/>
      <c r="I119" s="9" t="n"/>
      <c r="J119" s="12">
        <f>IF(OR($A119="",$I119&lt;&gt;"OUI"),"",$A119&amp;"|"&amp;$B119&amp;"|"&amp;$C119&amp;"|"&amp;$D119&amp;"|"&amp;$E119&amp;"|"&amp;$F119&amp;"|"&amp;$G119)</f>
        <v/>
      </c>
    </row>
    <row r="120" ht="15" customHeight="1">
      <c r="A120" s="10" t="n"/>
      <c r="B120" s="10" t="n"/>
      <c r="C120" s="10" t="n"/>
      <c r="D120" s="10" t="n"/>
      <c r="E120" s="9" t="n"/>
      <c r="F120" s="9" t="n"/>
      <c r="G120" s="9" t="n"/>
      <c r="H120" s="11" t="n"/>
      <c r="I120" s="9" t="n"/>
      <c r="J120" s="12">
        <f>IF(OR($A120="",$I120&lt;&gt;"OUI"),"",$A120&amp;"|"&amp;$B120&amp;"|"&amp;$C120&amp;"|"&amp;$D120&amp;"|"&amp;$E120&amp;"|"&amp;$F120&amp;"|"&amp;$G120)</f>
        <v/>
      </c>
    </row>
    <row r="121" ht="15" customHeight="1">
      <c r="A121" s="10" t="n"/>
      <c r="B121" s="10" t="n"/>
      <c r="C121" s="10" t="n"/>
      <c r="D121" s="10" t="n"/>
      <c r="E121" s="9" t="n"/>
      <c r="F121" s="9" t="n"/>
      <c r="G121" s="9" t="n"/>
      <c r="H121" s="11" t="n"/>
      <c r="I121" s="9" t="n"/>
      <c r="J121" s="12">
        <f>IF(OR($A121="",$I121&lt;&gt;"OUI"),"",$A121&amp;"|"&amp;$B121&amp;"|"&amp;$C121&amp;"|"&amp;$D121&amp;"|"&amp;$E121&amp;"|"&amp;$F121&amp;"|"&amp;$G121)</f>
        <v/>
      </c>
    </row>
    <row r="122" ht="15" customHeight="1">
      <c r="A122" s="10" t="n"/>
      <c r="B122" s="10" t="n"/>
      <c r="C122" s="10" t="n"/>
      <c r="D122" s="10" t="n"/>
      <c r="E122" s="9" t="n"/>
      <c r="F122" s="9" t="n"/>
      <c r="G122" s="9" t="n"/>
      <c r="H122" s="11" t="n"/>
      <c r="I122" s="9" t="n"/>
      <c r="J122" s="12">
        <f>IF(OR($A122="",$I122&lt;&gt;"OUI"),"",$A122&amp;"|"&amp;$B122&amp;"|"&amp;$C122&amp;"|"&amp;$D122&amp;"|"&amp;$E122&amp;"|"&amp;$F122&amp;"|"&amp;$G122)</f>
        <v/>
      </c>
    </row>
    <row r="123" ht="15" customHeight="1">
      <c r="A123" s="10" t="n"/>
      <c r="B123" s="10" t="n"/>
      <c r="C123" s="10" t="n"/>
      <c r="D123" s="10" t="n"/>
      <c r="E123" s="9" t="n"/>
      <c r="F123" s="9" t="n"/>
      <c r="G123" s="9" t="n"/>
      <c r="H123" s="11" t="n"/>
      <c r="I123" s="9" t="n"/>
      <c r="J123" s="12">
        <f>IF(OR($A123="",$I123&lt;&gt;"OUI"),"",$A123&amp;"|"&amp;$B123&amp;"|"&amp;$C123&amp;"|"&amp;$D123&amp;"|"&amp;$E123&amp;"|"&amp;$F123&amp;"|"&amp;$G123)</f>
        <v/>
      </c>
    </row>
    <row r="124" ht="15" customHeight="1">
      <c r="A124" s="10" t="n"/>
      <c r="B124" s="10" t="n"/>
      <c r="C124" s="10" t="n"/>
      <c r="D124" s="10" t="n"/>
      <c r="E124" s="9" t="n"/>
      <c r="F124" s="9" t="n"/>
      <c r="G124" s="9" t="n"/>
      <c r="H124" s="11" t="n"/>
      <c r="I124" s="9" t="n"/>
      <c r="J124" s="12">
        <f>IF(OR($A124="",$I124&lt;&gt;"OUI"),"",$A124&amp;"|"&amp;$B124&amp;"|"&amp;$C124&amp;"|"&amp;$D124&amp;"|"&amp;$E124&amp;"|"&amp;$F124&amp;"|"&amp;$G124)</f>
        <v/>
      </c>
    </row>
    <row r="125" ht="15" customHeight="1">
      <c r="A125" s="10" t="n"/>
      <c r="B125" s="10" t="n"/>
      <c r="C125" s="10" t="n"/>
      <c r="D125" s="10" t="n"/>
      <c r="E125" s="9" t="n"/>
      <c r="F125" s="9" t="n"/>
      <c r="G125" s="9" t="n"/>
      <c r="H125" s="11" t="n"/>
      <c r="I125" s="9" t="n"/>
      <c r="J125" s="12">
        <f>IF(OR($A125="",$I125&lt;&gt;"OUI"),"",$A125&amp;"|"&amp;$B125&amp;"|"&amp;$C125&amp;"|"&amp;$D125&amp;"|"&amp;$E125&amp;"|"&amp;$F125&amp;"|"&amp;$G125)</f>
        <v/>
      </c>
    </row>
    <row r="126" ht="15" customHeight="1">
      <c r="A126" s="10" t="n"/>
      <c r="B126" s="10" t="n"/>
      <c r="C126" s="10" t="n"/>
      <c r="D126" s="10" t="n"/>
      <c r="E126" s="9" t="n"/>
      <c r="F126" s="9" t="n"/>
      <c r="G126" s="9" t="n"/>
      <c r="H126" s="11" t="n"/>
      <c r="I126" s="9" t="n"/>
      <c r="J126" s="12">
        <f>IF(OR($A126="",$I126&lt;&gt;"OUI"),"",$A126&amp;"|"&amp;$B126&amp;"|"&amp;$C126&amp;"|"&amp;$D126&amp;"|"&amp;$E126&amp;"|"&amp;$F126&amp;"|"&amp;$G126)</f>
        <v/>
      </c>
    </row>
    <row r="127" ht="15" customHeight="1">
      <c r="A127" s="10" t="n"/>
      <c r="B127" s="10" t="n"/>
      <c r="C127" s="10" t="n"/>
      <c r="D127" s="10" t="n"/>
      <c r="E127" s="9" t="n"/>
      <c r="F127" s="9" t="n"/>
      <c r="G127" s="9" t="n"/>
      <c r="H127" s="11" t="n"/>
      <c r="I127" s="9" t="n"/>
      <c r="J127" s="12">
        <f>IF(OR($A127="",$I127&lt;&gt;"OUI"),"",$A127&amp;"|"&amp;$B127&amp;"|"&amp;$C127&amp;"|"&amp;$D127&amp;"|"&amp;$E127&amp;"|"&amp;$F127&amp;"|"&amp;$G127)</f>
        <v/>
      </c>
    </row>
    <row r="128" ht="15" customHeight="1">
      <c r="A128" s="10" t="n"/>
      <c r="B128" s="10" t="n"/>
      <c r="C128" s="10" t="n"/>
      <c r="D128" s="10" t="n"/>
      <c r="E128" s="9" t="n"/>
      <c r="F128" s="9" t="n"/>
      <c r="G128" s="9" t="n"/>
      <c r="H128" s="11" t="n"/>
      <c r="I128" s="9" t="n"/>
      <c r="J128" s="12">
        <f>IF(OR($A128="",$I128&lt;&gt;"OUI"),"",$A128&amp;"|"&amp;$B128&amp;"|"&amp;$C128&amp;"|"&amp;$D128&amp;"|"&amp;$E128&amp;"|"&amp;$F128&amp;"|"&amp;$G128)</f>
        <v/>
      </c>
    </row>
    <row r="129" ht="15" customHeight="1">
      <c r="A129" s="10" t="n"/>
      <c r="B129" s="10" t="n"/>
      <c r="C129" s="10" t="n"/>
      <c r="D129" s="10" t="n"/>
      <c r="E129" s="9" t="n"/>
      <c r="F129" s="9" t="n"/>
      <c r="G129" s="9" t="n"/>
      <c r="H129" s="11" t="n"/>
      <c r="I129" s="9" t="n"/>
      <c r="J129" s="12">
        <f>IF(OR($A129="",$I129&lt;&gt;"OUI"),"",$A129&amp;"|"&amp;$B129&amp;"|"&amp;$C129&amp;"|"&amp;$D129&amp;"|"&amp;$E129&amp;"|"&amp;$F129&amp;"|"&amp;$G129)</f>
        <v/>
      </c>
    </row>
    <row r="130" ht="15" customHeight="1">
      <c r="A130" s="10" t="n"/>
      <c r="B130" s="10" t="n"/>
      <c r="C130" s="10" t="n"/>
      <c r="D130" s="10" t="n"/>
      <c r="E130" s="9" t="n"/>
      <c r="F130" s="9" t="n"/>
      <c r="G130" s="9" t="n"/>
      <c r="H130" s="11" t="n"/>
      <c r="I130" s="9" t="n"/>
      <c r="J130" s="12">
        <f>IF(OR($A130="",$I130&lt;&gt;"OUI"),"",$A130&amp;"|"&amp;$B130&amp;"|"&amp;$C130&amp;"|"&amp;$D130&amp;"|"&amp;$E130&amp;"|"&amp;$F130&amp;"|"&amp;$G130)</f>
        <v/>
      </c>
    </row>
    <row r="131" ht="15" customHeight="1">
      <c r="A131" s="10" t="n"/>
      <c r="B131" s="10" t="n"/>
      <c r="C131" s="10" t="n"/>
      <c r="D131" s="10" t="n"/>
      <c r="E131" s="9" t="n"/>
      <c r="F131" s="9" t="n"/>
      <c r="G131" s="9" t="n"/>
      <c r="H131" s="11" t="n"/>
      <c r="I131" s="9" t="n"/>
      <c r="J131" s="12">
        <f>IF(OR($A131="",$I131&lt;&gt;"OUI"),"",$A131&amp;"|"&amp;$B131&amp;"|"&amp;$C131&amp;"|"&amp;$D131&amp;"|"&amp;$E131&amp;"|"&amp;$F131&amp;"|"&amp;$G131)</f>
        <v/>
      </c>
    </row>
    <row r="132" ht="15" customHeight="1">
      <c r="A132" s="10" t="n"/>
      <c r="B132" s="10" t="n"/>
      <c r="C132" s="10" t="n"/>
      <c r="D132" s="10" t="n"/>
      <c r="E132" s="9" t="n"/>
      <c r="F132" s="9" t="n"/>
      <c r="G132" s="9" t="n"/>
      <c r="H132" s="11" t="n"/>
      <c r="I132" s="9" t="n"/>
      <c r="J132" s="12">
        <f>IF(OR($A132="",$I132&lt;&gt;"OUI"),"",$A132&amp;"|"&amp;$B132&amp;"|"&amp;$C132&amp;"|"&amp;$D132&amp;"|"&amp;$E132&amp;"|"&amp;$F132&amp;"|"&amp;$G132)</f>
        <v/>
      </c>
    </row>
    <row r="133" ht="15" customHeight="1">
      <c r="A133" s="10" t="n"/>
      <c r="B133" s="10" t="n"/>
      <c r="C133" s="10" t="n"/>
      <c r="D133" s="10" t="n"/>
      <c r="E133" s="9" t="n"/>
      <c r="F133" s="9" t="n"/>
      <c r="G133" s="9" t="n"/>
      <c r="H133" s="11" t="n"/>
      <c r="I133" s="9" t="n"/>
      <c r="J133" s="12">
        <f>IF(OR($A133="",$I133&lt;&gt;"OUI"),"",$A133&amp;"|"&amp;$B133&amp;"|"&amp;$C133&amp;"|"&amp;$D133&amp;"|"&amp;$E133&amp;"|"&amp;$F133&amp;"|"&amp;$G133)</f>
        <v/>
      </c>
    </row>
    <row r="134" ht="15" customHeight="1">
      <c r="A134" s="10" t="n"/>
      <c r="B134" s="10" t="n"/>
      <c r="C134" s="10" t="n"/>
      <c r="D134" s="10" t="n"/>
      <c r="E134" s="9" t="n"/>
      <c r="F134" s="9" t="n"/>
      <c r="G134" s="9" t="n"/>
      <c r="H134" s="11" t="n"/>
      <c r="I134" s="9" t="n"/>
      <c r="J134" s="12">
        <f>IF(OR($A134="",$I134&lt;&gt;"OUI"),"",$A134&amp;"|"&amp;$B134&amp;"|"&amp;$C134&amp;"|"&amp;$D134&amp;"|"&amp;$E134&amp;"|"&amp;$F134&amp;"|"&amp;$G134)</f>
        <v/>
      </c>
    </row>
    <row r="135" ht="15" customHeight="1">
      <c r="A135" s="10" t="n"/>
      <c r="B135" s="10" t="n"/>
      <c r="C135" s="10" t="n"/>
      <c r="D135" s="10" t="n"/>
      <c r="E135" s="9" t="n"/>
      <c r="F135" s="9" t="n"/>
      <c r="G135" s="9" t="n"/>
      <c r="H135" s="11" t="n"/>
      <c r="I135" s="9" t="n"/>
      <c r="J135" s="12">
        <f>IF(OR($A135="",$I135&lt;&gt;"OUI"),"",$A135&amp;"|"&amp;$B135&amp;"|"&amp;$C135&amp;"|"&amp;$D135&amp;"|"&amp;$E135&amp;"|"&amp;$F135&amp;"|"&amp;$G135)</f>
        <v/>
      </c>
    </row>
    <row r="136" ht="15" customHeight="1">
      <c r="A136" s="10" t="n"/>
      <c r="B136" s="10" t="n"/>
      <c r="C136" s="10" t="n"/>
      <c r="D136" s="10" t="n"/>
      <c r="E136" s="9" t="n"/>
      <c r="F136" s="9" t="n"/>
      <c r="G136" s="9" t="n"/>
      <c r="H136" s="11" t="n"/>
      <c r="I136" s="9" t="n"/>
      <c r="J136" s="12">
        <f>IF(OR($A136="",$I136&lt;&gt;"OUI"),"",$A136&amp;"|"&amp;$B136&amp;"|"&amp;$C136&amp;"|"&amp;$D136&amp;"|"&amp;$E136&amp;"|"&amp;$F136&amp;"|"&amp;$G136)</f>
        <v/>
      </c>
    </row>
    <row r="137" ht="15" customHeight="1">
      <c r="A137" s="10" t="n"/>
      <c r="B137" s="10" t="n"/>
      <c r="C137" s="10" t="n"/>
      <c r="D137" s="10" t="n"/>
      <c r="E137" s="9" t="n"/>
      <c r="F137" s="9" t="n"/>
      <c r="G137" s="9" t="n"/>
      <c r="H137" s="11" t="n"/>
      <c r="I137" s="9" t="n"/>
      <c r="J137" s="12">
        <f>IF(OR($A137="",$I137&lt;&gt;"OUI"),"",$A137&amp;"|"&amp;$B137&amp;"|"&amp;$C137&amp;"|"&amp;$D137&amp;"|"&amp;$E137&amp;"|"&amp;$F137&amp;"|"&amp;$G137)</f>
        <v/>
      </c>
    </row>
    <row r="138" ht="15" customHeight="1">
      <c r="A138" s="10" t="n"/>
      <c r="B138" s="10" t="n"/>
      <c r="C138" s="10" t="n"/>
      <c r="D138" s="10" t="n"/>
      <c r="E138" s="9" t="n"/>
      <c r="F138" s="9" t="n"/>
      <c r="G138" s="9" t="n"/>
      <c r="H138" s="11" t="n"/>
      <c r="I138" s="9" t="n"/>
      <c r="J138" s="12">
        <f>IF(OR($A138="",$I138&lt;&gt;"OUI"),"",$A138&amp;"|"&amp;$B138&amp;"|"&amp;$C138&amp;"|"&amp;$D138&amp;"|"&amp;$E138&amp;"|"&amp;$F138&amp;"|"&amp;$G138)</f>
        <v/>
      </c>
    </row>
    <row r="139" ht="15" customHeight="1">
      <c r="A139" s="10" t="n"/>
      <c r="B139" s="10" t="n"/>
      <c r="C139" s="10" t="n"/>
      <c r="D139" s="10" t="n"/>
      <c r="E139" s="9" t="n"/>
      <c r="F139" s="9" t="n"/>
      <c r="G139" s="9" t="n"/>
      <c r="H139" s="11" t="n"/>
      <c r="I139" s="9" t="n"/>
      <c r="J139" s="12">
        <f>IF(OR($A139="",$I139&lt;&gt;"OUI"),"",$A139&amp;"|"&amp;$B139&amp;"|"&amp;$C139&amp;"|"&amp;$D139&amp;"|"&amp;$E139&amp;"|"&amp;$F139&amp;"|"&amp;$G139)</f>
        <v/>
      </c>
    </row>
    <row r="140" ht="15" customHeight="1">
      <c r="A140" s="10" t="n"/>
      <c r="B140" s="10" t="n"/>
      <c r="C140" s="10" t="n"/>
      <c r="D140" s="10" t="n"/>
      <c r="E140" s="9" t="n"/>
      <c r="F140" s="9" t="n"/>
      <c r="G140" s="9" t="n"/>
      <c r="H140" s="11" t="n"/>
      <c r="I140" s="9" t="n"/>
      <c r="J140" s="12">
        <f>IF(OR($A140="",$I140&lt;&gt;"OUI"),"",$A140&amp;"|"&amp;$B140&amp;"|"&amp;$C140&amp;"|"&amp;$D140&amp;"|"&amp;$E140&amp;"|"&amp;$F140&amp;"|"&amp;$G140)</f>
        <v/>
      </c>
    </row>
    <row r="141" ht="15" customHeight="1">
      <c r="A141" s="10" t="n"/>
      <c r="B141" s="10" t="n"/>
      <c r="C141" s="10" t="n"/>
      <c r="D141" s="10" t="n"/>
      <c r="E141" s="9" t="n"/>
      <c r="F141" s="9" t="n"/>
      <c r="G141" s="9" t="n"/>
      <c r="H141" s="11" t="n"/>
      <c r="I141" s="9" t="n"/>
      <c r="J141" s="12">
        <f>IF(OR($A141="",$I141&lt;&gt;"OUI"),"",$A141&amp;"|"&amp;$B141&amp;"|"&amp;$C141&amp;"|"&amp;$D141&amp;"|"&amp;$E141&amp;"|"&amp;$F141&amp;"|"&amp;$G141)</f>
        <v/>
      </c>
    </row>
    <row r="142" ht="15" customHeight="1">
      <c r="A142" s="10" t="n"/>
      <c r="B142" s="10" t="n"/>
      <c r="C142" s="10" t="n"/>
      <c r="D142" s="10" t="n"/>
      <c r="E142" s="9" t="n"/>
      <c r="F142" s="9" t="n"/>
      <c r="G142" s="9" t="n"/>
      <c r="H142" s="11" t="n"/>
      <c r="I142" s="9" t="n"/>
      <c r="J142" s="12">
        <f>IF(OR($A142="",$I142&lt;&gt;"OUI"),"",$A142&amp;"|"&amp;$B142&amp;"|"&amp;$C142&amp;"|"&amp;$D142&amp;"|"&amp;$E142&amp;"|"&amp;$F142&amp;"|"&amp;$G142)</f>
        <v/>
      </c>
    </row>
    <row r="143" ht="15" customHeight="1">
      <c r="A143" s="10" t="n"/>
      <c r="B143" s="10" t="n"/>
      <c r="C143" s="10" t="n"/>
      <c r="D143" s="10" t="n"/>
      <c r="E143" s="9" t="n"/>
      <c r="F143" s="9" t="n"/>
      <c r="G143" s="9" t="n"/>
      <c r="H143" s="11" t="n"/>
      <c r="I143" s="9" t="n"/>
      <c r="J143" s="12">
        <f>IF(OR($A143="",$I143&lt;&gt;"OUI"),"",$A143&amp;"|"&amp;$B143&amp;"|"&amp;$C143&amp;"|"&amp;$D143&amp;"|"&amp;$E143&amp;"|"&amp;$F143&amp;"|"&amp;$G143)</f>
        <v/>
      </c>
    </row>
    <row r="144" ht="15" customHeight="1">
      <c r="A144" s="10" t="n"/>
      <c r="B144" s="10" t="n"/>
      <c r="C144" s="10" t="n"/>
      <c r="D144" s="10" t="n"/>
      <c r="E144" s="9" t="n"/>
      <c r="F144" s="9" t="n"/>
      <c r="G144" s="9" t="n"/>
      <c r="H144" s="11" t="n"/>
      <c r="I144" s="9" t="n"/>
      <c r="J144" s="12">
        <f>IF(OR($A144="",$I144&lt;&gt;"OUI"),"",$A144&amp;"|"&amp;$B144&amp;"|"&amp;$C144&amp;"|"&amp;$D144&amp;"|"&amp;$E144&amp;"|"&amp;$F144&amp;"|"&amp;$G144)</f>
        <v/>
      </c>
    </row>
    <row r="145" ht="15" customHeight="1">
      <c r="A145" s="10" t="n"/>
      <c r="B145" s="10" t="n"/>
      <c r="C145" s="10" t="n"/>
      <c r="D145" s="10" t="n"/>
      <c r="E145" s="9" t="n"/>
      <c r="F145" s="9" t="n"/>
      <c r="G145" s="9" t="n"/>
      <c r="H145" s="11" t="n"/>
      <c r="I145" s="9" t="n"/>
      <c r="J145" s="12">
        <f>IF(OR($A145="",$I145&lt;&gt;"OUI"),"",$A145&amp;"|"&amp;$B145&amp;"|"&amp;$C145&amp;"|"&amp;$D145&amp;"|"&amp;$E145&amp;"|"&amp;$F145&amp;"|"&amp;$G145)</f>
        <v/>
      </c>
    </row>
    <row r="146" ht="15" customHeight="1">
      <c r="A146" s="10" t="n"/>
      <c r="B146" s="10" t="n"/>
      <c r="C146" s="10" t="n"/>
      <c r="D146" s="10" t="n"/>
      <c r="E146" s="9" t="n"/>
      <c r="F146" s="9" t="n"/>
      <c r="G146" s="9" t="n"/>
      <c r="H146" s="11" t="n"/>
      <c r="I146" s="9" t="n"/>
      <c r="J146" s="12">
        <f>IF(OR($A146="",$I146&lt;&gt;"OUI"),"",$A146&amp;"|"&amp;$B146&amp;"|"&amp;$C146&amp;"|"&amp;$D146&amp;"|"&amp;$E146&amp;"|"&amp;$F146&amp;"|"&amp;$G146)</f>
        <v/>
      </c>
    </row>
    <row r="147" ht="15" customHeight="1">
      <c r="A147" s="10" t="n"/>
      <c r="B147" s="10" t="n"/>
      <c r="C147" s="10" t="n"/>
      <c r="D147" s="10" t="n"/>
      <c r="E147" s="9" t="n"/>
      <c r="F147" s="9" t="n"/>
      <c r="G147" s="9" t="n"/>
      <c r="H147" s="11" t="n"/>
      <c r="I147" s="9" t="n"/>
      <c r="J147" s="12">
        <f>IF(OR($A147="",$I147&lt;&gt;"OUI"),"",$A147&amp;"|"&amp;$B147&amp;"|"&amp;$C147&amp;"|"&amp;$D147&amp;"|"&amp;$E147&amp;"|"&amp;$F147&amp;"|"&amp;$G147)</f>
        <v/>
      </c>
    </row>
    <row r="148" ht="15" customHeight="1">
      <c r="A148" s="10" t="n"/>
      <c r="B148" s="10" t="n"/>
      <c r="C148" s="10" t="n"/>
      <c r="D148" s="10" t="n"/>
      <c r="E148" s="9" t="n"/>
      <c r="F148" s="9" t="n"/>
      <c r="G148" s="9" t="n"/>
      <c r="H148" s="11" t="n"/>
      <c r="I148" s="9" t="n"/>
      <c r="J148" s="12">
        <f>IF(OR($A148="",$I148&lt;&gt;"OUI"),"",$A148&amp;"|"&amp;$B148&amp;"|"&amp;$C148&amp;"|"&amp;$D148&amp;"|"&amp;$E148&amp;"|"&amp;$F148&amp;"|"&amp;$G148)</f>
        <v/>
      </c>
    </row>
    <row r="149" ht="15" customHeight="1">
      <c r="A149" s="10" t="n"/>
      <c r="B149" s="10" t="n"/>
      <c r="C149" s="10" t="n"/>
      <c r="D149" s="10" t="n"/>
      <c r="E149" s="9" t="n"/>
      <c r="F149" s="9" t="n"/>
      <c r="G149" s="9" t="n"/>
      <c r="H149" s="11" t="n"/>
      <c r="I149" s="9" t="n"/>
      <c r="J149" s="12">
        <f>IF(OR($A149="",$I149&lt;&gt;"OUI"),"",$A149&amp;"|"&amp;$B149&amp;"|"&amp;$C149&amp;"|"&amp;$D149&amp;"|"&amp;$E149&amp;"|"&amp;$F149&amp;"|"&amp;$G149)</f>
        <v/>
      </c>
    </row>
    <row r="150" ht="15" customHeight="1">
      <c r="A150" s="10" t="n"/>
      <c r="B150" s="10" t="n"/>
      <c r="C150" s="10" t="n"/>
      <c r="D150" s="10" t="n"/>
      <c r="E150" s="9" t="n"/>
      <c r="F150" s="9" t="n"/>
      <c r="G150" s="9" t="n"/>
      <c r="H150" s="11" t="n"/>
      <c r="I150" s="9" t="n"/>
      <c r="J150" s="12">
        <f>IF(OR($A150="",$I150&lt;&gt;"OUI"),"",$A150&amp;"|"&amp;$B150&amp;"|"&amp;$C150&amp;"|"&amp;$D150&amp;"|"&amp;$E150&amp;"|"&amp;$F150&amp;"|"&amp;$G150)</f>
        <v/>
      </c>
    </row>
    <row r="151" ht="15" customHeight="1">
      <c r="A151" s="10" t="n"/>
      <c r="B151" s="10" t="n"/>
      <c r="C151" s="10" t="n"/>
      <c r="D151" s="10" t="n"/>
      <c r="E151" s="9" t="n"/>
      <c r="F151" s="9" t="n"/>
      <c r="G151" s="9" t="n"/>
      <c r="H151" s="11" t="n"/>
      <c r="I151" s="9" t="n"/>
      <c r="J151" s="12">
        <f>IF(OR($A151="",$I151&lt;&gt;"OUI"),"",$A151&amp;"|"&amp;$B151&amp;"|"&amp;$C151&amp;"|"&amp;$D151&amp;"|"&amp;$E151&amp;"|"&amp;$F151&amp;"|"&amp;$G151)</f>
        <v/>
      </c>
    </row>
    <row r="152" ht="15" customHeight="1">
      <c r="A152" s="10" t="n"/>
      <c r="B152" s="10" t="n"/>
      <c r="C152" s="10" t="n"/>
      <c r="D152" s="10" t="n"/>
      <c r="E152" s="9" t="n"/>
      <c r="F152" s="9" t="n"/>
      <c r="G152" s="9" t="n"/>
      <c r="H152" s="11" t="n"/>
      <c r="I152" s="9" t="n"/>
      <c r="J152" s="12">
        <f>IF(OR($A152="",$I152&lt;&gt;"OUI"),"",$A152&amp;"|"&amp;$B152&amp;"|"&amp;$C152&amp;"|"&amp;$D152&amp;"|"&amp;$E152&amp;"|"&amp;$F152&amp;"|"&amp;$G152)</f>
        <v/>
      </c>
    </row>
    <row r="153" ht="15" customHeight="1">
      <c r="A153" s="10" t="n"/>
      <c r="B153" s="10" t="n"/>
      <c r="C153" s="10" t="n"/>
      <c r="D153" s="10" t="n"/>
      <c r="E153" s="9" t="n"/>
      <c r="F153" s="9" t="n"/>
      <c r="G153" s="9" t="n"/>
      <c r="H153" s="11" t="n"/>
      <c r="I153" s="9" t="n"/>
      <c r="J153" s="12">
        <f>IF(OR($A153="",$I153&lt;&gt;"OUI"),"",$A153&amp;"|"&amp;$B153&amp;"|"&amp;$C153&amp;"|"&amp;$D153&amp;"|"&amp;$E153&amp;"|"&amp;$F153&amp;"|"&amp;$G153)</f>
        <v/>
      </c>
    </row>
    <row r="154" ht="15" customHeight="1">
      <c r="A154" s="10" t="n"/>
      <c r="B154" s="10" t="n"/>
      <c r="C154" s="10" t="n"/>
      <c r="D154" s="10" t="n"/>
      <c r="E154" s="9" t="n"/>
      <c r="F154" s="9" t="n"/>
      <c r="G154" s="9" t="n"/>
      <c r="H154" s="11" t="n"/>
      <c r="I154" s="9" t="n"/>
      <c r="J154" s="12">
        <f>IF(OR($A154="",$I154&lt;&gt;"OUI"),"",$A154&amp;"|"&amp;$B154&amp;"|"&amp;$C154&amp;"|"&amp;$D154&amp;"|"&amp;$E154&amp;"|"&amp;$F154&amp;"|"&amp;$G154)</f>
        <v/>
      </c>
    </row>
    <row r="155" ht="15" customHeight="1">
      <c r="A155" s="10" t="n"/>
      <c r="B155" s="10" t="n"/>
      <c r="C155" s="10" t="n"/>
      <c r="D155" s="10" t="n"/>
      <c r="E155" s="9" t="n"/>
      <c r="F155" s="9" t="n"/>
      <c r="G155" s="9" t="n"/>
      <c r="H155" s="11" t="n"/>
      <c r="I155" s="9" t="n"/>
      <c r="J155" s="12">
        <f>IF(OR($A155="",$I155&lt;&gt;"OUI"),"",$A155&amp;"|"&amp;$B155&amp;"|"&amp;$C155&amp;"|"&amp;$D155&amp;"|"&amp;$E155&amp;"|"&amp;$F155&amp;"|"&amp;$G155)</f>
        <v/>
      </c>
    </row>
    <row r="156" ht="15" customHeight="1">
      <c r="A156" s="10" t="n"/>
      <c r="B156" s="10" t="n"/>
      <c r="C156" s="10" t="n"/>
      <c r="D156" s="10" t="n"/>
      <c r="E156" s="9" t="n"/>
      <c r="F156" s="9" t="n"/>
      <c r="G156" s="9" t="n"/>
      <c r="H156" s="11" t="n"/>
      <c r="I156" s="9" t="n"/>
      <c r="J156" s="12">
        <f>IF(OR($A156="",$I156&lt;&gt;"OUI"),"",$A156&amp;"|"&amp;$B156&amp;"|"&amp;$C156&amp;"|"&amp;$D156&amp;"|"&amp;$E156&amp;"|"&amp;$F156&amp;"|"&amp;$G156)</f>
        <v/>
      </c>
    </row>
    <row r="157" ht="15" customHeight="1">
      <c r="A157" s="10" t="n"/>
      <c r="B157" s="10" t="n"/>
      <c r="C157" s="10" t="n"/>
      <c r="D157" s="10" t="n"/>
      <c r="E157" s="9" t="n"/>
      <c r="F157" s="9" t="n"/>
      <c r="G157" s="9" t="n"/>
      <c r="H157" s="11" t="n"/>
      <c r="I157" s="9" t="n"/>
      <c r="J157" s="12">
        <f>IF(OR($A157="",$I157&lt;&gt;"OUI"),"",$A157&amp;"|"&amp;$B157&amp;"|"&amp;$C157&amp;"|"&amp;$D157&amp;"|"&amp;$E157&amp;"|"&amp;$F157&amp;"|"&amp;$G157)</f>
        <v/>
      </c>
    </row>
    <row r="158" ht="15" customHeight="1">
      <c r="A158" s="10" t="n"/>
      <c r="B158" s="10" t="n"/>
      <c r="C158" s="10" t="n"/>
      <c r="D158" s="10" t="n"/>
      <c r="E158" s="9" t="n"/>
      <c r="F158" s="9" t="n"/>
      <c r="G158" s="9" t="n"/>
      <c r="H158" s="11" t="n"/>
      <c r="I158" s="9" t="n"/>
      <c r="J158" s="12">
        <f>IF(OR($A158="",$I158&lt;&gt;"OUI"),"",$A158&amp;"|"&amp;$B158&amp;"|"&amp;$C158&amp;"|"&amp;$D158&amp;"|"&amp;$E158&amp;"|"&amp;$F158&amp;"|"&amp;$G158)</f>
        <v/>
      </c>
    </row>
    <row r="159" ht="15" customHeight="1">
      <c r="A159" s="10" t="n"/>
      <c r="B159" s="10" t="n"/>
      <c r="C159" s="10" t="n"/>
      <c r="D159" s="10" t="n"/>
      <c r="E159" s="9" t="n"/>
      <c r="F159" s="9" t="n"/>
      <c r="G159" s="9" t="n"/>
      <c r="H159" s="11" t="n"/>
      <c r="I159" s="9" t="n"/>
      <c r="J159" s="12">
        <f>IF(OR($A159="",$I159&lt;&gt;"OUI"),"",$A159&amp;"|"&amp;$B159&amp;"|"&amp;$C159&amp;"|"&amp;$D159&amp;"|"&amp;$E159&amp;"|"&amp;$F159&amp;"|"&amp;$G159)</f>
        <v/>
      </c>
    </row>
    <row r="160" ht="15" customHeight="1">
      <c r="A160" s="10" t="n"/>
      <c r="B160" s="10" t="n"/>
      <c r="C160" s="10" t="n"/>
      <c r="D160" s="10" t="n"/>
      <c r="E160" s="9" t="n"/>
      <c r="F160" s="9" t="n"/>
      <c r="G160" s="9" t="n"/>
      <c r="H160" s="11" t="n"/>
      <c r="I160" s="9" t="n"/>
      <c r="J160" s="12">
        <f>IF(OR($A160="",$I160&lt;&gt;"OUI"),"",$A160&amp;"|"&amp;$B160&amp;"|"&amp;$C160&amp;"|"&amp;$D160&amp;"|"&amp;$E160&amp;"|"&amp;$F160&amp;"|"&amp;$G160)</f>
        <v/>
      </c>
    </row>
    <row r="161" ht="15" customHeight="1">
      <c r="A161" s="10" t="n"/>
      <c r="B161" s="10" t="n"/>
      <c r="C161" s="10" t="n"/>
      <c r="D161" s="10" t="n"/>
      <c r="E161" s="9" t="n"/>
      <c r="F161" s="9" t="n"/>
      <c r="G161" s="9" t="n"/>
      <c r="H161" s="11" t="n"/>
      <c r="I161" s="9" t="n"/>
      <c r="J161" s="12">
        <f>IF(OR($A161="",$I161&lt;&gt;"OUI"),"",$A161&amp;"|"&amp;$B161&amp;"|"&amp;$C161&amp;"|"&amp;$D161&amp;"|"&amp;$E161&amp;"|"&amp;$F161&amp;"|"&amp;$G161)</f>
        <v/>
      </c>
    </row>
    <row r="162" ht="15" customHeight="1">
      <c r="A162" s="10" t="n"/>
      <c r="B162" s="10" t="n"/>
      <c r="C162" s="10" t="n"/>
      <c r="D162" s="10" t="n"/>
      <c r="E162" s="9" t="n"/>
      <c r="F162" s="9" t="n"/>
      <c r="G162" s="9" t="n"/>
      <c r="H162" s="11" t="n"/>
      <c r="I162" s="9" t="n"/>
      <c r="J162" s="12">
        <f>IF(OR($A162="",$I162&lt;&gt;"OUI"),"",$A162&amp;"|"&amp;$B162&amp;"|"&amp;$C162&amp;"|"&amp;$D162&amp;"|"&amp;$E162&amp;"|"&amp;$F162&amp;"|"&amp;$G162)</f>
        <v/>
      </c>
    </row>
    <row r="163" ht="15" customHeight="1">
      <c r="A163" s="10" t="n"/>
      <c r="B163" s="10" t="n"/>
      <c r="C163" s="10" t="n"/>
      <c r="D163" s="10" t="n"/>
      <c r="E163" s="9" t="n"/>
      <c r="F163" s="9" t="n"/>
      <c r="G163" s="9" t="n"/>
      <c r="H163" s="11" t="n"/>
      <c r="I163" s="9" t="n"/>
      <c r="J163" s="12">
        <f>IF(OR($A163="",$I163&lt;&gt;"OUI"),"",$A163&amp;"|"&amp;$B163&amp;"|"&amp;$C163&amp;"|"&amp;$D163&amp;"|"&amp;$E163&amp;"|"&amp;$F163&amp;"|"&amp;$G163)</f>
        <v/>
      </c>
    </row>
    <row r="164" ht="15" customHeight="1">
      <c r="A164" s="10" t="n"/>
      <c r="B164" s="10" t="n"/>
      <c r="C164" s="10" t="n"/>
      <c r="D164" s="10" t="n"/>
      <c r="E164" s="9" t="n"/>
      <c r="F164" s="9" t="n"/>
      <c r="G164" s="9" t="n"/>
      <c r="H164" s="11" t="n"/>
      <c r="I164" s="9" t="n"/>
      <c r="J164" s="12">
        <f>IF(OR($A164="",$I164&lt;&gt;"OUI"),"",$A164&amp;"|"&amp;$B164&amp;"|"&amp;$C164&amp;"|"&amp;$D164&amp;"|"&amp;$E164&amp;"|"&amp;$F164&amp;"|"&amp;$G164)</f>
        <v/>
      </c>
    </row>
    <row r="165" ht="15" customHeight="1">
      <c r="A165" s="10" t="n"/>
      <c r="B165" s="10" t="n"/>
      <c r="C165" s="10" t="n"/>
      <c r="D165" s="10" t="n"/>
      <c r="E165" s="9" t="n"/>
      <c r="F165" s="9" t="n"/>
      <c r="G165" s="9" t="n"/>
      <c r="H165" s="11" t="n"/>
      <c r="I165" s="9" t="n"/>
      <c r="J165" s="12">
        <f>IF(OR($A165="",$I165&lt;&gt;"OUI"),"",$A165&amp;"|"&amp;$B165&amp;"|"&amp;$C165&amp;"|"&amp;$D165&amp;"|"&amp;$E165&amp;"|"&amp;$F165&amp;"|"&amp;$G165)</f>
        <v/>
      </c>
    </row>
    <row r="166" ht="15" customHeight="1">
      <c r="A166" s="10" t="n"/>
      <c r="B166" s="10" t="n"/>
      <c r="C166" s="10" t="n"/>
      <c r="D166" s="10" t="n"/>
      <c r="E166" s="9" t="n"/>
      <c r="F166" s="9" t="n"/>
      <c r="G166" s="9" t="n"/>
      <c r="H166" s="11" t="n"/>
      <c r="I166" s="9" t="n"/>
      <c r="J166" s="12">
        <f>IF(OR($A166="",$I166&lt;&gt;"OUI"),"",$A166&amp;"|"&amp;$B166&amp;"|"&amp;$C166&amp;"|"&amp;$D166&amp;"|"&amp;$E166&amp;"|"&amp;$F166&amp;"|"&amp;$G166)</f>
        <v/>
      </c>
    </row>
    <row r="167" ht="15" customHeight="1">
      <c r="A167" s="10" t="n"/>
      <c r="B167" s="10" t="n"/>
      <c r="C167" s="10" t="n"/>
      <c r="D167" s="10" t="n"/>
      <c r="E167" s="9" t="n"/>
      <c r="F167" s="9" t="n"/>
      <c r="G167" s="9" t="n"/>
      <c r="H167" s="11" t="n"/>
      <c r="I167" s="9" t="n"/>
      <c r="J167" s="12">
        <f>IF(OR($A167="",$I167&lt;&gt;"OUI"),"",$A167&amp;"|"&amp;$B167&amp;"|"&amp;$C167&amp;"|"&amp;$D167&amp;"|"&amp;$E167&amp;"|"&amp;$F167&amp;"|"&amp;$G167)</f>
        <v/>
      </c>
    </row>
    <row r="168" ht="15" customHeight="1">
      <c r="A168" s="10" t="n"/>
      <c r="B168" s="10" t="n"/>
      <c r="C168" s="10" t="n"/>
      <c r="D168" s="10" t="n"/>
      <c r="E168" s="9" t="n"/>
      <c r="F168" s="9" t="n"/>
      <c r="G168" s="9" t="n"/>
      <c r="H168" s="11" t="n"/>
      <c r="I168" s="9" t="n"/>
      <c r="J168" s="12">
        <f>IF(OR($A168="",$I168&lt;&gt;"OUI"),"",$A168&amp;"|"&amp;$B168&amp;"|"&amp;$C168&amp;"|"&amp;$D168&amp;"|"&amp;$E168&amp;"|"&amp;$F168&amp;"|"&amp;$G168)</f>
        <v/>
      </c>
    </row>
    <row r="169" ht="15" customHeight="1">
      <c r="A169" s="10" t="n"/>
      <c r="B169" s="10" t="n"/>
      <c r="C169" s="10" t="n"/>
      <c r="D169" s="10" t="n"/>
      <c r="E169" s="9" t="n"/>
      <c r="F169" s="9" t="n"/>
      <c r="G169" s="9" t="n"/>
      <c r="H169" s="11" t="n"/>
      <c r="I169" s="9" t="n"/>
      <c r="J169" s="12">
        <f>IF(OR($A169="",$I169&lt;&gt;"OUI"),"",$A169&amp;"|"&amp;$B169&amp;"|"&amp;$C169&amp;"|"&amp;$D169&amp;"|"&amp;$E169&amp;"|"&amp;$F169&amp;"|"&amp;$G169)</f>
        <v/>
      </c>
    </row>
    <row r="170" ht="15" customHeight="1">
      <c r="A170" s="10" t="n"/>
      <c r="B170" s="10" t="n"/>
      <c r="C170" s="10" t="n"/>
      <c r="D170" s="10" t="n"/>
      <c r="E170" s="9" t="n"/>
      <c r="F170" s="9" t="n"/>
      <c r="G170" s="9" t="n"/>
      <c r="H170" s="11" t="n"/>
      <c r="I170" s="9" t="n"/>
      <c r="J170" s="12">
        <f>IF(OR($A170="",$I170&lt;&gt;"OUI"),"",$A170&amp;"|"&amp;$B170&amp;"|"&amp;$C170&amp;"|"&amp;$D170&amp;"|"&amp;$E170&amp;"|"&amp;$F170&amp;"|"&amp;$G170)</f>
        <v/>
      </c>
    </row>
    <row r="171" ht="15" customHeight="1">
      <c r="A171" s="10" t="n"/>
      <c r="B171" s="10" t="n"/>
      <c r="C171" s="10" t="n"/>
      <c r="D171" s="10" t="n"/>
      <c r="E171" s="9" t="n"/>
      <c r="F171" s="9" t="n"/>
      <c r="G171" s="9" t="n"/>
      <c r="H171" s="11" t="n"/>
      <c r="I171" s="9" t="n"/>
      <c r="J171" s="12">
        <f>IF(OR($A171="",$I171&lt;&gt;"OUI"),"",$A171&amp;"|"&amp;$B171&amp;"|"&amp;$C171&amp;"|"&amp;$D171&amp;"|"&amp;$E171&amp;"|"&amp;$F171&amp;"|"&amp;$G171)</f>
        <v/>
      </c>
    </row>
    <row r="172" ht="15" customHeight="1">
      <c r="A172" s="10" t="n"/>
      <c r="B172" s="10" t="n"/>
      <c r="C172" s="10" t="n"/>
      <c r="D172" s="10" t="n"/>
      <c r="E172" s="9" t="n"/>
      <c r="F172" s="9" t="n"/>
      <c r="G172" s="9" t="n"/>
      <c r="H172" s="11" t="n"/>
      <c r="I172" s="9" t="n"/>
      <c r="J172" s="12">
        <f>IF(OR($A172="",$I172&lt;&gt;"OUI"),"",$A172&amp;"|"&amp;$B172&amp;"|"&amp;$C172&amp;"|"&amp;$D172&amp;"|"&amp;$E172&amp;"|"&amp;$F172&amp;"|"&amp;$G172)</f>
        <v/>
      </c>
    </row>
    <row r="173" ht="15" customHeight="1">
      <c r="A173" s="10" t="n"/>
      <c r="B173" s="10" t="n"/>
      <c r="C173" s="10" t="n"/>
      <c r="D173" s="10" t="n"/>
      <c r="E173" s="9" t="n"/>
      <c r="F173" s="9" t="n"/>
      <c r="G173" s="9" t="n"/>
      <c r="H173" s="11" t="n"/>
      <c r="I173" s="9" t="n"/>
      <c r="J173" s="12">
        <f>IF(OR($A173="",$I173&lt;&gt;"OUI"),"",$A173&amp;"|"&amp;$B173&amp;"|"&amp;$C173&amp;"|"&amp;$D173&amp;"|"&amp;$E173&amp;"|"&amp;$F173&amp;"|"&amp;$G173)</f>
        <v/>
      </c>
    </row>
    <row r="174" ht="15" customHeight="1">
      <c r="A174" s="10" t="n"/>
      <c r="B174" s="10" t="n"/>
      <c r="C174" s="10" t="n"/>
      <c r="D174" s="10" t="n"/>
      <c r="E174" s="9" t="n"/>
      <c r="F174" s="9" t="n"/>
      <c r="G174" s="9" t="n"/>
      <c r="H174" s="11" t="n"/>
      <c r="I174" s="9" t="n"/>
      <c r="J174" s="12">
        <f>IF(OR($A174="",$I174&lt;&gt;"OUI"),"",$A174&amp;"|"&amp;$B174&amp;"|"&amp;$C174&amp;"|"&amp;$D174&amp;"|"&amp;$E174&amp;"|"&amp;$F174&amp;"|"&amp;$G174)</f>
        <v/>
      </c>
    </row>
    <row r="175" ht="15" customHeight="1">
      <c r="A175" s="10" t="n"/>
      <c r="B175" s="10" t="n"/>
      <c r="C175" s="10" t="n"/>
      <c r="D175" s="10" t="n"/>
      <c r="E175" s="9" t="n"/>
      <c r="F175" s="9" t="n"/>
      <c r="G175" s="9" t="n"/>
      <c r="H175" s="11" t="n"/>
      <c r="I175" s="9" t="n"/>
      <c r="J175" s="12">
        <f>IF(OR($A175="",$I175&lt;&gt;"OUI"),"",$A175&amp;"|"&amp;$B175&amp;"|"&amp;$C175&amp;"|"&amp;$D175&amp;"|"&amp;$E175&amp;"|"&amp;$F175&amp;"|"&amp;$G175)</f>
        <v/>
      </c>
    </row>
    <row r="176" ht="15" customHeight="1">
      <c r="A176" s="10" t="n"/>
      <c r="B176" s="10" t="n"/>
      <c r="C176" s="10" t="n"/>
      <c r="D176" s="10" t="n"/>
      <c r="E176" s="9" t="n"/>
      <c r="F176" s="9" t="n"/>
      <c r="G176" s="9" t="n"/>
      <c r="H176" s="11" t="n"/>
      <c r="I176" s="9" t="n"/>
      <c r="J176" s="12">
        <f>IF(OR($A176="",$I176&lt;&gt;"OUI"),"",$A176&amp;"|"&amp;$B176&amp;"|"&amp;$C176&amp;"|"&amp;$D176&amp;"|"&amp;$E176&amp;"|"&amp;$F176&amp;"|"&amp;$G176)</f>
        <v/>
      </c>
    </row>
    <row r="177" ht="15" customHeight="1">
      <c r="A177" s="10" t="n"/>
      <c r="B177" s="10" t="n"/>
      <c r="C177" s="10" t="n"/>
      <c r="D177" s="10" t="n"/>
      <c r="E177" s="9" t="n"/>
      <c r="F177" s="9" t="n"/>
      <c r="G177" s="9" t="n"/>
      <c r="H177" s="11" t="n"/>
      <c r="I177" s="9" t="n"/>
      <c r="J177" s="12">
        <f>IF(OR($A177="",$I177&lt;&gt;"OUI"),"",$A177&amp;"|"&amp;$B177&amp;"|"&amp;$C177&amp;"|"&amp;$D177&amp;"|"&amp;$E177&amp;"|"&amp;$F177&amp;"|"&amp;$G177)</f>
        <v/>
      </c>
    </row>
    <row r="178" ht="15" customHeight="1">
      <c r="A178" s="10" t="n"/>
      <c r="B178" s="10" t="n"/>
      <c r="C178" s="10" t="n"/>
      <c r="D178" s="10" t="n"/>
      <c r="E178" s="9" t="n"/>
      <c r="F178" s="9" t="n"/>
      <c r="G178" s="9" t="n"/>
      <c r="H178" s="11" t="n"/>
      <c r="I178" s="9" t="n"/>
      <c r="J178" s="12">
        <f>IF(OR($A178="",$I178&lt;&gt;"OUI"),"",$A178&amp;"|"&amp;$B178&amp;"|"&amp;$C178&amp;"|"&amp;$D178&amp;"|"&amp;$E178&amp;"|"&amp;$F178&amp;"|"&amp;$G178)</f>
        <v/>
      </c>
    </row>
    <row r="179" ht="15" customHeight="1">
      <c r="A179" s="10" t="n"/>
      <c r="B179" s="10" t="n"/>
      <c r="C179" s="10" t="n"/>
      <c r="D179" s="10" t="n"/>
      <c r="E179" s="9" t="n"/>
      <c r="F179" s="9" t="n"/>
      <c r="G179" s="9" t="n"/>
      <c r="H179" s="11" t="n"/>
      <c r="I179" s="9" t="n"/>
      <c r="J179" s="12">
        <f>IF(OR($A179="",$I179&lt;&gt;"OUI"),"",$A179&amp;"|"&amp;$B179&amp;"|"&amp;$C179&amp;"|"&amp;$D179&amp;"|"&amp;$E179&amp;"|"&amp;$F179&amp;"|"&amp;$G179)</f>
        <v/>
      </c>
    </row>
    <row r="180" ht="15" customHeight="1">
      <c r="A180" s="10" t="n"/>
      <c r="B180" s="10" t="n"/>
      <c r="C180" s="10" t="n"/>
      <c r="D180" s="10" t="n"/>
      <c r="E180" s="9" t="n"/>
      <c r="F180" s="9" t="n"/>
      <c r="G180" s="9" t="n"/>
      <c r="H180" s="11" t="n"/>
      <c r="I180" s="9" t="n"/>
      <c r="J180" s="12">
        <f>IF(OR($A180="",$I180&lt;&gt;"OUI"),"",$A180&amp;"|"&amp;$B180&amp;"|"&amp;$C180&amp;"|"&amp;$D180&amp;"|"&amp;$E180&amp;"|"&amp;$F180&amp;"|"&amp;$G180)</f>
        <v/>
      </c>
    </row>
    <row r="181" ht="15" customHeight="1">
      <c r="A181" s="10" t="n"/>
      <c r="B181" s="10" t="n"/>
      <c r="C181" s="10" t="n"/>
      <c r="D181" s="10" t="n"/>
      <c r="E181" s="9" t="n"/>
      <c r="F181" s="9" t="n"/>
      <c r="G181" s="9" t="n"/>
      <c r="H181" s="11" t="n"/>
      <c r="I181" s="9" t="n"/>
      <c r="J181" s="12">
        <f>IF(OR($A181="",$I181&lt;&gt;"OUI"),"",$A181&amp;"|"&amp;$B181&amp;"|"&amp;$C181&amp;"|"&amp;$D181&amp;"|"&amp;$E181&amp;"|"&amp;$F181&amp;"|"&amp;$G181)</f>
        <v/>
      </c>
    </row>
    <row r="182" ht="15" customHeight="1">
      <c r="A182" s="10" t="n"/>
      <c r="B182" s="10" t="n"/>
      <c r="C182" s="10" t="n"/>
      <c r="D182" s="10" t="n"/>
      <c r="E182" s="9" t="n"/>
      <c r="F182" s="9" t="n"/>
      <c r="G182" s="9" t="n"/>
      <c r="H182" s="11" t="n"/>
      <c r="I182" s="9" t="n"/>
      <c r="J182" s="12">
        <f>IF(OR($A182="",$I182&lt;&gt;"OUI"),"",$A182&amp;"|"&amp;$B182&amp;"|"&amp;$C182&amp;"|"&amp;$D182&amp;"|"&amp;$E182&amp;"|"&amp;$F182&amp;"|"&amp;$G182)</f>
        <v/>
      </c>
    </row>
    <row r="183" ht="15" customHeight="1">
      <c r="A183" s="10" t="n"/>
      <c r="B183" s="10" t="n"/>
      <c r="C183" s="10" t="n"/>
      <c r="D183" s="10" t="n"/>
      <c r="E183" s="9" t="n"/>
      <c r="F183" s="9" t="n"/>
      <c r="G183" s="9" t="n"/>
      <c r="H183" s="11" t="n"/>
      <c r="I183" s="9" t="n"/>
      <c r="J183" s="12">
        <f>IF(OR($A183="",$I183&lt;&gt;"OUI"),"",$A183&amp;"|"&amp;$B183&amp;"|"&amp;$C183&amp;"|"&amp;$D183&amp;"|"&amp;$E183&amp;"|"&amp;$F183&amp;"|"&amp;$G183)</f>
        <v/>
      </c>
    </row>
    <row r="184" ht="15" customHeight="1">
      <c r="A184" s="10" t="n"/>
      <c r="B184" s="10" t="n"/>
      <c r="C184" s="10" t="n"/>
      <c r="D184" s="10" t="n"/>
      <c r="E184" s="9" t="n"/>
      <c r="F184" s="9" t="n"/>
      <c r="G184" s="9" t="n"/>
      <c r="H184" s="11" t="n"/>
      <c r="I184" s="9" t="n"/>
      <c r="J184" s="12">
        <f>IF(OR($A184="",$I184&lt;&gt;"OUI"),"",$A184&amp;"|"&amp;$B184&amp;"|"&amp;$C184&amp;"|"&amp;$D184&amp;"|"&amp;$E184&amp;"|"&amp;$F184&amp;"|"&amp;$G184)</f>
        <v/>
      </c>
    </row>
    <row r="185" ht="15" customHeight="1">
      <c r="A185" s="10" t="n"/>
      <c r="B185" s="10" t="n"/>
      <c r="C185" s="10" t="n"/>
      <c r="D185" s="10" t="n"/>
      <c r="E185" s="9" t="n"/>
      <c r="F185" s="9" t="n"/>
      <c r="G185" s="9" t="n"/>
      <c r="H185" s="11" t="n"/>
      <c r="I185" s="9" t="n"/>
      <c r="J185" s="12">
        <f>IF(OR($A185="",$I185&lt;&gt;"OUI"),"",$A185&amp;"|"&amp;$B185&amp;"|"&amp;$C185&amp;"|"&amp;$D185&amp;"|"&amp;$E185&amp;"|"&amp;$F185&amp;"|"&amp;$G185)</f>
        <v/>
      </c>
    </row>
    <row r="186" ht="15" customHeight="1">
      <c r="A186" s="10" t="n"/>
      <c r="B186" s="10" t="n"/>
      <c r="C186" s="10" t="n"/>
      <c r="D186" s="10" t="n"/>
      <c r="E186" s="9" t="n"/>
      <c r="F186" s="9" t="n"/>
      <c r="G186" s="9" t="n"/>
      <c r="H186" s="11" t="n"/>
      <c r="I186" s="9" t="n"/>
      <c r="J186" s="12">
        <f>IF(OR($A186="",$I186&lt;&gt;"OUI"),"",$A186&amp;"|"&amp;$B186&amp;"|"&amp;$C186&amp;"|"&amp;$D186&amp;"|"&amp;$E186&amp;"|"&amp;$F186&amp;"|"&amp;$G186)</f>
        <v/>
      </c>
    </row>
    <row r="187" ht="15" customHeight="1">
      <c r="A187" s="10" t="n"/>
      <c r="B187" s="10" t="n"/>
      <c r="C187" s="10" t="n"/>
      <c r="D187" s="10" t="n"/>
      <c r="E187" s="9" t="n"/>
      <c r="F187" s="9" t="n"/>
      <c r="G187" s="9" t="n"/>
      <c r="H187" s="11" t="n"/>
      <c r="I187" s="9" t="n"/>
      <c r="J187" s="12">
        <f>IF(OR($A187="",$I187&lt;&gt;"OUI"),"",$A187&amp;"|"&amp;$B187&amp;"|"&amp;$C187&amp;"|"&amp;$D187&amp;"|"&amp;$E187&amp;"|"&amp;$F187&amp;"|"&amp;$G187)</f>
        <v/>
      </c>
    </row>
    <row r="188" ht="15" customHeight="1">
      <c r="A188" s="10" t="n"/>
      <c r="B188" s="10" t="n"/>
      <c r="C188" s="10" t="n"/>
      <c r="D188" s="10" t="n"/>
      <c r="E188" s="9" t="n"/>
      <c r="F188" s="9" t="n"/>
      <c r="G188" s="9" t="n"/>
      <c r="H188" s="11" t="n"/>
      <c r="I188" s="9" t="n"/>
      <c r="J188" s="12">
        <f>IF(OR($A188="",$I188&lt;&gt;"OUI"),"",$A188&amp;"|"&amp;$B188&amp;"|"&amp;$C188&amp;"|"&amp;$D188&amp;"|"&amp;$E188&amp;"|"&amp;$F188&amp;"|"&amp;$G188)</f>
        <v/>
      </c>
    </row>
    <row r="189" ht="15" customHeight="1">
      <c r="A189" s="10" t="n"/>
      <c r="B189" s="10" t="n"/>
      <c r="C189" s="10" t="n"/>
      <c r="D189" s="10" t="n"/>
      <c r="E189" s="9" t="n"/>
      <c r="F189" s="9" t="n"/>
      <c r="G189" s="9" t="n"/>
      <c r="H189" s="11" t="n"/>
      <c r="I189" s="9" t="n"/>
      <c r="J189" s="12">
        <f>IF(OR($A189="",$I189&lt;&gt;"OUI"),"",$A189&amp;"|"&amp;$B189&amp;"|"&amp;$C189&amp;"|"&amp;$D189&amp;"|"&amp;$E189&amp;"|"&amp;$F189&amp;"|"&amp;$G189)</f>
        <v/>
      </c>
    </row>
    <row r="190" ht="15" customHeight="1">
      <c r="A190" s="10" t="n"/>
      <c r="B190" s="10" t="n"/>
      <c r="C190" s="10" t="n"/>
      <c r="D190" s="10" t="n"/>
      <c r="E190" s="9" t="n"/>
      <c r="F190" s="9" t="n"/>
      <c r="G190" s="9" t="n"/>
      <c r="H190" s="11" t="n"/>
      <c r="I190" s="9" t="n"/>
      <c r="J190" s="12">
        <f>IF(OR($A190="",$I190&lt;&gt;"OUI"),"",$A190&amp;"|"&amp;$B190&amp;"|"&amp;$C190&amp;"|"&amp;$D190&amp;"|"&amp;$E190&amp;"|"&amp;$F190&amp;"|"&amp;$G190)</f>
        <v/>
      </c>
    </row>
    <row r="191" ht="15" customHeight="1">
      <c r="A191" s="10" t="n"/>
      <c r="B191" s="10" t="n"/>
      <c r="C191" s="10" t="n"/>
      <c r="D191" s="10" t="n"/>
      <c r="E191" s="9" t="n"/>
      <c r="F191" s="9" t="n"/>
      <c r="G191" s="9" t="n"/>
      <c r="H191" s="11" t="n"/>
      <c r="I191" s="9" t="n"/>
      <c r="J191" s="12">
        <f>IF(OR($A191="",$I191&lt;&gt;"OUI"),"",$A191&amp;"|"&amp;$B191&amp;"|"&amp;$C191&amp;"|"&amp;$D191&amp;"|"&amp;$E191&amp;"|"&amp;$F191&amp;"|"&amp;$G191)</f>
        <v/>
      </c>
    </row>
    <row r="192" ht="15" customHeight="1">
      <c r="A192" s="10" t="n"/>
      <c r="B192" s="10" t="n"/>
      <c r="C192" s="10" t="n"/>
      <c r="D192" s="10" t="n"/>
      <c r="E192" s="9" t="n"/>
      <c r="F192" s="9" t="n"/>
      <c r="G192" s="9" t="n"/>
      <c r="H192" s="11" t="n"/>
      <c r="I192" s="9" t="n"/>
      <c r="J192" s="12">
        <f>IF(OR($A192="",$I192&lt;&gt;"OUI"),"",$A192&amp;"|"&amp;$B192&amp;"|"&amp;$C192&amp;"|"&amp;$D192&amp;"|"&amp;$E192&amp;"|"&amp;$F192&amp;"|"&amp;$G192)</f>
        <v/>
      </c>
    </row>
    <row r="193" ht="15" customHeight="1">
      <c r="A193" s="10" t="n"/>
      <c r="B193" s="10" t="n"/>
      <c r="C193" s="10" t="n"/>
      <c r="D193" s="10" t="n"/>
      <c r="E193" s="9" t="n"/>
      <c r="F193" s="9" t="n"/>
      <c r="G193" s="9" t="n"/>
      <c r="H193" s="11" t="n"/>
      <c r="I193" s="9" t="n"/>
      <c r="J193" s="12">
        <f>IF(OR($A193="",$I193&lt;&gt;"OUI"),"",$A193&amp;"|"&amp;$B193&amp;"|"&amp;$C193&amp;"|"&amp;$D193&amp;"|"&amp;$E193&amp;"|"&amp;$F193&amp;"|"&amp;$G193)</f>
        <v/>
      </c>
    </row>
    <row r="194" ht="15" customHeight="1">
      <c r="A194" s="10" t="n"/>
      <c r="B194" s="10" t="n"/>
      <c r="C194" s="10" t="n"/>
      <c r="D194" s="10" t="n"/>
      <c r="E194" s="9" t="n"/>
      <c r="F194" s="9" t="n"/>
      <c r="G194" s="9" t="n"/>
      <c r="H194" s="11" t="n"/>
      <c r="I194" s="9" t="n"/>
      <c r="J194" s="12">
        <f>IF(OR($A194="",$I194&lt;&gt;"OUI"),"",$A194&amp;"|"&amp;$B194&amp;"|"&amp;$C194&amp;"|"&amp;$D194&amp;"|"&amp;$E194&amp;"|"&amp;$F194&amp;"|"&amp;$G194)</f>
        <v/>
      </c>
    </row>
    <row r="195" ht="15" customHeight="1">
      <c r="A195" s="10" t="n"/>
      <c r="B195" s="10" t="n"/>
      <c r="C195" s="10" t="n"/>
      <c r="D195" s="10" t="n"/>
      <c r="E195" s="9" t="n"/>
      <c r="F195" s="9" t="n"/>
      <c r="G195" s="9" t="n"/>
      <c r="H195" s="11" t="n"/>
      <c r="I195" s="9" t="n"/>
      <c r="J195" s="12">
        <f>IF(OR($A195="",$I195&lt;&gt;"OUI"),"",$A195&amp;"|"&amp;$B195&amp;"|"&amp;$C195&amp;"|"&amp;$D195&amp;"|"&amp;$E195&amp;"|"&amp;$F195&amp;"|"&amp;$G195)</f>
        <v/>
      </c>
    </row>
    <row r="196" ht="15" customHeight="1">
      <c r="A196" s="10" t="n"/>
      <c r="B196" s="10" t="n"/>
      <c r="C196" s="10" t="n"/>
      <c r="D196" s="10" t="n"/>
      <c r="E196" s="9" t="n"/>
      <c r="F196" s="9" t="n"/>
      <c r="G196" s="9" t="n"/>
      <c r="H196" s="11" t="n"/>
      <c r="I196" s="9" t="n"/>
      <c r="J196" s="12">
        <f>IF(OR($A196="",$I196&lt;&gt;"OUI"),"",$A196&amp;"|"&amp;$B196&amp;"|"&amp;$C196&amp;"|"&amp;$D196&amp;"|"&amp;$E196&amp;"|"&amp;$F196&amp;"|"&amp;$G196)</f>
        <v/>
      </c>
    </row>
    <row r="197" ht="15" customHeight="1">
      <c r="A197" s="10" t="n"/>
      <c r="B197" s="10" t="n"/>
      <c r="C197" s="10" t="n"/>
      <c r="D197" s="10" t="n"/>
      <c r="E197" s="9" t="n"/>
      <c r="F197" s="9" t="n"/>
      <c r="G197" s="9" t="n"/>
      <c r="H197" s="11" t="n"/>
      <c r="I197" s="9" t="n"/>
      <c r="J197" s="12">
        <f>IF(OR($A197="",$I197&lt;&gt;"OUI"),"",$A197&amp;"|"&amp;$B197&amp;"|"&amp;$C197&amp;"|"&amp;$D197&amp;"|"&amp;$E197&amp;"|"&amp;$F197&amp;"|"&amp;$G197)</f>
        <v/>
      </c>
    </row>
    <row r="198" ht="15" customHeight="1">
      <c r="A198" s="10" t="n"/>
      <c r="B198" s="10" t="n"/>
      <c r="C198" s="10" t="n"/>
      <c r="D198" s="10" t="n"/>
      <c r="E198" s="9" t="n"/>
      <c r="F198" s="9" t="n"/>
      <c r="G198" s="9" t="n"/>
      <c r="H198" s="11" t="n"/>
      <c r="I198" s="9" t="n"/>
      <c r="J198" s="12">
        <f>IF(OR($A198="",$I198&lt;&gt;"OUI"),"",$A198&amp;"|"&amp;$B198&amp;"|"&amp;$C198&amp;"|"&amp;$D198&amp;"|"&amp;$E198&amp;"|"&amp;$F198&amp;"|"&amp;$G198)</f>
        <v/>
      </c>
    </row>
    <row r="199" ht="15" customHeight="1">
      <c r="A199" s="10" t="n"/>
      <c r="B199" s="10" t="n"/>
      <c r="C199" s="10" t="n"/>
      <c r="D199" s="10" t="n"/>
      <c r="E199" s="9" t="n"/>
      <c r="F199" s="9" t="n"/>
      <c r="G199" s="9" t="n"/>
      <c r="H199" s="11" t="n"/>
      <c r="I199" s="9" t="n"/>
      <c r="J199" s="12">
        <f>IF(OR($A199="",$I199&lt;&gt;"OUI"),"",$A199&amp;"|"&amp;$B199&amp;"|"&amp;$C199&amp;"|"&amp;$D199&amp;"|"&amp;$E199&amp;"|"&amp;$F199&amp;"|"&amp;$G199)</f>
        <v/>
      </c>
    </row>
    <row r="200" ht="15" customHeight="1">
      <c r="A200" s="10" t="n"/>
      <c r="B200" s="10" t="n"/>
      <c r="C200" s="10" t="n"/>
      <c r="D200" s="10" t="n"/>
      <c r="E200" s="9" t="n"/>
      <c r="F200" s="9" t="n"/>
      <c r="G200" s="9" t="n"/>
      <c r="H200" s="11" t="n"/>
      <c r="I200" s="9" t="n"/>
      <c r="J200" s="12">
        <f>IF(OR($A200="",$I200&lt;&gt;"OUI"),"",$A200&amp;"|"&amp;$B200&amp;"|"&amp;$C200&amp;"|"&amp;$D200&amp;"|"&amp;$E200&amp;"|"&amp;$F200&amp;"|"&amp;$G200)</f>
        <v/>
      </c>
    </row>
    <row r="201" ht="15" customHeight="1">
      <c r="A201" s="10" t="n"/>
      <c r="B201" s="10" t="n"/>
      <c r="C201" s="10" t="n"/>
      <c r="D201" s="10" t="n"/>
      <c r="E201" s="9" t="n"/>
      <c r="F201" s="9" t="n"/>
      <c r="G201" s="9" t="n"/>
      <c r="H201" s="11" t="n"/>
      <c r="I201" s="9" t="n"/>
      <c r="J201" s="12">
        <f>IF(OR($A201="",$I201&lt;&gt;"OUI"),"",$A201&amp;"|"&amp;$B201&amp;"|"&amp;$C201&amp;"|"&amp;$D201&amp;"|"&amp;$E201&amp;"|"&amp;$F201&amp;"|"&amp;$G201)</f>
        <v/>
      </c>
    </row>
    <row r="202" ht="15" customHeight="1">
      <c r="A202" s="10" t="n"/>
      <c r="B202" s="10" t="n"/>
      <c r="C202" s="10" t="n"/>
      <c r="D202" s="10" t="n"/>
      <c r="E202" s="9" t="n"/>
      <c r="F202" s="9" t="n"/>
      <c r="G202" s="9" t="n"/>
      <c r="H202" s="11" t="n"/>
      <c r="I202" s="9" t="n"/>
      <c r="J202" s="12">
        <f>IF(OR($A202="",$I202&lt;&gt;"OUI"),"",$A202&amp;"|"&amp;$B202&amp;"|"&amp;$C202&amp;"|"&amp;$D202&amp;"|"&amp;$E202&amp;"|"&amp;$F202&amp;"|"&amp;$G202)</f>
        <v/>
      </c>
    </row>
    <row r="203" ht="15" customHeight="1">
      <c r="A203" s="10" t="n"/>
      <c r="B203" s="10" t="n"/>
      <c r="C203" s="10" t="n"/>
      <c r="D203" s="10" t="n"/>
      <c r="E203" s="9" t="n"/>
      <c r="F203" s="9" t="n"/>
      <c r="G203" s="9" t="n"/>
      <c r="H203" s="11" t="n"/>
      <c r="I203" s="9" t="n"/>
      <c r="J203" s="12">
        <f>IF(OR($A203="",$I203&lt;&gt;"OUI"),"",$A203&amp;"|"&amp;$B203&amp;"|"&amp;$C203&amp;"|"&amp;$D203&amp;"|"&amp;$E203&amp;"|"&amp;$F203&amp;"|"&amp;$G203)</f>
        <v/>
      </c>
    </row>
    <row r="204" ht="15" customHeight="1">
      <c r="A204" s="10" t="n"/>
      <c r="B204" s="10" t="n"/>
      <c r="C204" s="10" t="n"/>
      <c r="D204" s="10" t="n"/>
      <c r="E204" s="9" t="n"/>
      <c r="F204" s="9" t="n"/>
      <c r="G204" s="9" t="n"/>
      <c r="H204" s="11" t="n"/>
      <c r="I204" s="9" t="n"/>
      <c r="J204" s="12">
        <f>IF(OR($A204="",$I204&lt;&gt;"OUI"),"",$A204&amp;"|"&amp;$B204&amp;"|"&amp;$C204&amp;"|"&amp;$D204&amp;"|"&amp;$E204&amp;"|"&amp;$F204&amp;"|"&amp;$G204)</f>
        <v/>
      </c>
    </row>
    <row r="205" ht="15" customHeight="1">
      <c r="A205" s="10" t="n"/>
      <c r="B205" s="10" t="n"/>
      <c r="C205" s="10" t="n"/>
      <c r="D205" s="10" t="n"/>
      <c r="E205" s="9" t="n"/>
      <c r="F205" s="9" t="n"/>
      <c r="G205" s="9" t="n"/>
      <c r="H205" s="11" t="n"/>
      <c r="I205" s="9" t="n"/>
      <c r="J205" s="12">
        <f>IF(OR($A205="",$I205&lt;&gt;"OUI"),"",$A205&amp;"|"&amp;$B205&amp;"|"&amp;$C205&amp;"|"&amp;$D205&amp;"|"&amp;$E205&amp;"|"&amp;$F205&amp;"|"&amp;$G205)</f>
        <v/>
      </c>
    </row>
    <row r="206" ht="15" customHeight="1">
      <c r="A206" s="10" t="n"/>
      <c r="B206" s="10" t="n"/>
      <c r="C206" s="10" t="n"/>
      <c r="D206" s="10" t="n"/>
      <c r="E206" s="9" t="n"/>
      <c r="F206" s="9" t="n"/>
      <c r="G206" s="9" t="n"/>
      <c r="H206" s="11" t="n"/>
      <c r="I206" s="9" t="n"/>
      <c r="J206" s="12">
        <f>IF(OR($A206="",$I206&lt;&gt;"OUI"),"",$A206&amp;"|"&amp;$B206&amp;"|"&amp;$C206&amp;"|"&amp;$D206&amp;"|"&amp;$E206&amp;"|"&amp;$F206&amp;"|"&amp;$G206)</f>
        <v/>
      </c>
    </row>
    <row r="207" ht="15" customHeight="1">
      <c r="A207" s="10" t="n"/>
      <c r="B207" s="10" t="n"/>
      <c r="C207" s="10" t="n"/>
      <c r="D207" s="10" t="n"/>
      <c r="E207" s="9" t="n"/>
      <c r="F207" s="9" t="n"/>
      <c r="G207" s="9" t="n"/>
      <c r="H207" s="11" t="n"/>
      <c r="I207" s="9" t="n"/>
      <c r="J207" s="12">
        <f>IF(OR($A207="",$I207&lt;&gt;"OUI"),"",$A207&amp;"|"&amp;$B207&amp;"|"&amp;$C207&amp;"|"&amp;$D207&amp;"|"&amp;$E207&amp;"|"&amp;$F207&amp;"|"&amp;$G207)</f>
        <v/>
      </c>
    </row>
    <row r="208" ht="15" customHeight="1">
      <c r="A208" s="10" t="n"/>
      <c r="B208" s="10" t="n"/>
      <c r="C208" s="10" t="n"/>
      <c r="D208" s="10" t="n"/>
      <c r="E208" s="9" t="n"/>
      <c r="F208" s="9" t="n"/>
      <c r="G208" s="9" t="n"/>
      <c r="H208" s="11" t="n"/>
      <c r="I208" s="9" t="n"/>
      <c r="J208" s="12">
        <f>IF(OR($A208="",$I208&lt;&gt;"OUI"),"",$A208&amp;"|"&amp;$B208&amp;"|"&amp;$C208&amp;"|"&amp;$D208&amp;"|"&amp;$E208&amp;"|"&amp;$F208&amp;"|"&amp;$G208)</f>
        <v/>
      </c>
    </row>
    <row r="209" ht="15" customHeight="1">
      <c r="A209" s="10" t="n"/>
      <c r="B209" s="10" t="n"/>
      <c r="C209" s="10" t="n"/>
      <c r="D209" s="10" t="n"/>
      <c r="E209" s="9" t="n"/>
      <c r="F209" s="9" t="n"/>
      <c r="G209" s="9" t="n"/>
      <c r="H209" s="11" t="n"/>
      <c r="I209" s="9" t="n"/>
      <c r="J209" s="12">
        <f>IF(OR($A209="",$I209&lt;&gt;"OUI"),"",$A209&amp;"|"&amp;$B209&amp;"|"&amp;$C209&amp;"|"&amp;$D209&amp;"|"&amp;$E209&amp;"|"&amp;$F209&amp;"|"&amp;$G209)</f>
        <v/>
      </c>
    </row>
    <row r="210" ht="15" customHeight="1">
      <c r="A210" s="10" t="n"/>
      <c r="B210" s="10" t="n"/>
      <c r="C210" s="10" t="n"/>
      <c r="D210" s="10" t="n"/>
      <c r="E210" s="9" t="n"/>
      <c r="F210" s="9" t="n"/>
      <c r="G210" s="9" t="n"/>
      <c r="H210" s="11" t="n"/>
      <c r="I210" s="9" t="n"/>
      <c r="J210" s="12">
        <f>IF(OR($A210="",$I210&lt;&gt;"OUI"),"",$A210&amp;"|"&amp;$B210&amp;"|"&amp;$C210&amp;"|"&amp;$D210&amp;"|"&amp;$E210&amp;"|"&amp;$F210&amp;"|"&amp;$G210)</f>
        <v/>
      </c>
    </row>
    <row r="211" ht="15" customHeight="1">
      <c r="A211" s="10" t="n"/>
      <c r="B211" s="10" t="n"/>
      <c r="C211" s="10" t="n"/>
      <c r="D211" s="10" t="n"/>
      <c r="E211" s="9" t="n"/>
      <c r="F211" s="9" t="n"/>
      <c r="G211" s="9" t="n"/>
      <c r="H211" s="11" t="n"/>
      <c r="I211" s="9" t="n"/>
      <c r="J211" s="12">
        <f>IF(OR($A211="",$I211&lt;&gt;"OUI"),"",$A211&amp;"|"&amp;$B211&amp;"|"&amp;$C211&amp;"|"&amp;$D211&amp;"|"&amp;$E211&amp;"|"&amp;$F211&amp;"|"&amp;$G211)</f>
        <v/>
      </c>
    </row>
    <row r="212" ht="15" customHeight="1">
      <c r="A212" s="10" t="n"/>
      <c r="B212" s="10" t="n"/>
      <c r="C212" s="10" t="n"/>
      <c r="D212" s="10" t="n"/>
      <c r="E212" s="9" t="n"/>
      <c r="F212" s="9" t="n"/>
      <c r="G212" s="9" t="n"/>
      <c r="H212" s="11" t="n"/>
      <c r="I212" s="9" t="n"/>
      <c r="J212" s="12">
        <f>IF(OR($A212="",$I212&lt;&gt;"OUI"),"",$A212&amp;"|"&amp;$B212&amp;"|"&amp;$C212&amp;"|"&amp;$D212&amp;"|"&amp;$E212&amp;"|"&amp;$F212&amp;"|"&amp;$G212)</f>
        <v/>
      </c>
    </row>
    <row r="213" ht="15" customHeight="1">
      <c r="A213" s="10" t="n"/>
      <c r="B213" s="10" t="n"/>
      <c r="C213" s="10" t="n"/>
      <c r="D213" s="10" t="n"/>
      <c r="E213" s="9" t="n"/>
      <c r="F213" s="9" t="n"/>
      <c r="G213" s="9" t="n"/>
      <c r="H213" s="11" t="n"/>
      <c r="I213" s="9" t="n"/>
      <c r="J213" s="12">
        <f>IF(OR($A213="",$I213&lt;&gt;"OUI"),"",$A213&amp;"|"&amp;$B213&amp;"|"&amp;$C213&amp;"|"&amp;$D213&amp;"|"&amp;$E213&amp;"|"&amp;$F213&amp;"|"&amp;$G213)</f>
        <v/>
      </c>
    </row>
    <row r="214" ht="15" customHeight="1">
      <c r="A214" s="10" t="n"/>
      <c r="B214" s="10" t="n"/>
      <c r="C214" s="10" t="n"/>
      <c r="D214" s="10" t="n"/>
      <c r="E214" s="9" t="n"/>
      <c r="F214" s="9" t="n"/>
      <c r="G214" s="9" t="n"/>
      <c r="H214" s="11" t="n"/>
      <c r="I214" s="9" t="n"/>
      <c r="J214" s="12">
        <f>IF(OR($A214="",$I214&lt;&gt;"OUI"),"",$A214&amp;"|"&amp;$B214&amp;"|"&amp;$C214&amp;"|"&amp;$D214&amp;"|"&amp;$E214&amp;"|"&amp;$F214&amp;"|"&amp;$G214)</f>
        <v/>
      </c>
    </row>
    <row r="215" ht="15" customHeight="1">
      <c r="A215" s="10" t="n"/>
      <c r="B215" s="10" t="n"/>
      <c r="C215" s="10" t="n"/>
      <c r="D215" s="10" t="n"/>
      <c r="E215" s="9" t="n"/>
      <c r="F215" s="9" t="n"/>
      <c r="G215" s="9" t="n"/>
      <c r="H215" s="11" t="n"/>
      <c r="I215" s="9" t="n"/>
      <c r="J215" s="12">
        <f>IF(OR($A215="",$I215&lt;&gt;"OUI"),"",$A215&amp;"|"&amp;$B215&amp;"|"&amp;$C215&amp;"|"&amp;$D215&amp;"|"&amp;$E215&amp;"|"&amp;$F215&amp;"|"&amp;$G215)</f>
        <v/>
      </c>
    </row>
    <row r="216" ht="15" customHeight="1">
      <c r="A216" s="10" t="n"/>
      <c r="B216" s="10" t="n"/>
      <c r="C216" s="10" t="n"/>
      <c r="D216" s="10" t="n"/>
      <c r="E216" s="9" t="n"/>
      <c r="F216" s="9" t="n"/>
      <c r="G216" s="9" t="n"/>
      <c r="H216" s="11" t="n"/>
      <c r="I216" s="9" t="n"/>
      <c r="J216" s="12">
        <f>IF(OR($A216="",$I216&lt;&gt;"OUI"),"",$A216&amp;"|"&amp;$B216&amp;"|"&amp;$C216&amp;"|"&amp;$D216&amp;"|"&amp;$E216&amp;"|"&amp;$F216&amp;"|"&amp;$G216)</f>
        <v/>
      </c>
    </row>
    <row r="217" ht="15" customHeight="1">
      <c r="A217" s="10" t="n"/>
      <c r="B217" s="10" t="n"/>
      <c r="C217" s="10" t="n"/>
      <c r="D217" s="10" t="n"/>
      <c r="E217" s="9" t="n"/>
      <c r="F217" s="9" t="n"/>
      <c r="G217" s="9" t="n"/>
      <c r="H217" s="11" t="n"/>
      <c r="I217" s="9" t="n"/>
      <c r="J217" s="12">
        <f>IF(OR($A217="",$I217&lt;&gt;"OUI"),"",$A217&amp;"|"&amp;$B217&amp;"|"&amp;$C217&amp;"|"&amp;$D217&amp;"|"&amp;$E217&amp;"|"&amp;$F217&amp;"|"&amp;$G217)</f>
        <v/>
      </c>
    </row>
    <row r="218" ht="15" customHeight="1">
      <c r="A218" s="10" t="n"/>
      <c r="B218" s="10" t="n"/>
      <c r="C218" s="10" t="n"/>
      <c r="D218" s="10" t="n"/>
      <c r="E218" s="9" t="n"/>
      <c r="F218" s="9" t="n"/>
      <c r="G218" s="9" t="n"/>
      <c r="H218" s="11" t="n"/>
      <c r="I218" s="9" t="n"/>
      <c r="J218" s="12">
        <f>IF(OR($A218="",$I218&lt;&gt;"OUI"),"",$A218&amp;"|"&amp;$B218&amp;"|"&amp;$C218&amp;"|"&amp;$D218&amp;"|"&amp;$E218&amp;"|"&amp;$F218&amp;"|"&amp;$G218)</f>
        <v/>
      </c>
    </row>
    <row r="219" ht="15" customHeight="1">
      <c r="A219" s="10" t="n"/>
      <c r="B219" s="10" t="n"/>
      <c r="C219" s="10" t="n"/>
      <c r="D219" s="10" t="n"/>
      <c r="E219" s="9" t="n"/>
      <c r="F219" s="9" t="n"/>
      <c r="G219" s="9" t="n"/>
      <c r="H219" s="11" t="n"/>
      <c r="I219" s="9" t="n"/>
      <c r="J219" s="12">
        <f>IF(OR($A219="",$I219&lt;&gt;"OUI"),"",$A219&amp;"|"&amp;$B219&amp;"|"&amp;$C219&amp;"|"&amp;$D219&amp;"|"&amp;$E219&amp;"|"&amp;$F219&amp;"|"&amp;$G219)</f>
        <v/>
      </c>
    </row>
    <row r="220" ht="15" customHeight="1">
      <c r="A220" s="10" t="n"/>
      <c r="B220" s="10" t="n"/>
      <c r="C220" s="10" t="n"/>
      <c r="D220" s="10" t="n"/>
      <c r="E220" s="9" t="n"/>
      <c r="F220" s="9" t="n"/>
      <c r="G220" s="9" t="n"/>
      <c r="H220" s="11" t="n"/>
      <c r="I220" s="9" t="n"/>
      <c r="J220" s="12">
        <f>IF(OR($A220="",$I220&lt;&gt;"OUI"),"",$A220&amp;"|"&amp;$B220&amp;"|"&amp;$C220&amp;"|"&amp;$D220&amp;"|"&amp;$E220&amp;"|"&amp;$F220&amp;"|"&amp;$G220)</f>
        <v/>
      </c>
    </row>
    <row r="221" ht="15" customHeight="1">
      <c r="A221" s="10" t="n"/>
      <c r="B221" s="10" t="n"/>
      <c r="C221" s="10" t="n"/>
      <c r="D221" s="10" t="n"/>
      <c r="E221" s="9" t="n"/>
      <c r="F221" s="9" t="n"/>
      <c r="G221" s="9" t="n"/>
      <c r="H221" s="11" t="n"/>
      <c r="I221" s="9" t="n"/>
      <c r="J221" s="12">
        <f>IF(OR($A221="",$I221&lt;&gt;"OUI"),"",$A221&amp;"|"&amp;$B221&amp;"|"&amp;$C221&amp;"|"&amp;$D221&amp;"|"&amp;$E221&amp;"|"&amp;$F221&amp;"|"&amp;$G221)</f>
        <v/>
      </c>
    </row>
    <row r="222" ht="15" customHeight="1">
      <c r="A222" s="10" t="n"/>
      <c r="B222" s="10" t="n"/>
      <c r="C222" s="10" t="n"/>
      <c r="D222" s="10" t="n"/>
      <c r="E222" s="9" t="n"/>
      <c r="F222" s="9" t="n"/>
      <c r="G222" s="9" t="n"/>
      <c r="H222" s="11" t="n"/>
      <c r="I222" s="9" t="n"/>
      <c r="J222" s="12">
        <f>IF(OR($A222="",$I222&lt;&gt;"OUI"),"",$A222&amp;"|"&amp;$B222&amp;"|"&amp;$C222&amp;"|"&amp;$D222&amp;"|"&amp;$E222&amp;"|"&amp;$F222&amp;"|"&amp;$G222)</f>
        <v/>
      </c>
    </row>
    <row r="223" ht="15" customHeight="1">
      <c r="A223" s="10" t="n"/>
      <c r="B223" s="10" t="n"/>
      <c r="C223" s="10" t="n"/>
      <c r="D223" s="10" t="n"/>
      <c r="E223" s="9" t="n"/>
      <c r="F223" s="9" t="n"/>
      <c r="G223" s="9" t="n"/>
      <c r="H223" s="11" t="n"/>
      <c r="I223" s="9" t="n"/>
      <c r="J223" s="12">
        <f>IF(OR($A223="",$I223&lt;&gt;"OUI"),"",$A223&amp;"|"&amp;$B223&amp;"|"&amp;$C223&amp;"|"&amp;$D223&amp;"|"&amp;$E223&amp;"|"&amp;$F223&amp;"|"&amp;$G223)</f>
        <v/>
      </c>
    </row>
    <row r="224" ht="15" customHeight="1">
      <c r="A224" s="10" t="n"/>
      <c r="B224" s="10" t="n"/>
      <c r="C224" s="10" t="n"/>
      <c r="D224" s="10" t="n"/>
      <c r="E224" s="9" t="n"/>
      <c r="F224" s="9" t="n"/>
      <c r="G224" s="9" t="n"/>
      <c r="H224" s="11" t="n"/>
      <c r="I224" s="9" t="n"/>
      <c r="J224" s="12">
        <f>IF(OR($A224="",$I224&lt;&gt;"OUI"),"",$A224&amp;"|"&amp;$B224&amp;"|"&amp;$C224&amp;"|"&amp;$D224&amp;"|"&amp;$E224&amp;"|"&amp;$F224&amp;"|"&amp;$G224)</f>
        <v/>
      </c>
    </row>
    <row r="225" ht="15" customHeight="1">
      <c r="A225" s="10" t="n"/>
      <c r="B225" s="10" t="n"/>
      <c r="C225" s="10" t="n"/>
      <c r="D225" s="10" t="n"/>
      <c r="E225" s="9" t="n"/>
      <c r="F225" s="9" t="n"/>
      <c r="G225" s="9" t="n"/>
      <c r="H225" s="11" t="n"/>
      <c r="I225" s="9" t="n"/>
      <c r="J225" s="12">
        <f>IF(OR($A225="",$I225&lt;&gt;"OUI"),"",$A225&amp;"|"&amp;$B225&amp;"|"&amp;$C225&amp;"|"&amp;$D225&amp;"|"&amp;$E225&amp;"|"&amp;$F225&amp;"|"&amp;$G225)</f>
        <v/>
      </c>
    </row>
    <row r="226" ht="15" customHeight="1">
      <c r="A226" s="10" t="n"/>
      <c r="B226" s="10" t="n"/>
      <c r="C226" s="10" t="n"/>
      <c r="D226" s="10" t="n"/>
      <c r="E226" s="9" t="n"/>
      <c r="F226" s="9" t="n"/>
      <c r="G226" s="9" t="n"/>
      <c r="H226" s="11" t="n"/>
      <c r="I226" s="9" t="n"/>
      <c r="J226" s="12">
        <f>IF(OR($A226="",$I226&lt;&gt;"OUI"),"",$A226&amp;"|"&amp;$B226&amp;"|"&amp;$C226&amp;"|"&amp;$D226&amp;"|"&amp;$E226&amp;"|"&amp;$F226&amp;"|"&amp;$G226)</f>
        <v/>
      </c>
    </row>
    <row r="227" ht="15" customHeight="1">
      <c r="A227" s="10" t="n"/>
      <c r="B227" s="10" t="n"/>
      <c r="C227" s="10" t="n"/>
      <c r="D227" s="10" t="n"/>
      <c r="E227" s="9" t="n"/>
      <c r="F227" s="9" t="n"/>
      <c r="G227" s="9" t="n"/>
      <c r="H227" s="11" t="n"/>
      <c r="I227" s="9" t="n"/>
      <c r="J227" s="12">
        <f>IF(OR($A227="",$I227&lt;&gt;"OUI"),"",$A227&amp;"|"&amp;$B227&amp;"|"&amp;$C227&amp;"|"&amp;$D227&amp;"|"&amp;$E227&amp;"|"&amp;$F227&amp;"|"&amp;$G227)</f>
        <v/>
      </c>
    </row>
    <row r="228" ht="15" customHeight="1">
      <c r="A228" s="10" t="n"/>
      <c r="B228" s="10" t="n"/>
      <c r="C228" s="10" t="n"/>
      <c r="D228" s="10" t="n"/>
      <c r="E228" s="9" t="n"/>
      <c r="F228" s="9" t="n"/>
      <c r="G228" s="9" t="n"/>
      <c r="H228" s="11" t="n"/>
      <c r="I228" s="9" t="n"/>
      <c r="J228" s="12">
        <f>IF(OR($A228="",$I228&lt;&gt;"OUI"),"",$A228&amp;"|"&amp;$B228&amp;"|"&amp;$C228&amp;"|"&amp;$D228&amp;"|"&amp;$E228&amp;"|"&amp;$F228&amp;"|"&amp;$G228)</f>
        <v/>
      </c>
    </row>
    <row r="229" ht="15" customHeight="1">
      <c r="A229" s="10" t="n"/>
      <c r="B229" s="10" t="n"/>
      <c r="C229" s="10" t="n"/>
      <c r="D229" s="10" t="n"/>
      <c r="E229" s="9" t="n"/>
      <c r="F229" s="9" t="n"/>
      <c r="G229" s="9" t="n"/>
      <c r="H229" s="11" t="n"/>
      <c r="I229" s="9" t="n"/>
      <c r="J229" s="12">
        <f>IF(OR($A229="",$I229&lt;&gt;"OUI"),"",$A229&amp;"|"&amp;$B229&amp;"|"&amp;$C229&amp;"|"&amp;$D229&amp;"|"&amp;$E229&amp;"|"&amp;$F229&amp;"|"&amp;$G229)</f>
        <v/>
      </c>
    </row>
    <row r="230" ht="15" customHeight="1">
      <c r="A230" s="10" t="n"/>
      <c r="B230" s="10" t="n"/>
      <c r="C230" s="10" t="n"/>
      <c r="D230" s="10" t="n"/>
      <c r="E230" s="9" t="n"/>
      <c r="F230" s="9" t="n"/>
      <c r="G230" s="9" t="n"/>
      <c r="H230" s="11" t="n"/>
      <c r="I230" s="9" t="n"/>
      <c r="J230" s="12">
        <f>IF(OR($A230="",$I230&lt;&gt;"OUI"),"",$A230&amp;"|"&amp;$B230&amp;"|"&amp;$C230&amp;"|"&amp;$D230&amp;"|"&amp;$E230&amp;"|"&amp;$F230&amp;"|"&amp;$G230)</f>
        <v/>
      </c>
    </row>
    <row r="231" ht="15" customHeight="1">
      <c r="A231" s="10" t="n"/>
      <c r="B231" s="10" t="n"/>
      <c r="C231" s="10" t="n"/>
      <c r="D231" s="10" t="n"/>
      <c r="E231" s="9" t="n"/>
      <c r="F231" s="9" t="n"/>
      <c r="G231" s="9" t="n"/>
      <c r="H231" s="11" t="n"/>
      <c r="I231" s="9" t="n"/>
      <c r="J231" s="12">
        <f>IF(OR($A231="",$I231&lt;&gt;"OUI"),"",$A231&amp;"|"&amp;$B231&amp;"|"&amp;$C231&amp;"|"&amp;$D231&amp;"|"&amp;$E231&amp;"|"&amp;$F231&amp;"|"&amp;$G231)</f>
        <v/>
      </c>
    </row>
    <row r="232" ht="15" customHeight="1">
      <c r="A232" s="10" t="n"/>
      <c r="B232" s="10" t="n"/>
      <c r="C232" s="10" t="n"/>
      <c r="D232" s="10" t="n"/>
      <c r="E232" s="9" t="n"/>
      <c r="F232" s="9" t="n"/>
      <c r="G232" s="9" t="n"/>
      <c r="H232" s="11" t="n"/>
      <c r="I232" s="9" t="n"/>
      <c r="J232" s="12">
        <f>IF(OR($A232="",$I232&lt;&gt;"OUI"),"",$A232&amp;"|"&amp;$B232&amp;"|"&amp;$C232&amp;"|"&amp;$D232&amp;"|"&amp;$E232&amp;"|"&amp;$F232&amp;"|"&amp;$G232)</f>
        <v/>
      </c>
    </row>
    <row r="233" ht="15" customHeight="1">
      <c r="A233" s="10" t="n"/>
      <c r="B233" s="10" t="n"/>
      <c r="C233" s="10" t="n"/>
      <c r="D233" s="10" t="n"/>
      <c r="E233" s="9" t="n"/>
      <c r="F233" s="9" t="n"/>
      <c r="G233" s="9" t="n"/>
      <c r="H233" s="11" t="n"/>
      <c r="I233" s="9" t="n"/>
      <c r="J233" s="12">
        <f>IF(OR($A233="",$I233&lt;&gt;"OUI"),"",$A233&amp;"|"&amp;$B233&amp;"|"&amp;$C233&amp;"|"&amp;$D233&amp;"|"&amp;$E233&amp;"|"&amp;$F233&amp;"|"&amp;$G233)</f>
        <v/>
      </c>
    </row>
    <row r="234" ht="15" customHeight="1">
      <c r="A234" s="10" t="n"/>
      <c r="B234" s="10" t="n"/>
      <c r="C234" s="10" t="n"/>
      <c r="D234" s="10" t="n"/>
      <c r="E234" s="9" t="n"/>
      <c r="F234" s="9" t="n"/>
      <c r="G234" s="9" t="n"/>
      <c r="H234" s="11" t="n"/>
      <c r="I234" s="9" t="n"/>
      <c r="J234" s="12">
        <f>IF(OR($A234="",$I234&lt;&gt;"OUI"),"",$A234&amp;"|"&amp;$B234&amp;"|"&amp;$C234&amp;"|"&amp;$D234&amp;"|"&amp;$E234&amp;"|"&amp;$F234&amp;"|"&amp;$G234)</f>
        <v/>
      </c>
    </row>
    <row r="235" ht="15" customHeight="1">
      <c r="A235" s="10" t="n"/>
      <c r="B235" s="10" t="n"/>
      <c r="C235" s="10" t="n"/>
      <c r="D235" s="10" t="n"/>
      <c r="E235" s="9" t="n"/>
      <c r="F235" s="9" t="n"/>
      <c r="G235" s="9" t="n"/>
      <c r="H235" s="11" t="n"/>
      <c r="I235" s="9" t="n"/>
      <c r="J235" s="12">
        <f>IF(OR($A235="",$I235&lt;&gt;"OUI"),"",$A235&amp;"|"&amp;$B235&amp;"|"&amp;$C235&amp;"|"&amp;$D235&amp;"|"&amp;$E235&amp;"|"&amp;$F235&amp;"|"&amp;$G235)</f>
        <v/>
      </c>
    </row>
    <row r="236" ht="15" customHeight="1">
      <c r="A236" s="10" t="n"/>
      <c r="B236" s="10" t="n"/>
      <c r="C236" s="10" t="n"/>
      <c r="D236" s="10" t="n"/>
      <c r="E236" s="9" t="n"/>
      <c r="F236" s="9" t="n"/>
      <c r="G236" s="9" t="n"/>
      <c r="H236" s="11" t="n"/>
      <c r="I236" s="9" t="n"/>
      <c r="J236" s="12">
        <f>IF(OR($A236="",$I236&lt;&gt;"OUI"),"",$A236&amp;"|"&amp;$B236&amp;"|"&amp;$C236&amp;"|"&amp;$D236&amp;"|"&amp;$E236&amp;"|"&amp;$F236&amp;"|"&amp;$G236)</f>
        <v/>
      </c>
    </row>
    <row r="237" ht="15" customHeight="1">
      <c r="A237" s="10" t="n"/>
      <c r="B237" s="10" t="n"/>
      <c r="C237" s="10" t="n"/>
      <c r="D237" s="10" t="n"/>
      <c r="E237" s="9" t="n"/>
      <c r="F237" s="9" t="n"/>
      <c r="G237" s="9" t="n"/>
      <c r="H237" s="11" t="n"/>
      <c r="I237" s="9" t="n"/>
      <c r="J237" s="12">
        <f>IF(OR($A237="",$I237&lt;&gt;"OUI"),"",$A237&amp;"|"&amp;$B237&amp;"|"&amp;$C237&amp;"|"&amp;$D237&amp;"|"&amp;$E237&amp;"|"&amp;$F237&amp;"|"&amp;$G237)</f>
        <v/>
      </c>
    </row>
    <row r="238" ht="15" customHeight="1">
      <c r="A238" s="10" t="n"/>
      <c r="B238" s="10" t="n"/>
      <c r="C238" s="10" t="n"/>
      <c r="D238" s="10" t="n"/>
      <c r="E238" s="9" t="n"/>
      <c r="F238" s="9" t="n"/>
      <c r="G238" s="9" t="n"/>
      <c r="H238" s="11" t="n"/>
      <c r="I238" s="9" t="n"/>
      <c r="J238" s="12">
        <f>IF(OR($A238="",$I238&lt;&gt;"OUI"),"",$A238&amp;"|"&amp;$B238&amp;"|"&amp;$C238&amp;"|"&amp;$D238&amp;"|"&amp;$E238&amp;"|"&amp;$F238&amp;"|"&amp;$G238)</f>
        <v/>
      </c>
    </row>
    <row r="239" ht="15" customHeight="1">
      <c r="A239" s="10" t="n"/>
      <c r="B239" s="10" t="n"/>
      <c r="C239" s="10" t="n"/>
      <c r="D239" s="10" t="n"/>
      <c r="E239" s="9" t="n"/>
      <c r="F239" s="9" t="n"/>
      <c r="G239" s="9" t="n"/>
      <c r="H239" s="11" t="n"/>
      <c r="I239" s="9" t="n"/>
      <c r="J239" s="12">
        <f>IF(OR($A239="",$I239&lt;&gt;"OUI"),"",$A239&amp;"|"&amp;$B239&amp;"|"&amp;$C239&amp;"|"&amp;$D239&amp;"|"&amp;$E239&amp;"|"&amp;$F239&amp;"|"&amp;$G239)</f>
        <v/>
      </c>
    </row>
    <row r="240" ht="15" customHeight="1">
      <c r="A240" s="10" t="n"/>
      <c r="B240" s="10" t="n"/>
      <c r="C240" s="10" t="n"/>
      <c r="D240" s="10" t="n"/>
      <c r="E240" s="9" t="n"/>
      <c r="F240" s="9" t="n"/>
      <c r="G240" s="9" t="n"/>
      <c r="H240" s="11" t="n"/>
      <c r="I240" s="9" t="n"/>
      <c r="J240" s="12">
        <f>IF(OR($A240="",$I240&lt;&gt;"OUI"),"",$A240&amp;"|"&amp;$B240&amp;"|"&amp;$C240&amp;"|"&amp;$D240&amp;"|"&amp;$E240&amp;"|"&amp;$F240&amp;"|"&amp;$G240)</f>
        <v/>
      </c>
    </row>
    <row r="241" ht="15" customHeight="1">
      <c r="A241" s="10" t="n"/>
      <c r="B241" s="10" t="n"/>
      <c r="C241" s="10" t="n"/>
      <c r="D241" s="10" t="n"/>
      <c r="E241" s="9" t="n"/>
      <c r="F241" s="9" t="n"/>
      <c r="G241" s="9" t="n"/>
      <c r="H241" s="11" t="n"/>
      <c r="I241" s="9" t="n"/>
      <c r="J241" s="12">
        <f>IF(OR($A241="",$I241&lt;&gt;"OUI"),"",$A241&amp;"|"&amp;$B241&amp;"|"&amp;$C241&amp;"|"&amp;$D241&amp;"|"&amp;$E241&amp;"|"&amp;$F241&amp;"|"&amp;$G241)</f>
        <v/>
      </c>
    </row>
    <row r="242" ht="15" customHeight="1">
      <c r="A242" s="10" t="n"/>
      <c r="B242" s="10" t="n"/>
      <c r="C242" s="10" t="n"/>
      <c r="D242" s="10" t="n"/>
      <c r="E242" s="9" t="n"/>
      <c r="F242" s="9" t="n"/>
      <c r="G242" s="9" t="n"/>
      <c r="H242" s="11" t="n"/>
      <c r="I242" s="9" t="n"/>
      <c r="J242" s="12">
        <f>IF(OR($A242="",$I242&lt;&gt;"OUI"),"",$A242&amp;"|"&amp;$B242&amp;"|"&amp;$C242&amp;"|"&amp;$D242&amp;"|"&amp;$E242&amp;"|"&amp;$F242&amp;"|"&amp;$G242)</f>
        <v/>
      </c>
    </row>
    <row r="243" ht="15" customHeight="1">
      <c r="A243" s="10" t="n"/>
      <c r="B243" s="10" t="n"/>
      <c r="C243" s="10" t="n"/>
      <c r="D243" s="10" t="n"/>
      <c r="E243" s="9" t="n"/>
      <c r="F243" s="9" t="n"/>
      <c r="G243" s="9" t="n"/>
      <c r="H243" s="11" t="n"/>
      <c r="I243" s="9" t="n"/>
      <c r="J243" s="12">
        <f>IF(OR($A243="",$I243&lt;&gt;"OUI"),"",$A243&amp;"|"&amp;$B243&amp;"|"&amp;$C243&amp;"|"&amp;$D243&amp;"|"&amp;$E243&amp;"|"&amp;$F243&amp;"|"&amp;$G243)</f>
        <v/>
      </c>
    </row>
    <row r="244" ht="15" customHeight="1">
      <c r="A244" s="10" t="n"/>
      <c r="B244" s="10" t="n"/>
      <c r="C244" s="10" t="n"/>
      <c r="D244" s="10" t="n"/>
      <c r="E244" s="9" t="n"/>
      <c r="F244" s="9" t="n"/>
      <c r="G244" s="9" t="n"/>
      <c r="H244" s="11" t="n"/>
      <c r="I244" s="9" t="n"/>
      <c r="J244" s="12">
        <f>IF(OR($A244="",$I244&lt;&gt;"OUI"),"",$A244&amp;"|"&amp;$B244&amp;"|"&amp;$C244&amp;"|"&amp;$D244&amp;"|"&amp;$E244&amp;"|"&amp;$F244&amp;"|"&amp;$G244)</f>
        <v/>
      </c>
    </row>
    <row r="245" ht="15" customHeight="1">
      <c r="A245" s="10" t="n"/>
      <c r="B245" s="10" t="n"/>
      <c r="C245" s="10" t="n"/>
      <c r="D245" s="10" t="n"/>
      <c r="E245" s="9" t="n"/>
      <c r="F245" s="9" t="n"/>
      <c r="G245" s="9" t="n"/>
      <c r="H245" s="11" t="n"/>
      <c r="I245" s="9" t="n"/>
      <c r="J245" s="12">
        <f>IF(OR($A245="",$I245&lt;&gt;"OUI"),"",$A245&amp;"|"&amp;$B245&amp;"|"&amp;$C245&amp;"|"&amp;$D245&amp;"|"&amp;$E245&amp;"|"&amp;$F245&amp;"|"&amp;$G245)</f>
        <v/>
      </c>
    </row>
    <row r="246" ht="15" customHeight="1">
      <c r="A246" s="10" t="n"/>
      <c r="B246" s="10" t="n"/>
      <c r="C246" s="10" t="n"/>
      <c r="D246" s="10" t="n"/>
      <c r="E246" s="9" t="n"/>
      <c r="F246" s="9" t="n"/>
      <c r="G246" s="9" t="n"/>
      <c r="H246" s="11" t="n"/>
      <c r="I246" s="9" t="n"/>
      <c r="J246" s="12">
        <f>IF(OR($A246="",$I246&lt;&gt;"OUI"),"",$A246&amp;"|"&amp;$B246&amp;"|"&amp;$C246&amp;"|"&amp;$D246&amp;"|"&amp;$E246&amp;"|"&amp;$F246&amp;"|"&amp;$G246)</f>
        <v/>
      </c>
    </row>
    <row r="247" ht="15" customHeight="1">
      <c r="A247" s="10" t="n"/>
      <c r="B247" s="10" t="n"/>
      <c r="C247" s="10" t="n"/>
      <c r="D247" s="10" t="n"/>
      <c r="E247" s="9" t="n"/>
      <c r="F247" s="9" t="n"/>
      <c r="G247" s="9" t="n"/>
      <c r="H247" s="11" t="n"/>
      <c r="I247" s="9" t="n"/>
      <c r="J247" s="12">
        <f>IF(OR($A247="",$I247&lt;&gt;"OUI"),"",$A247&amp;"|"&amp;$B247&amp;"|"&amp;$C247&amp;"|"&amp;$D247&amp;"|"&amp;$E247&amp;"|"&amp;$F247&amp;"|"&amp;$G247)</f>
        <v/>
      </c>
    </row>
    <row r="248" ht="15" customHeight="1">
      <c r="A248" s="10" t="n"/>
      <c r="B248" s="10" t="n"/>
      <c r="C248" s="10" t="n"/>
      <c r="D248" s="10" t="n"/>
      <c r="E248" s="9" t="n"/>
      <c r="F248" s="9" t="n"/>
      <c r="G248" s="9" t="n"/>
      <c r="H248" s="11" t="n"/>
      <c r="I248" s="9" t="n"/>
      <c r="J248" s="12">
        <f>IF(OR($A248="",$I248&lt;&gt;"OUI"),"",$A248&amp;"|"&amp;$B248&amp;"|"&amp;$C248&amp;"|"&amp;$D248&amp;"|"&amp;$E248&amp;"|"&amp;$F248&amp;"|"&amp;$G248)</f>
        <v/>
      </c>
    </row>
    <row r="249" ht="15" customHeight="1">
      <c r="A249" s="10" t="n"/>
      <c r="B249" s="10" t="n"/>
      <c r="C249" s="10" t="n"/>
      <c r="D249" s="10" t="n"/>
      <c r="E249" s="9" t="n"/>
      <c r="F249" s="9" t="n"/>
      <c r="G249" s="9" t="n"/>
      <c r="H249" s="11" t="n"/>
      <c r="I249" s="9" t="n"/>
      <c r="J249" s="12">
        <f>IF(OR($A249="",$I249&lt;&gt;"OUI"),"",$A249&amp;"|"&amp;$B249&amp;"|"&amp;$C249&amp;"|"&amp;$D249&amp;"|"&amp;$E249&amp;"|"&amp;$F249&amp;"|"&amp;$G249)</f>
        <v/>
      </c>
    </row>
    <row r="250" ht="15" customHeight="1">
      <c r="A250" s="10" t="n"/>
      <c r="B250" s="10" t="n"/>
      <c r="C250" s="10" t="n"/>
      <c r="D250" s="10" t="n"/>
      <c r="E250" s="9" t="n"/>
      <c r="F250" s="9" t="n"/>
      <c r="G250" s="9" t="n"/>
      <c r="H250" s="11" t="n"/>
      <c r="I250" s="9" t="n"/>
      <c r="J250" s="12">
        <f>IF(OR($A250="",$I250&lt;&gt;"OUI"),"",$A250&amp;"|"&amp;$B250&amp;"|"&amp;$C250&amp;"|"&amp;$D250&amp;"|"&amp;$E250&amp;"|"&amp;$F250&amp;"|"&amp;$G250)</f>
        <v/>
      </c>
    </row>
    <row r="251" ht="15" customHeight="1">
      <c r="A251" s="10" t="n"/>
      <c r="B251" s="10" t="n"/>
      <c r="C251" s="10" t="n"/>
      <c r="D251" s="10" t="n"/>
      <c r="E251" s="9" t="n"/>
      <c r="F251" s="9" t="n"/>
      <c r="G251" s="9" t="n"/>
      <c r="H251" s="11" t="n"/>
      <c r="I251" s="9" t="n"/>
      <c r="J251" s="12">
        <f>IF(OR($A251="",$I251&lt;&gt;"OUI"),"",$A251&amp;"|"&amp;$B251&amp;"|"&amp;$C251&amp;"|"&amp;$D251&amp;"|"&amp;$E251&amp;"|"&amp;$F251&amp;"|"&amp;$G251)</f>
        <v/>
      </c>
    </row>
    <row r="252" ht="15" customHeight="1">
      <c r="A252" s="10" t="n"/>
      <c r="B252" s="10" t="n"/>
      <c r="C252" s="10" t="n"/>
      <c r="D252" s="10" t="n"/>
      <c r="E252" s="9" t="n"/>
      <c r="F252" s="9" t="n"/>
      <c r="G252" s="9" t="n"/>
      <c r="H252" s="11" t="n"/>
      <c r="I252" s="9" t="n"/>
      <c r="J252" s="12">
        <f>IF(OR($A252="",$I252&lt;&gt;"OUI"),"",$A252&amp;"|"&amp;$B252&amp;"|"&amp;$C252&amp;"|"&amp;$D252&amp;"|"&amp;$E252&amp;"|"&amp;$F252&amp;"|"&amp;$G252)</f>
        <v/>
      </c>
    </row>
    <row r="253" ht="15" customHeight="1">
      <c r="A253" s="10" t="n"/>
      <c r="B253" s="10" t="n"/>
      <c r="C253" s="10" t="n"/>
      <c r="D253" s="10" t="n"/>
      <c r="E253" s="9" t="n"/>
      <c r="F253" s="9" t="n"/>
      <c r="G253" s="9" t="n"/>
      <c r="H253" s="11" t="n"/>
      <c r="I253" s="9" t="n"/>
      <c r="J253" s="12">
        <f>IF(OR($A253="",$I253&lt;&gt;"OUI"),"",$A253&amp;"|"&amp;$B253&amp;"|"&amp;$C253&amp;"|"&amp;$D253&amp;"|"&amp;$E253&amp;"|"&amp;$F253&amp;"|"&amp;$G253)</f>
        <v/>
      </c>
    </row>
    <row r="254" ht="15" customHeight="1">
      <c r="A254" s="10" t="n"/>
      <c r="B254" s="10" t="n"/>
      <c r="C254" s="10" t="n"/>
      <c r="D254" s="10" t="n"/>
      <c r="E254" s="9" t="n"/>
      <c r="F254" s="9" t="n"/>
      <c r="G254" s="9" t="n"/>
      <c r="H254" s="11" t="n"/>
      <c r="I254" s="9" t="n"/>
      <c r="J254" s="12">
        <f>IF(OR($A254="",$I254&lt;&gt;"OUI"),"",$A254&amp;"|"&amp;$B254&amp;"|"&amp;$C254&amp;"|"&amp;$D254&amp;"|"&amp;$E254&amp;"|"&amp;$F254&amp;"|"&amp;$G254)</f>
        <v/>
      </c>
    </row>
    <row r="255" ht="15" customHeight="1">
      <c r="A255" s="10" t="n"/>
      <c r="B255" s="10" t="n"/>
      <c r="C255" s="10" t="n"/>
      <c r="D255" s="10" t="n"/>
      <c r="E255" s="9" t="n"/>
      <c r="F255" s="9" t="n"/>
      <c r="G255" s="9" t="n"/>
      <c r="H255" s="11" t="n"/>
      <c r="I255" s="9" t="n"/>
      <c r="J255" s="12">
        <f>IF(OR($A255="",$I255&lt;&gt;"OUI"),"",$A255&amp;"|"&amp;$B255&amp;"|"&amp;$C255&amp;"|"&amp;$D255&amp;"|"&amp;$E255&amp;"|"&amp;$F255&amp;"|"&amp;$G255)</f>
        <v/>
      </c>
    </row>
    <row r="256" ht="15" customHeight="1">
      <c r="A256" s="10" t="n"/>
      <c r="B256" s="10" t="n"/>
      <c r="C256" s="10" t="n"/>
      <c r="D256" s="10" t="n"/>
      <c r="E256" s="9" t="n"/>
      <c r="F256" s="9" t="n"/>
      <c r="G256" s="9" t="n"/>
      <c r="H256" s="11" t="n"/>
      <c r="I256" s="9" t="n"/>
      <c r="J256" s="12">
        <f>IF(OR($A256="",$I256&lt;&gt;"OUI"),"",$A256&amp;"|"&amp;$B256&amp;"|"&amp;$C256&amp;"|"&amp;$D256&amp;"|"&amp;$E256&amp;"|"&amp;$F256&amp;"|"&amp;$G256)</f>
        <v/>
      </c>
    </row>
    <row r="257" ht="15" customHeight="1">
      <c r="A257" s="10" t="n"/>
      <c r="B257" s="10" t="n"/>
      <c r="C257" s="10" t="n"/>
      <c r="D257" s="10" t="n"/>
      <c r="E257" s="9" t="n"/>
      <c r="F257" s="9" t="n"/>
      <c r="G257" s="9" t="n"/>
      <c r="H257" s="11" t="n"/>
      <c r="I257" s="9" t="n"/>
      <c r="J257" s="12">
        <f>IF(OR($A257="",$I257&lt;&gt;"OUI"),"",$A257&amp;"|"&amp;$B257&amp;"|"&amp;$C257&amp;"|"&amp;$D257&amp;"|"&amp;$E257&amp;"|"&amp;$F257&amp;"|"&amp;$G257)</f>
        <v/>
      </c>
    </row>
    <row r="258" ht="15" customHeight="1">
      <c r="A258" s="10" t="n"/>
      <c r="B258" s="10" t="n"/>
      <c r="C258" s="10" t="n"/>
      <c r="D258" s="10" t="n"/>
      <c r="E258" s="9" t="n"/>
      <c r="F258" s="9" t="n"/>
      <c r="G258" s="9" t="n"/>
      <c r="H258" s="11" t="n"/>
      <c r="I258" s="9" t="n"/>
      <c r="J258" s="12">
        <f>IF(OR($A258="",$I258&lt;&gt;"OUI"),"",$A258&amp;"|"&amp;$B258&amp;"|"&amp;$C258&amp;"|"&amp;$D258&amp;"|"&amp;$E258&amp;"|"&amp;$F258&amp;"|"&amp;$G258)</f>
        <v/>
      </c>
    </row>
    <row r="259" ht="15" customHeight="1">
      <c r="A259" s="10" t="n"/>
      <c r="B259" s="10" t="n"/>
      <c r="C259" s="10" t="n"/>
      <c r="D259" s="10" t="n"/>
      <c r="E259" s="9" t="n"/>
      <c r="F259" s="9" t="n"/>
      <c r="G259" s="9" t="n"/>
      <c r="H259" s="11" t="n"/>
      <c r="I259" s="9" t="n"/>
      <c r="J259" s="12">
        <f>IF(OR($A259="",$I259&lt;&gt;"OUI"),"",$A259&amp;"|"&amp;$B259&amp;"|"&amp;$C259&amp;"|"&amp;$D259&amp;"|"&amp;$E259&amp;"|"&amp;$F259&amp;"|"&amp;$G259)</f>
        <v/>
      </c>
    </row>
    <row r="260" ht="15" customHeight="1">
      <c r="A260" s="10" t="n"/>
      <c r="B260" s="10" t="n"/>
      <c r="C260" s="10" t="n"/>
      <c r="D260" s="10" t="n"/>
      <c r="E260" s="9" t="n"/>
      <c r="F260" s="9" t="n"/>
      <c r="G260" s="9" t="n"/>
      <c r="H260" s="11" t="n"/>
      <c r="I260" s="9" t="n"/>
      <c r="J260" s="12">
        <f>IF(OR($A260="",$I260&lt;&gt;"OUI"),"",$A260&amp;"|"&amp;$B260&amp;"|"&amp;$C260&amp;"|"&amp;$D260&amp;"|"&amp;$E260&amp;"|"&amp;$F260&amp;"|"&amp;$G260)</f>
        <v/>
      </c>
    </row>
    <row r="261" ht="15" customHeight="1">
      <c r="A261" s="10" t="n"/>
      <c r="B261" s="10" t="n"/>
      <c r="C261" s="10" t="n"/>
      <c r="D261" s="10" t="n"/>
      <c r="E261" s="9" t="n"/>
      <c r="F261" s="9" t="n"/>
      <c r="G261" s="9" t="n"/>
      <c r="H261" s="11" t="n"/>
      <c r="I261" s="9" t="n"/>
      <c r="J261" s="12">
        <f>IF(OR($A261="",$I261&lt;&gt;"OUI"),"",$A261&amp;"|"&amp;$B261&amp;"|"&amp;$C261&amp;"|"&amp;$D261&amp;"|"&amp;$E261&amp;"|"&amp;$F261&amp;"|"&amp;$G261)</f>
        <v/>
      </c>
    </row>
    <row r="262" ht="15" customHeight="1">
      <c r="A262" s="10" t="n"/>
      <c r="B262" s="10" t="n"/>
      <c r="C262" s="10" t="n"/>
      <c r="D262" s="10" t="n"/>
      <c r="E262" s="9" t="n"/>
      <c r="F262" s="9" t="n"/>
      <c r="G262" s="9" t="n"/>
      <c r="H262" s="11" t="n"/>
      <c r="I262" s="9" t="n"/>
      <c r="J262" s="12">
        <f>IF(OR($A262="",$I262&lt;&gt;"OUI"),"",$A262&amp;"|"&amp;$B262&amp;"|"&amp;$C262&amp;"|"&amp;$D262&amp;"|"&amp;$E262&amp;"|"&amp;$F262&amp;"|"&amp;$G262)</f>
        <v/>
      </c>
    </row>
    <row r="263" ht="15" customHeight="1">
      <c r="A263" s="10" t="n"/>
      <c r="B263" s="10" t="n"/>
      <c r="C263" s="10" t="n"/>
      <c r="D263" s="10" t="n"/>
      <c r="E263" s="9" t="n"/>
      <c r="F263" s="9" t="n"/>
      <c r="G263" s="9" t="n"/>
      <c r="H263" s="11" t="n"/>
      <c r="I263" s="9" t="n"/>
      <c r="J263" s="12">
        <f>IF(OR($A263="",$I263&lt;&gt;"OUI"),"",$A263&amp;"|"&amp;$B263&amp;"|"&amp;$C263&amp;"|"&amp;$D263&amp;"|"&amp;$E263&amp;"|"&amp;$F263&amp;"|"&amp;$G263)</f>
        <v/>
      </c>
    </row>
    <row r="264" ht="15" customHeight="1">
      <c r="A264" s="10" t="n"/>
      <c r="B264" s="10" t="n"/>
      <c r="C264" s="10" t="n"/>
      <c r="D264" s="10" t="n"/>
      <c r="E264" s="9" t="n"/>
      <c r="F264" s="9" t="n"/>
      <c r="G264" s="9" t="n"/>
      <c r="H264" s="11" t="n"/>
      <c r="I264" s="9" t="n"/>
      <c r="J264" s="12">
        <f>IF(OR($A264="",$I264&lt;&gt;"OUI"),"",$A264&amp;"|"&amp;$B264&amp;"|"&amp;$C264&amp;"|"&amp;$D264&amp;"|"&amp;$E264&amp;"|"&amp;$F264&amp;"|"&amp;$G264)</f>
        <v/>
      </c>
    </row>
    <row r="265" ht="15" customHeight="1">
      <c r="A265" s="10" t="n"/>
      <c r="B265" s="10" t="n"/>
      <c r="C265" s="10" t="n"/>
      <c r="D265" s="10" t="n"/>
      <c r="E265" s="9" t="n"/>
      <c r="F265" s="9" t="n"/>
      <c r="G265" s="9" t="n"/>
      <c r="H265" s="11" t="n"/>
      <c r="I265" s="9" t="n"/>
      <c r="J265" s="12">
        <f>IF(OR($A265="",$I265&lt;&gt;"OUI"),"",$A265&amp;"|"&amp;$B265&amp;"|"&amp;$C265&amp;"|"&amp;$D265&amp;"|"&amp;$E265&amp;"|"&amp;$F265&amp;"|"&amp;$G265)</f>
        <v/>
      </c>
    </row>
    <row r="266" ht="15" customHeight="1">
      <c r="A266" s="10" t="n"/>
      <c r="B266" s="10" t="n"/>
      <c r="C266" s="10" t="n"/>
      <c r="D266" s="10" t="n"/>
      <c r="E266" s="9" t="n"/>
      <c r="F266" s="9" t="n"/>
      <c r="G266" s="9" t="n"/>
      <c r="H266" s="11" t="n"/>
      <c r="I266" s="9" t="n"/>
      <c r="J266" s="12">
        <f>IF(OR($A266="",$I266&lt;&gt;"OUI"),"",$A266&amp;"|"&amp;$B266&amp;"|"&amp;$C266&amp;"|"&amp;$D266&amp;"|"&amp;$E266&amp;"|"&amp;$F266&amp;"|"&amp;$G266)</f>
        <v/>
      </c>
    </row>
    <row r="267" ht="15" customHeight="1">
      <c r="A267" s="10" t="n"/>
      <c r="B267" s="10" t="n"/>
      <c r="C267" s="10" t="n"/>
      <c r="D267" s="10" t="n"/>
      <c r="E267" s="9" t="n"/>
      <c r="F267" s="9" t="n"/>
      <c r="G267" s="9" t="n"/>
      <c r="H267" s="11" t="n"/>
      <c r="I267" s="9" t="n"/>
      <c r="J267" s="12">
        <f>IF(OR($A267="",$I267&lt;&gt;"OUI"),"",$A267&amp;"|"&amp;$B267&amp;"|"&amp;$C267&amp;"|"&amp;$D267&amp;"|"&amp;$E267&amp;"|"&amp;$F267&amp;"|"&amp;$G267)</f>
        <v/>
      </c>
    </row>
    <row r="268" ht="15" customHeight="1">
      <c r="A268" s="10" t="n"/>
      <c r="B268" s="10" t="n"/>
      <c r="C268" s="10" t="n"/>
      <c r="D268" s="10" t="n"/>
      <c r="E268" s="9" t="n"/>
      <c r="F268" s="9" t="n"/>
      <c r="G268" s="9" t="n"/>
      <c r="H268" s="11" t="n"/>
      <c r="I268" s="9" t="n"/>
      <c r="J268" s="12">
        <f>IF(OR($A268="",$I268&lt;&gt;"OUI"),"",$A268&amp;"|"&amp;$B268&amp;"|"&amp;$C268&amp;"|"&amp;$D268&amp;"|"&amp;$E268&amp;"|"&amp;$F268&amp;"|"&amp;$G268)</f>
        <v/>
      </c>
    </row>
    <row r="269" ht="15" customHeight="1">
      <c r="A269" s="10" t="n"/>
      <c r="B269" s="10" t="n"/>
      <c r="C269" s="10" t="n"/>
      <c r="D269" s="10" t="n"/>
      <c r="E269" s="9" t="n"/>
      <c r="F269" s="9" t="n"/>
      <c r="G269" s="9" t="n"/>
      <c r="H269" s="11" t="n"/>
      <c r="I269" s="9" t="n"/>
      <c r="J269" s="12">
        <f>IF(OR($A269="",$I269&lt;&gt;"OUI"),"",$A269&amp;"|"&amp;$B269&amp;"|"&amp;$C269&amp;"|"&amp;$D269&amp;"|"&amp;$E269&amp;"|"&amp;$F269&amp;"|"&amp;$G269)</f>
        <v/>
      </c>
    </row>
    <row r="270" ht="15" customHeight="1">
      <c r="A270" s="10" t="n"/>
      <c r="B270" s="10" t="n"/>
      <c r="C270" s="10" t="n"/>
      <c r="D270" s="10" t="n"/>
      <c r="E270" s="9" t="n"/>
      <c r="F270" s="9" t="n"/>
      <c r="G270" s="9" t="n"/>
      <c r="H270" s="11" t="n"/>
      <c r="I270" s="9" t="n"/>
      <c r="J270" s="12">
        <f>IF(OR($A270="",$I270&lt;&gt;"OUI"),"",$A270&amp;"|"&amp;$B270&amp;"|"&amp;$C270&amp;"|"&amp;$D270&amp;"|"&amp;$E270&amp;"|"&amp;$F270&amp;"|"&amp;$G270)</f>
        <v/>
      </c>
    </row>
    <row r="271" ht="15" customHeight="1">
      <c r="A271" s="10" t="n"/>
      <c r="B271" s="10" t="n"/>
      <c r="C271" s="10" t="n"/>
      <c r="D271" s="10" t="n"/>
      <c r="E271" s="9" t="n"/>
      <c r="F271" s="9" t="n"/>
      <c r="G271" s="9" t="n"/>
      <c r="H271" s="11" t="n"/>
      <c r="I271" s="9" t="n"/>
      <c r="J271" s="12">
        <f>IF(OR($A271="",$I271&lt;&gt;"OUI"),"",$A271&amp;"|"&amp;$B271&amp;"|"&amp;$C271&amp;"|"&amp;$D271&amp;"|"&amp;$E271&amp;"|"&amp;$F271&amp;"|"&amp;$G271)</f>
        <v/>
      </c>
    </row>
    <row r="272" ht="15" customHeight="1">
      <c r="A272" s="10" t="n"/>
      <c r="B272" s="10" t="n"/>
      <c r="C272" s="10" t="n"/>
      <c r="D272" s="10" t="n"/>
      <c r="E272" s="9" t="n"/>
      <c r="F272" s="9" t="n"/>
      <c r="G272" s="9" t="n"/>
      <c r="H272" s="11" t="n"/>
      <c r="I272" s="9" t="n"/>
      <c r="J272" s="12">
        <f>IF(OR($A272="",$I272&lt;&gt;"OUI"),"",$A272&amp;"|"&amp;$B272&amp;"|"&amp;$C272&amp;"|"&amp;$D272&amp;"|"&amp;$E272&amp;"|"&amp;$F272&amp;"|"&amp;$G272)</f>
        <v/>
      </c>
    </row>
    <row r="273" ht="15" customHeight="1">
      <c r="A273" s="10" t="n"/>
      <c r="B273" s="10" t="n"/>
      <c r="C273" s="10" t="n"/>
      <c r="D273" s="10" t="n"/>
      <c r="E273" s="9" t="n"/>
      <c r="F273" s="9" t="n"/>
      <c r="G273" s="9" t="n"/>
      <c r="H273" s="11" t="n"/>
      <c r="I273" s="9" t="n"/>
      <c r="J273" s="12">
        <f>IF(OR($A273="",$I273&lt;&gt;"OUI"),"",$A273&amp;"|"&amp;$B273&amp;"|"&amp;$C273&amp;"|"&amp;$D273&amp;"|"&amp;$E273&amp;"|"&amp;$F273&amp;"|"&amp;$G273)</f>
        <v/>
      </c>
    </row>
    <row r="274" ht="15" customHeight="1">
      <c r="A274" s="10" t="n"/>
      <c r="B274" s="10" t="n"/>
      <c r="C274" s="10" t="n"/>
      <c r="D274" s="10" t="n"/>
      <c r="E274" s="9" t="n"/>
      <c r="F274" s="9" t="n"/>
      <c r="G274" s="9" t="n"/>
      <c r="H274" s="11" t="n"/>
      <c r="I274" s="9" t="n"/>
      <c r="J274" s="12">
        <f>IF(OR($A274="",$I274&lt;&gt;"OUI"),"",$A274&amp;"|"&amp;$B274&amp;"|"&amp;$C274&amp;"|"&amp;$D274&amp;"|"&amp;$E274&amp;"|"&amp;$F274&amp;"|"&amp;$G274)</f>
        <v/>
      </c>
    </row>
    <row r="275" ht="15" customHeight="1">
      <c r="A275" s="10" t="n"/>
      <c r="B275" s="10" t="n"/>
      <c r="C275" s="10" t="n"/>
      <c r="D275" s="10" t="n"/>
      <c r="E275" s="9" t="n"/>
      <c r="F275" s="9" t="n"/>
      <c r="G275" s="9" t="n"/>
      <c r="H275" s="11" t="n"/>
      <c r="I275" s="9" t="n"/>
      <c r="J275" s="12">
        <f>IF(OR($A275="",$I275&lt;&gt;"OUI"),"",$A275&amp;"|"&amp;$B275&amp;"|"&amp;$C275&amp;"|"&amp;$D275&amp;"|"&amp;$E275&amp;"|"&amp;$F275&amp;"|"&amp;$G275)</f>
        <v/>
      </c>
    </row>
    <row r="276" ht="15" customHeight="1">
      <c r="A276" s="10" t="n"/>
      <c r="B276" s="10" t="n"/>
      <c r="C276" s="10" t="n"/>
      <c r="D276" s="10" t="n"/>
      <c r="E276" s="9" t="n"/>
      <c r="F276" s="9" t="n"/>
      <c r="G276" s="9" t="n"/>
      <c r="H276" s="11" t="n"/>
      <c r="I276" s="9" t="n"/>
      <c r="J276" s="12">
        <f>IF(OR($A276="",$I276&lt;&gt;"OUI"),"",$A276&amp;"|"&amp;$B276&amp;"|"&amp;$C276&amp;"|"&amp;$D276&amp;"|"&amp;$E276&amp;"|"&amp;$F276&amp;"|"&amp;$G276)</f>
        <v/>
      </c>
    </row>
    <row r="277" ht="15" customHeight="1">
      <c r="A277" s="10" t="n"/>
      <c r="B277" s="10" t="n"/>
      <c r="C277" s="10" t="n"/>
      <c r="D277" s="10" t="n"/>
      <c r="E277" s="9" t="n"/>
      <c r="F277" s="9" t="n"/>
      <c r="G277" s="9" t="n"/>
      <c r="H277" s="11" t="n"/>
      <c r="I277" s="9" t="n"/>
      <c r="J277" s="12">
        <f>IF(OR($A277="",$I277&lt;&gt;"OUI"),"",$A277&amp;"|"&amp;$B277&amp;"|"&amp;$C277&amp;"|"&amp;$D277&amp;"|"&amp;$E277&amp;"|"&amp;$F277&amp;"|"&amp;$G277)</f>
        <v/>
      </c>
    </row>
    <row r="278" ht="15" customHeight="1">
      <c r="A278" s="10" t="n"/>
      <c r="B278" s="10" t="n"/>
      <c r="C278" s="10" t="n"/>
      <c r="D278" s="10" t="n"/>
      <c r="E278" s="9" t="n"/>
      <c r="F278" s="9" t="n"/>
      <c r="G278" s="9" t="n"/>
      <c r="H278" s="11" t="n"/>
      <c r="I278" s="9" t="n"/>
      <c r="J278" s="12">
        <f>IF(OR($A278="",$I278&lt;&gt;"OUI"),"",$A278&amp;"|"&amp;$B278&amp;"|"&amp;$C278&amp;"|"&amp;$D278&amp;"|"&amp;$E278&amp;"|"&amp;$F278&amp;"|"&amp;$G278)</f>
        <v/>
      </c>
    </row>
    <row r="279" ht="15" customHeight="1">
      <c r="A279" s="10" t="n"/>
      <c r="B279" s="10" t="n"/>
      <c r="C279" s="10" t="n"/>
      <c r="D279" s="10" t="n"/>
      <c r="E279" s="9" t="n"/>
      <c r="F279" s="9" t="n"/>
      <c r="G279" s="9" t="n"/>
      <c r="H279" s="11" t="n"/>
      <c r="I279" s="9" t="n"/>
      <c r="J279" s="12">
        <f>IF(OR($A279="",$I279&lt;&gt;"OUI"),"",$A279&amp;"|"&amp;$B279&amp;"|"&amp;$C279&amp;"|"&amp;$D279&amp;"|"&amp;$E279&amp;"|"&amp;$F279&amp;"|"&amp;$G279)</f>
        <v/>
      </c>
    </row>
    <row r="280" ht="15" customHeight="1">
      <c r="A280" s="10" t="n"/>
      <c r="B280" s="10" t="n"/>
      <c r="C280" s="10" t="n"/>
      <c r="D280" s="10" t="n"/>
      <c r="E280" s="9" t="n"/>
      <c r="F280" s="9" t="n"/>
      <c r="G280" s="9" t="n"/>
      <c r="H280" s="11" t="n"/>
      <c r="I280" s="9" t="n"/>
      <c r="J280" s="12">
        <f>IF(OR($A280="",$I280&lt;&gt;"OUI"),"",$A280&amp;"|"&amp;$B280&amp;"|"&amp;$C280&amp;"|"&amp;$D280&amp;"|"&amp;$E280&amp;"|"&amp;$F280&amp;"|"&amp;$G280)</f>
        <v/>
      </c>
    </row>
    <row r="281" ht="15" customHeight="1">
      <c r="A281" s="10" t="n"/>
      <c r="B281" s="10" t="n"/>
      <c r="C281" s="10" t="n"/>
      <c r="D281" s="10" t="n"/>
      <c r="E281" s="9" t="n"/>
      <c r="F281" s="9" t="n"/>
      <c r="G281" s="9" t="n"/>
      <c r="H281" s="11" t="n"/>
      <c r="I281" s="9" t="n"/>
      <c r="J281" s="12">
        <f>IF(OR($A281="",$I281&lt;&gt;"OUI"),"",$A281&amp;"|"&amp;$B281&amp;"|"&amp;$C281&amp;"|"&amp;$D281&amp;"|"&amp;$E281&amp;"|"&amp;$F281&amp;"|"&amp;$G281)</f>
        <v/>
      </c>
    </row>
    <row r="282" ht="15" customHeight="1">
      <c r="A282" s="10" t="n"/>
      <c r="B282" s="10" t="n"/>
      <c r="C282" s="10" t="n"/>
      <c r="D282" s="10" t="n"/>
      <c r="E282" s="9" t="n"/>
      <c r="F282" s="9" t="n"/>
      <c r="G282" s="9" t="n"/>
      <c r="H282" s="11" t="n"/>
      <c r="I282" s="9" t="n"/>
      <c r="J282" s="12">
        <f>IF(OR($A282="",$I282&lt;&gt;"OUI"),"",$A282&amp;"|"&amp;$B282&amp;"|"&amp;$C282&amp;"|"&amp;$D282&amp;"|"&amp;$E282&amp;"|"&amp;$F282&amp;"|"&amp;$G282)</f>
        <v/>
      </c>
    </row>
    <row r="283" ht="15" customHeight="1">
      <c r="A283" s="10" t="n"/>
      <c r="B283" s="10" t="n"/>
      <c r="C283" s="10" t="n"/>
      <c r="D283" s="10" t="n"/>
      <c r="E283" s="9" t="n"/>
      <c r="F283" s="9" t="n"/>
      <c r="G283" s="9" t="n"/>
      <c r="H283" s="11" t="n"/>
      <c r="I283" s="9" t="n"/>
      <c r="J283" s="12">
        <f>IF(OR($A283="",$I283&lt;&gt;"OUI"),"",$A283&amp;"|"&amp;$B283&amp;"|"&amp;$C283&amp;"|"&amp;$D283&amp;"|"&amp;$E283&amp;"|"&amp;$F283&amp;"|"&amp;$G283)</f>
        <v/>
      </c>
    </row>
    <row r="284" ht="15" customHeight="1">
      <c r="A284" s="10" t="n"/>
      <c r="B284" s="10" t="n"/>
      <c r="C284" s="10" t="n"/>
      <c r="D284" s="10" t="n"/>
      <c r="E284" s="9" t="n"/>
      <c r="F284" s="9" t="n"/>
      <c r="G284" s="9" t="n"/>
      <c r="H284" s="11" t="n"/>
      <c r="I284" s="9" t="n"/>
      <c r="J284" s="12">
        <f>IF(OR($A284="",$I284&lt;&gt;"OUI"),"",$A284&amp;"|"&amp;$B284&amp;"|"&amp;$C284&amp;"|"&amp;$D284&amp;"|"&amp;$E284&amp;"|"&amp;$F284&amp;"|"&amp;$G284)</f>
        <v/>
      </c>
    </row>
    <row r="285" ht="15" customHeight="1">
      <c r="A285" s="10" t="n"/>
      <c r="B285" s="10" t="n"/>
      <c r="C285" s="10" t="n"/>
      <c r="D285" s="10" t="n"/>
      <c r="E285" s="9" t="n"/>
      <c r="F285" s="9" t="n"/>
      <c r="G285" s="9" t="n"/>
      <c r="H285" s="11" t="n"/>
      <c r="I285" s="9" t="n"/>
      <c r="J285" s="12">
        <f>IF(OR($A285="",$I285&lt;&gt;"OUI"),"",$A285&amp;"|"&amp;$B285&amp;"|"&amp;$C285&amp;"|"&amp;$D285&amp;"|"&amp;$E285&amp;"|"&amp;$F285&amp;"|"&amp;$G285)</f>
        <v/>
      </c>
    </row>
    <row r="286" ht="15" customHeight="1">
      <c r="A286" s="10" t="n"/>
      <c r="B286" s="10" t="n"/>
      <c r="C286" s="10" t="n"/>
      <c r="D286" s="10" t="n"/>
      <c r="E286" s="9" t="n"/>
      <c r="F286" s="9" t="n"/>
      <c r="G286" s="9" t="n"/>
      <c r="H286" s="11" t="n"/>
      <c r="I286" s="9" t="n"/>
      <c r="J286" s="12">
        <f>IF(OR($A286="",$I286&lt;&gt;"OUI"),"",$A286&amp;"|"&amp;$B286&amp;"|"&amp;$C286&amp;"|"&amp;$D286&amp;"|"&amp;$E286&amp;"|"&amp;$F286&amp;"|"&amp;$G286)</f>
        <v/>
      </c>
    </row>
    <row r="287" ht="15" customHeight="1">
      <c r="A287" s="10" t="n"/>
      <c r="B287" s="10" t="n"/>
      <c r="C287" s="10" t="n"/>
      <c r="D287" s="10" t="n"/>
      <c r="E287" s="9" t="n"/>
      <c r="F287" s="9" t="n"/>
      <c r="G287" s="9" t="n"/>
      <c r="H287" s="11" t="n"/>
      <c r="I287" s="9" t="n"/>
      <c r="J287" s="12">
        <f>IF(OR($A287="",$I287&lt;&gt;"OUI"),"",$A287&amp;"|"&amp;$B287&amp;"|"&amp;$C287&amp;"|"&amp;$D287&amp;"|"&amp;$E287&amp;"|"&amp;$F287&amp;"|"&amp;$G287)</f>
        <v/>
      </c>
    </row>
    <row r="288" ht="15" customHeight="1">
      <c r="A288" s="10" t="n"/>
      <c r="B288" s="10" t="n"/>
      <c r="C288" s="10" t="n"/>
      <c r="D288" s="10" t="n"/>
      <c r="E288" s="9" t="n"/>
      <c r="F288" s="9" t="n"/>
      <c r="G288" s="9" t="n"/>
      <c r="H288" s="11" t="n"/>
      <c r="I288" s="9" t="n"/>
      <c r="J288" s="12">
        <f>IF(OR($A288="",$I288&lt;&gt;"OUI"),"",$A288&amp;"|"&amp;$B288&amp;"|"&amp;$C288&amp;"|"&amp;$D288&amp;"|"&amp;$E288&amp;"|"&amp;$F288&amp;"|"&amp;$G288)</f>
        <v/>
      </c>
    </row>
    <row r="289" ht="15" customHeight="1">
      <c r="A289" s="10" t="n"/>
      <c r="B289" s="10" t="n"/>
      <c r="C289" s="10" t="n"/>
      <c r="D289" s="10" t="n"/>
      <c r="E289" s="9" t="n"/>
      <c r="F289" s="9" t="n"/>
      <c r="G289" s="9" t="n"/>
      <c r="H289" s="11" t="n"/>
      <c r="I289" s="9" t="n"/>
      <c r="J289" s="12">
        <f>IF(OR($A289="",$I289&lt;&gt;"OUI"),"",$A289&amp;"|"&amp;$B289&amp;"|"&amp;$C289&amp;"|"&amp;$D289&amp;"|"&amp;$E289&amp;"|"&amp;$F289&amp;"|"&amp;$G289)</f>
        <v/>
      </c>
    </row>
    <row r="290" ht="15" customHeight="1">
      <c r="A290" s="10" t="n"/>
      <c r="B290" s="10" t="n"/>
      <c r="C290" s="10" t="n"/>
      <c r="D290" s="10" t="n"/>
      <c r="E290" s="9" t="n"/>
      <c r="F290" s="9" t="n"/>
      <c r="G290" s="9" t="n"/>
      <c r="H290" s="11" t="n"/>
      <c r="I290" s="9" t="n"/>
      <c r="J290" s="12">
        <f>IF(OR($A290="",$I290&lt;&gt;"OUI"),"",$A290&amp;"|"&amp;$B290&amp;"|"&amp;$C290&amp;"|"&amp;$D290&amp;"|"&amp;$E290&amp;"|"&amp;$F290&amp;"|"&amp;$G290)</f>
        <v/>
      </c>
    </row>
    <row r="291" ht="15" customHeight="1">
      <c r="A291" s="10" t="n"/>
      <c r="B291" s="10" t="n"/>
      <c r="C291" s="10" t="n"/>
      <c r="D291" s="10" t="n"/>
      <c r="E291" s="9" t="n"/>
      <c r="F291" s="9" t="n"/>
      <c r="G291" s="9" t="n"/>
      <c r="H291" s="11" t="n"/>
      <c r="I291" s="9" t="n"/>
      <c r="J291" s="12">
        <f>IF(OR($A291="",$I291&lt;&gt;"OUI"),"",$A291&amp;"|"&amp;$B291&amp;"|"&amp;$C291&amp;"|"&amp;$D291&amp;"|"&amp;$E291&amp;"|"&amp;$F291&amp;"|"&amp;$G291)</f>
        <v/>
      </c>
    </row>
    <row r="292" ht="15" customHeight="1">
      <c r="A292" s="10" t="n"/>
      <c r="B292" s="10" t="n"/>
      <c r="C292" s="10" t="n"/>
      <c r="D292" s="10" t="n"/>
      <c r="E292" s="9" t="n"/>
      <c r="F292" s="9" t="n"/>
      <c r="G292" s="9" t="n"/>
      <c r="H292" s="11" t="n"/>
      <c r="I292" s="9" t="n"/>
      <c r="J292" s="12">
        <f>IF(OR($A292="",$I292&lt;&gt;"OUI"),"",$A292&amp;"|"&amp;$B292&amp;"|"&amp;$C292&amp;"|"&amp;$D292&amp;"|"&amp;$E292&amp;"|"&amp;$F292&amp;"|"&amp;$G292)</f>
        <v/>
      </c>
    </row>
    <row r="293" ht="15" customHeight="1">
      <c r="A293" s="10" t="n"/>
      <c r="B293" s="10" t="n"/>
      <c r="C293" s="10" t="n"/>
      <c r="D293" s="10" t="n"/>
      <c r="E293" s="9" t="n"/>
      <c r="F293" s="9" t="n"/>
      <c r="G293" s="9" t="n"/>
      <c r="H293" s="11" t="n"/>
      <c r="I293" s="9" t="n"/>
      <c r="J293" s="12">
        <f>IF(OR($A293="",$I293&lt;&gt;"OUI"),"",$A293&amp;"|"&amp;$B293&amp;"|"&amp;$C293&amp;"|"&amp;$D293&amp;"|"&amp;$E293&amp;"|"&amp;$F293&amp;"|"&amp;$G293)</f>
        <v/>
      </c>
    </row>
    <row r="294" ht="15" customHeight="1">
      <c r="A294" s="10" t="n"/>
      <c r="B294" s="10" t="n"/>
      <c r="C294" s="10" t="n"/>
      <c r="D294" s="10" t="n"/>
      <c r="E294" s="9" t="n"/>
      <c r="F294" s="9" t="n"/>
      <c r="G294" s="9" t="n"/>
      <c r="H294" s="11" t="n"/>
      <c r="I294" s="9" t="n"/>
      <c r="J294" s="12">
        <f>IF(OR($A294="",$I294&lt;&gt;"OUI"),"",$A294&amp;"|"&amp;$B294&amp;"|"&amp;$C294&amp;"|"&amp;$D294&amp;"|"&amp;$E294&amp;"|"&amp;$F294&amp;"|"&amp;$G294)</f>
        <v/>
      </c>
    </row>
    <row r="295" ht="15" customHeight="1">
      <c r="A295" s="10" t="n"/>
      <c r="B295" s="10" t="n"/>
      <c r="C295" s="10" t="n"/>
      <c r="D295" s="10" t="n"/>
      <c r="E295" s="9" t="n"/>
      <c r="F295" s="9" t="n"/>
      <c r="G295" s="9" t="n"/>
      <c r="H295" s="11" t="n"/>
      <c r="I295" s="9" t="n"/>
      <c r="J295" s="12">
        <f>IF(OR($A295="",$I295&lt;&gt;"OUI"),"",$A295&amp;"|"&amp;$B295&amp;"|"&amp;$C295&amp;"|"&amp;$D295&amp;"|"&amp;$E295&amp;"|"&amp;$F295&amp;"|"&amp;$G295)</f>
        <v/>
      </c>
    </row>
    <row r="296" ht="15" customHeight="1">
      <c r="A296" s="10" t="n"/>
      <c r="B296" s="10" t="n"/>
      <c r="C296" s="10" t="n"/>
      <c r="D296" s="10" t="n"/>
      <c r="E296" s="9" t="n"/>
      <c r="F296" s="9" t="n"/>
      <c r="G296" s="9" t="n"/>
      <c r="H296" s="11" t="n"/>
      <c r="I296" s="9" t="n"/>
      <c r="J296" s="12">
        <f>IF(OR($A296="",$I296&lt;&gt;"OUI"),"",$A296&amp;"|"&amp;$B296&amp;"|"&amp;$C296&amp;"|"&amp;$D296&amp;"|"&amp;$E296&amp;"|"&amp;$F296&amp;"|"&amp;$G296)</f>
        <v/>
      </c>
    </row>
    <row r="297" ht="15" customHeight="1">
      <c r="A297" s="10" t="n"/>
      <c r="B297" s="10" t="n"/>
      <c r="C297" s="10" t="n"/>
      <c r="D297" s="10" t="n"/>
      <c r="E297" s="9" t="n"/>
      <c r="F297" s="9" t="n"/>
      <c r="G297" s="9" t="n"/>
      <c r="H297" s="11" t="n"/>
      <c r="I297" s="9" t="n"/>
      <c r="J297" s="12">
        <f>IF(OR($A297="",$I297&lt;&gt;"OUI"),"",$A297&amp;"|"&amp;$B297&amp;"|"&amp;$C297&amp;"|"&amp;$D297&amp;"|"&amp;$E297&amp;"|"&amp;$F297&amp;"|"&amp;$G297)</f>
        <v/>
      </c>
    </row>
    <row r="298" ht="15" customHeight="1">
      <c r="A298" s="10" t="n"/>
      <c r="B298" s="10" t="n"/>
      <c r="C298" s="10" t="n"/>
      <c r="D298" s="10" t="n"/>
      <c r="E298" s="9" t="n"/>
      <c r="F298" s="9" t="n"/>
      <c r="G298" s="9" t="n"/>
      <c r="H298" s="11" t="n"/>
      <c r="I298" s="9" t="n"/>
      <c r="J298" s="12">
        <f>IF(OR($A298="",$I298&lt;&gt;"OUI"),"",$A298&amp;"|"&amp;$B298&amp;"|"&amp;$C298&amp;"|"&amp;$D298&amp;"|"&amp;$E298&amp;"|"&amp;$F298&amp;"|"&amp;$G298)</f>
        <v/>
      </c>
    </row>
    <row r="299" ht="15" customHeight="1">
      <c r="A299" s="10" t="n"/>
      <c r="B299" s="10" t="n"/>
      <c r="C299" s="10" t="n"/>
      <c r="D299" s="10" t="n"/>
      <c r="E299" s="9" t="n"/>
      <c r="F299" s="9" t="n"/>
      <c r="G299" s="9" t="n"/>
      <c r="H299" s="11" t="n"/>
      <c r="I299" s="9" t="n"/>
      <c r="J299" s="12">
        <f>IF(OR($A299="",$I299&lt;&gt;"OUI"),"",$A299&amp;"|"&amp;$B299&amp;"|"&amp;$C299&amp;"|"&amp;$D299&amp;"|"&amp;$E299&amp;"|"&amp;$F299&amp;"|"&amp;$G299)</f>
        <v/>
      </c>
    </row>
    <row r="300" ht="15" customHeight="1">
      <c r="A300" s="10" t="n"/>
      <c r="B300" s="10" t="n"/>
      <c r="C300" s="10" t="n"/>
      <c r="D300" s="10" t="n"/>
      <c r="E300" s="9" t="n"/>
      <c r="F300" s="9" t="n"/>
      <c r="G300" s="9" t="n"/>
      <c r="H300" s="11" t="n"/>
      <c r="I300" s="9" t="n"/>
      <c r="J300" s="12">
        <f>IF(OR($A300="",$I300&lt;&gt;"OUI"),"",$A300&amp;"|"&amp;$B300&amp;"|"&amp;$C300&amp;"|"&amp;$D300&amp;"|"&amp;$E300&amp;"|"&amp;$F300&amp;"|"&amp;$G300)</f>
        <v/>
      </c>
    </row>
    <row r="301" ht="15" customHeight="1">
      <c r="A301" s="10" t="n"/>
      <c r="B301" s="10" t="n"/>
      <c r="C301" s="10" t="n"/>
      <c r="D301" s="10" t="n"/>
      <c r="E301" s="9" t="n"/>
      <c r="F301" s="9" t="n"/>
      <c r="G301" s="9" t="n"/>
      <c r="H301" s="11" t="n"/>
      <c r="I301" s="9" t="n"/>
      <c r="J301" s="12">
        <f>IF(OR($A301="",$I301&lt;&gt;"OUI"),"",$A301&amp;"|"&amp;$B301&amp;"|"&amp;$C301&amp;"|"&amp;$D301&amp;"|"&amp;$E301&amp;"|"&amp;$F301&amp;"|"&amp;$G301)</f>
        <v/>
      </c>
    </row>
    <row r="302" ht="15" customHeight="1">
      <c r="A302" s="10" t="n"/>
      <c r="B302" s="10" t="n"/>
      <c r="C302" s="10" t="n"/>
      <c r="D302" s="10" t="n"/>
      <c r="E302" s="9" t="n"/>
      <c r="F302" s="9" t="n"/>
      <c r="G302" s="9" t="n"/>
      <c r="H302" s="11" t="n"/>
      <c r="I302" s="9" t="n"/>
      <c r="J302" s="12">
        <f>IF(OR($A302="",$I302&lt;&gt;"OUI"),"",$A302&amp;"|"&amp;$B302&amp;"|"&amp;$C302&amp;"|"&amp;$D302&amp;"|"&amp;$E302&amp;"|"&amp;$F302&amp;"|"&amp;$G302)</f>
        <v/>
      </c>
    </row>
    <row r="303" ht="15" customHeight="1">
      <c r="A303" s="10" t="n"/>
      <c r="B303" s="10" t="n"/>
      <c r="C303" s="10" t="n"/>
      <c r="D303" s="10" t="n"/>
      <c r="E303" s="9" t="n"/>
      <c r="F303" s="9" t="n"/>
      <c r="G303" s="9" t="n"/>
      <c r="H303" s="11" t="n"/>
      <c r="I303" s="9" t="n"/>
      <c r="J303" s="12">
        <f>IF(OR($A303="",$I303&lt;&gt;"OUI"),"",$A303&amp;"|"&amp;$B303&amp;"|"&amp;$C303&amp;"|"&amp;$D303&amp;"|"&amp;$E303&amp;"|"&amp;$F303&amp;"|"&amp;$G303)</f>
        <v/>
      </c>
    </row>
    <row r="304" ht="15" customHeight="1">
      <c r="A304" s="10" t="n"/>
      <c r="B304" s="10" t="n"/>
      <c r="C304" s="10" t="n"/>
      <c r="D304" s="10" t="n"/>
      <c r="E304" s="9" t="n"/>
      <c r="F304" s="9" t="n"/>
      <c r="G304" s="9" t="n"/>
      <c r="H304" s="11" t="n"/>
      <c r="I304" s="9" t="n"/>
      <c r="J304" s="12">
        <f>IF(OR($A304="",$I304&lt;&gt;"OUI"),"",$A304&amp;"|"&amp;$B304&amp;"|"&amp;$C304&amp;"|"&amp;$D304&amp;"|"&amp;$E304&amp;"|"&amp;$F304&amp;"|"&amp;$G304)</f>
        <v/>
      </c>
    </row>
    <row r="305" ht="15" customHeight="1">
      <c r="A305" s="10" t="n"/>
      <c r="B305" s="10" t="n"/>
      <c r="C305" s="10" t="n"/>
      <c r="D305" s="10" t="n"/>
      <c r="E305" s="9" t="n"/>
      <c r="F305" s="9" t="n"/>
      <c r="G305" s="9" t="n"/>
      <c r="H305" s="11" t="n"/>
      <c r="I305" s="9" t="n"/>
      <c r="J305" s="12">
        <f>IF(OR($A305="",$I305&lt;&gt;"OUI"),"",$A305&amp;"|"&amp;$B305&amp;"|"&amp;$C305&amp;"|"&amp;$D305&amp;"|"&amp;$E305&amp;"|"&amp;$F305&amp;"|"&amp;$G305)</f>
        <v/>
      </c>
    </row>
    <row r="306" ht="15" customHeight="1">
      <c r="A306" s="10" t="n"/>
      <c r="B306" s="10" t="n"/>
      <c r="C306" s="10" t="n"/>
      <c r="D306" s="10" t="n"/>
      <c r="E306" s="9" t="n"/>
      <c r="F306" s="9" t="n"/>
      <c r="G306" s="9" t="n"/>
      <c r="H306" s="11" t="n"/>
      <c r="I306" s="9" t="n"/>
      <c r="J306" s="12">
        <f>IF(OR($A306="",$I306&lt;&gt;"OUI"),"",$A306&amp;"|"&amp;$B306&amp;"|"&amp;$C306&amp;"|"&amp;$D306&amp;"|"&amp;$E306&amp;"|"&amp;$F306&amp;"|"&amp;$G306)</f>
        <v/>
      </c>
    </row>
    <row r="307" ht="15" customHeight="1">
      <c r="A307" s="10" t="n"/>
      <c r="B307" s="10" t="n"/>
      <c r="C307" s="10" t="n"/>
      <c r="D307" s="10" t="n"/>
      <c r="E307" s="9" t="n"/>
      <c r="F307" s="9" t="n"/>
      <c r="G307" s="9" t="n"/>
      <c r="H307" s="11" t="n"/>
      <c r="I307" s="9" t="n"/>
      <c r="J307" s="12">
        <f>IF(OR($A307="",$I307&lt;&gt;"OUI"),"",$A307&amp;"|"&amp;$B307&amp;"|"&amp;$C307&amp;"|"&amp;$D307&amp;"|"&amp;$E307&amp;"|"&amp;$F307&amp;"|"&amp;$G307)</f>
        <v/>
      </c>
    </row>
    <row r="308" ht="15" customHeight="1">
      <c r="A308" s="10" t="n"/>
      <c r="B308" s="10" t="n"/>
      <c r="C308" s="10" t="n"/>
      <c r="D308" s="10" t="n"/>
      <c r="E308" s="9" t="n"/>
      <c r="F308" s="9" t="n"/>
      <c r="G308" s="9" t="n"/>
      <c r="H308" s="11" t="n"/>
      <c r="I308" s="9" t="n"/>
      <c r="J308" s="12">
        <f>IF(OR($A308="",$I308&lt;&gt;"OUI"),"",$A308&amp;"|"&amp;$B308&amp;"|"&amp;$C308&amp;"|"&amp;$D308&amp;"|"&amp;$E308&amp;"|"&amp;$F308&amp;"|"&amp;$G308)</f>
        <v/>
      </c>
    </row>
    <row r="309" ht="15" customHeight="1">
      <c r="A309" s="10" t="n"/>
      <c r="B309" s="10" t="n"/>
      <c r="C309" s="10" t="n"/>
      <c r="D309" s="10" t="n"/>
      <c r="E309" s="9" t="n"/>
      <c r="F309" s="9" t="n"/>
      <c r="G309" s="9" t="n"/>
      <c r="H309" s="11" t="n"/>
      <c r="I309" s="9" t="n"/>
      <c r="J309" s="12">
        <f>IF(OR($A309="",$I309&lt;&gt;"OUI"),"",$A309&amp;"|"&amp;$B309&amp;"|"&amp;$C309&amp;"|"&amp;$D309&amp;"|"&amp;$E309&amp;"|"&amp;$F309&amp;"|"&amp;$G309)</f>
        <v/>
      </c>
    </row>
    <row r="310" ht="15" customHeight="1">
      <c r="A310" s="10" t="n"/>
      <c r="B310" s="10" t="n"/>
      <c r="C310" s="10" t="n"/>
      <c r="D310" s="10" t="n"/>
      <c r="E310" s="9" t="n"/>
      <c r="F310" s="9" t="n"/>
      <c r="G310" s="9" t="n"/>
      <c r="H310" s="11" t="n"/>
      <c r="I310" s="9" t="n"/>
      <c r="J310" s="12">
        <f>IF(OR($A310="",$I310&lt;&gt;"OUI"),"",$A310&amp;"|"&amp;$B310&amp;"|"&amp;$C310&amp;"|"&amp;$D310&amp;"|"&amp;$E310&amp;"|"&amp;$F310&amp;"|"&amp;$G310)</f>
        <v/>
      </c>
    </row>
    <row r="311" ht="15" customHeight="1">
      <c r="A311" s="10" t="n"/>
      <c r="B311" s="10" t="n"/>
      <c r="C311" s="10" t="n"/>
      <c r="D311" s="10" t="n"/>
      <c r="E311" s="9" t="n"/>
      <c r="F311" s="9" t="n"/>
      <c r="G311" s="9" t="n"/>
      <c r="H311" s="11" t="n"/>
      <c r="I311" s="9" t="n"/>
      <c r="J311" s="12">
        <f>IF(OR($A311="",$I311&lt;&gt;"OUI"),"",$A311&amp;"|"&amp;$B311&amp;"|"&amp;$C311&amp;"|"&amp;$D311&amp;"|"&amp;$E311&amp;"|"&amp;$F311&amp;"|"&amp;$G311)</f>
        <v/>
      </c>
    </row>
    <row r="312" ht="15" customHeight="1">
      <c r="A312" s="10" t="n"/>
      <c r="B312" s="10" t="n"/>
      <c r="C312" s="10" t="n"/>
      <c r="D312" s="10" t="n"/>
      <c r="E312" s="9" t="n"/>
      <c r="F312" s="9" t="n"/>
      <c r="G312" s="9" t="n"/>
      <c r="H312" s="11" t="n"/>
      <c r="I312" s="9" t="n"/>
      <c r="J312" s="12">
        <f>IF(OR($A312="",$I312&lt;&gt;"OUI"),"",$A312&amp;"|"&amp;$B312&amp;"|"&amp;$C312&amp;"|"&amp;$D312&amp;"|"&amp;$E312&amp;"|"&amp;$F312&amp;"|"&amp;$G312)</f>
        <v/>
      </c>
    </row>
    <row r="313" ht="15" customHeight="1">
      <c r="A313" s="10" t="n"/>
      <c r="B313" s="10" t="n"/>
      <c r="C313" s="10" t="n"/>
      <c r="D313" s="10" t="n"/>
      <c r="E313" s="9" t="n"/>
      <c r="F313" s="9" t="n"/>
      <c r="G313" s="9" t="n"/>
      <c r="H313" s="11" t="n"/>
      <c r="I313" s="9" t="n"/>
      <c r="J313" s="12">
        <f>IF(OR($A313="",$I313&lt;&gt;"OUI"),"",$A313&amp;"|"&amp;$B313&amp;"|"&amp;$C313&amp;"|"&amp;$D313&amp;"|"&amp;$E313&amp;"|"&amp;$F313&amp;"|"&amp;$G313)</f>
        <v/>
      </c>
    </row>
    <row r="314" ht="15" customHeight="1">
      <c r="A314" s="10" t="n"/>
      <c r="B314" s="10" t="n"/>
      <c r="C314" s="10" t="n"/>
      <c r="D314" s="10" t="n"/>
      <c r="E314" s="9" t="n"/>
      <c r="F314" s="9" t="n"/>
      <c r="G314" s="9" t="n"/>
      <c r="H314" s="11" t="n"/>
      <c r="I314" s="9" t="n"/>
      <c r="J314" s="12">
        <f>IF(OR($A314="",$I314&lt;&gt;"OUI"),"",$A314&amp;"|"&amp;$B314&amp;"|"&amp;$C314&amp;"|"&amp;$D314&amp;"|"&amp;$E314&amp;"|"&amp;$F314&amp;"|"&amp;$G314)</f>
        <v/>
      </c>
    </row>
    <row r="315" ht="15" customHeight="1">
      <c r="A315" s="10" t="n"/>
      <c r="B315" s="10" t="n"/>
      <c r="C315" s="10" t="n"/>
      <c r="D315" s="10" t="n"/>
      <c r="E315" s="9" t="n"/>
      <c r="F315" s="9" t="n"/>
      <c r="G315" s="9" t="n"/>
      <c r="H315" s="11" t="n"/>
      <c r="I315" s="9" t="n"/>
      <c r="J315" s="12">
        <f>IF(OR($A315="",$I315&lt;&gt;"OUI"),"",$A315&amp;"|"&amp;$B315&amp;"|"&amp;$C315&amp;"|"&amp;$D315&amp;"|"&amp;$E315&amp;"|"&amp;$F315&amp;"|"&amp;$G315)</f>
        <v/>
      </c>
    </row>
    <row r="316" ht="15" customHeight="1">
      <c r="A316" s="10" t="n"/>
      <c r="B316" s="10" t="n"/>
      <c r="C316" s="10" t="n"/>
      <c r="D316" s="10" t="n"/>
      <c r="E316" s="9" t="n"/>
      <c r="F316" s="9" t="n"/>
      <c r="G316" s="9" t="n"/>
      <c r="H316" s="11" t="n"/>
      <c r="I316" s="9" t="n"/>
      <c r="J316" s="12">
        <f>IF(OR($A316="",$I316&lt;&gt;"OUI"),"",$A316&amp;"|"&amp;$B316&amp;"|"&amp;$C316&amp;"|"&amp;$D316&amp;"|"&amp;$E316&amp;"|"&amp;$F316&amp;"|"&amp;$G316)</f>
        <v/>
      </c>
    </row>
    <row r="317" ht="15" customHeight="1">
      <c r="A317" s="10" t="n"/>
      <c r="B317" s="10" t="n"/>
      <c r="C317" s="10" t="n"/>
      <c r="D317" s="10" t="n"/>
      <c r="E317" s="9" t="n"/>
      <c r="F317" s="9" t="n"/>
      <c r="G317" s="9" t="n"/>
      <c r="H317" s="11" t="n"/>
      <c r="I317" s="9" t="n"/>
      <c r="J317" s="12">
        <f>IF(OR($A317="",$I317&lt;&gt;"OUI"),"",$A317&amp;"|"&amp;$B317&amp;"|"&amp;$C317&amp;"|"&amp;$D317&amp;"|"&amp;$E317&amp;"|"&amp;$F317&amp;"|"&amp;$G317)</f>
        <v/>
      </c>
    </row>
    <row r="318" ht="15" customHeight="1">
      <c r="A318" s="10" t="n"/>
      <c r="B318" s="10" t="n"/>
      <c r="C318" s="10" t="n"/>
      <c r="D318" s="10" t="n"/>
      <c r="E318" s="9" t="n"/>
      <c r="F318" s="9" t="n"/>
      <c r="G318" s="9" t="n"/>
      <c r="H318" s="11" t="n"/>
      <c r="I318" s="9" t="n"/>
      <c r="J318" s="12">
        <f>IF(OR($A318="",$I318&lt;&gt;"OUI"),"",$A318&amp;"|"&amp;$B318&amp;"|"&amp;$C318&amp;"|"&amp;$D318&amp;"|"&amp;$E318&amp;"|"&amp;$F318&amp;"|"&amp;$G318)</f>
        <v/>
      </c>
    </row>
    <row r="319" ht="15" customHeight="1">
      <c r="A319" s="10" t="n"/>
      <c r="B319" s="10" t="n"/>
      <c r="C319" s="10" t="n"/>
      <c r="D319" s="10" t="n"/>
      <c r="E319" s="9" t="n"/>
      <c r="F319" s="9" t="n"/>
      <c r="G319" s="9" t="n"/>
      <c r="H319" s="11" t="n"/>
      <c r="I319" s="9" t="n"/>
      <c r="J319" s="12">
        <f>IF(OR($A319="",$I319&lt;&gt;"OUI"),"",$A319&amp;"|"&amp;$B319&amp;"|"&amp;$C319&amp;"|"&amp;$D319&amp;"|"&amp;$E319&amp;"|"&amp;$F319&amp;"|"&amp;$G319)</f>
        <v/>
      </c>
    </row>
    <row r="320" ht="15" customHeight="1">
      <c r="A320" s="10" t="n"/>
      <c r="B320" s="10" t="n"/>
      <c r="C320" s="10" t="n"/>
      <c r="D320" s="10" t="n"/>
      <c r="E320" s="9" t="n"/>
      <c r="F320" s="9" t="n"/>
      <c r="G320" s="9" t="n"/>
      <c r="H320" s="11" t="n"/>
      <c r="I320" s="9" t="n"/>
      <c r="J320" s="12">
        <f>IF(OR($A320="",$I320&lt;&gt;"OUI"),"",$A320&amp;"|"&amp;$B320&amp;"|"&amp;$C320&amp;"|"&amp;$D320&amp;"|"&amp;$E320&amp;"|"&amp;$F320&amp;"|"&amp;$G320)</f>
        <v/>
      </c>
    </row>
    <row r="321" ht="15" customHeight="1">
      <c r="A321" s="10" t="n"/>
      <c r="B321" s="10" t="n"/>
      <c r="C321" s="10" t="n"/>
      <c r="D321" s="10" t="n"/>
      <c r="E321" s="9" t="n"/>
      <c r="F321" s="9" t="n"/>
      <c r="G321" s="9" t="n"/>
      <c r="H321" s="11" t="n"/>
      <c r="I321" s="9" t="n"/>
      <c r="J321" s="12">
        <f>IF(OR($A321="",$I321&lt;&gt;"OUI"),"",$A321&amp;"|"&amp;$B321&amp;"|"&amp;$C321&amp;"|"&amp;$D321&amp;"|"&amp;$E321&amp;"|"&amp;$F321&amp;"|"&amp;$G321)</f>
        <v/>
      </c>
    </row>
    <row r="322" ht="15" customHeight="1">
      <c r="A322" s="10" t="n"/>
      <c r="B322" s="10" t="n"/>
      <c r="C322" s="10" t="n"/>
      <c r="D322" s="10" t="n"/>
      <c r="E322" s="9" t="n"/>
      <c r="F322" s="9" t="n"/>
      <c r="G322" s="9" t="n"/>
      <c r="H322" s="11" t="n"/>
      <c r="I322" s="9" t="n"/>
      <c r="J322" s="12">
        <f>IF(OR($A322="",$I322&lt;&gt;"OUI"),"",$A322&amp;"|"&amp;$B322&amp;"|"&amp;$C322&amp;"|"&amp;$D322&amp;"|"&amp;$E322&amp;"|"&amp;$F322&amp;"|"&amp;$G322)</f>
        <v/>
      </c>
    </row>
    <row r="323" ht="15" customHeight="1">
      <c r="A323" s="10" t="n"/>
      <c r="B323" s="10" t="n"/>
      <c r="C323" s="10" t="n"/>
      <c r="D323" s="10" t="n"/>
      <c r="E323" s="9" t="n"/>
      <c r="F323" s="9" t="n"/>
      <c r="G323" s="9" t="n"/>
      <c r="H323" s="11" t="n"/>
      <c r="I323" s="9" t="n"/>
      <c r="J323" s="12">
        <f>IF(OR($A323="",$I323&lt;&gt;"OUI"),"",$A323&amp;"|"&amp;$B323&amp;"|"&amp;$C323&amp;"|"&amp;$D323&amp;"|"&amp;$E323&amp;"|"&amp;$F323&amp;"|"&amp;$G323)</f>
        <v/>
      </c>
    </row>
    <row r="324" ht="15" customHeight="1">
      <c r="A324" s="10" t="n"/>
      <c r="B324" s="10" t="n"/>
      <c r="C324" s="10" t="n"/>
      <c r="D324" s="10" t="n"/>
      <c r="E324" s="9" t="n"/>
      <c r="F324" s="9" t="n"/>
      <c r="G324" s="9" t="n"/>
      <c r="H324" s="11" t="n"/>
      <c r="I324" s="9" t="n"/>
      <c r="J324" s="12">
        <f>IF(OR($A324="",$I324&lt;&gt;"OUI"),"",$A324&amp;"|"&amp;$B324&amp;"|"&amp;$C324&amp;"|"&amp;$D324&amp;"|"&amp;$E324&amp;"|"&amp;$F324&amp;"|"&amp;$G324)</f>
        <v/>
      </c>
    </row>
    <row r="325" ht="15" customHeight="1">
      <c r="A325" s="10" t="n"/>
      <c r="B325" s="10" t="n"/>
      <c r="C325" s="10" t="n"/>
      <c r="D325" s="10" t="n"/>
      <c r="E325" s="9" t="n"/>
      <c r="F325" s="9" t="n"/>
      <c r="G325" s="9" t="n"/>
      <c r="H325" s="11" t="n"/>
      <c r="I325" s="9" t="n"/>
      <c r="J325" s="12">
        <f>IF(OR($A325="",$I325&lt;&gt;"OUI"),"",$A325&amp;"|"&amp;$B325&amp;"|"&amp;$C325&amp;"|"&amp;$D325&amp;"|"&amp;$E325&amp;"|"&amp;$F325&amp;"|"&amp;$G325)</f>
        <v/>
      </c>
    </row>
    <row r="326" ht="15" customHeight="1">
      <c r="A326" s="10" t="n"/>
      <c r="B326" s="10" t="n"/>
      <c r="C326" s="10" t="n"/>
      <c r="D326" s="10" t="n"/>
      <c r="E326" s="9" t="n"/>
      <c r="F326" s="9" t="n"/>
      <c r="G326" s="9" t="n"/>
      <c r="H326" s="11" t="n"/>
      <c r="I326" s="9" t="n"/>
      <c r="J326" s="12">
        <f>IF(OR($A326="",$I326&lt;&gt;"OUI"),"",$A326&amp;"|"&amp;$B326&amp;"|"&amp;$C326&amp;"|"&amp;$D326&amp;"|"&amp;$E326&amp;"|"&amp;$F326&amp;"|"&amp;$G326)</f>
        <v/>
      </c>
    </row>
    <row r="327" ht="15" customHeight="1">
      <c r="A327" s="10" t="n"/>
      <c r="B327" s="10" t="n"/>
      <c r="C327" s="10" t="n"/>
      <c r="D327" s="10" t="n"/>
      <c r="E327" s="9" t="n"/>
      <c r="F327" s="9" t="n"/>
      <c r="G327" s="9" t="n"/>
      <c r="H327" s="11" t="n"/>
      <c r="I327" s="9" t="n"/>
      <c r="J327" s="12">
        <f>IF(OR($A327="",$I327&lt;&gt;"OUI"),"",$A327&amp;"|"&amp;$B327&amp;"|"&amp;$C327&amp;"|"&amp;$D327&amp;"|"&amp;$E327&amp;"|"&amp;$F327&amp;"|"&amp;$G327)</f>
        <v/>
      </c>
    </row>
    <row r="328" ht="15" customHeight="1">
      <c r="A328" s="10" t="n"/>
      <c r="B328" s="10" t="n"/>
      <c r="C328" s="10" t="n"/>
      <c r="D328" s="10" t="n"/>
      <c r="E328" s="9" t="n"/>
      <c r="F328" s="9" t="n"/>
      <c r="G328" s="9" t="n"/>
      <c r="H328" s="11" t="n"/>
      <c r="I328" s="9" t="n"/>
      <c r="J328" s="12">
        <f>IF(OR($A328="",$I328&lt;&gt;"OUI"),"",$A328&amp;"|"&amp;$B328&amp;"|"&amp;$C328&amp;"|"&amp;$D328&amp;"|"&amp;$E328&amp;"|"&amp;$F328&amp;"|"&amp;$G328)</f>
        <v/>
      </c>
    </row>
    <row r="329" ht="15" customHeight="1">
      <c r="A329" s="10" t="n"/>
      <c r="B329" s="10" t="n"/>
      <c r="C329" s="10" t="n"/>
      <c r="D329" s="10" t="n"/>
      <c r="E329" s="9" t="n"/>
      <c r="F329" s="9" t="n"/>
      <c r="G329" s="9" t="n"/>
      <c r="H329" s="11" t="n"/>
      <c r="I329" s="9" t="n"/>
      <c r="J329" s="12">
        <f>IF(OR($A329="",$I329&lt;&gt;"OUI"),"",$A329&amp;"|"&amp;$B329&amp;"|"&amp;$C329&amp;"|"&amp;$D329&amp;"|"&amp;$E329&amp;"|"&amp;$F329&amp;"|"&amp;$G329)</f>
        <v/>
      </c>
    </row>
    <row r="330" ht="15" customHeight="1">
      <c r="A330" s="10" t="n"/>
      <c r="B330" s="10" t="n"/>
      <c r="C330" s="10" t="n"/>
      <c r="D330" s="10" t="n"/>
      <c r="E330" s="9" t="n"/>
      <c r="F330" s="9" t="n"/>
      <c r="G330" s="9" t="n"/>
      <c r="H330" s="11" t="n"/>
      <c r="I330" s="9" t="n"/>
      <c r="J330" s="12">
        <f>IF(OR($A330="",$I330&lt;&gt;"OUI"),"",$A330&amp;"|"&amp;$B330&amp;"|"&amp;$C330&amp;"|"&amp;$D330&amp;"|"&amp;$E330&amp;"|"&amp;$F330&amp;"|"&amp;$G330)</f>
        <v/>
      </c>
    </row>
    <row r="331" ht="15" customHeight="1">
      <c r="A331" s="10" t="n"/>
      <c r="B331" s="10" t="n"/>
      <c r="C331" s="10" t="n"/>
      <c r="D331" s="10" t="n"/>
      <c r="E331" s="9" t="n"/>
      <c r="F331" s="9" t="n"/>
      <c r="G331" s="9" t="n"/>
      <c r="H331" s="11" t="n"/>
      <c r="I331" s="9" t="n"/>
      <c r="J331" s="12">
        <f>IF(OR($A331="",$I331&lt;&gt;"OUI"),"",$A331&amp;"|"&amp;$B331&amp;"|"&amp;$C331&amp;"|"&amp;$D331&amp;"|"&amp;$E331&amp;"|"&amp;$F331&amp;"|"&amp;$G331)</f>
        <v/>
      </c>
    </row>
    <row r="332" ht="15" customHeight="1">
      <c r="A332" s="10" t="n"/>
      <c r="B332" s="10" t="n"/>
      <c r="C332" s="10" t="n"/>
      <c r="D332" s="10" t="n"/>
      <c r="E332" s="9" t="n"/>
      <c r="F332" s="9" t="n"/>
      <c r="G332" s="9" t="n"/>
      <c r="H332" s="11" t="n"/>
      <c r="I332" s="9" t="n"/>
      <c r="J332" s="12">
        <f>IF(OR($A332="",$I332&lt;&gt;"OUI"),"",$A332&amp;"|"&amp;$B332&amp;"|"&amp;$C332&amp;"|"&amp;$D332&amp;"|"&amp;$E332&amp;"|"&amp;$F332&amp;"|"&amp;$G332)</f>
        <v/>
      </c>
    </row>
    <row r="333" ht="15" customHeight="1">
      <c r="A333" s="10" t="n"/>
      <c r="B333" s="10" t="n"/>
      <c r="C333" s="10" t="n"/>
      <c r="D333" s="10" t="n"/>
      <c r="E333" s="9" t="n"/>
      <c r="F333" s="9" t="n"/>
      <c r="G333" s="9" t="n"/>
      <c r="H333" s="11" t="n"/>
      <c r="I333" s="9" t="n"/>
      <c r="J333" s="12">
        <f>IF(OR($A333="",$I333&lt;&gt;"OUI"),"",$A333&amp;"|"&amp;$B333&amp;"|"&amp;$C333&amp;"|"&amp;$D333&amp;"|"&amp;$E333&amp;"|"&amp;$F333&amp;"|"&amp;$G333)</f>
        <v/>
      </c>
    </row>
    <row r="334" ht="15" customHeight="1">
      <c r="A334" s="10" t="n"/>
      <c r="B334" s="10" t="n"/>
      <c r="C334" s="10" t="n"/>
      <c r="D334" s="10" t="n"/>
      <c r="E334" s="9" t="n"/>
      <c r="F334" s="9" t="n"/>
      <c r="G334" s="9" t="n"/>
      <c r="H334" s="11" t="n"/>
      <c r="I334" s="9" t="n"/>
      <c r="J334" s="12">
        <f>IF(OR($A334="",$I334&lt;&gt;"OUI"),"",$A334&amp;"|"&amp;$B334&amp;"|"&amp;$C334&amp;"|"&amp;$D334&amp;"|"&amp;$E334&amp;"|"&amp;$F334&amp;"|"&amp;$G334)</f>
        <v/>
      </c>
    </row>
    <row r="335" ht="15" customHeight="1">
      <c r="A335" s="10" t="n"/>
      <c r="B335" s="10" t="n"/>
      <c r="C335" s="10" t="n"/>
      <c r="D335" s="10" t="n"/>
      <c r="E335" s="9" t="n"/>
      <c r="F335" s="9" t="n"/>
      <c r="G335" s="9" t="n"/>
      <c r="H335" s="11" t="n"/>
      <c r="I335" s="9" t="n"/>
      <c r="J335" s="12">
        <f>IF(OR($A335="",$I335&lt;&gt;"OUI"),"",$A335&amp;"|"&amp;$B335&amp;"|"&amp;$C335&amp;"|"&amp;$D335&amp;"|"&amp;$E335&amp;"|"&amp;$F335&amp;"|"&amp;$G335)</f>
        <v/>
      </c>
    </row>
    <row r="336" ht="15" customHeight="1">
      <c r="A336" s="10" t="n"/>
      <c r="B336" s="10" t="n"/>
      <c r="C336" s="10" t="n"/>
      <c r="D336" s="10" t="n"/>
      <c r="E336" s="9" t="n"/>
      <c r="F336" s="9" t="n"/>
      <c r="G336" s="9" t="n"/>
      <c r="H336" s="11" t="n"/>
      <c r="I336" s="9" t="n"/>
      <c r="J336" s="12">
        <f>IF(OR($A336="",$I336&lt;&gt;"OUI"),"",$A336&amp;"|"&amp;$B336&amp;"|"&amp;$C336&amp;"|"&amp;$D336&amp;"|"&amp;$E336&amp;"|"&amp;$F336&amp;"|"&amp;$G336)</f>
        <v/>
      </c>
    </row>
    <row r="337" ht="15" customHeight="1">
      <c r="A337" s="10" t="n"/>
      <c r="B337" s="10" t="n"/>
      <c r="C337" s="10" t="n"/>
      <c r="D337" s="10" t="n"/>
      <c r="E337" s="9" t="n"/>
      <c r="F337" s="9" t="n"/>
      <c r="G337" s="9" t="n"/>
      <c r="H337" s="11" t="n"/>
      <c r="I337" s="9" t="n"/>
      <c r="J337" s="12">
        <f>IF(OR($A337="",$I337&lt;&gt;"OUI"),"",$A337&amp;"|"&amp;$B337&amp;"|"&amp;$C337&amp;"|"&amp;$D337&amp;"|"&amp;$E337&amp;"|"&amp;$F337&amp;"|"&amp;$G337)</f>
        <v/>
      </c>
    </row>
    <row r="338" ht="15" customHeight="1">
      <c r="A338" s="10" t="n"/>
      <c r="B338" s="10" t="n"/>
      <c r="C338" s="10" t="n"/>
      <c r="D338" s="10" t="n"/>
      <c r="E338" s="9" t="n"/>
      <c r="F338" s="9" t="n"/>
      <c r="G338" s="9" t="n"/>
      <c r="H338" s="11" t="n"/>
      <c r="I338" s="9" t="n"/>
      <c r="J338" s="12">
        <f>IF(OR($A338="",$I338&lt;&gt;"OUI"),"",$A338&amp;"|"&amp;$B338&amp;"|"&amp;$C338&amp;"|"&amp;$D338&amp;"|"&amp;$E338&amp;"|"&amp;$F338&amp;"|"&amp;$G338)</f>
        <v/>
      </c>
    </row>
    <row r="339" ht="15" customHeight="1">
      <c r="A339" s="10" t="n"/>
      <c r="B339" s="10" t="n"/>
      <c r="C339" s="10" t="n"/>
      <c r="D339" s="10" t="n"/>
      <c r="E339" s="9" t="n"/>
      <c r="F339" s="9" t="n"/>
      <c r="G339" s="9" t="n"/>
      <c r="H339" s="11" t="n"/>
      <c r="I339" s="9" t="n"/>
      <c r="J339" s="12">
        <f>IF(OR($A339="",$I339&lt;&gt;"OUI"),"",$A339&amp;"|"&amp;$B339&amp;"|"&amp;$C339&amp;"|"&amp;$D339&amp;"|"&amp;$E339&amp;"|"&amp;$F339&amp;"|"&amp;$G339)</f>
        <v/>
      </c>
    </row>
    <row r="340" ht="15" customHeight="1">
      <c r="A340" s="10" t="n"/>
      <c r="B340" s="10" t="n"/>
      <c r="C340" s="10" t="n"/>
      <c r="D340" s="10" t="n"/>
      <c r="E340" s="9" t="n"/>
      <c r="F340" s="9" t="n"/>
      <c r="G340" s="9" t="n"/>
      <c r="H340" s="11" t="n"/>
      <c r="I340" s="9" t="n"/>
      <c r="J340" s="12">
        <f>IF(OR($A340="",$I340&lt;&gt;"OUI"),"",$A340&amp;"|"&amp;$B340&amp;"|"&amp;$C340&amp;"|"&amp;$D340&amp;"|"&amp;$E340&amp;"|"&amp;$F340&amp;"|"&amp;$G340)</f>
        <v/>
      </c>
    </row>
    <row r="341" ht="15" customHeight="1">
      <c r="A341" s="10" t="n"/>
      <c r="B341" s="10" t="n"/>
      <c r="C341" s="10" t="n"/>
      <c r="D341" s="10" t="n"/>
      <c r="E341" s="9" t="n"/>
      <c r="F341" s="9" t="n"/>
      <c r="G341" s="9" t="n"/>
      <c r="H341" s="11" t="n"/>
      <c r="I341" s="9" t="n"/>
      <c r="J341" s="12">
        <f>IF(OR($A341="",$I341&lt;&gt;"OUI"),"",$A341&amp;"|"&amp;$B341&amp;"|"&amp;$C341&amp;"|"&amp;$D341&amp;"|"&amp;$E341&amp;"|"&amp;$F341&amp;"|"&amp;$G341)</f>
        <v/>
      </c>
    </row>
    <row r="342" ht="15" customHeight="1">
      <c r="A342" s="10" t="n"/>
      <c r="B342" s="10" t="n"/>
      <c r="C342" s="10" t="n"/>
      <c r="D342" s="10" t="n"/>
      <c r="E342" s="9" t="n"/>
      <c r="F342" s="9" t="n"/>
      <c r="G342" s="9" t="n"/>
      <c r="H342" s="11" t="n"/>
      <c r="I342" s="9" t="n"/>
      <c r="J342" s="12">
        <f>IF(OR($A342="",$I342&lt;&gt;"OUI"),"",$A342&amp;"|"&amp;$B342&amp;"|"&amp;$C342&amp;"|"&amp;$D342&amp;"|"&amp;$E342&amp;"|"&amp;$F342&amp;"|"&amp;$G342)</f>
        <v/>
      </c>
    </row>
    <row r="345" ht="21" customHeight="1">
      <c r="A345" s="4" t="inlineStr">
        <is>
          <t>EMPLOYES</t>
        </is>
      </c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</row>
    <row r="346" ht="33" customHeight="1">
      <c r="A346" s="5" t="inlineStr">
        <is>
          <t>MATRICULE</t>
        </is>
      </c>
      <c r="B346" s="5" t="inlineStr">
        <is>
          <t>NOM ET PRENOM</t>
        </is>
      </c>
      <c r="C346" s="5" t="inlineStr">
        <is>
          <t>ACTIF</t>
        </is>
      </c>
    </row>
    <row r="347" ht="15" customHeight="1">
      <c r="A347" s="13" t="n"/>
      <c r="B347" s="10" t="n"/>
      <c r="C347" s="9" t="n"/>
    </row>
    <row r="348" ht="15" customHeight="1">
      <c r="A348" s="13" t="n"/>
      <c r="B348" s="10" t="n"/>
      <c r="C348" s="9" t="n"/>
    </row>
    <row r="349" ht="15" customHeight="1">
      <c r="A349" s="13" t="n"/>
      <c r="B349" s="10" t="n"/>
      <c r="C349" s="9" t="n"/>
    </row>
    <row r="350" ht="15" customHeight="1">
      <c r="A350" s="13" t="n"/>
      <c r="B350" s="10" t="n"/>
      <c r="C350" s="9" t="n"/>
    </row>
    <row r="351" ht="15" customHeight="1">
      <c r="A351" s="13" t="n"/>
      <c r="B351" s="10" t="n"/>
      <c r="C351" s="9" t="n"/>
    </row>
    <row r="352" ht="15" customHeight="1">
      <c r="A352" s="13" t="n"/>
      <c r="B352" s="10" t="n"/>
      <c r="C352" s="9" t="n"/>
    </row>
    <row r="353" ht="15" customHeight="1">
      <c r="A353" s="13" t="n"/>
      <c r="B353" s="10" t="n"/>
      <c r="C353" s="9" t="n"/>
    </row>
    <row r="354" ht="15" customHeight="1">
      <c r="A354" s="13" t="n"/>
      <c r="B354" s="10" t="n"/>
      <c r="C354" s="9" t="n"/>
    </row>
    <row r="355" ht="15" customHeight="1">
      <c r="A355" s="13" t="n"/>
      <c r="B355" s="10" t="n"/>
      <c r="C355" s="9" t="n"/>
    </row>
    <row r="356" ht="15" customHeight="1">
      <c r="A356" s="13" t="n"/>
      <c r="B356" s="10" t="n"/>
      <c r="C356" s="9" t="n"/>
    </row>
    <row r="357" ht="15" customHeight="1">
      <c r="A357" s="13" t="n"/>
      <c r="B357" s="10" t="n"/>
      <c r="C357" s="9" t="n"/>
    </row>
    <row r="358" ht="15" customHeight="1">
      <c r="A358" s="13" t="n"/>
      <c r="B358" s="10" t="n"/>
      <c r="C358" s="9" t="n"/>
    </row>
    <row r="359" ht="15" customHeight="1">
      <c r="A359" s="13" t="n"/>
      <c r="B359" s="10" t="n"/>
      <c r="C359" s="9" t="n"/>
    </row>
    <row r="360" ht="15" customHeight="1">
      <c r="A360" s="13" t="n"/>
      <c r="B360" s="10" t="n"/>
      <c r="C360" s="9" t="n"/>
    </row>
    <row r="361" ht="15" customHeight="1">
      <c r="A361" s="13" t="n"/>
      <c r="B361" s="10" t="n"/>
      <c r="C361" s="9" t="n"/>
    </row>
    <row r="362" ht="15" customHeight="1">
      <c r="A362" s="13" t="n"/>
      <c r="B362" s="10" t="n"/>
      <c r="C362" s="9" t="n"/>
    </row>
    <row r="363" ht="15" customHeight="1">
      <c r="A363" s="13" t="n"/>
      <c r="B363" s="10" t="n"/>
      <c r="C363" s="9" t="n"/>
    </row>
    <row r="364" ht="15" customHeight="1">
      <c r="A364" s="13" t="n"/>
      <c r="B364" s="10" t="n"/>
      <c r="C364" s="9" t="n"/>
    </row>
    <row r="365" ht="15" customHeight="1">
      <c r="A365" s="13" t="n"/>
      <c r="B365" s="10" t="n"/>
      <c r="C365" s="9" t="n"/>
    </row>
    <row r="366" ht="15" customHeight="1">
      <c r="A366" s="13" t="n"/>
      <c r="B366" s="10" t="n"/>
      <c r="C366" s="9" t="n"/>
    </row>
    <row r="367" ht="15" customHeight="1">
      <c r="A367" s="13" t="n"/>
      <c r="B367" s="10" t="n"/>
      <c r="C367" s="9" t="n"/>
    </row>
    <row r="368" ht="15" customHeight="1">
      <c r="A368" s="13" t="n"/>
      <c r="B368" s="10" t="n"/>
      <c r="C368" s="9" t="n"/>
    </row>
    <row r="369" ht="15" customHeight="1">
      <c r="A369" s="13" t="n"/>
      <c r="B369" s="10" t="n"/>
      <c r="C369" s="9" t="n"/>
    </row>
    <row r="370" ht="15" customHeight="1">
      <c r="A370" s="13" t="n"/>
      <c r="B370" s="10" t="n"/>
      <c r="C370" s="9" t="n"/>
    </row>
    <row r="371" ht="15" customHeight="1">
      <c r="A371" s="13" t="n"/>
      <c r="B371" s="10" t="n"/>
      <c r="C371" s="9" t="n"/>
    </row>
    <row r="372" ht="15" customHeight="1">
      <c r="A372" s="13" t="n"/>
      <c r="B372" s="10" t="n"/>
      <c r="C372" s="9" t="n"/>
    </row>
    <row r="373" ht="15" customHeight="1">
      <c r="A373" s="13" t="n"/>
      <c r="B373" s="10" t="n"/>
      <c r="C373" s="9" t="n"/>
    </row>
    <row r="374" ht="15" customHeight="1">
      <c r="A374" s="13" t="n"/>
      <c r="B374" s="10" t="n"/>
      <c r="C374" s="9" t="n"/>
    </row>
    <row r="375" ht="15" customHeight="1">
      <c r="A375" s="13" t="n"/>
      <c r="B375" s="10" t="n"/>
      <c r="C375" s="9" t="n"/>
    </row>
    <row r="376" ht="15" customHeight="1">
      <c r="A376" s="13" t="n"/>
      <c r="B376" s="10" t="n"/>
      <c r="C376" s="9" t="n"/>
    </row>
    <row r="377" ht="15" customHeight="1">
      <c r="A377" s="13" t="n"/>
      <c r="B377" s="10" t="n"/>
      <c r="C377" s="9" t="n"/>
    </row>
    <row r="378" ht="15" customHeight="1">
      <c r="A378" s="13" t="n"/>
      <c r="B378" s="10" t="n"/>
      <c r="C378" s="9" t="n"/>
    </row>
    <row r="379" ht="15" customHeight="1">
      <c r="A379" s="13" t="n"/>
      <c r="B379" s="10" t="n"/>
      <c r="C379" s="9" t="n"/>
    </row>
    <row r="380" ht="15" customHeight="1">
      <c r="A380" s="13" t="n"/>
      <c r="B380" s="10" t="n"/>
      <c r="C380" s="9" t="n"/>
    </row>
    <row r="381" ht="15" customHeight="1">
      <c r="A381" s="13" t="n"/>
      <c r="B381" s="10" t="n"/>
      <c r="C381" s="9" t="n"/>
    </row>
    <row r="382" ht="15" customHeight="1">
      <c r="A382" s="13" t="n"/>
      <c r="B382" s="10" t="n"/>
      <c r="C382" s="9" t="n"/>
    </row>
    <row r="383" ht="15" customHeight="1">
      <c r="A383" s="13" t="n"/>
      <c r="B383" s="10" t="n"/>
      <c r="C383" s="9" t="n"/>
    </row>
    <row r="384" ht="15" customHeight="1">
      <c r="A384" s="13" t="n"/>
      <c r="B384" s="10" t="n"/>
      <c r="C384" s="9" t="n"/>
    </row>
    <row r="385" ht="15" customHeight="1">
      <c r="A385" s="13" t="n"/>
      <c r="B385" s="10" t="n"/>
      <c r="C385" s="9" t="n"/>
    </row>
    <row r="386" ht="15" customHeight="1">
      <c r="A386" s="13" t="n"/>
      <c r="B386" s="10" t="n"/>
      <c r="C386" s="9" t="n"/>
    </row>
    <row r="387" ht="15" customHeight="1">
      <c r="A387" s="13" t="n"/>
      <c r="B387" s="10" t="n"/>
      <c r="C387" s="9" t="n"/>
    </row>
    <row r="388" ht="15" customHeight="1">
      <c r="A388" s="13" t="n"/>
      <c r="B388" s="10" t="n"/>
      <c r="C388" s="9" t="n"/>
    </row>
    <row r="389" ht="15" customHeight="1">
      <c r="A389" s="13" t="n"/>
      <c r="B389" s="10" t="n"/>
      <c r="C389" s="9" t="n"/>
    </row>
    <row r="390" ht="15" customHeight="1">
      <c r="A390" s="13" t="n"/>
      <c r="B390" s="10" t="n"/>
      <c r="C390" s="9" t="n"/>
    </row>
    <row r="391" ht="15" customHeight="1">
      <c r="A391" s="13" t="n"/>
      <c r="B391" s="10" t="n"/>
      <c r="C391" s="9" t="n"/>
    </row>
    <row r="392" ht="15" customHeight="1">
      <c r="A392" s="13" t="n"/>
      <c r="B392" s="10" t="n"/>
      <c r="C392" s="9" t="n"/>
    </row>
    <row r="393" ht="15" customHeight="1">
      <c r="A393" s="13" t="n"/>
      <c r="B393" s="10" t="n"/>
      <c r="C393" s="9" t="n"/>
    </row>
    <row r="394" ht="15" customHeight="1">
      <c r="A394" s="13" t="n"/>
      <c r="B394" s="10" t="n"/>
      <c r="C394" s="9" t="n"/>
    </row>
    <row r="395" ht="15" customHeight="1">
      <c r="A395" s="13" t="n"/>
      <c r="B395" s="10" t="n"/>
      <c r="C395" s="9" t="n"/>
    </row>
    <row r="396" ht="15" customHeight="1">
      <c r="A396" s="13" t="n"/>
      <c r="B396" s="10" t="n"/>
      <c r="C396" s="9" t="n"/>
    </row>
    <row r="397" ht="15" customHeight="1">
      <c r="A397" s="13" t="n"/>
      <c r="B397" s="10" t="n"/>
      <c r="C397" s="9" t="n"/>
    </row>
    <row r="398" ht="15" customHeight="1">
      <c r="A398" s="13" t="n"/>
      <c r="B398" s="10" t="n"/>
      <c r="C398" s="9" t="n"/>
    </row>
    <row r="399" ht="15" customHeight="1">
      <c r="A399" s="13" t="n"/>
      <c r="B399" s="10" t="n"/>
      <c r="C399" s="9" t="n"/>
    </row>
    <row r="400" ht="15" customHeight="1">
      <c r="A400" s="13" t="n"/>
      <c r="B400" s="10" t="n"/>
      <c r="C400" s="9" t="n"/>
    </row>
    <row r="401" ht="15" customHeight="1">
      <c r="A401" s="13" t="n"/>
      <c r="B401" s="10" t="n"/>
      <c r="C401" s="9" t="n"/>
    </row>
    <row r="402" ht="15" customHeight="1">
      <c r="A402" s="13" t="n"/>
      <c r="B402" s="10" t="n"/>
      <c r="C402" s="9" t="n"/>
    </row>
    <row r="403" ht="15" customHeight="1">
      <c r="A403" s="13" t="n"/>
      <c r="B403" s="10" t="n"/>
      <c r="C403" s="9" t="n"/>
    </row>
    <row r="404" ht="15" customHeight="1">
      <c r="A404" s="13" t="n"/>
      <c r="B404" s="10" t="n"/>
      <c r="C404" s="9" t="n"/>
    </row>
    <row r="405" ht="15" customHeight="1">
      <c r="A405" s="13" t="n"/>
      <c r="B405" s="10" t="n"/>
      <c r="C405" s="9" t="n"/>
    </row>
    <row r="406" ht="15" customHeight="1">
      <c r="A406" s="13" t="n"/>
      <c r="B406" s="10" t="n"/>
      <c r="C406" s="9" t="n"/>
    </row>
    <row r="407" ht="15" customHeight="1">
      <c r="A407" s="13" t="n"/>
      <c r="B407" s="10" t="n"/>
      <c r="C407" s="9" t="n"/>
    </row>
    <row r="408" ht="15" customHeight="1">
      <c r="A408" s="13" t="n"/>
      <c r="B408" s="10" t="n"/>
      <c r="C408" s="9" t="n"/>
    </row>
    <row r="409" ht="15" customHeight="1">
      <c r="A409" s="13" t="n"/>
      <c r="B409" s="10" t="n"/>
      <c r="C409" s="9" t="n"/>
    </row>
    <row r="410" ht="15" customHeight="1">
      <c r="A410" s="13" t="n"/>
      <c r="B410" s="10" t="n"/>
      <c r="C410" s="9" t="n"/>
    </row>
    <row r="411" ht="15" customHeight="1">
      <c r="A411" s="13" t="n"/>
      <c r="B411" s="10" t="n"/>
      <c r="C411" s="9" t="n"/>
    </row>
    <row r="412" ht="15" customHeight="1">
      <c r="A412" s="13" t="n"/>
      <c r="B412" s="10" t="n"/>
      <c r="C412" s="9" t="n"/>
    </row>
    <row r="413" ht="15" customHeight="1">
      <c r="A413" s="13" t="n"/>
      <c r="B413" s="10" t="n"/>
      <c r="C413" s="9" t="n"/>
    </row>
    <row r="414" ht="15" customHeight="1">
      <c r="A414" s="13" t="n"/>
      <c r="B414" s="10" t="n"/>
      <c r="C414" s="9" t="n"/>
    </row>
    <row r="415" ht="15" customHeight="1">
      <c r="A415" s="13" t="n"/>
      <c r="B415" s="10" t="n"/>
      <c r="C415" s="9" t="n"/>
    </row>
    <row r="416" ht="15" customHeight="1">
      <c r="A416" s="13" t="n"/>
      <c r="B416" s="10" t="n"/>
      <c r="C416" s="9" t="n"/>
    </row>
    <row r="417" ht="15" customHeight="1">
      <c r="A417" s="13" t="n"/>
      <c r="B417" s="10" t="n"/>
      <c r="C417" s="9" t="n"/>
    </row>
    <row r="418" ht="15" customHeight="1">
      <c r="A418" s="13" t="n"/>
      <c r="B418" s="10" t="n"/>
      <c r="C418" s="9" t="n"/>
    </row>
    <row r="419" ht="15" customHeight="1">
      <c r="A419" s="13" t="n"/>
      <c r="B419" s="10" t="n"/>
      <c r="C419" s="9" t="n"/>
    </row>
    <row r="420" ht="15" customHeight="1">
      <c r="A420" s="13" t="n"/>
      <c r="B420" s="10" t="n"/>
      <c r="C420" s="9" t="n"/>
    </row>
    <row r="421" ht="15" customHeight="1">
      <c r="A421" s="13" t="n"/>
      <c r="B421" s="10" t="n"/>
      <c r="C421" s="9" t="n"/>
    </row>
    <row r="422" ht="15" customHeight="1">
      <c r="A422" s="13" t="n"/>
      <c r="B422" s="10" t="n"/>
      <c r="C422" s="9" t="n"/>
    </row>
    <row r="423" ht="15" customHeight="1">
      <c r="A423" s="13" t="n"/>
      <c r="B423" s="10" t="n"/>
      <c r="C423" s="9" t="n"/>
    </row>
    <row r="424" ht="15" customHeight="1">
      <c r="A424" s="13" t="n"/>
      <c r="B424" s="10" t="n"/>
      <c r="C424" s="9" t="n"/>
    </row>
    <row r="425" ht="15" customHeight="1">
      <c r="A425" s="13" t="n"/>
      <c r="B425" s="10" t="n"/>
      <c r="C425" s="9" t="n"/>
    </row>
    <row r="426" ht="15" customHeight="1">
      <c r="A426" s="13" t="n"/>
      <c r="B426" s="10" t="n"/>
      <c r="C426" s="9" t="n"/>
    </row>
    <row r="427" ht="15" customHeight="1">
      <c r="A427" s="13" t="n"/>
      <c r="B427" s="10" t="n"/>
      <c r="C427" s="9" t="n"/>
    </row>
    <row r="428" ht="15" customHeight="1">
      <c r="A428" s="13" t="n"/>
      <c r="B428" s="10" t="n"/>
      <c r="C428" s="9" t="n"/>
    </row>
    <row r="429" ht="15" customHeight="1">
      <c r="A429" s="13" t="n"/>
      <c r="B429" s="10" t="n"/>
      <c r="C429" s="9" t="n"/>
    </row>
    <row r="430" ht="15" customHeight="1">
      <c r="A430" s="13" t="n"/>
      <c r="B430" s="10" t="n"/>
      <c r="C430" s="9" t="n"/>
    </row>
    <row r="431" ht="15" customHeight="1">
      <c r="A431" s="13" t="n"/>
      <c r="B431" s="10" t="n"/>
      <c r="C431" s="9" t="n"/>
    </row>
    <row r="432" ht="15" customHeight="1">
      <c r="A432" s="13" t="n"/>
      <c r="B432" s="10" t="n"/>
      <c r="C432" s="9" t="n"/>
    </row>
    <row r="433" ht="15" customHeight="1">
      <c r="A433" s="13" t="n"/>
      <c r="B433" s="10" t="n"/>
      <c r="C433" s="9" t="n"/>
    </row>
    <row r="434" ht="15" customHeight="1">
      <c r="A434" s="13" t="n"/>
      <c r="B434" s="10" t="n"/>
      <c r="C434" s="9" t="n"/>
    </row>
    <row r="435" ht="15" customHeight="1">
      <c r="A435" s="13" t="n"/>
      <c r="B435" s="10" t="n"/>
      <c r="C435" s="9" t="n"/>
    </row>
    <row r="436" ht="15" customHeight="1">
      <c r="A436" s="13" t="n"/>
      <c r="B436" s="10" t="n"/>
      <c r="C436" s="9" t="n"/>
    </row>
    <row r="437" ht="15" customHeight="1">
      <c r="A437" s="13" t="n"/>
      <c r="B437" s="10" t="n"/>
      <c r="C437" s="9" t="n"/>
    </row>
    <row r="438" ht="15" customHeight="1">
      <c r="A438" s="13" t="n"/>
      <c r="B438" s="10" t="n"/>
      <c r="C438" s="9" t="n"/>
    </row>
    <row r="439" ht="15" customHeight="1">
      <c r="A439" s="13" t="n"/>
      <c r="B439" s="10" t="n"/>
      <c r="C439" s="9" t="n"/>
    </row>
    <row r="440" ht="15" customHeight="1">
      <c r="A440" s="13" t="n"/>
      <c r="B440" s="10" t="n"/>
      <c r="C440" s="9" t="n"/>
    </row>
    <row r="441" ht="15" customHeight="1">
      <c r="A441" s="13" t="n"/>
      <c r="B441" s="10" t="n"/>
      <c r="C441" s="9" t="n"/>
    </row>
    <row r="442" ht="15" customHeight="1">
      <c r="A442" s="13" t="n"/>
      <c r="B442" s="10" t="n"/>
      <c r="C442" s="9" t="n"/>
    </row>
    <row r="443" ht="15" customHeight="1">
      <c r="A443" s="13" t="n"/>
      <c r="B443" s="10" t="n"/>
      <c r="C443" s="9" t="n"/>
    </row>
    <row r="444" ht="15" customHeight="1">
      <c r="A444" s="13" t="n"/>
      <c r="B444" s="10" t="n"/>
      <c r="C444" s="9" t="n"/>
    </row>
    <row r="445" ht="15" customHeight="1">
      <c r="A445" s="13" t="n"/>
      <c r="B445" s="10" t="n"/>
      <c r="C445" s="9" t="n"/>
    </row>
    <row r="446" ht="15" customHeight="1">
      <c r="A446" s="13" t="n"/>
      <c r="B446" s="10" t="n"/>
      <c r="C446" s="9" t="n"/>
    </row>
    <row r="447" ht="15" customHeight="1">
      <c r="A447" s="13" t="n"/>
      <c r="B447" s="10" t="n"/>
      <c r="C447" s="9" t="n"/>
    </row>
    <row r="448" ht="15" customHeight="1">
      <c r="A448" s="13" t="n"/>
      <c r="B448" s="10" t="n"/>
      <c r="C448" s="9" t="n"/>
    </row>
    <row r="449" ht="15" customHeight="1">
      <c r="A449" s="13" t="n"/>
      <c r="B449" s="10" t="n"/>
      <c r="C449" s="9" t="n"/>
    </row>
    <row r="450" ht="15" customHeight="1">
      <c r="A450" s="13" t="n"/>
      <c r="B450" s="10" t="n"/>
      <c r="C450" s="9" t="n"/>
    </row>
    <row r="451" ht="15" customHeight="1">
      <c r="A451" s="13" t="n"/>
      <c r="B451" s="10" t="n"/>
      <c r="C451" s="9" t="n"/>
    </row>
    <row r="452" ht="15" customHeight="1">
      <c r="A452" s="13" t="n"/>
      <c r="B452" s="10" t="n"/>
      <c r="C452" s="9" t="n"/>
    </row>
    <row r="453" ht="15" customHeight="1">
      <c r="A453" s="13" t="n"/>
      <c r="B453" s="10" t="n"/>
      <c r="C453" s="9" t="n"/>
    </row>
    <row r="454" ht="15" customHeight="1">
      <c r="A454" s="13" t="n"/>
      <c r="B454" s="10" t="n"/>
      <c r="C454" s="9" t="n"/>
    </row>
    <row r="455" ht="15" customHeight="1">
      <c r="A455" s="13" t="n"/>
      <c r="B455" s="10" t="n"/>
      <c r="C455" s="9" t="n"/>
    </row>
    <row r="456" ht="15" customHeight="1">
      <c r="A456" s="13" t="n"/>
      <c r="B456" s="10" t="n"/>
      <c r="C456" s="9" t="n"/>
    </row>
    <row r="457" ht="15" customHeight="1">
      <c r="A457" s="13" t="n"/>
      <c r="B457" s="10" t="n"/>
      <c r="C457" s="9" t="n"/>
    </row>
    <row r="458" ht="15" customHeight="1">
      <c r="A458" s="13" t="n"/>
      <c r="B458" s="10" t="n"/>
      <c r="C458" s="9" t="n"/>
    </row>
    <row r="459" ht="15" customHeight="1">
      <c r="A459" s="13" t="n"/>
      <c r="B459" s="10" t="n"/>
      <c r="C459" s="9" t="n"/>
    </row>
    <row r="460" ht="15" customHeight="1">
      <c r="A460" s="13" t="n"/>
      <c r="B460" s="10" t="n"/>
      <c r="C460" s="9" t="n"/>
    </row>
    <row r="461" ht="15" customHeight="1">
      <c r="A461" s="13" t="n"/>
      <c r="B461" s="10" t="n"/>
      <c r="C461" s="9" t="n"/>
    </row>
    <row r="462" ht="15" customHeight="1">
      <c r="A462" s="13" t="n"/>
      <c r="B462" s="10" t="n"/>
      <c r="C462" s="9" t="n"/>
    </row>
    <row r="463" ht="15" customHeight="1">
      <c r="A463" s="13" t="n"/>
      <c r="B463" s="10" t="n"/>
      <c r="C463" s="9" t="n"/>
    </row>
    <row r="464" ht="15" customHeight="1">
      <c r="A464" s="13" t="n"/>
      <c r="B464" s="10" t="n"/>
      <c r="C464" s="9" t="n"/>
    </row>
    <row r="465" ht="15" customHeight="1">
      <c r="A465" s="13" t="n"/>
      <c r="B465" s="10" t="n"/>
      <c r="C465" s="9" t="n"/>
    </row>
    <row r="466" ht="15" customHeight="1">
      <c r="A466" s="13" t="n"/>
      <c r="B466" s="10" t="n"/>
      <c r="C466" s="9" t="n"/>
    </row>
    <row r="467" ht="15" customHeight="1">
      <c r="A467" s="13" t="n"/>
      <c r="B467" s="10" t="n"/>
      <c r="C467" s="9" t="n"/>
    </row>
    <row r="468" ht="15" customHeight="1">
      <c r="A468" s="13" t="n"/>
      <c r="B468" s="10" t="n"/>
      <c r="C468" s="9" t="n"/>
    </row>
    <row r="469" ht="15" customHeight="1">
      <c r="A469" s="13" t="n"/>
      <c r="B469" s="10" t="n"/>
      <c r="C469" s="9" t="n"/>
    </row>
    <row r="470" ht="15" customHeight="1">
      <c r="A470" s="13" t="n"/>
      <c r="B470" s="10" t="n"/>
      <c r="C470" s="9" t="n"/>
    </row>
    <row r="471" ht="15" customHeight="1">
      <c r="A471" s="13" t="n"/>
      <c r="B471" s="10" t="n"/>
      <c r="C471" s="9" t="n"/>
    </row>
    <row r="472" ht="15" customHeight="1">
      <c r="A472" s="13" t="n"/>
      <c r="B472" s="10" t="n"/>
      <c r="C472" s="9" t="n"/>
    </row>
    <row r="473" ht="15" customHeight="1">
      <c r="A473" s="13" t="n"/>
      <c r="B473" s="10" t="n"/>
      <c r="C473" s="9" t="n"/>
    </row>
    <row r="474" ht="15" customHeight="1">
      <c r="A474" s="13" t="n"/>
      <c r="B474" s="10" t="n"/>
      <c r="C474" s="9" t="n"/>
    </row>
    <row r="475" ht="15" customHeight="1">
      <c r="A475" s="13" t="n"/>
      <c r="B475" s="10" t="n"/>
      <c r="C475" s="9" t="n"/>
    </row>
    <row r="476" ht="15" customHeight="1">
      <c r="A476" s="13" t="n"/>
      <c r="B476" s="10" t="n"/>
      <c r="C476" s="9" t="n"/>
    </row>
    <row r="477" ht="15" customHeight="1">
      <c r="A477" s="13" t="n"/>
      <c r="B477" s="10" t="n"/>
      <c r="C477" s="9" t="n"/>
    </row>
    <row r="478" ht="15" customHeight="1">
      <c r="A478" s="13" t="n"/>
      <c r="B478" s="10" t="n"/>
      <c r="C478" s="9" t="n"/>
    </row>
    <row r="479" ht="15" customHeight="1">
      <c r="A479" s="13" t="n"/>
      <c r="B479" s="10" t="n"/>
      <c r="C479" s="9" t="n"/>
    </row>
    <row r="480" ht="15" customHeight="1">
      <c r="A480" s="13" t="n"/>
      <c r="B480" s="10" t="n"/>
      <c r="C480" s="9" t="n"/>
    </row>
    <row r="481" ht="15" customHeight="1">
      <c r="A481" s="13" t="n"/>
      <c r="B481" s="10" t="n"/>
      <c r="C481" s="9" t="n"/>
    </row>
    <row r="482" ht="15" customHeight="1">
      <c r="A482" s="13" t="n"/>
      <c r="B482" s="10" t="n"/>
      <c r="C482" s="9" t="n"/>
    </row>
    <row r="483" ht="15" customHeight="1">
      <c r="A483" s="13" t="n"/>
      <c r="B483" s="10" t="n"/>
      <c r="C483" s="9" t="n"/>
    </row>
    <row r="484" ht="15" customHeight="1">
      <c r="A484" s="13" t="n"/>
      <c r="B484" s="10" t="n"/>
      <c r="C484" s="9" t="n"/>
    </row>
    <row r="485" ht="15" customHeight="1">
      <c r="A485" s="13" t="n"/>
      <c r="B485" s="10" t="n"/>
      <c r="C485" s="9" t="n"/>
    </row>
    <row r="486" ht="15" customHeight="1">
      <c r="A486" s="13" t="n"/>
      <c r="B486" s="10" t="n"/>
      <c r="C486" s="9" t="n"/>
    </row>
    <row r="487" ht="15" customHeight="1">
      <c r="A487" s="13" t="n"/>
      <c r="B487" s="10" t="n"/>
      <c r="C487" s="9" t="n"/>
    </row>
    <row r="488" ht="15" customHeight="1">
      <c r="A488" s="13" t="n"/>
      <c r="B488" s="10" t="n"/>
      <c r="C488" s="9" t="n"/>
    </row>
    <row r="489" ht="15" customHeight="1">
      <c r="A489" s="13" t="n"/>
      <c r="B489" s="10" t="n"/>
      <c r="C489" s="9" t="n"/>
    </row>
    <row r="490" ht="15" customHeight="1">
      <c r="A490" s="13" t="n"/>
      <c r="B490" s="10" t="n"/>
      <c r="C490" s="9" t="n"/>
    </row>
    <row r="491" ht="15" customHeight="1">
      <c r="A491" s="13" t="n"/>
      <c r="B491" s="10" t="n"/>
      <c r="C491" s="9" t="n"/>
    </row>
    <row r="492" ht="15" customHeight="1">
      <c r="A492" s="13" t="n"/>
      <c r="B492" s="10" t="n"/>
      <c r="C492" s="9" t="n"/>
    </row>
    <row r="493" ht="15" customHeight="1">
      <c r="A493" s="13" t="n"/>
      <c r="B493" s="10" t="n"/>
      <c r="C493" s="9" t="n"/>
    </row>
    <row r="494" ht="15" customHeight="1">
      <c r="A494" s="13" t="n"/>
      <c r="B494" s="10" t="n"/>
      <c r="C494" s="9" t="n"/>
    </row>
    <row r="495" ht="15" customHeight="1">
      <c r="A495" s="13" t="n"/>
      <c r="B495" s="10" t="n"/>
      <c r="C495" s="9" t="n"/>
    </row>
    <row r="496" ht="15" customHeight="1">
      <c r="A496" s="13" t="n"/>
      <c r="B496" s="10" t="n"/>
      <c r="C496" s="9" t="n"/>
    </row>
    <row r="497" ht="15" customHeight="1">
      <c r="A497" s="13" t="n"/>
      <c r="B497" s="10" t="n"/>
      <c r="C497" s="9" t="n"/>
    </row>
    <row r="498" ht="15" customHeight="1">
      <c r="A498" s="13" t="n"/>
      <c r="B498" s="10" t="n"/>
      <c r="C498" s="9" t="n"/>
    </row>
    <row r="499" ht="15" customHeight="1">
      <c r="A499" s="13" t="n"/>
      <c r="B499" s="10" t="n"/>
      <c r="C499" s="9" t="n"/>
    </row>
    <row r="500" ht="15" customHeight="1">
      <c r="A500" s="13" t="n"/>
      <c r="B500" s="10" t="n"/>
      <c r="C500" s="9" t="n"/>
    </row>
    <row r="501" ht="15" customHeight="1">
      <c r="A501" s="13" t="n"/>
      <c r="B501" s="10" t="n"/>
      <c r="C501" s="9" t="n"/>
    </row>
    <row r="502" ht="15" customHeight="1">
      <c r="A502" s="13" t="n"/>
      <c r="B502" s="10" t="n"/>
      <c r="C502" s="9" t="n"/>
    </row>
    <row r="503" ht="15" customHeight="1">
      <c r="A503" s="13" t="n"/>
      <c r="B503" s="10" t="n"/>
      <c r="C503" s="9" t="n"/>
    </row>
    <row r="504" ht="15" customHeight="1">
      <c r="A504" s="13" t="n"/>
      <c r="B504" s="10" t="n"/>
      <c r="C504" s="9" t="n"/>
    </row>
    <row r="505" ht="15" customHeight="1">
      <c r="A505" s="13" t="n"/>
      <c r="B505" s="10" t="n"/>
      <c r="C505" s="9" t="n"/>
    </row>
    <row r="506" ht="15" customHeight="1">
      <c r="A506" s="13" t="n"/>
      <c r="B506" s="10" t="n"/>
      <c r="C506" s="9" t="n"/>
    </row>
    <row r="507" ht="15" customHeight="1">
      <c r="A507" s="13" t="n"/>
      <c r="B507" s="10" t="n"/>
      <c r="C507" s="9" t="n"/>
    </row>
    <row r="508" ht="15" customHeight="1">
      <c r="A508" s="13" t="n"/>
      <c r="B508" s="10" t="n"/>
      <c r="C508" s="9" t="n"/>
    </row>
    <row r="509" ht="15" customHeight="1">
      <c r="A509" s="13" t="n"/>
      <c r="B509" s="10" t="n"/>
      <c r="C509" s="9" t="n"/>
    </row>
    <row r="510" ht="15" customHeight="1">
      <c r="A510" s="13" t="n"/>
      <c r="B510" s="10" t="n"/>
      <c r="C510" s="9" t="n"/>
    </row>
    <row r="511" ht="15" customHeight="1">
      <c r="A511" s="13" t="n"/>
      <c r="B511" s="10" t="n"/>
      <c r="C511" s="9" t="n"/>
    </row>
    <row r="512" ht="15" customHeight="1">
      <c r="A512" s="13" t="n"/>
      <c r="B512" s="10" t="n"/>
      <c r="C512" s="9" t="n"/>
    </row>
    <row r="513" ht="15" customHeight="1">
      <c r="A513" s="13" t="n"/>
      <c r="B513" s="10" t="n"/>
      <c r="C513" s="9" t="n"/>
    </row>
    <row r="514" ht="15" customHeight="1">
      <c r="A514" s="13" t="n"/>
      <c r="B514" s="10" t="n"/>
      <c r="C514" s="9" t="n"/>
    </row>
    <row r="515" ht="15" customHeight="1">
      <c r="A515" s="13" t="n"/>
      <c r="B515" s="10" t="n"/>
      <c r="C515" s="9" t="n"/>
    </row>
    <row r="516" ht="15" customHeight="1">
      <c r="A516" s="13" t="n"/>
      <c r="B516" s="10" t="n"/>
      <c r="C516" s="9" t="n"/>
    </row>
    <row r="517" ht="15" customHeight="1">
      <c r="A517" s="13" t="n"/>
      <c r="B517" s="10" t="n"/>
      <c r="C517" s="9" t="n"/>
    </row>
    <row r="518" ht="15" customHeight="1">
      <c r="A518" s="13" t="n"/>
      <c r="B518" s="10" t="n"/>
      <c r="C518" s="9" t="n"/>
    </row>
    <row r="519" ht="15" customHeight="1">
      <c r="A519" s="13" t="n"/>
      <c r="B519" s="10" t="n"/>
      <c r="C519" s="9" t="n"/>
    </row>
    <row r="520" ht="15" customHeight="1">
      <c r="A520" s="13" t="n"/>
      <c r="B520" s="10" t="n"/>
      <c r="C520" s="9" t="n"/>
    </row>
    <row r="521" ht="15" customHeight="1">
      <c r="A521" s="13" t="n"/>
      <c r="B521" s="10" t="n"/>
      <c r="C521" s="9" t="n"/>
    </row>
    <row r="522" ht="15" customHeight="1">
      <c r="A522" s="13" t="n"/>
      <c r="B522" s="10" t="n"/>
      <c r="C522" s="9" t="n"/>
    </row>
    <row r="523" ht="15" customHeight="1">
      <c r="A523" s="13" t="n"/>
      <c r="B523" s="10" t="n"/>
      <c r="C523" s="9" t="n"/>
    </row>
    <row r="524" ht="15" customHeight="1">
      <c r="A524" s="13" t="n"/>
      <c r="B524" s="10" t="n"/>
      <c r="C524" s="9" t="n"/>
    </row>
    <row r="525" ht="15" customHeight="1">
      <c r="A525" s="13" t="n"/>
      <c r="B525" s="10" t="n"/>
      <c r="C525" s="9" t="n"/>
    </row>
    <row r="526" ht="15" customHeight="1">
      <c r="A526" s="13" t="n"/>
      <c r="B526" s="10" t="n"/>
      <c r="C526" s="9" t="n"/>
    </row>
    <row r="527" ht="15" customHeight="1">
      <c r="A527" s="13" t="n"/>
      <c r="B527" s="10" t="n"/>
      <c r="C527" s="9" t="n"/>
    </row>
    <row r="528" ht="15" customHeight="1">
      <c r="A528" s="13" t="n"/>
      <c r="B528" s="10" t="n"/>
      <c r="C528" s="9" t="n"/>
    </row>
    <row r="529" ht="15" customHeight="1">
      <c r="A529" s="13" t="n"/>
      <c r="B529" s="10" t="n"/>
      <c r="C529" s="9" t="n"/>
    </row>
    <row r="530" ht="15" customHeight="1">
      <c r="A530" s="13" t="n"/>
      <c r="B530" s="10" t="n"/>
      <c r="C530" s="9" t="n"/>
    </row>
    <row r="531" ht="15" customHeight="1">
      <c r="A531" s="13" t="n"/>
      <c r="B531" s="10" t="n"/>
      <c r="C531" s="9" t="n"/>
    </row>
    <row r="532" ht="15" customHeight="1">
      <c r="A532" s="13" t="n"/>
      <c r="B532" s="10" t="n"/>
      <c r="C532" s="9" t="n"/>
    </row>
    <row r="533" ht="15" customHeight="1">
      <c r="A533" s="13" t="n"/>
      <c r="B533" s="10" t="n"/>
      <c r="C533" s="9" t="n"/>
    </row>
    <row r="534" ht="15" customHeight="1">
      <c r="A534" s="13" t="n"/>
      <c r="B534" s="10" t="n"/>
      <c r="C534" s="9" t="n"/>
    </row>
    <row r="535" ht="15" customHeight="1">
      <c r="A535" s="13" t="n"/>
      <c r="B535" s="10" t="n"/>
      <c r="C535" s="9" t="n"/>
    </row>
    <row r="536" ht="15" customHeight="1">
      <c r="A536" s="13" t="n"/>
      <c r="B536" s="10" t="n"/>
      <c r="C536" s="9" t="n"/>
    </row>
    <row r="537" ht="15" customHeight="1">
      <c r="A537" s="13" t="n"/>
      <c r="B537" s="10" t="n"/>
      <c r="C537" s="9" t="n"/>
    </row>
    <row r="538" ht="15" customHeight="1">
      <c r="A538" s="13" t="n"/>
      <c r="B538" s="10" t="n"/>
      <c r="C538" s="9" t="n"/>
    </row>
    <row r="539" ht="15" customHeight="1">
      <c r="A539" s="13" t="n"/>
      <c r="B539" s="10" t="n"/>
      <c r="C539" s="9" t="n"/>
    </row>
    <row r="540" ht="15" customHeight="1">
      <c r="A540" s="13" t="n"/>
      <c r="B540" s="10" t="n"/>
      <c r="C540" s="9" t="n"/>
    </row>
    <row r="541" ht="15" customHeight="1">
      <c r="A541" s="13" t="n"/>
      <c r="B541" s="10" t="n"/>
      <c r="C541" s="9" t="n"/>
    </row>
    <row r="542" ht="15" customHeight="1">
      <c r="A542" s="13" t="n"/>
      <c r="B542" s="10" t="n"/>
      <c r="C542" s="9" t="n"/>
    </row>
    <row r="543" ht="15" customHeight="1">
      <c r="A543" s="13" t="n"/>
      <c r="B543" s="10" t="n"/>
      <c r="C543" s="9" t="n"/>
    </row>
    <row r="544" ht="15" customHeight="1">
      <c r="A544" s="13" t="n"/>
      <c r="B544" s="10" t="n"/>
      <c r="C544" s="9" t="n"/>
    </row>
    <row r="545" ht="15" customHeight="1">
      <c r="A545" s="13" t="n"/>
      <c r="B545" s="10" t="n"/>
      <c r="C545" s="9" t="n"/>
    </row>
    <row r="546" ht="15" customHeight="1">
      <c r="A546" s="13" t="n"/>
      <c r="B546" s="10" t="n"/>
      <c r="C546" s="9" t="n"/>
    </row>
    <row r="547" ht="15" customHeight="1">
      <c r="A547" s="13" t="n"/>
      <c r="B547" s="10" t="n"/>
      <c r="C547" s="9" t="n"/>
    </row>
    <row r="548" ht="15" customHeight="1">
      <c r="A548" s="13" t="n"/>
      <c r="B548" s="10" t="n"/>
      <c r="C548" s="9" t="n"/>
    </row>
    <row r="549" ht="15" customHeight="1">
      <c r="A549" s="13" t="n"/>
      <c r="B549" s="10" t="n"/>
      <c r="C549" s="9" t="n"/>
    </row>
    <row r="550" ht="15" customHeight="1">
      <c r="A550" s="13" t="n"/>
      <c r="B550" s="10" t="n"/>
      <c r="C550" s="9" t="n"/>
    </row>
    <row r="551" ht="15" customHeight="1">
      <c r="A551" s="13" t="n"/>
      <c r="B551" s="10" t="n"/>
      <c r="C551" s="9" t="n"/>
    </row>
    <row r="552" ht="15" customHeight="1">
      <c r="A552" s="13" t="n"/>
      <c r="B552" s="10" t="n"/>
      <c r="C552" s="9" t="n"/>
    </row>
    <row r="553" ht="15" customHeight="1">
      <c r="A553" s="13" t="n"/>
      <c r="B553" s="10" t="n"/>
      <c r="C553" s="9" t="n"/>
    </row>
    <row r="554" ht="15" customHeight="1">
      <c r="A554" s="13" t="n"/>
      <c r="B554" s="10" t="n"/>
      <c r="C554" s="9" t="n"/>
    </row>
    <row r="555" ht="15" customHeight="1">
      <c r="A555" s="13" t="n"/>
      <c r="B555" s="10" t="n"/>
      <c r="C555" s="9" t="n"/>
    </row>
    <row r="556" ht="15" customHeight="1">
      <c r="A556" s="13" t="n"/>
      <c r="B556" s="10" t="n"/>
      <c r="C556" s="9" t="n"/>
    </row>
    <row r="557" ht="15" customHeight="1">
      <c r="A557" s="13" t="n"/>
      <c r="B557" s="10" t="n"/>
      <c r="C557" s="9" t="n"/>
    </row>
    <row r="558" ht="15" customHeight="1">
      <c r="A558" s="13" t="n"/>
      <c r="B558" s="10" t="n"/>
      <c r="C558" s="9" t="n"/>
    </row>
    <row r="559" ht="15" customHeight="1">
      <c r="A559" s="13" t="n"/>
      <c r="B559" s="10" t="n"/>
      <c r="C559" s="9" t="n"/>
    </row>
    <row r="560" ht="15" customHeight="1">
      <c r="A560" s="13" t="n"/>
      <c r="B560" s="10" t="n"/>
      <c r="C560" s="9" t="n"/>
    </row>
    <row r="561" ht="15" customHeight="1">
      <c r="A561" s="13" t="n"/>
      <c r="B561" s="10" t="n"/>
      <c r="C561" s="9" t="n"/>
    </row>
    <row r="562" ht="15" customHeight="1">
      <c r="A562" s="13" t="n"/>
      <c r="B562" s="10" t="n"/>
      <c r="C562" s="9" t="n"/>
    </row>
    <row r="563" ht="15" customHeight="1">
      <c r="A563" s="13" t="n"/>
      <c r="B563" s="10" t="n"/>
      <c r="C563" s="9" t="n"/>
    </row>
    <row r="564" ht="15" customHeight="1">
      <c r="A564" s="13" t="n"/>
      <c r="B564" s="10" t="n"/>
      <c r="C564" s="9" t="n"/>
    </row>
    <row r="565" ht="15" customHeight="1">
      <c r="A565" s="13" t="n"/>
      <c r="B565" s="10" t="n"/>
      <c r="C565" s="9" t="n"/>
    </row>
    <row r="566" ht="15" customHeight="1">
      <c r="A566" s="13" t="n"/>
      <c r="B566" s="10" t="n"/>
      <c r="C566" s="9" t="n"/>
    </row>
    <row r="567" ht="15" customHeight="1">
      <c r="A567" s="13" t="n"/>
      <c r="B567" s="10" t="n"/>
      <c r="C567" s="9" t="n"/>
    </row>
    <row r="568" ht="15" customHeight="1">
      <c r="A568" s="13" t="n"/>
      <c r="B568" s="10" t="n"/>
      <c r="C568" s="9" t="n"/>
    </row>
    <row r="569" ht="15" customHeight="1">
      <c r="A569" s="13" t="n"/>
      <c r="B569" s="10" t="n"/>
      <c r="C569" s="9" t="n"/>
    </row>
    <row r="570" ht="15" customHeight="1">
      <c r="A570" s="13" t="n"/>
      <c r="B570" s="10" t="n"/>
      <c r="C570" s="9" t="n"/>
    </row>
    <row r="571" ht="15" customHeight="1">
      <c r="A571" s="13" t="n"/>
      <c r="B571" s="10" t="n"/>
      <c r="C571" s="9" t="n"/>
    </row>
    <row r="572" ht="15" customHeight="1">
      <c r="A572" s="13" t="n"/>
      <c r="B572" s="10" t="n"/>
      <c r="C572" s="9" t="n"/>
    </row>
    <row r="573" ht="15" customHeight="1">
      <c r="A573" s="13" t="n"/>
      <c r="B573" s="10" t="n"/>
      <c r="C573" s="9" t="n"/>
    </row>
    <row r="574" ht="15" customHeight="1">
      <c r="A574" s="13" t="n"/>
      <c r="B574" s="10" t="n"/>
      <c r="C574" s="9" t="n"/>
    </row>
    <row r="575" ht="15" customHeight="1">
      <c r="A575" s="13" t="n"/>
      <c r="B575" s="10" t="n"/>
      <c r="C575" s="9" t="n"/>
    </row>
    <row r="576" ht="15" customHeight="1">
      <c r="A576" s="13" t="n"/>
      <c r="B576" s="10" t="n"/>
      <c r="C576" s="9" t="n"/>
    </row>
    <row r="577" ht="15" customHeight="1">
      <c r="A577" s="13" t="n"/>
      <c r="B577" s="10" t="n"/>
      <c r="C577" s="9" t="n"/>
    </row>
    <row r="578" ht="15" customHeight="1">
      <c r="A578" s="13" t="n"/>
      <c r="B578" s="10" t="n"/>
      <c r="C578" s="9" t="n"/>
    </row>
    <row r="579" ht="15" customHeight="1">
      <c r="A579" s="13" t="n"/>
      <c r="B579" s="10" t="n"/>
      <c r="C579" s="9" t="n"/>
    </row>
    <row r="580" ht="15" customHeight="1">
      <c r="A580" s="13" t="n"/>
      <c r="B580" s="10" t="n"/>
      <c r="C580" s="9" t="n"/>
    </row>
    <row r="581" ht="15" customHeight="1">
      <c r="A581" s="13" t="n"/>
      <c r="B581" s="10" t="n"/>
      <c r="C581" s="9" t="n"/>
    </row>
    <row r="582" ht="15" customHeight="1">
      <c r="A582" s="13" t="n"/>
      <c r="B582" s="10" t="n"/>
      <c r="C582" s="9" t="n"/>
    </row>
    <row r="583" ht="15" customHeight="1">
      <c r="A583" s="13" t="n"/>
      <c r="B583" s="10" t="n"/>
      <c r="C583" s="9" t="n"/>
    </row>
    <row r="584" ht="15" customHeight="1">
      <c r="A584" s="13" t="n"/>
      <c r="B584" s="10" t="n"/>
      <c r="C584" s="9" t="n"/>
    </row>
    <row r="585" ht="15" customHeight="1">
      <c r="A585" s="13" t="n"/>
      <c r="B585" s="10" t="n"/>
      <c r="C585" s="9" t="n"/>
    </row>
    <row r="586" ht="15" customHeight="1">
      <c r="A586" s="13" t="n"/>
      <c r="B586" s="10" t="n"/>
      <c r="C586" s="9" t="n"/>
    </row>
    <row r="587" ht="15" customHeight="1">
      <c r="A587" s="13" t="n"/>
      <c r="B587" s="10" t="n"/>
      <c r="C587" s="9" t="n"/>
    </row>
    <row r="588" ht="15" customHeight="1">
      <c r="A588" s="13" t="n"/>
      <c r="B588" s="10" t="n"/>
      <c r="C588" s="9" t="n"/>
    </row>
    <row r="589" ht="15" customHeight="1">
      <c r="A589" s="13" t="n"/>
      <c r="B589" s="10" t="n"/>
      <c r="C589" s="9" t="n"/>
    </row>
    <row r="590" ht="15" customHeight="1">
      <c r="A590" s="13" t="n"/>
      <c r="B590" s="10" t="n"/>
      <c r="C590" s="9" t="n"/>
    </row>
    <row r="591" ht="15" customHeight="1">
      <c r="A591" s="13" t="n"/>
      <c r="B591" s="10" t="n"/>
      <c r="C591" s="9" t="n"/>
    </row>
    <row r="592" ht="15" customHeight="1">
      <c r="A592" s="13" t="n"/>
      <c r="B592" s="10" t="n"/>
      <c r="C592" s="9" t="n"/>
    </row>
    <row r="593" ht="15" customHeight="1">
      <c r="A593" s="13" t="n"/>
      <c r="B593" s="10" t="n"/>
      <c r="C593" s="9" t="n"/>
    </row>
    <row r="594" ht="15" customHeight="1">
      <c r="A594" s="13" t="n"/>
      <c r="B594" s="10" t="n"/>
      <c r="C594" s="9" t="n"/>
    </row>
    <row r="595" ht="15" customHeight="1">
      <c r="A595" s="13" t="n"/>
      <c r="B595" s="10" t="n"/>
      <c r="C595" s="9" t="n"/>
    </row>
    <row r="596" ht="15" customHeight="1">
      <c r="A596" s="13" t="n"/>
      <c r="B596" s="10" t="n"/>
      <c r="C596" s="9" t="n"/>
    </row>
    <row r="597" ht="15" customHeight="1">
      <c r="A597" s="13" t="n"/>
      <c r="B597" s="10" t="n"/>
      <c r="C597" s="9" t="n"/>
    </row>
    <row r="598" ht="15" customHeight="1">
      <c r="A598" s="13" t="n"/>
      <c r="B598" s="10" t="n"/>
      <c r="C598" s="9" t="n"/>
    </row>
    <row r="599" ht="15" customHeight="1">
      <c r="A599" s="13" t="n"/>
      <c r="B599" s="10" t="n"/>
      <c r="C599" s="9" t="n"/>
    </row>
    <row r="600" ht="15" customHeight="1">
      <c r="A600" s="13" t="n"/>
      <c r="B600" s="10" t="n"/>
      <c r="C600" s="9" t="n"/>
    </row>
    <row r="601" ht="15" customHeight="1">
      <c r="A601" s="13" t="n"/>
      <c r="B601" s="10" t="n"/>
      <c r="C601" s="9" t="n"/>
    </row>
    <row r="602" ht="15" customHeight="1">
      <c r="A602" s="13" t="n"/>
      <c r="B602" s="10" t="n"/>
      <c r="C602" s="9" t="n"/>
    </row>
    <row r="603" ht="15" customHeight="1">
      <c r="A603" s="13" t="n"/>
      <c r="B603" s="10" t="n"/>
      <c r="C603" s="9" t="n"/>
    </row>
    <row r="604" ht="15" customHeight="1">
      <c r="A604" s="13" t="n"/>
      <c r="B604" s="10" t="n"/>
      <c r="C604" s="9" t="n"/>
    </row>
    <row r="605" ht="15" customHeight="1">
      <c r="A605" s="13" t="n"/>
      <c r="B605" s="10" t="n"/>
      <c r="C605" s="9" t="n"/>
    </row>
    <row r="606" ht="15" customHeight="1">
      <c r="A606" s="13" t="n"/>
      <c r="B606" s="10" t="n"/>
      <c r="C606" s="9" t="n"/>
    </row>
    <row r="607" ht="15" customHeight="1">
      <c r="A607" s="13" t="n"/>
      <c r="B607" s="10" t="n"/>
      <c r="C607" s="9" t="n"/>
    </row>
    <row r="608" ht="15" customHeight="1">
      <c r="A608" s="13" t="n"/>
      <c r="B608" s="10" t="n"/>
      <c r="C608" s="9" t="n"/>
    </row>
    <row r="609" ht="15" customHeight="1">
      <c r="A609" s="13" t="n"/>
      <c r="B609" s="10" t="n"/>
      <c r="C609" s="9" t="n"/>
    </row>
    <row r="610" ht="15" customHeight="1">
      <c r="A610" s="13" t="n"/>
      <c r="B610" s="10" t="n"/>
      <c r="C610" s="9" t="n"/>
    </row>
    <row r="611" ht="15" customHeight="1">
      <c r="A611" s="13" t="n"/>
      <c r="B611" s="10" t="n"/>
      <c r="C611" s="9" t="n"/>
    </row>
    <row r="612" ht="15" customHeight="1">
      <c r="A612" s="13" t="n"/>
      <c r="B612" s="10" t="n"/>
      <c r="C612" s="9" t="n"/>
    </row>
    <row r="613" ht="15" customHeight="1">
      <c r="A613" s="13" t="n"/>
      <c r="B613" s="10" t="n"/>
      <c r="C613" s="9" t="n"/>
    </row>
    <row r="614" ht="15" customHeight="1">
      <c r="A614" s="13" t="n"/>
      <c r="B614" s="10" t="n"/>
      <c r="C614" s="9" t="n"/>
    </row>
    <row r="615" ht="15" customHeight="1">
      <c r="A615" s="13" t="n"/>
      <c r="B615" s="10" t="n"/>
      <c r="C615" s="9" t="n"/>
    </row>
    <row r="616" ht="15" customHeight="1">
      <c r="A616" s="13" t="n"/>
      <c r="B616" s="10" t="n"/>
      <c r="C616" s="9" t="n"/>
    </row>
    <row r="617" ht="15" customHeight="1">
      <c r="A617" s="13" t="n"/>
      <c r="B617" s="10" t="n"/>
      <c r="C617" s="9" t="n"/>
    </row>
    <row r="618" ht="15" customHeight="1">
      <c r="A618" s="13" t="n"/>
      <c r="B618" s="10" t="n"/>
      <c r="C618" s="9" t="n"/>
    </row>
    <row r="619" ht="15" customHeight="1">
      <c r="A619" s="13" t="n"/>
      <c r="B619" s="10" t="n"/>
      <c r="C619" s="9" t="n"/>
    </row>
    <row r="620" ht="15" customHeight="1">
      <c r="A620" s="13" t="n"/>
      <c r="B620" s="10" t="n"/>
      <c r="C620" s="9" t="n"/>
    </row>
    <row r="621" ht="15" customHeight="1">
      <c r="A621" s="13" t="n"/>
      <c r="B621" s="10" t="n"/>
      <c r="C621" s="9" t="n"/>
    </row>
    <row r="622" ht="15" customHeight="1">
      <c r="A622" s="13" t="n"/>
      <c r="B622" s="10" t="n"/>
      <c r="C622" s="9" t="n"/>
    </row>
    <row r="623" ht="15" customHeight="1">
      <c r="A623" s="13" t="n"/>
      <c r="B623" s="10" t="n"/>
      <c r="C623" s="9" t="n"/>
    </row>
    <row r="624" ht="15" customHeight="1">
      <c r="A624" s="13" t="n"/>
      <c r="B624" s="10" t="n"/>
      <c r="C624" s="9" t="n"/>
    </row>
    <row r="625" ht="15" customHeight="1">
      <c r="A625" s="13" t="n"/>
      <c r="B625" s="10" t="n"/>
      <c r="C625" s="9" t="n"/>
    </row>
    <row r="626" ht="15" customHeight="1">
      <c r="A626" s="13" t="n"/>
      <c r="B626" s="10" t="n"/>
      <c r="C626" s="9" t="n"/>
    </row>
    <row r="627" ht="15" customHeight="1">
      <c r="A627" s="13" t="n"/>
      <c r="B627" s="10" t="n"/>
      <c r="C627" s="9" t="n"/>
    </row>
    <row r="628" ht="15" customHeight="1">
      <c r="A628" s="13" t="n"/>
      <c r="B628" s="10" t="n"/>
      <c r="C628" s="9" t="n"/>
    </row>
    <row r="629" ht="15" customHeight="1">
      <c r="A629" s="13" t="n"/>
      <c r="B629" s="10" t="n"/>
      <c r="C629" s="9" t="n"/>
    </row>
    <row r="630" ht="15" customHeight="1">
      <c r="A630" s="13" t="n"/>
      <c r="B630" s="10" t="n"/>
      <c r="C630" s="9" t="n"/>
    </row>
    <row r="631" ht="15" customHeight="1">
      <c r="A631" s="13" t="n"/>
      <c r="B631" s="10" t="n"/>
      <c r="C631" s="9" t="n"/>
    </row>
    <row r="632" ht="15" customHeight="1">
      <c r="A632" s="13" t="n"/>
      <c r="B632" s="10" t="n"/>
      <c r="C632" s="9" t="n"/>
    </row>
    <row r="633" ht="15" customHeight="1">
      <c r="A633" s="13" t="n"/>
      <c r="B633" s="10" t="n"/>
      <c r="C633" s="9" t="n"/>
    </row>
    <row r="634" ht="15" customHeight="1">
      <c r="A634" s="13" t="n"/>
      <c r="B634" s="10" t="n"/>
      <c r="C634" s="9" t="n"/>
    </row>
    <row r="635" ht="15" customHeight="1">
      <c r="A635" s="13" t="n"/>
      <c r="B635" s="10" t="n"/>
      <c r="C635" s="9" t="n"/>
    </row>
    <row r="636" ht="15" customHeight="1">
      <c r="A636" s="13" t="n"/>
      <c r="B636" s="10" t="n"/>
      <c r="C636" s="9" t="n"/>
    </row>
    <row r="637" ht="15" customHeight="1">
      <c r="A637" s="13" t="n"/>
      <c r="B637" s="10" t="n"/>
      <c r="C637" s="9" t="n"/>
    </row>
    <row r="638" ht="15" customHeight="1">
      <c r="A638" s="13" t="n"/>
      <c r="B638" s="10" t="n"/>
      <c r="C638" s="9" t="n"/>
    </row>
    <row r="639" ht="15" customHeight="1">
      <c r="A639" s="13" t="n"/>
      <c r="B639" s="10" t="n"/>
      <c r="C639" s="9" t="n"/>
    </row>
    <row r="640" ht="15" customHeight="1">
      <c r="A640" s="13" t="n"/>
      <c r="B640" s="10" t="n"/>
      <c r="C640" s="9" t="n"/>
    </row>
    <row r="641" ht="15" customHeight="1">
      <c r="A641" s="13" t="n"/>
      <c r="B641" s="10" t="n"/>
      <c r="C641" s="9" t="n"/>
    </row>
    <row r="642" ht="15" customHeight="1">
      <c r="A642" s="13" t="n"/>
      <c r="B642" s="10" t="n"/>
      <c r="C642" s="9" t="n"/>
    </row>
    <row r="643" ht="15" customHeight="1">
      <c r="A643" s="13" t="n"/>
      <c r="B643" s="10" t="n"/>
      <c r="C643" s="9" t="n"/>
    </row>
    <row r="644" ht="15" customHeight="1">
      <c r="A644" s="13" t="n"/>
      <c r="B644" s="10" t="n"/>
      <c r="C644" s="9" t="n"/>
    </row>
    <row r="645" ht="15" customHeight="1">
      <c r="A645" s="13" t="n"/>
      <c r="B645" s="10" t="n"/>
      <c r="C645" s="9" t="n"/>
    </row>
    <row r="646" ht="15" customHeight="1">
      <c r="A646" s="13" t="n"/>
      <c r="B646" s="10" t="n"/>
      <c r="C646" s="9" t="n"/>
    </row>
  </sheetData>
  <mergeCells count="15">
    <mergeCell ref="C8:M8"/>
    <mergeCell ref="A14:M14"/>
    <mergeCell ref="A1:M1"/>
    <mergeCell ref="C12:M12"/>
    <mergeCell ref="C6:M6"/>
    <mergeCell ref="C7:M7"/>
    <mergeCell ref="A40:M40"/>
    <mergeCell ref="C11:M11"/>
    <mergeCell ref="A3:M3"/>
    <mergeCell ref="C5:M5"/>
    <mergeCell ref="C10:M10"/>
    <mergeCell ref="A41:M41"/>
    <mergeCell ref="A2:M2"/>
    <mergeCell ref="C9:M9"/>
    <mergeCell ref="A345:M345"/>
  </mergeCells>
  <dataValidations count="9">
    <dataValidation sqref="C347:C646 I43:I342" showDropDown="0" showInputMessage="0" showErrorMessage="1" allowBlank="1" errorTitle="SAISIE REFUSEE" error="Valeur non autorisee. Choisir une valeur proposee dans la liste." type="list">
      <formula1>=ListeOuiNon</formula1>
    </dataValidation>
    <dataValidation sqref="A43:A342" showDropDown="0" showInputMessage="0" showErrorMessage="1" allowBlank="1" errorTitle="SAISIE REFUSEE" error="Valeur non autorisee. Choisir une valeur proposee dans la liste." type="list">
      <formula1>=ListeEspeces</formula1>
    </dataValidation>
    <dataValidation sqref="B43:B342" showDropDown="0" showInputMessage="0" showErrorMessage="1" allowBlank="1" errorTitle="SAISIE REFUSEE" error="Valeur non autorisee. Choisir une valeur proposee dans la liste." type="list">
      <formula1>=ListeProduits</formula1>
    </dataValidation>
    <dataValidation sqref="C43:C342" showDropDown="0" showInputMessage="0" showErrorMessage="1" allowBlank="1" errorTitle="SAISIE REFUSEE" error="Valeur non autorisee. Choisir une valeur proposee dans la liste." type="list">
      <formula1>=ListeMarques</formula1>
    </dataValidation>
    <dataValidation sqref="D43:D342" showDropDown="0" showInputMessage="0" showErrorMessage="1" allowBlank="1" errorTitle="SAISIE REFUSEE" error="Valeur non autorisee. Choisir une valeur proposee dans la liste." type="list">
      <formula1>=ListeFormats</formula1>
    </dataValidation>
    <dataValidation sqref="E43:E342" showDropDown="0" showInputMessage="0" showErrorMessage="1" allowBlank="1" errorTitle="SAISIE REFUSEE" error="Valeur non autorisee. Choisir une valeur proposee dans la liste." type="list">
      <formula1>=ListePreparations</formula1>
    </dataValidation>
    <dataValidation sqref="F43:F342" showDropDown="0" showInputMessage="0" showErrorMessage="1" allowBlank="1" errorTitle="SAISIE REFUSEE" error="Valeur non autorisee. Choisir une valeur proposee dans la liste." type="list">
      <formula1>=ListeMoules</formula1>
    </dataValidation>
    <dataValidation sqref="G43:G342" showDropDown="0" showInputMessage="0" showErrorMessage="1" allowBlank="1" errorTitle="SAISIE REFUSEE" error="Valeur non autorisee. Choisir une valeur proposee dans la liste." type="list">
      <formula1>=ListeActivites</formula1>
    </dataValidation>
    <dataValidation sqref="H43:H342" showDropDown="0" showInputMessage="0" showErrorMessage="1" allowBlank="1" errorTitle="STANDARD INVALIDE" error="Le standard doit etre un nombre strictement positif (boites/h/femme)." type="decimal" operator="greaterThan">
      <formula1>0</formula1>
    </dataValidation>
  </dataValidations>
  <pageMargins left="0.75" right="0.75" top="1" bottom="1" header="0.5" footer="0.5"/>
  <tableParts count="1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  <tablePart xmlns:r="http://schemas.openxmlformats.org/officeDocument/2006/relationships" r:id="rId9"/>
    <tablePart xmlns:r="http://schemas.openxmlformats.org/officeDocument/2006/relationships" r:id="rId10"/>
    <tablePart xmlns:r="http://schemas.openxmlformats.org/officeDocument/2006/relationships" r:id="rId11"/>
    <tablePart xmlns:r="http://schemas.openxmlformats.org/officeDocument/2006/relationships" r:id="rId12"/>
    <tablePart xmlns:r="http://schemas.openxmlformats.org/officeDocument/2006/relationships" r:id="rId13"/>
    <tablePart xmlns:r="http://schemas.openxmlformats.org/officeDocument/2006/relationships" r:id="rId14"/>
    <tablePart xmlns:r="http://schemas.openxmlformats.org/officeDocument/2006/relationships" r:id="rId15"/>
  </tableParts>
</worksheet>
</file>

<file path=xl/worksheets/sheet2.xml><?xml version="1.0" encoding="utf-8"?>
<worksheet xmlns="http://schemas.openxmlformats.org/spreadsheetml/2006/main">
  <sheetPr>
    <tabColor rgb="000A0F1A"/>
    <outlinePr summaryBelow="1" summaryRight="1"/>
    <pageSetUpPr/>
  </sheetPr>
  <dimension ref="A1:U20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3" customWidth="1" min="3" max="3"/>
    <col width="13" customWidth="1" min="4" max="4"/>
    <col width="15" customWidth="1" min="5" max="5"/>
    <col width="17" customWidth="1" min="6" max="6"/>
    <col width="16" customWidth="1" min="7" max="7"/>
    <col width="15" customWidth="1" min="8" max="8"/>
    <col width="15" customWidth="1" min="9" max="9"/>
    <col width="14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3" customWidth="1" min="20" max="20"/>
    <col width="26" customWidth="1" min="21" max="21"/>
  </cols>
  <sheetData>
    <row r="1" ht="30" customHeight="1">
      <c r="A1" s="1" t="inlineStr">
        <is>
          <t>RUNS — CONTEXTE DE PRODUCTION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>
      <c r="A2" s="3" t="inlineStr">
        <is>
          <t>Un RUN = une configuration de production. L'activite de chaque ligne (L1 a L8) appartient au RUN : elle n'est jamais figee. Saisir un ID RUN unique et stable (ex. RUN-20260905-01) : il relie tout l'historique.</t>
        </is>
      </c>
    </row>
    <row r="4" ht="21" customHeight="1">
      <c r="A4" s="4" t="inlineStr">
        <is>
          <t>LISTE DES RUNS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</row>
    <row r="5" ht="33" customHeight="1">
      <c r="A5" s="5" t="inlineStr">
        <is>
          <t>ID RUN</t>
        </is>
      </c>
      <c r="B5" s="5" t="inlineStr">
        <is>
          <t>DATE</t>
        </is>
      </c>
      <c r="C5" s="5" t="inlineStr">
        <is>
          <t>HEURE DEBUT</t>
        </is>
      </c>
      <c r="D5" s="5" t="inlineStr">
        <is>
          <t>HEURE FIN</t>
        </is>
      </c>
      <c r="E5" s="5" t="inlineStr">
        <is>
          <t>ESPÈCE</t>
        </is>
      </c>
      <c r="F5" s="5" t="inlineStr">
        <is>
          <t>PRODUIT</t>
        </is>
      </c>
      <c r="G5" s="5" t="inlineStr">
        <is>
          <t>MARQUE</t>
        </is>
      </c>
      <c r="H5" s="5" t="inlineStr">
        <is>
          <t>FORMAT</t>
        </is>
      </c>
      <c r="I5" s="5" t="inlineStr">
        <is>
          <t>LOT MP</t>
        </is>
      </c>
      <c r="J5" s="5" t="inlineStr">
        <is>
          <t>PRÉPARATION</t>
        </is>
      </c>
      <c r="K5" s="5" t="inlineStr">
        <is>
          <t>MOULE</t>
        </is>
      </c>
      <c r="L5" s="5" t="inlineStr">
        <is>
          <t>ACTIVITÉ L1</t>
        </is>
      </c>
      <c r="M5" s="5" t="inlineStr">
        <is>
          <t>ACTIVITÉ L2</t>
        </is>
      </c>
      <c r="N5" s="5" t="inlineStr">
        <is>
          <t>ACTIVITÉ L3</t>
        </is>
      </c>
      <c r="O5" s="5" t="inlineStr">
        <is>
          <t>ACTIVITÉ L4</t>
        </is>
      </c>
      <c r="P5" s="5" t="inlineStr">
        <is>
          <t>ACTIVITÉ L5</t>
        </is>
      </c>
      <c r="Q5" s="5" t="inlineStr">
        <is>
          <t>ACTIVITÉ L6</t>
        </is>
      </c>
      <c r="R5" s="5" t="inlineStr">
        <is>
          <t>ACTIVITÉ L7</t>
        </is>
      </c>
      <c r="S5" s="5" t="inlineStr">
        <is>
          <t>ACTIVITÉ L8</t>
        </is>
      </c>
      <c r="T5" s="5" t="inlineStr">
        <is>
          <t>STATUT RUN</t>
        </is>
      </c>
      <c r="U5" s="5" t="inlineStr">
        <is>
          <t>CONTRÔLE DE COHÉRENCE</t>
        </is>
      </c>
    </row>
    <row r="6" ht="16" customHeight="1">
      <c r="A6" s="14" t="n"/>
      <c r="B6" s="15" t="n"/>
      <c r="C6" s="16" t="n"/>
      <c r="D6" s="16" t="n"/>
      <c r="E6" s="9" t="n"/>
      <c r="F6" s="10" t="n"/>
      <c r="G6" s="10" t="n"/>
      <c r="H6" s="9" t="n"/>
      <c r="I6" s="10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7">
        <f>IF($A6="","",IF(COUNTIF(RUNS!$A$6:$A$1005,$A6)&gt;1,"ID RUN EN DOUBLON",IF($B6="","DATE MANQUANTE",IF($E6="","ESPECE MANQUANTE",IF($F6="","PRODUIT MANQUANT",IF($T6="","STATUT RUN MANQUANT",IF(COUNTIF($L6:$S6,"INACTIVE")=8,"AUCUNE LIGNE ACTIVE","RUN VALIDE")))))))</f>
        <v/>
      </c>
    </row>
    <row r="7" ht="16" customHeight="1">
      <c r="A7" s="14" t="n"/>
      <c r="B7" s="15" t="n"/>
      <c r="C7" s="16" t="n"/>
      <c r="D7" s="16" t="n"/>
      <c r="E7" s="9" t="n"/>
      <c r="F7" s="10" t="n"/>
      <c r="G7" s="10" t="n"/>
      <c r="H7" s="9" t="n"/>
      <c r="I7" s="10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17">
        <f>IF($A7="","",IF(COUNTIF(RUNS!$A$6:$A$1005,$A7)&gt;1,"ID RUN EN DOUBLON",IF($B7="","DATE MANQUANTE",IF($E7="","ESPECE MANQUANTE",IF($F7="","PRODUIT MANQUANT",IF($T7="","STATUT RUN MANQUANT",IF(COUNTIF($L7:$S7,"INACTIVE")=8,"AUCUNE LIGNE ACTIVE","RUN VALIDE")))))))</f>
        <v/>
      </c>
    </row>
    <row r="8" ht="16" customHeight="1">
      <c r="A8" s="14" t="n"/>
      <c r="B8" s="15" t="n"/>
      <c r="C8" s="16" t="n"/>
      <c r="D8" s="16" t="n"/>
      <c r="E8" s="9" t="n"/>
      <c r="F8" s="10" t="n"/>
      <c r="G8" s="10" t="n"/>
      <c r="H8" s="9" t="n"/>
      <c r="I8" s="10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17">
        <f>IF($A8="","",IF(COUNTIF(RUNS!$A$6:$A$1005,$A8)&gt;1,"ID RUN EN DOUBLON",IF($B8="","DATE MANQUANTE",IF($E8="","ESPECE MANQUANTE",IF($F8="","PRODUIT MANQUANT",IF($T8="","STATUT RUN MANQUANT",IF(COUNTIF($L8:$S8,"INACTIVE")=8,"AUCUNE LIGNE ACTIVE","RUN VALIDE")))))))</f>
        <v/>
      </c>
    </row>
    <row r="9" ht="16" customHeight="1">
      <c r="A9" s="14" t="n"/>
      <c r="B9" s="15" t="n"/>
      <c r="C9" s="16" t="n"/>
      <c r="D9" s="16" t="n"/>
      <c r="E9" s="9" t="n"/>
      <c r="F9" s="10" t="n"/>
      <c r="G9" s="10" t="n"/>
      <c r="H9" s="9" t="n"/>
      <c r="I9" s="10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17">
        <f>IF($A9="","",IF(COUNTIF(RUNS!$A$6:$A$1005,$A9)&gt;1,"ID RUN EN DOUBLON",IF($B9="","DATE MANQUANTE",IF($E9="","ESPECE MANQUANTE",IF($F9="","PRODUIT MANQUANT",IF($T9="","STATUT RUN MANQUANT",IF(COUNTIF($L9:$S9,"INACTIVE")=8,"AUCUNE LIGNE ACTIVE","RUN VALIDE")))))))</f>
        <v/>
      </c>
    </row>
    <row r="10" ht="16" customHeight="1">
      <c r="A10" s="14" t="n"/>
      <c r="B10" s="15" t="n"/>
      <c r="C10" s="16" t="n"/>
      <c r="D10" s="16" t="n"/>
      <c r="E10" s="9" t="n"/>
      <c r="F10" s="10" t="n"/>
      <c r="G10" s="10" t="n"/>
      <c r="H10" s="9" t="n"/>
      <c r="I10" s="10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17">
        <f>IF($A10="","",IF(COUNTIF(RUNS!$A$6:$A$1005,$A10)&gt;1,"ID RUN EN DOUBLON",IF($B10="","DATE MANQUANTE",IF($E10="","ESPECE MANQUANTE",IF($F10="","PRODUIT MANQUANT",IF($T10="","STATUT RUN MANQUANT",IF(COUNTIF($L10:$S10,"INACTIVE")=8,"AUCUNE LIGNE ACTIVE","RUN VALIDE")))))))</f>
        <v/>
      </c>
    </row>
    <row r="11" ht="16" customHeight="1">
      <c r="A11" s="14" t="n"/>
      <c r="B11" s="15" t="n"/>
      <c r="C11" s="16" t="n"/>
      <c r="D11" s="16" t="n"/>
      <c r="E11" s="9" t="n"/>
      <c r="F11" s="10" t="n"/>
      <c r="G11" s="10" t="n"/>
      <c r="H11" s="9" t="n"/>
      <c r="I11" s="10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7">
        <f>IF($A11="","",IF(COUNTIF(RUNS!$A$6:$A$1005,$A11)&gt;1,"ID RUN EN DOUBLON",IF($B11="","DATE MANQUANTE",IF($E11="","ESPECE MANQUANTE",IF($F11="","PRODUIT MANQUANT",IF($T11="","STATUT RUN MANQUANT",IF(COUNTIF($L11:$S11,"INACTIVE")=8,"AUCUNE LIGNE ACTIVE","RUN VALIDE")))))))</f>
        <v/>
      </c>
    </row>
    <row r="12" ht="16" customHeight="1">
      <c r="A12" s="14" t="n"/>
      <c r="B12" s="15" t="n"/>
      <c r="C12" s="16" t="n"/>
      <c r="D12" s="16" t="n"/>
      <c r="E12" s="9" t="n"/>
      <c r="F12" s="10" t="n"/>
      <c r="G12" s="10" t="n"/>
      <c r="H12" s="9" t="n"/>
      <c r="I12" s="10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17">
        <f>IF($A12="","",IF(COUNTIF(RUNS!$A$6:$A$1005,$A12)&gt;1,"ID RUN EN DOUBLON",IF($B12="","DATE MANQUANTE",IF($E12="","ESPECE MANQUANTE",IF($F12="","PRODUIT MANQUANT",IF($T12="","STATUT RUN MANQUANT",IF(COUNTIF($L12:$S12,"INACTIVE")=8,"AUCUNE LIGNE ACTIVE","RUN VALIDE")))))))</f>
        <v/>
      </c>
    </row>
    <row r="13" ht="16" customHeight="1">
      <c r="A13" s="14" t="n"/>
      <c r="B13" s="15" t="n"/>
      <c r="C13" s="16" t="n"/>
      <c r="D13" s="16" t="n"/>
      <c r="E13" s="9" t="n"/>
      <c r="F13" s="10" t="n"/>
      <c r="G13" s="10" t="n"/>
      <c r="H13" s="9" t="n"/>
      <c r="I13" s="10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17">
        <f>IF($A13="","",IF(COUNTIF(RUNS!$A$6:$A$1005,$A13)&gt;1,"ID RUN EN DOUBLON",IF($B13="","DATE MANQUANTE",IF($E13="","ESPECE MANQUANTE",IF($F13="","PRODUIT MANQUANT",IF($T13="","STATUT RUN MANQUANT",IF(COUNTIF($L13:$S13,"INACTIVE")=8,"AUCUNE LIGNE ACTIVE","RUN VALIDE")))))))</f>
        <v/>
      </c>
    </row>
    <row r="14" ht="16" customHeight="1">
      <c r="A14" s="14" t="n"/>
      <c r="B14" s="15" t="n"/>
      <c r="C14" s="16" t="n"/>
      <c r="D14" s="16" t="n"/>
      <c r="E14" s="9" t="n"/>
      <c r="F14" s="10" t="n"/>
      <c r="G14" s="10" t="n"/>
      <c r="H14" s="9" t="n"/>
      <c r="I14" s="10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17">
        <f>IF($A14="","",IF(COUNTIF(RUNS!$A$6:$A$1005,$A14)&gt;1,"ID RUN EN DOUBLON",IF($B14="","DATE MANQUANTE",IF($E14="","ESPECE MANQUANTE",IF($F14="","PRODUIT MANQUANT",IF($T14="","STATUT RUN MANQUANT",IF(COUNTIF($L14:$S14,"INACTIVE")=8,"AUCUNE LIGNE ACTIVE","RUN VALIDE")))))))</f>
        <v/>
      </c>
    </row>
    <row r="15" ht="16" customHeight="1">
      <c r="A15" s="14" t="n"/>
      <c r="B15" s="15" t="n"/>
      <c r="C15" s="16" t="n"/>
      <c r="D15" s="16" t="n"/>
      <c r="E15" s="9" t="n"/>
      <c r="F15" s="10" t="n"/>
      <c r="G15" s="10" t="n"/>
      <c r="H15" s="9" t="n"/>
      <c r="I15" s="10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17">
        <f>IF($A15="","",IF(COUNTIF(RUNS!$A$6:$A$1005,$A15)&gt;1,"ID RUN EN DOUBLON",IF($B15="","DATE MANQUANTE",IF($E15="","ESPECE MANQUANTE",IF($F15="","PRODUIT MANQUANT",IF($T15="","STATUT RUN MANQUANT",IF(COUNTIF($L15:$S15,"INACTIVE")=8,"AUCUNE LIGNE ACTIVE","RUN VALIDE")))))))</f>
        <v/>
      </c>
    </row>
    <row r="16" ht="16" customHeight="1">
      <c r="A16" s="14" t="n"/>
      <c r="B16" s="15" t="n"/>
      <c r="C16" s="16" t="n"/>
      <c r="D16" s="16" t="n"/>
      <c r="E16" s="9" t="n"/>
      <c r="F16" s="10" t="n"/>
      <c r="G16" s="10" t="n"/>
      <c r="H16" s="9" t="n"/>
      <c r="I16" s="10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17">
        <f>IF($A16="","",IF(COUNTIF(RUNS!$A$6:$A$1005,$A16)&gt;1,"ID RUN EN DOUBLON",IF($B16="","DATE MANQUANTE",IF($E16="","ESPECE MANQUANTE",IF($F16="","PRODUIT MANQUANT",IF($T16="","STATUT RUN MANQUANT",IF(COUNTIF($L16:$S16,"INACTIVE")=8,"AUCUNE LIGNE ACTIVE","RUN VALIDE")))))))</f>
        <v/>
      </c>
    </row>
    <row r="17" ht="16" customHeight="1">
      <c r="A17" s="14" t="n"/>
      <c r="B17" s="15" t="n"/>
      <c r="C17" s="16" t="n"/>
      <c r="D17" s="16" t="n"/>
      <c r="E17" s="9" t="n"/>
      <c r="F17" s="10" t="n"/>
      <c r="G17" s="10" t="n"/>
      <c r="H17" s="9" t="n"/>
      <c r="I17" s="10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17">
        <f>IF($A17="","",IF(COUNTIF(RUNS!$A$6:$A$1005,$A17)&gt;1,"ID RUN EN DOUBLON",IF($B17="","DATE MANQUANTE",IF($E17="","ESPECE MANQUANTE",IF($F17="","PRODUIT MANQUANT",IF($T17="","STATUT RUN MANQUANT",IF(COUNTIF($L17:$S17,"INACTIVE")=8,"AUCUNE LIGNE ACTIVE","RUN VALIDE")))))))</f>
        <v/>
      </c>
    </row>
    <row r="18" ht="16" customHeight="1">
      <c r="A18" s="14" t="n"/>
      <c r="B18" s="15" t="n"/>
      <c r="C18" s="16" t="n"/>
      <c r="D18" s="16" t="n"/>
      <c r="E18" s="9" t="n"/>
      <c r="F18" s="10" t="n"/>
      <c r="G18" s="10" t="n"/>
      <c r="H18" s="9" t="n"/>
      <c r="I18" s="10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7">
        <f>IF($A18="","",IF(COUNTIF(RUNS!$A$6:$A$1005,$A18)&gt;1,"ID RUN EN DOUBLON",IF($B18="","DATE MANQUANTE",IF($E18="","ESPECE MANQUANTE",IF($F18="","PRODUIT MANQUANT",IF($T18="","STATUT RUN MANQUANT",IF(COUNTIF($L18:$S18,"INACTIVE")=8,"AUCUNE LIGNE ACTIVE","RUN VALIDE")))))))</f>
        <v/>
      </c>
    </row>
    <row r="19" ht="16" customHeight="1">
      <c r="A19" s="14" t="n"/>
      <c r="B19" s="15" t="n"/>
      <c r="C19" s="16" t="n"/>
      <c r="D19" s="16" t="n"/>
      <c r="E19" s="9" t="n"/>
      <c r="F19" s="10" t="n"/>
      <c r="G19" s="10" t="n"/>
      <c r="H19" s="9" t="n"/>
      <c r="I19" s="10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17">
        <f>IF($A19="","",IF(COUNTIF(RUNS!$A$6:$A$1005,$A19)&gt;1,"ID RUN EN DOUBLON",IF($B19="","DATE MANQUANTE",IF($E19="","ESPECE MANQUANTE",IF($F19="","PRODUIT MANQUANT",IF($T19="","STATUT RUN MANQUANT",IF(COUNTIF($L19:$S19,"INACTIVE")=8,"AUCUNE LIGNE ACTIVE","RUN VALIDE")))))))</f>
        <v/>
      </c>
    </row>
    <row r="20" ht="16" customHeight="1">
      <c r="A20" s="14" t="n"/>
      <c r="B20" s="15" t="n"/>
      <c r="C20" s="16" t="n"/>
      <c r="D20" s="16" t="n"/>
      <c r="E20" s="9" t="n"/>
      <c r="F20" s="10" t="n"/>
      <c r="G20" s="10" t="n"/>
      <c r="H20" s="9" t="n"/>
      <c r="I20" s="10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17">
        <f>IF($A20="","",IF(COUNTIF(RUNS!$A$6:$A$1005,$A20)&gt;1,"ID RUN EN DOUBLON",IF($B20="","DATE MANQUANTE",IF($E20="","ESPECE MANQUANTE",IF($F20="","PRODUIT MANQUANT",IF($T20="","STATUT RUN MANQUANT",IF(COUNTIF($L20:$S20,"INACTIVE")=8,"AUCUNE LIGNE ACTIVE","RUN VALIDE")))))))</f>
        <v/>
      </c>
    </row>
    <row r="21" ht="16" customHeight="1">
      <c r="A21" s="14" t="n"/>
      <c r="B21" s="15" t="n"/>
      <c r="C21" s="16" t="n"/>
      <c r="D21" s="16" t="n"/>
      <c r="E21" s="9" t="n"/>
      <c r="F21" s="10" t="n"/>
      <c r="G21" s="10" t="n"/>
      <c r="H21" s="9" t="n"/>
      <c r="I21" s="10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7">
        <f>IF($A21="","",IF(COUNTIF(RUNS!$A$6:$A$1005,$A21)&gt;1,"ID RUN EN DOUBLON",IF($B21="","DATE MANQUANTE",IF($E21="","ESPECE MANQUANTE",IF($F21="","PRODUIT MANQUANT",IF($T21="","STATUT RUN MANQUANT",IF(COUNTIF($L21:$S21,"INACTIVE")=8,"AUCUNE LIGNE ACTIVE","RUN VALIDE")))))))</f>
        <v/>
      </c>
    </row>
    <row r="22" ht="16" customHeight="1">
      <c r="A22" s="14" t="n"/>
      <c r="B22" s="15" t="n"/>
      <c r="C22" s="16" t="n"/>
      <c r="D22" s="16" t="n"/>
      <c r="E22" s="9" t="n"/>
      <c r="F22" s="10" t="n"/>
      <c r="G22" s="10" t="n"/>
      <c r="H22" s="9" t="n"/>
      <c r="I22" s="10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7">
        <f>IF($A22="","",IF(COUNTIF(RUNS!$A$6:$A$1005,$A22)&gt;1,"ID RUN EN DOUBLON",IF($B22="","DATE MANQUANTE",IF($E22="","ESPECE MANQUANTE",IF($F22="","PRODUIT MANQUANT",IF($T22="","STATUT RUN MANQUANT",IF(COUNTIF($L22:$S22,"INACTIVE")=8,"AUCUNE LIGNE ACTIVE","RUN VALIDE")))))))</f>
        <v/>
      </c>
    </row>
    <row r="23" ht="16" customHeight="1">
      <c r="A23" s="14" t="n"/>
      <c r="B23" s="15" t="n"/>
      <c r="C23" s="16" t="n"/>
      <c r="D23" s="16" t="n"/>
      <c r="E23" s="9" t="n"/>
      <c r="F23" s="10" t="n"/>
      <c r="G23" s="10" t="n"/>
      <c r="H23" s="9" t="n"/>
      <c r="I23" s="10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7">
        <f>IF($A23="","",IF(COUNTIF(RUNS!$A$6:$A$1005,$A23)&gt;1,"ID RUN EN DOUBLON",IF($B23="","DATE MANQUANTE",IF($E23="","ESPECE MANQUANTE",IF($F23="","PRODUIT MANQUANT",IF($T23="","STATUT RUN MANQUANT",IF(COUNTIF($L23:$S23,"INACTIVE")=8,"AUCUNE LIGNE ACTIVE","RUN VALIDE")))))))</f>
        <v/>
      </c>
    </row>
    <row r="24" ht="16" customHeight="1">
      <c r="A24" s="14" t="n"/>
      <c r="B24" s="15" t="n"/>
      <c r="C24" s="16" t="n"/>
      <c r="D24" s="16" t="n"/>
      <c r="E24" s="9" t="n"/>
      <c r="F24" s="10" t="n"/>
      <c r="G24" s="10" t="n"/>
      <c r="H24" s="9" t="n"/>
      <c r="I24" s="10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7">
        <f>IF($A24="","",IF(COUNTIF(RUNS!$A$6:$A$1005,$A24)&gt;1,"ID RUN EN DOUBLON",IF($B24="","DATE MANQUANTE",IF($E24="","ESPECE MANQUANTE",IF($F24="","PRODUIT MANQUANT",IF($T24="","STATUT RUN MANQUANT",IF(COUNTIF($L24:$S24,"INACTIVE")=8,"AUCUNE LIGNE ACTIVE","RUN VALIDE")))))))</f>
        <v/>
      </c>
    </row>
    <row r="25" ht="16" customHeight="1">
      <c r="A25" s="14" t="n"/>
      <c r="B25" s="15" t="n"/>
      <c r="C25" s="16" t="n"/>
      <c r="D25" s="16" t="n"/>
      <c r="E25" s="9" t="n"/>
      <c r="F25" s="10" t="n"/>
      <c r="G25" s="10" t="n"/>
      <c r="H25" s="9" t="n"/>
      <c r="I25" s="10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7">
        <f>IF($A25="","",IF(COUNTIF(RUNS!$A$6:$A$1005,$A25)&gt;1,"ID RUN EN DOUBLON",IF($B25="","DATE MANQUANTE",IF($E25="","ESPECE MANQUANTE",IF($F25="","PRODUIT MANQUANT",IF($T25="","STATUT RUN MANQUANT",IF(COUNTIF($L25:$S25,"INACTIVE")=8,"AUCUNE LIGNE ACTIVE","RUN VALIDE")))))))</f>
        <v/>
      </c>
    </row>
    <row r="26" ht="16" customHeight="1">
      <c r="A26" s="14" t="n"/>
      <c r="B26" s="15" t="n"/>
      <c r="C26" s="16" t="n"/>
      <c r="D26" s="16" t="n"/>
      <c r="E26" s="9" t="n"/>
      <c r="F26" s="10" t="n"/>
      <c r="G26" s="10" t="n"/>
      <c r="H26" s="9" t="n"/>
      <c r="I26" s="10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7">
        <f>IF($A26="","",IF(COUNTIF(RUNS!$A$6:$A$1005,$A26)&gt;1,"ID RUN EN DOUBLON",IF($B26="","DATE MANQUANTE",IF($E26="","ESPECE MANQUANTE",IF($F26="","PRODUIT MANQUANT",IF($T26="","STATUT RUN MANQUANT",IF(COUNTIF($L26:$S26,"INACTIVE")=8,"AUCUNE LIGNE ACTIVE","RUN VALIDE")))))))</f>
        <v/>
      </c>
    </row>
    <row r="27" ht="16" customHeight="1">
      <c r="A27" s="14" t="n"/>
      <c r="B27" s="15" t="n"/>
      <c r="C27" s="16" t="n"/>
      <c r="D27" s="16" t="n"/>
      <c r="E27" s="9" t="n"/>
      <c r="F27" s="10" t="n"/>
      <c r="G27" s="10" t="n"/>
      <c r="H27" s="9" t="n"/>
      <c r="I27" s="10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7">
        <f>IF($A27="","",IF(COUNTIF(RUNS!$A$6:$A$1005,$A27)&gt;1,"ID RUN EN DOUBLON",IF($B27="","DATE MANQUANTE",IF($E27="","ESPECE MANQUANTE",IF($F27="","PRODUIT MANQUANT",IF($T27="","STATUT RUN MANQUANT",IF(COUNTIF($L27:$S27,"INACTIVE")=8,"AUCUNE LIGNE ACTIVE","RUN VALIDE")))))))</f>
        <v/>
      </c>
    </row>
    <row r="28" ht="16" customHeight="1">
      <c r="A28" s="14" t="n"/>
      <c r="B28" s="15" t="n"/>
      <c r="C28" s="16" t="n"/>
      <c r="D28" s="16" t="n"/>
      <c r="E28" s="9" t="n"/>
      <c r="F28" s="10" t="n"/>
      <c r="G28" s="10" t="n"/>
      <c r="H28" s="9" t="n"/>
      <c r="I28" s="10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17">
        <f>IF($A28="","",IF(COUNTIF(RUNS!$A$6:$A$1005,$A28)&gt;1,"ID RUN EN DOUBLON",IF($B28="","DATE MANQUANTE",IF($E28="","ESPECE MANQUANTE",IF($F28="","PRODUIT MANQUANT",IF($T28="","STATUT RUN MANQUANT",IF(COUNTIF($L28:$S28,"INACTIVE")=8,"AUCUNE LIGNE ACTIVE","RUN VALIDE")))))))</f>
        <v/>
      </c>
    </row>
    <row r="29" ht="16" customHeight="1">
      <c r="A29" s="14" t="n"/>
      <c r="B29" s="15" t="n"/>
      <c r="C29" s="16" t="n"/>
      <c r="D29" s="16" t="n"/>
      <c r="E29" s="9" t="n"/>
      <c r="F29" s="10" t="n"/>
      <c r="G29" s="10" t="n"/>
      <c r="H29" s="9" t="n"/>
      <c r="I29" s="10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7">
        <f>IF($A29="","",IF(COUNTIF(RUNS!$A$6:$A$1005,$A29)&gt;1,"ID RUN EN DOUBLON",IF($B29="","DATE MANQUANTE",IF($E29="","ESPECE MANQUANTE",IF($F29="","PRODUIT MANQUANT",IF($T29="","STATUT RUN MANQUANT",IF(COUNTIF($L29:$S29,"INACTIVE")=8,"AUCUNE LIGNE ACTIVE","RUN VALIDE")))))))</f>
        <v/>
      </c>
    </row>
    <row r="30" ht="16" customHeight="1">
      <c r="A30" s="14" t="n"/>
      <c r="B30" s="15" t="n"/>
      <c r="C30" s="16" t="n"/>
      <c r="D30" s="16" t="n"/>
      <c r="E30" s="9" t="n"/>
      <c r="F30" s="10" t="n"/>
      <c r="G30" s="10" t="n"/>
      <c r="H30" s="9" t="n"/>
      <c r="I30" s="10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7">
        <f>IF($A30="","",IF(COUNTIF(RUNS!$A$6:$A$1005,$A30)&gt;1,"ID RUN EN DOUBLON",IF($B30="","DATE MANQUANTE",IF($E30="","ESPECE MANQUANTE",IF($F30="","PRODUIT MANQUANT",IF($T30="","STATUT RUN MANQUANT",IF(COUNTIF($L30:$S30,"INACTIVE")=8,"AUCUNE LIGNE ACTIVE","RUN VALIDE")))))))</f>
        <v/>
      </c>
    </row>
    <row r="31" ht="16" customHeight="1">
      <c r="A31" s="14" t="n"/>
      <c r="B31" s="15" t="n"/>
      <c r="C31" s="16" t="n"/>
      <c r="D31" s="16" t="n"/>
      <c r="E31" s="9" t="n"/>
      <c r="F31" s="10" t="n"/>
      <c r="G31" s="10" t="n"/>
      <c r="H31" s="9" t="n"/>
      <c r="I31" s="10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7">
        <f>IF($A31="","",IF(COUNTIF(RUNS!$A$6:$A$1005,$A31)&gt;1,"ID RUN EN DOUBLON",IF($B31="","DATE MANQUANTE",IF($E31="","ESPECE MANQUANTE",IF($F31="","PRODUIT MANQUANT",IF($T31="","STATUT RUN MANQUANT",IF(COUNTIF($L31:$S31,"INACTIVE")=8,"AUCUNE LIGNE ACTIVE","RUN VALIDE")))))))</f>
        <v/>
      </c>
    </row>
    <row r="32" ht="16" customHeight="1">
      <c r="A32" s="14" t="n"/>
      <c r="B32" s="15" t="n"/>
      <c r="C32" s="16" t="n"/>
      <c r="D32" s="16" t="n"/>
      <c r="E32" s="9" t="n"/>
      <c r="F32" s="10" t="n"/>
      <c r="G32" s="10" t="n"/>
      <c r="H32" s="9" t="n"/>
      <c r="I32" s="10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17">
        <f>IF($A32="","",IF(COUNTIF(RUNS!$A$6:$A$1005,$A32)&gt;1,"ID RUN EN DOUBLON",IF($B32="","DATE MANQUANTE",IF($E32="","ESPECE MANQUANTE",IF($F32="","PRODUIT MANQUANT",IF($T32="","STATUT RUN MANQUANT",IF(COUNTIF($L32:$S32,"INACTIVE")=8,"AUCUNE LIGNE ACTIVE","RUN VALIDE")))))))</f>
        <v/>
      </c>
    </row>
    <row r="33" ht="16" customHeight="1">
      <c r="A33" s="14" t="n"/>
      <c r="B33" s="15" t="n"/>
      <c r="C33" s="16" t="n"/>
      <c r="D33" s="16" t="n"/>
      <c r="E33" s="9" t="n"/>
      <c r="F33" s="10" t="n"/>
      <c r="G33" s="10" t="n"/>
      <c r="H33" s="9" t="n"/>
      <c r="I33" s="10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7">
        <f>IF($A33="","",IF(COUNTIF(RUNS!$A$6:$A$1005,$A33)&gt;1,"ID RUN EN DOUBLON",IF($B33="","DATE MANQUANTE",IF($E33="","ESPECE MANQUANTE",IF($F33="","PRODUIT MANQUANT",IF($T33="","STATUT RUN MANQUANT",IF(COUNTIF($L33:$S33,"INACTIVE")=8,"AUCUNE LIGNE ACTIVE","RUN VALIDE")))))))</f>
        <v/>
      </c>
    </row>
    <row r="34" ht="16" customHeight="1">
      <c r="A34" s="14" t="n"/>
      <c r="B34" s="15" t="n"/>
      <c r="C34" s="16" t="n"/>
      <c r="D34" s="16" t="n"/>
      <c r="E34" s="9" t="n"/>
      <c r="F34" s="10" t="n"/>
      <c r="G34" s="10" t="n"/>
      <c r="H34" s="9" t="n"/>
      <c r="I34" s="10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17">
        <f>IF($A34="","",IF(COUNTIF(RUNS!$A$6:$A$1005,$A34)&gt;1,"ID RUN EN DOUBLON",IF($B34="","DATE MANQUANTE",IF($E34="","ESPECE MANQUANTE",IF($F34="","PRODUIT MANQUANT",IF($T34="","STATUT RUN MANQUANT",IF(COUNTIF($L34:$S34,"INACTIVE")=8,"AUCUNE LIGNE ACTIVE","RUN VALIDE")))))))</f>
        <v/>
      </c>
    </row>
    <row r="35" ht="16" customHeight="1">
      <c r="A35" s="14" t="n"/>
      <c r="B35" s="15" t="n"/>
      <c r="C35" s="16" t="n"/>
      <c r="D35" s="16" t="n"/>
      <c r="E35" s="9" t="n"/>
      <c r="F35" s="10" t="n"/>
      <c r="G35" s="10" t="n"/>
      <c r="H35" s="9" t="n"/>
      <c r="I35" s="10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17">
        <f>IF($A35="","",IF(COUNTIF(RUNS!$A$6:$A$1005,$A35)&gt;1,"ID RUN EN DOUBLON",IF($B35="","DATE MANQUANTE",IF($E35="","ESPECE MANQUANTE",IF($F35="","PRODUIT MANQUANT",IF($T35="","STATUT RUN MANQUANT",IF(COUNTIF($L35:$S35,"INACTIVE")=8,"AUCUNE LIGNE ACTIVE","RUN VALIDE")))))))</f>
        <v/>
      </c>
    </row>
    <row r="36" ht="16" customHeight="1">
      <c r="A36" s="14" t="n"/>
      <c r="B36" s="15" t="n"/>
      <c r="C36" s="16" t="n"/>
      <c r="D36" s="16" t="n"/>
      <c r="E36" s="9" t="n"/>
      <c r="F36" s="10" t="n"/>
      <c r="G36" s="10" t="n"/>
      <c r="H36" s="9" t="n"/>
      <c r="I36" s="10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7">
        <f>IF($A36="","",IF(COUNTIF(RUNS!$A$6:$A$1005,$A36)&gt;1,"ID RUN EN DOUBLON",IF($B36="","DATE MANQUANTE",IF($E36="","ESPECE MANQUANTE",IF($F36="","PRODUIT MANQUANT",IF($T36="","STATUT RUN MANQUANT",IF(COUNTIF($L36:$S36,"INACTIVE")=8,"AUCUNE LIGNE ACTIVE","RUN VALIDE")))))))</f>
        <v/>
      </c>
    </row>
    <row r="37" ht="16" customHeight="1">
      <c r="A37" s="14" t="n"/>
      <c r="B37" s="15" t="n"/>
      <c r="C37" s="16" t="n"/>
      <c r="D37" s="16" t="n"/>
      <c r="E37" s="9" t="n"/>
      <c r="F37" s="10" t="n"/>
      <c r="G37" s="10" t="n"/>
      <c r="H37" s="9" t="n"/>
      <c r="I37" s="10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7">
        <f>IF($A37="","",IF(COUNTIF(RUNS!$A$6:$A$1005,$A37)&gt;1,"ID RUN EN DOUBLON",IF($B37="","DATE MANQUANTE",IF($E37="","ESPECE MANQUANTE",IF($F37="","PRODUIT MANQUANT",IF($T37="","STATUT RUN MANQUANT",IF(COUNTIF($L37:$S37,"INACTIVE")=8,"AUCUNE LIGNE ACTIVE","RUN VALIDE")))))))</f>
        <v/>
      </c>
    </row>
    <row r="38" ht="16" customHeight="1">
      <c r="A38" s="14" t="n"/>
      <c r="B38" s="15" t="n"/>
      <c r="C38" s="16" t="n"/>
      <c r="D38" s="16" t="n"/>
      <c r="E38" s="9" t="n"/>
      <c r="F38" s="10" t="n"/>
      <c r="G38" s="10" t="n"/>
      <c r="H38" s="9" t="n"/>
      <c r="I38" s="10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7">
        <f>IF($A38="","",IF(COUNTIF(RUNS!$A$6:$A$1005,$A38)&gt;1,"ID RUN EN DOUBLON",IF($B38="","DATE MANQUANTE",IF($E38="","ESPECE MANQUANTE",IF($F38="","PRODUIT MANQUANT",IF($T38="","STATUT RUN MANQUANT",IF(COUNTIF($L38:$S38,"INACTIVE")=8,"AUCUNE LIGNE ACTIVE","RUN VALIDE")))))))</f>
        <v/>
      </c>
    </row>
    <row r="39" ht="16" customHeight="1">
      <c r="A39" s="14" t="n"/>
      <c r="B39" s="15" t="n"/>
      <c r="C39" s="16" t="n"/>
      <c r="D39" s="16" t="n"/>
      <c r="E39" s="9" t="n"/>
      <c r="F39" s="10" t="n"/>
      <c r="G39" s="10" t="n"/>
      <c r="H39" s="9" t="n"/>
      <c r="I39" s="10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17">
        <f>IF($A39="","",IF(COUNTIF(RUNS!$A$6:$A$1005,$A39)&gt;1,"ID RUN EN DOUBLON",IF($B39="","DATE MANQUANTE",IF($E39="","ESPECE MANQUANTE",IF($F39="","PRODUIT MANQUANT",IF($T39="","STATUT RUN MANQUANT",IF(COUNTIF($L39:$S39,"INACTIVE")=8,"AUCUNE LIGNE ACTIVE","RUN VALIDE")))))))</f>
        <v/>
      </c>
    </row>
    <row r="40" ht="16" customHeight="1">
      <c r="A40" s="14" t="n"/>
      <c r="B40" s="15" t="n"/>
      <c r="C40" s="16" t="n"/>
      <c r="D40" s="16" t="n"/>
      <c r="E40" s="9" t="n"/>
      <c r="F40" s="10" t="n"/>
      <c r="G40" s="10" t="n"/>
      <c r="H40" s="9" t="n"/>
      <c r="I40" s="10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7">
        <f>IF($A40="","",IF(COUNTIF(RUNS!$A$6:$A$1005,$A40)&gt;1,"ID RUN EN DOUBLON",IF($B40="","DATE MANQUANTE",IF($E40="","ESPECE MANQUANTE",IF($F40="","PRODUIT MANQUANT",IF($T40="","STATUT RUN MANQUANT",IF(COUNTIF($L40:$S40,"INACTIVE")=8,"AUCUNE LIGNE ACTIVE","RUN VALIDE")))))))</f>
        <v/>
      </c>
    </row>
    <row r="41" ht="16" customHeight="1">
      <c r="A41" s="14" t="n"/>
      <c r="B41" s="15" t="n"/>
      <c r="C41" s="16" t="n"/>
      <c r="D41" s="16" t="n"/>
      <c r="E41" s="9" t="n"/>
      <c r="F41" s="10" t="n"/>
      <c r="G41" s="10" t="n"/>
      <c r="H41" s="9" t="n"/>
      <c r="I41" s="10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7">
        <f>IF($A41="","",IF(COUNTIF(RUNS!$A$6:$A$1005,$A41)&gt;1,"ID RUN EN DOUBLON",IF($B41="","DATE MANQUANTE",IF($E41="","ESPECE MANQUANTE",IF($F41="","PRODUIT MANQUANT",IF($T41="","STATUT RUN MANQUANT",IF(COUNTIF($L41:$S41,"INACTIVE")=8,"AUCUNE LIGNE ACTIVE","RUN VALIDE")))))))</f>
        <v/>
      </c>
    </row>
    <row r="42" ht="16" customHeight="1">
      <c r="A42" s="14" t="n"/>
      <c r="B42" s="15" t="n"/>
      <c r="C42" s="16" t="n"/>
      <c r="D42" s="16" t="n"/>
      <c r="E42" s="9" t="n"/>
      <c r="F42" s="10" t="n"/>
      <c r="G42" s="10" t="n"/>
      <c r="H42" s="9" t="n"/>
      <c r="I42" s="10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7">
        <f>IF($A42="","",IF(COUNTIF(RUNS!$A$6:$A$1005,$A42)&gt;1,"ID RUN EN DOUBLON",IF($B42="","DATE MANQUANTE",IF($E42="","ESPECE MANQUANTE",IF($F42="","PRODUIT MANQUANT",IF($T42="","STATUT RUN MANQUANT",IF(COUNTIF($L42:$S42,"INACTIVE")=8,"AUCUNE LIGNE ACTIVE","RUN VALIDE")))))))</f>
        <v/>
      </c>
    </row>
    <row r="43" ht="16" customHeight="1">
      <c r="A43" s="14" t="n"/>
      <c r="B43" s="15" t="n"/>
      <c r="C43" s="16" t="n"/>
      <c r="D43" s="16" t="n"/>
      <c r="E43" s="9" t="n"/>
      <c r="F43" s="10" t="n"/>
      <c r="G43" s="10" t="n"/>
      <c r="H43" s="9" t="n"/>
      <c r="I43" s="10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7">
        <f>IF($A43="","",IF(COUNTIF(RUNS!$A$6:$A$1005,$A43)&gt;1,"ID RUN EN DOUBLON",IF($B43="","DATE MANQUANTE",IF($E43="","ESPECE MANQUANTE",IF($F43="","PRODUIT MANQUANT",IF($T43="","STATUT RUN MANQUANT",IF(COUNTIF($L43:$S43,"INACTIVE")=8,"AUCUNE LIGNE ACTIVE","RUN VALIDE")))))))</f>
        <v/>
      </c>
    </row>
    <row r="44" ht="16" customHeight="1">
      <c r="A44" s="14" t="n"/>
      <c r="B44" s="15" t="n"/>
      <c r="C44" s="16" t="n"/>
      <c r="D44" s="16" t="n"/>
      <c r="E44" s="9" t="n"/>
      <c r="F44" s="10" t="n"/>
      <c r="G44" s="10" t="n"/>
      <c r="H44" s="9" t="n"/>
      <c r="I44" s="10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7">
        <f>IF($A44="","",IF(COUNTIF(RUNS!$A$6:$A$1005,$A44)&gt;1,"ID RUN EN DOUBLON",IF($B44="","DATE MANQUANTE",IF($E44="","ESPECE MANQUANTE",IF($F44="","PRODUIT MANQUANT",IF($T44="","STATUT RUN MANQUANT",IF(COUNTIF($L44:$S44,"INACTIVE")=8,"AUCUNE LIGNE ACTIVE","RUN VALIDE")))))))</f>
        <v/>
      </c>
    </row>
    <row r="45" ht="16" customHeight="1">
      <c r="A45" s="14" t="n"/>
      <c r="B45" s="15" t="n"/>
      <c r="C45" s="16" t="n"/>
      <c r="D45" s="16" t="n"/>
      <c r="E45" s="9" t="n"/>
      <c r="F45" s="10" t="n"/>
      <c r="G45" s="10" t="n"/>
      <c r="H45" s="9" t="n"/>
      <c r="I45" s="10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7">
        <f>IF($A45="","",IF(COUNTIF(RUNS!$A$6:$A$1005,$A45)&gt;1,"ID RUN EN DOUBLON",IF($B45="","DATE MANQUANTE",IF($E45="","ESPECE MANQUANTE",IF($F45="","PRODUIT MANQUANT",IF($T45="","STATUT RUN MANQUANT",IF(COUNTIF($L45:$S45,"INACTIVE")=8,"AUCUNE LIGNE ACTIVE","RUN VALIDE")))))))</f>
        <v/>
      </c>
    </row>
    <row r="46" ht="16" customHeight="1">
      <c r="A46" s="14" t="n"/>
      <c r="B46" s="15" t="n"/>
      <c r="C46" s="16" t="n"/>
      <c r="D46" s="16" t="n"/>
      <c r="E46" s="9" t="n"/>
      <c r="F46" s="10" t="n"/>
      <c r="G46" s="10" t="n"/>
      <c r="H46" s="9" t="n"/>
      <c r="I46" s="10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7">
        <f>IF($A46="","",IF(COUNTIF(RUNS!$A$6:$A$1005,$A46)&gt;1,"ID RUN EN DOUBLON",IF($B46="","DATE MANQUANTE",IF($E46="","ESPECE MANQUANTE",IF($F46="","PRODUIT MANQUANT",IF($T46="","STATUT RUN MANQUANT",IF(COUNTIF($L46:$S46,"INACTIVE")=8,"AUCUNE LIGNE ACTIVE","RUN VALIDE")))))))</f>
        <v/>
      </c>
    </row>
    <row r="47" ht="16" customHeight="1">
      <c r="A47" s="14" t="n"/>
      <c r="B47" s="15" t="n"/>
      <c r="C47" s="16" t="n"/>
      <c r="D47" s="16" t="n"/>
      <c r="E47" s="9" t="n"/>
      <c r="F47" s="10" t="n"/>
      <c r="G47" s="10" t="n"/>
      <c r="H47" s="9" t="n"/>
      <c r="I47" s="10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17">
        <f>IF($A47="","",IF(COUNTIF(RUNS!$A$6:$A$1005,$A47)&gt;1,"ID RUN EN DOUBLON",IF($B47="","DATE MANQUANTE",IF($E47="","ESPECE MANQUANTE",IF($F47="","PRODUIT MANQUANT",IF($T47="","STATUT RUN MANQUANT",IF(COUNTIF($L47:$S47,"INACTIVE")=8,"AUCUNE LIGNE ACTIVE","RUN VALIDE")))))))</f>
        <v/>
      </c>
    </row>
    <row r="48" ht="16" customHeight="1">
      <c r="A48" s="14" t="n"/>
      <c r="B48" s="15" t="n"/>
      <c r="C48" s="16" t="n"/>
      <c r="D48" s="16" t="n"/>
      <c r="E48" s="9" t="n"/>
      <c r="F48" s="10" t="n"/>
      <c r="G48" s="10" t="n"/>
      <c r="H48" s="9" t="n"/>
      <c r="I48" s="10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7">
        <f>IF($A48="","",IF(COUNTIF(RUNS!$A$6:$A$1005,$A48)&gt;1,"ID RUN EN DOUBLON",IF($B48="","DATE MANQUANTE",IF($E48="","ESPECE MANQUANTE",IF($F48="","PRODUIT MANQUANT",IF($T48="","STATUT RUN MANQUANT",IF(COUNTIF($L48:$S48,"INACTIVE")=8,"AUCUNE LIGNE ACTIVE","RUN VALIDE")))))))</f>
        <v/>
      </c>
    </row>
    <row r="49" ht="16" customHeight="1">
      <c r="A49" s="14" t="n"/>
      <c r="B49" s="15" t="n"/>
      <c r="C49" s="16" t="n"/>
      <c r="D49" s="16" t="n"/>
      <c r="E49" s="9" t="n"/>
      <c r="F49" s="10" t="n"/>
      <c r="G49" s="10" t="n"/>
      <c r="H49" s="9" t="n"/>
      <c r="I49" s="10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7">
        <f>IF($A49="","",IF(COUNTIF(RUNS!$A$6:$A$1005,$A49)&gt;1,"ID RUN EN DOUBLON",IF($B49="","DATE MANQUANTE",IF($E49="","ESPECE MANQUANTE",IF($F49="","PRODUIT MANQUANT",IF($T49="","STATUT RUN MANQUANT",IF(COUNTIF($L49:$S49,"INACTIVE")=8,"AUCUNE LIGNE ACTIVE","RUN VALIDE")))))))</f>
        <v/>
      </c>
    </row>
    <row r="50" ht="16" customHeight="1">
      <c r="A50" s="14" t="n"/>
      <c r="B50" s="15" t="n"/>
      <c r="C50" s="16" t="n"/>
      <c r="D50" s="16" t="n"/>
      <c r="E50" s="9" t="n"/>
      <c r="F50" s="10" t="n"/>
      <c r="G50" s="10" t="n"/>
      <c r="H50" s="9" t="n"/>
      <c r="I50" s="10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7">
        <f>IF($A50="","",IF(COUNTIF(RUNS!$A$6:$A$1005,$A50)&gt;1,"ID RUN EN DOUBLON",IF($B50="","DATE MANQUANTE",IF($E50="","ESPECE MANQUANTE",IF($F50="","PRODUIT MANQUANT",IF($T50="","STATUT RUN MANQUANT",IF(COUNTIF($L50:$S50,"INACTIVE")=8,"AUCUNE LIGNE ACTIVE","RUN VALIDE")))))))</f>
        <v/>
      </c>
    </row>
    <row r="51" ht="16" customHeight="1">
      <c r="A51" s="14" t="n"/>
      <c r="B51" s="15" t="n"/>
      <c r="C51" s="16" t="n"/>
      <c r="D51" s="16" t="n"/>
      <c r="E51" s="9" t="n"/>
      <c r="F51" s="10" t="n"/>
      <c r="G51" s="10" t="n"/>
      <c r="H51" s="9" t="n"/>
      <c r="I51" s="10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7">
        <f>IF($A51="","",IF(COUNTIF(RUNS!$A$6:$A$1005,$A51)&gt;1,"ID RUN EN DOUBLON",IF($B51="","DATE MANQUANTE",IF($E51="","ESPECE MANQUANTE",IF($F51="","PRODUIT MANQUANT",IF($T51="","STATUT RUN MANQUANT",IF(COUNTIF($L51:$S51,"INACTIVE")=8,"AUCUNE LIGNE ACTIVE","RUN VALIDE")))))))</f>
        <v/>
      </c>
    </row>
    <row r="52" ht="16" customHeight="1">
      <c r="A52" s="14" t="n"/>
      <c r="B52" s="15" t="n"/>
      <c r="C52" s="16" t="n"/>
      <c r="D52" s="16" t="n"/>
      <c r="E52" s="9" t="n"/>
      <c r="F52" s="10" t="n"/>
      <c r="G52" s="10" t="n"/>
      <c r="H52" s="9" t="n"/>
      <c r="I52" s="10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7">
        <f>IF($A52="","",IF(COUNTIF(RUNS!$A$6:$A$1005,$A52)&gt;1,"ID RUN EN DOUBLON",IF($B52="","DATE MANQUANTE",IF($E52="","ESPECE MANQUANTE",IF($F52="","PRODUIT MANQUANT",IF($T52="","STATUT RUN MANQUANT",IF(COUNTIF($L52:$S52,"INACTIVE")=8,"AUCUNE LIGNE ACTIVE","RUN VALIDE")))))))</f>
        <v/>
      </c>
    </row>
    <row r="53" ht="16" customHeight="1">
      <c r="A53" s="14" t="n"/>
      <c r="B53" s="15" t="n"/>
      <c r="C53" s="16" t="n"/>
      <c r="D53" s="16" t="n"/>
      <c r="E53" s="9" t="n"/>
      <c r="F53" s="10" t="n"/>
      <c r="G53" s="10" t="n"/>
      <c r="H53" s="9" t="n"/>
      <c r="I53" s="10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7">
        <f>IF($A53="","",IF(COUNTIF(RUNS!$A$6:$A$1005,$A53)&gt;1,"ID RUN EN DOUBLON",IF($B53="","DATE MANQUANTE",IF($E53="","ESPECE MANQUANTE",IF($F53="","PRODUIT MANQUANT",IF($T53="","STATUT RUN MANQUANT",IF(COUNTIF($L53:$S53,"INACTIVE")=8,"AUCUNE LIGNE ACTIVE","RUN VALIDE")))))))</f>
        <v/>
      </c>
    </row>
    <row r="54" ht="16" customHeight="1">
      <c r="A54" s="14" t="n"/>
      <c r="B54" s="15" t="n"/>
      <c r="C54" s="16" t="n"/>
      <c r="D54" s="16" t="n"/>
      <c r="E54" s="9" t="n"/>
      <c r="F54" s="10" t="n"/>
      <c r="G54" s="10" t="n"/>
      <c r="H54" s="9" t="n"/>
      <c r="I54" s="10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17">
        <f>IF($A54="","",IF(COUNTIF(RUNS!$A$6:$A$1005,$A54)&gt;1,"ID RUN EN DOUBLON",IF($B54="","DATE MANQUANTE",IF($E54="","ESPECE MANQUANTE",IF($F54="","PRODUIT MANQUANT",IF($T54="","STATUT RUN MANQUANT",IF(COUNTIF($L54:$S54,"INACTIVE")=8,"AUCUNE LIGNE ACTIVE","RUN VALIDE")))))))</f>
        <v/>
      </c>
    </row>
    <row r="55" ht="16" customHeight="1">
      <c r="A55" s="14" t="n"/>
      <c r="B55" s="15" t="n"/>
      <c r="C55" s="16" t="n"/>
      <c r="D55" s="16" t="n"/>
      <c r="E55" s="9" t="n"/>
      <c r="F55" s="10" t="n"/>
      <c r="G55" s="10" t="n"/>
      <c r="H55" s="9" t="n"/>
      <c r="I55" s="10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17">
        <f>IF($A55="","",IF(COUNTIF(RUNS!$A$6:$A$1005,$A55)&gt;1,"ID RUN EN DOUBLON",IF($B55="","DATE MANQUANTE",IF($E55="","ESPECE MANQUANTE",IF($F55="","PRODUIT MANQUANT",IF($T55="","STATUT RUN MANQUANT",IF(COUNTIF($L55:$S55,"INACTIVE")=8,"AUCUNE LIGNE ACTIVE","RUN VALIDE")))))))</f>
        <v/>
      </c>
    </row>
    <row r="56" ht="16" customHeight="1">
      <c r="A56" s="14" t="n"/>
      <c r="B56" s="15" t="n"/>
      <c r="C56" s="16" t="n"/>
      <c r="D56" s="16" t="n"/>
      <c r="E56" s="9" t="n"/>
      <c r="F56" s="10" t="n"/>
      <c r="G56" s="10" t="n"/>
      <c r="H56" s="9" t="n"/>
      <c r="I56" s="10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17">
        <f>IF($A56="","",IF(COUNTIF(RUNS!$A$6:$A$1005,$A56)&gt;1,"ID RUN EN DOUBLON",IF($B56="","DATE MANQUANTE",IF($E56="","ESPECE MANQUANTE",IF($F56="","PRODUIT MANQUANT",IF($T56="","STATUT RUN MANQUANT",IF(COUNTIF($L56:$S56,"INACTIVE")=8,"AUCUNE LIGNE ACTIVE","RUN VALIDE")))))))</f>
        <v/>
      </c>
    </row>
    <row r="57" ht="16" customHeight="1">
      <c r="A57" s="14" t="n"/>
      <c r="B57" s="15" t="n"/>
      <c r="C57" s="16" t="n"/>
      <c r="D57" s="16" t="n"/>
      <c r="E57" s="9" t="n"/>
      <c r="F57" s="10" t="n"/>
      <c r="G57" s="10" t="n"/>
      <c r="H57" s="9" t="n"/>
      <c r="I57" s="10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17">
        <f>IF($A57="","",IF(COUNTIF(RUNS!$A$6:$A$1005,$A57)&gt;1,"ID RUN EN DOUBLON",IF($B57="","DATE MANQUANTE",IF($E57="","ESPECE MANQUANTE",IF($F57="","PRODUIT MANQUANT",IF($T57="","STATUT RUN MANQUANT",IF(COUNTIF($L57:$S57,"INACTIVE")=8,"AUCUNE LIGNE ACTIVE","RUN VALIDE")))))))</f>
        <v/>
      </c>
    </row>
    <row r="58" ht="16" customHeight="1">
      <c r="A58" s="14" t="n"/>
      <c r="B58" s="15" t="n"/>
      <c r="C58" s="16" t="n"/>
      <c r="D58" s="16" t="n"/>
      <c r="E58" s="9" t="n"/>
      <c r="F58" s="10" t="n"/>
      <c r="G58" s="10" t="n"/>
      <c r="H58" s="9" t="n"/>
      <c r="I58" s="10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17">
        <f>IF($A58="","",IF(COUNTIF(RUNS!$A$6:$A$1005,$A58)&gt;1,"ID RUN EN DOUBLON",IF($B58="","DATE MANQUANTE",IF($E58="","ESPECE MANQUANTE",IF($F58="","PRODUIT MANQUANT",IF($T58="","STATUT RUN MANQUANT",IF(COUNTIF($L58:$S58,"INACTIVE")=8,"AUCUNE LIGNE ACTIVE","RUN VALIDE")))))))</f>
        <v/>
      </c>
    </row>
    <row r="59" ht="16" customHeight="1">
      <c r="A59" s="14" t="n"/>
      <c r="B59" s="15" t="n"/>
      <c r="C59" s="16" t="n"/>
      <c r="D59" s="16" t="n"/>
      <c r="E59" s="9" t="n"/>
      <c r="F59" s="10" t="n"/>
      <c r="G59" s="10" t="n"/>
      <c r="H59" s="9" t="n"/>
      <c r="I59" s="10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17">
        <f>IF($A59="","",IF(COUNTIF(RUNS!$A$6:$A$1005,$A59)&gt;1,"ID RUN EN DOUBLON",IF($B59="","DATE MANQUANTE",IF($E59="","ESPECE MANQUANTE",IF($F59="","PRODUIT MANQUANT",IF($T59="","STATUT RUN MANQUANT",IF(COUNTIF($L59:$S59,"INACTIVE")=8,"AUCUNE LIGNE ACTIVE","RUN VALIDE")))))))</f>
        <v/>
      </c>
    </row>
    <row r="60" ht="16" customHeight="1">
      <c r="A60" s="14" t="n"/>
      <c r="B60" s="15" t="n"/>
      <c r="C60" s="16" t="n"/>
      <c r="D60" s="16" t="n"/>
      <c r="E60" s="9" t="n"/>
      <c r="F60" s="10" t="n"/>
      <c r="G60" s="10" t="n"/>
      <c r="H60" s="9" t="n"/>
      <c r="I60" s="10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17">
        <f>IF($A60="","",IF(COUNTIF(RUNS!$A$6:$A$1005,$A60)&gt;1,"ID RUN EN DOUBLON",IF($B60="","DATE MANQUANTE",IF($E60="","ESPECE MANQUANTE",IF($F60="","PRODUIT MANQUANT",IF($T60="","STATUT RUN MANQUANT",IF(COUNTIF($L60:$S60,"INACTIVE")=8,"AUCUNE LIGNE ACTIVE","RUN VALIDE")))))))</f>
        <v/>
      </c>
    </row>
    <row r="61" ht="16" customHeight="1">
      <c r="A61" s="14" t="n"/>
      <c r="B61" s="15" t="n"/>
      <c r="C61" s="16" t="n"/>
      <c r="D61" s="16" t="n"/>
      <c r="E61" s="9" t="n"/>
      <c r="F61" s="10" t="n"/>
      <c r="G61" s="10" t="n"/>
      <c r="H61" s="9" t="n"/>
      <c r="I61" s="10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17">
        <f>IF($A61="","",IF(COUNTIF(RUNS!$A$6:$A$1005,$A61)&gt;1,"ID RUN EN DOUBLON",IF($B61="","DATE MANQUANTE",IF($E61="","ESPECE MANQUANTE",IF($F61="","PRODUIT MANQUANT",IF($T61="","STATUT RUN MANQUANT",IF(COUNTIF($L61:$S61,"INACTIVE")=8,"AUCUNE LIGNE ACTIVE","RUN VALIDE")))))))</f>
        <v/>
      </c>
    </row>
    <row r="62" ht="16" customHeight="1">
      <c r="A62" s="14" t="n"/>
      <c r="B62" s="15" t="n"/>
      <c r="C62" s="16" t="n"/>
      <c r="D62" s="16" t="n"/>
      <c r="E62" s="9" t="n"/>
      <c r="F62" s="10" t="n"/>
      <c r="G62" s="10" t="n"/>
      <c r="H62" s="9" t="n"/>
      <c r="I62" s="10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17">
        <f>IF($A62="","",IF(COUNTIF(RUNS!$A$6:$A$1005,$A62)&gt;1,"ID RUN EN DOUBLON",IF($B62="","DATE MANQUANTE",IF($E62="","ESPECE MANQUANTE",IF($F62="","PRODUIT MANQUANT",IF($T62="","STATUT RUN MANQUANT",IF(COUNTIF($L62:$S62,"INACTIVE")=8,"AUCUNE LIGNE ACTIVE","RUN VALIDE")))))))</f>
        <v/>
      </c>
    </row>
    <row r="63" ht="16" customHeight="1">
      <c r="A63" s="14" t="n"/>
      <c r="B63" s="15" t="n"/>
      <c r="C63" s="16" t="n"/>
      <c r="D63" s="16" t="n"/>
      <c r="E63" s="9" t="n"/>
      <c r="F63" s="10" t="n"/>
      <c r="G63" s="10" t="n"/>
      <c r="H63" s="9" t="n"/>
      <c r="I63" s="10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17">
        <f>IF($A63="","",IF(COUNTIF(RUNS!$A$6:$A$1005,$A63)&gt;1,"ID RUN EN DOUBLON",IF($B63="","DATE MANQUANTE",IF($E63="","ESPECE MANQUANTE",IF($F63="","PRODUIT MANQUANT",IF($T63="","STATUT RUN MANQUANT",IF(COUNTIF($L63:$S63,"INACTIVE")=8,"AUCUNE LIGNE ACTIVE","RUN VALIDE")))))))</f>
        <v/>
      </c>
    </row>
    <row r="64" ht="16" customHeight="1">
      <c r="A64" s="14" t="n"/>
      <c r="B64" s="15" t="n"/>
      <c r="C64" s="16" t="n"/>
      <c r="D64" s="16" t="n"/>
      <c r="E64" s="9" t="n"/>
      <c r="F64" s="10" t="n"/>
      <c r="G64" s="10" t="n"/>
      <c r="H64" s="9" t="n"/>
      <c r="I64" s="10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17">
        <f>IF($A64="","",IF(COUNTIF(RUNS!$A$6:$A$1005,$A64)&gt;1,"ID RUN EN DOUBLON",IF($B64="","DATE MANQUANTE",IF($E64="","ESPECE MANQUANTE",IF($F64="","PRODUIT MANQUANT",IF($T64="","STATUT RUN MANQUANT",IF(COUNTIF($L64:$S64,"INACTIVE")=8,"AUCUNE LIGNE ACTIVE","RUN VALIDE")))))))</f>
        <v/>
      </c>
    </row>
    <row r="65" ht="16" customHeight="1">
      <c r="A65" s="14" t="n"/>
      <c r="B65" s="15" t="n"/>
      <c r="C65" s="16" t="n"/>
      <c r="D65" s="16" t="n"/>
      <c r="E65" s="9" t="n"/>
      <c r="F65" s="10" t="n"/>
      <c r="G65" s="10" t="n"/>
      <c r="H65" s="9" t="n"/>
      <c r="I65" s="10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17">
        <f>IF($A65="","",IF(COUNTIF(RUNS!$A$6:$A$1005,$A65)&gt;1,"ID RUN EN DOUBLON",IF($B65="","DATE MANQUANTE",IF($E65="","ESPECE MANQUANTE",IF($F65="","PRODUIT MANQUANT",IF($T65="","STATUT RUN MANQUANT",IF(COUNTIF($L65:$S65,"INACTIVE")=8,"AUCUNE LIGNE ACTIVE","RUN VALIDE")))))))</f>
        <v/>
      </c>
    </row>
    <row r="66" ht="16" customHeight="1">
      <c r="A66" s="14" t="n"/>
      <c r="B66" s="15" t="n"/>
      <c r="C66" s="16" t="n"/>
      <c r="D66" s="16" t="n"/>
      <c r="E66" s="9" t="n"/>
      <c r="F66" s="10" t="n"/>
      <c r="G66" s="10" t="n"/>
      <c r="H66" s="9" t="n"/>
      <c r="I66" s="10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17">
        <f>IF($A66="","",IF(COUNTIF(RUNS!$A$6:$A$1005,$A66)&gt;1,"ID RUN EN DOUBLON",IF($B66="","DATE MANQUANTE",IF($E66="","ESPECE MANQUANTE",IF($F66="","PRODUIT MANQUANT",IF($T66="","STATUT RUN MANQUANT",IF(COUNTIF($L66:$S66,"INACTIVE")=8,"AUCUNE LIGNE ACTIVE","RUN VALIDE")))))))</f>
        <v/>
      </c>
    </row>
    <row r="67" ht="16" customHeight="1">
      <c r="A67" s="14" t="n"/>
      <c r="B67" s="15" t="n"/>
      <c r="C67" s="16" t="n"/>
      <c r="D67" s="16" t="n"/>
      <c r="E67" s="9" t="n"/>
      <c r="F67" s="10" t="n"/>
      <c r="G67" s="10" t="n"/>
      <c r="H67" s="9" t="n"/>
      <c r="I67" s="10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17">
        <f>IF($A67="","",IF(COUNTIF(RUNS!$A$6:$A$1005,$A67)&gt;1,"ID RUN EN DOUBLON",IF($B67="","DATE MANQUANTE",IF($E67="","ESPECE MANQUANTE",IF($F67="","PRODUIT MANQUANT",IF($T67="","STATUT RUN MANQUANT",IF(COUNTIF($L67:$S67,"INACTIVE")=8,"AUCUNE LIGNE ACTIVE","RUN VALIDE")))))))</f>
        <v/>
      </c>
    </row>
    <row r="68" ht="16" customHeight="1">
      <c r="A68" s="14" t="n"/>
      <c r="B68" s="15" t="n"/>
      <c r="C68" s="16" t="n"/>
      <c r="D68" s="16" t="n"/>
      <c r="E68" s="9" t="n"/>
      <c r="F68" s="10" t="n"/>
      <c r="G68" s="10" t="n"/>
      <c r="H68" s="9" t="n"/>
      <c r="I68" s="10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17">
        <f>IF($A68="","",IF(COUNTIF(RUNS!$A$6:$A$1005,$A68)&gt;1,"ID RUN EN DOUBLON",IF($B68="","DATE MANQUANTE",IF($E68="","ESPECE MANQUANTE",IF($F68="","PRODUIT MANQUANT",IF($T68="","STATUT RUN MANQUANT",IF(COUNTIF($L68:$S68,"INACTIVE")=8,"AUCUNE LIGNE ACTIVE","RUN VALIDE")))))))</f>
        <v/>
      </c>
    </row>
    <row r="69" ht="16" customHeight="1">
      <c r="A69" s="14" t="n"/>
      <c r="B69" s="15" t="n"/>
      <c r="C69" s="16" t="n"/>
      <c r="D69" s="16" t="n"/>
      <c r="E69" s="9" t="n"/>
      <c r="F69" s="10" t="n"/>
      <c r="G69" s="10" t="n"/>
      <c r="H69" s="9" t="n"/>
      <c r="I69" s="10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17">
        <f>IF($A69="","",IF(COUNTIF(RUNS!$A$6:$A$1005,$A69)&gt;1,"ID RUN EN DOUBLON",IF($B69="","DATE MANQUANTE",IF($E69="","ESPECE MANQUANTE",IF($F69="","PRODUIT MANQUANT",IF($T69="","STATUT RUN MANQUANT",IF(COUNTIF($L69:$S69,"INACTIVE")=8,"AUCUNE LIGNE ACTIVE","RUN VALIDE")))))))</f>
        <v/>
      </c>
    </row>
    <row r="70" ht="16" customHeight="1">
      <c r="A70" s="14" t="n"/>
      <c r="B70" s="15" t="n"/>
      <c r="C70" s="16" t="n"/>
      <c r="D70" s="16" t="n"/>
      <c r="E70" s="9" t="n"/>
      <c r="F70" s="10" t="n"/>
      <c r="G70" s="10" t="n"/>
      <c r="H70" s="9" t="n"/>
      <c r="I70" s="10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17">
        <f>IF($A70="","",IF(COUNTIF(RUNS!$A$6:$A$1005,$A70)&gt;1,"ID RUN EN DOUBLON",IF($B70="","DATE MANQUANTE",IF($E70="","ESPECE MANQUANTE",IF($F70="","PRODUIT MANQUANT",IF($T70="","STATUT RUN MANQUANT",IF(COUNTIF($L70:$S70,"INACTIVE")=8,"AUCUNE LIGNE ACTIVE","RUN VALIDE")))))))</f>
        <v/>
      </c>
    </row>
    <row r="71" ht="16" customHeight="1">
      <c r="A71" s="14" t="n"/>
      <c r="B71" s="15" t="n"/>
      <c r="C71" s="16" t="n"/>
      <c r="D71" s="16" t="n"/>
      <c r="E71" s="9" t="n"/>
      <c r="F71" s="10" t="n"/>
      <c r="G71" s="10" t="n"/>
      <c r="H71" s="9" t="n"/>
      <c r="I71" s="10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17">
        <f>IF($A71="","",IF(COUNTIF(RUNS!$A$6:$A$1005,$A71)&gt;1,"ID RUN EN DOUBLON",IF($B71="","DATE MANQUANTE",IF($E71="","ESPECE MANQUANTE",IF($F71="","PRODUIT MANQUANT",IF($T71="","STATUT RUN MANQUANT",IF(COUNTIF($L71:$S71,"INACTIVE")=8,"AUCUNE LIGNE ACTIVE","RUN VALIDE")))))))</f>
        <v/>
      </c>
    </row>
    <row r="72" ht="16" customHeight="1">
      <c r="A72" s="14" t="n"/>
      <c r="B72" s="15" t="n"/>
      <c r="C72" s="16" t="n"/>
      <c r="D72" s="16" t="n"/>
      <c r="E72" s="9" t="n"/>
      <c r="F72" s="10" t="n"/>
      <c r="G72" s="10" t="n"/>
      <c r="H72" s="9" t="n"/>
      <c r="I72" s="10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17">
        <f>IF($A72="","",IF(COUNTIF(RUNS!$A$6:$A$1005,$A72)&gt;1,"ID RUN EN DOUBLON",IF($B72="","DATE MANQUANTE",IF($E72="","ESPECE MANQUANTE",IF($F72="","PRODUIT MANQUANT",IF($T72="","STATUT RUN MANQUANT",IF(COUNTIF($L72:$S72,"INACTIVE")=8,"AUCUNE LIGNE ACTIVE","RUN VALIDE")))))))</f>
        <v/>
      </c>
    </row>
    <row r="73" ht="16" customHeight="1">
      <c r="A73" s="14" t="n"/>
      <c r="B73" s="15" t="n"/>
      <c r="C73" s="16" t="n"/>
      <c r="D73" s="16" t="n"/>
      <c r="E73" s="9" t="n"/>
      <c r="F73" s="10" t="n"/>
      <c r="G73" s="10" t="n"/>
      <c r="H73" s="9" t="n"/>
      <c r="I73" s="10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17">
        <f>IF($A73="","",IF(COUNTIF(RUNS!$A$6:$A$1005,$A73)&gt;1,"ID RUN EN DOUBLON",IF($B73="","DATE MANQUANTE",IF($E73="","ESPECE MANQUANTE",IF($F73="","PRODUIT MANQUANT",IF($T73="","STATUT RUN MANQUANT",IF(COUNTIF($L73:$S73,"INACTIVE")=8,"AUCUNE LIGNE ACTIVE","RUN VALIDE")))))))</f>
        <v/>
      </c>
    </row>
    <row r="74" ht="16" customHeight="1">
      <c r="A74" s="14" t="n"/>
      <c r="B74" s="15" t="n"/>
      <c r="C74" s="16" t="n"/>
      <c r="D74" s="16" t="n"/>
      <c r="E74" s="9" t="n"/>
      <c r="F74" s="10" t="n"/>
      <c r="G74" s="10" t="n"/>
      <c r="H74" s="9" t="n"/>
      <c r="I74" s="10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17">
        <f>IF($A74="","",IF(COUNTIF(RUNS!$A$6:$A$1005,$A74)&gt;1,"ID RUN EN DOUBLON",IF($B74="","DATE MANQUANTE",IF($E74="","ESPECE MANQUANTE",IF($F74="","PRODUIT MANQUANT",IF($T74="","STATUT RUN MANQUANT",IF(COUNTIF($L74:$S74,"INACTIVE")=8,"AUCUNE LIGNE ACTIVE","RUN VALIDE")))))))</f>
        <v/>
      </c>
    </row>
    <row r="75" ht="16" customHeight="1">
      <c r="A75" s="14" t="n"/>
      <c r="B75" s="15" t="n"/>
      <c r="C75" s="16" t="n"/>
      <c r="D75" s="16" t="n"/>
      <c r="E75" s="9" t="n"/>
      <c r="F75" s="10" t="n"/>
      <c r="G75" s="10" t="n"/>
      <c r="H75" s="9" t="n"/>
      <c r="I75" s="10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17">
        <f>IF($A75="","",IF(COUNTIF(RUNS!$A$6:$A$1005,$A75)&gt;1,"ID RUN EN DOUBLON",IF($B75="","DATE MANQUANTE",IF($E75="","ESPECE MANQUANTE",IF($F75="","PRODUIT MANQUANT",IF($T75="","STATUT RUN MANQUANT",IF(COUNTIF($L75:$S75,"INACTIVE")=8,"AUCUNE LIGNE ACTIVE","RUN VALIDE")))))))</f>
        <v/>
      </c>
    </row>
    <row r="76" ht="16" customHeight="1">
      <c r="A76" s="14" t="n"/>
      <c r="B76" s="15" t="n"/>
      <c r="C76" s="16" t="n"/>
      <c r="D76" s="16" t="n"/>
      <c r="E76" s="9" t="n"/>
      <c r="F76" s="10" t="n"/>
      <c r="G76" s="10" t="n"/>
      <c r="H76" s="9" t="n"/>
      <c r="I76" s="10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17">
        <f>IF($A76="","",IF(COUNTIF(RUNS!$A$6:$A$1005,$A76)&gt;1,"ID RUN EN DOUBLON",IF($B76="","DATE MANQUANTE",IF($E76="","ESPECE MANQUANTE",IF($F76="","PRODUIT MANQUANT",IF($T76="","STATUT RUN MANQUANT",IF(COUNTIF($L76:$S76,"INACTIVE")=8,"AUCUNE LIGNE ACTIVE","RUN VALIDE")))))))</f>
        <v/>
      </c>
    </row>
    <row r="77" ht="16" customHeight="1">
      <c r="A77" s="14" t="n"/>
      <c r="B77" s="15" t="n"/>
      <c r="C77" s="16" t="n"/>
      <c r="D77" s="16" t="n"/>
      <c r="E77" s="9" t="n"/>
      <c r="F77" s="10" t="n"/>
      <c r="G77" s="10" t="n"/>
      <c r="H77" s="9" t="n"/>
      <c r="I77" s="10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17">
        <f>IF($A77="","",IF(COUNTIF(RUNS!$A$6:$A$1005,$A77)&gt;1,"ID RUN EN DOUBLON",IF($B77="","DATE MANQUANTE",IF($E77="","ESPECE MANQUANTE",IF($F77="","PRODUIT MANQUANT",IF($T77="","STATUT RUN MANQUANT",IF(COUNTIF($L77:$S77,"INACTIVE")=8,"AUCUNE LIGNE ACTIVE","RUN VALIDE")))))))</f>
        <v/>
      </c>
    </row>
    <row r="78" ht="16" customHeight="1">
      <c r="A78" s="14" t="n"/>
      <c r="B78" s="15" t="n"/>
      <c r="C78" s="16" t="n"/>
      <c r="D78" s="16" t="n"/>
      <c r="E78" s="9" t="n"/>
      <c r="F78" s="10" t="n"/>
      <c r="G78" s="10" t="n"/>
      <c r="H78" s="9" t="n"/>
      <c r="I78" s="10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17">
        <f>IF($A78="","",IF(COUNTIF(RUNS!$A$6:$A$1005,$A78)&gt;1,"ID RUN EN DOUBLON",IF($B78="","DATE MANQUANTE",IF($E78="","ESPECE MANQUANTE",IF($F78="","PRODUIT MANQUANT",IF($T78="","STATUT RUN MANQUANT",IF(COUNTIF($L78:$S78,"INACTIVE")=8,"AUCUNE LIGNE ACTIVE","RUN VALIDE")))))))</f>
        <v/>
      </c>
    </row>
    <row r="79" ht="16" customHeight="1">
      <c r="A79" s="14" t="n"/>
      <c r="B79" s="15" t="n"/>
      <c r="C79" s="16" t="n"/>
      <c r="D79" s="16" t="n"/>
      <c r="E79" s="9" t="n"/>
      <c r="F79" s="10" t="n"/>
      <c r="G79" s="10" t="n"/>
      <c r="H79" s="9" t="n"/>
      <c r="I79" s="10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17">
        <f>IF($A79="","",IF(COUNTIF(RUNS!$A$6:$A$1005,$A79)&gt;1,"ID RUN EN DOUBLON",IF($B79="","DATE MANQUANTE",IF($E79="","ESPECE MANQUANTE",IF($F79="","PRODUIT MANQUANT",IF($T79="","STATUT RUN MANQUANT",IF(COUNTIF($L79:$S79,"INACTIVE")=8,"AUCUNE LIGNE ACTIVE","RUN VALIDE")))))))</f>
        <v/>
      </c>
    </row>
    <row r="80" ht="16" customHeight="1">
      <c r="A80" s="14" t="n"/>
      <c r="B80" s="15" t="n"/>
      <c r="C80" s="16" t="n"/>
      <c r="D80" s="16" t="n"/>
      <c r="E80" s="9" t="n"/>
      <c r="F80" s="10" t="n"/>
      <c r="G80" s="10" t="n"/>
      <c r="H80" s="9" t="n"/>
      <c r="I80" s="10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17">
        <f>IF($A80="","",IF(COUNTIF(RUNS!$A$6:$A$1005,$A80)&gt;1,"ID RUN EN DOUBLON",IF($B80="","DATE MANQUANTE",IF($E80="","ESPECE MANQUANTE",IF($F80="","PRODUIT MANQUANT",IF($T80="","STATUT RUN MANQUANT",IF(COUNTIF($L80:$S80,"INACTIVE")=8,"AUCUNE LIGNE ACTIVE","RUN VALIDE")))))))</f>
        <v/>
      </c>
    </row>
    <row r="81" ht="16" customHeight="1">
      <c r="A81" s="14" t="n"/>
      <c r="B81" s="15" t="n"/>
      <c r="C81" s="16" t="n"/>
      <c r="D81" s="16" t="n"/>
      <c r="E81" s="9" t="n"/>
      <c r="F81" s="10" t="n"/>
      <c r="G81" s="10" t="n"/>
      <c r="H81" s="9" t="n"/>
      <c r="I81" s="10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17">
        <f>IF($A81="","",IF(COUNTIF(RUNS!$A$6:$A$1005,$A81)&gt;1,"ID RUN EN DOUBLON",IF($B81="","DATE MANQUANTE",IF($E81="","ESPECE MANQUANTE",IF($F81="","PRODUIT MANQUANT",IF($T81="","STATUT RUN MANQUANT",IF(COUNTIF($L81:$S81,"INACTIVE")=8,"AUCUNE LIGNE ACTIVE","RUN VALIDE")))))))</f>
        <v/>
      </c>
    </row>
    <row r="82" ht="16" customHeight="1">
      <c r="A82" s="14" t="n"/>
      <c r="B82" s="15" t="n"/>
      <c r="C82" s="16" t="n"/>
      <c r="D82" s="16" t="n"/>
      <c r="E82" s="9" t="n"/>
      <c r="F82" s="10" t="n"/>
      <c r="G82" s="10" t="n"/>
      <c r="H82" s="9" t="n"/>
      <c r="I82" s="10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17">
        <f>IF($A82="","",IF(COUNTIF(RUNS!$A$6:$A$1005,$A82)&gt;1,"ID RUN EN DOUBLON",IF($B82="","DATE MANQUANTE",IF($E82="","ESPECE MANQUANTE",IF($F82="","PRODUIT MANQUANT",IF($T82="","STATUT RUN MANQUANT",IF(COUNTIF($L82:$S82,"INACTIVE")=8,"AUCUNE LIGNE ACTIVE","RUN VALIDE")))))))</f>
        <v/>
      </c>
    </row>
    <row r="83" ht="16" customHeight="1">
      <c r="A83" s="14" t="n"/>
      <c r="B83" s="15" t="n"/>
      <c r="C83" s="16" t="n"/>
      <c r="D83" s="16" t="n"/>
      <c r="E83" s="9" t="n"/>
      <c r="F83" s="10" t="n"/>
      <c r="G83" s="10" t="n"/>
      <c r="H83" s="9" t="n"/>
      <c r="I83" s="10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17">
        <f>IF($A83="","",IF(COUNTIF(RUNS!$A$6:$A$1005,$A83)&gt;1,"ID RUN EN DOUBLON",IF($B83="","DATE MANQUANTE",IF($E83="","ESPECE MANQUANTE",IF($F83="","PRODUIT MANQUANT",IF($T83="","STATUT RUN MANQUANT",IF(COUNTIF($L83:$S83,"INACTIVE")=8,"AUCUNE LIGNE ACTIVE","RUN VALIDE")))))))</f>
        <v/>
      </c>
    </row>
    <row r="84" ht="16" customHeight="1">
      <c r="A84" s="14" t="n"/>
      <c r="B84" s="15" t="n"/>
      <c r="C84" s="16" t="n"/>
      <c r="D84" s="16" t="n"/>
      <c r="E84" s="9" t="n"/>
      <c r="F84" s="10" t="n"/>
      <c r="G84" s="10" t="n"/>
      <c r="H84" s="9" t="n"/>
      <c r="I84" s="10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17">
        <f>IF($A84="","",IF(COUNTIF(RUNS!$A$6:$A$1005,$A84)&gt;1,"ID RUN EN DOUBLON",IF($B84="","DATE MANQUANTE",IF($E84="","ESPECE MANQUANTE",IF($F84="","PRODUIT MANQUANT",IF($T84="","STATUT RUN MANQUANT",IF(COUNTIF($L84:$S84,"INACTIVE")=8,"AUCUNE LIGNE ACTIVE","RUN VALIDE")))))))</f>
        <v/>
      </c>
    </row>
    <row r="85" ht="16" customHeight="1">
      <c r="A85" s="14" t="n"/>
      <c r="B85" s="15" t="n"/>
      <c r="C85" s="16" t="n"/>
      <c r="D85" s="16" t="n"/>
      <c r="E85" s="9" t="n"/>
      <c r="F85" s="10" t="n"/>
      <c r="G85" s="10" t="n"/>
      <c r="H85" s="9" t="n"/>
      <c r="I85" s="10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17">
        <f>IF($A85="","",IF(COUNTIF(RUNS!$A$6:$A$1005,$A85)&gt;1,"ID RUN EN DOUBLON",IF($B85="","DATE MANQUANTE",IF($E85="","ESPECE MANQUANTE",IF($F85="","PRODUIT MANQUANT",IF($T85="","STATUT RUN MANQUANT",IF(COUNTIF($L85:$S85,"INACTIVE")=8,"AUCUNE LIGNE ACTIVE","RUN VALIDE")))))))</f>
        <v/>
      </c>
    </row>
    <row r="86" ht="16" customHeight="1">
      <c r="A86" s="14" t="n"/>
      <c r="B86" s="15" t="n"/>
      <c r="C86" s="16" t="n"/>
      <c r="D86" s="16" t="n"/>
      <c r="E86" s="9" t="n"/>
      <c r="F86" s="10" t="n"/>
      <c r="G86" s="10" t="n"/>
      <c r="H86" s="9" t="n"/>
      <c r="I86" s="10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17">
        <f>IF($A86="","",IF(COUNTIF(RUNS!$A$6:$A$1005,$A86)&gt;1,"ID RUN EN DOUBLON",IF($B86="","DATE MANQUANTE",IF($E86="","ESPECE MANQUANTE",IF($F86="","PRODUIT MANQUANT",IF($T86="","STATUT RUN MANQUANT",IF(COUNTIF($L86:$S86,"INACTIVE")=8,"AUCUNE LIGNE ACTIVE","RUN VALIDE")))))))</f>
        <v/>
      </c>
    </row>
    <row r="87" ht="16" customHeight="1">
      <c r="A87" s="14" t="n"/>
      <c r="B87" s="15" t="n"/>
      <c r="C87" s="16" t="n"/>
      <c r="D87" s="16" t="n"/>
      <c r="E87" s="9" t="n"/>
      <c r="F87" s="10" t="n"/>
      <c r="G87" s="10" t="n"/>
      <c r="H87" s="9" t="n"/>
      <c r="I87" s="10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17">
        <f>IF($A87="","",IF(COUNTIF(RUNS!$A$6:$A$1005,$A87)&gt;1,"ID RUN EN DOUBLON",IF($B87="","DATE MANQUANTE",IF($E87="","ESPECE MANQUANTE",IF($F87="","PRODUIT MANQUANT",IF($T87="","STATUT RUN MANQUANT",IF(COUNTIF($L87:$S87,"INACTIVE")=8,"AUCUNE LIGNE ACTIVE","RUN VALIDE")))))))</f>
        <v/>
      </c>
    </row>
    <row r="88" ht="16" customHeight="1">
      <c r="A88" s="14" t="n"/>
      <c r="B88" s="15" t="n"/>
      <c r="C88" s="16" t="n"/>
      <c r="D88" s="16" t="n"/>
      <c r="E88" s="9" t="n"/>
      <c r="F88" s="10" t="n"/>
      <c r="G88" s="10" t="n"/>
      <c r="H88" s="9" t="n"/>
      <c r="I88" s="10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17">
        <f>IF($A88="","",IF(COUNTIF(RUNS!$A$6:$A$1005,$A88)&gt;1,"ID RUN EN DOUBLON",IF($B88="","DATE MANQUANTE",IF($E88="","ESPECE MANQUANTE",IF($F88="","PRODUIT MANQUANT",IF($T88="","STATUT RUN MANQUANT",IF(COUNTIF($L88:$S88,"INACTIVE")=8,"AUCUNE LIGNE ACTIVE","RUN VALIDE")))))))</f>
        <v/>
      </c>
    </row>
    <row r="89" ht="16" customHeight="1">
      <c r="A89" s="14" t="n"/>
      <c r="B89" s="15" t="n"/>
      <c r="C89" s="16" t="n"/>
      <c r="D89" s="16" t="n"/>
      <c r="E89" s="9" t="n"/>
      <c r="F89" s="10" t="n"/>
      <c r="G89" s="10" t="n"/>
      <c r="H89" s="9" t="n"/>
      <c r="I89" s="10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17">
        <f>IF($A89="","",IF(COUNTIF(RUNS!$A$6:$A$1005,$A89)&gt;1,"ID RUN EN DOUBLON",IF($B89="","DATE MANQUANTE",IF($E89="","ESPECE MANQUANTE",IF($F89="","PRODUIT MANQUANT",IF($T89="","STATUT RUN MANQUANT",IF(COUNTIF($L89:$S89,"INACTIVE")=8,"AUCUNE LIGNE ACTIVE","RUN VALIDE")))))))</f>
        <v/>
      </c>
    </row>
    <row r="90" ht="16" customHeight="1">
      <c r="A90" s="14" t="n"/>
      <c r="B90" s="15" t="n"/>
      <c r="C90" s="16" t="n"/>
      <c r="D90" s="16" t="n"/>
      <c r="E90" s="9" t="n"/>
      <c r="F90" s="10" t="n"/>
      <c r="G90" s="10" t="n"/>
      <c r="H90" s="9" t="n"/>
      <c r="I90" s="10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17">
        <f>IF($A90="","",IF(COUNTIF(RUNS!$A$6:$A$1005,$A90)&gt;1,"ID RUN EN DOUBLON",IF($B90="","DATE MANQUANTE",IF($E90="","ESPECE MANQUANTE",IF($F90="","PRODUIT MANQUANT",IF($T90="","STATUT RUN MANQUANT",IF(COUNTIF($L90:$S90,"INACTIVE")=8,"AUCUNE LIGNE ACTIVE","RUN VALIDE")))))))</f>
        <v/>
      </c>
    </row>
    <row r="91" ht="16" customHeight="1">
      <c r="A91" s="14" t="n"/>
      <c r="B91" s="15" t="n"/>
      <c r="C91" s="16" t="n"/>
      <c r="D91" s="16" t="n"/>
      <c r="E91" s="9" t="n"/>
      <c r="F91" s="10" t="n"/>
      <c r="G91" s="10" t="n"/>
      <c r="H91" s="9" t="n"/>
      <c r="I91" s="10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17">
        <f>IF($A91="","",IF(COUNTIF(RUNS!$A$6:$A$1005,$A91)&gt;1,"ID RUN EN DOUBLON",IF($B91="","DATE MANQUANTE",IF($E91="","ESPECE MANQUANTE",IF($F91="","PRODUIT MANQUANT",IF($T91="","STATUT RUN MANQUANT",IF(COUNTIF($L91:$S91,"INACTIVE")=8,"AUCUNE LIGNE ACTIVE","RUN VALIDE")))))))</f>
        <v/>
      </c>
    </row>
    <row r="92" ht="16" customHeight="1">
      <c r="A92" s="14" t="n"/>
      <c r="B92" s="15" t="n"/>
      <c r="C92" s="16" t="n"/>
      <c r="D92" s="16" t="n"/>
      <c r="E92" s="9" t="n"/>
      <c r="F92" s="10" t="n"/>
      <c r="G92" s="10" t="n"/>
      <c r="H92" s="9" t="n"/>
      <c r="I92" s="10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17">
        <f>IF($A92="","",IF(COUNTIF(RUNS!$A$6:$A$1005,$A92)&gt;1,"ID RUN EN DOUBLON",IF($B92="","DATE MANQUANTE",IF($E92="","ESPECE MANQUANTE",IF($F92="","PRODUIT MANQUANT",IF($T92="","STATUT RUN MANQUANT",IF(COUNTIF($L92:$S92,"INACTIVE")=8,"AUCUNE LIGNE ACTIVE","RUN VALIDE")))))))</f>
        <v/>
      </c>
    </row>
    <row r="93" ht="16" customHeight="1">
      <c r="A93" s="14" t="n"/>
      <c r="B93" s="15" t="n"/>
      <c r="C93" s="16" t="n"/>
      <c r="D93" s="16" t="n"/>
      <c r="E93" s="9" t="n"/>
      <c r="F93" s="10" t="n"/>
      <c r="G93" s="10" t="n"/>
      <c r="H93" s="9" t="n"/>
      <c r="I93" s="10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17">
        <f>IF($A93="","",IF(COUNTIF(RUNS!$A$6:$A$1005,$A93)&gt;1,"ID RUN EN DOUBLON",IF($B93="","DATE MANQUANTE",IF($E93="","ESPECE MANQUANTE",IF($F93="","PRODUIT MANQUANT",IF($T93="","STATUT RUN MANQUANT",IF(COUNTIF($L93:$S93,"INACTIVE")=8,"AUCUNE LIGNE ACTIVE","RUN VALIDE")))))))</f>
        <v/>
      </c>
    </row>
    <row r="94" ht="16" customHeight="1">
      <c r="A94" s="14" t="n"/>
      <c r="B94" s="15" t="n"/>
      <c r="C94" s="16" t="n"/>
      <c r="D94" s="16" t="n"/>
      <c r="E94" s="9" t="n"/>
      <c r="F94" s="10" t="n"/>
      <c r="G94" s="10" t="n"/>
      <c r="H94" s="9" t="n"/>
      <c r="I94" s="10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17">
        <f>IF($A94="","",IF(COUNTIF(RUNS!$A$6:$A$1005,$A94)&gt;1,"ID RUN EN DOUBLON",IF($B94="","DATE MANQUANTE",IF($E94="","ESPECE MANQUANTE",IF($F94="","PRODUIT MANQUANT",IF($T94="","STATUT RUN MANQUANT",IF(COUNTIF($L94:$S94,"INACTIVE")=8,"AUCUNE LIGNE ACTIVE","RUN VALIDE")))))))</f>
        <v/>
      </c>
    </row>
    <row r="95" ht="16" customHeight="1">
      <c r="A95" s="14" t="n"/>
      <c r="B95" s="15" t="n"/>
      <c r="C95" s="16" t="n"/>
      <c r="D95" s="16" t="n"/>
      <c r="E95" s="9" t="n"/>
      <c r="F95" s="10" t="n"/>
      <c r="G95" s="10" t="n"/>
      <c r="H95" s="9" t="n"/>
      <c r="I95" s="10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17">
        <f>IF($A95="","",IF(COUNTIF(RUNS!$A$6:$A$1005,$A95)&gt;1,"ID RUN EN DOUBLON",IF($B95="","DATE MANQUANTE",IF($E95="","ESPECE MANQUANTE",IF($F95="","PRODUIT MANQUANT",IF($T95="","STATUT RUN MANQUANT",IF(COUNTIF($L95:$S95,"INACTIVE")=8,"AUCUNE LIGNE ACTIVE","RUN VALIDE")))))))</f>
        <v/>
      </c>
    </row>
    <row r="96" ht="16" customHeight="1">
      <c r="A96" s="14" t="n"/>
      <c r="B96" s="15" t="n"/>
      <c r="C96" s="16" t="n"/>
      <c r="D96" s="16" t="n"/>
      <c r="E96" s="9" t="n"/>
      <c r="F96" s="10" t="n"/>
      <c r="G96" s="10" t="n"/>
      <c r="H96" s="9" t="n"/>
      <c r="I96" s="10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17">
        <f>IF($A96="","",IF(COUNTIF(RUNS!$A$6:$A$1005,$A96)&gt;1,"ID RUN EN DOUBLON",IF($B96="","DATE MANQUANTE",IF($E96="","ESPECE MANQUANTE",IF($F96="","PRODUIT MANQUANT",IF($T96="","STATUT RUN MANQUANT",IF(COUNTIF($L96:$S96,"INACTIVE")=8,"AUCUNE LIGNE ACTIVE","RUN VALIDE")))))))</f>
        <v/>
      </c>
    </row>
    <row r="97" ht="16" customHeight="1">
      <c r="A97" s="14" t="n"/>
      <c r="B97" s="15" t="n"/>
      <c r="C97" s="16" t="n"/>
      <c r="D97" s="16" t="n"/>
      <c r="E97" s="9" t="n"/>
      <c r="F97" s="10" t="n"/>
      <c r="G97" s="10" t="n"/>
      <c r="H97" s="9" t="n"/>
      <c r="I97" s="10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17">
        <f>IF($A97="","",IF(COUNTIF(RUNS!$A$6:$A$1005,$A97)&gt;1,"ID RUN EN DOUBLON",IF($B97="","DATE MANQUANTE",IF($E97="","ESPECE MANQUANTE",IF($F97="","PRODUIT MANQUANT",IF($T97="","STATUT RUN MANQUANT",IF(COUNTIF($L97:$S97,"INACTIVE")=8,"AUCUNE LIGNE ACTIVE","RUN VALIDE")))))))</f>
        <v/>
      </c>
    </row>
    <row r="98" ht="16" customHeight="1">
      <c r="A98" s="14" t="n"/>
      <c r="B98" s="15" t="n"/>
      <c r="C98" s="16" t="n"/>
      <c r="D98" s="16" t="n"/>
      <c r="E98" s="9" t="n"/>
      <c r="F98" s="10" t="n"/>
      <c r="G98" s="10" t="n"/>
      <c r="H98" s="9" t="n"/>
      <c r="I98" s="10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17">
        <f>IF($A98="","",IF(COUNTIF(RUNS!$A$6:$A$1005,$A98)&gt;1,"ID RUN EN DOUBLON",IF($B98="","DATE MANQUANTE",IF($E98="","ESPECE MANQUANTE",IF($F98="","PRODUIT MANQUANT",IF($T98="","STATUT RUN MANQUANT",IF(COUNTIF($L98:$S98,"INACTIVE")=8,"AUCUNE LIGNE ACTIVE","RUN VALIDE")))))))</f>
        <v/>
      </c>
    </row>
    <row r="99" ht="16" customHeight="1">
      <c r="A99" s="14" t="n"/>
      <c r="B99" s="15" t="n"/>
      <c r="C99" s="16" t="n"/>
      <c r="D99" s="16" t="n"/>
      <c r="E99" s="9" t="n"/>
      <c r="F99" s="10" t="n"/>
      <c r="G99" s="10" t="n"/>
      <c r="H99" s="9" t="n"/>
      <c r="I99" s="10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17">
        <f>IF($A99="","",IF(COUNTIF(RUNS!$A$6:$A$1005,$A99)&gt;1,"ID RUN EN DOUBLON",IF($B99="","DATE MANQUANTE",IF($E99="","ESPECE MANQUANTE",IF($F99="","PRODUIT MANQUANT",IF($T99="","STATUT RUN MANQUANT",IF(COUNTIF($L99:$S99,"INACTIVE")=8,"AUCUNE LIGNE ACTIVE","RUN VALIDE")))))))</f>
        <v/>
      </c>
    </row>
    <row r="100" ht="16" customHeight="1">
      <c r="A100" s="14" t="n"/>
      <c r="B100" s="15" t="n"/>
      <c r="C100" s="16" t="n"/>
      <c r="D100" s="16" t="n"/>
      <c r="E100" s="9" t="n"/>
      <c r="F100" s="10" t="n"/>
      <c r="G100" s="10" t="n"/>
      <c r="H100" s="9" t="n"/>
      <c r="I100" s="10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17">
        <f>IF($A100="","",IF(COUNTIF(RUNS!$A$6:$A$1005,$A100)&gt;1,"ID RUN EN DOUBLON",IF($B100="","DATE MANQUANTE",IF($E100="","ESPECE MANQUANTE",IF($F100="","PRODUIT MANQUANT",IF($T100="","STATUT RUN MANQUANT",IF(COUNTIF($L100:$S100,"INACTIVE")=8,"AUCUNE LIGNE ACTIVE","RUN VALIDE")))))))</f>
        <v/>
      </c>
    </row>
    <row r="101" ht="16" customHeight="1">
      <c r="A101" s="14" t="n"/>
      <c r="B101" s="15" t="n"/>
      <c r="C101" s="16" t="n"/>
      <c r="D101" s="16" t="n"/>
      <c r="E101" s="9" t="n"/>
      <c r="F101" s="10" t="n"/>
      <c r="G101" s="10" t="n"/>
      <c r="H101" s="9" t="n"/>
      <c r="I101" s="10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17">
        <f>IF($A101="","",IF(COUNTIF(RUNS!$A$6:$A$1005,$A101)&gt;1,"ID RUN EN DOUBLON",IF($B101="","DATE MANQUANTE",IF($E101="","ESPECE MANQUANTE",IF($F101="","PRODUIT MANQUANT",IF($T101="","STATUT RUN MANQUANT",IF(COUNTIF($L101:$S101,"INACTIVE")=8,"AUCUNE LIGNE ACTIVE","RUN VALIDE")))))))</f>
        <v/>
      </c>
    </row>
    <row r="102" ht="16" customHeight="1">
      <c r="A102" s="14" t="n"/>
      <c r="B102" s="15" t="n"/>
      <c r="C102" s="16" t="n"/>
      <c r="D102" s="16" t="n"/>
      <c r="E102" s="9" t="n"/>
      <c r="F102" s="10" t="n"/>
      <c r="G102" s="10" t="n"/>
      <c r="H102" s="9" t="n"/>
      <c r="I102" s="10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17">
        <f>IF($A102="","",IF(COUNTIF(RUNS!$A$6:$A$1005,$A102)&gt;1,"ID RUN EN DOUBLON",IF($B102="","DATE MANQUANTE",IF($E102="","ESPECE MANQUANTE",IF($F102="","PRODUIT MANQUANT",IF($T102="","STATUT RUN MANQUANT",IF(COUNTIF($L102:$S102,"INACTIVE")=8,"AUCUNE LIGNE ACTIVE","RUN VALIDE")))))))</f>
        <v/>
      </c>
    </row>
    <row r="103" ht="16" customHeight="1">
      <c r="A103" s="14" t="n"/>
      <c r="B103" s="15" t="n"/>
      <c r="C103" s="16" t="n"/>
      <c r="D103" s="16" t="n"/>
      <c r="E103" s="9" t="n"/>
      <c r="F103" s="10" t="n"/>
      <c r="G103" s="10" t="n"/>
      <c r="H103" s="9" t="n"/>
      <c r="I103" s="10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17">
        <f>IF($A103="","",IF(COUNTIF(RUNS!$A$6:$A$1005,$A103)&gt;1,"ID RUN EN DOUBLON",IF($B103="","DATE MANQUANTE",IF($E103="","ESPECE MANQUANTE",IF($F103="","PRODUIT MANQUANT",IF($T103="","STATUT RUN MANQUANT",IF(COUNTIF($L103:$S103,"INACTIVE")=8,"AUCUNE LIGNE ACTIVE","RUN VALIDE")))))))</f>
        <v/>
      </c>
    </row>
    <row r="104" ht="16" customHeight="1">
      <c r="A104" s="14" t="n"/>
      <c r="B104" s="15" t="n"/>
      <c r="C104" s="16" t="n"/>
      <c r="D104" s="16" t="n"/>
      <c r="E104" s="9" t="n"/>
      <c r="F104" s="10" t="n"/>
      <c r="G104" s="10" t="n"/>
      <c r="H104" s="9" t="n"/>
      <c r="I104" s="10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17">
        <f>IF($A104="","",IF(COUNTIF(RUNS!$A$6:$A$1005,$A104)&gt;1,"ID RUN EN DOUBLON",IF($B104="","DATE MANQUANTE",IF($E104="","ESPECE MANQUANTE",IF($F104="","PRODUIT MANQUANT",IF($T104="","STATUT RUN MANQUANT",IF(COUNTIF($L104:$S104,"INACTIVE")=8,"AUCUNE LIGNE ACTIVE","RUN VALIDE")))))))</f>
        <v/>
      </c>
    </row>
    <row r="105" ht="16" customHeight="1">
      <c r="A105" s="14" t="n"/>
      <c r="B105" s="15" t="n"/>
      <c r="C105" s="16" t="n"/>
      <c r="D105" s="16" t="n"/>
      <c r="E105" s="9" t="n"/>
      <c r="F105" s="10" t="n"/>
      <c r="G105" s="10" t="n"/>
      <c r="H105" s="9" t="n"/>
      <c r="I105" s="10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17">
        <f>IF($A105="","",IF(COUNTIF(RUNS!$A$6:$A$1005,$A105)&gt;1,"ID RUN EN DOUBLON",IF($B105="","DATE MANQUANTE",IF($E105="","ESPECE MANQUANTE",IF($F105="","PRODUIT MANQUANT",IF($T105="","STATUT RUN MANQUANT",IF(COUNTIF($L105:$S105,"INACTIVE")=8,"AUCUNE LIGNE ACTIVE","RUN VALIDE")))))))</f>
        <v/>
      </c>
    </row>
    <row r="106" ht="16" customHeight="1">
      <c r="A106" s="14" t="n"/>
      <c r="B106" s="15" t="n"/>
      <c r="C106" s="16" t="n"/>
      <c r="D106" s="16" t="n"/>
      <c r="E106" s="9" t="n"/>
      <c r="F106" s="10" t="n"/>
      <c r="G106" s="10" t="n"/>
      <c r="H106" s="9" t="n"/>
      <c r="I106" s="10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17">
        <f>IF($A106="","",IF(COUNTIF(RUNS!$A$6:$A$1005,$A106)&gt;1,"ID RUN EN DOUBLON",IF($B106="","DATE MANQUANTE",IF($E106="","ESPECE MANQUANTE",IF($F106="","PRODUIT MANQUANT",IF($T106="","STATUT RUN MANQUANT",IF(COUNTIF($L106:$S106,"INACTIVE")=8,"AUCUNE LIGNE ACTIVE","RUN VALIDE")))))))</f>
        <v/>
      </c>
    </row>
    <row r="107" ht="16" customHeight="1">
      <c r="A107" s="14" t="n"/>
      <c r="B107" s="15" t="n"/>
      <c r="C107" s="16" t="n"/>
      <c r="D107" s="16" t="n"/>
      <c r="E107" s="9" t="n"/>
      <c r="F107" s="10" t="n"/>
      <c r="G107" s="10" t="n"/>
      <c r="H107" s="9" t="n"/>
      <c r="I107" s="10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17">
        <f>IF($A107="","",IF(COUNTIF(RUNS!$A$6:$A$1005,$A107)&gt;1,"ID RUN EN DOUBLON",IF($B107="","DATE MANQUANTE",IF($E107="","ESPECE MANQUANTE",IF($F107="","PRODUIT MANQUANT",IF($T107="","STATUT RUN MANQUANT",IF(COUNTIF($L107:$S107,"INACTIVE")=8,"AUCUNE LIGNE ACTIVE","RUN VALIDE")))))))</f>
        <v/>
      </c>
    </row>
    <row r="108" ht="16" customHeight="1">
      <c r="A108" s="14" t="n"/>
      <c r="B108" s="15" t="n"/>
      <c r="C108" s="16" t="n"/>
      <c r="D108" s="16" t="n"/>
      <c r="E108" s="9" t="n"/>
      <c r="F108" s="10" t="n"/>
      <c r="G108" s="10" t="n"/>
      <c r="H108" s="9" t="n"/>
      <c r="I108" s="10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17">
        <f>IF($A108="","",IF(COUNTIF(RUNS!$A$6:$A$1005,$A108)&gt;1,"ID RUN EN DOUBLON",IF($B108="","DATE MANQUANTE",IF($E108="","ESPECE MANQUANTE",IF($F108="","PRODUIT MANQUANT",IF($T108="","STATUT RUN MANQUANT",IF(COUNTIF($L108:$S108,"INACTIVE")=8,"AUCUNE LIGNE ACTIVE","RUN VALIDE")))))))</f>
        <v/>
      </c>
    </row>
    <row r="109" ht="16" customHeight="1">
      <c r="A109" s="14" t="n"/>
      <c r="B109" s="15" t="n"/>
      <c r="C109" s="16" t="n"/>
      <c r="D109" s="16" t="n"/>
      <c r="E109" s="9" t="n"/>
      <c r="F109" s="10" t="n"/>
      <c r="G109" s="10" t="n"/>
      <c r="H109" s="9" t="n"/>
      <c r="I109" s="10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17">
        <f>IF($A109="","",IF(COUNTIF(RUNS!$A$6:$A$1005,$A109)&gt;1,"ID RUN EN DOUBLON",IF($B109="","DATE MANQUANTE",IF($E109="","ESPECE MANQUANTE",IF($F109="","PRODUIT MANQUANT",IF($T109="","STATUT RUN MANQUANT",IF(COUNTIF($L109:$S109,"INACTIVE")=8,"AUCUNE LIGNE ACTIVE","RUN VALIDE")))))))</f>
        <v/>
      </c>
    </row>
    <row r="110" ht="16" customHeight="1">
      <c r="A110" s="14" t="n"/>
      <c r="B110" s="15" t="n"/>
      <c r="C110" s="16" t="n"/>
      <c r="D110" s="16" t="n"/>
      <c r="E110" s="9" t="n"/>
      <c r="F110" s="10" t="n"/>
      <c r="G110" s="10" t="n"/>
      <c r="H110" s="9" t="n"/>
      <c r="I110" s="10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17">
        <f>IF($A110="","",IF(COUNTIF(RUNS!$A$6:$A$1005,$A110)&gt;1,"ID RUN EN DOUBLON",IF($B110="","DATE MANQUANTE",IF($E110="","ESPECE MANQUANTE",IF($F110="","PRODUIT MANQUANT",IF($T110="","STATUT RUN MANQUANT",IF(COUNTIF($L110:$S110,"INACTIVE")=8,"AUCUNE LIGNE ACTIVE","RUN VALIDE")))))))</f>
        <v/>
      </c>
    </row>
    <row r="111" ht="16" customHeight="1">
      <c r="A111" s="14" t="n"/>
      <c r="B111" s="15" t="n"/>
      <c r="C111" s="16" t="n"/>
      <c r="D111" s="16" t="n"/>
      <c r="E111" s="9" t="n"/>
      <c r="F111" s="10" t="n"/>
      <c r="G111" s="10" t="n"/>
      <c r="H111" s="9" t="n"/>
      <c r="I111" s="10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17">
        <f>IF($A111="","",IF(COUNTIF(RUNS!$A$6:$A$1005,$A111)&gt;1,"ID RUN EN DOUBLON",IF($B111="","DATE MANQUANTE",IF($E111="","ESPECE MANQUANTE",IF($F111="","PRODUIT MANQUANT",IF($T111="","STATUT RUN MANQUANT",IF(COUNTIF($L111:$S111,"INACTIVE")=8,"AUCUNE LIGNE ACTIVE","RUN VALIDE")))))))</f>
        <v/>
      </c>
    </row>
    <row r="112" ht="16" customHeight="1">
      <c r="A112" s="14" t="n"/>
      <c r="B112" s="15" t="n"/>
      <c r="C112" s="16" t="n"/>
      <c r="D112" s="16" t="n"/>
      <c r="E112" s="9" t="n"/>
      <c r="F112" s="10" t="n"/>
      <c r="G112" s="10" t="n"/>
      <c r="H112" s="9" t="n"/>
      <c r="I112" s="10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17">
        <f>IF($A112="","",IF(COUNTIF(RUNS!$A$6:$A$1005,$A112)&gt;1,"ID RUN EN DOUBLON",IF($B112="","DATE MANQUANTE",IF($E112="","ESPECE MANQUANTE",IF($F112="","PRODUIT MANQUANT",IF($T112="","STATUT RUN MANQUANT",IF(COUNTIF($L112:$S112,"INACTIVE")=8,"AUCUNE LIGNE ACTIVE","RUN VALIDE")))))))</f>
        <v/>
      </c>
    </row>
    <row r="113" ht="16" customHeight="1">
      <c r="A113" s="14" t="n"/>
      <c r="B113" s="15" t="n"/>
      <c r="C113" s="16" t="n"/>
      <c r="D113" s="16" t="n"/>
      <c r="E113" s="9" t="n"/>
      <c r="F113" s="10" t="n"/>
      <c r="G113" s="10" t="n"/>
      <c r="H113" s="9" t="n"/>
      <c r="I113" s="10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17">
        <f>IF($A113="","",IF(COUNTIF(RUNS!$A$6:$A$1005,$A113)&gt;1,"ID RUN EN DOUBLON",IF($B113="","DATE MANQUANTE",IF($E113="","ESPECE MANQUANTE",IF($F113="","PRODUIT MANQUANT",IF($T113="","STATUT RUN MANQUANT",IF(COUNTIF($L113:$S113,"INACTIVE")=8,"AUCUNE LIGNE ACTIVE","RUN VALIDE")))))))</f>
        <v/>
      </c>
    </row>
    <row r="114" ht="16" customHeight="1">
      <c r="A114" s="14" t="n"/>
      <c r="B114" s="15" t="n"/>
      <c r="C114" s="16" t="n"/>
      <c r="D114" s="16" t="n"/>
      <c r="E114" s="9" t="n"/>
      <c r="F114" s="10" t="n"/>
      <c r="G114" s="10" t="n"/>
      <c r="H114" s="9" t="n"/>
      <c r="I114" s="10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17">
        <f>IF($A114="","",IF(COUNTIF(RUNS!$A$6:$A$1005,$A114)&gt;1,"ID RUN EN DOUBLON",IF($B114="","DATE MANQUANTE",IF($E114="","ESPECE MANQUANTE",IF($F114="","PRODUIT MANQUANT",IF($T114="","STATUT RUN MANQUANT",IF(COUNTIF($L114:$S114,"INACTIVE")=8,"AUCUNE LIGNE ACTIVE","RUN VALIDE")))))))</f>
        <v/>
      </c>
    </row>
    <row r="115" ht="16" customHeight="1">
      <c r="A115" s="14" t="n"/>
      <c r="B115" s="15" t="n"/>
      <c r="C115" s="16" t="n"/>
      <c r="D115" s="16" t="n"/>
      <c r="E115" s="9" t="n"/>
      <c r="F115" s="10" t="n"/>
      <c r="G115" s="10" t="n"/>
      <c r="H115" s="9" t="n"/>
      <c r="I115" s="10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17">
        <f>IF($A115="","",IF(COUNTIF(RUNS!$A$6:$A$1005,$A115)&gt;1,"ID RUN EN DOUBLON",IF($B115="","DATE MANQUANTE",IF($E115="","ESPECE MANQUANTE",IF($F115="","PRODUIT MANQUANT",IF($T115="","STATUT RUN MANQUANT",IF(COUNTIF($L115:$S115,"INACTIVE")=8,"AUCUNE LIGNE ACTIVE","RUN VALIDE")))))))</f>
        <v/>
      </c>
    </row>
    <row r="116" ht="16" customHeight="1">
      <c r="A116" s="14" t="n"/>
      <c r="B116" s="15" t="n"/>
      <c r="C116" s="16" t="n"/>
      <c r="D116" s="16" t="n"/>
      <c r="E116" s="9" t="n"/>
      <c r="F116" s="10" t="n"/>
      <c r="G116" s="10" t="n"/>
      <c r="H116" s="9" t="n"/>
      <c r="I116" s="10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17">
        <f>IF($A116="","",IF(COUNTIF(RUNS!$A$6:$A$1005,$A116)&gt;1,"ID RUN EN DOUBLON",IF($B116="","DATE MANQUANTE",IF($E116="","ESPECE MANQUANTE",IF($F116="","PRODUIT MANQUANT",IF($T116="","STATUT RUN MANQUANT",IF(COUNTIF($L116:$S116,"INACTIVE")=8,"AUCUNE LIGNE ACTIVE","RUN VALIDE")))))))</f>
        <v/>
      </c>
    </row>
    <row r="117" ht="16" customHeight="1">
      <c r="A117" s="14" t="n"/>
      <c r="B117" s="15" t="n"/>
      <c r="C117" s="16" t="n"/>
      <c r="D117" s="16" t="n"/>
      <c r="E117" s="9" t="n"/>
      <c r="F117" s="10" t="n"/>
      <c r="G117" s="10" t="n"/>
      <c r="H117" s="9" t="n"/>
      <c r="I117" s="10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17">
        <f>IF($A117="","",IF(COUNTIF(RUNS!$A$6:$A$1005,$A117)&gt;1,"ID RUN EN DOUBLON",IF($B117="","DATE MANQUANTE",IF($E117="","ESPECE MANQUANTE",IF($F117="","PRODUIT MANQUANT",IF($T117="","STATUT RUN MANQUANT",IF(COUNTIF($L117:$S117,"INACTIVE")=8,"AUCUNE LIGNE ACTIVE","RUN VALIDE")))))))</f>
        <v/>
      </c>
    </row>
    <row r="118" ht="16" customHeight="1">
      <c r="A118" s="14" t="n"/>
      <c r="B118" s="15" t="n"/>
      <c r="C118" s="16" t="n"/>
      <c r="D118" s="16" t="n"/>
      <c r="E118" s="9" t="n"/>
      <c r="F118" s="10" t="n"/>
      <c r="G118" s="10" t="n"/>
      <c r="H118" s="9" t="n"/>
      <c r="I118" s="10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17">
        <f>IF($A118="","",IF(COUNTIF(RUNS!$A$6:$A$1005,$A118)&gt;1,"ID RUN EN DOUBLON",IF($B118="","DATE MANQUANTE",IF($E118="","ESPECE MANQUANTE",IF($F118="","PRODUIT MANQUANT",IF($T118="","STATUT RUN MANQUANT",IF(COUNTIF($L118:$S118,"INACTIVE")=8,"AUCUNE LIGNE ACTIVE","RUN VALIDE")))))))</f>
        <v/>
      </c>
    </row>
    <row r="119" ht="16" customHeight="1">
      <c r="A119" s="14" t="n"/>
      <c r="B119" s="15" t="n"/>
      <c r="C119" s="16" t="n"/>
      <c r="D119" s="16" t="n"/>
      <c r="E119" s="9" t="n"/>
      <c r="F119" s="10" t="n"/>
      <c r="G119" s="10" t="n"/>
      <c r="H119" s="9" t="n"/>
      <c r="I119" s="10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17">
        <f>IF($A119="","",IF(COUNTIF(RUNS!$A$6:$A$1005,$A119)&gt;1,"ID RUN EN DOUBLON",IF($B119="","DATE MANQUANTE",IF($E119="","ESPECE MANQUANTE",IF($F119="","PRODUIT MANQUANT",IF($T119="","STATUT RUN MANQUANT",IF(COUNTIF($L119:$S119,"INACTIVE")=8,"AUCUNE LIGNE ACTIVE","RUN VALIDE")))))))</f>
        <v/>
      </c>
    </row>
    <row r="120" ht="16" customHeight="1">
      <c r="A120" s="14" t="n"/>
      <c r="B120" s="15" t="n"/>
      <c r="C120" s="16" t="n"/>
      <c r="D120" s="16" t="n"/>
      <c r="E120" s="9" t="n"/>
      <c r="F120" s="10" t="n"/>
      <c r="G120" s="10" t="n"/>
      <c r="H120" s="9" t="n"/>
      <c r="I120" s="10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17">
        <f>IF($A120="","",IF(COUNTIF(RUNS!$A$6:$A$1005,$A120)&gt;1,"ID RUN EN DOUBLON",IF($B120="","DATE MANQUANTE",IF($E120="","ESPECE MANQUANTE",IF($F120="","PRODUIT MANQUANT",IF($T120="","STATUT RUN MANQUANT",IF(COUNTIF($L120:$S120,"INACTIVE")=8,"AUCUNE LIGNE ACTIVE","RUN VALIDE")))))))</f>
        <v/>
      </c>
    </row>
    <row r="121" ht="16" customHeight="1">
      <c r="A121" s="14" t="n"/>
      <c r="B121" s="15" t="n"/>
      <c r="C121" s="16" t="n"/>
      <c r="D121" s="16" t="n"/>
      <c r="E121" s="9" t="n"/>
      <c r="F121" s="10" t="n"/>
      <c r="G121" s="10" t="n"/>
      <c r="H121" s="9" t="n"/>
      <c r="I121" s="10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17">
        <f>IF($A121="","",IF(COUNTIF(RUNS!$A$6:$A$1005,$A121)&gt;1,"ID RUN EN DOUBLON",IF($B121="","DATE MANQUANTE",IF($E121="","ESPECE MANQUANTE",IF($F121="","PRODUIT MANQUANT",IF($T121="","STATUT RUN MANQUANT",IF(COUNTIF($L121:$S121,"INACTIVE")=8,"AUCUNE LIGNE ACTIVE","RUN VALIDE")))))))</f>
        <v/>
      </c>
    </row>
    <row r="122" ht="16" customHeight="1">
      <c r="A122" s="14" t="n"/>
      <c r="B122" s="15" t="n"/>
      <c r="C122" s="16" t="n"/>
      <c r="D122" s="16" t="n"/>
      <c r="E122" s="9" t="n"/>
      <c r="F122" s="10" t="n"/>
      <c r="G122" s="10" t="n"/>
      <c r="H122" s="9" t="n"/>
      <c r="I122" s="10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17">
        <f>IF($A122="","",IF(COUNTIF(RUNS!$A$6:$A$1005,$A122)&gt;1,"ID RUN EN DOUBLON",IF($B122="","DATE MANQUANTE",IF($E122="","ESPECE MANQUANTE",IF($F122="","PRODUIT MANQUANT",IF($T122="","STATUT RUN MANQUANT",IF(COUNTIF($L122:$S122,"INACTIVE")=8,"AUCUNE LIGNE ACTIVE","RUN VALIDE")))))))</f>
        <v/>
      </c>
    </row>
    <row r="123" ht="16" customHeight="1">
      <c r="A123" s="14" t="n"/>
      <c r="B123" s="15" t="n"/>
      <c r="C123" s="16" t="n"/>
      <c r="D123" s="16" t="n"/>
      <c r="E123" s="9" t="n"/>
      <c r="F123" s="10" t="n"/>
      <c r="G123" s="10" t="n"/>
      <c r="H123" s="9" t="n"/>
      <c r="I123" s="10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17">
        <f>IF($A123="","",IF(COUNTIF(RUNS!$A$6:$A$1005,$A123)&gt;1,"ID RUN EN DOUBLON",IF($B123="","DATE MANQUANTE",IF($E123="","ESPECE MANQUANTE",IF($F123="","PRODUIT MANQUANT",IF($T123="","STATUT RUN MANQUANT",IF(COUNTIF($L123:$S123,"INACTIVE")=8,"AUCUNE LIGNE ACTIVE","RUN VALIDE")))))))</f>
        <v/>
      </c>
    </row>
    <row r="124" ht="16" customHeight="1">
      <c r="A124" s="14" t="n"/>
      <c r="B124" s="15" t="n"/>
      <c r="C124" s="16" t="n"/>
      <c r="D124" s="16" t="n"/>
      <c r="E124" s="9" t="n"/>
      <c r="F124" s="10" t="n"/>
      <c r="G124" s="10" t="n"/>
      <c r="H124" s="9" t="n"/>
      <c r="I124" s="10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17">
        <f>IF($A124="","",IF(COUNTIF(RUNS!$A$6:$A$1005,$A124)&gt;1,"ID RUN EN DOUBLON",IF($B124="","DATE MANQUANTE",IF($E124="","ESPECE MANQUANTE",IF($F124="","PRODUIT MANQUANT",IF($T124="","STATUT RUN MANQUANT",IF(COUNTIF($L124:$S124,"INACTIVE")=8,"AUCUNE LIGNE ACTIVE","RUN VALIDE")))))))</f>
        <v/>
      </c>
    </row>
    <row r="125" ht="16" customHeight="1">
      <c r="A125" s="14" t="n"/>
      <c r="B125" s="15" t="n"/>
      <c r="C125" s="16" t="n"/>
      <c r="D125" s="16" t="n"/>
      <c r="E125" s="9" t="n"/>
      <c r="F125" s="10" t="n"/>
      <c r="G125" s="10" t="n"/>
      <c r="H125" s="9" t="n"/>
      <c r="I125" s="10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17">
        <f>IF($A125="","",IF(COUNTIF(RUNS!$A$6:$A$1005,$A125)&gt;1,"ID RUN EN DOUBLON",IF($B125="","DATE MANQUANTE",IF($E125="","ESPECE MANQUANTE",IF($F125="","PRODUIT MANQUANT",IF($T125="","STATUT RUN MANQUANT",IF(COUNTIF($L125:$S125,"INACTIVE")=8,"AUCUNE LIGNE ACTIVE","RUN VALIDE")))))))</f>
        <v/>
      </c>
    </row>
    <row r="126" ht="16" customHeight="1">
      <c r="A126" s="14" t="n"/>
      <c r="B126" s="15" t="n"/>
      <c r="C126" s="16" t="n"/>
      <c r="D126" s="16" t="n"/>
      <c r="E126" s="9" t="n"/>
      <c r="F126" s="10" t="n"/>
      <c r="G126" s="10" t="n"/>
      <c r="H126" s="9" t="n"/>
      <c r="I126" s="10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17">
        <f>IF($A126="","",IF(COUNTIF(RUNS!$A$6:$A$1005,$A126)&gt;1,"ID RUN EN DOUBLON",IF($B126="","DATE MANQUANTE",IF($E126="","ESPECE MANQUANTE",IF($F126="","PRODUIT MANQUANT",IF($T126="","STATUT RUN MANQUANT",IF(COUNTIF($L126:$S126,"INACTIVE")=8,"AUCUNE LIGNE ACTIVE","RUN VALIDE")))))))</f>
        <v/>
      </c>
    </row>
    <row r="127" ht="16" customHeight="1">
      <c r="A127" s="14" t="n"/>
      <c r="B127" s="15" t="n"/>
      <c r="C127" s="16" t="n"/>
      <c r="D127" s="16" t="n"/>
      <c r="E127" s="9" t="n"/>
      <c r="F127" s="10" t="n"/>
      <c r="G127" s="10" t="n"/>
      <c r="H127" s="9" t="n"/>
      <c r="I127" s="10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17">
        <f>IF($A127="","",IF(COUNTIF(RUNS!$A$6:$A$1005,$A127)&gt;1,"ID RUN EN DOUBLON",IF($B127="","DATE MANQUANTE",IF($E127="","ESPECE MANQUANTE",IF($F127="","PRODUIT MANQUANT",IF($T127="","STATUT RUN MANQUANT",IF(COUNTIF($L127:$S127,"INACTIVE")=8,"AUCUNE LIGNE ACTIVE","RUN VALIDE")))))))</f>
        <v/>
      </c>
    </row>
    <row r="128" ht="16" customHeight="1">
      <c r="A128" s="14" t="n"/>
      <c r="B128" s="15" t="n"/>
      <c r="C128" s="16" t="n"/>
      <c r="D128" s="16" t="n"/>
      <c r="E128" s="9" t="n"/>
      <c r="F128" s="10" t="n"/>
      <c r="G128" s="10" t="n"/>
      <c r="H128" s="9" t="n"/>
      <c r="I128" s="10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17">
        <f>IF($A128="","",IF(COUNTIF(RUNS!$A$6:$A$1005,$A128)&gt;1,"ID RUN EN DOUBLON",IF($B128="","DATE MANQUANTE",IF($E128="","ESPECE MANQUANTE",IF($F128="","PRODUIT MANQUANT",IF($T128="","STATUT RUN MANQUANT",IF(COUNTIF($L128:$S128,"INACTIVE")=8,"AUCUNE LIGNE ACTIVE","RUN VALIDE")))))))</f>
        <v/>
      </c>
    </row>
    <row r="129" ht="16" customHeight="1">
      <c r="A129" s="14" t="n"/>
      <c r="B129" s="15" t="n"/>
      <c r="C129" s="16" t="n"/>
      <c r="D129" s="16" t="n"/>
      <c r="E129" s="9" t="n"/>
      <c r="F129" s="10" t="n"/>
      <c r="G129" s="10" t="n"/>
      <c r="H129" s="9" t="n"/>
      <c r="I129" s="10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17">
        <f>IF($A129="","",IF(COUNTIF(RUNS!$A$6:$A$1005,$A129)&gt;1,"ID RUN EN DOUBLON",IF($B129="","DATE MANQUANTE",IF($E129="","ESPECE MANQUANTE",IF($F129="","PRODUIT MANQUANT",IF($T129="","STATUT RUN MANQUANT",IF(COUNTIF($L129:$S129,"INACTIVE")=8,"AUCUNE LIGNE ACTIVE","RUN VALIDE")))))))</f>
        <v/>
      </c>
    </row>
    <row r="130" ht="16" customHeight="1">
      <c r="A130" s="14" t="n"/>
      <c r="B130" s="15" t="n"/>
      <c r="C130" s="16" t="n"/>
      <c r="D130" s="16" t="n"/>
      <c r="E130" s="9" t="n"/>
      <c r="F130" s="10" t="n"/>
      <c r="G130" s="10" t="n"/>
      <c r="H130" s="9" t="n"/>
      <c r="I130" s="10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17">
        <f>IF($A130="","",IF(COUNTIF(RUNS!$A$6:$A$1005,$A130)&gt;1,"ID RUN EN DOUBLON",IF($B130="","DATE MANQUANTE",IF($E130="","ESPECE MANQUANTE",IF($F130="","PRODUIT MANQUANT",IF($T130="","STATUT RUN MANQUANT",IF(COUNTIF($L130:$S130,"INACTIVE")=8,"AUCUNE LIGNE ACTIVE","RUN VALIDE")))))))</f>
        <v/>
      </c>
    </row>
    <row r="131" ht="16" customHeight="1">
      <c r="A131" s="14" t="n"/>
      <c r="B131" s="15" t="n"/>
      <c r="C131" s="16" t="n"/>
      <c r="D131" s="16" t="n"/>
      <c r="E131" s="9" t="n"/>
      <c r="F131" s="10" t="n"/>
      <c r="G131" s="10" t="n"/>
      <c r="H131" s="9" t="n"/>
      <c r="I131" s="10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17">
        <f>IF($A131="","",IF(COUNTIF(RUNS!$A$6:$A$1005,$A131)&gt;1,"ID RUN EN DOUBLON",IF($B131="","DATE MANQUANTE",IF($E131="","ESPECE MANQUANTE",IF($F131="","PRODUIT MANQUANT",IF($T131="","STATUT RUN MANQUANT",IF(COUNTIF($L131:$S131,"INACTIVE")=8,"AUCUNE LIGNE ACTIVE","RUN VALIDE")))))))</f>
        <v/>
      </c>
    </row>
    <row r="132" ht="16" customHeight="1">
      <c r="A132" s="14" t="n"/>
      <c r="B132" s="15" t="n"/>
      <c r="C132" s="16" t="n"/>
      <c r="D132" s="16" t="n"/>
      <c r="E132" s="9" t="n"/>
      <c r="F132" s="10" t="n"/>
      <c r="G132" s="10" t="n"/>
      <c r="H132" s="9" t="n"/>
      <c r="I132" s="10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17">
        <f>IF($A132="","",IF(COUNTIF(RUNS!$A$6:$A$1005,$A132)&gt;1,"ID RUN EN DOUBLON",IF($B132="","DATE MANQUANTE",IF($E132="","ESPECE MANQUANTE",IF($F132="","PRODUIT MANQUANT",IF($T132="","STATUT RUN MANQUANT",IF(COUNTIF($L132:$S132,"INACTIVE")=8,"AUCUNE LIGNE ACTIVE","RUN VALIDE")))))))</f>
        <v/>
      </c>
    </row>
    <row r="133" ht="16" customHeight="1">
      <c r="A133" s="14" t="n"/>
      <c r="B133" s="15" t="n"/>
      <c r="C133" s="16" t="n"/>
      <c r="D133" s="16" t="n"/>
      <c r="E133" s="9" t="n"/>
      <c r="F133" s="10" t="n"/>
      <c r="G133" s="10" t="n"/>
      <c r="H133" s="9" t="n"/>
      <c r="I133" s="10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17">
        <f>IF($A133="","",IF(COUNTIF(RUNS!$A$6:$A$1005,$A133)&gt;1,"ID RUN EN DOUBLON",IF($B133="","DATE MANQUANTE",IF($E133="","ESPECE MANQUANTE",IF($F133="","PRODUIT MANQUANT",IF($T133="","STATUT RUN MANQUANT",IF(COUNTIF($L133:$S133,"INACTIVE")=8,"AUCUNE LIGNE ACTIVE","RUN VALIDE")))))))</f>
        <v/>
      </c>
    </row>
    <row r="134" ht="16" customHeight="1">
      <c r="A134" s="14" t="n"/>
      <c r="B134" s="15" t="n"/>
      <c r="C134" s="16" t="n"/>
      <c r="D134" s="16" t="n"/>
      <c r="E134" s="9" t="n"/>
      <c r="F134" s="10" t="n"/>
      <c r="G134" s="10" t="n"/>
      <c r="H134" s="9" t="n"/>
      <c r="I134" s="10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17">
        <f>IF($A134="","",IF(COUNTIF(RUNS!$A$6:$A$1005,$A134)&gt;1,"ID RUN EN DOUBLON",IF($B134="","DATE MANQUANTE",IF($E134="","ESPECE MANQUANTE",IF($F134="","PRODUIT MANQUANT",IF($T134="","STATUT RUN MANQUANT",IF(COUNTIF($L134:$S134,"INACTIVE")=8,"AUCUNE LIGNE ACTIVE","RUN VALIDE")))))))</f>
        <v/>
      </c>
    </row>
    <row r="135" ht="16" customHeight="1">
      <c r="A135" s="14" t="n"/>
      <c r="B135" s="15" t="n"/>
      <c r="C135" s="16" t="n"/>
      <c r="D135" s="16" t="n"/>
      <c r="E135" s="9" t="n"/>
      <c r="F135" s="10" t="n"/>
      <c r="G135" s="10" t="n"/>
      <c r="H135" s="9" t="n"/>
      <c r="I135" s="10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17">
        <f>IF($A135="","",IF(COUNTIF(RUNS!$A$6:$A$1005,$A135)&gt;1,"ID RUN EN DOUBLON",IF($B135="","DATE MANQUANTE",IF($E135="","ESPECE MANQUANTE",IF($F135="","PRODUIT MANQUANT",IF($T135="","STATUT RUN MANQUANT",IF(COUNTIF($L135:$S135,"INACTIVE")=8,"AUCUNE LIGNE ACTIVE","RUN VALIDE")))))))</f>
        <v/>
      </c>
    </row>
    <row r="136" ht="16" customHeight="1">
      <c r="A136" s="14" t="n"/>
      <c r="B136" s="15" t="n"/>
      <c r="C136" s="16" t="n"/>
      <c r="D136" s="16" t="n"/>
      <c r="E136" s="9" t="n"/>
      <c r="F136" s="10" t="n"/>
      <c r="G136" s="10" t="n"/>
      <c r="H136" s="9" t="n"/>
      <c r="I136" s="10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17">
        <f>IF($A136="","",IF(COUNTIF(RUNS!$A$6:$A$1005,$A136)&gt;1,"ID RUN EN DOUBLON",IF($B136="","DATE MANQUANTE",IF($E136="","ESPECE MANQUANTE",IF($F136="","PRODUIT MANQUANT",IF($T136="","STATUT RUN MANQUANT",IF(COUNTIF($L136:$S136,"INACTIVE")=8,"AUCUNE LIGNE ACTIVE","RUN VALIDE")))))))</f>
        <v/>
      </c>
    </row>
    <row r="137" ht="16" customHeight="1">
      <c r="A137" s="14" t="n"/>
      <c r="B137" s="15" t="n"/>
      <c r="C137" s="16" t="n"/>
      <c r="D137" s="16" t="n"/>
      <c r="E137" s="9" t="n"/>
      <c r="F137" s="10" t="n"/>
      <c r="G137" s="10" t="n"/>
      <c r="H137" s="9" t="n"/>
      <c r="I137" s="10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17">
        <f>IF($A137="","",IF(COUNTIF(RUNS!$A$6:$A$1005,$A137)&gt;1,"ID RUN EN DOUBLON",IF($B137="","DATE MANQUANTE",IF($E137="","ESPECE MANQUANTE",IF($F137="","PRODUIT MANQUANT",IF($T137="","STATUT RUN MANQUANT",IF(COUNTIF($L137:$S137,"INACTIVE")=8,"AUCUNE LIGNE ACTIVE","RUN VALIDE")))))))</f>
        <v/>
      </c>
    </row>
    <row r="138" ht="16" customHeight="1">
      <c r="A138" s="14" t="n"/>
      <c r="B138" s="15" t="n"/>
      <c r="C138" s="16" t="n"/>
      <c r="D138" s="16" t="n"/>
      <c r="E138" s="9" t="n"/>
      <c r="F138" s="10" t="n"/>
      <c r="G138" s="10" t="n"/>
      <c r="H138" s="9" t="n"/>
      <c r="I138" s="10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17">
        <f>IF($A138="","",IF(COUNTIF(RUNS!$A$6:$A$1005,$A138)&gt;1,"ID RUN EN DOUBLON",IF($B138="","DATE MANQUANTE",IF($E138="","ESPECE MANQUANTE",IF($F138="","PRODUIT MANQUANT",IF($T138="","STATUT RUN MANQUANT",IF(COUNTIF($L138:$S138,"INACTIVE")=8,"AUCUNE LIGNE ACTIVE","RUN VALIDE")))))))</f>
        <v/>
      </c>
    </row>
    <row r="139" ht="16" customHeight="1">
      <c r="A139" s="14" t="n"/>
      <c r="B139" s="15" t="n"/>
      <c r="C139" s="16" t="n"/>
      <c r="D139" s="16" t="n"/>
      <c r="E139" s="9" t="n"/>
      <c r="F139" s="10" t="n"/>
      <c r="G139" s="10" t="n"/>
      <c r="H139" s="9" t="n"/>
      <c r="I139" s="10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17">
        <f>IF($A139="","",IF(COUNTIF(RUNS!$A$6:$A$1005,$A139)&gt;1,"ID RUN EN DOUBLON",IF($B139="","DATE MANQUANTE",IF($E139="","ESPECE MANQUANTE",IF($F139="","PRODUIT MANQUANT",IF($T139="","STATUT RUN MANQUANT",IF(COUNTIF($L139:$S139,"INACTIVE")=8,"AUCUNE LIGNE ACTIVE","RUN VALIDE")))))))</f>
        <v/>
      </c>
    </row>
    <row r="140" ht="16" customHeight="1">
      <c r="A140" s="14" t="n"/>
      <c r="B140" s="15" t="n"/>
      <c r="C140" s="16" t="n"/>
      <c r="D140" s="16" t="n"/>
      <c r="E140" s="9" t="n"/>
      <c r="F140" s="10" t="n"/>
      <c r="G140" s="10" t="n"/>
      <c r="H140" s="9" t="n"/>
      <c r="I140" s="10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17">
        <f>IF($A140="","",IF(COUNTIF(RUNS!$A$6:$A$1005,$A140)&gt;1,"ID RUN EN DOUBLON",IF($B140="","DATE MANQUANTE",IF($E140="","ESPECE MANQUANTE",IF($F140="","PRODUIT MANQUANT",IF($T140="","STATUT RUN MANQUANT",IF(COUNTIF($L140:$S140,"INACTIVE")=8,"AUCUNE LIGNE ACTIVE","RUN VALIDE")))))))</f>
        <v/>
      </c>
    </row>
    <row r="141" ht="16" customHeight="1">
      <c r="A141" s="14" t="n"/>
      <c r="B141" s="15" t="n"/>
      <c r="C141" s="16" t="n"/>
      <c r="D141" s="16" t="n"/>
      <c r="E141" s="9" t="n"/>
      <c r="F141" s="10" t="n"/>
      <c r="G141" s="10" t="n"/>
      <c r="H141" s="9" t="n"/>
      <c r="I141" s="10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17">
        <f>IF($A141="","",IF(COUNTIF(RUNS!$A$6:$A$1005,$A141)&gt;1,"ID RUN EN DOUBLON",IF($B141="","DATE MANQUANTE",IF($E141="","ESPECE MANQUANTE",IF($F141="","PRODUIT MANQUANT",IF($T141="","STATUT RUN MANQUANT",IF(COUNTIF($L141:$S141,"INACTIVE")=8,"AUCUNE LIGNE ACTIVE","RUN VALIDE")))))))</f>
        <v/>
      </c>
    </row>
    <row r="142" ht="16" customHeight="1">
      <c r="A142" s="14" t="n"/>
      <c r="B142" s="15" t="n"/>
      <c r="C142" s="16" t="n"/>
      <c r="D142" s="16" t="n"/>
      <c r="E142" s="9" t="n"/>
      <c r="F142" s="10" t="n"/>
      <c r="G142" s="10" t="n"/>
      <c r="H142" s="9" t="n"/>
      <c r="I142" s="10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17">
        <f>IF($A142="","",IF(COUNTIF(RUNS!$A$6:$A$1005,$A142)&gt;1,"ID RUN EN DOUBLON",IF($B142="","DATE MANQUANTE",IF($E142="","ESPECE MANQUANTE",IF($F142="","PRODUIT MANQUANT",IF($T142="","STATUT RUN MANQUANT",IF(COUNTIF($L142:$S142,"INACTIVE")=8,"AUCUNE LIGNE ACTIVE","RUN VALIDE")))))))</f>
        <v/>
      </c>
    </row>
    <row r="143" ht="16" customHeight="1">
      <c r="A143" s="14" t="n"/>
      <c r="B143" s="15" t="n"/>
      <c r="C143" s="16" t="n"/>
      <c r="D143" s="16" t="n"/>
      <c r="E143" s="9" t="n"/>
      <c r="F143" s="10" t="n"/>
      <c r="G143" s="10" t="n"/>
      <c r="H143" s="9" t="n"/>
      <c r="I143" s="10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17">
        <f>IF($A143="","",IF(COUNTIF(RUNS!$A$6:$A$1005,$A143)&gt;1,"ID RUN EN DOUBLON",IF($B143="","DATE MANQUANTE",IF($E143="","ESPECE MANQUANTE",IF($F143="","PRODUIT MANQUANT",IF($T143="","STATUT RUN MANQUANT",IF(COUNTIF($L143:$S143,"INACTIVE")=8,"AUCUNE LIGNE ACTIVE","RUN VALIDE")))))))</f>
        <v/>
      </c>
    </row>
    <row r="144" ht="16" customHeight="1">
      <c r="A144" s="14" t="n"/>
      <c r="B144" s="15" t="n"/>
      <c r="C144" s="16" t="n"/>
      <c r="D144" s="16" t="n"/>
      <c r="E144" s="9" t="n"/>
      <c r="F144" s="10" t="n"/>
      <c r="G144" s="10" t="n"/>
      <c r="H144" s="9" t="n"/>
      <c r="I144" s="10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17">
        <f>IF($A144="","",IF(COUNTIF(RUNS!$A$6:$A$1005,$A144)&gt;1,"ID RUN EN DOUBLON",IF($B144="","DATE MANQUANTE",IF($E144="","ESPECE MANQUANTE",IF($F144="","PRODUIT MANQUANT",IF($T144="","STATUT RUN MANQUANT",IF(COUNTIF($L144:$S144,"INACTIVE")=8,"AUCUNE LIGNE ACTIVE","RUN VALIDE")))))))</f>
        <v/>
      </c>
    </row>
    <row r="145" ht="16" customHeight="1">
      <c r="A145" s="14" t="n"/>
      <c r="B145" s="15" t="n"/>
      <c r="C145" s="16" t="n"/>
      <c r="D145" s="16" t="n"/>
      <c r="E145" s="9" t="n"/>
      <c r="F145" s="10" t="n"/>
      <c r="G145" s="10" t="n"/>
      <c r="H145" s="9" t="n"/>
      <c r="I145" s="10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17">
        <f>IF($A145="","",IF(COUNTIF(RUNS!$A$6:$A$1005,$A145)&gt;1,"ID RUN EN DOUBLON",IF($B145="","DATE MANQUANTE",IF($E145="","ESPECE MANQUANTE",IF($F145="","PRODUIT MANQUANT",IF($T145="","STATUT RUN MANQUANT",IF(COUNTIF($L145:$S145,"INACTIVE")=8,"AUCUNE LIGNE ACTIVE","RUN VALIDE")))))))</f>
        <v/>
      </c>
    </row>
    <row r="146" ht="16" customHeight="1">
      <c r="A146" s="14" t="n"/>
      <c r="B146" s="15" t="n"/>
      <c r="C146" s="16" t="n"/>
      <c r="D146" s="16" t="n"/>
      <c r="E146" s="9" t="n"/>
      <c r="F146" s="10" t="n"/>
      <c r="G146" s="10" t="n"/>
      <c r="H146" s="9" t="n"/>
      <c r="I146" s="10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17">
        <f>IF($A146="","",IF(COUNTIF(RUNS!$A$6:$A$1005,$A146)&gt;1,"ID RUN EN DOUBLON",IF($B146="","DATE MANQUANTE",IF($E146="","ESPECE MANQUANTE",IF($F146="","PRODUIT MANQUANT",IF($T146="","STATUT RUN MANQUANT",IF(COUNTIF($L146:$S146,"INACTIVE")=8,"AUCUNE LIGNE ACTIVE","RUN VALIDE")))))))</f>
        <v/>
      </c>
    </row>
    <row r="147" ht="16" customHeight="1">
      <c r="A147" s="14" t="n"/>
      <c r="B147" s="15" t="n"/>
      <c r="C147" s="16" t="n"/>
      <c r="D147" s="16" t="n"/>
      <c r="E147" s="9" t="n"/>
      <c r="F147" s="10" t="n"/>
      <c r="G147" s="10" t="n"/>
      <c r="H147" s="9" t="n"/>
      <c r="I147" s="10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17">
        <f>IF($A147="","",IF(COUNTIF(RUNS!$A$6:$A$1005,$A147)&gt;1,"ID RUN EN DOUBLON",IF($B147="","DATE MANQUANTE",IF($E147="","ESPECE MANQUANTE",IF($F147="","PRODUIT MANQUANT",IF($T147="","STATUT RUN MANQUANT",IF(COUNTIF($L147:$S147,"INACTIVE")=8,"AUCUNE LIGNE ACTIVE","RUN VALIDE")))))))</f>
        <v/>
      </c>
    </row>
    <row r="148" ht="16" customHeight="1">
      <c r="A148" s="14" t="n"/>
      <c r="B148" s="15" t="n"/>
      <c r="C148" s="16" t="n"/>
      <c r="D148" s="16" t="n"/>
      <c r="E148" s="9" t="n"/>
      <c r="F148" s="10" t="n"/>
      <c r="G148" s="10" t="n"/>
      <c r="H148" s="9" t="n"/>
      <c r="I148" s="10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17">
        <f>IF($A148="","",IF(COUNTIF(RUNS!$A$6:$A$1005,$A148)&gt;1,"ID RUN EN DOUBLON",IF($B148="","DATE MANQUANTE",IF($E148="","ESPECE MANQUANTE",IF($F148="","PRODUIT MANQUANT",IF($T148="","STATUT RUN MANQUANT",IF(COUNTIF($L148:$S148,"INACTIVE")=8,"AUCUNE LIGNE ACTIVE","RUN VALIDE")))))))</f>
        <v/>
      </c>
    </row>
    <row r="149" ht="16" customHeight="1">
      <c r="A149" s="14" t="n"/>
      <c r="B149" s="15" t="n"/>
      <c r="C149" s="16" t="n"/>
      <c r="D149" s="16" t="n"/>
      <c r="E149" s="9" t="n"/>
      <c r="F149" s="10" t="n"/>
      <c r="G149" s="10" t="n"/>
      <c r="H149" s="9" t="n"/>
      <c r="I149" s="10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17">
        <f>IF($A149="","",IF(COUNTIF(RUNS!$A$6:$A$1005,$A149)&gt;1,"ID RUN EN DOUBLON",IF($B149="","DATE MANQUANTE",IF($E149="","ESPECE MANQUANTE",IF($F149="","PRODUIT MANQUANT",IF($T149="","STATUT RUN MANQUANT",IF(COUNTIF($L149:$S149,"INACTIVE")=8,"AUCUNE LIGNE ACTIVE","RUN VALIDE")))))))</f>
        <v/>
      </c>
    </row>
    <row r="150" ht="16" customHeight="1">
      <c r="A150" s="14" t="n"/>
      <c r="B150" s="15" t="n"/>
      <c r="C150" s="16" t="n"/>
      <c r="D150" s="16" t="n"/>
      <c r="E150" s="9" t="n"/>
      <c r="F150" s="10" t="n"/>
      <c r="G150" s="10" t="n"/>
      <c r="H150" s="9" t="n"/>
      <c r="I150" s="10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17">
        <f>IF($A150="","",IF(COUNTIF(RUNS!$A$6:$A$1005,$A150)&gt;1,"ID RUN EN DOUBLON",IF($B150="","DATE MANQUANTE",IF($E150="","ESPECE MANQUANTE",IF($F150="","PRODUIT MANQUANT",IF($T150="","STATUT RUN MANQUANT",IF(COUNTIF($L150:$S150,"INACTIVE")=8,"AUCUNE LIGNE ACTIVE","RUN VALIDE")))))))</f>
        <v/>
      </c>
    </row>
    <row r="151" ht="16" customHeight="1">
      <c r="A151" s="14" t="n"/>
      <c r="B151" s="15" t="n"/>
      <c r="C151" s="16" t="n"/>
      <c r="D151" s="16" t="n"/>
      <c r="E151" s="9" t="n"/>
      <c r="F151" s="10" t="n"/>
      <c r="G151" s="10" t="n"/>
      <c r="H151" s="9" t="n"/>
      <c r="I151" s="10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17">
        <f>IF($A151="","",IF(COUNTIF(RUNS!$A$6:$A$1005,$A151)&gt;1,"ID RUN EN DOUBLON",IF($B151="","DATE MANQUANTE",IF($E151="","ESPECE MANQUANTE",IF($F151="","PRODUIT MANQUANT",IF($T151="","STATUT RUN MANQUANT",IF(COUNTIF($L151:$S151,"INACTIVE")=8,"AUCUNE LIGNE ACTIVE","RUN VALIDE")))))))</f>
        <v/>
      </c>
    </row>
    <row r="152" ht="16" customHeight="1">
      <c r="A152" s="14" t="n"/>
      <c r="B152" s="15" t="n"/>
      <c r="C152" s="16" t="n"/>
      <c r="D152" s="16" t="n"/>
      <c r="E152" s="9" t="n"/>
      <c r="F152" s="10" t="n"/>
      <c r="G152" s="10" t="n"/>
      <c r="H152" s="9" t="n"/>
      <c r="I152" s="10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17">
        <f>IF($A152="","",IF(COUNTIF(RUNS!$A$6:$A$1005,$A152)&gt;1,"ID RUN EN DOUBLON",IF($B152="","DATE MANQUANTE",IF($E152="","ESPECE MANQUANTE",IF($F152="","PRODUIT MANQUANT",IF($T152="","STATUT RUN MANQUANT",IF(COUNTIF($L152:$S152,"INACTIVE")=8,"AUCUNE LIGNE ACTIVE","RUN VALIDE")))))))</f>
        <v/>
      </c>
    </row>
    <row r="153" ht="16" customHeight="1">
      <c r="A153" s="14" t="n"/>
      <c r="B153" s="15" t="n"/>
      <c r="C153" s="16" t="n"/>
      <c r="D153" s="16" t="n"/>
      <c r="E153" s="9" t="n"/>
      <c r="F153" s="10" t="n"/>
      <c r="G153" s="10" t="n"/>
      <c r="H153" s="9" t="n"/>
      <c r="I153" s="10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17">
        <f>IF($A153="","",IF(COUNTIF(RUNS!$A$6:$A$1005,$A153)&gt;1,"ID RUN EN DOUBLON",IF($B153="","DATE MANQUANTE",IF($E153="","ESPECE MANQUANTE",IF($F153="","PRODUIT MANQUANT",IF($T153="","STATUT RUN MANQUANT",IF(COUNTIF($L153:$S153,"INACTIVE")=8,"AUCUNE LIGNE ACTIVE","RUN VALIDE")))))))</f>
        <v/>
      </c>
    </row>
    <row r="154" ht="16" customHeight="1">
      <c r="A154" s="14" t="n"/>
      <c r="B154" s="15" t="n"/>
      <c r="C154" s="16" t="n"/>
      <c r="D154" s="16" t="n"/>
      <c r="E154" s="9" t="n"/>
      <c r="F154" s="10" t="n"/>
      <c r="G154" s="10" t="n"/>
      <c r="H154" s="9" t="n"/>
      <c r="I154" s="10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17">
        <f>IF($A154="","",IF(COUNTIF(RUNS!$A$6:$A$1005,$A154)&gt;1,"ID RUN EN DOUBLON",IF($B154="","DATE MANQUANTE",IF($E154="","ESPECE MANQUANTE",IF($F154="","PRODUIT MANQUANT",IF($T154="","STATUT RUN MANQUANT",IF(COUNTIF($L154:$S154,"INACTIVE")=8,"AUCUNE LIGNE ACTIVE","RUN VALIDE")))))))</f>
        <v/>
      </c>
    </row>
    <row r="155" ht="16" customHeight="1">
      <c r="A155" s="14" t="n"/>
      <c r="B155" s="15" t="n"/>
      <c r="C155" s="16" t="n"/>
      <c r="D155" s="16" t="n"/>
      <c r="E155" s="9" t="n"/>
      <c r="F155" s="10" t="n"/>
      <c r="G155" s="10" t="n"/>
      <c r="H155" s="9" t="n"/>
      <c r="I155" s="10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17">
        <f>IF($A155="","",IF(COUNTIF(RUNS!$A$6:$A$1005,$A155)&gt;1,"ID RUN EN DOUBLON",IF($B155="","DATE MANQUANTE",IF($E155="","ESPECE MANQUANTE",IF($F155="","PRODUIT MANQUANT",IF($T155="","STATUT RUN MANQUANT",IF(COUNTIF($L155:$S155,"INACTIVE")=8,"AUCUNE LIGNE ACTIVE","RUN VALIDE")))))))</f>
        <v/>
      </c>
    </row>
    <row r="156" ht="16" customHeight="1">
      <c r="A156" s="14" t="n"/>
      <c r="B156" s="15" t="n"/>
      <c r="C156" s="16" t="n"/>
      <c r="D156" s="16" t="n"/>
      <c r="E156" s="9" t="n"/>
      <c r="F156" s="10" t="n"/>
      <c r="G156" s="10" t="n"/>
      <c r="H156" s="9" t="n"/>
      <c r="I156" s="10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17">
        <f>IF($A156="","",IF(COUNTIF(RUNS!$A$6:$A$1005,$A156)&gt;1,"ID RUN EN DOUBLON",IF($B156="","DATE MANQUANTE",IF($E156="","ESPECE MANQUANTE",IF($F156="","PRODUIT MANQUANT",IF($T156="","STATUT RUN MANQUANT",IF(COUNTIF($L156:$S156,"INACTIVE")=8,"AUCUNE LIGNE ACTIVE","RUN VALIDE")))))))</f>
        <v/>
      </c>
    </row>
    <row r="157" ht="16" customHeight="1">
      <c r="A157" s="14" t="n"/>
      <c r="B157" s="15" t="n"/>
      <c r="C157" s="16" t="n"/>
      <c r="D157" s="16" t="n"/>
      <c r="E157" s="9" t="n"/>
      <c r="F157" s="10" t="n"/>
      <c r="G157" s="10" t="n"/>
      <c r="H157" s="9" t="n"/>
      <c r="I157" s="10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17">
        <f>IF($A157="","",IF(COUNTIF(RUNS!$A$6:$A$1005,$A157)&gt;1,"ID RUN EN DOUBLON",IF($B157="","DATE MANQUANTE",IF($E157="","ESPECE MANQUANTE",IF($F157="","PRODUIT MANQUANT",IF($T157="","STATUT RUN MANQUANT",IF(COUNTIF($L157:$S157,"INACTIVE")=8,"AUCUNE LIGNE ACTIVE","RUN VALIDE")))))))</f>
        <v/>
      </c>
    </row>
    <row r="158" ht="16" customHeight="1">
      <c r="A158" s="14" t="n"/>
      <c r="B158" s="15" t="n"/>
      <c r="C158" s="16" t="n"/>
      <c r="D158" s="16" t="n"/>
      <c r="E158" s="9" t="n"/>
      <c r="F158" s="10" t="n"/>
      <c r="G158" s="10" t="n"/>
      <c r="H158" s="9" t="n"/>
      <c r="I158" s="10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17">
        <f>IF($A158="","",IF(COUNTIF(RUNS!$A$6:$A$1005,$A158)&gt;1,"ID RUN EN DOUBLON",IF($B158="","DATE MANQUANTE",IF($E158="","ESPECE MANQUANTE",IF($F158="","PRODUIT MANQUANT",IF($T158="","STATUT RUN MANQUANT",IF(COUNTIF($L158:$S158,"INACTIVE")=8,"AUCUNE LIGNE ACTIVE","RUN VALIDE")))))))</f>
        <v/>
      </c>
    </row>
    <row r="159" ht="16" customHeight="1">
      <c r="A159" s="14" t="n"/>
      <c r="B159" s="15" t="n"/>
      <c r="C159" s="16" t="n"/>
      <c r="D159" s="16" t="n"/>
      <c r="E159" s="9" t="n"/>
      <c r="F159" s="10" t="n"/>
      <c r="G159" s="10" t="n"/>
      <c r="H159" s="9" t="n"/>
      <c r="I159" s="10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17">
        <f>IF($A159="","",IF(COUNTIF(RUNS!$A$6:$A$1005,$A159)&gt;1,"ID RUN EN DOUBLON",IF($B159="","DATE MANQUANTE",IF($E159="","ESPECE MANQUANTE",IF($F159="","PRODUIT MANQUANT",IF($T159="","STATUT RUN MANQUANT",IF(COUNTIF($L159:$S159,"INACTIVE")=8,"AUCUNE LIGNE ACTIVE","RUN VALIDE")))))))</f>
        <v/>
      </c>
    </row>
    <row r="160" ht="16" customHeight="1">
      <c r="A160" s="14" t="n"/>
      <c r="B160" s="15" t="n"/>
      <c r="C160" s="16" t="n"/>
      <c r="D160" s="16" t="n"/>
      <c r="E160" s="9" t="n"/>
      <c r="F160" s="10" t="n"/>
      <c r="G160" s="10" t="n"/>
      <c r="H160" s="9" t="n"/>
      <c r="I160" s="10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17">
        <f>IF($A160="","",IF(COUNTIF(RUNS!$A$6:$A$1005,$A160)&gt;1,"ID RUN EN DOUBLON",IF($B160="","DATE MANQUANTE",IF($E160="","ESPECE MANQUANTE",IF($F160="","PRODUIT MANQUANT",IF($T160="","STATUT RUN MANQUANT",IF(COUNTIF($L160:$S160,"INACTIVE")=8,"AUCUNE LIGNE ACTIVE","RUN VALIDE")))))))</f>
        <v/>
      </c>
    </row>
    <row r="161" ht="16" customHeight="1">
      <c r="A161" s="14" t="n"/>
      <c r="B161" s="15" t="n"/>
      <c r="C161" s="16" t="n"/>
      <c r="D161" s="16" t="n"/>
      <c r="E161" s="9" t="n"/>
      <c r="F161" s="10" t="n"/>
      <c r="G161" s="10" t="n"/>
      <c r="H161" s="9" t="n"/>
      <c r="I161" s="10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17">
        <f>IF($A161="","",IF(COUNTIF(RUNS!$A$6:$A$1005,$A161)&gt;1,"ID RUN EN DOUBLON",IF($B161="","DATE MANQUANTE",IF($E161="","ESPECE MANQUANTE",IF($F161="","PRODUIT MANQUANT",IF($T161="","STATUT RUN MANQUANT",IF(COUNTIF($L161:$S161,"INACTIVE")=8,"AUCUNE LIGNE ACTIVE","RUN VALIDE")))))))</f>
        <v/>
      </c>
    </row>
    <row r="162" ht="16" customHeight="1">
      <c r="A162" s="14" t="n"/>
      <c r="B162" s="15" t="n"/>
      <c r="C162" s="16" t="n"/>
      <c r="D162" s="16" t="n"/>
      <c r="E162" s="9" t="n"/>
      <c r="F162" s="10" t="n"/>
      <c r="G162" s="10" t="n"/>
      <c r="H162" s="9" t="n"/>
      <c r="I162" s="10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17">
        <f>IF($A162="","",IF(COUNTIF(RUNS!$A$6:$A$1005,$A162)&gt;1,"ID RUN EN DOUBLON",IF($B162="","DATE MANQUANTE",IF($E162="","ESPECE MANQUANTE",IF($F162="","PRODUIT MANQUANT",IF($T162="","STATUT RUN MANQUANT",IF(COUNTIF($L162:$S162,"INACTIVE")=8,"AUCUNE LIGNE ACTIVE","RUN VALIDE")))))))</f>
        <v/>
      </c>
    </row>
    <row r="163" ht="16" customHeight="1">
      <c r="A163" s="14" t="n"/>
      <c r="B163" s="15" t="n"/>
      <c r="C163" s="16" t="n"/>
      <c r="D163" s="16" t="n"/>
      <c r="E163" s="9" t="n"/>
      <c r="F163" s="10" t="n"/>
      <c r="G163" s="10" t="n"/>
      <c r="H163" s="9" t="n"/>
      <c r="I163" s="10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17">
        <f>IF($A163="","",IF(COUNTIF(RUNS!$A$6:$A$1005,$A163)&gt;1,"ID RUN EN DOUBLON",IF($B163="","DATE MANQUANTE",IF($E163="","ESPECE MANQUANTE",IF($F163="","PRODUIT MANQUANT",IF($T163="","STATUT RUN MANQUANT",IF(COUNTIF($L163:$S163,"INACTIVE")=8,"AUCUNE LIGNE ACTIVE","RUN VALIDE")))))))</f>
        <v/>
      </c>
    </row>
    <row r="164" ht="16" customHeight="1">
      <c r="A164" s="14" t="n"/>
      <c r="B164" s="15" t="n"/>
      <c r="C164" s="16" t="n"/>
      <c r="D164" s="16" t="n"/>
      <c r="E164" s="9" t="n"/>
      <c r="F164" s="10" t="n"/>
      <c r="G164" s="10" t="n"/>
      <c r="H164" s="9" t="n"/>
      <c r="I164" s="10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17">
        <f>IF($A164="","",IF(COUNTIF(RUNS!$A$6:$A$1005,$A164)&gt;1,"ID RUN EN DOUBLON",IF($B164="","DATE MANQUANTE",IF($E164="","ESPECE MANQUANTE",IF($F164="","PRODUIT MANQUANT",IF($T164="","STATUT RUN MANQUANT",IF(COUNTIF($L164:$S164,"INACTIVE")=8,"AUCUNE LIGNE ACTIVE","RUN VALIDE")))))))</f>
        <v/>
      </c>
    </row>
    <row r="165" ht="16" customHeight="1">
      <c r="A165" s="14" t="n"/>
      <c r="B165" s="15" t="n"/>
      <c r="C165" s="16" t="n"/>
      <c r="D165" s="16" t="n"/>
      <c r="E165" s="9" t="n"/>
      <c r="F165" s="10" t="n"/>
      <c r="G165" s="10" t="n"/>
      <c r="H165" s="9" t="n"/>
      <c r="I165" s="10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17">
        <f>IF($A165="","",IF(COUNTIF(RUNS!$A$6:$A$1005,$A165)&gt;1,"ID RUN EN DOUBLON",IF($B165="","DATE MANQUANTE",IF($E165="","ESPECE MANQUANTE",IF($F165="","PRODUIT MANQUANT",IF($T165="","STATUT RUN MANQUANT",IF(COUNTIF($L165:$S165,"INACTIVE")=8,"AUCUNE LIGNE ACTIVE","RUN VALIDE")))))))</f>
        <v/>
      </c>
    </row>
    <row r="166" ht="16" customHeight="1">
      <c r="A166" s="14" t="n"/>
      <c r="B166" s="15" t="n"/>
      <c r="C166" s="16" t="n"/>
      <c r="D166" s="16" t="n"/>
      <c r="E166" s="9" t="n"/>
      <c r="F166" s="10" t="n"/>
      <c r="G166" s="10" t="n"/>
      <c r="H166" s="9" t="n"/>
      <c r="I166" s="10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17">
        <f>IF($A166="","",IF(COUNTIF(RUNS!$A$6:$A$1005,$A166)&gt;1,"ID RUN EN DOUBLON",IF($B166="","DATE MANQUANTE",IF($E166="","ESPECE MANQUANTE",IF($F166="","PRODUIT MANQUANT",IF($T166="","STATUT RUN MANQUANT",IF(COUNTIF($L166:$S166,"INACTIVE")=8,"AUCUNE LIGNE ACTIVE","RUN VALIDE")))))))</f>
        <v/>
      </c>
    </row>
    <row r="167" ht="16" customHeight="1">
      <c r="A167" s="14" t="n"/>
      <c r="B167" s="15" t="n"/>
      <c r="C167" s="16" t="n"/>
      <c r="D167" s="16" t="n"/>
      <c r="E167" s="9" t="n"/>
      <c r="F167" s="10" t="n"/>
      <c r="G167" s="10" t="n"/>
      <c r="H167" s="9" t="n"/>
      <c r="I167" s="10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17">
        <f>IF($A167="","",IF(COUNTIF(RUNS!$A$6:$A$1005,$A167)&gt;1,"ID RUN EN DOUBLON",IF($B167="","DATE MANQUANTE",IF($E167="","ESPECE MANQUANTE",IF($F167="","PRODUIT MANQUANT",IF($T167="","STATUT RUN MANQUANT",IF(COUNTIF($L167:$S167,"INACTIVE")=8,"AUCUNE LIGNE ACTIVE","RUN VALIDE")))))))</f>
        <v/>
      </c>
    </row>
    <row r="168" ht="16" customHeight="1">
      <c r="A168" s="14" t="n"/>
      <c r="B168" s="15" t="n"/>
      <c r="C168" s="16" t="n"/>
      <c r="D168" s="16" t="n"/>
      <c r="E168" s="9" t="n"/>
      <c r="F168" s="10" t="n"/>
      <c r="G168" s="10" t="n"/>
      <c r="H168" s="9" t="n"/>
      <c r="I168" s="10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17">
        <f>IF($A168="","",IF(COUNTIF(RUNS!$A$6:$A$1005,$A168)&gt;1,"ID RUN EN DOUBLON",IF($B168="","DATE MANQUANTE",IF($E168="","ESPECE MANQUANTE",IF($F168="","PRODUIT MANQUANT",IF($T168="","STATUT RUN MANQUANT",IF(COUNTIF($L168:$S168,"INACTIVE")=8,"AUCUNE LIGNE ACTIVE","RUN VALIDE")))))))</f>
        <v/>
      </c>
    </row>
    <row r="169" ht="16" customHeight="1">
      <c r="A169" s="14" t="n"/>
      <c r="B169" s="15" t="n"/>
      <c r="C169" s="16" t="n"/>
      <c r="D169" s="16" t="n"/>
      <c r="E169" s="9" t="n"/>
      <c r="F169" s="10" t="n"/>
      <c r="G169" s="10" t="n"/>
      <c r="H169" s="9" t="n"/>
      <c r="I169" s="10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17">
        <f>IF($A169="","",IF(COUNTIF(RUNS!$A$6:$A$1005,$A169)&gt;1,"ID RUN EN DOUBLON",IF($B169="","DATE MANQUANTE",IF($E169="","ESPECE MANQUANTE",IF($F169="","PRODUIT MANQUANT",IF($T169="","STATUT RUN MANQUANT",IF(COUNTIF($L169:$S169,"INACTIVE")=8,"AUCUNE LIGNE ACTIVE","RUN VALIDE")))))))</f>
        <v/>
      </c>
    </row>
    <row r="170" ht="16" customHeight="1">
      <c r="A170" s="14" t="n"/>
      <c r="B170" s="15" t="n"/>
      <c r="C170" s="16" t="n"/>
      <c r="D170" s="16" t="n"/>
      <c r="E170" s="9" t="n"/>
      <c r="F170" s="10" t="n"/>
      <c r="G170" s="10" t="n"/>
      <c r="H170" s="9" t="n"/>
      <c r="I170" s="10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17">
        <f>IF($A170="","",IF(COUNTIF(RUNS!$A$6:$A$1005,$A170)&gt;1,"ID RUN EN DOUBLON",IF($B170="","DATE MANQUANTE",IF($E170="","ESPECE MANQUANTE",IF($F170="","PRODUIT MANQUANT",IF($T170="","STATUT RUN MANQUANT",IF(COUNTIF($L170:$S170,"INACTIVE")=8,"AUCUNE LIGNE ACTIVE","RUN VALIDE")))))))</f>
        <v/>
      </c>
    </row>
    <row r="171" ht="16" customHeight="1">
      <c r="A171" s="14" t="n"/>
      <c r="B171" s="15" t="n"/>
      <c r="C171" s="16" t="n"/>
      <c r="D171" s="16" t="n"/>
      <c r="E171" s="9" t="n"/>
      <c r="F171" s="10" t="n"/>
      <c r="G171" s="10" t="n"/>
      <c r="H171" s="9" t="n"/>
      <c r="I171" s="10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17">
        <f>IF($A171="","",IF(COUNTIF(RUNS!$A$6:$A$1005,$A171)&gt;1,"ID RUN EN DOUBLON",IF($B171="","DATE MANQUANTE",IF($E171="","ESPECE MANQUANTE",IF($F171="","PRODUIT MANQUANT",IF($T171="","STATUT RUN MANQUANT",IF(COUNTIF($L171:$S171,"INACTIVE")=8,"AUCUNE LIGNE ACTIVE","RUN VALIDE")))))))</f>
        <v/>
      </c>
    </row>
    <row r="172" ht="16" customHeight="1">
      <c r="A172" s="14" t="n"/>
      <c r="B172" s="15" t="n"/>
      <c r="C172" s="16" t="n"/>
      <c r="D172" s="16" t="n"/>
      <c r="E172" s="9" t="n"/>
      <c r="F172" s="10" t="n"/>
      <c r="G172" s="10" t="n"/>
      <c r="H172" s="9" t="n"/>
      <c r="I172" s="10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17">
        <f>IF($A172="","",IF(COUNTIF(RUNS!$A$6:$A$1005,$A172)&gt;1,"ID RUN EN DOUBLON",IF($B172="","DATE MANQUANTE",IF($E172="","ESPECE MANQUANTE",IF($F172="","PRODUIT MANQUANT",IF($T172="","STATUT RUN MANQUANT",IF(COUNTIF($L172:$S172,"INACTIVE")=8,"AUCUNE LIGNE ACTIVE","RUN VALIDE")))))))</f>
        <v/>
      </c>
    </row>
    <row r="173" ht="16" customHeight="1">
      <c r="A173" s="14" t="n"/>
      <c r="B173" s="15" t="n"/>
      <c r="C173" s="16" t="n"/>
      <c r="D173" s="16" t="n"/>
      <c r="E173" s="9" t="n"/>
      <c r="F173" s="10" t="n"/>
      <c r="G173" s="10" t="n"/>
      <c r="H173" s="9" t="n"/>
      <c r="I173" s="10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17">
        <f>IF($A173="","",IF(COUNTIF(RUNS!$A$6:$A$1005,$A173)&gt;1,"ID RUN EN DOUBLON",IF($B173="","DATE MANQUANTE",IF($E173="","ESPECE MANQUANTE",IF($F173="","PRODUIT MANQUANT",IF($T173="","STATUT RUN MANQUANT",IF(COUNTIF($L173:$S173,"INACTIVE")=8,"AUCUNE LIGNE ACTIVE","RUN VALIDE")))))))</f>
        <v/>
      </c>
    </row>
    <row r="174" ht="16" customHeight="1">
      <c r="A174" s="14" t="n"/>
      <c r="B174" s="15" t="n"/>
      <c r="C174" s="16" t="n"/>
      <c r="D174" s="16" t="n"/>
      <c r="E174" s="9" t="n"/>
      <c r="F174" s="10" t="n"/>
      <c r="G174" s="10" t="n"/>
      <c r="H174" s="9" t="n"/>
      <c r="I174" s="10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17">
        <f>IF($A174="","",IF(COUNTIF(RUNS!$A$6:$A$1005,$A174)&gt;1,"ID RUN EN DOUBLON",IF($B174="","DATE MANQUANTE",IF($E174="","ESPECE MANQUANTE",IF($F174="","PRODUIT MANQUANT",IF($T174="","STATUT RUN MANQUANT",IF(COUNTIF($L174:$S174,"INACTIVE")=8,"AUCUNE LIGNE ACTIVE","RUN VALIDE")))))))</f>
        <v/>
      </c>
    </row>
    <row r="175" ht="16" customHeight="1">
      <c r="A175" s="14" t="n"/>
      <c r="B175" s="15" t="n"/>
      <c r="C175" s="16" t="n"/>
      <c r="D175" s="16" t="n"/>
      <c r="E175" s="9" t="n"/>
      <c r="F175" s="10" t="n"/>
      <c r="G175" s="10" t="n"/>
      <c r="H175" s="9" t="n"/>
      <c r="I175" s="10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17">
        <f>IF($A175="","",IF(COUNTIF(RUNS!$A$6:$A$1005,$A175)&gt;1,"ID RUN EN DOUBLON",IF($B175="","DATE MANQUANTE",IF($E175="","ESPECE MANQUANTE",IF($F175="","PRODUIT MANQUANT",IF($T175="","STATUT RUN MANQUANT",IF(COUNTIF($L175:$S175,"INACTIVE")=8,"AUCUNE LIGNE ACTIVE","RUN VALIDE")))))))</f>
        <v/>
      </c>
    </row>
    <row r="176" ht="16" customHeight="1">
      <c r="A176" s="14" t="n"/>
      <c r="B176" s="15" t="n"/>
      <c r="C176" s="16" t="n"/>
      <c r="D176" s="16" t="n"/>
      <c r="E176" s="9" t="n"/>
      <c r="F176" s="10" t="n"/>
      <c r="G176" s="10" t="n"/>
      <c r="H176" s="9" t="n"/>
      <c r="I176" s="10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17">
        <f>IF($A176="","",IF(COUNTIF(RUNS!$A$6:$A$1005,$A176)&gt;1,"ID RUN EN DOUBLON",IF($B176="","DATE MANQUANTE",IF($E176="","ESPECE MANQUANTE",IF($F176="","PRODUIT MANQUANT",IF($T176="","STATUT RUN MANQUANT",IF(COUNTIF($L176:$S176,"INACTIVE")=8,"AUCUNE LIGNE ACTIVE","RUN VALIDE")))))))</f>
        <v/>
      </c>
    </row>
    <row r="177" ht="16" customHeight="1">
      <c r="A177" s="14" t="n"/>
      <c r="B177" s="15" t="n"/>
      <c r="C177" s="16" t="n"/>
      <c r="D177" s="16" t="n"/>
      <c r="E177" s="9" t="n"/>
      <c r="F177" s="10" t="n"/>
      <c r="G177" s="10" t="n"/>
      <c r="H177" s="9" t="n"/>
      <c r="I177" s="10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17">
        <f>IF($A177="","",IF(COUNTIF(RUNS!$A$6:$A$1005,$A177)&gt;1,"ID RUN EN DOUBLON",IF($B177="","DATE MANQUANTE",IF($E177="","ESPECE MANQUANTE",IF($F177="","PRODUIT MANQUANT",IF($T177="","STATUT RUN MANQUANT",IF(COUNTIF($L177:$S177,"INACTIVE")=8,"AUCUNE LIGNE ACTIVE","RUN VALIDE")))))))</f>
        <v/>
      </c>
    </row>
    <row r="178" ht="16" customHeight="1">
      <c r="A178" s="14" t="n"/>
      <c r="B178" s="15" t="n"/>
      <c r="C178" s="16" t="n"/>
      <c r="D178" s="16" t="n"/>
      <c r="E178" s="9" t="n"/>
      <c r="F178" s="10" t="n"/>
      <c r="G178" s="10" t="n"/>
      <c r="H178" s="9" t="n"/>
      <c r="I178" s="10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17">
        <f>IF($A178="","",IF(COUNTIF(RUNS!$A$6:$A$1005,$A178)&gt;1,"ID RUN EN DOUBLON",IF($B178="","DATE MANQUANTE",IF($E178="","ESPECE MANQUANTE",IF($F178="","PRODUIT MANQUANT",IF($T178="","STATUT RUN MANQUANT",IF(COUNTIF($L178:$S178,"INACTIVE")=8,"AUCUNE LIGNE ACTIVE","RUN VALIDE")))))))</f>
        <v/>
      </c>
    </row>
    <row r="179" ht="16" customHeight="1">
      <c r="A179" s="14" t="n"/>
      <c r="B179" s="15" t="n"/>
      <c r="C179" s="16" t="n"/>
      <c r="D179" s="16" t="n"/>
      <c r="E179" s="9" t="n"/>
      <c r="F179" s="10" t="n"/>
      <c r="G179" s="10" t="n"/>
      <c r="H179" s="9" t="n"/>
      <c r="I179" s="10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17">
        <f>IF($A179="","",IF(COUNTIF(RUNS!$A$6:$A$1005,$A179)&gt;1,"ID RUN EN DOUBLON",IF($B179="","DATE MANQUANTE",IF($E179="","ESPECE MANQUANTE",IF($F179="","PRODUIT MANQUANT",IF($T179="","STATUT RUN MANQUANT",IF(COUNTIF($L179:$S179,"INACTIVE")=8,"AUCUNE LIGNE ACTIVE","RUN VALIDE")))))))</f>
        <v/>
      </c>
    </row>
    <row r="180" ht="16" customHeight="1">
      <c r="A180" s="14" t="n"/>
      <c r="B180" s="15" t="n"/>
      <c r="C180" s="16" t="n"/>
      <c r="D180" s="16" t="n"/>
      <c r="E180" s="9" t="n"/>
      <c r="F180" s="10" t="n"/>
      <c r="G180" s="10" t="n"/>
      <c r="H180" s="9" t="n"/>
      <c r="I180" s="10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17">
        <f>IF($A180="","",IF(COUNTIF(RUNS!$A$6:$A$1005,$A180)&gt;1,"ID RUN EN DOUBLON",IF($B180="","DATE MANQUANTE",IF($E180="","ESPECE MANQUANTE",IF($F180="","PRODUIT MANQUANT",IF($T180="","STATUT RUN MANQUANT",IF(COUNTIF($L180:$S180,"INACTIVE")=8,"AUCUNE LIGNE ACTIVE","RUN VALIDE")))))))</f>
        <v/>
      </c>
    </row>
    <row r="181" ht="16" customHeight="1">
      <c r="A181" s="14" t="n"/>
      <c r="B181" s="15" t="n"/>
      <c r="C181" s="16" t="n"/>
      <c r="D181" s="16" t="n"/>
      <c r="E181" s="9" t="n"/>
      <c r="F181" s="10" t="n"/>
      <c r="G181" s="10" t="n"/>
      <c r="H181" s="9" t="n"/>
      <c r="I181" s="10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17">
        <f>IF($A181="","",IF(COUNTIF(RUNS!$A$6:$A$1005,$A181)&gt;1,"ID RUN EN DOUBLON",IF($B181="","DATE MANQUANTE",IF($E181="","ESPECE MANQUANTE",IF($F181="","PRODUIT MANQUANT",IF($T181="","STATUT RUN MANQUANT",IF(COUNTIF($L181:$S181,"INACTIVE")=8,"AUCUNE LIGNE ACTIVE","RUN VALIDE")))))))</f>
        <v/>
      </c>
    </row>
    <row r="182" ht="16" customHeight="1">
      <c r="A182" s="14" t="n"/>
      <c r="B182" s="15" t="n"/>
      <c r="C182" s="16" t="n"/>
      <c r="D182" s="16" t="n"/>
      <c r="E182" s="9" t="n"/>
      <c r="F182" s="10" t="n"/>
      <c r="G182" s="10" t="n"/>
      <c r="H182" s="9" t="n"/>
      <c r="I182" s="10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17">
        <f>IF($A182="","",IF(COUNTIF(RUNS!$A$6:$A$1005,$A182)&gt;1,"ID RUN EN DOUBLON",IF($B182="","DATE MANQUANTE",IF($E182="","ESPECE MANQUANTE",IF($F182="","PRODUIT MANQUANT",IF($T182="","STATUT RUN MANQUANT",IF(COUNTIF($L182:$S182,"INACTIVE")=8,"AUCUNE LIGNE ACTIVE","RUN VALIDE")))))))</f>
        <v/>
      </c>
    </row>
    <row r="183" ht="16" customHeight="1">
      <c r="A183" s="14" t="n"/>
      <c r="B183" s="15" t="n"/>
      <c r="C183" s="16" t="n"/>
      <c r="D183" s="16" t="n"/>
      <c r="E183" s="9" t="n"/>
      <c r="F183" s="10" t="n"/>
      <c r="G183" s="10" t="n"/>
      <c r="H183" s="9" t="n"/>
      <c r="I183" s="10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17">
        <f>IF($A183="","",IF(COUNTIF(RUNS!$A$6:$A$1005,$A183)&gt;1,"ID RUN EN DOUBLON",IF($B183="","DATE MANQUANTE",IF($E183="","ESPECE MANQUANTE",IF($F183="","PRODUIT MANQUANT",IF($T183="","STATUT RUN MANQUANT",IF(COUNTIF($L183:$S183,"INACTIVE")=8,"AUCUNE LIGNE ACTIVE","RUN VALIDE")))))))</f>
        <v/>
      </c>
    </row>
    <row r="184" ht="16" customHeight="1">
      <c r="A184" s="14" t="n"/>
      <c r="B184" s="15" t="n"/>
      <c r="C184" s="16" t="n"/>
      <c r="D184" s="16" t="n"/>
      <c r="E184" s="9" t="n"/>
      <c r="F184" s="10" t="n"/>
      <c r="G184" s="10" t="n"/>
      <c r="H184" s="9" t="n"/>
      <c r="I184" s="10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17">
        <f>IF($A184="","",IF(COUNTIF(RUNS!$A$6:$A$1005,$A184)&gt;1,"ID RUN EN DOUBLON",IF($B184="","DATE MANQUANTE",IF($E184="","ESPECE MANQUANTE",IF($F184="","PRODUIT MANQUANT",IF($T184="","STATUT RUN MANQUANT",IF(COUNTIF($L184:$S184,"INACTIVE")=8,"AUCUNE LIGNE ACTIVE","RUN VALIDE")))))))</f>
        <v/>
      </c>
    </row>
    <row r="185" ht="16" customHeight="1">
      <c r="A185" s="14" t="n"/>
      <c r="B185" s="15" t="n"/>
      <c r="C185" s="16" t="n"/>
      <c r="D185" s="16" t="n"/>
      <c r="E185" s="9" t="n"/>
      <c r="F185" s="10" t="n"/>
      <c r="G185" s="10" t="n"/>
      <c r="H185" s="9" t="n"/>
      <c r="I185" s="10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17">
        <f>IF($A185="","",IF(COUNTIF(RUNS!$A$6:$A$1005,$A185)&gt;1,"ID RUN EN DOUBLON",IF($B185="","DATE MANQUANTE",IF($E185="","ESPECE MANQUANTE",IF($F185="","PRODUIT MANQUANT",IF($T185="","STATUT RUN MANQUANT",IF(COUNTIF($L185:$S185,"INACTIVE")=8,"AUCUNE LIGNE ACTIVE","RUN VALIDE")))))))</f>
        <v/>
      </c>
    </row>
    <row r="186" ht="16" customHeight="1">
      <c r="A186" s="14" t="n"/>
      <c r="B186" s="15" t="n"/>
      <c r="C186" s="16" t="n"/>
      <c r="D186" s="16" t="n"/>
      <c r="E186" s="9" t="n"/>
      <c r="F186" s="10" t="n"/>
      <c r="G186" s="10" t="n"/>
      <c r="H186" s="9" t="n"/>
      <c r="I186" s="10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17">
        <f>IF($A186="","",IF(COUNTIF(RUNS!$A$6:$A$1005,$A186)&gt;1,"ID RUN EN DOUBLON",IF($B186="","DATE MANQUANTE",IF($E186="","ESPECE MANQUANTE",IF($F186="","PRODUIT MANQUANT",IF($T186="","STATUT RUN MANQUANT",IF(COUNTIF($L186:$S186,"INACTIVE")=8,"AUCUNE LIGNE ACTIVE","RUN VALIDE")))))))</f>
        <v/>
      </c>
    </row>
    <row r="187" ht="16" customHeight="1">
      <c r="A187" s="14" t="n"/>
      <c r="B187" s="15" t="n"/>
      <c r="C187" s="16" t="n"/>
      <c r="D187" s="16" t="n"/>
      <c r="E187" s="9" t="n"/>
      <c r="F187" s="10" t="n"/>
      <c r="G187" s="10" t="n"/>
      <c r="H187" s="9" t="n"/>
      <c r="I187" s="10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17">
        <f>IF($A187="","",IF(COUNTIF(RUNS!$A$6:$A$1005,$A187)&gt;1,"ID RUN EN DOUBLON",IF($B187="","DATE MANQUANTE",IF($E187="","ESPECE MANQUANTE",IF($F187="","PRODUIT MANQUANT",IF($T187="","STATUT RUN MANQUANT",IF(COUNTIF($L187:$S187,"INACTIVE")=8,"AUCUNE LIGNE ACTIVE","RUN VALIDE")))))))</f>
        <v/>
      </c>
    </row>
    <row r="188" ht="16" customHeight="1">
      <c r="A188" s="14" t="n"/>
      <c r="B188" s="15" t="n"/>
      <c r="C188" s="16" t="n"/>
      <c r="D188" s="16" t="n"/>
      <c r="E188" s="9" t="n"/>
      <c r="F188" s="10" t="n"/>
      <c r="G188" s="10" t="n"/>
      <c r="H188" s="9" t="n"/>
      <c r="I188" s="10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17">
        <f>IF($A188="","",IF(COUNTIF(RUNS!$A$6:$A$1005,$A188)&gt;1,"ID RUN EN DOUBLON",IF($B188="","DATE MANQUANTE",IF($E188="","ESPECE MANQUANTE",IF($F188="","PRODUIT MANQUANT",IF($T188="","STATUT RUN MANQUANT",IF(COUNTIF($L188:$S188,"INACTIVE")=8,"AUCUNE LIGNE ACTIVE","RUN VALIDE")))))))</f>
        <v/>
      </c>
    </row>
    <row r="189" ht="16" customHeight="1">
      <c r="A189" s="14" t="n"/>
      <c r="B189" s="15" t="n"/>
      <c r="C189" s="16" t="n"/>
      <c r="D189" s="16" t="n"/>
      <c r="E189" s="9" t="n"/>
      <c r="F189" s="10" t="n"/>
      <c r="G189" s="10" t="n"/>
      <c r="H189" s="9" t="n"/>
      <c r="I189" s="10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17">
        <f>IF($A189="","",IF(COUNTIF(RUNS!$A$6:$A$1005,$A189)&gt;1,"ID RUN EN DOUBLON",IF($B189="","DATE MANQUANTE",IF($E189="","ESPECE MANQUANTE",IF($F189="","PRODUIT MANQUANT",IF($T189="","STATUT RUN MANQUANT",IF(COUNTIF($L189:$S189,"INACTIVE")=8,"AUCUNE LIGNE ACTIVE","RUN VALIDE")))))))</f>
        <v/>
      </c>
    </row>
    <row r="190" ht="16" customHeight="1">
      <c r="A190" s="14" t="n"/>
      <c r="B190" s="15" t="n"/>
      <c r="C190" s="16" t="n"/>
      <c r="D190" s="16" t="n"/>
      <c r="E190" s="9" t="n"/>
      <c r="F190" s="10" t="n"/>
      <c r="G190" s="10" t="n"/>
      <c r="H190" s="9" t="n"/>
      <c r="I190" s="10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17">
        <f>IF($A190="","",IF(COUNTIF(RUNS!$A$6:$A$1005,$A190)&gt;1,"ID RUN EN DOUBLON",IF($B190="","DATE MANQUANTE",IF($E190="","ESPECE MANQUANTE",IF($F190="","PRODUIT MANQUANT",IF($T190="","STATUT RUN MANQUANT",IF(COUNTIF($L190:$S190,"INACTIVE")=8,"AUCUNE LIGNE ACTIVE","RUN VALIDE")))))))</f>
        <v/>
      </c>
    </row>
    <row r="191" ht="16" customHeight="1">
      <c r="A191" s="14" t="n"/>
      <c r="B191" s="15" t="n"/>
      <c r="C191" s="16" t="n"/>
      <c r="D191" s="16" t="n"/>
      <c r="E191" s="9" t="n"/>
      <c r="F191" s="10" t="n"/>
      <c r="G191" s="10" t="n"/>
      <c r="H191" s="9" t="n"/>
      <c r="I191" s="10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17">
        <f>IF($A191="","",IF(COUNTIF(RUNS!$A$6:$A$1005,$A191)&gt;1,"ID RUN EN DOUBLON",IF($B191="","DATE MANQUANTE",IF($E191="","ESPECE MANQUANTE",IF($F191="","PRODUIT MANQUANT",IF($T191="","STATUT RUN MANQUANT",IF(COUNTIF($L191:$S191,"INACTIVE")=8,"AUCUNE LIGNE ACTIVE","RUN VALIDE")))))))</f>
        <v/>
      </c>
    </row>
    <row r="192" ht="16" customHeight="1">
      <c r="A192" s="14" t="n"/>
      <c r="B192" s="15" t="n"/>
      <c r="C192" s="16" t="n"/>
      <c r="D192" s="16" t="n"/>
      <c r="E192" s="9" t="n"/>
      <c r="F192" s="10" t="n"/>
      <c r="G192" s="10" t="n"/>
      <c r="H192" s="9" t="n"/>
      <c r="I192" s="10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17">
        <f>IF($A192="","",IF(COUNTIF(RUNS!$A$6:$A$1005,$A192)&gt;1,"ID RUN EN DOUBLON",IF($B192="","DATE MANQUANTE",IF($E192="","ESPECE MANQUANTE",IF($F192="","PRODUIT MANQUANT",IF($T192="","STATUT RUN MANQUANT",IF(COUNTIF($L192:$S192,"INACTIVE")=8,"AUCUNE LIGNE ACTIVE","RUN VALIDE")))))))</f>
        <v/>
      </c>
    </row>
    <row r="193" ht="16" customHeight="1">
      <c r="A193" s="14" t="n"/>
      <c r="B193" s="15" t="n"/>
      <c r="C193" s="16" t="n"/>
      <c r="D193" s="16" t="n"/>
      <c r="E193" s="9" t="n"/>
      <c r="F193" s="10" t="n"/>
      <c r="G193" s="10" t="n"/>
      <c r="H193" s="9" t="n"/>
      <c r="I193" s="10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17">
        <f>IF($A193="","",IF(COUNTIF(RUNS!$A$6:$A$1005,$A193)&gt;1,"ID RUN EN DOUBLON",IF($B193="","DATE MANQUANTE",IF($E193="","ESPECE MANQUANTE",IF($F193="","PRODUIT MANQUANT",IF($T193="","STATUT RUN MANQUANT",IF(COUNTIF($L193:$S193,"INACTIVE")=8,"AUCUNE LIGNE ACTIVE","RUN VALIDE")))))))</f>
        <v/>
      </c>
    </row>
    <row r="194" ht="16" customHeight="1">
      <c r="A194" s="14" t="n"/>
      <c r="B194" s="15" t="n"/>
      <c r="C194" s="16" t="n"/>
      <c r="D194" s="16" t="n"/>
      <c r="E194" s="9" t="n"/>
      <c r="F194" s="10" t="n"/>
      <c r="G194" s="10" t="n"/>
      <c r="H194" s="9" t="n"/>
      <c r="I194" s="10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17">
        <f>IF($A194="","",IF(COUNTIF(RUNS!$A$6:$A$1005,$A194)&gt;1,"ID RUN EN DOUBLON",IF($B194="","DATE MANQUANTE",IF($E194="","ESPECE MANQUANTE",IF($F194="","PRODUIT MANQUANT",IF($T194="","STATUT RUN MANQUANT",IF(COUNTIF($L194:$S194,"INACTIVE")=8,"AUCUNE LIGNE ACTIVE","RUN VALIDE")))))))</f>
        <v/>
      </c>
    </row>
    <row r="195" ht="16" customHeight="1">
      <c r="A195" s="14" t="n"/>
      <c r="B195" s="15" t="n"/>
      <c r="C195" s="16" t="n"/>
      <c r="D195" s="16" t="n"/>
      <c r="E195" s="9" t="n"/>
      <c r="F195" s="10" t="n"/>
      <c r="G195" s="10" t="n"/>
      <c r="H195" s="9" t="n"/>
      <c r="I195" s="10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17">
        <f>IF($A195="","",IF(COUNTIF(RUNS!$A$6:$A$1005,$A195)&gt;1,"ID RUN EN DOUBLON",IF($B195="","DATE MANQUANTE",IF($E195="","ESPECE MANQUANTE",IF($F195="","PRODUIT MANQUANT",IF($T195="","STATUT RUN MANQUANT",IF(COUNTIF($L195:$S195,"INACTIVE")=8,"AUCUNE LIGNE ACTIVE","RUN VALIDE")))))))</f>
        <v/>
      </c>
    </row>
    <row r="196" ht="16" customHeight="1">
      <c r="A196" s="14" t="n"/>
      <c r="B196" s="15" t="n"/>
      <c r="C196" s="16" t="n"/>
      <c r="D196" s="16" t="n"/>
      <c r="E196" s="9" t="n"/>
      <c r="F196" s="10" t="n"/>
      <c r="G196" s="10" t="n"/>
      <c r="H196" s="9" t="n"/>
      <c r="I196" s="10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17">
        <f>IF($A196="","",IF(COUNTIF(RUNS!$A$6:$A$1005,$A196)&gt;1,"ID RUN EN DOUBLON",IF($B196="","DATE MANQUANTE",IF($E196="","ESPECE MANQUANTE",IF($F196="","PRODUIT MANQUANT",IF($T196="","STATUT RUN MANQUANT",IF(COUNTIF($L196:$S196,"INACTIVE")=8,"AUCUNE LIGNE ACTIVE","RUN VALIDE")))))))</f>
        <v/>
      </c>
    </row>
    <row r="197" ht="16" customHeight="1">
      <c r="A197" s="14" t="n"/>
      <c r="B197" s="15" t="n"/>
      <c r="C197" s="16" t="n"/>
      <c r="D197" s="16" t="n"/>
      <c r="E197" s="9" t="n"/>
      <c r="F197" s="10" t="n"/>
      <c r="G197" s="10" t="n"/>
      <c r="H197" s="9" t="n"/>
      <c r="I197" s="10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17">
        <f>IF($A197="","",IF(COUNTIF(RUNS!$A$6:$A$1005,$A197)&gt;1,"ID RUN EN DOUBLON",IF($B197="","DATE MANQUANTE",IF($E197="","ESPECE MANQUANTE",IF($F197="","PRODUIT MANQUANT",IF($T197="","STATUT RUN MANQUANT",IF(COUNTIF($L197:$S197,"INACTIVE")=8,"AUCUNE LIGNE ACTIVE","RUN VALIDE")))))))</f>
        <v/>
      </c>
    </row>
    <row r="198" ht="16" customHeight="1">
      <c r="A198" s="14" t="n"/>
      <c r="B198" s="15" t="n"/>
      <c r="C198" s="16" t="n"/>
      <c r="D198" s="16" t="n"/>
      <c r="E198" s="9" t="n"/>
      <c r="F198" s="10" t="n"/>
      <c r="G198" s="10" t="n"/>
      <c r="H198" s="9" t="n"/>
      <c r="I198" s="10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17">
        <f>IF($A198="","",IF(COUNTIF(RUNS!$A$6:$A$1005,$A198)&gt;1,"ID RUN EN DOUBLON",IF($B198="","DATE MANQUANTE",IF($E198="","ESPECE MANQUANTE",IF($F198="","PRODUIT MANQUANT",IF($T198="","STATUT RUN MANQUANT",IF(COUNTIF($L198:$S198,"INACTIVE")=8,"AUCUNE LIGNE ACTIVE","RUN VALIDE")))))))</f>
        <v/>
      </c>
    </row>
    <row r="199" ht="16" customHeight="1">
      <c r="A199" s="14" t="n"/>
      <c r="B199" s="15" t="n"/>
      <c r="C199" s="16" t="n"/>
      <c r="D199" s="16" t="n"/>
      <c r="E199" s="9" t="n"/>
      <c r="F199" s="10" t="n"/>
      <c r="G199" s="10" t="n"/>
      <c r="H199" s="9" t="n"/>
      <c r="I199" s="10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17">
        <f>IF($A199="","",IF(COUNTIF(RUNS!$A$6:$A$1005,$A199)&gt;1,"ID RUN EN DOUBLON",IF($B199="","DATE MANQUANTE",IF($E199="","ESPECE MANQUANTE",IF($F199="","PRODUIT MANQUANT",IF($T199="","STATUT RUN MANQUANT",IF(COUNTIF($L199:$S199,"INACTIVE")=8,"AUCUNE LIGNE ACTIVE","RUN VALIDE")))))))</f>
        <v/>
      </c>
    </row>
    <row r="200" ht="16" customHeight="1">
      <c r="A200" s="14" t="n"/>
      <c r="B200" s="15" t="n"/>
      <c r="C200" s="16" t="n"/>
      <c r="D200" s="16" t="n"/>
      <c r="E200" s="9" t="n"/>
      <c r="F200" s="10" t="n"/>
      <c r="G200" s="10" t="n"/>
      <c r="H200" s="9" t="n"/>
      <c r="I200" s="10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17">
        <f>IF($A200="","",IF(COUNTIF(RUNS!$A$6:$A$1005,$A200)&gt;1,"ID RUN EN DOUBLON",IF($B200="","DATE MANQUANTE",IF($E200="","ESPECE MANQUANTE",IF($F200="","PRODUIT MANQUANT",IF($T200="","STATUT RUN MANQUANT",IF(COUNTIF($L200:$S200,"INACTIVE")=8,"AUCUNE LIGNE ACTIVE","RUN VALIDE")))))))</f>
        <v/>
      </c>
    </row>
    <row r="201" ht="16" customHeight="1">
      <c r="A201" s="14" t="n"/>
      <c r="B201" s="15" t="n"/>
      <c r="C201" s="16" t="n"/>
      <c r="D201" s="16" t="n"/>
      <c r="E201" s="9" t="n"/>
      <c r="F201" s="10" t="n"/>
      <c r="G201" s="10" t="n"/>
      <c r="H201" s="9" t="n"/>
      <c r="I201" s="10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17">
        <f>IF($A201="","",IF(COUNTIF(RUNS!$A$6:$A$1005,$A201)&gt;1,"ID RUN EN DOUBLON",IF($B201="","DATE MANQUANTE",IF($E201="","ESPECE MANQUANTE",IF($F201="","PRODUIT MANQUANT",IF($T201="","STATUT RUN MANQUANT",IF(COUNTIF($L201:$S201,"INACTIVE")=8,"AUCUNE LIGNE ACTIVE","RUN VALIDE")))))))</f>
        <v/>
      </c>
    </row>
    <row r="202" ht="16" customHeight="1">
      <c r="A202" s="14" t="n"/>
      <c r="B202" s="15" t="n"/>
      <c r="C202" s="16" t="n"/>
      <c r="D202" s="16" t="n"/>
      <c r="E202" s="9" t="n"/>
      <c r="F202" s="10" t="n"/>
      <c r="G202" s="10" t="n"/>
      <c r="H202" s="9" t="n"/>
      <c r="I202" s="10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17">
        <f>IF($A202="","",IF(COUNTIF(RUNS!$A$6:$A$1005,$A202)&gt;1,"ID RUN EN DOUBLON",IF($B202="","DATE MANQUANTE",IF($E202="","ESPECE MANQUANTE",IF($F202="","PRODUIT MANQUANT",IF($T202="","STATUT RUN MANQUANT",IF(COUNTIF($L202:$S202,"INACTIVE")=8,"AUCUNE LIGNE ACTIVE","RUN VALIDE")))))))</f>
        <v/>
      </c>
    </row>
    <row r="203" ht="16" customHeight="1">
      <c r="A203" s="14" t="n"/>
      <c r="B203" s="15" t="n"/>
      <c r="C203" s="16" t="n"/>
      <c r="D203" s="16" t="n"/>
      <c r="E203" s="9" t="n"/>
      <c r="F203" s="10" t="n"/>
      <c r="G203" s="10" t="n"/>
      <c r="H203" s="9" t="n"/>
      <c r="I203" s="10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17">
        <f>IF($A203="","",IF(COUNTIF(RUNS!$A$6:$A$1005,$A203)&gt;1,"ID RUN EN DOUBLON",IF($B203="","DATE MANQUANTE",IF($E203="","ESPECE MANQUANTE",IF($F203="","PRODUIT MANQUANT",IF($T203="","STATUT RUN MANQUANT",IF(COUNTIF($L203:$S203,"INACTIVE")=8,"AUCUNE LIGNE ACTIVE","RUN VALIDE")))))))</f>
        <v/>
      </c>
    </row>
    <row r="204" ht="16" customHeight="1">
      <c r="A204" s="14" t="n"/>
      <c r="B204" s="15" t="n"/>
      <c r="C204" s="16" t="n"/>
      <c r="D204" s="16" t="n"/>
      <c r="E204" s="9" t="n"/>
      <c r="F204" s="10" t="n"/>
      <c r="G204" s="10" t="n"/>
      <c r="H204" s="9" t="n"/>
      <c r="I204" s="10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17">
        <f>IF($A204="","",IF(COUNTIF(RUNS!$A$6:$A$1005,$A204)&gt;1,"ID RUN EN DOUBLON",IF($B204="","DATE MANQUANTE",IF($E204="","ESPECE MANQUANTE",IF($F204="","PRODUIT MANQUANT",IF($T204="","STATUT RUN MANQUANT",IF(COUNTIF($L204:$S204,"INACTIVE")=8,"AUCUNE LIGNE ACTIVE","RUN VALIDE")))))))</f>
        <v/>
      </c>
    </row>
    <row r="205" ht="16" customHeight="1">
      <c r="A205" s="14" t="n"/>
      <c r="B205" s="15" t="n"/>
      <c r="C205" s="16" t="n"/>
      <c r="D205" s="16" t="n"/>
      <c r="E205" s="9" t="n"/>
      <c r="F205" s="10" t="n"/>
      <c r="G205" s="10" t="n"/>
      <c r="H205" s="9" t="n"/>
      <c r="I205" s="10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17">
        <f>IF($A205="","",IF(COUNTIF(RUNS!$A$6:$A$1005,$A205)&gt;1,"ID RUN EN DOUBLON",IF($B205="","DATE MANQUANTE",IF($E205="","ESPECE MANQUANTE",IF($F205="","PRODUIT MANQUANT",IF($T205="","STATUT RUN MANQUANT",IF(COUNTIF($L205:$S205,"INACTIVE")=8,"AUCUNE LIGNE ACTIVE","RUN VALIDE")))))))</f>
        <v/>
      </c>
    </row>
  </sheetData>
  <mergeCells count="3">
    <mergeCell ref="A1:U1"/>
    <mergeCell ref="A4:U4"/>
    <mergeCell ref="A2:U2"/>
  </mergeCells>
  <conditionalFormatting sqref="T6:T205">
    <cfRule type="expression" priority="1" dxfId="0" stopIfTrue="0">
      <formula>=$T6="ACTIF"</formula>
    </cfRule>
    <cfRule type="expression" priority="2" dxfId="1" stopIfTrue="0">
      <formula>=$T6="CLOTURE"</formula>
    </cfRule>
    <cfRule type="expression" priority="3" dxfId="2" stopIfTrue="0">
      <formula>=$T6="ANNULE"</formula>
    </cfRule>
  </conditionalFormatting>
  <conditionalFormatting sqref="U6:U205">
    <cfRule type="expression" priority="4" dxfId="3" stopIfTrue="0">
      <formula>=AND($U6&lt;&gt;"",$U6&lt;&gt;"RUN VALIDE")</formula>
    </cfRule>
  </conditionalFormatting>
  <dataValidations count="8">
    <dataValidation sqref="E6:E205" showDropDown="0" showInputMessage="0" showErrorMessage="1" allowBlank="1" errorTitle="SAISIE REFUSEE" error="Valeur non autorisee. Choisir une valeur proposee dans la liste." type="list">
      <formula1>=ListeEspeces</formula1>
    </dataValidation>
    <dataValidation sqref="F6:F205" showDropDown="0" showInputMessage="0" showErrorMessage="1" allowBlank="1" errorTitle="SAISIE REFUSEE" error="Valeur non autorisee. Choisir une valeur proposee dans la liste." type="list">
      <formula1>=ListeProduits</formula1>
    </dataValidation>
    <dataValidation sqref="G6:G205" showDropDown="0" showInputMessage="0" showErrorMessage="1" allowBlank="1" errorTitle="SAISIE REFUSEE" error="Valeur non autorisee. Choisir une valeur proposee dans la liste." type="list">
      <formula1>=ListeMarques</formula1>
    </dataValidation>
    <dataValidation sqref="H6:H205" showDropDown="0" showInputMessage="0" showErrorMessage="1" allowBlank="1" errorTitle="SAISIE REFUSEE" error="Valeur non autorisee. Choisir une valeur proposee dans la liste." type="list">
      <formula1>=ListeFormats</formula1>
    </dataValidation>
    <dataValidation sqref="J6:J205" showDropDown="0" showInputMessage="0" showErrorMessage="1" allowBlank="1" errorTitle="SAISIE REFUSEE" error="Valeur non autorisee. Choisir une valeur proposee dans la liste." type="list">
      <formula1>=ListePreparations</formula1>
    </dataValidation>
    <dataValidation sqref="K6:K205" showDropDown="0" showInputMessage="0" showErrorMessage="1" allowBlank="1" errorTitle="SAISIE REFUSEE" error="Valeur non autorisee. Choisir une valeur proposee dans la liste." type="list">
      <formula1>=ListeMoules</formula1>
    </dataValidation>
    <dataValidation sqref="L6:S205" showDropDown="0" showInputMessage="0" showErrorMessage="1" allowBlank="1" errorTitle="SAISIE REFUSEE" error="Valeur non autorisee. Choisir une valeur proposee dans la liste." type="list">
      <formula1>=ListeActivites</formula1>
    </dataValidation>
    <dataValidation sqref="T6:T205" showDropDown="0" showInputMessage="0" showErrorMessage="1" allowBlank="1" errorTitle="SAISIE REFUSEE" error="Valeur non autorisee. Choisir une valeur proposee dans la liste." type="list">
      <formula1>=ListeStatutsRun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FF7F3F"/>
    <outlinePr summaryBelow="1" summaryRight="1"/>
    <pageSetUpPr/>
  </sheetPr>
  <dimension ref="A1:I54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14" customWidth="1" min="4" max="4"/>
    <col width="30" customWidth="1" min="5" max="5"/>
    <col width="26" customWidth="1" min="6" max="6"/>
    <col width="18" customWidth="1" min="7" max="7"/>
    <col width="22" customWidth="1" min="8" max="8"/>
    <col width="16" customWidth="1" min="9" max="9"/>
  </cols>
  <sheetData>
    <row r="1" ht="30" customHeight="1">
      <c r="A1" s="1" t="inlineStr">
        <is>
          <t>SAISIE CONTROLE — TERRAIN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1. Choisir RUN / TOUR / LIGNE   2. Saisir HEURE DU CONTROLE et EFFECTIF PRESENT   3. Saisir MATRICULE + NB BOITES pour chaque femme   4. Copier le bloc de transfert vers BASE CONTROLES (collage special : valeurs).</t>
        </is>
      </c>
    </row>
    <row r="3" ht="21" customHeight="1">
      <c r="A3" s="4" t="inlineStr">
        <is>
          <t>CONTEXTE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 ht="21" customHeight="1">
      <c r="B4" s="18" t="inlineStr">
        <is>
          <t>RUN ACTIF</t>
        </is>
      </c>
      <c r="C4" s="9" t="n"/>
      <c r="E4" s="18" t="inlineStr">
        <is>
          <t>DATE DU RUN</t>
        </is>
      </c>
      <c r="F4" s="19">
        <f>IF($C$4="","",IFERROR(IF(INDEX(RUNS!$B$6:$B$1005,MATCH($C$4,RUNS!$A$6:$A$1005,0))="","",INDEX(RUNS!$B$6:$B$1005,MATCH($C$4,RUNS!$A$6:$A$1005,0))),""))</f>
        <v/>
      </c>
      <c r="G4" s="18" t="inlineStr">
        <is>
          <t>ESPÈCE</t>
        </is>
      </c>
      <c r="H4" s="20">
        <f>IF($C$4="","",IFERROR(IF(INDEX(RUNS!$E$6:$E$1005,MATCH($C$4,RUNS!$A$6:$A$1005,0))="","",INDEX(RUNS!$E$6:$E$1005,MATCH($C$4,RUNS!$A$6:$A$1005,0))),""))</f>
        <v/>
      </c>
    </row>
    <row r="5" ht="21" customHeight="1">
      <c r="B5" s="18" t="inlineStr">
        <is>
          <t>TOUR</t>
        </is>
      </c>
      <c r="C5" s="9" t="n"/>
      <c r="E5" s="18" t="inlineStr">
        <is>
          <t>PRODUIT</t>
        </is>
      </c>
      <c r="F5" s="20">
        <f>IF($C$4="","",IFERROR(IF(INDEX(RUNS!$F$6:$F$1005,MATCH($C$4,RUNS!$A$6:$A$1005,0))="","",INDEX(RUNS!$F$6:$F$1005,MATCH($C$4,RUNS!$A$6:$A$1005,0))),""))</f>
        <v/>
      </c>
      <c r="G5" s="18" t="inlineStr">
        <is>
          <t>PRÉPARATION</t>
        </is>
      </c>
      <c r="H5" s="20">
        <f>IF($C$4="","",IFERROR(IF(INDEX(RUNS!$J$6:$J$1005,MATCH($C$4,RUNS!$A$6:$A$1005,0))="","",INDEX(RUNS!$J$6:$J$1005,MATCH($C$4,RUNS!$A$6:$A$1005,0))),""))</f>
        <v/>
      </c>
    </row>
    <row r="6" ht="21" customHeight="1">
      <c r="B6" s="18" t="inlineStr">
        <is>
          <t>LIGNE</t>
        </is>
      </c>
      <c r="C6" s="9" t="n"/>
      <c r="E6" s="18" t="inlineStr">
        <is>
          <t>MARQUE</t>
        </is>
      </c>
      <c r="F6" s="20">
        <f>IF($C$4="","",IFERROR(IF(INDEX(RUNS!$G$6:$G$1005,MATCH($C$4,RUNS!$A$6:$A$1005,0))="","",INDEX(RUNS!$G$6:$G$1005,MATCH($C$4,RUNS!$A$6:$A$1005,0))),""))</f>
        <v/>
      </c>
      <c r="G6" s="18" t="inlineStr">
        <is>
          <t>MOULE</t>
        </is>
      </c>
      <c r="H6" s="20">
        <f>IF($C$4="","",IFERROR(IF(INDEX(RUNS!$K$6:$K$1005,MATCH($C$4,RUNS!$A$6:$A$1005,0))="","",INDEX(RUNS!$K$6:$K$1005,MATCH($C$4,RUNS!$A$6:$A$1005,0))),""))</f>
        <v/>
      </c>
    </row>
    <row r="7" ht="21" customHeight="1">
      <c r="B7" s="18" t="inlineStr">
        <is>
          <t>HEURE DU CONTROLE</t>
        </is>
      </c>
      <c r="C7" s="16" t="n"/>
      <c r="E7" s="18" t="inlineStr">
        <is>
          <t>FORMAT</t>
        </is>
      </c>
      <c r="F7" s="20">
        <f>IF($C$4="","",IFERROR(IF(INDEX(RUNS!$H$6:$H$1005,MATCH($C$4,RUNS!$A$6:$A$1005,0))="","",INDEX(RUNS!$H$6:$H$1005,MATCH($C$4,RUNS!$A$6:$A$1005,0))),""))</f>
        <v/>
      </c>
      <c r="G7" s="18" t="inlineStr">
        <is>
          <t>ACTIVITÉ LIGNE</t>
        </is>
      </c>
      <c r="H7" s="20">
        <f>IF($C$4="","",IFERROR(IF(INDEX(RUNS!$L$6:$S$1005,MATCH($C$4,RUNS!$A$6:$A$1005,0),MATCH("ACTIVITÉ "&amp;$C$6,RUNS!$L$5:$S$5,0))="","",INDEX(RUNS!$L$6:$S$1005,MATCH($C$4,RUNS!$A$6:$A$1005,0),MATCH("ACTIVITÉ "&amp;$C$6,RUNS!$L$5:$S$5,0))),""))</f>
        <v/>
      </c>
    </row>
    <row r="8" ht="21" customHeight="1">
      <c r="B8" s="18" t="inlineStr">
        <is>
          <t>EFFECTIF PRESENT</t>
        </is>
      </c>
      <c r="C8" s="21" t="n"/>
      <c r="E8" s="18" t="inlineStr">
        <is>
          <t>CONFIGURATION</t>
        </is>
      </c>
      <c r="F8" s="20">
        <f>IF($C$4="","",_xlfn.TEXTJOIN(" / ",TRUE,$H$4,$F$5,$F$6,$F$7,$H$5,$H$6,$H$7))</f>
        <v/>
      </c>
      <c r="G8" s="18" t="inlineStr">
        <is>
          <t>STANDARD</t>
        </is>
      </c>
      <c r="H8" s="22">
        <f>IF(OR($C$4="",$C$6=""),"",IFERROR(IF(INDEX(PARAMETRES!$H$43:$H$342,MATCH($H$4&amp;"|"&amp;$F$5&amp;"|"&amp;$F$6&amp;"|"&amp;$F$7&amp;"|"&amp;$H$5&amp;"|"&amp;$H$6&amp;"|"&amp;$H$7,PARAMETRES!$J$43:$J$342,0))="","",INDEX(PARAMETRES!$H$43:$H$342,MATCH($H$4&amp;"|"&amp;$F$5&amp;"|"&amp;$F$6&amp;"|"&amp;$F$7&amp;"|"&amp;$H$5&amp;"|"&amp;$H$6&amp;"|"&amp;$H$7,PARAMETRES!$J$43:$J$342,0))),""))</f>
        <v/>
      </c>
    </row>
    <row r="9" ht="21" customHeight="1">
      <c r="B9" s="18" t="inlineStr">
        <is>
          <t>ETAT DU CONTEXTE</t>
        </is>
      </c>
      <c r="C9" s="23">
        <f>IF($C$4="","SELECTIONNER UN RUN",IF(IFERROR(IF(INDEX(RUNS!$T$6:$T$1005,MATCH($C$4,RUNS!$A$6:$A$1005,0))="","",INDEX(RUNS!$T$6:$T$1005,MATCH($C$4,RUNS!$A$6:$A$1005,0))),"")&lt;&gt;"ACTIF","ATTENTION : RUN NON ACTIF",IF($C$5="","SELECTIONNER UN TOUR",IF($C$6="","SELECTIONNER UNE LIGNE",IF($C$7="","SAISIR L'HEURE DU CONTROLE",IF($C$8="","SAISIR L'EFFECTIF PRESENT",IF($H$7="INACTIVE","ATTENTION : LIGNE INACTIVE SUR CE RUN",IF($H$7="","ATTENTION : ACTIVITE NON DEFINIE POUR CETTE LIGNE",IF($H$8="","ATTENTION : STANDARD MANQUANT POUR CETTE CONFIGURATION","CONTEXTE COMPLET — SAISIE POSSIBLE")))))))))</f>
        <v/>
      </c>
    </row>
    <row r="11" ht="21" customHeight="1">
      <c r="A11" s="4" t="inlineStr">
        <is>
          <t>SAISIE DES CONTROLES — MATRICULE + NB BOITES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 ht="33" customHeight="1">
      <c r="A12" s="24" t="inlineStr">
        <is>
          <t>N°</t>
        </is>
      </c>
      <c r="B12" s="24" t="inlineStr">
        <is>
          <t>MATRICULE</t>
        </is>
      </c>
      <c r="C12" s="24" t="inlineStr">
        <is>
          <t>NOM ET PRENOM</t>
        </is>
      </c>
      <c r="D12" s="24" t="inlineStr">
        <is>
          <t>NB BOÎTES</t>
        </is>
      </c>
      <c r="E12" s="24" t="inlineStr">
        <is>
          <t>STATUT SAISIE</t>
        </is>
      </c>
    </row>
    <row r="13" ht="20" customHeight="1">
      <c r="A13" s="25" t="n">
        <v>1</v>
      </c>
      <c r="B13" s="13" t="n"/>
      <c r="C13" s="17">
        <f>IF($B13="","",IFERROR(INDEX(NomsEmployes,MATCH($B13,MatriculesEmployes,0)),"MATRICULE INCONNU"))</f>
        <v/>
      </c>
      <c r="D13" s="21" t="n"/>
      <c r="E13" s="20">
        <f>IF($B13="","",IF(ISNA(MATCH($B13,MatriculesEmployes,0)),"MATRICULE INCONNU",IF(COUNTIF($B$13:$B13,$B13)&gt;1,"MATRICULE DEJA CONTROLE",IF(COUNTIFS('BASE CONTROLES'!$D$4:$D$50003,$C$4,'BASE CONTROLES'!$E$4:$E$50003,$C$5,'BASE CONTROLES'!$F$4:$F$50003,$C$6,'BASE CONTROLES'!$G$4:$G$50003,$B13)&gt;0,"MATRICULE DEJA CONTROLE",IF($D13="","SAISIR NB BOITES",IF($D13&lt;=0,"NB BOITES INVALIDE","SAISIE VALIDE"))))))</f>
        <v/>
      </c>
    </row>
    <row r="14" ht="20" customHeight="1">
      <c r="A14" s="25" t="n">
        <v>2</v>
      </c>
      <c r="B14" s="13" t="n"/>
      <c r="C14" s="17">
        <f>IF($B14="","",IFERROR(INDEX(NomsEmployes,MATCH($B14,MatriculesEmployes,0)),"MATRICULE INCONNU"))</f>
        <v/>
      </c>
      <c r="D14" s="21" t="n"/>
      <c r="E14" s="20">
        <f>IF($B14="","",IF(ISNA(MATCH($B14,MatriculesEmployes,0)),"MATRICULE INCONNU",IF(COUNTIF($B$13:$B14,$B14)&gt;1,"MATRICULE DEJA CONTROLE",IF(COUNTIFS('BASE CONTROLES'!$D$4:$D$50003,$C$4,'BASE CONTROLES'!$E$4:$E$50003,$C$5,'BASE CONTROLES'!$F$4:$F$50003,$C$6,'BASE CONTROLES'!$G$4:$G$50003,$B14)&gt;0,"MATRICULE DEJA CONTROLE",IF($D14="","SAISIR NB BOITES",IF($D14&lt;=0,"NB BOITES INVALIDE","SAISIE VALIDE"))))))</f>
        <v/>
      </c>
    </row>
    <row r="15" ht="20" customHeight="1">
      <c r="A15" s="25" t="n">
        <v>3</v>
      </c>
      <c r="B15" s="13" t="n"/>
      <c r="C15" s="17">
        <f>IF($B15="","",IFERROR(INDEX(NomsEmployes,MATCH($B15,MatriculesEmployes,0)),"MATRICULE INCONNU"))</f>
        <v/>
      </c>
      <c r="D15" s="21" t="n"/>
      <c r="E15" s="20">
        <f>IF($B15="","",IF(ISNA(MATCH($B15,MatriculesEmployes,0)),"MATRICULE INCONNU",IF(COUNTIF($B$13:$B15,$B15)&gt;1,"MATRICULE DEJA CONTROLE",IF(COUNTIFS('BASE CONTROLES'!$D$4:$D$50003,$C$4,'BASE CONTROLES'!$E$4:$E$50003,$C$5,'BASE CONTROLES'!$F$4:$F$50003,$C$6,'BASE CONTROLES'!$G$4:$G$50003,$B15)&gt;0,"MATRICULE DEJA CONTROLE",IF($D15="","SAISIR NB BOITES",IF($D15&lt;=0,"NB BOITES INVALIDE","SAISIE VALIDE"))))))</f>
        <v/>
      </c>
    </row>
    <row r="16" ht="20" customHeight="1">
      <c r="A16" s="25" t="n">
        <v>4</v>
      </c>
      <c r="B16" s="13" t="n"/>
      <c r="C16" s="17">
        <f>IF($B16="","",IFERROR(INDEX(NomsEmployes,MATCH($B16,MatriculesEmployes,0)),"MATRICULE INCONNU"))</f>
        <v/>
      </c>
      <c r="D16" s="21" t="n"/>
      <c r="E16" s="20">
        <f>IF($B16="","",IF(ISNA(MATCH($B16,MatriculesEmployes,0)),"MATRICULE INCONNU",IF(COUNTIF($B$13:$B16,$B16)&gt;1,"MATRICULE DEJA CONTROLE",IF(COUNTIFS('BASE CONTROLES'!$D$4:$D$50003,$C$4,'BASE CONTROLES'!$E$4:$E$50003,$C$5,'BASE CONTROLES'!$F$4:$F$50003,$C$6,'BASE CONTROLES'!$G$4:$G$50003,$B16)&gt;0,"MATRICULE DEJA CONTROLE",IF($D16="","SAISIR NB BOITES",IF($D16&lt;=0,"NB BOITES INVALIDE","SAISIE VALIDE"))))))</f>
        <v/>
      </c>
    </row>
    <row r="17" ht="20" customHeight="1">
      <c r="A17" s="25" t="n">
        <v>5</v>
      </c>
      <c r="B17" s="13" t="n"/>
      <c r="C17" s="17">
        <f>IF($B17="","",IFERROR(INDEX(NomsEmployes,MATCH($B17,MatriculesEmployes,0)),"MATRICULE INCONNU"))</f>
        <v/>
      </c>
      <c r="D17" s="21" t="n"/>
      <c r="E17" s="20">
        <f>IF($B17="","",IF(ISNA(MATCH($B17,MatriculesEmployes,0)),"MATRICULE INCONNU",IF(COUNTIF($B$13:$B17,$B17)&gt;1,"MATRICULE DEJA CONTROLE",IF(COUNTIFS('BASE CONTROLES'!$D$4:$D$50003,$C$4,'BASE CONTROLES'!$E$4:$E$50003,$C$5,'BASE CONTROLES'!$F$4:$F$50003,$C$6,'BASE CONTROLES'!$G$4:$G$50003,$B17)&gt;0,"MATRICULE DEJA CONTROLE",IF($D17="","SAISIR NB BOITES",IF($D17&lt;=0,"NB BOITES INVALIDE","SAISIE VALIDE"))))))</f>
        <v/>
      </c>
    </row>
    <row r="18" ht="20" customHeight="1">
      <c r="A18" s="25" t="n">
        <v>6</v>
      </c>
      <c r="B18" s="13" t="n"/>
      <c r="C18" s="17">
        <f>IF($B18="","",IFERROR(INDEX(NomsEmployes,MATCH($B18,MatriculesEmployes,0)),"MATRICULE INCONNU"))</f>
        <v/>
      </c>
      <c r="D18" s="21" t="n"/>
      <c r="E18" s="20">
        <f>IF($B18="","",IF(ISNA(MATCH($B18,MatriculesEmployes,0)),"MATRICULE INCONNU",IF(COUNTIF($B$13:$B18,$B18)&gt;1,"MATRICULE DEJA CONTROLE",IF(COUNTIFS('BASE CONTROLES'!$D$4:$D$50003,$C$4,'BASE CONTROLES'!$E$4:$E$50003,$C$5,'BASE CONTROLES'!$F$4:$F$50003,$C$6,'BASE CONTROLES'!$G$4:$G$50003,$B18)&gt;0,"MATRICULE DEJA CONTROLE",IF($D18="","SAISIR NB BOITES",IF($D18&lt;=0,"NB BOITES INVALIDE","SAISIE VALIDE"))))))</f>
        <v/>
      </c>
    </row>
    <row r="19" ht="20" customHeight="1">
      <c r="A19" s="25" t="n">
        <v>7</v>
      </c>
      <c r="B19" s="13" t="n"/>
      <c r="C19" s="17">
        <f>IF($B19="","",IFERROR(INDEX(NomsEmployes,MATCH($B19,MatriculesEmployes,0)),"MATRICULE INCONNU"))</f>
        <v/>
      </c>
      <c r="D19" s="21" t="n"/>
      <c r="E19" s="20">
        <f>IF($B19="","",IF(ISNA(MATCH($B19,MatriculesEmployes,0)),"MATRICULE INCONNU",IF(COUNTIF($B$13:$B19,$B19)&gt;1,"MATRICULE DEJA CONTROLE",IF(COUNTIFS('BASE CONTROLES'!$D$4:$D$50003,$C$4,'BASE CONTROLES'!$E$4:$E$50003,$C$5,'BASE CONTROLES'!$F$4:$F$50003,$C$6,'BASE CONTROLES'!$G$4:$G$50003,$B19)&gt;0,"MATRICULE DEJA CONTROLE",IF($D19="","SAISIR NB BOITES",IF($D19&lt;=0,"NB BOITES INVALIDE","SAISIE VALIDE"))))))</f>
        <v/>
      </c>
    </row>
    <row r="20" ht="20" customHeight="1">
      <c r="A20" s="25" t="n">
        <v>8</v>
      </c>
      <c r="B20" s="13" t="n"/>
      <c r="C20" s="17">
        <f>IF($B20="","",IFERROR(INDEX(NomsEmployes,MATCH($B20,MatriculesEmployes,0)),"MATRICULE INCONNU"))</f>
        <v/>
      </c>
      <c r="D20" s="21" t="n"/>
      <c r="E20" s="20">
        <f>IF($B20="","",IF(ISNA(MATCH($B20,MatriculesEmployes,0)),"MATRICULE INCONNU",IF(COUNTIF($B$13:$B20,$B20)&gt;1,"MATRICULE DEJA CONTROLE",IF(COUNTIFS('BASE CONTROLES'!$D$4:$D$50003,$C$4,'BASE CONTROLES'!$E$4:$E$50003,$C$5,'BASE CONTROLES'!$F$4:$F$50003,$C$6,'BASE CONTROLES'!$G$4:$G$50003,$B20)&gt;0,"MATRICULE DEJA CONTROLE",IF($D20="","SAISIR NB BOITES",IF($D20&lt;=0,"NB BOITES INVALIDE","SAISIE VALIDE"))))))</f>
        <v/>
      </c>
    </row>
    <row r="21" ht="20" customHeight="1">
      <c r="A21" s="25" t="n">
        <v>9</v>
      </c>
      <c r="B21" s="13" t="n"/>
      <c r="C21" s="17">
        <f>IF($B21="","",IFERROR(INDEX(NomsEmployes,MATCH($B21,MatriculesEmployes,0)),"MATRICULE INCONNU"))</f>
        <v/>
      </c>
      <c r="D21" s="21" t="n"/>
      <c r="E21" s="20">
        <f>IF($B21="","",IF(ISNA(MATCH($B21,MatriculesEmployes,0)),"MATRICULE INCONNU",IF(COUNTIF($B$13:$B21,$B21)&gt;1,"MATRICULE DEJA CONTROLE",IF(COUNTIFS('BASE CONTROLES'!$D$4:$D$50003,$C$4,'BASE CONTROLES'!$E$4:$E$50003,$C$5,'BASE CONTROLES'!$F$4:$F$50003,$C$6,'BASE CONTROLES'!$G$4:$G$50003,$B21)&gt;0,"MATRICULE DEJA CONTROLE",IF($D21="","SAISIR NB BOITES",IF($D21&lt;=0,"NB BOITES INVALIDE","SAISIE VALIDE"))))))</f>
        <v/>
      </c>
    </row>
    <row r="22" ht="20" customHeight="1">
      <c r="A22" s="25" t="n">
        <v>10</v>
      </c>
      <c r="B22" s="13" t="n"/>
      <c r="C22" s="17">
        <f>IF($B22="","",IFERROR(INDEX(NomsEmployes,MATCH($B22,MatriculesEmployes,0)),"MATRICULE INCONNU"))</f>
        <v/>
      </c>
      <c r="D22" s="21" t="n"/>
      <c r="E22" s="20">
        <f>IF($B22="","",IF(ISNA(MATCH($B22,MatriculesEmployes,0)),"MATRICULE INCONNU",IF(COUNTIF($B$13:$B22,$B22)&gt;1,"MATRICULE DEJA CONTROLE",IF(COUNTIFS('BASE CONTROLES'!$D$4:$D$50003,$C$4,'BASE CONTROLES'!$E$4:$E$50003,$C$5,'BASE CONTROLES'!$F$4:$F$50003,$C$6,'BASE CONTROLES'!$G$4:$G$50003,$B22)&gt;0,"MATRICULE DEJA CONTROLE",IF($D22="","SAISIR NB BOITES",IF($D22&lt;=0,"NB BOITES INVALIDE","SAISIE VALIDE"))))))</f>
        <v/>
      </c>
    </row>
    <row r="23" ht="20" customHeight="1">
      <c r="A23" s="25" t="n">
        <v>11</v>
      </c>
      <c r="B23" s="13" t="n"/>
      <c r="C23" s="17">
        <f>IF($B23="","",IFERROR(INDEX(NomsEmployes,MATCH($B23,MatriculesEmployes,0)),"MATRICULE INCONNU"))</f>
        <v/>
      </c>
      <c r="D23" s="21" t="n"/>
      <c r="E23" s="20">
        <f>IF($B23="","",IF(ISNA(MATCH($B23,MatriculesEmployes,0)),"MATRICULE INCONNU",IF(COUNTIF($B$13:$B23,$B23)&gt;1,"MATRICULE DEJA CONTROLE",IF(COUNTIFS('BASE CONTROLES'!$D$4:$D$50003,$C$4,'BASE CONTROLES'!$E$4:$E$50003,$C$5,'BASE CONTROLES'!$F$4:$F$50003,$C$6,'BASE CONTROLES'!$G$4:$G$50003,$B23)&gt;0,"MATRICULE DEJA CONTROLE",IF($D23="","SAISIR NB BOITES",IF($D23&lt;=0,"NB BOITES INVALIDE","SAISIE VALIDE"))))))</f>
        <v/>
      </c>
    </row>
    <row r="24" ht="20" customHeight="1">
      <c r="A24" s="25" t="n">
        <v>12</v>
      </c>
      <c r="B24" s="13" t="n"/>
      <c r="C24" s="17">
        <f>IF($B24="","",IFERROR(INDEX(NomsEmployes,MATCH($B24,MatriculesEmployes,0)),"MATRICULE INCONNU"))</f>
        <v/>
      </c>
      <c r="D24" s="21" t="n"/>
      <c r="E24" s="20">
        <f>IF($B24="","",IF(ISNA(MATCH($B24,MatriculesEmployes,0)),"MATRICULE INCONNU",IF(COUNTIF($B$13:$B24,$B24)&gt;1,"MATRICULE DEJA CONTROLE",IF(COUNTIFS('BASE CONTROLES'!$D$4:$D$50003,$C$4,'BASE CONTROLES'!$E$4:$E$50003,$C$5,'BASE CONTROLES'!$F$4:$F$50003,$C$6,'BASE CONTROLES'!$G$4:$G$50003,$B24)&gt;0,"MATRICULE DEJA CONTROLE",IF($D24="","SAISIR NB BOITES",IF($D24&lt;=0,"NB BOITES INVALIDE","SAISIE VALIDE"))))))</f>
        <v/>
      </c>
    </row>
    <row r="25" ht="20" customHeight="1">
      <c r="A25" s="25" t="n">
        <v>13</v>
      </c>
      <c r="B25" s="13" t="n"/>
      <c r="C25" s="17">
        <f>IF($B25="","",IFERROR(INDEX(NomsEmployes,MATCH($B25,MatriculesEmployes,0)),"MATRICULE INCONNU"))</f>
        <v/>
      </c>
      <c r="D25" s="21" t="n"/>
      <c r="E25" s="20">
        <f>IF($B25="","",IF(ISNA(MATCH($B25,MatriculesEmployes,0)),"MATRICULE INCONNU",IF(COUNTIF($B$13:$B25,$B25)&gt;1,"MATRICULE DEJA CONTROLE",IF(COUNTIFS('BASE CONTROLES'!$D$4:$D$50003,$C$4,'BASE CONTROLES'!$E$4:$E$50003,$C$5,'BASE CONTROLES'!$F$4:$F$50003,$C$6,'BASE CONTROLES'!$G$4:$G$50003,$B25)&gt;0,"MATRICULE DEJA CONTROLE",IF($D25="","SAISIR NB BOITES",IF($D25&lt;=0,"NB BOITES INVALIDE","SAISIE VALIDE"))))))</f>
        <v/>
      </c>
    </row>
    <row r="26" ht="20" customHeight="1">
      <c r="A26" s="25" t="n">
        <v>14</v>
      </c>
      <c r="B26" s="13" t="n"/>
      <c r="C26" s="17">
        <f>IF($B26="","",IFERROR(INDEX(NomsEmployes,MATCH($B26,MatriculesEmployes,0)),"MATRICULE INCONNU"))</f>
        <v/>
      </c>
      <c r="D26" s="21" t="n"/>
      <c r="E26" s="20">
        <f>IF($B26="","",IF(ISNA(MATCH($B26,MatriculesEmployes,0)),"MATRICULE INCONNU",IF(COUNTIF($B$13:$B26,$B26)&gt;1,"MATRICULE DEJA CONTROLE",IF(COUNTIFS('BASE CONTROLES'!$D$4:$D$50003,$C$4,'BASE CONTROLES'!$E$4:$E$50003,$C$5,'BASE CONTROLES'!$F$4:$F$50003,$C$6,'BASE CONTROLES'!$G$4:$G$50003,$B26)&gt;0,"MATRICULE DEJA CONTROLE",IF($D26="","SAISIR NB BOITES",IF($D26&lt;=0,"NB BOITES INVALIDE","SAISIE VALIDE"))))))</f>
        <v/>
      </c>
    </row>
    <row r="27" ht="20" customHeight="1">
      <c r="A27" s="25" t="n">
        <v>15</v>
      </c>
      <c r="B27" s="13" t="n"/>
      <c r="C27" s="17">
        <f>IF($B27="","",IFERROR(INDEX(NomsEmployes,MATCH($B27,MatriculesEmployes,0)),"MATRICULE INCONNU"))</f>
        <v/>
      </c>
      <c r="D27" s="21" t="n"/>
      <c r="E27" s="20">
        <f>IF($B27="","",IF(ISNA(MATCH($B27,MatriculesEmployes,0)),"MATRICULE INCONNU",IF(COUNTIF($B$13:$B27,$B27)&gt;1,"MATRICULE DEJA CONTROLE",IF(COUNTIFS('BASE CONTROLES'!$D$4:$D$50003,$C$4,'BASE CONTROLES'!$E$4:$E$50003,$C$5,'BASE CONTROLES'!$F$4:$F$50003,$C$6,'BASE CONTROLES'!$G$4:$G$50003,$B27)&gt;0,"MATRICULE DEJA CONTROLE",IF($D27="","SAISIR NB BOITES",IF($D27&lt;=0,"NB BOITES INVALIDE","SAISIE VALIDE"))))))</f>
        <v/>
      </c>
    </row>
    <row r="28" ht="20" customHeight="1">
      <c r="A28" s="25" t="n">
        <v>16</v>
      </c>
      <c r="B28" s="13" t="n"/>
      <c r="C28" s="17">
        <f>IF($B28="","",IFERROR(INDEX(NomsEmployes,MATCH($B28,MatriculesEmployes,0)),"MATRICULE INCONNU"))</f>
        <v/>
      </c>
      <c r="D28" s="21" t="n"/>
      <c r="E28" s="20">
        <f>IF($B28="","",IF(ISNA(MATCH($B28,MatriculesEmployes,0)),"MATRICULE INCONNU",IF(COUNTIF($B$13:$B28,$B28)&gt;1,"MATRICULE DEJA CONTROLE",IF(COUNTIFS('BASE CONTROLES'!$D$4:$D$50003,$C$4,'BASE CONTROLES'!$E$4:$E$50003,$C$5,'BASE CONTROLES'!$F$4:$F$50003,$C$6,'BASE CONTROLES'!$G$4:$G$50003,$B28)&gt;0,"MATRICULE DEJA CONTROLE",IF($D28="","SAISIR NB BOITES",IF($D28&lt;=0,"NB BOITES INVALIDE","SAISIE VALIDE"))))))</f>
        <v/>
      </c>
    </row>
    <row r="30" ht="21" customHeight="1">
      <c r="A30" s="4" t="inlineStr">
        <is>
          <t>AVANCEMENT DU CONTROLE DE LA LIGNE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 ht="33" customHeight="1">
      <c r="B31" s="24" t="inlineStr">
        <is>
          <t>FEMMES CONTROLEES</t>
        </is>
      </c>
      <c r="C31" s="24" t="inlineStr">
        <is>
          <t>EFFECTIF PRESENT</t>
        </is>
      </c>
      <c r="D31" s="24" t="inlineStr">
        <is>
          <t>COUVERTURE %</t>
        </is>
      </c>
      <c r="E31" s="24" t="inlineStr">
        <is>
          <t>AVANCEMENT</t>
        </is>
      </c>
      <c r="F31" s="24" t="inlineStr">
        <is>
          <t>TOTAL BOITES CONTROLEES</t>
        </is>
      </c>
    </row>
    <row r="32" ht="22" customHeight="1">
      <c r="B32" s="26">
        <f>COUNTIF($E$13:$E$28,"SAISIE VALIDE")</f>
        <v/>
      </c>
      <c r="C32" s="26">
        <f>IF($C$8="","",$C$8)</f>
        <v/>
      </c>
      <c r="D32" s="27">
        <f>IF(OR($C$8="",$C$8=0),"",$B$32/$C$8)</f>
        <v/>
      </c>
      <c r="E32" s="20">
        <f>IF($C$8="","",$B$32&amp;" / "&amp;$C$8&amp;IF($B$32&gt;=$C$8," — COMPLET",""))</f>
        <v/>
      </c>
      <c r="F32" s="26">
        <f>SUMIF($E$13:$E$28,"SAISIE VALIDE",$D$13:$D$28)</f>
        <v/>
      </c>
    </row>
    <row r="34" ht="21" customHeight="1">
      <c r="A34" s="4" t="inlineStr">
        <is>
          <t>LIGNES A COPIER DANS BASE CONTROLES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</row>
    <row r="35">
      <c r="A35" s="3" t="inlineStr">
        <is>
          <t>Selectionner la plage B37:I52, Copier, puis dans BASE CONTROLES : clic sur la premiere cellule vide de la colonne DATE &gt; Collage special &gt; Valeurs. Les colonnes calculees se remplissent seules.</t>
        </is>
      </c>
    </row>
    <row r="36" ht="33" customHeight="1">
      <c r="B36" s="24" t="inlineStr">
        <is>
          <t>DATE</t>
        </is>
      </c>
      <c r="C36" s="24" t="inlineStr">
        <is>
          <t>HEURE</t>
        </is>
      </c>
      <c r="D36" s="24" t="inlineStr">
        <is>
          <t>ID RUN</t>
        </is>
      </c>
      <c r="E36" s="24" t="inlineStr">
        <is>
          <t>TOUR</t>
        </is>
      </c>
      <c r="F36" s="24" t="inlineStr">
        <is>
          <t>LIGNE</t>
        </is>
      </c>
      <c r="G36" s="24" t="inlineStr">
        <is>
          <t>MATRICULE</t>
        </is>
      </c>
      <c r="H36" s="24" t="inlineStr">
        <is>
          <t>NB BOÎTES</t>
        </is>
      </c>
      <c r="I36" s="24" t="inlineStr">
        <is>
          <t>EFFECTIF LIGNE</t>
        </is>
      </c>
    </row>
    <row r="37" ht="15" customHeight="1">
      <c r="B37" s="28">
        <f>IF($E13&lt;&gt;"SAISIE VALIDE","",$F$4)</f>
        <v/>
      </c>
      <c r="C37" s="29">
        <f>IF($E13&lt;&gt;"SAISIE VALIDE","",$C$7)</f>
        <v/>
      </c>
      <c r="D37" s="30">
        <f>IF($E13&lt;&gt;"SAISIE VALIDE","",$C$4)</f>
        <v/>
      </c>
      <c r="E37" s="30">
        <f>IF($E13&lt;&gt;"SAISIE VALIDE","",$C$5)</f>
        <v/>
      </c>
      <c r="F37" s="30">
        <f>IF($E13&lt;&gt;"SAISIE VALIDE","",$C$6)</f>
        <v/>
      </c>
      <c r="G37" s="31">
        <f>IF($E13&lt;&gt;"SAISIE VALIDE","",$B13)</f>
        <v/>
      </c>
      <c r="H37" s="32">
        <f>IF($E13&lt;&gt;"SAISIE VALIDE","",$D13)</f>
        <v/>
      </c>
      <c r="I37" s="32">
        <f>IF($E13&lt;&gt;"SAISIE VALIDE","",$C$8)</f>
        <v/>
      </c>
    </row>
    <row r="38" ht="15" customHeight="1">
      <c r="B38" s="28">
        <f>IF($E14&lt;&gt;"SAISIE VALIDE","",$F$4)</f>
        <v/>
      </c>
      <c r="C38" s="29">
        <f>IF($E14&lt;&gt;"SAISIE VALIDE","",$C$7)</f>
        <v/>
      </c>
      <c r="D38" s="30">
        <f>IF($E14&lt;&gt;"SAISIE VALIDE","",$C$4)</f>
        <v/>
      </c>
      <c r="E38" s="30">
        <f>IF($E14&lt;&gt;"SAISIE VALIDE","",$C$5)</f>
        <v/>
      </c>
      <c r="F38" s="30">
        <f>IF($E14&lt;&gt;"SAISIE VALIDE","",$C$6)</f>
        <v/>
      </c>
      <c r="G38" s="31">
        <f>IF($E14&lt;&gt;"SAISIE VALIDE","",$B14)</f>
        <v/>
      </c>
      <c r="H38" s="32">
        <f>IF($E14&lt;&gt;"SAISIE VALIDE","",$D14)</f>
        <v/>
      </c>
      <c r="I38" s="32">
        <f>IF($E14&lt;&gt;"SAISIE VALIDE","",$C$8)</f>
        <v/>
      </c>
    </row>
    <row r="39" ht="15" customHeight="1">
      <c r="B39" s="28">
        <f>IF($E15&lt;&gt;"SAISIE VALIDE","",$F$4)</f>
        <v/>
      </c>
      <c r="C39" s="29">
        <f>IF($E15&lt;&gt;"SAISIE VALIDE","",$C$7)</f>
        <v/>
      </c>
      <c r="D39" s="30">
        <f>IF($E15&lt;&gt;"SAISIE VALIDE","",$C$4)</f>
        <v/>
      </c>
      <c r="E39" s="30">
        <f>IF($E15&lt;&gt;"SAISIE VALIDE","",$C$5)</f>
        <v/>
      </c>
      <c r="F39" s="30">
        <f>IF($E15&lt;&gt;"SAISIE VALIDE","",$C$6)</f>
        <v/>
      </c>
      <c r="G39" s="31">
        <f>IF($E15&lt;&gt;"SAISIE VALIDE","",$B15)</f>
        <v/>
      </c>
      <c r="H39" s="32">
        <f>IF($E15&lt;&gt;"SAISIE VALIDE","",$D15)</f>
        <v/>
      </c>
      <c r="I39" s="32">
        <f>IF($E15&lt;&gt;"SAISIE VALIDE","",$C$8)</f>
        <v/>
      </c>
    </row>
    <row r="40" ht="15" customHeight="1">
      <c r="B40" s="28">
        <f>IF($E16&lt;&gt;"SAISIE VALIDE","",$F$4)</f>
        <v/>
      </c>
      <c r="C40" s="29">
        <f>IF($E16&lt;&gt;"SAISIE VALIDE","",$C$7)</f>
        <v/>
      </c>
      <c r="D40" s="30">
        <f>IF($E16&lt;&gt;"SAISIE VALIDE","",$C$4)</f>
        <v/>
      </c>
      <c r="E40" s="30">
        <f>IF($E16&lt;&gt;"SAISIE VALIDE","",$C$5)</f>
        <v/>
      </c>
      <c r="F40" s="30">
        <f>IF($E16&lt;&gt;"SAISIE VALIDE","",$C$6)</f>
        <v/>
      </c>
      <c r="G40" s="31">
        <f>IF($E16&lt;&gt;"SAISIE VALIDE","",$B16)</f>
        <v/>
      </c>
      <c r="H40" s="32">
        <f>IF($E16&lt;&gt;"SAISIE VALIDE","",$D16)</f>
        <v/>
      </c>
      <c r="I40" s="32">
        <f>IF($E16&lt;&gt;"SAISIE VALIDE","",$C$8)</f>
        <v/>
      </c>
    </row>
    <row r="41" ht="15" customHeight="1">
      <c r="B41" s="28">
        <f>IF($E17&lt;&gt;"SAISIE VALIDE","",$F$4)</f>
        <v/>
      </c>
      <c r="C41" s="29">
        <f>IF($E17&lt;&gt;"SAISIE VALIDE","",$C$7)</f>
        <v/>
      </c>
      <c r="D41" s="30">
        <f>IF($E17&lt;&gt;"SAISIE VALIDE","",$C$4)</f>
        <v/>
      </c>
      <c r="E41" s="30">
        <f>IF($E17&lt;&gt;"SAISIE VALIDE","",$C$5)</f>
        <v/>
      </c>
      <c r="F41" s="30">
        <f>IF($E17&lt;&gt;"SAISIE VALIDE","",$C$6)</f>
        <v/>
      </c>
      <c r="G41" s="31">
        <f>IF($E17&lt;&gt;"SAISIE VALIDE","",$B17)</f>
        <v/>
      </c>
      <c r="H41" s="32">
        <f>IF($E17&lt;&gt;"SAISIE VALIDE","",$D17)</f>
        <v/>
      </c>
      <c r="I41" s="32">
        <f>IF($E17&lt;&gt;"SAISIE VALIDE","",$C$8)</f>
        <v/>
      </c>
    </row>
    <row r="42" ht="15" customHeight="1">
      <c r="B42" s="28">
        <f>IF($E18&lt;&gt;"SAISIE VALIDE","",$F$4)</f>
        <v/>
      </c>
      <c r="C42" s="29">
        <f>IF($E18&lt;&gt;"SAISIE VALIDE","",$C$7)</f>
        <v/>
      </c>
      <c r="D42" s="30">
        <f>IF($E18&lt;&gt;"SAISIE VALIDE","",$C$4)</f>
        <v/>
      </c>
      <c r="E42" s="30">
        <f>IF($E18&lt;&gt;"SAISIE VALIDE","",$C$5)</f>
        <v/>
      </c>
      <c r="F42" s="30">
        <f>IF($E18&lt;&gt;"SAISIE VALIDE","",$C$6)</f>
        <v/>
      </c>
      <c r="G42" s="31">
        <f>IF($E18&lt;&gt;"SAISIE VALIDE","",$B18)</f>
        <v/>
      </c>
      <c r="H42" s="32">
        <f>IF($E18&lt;&gt;"SAISIE VALIDE","",$D18)</f>
        <v/>
      </c>
      <c r="I42" s="32">
        <f>IF($E18&lt;&gt;"SAISIE VALIDE","",$C$8)</f>
        <v/>
      </c>
    </row>
    <row r="43" ht="15" customHeight="1">
      <c r="B43" s="28">
        <f>IF($E19&lt;&gt;"SAISIE VALIDE","",$F$4)</f>
        <v/>
      </c>
      <c r="C43" s="29">
        <f>IF($E19&lt;&gt;"SAISIE VALIDE","",$C$7)</f>
        <v/>
      </c>
      <c r="D43" s="30">
        <f>IF($E19&lt;&gt;"SAISIE VALIDE","",$C$4)</f>
        <v/>
      </c>
      <c r="E43" s="30">
        <f>IF($E19&lt;&gt;"SAISIE VALIDE","",$C$5)</f>
        <v/>
      </c>
      <c r="F43" s="30">
        <f>IF($E19&lt;&gt;"SAISIE VALIDE","",$C$6)</f>
        <v/>
      </c>
      <c r="G43" s="31">
        <f>IF($E19&lt;&gt;"SAISIE VALIDE","",$B19)</f>
        <v/>
      </c>
      <c r="H43" s="32">
        <f>IF($E19&lt;&gt;"SAISIE VALIDE","",$D19)</f>
        <v/>
      </c>
      <c r="I43" s="32">
        <f>IF($E19&lt;&gt;"SAISIE VALIDE","",$C$8)</f>
        <v/>
      </c>
    </row>
    <row r="44" ht="15" customHeight="1">
      <c r="B44" s="28">
        <f>IF($E20&lt;&gt;"SAISIE VALIDE","",$F$4)</f>
        <v/>
      </c>
      <c r="C44" s="29">
        <f>IF($E20&lt;&gt;"SAISIE VALIDE","",$C$7)</f>
        <v/>
      </c>
      <c r="D44" s="30">
        <f>IF($E20&lt;&gt;"SAISIE VALIDE","",$C$4)</f>
        <v/>
      </c>
      <c r="E44" s="30">
        <f>IF($E20&lt;&gt;"SAISIE VALIDE","",$C$5)</f>
        <v/>
      </c>
      <c r="F44" s="30">
        <f>IF($E20&lt;&gt;"SAISIE VALIDE","",$C$6)</f>
        <v/>
      </c>
      <c r="G44" s="31">
        <f>IF($E20&lt;&gt;"SAISIE VALIDE","",$B20)</f>
        <v/>
      </c>
      <c r="H44" s="32">
        <f>IF($E20&lt;&gt;"SAISIE VALIDE","",$D20)</f>
        <v/>
      </c>
      <c r="I44" s="32">
        <f>IF($E20&lt;&gt;"SAISIE VALIDE","",$C$8)</f>
        <v/>
      </c>
    </row>
    <row r="45" ht="15" customHeight="1">
      <c r="B45" s="28">
        <f>IF($E21&lt;&gt;"SAISIE VALIDE","",$F$4)</f>
        <v/>
      </c>
      <c r="C45" s="29">
        <f>IF($E21&lt;&gt;"SAISIE VALIDE","",$C$7)</f>
        <v/>
      </c>
      <c r="D45" s="30">
        <f>IF($E21&lt;&gt;"SAISIE VALIDE","",$C$4)</f>
        <v/>
      </c>
      <c r="E45" s="30">
        <f>IF($E21&lt;&gt;"SAISIE VALIDE","",$C$5)</f>
        <v/>
      </c>
      <c r="F45" s="30">
        <f>IF($E21&lt;&gt;"SAISIE VALIDE","",$C$6)</f>
        <v/>
      </c>
      <c r="G45" s="31">
        <f>IF($E21&lt;&gt;"SAISIE VALIDE","",$B21)</f>
        <v/>
      </c>
      <c r="H45" s="32">
        <f>IF($E21&lt;&gt;"SAISIE VALIDE","",$D21)</f>
        <v/>
      </c>
      <c r="I45" s="32">
        <f>IF($E21&lt;&gt;"SAISIE VALIDE","",$C$8)</f>
        <v/>
      </c>
    </row>
    <row r="46" ht="15" customHeight="1">
      <c r="B46" s="28">
        <f>IF($E22&lt;&gt;"SAISIE VALIDE","",$F$4)</f>
        <v/>
      </c>
      <c r="C46" s="29">
        <f>IF($E22&lt;&gt;"SAISIE VALIDE","",$C$7)</f>
        <v/>
      </c>
      <c r="D46" s="30">
        <f>IF($E22&lt;&gt;"SAISIE VALIDE","",$C$4)</f>
        <v/>
      </c>
      <c r="E46" s="30">
        <f>IF($E22&lt;&gt;"SAISIE VALIDE","",$C$5)</f>
        <v/>
      </c>
      <c r="F46" s="30">
        <f>IF($E22&lt;&gt;"SAISIE VALIDE","",$C$6)</f>
        <v/>
      </c>
      <c r="G46" s="31">
        <f>IF($E22&lt;&gt;"SAISIE VALIDE","",$B22)</f>
        <v/>
      </c>
      <c r="H46" s="32">
        <f>IF($E22&lt;&gt;"SAISIE VALIDE","",$D22)</f>
        <v/>
      </c>
      <c r="I46" s="32">
        <f>IF($E22&lt;&gt;"SAISIE VALIDE","",$C$8)</f>
        <v/>
      </c>
    </row>
    <row r="47" ht="15" customHeight="1">
      <c r="B47" s="28">
        <f>IF($E23&lt;&gt;"SAISIE VALIDE","",$F$4)</f>
        <v/>
      </c>
      <c r="C47" s="29">
        <f>IF($E23&lt;&gt;"SAISIE VALIDE","",$C$7)</f>
        <v/>
      </c>
      <c r="D47" s="30">
        <f>IF($E23&lt;&gt;"SAISIE VALIDE","",$C$4)</f>
        <v/>
      </c>
      <c r="E47" s="30">
        <f>IF($E23&lt;&gt;"SAISIE VALIDE","",$C$5)</f>
        <v/>
      </c>
      <c r="F47" s="30">
        <f>IF($E23&lt;&gt;"SAISIE VALIDE","",$C$6)</f>
        <v/>
      </c>
      <c r="G47" s="31">
        <f>IF($E23&lt;&gt;"SAISIE VALIDE","",$B23)</f>
        <v/>
      </c>
      <c r="H47" s="32">
        <f>IF($E23&lt;&gt;"SAISIE VALIDE","",$D23)</f>
        <v/>
      </c>
      <c r="I47" s="32">
        <f>IF($E23&lt;&gt;"SAISIE VALIDE","",$C$8)</f>
        <v/>
      </c>
    </row>
    <row r="48" ht="15" customHeight="1">
      <c r="B48" s="28">
        <f>IF($E24&lt;&gt;"SAISIE VALIDE","",$F$4)</f>
        <v/>
      </c>
      <c r="C48" s="29">
        <f>IF($E24&lt;&gt;"SAISIE VALIDE","",$C$7)</f>
        <v/>
      </c>
      <c r="D48" s="30">
        <f>IF($E24&lt;&gt;"SAISIE VALIDE","",$C$4)</f>
        <v/>
      </c>
      <c r="E48" s="30">
        <f>IF($E24&lt;&gt;"SAISIE VALIDE","",$C$5)</f>
        <v/>
      </c>
      <c r="F48" s="30">
        <f>IF($E24&lt;&gt;"SAISIE VALIDE","",$C$6)</f>
        <v/>
      </c>
      <c r="G48" s="31">
        <f>IF($E24&lt;&gt;"SAISIE VALIDE","",$B24)</f>
        <v/>
      </c>
      <c r="H48" s="32">
        <f>IF($E24&lt;&gt;"SAISIE VALIDE","",$D24)</f>
        <v/>
      </c>
      <c r="I48" s="32">
        <f>IF($E24&lt;&gt;"SAISIE VALIDE","",$C$8)</f>
        <v/>
      </c>
    </row>
    <row r="49" ht="15" customHeight="1">
      <c r="B49" s="28">
        <f>IF($E25&lt;&gt;"SAISIE VALIDE","",$F$4)</f>
        <v/>
      </c>
      <c r="C49" s="29">
        <f>IF($E25&lt;&gt;"SAISIE VALIDE","",$C$7)</f>
        <v/>
      </c>
      <c r="D49" s="30">
        <f>IF($E25&lt;&gt;"SAISIE VALIDE","",$C$4)</f>
        <v/>
      </c>
      <c r="E49" s="30">
        <f>IF($E25&lt;&gt;"SAISIE VALIDE","",$C$5)</f>
        <v/>
      </c>
      <c r="F49" s="30">
        <f>IF($E25&lt;&gt;"SAISIE VALIDE","",$C$6)</f>
        <v/>
      </c>
      <c r="G49" s="31">
        <f>IF($E25&lt;&gt;"SAISIE VALIDE","",$B25)</f>
        <v/>
      </c>
      <c r="H49" s="32">
        <f>IF($E25&lt;&gt;"SAISIE VALIDE","",$D25)</f>
        <v/>
      </c>
      <c r="I49" s="32">
        <f>IF($E25&lt;&gt;"SAISIE VALIDE","",$C$8)</f>
        <v/>
      </c>
    </row>
    <row r="50" ht="15" customHeight="1">
      <c r="B50" s="28">
        <f>IF($E26&lt;&gt;"SAISIE VALIDE","",$F$4)</f>
        <v/>
      </c>
      <c r="C50" s="29">
        <f>IF($E26&lt;&gt;"SAISIE VALIDE","",$C$7)</f>
        <v/>
      </c>
      <c r="D50" s="30">
        <f>IF($E26&lt;&gt;"SAISIE VALIDE","",$C$4)</f>
        <v/>
      </c>
      <c r="E50" s="30">
        <f>IF($E26&lt;&gt;"SAISIE VALIDE","",$C$5)</f>
        <v/>
      </c>
      <c r="F50" s="30">
        <f>IF($E26&lt;&gt;"SAISIE VALIDE","",$C$6)</f>
        <v/>
      </c>
      <c r="G50" s="31">
        <f>IF($E26&lt;&gt;"SAISIE VALIDE","",$B26)</f>
        <v/>
      </c>
      <c r="H50" s="32">
        <f>IF($E26&lt;&gt;"SAISIE VALIDE","",$D26)</f>
        <v/>
      </c>
      <c r="I50" s="32">
        <f>IF($E26&lt;&gt;"SAISIE VALIDE","",$C$8)</f>
        <v/>
      </c>
    </row>
    <row r="51" ht="15" customHeight="1">
      <c r="B51" s="28">
        <f>IF($E27&lt;&gt;"SAISIE VALIDE","",$F$4)</f>
        <v/>
      </c>
      <c r="C51" s="29">
        <f>IF($E27&lt;&gt;"SAISIE VALIDE","",$C$7)</f>
        <v/>
      </c>
      <c r="D51" s="30">
        <f>IF($E27&lt;&gt;"SAISIE VALIDE","",$C$4)</f>
        <v/>
      </c>
      <c r="E51" s="30">
        <f>IF($E27&lt;&gt;"SAISIE VALIDE","",$C$5)</f>
        <v/>
      </c>
      <c r="F51" s="30">
        <f>IF($E27&lt;&gt;"SAISIE VALIDE","",$C$6)</f>
        <v/>
      </c>
      <c r="G51" s="31">
        <f>IF($E27&lt;&gt;"SAISIE VALIDE","",$B27)</f>
        <v/>
      </c>
      <c r="H51" s="32">
        <f>IF($E27&lt;&gt;"SAISIE VALIDE","",$D27)</f>
        <v/>
      </c>
      <c r="I51" s="32">
        <f>IF($E27&lt;&gt;"SAISIE VALIDE","",$C$8)</f>
        <v/>
      </c>
    </row>
    <row r="52" ht="15" customHeight="1">
      <c r="B52" s="28">
        <f>IF($E28&lt;&gt;"SAISIE VALIDE","",$F$4)</f>
        <v/>
      </c>
      <c r="C52" s="29">
        <f>IF($E28&lt;&gt;"SAISIE VALIDE","",$C$7)</f>
        <v/>
      </c>
      <c r="D52" s="30">
        <f>IF($E28&lt;&gt;"SAISIE VALIDE","",$C$4)</f>
        <v/>
      </c>
      <c r="E52" s="30">
        <f>IF($E28&lt;&gt;"SAISIE VALIDE","",$C$5)</f>
        <v/>
      </c>
      <c r="F52" s="30">
        <f>IF($E28&lt;&gt;"SAISIE VALIDE","",$C$6)</f>
        <v/>
      </c>
      <c r="G52" s="31">
        <f>IF($E28&lt;&gt;"SAISIE VALIDE","",$B28)</f>
        <v/>
      </c>
      <c r="H52" s="32">
        <f>IF($E28&lt;&gt;"SAISIE VALIDE","",$D28)</f>
        <v/>
      </c>
      <c r="I52" s="32">
        <f>IF($E28&lt;&gt;"SAISIE VALIDE","",$C$8)</f>
        <v/>
      </c>
    </row>
    <row r="54">
      <c r="B54" s="23">
        <f>"A COPIER : "&amp;$B$32&amp;" LIGNE(S) VALIDE(S) — PLAGE B37:I52"</f>
        <v/>
      </c>
    </row>
  </sheetData>
  <mergeCells count="9">
    <mergeCell ref="A2:I2"/>
    <mergeCell ref="C9:I9"/>
    <mergeCell ref="A11:I11"/>
    <mergeCell ref="B54:I54"/>
    <mergeCell ref="A1:I1"/>
    <mergeCell ref="A3:I3"/>
    <mergeCell ref="A34:I34"/>
    <mergeCell ref="A35:I35"/>
    <mergeCell ref="A30:I30"/>
  </mergeCells>
  <conditionalFormatting sqref="E13:E28">
    <cfRule type="expression" priority="1" dxfId="0" stopIfTrue="0">
      <formula>=$E13="SAISIE VALIDE"</formula>
    </cfRule>
    <cfRule type="expression" priority="2" dxfId="3" stopIfTrue="0">
      <formula>=$E13="MATRICULE DEJA CONTROLE"</formula>
    </cfRule>
    <cfRule type="expression" priority="3" dxfId="3" stopIfTrue="0">
      <formula>=$E13="MATRICULE INCONNU"</formula>
    </cfRule>
    <cfRule type="expression" priority="4" dxfId="4" stopIfTrue="0">
      <formula>=OR($E13="SAISIR NB BOITES",$E13="NB BOITES INVALIDE")</formula>
    </cfRule>
  </conditionalFormatting>
  <conditionalFormatting sqref="C9:I9">
    <cfRule type="expression" priority="5" dxfId="4" stopIfTrue="0">
      <formula>=LEFT($C$9,10)="ATTENTION "</formula>
    </cfRule>
    <cfRule type="expression" priority="6" dxfId="5" stopIfTrue="0">
      <formula>=$C$9="CONTEXTE COMPLET — SAISIE POSSIBLE"</formula>
    </cfRule>
  </conditionalFormatting>
  <conditionalFormatting sqref="D32">
    <cfRule type="expression" priority="7" dxfId="5" stopIfTrue="0">
      <formula>=AND($D$32&lt;&gt;"",$D$32&gt;=1)</formula>
    </cfRule>
    <cfRule type="expression" priority="8" dxfId="4" stopIfTrue="0">
      <formula>=AND($D$32&lt;&gt;"",$D$32&lt;1)</formula>
    </cfRule>
  </conditionalFormatting>
  <conditionalFormatting sqref="E32">
    <cfRule type="expression" priority="9" dxfId="5" stopIfTrue="0">
      <formula>=AND($C$8&lt;&gt;"",$B$32&gt;=$C$8)</formula>
    </cfRule>
  </conditionalFormatting>
  <dataValidations count="6">
    <dataValidation sqref="C4" showDropDown="0" showInputMessage="0" showErrorMessage="1" allowBlank="1" errorTitle="SAISIE REFUSEE" error="Valeur non autorisee. Choisir une valeur proposee dans la liste." type="list">
      <formula1>=ListeRuns</formula1>
    </dataValidation>
    <dataValidation sqref="C5" showDropDown="0" showInputMessage="0" showErrorMessage="1" allowBlank="1" errorTitle="SAISIE REFUSEE" error="Valeur non autorisee. Choisir une valeur proposee dans la liste." type="list">
      <formula1>=ListeTours</formula1>
    </dataValidation>
    <dataValidation sqref="C6" showDropDown="0" showInputMessage="0" showErrorMessage="1" allowBlank="1" errorTitle="SAISIE REFUSEE" error="Valeur non autorisee. Choisir une valeur proposee dans la liste." type="list">
      <formula1>=ListeLignes</formula1>
    </dataValidation>
    <dataValidation sqref="C8" showDropDown="0" showInputMessage="0" showErrorMessage="1" allowBlank="1" errorTitle="EFFECTIF INVALIDE" error="L'effectif present doit etre un nombre entier superieur a 1." type="whole" operator="greaterThan">
      <formula1>1</formula1>
    </dataValidation>
    <dataValidation sqref="B13:B28" showDropDown="0" showInputMessage="0" showErrorMessage="1" allowBlank="1" errorTitle="MATRICULE INCONNU" error="Ce matricule n'existe pas dans PARAMETRES. L'ajouter d'abord dans la table EMPLOYES." type="list">
      <formula1>=ListeMatricules</formula1>
    </dataValidation>
    <dataValidation sqref="D13:D28" showDropDown="0" showInputMessage="0" showErrorMessage="1" allowBlank="1" errorTitle="NB BOITES INVALIDE" error="Le nombre de boites doit etre un entier strictement positif." type="whole" operator="greaterThan">
      <formula1>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7A598"/>
    <outlinePr summaryBelow="1" summaryRight="1"/>
    <pageSetUpPr/>
  </sheetPr>
  <dimension ref="A1:X200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0" customWidth="1" min="3" max="3"/>
    <col width="24" customWidth="1" min="4" max="4"/>
    <col width="11" customWidth="1" min="5" max="5"/>
    <col width="9" customWidth="1" min="6" max="6"/>
    <col width="14" customWidth="1" min="7" max="7"/>
    <col width="11" customWidth="1" min="8" max="8"/>
    <col width="12" customWidth="1" min="9" max="9"/>
    <col width="28" customWidth="1" min="10" max="10"/>
    <col width="22" customWidth="1" min="11" max="11"/>
    <col width="14" customWidth="1" min="12" max="12"/>
    <col width="16" customWidth="1" min="13" max="13"/>
    <col width="15" customWidth="1" min="14" max="14"/>
    <col width="14" customWidth="1" min="15" max="15"/>
    <col width="13" customWidth="1" min="16" max="16"/>
    <col width="14" customWidth="1" min="17" max="17"/>
    <col width="12" customWidth="1" min="18" max="18"/>
    <col width="15" customWidth="1" min="19" max="19"/>
    <col width="13" customWidth="1" min="20" max="20"/>
    <col width="15" customWidth="1" min="21" max="21"/>
    <col width="12" customWidth="1" min="22" max="22"/>
    <col width="20" customWidth="1" min="23" max="23"/>
    <col width="18" customWidth="1" min="24" max="24"/>
  </cols>
  <sheetData>
    <row r="1" ht="30" customHeight="1">
      <c r="A1" s="1" t="inlineStr">
        <is>
          <t>BASE CONTROLES — HISTORIQUE PERMANENT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</row>
    <row r="2">
      <c r="A2" s="3" t="inlineStr">
        <is>
          <t>Base continue : ne jamais vider, ne jamais creer une feuille par jour ou par ligne. Coller uniquement les colonnes DATE a EFFECTIF LIGNE (B a I) depuis SAISIE CONTROLE ; toutes les autres colonnes se calculent seules. L'heure est saisie une fois par TOUR et par LIGNE : un horodatage automatique fige demande une macro (voir le rapport de livraison).</t>
        </is>
      </c>
    </row>
    <row r="3" ht="33" customHeight="1">
      <c r="A3" s="5" t="inlineStr">
        <is>
          <t>ID CONTROLE</t>
        </is>
      </c>
      <c r="B3" s="5" t="inlineStr">
        <is>
          <t>DATE</t>
        </is>
      </c>
      <c r="C3" s="5" t="inlineStr">
        <is>
          <t>HEURE</t>
        </is>
      </c>
      <c r="D3" s="5" t="inlineStr">
        <is>
          <t>ID RUN</t>
        </is>
      </c>
      <c r="E3" s="5" t="inlineStr">
        <is>
          <t>TOUR</t>
        </is>
      </c>
      <c r="F3" s="5" t="inlineStr">
        <is>
          <t>LIGNE</t>
        </is>
      </c>
      <c r="G3" s="5" t="inlineStr">
        <is>
          <t>MATRICULE</t>
        </is>
      </c>
      <c r="H3" s="5" t="inlineStr">
        <is>
          <t>NB BOÎTES</t>
        </is>
      </c>
      <c r="I3" s="5" t="inlineStr">
        <is>
          <t>EFFECTIF LIGNE</t>
        </is>
      </c>
      <c r="J3" s="5" t="inlineStr">
        <is>
          <t>NOM ET PRENOM</t>
        </is>
      </c>
      <c r="K3" s="5" t="inlineStr">
        <is>
          <t>ACTIVITÉ</t>
        </is>
      </c>
      <c r="L3" s="5" t="inlineStr">
        <is>
          <t>ESPÈCE</t>
        </is>
      </c>
      <c r="M3" s="5" t="inlineStr">
        <is>
          <t>PRODUIT</t>
        </is>
      </c>
      <c r="N3" s="5" t="inlineStr">
        <is>
          <t>MARQUE</t>
        </is>
      </c>
      <c r="O3" s="5" t="inlineStr">
        <is>
          <t>FORMAT</t>
        </is>
      </c>
      <c r="P3" s="5" t="inlineStr">
        <is>
          <t>PRÉPARATION</t>
        </is>
      </c>
      <c r="Q3" s="5" t="inlineStr">
        <is>
          <t>MOULE</t>
        </is>
      </c>
      <c r="R3" s="5" t="inlineStr">
        <is>
          <t>STANDARD</t>
        </is>
      </c>
      <c r="S3" s="5" t="inlineStr">
        <is>
          <t>HEURE CONTROLE PRECEDENT</t>
        </is>
      </c>
      <c r="T3" s="5" t="inlineStr">
        <is>
          <t>DUREE MESUREE MIN</t>
        </is>
      </c>
      <c r="U3" s="5" t="inlineStr">
        <is>
          <t>CADENCE BOITES/H/FEMME</t>
        </is>
      </c>
      <c r="V3" s="5" t="inlineStr">
        <is>
          <t>ATTEINTE %</t>
        </is>
      </c>
      <c r="W3" s="5" t="inlineStr">
        <is>
          <t>STATUT PERFORMANCE</t>
        </is>
      </c>
      <c r="X3" s="5" t="inlineStr">
        <is>
          <t>CONTROLE VALIDE</t>
        </is>
      </c>
    </row>
    <row r="4" ht="15" customHeight="1">
      <c r="A4" s="12">
        <f>IF(OR($B4="",$G4=""),"",TEXT($B4,"YYYYMMDD")&amp;"-"&amp;SUBSTITUTE($E4," ","")&amp;"-"&amp;$F4&amp;"-"&amp;$G4)</f>
        <v/>
      </c>
      <c r="B4" s="15" t="n"/>
      <c r="C4" s="16" t="n"/>
      <c r="D4" s="10" t="n"/>
      <c r="E4" s="9" t="n"/>
      <c r="F4" s="9" t="n"/>
      <c r="G4" s="13" t="n"/>
      <c r="H4" s="21" t="n"/>
      <c r="I4" s="21" t="n"/>
      <c r="J4" s="17">
        <f>IF($G4="","",IFERROR(INDEX(NomsEmployes,MATCH($G4,MatriculesEmployes,0)),"MATRICULE INCONNU"))</f>
        <v/>
      </c>
      <c r="K4" s="33">
        <f>IF(OR($D4="",$F4=""),"",IFERROR(IF(INDEX(RUNS!$L$6:$S$1005,MATCH($D4,RUNS!$A$6:$A$1005,0),MATCH("ACTIVITÉ "&amp;$F4,RUNS!$L$5:$S$5,0))="","",INDEX(RUNS!$L$6:$S$1005,MATCH($D4,RUNS!$A$6:$A$1005,0),MATCH("ACTIVITÉ "&amp;$F4,RUNS!$L$5:$S$5,0))),""))</f>
        <v/>
      </c>
      <c r="L4" s="33">
        <f>IF($D4="","",IFERROR(IF(INDEX(RUNS!$E$6:$E$1005,MATCH($D4,RUNS!$A$6:$A$1005,0))="","",INDEX(RUNS!$E$6:$E$1005,MATCH($D4,RUNS!$A$6:$A$1005,0))),""))</f>
        <v/>
      </c>
      <c r="M4" s="33">
        <f>IF($D4="","",IFERROR(IF(INDEX(RUNS!$F$6:$F$1005,MATCH($D4,RUNS!$A$6:$A$1005,0))="","",INDEX(RUNS!$F$6:$F$1005,MATCH($D4,RUNS!$A$6:$A$1005,0))),""))</f>
        <v/>
      </c>
      <c r="N4" s="33">
        <f>IF($D4="","",IFERROR(IF(INDEX(RUNS!$G$6:$G$1005,MATCH($D4,RUNS!$A$6:$A$1005,0))="","",INDEX(RUNS!$G$6:$G$1005,MATCH($D4,RUNS!$A$6:$A$1005,0))),""))</f>
        <v/>
      </c>
      <c r="O4" s="33">
        <f>IF($D4="","",IFERROR(IF(INDEX(RUNS!$H$6:$H$1005,MATCH($D4,RUNS!$A$6:$A$1005,0))="","",INDEX(RUNS!$H$6:$H$1005,MATCH($D4,RUNS!$A$6:$A$1005,0))),""))</f>
        <v/>
      </c>
      <c r="P4" s="33">
        <f>IF($D4="","",IFERROR(IF(INDEX(RUNS!$J$6:$J$1005,MATCH($D4,RUNS!$A$6:$A$1005,0))="","",INDEX(RUNS!$J$6:$J$1005,MATCH($D4,RUNS!$A$6:$A$1005,0))),""))</f>
        <v/>
      </c>
      <c r="Q4" s="33">
        <f>IF($D4="","",IFERROR(IF(INDEX(RUNS!$K$6:$K$1005,MATCH($D4,RUNS!$A$6:$A$1005,0))="","",INDEX(RUNS!$K$6:$K$1005,MATCH($D4,RUNS!$A$6:$A$1005,0))),""))</f>
        <v/>
      </c>
      <c r="R4" s="34">
        <f>IF(OR($L4="",$K4=""),"",IFERROR(IF(INDEX(PARAMETRES!$H$43:$H$342,MATCH($L4&amp;"|"&amp;$M4&amp;"|"&amp;$N4&amp;"|"&amp;$O4&amp;"|"&amp;$P4&amp;"|"&amp;$Q4&amp;"|"&amp;$K4,PARAMETRES!$J$43:$J$342,0))="","",INDEX(PARAMETRES!$H$43:$H$342,MATCH($L4&amp;"|"&amp;$M4&amp;"|"&amp;$N4&amp;"|"&amp;$O4&amp;"|"&amp;$P4&amp;"|"&amp;$Q4&amp;"|"&amp;$K4,PARAMETRES!$J$43:$J$342,0))),""))</f>
        <v/>
      </c>
      <c r="S4" s="35">
        <f>IF(OR($G4="",$X4&lt;&gt;"VALIDE"),"",IFERROR(LOOKUP(2,1/(($B$3:$B3=$B4)*($G$3:$G3=$G4)*($X$3:$X3="VALIDE")),$C$3:$C3),""))</f>
        <v/>
      </c>
      <c r="T4" s="36">
        <f>IF(OR($C4="",$S4=""),"",ROUND(($C4-$S4+IF($C4&lt;$S4,1,0))*1440,0))</f>
        <v/>
      </c>
      <c r="U4" s="22">
        <f>IF(OR($H4="",$T4="",$T4&lt;=0),"",$H4*60/$T4)</f>
        <v/>
      </c>
      <c r="V4" s="37">
        <f>IF(OR($U4="",$R4="",$R4=0),"",$U4/$R4)</f>
        <v/>
      </c>
      <c r="W4" s="20">
        <f>IF($G4="","",IF($X4="CONTEXTE INCOMPLET","CONTEXTE INCOMPLET",IF($X4="DOUBLON",StatutDoublon,IF($S4="",StatutInitial,IF($R4="",StatutStandardManquant,IF($V4="","DONNEES INSUFFISANTES",IF($V4&gt;=SeuilConforme,StatutConforme,IF($V4&gt;=SeuilSurveiller,StatutSurveiller,StatutSousStandard))))))))</f>
        <v/>
      </c>
      <c r="X4" s="33">
        <f>IF($G4="","",IF(OR($D4="",$E4="",$F4=""),"CONTEXTE INCOMPLET",IF(COUNTIFS($D$3:$D3,$D4,$E$3:$E3,$E4,$F$3:$F3,$F4,$G$3:$G3,$G4)&gt;0,"DOUBLON","VALIDE")))</f>
        <v/>
      </c>
    </row>
    <row r="5" ht="15" customHeight="1">
      <c r="A5" s="12">
        <f>IF(OR($B5="",$G5=""),"",TEXT($B5,"YYYYMMDD")&amp;"-"&amp;SUBSTITUTE($E5," ","")&amp;"-"&amp;$F5&amp;"-"&amp;$G5)</f>
        <v/>
      </c>
      <c r="B5" s="15" t="n"/>
      <c r="C5" s="16" t="n"/>
      <c r="D5" s="10" t="n"/>
      <c r="E5" s="9" t="n"/>
      <c r="F5" s="9" t="n"/>
      <c r="G5" s="13" t="n"/>
      <c r="H5" s="21" t="n"/>
      <c r="I5" s="21" t="n"/>
      <c r="J5" s="17">
        <f>IF($G5="","",IFERROR(INDEX(NomsEmployes,MATCH($G5,MatriculesEmployes,0)),"MATRICULE INCONNU"))</f>
        <v/>
      </c>
      <c r="K5" s="33">
        <f>IF(OR($D5="",$F5=""),"",IFERROR(IF(INDEX(RUNS!$L$6:$S$1005,MATCH($D5,RUNS!$A$6:$A$1005,0),MATCH("ACTIVITÉ "&amp;$F5,RUNS!$L$5:$S$5,0))="","",INDEX(RUNS!$L$6:$S$1005,MATCH($D5,RUNS!$A$6:$A$1005,0),MATCH("ACTIVITÉ "&amp;$F5,RUNS!$L$5:$S$5,0))),""))</f>
        <v/>
      </c>
      <c r="L5" s="33">
        <f>IF($D5="","",IFERROR(IF(INDEX(RUNS!$E$6:$E$1005,MATCH($D5,RUNS!$A$6:$A$1005,0))="","",INDEX(RUNS!$E$6:$E$1005,MATCH($D5,RUNS!$A$6:$A$1005,0))),""))</f>
        <v/>
      </c>
      <c r="M5" s="33">
        <f>IF($D5="","",IFERROR(IF(INDEX(RUNS!$F$6:$F$1005,MATCH($D5,RUNS!$A$6:$A$1005,0))="","",INDEX(RUNS!$F$6:$F$1005,MATCH($D5,RUNS!$A$6:$A$1005,0))),""))</f>
        <v/>
      </c>
      <c r="N5" s="33">
        <f>IF($D5="","",IFERROR(IF(INDEX(RUNS!$G$6:$G$1005,MATCH($D5,RUNS!$A$6:$A$1005,0))="","",INDEX(RUNS!$G$6:$G$1005,MATCH($D5,RUNS!$A$6:$A$1005,0))),""))</f>
        <v/>
      </c>
      <c r="O5" s="33">
        <f>IF($D5="","",IFERROR(IF(INDEX(RUNS!$H$6:$H$1005,MATCH($D5,RUNS!$A$6:$A$1005,0))="","",INDEX(RUNS!$H$6:$H$1005,MATCH($D5,RUNS!$A$6:$A$1005,0))),""))</f>
        <v/>
      </c>
      <c r="P5" s="33">
        <f>IF($D5="","",IFERROR(IF(INDEX(RUNS!$J$6:$J$1005,MATCH($D5,RUNS!$A$6:$A$1005,0))="","",INDEX(RUNS!$J$6:$J$1005,MATCH($D5,RUNS!$A$6:$A$1005,0))),""))</f>
        <v/>
      </c>
      <c r="Q5" s="33">
        <f>IF($D5="","",IFERROR(IF(INDEX(RUNS!$K$6:$K$1005,MATCH($D5,RUNS!$A$6:$A$1005,0))="","",INDEX(RUNS!$K$6:$K$1005,MATCH($D5,RUNS!$A$6:$A$1005,0))),""))</f>
        <v/>
      </c>
      <c r="R5" s="34">
        <f>IF(OR($L5="",$K5=""),"",IFERROR(IF(INDEX(PARAMETRES!$H$43:$H$342,MATCH($L5&amp;"|"&amp;$M5&amp;"|"&amp;$N5&amp;"|"&amp;$O5&amp;"|"&amp;$P5&amp;"|"&amp;$Q5&amp;"|"&amp;$K5,PARAMETRES!$J$43:$J$342,0))="","",INDEX(PARAMETRES!$H$43:$H$342,MATCH($L5&amp;"|"&amp;$M5&amp;"|"&amp;$N5&amp;"|"&amp;$O5&amp;"|"&amp;$P5&amp;"|"&amp;$Q5&amp;"|"&amp;$K5,PARAMETRES!$J$43:$J$342,0))),""))</f>
        <v/>
      </c>
      <c r="S5" s="35">
        <f>IF(OR($G5="",$X5&lt;&gt;"VALIDE"),"",IFERROR(LOOKUP(2,1/(($B$3:$B4=$B5)*($G$3:$G4=$G5)*($X$3:$X4="VALIDE")),$C$3:$C4),""))</f>
        <v/>
      </c>
      <c r="T5" s="36">
        <f>IF(OR($C5="",$S5=""),"",ROUND(($C5-$S5+IF($C5&lt;$S5,1,0))*1440,0))</f>
        <v/>
      </c>
      <c r="U5" s="22">
        <f>IF(OR($H5="",$T5="",$T5&lt;=0),"",$H5*60/$T5)</f>
        <v/>
      </c>
      <c r="V5" s="37">
        <f>IF(OR($U5="",$R5="",$R5=0),"",$U5/$R5)</f>
        <v/>
      </c>
      <c r="W5" s="20">
        <f>IF($G5="","",IF($X5="CONTEXTE INCOMPLET","CONTEXTE INCOMPLET",IF($X5="DOUBLON",StatutDoublon,IF($S5="",StatutInitial,IF($R5="",StatutStandardManquant,IF($V5="","DONNEES INSUFFISANTES",IF($V5&gt;=SeuilConforme,StatutConforme,IF($V5&gt;=SeuilSurveiller,StatutSurveiller,StatutSousStandard))))))))</f>
        <v/>
      </c>
      <c r="X5" s="33">
        <f>IF($G5="","",IF(OR($D5="",$E5="",$F5=""),"CONTEXTE INCOMPLET",IF(COUNTIFS($D$3:$D4,$D5,$E$3:$E4,$E5,$F$3:$F4,$F5,$G$3:$G4,$G5)&gt;0,"DOUBLON","VALIDE")))</f>
        <v/>
      </c>
    </row>
    <row r="6" ht="15" customHeight="1">
      <c r="A6" s="12">
        <f>IF(OR($B6="",$G6=""),"",TEXT($B6,"YYYYMMDD")&amp;"-"&amp;SUBSTITUTE($E6," ","")&amp;"-"&amp;$F6&amp;"-"&amp;$G6)</f>
        <v/>
      </c>
      <c r="B6" s="15" t="n"/>
      <c r="C6" s="16" t="n"/>
      <c r="D6" s="10" t="n"/>
      <c r="E6" s="9" t="n"/>
      <c r="F6" s="9" t="n"/>
      <c r="G6" s="13" t="n"/>
      <c r="H6" s="21" t="n"/>
      <c r="I6" s="21" t="n"/>
      <c r="J6" s="17">
        <f>IF($G6="","",IFERROR(INDEX(NomsEmployes,MATCH($G6,MatriculesEmployes,0)),"MATRICULE INCONNU"))</f>
        <v/>
      </c>
      <c r="K6" s="33">
        <f>IF(OR($D6="",$F6=""),"",IFERROR(IF(INDEX(RUNS!$L$6:$S$1005,MATCH($D6,RUNS!$A$6:$A$1005,0),MATCH("ACTIVITÉ "&amp;$F6,RUNS!$L$5:$S$5,0))="","",INDEX(RUNS!$L$6:$S$1005,MATCH($D6,RUNS!$A$6:$A$1005,0),MATCH("ACTIVITÉ "&amp;$F6,RUNS!$L$5:$S$5,0))),""))</f>
        <v/>
      </c>
      <c r="L6" s="33">
        <f>IF($D6="","",IFERROR(IF(INDEX(RUNS!$E$6:$E$1005,MATCH($D6,RUNS!$A$6:$A$1005,0))="","",INDEX(RUNS!$E$6:$E$1005,MATCH($D6,RUNS!$A$6:$A$1005,0))),""))</f>
        <v/>
      </c>
      <c r="M6" s="33">
        <f>IF($D6="","",IFERROR(IF(INDEX(RUNS!$F$6:$F$1005,MATCH($D6,RUNS!$A$6:$A$1005,0))="","",INDEX(RUNS!$F$6:$F$1005,MATCH($D6,RUNS!$A$6:$A$1005,0))),""))</f>
        <v/>
      </c>
      <c r="N6" s="33">
        <f>IF($D6="","",IFERROR(IF(INDEX(RUNS!$G$6:$G$1005,MATCH($D6,RUNS!$A$6:$A$1005,0))="","",INDEX(RUNS!$G$6:$G$1005,MATCH($D6,RUNS!$A$6:$A$1005,0))),""))</f>
        <v/>
      </c>
      <c r="O6" s="33">
        <f>IF($D6="","",IFERROR(IF(INDEX(RUNS!$H$6:$H$1005,MATCH($D6,RUNS!$A$6:$A$1005,0))="","",INDEX(RUNS!$H$6:$H$1005,MATCH($D6,RUNS!$A$6:$A$1005,0))),""))</f>
        <v/>
      </c>
      <c r="P6" s="33">
        <f>IF($D6="","",IFERROR(IF(INDEX(RUNS!$J$6:$J$1005,MATCH($D6,RUNS!$A$6:$A$1005,0))="","",INDEX(RUNS!$J$6:$J$1005,MATCH($D6,RUNS!$A$6:$A$1005,0))),""))</f>
        <v/>
      </c>
      <c r="Q6" s="33">
        <f>IF($D6="","",IFERROR(IF(INDEX(RUNS!$K$6:$K$1005,MATCH($D6,RUNS!$A$6:$A$1005,0))="","",INDEX(RUNS!$K$6:$K$1005,MATCH($D6,RUNS!$A$6:$A$1005,0))),""))</f>
        <v/>
      </c>
      <c r="R6" s="34">
        <f>IF(OR($L6="",$K6=""),"",IFERROR(IF(INDEX(PARAMETRES!$H$43:$H$342,MATCH($L6&amp;"|"&amp;$M6&amp;"|"&amp;$N6&amp;"|"&amp;$O6&amp;"|"&amp;$P6&amp;"|"&amp;$Q6&amp;"|"&amp;$K6,PARAMETRES!$J$43:$J$342,0))="","",INDEX(PARAMETRES!$H$43:$H$342,MATCH($L6&amp;"|"&amp;$M6&amp;"|"&amp;$N6&amp;"|"&amp;$O6&amp;"|"&amp;$P6&amp;"|"&amp;$Q6&amp;"|"&amp;$K6,PARAMETRES!$J$43:$J$342,0))),""))</f>
        <v/>
      </c>
      <c r="S6" s="35">
        <f>IF(OR($G6="",$X6&lt;&gt;"VALIDE"),"",IFERROR(LOOKUP(2,1/(($B$3:$B5=$B6)*($G$3:$G5=$G6)*($X$3:$X5="VALIDE")),$C$3:$C5),""))</f>
        <v/>
      </c>
      <c r="T6" s="36">
        <f>IF(OR($C6="",$S6=""),"",ROUND(($C6-$S6+IF($C6&lt;$S6,1,0))*1440,0))</f>
        <v/>
      </c>
      <c r="U6" s="22">
        <f>IF(OR($H6="",$T6="",$T6&lt;=0),"",$H6*60/$T6)</f>
        <v/>
      </c>
      <c r="V6" s="37">
        <f>IF(OR($U6="",$R6="",$R6=0),"",$U6/$R6)</f>
        <v/>
      </c>
      <c r="W6" s="20">
        <f>IF($G6="","",IF($X6="CONTEXTE INCOMPLET","CONTEXTE INCOMPLET",IF($X6="DOUBLON",StatutDoublon,IF($S6="",StatutInitial,IF($R6="",StatutStandardManquant,IF($V6="","DONNEES INSUFFISANTES",IF($V6&gt;=SeuilConforme,StatutConforme,IF($V6&gt;=SeuilSurveiller,StatutSurveiller,StatutSousStandard))))))))</f>
        <v/>
      </c>
      <c r="X6" s="33">
        <f>IF($G6="","",IF(OR($D6="",$E6="",$F6=""),"CONTEXTE INCOMPLET",IF(COUNTIFS($D$3:$D5,$D6,$E$3:$E5,$E6,$F$3:$F5,$F6,$G$3:$G5,$G6)&gt;0,"DOUBLON","VALIDE")))</f>
        <v/>
      </c>
    </row>
    <row r="7" ht="15" customHeight="1">
      <c r="A7" s="12">
        <f>IF(OR($B7="",$G7=""),"",TEXT($B7,"YYYYMMDD")&amp;"-"&amp;SUBSTITUTE($E7," ","")&amp;"-"&amp;$F7&amp;"-"&amp;$G7)</f>
        <v/>
      </c>
      <c r="B7" s="15" t="n"/>
      <c r="C7" s="16" t="n"/>
      <c r="D7" s="10" t="n"/>
      <c r="E7" s="9" t="n"/>
      <c r="F7" s="9" t="n"/>
      <c r="G7" s="13" t="n"/>
      <c r="H7" s="21" t="n"/>
      <c r="I7" s="21" t="n"/>
      <c r="J7" s="17">
        <f>IF($G7="","",IFERROR(INDEX(NomsEmployes,MATCH($G7,MatriculesEmployes,0)),"MATRICULE INCONNU"))</f>
        <v/>
      </c>
      <c r="K7" s="33">
        <f>IF(OR($D7="",$F7=""),"",IFERROR(IF(INDEX(RUNS!$L$6:$S$1005,MATCH($D7,RUNS!$A$6:$A$1005,0),MATCH("ACTIVITÉ "&amp;$F7,RUNS!$L$5:$S$5,0))="","",INDEX(RUNS!$L$6:$S$1005,MATCH($D7,RUNS!$A$6:$A$1005,0),MATCH("ACTIVITÉ "&amp;$F7,RUNS!$L$5:$S$5,0))),""))</f>
        <v/>
      </c>
      <c r="L7" s="33">
        <f>IF($D7="","",IFERROR(IF(INDEX(RUNS!$E$6:$E$1005,MATCH($D7,RUNS!$A$6:$A$1005,0))="","",INDEX(RUNS!$E$6:$E$1005,MATCH($D7,RUNS!$A$6:$A$1005,0))),""))</f>
        <v/>
      </c>
      <c r="M7" s="33">
        <f>IF($D7="","",IFERROR(IF(INDEX(RUNS!$F$6:$F$1005,MATCH($D7,RUNS!$A$6:$A$1005,0))="","",INDEX(RUNS!$F$6:$F$1005,MATCH($D7,RUNS!$A$6:$A$1005,0))),""))</f>
        <v/>
      </c>
      <c r="N7" s="33">
        <f>IF($D7="","",IFERROR(IF(INDEX(RUNS!$G$6:$G$1005,MATCH($D7,RUNS!$A$6:$A$1005,0))="","",INDEX(RUNS!$G$6:$G$1005,MATCH($D7,RUNS!$A$6:$A$1005,0))),""))</f>
        <v/>
      </c>
      <c r="O7" s="33">
        <f>IF($D7="","",IFERROR(IF(INDEX(RUNS!$H$6:$H$1005,MATCH($D7,RUNS!$A$6:$A$1005,0))="","",INDEX(RUNS!$H$6:$H$1005,MATCH($D7,RUNS!$A$6:$A$1005,0))),""))</f>
        <v/>
      </c>
      <c r="P7" s="33">
        <f>IF($D7="","",IFERROR(IF(INDEX(RUNS!$J$6:$J$1005,MATCH($D7,RUNS!$A$6:$A$1005,0))="","",INDEX(RUNS!$J$6:$J$1005,MATCH($D7,RUNS!$A$6:$A$1005,0))),""))</f>
        <v/>
      </c>
      <c r="Q7" s="33">
        <f>IF($D7="","",IFERROR(IF(INDEX(RUNS!$K$6:$K$1005,MATCH($D7,RUNS!$A$6:$A$1005,0))="","",INDEX(RUNS!$K$6:$K$1005,MATCH($D7,RUNS!$A$6:$A$1005,0))),""))</f>
        <v/>
      </c>
      <c r="R7" s="34">
        <f>IF(OR($L7="",$K7=""),"",IFERROR(IF(INDEX(PARAMETRES!$H$43:$H$342,MATCH($L7&amp;"|"&amp;$M7&amp;"|"&amp;$N7&amp;"|"&amp;$O7&amp;"|"&amp;$P7&amp;"|"&amp;$Q7&amp;"|"&amp;$K7,PARAMETRES!$J$43:$J$342,0))="","",INDEX(PARAMETRES!$H$43:$H$342,MATCH($L7&amp;"|"&amp;$M7&amp;"|"&amp;$N7&amp;"|"&amp;$O7&amp;"|"&amp;$P7&amp;"|"&amp;$Q7&amp;"|"&amp;$K7,PARAMETRES!$J$43:$J$342,0))),""))</f>
        <v/>
      </c>
      <c r="S7" s="35">
        <f>IF(OR($G7="",$X7&lt;&gt;"VALIDE"),"",IFERROR(LOOKUP(2,1/(($B$3:$B6=$B7)*($G$3:$G6=$G7)*($X$3:$X6="VALIDE")),$C$3:$C6),""))</f>
        <v/>
      </c>
      <c r="T7" s="36">
        <f>IF(OR($C7="",$S7=""),"",ROUND(($C7-$S7+IF($C7&lt;$S7,1,0))*1440,0))</f>
        <v/>
      </c>
      <c r="U7" s="22">
        <f>IF(OR($H7="",$T7="",$T7&lt;=0),"",$H7*60/$T7)</f>
        <v/>
      </c>
      <c r="V7" s="37">
        <f>IF(OR($U7="",$R7="",$R7=0),"",$U7/$R7)</f>
        <v/>
      </c>
      <c r="W7" s="20">
        <f>IF($G7="","",IF($X7="CONTEXTE INCOMPLET","CONTEXTE INCOMPLET",IF($X7="DOUBLON",StatutDoublon,IF($S7="",StatutInitial,IF($R7="",StatutStandardManquant,IF($V7="","DONNEES INSUFFISANTES",IF($V7&gt;=SeuilConforme,StatutConforme,IF($V7&gt;=SeuilSurveiller,StatutSurveiller,StatutSousStandard))))))))</f>
        <v/>
      </c>
      <c r="X7" s="33">
        <f>IF($G7="","",IF(OR($D7="",$E7="",$F7=""),"CONTEXTE INCOMPLET",IF(COUNTIFS($D$3:$D6,$D7,$E$3:$E6,$E7,$F$3:$F6,$F7,$G$3:$G6,$G7)&gt;0,"DOUBLON","VALIDE")))</f>
        <v/>
      </c>
    </row>
    <row r="8" ht="15" customHeight="1">
      <c r="A8" s="12">
        <f>IF(OR($B8="",$G8=""),"",TEXT($B8,"YYYYMMDD")&amp;"-"&amp;SUBSTITUTE($E8," ","")&amp;"-"&amp;$F8&amp;"-"&amp;$G8)</f>
        <v/>
      </c>
      <c r="B8" s="15" t="n"/>
      <c r="C8" s="16" t="n"/>
      <c r="D8" s="10" t="n"/>
      <c r="E8" s="9" t="n"/>
      <c r="F8" s="9" t="n"/>
      <c r="G8" s="13" t="n"/>
      <c r="H8" s="21" t="n"/>
      <c r="I8" s="21" t="n"/>
      <c r="J8" s="17">
        <f>IF($G8="","",IFERROR(INDEX(NomsEmployes,MATCH($G8,MatriculesEmployes,0)),"MATRICULE INCONNU"))</f>
        <v/>
      </c>
      <c r="K8" s="33">
        <f>IF(OR($D8="",$F8=""),"",IFERROR(IF(INDEX(RUNS!$L$6:$S$1005,MATCH($D8,RUNS!$A$6:$A$1005,0),MATCH("ACTIVITÉ "&amp;$F8,RUNS!$L$5:$S$5,0))="","",INDEX(RUNS!$L$6:$S$1005,MATCH($D8,RUNS!$A$6:$A$1005,0),MATCH("ACTIVITÉ "&amp;$F8,RUNS!$L$5:$S$5,0))),""))</f>
        <v/>
      </c>
      <c r="L8" s="33">
        <f>IF($D8="","",IFERROR(IF(INDEX(RUNS!$E$6:$E$1005,MATCH($D8,RUNS!$A$6:$A$1005,0))="","",INDEX(RUNS!$E$6:$E$1005,MATCH($D8,RUNS!$A$6:$A$1005,0))),""))</f>
        <v/>
      </c>
      <c r="M8" s="33">
        <f>IF($D8="","",IFERROR(IF(INDEX(RUNS!$F$6:$F$1005,MATCH($D8,RUNS!$A$6:$A$1005,0))="","",INDEX(RUNS!$F$6:$F$1005,MATCH($D8,RUNS!$A$6:$A$1005,0))),""))</f>
        <v/>
      </c>
      <c r="N8" s="33">
        <f>IF($D8="","",IFERROR(IF(INDEX(RUNS!$G$6:$G$1005,MATCH($D8,RUNS!$A$6:$A$1005,0))="","",INDEX(RUNS!$G$6:$G$1005,MATCH($D8,RUNS!$A$6:$A$1005,0))),""))</f>
        <v/>
      </c>
      <c r="O8" s="33">
        <f>IF($D8="","",IFERROR(IF(INDEX(RUNS!$H$6:$H$1005,MATCH($D8,RUNS!$A$6:$A$1005,0))="","",INDEX(RUNS!$H$6:$H$1005,MATCH($D8,RUNS!$A$6:$A$1005,0))),""))</f>
        <v/>
      </c>
      <c r="P8" s="33">
        <f>IF($D8="","",IFERROR(IF(INDEX(RUNS!$J$6:$J$1005,MATCH($D8,RUNS!$A$6:$A$1005,0))="","",INDEX(RUNS!$J$6:$J$1005,MATCH($D8,RUNS!$A$6:$A$1005,0))),""))</f>
        <v/>
      </c>
      <c r="Q8" s="33">
        <f>IF($D8="","",IFERROR(IF(INDEX(RUNS!$K$6:$K$1005,MATCH($D8,RUNS!$A$6:$A$1005,0))="","",INDEX(RUNS!$K$6:$K$1005,MATCH($D8,RUNS!$A$6:$A$1005,0))),""))</f>
        <v/>
      </c>
      <c r="R8" s="34">
        <f>IF(OR($L8="",$K8=""),"",IFERROR(IF(INDEX(PARAMETRES!$H$43:$H$342,MATCH($L8&amp;"|"&amp;$M8&amp;"|"&amp;$N8&amp;"|"&amp;$O8&amp;"|"&amp;$P8&amp;"|"&amp;$Q8&amp;"|"&amp;$K8,PARAMETRES!$J$43:$J$342,0))="","",INDEX(PARAMETRES!$H$43:$H$342,MATCH($L8&amp;"|"&amp;$M8&amp;"|"&amp;$N8&amp;"|"&amp;$O8&amp;"|"&amp;$P8&amp;"|"&amp;$Q8&amp;"|"&amp;$K8,PARAMETRES!$J$43:$J$342,0))),""))</f>
        <v/>
      </c>
      <c r="S8" s="35">
        <f>IF(OR($G8="",$X8&lt;&gt;"VALIDE"),"",IFERROR(LOOKUP(2,1/(($B$3:$B7=$B8)*($G$3:$G7=$G8)*($X$3:$X7="VALIDE")),$C$3:$C7),""))</f>
        <v/>
      </c>
      <c r="T8" s="36">
        <f>IF(OR($C8="",$S8=""),"",ROUND(($C8-$S8+IF($C8&lt;$S8,1,0))*1440,0))</f>
        <v/>
      </c>
      <c r="U8" s="22">
        <f>IF(OR($H8="",$T8="",$T8&lt;=0),"",$H8*60/$T8)</f>
        <v/>
      </c>
      <c r="V8" s="37">
        <f>IF(OR($U8="",$R8="",$R8=0),"",$U8/$R8)</f>
        <v/>
      </c>
      <c r="W8" s="20">
        <f>IF($G8="","",IF($X8="CONTEXTE INCOMPLET","CONTEXTE INCOMPLET",IF($X8="DOUBLON",StatutDoublon,IF($S8="",StatutInitial,IF($R8="",StatutStandardManquant,IF($V8="","DONNEES INSUFFISANTES",IF($V8&gt;=SeuilConforme,StatutConforme,IF($V8&gt;=SeuilSurveiller,StatutSurveiller,StatutSousStandard))))))))</f>
        <v/>
      </c>
      <c r="X8" s="33">
        <f>IF($G8="","",IF(OR($D8="",$E8="",$F8=""),"CONTEXTE INCOMPLET",IF(COUNTIFS($D$3:$D7,$D8,$E$3:$E7,$E8,$F$3:$F7,$F8,$G$3:$G7,$G8)&gt;0,"DOUBLON","VALIDE")))</f>
        <v/>
      </c>
    </row>
    <row r="9" ht="15" customHeight="1">
      <c r="A9" s="12">
        <f>IF(OR($B9="",$G9=""),"",TEXT($B9,"YYYYMMDD")&amp;"-"&amp;SUBSTITUTE($E9," ","")&amp;"-"&amp;$F9&amp;"-"&amp;$G9)</f>
        <v/>
      </c>
      <c r="B9" s="15" t="n"/>
      <c r="C9" s="16" t="n"/>
      <c r="D9" s="10" t="n"/>
      <c r="E9" s="9" t="n"/>
      <c r="F9" s="9" t="n"/>
      <c r="G9" s="13" t="n"/>
      <c r="H9" s="21" t="n"/>
      <c r="I9" s="21" t="n"/>
      <c r="J9" s="17">
        <f>IF($G9="","",IFERROR(INDEX(NomsEmployes,MATCH($G9,MatriculesEmployes,0)),"MATRICULE INCONNU"))</f>
        <v/>
      </c>
      <c r="K9" s="33">
        <f>IF(OR($D9="",$F9=""),"",IFERROR(IF(INDEX(RUNS!$L$6:$S$1005,MATCH($D9,RUNS!$A$6:$A$1005,0),MATCH("ACTIVITÉ "&amp;$F9,RUNS!$L$5:$S$5,0))="","",INDEX(RUNS!$L$6:$S$1005,MATCH($D9,RUNS!$A$6:$A$1005,0),MATCH("ACTIVITÉ "&amp;$F9,RUNS!$L$5:$S$5,0))),""))</f>
        <v/>
      </c>
      <c r="L9" s="33">
        <f>IF($D9="","",IFERROR(IF(INDEX(RUNS!$E$6:$E$1005,MATCH($D9,RUNS!$A$6:$A$1005,0))="","",INDEX(RUNS!$E$6:$E$1005,MATCH($D9,RUNS!$A$6:$A$1005,0))),""))</f>
        <v/>
      </c>
      <c r="M9" s="33">
        <f>IF($D9="","",IFERROR(IF(INDEX(RUNS!$F$6:$F$1005,MATCH($D9,RUNS!$A$6:$A$1005,0))="","",INDEX(RUNS!$F$6:$F$1005,MATCH($D9,RUNS!$A$6:$A$1005,0))),""))</f>
        <v/>
      </c>
      <c r="N9" s="33">
        <f>IF($D9="","",IFERROR(IF(INDEX(RUNS!$G$6:$G$1005,MATCH($D9,RUNS!$A$6:$A$1005,0))="","",INDEX(RUNS!$G$6:$G$1005,MATCH($D9,RUNS!$A$6:$A$1005,0))),""))</f>
        <v/>
      </c>
      <c r="O9" s="33">
        <f>IF($D9="","",IFERROR(IF(INDEX(RUNS!$H$6:$H$1005,MATCH($D9,RUNS!$A$6:$A$1005,0))="","",INDEX(RUNS!$H$6:$H$1005,MATCH($D9,RUNS!$A$6:$A$1005,0))),""))</f>
        <v/>
      </c>
      <c r="P9" s="33">
        <f>IF($D9="","",IFERROR(IF(INDEX(RUNS!$J$6:$J$1005,MATCH($D9,RUNS!$A$6:$A$1005,0))="","",INDEX(RUNS!$J$6:$J$1005,MATCH($D9,RUNS!$A$6:$A$1005,0))),""))</f>
        <v/>
      </c>
      <c r="Q9" s="33">
        <f>IF($D9="","",IFERROR(IF(INDEX(RUNS!$K$6:$K$1005,MATCH($D9,RUNS!$A$6:$A$1005,0))="","",INDEX(RUNS!$K$6:$K$1005,MATCH($D9,RUNS!$A$6:$A$1005,0))),""))</f>
        <v/>
      </c>
      <c r="R9" s="34">
        <f>IF(OR($L9="",$K9=""),"",IFERROR(IF(INDEX(PARAMETRES!$H$43:$H$342,MATCH($L9&amp;"|"&amp;$M9&amp;"|"&amp;$N9&amp;"|"&amp;$O9&amp;"|"&amp;$P9&amp;"|"&amp;$Q9&amp;"|"&amp;$K9,PARAMETRES!$J$43:$J$342,0))="","",INDEX(PARAMETRES!$H$43:$H$342,MATCH($L9&amp;"|"&amp;$M9&amp;"|"&amp;$N9&amp;"|"&amp;$O9&amp;"|"&amp;$P9&amp;"|"&amp;$Q9&amp;"|"&amp;$K9,PARAMETRES!$J$43:$J$342,0))),""))</f>
        <v/>
      </c>
      <c r="S9" s="35">
        <f>IF(OR($G9="",$X9&lt;&gt;"VALIDE"),"",IFERROR(LOOKUP(2,1/(($B$3:$B8=$B9)*($G$3:$G8=$G9)*($X$3:$X8="VALIDE")),$C$3:$C8),""))</f>
        <v/>
      </c>
      <c r="T9" s="36">
        <f>IF(OR($C9="",$S9=""),"",ROUND(($C9-$S9+IF($C9&lt;$S9,1,0))*1440,0))</f>
        <v/>
      </c>
      <c r="U9" s="22">
        <f>IF(OR($H9="",$T9="",$T9&lt;=0),"",$H9*60/$T9)</f>
        <v/>
      </c>
      <c r="V9" s="37">
        <f>IF(OR($U9="",$R9="",$R9=0),"",$U9/$R9)</f>
        <v/>
      </c>
      <c r="W9" s="20">
        <f>IF($G9="","",IF($X9="CONTEXTE INCOMPLET","CONTEXTE INCOMPLET",IF($X9="DOUBLON",StatutDoublon,IF($S9="",StatutInitial,IF($R9="",StatutStandardManquant,IF($V9="","DONNEES INSUFFISANTES",IF($V9&gt;=SeuilConforme,StatutConforme,IF($V9&gt;=SeuilSurveiller,StatutSurveiller,StatutSousStandard))))))))</f>
        <v/>
      </c>
      <c r="X9" s="33">
        <f>IF($G9="","",IF(OR($D9="",$E9="",$F9=""),"CONTEXTE INCOMPLET",IF(COUNTIFS($D$3:$D8,$D9,$E$3:$E8,$E9,$F$3:$F8,$F9,$G$3:$G8,$G9)&gt;0,"DOUBLON","VALIDE")))</f>
        <v/>
      </c>
    </row>
    <row r="10" ht="15" customHeight="1">
      <c r="A10" s="12">
        <f>IF(OR($B10="",$G10=""),"",TEXT($B10,"YYYYMMDD")&amp;"-"&amp;SUBSTITUTE($E10," ","")&amp;"-"&amp;$F10&amp;"-"&amp;$G10)</f>
        <v/>
      </c>
      <c r="B10" s="15" t="n"/>
      <c r="C10" s="16" t="n"/>
      <c r="D10" s="10" t="n"/>
      <c r="E10" s="9" t="n"/>
      <c r="F10" s="9" t="n"/>
      <c r="G10" s="13" t="n"/>
      <c r="H10" s="21" t="n"/>
      <c r="I10" s="21" t="n"/>
      <c r="J10" s="17">
        <f>IF($G10="","",IFERROR(INDEX(NomsEmployes,MATCH($G10,MatriculesEmployes,0)),"MATRICULE INCONNU"))</f>
        <v/>
      </c>
      <c r="K10" s="33">
        <f>IF(OR($D10="",$F10=""),"",IFERROR(IF(INDEX(RUNS!$L$6:$S$1005,MATCH($D10,RUNS!$A$6:$A$1005,0),MATCH("ACTIVITÉ "&amp;$F10,RUNS!$L$5:$S$5,0))="","",INDEX(RUNS!$L$6:$S$1005,MATCH($D10,RUNS!$A$6:$A$1005,0),MATCH("ACTIVITÉ "&amp;$F10,RUNS!$L$5:$S$5,0))),""))</f>
        <v/>
      </c>
      <c r="L10" s="33">
        <f>IF($D10="","",IFERROR(IF(INDEX(RUNS!$E$6:$E$1005,MATCH($D10,RUNS!$A$6:$A$1005,0))="","",INDEX(RUNS!$E$6:$E$1005,MATCH($D10,RUNS!$A$6:$A$1005,0))),""))</f>
        <v/>
      </c>
      <c r="M10" s="33">
        <f>IF($D10="","",IFERROR(IF(INDEX(RUNS!$F$6:$F$1005,MATCH($D10,RUNS!$A$6:$A$1005,0))="","",INDEX(RUNS!$F$6:$F$1005,MATCH($D10,RUNS!$A$6:$A$1005,0))),""))</f>
        <v/>
      </c>
      <c r="N10" s="33">
        <f>IF($D10="","",IFERROR(IF(INDEX(RUNS!$G$6:$G$1005,MATCH($D10,RUNS!$A$6:$A$1005,0))="","",INDEX(RUNS!$G$6:$G$1005,MATCH($D10,RUNS!$A$6:$A$1005,0))),""))</f>
        <v/>
      </c>
      <c r="O10" s="33">
        <f>IF($D10="","",IFERROR(IF(INDEX(RUNS!$H$6:$H$1005,MATCH($D10,RUNS!$A$6:$A$1005,0))="","",INDEX(RUNS!$H$6:$H$1005,MATCH($D10,RUNS!$A$6:$A$1005,0))),""))</f>
        <v/>
      </c>
      <c r="P10" s="33">
        <f>IF($D10="","",IFERROR(IF(INDEX(RUNS!$J$6:$J$1005,MATCH($D10,RUNS!$A$6:$A$1005,0))="","",INDEX(RUNS!$J$6:$J$1005,MATCH($D10,RUNS!$A$6:$A$1005,0))),""))</f>
        <v/>
      </c>
      <c r="Q10" s="33">
        <f>IF($D10="","",IFERROR(IF(INDEX(RUNS!$K$6:$K$1005,MATCH($D10,RUNS!$A$6:$A$1005,0))="","",INDEX(RUNS!$K$6:$K$1005,MATCH($D10,RUNS!$A$6:$A$1005,0))),""))</f>
        <v/>
      </c>
      <c r="R10" s="34">
        <f>IF(OR($L10="",$K10=""),"",IFERROR(IF(INDEX(PARAMETRES!$H$43:$H$342,MATCH($L10&amp;"|"&amp;$M10&amp;"|"&amp;$N10&amp;"|"&amp;$O10&amp;"|"&amp;$P10&amp;"|"&amp;$Q10&amp;"|"&amp;$K10,PARAMETRES!$J$43:$J$342,0))="","",INDEX(PARAMETRES!$H$43:$H$342,MATCH($L10&amp;"|"&amp;$M10&amp;"|"&amp;$N10&amp;"|"&amp;$O10&amp;"|"&amp;$P10&amp;"|"&amp;$Q10&amp;"|"&amp;$K10,PARAMETRES!$J$43:$J$342,0))),""))</f>
        <v/>
      </c>
      <c r="S10" s="35">
        <f>IF(OR($G10="",$X10&lt;&gt;"VALIDE"),"",IFERROR(LOOKUP(2,1/(($B$3:$B9=$B10)*($G$3:$G9=$G10)*($X$3:$X9="VALIDE")),$C$3:$C9),""))</f>
        <v/>
      </c>
      <c r="T10" s="36">
        <f>IF(OR($C10="",$S10=""),"",ROUND(($C10-$S10+IF($C10&lt;$S10,1,0))*1440,0))</f>
        <v/>
      </c>
      <c r="U10" s="22">
        <f>IF(OR($H10="",$T10="",$T10&lt;=0),"",$H10*60/$T10)</f>
        <v/>
      </c>
      <c r="V10" s="37">
        <f>IF(OR($U10="",$R10="",$R10=0),"",$U10/$R10)</f>
        <v/>
      </c>
      <c r="W10" s="20">
        <f>IF($G10="","",IF($X10="CONTEXTE INCOMPLET","CONTEXTE INCOMPLET",IF($X10="DOUBLON",StatutDoublon,IF($S10="",StatutInitial,IF($R10="",StatutStandardManquant,IF($V10="","DONNEES INSUFFISANTES",IF($V10&gt;=SeuilConforme,StatutConforme,IF($V10&gt;=SeuilSurveiller,StatutSurveiller,StatutSousStandard))))))))</f>
        <v/>
      </c>
      <c r="X10" s="33">
        <f>IF($G10="","",IF(OR($D10="",$E10="",$F10=""),"CONTEXTE INCOMPLET",IF(COUNTIFS($D$3:$D9,$D10,$E$3:$E9,$E10,$F$3:$F9,$F10,$G$3:$G9,$G10)&gt;0,"DOUBLON","VALIDE")))</f>
        <v/>
      </c>
    </row>
    <row r="11" ht="15" customHeight="1">
      <c r="A11" s="12">
        <f>IF(OR($B11="",$G11=""),"",TEXT($B11,"YYYYMMDD")&amp;"-"&amp;SUBSTITUTE($E11," ","")&amp;"-"&amp;$F11&amp;"-"&amp;$G11)</f>
        <v/>
      </c>
      <c r="B11" s="15" t="n"/>
      <c r="C11" s="16" t="n"/>
      <c r="D11" s="10" t="n"/>
      <c r="E11" s="9" t="n"/>
      <c r="F11" s="9" t="n"/>
      <c r="G11" s="13" t="n"/>
      <c r="H11" s="21" t="n"/>
      <c r="I11" s="21" t="n"/>
      <c r="J11" s="17">
        <f>IF($G11="","",IFERROR(INDEX(NomsEmployes,MATCH($G11,MatriculesEmployes,0)),"MATRICULE INCONNU"))</f>
        <v/>
      </c>
      <c r="K11" s="33">
        <f>IF(OR($D11="",$F11=""),"",IFERROR(IF(INDEX(RUNS!$L$6:$S$1005,MATCH($D11,RUNS!$A$6:$A$1005,0),MATCH("ACTIVITÉ "&amp;$F11,RUNS!$L$5:$S$5,0))="","",INDEX(RUNS!$L$6:$S$1005,MATCH($D11,RUNS!$A$6:$A$1005,0),MATCH("ACTIVITÉ "&amp;$F11,RUNS!$L$5:$S$5,0))),""))</f>
        <v/>
      </c>
      <c r="L11" s="33">
        <f>IF($D11="","",IFERROR(IF(INDEX(RUNS!$E$6:$E$1005,MATCH($D11,RUNS!$A$6:$A$1005,0))="","",INDEX(RUNS!$E$6:$E$1005,MATCH($D11,RUNS!$A$6:$A$1005,0))),""))</f>
        <v/>
      </c>
      <c r="M11" s="33">
        <f>IF($D11="","",IFERROR(IF(INDEX(RUNS!$F$6:$F$1005,MATCH($D11,RUNS!$A$6:$A$1005,0))="","",INDEX(RUNS!$F$6:$F$1005,MATCH($D11,RUNS!$A$6:$A$1005,0))),""))</f>
        <v/>
      </c>
      <c r="N11" s="33">
        <f>IF($D11="","",IFERROR(IF(INDEX(RUNS!$G$6:$G$1005,MATCH($D11,RUNS!$A$6:$A$1005,0))="","",INDEX(RUNS!$G$6:$G$1005,MATCH($D11,RUNS!$A$6:$A$1005,0))),""))</f>
        <v/>
      </c>
      <c r="O11" s="33">
        <f>IF($D11="","",IFERROR(IF(INDEX(RUNS!$H$6:$H$1005,MATCH($D11,RUNS!$A$6:$A$1005,0))="","",INDEX(RUNS!$H$6:$H$1005,MATCH($D11,RUNS!$A$6:$A$1005,0))),""))</f>
        <v/>
      </c>
      <c r="P11" s="33">
        <f>IF($D11="","",IFERROR(IF(INDEX(RUNS!$J$6:$J$1005,MATCH($D11,RUNS!$A$6:$A$1005,0))="","",INDEX(RUNS!$J$6:$J$1005,MATCH($D11,RUNS!$A$6:$A$1005,0))),""))</f>
        <v/>
      </c>
      <c r="Q11" s="33">
        <f>IF($D11="","",IFERROR(IF(INDEX(RUNS!$K$6:$K$1005,MATCH($D11,RUNS!$A$6:$A$1005,0))="","",INDEX(RUNS!$K$6:$K$1005,MATCH($D11,RUNS!$A$6:$A$1005,0))),""))</f>
        <v/>
      </c>
      <c r="R11" s="34">
        <f>IF(OR($L11="",$K11=""),"",IFERROR(IF(INDEX(PARAMETRES!$H$43:$H$342,MATCH($L11&amp;"|"&amp;$M11&amp;"|"&amp;$N11&amp;"|"&amp;$O11&amp;"|"&amp;$P11&amp;"|"&amp;$Q11&amp;"|"&amp;$K11,PARAMETRES!$J$43:$J$342,0))="","",INDEX(PARAMETRES!$H$43:$H$342,MATCH($L11&amp;"|"&amp;$M11&amp;"|"&amp;$N11&amp;"|"&amp;$O11&amp;"|"&amp;$P11&amp;"|"&amp;$Q11&amp;"|"&amp;$K11,PARAMETRES!$J$43:$J$342,0))),""))</f>
        <v/>
      </c>
      <c r="S11" s="35">
        <f>IF(OR($G11="",$X11&lt;&gt;"VALIDE"),"",IFERROR(LOOKUP(2,1/(($B$3:$B10=$B11)*($G$3:$G10=$G11)*($X$3:$X10="VALIDE")),$C$3:$C10),""))</f>
        <v/>
      </c>
      <c r="T11" s="36">
        <f>IF(OR($C11="",$S11=""),"",ROUND(($C11-$S11+IF($C11&lt;$S11,1,0))*1440,0))</f>
        <v/>
      </c>
      <c r="U11" s="22">
        <f>IF(OR($H11="",$T11="",$T11&lt;=0),"",$H11*60/$T11)</f>
        <v/>
      </c>
      <c r="V11" s="37">
        <f>IF(OR($U11="",$R11="",$R11=0),"",$U11/$R11)</f>
        <v/>
      </c>
      <c r="W11" s="20">
        <f>IF($G11="","",IF($X11="CONTEXTE INCOMPLET","CONTEXTE INCOMPLET",IF($X11="DOUBLON",StatutDoublon,IF($S11="",StatutInitial,IF($R11="",StatutStandardManquant,IF($V11="","DONNEES INSUFFISANTES",IF($V11&gt;=SeuilConforme,StatutConforme,IF($V11&gt;=SeuilSurveiller,StatutSurveiller,StatutSousStandard))))))))</f>
        <v/>
      </c>
      <c r="X11" s="33">
        <f>IF($G11="","",IF(OR($D11="",$E11="",$F11=""),"CONTEXTE INCOMPLET",IF(COUNTIFS($D$3:$D10,$D11,$E$3:$E10,$E11,$F$3:$F10,$F11,$G$3:$G10,$G11)&gt;0,"DOUBLON","VALIDE")))</f>
        <v/>
      </c>
    </row>
    <row r="12" ht="15" customHeight="1">
      <c r="A12" s="12">
        <f>IF(OR($B12="",$G12=""),"",TEXT($B12,"YYYYMMDD")&amp;"-"&amp;SUBSTITUTE($E12," ","")&amp;"-"&amp;$F12&amp;"-"&amp;$G12)</f>
        <v/>
      </c>
      <c r="B12" s="15" t="n"/>
      <c r="C12" s="16" t="n"/>
      <c r="D12" s="10" t="n"/>
      <c r="E12" s="9" t="n"/>
      <c r="F12" s="9" t="n"/>
      <c r="G12" s="13" t="n"/>
      <c r="H12" s="21" t="n"/>
      <c r="I12" s="21" t="n"/>
      <c r="J12" s="17">
        <f>IF($G12="","",IFERROR(INDEX(NomsEmployes,MATCH($G12,MatriculesEmployes,0)),"MATRICULE INCONNU"))</f>
        <v/>
      </c>
      <c r="K12" s="33">
        <f>IF(OR($D12="",$F12=""),"",IFERROR(IF(INDEX(RUNS!$L$6:$S$1005,MATCH($D12,RUNS!$A$6:$A$1005,0),MATCH("ACTIVITÉ "&amp;$F12,RUNS!$L$5:$S$5,0))="","",INDEX(RUNS!$L$6:$S$1005,MATCH($D12,RUNS!$A$6:$A$1005,0),MATCH("ACTIVITÉ "&amp;$F12,RUNS!$L$5:$S$5,0))),""))</f>
        <v/>
      </c>
      <c r="L12" s="33">
        <f>IF($D12="","",IFERROR(IF(INDEX(RUNS!$E$6:$E$1005,MATCH($D12,RUNS!$A$6:$A$1005,0))="","",INDEX(RUNS!$E$6:$E$1005,MATCH($D12,RUNS!$A$6:$A$1005,0))),""))</f>
        <v/>
      </c>
      <c r="M12" s="33">
        <f>IF($D12="","",IFERROR(IF(INDEX(RUNS!$F$6:$F$1005,MATCH($D12,RUNS!$A$6:$A$1005,0))="","",INDEX(RUNS!$F$6:$F$1005,MATCH($D12,RUNS!$A$6:$A$1005,0))),""))</f>
        <v/>
      </c>
      <c r="N12" s="33">
        <f>IF($D12="","",IFERROR(IF(INDEX(RUNS!$G$6:$G$1005,MATCH($D12,RUNS!$A$6:$A$1005,0))="","",INDEX(RUNS!$G$6:$G$1005,MATCH($D12,RUNS!$A$6:$A$1005,0))),""))</f>
        <v/>
      </c>
      <c r="O12" s="33">
        <f>IF($D12="","",IFERROR(IF(INDEX(RUNS!$H$6:$H$1005,MATCH($D12,RUNS!$A$6:$A$1005,0))="","",INDEX(RUNS!$H$6:$H$1005,MATCH($D12,RUNS!$A$6:$A$1005,0))),""))</f>
        <v/>
      </c>
      <c r="P12" s="33">
        <f>IF($D12="","",IFERROR(IF(INDEX(RUNS!$J$6:$J$1005,MATCH($D12,RUNS!$A$6:$A$1005,0))="","",INDEX(RUNS!$J$6:$J$1005,MATCH($D12,RUNS!$A$6:$A$1005,0))),""))</f>
        <v/>
      </c>
      <c r="Q12" s="33">
        <f>IF($D12="","",IFERROR(IF(INDEX(RUNS!$K$6:$K$1005,MATCH($D12,RUNS!$A$6:$A$1005,0))="","",INDEX(RUNS!$K$6:$K$1005,MATCH($D12,RUNS!$A$6:$A$1005,0))),""))</f>
        <v/>
      </c>
      <c r="R12" s="34">
        <f>IF(OR($L12="",$K12=""),"",IFERROR(IF(INDEX(PARAMETRES!$H$43:$H$342,MATCH($L12&amp;"|"&amp;$M12&amp;"|"&amp;$N12&amp;"|"&amp;$O12&amp;"|"&amp;$P12&amp;"|"&amp;$Q12&amp;"|"&amp;$K12,PARAMETRES!$J$43:$J$342,0))="","",INDEX(PARAMETRES!$H$43:$H$342,MATCH($L12&amp;"|"&amp;$M12&amp;"|"&amp;$N12&amp;"|"&amp;$O12&amp;"|"&amp;$P12&amp;"|"&amp;$Q12&amp;"|"&amp;$K12,PARAMETRES!$J$43:$J$342,0))),""))</f>
        <v/>
      </c>
      <c r="S12" s="35">
        <f>IF(OR($G12="",$X12&lt;&gt;"VALIDE"),"",IFERROR(LOOKUP(2,1/(($B$3:$B11=$B12)*($G$3:$G11=$G12)*($X$3:$X11="VALIDE")),$C$3:$C11),""))</f>
        <v/>
      </c>
      <c r="T12" s="36">
        <f>IF(OR($C12="",$S12=""),"",ROUND(($C12-$S12+IF($C12&lt;$S12,1,0))*1440,0))</f>
        <v/>
      </c>
      <c r="U12" s="22">
        <f>IF(OR($H12="",$T12="",$T12&lt;=0),"",$H12*60/$T12)</f>
        <v/>
      </c>
      <c r="V12" s="37">
        <f>IF(OR($U12="",$R12="",$R12=0),"",$U12/$R12)</f>
        <v/>
      </c>
      <c r="W12" s="20">
        <f>IF($G12="","",IF($X12="CONTEXTE INCOMPLET","CONTEXTE INCOMPLET",IF($X12="DOUBLON",StatutDoublon,IF($S12="",StatutInitial,IF($R12="",StatutStandardManquant,IF($V12="","DONNEES INSUFFISANTES",IF($V12&gt;=SeuilConforme,StatutConforme,IF($V12&gt;=SeuilSurveiller,StatutSurveiller,StatutSousStandard))))))))</f>
        <v/>
      </c>
      <c r="X12" s="33">
        <f>IF($G12="","",IF(OR($D12="",$E12="",$F12=""),"CONTEXTE INCOMPLET",IF(COUNTIFS($D$3:$D11,$D12,$E$3:$E11,$E12,$F$3:$F11,$F12,$G$3:$G11,$G12)&gt;0,"DOUBLON","VALIDE")))</f>
        <v/>
      </c>
    </row>
    <row r="13" ht="15" customHeight="1">
      <c r="A13" s="12">
        <f>IF(OR($B13="",$G13=""),"",TEXT($B13,"YYYYMMDD")&amp;"-"&amp;SUBSTITUTE($E13," ","")&amp;"-"&amp;$F13&amp;"-"&amp;$G13)</f>
        <v/>
      </c>
      <c r="B13" s="15" t="n"/>
      <c r="C13" s="16" t="n"/>
      <c r="D13" s="10" t="n"/>
      <c r="E13" s="9" t="n"/>
      <c r="F13" s="9" t="n"/>
      <c r="G13" s="13" t="n"/>
      <c r="H13" s="21" t="n"/>
      <c r="I13" s="21" t="n"/>
      <c r="J13" s="17">
        <f>IF($G13="","",IFERROR(INDEX(NomsEmployes,MATCH($G13,MatriculesEmployes,0)),"MATRICULE INCONNU"))</f>
        <v/>
      </c>
      <c r="K13" s="33">
        <f>IF(OR($D13="",$F13=""),"",IFERROR(IF(INDEX(RUNS!$L$6:$S$1005,MATCH($D13,RUNS!$A$6:$A$1005,0),MATCH("ACTIVITÉ "&amp;$F13,RUNS!$L$5:$S$5,0))="","",INDEX(RUNS!$L$6:$S$1005,MATCH($D13,RUNS!$A$6:$A$1005,0),MATCH("ACTIVITÉ "&amp;$F13,RUNS!$L$5:$S$5,0))),""))</f>
        <v/>
      </c>
      <c r="L13" s="33">
        <f>IF($D13="","",IFERROR(IF(INDEX(RUNS!$E$6:$E$1005,MATCH($D13,RUNS!$A$6:$A$1005,0))="","",INDEX(RUNS!$E$6:$E$1005,MATCH($D13,RUNS!$A$6:$A$1005,0))),""))</f>
        <v/>
      </c>
      <c r="M13" s="33">
        <f>IF($D13="","",IFERROR(IF(INDEX(RUNS!$F$6:$F$1005,MATCH($D13,RUNS!$A$6:$A$1005,0))="","",INDEX(RUNS!$F$6:$F$1005,MATCH($D13,RUNS!$A$6:$A$1005,0))),""))</f>
        <v/>
      </c>
      <c r="N13" s="33">
        <f>IF($D13="","",IFERROR(IF(INDEX(RUNS!$G$6:$G$1005,MATCH($D13,RUNS!$A$6:$A$1005,0))="","",INDEX(RUNS!$G$6:$G$1005,MATCH($D13,RUNS!$A$6:$A$1005,0))),""))</f>
        <v/>
      </c>
      <c r="O13" s="33">
        <f>IF($D13="","",IFERROR(IF(INDEX(RUNS!$H$6:$H$1005,MATCH($D13,RUNS!$A$6:$A$1005,0))="","",INDEX(RUNS!$H$6:$H$1005,MATCH($D13,RUNS!$A$6:$A$1005,0))),""))</f>
        <v/>
      </c>
      <c r="P13" s="33">
        <f>IF($D13="","",IFERROR(IF(INDEX(RUNS!$J$6:$J$1005,MATCH($D13,RUNS!$A$6:$A$1005,0))="","",INDEX(RUNS!$J$6:$J$1005,MATCH($D13,RUNS!$A$6:$A$1005,0))),""))</f>
        <v/>
      </c>
      <c r="Q13" s="33">
        <f>IF($D13="","",IFERROR(IF(INDEX(RUNS!$K$6:$K$1005,MATCH($D13,RUNS!$A$6:$A$1005,0))="","",INDEX(RUNS!$K$6:$K$1005,MATCH($D13,RUNS!$A$6:$A$1005,0))),""))</f>
        <v/>
      </c>
      <c r="R13" s="34">
        <f>IF(OR($L13="",$K13=""),"",IFERROR(IF(INDEX(PARAMETRES!$H$43:$H$342,MATCH($L13&amp;"|"&amp;$M13&amp;"|"&amp;$N13&amp;"|"&amp;$O13&amp;"|"&amp;$P13&amp;"|"&amp;$Q13&amp;"|"&amp;$K13,PARAMETRES!$J$43:$J$342,0))="","",INDEX(PARAMETRES!$H$43:$H$342,MATCH($L13&amp;"|"&amp;$M13&amp;"|"&amp;$N13&amp;"|"&amp;$O13&amp;"|"&amp;$P13&amp;"|"&amp;$Q13&amp;"|"&amp;$K13,PARAMETRES!$J$43:$J$342,0))),""))</f>
        <v/>
      </c>
      <c r="S13" s="35">
        <f>IF(OR($G13="",$X13&lt;&gt;"VALIDE"),"",IFERROR(LOOKUP(2,1/(($B$3:$B12=$B13)*($G$3:$G12=$G13)*($X$3:$X12="VALIDE")),$C$3:$C12),""))</f>
        <v/>
      </c>
      <c r="T13" s="36">
        <f>IF(OR($C13="",$S13=""),"",ROUND(($C13-$S13+IF($C13&lt;$S13,1,0))*1440,0))</f>
        <v/>
      </c>
      <c r="U13" s="22">
        <f>IF(OR($H13="",$T13="",$T13&lt;=0),"",$H13*60/$T13)</f>
        <v/>
      </c>
      <c r="V13" s="37">
        <f>IF(OR($U13="",$R13="",$R13=0),"",$U13/$R13)</f>
        <v/>
      </c>
      <c r="W13" s="20">
        <f>IF($G13="","",IF($X13="CONTEXTE INCOMPLET","CONTEXTE INCOMPLET",IF($X13="DOUBLON",StatutDoublon,IF($S13="",StatutInitial,IF($R13="",StatutStandardManquant,IF($V13="","DONNEES INSUFFISANTES",IF($V13&gt;=SeuilConforme,StatutConforme,IF($V13&gt;=SeuilSurveiller,StatutSurveiller,StatutSousStandard))))))))</f>
        <v/>
      </c>
      <c r="X13" s="33">
        <f>IF($G13="","",IF(OR($D13="",$E13="",$F13=""),"CONTEXTE INCOMPLET",IF(COUNTIFS($D$3:$D12,$D13,$E$3:$E12,$E13,$F$3:$F12,$F13,$G$3:$G12,$G13)&gt;0,"DOUBLON","VALIDE")))</f>
        <v/>
      </c>
    </row>
    <row r="14" ht="15" customHeight="1">
      <c r="A14" s="12">
        <f>IF(OR($B14="",$G14=""),"",TEXT($B14,"YYYYMMDD")&amp;"-"&amp;SUBSTITUTE($E14," ","")&amp;"-"&amp;$F14&amp;"-"&amp;$G14)</f>
        <v/>
      </c>
      <c r="B14" s="15" t="n"/>
      <c r="C14" s="16" t="n"/>
      <c r="D14" s="10" t="n"/>
      <c r="E14" s="9" t="n"/>
      <c r="F14" s="9" t="n"/>
      <c r="G14" s="13" t="n"/>
      <c r="H14" s="21" t="n"/>
      <c r="I14" s="21" t="n"/>
      <c r="J14" s="17">
        <f>IF($G14="","",IFERROR(INDEX(NomsEmployes,MATCH($G14,MatriculesEmployes,0)),"MATRICULE INCONNU"))</f>
        <v/>
      </c>
      <c r="K14" s="33">
        <f>IF(OR($D14="",$F14=""),"",IFERROR(IF(INDEX(RUNS!$L$6:$S$1005,MATCH($D14,RUNS!$A$6:$A$1005,0),MATCH("ACTIVITÉ "&amp;$F14,RUNS!$L$5:$S$5,0))="","",INDEX(RUNS!$L$6:$S$1005,MATCH($D14,RUNS!$A$6:$A$1005,0),MATCH("ACTIVITÉ "&amp;$F14,RUNS!$L$5:$S$5,0))),""))</f>
        <v/>
      </c>
      <c r="L14" s="33">
        <f>IF($D14="","",IFERROR(IF(INDEX(RUNS!$E$6:$E$1005,MATCH($D14,RUNS!$A$6:$A$1005,0))="","",INDEX(RUNS!$E$6:$E$1005,MATCH($D14,RUNS!$A$6:$A$1005,0))),""))</f>
        <v/>
      </c>
      <c r="M14" s="33">
        <f>IF($D14="","",IFERROR(IF(INDEX(RUNS!$F$6:$F$1005,MATCH($D14,RUNS!$A$6:$A$1005,0))="","",INDEX(RUNS!$F$6:$F$1005,MATCH($D14,RUNS!$A$6:$A$1005,0))),""))</f>
        <v/>
      </c>
      <c r="N14" s="33">
        <f>IF($D14="","",IFERROR(IF(INDEX(RUNS!$G$6:$G$1005,MATCH($D14,RUNS!$A$6:$A$1005,0))="","",INDEX(RUNS!$G$6:$G$1005,MATCH($D14,RUNS!$A$6:$A$1005,0))),""))</f>
        <v/>
      </c>
      <c r="O14" s="33">
        <f>IF($D14="","",IFERROR(IF(INDEX(RUNS!$H$6:$H$1005,MATCH($D14,RUNS!$A$6:$A$1005,0))="","",INDEX(RUNS!$H$6:$H$1005,MATCH($D14,RUNS!$A$6:$A$1005,0))),""))</f>
        <v/>
      </c>
      <c r="P14" s="33">
        <f>IF($D14="","",IFERROR(IF(INDEX(RUNS!$J$6:$J$1005,MATCH($D14,RUNS!$A$6:$A$1005,0))="","",INDEX(RUNS!$J$6:$J$1005,MATCH($D14,RUNS!$A$6:$A$1005,0))),""))</f>
        <v/>
      </c>
      <c r="Q14" s="33">
        <f>IF($D14="","",IFERROR(IF(INDEX(RUNS!$K$6:$K$1005,MATCH($D14,RUNS!$A$6:$A$1005,0))="","",INDEX(RUNS!$K$6:$K$1005,MATCH($D14,RUNS!$A$6:$A$1005,0))),""))</f>
        <v/>
      </c>
      <c r="R14" s="34">
        <f>IF(OR($L14="",$K14=""),"",IFERROR(IF(INDEX(PARAMETRES!$H$43:$H$342,MATCH($L14&amp;"|"&amp;$M14&amp;"|"&amp;$N14&amp;"|"&amp;$O14&amp;"|"&amp;$P14&amp;"|"&amp;$Q14&amp;"|"&amp;$K14,PARAMETRES!$J$43:$J$342,0))="","",INDEX(PARAMETRES!$H$43:$H$342,MATCH($L14&amp;"|"&amp;$M14&amp;"|"&amp;$N14&amp;"|"&amp;$O14&amp;"|"&amp;$P14&amp;"|"&amp;$Q14&amp;"|"&amp;$K14,PARAMETRES!$J$43:$J$342,0))),""))</f>
        <v/>
      </c>
      <c r="S14" s="35">
        <f>IF(OR($G14="",$X14&lt;&gt;"VALIDE"),"",IFERROR(LOOKUP(2,1/(($B$3:$B13=$B14)*($G$3:$G13=$G14)*($X$3:$X13="VALIDE")),$C$3:$C13),""))</f>
        <v/>
      </c>
      <c r="T14" s="36">
        <f>IF(OR($C14="",$S14=""),"",ROUND(($C14-$S14+IF($C14&lt;$S14,1,0))*1440,0))</f>
        <v/>
      </c>
      <c r="U14" s="22">
        <f>IF(OR($H14="",$T14="",$T14&lt;=0),"",$H14*60/$T14)</f>
        <v/>
      </c>
      <c r="V14" s="37">
        <f>IF(OR($U14="",$R14="",$R14=0),"",$U14/$R14)</f>
        <v/>
      </c>
      <c r="W14" s="20">
        <f>IF($G14="","",IF($X14="CONTEXTE INCOMPLET","CONTEXTE INCOMPLET",IF($X14="DOUBLON",StatutDoublon,IF($S14="",StatutInitial,IF($R14="",StatutStandardManquant,IF($V14="","DONNEES INSUFFISANTES",IF($V14&gt;=SeuilConforme,StatutConforme,IF($V14&gt;=SeuilSurveiller,StatutSurveiller,StatutSousStandard))))))))</f>
        <v/>
      </c>
      <c r="X14" s="33">
        <f>IF($G14="","",IF(OR($D14="",$E14="",$F14=""),"CONTEXTE INCOMPLET",IF(COUNTIFS($D$3:$D13,$D14,$E$3:$E13,$E14,$F$3:$F13,$F14,$G$3:$G13,$G14)&gt;0,"DOUBLON","VALIDE")))</f>
        <v/>
      </c>
    </row>
    <row r="15" ht="15" customHeight="1">
      <c r="A15" s="12">
        <f>IF(OR($B15="",$G15=""),"",TEXT($B15,"YYYYMMDD")&amp;"-"&amp;SUBSTITUTE($E15," ","")&amp;"-"&amp;$F15&amp;"-"&amp;$G15)</f>
        <v/>
      </c>
      <c r="B15" s="15" t="n"/>
      <c r="C15" s="16" t="n"/>
      <c r="D15" s="10" t="n"/>
      <c r="E15" s="9" t="n"/>
      <c r="F15" s="9" t="n"/>
      <c r="G15" s="13" t="n"/>
      <c r="H15" s="21" t="n"/>
      <c r="I15" s="21" t="n"/>
      <c r="J15" s="17">
        <f>IF($G15="","",IFERROR(INDEX(NomsEmployes,MATCH($G15,MatriculesEmployes,0)),"MATRICULE INCONNU"))</f>
        <v/>
      </c>
      <c r="K15" s="33">
        <f>IF(OR($D15="",$F15=""),"",IFERROR(IF(INDEX(RUNS!$L$6:$S$1005,MATCH($D15,RUNS!$A$6:$A$1005,0),MATCH("ACTIVITÉ "&amp;$F15,RUNS!$L$5:$S$5,0))="","",INDEX(RUNS!$L$6:$S$1005,MATCH($D15,RUNS!$A$6:$A$1005,0),MATCH("ACTIVITÉ "&amp;$F15,RUNS!$L$5:$S$5,0))),""))</f>
        <v/>
      </c>
      <c r="L15" s="33">
        <f>IF($D15="","",IFERROR(IF(INDEX(RUNS!$E$6:$E$1005,MATCH($D15,RUNS!$A$6:$A$1005,0))="","",INDEX(RUNS!$E$6:$E$1005,MATCH($D15,RUNS!$A$6:$A$1005,0))),""))</f>
        <v/>
      </c>
      <c r="M15" s="33">
        <f>IF($D15="","",IFERROR(IF(INDEX(RUNS!$F$6:$F$1005,MATCH($D15,RUNS!$A$6:$A$1005,0))="","",INDEX(RUNS!$F$6:$F$1005,MATCH($D15,RUNS!$A$6:$A$1005,0))),""))</f>
        <v/>
      </c>
      <c r="N15" s="33">
        <f>IF($D15="","",IFERROR(IF(INDEX(RUNS!$G$6:$G$1005,MATCH($D15,RUNS!$A$6:$A$1005,0))="","",INDEX(RUNS!$G$6:$G$1005,MATCH($D15,RUNS!$A$6:$A$1005,0))),""))</f>
        <v/>
      </c>
      <c r="O15" s="33">
        <f>IF($D15="","",IFERROR(IF(INDEX(RUNS!$H$6:$H$1005,MATCH($D15,RUNS!$A$6:$A$1005,0))="","",INDEX(RUNS!$H$6:$H$1005,MATCH($D15,RUNS!$A$6:$A$1005,0))),""))</f>
        <v/>
      </c>
      <c r="P15" s="33">
        <f>IF($D15="","",IFERROR(IF(INDEX(RUNS!$J$6:$J$1005,MATCH($D15,RUNS!$A$6:$A$1005,0))="","",INDEX(RUNS!$J$6:$J$1005,MATCH($D15,RUNS!$A$6:$A$1005,0))),""))</f>
        <v/>
      </c>
      <c r="Q15" s="33">
        <f>IF($D15="","",IFERROR(IF(INDEX(RUNS!$K$6:$K$1005,MATCH($D15,RUNS!$A$6:$A$1005,0))="","",INDEX(RUNS!$K$6:$K$1005,MATCH($D15,RUNS!$A$6:$A$1005,0))),""))</f>
        <v/>
      </c>
      <c r="R15" s="34">
        <f>IF(OR($L15="",$K15=""),"",IFERROR(IF(INDEX(PARAMETRES!$H$43:$H$342,MATCH($L15&amp;"|"&amp;$M15&amp;"|"&amp;$N15&amp;"|"&amp;$O15&amp;"|"&amp;$P15&amp;"|"&amp;$Q15&amp;"|"&amp;$K15,PARAMETRES!$J$43:$J$342,0))="","",INDEX(PARAMETRES!$H$43:$H$342,MATCH($L15&amp;"|"&amp;$M15&amp;"|"&amp;$N15&amp;"|"&amp;$O15&amp;"|"&amp;$P15&amp;"|"&amp;$Q15&amp;"|"&amp;$K15,PARAMETRES!$J$43:$J$342,0))),""))</f>
        <v/>
      </c>
      <c r="S15" s="35">
        <f>IF(OR($G15="",$X15&lt;&gt;"VALIDE"),"",IFERROR(LOOKUP(2,1/(($B$3:$B14=$B15)*($G$3:$G14=$G15)*($X$3:$X14="VALIDE")),$C$3:$C14),""))</f>
        <v/>
      </c>
      <c r="T15" s="36">
        <f>IF(OR($C15="",$S15=""),"",ROUND(($C15-$S15+IF($C15&lt;$S15,1,0))*1440,0))</f>
        <v/>
      </c>
      <c r="U15" s="22">
        <f>IF(OR($H15="",$T15="",$T15&lt;=0),"",$H15*60/$T15)</f>
        <v/>
      </c>
      <c r="V15" s="37">
        <f>IF(OR($U15="",$R15="",$R15=0),"",$U15/$R15)</f>
        <v/>
      </c>
      <c r="W15" s="20">
        <f>IF($G15="","",IF($X15="CONTEXTE INCOMPLET","CONTEXTE INCOMPLET",IF($X15="DOUBLON",StatutDoublon,IF($S15="",StatutInitial,IF($R15="",StatutStandardManquant,IF($V15="","DONNEES INSUFFISANTES",IF($V15&gt;=SeuilConforme,StatutConforme,IF($V15&gt;=SeuilSurveiller,StatutSurveiller,StatutSousStandard))))))))</f>
        <v/>
      </c>
      <c r="X15" s="33">
        <f>IF($G15="","",IF(OR($D15="",$E15="",$F15=""),"CONTEXTE INCOMPLET",IF(COUNTIFS($D$3:$D14,$D15,$E$3:$E14,$E15,$F$3:$F14,$F15,$G$3:$G14,$G15)&gt;0,"DOUBLON","VALIDE")))</f>
        <v/>
      </c>
    </row>
    <row r="16" ht="15" customHeight="1">
      <c r="A16" s="12">
        <f>IF(OR($B16="",$G16=""),"",TEXT($B16,"YYYYMMDD")&amp;"-"&amp;SUBSTITUTE($E16," ","")&amp;"-"&amp;$F16&amp;"-"&amp;$G16)</f>
        <v/>
      </c>
      <c r="B16" s="15" t="n"/>
      <c r="C16" s="16" t="n"/>
      <c r="D16" s="10" t="n"/>
      <c r="E16" s="9" t="n"/>
      <c r="F16" s="9" t="n"/>
      <c r="G16" s="13" t="n"/>
      <c r="H16" s="21" t="n"/>
      <c r="I16" s="21" t="n"/>
      <c r="J16" s="17">
        <f>IF($G16="","",IFERROR(INDEX(NomsEmployes,MATCH($G16,MatriculesEmployes,0)),"MATRICULE INCONNU"))</f>
        <v/>
      </c>
      <c r="K16" s="33">
        <f>IF(OR($D16="",$F16=""),"",IFERROR(IF(INDEX(RUNS!$L$6:$S$1005,MATCH($D16,RUNS!$A$6:$A$1005,0),MATCH("ACTIVITÉ "&amp;$F16,RUNS!$L$5:$S$5,0))="","",INDEX(RUNS!$L$6:$S$1005,MATCH($D16,RUNS!$A$6:$A$1005,0),MATCH("ACTIVITÉ "&amp;$F16,RUNS!$L$5:$S$5,0))),""))</f>
        <v/>
      </c>
      <c r="L16" s="33">
        <f>IF($D16="","",IFERROR(IF(INDEX(RUNS!$E$6:$E$1005,MATCH($D16,RUNS!$A$6:$A$1005,0))="","",INDEX(RUNS!$E$6:$E$1005,MATCH($D16,RUNS!$A$6:$A$1005,0))),""))</f>
        <v/>
      </c>
      <c r="M16" s="33">
        <f>IF($D16="","",IFERROR(IF(INDEX(RUNS!$F$6:$F$1005,MATCH($D16,RUNS!$A$6:$A$1005,0))="","",INDEX(RUNS!$F$6:$F$1005,MATCH($D16,RUNS!$A$6:$A$1005,0))),""))</f>
        <v/>
      </c>
      <c r="N16" s="33">
        <f>IF($D16="","",IFERROR(IF(INDEX(RUNS!$G$6:$G$1005,MATCH($D16,RUNS!$A$6:$A$1005,0))="","",INDEX(RUNS!$G$6:$G$1005,MATCH($D16,RUNS!$A$6:$A$1005,0))),""))</f>
        <v/>
      </c>
      <c r="O16" s="33">
        <f>IF($D16="","",IFERROR(IF(INDEX(RUNS!$H$6:$H$1005,MATCH($D16,RUNS!$A$6:$A$1005,0))="","",INDEX(RUNS!$H$6:$H$1005,MATCH($D16,RUNS!$A$6:$A$1005,0))),""))</f>
        <v/>
      </c>
      <c r="P16" s="33">
        <f>IF($D16="","",IFERROR(IF(INDEX(RUNS!$J$6:$J$1005,MATCH($D16,RUNS!$A$6:$A$1005,0))="","",INDEX(RUNS!$J$6:$J$1005,MATCH($D16,RUNS!$A$6:$A$1005,0))),""))</f>
        <v/>
      </c>
      <c r="Q16" s="33">
        <f>IF($D16="","",IFERROR(IF(INDEX(RUNS!$K$6:$K$1005,MATCH($D16,RUNS!$A$6:$A$1005,0))="","",INDEX(RUNS!$K$6:$K$1005,MATCH($D16,RUNS!$A$6:$A$1005,0))),""))</f>
        <v/>
      </c>
      <c r="R16" s="34">
        <f>IF(OR($L16="",$K16=""),"",IFERROR(IF(INDEX(PARAMETRES!$H$43:$H$342,MATCH($L16&amp;"|"&amp;$M16&amp;"|"&amp;$N16&amp;"|"&amp;$O16&amp;"|"&amp;$P16&amp;"|"&amp;$Q16&amp;"|"&amp;$K16,PARAMETRES!$J$43:$J$342,0))="","",INDEX(PARAMETRES!$H$43:$H$342,MATCH($L16&amp;"|"&amp;$M16&amp;"|"&amp;$N16&amp;"|"&amp;$O16&amp;"|"&amp;$P16&amp;"|"&amp;$Q16&amp;"|"&amp;$K16,PARAMETRES!$J$43:$J$342,0))),""))</f>
        <v/>
      </c>
      <c r="S16" s="35">
        <f>IF(OR($G16="",$X16&lt;&gt;"VALIDE"),"",IFERROR(LOOKUP(2,1/(($B$3:$B15=$B16)*($G$3:$G15=$G16)*($X$3:$X15="VALIDE")),$C$3:$C15),""))</f>
        <v/>
      </c>
      <c r="T16" s="36">
        <f>IF(OR($C16="",$S16=""),"",ROUND(($C16-$S16+IF($C16&lt;$S16,1,0))*1440,0))</f>
        <v/>
      </c>
      <c r="U16" s="22">
        <f>IF(OR($H16="",$T16="",$T16&lt;=0),"",$H16*60/$T16)</f>
        <v/>
      </c>
      <c r="V16" s="37">
        <f>IF(OR($U16="",$R16="",$R16=0),"",$U16/$R16)</f>
        <v/>
      </c>
      <c r="W16" s="20">
        <f>IF($G16="","",IF($X16="CONTEXTE INCOMPLET","CONTEXTE INCOMPLET",IF($X16="DOUBLON",StatutDoublon,IF($S16="",StatutInitial,IF($R16="",StatutStandardManquant,IF($V16="","DONNEES INSUFFISANTES",IF($V16&gt;=SeuilConforme,StatutConforme,IF($V16&gt;=SeuilSurveiller,StatutSurveiller,StatutSousStandard))))))))</f>
        <v/>
      </c>
      <c r="X16" s="33">
        <f>IF($G16="","",IF(OR($D16="",$E16="",$F16=""),"CONTEXTE INCOMPLET",IF(COUNTIFS($D$3:$D15,$D16,$E$3:$E15,$E16,$F$3:$F15,$F16,$G$3:$G15,$G16)&gt;0,"DOUBLON","VALIDE")))</f>
        <v/>
      </c>
    </row>
    <row r="17" ht="15" customHeight="1">
      <c r="A17" s="12">
        <f>IF(OR($B17="",$G17=""),"",TEXT($B17,"YYYYMMDD")&amp;"-"&amp;SUBSTITUTE($E17," ","")&amp;"-"&amp;$F17&amp;"-"&amp;$G17)</f>
        <v/>
      </c>
      <c r="B17" s="15" t="n"/>
      <c r="C17" s="16" t="n"/>
      <c r="D17" s="10" t="n"/>
      <c r="E17" s="9" t="n"/>
      <c r="F17" s="9" t="n"/>
      <c r="G17" s="13" t="n"/>
      <c r="H17" s="21" t="n"/>
      <c r="I17" s="21" t="n"/>
      <c r="J17" s="17">
        <f>IF($G17="","",IFERROR(INDEX(NomsEmployes,MATCH($G17,MatriculesEmployes,0)),"MATRICULE INCONNU"))</f>
        <v/>
      </c>
      <c r="K17" s="33">
        <f>IF(OR($D17="",$F17=""),"",IFERROR(IF(INDEX(RUNS!$L$6:$S$1005,MATCH($D17,RUNS!$A$6:$A$1005,0),MATCH("ACTIVITÉ "&amp;$F17,RUNS!$L$5:$S$5,0))="","",INDEX(RUNS!$L$6:$S$1005,MATCH($D17,RUNS!$A$6:$A$1005,0),MATCH("ACTIVITÉ "&amp;$F17,RUNS!$L$5:$S$5,0))),""))</f>
        <v/>
      </c>
      <c r="L17" s="33">
        <f>IF($D17="","",IFERROR(IF(INDEX(RUNS!$E$6:$E$1005,MATCH($D17,RUNS!$A$6:$A$1005,0))="","",INDEX(RUNS!$E$6:$E$1005,MATCH($D17,RUNS!$A$6:$A$1005,0))),""))</f>
        <v/>
      </c>
      <c r="M17" s="33">
        <f>IF($D17="","",IFERROR(IF(INDEX(RUNS!$F$6:$F$1005,MATCH($D17,RUNS!$A$6:$A$1005,0))="","",INDEX(RUNS!$F$6:$F$1005,MATCH($D17,RUNS!$A$6:$A$1005,0))),""))</f>
        <v/>
      </c>
      <c r="N17" s="33">
        <f>IF($D17="","",IFERROR(IF(INDEX(RUNS!$G$6:$G$1005,MATCH($D17,RUNS!$A$6:$A$1005,0))="","",INDEX(RUNS!$G$6:$G$1005,MATCH($D17,RUNS!$A$6:$A$1005,0))),""))</f>
        <v/>
      </c>
      <c r="O17" s="33">
        <f>IF($D17="","",IFERROR(IF(INDEX(RUNS!$H$6:$H$1005,MATCH($D17,RUNS!$A$6:$A$1005,0))="","",INDEX(RUNS!$H$6:$H$1005,MATCH($D17,RUNS!$A$6:$A$1005,0))),""))</f>
        <v/>
      </c>
      <c r="P17" s="33">
        <f>IF($D17="","",IFERROR(IF(INDEX(RUNS!$J$6:$J$1005,MATCH($D17,RUNS!$A$6:$A$1005,0))="","",INDEX(RUNS!$J$6:$J$1005,MATCH($D17,RUNS!$A$6:$A$1005,0))),""))</f>
        <v/>
      </c>
      <c r="Q17" s="33">
        <f>IF($D17="","",IFERROR(IF(INDEX(RUNS!$K$6:$K$1005,MATCH($D17,RUNS!$A$6:$A$1005,0))="","",INDEX(RUNS!$K$6:$K$1005,MATCH($D17,RUNS!$A$6:$A$1005,0))),""))</f>
        <v/>
      </c>
      <c r="R17" s="34">
        <f>IF(OR($L17="",$K17=""),"",IFERROR(IF(INDEX(PARAMETRES!$H$43:$H$342,MATCH($L17&amp;"|"&amp;$M17&amp;"|"&amp;$N17&amp;"|"&amp;$O17&amp;"|"&amp;$P17&amp;"|"&amp;$Q17&amp;"|"&amp;$K17,PARAMETRES!$J$43:$J$342,0))="","",INDEX(PARAMETRES!$H$43:$H$342,MATCH($L17&amp;"|"&amp;$M17&amp;"|"&amp;$N17&amp;"|"&amp;$O17&amp;"|"&amp;$P17&amp;"|"&amp;$Q17&amp;"|"&amp;$K17,PARAMETRES!$J$43:$J$342,0))),""))</f>
        <v/>
      </c>
      <c r="S17" s="35">
        <f>IF(OR($G17="",$X17&lt;&gt;"VALIDE"),"",IFERROR(LOOKUP(2,1/(($B$3:$B16=$B17)*($G$3:$G16=$G17)*($X$3:$X16="VALIDE")),$C$3:$C16),""))</f>
        <v/>
      </c>
      <c r="T17" s="36">
        <f>IF(OR($C17="",$S17=""),"",ROUND(($C17-$S17+IF($C17&lt;$S17,1,0))*1440,0))</f>
        <v/>
      </c>
      <c r="U17" s="22">
        <f>IF(OR($H17="",$T17="",$T17&lt;=0),"",$H17*60/$T17)</f>
        <v/>
      </c>
      <c r="V17" s="37">
        <f>IF(OR($U17="",$R17="",$R17=0),"",$U17/$R17)</f>
        <v/>
      </c>
      <c r="W17" s="20">
        <f>IF($G17="","",IF($X17="CONTEXTE INCOMPLET","CONTEXTE INCOMPLET",IF($X17="DOUBLON",StatutDoublon,IF($S17="",StatutInitial,IF($R17="",StatutStandardManquant,IF($V17="","DONNEES INSUFFISANTES",IF($V17&gt;=SeuilConforme,StatutConforme,IF($V17&gt;=SeuilSurveiller,StatutSurveiller,StatutSousStandard))))))))</f>
        <v/>
      </c>
      <c r="X17" s="33">
        <f>IF($G17="","",IF(OR($D17="",$E17="",$F17=""),"CONTEXTE INCOMPLET",IF(COUNTIFS($D$3:$D16,$D17,$E$3:$E16,$E17,$F$3:$F16,$F17,$G$3:$G16,$G17)&gt;0,"DOUBLON","VALIDE")))</f>
        <v/>
      </c>
    </row>
    <row r="18" ht="15" customHeight="1">
      <c r="A18" s="12">
        <f>IF(OR($B18="",$G18=""),"",TEXT($B18,"YYYYMMDD")&amp;"-"&amp;SUBSTITUTE($E18," ","")&amp;"-"&amp;$F18&amp;"-"&amp;$G18)</f>
        <v/>
      </c>
      <c r="B18" s="15" t="n"/>
      <c r="C18" s="16" t="n"/>
      <c r="D18" s="10" t="n"/>
      <c r="E18" s="9" t="n"/>
      <c r="F18" s="9" t="n"/>
      <c r="G18" s="13" t="n"/>
      <c r="H18" s="21" t="n"/>
      <c r="I18" s="21" t="n"/>
      <c r="J18" s="17">
        <f>IF($G18="","",IFERROR(INDEX(NomsEmployes,MATCH($G18,MatriculesEmployes,0)),"MATRICULE INCONNU"))</f>
        <v/>
      </c>
      <c r="K18" s="33">
        <f>IF(OR($D18="",$F18=""),"",IFERROR(IF(INDEX(RUNS!$L$6:$S$1005,MATCH($D18,RUNS!$A$6:$A$1005,0),MATCH("ACTIVITÉ "&amp;$F18,RUNS!$L$5:$S$5,0))="","",INDEX(RUNS!$L$6:$S$1005,MATCH($D18,RUNS!$A$6:$A$1005,0),MATCH("ACTIVITÉ "&amp;$F18,RUNS!$L$5:$S$5,0))),""))</f>
        <v/>
      </c>
      <c r="L18" s="33">
        <f>IF($D18="","",IFERROR(IF(INDEX(RUNS!$E$6:$E$1005,MATCH($D18,RUNS!$A$6:$A$1005,0))="","",INDEX(RUNS!$E$6:$E$1005,MATCH($D18,RUNS!$A$6:$A$1005,0))),""))</f>
        <v/>
      </c>
      <c r="M18" s="33">
        <f>IF($D18="","",IFERROR(IF(INDEX(RUNS!$F$6:$F$1005,MATCH($D18,RUNS!$A$6:$A$1005,0))="","",INDEX(RUNS!$F$6:$F$1005,MATCH($D18,RUNS!$A$6:$A$1005,0))),""))</f>
        <v/>
      </c>
      <c r="N18" s="33">
        <f>IF($D18="","",IFERROR(IF(INDEX(RUNS!$G$6:$G$1005,MATCH($D18,RUNS!$A$6:$A$1005,0))="","",INDEX(RUNS!$G$6:$G$1005,MATCH($D18,RUNS!$A$6:$A$1005,0))),""))</f>
        <v/>
      </c>
      <c r="O18" s="33">
        <f>IF($D18="","",IFERROR(IF(INDEX(RUNS!$H$6:$H$1005,MATCH($D18,RUNS!$A$6:$A$1005,0))="","",INDEX(RUNS!$H$6:$H$1005,MATCH($D18,RUNS!$A$6:$A$1005,0))),""))</f>
        <v/>
      </c>
      <c r="P18" s="33">
        <f>IF($D18="","",IFERROR(IF(INDEX(RUNS!$J$6:$J$1005,MATCH($D18,RUNS!$A$6:$A$1005,0))="","",INDEX(RUNS!$J$6:$J$1005,MATCH($D18,RUNS!$A$6:$A$1005,0))),""))</f>
        <v/>
      </c>
      <c r="Q18" s="33">
        <f>IF($D18="","",IFERROR(IF(INDEX(RUNS!$K$6:$K$1005,MATCH($D18,RUNS!$A$6:$A$1005,0))="","",INDEX(RUNS!$K$6:$K$1005,MATCH($D18,RUNS!$A$6:$A$1005,0))),""))</f>
        <v/>
      </c>
      <c r="R18" s="34">
        <f>IF(OR($L18="",$K18=""),"",IFERROR(IF(INDEX(PARAMETRES!$H$43:$H$342,MATCH($L18&amp;"|"&amp;$M18&amp;"|"&amp;$N18&amp;"|"&amp;$O18&amp;"|"&amp;$P18&amp;"|"&amp;$Q18&amp;"|"&amp;$K18,PARAMETRES!$J$43:$J$342,0))="","",INDEX(PARAMETRES!$H$43:$H$342,MATCH($L18&amp;"|"&amp;$M18&amp;"|"&amp;$N18&amp;"|"&amp;$O18&amp;"|"&amp;$P18&amp;"|"&amp;$Q18&amp;"|"&amp;$K18,PARAMETRES!$J$43:$J$342,0))),""))</f>
        <v/>
      </c>
      <c r="S18" s="35">
        <f>IF(OR($G18="",$X18&lt;&gt;"VALIDE"),"",IFERROR(LOOKUP(2,1/(($B$3:$B17=$B18)*($G$3:$G17=$G18)*($X$3:$X17="VALIDE")),$C$3:$C17),""))</f>
        <v/>
      </c>
      <c r="T18" s="36">
        <f>IF(OR($C18="",$S18=""),"",ROUND(($C18-$S18+IF($C18&lt;$S18,1,0))*1440,0))</f>
        <v/>
      </c>
      <c r="U18" s="22">
        <f>IF(OR($H18="",$T18="",$T18&lt;=0),"",$H18*60/$T18)</f>
        <v/>
      </c>
      <c r="V18" s="37">
        <f>IF(OR($U18="",$R18="",$R18=0),"",$U18/$R18)</f>
        <v/>
      </c>
      <c r="W18" s="20">
        <f>IF($G18="","",IF($X18="CONTEXTE INCOMPLET","CONTEXTE INCOMPLET",IF($X18="DOUBLON",StatutDoublon,IF($S18="",StatutInitial,IF($R18="",StatutStandardManquant,IF($V18="","DONNEES INSUFFISANTES",IF($V18&gt;=SeuilConforme,StatutConforme,IF($V18&gt;=SeuilSurveiller,StatutSurveiller,StatutSousStandard))))))))</f>
        <v/>
      </c>
      <c r="X18" s="33">
        <f>IF($G18="","",IF(OR($D18="",$E18="",$F18=""),"CONTEXTE INCOMPLET",IF(COUNTIFS($D$3:$D17,$D18,$E$3:$E17,$E18,$F$3:$F17,$F18,$G$3:$G17,$G18)&gt;0,"DOUBLON","VALIDE")))</f>
        <v/>
      </c>
    </row>
    <row r="19" ht="15" customHeight="1">
      <c r="A19" s="12">
        <f>IF(OR($B19="",$G19=""),"",TEXT($B19,"YYYYMMDD")&amp;"-"&amp;SUBSTITUTE($E19," ","")&amp;"-"&amp;$F19&amp;"-"&amp;$G19)</f>
        <v/>
      </c>
      <c r="B19" s="15" t="n"/>
      <c r="C19" s="16" t="n"/>
      <c r="D19" s="10" t="n"/>
      <c r="E19" s="9" t="n"/>
      <c r="F19" s="9" t="n"/>
      <c r="G19" s="13" t="n"/>
      <c r="H19" s="21" t="n"/>
      <c r="I19" s="21" t="n"/>
      <c r="J19" s="17">
        <f>IF($G19="","",IFERROR(INDEX(NomsEmployes,MATCH($G19,MatriculesEmployes,0)),"MATRICULE INCONNU"))</f>
        <v/>
      </c>
      <c r="K19" s="33">
        <f>IF(OR($D19="",$F19=""),"",IFERROR(IF(INDEX(RUNS!$L$6:$S$1005,MATCH($D19,RUNS!$A$6:$A$1005,0),MATCH("ACTIVITÉ "&amp;$F19,RUNS!$L$5:$S$5,0))="","",INDEX(RUNS!$L$6:$S$1005,MATCH($D19,RUNS!$A$6:$A$1005,0),MATCH("ACTIVITÉ "&amp;$F19,RUNS!$L$5:$S$5,0))),""))</f>
        <v/>
      </c>
      <c r="L19" s="33">
        <f>IF($D19="","",IFERROR(IF(INDEX(RUNS!$E$6:$E$1005,MATCH($D19,RUNS!$A$6:$A$1005,0))="","",INDEX(RUNS!$E$6:$E$1005,MATCH($D19,RUNS!$A$6:$A$1005,0))),""))</f>
        <v/>
      </c>
      <c r="M19" s="33">
        <f>IF($D19="","",IFERROR(IF(INDEX(RUNS!$F$6:$F$1005,MATCH($D19,RUNS!$A$6:$A$1005,0))="","",INDEX(RUNS!$F$6:$F$1005,MATCH($D19,RUNS!$A$6:$A$1005,0))),""))</f>
        <v/>
      </c>
      <c r="N19" s="33">
        <f>IF($D19="","",IFERROR(IF(INDEX(RUNS!$G$6:$G$1005,MATCH($D19,RUNS!$A$6:$A$1005,0))="","",INDEX(RUNS!$G$6:$G$1005,MATCH($D19,RUNS!$A$6:$A$1005,0))),""))</f>
        <v/>
      </c>
      <c r="O19" s="33">
        <f>IF($D19="","",IFERROR(IF(INDEX(RUNS!$H$6:$H$1005,MATCH($D19,RUNS!$A$6:$A$1005,0))="","",INDEX(RUNS!$H$6:$H$1005,MATCH($D19,RUNS!$A$6:$A$1005,0))),""))</f>
        <v/>
      </c>
      <c r="P19" s="33">
        <f>IF($D19="","",IFERROR(IF(INDEX(RUNS!$J$6:$J$1005,MATCH($D19,RUNS!$A$6:$A$1005,0))="","",INDEX(RUNS!$J$6:$J$1005,MATCH($D19,RUNS!$A$6:$A$1005,0))),""))</f>
        <v/>
      </c>
      <c r="Q19" s="33">
        <f>IF($D19="","",IFERROR(IF(INDEX(RUNS!$K$6:$K$1005,MATCH($D19,RUNS!$A$6:$A$1005,0))="","",INDEX(RUNS!$K$6:$K$1005,MATCH($D19,RUNS!$A$6:$A$1005,0))),""))</f>
        <v/>
      </c>
      <c r="R19" s="34">
        <f>IF(OR($L19="",$K19=""),"",IFERROR(IF(INDEX(PARAMETRES!$H$43:$H$342,MATCH($L19&amp;"|"&amp;$M19&amp;"|"&amp;$N19&amp;"|"&amp;$O19&amp;"|"&amp;$P19&amp;"|"&amp;$Q19&amp;"|"&amp;$K19,PARAMETRES!$J$43:$J$342,0))="","",INDEX(PARAMETRES!$H$43:$H$342,MATCH($L19&amp;"|"&amp;$M19&amp;"|"&amp;$N19&amp;"|"&amp;$O19&amp;"|"&amp;$P19&amp;"|"&amp;$Q19&amp;"|"&amp;$K19,PARAMETRES!$J$43:$J$342,0))),""))</f>
        <v/>
      </c>
      <c r="S19" s="35">
        <f>IF(OR($G19="",$X19&lt;&gt;"VALIDE"),"",IFERROR(LOOKUP(2,1/(($B$3:$B18=$B19)*($G$3:$G18=$G19)*($X$3:$X18="VALIDE")),$C$3:$C18),""))</f>
        <v/>
      </c>
      <c r="T19" s="36">
        <f>IF(OR($C19="",$S19=""),"",ROUND(($C19-$S19+IF($C19&lt;$S19,1,0))*1440,0))</f>
        <v/>
      </c>
      <c r="U19" s="22">
        <f>IF(OR($H19="",$T19="",$T19&lt;=0),"",$H19*60/$T19)</f>
        <v/>
      </c>
      <c r="V19" s="37">
        <f>IF(OR($U19="",$R19="",$R19=0),"",$U19/$R19)</f>
        <v/>
      </c>
      <c r="W19" s="20">
        <f>IF($G19="","",IF($X19="CONTEXTE INCOMPLET","CONTEXTE INCOMPLET",IF($X19="DOUBLON",StatutDoublon,IF($S19="",StatutInitial,IF($R19="",StatutStandardManquant,IF($V19="","DONNEES INSUFFISANTES",IF($V19&gt;=SeuilConforme,StatutConforme,IF($V19&gt;=SeuilSurveiller,StatutSurveiller,StatutSousStandard))))))))</f>
        <v/>
      </c>
      <c r="X19" s="33">
        <f>IF($G19="","",IF(OR($D19="",$E19="",$F19=""),"CONTEXTE INCOMPLET",IF(COUNTIFS($D$3:$D18,$D19,$E$3:$E18,$E19,$F$3:$F18,$F19,$G$3:$G18,$G19)&gt;0,"DOUBLON","VALIDE")))</f>
        <v/>
      </c>
    </row>
    <row r="20" ht="15" customHeight="1">
      <c r="A20" s="12">
        <f>IF(OR($B20="",$G20=""),"",TEXT($B20,"YYYYMMDD")&amp;"-"&amp;SUBSTITUTE($E20," ","")&amp;"-"&amp;$F20&amp;"-"&amp;$G20)</f>
        <v/>
      </c>
      <c r="B20" s="15" t="n"/>
      <c r="C20" s="16" t="n"/>
      <c r="D20" s="10" t="n"/>
      <c r="E20" s="9" t="n"/>
      <c r="F20" s="9" t="n"/>
      <c r="G20" s="13" t="n"/>
      <c r="H20" s="21" t="n"/>
      <c r="I20" s="21" t="n"/>
      <c r="J20" s="17">
        <f>IF($G20="","",IFERROR(INDEX(NomsEmployes,MATCH($G20,MatriculesEmployes,0)),"MATRICULE INCONNU"))</f>
        <v/>
      </c>
      <c r="K20" s="33">
        <f>IF(OR($D20="",$F20=""),"",IFERROR(IF(INDEX(RUNS!$L$6:$S$1005,MATCH($D20,RUNS!$A$6:$A$1005,0),MATCH("ACTIVITÉ "&amp;$F20,RUNS!$L$5:$S$5,0))="","",INDEX(RUNS!$L$6:$S$1005,MATCH($D20,RUNS!$A$6:$A$1005,0),MATCH("ACTIVITÉ "&amp;$F20,RUNS!$L$5:$S$5,0))),""))</f>
        <v/>
      </c>
      <c r="L20" s="33">
        <f>IF($D20="","",IFERROR(IF(INDEX(RUNS!$E$6:$E$1005,MATCH($D20,RUNS!$A$6:$A$1005,0))="","",INDEX(RUNS!$E$6:$E$1005,MATCH($D20,RUNS!$A$6:$A$1005,0))),""))</f>
        <v/>
      </c>
      <c r="M20" s="33">
        <f>IF($D20="","",IFERROR(IF(INDEX(RUNS!$F$6:$F$1005,MATCH($D20,RUNS!$A$6:$A$1005,0))="","",INDEX(RUNS!$F$6:$F$1005,MATCH($D20,RUNS!$A$6:$A$1005,0))),""))</f>
        <v/>
      </c>
      <c r="N20" s="33">
        <f>IF($D20="","",IFERROR(IF(INDEX(RUNS!$G$6:$G$1005,MATCH($D20,RUNS!$A$6:$A$1005,0))="","",INDEX(RUNS!$G$6:$G$1005,MATCH($D20,RUNS!$A$6:$A$1005,0))),""))</f>
        <v/>
      </c>
      <c r="O20" s="33">
        <f>IF($D20="","",IFERROR(IF(INDEX(RUNS!$H$6:$H$1005,MATCH($D20,RUNS!$A$6:$A$1005,0))="","",INDEX(RUNS!$H$6:$H$1005,MATCH($D20,RUNS!$A$6:$A$1005,0))),""))</f>
        <v/>
      </c>
      <c r="P20" s="33">
        <f>IF($D20="","",IFERROR(IF(INDEX(RUNS!$J$6:$J$1005,MATCH($D20,RUNS!$A$6:$A$1005,0))="","",INDEX(RUNS!$J$6:$J$1005,MATCH($D20,RUNS!$A$6:$A$1005,0))),""))</f>
        <v/>
      </c>
      <c r="Q20" s="33">
        <f>IF($D20="","",IFERROR(IF(INDEX(RUNS!$K$6:$K$1005,MATCH($D20,RUNS!$A$6:$A$1005,0))="","",INDEX(RUNS!$K$6:$K$1005,MATCH($D20,RUNS!$A$6:$A$1005,0))),""))</f>
        <v/>
      </c>
      <c r="R20" s="34">
        <f>IF(OR($L20="",$K20=""),"",IFERROR(IF(INDEX(PARAMETRES!$H$43:$H$342,MATCH($L20&amp;"|"&amp;$M20&amp;"|"&amp;$N20&amp;"|"&amp;$O20&amp;"|"&amp;$P20&amp;"|"&amp;$Q20&amp;"|"&amp;$K20,PARAMETRES!$J$43:$J$342,0))="","",INDEX(PARAMETRES!$H$43:$H$342,MATCH($L20&amp;"|"&amp;$M20&amp;"|"&amp;$N20&amp;"|"&amp;$O20&amp;"|"&amp;$P20&amp;"|"&amp;$Q20&amp;"|"&amp;$K20,PARAMETRES!$J$43:$J$342,0))),""))</f>
        <v/>
      </c>
      <c r="S20" s="35">
        <f>IF(OR($G20="",$X20&lt;&gt;"VALIDE"),"",IFERROR(LOOKUP(2,1/(($B$3:$B19=$B20)*($G$3:$G19=$G20)*($X$3:$X19="VALIDE")),$C$3:$C19),""))</f>
        <v/>
      </c>
      <c r="T20" s="36">
        <f>IF(OR($C20="",$S20=""),"",ROUND(($C20-$S20+IF($C20&lt;$S20,1,0))*1440,0))</f>
        <v/>
      </c>
      <c r="U20" s="22">
        <f>IF(OR($H20="",$T20="",$T20&lt;=0),"",$H20*60/$T20)</f>
        <v/>
      </c>
      <c r="V20" s="37">
        <f>IF(OR($U20="",$R20="",$R20=0),"",$U20/$R20)</f>
        <v/>
      </c>
      <c r="W20" s="20">
        <f>IF($G20="","",IF($X20="CONTEXTE INCOMPLET","CONTEXTE INCOMPLET",IF($X20="DOUBLON",StatutDoublon,IF($S20="",StatutInitial,IF($R20="",StatutStandardManquant,IF($V20="","DONNEES INSUFFISANTES",IF($V20&gt;=SeuilConforme,StatutConforme,IF($V20&gt;=SeuilSurveiller,StatutSurveiller,StatutSousStandard))))))))</f>
        <v/>
      </c>
      <c r="X20" s="33">
        <f>IF($G20="","",IF(OR($D20="",$E20="",$F20=""),"CONTEXTE INCOMPLET",IF(COUNTIFS($D$3:$D19,$D20,$E$3:$E19,$E20,$F$3:$F19,$F20,$G$3:$G19,$G20)&gt;0,"DOUBLON","VALIDE")))</f>
        <v/>
      </c>
    </row>
    <row r="21" ht="15" customHeight="1">
      <c r="A21" s="12">
        <f>IF(OR($B21="",$G21=""),"",TEXT($B21,"YYYYMMDD")&amp;"-"&amp;SUBSTITUTE($E21," ","")&amp;"-"&amp;$F21&amp;"-"&amp;$G21)</f>
        <v/>
      </c>
      <c r="B21" s="15" t="n"/>
      <c r="C21" s="16" t="n"/>
      <c r="D21" s="10" t="n"/>
      <c r="E21" s="9" t="n"/>
      <c r="F21" s="9" t="n"/>
      <c r="G21" s="13" t="n"/>
      <c r="H21" s="21" t="n"/>
      <c r="I21" s="21" t="n"/>
      <c r="J21" s="17">
        <f>IF($G21="","",IFERROR(INDEX(NomsEmployes,MATCH($G21,MatriculesEmployes,0)),"MATRICULE INCONNU"))</f>
        <v/>
      </c>
      <c r="K21" s="33">
        <f>IF(OR($D21="",$F21=""),"",IFERROR(IF(INDEX(RUNS!$L$6:$S$1005,MATCH($D21,RUNS!$A$6:$A$1005,0),MATCH("ACTIVITÉ "&amp;$F21,RUNS!$L$5:$S$5,0))="","",INDEX(RUNS!$L$6:$S$1005,MATCH($D21,RUNS!$A$6:$A$1005,0),MATCH("ACTIVITÉ "&amp;$F21,RUNS!$L$5:$S$5,0))),""))</f>
        <v/>
      </c>
      <c r="L21" s="33">
        <f>IF($D21="","",IFERROR(IF(INDEX(RUNS!$E$6:$E$1005,MATCH($D21,RUNS!$A$6:$A$1005,0))="","",INDEX(RUNS!$E$6:$E$1005,MATCH($D21,RUNS!$A$6:$A$1005,0))),""))</f>
        <v/>
      </c>
      <c r="M21" s="33">
        <f>IF($D21="","",IFERROR(IF(INDEX(RUNS!$F$6:$F$1005,MATCH($D21,RUNS!$A$6:$A$1005,0))="","",INDEX(RUNS!$F$6:$F$1005,MATCH($D21,RUNS!$A$6:$A$1005,0))),""))</f>
        <v/>
      </c>
      <c r="N21" s="33">
        <f>IF($D21="","",IFERROR(IF(INDEX(RUNS!$G$6:$G$1005,MATCH($D21,RUNS!$A$6:$A$1005,0))="","",INDEX(RUNS!$G$6:$G$1005,MATCH($D21,RUNS!$A$6:$A$1005,0))),""))</f>
        <v/>
      </c>
      <c r="O21" s="33">
        <f>IF($D21="","",IFERROR(IF(INDEX(RUNS!$H$6:$H$1005,MATCH($D21,RUNS!$A$6:$A$1005,0))="","",INDEX(RUNS!$H$6:$H$1005,MATCH($D21,RUNS!$A$6:$A$1005,0))),""))</f>
        <v/>
      </c>
      <c r="P21" s="33">
        <f>IF($D21="","",IFERROR(IF(INDEX(RUNS!$J$6:$J$1005,MATCH($D21,RUNS!$A$6:$A$1005,0))="","",INDEX(RUNS!$J$6:$J$1005,MATCH($D21,RUNS!$A$6:$A$1005,0))),""))</f>
        <v/>
      </c>
      <c r="Q21" s="33">
        <f>IF($D21="","",IFERROR(IF(INDEX(RUNS!$K$6:$K$1005,MATCH($D21,RUNS!$A$6:$A$1005,0))="","",INDEX(RUNS!$K$6:$K$1005,MATCH($D21,RUNS!$A$6:$A$1005,0))),""))</f>
        <v/>
      </c>
      <c r="R21" s="34">
        <f>IF(OR($L21="",$K21=""),"",IFERROR(IF(INDEX(PARAMETRES!$H$43:$H$342,MATCH($L21&amp;"|"&amp;$M21&amp;"|"&amp;$N21&amp;"|"&amp;$O21&amp;"|"&amp;$P21&amp;"|"&amp;$Q21&amp;"|"&amp;$K21,PARAMETRES!$J$43:$J$342,0))="","",INDEX(PARAMETRES!$H$43:$H$342,MATCH($L21&amp;"|"&amp;$M21&amp;"|"&amp;$N21&amp;"|"&amp;$O21&amp;"|"&amp;$P21&amp;"|"&amp;$Q21&amp;"|"&amp;$K21,PARAMETRES!$J$43:$J$342,0))),""))</f>
        <v/>
      </c>
      <c r="S21" s="35">
        <f>IF(OR($G21="",$X21&lt;&gt;"VALIDE"),"",IFERROR(LOOKUP(2,1/(($B$3:$B20=$B21)*($G$3:$G20=$G21)*($X$3:$X20="VALIDE")),$C$3:$C20),""))</f>
        <v/>
      </c>
      <c r="T21" s="36">
        <f>IF(OR($C21="",$S21=""),"",ROUND(($C21-$S21+IF($C21&lt;$S21,1,0))*1440,0))</f>
        <v/>
      </c>
      <c r="U21" s="22">
        <f>IF(OR($H21="",$T21="",$T21&lt;=0),"",$H21*60/$T21)</f>
        <v/>
      </c>
      <c r="V21" s="37">
        <f>IF(OR($U21="",$R21="",$R21=0),"",$U21/$R21)</f>
        <v/>
      </c>
      <c r="W21" s="20">
        <f>IF($G21="","",IF($X21="CONTEXTE INCOMPLET","CONTEXTE INCOMPLET",IF($X21="DOUBLON",StatutDoublon,IF($S21="",StatutInitial,IF($R21="",StatutStandardManquant,IF($V21="","DONNEES INSUFFISANTES",IF($V21&gt;=SeuilConforme,StatutConforme,IF($V21&gt;=SeuilSurveiller,StatutSurveiller,StatutSousStandard))))))))</f>
        <v/>
      </c>
      <c r="X21" s="33">
        <f>IF($G21="","",IF(OR($D21="",$E21="",$F21=""),"CONTEXTE INCOMPLET",IF(COUNTIFS($D$3:$D20,$D21,$E$3:$E20,$E21,$F$3:$F20,$F21,$G$3:$G20,$G21)&gt;0,"DOUBLON","VALIDE")))</f>
        <v/>
      </c>
    </row>
    <row r="22" ht="15" customHeight="1">
      <c r="A22" s="12">
        <f>IF(OR($B22="",$G22=""),"",TEXT($B22,"YYYYMMDD")&amp;"-"&amp;SUBSTITUTE($E22," ","")&amp;"-"&amp;$F22&amp;"-"&amp;$G22)</f>
        <v/>
      </c>
      <c r="B22" s="15" t="n"/>
      <c r="C22" s="16" t="n"/>
      <c r="D22" s="10" t="n"/>
      <c r="E22" s="9" t="n"/>
      <c r="F22" s="9" t="n"/>
      <c r="G22" s="13" t="n"/>
      <c r="H22" s="21" t="n"/>
      <c r="I22" s="21" t="n"/>
      <c r="J22" s="17">
        <f>IF($G22="","",IFERROR(INDEX(NomsEmployes,MATCH($G22,MatriculesEmployes,0)),"MATRICULE INCONNU"))</f>
        <v/>
      </c>
      <c r="K22" s="33">
        <f>IF(OR($D22="",$F22=""),"",IFERROR(IF(INDEX(RUNS!$L$6:$S$1005,MATCH($D22,RUNS!$A$6:$A$1005,0),MATCH("ACTIVITÉ "&amp;$F22,RUNS!$L$5:$S$5,0))="","",INDEX(RUNS!$L$6:$S$1005,MATCH($D22,RUNS!$A$6:$A$1005,0),MATCH("ACTIVITÉ "&amp;$F22,RUNS!$L$5:$S$5,0))),""))</f>
        <v/>
      </c>
      <c r="L22" s="33">
        <f>IF($D22="","",IFERROR(IF(INDEX(RUNS!$E$6:$E$1005,MATCH($D22,RUNS!$A$6:$A$1005,0))="","",INDEX(RUNS!$E$6:$E$1005,MATCH($D22,RUNS!$A$6:$A$1005,0))),""))</f>
        <v/>
      </c>
      <c r="M22" s="33">
        <f>IF($D22="","",IFERROR(IF(INDEX(RUNS!$F$6:$F$1005,MATCH($D22,RUNS!$A$6:$A$1005,0))="","",INDEX(RUNS!$F$6:$F$1005,MATCH($D22,RUNS!$A$6:$A$1005,0))),""))</f>
        <v/>
      </c>
      <c r="N22" s="33">
        <f>IF($D22="","",IFERROR(IF(INDEX(RUNS!$G$6:$G$1005,MATCH($D22,RUNS!$A$6:$A$1005,0))="","",INDEX(RUNS!$G$6:$G$1005,MATCH($D22,RUNS!$A$6:$A$1005,0))),""))</f>
        <v/>
      </c>
      <c r="O22" s="33">
        <f>IF($D22="","",IFERROR(IF(INDEX(RUNS!$H$6:$H$1005,MATCH($D22,RUNS!$A$6:$A$1005,0))="","",INDEX(RUNS!$H$6:$H$1005,MATCH($D22,RUNS!$A$6:$A$1005,0))),""))</f>
        <v/>
      </c>
      <c r="P22" s="33">
        <f>IF($D22="","",IFERROR(IF(INDEX(RUNS!$J$6:$J$1005,MATCH($D22,RUNS!$A$6:$A$1005,0))="","",INDEX(RUNS!$J$6:$J$1005,MATCH($D22,RUNS!$A$6:$A$1005,0))),""))</f>
        <v/>
      </c>
      <c r="Q22" s="33">
        <f>IF($D22="","",IFERROR(IF(INDEX(RUNS!$K$6:$K$1005,MATCH($D22,RUNS!$A$6:$A$1005,0))="","",INDEX(RUNS!$K$6:$K$1005,MATCH($D22,RUNS!$A$6:$A$1005,0))),""))</f>
        <v/>
      </c>
      <c r="R22" s="34">
        <f>IF(OR($L22="",$K22=""),"",IFERROR(IF(INDEX(PARAMETRES!$H$43:$H$342,MATCH($L22&amp;"|"&amp;$M22&amp;"|"&amp;$N22&amp;"|"&amp;$O22&amp;"|"&amp;$P22&amp;"|"&amp;$Q22&amp;"|"&amp;$K22,PARAMETRES!$J$43:$J$342,0))="","",INDEX(PARAMETRES!$H$43:$H$342,MATCH($L22&amp;"|"&amp;$M22&amp;"|"&amp;$N22&amp;"|"&amp;$O22&amp;"|"&amp;$P22&amp;"|"&amp;$Q22&amp;"|"&amp;$K22,PARAMETRES!$J$43:$J$342,0))),""))</f>
        <v/>
      </c>
      <c r="S22" s="35">
        <f>IF(OR($G22="",$X22&lt;&gt;"VALIDE"),"",IFERROR(LOOKUP(2,1/(($B$3:$B21=$B22)*($G$3:$G21=$G22)*($X$3:$X21="VALIDE")),$C$3:$C21),""))</f>
        <v/>
      </c>
      <c r="T22" s="36">
        <f>IF(OR($C22="",$S22=""),"",ROUND(($C22-$S22+IF($C22&lt;$S22,1,0))*1440,0))</f>
        <v/>
      </c>
      <c r="U22" s="22">
        <f>IF(OR($H22="",$T22="",$T22&lt;=0),"",$H22*60/$T22)</f>
        <v/>
      </c>
      <c r="V22" s="37">
        <f>IF(OR($U22="",$R22="",$R22=0),"",$U22/$R22)</f>
        <v/>
      </c>
      <c r="W22" s="20">
        <f>IF($G22="","",IF($X22="CONTEXTE INCOMPLET","CONTEXTE INCOMPLET",IF($X22="DOUBLON",StatutDoublon,IF($S22="",StatutInitial,IF($R22="",StatutStandardManquant,IF($V22="","DONNEES INSUFFISANTES",IF($V22&gt;=SeuilConforme,StatutConforme,IF($V22&gt;=SeuilSurveiller,StatutSurveiller,StatutSousStandard))))))))</f>
        <v/>
      </c>
      <c r="X22" s="33">
        <f>IF($G22="","",IF(OR($D22="",$E22="",$F22=""),"CONTEXTE INCOMPLET",IF(COUNTIFS($D$3:$D21,$D22,$E$3:$E21,$E22,$F$3:$F21,$F22,$G$3:$G21,$G22)&gt;0,"DOUBLON","VALIDE")))</f>
        <v/>
      </c>
    </row>
    <row r="23" ht="15" customHeight="1">
      <c r="A23" s="12">
        <f>IF(OR($B23="",$G23=""),"",TEXT($B23,"YYYYMMDD")&amp;"-"&amp;SUBSTITUTE($E23," ","")&amp;"-"&amp;$F23&amp;"-"&amp;$G23)</f>
        <v/>
      </c>
      <c r="B23" s="15" t="n"/>
      <c r="C23" s="16" t="n"/>
      <c r="D23" s="10" t="n"/>
      <c r="E23" s="9" t="n"/>
      <c r="F23" s="9" t="n"/>
      <c r="G23" s="13" t="n"/>
      <c r="H23" s="21" t="n"/>
      <c r="I23" s="21" t="n"/>
      <c r="J23" s="17">
        <f>IF($G23="","",IFERROR(INDEX(NomsEmployes,MATCH($G23,MatriculesEmployes,0)),"MATRICULE INCONNU"))</f>
        <v/>
      </c>
      <c r="K23" s="33">
        <f>IF(OR($D23="",$F23=""),"",IFERROR(IF(INDEX(RUNS!$L$6:$S$1005,MATCH($D23,RUNS!$A$6:$A$1005,0),MATCH("ACTIVITÉ "&amp;$F23,RUNS!$L$5:$S$5,0))="","",INDEX(RUNS!$L$6:$S$1005,MATCH($D23,RUNS!$A$6:$A$1005,0),MATCH("ACTIVITÉ "&amp;$F23,RUNS!$L$5:$S$5,0))),""))</f>
        <v/>
      </c>
      <c r="L23" s="33">
        <f>IF($D23="","",IFERROR(IF(INDEX(RUNS!$E$6:$E$1005,MATCH($D23,RUNS!$A$6:$A$1005,0))="","",INDEX(RUNS!$E$6:$E$1005,MATCH($D23,RUNS!$A$6:$A$1005,0))),""))</f>
        <v/>
      </c>
      <c r="M23" s="33">
        <f>IF($D23="","",IFERROR(IF(INDEX(RUNS!$F$6:$F$1005,MATCH($D23,RUNS!$A$6:$A$1005,0))="","",INDEX(RUNS!$F$6:$F$1005,MATCH($D23,RUNS!$A$6:$A$1005,0))),""))</f>
        <v/>
      </c>
      <c r="N23" s="33">
        <f>IF($D23="","",IFERROR(IF(INDEX(RUNS!$G$6:$G$1005,MATCH($D23,RUNS!$A$6:$A$1005,0))="","",INDEX(RUNS!$G$6:$G$1005,MATCH($D23,RUNS!$A$6:$A$1005,0))),""))</f>
        <v/>
      </c>
      <c r="O23" s="33">
        <f>IF($D23="","",IFERROR(IF(INDEX(RUNS!$H$6:$H$1005,MATCH($D23,RUNS!$A$6:$A$1005,0))="","",INDEX(RUNS!$H$6:$H$1005,MATCH($D23,RUNS!$A$6:$A$1005,0))),""))</f>
        <v/>
      </c>
      <c r="P23" s="33">
        <f>IF($D23="","",IFERROR(IF(INDEX(RUNS!$J$6:$J$1005,MATCH($D23,RUNS!$A$6:$A$1005,0))="","",INDEX(RUNS!$J$6:$J$1005,MATCH($D23,RUNS!$A$6:$A$1005,0))),""))</f>
        <v/>
      </c>
      <c r="Q23" s="33">
        <f>IF($D23="","",IFERROR(IF(INDEX(RUNS!$K$6:$K$1005,MATCH($D23,RUNS!$A$6:$A$1005,0))="","",INDEX(RUNS!$K$6:$K$1005,MATCH($D23,RUNS!$A$6:$A$1005,0))),""))</f>
        <v/>
      </c>
      <c r="R23" s="34">
        <f>IF(OR($L23="",$K23=""),"",IFERROR(IF(INDEX(PARAMETRES!$H$43:$H$342,MATCH($L23&amp;"|"&amp;$M23&amp;"|"&amp;$N23&amp;"|"&amp;$O23&amp;"|"&amp;$P23&amp;"|"&amp;$Q23&amp;"|"&amp;$K23,PARAMETRES!$J$43:$J$342,0))="","",INDEX(PARAMETRES!$H$43:$H$342,MATCH($L23&amp;"|"&amp;$M23&amp;"|"&amp;$N23&amp;"|"&amp;$O23&amp;"|"&amp;$P23&amp;"|"&amp;$Q23&amp;"|"&amp;$K23,PARAMETRES!$J$43:$J$342,0))),""))</f>
        <v/>
      </c>
      <c r="S23" s="35">
        <f>IF(OR($G23="",$X23&lt;&gt;"VALIDE"),"",IFERROR(LOOKUP(2,1/(($B$3:$B22=$B23)*($G$3:$G22=$G23)*($X$3:$X22="VALIDE")),$C$3:$C22),""))</f>
        <v/>
      </c>
      <c r="T23" s="36">
        <f>IF(OR($C23="",$S23=""),"",ROUND(($C23-$S23+IF($C23&lt;$S23,1,0))*1440,0))</f>
        <v/>
      </c>
      <c r="U23" s="22">
        <f>IF(OR($H23="",$T23="",$T23&lt;=0),"",$H23*60/$T23)</f>
        <v/>
      </c>
      <c r="V23" s="37">
        <f>IF(OR($U23="",$R23="",$R23=0),"",$U23/$R23)</f>
        <v/>
      </c>
      <c r="W23" s="20">
        <f>IF($G23="","",IF($X23="CONTEXTE INCOMPLET","CONTEXTE INCOMPLET",IF($X23="DOUBLON",StatutDoublon,IF($S23="",StatutInitial,IF($R23="",StatutStandardManquant,IF($V23="","DONNEES INSUFFISANTES",IF($V23&gt;=SeuilConforme,StatutConforme,IF($V23&gt;=SeuilSurveiller,StatutSurveiller,StatutSousStandard))))))))</f>
        <v/>
      </c>
      <c r="X23" s="33">
        <f>IF($G23="","",IF(OR($D23="",$E23="",$F23=""),"CONTEXTE INCOMPLET",IF(COUNTIFS($D$3:$D22,$D23,$E$3:$E22,$E23,$F$3:$F22,$F23,$G$3:$G22,$G23)&gt;0,"DOUBLON","VALIDE")))</f>
        <v/>
      </c>
    </row>
    <row r="24" ht="15" customHeight="1">
      <c r="A24" s="12">
        <f>IF(OR($B24="",$G24=""),"",TEXT($B24,"YYYYMMDD")&amp;"-"&amp;SUBSTITUTE($E24," ","")&amp;"-"&amp;$F24&amp;"-"&amp;$G24)</f>
        <v/>
      </c>
      <c r="B24" s="15" t="n"/>
      <c r="C24" s="16" t="n"/>
      <c r="D24" s="10" t="n"/>
      <c r="E24" s="9" t="n"/>
      <c r="F24" s="9" t="n"/>
      <c r="G24" s="13" t="n"/>
      <c r="H24" s="21" t="n"/>
      <c r="I24" s="21" t="n"/>
      <c r="J24" s="17">
        <f>IF($G24="","",IFERROR(INDEX(NomsEmployes,MATCH($G24,MatriculesEmployes,0)),"MATRICULE INCONNU"))</f>
        <v/>
      </c>
      <c r="K24" s="33">
        <f>IF(OR($D24="",$F24=""),"",IFERROR(IF(INDEX(RUNS!$L$6:$S$1005,MATCH($D24,RUNS!$A$6:$A$1005,0),MATCH("ACTIVITÉ "&amp;$F24,RUNS!$L$5:$S$5,0))="","",INDEX(RUNS!$L$6:$S$1005,MATCH($D24,RUNS!$A$6:$A$1005,0),MATCH("ACTIVITÉ "&amp;$F24,RUNS!$L$5:$S$5,0))),""))</f>
        <v/>
      </c>
      <c r="L24" s="33">
        <f>IF($D24="","",IFERROR(IF(INDEX(RUNS!$E$6:$E$1005,MATCH($D24,RUNS!$A$6:$A$1005,0))="","",INDEX(RUNS!$E$6:$E$1005,MATCH($D24,RUNS!$A$6:$A$1005,0))),""))</f>
        <v/>
      </c>
      <c r="M24" s="33">
        <f>IF($D24="","",IFERROR(IF(INDEX(RUNS!$F$6:$F$1005,MATCH($D24,RUNS!$A$6:$A$1005,0))="","",INDEX(RUNS!$F$6:$F$1005,MATCH($D24,RUNS!$A$6:$A$1005,0))),""))</f>
        <v/>
      </c>
      <c r="N24" s="33">
        <f>IF($D24="","",IFERROR(IF(INDEX(RUNS!$G$6:$G$1005,MATCH($D24,RUNS!$A$6:$A$1005,0))="","",INDEX(RUNS!$G$6:$G$1005,MATCH($D24,RUNS!$A$6:$A$1005,0))),""))</f>
        <v/>
      </c>
      <c r="O24" s="33">
        <f>IF($D24="","",IFERROR(IF(INDEX(RUNS!$H$6:$H$1005,MATCH($D24,RUNS!$A$6:$A$1005,0))="","",INDEX(RUNS!$H$6:$H$1005,MATCH($D24,RUNS!$A$6:$A$1005,0))),""))</f>
        <v/>
      </c>
      <c r="P24" s="33">
        <f>IF($D24="","",IFERROR(IF(INDEX(RUNS!$J$6:$J$1005,MATCH($D24,RUNS!$A$6:$A$1005,0))="","",INDEX(RUNS!$J$6:$J$1005,MATCH($D24,RUNS!$A$6:$A$1005,0))),""))</f>
        <v/>
      </c>
      <c r="Q24" s="33">
        <f>IF($D24="","",IFERROR(IF(INDEX(RUNS!$K$6:$K$1005,MATCH($D24,RUNS!$A$6:$A$1005,0))="","",INDEX(RUNS!$K$6:$K$1005,MATCH($D24,RUNS!$A$6:$A$1005,0))),""))</f>
        <v/>
      </c>
      <c r="R24" s="34">
        <f>IF(OR($L24="",$K24=""),"",IFERROR(IF(INDEX(PARAMETRES!$H$43:$H$342,MATCH($L24&amp;"|"&amp;$M24&amp;"|"&amp;$N24&amp;"|"&amp;$O24&amp;"|"&amp;$P24&amp;"|"&amp;$Q24&amp;"|"&amp;$K24,PARAMETRES!$J$43:$J$342,0))="","",INDEX(PARAMETRES!$H$43:$H$342,MATCH($L24&amp;"|"&amp;$M24&amp;"|"&amp;$N24&amp;"|"&amp;$O24&amp;"|"&amp;$P24&amp;"|"&amp;$Q24&amp;"|"&amp;$K24,PARAMETRES!$J$43:$J$342,0))),""))</f>
        <v/>
      </c>
      <c r="S24" s="35">
        <f>IF(OR($G24="",$X24&lt;&gt;"VALIDE"),"",IFERROR(LOOKUP(2,1/(($B$3:$B23=$B24)*($G$3:$G23=$G24)*($X$3:$X23="VALIDE")),$C$3:$C23),""))</f>
        <v/>
      </c>
      <c r="T24" s="36">
        <f>IF(OR($C24="",$S24=""),"",ROUND(($C24-$S24+IF($C24&lt;$S24,1,0))*1440,0))</f>
        <v/>
      </c>
      <c r="U24" s="22">
        <f>IF(OR($H24="",$T24="",$T24&lt;=0),"",$H24*60/$T24)</f>
        <v/>
      </c>
      <c r="V24" s="37">
        <f>IF(OR($U24="",$R24="",$R24=0),"",$U24/$R24)</f>
        <v/>
      </c>
      <c r="W24" s="20">
        <f>IF($G24="","",IF($X24="CONTEXTE INCOMPLET","CONTEXTE INCOMPLET",IF($X24="DOUBLON",StatutDoublon,IF($S24="",StatutInitial,IF($R24="",StatutStandardManquant,IF($V24="","DONNEES INSUFFISANTES",IF($V24&gt;=SeuilConforme,StatutConforme,IF($V24&gt;=SeuilSurveiller,StatutSurveiller,StatutSousStandard))))))))</f>
        <v/>
      </c>
      <c r="X24" s="33">
        <f>IF($G24="","",IF(OR($D24="",$E24="",$F24=""),"CONTEXTE INCOMPLET",IF(COUNTIFS($D$3:$D23,$D24,$E$3:$E23,$E24,$F$3:$F23,$F24,$G$3:$G23,$G24)&gt;0,"DOUBLON","VALIDE")))</f>
        <v/>
      </c>
    </row>
    <row r="25" ht="15" customHeight="1">
      <c r="A25" s="12">
        <f>IF(OR($B25="",$G25=""),"",TEXT($B25,"YYYYMMDD")&amp;"-"&amp;SUBSTITUTE($E25," ","")&amp;"-"&amp;$F25&amp;"-"&amp;$G25)</f>
        <v/>
      </c>
      <c r="B25" s="15" t="n"/>
      <c r="C25" s="16" t="n"/>
      <c r="D25" s="10" t="n"/>
      <c r="E25" s="9" t="n"/>
      <c r="F25" s="9" t="n"/>
      <c r="G25" s="13" t="n"/>
      <c r="H25" s="21" t="n"/>
      <c r="I25" s="21" t="n"/>
      <c r="J25" s="17">
        <f>IF($G25="","",IFERROR(INDEX(NomsEmployes,MATCH($G25,MatriculesEmployes,0)),"MATRICULE INCONNU"))</f>
        <v/>
      </c>
      <c r="K25" s="33">
        <f>IF(OR($D25="",$F25=""),"",IFERROR(IF(INDEX(RUNS!$L$6:$S$1005,MATCH($D25,RUNS!$A$6:$A$1005,0),MATCH("ACTIVITÉ "&amp;$F25,RUNS!$L$5:$S$5,0))="","",INDEX(RUNS!$L$6:$S$1005,MATCH($D25,RUNS!$A$6:$A$1005,0),MATCH("ACTIVITÉ "&amp;$F25,RUNS!$L$5:$S$5,0))),""))</f>
        <v/>
      </c>
      <c r="L25" s="33">
        <f>IF($D25="","",IFERROR(IF(INDEX(RUNS!$E$6:$E$1005,MATCH($D25,RUNS!$A$6:$A$1005,0))="","",INDEX(RUNS!$E$6:$E$1005,MATCH($D25,RUNS!$A$6:$A$1005,0))),""))</f>
        <v/>
      </c>
      <c r="M25" s="33">
        <f>IF($D25="","",IFERROR(IF(INDEX(RUNS!$F$6:$F$1005,MATCH($D25,RUNS!$A$6:$A$1005,0))="","",INDEX(RUNS!$F$6:$F$1005,MATCH($D25,RUNS!$A$6:$A$1005,0))),""))</f>
        <v/>
      </c>
      <c r="N25" s="33">
        <f>IF($D25="","",IFERROR(IF(INDEX(RUNS!$G$6:$G$1005,MATCH($D25,RUNS!$A$6:$A$1005,0))="","",INDEX(RUNS!$G$6:$G$1005,MATCH($D25,RUNS!$A$6:$A$1005,0))),""))</f>
        <v/>
      </c>
      <c r="O25" s="33">
        <f>IF($D25="","",IFERROR(IF(INDEX(RUNS!$H$6:$H$1005,MATCH($D25,RUNS!$A$6:$A$1005,0))="","",INDEX(RUNS!$H$6:$H$1005,MATCH($D25,RUNS!$A$6:$A$1005,0))),""))</f>
        <v/>
      </c>
      <c r="P25" s="33">
        <f>IF($D25="","",IFERROR(IF(INDEX(RUNS!$J$6:$J$1005,MATCH($D25,RUNS!$A$6:$A$1005,0))="","",INDEX(RUNS!$J$6:$J$1005,MATCH($D25,RUNS!$A$6:$A$1005,0))),""))</f>
        <v/>
      </c>
      <c r="Q25" s="33">
        <f>IF($D25="","",IFERROR(IF(INDEX(RUNS!$K$6:$K$1005,MATCH($D25,RUNS!$A$6:$A$1005,0))="","",INDEX(RUNS!$K$6:$K$1005,MATCH($D25,RUNS!$A$6:$A$1005,0))),""))</f>
        <v/>
      </c>
      <c r="R25" s="34">
        <f>IF(OR($L25="",$K25=""),"",IFERROR(IF(INDEX(PARAMETRES!$H$43:$H$342,MATCH($L25&amp;"|"&amp;$M25&amp;"|"&amp;$N25&amp;"|"&amp;$O25&amp;"|"&amp;$P25&amp;"|"&amp;$Q25&amp;"|"&amp;$K25,PARAMETRES!$J$43:$J$342,0))="","",INDEX(PARAMETRES!$H$43:$H$342,MATCH($L25&amp;"|"&amp;$M25&amp;"|"&amp;$N25&amp;"|"&amp;$O25&amp;"|"&amp;$P25&amp;"|"&amp;$Q25&amp;"|"&amp;$K25,PARAMETRES!$J$43:$J$342,0))),""))</f>
        <v/>
      </c>
      <c r="S25" s="35">
        <f>IF(OR($G25="",$X25&lt;&gt;"VALIDE"),"",IFERROR(LOOKUP(2,1/(($B$3:$B24=$B25)*($G$3:$G24=$G25)*($X$3:$X24="VALIDE")),$C$3:$C24),""))</f>
        <v/>
      </c>
      <c r="T25" s="36">
        <f>IF(OR($C25="",$S25=""),"",ROUND(($C25-$S25+IF($C25&lt;$S25,1,0))*1440,0))</f>
        <v/>
      </c>
      <c r="U25" s="22">
        <f>IF(OR($H25="",$T25="",$T25&lt;=0),"",$H25*60/$T25)</f>
        <v/>
      </c>
      <c r="V25" s="37">
        <f>IF(OR($U25="",$R25="",$R25=0),"",$U25/$R25)</f>
        <v/>
      </c>
      <c r="W25" s="20">
        <f>IF($G25="","",IF($X25="CONTEXTE INCOMPLET","CONTEXTE INCOMPLET",IF($X25="DOUBLON",StatutDoublon,IF($S25="",StatutInitial,IF($R25="",StatutStandardManquant,IF($V25="","DONNEES INSUFFISANTES",IF($V25&gt;=SeuilConforme,StatutConforme,IF($V25&gt;=SeuilSurveiller,StatutSurveiller,StatutSousStandard))))))))</f>
        <v/>
      </c>
      <c r="X25" s="33">
        <f>IF($G25="","",IF(OR($D25="",$E25="",$F25=""),"CONTEXTE INCOMPLET",IF(COUNTIFS($D$3:$D24,$D25,$E$3:$E24,$E25,$F$3:$F24,$F25,$G$3:$G24,$G25)&gt;0,"DOUBLON","VALIDE")))</f>
        <v/>
      </c>
    </row>
    <row r="26" ht="15" customHeight="1">
      <c r="A26" s="12">
        <f>IF(OR($B26="",$G26=""),"",TEXT($B26,"YYYYMMDD")&amp;"-"&amp;SUBSTITUTE($E26," ","")&amp;"-"&amp;$F26&amp;"-"&amp;$G26)</f>
        <v/>
      </c>
      <c r="B26" s="15" t="n"/>
      <c r="C26" s="16" t="n"/>
      <c r="D26" s="10" t="n"/>
      <c r="E26" s="9" t="n"/>
      <c r="F26" s="9" t="n"/>
      <c r="G26" s="13" t="n"/>
      <c r="H26" s="21" t="n"/>
      <c r="I26" s="21" t="n"/>
      <c r="J26" s="17">
        <f>IF($G26="","",IFERROR(INDEX(NomsEmployes,MATCH($G26,MatriculesEmployes,0)),"MATRICULE INCONNU"))</f>
        <v/>
      </c>
      <c r="K26" s="33">
        <f>IF(OR($D26="",$F26=""),"",IFERROR(IF(INDEX(RUNS!$L$6:$S$1005,MATCH($D26,RUNS!$A$6:$A$1005,0),MATCH("ACTIVITÉ "&amp;$F26,RUNS!$L$5:$S$5,0))="","",INDEX(RUNS!$L$6:$S$1005,MATCH($D26,RUNS!$A$6:$A$1005,0),MATCH("ACTIVITÉ "&amp;$F26,RUNS!$L$5:$S$5,0))),""))</f>
        <v/>
      </c>
      <c r="L26" s="33">
        <f>IF($D26="","",IFERROR(IF(INDEX(RUNS!$E$6:$E$1005,MATCH($D26,RUNS!$A$6:$A$1005,0))="","",INDEX(RUNS!$E$6:$E$1005,MATCH($D26,RUNS!$A$6:$A$1005,0))),""))</f>
        <v/>
      </c>
      <c r="M26" s="33">
        <f>IF($D26="","",IFERROR(IF(INDEX(RUNS!$F$6:$F$1005,MATCH($D26,RUNS!$A$6:$A$1005,0))="","",INDEX(RUNS!$F$6:$F$1005,MATCH($D26,RUNS!$A$6:$A$1005,0))),""))</f>
        <v/>
      </c>
      <c r="N26" s="33">
        <f>IF($D26="","",IFERROR(IF(INDEX(RUNS!$G$6:$G$1005,MATCH($D26,RUNS!$A$6:$A$1005,0))="","",INDEX(RUNS!$G$6:$G$1005,MATCH($D26,RUNS!$A$6:$A$1005,0))),""))</f>
        <v/>
      </c>
      <c r="O26" s="33">
        <f>IF($D26="","",IFERROR(IF(INDEX(RUNS!$H$6:$H$1005,MATCH($D26,RUNS!$A$6:$A$1005,0))="","",INDEX(RUNS!$H$6:$H$1005,MATCH($D26,RUNS!$A$6:$A$1005,0))),""))</f>
        <v/>
      </c>
      <c r="P26" s="33">
        <f>IF($D26="","",IFERROR(IF(INDEX(RUNS!$J$6:$J$1005,MATCH($D26,RUNS!$A$6:$A$1005,0))="","",INDEX(RUNS!$J$6:$J$1005,MATCH($D26,RUNS!$A$6:$A$1005,0))),""))</f>
        <v/>
      </c>
      <c r="Q26" s="33">
        <f>IF($D26="","",IFERROR(IF(INDEX(RUNS!$K$6:$K$1005,MATCH($D26,RUNS!$A$6:$A$1005,0))="","",INDEX(RUNS!$K$6:$K$1005,MATCH($D26,RUNS!$A$6:$A$1005,0))),""))</f>
        <v/>
      </c>
      <c r="R26" s="34">
        <f>IF(OR($L26="",$K26=""),"",IFERROR(IF(INDEX(PARAMETRES!$H$43:$H$342,MATCH($L26&amp;"|"&amp;$M26&amp;"|"&amp;$N26&amp;"|"&amp;$O26&amp;"|"&amp;$P26&amp;"|"&amp;$Q26&amp;"|"&amp;$K26,PARAMETRES!$J$43:$J$342,0))="","",INDEX(PARAMETRES!$H$43:$H$342,MATCH($L26&amp;"|"&amp;$M26&amp;"|"&amp;$N26&amp;"|"&amp;$O26&amp;"|"&amp;$P26&amp;"|"&amp;$Q26&amp;"|"&amp;$K26,PARAMETRES!$J$43:$J$342,0))),""))</f>
        <v/>
      </c>
      <c r="S26" s="35">
        <f>IF(OR($G26="",$X26&lt;&gt;"VALIDE"),"",IFERROR(LOOKUP(2,1/(($B$3:$B25=$B26)*($G$3:$G25=$G26)*($X$3:$X25="VALIDE")),$C$3:$C25),""))</f>
        <v/>
      </c>
      <c r="T26" s="36">
        <f>IF(OR($C26="",$S26=""),"",ROUND(($C26-$S26+IF($C26&lt;$S26,1,0))*1440,0))</f>
        <v/>
      </c>
      <c r="U26" s="22">
        <f>IF(OR($H26="",$T26="",$T26&lt;=0),"",$H26*60/$T26)</f>
        <v/>
      </c>
      <c r="V26" s="37">
        <f>IF(OR($U26="",$R26="",$R26=0),"",$U26/$R26)</f>
        <v/>
      </c>
      <c r="W26" s="20">
        <f>IF($G26="","",IF($X26="CONTEXTE INCOMPLET","CONTEXTE INCOMPLET",IF($X26="DOUBLON",StatutDoublon,IF($S26="",StatutInitial,IF($R26="",StatutStandardManquant,IF($V26="","DONNEES INSUFFISANTES",IF($V26&gt;=SeuilConforme,StatutConforme,IF($V26&gt;=SeuilSurveiller,StatutSurveiller,StatutSousStandard))))))))</f>
        <v/>
      </c>
      <c r="X26" s="33">
        <f>IF($G26="","",IF(OR($D26="",$E26="",$F26=""),"CONTEXTE INCOMPLET",IF(COUNTIFS($D$3:$D25,$D26,$E$3:$E25,$E26,$F$3:$F25,$F26,$G$3:$G25,$G26)&gt;0,"DOUBLON","VALIDE")))</f>
        <v/>
      </c>
    </row>
    <row r="27" ht="15" customHeight="1">
      <c r="A27" s="12">
        <f>IF(OR($B27="",$G27=""),"",TEXT($B27,"YYYYMMDD")&amp;"-"&amp;SUBSTITUTE($E27," ","")&amp;"-"&amp;$F27&amp;"-"&amp;$G27)</f>
        <v/>
      </c>
      <c r="B27" s="15" t="n"/>
      <c r="C27" s="16" t="n"/>
      <c r="D27" s="10" t="n"/>
      <c r="E27" s="9" t="n"/>
      <c r="F27" s="9" t="n"/>
      <c r="G27" s="13" t="n"/>
      <c r="H27" s="21" t="n"/>
      <c r="I27" s="21" t="n"/>
      <c r="J27" s="17">
        <f>IF($G27="","",IFERROR(INDEX(NomsEmployes,MATCH($G27,MatriculesEmployes,0)),"MATRICULE INCONNU"))</f>
        <v/>
      </c>
      <c r="K27" s="33">
        <f>IF(OR($D27="",$F27=""),"",IFERROR(IF(INDEX(RUNS!$L$6:$S$1005,MATCH($D27,RUNS!$A$6:$A$1005,0),MATCH("ACTIVITÉ "&amp;$F27,RUNS!$L$5:$S$5,0))="","",INDEX(RUNS!$L$6:$S$1005,MATCH($D27,RUNS!$A$6:$A$1005,0),MATCH("ACTIVITÉ "&amp;$F27,RUNS!$L$5:$S$5,0))),""))</f>
        <v/>
      </c>
      <c r="L27" s="33">
        <f>IF($D27="","",IFERROR(IF(INDEX(RUNS!$E$6:$E$1005,MATCH($D27,RUNS!$A$6:$A$1005,0))="","",INDEX(RUNS!$E$6:$E$1005,MATCH($D27,RUNS!$A$6:$A$1005,0))),""))</f>
        <v/>
      </c>
      <c r="M27" s="33">
        <f>IF($D27="","",IFERROR(IF(INDEX(RUNS!$F$6:$F$1005,MATCH($D27,RUNS!$A$6:$A$1005,0))="","",INDEX(RUNS!$F$6:$F$1005,MATCH($D27,RUNS!$A$6:$A$1005,0))),""))</f>
        <v/>
      </c>
      <c r="N27" s="33">
        <f>IF($D27="","",IFERROR(IF(INDEX(RUNS!$G$6:$G$1005,MATCH($D27,RUNS!$A$6:$A$1005,0))="","",INDEX(RUNS!$G$6:$G$1005,MATCH($D27,RUNS!$A$6:$A$1005,0))),""))</f>
        <v/>
      </c>
      <c r="O27" s="33">
        <f>IF($D27="","",IFERROR(IF(INDEX(RUNS!$H$6:$H$1005,MATCH($D27,RUNS!$A$6:$A$1005,0))="","",INDEX(RUNS!$H$6:$H$1005,MATCH($D27,RUNS!$A$6:$A$1005,0))),""))</f>
        <v/>
      </c>
      <c r="P27" s="33">
        <f>IF($D27="","",IFERROR(IF(INDEX(RUNS!$J$6:$J$1005,MATCH($D27,RUNS!$A$6:$A$1005,0))="","",INDEX(RUNS!$J$6:$J$1005,MATCH($D27,RUNS!$A$6:$A$1005,0))),""))</f>
        <v/>
      </c>
      <c r="Q27" s="33">
        <f>IF($D27="","",IFERROR(IF(INDEX(RUNS!$K$6:$K$1005,MATCH($D27,RUNS!$A$6:$A$1005,0))="","",INDEX(RUNS!$K$6:$K$1005,MATCH($D27,RUNS!$A$6:$A$1005,0))),""))</f>
        <v/>
      </c>
      <c r="R27" s="34">
        <f>IF(OR($L27="",$K27=""),"",IFERROR(IF(INDEX(PARAMETRES!$H$43:$H$342,MATCH($L27&amp;"|"&amp;$M27&amp;"|"&amp;$N27&amp;"|"&amp;$O27&amp;"|"&amp;$P27&amp;"|"&amp;$Q27&amp;"|"&amp;$K27,PARAMETRES!$J$43:$J$342,0))="","",INDEX(PARAMETRES!$H$43:$H$342,MATCH($L27&amp;"|"&amp;$M27&amp;"|"&amp;$N27&amp;"|"&amp;$O27&amp;"|"&amp;$P27&amp;"|"&amp;$Q27&amp;"|"&amp;$K27,PARAMETRES!$J$43:$J$342,0))),""))</f>
        <v/>
      </c>
      <c r="S27" s="35">
        <f>IF(OR($G27="",$X27&lt;&gt;"VALIDE"),"",IFERROR(LOOKUP(2,1/(($B$3:$B26=$B27)*($G$3:$G26=$G27)*($X$3:$X26="VALIDE")),$C$3:$C26),""))</f>
        <v/>
      </c>
      <c r="T27" s="36">
        <f>IF(OR($C27="",$S27=""),"",ROUND(($C27-$S27+IF($C27&lt;$S27,1,0))*1440,0))</f>
        <v/>
      </c>
      <c r="U27" s="22">
        <f>IF(OR($H27="",$T27="",$T27&lt;=0),"",$H27*60/$T27)</f>
        <v/>
      </c>
      <c r="V27" s="37">
        <f>IF(OR($U27="",$R27="",$R27=0),"",$U27/$R27)</f>
        <v/>
      </c>
      <c r="W27" s="20">
        <f>IF($G27="","",IF($X27="CONTEXTE INCOMPLET","CONTEXTE INCOMPLET",IF($X27="DOUBLON",StatutDoublon,IF($S27="",StatutInitial,IF($R27="",StatutStandardManquant,IF($V27="","DONNEES INSUFFISANTES",IF($V27&gt;=SeuilConforme,StatutConforme,IF($V27&gt;=SeuilSurveiller,StatutSurveiller,StatutSousStandard))))))))</f>
        <v/>
      </c>
      <c r="X27" s="33">
        <f>IF($G27="","",IF(OR($D27="",$E27="",$F27=""),"CONTEXTE INCOMPLET",IF(COUNTIFS($D$3:$D26,$D27,$E$3:$E26,$E27,$F$3:$F26,$F27,$G$3:$G26,$G27)&gt;0,"DOUBLON","VALIDE")))</f>
        <v/>
      </c>
    </row>
    <row r="28" ht="15" customHeight="1">
      <c r="A28" s="12">
        <f>IF(OR($B28="",$G28=""),"",TEXT($B28,"YYYYMMDD")&amp;"-"&amp;SUBSTITUTE($E28," ","")&amp;"-"&amp;$F28&amp;"-"&amp;$G28)</f>
        <v/>
      </c>
      <c r="B28" s="15" t="n"/>
      <c r="C28" s="16" t="n"/>
      <c r="D28" s="10" t="n"/>
      <c r="E28" s="9" t="n"/>
      <c r="F28" s="9" t="n"/>
      <c r="G28" s="13" t="n"/>
      <c r="H28" s="21" t="n"/>
      <c r="I28" s="21" t="n"/>
      <c r="J28" s="17">
        <f>IF($G28="","",IFERROR(INDEX(NomsEmployes,MATCH($G28,MatriculesEmployes,0)),"MATRICULE INCONNU"))</f>
        <v/>
      </c>
      <c r="K28" s="33">
        <f>IF(OR($D28="",$F28=""),"",IFERROR(IF(INDEX(RUNS!$L$6:$S$1005,MATCH($D28,RUNS!$A$6:$A$1005,0),MATCH("ACTIVITÉ "&amp;$F28,RUNS!$L$5:$S$5,0))="","",INDEX(RUNS!$L$6:$S$1005,MATCH($D28,RUNS!$A$6:$A$1005,0),MATCH("ACTIVITÉ "&amp;$F28,RUNS!$L$5:$S$5,0))),""))</f>
        <v/>
      </c>
      <c r="L28" s="33">
        <f>IF($D28="","",IFERROR(IF(INDEX(RUNS!$E$6:$E$1005,MATCH($D28,RUNS!$A$6:$A$1005,0))="","",INDEX(RUNS!$E$6:$E$1005,MATCH($D28,RUNS!$A$6:$A$1005,0))),""))</f>
        <v/>
      </c>
      <c r="M28" s="33">
        <f>IF($D28="","",IFERROR(IF(INDEX(RUNS!$F$6:$F$1005,MATCH($D28,RUNS!$A$6:$A$1005,0))="","",INDEX(RUNS!$F$6:$F$1005,MATCH($D28,RUNS!$A$6:$A$1005,0))),""))</f>
        <v/>
      </c>
      <c r="N28" s="33">
        <f>IF($D28="","",IFERROR(IF(INDEX(RUNS!$G$6:$G$1005,MATCH($D28,RUNS!$A$6:$A$1005,0))="","",INDEX(RUNS!$G$6:$G$1005,MATCH($D28,RUNS!$A$6:$A$1005,0))),""))</f>
        <v/>
      </c>
      <c r="O28" s="33">
        <f>IF($D28="","",IFERROR(IF(INDEX(RUNS!$H$6:$H$1005,MATCH($D28,RUNS!$A$6:$A$1005,0))="","",INDEX(RUNS!$H$6:$H$1005,MATCH($D28,RUNS!$A$6:$A$1005,0))),""))</f>
        <v/>
      </c>
      <c r="P28" s="33">
        <f>IF($D28="","",IFERROR(IF(INDEX(RUNS!$J$6:$J$1005,MATCH($D28,RUNS!$A$6:$A$1005,0))="","",INDEX(RUNS!$J$6:$J$1005,MATCH($D28,RUNS!$A$6:$A$1005,0))),""))</f>
        <v/>
      </c>
      <c r="Q28" s="33">
        <f>IF($D28="","",IFERROR(IF(INDEX(RUNS!$K$6:$K$1005,MATCH($D28,RUNS!$A$6:$A$1005,0))="","",INDEX(RUNS!$K$6:$K$1005,MATCH($D28,RUNS!$A$6:$A$1005,0))),""))</f>
        <v/>
      </c>
      <c r="R28" s="34">
        <f>IF(OR($L28="",$K28=""),"",IFERROR(IF(INDEX(PARAMETRES!$H$43:$H$342,MATCH($L28&amp;"|"&amp;$M28&amp;"|"&amp;$N28&amp;"|"&amp;$O28&amp;"|"&amp;$P28&amp;"|"&amp;$Q28&amp;"|"&amp;$K28,PARAMETRES!$J$43:$J$342,0))="","",INDEX(PARAMETRES!$H$43:$H$342,MATCH($L28&amp;"|"&amp;$M28&amp;"|"&amp;$N28&amp;"|"&amp;$O28&amp;"|"&amp;$P28&amp;"|"&amp;$Q28&amp;"|"&amp;$K28,PARAMETRES!$J$43:$J$342,0))),""))</f>
        <v/>
      </c>
      <c r="S28" s="35">
        <f>IF(OR($G28="",$X28&lt;&gt;"VALIDE"),"",IFERROR(LOOKUP(2,1/(($B$3:$B27=$B28)*($G$3:$G27=$G28)*($X$3:$X27="VALIDE")),$C$3:$C27),""))</f>
        <v/>
      </c>
      <c r="T28" s="36">
        <f>IF(OR($C28="",$S28=""),"",ROUND(($C28-$S28+IF($C28&lt;$S28,1,0))*1440,0))</f>
        <v/>
      </c>
      <c r="U28" s="22">
        <f>IF(OR($H28="",$T28="",$T28&lt;=0),"",$H28*60/$T28)</f>
        <v/>
      </c>
      <c r="V28" s="37">
        <f>IF(OR($U28="",$R28="",$R28=0),"",$U28/$R28)</f>
        <v/>
      </c>
      <c r="W28" s="20">
        <f>IF($G28="","",IF($X28="CONTEXTE INCOMPLET","CONTEXTE INCOMPLET",IF($X28="DOUBLON",StatutDoublon,IF($S28="",StatutInitial,IF($R28="",StatutStandardManquant,IF($V28="","DONNEES INSUFFISANTES",IF($V28&gt;=SeuilConforme,StatutConforme,IF($V28&gt;=SeuilSurveiller,StatutSurveiller,StatutSousStandard))))))))</f>
        <v/>
      </c>
      <c r="X28" s="33">
        <f>IF($G28="","",IF(OR($D28="",$E28="",$F28=""),"CONTEXTE INCOMPLET",IF(COUNTIFS($D$3:$D27,$D28,$E$3:$E27,$E28,$F$3:$F27,$F28,$G$3:$G27,$G28)&gt;0,"DOUBLON","VALIDE")))</f>
        <v/>
      </c>
    </row>
    <row r="29" ht="15" customHeight="1">
      <c r="A29" s="12">
        <f>IF(OR($B29="",$G29=""),"",TEXT($B29,"YYYYMMDD")&amp;"-"&amp;SUBSTITUTE($E29," ","")&amp;"-"&amp;$F29&amp;"-"&amp;$G29)</f>
        <v/>
      </c>
      <c r="B29" s="15" t="n"/>
      <c r="C29" s="16" t="n"/>
      <c r="D29" s="10" t="n"/>
      <c r="E29" s="9" t="n"/>
      <c r="F29" s="9" t="n"/>
      <c r="G29" s="13" t="n"/>
      <c r="H29" s="21" t="n"/>
      <c r="I29" s="21" t="n"/>
      <c r="J29" s="17">
        <f>IF($G29="","",IFERROR(INDEX(NomsEmployes,MATCH($G29,MatriculesEmployes,0)),"MATRICULE INCONNU"))</f>
        <v/>
      </c>
      <c r="K29" s="33">
        <f>IF(OR($D29="",$F29=""),"",IFERROR(IF(INDEX(RUNS!$L$6:$S$1005,MATCH($D29,RUNS!$A$6:$A$1005,0),MATCH("ACTIVITÉ "&amp;$F29,RUNS!$L$5:$S$5,0))="","",INDEX(RUNS!$L$6:$S$1005,MATCH($D29,RUNS!$A$6:$A$1005,0),MATCH("ACTIVITÉ "&amp;$F29,RUNS!$L$5:$S$5,0))),""))</f>
        <v/>
      </c>
      <c r="L29" s="33">
        <f>IF($D29="","",IFERROR(IF(INDEX(RUNS!$E$6:$E$1005,MATCH($D29,RUNS!$A$6:$A$1005,0))="","",INDEX(RUNS!$E$6:$E$1005,MATCH($D29,RUNS!$A$6:$A$1005,0))),""))</f>
        <v/>
      </c>
      <c r="M29" s="33">
        <f>IF($D29="","",IFERROR(IF(INDEX(RUNS!$F$6:$F$1005,MATCH($D29,RUNS!$A$6:$A$1005,0))="","",INDEX(RUNS!$F$6:$F$1005,MATCH($D29,RUNS!$A$6:$A$1005,0))),""))</f>
        <v/>
      </c>
      <c r="N29" s="33">
        <f>IF($D29="","",IFERROR(IF(INDEX(RUNS!$G$6:$G$1005,MATCH($D29,RUNS!$A$6:$A$1005,0))="","",INDEX(RUNS!$G$6:$G$1005,MATCH($D29,RUNS!$A$6:$A$1005,0))),""))</f>
        <v/>
      </c>
      <c r="O29" s="33">
        <f>IF($D29="","",IFERROR(IF(INDEX(RUNS!$H$6:$H$1005,MATCH($D29,RUNS!$A$6:$A$1005,0))="","",INDEX(RUNS!$H$6:$H$1005,MATCH($D29,RUNS!$A$6:$A$1005,0))),""))</f>
        <v/>
      </c>
      <c r="P29" s="33">
        <f>IF($D29="","",IFERROR(IF(INDEX(RUNS!$J$6:$J$1005,MATCH($D29,RUNS!$A$6:$A$1005,0))="","",INDEX(RUNS!$J$6:$J$1005,MATCH($D29,RUNS!$A$6:$A$1005,0))),""))</f>
        <v/>
      </c>
      <c r="Q29" s="33">
        <f>IF($D29="","",IFERROR(IF(INDEX(RUNS!$K$6:$K$1005,MATCH($D29,RUNS!$A$6:$A$1005,0))="","",INDEX(RUNS!$K$6:$K$1005,MATCH($D29,RUNS!$A$6:$A$1005,0))),""))</f>
        <v/>
      </c>
      <c r="R29" s="34">
        <f>IF(OR($L29="",$K29=""),"",IFERROR(IF(INDEX(PARAMETRES!$H$43:$H$342,MATCH($L29&amp;"|"&amp;$M29&amp;"|"&amp;$N29&amp;"|"&amp;$O29&amp;"|"&amp;$P29&amp;"|"&amp;$Q29&amp;"|"&amp;$K29,PARAMETRES!$J$43:$J$342,0))="","",INDEX(PARAMETRES!$H$43:$H$342,MATCH($L29&amp;"|"&amp;$M29&amp;"|"&amp;$N29&amp;"|"&amp;$O29&amp;"|"&amp;$P29&amp;"|"&amp;$Q29&amp;"|"&amp;$K29,PARAMETRES!$J$43:$J$342,0))),""))</f>
        <v/>
      </c>
      <c r="S29" s="35">
        <f>IF(OR($G29="",$X29&lt;&gt;"VALIDE"),"",IFERROR(LOOKUP(2,1/(($B$3:$B28=$B29)*($G$3:$G28=$G29)*($X$3:$X28="VALIDE")),$C$3:$C28),""))</f>
        <v/>
      </c>
      <c r="T29" s="36">
        <f>IF(OR($C29="",$S29=""),"",ROUND(($C29-$S29+IF($C29&lt;$S29,1,0))*1440,0))</f>
        <v/>
      </c>
      <c r="U29" s="22">
        <f>IF(OR($H29="",$T29="",$T29&lt;=0),"",$H29*60/$T29)</f>
        <v/>
      </c>
      <c r="V29" s="37">
        <f>IF(OR($U29="",$R29="",$R29=0),"",$U29/$R29)</f>
        <v/>
      </c>
      <c r="W29" s="20">
        <f>IF($G29="","",IF($X29="CONTEXTE INCOMPLET","CONTEXTE INCOMPLET",IF($X29="DOUBLON",StatutDoublon,IF($S29="",StatutInitial,IF($R29="",StatutStandardManquant,IF($V29="","DONNEES INSUFFISANTES",IF($V29&gt;=SeuilConforme,StatutConforme,IF($V29&gt;=SeuilSurveiller,StatutSurveiller,StatutSousStandard))))))))</f>
        <v/>
      </c>
      <c r="X29" s="33">
        <f>IF($G29="","",IF(OR($D29="",$E29="",$F29=""),"CONTEXTE INCOMPLET",IF(COUNTIFS($D$3:$D28,$D29,$E$3:$E28,$E29,$F$3:$F28,$F29,$G$3:$G28,$G29)&gt;0,"DOUBLON","VALIDE")))</f>
        <v/>
      </c>
    </row>
    <row r="30" ht="15" customHeight="1">
      <c r="A30" s="12">
        <f>IF(OR($B30="",$G30=""),"",TEXT($B30,"YYYYMMDD")&amp;"-"&amp;SUBSTITUTE($E30," ","")&amp;"-"&amp;$F30&amp;"-"&amp;$G30)</f>
        <v/>
      </c>
      <c r="B30" s="15" t="n"/>
      <c r="C30" s="16" t="n"/>
      <c r="D30" s="10" t="n"/>
      <c r="E30" s="9" t="n"/>
      <c r="F30" s="9" t="n"/>
      <c r="G30" s="13" t="n"/>
      <c r="H30" s="21" t="n"/>
      <c r="I30" s="21" t="n"/>
      <c r="J30" s="17">
        <f>IF($G30="","",IFERROR(INDEX(NomsEmployes,MATCH($G30,MatriculesEmployes,0)),"MATRICULE INCONNU"))</f>
        <v/>
      </c>
      <c r="K30" s="33">
        <f>IF(OR($D30="",$F30=""),"",IFERROR(IF(INDEX(RUNS!$L$6:$S$1005,MATCH($D30,RUNS!$A$6:$A$1005,0),MATCH("ACTIVITÉ "&amp;$F30,RUNS!$L$5:$S$5,0))="","",INDEX(RUNS!$L$6:$S$1005,MATCH($D30,RUNS!$A$6:$A$1005,0),MATCH("ACTIVITÉ "&amp;$F30,RUNS!$L$5:$S$5,0))),""))</f>
        <v/>
      </c>
      <c r="L30" s="33">
        <f>IF($D30="","",IFERROR(IF(INDEX(RUNS!$E$6:$E$1005,MATCH($D30,RUNS!$A$6:$A$1005,0))="","",INDEX(RUNS!$E$6:$E$1005,MATCH($D30,RUNS!$A$6:$A$1005,0))),""))</f>
        <v/>
      </c>
      <c r="M30" s="33">
        <f>IF($D30="","",IFERROR(IF(INDEX(RUNS!$F$6:$F$1005,MATCH($D30,RUNS!$A$6:$A$1005,0))="","",INDEX(RUNS!$F$6:$F$1005,MATCH($D30,RUNS!$A$6:$A$1005,0))),""))</f>
        <v/>
      </c>
      <c r="N30" s="33">
        <f>IF($D30="","",IFERROR(IF(INDEX(RUNS!$G$6:$G$1005,MATCH($D30,RUNS!$A$6:$A$1005,0))="","",INDEX(RUNS!$G$6:$G$1005,MATCH($D30,RUNS!$A$6:$A$1005,0))),""))</f>
        <v/>
      </c>
      <c r="O30" s="33">
        <f>IF($D30="","",IFERROR(IF(INDEX(RUNS!$H$6:$H$1005,MATCH($D30,RUNS!$A$6:$A$1005,0))="","",INDEX(RUNS!$H$6:$H$1005,MATCH($D30,RUNS!$A$6:$A$1005,0))),""))</f>
        <v/>
      </c>
      <c r="P30" s="33">
        <f>IF($D30="","",IFERROR(IF(INDEX(RUNS!$J$6:$J$1005,MATCH($D30,RUNS!$A$6:$A$1005,0))="","",INDEX(RUNS!$J$6:$J$1005,MATCH($D30,RUNS!$A$6:$A$1005,0))),""))</f>
        <v/>
      </c>
      <c r="Q30" s="33">
        <f>IF($D30="","",IFERROR(IF(INDEX(RUNS!$K$6:$K$1005,MATCH($D30,RUNS!$A$6:$A$1005,0))="","",INDEX(RUNS!$K$6:$K$1005,MATCH($D30,RUNS!$A$6:$A$1005,0))),""))</f>
        <v/>
      </c>
      <c r="R30" s="34">
        <f>IF(OR($L30="",$K30=""),"",IFERROR(IF(INDEX(PARAMETRES!$H$43:$H$342,MATCH($L30&amp;"|"&amp;$M30&amp;"|"&amp;$N30&amp;"|"&amp;$O30&amp;"|"&amp;$P30&amp;"|"&amp;$Q30&amp;"|"&amp;$K30,PARAMETRES!$J$43:$J$342,0))="","",INDEX(PARAMETRES!$H$43:$H$342,MATCH($L30&amp;"|"&amp;$M30&amp;"|"&amp;$N30&amp;"|"&amp;$O30&amp;"|"&amp;$P30&amp;"|"&amp;$Q30&amp;"|"&amp;$K30,PARAMETRES!$J$43:$J$342,0))),""))</f>
        <v/>
      </c>
      <c r="S30" s="35">
        <f>IF(OR($G30="",$X30&lt;&gt;"VALIDE"),"",IFERROR(LOOKUP(2,1/(($B$3:$B29=$B30)*($G$3:$G29=$G30)*($X$3:$X29="VALIDE")),$C$3:$C29),""))</f>
        <v/>
      </c>
      <c r="T30" s="36">
        <f>IF(OR($C30="",$S30=""),"",ROUND(($C30-$S30+IF($C30&lt;$S30,1,0))*1440,0))</f>
        <v/>
      </c>
      <c r="U30" s="22">
        <f>IF(OR($H30="",$T30="",$T30&lt;=0),"",$H30*60/$T30)</f>
        <v/>
      </c>
      <c r="V30" s="37">
        <f>IF(OR($U30="",$R30="",$R30=0),"",$U30/$R30)</f>
        <v/>
      </c>
      <c r="W30" s="20">
        <f>IF($G30="","",IF($X30="CONTEXTE INCOMPLET","CONTEXTE INCOMPLET",IF($X30="DOUBLON",StatutDoublon,IF($S30="",StatutInitial,IF($R30="",StatutStandardManquant,IF($V30="","DONNEES INSUFFISANTES",IF($V30&gt;=SeuilConforme,StatutConforme,IF($V30&gt;=SeuilSurveiller,StatutSurveiller,StatutSousStandard))))))))</f>
        <v/>
      </c>
      <c r="X30" s="33">
        <f>IF($G30="","",IF(OR($D30="",$E30="",$F30=""),"CONTEXTE INCOMPLET",IF(COUNTIFS($D$3:$D29,$D30,$E$3:$E29,$E30,$F$3:$F29,$F30,$G$3:$G29,$G30)&gt;0,"DOUBLON","VALIDE")))</f>
        <v/>
      </c>
    </row>
    <row r="31" ht="15" customHeight="1">
      <c r="A31" s="12">
        <f>IF(OR($B31="",$G31=""),"",TEXT($B31,"YYYYMMDD")&amp;"-"&amp;SUBSTITUTE($E31," ","")&amp;"-"&amp;$F31&amp;"-"&amp;$G31)</f>
        <v/>
      </c>
      <c r="B31" s="15" t="n"/>
      <c r="C31" s="16" t="n"/>
      <c r="D31" s="10" t="n"/>
      <c r="E31" s="9" t="n"/>
      <c r="F31" s="9" t="n"/>
      <c r="G31" s="13" t="n"/>
      <c r="H31" s="21" t="n"/>
      <c r="I31" s="21" t="n"/>
      <c r="J31" s="17">
        <f>IF($G31="","",IFERROR(INDEX(NomsEmployes,MATCH($G31,MatriculesEmployes,0)),"MATRICULE INCONNU"))</f>
        <v/>
      </c>
      <c r="K31" s="33">
        <f>IF(OR($D31="",$F31=""),"",IFERROR(IF(INDEX(RUNS!$L$6:$S$1005,MATCH($D31,RUNS!$A$6:$A$1005,0),MATCH("ACTIVITÉ "&amp;$F31,RUNS!$L$5:$S$5,0))="","",INDEX(RUNS!$L$6:$S$1005,MATCH($D31,RUNS!$A$6:$A$1005,0),MATCH("ACTIVITÉ "&amp;$F31,RUNS!$L$5:$S$5,0))),""))</f>
        <v/>
      </c>
      <c r="L31" s="33">
        <f>IF($D31="","",IFERROR(IF(INDEX(RUNS!$E$6:$E$1005,MATCH($D31,RUNS!$A$6:$A$1005,0))="","",INDEX(RUNS!$E$6:$E$1005,MATCH($D31,RUNS!$A$6:$A$1005,0))),""))</f>
        <v/>
      </c>
      <c r="M31" s="33">
        <f>IF($D31="","",IFERROR(IF(INDEX(RUNS!$F$6:$F$1005,MATCH($D31,RUNS!$A$6:$A$1005,0))="","",INDEX(RUNS!$F$6:$F$1005,MATCH($D31,RUNS!$A$6:$A$1005,0))),""))</f>
        <v/>
      </c>
      <c r="N31" s="33">
        <f>IF($D31="","",IFERROR(IF(INDEX(RUNS!$G$6:$G$1005,MATCH($D31,RUNS!$A$6:$A$1005,0))="","",INDEX(RUNS!$G$6:$G$1005,MATCH($D31,RUNS!$A$6:$A$1005,0))),""))</f>
        <v/>
      </c>
      <c r="O31" s="33">
        <f>IF($D31="","",IFERROR(IF(INDEX(RUNS!$H$6:$H$1005,MATCH($D31,RUNS!$A$6:$A$1005,0))="","",INDEX(RUNS!$H$6:$H$1005,MATCH($D31,RUNS!$A$6:$A$1005,0))),""))</f>
        <v/>
      </c>
      <c r="P31" s="33">
        <f>IF($D31="","",IFERROR(IF(INDEX(RUNS!$J$6:$J$1005,MATCH($D31,RUNS!$A$6:$A$1005,0))="","",INDEX(RUNS!$J$6:$J$1005,MATCH($D31,RUNS!$A$6:$A$1005,0))),""))</f>
        <v/>
      </c>
      <c r="Q31" s="33">
        <f>IF($D31="","",IFERROR(IF(INDEX(RUNS!$K$6:$K$1005,MATCH($D31,RUNS!$A$6:$A$1005,0))="","",INDEX(RUNS!$K$6:$K$1005,MATCH($D31,RUNS!$A$6:$A$1005,0))),""))</f>
        <v/>
      </c>
      <c r="R31" s="34">
        <f>IF(OR($L31="",$K31=""),"",IFERROR(IF(INDEX(PARAMETRES!$H$43:$H$342,MATCH($L31&amp;"|"&amp;$M31&amp;"|"&amp;$N31&amp;"|"&amp;$O31&amp;"|"&amp;$P31&amp;"|"&amp;$Q31&amp;"|"&amp;$K31,PARAMETRES!$J$43:$J$342,0))="","",INDEX(PARAMETRES!$H$43:$H$342,MATCH($L31&amp;"|"&amp;$M31&amp;"|"&amp;$N31&amp;"|"&amp;$O31&amp;"|"&amp;$P31&amp;"|"&amp;$Q31&amp;"|"&amp;$K31,PARAMETRES!$J$43:$J$342,0))),""))</f>
        <v/>
      </c>
      <c r="S31" s="35">
        <f>IF(OR($G31="",$X31&lt;&gt;"VALIDE"),"",IFERROR(LOOKUP(2,1/(($B$3:$B30=$B31)*($G$3:$G30=$G31)*($X$3:$X30="VALIDE")),$C$3:$C30),""))</f>
        <v/>
      </c>
      <c r="T31" s="36">
        <f>IF(OR($C31="",$S31=""),"",ROUND(($C31-$S31+IF($C31&lt;$S31,1,0))*1440,0))</f>
        <v/>
      </c>
      <c r="U31" s="22">
        <f>IF(OR($H31="",$T31="",$T31&lt;=0),"",$H31*60/$T31)</f>
        <v/>
      </c>
      <c r="V31" s="37">
        <f>IF(OR($U31="",$R31="",$R31=0),"",$U31/$R31)</f>
        <v/>
      </c>
      <c r="W31" s="20">
        <f>IF($G31="","",IF($X31="CONTEXTE INCOMPLET","CONTEXTE INCOMPLET",IF($X31="DOUBLON",StatutDoublon,IF($S31="",StatutInitial,IF($R31="",StatutStandardManquant,IF($V31="","DONNEES INSUFFISANTES",IF($V31&gt;=SeuilConforme,StatutConforme,IF($V31&gt;=SeuilSurveiller,StatutSurveiller,StatutSousStandard))))))))</f>
        <v/>
      </c>
      <c r="X31" s="33">
        <f>IF($G31="","",IF(OR($D31="",$E31="",$F31=""),"CONTEXTE INCOMPLET",IF(COUNTIFS($D$3:$D30,$D31,$E$3:$E30,$E31,$F$3:$F30,$F31,$G$3:$G30,$G31)&gt;0,"DOUBLON","VALIDE")))</f>
        <v/>
      </c>
    </row>
    <row r="32" ht="15" customHeight="1">
      <c r="A32" s="12">
        <f>IF(OR($B32="",$G32=""),"",TEXT($B32,"YYYYMMDD")&amp;"-"&amp;SUBSTITUTE($E32," ","")&amp;"-"&amp;$F32&amp;"-"&amp;$G32)</f>
        <v/>
      </c>
      <c r="B32" s="15" t="n"/>
      <c r="C32" s="16" t="n"/>
      <c r="D32" s="10" t="n"/>
      <c r="E32" s="9" t="n"/>
      <c r="F32" s="9" t="n"/>
      <c r="G32" s="13" t="n"/>
      <c r="H32" s="21" t="n"/>
      <c r="I32" s="21" t="n"/>
      <c r="J32" s="17">
        <f>IF($G32="","",IFERROR(INDEX(NomsEmployes,MATCH($G32,MatriculesEmployes,0)),"MATRICULE INCONNU"))</f>
        <v/>
      </c>
      <c r="K32" s="33">
        <f>IF(OR($D32="",$F32=""),"",IFERROR(IF(INDEX(RUNS!$L$6:$S$1005,MATCH($D32,RUNS!$A$6:$A$1005,0),MATCH("ACTIVITÉ "&amp;$F32,RUNS!$L$5:$S$5,0))="","",INDEX(RUNS!$L$6:$S$1005,MATCH($D32,RUNS!$A$6:$A$1005,0),MATCH("ACTIVITÉ "&amp;$F32,RUNS!$L$5:$S$5,0))),""))</f>
        <v/>
      </c>
      <c r="L32" s="33">
        <f>IF($D32="","",IFERROR(IF(INDEX(RUNS!$E$6:$E$1005,MATCH($D32,RUNS!$A$6:$A$1005,0))="","",INDEX(RUNS!$E$6:$E$1005,MATCH($D32,RUNS!$A$6:$A$1005,0))),""))</f>
        <v/>
      </c>
      <c r="M32" s="33">
        <f>IF($D32="","",IFERROR(IF(INDEX(RUNS!$F$6:$F$1005,MATCH($D32,RUNS!$A$6:$A$1005,0))="","",INDEX(RUNS!$F$6:$F$1005,MATCH($D32,RUNS!$A$6:$A$1005,0))),""))</f>
        <v/>
      </c>
      <c r="N32" s="33">
        <f>IF($D32="","",IFERROR(IF(INDEX(RUNS!$G$6:$G$1005,MATCH($D32,RUNS!$A$6:$A$1005,0))="","",INDEX(RUNS!$G$6:$G$1005,MATCH($D32,RUNS!$A$6:$A$1005,0))),""))</f>
        <v/>
      </c>
      <c r="O32" s="33">
        <f>IF($D32="","",IFERROR(IF(INDEX(RUNS!$H$6:$H$1005,MATCH($D32,RUNS!$A$6:$A$1005,0))="","",INDEX(RUNS!$H$6:$H$1005,MATCH($D32,RUNS!$A$6:$A$1005,0))),""))</f>
        <v/>
      </c>
      <c r="P32" s="33">
        <f>IF($D32="","",IFERROR(IF(INDEX(RUNS!$J$6:$J$1005,MATCH($D32,RUNS!$A$6:$A$1005,0))="","",INDEX(RUNS!$J$6:$J$1005,MATCH($D32,RUNS!$A$6:$A$1005,0))),""))</f>
        <v/>
      </c>
      <c r="Q32" s="33">
        <f>IF($D32="","",IFERROR(IF(INDEX(RUNS!$K$6:$K$1005,MATCH($D32,RUNS!$A$6:$A$1005,0))="","",INDEX(RUNS!$K$6:$K$1005,MATCH($D32,RUNS!$A$6:$A$1005,0))),""))</f>
        <v/>
      </c>
      <c r="R32" s="34">
        <f>IF(OR($L32="",$K32=""),"",IFERROR(IF(INDEX(PARAMETRES!$H$43:$H$342,MATCH($L32&amp;"|"&amp;$M32&amp;"|"&amp;$N32&amp;"|"&amp;$O32&amp;"|"&amp;$P32&amp;"|"&amp;$Q32&amp;"|"&amp;$K32,PARAMETRES!$J$43:$J$342,0))="","",INDEX(PARAMETRES!$H$43:$H$342,MATCH($L32&amp;"|"&amp;$M32&amp;"|"&amp;$N32&amp;"|"&amp;$O32&amp;"|"&amp;$P32&amp;"|"&amp;$Q32&amp;"|"&amp;$K32,PARAMETRES!$J$43:$J$342,0))),""))</f>
        <v/>
      </c>
      <c r="S32" s="35">
        <f>IF(OR($G32="",$X32&lt;&gt;"VALIDE"),"",IFERROR(LOOKUP(2,1/(($B$3:$B31=$B32)*($G$3:$G31=$G32)*($X$3:$X31="VALIDE")),$C$3:$C31),""))</f>
        <v/>
      </c>
      <c r="T32" s="36">
        <f>IF(OR($C32="",$S32=""),"",ROUND(($C32-$S32+IF($C32&lt;$S32,1,0))*1440,0))</f>
        <v/>
      </c>
      <c r="U32" s="22">
        <f>IF(OR($H32="",$T32="",$T32&lt;=0),"",$H32*60/$T32)</f>
        <v/>
      </c>
      <c r="V32" s="37">
        <f>IF(OR($U32="",$R32="",$R32=0),"",$U32/$R32)</f>
        <v/>
      </c>
      <c r="W32" s="20">
        <f>IF($G32="","",IF($X32="CONTEXTE INCOMPLET","CONTEXTE INCOMPLET",IF($X32="DOUBLON",StatutDoublon,IF($S32="",StatutInitial,IF($R32="",StatutStandardManquant,IF($V32="","DONNEES INSUFFISANTES",IF($V32&gt;=SeuilConforme,StatutConforme,IF($V32&gt;=SeuilSurveiller,StatutSurveiller,StatutSousStandard))))))))</f>
        <v/>
      </c>
      <c r="X32" s="33">
        <f>IF($G32="","",IF(OR($D32="",$E32="",$F32=""),"CONTEXTE INCOMPLET",IF(COUNTIFS($D$3:$D31,$D32,$E$3:$E31,$E32,$F$3:$F31,$F32,$G$3:$G31,$G32)&gt;0,"DOUBLON","VALIDE")))</f>
        <v/>
      </c>
    </row>
    <row r="33" ht="15" customHeight="1">
      <c r="A33" s="12">
        <f>IF(OR($B33="",$G33=""),"",TEXT($B33,"YYYYMMDD")&amp;"-"&amp;SUBSTITUTE($E33," ","")&amp;"-"&amp;$F33&amp;"-"&amp;$G33)</f>
        <v/>
      </c>
      <c r="B33" s="15" t="n"/>
      <c r="C33" s="16" t="n"/>
      <c r="D33" s="10" t="n"/>
      <c r="E33" s="9" t="n"/>
      <c r="F33" s="9" t="n"/>
      <c r="G33" s="13" t="n"/>
      <c r="H33" s="21" t="n"/>
      <c r="I33" s="21" t="n"/>
      <c r="J33" s="17">
        <f>IF($G33="","",IFERROR(INDEX(NomsEmployes,MATCH($G33,MatriculesEmployes,0)),"MATRICULE INCONNU"))</f>
        <v/>
      </c>
      <c r="K33" s="33">
        <f>IF(OR($D33="",$F33=""),"",IFERROR(IF(INDEX(RUNS!$L$6:$S$1005,MATCH($D33,RUNS!$A$6:$A$1005,0),MATCH("ACTIVITÉ "&amp;$F33,RUNS!$L$5:$S$5,0))="","",INDEX(RUNS!$L$6:$S$1005,MATCH($D33,RUNS!$A$6:$A$1005,0),MATCH("ACTIVITÉ "&amp;$F33,RUNS!$L$5:$S$5,0))),""))</f>
        <v/>
      </c>
      <c r="L33" s="33">
        <f>IF($D33="","",IFERROR(IF(INDEX(RUNS!$E$6:$E$1005,MATCH($D33,RUNS!$A$6:$A$1005,0))="","",INDEX(RUNS!$E$6:$E$1005,MATCH($D33,RUNS!$A$6:$A$1005,0))),""))</f>
        <v/>
      </c>
      <c r="M33" s="33">
        <f>IF($D33="","",IFERROR(IF(INDEX(RUNS!$F$6:$F$1005,MATCH($D33,RUNS!$A$6:$A$1005,0))="","",INDEX(RUNS!$F$6:$F$1005,MATCH($D33,RUNS!$A$6:$A$1005,0))),""))</f>
        <v/>
      </c>
      <c r="N33" s="33">
        <f>IF($D33="","",IFERROR(IF(INDEX(RUNS!$G$6:$G$1005,MATCH($D33,RUNS!$A$6:$A$1005,0))="","",INDEX(RUNS!$G$6:$G$1005,MATCH($D33,RUNS!$A$6:$A$1005,0))),""))</f>
        <v/>
      </c>
      <c r="O33" s="33">
        <f>IF($D33="","",IFERROR(IF(INDEX(RUNS!$H$6:$H$1005,MATCH($D33,RUNS!$A$6:$A$1005,0))="","",INDEX(RUNS!$H$6:$H$1005,MATCH($D33,RUNS!$A$6:$A$1005,0))),""))</f>
        <v/>
      </c>
      <c r="P33" s="33">
        <f>IF($D33="","",IFERROR(IF(INDEX(RUNS!$J$6:$J$1005,MATCH($D33,RUNS!$A$6:$A$1005,0))="","",INDEX(RUNS!$J$6:$J$1005,MATCH($D33,RUNS!$A$6:$A$1005,0))),""))</f>
        <v/>
      </c>
      <c r="Q33" s="33">
        <f>IF($D33="","",IFERROR(IF(INDEX(RUNS!$K$6:$K$1005,MATCH($D33,RUNS!$A$6:$A$1005,0))="","",INDEX(RUNS!$K$6:$K$1005,MATCH($D33,RUNS!$A$6:$A$1005,0))),""))</f>
        <v/>
      </c>
      <c r="R33" s="34">
        <f>IF(OR($L33="",$K33=""),"",IFERROR(IF(INDEX(PARAMETRES!$H$43:$H$342,MATCH($L33&amp;"|"&amp;$M33&amp;"|"&amp;$N33&amp;"|"&amp;$O33&amp;"|"&amp;$P33&amp;"|"&amp;$Q33&amp;"|"&amp;$K33,PARAMETRES!$J$43:$J$342,0))="","",INDEX(PARAMETRES!$H$43:$H$342,MATCH($L33&amp;"|"&amp;$M33&amp;"|"&amp;$N33&amp;"|"&amp;$O33&amp;"|"&amp;$P33&amp;"|"&amp;$Q33&amp;"|"&amp;$K33,PARAMETRES!$J$43:$J$342,0))),""))</f>
        <v/>
      </c>
      <c r="S33" s="35">
        <f>IF(OR($G33="",$X33&lt;&gt;"VALIDE"),"",IFERROR(LOOKUP(2,1/(($B$3:$B32=$B33)*($G$3:$G32=$G33)*($X$3:$X32="VALIDE")),$C$3:$C32),""))</f>
        <v/>
      </c>
      <c r="T33" s="36">
        <f>IF(OR($C33="",$S33=""),"",ROUND(($C33-$S33+IF($C33&lt;$S33,1,0))*1440,0))</f>
        <v/>
      </c>
      <c r="U33" s="22">
        <f>IF(OR($H33="",$T33="",$T33&lt;=0),"",$H33*60/$T33)</f>
        <v/>
      </c>
      <c r="V33" s="37">
        <f>IF(OR($U33="",$R33="",$R33=0),"",$U33/$R33)</f>
        <v/>
      </c>
      <c r="W33" s="20">
        <f>IF($G33="","",IF($X33="CONTEXTE INCOMPLET","CONTEXTE INCOMPLET",IF($X33="DOUBLON",StatutDoublon,IF($S33="",StatutInitial,IF($R33="",StatutStandardManquant,IF($V33="","DONNEES INSUFFISANTES",IF($V33&gt;=SeuilConforme,StatutConforme,IF($V33&gt;=SeuilSurveiller,StatutSurveiller,StatutSousStandard))))))))</f>
        <v/>
      </c>
      <c r="X33" s="33">
        <f>IF($G33="","",IF(OR($D33="",$E33="",$F33=""),"CONTEXTE INCOMPLET",IF(COUNTIFS($D$3:$D32,$D33,$E$3:$E32,$E33,$F$3:$F32,$F33,$G$3:$G32,$G33)&gt;0,"DOUBLON","VALIDE")))</f>
        <v/>
      </c>
    </row>
    <row r="34" ht="15" customHeight="1">
      <c r="A34" s="12">
        <f>IF(OR($B34="",$G34=""),"",TEXT($B34,"YYYYMMDD")&amp;"-"&amp;SUBSTITUTE($E34," ","")&amp;"-"&amp;$F34&amp;"-"&amp;$G34)</f>
        <v/>
      </c>
      <c r="B34" s="15" t="n"/>
      <c r="C34" s="16" t="n"/>
      <c r="D34" s="10" t="n"/>
      <c r="E34" s="9" t="n"/>
      <c r="F34" s="9" t="n"/>
      <c r="G34" s="13" t="n"/>
      <c r="H34" s="21" t="n"/>
      <c r="I34" s="21" t="n"/>
      <c r="J34" s="17">
        <f>IF($G34="","",IFERROR(INDEX(NomsEmployes,MATCH($G34,MatriculesEmployes,0)),"MATRICULE INCONNU"))</f>
        <v/>
      </c>
      <c r="K34" s="33">
        <f>IF(OR($D34="",$F34=""),"",IFERROR(IF(INDEX(RUNS!$L$6:$S$1005,MATCH($D34,RUNS!$A$6:$A$1005,0),MATCH("ACTIVITÉ "&amp;$F34,RUNS!$L$5:$S$5,0))="","",INDEX(RUNS!$L$6:$S$1005,MATCH($D34,RUNS!$A$6:$A$1005,0),MATCH("ACTIVITÉ "&amp;$F34,RUNS!$L$5:$S$5,0))),""))</f>
        <v/>
      </c>
      <c r="L34" s="33">
        <f>IF($D34="","",IFERROR(IF(INDEX(RUNS!$E$6:$E$1005,MATCH($D34,RUNS!$A$6:$A$1005,0))="","",INDEX(RUNS!$E$6:$E$1005,MATCH($D34,RUNS!$A$6:$A$1005,0))),""))</f>
        <v/>
      </c>
      <c r="M34" s="33">
        <f>IF($D34="","",IFERROR(IF(INDEX(RUNS!$F$6:$F$1005,MATCH($D34,RUNS!$A$6:$A$1005,0))="","",INDEX(RUNS!$F$6:$F$1005,MATCH($D34,RUNS!$A$6:$A$1005,0))),""))</f>
        <v/>
      </c>
      <c r="N34" s="33">
        <f>IF($D34="","",IFERROR(IF(INDEX(RUNS!$G$6:$G$1005,MATCH($D34,RUNS!$A$6:$A$1005,0))="","",INDEX(RUNS!$G$6:$G$1005,MATCH($D34,RUNS!$A$6:$A$1005,0))),""))</f>
        <v/>
      </c>
      <c r="O34" s="33">
        <f>IF($D34="","",IFERROR(IF(INDEX(RUNS!$H$6:$H$1005,MATCH($D34,RUNS!$A$6:$A$1005,0))="","",INDEX(RUNS!$H$6:$H$1005,MATCH($D34,RUNS!$A$6:$A$1005,0))),""))</f>
        <v/>
      </c>
      <c r="P34" s="33">
        <f>IF($D34="","",IFERROR(IF(INDEX(RUNS!$J$6:$J$1005,MATCH($D34,RUNS!$A$6:$A$1005,0))="","",INDEX(RUNS!$J$6:$J$1005,MATCH($D34,RUNS!$A$6:$A$1005,0))),""))</f>
        <v/>
      </c>
      <c r="Q34" s="33">
        <f>IF($D34="","",IFERROR(IF(INDEX(RUNS!$K$6:$K$1005,MATCH($D34,RUNS!$A$6:$A$1005,0))="","",INDEX(RUNS!$K$6:$K$1005,MATCH($D34,RUNS!$A$6:$A$1005,0))),""))</f>
        <v/>
      </c>
      <c r="R34" s="34">
        <f>IF(OR($L34="",$K34=""),"",IFERROR(IF(INDEX(PARAMETRES!$H$43:$H$342,MATCH($L34&amp;"|"&amp;$M34&amp;"|"&amp;$N34&amp;"|"&amp;$O34&amp;"|"&amp;$P34&amp;"|"&amp;$Q34&amp;"|"&amp;$K34,PARAMETRES!$J$43:$J$342,0))="","",INDEX(PARAMETRES!$H$43:$H$342,MATCH($L34&amp;"|"&amp;$M34&amp;"|"&amp;$N34&amp;"|"&amp;$O34&amp;"|"&amp;$P34&amp;"|"&amp;$Q34&amp;"|"&amp;$K34,PARAMETRES!$J$43:$J$342,0))),""))</f>
        <v/>
      </c>
      <c r="S34" s="35">
        <f>IF(OR($G34="",$X34&lt;&gt;"VALIDE"),"",IFERROR(LOOKUP(2,1/(($B$3:$B33=$B34)*($G$3:$G33=$G34)*($X$3:$X33="VALIDE")),$C$3:$C33),""))</f>
        <v/>
      </c>
      <c r="T34" s="36">
        <f>IF(OR($C34="",$S34=""),"",ROUND(($C34-$S34+IF($C34&lt;$S34,1,0))*1440,0))</f>
        <v/>
      </c>
      <c r="U34" s="22">
        <f>IF(OR($H34="",$T34="",$T34&lt;=0),"",$H34*60/$T34)</f>
        <v/>
      </c>
      <c r="V34" s="37">
        <f>IF(OR($U34="",$R34="",$R34=0),"",$U34/$R34)</f>
        <v/>
      </c>
      <c r="W34" s="20">
        <f>IF($G34="","",IF($X34="CONTEXTE INCOMPLET","CONTEXTE INCOMPLET",IF($X34="DOUBLON",StatutDoublon,IF($S34="",StatutInitial,IF($R34="",StatutStandardManquant,IF($V34="","DONNEES INSUFFISANTES",IF($V34&gt;=SeuilConforme,StatutConforme,IF($V34&gt;=SeuilSurveiller,StatutSurveiller,StatutSousStandard))))))))</f>
        <v/>
      </c>
      <c r="X34" s="33">
        <f>IF($G34="","",IF(OR($D34="",$E34="",$F34=""),"CONTEXTE INCOMPLET",IF(COUNTIFS($D$3:$D33,$D34,$E$3:$E33,$E34,$F$3:$F33,$F34,$G$3:$G33,$G34)&gt;0,"DOUBLON","VALIDE")))</f>
        <v/>
      </c>
    </row>
    <row r="35" ht="15" customHeight="1">
      <c r="A35" s="12">
        <f>IF(OR($B35="",$G35=""),"",TEXT($B35,"YYYYMMDD")&amp;"-"&amp;SUBSTITUTE($E35," ","")&amp;"-"&amp;$F35&amp;"-"&amp;$G35)</f>
        <v/>
      </c>
      <c r="B35" s="15" t="n"/>
      <c r="C35" s="16" t="n"/>
      <c r="D35" s="10" t="n"/>
      <c r="E35" s="9" t="n"/>
      <c r="F35" s="9" t="n"/>
      <c r="G35" s="13" t="n"/>
      <c r="H35" s="21" t="n"/>
      <c r="I35" s="21" t="n"/>
      <c r="J35" s="17">
        <f>IF($G35="","",IFERROR(INDEX(NomsEmployes,MATCH($G35,MatriculesEmployes,0)),"MATRICULE INCONNU"))</f>
        <v/>
      </c>
      <c r="K35" s="33">
        <f>IF(OR($D35="",$F35=""),"",IFERROR(IF(INDEX(RUNS!$L$6:$S$1005,MATCH($D35,RUNS!$A$6:$A$1005,0),MATCH("ACTIVITÉ "&amp;$F35,RUNS!$L$5:$S$5,0))="","",INDEX(RUNS!$L$6:$S$1005,MATCH($D35,RUNS!$A$6:$A$1005,0),MATCH("ACTIVITÉ "&amp;$F35,RUNS!$L$5:$S$5,0))),""))</f>
        <v/>
      </c>
      <c r="L35" s="33">
        <f>IF($D35="","",IFERROR(IF(INDEX(RUNS!$E$6:$E$1005,MATCH($D35,RUNS!$A$6:$A$1005,0))="","",INDEX(RUNS!$E$6:$E$1005,MATCH($D35,RUNS!$A$6:$A$1005,0))),""))</f>
        <v/>
      </c>
      <c r="M35" s="33">
        <f>IF($D35="","",IFERROR(IF(INDEX(RUNS!$F$6:$F$1005,MATCH($D35,RUNS!$A$6:$A$1005,0))="","",INDEX(RUNS!$F$6:$F$1005,MATCH($D35,RUNS!$A$6:$A$1005,0))),""))</f>
        <v/>
      </c>
      <c r="N35" s="33">
        <f>IF($D35="","",IFERROR(IF(INDEX(RUNS!$G$6:$G$1005,MATCH($D35,RUNS!$A$6:$A$1005,0))="","",INDEX(RUNS!$G$6:$G$1005,MATCH($D35,RUNS!$A$6:$A$1005,0))),""))</f>
        <v/>
      </c>
      <c r="O35" s="33">
        <f>IF($D35="","",IFERROR(IF(INDEX(RUNS!$H$6:$H$1005,MATCH($D35,RUNS!$A$6:$A$1005,0))="","",INDEX(RUNS!$H$6:$H$1005,MATCH($D35,RUNS!$A$6:$A$1005,0))),""))</f>
        <v/>
      </c>
      <c r="P35" s="33">
        <f>IF($D35="","",IFERROR(IF(INDEX(RUNS!$J$6:$J$1005,MATCH($D35,RUNS!$A$6:$A$1005,0))="","",INDEX(RUNS!$J$6:$J$1005,MATCH($D35,RUNS!$A$6:$A$1005,0))),""))</f>
        <v/>
      </c>
      <c r="Q35" s="33">
        <f>IF($D35="","",IFERROR(IF(INDEX(RUNS!$K$6:$K$1005,MATCH($D35,RUNS!$A$6:$A$1005,0))="","",INDEX(RUNS!$K$6:$K$1005,MATCH($D35,RUNS!$A$6:$A$1005,0))),""))</f>
        <v/>
      </c>
      <c r="R35" s="34">
        <f>IF(OR($L35="",$K35=""),"",IFERROR(IF(INDEX(PARAMETRES!$H$43:$H$342,MATCH($L35&amp;"|"&amp;$M35&amp;"|"&amp;$N35&amp;"|"&amp;$O35&amp;"|"&amp;$P35&amp;"|"&amp;$Q35&amp;"|"&amp;$K35,PARAMETRES!$J$43:$J$342,0))="","",INDEX(PARAMETRES!$H$43:$H$342,MATCH($L35&amp;"|"&amp;$M35&amp;"|"&amp;$N35&amp;"|"&amp;$O35&amp;"|"&amp;$P35&amp;"|"&amp;$Q35&amp;"|"&amp;$K35,PARAMETRES!$J$43:$J$342,0))),""))</f>
        <v/>
      </c>
      <c r="S35" s="35">
        <f>IF(OR($G35="",$X35&lt;&gt;"VALIDE"),"",IFERROR(LOOKUP(2,1/(($B$3:$B34=$B35)*($G$3:$G34=$G35)*($X$3:$X34="VALIDE")),$C$3:$C34),""))</f>
        <v/>
      </c>
      <c r="T35" s="36">
        <f>IF(OR($C35="",$S35=""),"",ROUND(($C35-$S35+IF($C35&lt;$S35,1,0))*1440,0))</f>
        <v/>
      </c>
      <c r="U35" s="22">
        <f>IF(OR($H35="",$T35="",$T35&lt;=0),"",$H35*60/$T35)</f>
        <v/>
      </c>
      <c r="V35" s="37">
        <f>IF(OR($U35="",$R35="",$R35=0),"",$U35/$R35)</f>
        <v/>
      </c>
      <c r="W35" s="20">
        <f>IF($G35="","",IF($X35="CONTEXTE INCOMPLET","CONTEXTE INCOMPLET",IF($X35="DOUBLON",StatutDoublon,IF($S35="",StatutInitial,IF($R35="",StatutStandardManquant,IF($V35="","DONNEES INSUFFISANTES",IF($V35&gt;=SeuilConforme,StatutConforme,IF($V35&gt;=SeuilSurveiller,StatutSurveiller,StatutSousStandard))))))))</f>
        <v/>
      </c>
      <c r="X35" s="33">
        <f>IF($G35="","",IF(OR($D35="",$E35="",$F35=""),"CONTEXTE INCOMPLET",IF(COUNTIFS($D$3:$D34,$D35,$E$3:$E34,$E35,$F$3:$F34,$F35,$G$3:$G34,$G35)&gt;0,"DOUBLON","VALIDE")))</f>
        <v/>
      </c>
    </row>
    <row r="36" ht="15" customHeight="1">
      <c r="A36" s="12">
        <f>IF(OR($B36="",$G36=""),"",TEXT($B36,"YYYYMMDD")&amp;"-"&amp;SUBSTITUTE($E36," ","")&amp;"-"&amp;$F36&amp;"-"&amp;$G36)</f>
        <v/>
      </c>
      <c r="B36" s="15" t="n"/>
      <c r="C36" s="16" t="n"/>
      <c r="D36" s="10" t="n"/>
      <c r="E36" s="9" t="n"/>
      <c r="F36" s="9" t="n"/>
      <c r="G36" s="13" t="n"/>
      <c r="H36" s="21" t="n"/>
      <c r="I36" s="21" t="n"/>
      <c r="J36" s="17">
        <f>IF($G36="","",IFERROR(INDEX(NomsEmployes,MATCH($G36,MatriculesEmployes,0)),"MATRICULE INCONNU"))</f>
        <v/>
      </c>
      <c r="K36" s="33">
        <f>IF(OR($D36="",$F36=""),"",IFERROR(IF(INDEX(RUNS!$L$6:$S$1005,MATCH($D36,RUNS!$A$6:$A$1005,0),MATCH("ACTIVITÉ "&amp;$F36,RUNS!$L$5:$S$5,0))="","",INDEX(RUNS!$L$6:$S$1005,MATCH($D36,RUNS!$A$6:$A$1005,0),MATCH("ACTIVITÉ "&amp;$F36,RUNS!$L$5:$S$5,0))),""))</f>
        <v/>
      </c>
      <c r="L36" s="33">
        <f>IF($D36="","",IFERROR(IF(INDEX(RUNS!$E$6:$E$1005,MATCH($D36,RUNS!$A$6:$A$1005,0))="","",INDEX(RUNS!$E$6:$E$1005,MATCH($D36,RUNS!$A$6:$A$1005,0))),""))</f>
        <v/>
      </c>
      <c r="M36" s="33">
        <f>IF($D36="","",IFERROR(IF(INDEX(RUNS!$F$6:$F$1005,MATCH($D36,RUNS!$A$6:$A$1005,0))="","",INDEX(RUNS!$F$6:$F$1005,MATCH($D36,RUNS!$A$6:$A$1005,0))),""))</f>
        <v/>
      </c>
      <c r="N36" s="33">
        <f>IF($D36="","",IFERROR(IF(INDEX(RUNS!$G$6:$G$1005,MATCH($D36,RUNS!$A$6:$A$1005,0))="","",INDEX(RUNS!$G$6:$G$1005,MATCH($D36,RUNS!$A$6:$A$1005,0))),""))</f>
        <v/>
      </c>
      <c r="O36" s="33">
        <f>IF($D36="","",IFERROR(IF(INDEX(RUNS!$H$6:$H$1005,MATCH($D36,RUNS!$A$6:$A$1005,0))="","",INDEX(RUNS!$H$6:$H$1005,MATCH($D36,RUNS!$A$6:$A$1005,0))),""))</f>
        <v/>
      </c>
      <c r="P36" s="33">
        <f>IF($D36="","",IFERROR(IF(INDEX(RUNS!$J$6:$J$1005,MATCH($D36,RUNS!$A$6:$A$1005,0))="","",INDEX(RUNS!$J$6:$J$1005,MATCH($D36,RUNS!$A$6:$A$1005,0))),""))</f>
        <v/>
      </c>
      <c r="Q36" s="33">
        <f>IF($D36="","",IFERROR(IF(INDEX(RUNS!$K$6:$K$1005,MATCH($D36,RUNS!$A$6:$A$1005,0))="","",INDEX(RUNS!$K$6:$K$1005,MATCH($D36,RUNS!$A$6:$A$1005,0))),""))</f>
        <v/>
      </c>
      <c r="R36" s="34">
        <f>IF(OR($L36="",$K36=""),"",IFERROR(IF(INDEX(PARAMETRES!$H$43:$H$342,MATCH($L36&amp;"|"&amp;$M36&amp;"|"&amp;$N36&amp;"|"&amp;$O36&amp;"|"&amp;$P36&amp;"|"&amp;$Q36&amp;"|"&amp;$K36,PARAMETRES!$J$43:$J$342,0))="","",INDEX(PARAMETRES!$H$43:$H$342,MATCH($L36&amp;"|"&amp;$M36&amp;"|"&amp;$N36&amp;"|"&amp;$O36&amp;"|"&amp;$P36&amp;"|"&amp;$Q36&amp;"|"&amp;$K36,PARAMETRES!$J$43:$J$342,0))),""))</f>
        <v/>
      </c>
      <c r="S36" s="35">
        <f>IF(OR($G36="",$X36&lt;&gt;"VALIDE"),"",IFERROR(LOOKUP(2,1/(($B$3:$B35=$B36)*($G$3:$G35=$G36)*($X$3:$X35="VALIDE")),$C$3:$C35),""))</f>
        <v/>
      </c>
      <c r="T36" s="36">
        <f>IF(OR($C36="",$S36=""),"",ROUND(($C36-$S36+IF($C36&lt;$S36,1,0))*1440,0))</f>
        <v/>
      </c>
      <c r="U36" s="22">
        <f>IF(OR($H36="",$T36="",$T36&lt;=0),"",$H36*60/$T36)</f>
        <v/>
      </c>
      <c r="V36" s="37">
        <f>IF(OR($U36="",$R36="",$R36=0),"",$U36/$R36)</f>
        <v/>
      </c>
      <c r="W36" s="20">
        <f>IF($G36="","",IF($X36="CONTEXTE INCOMPLET","CONTEXTE INCOMPLET",IF($X36="DOUBLON",StatutDoublon,IF($S36="",StatutInitial,IF($R36="",StatutStandardManquant,IF($V36="","DONNEES INSUFFISANTES",IF($V36&gt;=SeuilConforme,StatutConforme,IF($V36&gt;=SeuilSurveiller,StatutSurveiller,StatutSousStandard))))))))</f>
        <v/>
      </c>
      <c r="X36" s="33">
        <f>IF($G36="","",IF(OR($D36="",$E36="",$F36=""),"CONTEXTE INCOMPLET",IF(COUNTIFS($D$3:$D35,$D36,$E$3:$E35,$E36,$F$3:$F35,$F36,$G$3:$G35,$G36)&gt;0,"DOUBLON","VALIDE")))</f>
        <v/>
      </c>
    </row>
    <row r="37" ht="15" customHeight="1">
      <c r="A37" s="12">
        <f>IF(OR($B37="",$G37=""),"",TEXT($B37,"YYYYMMDD")&amp;"-"&amp;SUBSTITUTE($E37," ","")&amp;"-"&amp;$F37&amp;"-"&amp;$G37)</f>
        <v/>
      </c>
      <c r="B37" s="15" t="n"/>
      <c r="C37" s="16" t="n"/>
      <c r="D37" s="10" t="n"/>
      <c r="E37" s="9" t="n"/>
      <c r="F37" s="9" t="n"/>
      <c r="G37" s="13" t="n"/>
      <c r="H37" s="21" t="n"/>
      <c r="I37" s="21" t="n"/>
      <c r="J37" s="17">
        <f>IF($G37="","",IFERROR(INDEX(NomsEmployes,MATCH($G37,MatriculesEmployes,0)),"MATRICULE INCONNU"))</f>
        <v/>
      </c>
      <c r="K37" s="33">
        <f>IF(OR($D37="",$F37=""),"",IFERROR(IF(INDEX(RUNS!$L$6:$S$1005,MATCH($D37,RUNS!$A$6:$A$1005,0),MATCH("ACTIVITÉ "&amp;$F37,RUNS!$L$5:$S$5,0))="","",INDEX(RUNS!$L$6:$S$1005,MATCH($D37,RUNS!$A$6:$A$1005,0),MATCH("ACTIVITÉ "&amp;$F37,RUNS!$L$5:$S$5,0))),""))</f>
        <v/>
      </c>
      <c r="L37" s="33">
        <f>IF($D37="","",IFERROR(IF(INDEX(RUNS!$E$6:$E$1005,MATCH($D37,RUNS!$A$6:$A$1005,0))="","",INDEX(RUNS!$E$6:$E$1005,MATCH($D37,RUNS!$A$6:$A$1005,0))),""))</f>
        <v/>
      </c>
      <c r="M37" s="33">
        <f>IF($D37="","",IFERROR(IF(INDEX(RUNS!$F$6:$F$1005,MATCH($D37,RUNS!$A$6:$A$1005,0))="","",INDEX(RUNS!$F$6:$F$1005,MATCH($D37,RUNS!$A$6:$A$1005,0))),""))</f>
        <v/>
      </c>
      <c r="N37" s="33">
        <f>IF($D37="","",IFERROR(IF(INDEX(RUNS!$G$6:$G$1005,MATCH($D37,RUNS!$A$6:$A$1005,0))="","",INDEX(RUNS!$G$6:$G$1005,MATCH($D37,RUNS!$A$6:$A$1005,0))),""))</f>
        <v/>
      </c>
      <c r="O37" s="33">
        <f>IF($D37="","",IFERROR(IF(INDEX(RUNS!$H$6:$H$1005,MATCH($D37,RUNS!$A$6:$A$1005,0))="","",INDEX(RUNS!$H$6:$H$1005,MATCH($D37,RUNS!$A$6:$A$1005,0))),""))</f>
        <v/>
      </c>
      <c r="P37" s="33">
        <f>IF($D37="","",IFERROR(IF(INDEX(RUNS!$J$6:$J$1005,MATCH($D37,RUNS!$A$6:$A$1005,0))="","",INDEX(RUNS!$J$6:$J$1005,MATCH($D37,RUNS!$A$6:$A$1005,0))),""))</f>
        <v/>
      </c>
      <c r="Q37" s="33">
        <f>IF($D37="","",IFERROR(IF(INDEX(RUNS!$K$6:$K$1005,MATCH($D37,RUNS!$A$6:$A$1005,0))="","",INDEX(RUNS!$K$6:$K$1005,MATCH($D37,RUNS!$A$6:$A$1005,0))),""))</f>
        <v/>
      </c>
      <c r="R37" s="34">
        <f>IF(OR($L37="",$K37=""),"",IFERROR(IF(INDEX(PARAMETRES!$H$43:$H$342,MATCH($L37&amp;"|"&amp;$M37&amp;"|"&amp;$N37&amp;"|"&amp;$O37&amp;"|"&amp;$P37&amp;"|"&amp;$Q37&amp;"|"&amp;$K37,PARAMETRES!$J$43:$J$342,0))="","",INDEX(PARAMETRES!$H$43:$H$342,MATCH($L37&amp;"|"&amp;$M37&amp;"|"&amp;$N37&amp;"|"&amp;$O37&amp;"|"&amp;$P37&amp;"|"&amp;$Q37&amp;"|"&amp;$K37,PARAMETRES!$J$43:$J$342,0))),""))</f>
        <v/>
      </c>
      <c r="S37" s="35">
        <f>IF(OR($G37="",$X37&lt;&gt;"VALIDE"),"",IFERROR(LOOKUP(2,1/(($B$3:$B36=$B37)*($G$3:$G36=$G37)*($X$3:$X36="VALIDE")),$C$3:$C36),""))</f>
        <v/>
      </c>
      <c r="T37" s="36">
        <f>IF(OR($C37="",$S37=""),"",ROUND(($C37-$S37+IF($C37&lt;$S37,1,0))*1440,0))</f>
        <v/>
      </c>
      <c r="U37" s="22">
        <f>IF(OR($H37="",$T37="",$T37&lt;=0),"",$H37*60/$T37)</f>
        <v/>
      </c>
      <c r="V37" s="37">
        <f>IF(OR($U37="",$R37="",$R37=0),"",$U37/$R37)</f>
        <v/>
      </c>
      <c r="W37" s="20">
        <f>IF($G37="","",IF($X37="CONTEXTE INCOMPLET","CONTEXTE INCOMPLET",IF($X37="DOUBLON",StatutDoublon,IF($S37="",StatutInitial,IF($R37="",StatutStandardManquant,IF($V37="","DONNEES INSUFFISANTES",IF($V37&gt;=SeuilConforme,StatutConforme,IF($V37&gt;=SeuilSurveiller,StatutSurveiller,StatutSousStandard))))))))</f>
        <v/>
      </c>
      <c r="X37" s="33">
        <f>IF($G37="","",IF(OR($D37="",$E37="",$F37=""),"CONTEXTE INCOMPLET",IF(COUNTIFS($D$3:$D36,$D37,$E$3:$E36,$E37,$F$3:$F36,$F37,$G$3:$G36,$G37)&gt;0,"DOUBLON","VALIDE")))</f>
        <v/>
      </c>
    </row>
    <row r="38" ht="15" customHeight="1">
      <c r="A38" s="12">
        <f>IF(OR($B38="",$G38=""),"",TEXT($B38,"YYYYMMDD")&amp;"-"&amp;SUBSTITUTE($E38," ","")&amp;"-"&amp;$F38&amp;"-"&amp;$G38)</f>
        <v/>
      </c>
      <c r="B38" s="15" t="n"/>
      <c r="C38" s="16" t="n"/>
      <c r="D38" s="10" t="n"/>
      <c r="E38" s="9" t="n"/>
      <c r="F38" s="9" t="n"/>
      <c r="G38" s="13" t="n"/>
      <c r="H38" s="21" t="n"/>
      <c r="I38" s="21" t="n"/>
      <c r="J38" s="17">
        <f>IF($G38="","",IFERROR(INDEX(NomsEmployes,MATCH($G38,MatriculesEmployes,0)),"MATRICULE INCONNU"))</f>
        <v/>
      </c>
      <c r="K38" s="33">
        <f>IF(OR($D38="",$F38=""),"",IFERROR(IF(INDEX(RUNS!$L$6:$S$1005,MATCH($D38,RUNS!$A$6:$A$1005,0),MATCH("ACTIVITÉ "&amp;$F38,RUNS!$L$5:$S$5,0))="","",INDEX(RUNS!$L$6:$S$1005,MATCH($D38,RUNS!$A$6:$A$1005,0),MATCH("ACTIVITÉ "&amp;$F38,RUNS!$L$5:$S$5,0))),""))</f>
        <v/>
      </c>
      <c r="L38" s="33">
        <f>IF($D38="","",IFERROR(IF(INDEX(RUNS!$E$6:$E$1005,MATCH($D38,RUNS!$A$6:$A$1005,0))="","",INDEX(RUNS!$E$6:$E$1005,MATCH($D38,RUNS!$A$6:$A$1005,0))),""))</f>
        <v/>
      </c>
      <c r="M38" s="33">
        <f>IF($D38="","",IFERROR(IF(INDEX(RUNS!$F$6:$F$1005,MATCH($D38,RUNS!$A$6:$A$1005,0))="","",INDEX(RUNS!$F$6:$F$1005,MATCH($D38,RUNS!$A$6:$A$1005,0))),""))</f>
        <v/>
      </c>
      <c r="N38" s="33">
        <f>IF($D38="","",IFERROR(IF(INDEX(RUNS!$G$6:$G$1005,MATCH($D38,RUNS!$A$6:$A$1005,0))="","",INDEX(RUNS!$G$6:$G$1005,MATCH($D38,RUNS!$A$6:$A$1005,0))),""))</f>
        <v/>
      </c>
      <c r="O38" s="33">
        <f>IF($D38="","",IFERROR(IF(INDEX(RUNS!$H$6:$H$1005,MATCH($D38,RUNS!$A$6:$A$1005,0))="","",INDEX(RUNS!$H$6:$H$1005,MATCH($D38,RUNS!$A$6:$A$1005,0))),""))</f>
        <v/>
      </c>
      <c r="P38" s="33">
        <f>IF($D38="","",IFERROR(IF(INDEX(RUNS!$J$6:$J$1005,MATCH($D38,RUNS!$A$6:$A$1005,0))="","",INDEX(RUNS!$J$6:$J$1005,MATCH($D38,RUNS!$A$6:$A$1005,0))),""))</f>
        <v/>
      </c>
      <c r="Q38" s="33">
        <f>IF($D38="","",IFERROR(IF(INDEX(RUNS!$K$6:$K$1005,MATCH($D38,RUNS!$A$6:$A$1005,0))="","",INDEX(RUNS!$K$6:$K$1005,MATCH($D38,RUNS!$A$6:$A$1005,0))),""))</f>
        <v/>
      </c>
      <c r="R38" s="34">
        <f>IF(OR($L38="",$K38=""),"",IFERROR(IF(INDEX(PARAMETRES!$H$43:$H$342,MATCH($L38&amp;"|"&amp;$M38&amp;"|"&amp;$N38&amp;"|"&amp;$O38&amp;"|"&amp;$P38&amp;"|"&amp;$Q38&amp;"|"&amp;$K38,PARAMETRES!$J$43:$J$342,0))="","",INDEX(PARAMETRES!$H$43:$H$342,MATCH($L38&amp;"|"&amp;$M38&amp;"|"&amp;$N38&amp;"|"&amp;$O38&amp;"|"&amp;$P38&amp;"|"&amp;$Q38&amp;"|"&amp;$K38,PARAMETRES!$J$43:$J$342,0))),""))</f>
        <v/>
      </c>
      <c r="S38" s="35">
        <f>IF(OR($G38="",$X38&lt;&gt;"VALIDE"),"",IFERROR(LOOKUP(2,1/(($B$3:$B37=$B38)*($G$3:$G37=$G38)*($X$3:$X37="VALIDE")),$C$3:$C37),""))</f>
        <v/>
      </c>
      <c r="T38" s="36">
        <f>IF(OR($C38="",$S38=""),"",ROUND(($C38-$S38+IF($C38&lt;$S38,1,0))*1440,0))</f>
        <v/>
      </c>
      <c r="U38" s="22">
        <f>IF(OR($H38="",$T38="",$T38&lt;=0),"",$H38*60/$T38)</f>
        <v/>
      </c>
      <c r="V38" s="37">
        <f>IF(OR($U38="",$R38="",$R38=0),"",$U38/$R38)</f>
        <v/>
      </c>
      <c r="W38" s="20">
        <f>IF($G38="","",IF($X38="CONTEXTE INCOMPLET","CONTEXTE INCOMPLET",IF($X38="DOUBLON",StatutDoublon,IF($S38="",StatutInitial,IF($R38="",StatutStandardManquant,IF($V38="","DONNEES INSUFFISANTES",IF($V38&gt;=SeuilConforme,StatutConforme,IF($V38&gt;=SeuilSurveiller,StatutSurveiller,StatutSousStandard))))))))</f>
        <v/>
      </c>
      <c r="X38" s="33">
        <f>IF($G38="","",IF(OR($D38="",$E38="",$F38=""),"CONTEXTE INCOMPLET",IF(COUNTIFS($D$3:$D37,$D38,$E$3:$E37,$E38,$F$3:$F37,$F38,$G$3:$G37,$G38)&gt;0,"DOUBLON","VALIDE")))</f>
        <v/>
      </c>
    </row>
    <row r="39" ht="15" customHeight="1">
      <c r="A39" s="12">
        <f>IF(OR($B39="",$G39=""),"",TEXT($B39,"YYYYMMDD")&amp;"-"&amp;SUBSTITUTE($E39," ","")&amp;"-"&amp;$F39&amp;"-"&amp;$G39)</f>
        <v/>
      </c>
      <c r="B39" s="15" t="n"/>
      <c r="C39" s="16" t="n"/>
      <c r="D39" s="10" t="n"/>
      <c r="E39" s="9" t="n"/>
      <c r="F39" s="9" t="n"/>
      <c r="G39" s="13" t="n"/>
      <c r="H39" s="21" t="n"/>
      <c r="I39" s="21" t="n"/>
      <c r="J39" s="17">
        <f>IF($G39="","",IFERROR(INDEX(NomsEmployes,MATCH($G39,MatriculesEmployes,0)),"MATRICULE INCONNU"))</f>
        <v/>
      </c>
      <c r="K39" s="33">
        <f>IF(OR($D39="",$F39=""),"",IFERROR(IF(INDEX(RUNS!$L$6:$S$1005,MATCH($D39,RUNS!$A$6:$A$1005,0),MATCH("ACTIVITÉ "&amp;$F39,RUNS!$L$5:$S$5,0))="","",INDEX(RUNS!$L$6:$S$1005,MATCH($D39,RUNS!$A$6:$A$1005,0),MATCH("ACTIVITÉ "&amp;$F39,RUNS!$L$5:$S$5,0))),""))</f>
        <v/>
      </c>
      <c r="L39" s="33">
        <f>IF($D39="","",IFERROR(IF(INDEX(RUNS!$E$6:$E$1005,MATCH($D39,RUNS!$A$6:$A$1005,0))="","",INDEX(RUNS!$E$6:$E$1005,MATCH($D39,RUNS!$A$6:$A$1005,0))),""))</f>
        <v/>
      </c>
      <c r="M39" s="33">
        <f>IF($D39="","",IFERROR(IF(INDEX(RUNS!$F$6:$F$1005,MATCH($D39,RUNS!$A$6:$A$1005,0))="","",INDEX(RUNS!$F$6:$F$1005,MATCH($D39,RUNS!$A$6:$A$1005,0))),""))</f>
        <v/>
      </c>
      <c r="N39" s="33">
        <f>IF($D39="","",IFERROR(IF(INDEX(RUNS!$G$6:$G$1005,MATCH($D39,RUNS!$A$6:$A$1005,0))="","",INDEX(RUNS!$G$6:$G$1005,MATCH($D39,RUNS!$A$6:$A$1005,0))),""))</f>
        <v/>
      </c>
      <c r="O39" s="33">
        <f>IF($D39="","",IFERROR(IF(INDEX(RUNS!$H$6:$H$1005,MATCH($D39,RUNS!$A$6:$A$1005,0))="","",INDEX(RUNS!$H$6:$H$1005,MATCH($D39,RUNS!$A$6:$A$1005,0))),""))</f>
        <v/>
      </c>
      <c r="P39" s="33">
        <f>IF($D39="","",IFERROR(IF(INDEX(RUNS!$J$6:$J$1005,MATCH($D39,RUNS!$A$6:$A$1005,0))="","",INDEX(RUNS!$J$6:$J$1005,MATCH($D39,RUNS!$A$6:$A$1005,0))),""))</f>
        <v/>
      </c>
      <c r="Q39" s="33">
        <f>IF($D39="","",IFERROR(IF(INDEX(RUNS!$K$6:$K$1005,MATCH($D39,RUNS!$A$6:$A$1005,0))="","",INDEX(RUNS!$K$6:$K$1005,MATCH($D39,RUNS!$A$6:$A$1005,0))),""))</f>
        <v/>
      </c>
      <c r="R39" s="34">
        <f>IF(OR($L39="",$K39=""),"",IFERROR(IF(INDEX(PARAMETRES!$H$43:$H$342,MATCH($L39&amp;"|"&amp;$M39&amp;"|"&amp;$N39&amp;"|"&amp;$O39&amp;"|"&amp;$P39&amp;"|"&amp;$Q39&amp;"|"&amp;$K39,PARAMETRES!$J$43:$J$342,0))="","",INDEX(PARAMETRES!$H$43:$H$342,MATCH($L39&amp;"|"&amp;$M39&amp;"|"&amp;$N39&amp;"|"&amp;$O39&amp;"|"&amp;$P39&amp;"|"&amp;$Q39&amp;"|"&amp;$K39,PARAMETRES!$J$43:$J$342,0))),""))</f>
        <v/>
      </c>
      <c r="S39" s="35">
        <f>IF(OR($G39="",$X39&lt;&gt;"VALIDE"),"",IFERROR(LOOKUP(2,1/(($B$3:$B38=$B39)*($G$3:$G38=$G39)*($X$3:$X38="VALIDE")),$C$3:$C38),""))</f>
        <v/>
      </c>
      <c r="T39" s="36">
        <f>IF(OR($C39="",$S39=""),"",ROUND(($C39-$S39+IF($C39&lt;$S39,1,0))*1440,0))</f>
        <v/>
      </c>
      <c r="U39" s="22">
        <f>IF(OR($H39="",$T39="",$T39&lt;=0),"",$H39*60/$T39)</f>
        <v/>
      </c>
      <c r="V39" s="37">
        <f>IF(OR($U39="",$R39="",$R39=0),"",$U39/$R39)</f>
        <v/>
      </c>
      <c r="W39" s="20">
        <f>IF($G39="","",IF($X39="CONTEXTE INCOMPLET","CONTEXTE INCOMPLET",IF($X39="DOUBLON",StatutDoublon,IF($S39="",StatutInitial,IF($R39="",StatutStandardManquant,IF($V39="","DONNEES INSUFFISANTES",IF($V39&gt;=SeuilConforme,StatutConforme,IF($V39&gt;=SeuilSurveiller,StatutSurveiller,StatutSousStandard))))))))</f>
        <v/>
      </c>
      <c r="X39" s="33">
        <f>IF($G39="","",IF(OR($D39="",$E39="",$F39=""),"CONTEXTE INCOMPLET",IF(COUNTIFS($D$3:$D38,$D39,$E$3:$E38,$E39,$F$3:$F38,$F39,$G$3:$G38,$G39)&gt;0,"DOUBLON","VALIDE")))</f>
        <v/>
      </c>
    </row>
    <row r="40" ht="15" customHeight="1">
      <c r="A40" s="12">
        <f>IF(OR($B40="",$G40=""),"",TEXT($B40,"YYYYMMDD")&amp;"-"&amp;SUBSTITUTE($E40," ","")&amp;"-"&amp;$F40&amp;"-"&amp;$G40)</f>
        <v/>
      </c>
      <c r="B40" s="15" t="n"/>
      <c r="C40" s="16" t="n"/>
      <c r="D40" s="10" t="n"/>
      <c r="E40" s="9" t="n"/>
      <c r="F40" s="9" t="n"/>
      <c r="G40" s="13" t="n"/>
      <c r="H40" s="21" t="n"/>
      <c r="I40" s="21" t="n"/>
      <c r="J40" s="17">
        <f>IF($G40="","",IFERROR(INDEX(NomsEmployes,MATCH($G40,MatriculesEmployes,0)),"MATRICULE INCONNU"))</f>
        <v/>
      </c>
      <c r="K40" s="33">
        <f>IF(OR($D40="",$F40=""),"",IFERROR(IF(INDEX(RUNS!$L$6:$S$1005,MATCH($D40,RUNS!$A$6:$A$1005,0),MATCH("ACTIVITÉ "&amp;$F40,RUNS!$L$5:$S$5,0))="","",INDEX(RUNS!$L$6:$S$1005,MATCH($D40,RUNS!$A$6:$A$1005,0),MATCH("ACTIVITÉ "&amp;$F40,RUNS!$L$5:$S$5,0))),""))</f>
        <v/>
      </c>
      <c r="L40" s="33">
        <f>IF($D40="","",IFERROR(IF(INDEX(RUNS!$E$6:$E$1005,MATCH($D40,RUNS!$A$6:$A$1005,0))="","",INDEX(RUNS!$E$6:$E$1005,MATCH($D40,RUNS!$A$6:$A$1005,0))),""))</f>
        <v/>
      </c>
      <c r="M40" s="33">
        <f>IF($D40="","",IFERROR(IF(INDEX(RUNS!$F$6:$F$1005,MATCH($D40,RUNS!$A$6:$A$1005,0))="","",INDEX(RUNS!$F$6:$F$1005,MATCH($D40,RUNS!$A$6:$A$1005,0))),""))</f>
        <v/>
      </c>
      <c r="N40" s="33">
        <f>IF($D40="","",IFERROR(IF(INDEX(RUNS!$G$6:$G$1005,MATCH($D40,RUNS!$A$6:$A$1005,0))="","",INDEX(RUNS!$G$6:$G$1005,MATCH($D40,RUNS!$A$6:$A$1005,0))),""))</f>
        <v/>
      </c>
      <c r="O40" s="33">
        <f>IF($D40="","",IFERROR(IF(INDEX(RUNS!$H$6:$H$1005,MATCH($D40,RUNS!$A$6:$A$1005,0))="","",INDEX(RUNS!$H$6:$H$1005,MATCH($D40,RUNS!$A$6:$A$1005,0))),""))</f>
        <v/>
      </c>
      <c r="P40" s="33">
        <f>IF($D40="","",IFERROR(IF(INDEX(RUNS!$J$6:$J$1005,MATCH($D40,RUNS!$A$6:$A$1005,0))="","",INDEX(RUNS!$J$6:$J$1005,MATCH($D40,RUNS!$A$6:$A$1005,0))),""))</f>
        <v/>
      </c>
      <c r="Q40" s="33">
        <f>IF($D40="","",IFERROR(IF(INDEX(RUNS!$K$6:$K$1005,MATCH($D40,RUNS!$A$6:$A$1005,0))="","",INDEX(RUNS!$K$6:$K$1005,MATCH($D40,RUNS!$A$6:$A$1005,0))),""))</f>
        <v/>
      </c>
      <c r="R40" s="34">
        <f>IF(OR($L40="",$K40=""),"",IFERROR(IF(INDEX(PARAMETRES!$H$43:$H$342,MATCH($L40&amp;"|"&amp;$M40&amp;"|"&amp;$N40&amp;"|"&amp;$O40&amp;"|"&amp;$P40&amp;"|"&amp;$Q40&amp;"|"&amp;$K40,PARAMETRES!$J$43:$J$342,0))="","",INDEX(PARAMETRES!$H$43:$H$342,MATCH($L40&amp;"|"&amp;$M40&amp;"|"&amp;$N40&amp;"|"&amp;$O40&amp;"|"&amp;$P40&amp;"|"&amp;$Q40&amp;"|"&amp;$K40,PARAMETRES!$J$43:$J$342,0))),""))</f>
        <v/>
      </c>
      <c r="S40" s="35">
        <f>IF(OR($G40="",$X40&lt;&gt;"VALIDE"),"",IFERROR(LOOKUP(2,1/(($B$3:$B39=$B40)*($G$3:$G39=$G40)*($X$3:$X39="VALIDE")),$C$3:$C39),""))</f>
        <v/>
      </c>
      <c r="T40" s="36">
        <f>IF(OR($C40="",$S40=""),"",ROUND(($C40-$S40+IF($C40&lt;$S40,1,0))*1440,0))</f>
        <v/>
      </c>
      <c r="U40" s="22">
        <f>IF(OR($H40="",$T40="",$T40&lt;=0),"",$H40*60/$T40)</f>
        <v/>
      </c>
      <c r="V40" s="37">
        <f>IF(OR($U40="",$R40="",$R40=0),"",$U40/$R40)</f>
        <v/>
      </c>
      <c r="W40" s="20">
        <f>IF($G40="","",IF($X40="CONTEXTE INCOMPLET","CONTEXTE INCOMPLET",IF($X40="DOUBLON",StatutDoublon,IF($S40="",StatutInitial,IF($R40="",StatutStandardManquant,IF($V40="","DONNEES INSUFFISANTES",IF($V40&gt;=SeuilConforme,StatutConforme,IF($V40&gt;=SeuilSurveiller,StatutSurveiller,StatutSousStandard))))))))</f>
        <v/>
      </c>
      <c r="X40" s="33">
        <f>IF($G40="","",IF(OR($D40="",$E40="",$F40=""),"CONTEXTE INCOMPLET",IF(COUNTIFS($D$3:$D39,$D40,$E$3:$E39,$E40,$F$3:$F39,$F40,$G$3:$G39,$G40)&gt;0,"DOUBLON","VALIDE")))</f>
        <v/>
      </c>
    </row>
    <row r="41" ht="15" customHeight="1">
      <c r="A41" s="12">
        <f>IF(OR($B41="",$G41=""),"",TEXT($B41,"YYYYMMDD")&amp;"-"&amp;SUBSTITUTE($E41," ","")&amp;"-"&amp;$F41&amp;"-"&amp;$G41)</f>
        <v/>
      </c>
      <c r="B41" s="15" t="n"/>
      <c r="C41" s="16" t="n"/>
      <c r="D41" s="10" t="n"/>
      <c r="E41" s="9" t="n"/>
      <c r="F41" s="9" t="n"/>
      <c r="G41" s="13" t="n"/>
      <c r="H41" s="21" t="n"/>
      <c r="I41" s="21" t="n"/>
      <c r="J41" s="17">
        <f>IF($G41="","",IFERROR(INDEX(NomsEmployes,MATCH($G41,MatriculesEmployes,0)),"MATRICULE INCONNU"))</f>
        <v/>
      </c>
      <c r="K41" s="33">
        <f>IF(OR($D41="",$F41=""),"",IFERROR(IF(INDEX(RUNS!$L$6:$S$1005,MATCH($D41,RUNS!$A$6:$A$1005,0),MATCH("ACTIVITÉ "&amp;$F41,RUNS!$L$5:$S$5,0))="","",INDEX(RUNS!$L$6:$S$1005,MATCH($D41,RUNS!$A$6:$A$1005,0),MATCH("ACTIVITÉ "&amp;$F41,RUNS!$L$5:$S$5,0))),""))</f>
        <v/>
      </c>
      <c r="L41" s="33">
        <f>IF($D41="","",IFERROR(IF(INDEX(RUNS!$E$6:$E$1005,MATCH($D41,RUNS!$A$6:$A$1005,0))="","",INDEX(RUNS!$E$6:$E$1005,MATCH($D41,RUNS!$A$6:$A$1005,0))),""))</f>
        <v/>
      </c>
      <c r="M41" s="33">
        <f>IF($D41="","",IFERROR(IF(INDEX(RUNS!$F$6:$F$1005,MATCH($D41,RUNS!$A$6:$A$1005,0))="","",INDEX(RUNS!$F$6:$F$1005,MATCH($D41,RUNS!$A$6:$A$1005,0))),""))</f>
        <v/>
      </c>
      <c r="N41" s="33">
        <f>IF($D41="","",IFERROR(IF(INDEX(RUNS!$G$6:$G$1005,MATCH($D41,RUNS!$A$6:$A$1005,0))="","",INDEX(RUNS!$G$6:$G$1005,MATCH($D41,RUNS!$A$6:$A$1005,0))),""))</f>
        <v/>
      </c>
      <c r="O41" s="33">
        <f>IF($D41="","",IFERROR(IF(INDEX(RUNS!$H$6:$H$1005,MATCH($D41,RUNS!$A$6:$A$1005,0))="","",INDEX(RUNS!$H$6:$H$1005,MATCH($D41,RUNS!$A$6:$A$1005,0))),""))</f>
        <v/>
      </c>
      <c r="P41" s="33">
        <f>IF($D41="","",IFERROR(IF(INDEX(RUNS!$J$6:$J$1005,MATCH($D41,RUNS!$A$6:$A$1005,0))="","",INDEX(RUNS!$J$6:$J$1005,MATCH($D41,RUNS!$A$6:$A$1005,0))),""))</f>
        <v/>
      </c>
      <c r="Q41" s="33">
        <f>IF($D41="","",IFERROR(IF(INDEX(RUNS!$K$6:$K$1005,MATCH($D41,RUNS!$A$6:$A$1005,0))="","",INDEX(RUNS!$K$6:$K$1005,MATCH($D41,RUNS!$A$6:$A$1005,0))),""))</f>
        <v/>
      </c>
      <c r="R41" s="34">
        <f>IF(OR($L41="",$K41=""),"",IFERROR(IF(INDEX(PARAMETRES!$H$43:$H$342,MATCH($L41&amp;"|"&amp;$M41&amp;"|"&amp;$N41&amp;"|"&amp;$O41&amp;"|"&amp;$P41&amp;"|"&amp;$Q41&amp;"|"&amp;$K41,PARAMETRES!$J$43:$J$342,0))="","",INDEX(PARAMETRES!$H$43:$H$342,MATCH($L41&amp;"|"&amp;$M41&amp;"|"&amp;$N41&amp;"|"&amp;$O41&amp;"|"&amp;$P41&amp;"|"&amp;$Q41&amp;"|"&amp;$K41,PARAMETRES!$J$43:$J$342,0))),""))</f>
        <v/>
      </c>
      <c r="S41" s="35">
        <f>IF(OR($G41="",$X41&lt;&gt;"VALIDE"),"",IFERROR(LOOKUP(2,1/(($B$3:$B40=$B41)*($G$3:$G40=$G41)*($X$3:$X40="VALIDE")),$C$3:$C40),""))</f>
        <v/>
      </c>
      <c r="T41" s="36">
        <f>IF(OR($C41="",$S41=""),"",ROUND(($C41-$S41+IF($C41&lt;$S41,1,0))*1440,0))</f>
        <v/>
      </c>
      <c r="U41" s="22">
        <f>IF(OR($H41="",$T41="",$T41&lt;=0),"",$H41*60/$T41)</f>
        <v/>
      </c>
      <c r="V41" s="37">
        <f>IF(OR($U41="",$R41="",$R41=0),"",$U41/$R41)</f>
        <v/>
      </c>
      <c r="W41" s="20">
        <f>IF($G41="","",IF($X41="CONTEXTE INCOMPLET","CONTEXTE INCOMPLET",IF($X41="DOUBLON",StatutDoublon,IF($S41="",StatutInitial,IF($R41="",StatutStandardManquant,IF($V41="","DONNEES INSUFFISANTES",IF($V41&gt;=SeuilConforme,StatutConforme,IF($V41&gt;=SeuilSurveiller,StatutSurveiller,StatutSousStandard))))))))</f>
        <v/>
      </c>
      <c r="X41" s="33">
        <f>IF($G41="","",IF(OR($D41="",$E41="",$F41=""),"CONTEXTE INCOMPLET",IF(COUNTIFS($D$3:$D40,$D41,$E$3:$E40,$E41,$F$3:$F40,$F41,$G$3:$G40,$G41)&gt;0,"DOUBLON","VALIDE")))</f>
        <v/>
      </c>
    </row>
    <row r="42" ht="15" customHeight="1">
      <c r="A42" s="12">
        <f>IF(OR($B42="",$G42=""),"",TEXT($B42,"YYYYMMDD")&amp;"-"&amp;SUBSTITUTE($E42," ","")&amp;"-"&amp;$F42&amp;"-"&amp;$G42)</f>
        <v/>
      </c>
      <c r="B42" s="15" t="n"/>
      <c r="C42" s="16" t="n"/>
      <c r="D42" s="10" t="n"/>
      <c r="E42" s="9" t="n"/>
      <c r="F42" s="9" t="n"/>
      <c r="G42" s="13" t="n"/>
      <c r="H42" s="21" t="n"/>
      <c r="I42" s="21" t="n"/>
      <c r="J42" s="17">
        <f>IF($G42="","",IFERROR(INDEX(NomsEmployes,MATCH($G42,MatriculesEmployes,0)),"MATRICULE INCONNU"))</f>
        <v/>
      </c>
      <c r="K42" s="33">
        <f>IF(OR($D42="",$F42=""),"",IFERROR(IF(INDEX(RUNS!$L$6:$S$1005,MATCH($D42,RUNS!$A$6:$A$1005,0),MATCH("ACTIVITÉ "&amp;$F42,RUNS!$L$5:$S$5,0))="","",INDEX(RUNS!$L$6:$S$1005,MATCH($D42,RUNS!$A$6:$A$1005,0),MATCH("ACTIVITÉ "&amp;$F42,RUNS!$L$5:$S$5,0))),""))</f>
        <v/>
      </c>
      <c r="L42" s="33">
        <f>IF($D42="","",IFERROR(IF(INDEX(RUNS!$E$6:$E$1005,MATCH($D42,RUNS!$A$6:$A$1005,0))="","",INDEX(RUNS!$E$6:$E$1005,MATCH($D42,RUNS!$A$6:$A$1005,0))),""))</f>
        <v/>
      </c>
      <c r="M42" s="33">
        <f>IF($D42="","",IFERROR(IF(INDEX(RUNS!$F$6:$F$1005,MATCH($D42,RUNS!$A$6:$A$1005,0))="","",INDEX(RUNS!$F$6:$F$1005,MATCH($D42,RUNS!$A$6:$A$1005,0))),""))</f>
        <v/>
      </c>
      <c r="N42" s="33">
        <f>IF($D42="","",IFERROR(IF(INDEX(RUNS!$G$6:$G$1005,MATCH($D42,RUNS!$A$6:$A$1005,0))="","",INDEX(RUNS!$G$6:$G$1005,MATCH($D42,RUNS!$A$6:$A$1005,0))),""))</f>
        <v/>
      </c>
      <c r="O42" s="33">
        <f>IF($D42="","",IFERROR(IF(INDEX(RUNS!$H$6:$H$1005,MATCH($D42,RUNS!$A$6:$A$1005,0))="","",INDEX(RUNS!$H$6:$H$1005,MATCH($D42,RUNS!$A$6:$A$1005,0))),""))</f>
        <v/>
      </c>
      <c r="P42" s="33">
        <f>IF($D42="","",IFERROR(IF(INDEX(RUNS!$J$6:$J$1005,MATCH($D42,RUNS!$A$6:$A$1005,0))="","",INDEX(RUNS!$J$6:$J$1005,MATCH($D42,RUNS!$A$6:$A$1005,0))),""))</f>
        <v/>
      </c>
      <c r="Q42" s="33">
        <f>IF($D42="","",IFERROR(IF(INDEX(RUNS!$K$6:$K$1005,MATCH($D42,RUNS!$A$6:$A$1005,0))="","",INDEX(RUNS!$K$6:$K$1005,MATCH($D42,RUNS!$A$6:$A$1005,0))),""))</f>
        <v/>
      </c>
      <c r="R42" s="34">
        <f>IF(OR($L42="",$K42=""),"",IFERROR(IF(INDEX(PARAMETRES!$H$43:$H$342,MATCH($L42&amp;"|"&amp;$M42&amp;"|"&amp;$N42&amp;"|"&amp;$O42&amp;"|"&amp;$P42&amp;"|"&amp;$Q42&amp;"|"&amp;$K42,PARAMETRES!$J$43:$J$342,0))="","",INDEX(PARAMETRES!$H$43:$H$342,MATCH($L42&amp;"|"&amp;$M42&amp;"|"&amp;$N42&amp;"|"&amp;$O42&amp;"|"&amp;$P42&amp;"|"&amp;$Q42&amp;"|"&amp;$K42,PARAMETRES!$J$43:$J$342,0))),""))</f>
        <v/>
      </c>
      <c r="S42" s="35">
        <f>IF(OR($G42="",$X42&lt;&gt;"VALIDE"),"",IFERROR(LOOKUP(2,1/(($B$3:$B41=$B42)*($G$3:$G41=$G42)*($X$3:$X41="VALIDE")),$C$3:$C41),""))</f>
        <v/>
      </c>
      <c r="T42" s="36">
        <f>IF(OR($C42="",$S42=""),"",ROUND(($C42-$S42+IF($C42&lt;$S42,1,0))*1440,0))</f>
        <v/>
      </c>
      <c r="U42" s="22">
        <f>IF(OR($H42="",$T42="",$T42&lt;=0),"",$H42*60/$T42)</f>
        <v/>
      </c>
      <c r="V42" s="37">
        <f>IF(OR($U42="",$R42="",$R42=0),"",$U42/$R42)</f>
        <v/>
      </c>
      <c r="W42" s="20">
        <f>IF($G42="","",IF($X42="CONTEXTE INCOMPLET","CONTEXTE INCOMPLET",IF($X42="DOUBLON",StatutDoublon,IF($S42="",StatutInitial,IF($R42="",StatutStandardManquant,IF($V42="","DONNEES INSUFFISANTES",IF($V42&gt;=SeuilConforme,StatutConforme,IF($V42&gt;=SeuilSurveiller,StatutSurveiller,StatutSousStandard))))))))</f>
        <v/>
      </c>
      <c r="X42" s="33">
        <f>IF($G42="","",IF(OR($D42="",$E42="",$F42=""),"CONTEXTE INCOMPLET",IF(COUNTIFS($D$3:$D41,$D42,$E$3:$E41,$E42,$F$3:$F41,$F42,$G$3:$G41,$G42)&gt;0,"DOUBLON","VALIDE")))</f>
        <v/>
      </c>
    </row>
    <row r="43" ht="15" customHeight="1">
      <c r="A43" s="12">
        <f>IF(OR($B43="",$G43=""),"",TEXT($B43,"YYYYMMDD")&amp;"-"&amp;SUBSTITUTE($E43," ","")&amp;"-"&amp;$F43&amp;"-"&amp;$G43)</f>
        <v/>
      </c>
      <c r="B43" s="15" t="n"/>
      <c r="C43" s="16" t="n"/>
      <c r="D43" s="10" t="n"/>
      <c r="E43" s="9" t="n"/>
      <c r="F43" s="9" t="n"/>
      <c r="G43" s="13" t="n"/>
      <c r="H43" s="21" t="n"/>
      <c r="I43" s="21" t="n"/>
      <c r="J43" s="17">
        <f>IF($G43="","",IFERROR(INDEX(NomsEmployes,MATCH($G43,MatriculesEmployes,0)),"MATRICULE INCONNU"))</f>
        <v/>
      </c>
      <c r="K43" s="33">
        <f>IF(OR($D43="",$F43=""),"",IFERROR(IF(INDEX(RUNS!$L$6:$S$1005,MATCH($D43,RUNS!$A$6:$A$1005,0),MATCH("ACTIVITÉ "&amp;$F43,RUNS!$L$5:$S$5,0))="","",INDEX(RUNS!$L$6:$S$1005,MATCH($D43,RUNS!$A$6:$A$1005,0),MATCH("ACTIVITÉ "&amp;$F43,RUNS!$L$5:$S$5,0))),""))</f>
        <v/>
      </c>
      <c r="L43" s="33">
        <f>IF($D43="","",IFERROR(IF(INDEX(RUNS!$E$6:$E$1005,MATCH($D43,RUNS!$A$6:$A$1005,0))="","",INDEX(RUNS!$E$6:$E$1005,MATCH($D43,RUNS!$A$6:$A$1005,0))),""))</f>
        <v/>
      </c>
      <c r="M43" s="33">
        <f>IF($D43="","",IFERROR(IF(INDEX(RUNS!$F$6:$F$1005,MATCH($D43,RUNS!$A$6:$A$1005,0))="","",INDEX(RUNS!$F$6:$F$1005,MATCH($D43,RUNS!$A$6:$A$1005,0))),""))</f>
        <v/>
      </c>
      <c r="N43" s="33">
        <f>IF($D43="","",IFERROR(IF(INDEX(RUNS!$G$6:$G$1005,MATCH($D43,RUNS!$A$6:$A$1005,0))="","",INDEX(RUNS!$G$6:$G$1005,MATCH($D43,RUNS!$A$6:$A$1005,0))),""))</f>
        <v/>
      </c>
      <c r="O43" s="33">
        <f>IF($D43="","",IFERROR(IF(INDEX(RUNS!$H$6:$H$1005,MATCH($D43,RUNS!$A$6:$A$1005,0))="","",INDEX(RUNS!$H$6:$H$1005,MATCH($D43,RUNS!$A$6:$A$1005,0))),""))</f>
        <v/>
      </c>
      <c r="P43" s="33">
        <f>IF($D43="","",IFERROR(IF(INDEX(RUNS!$J$6:$J$1005,MATCH($D43,RUNS!$A$6:$A$1005,0))="","",INDEX(RUNS!$J$6:$J$1005,MATCH($D43,RUNS!$A$6:$A$1005,0))),""))</f>
        <v/>
      </c>
      <c r="Q43" s="33">
        <f>IF($D43="","",IFERROR(IF(INDEX(RUNS!$K$6:$K$1005,MATCH($D43,RUNS!$A$6:$A$1005,0))="","",INDEX(RUNS!$K$6:$K$1005,MATCH($D43,RUNS!$A$6:$A$1005,0))),""))</f>
        <v/>
      </c>
      <c r="R43" s="34">
        <f>IF(OR($L43="",$K43=""),"",IFERROR(IF(INDEX(PARAMETRES!$H$43:$H$342,MATCH($L43&amp;"|"&amp;$M43&amp;"|"&amp;$N43&amp;"|"&amp;$O43&amp;"|"&amp;$P43&amp;"|"&amp;$Q43&amp;"|"&amp;$K43,PARAMETRES!$J$43:$J$342,0))="","",INDEX(PARAMETRES!$H$43:$H$342,MATCH($L43&amp;"|"&amp;$M43&amp;"|"&amp;$N43&amp;"|"&amp;$O43&amp;"|"&amp;$P43&amp;"|"&amp;$Q43&amp;"|"&amp;$K43,PARAMETRES!$J$43:$J$342,0))),""))</f>
        <v/>
      </c>
      <c r="S43" s="35">
        <f>IF(OR($G43="",$X43&lt;&gt;"VALIDE"),"",IFERROR(LOOKUP(2,1/(($B$3:$B42=$B43)*($G$3:$G42=$G43)*($X$3:$X42="VALIDE")),$C$3:$C42),""))</f>
        <v/>
      </c>
      <c r="T43" s="36">
        <f>IF(OR($C43="",$S43=""),"",ROUND(($C43-$S43+IF($C43&lt;$S43,1,0))*1440,0))</f>
        <v/>
      </c>
      <c r="U43" s="22">
        <f>IF(OR($H43="",$T43="",$T43&lt;=0),"",$H43*60/$T43)</f>
        <v/>
      </c>
      <c r="V43" s="37">
        <f>IF(OR($U43="",$R43="",$R43=0),"",$U43/$R43)</f>
        <v/>
      </c>
      <c r="W43" s="20">
        <f>IF($G43="","",IF($X43="CONTEXTE INCOMPLET","CONTEXTE INCOMPLET",IF($X43="DOUBLON",StatutDoublon,IF($S43="",StatutInitial,IF($R43="",StatutStandardManquant,IF($V43="","DONNEES INSUFFISANTES",IF($V43&gt;=SeuilConforme,StatutConforme,IF($V43&gt;=SeuilSurveiller,StatutSurveiller,StatutSousStandard))))))))</f>
        <v/>
      </c>
      <c r="X43" s="33">
        <f>IF($G43="","",IF(OR($D43="",$E43="",$F43=""),"CONTEXTE INCOMPLET",IF(COUNTIFS($D$3:$D42,$D43,$E$3:$E42,$E43,$F$3:$F42,$F43,$G$3:$G42,$G43)&gt;0,"DOUBLON","VALIDE")))</f>
        <v/>
      </c>
    </row>
    <row r="44" ht="15" customHeight="1">
      <c r="A44" s="12">
        <f>IF(OR($B44="",$G44=""),"",TEXT($B44,"YYYYMMDD")&amp;"-"&amp;SUBSTITUTE($E44," ","")&amp;"-"&amp;$F44&amp;"-"&amp;$G44)</f>
        <v/>
      </c>
      <c r="B44" s="15" t="n"/>
      <c r="C44" s="16" t="n"/>
      <c r="D44" s="10" t="n"/>
      <c r="E44" s="9" t="n"/>
      <c r="F44" s="9" t="n"/>
      <c r="G44" s="13" t="n"/>
      <c r="H44" s="21" t="n"/>
      <c r="I44" s="21" t="n"/>
      <c r="J44" s="17">
        <f>IF($G44="","",IFERROR(INDEX(NomsEmployes,MATCH($G44,MatriculesEmployes,0)),"MATRICULE INCONNU"))</f>
        <v/>
      </c>
      <c r="K44" s="33">
        <f>IF(OR($D44="",$F44=""),"",IFERROR(IF(INDEX(RUNS!$L$6:$S$1005,MATCH($D44,RUNS!$A$6:$A$1005,0),MATCH("ACTIVITÉ "&amp;$F44,RUNS!$L$5:$S$5,0))="","",INDEX(RUNS!$L$6:$S$1005,MATCH($D44,RUNS!$A$6:$A$1005,0),MATCH("ACTIVITÉ "&amp;$F44,RUNS!$L$5:$S$5,0))),""))</f>
        <v/>
      </c>
      <c r="L44" s="33">
        <f>IF($D44="","",IFERROR(IF(INDEX(RUNS!$E$6:$E$1005,MATCH($D44,RUNS!$A$6:$A$1005,0))="","",INDEX(RUNS!$E$6:$E$1005,MATCH($D44,RUNS!$A$6:$A$1005,0))),""))</f>
        <v/>
      </c>
      <c r="M44" s="33">
        <f>IF($D44="","",IFERROR(IF(INDEX(RUNS!$F$6:$F$1005,MATCH($D44,RUNS!$A$6:$A$1005,0))="","",INDEX(RUNS!$F$6:$F$1005,MATCH($D44,RUNS!$A$6:$A$1005,0))),""))</f>
        <v/>
      </c>
      <c r="N44" s="33">
        <f>IF($D44="","",IFERROR(IF(INDEX(RUNS!$G$6:$G$1005,MATCH($D44,RUNS!$A$6:$A$1005,0))="","",INDEX(RUNS!$G$6:$G$1005,MATCH($D44,RUNS!$A$6:$A$1005,0))),""))</f>
        <v/>
      </c>
      <c r="O44" s="33">
        <f>IF($D44="","",IFERROR(IF(INDEX(RUNS!$H$6:$H$1005,MATCH($D44,RUNS!$A$6:$A$1005,0))="","",INDEX(RUNS!$H$6:$H$1005,MATCH($D44,RUNS!$A$6:$A$1005,0))),""))</f>
        <v/>
      </c>
      <c r="P44" s="33">
        <f>IF($D44="","",IFERROR(IF(INDEX(RUNS!$J$6:$J$1005,MATCH($D44,RUNS!$A$6:$A$1005,0))="","",INDEX(RUNS!$J$6:$J$1005,MATCH($D44,RUNS!$A$6:$A$1005,0))),""))</f>
        <v/>
      </c>
      <c r="Q44" s="33">
        <f>IF($D44="","",IFERROR(IF(INDEX(RUNS!$K$6:$K$1005,MATCH($D44,RUNS!$A$6:$A$1005,0))="","",INDEX(RUNS!$K$6:$K$1005,MATCH($D44,RUNS!$A$6:$A$1005,0))),""))</f>
        <v/>
      </c>
      <c r="R44" s="34">
        <f>IF(OR($L44="",$K44=""),"",IFERROR(IF(INDEX(PARAMETRES!$H$43:$H$342,MATCH($L44&amp;"|"&amp;$M44&amp;"|"&amp;$N44&amp;"|"&amp;$O44&amp;"|"&amp;$P44&amp;"|"&amp;$Q44&amp;"|"&amp;$K44,PARAMETRES!$J$43:$J$342,0))="","",INDEX(PARAMETRES!$H$43:$H$342,MATCH($L44&amp;"|"&amp;$M44&amp;"|"&amp;$N44&amp;"|"&amp;$O44&amp;"|"&amp;$P44&amp;"|"&amp;$Q44&amp;"|"&amp;$K44,PARAMETRES!$J$43:$J$342,0))),""))</f>
        <v/>
      </c>
      <c r="S44" s="35">
        <f>IF(OR($G44="",$X44&lt;&gt;"VALIDE"),"",IFERROR(LOOKUP(2,1/(($B$3:$B43=$B44)*($G$3:$G43=$G44)*($X$3:$X43="VALIDE")),$C$3:$C43),""))</f>
        <v/>
      </c>
      <c r="T44" s="36">
        <f>IF(OR($C44="",$S44=""),"",ROUND(($C44-$S44+IF($C44&lt;$S44,1,0))*1440,0))</f>
        <v/>
      </c>
      <c r="U44" s="22">
        <f>IF(OR($H44="",$T44="",$T44&lt;=0),"",$H44*60/$T44)</f>
        <v/>
      </c>
      <c r="V44" s="37">
        <f>IF(OR($U44="",$R44="",$R44=0),"",$U44/$R44)</f>
        <v/>
      </c>
      <c r="W44" s="20">
        <f>IF($G44="","",IF($X44="CONTEXTE INCOMPLET","CONTEXTE INCOMPLET",IF($X44="DOUBLON",StatutDoublon,IF($S44="",StatutInitial,IF($R44="",StatutStandardManquant,IF($V44="","DONNEES INSUFFISANTES",IF($V44&gt;=SeuilConforme,StatutConforme,IF($V44&gt;=SeuilSurveiller,StatutSurveiller,StatutSousStandard))))))))</f>
        <v/>
      </c>
      <c r="X44" s="33">
        <f>IF($G44="","",IF(OR($D44="",$E44="",$F44=""),"CONTEXTE INCOMPLET",IF(COUNTIFS($D$3:$D43,$D44,$E$3:$E43,$E44,$F$3:$F43,$F44,$G$3:$G43,$G44)&gt;0,"DOUBLON","VALIDE")))</f>
        <v/>
      </c>
    </row>
    <row r="45" ht="15" customHeight="1">
      <c r="A45" s="12">
        <f>IF(OR($B45="",$G45=""),"",TEXT($B45,"YYYYMMDD")&amp;"-"&amp;SUBSTITUTE($E45," ","")&amp;"-"&amp;$F45&amp;"-"&amp;$G45)</f>
        <v/>
      </c>
      <c r="B45" s="15" t="n"/>
      <c r="C45" s="16" t="n"/>
      <c r="D45" s="10" t="n"/>
      <c r="E45" s="9" t="n"/>
      <c r="F45" s="9" t="n"/>
      <c r="G45" s="13" t="n"/>
      <c r="H45" s="21" t="n"/>
      <c r="I45" s="21" t="n"/>
      <c r="J45" s="17">
        <f>IF($G45="","",IFERROR(INDEX(NomsEmployes,MATCH($G45,MatriculesEmployes,0)),"MATRICULE INCONNU"))</f>
        <v/>
      </c>
      <c r="K45" s="33">
        <f>IF(OR($D45="",$F45=""),"",IFERROR(IF(INDEX(RUNS!$L$6:$S$1005,MATCH($D45,RUNS!$A$6:$A$1005,0),MATCH("ACTIVITÉ "&amp;$F45,RUNS!$L$5:$S$5,0))="","",INDEX(RUNS!$L$6:$S$1005,MATCH($D45,RUNS!$A$6:$A$1005,0),MATCH("ACTIVITÉ "&amp;$F45,RUNS!$L$5:$S$5,0))),""))</f>
        <v/>
      </c>
      <c r="L45" s="33">
        <f>IF($D45="","",IFERROR(IF(INDEX(RUNS!$E$6:$E$1005,MATCH($D45,RUNS!$A$6:$A$1005,0))="","",INDEX(RUNS!$E$6:$E$1005,MATCH($D45,RUNS!$A$6:$A$1005,0))),""))</f>
        <v/>
      </c>
      <c r="M45" s="33">
        <f>IF($D45="","",IFERROR(IF(INDEX(RUNS!$F$6:$F$1005,MATCH($D45,RUNS!$A$6:$A$1005,0))="","",INDEX(RUNS!$F$6:$F$1005,MATCH($D45,RUNS!$A$6:$A$1005,0))),""))</f>
        <v/>
      </c>
      <c r="N45" s="33">
        <f>IF($D45="","",IFERROR(IF(INDEX(RUNS!$G$6:$G$1005,MATCH($D45,RUNS!$A$6:$A$1005,0))="","",INDEX(RUNS!$G$6:$G$1005,MATCH($D45,RUNS!$A$6:$A$1005,0))),""))</f>
        <v/>
      </c>
      <c r="O45" s="33">
        <f>IF($D45="","",IFERROR(IF(INDEX(RUNS!$H$6:$H$1005,MATCH($D45,RUNS!$A$6:$A$1005,0))="","",INDEX(RUNS!$H$6:$H$1005,MATCH($D45,RUNS!$A$6:$A$1005,0))),""))</f>
        <v/>
      </c>
      <c r="P45" s="33">
        <f>IF($D45="","",IFERROR(IF(INDEX(RUNS!$J$6:$J$1005,MATCH($D45,RUNS!$A$6:$A$1005,0))="","",INDEX(RUNS!$J$6:$J$1005,MATCH($D45,RUNS!$A$6:$A$1005,0))),""))</f>
        <v/>
      </c>
      <c r="Q45" s="33">
        <f>IF($D45="","",IFERROR(IF(INDEX(RUNS!$K$6:$K$1005,MATCH($D45,RUNS!$A$6:$A$1005,0))="","",INDEX(RUNS!$K$6:$K$1005,MATCH($D45,RUNS!$A$6:$A$1005,0))),""))</f>
        <v/>
      </c>
      <c r="R45" s="34">
        <f>IF(OR($L45="",$K45=""),"",IFERROR(IF(INDEX(PARAMETRES!$H$43:$H$342,MATCH($L45&amp;"|"&amp;$M45&amp;"|"&amp;$N45&amp;"|"&amp;$O45&amp;"|"&amp;$P45&amp;"|"&amp;$Q45&amp;"|"&amp;$K45,PARAMETRES!$J$43:$J$342,0))="","",INDEX(PARAMETRES!$H$43:$H$342,MATCH($L45&amp;"|"&amp;$M45&amp;"|"&amp;$N45&amp;"|"&amp;$O45&amp;"|"&amp;$P45&amp;"|"&amp;$Q45&amp;"|"&amp;$K45,PARAMETRES!$J$43:$J$342,0))),""))</f>
        <v/>
      </c>
      <c r="S45" s="35">
        <f>IF(OR($G45="",$X45&lt;&gt;"VALIDE"),"",IFERROR(LOOKUP(2,1/(($B$3:$B44=$B45)*($G$3:$G44=$G45)*($X$3:$X44="VALIDE")),$C$3:$C44),""))</f>
        <v/>
      </c>
      <c r="T45" s="36">
        <f>IF(OR($C45="",$S45=""),"",ROUND(($C45-$S45+IF($C45&lt;$S45,1,0))*1440,0))</f>
        <v/>
      </c>
      <c r="U45" s="22">
        <f>IF(OR($H45="",$T45="",$T45&lt;=0),"",$H45*60/$T45)</f>
        <v/>
      </c>
      <c r="V45" s="37">
        <f>IF(OR($U45="",$R45="",$R45=0),"",$U45/$R45)</f>
        <v/>
      </c>
      <c r="W45" s="20">
        <f>IF($G45="","",IF($X45="CONTEXTE INCOMPLET","CONTEXTE INCOMPLET",IF($X45="DOUBLON",StatutDoublon,IF($S45="",StatutInitial,IF($R45="",StatutStandardManquant,IF($V45="","DONNEES INSUFFISANTES",IF($V45&gt;=SeuilConforme,StatutConforme,IF($V45&gt;=SeuilSurveiller,StatutSurveiller,StatutSousStandard))))))))</f>
        <v/>
      </c>
      <c r="X45" s="33">
        <f>IF($G45="","",IF(OR($D45="",$E45="",$F45=""),"CONTEXTE INCOMPLET",IF(COUNTIFS($D$3:$D44,$D45,$E$3:$E44,$E45,$F$3:$F44,$F45,$G$3:$G44,$G45)&gt;0,"DOUBLON","VALIDE")))</f>
        <v/>
      </c>
    </row>
    <row r="46" ht="15" customHeight="1">
      <c r="A46" s="12">
        <f>IF(OR($B46="",$G46=""),"",TEXT($B46,"YYYYMMDD")&amp;"-"&amp;SUBSTITUTE($E46," ","")&amp;"-"&amp;$F46&amp;"-"&amp;$G46)</f>
        <v/>
      </c>
      <c r="B46" s="15" t="n"/>
      <c r="C46" s="16" t="n"/>
      <c r="D46" s="10" t="n"/>
      <c r="E46" s="9" t="n"/>
      <c r="F46" s="9" t="n"/>
      <c r="G46" s="13" t="n"/>
      <c r="H46" s="21" t="n"/>
      <c r="I46" s="21" t="n"/>
      <c r="J46" s="17">
        <f>IF($G46="","",IFERROR(INDEX(NomsEmployes,MATCH($G46,MatriculesEmployes,0)),"MATRICULE INCONNU"))</f>
        <v/>
      </c>
      <c r="K46" s="33">
        <f>IF(OR($D46="",$F46=""),"",IFERROR(IF(INDEX(RUNS!$L$6:$S$1005,MATCH($D46,RUNS!$A$6:$A$1005,0),MATCH("ACTIVITÉ "&amp;$F46,RUNS!$L$5:$S$5,0))="","",INDEX(RUNS!$L$6:$S$1005,MATCH($D46,RUNS!$A$6:$A$1005,0),MATCH("ACTIVITÉ "&amp;$F46,RUNS!$L$5:$S$5,0))),""))</f>
        <v/>
      </c>
      <c r="L46" s="33">
        <f>IF($D46="","",IFERROR(IF(INDEX(RUNS!$E$6:$E$1005,MATCH($D46,RUNS!$A$6:$A$1005,0))="","",INDEX(RUNS!$E$6:$E$1005,MATCH($D46,RUNS!$A$6:$A$1005,0))),""))</f>
        <v/>
      </c>
      <c r="M46" s="33">
        <f>IF($D46="","",IFERROR(IF(INDEX(RUNS!$F$6:$F$1005,MATCH($D46,RUNS!$A$6:$A$1005,0))="","",INDEX(RUNS!$F$6:$F$1005,MATCH($D46,RUNS!$A$6:$A$1005,0))),""))</f>
        <v/>
      </c>
      <c r="N46" s="33">
        <f>IF($D46="","",IFERROR(IF(INDEX(RUNS!$G$6:$G$1005,MATCH($D46,RUNS!$A$6:$A$1005,0))="","",INDEX(RUNS!$G$6:$G$1005,MATCH($D46,RUNS!$A$6:$A$1005,0))),""))</f>
        <v/>
      </c>
      <c r="O46" s="33">
        <f>IF($D46="","",IFERROR(IF(INDEX(RUNS!$H$6:$H$1005,MATCH($D46,RUNS!$A$6:$A$1005,0))="","",INDEX(RUNS!$H$6:$H$1005,MATCH($D46,RUNS!$A$6:$A$1005,0))),""))</f>
        <v/>
      </c>
      <c r="P46" s="33">
        <f>IF($D46="","",IFERROR(IF(INDEX(RUNS!$J$6:$J$1005,MATCH($D46,RUNS!$A$6:$A$1005,0))="","",INDEX(RUNS!$J$6:$J$1005,MATCH($D46,RUNS!$A$6:$A$1005,0))),""))</f>
        <v/>
      </c>
      <c r="Q46" s="33">
        <f>IF($D46="","",IFERROR(IF(INDEX(RUNS!$K$6:$K$1005,MATCH($D46,RUNS!$A$6:$A$1005,0))="","",INDEX(RUNS!$K$6:$K$1005,MATCH($D46,RUNS!$A$6:$A$1005,0))),""))</f>
        <v/>
      </c>
      <c r="R46" s="34">
        <f>IF(OR($L46="",$K46=""),"",IFERROR(IF(INDEX(PARAMETRES!$H$43:$H$342,MATCH($L46&amp;"|"&amp;$M46&amp;"|"&amp;$N46&amp;"|"&amp;$O46&amp;"|"&amp;$P46&amp;"|"&amp;$Q46&amp;"|"&amp;$K46,PARAMETRES!$J$43:$J$342,0))="","",INDEX(PARAMETRES!$H$43:$H$342,MATCH($L46&amp;"|"&amp;$M46&amp;"|"&amp;$N46&amp;"|"&amp;$O46&amp;"|"&amp;$P46&amp;"|"&amp;$Q46&amp;"|"&amp;$K46,PARAMETRES!$J$43:$J$342,0))),""))</f>
        <v/>
      </c>
      <c r="S46" s="35">
        <f>IF(OR($G46="",$X46&lt;&gt;"VALIDE"),"",IFERROR(LOOKUP(2,1/(($B$3:$B45=$B46)*($G$3:$G45=$G46)*($X$3:$X45="VALIDE")),$C$3:$C45),""))</f>
        <v/>
      </c>
      <c r="T46" s="36">
        <f>IF(OR($C46="",$S46=""),"",ROUND(($C46-$S46+IF($C46&lt;$S46,1,0))*1440,0))</f>
        <v/>
      </c>
      <c r="U46" s="22">
        <f>IF(OR($H46="",$T46="",$T46&lt;=0),"",$H46*60/$T46)</f>
        <v/>
      </c>
      <c r="V46" s="37">
        <f>IF(OR($U46="",$R46="",$R46=0),"",$U46/$R46)</f>
        <v/>
      </c>
      <c r="W46" s="20">
        <f>IF($G46="","",IF($X46="CONTEXTE INCOMPLET","CONTEXTE INCOMPLET",IF($X46="DOUBLON",StatutDoublon,IF($S46="",StatutInitial,IF($R46="",StatutStandardManquant,IF($V46="","DONNEES INSUFFISANTES",IF($V46&gt;=SeuilConforme,StatutConforme,IF($V46&gt;=SeuilSurveiller,StatutSurveiller,StatutSousStandard))))))))</f>
        <v/>
      </c>
      <c r="X46" s="33">
        <f>IF($G46="","",IF(OR($D46="",$E46="",$F46=""),"CONTEXTE INCOMPLET",IF(COUNTIFS($D$3:$D45,$D46,$E$3:$E45,$E46,$F$3:$F45,$F46,$G$3:$G45,$G46)&gt;0,"DOUBLON","VALIDE")))</f>
        <v/>
      </c>
    </row>
    <row r="47" ht="15" customHeight="1">
      <c r="A47" s="12">
        <f>IF(OR($B47="",$G47=""),"",TEXT($B47,"YYYYMMDD")&amp;"-"&amp;SUBSTITUTE($E47," ","")&amp;"-"&amp;$F47&amp;"-"&amp;$G47)</f>
        <v/>
      </c>
      <c r="B47" s="15" t="n"/>
      <c r="C47" s="16" t="n"/>
      <c r="D47" s="10" t="n"/>
      <c r="E47" s="9" t="n"/>
      <c r="F47" s="9" t="n"/>
      <c r="G47" s="13" t="n"/>
      <c r="H47" s="21" t="n"/>
      <c r="I47" s="21" t="n"/>
      <c r="J47" s="17">
        <f>IF($G47="","",IFERROR(INDEX(NomsEmployes,MATCH($G47,MatriculesEmployes,0)),"MATRICULE INCONNU"))</f>
        <v/>
      </c>
      <c r="K47" s="33">
        <f>IF(OR($D47="",$F47=""),"",IFERROR(IF(INDEX(RUNS!$L$6:$S$1005,MATCH($D47,RUNS!$A$6:$A$1005,0),MATCH("ACTIVITÉ "&amp;$F47,RUNS!$L$5:$S$5,0))="","",INDEX(RUNS!$L$6:$S$1005,MATCH($D47,RUNS!$A$6:$A$1005,0),MATCH("ACTIVITÉ "&amp;$F47,RUNS!$L$5:$S$5,0))),""))</f>
        <v/>
      </c>
      <c r="L47" s="33">
        <f>IF($D47="","",IFERROR(IF(INDEX(RUNS!$E$6:$E$1005,MATCH($D47,RUNS!$A$6:$A$1005,0))="","",INDEX(RUNS!$E$6:$E$1005,MATCH($D47,RUNS!$A$6:$A$1005,0))),""))</f>
        <v/>
      </c>
      <c r="M47" s="33">
        <f>IF($D47="","",IFERROR(IF(INDEX(RUNS!$F$6:$F$1005,MATCH($D47,RUNS!$A$6:$A$1005,0))="","",INDEX(RUNS!$F$6:$F$1005,MATCH($D47,RUNS!$A$6:$A$1005,0))),""))</f>
        <v/>
      </c>
      <c r="N47" s="33">
        <f>IF($D47="","",IFERROR(IF(INDEX(RUNS!$G$6:$G$1005,MATCH($D47,RUNS!$A$6:$A$1005,0))="","",INDEX(RUNS!$G$6:$G$1005,MATCH($D47,RUNS!$A$6:$A$1005,0))),""))</f>
        <v/>
      </c>
      <c r="O47" s="33">
        <f>IF($D47="","",IFERROR(IF(INDEX(RUNS!$H$6:$H$1005,MATCH($D47,RUNS!$A$6:$A$1005,0))="","",INDEX(RUNS!$H$6:$H$1005,MATCH($D47,RUNS!$A$6:$A$1005,0))),""))</f>
        <v/>
      </c>
      <c r="P47" s="33">
        <f>IF($D47="","",IFERROR(IF(INDEX(RUNS!$J$6:$J$1005,MATCH($D47,RUNS!$A$6:$A$1005,0))="","",INDEX(RUNS!$J$6:$J$1005,MATCH($D47,RUNS!$A$6:$A$1005,0))),""))</f>
        <v/>
      </c>
      <c r="Q47" s="33">
        <f>IF($D47="","",IFERROR(IF(INDEX(RUNS!$K$6:$K$1005,MATCH($D47,RUNS!$A$6:$A$1005,0))="","",INDEX(RUNS!$K$6:$K$1005,MATCH($D47,RUNS!$A$6:$A$1005,0))),""))</f>
        <v/>
      </c>
      <c r="R47" s="34">
        <f>IF(OR($L47="",$K47=""),"",IFERROR(IF(INDEX(PARAMETRES!$H$43:$H$342,MATCH($L47&amp;"|"&amp;$M47&amp;"|"&amp;$N47&amp;"|"&amp;$O47&amp;"|"&amp;$P47&amp;"|"&amp;$Q47&amp;"|"&amp;$K47,PARAMETRES!$J$43:$J$342,0))="","",INDEX(PARAMETRES!$H$43:$H$342,MATCH($L47&amp;"|"&amp;$M47&amp;"|"&amp;$N47&amp;"|"&amp;$O47&amp;"|"&amp;$P47&amp;"|"&amp;$Q47&amp;"|"&amp;$K47,PARAMETRES!$J$43:$J$342,0))),""))</f>
        <v/>
      </c>
      <c r="S47" s="35">
        <f>IF(OR($G47="",$X47&lt;&gt;"VALIDE"),"",IFERROR(LOOKUP(2,1/(($B$3:$B46=$B47)*($G$3:$G46=$G47)*($X$3:$X46="VALIDE")),$C$3:$C46),""))</f>
        <v/>
      </c>
      <c r="T47" s="36">
        <f>IF(OR($C47="",$S47=""),"",ROUND(($C47-$S47+IF($C47&lt;$S47,1,0))*1440,0))</f>
        <v/>
      </c>
      <c r="U47" s="22">
        <f>IF(OR($H47="",$T47="",$T47&lt;=0),"",$H47*60/$T47)</f>
        <v/>
      </c>
      <c r="V47" s="37">
        <f>IF(OR($U47="",$R47="",$R47=0),"",$U47/$R47)</f>
        <v/>
      </c>
      <c r="W47" s="20">
        <f>IF($G47="","",IF($X47="CONTEXTE INCOMPLET","CONTEXTE INCOMPLET",IF($X47="DOUBLON",StatutDoublon,IF($S47="",StatutInitial,IF($R47="",StatutStandardManquant,IF($V47="","DONNEES INSUFFISANTES",IF($V47&gt;=SeuilConforme,StatutConforme,IF($V47&gt;=SeuilSurveiller,StatutSurveiller,StatutSousStandard))))))))</f>
        <v/>
      </c>
      <c r="X47" s="33">
        <f>IF($G47="","",IF(OR($D47="",$E47="",$F47=""),"CONTEXTE INCOMPLET",IF(COUNTIFS($D$3:$D46,$D47,$E$3:$E46,$E47,$F$3:$F46,$F47,$G$3:$G46,$G47)&gt;0,"DOUBLON","VALIDE")))</f>
        <v/>
      </c>
    </row>
    <row r="48" ht="15" customHeight="1">
      <c r="A48" s="12">
        <f>IF(OR($B48="",$G48=""),"",TEXT($B48,"YYYYMMDD")&amp;"-"&amp;SUBSTITUTE($E48," ","")&amp;"-"&amp;$F48&amp;"-"&amp;$G48)</f>
        <v/>
      </c>
      <c r="B48" s="15" t="n"/>
      <c r="C48" s="16" t="n"/>
      <c r="D48" s="10" t="n"/>
      <c r="E48" s="9" t="n"/>
      <c r="F48" s="9" t="n"/>
      <c r="G48" s="13" t="n"/>
      <c r="H48" s="21" t="n"/>
      <c r="I48" s="21" t="n"/>
      <c r="J48" s="17">
        <f>IF($G48="","",IFERROR(INDEX(NomsEmployes,MATCH($G48,MatriculesEmployes,0)),"MATRICULE INCONNU"))</f>
        <v/>
      </c>
      <c r="K48" s="33">
        <f>IF(OR($D48="",$F48=""),"",IFERROR(IF(INDEX(RUNS!$L$6:$S$1005,MATCH($D48,RUNS!$A$6:$A$1005,0),MATCH("ACTIVITÉ "&amp;$F48,RUNS!$L$5:$S$5,0))="","",INDEX(RUNS!$L$6:$S$1005,MATCH($D48,RUNS!$A$6:$A$1005,0),MATCH("ACTIVITÉ "&amp;$F48,RUNS!$L$5:$S$5,0))),""))</f>
        <v/>
      </c>
      <c r="L48" s="33">
        <f>IF($D48="","",IFERROR(IF(INDEX(RUNS!$E$6:$E$1005,MATCH($D48,RUNS!$A$6:$A$1005,0))="","",INDEX(RUNS!$E$6:$E$1005,MATCH($D48,RUNS!$A$6:$A$1005,0))),""))</f>
        <v/>
      </c>
      <c r="M48" s="33">
        <f>IF($D48="","",IFERROR(IF(INDEX(RUNS!$F$6:$F$1005,MATCH($D48,RUNS!$A$6:$A$1005,0))="","",INDEX(RUNS!$F$6:$F$1005,MATCH($D48,RUNS!$A$6:$A$1005,0))),""))</f>
        <v/>
      </c>
      <c r="N48" s="33">
        <f>IF($D48="","",IFERROR(IF(INDEX(RUNS!$G$6:$G$1005,MATCH($D48,RUNS!$A$6:$A$1005,0))="","",INDEX(RUNS!$G$6:$G$1005,MATCH($D48,RUNS!$A$6:$A$1005,0))),""))</f>
        <v/>
      </c>
      <c r="O48" s="33">
        <f>IF($D48="","",IFERROR(IF(INDEX(RUNS!$H$6:$H$1005,MATCH($D48,RUNS!$A$6:$A$1005,0))="","",INDEX(RUNS!$H$6:$H$1005,MATCH($D48,RUNS!$A$6:$A$1005,0))),""))</f>
        <v/>
      </c>
      <c r="P48" s="33">
        <f>IF($D48="","",IFERROR(IF(INDEX(RUNS!$J$6:$J$1005,MATCH($D48,RUNS!$A$6:$A$1005,0))="","",INDEX(RUNS!$J$6:$J$1005,MATCH($D48,RUNS!$A$6:$A$1005,0))),""))</f>
        <v/>
      </c>
      <c r="Q48" s="33">
        <f>IF($D48="","",IFERROR(IF(INDEX(RUNS!$K$6:$K$1005,MATCH($D48,RUNS!$A$6:$A$1005,0))="","",INDEX(RUNS!$K$6:$K$1005,MATCH($D48,RUNS!$A$6:$A$1005,0))),""))</f>
        <v/>
      </c>
      <c r="R48" s="34">
        <f>IF(OR($L48="",$K48=""),"",IFERROR(IF(INDEX(PARAMETRES!$H$43:$H$342,MATCH($L48&amp;"|"&amp;$M48&amp;"|"&amp;$N48&amp;"|"&amp;$O48&amp;"|"&amp;$P48&amp;"|"&amp;$Q48&amp;"|"&amp;$K48,PARAMETRES!$J$43:$J$342,0))="","",INDEX(PARAMETRES!$H$43:$H$342,MATCH($L48&amp;"|"&amp;$M48&amp;"|"&amp;$N48&amp;"|"&amp;$O48&amp;"|"&amp;$P48&amp;"|"&amp;$Q48&amp;"|"&amp;$K48,PARAMETRES!$J$43:$J$342,0))),""))</f>
        <v/>
      </c>
      <c r="S48" s="35">
        <f>IF(OR($G48="",$X48&lt;&gt;"VALIDE"),"",IFERROR(LOOKUP(2,1/(($B$3:$B47=$B48)*($G$3:$G47=$G48)*($X$3:$X47="VALIDE")),$C$3:$C47),""))</f>
        <v/>
      </c>
      <c r="T48" s="36">
        <f>IF(OR($C48="",$S48=""),"",ROUND(($C48-$S48+IF($C48&lt;$S48,1,0))*1440,0))</f>
        <v/>
      </c>
      <c r="U48" s="22">
        <f>IF(OR($H48="",$T48="",$T48&lt;=0),"",$H48*60/$T48)</f>
        <v/>
      </c>
      <c r="V48" s="37">
        <f>IF(OR($U48="",$R48="",$R48=0),"",$U48/$R48)</f>
        <v/>
      </c>
      <c r="W48" s="20">
        <f>IF($G48="","",IF($X48="CONTEXTE INCOMPLET","CONTEXTE INCOMPLET",IF($X48="DOUBLON",StatutDoublon,IF($S48="",StatutInitial,IF($R48="",StatutStandardManquant,IF($V48="","DONNEES INSUFFISANTES",IF($V48&gt;=SeuilConforme,StatutConforme,IF($V48&gt;=SeuilSurveiller,StatutSurveiller,StatutSousStandard))))))))</f>
        <v/>
      </c>
      <c r="X48" s="33">
        <f>IF($G48="","",IF(OR($D48="",$E48="",$F48=""),"CONTEXTE INCOMPLET",IF(COUNTIFS($D$3:$D47,$D48,$E$3:$E47,$E48,$F$3:$F47,$F48,$G$3:$G47,$G48)&gt;0,"DOUBLON","VALIDE")))</f>
        <v/>
      </c>
    </row>
    <row r="49" ht="15" customHeight="1">
      <c r="A49" s="12">
        <f>IF(OR($B49="",$G49=""),"",TEXT($B49,"YYYYMMDD")&amp;"-"&amp;SUBSTITUTE($E49," ","")&amp;"-"&amp;$F49&amp;"-"&amp;$G49)</f>
        <v/>
      </c>
      <c r="B49" s="15" t="n"/>
      <c r="C49" s="16" t="n"/>
      <c r="D49" s="10" t="n"/>
      <c r="E49" s="9" t="n"/>
      <c r="F49" s="9" t="n"/>
      <c r="G49" s="13" t="n"/>
      <c r="H49" s="21" t="n"/>
      <c r="I49" s="21" t="n"/>
      <c r="J49" s="17">
        <f>IF($G49="","",IFERROR(INDEX(NomsEmployes,MATCH($G49,MatriculesEmployes,0)),"MATRICULE INCONNU"))</f>
        <v/>
      </c>
      <c r="K49" s="33">
        <f>IF(OR($D49="",$F49=""),"",IFERROR(IF(INDEX(RUNS!$L$6:$S$1005,MATCH($D49,RUNS!$A$6:$A$1005,0),MATCH("ACTIVITÉ "&amp;$F49,RUNS!$L$5:$S$5,0))="","",INDEX(RUNS!$L$6:$S$1005,MATCH($D49,RUNS!$A$6:$A$1005,0),MATCH("ACTIVITÉ "&amp;$F49,RUNS!$L$5:$S$5,0))),""))</f>
        <v/>
      </c>
      <c r="L49" s="33">
        <f>IF($D49="","",IFERROR(IF(INDEX(RUNS!$E$6:$E$1005,MATCH($D49,RUNS!$A$6:$A$1005,0))="","",INDEX(RUNS!$E$6:$E$1005,MATCH($D49,RUNS!$A$6:$A$1005,0))),""))</f>
        <v/>
      </c>
      <c r="M49" s="33">
        <f>IF($D49="","",IFERROR(IF(INDEX(RUNS!$F$6:$F$1005,MATCH($D49,RUNS!$A$6:$A$1005,0))="","",INDEX(RUNS!$F$6:$F$1005,MATCH($D49,RUNS!$A$6:$A$1005,0))),""))</f>
        <v/>
      </c>
      <c r="N49" s="33">
        <f>IF($D49="","",IFERROR(IF(INDEX(RUNS!$G$6:$G$1005,MATCH($D49,RUNS!$A$6:$A$1005,0))="","",INDEX(RUNS!$G$6:$G$1005,MATCH($D49,RUNS!$A$6:$A$1005,0))),""))</f>
        <v/>
      </c>
      <c r="O49" s="33">
        <f>IF($D49="","",IFERROR(IF(INDEX(RUNS!$H$6:$H$1005,MATCH($D49,RUNS!$A$6:$A$1005,0))="","",INDEX(RUNS!$H$6:$H$1005,MATCH($D49,RUNS!$A$6:$A$1005,0))),""))</f>
        <v/>
      </c>
      <c r="P49" s="33">
        <f>IF($D49="","",IFERROR(IF(INDEX(RUNS!$J$6:$J$1005,MATCH($D49,RUNS!$A$6:$A$1005,0))="","",INDEX(RUNS!$J$6:$J$1005,MATCH($D49,RUNS!$A$6:$A$1005,0))),""))</f>
        <v/>
      </c>
      <c r="Q49" s="33">
        <f>IF($D49="","",IFERROR(IF(INDEX(RUNS!$K$6:$K$1005,MATCH($D49,RUNS!$A$6:$A$1005,0))="","",INDEX(RUNS!$K$6:$K$1005,MATCH($D49,RUNS!$A$6:$A$1005,0))),""))</f>
        <v/>
      </c>
      <c r="R49" s="34">
        <f>IF(OR($L49="",$K49=""),"",IFERROR(IF(INDEX(PARAMETRES!$H$43:$H$342,MATCH($L49&amp;"|"&amp;$M49&amp;"|"&amp;$N49&amp;"|"&amp;$O49&amp;"|"&amp;$P49&amp;"|"&amp;$Q49&amp;"|"&amp;$K49,PARAMETRES!$J$43:$J$342,0))="","",INDEX(PARAMETRES!$H$43:$H$342,MATCH($L49&amp;"|"&amp;$M49&amp;"|"&amp;$N49&amp;"|"&amp;$O49&amp;"|"&amp;$P49&amp;"|"&amp;$Q49&amp;"|"&amp;$K49,PARAMETRES!$J$43:$J$342,0))),""))</f>
        <v/>
      </c>
      <c r="S49" s="35">
        <f>IF(OR($G49="",$X49&lt;&gt;"VALIDE"),"",IFERROR(LOOKUP(2,1/(($B$3:$B48=$B49)*($G$3:$G48=$G49)*($X$3:$X48="VALIDE")),$C$3:$C48),""))</f>
        <v/>
      </c>
      <c r="T49" s="36">
        <f>IF(OR($C49="",$S49=""),"",ROUND(($C49-$S49+IF($C49&lt;$S49,1,0))*1440,0))</f>
        <v/>
      </c>
      <c r="U49" s="22">
        <f>IF(OR($H49="",$T49="",$T49&lt;=0),"",$H49*60/$T49)</f>
        <v/>
      </c>
      <c r="V49" s="37">
        <f>IF(OR($U49="",$R49="",$R49=0),"",$U49/$R49)</f>
        <v/>
      </c>
      <c r="W49" s="20">
        <f>IF($G49="","",IF($X49="CONTEXTE INCOMPLET","CONTEXTE INCOMPLET",IF($X49="DOUBLON",StatutDoublon,IF($S49="",StatutInitial,IF($R49="",StatutStandardManquant,IF($V49="","DONNEES INSUFFISANTES",IF($V49&gt;=SeuilConforme,StatutConforme,IF($V49&gt;=SeuilSurveiller,StatutSurveiller,StatutSousStandard))))))))</f>
        <v/>
      </c>
      <c r="X49" s="33">
        <f>IF($G49="","",IF(OR($D49="",$E49="",$F49=""),"CONTEXTE INCOMPLET",IF(COUNTIFS($D$3:$D48,$D49,$E$3:$E48,$E49,$F$3:$F48,$F49,$G$3:$G48,$G49)&gt;0,"DOUBLON","VALIDE")))</f>
        <v/>
      </c>
    </row>
    <row r="50" ht="15" customHeight="1">
      <c r="A50" s="12">
        <f>IF(OR($B50="",$G50=""),"",TEXT($B50,"YYYYMMDD")&amp;"-"&amp;SUBSTITUTE($E50," ","")&amp;"-"&amp;$F50&amp;"-"&amp;$G50)</f>
        <v/>
      </c>
      <c r="B50" s="15" t="n"/>
      <c r="C50" s="16" t="n"/>
      <c r="D50" s="10" t="n"/>
      <c r="E50" s="9" t="n"/>
      <c r="F50" s="9" t="n"/>
      <c r="G50" s="13" t="n"/>
      <c r="H50" s="21" t="n"/>
      <c r="I50" s="21" t="n"/>
      <c r="J50" s="17">
        <f>IF($G50="","",IFERROR(INDEX(NomsEmployes,MATCH($G50,MatriculesEmployes,0)),"MATRICULE INCONNU"))</f>
        <v/>
      </c>
      <c r="K50" s="33">
        <f>IF(OR($D50="",$F50=""),"",IFERROR(IF(INDEX(RUNS!$L$6:$S$1005,MATCH($D50,RUNS!$A$6:$A$1005,0),MATCH("ACTIVITÉ "&amp;$F50,RUNS!$L$5:$S$5,0))="","",INDEX(RUNS!$L$6:$S$1005,MATCH($D50,RUNS!$A$6:$A$1005,0),MATCH("ACTIVITÉ "&amp;$F50,RUNS!$L$5:$S$5,0))),""))</f>
        <v/>
      </c>
      <c r="L50" s="33">
        <f>IF($D50="","",IFERROR(IF(INDEX(RUNS!$E$6:$E$1005,MATCH($D50,RUNS!$A$6:$A$1005,0))="","",INDEX(RUNS!$E$6:$E$1005,MATCH($D50,RUNS!$A$6:$A$1005,0))),""))</f>
        <v/>
      </c>
      <c r="M50" s="33">
        <f>IF($D50="","",IFERROR(IF(INDEX(RUNS!$F$6:$F$1005,MATCH($D50,RUNS!$A$6:$A$1005,0))="","",INDEX(RUNS!$F$6:$F$1005,MATCH($D50,RUNS!$A$6:$A$1005,0))),""))</f>
        <v/>
      </c>
      <c r="N50" s="33">
        <f>IF($D50="","",IFERROR(IF(INDEX(RUNS!$G$6:$G$1005,MATCH($D50,RUNS!$A$6:$A$1005,0))="","",INDEX(RUNS!$G$6:$G$1005,MATCH($D50,RUNS!$A$6:$A$1005,0))),""))</f>
        <v/>
      </c>
      <c r="O50" s="33">
        <f>IF($D50="","",IFERROR(IF(INDEX(RUNS!$H$6:$H$1005,MATCH($D50,RUNS!$A$6:$A$1005,0))="","",INDEX(RUNS!$H$6:$H$1005,MATCH($D50,RUNS!$A$6:$A$1005,0))),""))</f>
        <v/>
      </c>
      <c r="P50" s="33">
        <f>IF($D50="","",IFERROR(IF(INDEX(RUNS!$J$6:$J$1005,MATCH($D50,RUNS!$A$6:$A$1005,0))="","",INDEX(RUNS!$J$6:$J$1005,MATCH($D50,RUNS!$A$6:$A$1005,0))),""))</f>
        <v/>
      </c>
      <c r="Q50" s="33">
        <f>IF($D50="","",IFERROR(IF(INDEX(RUNS!$K$6:$K$1005,MATCH($D50,RUNS!$A$6:$A$1005,0))="","",INDEX(RUNS!$K$6:$K$1005,MATCH($D50,RUNS!$A$6:$A$1005,0))),""))</f>
        <v/>
      </c>
      <c r="R50" s="34">
        <f>IF(OR($L50="",$K50=""),"",IFERROR(IF(INDEX(PARAMETRES!$H$43:$H$342,MATCH($L50&amp;"|"&amp;$M50&amp;"|"&amp;$N50&amp;"|"&amp;$O50&amp;"|"&amp;$P50&amp;"|"&amp;$Q50&amp;"|"&amp;$K50,PARAMETRES!$J$43:$J$342,0))="","",INDEX(PARAMETRES!$H$43:$H$342,MATCH($L50&amp;"|"&amp;$M50&amp;"|"&amp;$N50&amp;"|"&amp;$O50&amp;"|"&amp;$P50&amp;"|"&amp;$Q50&amp;"|"&amp;$K50,PARAMETRES!$J$43:$J$342,0))),""))</f>
        <v/>
      </c>
      <c r="S50" s="35">
        <f>IF(OR($G50="",$X50&lt;&gt;"VALIDE"),"",IFERROR(LOOKUP(2,1/(($B$3:$B49=$B50)*($G$3:$G49=$G50)*($X$3:$X49="VALIDE")),$C$3:$C49),""))</f>
        <v/>
      </c>
      <c r="T50" s="36">
        <f>IF(OR($C50="",$S50=""),"",ROUND(($C50-$S50+IF($C50&lt;$S50,1,0))*1440,0))</f>
        <v/>
      </c>
      <c r="U50" s="22">
        <f>IF(OR($H50="",$T50="",$T50&lt;=0),"",$H50*60/$T50)</f>
        <v/>
      </c>
      <c r="V50" s="37">
        <f>IF(OR($U50="",$R50="",$R50=0),"",$U50/$R50)</f>
        <v/>
      </c>
      <c r="W50" s="20">
        <f>IF($G50="","",IF($X50="CONTEXTE INCOMPLET","CONTEXTE INCOMPLET",IF($X50="DOUBLON",StatutDoublon,IF($S50="",StatutInitial,IF($R50="",StatutStandardManquant,IF($V50="","DONNEES INSUFFISANTES",IF($V50&gt;=SeuilConforme,StatutConforme,IF($V50&gt;=SeuilSurveiller,StatutSurveiller,StatutSousStandard))))))))</f>
        <v/>
      </c>
      <c r="X50" s="33">
        <f>IF($G50="","",IF(OR($D50="",$E50="",$F50=""),"CONTEXTE INCOMPLET",IF(COUNTIFS($D$3:$D49,$D50,$E$3:$E49,$E50,$F$3:$F49,$F50,$G$3:$G49,$G50)&gt;0,"DOUBLON","VALIDE")))</f>
        <v/>
      </c>
    </row>
    <row r="51" ht="15" customHeight="1">
      <c r="A51" s="12">
        <f>IF(OR($B51="",$G51=""),"",TEXT($B51,"YYYYMMDD")&amp;"-"&amp;SUBSTITUTE($E51," ","")&amp;"-"&amp;$F51&amp;"-"&amp;$G51)</f>
        <v/>
      </c>
      <c r="B51" s="15" t="n"/>
      <c r="C51" s="16" t="n"/>
      <c r="D51" s="10" t="n"/>
      <c r="E51" s="9" t="n"/>
      <c r="F51" s="9" t="n"/>
      <c r="G51" s="13" t="n"/>
      <c r="H51" s="21" t="n"/>
      <c r="I51" s="21" t="n"/>
      <c r="J51" s="17">
        <f>IF($G51="","",IFERROR(INDEX(NomsEmployes,MATCH($G51,MatriculesEmployes,0)),"MATRICULE INCONNU"))</f>
        <v/>
      </c>
      <c r="K51" s="33">
        <f>IF(OR($D51="",$F51=""),"",IFERROR(IF(INDEX(RUNS!$L$6:$S$1005,MATCH($D51,RUNS!$A$6:$A$1005,0),MATCH("ACTIVITÉ "&amp;$F51,RUNS!$L$5:$S$5,0))="","",INDEX(RUNS!$L$6:$S$1005,MATCH($D51,RUNS!$A$6:$A$1005,0),MATCH("ACTIVITÉ "&amp;$F51,RUNS!$L$5:$S$5,0))),""))</f>
        <v/>
      </c>
      <c r="L51" s="33">
        <f>IF($D51="","",IFERROR(IF(INDEX(RUNS!$E$6:$E$1005,MATCH($D51,RUNS!$A$6:$A$1005,0))="","",INDEX(RUNS!$E$6:$E$1005,MATCH($D51,RUNS!$A$6:$A$1005,0))),""))</f>
        <v/>
      </c>
      <c r="M51" s="33">
        <f>IF($D51="","",IFERROR(IF(INDEX(RUNS!$F$6:$F$1005,MATCH($D51,RUNS!$A$6:$A$1005,0))="","",INDEX(RUNS!$F$6:$F$1005,MATCH($D51,RUNS!$A$6:$A$1005,0))),""))</f>
        <v/>
      </c>
      <c r="N51" s="33">
        <f>IF($D51="","",IFERROR(IF(INDEX(RUNS!$G$6:$G$1005,MATCH($D51,RUNS!$A$6:$A$1005,0))="","",INDEX(RUNS!$G$6:$G$1005,MATCH($D51,RUNS!$A$6:$A$1005,0))),""))</f>
        <v/>
      </c>
      <c r="O51" s="33">
        <f>IF($D51="","",IFERROR(IF(INDEX(RUNS!$H$6:$H$1005,MATCH($D51,RUNS!$A$6:$A$1005,0))="","",INDEX(RUNS!$H$6:$H$1005,MATCH($D51,RUNS!$A$6:$A$1005,0))),""))</f>
        <v/>
      </c>
      <c r="P51" s="33">
        <f>IF($D51="","",IFERROR(IF(INDEX(RUNS!$J$6:$J$1005,MATCH($D51,RUNS!$A$6:$A$1005,0))="","",INDEX(RUNS!$J$6:$J$1005,MATCH($D51,RUNS!$A$6:$A$1005,0))),""))</f>
        <v/>
      </c>
      <c r="Q51" s="33">
        <f>IF($D51="","",IFERROR(IF(INDEX(RUNS!$K$6:$K$1005,MATCH($D51,RUNS!$A$6:$A$1005,0))="","",INDEX(RUNS!$K$6:$K$1005,MATCH($D51,RUNS!$A$6:$A$1005,0))),""))</f>
        <v/>
      </c>
      <c r="R51" s="34">
        <f>IF(OR($L51="",$K51=""),"",IFERROR(IF(INDEX(PARAMETRES!$H$43:$H$342,MATCH($L51&amp;"|"&amp;$M51&amp;"|"&amp;$N51&amp;"|"&amp;$O51&amp;"|"&amp;$P51&amp;"|"&amp;$Q51&amp;"|"&amp;$K51,PARAMETRES!$J$43:$J$342,0))="","",INDEX(PARAMETRES!$H$43:$H$342,MATCH($L51&amp;"|"&amp;$M51&amp;"|"&amp;$N51&amp;"|"&amp;$O51&amp;"|"&amp;$P51&amp;"|"&amp;$Q51&amp;"|"&amp;$K51,PARAMETRES!$J$43:$J$342,0))),""))</f>
        <v/>
      </c>
      <c r="S51" s="35">
        <f>IF(OR($G51="",$X51&lt;&gt;"VALIDE"),"",IFERROR(LOOKUP(2,1/(($B$3:$B50=$B51)*($G$3:$G50=$G51)*($X$3:$X50="VALIDE")),$C$3:$C50),""))</f>
        <v/>
      </c>
      <c r="T51" s="36">
        <f>IF(OR($C51="",$S51=""),"",ROUND(($C51-$S51+IF($C51&lt;$S51,1,0))*1440,0))</f>
        <v/>
      </c>
      <c r="U51" s="22">
        <f>IF(OR($H51="",$T51="",$T51&lt;=0),"",$H51*60/$T51)</f>
        <v/>
      </c>
      <c r="V51" s="37">
        <f>IF(OR($U51="",$R51="",$R51=0),"",$U51/$R51)</f>
        <v/>
      </c>
      <c r="W51" s="20">
        <f>IF($G51="","",IF($X51="CONTEXTE INCOMPLET","CONTEXTE INCOMPLET",IF($X51="DOUBLON",StatutDoublon,IF($S51="",StatutInitial,IF($R51="",StatutStandardManquant,IF($V51="","DONNEES INSUFFISANTES",IF($V51&gt;=SeuilConforme,StatutConforme,IF($V51&gt;=SeuilSurveiller,StatutSurveiller,StatutSousStandard))))))))</f>
        <v/>
      </c>
      <c r="X51" s="33">
        <f>IF($G51="","",IF(OR($D51="",$E51="",$F51=""),"CONTEXTE INCOMPLET",IF(COUNTIFS($D$3:$D50,$D51,$E$3:$E50,$E51,$F$3:$F50,$F51,$G$3:$G50,$G51)&gt;0,"DOUBLON","VALIDE")))</f>
        <v/>
      </c>
    </row>
    <row r="52" ht="15" customHeight="1">
      <c r="A52" s="12">
        <f>IF(OR($B52="",$G52=""),"",TEXT($B52,"YYYYMMDD")&amp;"-"&amp;SUBSTITUTE($E52," ","")&amp;"-"&amp;$F52&amp;"-"&amp;$G52)</f>
        <v/>
      </c>
      <c r="B52" s="15" t="n"/>
      <c r="C52" s="16" t="n"/>
      <c r="D52" s="10" t="n"/>
      <c r="E52" s="9" t="n"/>
      <c r="F52" s="9" t="n"/>
      <c r="G52" s="13" t="n"/>
      <c r="H52" s="21" t="n"/>
      <c r="I52" s="21" t="n"/>
      <c r="J52" s="17">
        <f>IF($G52="","",IFERROR(INDEX(NomsEmployes,MATCH($G52,MatriculesEmployes,0)),"MATRICULE INCONNU"))</f>
        <v/>
      </c>
      <c r="K52" s="33">
        <f>IF(OR($D52="",$F52=""),"",IFERROR(IF(INDEX(RUNS!$L$6:$S$1005,MATCH($D52,RUNS!$A$6:$A$1005,0),MATCH("ACTIVITÉ "&amp;$F52,RUNS!$L$5:$S$5,0))="","",INDEX(RUNS!$L$6:$S$1005,MATCH($D52,RUNS!$A$6:$A$1005,0),MATCH("ACTIVITÉ "&amp;$F52,RUNS!$L$5:$S$5,0))),""))</f>
        <v/>
      </c>
      <c r="L52" s="33">
        <f>IF($D52="","",IFERROR(IF(INDEX(RUNS!$E$6:$E$1005,MATCH($D52,RUNS!$A$6:$A$1005,0))="","",INDEX(RUNS!$E$6:$E$1005,MATCH($D52,RUNS!$A$6:$A$1005,0))),""))</f>
        <v/>
      </c>
      <c r="M52" s="33">
        <f>IF($D52="","",IFERROR(IF(INDEX(RUNS!$F$6:$F$1005,MATCH($D52,RUNS!$A$6:$A$1005,0))="","",INDEX(RUNS!$F$6:$F$1005,MATCH($D52,RUNS!$A$6:$A$1005,0))),""))</f>
        <v/>
      </c>
      <c r="N52" s="33">
        <f>IF($D52="","",IFERROR(IF(INDEX(RUNS!$G$6:$G$1005,MATCH($D52,RUNS!$A$6:$A$1005,0))="","",INDEX(RUNS!$G$6:$G$1005,MATCH($D52,RUNS!$A$6:$A$1005,0))),""))</f>
        <v/>
      </c>
      <c r="O52" s="33">
        <f>IF($D52="","",IFERROR(IF(INDEX(RUNS!$H$6:$H$1005,MATCH($D52,RUNS!$A$6:$A$1005,0))="","",INDEX(RUNS!$H$6:$H$1005,MATCH($D52,RUNS!$A$6:$A$1005,0))),""))</f>
        <v/>
      </c>
      <c r="P52" s="33">
        <f>IF($D52="","",IFERROR(IF(INDEX(RUNS!$J$6:$J$1005,MATCH($D52,RUNS!$A$6:$A$1005,0))="","",INDEX(RUNS!$J$6:$J$1005,MATCH($D52,RUNS!$A$6:$A$1005,0))),""))</f>
        <v/>
      </c>
      <c r="Q52" s="33">
        <f>IF($D52="","",IFERROR(IF(INDEX(RUNS!$K$6:$K$1005,MATCH($D52,RUNS!$A$6:$A$1005,0))="","",INDEX(RUNS!$K$6:$K$1005,MATCH($D52,RUNS!$A$6:$A$1005,0))),""))</f>
        <v/>
      </c>
      <c r="R52" s="34">
        <f>IF(OR($L52="",$K52=""),"",IFERROR(IF(INDEX(PARAMETRES!$H$43:$H$342,MATCH($L52&amp;"|"&amp;$M52&amp;"|"&amp;$N52&amp;"|"&amp;$O52&amp;"|"&amp;$P52&amp;"|"&amp;$Q52&amp;"|"&amp;$K52,PARAMETRES!$J$43:$J$342,0))="","",INDEX(PARAMETRES!$H$43:$H$342,MATCH($L52&amp;"|"&amp;$M52&amp;"|"&amp;$N52&amp;"|"&amp;$O52&amp;"|"&amp;$P52&amp;"|"&amp;$Q52&amp;"|"&amp;$K52,PARAMETRES!$J$43:$J$342,0))),""))</f>
        <v/>
      </c>
      <c r="S52" s="35">
        <f>IF(OR($G52="",$X52&lt;&gt;"VALIDE"),"",IFERROR(LOOKUP(2,1/(($B$3:$B51=$B52)*($G$3:$G51=$G52)*($X$3:$X51="VALIDE")),$C$3:$C51),""))</f>
        <v/>
      </c>
      <c r="T52" s="36">
        <f>IF(OR($C52="",$S52=""),"",ROUND(($C52-$S52+IF($C52&lt;$S52,1,0))*1440,0))</f>
        <v/>
      </c>
      <c r="U52" s="22">
        <f>IF(OR($H52="",$T52="",$T52&lt;=0),"",$H52*60/$T52)</f>
        <v/>
      </c>
      <c r="V52" s="37">
        <f>IF(OR($U52="",$R52="",$R52=0),"",$U52/$R52)</f>
        <v/>
      </c>
      <c r="W52" s="20">
        <f>IF($G52="","",IF($X52="CONTEXTE INCOMPLET","CONTEXTE INCOMPLET",IF($X52="DOUBLON",StatutDoublon,IF($S52="",StatutInitial,IF($R52="",StatutStandardManquant,IF($V52="","DONNEES INSUFFISANTES",IF($V52&gt;=SeuilConforme,StatutConforme,IF($V52&gt;=SeuilSurveiller,StatutSurveiller,StatutSousStandard))))))))</f>
        <v/>
      </c>
      <c r="X52" s="33">
        <f>IF($G52="","",IF(OR($D52="",$E52="",$F52=""),"CONTEXTE INCOMPLET",IF(COUNTIFS($D$3:$D51,$D52,$E$3:$E51,$E52,$F$3:$F51,$F52,$G$3:$G51,$G52)&gt;0,"DOUBLON","VALIDE")))</f>
        <v/>
      </c>
    </row>
    <row r="53" ht="15" customHeight="1">
      <c r="A53" s="12">
        <f>IF(OR($B53="",$G53=""),"",TEXT($B53,"YYYYMMDD")&amp;"-"&amp;SUBSTITUTE($E53," ","")&amp;"-"&amp;$F53&amp;"-"&amp;$G53)</f>
        <v/>
      </c>
      <c r="B53" s="15" t="n"/>
      <c r="C53" s="16" t="n"/>
      <c r="D53" s="10" t="n"/>
      <c r="E53" s="9" t="n"/>
      <c r="F53" s="9" t="n"/>
      <c r="G53" s="13" t="n"/>
      <c r="H53" s="21" t="n"/>
      <c r="I53" s="21" t="n"/>
      <c r="J53" s="17">
        <f>IF($G53="","",IFERROR(INDEX(NomsEmployes,MATCH($G53,MatriculesEmployes,0)),"MATRICULE INCONNU"))</f>
        <v/>
      </c>
      <c r="K53" s="33">
        <f>IF(OR($D53="",$F53=""),"",IFERROR(IF(INDEX(RUNS!$L$6:$S$1005,MATCH($D53,RUNS!$A$6:$A$1005,0),MATCH("ACTIVITÉ "&amp;$F53,RUNS!$L$5:$S$5,0))="","",INDEX(RUNS!$L$6:$S$1005,MATCH($D53,RUNS!$A$6:$A$1005,0),MATCH("ACTIVITÉ "&amp;$F53,RUNS!$L$5:$S$5,0))),""))</f>
        <v/>
      </c>
      <c r="L53" s="33">
        <f>IF($D53="","",IFERROR(IF(INDEX(RUNS!$E$6:$E$1005,MATCH($D53,RUNS!$A$6:$A$1005,0))="","",INDEX(RUNS!$E$6:$E$1005,MATCH($D53,RUNS!$A$6:$A$1005,0))),""))</f>
        <v/>
      </c>
      <c r="M53" s="33">
        <f>IF($D53="","",IFERROR(IF(INDEX(RUNS!$F$6:$F$1005,MATCH($D53,RUNS!$A$6:$A$1005,0))="","",INDEX(RUNS!$F$6:$F$1005,MATCH($D53,RUNS!$A$6:$A$1005,0))),""))</f>
        <v/>
      </c>
      <c r="N53" s="33">
        <f>IF($D53="","",IFERROR(IF(INDEX(RUNS!$G$6:$G$1005,MATCH($D53,RUNS!$A$6:$A$1005,0))="","",INDEX(RUNS!$G$6:$G$1005,MATCH($D53,RUNS!$A$6:$A$1005,0))),""))</f>
        <v/>
      </c>
      <c r="O53" s="33">
        <f>IF($D53="","",IFERROR(IF(INDEX(RUNS!$H$6:$H$1005,MATCH($D53,RUNS!$A$6:$A$1005,0))="","",INDEX(RUNS!$H$6:$H$1005,MATCH($D53,RUNS!$A$6:$A$1005,0))),""))</f>
        <v/>
      </c>
      <c r="P53" s="33">
        <f>IF($D53="","",IFERROR(IF(INDEX(RUNS!$J$6:$J$1005,MATCH($D53,RUNS!$A$6:$A$1005,0))="","",INDEX(RUNS!$J$6:$J$1005,MATCH($D53,RUNS!$A$6:$A$1005,0))),""))</f>
        <v/>
      </c>
      <c r="Q53" s="33">
        <f>IF($D53="","",IFERROR(IF(INDEX(RUNS!$K$6:$K$1005,MATCH($D53,RUNS!$A$6:$A$1005,0))="","",INDEX(RUNS!$K$6:$K$1005,MATCH($D53,RUNS!$A$6:$A$1005,0))),""))</f>
        <v/>
      </c>
      <c r="R53" s="34">
        <f>IF(OR($L53="",$K53=""),"",IFERROR(IF(INDEX(PARAMETRES!$H$43:$H$342,MATCH($L53&amp;"|"&amp;$M53&amp;"|"&amp;$N53&amp;"|"&amp;$O53&amp;"|"&amp;$P53&amp;"|"&amp;$Q53&amp;"|"&amp;$K53,PARAMETRES!$J$43:$J$342,0))="","",INDEX(PARAMETRES!$H$43:$H$342,MATCH($L53&amp;"|"&amp;$M53&amp;"|"&amp;$N53&amp;"|"&amp;$O53&amp;"|"&amp;$P53&amp;"|"&amp;$Q53&amp;"|"&amp;$K53,PARAMETRES!$J$43:$J$342,0))),""))</f>
        <v/>
      </c>
      <c r="S53" s="35">
        <f>IF(OR($G53="",$X53&lt;&gt;"VALIDE"),"",IFERROR(LOOKUP(2,1/(($B$3:$B52=$B53)*($G$3:$G52=$G53)*($X$3:$X52="VALIDE")),$C$3:$C52),""))</f>
        <v/>
      </c>
      <c r="T53" s="36">
        <f>IF(OR($C53="",$S53=""),"",ROUND(($C53-$S53+IF($C53&lt;$S53,1,0))*1440,0))</f>
        <v/>
      </c>
      <c r="U53" s="22">
        <f>IF(OR($H53="",$T53="",$T53&lt;=0),"",$H53*60/$T53)</f>
        <v/>
      </c>
      <c r="V53" s="37">
        <f>IF(OR($U53="",$R53="",$R53=0),"",$U53/$R53)</f>
        <v/>
      </c>
      <c r="W53" s="20">
        <f>IF($G53="","",IF($X53="CONTEXTE INCOMPLET","CONTEXTE INCOMPLET",IF($X53="DOUBLON",StatutDoublon,IF($S53="",StatutInitial,IF($R53="",StatutStandardManquant,IF($V53="","DONNEES INSUFFISANTES",IF($V53&gt;=SeuilConforme,StatutConforme,IF($V53&gt;=SeuilSurveiller,StatutSurveiller,StatutSousStandard))))))))</f>
        <v/>
      </c>
      <c r="X53" s="33">
        <f>IF($G53="","",IF(OR($D53="",$E53="",$F53=""),"CONTEXTE INCOMPLET",IF(COUNTIFS($D$3:$D52,$D53,$E$3:$E52,$E53,$F$3:$F52,$F53,$G$3:$G52,$G53)&gt;0,"DOUBLON","VALIDE")))</f>
        <v/>
      </c>
    </row>
    <row r="54" ht="15" customHeight="1">
      <c r="A54" s="12">
        <f>IF(OR($B54="",$G54=""),"",TEXT($B54,"YYYYMMDD")&amp;"-"&amp;SUBSTITUTE($E54," ","")&amp;"-"&amp;$F54&amp;"-"&amp;$G54)</f>
        <v/>
      </c>
      <c r="B54" s="15" t="n"/>
      <c r="C54" s="16" t="n"/>
      <c r="D54" s="10" t="n"/>
      <c r="E54" s="9" t="n"/>
      <c r="F54" s="9" t="n"/>
      <c r="G54" s="13" t="n"/>
      <c r="H54" s="21" t="n"/>
      <c r="I54" s="21" t="n"/>
      <c r="J54" s="17">
        <f>IF($G54="","",IFERROR(INDEX(NomsEmployes,MATCH($G54,MatriculesEmployes,0)),"MATRICULE INCONNU"))</f>
        <v/>
      </c>
      <c r="K54" s="33">
        <f>IF(OR($D54="",$F54=""),"",IFERROR(IF(INDEX(RUNS!$L$6:$S$1005,MATCH($D54,RUNS!$A$6:$A$1005,0),MATCH("ACTIVITÉ "&amp;$F54,RUNS!$L$5:$S$5,0))="","",INDEX(RUNS!$L$6:$S$1005,MATCH($D54,RUNS!$A$6:$A$1005,0),MATCH("ACTIVITÉ "&amp;$F54,RUNS!$L$5:$S$5,0))),""))</f>
        <v/>
      </c>
      <c r="L54" s="33">
        <f>IF($D54="","",IFERROR(IF(INDEX(RUNS!$E$6:$E$1005,MATCH($D54,RUNS!$A$6:$A$1005,0))="","",INDEX(RUNS!$E$6:$E$1005,MATCH($D54,RUNS!$A$6:$A$1005,0))),""))</f>
        <v/>
      </c>
      <c r="M54" s="33">
        <f>IF($D54="","",IFERROR(IF(INDEX(RUNS!$F$6:$F$1005,MATCH($D54,RUNS!$A$6:$A$1005,0))="","",INDEX(RUNS!$F$6:$F$1005,MATCH($D54,RUNS!$A$6:$A$1005,0))),""))</f>
        <v/>
      </c>
      <c r="N54" s="33">
        <f>IF($D54="","",IFERROR(IF(INDEX(RUNS!$G$6:$G$1005,MATCH($D54,RUNS!$A$6:$A$1005,0))="","",INDEX(RUNS!$G$6:$G$1005,MATCH($D54,RUNS!$A$6:$A$1005,0))),""))</f>
        <v/>
      </c>
      <c r="O54" s="33">
        <f>IF($D54="","",IFERROR(IF(INDEX(RUNS!$H$6:$H$1005,MATCH($D54,RUNS!$A$6:$A$1005,0))="","",INDEX(RUNS!$H$6:$H$1005,MATCH($D54,RUNS!$A$6:$A$1005,0))),""))</f>
        <v/>
      </c>
      <c r="P54" s="33">
        <f>IF($D54="","",IFERROR(IF(INDEX(RUNS!$J$6:$J$1005,MATCH($D54,RUNS!$A$6:$A$1005,0))="","",INDEX(RUNS!$J$6:$J$1005,MATCH($D54,RUNS!$A$6:$A$1005,0))),""))</f>
        <v/>
      </c>
      <c r="Q54" s="33">
        <f>IF($D54="","",IFERROR(IF(INDEX(RUNS!$K$6:$K$1005,MATCH($D54,RUNS!$A$6:$A$1005,0))="","",INDEX(RUNS!$K$6:$K$1005,MATCH($D54,RUNS!$A$6:$A$1005,0))),""))</f>
        <v/>
      </c>
      <c r="R54" s="34">
        <f>IF(OR($L54="",$K54=""),"",IFERROR(IF(INDEX(PARAMETRES!$H$43:$H$342,MATCH($L54&amp;"|"&amp;$M54&amp;"|"&amp;$N54&amp;"|"&amp;$O54&amp;"|"&amp;$P54&amp;"|"&amp;$Q54&amp;"|"&amp;$K54,PARAMETRES!$J$43:$J$342,0))="","",INDEX(PARAMETRES!$H$43:$H$342,MATCH($L54&amp;"|"&amp;$M54&amp;"|"&amp;$N54&amp;"|"&amp;$O54&amp;"|"&amp;$P54&amp;"|"&amp;$Q54&amp;"|"&amp;$K54,PARAMETRES!$J$43:$J$342,0))),""))</f>
        <v/>
      </c>
      <c r="S54" s="35">
        <f>IF(OR($G54="",$X54&lt;&gt;"VALIDE"),"",IFERROR(LOOKUP(2,1/(($B$3:$B53=$B54)*($G$3:$G53=$G54)*($X$3:$X53="VALIDE")),$C$3:$C53),""))</f>
        <v/>
      </c>
      <c r="T54" s="36">
        <f>IF(OR($C54="",$S54=""),"",ROUND(($C54-$S54+IF($C54&lt;$S54,1,0))*1440,0))</f>
        <v/>
      </c>
      <c r="U54" s="22">
        <f>IF(OR($H54="",$T54="",$T54&lt;=0),"",$H54*60/$T54)</f>
        <v/>
      </c>
      <c r="V54" s="37">
        <f>IF(OR($U54="",$R54="",$R54=0),"",$U54/$R54)</f>
        <v/>
      </c>
      <c r="W54" s="20">
        <f>IF($G54="","",IF($X54="CONTEXTE INCOMPLET","CONTEXTE INCOMPLET",IF($X54="DOUBLON",StatutDoublon,IF($S54="",StatutInitial,IF($R54="",StatutStandardManquant,IF($V54="","DONNEES INSUFFISANTES",IF($V54&gt;=SeuilConforme,StatutConforme,IF($V54&gt;=SeuilSurveiller,StatutSurveiller,StatutSousStandard))))))))</f>
        <v/>
      </c>
      <c r="X54" s="33">
        <f>IF($G54="","",IF(OR($D54="",$E54="",$F54=""),"CONTEXTE INCOMPLET",IF(COUNTIFS($D$3:$D53,$D54,$E$3:$E53,$E54,$F$3:$F53,$F54,$G$3:$G53,$G54)&gt;0,"DOUBLON","VALIDE")))</f>
        <v/>
      </c>
    </row>
    <row r="55" ht="15" customHeight="1">
      <c r="A55" s="12">
        <f>IF(OR($B55="",$G55=""),"",TEXT($B55,"YYYYMMDD")&amp;"-"&amp;SUBSTITUTE($E55," ","")&amp;"-"&amp;$F55&amp;"-"&amp;$G55)</f>
        <v/>
      </c>
      <c r="B55" s="15" t="n"/>
      <c r="C55" s="16" t="n"/>
      <c r="D55" s="10" t="n"/>
      <c r="E55" s="9" t="n"/>
      <c r="F55" s="9" t="n"/>
      <c r="G55" s="13" t="n"/>
      <c r="H55" s="21" t="n"/>
      <c r="I55" s="21" t="n"/>
      <c r="J55" s="17">
        <f>IF($G55="","",IFERROR(INDEX(NomsEmployes,MATCH($G55,MatriculesEmployes,0)),"MATRICULE INCONNU"))</f>
        <v/>
      </c>
      <c r="K55" s="33">
        <f>IF(OR($D55="",$F55=""),"",IFERROR(IF(INDEX(RUNS!$L$6:$S$1005,MATCH($D55,RUNS!$A$6:$A$1005,0),MATCH("ACTIVITÉ "&amp;$F55,RUNS!$L$5:$S$5,0))="","",INDEX(RUNS!$L$6:$S$1005,MATCH($D55,RUNS!$A$6:$A$1005,0),MATCH("ACTIVITÉ "&amp;$F55,RUNS!$L$5:$S$5,0))),""))</f>
        <v/>
      </c>
      <c r="L55" s="33">
        <f>IF($D55="","",IFERROR(IF(INDEX(RUNS!$E$6:$E$1005,MATCH($D55,RUNS!$A$6:$A$1005,0))="","",INDEX(RUNS!$E$6:$E$1005,MATCH($D55,RUNS!$A$6:$A$1005,0))),""))</f>
        <v/>
      </c>
      <c r="M55" s="33">
        <f>IF($D55="","",IFERROR(IF(INDEX(RUNS!$F$6:$F$1005,MATCH($D55,RUNS!$A$6:$A$1005,0))="","",INDEX(RUNS!$F$6:$F$1005,MATCH($D55,RUNS!$A$6:$A$1005,0))),""))</f>
        <v/>
      </c>
      <c r="N55" s="33">
        <f>IF($D55="","",IFERROR(IF(INDEX(RUNS!$G$6:$G$1005,MATCH($D55,RUNS!$A$6:$A$1005,0))="","",INDEX(RUNS!$G$6:$G$1005,MATCH($D55,RUNS!$A$6:$A$1005,0))),""))</f>
        <v/>
      </c>
      <c r="O55" s="33">
        <f>IF($D55="","",IFERROR(IF(INDEX(RUNS!$H$6:$H$1005,MATCH($D55,RUNS!$A$6:$A$1005,0))="","",INDEX(RUNS!$H$6:$H$1005,MATCH($D55,RUNS!$A$6:$A$1005,0))),""))</f>
        <v/>
      </c>
      <c r="P55" s="33">
        <f>IF($D55="","",IFERROR(IF(INDEX(RUNS!$J$6:$J$1005,MATCH($D55,RUNS!$A$6:$A$1005,0))="","",INDEX(RUNS!$J$6:$J$1005,MATCH($D55,RUNS!$A$6:$A$1005,0))),""))</f>
        <v/>
      </c>
      <c r="Q55" s="33">
        <f>IF($D55="","",IFERROR(IF(INDEX(RUNS!$K$6:$K$1005,MATCH($D55,RUNS!$A$6:$A$1005,0))="","",INDEX(RUNS!$K$6:$K$1005,MATCH($D55,RUNS!$A$6:$A$1005,0))),""))</f>
        <v/>
      </c>
      <c r="R55" s="34">
        <f>IF(OR($L55="",$K55=""),"",IFERROR(IF(INDEX(PARAMETRES!$H$43:$H$342,MATCH($L55&amp;"|"&amp;$M55&amp;"|"&amp;$N55&amp;"|"&amp;$O55&amp;"|"&amp;$P55&amp;"|"&amp;$Q55&amp;"|"&amp;$K55,PARAMETRES!$J$43:$J$342,0))="","",INDEX(PARAMETRES!$H$43:$H$342,MATCH($L55&amp;"|"&amp;$M55&amp;"|"&amp;$N55&amp;"|"&amp;$O55&amp;"|"&amp;$P55&amp;"|"&amp;$Q55&amp;"|"&amp;$K55,PARAMETRES!$J$43:$J$342,0))),""))</f>
        <v/>
      </c>
      <c r="S55" s="35">
        <f>IF(OR($G55="",$X55&lt;&gt;"VALIDE"),"",IFERROR(LOOKUP(2,1/(($B$3:$B54=$B55)*($G$3:$G54=$G55)*($X$3:$X54="VALIDE")),$C$3:$C54),""))</f>
        <v/>
      </c>
      <c r="T55" s="36">
        <f>IF(OR($C55="",$S55=""),"",ROUND(($C55-$S55+IF($C55&lt;$S55,1,0))*1440,0))</f>
        <v/>
      </c>
      <c r="U55" s="22">
        <f>IF(OR($H55="",$T55="",$T55&lt;=0),"",$H55*60/$T55)</f>
        <v/>
      </c>
      <c r="V55" s="37">
        <f>IF(OR($U55="",$R55="",$R55=0),"",$U55/$R55)</f>
        <v/>
      </c>
      <c r="W55" s="20">
        <f>IF($G55="","",IF($X55="CONTEXTE INCOMPLET","CONTEXTE INCOMPLET",IF($X55="DOUBLON",StatutDoublon,IF($S55="",StatutInitial,IF($R55="",StatutStandardManquant,IF($V55="","DONNEES INSUFFISANTES",IF($V55&gt;=SeuilConforme,StatutConforme,IF($V55&gt;=SeuilSurveiller,StatutSurveiller,StatutSousStandard))))))))</f>
        <v/>
      </c>
      <c r="X55" s="33">
        <f>IF($G55="","",IF(OR($D55="",$E55="",$F55=""),"CONTEXTE INCOMPLET",IF(COUNTIFS($D$3:$D54,$D55,$E$3:$E54,$E55,$F$3:$F54,$F55,$G$3:$G54,$G55)&gt;0,"DOUBLON","VALIDE")))</f>
        <v/>
      </c>
    </row>
    <row r="56" ht="15" customHeight="1">
      <c r="A56" s="12">
        <f>IF(OR($B56="",$G56=""),"",TEXT($B56,"YYYYMMDD")&amp;"-"&amp;SUBSTITUTE($E56," ","")&amp;"-"&amp;$F56&amp;"-"&amp;$G56)</f>
        <v/>
      </c>
      <c r="B56" s="15" t="n"/>
      <c r="C56" s="16" t="n"/>
      <c r="D56" s="10" t="n"/>
      <c r="E56" s="9" t="n"/>
      <c r="F56" s="9" t="n"/>
      <c r="G56" s="13" t="n"/>
      <c r="H56" s="21" t="n"/>
      <c r="I56" s="21" t="n"/>
      <c r="J56" s="17">
        <f>IF($G56="","",IFERROR(INDEX(NomsEmployes,MATCH($G56,MatriculesEmployes,0)),"MATRICULE INCONNU"))</f>
        <v/>
      </c>
      <c r="K56" s="33">
        <f>IF(OR($D56="",$F56=""),"",IFERROR(IF(INDEX(RUNS!$L$6:$S$1005,MATCH($D56,RUNS!$A$6:$A$1005,0),MATCH("ACTIVITÉ "&amp;$F56,RUNS!$L$5:$S$5,0))="","",INDEX(RUNS!$L$6:$S$1005,MATCH($D56,RUNS!$A$6:$A$1005,0),MATCH("ACTIVITÉ "&amp;$F56,RUNS!$L$5:$S$5,0))),""))</f>
        <v/>
      </c>
      <c r="L56" s="33">
        <f>IF($D56="","",IFERROR(IF(INDEX(RUNS!$E$6:$E$1005,MATCH($D56,RUNS!$A$6:$A$1005,0))="","",INDEX(RUNS!$E$6:$E$1005,MATCH($D56,RUNS!$A$6:$A$1005,0))),""))</f>
        <v/>
      </c>
      <c r="M56" s="33">
        <f>IF($D56="","",IFERROR(IF(INDEX(RUNS!$F$6:$F$1005,MATCH($D56,RUNS!$A$6:$A$1005,0))="","",INDEX(RUNS!$F$6:$F$1005,MATCH($D56,RUNS!$A$6:$A$1005,0))),""))</f>
        <v/>
      </c>
      <c r="N56" s="33">
        <f>IF($D56="","",IFERROR(IF(INDEX(RUNS!$G$6:$G$1005,MATCH($D56,RUNS!$A$6:$A$1005,0))="","",INDEX(RUNS!$G$6:$G$1005,MATCH($D56,RUNS!$A$6:$A$1005,0))),""))</f>
        <v/>
      </c>
      <c r="O56" s="33">
        <f>IF($D56="","",IFERROR(IF(INDEX(RUNS!$H$6:$H$1005,MATCH($D56,RUNS!$A$6:$A$1005,0))="","",INDEX(RUNS!$H$6:$H$1005,MATCH($D56,RUNS!$A$6:$A$1005,0))),""))</f>
        <v/>
      </c>
      <c r="P56" s="33">
        <f>IF($D56="","",IFERROR(IF(INDEX(RUNS!$J$6:$J$1005,MATCH($D56,RUNS!$A$6:$A$1005,0))="","",INDEX(RUNS!$J$6:$J$1005,MATCH($D56,RUNS!$A$6:$A$1005,0))),""))</f>
        <v/>
      </c>
      <c r="Q56" s="33">
        <f>IF($D56="","",IFERROR(IF(INDEX(RUNS!$K$6:$K$1005,MATCH($D56,RUNS!$A$6:$A$1005,0))="","",INDEX(RUNS!$K$6:$K$1005,MATCH($D56,RUNS!$A$6:$A$1005,0))),""))</f>
        <v/>
      </c>
      <c r="R56" s="34">
        <f>IF(OR($L56="",$K56=""),"",IFERROR(IF(INDEX(PARAMETRES!$H$43:$H$342,MATCH($L56&amp;"|"&amp;$M56&amp;"|"&amp;$N56&amp;"|"&amp;$O56&amp;"|"&amp;$P56&amp;"|"&amp;$Q56&amp;"|"&amp;$K56,PARAMETRES!$J$43:$J$342,0))="","",INDEX(PARAMETRES!$H$43:$H$342,MATCH($L56&amp;"|"&amp;$M56&amp;"|"&amp;$N56&amp;"|"&amp;$O56&amp;"|"&amp;$P56&amp;"|"&amp;$Q56&amp;"|"&amp;$K56,PARAMETRES!$J$43:$J$342,0))),""))</f>
        <v/>
      </c>
      <c r="S56" s="35">
        <f>IF(OR($G56="",$X56&lt;&gt;"VALIDE"),"",IFERROR(LOOKUP(2,1/(($B$3:$B55=$B56)*($G$3:$G55=$G56)*($X$3:$X55="VALIDE")),$C$3:$C55),""))</f>
        <v/>
      </c>
      <c r="T56" s="36">
        <f>IF(OR($C56="",$S56=""),"",ROUND(($C56-$S56+IF($C56&lt;$S56,1,0))*1440,0))</f>
        <v/>
      </c>
      <c r="U56" s="22">
        <f>IF(OR($H56="",$T56="",$T56&lt;=0),"",$H56*60/$T56)</f>
        <v/>
      </c>
      <c r="V56" s="37">
        <f>IF(OR($U56="",$R56="",$R56=0),"",$U56/$R56)</f>
        <v/>
      </c>
      <c r="W56" s="20">
        <f>IF($G56="","",IF($X56="CONTEXTE INCOMPLET","CONTEXTE INCOMPLET",IF($X56="DOUBLON",StatutDoublon,IF($S56="",StatutInitial,IF($R56="",StatutStandardManquant,IF($V56="","DONNEES INSUFFISANTES",IF($V56&gt;=SeuilConforme,StatutConforme,IF($V56&gt;=SeuilSurveiller,StatutSurveiller,StatutSousStandard))))))))</f>
        <v/>
      </c>
      <c r="X56" s="33">
        <f>IF($G56="","",IF(OR($D56="",$E56="",$F56=""),"CONTEXTE INCOMPLET",IF(COUNTIFS($D$3:$D55,$D56,$E$3:$E55,$E56,$F$3:$F55,$F56,$G$3:$G55,$G56)&gt;0,"DOUBLON","VALIDE")))</f>
        <v/>
      </c>
    </row>
    <row r="57" ht="15" customHeight="1">
      <c r="A57" s="12">
        <f>IF(OR($B57="",$G57=""),"",TEXT($B57,"YYYYMMDD")&amp;"-"&amp;SUBSTITUTE($E57," ","")&amp;"-"&amp;$F57&amp;"-"&amp;$G57)</f>
        <v/>
      </c>
      <c r="B57" s="15" t="n"/>
      <c r="C57" s="16" t="n"/>
      <c r="D57" s="10" t="n"/>
      <c r="E57" s="9" t="n"/>
      <c r="F57" s="9" t="n"/>
      <c r="G57" s="13" t="n"/>
      <c r="H57" s="21" t="n"/>
      <c r="I57" s="21" t="n"/>
      <c r="J57" s="17">
        <f>IF($G57="","",IFERROR(INDEX(NomsEmployes,MATCH($G57,MatriculesEmployes,0)),"MATRICULE INCONNU"))</f>
        <v/>
      </c>
      <c r="K57" s="33">
        <f>IF(OR($D57="",$F57=""),"",IFERROR(IF(INDEX(RUNS!$L$6:$S$1005,MATCH($D57,RUNS!$A$6:$A$1005,0),MATCH("ACTIVITÉ "&amp;$F57,RUNS!$L$5:$S$5,0))="","",INDEX(RUNS!$L$6:$S$1005,MATCH($D57,RUNS!$A$6:$A$1005,0),MATCH("ACTIVITÉ "&amp;$F57,RUNS!$L$5:$S$5,0))),""))</f>
        <v/>
      </c>
      <c r="L57" s="33">
        <f>IF($D57="","",IFERROR(IF(INDEX(RUNS!$E$6:$E$1005,MATCH($D57,RUNS!$A$6:$A$1005,0))="","",INDEX(RUNS!$E$6:$E$1005,MATCH($D57,RUNS!$A$6:$A$1005,0))),""))</f>
        <v/>
      </c>
      <c r="M57" s="33">
        <f>IF($D57="","",IFERROR(IF(INDEX(RUNS!$F$6:$F$1005,MATCH($D57,RUNS!$A$6:$A$1005,0))="","",INDEX(RUNS!$F$6:$F$1005,MATCH($D57,RUNS!$A$6:$A$1005,0))),""))</f>
        <v/>
      </c>
      <c r="N57" s="33">
        <f>IF($D57="","",IFERROR(IF(INDEX(RUNS!$G$6:$G$1005,MATCH($D57,RUNS!$A$6:$A$1005,0))="","",INDEX(RUNS!$G$6:$G$1005,MATCH($D57,RUNS!$A$6:$A$1005,0))),""))</f>
        <v/>
      </c>
      <c r="O57" s="33">
        <f>IF($D57="","",IFERROR(IF(INDEX(RUNS!$H$6:$H$1005,MATCH($D57,RUNS!$A$6:$A$1005,0))="","",INDEX(RUNS!$H$6:$H$1005,MATCH($D57,RUNS!$A$6:$A$1005,0))),""))</f>
        <v/>
      </c>
      <c r="P57" s="33">
        <f>IF($D57="","",IFERROR(IF(INDEX(RUNS!$J$6:$J$1005,MATCH($D57,RUNS!$A$6:$A$1005,0))="","",INDEX(RUNS!$J$6:$J$1005,MATCH($D57,RUNS!$A$6:$A$1005,0))),""))</f>
        <v/>
      </c>
      <c r="Q57" s="33">
        <f>IF($D57="","",IFERROR(IF(INDEX(RUNS!$K$6:$K$1005,MATCH($D57,RUNS!$A$6:$A$1005,0))="","",INDEX(RUNS!$K$6:$K$1005,MATCH($D57,RUNS!$A$6:$A$1005,0))),""))</f>
        <v/>
      </c>
      <c r="R57" s="34">
        <f>IF(OR($L57="",$K57=""),"",IFERROR(IF(INDEX(PARAMETRES!$H$43:$H$342,MATCH($L57&amp;"|"&amp;$M57&amp;"|"&amp;$N57&amp;"|"&amp;$O57&amp;"|"&amp;$P57&amp;"|"&amp;$Q57&amp;"|"&amp;$K57,PARAMETRES!$J$43:$J$342,0))="","",INDEX(PARAMETRES!$H$43:$H$342,MATCH($L57&amp;"|"&amp;$M57&amp;"|"&amp;$N57&amp;"|"&amp;$O57&amp;"|"&amp;$P57&amp;"|"&amp;$Q57&amp;"|"&amp;$K57,PARAMETRES!$J$43:$J$342,0))),""))</f>
        <v/>
      </c>
      <c r="S57" s="35">
        <f>IF(OR($G57="",$X57&lt;&gt;"VALIDE"),"",IFERROR(LOOKUP(2,1/(($B$3:$B56=$B57)*($G$3:$G56=$G57)*($X$3:$X56="VALIDE")),$C$3:$C56),""))</f>
        <v/>
      </c>
      <c r="T57" s="36">
        <f>IF(OR($C57="",$S57=""),"",ROUND(($C57-$S57+IF($C57&lt;$S57,1,0))*1440,0))</f>
        <v/>
      </c>
      <c r="U57" s="22">
        <f>IF(OR($H57="",$T57="",$T57&lt;=0),"",$H57*60/$T57)</f>
        <v/>
      </c>
      <c r="V57" s="37">
        <f>IF(OR($U57="",$R57="",$R57=0),"",$U57/$R57)</f>
        <v/>
      </c>
      <c r="W57" s="20">
        <f>IF($G57="","",IF($X57="CONTEXTE INCOMPLET","CONTEXTE INCOMPLET",IF($X57="DOUBLON",StatutDoublon,IF($S57="",StatutInitial,IF($R57="",StatutStandardManquant,IF($V57="","DONNEES INSUFFISANTES",IF($V57&gt;=SeuilConforme,StatutConforme,IF($V57&gt;=SeuilSurveiller,StatutSurveiller,StatutSousStandard))))))))</f>
        <v/>
      </c>
      <c r="X57" s="33">
        <f>IF($G57="","",IF(OR($D57="",$E57="",$F57=""),"CONTEXTE INCOMPLET",IF(COUNTIFS($D$3:$D56,$D57,$E$3:$E56,$E57,$F$3:$F56,$F57,$G$3:$G56,$G57)&gt;0,"DOUBLON","VALIDE")))</f>
        <v/>
      </c>
    </row>
    <row r="58" ht="15" customHeight="1">
      <c r="A58" s="12">
        <f>IF(OR($B58="",$G58=""),"",TEXT($B58,"YYYYMMDD")&amp;"-"&amp;SUBSTITUTE($E58," ","")&amp;"-"&amp;$F58&amp;"-"&amp;$G58)</f>
        <v/>
      </c>
      <c r="B58" s="15" t="n"/>
      <c r="C58" s="16" t="n"/>
      <c r="D58" s="10" t="n"/>
      <c r="E58" s="9" t="n"/>
      <c r="F58" s="9" t="n"/>
      <c r="G58" s="13" t="n"/>
      <c r="H58" s="21" t="n"/>
      <c r="I58" s="21" t="n"/>
      <c r="J58" s="17">
        <f>IF($G58="","",IFERROR(INDEX(NomsEmployes,MATCH($G58,MatriculesEmployes,0)),"MATRICULE INCONNU"))</f>
        <v/>
      </c>
      <c r="K58" s="33">
        <f>IF(OR($D58="",$F58=""),"",IFERROR(IF(INDEX(RUNS!$L$6:$S$1005,MATCH($D58,RUNS!$A$6:$A$1005,0),MATCH("ACTIVITÉ "&amp;$F58,RUNS!$L$5:$S$5,0))="","",INDEX(RUNS!$L$6:$S$1005,MATCH($D58,RUNS!$A$6:$A$1005,0),MATCH("ACTIVITÉ "&amp;$F58,RUNS!$L$5:$S$5,0))),""))</f>
        <v/>
      </c>
      <c r="L58" s="33">
        <f>IF($D58="","",IFERROR(IF(INDEX(RUNS!$E$6:$E$1005,MATCH($D58,RUNS!$A$6:$A$1005,0))="","",INDEX(RUNS!$E$6:$E$1005,MATCH($D58,RUNS!$A$6:$A$1005,0))),""))</f>
        <v/>
      </c>
      <c r="M58" s="33">
        <f>IF($D58="","",IFERROR(IF(INDEX(RUNS!$F$6:$F$1005,MATCH($D58,RUNS!$A$6:$A$1005,0))="","",INDEX(RUNS!$F$6:$F$1005,MATCH($D58,RUNS!$A$6:$A$1005,0))),""))</f>
        <v/>
      </c>
      <c r="N58" s="33">
        <f>IF($D58="","",IFERROR(IF(INDEX(RUNS!$G$6:$G$1005,MATCH($D58,RUNS!$A$6:$A$1005,0))="","",INDEX(RUNS!$G$6:$G$1005,MATCH($D58,RUNS!$A$6:$A$1005,0))),""))</f>
        <v/>
      </c>
      <c r="O58" s="33">
        <f>IF($D58="","",IFERROR(IF(INDEX(RUNS!$H$6:$H$1005,MATCH($D58,RUNS!$A$6:$A$1005,0))="","",INDEX(RUNS!$H$6:$H$1005,MATCH($D58,RUNS!$A$6:$A$1005,0))),""))</f>
        <v/>
      </c>
      <c r="P58" s="33">
        <f>IF($D58="","",IFERROR(IF(INDEX(RUNS!$J$6:$J$1005,MATCH($D58,RUNS!$A$6:$A$1005,0))="","",INDEX(RUNS!$J$6:$J$1005,MATCH($D58,RUNS!$A$6:$A$1005,0))),""))</f>
        <v/>
      </c>
      <c r="Q58" s="33">
        <f>IF($D58="","",IFERROR(IF(INDEX(RUNS!$K$6:$K$1005,MATCH($D58,RUNS!$A$6:$A$1005,0))="","",INDEX(RUNS!$K$6:$K$1005,MATCH($D58,RUNS!$A$6:$A$1005,0))),""))</f>
        <v/>
      </c>
      <c r="R58" s="34">
        <f>IF(OR($L58="",$K58=""),"",IFERROR(IF(INDEX(PARAMETRES!$H$43:$H$342,MATCH($L58&amp;"|"&amp;$M58&amp;"|"&amp;$N58&amp;"|"&amp;$O58&amp;"|"&amp;$P58&amp;"|"&amp;$Q58&amp;"|"&amp;$K58,PARAMETRES!$J$43:$J$342,0))="","",INDEX(PARAMETRES!$H$43:$H$342,MATCH($L58&amp;"|"&amp;$M58&amp;"|"&amp;$N58&amp;"|"&amp;$O58&amp;"|"&amp;$P58&amp;"|"&amp;$Q58&amp;"|"&amp;$K58,PARAMETRES!$J$43:$J$342,0))),""))</f>
        <v/>
      </c>
      <c r="S58" s="35">
        <f>IF(OR($G58="",$X58&lt;&gt;"VALIDE"),"",IFERROR(LOOKUP(2,1/(($B$3:$B57=$B58)*($G$3:$G57=$G58)*($X$3:$X57="VALIDE")),$C$3:$C57),""))</f>
        <v/>
      </c>
      <c r="T58" s="36">
        <f>IF(OR($C58="",$S58=""),"",ROUND(($C58-$S58+IF($C58&lt;$S58,1,0))*1440,0))</f>
        <v/>
      </c>
      <c r="U58" s="22">
        <f>IF(OR($H58="",$T58="",$T58&lt;=0),"",$H58*60/$T58)</f>
        <v/>
      </c>
      <c r="V58" s="37">
        <f>IF(OR($U58="",$R58="",$R58=0),"",$U58/$R58)</f>
        <v/>
      </c>
      <c r="W58" s="20">
        <f>IF($G58="","",IF($X58="CONTEXTE INCOMPLET","CONTEXTE INCOMPLET",IF($X58="DOUBLON",StatutDoublon,IF($S58="",StatutInitial,IF($R58="",StatutStandardManquant,IF($V58="","DONNEES INSUFFISANTES",IF($V58&gt;=SeuilConforme,StatutConforme,IF($V58&gt;=SeuilSurveiller,StatutSurveiller,StatutSousStandard))))))))</f>
        <v/>
      </c>
      <c r="X58" s="33">
        <f>IF($G58="","",IF(OR($D58="",$E58="",$F58=""),"CONTEXTE INCOMPLET",IF(COUNTIFS($D$3:$D57,$D58,$E$3:$E57,$E58,$F$3:$F57,$F58,$G$3:$G57,$G58)&gt;0,"DOUBLON","VALIDE")))</f>
        <v/>
      </c>
    </row>
    <row r="59" ht="15" customHeight="1">
      <c r="A59" s="12">
        <f>IF(OR($B59="",$G59=""),"",TEXT($B59,"YYYYMMDD")&amp;"-"&amp;SUBSTITUTE($E59," ","")&amp;"-"&amp;$F59&amp;"-"&amp;$G59)</f>
        <v/>
      </c>
      <c r="B59" s="15" t="n"/>
      <c r="C59" s="16" t="n"/>
      <c r="D59" s="10" t="n"/>
      <c r="E59" s="9" t="n"/>
      <c r="F59" s="9" t="n"/>
      <c r="G59" s="13" t="n"/>
      <c r="H59" s="21" t="n"/>
      <c r="I59" s="21" t="n"/>
      <c r="J59" s="17">
        <f>IF($G59="","",IFERROR(INDEX(NomsEmployes,MATCH($G59,MatriculesEmployes,0)),"MATRICULE INCONNU"))</f>
        <v/>
      </c>
      <c r="K59" s="33">
        <f>IF(OR($D59="",$F59=""),"",IFERROR(IF(INDEX(RUNS!$L$6:$S$1005,MATCH($D59,RUNS!$A$6:$A$1005,0),MATCH("ACTIVITÉ "&amp;$F59,RUNS!$L$5:$S$5,0))="","",INDEX(RUNS!$L$6:$S$1005,MATCH($D59,RUNS!$A$6:$A$1005,0),MATCH("ACTIVITÉ "&amp;$F59,RUNS!$L$5:$S$5,0))),""))</f>
        <v/>
      </c>
      <c r="L59" s="33">
        <f>IF($D59="","",IFERROR(IF(INDEX(RUNS!$E$6:$E$1005,MATCH($D59,RUNS!$A$6:$A$1005,0))="","",INDEX(RUNS!$E$6:$E$1005,MATCH($D59,RUNS!$A$6:$A$1005,0))),""))</f>
        <v/>
      </c>
      <c r="M59" s="33">
        <f>IF($D59="","",IFERROR(IF(INDEX(RUNS!$F$6:$F$1005,MATCH($D59,RUNS!$A$6:$A$1005,0))="","",INDEX(RUNS!$F$6:$F$1005,MATCH($D59,RUNS!$A$6:$A$1005,0))),""))</f>
        <v/>
      </c>
      <c r="N59" s="33">
        <f>IF($D59="","",IFERROR(IF(INDEX(RUNS!$G$6:$G$1005,MATCH($D59,RUNS!$A$6:$A$1005,0))="","",INDEX(RUNS!$G$6:$G$1005,MATCH($D59,RUNS!$A$6:$A$1005,0))),""))</f>
        <v/>
      </c>
      <c r="O59" s="33">
        <f>IF($D59="","",IFERROR(IF(INDEX(RUNS!$H$6:$H$1005,MATCH($D59,RUNS!$A$6:$A$1005,0))="","",INDEX(RUNS!$H$6:$H$1005,MATCH($D59,RUNS!$A$6:$A$1005,0))),""))</f>
        <v/>
      </c>
      <c r="P59" s="33">
        <f>IF($D59="","",IFERROR(IF(INDEX(RUNS!$J$6:$J$1005,MATCH($D59,RUNS!$A$6:$A$1005,0))="","",INDEX(RUNS!$J$6:$J$1005,MATCH($D59,RUNS!$A$6:$A$1005,0))),""))</f>
        <v/>
      </c>
      <c r="Q59" s="33">
        <f>IF($D59="","",IFERROR(IF(INDEX(RUNS!$K$6:$K$1005,MATCH($D59,RUNS!$A$6:$A$1005,0))="","",INDEX(RUNS!$K$6:$K$1005,MATCH($D59,RUNS!$A$6:$A$1005,0))),""))</f>
        <v/>
      </c>
      <c r="R59" s="34">
        <f>IF(OR($L59="",$K59=""),"",IFERROR(IF(INDEX(PARAMETRES!$H$43:$H$342,MATCH($L59&amp;"|"&amp;$M59&amp;"|"&amp;$N59&amp;"|"&amp;$O59&amp;"|"&amp;$P59&amp;"|"&amp;$Q59&amp;"|"&amp;$K59,PARAMETRES!$J$43:$J$342,0))="","",INDEX(PARAMETRES!$H$43:$H$342,MATCH($L59&amp;"|"&amp;$M59&amp;"|"&amp;$N59&amp;"|"&amp;$O59&amp;"|"&amp;$P59&amp;"|"&amp;$Q59&amp;"|"&amp;$K59,PARAMETRES!$J$43:$J$342,0))),""))</f>
        <v/>
      </c>
      <c r="S59" s="35">
        <f>IF(OR($G59="",$X59&lt;&gt;"VALIDE"),"",IFERROR(LOOKUP(2,1/(($B$3:$B58=$B59)*($G$3:$G58=$G59)*($X$3:$X58="VALIDE")),$C$3:$C58),""))</f>
        <v/>
      </c>
      <c r="T59" s="36">
        <f>IF(OR($C59="",$S59=""),"",ROUND(($C59-$S59+IF($C59&lt;$S59,1,0))*1440,0))</f>
        <v/>
      </c>
      <c r="U59" s="22">
        <f>IF(OR($H59="",$T59="",$T59&lt;=0),"",$H59*60/$T59)</f>
        <v/>
      </c>
      <c r="V59" s="37">
        <f>IF(OR($U59="",$R59="",$R59=0),"",$U59/$R59)</f>
        <v/>
      </c>
      <c r="W59" s="20">
        <f>IF($G59="","",IF($X59="CONTEXTE INCOMPLET","CONTEXTE INCOMPLET",IF($X59="DOUBLON",StatutDoublon,IF($S59="",StatutInitial,IF($R59="",StatutStandardManquant,IF($V59="","DONNEES INSUFFISANTES",IF($V59&gt;=SeuilConforme,StatutConforme,IF($V59&gt;=SeuilSurveiller,StatutSurveiller,StatutSousStandard))))))))</f>
        <v/>
      </c>
      <c r="X59" s="33">
        <f>IF($G59="","",IF(OR($D59="",$E59="",$F59=""),"CONTEXTE INCOMPLET",IF(COUNTIFS($D$3:$D58,$D59,$E$3:$E58,$E59,$F$3:$F58,$F59,$G$3:$G58,$G59)&gt;0,"DOUBLON","VALIDE")))</f>
        <v/>
      </c>
    </row>
    <row r="60" ht="15" customHeight="1">
      <c r="A60" s="12">
        <f>IF(OR($B60="",$G60=""),"",TEXT($B60,"YYYYMMDD")&amp;"-"&amp;SUBSTITUTE($E60," ","")&amp;"-"&amp;$F60&amp;"-"&amp;$G60)</f>
        <v/>
      </c>
      <c r="B60" s="15" t="n"/>
      <c r="C60" s="16" t="n"/>
      <c r="D60" s="10" t="n"/>
      <c r="E60" s="9" t="n"/>
      <c r="F60" s="9" t="n"/>
      <c r="G60" s="13" t="n"/>
      <c r="H60" s="21" t="n"/>
      <c r="I60" s="21" t="n"/>
      <c r="J60" s="17">
        <f>IF($G60="","",IFERROR(INDEX(NomsEmployes,MATCH($G60,MatriculesEmployes,0)),"MATRICULE INCONNU"))</f>
        <v/>
      </c>
      <c r="K60" s="33">
        <f>IF(OR($D60="",$F60=""),"",IFERROR(IF(INDEX(RUNS!$L$6:$S$1005,MATCH($D60,RUNS!$A$6:$A$1005,0),MATCH("ACTIVITÉ "&amp;$F60,RUNS!$L$5:$S$5,0))="","",INDEX(RUNS!$L$6:$S$1005,MATCH($D60,RUNS!$A$6:$A$1005,0),MATCH("ACTIVITÉ "&amp;$F60,RUNS!$L$5:$S$5,0))),""))</f>
        <v/>
      </c>
      <c r="L60" s="33">
        <f>IF($D60="","",IFERROR(IF(INDEX(RUNS!$E$6:$E$1005,MATCH($D60,RUNS!$A$6:$A$1005,0))="","",INDEX(RUNS!$E$6:$E$1005,MATCH($D60,RUNS!$A$6:$A$1005,0))),""))</f>
        <v/>
      </c>
      <c r="M60" s="33">
        <f>IF($D60="","",IFERROR(IF(INDEX(RUNS!$F$6:$F$1005,MATCH($D60,RUNS!$A$6:$A$1005,0))="","",INDEX(RUNS!$F$6:$F$1005,MATCH($D60,RUNS!$A$6:$A$1005,0))),""))</f>
        <v/>
      </c>
      <c r="N60" s="33">
        <f>IF($D60="","",IFERROR(IF(INDEX(RUNS!$G$6:$G$1005,MATCH($D60,RUNS!$A$6:$A$1005,0))="","",INDEX(RUNS!$G$6:$G$1005,MATCH($D60,RUNS!$A$6:$A$1005,0))),""))</f>
        <v/>
      </c>
      <c r="O60" s="33">
        <f>IF($D60="","",IFERROR(IF(INDEX(RUNS!$H$6:$H$1005,MATCH($D60,RUNS!$A$6:$A$1005,0))="","",INDEX(RUNS!$H$6:$H$1005,MATCH($D60,RUNS!$A$6:$A$1005,0))),""))</f>
        <v/>
      </c>
      <c r="P60" s="33">
        <f>IF($D60="","",IFERROR(IF(INDEX(RUNS!$J$6:$J$1005,MATCH($D60,RUNS!$A$6:$A$1005,0))="","",INDEX(RUNS!$J$6:$J$1005,MATCH($D60,RUNS!$A$6:$A$1005,0))),""))</f>
        <v/>
      </c>
      <c r="Q60" s="33">
        <f>IF($D60="","",IFERROR(IF(INDEX(RUNS!$K$6:$K$1005,MATCH($D60,RUNS!$A$6:$A$1005,0))="","",INDEX(RUNS!$K$6:$K$1005,MATCH($D60,RUNS!$A$6:$A$1005,0))),""))</f>
        <v/>
      </c>
      <c r="R60" s="34">
        <f>IF(OR($L60="",$K60=""),"",IFERROR(IF(INDEX(PARAMETRES!$H$43:$H$342,MATCH($L60&amp;"|"&amp;$M60&amp;"|"&amp;$N60&amp;"|"&amp;$O60&amp;"|"&amp;$P60&amp;"|"&amp;$Q60&amp;"|"&amp;$K60,PARAMETRES!$J$43:$J$342,0))="","",INDEX(PARAMETRES!$H$43:$H$342,MATCH($L60&amp;"|"&amp;$M60&amp;"|"&amp;$N60&amp;"|"&amp;$O60&amp;"|"&amp;$P60&amp;"|"&amp;$Q60&amp;"|"&amp;$K60,PARAMETRES!$J$43:$J$342,0))),""))</f>
        <v/>
      </c>
      <c r="S60" s="35">
        <f>IF(OR($G60="",$X60&lt;&gt;"VALIDE"),"",IFERROR(LOOKUP(2,1/(($B$3:$B59=$B60)*($G$3:$G59=$G60)*($X$3:$X59="VALIDE")),$C$3:$C59),""))</f>
        <v/>
      </c>
      <c r="T60" s="36">
        <f>IF(OR($C60="",$S60=""),"",ROUND(($C60-$S60+IF($C60&lt;$S60,1,0))*1440,0))</f>
        <v/>
      </c>
      <c r="U60" s="22">
        <f>IF(OR($H60="",$T60="",$T60&lt;=0),"",$H60*60/$T60)</f>
        <v/>
      </c>
      <c r="V60" s="37">
        <f>IF(OR($U60="",$R60="",$R60=0),"",$U60/$R60)</f>
        <v/>
      </c>
      <c r="W60" s="20">
        <f>IF($G60="","",IF($X60="CONTEXTE INCOMPLET","CONTEXTE INCOMPLET",IF($X60="DOUBLON",StatutDoublon,IF($S60="",StatutInitial,IF($R60="",StatutStandardManquant,IF($V60="","DONNEES INSUFFISANTES",IF($V60&gt;=SeuilConforme,StatutConforme,IF($V60&gt;=SeuilSurveiller,StatutSurveiller,StatutSousStandard))))))))</f>
        <v/>
      </c>
      <c r="X60" s="33">
        <f>IF($G60="","",IF(OR($D60="",$E60="",$F60=""),"CONTEXTE INCOMPLET",IF(COUNTIFS($D$3:$D59,$D60,$E$3:$E59,$E60,$F$3:$F59,$F60,$G$3:$G59,$G60)&gt;0,"DOUBLON","VALIDE")))</f>
        <v/>
      </c>
    </row>
    <row r="61" ht="15" customHeight="1">
      <c r="A61" s="12">
        <f>IF(OR($B61="",$G61=""),"",TEXT($B61,"YYYYMMDD")&amp;"-"&amp;SUBSTITUTE($E61," ","")&amp;"-"&amp;$F61&amp;"-"&amp;$G61)</f>
        <v/>
      </c>
      <c r="B61" s="15" t="n"/>
      <c r="C61" s="16" t="n"/>
      <c r="D61" s="10" t="n"/>
      <c r="E61" s="9" t="n"/>
      <c r="F61" s="9" t="n"/>
      <c r="G61" s="13" t="n"/>
      <c r="H61" s="21" t="n"/>
      <c r="I61" s="21" t="n"/>
      <c r="J61" s="17">
        <f>IF($G61="","",IFERROR(INDEX(NomsEmployes,MATCH($G61,MatriculesEmployes,0)),"MATRICULE INCONNU"))</f>
        <v/>
      </c>
      <c r="K61" s="33">
        <f>IF(OR($D61="",$F61=""),"",IFERROR(IF(INDEX(RUNS!$L$6:$S$1005,MATCH($D61,RUNS!$A$6:$A$1005,0),MATCH("ACTIVITÉ "&amp;$F61,RUNS!$L$5:$S$5,0))="","",INDEX(RUNS!$L$6:$S$1005,MATCH($D61,RUNS!$A$6:$A$1005,0),MATCH("ACTIVITÉ "&amp;$F61,RUNS!$L$5:$S$5,0))),""))</f>
        <v/>
      </c>
      <c r="L61" s="33">
        <f>IF($D61="","",IFERROR(IF(INDEX(RUNS!$E$6:$E$1005,MATCH($D61,RUNS!$A$6:$A$1005,0))="","",INDEX(RUNS!$E$6:$E$1005,MATCH($D61,RUNS!$A$6:$A$1005,0))),""))</f>
        <v/>
      </c>
      <c r="M61" s="33">
        <f>IF($D61="","",IFERROR(IF(INDEX(RUNS!$F$6:$F$1005,MATCH($D61,RUNS!$A$6:$A$1005,0))="","",INDEX(RUNS!$F$6:$F$1005,MATCH($D61,RUNS!$A$6:$A$1005,0))),""))</f>
        <v/>
      </c>
      <c r="N61" s="33">
        <f>IF($D61="","",IFERROR(IF(INDEX(RUNS!$G$6:$G$1005,MATCH($D61,RUNS!$A$6:$A$1005,0))="","",INDEX(RUNS!$G$6:$G$1005,MATCH($D61,RUNS!$A$6:$A$1005,0))),""))</f>
        <v/>
      </c>
      <c r="O61" s="33">
        <f>IF($D61="","",IFERROR(IF(INDEX(RUNS!$H$6:$H$1005,MATCH($D61,RUNS!$A$6:$A$1005,0))="","",INDEX(RUNS!$H$6:$H$1005,MATCH($D61,RUNS!$A$6:$A$1005,0))),""))</f>
        <v/>
      </c>
      <c r="P61" s="33">
        <f>IF($D61="","",IFERROR(IF(INDEX(RUNS!$J$6:$J$1005,MATCH($D61,RUNS!$A$6:$A$1005,0))="","",INDEX(RUNS!$J$6:$J$1005,MATCH($D61,RUNS!$A$6:$A$1005,0))),""))</f>
        <v/>
      </c>
      <c r="Q61" s="33">
        <f>IF($D61="","",IFERROR(IF(INDEX(RUNS!$K$6:$K$1005,MATCH($D61,RUNS!$A$6:$A$1005,0))="","",INDEX(RUNS!$K$6:$K$1005,MATCH($D61,RUNS!$A$6:$A$1005,0))),""))</f>
        <v/>
      </c>
      <c r="R61" s="34">
        <f>IF(OR($L61="",$K61=""),"",IFERROR(IF(INDEX(PARAMETRES!$H$43:$H$342,MATCH($L61&amp;"|"&amp;$M61&amp;"|"&amp;$N61&amp;"|"&amp;$O61&amp;"|"&amp;$P61&amp;"|"&amp;$Q61&amp;"|"&amp;$K61,PARAMETRES!$J$43:$J$342,0))="","",INDEX(PARAMETRES!$H$43:$H$342,MATCH($L61&amp;"|"&amp;$M61&amp;"|"&amp;$N61&amp;"|"&amp;$O61&amp;"|"&amp;$P61&amp;"|"&amp;$Q61&amp;"|"&amp;$K61,PARAMETRES!$J$43:$J$342,0))),""))</f>
        <v/>
      </c>
      <c r="S61" s="35">
        <f>IF(OR($G61="",$X61&lt;&gt;"VALIDE"),"",IFERROR(LOOKUP(2,1/(($B$3:$B60=$B61)*($G$3:$G60=$G61)*($X$3:$X60="VALIDE")),$C$3:$C60),""))</f>
        <v/>
      </c>
      <c r="T61" s="36">
        <f>IF(OR($C61="",$S61=""),"",ROUND(($C61-$S61+IF($C61&lt;$S61,1,0))*1440,0))</f>
        <v/>
      </c>
      <c r="U61" s="22">
        <f>IF(OR($H61="",$T61="",$T61&lt;=0),"",$H61*60/$T61)</f>
        <v/>
      </c>
      <c r="V61" s="37">
        <f>IF(OR($U61="",$R61="",$R61=0),"",$U61/$R61)</f>
        <v/>
      </c>
      <c r="W61" s="20">
        <f>IF($G61="","",IF($X61="CONTEXTE INCOMPLET","CONTEXTE INCOMPLET",IF($X61="DOUBLON",StatutDoublon,IF($S61="",StatutInitial,IF($R61="",StatutStandardManquant,IF($V61="","DONNEES INSUFFISANTES",IF($V61&gt;=SeuilConforme,StatutConforme,IF($V61&gt;=SeuilSurveiller,StatutSurveiller,StatutSousStandard))))))))</f>
        <v/>
      </c>
      <c r="X61" s="33">
        <f>IF($G61="","",IF(OR($D61="",$E61="",$F61=""),"CONTEXTE INCOMPLET",IF(COUNTIFS($D$3:$D60,$D61,$E$3:$E60,$E61,$F$3:$F60,$F61,$G$3:$G60,$G61)&gt;0,"DOUBLON","VALIDE")))</f>
        <v/>
      </c>
    </row>
    <row r="62" ht="15" customHeight="1">
      <c r="A62" s="12">
        <f>IF(OR($B62="",$G62=""),"",TEXT($B62,"YYYYMMDD")&amp;"-"&amp;SUBSTITUTE($E62," ","")&amp;"-"&amp;$F62&amp;"-"&amp;$G62)</f>
        <v/>
      </c>
      <c r="B62" s="15" t="n"/>
      <c r="C62" s="16" t="n"/>
      <c r="D62" s="10" t="n"/>
      <c r="E62" s="9" t="n"/>
      <c r="F62" s="9" t="n"/>
      <c r="G62" s="13" t="n"/>
      <c r="H62" s="21" t="n"/>
      <c r="I62" s="21" t="n"/>
      <c r="J62" s="17">
        <f>IF($G62="","",IFERROR(INDEX(NomsEmployes,MATCH($G62,MatriculesEmployes,0)),"MATRICULE INCONNU"))</f>
        <v/>
      </c>
      <c r="K62" s="33">
        <f>IF(OR($D62="",$F62=""),"",IFERROR(IF(INDEX(RUNS!$L$6:$S$1005,MATCH($D62,RUNS!$A$6:$A$1005,0),MATCH("ACTIVITÉ "&amp;$F62,RUNS!$L$5:$S$5,0))="","",INDEX(RUNS!$L$6:$S$1005,MATCH($D62,RUNS!$A$6:$A$1005,0),MATCH("ACTIVITÉ "&amp;$F62,RUNS!$L$5:$S$5,0))),""))</f>
        <v/>
      </c>
      <c r="L62" s="33">
        <f>IF($D62="","",IFERROR(IF(INDEX(RUNS!$E$6:$E$1005,MATCH($D62,RUNS!$A$6:$A$1005,0))="","",INDEX(RUNS!$E$6:$E$1005,MATCH($D62,RUNS!$A$6:$A$1005,0))),""))</f>
        <v/>
      </c>
      <c r="M62" s="33">
        <f>IF($D62="","",IFERROR(IF(INDEX(RUNS!$F$6:$F$1005,MATCH($D62,RUNS!$A$6:$A$1005,0))="","",INDEX(RUNS!$F$6:$F$1005,MATCH($D62,RUNS!$A$6:$A$1005,0))),""))</f>
        <v/>
      </c>
      <c r="N62" s="33">
        <f>IF($D62="","",IFERROR(IF(INDEX(RUNS!$G$6:$G$1005,MATCH($D62,RUNS!$A$6:$A$1005,0))="","",INDEX(RUNS!$G$6:$G$1005,MATCH($D62,RUNS!$A$6:$A$1005,0))),""))</f>
        <v/>
      </c>
      <c r="O62" s="33">
        <f>IF($D62="","",IFERROR(IF(INDEX(RUNS!$H$6:$H$1005,MATCH($D62,RUNS!$A$6:$A$1005,0))="","",INDEX(RUNS!$H$6:$H$1005,MATCH($D62,RUNS!$A$6:$A$1005,0))),""))</f>
        <v/>
      </c>
      <c r="P62" s="33">
        <f>IF($D62="","",IFERROR(IF(INDEX(RUNS!$J$6:$J$1005,MATCH($D62,RUNS!$A$6:$A$1005,0))="","",INDEX(RUNS!$J$6:$J$1005,MATCH($D62,RUNS!$A$6:$A$1005,0))),""))</f>
        <v/>
      </c>
      <c r="Q62" s="33">
        <f>IF($D62="","",IFERROR(IF(INDEX(RUNS!$K$6:$K$1005,MATCH($D62,RUNS!$A$6:$A$1005,0))="","",INDEX(RUNS!$K$6:$K$1005,MATCH($D62,RUNS!$A$6:$A$1005,0))),""))</f>
        <v/>
      </c>
      <c r="R62" s="34">
        <f>IF(OR($L62="",$K62=""),"",IFERROR(IF(INDEX(PARAMETRES!$H$43:$H$342,MATCH($L62&amp;"|"&amp;$M62&amp;"|"&amp;$N62&amp;"|"&amp;$O62&amp;"|"&amp;$P62&amp;"|"&amp;$Q62&amp;"|"&amp;$K62,PARAMETRES!$J$43:$J$342,0))="","",INDEX(PARAMETRES!$H$43:$H$342,MATCH($L62&amp;"|"&amp;$M62&amp;"|"&amp;$N62&amp;"|"&amp;$O62&amp;"|"&amp;$P62&amp;"|"&amp;$Q62&amp;"|"&amp;$K62,PARAMETRES!$J$43:$J$342,0))),""))</f>
        <v/>
      </c>
      <c r="S62" s="35">
        <f>IF(OR($G62="",$X62&lt;&gt;"VALIDE"),"",IFERROR(LOOKUP(2,1/(($B$3:$B61=$B62)*($G$3:$G61=$G62)*($X$3:$X61="VALIDE")),$C$3:$C61),""))</f>
        <v/>
      </c>
      <c r="T62" s="36">
        <f>IF(OR($C62="",$S62=""),"",ROUND(($C62-$S62+IF($C62&lt;$S62,1,0))*1440,0))</f>
        <v/>
      </c>
      <c r="U62" s="22">
        <f>IF(OR($H62="",$T62="",$T62&lt;=0),"",$H62*60/$T62)</f>
        <v/>
      </c>
      <c r="V62" s="37">
        <f>IF(OR($U62="",$R62="",$R62=0),"",$U62/$R62)</f>
        <v/>
      </c>
      <c r="W62" s="20">
        <f>IF($G62="","",IF($X62="CONTEXTE INCOMPLET","CONTEXTE INCOMPLET",IF($X62="DOUBLON",StatutDoublon,IF($S62="",StatutInitial,IF($R62="",StatutStandardManquant,IF($V62="","DONNEES INSUFFISANTES",IF($V62&gt;=SeuilConforme,StatutConforme,IF($V62&gt;=SeuilSurveiller,StatutSurveiller,StatutSousStandard))))))))</f>
        <v/>
      </c>
      <c r="X62" s="33">
        <f>IF($G62="","",IF(OR($D62="",$E62="",$F62=""),"CONTEXTE INCOMPLET",IF(COUNTIFS($D$3:$D61,$D62,$E$3:$E61,$E62,$F$3:$F61,$F62,$G$3:$G61,$G62)&gt;0,"DOUBLON","VALIDE")))</f>
        <v/>
      </c>
    </row>
    <row r="63" ht="15" customHeight="1">
      <c r="A63" s="12">
        <f>IF(OR($B63="",$G63=""),"",TEXT($B63,"YYYYMMDD")&amp;"-"&amp;SUBSTITUTE($E63," ","")&amp;"-"&amp;$F63&amp;"-"&amp;$G63)</f>
        <v/>
      </c>
      <c r="B63" s="15" t="n"/>
      <c r="C63" s="16" t="n"/>
      <c r="D63" s="10" t="n"/>
      <c r="E63" s="9" t="n"/>
      <c r="F63" s="9" t="n"/>
      <c r="G63" s="13" t="n"/>
      <c r="H63" s="21" t="n"/>
      <c r="I63" s="21" t="n"/>
      <c r="J63" s="17">
        <f>IF($G63="","",IFERROR(INDEX(NomsEmployes,MATCH($G63,MatriculesEmployes,0)),"MATRICULE INCONNU"))</f>
        <v/>
      </c>
      <c r="K63" s="33">
        <f>IF(OR($D63="",$F63=""),"",IFERROR(IF(INDEX(RUNS!$L$6:$S$1005,MATCH($D63,RUNS!$A$6:$A$1005,0),MATCH("ACTIVITÉ "&amp;$F63,RUNS!$L$5:$S$5,0))="","",INDEX(RUNS!$L$6:$S$1005,MATCH($D63,RUNS!$A$6:$A$1005,0),MATCH("ACTIVITÉ "&amp;$F63,RUNS!$L$5:$S$5,0))),""))</f>
        <v/>
      </c>
      <c r="L63" s="33">
        <f>IF($D63="","",IFERROR(IF(INDEX(RUNS!$E$6:$E$1005,MATCH($D63,RUNS!$A$6:$A$1005,0))="","",INDEX(RUNS!$E$6:$E$1005,MATCH($D63,RUNS!$A$6:$A$1005,0))),""))</f>
        <v/>
      </c>
      <c r="M63" s="33">
        <f>IF($D63="","",IFERROR(IF(INDEX(RUNS!$F$6:$F$1005,MATCH($D63,RUNS!$A$6:$A$1005,0))="","",INDEX(RUNS!$F$6:$F$1005,MATCH($D63,RUNS!$A$6:$A$1005,0))),""))</f>
        <v/>
      </c>
      <c r="N63" s="33">
        <f>IF($D63="","",IFERROR(IF(INDEX(RUNS!$G$6:$G$1005,MATCH($D63,RUNS!$A$6:$A$1005,0))="","",INDEX(RUNS!$G$6:$G$1005,MATCH($D63,RUNS!$A$6:$A$1005,0))),""))</f>
        <v/>
      </c>
      <c r="O63" s="33">
        <f>IF($D63="","",IFERROR(IF(INDEX(RUNS!$H$6:$H$1005,MATCH($D63,RUNS!$A$6:$A$1005,0))="","",INDEX(RUNS!$H$6:$H$1005,MATCH($D63,RUNS!$A$6:$A$1005,0))),""))</f>
        <v/>
      </c>
      <c r="P63" s="33">
        <f>IF($D63="","",IFERROR(IF(INDEX(RUNS!$J$6:$J$1005,MATCH($D63,RUNS!$A$6:$A$1005,0))="","",INDEX(RUNS!$J$6:$J$1005,MATCH($D63,RUNS!$A$6:$A$1005,0))),""))</f>
        <v/>
      </c>
      <c r="Q63" s="33">
        <f>IF($D63="","",IFERROR(IF(INDEX(RUNS!$K$6:$K$1005,MATCH($D63,RUNS!$A$6:$A$1005,0))="","",INDEX(RUNS!$K$6:$K$1005,MATCH($D63,RUNS!$A$6:$A$1005,0))),""))</f>
        <v/>
      </c>
      <c r="R63" s="34">
        <f>IF(OR($L63="",$K63=""),"",IFERROR(IF(INDEX(PARAMETRES!$H$43:$H$342,MATCH($L63&amp;"|"&amp;$M63&amp;"|"&amp;$N63&amp;"|"&amp;$O63&amp;"|"&amp;$P63&amp;"|"&amp;$Q63&amp;"|"&amp;$K63,PARAMETRES!$J$43:$J$342,0))="","",INDEX(PARAMETRES!$H$43:$H$342,MATCH($L63&amp;"|"&amp;$M63&amp;"|"&amp;$N63&amp;"|"&amp;$O63&amp;"|"&amp;$P63&amp;"|"&amp;$Q63&amp;"|"&amp;$K63,PARAMETRES!$J$43:$J$342,0))),""))</f>
        <v/>
      </c>
      <c r="S63" s="35">
        <f>IF(OR($G63="",$X63&lt;&gt;"VALIDE"),"",IFERROR(LOOKUP(2,1/(($B$3:$B62=$B63)*($G$3:$G62=$G63)*($X$3:$X62="VALIDE")),$C$3:$C62),""))</f>
        <v/>
      </c>
      <c r="T63" s="36">
        <f>IF(OR($C63="",$S63=""),"",ROUND(($C63-$S63+IF($C63&lt;$S63,1,0))*1440,0))</f>
        <v/>
      </c>
      <c r="U63" s="22">
        <f>IF(OR($H63="",$T63="",$T63&lt;=0),"",$H63*60/$T63)</f>
        <v/>
      </c>
      <c r="V63" s="37">
        <f>IF(OR($U63="",$R63="",$R63=0),"",$U63/$R63)</f>
        <v/>
      </c>
      <c r="W63" s="20">
        <f>IF($G63="","",IF($X63="CONTEXTE INCOMPLET","CONTEXTE INCOMPLET",IF($X63="DOUBLON",StatutDoublon,IF($S63="",StatutInitial,IF($R63="",StatutStandardManquant,IF($V63="","DONNEES INSUFFISANTES",IF($V63&gt;=SeuilConforme,StatutConforme,IF($V63&gt;=SeuilSurveiller,StatutSurveiller,StatutSousStandard))))))))</f>
        <v/>
      </c>
      <c r="X63" s="33">
        <f>IF($G63="","",IF(OR($D63="",$E63="",$F63=""),"CONTEXTE INCOMPLET",IF(COUNTIFS($D$3:$D62,$D63,$E$3:$E62,$E63,$F$3:$F62,$F63,$G$3:$G62,$G63)&gt;0,"DOUBLON","VALIDE")))</f>
        <v/>
      </c>
    </row>
    <row r="64" ht="15" customHeight="1">
      <c r="A64" s="12">
        <f>IF(OR($B64="",$G64=""),"",TEXT($B64,"YYYYMMDD")&amp;"-"&amp;SUBSTITUTE($E64," ","")&amp;"-"&amp;$F64&amp;"-"&amp;$G64)</f>
        <v/>
      </c>
      <c r="B64" s="15" t="n"/>
      <c r="C64" s="16" t="n"/>
      <c r="D64" s="10" t="n"/>
      <c r="E64" s="9" t="n"/>
      <c r="F64" s="9" t="n"/>
      <c r="G64" s="13" t="n"/>
      <c r="H64" s="21" t="n"/>
      <c r="I64" s="21" t="n"/>
      <c r="J64" s="17">
        <f>IF($G64="","",IFERROR(INDEX(NomsEmployes,MATCH($G64,MatriculesEmployes,0)),"MATRICULE INCONNU"))</f>
        <v/>
      </c>
      <c r="K64" s="33">
        <f>IF(OR($D64="",$F64=""),"",IFERROR(IF(INDEX(RUNS!$L$6:$S$1005,MATCH($D64,RUNS!$A$6:$A$1005,0),MATCH("ACTIVITÉ "&amp;$F64,RUNS!$L$5:$S$5,0))="","",INDEX(RUNS!$L$6:$S$1005,MATCH($D64,RUNS!$A$6:$A$1005,0),MATCH("ACTIVITÉ "&amp;$F64,RUNS!$L$5:$S$5,0))),""))</f>
        <v/>
      </c>
      <c r="L64" s="33">
        <f>IF($D64="","",IFERROR(IF(INDEX(RUNS!$E$6:$E$1005,MATCH($D64,RUNS!$A$6:$A$1005,0))="","",INDEX(RUNS!$E$6:$E$1005,MATCH($D64,RUNS!$A$6:$A$1005,0))),""))</f>
        <v/>
      </c>
      <c r="M64" s="33">
        <f>IF($D64="","",IFERROR(IF(INDEX(RUNS!$F$6:$F$1005,MATCH($D64,RUNS!$A$6:$A$1005,0))="","",INDEX(RUNS!$F$6:$F$1005,MATCH($D64,RUNS!$A$6:$A$1005,0))),""))</f>
        <v/>
      </c>
      <c r="N64" s="33">
        <f>IF($D64="","",IFERROR(IF(INDEX(RUNS!$G$6:$G$1005,MATCH($D64,RUNS!$A$6:$A$1005,0))="","",INDEX(RUNS!$G$6:$G$1005,MATCH($D64,RUNS!$A$6:$A$1005,0))),""))</f>
        <v/>
      </c>
      <c r="O64" s="33">
        <f>IF($D64="","",IFERROR(IF(INDEX(RUNS!$H$6:$H$1005,MATCH($D64,RUNS!$A$6:$A$1005,0))="","",INDEX(RUNS!$H$6:$H$1005,MATCH($D64,RUNS!$A$6:$A$1005,0))),""))</f>
        <v/>
      </c>
      <c r="P64" s="33">
        <f>IF($D64="","",IFERROR(IF(INDEX(RUNS!$J$6:$J$1005,MATCH($D64,RUNS!$A$6:$A$1005,0))="","",INDEX(RUNS!$J$6:$J$1005,MATCH($D64,RUNS!$A$6:$A$1005,0))),""))</f>
        <v/>
      </c>
      <c r="Q64" s="33">
        <f>IF($D64="","",IFERROR(IF(INDEX(RUNS!$K$6:$K$1005,MATCH($D64,RUNS!$A$6:$A$1005,0))="","",INDEX(RUNS!$K$6:$K$1005,MATCH($D64,RUNS!$A$6:$A$1005,0))),""))</f>
        <v/>
      </c>
      <c r="R64" s="34">
        <f>IF(OR($L64="",$K64=""),"",IFERROR(IF(INDEX(PARAMETRES!$H$43:$H$342,MATCH($L64&amp;"|"&amp;$M64&amp;"|"&amp;$N64&amp;"|"&amp;$O64&amp;"|"&amp;$P64&amp;"|"&amp;$Q64&amp;"|"&amp;$K64,PARAMETRES!$J$43:$J$342,0))="","",INDEX(PARAMETRES!$H$43:$H$342,MATCH($L64&amp;"|"&amp;$M64&amp;"|"&amp;$N64&amp;"|"&amp;$O64&amp;"|"&amp;$P64&amp;"|"&amp;$Q64&amp;"|"&amp;$K64,PARAMETRES!$J$43:$J$342,0))),""))</f>
        <v/>
      </c>
      <c r="S64" s="35">
        <f>IF(OR($G64="",$X64&lt;&gt;"VALIDE"),"",IFERROR(LOOKUP(2,1/(($B$3:$B63=$B64)*($G$3:$G63=$G64)*($X$3:$X63="VALIDE")),$C$3:$C63),""))</f>
        <v/>
      </c>
      <c r="T64" s="36">
        <f>IF(OR($C64="",$S64=""),"",ROUND(($C64-$S64+IF($C64&lt;$S64,1,0))*1440,0))</f>
        <v/>
      </c>
      <c r="U64" s="22">
        <f>IF(OR($H64="",$T64="",$T64&lt;=0),"",$H64*60/$T64)</f>
        <v/>
      </c>
      <c r="V64" s="37">
        <f>IF(OR($U64="",$R64="",$R64=0),"",$U64/$R64)</f>
        <v/>
      </c>
      <c r="W64" s="20">
        <f>IF($G64="","",IF($X64="CONTEXTE INCOMPLET","CONTEXTE INCOMPLET",IF($X64="DOUBLON",StatutDoublon,IF($S64="",StatutInitial,IF($R64="",StatutStandardManquant,IF($V64="","DONNEES INSUFFISANTES",IF($V64&gt;=SeuilConforme,StatutConforme,IF($V64&gt;=SeuilSurveiller,StatutSurveiller,StatutSousStandard))))))))</f>
        <v/>
      </c>
      <c r="X64" s="33">
        <f>IF($G64="","",IF(OR($D64="",$E64="",$F64=""),"CONTEXTE INCOMPLET",IF(COUNTIFS($D$3:$D63,$D64,$E$3:$E63,$E64,$F$3:$F63,$F64,$G$3:$G63,$G64)&gt;0,"DOUBLON","VALIDE")))</f>
        <v/>
      </c>
    </row>
    <row r="65" ht="15" customHeight="1">
      <c r="A65" s="12">
        <f>IF(OR($B65="",$G65=""),"",TEXT($B65,"YYYYMMDD")&amp;"-"&amp;SUBSTITUTE($E65," ","")&amp;"-"&amp;$F65&amp;"-"&amp;$G65)</f>
        <v/>
      </c>
      <c r="B65" s="15" t="n"/>
      <c r="C65" s="16" t="n"/>
      <c r="D65" s="10" t="n"/>
      <c r="E65" s="9" t="n"/>
      <c r="F65" s="9" t="n"/>
      <c r="G65" s="13" t="n"/>
      <c r="H65" s="21" t="n"/>
      <c r="I65" s="21" t="n"/>
      <c r="J65" s="17">
        <f>IF($G65="","",IFERROR(INDEX(NomsEmployes,MATCH($G65,MatriculesEmployes,0)),"MATRICULE INCONNU"))</f>
        <v/>
      </c>
      <c r="K65" s="33">
        <f>IF(OR($D65="",$F65=""),"",IFERROR(IF(INDEX(RUNS!$L$6:$S$1005,MATCH($D65,RUNS!$A$6:$A$1005,0),MATCH("ACTIVITÉ "&amp;$F65,RUNS!$L$5:$S$5,0))="","",INDEX(RUNS!$L$6:$S$1005,MATCH($D65,RUNS!$A$6:$A$1005,0),MATCH("ACTIVITÉ "&amp;$F65,RUNS!$L$5:$S$5,0))),""))</f>
        <v/>
      </c>
      <c r="L65" s="33">
        <f>IF($D65="","",IFERROR(IF(INDEX(RUNS!$E$6:$E$1005,MATCH($D65,RUNS!$A$6:$A$1005,0))="","",INDEX(RUNS!$E$6:$E$1005,MATCH($D65,RUNS!$A$6:$A$1005,0))),""))</f>
        <v/>
      </c>
      <c r="M65" s="33">
        <f>IF($D65="","",IFERROR(IF(INDEX(RUNS!$F$6:$F$1005,MATCH($D65,RUNS!$A$6:$A$1005,0))="","",INDEX(RUNS!$F$6:$F$1005,MATCH($D65,RUNS!$A$6:$A$1005,0))),""))</f>
        <v/>
      </c>
      <c r="N65" s="33">
        <f>IF($D65="","",IFERROR(IF(INDEX(RUNS!$G$6:$G$1005,MATCH($D65,RUNS!$A$6:$A$1005,0))="","",INDEX(RUNS!$G$6:$G$1005,MATCH($D65,RUNS!$A$6:$A$1005,0))),""))</f>
        <v/>
      </c>
      <c r="O65" s="33">
        <f>IF($D65="","",IFERROR(IF(INDEX(RUNS!$H$6:$H$1005,MATCH($D65,RUNS!$A$6:$A$1005,0))="","",INDEX(RUNS!$H$6:$H$1005,MATCH($D65,RUNS!$A$6:$A$1005,0))),""))</f>
        <v/>
      </c>
      <c r="P65" s="33">
        <f>IF($D65="","",IFERROR(IF(INDEX(RUNS!$J$6:$J$1005,MATCH($D65,RUNS!$A$6:$A$1005,0))="","",INDEX(RUNS!$J$6:$J$1005,MATCH($D65,RUNS!$A$6:$A$1005,0))),""))</f>
        <v/>
      </c>
      <c r="Q65" s="33">
        <f>IF($D65="","",IFERROR(IF(INDEX(RUNS!$K$6:$K$1005,MATCH($D65,RUNS!$A$6:$A$1005,0))="","",INDEX(RUNS!$K$6:$K$1005,MATCH($D65,RUNS!$A$6:$A$1005,0))),""))</f>
        <v/>
      </c>
      <c r="R65" s="34">
        <f>IF(OR($L65="",$K65=""),"",IFERROR(IF(INDEX(PARAMETRES!$H$43:$H$342,MATCH($L65&amp;"|"&amp;$M65&amp;"|"&amp;$N65&amp;"|"&amp;$O65&amp;"|"&amp;$P65&amp;"|"&amp;$Q65&amp;"|"&amp;$K65,PARAMETRES!$J$43:$J$342,0))="","",INDEX(PARAMETRES!$H$43:$H$342,MATCH($L65&amp;"|"&amp;$M65&amp;"|"&amp;$N65&amp;"|"&amp;$O65&amp;"|"&amp;$P65&amp;"|"&amp;$Q65&amp;"|"&amp;$K65,PARAMETRES!$J$43:$J$342,0))),""))</f>
        <v/>
      </c>
      <c r="S65" s="35">
        <f>IF(OR($G65="",$X65&lt;&gt;"VALIDE"),"",IFERROR(LOOKUP(2,1/(($B$3:$B64=$B65)*($G$3:$G64=$G65)*($X$3:$X64="VALIDE")),$C$3:$C64),""))</f>
        <v/>
      </c>
      <c r="T65" s="36">
        <f>IF(OR($C65="",$S65=""),"",ROUND(($C65-$S65+IF($C65&lt;$S65,1,0))*1440,0))</f>
        <v/>
      </c>
      <c r="U65" s="22">
        <f>IF(OR($H65="",$T65="",$T65&lt;=0),"",$H65*60/$T65)</f>
        <v/>
      </c>
      <c r="V65" s="37">
        <f>IF(OR($U65="",$R65="",$R65=0),"",$U65/$R65)</f>
        <v/>
      </c>
      <c r="W65" s="20">
        <f>IF($G65="","",IF($X65="CONTEXTE INCOMPLET","CONTEXTE INCOMPLET",IF($X65="DOUBLON",StatutDoublon,IF($S65="",StatutInitial,IF($R65="",StatutStandardManquant,IF($V65="","DONNEES INSUFFISANTES",IF($V65&gt;=SeuilConforme,StatutConforme,IF($V65&gt;=SeuilSurveiller,StatutSurveiller,StatutSousStandard))))))))</f>
        <v/>
      </c>
      <c r="X65" s="33">
        <f>IF($G65="","",IF(OR($D65="",$E65="",$F65=""),"CONTEXTE INCOMPLET",IF(COUNTIFS($D$3:$D64,$D65,$E$3:$E64,$E65,$F$3:$F64,$F65,$G$3:$G64,$G65)&gt;0,"DOUBLON","VALIDE")))</f>
        <v/>
      </c>
    </row>
    <row r="66" ht="15" customHeight="1">
      <c r="A66" s="12">
        <f>IF(OR($B66="",$G66=""),"",TEXT($B66,"YYYYMMDD")&amp;"-"&amp;SUBSTITUTE($E66," ","")&amp;"-"&amp;$F66&amp;"-"&amp;$G66)</f>
        <v/>
      </c>
      <c r="B66" s="15" t="n"/>
      <c r="C66" s="16" t="n"/>
      <c r="D66" s="10" t="n"/>
      <c r="E66" s="9" t="n"/>
      <c r="F66" s="9" t="n"/>
      <c r="G66" s="13" t="n"/>
      <c r="H66" s="21" t="n"/>
      <c r="I66" s="21" t="n"/>
      <c r="J66" s="17">
        <f>IF($G66="","",IFERROR(INDEX(NomsEmployes,MATCH($G66,MatriculesEmployes,0)),"MATRICULE INCONNU"))</f>
        <v/>
      </c>
      <c r="K66" s="33">
        <f>IF(OR($D66="",$F66=""),"",IFERROR(IF(INDEX(RUNS!$L$6:$S$1005,MATCH($D66,RUNS!$A$6:$A$1005,0),MATCH("ACTIVITÉ "&amp;$F66,RUNS!$L$5:$S$5,0))="","",INDEX(RUNS!$L$6:$S$1005,MATCH($D66,RUNS!$A$6:$A$1005,0),MATCH("ACTIVITÉ "&amp;$F66,RUNS!$L$5:$S$5,0))),""))</f>
        <v/>
      </c>
      <c r="L66" s="33">
        <f>IF($D66="","",IFERROR(IF(INDEX(RUNS!$E$6:$E$1005,MATCH($D66,RUNS!$A$6:$A$1005,0))="","",INDEX(RUNS!$E$6:$E$1005,MATCH($D66,RUNS!$A$6:$A$1005,0))),""))</f>
        <v/>
      </c>
      <c r="M66" s="33">
        <f>IF($D66="","",IFERROR(IF(INDEX(RUNS!$F$6:$F$1005,MATCH($D66,RUNS!$A$6:$A$1005,0))="","",INDEX(RUNS!$F$6:$F$1005,MATCH($D66,RUNS!$A$6:$A$1005,0))),""))</f>
        <v/>
      </c>
      <c r="N66" s="33">
        <f>IF($D66="","",IFERROR(IF(INDEX(RUNS!$G$6:$G$1005,MATCH($D66,RUNS!$A$6:$A$1005,0))="","",INDEX(RUNS!$G$6:$G$1005,MATCH($D66,RUNS!$A$6:$A$1005,0))),""))</f>
        <v/>
      </c>
      <c r="O66" s="33">
        <f>IF($D66="","",IFERROR(IF(INDEX(RUNS!$H$6:$H$1005,MATCH($D66,RUNS!$A$6:$A$1005,0))="","",INDEX(RUNS!$H$6:$H$1005,MATCH($D66,RUNS!$A$6:$A$1005,0))),""))</f>
        <v/>
      </c>
      <c r="P66" s="33">
        <f>IF($D66="","",IFERROR(IF(INDEX(RUNS!$J$6:$J$1005,MATCH($D66,RUNS!$A$6:$A$1005,0))="","",INDEX(RUNS!$J$6:$J$1005,MATCH($D66,RUNS!$A$6:$A$1005,0))),""))</f>
        <v/>
      </c>
      <c r="Q66" s="33">
        <f>IF($D66="","",IFERROR(IF(INDEX(RUNS!$K$6:$K$1005,MATCH($D66,RUNS!$A$6:$A$1005,0))="","",INDEX(RUNS!$K$6:$K$1005,MATCH($D66,RUNS!$A$6:$A$1005,0))),""))</f>
        <v/>
      </c>
      <c r="R66" s="34">
        <f>IF(OR($L66="",$K66=""),"",IFERROR(IF(INDEX(PARAMETRES!$H$43:$H$342,MATCH($L66&amp;"|"&amp;$M66&amp;"|"&amp;$N66&amp;"|"&amp;$O66&amp;"|"&amp;$P66&amp;"|"&amp;$Q66&amp;"|"&amp;$K66,PARAMETRES!$J$43:$J$342,0))="","",INDEX(PARAMETRES!$H$43:$H$342,MATCH($L66&amp;"|"&amp;$M66&amp;"|"&amp;$N66&amp;"|"&amp;$O66&amp;"|"&amp;$P66&amp;"|"&amp;$Q66&amp;"|"&amp;$K66,PARAMETRES!$J$43:$J$342,0))),""))</f>
        <v/>
      </c>
      <c r="S66" s="35">
        <f>IF(OR($G66="",$X66&lt;&gt;"VALIDE"),"",IFERROR(LOOKUP(2,1/(($B$3:$B65=$B66)*($G$3:$G65=$G66)*($X$3:$X65="VALIDE")),$C$3:$C65),""))</f>
        <v/>
      </c>
      <c r="T66" s="36">
        <f>IF(OR($C66="",$S66=""),"",ROUND(($C66-$S66+IF($C66&lt;$S66,1,0))*1440,0))</f>
        <v/>
      </c>
      <c r="U66" s="22">
        <f>IF(OR($H66="",$T66="",$T66&lt;=0),"",$H66*60/$T66)</f>
        <v/>
      </c>
      <c r="V66" s="37">
        <f>IF(OR($U66="",$R66="",$R66=0),"",$U66/$R66)</f>
        <v/>
      </c>
      <c r="W66" s="20">
        <f>IF($G66="","",IF($X66="CONTEXTE INCOMPLET","CONTEXTE INCOMPLET",IF($X66="DOUBLON",StatutDoublon,IF($S66="",StatutInitial,IF($R66="",StatutStandardManquant,IF($V66="","DONNEES INSUFFISANTES",IF($V66&gt;=SeuilConforme,StatutConforme,IF($V66&gt;=SeuilSurveiller,StatutSurveiller,StatutSousStandard))))))))</f>
        <v/>
      </c>
      <c r="X66" s="33">
        <f>IF($G66="","",IF(OR($D66="",$E66="",$F66=""),"CONTEXTE INCOMPLET",IF(COUNTIFS($D$3:$D65,$D66,$E$3:$E65,$E66,$F$3:$F65,$F66,$G$3:$G65,$G66)&gt;0,"DOUBLON","VALIDE")))</f>
        <v/>
      </c>
    </row>
    <row r="67" ht="15" customHeight="1">
      <c r="A67" s="12">
        <f>IF(OR($B67="",$G67=""),"",TEXT($B67,"YYYYMMDD")&amp;"-"&amp;SUBSTITUTE($E67," ","")&amp;"-"&amp;$F67&amp;"-"&amp;$G67)</f>
        <v/>
      </c>
      <c r="B67" s="15" t="n"/>
      <c r="C67" s="16" t="n"/>
      <c r="D67" s="10" t="n"/>
      <c r="E67" s="9" t="n"/>
      <c r="F67" s="9" t="n"/>
      <c r="G67" s="13" t="n"/>
      <c r="H67" s="21" t="n"/>
      <c r="I67" s="21" t="n"/>
      <c r="J67" s="17">
        <f>IF($G67="","",IFERROR(INDEX(NomsEmployes,MATCH($G67,MatriculesEmployes,0)),"MATRICULE INCONNU"))</f>
        <v/>
      </c>
      <c r="K67" s="33">
        <f>IF(OR($D67="",$F67=""),"",IFERROR(IF(INDEX(RUNS!$L$6:$S$1005,MATCH($D67,RUNS!$A$6:$A$1005,0),MATCH("ACTIVITÉ "&amp;$F67,RUNS!$L$5:$S$5,0))="","",INDEX(RUNS!$L$6:$S$1005,MATCH($D67,RUNS!$A$6:$A$1005,0),MATCH("ACTIVITÉ "&amp;$F67,RUNS!$L$5:$S$5,0))),""))</f>
        <v/>
      </c>
      <c r="L67" s="33">
        <f>IF($D67="","",IFERROR(IF(INDEX(RUNS!$E$6:$E$1005,MATCH($D67,RUNS!$A$6:$A$1005,0))="","",INDEX(RUNS!$E$6:$E$1005,MATCH($D67,RUNS!$A$6:$A$1005,0))),""))</f>
        <v/>
      </c>
      <c r="M67" s="33">
        <f>IF($D67="","",IFERROR(IF(INDEX(RUNS!$F$6:$F$1005,MATCH($D67,RUNS!$A$6:$A$1005,0))="","",INDEX(RUNS!$F$6:$F$1005,MATCH($D67,RUNS!$A$6:$A$1005,0))),""))</f>
        <v/>
      </c>
      <c r="N67" s="33">
        <f>IF($D67="","",IFERROR(IF(INDEX(RUNS!$G$6:$G$1005,MATCH($D67,RUNS!$A$6:$A$1005,0))="","",INDEX(RUNS!$G$6:$G$1005,MATCH($D67,RUNS!$A$6:$A$1005,0))),""))</f>
        <v/>
      </c>
      <c r="O67" s="33">
        <f>IF($D67="","",IFERROR(IF(INDEX(RUNS!$H$6:$H$1005,MATCH($D67,RUNS!$A$6:$A$1005,0))="","",INDEX(RUNS!$H$6:$H$1005,MATCH($D67,RUNS!$A$6:$A$1005,0))),""))</f>
        <v/>
      </c>
      <c r="P67" s="33">
        <f>IF($D67="","",IFERROR(IF(INDEX(RUNS!$J$6:$J$1005,MATCH($D67,RUNS!$A$6:$A$1005,0))="","",INDEX(RUNS!$J$6:$J$1005,MATCH($D67,RUNS!$A$6:$A$1005,0))),""))</f>
        <v/>
      </c>
      <c r="Q67" s="33">
        <f>IF($D67="","",IFERROR(IF(INDEX(RUNS!$K$6:$K$1005,MATCH($D67,RUNS!$A$6:$A$1005,0))="","",INDEX(RUNS!$K$6:$K$1005,MATCH($D67,RUNS!$A$6:$A$1005,0))),""))</f>
        <v/>
      </c>
      <c r="R67" s="34">
        <f>IF(OR($L67="",$K67=""),"",IFERROR(IF(INDEX(PARAMETRES!$H$43:$H$342,MATCH($L67&amp;"|"&amp;$M67&amp;"|"&amp;$N67&amp;"|"&amp;$O67&amp;"|"&amp;$P67&amp;"|"&amp;$Q67&amp;"|"&amp;$K67,PARAMETRES!$J$43:$J$342,0))="","",INDEX(PARAMETRES!$H$43:$H$342,MATCH($L67&amp;"|"&amp;$M67&amp;"|"&amp;$N67&amp;"|"&amp;$O67&amp;"|"&amp;$P67&amp;"|"&amp;$Q67&amp;"|"&amp;$K67,PARAMETRES!$J$43:$J$342,0))),""))</f>
        <v/>
      </c>
      <c r="S67" s="35">
        <f>IF(OR($G67="",$X67&lt;&gt;"VALIDE"),"",IFERROR(LOOKUP(2,1/(($B$3:$B66=$B67)*($G$3:$G66=$G67)*($X$3:$X66="VALIDE")),$C$3:$C66),""))</f>
        <v/>
      </c>
      <c r="T67" s="36">
        <f>IF(OR($C67="",$S67=""),"",ROUND(($C67-$S67+IF($C67&lt;$S67,1,0))*1440,0))</f>
        <v/>
      </c>
      <c r="U67" s="22">
        <f>IF(OR($H67="",$T67="",$T67&lt;=0),"",$H67*60/$T67)</f>
        <v/>
      </c>
      <c r="V67" s="37">
        <f>IF(OR($U67="",$R67="",$R67=0),"",$U67/$R67)</f>
        <v/>
      </c>
      <c r="W67" s="20">
        <f>IF($G67="","",IF($X67="CONTEXTE INCOMPLET","CONTEXTE INCOMPLET",IF($X67="DOUBLON",StatutDoublon,IF($S67="",StatutInitial,IF($R67="",StatutStandardManquant,IF($V67="","DONNEES INSUFFISANTES",IF($V67&gt;=SeuilConforme,StatutConforme,IF($V67&gt;=SeuilSurveiller,StatutSurveiller,StatutSousStandard))))))))</f>
        <v/>
      </c>
      <c r="X67" s="33">
        <f>IF($G67="","",IF(OR($D67="",$E67="",$F67=""),"CONTEXTE INCOMPLET",IF(COUNTIFS($D$3:$D66,$D67,$E$3:$E66,$E67,$F$3:$F66,$F67,$G$3:$G66,$G67)&gt;0,"DOUBLON","VALIDE")))</f>
        <v/>
      </c>
    </row>
    <row r="68" ht="15" customHeight="1">
      <c r="A68" s="12">
        <f>IF(OR($B68="",$G68=""),"",TEXT($B68,"YYYYMMDD")&amp;"-"&amp;SUBSTITUTE($E68," ","")&amp;"-"&amp;$F68&amp;"-"&amp;$G68)</f>
        <v/>
      </c>
      <c r="B68" s="15" t="n"/>
      <c r="C68" s="16" t="n"/>
      <c r="D68" s="10" t="n"/>
      <c r="E68" s="9" t="n"/>
      <c r="F68" s="9" t="n"/>
      <c r="G68" s="13" t="n"/>
      <c r="H68" s="21" t="n"/>
      <c r="I68" s="21" t="n"/>
      <c r="J68" s="17">
        <f>IF($G68="","",IFERROR(INDEX(NomsEmployes,MATCH($G68,MatriculesEmployes,0)),"MATRICULE INCONNU"))</f>
        <v/>
      </c>
      <c r="K68" s="33">
        <f>IF(OR($D68="",$F68=""),"",IFERROR(IF(INDEX(RUNS!$L$6:$S$1005,MATCH($D68,RUNS!$A$6:$A$1005,0),MATCH("ACTIVITÉ "&amp;$F68,RUNS!$L$5:$S$5,0))="","",INDEX(RUNS!$L$6:$S$1005,MATCH($D68,RUNS!$A$6:$A$1005,0),MATCH("ACTIVITÉ "&amp;$F68,RUNS!$L$5:$S$5,0))),""))</f>
        <v/>
      </c>
      <c r="L68" s="33">
        <f>IF($D68="","",IFERROR(IF(INDEX(RUNS!$E$6:$E$1005,MATCH($D68,RUNS!$A$6:$A$1005,0))="","",INDEX(RUNS!$E$6:$E$1005,MATCH($D68,RUNS!$A$6:$A$1005,0))),""))</f>
        <v/>
      </c>
      <c r="M68" s="33">
        <f>IF($D68="","",IFERROR(IF(INDEX(RUNS!$F$6:$F$1005,MATCH($D68,RUNS!$A$6:$A$1005,0))="","",INDEX(RUNS!$F$6:$F$1005,MATCH($D68,RUNS!$A$6:$A$1005,0))),""))</f>
        <v/>
      </c>
      <c r="N68" s="33">
        <f>IF($D68="","",IFERROR(IF(INDEX(RUNS!$G$6:$G$1005,MATCH($D68,RUNS!$A$6:$A$1005,0))="","",INDEX(RUNS!$G$6:$G$1005,MATCH($D68,RUNS!$A$6:$A$1005,0))),""))</f>
        <v/>
      </c>
      <c r="O68" s="33">
        <f>IF($D68="","",IFERROR(IF(INDEX(RUNS!$H$6:$H$1005,MATCH($D68,RUNS!$A$6:$A$1005,0))="","",INDEX(RUNS!$H$6:$H$1005,MATCH($D68,RUNS!$A$6:$A$1005,0))),""))</f>
        <v/>
      </c>
      <c r="P68" s="33">
        <f>IF($D68="","",IFERROR(IF(INDEX(RUNS!$J$6:$J$1005,MATCH($D68,RUNS!$A$6:$A$1005,0))="","",INDEX(RUNS!$J$6:$J$1005,MATCH($D68,RUNS!$A$6:$A$1005,0))),""))</f>
        <v/>
      </c>
      <c r="Q68" s="33">
        <f>IF($D68="","",IFERROR(IF(INDEX(RUNS!$K$6:$K$1005,MATCH($D68,RUNS!$A$6:$A$1005,0))="","",INDEX(RUNS!$K$6:$K$1005,MATCH($D68,RUNS!$A$6:$A$1005,0))),""))</f>
        <v/>
      </c>
      <c r="R68" s="34">
        <f>IF(OR($L68="",$K68=""),"",IFERROR(IF(INDEX(PARAMETRES!$H$43:$H$342,MATCH($L68&amp;"|"&amp;$M68&amp;"|"&amp;$N68&amp;"|"&amp;$O68&amp;"|"&amp;$P68&amp;"|"&amp;$Q68&amp;"|"&amp;$K68,PARAMETRES!$J$43:$J$342,0))="","",INDEX(PARAMETRES!$H$43:$H$342,MATCH($L68&amp;"|"&amp;$M68&amp;"|"&amp;$N68&amp;"|"&amp;$O68&amp;"|"&amp;$P68&amp;"|"&amp;$Q68&amp;"|"&amp;$K68,PARAMETRES!$J$43:$J$342,0))),""))</f>
        <v/>
      </c>
      <c r="S68" s="35">
        <f>IF(OR($G68="",$X68&lt;&gt;"VALIDE"),"",IFERROR(LOOKUP(2,1/(($B$3:$B67=$B68)*($G$3:$G67=$G68)*($X$3:$X67="VALIDE")),$C$3:$C67),""))</f>
        <v/>
      </c>
      <c r="T68" s="36">
        <f>IF(OR($C68="",$S68=""),"",ROUND(($C68-$S68+IF($C68&lt;$S68,1,0))*1440,0))</f>
        <v/>
      </c>
      <c r="U68" s="22">
        <f>IF(OR($H68="",$T68="",$T68&lt;=0),"",$H68*60/$T68)</f>
        <v/>
      </c>
      <c r="V68" s="37">
        <f>IF(OR($U68="",$R68="",$R68=0),"",$U68/$R68)</f>
        <v/>
      </c>
      <c r="W68" s="20">
        <f>IF($G68="","",IF($X68="CONTEXTE INCOMPLET","CONTEXTE INCOMPLET",IF($X68="DOUBLON",StatutDoublon,IF($S68="",StatutInitial,IF($R68="",StatutStandardManquant,IF($V68="","DONNEES INSUFFISANTES",IF($V68&gt;=SeuilConforme,StatutConforme,IF($V68&gt;=SeuilSurveiller,StatutSurveiller,StatutSousStandard))))))))</f>
        <v/>
      </c>
      <c r="X68" s="33">
        <f>IF($G68="","",IF(OR($D68="",$E68="",$F68=""),"CONTEXTE INCOMPLET",IF(COUNTIFS($D$3:$D67,$D68,$E$3:$E67,$E68,$F$3:$F67,$F68,$G$3:$G67,$G68)&gt;0,"DOUBLON","VALIDE")))</f>
        <v/>
      </c>
    </row>
    <row r="69" ht="15" customHeight="1">
      <c r="A69" s="12">
        <f>IF(OR($B69="",$G69=""),"",TEXT($B69,"YYYYMMDD")&amp;"-"&amp;SUBSTITUTE($E69," ","")&amp;"-"&amp;$F69&amp;"-"&amp;$G69)</f>
        <v/>
      </c>
      <c r="B69" s="15" t="n"/>
      <c r="C69" s="16" t="n"/>
      <c r="D69" s="10" t="n"/>
      <c r="E69" s="9" t="n"/>
      <c r="F69" s="9" t="n"/>
      <c r="G69" s="13" t="n"/>
      <c r="H69" s="21" t="n"/>
      <c r="I69" s="21" t="n"/>
      <c r="J69" s="17">
        <f>IF($G69="","",IFERROR(INDEX(NomsEmployes,MATCH($G69,MatriculesEmployes,0)),"MATRICULE INCONNU"))</f>
        <v/>
      </c>
      <c r="K69" s="33">
        <f>IF(OR($D69="",$F69=""),"",IFERROR(IF(INDEX(RUNS!$L$6:$S$1005,MATCH($D69,RUNS!$A$6:$A$1005,0),MATCH("ACTIVITÉ "&amp;$F69,RUNS!$L$5:$S$5,0))="","",INDEX(RUNS!$L$6:$S$1005,MATCH($D69,RUNS!$A$6:$A$1005,0),MATCH("ACTIVITÉ "&amp;$F69,RUNS!$L$5:$S$5,0))),""))</f>
        <v/>
      </c>
      <c r="L69" s="33">
        <f>IF($D69="","",IFERROR(IF(INDEX(RUNS!$E$6:$E$1005,MATCH($D69,RUNS!$A$6:$A$1005,0))="","",INDEX(RUNS!$E$6:$E$1005,MATCH($D69,RUNS!$A$6:$A$1005,0))),""))</f>
        <v/>
      </c>
      <c r="M69" s="33">
        <f>IF($D69="","",IFERROR(IF(INDEX(RUNS!$F$6:$F$1005,MATCH($D69,RUNS!$A$6:$A$1005,0))="","",INDEX(RUNS!$F$6:$F$1005,MATCH($D69,RUNS!$A$6:$A$1005,0))),""))</f>
        <v/>
      </c>
      <c r="N69" s="33">
        <f>IF($D69="","",IFERROR(IF(INDEX(RUNS!$G$6:$G$1005,MATCH($D69,RUNS!$A$6:$A$1005,0))="","",INDEX(RUNS!$G$6:$G$1005,MATCH($D69,RUNS!$A$6:$A$1005,0))),""))</f>
        <v/>
      </c>
      <c r="O69" s="33">
        <f>IF($D69="","",IFERROR(IF(INDEX(RUNS!$H$6:$H$1005,MATCH($D69,RUNS!$A$6:$A$1005,0))="","",INDEX(RUNS!$H$6:$H$1005,MATCH($D69,RUNS!$A$6:$A$1005,0))),""))</f>
        <v/>
      </c>
      <c r="P69" s="33">
        <f>IF($D69="","",IFERROR(IF(INDEX(RUNS!$J$6:$J$1005,MATCH($D69,RUNS!$A$6:$A$1005,0))="","",INDEX(RUNS!$J$6:$J$1005,MATCH($D69,RUNS!$A$6:$A$1005,0))),""))</f>
        <v/>
      </c>
      <c r="Q69" s="33">
        <f>IF($D69="","",IFERROR(IF(INDEX(RUNS!$K$6:$K$1005,MATCH($D69,RUNS!$A$6:$A$1005,0))="","",INDEX(RUNS!$K$6:$K$1005,MATCH($D69,RUNS!$A$6:$A$1005,0))),""))</f>
        <v/>
      </c>
      <c r="R69" s="34">
        <f>IF(OR($L69="",$K69=""),"",IFERROR(IF(INDEX(PARAMETRES!$H$43:$H$342,MATCH($L69&amp;"|"&amp;$M69&amp;"|"&amp;$N69&amp;"|"&amp;$O69&amp;"|"&amp;$P69&amp;"|"&amp;$Q69&amp;"|"&amp;$K69,PARAMETRES!$J$43:$J$342,0))="","",INDEX(PARAMETRES!$H$43:$H$342,MATCH($L69&amp;"|"&amp;$M69&amp;"|"&amp;$N69&amp;"|"&amp;$O69&amp;"|"&amp;$P69&amp;"|"&amp;$Q69&amp;"|"&amp;$K69,PARAMETRES!$J$43:$J$342,0))),""))</f>
        <v/>
      </c>
      <c r="S69" s="35">
        <f>IF(OR($G69="",$X69&lt;&gt;"VALIDE"),"",IFERROR(LOOKUP(2,1/(($B$3:$B68=$B69)*($G$3:$G68=$G69)*($X$3:$X68="VALIDE")),$C$3:$C68),""))</f>
        <v/>
      </c>
      <c r="T69" s="36">
        <f>IF(OR($C69="",$S69=""),"",ROUND(($C69-$S69+IF($C69&lt;$S69,1,0))*1440,0))</f>
        <v/>
      </c>
      <c r="U69" s="22">
        <f>IF(OR($H69="",$T69="",$T69&lt;=0),"",$H69*60/$T69)</f>
        <v/>
      </c>
      <c r="V69" s="37">
        <f>IF(OR($U69="",$R69="",$R69=0),"",$U69/$R69)</f>
        <v/>
      </c>
      <c r="W69" s="20">
        <f>IF($G69="","",IF($X69="CONTEXTE INCOMPLET","CONTEXTE INCOMPLET",IF($X69="DOUBLON",StatutDoublon,IF($S69="",StatutInitial,IF($R69="",StatutStandardManquant,IF($V69="","DONNEES INSUFFISANTES",IF($V69&gt;=SeuilConforme,StatutConforme,IF($V69&gt;=SeuilSurveiller,StatutSurveiller,StatutSousStandard))))))))</f>
        <v/>
      </c>
      <c r="X69" s="33">
        <f>IF($G69="","",IF(OR($D69="",$E69="",$F69=""),"CONTEXTE INCOMPLET",IF(COUNTIFS($D$3:$D68,$D69,$E$3:$E68,$E69,$F$3:$F68,$F69,$G$3:$G68,$G69)&gt;0,"DOUBLON","VALIDE")))</f>
        <v/>
      </c>
    </row>
    <row r="70" ht="15" customHeight="1">
      <c r="A70" s="12">
        <f>IF(OR($B70="",$G70=""),"",TEXT($B70,"YYYYMMDD")&amp;"-"&amp;SUBSTITUTE($E70," ","")&amp;"-"&amp;$F70&amp;"-"&amp;$G70)</f>
        <v/>
      </c>
      <c r="B70" s="15" t="n"/>
      <c r="C70" s="16" t="n"/>
      <c r="D70" s="10" t="n"/>
      <c r="E70" s="9" t="n"/>
      <c r="F70" s="9" t="n"/>
      <c r="G70" s="13" t="n"/>
      <c r="H70" s="21" t="n"/>
      <c r="I70" s="21" t="n"/>
      <c r="J70" s="17">
        <f>IF($G70="","",IFERROR(INDEX(NomsEmployes,MATCH($G70,MatriculesEmployes,0)),"MATRICULE INCONNU"))</f>
        <v/>
      </c>
      <c r="K70" s="33">
        <f>IF(OR($D70="",$F70=""),"",IFERROR(IF(INDEX(RUNS!$L$6:$S$1005,MATCH($D70,RUNS!$A$6:$A$1005,0),MATCH("ACTIVITÉ "&amp;$F70,RUNS!$L$5:$S$5,0))="","",INDEX(RUNS!$L$6:$S$1005,MATCH($D70,RUNS!$A$6:$A$1005,0),MATCH("ACTIVITÉ "&amp;$F70,RUNS!$L$5:$S$5,0))),""))</f>
        <v/>
      </c>
      <c r="L70" s="33">
        <f>IF($D70="","",IFERROR(IF(INDEX(RUNS!$E$6:$E$1005,MATCH($D70,RUNS!$A$6:$A$1005,0))="","",INDEX(RUNS!$E$6:$E$1005,MATCH($D70,RUNS!$A$6:$A$1005,0))),""))</f>
        <v/>
      </c>
      <c r="M70" s="33">
        <f>IF($D70="","",IFERROR(IF(INDEX(RUNS!$F$6:$F$1005,MATCH($D70,RUNS!$A$6:$A$1005,0))="","",INDEX(RUNS!$F$6:$F$1005,MATCH($D70,RUNS!$A$6:$A$1005,0))),""))</f>
        <v/>
      </c>
      <c r="N70" s="33">
        <f>IF($D70="","",IFERROR(IF(INDEX(RUNS!$G$6:$G$1005,MATCH($D70,RUNS!$A$6:$A$1005,0))="","",INDEX(RUNS!$G$6:$G$1005,MATCH($D70,RUNS!$A$6:$A$1005,0))),""))</f>
        <v/>
      </c>
      <c r="O70" s="33">
        <f>IF($D70="","",IFERROR(IF(INDEX(RUNS!$H$6:$H$1005,MATCH($D70,RUNS!$A$6:$A$1005,0))="","",INDEX(RUNS!$H$6:$H$1005,MATCH($D70,RUNS!$A$6:$A$1005,0))),""))</f>
        <v/>
      </c>
      <c r="P70" s="33">
        <f>IF($D70="","",IFERROR(IF(INDEX(RUNS!$J$6:$J$1005,MATCH($D70,RUNS!$A$6:$A$1005,0))="","",INDEX(RUNS!$J$6:$J$1005,MATCH($D70,RUNS!$A$6:$A$1005,0))),""))</f>
        <v/>
      </c>
      <c r="Q70" s="33">
        <f>IF($D70="","",IFERROR(IF(INDEX(RUNS!$K$6:$K$1005,MATCH($D70,RUNS!$A$6:$A$1005,0))="","",INDEX(RUNS!$K$6:$K$1005,MATCH($D70,RUNS!$A$6:$A$1005,0))),""))</f>
        <v/>
      </c>
      <c r="R70" s="34">
        <f>IF(OR($L70="",$K70=""),"",IFERROR(IF(INDEX(PARAMETRES!$H$43:$H$342,MATCH($L70&amp;"|"&amp;$M70&amp;"|"&amp;$N70&amp;"|"&amp;$O70&amp;"|"&amp;$P70&amp;"|"&amp;$Q70&amp;"|"&amp;$K70,PARAMETRES!$J$43:$J$342,0))="","",INDEX(PARAMETRES!$H$43:$H$342,MATCH($L70&amp;"|"&amp;$M70&amp;"|"&amp;$N70&amp;"|"&amp;$O70&amp;"|"&amp;$P70&amp;"|"&amp;$Q70&amp;"|"&amp;$K70,PARAMETRES!$J$43:$J$342,0))),""))</f>
        <v/>
      </c>
      <c r="S70" s="35">
        <f>IF(OR($G70="",$X70&lt;&gt;"VALIDE"),"",IFERROR(LOOKUP(2,1/(($B$3:$B69=$B70)*($G$3:$G69=$G70)*($X$3:$X69="VALIDE")),$C$3:$C69),""))</f>
        <v/>
      </c>
      <c r="T70" s="36">
        <f>IF(OR($C70="",$S70=""),"",ROUND(($C70-$S70+IF($C70&lt;$S70,1,0))*1440,0))</f>
        <v/>
      </c>
      <c r="U70" s="22">
        <f>IF(OR($H70="",$T70="",$T70&lt;=0),"",$H70*60/$T70)</f>
        <v/>
      </c>
      <c r="V70" s="37">
        <f>IF(OR($U70="",$R70="",$R70=0),"",$U70/$R70)</f>
        <v/>
      </c>
      <c r="W70" s="20">
        <f>IF($G70="","",IF($X70="CONTEXTE INCOMPLET","CONTEXTE INCOMPLET",IF($X70="DOUBLON",StatutDoublon,IF($S70="",StatutInitial,IF($R70="",StatutStandardManquant,IF($V70="","DONNEES INSUFFISANTES",IF($V70&gt;=SeuilConforme,StatutConforme,IF($V70&gt;=SeuilSurveiller,StatutSurveiller,StatutSousStandard))))))))</f>
        <v/>
      </c>
      <c r="X70" s="33">
        <f>IF($G70="","",IF(OR($D70="",$E70="",$F70=""),"CONTEXTE INCOMPLET",IF(COUNTIFS($D$3:$D69,$D70,$E$3:$E69,$E70,$F$3:$F69,$F70,$G$3:$G69,$G70)&gt;0,"DOUBLON","VALIDE")))</f>
        <v/>
      </c>
    </row>
    <row r="71" ht="15" customHeight="1">
      <c r="A71" s="12">
        <f>IF(OR($B71="",$G71=""),"",TEXT($B71,"YYYYMMDD")&amp;"-"&amp;SUBSTITUTE($E71," ","")&amp;"-"&amp;$F71&amp;"-"&amp;$G71)</f>
        <v/>
      </c>
      <c r="B71" s="15" t="n"/>
      <c r="C71" s="16" t="n"/>
      <c r="D71" s="10" t="n"/>
      <c r="E71" s="9" t="n"/>
      <c r="F71" s="9" t="n"/>
      <c r="G71" s="13" t="n"/>
      <c r="H71" s="21" t="n"/>
      <c r="I71" s="21" t="n"/>
      <c r="J71" s="17">
        <f>IF($G71="","",IFERROR(INDEX(NomsEmployes,MATCH($G71,MatriculesEmployes,0)),"MATRICULE INCONNU"))</f>
        <v/>
      </c>
      <c r="K71" s="33">
        <f>IF(OR($D71="",$F71=""),"",IFERROR(IF(INDEX(RUNS!$L$6:$S$1005,MATCH($D71,RUNS!$A$6:$A$1005,0),MATCH("ACTIVITÉ "&amp;$F71,RUNS!$L$5:$S$5,0))="","",INDEX(RUNS!$L$6:$S$1005,MATCH($D71,RUNS!$A$6:$A$1005,0),MATCH("ACTIVITÉ "&amp;$F71,RUNS!$L$5:$S$5,0))),""))</f>
        <v/>
      </c>
      <c r="L71" s="33">
        <f>IF($D71="","",IFERROR(IF(INDEX(RUNS!$E$6:$E$1005,MATCH($D71,RUNS!$A$6:$A$1005,0))="","",INDEX(RUNS!$E$6:$E$1005,MATCH($D71,RUNS!$A$6:$A$1005,0))),""))</f>
        <v/>
      </c>
      <c r="M71" s="33">
        <f>IF($D71="","",IFERROR(IF(INDEX(RUNS!$F$6:$F$1005,MATCH($D71,RUNS!$A$6:$A$1005,0))="","",INDEX(RUNS!$F$6:$F$1005,MATCH($D71,RUNS!$A$6:$A$1005,0))),""))</f>
        <v/>
      </c>
      <c r="N71" s="33">
        <f>IF($D71="","",IFERROR(IF(INDEX(RUNS!$G$6:$G$1005,MATCH($D71,RUNS!$A$6:$A$1005,0))="","",INDEX(RUNS!$G$6:$G$1005,MATCH($D71,RUNS!$A$6:$A$1005,0))),""))</f>
        <v/>
      </c>
      <c r="O71" s="33">
        <f>IF($D71="","",IFERROR(IF(INDEX(RUNS!$H$6:$H$1005,MATCH($D71,RUNS!$A$6:$A$1005,0))="","",INDEX(RUNS!$H$6:$H$1005,MATCH($D71,RUNS!$A$6:$A$1005,0))),""))</f>
        <v/>
      </c>
      <c r="P71" s="33">
        <f>IF($D71="","",IFERROR(IF(INDEX(RUNS!$J$6:$J$1005,MATCH($D71,RUNS!$A$6:$A$1005,0))="","",INDEX(RUNS!$J$6:$J$1005,MATCH($D71,RUNS!$A$6:$A$1005,0))),""))</f>
        <v/>
      </c>
      <c r="Q71" s="33">
        <f>IF($D71="","",IFERROR(IF(INDEX(RUNS!$K$6:$K$1005,MATCH($D71,RUNS!$A$6:$A$1005,0))="","",INDEX(RUNS!$K$6:$K$1005,MATCH($D71,RUNS!$A$6:$A$1005,0))),""))</f>
        <v/>
      </c>
      <c r="R71" s="34">
        <f>IF(OR($L71="",$K71=""),"",IFERROR(IF(INDEX(PARAMETRES!$H$43:$H$342,MATCH($L71&amp;"|"&amp;$M71&amp;"|"&amp;$N71&amp;"|"&amp;$O71&amp;"|"&amp;$P71&amp;"|"&amp;$Q71&amp;"|"&amp;$K71,PARAMETRES!$J$43:$J$342,0))="","",INDEX(PARAMETRES!$H$43:$H$342,MATCH($L71&amp;"|"&amp;$M71&amp;"|"&amp;$N71&amp;"|"&amp;$O71&amp;"|"&amp;$P71&amp;"|"&amp;$Q71&amp;"|"&amp;$K71,PARAMETRES!$J$43:$J$342,0))),""))</f>
        <v/>
      </c>
      <c r="S71" s="35">
        <f>IF(OR($G71="",$X71&lt;&gt;"VALIDE"),"",IFERROR(LOOKUP(2,1/(($B$3:$B70=$B71)*($G$3:$G70=$G71)*($X$3:$X70="VALIDE")),$C$3:$C70),""))</f>
        <v/>
      </c>
      <c r="T71" s="36">
        <f>IF(OR($C71="",$S71=""),"",ROUND(($C71-$S71+IF($C71&lt;$S71,1,0))*1440,0))</f>
        <v/>
      </c>
      <c r="U71" s="22">
        <f>IF(OR($H71="",$T71="",$T71&lt;=0),"",$H71*60/$T71)</f>
        <v/>
      </c>
      <c r="V71" s="37">
        <f>IF(OR($U71="",$R71="",$R71=0),"",$U71/$R71)</f>
        <v/>
      </c>
      <c r="W71" s="20">
        <f>IF($G71="","",IF($X71="CONTEXTE INCOMPLET","CONTEXTE INCOMPLET",IF($X71="DOUBLON",StatutDoublon,IF($S71="",StatutInitial,IF($R71="",StatutStandardManquant,IF($V71="","DONNEES INSUFFISANTES",IF($V71&gt;=SeuilConforme,StatutConforme,IF($V71&gt;=SeuilSurveiller,StatutSurveiller,StatutSousStandard))))))))</f>
        <v/>
      </c>
      <c r="X71" s="33">
        <f>IF($G71="","",IF(OR($D71="",$E71="",$F71=""),"CONTEXTE INCOMPLET",IF(COUNTIFS($D$3:$D70,$D71,$E$3:$E70,$E71,$F$3:$F70,$F71,$G$3:$G70,$G71)&gt;0,"DOUBLON","VALIDE")))</f>
        <v/>
      </c>
    </row>
    <row r="72" ht="15" customHeight="1">
      <c r="A72" s="12">
        <f>IF(OR($B72="",$G72=""),"",TEXT($B72,"YYYYMMDD")&amp;"-"&amp;SUBSTITUTE($E72," ","")&amp;"-"&amp;$F72&amp;"-"&amp;$G72)</f>
        <v/>
      </c>
      <c r="B72" s="15" t="n"/>
      <c r="C72" s="16" t="n"/>
      <c r="D72" s="10" t="n"/>
      <c r="E72" s="9" t="n"/>
      <c r="F72" s="9" t="n"/>
      <c r="G72" s="13" t="n"/>
      <c r="H72" s="21" t="n"/>
      <c r="I72" s="21" t="n"/>
      <c r="J72" s="17">
        <f>IF($G72="","",IFERROR(INDEX(NomsEmployes,MATCH($G72,MatriculesEmployes,0)),"MATRICULE INCONNU"))</f>
        <v/>
      </c>
      <c r="K72" s="33">
        <f>IF(OR($D72="",$F72=""),"",IFERROR(IF(INDEX(RUNS!$L$6:$S$1005,MATCH($D72,RUNS!$A$6:$A$1005,0),MATCH("ACTIVITÉ "&amp;$F72,RUNS!$L$5:$S$5,0))="","",INDEX(RUNS!$L$6:$S$1005,MATCH($D72,RUNS!$A$6:$A$1005,0),MATCH("ACTIVITÉ "&amp;$F72,RUNS!$L$5:$S$5,0))),""))</f>
        <v/>
      </c>
      <c r="L72" s="33">
        <f>IF($D72="","",IFERROR(IF(INDEX(RUNS!$E$6:$E$1005,MATCH($D72,RUNS!$A$6:$A$1005,0))="","",INDEX(RUNS!$E$6:$E$1005,MATCH($D72,RUNS!$A$6:$A$1005,0))),""))</f>
        <v/>
      </c>
      <c r="M72" s="33">
        <f>IF($D72="","",IFERROR(IF(INDEX(RUNS!$F$6:$F$1005,MATCH($D72,RUNS!$A$6:$A$1005,0))="","",INDEX(RUNS!$F$6:$F$1005,MATCH($D72,RUNS!$A$6:$A$1005,0))),""))</f>
        <v/>
      </c>
      <c r="N72" s="33">
        <f>IF($D72="","",IFERROR(IF(INDEX(RUNS!$G$6:$G$1005,MATCH($D72,RUNS!$A$6:$A$1005,0))="","",INDEX(RUNS!$G$6:$G$1005,MATCH($D72,RUNS!$A$6:$A$1005,0))),""))</f>
        <v/>
      </c>
      <c r="O72" s="33">
        <f>IF($D72="","",IFERROR(IF(INDEX(RUNS!$H$6:$H$1005,MATCH($D72,RUNS!$A$6:$A$1005,0))="","",INDEX(RUNS!$H$6:$H$1005,MATCH($D72,RUNS!$A$6:$A$1005,0))),""))</f>
        <v/>
      </c>
      <c r="P72" s="33">
        <f>IF($D72="","",IFERROR(IF(INDEX(RUNS!$J$6:$J$1005,MATCH($D72,RUNS!$A$6:$A$1005,0))="","",INDEX(RUNS!$J$6:$J$1005,MATCH($D72,RUNS!$A$6:$A$1005,0))),""))</f>
        <v/>
      </c>
      <c r="Q72" s="33">
        <f>IF($D72="","",IFERROR(IF(INDEX(RUNS!$K$6:$K$1005,MATCH($D72,RUNS!$A$6:$A$1005,0))="","",INDEX(RUNS!$K$6:$K$1005,MATCH($D72,RUNS!$A$6:$A$1005,0))),""))</f>
        <v/>
      </c>
      <c r="R72" s="34">
        <f>IF(OR($L72="",$K72=""),"",IFERROR(IF(INDEX(PARAMETRES!$H$43:$H$342,MATCH($L72&amp;"|"&amp;$M72&amp;"|"&amp;$N72&amp;"|"&amp;$O72&amp;"|"&amp;$P72&amp;"|"&amp;$Q72&amp;"|"&amp;$K72,PARAMETRES!$J$43:$J$342,0))="","",INDEX(PARAMETRES!$H$43:$H$342,MATCH($L72&amp;"|"&amp;$M72&amp;"|"&amp;$N72&amp;"|"&amp;$O72&amp;"|"&amp;$P72&amp;"|"&amp;$Q72&amp;"|"&amp;$K72,PARAMETRES!$J$43:$J$342,0))),""))</f>
        <v/>
      </c>
      <c r="S72" s="35">
        <f>IF(OR($G72="",$X72&lt;&gt;"VALIDE"),"",IFERROR(LOOKUP(2,1/(($B$3:$B71=$B72)*($G$3:$G71=$G72)*($X$3:$X71="VALIDE")),$C$3:$C71),""))</f>
        <v/>
      </c>
      <c r="T72" s="36">
        <f>IF(OR($C72="",$S72=""),"",ROUND(($C72-$S72+IF($C72&lt;$S72,1,0))*1440,0))</f>
        <v/>
      </c>
      <c r="U72" s="22">
        <f>IF(OR($H72="",$T72="",$T72&lt;=0),"",$H72*60/$T72)</f>
        <v/>
      </c>
      <c r="V72" s="37">
        <f>IF(OR($U72="",$R72="",$R72=0),"",$U72/$R72)</f>
        <v/>
      </c>
      <c r="W72" s="20">
        <f>IF($G72="","",IF($X72="CONTEXTE INCOMPLET","CONTEXTE INCOMPLET",IF($X72="DOUBLON",StatutDoublon,IF($S72="",StatutInitial,IF($R72="",StatutStandardManquant,IF($V72="","DONNEES INSUFFISANTES",IF($V72&gt;=SeuilConforme,StatutConforme,IF($V72&gt;=SeuilSurveiller,StatutSurveiller,StatutSousStandard))))))))</f>
        <v/>
      </c>
      <c r="X72" s="33">
        <f>IF($G72="","",IF(OR($D72="",$E72="",$F72=""),"CONTEXTE INCOMPLET",IF(COUNTIFS($D$3:$D71,$D72,$E$3:$E71,$E72,$F$3:$F71,$F72,$G$3:$G71,$G72)&gt;0,"DOUBLON","VALIDE")))</f>
        <v/>
      </c>
    </row>
    <row r="73" ht="15" customHeight="1">
      <c r="A73" s="12">
        <f>IF(OR($B73="",$G73=""),"",TEXT($B73,"YYYYMMDD")&amp;"-"&amp;SUBSTITUTE($E73," ","")&amp;"-"&amp;$F73&amp;"-"&amp;$G73)</f>
        <v/>
      </c>
      <c r="B73" s="15" t="n"/>
      <c r="C73" s="16" t="n"/>
      <c r="D73" s="10" t="n"/>
      <c r="E73" s="9" t="n"/>
      <c r="F73" s="9" t="n"/>
      <c r="G73" s="13" t="n"/>
      <c r="H73" s="21" t="n"/>
      <c r="I73" s="21" t="n"/>
      <c r="J73" s="17">
        <f>IF($G73="","",IFERROR(INDEX(NomsEmployes,MATCH($G73,MatriculesEmployes,0)),"MATRICULE INCONNU"))</f>
        <v/>
      </c>
      <c r="K73" s="33">
        <f>IF(OR($D73="",$F73=""),"",IFERROR(IF(INDEX(RUNS!$L$6:$S$1005,MATCH($D73,RUNS!$A$6:$A$1005,0),MATCH("ACTIVITÉ "&amp;$F73,RUNS!$L$5:$S$5,0))="","",INDEX(RUNS!$L$6:$S$1005,MATCH($D73,RUNS!$A$6:$A$1005,0),MATCH("ACTIVITÉ "&amp;$F73,RUNS!$L$5:$S$5,0))),""))</f>
        <v/>
      </c>
      <c r="L73" s="33">
        <f>IF($D73="","",IFERROR(IF(INDEX(RUNS!$E$6:$E$1005,MATCH($D73,RUNS!$A$6:$A$1005,0))="","",INDEX(RUNS!$E$6:$E$1005,MATCH($D73,RUNS!$A$6:$A$1005,0))),""))</f>
        <v/>
      </c>
      <c r="M73" s="33">
        <f>IF($D73="","",IFERROR(IF(INDEX(RUNS!$F$6:$F$1005,MATCH($D73,RUNS!$A$6:$A$1005,0))="","",INDEX(RUNS!$F$6:$F$1005,MATCH($D73,RUNS!$A$6:$A$1005,0))),""))</f>
        <v/>
      </c>
      <c r="N73" s="33">
        <f>IF($D73="","",IFERROR(IF(INDEX(RUNS!$G$6:$G$1005,MATCH($D73,RUNS!$A$6:$A$1005,0))="","",INDEX(RUNS!$G$6:$G$1005,MATCH($D73,RUNS!$A$6:$A$1005,0))),""))</f>
        <v/>
      </c>
      <c r="O73" s="33">
        <f>IF($D73="","",IFERROR(IF(INDEX(RUNS!$H$6:$H$1005,MATCH($D73,RUNS!$A$6:$A$1005,0))="","",INDEX(RUNS!$H$6:$H$1005,MATCH($D73,RUNS!$A$6:$A$1005,0))),""))</f>
        <v/>
      </c>
      <c r="P73" s="33">
        <f>IF($D73="","",IFERROR(IF(INDEX(RUNS!$J$6:$J$1005,MATCH($D73,RUNS!$A$6:$A$1005,0))="","",INDEX(RUNS!$J$6:$J$1005,MATCH($D73,RUNS!$A$6:$A$1005,0))),""))</f>
        <v/>
      </c>
      <c r="Q73" s="33">
        <f>IF($D73="","",IFERROR(IF(INDEX(RUNS!$K$6:$K$1005,MATCH($D73,RUNS!$A$6:$A$1005,0))="","",INDEX(RUNS!$K$6:$K$1005,MATCH($D73,RUNS!$A$6:$A$1005,0))),""))</f>
        <v/>
      </c>
      <c r="R73" s="34">
        <f>IF(OR($L73="",$K73=""),"",IFERROR(IF(INDEX(PARAMETRES!$H$43:$H$342,MATCH($L73&amp;"|"&amp;$M73&amp;"|"&amp;$N73&amp;"|"&amp;$O73&amp;"|"&amp;$P73&amp;"|"&amp;$Q73&amp;"|"&amp;$K73,PARAMETRES!$J$43:$J$342,0))="","",INDEX(PARAMETRES!$H$43:$H$342,MATCH($L73&amp;"|"&amp;$M73&amp;"|"&amp;$N73&amp;"|"&amp;$O73&amp;"|"&amp;$P73&amp;"|"&amp;$Q73&amp;"|"&amp;$K73,PARAMETRES!$J$43:$J$342,0))),""))</f>
        <v/>
      </c>
      <c r="S73" s="35">
        <f>IF(OR($G73="",$X73&lt;&gt;"VALIDE"),"",IFERROR(LOOKUP(2,1/(($B$3:$B72=$B73)*($G$3:$G72=$G73)*($X$3:$X72="VALIDE")),$C$3:$C72),""))</f>
        <v/>
      </c>
      <c r="T73" s="36">
        <f>IF(OR($C73="",$S73=""),"",ROUND(($C73-$S73+IF($C73&lt;$S73,1,0))*1440,0))</f>
        <v/>
      </c>
      <c r="U73" s="22">
        <f>IF(OR($H73="",$T73="",$T73&lt;=0),"",$H73*60/$T73)</f>
        <v/>
      </c>
      <c r="V73" s="37">
        <f>IF(OR($U73="",$R73="",$R73=0),"",$U73/$R73)</f>
        <v/>
      </c>
      <c r="W73" s="20">
        <f>IF($G73="","",IF($X73="CONTEXTE INCOMPLET","CONTEXTE INCOMPLET",IF($X73="DOUBLON",StatutDoublon,IF($S73="",StatutInitial,IF($R73="",StatutStandardManquant,IF($V73="","DONNEES INSUFFISANTES",IF($V73&gt;=SeuilConforme,StatutConforme,IF($V73&gt;=SeuilSurveiller,StatutSurveiller,StatutSousStandard))))))))</f>
        <v/>
      </c>
      <c r="X73" s="33">
        <f>IF($G73="","",IF(OR($D73="",$E73="",$F73=""),"CONTEXTE INCOMPLET",IF(COUNTIFS($D$3:$D72,$D73,$E$3:$E72,$E73,$F$3:$F72,$F73,$G$3:$G72,$G73)&gt;0,"DOUBLON","VALIDE")))</f>
        <v/>
      </c>
    </row>
    <row r="74" ht="15" customHeight="1">
      <c r="A74" s="12">
        <f>IF(OR($B74="",$G74=""),"",TEXT($B74,"YYYYMMDD")&amp;"-"&amp;SUBSTITUTE($E74," ","")&amp;"-"&amp;$F74&amp;"-"&amp;$G74)</f>
        <v/>
      </c>
      <c r="B74" s="15" t="n"/>
      <c r="C74" s="16" t="n"/>
      <c r="D74" s="10" t="n"/>
      <c r="E74" s="9" t="n"/>
      <c r="F74" s="9" t="n"/>
      <c r="G74" s="13" t="n"/>
      <c r="H74" s="21" t="n"/>
      <c r="I74" s="21" t="n"/>
      <c r="J74" s="17">
        <f>IF($G74="","",IFERROR(INDEX(NomsEmployes,MATCH($G74,MatriculesEmployes,0)),"MATRICULE INCONNU"))</f>
        <v/>
      </c>
      <c r="K74" s="33">
        <f>IF(OR($D74="",$F74=""),"",IFERROR(IF(INDEX(RUNS!$L$6:$S$1005,MATCH($D74,RUNS!$A$6:$A$1005,0),MATCH("ACTIVITÉ "&amp;$F74,RUNS!$L$5:$S$5,0))="","",INDEX(RUNS!$L$6:$S$1005,MATCH($D74,RUNS!$A$6:$A$1005,0),MATCH("ACTIVITÉ "&amp;$F74,RUNS!$L$5:$S$5,0))),""))</f>
        <v/>
      </c>
      <c r="L74" s="33">
        <f>IF($D74="","",IFERROR(IF(INDEX(RUNS!$E$6:$E$1005,MATCH($D74,RUNS!$A$6:$A$1005,0))="","",INDEX(RUNS!$E$6:$E$1005,MATCH($D74,RUNS!$A$6:$A$1005,0))),""))</f>
        <v/>
      </c>
      <c r="M74" s="33">
        <f>IF($D74="","",IFERROR(IF(INDEX(RUNS!$F$6:$F$1005,MATCH($D74,RUNS!$A$6:$A$1005,0))="","",INDEX(RUNS!$F$6:$F$1005,MATCH($D74,RUNS!$A$6:$A$1005,0))),""))</f>
        <v/>
      </c>
      <c r="N74" s="33">
        <f>IF($D74="","",IFERROR(IF(INDEX(RUNS!$G$6:$G$1005,MATCH($D74,RUNS!$A$6:$A$1005,0))="","",INDEX(RUNS!$G$6:$G$1005,MATCH($D74,RUNS!$A$6:$A$1005,0))),""))</f>
        <v/>
      </c>
      <c r="O74" s="33">
        <f>IF($D74="","",IFERROR(IF(INDEX(RUNS!$H$6:$H$1005,MATCH($D74,RUNS!$A$6:$A$1005,0))="","",INDEX(RUNS!$H$6:$H$1005,MATCH($D74,RUNS!$A$6:$A$1005,0))),""))</f>
        <v/>
      </c>
      <c r="P74" s="33">
        <f>IF($D74="","",IFERROR(IF(INDEX(RUNS!$J$6:$J$1005,MATCH($D74,RUNS!$A$6:$A$1005,0))="","",INDEX(RUNS!$J$6:$J$1005,MATCH($D74,RUNS!$A$6:$A$1005,0))),""))</f>
        <v/>
      </c>
      <c r="Q74" s="33">
        <f>IF($D74="","",IFERROR(IF(INDEX(RUNS!$K$6:$K$1005,MATCH($D74,RUNS!$A$6:$A$1005,0))="","",INDEX(RUNS!$K$6:$K$1005,MATCH($D74,RUNS!$A$6:$A$1005,0))),""))</f>
        <v/>
      </c>
      <c r="R74" s="34">
        <f>IF(OR($L74="",$K74=""),"",IFERROR(IF(INDEX(PARAMETRES!$H$43:$H$342,MATCH($L74&amp;"|"&amp;$M74&amp;"|"&amp;$N74&amp;"|"&amp;$O74&amp;"|"&amp;$P74&amp;"|"&amp;$Q74&amp;"|"&amp;$K74,PARAMETRES!$J$43:$J$342,0))="","",INDEX(PARAMETRES!$H$43:$H$342,MATCH($L74&amp;"|"&amp;$M74&amp;"|"&amp;$N74&amp;"|"&amp;$O74&amp;"|"&amp;$P74&amp;"|"&amp;$Q74&amp;"|"&amp;$K74,PARAMETRES!$J$43:$J$342,0))),""))</f>
        <v/>
      </c>
      <c r="S74" s="35">
        <f>IF(OR($G74="",$X74&lt;&gt;"VALIDE"),"",IFERROR(LOOKUP(2,1/(($B$3:$B73=$B74)*($G$3:$G73=$G74)*($X$3:$X73="VALIDE")),$C$3:$C73),""))</f>
        <v/>
      </c>
      <c r="T74" s="36">
        <f>IF(OR($C74="",$S74=""),"",ROUND(($C74-$S74+IF($C74&lt;$S74,1,0))*1440,0))</f>
        <v/>
      </c>
      <c r="U74" s="22">
        <f>IF(OR($H74="",$T74="",$T74&lt;=0),"",$H74*60/$T74)</f>
        <v/>
      </c>
      <c r="V74" s="37">
        <f>IF(OR($U74="",$R74="",$R74=0),"",$U74/$R74)</f>
        <v/>
      </c>
      <c r="W74" s="20">
        <f>IF($G74="","",IF($X74="CONTEXTE INCOMPLET","CONTEXTE INCOMPLET",IF($X74="DOUBLON",StatutDoublon,IF($S74="",StatutInitial,IF($R74="",StatutStandardManquant,IF($V74="","DONNEES INSUFFISANTES",IF($V74&gt;=SeuilConforme,StatutConforme,IF($V74&gt;=SeuilSurveiller,StatutSurveiller,StatutSousStandard))))))))</f>
        <v/>
      </c>
      <c r="X74" s="33">
        <f>IF($G74="","",IF(OR($D74="",$E74="",$F74=""),"CONTEXTE INCOMPLET",IF(COUNTIFS($D$3:$D73,$D74,$E$3:$E73,$E74,$F$3:$F73,$F74,$G$3:$G73,$G74)&gt;0,"DOUBLON","VALIDE")))</f>
        <v/>
      </c>
    </row>
    <row r="75" ht="15" customHeight="1">
      <c r="A75" s="12">
        <f>IF(OR($B75="",$G75=""),"",TEXT($B75,"YYYYMMDD")&amp;"-"&amp;SUBSTITUTE($E75," ","")&amp;"-"&amp;$F75&amp;"-"&amp;$G75)</f>
        <v/>
      </c>
      <c r="B75" s="15" t="n"/>
      <c r="C75" s="16" t="n"/>
      <c r="D75" s="10" t="n"/>
      <c r="E75" s="9" t="n"/>
      <c r="F75" s="9" t="n"/>
      <c r="G75" s="13" t="n"/>
      <c r="H75" s="21" t="n"/>
      <c r="I75" s="21" t="n"/>
      <c r="J75" s="17">
        <f>IF($G75="","",IFERROR(INDEX(NomsEmployes,MATCH($G75,MatriculesEmployes,0)),"MATRICULE INCONNU"))</f>
        <v/>
      </c>
      <c r="K75" s="33">
        <f>IF(OR($D75="",$F75=""),"",IFERROR(IF(INDEX(RUNS!$L$6:$S$1005,MATCH($D75,RUNS!$A$6:$A$1005,0),MATCH("ACTIVITÉ "&amp;$F75,RUNS!$L$5:$S$5,0))="","",INDEX(RUNS!$L$6:$S$1005,MATCH($D75,RUNS!$A$6:$A$1005,0),MATCH("ACTIVITÉ "&amp;$F75,RUNS!$L$5:$S$5,0))),""))</f>
        <v/>
      </c>
      <c r="L75" s="33">
        <f>IF($D75="","",IFERROR(IF(INDEX(RUNS!$E$6:$E$1005,MATCH($D75,RUNS!$A$6:$A$1005,0))="","",INDEX(RUNS!$E$6:$E$1005,MATCH($D75,RUNS!$A$6:$A$1005,0))),""))</f>
        <v/>
      </c>
      <c r="M75" s="33">
        <f>IF($D75="","",IFERROR(IF(INDEX(RUNS!$F$6:$F$1005,MATCH($D75,RUNS!$A$6:$A$1005,0))="","",INDEX(RUNS!$F$6:$F$1005,MATCH($D75,RUNS!$A$6:$A$1005,0))),""))</f>
        <v/>
      </c>
      <c r="N75" s="33">
        <f>IF($D75="","",IFERROR(IF(INDEX(RUNS!$G$6:$G$1005,MATCH($D75,RUNS!$A$6:$A$1005,0))="","",INDEX(RUNS!$G$6:$G$1005,MATCH($D75,RUNS!$A$6:$A$1005,0))),""))</f>
        <v/>
      </c>
      <c r="O75" s="33">
        <f>IF($D75="","",IFERROR(IF(INDEX(RUNS!$H$6:$H$1005,MATCH($D75,RUNS!$A$6:$A$1005,0))="","",INDEX(RUNS!$H$6:$H$1005,MATCH($D75,RUNS!$A$6:$A$1005,0))),""))</f>
        <v/>
      </c>
      <c r="P75" s="33">
        <f>IF($D75="","",IFERROR(IF(INDEX(RUNS!$J$6:$J$1005,MATCH($D75,RUNS!$A$6:$A$1005,0))="","",INDEX(RUNS!$J$6:$J$1005,MATCH($D75,RUNS!$A$6:$A$1005,0))),""))</f>
        <v/>
      </c>
      <c r="Q75" s="33">
        <f>IF($D75="","",IFERROR(IF(INDEX(RUNS!$K$6:$K$1005,MATCH($D75,RUNS!$A$6:$A$1005,0))="","",INDEX(RUNS!$K$6:$K$1005,MATCH($D75,RUNS!$A$6:$A$1005,0))),""))</f>
        <v/>
      </c>
      <c r="R75" s="34">
        <f>IF(OR($L75="",$K75=""),"",IFERROR(IF(INDEX(PARAMETRES!$H$43:$H$342,MATCH($L75&amp;"|"&amp;$M75&amp;"|"&amp;$N75&amp;"|"&amp;$O75&amp;"|"&amp;$P75&amp;"|"&amp;$Q75&amp;"|"&amp;$K75,PARAMETRES!$J$43:$J$342,0))="","",INDEX(PARAMETRES!$H$43:$H$342,MATCH($L75&amp;"|"&amp;$M75&amp;"|"&amp;$N75&amp;"|"&amp;$O75&amp;"|"&amp;$P75&amp;"|"&amp;$Q75&amp;"|"&amp;$K75,PARAMETRES!$J$43:$J$342,0))),""))</f>
        <v/>
      </c>
      <c r="S75" s="35">
        <f>IF(OR($G75="",$X75&lt;&gt;"VALIDE"),"",IFERROR(LOOKUP(2,1/(($B$3:$B74=$B75)*($G$3:$G74=$G75)*($X$3:$X74="VALIDE")),$C$3:$C74),""))</f>
        <v/>
      </c>
      <c r="T75" s="36">
        <f>IF(OR($C75="",$S75=""),"",ROUND(($C75-$S75+IF($C75&lt;$S75,1,0))*1440,0))</f>
        <v/>
      </c>
      <c r="U75" s="22">
        <f>IF(OR($H75="",$T75="",$T75&lt;=0),"",$H75*60/$T75)</f>
        <v/>
      </c>
      <c r="V75" s="37">
        <f>IF(OR($U75="",$R75="",$R75=0),"",$U75/$R75)</f>
        <v/>
      </c>
      <c r="W75" s="20">
        <f>IF($G75="","",IF($X75="CONTEXTE INCOMPLET","CONTEXTE INCOMPLET",IF($X75="DOUBLON",StatutDoublon,IF($S75="",StatutInitial,IF($R75="",StatutStandardManquant,IF($V75="","DONNEES INSUFFISANTES",IF($V75&gt;=SeuilConforme,StatutConforme,IF($V75&gt;=SeuilSurveiller,StatutSurveiller,StatutSousStandard))))))))</f>
        <v/>
      </c>
      <c r="X75" s="33">
        <f>IF($G75="","",IF(OR($D75="",$E75="",$F75=""),"CONTEXTE INCOMPLET",IF(COUNTIFS($D$3:$D74,$D75,$E$3:$E74,$E75,$F$3:$F74,$F75,$G$3:$G74,$G75)&gt;0,"DOUBLON","VALIDE")))</f>
        <v/>
      </c>
    </row>
    <row r="76" ht="15" customHeight="1">
      <c r="A76" s="12">
        <f>IF(OR($B76="",$G76=""),"",TEXT($B76,"YYYYMMDD")&amp;"-"&amp;SUBSTITUTE($E76," ","")&amp;"-"&amp;$F76&amp;"-"&amp;$G76)</f>
        <v/>
      </c>
      <c r="B76" s="15" t="n"/>
      <c r="C76" s="16" t="n"/>
      <c r="D76" s="10" t="n"/>
      <c r="E76" s="9" t="n"/>
      <c r="F76" s="9" t="n"/>
      <c r="G76" s="13" t="n"/>
      <c r="H76" s="21" t="n"/>
      <c r="I76" s="21" t="n"/>
      <c r="J76" s="17">
        <f>IF($G76="","",IFERROR(INDEX(NomsEmployes,MATCH($G76,MatriculesEmployes,0)),"MATRICULE INCONNU"))</f>
        <v/>
      </c>
      <c r="K76" s="33">
        <f>IF(OR($D76="",$F76=""),"",IFERROR(IF(INDEX(RUNS!$L$6:$S$1005,MATCH($D76,RUNS!$A$6:$A$1005,0),MATCH("ACTIVITÉ "&amp;$F76,RUNS!$L$5:$S$5,0))="","",INDEX(RUNS!$L$6:$S$1005,MATCH($D76,RUNS!$A$6:$A$1005,0),MATCH("ACTIVITÉ "&amp;$F76,RUNS!$L$5:$S$5,0))),""))</f>
        <v/>
      </c>
      <c r="L76" s="33">
        <f>IF($D76="","",IFERROR(IF(INDEX(RUNS!$E$6:$E$1005,MATCH($D76,RUNS!$A$6:$A$1005,0))="","",INDEX(RUNS!$E$6:$E$1005,MATCH($D76,RUNS!$A$6:$A$1005,0))),""))</f>
        <v/>
      </c>
      <c r="M76" s="33">
        <f>IF($D76="","",IFERROR(IF(INDEX(RUNS!$F$6:$F$1005,MATCH($D76,RUNS!$A$6:$A$1005,0))="","",INDEX(RUNS!$F$6:$F$1005,MATCH($D76,RUNS!$A$6:$A$1005,0))),""))</f>
        <v/>
      </c>
      <c r="N76" s="33">
        <f>IF($D76="","",IFERROR(IF(INDEX(RUNS!$G$6:$G$1005,MATCH($D76,RUNS!$A$6:$A$1005,0))="","",INDEX(RUNS!$G$6:$G$1005,MATCH($D76,RUNS!$A$6:$A$1005,0))),""))</f>
        <v/>
      </c>
      <c r="O76" s="33">
        <f>IF($D76="","",IFERROR(IF(INDEX(RUNS!$H$6:$H$1005,MATCH($D76,RUNS!$A$6:$A$1005,0))="","",INDEX(RUNS!$H$6:$H$1005,MATCH($D76,RUNS!$A$6:$A$1005,0))),""))</f>
        <v/>
      </c>
      <c r="P76" s="33">
        <f>IF($D76="","",IFERROR(IF(INDEX(RUNS!$J$6:$J$1005,MATCH($D76,RUNS!$A$6:$A$1005,0))="","",INDEX(RUNS!$J$6:$J$1005,MATCH($D76,RUNS!$A$6:$A$1005,0))),""))</f>
        <v/>
      </c>
      <c r="Q76" s="33">
        <f>IF($D76="","",IFERROR(IF(INDEX(RUNS!$K$6:$K$1005,MATCH($D76,RUNS!$A$6:$A$1005,0))="","",INDEX(RUNS!$K$6:$K$1005,MATCH($D76,RUNS!$A$6:$A$1005,0))),""))</f>
        <v/>
      </c>
      <c r="R76" s="34">
        <f>IF(OR($L76="",$K76=""),"",IFERROR(IF(INDEX(PARAMETRES!$H$43:$H$342,MATCH($L76&amp;"|"&amp;$M76&amp;"|"&amp;$N76&amp;"|"&amp;$O76&amp;"|"&amp;$P76&amp;"|"&amp;$Q76&amp;"|"&amp;$K76,PARAMETRES!$J$43:$J$342,0))="","",INDEX(PARAMETRES!$H$43:$H$342,MATCH($L76&amp;"|"&amp;$M76&amp;"|"&amp;$N76&amp;"|"&amp;$O76&amp;"|"&amp;$P76&amp;"|"&amp;$Q76&amp;"|"&amp;$K76,PARAMETRES!$J$43:$J$342,0))),""))</f>
        <v/>
      </c>
      <c r="S76" s="35">
        <f>IF(OR($G76="",$X76&lt;&gt;"VALIDE"),"",IFERROR(LOOKUP(2,1/(($B$3:$B75=$B76)*($G$3:$G75=$G76)*($X$3:$X75="VALIDE")),$C$3:$C75),""))</f>
        <v/>
      </c>
      <c r="T76" s="36">
        <f>IF(OR($C76="",$S76=""),"",ROUND(($C76-$S76+IF($C76&lt;$S76,1,0))*1440,0))</f>
        <v/>
      </c>
      <c r="U76" s="22">
        <f>IF(OR($H76="",$T76="",$T76&lt;=0),"",$H76*60/$T76)</f>
        <v/>
      </c>
      <c r="V76" s="37">
        <f>IF(OR($U76="",$R76="",$R76=0),"",$U76/$R76)</f>
        <v/>
      </c>
      <c r="W76" s="20">
        <f>IF($G76="","",IF($X76="CONTEXTE INCOMPLET","CONTEXTE INCOMPLET",IF($X76="DOUBLON",StatutDoublon,IF($S76="",StatutInitial,IF($R76="",StatutStandardManquant,IF($V76="","DONNEES INSUFFISANTES",IF($V76&gt;=SeuilConforme,StatutConforme,IF($V76&gt;=SeuilSurveiller,StatutSurveiller,StatutSousStandard))))))))</f>
        <v/>
      </c>
      <c r="X76" s="33">
        <f>IF($G76="","",IF(OR($D76="",$E76="",$F76=""),"CONTEXTE INCOMPLET",IF(COUNTIFS($D$3:$D75,$D76,$E$3:$E75,$E76,$F$3:$F75,$F76,$G$3:$G75,$G76)&gt;0,"DOUBLON","VALIDE")))</f>
        <v/>
      </c>
    </row>
    <row r="77" ht="15" customHeight="1">
      <c r="A77" s="12">
        <f>IF(OR($B77="",$G77=""),"",TEXT($B77,"YYYYMMDD")&amp;"-"&amp;SUBSTITUTE($E77," ","")&amp;"-"&amp;$F77&amp;"-"&amp;$G77)</f>
        <v/>
      </c>
      <c r="B77" s="15" t="n"/>
      <c r="C77" s="16" t="n"/>
      <c r="D77" s="10" t="n"/>
      <c r="E77" s="9" t="n"/>
      <c r="F77" s="9" t="n"/>
      <c r="G77" s="13" t="n"/>
      <c r="H77" s="21" t="n"/>
      <c r="I77" s="21" t="n"/>
      <c r="J77" s="17">
        <f>IF($G77="","",IFERROR(INDEX(NomsEmployes,MATCH($G77,MatriculesEmployes,0)),"MATRICULE INCONNU"))</f>
        <v/>
      </c>
      <c r="K77" s="33">
        <f>IF(OR($D77="",$F77=""),"",IFERROR(IF(INDEX(RUNS!$L$6:$S$1005,MATCH($D77,RUNS!$A$6:$A$1005,0),MATCH("ACTIVITÉ "&amp;$F77,RUNS!$L$5:$S$5,0))="","",INDEX(RUNS!$L$6:$S$1005,MATCH($D77,RUNS!$A$6:$A$1005,0),MATCH("ACTIVITÉ "&amp;$F77,RUNS!$L$5:$S$5,0))),""))</f>
        <v/>
      </c>
      <c r="L77" s="33">
        <f>IF($D77="","",IFERROR(IF(INDEX(RUNS!$E$6:$E$1005,MATCH($D77,RUNS!$A$6:$A$1005,0))="","",INDEX(RUNS!$E$6:$E$1005,MATCH($D77,RUNS!$A$6:$A$1005,0))),""))</f>
        <v/>
      </c>
      <c r="M77" s="33">
        <f>IF($D77="","",IFERROR(IF(INDEX(RUNS!$F$6:$F$1005,MATCH($D77,RUNS!$A$6:$A$1005,0))="","",INDEX(RUNS!$F$6:$F$1005,MATCH($D77,RUNS!$A$6:$A$1005,0))),""))</f>
        <v/>
      </c>
      <c r="N77" s="33">
        <f>IF($D77="","",IFERROR(IF(INDEX(RUNS!$G$6:$G$1005,MATCH($D77,RUNS!$A$6:$A$1005,0))="","",INDEX(RUNS!$G$6:$G$1005,MATCH($D77,RUNS!$A$6:$A$1005,0))),""))</f>
        <v/>
      </c>
      <c r="O77" s="33">
        <f>IF($D77="","",IFERROR(IF(INDEX(RUNS!$H$6:$H$1005,MATCH($D77,RUNS!$A$6:$A$1005,0))="","",INDEX(RUNS!$H$6:$H$1005,MATCH($D77,RUNS!$A$6:$A$1005,0))),""))</f>
        <v/>
      </c>
      <c r="P77" s="33">
        <f>IF($D77="","",IFERROR(IF(INDEX(RUNS!$J$6:$J$1005,MATCH($D77,RUNS!$A$6:$A$1005,0))="","",INDEX(RUNS!$J$6:$J$1005,MATCH($D77,RUNS!$A$6:$A$1005,0))),""))</f>
        <v/>
      </c>
      <c r="Q77" s="33">
        <f>IF($D77="","",IFERROR(IF(INDEX(RUNS!$K$6:$K$1005,MATCH($D77,RUNS!$A$6:$A$1005,0))="","",INDEX(RUNS!$K$6:$K$1005,MATCH($D77,RUNS!$A$6:$A$1005,0))),""))</f>
        <v/>
      </c>
      <c r="R77" s="34">
        <f>IF(OR($L77="",$K77=""),"",IFERROR(IF(INDEX(PARAMETRES!$H$43:$H$342,MATCH($L77&amp;"|"&amp;$M77&amp;"|"&amp;$N77&amp;"|"&amp;$O77&amp;"|"&amp;$P77&amp;"|"&amp;$Q77&amp;"|"&amp;$K77,PARAMETRES!$J$43:$J$342,0))="","",INDEX(PARAMETRES!$H$43:$H$342,MATCH($L77&amp;"|"&amp;$M77&amp;"|"&amp;$N77&amp;"|"&amp;$O77&amp;"|"&amp;$P77&amp;"|"&amp;$Q77&amp;"|"&amp;$K77,PARAMETRES!$J$43:$J$342,0))),""))</f>
        <v/>
      </c>
      <c r="S77" s="35">
        <f>IF(OR($G77="",$X77&lt;&gt;"VALIDE"),"",IFERROR(LOOKUP(2,1/(($B$3:$B76=$B77)*($G$3:$G76=$G77)*($X$3:$X76="VALIDE")),$C$3:$C76),""))</f>
        <v/>
      </c>
      <c r="T77" s="36">
        <f>IF(OR($C77="",$S77=""),"",ROUND(($C77-$S77+IF($C77&lt;$S77,1,0))*1440,0))</f>
        <v/>
      </c>
      <c r="U77" s="22">
        <f>IF(OR($H77="",$T77="",$T77&lt;=0),"",$H77*60/$T77)</f>
        <v/>
      </c>
      <c r="V77" s="37">
        <f>IF(OR($U77="",$R77="",$R77=0),"",$U77/$R77)</f>
        <v/>
      </c>
      <c r="W77" s="20">
        <f>IF($G77="","",IF($X77="CONTEXTE INCOMPLET","CONTEXTE INCOMPLET",IF($X77="DOUBLON",StatutDoublon,IF($S77="",StatutInitial,IF($R77="",StatutStandardManquant,IF($V77="","DONNEES INSUFFISANTES",IF($V77&gt;=SeuilConforme,StatutConforme,IF($V77&gt;=SeuilSurveiller,StatutSurveiller,StatutSousStandard))))))))</f>
        <v/>
      </c>
      <c r="X77" s="33">
        <f>IF($G77="","",IF(OR($D77="",$E77="",$F77=""),"CONTEXTE INCOMPLET",IF(COUNTIFS($D$3:$D76,$D77,$E$3:$E76,$E77,$F$3:$F76,$F77,$G$3:$G76,$G77)&gt;0,"DOUBLON","VALIDE")))</f>
        <v/>
      </c>
    </row>
    <row r="78" ht="15" customHeight="1">
      <c r="A78" s="12">
        <f>IF(OR($B78="",$G78=""),"",TEXT($B78,"YYYYMMDD")&amp;"-"&amp;SUBSTITUTE($E78," ","")&amp;"-"&amp;$F78&amp;"-"&amp;$G78)</f>
        <v/>
      </c>
      <c r="B78" s="15" t="n"/>
      <c r="C78" s="16" t="n"/>
      <c r="D78" s="10" t="n"/>
      <c r="E78" s="9" t="n"/>
      <c r="F78" s="9" t="n"/>
      <c r="G78" s="13" t="n"/>
      <c r="H78" s="21" t="n"/>
      <c r="I78" s="21" t="n"/>
      <c r="J78" s="17">
        <f>IF($G78="","",IFERROR(INDEX(NomsEmployes,MATCH($G78,MatriculesEmployes,0)),"MATRICULE INCONNU"))</f>
        <v/>
      </c>
      <c r="K78" s="33">
        <f>IF(OR($D78="",$F78=""),"",IFERROR(IF(INDEX(RUNS!$L$6:$S$1005,MATCH($D78,RUNS!$A$6:$A$1005,0),MATCH("ACTIVITÉ "&amp;$F78,RUNS!$L$5:$S$5,0))="","",INDEX(RUNS!$L$6:$S$1005,MATCH($D78,RUNS!$A$6:$A$1005,0),MATCH("ACTIVITÉ "&amp;$F78,RUNS!$L$5:$S$5,0))),""))</f>
        <v/>
      </c>
      <c r="L78" s="33">
        <f>IF($D78="","",IFERROR(IF(INDEX(RUNS!$E$6:$E$1005,MATCH($D78,RUNS!$A$6:$A$1005,0))="","",INDEX(RUNS!$E$6:$E$1005,MATCH($D78,RUNS!$A$6:$A$1005,0))),""))</f>
        <v/>
      </c>
      <c r="M78" s="33">
        <f>IF($D78="","",IFERROR(IF(INDEX(RUNS!$F$6:$F$1005,MATCH($D78,RUNS!$A$6:$A$1005,0))="","",INDEX(RUNS!$F$6:$F$1005,MATCH($D78,RUNS!$A$6:$A$1005,0))),""))</f>
        <v/>
      </c>
      <c r="N78" s="33">
        <f>IF($D78="","",IFERROR(IF(INDEX(RUNS!$G$6:$G$1005,MATCH($D78,RUNS!$A$6:$A$1005,0))="","",INDEX(RUNS!$G$6:$G$1005,MATCH($D78,RUNS!$A$6:$A$1005,0))),""))</f>
        <v/>
      </c>
      <c r="O78" s="33">
        <f>IF($D78="","",IFERROR(IF(INDEX(RUNS!$H$6:$H$1005,MATCH($D78,RUNS!$A$6:$A$1005,0))="","",INDEX(RUNS!$H$6:$H$1005,MATCH($D78,RUNS!$A$6:$A$1005,0))),""))</f>
        <v/>
      </c>
      <c r="P78" s="33">
        <f>IF($D78="","",IFERROR(IF(INDEX(RUNS!$J$6:$J$1005,MATCH($D78,RUNS!$A$6:$A$1005,0))="","",INDEX(RUNS!$J$6:$J$1005,MATCH($D78,RUNS!$A$6:$A$1005,0))),""))</f>
        <v/>
      </c>
      <c r="Q78" s="33">
        <f>IF($D78="","",IFERROR(IF(INDEX(RUNS!$K$6:$K$1005,MATCH($D78,RUNS!$A$6:$A$1005,0))="","",INDEX(RUNS!$K$6:$K$1005,MATCH($D78,RUNS!$A$6:$A$1005,0))),""))</f>
        <v/>
      </c>
      <c r="R78" s="34">
        <f>IF(OR($L78="",$K78=""),"",IFERROR(IF(INDEX(PARAMETRES!$H$43:$H$342,MATCH($L78&amp;"|"&amp;$M78&amp;"|"&amp;$N78&amp;"|"&amp;$O78&amp;"|"&amp;$P78&amp;"|"&amp;$Q78&amp;"|"&amp;$K78,PARAMETRES!$J$43:$J$342,0))="","",INDEX(PARAMETRES!$H$43:$H$342,MATCH($L78&amp;"|"&amp;$M78&amp;"|"&amp;$N78&amp;"|"&amp;$O78&amp;"|"&amp;$P78&amp;"|"&amp;$Q78&amp;"|"&amp;$K78,PARAMETRES!$J$43:$J$342,0))),""))</f>
        <v/>
      </c>
      <c r="S78" s="35">
        <f>IF(OR($G78="",$X78&lt;&gt;"VALIDE"),"",IFERROR(LOOKUP(2,1/(($B$3:$B77=$B78)*($G$3:$G77=$G78)*($X$3:$X77="VALIDE")),$C$3:$C77),""))</f>
        <v/>
      </c>
      <c r="T78" s="36">
        <f>IF(OR($C78="",$S78=""),"",ROUND(($C78-$S78+IF($C78&lt;$S78,1,0))*1440,0))</f>
        <v/>
      </c>
      <c r="U78" s="22">
        <f>IF(OR($H78="",$T78="",$T78&lt;=0),"",$H78*60/$T78)</f>
        <v/>
      </c>
      <c r="V78" s="37">
        <f>IF(OR($U78="",$R78="",$R78=0),"",$U78/$R78)</f>
        <v/>
      </c>
      <c r="W78" s="20">
        <f>IF($G78="","",IF($X78="CONTEXTE INCOMPLET","CONTEXTE INCOMPLET",IF($X78="DOUBLON",StatutDoublon,IF($S78="",StatutInitial,IF($R78="",StatutStandardManquant,IF($V78="","DONNEES INSUFFISANTES",IF($V78&gt;=SeuilConforme,StatutConforme,IF($V78&gt;=SeuilSurveiller,StatutSurveiller,StatutSousStandard))))))))</f>
        <v/>
      </c>
      <c r="X78" s="33">
        <f>IF($G78="","",IF(OR($D78="",$E78="",$F78=""),"CONTEXTE INCOMPLET",IF(COUNTIFS($D$3:$D77,$D78,$E$3:$E77,$E78,$F$3:$F77,$F78,$G$3:$G77,$G78)&gt;0,"DOUBLON","VALIDE")))</f>
        <v/>
      </c>
    </row>
    <row r="79" ht="15" customHeight="1">
      <c r="A79" s="12">
        <f>IF(OR($B79="",$G79=""),"",TEXT($B79,"YYYYMMDD")&amp;"-"&amp;SUBSTITUTE($E79," ","")&amp;"-"&amp;$F79&amp;"-"&amp;$G79)</f>
        <v/>
      </c>
      <c r="B79" s="15" t="n"/>
      <c r="C79" s="16" t="n"/>
      <c r="D79" s="10" t="n"/>
      <c r="E79" s="9" t="n"/>
      <c r="F79" s="9" t="n"/>
      <c r="G79" s="13" t="n"/>
      <c r="H79" s="21" t="n"/>
      <c r="I79" s="21" t="n"/>
      <c r="J79" s="17">
        <f>IF($G79="","",IFERROR(INDEX(NomsEmployes,MATCH($G79,MatriculesEmployes,0)),"MATRICULE INCONNU"))</f>
        <v/>
      </c>
      <c r="K79" s="33">
        <f>IF(OR($D79="",$F79=""),"",IFERROR(IF(INDEX(RUNS!$L$6:$S$1005,MATCH($D79,RUNS!$A$6:$A$1005,0),MATCH("ACTIVITÉ "&amp;$F79,RUNS!$L$5:$S$5,0))="","",INDEX(RUNS!$L$6:$S$1005,MATCH($D79,RUNS!$A$6:$A$1005,0),MATCH("ACTIVITÉ "&amp;$F79,RUNS!$L$5:$S$5,0))),""))</f>
        <v/>
      </c>
      <c r="L79" s="33">
        <f>IF($D79="","",IFERROR(IF(INDEX(RUNS!$E$6:$E$1005,MATCH($D79,RUNS!$A$6:$A$1005,0))="","",INDEX(RUNS!$E$6:$E$1005,MATCH($D79,RUNS!$A$6:$A$1005,0))),""))</f>
        <v/>
      </c>
      <c r="M79" s="33">
        <f>IF($D79="","",IFERROR(IF(INDEX(RUNS!$F$6:$F$1005,MATCH($D79,RUNS!$A$6:$A$1005,0))="","",INDEX(RUNS!$F$6:$F$1005,MATCH($D79,RUNS!$A$6:$A$1005,0))),""))</f>
        <v/>
      </c>
      <c r="N79" s="33">
        <f>IF($D79="","",IFERROR(IF(INDEX(RUNS!$G$6:$G$1005,MATCH($D79,RUNS!$A$6:$A$1005,0))="","",INDEX(RUNS!$G$6:$G$1005,MATCH($D79,RUNS!$A$6:$A$1005,0))),""))</f>
        <v/>
      </c>
      <c r="O79" s="33">
        <f>IF($D79="","",IFERROR(IF(INDEX(RUNS!$H$6:$H$1005,MATCH($D79,RUNS!$A$6:$A$1005,0))="","",INDEX(RUNS!$H$6:$H$1005,MATCH($D79,RUNS!$A$6:$A$1005,0))),""))</f>
        <v/>
      </c>
      <c r="P79" s="33">
        <f>IF($D79="","",IFERROR(IF(INDEX(RUNS!$J$6:$J$1005,MATCH($D79,RUNS!$A$6:$A$1005,0))="","",INDEX(RUNS!$J$6:$J$1005,MATCH($D79,RUNS!$A$6:$A$1005,0))),""))</f>
        <v/>
      </c>
      <c r="Q79" s="33">
        <f>IF($D79="","",IFERROR(IF(INDEX(RUNS!$K$6:$K$1005,MATCH($D79,RUNS!$A$6:$A$1005,0))="","",INDEX(RUNS!$K$6:$K$1005,MATCH($D79,RUNS!$A$6:$A$1005,0))),""))</f>
        <v/>
      </c>
      <c r="R79" s="34">
        <f>IF(OR($L79="",$K79=""),"",IFERROR(IF(INDEX(PARAMETRES!$H$43:$H$342,MATCH($L79&amp;"|"&amp;$M79&amp;"|"&amp;$N79&amp;"|"&amp;$O79&amp;"|"&amp;$P79&amp;"|"&amp;$Q79&amp;"|"&amp;$K79,PARAMETRES!$J$43:$J$342,0))="","",INDEX(PARAMETRES!$H$43:$H$342,MATCH($L79&amp;"|"&amp;$M79&amp;"|"&amp;$N79&amp;"|"&amp;$O79&amp;"|"&amp;$P79&amp;"|"&amp;$Q79&amp;"|"&amp;$K79,PARAMETRES!$J$43:$J$342,0))),""))</f>
        <v/>
      </c>
      <c r="S79" s="35">
        <f>IF(OR($G79="",$X79&lt;&gt;"VALIDE"),"",IFERROR(LOOKUP(2,1/(($B$3:$B78=$B79)*($G$3:$G78=$G79)*($X$3:$X78="VALIDE")),$C$3:$C78),""))</f>
        <v/>
      </c>
      <c r="T79" s="36">
        <f>IF(OR($C79="",$S79=""),"",ROUND(($C79-$S79+IF($C79&lt;$S79,1,0))*1440,0))</f>
        <v/>
      </c>
      <c r="U79" s="22">
        <f>IF(OR($H79="",$T79="",$T79&lt;=0),"",$H79*60/$T79)</f>
        <v/>
      </c>
      <c r="V79" s="37">
        <f>IF(OR($U79="",$R79="",$R79=0),"",$U79/$R79)</f>
        <v/>
      </c>
      <c r="W79" s="20">
        <f>IF($G79="","",IF($X79="CONTEXTE INCOMPLET","CONTEXTE INCOMPLET",IF($X79="DOUBLON",StatutDoublon,IF($S79="",StatutInitial,IF($R79="",StatutStandardManquant,IF($V79="","DONNEES INSUFFISANTES",IF($V79&gt;=SeuilConforme,StatutConforme,IF($V79&gt;=SeuilSurveiller,StatutSurveiller,StatutSousStandard))))))))</f>
        <v/>
      </c>
      <c r="X79" s="33">
        <f>IF($G79="","",IF(OR($D79="",$E79="",$F79=""),"CONTEXTE INCOMPLET",IF(COUNTIFS($D$3:$D78,$D79,$E$3:$E78,$E79,$F$3:$F78,$F79,$G$3:$G78,$G79)&gt;0,"DOUBLON","VALIDE")))</f>
        <v/>
      </c>
    </row>
    <row r="80" ht="15" customHeight="1">
      <c r="A80" s="12">
        <f>IF(OR($B80="",$G80=""),"",TEXT($B80,"YYYYMMDD")&amp;"-"&amp;SUBSTITUTE($E80," ","")&amp;"-"&amp;$F80&amp;"-"&amp;$G80)</f>
        <v/>
      </c>
      <c r="B80" s="15" t="n"/>
      <c r="C80" s="16" t="n"/>
      <c r="D80" s="10" t="n"/>
      <c r="E80" s="9" t="n"/>
      <c r="F80" s="9" t="n"/>
      <c r="G80" s="13" t="n"/>
      <c r="H80" s="21" t="n"/>
      <c r="I80" s="21" t="n"/>
      <c r="J80" s="17">
        <f>IF($G80="","",IFERROR(INDEX(NomsEmployes,MATCH($G80,MatriculesEmployes,0)),"MATRICULE INCONNU"))</f>
        <v/>
      </c>
      <c r="K80" s="33">
        <f>IF(OR($D80="",$F80=""),"",IFERROR(IF(INDEX(RUNS!$L$6:$S$1005,MATCH($D80,RUNS!$A$6:$A$1005,0),MATCH("ACTIVITÉ "&amp;$F80,RUNS!$L$5:$S$5,0))="","",INDEX(RUNS!$L$6:$S$1005,MATCH($D80,RUNS!$A$6:$A$1005,0),MATCH("ACTIVITÉ "&amp;$F80,RUNS!$L$5:$S$5,0))),""))</f>
        <v/>
      </c>
      <c r="L80" s="33">
        <f>IF($D80="","",IFERROR(IF(INDEX(RUNS!$E$6:$E$1005,MATCH($D80,RUNS!$A$6:$A$1005,0))="","",INDEX(RUNS!$E$6:$E$1005,MATCH($D80,RUNS!$A$6:$A$1005,0))),""))</f>
        <v/>
      </c>
      <c r="M80" s="33">
        <f>IF($D80="","",IFERROR(IF(INDEX(RUNS!$F$6:$F$1005,MATCH($D80,RUNS!$A$6:$A$1005,0))="","",INDEX(RUNS!$F$6:$F$1005,MATCH($D80,RUNS!$A$6:$A$1005,0))),""))</f>
        <v/>
      </c>
      <c r="N80" s="33">
        <f>IF($D80="","",IFERROR(IF(INDEX(RUNS!$G$6:$G$1005,MATCH($D80,RUNS!$A$6:$A$1005,0))="","",INDEX(RUNS!$G$6:$G$1005,MATCH($D80,RUNS!$A$6:$A$1005,0))),""))</f>
        <v/>
      </c>
      <c r="O80" s="33">
        <f>IF($D80="","",IFERROR(IF(INDEX(RUNS!$H$6:$H$1005,MATCH($D80,RUNS!$A$6:$A$1005,0))="","",INDEX(RUNS!$H$6:$H$1005,MATCH($D80,RUNS!$A$6:$A$1005,0))),""))</f>
        <v/>
      </c>
      <c r="P80" s="33">
        <f>IF($D80="","",IFERROR(IF(INDEX(RUNS!$J$6:$J$1005,MATCH($D80,RUNS!$A$6:$A$1005,0))="","",INDEX(RUNS!$J$6:$J$1005,MATCH($D80,RUNS!$A$6:$A$1005,0))),""))</f>
        <v/>
      </c>
      <c r="Q80" s="33">
        <f>IF($D80="","",IFERROR(IF(INDEX(RUNS!$K$6:$K$1005,MATCH($D80,RUNS!$A$6:$A$1005,0))="","",INDEX(RUNS!$K$6:$K$1005,MATCH($D80,RUNS!$A$6:$A$1005,0))),""))</f>
        <v/>
      </c>
      <c r="R80" s="34">
        <f>IF(OR($L80="",$K80=""),"",IFERROR(IF(INDEX(PARAMETRES!$H$43:$H$342,MATCH($L80&amp;"|"&amp;$M80&amp;"|"&amp;$N80&amp;"|"&amp;$O80&amp;"|"&amp;$P80&amp;"|"&amp;$Q80&amp;"|"&amp;$K80,PARAMETRES!$J$43:$J$342,0))="","",INDEX(PARAMETRES!$H$43:$H$342,MATCH($L80&amp;"|"&amp;$M80&amp;"|"&amp;$N80&amp;"|"&amp;$O80&amp;"|"&amp;$P80&amp;"|"&amp;$Q80&amp;"|"&amp;$K80,PARAMETRES!$J$43:$J$342,0))),""))</f>
        <v/>
      </c>
      <c r="S80" s="35">
        <f>IF(OR($G80="",$X80&lt;&gt;"VALIDE"),"",IFERROR(LOOKUP(2,1/(($B$3:$B79=$B80)*($G$3:$G79=$G80)*($X$3:$X79="VALIDE")),$C$3:$C79),""))</f>
        <v/>
      </c>
      <c r="T80" s="36">
        <f>IF(OR($C80="",$S80=""),"",ROUND(($C80-$S80+IF($C80&lt;$S80,1,0))*1440,0))</f>
        <v/>
      </c>
      <c r="U80" s="22">
        <f>IF(OR($H80="",$T80="",$T80&lt;=0),"",$H80*60/$T80)</f>
        <v/>
      </c>
      <c r="V80" s="37">
        <f>IF(OR($U80="",$R80="",$R80=0),"",$U80/$R80)</f>
        <v/>
      </c>
      <c r="W80" s="20">
        <f>IF($G80="","",IF($X80="CONTEXTE INCOMPLET","CONTEXTE INCOMPLET",IF($X80="DOUBLON",StatutDoublon,IF($S80="",StatutInitial,IF($R80="",StatutStandardManquant,IF($V80="","DONNEES INSUFFISANTES",IF($V80&gt;=SeuilConforme,StatutConforme,IF($V80&gt;=SeuilSurveiller,StatutSurveiller,StatutSousStandard))))))))</f>
        <v/>
      </c>
      <c r="X80" s="33">
        <f>IF($G80="","",IF(OR($D80="",$E80="",$F80=""),"CONTEXTE INCOMPLET",IF(COUNTIFS($D$3:$D79,$D80,$E$3:$E79,$E80,$F$3:$F79,$F80,$G$3:$G79,$G80)&gt;0,"DOUBLON","VALIDE")))</f>
        <v/>
      </c>
    </row>
    <row r="81" ht="15" customHeight="1">
      <c r="A81" s="12">
        <f>IF(OR($B81="",$G81=""),"",TEXT($B81,"YYYYMMDD")&amp;"-"&amp;SUBSTITUTE($E81," ","")&amp;"-"&amp;$F81&amp;"-"&amp;$G81)</f>
        <v/>
      </c>
      <c r="B81" s="15" t="n"/>
      <c r="C81" s="16" t="n"/>
      <c r="D81" s="10" t="n"/>
      <c r="E81" s="9" t="n"/>
      <c r="F81" s="9" t="n"/>
      <c r="G81" s="13" t="n"/>
      <c r="H81" s="21" t="n"/>
      <c r="I81" s="21" t="n"/>
      <c r="J81" s="17">
        <f>IF($G81="","",IFERROR(INDEX(NomsEmployes,MATCH($G81,MatriculesEmployes,0)),"MATRICULE INCONNU"))</f>
        <v/>
      </c>
      <c r="K81" s="33">
        <f>IF(OR($D81="",$F81=""),"",IFERROR(IF(INDEX(RUNS!$L$6:$S$1005,MATCH($D81,RUNS!$A$6:$A$1005,0),MATCH("ACTIVITÉ "&amp;$F81,RUNS!$L$5:$S$5,0))="","",INDEX(RUNS!$L$6:$S$1005,MATCH($D81,RUNS!$A$6:$A$1005,0),MATCH("ACTIVITÉ "&amp;$F81,RUNS!$L$5:$S$5,0))),""))</f>
        <v/>
      </c>
      <c r="L81" s="33">
        <f>IF($D81="","",IFERROR(IF(INDEX(RUNS!$E$6:$E$1005,MATCH($D81,RUNS!$A$6:$A$1005,0))="","",INDEX(RUNS!$E$6:$E$1005,MATCH($D81,RUNS!$A$6:$A$1005,0))),""))</f>
        <v/>
      </c>
      <c r="M81" s="33">
        <f>IF($D81="","",IFERROR(IF(INDEX(RUNS!$F$6:$F$1005,MATCH($D81,RUNS!$A$6:$A$1005,0))="","",INDEX(RUNS!$F$6:$F$1005,MATCH($D81,RUNS!$A$6:$A$1005,0))),""))</f>
        <v/>
      </c>
      <c r="N81" s="33">
        <f>IF($D81="","",IFERROR(IF(INDEX(RUNS!$G$6:$G$1005,MATCH($D81,RUNS!$A$6:$A$1005,0))="","",INDEX(RUNS!$G$6:$G$1005,MATCH($D81,RUNS!$A$6:$A$1005,0))),""))</f>
        <v/>
      </c>
      <c r="O81" s="33">
        <f>IF($D81="","",IFERROR(IF(INDEX(RUNS!$H$6:$H$1005,MATCH($D81,RUNS!$A$6:$A$1005,0))="","",INDEX(RUNS!$H$6:$H$1005,MATCH($D81,RUNS!$A$6:$A$1005,0))),""))</f>
        <v/>
      </c>
      <c r="P81" s="33">
        <f>IF($D81="","",IFERROR(IF(INDEX(RUNS!$J$6:$J$1005,MATCH($D81,RUNS!$A$6:$A$1005,0))="","",INDEX(RUNS!$J$6:$J$1005,MATCH($D81,RUNS!$A$6:$A$1005,0))),""))</f>
        <v/>
      </c>
      <c r="Q81" s="33">
        <f>IF($D81="","",IFERROR(IF(INDEX(RUNS!$K$6:$K$1005,MATCH($D81,RUNS!$A$6:$A$1005,0))="","",INDEX(RUNS!$K$6:$K$1005,MATCH($D81,RUNS!$A$6:$A$1005,0))),""))</f>
        <v/>
      </c>
      <c r="R81" s="34">
        <f>IF(OR($L81="",$K81=""),"",IFERROR(IF(INDEX(PARAMETRES!$H$43:$H$342,MATCH($L81&amp;"|"&amp;$M81&amp;"|"&amp;$N81&amp;"|"&amp;$O81&amp;"|"&amp;$P81&amp;"|"&amp;$Q81&amp;"|"&amp;$K81,PARAMETRES!$J$43:$J$342,0))="","",INDEX(PARAMETRES!$H$43:$H$342,MATCH($L81&amp;"|"&amp;$M81&amp;"|"&amp;$N81&amp;"|"&amp;$O81&amp;"|"&amp;$P81&amp;"|"&amp;$Q81&amp;"|"&amp;$K81,PARAMETRES!$J$43:$J$342,0))),""))</f>
        <v/>
      </c>
      <c r="S81" s="35">
        <f>IF(OR($G81="",$X81&lt;&gt;"VALIDE"),"",IFERROR(LOOKUP(2,1/(($B$3:$B80=$B81)*($G$3:$G80=$G81)*($X$3:$X80="VALIDE")),$C$3:$C80),""))</f>
        <v/>
      </c>
      <c r="T81" s="36">
        <f>IF(OR($C81="",$S81=""),"",ROUND(($C81-$S81+IF($C81&lt;$S81,1,0))*1440,0))</f>
        <v/>
      </c>
      <c r="U81" s="22">
        <f>IF(OR($H81="",$T81="",$T81&lt;=0),"",$H81*60/$T81)</f>
        <v/>
      </c>
      <c r="V81" s="37">
        <f>IF(OR($U81="",$R81="",$R81=0),"",$U81/$R81)</f>
        <v/>
      </c>
      <c r="W81" s="20">
        <f>IF($G81="","",IF($X81="CONTEXTE INCOMPLET","CONTEXTE INCOMPLET",IF($X81="DOUBLON",StatutDoublon,IF($S81="",StatutInitial,IF($R81="",StatutStandardManquant,IF($V81="","DONNEES INSUFFISANTES",IF($V81&gt;=SeuilConforme,StatutConforme,IF($V81&gt;=SeuilSurveiller,StatutSurveiller,StatutSousStandard))))))))</f>
        <v/>
      </c>
      <c r="X81" s="33">
        <f>IF($G81="","",IF(OR($D81="",$E81="",$F81=""),"CONTEXTE INCOMPLET",IF(COUNTIFS($D$3:$D80,$D81,$E$3:$E80,$E81,$F$3:$F80,$F81,$G$3:$G80,$G81)&gt;0,"DOUBLON","VALIDE")))</f>
        <v/>
      </c>
    </row>
    <row r="82" ht="15" customHeight="1">
      <c r="A82" s="12">
        <f>IF(OR($B82="",$G82=""),"",TEXT($B82,"YYYYMMDD")&amp;"-"&amp;SUBSTITUTE($E82," ","")&amp;"-"&amp;$F82&amp;"-"&amp;$G82)</f>
        <v/>
      </c>
      <c r="B82" s="15" t="n"/>
      <c r="C82" s="16" t="n"/>
      <c r="D82" s="10" t="n"/>
      <c r="E82" s="9" t="n"/>
      <c r="F82" s="9" t="n"/>
      <c r="G82" s="13" t="n"/>
      <c r="H82" s="21" t="n"/>
      <c r="I82" s="21" t="n"/>
      <c r="J82" s="17">
        <f>IF($G82="","",IFERROR(INDEX(NomsEmployes,MATCH($G82,MatriculesEmployes,0)),"MATRICULE INCONNU"))</f>
        <v/>
      </c>
      <c r="K82" s="33">
        <f>IF(OR($D82="",$F82=""),"",IFERROR(IF(INDEX(RUNS!$L$6:$S$1005,MATCH($D82,RUNS!$A$6:$A$1005,0),MATCH("ACTIVITÉ "&amp;$F82,RUNS!$L$5:$S$5,0))="","",INDEX(RUNS!$L$6:$S$1005,MATCH($D82,RUNS!$A$6:$A$1005,0),MATCH("ACTIVITÉ "&amp;$F82,RUNS!$L$5:$S$5,0))),""))</f>
        <v/>
      </c>
      <c r="L82" s="33">
        <f>IF($D82="","",IFERROR(IF(INDEX(RUNS!$E$6:$E$1005,MATCH($D82,RUNS!$A$6:$A$1005,0))="","",INDEX(RUNS!$E$6:$E$1005,MATCH($D82,RUNS!$A$6:$A$1005,0))),""))</f>
        <v/>
      </c>
      <c r="M82" s="33">
        <f>IF($D82="","",IFERROR(IF(INDEX(RUNS!$F$6:$F$1005,MATCH($D82,RUNS!$A$6:$A$1005,0))="","",INDEX(RUNS!$F$6:$F$1005,MATCH($D82,RUNS!$A$6:$A$1005,0))),""))</f>
        <v/>
      </c>
      <c r="N82" s="33">
        <f>IF($D82="","",IFERROR(IF(INDEX(RUNS!$G$6:$G$1005,MATCH($D82,RUNS!$A$6:$A$1005,0))="","",INDEX(RUNS!$G$6:$G$1005,MATCH($D82,RUNS!$A$6:$A$1005,0))),""))</f>
        <v/>
      </c>
      <c r="O82" s="33">
        <f>IF($D82="","",IFERROR(IF(INDEX(RUNS!$H$6:$H$1005,MATCH($D82,RUNS!$A$6:$A$1005,0))="","",INDEX(RUNS!$H$6:$H$1005,MATCH($D82,RUNS!$A$6:$A$1005,0))),""))</f>
        <v/>
      </c>
      <c r="P82" s="33">
        <f>IF($D82="","",IFERROR(IF(INDEX(RUNS!$J$6:$J$1005,MATCH($D82,RUNS!$A$6:$A$1005,0))="","",INDEX(RUNS!$J$6:$J$1005,MATCH($D82,RUNS!$A$6:$A$1005,0))),""))</f>
        <v/>
      </c>
      <c r="Q82" s="33">
        <f>IF($D82="","",IFERROR(IF(INDEX(RUNS!$K$6:$K$1005,MATCH($D82,RUNS!$A$6:$A$1005,0))="","",INDEX(RUNS!$K$6:$K$1005,MATCH($D82,RUNS!$A$6:$A$1005,0))),""))</f>
        <v/>
      </c>
      <c r="R82" s="34">
        <f>IF(OR($L82="",$K82=""),"",IFERROR(IF(INDEX(PARAMETRES!$H$43:$H$342,MATCH($L82&amp;"|"&amp;$M82&amp;"|"&amp;$N82&amp;"|"&amp;$O82&amp;"|"&amp;$P82&amp;"|"&amp;$Q82&amp;"|"&amp;$K82,PARAMETRES!$J$43:$J$342,0))="","",INDEX(PARAMETRES!$H$43:$H$342,MATCH($L82&amp;"|"&amp;$M82&amp;"|"&amp;$N82&amp;"|"&amp;$O82&amp;"|"&amp;$P82&amp;"|"&amp;$Q82&amp;"|"&amp;$K82,PARAMETRES!$J$43:$J$342,0))),""))</f>
        <v/>
      </c>
      <c r="S82" s="35">
        <f>IF(OR($G82="",$X82&lt;&gt;"VALIDE"),"",IFERROR(LOOKUP(2,1/(($B$3:$B81=$B82)*($G$3:$G81=$G82)*($X$3:$X81="VALIDE")),$C$3:$C81),""))</f>
        <v/>
      </c>
      <c r="T82" s="36">
        <f>IF(OR($C82="",$S82=""),"",ROUND(($C82-$S82+IF($C82&lt;$S82,1,0))*1440,0))</f>
        <v/>
      </c>
      <c r="U82" s="22">
        <f>IF(OR($H82="",$T82="",$T82&lt;=0),"",$H82*60/$T82)</f>
        <v/>
      </c>
      <c r="V82" s="37">
        <f>IF(OR($U82="",$R82="",$R82=0),"",$U82/$R82)</f>
        <v/>
      </c>
      <c r="W82" s="20">
        <f>IF($G82="","",IF($X82="CONTEXTE INCOMPLET","CONTEXTE INCOMPLET",IF($X82="DOUBLON",StatutDoublon,IF($S82="",StatutInitial,IF($R82="",StatutStandardManquant,IF($V82="","DONNEES INSUFFISANTES",IF($V82&gt;=SeuilConforme,StatutConforme,IF($V82&gt;=SeuilSurveiller,StatutSurveiller,StatutSousStandard))))))))</f>
        <v/>
      </c>
      <c r="X82" s="33">
        <f>IF($G82="","",IF(OR($D82="",$E82="",$F82=""),"CONTEXTE INCOMPLET",IF(COUNTIFS($D$3:$D81,$D82,$E$3:$E81,$E82,$F$3:$F81,$F82,$G$3:$G81,$G82)&gt;0,"DOUBLON","VALIDE")))</f>
        <v/>
      </c>
    </row>
    <row r="83" ht="15" customHeight="1">
      <c r="A83" s="12">
        <f>IF(OR($B83="",$G83=""),"",TEXT($B83,"YYYYMMDD")&amp;"-"&amp;SUBSTITUTE($E83," ","")&amp;"-"&amp;$F83&amp;"-"&amp;$G83)</f>
        <v/>
      </c>
      <c r="B83" s="15" t="n"/>
      <c r="C83" s="16" t="n"/>
      <c r="D83" s="10" t="n"/>
      <c r="E83" s="9" t="n"/>
      <c r="F83" s="9" t="n"/>
      <c r="G83" s="13" t="n"/>
      <c r="H83" s="21" t="n"/>
      <c r="I83" s="21" t="n"/>
      <c r="J83" s="17">
        <f>IF($G83="","",IFERROR(INDEX(NomsEmployes,MATCH($G83,MatriculesEmployes,0)),"MATRICULE INCONNU"))</f>
        <v/>
      </c>
      <c r="K83" s="33">
        <f>IF(OR($D83="",$F83=""),"",IFERROR(IF(INDEX(RUNS!$L$6:$S$1005,MATCH($D83,RUNS!$A$6:$A$1005,0),MATCH("ACTIVITÉ "&amp;$F83,RUNS!$L$5:$S$5,0))="","",INDEX(RUNS!$L$6:$S$1005,MATCH($D83,RUNS!$A$6:$A$1005,0),MATCH("ACTIVITÉ "&amp;$F83,RUNS!$L$5:$S$5,0))),""))</f>
        <v/>
      </c>
      <c r="L83" s="33">
        <f>IF($D83="","",IFERROR(IF(INDEX(RUNS!$E$6:$E$1005,MATCH($D83,RUNS!$A$6:$A$1005,0))="","",INDEX(RUNS!$E$6:$E$1005,MATCH($D83,RUNS!$A$6:$A$1005,0))),""))</f>
        <v/>
      </c>
      <c r="M83" s="33">
        <f>IF($D83="","",IFERROR(IF(INDEX(RUNS!$F$6:$F$1005,MATCH($D83,RUNS!$A$6:$A$1005,0))="","",INDEX(RUNS!$F$6:$F$1005,MATCH($D83,RUNS!$A$6:$A$1005,0))),""))</f>
        <v/>
      </c>
      <c r="N83" s="33">
        <f>IF($D83="","",IFERROR(IF(INDEX(RUNS!$G$6:$G$1005,MATCH($D83,RUNS!$A$6:$A$1005,0))="","",INDEX(RUNS!$G$6:$G$1005,MATCH($D83,RUNS!$A$6:$A$1005,0))),""))</f>
        <v/>
      </c>
      <c r="O83" s="33">
        <f>IF($D83="","",IFERROR(IF(INDEX(RUNS!$H$6:$H$1005,MATCH($D83,RUNS!$A$6:$A$1005,0))="","",INDEX(RUNS!$H$6:$H$1005,MATCH($D83,RUNS!$A$6:$A$1005,0))),""))</f>
        <v/>
      </c>
      <c r="P83" s="33">
        <f>IF($D83="","",IFERROR(IF(INDEX(RUNS!$J$6:$J$1005,MATCH($D83,RUNS!$A$6:$A$1005,0))="","",INDEX(RUNS!$J$6:$J$1005,MATCH($D83,RUNS!$A$6:$A$1005,0))),""))</f>
        <v/>
      </c>
      <c r="Q83" s="33">
        <f>IF($D83="","",IFERROR(IF(INDEX(RUNS!$K$6:$K$1005,MATCH($D83,RUNS!$A$6:$A$1005,0))="","",INDEX(RUNS!$K$6:$K$1005,MATCH($D83,RUNS!$A$6:$A$1005,0))),""))</f>
        <v/>
      </c>
      <c r="R83" s="34">
        <f>IF(OR($L83="",$K83=""),"",IFERROR(IF(INDEX(PARAMETRES!$H$43:$H$342,MATCH($L83&amp;"|"&amp;$M83&amp;"|"&amp;$N83&amp;"|"&amp;$O83&amp;"|"&amp;$P83&amp;"|"&amp;$Q83&amp;"|"&amp;$K83,PARAMETRES!$J$43:$J$342,0))="","",INDEX(PARAMETRES!$H$43:$H$342,MATCH($L83&amp;"|"&amp;$M83&amp;"|"&amp;$N83&amp;"|"&amp;$O83&amp;"|"&amp;$P83&amp;"|"&amp;$Q83&amp;"|"&amp;$K83,PARAMETRES!$J$43:$J$342,0))),""))</f>
        <v/>
      </c>
      <c r="S83" s="35">
        <f>IF(OR($G83="",$X83&lt;&gt;"VALIDE"),"",IFERROR(LOOKUP(2,1/(($B$3:$B82=$B83)*($G$3:$G82=$G83)*($X$3:$X82="VALIDE")),$C$3:$C82),""))</f>
        <v/>
      </c>
      <c r="T83" s="36">
        <f>IF(OR($C83="",$S83=""),"",ROUND(($C83-$S83+IF($C83&lt;$S83,1,0))*1440,0))</f>
        <v/>
      </c>
      <c r="U83" s="22">
        <f>IF(OR($H83="",$T83="",$T83&lt;=0),"",$H83*60/$T83)</f>
        <v/>
      </c>
      <c r="V83" s="37">
        <f>IF(OR($U83="",$R83="",$R83=0),"",$U83/$R83)</f>
        <v/>
      </c>
      <c r="W83" s="20">
        <f>IF($G83="","",IF($X83="CONTEXTE INCOMPLET","CONTEXTE INCOMPLET",IF($X83="DOUBLON",StatutDoublon,IF($S83="",StatutInitial,IF($R83="",StatutStandardManquant,IF($V83="","DONNEES INSUFFISANTES",IF($V83&gt;=SeuilConforme,StatutConforme,IF($V83&gt;=SeuilSurveiller,StatutSurveiller,StatutSousStandard))))))))</f>
        <v/>
      </c>
      <c r="X83" s="33">
        <f>IF($G83="","",IF(OR($D83="",$E83="",$F83=""),"CONTEXTE INCOMPLET",IF(COUNTIFS($D$3:$D82,$D83,$E$3:$E82,$E83,$F$3:$F82,$F83,$G$3:$G82,$G83)&gt;0,"DOUBLON","VALIDE")))</f>
        <v/>
      </c>
    </row>
    <row r="84" ht="15" customHeight="1">
      <c r="A84" s="12">
        <f>IF(OR($B84="",$G84=""),"",TEXT($B84,"YYYYMMDD")&amp;"-"&amp;SUBSTITUTE($E84," ","")&amp;"-"&amp;$F84&amp;"-"&amp;$G84)</f>
        <v/>
      </c>
      <c r="B84" s="15" t="n"/>
      <c r="C84" s="16" t="n"/>
      <c r="D84" s="10" t="n"/>
      <c r="E84" s="9" t="n"/>
      <c r="F84" s="9" t="n"/>
      <c r="G84" s="13" t="n"/>
      <c r="H84" s="21" t="n"/>
      <c r="I84" s="21" t="n"/>
      <c r="J84" s="17">
        <f>IF($G84="","",IFERROR(INDEX(NomsEmployes,MATCH($G84,MatriculesEmployes,0)),"MATRICULE INCONNU"))</f>
        <v/>
      </c>
      <c r="K84" s="33">
        <f>IF(OR($D84="",$F84=""),"",IFERROR(IF(INDEX(RUNS!$L$6:$S$1005,MATCH($D84,RUNS!$A$6:$A$1005,0),MATCH("ACTIVITÉ "&amp;$F84,RUNS!$L$5:$S$5,0))="","",INDEX(RUNS!$L$6:$S$1005,MATCH($D84,RUNS!$A$6:$A$1005,0),MATCH("ACTIVITÉ "&amp;$F84,RUNS!$L$5:$S$5,0))),""))</f>
        <v/>
      </c>
      <c r="L84" s="33">
        <f>IF($D84="","",IFERROR(IF(INDEX(RUNS!$E$6:$E$1005,MATCH($D84,RUNS!$A$6:$A$1005,0))="","",INDEX(RUNS!$E$6:$E$1005,MATCH($D84,RUNS!$A$6:$A$1005,0))),""))</f>
        <v/>
      </c>
      <c r="M84" s="33">
        <f>IF($D84="","",IFERROR(IF(INDEX(RUNS!$F$6:$F$1005,MATCH($D84,RUNS!$A$6:$A$1005,0))="","",INDEX(RUNS!$F$6:$F$1005,MATCH($D84,RUNS!$A$6:$A$1005,0))),""))</f>
        <v/>
      </c>
      <c r="N84" s="33">
        <f>IF($D84="","",IFERROR(IF(INDEX(RUNS!$G$6:$G$1005,MATCH($D84,RUNS!$A$6:$A$1005,0))="","",INDEX(RUNS!$G$6:$G$1005,MATCH($D84,RUNS!$A$6:$A$1005,0))),""))</f>
        <v/>
      </c>
      <c r="O84" s="33">
        <f>IF($D84="","",IFERROR(IF(INDEX(RUNS!$H$6:$H$1005,MATCH($D84,RUNS!$A$6:$A$1005,0))="","",INDEX(RUNS!$H$6:$H$1005,MATCH($D84,RUNS!$A$6:$A$1005,0))),""))</f>
        <v/>
      </c>
      <c r="P84" s="33">
        <f>IF($D84="","",IFERROR(IF(INDEX(RUNS!$J$6:$J$1005,MATCH($D84,RUNS!$A$6:$A$1005,0))="","",INDEX(RUNS!$J$6:$J$1005,MATCH($D84,RUNS!$A$6:$A$1005,0))),""))</f>
        <v/>
      </c>
      <c r="Q84" s="33">
        <f>IF($D84="","",IFERROR(IF(INDEX(RUNS!$K$6:$K$1005,MATCH($D84,RUNS!$A$6:$A$1005,0))="","",INDEX(RUNS!$K$6:$K$1005,MATCH($D84,RUNS!$A$6:$A$1005,0))),""))</f>
        <v/>
      </c>
      <c r="R84" s="34">
        <f>IF(OR($L84="",$K84=""),"",IFERROR(IF(INDEX(PARAMETRES!$H$43:$H$342,MATCH($L84&amp;"|"&amp;$M84&amp;"|"&amp;$N84&amp;"|"&amp;$O84&amp;"|"&amp;$P84&amp;"|"&amp;$Q84&amp;"|"&amp;$K84,PARAMETRES!$J$43:$J$342,0))="","",INDEX(PARAMETRES!$H$43:$H$342,MATCH($L84&amp;"|"&amp;$M84&amp;"|"&amp;$N84&amp;"|"&amp;$O84&amp;"|"&amp;$P84&amp;"|"&amp;$Q84&amp;"|"&amp;$K84,PARAMETRES!$J$43:$J$342,0))),""))</f>
        <v/>
      </c>
      <c r="S84" s="35">
        <f>IF(OR($G84="",$X84&lt;&gt;"VALIDE"),"",IFERROR(LOOKUP(2,1/(($B$3:$B83=$B84)*($G$3:$G83=$G84)*($X$3:$X83="VALIDE")),$C$3:$C83),""))</f>
        <v/>
      </c>
      <c r="T84" s="36">
        <f>IF(OR($C84="",$S84=""),"",ROUND(($C84-$S84+IF($C84&lt;$S84,1,0))*1440,0))</f>
        <v/>
      </c>
      <c r="U84" s="22">
        <f>IF(OR($H84="",$T84="",$T84&lt;=0),"",$H84*60/$T84)</f>
        <v/>
      </c>
      <c r="V84" s="37">
        <f>IF(OR($U84="",$R84="",$R84=0),"",$U84/$R84)</f>
        <v/>
      </c>
      <c r="W84" s="20">
        <f>IF($G84="","",IF($X84="CONTEXTE INCOMPLET","CONTEXTE INCOMPLET",IF($X84="DOUBLON",StatutDoublon,IF($S84="",StatutInitial,IF($R84="",StatutStandardManquant,IF($V84="","DONNEES INSUFFISANTES",IF($V84&gt;=SeuilConforme,StatutConforme,IF($V84&gt;=SeuilSurveiller,StatutSurveiller,StatutSousStandard))))))))</f>
        <v/>
      </c>
      <c r="X84" s="33">
        <f>IF($G84="","",IF(OR($D84="",$E84="",$F84=""),"CONTEXTE INCOMPLET",IF(COUNTIFS($D$3:$D83,$D84,$E$3:$E83,$E84,$F$3:$F83,$F84,$G$3:$G83,$G84)&gt;0,"DOUBLON","VALIDE")))</f>
        <v/>
      </c>
    </row>
    <row r="85" ht="15" customHeight="1">
      <c r="A85" s="12">
        <f>IF(OR($B85="",$G85=""),"",TEXT($B85,"YYYYMMDD")&amp;"-"&amp;SUBSTITUTE($E85," ","")&amp;"-"&amp;$F85&amp;"-"&amp;$G85)</f>
        <v/>
      </c>
      <c r="B85" s="15" t="n"/>
      <c r="C85" s="16" t="n"/>
      <c r="D85" s="10" t="n"/>
      <c r="E85" s="9" t="n"/>
      <c r="F85" s="9" t="n"/>
      <c r="G85" s="13" t="n"/>
      <c r="H85" s="21" t="n"/>
      <c r="I85" s="21" t="n"/>
      <c r="J85" s="17">
        <f>IF($G85="","",IFERROR(INDEX(NomsEmployes,MATCH($G85,MatriculesEmployes,0)),"MATRICULE INCONNU"))</f>
        <v/>
      </c>
      <c r="K85" s="33">
        <f>IF(OR($D85="",$F85=""),"",IFERROR(IF(INDEX(RUNS!$L$6:$S$1005,MATCH($D85,RUNS!$A$6:$A$1005,0),MATCH("ACTIVITÉ "&amp;$F85,RUNS!$L$5:$S$5,0))="","",INDEX(RUNS!$L$6:$S$1005,MATCH($D85,RUNS!$A$6:$A$1005,0),MATCH("ACTIVITÉ "&amp;$F85,RUNS!$L$5:$S$5,0))),""))</f>
        <v/>
      </c>
      <c r="L85" s="33">
        <f>IF($D85="","",IFERROR(IF(INDEX(RUNS!$E$6:$E$1005,MATCH($D85,RUNS!$A$6:$A$1005,0))="","",INDEX(RUNS!$E$6:$E$1005,MATCH($D85,RUNS!$A$6:$A$1005,0))),""))</f>
        <v/>
      </c>
      <c r="M85" s="33">
        <f>IF($D85="","",IFERROR(IF(INDEX(RUNS!$F$6:$F$1005,MATCH($D85,RUNS!$A$6:$A$1005,0))="","",INDEX(RUNS!$F$6:$F$1005,MATCH($D85,RUNS!$A$6:$A$1005,0))),""))</f>
        <v/>
      </c>
      <c r="N85" s="33">
        <f>IF($D85="","",IFERROR(IF(INDEX(RUNS!$G$6:$G$1005,MATCH($D85,RUNS!$A$6:$A$1005,0))="","",INDEX(RUNS!$G$6:$G$1005,MATCH($D85,RUNS!$A$6:$A$1005,0))),""))</f>
        <v/>
      </c>
      <c r="O85" s="33">
        <f>IF($D85="","",IFERROR(IF(INDEX(RUNS!$H$6:$H$1005,MATCH($D85,RUNS!$A$6:$A$1005,0))="","",INDEX(RUNS!$H$6:$H$1005,MATCH($D85,RUNS!$A$6:$A$1005,0))),""))</f>
        <v/>
      </c>
      <c r="P85" s="33">
        <f>IF($D85="","",IFERROR(IF(INDEX(RUNS!$J$6:$J$1005,MATCH($D85,RUNS!$A$6:$A$1005,0))="","",INDEX(RUNS!$J$6:$J$1005,MATCH($D85,RUNS!$A$6:$A$1005,0))),""))</f>
        <v/>
      </c>
      <c r="Q85" s="33">
        <f>IF($D85="","",IFERROR(IF(INDEX(RUNS!$K$6:$K$1005,MATCH($D85,RUNS!$A$6:$A$1005,0))="","",INDEX(RUNS!$K$6:$K$1005,MATCH($D85,RUNS!$A$6:$A$1005,0))),""))</f>
        <v/>
      </c>
      <c r="R85" s="34">
        <f>IF(OR($L85="",$K85=""),"",IFERROR(IF(INDEX(PARAMETRES!$H$43:$H$342,MATCH($L85&amp;"|"&amp;$M85&amp;"|"&amp;$N85&amp;"|"&amp;$O85&amp;"|"&amp;$P85&amp;"|"&amp;$Q85&amp;"|"&amp;$K85,PARAMETRES!$J$43:$J$342,0))="","",INDEX(PARAMETRES!$H$43:$H$342,MATCH($L85&amp;"|"&amp;$M85&amp;"|"&amp;$N85&amp;"|"&amp;$O85&amp;"|"&amp;$P85&amp;"|"&amp;$Q85&amp;"|"&amp;$K85,PARAMETRES!$J$43:$J$342,0))),""))</f>
        <v/>
      </c>
      <c r="S85" s="35">
        <f>IF(OR($G85="",$X85&lt;&gt;"VALIDE"),"",IFERROR(LOOKUP(2,1/(($B$3:$B84=$B85)*($G$3:$G84=$G85)*($X$3:$X84="VALIDE")),$C$3:$C84),""))</f>
        <v/>
      </c>
      <c r="T85" s="36">
        <f>IF(OR($C85="",$S85=""),"",ROUND(($C85-$S85+IF($C85&lt;$S85,1,0))*1440,0))</f>
        <v/>
      </c>
      <c r="U85" s="22">
        <f>IF(OR($H85="",$T85="",$T85&lt;=0),"",$H85*60/$T85)</f>
        <v/>
      </c>
      <c r="V85" s="37">
        <f>IF(OR($U85="",$R85="",$R85=0),"",$U85/$R85)</f>
        <v/>
      </c>
      <c r="W85" s="20">
        <f>IF($G85="","",IF($X85="CONTEXTE INCOMPLET","CONTEXTE INCOMPLET",IF($X85="DOUBLON",StatutDoublon,IF($S85="",StatutInitial,IF($R85="",StatutStandardManquant,IF($V85="","DONNEES INSUFFISANTES",IF($V85&gt;=SeuilConforme,StatutConforme,IF($V85&gt;=SeuilSurveiller,StatutSurveiller,StatutSousStandard))))))))</f>
        <v/>
      </c>
      <c r="X85" s="33">
        <f>IF($G85="","",IF(OR($D85="",$E85="",$F85=""),"CONTEXTE INCOMPLET",IF(COUNTIFS($D$3:$D84,$D85,$E$3:$E84,$E85,$F$3:$F84,$F85,$G$3:$G84,$G85)&gt;0,"DOUBLON","VALIDE")))</f>
        <v/>
      </c>
    </row>
    <row r="86" ht="15" customHeight="1">
      <c r="A86" s="12">
        <f>IF(OR($B86="",$G86=""),"",TEXT($B86,"YYYYMMDD")&amp;"-"&amp;SUBSTITUTE($E86," ","")&amp;"-"&amp;$F86&amp;"-"&amp;$G86)</f>
        <v/>
      </c>
      <c r="B86" s="15" t="n"/>
      <c r="C86" s="16" t="n"/>
      <c r="D86" s="10" t="n"/>
      <c r="E86" s="9" t="n"/>
      <c r="F86" s="9" t="n"/>
      <c r="G86" s="13" t="n"/>
      <c r="H86" s="21" t="n"/>
      <c r="I86" s="21" t="n"/>
      <c r="J86" s="17">
        <f>IF($G86="","",IFERROR(INDEX(NomsEmployes,MATCH($G86,MatriculesEmployes,0)),"MATRICULE INCONNU"))</f>
        <v/>
      </c>
      <c r="K86" s="33">
        <f>IF(OR($D86="",$F86=""),"",IFERROR(IF(INDEX(RUNS!$L$6:$S$1005,MATCH($D86,RUNS!$A$6:$A$1005,0),MATCH("ACTIVITÉ "&amp;$F86,RUNS!$L$5:$S$5,0))="","",INDEX(RUNS!$L$6:$S$1005,MATCH($D86,RUNS!$A$6:$A$1005,0),MATCH("ACTIVITÉ "&amp;$F86,RUNS!$L$5:$S$5,0))),""))</f>
        <v/>
      </c>
      <c r="L86" s="33">
        <f>IF($D86="","",IFERROR(IF(INDEX(RUNS!$E$6:$E$1005,MATCH($D86,RUNS!$A$6:$A$1005,0))="","",INDEX(RUNS!$E$6:$E$1005,MATCH($D86,RUNS!$A$6:$A$1005,0))),""))</f>
        <v/>
      </c>
      <c r="M86" s="33">
        <f>IF($D86="","",IFERROR(IF(INDEX(RUNS!$F$6:$F$1005,MATCH($D86,RUNS!$A$6:$A$1005,0))="","",INDEX(RUNS!$F$6:$F$1005,MATCH($D86,RUNS!$A$6:$A$1005,0))),""))</f>
        <v/>
      </c>
      <c r="N86" s="33">
        <f>IF($D86="","",IFERROR(IF(INDEX(RUNS!$G$6:$G$1005,MATCH($D86,RUNS!$A$6:$A$1005,0))="","",INDEX(RUNS!$G$6:$G$1005,MATCH($D86,RUNS!$A$6:$A$1005,0))),""))</f>
        <v/>
      </c>
      <c r="O86" s="33">
        <f>IF($D86="","",IFERROR(IF(INDEX(RUNS!$H$6:$H$1005,MATCH($D86,RUNS!$A$6:$A$1005,0))="","",INDEX(RUNS!$H$6:$H$1005,MATCH($D86,RUNS!$A$6:$A$1005,0))),""))</f>
        <v/>
      </c>
      <c r="P86" s="33">
        <f>IF($D86="","",IFERROR(IF(INDEX(RUNS!$J$6:$J$1005,MATCH($D86,RUNS!$A$6:$A$1005,0))="","",INDEX(RUNS!$J$6:$J$1005,MATCH($D86,RUNS!$A$6:$A$1005,0))),""))</f>
        <v/>
      </c>
      <c r="Q86" s="33">
        <f>IF($D86="","",IFERROR(IF(INDEX(RUNS!$K$6:$K$1005,MATCH($D86,RUNS!$A$6:$A$1005,0))="","",INDEX(RUNS!$K$6:$K$1005,MATCH($D86,RUNS!$A$6:$A$1005,0))),""))</f>
        <v/>
      </c>
      <c r="R86" s="34">
        <f>IF(OR($L86="",$K86=""),"",IFERROR(IF(INDEX(PARAMETRES!$H$43:$H$342,MATCH($L86&amp;"|"&amp;$M86&amp;"|"&amp;$N86&amp;"|"&amp;$O86&amp;"|"&amp;$P86&amp;"|"&amp;$Q86&amp;"|"&amp;$K86,PARAMETRES!$J$43:$J$342,0))="","",INDEX(PARAMETRES!$H$43:$H$342,MATCH($L86&amp;"|"&amp;$M86&amp;"|"&amp;$N86&amp;"|"&amp;$O86&amp;"|"&amp;$P86&amp;"|"&amp;$Q86&amp;"|"&amp;$K86,PARAMETRES!$J$43:$J$342,0))),""))</f>
        <v/>
      </c>
      <c r="S86" s="35">
        <f>IF(OR($G86="",$X86&lt;&gt;"VALIDE"),"",IFERROR(LOOKUP(2,1/(($B$3:$B85=$B86)*($G$3:$G85=$G86)*($X$3:$X85="VALIDE")),$C$3:$C85),""))</f>
        <v/>
      </c>
      <c r="T86" s="36">
        <f>IF(OR($C86="",$S86=""),"",ROUND(($C86-$S86+IF($C86&lt;$S86,1,0))*1440,0))</f>
        <v/>
      </c>
      <c r="U86" s="22">
        <f>IF(OR($H86="",$T86="",$T86&lt;=0),"",$H86*60/$T86)</f>
        <v/>
      </c>
      <c r="V86" s="37">
        <f>IF(OR($U86="",$R86="",$R86=0),"",$U86/$R86)</f>
        <v/>
      </c>
      <c r="W86" s="20">
        <f>IF($G86="","",IF($X86="CONTEXTE INCOMPLET","CONTEXTE INCOMPLET",IF($X86="DOUBLON",StatutDoublon,IF($S86="",StatutInitial,IF($R86="",StatutStandardManquant,IF($V86="","DONNEES INSUFFISANTES",IF($V86&gt;=SeuilConforme,StatutConforme,IF($V86&gt;=SeuilSurveiller,StatutSurveiller,StatutSousStandard))))))))</f>
        <v/>
      </c>
      <c r="X86" s="33">
        <f>IF($G86="","",IF(OR($D86="",$E86="",$F86=""),"CONTEXTE INCOMPLET",IF(COUNTIFS($D$3:$D85,$D86,$E$3:$E85,$E86,$F$3:$F85,$F86,$G$3:$G85,$G86)&gt;0,"DOUBLON","VALIDE")))</f>
        <v/>
      </c>
    </row>
    <row r="87" ht="15" customHeight="1">
      <c r="A87" s="12">
        <f>IF(OR($B87="",$G87=""),"",TEXT($B87,"YYYYMMDD")&amp;"-"&amp;SUBSTITUTE($E87," ","")&amp;"-"&amp;$F87&amp;"-"&amp;$G87)</f>
        <v/>
      </c>
      <c r="B87" s="15" t="n"/>
      <c r="C87" s="16" t="n"/>
      <c r="D87" s="10" t="n"/>
      <c r="E87" s="9" t="n"/>
      <c r="F87" s="9" t="n"/>
      <c r="G87" s="13" t="n"/>
      <c r="H87" s="21" t="n"/>
      <c r="I87" s="21" t="n"/>
      <c r="J87" s="17">
        <f>IF($G87="","",IFERROR(INDEX(NomsEmployes,MATCH($G87,MatriculesEmployes,0)),"MATRICULE INCONNU"))</f>
        <v/>
      </c>
      <c r="K87" s="33">
        <f>IF(OR($D87="",$F87=""),"",IFERROR(IF(INDEX(RUNS!$L$6:$S$1005,MATCH($D87,RUNS!$A$6:$A$1005,0),MATCH("ACTIVITÉ "&amp;$F87,RUNS!$L$5:$S$5,0))="","",INDEX(RUNS!$L$6:$S$1005,MATCH($D87,RUNS!$A$6:$A$1005,0),MATCH("ACTIVITÉ "&amp;$F87,RUNS!$L$5:$S$5,0))),""))</f>
        <v/>
      </c>
      <c r="L87" s="33">
        <f>IF($D87="","",IFERROR(IF(INDEX(RUNS!$E$6:$E$1005,MATCH($D87,RUNS!$A$6:$A$1005,0))="","",INDEX(RUNS!$E$6:$E$1005,MATCH($D87,RUNS!$A$6:$A$1005,0))),""))</f>
        <v/>
      </c>
      <c r="M87" s="33">
        <f>IF($D87="","",IFERROR(IF(INDEX(RUNS!$F$6:$F$1005,MATCH($D87,RUNS!$A$6:$A$1005,0))="","",INDEX(RUNS!$F$6:$F$1005,MATCH($D87,RUNS!$A$6:$A$1005,0))),""))</f>
        <v/>
      </c>
      <c r="N87" s="33">
        <f>IF($D87="","",IFERROR(IF(INDEX(RUNS!$G$6:$G$1005,MATCH($D87,RUNS!$A$6:$A$1005,0))="","",INDEX(RUNS!$G$6:$G$1005,MATCH($D87,RUNS!$A$6:$A$1005,0))),""))</f>
        <v/>
      </c>
      <c r="O87" s="33">
        <f>IF($D87="","",IFERROR(IF(INDEX(RUNS!$H$6:$H$1005,MATCH($D87,RUNS!$A$6:$A$1005,0))="","",INDEX(RUNS!$H$6:$H$1005,MATCH($D87,RUNS!$A$6:$A$1005,0))),""))</f>
        <v/>
      </c>
      <c r="P87" s="33">
        <f>IF($D87="","",IFERROR(IF(INDEX(RUNS!$J$6:$J$1005,MATCH($D87,RUNS!$A$6:$A$1005,0))="","",INDEX(RUNS!$J$6:$J$1005,MATCH($D87,RUNS!$A$6:$A$1005,0))),""))</f>
        <v/>
      </c>
      <c r="Q87" s="33">
        <f>IF($D87="","",IFERROR(IF(INDEX(RUNS!$K$6:$K$1005,MATCH($D87,RUNS!$A$6:$A$1005,0))="","",INDEX(RUNS!$K$6:$K$1005,MATCH($D87,RUNS!$A$6:$A$1005,0))),""))</f>
        <v/>
      </c>
      <c r="R87" s="34">
        <f>IF(OR($L87="",$K87=""),"",IFERROR(IF(INDEX(PARAMETRES!$H$43:$H$342,MATCH($L87&amp;"|"&amp;$M87&amp;"|"&amp;$N87&amp;"|"&amp;$O87&amp;"|"&amp;$P87&amp;"|"&amp;$Q87&amp;"|"&amp;$K87,PARAMETRES!$J$43:$J$342,0))="","",INDEX(PARAMETRES!$H$43:$H$342,MATCH($L87&amp;"|"&amp;$M87&amp;"|"&amp;$N87&amp;"|"&amp;$O87&amp;"|"&amp;$P87&amp;"|"&amp;$Q87&amp;"|"&amp;$K87,PARAMETRES!$J$43:$J$342,0))),""))</f>
        <v/>
      </c>
      <c r="S87" s="35">
        <f>IF(OR($G87="",$X87&lt;&gt;"VALIDE"),"",IFERROR(LOOKUP(2,1/(($B$3:$B86=$B87)*($G$3:$G86=$G87)*($X$3:$X86="VALIDE")),$C$3:$C86),""))</f>
        <v/>
      </c>
      <c r="T87" s="36">
        <f>IF(OR($C87="",$S87=""),"",ROUND(($C87-$S87+IF($C87&lt;$S87,1,0))*1440,0))</f>
        <v/>
      </c>
      <c r="U87" s="22">
        <f>IF(OR($H87="",$T87="",$T87&lt;=0),"",$H87*60/$T87)</f>
        <v/>
      </c>
      <c r="V87" s="37">
        <f>IF(OR($U87="",$R87="",$R87=0),"",$U87/$R87)</f>
        <v/>
      </c>
      <c r="W87" s="20">
        <f>IF($G87="","",IF($X87="CONTEXTE INCOMPLET","CONTEXTE INCOMPLET",IF($X87="DOUBLON",StatutDoublon,IF($S87="",StatutInitial,IF($R87="",StatutStandardManquant,IF($V87="","DONNEES INSUFFISANTES",IF($V87&gt;=SeuilConforme,StatutConforme,IF($V87&gt;=SeuilSurveiller,StatutSurveiller,StatutSousStandard))))))))</f>
        <v/>
      </c>
      <c r="X87" s="33">
        <f>IF($G87="","",IF(OR($D87="",$E87="",$F87=""),"CONTEXTE INCOMPLET",IF(COUNTIFS($D$3:$D86,$D87,$E$3:$E86,$E87,$F$3:$F86,$F87,$G$3:$G86,$G87)&gt;0,"DOUBLON","VALIDE")))</f>
        <v/>
      </c>
    </row>
    <row r="88" ht="15" customHeight="1">
      <c r="A88" s="12">
        <f>IF(OR($B88="",$G88=""),"",TEXT($B88,"YYYYMMDD")&amp;"-"&amp;SUBSTITUTE($E88," ","")&amp;"-"&amp;$F88&amp;"-"&amp;$G88)</f>
        <v/>
      </c>
      <c r="B88" s="15" t="n"/>
      <c r="C88" s="16" t="n"/>
      <c r="D88" s="10" t="n"/>
      <c r="E88" s="9" t="n"/>
      <c r="F88" s="9" t="n"/>
      <c r="G88" s="13" t="n"/>
      <c r="H88" s="21" t="n"/>
      <c r="I88" s="21" t="n"/>
      <c r="J88" s="17">
        <f>IF($G88="","",IFERROR(INDEX(NomsEmployes,MATCH($G88,MatriculesEmployes,0)),"MATRICULE INCONNU"))</f>
        <v/>
      </c>
      <c r="K88" s="33">
        <f>IF(OR($D88="",$F88=""),"",IFERROR(IF(INDEX(RUNS!$L$6:$S$1005,MATCH($D88,RUNS!$A$6:$A$1005,0),MATCH("ACTIVITÉ "&amp;$F88,RUNS!$L$5:$S$5,0))="","",INDEX(RUNS!$L$6:$S$1005,MATCH($D88,RUNS!$A$6:$A$1005,0),MATCH("ACTIVITÉ "&amp;$F88,RUNS!$L$5:$S$5,0))),""))</f>
        <v/>
      </c>
      <c r="L88" s="33">
        <f>IF($D88="","",IFERROR(IF(INDEX(RUNS!$E$6:$E$1005,MATCH($D88,RUNS!$A$6:$A$1005,0))="","",INDEX(RUNS!$E$6:$E$1005,MATCH($D88,RUNS!$A$6:$A$1005,0))),""))</f>
        <v/>
      </c>
      <c r="M88" s="33">
        <f>IF($D88="","",IFERROR(IF(INDEX(RUNS!$F$6:$F$1005,MATCH($D88,RUNS!$A$6:$A$1005,0))="","",INDEX(RUNS!$F$6:$F$1005,MATCH($D88,RUNS!$A$6:$A$1005,0))),""))</f>
        <v/>
      </c>
      <c r="N88" s="33">
        <f>IF($D88="","",IFERROR(IF(INDEX(RUNS!$G$6:$G$1005,MATCH($D88,RUNS!$A$6:$A$1005,0))="","",INDEX(RUNS!$G$6:$G$1005,MATCH($D88,RUNS!$A$6:$A$1005,0))),""))</f>
        <v/>
      </c>
      <c r="O88" s="33">
        <f>IF($D88="","",IFERROR(IF(INDEX(RUNS!$H$6:$H$1005,MATCH($D88,RUNS!$A$6:$A$1005,0))="","",INDEX(RUNS!$H$6:$H$1005,MATCH($D88,RUNS!$A$6:$A$1005,0))),""))</f>
        <v/>
      </c>
      <c r="P88" s="33">
        <f>IF($D88="","",IFERROR(IF(INDEX(RUNS!$J$6:$J$1005,MATCH($D88,RUNS!$A$6:$A$1005,0))="","",INDEX(RUNS!$J$6:$J$1005,MATCH($D88,RUNS!$A$6:$A$1005,0))),""))</f>
        <v/>
      </c>
      <c r="Q88" s="33">
        <f>IF($D88="","",IFERROR(IF(INDEX(RUNS!$K$6:$K$1005,MATCH($D88,RUNS!$A$6:$A$1005,0))="","",INDEX(RUNS!$K$6:$K$1005,MATCH($D88,RUNS!$A$6:$A$1005,0))),""))</f>
        <v/>
      </c>
      <c r="R88" s="34">
        <f>IF(OR($L88="",$K88=""),"",IFERROR(IF(INDEX(PARAMETRES!$H$43:$H$342,MATCH($L88&amp;"|"&amp;$M88&amp;"|"&amp;$N88&amp;"|"&amp;$O88&amp;"|"&amp;$P88&amp;"|"&amp;$Q88&amp;"|"&amp;$K88,PARAMETRES!$J$43:$J$342,0))="","",INDEX(PARAMETRES!$H$43:$H$342,MATCH($L88&amp;"|"&amp;$M88&amp;"|"&amp;$N88&amp;"|"&amp;$O88&amp;"|"&amp;$P88&amp;"|"&amp;$Q88&amp;"|"&amp;$K88,PARAMETRES!$J$43:$J$342,0))),""))</f>
        <v/>
      </c>
      <c r="S88" s="35">
        <f>IF(OR($G88="",$X88&lt;&gt;"VALIDE"),"",IFERROR(LOOKUP(2,1/(($B$3:$B87=$B88)*($G$3:$G87=$G88)*($X$3:$X87="VALIDE")),$C$3:$C87),""))</f>
        <v/>
      </c>
      <c r="T88" s="36">
        <f>IF(OR($C88="",$S88=""),"",ROUND(($C88-$S88+IF($C88&lt;$S88,1,0))*1440,0))</f>
        <v/>
      </c>
      <c r="U88" s="22">
        <f>IF(OR($H88="",$T88="",$T88&lt;=0),"",$H88*60/$T88)</f>
        <v/>
      </c>
      <c r="V88" s="37">
        <f>IF(OR($U88="",$R88="",$R88=0),"",$U88/$R88)</f>
        <v/>
      </c>
      <c r="W88" s="20">
        <f>IF($G88="","",IF($X88="CONTEXTE INCOMPLET","CONTEXTE INCOMPLET",IF($X88="DOUBLON",StatutDoublon,IF($S88="",StatutInitial,IF($R88="",StatutStandardManquant,IF($V88="","DONNEES INSUFFISANTES",IF($V88&gt;=SeuilConforme,StatutConforme,IF($V88&gt;=SeuilSurveiller,StatutSurveiller,StatutSousStandard))))))))</f>
        <v/>
      </c>
      <c r="X88" s="33">
        <f>IF($G88="","",IF(OR($D88="",$E88="",$F88=""),"CONTEXTE INCOMPLET",IF(COUNTIFS($D$3:$D87,$D88,$E$3:$E87,$E88,$F$3:$F87,$F88,$G$3:$G87,$G88)&gt;0,"DOUBLON","VALIDE")))</f>
        <v/>
      </c>
    </row>
    <row r="89" ht="15" customHeight="1">
      <c r="A89" s="12">
        <f>IF(OR($B89="",$G89=""),"",TEXT($B89,"YYYYMMDD")&amp;"-"&amp;SUBSTITUTE($E89," ","")&amp;"-"&amp;$F89&amp;"-"&amp;$G89)</f>
        <v/>
      </c>
      <c r="B89" s="15" t="n"/>
      <c r="C89" s="16" t="n"/>
      <c r="D89" s="10" t="n"/>
      <c r="E89" s="9" t="n"/>
      <c r="F89" s="9" t="n"/>
      <c r="G89" s="13" t="n"/>
      <c r="H89" s="21" t="n"/>
      <c r="I89" s="21" t="n"/>
      <c r="J89" s="17">
        <f>IF($G89="","",IFERROR(INDEX(NomsEmployes,MATCH($G89,MatriculesEmployes,0)),"MATRICULE INCONNU"))</f>
        <v/>
      </c>
      <c r="K89" s="33">
        <f>IF(OR($D89="",$F89=""),"",IFERROR(IF(INDEX(RUNS!$L$6:$S$1005,MATCH($D89,RUNS!$A$6:$A$1005,0),MATCH("ACTIVITÉ "&amp;$F89,RUNS!$L$5:$S$5,0))="","",INDEX(RUNS!$L$6:$S$1005,MATCH($D89,RUNS!$A$6:$A$1005,0),MATCH("ACTIVITÉ "&amp;$F89,RUNS!$L$5:$S$5,0))),""))</f>
        <v/>
      </c>
      <c r="L89" s="33">
        <f>IF($D89="","",IFERROR(IF(INDEX(RUNS!$E$6:$E$1005,MATCH($D89,RUNS!$A$6:$A$1005,0))="","",INDEX(RUNS!$E$6:$E$1005,MATCH($D89,RUNS!$A$6:$A$1005,0))),""))</f>
        <v/>
      </c>
      <c r="M89" s="33">
        <f>IF($D89="","",IFERROR(IF(INDEX(RUNS!$F$6:$F$1005,MATCH($D89,RUNS!$A$6:$A$1005,0))="","",INDEX(RUNS!$F$6:$F$1005,MATCH($D89,RUNS!$A$6:$A$1005,0))),""))</f>
        <v/>
      </c>
      <c r="N89" s="33">
        <f>IF($D89="","",IFERROR(IF(INDEX(RUNS!$G$6:$G$1005,MATCH($D89,RUNS!$A$6:$A$1005,0))="","",INDEX(RUNS!$G$6:$G$1005,MATCH($D89,RUNS!$A$6:$A$1005,0))),""))</f>
        <v/>
      </c>
      <c r="O89" s="33">
        <f>IF($D89="","",IFERROR(IF(INDEX(RUNS!$H$6:$H$1005,MATCH($D89,RUNS!$A$6:$A$1005,0))="","",INDEX(RUNS!$H$6:$H$1005,MATCH($D89,RUNS!$A$6:$A$1005,0))),""))</f>
        <v/>
      </c>
      <c r="P89" s="33">
        <f>IF($D89="","",IFERROR(IF(INDEX(RUNS!$J$6:$J$1005,MATCH($D89,RUNS!$A$6:$A$1005,0))="","",INDEX(RUNS!$J$6:$J$1005,MATCH($D89,RUNS!$A$6:$A$1005,0))),""))</f>
        <v/>
      </c>
      <c r="Q89" s="33">
        <f>IF($D89="","",IFERROR(IF(INDEX(RUNS!$K$6:$K$1005,MATCH($D89,RUNS!$A$6:$A$1005,0))="","",INDEX(RUNS!$K$6:$K$1005,MATCH($D89,RUNS!$A$6:$A$1005,0))),""))</f>
        <v/>
      </c>
      <c r="R89" s="34">
        <f>IF(OR($L89="",$K89=""),"",IFERROR(IF(INDEX(PARAMETRES!$H$43:$H$342,MATCH($L89&amp;"|"&amp;$M89&amp;"|"&amp;$N89&amp;"|"&amp;$O89&amp;"|"&amp;$P89&amp;"|"&amp;$Q89&amp;"|"&amp;$K89,PARAMETRES!$J$43:$J$342,0))="","",INDEX(PARAMETRES!$H$43:$H$342,MATCH($L89&amp;"|"&amp;$M89&amp;"|"&amp;$N89&amp;"|"&amp;$O89&amp;"|"&amp;$P89&amp;"|"&amp;$Q89&amp;"|"&amp;$K89,PARAMETRES!$J$43:$J$342,0))),""))</f>
        <v/>
      </c>
      <c r="S89" s="35">
        <f>IF(OR($G89="",$X89&lt;&gt;"VALIDE"),"",IFERROR(LOOKUP(2,1/(($B$3:$B88=$B89)*($G$3:$G88=$G89)*($X$3:$X88="VALIDE")),$C$3:$C88),""))</f>
        <v/>
      </c>
      <c r="T89" s="36">
        <f>IF(OR($C89="",$S89=""),"",ROUND(($C89-$S89+IF($C89&lt;$S89,1,0))*1440,0))</f>
        <v/>
      </c>
      <c r="U89" s="22">
        <f>IF(OR($H89="",$T89="",$T89&lt;=0),"",$H89*60/$T89)</f>
        <v/>
      </c>
      <c r="V89" s="37">
        <f>IF(OR($U89="",$R89="",$R89=0),"",$U89/$R89)</f>
        <v/>
      </c>
      <c r="W89" s="20">
        <f>IF($G89="","",IF($X89="CONTEXTE INCOMPLET","CONTEXTE INCOMPLET",IF($X89="DOUBLON",StatutDoublon,IF($S89="",StatutInitial,IF($R89="",StatutStandardManquant,IF($V89="","DONNEES INSUFFISANTES",IF($V89&gt;=SeuilConforme,StatutConforme,IF($V89&gt;=SeuilSurveiller,StatutSurveiller,StatutSousStandard))))))))</f>
        <v/>
      </c>
      <c r="X89" s="33">
        <f>IF($G89="","",IF(OR($D89="",$E89="",$F89=""),"CONTEXTE INCOMPLET",IF(COUNTIFS($D$3:$D88,$D89,$E$3:$E88,$E89,$F$3:$F88,$F89,$G$3:$G88,$G89)&gt;0,"DOUBLON","VALIDE")))</f>
        <v/>
      </c>
    </row>
    <row r="90" ht="15" customHeight="1">
      <c r="A90" s="12">
        <f>IF(OR($B90="",$G90=""),"",TEXT($B90,"YYYYMMDD")&amp;"-"&amp;SUBSTITUTE($E90," ","")&amp;"-"&amp;$F90&amp;"-"&amp;$G90)</f>
        <v/>
      </c>
      <c r="B90" s="15" t="n"/>
      <c r="C90" s="16" t="n"/>
      <c r="D90" s="10" t="n"/>
      <c r="E90" s="9" t="n"/>
      <c r="F90" s="9" t="n"/>
      <c r="G90" s="13" t="n"/>
      <c r="H90" s="21" t="n"/>
      <c r="I90" s="21" t="n"/>
      <c r="J90" s="17">
        <f>IF($G90="","",IFERROR(INDEX(NomsEmployes,MATCH($G90,MatriculesEmployes,0)),"MATRICULE INCONNU"))</f>
        <v/>
      </c>
      <c r="K90" s="33">
        <f>IF(OR($D90="",$F90=""),"",IFERROR(IF(INDEX(RUNS!$L$6:$S$1005,MATCH($D90,RUNS!$A$6:$A$1005,0),MATCH("ACTIVITÉ "&amp;$F90,RUNS!$L$5:$S$5,0))="","",INDEX(RUNS!$L$6:$S$1005,MATCH($D90,RUNS!$A$6:$A$1005,0),MATCH("ACTIVITÉ "&amp;$F90,RUNS!$L$5:$S$5,0))),""))</f>
        <v/>
      </c>
      <c r="L90" s="33">
        <f>IF($D90="","",IFERROR(IF(INDEX(RUNS!$E$6:$E$1005,MATCH($D90,RUNS!$A$6:$A$1005,0))="","",INDEX(RUNS!$E$6:$E$1005,MATCH($D90,RUNS!$A$6:$A$1005,0))),""))</f>
        <v/>
      </c>
      <c r="M90" s="33">
        <f>IF($D90="","",IFERROR(IF(INDEX(RUNS!$F$6:$F$1005,MATCH($D90,RUNS!$A$6:$A$1005,0))="","",INDEX(RUNS!$F$6:$F$1005,MATCH($D90,RUNS!$A$6:$A$1005,0))),""))</f>
        <v/>
      </c>
      <c r="N90" s="33">
        <f>IF($D90="","",IFERROR(IF(INDEX(RUNS!$G$6:$G$1005,MATCH($D90,RUNS!$A$6:$A$1005,0))="","",INDEX(RUNS!$G$6:$G$1005,MATCH($D90,RUNS!$A$6:$A$1005,0))),""))</f>
        <v/>
      </c>
      <c r="O90" s="33">
        <f>IF($D90="","",IFERROR(IF(INDEX(RUNS!$H$6:$H$1005,MATCH($D90,RUNS!$A$6:$A$1005,0))="","",INDEX(RUNS!$H$6:$H$1005,MATCH($D90,RUNS!$A$6:$A$1005,0))),""))</f>
        <v/>
      </c>
      <c r="P90" s="33">
        <f>IF($D90="","",IFERROR(IF(INDEX(RUNS!$J$6:$J$1005,MATCH($D90,RUNS!$A$6:$A$1005,0))="","",INDEX(RUNS!$J$6:$J$1005,MATCH($D90,RUNS!$A$6:$A$1005,0))),""))</f>
        <v/>
      </c>
      <c r="Q90" s="33">
        <f>IF($D90="","",IFERROR(IF(INDEX(RUNS!$K$6:$K$1005,MATCH($D90,RUNS!$A$6:$A$1005,0))="","",INDEX(RUNS!$K$6:$K$1005,MATCH($D90,RUNS!$A$6:$A$1005,0))),""))</f>
        <v/>
      </c>
      <c r="R90" s="34">
        <f>IF(OR($L90="",$K90=""),"",IFERROR(IF(INDEX(PARAMETRES!$H$43:$H$342,MATCH($L90&amp;"|"&amp;$M90&amp;"|"&amp;$N90&amp;"|"&amp;$O90&amp;"|"&amp;$P90&amp;"|"&amp;$Q90&amp;"|"&amp;$K90,PARAMETRES!$J$43:$J$342,0))="","",INDEX(PARAMETRES!$H$43:$H$342,MATCH($L90&amp;"|"&amp;$M90&amp;"|"&amp;$N90&amp;"|"&amp;$O90&amp;"|"&amp;$P90&amp;"|"&amp;$Q90&amp;"|"&amp;$K90,PARAMETRES!$J$43:$J$342,0))),""))</f>
        <v/>
      </c>
      <c r="S90" s="35">
        <f>IF(OR($G90="",$X90&lt;&gt;"VALIDE"),"",IFERROR(LOOKUP(2,1/(($B$3:$B89=$B90)*($G$3:$G89=$G90)*($X$3:$X89="VALIDE")),$C$3:$C89),""))</f>
        <v/>
      </c>
      <c r="T90" s="36">
        <f>IF(OR($C90="",$S90=""),"",ROUND(($C90-$S90+IF($C90&lt;$S90,1,0))*1440,0))</f>
        <v/>
      </c>
      <c r="U90" s="22">
        <f>IF(OR($H90="",$T90="",$T90&lt;=0),"",$H90*60/$T90)</f>
        <v/>
      </c>
      <c r="V90" s="37">
        <f>IF(OR($U90="",$R90="",$R90=0),"",$U90/$R90)</f>
        <v/>
      </c>
      <c r="W90" s="20">
        <f>IF($G90="","",IF($X90="CONTEXTE INCOMPLET","CONTEXTE INCOMPLET",IF($X90="DOUBLON",StatutDoublon,IF($S90="",StatutInitial,IF($R90="",StatutStandardManquant,IF($V90="","DONNEES INSUFFISANTES",IF($V90&gt;=SeuilConforme,StatutConforme,IF($V90&gt;=SeuilSurveiller,StatutSurveiller,StatutSousStandard))))))))</f>
        <v/>
      </c>
      <c r="X90" s="33">
        <f>IF($G90="","",IF(OR($D90="",$E90="",$F90=""),"CONTEXTE INCOMPLET",IF(COUNTIFS($D$3:$D89,$D90,$E$3:$E89,$E90,$F$3:$F89,$F90,$G$3:$G89,$G90)&gt;0,"DOUBLON","VALIDE")))</f>
        <v/>
      </c>
    </row>
    <row r="91" ht="15" customHeight="1">
      <c r="A91" s="12">
        <f>IF(OR($B91="",$G91=""),"",TEXT($B91,"YYYYMMDD")&amp;"-"&amp;SUBSTITUTE($E91," ","")&amp;"-"&amp;$F91&amp;"-"&amp;$G91)</f>
        <v/>
      </c>
      <c r="B91" s="15" t="n"/>
      <c r="C91" s="16" t="n"/>
      <c r="D91" s="10" t="n"/>
      <c r="E91" s="9" t="n"/>
      <c r="F91" s="9" t="n"/>
      <c r="G91" s="13" t="n"/>
      <c r="H91" s="21" t="n"/>
      <c r="I91" s="21" t="n"/>
      <c r="J91" s="17">
        <f>IF($G91="","",IFERROR(INDEX(NomsEmployes,MATCH($G91,MatriculesEmployes,0)),"MATRICULE INCONNU"))</f>
        <v/>
      </c>
      <c r="K91" s="33">
        <f>IF(OR($D91="",$F91=""),"",IFERROR(IF(INDEX(RUNS!$L$6:$S$1005,MATCH($D91,RUNS!$A$6:$A$1005,0),MATCH("ACTIVITÉ "&amp;$F91,RUNS!$L$5:$S$5,0))="","",INDEX(RUNS!$L$6:$S$1005,MATCH($D91,RUNS!$A$6:$A$1005,0),MATCH("ACTIVITÉ "&amp;$F91,RUNS!$L$5:$S$5,0))),""))</f>
        <v/>
      </c>
      <c r="L91" s="33">
        <f>IF($D91="","",IFERROR(IF(INDEX(RUNS!$E$6:$E$1005,MATCH($D91,RUNS!$A$6:$A$1005,0))="","",INDEX(RUNS!$E$6:$E$1005,MATCH($D91,RUNS!$A$6:$A$1005,0))),""))</f>
        <v/>
      </c>
      <c r="M91" s="33">
        <f>IF($D91="","",IFERROR(IF(INDEX(RUNS!$F$6:$F$1005,MATCH($D91,RUNS!$A$6:$A$1005,0))="","",INDEX(RUNS!$F$6:$F$1005,MATCH($D91,RUNS!$A$6:$A$1005,0))),""))</f>
        <v/>
      </c>
      <c r="N91" s="33">
        <f>IF($D91="","",IFERROR(IF(INDEX(RUNS!$G$6:$G$1005,MATCH($D91,RUNS!$A$6:$A$1005,0))="","",INDEX(RUNS!$G$6:$G$1005,MATCH($D91,RUNS!$A$6:$A$1005,0))),""))</f>
        <v/>
      </c>
      <c r="O91" s="33">
        <f>IF($D91="","",IFERROR(IF(INDEX(RUNS!$H$6:$H$1005,MATCH($D91,RUNS!$A$6:$A$1005,0))="","",INDEX(RUNS!$H$6:$H$1005,MATCH($D91,RUNS!$A$6:$A$1005,0))),""))</f>
        <v/>
      </c>
      <c r="P91" s="33">
        <f>IF($D91="","",IFERROR(IF(INDEX(RUNS!$J$6:$J$1005,MATCH($D91,RUNS!$A$6:$A$1005,0))="","",INDEX(RUNS!$J$6:$J$1005,MATCH($D91,RUNS!$A$6:$A$1005,0))),""))</f>
        <v/>
      </c>
      <c r="Q91" s="33">
        <f>IF($D91="","",IFERROR(IF(INDEX(RUNS!$K$6:$K$1005,MATCH($D91,RUNS!$A$6:$A$1005,0))="","",INDEX(RUNS!$K$6:$K$1005,MATCH($D91,RUNS!$A$6:$A$1005,0))),""))</f>
        <v/>
      </c>
      <c r="R91" s="34">
        <f>IF(OR($L91="",$K91=""),"",IFERROR(IF(INDEX(PARAMETRES!$H$43:$H$342,MATCH($L91&amp;"|"&amp;$M91&amp;"|"&amp;$N91&amp;"|"&amp;$O91&amp;"|"&amp;$P91&amp;"|"&amp;$Q91&amp;"|"&amp;$K91,PARAMETRES!$J$43:$J$342,0))="","",INDEX(PARAMETRES!$H$43:$H$342,MATCH($L91&amp;"|"&amp;$M91&amp;"|"&amp;$N91&amp;"|"&amp;$O91&amp;"|"&amp;$P91&amp;"|"&amp;$Q91&amp;"|"&amp;$K91,PARAMETRES!$J$43:$J$342,0))),""))</f>
        <v/>
      </c>
      <c r="S91" s="35">
        <f>IF(OR($G91="",$X91&lt;&gt;"VALIDE"),"",IFERROR(LOOKUP(2,1/(($B$3:$B90=$B91)*($G$3:$G90=$G91)*($X$3:$X90="VALIDE")),$C$3:$C90),""))</f>
        <v/>
      </c>
      <c r="T91" s="36">
        <f>IF(OR($C91="",$S91=""),"",ROUND(($C91-$S91+IF($C91&lt;$S91,1,0))*1440,0))</f>
        <v/>
      </c>
      <c r="U91" s="22">
        <f>IF(OR($H91="",$T91="",$T91&lt;=0),"",$H91*60/$T91)</f>
        <v/>
      </c>
      <c r="V91" s="37">
        <f>IF(OR($U91="",$R91="",$R91=0),"",$U91/$R91)</f>
        <v/>
      </c>
      <c r="W91" s="20">
        <f>IF($G91="","",IF($X91="CONTEXTE INCOMPLET","CONTEXTE INCOMPLET",IF($X91="DOUBLON",StatutDoublon,IF($S91="",StatutInitial,IF($R91="",StatutStandardManquant,IF($V91="","DONNEES INSUFFISANTES",IF($V91&gt;=SeuilConforme,StatutConforme,IF($V91&gt;=SeuilSurveiller,StatutSurveiller,StatutSousStandard))))))))</f>
        <v/>
      </c>
      <c r="X91" s="33">
        <f>IF($G91="","",IF(OR($D91="",$E91="",$F91=""),"CONTEXTE INCOMPLET",IF(COUNTIFS($D$3:$D90,$D91,$E$3:$E90,$E91,$F$3:$F90,$F91,$G$3:$G90,$G91)&gt;0,"DOUBLON","VALIDE")))</f>
        <v/>
      </c>
    </row>
    <row r="92" ht="15" customHeight="1">
      <c r="A92" s="12">
        <f>IF(OR($B92="",$G92=""),"",TEXT($B92,"YYYYMMDD")&amp;"-"&amp;SUBSTITUTE($E92," ","")&amp;"-"&amp;$F92&amp;"-"&amp;$G92)</f>
        <v/>
      </c>
      <c r="B92" s="15" t="n"/>
      <c r="C92" s="16" t="n"/>
      <c r="D92" s="10" t="n"/>
      <c r="E92" s="9" t="n"/>
      <c r="F92" s="9" t="n"/>
      <c r="G92" s="13" t="n"/>
      <c r="H92" s="21" t="n"/>
      <c r="I92" s="21" t="n"/>
      <c r="J92" s="17">
        <f>IF($G92="","",IFERROR(INDEX(NomsEmployes,MATCH($G92,MatriculesEmployes,0)),"MATRICULE INCONNU"))</f>
        <v/>
      </c>
      <c r="K92" s="33">
        <f>IF(OR($D92="",$F92=""),"",IFERROR(IF(INDEX(RUNS!$L$6:$S$1005,MATCH($D92,RUNS!$A$6:$A$1005,0),MATCH("ACTIVITÉ "&amp;$F92,RUNS!$L$5:$S$5,0))="","",INDEX(RUNS!$L$6:$S$1005,MATCH($D92,RUNS!$A$6:$A$1005,0),MATCH("ACTIVITÉ "&amp;$F92,RUNS!$L$5:$S$5,0))),""))</f>
        <v/>
      </c>
      <c r="L92" s="33">
        <f>IF($D92="","",IFERROR(IF(INDEX(RUNS!$E$6:$E$1005,MATCH($D92,RUNS!$A$6:$A$1005,0))="","",INDEX(RUNS!$E$6:$E$1005,MATCH($D92,RUNS!$A$6:$A$1005,0))),""))</f>
        <v/>
      </c>
      <c r="M92" s="33">
        <f>IF($D92="","",IFERROR(IF(INDEX(RUNS!$F$6:$F$1005,MATCH($D92,RUNS!$A$6:$A$1005,0))="","",INDEX(RUNS!$F$6:$F$1005,MATCH($D92,RUNS!$A$6:$A$1005,0))),""))</f>
        <v/>
      </c>
      <c r="N92" s="33">
        <f>IF($D92="","",IFERROR(IF(INDEX(RUNS!$G$6:$G$1005,MATCH($D92,RUNS!$A$6:$A$1005,0))="","",INDEX(RUNS!$G$6:$G$1005,MATCH($D92,RUNS!$A$6:$A$1005,0))),""))</f>
        <v/>
      </c>
      <c r="O92" s="33">
        <f>IF($D92="","",IFERROR(IF(INDEX(RUNS!$H$6:$H$1005,MATCH($D92,RUNS!$A$6:$A$1005,0))="","",INDEX(RUNS!$H$6:$H$1005,MATCH($D92,RUNS!$A$6:$A$1005,0))),""))</f>
        <v/>
      </c>
      <c r="P92" s="33">
        <f>IF($D92="","",IFERROR(IF(INDEX(RUNS!$J$6:$J$1005,MATCH($D92,RUNS!$A$6:$A$1005,0))="","",INDEX(RUNS!$J$6:$J$1005,MATCH($D92,RUNS!$A$6:$A$1005,0))),""))</f>
        <v/>
      </c>
      <c r="Q92" s="33">
        <f>IF($D92="","",IFERROR(IF(INDEX(RUNS!$K$6:$K$1005,MATCH($D92,RUNS!$A$6:$A$1005,0))="","",INDEX(RUNS!$K$6:$K$1005,MATCH($D92,RUNS!$A$6:$A$1005,0))),""))</f>
        <v/>
      </c>
      <c r="R92" s="34">
        <f>IF(OR($L92="",$K92=""),"",IFERROR(IF(INDEX(PARAMETRES!$H$43:$H$342,MATCH($L92&amp;"|"&amp;$M92&amp;"|"&amp;$N92&amp;"|"&amp;$O92&amp;"|"&amp;$P92&amp;"|"&amp;$Q92&amp;"|"&amp;$K92,PARAMETRES!$J$43:$J$342,0))="","",INDEX(PARAMETRES!$H$43:$H$342,MATCH($L92&amp;"|"&amp;$M92&amp;"|"&amp;$N92&amp;"|"&amp;$O92&amp;"|"&amp;$P92&amp;"|"&amp;$Q92&amp;"|"&amp;$K92,PARAMETRES!$J$43:$J$342,0))),""))</f>
        <v/>
      </c>
      <c r="S92" s="35">
        <f>IF(OR($G92="",$X92&lt;&gt;"VALIDE"),"",IFERROR(LOOKUP(2,1/(($B$3:$B91=$B92)*($G$3:$G91=$G92)*($X$3:$X91="VALIDE")),$C$3:$C91),""))</f>
        <v/>
      </c>
      <c r="T92" s="36">
        <f>IF(OR($C92="",$S92=""),"",ROUND(($C92-$S92+IF($C92&lt;$S92,1,0))*1440,0))</f>
        <v/>
      </c>
      <c r="U92" s="22">
        <f>IF(OR($H92="",$T92="",$T92&lt;=0),"",$H92*60/$T92)</f>
        <v/>
      </c>
      <c r="V92" s="37">
        <f>IF(OR($U92="",$R92="",$R92=0),"",$U92/$R92)</f>
        <v/>
      </c>
      <c r="W92" s="20">
        <f>IF($G92="","",IF($X92="CONTEXTE INCOMPLET","CONTEXTE INCOMPLET",IF($X92="DOUBLON",StatutDoublon,IF($S92="",StatutInitial,IF($R92="",StatutStandardManquant,IF($V92="","DONNEES INSUFFISANTES",IF($V92&gt;=SeuilConforme,StatutConforme,IF($V92&gt;=SeuilSurveiller,StatutSurveiller,StatutSousStandard))))))))</f>
        <v/>
      </c>
      <c r="X92" s="33">
        <f>IF($G92="","",IF(OR($D92="",$E92="",$F92=""),"CONTEXTE INCOMPLET",IF(COUNTIFS($D$3:$D91,$D92,$E$3:$E91,$E92,$F$3:$F91,$F92,$G$3:$G91,$G92)&gt;0,"DOUBLON","VALIDE")))</f>
        <v/>
      </c>
    </row>
    <row r="93" ht="15" customHeight="1">
      <c r="A93" s="12">
        <f>IF(OR($B93="",$G93=""),"",TEXT($B93,"YYYYMMDD")&amp;"-"&amp;SUBSTITUTE($E93," ","")&amp;"-"&amp;$F93&amp;"-"&amp;$G93)</f>
        <v/>
      </c>
      <c r="B93" s="15" t="n"/>
      <c r="C93" s="16" t="n"/>
      <c r="D93" s="10" t="n"/>
      <c r="E93" s="9" t="n"/>
      <c r="F93" s="9" t="n"/>
      <c r="G93" s="13" t="n"/>
      <c r="H93" s="21" t="n"/>
      <c r="I93" s="21" t="n"/>
      <c r="J93" s="17">
        <f>IF($G93="","",IFERROR(INDEX(NomsEmployes,MATCH($G93,MatriculesEmployes,0)),"MATRICULE INCONNU"))</f>
        <v/>
      </c>
      <c r="K93" s="33">
        <f>IF(OR($D93="",$F93=""),"",IFERROR(IF(INDEX(RUNS!$L$6:$S$1005,MATCH($D93,RUNS!$A$6:$A$1005,0),MATCH("ACTIVITÉ "&amp;$F93,RUNS!$L$5:$S$5,0))="","",INDEX(RUNS!$L$6:$S$1005,MATCH($D93,RUNS!$A$6:$A$1005,0),MATCH("ACTIVITÉ "&amp;$F93,RUNS!$L$5:$S$5,0))),""))</f>
        <v/>
      </c>
      <c r="L93" s="33">
        <f>IF($D93="","",IFERROR(IF(INDEX(RUNS!$E$6:$E$1005,MATCH($D93,RUNS!$A$6:$A$1005,0))="","",INDEX(RUNS!$E$6:$E$1005,MATCH($D93,RUNS!$A$6:$A$1005,0))),""))</f>
        <v/>
      </c>
      <c r="M93" s="33">
        <f>IF($D93="","",IFERROR(IF(INDEX(RUNS!$F$6:$F$1005,MATCH($D93,RUNS!$A$6:$A$1005,0))="","",INDEX(RUNS!$F$6:$F$1005,MATCH($D93,RUNS!$A$6:$A$1005,0))),""))</f>
        <v/>
      </c>
      <c r="N93" s="33">
        <f>IF($D93="","",IFERROR(IF(INDEX(RUNS!$G$6:$G$1005,MATCH($D93,RUNS!$A$6:$A$1005,0))="","",INDEX(RUNS!$G$6:$G$1005,MATCH($D93,RUNS!$A$6:$A$1005,0))),""))</f>
        <v/>
      </c>
      <c r="O93" s="33">
        <f>IF($D93="","",IFERROR(IF(INDEX(RUNS!$H$6:$H$1005,MATCH($D93,RUNS!$A$6:$A$1005,0))="","",INDEX(RUNS!$H$6:$H$1005,MATCH($D93,RUNS!$A$6:$A$1005,0))),""))</f>
        <v/>
      </c>
      <c r="P93" s="33">
        <f>IF($D93="","",IFERROR(IF(INDEX(RUNS!$J$6:$J$1005,MATCH($D93,RUNS!$A$6:$A$1005,0))="","",INDEX(RUNS!$J$6:$J$1005,MATCH($D93,RUNS!$A$6:$A$1005,0))),""))</f>
        <v/>
      </c>
      <c r="Q93" s="33">
        <f>IF($D93="","",IFERROR(IF(INDEX(RUNS!$K$6:$K$1005,MATCH($D93,RUNS!$A$6:$A$1005,0))="","",INDEX(RUNS!$K$6:$K$1005,MATCH($D93,RUNS!$A$6:$A$1005,0))),""))</f>
        <v/>
      </c>
      <c r="R93" s="34">
        <f>IF(OR($L93="",$K93=""),"",IFERROR(IF(INDEX(PARAMETRES!$H$43:$H$342,MATCH($L93&amp;"|"&amp;$M93&amp;"|"&amp;$N93&amp;"|"&amp;$O93&amp;"|"&amp;$P93&amp;"|"&amp;$Q93&amp;"|"&amp;$K93,PARAMETRES!$J$43:$J$342,0))="","",INDEX(PARAMETRES!$H$43:$H$342,MATCH($L93&amp;"|"&amp;$M93&amp;"|"&amp;$N93&amp;"|"&amp;$O93&amp;"|"&amp;$P93&amp;"|"&amp;$Q93&amp;"|"&amp;$K93,PARAMETRES!$J$43:$J$342,0))),""))</f>
        <v/>
      </c>
      <c r="S93" s="35">
        <f>IF(OR($G93="",$X93&lt;&gt;"VALIDE"),"",IFERROR(LOOKUP(2,1/(($B$3:$B92=$B93)*($G$3:$G92=$G93)*($X$3:$X92="VALIDE")),$C$3:$C92),""))</f>
        <v/>
      </c>
      <c r="T93" s="36">
        <f>IF(OR($C93="",$S93=""),"",ROUND(($C93-$S93+IF($C93&lt;$S93,1,0))*1440,0))</f>
        <v/>
      </c>
      <c r="U93" s="22">
        <f>IF(OR($H93="",$T93="",$T93&lt;=0),"",$H93*60/$T93)</f>
        <v/>
      </c>
      <c r="V93" s="37">
        <f>IF(OR($U93="",$R93="",$R93=0),"",$U93/$R93)</f>
        <v/>
      </c>
      <c r="W93" s="20">
        <f>IF($G93="","",IF($X93="CONTEXTE INCOMPLET","CONTEXTE INCOMPLET",IF($X93="DOUBLON",StatutDoublon,IF($S93="",StatutInitial,IF($R93="",StatutStandardManquant,IF($V93="","DONNEES INSUFFISANTES",IF($V93&gt;=SeuilConforme,StatutConforme,IF($V93&gt;=SeuilSurveiller,StatutSurveiller,StatutSousStandard))))))))</f>
        <v/>
      </c>
      <c r="X93" s="33">
        <f>IF($G93="","",IF(OR($D93="",$E93="",$F93=""),"CONTEXTE INCOMPLET",IF(COUNTIFS($D$3:$D92,$D93,$E$3:$E92,$E93,$F$3:$F92,$F93,$G$3:$G92,$G93)&gt;0,"DOUBLON","VALIDE")))</f>
        <v/>
      </c>
    </row>
    <row r="94" ht="15" customHeight="1">
      <c r="A94" s="12">
        <f>IF(OR($B94="",$G94=""),"",TEXT($B94,"YYYYMMDD")&amp;"-"&amp;SUBSTITUTE($E94," ","")&amp;"-"&amp;$F94&amp;"-"&amp;$G94)</f>
        <v/>
      </c>
      <c r="B94" s="15" t="n"/>
      <c r="C94" s="16" t="n"/>
      <c r="D94" s="10" t="n"/>
      <c r="E94" s="9" t="n"/>
      <c r="F94" s="9" t="n"/>
      <c r="G94" s="13" t="n"/>
      <c r="H94" s="21" t="n"/>
      <c r="I94" s="21" t="n"/>
      <c r="J94" s="17">
        <f>IF($G94="","",IFERROR(INDEX(NomsEmployes,MATCH($G94,MatriculesEmployes,0)),"MATRICULE INCONNU"))</f>
        <v/>
      </c>
      <c r="K94" s="33">
        <f>IF(OR($D94="",$F94=""),"",IFERROR(IF(INDEX(RUNS!$L$6:$S$1005,MATCH($D94,RUNS!$A$6:$A$1005,0),MATCH("ACTIVITÉ "&amp;$F94,RUNS!$L$5:$S$5,0))="","",INDEX(RUNS!$L$6:$S$1005,MATCH($D94,RUNS!$A$6:$A$1005,0),MATCH("ACTIVITÉ "&amp;$F94,RUNS!$L$5:$S$5,0))),""))</f>
        <v/>
      </c>
      <c r="L94" s="33">
        <f>IF($D94="","",IFERROR(IF(INDEX(RUNS!$E$6:$E$1005,MATCH($D94,RUNS!$A$6:$A$1005,0))="","",INDEX(RUNS!$E$6:$E$1005,MATCH($D94,RUNS!$A$6:$A$1005,0))),""))</f>
        <v/>
      </c>
      <c r="M94" s="33">
        <f>IF($D94="","",IFERROR(IF(INDEX(RUNS!$F$6:$F$1005,MATCH($D94,RUNS!$A$6:$A$1005,0))="","",INDEX(RUNS!$F$6:$F$1005,MATCH($D94,RUNS!$A$6:$A$1005,0))),""))</f>
        <v/>
      </c>
      <c r="N94" s="33">
        <f>IF($D94="","",IFERROR(IF(INDEX(RUNS!$G$6:$G$1005,MATCH($D94,RUNS!$A$6:$A$1005,0))="","",INDEX(RUNS!$G$6:$G$1005,MATCH($D94,RUNS!$A$6:$A$1005,0))),""))</f>
        <v/>
      </c>
      <c r="O94" s="33">
        <f>IF($D94="","",IFERROR(IF(INDEX(RUNS!$H$6:$H$1005,MATCH($D94,RUNS!$A$6:$A$1005,0))="","",INDEX(RUNS!$H$6:$H$1005,MATCH($D94,RUNS!$A$6:$A$1005,0))),""))</f>
        <v/>
      </c>
      <c r="P94" s="33">
        <f>IF($D94="","",IFERROR(IF(INDEX(RUNS!$J$6:$J$1005,MATCH($D94,RUNS!$A$6:$A$1005,0))="","",INDEX(RUNS!$J$6:$J$1005,MATCH($D94,RUNS!$A$6:$A$1005,0))),""))</f>
        <v/>
      </c>
      <c r="Q94" s="33">
        <f>IF($D94="","",IFERROR(IF(INDEX(RUNS!$K$6:$K$1005,MATCH($D94,RUNS!$A$6:$A$1005,0))="","",INDEX(RUNS!$K$6:$K$1005,MATCH($D94,RUNS!$A$6:$A$1005,0))),""))</f>
        <v/>
      </c>
      <c r="R94" s="34">
        <f>IF(OR($L94="",$K94=""),"",IFERROR(IF(INDEX(PARAMETRES!$H$43:$H$342,MATCH($L94&amp;"|"&amp;$M94&amp;"|"&amp;$N94&amp;"|"&amp;$O94&amp;"|"&amp;$P94&amp;"|"&amp;$Q94&amp;"|"&amp;$K94,PARAMETRES!$J$43:$J$342,0))="","",INDEX(PARAMETRES!$H$43:$H$342,MATCH($L94&amp;"|"&amp;$M94&amp;"|"&amp;$N94&amp;"|"&amp;$O94&amp;"|"&amp;$P94&amp;"|"&amp;$Q94&amp;"|"&amp;$K94,PARAMETRES!$J$43:$J$342,0))),""))</f>
        <v/>
      </c>
      <c r="S94" s="35">
        <f>IF(OR($G94="",$X94&lt;&gt;"VALIDE"),"",IFERROR(LOOKUP(2,1/(($B$3:$B93=$B94)*($G$3:$G93=$G94)*($X$3:$X93="VALIDE")),$C$3:$C93),""))</f>
        <v/>
      </c>
      <c r="T94" s="36">
        <f>IF(OR($C94="",$S94=""),"",ROUND(($C94-$S94+IF($C94&lt;$S94,1,0))*1440,0))</f>
        <v/>
      </c>
      <c r="U94" s="22">
        <f>IF(OR($H94="",$T94="",$T94&lt;=0),"",$H94*60/$T94)</f>
        <v/>
      </c>
      <c r="V94" s="37">
        <f>IF(OR($U94="",$R94="",$R94=0),"",$U94/$R94)</f>
        <v/>
      </c>
      <c r="W94" s="20">
        <f>IF($G94="","",IF($X94="CONTEXTE INCOMPLET","CONTEXTE INCOMPLET",IF($X94="DOUBLON",StatutDoublon,IF($S94="",StatutInitial,IF($R94="",StatutStandardManquant,IF($V94="","DONNEES INSUFFISANTES",IF($V94&gt;=SeuilConforme,StatutConforme,IF($V94&gt;=SeuilSurveiller,StatutSurveiller,StatutSousStandard))))))))</f>
        <v/>
      </c>
      <c r="X94" s="33">
        <f>IF($G94="","",IF(OR($D94="",$E94="",$F94=""),"CONTEXTE INCOMPLET",IF(COUNTIFS($D$3:$D93,$D94,$E$3:$E93,$E94,$F$3:$F93,$F94,$G$3:$G93,$G94)&gt;0,"DOUBLON","VALIDE")))</f>
        <v/>
      </c>
    </row>
    <row r="95" ht="15" customHeight="1">
      <c r="A95" s="12">
        <f>IF(OR($B95="",$G95=""),"",TEXT($B95,"YYYYMMDD")&amp;"-"&amp;SUBSTITUTE($E95," ","")&amp;"-"&amp;$F95&amp;"-"&amp;$G95)</f>
        <v/>
      </c>
      <c r="B95" s="15" t="n"/>
      <c r="C95" s="16" t="n"/>
      <c r="D95" s="10" t="n"/>
      <c r="E95" s="9" t="n"/>
      <c r="F95" s="9" t="n"/>
      <c r="G95" s="13" t="n"/>
      <c r="H95" s="21" t="n"/>
      <c r="I95" s="21" t="n"/>
      <c r="J95" s="17">
        <f>IF($G95="","",IFERROR(INDEX(NomsEmployes,MATCH($G95,MatriculesEmployes,0)),"MATRICULE INCONNU"))</f>
        <v/>
      </c>
      <c r="K95" s="33">
        <f>IF(OR($D95="",$F95=""),"",IFERROR(IF(INDEX(RUNS!$L$6:$S$1005,MATCH($D95,RUNS!$A$6:$A$1005,0),MATCH("ACTIVITÉ "&amp;$F95,RUNS!$L$5:$S$5,0))="","",INDEX(RUNS!$L$6:$S$1005,MATCH($D95,RUNS!$A$6:$A$1005,0),MATCH("ACTIVITÉ "&amp;$F95,RUNS!$L$5:$S$5,0))),""))</f>
        <v/>
      </c>
      <c r="L95" s="33">
        <f>IF($D95="","",IFERROR(IF(INDEX(RUNS!$E$6:$E$1005,MATCH($D95,RUNS!$A$6:$A$1005,0))="","",INDEX(RUNS!$E$6:$E$1005,MATCH($D95,RUNS!$A$6:$A$1005,0))),""))</f>
        <v/>
      </c>
      <c r="M95" s="33">
        <f>IF($D95="","",IFERROR(IF(INDEX(RUNS!$F$6:$F$1005,MATCH($D95,RUNS!$A$6:$A$1005,0))="","",INDEX(RUNS!$F$6:$F$1005,MATCH($D95,RUNS!$A$6:$A$1005,0))),""))</f>
        <v/>
      </c>
      <c r="N95" s="33">
        <f>IF($D95="","",IFERROR(IF(INDEX(RUNS!$G$6:$G$1005,MATCH($D95,RUNS!$A$6:$A$1005,0))="","",INDEX(RUNS!$G$6:$G$1005,MATCH($D95,RUNS!$A$6:$A$1005,0))),""))</f>
        <v/>
      </c>
      <c r="O95" s="33">
        <f>IF($D95="","",IFERROR(IF(INDEX(RUNS!$H$6:$H$1005,MATCH($D95,RUNS!$A$6:$A$1005,0))="","",INDEX(RUNS!$H$6:$H$1005,MATCH($D95,RUNS!$A$6:$A$1005,0))),""))</f>
        <v/>
      </c>
      <c r="P95" s="33">
        <f>IF($D95="","",IFERROR(IF(INDEX(RUNS!$J$6:$J$1005,MATCH($D95,RUNS!$A$6:$A$1005,0))="","",INDEX(RUNS!$J$6:$J$1005,MATCH($D95,RUNS!$A$6:$A$1005,0))),""))</f>
        <v/>
      </c>
      <c r="Q95" s="33">
        <f>IF($D95="","",IFERROR(IF(INDEX(RUNS!$K$6:$K$1005,MATCH($D95,RUNS!$A$6:$A$1005,0))="","",INDEX(RUNS!$K$6:$K$1005,MATCH($D95,RUNS!$A$6:$A$1005,0))),""))</f>
        <v/>
      </c>
      <c r="R95" s="34">
        <f>IF(OR($L95="",$K95=""),"",IFERROR(IF(INDEX(PARAMETRES!$H$43:$H$342,MATCH($L95&amp;"|"&amp;$M95&amp;"|"&amp;$N95&amp;"|"&amp;$O95&amp;"|"&amp;$P95&amp;"|"&amp;$Q95&amp;"|"&amp;$K95,PARAMETRES!$J$43:$J$342,0))="","",INDEX(PARAMETRES!$H$43:$H$342,MATCH($L95&amp;"|"&amp;$M95&amp;"|"&amp;$N95&amp;"|"&amp;$O95&amp;"|"&amp;$P95&amp;"|"&amp;$Q95&amp;"|"&amp;$K95,PARAMETRES!$J$43:$J$342,0))),""))</f>
        <v/>
      </c>
      <c r="S95" s="35">
        <f>IF(OR($G95="",$X95&lt;&gt;"VALIDE"),"",IFERROR(LOOKUP(2,1/(($B$3:$B94=$B95)*($G$3:$G94=$G95)*($X$3:$X94="VALIDE")),$C$3:$C94),""))</f>
        <v/>
      </c>
      <c r="T95" s="36">
        <f>IF(OR($C95="",$S95=""),"",ROUND(($C95-$S95+IF($C95&lt;$S95,1,0))*1440,0))</f>
        <v/>
      </c>
      <c r="U95" s="22">
        <f>IF(OR($H95="",$T95="",$T95&lt;=0),"",$H95*60/$T95)</f>
        <v/>
      </c>
      <c r="V95" s="37">
        <f>IF(OR($U95="",$R95="",$R95=0),"",$U95/$R95)</f>
        <v/>
      </c>
      <c r="W95" s="20">
        <f>IF($G95="","",IF($X95="CONTEXTE INCOMPLET","CONTEXTE INCOMPLET",IF($X95="DOUBLON",StatutDoublon,IF($S95="",StatutInitial,IF($R95="",StatutStandardManquant,IF($V95="","DONNEES INSUFFISANTES",IF($V95&gt;=SeuilConforme,StatutConforme,IF($V95&gt;=SeuilSurveiller,StatutSurveiller,StatutSousStandard))))))))</f>
        <v/>
      </c>
      <c r="X95" s="33">
        <f>IF($G95="","",IF(OR($D95="",$E95="",$F95=""),"CONTEXTE INCOMPLET",IF(COUNTIFS($D$3:$D94,$D95,$E$3:$E94,$E95,$F$3:$F94,$F95,$G$3:$G94,$G95)&gt;0,"DOUBLON","VALIDE")))</f>
        <v/>
      </c>
    </row>
    <row r="96" ht="15" customHeight="1">
      <c r="A96" s="12">
        <f>IF(OR($B96="",$G96=""),"",TEXT($B96,"YYYYMMDD")&amp;"-"&amp;SUBSTITUTE($E96," ","")&amp;"-"&amp;$F96&amp;"-"&amp;$G96)</f>
        <v/>
      </c>
      <c r="B96" s="15" t="n"/>
      <c r="C96" s="16" t="n"/>
      <c r="D96" s="10" t="n"/>
      <c r="E96" s="9" t="n"/>
      <c r="F96" s="9" t="n"/>
      <c r="G96" s="13" t="n"/>
      <c r="H96" s="21" t="n"/>
      <c r="I96" s="21" t="n"/>
      <c r="J96" s="17">
        <f>IF($G96="","",IFERROR(INDEX(NomsEmployes,MATCH($G96,MatriculesEmployes,0)),"MATRICULE INCONNU"))</f>
        <v/>
      </c>
      <c r="K96" s="33">
        <f>IF(OR($D96="",$F96=""),"",IFERROR(IF(INDEX(RUNS!$L$6:$S$1005,MATCH($D96,RUNS!$A$6:$A$1005,0),MATCH("ACTIVITÉ "&amp;$F96,RUNS!$L$5:$S$5,0))="","",INDEX(RUNS!$L$6:$S$1005,MATCH($D96,RUNS!$A$6:$A$1005,0),MATCH("ACTIVITÉ "&amp;$F96,RUNS!$L$5:$S$5,0))),""))</f>
        <v/>
      </c>
      <c r="L96" s="33">
        <f>IF($D96="","",IFERROR(IF(INDEX(RUNS!$E$6:$E$1005,MATCH($D96,RUNS!$A$6:$A$1005,0))="","",INDEX(RUNS!$E$6:$E$1005,MATCH($D96,RUNS!$A$6:$A$1005,0))),""))</f>
        <v/>
      </c>
      <c r="M96" s="33">
        <f>IF($D96="","",IFERROR(IF(INDEX(RUNS!$F$6:$F$1005,MATCH($D96,RUNS!$A$6:$A$1005,0))="","",INDEX(RUNS!$F$6:$F$1005,MATCH($D96,RUNS!$A$6:$A$1005,0))),""))</f>
        <v/>
      </c>
      <c r="N96" s="33">
        <f>IF($D96="","",IFERROR(IF(INDEX(RUNS!$G$6:$G$1005,MATCH($D96,RUNS!$A$6:$A$1005,0))="","",INDEX(RUNS!$G$6:$G$1005,MATCH($D96,RUNS!$A$6:$A$1005,0))),""))</f>
        <v/>
      </c>
      <c r="O96" s="33">
        <f>IF($D96="","",IFERROR(IF(INDEX(RUNS!$H$6:$H$1005,MATCH($D96,RUNS!$A$6:$A$1005,0))="","",INDEX(RUNS!$H$6:$H$1005,MATCH($D96,RUNS!$A$6:$A$1005,0))),""))</f>
        <v/>
      </c>
      <c r="P96" s="33">
        <f>IF($D96="","",IFERROR(IF(INDEX(RUNS!$J$6:$J$1005,MATCH($D96,RUNS!$A$6:$A$1005,0))="","",INDEX(RUNS!$J$6:$J$1005,MATCH($D96,RUNS!$A$6:$A$1005,0))),""))</f>
        <v/>
      </c>
      <c r="Q96" s="33">
        <f>IF($D96="","",IFERROR(IF(INDEX(RUNS!$K$6:$K$1005,MATCH($D96,RUNS!$A$6:$A$1005,0))="","",INDEX(RUNS!$K$6:$K$1005,MATCH($D96,RUNS!$A$6:$A$1005,0))),""))</f>
        <v/>
      </c>
      <c r="R96" s="34">
        <f>IF(OR($L96="",$K96=""),"",IFERROR(IF(INDEX(PARAMETRES!$H$43:$H$342,MATCH($L96&amp;"|"&amp;$M96&amp;"|"&amp;$N96&amp;"|"&amp;$O96&amp;"|"&amp;$P96&amp;"|"&amp;$Q96&amp;"|"&amp;$K96,PARAMETRES!$J$43:$J$342,0))="","",INDEX(PARAMETRES!$H$43:$H$342,MATCH($L96&amp;"|"&amp;$M96&amp;"|"&amp;$N96&amp;"|"&amp;$O96&amp;"|"&amp;$P96&amp;"|"&amp;$Q96&amp;"|"&amp;$K96,PARAMETRES!$J$43:$J$342,0))),""))</f>
        <v/>
      </c>
      <c r="S96" s="35">
        <f>IF(OR($G96="",$X96&lt;&gt;"VALIDE"),"",IFERROR(LOOKUP(2,1/(($B$3:$B95=$B96)*($G$3:$G95=$G96)*($X$3:$X95="VALIDE")),$C$3:$C95),""))</f>
        <v/>
      </c>
      <c r="T96" s="36">
        <f>IF(OR($C96="",$S96=""),"",ROUND(($C96-$S96+IF($C96&lt;$S96,1,0))*1440,0))</f>
        <v/>
      </c>
      <c r="U96" s="22">
        <f>IF(OR($H96="",$T96="",$T96&lt;=0),"",$H96*60/$T96)</f>
        <v/>
      </c>
      <c r="V96" s="37">
        <f>IF(OR($U96="",$R96="",$R96=0),"",$U96/$R96)</f>
        <v/>
      </c>
      <c r="W96" s="20">
        <f>IF($G96="","",IF($X96="CONTEXTE INCOMPLET","CONTEXTE INCOMPLET",IF($X96="DOUBLON",StatutDoublon,IF($S96="",StatutInitial,IF($R96="",StatutStandardManquant,IF($V96="","DONNEES INSUFFISANTES",IF($V96&gt;=SeuilConforme,StatutConforme,IF($V96&gt;=SeuilSurveiller,StatutSurveiller,StatutSousStandard))))))))</f>
        <v/>
      </c>
      <c r="X96" s="33">
        <f>IF($G96="","",IF(OR($D96="",$E96="",$F96=""),"CONTEXTE INCOMPLET",IF(COUNTIFS($D$3:$D95,$D96,$E$3:$E95,$E96,$F$3:$F95,$F96,$G$3:$G95,$G96)&gt;0,"DOUBLON","VALIDE")))</f>
        <v/>
      </c>
    </row>
    <row r="97" ht="15" customHeight="1">
      <c r="A97" s="12">
        <f>IF(OR($B97="",$G97=""),"",TEXT($B97,"YYYYMMDD")&amp;"-"&amp;SUBSTITUTE($E97," ","")&amp;"-"&amp;$F97&amp;"-"&amp;$G97)</f>
        <v/>
      </c>
      <c r="B97" s="15" t="n"/>
      <c r="C97" s="16" t="n"/>
      <c r="D97" s="10" t="n"/>
      <c r="E97" s="9" t="n"/>
      <c r="F97" s="9" t="n"/>
      <c r="G97" s="13" t="n"/>
      <c r="H97" s="21" t="n"/>
      <c r="I97" s="21" t="n"/>
      <c r="J97" s="17">
        <f>IF($G97="","",IFERROR(INDEX(NomsEmployes,MATCH($G97,MatriculesEmployes,0)),"MATRICULE INCONNU"))</f>
        <v/>
      </c>
      <c r="K97" s="33">
        <f>IF(OR($D97="",$F97=""),"",IFERROR(IF(INDEX(RUNS!$L$6:$S$1005,MATCH($D97,RUNS!$A$6:$A$1005,0),MATCH("ACTIVITÉ "&amp;$F97,RUNS!$L$5:$S$5,0))="","",INDEX(RUNS!$L$6:$S$1005,MATCH($D97,RUNS!$A$6:$A$1005,0),MATCH("ACTIVITÉ "&amp;$F97,RUNS!$L$5:$S$5,0))),""))</f>
        <v/>
      </c>
      <c r="L97" s="33">
        <f>IF($D97="","",IFERROR(IF(INDEX(RUNS!$E$6:$E$1005,MATCH($D97,RUNS!$A$6:$A$1005,0))="","",INDEX(RUNS!$E$6:$E$1005,MATCH($D97,RUNS!$A$6:$A$1005,0))),""))</f>
        <v/>
      </c>
      <c r="M97" s="33">
        <f>IF($D97="","",IFERROR(IF(INDEX(RUNS!$F$6:$F$1005,MATCH($D97,RUNS!$A$6:$A$1005,0))="","",INDEX(RUNS!$F$6:$F$1005,MATCH($D97,RUNS!$A$6:$A$1005,0))),""))</f>
        <v/>
      </c>
      <c r="N97" s="33">
        <f>IF($D97="","",IFERROR(IF(INDEX(RUNS!$G$6:$G$1005,MATCH($D97,RUNS!$A$6:$A$1005,0))="","",INDEX(RUNS!$G$6:$G$1005,MATCH($D97,RUNS!$A$6:$A$1005,0))),""))</f>
        <v/>
      </c>
      <c r="O97" s="33">
        <f>IF($D97="","",IFERROR(IF(INDEX(RUNS!$H$6:$H$1005,MATCH($D97,RUNS!$A$6:$A$1005,0))="","",INDEX(RUNS!$H$6:$H$1005,MATCH($D97,RUNS!$A$6:$A$1005,0))),""))</f>
        <v/>
      </c>
      <c r="P97" s="33">
        <f>IF($D97="","",IFERROR(IF(INDEX(RUNS!$J$6:$J$1005,MATCH($D97,RUNS!$A$6:$A$1005,0))="","",INDEX(RUNS!$J$6:$J$1005,MATCH($D97,RUNS!$A$6:$A$1005,0))),""))</f>
        <v/>
      </c>
      <c r="Q97" s="33">
        <f>IF($D97="","",IFERROR(IF(INDEX(RUNS!$K$6:$K$1005,MATCH($D97,RUNS!$A$6:$A$1005,0))="","",INDEX(RUNS!$K$6:$K$1005,MATCH($D97,RUNS!$A$6:$A$1005,0))),""))</f>
        <v/>
      </c>
      <c r="R97" s="34">
        <f>IF(OR($L97="",$K97=""),"",IFERROR(IF(INDEX(PARAMETRES!$H$43:$H$342,MATCH($L97&amp;"|"&amp;$M97&amp;"|"&amp;$N97&amp;"|"&amp;$O97&amp;"|"&amp;$P97&amp;"|"&amp;$Q97&amp;"|"&amp;$K97,PARAMETRES!$J$43:$J$342,0))="","",INDEX(PARAMETRES!$H$43:$H$342,MATCH($L97&amp;"|"&amp;$M97&amp;"|"&amp;$N97&amp;"|"&amp;$O97&amp;"|"&amp;$P97&amp;"|"&amp;$Q97&amp;"|"&amp;$K97,PARAMETRES!$J$43:$J$342,0))),""))</f>
        <v/>
      </c>
      <c r="S97" s="35">
        <f>IF(OR($G97="",$X97&lt;&gt;"VALIDE"),"",IFERROR(LOOKUP(2,1/(($B$3:$B96=$B97)*($G$3:$G96=$G97)*($X$3:$X96="VALIDE")),$C$3:$C96),""))</f>
        <v/>
      </c>
      <c r="T97" s="36">
        <f>IF(OR($C97="",$S97=""),"",ROUND(($C97-$S97+IF($C97&lt;$S97,1,0))*1440,0))</f>
        <v/>
      </c>
      <c r="U97" s="22">
        <f>IF(OR($H97="",$T97="",$T97&lt;=0),"",$H97*60/$T97)</f>
        <v/>
      </c>
      <c r="V97" s="37">
        <f>IF(OR($U97="",$R97="",$R97=0),"",$U97/$R97)</f>
        <v/>
      </c>
      <c r="W97" s="20">
        <f>IF($G97="","",IF($X97="CONTEXTE INCOMPLET","CONTEXTE INCOMPLET",IF($X97="DOUBLON",StatutDoublon,IF($S97="",StatutInitial,IF($R97="",StatutStandardManquant,IF($V97="","DONNEES INSUFFISANTES",IF($V97&gt;=SeuilConforme,StatutConforme,IF($V97&gt;=SeuilSurveiller,StatutSurveiller,StatutSousStandard))))))))</f>
        <v/>
      </c>
      <c r="X97" s="33">
        <f>IF($G97="","",IF(OR($D97="",$E97="",$F97=""),"CONTEXTE INCOMPLET",IF(COUNTIFS($D$3:$D96,$D97,$E$3:$E96,$E97,$F$3:$F96,$F97,$G$3:$G96,$G97)&gt;0,"DOUBLON","VALIDE")))</f>
        <v/>
      </c>
    </row>
    <row r="98" ht="15" customHeight="1">
      <c r="A98" s="12">
        <f>IF(OR($B98="",$G98=""),"",TEXT($B98,"YYYYMMDD")&amp;"-"&amp;SUBSTITUTE($E98," ","")&amp;"-"&amp;$F98&amp;"-"&amp;$G98)</f>
        <v/>
      </c>
      <c r="B98" s="15" t="n"/>
      <c r="C98" s="16" t="n"/>
      <c r="D98" s="10" t="n"/>
      <c r="E98" s="9" t="n"/>
      <c r="F98" s="9" t="n"/>
      <c r="G98" s="13" t="n"/>
      <c r="H98" s="21" t="n"/>
      <c r="I98" s="21" t="n"/>
      <c r="J98" s="17">
        <f>IF($G98="","",IFERROR(INDEX(NomsEmployes,MATCH($G98,MatriculesEmployes,0)),"MATRICULE INCONNU"))</f>
        <v/>
      </c>
      <c r="K98" s="33">
        <f>IF(OR($D98="",$F98=""),"",IFERROR(IF(INDEX(RUNS!$L$6:$S$1005,MATCH($D98,RUNS!$A$6:$A$1005,0),MATCH("ACTIVITÉ "&amp;$F98,RUNS!$L$5:$S$5,0))="","",INDEX(RUNS!$L$6:$S$1005,MATCH($D98,RUNS!$A$6:$A$1005,0),MATCH("ACTIVITÉ "&amp;$F98,RUNS!$L$5:$S$5,0))),""))</f>
        <v/>
      </c>
      <c r="L98" s="33">
        <f>IF($D98="","",IFERROR(IF(INDEX(RUNS!$E$6:$E$1005,MATCH($D98,RUNS!$A$6:$A$1005,0))="","",INDEX(RUNS!$E$6:$E$1005,MATCH($D98,RUNS!$A$6:$A$1005,0))),""))</f>
        <v/>
      </c>
      <c r="M98" s="33">
        <f>IF($D98="","",IFERROR(IF(INDEX(RUNS!$F$6:$F$1005,MATCH($D98,RUNS!$A$6:$A$1005,0))="","",INDEX(RUNS!$F$6:$F$1005,MATCH($D98,RUNS!$A$6:$A$1005,0))),""))</f>
        <v/>
      </c>
      <c r="N98" s="33">
        <f>IF($D98="","",IFERROR(IF(INDEX(RUNS!$G$6:$G$1005,MATCH($D98,RUNS!$A$6:$A$1005,0))="","",INDEX(RUNS!$G$6:$G$1005,MATCH($D98,RUNS!$A$6:$A$1005,0))),""))</f>
        <v/>
      </c>
      <c r="O98" s="33">
        <f>IF($D98="","",IFERROR(IF(INDEX(RUNS!$H$6:$H$1005,MATCH($D98,RUNS!$A$6:$A$1005,0))="","",INDEX(RUNS!$H$6:$H$1005,MATCH($D98,RUNS!$A$6:$A$1005,0))),""))</f>
        <v/>
      </c>
      <c r="P98" s="33">
        <f>IF($D98="","",IFERROR(IF(INDEX(RUNS!$J$6:$J$1005,MATCH($D98,RUNS!$A$6:$A$1005,0))="","",INDEX(RUNS!$J$6:$J$1005,MATCH($D98,RUNS!$A$6:$A$1005,0))),""))</f>
        <v/>
      </c>
      <c r="Q98" s="33">
        <f>IF($D98="","",IFERROR(IF(INDEX(RUNS!$K$6:$K$1005,MATCH($D98,RUNS!$A$6:$A$1005,0))="","",INDEX(RUNS!$K$6:$K$1005,MATCH($D98,RUNS!$A$6:$A$1005,0))),""))</f>
        <v/>
      </c>
      <c r="R98" s="34">
        <f>IF(OR($L98="",$K98=""),"",IFERROR(IF(INDEX(PARAMETRES!$H$43:$H$342,MATCH($L98&amp;"|"&amp;$M98&amp;"|"&amp;$N98&amp;"|"&amp;$O98&amp;"|"&amp;$P98&amp;"|"&amp;$Q98&amp;"|"&amp;$K98,PARAMETRES!$J$43:$J$342,0))="","",INDEX(PARAMETRES!$H$43:$H$342,MATCH($L98&amp;"|"&amp;$M98&amp;"|"&amp;$N98&amp;"|"&amp;$O98&amp;"|"&amp;$P98&amp;"|"&amp;$Q98&amp;"|"&amp;$K98,PARAMETRES!$J$43:$J$342,0))),""))</f>
        <v/>
      </c>
      <c r="S98" s="35">
        <f>IF(OR($G98="",$X98&lt;&gt;"VALIDE"),"",IFERROR(LOOKUP(2,1/(($B$3:$B97=$B98)*($G$3:$G97=$G98)*($X$3:$X97="VALIDE")),$C$3:$C97),""))</f>
        <v/>
      </c>
      <c r="T98" s="36">
        <f>IF(OR($C98="",$S98=""),"",ROUND(($C98-$S98+IF($C98&lt;$S98,1,0))*1440,0))</f>
        <v/>
      </c>
      <c r="U98" s="22">
        <f>IF(OR($H98="",$T98="",$T98&lt;=0),"",$H98*60/$T98)</f>
        <v/>
      </c>
      <c r="V98" s="37">
        <f>IF(OR($U98="",$R98="",$R98=0),"",$U98/$R98)</f>
        <v/>
      </c>
      <c r="W98" s="20">
        <f>IF($G98="","",IF($X98="CONTEXTE INCOMPLET","CONTEXTE INCOMPLET",IF($X98="DOUBLON",StatutDoublon,IF($S98="",StatutInitial,IF($R98="",StatutStandardManquant,IF($V98="","DONNEES INSUFFISANTES",IF($V98&gt;=SeuilConforme,StatutConforme,IF($V98&gt;=SeuilSurveiller,StatutSurveiller,StatutSousStandard))))))))</f>
        <v/>
      </c>
      <c r="X98" s="33">
        <f>IF($G98="","",IF(OR($D98="",$E98="",$F98=""),"CONTEXTE INCOMPLET",IF(COUNTIFS($D$3:$D97,$D98,$E$3:$E97,$E98,$F$3:$F97,$F98,$G$3:$G97,$G98)&gt;0,"DOUBLON","VALIDE")))</f>
        <v/>
      </c>
    </row>
    <row r="99" ht="15" customHeight="1">
      <c r="A99" s="12">
        <f>IF(OR($B99="",$G99=""),"",TEXT($B99,"YYYYMMDD")&amp;"-"&amp;SUBSTITUTE($E99," ","")&amp;"-"&amp;$F99&amp;"-"&amp;$G99)</f>
        <v/>
      </c>
      <c r="B99" s="15" t="n"/>
      <c r="C99" s="16" t="n"/>
      <c r="D99" s="10" t="n"/>
      <c r="E99" s="9" t="n"/>
      <c r="F99" s="9" t="n"/>
      <c r="G99" s="13" t="n"/>
      <c r="H99" s="21" t="n"/>
      <c r="I99" s="21" t="n"/>
      <c r="J99" s="17">
        <f>IF($G99="","",IFERROR(INDEX(NomsEmployes,MATCH($G99,MatriculesEmployes,0)),"MATRICULE INCONNU"))</f>
        <v/>
      </c>
      <c r="K99" s="33">
        <f>IF(OR($D99="",$F99=""),"",IFERROR(IF(INDEX(RUNS!$L$6:$S$1005,MATCH($D99,RUNS!$A$6:$A$1005,0),MATCH("ACTIVITÉ "&amp;$F99,RUNS!$L$5:$S$5,0))="","",INDEX(RUNS!$L$6:$S$1005,MATCH($D99,RUNS!$A$6:$A$1005,0),MATCH("ACTIVITÉ "&amp;$F99,RUNS!$L$5:$S$5,0))),""))</f>
        <v/>
      </c>
      <c r="L99" s="33">
        <f>IF($D99="","",IFERROR(IF(INDEX(RUNS!$E$6:$E$1005,MATCH($D99,RUNS!$A$6:$A$1005,0))="","",INDEX(RUNS!$E$6:$E$1005,MATCH($D99,RUNS!$A$6:$A$1005,0))),""))</f>
        <v/>
      </c>
      <c r="M99" s="33">
        <f>IF($D99="","",IFERROR(IF(INDEX(RUNS!$F$6:$F$1005,MATCH($D99,RUNS!$A$6:$A$1005,0))="","",INDEX(RUNS!$F$6:$F$1005,MATCH($D99,RUNS!$A$6:$A$1005,0))),""))</f>
        <v/>
      </c>
      <c r="N99" s="33">
        <f>IF($D99="","",IFERROR(IF(INDEX(RUNS!$G$6:$G$1005,MATCH($D99,RUNS!$A$6:$A$1005,0))="","",INDEX(RUNS!$G$6:$G$1005,MATCH($D99,RUNS!$A$6:$A$1005,0))),""))</f>
        <v/>
      </c>
      <c r="O99" s="33">
        <f>IF($D99="","",IFERROR(IF(INDEX(RUNS!$H$6:$H$1005,MATCH($D99,RUNS!$A$6:$A$1005,0))="","",INDEX(RUNS!$H$6:$H$1005,MATCH($D99,RUNS!$A$6:$A$1005,0))),""))</f>
        <v/>
      </c>
      <c r="P99" s="33">
        <f>IF($D99="","",IFERROR(IF(INDEX(RUNS!$J$6:$J$1005,MATCH($D99,RUNS!$A$6:$A$1005,0))="","",INDEX(RUNS!$J$6:$J$1005,MATCH($D99,RUNS!$A$6:$A$1005,0))),""))</f>
        <v/>
      </c>
      <c r="Q99" s="33">
        <f>IF($D99="","",IFERROR(IF(INDEX(RUNS!$K$6:$K$1005,MATCH($D99,RUNS!$A$6:$A$1005,0))="","",INDEX(RUNS!$K$6:$K$1005,MATCH($D99,RUNS!$A$6:$A$1005,0))),""))</f>
        <v/>
      </c>
      <c r="R99" s="34">
        <f>IF(OR($L99="",$K99=""),"",IFERROR(IF(INDEX(PARAMETRES!$H$43:$H$342,MATCH($L99&amp;"|"&amp;$M99&amp;"|"&amp;$N99&amp;"|"&amp;$O99&amp;"|"&amp;$P99&amp;"|"&amp;$Q99&amp;"|"&amp;$K99,PARAMETRES!$J$43:$J$342,0))="","",INDEX(PARAMETRES!$H$43:$H$342,MATCH($L99&amp;"|"&amp;$M99&amp;"|"&amp;$N99&amp;"|"&amp;$O99&amp;"|"&amp;$P99&amp;"|"&amp;$Q99&amp;"|"&amp;$K99,PARAMETRES!$J$43:$J$342,0))),""))</f>
        <v/>
      </c>
      <c r="S99" s="35">
        <f>IF(OR($G99="",$X99&lt;&gt;"VALIDE"),"",IFERROR(LOOKUP(2,1/(($B$3:$B98=$B99)*($G$3:$G98=$G99)*($X$3:$X98="VALIDE")),$C$3:$C98),""))</f>
        <v/>
      </c>
      <c r="T99" s="36">
        <f>IF(OR($C99="",$S99=""),"",ROUND(($C99-$S99+IF($C99&lt;$S99,1,0))*1440,0))</f>
        <v/>
      </c>
      <c r="U99" s="22">
        <f>IF(OR($H99="",$T99="",$T99&lt;=0),"",$H99*60/$T99)</f>
        <v/>
      </c>
      <c r="V99" s="37">
        <f>IF(OR($U99="",$R99="",$R99=0),"",$U99/$R99)</f>
        <v/>
      </c>
      <c r="W99" s="20">
        <f>IF($G99="","",IF($X99="CONTEXTE INCOMPLET","CONTEXTE INCOMPLET",IF($X99="DOUBLON",StatutDoublon,IF($S99="",StatutInitial,IF($R99="",StatutStandardManquant,IF($V99="","DONNEES INSUFFISANTES",IF($V99&gt;=SeuilConforme,StatutConforme,IF($V99&gt;=SeuilSurveiller,StatutSurveiller,StatutSousStandard))))))))</f>
        <v/>
      </c>
      <c r="X99" s="33">
        <f>IF($G99="","",IF(OR($D99="",$E99="",$F99=""),"CONTEXTE INCOMPLET",IF(COUNTIFS($D$3:$D98,$D99,$E$3:$E98,$E99,$F$3:$F98,$F99,$G$3:$G98,$G99)&gt;0,"DOUBLON","VALIDE")))</f>
        <v/>
      </c>
    </row>
    <row r="100" ht="15" customHeight="1">
      <c r="A100" s="12">
        <f>IF(OR($B100="",$G100=""),"",TEXT($B100,"YYYYMMDD")&amp;"-"&amp;SUBSTITUTE($E100," ","")&amp;"-"&amp;$F100&amp;"-"&amp;$G100)</f>
        <v/>
      </c>
      <c r="B100" s="15" t="n"/>
      <c r="C100" s="16" t="n"/>
      <c r="D100" s="10" t="n"/>
      <c r="E100" s="9" t="n"/>
      <c r="F100" s="9" t="n"/>
      <c r="G100" s="13" t="n"/>
      <c r="H100" s="21" t="n"/>
      <c r="I100" s="21" t="n"/>
      <c r="J100" s="17">
        <f>IF($G100="","",IFERROR(INDEX(NomsEmployes,MATCH($G100,MatriculesEmployes,0)),"MATRICULE INCONNU"))</f>
        <v/>
      </c>
      <c r="K100" s="33">
        <f>IF(OR($D100="",$F100=""),"",IFERROR(IF(INDEX(RUNS!$L$6:$S$1005,MATCH($D100,RUNS!$A$6:$A$1005,0),MATCH("ACTIVITÉ "&amp;$F100,RUNS!$L$5:$S$5,0))="","",INDEX(RUNS!$L$6:$S$1005,MATCH($D100,RUNS!$A$6:$A$1005,0),MATCH("ACTIVITÉ "&amp;$F100,RUNS!$L$5:$S$5,0))),""))</f>
        <v/>
      </c>
      <c r="L100" s="33">
        <f>IF($D100="","",IFERROR(IF(INDEX(RUNS!$E$6:$E$1005,MATCH($D100,RUNS!$A$6:$A$1005,0))="","",INDEX(RUNS!$E$6:$E$1005,MATCH($D100,RUNS!$A$6:$A$1005,0))),""))</f>
        <v/>
      </c>
      <c r="M100" s="33">
        <f>IF($D100="","",IFERROR(IF(INDEX(RUNS!$F$6:$F$1005,MATCH($D100,RUNS!$A$6:$A$1005,0))="","",INDEX(RUNS!$F$6:$F$1005,MATCH($D100,RUNS!$A$6:$A$1005,0))),""))</f>
        <v/>
      </c>
      <c r="N100" s="33">
        <f>IF($D100="","",IFERROR(IF(INDEX(RUNS!$G$6:$G$1005,MATCH($D100,RUNS!$A$6:$A$1005,0))="","",INDEX(RUNS!$G$6:$G$1005,MATCH($D100,RUNS!$A$6:$A$1005,0))),""))</f>
        <v/>
      </c>
      <c r="O100" s="33">
        <f>IF($D100="","",IFERROR(IF(INDEX(RUNS!$H$6:$H$1005,MATCH($D100,RUNS!$A$6:$A$1005,0))="","",INDEX(RUNS!$H$6:$H$1005,MATCH($D100,RUNS!$A$6:$A$1005,0))),""))</f>
        <v/>
      </c>
      <c r="P100" s="33">
        <f>IF($D100="","",IFERROR(IF(INDEX(RUNS!$J$6:$J$1005,MATCH($D100,RUNS!$A$6:$A$1005,0))="","",INDEX(RUNS!$J$6:$J$1005,MATCH($D100,RUNS!$A$6:$A$1005,0))),""))</f>
        <v/>
      </c>
      <c r="Q100" s="33">
        <f>IF($D100="","",IFERROR(IF(INDEX(RUNS!$K$6:$K$1005,MATCH($D100,RUNS!$A$6:$A$1005,0))="","",INDEX(RUNS!$K$6:$K$1005,MATCH($D100,RUNS!$A$6:$A$1005,0))),""))</f>
        <v/>
      </c>
      <c r="R100" s="34">
        <f>IF(OR($L100="",$K100=""),"",IFERROR(IF(INDEX(PARAMETRES!$H$43:$H$342,MATCH($L100&amp;"|"&amp;$M100&amp;"|"&amp;$N100&amp;"|"&amp;$O100&amp;"|"&amp;$P100&amp;"|"&amp;$Q100&amp;"|"&amp;$K100,PARAMETRES!$J$43:$J$342,0))="","",INDEX(PARAMETRES!$H$43:$H$342,MATCH($L100&amp;"|"&amp;$M100&amp;"|"&amp;$N100&amp;"|"&amp;$O100&amp;"|"&amp;$P100&amp;"|"&amp;$Q100&amp;"|"&amp;$K100,PARAMETRES!$J$43:$J$342,0))),""))</f>
        <v/>
      </c>
      <c r="S100" s="35">
        <f>IF(OR($G100="",$X100&lt;&gt;"VALIDE"),"",IFERROR(LOOKUP(2,1/(($B$3:$B99=$B100)*($G$3:$G99=$G100)*($X$3:$X99="VALIDE")),$C$3:$C99),""))</f>
        <v/>
      </c>
      <c r="T100" s="36">
        <f>IF(OR($C100="",$S100=""),"",ROUND(($C100-$S100+IF($C100&lt;$S100,1,0))*1440,0))</f>
        <v/>
      </c>
      <c r="U100" s="22">
        <f>IF(OR($H100="",$T100="",$T100&lt;=0),"",$H100*60/$T100)</f>
        <v/>
      </c>
      <c r="V100" s="37">
        <f>IF(OR($U100="",$R100="",$R100=0),"",$U100/$R100)</f>
        <v/>
      </c>
      <c r="W100" s="20">
        <f>IF($G100="","",IF($X100="CONTEXTE INCOMPLET","CONTEXTE INCOMPLET",IF($X100="DOUBLON",StatutDoublon,IF($S100="",StatutInitial,IF($R100="",StatutStandardManquant,IF($V100="","DONNEES INSUFFISANTES",IF($V100&gt;=SeuilConforme,StatutConforme,IF($V100&gt;=SeuilSurveiller,StatutSurveiller,StatutSousStandard))))))))</f>
        <v/>
      </c>
      <c r="X100" s="33">
        <f>IF($G100="","",IF(OR($D100="",$E100="",$F100=""),"CONTEXTE INCOMPLET",IF(COUNTIFS($D$3:$D99,$D100,$E$3:$E99,$E100,$F$3:$F99,$F100,$G$3:$G99,$G100)&gt;0,"DOUBLON","VALIDE")))</f>
        <v/>
      </c>
    </row>
    <row r="101" ht="15" customHeight="1">
      <c r="A101" s="12">
        <f>IF(OR($B101="",$G101=""),"",TEXT($B101,"YYYYMMDD")&amp;"-"&amp;SUBSTITUTE($E101," ","")&amp;"-"&amp;$F101&amp;"-"&amp;$G101)</f>
        <v/>
      </c>
      <c r="B101" s="15" t="n"/>
      <c r="C101" s="16" t="n"/>
      <c r="D101" s="10" t="n"/>
      <c r="E101" s="9" t="n"/>
      <c r="F101" s="9" t="n"/>
      <c r="G101" s="13" t="n"/>
      <c r="H101" s="21" t="n"/>
      <c r="I101" s="21" t="n"/>
      <c r="J101" s="17">
        <f>IF($G101="","",IFERROR(INDEX(NomsEmployes,MATCH($G101,MatriculesEmployes,0)),"MATRICULE INCONNU"))</f>
        <v/>
      </c>
      <c r="K101" s="33">
        <f>IF(OR($D101="",$F101=""),"",IFERROR(IF(INDEX(RUNS!$L$6:$S$1005,MATCH($D101,RUNS!$A$6:$A$1005,0),MATCH("ACTIVITÉ "&amp;$F101,RUNS!$L$5:$S$5,0))="","",INDEX(RUNS!$L$6:$S$1005,MATCH($D101,RUNS!$A$6:$A$1005,0),MATCH("ACTIVITÉ "&amp;$F101,RUNS!$L$5:$S$5,0))),""))</f>
        <v/>
      </c>
      <c r="L101" s="33">
        <f>IF($D101="","",IFERROR(IF(INDEX(RUNS!$E$6:$E$1005,MATCH($D101,RUNS!$A$6:$A$1005,0))="","",INDEX(RUNS!$E$6:$E$1005,MATCH($D101,RUNS!$A$6:$A$1005,0))),""))</f>
        <v/>
      </c>
      <c r="M101" s="33">
        <f>IF($D101="","",IFERROR(IF(INDEX(RUNS!$F$6:$F$1005,MATCH($D101,RUNS!$A$6:$A$1005,0))="","",INDEX(RUNS!$F$6:$F$1005,MATCH($D101,RUNS!$A$6:$A$1005,0))),""))</f>
        <v/>
      </c>
      <c r="N101" s="33">
        <f>IF($D101="","",IFERROR(IF(INDEX(RUNS!$G$6:$G$1005,MATCH($D101,RUNS!$A$6:$A$1005,0))="","",INDEX(RUNS!$G$6:$G$1005,MATCH($D101,RUNS!$A$6:$A$1005,0))),""))</f>
        <v/>
      </c>
      <c r="O101" s="33">
        <f>IF($D101="","",IFERROR(IF(INDEX(RUNS!$H$6:$H$1005,MATCH($D101,RUNS!$A$6:$A$1005,0))="","",INDEX(RUNS!$H$6:$H$1005,MATCH($D101,RUNS!$A$6:$A$1005,0))),""))</f>
        <v/>
      </c>
      <c r="P101" s="33">
        <f>IF($D101="","",IFERROR(IF(INDEX(RUNS!$J$6:$J$1005,MATCH($D101,RUNS!$A$6:$A$1005,0))="","",INDEX(RUNS!$J$6:$J$1005,MATCH($D101,RUNS!$A$6:$A$1005,0))),""))</f>
        <v/>
      </c>
      <c r="Q101" s="33">
        <f>IF($D101="","",IFERROR(IF(INDEX(RUNS!$K$6:$K$1005,MATCH($D101,RUNS!$A$6:$A$1005,0))="","",INDEX(RUNS!$K$6:$K$1005,MATCH($D101,RUNS!$A$6:$A$1005,0))),""))</f>
        <v/>
      </c>
      <c r="R101" s="34">
        <f>IF(OR($L101="",$K101=""),"",IFERROR(IF(INDEX(PARAMETRES!$H$43:$H$342,MATCH($L101&amp;"|"&amp;$M101&amp;"|"&amp;$N101&amp;"|"&amp;$O101&amp;"|"&amp;$P101&amp;"|"&amp;$Q101&amp;"|"&amp;$K101,PARAMETRES!$J$43:$J$342,0))="","",INDEX(PARAMETRES!$H$43:$H$342,MATCH($L101&amp;"|"&amp;$M101&amp;"|"&amp;$N101&amp;"|"&amp;$O101&amp;"|"&amp;$P101&amp;"|"&amp;$Q101&amp;"|"&amp;$K101,PARAMETRES!$J$43:$J$342,0))),""))</f>
        <v/>
      </c>
      <c r="S101" s="35">
        <f>IF(OR($G101="",$X101&lt;&gt;"VALIDE"),"",IFERROR(LOOKUP(2,1/(($B$3:$B100=$B101)*($G$3:$G100=$G101)*($X$3:$X100="VALIDE")),$C$3:$C100),""))</f>
        <v/>
      </c>
      <c r="T101" s="36">
        <f>IF(OR($C101="",$S101=""),"",ROUND(($C101-$S101+IF($C101&lt;$S101,1,0))*1440,0))</f>
        <v/>
      </c>
      <c r="U101" s="22">
        <f>IF(OR($H101="",$T101="",$T101&lt;=0),"",$H101*60/$T101)</f>
        <v/>
      </c>
      <c r="V101" s="37">
        <f>IF(OR($U101="",$R101="",$R101=0),"",$U101/$R101)</f>
        <v/>
      </c>
      <c r="W101" s="20">
        <f>IF($G101="","",IF($X101="CONTEXTE INCOMPLET","CONTEXTE INCOMPLET",IF($X101="DOUBLON",StatutDoublon,IF($S101="",StatutInitial,IF($R101="",StatutStandardManquant,IF($V101="","DONNEES INSUFFISANTES",IF($V101&gt;=SeuilConforme,StatutConforme,IF($V101&gt;=SeuilSurveiller,StatutSurveiller,StatutSousStandard))))))))</f>
        <v/>
      </c>
      <c r="X101" s="33">
        <f>IF($G101="","",IF(OR($D101="",$E101="",$F101=""),"CONTEXTE INCOMPLET",IF(COUNTIFS($D$3:$D100,$D101,$E$3:$E100,$E101,$F$3:$F100,$F101,$G$3:$G100,$G101)&gt;0,"DOUBLON","VALIDE")))</f>
        <v/>
      </c>
    </row>
    <row r="102" ht="15" customHeight="1">
      <c r="A102" s="12">
        <f>IF(OR($B102="",$G102=""),"",TEXT($B102,"YYYYMMDD")&amp;"-"&amp;SUBSTITUTE($E102," ","")&amp;"-"&amp;$F102&amp;"-"&amp;$G102)</f>
        <v/>
      </c>
      <c r="B102" s="15" t="n"/>
      <c r="C102" s="16" t="n"/>
      <c r="D102" s="10" t="n"/>
      <c r="E102" s="9" t="n"/>
      <c r="F102" s="9" t="n"/>
      <c r="G102" s="13" t="n"/>
      <c r="H102" s="21" t="n"/>
      <c r="I102" s="21" t="n"/>
      <c r="J102" s="17">
        <f>IF($G102="","",IFERROR(INDEX(NomsEmployes,MATCH($G102,MatriculesEmployes,0)),"MATRICULE INCONNU"))</f>
        <v/>
      </c>
      <c r="K102" s="33">
        <f>IF(OR($D102="",$F102=""),"",IFERROR(IF(INDEX(RUNS!$L$6:$S$1005,MATCH($D102,RUNS!$A$6:$A$1005,0),MATCH("ACTIVITÉ "&amp;$F102,RUNS!$L$5:$S$5,0))="","",INDEX(RUNS!$L$6:$S$1005,MATCH($D102,RUNS!$A$6:$A$1005,0),MATCH("ACTIVITÉ "&amp;$F102,RUNS!$L$5:$S$5,0))),""))</f>
        <v/>
      </c>
      <c r="L102" s="33">
        <f>IF($D102="","",IFERROR(IF(INDEX(RUNS!$E$6:$E$1005,MATCH($D102,RUNS!$A$6:$A$1005,0))="","",INDEX(RUNS!$E$6:$E$1005,MATCH($D102,RUNS!$A$6:$A$1005,0))),""))</f>
        <v/>
      </c>
      <c r="M102" s="33">
        <f>IF($D102="","",IFERROR(IF(INDEX(RUNS!$F$6:$F$1005,MATCH($D102,RUNS!$A$6:$A$1005,0))="","",INDEX(RUNS!$F$6:$F$1005,MATCH($D102,RUNS!$A$6:$A$1005,0))),""))</f>
        <v/>
      </c>
      <c r="N102" s="33">
        <f>IF($D102="","",IFERROR(IF(INDEX(RUNS!$G$6:$G$1005,MATCH($D102,RUNS!$A$6:$A$1005,0))="","",INDEX(RUNS!$G$6:$G$1005,MATCH($D102,RUNS!$A$6:$A$1005,0))),""))</f>
        <v/>
      </c>
      <c r="O102" s="33">
        <f>IF($D102="","",IFERROR(IF(INDEX(RUNS!$H$6:$H$1005,MATCH($D102,RUNS!$A$6:$A$1005,0))="","",INDEX(RUNS!$H$6:$H$1005,MATCH($D102,RUNS!$A$6:$A$1005,0))),""))</f>
        <v/>
      </c>
      <c r="P102" s="33">
        <f>IF($D102="","",IFERROR(IF(INDEX(RUNS!$J$6:$J$1005,MATCH($D102,RUNS!$A$6:$A$1005,0))="","",INDEX(RUNS!$J$6:$J$1005,MATCH($D102,RUNS!$A$6:$A$1005,0))),""))</f>
        <v/>
      </c>
      <c r="Q102" s="33">
        <f>IF($D102="","",IFERROR(IF(INDEX(RUNS!$K$6:$K$1005,MATCH($D102,RUNS!$A$6:$A$1005,0))="","",INDEX(RUNS!$K$6:$K$1005,MATCH($D102,RUNS!$A$6:$A$1005,0))),""))</f>
        <v/>
      </c>
      <c r="R102" s="34">
        <f>IF(OR($L102="",$K102=""),"",IFERROR(IF(INDEX(PARAMETRES!$H$43:$H$342,MATCH($L102&amp;"|"&amp;$M102&amp;"|"&amp;$N102&amp;"|"&amp;$O102&amp;"|"&amp;$P102&amp;"|"&amp;$Q102&amp;"|"&amp;$K102,PARAMETRES!$J$43:$J$342,0))="","",INDEX(PARAMETRES!$H$43:$H$342,MATCH($L102&amp;"|"&amp;$M102&amp;"|"&amp;$N102&amp;"|"&amp;$O102&amp;"|"&amp;$P102&amp;"|"&amp;$Q102&amp;"|"&amp;$K102,PARAMETRES!$J$43:$J$342,0))),""))</f>
        <v/>
      </c>
      <c r="S102" s="35">
        <f>IF(OR($G102="",$X102&lt;&gt;"VALIDE"),"",IFERROR(LOOKUP(2,1/(($B$3:$B101=$B102)*($G$3:$G101=$G102)*($X$3:$X101="VALIDE")),$C$3:$C101),""))</f>
        <v/>
      </c>
      <c r="T102" s="36">
        <f>IF(OR($C102="",$S102=""),"",ROUND(($C102-$S102+IF($C102&lt;$S102,1,0))*1440,0))</f>
        <v/>
      </c>
      <c r="U102" s="22">
        <f>IF(OR($H102="",$T102="",$T102&lt;=0),"",$H102*60/$T102)</f>
        <v/>
      </c>
      <c r="V102" s="37">
        <f>IF(OR($U102="",$R102="",$R102=0),"",$U102/$R102)</f>
        <v/>
      </c>
      <c r="W102" s="20">
        <f>IF($G102="","",IF($X102="CONTEXTE INCOMPLET","CONTEXTE INCOMPLET",IF($X102="DOUBLON",StatutDoublon,IF($S102="",StatutInitial,IF($R102="",StatutStandardManquant,IF($V102="","DONNEES INSUFFISANTES",IF($V102&gt;=SeuilConforme,StatutConforme,IF($V102&gt;=SeuilSurveiller,StatutSurveiller,StatutSousStandard))))))))</f>
        <v/>
      </c>
      <c r="X102" s="33">
        <f>IF($G102="","",IF(OR($D102="",$E102="",$F102=""),"CONTEXTE INCOMPLET",IF(COUNTIFS($D$3:$D101,$D102,$E$3:$E101,$E102,$F$3:$F101,$F102,$G$3:$G101,$G102)&gt;0,"DOUBLON","VALIDE")))</f>
        <v/>
      </c>
    </row>
    <row r="103" ht="15" customHeight="1">
      <c r="A103" s="12">
        <f>IF(OR($B103="",$G103=""),"",TEXT($B103,"YYYYMMDD")&amp;"-"&amp;SUBSTITUTE($E103," ","")&amp;"-"&amp;$F103&amp;"-"&amp;$G103)</f>
        <v/>
      </c>
      <c r="B103" s="15" t="n"/>
      <c r="C103" s="16" t="n"/>
      <c r="D103" s="10" t="n"/>
      <c r="E103" s="9" t="n"/>
      <c r="F103" s="9" t="n"/>
      <c r="G103" s="13" t="n"/>
      <c r="H103" s="21" t="n"/>
      <c r="I103" s="21" t="n"/>
      <c r="J103" s="17">
        <f>IF($G103="","",IFERROR(INDEX(NomsEmployes,MATCH($G103,MatriculesEmployes,0)),"MATRICULE INCONNU"))</f>
        <v/>
      </c>
      <c r="K103" s="33">
        <f>IF(OR($D103="",$F103=""),"",IFERROR(IF(INDEX(RUNS!$L$6:$S$1005,MATCH($D103,RUNS!$A$6:$A$1005,0),MATCH("ACTIVITÉ "&amp;$F103,RUNS!$L$5:$S$5,0))="","",INDEX(RUNS!$L$6:$S$1005,MATCH($D103,RUNS!$A$6:$A$1005,0),MATCH("ACTIVITÉ "&amp;$F103,RUNS!$L$5:$S$5,0))),""))</f>
        <v/>
      </c>
      <c r="L103" s="33">
        <f>IF($D103="","",IFERROR(IF(INDEX(RUNS!$E$6:$E$1005,MATCH($D103,RUNS!$A$6:$A$1005,0))="","",INDEX(RUNS!$E$6:$E$1005,MATCH($D103,RUNS!$A$6:$A$1005,0))),""))</f>
        <v/>
      </c>
      <c r="M103" s="33">
        <f>IF($D103="","",IFERROR(IF(INDEX(RUNS!$F$6:$F$1005,MATCH($D103,RUNS!$A$6:$A$1005,0))="","",INDEX(RUNS!$F$6:$F$1005,MATCH($D103,RUNS!$A$6:$A$1005,0))),""))</f>
        <v/>
      </c>
      <c r="N103" s="33">
        <f>IF($D103="","",IFERROR(IF(INDEX(RUNS!$G$6:$G$1005,MATCH($D103,RUNS!$A$6:$A$1005,0))="","",INDEX(RUNS!$G$6:$G$1005,MATCH($D103,RUNS!$A$6:$A$1005,0))),""))</f>
        <v/>
      </c>
      <c r="O103" s="33">
        <f>IF($D103="","",IFERROR(IF(INDEX(RUNS!$H$6:$H$1005,MATCH($D103,RUNS!$A$6:$A$1005,0))="","",INDEX(RUNS!$H$6:$H$1005,MATCH($D103,RUNS!$A$6:$A$1005,0))),""))</f>
        <v/>
      </c>
      <c r="P103" s="33">
        <f>IF($D103="","",IFERROR(IF(INDEX(RUNS!$J$6:$J$1005,MATCH($D103,RUNS!$A$6:$A$1005,0))="","",INDEX(RUNS!$J$6:$J$1005,MATCH($D103,RUNS!$A$6:$A$1005,0))),""))</f>
        <v/>
      </c>
      <c r="Q103" s="33">
        <f>IF($D103="","",IFERROR(IF(INDEX(RUNS!$K$6:$K$1005,MATCH($D103,RUNS!$A$6:$A$1005,0))="","",INDEX(RUNS!$K$6:$K$1005,MATCH($D103,RUNS!$A$6:$A$1005,0))),""))</f>
        <v/>
      </c>
      <c r="R103" s="34">
        <f>IF(OR($L103="",$K103=""),"",IFERROR(IF(INDEX(PARAMETRES!$H$43:$H$342,MATCH($L103&amp;"|"&amp;$M103&amp;"|"&amp;$N103&amp;"|"&amp;$O103&amp;"|"&amp;$P103&amp;"|"&amp;$Q103&amp;"|"&amp;$K103,PARAMETRES!$J$43:$J$342,0))="","",INDEX(PARAMETRES!$H$43:$H$342,MATCH($L103&amp;"|"&amp;$M103&amp;"|"&amp;$N103&amp;"|"&amp;$O103&amp;"|"&amp;$P103&amp;"|"&amp;$Q103&amp;"|"&amp;$K103,PARAMETRES!$J$43:$J$342,0))),""))</f>
        <v/>
      </c>
      <c r="S103" s="35">
        <f>IF(OR($G103="",$X103&lt;&gt;"VALIDE"),"",IFERROR(LOOKUP(2,1/(($B$3:$B102=$B103)*($G$3:$G102=$G103)*($X$3:$X102="VALIDE")),$C$3:$C102),""))</f>
        <v/>
      </c>
      <c r="T103" s="36">
        <f>IF(OR($C103="",$S103=""),"",ROUND(($C103-$S103+IF($C103&lt;$S103,1,0))*1440,0))</f>
        <v/>
      </c>
      <c r="U103" s="22">
        <f>IF(OR($H103="",$T103="",$T103&lt;=0),"",$H103*60/$T103)</f>
        <v/>
      </c>
      <c r="V103" s="37">
        <f>IF(OR($U103="",$R103="",$R103=0),"",$U103/$R103)</f>
        <v/>
      </c>
      <c r="W103" s="20">
        <f>IF($G103="","",IF($X103="CONTEXTE INCOMPLET","CONTEXTE INCOMPLET",IF($X103="DOUBLON",StatutDoublon,IF($S103="",StatutInitial,IF($R103="",StatutStandardManquant,IF($V103="","DONNEES INSUFFISANTES",IF($V103&gt;=SeuilConforme,StatutConforme,IF($V103&gt;=SeuilSurveiller,StatutSurveiller,StatutSousStandard))))))))</f>
        <v/>
      </c>
      <c r="X103" s="33">
        <f>IF($G103="","",IF(OR($D103="",$E103="",$F103=""),"CONTEXTE INCOMPLET",IF(COUNTIFS($D$3:$D102,$D103,$E$3:$E102,$E103,$F$3:$F102,$F103,$G$3:$G102,$G103)&gt;0,"DOUBLON","VALIDE")))</f>
        <v/>
      </c>
    </row>
    <row r="104" ht="15" customHeight="1">
      <c r="A104" s="12">
        <f>IF(OR($B104="",$G104=""),"",TEXT($B104,"YYYYMMDD")&amp;"-"&amp;SUBSTITUTE($E104," ","")&amp;"-"&amp;$F104&amp;"-"&amp;$G104)</f>
        <v/>
      </c>
      <c r="B104" s="15" t="n"/>
      <c r="C104" s="16" t="n"/>
      <c r="D104" s="10" t="n"/>
      <c r="E104" s="9" t="n"/>
      <c r="F104" s="9" t="n"/>
      <c r="G104" s="13" t="n"/>
      <c r="H104" s="21" t="n"/>
      <c r="I104" s="21" t="n"/>
      <c r="J104" s="17">
        <f>IF($G104="","",IFERROR(INDEX(NomsEmployes,MATCH($G104,MatriculesEmployes,0)),"MATRICULE INCONNU"))</f>
        <v/>
      </c>
      <c r="K104" s="33">
        <f>IF(OR($D104="",$F104=""),"",IFERROR(IF(INDEX(RUNS!$L$6:$S$1005,MATCH($D104,RUNS!$A$6:$A$1005,0),MATCH("ACTIVITÉ "&amp;$F104,RUNS!$L$5:$S$5,0))="","",INDEX(RUNS!$L$6:$S$1005,MATCH($D104,RUNS!$A$6:$A$1005,0),MATCH("ACTIVITÉ "&amp;$F104,RUNS!$L$5:$S$5,0))),""))</f>
        <v/>
      </c>
      <c r="L104" s="33">
        <f>IF($D104="","",IFERROR(IF(INDEX(RUNS!$E$6:$E$1005,MATCH($D104,RUNS!$A$6:$A$1005,0))="","",INDEX(RUNS!$E$6:$E$1005,MATCH($D104,RUNS!$A$6:$A$1005,0))),""))</f>
        <v/>
      </c>
      <c r="M104" s="33">
        <f>IF($D104="","",IFERROR(IF(INDEX(RUNS!$F$6:$F$1005,MATCH($D104,RUNS!$A$6:$A$1005,0))="","",INDEX(RUNS!$F$6:$F$1005,MATCH($D104,RUNS!$A$6:$A$1005,0))),""))</f>
        <v/>
      </c>
      <c r="N104" s="33">
        <f>IF($D104="","",IFERROR(IF(INDEX(RUNS!$G$6:$G$1005,MATCH($D104,RUNS!$A$6:$A$1005,0))="","",INDEX(RUNS!$G$6:$G$1005,MATCH($D104,RUNS!$A$6:$A$1005,0))),""))</f>
        <v/>
      </c>
      <c r="O104" s="33">
        <f>IF($D104="","",IFERROR(IF(INDEX(RUNS!$H$6:$H$1005,MATCH($D104,RUNS!$A$6:$A$1005,0))="","",INDEX(RUNS!$H$6:$H$1005,MATCH($D104,RUNS!$A$6:$A$1005,0))),""))</f>
        <v/>
      </c>
      <c r="P104" s="33">
        <f>IF($D104="","",IFERROR(IF(INDEX(RUNS!$J$6:$J$1005,MATCH($D104,RUNS!$A$6:$A$1005,0))="","",INDEX(RUNS!$J$6:$J$1005,MATCH($D104,RUNS!$A$6:$A$1005,0))),""))</f>
        <v/>
      </c>
      <c r="Q104" s="33">
        <f>IF($D104="","",IFERROR(IF(INDEX(RUNS!$K$6:$K$1005,MATCH($D104,RUNS!$A$6:$A$1005,0))="","",INDEX(RUNS!$K$6:$K$1005,MATCH($D104,RUNS!$A$6:$A$1005,0))),""))</f>
        <v/>
      </c>
      <c r="R104" s="34">
        <f>IF(OR($L104="",$K104=""),"",IFERROR(IF(INDEX(PARAMETRES!$H$43:$H$342,MATCH($L104&amp;"|"&amp;$M104&amp;"|"&amp;$N104&amp;"|"&amp;$O104&amp;"|"&amp;$P104&amp;"|"&amp;$Q104&amp;"|"&amp;$K104,PARAMETRES!$J$43:$J$342,0))="","",INDEX(PARAMETRES!$H$43:$H$342,MATCH($L104&amp;"|"&amp;$M104&amp;"|"&amp;$N104&amp;"|"&amp;$O104&amp;"|"&amp;$P104&amp;"|"&amp;$Q104&amp;"|"&amp;$K104,PARAMETRES!$J$43:$J$342,0))),""))</f>
        <v/>
      </c>
      <c r="S104" s="35">
        <f>IF(OR($G104="",$X104&lt;&gt;"VALIDE"),"",IFERROR(LOOKUP(2,1/(($B$3:$B103=$B104)*($G$3:$G103=$G104)*($X$3:$X103="VALIDE")),$C$3:$C103),""))</f>
        <v/>
      </c>
      <c r="T104" s="36">
        <f>IF(OR($C104="",$S104=""),"",ROUND(($C104-$S104+IF($C104&lt;$S104,1,0))*1440,0))</f>
        <v/>
      </c>
      <c r="U104" s="22">
        <f>IF(OR($H104="",$T104="",$T104&lt;=0),"",$H104*60/$T104)</f>
        <v/>
      </c>
      <c r="V104" s="37">
        <f>IF(OR($U104="",$R104="",$R104=0),"",$U104/$R104)</f>
        <v/>
      </c>
      <c r="W104" s="20">
        <f>IF($G104="","",IF($X104="CONTEXTE INCOMPLET","CONTEXTE INCOMPLET",IF($X104="DOUBLON",StatutDoublon,IF($S104="",StatutInitial,IF($R104="",StatutStandardManquant,IF($V104="","DONNEES INSUFFISANTES",IF($V104&gt;=SeuilConforme,StatutConforme,IF($V104&gt;=SeuilSurveiller,StatutSurveiller,StatutSousStandard))))))))</f>
        <v/>
      </c>
      <c r="X104" s="33">
        <f>IF($G104="","",IF(OR($D104="",$E104="",$F104=""),"CONTEXTE INCOMPLET",IF(COUNTIFS($D$3:$D103,$D104,$E$3:$E103,$E104,$F$3:$F103,$F104,$G$3:$G103,$G104)&gt;0,"DOUBLON","VALIDE")))</f>
        <v/>
      </c>
    </row>
    <row r="105" ht="15" customHeight="1">
      <c r="A105" s="12">
        <f>IF(OR($B105="",$G105=""),"",TEXT($B105,"YYYYMMDD")&amp;"-"&amp;SUBSTITUTE($E105," ","")&amp;"-"&amp;$F105&amp;"-"&amp;$G105)</f>
        <v/>
      </c>
      <c r="B105" s="15" t="n"/>
      <c r="C105" s="16" t="n"/>
      <c r="D105" s="10" t="n"/>
      <c r="E105" s="9" t="n"/>
      <c r="F105" s="9" t="n"/>
      <c r="G105" s="13" t="n"/>
      <c r="H105" s="21" t="n"/>
      <c r="I105" s="21" t="n"/>
      <c r="J105" s="17">
        <f>IF($G105="","",IFERROR(INDEX(NomsEmployes,MATCH($G105,MatriculesEmployes,0)),"MATRICULE INCONNU"))</f>
        <v/>
      </c>
      <c r="K105" s="33">
        <f>IF(OR($D105="",$F105=""),"",IFERROR(IF(INDEX(RUNS!$L$6:$S$1005,MATCH($D105,RUNS!$A$6:$A$1005,0),MATCH("ACTIVITÉ "&amp;$F105,RUNS!$L$5:$S$5,0))="","",INDEX(RUNS!$L$6:$S$1005,MATCH($D105,RUNS!$A$6:$A$1005,0),MATCH("ACTIVITÉ "&amp;$F105,RUNS!$L$5:$S$5,0))),""))</f>
        <v/>
      </c>
      <c r="L105" s="33">
        <f>IF($D105="","",IFERROR(IF(INDEX(RUNS!$E$6:$E$1005,MATCH($D105,RUNS!$A$6:$A$1005,0))="","",INDEX(RUNS!$E$6:$E$1005,MATCH($D105,RUNS!$A$6:$A$1005,0))),""))</f>
        <v/>
      </c>
      <c r="M105" s="33">
        <f>IF($D105="","",IFERROR(IF(INDEX(RUNS!$F$6:$F$1005,MATCH($D105,RUNS!$A$6:$A$1005,0))="","",INDEX(RUNS!$F$6:$F$1005,MATCH($D105,RUNS!$A$6:$A$1005,0))),""))</f>
        <v/>
      </c>
      <c r="N105" s="33">
        <f>IF($D105="","",IFERROR(IF(INDEX(RUNS!$G$6:$G$1005,MATCH($D105,RUNS!$A$6:$A$1005,0))="","",INDEX(RUNS!$G$6:$G$1005,MATCH($D105,RUNS!$A$6:$A$1005,0))),""))</f>
        <v/>
      </c>
      <c r="O105" s="33">
        <f>IF($D105="","",IFERROR(IF(INDEX(RUNS!$H$6:$H$1005,MATCH($D105,RUNS!$A$6:$A$1005,0))="","",INDEX(RUNS!$H$6:$H$1005,MATCH($D105,RUNS!$A$6:$A$1005,0))),""))</f>
        <v/>
      </c>
      <c r="P105" s="33">
        <f>IF($D105="","",IFERROR(IF(INDEX(RUNS!$J$6:$J$1005,MATCH($D105,RUNS!$A$6:$A$1005,0))="","",INDEX(RUNS!$J$6:$J$1005,MATCH($D105,RUNS!$A$6:$A$1005,0))),""))</f>
        <v/>
      </c>
      <c r="Q105" s="33">
        <f>IF($D105="","",IFERROR(IF(INDEX(RUNS!$K$6:$K$1005,MATCH($D105,RUNS!$A$6:$A$1005,0))="","",INDEX(RUNS!$K$6:$K$1005,MATCH($D105,RUNS!$A$6:$A$1005,0))),""))</f>
        <v/>
      </c>
      <c r="R105" s="34">
        <f>IF(OR($L105="",$K105=""),"",IFERROR(IF(INDEX(PARAMETRES!$H$43:$H$342,MATCH($L105&amp;"|"&amp;$M105&amp;"|"&amp;$N105&amp;"|"&amp;$O105&amp;"|"&amp;$P105&amp;"|"&amp;$Q105&amp;"|"&amp;$K105,PARAMETRES!$J$43:$J$342,0))="","",INDEX(PARAMETRES!$H$43:$H$342,MATCH($L105&amp;"|"&amp;$M105&amp;"|"&amp;$N105&amp;"|"&amp;$O105&amp;"|"&amp;$P105&amp;"|"&amp;$Q105&amp;"|"&amp;$K105,PARAMETRES!$J$43:$J$342,0))),""))</f>
        <v/>
      </c>
      <c r="S105" s="35">
        <f>IF(OR($G105="",$X105&lt;&gt;"VALIDE"),"",IFERROR(LOOKUP(2,1/(($B$3:$B104=$B105)*($G$3:$G104=$G105)*($X$3:$X104="VALIDE")),$C$3:$C104),""))</f>
        <v/>
      </c>
      <c r="T105" s="36">
        <f>IF(OR($C105="",$S105=""),"",ROUND(($C105-$S105+IF($C105&lt;$S105,1,0))*1440,0))</f>
        <v/>
      </c>
      <c r="U105" s="22">
        <f>IF(OR($H105="",$T105="",$T105&lt;=0),"",$H105*60/$T105)</f>
        <v/>
      </c>
      <c r="V105" s="37">
        <f>IF(OR($U105="",$R105="",$R105=0),"",$U105/$R105)</f>
        <v/>
      </c>
      <c r="W105" s="20">
        <f>IF($G105="","",IF($X105="CONTEXTE INCOMPLET","CONTEXTE INCOMPLET",IF($X105="DOUBLON",StatutDoublon,IF($S105="",StatutInitial,IF($R105="",StatutStandardManquant,IF($V105="","DONNEES INSUFFISANTES",IF($V105&gt;=SeuilConforme,StatutConforme,IF($V105&gt;=SeuilSurveiller,StatutSurveiller,StatutSousStandard))))))))</f>
        <v/>
      </c>
      <c r="X105" s="33">
        <f>IF($G105="","",IF(OR($D105="",$E105="",$F105=""),"CONTEXTE INCOMPLET",IF(COUNTIFS($D$3:$D104,$D105,$E$3:$E104,$E105,$F$3:$F104,$F105,$G$3:$G104,$G105)&gt;0,"DOUBLON","VALIDE")))</f>
        <v/>
      </c>
    </row>
    <row r="106" ht="15" customHeight="1">
      <c r="A106" s="12">
        <f>IF(OR($B106="",$G106=""),"",TEXT($B106,"YYYYMMDD")&amp;"-"&amp;SUBSTITUTE($E106," ","")&amp;"-"&amp;$F106&amp;"-"&amp;$G106)</f>
        <v/>
      </c>
      <c r="B106" s="15" t="n"/>
      <c r="C106" s="16" t="n"/>
      <c r="D106" s="10" t="n"/>
      <c r="E106" s="9" t="n"/>
      <c r="F106" s="9" t="n"/>
      <c r="G106" s="13" t="n"/>
      <c r="H106" s="21" t="n"/>
      <c r="I106" s="21" t="n"/>
      <c r="J106" s="17">
        <f>IF($G106="","",IFERROR(INDEX(NomsEmployes,MATCH($G106,MatriculesEmployes,0)),"MATRICULE INCONNU"))</f>
        <v/>
      </c>
      <c r="K106" s="33">
        <f>IF(OR($D106="",$F106=""),"",IFERROR(IF(INDEX(RUNS!$L$6:$S$1005,MATCH($D106,RUNS!$A$6:$A$1005,0),MATCH("ACTIVITÉ "&amp;$F106,RUNS!$L$5:$S$5,0))="","",INDEX(RUNS!$L$6:$S$1005,MATCH($D106,RUNS!$A$6:$A$1005,0),MATCH("ACTIVITÉ "&amp;$F106,RUNS!$L$5:$S$5,0))),""))</f>
        <v/>
      </c>
      <c r="L106" s="33">
        <f>IF($D106="","",IFERROR(IF(INDEX(RUNS!$E$6:$E$1005,MATCH($D106,RUNS!$A$6:$A$1005,0))="","",INDEX(RUNS!$E$6:$E$1005,MATCH($D106,RUNS!$A$6:$A$1005,0))),""))</f>
        <v/>
      </c>
      <c r="M106" s="33">
        <f>IF($D106="","",IFERROR(IF(INDEX(RUNS!$F$6:$F$1005,MATCH($D106,RUNS!$A$6:$A$1005,0))="","",INDEX(RUNS!$F$6:$F$1005,MATCH($D106,RUNS!$A$6:$A$1005,0))),""))</f>
        <v/>
      </c>
      <c r="N106" s="33">
        <f>IF($D106="","",IFERROR(IF(INDEX(RUNS!$G$6:$G$1005,MATCH($D106,RUNS!$A$6:$A$1005,0))="","",INDEX(RUNS!$G$6:$G$1005,MATCH($D106,RUNS!$A$6:$A$1005,0))),""))</f>
        <v/>
      </c>
      <c r="O106" s="33">
        <f>IF($D106="","",IFERROR(IF(INDEX(RUNS!$H$6:$H$1005,MATCH($D106,RUNS!$A$6:$A$1005,0))="","",INDEX(RUNS!$H$6:$H$1005,MATCH($D106,RUNS!$A$6:$A$1005,0))),""))</f>
        <v/>
      </c>
      <c r="P106" s="33">
        <f>IF($D106="","",IFERROR(IF(INDEX(RUNS!$J$6:$J$1005,MATCH($D106,RUNS!$A$6:$A$1005,0))="","",INDEX(RUNS!$J$6:$J$1005,MATCH($D106,RUNS!$A$6:$A$1005,0))),""))</f>
        <v/>
      </c>
      <c r="Q106" s="33">
        <f>IF($D106="","",IFERROR(IF(INDEX(RUNS!$K$6:$K$1005,MATCH($D106,RUNS!$A$6:$A$1005,0))="","",INDEX(RUNS!$K$6:$K$1005,MATCH($D106,RUNS!$A$6:$A$1005,0))),""))</f>
        <v/>
      </c>
      <c r="R106" s="34">
        <f>IF(OR($L106="",$K106=""),"",IFERROR(IF(INDEX(PARAMETRES!$H$43:$H$342,MATCH($L106&amp;"|"&amp;$M106&amp;"|"&amp;$N106&amp;"|"&amp;$O106&amp;"|"&amp;$P106&amp;"|"&amp;$Q106&amp;"|"&amp;$K106,PARAMETRES!$J$43:$J$342,0))="","",INDEX(PARAMETRES!$H$43:$H$342,MATCH($L106&amp;"|"&amp;$M106&amp;"|"&amp;$N106&amp;"|"&amp;$O106&amp;"|"&amp;$P106&amp;"|"&amp;$Q106&amp;"|"&amp;$K106,PARAMETRES!$J$43:$J$342,0))),""))</f>
        <v/>
      </c>
      <c r="S106" s="35">
        <f>IF(OR($G106="",$X106&lt;&gt;"VALIDE"),"",IFERROR(LOOKUP(2,1/(($B$3:$B105=$B106)*($G$3:$G105=$G106)*($X$3:$X105="VALIDE")),$C$3:$C105),""))</f>
        <v/>
      </c>
      <c r="T106" s="36">
        <f>IF(OR($C106="",$S106=""),"",ROUND(($C106-$S106+IF($C106&lt;$S106,1,0))*1440,0))</f>
        <v/>
      </c>
      <c r="U106" s="22">
        <f>IF(OR($H106="",$T106="",$T106&lt;=0),"",$H106*60/$T106)</f>
        <v/>
      </c>
      <c r="V106" s="37">
        <f>IF(OR($U106="",$R106="",$R106=0),"",$U106/$R106)</f>
        <v/>
      </c>
      <c r="W106" s="20">
        <f>IF($G106="","",IF($X106="CONTEXTE INCOMPLET","CONTEXTE INCOMPLET",IF($X106="DOUBLON",StatutDoublon,IF($S106="",StatutInitial,IF($R106="",StatutStandardManquant,IF($V106="","DONNEES INSUFFISANTES",IF($V106&gt;=SeuilConforme,StatutConforme,IF($V106&gt;=SeuilSurveiller,StatutSurveiller,StatutSousStandard))))))))</f>
        <v/>
      </c>
      <c r="X106" s="33">
        <f>IF($G106="","",IF(OR($D106="",$E106="",$F106=""),"CONTEXTE INCOMPLET",IF(COUNTIFS($D$3:$D105,$D106,$E$3:$E105,$E106,$F$3:$F105,$F106,$G$3:$G105,$G106)&gt;0,"DOUBLON","VALIDE")))</f>
        <v/>
      </c>
    </row>
    <row r="107" ht="15" customHeight="1">
      <c r="A107" s="12">
        <f>IF(OR($B107="",$G107=""),"",TEXT($B107,"YYYYMMDD")&amp;"-"&amp;SUBSTITUTE($E107," ","")&amp;"-"&amp;$F107&amp;"-"&amp;$G107)</f>
        <v/>
      </c>
      <c r="B107" s="15" t="n"/>
      <c r="C107" s="16" t="n"/>
      <c r="D107" s="10" t="n"/>
      <c r="E107" s="9" t="n"/>
      <c r="F107" s="9" t="n"/>
      <c r="G107" s="13" t="n"/>
      <c r="H107" s="21" t="n"/>
      <c r="I107" s="21" t="n"/>
      <c r="J107" s="17">
        <f>IF($G107="","",IFERROR(INDEX(NomsEmployes,MATCH($G107,MatriculesEmployes,0)),"MATRICULE INCONNU"))</f>
        <v/>
      </c>
      <c r="K107" s="33">
        <f>IF(OR($D107="",$F107=""),"",IFERROR(IF(INDEX(RUNS!$L$6:$S$1005,MATCH($D107,RUNS!$A$6:$A$1005,0),MATCH("ACTIVITÉ "&amp;$F107,RUNS!$L$5:$S$5,0))="","",INDEX(RUNS!$L$6:$S$1005,MATCH($D107,RUNS!$A$6:$A$1005,0),MATCH("ACTIVITÉ "&amp;$F107,RUNS!$L$5:$S$5,0))),""))</f>
        <v/>
      </c>
      <c r="L107" s="33">
        <f>IF($D107="","",IFERROR(IF(INDEX(RUNS!$E$6:$E$1005,MATCH($D107,RUNS!$A$6:$A$1005,0))="","",INDEX(RUNS!$E$6:$E$1005,MATCH($D107,RUNS!$A$6:$A$1005,0))),""))</f>
        <v/>
      </c>
      <c r="M107" s="33">
        <f>IF($D107="","",IFERROR(IF(INDEX(RUNS!$F$6:$F$1005,MATCH($D107,RUNS!$A$6:$A$1005,0))="","",INDEX(RUNS!$F$6:$F$1005,MATCH($D107,RUNS!$A$6:$A$1005,0))),""))</f>
        <v/>
      </c>
      <c r="N107" s="33">
        <f>IF($D107="","",IFERROR(IF(INDEX(RUNS!$G$6:$G$1005,MATCH($D107,RUNS!$A$6:$A$1005,0))="","",INDEX(RUNS!$G$6:$G$1005,MATCH($D107,RUNS!$A$6:$A$1005,0))),""))</f>
        <v/>
      </c>
      <c r="O107" s="33">
        <f>IF($D107="","",IFERROR(IF(INDEX(RUNS!$H$6:$H$1005,MATCH($D107,RUNS!$A$6:$A$1005,0))="","",INDEX(RUNS!$H$6:$H$1005,MATCH($D107,RUNS!$A$6:$A$1005,0))),""))</f>
        <v/>
      </c>
      <c r="P107" s="33">
        <f>IF($D107="","",IFERROR(IF(INDEX(RUNS!$J$6:$J$1005,MATCH($D107,RUNS!$A$6:$A$1005,0))="","",INDEX(RUNS!$J$6:$J$1005,MATCH($D107,RUNS!$A$6:$A$1005,0))),""))</f>
        <v/>
      </c>
      <c r="Q107" s="33">
        <f>IF($D107="","",IFERROR(IF(INDEX(RUNS!$K$6:$K$1005,MATCH($D107,RUNS!$A$6:$A$1005,0))="","",INDEX(RUNS!$K$6:$K$1005,MATCH($D107,RUNS!$A$6:$A$1005,0))),""))</f>
        <v/>
      </c>
      <c r="R107" s="34">
        <f>IF(OR($L107="",$K107=""),"",IFERROR(IF(INDEX(PARAMETRES!$H$43:$H$342,MATCH($L107&amp;"|"&amp;$M107&amp;"|"&amp;$N107&amp;"|"&amp;$O107&amp;"|"&amp;$P107&amp;"|"&amp;$Q107&amp;"|"&amp;$K107,PARAMETRES!$J$43:$J$342,0))="","",INDEX(PARAMETRES!$H$43:$H$342,MATCH($L107&amp;"|"&amp;$M107&amp;"|"&amp;$N107&amp;"|"&amp;$O107&amp;"|"&amp;$P107&amp;"|"&amp;$Q107&amp;"|"&amp;$K107,PARAMETRES!$J$43:$J$342,0))),""))</f>
        <v/>
      </c>
      <c r="S107" s="35">
        <f>IF(OR($G107="",$X107&lt;&gt;"VALIDE"),"",IFERROR(LOOKUP(2,1/(($B$3:$B106=$B107)*($G$3:$G106=$G107)*($X$3:$X106="VALIDE")),$C$3:$C106),""))</f>
        <v/>
      </c>
      <c r="T107" s="36">
        <f>IF(OR($C107="",$S107=""),"",ROUND(($C107-$S107+IF($C107&lt;$S107,1,0))*1440,0))</f>
        <v/>
      </c>
      <c r="U107" s="22">
        <f>IF(OR($H107="",$T107="",$T107&lt;=0),"",$H107*60/$T107)</f>
        <v/>
      </c>
      <c r="V107" s="37">
        <f>IF(OR($U107="",$R107="",$R107=0),"",$U107/$R107)</f>
        <v/>
      </c>
      <c r="W107" s="20">
        <f>IF($G107="","",IF($X107="CONTEXTE INCOMPLET","CONTEXTE INCOMPLET",IF($X107="DOUBLON",StatutDoublon,IF($S107="",StatutInitial,IF($R107="",StatutStandardManquant,IF($V107="","DONNEES INSUFFISANTES",IF($V107&gt;=SeuilConforme,StatutConforme,IF($V107&gt;=SeuilSurveiller,StatutSurveiller,StatutSousStandard))))))))</f>
        <v/>
      </c>
      <c r="X107" s="33">
        <f>IF($G107="","",IF(OR($D107="",$E107="",$F107=""),"CONTEXTE INCOMPLET",IF(COUNTIFS($D$3:$D106,$D107,$E$3:$E106,$E107,$F$3:$F106,$F107,$G$3:$G106,$G107)&gt;0,"DOUBLON","VALIDE")))</f>
        <v/>
      </c>
    </row>
    <row r="108" ht="15" customHeight="1">
      <c r="A108" s="12">
        <f>IF(OR($B108="",$G108=""),"",TEXT($B108,"YYYYMMDD")&amp;"-"&amp;SUBSTITUTE($E108," ","")&amp;"-"&amp;$F108&amp;"-"&amp;$G108)</f>
        <v/>
      </c>
      <c r="B108" s="15" t="n"/>
      <c r="C108" s="16" t="n"/>
      <c r="D108" s="10" t="n"/>
      <c r="E108" s="9" t="n"/>
      <c r="F108" s="9" t="n"/>
      <c r="G108" s="13" t="n"/>
      <c r="H108" s="21" t="n"/>
      <c r="I108" s="21" t="n"/>
      <c r="J108" s="17">
        <f>IF($G108="","",IFERROR(INDEX(NomsEmployes,MATCH($G108,MatriculesEmployes,0)),"MATRICULE INCONNU"))</f>
        <v/>
      </c>
      <c r="K108" s="33">
        <f>IF(OR($D108="",$F108=""),"",IFERROR(IF(INDEX(RUNS!$L$6:$S$1005,MATCH($D108,RUNS!$A$6:$A$1005,0),MATCH("ACTIVITÉ "&amp;$F108,RUNS!$L$5:$S$5,0))="","",INDEX(RUNS!$L$6:$S$1005,MATCH($D108,RUNS!$A$6:$A$1005,0),MATCH("ACTIVITÉ "&amp;$F108,RUNS!$L$5:$S$5,0))),""))</f>
        <v/>
      </c>
      <c r="L108" s="33">
        <f>IF($D108="","",IFERROR(IF(INDEX(RUNS!$E$6:$E$1005,MATCH($D108,RUNS!$A$6:$A$1005,0))="","",INDEX(RUNS!$E$6:$E$1005,MATCH($D108,RUNS!$A$6:$A$1005,0))),""))</f>
        <v/>
      </c>
      <c r="M108" s="33">
        <f>IF($D108="","",IFERROR(IF(INDEX(RUNS!$F$6:$F$1005,MATCH($D108,RUNS!$A$6:$A$1005,0))="","",INDEX(RUNS!$F$6:$F$1005,MATCH($D108,RUNS!$A$6:$A$1005,0))),""))</f>
        <v/>
      </c>
      <c r="N108" s="33">
        <f>IF($D108="","",IFERROR(IF(INDEX(RUNS!$G$6:$G$1005,MATCH($D108,RUNS!$A$6:$A$1005,0))="","",INDEX(RUNS!$G$6:$G$1005,MATCH($D108,RUNS!$A$6:$A$1005,0))),""))</f>
        <v/>
      </c>
      <c r="O108" s="33">
        <f>IF($D108="","",IFERROR(IF(INDEX(RUNS!$H$6:$H$1005,MATCH($D108,RUNS!$A$6:$A$1005,0))="","",INDEX(RUNS!$H$6:$H$1005,MATCH($D108,RUNS!$A$6:$A$1005,0))),""))</f>
        <v/>
      </c>
      <c r="P108" s="33">
        <f>IF($D108="","",IFERROR(IF(INDEX(RUNS!$J$6:$J$1005,MATCH($D108,RUNS!$A$6:$A$1005,0))="","",INDEX(RUNS!$J$6:$J$1005,MATCH($D108,RUNS!$A$6:$A$1005,0))),""))</f>
        <v/>
      </c>
      <c r="Q108" s="33">
        <f>IF($D108="","",IFERROR(IF(INDEX(RUNS!$K$6:$K$1005,MATCH($D108,RUNS!$A$6:$A$1005,0))="","",INDEX(RUNS!$K$6:$K$1005,MATCH($D108,RUNS!$A$6:$A$1005,0))),""))</f>
        <v/>
      </c>
      <c r="R108" s="34">
        <f>IF(OR($L108="",$K108=""),"",IFERROR(IF(INDEX(PARAMETRES!$H$43:$H$342,MATCH($L108&amp;"|"&amp;$M108&amp;"|"&amp;$N108&amp;"|"&amp;$O108&amp;"|"&amp;$P108&amp;"|"&amp;$Q108&amp;"|"&amp;$K108,PARAMETRES!$J$43:$J$342,0))="","",INDEX(PARAMETRES!$H$43:$H$342,MATCH($L108&amp;"|"&amp;$M108&amp;"|"&amp;$N108&amp;"|"&amp;$O108&amp;"|"&amp;$P108&amp;"|"&amp;$Q108&amp;"|"&amp;$K108,PARAMETRES!$J$43:$J$342,0))),""))</f>
        <v/>
      </c>
      <c r="S108" s="35">
        <f>IF(OR($G108="",$X108&lt;&gt;"VALIDE"),"",IFERROR(LOOKUP(2,1/(($B$3:$B107=$B108)*($G$3:$G107=$G108)*($X$3:$X107="VALIDE")),$C$3:$C107),""))</f>
        <v/>
      </c>
      <c r="T108" s="36">
        <f>IF(OR($C108="",$S108=""),"",ROUND(($C108-$S108+IF($C108&lt;$S108,1,0))*1440,0))</f>
        <v/>
      </c>
      <c r="U108" s="22">
        <f>IF(OR($H108="",$T108="",$T108&lt;=0),"",$H108*60/$T108)</f>
        <v/>
      </c>
      <c r="V108" s="37">
        <f>IF(OR($U108="",$R108="",$R108=0),"",$U108/$R108)</f>
        <v/>
      </c>
      <c r="W108" s="20">
        <f>IF($G108="","",IF($X108="CONTEXTE INCOMPLET","CONTEXTE INCOMPLET",IF($X108="DOUBLON",StatutDoublon,IF($S108="",StatutInitial,IF($R108="",StatutStandardManquant,IF($V108="","DONNEES INSUFFISANTES",IF($V108&gt;=SeuilConforme,StatutConforme,IF($V108&gt;=SeuilSurveiller,StatutSurveiller,StatutSousStandard))))))))</f>
        <v/>
      </c>
      <c r="X108" s="33">
        <f>IF($G108="","",IF(OR($D108="",$E108="",$F108=""),"CONTEXTE INCOMPLET",IF(COUNTIFS($D$3:$D107,$D108,$E$3:$E107,$E108,$F$3:$F107,$F108,$G$3:$G107,$G108)&gt;0,"DOUBLON","VALIDE")))</f>
        <v/>
      </c>
    </row>
    <row r="109" ht="15" customHeight="1">
      <c r="A109" s="12">
        <f>IF(OR($B109="",$G109=""),"",TEXT($B109,"YYYYMMDD")&amp;"-"&amp;SUBSTITUTE($E109," ","")&amp;"-"&amp;$F109&amp;"-"&amp;$G109)</f>
        <v/>
      </c>
      <c r="B109" s="15" t="n"/>
      <c r="C109" s="16" t="n"/>
      <c r="D109" s="10" t="n"/>
      <c r="E109" s="9" t="n"/>
      <c r="F109" s="9" t="n"/>
      <c r="G109" s="13" t="n"/>
      <c r="H109" s="21" t="n"/>
      <c r="I109" s="21" t="n"/>
      <c r="J109" s="17">
        <f>IF($G109="","",IFERROR(INDEX(NomsEmployes,MATCH($G109,MatriculesEmployes,0)),"MATRICULE INCONNU"))</f>
        <v/>
      </c>
      <c r="K109" s="33">
        <f>IF(OR($D109="",$F109=""),"",IFERROR(IF(INDEX(RUNS!$L$6:$S$1005,MATCH($D109,RUNS!$A$6:$A$1005,0),MATCH("ACTIVITÉ "&amp;$F109,RUNS!$L$5:$S$5,0))="","",INDEX(RUNS!$L$6:$S$1005,MATCH($D109,RUNS!$A$6:$A$1005,0),MATCH("ACTIVITÉ "&amp;$F109,RUNS!$L$5:$S$5,0))),""))</f>
        <v/>
      </c>
      <c r="L109" s="33">
        <f>IF($D109="","",IFERROR(IF(INDEX(RUNS!$E$6:$E$1005,MATCH($D109,RUNS!$A$6:$A$1005,0))="","",INDEX(RUNS!$E$6:$E$1005,MATCH($D109,RUNS!$A$6:$A$1005,0))),""))</f>
        <v/>
      </c>
      <c r="M109" s="33">
        <f>IF($D109="","",IFERROR(IF(INDEX(RUNS!$F$6:$F$1005,MATCH($D109,RUNS!$A$6:$A$1005,0))="","",INDEX(RUNS!$F$6:$F$1005,MATCH($D109,RUNS!$A$6:$A$1005,0))),""))</f>
        <v/>
      </c>
      <c r="N109" s="33">
        <f>IF($D109="","",IFERROR(IF(INDEX(RUNS!$G$6:$G$1005,MATCH($D109,RUNS!$A$6:$A$1005,0))="","",INDEX(RUNS!$G$6:$G$1005,MATCH($D109,RUNS!$A$6:$A$1005,0))),""))</f>
        <v/>
      </c>
      <c r="O109" s="33">
        <f>IF($D109="","",IFERROR(IF(INDEX(RUNS!$H$6:$H$1005,MATCH($D109,RUNS!$A$6:$A$1005,0))="","",INDEX(RUNS!$H$6:$H$1005,MATCH($D109,RUNS!$A$6:$A$1005,0))),""))</f>
        <v/>
      </c>
      <c r="P109" s="33">
        <f>IF($D109="","",IFERROR(IF(INDEX(RUNS!$J$6:$J$1005,MATCH($D109,RUNS!$A$6:$A$1005,0))="","",INDEX(RUNS!$J$6:$J$1005,MATCH($D109,RUNS!$A$6:$A$1005,0))),""))</f>
        <v/>
      </c>
      <c r="Q109" s="33">
        <f>IF($D109="","",IFERROR(IF(INDEX(RUNS!$K$6:$K$1005,MATCH($D109,RUNS!$A$6:$A$1005,0))="","",INDEX(RUNS!$K$6:$K$1005,MATCH($D109,RUNS!$A$6:$A$1005,0))),""))</f>
        <v/>
      </c>
      <c r="R109" s="34">
        <f>IF(OR($L109="",$K109=""),"",IFERROR(IF(INDEX(PARAMETRES!$H$43:$H$342,MATCH($L109&amp;"|"&amp;$M109&amp;"|"&amp;$N109&amp;"|"&amp;$O109&amp;"|"&amp;$P109&amp;"|"&amp;$Q109&amp;"|"&amp;$K109,PARAMETRES!$J$43:$J$342,0))="","",INDEX(PARAMETRES!$H$43:$H$342,MATCH($L109&amp;"|"&amp;$M109&amp;"|"&amp;$N109&amp;"|"&amp;$O109&amp;"|"&amp;$P109&amp;"|"&amp;$Q109&amp;"|"&amp;$K109,PARAMETRES!$J$43:$J$342,0))),""))</f>
        <v/>
      </c>
      <c r="S109" s="35">
        <f>IF(OR($G109="",$X109&lt;&gt;"VALIDE"),"",IFERROR(LOOKUP(2,1/(($B$3:$B108=$B109)*($G$3:$G108=$G109)*($X$3:$X108="VALIDE")),$C$3:$C108),""))</f>
        <v/>
      </c>
      <c r="T109" s="36">
        <f>IF(OR($C109="",$S109=""),"",ROUND(($C109-$S109+IF($C109&lt;$S109,1,0))*1440,0))</f>
        <v/>
      </c>
      <c r="U109" s="22">
        <f>IF(OR($H109="",$T109="",$T109&lt;=0),"",$H109*60/$T109)</f>
        <v/>
      </c>
      <c r="V109" s="37">
        <f>IF(OR($U109="",$R109="",$R109=0),"",$U109/$R109)</f>
        <v/>
      </c>
      <c r="W109" s="20">
        <f>IF($G109="","",IF($X109="CONTEXTE INCOMPLET","CONTEXTE INCOMPLET",IF($X109="DOUBLON",StatutDoublon,IF($S109="",StatutInitial,IF($R109="",StatutStandardManquant,IF($V109="","DONNEES INSUFFISANTES",IF($V109&gt;=SeuilConforme,StatutConforme,IF($V109&gt;=SeuilSurveiller,StatutSurveiller,StatutSousStandard))))))))</f>
        <v/>
      </c>
      <c r="X109" s="33">
        <f>IF($G109="","",IF(OR($D109="",$E109="",$F109=""),"CONTEXTE INCOMPLET",IF(COUNTIFS($D$3:$D108,$D109,$E$3:$E108,$E109,$F$3:$F108,$F109,$G$3:$G108,$G109)&gt;0,"DOUBLON","VALIDE")))</f>
        <v/>
      </c>
    </row>
    <row r="110" ht="15" customHeight="1">
      <c r="A110" s="12">
        <f>IF(OR($B110="",$G110=""),"",TEXT($B110,"YYYYMMDD")&amp;"-"&amp;SUBSTITUTE($E110," ","")&amp;"-"&amp;$F110&amp;"-"&amp;$G110)</f>
        <v/>
      </c>
      <c r="B110" s="15" t="n"/>
      <c r="C110" s="16" t="n"/>
      <c r="D110" s="10" t="n"/>
      <c r="E110" s="9" t="n"/>
      <c r="F110" s="9" t="n"/>
      <c r="G110" s="13" t="n"/>
      <c r="H110" s="21" t="n"/>
      <c r="I110" s="21" t="n"/>
      <c r="J110" s="17">
        <f>IF($G110="","",IFERROR(INDEX(NomsEmployes,MATCH($G110,MatriculesEmployes,0)),"MATRICULE INCONNU"))</f>
        <v/>
      </c>
      <c r="K110" s="33">
        <f>IF(OR($D110="",$F110=""),"",IFERROR(IF(INDEX(RUNS!$L$6:$S$1005,MATCH($D110,RUNS!$A$6:$A$1005,0),MATCH("ACTIVITÉ "&amp;$F110,RUNS!$L$5:$S$5,0))="","",INDEX(RUNS!$L$6:$S$1005,MATCH($D110,RUNS!$A$6:$A$1005,0),MATCH("ACTIVITÉ "&amp;$F110,RUNS!$L$5:$S$5,0))),""))</f>
        <v/>
      </c>
      <c r="L110" s="33">
        <f>IF($D110="","",IFERROR(IF(INDEX(RUNS!$E$6:$E$1005,MATCH($D110,RUNS!$A$6:$A$1005,0))="","",INDEX(RUNS!$E$6:$E$1005,MATCH($D110,RUNS!$A$6:$A$1005,0))),""))</f>
        <v/>
      </c>
      <c r="M110" s="33">
        <f>IF($D110="","",IFERROR(IF(INDEX(RUNS!$F$6:$F$1005,MATCH($D110,RUNS!$A$6:$A$1005,0))="","",INDEX(RUNS!$F$6:$F$1005,MATCH($D110,RUNS!$A$6:$A$1005,0))),""))</f>
        <v/>
      </c>
      <c r="N110" s="33">
        <f>IF($D110="","",IFERROR(IF(INDEX(RUNS!$G$6:$G$1005,MATCH($D110,RUNS!$A$6:$A$1005,0))="","",INDEX(RUNS!$G$6:$G$1005,MATCH($D110,RUNS!$A$6:$A$1005,0))),""))</f>
        <v/>
      </c>
      <c r="O110" s="33">
        <f>IF($D110="","",IFERROR(IF(INDEX(RUNS!$H$6:$H$1005,MATCH($D110,RUNS!$A$6:$A$1005,0))="","",INDEX(RUNS!$H$6:$H$1005,MATCH($D110,RUNS!$A$6:$A$1005,0))),""))</f>
        <v/>
      </c>
      <c r="P110" s="33">
        <f>IF($D110="","",IFERROR(IF(INDEX(RUNS!$J$6:$J$1005,MATCH($D110,RUNS!$A$6:$A$1005,0))="","",INDEX(RUNS!$J$6:$J$1005,MATCH($D110,RUNS!$A$6:$A$1005,0))),""))</f>
        <v/>
      </c>
      <c r="Q110" s="33">
        <f>IF($D110="","",IFERROR(IF(INDEX(RUNS!$K$6:$K$1005,MATCH($D110,RUNS!$A$6:$A$1005,0))="","",INDEX(RUNS!$K$6:$K$1005,MATCH($D110,RUNS!$A$6:$A$1005,0))),""))</f>
        <v/>
      </c>
      <c r="R110" s="34">
        <f>IF(OR($L110="",$K110=""),"",IFERROR(IF(INDEX(PARAMETRES!$H$43:$H$342,MATCH($L110&amp;"|"&amp;$M110&amp;"|"&amp;$N110&amp;"|"&amp;$O110&amp;"|"&amp;$P110&amp;"|"&amp;$Q110&amp;"|"&amp;$K110,PARAMETRES!$J$43:$J$342,0))="","",INDEX(PARAMETRES!$H$43:$H$342,MATCH($L110&amp;"|"&amp;$M110&amp;"|"&amp;$N110&amp;"|"&amp;$O110&amp;"|"&amp;$P110&amp;"|"&amp;$Q110&amp;"|"&amp;$K110,PARAMETRES!$J$43:$J$342,0))),""))</f>
        <v/>
      </c>
      <c r="S110" s="35">
        <f>IF(OR($G110="",$X110&lt;&gt;"VALIDE"),"",IFERROR(LOOKUP(2,1/(($B$3:$B109=$B110)*($G$3:$G109=$G110)*($X$3:$X109="VALIDE")),$C$3:$C109),""))</f>
        <v/>
      </c>
      <c r="T110" s="36">
        <f>IF(OR($C110="",$S110=""),"",ROUND(($C110-$S110+IF($C110&lt;$S110,1,0))*1440,0))</f>
        <v/>
      </c>
      <c r="U110" s="22">
        <f>IF(OR($H110="",$T110="",$T110&lt;=0),"",$H110*60/$T110)</f>
        <v/>
      </c>
      <c r="V110" s="37">
        <f>IF(OR($U110="",$R110="",$R110=0),"",$U110/$R110)</f>
        <v/>
      </c>
      <c r="W110" s="20">
        <f>IF($G110="","",IF($X110="CONTEXTE INCOMPLET","CONTEXTE INCOMPLET",IF($X110="DOUBLON",StatutDoublon,IF($S110="",StatutInitial,IF($R110="",StatutStandardManquant,IF($V110="","DONNEES INSUFFISANTES",IF($V110&gt;=SeuilConforme,StatutConforme,IF($V110&gt;=SeuilSurveiller,StatutSurveiller,StatutSousStandard))))))))</f>
        <v/>
      </c>
      <c r="X110" s="33">
        <f>IF($G110="","",IF(OR($D110="",$E110="",$F110=""),"CONTEXTE INCOMPLET",IF(COUNTIFS($D$3:$D109,$D110,$E$3:$E109,$E110,$F$3:$F109,$F110,$G$3:$G109,$G110)&gt;0,"DOUBLON","VALIDE")))</f>
        <v/>
      </c>
    </row>
    <row r="111" ht="15" customHeight="1">
      <c r="A111" s="12">
        <f>IF(OR($B111="",$G111=""),"",TEXT($B111,"YYYYMMDD")&amp;"-"&amp;SUBSTITUTE($E111," ","")&amp;"-"&amp;$F111&amp;"-"&amp;$G111)</f>
        <v/>
      </c>
      <c r="B111" s="15" t="n"/>
      <c r="C111" s="16" t="n"/>
      <c r="D111" s="10" t="n"/>
      <c r="E111" s="9" t="n"/>
      <c r="F111" s="9" t="n"/>
      <c r="G111" s="13" t="n"/>
      <c r="H111" s="21" t="n"/>
      <c r="I111" s="21" t="n"/>
      <c r="J111" s="17">
        <f>IF($G111="","",IFERROR(INDEX(NomsEmployes,MATCH($G111,MatriculesEmployes,0)),"MATRICULE INCONNU"))</f>
        <v/>
      </c>
      <c r="K111" s="33">
        <f>IF(OR($D111="",$F111=""),"",IFERROR(IF(INDEX(RUNS!$L$6:$S$1005,MATCH($D111,RUNS!$A$6:$A$1005,0),MATCH("ACTIVITÉ "&amp;$F111,RUNS!$L$5:$S$5,0))="","",INDEX(RUNS!$L$6:$S$1005,MATCH($D111,RUNS!$A$6:$A$1005,0),MATCH("ACTIVITÉ "&amp;$F111,RUNS!$L$5:$S$5,0))),""))</f>
        <v/>
      </c>
      <c r="L111" s="33">
        <f>IF($D111="","",IFERROR(IF(INDEX(RUNS!$E$6:$E$1005,MATCH($D111,RUNS!$A$6:$A$1005,0))="","",INDEX(RUNS!$E$6:$E$1005,MATCH($D111,RUNS!$A$6:$A$1005,0))),""))</f>
        <v/>
      </c>
      <c r="M111" s="33">
        <f>IF($D111="","",IFERROR(IF(INDEX(RUNS!$F$6:$F$1005,MATCH($D111,RUNS!$A$6:$A$1005,0))="","",INDEX(RUNS!$F$6:$F$1005,MATCH($D111,RUNS!$A$6:$A$1005,0))),""))</f>
        <v/>
      </c>
      <c r="N111" s="33">
        <f>IF($D111="","",IFERROR(IF(INDEX(RUNS!$G$6:$G$1005,MATCH($D111,RUNS!$A$6:$A$1005,0))="","",INDEX(RUNS!$G$6:$G$1005,MATCH($D111,RUNS!$A$6:$A$1005,0))),""))</f>
        <v/>
      </c>
      <c r="O111" s="33">
        <f>IF($D111="","",IFERROR(IF(INDEX(RUNS!$H$6:$H$1005,MATCH($D111,RUNS!$A$6:$A$1005,0))="","",INDEX(RUNS!$H$6:$H$1005,MATCH($D111,RUNS!$A$6:$A$1005,0))),""))</f>
        <v/>
      </c>
      <c r="P111" s="33">
        <f>IF($D111="","",IFERROR(IF(INDEX(RUNS!$J$6:$J$1005,MATCH($D111,RUNS!$A$6:$A$1005,0))="","",INDEX(RUNS!$J$6:$J$1005,MATCH($D111,RUNS!$A$6:$A$1005,0))),""))</f>
        <v/>
      </c>
      <c r="Q111" s="33">
        <f>IF($D111="","",IFERROR(IF(INDEX(RUNS!$K$6:$K$1005,MATCH($D111,RUNS!$A$6:$A$1005,0))="","",INDEX(RUNS!$K$6:$K$1005,MATCH($D111,RUNS!$A$6:$A$1005,0))),""))</f>
        <v/>
      </c>
      <c r="R111" s="34">
        <f>IF(OR($L111="",$K111=""),"",IFERROR(IF(INDEX(PARAMETRES!$H$43:$H$342,MATCH($L111&amp;"|"&amp;$M111&amp;"|"&amp;$N111&amp;"|"&amp;$O111&amp;"|"&amp;$P111&amp;"|"&amp;$Q111&amp;"|"&amp;$K111,PARAMETRES!$J$43:$J$342,0))="","",INDEX(PARAMETRES!$H$43:$H$342,MATCH($L111&amp;"|"&amp;$M111&amp;"|"&amp;$N111&amp;"|"&amp;$O111&amp;"|"&amp;$P111&amp;"|"&amp;$Q111&amp;"|"&amp;$K111,PARAMETRES!$J$43:$J$342,0))),""))</f>
        <v/>
      </c>
      <c r="S111" s="35">
        <f>IF(OR($G111="",$X111&lt;&gt;"VALIDE"),"",IFERROR(LOOKUP(2,1/(($B$3:$B110=$B111)*($G$3:$G110=$G111)*($X$3:$X110="VALIDE")),$C$3:$C110),""))</f>
        <v/>
      </c>
      <c r="T111" s="36">
        <f>IF(OR($C111="",$S111=""),"",ROUND(($C111-$S111+IF($C111&lt;$S111,1,0))*1440,0))</f>
        <v/>
      </c>
      <c r="U111" s="22">
        <f>IF(OR($H111="",$T111="",$T111&lt;=0),"",$H111*60/$T111)</f>
        <v/>
      </c>
      <c r="V111" s="37">
        <f>IF(OR($U111="",$R111="",$R111=0),"",$U111/$R111)</f>
        <v/>
      </c>
      <c r="W111" s="20">
        <f>IF($G111="","",IF($X111="CONTEXTE INCOMPLET","CONTEXTE INCOMPLET",IF($X111="DOUBLON",StatutDoublon,IF($S111="",StatutInitial,IF($R111="",StatutStandardManquant,IF($V111="","DONNEES INSUFFISANTES",IF($V111&gt;=SeuilConforme,StatutConforme,IF($V111&gt;=SeuilSurveiller,StatutSurveiller,StatutSousStandard))))))))</f>
        <v/>
      </c>
      <c r="X111" s="33">
        <f>IF($G111="","",IF(OR($D111="",$E111="",$F111=""),"CONTEXTE INCOMPLET",IF(COUNTIFS($D$3:$D110,$D111,$E$3:$E110,$E111,$F$3:$F110,$F111,$G$3:$G110,$G111)&gt;0,"DOUBLON","VALIDE")))</f>
        <v/>
      </c>
    </row>
    <row r="112" ht="15" customHeight="1">
      <c r="A112" s="12">
        <f>IF(OR($B112="",$G112=""),"",TEXT($B112,"YYYYMMDD")&amp;"-"&amp;SUBSTITUTE($E112," ","")&amp;"-"&amp;$F112&amp;"-"&amp;$G112)</f>
        <v/>
      </c>
      <c r="B112" s="15" t="n"/>
      <c r="C112" s="16" t="n"/>
      <c r="D112" s="10" t="n"/>
      <c r="E112" s="9" t="n"/>
      <c r="F112" s="9" t="n"/>
      <c r="G112" s="13" t="n"/>
      <c r="H112" s="21" t="n"/>
      <c r="I112" s="21" t="n"/>
      <c r="J112" s="17">
        <f>IF($G112="","",IFERROR(INDEX(NomsEmployes,MATCH($G112,MatriculesEmployes,0)),"MATRICULE INCONNU"))</f>
        <v/>
      </c>
      <c r="K112" s="33">
        <f>IF(OR($D112="",$F112=""),"",IFERROR(IF(INDEX(RUNS!$L$6:$S$1005,MATCH($D112,RUNS!$A$6:$A$1005,0),MATCH("ACTIVITÉ "&amp;$F112,RUNS!$L$5:$S$5,0))="","",INDEX(RUNS!$L$6:$S$1005,MATCH($D112,RUNS!$A$6:$A$1005,0),MATCH("ACTIVITÉ "&amp;$F112,RUNS!$L$5:$S$5,0))),""))</f>
        <v/>
      </c>
      <c r="L112" s="33">
        <f>IF($D112="","",IFERROR(IF(INDEX(RUNS!$E$6:$E$1005,MATCH($D112,RUNS!$A$6:$A$1005,0))="","",INDEX(RUNS!$E$6:$E$1005,MATCH($D112,RUNS!$A$6:$A$1005,0))),""))</f>
        <v/>
      </c>
      <c r="M112" s="33">
        <f>IF($D112="","",IFERROR(IF(INDEX(RUNS!$F$6:$F$1005,MATCH($D112,RUNS!$A$6:$A$1005,0))="","",INDEX(RUNS!$F$6:$F$1005,MATCH($D112,RUNS!$A$6:$A$1005,0))),""))</f>
        <v/>
      </c>
      <c r="N112" s="33">
        <f>IF($D112="","",IFERROR(IF(INDEX(RUNS!$G$6:$G$1005,MATCH($D112,RUNS!$A$6:$A$1005,0))="","",INDEX(RUNS!$G$6:$G$1005,MATCH($D112,RUNS!$A$6:$A$1005,0))),""))</f>
        <v/>
      </c>
      <c r="O112" s="33">
        <f>IF($D112="","",IFERROR(IF(INDEX(RUNS!$H$6:$H$1005,MATCH($D112,RUNS!$A$6:$A$1005,0))="","",INDEX(RUNS!$H$6:$H$1005,MATCH($D112,RUNS!$A$6:$A$1005,0))),""))</f>
        <v/>
      </c>
      <c r="P112" s="33">
        <f>IF($D112="","",IFERROR(IF(INDEX(RUNS!$J$6:$J$1005,MATCH($D112,RUNS!$A$6:$A$1005,0))="","",INDEX(RUNS!$J$6:$J$1005,MATCH($D112,RUNS!$A$6:$A$1005,0))),""))</f>
        <v/>
      </c>
      <c r="Q112" s="33">
        <f>IF($D112="","",IFERROR(IF(INDEX(RUNS!$K$6:$K$1005,MATCH($D112,RUNS!$A$6:$A$1005,0))="","",INDEX(RUNS!$K$6:$K$1005,MATCH($D112,RUNS!$A$6:$A$1005,0))),""))</f>
        <v/>
      </c>
      <c r="R112" s="34">
        <f>IF(OR($L112="",$K112=""),"",IFERROR(IF(INDEX(PARAMETRES!$H$43:$H$342,MATCH($L112&amp;"|"&amp;$M112&amp;"|"&amp;$N112&amp;"|"&amp;$O112&amp;"|"&amp;$P112&amp;"|"&amp;$Q112&amp;"|"&amp;$K112,PARAMETRES!$J$43:$J$342,0))="","",INDEX(PARAMETRES!$H$43:$H$342,MATCH($L112&amp;"|"&amp;$M112&amp;"|"&amp;$N112&amp;"|"&amp;$O112&amp;"|"&amp;$P112&amp;"|"&amp;$Q112&amp;"|"&amp;$K112,PARAMETRES!$J$43:$J$342,0))),""))</f>
        <v/>
      </c>
      <c r="S112" s="35">
        <f>IF(OR($G112="",$X112&lt;&gt;"VALIDE"),"",IFERROR(LOOKUP(2,1/(($B$3:$B111=$B112)*($G$3:$G111=$G112)*($X$3:$X111="VALIDE")),$C$3:$C111),""))</f>
        <v/>
      </c>
      <c r="T112" s="36">
        <f>IF(OR($C112="",$S112=""),"",ROUND(($C112-$S112+IF($C112&lt;$S112,1,0))*1440,0))</f>
        <v/>
      </c>
      <c r="U112" s="22">
        <f>IF(OR($H112="",$T112="",$T112&lt;=0),"",$H112*60/$T112)</f>
        <v/>
      </c>
      <c r="V112" s="37">
        <f>IF(OR($U112="",$R112="",$R112=0),"",$U112/$R112)</f>
        <v/>
      </c>
      <c r="W112" s="20">
        <f>IF($G112="","",IF($X112="CONTEXTE INCOMPLET","CONTEXTE INCOMPLET",IF($X112="DOUBLON",StatutDoublon,IF($S112="",StatutInitial,IF($R112="",StatutStandardManquant,IF($V112="","DONNEES INSUFFISANTES",IF($V112&gt;=SeuilConforme,StatutConforme,IF($V112&gt;=SeuilSurveiller,StatutSurveiller,StatutSousStandard))))))))</f>
        <v/>
      </c>
      <c r="X112" s="33">
        <f>IF($G112="","",IF(OR($D112="",$E112="",$F112=""),"CONTEXTE INCOMPLET",IF(COUNTIFS($D$3:$D111,$D112,$E$3:$E111,$E112,$F$3:$F111,$F112,$G$3:$G111,$G112)&gt;0,"DOUBLON","VALIDE")))</f>
        <v/>
      </c>
    </row>
    <row r="113" ht="15" customHeight="1">
      <c r="A113" s="12">
        <f>IF(OR($B113="",$G113=""),"",TEXT($B113,"YYYYMMDD")&amp;"-"&amp;SUBSTITUTE($E113," ","")&amp;"-"&amp;$F113&amp;"-"&amp;$G113)</f>
        <v/>
      </c>
      <c r="B113" s="15" t="n"/>
      <c r="C113" s="16" t="n"/>
      <c r="D113" s="10" t="n"/>
      <c r="E113" s="9" t="n"/>
      <c r="F113" s="9" t="n"/>
      <c r="G113" s="13" t="n"/>
      <c r="H113" s="21" t="n"/>
      <c r="I113" s="21" t="n"/>
      <c r="J113" s="17">
        <f>IF($G113="","",IFERROR(INDEX(NomsEmployes,MATCH($G113,MatriculesEmployes,0)),"MATRICULE INCONNU"))</f>
        <v/>
      </c>
      <c r="K113" s="33">
        <f>IF(OR($D113="",$F113=""),"",IFERROR(IF(INDEX(RUNS!$L$6:$S$1005,MATCH($D113,RUNS!$A$6:$A$1005,0),MATCH("ACTIVITÉ "&amp;$F113,RUNS!$L$5:$S$5,0))="","",INDEX(RUNS!$L$6:$S$1005,MATCH($D113,RUNS!$A$6:$A$1005,0),MATCH("ACTIVITÉ "&amp;$F113,RUNS!$L$5:$S$5,0))),""))</f>
        <v/>
      </c>
      <c r="L113" s="33">
        <f>IF($D113="","",IFERROR(IF(INDEX(RUNS!$E$6:$E$1005,MATCH($D113,RUNS!$A$6:$A$1005,0))="","",INDEX(RUNS!$E$6:$E$1005,MATCH($D113,RUNS!$A$6:$A$1005,0))),""))</f>
        <v/>
      </c>
      <c r="M113" s="33">
        <f>IF($D113="","",IFERROR(IF(INDEX(RUNS!$F$6:$F$1005,MATCH($D113,RUNS!$A$6:$A$1005,0))="","",INDEX(RUNS!$F$6:$F$1005,MATCH($D113,RUNS!$A$6:$A$1005,0))),""))</f>
        <v/>
      </c>
      <c r="N113" s="33">
        <f>IF($D113="","",IFERROR(IF(INDEX(RUNS!$G$6:$G$1005,MATCH($D113,RUNS!$A$6:$A$1005,0))="","",INDEX(RUNS!$G$6:$G$1005,MATCH($D113,RUNS!$A$6:$A$1005,0))),""))</f>
        <v/>
      </c>
      <c r="O113" s="33">
        <f>IF($D113="","",IFERROR(IF(INDEX(RUNS!$H$6:$H$1005,MATCH($D113,RUNS!$A$6:$A$1005,0))="","",INDEX(RUNS!$H$6:$H$1005,MATCH($D113,RUNS!$A$6:$A$1005,0))),""))</f>
        <v/>
      </c>
      <c r="P113" s="33">
        <f>IF($D113="","",IFERROR(IF(INDEX(RUNS!$J$6:$J$1005,MATCH($D113,RUNS!$A$6:$A$1005,0))="","",INDEX(RUNS!$J$6:$J$1005,MATCH($D113,RUNS!$A$6:$A$1005,0))),""))</f>
        <v/>
      </c>
      <c r="Q113" s="33">
        <f>IF($D113="","",IFERROR(IF(INDEX(RUNS!$K$6:$K$1005,MATCH($D113,RUNS!$A$6:$A$1005,0))="","",INDEX(RUNS!$K$6:$K$1005,MATCH($D113,RUNS!$A$6:$A$1005,0))),""))</f>
        <v/>
      </c>
      <c r="R113" s="34">
        <f>IF(OR($L113="",$K113=""),"",IFERROR(IF(INDEX(PARAMETRES!$H$43:$H$342,MATCH($L113&amp;"|"&amp;$M113&amp;"|"&amp;$N113&amp;"|"&amp;$O113&amp;"|"&amp;$P113&amp;"|"&amp;$Q113&amp;"|"&amp;$K113,PARAMETRES!$J$43:$J$342,0))="","",INDEX(PARAMETRES!$H$43:$H$342,MATCH($L113&amp;"|"&amp;$M113&amp;"|"&amp;$N113&amp;"|"&amp;$O113&amp;"|"&amp;$P113&amp;"|"&amp;$Q113&amp;"|"&amp;$K113,PARAMETRES!$J$43:$J$342,0))),""))</f>
        <v/>
      </c>
      <c r="S113" s="35">
        <f>IF(OR($G113="",$X113&lt;&gt;"VALIDE"),"",IFERROR(LOOKUP(2,1/(($B$3:$B112=$B113)*($G$3:$G112=$G113)*($X$3:$X112="VALIDE")),$C$3:$C112),""))</f>
        <v/>
      </c>
      <c r="T113" s="36">
        <f>IF(OR($C113="",$S113=""),"",ROUND(($C113-$S113+IF($C113&lt;$S113,1,0))*1440,0))</f>
        <v/>
      </c>
      <c r="U113" s="22">
        <f>IF(OR($H113="",$T113="",$T113&lt;=0),"",$H113*60/$T113)</f>
        <v/>
      </c>
      <c r="V113" s="37">
        <f>IF(OR($U113="",$R113="",$R113=0),"",$U113/$R113)</f>
        <v/>
      </c>
      <c r="W113" s="20">
        <f>IF($G113="","",IF($X113="CONTEXTE INCOMPLET","CONTEXTE INCOMPLET",IF($X113="DOUBLON",StatutDoublon,IF($S113="",StatutInitial,IF($R113="",StatutStandardManquant,IF($V113="","DONNEES INSUFFISANTES",IF($V113&gt;=SeuilConforme,StatutConforme,IF($V113&gt;=SeuilSurveiller,StatutSurveiller,StatutSousStandard))))))))</f>
        <v/>
      </c>
      <c r="X113" s="33">
        <f>IF($G113="","",IF(OR($D113="",$E113="",$F113=""),"CONTEXTE INCOMPLET",IF(COUNTIFS($D$3:$D112,$D113,$E$3:$E112,$E113,$F$3:$F112,$F113,$G$3:$G112,$G113)&gt;0,"DOUBLON","VALIDE")))</f>
        <v/>
      </c>
    </row>
    <row r="114" ht="15" customHeight="1">
      <c r="A114" s="12">
        <f>IF(OR($B114="",$G114=""),"",TEXT($B114,"YYYYMMDD")&amp;"-"&amp;SUBSTITUTE($E114," ","")&amp;"-"&amp;$F114&amp;"-"&amp;$G114)</f>
        <v/>
      </c>
      <c r="B114" s="15" t="n"/>
      <c r="C114" s="16" t="n"/>
      <c r="D114" s="10" t="n"/>
      <c r="E114" s="9" t="n"/>
      <c r="F114" s="9" t="n"/>
      <c r="G114" s="13" t="n"/>
      <c r="H114" s="21" t="n"/>
      <c r="I114" s="21" t="n"/>
      <c r="J114" s="17">
        <f>IF($G114="","",IFERROR(INDEX(NomsEmployes,MATCH($G114,MatriculesEmployes,0)),"MATRICULE INCONNU"))</f>
        <v/>
      </c>
      <c r="K114" s="33">
        <f>IF(OR($D114="",$F114=""),"",IFERROR(IF(INDEX(RUNS!$L$6:$S$1005,MATCH($D114,RUNS!$A$6:$A$1005,0),MATCH("ACTIVITÉ "&amp;$F114,RUNS!$L$5:$S$5,0))="","",INDEX(RUNS!$L$6:$S$1005,MATCH($D114,RUNS!$A$6:$A$1005,0),MATCH("ACTIVITÉ "&amp;$F114,RUNS!$L$5:$S$5,0))),""))</f>
        <v/>
      </c>
      <c r="L114" s="33">
        <f>IF($D114="","",IFERROR(IF(INDEX(RUNS!$E$6:$E$1005,MATCH($D114,RUNS!$A$6:$A$1005,0))="","",INDEX(RUNS!$E$6:$E$1005,MATCH($D114,RUNS!$A$6:$A$1005,0))),""))</f>
        <v/>
      </c>
      <c r="M114" s="33">
        <f>IF($D114="","",IFERROR(IF(INDEX(RUNS!$F$6:$F$1005,MATCH($D114,RUNS!$A$6:$A$1005,0))="","",INDEX(RUNS!$F$6:$F$1005,MATCH($D114,RUNS!$A$6:$A$1005,0))),""))</f>
        <v/>
      </c>
      <c r="N114" s="33">
        <f>IF($D114="","",IFERROR(IF(INDEX(RUNS!$G$6:$G$1005,MATCH($D114,RUNS!$A$6:$A$1005,0))="","",INDEX(RUNS!$G$6:$G$1005,MATCH($D114,RUNS!$A$6:$A$1005,0))),""))</f>
        <v/>
      </c>
      <c r="O114" s="33">
        <f>IF($D114="","",IFERROR(IF(INDEX(RUNS!$H$6:$H$1005,MATCH($D114,RUNS!$A$6:$A$1005,0))="","",INDEX(RUNS!$H$6:$H$1005,MATCH($D114,RUNS!$A$6:$A$1005,0))),""))</f>
        <v/>
      </c>
      <c r="P114" s="33">
        <f>IF($D114="","",IFERROR(IF(INDEX(RUNS!$J$6:$J$1005,MATCH($D114,RUNS!$A$6:$A$1005,0))="","",INDEX(RUNS!$J$6:$J$1005,MATCH($D114,RUNS!$A$6:$A$1005,0))),""))</f>
        <v/>
      </c>
      <c r="Q114" s="33">
        <f>IF($D114="","",IFERROR(IF(INDEX(RUNS!$K$6:$K$1005,MATCH($D114,RUNS!$A$6:$A$1005,0))="","",INDEX(RUNS!$K$6:$K$1005,MATCH($D114,RUNS!$A$6:$A$1005,0))),""))</f>
        <v/>
      </c>
      <c r="R114" s="34">
        <f>IF(OR($L114="",$K114=""),"",IFERROR(IF(INDEX(PARAMETRES!$H$43:$H$342,MATCH($L114&amp;"|"&amp;$M114&amp;"|"&amp;$N114&amp;"|"&amp;$O114&amp;"|"&amp;$P114&amp;"|"&amp;$Q114&amp;"|"&amp;$K114,PARAMETRES!$J$43:$J$342,0))="","",INDEX(PARAMETRES!$H$43:$H$342,MATCH($L114&amp;"|"&amp;$M114&amp;"|"&amp;$N114&amp;"|"&amp;$O114&amp;"|"&amp;$P114&amp;"|"&amp;$Q114&amp;"|"&amp;$K114,PARAMETRES!$J$43:$J$342,0))),""))</f>
        <v/>
      </c>
      <c r="S114" s="35">
        <f>IF(OR($G114="",$X114&lt;&gt;"VALIDE"),"",IFERROR(LOOKUP(2,1/(($B$3:$B113=$B114)*($G$3:$G113=$G114)*($X$3:$X113="VALIDE")),$C$3:$C113),""))</f>
        <v/>
      </c>
      <c r="T114" s="36">
        <f>IF(OR($C114="",$S114=""),"",ROUND(($C114-$S114+IF($C114&lt;$S114,1,0))*1440,0))</f>
        <v/>
      </c>
      <c r="U114" s="22">
        <f>IF(OR($H114="",$T114="",$T114&lt;=0),"",$H114*60/$T114)</f>
        <v/>
      </c>
      <c r="V114" s="37">
        <f>IF(OR($U114="",$R114="",$R114=0),"",$U114/$R114)</f>
        <v/>
      </c>
      <c r="W114" s="20">
        <f>IF($G114="","",IF($X114="CONTEXTE INCOMPLET","CONTEXTE INCOMPLET",IF($X114="DOUBLON",StatutDoublon,IF($S114="",StatutInitial,IF($R114="",StatutStandardManquant,IF($V114="","DONNEES INSUFFISANTES",IF($V114&gt;=SeuilConforme,StatutConforme,IF($V114&gt;=SeuilSurveiller,StatutSurveiller,StatutSousStandard))))))))</f>
        <v/>
      </c>
      <c r="X114" s="33">
        <f>IF($G114="","",IF(OR($D114="",$E114="",$F114=""),"CONTEXTE INCOMPLET",IF(COUNTIFS($D$3:$D113,$D114,$E$3:$E113,$E114,$F$3:$F113,$F114,$G$3:$G113,$G114)&gt;0,"DOUBLON","VALIDE")))</f>
        <v/>
      </c>
    </row>
    <row r="115" ht="15" customHeight="1">
      <c r="A115" s="12">
        <f>IF(OR($B115="",$G115=""),"",TEXT($B115,"YYYYMMDD")&amp;"-"&amp;SUBSTITUTE($E115," ","")&amp;"-"&amp;$F115&amp;"-"&amp;$G115)</f>
        <v/>
      </c>
      <c r="B115" s="15" t="n"/>
      <c r="C115" s="16" t="n"/>
      <c r="D115" s="10" t="n"/>
      <c r="E115" s="9" t="n"/>
      <c r="F115" s="9" t="n"/>
      <c r="G115" s="13" t="n"/>
      <c r="H115" s="21" t="n"/>
      <c r="I115" s="21" t="n"/>
      <c r="J115" s="17">
        <f>IF($G115="","",IFERROR(INDEX(NomsEmployes,MATCH($G115,MatriculesEmployes,0)),"MATRICULE INCONNU"))</f>
        <v/>
      </c>
      <c r="K115" s="33">
        <f>IF(OR($D115="",$F115=""),"",IFERROR(IF(INDEX(RUNS!$L$6:$S$1005,MATCH($D115,RUNS!$A$6:$A$1005,0),MATCH("ACTIVITÉ "&amp;$F115,RUNS!$L$5:$S$5,0))="","",INDEX(RUNS!$L$6:$S$1005,MATCH($D115,RUNS!$A$6:$A$1005,0),MATCH("ACTIVITÉ "&amp;$F115,RUNS!$L$5:$S$5,0))),""))</f>
        <v/>
      </c>
      <c r="L115" s="33">
        <f>IF($D115="","",IFERROR(IF(INDEX(RUNS!$E$6:$E$1005,MATCH($D115,RUNS!$A$6:$A$1005,0))="","",INDEX(RUNS!$E$6:$E$1005,MATCH($D115,RUNS!$A$6:$A$1005,0))),""))</f>
        <v/>
      </c>
      <c r="M115" s="33">
        <f>IF($D115="","",IFERROR(IF(INDEX(RUNS!$F$6:$F$1005,MATCH($D115,RUNS!$A$6:$A$1005,0))="","",INDEX(RUNS!$F$6:$F$1005,MATCH($D115,RUNS!$A$6:$A$1005,0))),""))</f>
        <v/>
      </c>
      <c r="N115" s="33">
        <f>IF($D115="","",IFERROR(IF(INDEX(RUNS!$G$6:$G$1005,MATCH($D115,RUNS!$A$6:$A$1005,0))="","",INDEX(RUNS!$G$6:$G$1005,MATCH($D115,RUNS!$A$6:$A$1005,0))),""))</f>
        <v/>
      </c>
      <c r="O115" s="33">
        <f>IF($D115="","",IFERROR(IF(INDEX(RUNS!$H$6:$H$1005,MATCH($D115,RUNS!$A$6:$A$1005,0))="","",INDEX(RUNS!$H$6:$H$1005,MATCH($D115,RUNS!$A$6:$A$1005,0))),""))</f>
        <v/>
      </c>
      <c r="P115" s="33">
        <f>IF($D115="","",IFERROR(IF(INDEX(RUNS!$J$6:$J$1005,MATCH($D115,RUNS!$A$6:$A$1005,0))="","",INDEX(RUNS!$J$6:$J$1005,MATCH($D115,RUNS!$A$6:$A$1005,0))),""))</f>
        <v/>
      </c>
      <c r="Q115" s="33">
        <f>IF($D115="","",IFERROR(IF(INDEX(RUNS!$K$6:$K$1005,MATCH($D115,RUNS!$A$6:$A$1005,0))="","",INDEX(RUNS!$K$6:$K$1005,MATCH($D115,RUNS!$A$6:$A$1005,0))),""))</f>
        <v/>
      </c>
      <c r="R115" s="34">
        <f>IF(OR($L115="",$K115=""),"",IFERROR(IF(INDEX(PARAMETRES!$H$43:$H$342,MATCH($L115&amp;"|"&amp;$M115&amp;"|"&amp;$N115&amp;"|"&amp;$O115&amp;"|"&amp;$P115&amp;"|"&amp;$Q115&amp;"|"&amp;$K115,PARAMETRES!$J$43:$J$342,0))="","",INDEX(PARAMETRES!$H$43:$H$342,MATCH($L115&amp;"|"&amp;$M115&amp;"|"&amp;$N115&amp;"|"&amp;$O115&amp;"|"&amp;$P115&amp;"|"&amp;$Q115&amp;"|"&amp;$K115,PARAMETRES!$J$43:$J$342,0))),""))</f>
        <v/>
      </c>
      <c r="S115" s="35">
        <f>IF(OR($G115="",$X115&lt;&gt;"VALIDE"),"",IFERROR(LOOKUP(2,1/(($B$3:$B114=$B115)*($G$3:$G114=$G115)*($X$3:$X114="VALIDE")),$C$3:$C114),""))</f>
        <v/>
      </c>
      <c r="T115" s="36">
        <f>IF(OR($C115="",$S115=""),"",ROUND(($C115-$S115+IF($C115&lt;$S115,1,0))*1440,0))</f>
        <v/>
      </c>
      <c r="U115" s="22">
        <f>IF(OR($H115="",$T115="",$T115&lt;=0),"",$H115*60/$T115)</f>
        <v/>
      </c>
      <c r="V115" s="37">
        <f>IF(OR($U115="",$R115="",$R115=0),"",$U115/$R115)</f>
        <v/>
      </c>
      <c r="W115" s="20">
        <f>IF($G115="","",IF($X115="CONTEXTE INCOMPLET","CONTEXTE INCOMPLET",IF($X115="DOUBLON",StatutDoublon,IF($S115="",StatutInitial,IF($R115="",StatutStandardManquant,IF($V115="","DONNEES INSUFFISANTES",IF($V115&gt;=SeuilConforme,StatutConforme,IF($V115&gt;=SeuilSurveiller,StatutSurveiller,StatutSousStandard))))))))</f>
        <v/>
      </c>
      <c r="X115" s="33">
        <f>IF($G115="","",IF(OR($D115="",$E115="",$F115=""),"CONTEXTE INCOMPLET",IF(COUNTIFS($D$3:$D114,$D115,$E$3:$E114,$E115,$F$3:$F114,$F115,$G$3:$G114,$G115)&gt;0,"DOUBLON","VALIDE")))</f>
        <v/>
      </c>
    </row>
    <row r="116" ht="15" customHeight="1">
      <c r="A116" s="12">
        <f>IF(OR($B116="",$G116=""),"",TEXT($B116,"YYYYMMDD")&amp;"-"&amp;SUBSTITUTE($E116," ","")&amp;"-"&amp;$F116&amp;"-"&amp;$G116)</f>
        <v/>
      </c>
      <c r="B116" s="15" t="n"/>
      <c r="C116" s="16" t="n"/>
      <c r="D116" s="10" t="n"/>
      <c r="E116" s="9" t="n"/>
      <c r="F116" s="9" t="n"/>
      <c r="G116" s="13" t="n"/>
      <c r="H116" s="21" t="n"/>
      <c r="I116" s="21" t="n"/>
      <c r="J116" s="17">
        <f>IF($G116="","",IFERROR(INDEX(NomsEmployes,MATCH($G116,MatriculesEmployes,0)),"MATRICULE INCONNU"))</f>
        <v/>
      </c>
      <c r="K116" s="33">
        <f>IF(OR($D116="",$F116=""),"",IFERROR(IF(INDEX(RUNS!$L$6:$S$1005,MATCH($D116,RUNS!$A$6:$A$1005,0),MATCH("ACTIVITÉ "&amp;$F116,RUNS!$L$5:$S$5,0))="","",INDEX(RUNS!$L$6:$S$1005,MATCH($D116,RUNS!$A$6:$A$1005,0),MATCH("ACTIVITÉ "&amp;$F116,RUNS!$L$5:$S$5,0))),""))</f>
        <v/>
      </c>
      <c r="L116" s="33">
        <f>IF($D116="","",IFERROR(IF(INDEX(RUNS!$E$6:$E$1005,MATCH($D116,RUNS!$A$6:$A$1005,0))="","",INDEX(RUNS!$E$6:$E$1005,MATCH($D116,RUNS!$A$6:$A$1005,0))),""))</f>
        <v/>
      </c>
      <c r="M116" s="33">
        <f>IF($D116="","",IFERROR(IF(INDEX(RUNS!$F$6:$F$1005,MATCH($D116,RUNS!$A$6:$A$1005,0))="","",INDEX(RUNS!$F$6:$F$1005,MATCH($D116,RUNS!$A$6:$A$1005,0))),""))</f>
        <v/>
      </c>
      <c r="N116" s="33">
        <f>IF($D116="","",IFERROR(IF(INDEX(RUNS!$G$6:$G$1005,MATCH($D116,RUNS!$A$6:$A$1005,0))="","",INDEX(RUNS!$G$6:$G$1005,MATCH($D116,RUNS!$A$6:$A$1005,0))),""))</f>
        <v/>
      </c>
      <c r="O116" s="33">
        <f>IF($D116="","",IFERROR(IF(INDEX(RUNS!$H$6:$H$1005,MATCH($D116,RUNS!$A$6:$A$1005,0))="","",INDEX(RUNS!$H$6:$H$1005,MATCH($D116,RUNS!$A$6:$A$1005,0))),""))</f>
        <v/>
      </c>
      <c r="P116" s="33">
        <f>IF($D116="","",IFERROR(IF(INDEX(RUNS!$J$6:$J$1005,MATCH($D116,RUNS!$A$6:$A$1005,0))="","",INDEX(RUNS!$J$6:$J$1005,MATCH($D116,RUNS!$A$6:$A$1005,0))),""))</f>
        <v/>
      </c>
      <c r="Q116" s="33">
        <f>IF($D116="","",IFERROR(IF(INDEX(RUNS!$K$6:$K$1005,MATCH($D116,RUNS!$A$6:$A$1005,0))="","",INDEX(RUNS!$K$6:$K$1005,MATCH($D116,RUNS!$A$6:$A$1005,0))),""))</f>
        <v/>
      </c>
      <c r="R116" s="34">
        <f>IF(OR($L116="",$K116=""),"",IFERROR(IF(INDEX(PARAMETRES!$H$43:$H$342,MATCH($L116&amp;"|"&amp;$M116&amp;"|"&amp;$N116&amp;"|"&amp;$O116&amp;"|"&amp;$P116&amp;"|"&amp;$Q116&amp;"|"&amp;$K116,PARAMETRES!$J$43:$J$342,0))="","",INDEX(PARAMETRES!$H$43:$H$342,MATCH($L116&amp;"|"&amp;$M116&amp;"|"&amp;$N116&amp;"|"&amp;$O116&amp;"|"&amp;$P116&amp;"|"&amp;$Q116&amp;"|"&amp;$K116,PARAMETRES!$J$43:$J$342,0))),""))</f>
        <v/>
      </c>
      <c r="S116" s="35">
        <f>IF(OR($G116="",$X116&lt;&gt;"VALIDE"),"",IFERROR(LOOKUP(2,1/(($B$3:$B115=$B116)*($G$3:$G115=$G116)*($X$3:$X115="VALIDE")),$C$3:$C115),""))</f>
        <v/>
      </c>
      <c r="T116" s="36">
        <f>IF(OR($C116="",$S116=""),"",ROUND(($C116-$S116+IF($C116&lt;$S116,1,0))*1440,0))</f>
        <v/>
      </c>
      <c r="U116" s="22">
        <f>IF(OR($H116="",$T116="",$T116&lt;=0),"",$H116*60/$T116)</f>
        <v/>
      </c>
      <c r="V116" s="37">
        <f>IF(OR($U116="",$R116="",$R116=0),"",$U116/$R116)</f>
        <v/>
      </c>
      <c r="W116" s="20">
        <f>IF($G116="","",IF($X116="CONTEXTE INCOMPLET","CONTEXTE INCOMPLET",IF($X116="DOUBLON",StatutDoublon,IF($S116="",StatutInitial,IF($R116="",StatutStandardManquant,IF($V116="","DONNEES INSUFFISANTES",IF($V116&gt;=SeuilConforme,StatutConforme,IF($V116&gt;=SeuilSurveiller,StatutSurveiller,StatutSousStandard))))))))</f>
        <v/>
      </c>
      <c r="X116" s="33">
        <f>IF($G116="","",IF(OR($D116="",$E116="",$F116=""),"CONTEXTE INCOMPLET",IF(COUNTIFS($D$3:$D115,$D116,$E$3:$E115,$E116,$F$3:$F115,$F116,$G$3:$G115,$G116)&gt;0,"DOUBLON","VALIDE")))</f>
        <v/>
      </c>
    </row>
    <row r="117" ht="15" customHeight="1">
      <c r="A117" s="12">
        <f>IF(OR($B117="",$G117=""),"",TEXT($B117,"YYYYMMDD")&amp;"-"&amp;SUBSTITUTE($E117," ","")&amp;"-"&amp;$F117&amp;"-"&amp;$G117)</f>
        <v/>
      </c>
      <c r="B117" s="15" t="n"/>
      <c r="C117" s="16" t="n"/>
      <c r="D117" s="10" t="n"/>
      <c r="E117" s="9" t="n"/>
      <c r="F117" s="9" t="n"/>
      <c r="G117" s="13" t="n"/>
      <c r="H117" s="21" t="n"/>
      <c r="I117" s="21" t="n"/>
      <c r="J117" s="17">
        <f>IF($G117="","",IFERROR(INDEX(NomsEmployes,MATCH($G117,MatriculesEmployes,0)),"MATRICULE INCONNU"))</f>
        <v/>
      </c>
      <c r="K117" s="33">
        <f>IF(OR($D117="",$F117=""),"",IFERROR(IF(INDEX(RUNS!$L$6:$S$1005,MATCH($D117,RUNS!$A$6:$A$1005,0),MATCH("ACTIVITÉ "&amp;$F117,RUNS!$L$5:$S$5,0))="","",INDEX(RUNS!$L$6:$S$1005,MATCH($D117,RUNS!$A$6:$A$1005,0),MATCH("ACTIVITÉ "&amp;$F117,RUNS!$L$5:$S$5,0))),""))</f>
        <v/>
      </c>
      <c r="L117" s="33">
        <f>IF($D117="","",IFERROR(IF(INDEX(RUNS!$E$6:$E$1005,MATCH($D117,RUNS!$A$6:$A$1005,0))="","",INDEX(RUNS!$E$6:$E$1005,MATCH($D117,RUNS!$A$6:$A$1005,0))),""))</f>
        <v/>
      </c>
      <c r="M117" s="33">
        <f>IF($D117="","",IFERROR(IF(INDEX(RUNS!$F$6:$F$1005,MATCH($D117,RUNS!$A$6:$A$1005,0))="","",INDEX(RUNS!$F$6:$F$1005,MATCH($D117,RUNS!$A$6:$A$1005,0))),""))</f>
        <v/>
      </c>
      <c r="N117" s="33">
        <f>IF($D117="","",IFERROR(IF(INDEX(RUNS!$G$6:$G$1005,MATCH($D117,RUNS!$A$6:$A$1005,0))="","",INDEX(RUNS!$G$6:$G$1005,MATCH($D117,RUNS!$A$6:$A$1005,0))),""))</f>
        <v/>
      </c>
      <c r="O117" s="33">
        <f>IF($D117="","",IFERROR(IF(INDEX(RUNS!$H$6:$H$1005,MATCH($D117,RUNS!$A$6:$A$1005,0))="","",INDEX(RUNS!$H$6:$H$1005,MATCH($D117,RUNS!$A$6:$A$1005,0))),""))</f>
        <v/>
      </c>
      <c r="P117" s="33">
        <f>IF($D117="","",IFERROR(IF(INDEX(RUNS!$J$6:$J$1005,MATCH($D117,RUNS!$A$6:$A$1005,0))="","",INDEX(RUNS!$J$6:$J$1005,MATCH($D117,RUNS!$A$6:$A$1005,0))),""))</f>
        <v/>
      </c>
      <c r="Q117" s="33">
        <f>IF($D117="","",IFERROR(IF(INDEX(RUNS!$K$6:$K$1005,MATCH($D117,RUNS!$A$6:$A$1005,0))="","",INDEX(RUNS!$K$6:$K$1005,MATCH($D117,RUNS!$A$6:$A$1005,0))),""))</f>
        <v/>
      </c>
      <c r="R117" s="34">
        <f>IF(OR($L117="",$K117=""),"",IFERROR(IF(INDEX(PARAMETRES!$H$43:$H$342,MATCH($L117&amp;"|"&amp;$M117&amp;"|"&amp;$N117&amp;"|"&amp;$O117&amp;"|"&amp;$P117&amp;"|"&amp;$Q117&amp;"|"&amp;$K117,PARAMETRES!$J$43:$J$342,0))="","",INDEX(PARAMETRES!$H$43:$H$342,MATCH($L117&amp;"|"&amp;$M117&amp;"|"&amp;$N117&amp;"|"&amp;$O117&amp;"|"&amp;$P117&amp;"|"&amp;$Q117&amp;"|"&amp;$K117,PARAMETRES!$J$43:$J$342,0))),""))</f>
        <v/>
      </c>
      <c r="S117" s="35">
        <f>IF(OR($G117="",$X117&lt;&gt;"VALIDE"),"",IFERROR(LOOKUP(2,1/(($B$3:$B116=$B117)*($G$3:$G116=$G117)*($X$3:$X116="VALIDE")),$C$3:$C116),""))</f>
        <v/>
      </c>
      <c r="T117" s="36">
        <f>IF(OR($C117="",$S117=""),"",ROUND(($C117-$S117+IF($C117&lt;$S117,1,0))*1440,0))</f>
        <v/>
      </c>
      <c r="U117" s="22">
        <f>IF(OR($H117="",$T117="",$T117&lt;=0),"",$H117*60/$T117)</f>
        <v/>
      </c>
      <c r="V117" s="37">
        <f>IF(OR($U117="",$R117="",$R117=0),"",$U117/$R117)</f>
        <v/>
      </c>
      <c r="W117" s="20">
        <f>IF($G117="","",IF($X117="CONTEXTE INCOMPLET","CONTEXTE INCOMPLET",IF($X117="DOUBLON",StatutDoublon,IF($S117="",StatutInitial,IF($R117="",StatutStandardManquant,IF($V117="","DONNEES INSUFFISANTES",IF($V117&gt;=SeuilConforme,StatutConforme,IF($V117&gt;=SeuilSurveiller,StatutSurveiller,StatutSousStandard))))))))</f>
        <v/>
      </c>
      <c r="X117" s="33">
        <f>IF($G117="","",IF(OR($D117="",$E117="",$F117=""),"CONTEXTE INCOMPLET",IF(COUNTIFS($D$3:$D116,$D117,$E$3:$E116,$E117,$F$3:$F116,$F117,$G$3:$G116,$G117)&gt;0,"DOUBLON","VALIDE")))</f>
        <v/>
      </c>
    </row>
    <row r="118" ht="15" customHeight="1">
      <c r="A118" s="12">
        <f>IF(OR($B118="",$G118=""),"",TEXT($B118,"YYYYMMDD")&amp;"-"&amp;SUBSTITUTE($E118," ","")&amp;"-"&amp;$F118&amp;"-"&amp;$G118)</f>
        <v/>
      </c>
      <c r="B118" s="15" t="n"/>
      <c r="C118" s="16" t="n"/>
      <c r="D118" s="10" t="n"/>
      <c r="E118" s="9" t="n"/>
      <c r="F118" s="9" t="n"/>
      <c r="G118" s="13" t="n"/>
      <c r="H118" s="21" t="n"/>
      <c r="I118" s="21" t="n"/>
      <c r="J118" s="17">
        <f>IF($G118="","",IFERROR(INDEX(NomsEmployes,MATCH($G118,MatriculesEmployes,0)),"MATRICULE INCONNU"))</f>
        <v/>
      </c>
      <c r="K118" s="33">
        <f>IF(OR($D118="",$F118=""),"",IFERROR(IF(INDEX(RUNS!$L$6:$S$1005,MATCH($D118,RUNS!$A$6:$A$1005,0),MATCH("ACTIVITÉ "&amp;$F118,RUNS!$L$5:$S$5,0))="","",INDEX(RUNS!$L$6:$S$1005,MATCH($D118,RUNS!$A$6:$A$1005,0),MATCH("ACTIVITÉ "&amp;$F118,RUNS!$L$5:$S$5,0))),""))</f>
        <v/>
      </c>
      <c r="L118" s="33">
        <f>IF($D118="","",IFERROR(IF(INDEX(RUNS!$E$6:$E$1005,MATCH($D118,RUNS!$A$6:$A$1005,0))="","",INDEX(RUNS!$E$6:$E$1005,MATCH($D118,RUNS!$A$6:$A$1005,0))),""))</f>
        <v/>
      </c>
      <c r="M118" s="33">
        <f>IF($D118="","",IFERROR(IF(INDEX(RUNS!$F$6:$F$1005,MATCH($D118,RUNS!$A$6:$A$1005,0))="","",INDEX(RUNS!$F$6:$F$1005,MATCH($D118,RUNS!$A$6:$A$1005,0))),""))</f>
        <v/>
      </c>
      <c r="N118" s="33">
        <f>IF($D118="","",IFERROR(IF(INDEX(RUNS!$G$6:$G$1005,MATCH($D118,RUNS!$A$6:$A$1005,0))="","",INDEX(RUNS!$G$6:$G$1005,MATCH($D118,RUNS!$A$6:$A$1005,0))),""))</f>
        <v/>
      </c>
      <c r="O118" s="33">
        <f>IF($D118="","",IFERROR(IF(INDEX(RUNS!$H$6:$H$1005,MATCH($D118,RUNS!$A$6:$A$1005,0))="","",INDEX(RUNS!$H$6:$H$1005,MATCH($D118,RUNS!$A$6:$A$1005,0))),""))</f>
        <v/>
      </c>
      <c r="P118" s="33">
        <f>IF($D118="","",IFERROR(IF(INDEX(RUNS!$J$6:$J$1005,MATCH($D118,RUNS!$A$6:$A$1005,0))="","",INDEX(RUNS!$J$6:$J$1005,MATCH($D118,RUNS!$A$6:$A$1005,0))),""))</f>
        <v/>
      </c>
      <c r="Q118" s="33">
        <f>IF($D118="","",IFERROR(IF(INDEX(RUNS!$K$6:$K$1005,MATCH($D118,RUNS!$A$6:$A$1005,0))="","",INDEX(RUNS!$K$6:$K$1005,MATCH($D118,RUNS!$A$6:$A$1005,0))),""))</f>
        <v/>
      </c>
      <c r="R118" s="34">
        <f>IF(OR($L118="",$K118=""),"",IFERROR(IF(INDEX(PARAMETRES!$H$43:$H$342,MATCH($L118&amp;"|"&amp;$M118&amp;"|"&amp;$N118&amp;"|"&amp;$O118&amp;"|"&amp;$P118&amp;"|"&amp;$Q118&amp;"|"&amp;$K118,PARAMETRES!$J$43:$J$342,0))="","",INDEX(PARAMETRES!$H$43:$H$342,MATCH($L118&amp;"|"&amp;$M118&amp;"|"&amp;$N118&amp;"|"&amp;$O118&amp;"|"&amp;$P118&amp;"|"&amp;$Q118&amp;"|"&amp;$K118,PARAMETRES!$J$43:$J$342,0))),""))</f>
        <v/>
      </c>
      <c r="S118" s="35">
        <f>IF(OR($G118="",$X118&lt;&gt;"VALIDE"),"",IFERROR(LOOKUP(2,1/(($B$3:$B117=$B118)*($G$3:$G117=$G118)*($X$3:$X117="VALIDE")),$C$3:$C117),""))</f>
        <v/>
      </c>
      <c r="T118" s="36">
        <f>IF(OR($C118="",$S118=""),"",ROUND(($C118-$S118+IF($C118&lt;$S118,1,0))*1440,0))</f>
        <v/>
      </c>
      <c r="U118" s="22">
        <f>IF(OR($H118="",$T118="",$T118&lt;=0),"",$H118*60/$T118)</f>
        <v/>
      </c>
      <c r="V118" s="37">
        <f>IF(OR($U118="",$R118="",$R118=0),"",$U118/$R118)</f>
        <v/>
      </c>
      <c r="W118" s="20">
        <f>IF($G118="","",IF($X118="CONTEXTE INCOMPLET","CONTEXTE INCOMPLET",IF($X118="DOUBLON",StatutDoublon,IF($S118="",StatutInitial,IF($R118="",StatutStandardManquant,IF($V118="","DONNEES INSUFFISANTES",IF($V118&gt;=SeuilConforme,StatutConforme,IF($V118&gt;=SeuilSurveiller,StatutSurveiller,StatutSousStandard))))))))</f>
        <v/>
      </c>
      <c r="X118" s="33">
        <f>IF($G118="","",IF(OR($D118="",$E118="",$F118=""),"CONTEXTE INCOMPLET",IF(COUNTIFS($D$3:$D117,$D118,$E$3:$E117,$E118,$F$3:$F117,$F118,$G$3:$G117,$G118)&gt;0,"DOUBLON","VALIDE")))</f>
        <v/>
      </c>
    </row>
    <row r="119" ht="15" customHeight="1">
      <c r="A119" s="12">
        <f>IF(OR($B119="",$G119=""),"",TEXT($B119,"YYYYMMDD")&amp;"-"&amp;SUBSTITUTE($E119," ","")&amp;"-"&amp;$F119&amp;"-"&amp;$G119)</f>
        <v/>
      </c>
      <c r="B119" s="15" t="n"/>
      <c r="C119" s="16" t="n"/>
      <c r="D119" s="10" t="n"/>
      <c r="E119" s="9" t="n"/>
      <c r="F119" s="9" t="n"/>
      <c r="G119" s="13" t="n"/>
      <c r="H119" s="21" t="n"/>
      <c r="I119" s="21" t="n"/>
      <c r="J119" s="17">
        <f>IF($G119="","",IFERROR(INDEX(NomsEmployes,MATCH($G119,MatriculesEmployes,0)),"MATRICULE INCONNU"))</f>
        <v/>
      </c>
      <c r="K119" s="33">
        <f>IF(OR($D119="",$F119=""),"",IFERROR(IF(INDEX(RUNS!$L$6:$S$1005,MATCH($D119,RUNS!$A$6:$A$1005,0),MATCH("ACTIVITÉ "&amp;$F119,RUNS!$L$5:$S$5,0))="","",INDEX(RUNS!$L$6:$S$1005,MATCH($D119,RUNS!$A$6:$A$1005,0),MATCH("ACTIVITÉ "&amp;$F119,RUNS!$L$5:$S$5,0))),""))</f>
        <v/>
      </c>
      <c r="L119" s="33">
        <f>IF($D119="","",IFERROR(IF(INDEX(RUNS!$E$6:$E$1005,MATCH($D119,RUNS!$A$6:$A$1005,0))="","",INDEX(RUNS!$E$6:$E$1005,MATCH($D119,RUNS!$A$6:$A$1005,0))),""))</f>
        <v/>
      </c>
      <c r="M119" s="33">
        <f>IF($D119="","",IFERROR(IF(INDEX(RUNS!$F$6:$F$1005,MATCH($D119,RUNS!$A$6:$A$1005,0))="","",INDEX(RUNS!$F$6:$F$1005,MATCH($D119,RUNS!$A$6:$A$1005,0))),""))</f>
        <v/>
      </c>
      <c r="N119" s="33">
        <f>IF($D119="","",IFERROR(IF(INDEX(RUNS!$G$6:$G$1005,MATCH($D119,RUNS!$A$6:$A$1005,0))="","",INDEX(RUNS!$G$6:$G$1005,MATCH($D119,RUNS!$A$6:$A$1005,0))),""))</f>
        <v/>
      </c>
      <c r="O119" s="33">
        <f>IF($D119="","",IFERROR(IF(INDEX(RUNS!$H$6:$H$1005,MATCH($D119,RUNS!$A$6:$A$1005,0))="","",INDEX(RUNS!$H$6:$H$1005,MATCH($D119,RUNS!$A$6:$A$1005,0))),""))</f>
        <v/>
      </c>
      <c r="P119" s="33">
        <f>IF($D119="","",IFERROR(IF(INDEX(RUNS!$J$6:$J$1005,MATCH($D119,RUNS!$A$6:$A$1005,0))="","",INDEX(RUNS!$J$6:$J$1005,MATCH($D119,RUNS!$A$6:$A$1005,0))),""))</f>
        <v/>
      </c>
      <c r="Q119" s="33">
        <f>IF($D119="","",IFERROR(IF(INDEX(RUNS!$K$6:$K$1005,MATCH($D119,RUNS!$A$6:$A$1005,0))="","",INDEX(RUNS!$K$6:$K$1005,MATCH($D119,RUNS!$A$6:$A$1005,0))),""))</f>
        <v/>
      </c>
      <c r="R119" s="34">
        <f>IF(OR($L119="",$K119=""),"",IFERROR(IF(INDEX(PARAMETRES!$H$43:$H$342,MATCH($L119&amp;"|"&amp;$M119&amp;"|"&amp;$N119&amp;"|"&amp;$O119&amp;"|"&amp;$P119&amp;"|"&amp;$Q119&amp;"|"&amp;$K119,PARAMETRES!$J$43:$J$342,0))="","",INDEX(PARAMETRES!$H$43:$H$342,MATCH($L119&amp;"|"&amp;$M119&amp;"|"&amp;$N119&amp;"|"&amp;$O119&amp;"|"&amp;$P119&amp;"|"&amp;$Q119&amp;"|"&amp;$K119,PARAMETRES!$J$43:$J$342,0))),""))</f>
        <v/>
      </c>
      <c r="S119" s="35">
        <f>IF(OR($G119="",$X119&lt;&gt;"VALIDE"),"",IFERROR(LOOKUP(2,1/(($B$3:$B118=$B119)*($G$3:$G118=$G119)*($X$3:$X118="VALIDE")),$C$3:$C118),""))</f>
        <v/>
      </c>
      <c r="T119" s="36">
        <f>IF(OR($C119="",$S119=""),"",ROUND(($C119-$S119+IF($C119&lt;$S119,1,0))*1440,0))</f>
        <v/>
      </c>
      <c r="U119" s="22">
        <f>IF(OR($H119="",$T119="",$T119&lt;=0),"",$H119*60/$T119)</f>
        <v/>
      </c>
      <c r="V119" s="37">
        <f>IF(OR($U119="",$R119="",$R119=0),"",$U119/$R119)</f>
        <v/>
      </c>
      <c r="W119" s="20">
        <f>IF($G119="","",IF($X119="CONTEXTE INCOMPLET","CONTEXTE INCOMPLET",IF($X119="DOUBLON",StatutDoublon,IF($S119="",StatutInitial,IF($R119="",StatutStandardManquant,IF($V119="","DONNEES INSUFFISANTES",IF($V119&gt;=SeuilConforme,StatutConforme,IF($V119&gt;=SeuilSurveiller,StatutSurveiller,StatutSousStandard))))))))</f>
        <v/>
      </c>
      <c r="X119" s="33">
        <f>IF($G119="","",IF(OR($D119="",$E119="",$F119=""),"CONTEXTE INCOMPLET",IF(COUNTIFS($D$3:$D118,$D119,$E$3:$E118,$E119,$F$3:$F118,$F119,$G$3:$G118,$G119)&gt;0,"DOUBLON","VALIDE")))</f>
        <v/>
      </c>
    </row>
    <row r="120" ht="15" customHeight="1">
      <c r="A120" s="12">
        <f>IF(OR($B120="",$G120=""),"",TEXT($B120,"YYYYMMDD")&amp;"-"&amp;SUBSTITUTE($E120," ","")&amp;"-"&amp;$F120&amp;"-"&amp;$G120)</f>
        <v/>
      </c>
      <c r="B120" s="15" t="n"/>
      <c r="C120" s="16" t="n"/>
      <c r="D120" s="10" t="n"/>
      <c r="E120" s="9" t="n"/>
      <c r="F120" s="9" t="n"/>
      <c r="G120" s="13" t="n"/>
      <c r="H120" s="21" t="n"/>
      <c r="I120" s="21" t="n"/>
      <c r="J120" s="17">
        <f>IF($G120="","",IFERROR(INDEX(NomsEmployes,MATCH($G120,MatriculesEmployes,0)),"MATRICULE INCONNU"))</f>
        <v/>
      </c>
      <c r="K120" s="33">
        <f>IF(OR($D120="",$F120=""),"",IFERROR(IF(INDEX(RUNS!$L$6:$S$1005,MATCH($D120,RUNS!$A$6:$A$1005,0),MATCH("ACTIVITÉ "&amp;$F120,RUNS!$L$5:$S$5,0))="","",INDEX(RUNS!$L$6:$S$1005,MATCH($D120,RUNS!$A$6:$A$1005,0),MATCH("ACTIVITÉ "&amp;$F120,RUNS!$L$5:$S$5,0))),""))</f>
        <v/>
      </c>
      <c r="L120" s="33">
        <f>IF($D120="","",IFERROR(IF(INDEX(RUNS!$E$6:$E$1005,MATCH($D120,RUNS!$A$6:$A$1005,0))="","",INDEX(RUNS!$E$6:$E$1005,MATCH($D120,RUNS!$A$6:$A$1005,0))),""))</f>
        <v/>
      </c>
      <c r="M120" s="33">
        <f>IF($D120="","",IFERROR(IF(INDEX(RUNS!$F$6:$F$1005,MATCH($D120,RUNS!$A$6:$A$1005,0))="","",INDEX(RUNS!$F$6:$F$1005,MATCH($D120,RUNS!$A$6:$A$1005,0))),""))</f>
        <v/>
      </c>
      <c r="N120" s="33">
        <f>IF($D120="","",IFERROR(IF(INDEX(RUNS!$G$6:$G$1005,MATCH($D120,RUNS!$A$6:$A$1005,0))="","",INDEX(RUNS!$G$6:$G$1005,MATCH($D120,RUNS!$A$6:$A$1005,0))),""))</f>
        <v/>
      </c>
      <c r="O120" s="33">
        <f>IF($D120="","",IFERROR(IF(INDEX(RUNS!$H$6:$H$1005,MATCH($D120,RUNS!$A$6:$A$1005,0))="","",INDEX(RUNS!$H$6:$H$1005,MATCH($D120,RUNS!$A$6:$A$1005,0))),""))</f>
        <v/>
      </c>
      <c r="P120" s="33">
        <f>IF($D120="","",IFERROR(IF(INDEX(RUNS!$J$6:$J$1005,MATCH($D120,RUNS!$A$6:$A$1005,0))="","",INDEX(RUNS!$J$6:$J$1005,MATCH($D120,RUNS!$A$6:$A$1005,0))),""))</f>
        <v/>
      </c>
      <c r="Q120" s="33">
        <f>IF($D120="","",IFERROR(IF(INDEX(RUNS!$K$6:$K$1005,MATCH($D120,RUNS!$A$6:$A$1005,0))="","",INDEX(RUNS!$K$6:$K$1005,MATCH($D120,RUNS!$A$6:$A$1005,0))),""))</f>
        <v/>
      </c>
      <c r="R120" s="34">
        <f>IF(OR($L120="",$K120=""),"",IFERROR(IF(INDEX(PARAMETRES!$H$43:$H$342,MATCH($L120&amp;"|"&amp;$M120&amp;"|"&amp;$N120&amp;"|"&amp;$O120&amp;"|"&amp;$P120&amp;"|"&amp;$Q120&amp;"|"&amp;$K120,PARAMETRES!$J$43:$J$342,0))="","",INDEX(PARAMETRES!$H$43:$H$342,MATCH($L120&amp;"|"&amp;$M120&amp;"|"&amp;$N120&amp;"|"&amp;$O120&amp;"|"&amp;$P120&amp;"|"&amp;$Q120&amp;"|"&amp;$K120,PARAMETRES!$J$43:$J$342,0))),""))</f>
        <v/>
      </c>
      <c r="S120" s="35">
        <f>IF(OR($G120="",$X120&lt;&gt;"VALIDE"),"",IFERROR(LOOKUP(2,1/(($B$3:$B119=$B120)*($G$3:$G119=$G120)*($X$3:$X119="VALIDE")),$C$3:$C119),""))</f>
        <v/>
      </c>
      <c r="T120" s="36">
        <f>IF(OR($C120="",$S120=""),"",ROUND(($C120-$S120+IF($C120&lt;$S120,1,0))*1440,0))</f>
        <v/>
      </c>
      <c r="U120" s="22">
        <f>IF(OR($H120="",$T120="",$T120&lt;=0),"",$H120*60/$T120)</f>
        <v/>
      </c>
      <c r="V120" s="37">
        <f>IF(OR($U120="",$R120="",$R120=0),"",$U120/$R120)</f>
        <v/>
      </c>
      <c r="W120" s="20">
        <f>IF($G120="","",IF($X120="CONTEXTE INCOMPLET","CONTEXTE INCOMPLET",IF($X120="DOUBLON",StatutDoublon,IF($S120="",StatutInitial,IF($R120="",StatutStandardManquant,IF($V120="","DONNEES INSUFFISANTES",IF($V120&gt;=SeuilConforme,StatutConforme,IF($V120&gt;=SeuilSurveiller,StatutSurveiller,StatutSousStandard))))))))</f>
        <v/>
      </c>
      <c r="X120" s="33">
        <f>IF($G120="","",IF(OR($D120="",$E120="",$F120=""),"CONTEXTE INCOMPLET",IF(COUNTIFS($D$3:$D119,$D120,$E$3:$E119,$E120,$F$3:$F119,$F120,$G$3:$G119,$G120)&gt;0,"DOUBLON","VALIDE")))</f>
        <v/>
      </c>
    </row>
    <row r="121" ht="15" customHeight="1">
      <c r="A121" s="12">
        <f>IF(OR($B121="",$G121=""),"",TEXT($B121,"YYYYMMDD")&amp;"-"&amp;SUBSTITUTE($E121," ","")&amp;"-"&amp;$F121&amp;"-"&amp;$G121)</f>
        <v/>
      </c>
      <c r="B121" s="15" t="n"/>
      <c r="C121" s="16" t="n"/>
      <c r="D121" s="10" t="n"/>
      <c r="E121" s="9" t="n"/>
      <c r="F121" s="9" t="n"/>
      <c r="G121" s="13" t="n"/>
      <c r="H121" s="21" t="n"/>
      <c r="I121" s="21" t="n"/>
      <c r="J121" s="17">
        <f>IF($G121="","",IFERROR(INDEX(NomsEmployes,MATCH($G121,MatriculesEmployes,0)),"MATRICULE INCONNU"))</f>
        <v/>
      </c>
      <c r="K121" s="33">
        <f>IF(OR($D121="",$F121=""),"",IFERROR(IF(INDEX(RUNS!$L$6:$S$1005,MATCH($D121,RUNS!$A$6:$A$1005,0),MATCH("ACTIVITÉ "&amp;$F121,RUNS!$L$5:$S$5,0))="","",INDEX(RUNS!$L$6:$S$1005,MATCH($D121,RUNS!$A$6:$A$1005,0),MATCH("ACTIVITÉ "&amp;$F121,RUNS!$L$5:$S$5,0))),""))</f>
        <v/>
      </c>
      <c r="L121" s="33">
        <f>IF($D121="","",IFERROR(IF(INDEX(RUNS!$E$6:$E$1005,MATCH($D121,RUNS!$A$6:$A$1005,0))="","",INDEX(RUNS!$E$6:$E$1005,MATCH($D121,RUNS!$A$6:$A$1005,0))),""))</f>
        <v/>
      </c>
      <c r="M121" s="33">
        <f>IF($D121="","",IFERROR(IF(INDEX(RUNS!$F$6:$F$1005,MATCH($D121,RUNS!$A$6:$A$1005,0))="","",INDEX(RUNS!$F$6:$F$1005,MATCH($D121,RUNS!$A$6:$A$1005,0))),""))</f>
        <v/>
      </c>
      <c r="N121" s="33">
        <f>IF($D121="","",IFERROR(IF(INDEX(RUNS!$G$6:$G$1005,MATCH($D121,RUNS!$A$6:$A$1005,0))="","",INDEX(RUNS!$G$6:$G$1005,MATCH($D121,RUNS!$A$6:$A$1005,0))),""))</f>
        <v/>
      </c>
      <c r="O121" s="33">
        <f>IF($D121="","",IFERROR(IF(INDEX(RUNS!$H$6:$H$1005,MATCH($D121,RUNS!$A$6:$A$1005,0))="","",INDEX(RUNS!$H$6:$H$1005,MATCH($D121,RUNS!$A$6:$A$1005,0))),""))</f>
        <v/>
      </c>
      <c r="P121" s="33">
        <f>IF($D121="","",IFERROR(IF(INDEX(RUNS!$J$6:$J$1005,MATCH($D121,RUNS!$A$6:$A$1005,0))="","",INDEX(RUNS!$J$6:$J$1005,MATCH($D121,RUNS!$A$6:$A$1005,0))),""))</f>
        <v/>
      </c>
      <c r="Q121" s="33">
        <f>IF($D121="","",IFERROR(IF(INDEX(RUNS!$K$6:$K$1005,MATCH($D121,RUNS!$A$6:$A$1005,0))="","",INDEX(RUNS!$K$6:$K$1005,MATCH($D121,RUNS!$A$6:$A$1005,0))),""))</f>
        <v/>
      </c>
      <c r="R121" s="34">
        <f>IF(OR($L121="",$K121=""),"",IFERROR(IF(INDEX(PARAMETRES!$H$43:$H$342,MATCH($L121&amp;"|"&amp;$M121&amp;"|"&amp;$N121&amp;"|"&amp;$O121&amp;"|"&amp;$P121&amp;"|"&amp;$Q121&amp;"|"&amp;$K121,PARAMETRES!$J$43:$J$342,0))="","",INDEX(PARAMETRES!$H$43:$H$342,MATCH($L121&amp;"|"&amp;$M121&amp;"|"&amp;$N121&amp;"|"&amp;$O121&amp;"|"&amp;$P121&amp;"|"&amp;$Q121&amp;"|"&amp;$K121,PARAMETRES!$J$43:$J$342,0))),""))</f>
        <v/>
      </c>
      <c r="S121" s="35">
        <f>IF(OR($G121="",$X121&lt;&gt;"VALIDE"),"",IFERROR(LOOKUP(2,1/(($B$3:$B120=$B121)*($G$3:$G120=$G121)*($X$3:$X120="VALIDE")),$C$3:$C120),""))</f>
        <v/>
      </c>
      <c r="T121" s="36">
        <f>IF(OR($C121="",$S121=""),"",ROUND(($C121-$S121+IF($C121&lt;$S121,1,0))*1440,0))</f>
        <v/>
      </c>
      <c r="U121" s="22">
        <f>IF(OR($H121="",$T121="",$T121&lt;=0),"",$H121*60/$T121)</f>
        <v/>
      </c>
      <c r="V121" s="37">
        <f>IF(OR($U121="",$R121="",$R121=0),"",$U121/$R121)</f>
        <v/>
      </c>
      <c r="W121" s="20">
        <f>IF($G121="","",IF($X121="CONTEXTE INCOMPLET","CONTEXTE INCOMPLET",IF($X121="DOUBLON",StatutDoublon,IF($S121="",StatutInitial,IF($R121="",StatutStandardManquant,IF($V121="","DONNEES INSUFFISANTES",IF($V121&gt;=SeuilConforme,StatutConforme,IF($V121&gt;=SeuilSurveiller,StatutSurveiller,StatutSousStandard))))))))</f>
        <v/>
      </c>
      <c r="X121" s="33">
        <f>IF($G121="","",IF(OR($D121="",$E121="",$F121=""),"CONTEXTE INCOMPLET",IF(COUNTIFS($D$3:$D120,$D121,$E$3:$E120,$E121,$F$3:$F120,$F121,$G$3:$G120,$G121)&gt;0,"DOUBLON","VALIDE")))</f>
        <v/>
      </c>
    </row>
    <row r="122" ht="15" customHeight="1">
      <c r="A122" s="12">
        <f>IF(OR($B122="",$G122=""),"",TEXT($B122,"YYYYMMDD")&amp;"-"&amp;SUBSTITUTE($E122," ","")&amp;"-"&amp;$F122&amp;"-"&amp;$G122)</f>
        <v/>
      </c>
      <c r="B122" s="15" t="n"/>
      <c r="C122" s="16" t="n"/>
      <c r="D122" s="10" t="n"/>
      <c r="E122" s="9" t="n"/>
      <c r="F122" s="9" t="n"/>
      <c r="G122" s="13" t="n"/>
      <c r="H122" s="21" t="n"/>
      <c r="I122" s="21" t="n"/>
      <c r="J122" s="17">
        <f>IF($G122="","",IFERROR(INDEX(NomsEmployes,MATCH($G122,MatriculesEmployes,0)),"MATRICULE INCONNU"))</f>
        <v/>
      </c>
      <c r="K122" s="33">
        <f>IF(OR($D122="",$F122=""),"",IFERROR(IF(INDEX(RUNS!$L$6:$S$1005,MATCH($D122,RUNS!$A$6:$A$1005,0),MATCH("ACTIVITÉ "&amp;$F122,RUNS!$L$5:$S$5,0))="","",INDEX(RUNS!$L$6:$S$1005,MATCH($D122,RUNS!$A$6:$A$1005,0),MATCH("ACTIVITÉ "&amp;$F122,RUNS!$L$5:$S$5,0))),""))</f>
        <v/>
      </c>
      <c r="L122" s="33">
        <f>IF($D122="","",IFERROR(IF(INDEX(RUNS!$E$6:$E$1005,MATCH($D122,RUNS!$A$6:$A$1005,0))="","",INDEX(RUNS!$E$6:$E$1005,MATCH($D122,RUNS!$A$6:$A$1005,0))),""))</f>
        <v/>
      </c>
      <c r="M122" s="33">
        <f>IF($D122="","",IFERROR(IF(INDEX(RUNS!$F$6:$F$1005,MATCH($D122,RUNS!$A$6:$A$1005,0))="","",INDEX(RUNS!$F$6:$F$1005,MATCH($D122,RUNS!$A$6:$A$1005,0))),""))</f>
        <v/>
      </c>
      <c r="N122" s="33">
        <f>IF($D122="","",IFERROR(IF(INDEX(RUNS!$G$6:$G$1005,MATCH($D122,RUNS!$A$6:$A$1005,0))="","",INDEX(RUNS!$G$6:$G$1005,MATCH($D122,RUNS!$A$6:$A$1005,0))),""))</f>
        <v/>
      </c>
      <c r="O122" s="33">
        <f>IF($D122="","",IFERROR(IF(INDEX(RUNS!$H$6:$H$1005,MATCH($D122,RUNS!$A$6:$A$1005,0))="","",INDEX(RUNS!$H$6:$H$1005,MATCH($D122,RUNS!$A$6:$A$1005,0))),""))</f>
        <v/>
      </c>
      <c r="P122" s="33">
        <f>IF($D122="","",IFERROR(IF(INDEX(RUNS!$J$6:$J$1005,MATCH($D122,RUNS!$A$6:$A$1005,0))="","",INDEX(RUNS!$J$6:$J$1005,MATCH($D122,RUNS!$A$6:$A$1005,0))),""))</f>
        <v/>
      </c>
      <c r="Q122" s="33">
        <f>IF($D122="","",IFERROR(IF(INDEX(RUNS!$K$6:$K$1005,MATCH($D122,RUNS!$A$6:$A$1005,0))="","",INDEX(RUNS!$K$6:$K$1005,MATCH($D122,RUNS!$A$6:$A$1005,0))),""))</f>
        <v/>
      </c>
      <c r="R122" s="34">
        <f>IF(OR($L122="",$K122=""),"",IFERROR(IF(INDEX(PARAMETRES!$H$43:$H$342,MATCH($L122&amp;"|"&amp;$M122&amp;"|"&amp;$N122&amp;"|"&amp;$O122&amp;"|"&amp;$P122&amp;"|"&amp;$Q122&amp;"|"&amp;$K122,PARAMETRES!$J$43:$J$342,0))="","",INDEX(PARAMETRES!$H$43:$H$342,MATCH($L122&amp;"|"&amp;$M122&amp;"|"&amp;$N122&amp;"|"&amp;$O122&amp;"|"&amp;$P122&amp;"|"&amp;$Q122&amp;"|"&amp;$K122,PARAMETRES!$J$43:$J$342,0))),""))</f>
        <v/>
      </c>
      <c r="S122" s="35">
        <f>IF(OR($G122="",$X122&lt;&gt;"VALIDE"),"",IFERROR(LOOKUP(2,1/(($B$3:$B121=$B122)*($G$3:$G121=$G122)*($X$3:$X121="VALIDE")),$C$3:$C121),""))</f>
        <v/>
      </c>
      <c r="T122" s="36">
        <f>IF(OR($C122="",$S122=""),"",ROUND(($C122-$S122+IF($C122&lt;$S122,1,0))*1440,0))</f>
        <v/>
      </c>
      <c r="U122" s="22">
        <f>IF(OR($H122="",$T122="",$T122&lt;=0),"",$H122*60/$T122)</f>
        <v/>
      </c>
      <c r="V122" s="37">
        <f>IF(OR($U122="",$R122="",$R122=0),"",$U122/$R122)</f>
        <v/>
      </c>
      <c r="W122" s="20">
        <f>IF($G122="","",IF($X122="CONTEXTE INCOMPLET","CONTEXTE INCOMPLET",IF($X122="DOUBLON",StatutDoublon,IF($S122="",StatutInitial,IF($R122="",StatutStandardManquant,IF($V122="","DONNEES INSUFFISANTES",IF($V122&gt;=SeuilConforme,StatutConforme,IF($V122&gt;=SeuilSurveiller,StatutSurveiller,StatutSousStandard))))))))</f>
        <v/>
      </c>
      <c r="X122" s="33">
        <f>IF($G122="","",IF(OR($D122="",$E122="",$F122=""),"CONTEXTE INCOMPLET",IF(COUNTIFS($D$3:$D121,$D122,$E$3:$E121,$E122,$F$3:$F121,$F122,$G$3:$G121,$G122)&gt;0,"DOUBLON","VALIDE")))</f>
        <v/>
      </c>
    </row>
    <row r="123" ht="15" customHeight="1">
      <c r="A123" s="12">
        <f>IF(OR($B123="",$G123=""),"",TEXT($B123,"YYYYMMDD")&amp;"-"&amp;SUBSTITUTE($E123," ","")&amp;"-"&amp;$F123&amp;"-"&amp;$G123)</f>
        <v/>
      </c>
      <c r="B123" s="15" t="n"/>
      <c r="C123" s="16" t="n"/>
      <c r="D123" s="10" t="n"/>
      <c r="E123" s="9" t="n"/>
      <c r="F123" s="9" t="n"/>
      <c r="G123" s="13" t="n"/>
      <c r="H123" s="21" t="n"/>
      <c r="I123" s="21" t="n"/>
      <c r="J123" s="17">
        <f>IF($G123="","",IFERROR(INDEX(NomsEmployes,MATCH($G123,MatriculesEmployes,0)),"MATRICULE INCONNU"))</f>
        <v/>
      </c>
      <c r="K123" s="33">
        <f>IF(OR($D123="",$F123=""),"",IFERROR(IF(INDEX(RUNS!$L$6:$S$1005,MATCH($D123,RUNS!$A$6:$A$1005,0),MATCH("ACTIVITÉ "&amp;$F123,RUNS!$L$5:$S$5,0))="","",INDEX(RUNS!$L$6:$S$1005,MATCH($D123,RUNS!$A$6:$A$1005,0),MATCH("ACTIVITÉ "&amp;$F123,RUNS!$L$5:$S$5,0))),""))</f>
        <v/>
      </c>
      <c r="L123" s="33">
        <f>IF($D123="","",IFERROR(IF(INDEX(RUNS!$E$6:$E$1005,MATCH($D123,RUNS!$A$6:$A$1005,0))="","",INDEX(RUNS!$E$6:$E$1005,MATCH($D123,RUNS!$A$6:$A$1005,0))),""))</f>
        <v/>
      </c>
      <c r="M123" s="33">
        <f>IF($D123="","",IFERROR(IF(INDEX(RUNS!$F$6:$F$1005,MATCH($D123,RUNS!$A$6:$A$1005,0))="","",INDEX(RUNS!$F$6:$F$1005,MATCH($D123,RUNS!$A$6:$A$1005,0))),""))</f>
        <v/>
      </c>
      <c r="N123" s="33">
        <f>IF($D123="","",IFERROR(IF(INDEX(RUNS!$G$6:$G$1005,MATCH($D123,RUNS!$A$6:$A$1005,0))="","",INDEX(RUNS!$G$6:$G$1005,MATCH($D123,RUNS!$A$6:$A$1005,0))),""))</f>
        <v/>
      </c>
      <c r="O123" s="33">
        <f>IF($D123="","",IFERROR(IF(INDEX(RUNS!$H$6:$H$1005,MATCH($D123,RUNS!$A$6:$A$1005,0))="","",INDEX(RUNS!$H$6:$H$1005,MATCH($D123,RUNS!$A$6:$A$1005,0))),""))</f>
        <v/>
      </c>
      <c r="P123" s="33">
        <f>IF($D123="","",IFERROR(IF(INDEX(RUNS!$J$6:$J$1005,MATCH($D123,RUNS!$A$6:$A$1005,0))="","",INDEX(RUNS!$J$6:$J$1005,MATCH($D123,RUNS!$A$6:$A$1005,0))),""))</f>
        <v/>
      </c>
      <c r="Q123" s="33">
        <f>IF($D123="","",IFERROR(IF(INDEX(RUNS!$K$6:$K$1005,MATCH($D123,RUNS!$A$6:$A$1005,0))="","",INDEX(RUNS!$K$6:$K$1005,MATCH($D123,RUNS!$A$6:$A$1005,0))),""))</f>
        <v/>
      </c>
      <c r="R123" s="34">
        <f>IF(OR($L123="",$K123=""),"",IFERROR(IF(INDEX(PARAMETRES!$H$43:$H$342,MATCH($L123&amp;"|"&amp;$M123&amp;"|"&amp;$N123&amp;"|"&amp;$O123&amp;"|"&amp;$P123&amp;"|"&amp;$Q123&amp;"|"&amp;$K123,PARAMETRES!$J$43:$J$342,0))="","",INDEX(PARAMETRES!$H$43:$H$342,MATCH($L123&amp;"|"&amp;$M123&amp;"|"&amp;$N123&amp;"|"&amp;$O123&amp;"|"&amp;$P123&amp;"|"&amp;$Q123&amp;"|"&amp;$K123,PARAMETRES!$J$43:$J$342,0))),""))</f>
        <v/>
      </c>
      <c r="S123" s="35">
        <f>IF(OR($G123="",$X123&lt;&gt;"VALIDE"),"",IFERROR(LOOKUP(2,1/(($B$3:$B122=$B123)*($G$3:$G122=$G123)*($X$3:$X122="VALIDE")),$C$3:$C122),""))</f>
        <v/>
      </c>
      <c r="T123" s="36">
        <f>IF(OR($C123="",$S123=""),"",ROUND(($C123-$S123+IF($C123&lt;$S123,1,0))*1440,0))</f>
        <v/>
      </c>
      <c r="U123" s="22">
        <f>IF(OR($H123="",$T123="",$T123&lt;=0),"",$H123*60/$T123)</f>
        <v/>
      </c>
      <c r="V123" s="37">
        <f>IF(OR($U123="",$R123="",$R123=0),"",$U123/$R123)</f>
        <v/>
      </c>
      <c r="W123" s="20">
        <f>IF($G123="","",IF($X123="CONTEXTE INCOMPLET","CONTEXTE INCOMPLET",IF($X123="DOUBLON",StatutDoublon,IF($S123="",StatutInitial,IF($R123="",StatutStandardManquant,IF($V123="","DONNEES INSUFFISANTES",IF($V123&gt;=SeuilConforme,StatutConforme,IF($V123&gt;=SeuilSurveiller,StatutSurveiller,StatutSousStandard))))))))</f>
        <v/>
      </c>
      <c r="X123" s="33">
        <f>IF($G123="","",IF(OR($D123="",$E123="",$F123=""),"CONTEXTE INCOMPLET",IF(COUNTIFS($D$3:$D122,$D123,$E$3:$E122,$E123,$F$3:$F122,$F123,$G$3:$G122,$G123)&gt;0,"DOUBLON","VALIDE")))</f>
        <v/>
      </c>
    </row>
    <row r="124" ht="15" customHeight="1">
      <c r="A124" s="12">
        <f>IF(OR($B124="",$G124=""),"",TEXT($B124,"YYYYMMDD")&amp;"-"&amp;SUBSTITUTE($E124," ","")&amp;"-"&amp;$F124&amp;"-"&amp;$G124)</f>
        <v/>
      </c>
      <c r="B124" s="15" t="n"/>
      <c r="C124" s="16" t="n"/>
      <c r="D124" s="10" t="n"/>
      <c r="E124" s="9" t="n"/>
      <c r="F124" s="9" t="n"/>
      <c r="G124" s="13" t="n"/>
      <c r="H124" s="21" t="n"/>
      <c r="I124" s="21" t="n"/>
      <c r="J124" s="17">
        <f>IF($G124="","",IFERROR(INDEX(NomsEmployes,MATCH($G124,MatriculesEmployes,0)),"MATRICULE INCONNU"))</f>
        <v/>
      </c>
      <c r="K124" s="33">
        <f>IF(OR($D124="",$F124=""),"",IFERROR(IF(INDEX(RUNS!$L$6:$S$1005,MATCH($D124,RUNS!$A$6:$A$1005,0),MATCH("ACTIVITÉ "&amp;$F124,RUNS!$L$5:$S$5,0))="","",INDEX(RUNS!$L$6:$S$1005,MATCH($D124,RUNS!$A$6:$A$1005,0),MATCH("ACTIVITÉ "&amp;$F124,RUNS!$L$5:$S$5,0))),""))</f>
        <v/>
      </c>
      <c r="L124" s="33">
        <f>IF($D124="","",IFERROR(IF(INDEX(RUNS!$E$6:$E$1005,MATCH($D124,RUNS!$A$6:$A$1005,0))="","",INDEX(RUNS!$E$6:$E$1005,MATCH($D124,RUNS!$A$6:$A$1005,0))),""))</f>
        <v/>
      </c>
      <c r="M124" s="33">
        <f>IF($D124="","",IFERROR(IF(INDEX(RUNS!$F$6:$F$1005,MATCH($D124,RUNS!$A$6:$A$1005,0))="","",INDEX(RUNS!$F$6:$F$1005,MATCH($D124,RUNS!$A$6:$A$1005,0))),""))</f>
        <v/>
      </c>
      <c r="N124" s="33">
        <f>IF($D124="","",IFERROR(IF(INDEX(RUNS!$G$6:$G$1005,MATCH($D124,RUNS!$A$6:$A$1005,0))="","",INDEX(RUNS!$G$6:$G$1005,MATCH($D124,RUNS!$A$6:$A$1005,0))),""))</f>
        <v/>
      </c>
      <c r="O124" s="33">
        <f>IF($D124="","",IFERROR(IF(INDEX(RUNS!$H$6:$H$1005,MATCH($D124,RUNS!$A$6:$A$1005,0))="","",INDEX(RUNS!$H$6:$H$1005,MATCH($D124,RUNS!$A$6:$A$1005,0))),""))</f>
        <v/>
      </c>
      <c r="P124" s="33">
        <f>IF($D124="","",IFERROR(IF(INDEX(RUNS!$J$6:$J$1005,MATCH($D124,RUNS!$A$6:$A$1005,0))="","",INDEX(RUNS!$J$6:$J$1005,MATCH($D124,RUNS!$A$6:$A$1005,0))),""))</f>
        <v/>
      </c>
      <c r="Q124" s="33">
        <f>IF($D124="","",IFERROR(IF(INDEX(RUNS!$K$6:$K$1005,MATCH($D124,RUNS!$A$6:$A$1005,0))="","",INDEX(RUNS!$K$6:$K$1005,MATCH($D124,RUNS!$A$6:$A$1005,0))),""))</f>
        <v/>
      </c>
      <c r="R124" s="34">
        <f>IF(OR($L124="",$K124=""),"",IFERROR(IF(INDEX(PARAMETRES!$H$43:$H$342,MATCH($L124&amp;"|"&amp;$M124&amp;"|"&amp;$N124&amp;"|"&amp;$O124&amp;"|"&amp;$P124&amp;"|"&amp;$Q124&amp;"|"&amp;$K124,PARAMETRES!$J$43:$J$342,0))="","",INDEX(PARAMETRES!$H$43:$H$342,MATCH($L124&amp;"|"&amp;$M124&amp;"|"&amp;$N124&amp;"|"&amp;$O124&amp;"|"&amp;$P124&amp;"|"&amp;$Q124&amp;"|"&amp;$K124,PARAMETRES!$J$43:$J$342,0))),""))</f>
        <v/>
      </c>
      <c r="S124" s="35">
        <f>IF(OR($G124="",$X124&lt;&gt;"VALIDE"),"",IFERROR(LOOKUP(2,1/(($B$3:$B123=$B124)*($G$3:$G123=$G124)*($X$3:$X123="VALIDE")),$C$3:$C123),""))</f>
        <v/>
      </c>
      <c r="T124" s="36">
        <f>IF(OR($C124="",$S124=""),"",ROUND(($C124-$S124+IF($C124&lt;$S124,1,0))*1440,0))</f>
        <v/>
      </c>
      <c r="U124" s="22">
        <f>IF(OR($H124="",$T124="",$T124&lt;=0),"",$H124*60/$T124)</f>
        <v/>
      </c>
      <c r="V124" s="37">
        <f>IF(OR($U124="",$R124="",$R124=0),"",$U124/$R124)</f>
        <v/>
      </c>
      <c r="W124" s="20">
        <f>IF($G124="","",IF($X124="CONTEXTE INCOMPLET","CONTEXTE INCOMPLET",IF($X124="DOUBLON",StatutDoublon,IF($S124="",StatutInitial,IF($R124="",StatutStandardManquant,IF($V124="","DONNEES INSUFFISANTES",IF($V124&gt;=SeuilConforme,StatutConforme,IF($V124&gt;=SeuilSurveiller,StatutSurveiller,StatutSousStandard))))))))</f>
        <v/>
      </c>
      <c r="X124" s="33">
        <f>IF($G124="","",IF(OR($D124="",$E124="",$F124=""),"CONTEXTE INCOMPLET",IF(COUNTIFS($D$3:$D123,$D124,$E$3:$E123,$E124,$F$3:$F123,$F124,$G$3:$G123,$G124)&gt;0,"DOUBLON","VALIDE")))</f>
        <v/>
      </c>
    </row>
    <row r="125" ht="15" customHeight="1">
      <c r="A125" s="12">
        <f>IF(OR($B125="",$G125=""),"",TEXT($B125,"YYYYMMDD")&amp;"-"&amp;SUBSTITUTE($E125," ","")&amp;"-"&amp;$F125&amp;"-"&amp;$G125)</f>
        <v/>
      </c>
      <c r="B125" s="15" t="n"/>
      <c r="C125" s="16" t="n"/>
      <c r="D125" s="10" t="n"/>
      <c r="E125" s="9" t="n"/>
      <c r="F125" s="9" t="n"/>
      <c r="G125" s="13" t="n"/>
      <c r="H125" s="21" t="n"/>
      <c r="I125" s="21" t="n"/>
      <c r="J125" s="17">
        <f>IF($G125="","",IFERROR(INDEX(NomsEmployes,MATCH($G125,MatriculesEmployes,0)),"MATRICULE INCONNU"))</f>
        <v/>
      </c>
      <c r="K125" s="33">
        <f>IF(OR($D125="",$F125=""),"",IFERROR(IF(INDEX(RUNS!$L$6:$S$1005,MATCH($D125,RUNS!$A$6:$A$1005,0),MATCH("ACTIVITÉ "&amp;$F125,RUNS!$L$5:$S$5,0))="","",INDEX(RUNS!$L$6:$S$1005,MATCH($D125,RUNS!$A$6:$A$1005,0),MATCH("ACTIVITÉ "&amp;$F125,RUNS!$L$5:$S$5,0))),""))</f>
        <v/>
      </c>
      <c r="L125" s="33">
        <f>IF($D125="","",IFERROR(IF(INDEX(RUNS!$E$6:$E$1005,MATCH($D125,RUNS!$A$6:$A$1005,0))="","",INDEX(RUNS!$E$6:$E$1005,MATCH($D125,RUNS!$A$6:$A$1005,0))),""))</f>
        <v/>
      </c>
      <c r="M125" s="33">
        <f>IF($D125="","",IFERROR(IF(INDEX(RUNS!$F$6:$F$1005,MATCH($D125,RUNS!$A$6:$A$1005,0))="","",INDEX(RUNS!$F$6:$F$1005,MATCH($D125,RUNS!$A$6:$A$1005,0))),""))</f>
        <v/>
      </c>
      <c r="N125" s="33">
        <f>IF($D125="","",IFERROR(IF(INDEX(RUNS!$G$6:$G$1005,MATCH($D125,RUNS!$A$6:$A$1005,0))="","",INDEX(RUNS!$G$6:$G$1005,MATCH($D125,RUNS!$A$6:$A$1005,0))),""))</f>
        <v/>
      </c>
      <c r="O125" s="33">
        <f>IF($D125="","",IFERROR(IF(INDEX(RUNS!$H$6:$H$1005,MATCH($D125,RUNS!$A$6:$A$1005,0))="","",INDEX(RUNS!$H$6:$H$1005,MATCH($D125,RUNS!$A$6:$A$1005,0))),""))</f>
        <v/>
      </c>
      <c r="P125" s="33">
        <f>IF($D125="","",IFERROR(IF(INDEX(RUNS!$J$6:$J$1005,MATCH($D125,RUNS!$A$6:$A$1005,0))="","",INDEX(RUNS!$J$6:$J$1005,MATCH($D125,RUNS!$A$6:$A$1005,0))),""))</f>
        <v/>
      </c>
      <c r="Q125" s="33">
        <f>IF($D125="","",IFERROR(IF(INDEX(RUNS!$K$6:$K$1005,MATCH($D125,RUNS!$A$6:$A$1005,0))="","",INDEX(RUNS!$K$6:$K$1005,MATCH($D125,RUNS!$A$6:$A$1005,0))),""))</f>
        <v/>
      </c>
      <c r="R125" s="34">
        <f>IF(OR($L125="",$K125=""),"",IFERROR(IF(INDEX(PARAMETRES!$H$43:$H$342,MATCH($L125&amp;"|"&amp;$M125&amp;"|"&amp;$N125&amp;"|"&amp;$O125&amp;"|"&amp;$P125&amp;"|"&amp;$Q125&amp;"|"&amp;$K125,PARAMETRES!$J$43:$J$342,0))="","",INDEX(PARAMETRES!$H$43:$H$342,MATCH($L125&amp;"|"&amp;$M125&amp;"|"&amp;$N125&amp;"|"&amp;$O125&amp;"|"&amp;$P125&amp;"|"&amp;$Q125&amp;"|"&amp;$K125,PARAMETRES!$J$43:$J$342,0))),""))</f>
        <v/>
      </c>
      <c r="S125" s="35">
        <f>IF(OR($G125="",$X125&lt;&gt;"VALIDE"),"",IFERROR(LOOKUP(2,1/(($B$3:$B124=$B125)*($G$3:$G124=$G125)*($X$3:$X124="VALIDE")),$C$3:$C124),""))</f>
        <v/>
      </c>
      <c r="T125" s="36">
        <f>IF(OR($C125="",$S125=""),"",ROUND(($C125-$S125+IF($C125&lt;$S125,1,0))*1440,0))</f>
        <v/>
      </c>
      <c r="U125" s="22">
        <f>IF(OR($H125="",$T125="",$T125&lt;=0),"",$H125*60/$T125)</f>
        <v/>
      </c>
      <c r="V125" s="37">
        <f>IF(OR($U125="",$R125="",$R125=0),"",$U125/$R125)</f>
        <v/>
      </c>
      <c r="W125" s="20">
        <f>IF($G125="","",IF($X125="CONTEXTE INCOMPLET","CONTEXTE INCOMPLET",IF($X125="DOUBLON",StatutDoublon,IF($S125="",StatutInitial,IF($R125="",StatutStandardManquant,IF($V125="","DONNEES INSUFFISANTES",IF($V125&gt;=SeuilConforme,StatutConforme,IF($V125&gt;=SeuilSurveiller,StatutSurveiller,StatutSousStandard))))))))</f>
        <v/>
      </c>
      <c r="X125" s="33">
        <f>IF($G125="","",IF(OR($D125="",$E125="",$F125=""),"CONTEXTE INCOMPLET",IF(COUNTIFS($D$3:$D124,$D125,$E$3:$E124,$E125,$F$3:$F124,$F125,$G$3:$G124,$G125)&gt;0,"DOUBLON","VALIDE")))</f>
        <v/>
      </c>
    </row>
    <row r="126" ht="15" customHeight="1">
      <c r="A126" s="12">
        <f>IF(OR($B126="",$G126=""),"",TEXT($B126,"YYYYMMDD")&amp;"-"&amp;SUBSTITUTE($E126," ","")&amp;"-"&amp;$F126&amp;"-"&amp;$G126)</f>
        <v/>
      </c>
      <c r="B126" s="15" t="n"/>
      <c r="C126" s="16" t="n"/>
      <c r="D126" s="10" t="n"/>
      <c r="E126" s="9" t="n"/>
      <c r="F126" s="9" t="n"/>
      <c r="G126" s="13" t="n"/>
      <c r="H126" s="21" t="n"/>
      <c r="I126" s="21" t="n"/>
      <c r="J126" s="17">
        <f>IF($G126="","",IFERROR(INDEX(NomsEmployes,MATCH($G126,MatriculesEmployes,0)),"MATRICULE INCONNU"))</f>
        <v/>
      </c>
      <c r="K126" s="33">
        <f>IF(OR($D126="",$F126=""),"",IFERROR(IF(INDEX(RUNS!$L$6:$S$1005,MATCH($D126,RUNS!$A$6:$A$1005,0),MATCH("ACTIVITÉ "&amp;$F126,RUNS!$L$5:$S$5,0))="","",INDEX(RUNS!$L$6:$S$1005,MATCH($D126,RUNS!$A$6:$A$1005,0),MATCH("ACTIVITÉ "&amp;$F126,RUNS!$L$5:$S$5,0))),""))</f>
        <v/>
      </c>
      <c r="L126" s="33">
        <f>IF($D126="","",IFERROR(IF(INDEX(RUNS!$E$6:$E$1005,MATCH($D126,RUNS!$A$6:$A$1005,0))="","",INDEX(RUNS!$E$6:$E$1005,MATCH($D126,RUNS!$A$6:$A$1005,0))),""))</f>
        <v/>
      </c>
      <c r="M126" s="33">
        <f>IF($D126="","",IFERROR(IF(INDEX(RUNS!$F$6:$F$1005,MATCH($D126,RUNS!$A$6:$A$1005,0))="","",INDEX(RUNS!$F$6:$F$1005,MATCH($D126,RUNS!$A$6:$A$1005,0))),""))</f>
        <v/>
      </c>
      <c r="N126" s="33">
        <f>IF($D126="","",IFERROR(IF(INDEX(RUNS!$G$6:$G$1005,MATCH($D126,RUNS!$A$6:$A$1005,0))="","",INDEX(RUNS!$G$6:$G$1005,MATCH($D126,RUNS!$A$6:$A$1005,0))),""))</f>
        <v/>
      </c>
      <c r="O126" s="33">
        <f>IF($D126="","",IFERROR(IF(INDEX(RUNS!$H$6:$H$1005,MATCH($D126,RUNS!$A$6:$A$1005,0))="","",INDEX(RUNS!$H$6:$H$1005,MATCH($D126,RUNS!$A$6:$A$1005,0))),""))</f>
        <v/>
      </c>
      <c r="P126" s="33">
        <f>IF($D126="","",IFERROR(IF(INDEX(RUNS!$J$6:$J$1005,MATCH($D126,RUNS!$A$6:$A$1005,0))="","",INDEX(RUNS!$J$6:$J$1005,MATCH($D126,RUNS!$A$6:$A$1005,0))),""))</f>
        <v/>
      </c>
      <c r="Q126" s="33">
        <f>IF($D126="","",IFERROR(IF(INDEX(RUNS!$K$6:$K$1005,MATCH($D126,RUNS!$A$6:$A$1005,0))="","",INDEX(RUNS!$K$6:$K$1005,MATCH($D126,RUNS!$A$6:$A$1005,0))),""))</f>
        <v/>
      </c>
      <c r="R126" s="34">
        <f>IF(OR($L126="",$K126=""),"",IFERROR(IF(INDEX(PARAMETRES!$H$43:$H$342,MATCH($L126&amp;"|"&amp;$M126&amp;"|"&amp;$N126&amp;"|"&amp;$O126&amp;"|"&amp;$P126&amp;"|"&amp;$Q126&amp;"|"&amp;$K126,PARAMETRES!$J$43:$J$342,0))="","",INDEX(PARAMETRES!$H$43:$H$342,MATCH($L126&amp;"|"&amp;$M126&amp;"|"&amp;$N126&amp;"|"&amp;$O126&amp;"|"&amp;$P126&amp;"|"&amp;$Q126&amp;"|"&amp;$K126,PARAMETRES!$J$43:$J$342,0))),""))</f>
        <v/>
      </c>
      <c r="S126" s="35">
        <f>IF(OR($G126="",$X126&lt;&gt;"VALIDE"),"",IFERROR(LOOKUP(2,1/(($B$3:$B125=$B126)*($G$3:$G125=$G126)*($X$3:$X125="VALIDE")),$C$3:$C125),""))</f>
        <v/>
      </c>
      <c r="T126" s="36">
        <f>IF(OR($C126="",$S126=""),"",ROUND(($C126-$S126+IF($C126&lt;$S126,1,0))*1440,0))</f>
        <v/>
      </c>
      <c r="U126" s="22">
        <f>IF(OR($H126="",$T126="",$T126&lt;=0),"",$H126*60/$T126)</f>
        <v/>
      </c>
      <c r="V126" s="37">
        <f>IF(OR($U126="",$R126="",$R126=0),"",$U126/$R126)</f>
        <v/>
      </c>
      <c r="W126" s="20">
        <f>IF($G126="","",IF($X126="CONTEXTE INCOMPLET","CONTEXTE INCOMPLET",IF($X126="DOUBLON",StatutDoublon,IF($S126="",StatutInitial,IF($R126="",StatutStandardManquant,IF($V126="","DONNEES INSUFFISANTES",IF($V126&gt;=SeuilConforme,StatutConforme,IF($V126&gt;=SeuilSurveiller,StatutSurveiller,StatutSousStandard))))))))</f>
        <v/>
      </c>
      <c r="X126" s="33">
        <f>IF($G126="","",IF(OR($D126="",$E126="",$F126=""),"CONTEXTE INCOMPLET",IF(COUNTIFS($D$3:$D125,$D126,$E$3:$E125,$E126,$F$3:$F125,$F126,$G$3:$G125,$G126)&gt;0,"DOUBLON","VALIDE")))</f>
        <v/>
      </c>
    </row>
    <row r="127" ht="15" customHeight="1">
      <c r="A127" s="12">
        <f>IF(OR($B127="",$G127=""),"",TEXT($B127,"YYYYMMDD")&amp;"-"&amp;SUBSTITUTE($E127," ","")&amp;"-"&amp;$F127&amp;"-"&amp;$G127)</f>
        <v/>
      </c>
      <c r="B127" s="15" t="n"/>
      <c r="C127" s="16" t="n"/>
      <c r="D127" s="10" t="n"/>
      <c r="E127" s="9" t="n"/>
      <c r="F127" s="9" t="n"/>
      <c r="G127" s="13" t="n"/>
      <c r="H127" s="21" t="n"/>
      <c r="I127" s="21" t="n"/>
      <c r="J127" s="17">
        <f>IF($G127="","",IFERROR(INDEX(NomsEmployes,MATCH($G127,MatriculesEmployes,0)),"MATRICULE INCONNU"))</f>
        <v/>
      </c>
      <c r="K127" s="33">
        <f>IF(OR($D127="",$F127=""),"",IFERROR(IF(INDEX(RUNS!$L$6:$S$1005,MATCH($D127,RUNS!$A$6:$A$1005,0),MATCH("ACTIVITÉ "&amp;$F127,RUNS!$L$5:$S$5,0))="","",INDEX(RUNS!$L$6:$S$1005,MATCH($D127,RUNS!$A$6:$A$1005,0),MATCH("ACTIVITÉ "&amp;$F127,RUNS!$L$5:$S$5,0))),""))</f>
        <v/>
      </c>
      <c r="L127" s="33">
        <f>IF($D127="","",IFERROR(IF(INDEX(RUNS!$E$6:$E$1005,MATCH($D127,RUNS!$A$6:$A$1005,0))="","",INDEX(RUNS!$E$6:$E$1005,MATCH($D127,RUNS!$A$6:$A$1005,0))),""))</f>
        <v/>
      </c>
      <c r="M127" s="33">
        <f>IF($D127="","",IFERROR(IF(INDEX(RUNS!$F$6:$F$1005,MATCH($D127,RUNS!$A$6:$A$1005,0))="","",INDEX(RUNS!$F$6:$F$1005,MATCH($D127,RUNS!$A$6:$A$1005,0))),""))</f>
        <v/>
      </c>
      <c r="N127" s="33">
        <f>IF($D127="","",IFERROR(IF(INDEX(RUNS!$G$6:$G$1005,MATCH($D127,RUNS!$A$6:$A$1005,0))="","",INDEX(RUNS!$G$6:$G$1005,MATCH($D127,RUNS!$A$6:$A$1005,0))),""))</f>
        <v/>
      </c>
      <c r="O127" s="33">
        <f>IF($D127="","",IFERROR(IF(INDEX(RUNS!$H$6:$H$1005,MATCH($D127,RUNS!$A$6:$A$1005,0))="","",INDEX(RUNS!$H$6:$H$1005,MATCH($D127,RUNS!$A$6:$A$1005,0))),""))</f>
        <v/>
      </c>
      <c r="P127" s="33">
        <f>IF($D127="","",IFERROR(IF(INDEX(RUNS!$J$6:$J$1005,MATCH($D127,RUNS!$A$6:$A$1005,0))="","",INDEX(RUNS!$J$6:$J$1005,MATCH($D127,RUNS!$A$6:$A$1005,0))),""))</f>
        <v/>
      </c>
      <c r="Q127" s="33">
        <f>IF($D127="","",IFERROR(IF(INDEX(RUNS!$K$6:$K$1005,MATCH($D127,RUNS!$A$6:$A$1005,0))="","",INDEX(RUNS!$K$6:$K$1005,MATCH($D127,RUNS!$A$6:$A$1005,0))),""))</f>
        <v/>
      </c>
      <c r="R127" s="34">
        <f>IF(OR($L127="",$K127=""),"",IFERROR(IF(INDEX(PARAMETRES!$H$43:$H$342,MATCH($L127&amp;"|"&amp;$M127&amp;"|"&amp;$N127&amp;"|"&amp;$O127&amp;"|"&amp;$P127&amp;"|"&amp;$Q127&amp;"|"&amp;$K127,PARAMETRES!$J$43:$J$342,0))="","",INDEX(PARAMETRES!$H$43:$H$342,MATCH($L127&amp;"|"&amp;$M127&amp;"|"&amp;$N127&amp;"|"&amp;$O127&amp;"|"&amp;$P127&amp;"|"&amp;$Q127&amp;"|"&amp;$K127,PARAMETRES!$J$43:$J$342,0))),""))</f>
        <v/>
      </c>
      <c r="S127" s="35">
        <f>IF(OR($G127="",$X127&lt;&gt;"VALIDE"),"",IFERROR(LOOKUP(2,1/(($B$3:$B126=$B127)*($G$3:$G126=$G127)*($X$3:$X126="VALIDE")),$C$3:$C126),""))</f>
        <v/>
      </c>
      <c r="T127" s="36">
        <f>IF(OR($C127="",$S127=""),"",ROUND(($C127-$S127+IF($C127&lt;$S127,1,0))*1440,0))</f>
        <v/>
      </c>
      <c r="U127" s="22">
        <f>IF(OR($H127="",$T127="",$T127&lt;=0),"",$H127*60/$T127)</f>
        <v/>
      </c>
      <c r="V127" s="37">
        <f>IF(OR($U127="",$R127="",$R127=0),"",$U127/$R127)</f>
        <v/>
      </c>
      <c r="W127" s="20">
        <f>IF($G127="","",IF($X127="CONTEXTE INCOMPLET","CONTEXTE INCOMPLET",IF($X127="DOUBLON",StatutDoublon,IF($S127="",StatutInitial,IF($R127="",StatutStandardManquant,IF($V127="","DONNEES INSUFFISANTES",IF($V127&gt;=SeuilConforme,StatutConforme,IF($V127&gt;=SeuilSurveiller,StatutSurveiller,StatutSousStandard))))))))</f>
        <v/>
      </c>
      <c r="X127" s="33">
        <f>IF($G127="","",IF(OR($D127="",$E127="",$F127=""),"CONTEXTE INCOMPLET",IF(COUNTIFS($D$3:$D126,$D127,$E$3:$E126,$E127,$F$3:$F126,$F127,$G$3:$G126,$G127)&gt;0,"DOUBLON","VALIDE")))</f>
        <v/>
      </c>
    </row>
    <row r="128" ht="15" customHeight="1">
      <c r="A128" s="12">
        <f>IF(OR($B128="",$G128=""),"",TEXT($B128,"YYYYMMDD")&amp;"-"&amp;SUBSTITUTE($E128," ","")&amp;"-"&amp;$F128&amp;"-"&amp;$G128)</f>
        <v/>
      </c>
      <c r="B128" s="15" t="n"/>
      <c r="C128" s="16" t="n"/>
      <c r="D128" s="10" t="n"/>
      <c r="E128" s="9" t="n"/>
      <c r="F128" s="9" t="n"/>
      <c r="G128" s="13" t="n"/>
      <c r="H128" s="21" t="n"/>
      <c r="I128" s="21" t="n"/>
      <c r="J128" s="17">
        <f>IF($G128="","",IFERROR(INDEX(NomsEmployes,MATCH($G128,MatriculesEmployes,0)),"MATRICULE INCONNU"))</f>
        <v/>
      </c>
      <c r="K128" s="33">
        <f>IF(OR($D128="",$F128=""),"",IFERROR(IF(INDEX(RUNS!$L$6:$S$1005,MATCH($D128,RUNS!$A$6:$A$1005,0),MATCH("ACTIVITÉ "&amp;$F128,RUNS!$L$5:$S$5,0))="","",INDEX(RUNS!$L$6:$S$1005,MATCH($D128,RUNS!$A$6:$A$1005,0),MATCH("ACTIVITÉ "&amp;$F128,RUNS!$L$5:$S$5,0))),""))</f>
        <v/>
      </c>
      <c r="L128" s="33">
        <f>IF($D128="","",IFERROR(IF(INDEX(RUNS!$E$6:$E$1005,MATCH($D128,RUNS!$A$6:$A$1005,0))="","",INDEX(RUNS!$E$6:$E$1005,MATCH($D128,RUNS!$A$6:$A$1005,0))),""))</f>
        <v/>
      </c>
      <c r="M128" s="33">
        <f>IF($D128="","",IFERROR(IF(INDEX(RUNS!$F$6:$F$1005,MATCH($D128,RUNS!$A$6:$A$1005,0))="","",INDEX(RUNS!$F$6:$F$1005,MATCH($D128,RUNS!$A$6:$A$1005,0))),""))</f>
        <v/>
      </c>
      <c r="N128" s="33">
        <f>IF($D128="","",IFERROR(IF(INDEX(RUNS!$G$6:$G$1005,MATCH($D128,RUNS!$A$6:$A$1005,0))="","",INDEX(RUNS!$G$6:$G$1005,MATCH($D128,RUNS!$A$6:$A$1005,0))),""))</f>
        <v/>
      </c>
      <c r="O128" s="33">
        <f>IF($D128="","",IFERROR(IF(INDEX(RUNS!$H$6:$H$1005,MATCH($D128,RUNS!$A$6:$A$1005,0))="","",INDEX(RUNS!$H$6:$H$1005,MATCH($D128,RUNS!$A$6:$A$1005,0))),""))</f>
        <v/>
      </c>
      <c r="P128" s="33">
        <f>IF($D128="","",IFERROR(IF(INDEX(RUNS!$J$6:$J$1005,MATCH($D128,RUNS!$A$6:$A$1005,0))="","",INDEX(RUNS!$J$6:$J$1005,MATCH($D128,RUNS!$A$6:$A$1005,0))),""))</f>
        <v/>
      </c>
      <c r="Q128" s="33">
        <f>IF($D128="","",IFERROR(IF(INDEX(RUNS!$K$6:$K$1005,MATCH($D128,RUNS!$A$6:$A$1005,0))="","",INDEX(RUNS!$K$6:$K$1005,MATCH($D128,RUNS!$A$6:$A$1005,0))),""))</f>
        <v/>
      </c>
      <c r="R128" s="34">
        <f>IF(OR($L128="",$K128=""),"",IFERROR(IF(INDEX(PARAMETRES!$H$43:$H$342,MATCH($L128&amp;"|"&amp;$M128&amp;"|"&amp;$N128&amp;"|"&amp;$O128&amp;"|"&amp;$P128&amp;"|"&amp;$Q128&amp;"|"&amp;$K128,PARAMETRES!$J$43:$J$342,0))="","",INDEX(PARAMETRES!$H$43:$H$342,MATCH($L128&amp;"|"&amp;$M128&amp;"|"&amp;$N128&amp;"|"&amp;$O128&amp;"|"&amp;$P128&amp;"|"&amp;$Q128&amp;"|"&amp;$K128,PARAMETRES!$J$43:$J$342,0))),""))</f>
        <v/>
      </c>
      <c r="S128" s="35">
        <f>IF(OR($G128="",$X128&lt;&gt;"VALIDE"),"",IFERROR(LOOKUP(2,1/(($B$3:$B127=$B128)*($G$3:$G127=$G128)*($X$3:$X127="VALIDE")),$C$3:$C127),""))</f>
        <v/>
      </c>
      <c r="T128" s="36">
        <f>IF(OR($C128="",$S128=""),"",ROUND(($C128-$S128+IF($C128&lt;$S128,1,0))*1440,0))</f>
        <v/>
      </c>
      <c r="U128" s="22">
        <f>IF(OR($H128="",$T128="",$T128&lt;=0),"",$H128*60/$T128)</f>
        <v/>
      </c>
      <c r="V128" s="37">
        <f>IF(OR($U128="",$R128="",$R128=0),"",$U128/$R128)</f>
        <v/>
      </c>
      <c r="W128" s="20">
        <f>IF($G128="","",IF($X128="CONTEXTE INCOMPLET","CONTEXTE INCOMPLET",IF($X128="DOUBLON",StatutDoublon,IF($S128="",StatutInitial,IF($R128="",StatutStandardManquant,IF($V128="","DONNEES INSUFFISANTES",IF($V128&gt;=SeuilConforme,StatutConforme,IF($V128&gt;=SeuilSurveiller,StatutSurveiller,StatutSousStandard))))))))</f>
        <v/>
      </c>
      <c r="X128" s="33">
        <f>IF($G128="","",IF(OR($D128="",$E128="",$F128=""),"CONTEXTE INCOMPLET",IF(COUNTIFS($D$3:$D127,$D128,$E$3:$E127,$E128,$F$3:$F127,$F128,$G$3:$G127,$G128)&gt;0,"DOUBLON","VALIDE")))</f>
        <v/>
      </c>
    </row>
    <row r="129" ht="15" customHeight="1">
      <c r="A129" s="12">
        <f>IF(OR($B129="",$G129=""),"",TEXT($B129,"YYYYMMDD")&amp;"-"&amp;SUBSTITUTE($E129," ","")&amp;"-"&amp;$F129&amp;"-"&amp;$G129)</f>
        <v/>
      </c>
      <c r="B129" s="15" t="n"/>
      <c r="C129" s="16" t="n"/>
      <c r="D129" s="10" t="n"/>
      <c r="E129" s="9" t="n"/>
      <c r="F129" s="9" t="n"/>
      <c r="G129" s="13" t="n"/>
      <c r="H129" s="21" t="n"/>
      <c r="I129" s="21" t="n"/>
      <c r="J129" s="17">
        <f>IF($G129="","",IFERROR(INDEX(NomsEmployes,MATCH($G129,MatriculesEmployes,0)),"MATRICULE INCONNU"))</f>
        <v/>
      </c>
      <c r="K129" s="33">
        <f>IF(OR($D129="",$F129=""),"",IFERROR(IF(INDEX(RUNS!$L$6:$S$1005,MATCH($D129,RUNS!$A$6:$A$1005,0),MATCH("ACTIVITÉ "&amp;$F129,RUNS!$L$5:$S$5,0))="","",INDEX(RUNS!$L$6:$S$1005,MATCH($D129,RUNS!$A$6:$A$1005,0),MATCH("ACTIVITÉ "&amp;$F129,RUNS!$L$5:$S$5,0))),""))</f>
        <v/>
      </c>
      <c r="L129" s="33">
        <f>IF($D129="","",IFERROR(IF(INDEX(RUNS!$E$6:$E$1005,MATCH($D129,RUNS!$A$6:$A$1005,0))="","",INDEX(RUNS!$E$6:$E$1005,MATCH($D129,RUNS!$A$6:$A$1005,0))),""))</f>
        <v/>
      </c>
      <c r="M129" s="33">
        <f>IF($D129="","",IFERROR(IF(INDEX(RUNS!$F$6:$F$1005,MATCH($D129,RUNS!$A$6:$A$1005,0))="","",INDEX(RUNS!$F$6:$F$1005,MATCH($D129,RUNS!$A$6:$A$1005,0))),""))</f>
        <v/>
      </c>
      <c r="N129" s="33">
        <f>IF($D129="","",IFERROR(IF(INDEX(RUNS!$G$6:$G$1005,MATCH($D129,RUNS!$A$6:$A$1005,0))="","",INDEX(RUNS!$G$6:$G$1005,MATCH($D129,RUNS!$A$6:$A$1005,0))),""))</f>
        <v/>
      </c>
      <c r="O129" s="33">
        <f>IF($D129="","",IFERROR(IF(INDEX(RUNS!$H$6:$H$1005,MATCH($D129,RUNS!$A$6:$A$1005,0))="","",INDEX(RUNS!$H$6:$H$1005,MATCH($D129,RUNS!$A$6:$A$1005,0))),""))</f>
        <v/>
      </c>
      <c r="P129" s="33">
        <f>IF($D129="","",IFERROR(IF(INDEX(RUNS!$J$6:$J$1005,MATCH($D129,RUNS!$A$6:$A$1005,0))="","",INDEX(RUNS!$J$6:$J$1005,MATCH($D129,RUNS!$A$6:$A$1005,0))),""))</f>
        <v/>
      </c>
      <c r="Q129" s="33">
        <f>IF($D129="","",IFERROR(IF(INDEX(RUNS!$K$6:$K$1005,MATCH($D129,RUNS!$A$6:$A$1005,0))="","",INDEX(RUNS!$K$6:$K$1005,MATCH($D129,RUNS!$A$6:$A$1005,0))),""))</f>
        <v/>
      </c>
      <c r="R129" s="34">
        <f>IF(OR($L129="",$K129=""),"",IFERROR(IF(INDEX(PARAMETRES!$H$43:$H$342,MATCH($L129&amp;"|"&amp;$M129&amp;"|"&amp;$N129&amp;"|"&amp;$O129&amp;"|"&amp;$P129&amp;"|"&amp;$Q129&amp;"|"&amp;$K129,PARAMETRES!$J$43:$J$342,0))="","",INDEX(PARAMETRES!$H$43:$H$342,MATCH($L129&amp;"|"&amp;$M129&amp;"|"&amp;$N129&amp;"|"&amp;$O129&amp;"|"&amp;$P129&amp;"|"&amp;$Q129&amp;"|"&amp;$K129,PARAMETRES!$J$43:$J$342,0))),""))</f>
        <v/>
      </c>
      <c r="S129" s="35">
        <f>IF(OR($G129="",$X129&lt;&gt;"VALIDE"),"",IFERROR(LOOKUP(2,1/(($B$3:$B128=$B129)*($G$3:$G128=$G129)*($X$3:$X128="VALIDE")),$C$3:$C128),""))</f>
        <v/>
      </c>
      <c r="T129" s="36">
        <f>IF(OR($C129="",$S129=""),"",ROUND(($C129-$S129+IF($C129&lt;$S129,1,0))*1440,0))</f>
        <v/>
      </c>
      <c r="U129" s="22">
        <f>IF(OR($H129="",$T129="",$T129&lt;=0),"",$H129*60/$T129)</f>
        <v/>
      </c>
      <c r="V129" s="37">
        <f>IF(OR($U129="",$R129="",$R129=0),"",$U129/$R129)</f>
        <v/>
      </c>
      <c r="W129" s="20">
        <f>IF($G129="","",IF($X129="CONTEXTE INCOMPLET","CONTEXTE INCOMPLET",IF($X129="DOUBLON",StatutDoublon,IF($S129="",StatutInitial,IF($R129="",StatutStandardManquant,IF($V129="","DONNEES INSUFFISANTES",IF($V129&gt;=SeuilConforme,StatutConforme,IF($V129&gt;=SeuilSurveiller,StatutSurveiller,StatutSousStandard))))))))</f>
        <v/>
      </c>
      <c r="X129" s="33">
        <f>IF($G129="","",IF(OR($D129="",$E129="",$F129=""),"CONTEXTE INCOMPLET",IF(COUNTIFS($D$3:$D128,$D129,$E$3:$E128,$E129,$F$3:$F128,$F129,$G$3:$G128,$G129)&gt;0,"DOUBLON","VALIDE")))</f>
        <v/>
      </c>
    </row>
    <row r="130" ht="15" customHeight="1">
      <c r="A130" s="12">
        <f>IF(OR($B130="",$G130=""),"",TEXT($B130,"YYYYMMDD")&amp;"-"&amp;SUBSTITUTE($E130," ","")&amp;"-"&amp;$F130&amp;"-"&amp;$G130)</f>
        <v/>
      </c>
      <c r="B130" s="15" t="n"/>
      <c r="C130" s="16" t="n"/>
      <c r="D130" s="10" t="n"/>
      <c r="E130" s="9" t="n"/>
      <c r="F130" s="9" t="n"/>
      <c r="G130" s="13" t="n"/>
      <c r="H130" s="21" t="n"/>
      <c r="I130" s="21" t="n"/>
      <c r="J130" s="17">
        <f>IF($G130="","",IFERROR(INDEX(NomsEmployes,MATCH($G130,MatriculesEmployes,0)),"MATRICULE INCONNU"))</f>
        <v/>
      </c>
      <c r="K130" s="33">
        <f>IF(OR($D130="",$F130=""),"",IFERROR(IF(INDEX(RUNS!$L$6:$S$1005,MATCH($D130,RUNS!$A$6:$A$1005,0),MATCH("ACTIVITÉ "&amp;$F130,RUNS!$L$5:$S$5,0))="","",INDEX(RUNS!$L$6:$S$1005,MATCH($D130,RUNS!$A$6:$A$1005,0),MATCH("ACTIVITÉ "&amp;$F130,RUNS!$L$5:$S$5,0))),""))</f>
        <v/>
      </c>
      <c r="L130" s="33">
        <f>IF($D130="","",IFERROR(IF(INDEX(RUNS!$E$6:$E$1005,MATCH($D130,RUNS!$A$6:$A$1005,0))="","",INDEX(RUNS!$E$6:$E$1005,MATCH($D130,RUNS!$A$6:$A$1005,0))),""))</f>
        <v/>
      </c>
      <c r="M130" s="33">
        <f>IF($D130="","",IFERROR(IF(INDEX(RUNS!$F$6:$F$1005,MATCH($D130,RUNS!$A$6:$A$1005,0))="","",INDEX(RUNS!$F$6:$F$1005,MATCH($D130,RUNS!$A$6:$A$1005,0))),""))</f>
        <v/>
      </c>
      <c r="N130" s="33">
        <f>IF($D130="","",IFERROR(IF(INDEX(RUNS!$G$6:$G$1005,MATCH($D130,RUNS!$A$6:$A$1005,0))="","",INDEX(RUNS!$G$6:$G$1005,MATCH($D130,RUNS!$A$6:$A$1005,0))),""))</f>
        <v/>
      </c>
      <c r="O130" s="33">
        <f>IF($D130="","",IFERROR(IF(INDEX(RUNS!$H$6:$H$1005,MATCH($D130,RUNS!$A$6:$A$1005,0))="","",INDEX(RUNS!$H$6:$H$1005,MATCH($D130,RUNS!$A$6:$A$1005,0))),""))</f>
        <v/>
      </c>
      <c r="P130" s="33">
        <f>IF($D130="","",IFERROR(IF(INDEX(RUNS!$J$6:$J$1005,MATCH($D130,RUNS!$A$6:$A$1005,0))="","",INDEX(RUNS!$J$6:$J$1005,MATCH($D130,RUNS!$A$6:$A$1005,0))),""))</f>
        <v/>
      </c>
      <c r="Q130" s="33">
        <f>IF($D130="","",IFERROR(IF(INDEX(RUNS!$K$6:$K$1005,MATCH($D130,RUNS!$A$6:$A$1005,0))="","",INDEX(RUNS!$K$6:$K$1005,MATCH($D130,RUNS!$A$6:$A$1005,0))),""))</f>
        <v/>
      </c>
      <c r="R130" s="34">
        <f>IF(OR($L130="",$K130=""),"",IFERROR(IF(INDEX(PARAMETRES!$H$43:$H$342,MATCH($L130&amp;"|"&amp;$M130&amp;"|"&amp;$N130&amp;"|"&amp;$O130&amp;"|"&amp;$P130&amp;"|"&amp;$Q130&amp;"|"&amp;$K130,PARAMETRES!$J$43:$J$342,0))="","",INDEX(PARAMETRES!$H$43:$H$342,MATCH($L130&amp;"|"&amp;$M130&amp;"|"&amp;$N130&amp;"|"&amp;$O130&amp;"|"&amp;$P130&amp;"|"&amp;$Q130&amp;"|"&amp;$K130,PARAMETRES!$J$43:$J$342,0))),""))</f>
        <v/>
      </c>
      <c r="S130" s="35">
        <f>IF(OR($G130="",$X130&lt;&gt;"VALIDE"),"",IFERROR(LOOKUP(2,1/(($B$3:$B129=$B130)*($G$3:$G129=$G130)*($X$3:$X129="VALIDE")),$C$3:$C129),""))</f>
        <v/>
      </c>
      <c r="T130" s="36">
        <f>IF(OR($C130="",$S130=""),"",ROUND(($C130-$S130+IF($C130&lt;$S130,1,0))*1440,0))</f>
        <v/>
      </c>
      <c r="U130" s="22">
        <f>IF(OR($H130="",$T130="",$T130&lt;=0),"",$H130*60/$T130)</f>
        <v/>
      </c>
      <c r="V130" s="37">
        <f>IF(OR($U130="",$R130="",$R130=0),"",$U130/$R130)</f>
        <v/>
      </c>
      <c r="W130" s="20">
        <f>IF($G130="","",IF($X130="CONTEXTE INCOMPLET","CONTEXTE INCOMPLET",IF($X130="DOUBLON",StatutDoublon,IF($S130="",StatutInitial,IF($R130="",StatutStandardManquant,IF($V130="","DONNEES INSUFFISANTES",IF($V130&gt;=SeuilConforme,StatutConforme,IF($V130&gt;=SeuilSurveiller,StatutSurveiller,StatutSousStandard))))))))</f>
        <v/>
      </c>
      <c r="X130" s="33">
        <f>IF($G130="","",IF(OR($D130="",$E130="",$F130=""),"CONTEXTE INCOMPLET",IF(COUNTIFS($D$3:$D129,$D130,$E$3:$E129,$E130,$F$3:$F129,$F130,$G$3:$G129,$G130)&gt;0,"DOUBLON","VALIDE")))</f>
        <v/>
      </c>
    </row>
    <row r="131" ht="15" customHeight="1">
      <c r="A131" s="12">
        <f>IF(OR($B131="",$G131=""),"",TEXT($B131,"YYYYMMDD")&amp;"-"&amp;SUBSTITUTE($E131," ","")&amp;"-"&amp;$F131&amp;"-"&amp;$G131)</f>
        <v/>
      </c>
      <c r="B131" s="15" t="n"/>
      <c r="C131" s="16" t="n"/>
      <c r="D131" s="10" t="n"/>
      <c r="E131" s="9" t="n"/>
      <c r="F131" s="9" t="n"/>
      <c r="G131" s="13" t="n"/>
      <c r="H131" s="21" t="n"/>
      <c r="I131" s="21" t="n"/>
      <c r="J131" s="17">
        <f>IF($G131="","",IFERROR(INDEX(NomsEmployes,MATCH($G131,MatriculesEmployes,0)),"MATRICULE INCONNU"))</f>
        <v/>
      </c>
      <c r="K131" s="33">
        <f>IF(OR($D131="",$F131=""),"",IFERROR(IF(INDEX(RUNS!$L$6:$S$1005,MATCH($D131,RUNS!$A$6:$A$1005,0),MATCH("ACTIVITÉ "&amp;$F131,RUNS!$L$5:$S$5,0))="","",INDEX(RUNS!$L$6:$S$1005,MATCH($D131,RUNS!$A$6:$A$1005,0),MATCH("ACTIVITÉ "&amp;$F131,RUNS!$L$5:$S$5,0))),""))</f>
        <v/>
      </c>
      <c r="L131" s="33">
        <f>IF($D131="","",IFERROR(IF(INDEX(RUNS!$E$6:$E$1005,MATCH($D131,RUNS!$A$6:$A$1005,0))="","",INDEX(RUNS!$E$6:$E$1005,MATCH($D131,RUNS!$A$6:$A$1005,0))),""))</f>
        <v/>
      </c>
      <c r="M131" s="33">
        <f>IF($D131="","",IFERROR(IF(INDEX(RUNS!$F$6:$F$1005,MATCH($D131,RUNS!$A$6:$A$1005,0))="","",INDEX(RUNS!$F$6:$F$1005,MATCH($D131,RUNS!$A$6:$A$1005,0))),""))</f>
        <v/>
      </c>
      <c r="N131" s="33">
        <f>IF($D131="","",IFERROR(IF(INDEX(RUNS!$G$6:$G$1005,MATCH($D131,RUNS!$A$6:$A$1005,0))="","",INDEX(RUNS!$G$6:$G$1005,MATCH($D131,RUNS!$A$6:$A$1005,0))),""))</f>
        <v/>
      </c>
      <c r="O131" s="33">
        <f>IF($D131="","",IFERROR(IF(INDEX(RUNS!$H$6:$H$1005,MATCH($D131,RUNS!$A$6:$A$1005,0))="","",INDEX(RUNS!$H$6:$H$1005,MATCH($D131,RUNS!$A$6:$A$1005,0))),""))</f>
        <v/>
      </c>
      <c r="P131" s="33">
        <f>IF($D131="","",IFERROR(IF(INDEX(RUNS!$J$6:$J$1005,MATCH($D131,RUNS!$A$6:$A$1005,0))="","",INDEX(RUNS!$J$6:$J$1005,MATCH($D131,RUNS!$A$6:$A$1005,0))),""))</f>
        <v/>
      </c>
      <c r="Q131" s="33">
        <f>IF($D131="","",IFERROR(IF(INDEX(RUNS!$K$6:$K$1005,MATCH($D131,RUNS!$A$6:$A$1005,0))="","",INDEX(RUNS!$K$6:$K$1005,MATCH($D131,RUNS!$A$6:$A$1005,0))),""))</f>
        <v/>
      </c>
      <c r="R131" s="34">
        <f>IF(OR($L131="",$K131=""),"",IFERROR(IF(INDEX(PARAMETRES!$H$43:$H$342,MATCH($L131&amp;"|"&amp;$M131&amp;"|"&amp;$N131&amp;"|"&amp;$O131&amp;"|"&amp;$P131&amp;"|"&amp;$Q131&amp;"|"&amp;$K131,PARAMETRES!$J$43:$J$342,0))="","",INDEX(PARAMETRES!$H$43:$H$342,MATCH($L131&amp;"|"&amp;$M131&amp;"|"&amp;$N131&amp;"|"&amp;$O131&amp;"|"&amp;$P131&amp;"|"&amp;$Q131&amp;"|"&amp;$K131,PARAMETRES!$J$43:$J$342,0))),""))</f>
        <v/>
      </c>
      <c r="S131" s="35">
        <f>IF(OR($G131="",$X131&lt;&gt;"VALIDE"),"",IFERROR(LOOKUP(2,1/(($B$3:$B130=$B131)*($G$3:$G130=$G131)*($X$3:$X130="VALIDE")),$C$3:$C130),""))</f>
        <v/>
      </c>
      <c r="T131" s="36">
        <f>IF(OR($C131="",$S131=""),"",ROUND(($C131-$S131+IF($C131&lt;$S131,1,0))*1440,0))</f>
        <v/>
      </c>
      <c r="U131" s="22">
        <f>IF(OR($H131="",$T131="",$T131&lt;=0),"",$H131*60/$T131)</f>
        <v/>
      </c>
      <c r="V131" s="37">
        <f>IF(OR($U131="",$R131="",$R131=0),"",$U131/$R131)</f>
        <v/>
      </c>
      <c r="W131" s="20">
        <f>IF($G131="","",IF($X131="CONTEXTE INCOMPLET","CONTEXTE INCOMPLET",IF($X131="DOUBLON",StatutDoublon,IF($S131="",StatutInitial,IF($R131="",StatutStandardManquant,IF($V131="","DONNEES INSUFFISANTES",IF($V131&gt;=SeuilConforme,StatutConforme,IF($V131&gt;=SeuilSurveiller,StatutSurveiller,StatutSousStandard))))))))</f>
        <v/>
      </c>
      <c r="X131" s="33">
        <f>IF($G131="","",IF(OR($D131="",$E131="",$F131=""),"CONTEXTE INCOMPLET",IF(COUNTIFS($D$3:$D130,$D131,$E$3:$E130,$E131,$F$3:$F130,$F131,$G$3:$G130,$G131)&gt;0,"DOUBLON","VALIDE")))</f>
        <v/>
      </c>
    </row>
    <row r="132" ht="15" customHeight="1">
      <c r="A132" s="12">
        <f>IF(OR($B132="",$G132=""),"",TEXT($B132,"YYYYMMDD")&amp;"-"&amp;SUBSTITUTE($E132," ","")&amp;"-"&amp;$F132&amp;"-"&amp;$G132)</f>
        <v/>
      </c>
      <c r="B132" s="15" t="n"/>
      <c r="C132" s="16" t="n"/>
      <c r="D132" s="10" t="n"/>
      <c r="E132" s="9" t="n"/>
      <c r="F132" s="9" t="n"/>
      <c r="G132" s="13" t="n"/>
      <c r="H132" s="21" t="n"/>
      <c r="I132" s="21" t="n"/>
      <c r="J132" s="17">
        <f>IF($G132="","",IFERROR(INDEX(NomsEmployes,MATCH($G132,MatriculesEmployes,0)),"MATRICULE INCONNU"))</f>
        <v/>
      </c>
      <c r="K132" s="33">
        <f>IF(OR($D132="",$F132=""),"",IFERROR(IF(INDEX(RUNS!$L$6:$S$1005,MATCH($D132,RUNS!$A$6:$A$1005,0),MATCH("ACTIVITÉ "&amp;$F132,RUNS!$L$5:$S$5,0))="","",INDEX(RUNS!$L$6:$S$1005,MATCH($D132,RUNS!$A$6:$A$1005,0),MATCH("ACTIVITÉ "&amp;$F132,RUNS!$L$5:$S$5,0))),""))</f>
        <v/>
      </c>
      <c r="L132" s="33">
        <f>IF($D132="","",IFERROR(IF(INDEX(RUNS!$E$6:$E$1005,MATCH($D132,RUNS!$A$6:$A$1005,0))="","",INDEX(RUNS!$E$6:$E$1005,MATCH($D132,RUNS!$A$6:$A$1005,0))),""))</f>
        <v/>
      </c>
      <c r="M132" s="33">
        <f>IF($D132="","",IFERROR(IF(INDEX(RUNS!$F$6:$F$1005,MATCH($D132,RUNS!$A$6:$A$1005,0))="","",INDEX(RUNS!$F$6:$F$1005,MATCH($D132,RUNS!$A$6:$A$1005,0))),""))</f>
        <v/>
      </c>
      <c r="N132" s="33">
        <f>IF($D132="","",IFERROR(IF(INDEX(RUNS!$G$6:$G$1005,MATCH($D132,RUNS!$A$6:$A$1005,0))="","",INDEX(RUNS!$G$6:$G$1005,MATCH($D132,RUNS!$A$6:$A$1005,0))),""))</f>
        <v/>
      </c>
      <c r="O132" s="33">
        <f>IF($D132="","",IFERROR(IF(INDEX(RUNS!$H$6:$H$1005,MATCH($D132,RUNS!$A$6:$A$1005,0))="","",INDEX(RUNS!$H$6:$H$1005,MATCH($D132,RUNS!$A$6:$A$1005,0))),""))</f>
        <v/>
      </c>
      <c r="P132" s="33">
        <f>IF($D132="","",IFERROR(IF(INDEX(RUNS!$J$6:$J$1005,MATCH($D132,RUNS!$A$6:$A$1005,0))="","",INDEX(RUNS!$J$6:$J$1005,MATCH($D132,RUNS!$A$6:$A$1005,0))),""))</f>
        <v/>
      </c>
      <c r="Q132" s="33">
        <f>IF($D132="","",IFERROR(IF(INDEX(RUNS!$K$6:$K$1005,MATCH($D132,RUNS!$A$6:$A$1005,0))="","",INDEX(RUNS!$K$6:$K$1005,MATCH($D132,RUNS!$A$6:$A$1005,0))),""))</f>
        <v/>
      </c>
      <c r="R132" s="34">
        <f>IF(OR($L132="",$K132=""),"",IFERROR(IF(INDEX(PARAMETRES!$H$43:$H$342,MATCH($L132&amp;"|"&amp;$M132&amp;"|"&amp;$N132&amp;"|"&amp;$O132&amp;"|"&amp;$P132&amp;"|"&amp;$Q132&amp;"|"&amp;$K132,PARAMETRES!$J$43:$J$342,0))="","",INDEX(PARAMETRES!$H$43:$H$342,MATCH($L132&amp;"|"&amp;$M132&amp;"|"&amp;$N132&amp;"|"&amp;$O132&amp;"|"&amp;$P132&amp;"|"&amp;$Q132&amp;"|"&amp;$K132,PARAMETRES!$J$43:$J$342,0))),""))</f>
        <v/>
      </c>
      <c r="S132" s="35">
        <f>IF(OR($G132="",$X132&lt;&gt;"VALIDE"),"",IFERROR(LOOKUP(2,1/(($B$3:$B131=$B132)*($G$3:$G131=$G132)*($X$3:$X131="VALIDE")),$C$3:$C131),""))</f>
        <v/>
      </c>
      <c r="T132" s="36">
        <f>IF(OR($C132="",$S132=""),"",ROUND(($C132-$S132+IF($C132&lt;$S132,1,0))*1440,0))</f>
        <v/>
      </c>
      <c r="U132" s="22">
        <f>IF(OR($H132="",$T132="",$T132&lt;=0),"",$H132*60/$T132)</f>
        <v/>
      </c>
      <c r="V132" s="37">
        <f>IF(OR($U132="",$R132="",$R132=0),"",$U132/$R132)</f>
        <v/>
      </c>
      <c r="W132" s="20">
        <f>IF($G132="","",IF($X132="CONTEXTE INCOMPLET","CONTEXTE INCOMPLET",IF($X132="DOUBLON",StatutDoublon,IF($S132="",StatutInitial,IF($R132="",StatutStandardManquant,IF($V132="","DONNEES INSUFFISANTES",IF($V132&gt;=SeuilConforme,StatutConforme,IF($V132&gt;=SeuilSurveiller,StatutSurveiller,StatutSousStandard))))))))</f>
        <v/>
      </c>
      <c r="X132" s="33">
        <f>IF($G132="","",IF(OR($D132="",$E132="",$F132=""),"CONTEXTE INCOMPLET",IF(COUNTIFS($D$3:$D131,$D132,$E$3:$E131,$E132,$F$3:$F131,$F132,$G$3:$G131,$G132)&gt;0,"DOUBLON","VALIDE")))</f>
        <v/>
      </c>
    </row>
    <row r="133" ht="15" customHeight="1">
      <c r="A133" s="12">
        <f>IF(OR($B133="",$G133=""),"",TEXT($B133,"YYYYMMDD")&amp;"-"&amp;SUBSTITUTE($E133," ","")&amp;"-"&amp;$F133&amp;"-"&amp;$G133)</f>
        <v/>
      </c>
      <c r="B133" s="15" t="n"/>
      <c r="C133" s="16" t="n"/>
      <c r="D133" s="10" t="n"/>
      <c r="E133" s="9" t="n"/>
      <c r="F133" s="9" t="n"/>
      <c r="G133" s="13" t="n"/>
      <c r="H133" s="21" t="n"/>
      <c r="I133" s="21" t="n"/>
      <c r="J133" s="17">
        <f>IF($G133="","",IFERROR(INDEX(NomsEmployes,MATCH($G133,MatriculesEmployes,0)),"MATRICULE INCONNU"))</f>
        <v/>
      </c>
      <c r="K133" s="33">
        <f>IF(OR($D133="",$F133=""),"",IFERROR(IF(INDEX(RUNS!$L$6:$S$1005,MATCH($D133,RUNS!$A$6:$A$1005,0),MATCH("ACTIVITÉ "&amp;$F133,RUNS!$L$5:$S$5,0))="","",INDEX(RUNS!$L$6:$S$1005,MATCH($D133,RUNS!$A$6:$A$1005,0),MATCH("ACTIVITÉ "&amp;$F133,RUNS!$L$5:$S$5,0))),""))</f>
        <v/>
      </c>
      <c r="L133" s="33">
        <f>IF($D133="","",IFERROR(IF(INDEX(RUNS!$E$6:$E$1005,MATCH($D133,RUNS!$A$6:$A$1005,0))="","",INDEX(RUNS!$E$6:$E$1005,MATCH($D133,RUNS!$A$6:$A$1005,0))),""))</f>
        <v/>
      </c>
      <c r="M133" s="33">
        <f>IF($D133="","",IFERROR(IF(INDEX(RUNS!$F$6:$F$1005,MATCH($D133,RUNS!$A$6:$A$1005,0))="","",INDEX(RUNS!$F$6:$F$1005,MATCH($D133,RUNS!$A$6:$A$1005,0))),""))</f>
        <v/>
      </c>
      <c r="N133" s="33">
        <f>IF($D133="","",IFERROR(IF(INDEX(RUNS!$G$6:$G$1005,MATCH($D133,RUNS!$A$6:$A$1005,0))="","",INDEX(RUNS!$G$6:$G$1005,MATCH($D133,RUNS!$A$6:$A$1005,0))),""))</f>
        <v/>
      </c>
      <c r="O133" s="33">
        <f>IF($D133="","",IFERROR(IF(INDEX(RUNS!$H$6:$H$1005,MATCH($D133,RUNS!$A$6:$A$1005,0))="","",INDEX(RUNS!$H$6:$H$1005,MATCH($D133,RUNS!$A$6:$A$1005,0))),""))</f>
        <v/>
      </c>
      <c r="P133" s="33">
        <f>IF($D133="","",IFERROR(IF(INDEX(RUNS!$J$6:$J$1005,MATCH($D133,RUNS!$A$6:$A$1005,0))="","",INDEX(RUNS!$J$6:$J$1005,MATCH($D133,RUNS!$A$6:$A$1005,0))),""))</f>
        <v/>
      </c>
      <c r="Q133" s="33">
        <f>IF($D133="","",IFERROR(IF(INDEX(RUNS!$K$6:$K$1005,MATCH($D133,RUNS!$A$6:$A$1005,0))="","",INDEX(RUNS!$K$6:$K$1005,MATCH($D133,RUNS!$A$6:$A$1005,0))),""))</f>
        <v/>
      </c>
      <c r="R133" s="34">
        <f>IF(OR($L133="",$K133=""),"",IFERROR(IF(INDEX(PARAMETRES!$H$43:$H$342,MATCH($L133&amp;"|"&amp;$M133&amp;"|"&amp;$N133&amp;"|"&amp;$O133&amp;"|"&amp;$P133&amp;"|"&amp;$Q133&amp;"|"&amp;$K133,PARAMETRES!$J$43:$J$342,0))="","",INDEX(PARAMETRES!$H$43:$H$342,MATCH($L133&amp;"|"&amp;$M133&amp;"|"&amp;$N133&amp;"|"&amp;$O133&amp;"|"&amp;$P133&amp;"|"&amp;$Q133&amp;"|"&amp;$K133,PARAMETRES!$J$43:$J$342,0))),""))</f>
        <v/>
      </c>
      <c r="S133" s="35">
        <f>IF(OR($G133="",$X133&lt;&gt;"VALIDE"),"",IFERROR(LOOKUP(2,1/(($B$3:$B132=$B133)*($G$3:$G132=$G133)*($X$3:$X132="VALIDE")),$C$3:$C132),""))</f>
        <v/>
      </c>
      <c r="T133" s="36">
        <f>IF(OR($C133="",$S133=""),"",ROUND(($C133-$S133+IF($C133&lt;$S133,1,0))*1440,0))</f>
        <v/>
      </c>
      <c r="U133" s="22">
        <f>IF(OR($H133="",$T133="",$T133&lt;=0),"",$H133*60/$T133)</f>
        <v/>
      </c>
      <c r="V133" s="37">
        <f>IF(OR($U133="",$R133="",$R133=0),"",$U133/$R133)</f>
        <v/>
      </c>
      <c r="W133" s="20">
        <f>IF($G133="","",IF($X133="CONTEXTE INCOMPLET","CONTEXTE INCOMPLET",IF($X133="DOUBLON",StatutDoublon,IF($S133="",StatutInitial,IF($R133="",StatutStandardManquant,IF($V133="","DONNEES INSUFFISANTES",IF($V133&gt;=SeuilConforme,StatutConforme,IF($V133&gt;=SeuilSurveiller,StatutSurveiller,StatutSousStandard))))))))</f>
        <v/>
      </c>
      <c r="X133" s="33">
        <f>IF($G133="","",IF(OR($D133="",$E133="",$F133=""),"CONTEXTE INCOMPLET",IF(COUNTIFS($D$3:$D132,$D133,$E$3:$E132,$E133,$F$3:$F132,$F133,$G$3:$G132,$G133)&gt;0,"DOUBLON","VALIDE")))</f>
        <v/>
      </c>
    </row>
    <row r="134" ht="15" customHeight="1">
      <c r="A134" s="12">
        <f>IF(OR($B134="",$G134=""),"",TEXT($B134,"YYYYMMDD")&amp;"-"&amp;SUBSTITUTE($E134," ","")&amp;"-"&amp;$F134&amp;"-"&amp;$G134)</f>
        <v/>
      </c>
      <c r="B134" s="15" t="n"/>
      <c r="C134" s="16" t="n"/>
      <c r="D134" s="10" t="n"/>
      <c r="E134" s="9" t="n"/>
      <c r="F134" s="9" t="n"/>
      <c r="G134" s="13" t="n"/>
      <c r="H134" s="21" t="n"/>
      <c r="I134" s="21" t="n"/>
      <c r="J134" s="17">
        <f>IF($G134="","",IFERROR(INDEX(NomsEmployes,MATCH($G134,MatriculesEmployes,0)),"MATRICULE INCONNU"))</f>
        <v/>
      </c>
      <c r="K134" s="33">
        <f>IF(OR($D134="",$F134=""),"",IFERROR(IF(INDEX(RUNS!$L$6:$S$1005,MATCH($D134,RUNS!$A$6:$A$1005,0),MATCH("ACTIVITÉ "&amp;$F134,RUNS!$L$5:$S$5,0))="","",INDEX(RUNS!$L$6:$S$1005,MATCH($D134,RUNS!$A$6:$A$1005,0),MATCH("ACTIVITÉ "&amp;$F134,RUNS!$L$5:$S$5,0))),""))</f>
        <v/>
      </c>
      <c r="L134" s="33">
        <f>IF($D134="","",IFERROR(IF(INDEX(RUNS!$E$6:$E$1005,MATCH($D134,RUNS!$A$6:$A$1005,0))="","",INDEX(RUNS!$E$6:$E$1005,MATCH($D134,RUNS!$A$6:$A$1005,0))),""))</f>
        <v/>
      </c>
      <c r="M134" s="33">
        <f>IF($D134="","",IFERROR(IF(INDEX(RUNS!$F$6:$F$1005,MATCH($D134,RUNS!$A$6:$A$1005,0))="","",INDEX(RUNS!$F$6:$F$1005,MATCH($D134,RUNS!$A$6:$A$1005,0))),""))</f>
        <v/>
      </c>
      <c r="N134" s="33">
        <f>IF($D134="","",IFERROR(IF(INDEX(RUNS!$G$6:$G$1005,MATCH($D134,RUNS!$A$6:$A$1005,0))="","",INDEX(RUNS!$G$6:$G$1005,MATCH($D134,RUNS!$A$6:$A$1005,0))),""))</f>
        <v/>
      </c>
      <c r="O134" s="33">
        <f>IF($D134="","",IFERROR(IF(INDEX(RUNS!$H$6:$H$1005,MATCH($D134,RUNS!$A$6:$A$1005,0))="","",INDEX(RUNS!$H$6:$H$1005,MATCH($D134,RUNS!$A$6:$A$1005,0))),""))</f>
        <v/>
      </c>
      <c r="P134" s="33">
        <f>IF($D134="","",IFERROR(IF(INDEX(RUNS!$J$6:$J$1005,MATCH($D134,RUNS!$A$6:$A$1005,0))="","",INDEX(RUNS!$J$6:$J$1005,MATCH($D134,RUNS!$A$6:$A$1005,0))),""))</f>
        <v/>
      </c>
      <c r="Q134" s="33">
        <f>IF($D134="","",IFERROR(IF(INDEX(RUNS!$K$6:$K$1005,MATCH($D134,RUNS!$A$6:$A$1005,0))="","",INDEX(RUNS!$K$6:$K$1005,MATCH($D134,RUNS!$A$6:$A$1005,0))),""))</f>
        <v/>
      </c>
      <c r="R134" s="34">
        <f>IF(OR($L134="",$K134=""),"",IFERROR(IF(INDEX(PARAMETRES!$H$43:$H$342,MATCH($L134&amp;"|"&amp;$M134&amp;"|"&amp;$N134&amp;"|"&amp;$O134&amp;"|"&amp;$P134&amp;"|"&amp;$Q134&amp;"|"&amp;$K134,PARAMETRES!$J$43:$J$342,0))="","",INDEX(PARAMETRES!$H$43:$H$342,MATCH($L134&amp;"|"&amp;$M134&amp;"|"&amp;$N134&amp;"|"&amp;$O134&amp;"|"&amp;$P134&amp;"|"&amp;$Q134&amp;"|"&amp;$K134,PARAMETRES!$J$43:$J$342,0))),""))</f>
        <v/>
      </c>
      <c r="S134" s="35">
        <f>IF(OR($G134="",$X134&lt;&gt;"VALIDE"),"",IFERROR(LOOKUP(2,1/(($B$3:$B133=$B134)*($G$3:$G133=$G134)*($X$3:$X133="VALIDE")),$C$3:$C133),""))</f>
        <v/>
      </c>
      <c r="T134" s="36">
        <f>IF(OR($C134="",$S134=""),"",ROUND(($C134-$S134+IF($C134&lt;$S134,1,0))*1440,0))</f>
        <v/>
      </c>
      <c r="U134" s="22">
        <f>IF(OR($H134="",$T134="",$T134&lt;=0),"",$H134*60/$T134)</f>
        <v/>
      </c>
      <c r="V134" s="37">
        <f>IF(OR($U134="",$R134="",$R134=0),"",$U134/$R134)</f>
        <v/>
      </c>
      <c r="W134" s="20">
        <f>IF($G134="","",IF($X134="CONTEXTE INCOMPLET","CONTEXTE INCOMPLET",IF($X134="DOUBLON",StatutDoublon,IF($S134="",StatutInitial,IF($R134="",StatutStandardManquant,IF($V134="","DONNEES INSUFFISANTES",IF($V134&gt;=SeuilConforme,StatutConforme,IF($V134&gt;=SeuilSurveiller,StatutSurveiller,StatutSousStandard))))))))</f>
        <v/>
      </c>
      <c r="X134" s="33">
        <f>IF($G134="","",IF(OR($D134="",$E134="",$F134=""),"CONTEXTE INCOMPLET",IF(COUNTIFS($D$3:$D133,$D134,$E$3:$E133,$E134,$F$3:$F133,$F134,$G$3:$G133,$G134)&gt;0,"DOUBLON","VALIDE")))</f>
        <v/>
      </c>
    </row>
    <row r="135" ht="15" customHeight="1">
      <c r="A135" s="12">
        <f>IF(OR($B135="",$G135=""),"",TEXT($B135,"YYYYMMDD")&amp;"-"&amp;SUBSTITUTE($E135," ","")&amp;"-"&amp;$F135&amp;"-"&amp;$G135)</f>
        <v/>
      </c>
      <c r="B135" s="15" t="n"/>
      <c r="C135" s="16" t="n"/>
      <c r="D135" s="10" t="n"/>
      <c r="E135" s="9" t="n"/>
      <c r="F135" s="9" t="n"/>
      <c r="G135" s="13" t="n"/>
      <c r="H135" s="21" t="n"/>
      <c r="I135" s="21" t="n"/>
      <c r="J135" s="17">
        <f>IF($G135="","",IFERROR(INDEX(NomsEmployes,MATCH($G135,MatriculesEmployes,0)),"MATRICULE INCONNU"))</f>
        <v/>
      </c>
      <c r="K135" s="33">
        <f>IF(OR($D135="",$F135=""),"",IFERROR(IF(INDEX(RUNS!$L$6:$S$1005,MATCH($D135,RUNS!$A$6:$A$1005,0),MATCH("ACTIVITÉ "&amp;$F135,RUNS!$L$5:$S$5,0))="","",INDEX(RUNS!$L$6:$S$1005,MATCH($D135,RUNS!$A$6:$A$1005,0),MATCH("ACTIVITÉ "&amp;$F135,RUNS!$L$5:$S$5,0))),""))</f>
        <v/>
      </c>
      <c r="L135" s="33">
        <f>IF($D135="","",IFERROR(IF(INDEX(RUNS!$E$6:$E$1005,MATCH($D135,RUNS!$A$6:$A$1005,0))="","",INDEX(RUNS!$E$6:$E$1005,MATCH($D135,RUNS!$A$6:$A$1005,0))),""))</f>
        <v/>
      </c>
      <c r="M135" s="33">
        <f>IF($D135="","",IFERROR(IF(INDEX(RUNS!$F$6:$F$1005,MATCH($D135,RUNS!$A$6:$A$1005,0))="","",INDEX(RUNS!$F$6:$F$1005,MATCH($D135,RUNS!$A$6:$A$1005,0))),""))</f>
        <v/>
      </c>
      <c r="N135" s="33">
        <f>IF($D135="","",IFERROR(IF(INDEX(RUNS!$G$6:$G$1005,MATCH($D135,RUNS!$A$6:$A$1005,0))="","",INDEX(RUNS!$G$6:$G$1005,MATCH($D135,RUNS!$A$6:$A$1005,0))),""))</f>
        <v/>
      </c>
      <c r="O135" s="33">
        <f>IF($D135="","",IFERROR(IF(INDEX(RUNS!$H$6:$H$1005,MATCH($D135,RUNS!$A$6:$A$1005,0))="","",INDEX(RUNS!$H$6:$H$1005,MATCH($D135,RUNS!$A$6:$A$1005,0))),""))</f>
        <v/>
      </c>
      <c r="P135" s="33">
        <f>IF($D135="","",IFERROR(IF(INDEX(RUNS!$J$6:$J$1005,MATCH($D135,RUNS!$A$6:$A$1005,0))="","",INDEX(RUNS!$J$6:$J$1005,MATCH($D135,RUNS!$A$6:$A$1005,0))),""))</f>
        <v/>
      </c>
      <c r="Q135" s="33">
        <f>IF($D135="","",IFERROR(IF(INDEX(RUNS!$K$6:$K$1005,MATCH($D135,RUNS!$A$6:$A$1005,0))="","",INDEX(RUNS!$K$6:$K$1005,MATCH($D135,RUNS!$A$6:$A$1005,0))),""))</f>
        <v/>
      </c>
      <c r="R135" s="34">
        <f>IF(OR($L135="",$K135=""),"",IFERROR(IF(INDEX(PARAMETRES!$H$43:$H$342,MATCH($L135&amp;"|"&amp;$M135&amp;"|"&amp;$N135&amp;"|"&amp;$O135&amp;"|"&amp;$P135&amp;"|"&amp;$Q135&amp;"|"&amp;$K135,PARAMETRES!$J$43:$J$342,0))="","",INDEX(PARAMETRES!$H$43:$H$342,MATCH($L135&amp;"|"&amp;$M135&amp;"|"&amp;$N135&amp;"|"&amp;$O135&amp;"|"&amp;$P135&amp;"|"&amp;$Q135&amp;"|"&amp;$K135,PARAMETRES!$J$43:$J$342,0))),""))</f>
        <v/>
      </c>
      <c r="S135" s="35">
        <f>IF(OR($G135="",$X135&lt;&gt;"VALIDE"),"",IFERROR(LOOKUP(2,1/(($B$3:$B134=$B135)*($G$3:$G134=$G135)*($X$3:$X134="VALIDE")),$C$3:$C134),""))</f>
        <v/>
      </c>
      <c r="T135" s="36">
        <f>IF(OR($C135="",$S135=""),"",ROUND(($C135-$S135+IF($C135&lt;$S135,1,0))*1440,0))</f>
        <v/>
      </c>
      <c r="U135" s="22">
        <f>IF(OR($H135="",$T135="",$T135&lt;=0),"",$H135*60/$T135)</f>
        <v/>
      </c>
      <c r="V135" s="37">
        <f>IF(OR($U135="",$R135="",$R135=0),"",$U135/$R135)</f>
        <v/>
      </c>
      <c r="W135" s="20">
        <f>IF($G135="","",IF($X135="CONTEXTE INCOMPLET","CONTEXTE INCOMPLET",IF($X135="DOUBLON",StatutDoublon,IF($S135="",StatutInitial,IF($R135="",StatutStandardManquant,IF($V135="","DONNEES INSUFFISANTES",IF($V135&gt;=SeuilConforme,StatutConforme,IF($V135&gt;=SeuilSurveiller,StatutSurveiller,StatutSousStandard))))))))</f>
        <v/>
      </c>
      <c r="X135" s="33">
        <f>IF($G135="","",IF(OR($D135="",$E135="",$F135=""),"CONTEXTE INCOMPLET",IF(COUNTIFS($D$3:$D134,$D135,$E$3:$E134,$E135,$F$3:$F134,$F135,$G$3:$G134,$G135)&gt;0,"DOUBLON","VALIDE")))</f>
        <v/>
      </c>
    </row>
    <row r="136" ht="15" customHeight="1">
      <c r="A136" s="12">
        <f>IF(OR($B136="",$G136=""),"",TEXT($B136,"YYYYMMDD")&amp;"-"&amp;SUBSTITUTE($E136," ","")&amp;"-"&amp;$F136&amp;"-"&amp;$G136)</f>
        <v/>
      </c>
      <c r="B136" s="15" t="n"/>
      <c r="C136" s="16" t="n"/>
      <c r="D136" s="10" t="n"/>
      <c r="E136" s="9" t="n"/>
      <c r="F136" s="9" t="n"/>
      <c r="G136" s="13" t="n"/>
      <c r="H136" s="21" t="n"/>
      <c r="I136" s="21" t="n"/>
      <c r="J136" s="17">
        <f>IF($G136="","",IFERROR(INDEX(NomsEmployes,MATCH($G136,MatriculesEmployes,0)),"MATRICULE INCONNU"))</f>
        <v/>
      </c>
      <c r="K136" s="33">
        <f>IF(OR($D136="",$F136=""),"",IFERROR(IF(INDEX(RUNS!$L$6:$S$1005,MATCH($D136,RUNS!$A$6:$A$1005,0),MATCH("ACTIVITÉ "&amp;$F136,RUNS!$L$5:$S$5,0))="","",INDEX(RUNS!$L$6:$S$1005,MATCH($D136,RUNS!$A$6:$A$1005,0),MATCH("ACTIVITÉ "&amp;$F136,RUNS!$L$5:$S$5,0))),""))</f>
        <v/>
      </c>
      <c r="L136" s="33">
        <f>IF($D136="","",IFERROR(IF(INDEX(RUNS!$E$6:$E$1005,MATCH($D136,RUNS!$A$6:$A$1005,0))="","",INDEX(RUNS!$E$6:$E$1005,MATCH($D136,RUNS!$A$6:$A$1005,0))),""))</f>
        <v/>
      </c>
      <c r="M136" s="33">
        <f>IF($D136="","",IFERROR(IF(INDEX(RUNS!$F$6:$F$1005,MATCH($D136,RUNS!$A$6:$A$1005,0))="","",INDEX(RUNS!$F$6:$F$1005,MATCH($D136,RUNS!$A$6:$A$1005,0))),""))</f>
        <v/>
      </c>
      <c r="N136" s="33">
        <f>IF($D136="","",IFERROR(IF(INDEX(RUNS!$G$6:$G$1005,MATCH($D136,RUNS!$A$6:$A$1005,0))="","",INDEX(RUNS!$G$6:$G$1005,MATCH($D136,RUNS!$A$6:$A$1005,0))),""))</f>
        <v/>
      </c>
      <c r="O136" s="33">
        <f>IF($D136="","",IFERROR(IF(INDEX(RUNS!$H$6:$H$1005,MATCH($D136,RUNS!$A$6:$A$1005,0))="","",INDEX(RUNS!$H$6:$H$1005,MATCH($D136,RUNS!$A$6:$A$1005,0))),""))</f>
        <v/>
      </c>
      <c r="P136" s="33">
        <f>IF($D136="","",IFERROR(IF(INDEX(RUNS!$J$6:$J$1005,MATCH($D136,RUNS!$A$6:$A$1005,0))="","",INDEX(RUNS!$J$6:$J$1005,MATCH($D136,RUNS!$A$6:$A$1005,0))),""))</f>
        <v/>
      </c>
      <c r="Q136" s="33">
        <f>IF($D136="","",IFERROR(IF(INDEX(RUNS!$K$6:$K$1005,MATCH($D136,RUNS!$A$6:$A$1005,0))="","",INDEX(RUNS!$K$6:$K$1005,MATCH($D136,RUNS!$A$6:$A$1005,0))),""))</f>
        <v/>
      </c>
      <c r="R136" s="34">
        <f>IF(OR($L136="",$K136=""),"",IFERROR(IF(INDEX(PARAMETRES!$H$43:$H$342,MATCH($L136&amp;"|"&amp;$M136&amp;"|"&amp;$N136&amp;"|"&amp;$O136&amp;"|"&amp;$P136&amp;"|"&amp;$Q136&amp;"|"&amp;$K136,PARAMETRES!$J$43:$J$342,0))="","",INDEX(PARAMETRES!$H$43:$H$342,MATCH($L136&amp;"|"&amp;$M136&amp;"|"&amp;$N136&amp;"|"&amp;$O136&amp;"|"&amp;$P136&amp;"|"&amp;$Q136&amp;"|"&amp;$K136,PARAMETRES!$J$43:$J$342,0))),""))</f>
        <v/>
      </c>
      <c r="S136" s="35">
        <f>IF(OR($G136="",$X136&lt;&gt;"VALIDE"),"",IFERROR(LOOKUP(2,1/(($B$3:$B135=$B136)*($G$3:$G135=$G136)*($X$3:$X135="VALIDE")),$C$3:$C135),""))</f>
        <v/>
      </c>
      <c r="T136" s="36">
        <f>IF(OR($C136="",$S136=""),"",ROUND(($C136-$S136+IF($C136&lt;$S136,1,0))*1440,0))</f>
        <v/>
      </c>
      <c r="U136" s="22">
        <f>IF(OR($H136="",$T136="",$T136&lt;=0),"",$H136*60/$T136)</f>
        <v/>
      </c>
      <c r="V136" s="37">
        <f>IF(OR($U136="",$R136="",$R136=0),"",$U136/$R136)</f>
        <v/>
      </c>
      <c r="W136" s="20">
        <f>IF($G136="","",IF($X136="CONTEXTE INCOMPLET","CONTEXTE INCOMPLET",IF($X136="DOUBLON",StatutDoublon,IF($S136="",StatutInitial,IF($R136="",StatutStandardManquant,IF($V136="","DONNEES INSUFFISANTES",IF($V136&gt;=SeuilConforme,StatutConforme,IF($V136&gt;=SeuilSurveiller,StatutSurveiller,StatutSousStandard))))))))</f>
        <v/>
      </c>
      <c r="X136" s="33">
        <f>IF($G136="","",IF(OR($D136="",$E136="",$F136=""),"CONTEXTE INCOMPLET",IF(COUNTIFS($D$3:$D135,$D136,$E$3:$E135,$E136,$F$3:$F135,$F136,$G$3:$G135,$G136)&gt;0,"DOUBLON","VALIDE")))</f>
        <v/>
      </c>
    </row>
    <row r="137" ht="15" customHeight="1">
      <c r="A137" s="12">
        <f>IF(OR($B137="",$G137=""),"",TEXT($B137,"YYYYMMDD")&amp;"-"&amp;SUBSTITUTE($E137," ","")&amp;"-"&amp;$F137&amp;"-"&amp;$G137)</f>
        <v/>
      </c>
      <c r="B137" s="15" t="n"/>
      <c r="C137" s="16" t="n"/>
      <c r="D137" s="10" t="n"/>
      <c r="E137" s="9" t="n"/>
      <c r="F137" s="9" t="n"/>
      <c r="G137" s="13" t="n"/>
      <c r="H137" s="21" t="n"/>
      <c r="I137" s="21" t="n"/>
      <c r="J137" s="17">
        <f>IF($G137="","",IFERROR(INDEX(NomsEmployes,MATCH($G137,MatriculesEmployes,0)),"MATRICULE INCONNU"))</f>
        <v/>
      </c>
      <c r="K137" s="33">
        <f>IF(OR($D137="",$F137=""),"",IFERROR(IF(INDEX(RUNS!$L$6:$S$1005,MATCH($D137,RUNS!$A$6:$A$1005,0),MATCH("ACTIVITÉ "&amp;$F137,RUNS!$L$5:$S$5,0))="","",INDEX(RUNS!$L$6:$S$1005,MATCH($D137,RUNS!$A$6:$A$1005,0),MATCH("ACTIVITÉ "&amp;$F137,RUNS!$L$5:$S$5,0))),""))</f>
        <v/>
      </c>
      <c r="L137" s="33">
        <f>IF($D137="","",IFERROR(IF(INDEX(RUNS!$E$6:$E$1005,MATCH($D137,RUNS!$A$6:$A$1005,0))="","",INDEX(RUNS!$E$6:$E$1005,MATCH($D137,RUNS!$A$6:$A$1005,0))),""))</f>
        <v/>
      </c>
      <c r="M137" s="33">
        <f>IF($D137="","",IFERROR(IF(INDEX(RUNS!$F$6:$F$1005,MATCH($D137,RUNS!$A$6:$A$1005,0))="","",INDEX(RUNS!$F$6:$F$1005,MATCH($D137,RUNS!$A$6:$A$1005,0))),""))</f>
        <v/>
      </c>
      <c r="N137" s="33">
        <f>IF($D137="","",IFERROR(IF(INDEX(RUNS!$G$6:$G$1005,MATCH($D137,RUNS!$A$6:$A$1005,0))="","",INDEX(RUNS!$G$6:$G$1005,MATCH($D137,RUNS!$A$6:$A$1005,0))),""))</f>
        <v/>
      </c>
      <c r="O137" s="33">
        <f>IF($D137="","",IFERROR(IF(INDEX(RUNS!$H$6:$H$1005,MATCH($D137,RUNS!$A$6:$A$1005,0))="","",INDEX(RUNS!$H$6:$H$1005,MATCH($D137,RUNS!$A$6:$A$1005,0))),""))</f>
        <v/>
      </c>
      <c r="P137" s="33">
        <f>IF($D137="","",IFERROR(IF(INDEX(RUNS!$J$6:$J$1005,MATCH($D137,RUNS!$A$6:$A$1005,0))="","",INDEX(RUNS!$J$6:$J$1005,MATCH($D137,RUNS!$A$6:$A$1005,0))),""))</f>
        <v/>
      </c>
      <c r="Q137" s="33">
        <f>IF($D137="","",IFERROR(IF(INDEX(RUNS!$K$6:$K$1005,MATCH($D137,RUNS!$A$6:$A$1005,0))="","",INDEX(RUNS!$K$6:$K$1005,MATCH($D137,RUNS!$A$6:$A$1005,0))),""))</f>
        <v/>
      </c>
      <c r="R137" s="34">
        <f>IF(OR($L137="",$K137=""),"",IFERROR(IF(INDEX(PARAMETRES!$H$43:$H$342,MATCH($L137&amp;"|"&amp;$M137&amp;"|"&amp;$N137&amp;"|"&amp;$O137&amp;"|"&amp;$P137&amp;"|"&amp;$Q137&amp;"|"&amp;$K137,PARAMETRES!$J$43:$J$342,0))="","",INDEX(PARAMETRES!$H$43:$H$342,MATCH($L137&amp;"|"&amp;$M137&amp;"|"&amp;$N137&amp;"|"&amp;$O137&amp;"|"&amp;$P137&amp;"|"&amp;$Q137&amp;"|"&amp;$K137,PARAMETRES!$J$43:$J$342,0))),""))</f>
        <v/>
      </c>
      <c r="S137" s="35">
        <f>IF(OR($G137="",$X137&lt;&gt;"VALIDE"),"",IFERROR(LOOKUP(2,1/(($B$3:$B136=$B137)*($G$3:$G136=$G137)*($X$3:$X136="VALIDE")),$C$3:$C136),""))</f>
        <v/>
      </c>
      <c r="T137" s="36">
        <f>IF(OR($C137="",$S137=""),"",ROUND(($C137-$S137+IF($C137&lt;$S137,1,0))*1440,0))</f>
        <v/>
      </c>
      <c r="U137" s="22">
        <f>IF(OR($H137="",$T137="",$T137&lt;=0),"",$H137*60/$T137)</f>
        <v/>
      </c>
      <c r="V137" s="37">
        <f>IF(OR($U137="",$R137="",$R137=0),"",$U137/$R137)</f>
        <v/>
      </c>
      <c r="W137" s="20">
        <f>IF($G137="","",IF($X137="CONTEXTE INCOMPLET","CONTEXTE INCOMPLET",IF($X137="DOUBLON",StatutDoublon,IF($S137="",StatutInitial,IF($R137="",StatutStandardManquant,IF($V137="","DONNEES INSUFFISANTES",IF($V137&gt;=SeuilConforme,StatutConforme,IF($V137&gt;=SeuilSurveiller,StatutSurveiller,StatutSousStandard))))))))</f>
        <v/>
      </c>
      <c r="X137" s="33">
        <f>IF($G137="","",IF(OR($D137="",$E137="",$F137=""),"CONTEXTE INCOMPLET",IF(COUNTIFS($D$3:$D136,$D137,$E$3:$E136,$E137,$F$3:$F136,$F137,$G$3:$G136,$G137)&gt;0,"DOUBLON","VALIDE")))</f>
        <v/>
      </c>
    </row>
    <row r="138" ht="15" customHeight="1">
      <c r="A138" s="12">
        <f>IF(OR($B138="",$G138=""),"",TEXT($B138,"YYYYMMDD")&amp;"-"&amp;SUBSTITUTE($E138," ","")&amp;"-"&amp;$F138&amp;"-"&amp;$G138)</f>
        <v/>
      </c>
      <c r="B138" s="15" t="n"/>
      <c r="C138" s="16" t="n"/>
      <c r="D138" s="10" t="n"/>
      <c r="E138" s="9" t="n"/>
      <c r="F138" s="9" t="n"/>
      <c r="G138" s="13" t="n"/>
      <c r="H138" s="21" t="n"/>
      <c r="I138" s="21" t="n"/>
      <c r="J138" s="17">
        <f>IF($G138="","",IFERROR(INDEX(NomsEmployes,MATCH($G138,MatriculesEmployes,0)),"MATRICULE INCONNU"))</f>
        <v/>
      </c>
      <c r="K138" s="33">
        <f>IF(OR($D138="",$F138=""),"",IFERROR(IF(INDEX(RUNS!$L$6:$S$1005,MATCH($D138,RUNS!$A$6:$A$1005,0),MATCH("ACTIVITÉ "&amp;$F138,RUNS!$L$5:$S$5,0))="","",INDEX(RUNS!$L$6:$S$1005,MATCH($D138,RUNS!$A$6:$A$1005,0),MATCH("ACTIVITÉ "&amp;$F138,RUNS!$L$5:$S$5,0))),""))</f>
        <v/>
      </c>
      <c r="L138" s="33">
        <f>IF($D138="","",IFERROR(IF(INDEX(RUNS!$E$6:$E$1005,MATCH($D138,RUNS!$A$6:$A$1005,0))="","",INDEX(RUNS!$E$6:$E$1005,MATCH($D138,RUNS!$A$6:$A$1005,0))),""))</f>
        <v/>
      </c>
      <c r="M138" s="33">
        <f>IF($D138="","",IFERROR(IF(INDEX(RUNS!$F$6:$F$1005,MATCH($D138,RUNS!$A$6:$A$1005,0))="","",INDEX(RUNS!$F$6:$F$1005,MATCH($D138,RUNS!$A$6:$A$1005,0))),""))</f>
        <v/>
      </c>
      <c r="N138" s="33">
        <f>IF($D138="","",IFERROR(IF(INDEX(RUNS!$G$6:$G$1005,MATCH($D138,RUNS!$A$6:$A$1005,0))="","",INDEX(RUNS!$G$6:$G$1005,MATCH($D138,RUNS!$A$6:$A$1005,0))),""))</f>
        <v/>
      </c>
      <c r="O138" s="33">
        <f>IF($D138="","",IFERROR(IF(INDEX(RUNS!$H$6:$H$1005,MATCH($D138,RUNS!$A$6:$A$1005,0))="","",INDEX(RUNS!$H$6:$H$1005,MATCH($D138,RUNS!$A$6:$A$1005,0))),""))</f>
        <v/>
      </c>
      <c r="P138" s="33">
        <f>IF($D138="","",IFERROR(IF(INDEX(RUNS!$J$6:$J$1005,MATCH($D138,RUNS!$A$6:$A$1005,0))="","",INDEX(RUNS!$J$6:$J$1005,MATCH($D138,RUNS!$A$6:$A$1005,0))),""))</f>
        <v/>
      </c>
      <c r="Q138" s="33">
        <f>IF($D138="","",IFERROR(IF(INDEX(RUNS!$K$6:$K$1005,MATCH($D138,RUNS!$A$6:$A$1005,0))="","",INDEX(RUNS!$K$6:$K$1005,MATCH($D138,RUNS!$A$6:$A$1005,0))),""))</f>
        <v/>
      </c>
      <c r="R138" s="34">
        <f>IF(OR($L138="",$K138=""),"",IFERROR(IF(INDEX(PARAMETRES!$H$43:$H$342,MATCH($L138&amp;"|"&amp;$M138&amp;"|"&amp;$N138&amp;"|"&amp;$O138&amp;"|"&amp;$P138&amp;"|"&amp;$Q138&amp;"|"&amp;$K138,PARAMETRES!$J$43:$J$342,0))="","",INDEX(PARAMETRES!$H$43:$H$342,MATCH($L138&amp;"|"&amp;$M138&amp;"|"&amp;$N138&amp;"|"&amp;$O138&amp;"|"&amp;$P138&amp;"|"&amp;$Q138&amp;"|"&amp;$K138,PARAMETRES!$J$43:$J$342,0))),""))</f>
        <v/>
      </c>
      <c r="S138" s="35">
        <f>IF(OR($G138="",$X138&lt;&gt;"VALIDE"),"",IFERROR(LOOKUP(2,1/(($B$3:$B137=$B138)*($G$3:$G137=$G138)*($X$3:$X137="VALIDE")),$C$3:$C137),""))</f>
        <v/>
      </c>
      <c r="T138" s="36">
        <f>IF(OR($C138="",$S138=""),"",ROUND(($C138-$S138+IF($C138&lt;$S138,1,0))*1440,0))</f>
        <v/>
      </c>
      <c r="U138" s="22">
        <f>IF(OR($H138="",$T138="",$T138&lt;=0),"",$H138*60/$T138)</f>
        <v/>
      </c>
      <c r="V138" s="37">
        <f>IF(OR($U138="",$R138="",$R138=0),"",$U138/$R138)</f>
        <v/>
      </c>
      <c r="W138" s="20">
        <f>IF($G138="","",IF($X138="CONTEXTE INCOMPLET","CONTEXTE INCOMPLET",IF($X138="DOUBLON",StatutDoublon,IF($S138="",StatutInitial,IF($R138="",StatutStandardManquant,IF($V138="","DONNEES INSUFFISANTES",IF($V138&gt;=SeuilConforme,StatutConforme,IF($V138&gt;=SeuilSurveiller,StatutSurveiller,StatutSousStandard))))))))</f>
        <v/>
      </c>
      <c r="X138" s="33">
        <f>IF($G138="","",IF(OR($D138="",$E138="",$F138=""),"CONTEXTE INCOMPLET",IF(COUNTIFS($D$3:$D137,$D138,$E$3:$E137,$E138,$F$3:$F137,$F138,$G$3:$G137,$G138)&gt;0,"DOUBLON","VALIDE")))</f>
        <v/>
      </c>
    </row>
    <row r="139" ht="15" customHeight="1">
      <c r="A139" s="12">
        <f>IF(OR($B139="",$G139=""),"",TEXT($B139,"YYYYMMDD")&amp;"-"&amp;SUBSTITUTE($E139," ","")&amp;"-"&amp;$F139&amp;"-"&amp;$G139)</f>
        <v/>
      </c>
      <c r="B139" s="15" t="n"/>
      <c r="C139" s="16" t="n"/>
      <c r="D139" s="10" t="n"/>
      <c r="E139" s="9" t="n"/>
      <c r="F139" s="9" t="n"/>
      <c r="G139" s="13" t="n"/>
      <c r="H139" s="21" t="n"/>
      <c r="I139" s="21" t="n"/>
      <c r="J139" s="17">
        <f>IF($G139="","",IFERROR(INDEX(NomsEmployes,MATCH($G139,MatriculesEmployes,0)),"MATRICULE INCONNU"))</f>
        <v/>
      </c>
      <c r="K139" s="33">
        <f>IF(OR($D139="",$F139=""),"",IFERROR(IF(INDEX(RUNS!$L$6:$S$1005,MATCH($D139,RUNS!$A$6:$A$1005,0),MATCH("ACTIVITÉ "&amp;$F139,RUNS!$L$5:$S$5,0))="","",INDEX(RUNS!$L$6:$S$1005,MATCH($D139,RUNS!$A$6:$A$1005,0),MATCH("ACTIVITÉ "&amp;$F139,RUNS!$L$5:$S$5,0))),""))</f>
        <v/>
      </c>
      <c r="L139" s="33">
        <f>IF($D139="","",IFERROR(IF(INDEX(RUNS!$E$6:$E$1005,MATCH($D139,RUNS!$A$6:$A$1005,0))="","",INDEX(RUNS!$E$6:$E$1005,MATCH($D139,RUNS!$A$6:$A$1005,0))),""))</f>
        <v/>
      </c>
      <c r="M139" s="33">
        <f>IF($D139="","",IFERROR(IF(INDEX(RUNS!$F$6:$F$1005,MATCH($D139,RUNS!$A$6:$A$1005,0))="","",INDEX(RUNS!$F$6:$F$1005,MATCH($D139,RUNS!$A$6:$A$1005,0))),""))</f>
        <v/>
      </c>
      <c r="N139" s="33">
        <f>IF($D139="","",IFERROR(IF(INDEX(RUNS!$G$6:$G$1005,MATCH($D139,RUNS!$A$6:$A$1005,0))="","",INDEX(RUNS!$G$6:$G$1005,MATCH($D139,RUNS!$A$6:$A$1005,0))),""))</f>
        <v/>
      </c>
      <c r="O139" s="33">
        <f>IF($D139="","",IFERROR(IF(INDEX(RUNS!$H$6:$H$1005,MATCH($D139,RUNS!$A$6:$A$1005,0))="","",INDEX(RUNS!$H$6:$H$1005,MATCH($D139,RUNS!$A$6:$A$1005,0))),""))</f>
        <v/>
      </c>
      <c r="P139" s="33">
        <f>IF($D139="","",IFERROR(IF(INDEX(RUNS!$J$6:$J$1005,MATCH($D139,RUNS!$A$6:$A$1005,0))="","",INDEX(RUNS!$J$6:$J$1005,MATCH($D139,RUNS!$A$6:$A$1005,0))),""))</f>
        <v/>
      </c>
      <c r="Q139" s="33">
        <f>IF($D139="","",IFERROR(IF(INDEX(RUNS!$K$6:$K$1005,MATCH($D139,RUNS!$A$6:$A$1005,0))="","",INDEX(RUNS!$K$6:$K$1005,MATCH($D139,RUNS!$A$6:$A$1005,0))),""))</f>
        <v/>
      </c>
      <c r="R139" s="34">
        <f>IF(OR($L139="",$K139=""),"",IFERROR(IF(INDEX(PARAMETRES!$H$43:$H$342,MATCH($L139&amp;"|"&amp;$M139&amp;"|"&amp;$N139&amp;"|"&amp;$O139&amp;"|"&amp;$P139&amp;"|"&amp;$Q139&amp;"|"&amp;$K139,PARAMETRES!$J$43:$J$342,0))="","",INDEX(PARAMETRES!$H$43:$H$342,MATCH($L139&amp;"|"&amp;$M139&amp;"|"&amp;$N139&amp;"|"&amp;$O139&amp;"|"&amp;$P139&amp;"|"&amp;$Q139&amp;"|"&amp;$K139,PARAMETRES!$J$43:$J$342,0))),""))</f>
        <v/>
      </c>
      <c r="S139" s="35">
        <f>IF(OR($G139="",$X139&lt;&gt;"VALIDE"),"",IFERROR(LOOKUP(2,1/(($B$3:$B138=$B139)*($G$3:$G138=$G139)*($X$3:$X138="VALIDE")),$C$3:$C138),""))</f>
        <v/>
      </c>
      <c r="T139" s="36">
        <f>IF(OR($C139="",$S139=""),"",ROUND(($C139-$S139+IF($C139&lt;$S139,1,0))*1440,0))</f>
        <v/>
      </c>
      <c r="U139" s="22">
        <f>IF(OR($H139="",$T139="",$T139&lt;=0),"",$H139*60/$T139)</f>
        <v/>
      </c>
      <c r="V139" s="37">
        <f>IF(OR($U139="",$R139="",$R139=0),"",$U139/$R139)</f>
        <v/>
      </c>
      <c r="W139" s="20">
        <f>IF($G139="","",IF($X139="CONTEXTE INCOMPLET","CONTEXTE INCOMPLET",IF($X139="DOUBLON",StatutDoublon,IF($S139="",StatutInitial,IF($R139="",StatutStandardManquant,IF($V139="","DONNEES INSUFFISANTES",IF($V139&gt;=SeuilConforme,StatutConforme,IF($V139&gt;=SeuilSurveiller,StatutSurveiller,StatutSousStandard))))))))</f>
        <v/>
      </c>
      <c r="X139" s="33">
        <f>IF($G139="","",IF(OR($D139="",$E139="",$F139=""),"CONTEXTE INCOMPLET",IF(COUNTIFS($D$3:$D138,$D139,$E$3:$E138,$E139,$F$3:$F138,$F139,$G$3:$G138,$G139)&gt;0,"DOUBLON","VALIDE")))</f>
        <v/>
      </c>
    </row>
    <row r="140" ht="15" customHeight="1">
      <c r="A140" s="12">
        <f>IF(OR($B140="",$G140=""),"",TEXT($B140,"YYYYMMDD")&amp;"-"&amp;SUBSTITUTE($E140," ","")&amp;"-"&amp;$F140&amp;"-"&amp;$G140)</f>
        <v/>
      </c>
      <c r="B140" s="15" t="n"/>
      <c r="C140" s="16" t="n"/>
      <c r="D140" s="10" t="n"/>
      <c r="E140" s="9" t="n"/>
      <c r="F140" s="9" t="n"/>
      <c r="G140" s="13" t="n"/>
      <c r="H140" s="21" t="n"/>
      <c r="I140" s="21" t="n"/>
      <c r="J140" s="17">
        <f>IF($G140="","",IFERROR(INDEX(NomsEmployes,MATCH($G140,MatriculesEmployes,0)),"MATRICULE INCONNU"))</f>
        <v/>
      </c>
      <c r="K140" s="33">
        <f>IF(OR($D140="",$F140=""),"",IFERROR(IF(INDEX(RUNS!$L$6:$S$1005,MATCH($D140,RUNS!$A$6:$A$1005,0),MATCH("ACTIVITÉ "&amp;$F140,RUNS!$L$5:$S$5,0))="","",INDEX(RUNS!$L$6:$S$1005,MATCH($D140,RUNS!$A$6:$A$1005,0),MATCH("ACTIVITÉ "&amp;$F140,RUNS!$L$5:$S$5,0))),""))</f>
        <v/>
      </c>
      <c r="L140" s="33">
        <f>IF($D140="","",IFERROR(IF(INDEX(RUNS!$E$6:$E$1005,MATCH($D140,RUNS!$A$6:$A$1005,0))="","",INDEX(RUNS!$E$6:$E$1005,MATCH($D140,RUNS!$A$6:$A$1005,0))),""))</f>
        <v/>
      </c>
      <c r="M140" s="33">
        <f>IF($D140="","",IFERROR(IF(INDEX(RUNS!$F$6:$F$1005,MATCH($D140,RUNS!$A$6:$A$1005,0))="","",INDEX(RUNS!$F$6:$F$1005,MATCH($D140,RUNS!$A$6:$A$1005,0))),""))</f>
        <v/>
      </c>
      <c r="N140" s="33">
        <f>IF($D140="","",IFERROR(IF(INDEX(RUNS!$G$6:$G$1005,MATCH($D140,RUNS!$A$6:$A$1005,0))="","",INDEX(RUNS!$G$6:$G$1005,MATCH($D140,RUNS!$A$6:$A$1005,0))),""))</f>
        <v/>
      </c>
      <c r="O140" s="33">
        <f>IF($D140="","",IFERROR(IF(INDEX(RUNS!$H$6:$H$1005,MATCH($D140,RUNS!$A$6:$A$1005,0))="","",INDEX(RUNS!$H$6:$H$1005,MATCH($D140,RUNS!$A$6:$A$1005,0))),""))</f>
        <v/>
      </c>
      <c r="P140" s="33">
        <f>IF($D140="","",IFERROR(IF(INDEX(RUNS!$J$6:$J$1005,MATCH($D140,RUNS!$A$6:$A$1005,0))="","",INDEX(RUNS!$J$6:$J$1005,MATCH($D140,RUNS!$A$6:$A$1005,0))),""))</f>
        <v/>
      </c>
      <c r="Q140" s="33">
        <f>IF($D140="","",IFERROR(IF(INDEX(RUNS!$K$6:$K$1005,MATCH($D140,RUNS!$A$6:$A$1005,0))="","",INDEX(RUNS!$K$6:$K$1005,MATCH($D140,RUNS!$A$6:$A$1005,0))),""))</f>
        <v/>
      </c>
      <c r="R140" s="34">
        <f>IF(OR($L140="",$K140=""),"",IFERROR(IF(INDEX(PARAMETRES!$H$43:$H$342,MATCH($L140&amp;"|"&amp;$M140&amp;"|"&amp;$N140&amp;"|"&amp;$O140&amp;"|"&amp;$P140&amp;"|"&amp;$Q140&amp;"|"&amp;$K140,PARAMETRES!$J$43:$J$342,0))="","",INDEX(PARAMETRES!$H$43:$H$342,MATCH($L140&amp;"|"&amp;$M140&amp;"|"&amp;$N140&amp;"|"&amp;$O140&amp;"|"&amp;$P140&amp;"|"&amp;$Q140&amp;"|"&amp;$K140,PARAMETRES!$J$43:$J$342,0))),""))</f>
        <v/>
      </c>
      <c r="S140" s="35">
        <f>IF(OR($G140="",$X140&lt;&gt;"VALIDE"),"",IFERROR(LOOKUP(2,1/(($B$3:$B139=$B140)*($G$3:$G139=$G140)*($X$3:$X139="VALIDE")),$C$3:$C139),""))</f>
        <v/>
      </c>
      <c r="T140" s="36">
        <f>IF(OR($C140="",$S140=""),"",ROUND(($C140-$S140+IF($C140&lt;$S140,1,0))*1440,0))</f>
        <v/>
      </c>
      <c r="U140" s="22">
        <f>IF(OR($H140="",$T140="",$T140&lt;=0),"",$H140*60/$T140)</f>
        <v/>
      </c>
      <c r="V140" s="37">
        <f>IF(OR($U140="",$R140="",$R140=0),"",$U140/$R140)</f>
        <v/>
      </c>
      <c r="W140" s="20">
        <f>IF($G140="","",IF($X140="CONTEXTE INCOMPLET","CONTEXTE INCOMPLET",IF($X140="DOUBLON",StatutDoublon,IF($S140="",StatutInitial,IF($R140="",StatutStandardManquant,IF($V140="","DONNEES INSUFFISANTES",IF($V140&gt;=SeuilConforme,StatutConforme,IF($V140&gt;=SeuilSurveiller,StatutSurveiller,StatutSousStandard))))))))</f>
        <v/>
      </c>
      <c r="X140" s="33">
        <f>IF($G140="","",IF(OR($D140="",$E140="",$F140=""),"CONTEXTE INCOMPLET",IF(COUNTIFS($D$3:$D139,$D140,$E$3:$E139,$E140,$F$3:$F139,$F140,$G$3:$G139,$G140)&gt;0,"DOUBLON","VALIDE")))</f>
        <v/>
      </c>
    </row>
    <row r="141" ht="15" customHeight="1">
      <c r="A141" s="12">
        <f>IF(OR($B141="",$G141=""),"",TEXT($B141,"YYYYMMDD")&amp;"-"&amp;SUBSTITUTE($E141," ","")&amp;"-"&amp;$F141&amp;"-"&amp;$G141)</f>
        <v/>
      </c>
      <c r="B141" s="15" t="n"/>
      <c r="C141" s="16" t="n"/>
      <c r="D141" s="10" t="n"/>
      <c r="E141" s="9" t="n"/>
      <c r="F141" s="9" t="n"/>
      <c r="G141" s="13" t="n"/>
      <c r="H141" s="21" t="n"/>
      <c r="I141" s="21" t="n"/>
      <c r="J141" s="17">
        <f>IF($G141="","",IFERROR(INDEX(NomsEmployes,MATCH($G141,MatriculesEmployes,0)),"MATRICULE INCONNU"))</f>
        <v/>
      </c>
      <c r="K141" s="33">
        <f>IF(OR($D141="",$F141=""),"",IFERROR(IF(INDEX(RUNS!$L$6:$S$1005,MATCH($D141,RUNS!$A$6:$A$1005,0),MATCH("ACTIVITÉ "&amp;$F141,RUNS!$L$5:$S$5,0))="","",INDEX(RUNS!$L$6:$S$1005,MATCH($D141,RUNS!$A$6:$A$1005,0),MATCH("ACTIVITÉ "&amp;$F141,RUNS!$L$5:$S$5,0))),""))</f>
        <v/>
      </c>
      <c r="L141" s="33">
        <f>IF($D141="","",IFERROR(IF(INDEX(RUNS!$E$6:$E$1005,MATCH($D141,RUNS!$A$6:$A$1005,0))="","",INDEX(RUNS!$E$6:$E$1005,MATCH($D141,RUNS!$A$6:$A$1005,0))),""))</f>
        <v/>
      </c>
      <c r="M141" s="33">
        <f>IF($D141="","",IFERROR(IF(INDEX(RUNS!$F$6:$F$1005,MATCH($D141,RUNS!$A$6:$A$1005,0))="","",INDEX(RUNS!$F$6:$F$1005,MATCH($D141,RUNS!$A$6:$A$1005,0))),""))</f>
        <v/>
      </c>
      <c r="N141" s="33">
        <f>IF($D141="","",IFERROR(IF(INDEX(RUNS!$G$6:$G$1005,MATCH($D141,RUNS!$A$6:$A$1005,0))="","",INDEX(RUNS!$G$6:$G$1005,MATCH($D141,RUNS!$A$6:$A$1005,0))),""))</f>
        <v/>
      </c>
      <c r="O141" s="33">
        <f>IF($D141="","",IFERROR(IF(INDEX(RUNS!$H$6:$H$1005,MATCH($D141,RUNS!$A$6:$A$1005,0))="","",INDEX(RUNS!$H$6:$H$1005,MATCH($D141,RUNS!$A$6:$A$1005,0))),""))</f>
        <v/>
      </c>
      <c r="P141" s="33">
        <f>IF($D141="","",IFERROR(IF(INDEX(RUNS!$J$6:$J$1005,MATCH($D141,RUNS!$A$6:$A$1005,0))="","",INDEX(RUNS!$J$6:$J$1005,MATCH($D141,RUNS!$A$6:$A$1005,0))),""))</f>
        <v/>
      </c>
      <c r="Q141" s="33">
        <f>IF($D141="","",IFERROR(IF(INDEX(RUNS!$K$6:$K$1005,MATCH($D141,RUNS!$A$6:$A$1005,0))="","",INDEX(RUNS!$K$6:$K$1005,MATCH($D141,RUNS!$A$6:$A$1005,0))),""))</f>
        <v/>
      </c>
      <c r="R141" s="34">
        <f>IF(OR($L141="",$K141=""),"",IFERROR(IF(INDEX(PARAMETRES!$H$43:$H$342,MATCH($L141&amp;"|"&amp;$M141&amp;"|"&amp;$N141&amp;"|"&amp;$O141&amp;"|"&amp;$P141&amp;"|"&amp;$Q141&amp;"|"&amp;$K141,PARAMETRES!$J$43:$J$342,0))="","",INDEX(PARAMETRES!$H$43:$H$342,MATCH($L141&amp;"|"&amp;$M141&amp;"|"&amp;$N141&amp;"|"&amp;$O141&amp;"|"&amp;$P141&amp;"|"&amp;$Q141&amp;"|"&amp;$K141,PARAMETRES!$J$43:$J$342,0))),""))</f>
        <v/>
      </c>
      <c r="S141" s="35">
        <f>IF(OR($G141="",$X141&lt;&gt;"VALIDE"),"",IFERROR(LOOKUP(2,1/(($B$3:$B140=$B141)*($G$3:$G140=$G141)*($X$3:$X140="VALIDE")),$C$3:$C140),""))</f>
        <v/>
      </c>
      <c r="T141" s="36">
        <f>IF(OR($C141="",$S141=""),"",ROUND(($C141-$S141+IF($C141&lt;$S141,1,0))*1440,0))</f>
        <v/>
      </c>
      <c r="U141" s="22">
        <f>IF(OR($H141="",$T141="",$T141&lt;=0),"",$H141*60/$T141)</f>
        <v/>
      </c>
      <c r="V141" s="37">
        <f>IF(OR($U141="",$R141="",$R141=0),"",$U141/$R141)</f>
        <v/>
      </c>
      <c r="W141" s="20">
        <f>IF($G141="","",IF($X141="CONTEXTE INCOMPLET","CONTEXTE INCOMPLET",IF($X141="DOUBLON",StatutDoublon,IF($S141="",StatutInitial,IF($R141="",StatutStandardManquant,IF($V141="","DONNEES INSUFFISANTES",IF($V141&gt;=SeuilConforme,StatutConforme,IF($V141&gt;=SeuilSurveiller,StatutSurveiller,StatutSousStandard))))))))</f>
        <v/>
      </c>
      <c r="X141" s="33">
        <f>IF($G141="","",IF(OR($D141="",$E141="",$F141=""),"CONTEXTE INCOMPLET",IF(COUNTIFS($D$3:$D140,$D141,$E$3:$E140,$E141,$F$3:$F140,$F141,$G$3:$G140,$G141)&gt;0,"DOUBLON","VALIDE")))</f>
        <v/>
      </c>
    </row>
    <row r="142" ht="15" customHeight="1">
      <c r="A142" s="12">
        <f>IF(OR($B142="",$G142=""),"",TEXT($B142,"YYYYMMDD")&amp;"-"&amp;SUBSTITUTE($E142," ","")&amp;"-"&amp;$F142&amp;"-"&amp;$G142)</f>
        <v/>
      </c>
      <c r="B142" s="15" t="n"/>
      <c r="C142" s="16" t="n"/>
      <c r="D142" s="10" t="n"/>
      <c r="E142" s="9" t="n"/>
      <c r="F142" s="9" t="n"/>
      <c r="G142" s="13" t="n"/>
      <c r="H142" s="21" t="n"/>
      <c r="I142" s="21" t="n"/>
      <c r="J142" s="17">
        <f>IF($G142="","",IFERROR(INDEX(NomsEmployes,MATCH($G142,MatriculesEmployes,0)),"MATRICULE INCONNU"))</f>
        <v/>
      </c>
      <c r="K142" s="33">
        <f>IF(OR($D142="",$F142=""),"",IFERROR(IF(INDEX(RUNS!$L$6:$S$1005,MATCH($D142,RUNS!$A$6:$A$1005,0),MATCH("ACTIVITÉ "&amp;$F142,RUNS!$L$5:$S$5,0))="","",INDEX(RUNS!$L$6:$S$1005,MATCH($D142,RUNS!$A$6:$A$1005,0),MATCH("ACTIVITÉ "&amp;$F142,RUNS!$L$5:$S$5,0))),""))</f>
        <v/>
      </c>
      <c r="L142" s="33">
        <f>IF($D142="","",IFERROR(IF(INDEX(RUNS!$E$6:$E$1005,MATCH($D142,RUNS!$A$6:$A$1005,0))="","",INDEX(RUNS!$E$6:$E$1005,MATCH($D142,RUNS!$A$6:$A$1005,0))),""))</f>
        <v/>
      </c>
      <c r="M142" s="33">
        <f>IF($D142="","",IFERROR(IF(INDEX(RUNS!$F$6:$F$1005,MATCH($D142,RUNS!$A$6:$A$1005,0))="","",INDEX(RUNS!$F$6:$F$1005,MATCH($D142,RUNS!$A$6:$A$1005,0))),""))</f>
        <v/>
      </c>
      <c r="N142" s="33">
        <f>IF($D142="","",IFERROR(IF(INDEX(RUNS!$G$6:$G$1005,MATCH($D142,RUNS!$A$6:$A$1005,0))="","",INDEX(RUNS!$G$6:$G$1005,MATCH($D142,RUNS!$A$6:$A$1005,0))),""))</f>
        <v/>
      </c>
      <c r="O142" s="33">
        <f>IF($D142="","",IFERROR(IF(INDEX(RUNS!$H$6:$H$1005,MATCH($D142,RUNS!$A$6:$A$1005,0))="","",INDEX(RUNS!$H$6:$H$1005,MATCH($D142,RUNS!$A$6:$A$1005,0))),""))</f>
        <v/>
      </c>
      <c r="P142" s="33">
        <f>IF($D142="","",IFERROR(IF(INDEX(RUNS!$J$6:$J$1005,MATCH($D142,RUNS!$A$6:$A$1005,0))="","",INDEX(RUNS!$J$6:$J$1005,MATCH($D142,RUNS!$A$6:$A$1005,0))),""))</f>
        <v/>
      </c>
      <c r="Q142" s="33">
        <f>IF($D142="","",IFERROR(IF(INDEX(RUNS!$K$6:$K$1005,MATCH($D142,RUNS!$A$6:$A$1005,0))="","",INDEX(RUNS!$K$6:$K$1005,MATCH($D142,RUNS!$A$6:$A$1005,0))),""))</f>
        <v/>
      </c>
      <c r="R142" s="34">
        <f>IF(OR($L142="",$K142=""),"",IFERROR(IF(INDEX(PARAMETRES!$H$43:$H$342,MATCH($L142&amp;"|"&amp;$M142&amp;"|"&amp;$N142&amp;"|"&amp;$O142&amp;"|"&amp;$P142&amp;"|"&amp;$Q142&amp;"|"&amp;$K142,PARAMETRES!$J$43:$J$342,0))="","",INDEX(PARAMETRES!$H$43:$H$342,MATCH($L142&amp;"|"&amp;$M142&amp;"|"&amp;$N142&amp;"|"&amp;$O142&amp;"|"&amp;$P142&amp;"|"&amp;$Q142&amp;"|"&amp;$K142,PARAMETRES!$J$43:$J$342,0))),""))</f>
        <v/>
      </c>
      <c r="S142" s="35">
        <f>IF(OR($G142="",$X142&lt;&gt;"VALIDE"),"",IFERROR(LOOKUP(2,1/(($B$3:$B141=$B142)*($G$3:$G141=$G142)*($X$3:$X141="VALIDE")),$C$3:$C141),""))</f>
        <v/>
      </c>
      <c r="T142" s="36">
        <f>IF(OR($C142="",$S142=""),"",ROUND(($C142-$S142+IF($C142&lt;$S142,1,0))*1440,0))</f>
        <v/>
      </c>
      <c r="U142" s="22">
        <f>IF(OR($H142="",$T142="",$T142&lt;=0),"",$H142*60/$T142)</f>
        <v/>
      </c>
      <c r="V142" s="37">
        <f>IF(OR($U142="",$R142="",$R142=0),"",$U142/$R142)</f>
        <v/>
      </c>
      <c r="W142" s="20">
        <f>IF($G142="","",IF($X142="CONTEXTE INCOMPLET","CONTEXTE INCOMPLET",IF($X142="DOUBLON",StatutDoublon,IF($S142="",StatutInitial,IF($R142="",StatutStandardManquant,IF($V142="","DONNEES INSUFFISANTES",IF($V142&gt;=SeuilConforme,StatutConforme,IF($V142&gt;=SeuilSurveiller,StatutSurveiller,StatutSousStandard))))))))</f>
        <v/>
      </c>
      <c r="X142" s="33">
        <f>IF($G142="","",IF(OR($D142="",$E142="",$F142=""),"CONTEXTE INCOMPLET",IF(COUNTIFS($D$3:$D141,$D142,$E$3:$E141,$E142,$F$3:$F141,$F142,$G$3:$G141,$G142)&gt;0,"DOUBLON","VALIDE")))</f>
        <v/>
      </c>
    </row>
    <row r="143" ht="15" customHeight="1">
      <c r="A143" s="12">
        <f>IF(OR($B143="",$G143=""),"",TEXT($B143,"YYYYMMDD")&amp;"-"&amp;SUBSTITUTE($E143," ","")&amp;"-"&amp;$F143&amp;"-"&amp;$G143)</f>
        <v/>
      </c>
      <c r="B143" s="15" t="n"/>
      <c r="C143" s="16" t="n"/>
      <c r="D143" s="10" t="n"/>
      <c r="E143" s="9" t="n"/>
      <c r="F143" s="9" t="n"/>
      <c r="G143" s="13" t="n"/>
      <c r="H143" s="21" t="n"/>
      <c r="I143" s="21" t="n"/>
      <c r="J143" s="17">
        <f>IF($G143="","",IFERROR(INDEX(NomsEmployes,MATCH($G143,MatriculesEmployes,0)),"MATRICULE INCONNU"))</f>
        <v/>
      </c>
      <c r="K143" s="33">
        <f>IF(OR($D143="",$F143=""),"",IFERROR(IF(INDEX(RUNS!$L$6:$S$1005,MATCH($D143,RUNS!$A$6:$A$1005,0),MATCH("ACTIVITÉ "&amp;$F143,RUNS!$L$5:$S$5,0))="","",INDEX(RUNS!$L$6:$S$1005,MATCH($D143,RUNS!$A$6:$A$1005,0),MATCH("ACTIVITÉ "&amp;$F143,RUNS!$L$5:$S$5,0))),""))</f>
        <v/>
      </c>
      <c r="L143" s="33">
        <f>IF($D143="","",IFERROR(IF(INDEX(RUNS!$E$6:$E$1005,MATCH($D143,RUNS!$A$6:$A$1005,0))="","",INDEX(RUNS!$E$6:$E$1005,MATCH($D143,RUNS!$A$6:$A$1005,0))),""))</f>
        <v/>
      </c>
      <c r="M143" s="33">
        <f>IF($D143="","",IFERROR(IF(INDEX(RUNS!$F$6:$F$1005,MATCH($D143,RUNS!$A$6:$A$1005,0))="","",INDEX(RUNS!$F$6:$F$1005,MATCH($D143,RUNS!$A$6:$A$1005,0))),""))</f>
        <v/>
      </c>
      <c r="N143" s="33">
        <f>IF($D143="","",IFERROR(IF(INDEX(RUNS!$G$6:$G$1005,MATCH($D143,RUNS!$A$6:$A$1005,0))="","",INDEX(RUNS!$G$6:$G$1005,MATCH($D143,RUNS!$A$6:$A$1005,0))),""))</f>
        <v/>
      </c>
      <c r="O143" s="33">
        <f>IF($D143="","",IFERROR(IF(INDEX(RUNS!$H$6:$H$1005,MATCH($D143,RUNS!$A$6:$A$1005,0))="","",INDEX(RUNS!$H$6:$H$1005,MATCH($D143,RUNS!$A$6:$A$1005,0))),""))</f>
        <v/>
      </c>
      <c r="P143" s="33">
        <f>IF($D143="","",IFERROR(IF(INDEX(RUNS!$J$6:$J$1005,MATCH($D143,RUNS!$A$6:$A$1005,0))="","",INDEX(RUNS!$J$6:$J$1005,MATCH($D143,RUNS!$A$6:$A$1005,0))),""))</f>
        <v/>
      </c>
      <c r="Q143" s="33">
        <f>IF($D143="","",IFERROR(IF(INDEX(RUNS!$K$6:$K$1005,MATCH($D143,RUNS!$A$6:$A$1005,0))="","",INDEX(RUNS!$K$6:$K$1005,MATCH($D143,RUNS!$A$6:$A$1005,0))),""))</f>
        <v/>
      </c>
      <c r="R143" s="34">
        <f>IF(OR($L143="",$K143=""),"",IFERROR(IF(INDEX(PARAMETRES!$H$43:$H$342,MATCH($L143&amp;"|"&amp;$M143&amp;"|"&amp;$N143&amp;"|"&amp;$O143&amp;"|"&amp;$P143&amp;"|"&amp;$Q143&amp;"|"&amp;$K143,PARAMETRES!$J$43:$J$342,0))="","",INDEX(PARAMETRES!$H$43:$H$342,MATCH($L143&amp;"|"&amp;$M143&amp;"|"&amp;$N143&amp;"|"&amp;$O143&amp;"|"&amp;$P143&amp;"|"&amp;$Q143&amp;"|"&amp;$K143,PARAMETRES!$J$43:$J$342,0))),""))</f>
        <v/>
      </c>
      <c r="S143" s="35">
        <f>IF(OR($G143="",$X143&lt;&gt;"VALIDE"),"",IFERROR(LOOKUP(2,1/(($B$3:$B142=$B143)*($G$3:$G142=$G143)*($X$3:$X142="VALIDE")),$C$3:$C142),""))</f>
        <v/>
      </c>
      <c r="T143" s="36">
        <f>IF(OR($C143="",$S143=""),"",ROUND(($C143-$S143+IF($C143&lt;$S143,1,0))*1440,0))</f>
        <v/>
      </c>
      <c r="U143" s="22">
        <f>IF(OR($H143="",$T143="",$T143&lt;=0),"",$H143*60/$T143)</f>
        <v/>
      </c>
      <c r="V143" s="37">
        <f>IF(OR($U143="",$R143="",$R143=0),"",$U143/$R143)</f>
        <v/>
      </c>
      <c r="W143" s="20">
        <f>IF($G143="","",IF($X143="CONTEXTE INCOMPLET","CONTEXTE INCOMPLET",IF($X143="DOUBLON",StatutDoublon,IF($S143="",StatutInitial,IF($R143="",StatutStandardManquant,IF($V143="","DONNEES INSUFFISANTES",IF($V143&gt;=SeuilConforme,StatutConforme,IF($V143&gt;=SeuilSurveiller,StatutSurveiller,StatutSousStandard))))))))</f>
        <v/>
      </c>
      <c r="X143" s="33">
        <f>IF($G143="","",IF(OR($D143="",$E143="",$F143=""),"CONTEXTE INCOMPLET",IF(COUNTIFS($D$3:$D142,$D143,$E$3:$E142,$E143,$F$3:$F142,$F143,$G$3:$G142,$G143)&gt;0,"DOUBLON","VALIDE")))</f>
        <v/>
      </c>
    </row>
    <row r="144" ht="15" customHeight="1">
      <c r="A144" s="12">
        <f>IF(OR($B144="",$G144=""),"",TEXT($B144,"YYYYMMDD")&amp;"-"&amp;SUBSTITUTE($E144," ","")&amp;"-"&amp;$F144&amp;"-"&amp;$G144)</f>
        <v/>
      </c>
      <c r="B144" s="15" t="n"/>
      <c r="C144" s="16" t="n"/>
      <c r="D144" s="10" t="n"/>
      <c r="E144" s="9" t="n"/>
      <c r="F144" s="9" t="n"/>
      <c r="G144" s="13" t="n"/>
      <c r="H144" s="21" t="n"/>
      <c r="I144" s="21" t="n"/>
      <c r="J144" s="17">
        <f>IF($G144="","",IFERROR(INDEX(NomsEmployes,MATCH($G144,MatriculesEmployes,0)),"MATRICULE INCONNU"))</f>
        <v/>
      </c>
      <c r="K144" s="33">
        <f>IF(OR($D144="",$F144=""),"",IFERROR(IF(INDEX(RUNS!$L$6:$S$1005,MATCH($D144,RUNS!$A$6:$A$1005,0),MATCH("ACTIVITÉ "&amp;$F144,RUNS!$L$5:$S$5,0))="","",INDEX(RUNS!$L$6:$S$1005,MATCH($D144,RUNS!$A$6:$A$1005,0),MATCH("ACTIVITÉ "&amp;$F144,RUNS!$L$5:$S$5,0))),""))</f>
        <v/>
      </c>
      <c r="L144" s="33">
        <f>IF($D144="","",IFERROR(IF(INDEX(RUNS!$E$6:$E$1005,MATCH($D144,RUNS!$A$6:$A$1005,0))="","",INDEX(RUNS!$E$6:$E$1005,MATCH($D144,RUNS!$A$6:$A$1005,0))),""))</f>
        <v/>
      </c>
      <c r="M144" s="33">
        <f>IF($D144="","",IFERROR(IF(INDEX(RUNS!$F$6:$F$1005,MATCH($D144,RUNS!$A$6:$A$1005,0))="","",INDEX(RUNS!$F$6:$F$1005,MATCH($D144,RUNS!$A$6:$A$1005,0))),""))</f>
        <v/>
      </c>
      <c r="N144" s="33">
        <f>IF($D144="","",IFERROR(IF(INDEX(RUNS!$G$6:$G$1005,MATCH($D144,RUNS!$A$6:$A$1005,0))="","",INDEX(RUNS!$G$6:$G$1005,MATCH($D144,RUNS!$A$6:$A$1005,0))),""))</f>
        <v/>
      </c>
      <c r="O144" s="33">
        <f>IF($D144="","",IFERROR(IF(INDEX(RUNS!$H$6:$H$1005,MATCH($D144,RUNS!$A$6:$A$1005,0))="","",INDEX(RUNS!$H$6:$H$1005,MATCH($D144,RUNS!$A$6:$A$1005,0))),""))</f>
        <v/>
      </c>
      <c r="P144" s="33">
        <f>IF($D144="","",IFERROR(IF(INDEX(RUNS!$J$6:$J$1005,MATCH($D144,RUNS!$A$6:$A$1005,0))="","",INDEX(RUNS!$J$6:$J$1005,MATCH($D144,RUNS!$A$6:$A$1005,0))),""))</f>
        <v/>
      </c>
      <c r="Q144" s="33">
        <f>IF($D144="","",IFERROR(IF(INDEX(RUNS!$K$6:$K$1005,MATCH($D144,RUNS!$A$6:$A$1005,0))="","",INDEX(RUNS!$K$6:$K$1005,MATCH($D144,RUNS!$A$6:$A$1005,0))),""))</f>
        <v/>
      </c>
      <c r="R144" s="34">
        <f>IF(OR($L144="",$K144=""),"",IFERROR(IF(INDEX(PARAMETRES!$H$43:$H$342,MATCH($L144&amp;"|"&amp;$M144&amp;"|"&amp;$N144&amp;"|"&amp;$O144&amp;"|"&amp;$P144&amp;"|"&amp;$Q144&amp;"|"&amp;$K144,PARAMETRES!$J$43:$J$342,0))="","",INDEX(PARAMETRES!$H$43:$H$342,MATCH($L144&amp;"|"&amp;$M144&amp;"|"&amp;$N144&amp;"|"&amp;$O144&amp;"|"&amp;$P144&amp;"|"&amp;$Q144&amp;"|"&amp;$K144,PARAMETRES!$J$43:$J$342,0))),""))</f>
        <v/>
      </c>
      <c r="S144" s="35">
        <f>IF(OR($G144="",$X144&lt;&gt;"VALIDE"),"",IFERROR(LOOKUP(2,1/(($B$3:$B143=$B144)*($G$3:$G143=$G144)*($X$3:$X143="VALIDE")),$C$3:$C143),""))</f>
        <v/>
      </c>
      <c r="T144" s="36">
        <f>IF(OR($C144="",$S144=""),"",ROUND(($C144-$S144+IF($C144&lt;$S144,1,0))*1440,0))</f>
        <v/>
      </c>
      <c r="U144" s="22">
        <f>IF(OR($H144="",$T144="",$T144&lt;=0),"",$H144*60/$T144)</f>
        <v/>
      </c>
      <c r="V144" s="37">
        <f>IF(OR($U144="",$R144="",$R144=0),"",$U144/$R144)</f>
        <v/>
      </c>
      <c r="W144" s="20">
        <f>IF($G144="","",IF($X144="CONTEXTE INCOMPLET","CONTEXTE INCOMPLET",IF($X144="DOUBLON",StatutDoublon,IF($S144="",StatutInitial,IF($R144="",StatutStandardManquant,IF($V144="","DONNEES INSUFFISANTES",IF($V144&gt;=SeuilConforme,StatutConforme,IF($V144&gt;=SeuilSurveiller,StatutSurveiller,StatutSousStandard))))))))</f>
        <v/>
      </c>
      <c r="X144" s="33">
        <f>IF($G144="","",IF(OR($D144="",$E144="",$F144=""),"CONTEXTE INCOMPLET",IF(COUNTIFS($D$3:$D143,$D144,$E$3:$E143,$E144,$F$3:$F143,$F144,$G$3:$G143,$G144)&gt;0,"DOUBLON","VALIDE")))</f>
        <v/>
      </c>
    </row>
    <row r="145" ht="15" customHeight="1">
      <c r="A145" s="12">
        <f>IF(OR($B145="",$G145=""),"",TEXT($B145,"YYYYMMDD")&amp;"-"&amp;SUBSTITUTE($E145," ","")&amp;"-"&amp;$F145&amp;"-"&amp;$G145)</f>
        <v/>
      </c>
      <c r="B145" s="15" t="n"/>
      <c r="C145" s="16" t="n"/>
      <c r="D145" s="10" t="n"/>
      <c r="E145" s="9" t="n"/>
      <c r="F145" s="9" t="n"/>
      <c r="G145" s="13" t="n"/>
      <c r="H145" s="21" t="n"/>
      <c r="I145" s="21" t="n"/>
      <c r="J145" s="17">
        <f>IF($G145="","",IFERROR(INDEX(NomsEmployes,MATCH($G145,MatriculesEmployes,0)),"MATRICULE INCONNU"))</f>
        <v/>
      </c>
      <c r="K145" s="33">
        <f>IF(OR($D145="",$F145=""),"",IFERROR(IF(INDEX(RUNS!$L$6:$S$1005,MATCH($D145,RUNS!$A$6:$A$1005,0),MATCH("ACTIVITÉ "&amp;$F145,RUNS!$L$5:$S$5,0))="","",INDEX(RUNS!$L$6:$S$1005,MATCH($D145,RUNS!$A$6:$A$1005,0),MATCH("ACTIVITÉ "&amp;$F145,RUNS!$L$5:$S$5,0))),""))</f>
        <v/>
      </c>
      <c r="L145" s="33">
        <f>IF($D145="","",IFERROR(IF(INDEX(RUNS!$E$6:$E$1005,MATCH($D145,RUNS!$A$6:$A$1005,0))="","",INDEX(RUNS!$E$6:$E$1005,MATCH($D145,RUNS!$A$6:$A$1005,0))),""))</f>
        <v/>
      </c>
      <c r="M145" s="33">
        <f>IF($D145="","",IFERROR(IF(INDEX(RUNS!$F$6:$F$1005,MATCH($D145,RUNS!$A$6:$A$1005,0))="","",INDEX(RUNS!$F$6:$F$1005,MATCH($D145,RUNS!$A$6:$A$1005,0))),""))</f>
        <v/>
      </c>
      <c r="N145" s="33">
        <f>IF($D145="","",IFERROR(IF(INDEX(RUNS!$G$6:$G$1005,MATCH($D145,RUNS!$A$6:$A$1005,0))="","",INDEX(RUNS!$G$6:$G$1005,MATCH($D145,RUNS!$A$6:$A$1005,0))),""))</f>
        <v/>
      </c>
      <c r="O145" s="33">
        <f>IF($D145="","",IFERROR(IF(INDEX(RUNS!$H$6:$H$1005,MATCH($D145,RUNS!$A$6:$A$1005,0))="","",INDEX(RUNS!$H$6:$H$1005,MATCH($D145,RUNS!$A$6:$A$1005,0))),""))</f>
        <v/>
      </c>
      <c r="P145" s="33">
        <f>IF($D145="","",IFERROR(IF(INDEX(RUNS!$J$6:$J$1005,MATCH($D145,RUNS!$A$6:$A$1005,0))="","",INDEX(RUNS!$J$6:$J$1005,MATCH($D145,RUNS!$A$6:$A$1005,0))),""))</f>
        <v/>
      </c>
      <c r="Q145" s="33">
        <f>IF($D145="","",IFERROR(IF(INDEX(RUNS!$K$6:$K$1005,MATCH($D145,RUNS!$A$6:$A$1005,0))="","",INDEX(RUNS!$K$6:$K$1005,MATCH($D145,RUNS!$A$6:$A$1005,0))),""))</f>
        <v/>
      </c>
      <c r="R145" s="34">
        <f>IF(OR($L145="",$K145=""),"",IFERROR(IF(INDEX(PARAMETRES!$H$43:$H$342,MATCH($L145&amp;"|"&amp;$M145&amp;"|"&amp;$N145&amp;"|"&amp;$O145&amp;"|"&amp;$P145&amp;"|"&amp;$Q145&amp;"|"&amp;$K145,PARAMETRES!$J$43:$J$342,0))="","",INDEX(PARAMETRES!$H$43:$H$342,MATCH($L145&amp;"|"&amp;$M145&amp;"|"&amp;$N145&amp;"|"&amp;$O145&amp;"|"&amp;$P145&amp;"|"&amp;$Q145&amp;"|"&amp;$K145,PARAMETRES!$J$43:$J$342,0))),""))</f>
        <v/>
      </c>
      <c r="S145" s="35">
        <f>IF(OR($G145="",$X145&lt;&gt;"VALIDE"),"",IFERROR(LOOKUP(2,1/(($B$3:$B144=$B145)*($G$3:$G144=$G145)*($X$3:$X144="VALIDE")),$C$3:$C144),""))</f>
        <v/>
      </c>
      <c r="T145" s="36">
        <f>IF(OR($C145="",$S145=""),"",ROUND(($C145-$S145+IF($C145&lt;$S145,1,0))*1440,0))</f>
        <v/>
      </c>
      <c r="U145" s="22">
        <f>IF(OR($H145="",$T145="",$T145&lt;=0),"",$H145*60/$T145)</f>
        <v/>
      </c>
      <c r="V145" s="37">
        <f>IF(OR($U145="",$R145="",$R145=0),"",$U145/$R145)</f>
        <v/>
      </c>
      <c r="W145" s="20">
        <f>IF($G145="","",IF($X145="CONTEXTE INCOMPLET","CONTEXTE INCOMPLET",IF($X145="DOUBLON",StatutDoublon,IF($S145="",StatutInitial,IF($R145="",StatutStandardManquant,IF($V145="","DONNEES INSUFFISANTES",IF($V145&gt;=SeuilConforme,StatutConforme,IF($V145&gt;=SeuilSurveiller,StatutSurveiller,StatutSousStandard))))))))</f>
        <v/>
      </c>
      <c r="X145" s="33">
        <f>IF($G145="","",IF(OR($D145="",$E145="",$F145=""),"CONTEXTE INCOMPLET",IF(COUNTIFS($D$3:$D144,$D145,$E$3:$E144,$E145,$F$3:$F144,$F145,$G$3:$G144,$G145)&gt;0,"DOUBLON","VALIDE")))</f>
        <v/>
      </c>
    </row>
    <row r="146" ht="15" customHeight="1">
      <c r="A146" s="12">
        <f>IF(OR($B146="",$G146=""),"",TEXT($B146,"YYYYMMDD")&amp;"-"&amp;SUBSTITUTE($E146," ","")&amp;"-"&amp;$F146&amp;"-"&amp;$G146)</f>
        <v/>
      </c>
      <c r="B146" s="15" t="n"/>
      <c r="C146" s="16" t="n"/>
      <c r="D146" s="10" t="n"/>
      <c r="E146" s="9" t="n"/>
      <c r="F146" s="9" t="n"/>
      <c r="G146" s="13" t="n"/>
      <c r="H146" s="21" t="n"/>
      <c r="I146" s="21" t="n"/>
      <c r="J146" s="17">
        <f>IF($G146="","",IFERROR(INDEX(NomsEmployes,MATCH($G146,MatriculesEmployes,0)),"MATRICULE INCONNU"))</f>
        <v/>
      </c>
      <c r="K146" s="33">
        <f>IF(OR($D146="",$F146=""),"",IFERROR(IF(INDEX(RUNS!$L$6:$S$1005,MATCH($D146,RUNS!$A$6:$A$1005,0),MATCH("ACTIVITÉ "&amp;$F146,RUNS!$L$5:$S$5,0))="","",INDEX(RUNS!$L$6:$S$1005,MATCH($D146,RUNS!$A$6:$A$1005,0),MATCH("ACTIVITÉ "&amp;$F146,RUNS!$L$5:$S$5,0))),""))</f>
        <v/>
      </c>
      <c r="L146" s="33">
        <f>IF($D146="","",IFERROR(IF(INDEX(RUNS!$E$6:$E$1005,MATCH($D146,RUNS!$A$6:$A$1005,0))="","",INDEX(RUNS!$E$6:$E$1005,MATCH($D146,RUNS!$A$6:$A$1005,0))),""))</f>
        <v/>
      </c>
      <c r="M146" s="33">
        <f>IF($D146="","",IFERROR(IF(INDEX(RUNS!$F$6:$F$1005,MATCH($D146,RUNS!$A$6:$A$1005,0))="","",INDEX(RUNS!$F$6:$F$1005,MATCH($D146,RUNS!$A$6:$A$1005,0))),""))</f>
        <v/>
      </c>
      <c r="N146" s="33">
        <f>IF($D146="","",IFERROR(IF(INDEX(RUNS!$G$6:$G$1005,MATCH($D146,RUNS!$A$6:$A$1005,0))="","",INDEX(RUNS!$G$6:$G$1005,MATCH($D146,RUNS!$A$6:$A$1005,0))),""))</f>
        <v/>
      </c>
      <c r="O146" s="33">
        <f>IF($D146="","",IFERROR(IF(INDEX(RUNS!$H$6:$H$1005,MATCH($D146,RUNS!$A$6:$A$1005,0))="","",INDEX(RUNS!$H$6:$H$1005,MATCH($D146,RUNS!$A$6:$A$1005,0))),""))</f>
        <v/>
      </c>
      <c r="P146" s="33">
        <f>IF($D146="","",IFERROR(IF(INDEX(RUNS!$J$6:$J$1005,MATCH($D146,RUNS!$A$6:$A$1005,0))="","",INDEX(RUNS!$J$6:$J$1005,MATCH($D146,RUNS!$A$6:$A$1005,0))),""))</f>
        <v/>
      </c>
      <c r="Q146" s="33">
        <f>IF($D146="","",IFERROR(IF(INDEX(RUNS!$K$6:$K$1005,MATCH($D146,RUNS!$A$6:$A$1005,0))="","",INDEX(RUNS!$K$6:$K$1005,MATCH($D146,RUNS!$A$6:$A$1005,0))),""))</f>
        <v/>
      </c>
      <c r="R146" s="34">
        <f>IF(OR($L146="",$K146=""),"",IFERROR(IF(INDEX(PARAMETRES!$H$43:$H$342,MATCH($L146&amp;"|"&amp;$M146&amp;"|"&amp;$N146&amp;"|"&amp;$O146&amp;"|"&amp;$P146&amp;"|"&amp;$Q146&amp;"|"&amp;$K146,PARAMETRES!$J$43:$J$342,0))="","",INDEX(PARAMETRES!$H$43:$H$342,MATCH($L146&amp;"|"&amp;$M146&amp;"|"&amp;$N146&amp;"|"&amp;$O146&amp;"|"&amp;$P146&amp;"|"&amp;$Q146&amp;"|"&amp;$K146,PARAMETRES!$J$43:$J$342,0))),""))</f>
        <v/>
      </c>
      <c r="S146" s="35">
        <f>IF(OR($G146="",$X146&lt;&gt;"VALIDE"),"",IFERROR(LOOKUP(2,1/(($B$3:$B145=$B146)*($G$3:$G145=$G146)*($X$3:$X145="VALIDE")),$C$3:$C145),""))</f>
        <v/>
      </c>
      <c r="T146" s="36">
        <f>IF(OR($C146="",$S146=""),"",ROUND(($C146-$S146+IF($C146&lt;$S146,1,0))*1440,0))</f>
        <v/>
      </c>
      <c r="U146" s="22">
        <f>IF(OR($H146="",$T146="",$T146&lt;=0),"",$H146*60/$T146)</f>
        <v/>
      </c>
      <c r="V146" s="37">
        <f>IF(OR($U146="",$R146="",$R146=0),"",$U146/$R146)</f>
        <v/>
      </c>
      <c r="W146" s="20">
        <f>IF($G146="","",IF($X146="CONTEXTE INCOMPLET","CONTEXTE INCOMPLET",IF($X146="DOUBLON",StatutDoublon,IF($S146="",StatutInitial,IF($R146="",StatutStandardManquant,IF($V146="","DONNEES INSUFFISANTES",IF($V146&gt;=SeuilConforme,StatutConforme,IF($V146&gt;=SeuilSurveiller,StatutSurveiller,StatutSousStandard))))))))</f>
        <v/>
      </c>
      <c r="X146" s="33">
        <f>IF($G146="","",IF(OR($D146="",$E146="",$F146=""),"CONTEXTE INCOMPLET",IF(COUNTIFS($D$3:$D145,$D146,$E$3:$E145,$E146,$F$3:$F145,$F146,$G$3:$G145,$G146)&gt;0,"DOUBLON","VALIDE")))</f>
        <v/>
      </c>
    </row>
    <row r="147" ht="15" customHeight="1">
      <c r="A147" s="12">
        <f>IF(OR($B147="",$G147=""),"",TEXT($B147,"YYYYMMDD")&amp;"-"&amp;SUBSTITUTE($E147," ","")&amp;"-"&amp;$F147&amp;"-"&amp;$G147)</f>
        <v/>
      </c>
      <c r="B147" s="15" t="n"/>
      <c r="C147" s="16" t="n"/>
      <c r="D147" s="10" t="n"/>
      <c r="E147" s="9" t="n"/>
      <c r="F147" s="9" t="n"/>
      <c r="G147" s="13" t="n"/>
      <c r="H147" s="21" t="n"/>
      <c r="I147" s="21" t="n"/>
      <c r="J147" s="17">
        <f>IF($G147="","",IFERROR(INDEX(NomsEmployes,MATCH($G147,MatriculesEmployes,0)),"MATRICULE INCONNU"))</f>
        <v/>
      </c>
      <c r="K147" s="33">
        <f>IF(OR($D147="",$F147=""),"",IFERROR(IF(INDEX(RUNS!$L$6:$S$1005,MATCH($D147,RUNS!$A$6:$A$1005,0),MATCH("ACTIVITÉ "&amp;$F147,RUNS!$L$5:$S$5,0))="","",INDEX(RUNS!$L$6:$S$1005,MATCH($D147,RUNS!$A$6:$A$1005,0),MATCH("ACTIVITÉ "&amp;$F147,RUNS!$L$5:$S$5,0))),""))</f>
        <v/>
      </c>
      <c r="L147" s="33">
        <f>IF($D147="","",IFERROR(IF(INDEX(RUNS!$E$6:$E$1005,MATCH($D147,RUNS!$A$6:$A$1005,0))="","",INDEX(RUNS!$E$6:$E$1005,MATCH($D147,RUNS!$A$6:$A$1005,0))),""))</f>
        <v/>
      </c>
      <c r="M147" s="33">
        <f>IF($D147="","",IFERROR(IF(INDEX(RUNS!$F$6:$F$1005,MATCH($D147,RUNS!$A$6:$A$1005,0))="","",INDEX(RUNS!$F$6:$F$1005,MATCH($D147,RUNS!$A$6:$A$1005,0))),""))</f>
        <v/>
      </c>
      <c r="N147" s="33">
        <f>IF($D147="","",IFERROR(IF(INDEX(RUNS!$G$6:$G$1005,MATCH($D147,RUNS!$A$6:$A$1005,0))="","",INDEX(RUNS!$G$6:$G$1005,MATCH($D147,RUNS!$A$6:$A$1005,0))),""))</f>
        <v/>
      </c>
      <c r="O147" s="33">
        <f>IF($D147="","",IFERROR(IF(INDEX(RUNS!$H$6:$H$1005,MATCH($D147,RUNS!$A$6:$A$1005,0))="","",INDEX(RUNS!$H$6:$H$1005,MATCH($D147,RUNS!$A$6:$A$1005,0))),""))</f>
        <v/>
      </c>
      <c r="P147" s="33">
        <f>IF($D147="","",IFERROR(IF(INDEX(RUNS!$J$6:$J$1005,MATCH($D147,RUNS!$A$6:$A$1005,0))="","",INDEX(RUNS!$J$6:$J$1005,MATCH($D147,RUNS!$A$6:$A$1005,0))),""))</f>
        <v/>
      </c>
      <c r="Q147" s="33">
        <f>IF($D147="","",IFERROR(IF(INDEX(RUNS!$K$6:$K$1005,MATCH($D147,RUNS!$A$6:$A$1005,0))="","",INDEX(RUNS!$K$6:$K$1005,MATCH($D147,RUNS!$A$6:$A$1005,0))),""))</f>
        <v/>
      </c>
      <c r="R147" s="34">
        <f>IF(OR($L147="",$K147=""),"",IFERROR(IF(INDEX(PARAMETRES!$H$43:$H$342,MATCH($L147&amp;"|"&amp;$M147&amp;"|"&amp;$N147&amp;"|"&amp;$O147&amp;"|"&amp;$P147&amp;"|"&amp;$Q147&amp;"|"&amp;$K147,PARAMETRES!$J$43:$J$342,0))="","",INDEX(PARAMETRES!$H$43:$H$342,MATCH($L147&amp;"|"&amp;$M147&amp;"|"&amp;$N147&amp;"|"&amp;$O147&amp;"|"&amp;$P147&amp;"|"&amp;$Q147&amp;"|"&amp;$K147,PARAMETRES!$J$43:$J$342,0))),""))</f>
        <v/>
      </c>
      <c r="S147" s="35">
        <f>IF(OR($G147="",$X147&lt;&gt;"VALIDE"),"",IFERROR(LOOKUP(2,1/(($B$3:$B146=$B147)*($G$3:$G146=$G147)*($X$3:$X146="VALIDE")),$C$3:$C146),""))</f>
        <v/>
      </c>
      <c r="T147" s="36">
        <f>IF(OR($C147="",$S147=""),"",ROUND(($C147-$S147+IF($C147&lt;$S147,1,0))*1440,0))</f>
        <v/>
      </c>
      <c r="U147" s="22">
        <f>IF(OR($H147="",$T147="",$T147&lt;=0),"",$H147*60/$T147)</f>
        <v/>
      </c>
      <c r="V147" s="37">
        <f>IF(OR($U147="",$R147="",$R147=0),"",$U147/$R147)</f>
        <v/>
      </c>
      <c r="W147" s="20">
        <f>IF($G147="","",IF($X147="CONTEXTE INCOMPLET","CONTEXTE INCOMPLET",IF($X147="DOUBLON",StatutDoublon,IF($S147="",StatutInitial,IF($R147="",StatutStandardManquant,IF($V147="","DONNEES INSUFFISANTES",IF($V147&gt;=SeuilConforme,StatutConforme,IF($V147&gt;=SeuilSurveiller,StatutSurveiller,StatutSousStandard))))))))</f>
        <v/>
      </c>
      <c r="X147" s="33">
        <f>IF($G147="","",IF(OR($D147="",$E147="",$F147=""),"CONTEXTE INCOMPLET",IF(COUNTIFS($D$3:$D146,$D147,$E$3:$E146,$E147,$F$3:$F146,$F147,$G$3:$G146,$G147)&gt;0,"DOUBLON","VALIDE")))</f>
        <v/>
      </c>
    </row>
    <row r="148" ht="15" customHeight="1">
      <c r="A148" s="12">
        <f>IF(OR($B148="",$G148=""),"",TEXT($B148,"YYYYMMDD")&amp;"-"&amp;SUBSTITUTE($E148," ","")&amp;"-"&amp;$F148&amp;"-"&amp;$G148)</f>
        <v/>
      </c>
      <c r="B148" s="15" t="n"/>
      <c r="C148" s="16" t="n"/>
      <c r="D148" s="10" t="n"/>
      <c r="E148" s="9" t="n"/>
      <c r="F148" s="9" t="n"/>
      <c r="G148" s="13" t="n"/>
      <c r="H148" s="21" t="n"/>
      <c r="I148" s="21" t="n"/>
      <c r="J148" s="17">
        <f>IF($G148="","",IFERROR(INDEX(NomsEmployes,MATCH($G148,MatriculesEmployes,0)),"MATRICULE INCONNU"))</f>
        <v/>
      </c>
      <c r="K148" s="33">
        <f>IF(OR($D148="",$F148=""),"",IFERROR(IF(INDEX(RUNS!$L$6:$S$1005,MATCH($D148,RUNS!$A$6:$A$1005,0),MATCH("ACTIVITÉ "&amp;$F148,RUNS!$L$5:$S$5,0))="","",INDEX(RUNS!$L$6:$S$1005,MATCH($D148,RUNS!$A$6:$A$1005,0),MATCH("ACTIVITÉ "&amp;$F148,RUNS!$L$5:$S$5,0))),""))</f>
        <v/>
      </c>
      <c r="L148" s="33">
        <f>IF($D148="","",IFERROR(IF(INDEX(RUNS!$E$6:$E$1005,MATCH($D148,RUNS!$A$6:$A$1005,0))="","",INDEX(RUNS!$E$6:$E$1005,MATCH($D148,RUNS!$A$6:$A$1005,0))),""))</f>
        <v/>
      </c>
      <c r="M148" s="33">
        <f>IF($D148="","",IFERROR(IF(INDEX(RUNS!$F$6:$F$1005,MATCH($D148,RUNS!$A$6:$A$1005,0))="","",INDEX(RUNS!$F$6:$F$1005,MATCH($D148,RUNS!$A$6:$A$1005,0))),""))</f>
        <v/>
      </c>
      <c r="N148" s="33">
        <f>IF($D148="","",IFERROR(IF(INDEX(RUNS!$G$6:$G$1005,MATCH($D148,RUNS!$A$6:$A$1005,0))="","",INDEX(RUNS!$G$6:$G$1005,MATCH($D148,RUNS!$A$6:$A$1005,0))),""))</f>
        <v/>
      </c>
      <c r="O148" s="33">
        <f>IF($D148="","",IFERROR(IF(INDEX(RUNS!$H$6:$H$1005,MATCH($D148,RUNS!$A$6:$A$1005,0))="","",INDEX(RUNS!$H$6:$H$1005,MATCH($D148,RUNS!$A$6:$A$1005,0))),""))</f>
        <v/>
      </c>
      <c r="P148" s="33">
        <f>IF($D148="","",IFERROR(IF(INDEX(RUNS!$J$6:$J$1005,MATCH($D148,RUNS!$A$6:$A$1005,0))="","",INDEX(RUNS!$J$6:$J$1005,MATCH($D148,RUNS!$A$6:$A$1005,0))),""))</f>
        <v/>
      </c>
      <c r="Q148" s="33">
        <f>IF($D148="","",IFERROR(IF(INDEX(RUNS!$K$6:$K$1005,MATCH($D148,RUNS!$A$6:$A$1005,0))="","",INDEX(RUNS!$K$6:$K$1005,MATCH($D148,RUNS!$A$6:$A$1005,0))),""))</f>
        <v/>
      </c>
      <c r="R148" s="34">
        <f>IF(OR($L148="",$K148=""),"",IFERROR(IF(INDEX(PARAMETRES!$H$43:$H$342,MATCH($L148&amp;"|"&amp;$M148&amp;"|"&amp;$N148&amp;"|"&amp;$O148&amp;"|"&amp;$P148&amp;"|"&amp;$Q148&amp;"|"&amp;$K148,PARAMETRES!$J$43:$J$342,0))="","",INDEX(PARAMETRES!$H$43:$H$342,MATCH($L148&amp;"|"&amp;$M148&amp;"|"&amp;$N148&amp;"|"&amp;$O148&amp;"|"&amp;$P148&amp;"|"&amp;$Q148&amp;"|"&amp;$K148,PARAMETRES!$J$43:$J$342,0))),""))</f>
        <v/>
      </c>
      <c r="S148" s="35">
        <f>IF(OR($G148="",$X148&lt;&gt;"VALIDE"),"",IFERROR(LOOKUP(2,1/(($B$3:$B147=$B148)*($G$3:$G147=$G148)*($X$3:$X147="VALIDE")),$C$3:$C147),""))</f>
        <v/>
      </c>
      <c r="T148" s="36">
        <f>IF(OR($C148="",$S148=""),"",ROUND(($C148-$S148+IF($C148&lt;$S148,1,0))*1440,0))</f>
        <v/>
      </c>
      <c r="U148" s="22">
        <f>IF(OR($H148="",$T148="",$T148&lt;=0),"",$H148*60/$T148)</f>
        <v/>
      </c>
      <c r="V148" s="37">
        <f>IF(OR($U148="",$R148="",$R148=0),"",$U148/$R148)</f>
        <v/>
      </c>
      <c r="W148" s="20">
        <f>IF($G148="","",IF($X148="CONTEXTE INCOMPLET","CONTEXTE INCOMPLET",IF($X148="DOUBLON",StatutDoublon,IF($S148="",StatutInitial,IF($R148="",StatutStandardManquant,IF($V148="","DONNEES INSUFFISANTES",IF($V148&gt;=SeuilConforme,StatutConforme,IF($V148&gt;=SeuilSurveiller,StatutSurveiller,StatutSousStandard))))))))</f>
        <v/>
      </c>
      <c r="X148" s="33">
        <f>IF($G148="","",IF(OR($D148="",$E148="",$F148=""),"CONTEXTE INCOMPLET",IF(COUNTIFS($D$3:$D147,$D148,$E$3:$E147,$E148,$F$3:$F147,$F148,$G$3:$G147,$G148)&gt;0,"DOUBLON","VALIDE")))</f>
        <v/>
      </c>
    </row>
    <row r="149" ht="15" customHeight="1">
      <c r="A149" s="12">
        <f>IF(OR($B149="",$G149=""),"",TEXT($B149,"YYYYMMDD")&amp;"-"&amp;SUBSTITUTE($E149," ","")&amp;"-"&amp;$F149&amp;"-"&amp;$G149)</f>
        <v/>
      </c>
      <c r="B149" s="15" t="n"/>
      <c r="C149" s="16" t="n"/>
      <c r="D149" s="10" t="n"/>
      <c r="E149" s="9" t="n"/>
      <c r="F149" s="9" t="n"/>
      <c r="G149" s="13" t="n"/>
      <c r="H149" s="21" t="n"/>
      <c r="I149" s="21" t="n"/>
      <c r="J149" s="17">
        <f>IF($G149="","",IFERROR(INDEX(NomsEmployes,MATCH($G149,MatriculesEmployes,0)),"MATRICULE INCONNU"))</f>
        <v/>
      </c>
      <c r="K149" s="33">
        <f>IF(OR($D149="",$F149=""),"",IFERROR(IF(INDEX(RUNS!$L$6:$S$1005,MATCH($D149,RUNS!$A$6:$A$1005,0),MATCH("ACTIVITÉ "&amp;$F149,RUNS!$L$5:$S$5,0))="","",INDEX(RUNS!$L$6:$S$1005,MATCH($D149,RUNS!$A$6:$A$1005,0),MATCH("ACTIVITÉ "&amp;$F149,RUNS!$L$5:$S$5,0))),""))</f>
        <v/>
      </c>
      <c r="L149" s="33">
        <f>IF($D149="","",IFERROR(IF(INDEX(RUNS!$E$6:$E$1005,MATCH($D149,RUNS!$A$6:$A$1005,0))="","",INDEX(RUNS!$E$6:$E$1005,MATCH($D149,RUNS!$A$6:$A$1005,0))),""))</f>
        <v/>
      </c>
      <c r="M149" s="33">
        <f>IF($D149="","",IFERROR(IF(INDEX(RUNS!$F$6:$F$1005,MATCH($D149,RUNS!$A$6:$A$1005,0))="","",INDEX(RUNS!$F$6:$F$1005,MATCH($D149,RUNS!$A$6:$A$1005,0))),""))</f>
        <v/>
      </c>
      <c r="N149" s="33">
        <f>IF($D149="","",IFERROR(IF(INDEX(RUNS!$G$6:$G$1005,MATCH($D149,RUNS!$A$6:$A$1005,0))="","",INDEX(RUNS!$G$6:$G$1005,MATCH($D149,RUNS!$A$6:$A$1005,0))),""))</f>
        <v/>
      </c>
      <c r="O149" s="33">
        <f>IF($D149="","",IFERROR(IF(INDEX(RUNS!$H$6:$H$1005,MATCH($D149,RUNS!$A$6:$A$1005,0))="","",INDEX(RUNS!$H$6:$H$1005,MATCH($D149,RUNS!$A$6:$A$1005,0))),""))</f>
        <v/>
      </c>
      <c r="P149" s="33">
        <f>IF($D149="","",IFERROR(IF(INDEX(RUNS!$J$6:$J$1005,MATCH($D149,RUNS!$A$6:$A$1005,0))="","",INDEX(RUNS!$J$6:$J$1005,MATCH($D149,RUNS!$A$6:$A$1005,0))),""))</f>
        <v/>
      </c>
      <c r="Q149" s="33">
        <f>IF($D149="","",IFERROR(IF(INDEX(RUNS!$K$6:$K$1005,MATCH($D149,RUNS!$A$6:$A$1005,0))="","",INDEX(RUNS!$K$6:$K$1005,MATCH($D149,RUNS!$A$6:$A$1005,0))),""))</f>
        <v/>
      </c>
      <c r="R149" s="34">
        <f>IF(OR($L149="",$K149=""),"",IFERROR(IF(INDEX(PARAMETRES!$H$43:$H$342,MATCH($L149&amp;"|"&amp;$M149&amp;"|"&amp;$N149&amp;"|"&amp;$O149&amp;"|"&amp;$P149&amp;"|"&amp;$Q149&amp;"|"&amp;$K149,PARAMETRES!$J$43:$J$342,0))="","",INDEX(PARAMETRES!$H$43:$H$342,MATCH($L149&amp;"|"&amp;$M149&amp;"|"&amp;$N149&amp;"|"&amp;$O149&amp;"|"&amp;$P149&amp;"|"&amp;$Q149&amp;"|"&amp;$K149,PARAMETRES!$J$43:$J$342,0))),""))</f>
        <v/>
      </c>
      <c r="S149" s="35">
        <f>IF(OR($G149="",$X149&lt;&gt;"VALIDE"),"",IFERROR(LOOKUP(2,1/(($B$3:$B148=$B149)*($G$3:$G148=$G149)*($X$3:$X148="VALIDE")),$C$3:$C148),""))</f>
        <v/>
      </c>
      <c r="T149" s="36">
        <f>IF(OR($C149="",$S149=""),"",ROUND(($C149-$S149+IF($C149&lt;$S149,1,0))*1440,0))</f>
        <v/>
      </c>
      <c r="U149" s="22">
        <f>IF(OR($H149="",$T149="",$T149&lt;=0),"",$H149*60/$T149)</f>
        <v/>
      </c>
      <c r="V149" s="37">
        <f>IF(OR($U149="",$R149="",$R149=0),"",$U149/$R149)</f>
        <v/>
      </c>
      <c r="W149" s="20">
        <f>IF($G149="","",IF($X149="CONTEXTE INCOMPLET","CONTEXTE INCOMPLET",IF($X149="DOUBLON",StatutDoublon,IF($S149="",StatutInitial,IF($R149="",StatutStandardManquant,IF($V149="","DONNEES INSUFFISANTES",IF($V149&gt;=SeuilConforme,StatutConforme,IF($V149&gt;=SeuilSurveiller,StatutSurveiller,StatutSousStandard))))))))</f>
        <v/>
      </c>
      <c r="X149" s="33">
        <f>IF($G149="","",IF(OR($D149="",$E149="",$F149=""),"CONTEXTE INCOMPLET",IF(COUNTIFS($D$3:$D148,$D149,$E$3:$E148,$E149,$F$3:$F148,$F149,$G$3:$G148,$G149)&gt;0,"DOUBLON","VALIDE")))</f>
        <v/>
      </c>
    </row>
    <row r="150" ht="15" customHeight="1">
      <c r="A150" s="12">
        <f>IF(OR($B150="",$G150=""),"",TEXT($B150,"YYYYMMDD")&amp;"-"&amp;SUBSTITUTE($E150," ","")&amp;"-"&amp;$F150&amp;"-"&amp;$G150)</f>
        <v/>
      </c>
      <c r="B150" s="15" t="n"/>
      <c r="C150" s="16" t="n"/>
      <c r="D150" s="10" t="n"/>
      <c r="E150" s="9" t="n"/>
      <c r="F150" s="9" t="n"/>
      <c r="G150" s="13" t="n"/>
      <c r="H150" s="21" t="n"/>
      <c r="I150" s="21" t="n"/>
      <c r="J150" s="17">
        <f>IF($G150="","",IFERROR(INDEX(NomsEmployes,MATCH($G150,MatriculesEmployes,0)),"MATRICULE INCONNU"))</f>
        <v/>
      </c>
      <c r="K150" s="33">
        <f>IF(OR($D150="",$F150=""),"",IFERROR(IF(INDEX(RUNS!$L$6:$S$1005,MATCH($D150,RUNS!$A$6:$A$1005,0),MATCH("ACTIVITÉ "&amp;$F150,RUNS!$L$5:$S$5,0))="","",INDEX(RUNS!$L$6:$S$1005,MATCH($D150,RUNS!$A$6:$A$1005,0),MATCH("ACTIVITÉ "&amp;$F150,RUNS!$L$5:$S$5,0))),""))</f>
        <v/>
      </c>
      <c r="L150" s="33">
        <f>IF($D150="","",IFERROR(IF(INDEX(RUNS!$E$6:$E$1005,MATCH($D150,RUNS!$A$6:$A$1005,0))="","",INDEX(RUNS!$E$6:$E$1005,MATCH($D150,RUNS!$A$6:$A$1005,0))),""))</f>
        <v/>
      </c>
      <c r="M150" s="33">
        <f>IF($D150="","",IFERROR(IF(INDEX(RUNS!$F$6:$F$1005,MATCH($D150,RUNS!$A$6:$A$1005,0))="","",INDEX(RUNS!$F$6:$F$1005,MATCH($D150,RUNS!$A$6:$A$1005,0))),""))</f>
        <v/>
      </c>
      <c r="N150" s="33">
        <f>IF($D150="","",IFERROR(IF(INDEX(RUNS!$G$6:$G$1005,MATCH($D150,RUNS!$A$6:$A$1005,0))="","",INDEX(RUNS!$G$6:$G$1005,MATCH($D150,RUNS!$A$6:$A$1005,0))),""))</f>
        <v/>
      </c>
      <c r="O150" s="33">
        <f>IF($D150="","",IFERROR(IF(INDEX(RUNS!$H$6:$H$1005,MATCH($D150,RUNS!$A$6:$A$1005,0))="","",INDEX(RUNS!$H$6:$H$1005,MATCH($D150,RUNS!$A$6:$A$1005,0))),""))</f>
        <v/>
      </c>
      <c r="P150" s="33">
        <f>IF($D150="","",IFERROR(IF(INDEX(RUNS!$J$6:$J$1005,MATCH($D150,RUNS!$A$6:$A$1005,0))="","",INDEX(RUNS!$J$6:$J$1005,MATCH($D150,RUNS!$A$6:$A$1005,0))),""))</f>
        <v/>
      </c>
      <c r="Q150" s="33">
        <f>IF($D150="","",IFERROR(IF(INDEX(RUNS!$K$6:$K$1005,MATCH($D150,RUNS!$A$6:$A$1005,0))="","",INDEX(RUNS!$K$6:$K$1005,MATCH($D150,RUNS!$A$6:$A$1005,0))),""))</f>
        <v/>
      </c>
      <c r="R150" s="34">
        <f>IF(OR($L150="",$K150=""),"",IFERROR(IF(INDEX(PARAMETRES!$H$43:$H$342,MATCH($L150&amp;"|"&amp;$M150&amp;"|"&amp;$N150&amp;"|"&amp;$O150&amp;"|"&amp;$P150&amp;"|"&amp;$Q150&amp;"|"&amp;$K150,PARAMETRES!$J$43:$J$342,0))="","",INDEX(PARAMETRES!$H$43:$H$342,MATCH($L150&amp;"|"&amp;$M150&amp;"|"&amp;$N150&amp;"|"&amp;$O150&amp;"|"&amp;$P150&amp;"|"&amp;$Q150&amp;"|"&amp;$K150,PARAMETRES!$J$43:$J$342,0))),""))</f>
        <v/>
      </c>
      <c r="S150" s="35">
        <f>IF(OR($G150="",$X150&lt;&gt;"VALIDE"),"",IFERROR(LOOKUP(2,1/(($B$3:$B149=$B150)*($G$3:$G149=$G150)*($X$3:$X149="VALIDE")),$C$3:$C149),""))</f>
        <v/>
      </c>
      <c r="T150" s="36">
        <f>IF(OR($C150="",$S150=""),"",ROUND(($C150-$S150+IF($C150&lt;$S150,1,0))*1440,0))</f>
        <v/>
      </c>
      <c r="U150" s="22">
        <f>IF(OR($H150="",$T150="",$T150&lt;=0),"",$H150*60/$T150)</f>
        <v/>
      </c>
      <c r="V150" s="37">
        <f>IF(OR($U150="",$R150="",$R150=0),"",$U150/$R150)</f>
        <v/>
      </c>
      <c r="W150" s="20">
        <f>IF($G150="","",IF($X150="CONTEXTE INCOMPLET","CONTEXTE INCOMPLET",IF($X150="DOUBLON",StatutDoublon,IF($S150="",StatutInitial,IF($R150="",StatutStandardManquant,IF($V150="","DONNEES INSUFFISANTES",IF($V150&gt;=SeuilConforme,StatutConforme,IF($V150&gt;=SeuilSurveiller,StatutSurveiller,StatutSousStandard))))))))</f>
        <v/>
      </c>
      <c r="X150" s="33">
        <f>IF($G150="","",IF(OR($D150="",$E150="",$F150=""),"CONTEXTE INCOMPLET",IF(COUNTIFS($D$3:$D149,$D150,$E$3:$E149,$E150,$F$3:$F149,$F150,$G$3:$G149,$G150)&gt;0,"DOUBLON","VALIDE")))</f>
        <v/>
      </c>
    </row>
    <row r="151" ht="15" customHeight="1">
      <c r="A151" s="12">
        <f>IF(OR($B151="",$G151=""),"",TEXT($B151,"YYYYMMDD")&amp;"-"&amp;SUBSTITUTE($E151," ","")&amp;"-"&amp;$F151&amp;"-"&amp;$G151)</f>
        <v/>
      </c>
      <c r="B151" s="15" t="n"/>
      <c r="C151" s="16" t="n"/>
      <c r="D151" s="10" t="n"/>
      <c r="E151" s="9" t="n"/>
      <c r="F151" s="9" t="n"/>
      <c r="G151" s="13" t="n"/>
      <c r="H151" s="21" t="n"/>
      <c r="I151" s="21" t="n"/>
      <c r="J151" s="17">
        <f>IF($G151="","",IFERROR(INDEX(NomsEmployes,MATCH($G151,MatriculesEmployes,0)),"MATRICULE INCONNU"))</f>
        <v/>
      </c>
      <c r="K151" s="33">
        <f>IF(OR($D151="",$F151=""),"",IFERROR(IF(INDEX(RUNS!$L$6:$S$1005,MATCH($D151,RUNS!$A$6:$A$1005,0),MATCH("ACTIVITÉ "&amp;$F151,RUNS!$L$5:$S$5,0))="","",INDEX(RUNS!$L$6:$S$1005,MATCH($D151,RUNS!$A$6:$A$1005,0),MATCH("ACTIVITÉ "&amp;$F151,RUNS!$L$5:$S$5,0))),""))</f>
        <v/>
      </c>
      <c r="L151" s="33">
        <f>IF($D151="","",IFERROR(IF(INDEX(RUNS!$E$6:$E$1005,MATCH($D151,RUNS!$A$6:$A$1005,0))="","",INDEX(RUNS!$E$6:$E$1005,MATCH($D151,RUNS!$A$6:$A$1005,0))),""))</f>
        <v/>
      </c>
      <c r="M151" s="33">
        <f>IF($D151="","",IFERROR(IF(INDEX(RUNS!$F$6:$F$1005,MATCH($D151,RUNS!$A$6:$A$1005,0))="","",INDEX(RUNS!$F$6:$F$1005,MATCH($D151,RUNS!$A$6:$A$1005,0))),""))</f>
        <v/>
      </c>
      <c r="N151" s="33">
        <f>IF($D151="","",IFERROR(IF(INDEX(RUNS!$G$6:$G$1005,MATCH($D151,RUNS!$A$6:$A$1005,0))="","",INDEX(RUNS!$G$6:$G$1005,MATCH($D151,RUNS!$A$6:$A$1005,0))),""))</f>
        <v/>
      </c>
      <c r="O151" s="33">
        <f>IF($D151="","",IFERROR(IF(INDEX(RUNS!$H$6:$H$1005,MATCH($D151,RUNS!$A$6:$A$1005,0))="","",INDEX(RUNS!$H$6:$H$1005,MATCH($D151,RUNS!$A$6:$A$1005,0))),""))</f>
        <v/>
      </c>
      <c r="P151" s="33">
        <f>IF($D151="","",IFERROR(IF(INDEX(RUNS!$J$6:$J$1005,MATCH($D151,RUNS!$A$6:$A$1005,0))="","",INDEX(RUNS!$J$6:$J$1005,MATCH($D151,RUNS!$A$6:$A$1005,0))),""))</f>
        <v/>
      </c>
      <c r="Q151" s="33">
        <f>IF($D151="","",IFERROR(IF(INDEX(RUNS!$K$6:$K$1005,MATCH($D151,RUNS!$A$6:$A$1005,0))="","",INDEX(RUNS!$K$6:$K$1005,MATCH($D151,RUNS!$A$6:$A$1005,0))),""))</f>
        <v/>
      </c>
      <c r="R151" s="34">
        <f>IF(OR($L151="",$K151=""),"",IFERROR(IF(INDEX(PARAMETRES!$H$43:$H$342,MATCH($L151&amp;"|"&amp;$M151&amp;"|"&amp;$N151&amp;"|"&amp;$O151&amp;"|"&amp;$P151&amp;"|"&amp;$Q151&amp;"|"&amp;$K151,PARAMETRES!$J$43:$J$342,0))="","",INDEX(PARAMETRES!$H$43:$H$342,MATCH($L151&amp;"|"&amp;$M151&amp;"|"&amp;$N151&amp;"|"&amp;$O151&amp;"|"&amp;$P151&amp;"|"&amp;$Q151&amp;"|"&amp;$K151,PARAMETRES!$J$43:$J$342,0))),""))</f>
        <v/>
      </c>
      <c r="S151" s="35">
        <f>IF(OR($G151="",$X151&lt;&gt;"VALIDE"),"",IFERROR(LOOKUP(2,1/(($B$3:$B150=$B151)*($G$3:$G150=$G151)*($X$3:$X150="VALIDE")),$C$3:$C150),""))</f>
        <v/>
      </c>
      <c r="T151" s="36">
        <f>IF(OR($C151="",$S151=""),"",ROUND(($C151-$S151+IF($C151&lt;$S151,1,0))*1440,0))</f>
        <v/>
      </c>
      <c r="U151" s="22">
        <f>IF(OR($H151="",$T151="",$T151&lt;=0),"",$H151*60/$T151)</f>
        <v/>
      </c>
      <c r="V151" s="37">
        <f>IF(OR($U151="",$R151="",$R151=0),"",$U151/$R151)</f>
        <v/>
      </c>
      <c r="W151" s="20">
        <f>IF($G151="","",IF($X151="CONTEXTE INCOMPLET","CONTEXTE INCOMPLET",IF($X151="DOUBLON",StatutDoublon,IF($S151="",StatutInitial,IF($R151="",StatutStandardManquant,IF($V151="","DONNEES INSUFFISANTES",IF($V151&gt;=SeuilConforme,StatutConforme,IF($V151&gt;=SeuilSurveiller,StatutSurveiller,StatutSousStandard))))))))</f>
        <v/>
      </c>
      <c r="X151" s="33">
        <f>IF($G151="","",IF(OR($D151="",$E151="",$F151=""),"CONTEXTE INCOMPLET",IF(COUNTIFS($D$3:$D150,$D151,$E$3:$E150,$E151,$F$3:$F150,$F151,$G$3:$G150,$G151)&gt;0,"DOUBLON","VALIDE")))</f>
        <v/>
      </c>
    </row>
    <row r="152" ht="15" customHeight="1">
      <c r="A152" s="12">
        <f>IF(OR($B152="",$G152=""),"",TEXT($B152,"YYYYMMDD")&amp;"-"&amp;SUBSTITUTE($E152," ","")&amp;"-"&amp;$F152&amp;"-"&amp;$G152)</f>
        <v/>
      </c>
      <c r="B152" s="15" t="n"/>
      <c r="C152" s="16" t="n"/>
      <c r="D152" s="10" t="n"/>
      <c r="E152" s="9" t="n"/>
      <c r="F152" s="9" t="n"/>
      <c r="G152" s="13" t="n"/>
      <c r="H152" s="21" t="n"/>
      <c r="I152" s="21" t="n"/>
      <c r="J152" s="17">
        <f>IF($G152="","",IFERROR(INDEX(NomsEmployes,MATCH($G152,MatriculesEmployes,0)),"MATRICULE INCONNU"))</f>
        <v/>
      </c>
      <c r="K152" s="33">
        <f>IF(OR($D152="",$F152=""),"",IFERROR(IF(INDEX(RUNS!$L$6:$S$1005,MATCH($D152,RUNS!$A$6:$A$1005,0),MATCH("ACTIVITÉ "&amp;$F152,RUNS!$L$5:$S$5,0))="","",INDEX(RUNS!$L$6:$S$1005,MATCH($D152,RUNS!$A$6:$A$1005,0),MATCH("ACTIVITÉ "&amp;$F152,RUNS!$L$5:$S$5,0))),""))</f>
        <v/>
      </c>
      <c r="L152" s="33">
        <f>IF($D152="","",IFERROR(IF(INDEX(RUNS!$E$6:$E$1005,MATCH($D152,RUNS!$A$6:$A$1005,0))="","",INDEX(RUNS!$E$6:$E$1005,MATCH($D152,RUNS!$A$6:$A$1005,0))),""))</f>
        <v/>
      </c>
      <c r="M152" s="33">
        <f>IF($D152="","",IFERROR(IF(INDEX(RUNS!$F$6:$F$1005,MATCH($D152,RUNS!$A$6:$A$1005,0))="","",INDEX(RUNS!$F$6:$F$1005,MATCH($D152,RUNS!$A$6:$A$1005,0))),""))</f>
        <v/>
      </c>
      <c r="N152" s="33">
        <f>IF($D152="","",IFERROR(IF(INDEX(RUNS!$G$6:$G$1005,MATCH($D152,RUNS!$A$6:$A$1005,0))="","",INDEX(RUNS!$G$6:$G$1005,MATCH($D152,RUNS!$A$6:$A$1005,0))),""))</f>
        <v/>
      </c>
      <c r="O152" s="33">
        <f>IF($D152="","",IFERROR(IF(INDEX(RUNS!$H$6:$H$1005,MATCH($D152,RUNS!$A$6:$A$1005,0))="","",INDEX(RUNS!$H$6:$H$1005,MATCH($D152,RUNS!$A$6:$A$1005,0))),""))</f>
        <v/>
      </c>
      <c r="P152" s="33">
        <f>IF($D152="","",IFERROR(IF(INDEX(RUNS!$J$6:$J$1005,MATCH($D152,RUNS!$A$6:$A$1005,0))="","",INDEX(RUNS!$J$6:$J$1005,MATCH($D152,RUNS!$A$6:$A$1005,0))),""))</f>
        <v/>
      </c>
      <c r="Q152" s="33">
        <f>IF($D152="","",IFERROR(IF(INDEX(RUNS!$K$6:$K$1005,MATCH($D152,RUNS!$A$6:$A$1005,0))="","",INDEX(RUNS!$K$6:$K$1005,MATCH($D152,RUNS!$A$6:$A$1005,0))),""))</f>
        <v/>
      </c>
      <c r="R152" s="34">
        <f>IF(OR($L152="",$K152=""),"",IFERROR(IF(INDEX(PARAMETRES!$H$43:$H$342,MATCH($L152&amp;"|"&amp;$M152&amp;"|"&amp;$N152&amp;"|"&amp;$O152&amp;"|"&amp;$P152&amp;"|"&amp;$Q152&amp;"|"&amp;$K152,PARAMETRES!$J$43:$J$342,0))="","",INDEX(PARAMETRES!$H$43:$H$342,MATCH($L152&amp;"|"&amp;$M152&amp;"|"&amp;$N152&amp;"|"&amp;$O152&amp;"|"&amp;$P152&amp;"|"&amp;$Q152&amp;"|"&amp;$K152,PARAMETRES!$J$43:$J$342,0))),""))</f>
        <v/>
      </c>
      <c r="S152" s="35">
        <f>IF(OR($G152="",$X152&lt;&gt;"VALIDE"),"",IFERROR(LOOKUP(2,1/(($B$3:$B151=$B152)*($G$3:$G151=$G152)*($X$3:$X151="VALIDE")),$C$3:$C151),""))</f>
        <v/>
      </c>
      <c r="T152" s="36">
        <f>IF(OR($C152="",$S152=""),"",ROUND(($C152-$S152+IF($C152&lt;$S152,1,0))*1440,0))</f>
        <v/>
      </c>
      <c r="U152" s="22">
        <f>IF(OR($H152="",$T152="",$T152&lt;=0),"",$H152*60/$T152)</f>
        <v/>
      </c>
      <c r="V152" s="37">
        <f>IF(OR($U152="",$R152="",$R152=0),"",$U152/$R152)</f>
        <v/>
      </c>
      <c r="W152" s="20">
        <f>IF($G152="","",IF($X152="CONTEXTE INCOMPLET","CONTEXTE INCOMPLET",IF($X152="DOUBLON",StatutDoublon,IF($S152="",StatutInitial,IF($R152="",StatutStandardManquant,IF($V152="","DONNEES INSUFFISANTES",IF($V152&gt;=SeuilConforme,StatutConforme,IF($V152&gt;=SeuilSurveiller,StatutSurveiller,StatutSousStandard))))))))</f>
        <v/>
      </c>
      <c r="X152" s="33">
        <f>IF($G152="","",IF(OR($D152="",$E152="",$F152=""),"CONTEXTE INCOMPLET",IF(COUNTIFS($D$3:$D151,$D152,$E$3:$E151,$E152,$F$3:$F151,$F152,$G$3:$G151,$G152)&gt;0,"DOUBLON","VALIDE")))</f>
        <v/>
      </c>
    </row>
    <row r="153" ht="15" customHeight="1">
      <c r="A153" s="12">
        <f>IF(OR($B153="",$G153=""),"",TEXT($B153,"YYYYMMDD")&amp;"-"&amp;SUBSTITUTE($E153," ","")&amp;"-"&amp;$F153&amp;"-"&amp;$G153)</f>
        <v/>
      </c>
      <c r="B153" s="15" t="n"/>
      <c r="C153" s="16" t="n"/>
      <c r="D153" s="10" t="n"/>
      <c r="E153" s="9" t="n"/>
      <c r="F153" s="9" t="n"/>
      <c r="G153" s="13" t="n"/>
      <c r="H153" s="21" t="n"/>
      <c r="I153" s="21" t="n"/>
      <c r="J153" s="17">
        <f>IF($G153="","",IFERROR(INDEX(NomsEmployes,MATCH($G153,MatriculesEmployes,0)),"MATRICULE INCONNU"))</f>
        <v/>
      </c>
      <c r="K153" s="33">
        <f>IF(OR($D153="",$F153=""),"",IFERROR(IF(INDEX(RUNS!$L$6:$S$1005,MATCH($D153,RUNS!$A$6:$A$1005,0),MATCH("ACTIVITÉ "&amp;$F153,RUNS!$L$5:$S$5,0))="","",INDEX(RUNS!$L$6:$S$1005,MATCH($D153,RUNS!$A$6:$A$1005,0),MATCH("ACTIVITÉ "&amp;$F153,RUNS!$L$5:$S$5,0))),""))</f>
        <v/>
      </c>
      <c r="L153" s="33">
        <f>IF($D153="","",IFERROR(IF(INDEX(RUNS!$E$6:$E$1005,MATCH($D153,RUNS!$A$6:$A$1005,0))="","",INDEX(RUNS!$E$6:$E$1005,MATCH($D153,RUNS!$A$6:$A$1005,0))),""))</f>
        <v/>
      </c>
      <c r="M153" s="33">
        <f>IF($D153="","",IFERROR(IF(INDEX(RUNS!$F$6:$F$1005,MATCH($D153,RUNS!$A$6:$A$1005,0))="","",INDEX(RUNS!$F$6:$F$1005,MATCH($D153,RUNS!$A$6:$A$1005,0))),""))</f>
        <v/>
      </c>
      <c r="N153" s="33">
        <f>IF($D153="","",IFERROR(IF(INDEX(RUNS!$G$6:$G$1005,MATCH($D153,RUNS!$A$6:$A$1005,0))="","",INDEX(RUNS!$G$6:$G$1005,MATCH($D153,RUNS!$A$6:$A$1005,0))),""))</f>
        <v/>
      </c>
      <c r="O153" s="33">
        <f>IF($D153="","",IFERROR(IF(INDEX(RUNS!$H$6:$H$1005,MATCH($D153,RUNS!$A$6:$A$1005,0))="","",INDEX(RUNS!$H$6:$H$1005,MATCH($D153,RUNS!$A$6:$A$1005,0))),""))</f>
        <v/>
      </c>
      <c r="P153" s="33">
        <f>IF($D153="","",IFERROR(IF(INDEX(RUNS!$J$6:$J$1005,MATCH($D153,RUNS!$A$6:$A$1005,0))="","",INDEX(RUNS!$J$6:$J$1005,MATCH($D153,RUNS!$A$6:$A$1005,0))),""))</f>
        <v/>
      </c>
      <c r="Q153" s="33">
        <f>IF($D153="","",IFERROR(IF(INDEX(RUNS!$K$6:$K$1005,MATCH($D153,RUNS!$A$6:$A$1005,0))="","",INDEX(RUNS!$K$6:$K$1005,MATCH($D153,RUNS!$A$6:$A$1005,0))),""))</f>
        <v/>
      </c>
      <c r="R153" s="34">
        <f>IF(OR($L153="",$K153=""),"",IFERROR(IF(INDEX(PARAMETRES!$H$43:$H$342,MATCH($L153&amp;"|"&amp;$M153&amp;"|"&amp;$N153&amp;"|"&amp;$O153&amp;"|"&amp;$P153&amp;"|"&amp;$Q153&amp;"|"&amp;$K153,PARAMETRES!$J$43:$J$342,0))="","",INDEX(PARAMETRES!$H$43:$H$342,MATCH($L153&amp;"|"&amp;$M153&amp;"|"&amp;$N153&amp;"|"&amp;$O153&amp;"|"&amp;$P153&amp;"|"&amp;$Q153&amp;"|"&amp;$K153,PARAMETRES!$J$43:$J$342,0))),""))</f>
        <v/>
      </c>
      <c r="S153" s="35">
        <f>IF(OR($G153="",$X153&lt;&gt;"VALIDE"),"",IFERROR(LOOKUP(2,1/(($B$3:$B152=$B153)*($G$3:$G152=$G153)*($X$3:$X152="VALIDE")),$C$3:$C152),""))</f>
        <v/>
      </c>
      <c r="T153" s="36">
        <f>IF(OR($C153="",$S153=""),"",ROUND(($C153-$S153+IF($C153&lt;$S153,1,0))*1440,0))</f>
        <v/>
      </c>
      <c r="U153" s="22">
        <f>IF(OR($H153="",$T153="",$T153&lt;=0),"",$H153*60/$T153)</f>
        <v/>
      </c>
      <c r="V153" s="37">
        <f>IF(OR($U153="",$R153="",$R153=0),"",$U153/$R153)</f>
        <v/>
      </c>
      <c r="W153" s="20">
        <f>IF($G153="","",IF($X153="CONTEXTE INCOMPLET","CONTEXTE INCOMPLET",IF($X153="DOUBLON",StatutDoublon,IF($S153="",StatutInitial,IF($R153="",StatutStandardManquant,IF($V153="","DONNEES INSUFFISANTES",IF($V153&gt;=SeuilConforme,StatutConforme,IF($V153&gt;=SeuilSurveiller,StatutSurveiller,StatutSousStandard))))))))</f>
        <v/>
      </c>
      <c r="X153" s="33">
        <f>IF($G153="","",IF(OR($D153="",$E153="",$F153=""),"CONTEXTE INCOMPLET",IF(COUNTIFS($D$3:$D152,$D153,$E$3:$E152,$E153,$F$3:$F152,$F153,$G$3:$G152,$G153)&gt;0,"DOUBLON","VALIDE")))</f>
        <v/>
      </c>
    </row>
    <row r="154" ht="15" customHeight="1">
      <c r="A154" s="12">
        <f>IF(OR($B154="",$G154=""),"",TEXT($B154,"YYYYMMDD")&amp;"-"&amp;SUBSTITUTE($E154," ","")&amp;"-"&amp;$F154&amp;"-"&amp;$G154)</f>
        <v/>
      </c>
      <c r="B154" s="15" t="n"/>
      <c r="C154" s="16" t="n"/>
      <c r="D154" s="10" t="n"/>
      <c r="E154" s="9" t="n"/>
      <c r="F154" s="9" t="n"/>
      <c r="G154" s="13" t="n"/>
      <c r="H154" s="21" t="n"/>
      <c r="I154" s="21" t="n"/>
      <c r="J154" s="17">
        <f>IF($G154="","",IFERROR(INDEX(NomsEmployes,MATCH($G154,MatriculesEmployes,0)),"MATRICULE INCONNU"))</f>
        <v/>
      </c>
      <c r="K154" s="33">
        <f>IF(OR($D154="",$F154=""),"",IFERROR(IF(INDEX(RUNS!$L$6:$S$1005,MATCH($D154,RUNS!$A$6:$A$1005,0),MATCH("ACTIVITÉ "&amp;$F154,RUNS!$L$5:$S$5,0))="","",INDEX(RUNS!$L$6:$S$1005,MATCH($D154,RUNS!$A$6:$A$1005,0),MATCH("ACTIVITÉ "&amp;$F154,RUNS!$L$5:$S$5,0))),""))</f>
        <v/>
      </c>
      <c r="L154" s="33">
        <f>IF($D154="","",IFERROR(IF(INDEX(RUNS!$E$6:$E$1005,MATCH($D154,RUNS!$A$6:$A$1005,0))="","",INDEX(RUNS!$E$6:$E$1005,MATCH($D154,RUNS!$A$6:$A$1005,0))),""))</f>
        <v/>
      </c>
      <c r="M154" s="33">
        <f>IF($D154="","",IFERROR(IF(INDEX(RUNS!$F$6:$F$1005,MATCH($D154,RUNS!$A$6:$A$1005,0))="","",INDEX(RUNS!$F$6:$F$1005,MATCH($D154,RUNS!$A$6:$A$1005,0))),""))</f>
        <v/>
      </c>
      <c r="N154" s="33">
        <f>IF($D154="","",IFERROR(IF(INDEX(RUNS!$G$6:$G$1005,MATCH($D154,RUNS!$A$6:$A$1005,0))="","",INDEX(RUNS!$G$6:$G$1005,MATCH($D154,RUNS!$A$6:$A$1005,0))),""))</f>
        <v/>
      </c>
      <c r="O154" s="33">
        <f>IF($D154="","",IFERROR(IF(INDEX(RUNS!$H$6:$H$1005,MATCH($D154,RUNS!$A$6:$A$1005,0))="","",INDEX(RUNS!$H$6:$H$1005,MATCH($D154,RUNS!$A$6:$A$1005,0))),""))</f>
        <v/>
      </c>
      <c r="P154" s="33">
        <f>IF($D154="","",IFERROR(IF(INDEX(RUNS!$J$6:$J$1005,MATCH($D154,RUNS!$A$6:$A$1005,0))="","",INDEX(RUNS!$J$6:$J$1005,MATCH($D154,RUNS!$A$6:$A$1005,0))),""))</f>
        <v/>
      </c>
      <c r="Q154" s="33">
        <f>IF($D154="","",IFERROR(IF(INDEX(RUNS!$K$6:$K$1005,MATCH($D154,RUNS!$A$6:$A$1005,0))="","",INDEX(RUNS!$K$6:$K$1005,MATCH($D154,RUNS!$A$6:$A$1005,0))),""))</f>
        <v/>
      </c>
      <c r="R154" s="34">
        <f>IF(OR($L154="",$K154=""),"",IFERROR(IF(INDEX(PARAMETRES!$H$43:$H$342,MATCH($L154&amp;"|"&amp;$M154&amp;"|"&amp;$N154&amp;"|"&amp;$O154&amp;"|"&amp;$P154&amp;"|"&amp;$Q154&amp;"|"&amp;$K154,PARAMETRES!$J$43:$J$342,0))="","",INDEX(PARAMETRES!$H$43:$H$342,MATCH($L154&amp;"|"&amp;$M154&amp;"|"&amp;$N154&amp;"|"&amp;$O154&amp;"|"&amp;$P154&amp;"|"&amp;$Q154&amp;"|"&amp;$K154,PARAMETRES!$J$43:$J$342,0))),""))</f>
        <v/>
      </c>
      <c r="S154" s="35">
        <f>IF(OR($G154="",$X154&lt;&gt;"VALIDE"),"",IFERROR(LOOKUP(2,1/(($B$3:$B153=$B154)*($G$3:$G153=$G154)*($X$3:$X153="VALIDE")),$C$3:$C153),""))</f>
        <v/>
      </c>
      <c r="T154" s="36">
        <f>IF(OR($C154="",$S154=""),"",ROUND(($C154-$S154+IF($C154&lt;$S154,1,0))*1440,0))</f>
        <v/>
      </c>
      <c r="U154" s="22">
        <f>IF(OR($H154="",$T154="",$T154&lt;=0),"",$H154*60/$T154)</f>
        <v/>
      </c>
      <c r="V154" s="37">
        <f>IF(OR($U154="",$R154="",$R154=0),"",$U154/$R154)</f>
        <v/>
      </c>
      <c r="W154" s="20">
        <f>IF($G154="","",IF($X154="CONTEXTE INCOMPLET","CONTEXTE INCOMPLET",IF($X154="DOUBLON",StatutDoublon,IF($S154="",StatutInitial,IF($R154="",StatutStandardManquant,IF($V154="","DONNEES INSUFFISANTES",IF($V154&gt;=SeuilConforme,StatutConforme,IF($V154&gt;=SeuilSurveiller,StatutSurveiller,StatutSousStandard))))))))</f>
        <v/>
      </c>
      <c r="X154" s="33">
        <f>IF($G154="","",IF(OR($D154="",$E154="",$F154=""),"CONTEXTE INCOMPLET",IF(COUNTIFS($D$3:$D153,$D154,$E$3:$E153,$E154,$F$3:$F153,$F154,$G$3:$G153,$G154)&gt;0,"DOUBLON","VALIDE")))</f>
        <v/>
      </c>
    </row>
    <row r="155" ht="15" customHeight="1">
      <c r="A155" s="12">
        <f>IF(OR($B155="",$G155=""),"",TEXT($B155,"YYYYMMDD")&amp;"-"&amp;SUBSTITUTE($E155," ","")&amp;"-"&amp;$F155&amp;"-"&amp;$G155)</f>
        <v/>
      </c>
      <c r="B155" s="15" t="n"/>
      <c r="C155" s="16" t="n"/>
      <c r="D155" s="10" t="n"/>
      <c r="E155" s="9" t="n"/>
      <c r="F155" s="9" t="n"/>
      <c r="G155" s="13" t="n"/>
      <c r="H155" s="21" t="n"/>
      <c r="I155" s="21" t="n"/>
      <c r="J155" s="17">
        <f>IF($G155="","",IFERROR(INDEX(NomsEmployes,MATCH($G155,MatriculesEmployes,0)),"MATRICULE INCONNU"))</f>
        <v/>
      </c>
      <c r="K155" s="33">
        <f>IF(OR($D155="",$F155=""),"",IFERROR(IF(INDEX(RUNS!$L$6:$S$1005,MATCH($D155,RUNS!$A$6:$A$1005,0),MATCH("ACTIVITÉ "&amp;$F155,RUNS!$L$5:$S$5,0))="","",INDEX(RUNS!$L$6:$S$1005,MATCH($D155,RUNS!$A$6:$A$1005,0),MATCH("ACTIVITÉ "&amp;$F155,RUNS!$L$5:$S$5,0))),""))</f>
        <v/>
      </c>
      <c r="L155" s="33">
        <f>IF($D155="","",IFERROR(IF(INDEX(RUNS!$E$6:$E$1005,MATCH($D155,RUNS!$A$6:$A$1005,0))="","",INDEX(RUNS!$E$6:$E$1005,MATCH($D155,RUNS!$A$6:$A$1005,0))),""))</f>
        <v/>
      </c>
      <c r="M155" s="33">
        <f>IF($D155="","",IFERROR(IF(INDEX(RUNS!$F$6:$F$1005,MATCH($D155,RUNS!$A$6:$A$1005,0))="","",INDEX(RUNS!$F$6:$F$1005,MATCH($D155,RUNS!$A$6:$A$1005,0))),""))</f>
        <v/>
      </c>
      <c r="N155" s="33">
        <f>IF($D155="","",IFERROR(IF(INDEX(RUNS!$G$6:$G$1005,MATCH($D155,RUNS!$A$6:$A$1005,0))="","",INDEX(RUNS!$G$6:$G$1005,MATCH($D155,RUNS!$A$6:$A$1005,0))),""))</f>
        <v/>
      </c>
      <c r="O155" s="33">
        <f>IF($D155="","",IFERROR(IF(INDEX(RUNS!$H$6:$H$1005,MATCH($D155,RUNS!$A$6:$A$1005,0))="","",INDEX(RUNS!$H$6:$H$1005,MATCH($D155,RUNS!$A$6:$A$1005,0))),""))</f>
        <v/>
      </c>
      <c r="P155" s="33">
        <f>IF($D155="","",IFERROR(IF(INDEX(RUNS!$J$6:$J$1005,MATCH($D155,RUNS!$A$6:$A$1005,0))="","",INDEX(RUNS!$J$6:$J$1005,MATCH($D155,RUNS!$A$6:$A$1005,0))),""))</f>
        <v/>
      </c>
      <c r="Q155" s="33">
        <f>IF($D155="","",IFERROR(IF(INDEX(RUNS!$K$6:$K$1005,MATCH($D155,RUNS!$A$6:$A$1005,0))="","",INDEX(RUNS!$K$6:$K$1005,MATCH($D155,RUNS!$A$6:$A$1005,0))),""))</f>
        <v/>
      </c>
      <c r="R155" s="34">
        <f>IF(OR($L155="",$K155=""),"",IFERROR(IF(INDEX(PARAMETRES!$H$43:$H$342,MATCH($L155&amp;"|"&amp;$M155&amp;"|"&amp;$N155&amp;"|"&amp;$O155&amp;"|"&amp;$P155&amp;"|"&amp;$Q155&amp;"|"&amp;$K155,PARAMETRES!$J$43:$J$342,0))="","",INDEX(PARAMETRES!$H$43:$H$342,MATCH($L155&amp;"|"&amp;$M155&amp;"|"&amp;$N155&amp;"|"&amp;$O155&amp;"|"&amp;$P155&amp;"|"&amp;$Q155&amp;"|"&amp;$K155,PARAMETRES!$J$43:$J$342,0))),""))</f>
        <v/>
      </c>
      <c r="S155" s="35">
        <f>IF(OR($G155="",$X155&lt;&gt;"VALIDE"),"",IFERROR(LOOKUP(2,1/(($B$3:$B154=$B155)*($G$3:$G154=$G155)*($X$3:$X154="VALIDE")),$C$3:$C154),""))</f>
        <v/>
      </c>
      <c r="T155" s="36">
        <f>IF(OR($C155="",$S155=""),"",ROUND(($C155-$S155+IF($C155&lt;$S155,1,0))*1440,0))</f>
        <v/>
      </c>
      <c r="U155" s="22">
        <f>IF(OR($H155="",$T155="",$T155&lt;=0),"",$H155*60/$T155)</f>
        <v/>
      </c>
      <c r="V155" s="37">
        <f>IF(OR($U155="",$R155="",$R155=0),"",$U155/$R155)</f>
        <v/>
      </c>
      <c r="W155" s="20">
        <f>IF($G155="","",IF($X155="CONTEXTE INCOMPLET","CONTEXTE INCOMPLET",IF($X155="DOUBLON",StatutDoublon,IF($S155="",StatutInitial,IF($R155="",StatutStandardManquant,IF($V155="","DONNEES INSUFFISANTES",IF($V155&gt;=SeuilConforme,StatutConforme,IF($V155&gt;=SeuilSurveiller,StatutSurveiller,StatutSousStandard))))))))</f>
        <v/>
      </c>
      <c r="X155" s="33">
        <f>IF($G155="","",IF(OR($D155="",$E155="",$F155=""),"CONTEXTE INCOMPLET",IF(COUNTIFS($D$3:$D154,$D155,$E$3:$E154,$E155,$F$3:$F154,$F155,$G$3:$G154,$G155)&gt;0,"DOUBLON","VALIDE")))</f>
        <v/>
      </c>
    </row>
    <row r="156" ht="15" customHeight="1">
      <c r="A156" s="12">
        <f>IF(OR($B156="",$G156=""),"",TEXT($B156,"YYYYMMDD")&amp;"-"&amp;SUBSTITUTE($E156," ","")&amp;"-"&amp;$F156&amp;"-"&amp;$G156)</f>
        <v/>
      </c>
      <c r="B156" s="15" t="n"/>
      <c r="C156" s="16" t="n"/>
      <c r="D156" s="10" t="n"/>
      <c r="E156" s="9" t="n"/>
      <c r="F156" s="9" t="n"/>
      <c r="G156" s="13" t="n"/>
      <c r="H156" s="21" t="n"/>
      <c r="I156" s="21" t="n"/>
      <c r="J156" s="17">
        <f>IF($G156="","",IFERROR(INDEX(NomsEmployes,MATCH($G156,MatriculesEmployes,0)),"MATRICULE INCONNU"))</f>
        <v/>
      </c>
      <c r="K156" s="33">
        <f>IF(OR($D156="",$F156=""),"",IFERROR(IF(INDEX(RUNS!$L$6:$S$1005,MATCH($D156,RUNS!$A$6:$A$1005,0),MATCH("ACTIVITÉ "&amp;$F156,RUNS!$L$5:$S$5,0))="","",INDEX(RUNS!$L$6:$S$1005,MATCH($D156,RUNS!$A$6:$A$1005,0),MATCH("ACTIVITÉ "&amp;$F156,RUNS!$L$5:$S$5,0))),""))</f>
        <v/>
      </c>
      <c r="L156" s="33">
        <f>IF($D156="","",IFERROR(IF(INDEX(RUNS!$E$6:$E$1005,MATCH($D156,RUNS!$A$6:$A$1005,0))="","",INDEX(RUNS!$E$6:$E$1005,MATCH($D156,RUNS!$A$6:$A$1005,0))),""))</f>
        <v/>
      </c>
      <c r="M156" s="33">
        <f>IF($D156="","",IFERROR(IF(INDEX(RUNS!$F$6:$F$1005,MATCH($D156,RUNS!$A$6:$A$1005,0))="","",INDEX(RUNS!$F$6:$F$1005,MATCH($D156,RUNS!$A$6:$A$1005,0))),""))</f>
        <v/>
      </c>
      <c r="N156" s="33">
        <f>IF($D156="","",IFERROR(IF(INDEX(RUNS!$G$6:$G$1005,MATCH($D156,RUNS!$A$6:$A$1005,0))="","",INDEX(RUNS!$G$6:$G$1005,MATCH($D156,RUNS!$A$6:$A$1005,0))),""))</f>
        <v/>
      </c>
      <c r="O156" s="33">
        <f>IF($D156="","",IFERROR(IF(INDEX(RUNS!$H$6:$H$1005,MATCH($D156,RUNS!$A$6:$A$1005,0))="","",INDEX(RUNS!$H$6:$H$1005,MATCH($D156,RUNS!$A$6:$A$1005,0))),""))</f>
        <v/>
      </c>
      <c r="P156" s="33">
        <f>IF($D156="","",IFERROR(IF(INDEX(RUNS!$J$6:$J$1005,MATCH($D156,RUNS!$A$6:$A$1005,0))="","",INDEX(RUNS!$J$6:$J$1005,MATCH($D156,RUNS!$A$6:$A$1005,0))),""))</f>
        <v/>
      </c>
      <c r="Q156" s="33">
        <f>IF($D156="","",IFERROR(IF(INDEX(RUNS!$K$6:$K$1005,MATCH($D156,RUNS!$A$6:$A$1005,0))="","",INDEX(RUNS!$K$6:$K$1005,MATCH($D156,RUNS!$A$6:$A$1005,0))),""))</f>
        <v/>
      </c>
      <c r="R156" s="34">
        <f>IF(OR($L156="",$K156=""),"",IFERROR(IF(INDEX(PARAMETRES!$H$43:$H$342,MATCH($L156&amp;"|"&amp;$M156&amp;"|"&amp;$N156&amp;"|"&amp;$O156&amp;"|"&amp;$P156&amp;"|"&amp;$Q156&amp;"|"&amp;$K156,PARAMETRES!$J$43:$J$342,0))="","",INDEX(PARAMETRES!$H$43:$H$342,MATCH($L156&amp;"|"&amp;$M156&amp;"|"&amp;$N156&amp;"|"&amp;$O156&amp;"|"&amp;$P156&amp;"|"&amp;$Q156&amp;"|"&amp;$K156,PARAMETRES!$J$43:$J$342,0))),""))</f>
        <v/>
      </c>
      <c r="S156" s="35">
        <f>IF(OR($G156="",$X156&lt;&gt;"VALIDE"),"",IFERROR(LOOKUP(2,1/(($B$3:$B155=$B156)*($G$3:$G155=$G156)*($X$3:$X155="VALIDE")),$C$3:$C155),""))</f>
        <v/>
      </c>
      <c r="T156" s="36">
        <f>IF(OR($C156="",$S156=""),"",ROUND(($C156-$S156+IF($C156&lt;$S156,1,0))*1440,0))</f>
        <v/>
      </c>
      <c r="U156" s="22">
        <f>IF(OR($H156="",$T156="",$T156&lt;=0),"",$H156*60/$T156)</f>
        <v/>
      </c>
      <c r="V156" s="37">
        <f>IF(OR($U156="",$R156="",$R156=0),"",$U156/$R156)</f>
        <v/>
      </c>
      <c r="W156" s="20">
        <f>IF($G156="","",IF($X156="CONTEXTE INCOMPLET","CONTEXTE INCOMPLET",IF($X156="DOUBLON",StatutDoublon,IF($S156="",StatutInitial,IF($R156="",StatutStandardManquant,IF($V156="","DONNEES INSUFFISANTES",IF($V156&gt;=SeuilConforme,StatutConforme,IF($V156&gt;=SeuilSurveiller,StatutSurveiller,StatutSousStandard))))))))</f>
        <v/>
      </c>
      <c r="X156" s="33">
        <f>IF($G156="","",IF(OR($D156="",$E156="",$F156=""),"CONTEXTE INCOMPLET",IF(COUNTIFS($D$3:$D155,$D156,$E$3:$E155,$E156,$F$3:$F155,$F156,$G$3:$G155,$G156)&gt;0,"DOUBLON","VALIDE")))</f>
        <v/>
      </c>
    </row>
    <row r="157" ht="15" customHeight="1">
      <c r="A157" s="12">
        <f>IF(OR($B157="",$G157=""),"",TEXT($B157,"YYYYMMDD")&amp;"-"&amp;SUBSTITUTE($E157," ","")&amp;"-"&amp;$F157&amp;"-"&amp;$G157)</f>
        <v/>
      </c>
      <c r="B157" s="15" t="n"/>
      <c r="C157" s="16" t="n"/>
      <c r="D157" s="10" t="n"/>
      <c r="E157" s="9" t="n"/>
      <c r="F157" s="9" t="n"/>
      <c r="G157" s="13" t="n"/>
      <c r="H157" s="21" t="n"/>
      <c r="I157" s="21" t="n"/>
      <c r="J157" s="17">
        <f>IF($G157="","",IFERROR(INDEX(NomsEmployes,MATCH($G157,MatriculesEmployes,0)),"MATRICULE INCONNU"))</f>
        <v/>
      </c>
      <c r="K157" s="33">
        <f>IF(OR($D157="",$F157=""),"",IFERROR(IF(INDEX(RUNS!$L$6:$S$1005,MATCH($D157,RUNS!$A$6:$A$1005,0),MATCH("ACTIVITÉ "&amp;$F157,RUNS!$L$5:$S$5,0))="","",INDEX(RUNS!$L$6:$S$1005,MATCH($D157,RUNS!$A$6:$A$1005,0),MATCH("ACTIVITÉ "&amp;$F157,RUNS!$L$5:$S$5,0))),""))</f>
        <v/>
      </c>
      <c r="L157" s="33">
        <f>IF($D157="","",IFERROR(IF(INDEX(RUNS!$E$6:$E$1005,MATCH($D157,RUNS!$A$6:$A$1005,0))="","",INDEX(RUNS!$E$6:$E$1005,MATCH($D157,RUNS!$A$6:$A$1005,0))),""))</f>
        <v/>
      </c>
      <c r="M157" s="33">
        <f>IF($D157="","",IFERROR(IF(INDEX(RUNS!$F$6:$F$1005,MATCH($D157,RUNS!$A$6:$A$1005,0))="","",INDEX(RUNS!$F$6:$F$1005,MATCH($D157,RUNS!$A$6:$A$1005,0))),""))</f>
        <v/>
      </c>
      <c r="N157" s="33">
        <f>IF($D157="","",IFERROR(IF(INDEX(RUNS!$G$6:$G$1005,MATCH($D157,RUNS!$A$6:$A$1005,0))="","",INDEX(RUNS!$G$6:$G$1005,MATCH($D157,RUNS!$A$6:$A$1005,0))),""))</f>
        <v/>
      </c>
      <c r="O157" s="33">
        <f>IF($D157="","",IFERROR(IF(INDEX(RUNS!$H$6:$H$1005,MATCH($D157,RUNS!$A$6:$A$1005,0))="","",INDEX(RUNS!$H$6:$H$1005,MATCH($D157,RUNS!$A$6:$A$1005,0))),""))</f>
        <v/>
      </c>
      <c r="P157" s="33">
        <f>IF($D157="","",IFERROR(IF(INDEX(RUNS!$J$6:$J$1005,MATCH($D157,RUNS!$A$6:$A$1005,0))="","",INDEX(RUNS!$J$6:$J$1005,MATCH($D157,RUNS!$A$6:$A$1005,0))),""))</f>
        <v/>
      </c>
      <c r="Q157" s="33">
        <f>IF($D157="","",IFERROR(IF(INDEX(RUNS!$K$6:$K$1005,MATCH($D157,RUNS!$A$6:$A$1005,0))="","",INDEX(RUNS!$K$6:$K$1005,MATCH($D157,RUNS!$A$6:$A$1005,0))),""))</f>
        <v/>
      </c>
      <c r="R157" s="34">
        <f>IF(OR($L157="",$K157=""),"",IFERROR(IF(INDEX(PARAMETRES!$H$43:$H$342,MATCH($L157&amp;"|"&amp;$M157&amp;"|"&amp;$N157&amp;"|"&amp;$O157&amp;"|"&amp;$P157&amp;"|"&amp;$Q157&amp;"|"&amp;$K157,PARAMETRES!$J$43:$J$342,0))="","",INDEX(PARAMETRES!$H$43:$H$342,MATCH($L157&amp;"|"&amp;$M157&amp;"|"&amp;$N157&amp;"|"&amp;$O157&amp;"|"&amp;$P157&amp;"|"&amp;$Q157&amp;"|"&amp;$K157,PARAMETRES!$J$43:$J$342,0))),""))</f>
        <v/>
      </c>
      <c r="S157" s="35">
        <f>IF(OR($G157="",$X157&lt;&gt;"VALIDE"),"",IFERROR(LOOKUP(2,1/(($B$3:$B156=$B157)*($G$3:$G156=$G157)*($X$3:$X156="VALIDE")),$C$3:$C156),""))</f>
        <v/>
      </c>
      <c r="T157" s="36">
        <f>IF(OR($C157="",$S157=""),"",ROUND(($C157-$S157+IF($C157&lt;$S157,1,0))*1440,0))</f>
        <v/>
      </c>
      <c r="U157" s="22">
        <f>IF(OR($H157="",$T157="",$T157&lt;=0),"",$H157*60/$T157)</f>
        <v/>
      </c>
      <c r="V157" s="37">
        <f>IF(OR($U157="",$R157="",$R157=0),"",$U157/$R157)</f>
        <v/>
      </c>
      <c r="W157" s="20">
        <f>IF($G157="","",IF($X157="CONTEXTE INCOMPLET","CONTEXTE INCOMPLET",IF($X157="DOUBLON",StatutDoublon,IF($S157="",StatutInitial,IF($R157="",StatutStandardManquant,IF($V157="","DONNEES INSUFFISANTES",IF($V157&gt;=SeuilConforme,StatutConforme,IF($V157&gt;=SeuilSurveiller,StatutSurveiller,StatutSousStandard))))))))</f>
        <v/>
      </c>
      <c r="X157" s="33">
        <f>IF($G157="","",IF(OR($D157="",$E157="",$F157=""),"CONTEXTE INCOMPLET",IF(COUNTIFS($D$3:$D156,$D157,$E$3:$E156,$E157,$F$3:$F156,$F157,$G$3:$G156,$G157)&gt;0,"DOUBLON","VALIDE")))</f>
        <v/>
      </c>
    </row>
    <row r="158" ht="15" customHeight="1">
      <c r="A158" s="12">
        <f>IF(OR($B158="",$G158=""),"",TEXT($B158,"YYYYMMDD")&amp;"-"&amp;SUBSTITUTE($E158," ","")&amp;"-"&amp;$F158&amp;"-"&amp;$G158)</f>
        <v/>
      </c>
      <c r="B158" s="15" t="n"/>
      <c r="C158" s="16" t="n"/>
      <c r="D158" s="10" t="n"/>
      <c r="E158" s="9" t="n"/>
      <c r="F158" s="9" t="n"/>
      <c r="G158" s="13" t="n"/>
      <c r="H158" s="21" t="n"/>
      <c r="I158" s="21" t="n"/>
      <c r="J158" s="17">
        <f>IF($G158="","",IFERROR(INDEX(NomsEmployes,MATCH($G158,MatriculesEmployes,0)),"MATRICULE INCONNU"))</f>
        <v/>
      </c>
      <c r="K158" s="33">
        <f>IF(OR($D158="",$F158=""),"",IFERROR(IF(INDEX(RUNS!$L$6:$S$1005,MATCH($D158,RUNS!$A$6:$A$1005,0),MATCH("ACTIVITÉ "&amp;$F158,RUNS!$L$5:$S$5,0))="","",INDEX(RUNS!$L$6:$S$1005,MATCH($D158,RUNS!$A$6:$A$1005,0),MATCH("ACTIVITÉ "&amp;$F158,RUNS!$L$5:$S$5,0))),""))</f>
        <v/>
      </c>
      <c r="L158" s="33">
        <f>IF($D158="","",IFERROR(IF(INDEX(RUNS!$E$6:$E$1005,MATCH($D158,RUNS!$A$6:$A$1005,0))="","",INDEX(RUNS!$E$6:$E$1005,MATCH($D158,RUNS!$A$6:$A$1005,0))),""))</f>
        <v/>
      </c>
      <c r="M158" s="33">
        <f>IF($D158="","",IFERROR(IF(INDEX(RUNS!$F$6:$F$1005,MATCH($D158,RUNS!$A$6:$A$1005,0))="","",INDEX(RUNS!$F$6:$F$1005,MATCH($D158,RUNS!$A$6:$A$1005,0))),""))</f>
        <v/>
      </c>
      <c r="N158" s="33">
        <f>IF($D158="","",IFERROR(IF(INDEX(RUNS!$G$6:$G$1005,MATCH($D158,RUNS!$A$6:$A$1005,0))="","",INDEX(RUNS!$G$6:$G$1005,MATCH($D158,RUNS!$A$6:$A$1005,0))),""))</f>
        <v/>
      </c>
      <c r="O158" s="33">
        <f>IF($D158="","",IFERROR(IF(INDEX(RUNS!$H$6:$H$1005,MATCH($D158,RUNS!$A$6:$A$1005,0))="","",INDEX(RUNS!$H$6:$H$1005,MATCH($D158,RUNS!$A$6:$A$1005,0))),""))</f>
        <v/>
      </c>
      <c r="P158" s="33">
        <f>IF($D158="","",IFERROR(IF(INDEX(RUNS!$J$6:$J$1005,MATCH($D158,RUNS!$A$6:$A$1005,0))="","",INDEX(RUNS!$J$6:$J$1005,MATCH($D158,RUNS!$A$6:$A$1005,0))),""))</f>
        <v/>
      </c>
      <c r="Q158" s="33">
        <f>IF($D158="","",IFERROR(IF(INDEX(RUNS!$K$6:$K$1005,MATCH($D158,RUNS!$A$6:$A$1005,0))="","",INDEX(RUNS!$K$6:$K$1005,MATCH($D158,RUNS!$A$6:$A$1005,0))),""))</f>
        <v/>
      </c>
      <c r="R158" s="34">
        <f>IF(OR($L158="",$K158=""),"",IFERROR(IF(INDEX(PARAMETRES!$H$43:$H$342,MATCH($L158&amp;"|"&amp;$M158&amp;"|"&amp;$N158&amp;"|"&amp;$O158&amp;"|"&amp;$P158&amp;"|"&amp;$Q158&amp;"|"&amp;$K158,PARAMETRES!$J$43:$J$342,0))="","",INDEX(PARAMETRES!$H$43:$H$342,MATCH($L158&amp;"|"&amp;$M158&amp;"|"&amp;$N158&amp;"|"&amp;$O158&amp;"|"&amp;$P158&amp;"|"&amp;$Q158&amp;"|"&amp;$K158,PARAMETRES!$J$43:$J$342,0))),""))</f>
        <v/>
      </c>
      <c r="S158" s="35">
        <f>IF(OR($G158="",$X158&lt;&gt;"VALIDE"),"",IFERROR(LOOKUP(2,1/(($B$3:$B157=$B158)*($G$3:$G157=$G158)*($X$3:$X157="VALIDE")),$C$3:$C157),""))</f>
        <v/>
      </c>
      <c r="T158" s="36">
        <f>IF(OR($C158="",$S158=""),"",ROUND(($C158-$S158+IF($C158&lt;$S158,1,0))*1440,0))</f>
        <v/>
      </c>
      <c r="U158" s="22">
        <f>IF(OR($H158="",$T158="",$T158&lt;=0),"",$H158*60/$T158)</f>
        <v/>
      </c>
      <c r="V158" s="37">
        <f>IF(OR($U158="",$R158="",$R158=0),"",$U158/$R158)</f>
        <v/>
      </c>
      <c r="W158" s="20">
        <f>IF($G158="","",IF($X158="CONTEXTE INCOMPLET","CONTEXTE INCOMPLET",IF($X158="DOUBLON",StatutDoublon,IF($S158="",StatutInitial,IF($R158="",StatutStandardManquant,IF($V158="","DONNEES INSUFFISANTES",IF($V158&gt;=SeuilConforme,StatutConforme,IF($V158&gt;=SeuilSurveiller,StatutSurveiller,StatutSousStandard))))))))</f>
        <v/>
      </c>
      <c r="X158" s="33">
        <f>IF($G158="","",IF(OR($D158="",$E158="",$F158=""),"CONTEXTE INCOMPLET",IF(COUNTIFS($D$3:$D157,$D158,$E$3:$E157,$E158,$F$3:$F157,$F158,$G$3:$G157,$G158)&gt;0,"DOUBLON","VALIDE")))</f>
        <v/>
      </c>
    </row>
    <row r="159" ht="15" customHeight="1">
      <c r="A159" s="12">
        <f>IF(OR($B159="",$G159=""),"",TEXT($B159,"YYYYMMDD")&amp;"-"&amp;SUBSTITUTE($E159," ","")&amp;"-"&amp;$F159&amp;"-"&amp;$G159)</f>
        <v/>
      </c>
      <c r="B159" s="15" t="n"/>
      <c r="C159" s="16" t="n"/>
      <c r="D159" s="10" t="n"/>
      <c r="E159" s="9" t="n"/>
      <c r="F159" s="9" t="n"/>
      <c r="G159" s="13" t="n"/>
      <c r="H159" s="21" t="n"/>
      <c r="I159" s="21" t="n"/>
      <c r="J159" s="17">
        <f>IF($G159="","",IFERROR(INDEX(NomsEmployes,MATCH($G159,MatriculesEmployes,0)),"MATRICULE INCONNU"))</f>
        <v/>
      </c>
      <c r="K159" s="33">
        <f>IF(OR($D159="",$F159=""),"",IFERROR(IF(INDEX(RUNS!$L$6:$S$1005,MATCH($D159,RUNS!$A$6:$A$1005,0),MATCH("ACTIVITÉ "&amp;$F159,RUNS!$L$5:$S$5,0))="","",INDEX(RUNS!$L$6:$S$1005,MATCH($D159,RUNS!$A$6:$A$1005,0),MATCH("ACTIVITÉ "&amp;$F159,RUNS!$L$5:$S$5,0))),""))</f>
        <v/>
      </c>
      <c r="L159" s="33">
        <f>IF($D159="","",IFERROR(IF(INDEX(RUNS!$E$6:$E$1005,MATCH($D159,RUNS!$A$6:$A$1005,0))="","",INDEX(RUNS!$E$6:$E$1005,MATCH($D159,RUNS!$A$6:$A$1005,0))),""))</f>
        <v/>
      </c>
      <c r="M159" s="33">
        <f>IF($D159="","",IFERROR(IF(INDEX(RUNS!$F$6:$F$1005,MATCH($D159,RUNS!$A$6:$A$1005,0))="","",INDEX(RUNS!$F$6:$F$1005,MATCH($D159,RUNS!$A$6:$A$1005,0))),""))</f>
        <v/>
      </c>
      <c r="N159" s="33">
        <f>IF($D159="","",IFERROR(IF(INDEX(RUNS!$G$6:$G$1005,MATCH($D159,RUNS!$A$6:$A$1005,0))="","",INDEX(RUNS!$G$6:$G$1005,MATCH($D159,RUNS!$A$6:$A$1005,0))),""))</f>
        <v/>
      </c>
      <c r="O159" s="33">
        <f>IF($D159="","",IFERROR(IF(INDEX(RUNS!$H$6:$H$1005,MATCH($D159,RUNS!$A$6:$A$1005,0))="","",INDEX(RUNS!$H$6:$H$1005,MATCH($D159,RUNS!$A$6:$A$1005,0))),""))</f>
        <v/>
      </c>
      <c r="P159" s="33">
        <f>IF($D159="","",IFERROR(IF(INDEX(RUNS!$J$6:$J$1005,MATCH($D159,RUNS!$A$6:$A$1005,0))="","",INDEX(RUNS!$J$6:$J$1005,MATCH($D159,RUNS!$A$6:$A$1005,0))),""))</f>
        <v/>
      </c>
      <c r="Q159" s="33">
        <f>IF($D159="","",IFERROR(IF(INDEX(RUNS!$K$6:$K$1005,MATCH($D159,RUNS!$A$6:$A$1005,0))="","",INDEX(RUNS!$K$6:$K$1005,MATCH($D159,RUNS!$A$6:$A$1005,0))),""))</f>
        <v/>
      </c>
      <c r="R159" s="34">
        <f>IF(OR($L159="",$K159=""),"",IFERROR(IF(INDEX(PARAMETRES!$H$43:$H$342,MATCH($L159&amp;"|"&amp;$M159&amp;"|"&amp;$N159&amp;"|"&amp;$O159&amp;"|"&amp;$P159&amp;"|"&amp;$Q159&amp;"|"&amp;$K159,PARAMETRES!$J$43:$J$342,0))="","",INDEX(PARAMETRES!$H$43:$H$342,MATCH($L159&amp;"|"&amp;$M159&amp;"|"&amp;$N159&amp;"|"&amp;$O159&amp;"|"&amp;$P159&amp;"|"&amp;$Q159&amp;"|"&amp;$K159,PARAMETRES!$J$43:$J$342,0))),""))</f>
        <v/>
      </c>
      <c r="S159" s="35">
        <f>IF(OR($G159="",$X159&lt;&gt;"VALIDE"),"",IFERROR(LOOKUP(2,1/(($B$3:$B158=$B159)*($G$3:$G158=$G159)*($X$3:$X158="VALIDE")),$C$3:$C158),""))</f>
        <v/>
      </c>
      <c r="T159" s="36">
        <f>IF(OR($C159="",$S159=""),"",ROUND(($C159-$S159+IF($C159&lt;$S159,1,0))*1440,0))</f>
        <v/>
      </c>
      <c r="U159" s="22">
        <f>IF(OR($H159="",$T159="",$T159&lt;=0),"",$H159*60/$T159)</f>
        <v/>
      </c>
      <c r="V159" s="37">
        <f>IF(OR($U159="",$R159="",$R159=0),"",$U159/$R159)</f>
        <v/>
      </c>
      <c r="W159" s="20">
        <f>IF($G159="","",IF($X159="CONTEXTE INCOMPLET","CONTEXTE INCOMPLET",IF($X159="DOUBLON",StatutDoublon,IF($S159="",StatutInitial,IF($R159="",StatutStandardManquant,IF($V159="","DONNEES INSUFFISANTES",IF($V159&gt;=SeuilConforme,StatutConforme,IF($V159&gt;=SeuilSurveiller,StatutSurveiller,StatutSousStandard))))))))</f>
        <v/>
      </c>
      <c r="X159" s="33">
        <f>IF($G159="","",IF(OR($D159="",$E159="",$F159=""),"CONTEXTE INCOMPLET",IF(COUNTIFS($D$3:$D158,$D159,$E$3:$E158,$E159,$F$3:$F158,$F159,$G$3:$G158,$G159)&gt;0,"DOUBLON","VALIDE")))</f>
        <v/>
      </c>
    </row>
    <row r="160" ht="15" customHeight="1">
      <c r="A160" s="12">
        <f>IF(OR($B160="",$G160=""),"",TEXT($B160,"YYYYMMDD")&amp;"-"&amp;SUBSTITUTE($E160," ","")&amp;"-"&amp;$F160&amp;"-"&amp;$G160)</f>
        <v/>
      </c>
      <c r="B160" s="15" t="n"/>
      <c r="C160" s="16" t="n"/>
      <c r="D160" s="10" t="n"/>
      <c r="E160" s="9" t="n"/>
      <c r="F160" s="9" t="n"/>
      <c r="G160" s="13" t="n"/>
      <c r="H160" s="21" t="n"/>
      <c r="I160" s="21" t="n"/>
      <c r="J160" s="17">
        <f>IF($G160="","",IFERROR(INDEX(NomsEmployes,MATCH($G160,MatriculesEmployes,0)),"MATRICULE INCONNU"))</f>
        <v/>
      </c>
      <c r="K160" s="33">
        <f>IF(OR($D160="",$F160=""),"",IFERROR(IF(INDEX(RUNS!$L$6:$S$1005,MATCH($D160,RUNS!$A$6:$A$1005,0),MATCH("ACTIVITÉ "&amp;$F160,RUNS!$L$5:$S$5,0))="","",INDEX(RUNS!$L$6:$S$1005,MATCH($D160,RUNS!$A$6:$A$1005,0),MATCH("ACTIVITÉ "&amp;$F160,RUNS!$L$5:$S$5,0))),""))</f>
        <v/>
      </c>
      <c r="L160" s="33">
        <f>IF($D160="","",IFERROR(IF(INDEX(RUNS!$E$6:$E$1005,MATCH($D160,RUNS!$A$6:$A$1005,0))="","",INDEX(RUNS!$E$6:$E$1005,MATCH($D160,RUNS!$A$6:$A$1005,0))),""))</f>
        <v/>
      </c>
      <c r="M160" s="33">
        <f>IF($D160="","",IFERROR(IF(INDEX(RUNS!$F$6:$F$1005,MATCH($D160,RUNS!$A$6:$A$1005,0))="","",INDEX(RUNS!$F$6:$F$1005,MATCH($D160,RUNS!$A$6:$A$1005,0))),""))</f>
        <v/>
      </c>
      <c r="N160" s="33">
        <f>IF($D160="","",IFERROR(IF(INDEX(RUNS!$G$6:$G$1005,MATCH($D160,RUNS!$A$6:$A$1005,0))="","",INDEX(RUNS!$G$6:$G$1005,MATCH($D160,RUNS!$A$6:$A$1005,0))),""))</f>
        <v/>
      </c>
      <c r="O160" s="33">
        <f>IF($D160="","",IFERROR(IF(INDEX(RUNS!$H$6:$H$1005,MATCH($D160,RUNS!$A$6:$A$1005,0))="","",INDEX(RUNS!$H$6:$H$1005,MATCH($D160,RUNS!$A$6:$A$1005,0))),""))</f>
        <v/>
      </c>
      <c r="P160" s="33">
        <f>IF($D160="","",IFERROR(IF(INDEX(RUNS!$J$6:$J$1005,MATCH($D160,RUNS!$A$6:$A$1005,0))="","",INDEX(RUNS!$J$6:$J$1005,MATCH($D160,RUNS!$A$6:$A$1005,0))),""))</f>
        <v/>
      </c>
      <c r="Q160" s="33">
        <f>IF($D160="","",IFERROR(IF(INDEX(RUNS!$K$6:$K$1005,MATCH($D160,RUNS!$A$6:$A$1005,0))="","",INDEX(RUNS!$K$6:$K$1005,MATCH($D160,RUNS!$A$6:$A$1005,0))),""))</f>
        <v/>
      </c>
      <c r="R160" s="34">
        <f>IF(OR($L160="",$K160=""),"",IFERROR(IF(INDEX(PARAMETRES!$H$43:$H$342,MATCH($L160&amp;"|"&amp;$M160&amp;"|"&amp;$N160&amp;"|"&amp;$O160&amp;"|"&amp;$P160&amp;"|"&amp;$Q160&amp;"|"&amp;$K160,PARAMETRES!$J$43:$J$342,0))="","",INDEX(PARAMETRES!$H$43:$H$342,MATCH($L160&amp;"|"&amp;$M160&amp;"|"&amp;$N160&amp;"|"&amp;$O160&amp;"|"&amp;$P160&amp;"|"&amp;$Q160&amp;"|"&amp;$K160,PARAMETRES!$J$43:$J$342,0))),""))</f>
        <v/>
      </c>
      <c r="S160" s="35">
        <f>IF(OR($G160="",$X160&lt;&gt;"VALIDE"),"",IFERROR(LOOKUP(2,1/(($B$3:$B159=$B160)*($G$3:$G159=$G160)*($X$3:$X159="VALIDE")),$C$3:$C159),""))</f>
        <v/>
      </c>
      <c r="T160" s="36">
        <f>IF(OR($C160="",$S160=""),"",ROUND(($C160-$S160+IF($C160&lt;$S160,1,0))*1440,0))</f>
        <v/>
      </c>
      <c r="U160" s="22">
        <f>IF(OR($H160="",$T160="",$T160&lt;=0),"",$H160*60/$T160)</f>
        <v/>
      </c>
      <c r="V160" s="37">
        <f>IF(OR($U160="",$R160="",$R160=0),"",$U160/$R160)</f>
        <v/>
      </c>
      <c r="W160" s="20">
        <f>IF($G160="","",IF($X160="CONTEXTE INCOMPLET","CONTEXTE INCOMPLET",IF($X160="DOUBLON",StatutDoublon,IF($S160="",StatutInitial,IF($R160="",StatutStandardManquant,IF($V160="","DONNEES INSUFFISANTES",IF($V160&gt;=SeuilConforme,StatutConforme,IF($V160&gt;=SeuilSurveiller,StatutSurveiller,StatutSousStandard))))))))</f>
        <v/>
      </c>
      <c r="X160" s="33">
        <f>IF($G160="","",IF(OR($D160="",$E160="",$F160=""),"CONTEXTE INCOMPLET",IF(COUNTIFS($D$3:$D159,$D160,$E$3:$E159,$E160,$F$3:$F159,$F160,$G$3:$G159,$G160)&gt;0,"DOUBLON","VALIDE")))</f>
        <v/>
      </c>
    </row>
    <row r="161" ht="15" customHeight="1">
      <c r="A161" s="12">
        <f>IF(OR($B161="",$G161=""),"",TEXT($B161,"YYYYMMDD")&amp;"-"&amp;SUBSTITUTE($E161," ","")&amp;"-"&amp;$F161&amp;"-"&amp;$G161)</f>
        <v/>
      </c>
      <c r="B161" s="15" t="n"/>
      <c r="C161" s="16" t="n"/>
      <c r="D161" s="10" t="n"/>
      <c r="E161" s="9" t="n"/>
      <c r="F161" s="9" t="n"/>
      <c r="G161" s="13" t="n"/>
      <c r="H161" s="21" t="n"/>
      <c r="I161" s="21" t="n"/>
      <c r="J161" s="17">
        <f>IF($G161="","",IFERROR(INDEX(NomsEmployes,MATCH($G161,MatriculesEmployes,0)),"MATRICULE INCONNU"))</f>
        <v/>
      </c>
      <c r="K161" s="33">
        <f>IF(OR($D161="",$F161=""),"",IFERROR(IF(INDEX(RUNS!$L$6:$S$1005,MATCH($D161,RUNS!$A$6:$A$1005,0),MATCH("ACTIVITÉ "&amp;$F161,RUNS!$L$5:$S$5,0))="","",INDEX(RUNS!$L$6:$S$1005,MATCH($D161,RUNS!$A$6:$A$1005,0),MATCH("ACTIVITÉ "&amp;$F161,RUNS!$L$5:$S$5,0))),""))</f>
        <v/>
      </c>
      <c r="L161" s="33">
        <f>IF($D161="","",IFERROR(IF(INDEX(RUNS!$E$6:$E$1005,MATCH($D161,RUNS!$A$6:$A$1005,0))="","",INDEX(RUNS!$E$6:$E$1005,MATCH($D161,RUNS!$A$6:$A$1005,0))),""))</f>
        <v/>
      </c>
      <c r="M161" s="33">
        <f>IF($D161="","",IFERROR(IF(INDEX(RUNS!$F$6:$F$1005,MATCH($D161,RUNS!$A$6:$A$1005,0))="","",INDEX(RUNS!$F$6:$F$1005,MATCH($D161,RUNS!$A$6:$A$1005,0))),""))</f>
        <v/>
      </c>
      <c r="N161" s="33">
        <f>IF($D161="","",IFERROR(IF(INDEX(RUNS!$G$6:$G$1005,MATCH($D161,RUNS!$A$6:$A$1005,0))="","",INDEX(RUNS!$G$6:$G$1005,MATCH($D161,RUNS!$A$6:$A$1005,0))),""))</f>
        <v/>
      </c>
      <c r="O161" s="33">
        <f>IF($D161="","",IFERROR(IF(INDEX(RUNS!$H$6:$H$1005,MATCH($D161,RUNS!$A$6:$A$1005,0))="","",INDEX(RUNS!$H$6:$H$1005,MATCH($D161,RUNS!$A$6:$A$1005,0))),""))</f>
        <v/>
      </c>
      <c r="P161" s="33">
        <f>IF($D161="","",IFERROR(IF(INDEX(RUNS!$J$6:$J$1005,MATCH($D161,RUNS!$A$6:$A$1005,0))="","",INDEX(RUNS!$J$6:$J$1005,MATCH($D161,RUNS!$A$6:$A$1005,0))),""))</f>
        <v/>
      </c>
      <c r="Q161" s="33">
        <f>IF($D161="","",IFERROR(IF(INDEX(RUNS!$K$6:$K$1005,MATCH($D161,RUNS!$A$6:$A$1005,0))="","",INDEX(RUNS!$K$6:$K$1005,MATCH($D161,RUNS!$A$6:$A$1005,0))),""))</f>
        <v/>
      </c>
      <c r="R161" s="34">
        <f>IF(OR($L161="",$K161=""),"",IFERROR(IF(INDEX(PARAMETRES!$H$43:$H$342,MATCH($L161&amp;"|"&amp;$M161&amp;"|"&amp;$N161&amp;"|"&amp;$O161&amp;"|"&amp;$P161&amp;"|"&amp;$Q161&amp;"|"&amp;$K161,PARAMETRES!$J$43:$J$342,0))="","",INDEX(PARAMETRES!$H$43:$H$342,MATCH($L161&amp;"|"&amp;$M161&amp;"|"&amp;$N161&amp;"|"&amp;$O161&amp;"|"&amp;$P161&amp;"|"&amp;$Q161&amp;"|"&amp;$K161,PARAMETRES!$J$43:$J$342,0))),""))</f>
        <v/>
      </c>
      <c r="S161" s="35">
        <f>IF(OR($G161="",$X161&lt;&gt;"VALIDE"),"",IFERROR(LOOKUP(2,1/(($B$3:$B160=$B161)*($G$3:$G160=$G161)*($X$3:$X160="VALIDE")),$C$3:$C160),""))</f>
        <v/>
      </c>
      <c r="T161" s="36">
        <f>IF(OR($C161="",$S161=""),"",ROUND(($C161-$S161+IF($C161&lt;$S161,1,0))*1440,0))</f>
        <v/>
      </c>
      <c r="U161" s="22">
        <f>IF(OR($H161="",$T161="",$T161&lt;=0),"",$H161*60/$T161)</f>
        <v/>
      </c>
      <c r="V161" s="37">
        <f>IF(OR($U161="",$R161="",$R161=0),"",$U161/$R161)</f>
        <v/>
      </c>
      <c r="W161" s="20">
        <f>IF($G161="","",IF($X161="CONTEXTE INCOMPLET","CONTEXTE INCOMPLET",IF($X161="DOUBLON",StatutDoublon,IF($S161="",StatutInitial,IF($R161="",StatutStandardManquant,IF($V161="","DONNEES INSUFFISANTES",IF($V161&gt;=SeuilConforme,StatutConforme,IF($V161&gt;=SeuilSurveiller,StatutSurveiller,StatutSousStandard))))))))</f>
        <v/>
      </c>
      <c r="X161" s="33">
        <f>IF($G161="","",IF(OR($D161="",$E161="",$F161=""),"CONTEXTE INCOMPLET",IF(COUNTIFS($D$3:$D160,$D161,$E$3:$E160,$E161,$F$3:$F160,$F161,$G$3:$G160,$G161)&gt;0,"DOUBLON","VALIDE")))</f>
        <v/>
      </c>
    </row>
    <row r="162" ht="15" customHeight="1">
      <c r="A162" s="12">
        <f>IF(OR($B162="",$G162=""),"",TEXT($B162,"YYYYMMDD")&amp;"-"&amp;SUBSTITUTE($E162," ","")&amp;"-"&amp;$F162&amp;"-"&amp;$G162)</f>
        <v/>
      </c>
      <c r="B162" s="15" t="n"/>
      <c r="C162" s="16" t="n"/>
      <c r="D162" s="10" t="n"/>
      <c r="E162" s="9" t="n"/>
      <c r="F162" s="9" t="n"/>
      <c r="G162" s="13" t="n"/>
      <c r="H162" s="21" t="n"/>
      <c r="I162" s="21" t="n"/>
      <c r="J162" s="17">
        <f>IF($G162="","",IFERROR(INDEX(NomsEmployes,MATCH($G162,MatriculesEmployes,0)),"MATRICULE INCONNU"))</f>
        <v/>
      </c>
      <c r="K162" s="33">
        <f>IF(OR($D162="",$F162=""),"",IFERROR(IF(INDEX(RUNS!$L$6:$S$1005,MATCH($D162,RUNS!$A$6:$A$1005,0),MATCH("ACTIVITÉ "&amp;$F162,RUNS!$L$5:$S$5,0))="","",INDEX(RUNS!$L$6:$S$1005,MATCH($D162,RUNS!$A$6:$A$1005,0),MATCH("ACTIVITÉ "&amp;$F162,RUNS!$L$5:$S$5,0))),""))</f>
        <v/>
      </c>
      <c r="L162" s="33">
        <f>IF($D162="","",IFERROR(IF(INDEX(RUNS!$E$6:$E$1005,MATCH($D162,RUNS!$A$6:$A$1005,0))="","",INDEX(RUNS!$E$6:$E$1005,MATCH($D162,RUNS!$A$6:$A$1005,0))),""))</f>
        <v/>
      </c>
      <c r="M162" s="33">
        <f>IF($D162="","",IFERROR(IF(INDEX(RUNS!$F$6:$F$1005,MATCH($D162,RUNS!$A$6:$A$1005,0))="","",INDEX(RUNS!$F$6:$F$1005,MATCH($D162,RUNS!$A$6:$A$1005,0))),""))</f>
        <v/>
      </c>
      <c r="N162" s="33">
        <f>IF($D162="","",IFERROR(IF(INDEX(RUNS!$G$6:$G$1005,MATCH($D162,RUNS!$A$6:$A$1005,0))="","",INDEX(RUNS!$G$6:$G$1005,MATCH($D162,RUNS!$A$6:$A$1005,0))),""))</f>
        <v/>
      </c>
      <c r="O162" s="33">
        <f>IF($D162="","",IFERROR(IF(INDEX(RUNS!$H$6:$H$1005,MATCH($D162,RUNS!$A$6:$A$1005,0))="","",INDEX(RUNS!$H$6:$H$1005,MATCH($D162,RUNS!$A$6:$A$1005,0))),""))</f>
        <v/>
      </c>
      <c r="P162" s="33">
        <f>IF($D162="","",IFERROR(IF(INDEX(RUNS!$J$6:$J$1005,MATCH($D162,RUNS!$A$6:$A$1005,0))="","",INDEX(RUNS!$J$6:$J$1005,MATCH($D162,RUNS!$A$6:$A$1005,0))),""))</f>
        <v/>
      </c>
      <c r="Q162" s="33">
        <f>IF($D162="","",IFERROR(IF(INDEX(RUNS!$K$6:$K$1005,MATCH($D162,RUNS!$A$6:$A$1005,0))="","",INDEX(RUNS!$K$6:$K$1005,MATCH($D162,RUNS!$A$6:$A$1005,0))),""))</f>
        <v/>
      </c>
      <c r="R162" s="34">
        <f>IF(OR($L162="",$K162=""),"",IFERROR(IF(INDEX(PARAMETRES!$H$43:$H$342,MATCH($L162&amp;"|"&amp;$M162&amp;"|"&amp;$N162&amp;"|"&amp;$O162&amp;"|"&amp;$P162&amp;"|"&amp;$Q162&amp;"|"&amp;$K162,PARAMETRES!$J$43:$J$342,0))="","",INDEX(PARAMETRES!$H$43:$H$342,MATCH($L162&amp;"|"&amp;$M162&amp;"|"&amp;$N162&amp;"|"&amp;$O162&amp;"|"&amp;$P162&amp;"|"&amp;$Q162&amp;"|"&amp;$K162,PARAMETRES!$J$43:$J$342,0))),""))</f>
        <v/>
      </c>
      <c r="S162" s="35">
        <f>IF(OR($G162="",$X162&lt;&gt;"VALIDE"),"",IFERROR(LOOKUP(2,1/(($B$3:$B161=$B162)*($G$3:$G161=$G162)*($X$3:$X161="VALIDE")),$C$3:$C161),""))</f>
        <v/>
      </c>
      <c r="T162" s="36">
        <f>IF(OR($C162="",$S162=""),"",ROUND(($C162-$S162+IF($C162&lt;$S162,1,0))*1440,0))</f>
        <v/>
      </c>
      <c r="U162" s="22">
        <f>IF(OR($H162="",$T162="",$T162&lt;=0),"",$H162*60/$T162)</f>
        <v/>
      </c>
      <c r="V162" s="37">
        <f>IF(OR($U162="",$R162="",$R162=0),"",$U162/$R162)</f>
        <v/>
      </c>
      <c r="W162" s="20">
        <f>IF($G162="","",IF($X162="CONTEXTE INCOMPLET","CONTEXTE INCOMPLET",IF($X162="DOUBLON",StatutDoublon,IF($S162="",StatutInitial,IF($R162="",StatutStandardManquant,IF($V162="","DONNEES INSUFFISANTES",IF($V162&gt;=SeuilConforme,StatutConforme,IF($V162&gt;=SeuilSurveiller,StatutSurveiller,StatutSousStandard))))))))</f>
        <v/>
      </c>
      <c r="X162" s="33">
        <f>IF($G162="","",IF(OR($D162="",$E162="",$F162=""),"CONTEXTE INCOMPLET",IF(COUNTIFS($D$3:$D161,$D162,$E$3:$E161,$E162,$F$3:$F161,$F162,$G$3:$G161,$G162)&gt;0,"DOUBLON","VALIDE")))</f>
        <v/>
      </c>
    </row>
    <row r="163" ht="15" customHeight="1">
      <c r="A163" s="12">
        <f>IF(OR($B163="",$G163=""),"",TEXT($B163,"YYYYMMDD")&amp;"-"&amp;SUBSTITUTE($E163," ","")&amp;"-"&amp;$F163&amp;"-"&amp;$G163)</f>
        <v/>
      </c>
      <c r="B163" s="15" t="n"/>
      <c r="C163" s="16" t="n"/>
      <c r="D163" s="10" t="n"/>
      <c r="E163" s="9" t="n"/>
      <c r="F163" s="9" t="n"/>
      <c r="G163" s="13" t="n"/>
      <c r="H163" s="21" t="n"/>
      <c r="I163" s="21" t="n"/>
      <c r="J163" s="17">
        <f>IF($G163="","",IFERROR(INDEX(NomsEmployes,MATCH($G163,MatriculesEmployes,0)),"MATRICULE INCONNU"))</f>
        <v/>
      </c>
      <c r="K163" s="33">
        <f>IF(OR($D163="",$F163=""),"",IFERROR(IF(INDEX(RUNS!$L$6:$S$1005,MATCH($D163,RUNS!$A$6:$A$1005,0),MATCH("ACTIVITÉ "&amp;$F163,RUNS!$L$5:$S$5,0))="","",INDEX(RUNS!$L$6:$S$1005,MATCH($D163,RUNS!$A$6:$A$1005,0),MATCH("ACTIVITÉ "&amp;$F163,RUNS!$L$5:$S$5,0))),""))</f>
        <v/>
      </c>
      <c r="L163" s="33">
        <f>IF($D163="","",IFERROR(IF(INDEX(RUNS!$E$6:$E$1005,MATCH($D163,RUNS!$A$6:$A$1005,0))="","",INDEX(RUNS!$E$6:$E$1005,MATCH($D163,RUNS!$A$6:$A$1005,0))),""))</f>
        <v/>
      </c>
      <c r="M163" s="33">
        <f>IF($D163="","",IFERROR(IF(INDEX(RUNS!$F$6:$F$1005,MATCH($D163,RUNS!$A$6:$A$1005,0))="","",INDEX(RUNS!$F$6:$F$1005,MATCH($D163,RUNS!$A$6:$A$1005,0))),""))</f>
        <v/>
      </c>
      <c r="N163" s="33">
        <f>IF($D163="","",IFERROR(IF(INDEX(RUNS!$G$6:$G$1005,MATCH($D163,RUNS!$A$6:$A$1005,0))="","",INDEX(RUNS!$G$6:$G$1005,MATCH($D163,RUNS!$A$6:$A$1005,0))),""))</f>
        <v/>
      </c>
      <c r="O163" s="33">
        <f>IF($D163="","",IFERROR(IF(INDEX(RUNS!$H$6:$H$1005,MATCH($D163,RUNS!$A$6:$A$1005,0))="","",INDEX(RUNS!$H$6:$H$1005,MATCH($D163,RUNS!$A$6:$A$1005,0))),""))</f>
        <v/>
      </c>
      <c r="P163" s="33">
        <f>IF($D163="","",IFERROR(IF(INDEX(RUNS!$J$6:$J$1005,MATCH($D163,RUNS!$A$6:$A$1005,0))="","",INDEX(RUNS!$J$6:$J$1005,MATCH($D163,RUNS!$A$6:$A$1005,0))),""))</f>
        <v/>
      </c>
      <c r="Q163" s="33">
        <f>IF($D163="","",IFERROR(IF(INDEX(RUNS!$K$6:$K$1005,MATCH($D163,RUNS!$A$6:$A$1005,0))="","",INDEX(RUNS!$K$6:$K$1005,MATCH($D163,RUNS!$A$6:$A$1005,0))),""))</f>
        <v/>
      </c>
      <c r="R163" s="34">
        <f>IF(OR($L163="",$K163=""),"",IFERROR(IF(INDEX(PARAMETRES!$H$43:$H$342,MATCH($L163&amp;"|"&amp;$M163&amp;"|"&amp;$N163&amp;"|"&amp;$O163&amp;"|"&amp;$P163&amp;"|"&amp;$Q163&amp;"|"&amp;$K163,PARAMETRES!$J$43:$J$342,0))="","",INDEX(PARAMETRES!$H$43:$H$342,MATCH($L163&amp;"|"&amp;$M163&amp;"|"&amp;$N163&amp;"|"&amp;$O163&amp;"|"&amp;$P163&amp;"|"&amp;$Q163&amp;"|"&amp;$K163,PARAMETRES!$J$43:$J$342,0))),""))</f>
        <v/>
      </c>
      <c r="S163" s="35">
        <f>IF(OR($G163="",$X163&lt;&gt;"VALIDE"),"",IFERROR(LOOKUP(2,1/(($B$3:$B162=$B163)*($G$3:$G162=$G163)*($X$3:$X162="VALIDE")),$C$3:$C162),""))</f>
        <v/>
      </c>
      <c r="T163" s="36">
        <f>IF(OR($C163="",$S163=""),"",ROUND(($C163-$S163+IF($C163&lt;$S163,1,0))*1440,0))</f>
        <v/>
      </c>
      <c r="U163" s="22">
        <f>IF(OR($H163="",$T163="",$T163&lt;=0),"",$H163*60/$T163)</f>
        <v/>
      </c>
      <c r="V163" s="37">
        <f>IF(OR($U163="",$R163="",$R163=0),"",$U163/$R163)</f>
        <v/>
      </c>
      <c r="W163" s="20">
        <f>IF($G163="","",IF($X163="CONTEXTE INCOMPLET","CONTEXTE INCOMPLET",IF($X163="DOUBLON",StatutDoublon,IF($S163="",StatutInitial,IF($R163="",StatutStandardManquant,IF($V163="","DONNEES INSUFFISANTES",IF($V163&gt;=SeuilConforme,StatutConforme,IF($V163&gt;=SeuilSurveiller,StatutSurveiller,StatutSousStandard))))))))</f>
        <v/>
      </c>
      <c r="X163" s="33">
        <f>IF($G163="","",IF(OR($D163="",$E163="",$F163=""),"CONTEXTE INCOMPLET",IF(COUNTIFS($D$3:$D162,$D163,$E$3:$E162,$E163,$F$3:$F162,$F163,$G$3:$G162,$G163)&gt;0,"DOUBLON","VALIDE")))</f>
        <v/>
      </c>
    </row>
    <row r="164" ht="15" customHeight="1">
      <c r="A164" s="12">
        <f>IF(OR($B164="",$G164=""),"",TEXT($B164,"YYYYMMDD")&amp;"-"&amp;SUBSTITUTE($E164," ","")&amp;"-"&amp;$F164&amp;"-"&amp;$G164)</f>
        <v/>
      </c>
      <c r="B164" s="15" t="n"/>
      <c r="C164" s="16" t="n"/>
      <c r="D164" s="10" t="n"/>
      <c r="E164" s="9" t="n"/>
      <c r="F164" s="9" t="n"/>
      <c r="G164" s="13" t="n"/>
      <c r="H164" s="21" t="n"/>
      <c r="I164" s="21" t="n"/>
      <c r="J164" s="17">
        <f>IF($G164="","",IFERROR(INDEX(NomsEmployes,MATCH($G164,MatriculesEmployes,0)),"MATRICULE INCONNU"))</f>
        <v/>
      </c>
      <c r="K164" s="33">
        <f>IF(OR($D164="",$F164=""),"",IFERROR(IF(INDEX(RUNS!$L$6:$S$1005,MATCH($D164,RUNS!$A$6:$A$1005,0),MATCH("ACTIVITÉ "&amp;$F164,RUNS!$L$5:$S$5,0))="","",INDEX(RUNS!$L$6:$S$1005,MATCH($D164,RUNS!$A$6:$A$1005,0),MATCH("ACTIVITÉ "&amp;$F164,RUNS!$L$5:$S$5,0))),""))</f>
        <v/>
      </c>
      <c r="L164" s="33">
        <f>IF($D164="","",IFERROR(IF(INDEX(RUNS!$E$6:$E$1005,MATCH($D164,RUNS!$A$6:$A$1005,0))="","",INDEX(RUNS!$E$6:$E$1005,MATCH($D164,RUNS!$A$6:$A$1005,0))),""))</f>
        <v/>
      </c>
      <c r="M164" s="33">
        <f>IF($D164="","",IFERROR(IF(INDEX(RUNS!$F$6:$F$1005,MATCH($D164,RUNS!$A$6:$A$1005,0))="","",INDEX(RUNS!$F$6:$F$1005,MATCH($D164,RUNS!$A$6:$A$1005,0))),""))</f>
        <v/>
      </c>
      <c r="N164" s="33">
        <f>IF($D164="","",IFERROR(IF(INDEX(RUNS!$G$6:$G$1005,MATCH($D164,RUNS!$A$6:$A$1005,0))="","",INDEX(RUNS!$G$6:$G$1005,MATCH($D164,RUNS!$A$6:$A$1005,0))),""))</f>
        <v/>
      </c>
      <c r="O164" s="33">
        <f>IF($D164="","",IFERROR(IF(INDEX(RUNS!$H$6:$H$1005,MATCH($D164,RUNS!$A$6:$A$1005,0))="","",INDEX(RUNS!$H$6:$H$1005,MATCH($D164,RUNS!$A$6:$A$1005,0))),""))</f>
        <v/>
      </c>
      <c r="P164" s="33">
        <f>IF($D164="","",IFERROR(IF(INDEX(RUNS!$J$6:$J$1005,MATCH($D164,RUNS!$A$6:$A$1005,0))="","",INDEX(RUNS!$J$6:$J$1005,MATCH($D164,RUNS!$A$6:$A$1005,0))),""))</f>
        <v/>
      </c>
      <c r="Q164" s="33">
        <f>IF($D164="","",IFERROR(IF(INDEX(RUNS!$K$6:$K$1005,MATCH($D164,RUNS!$A$6:$A$1005,0))="","",INDEX(RUNS!$K$6:$K$1005,MATCH($D164,RUNS!$A$6:$A$1005,0))),""))</f>
        <v/>
      </c>
      <c r="R164" s="34">
        <f>IF(OR($L164="",$K164=""),"",IFERROR(IF(INDEX(PARAMETRES!$H$43:$H$342,MATCH($L164&amp;"|"&amp;$M164&amp;"|"&amp;$N164&amp;"|"&amp;$O164&amp;"|"&amp;$P164&amp;"|"&amp;$Q164&amp;"|"&amp;$K164,PARAMETRES!$J$43:$J$342,0))="","",INDEX(PARAMETRES!$H$43:$H$342,MATCH($L164&amp;"|"&amp;$M164&amp;"|"&amp;$N164&amp;"|"&amp;$O164&amp;"|"&amp;$P164&amp;"|"&amp;$Q164&amp;"|"&amp;$K164,PARAMETRES!$J$43:$J$342,0))),""))</f>
        <v/>
      </c>
      <c r="S164" s="35">
        <f>IF(OR($G164="",$X164&lt;&gt;"VALIDE"),"",IFERROR(LOOKUP(2,1/(($B$3:$B163=$B164)*($G$3:$G163=$G164)*($X$3:$X163="VALIDE")),$C$3:$C163),""))</f>
        <v/>
      </c>
      <c r="T164" s="36">
        <f>IF(OR($C164="",$S164=""),"",ROUND(($C164-$S164+IF($C164&lt;$S164,1,0))*1440,0))</f>
        <v/>
      </c>
      <c r="U164" s="22">
        <f>IF(OR($H164="",$T164="",$T164&lt;=0),"",$H164*60/$T164)</f>
        <v/>
      </c>
      <c r="V164" s="37">
        <f>IF(OR($U164="",$R164="",$R164=0),"",$U164/$R164)</f>
        <v/>
      </c>
      <c r="W164" s="20">
        <f>IF($G164="","",IF($X164="CONTEXTE INCOMPLET","CONTEXTE INCOMPLET",IF($X164="DOUBLON",StatutDoublon,IF($S164="",StatutInitial,IF($R164="",StatutStandardManquant,IF($V164="","DONNEES INSUFFISANTES",IF($V164&gt;=SeuilConforme,StatutConforme,IF($V164&gt;=SeuilSurveiller,StatutSurveiller,StatutSousStandard))))))))</f>
        <v/>
      </c>
      <c r="X164" s="33">
        <f>IF($G164="","",IF(OR($D164="",$E164="",$F164=""),"CONTEXTE INCOMPLET",IF(COUNTIFS($D$3:$D163,$D164,$E$3:$E163,$E164,$F$3:$F163,$F164,$G$3:$G163,$G164)&gt;0,"DOUBLON","VALIDE")))</f>
        <v/>
      </c>
    </row>
    <row r="165" ht="15" customHeight="1">
      <c r="A165" s="12">
        <f>IF(OR($B165="",$G165=""),"",TEXT($B165,"YYYYMMDD")&amp;"-"&amp;SUBSTITUTE($E165," ","")&amp;"-"&amp;$F165&amp;"-"&amp;$G165)</f>
        <v/>
      </c>
      <c r="B165" s="15" t="n"/>
      <c r="C165" s="16" t="n"/>
      <c r="D165" s="10" t="n"/>
      <c r="E165" s="9" t="n"/>
      <c r="F165" s="9" t="n"/>
      <c r="G165" s="13" t="n"/>
      <c r="H165" s="21" t="n"/>
      <c r="I165" s="21" t="n"/>
      <c r="J165" s="17">
        <f>IF($G165="","",IFERROR(INDEX(NomsEmployes,MATCH($G165,MatriculesEmployes,0)),"MATRICULE INCONNU"))</f>
        <v/>
      </c>
      <c r="K165" s="33">
        <f>IF(OR($D165="",$F165=""),"",IFERROR(IF(INDEX(RUNS!$L$6:$S$1005,MATCH($D165,RUNS!$A$6:$A$1005,0),MATCH("ACTIVITÉ "&amp;$F165,RUNS!$L$5:$S$5,0))="","",INDEX(RUNS!$L$6:$S$1005,MATCH($D165,RUNS!$A$6:$A$1005,0),MATCH("ACTIVITÉ "&amp;$F165,RUNS!$L$5:$S$5,0))),""))</f>
        <v/>
      </c>
      <c r="L165" s="33">
        <f>IF($D165="","",IFERROR(IF(INDEX(RUNS!$E$6:$E$1005,MATCH($D165,RUNS!$A$6:$A$1005,0))="","",INDEX(RUNS!$E$6:$E$1005,MATCH($D165,RUNS!$A$6:$A$1005,0))),""))</f>
        <v/>
      </c>
      <c r="M165" s="33">
        <f>IF($D165="","",IFERROR(IF(INDEX(RUNS!$F$6:$F$1005,MATCH($D165,RUNS!$A$6:$A$1005,0))="","",INDEX(RUNS!$F$6:$F$1005,MATCH($D165,RUNS!$A$6:$A$1005,0))),""))</f>
        <v/>
      </c>
      <c r="N165" s="33">
        <f>IF($D165="","",IFERROR(IF(INDEX(RUNS!$G$6:$G$1005,MATCH($D165,RUNS!$A$6:$A$1005,0))="","",INDEX(RUNS!$G$6:$G$1005,MATCH($D165,RUNS!$A$6:$A$1005,0))),""))</f>
        <v/>
      </c>
      <c r="O165" s="33">
        <f>IF($D165="","",IFERROR(IF(INDEX(RUNS!$H$6:$H$1005,MATCH($D165,RUNS!$A$6:$A$1005,0))="","",INDEX(RUNS!$H$6:$H$1005,MATCH($D165,RUNS!$A$6:$A$1005,0))),""))</f>
        <v/>
      </c>
      <c r="P165" s="33">
        <f>IF($D165="","",IFERROR(IF(INDEX(RUNS!$J$6:$J$1005,MATCH($D165,RUNS!$A$6:$A$1005,0))="","",INDEX(RUNS!$J$6:$J$1005,MATCH($D165,RUNS!$A$6:$A$1005,0))),""))</f>
        <v/>
      </c>
      <c r="Q165" s="33">
        <f>IF($D165="","",IFERROR(IF(INDEX(RUNS!$K$6:$K$1005,MATCH($D165,RUNS!$A$6:$A$1005,0))="","",INDEX(RUNS!$K$6:$K$1005,MATCH($D165,RUNS!$A$6:$A$1005,0))),""))</f>
        <v/>
      </c>
      <c r="R165" s="34">
        <f>IF(OR($L165="",$K165=""),"",IFERROR(IF(INDEX(PARAMETRES!$H$43:$H$342,MATCH($L165&amp;"|"&amp;$M165&amp;"|"&amp;$N165&amp;"|"&amp;$O165&amp;"|"&amp;$P165&amp;"|"&amp;$Q165&amp;"|"&amp;$K165,PARAMETRES!$J$43:$J$342,0))="","",INDEX(PARAMETRES!$H$43:$H$342,MATCH($L165&amp;"|"&amp;$M165&amp;"|"&amp;$N165&amp;"|"&amp;$O165&amp;"|"&amp;$P165&amp;"|"&amp;$Q165&amp;"|"&amp;$K165,PARAMETRES!$J$43:$J$342,0))),""))</f>
        <v/>
      </c>
      <c r="S165" s="35">
        <f>IF(OR($G165="",$X165&lt;&gt;"VALIDE"),"",IFERROR(LOOKUP(2,1/(($B$3:$B164=$B165)*($G$3:$G164=$G165)*($X$3:$X164="VALIDE")),$C$3:$C164),""))</f>
        <v/>
      </c>
      <c r="T165" s="36">
        <f>IF(OR($C165="",$S165=""),"",ROUND(($C165-$S165+IF($C165&lt;$S165,1,0))*1440,0))</f>
        <v/>
      </c>
      <c r="U165" s="22">
        <f>IF(OR($H165="",$T165="",$T165&lt;=0),"",$H165*60/$T165)</f>
        <v/>
      </c>
      <c r="V165" s="37">
        <f>IF(OR($U165="",$R165="",$R165=0),"",$U165/$R165)</f>
        <v/>
      </c>
      <c r="W165" s="20">
        <f>IF($G165="","",IF($X165="CONTEXTE INCOMPLET","CONTEXTE INCOMPLET",IF($X165="DOUBLON",StatutDoublon,IF($S165="",StatutInitial,IF($R165="",StatutStandardManquant,IF($V165="","DONNEES INSUFFISANTES",IF($V165&gt;=SeuilConforme,StatutConforme,IF($V165&gt;=SeuilSurveiller,StatutSurveiller,StatutSousStandard))))))))</f>
        <v/>
      </c>
      <c r="X165" s="33">
        <f>IF($G165="","",IF(OR($D165="",$E165="",$F165=""),"CONTEXTE INCOMPLET",IF(COUNTIFS($D$3:$D164,$D165,$E$3:$E164,$E165,$F$3:$F164,$F165,$G$3:$G164,$G165)&gt;0,"DOUBLON","VALIDE")))</f>
        <v/>
      </c>
    </row>
    <row r="166" ht="15" customHeight="1">
      <c r="A166" s="12">
        <f>IF(OR($B166="",$G166=""),"",TEXT($B166,"YYYYMMDD")&amp;"-"&amp;SUBSTITUTE($E166," ","")&amp;"-"&amp;$F166&amp;"-"&amp;$G166)</f>
        <v/>
      </c>
      <c r="B166" s="15" t="n"/>
      <c r="C166" s="16" t="n"/>
      <c r="D166" s="10" t="n"/>
      <c r="E166" s="9" t="n"/>
      <c r="F166" s="9" t="n"/>
      <c r="G166" s="13" t="n"/>
      <c r="H166" s="21" t="n"/>
      <c r="I166" s="21" t="n"/>
      <c r="J166" s="17">
        <f>IF($G166="","",IFERROR(INDEX(NomsEmployes,MATCH($G166,MatriculesEmployes,0)),"MATRICULE INCONNU"))</f>
        <v/>
      </c>
      <c r="K166" s="33">
        <f>IF(OR($D166="",$F166=""),"",IFERROR(IF(INDEX(RUNS!$L$6:$S$1005,MATCH($D166,RUNS!$A$6:$A$1005,0),MATCH("ACTIVITÉ "&amp;$F166,RUNS!$L$5:$S$5,0))="","",INDEX(RUNS!$L$6:$S$1005,MATCH($D166,RUNS!$A$6:$A$1005,0),MATCH("ACTIVITÉ "&amp;$F166,RUNS!$L$5:$S$5,0))),""))</f>
        <v/>
      </c>
      <c r="L166" s="33">
        <f>IF($D166="","",IFERROR(IF(INDEX(RUNS!$E$6:$E$1005,MATCH($D166,RUNS!$A$6:$A$1005,0))="","",INDEX(RUNS!$E$6:$E$1005,MATCH($D166,RUNS!$A$6:$A$1005,0))),""))</f>
        <v/>
      </c>
      <c r="M166" s="33">
        <f>IF($D166="","",IFERROR(IF(INDEX(RUNS!$F$6:$F$1005,MATCH($D166,RUNS!$A$6:$A$1005,0))="","",INDEX(RUNS!$F$6:$F$1005,MATCH($D166,RUNS!$A$6:$A$1005,0))),""))</f>
        <v/>
      </c>
      <c r="N166" s="33">
        <f>IF($D166="","",IFERROR(IF(INDEX(RUNS!$G$6:$G$1005,MATCH($D166,RUNS!$A$6:$A$1005,0))="","",INDEX(RUNS!$G$6:$G$1005,MATCH($D166,RUNS!$A$6:$A$1005,0))),""))</f>
        <v/>
      </c>
      <c r="O166" s="33">
        <f>IF($D166="","",IFERROR(IF(INDEX(RUNS!$H$6:$H$1005,MATCH($D166,RUNS!$A$6:$A$1005,0))="","",INDEX(RUNS!$H$6:$H$1005,MATCH($D166,RUNS!$A$6:$A$1005,0))),""))</f>
        <v/>
      </c>
      <c r="P166" s="33">
        <f>IF($D166="","",IFERROR(IF(INDEX(RUNS!$J$6:$J$1005,MATCH($D166,RUNS!$A$6:$A$1005,0))="","",INDEX(RUNS!$J$6:$J$1005,MATCH($D166,RUNS!$A$6:$A$1005,0))),""))</f>
        <v/>
      </c>
      <c r="Q166" s="33">
        <f>IF($D166="","",IFERROR(IF(INDEX(RUNS!$K$6:$K$1005,MATCH($D166,RUNS!$A$6:$A$1005,0))="","",INDEX(RUNS!$K$6:$K$1005,MATCH($D166,RUNS!$A$6:$A$1005,0))),""))</f>
        <v/>
      </c>
      <c r="R166" s="34">
        <f>IF(OR($L166="",$K166=""),"",IFERROR(IF(INDEX(PARAMETRES!$H$43:$H$342,MATCH($L166&amp;"|"&amp;$M166&amp;"|"&amp;$N166&amp;"|"&amp;$O166&amp;"|"&amp;$P166&amp;"|"&amp;$Q166&amp;"|"&amp;$K166,PARAMETRES!$J$43:$J$342,0))="","",INDEX(PARAMETRES!$H$43:$H$342,MATCH($L166&amp;"|"&amp;$M166&amp;"|"&amp;$N166&amp;"|"&amp;$O166&amp;"|"&amp;$P166&amp;"|"&amp;$Q166&amp;"|"&amp;$K166,PARAMETRES!$J$43:$J$342,0))),""))</f>
        <v/>
      </c>
      <c r="S166" s="35">
        <f>IF(OR($G166="",$X166&lt;&gt;"VALIDE"),"",IFERROR(LOOKUP(2,1/(($B$3:$B165=$B166)*($G$3:$G165=$G166)*($X$3:$X165="VALIDE")),$C$3:$C165),""))</f>
        <v/>
      </c>
      <c r="T166" s="36">
        <f>IF(OR($C166="",$S166=""),"",ROUND(($C166-$S166+IF($C166&lt;$S166,1,0))*1440,0))</f>
        <v/>
      </c>
      <c r="U166" s="22">
        <f>IF(OR($H166="",$T166="",$T166&lt;=0),"",$H166*60/$T166)</f>
        <v/>
      </c>
      <c r="V166" s="37">
        <f>IF(OR($U166="",$R166="",$R166=0),"",$U166/$R166)</f>
        <v/>
      </c>
      <c r="W166" s="20">
        <f>IF($G166="","",IF($X166="CONTEXTE INCOMPLET","CONTEXTE INCOMPLET",IF($X166="DOUBLON",StatutDoublon,IF($S166="",StatutInitial,IF($R166="",StatutStandardManquant,IF($V166="","DONNEES INSUFFISANTES",IF($V166&gt;=SeuilConforme,StatutConforme,IF($V166&gt;=SeuilSurveiller,StatutSurveiller,StatutSousStandard))))))))</f>
        <v/>
      </c>
      <c r="X166" s="33">
        <f>IF($G166="","",IF(OR($D166="",$E166="",$F166=""),"CONTEXTE INCOMPLET",IF(COUNTIFS($D$3:$D165,$D166,$E$3:$E165,$E166,$F$3:$F165,$F166,$G$3:$G165,$G166)&gt;0,"DOUBLON","VALIDE")))</f>
        <v/>
      </c>
    </row>
    <row r="167" ht="15" customHeight="1">
      <c r="A167" s="12">
        <f>IF(OR($B167="",$G167=""),"",TEXT($B167,"YYYYMMDD")&amp;"-"&amp;SUBSTITUTE($E167," ","")&amp;"-"&amp;$F167&amp;"-"&amp;$G167)</f>
        <v/>
      </c>
      <c r="B167" s="15" t="n"/>
      <c r="C167" s="16" t="n"/>
      <c r="D167" s="10" t="n"/>
      <c r="E167" s="9" t="n"/>
      <c r="F167" s="9" t="n"/>
      <c r="G167" s="13" t="n"/>
      <c r="H167" s="21" t="n"/>
      <c r="I167" s="21" t="n"/>
      <c r="J167" s="17">
        <f>IF($G167="","",IFERROR(INDEX(NomsEmployes,MATCH($G167,MatriculesEmployes,0)),"MATRICULE INCONNU"))</f>
        <v/>
      </c>
      <c r="K167" s="33">
        <f>IF(OR($D167="",$F167=""),"",IFERROR(IF(INDEX(RUNS!$L$6:$S$1005,MATCH($D167,RUNS!$A$6:$A$1005,0),MATCH("ACTIVITÉ "&amp;$F167,RUNS!$L$5:$S$5,0))="","",INDEX(RUNS!$L$6:$S$1005,MATCH($D167,RUNS!$A$6:$A$1005,0),MATCH("ACTIVITÉ "&amp;$F167,RUNS!$L$5:$S$5,0))),""))</f>
        <v/>
      </c>
      <c r="L167" s="33">
        <f>IF($D167="","",IFERROR(IF(INDEX(RUNS!$E$6:$E$1005,MATCH($D167,RUNS!$A$6:$A$1005,0))="","",INDEX(RUNS!$E$6:$E$1005,MATCH($D167,RUNS!$A$6:$A$1005,0))),""))</f>
        <v/>
      </c>
      <c r="M167" s="33">
        <f>IF($D167="","",IFERROR(IF(INDEX(RUNS!$F$6:$F$1005,MATCH($D167,RUNS!$A$6:$A$1005,0))="","",INDEX(RUNS!$F$6:$F$1005,MATCH($D167,RUNS!$A$6:$A$1005,0))),""))</f>
        <v/>
      </c>
      <c r="N167" s="33">
        <f>IF($D167="","",IFERROR(IF(INDEX(RUNS!$G$6:$G$1005,MATCH($D167,RUNS!$A$6:$A$1005,0))="","",INDEX(RUNS!$G$6:$G$1005,MATCH($D167,RUNS!$A$6:$A$1005,0))),""))</f>
        <v/>
      </c>
      <c r="O167" s="33">
        <f>IF($D167="","",IFERROR(IF(INDEX(RUNS!$H$6:$H$1005,MATCH($D167,RUNS!$A$6:$A$1005,0))="","",INDEX(RUNS!$H$6:$H$1005,MATCH($D167,RUNS!$A$6:$A$1005,0))),""))</f>
        <v/>
      </c>
      <c r="P167" s="33">
        <f>IF($D167="","",IFERROR(IF(INDEX(RUNS!$J$6:$J$1005,MATCH($D167,RUNS!$A$6:$A$1005,0))="","",INDEX(RUNS!$J$6:$J$1005,MATCH($D167,RUNS!$A$6:$A$1005,0))),""))</f>
        <v/>
      </c>
      <c r="Q167" s="33">
        <f>IF($D167="","",IFERROR(IF(INDEX(RUNS!$K$6:$K$1005,MATCH($D167,RUNS!$A$6:$A$1005,0))="","",INDEX(RUNS!$K$6:$K$1005,MATCH($D167,RUNS!$A$6:$A$1005,0))),""))</f>
        <v/>
      </c>
      <c r="R167" s="34">
        <f>IF(OR($L167="",$K167=""),"",IFERROR(IF(INDEX(PARAMETRES!$H$43:$H$342,MATCH($L167&amp;"|"&amp;$M167&amp;"|"&amp;$N167&amp;"|"&amp;$O167&amp;"|"&amp;$P167&amp;"|"&amp;$Q167&amp;"|"&amp;$K167,PARAMETRES!$J$43:$J$342,0))="","",INDEX(PARAMETRES!$H$43:$H$342,MATCH($L167&amp;"|"&amp;$M167&amp;"|"&amp;$N167&amp;"|"&amp;$O167&amp;"|"&amp;$P167&amp;"|"&amp;$Q167&amp;"|"&amp;$K167,PARAMETRES!$J$43:$J$342,0))),""))</f>
        <v/>
      </c>
      <c r="S167" s="35">
        <f>IF(OR($G167="",$X167&lt;&gt;"VALIDE"),"",IFERROR(LOOKUP(2,1/(($B$3:$B166=$B167)*($G$3:$G166=$G167)*($X$3:$X166="VALIDE")),$C$3:$C166),""))</f>
        <v/>
      </c>
      <c r="T167" s="36">
        <f>IF(OR($C167="",$S167=""),"",ROUND(($C167-$S167+IF($C167&lt;$S167,1,0))*1440,0))</f>
        <v/>
      </c>
      <c r="U167" s="22">
        <f>IF(OR($H167="",$T167="",$T167&lt;=0),"",$H167*60/$T167)</f>
        <v/>
      </c>
      <c r="V167" s="37">
        <f>IF(OR($U167="",$R167="",$R167=0),"",$U167/$R167)</f>
        <v/>
      </c>
      <c r="W167" s="20">
        <f>IF($G167="","",IF($X167="CONTEXTE INCOMPLET","CONTEXTE INCOMPLET",IF($X167="DOUBLON",StatutDoublon,IF($S167="",StatutInitial,IF($R167="",StatutStandardManquant,IF($V167="","DONNEES INSUFFISANTES",IF($V167&gt;=SeuilConforme,StatutConforme,IF($V167&gt;=SeuilSurveiller,StatutSurveiller,StatutSousStandard))))))))</f>
        <v/>
      </c>
      <c r="X167" s="33">
        <f>IF($G167="","",IF(OR($D167="",$E167="",$F167=""),"CONTEXTE INCOMPLET",IF(COUNTIFS($D$3:$D166,$D167,$E$3:$E166,$E167,$F$3:$F166,$F167,$G$3:$G166,$G167)&gt;0,"DOUBLON","VALIDE")))</f>
        <v/>
      </c>
    </row>
    <row r="168" ht="15" customHeight="1">
      <c r="A168" s="12">
        <f>IF(OR($B168="",$G168=""),"",TEXT($B168,"YYYYMMDD")&amp;"-"&amp;SUBSTITUTE($E168," ","")&amp;"-"&amp;$F168&amp;"-"&amp;$G168)</f>
        <v/>
      </c>
      <c r="B168" s="15" t="n"/>
      <c r="C168" s="16" t="n"/>
      <c r="D168" s="10" t="n"/>
      <c r="E168" s="9" t="n"/>
      <c r="F168" s="9" t="n"/>
      <c r="G168" s="13" t="n"/>
      <c r="H168" s="21" t="n"/>
      <c r="I168" s="21" t="n"/>
      <c r="J168" s="17">
        <f>IF($G168="","",IFERROR(INDEX(NomsEmployes,MATCH($G168,MatriculesEmployes,0)),"MATRICULE INCONNU"))</f>
        <v/>
      </c>
      <c r="K168" s="33">
        <f>IF(OR($D168="",$F168=""),"",IFERROR(IF(INDEX(RUNS!$L$6:$S$1005,MATCH($D168,RUNS!$A$6:$A$1005,0),MATCH("ACTIVITÉ "&amp;$F168,RUNS!$L$5:$S$5,0))="","",INDEX(RUNS!$L$6:$S$1005,MATCH($D168,RUNS!$A$6:$A$1005,0),MATCH("ACTIVITÉ "&amp;$F168,RUNS!$L$5:$S$5,0))),""))</f>
        <v/>
      </c>
      <c r="L168" s="33">
        <f>IF($D168="","",IFERROR(IF(INDEX(RUNS!$E$6:$E$1005,MATCH($D168,RUNS!$A$6:$A$1005,0))="","",INDEX(RUNS!$E$6:$E$1005,MATCH($D168,RUNS!$A$6:$A$1005,0))),""))</f>
        <v/>
      </c>
      <c r="M168" s="33">
        <f>IF($D168="","",IFERROR(IF(INDEX(RUNS!$F$6:$F$1005,MATCH($D168,RUNS!$A$6:$A$1005,0))="","",INDEX(RUNS!$F$6:$F$1005,MATCH($D168,RUNS!$A$6:$A$1005,0))),""))</f>
        <v/>
      </c>
      <c r="N168" s="33">
        <f>IF($D168="","",IFERROR(IF(INDEX(RUNS!$G$6:$G$1005,MATCH($D168,RUNS!$A$6:$A$1005,0))="","",INDEX(RUNS!$G$6:$G$1005,MATCH($D168,RUNS!$A$6:$A$1005,0))),""))</f>
        <v/>
      </c>
      <c r="O168" s="33">
        <f>IF($D168="","",IFERROR(IF(INDEX(RUNS!$H$6:$H$1005,MATCH($D168,RUNS!$A$6:$A$1005,0))="","",INDEX(RUNS!$H$6:$H$1005,MATCH($D168,RUNS!$A$6:$A$1005,0))),""))</f>
        <v/>
      </c>
      <c r="P168" s="33">
        <f>IF($D168="","",IFERROR(IF(INDEX(RUNS!$J$6:$J$1005,MATCH($D168,RUNS!$A$6:$A$1005,0))="","",INDEX(RUNS!$J$6:$J$1005,MATCH($D168,RUNS!$A$6:$A$1005,0))),""))</f>
        <v/>
      </c>
      <c r="Q168" s="33">
        <f>IF($D168="","",IFERROR(IF(INDEX(RUNS!$K$6:$K$1005,MATCH($D168,RUNS!$A$6:$A$1005,0))="","",INDEX(RUNS!$K$6:$K$1005,MATCH($D168,RUNS!$A$6:$A$1005,0))),""))</f>
        <v/>
      </c>
      <c r="R168" s="34">
        <f>IF(OR($L168="",$K168=""),"",IFERROR(IF(INDEX(PARAMETRES!$H$43:$H$342,MATCH($L168&amp;"|"&amp;$M168&amp;"|"&amp;$N168&amp;"|"&amp;$O168&amp;"|"&amp;$P168&amp;"|"&amp;$Q168&amp;"|"&amp;$K168,PARAMETRES!$J$43:$J$342,0))="","",INDEX(PARAMETRES!$H$43:$H$342,MATCH($L168&amp;"|"&amp;$M168&amp;"|"&amp;$N168&amp;"|"&amp;$O168&amp;"|"&amp;$P168&amp;"|"&amp;$Q168&amp;"|"&amp;$K168,PARAMETRES!$J$43:$J$342,0))),""))</f>
        <v/>
      </c>
      <c r="S168" s="35">
        <f>IF(OR($G168="",$X168&lt;&gt;"VALIDE"),"",IFERROR(LOOKUP(2,1/(($B$3:$B167=$B168)*($G$3:$G167=$G168)*($X$3:$X167="VALIDE")),$C$3:$C167),""))</f>
        <v/>
      </c>
      <c r="T168" s="36">
        <f>IF(OR($C168="",$S168=""),"",ROUND(($C168-$S168+IF($C168&lt;$S168,1,0))*1440,0))</f>
        <v/>
      </c>
      <c r="U168" s="22">
        <f>IF(OR($H168="",$T168="",$T168&lt;=0),"",$H168*60/$T168)</f>
        <v/>
      </c>
      <c r="V168" s="37">
        <f>IF(OR($U168="",$R168="",$R168=0),"",$U168/$R168)</f>
        <v/>
      </c>
      <c r="W168" s="20">
        <f>IF($G168="","",IF($X168="CONTEXTE INCOMPLET","CONTEXTE INCOMPLET",IF($X168="DOUBLON",StatutDoublon,IF($S168="",StatutInitial,IF($R168="",StatutStandardManquant,IF($V168="","DONNEES INSUFFISANTES",IF($V168&gt;=SeuilConforme,StatutConforme,IF($V168&gt;=SeuilSurveiller,StatutSurveiller,StatutSousStandard))))))))</f>
        <v/>
      </c>
      <c r="X168" s="33">
        <f>IF($G168="","",IF(OR($D168="",$E168="",$F168=""),"CONTEXTE INCOMPLET",IF(COUNTIFS($D$3:$D167,$D168,$E$3:$E167,$E168,$F$3:$F167,$F168,$G$3:$G167,$G168)&gt;0,"DOUBLON","VALIDE")))</f>
        <v/>
      </c>
    </row>
    <row r="169" ht="15" customHeight="1">
      <c r="A169" s="12">
        <f>IF(OR($B169="",$G169=""),"",TEXT($B169,"YYYYMMDD")&amp;"-"&amp;SUBSTITUTE($E169," ","")&amp;"-"&amp;$F169&amp;"-"&amp;$G169)</f>
        <v/>
      </c>
      <c r="B169" s="15" t="n"/>
      <c r="C169" s="16" t="n"/>
      <c r="D169" s="10" t="n"/>
      <c r="E169" s="9" t="n"/>
      <c r="F169" s="9" t="n"/>
      <c r="G169" s="13" t="n"/>
      <c r="H169" s="21" t="n"/>
      <c r="I169" s="21" t="n"/>
      <c r="J169" s="17">
        <f>IF($G169="","",IFERROR(INDEX(NomsEmployes,MATCH($G169,MatriculesEmployes,0)),"MATRICULE INCONNU"))</f>
        <v/>
      </c>
      <c r="K169" s="33">
        <f>IF(OR($D169="",$F169=""),"",IFERROR(IF(INDEX(RUNS!$L$6:$S$1005,MATCH($D169,RUNS!$A$6:$A$1005,0),MATCH("ACTIVITÉ "&amp;$F169,RUNS!$L$5:$S$5,0))="","",INDEX(RUNS!$L$6:$S$1005,MATCH($D169,RUNS!$A$6:$A$1005,0),MATCH("ACTIVITÉ "&amp;$F169,RUNS!$L$5:$S$5,0))),""))</f>
        <v/>
      </c>
      <c r="L169" s="33">
        <f>IF($D169="","",IFERROR(IF(INDEX(RUNS!$E$6:$E$1005,MATCH($D169,RUNS!$A$6:$A$1005,0))="","",INDEX(RUNS!$E$6:$E$1005,MATCH($D169,RUNS!$A$6:$A$1005,0))),""))</f>
        <v/>
      </c>
      <c r="M169" s="33">
        <f>IF($D169="","",IFERROR(IF(INDEX(RUNS!$F$6:$F$1005,MATCH($D169,RUNS!$A$6:$A$1005,0))="","",INDEX(RUNS!$F$6:$F$1005,MATCH($D169,RUNS!$A$6:$A$1005,0))),""))</f>
        <v/>
      </c>
      <c r="N169" s="33">
        <f>IF($D169="","",IFERROR(IF(INDEX(RUNS!$G$6:$G$1005,MATCH($D169,RUNS!$A$6:$A$1005,0))="","",INDEX(RUNS!$G$6:$G$1005,MATCH($D169,RUNS!$A$6:$A$1005,0))),""))</f>
        <v/>
      </c>
      <c r="O169" s="33">
        <f>IF($D169="","",IFERROR(IF(INDEX(RUNS!$H$6:$H$1005,MATCH($D169,RUNS!$A$6:$A$1005,0))="","",INDEX(RUNS!$H$6:$H$1005,MATCH($D169,RUNS!$A$6:$A$1005,0))),""))</f>
        <v/>
      </c>
      <c r="P169" s="33">
        <f>IF($D169="","",IFERROR(IF(INDEX(RUNS!$J$6:$J$1005,MATCH($D169,RUNS!$A$6:$A$1005,0))="","",INDEX(RUNS!$J$6:$J$1005,MATCH($D169,RUNS!$A$6:$A$1005,0))),""))</f>
        <v/>
      </c>
      <c r="Q169" s="33">
        <f>IF($D169="","",IFERROR(IF(INDEX(RUNS!$K$6:$K$1005,MATCH($D169,RUNS!$A$6:$A$1005,0))="","",INDEX(RUNS!$K$6:$K$1005,MATCH($D169,RUNS!$A$6:$A$1005,0))),""))</f>
        <v/>
      </c>
      <c r="R169" s="34">
        <f>IF(OR($L169="",$K169=""),"",IFERROR(IF(INDEX(PARAMETRES!$H$43:$H$342,MATCH($L169&amp;"|"&amp;$M169&amp;"|"&amp;$N169&amp;"|"&amp;$O169&amp;"|"&amp;$P169&amp;"|"&amp;$Q169&amp;"|"&amp;$K169,PARAMETRES!$J$43:$J$342,0))="","",INDEX(PARAMETRES!$H$43:$H$342,MATCH($L169&amp;"|"&amp;$M169&amp;"|"&amp;$N169&amp;"|"&amp;$O169&amp;"|"&amp;$P169&amp;"|"&amp;$Q169&amp;"|"&amp;$K169,PARAMETRES!$J$43:$J$342,0))),""))</f>
        <v/>
      </c>
      <c r="S169" s="35">
        <f>IF(OR($G169="",$X169&lt;&gt;"VALIDE"),"",IFERROR(LOOKUP(2,1/(($B$3:$B168=$B169)*($G$3:$G168=$G169)*($X$3:$X168="VALIDE")),$C$3:$C168),""))</f>
        <v/>
      </c>
      <c r="T169" s="36">
        <f>IF(OR($C169="",$S169=""),"",ROUND(($C169-$S169+IF($C169&lt;$S169,1,0))*1440,0))</f>
        <v/>
      </c>
      <c r="U169" s="22">
        <f>IF(OR($H169="",$T169="",$T169&lt;=0),"",$H169*60/$T169)</f>
        <v/>
      </c>
      <c r="V169" s="37">
        <f>IF(OR($U169="",$R169="",$R169=0),"",$U169/$R169)</f>
        <v/>
      </c>
      <c r="W169" s="20">
        <f>IF($G169="","",IF($X169="CONTEXTE INCOMPLET","CONTEXTE INCOMPLET",IF($X169="DOUBLON",StatutDoublon,IF($S169="",StatutInitial,IF($R169="",StatutStandardManquant,IF($V169="","DONNEES INSUFFISANTES",IF($V169&gt;=SeuilConforme,StatutConforme,IF($V169&gt;=SeuilSurveiller,StatutSurveiller,StatutSousStandard))))))))</f>
        <v/>
      </c>
      <c r="X169" s="33">
        <f>IF($G169="","",IF(OR($D169="",$E169="",$F169=""),"CONTEXTE INCOMPLET",IF(COUNTIFS($D$3:$D168,$D169,$E$3:$E168,$E169,$F$3:$F168,$F169,$G$3:$G168,$G169)&gt;0,"DOUBLON","VALIDE")))</f>
        <v/>
      </c>
    </row>
    <row r="170" ht="15" customHeight="1">
      <c r="A170" s="12">
        <f>IF(OR($B170="",$G170=""),"",TEXT($B170,"YYYYMMDD")&amp;"-"&amp;SUBSTITUTE($E170," ","")&amp;"-"&amp;$F170&amp;"-"&amp;$G170)</f>
        <v/>
      </c>
      <c r="B170" s="15" t="n"/>
      <c r="C170" s="16" t="n"/>
      <c r="D170" s="10" t="n"/>
      <c r="E170" s="9" t="n"/>
      <c r="F170" s="9" t="n"/>
      <c r="G170" s="13" t="n"/>
      <c r="H170" s="21" t="n"/>
      <c r="I170" s="21" t="n"/>
      <c r="J170" s="17">
        <f>IF($G170="","",IFERROR(INDEX(NomsEmployes,MATCH($G170,MatriculesEmployes,0)),"MATRICULE INCONNU"))</f>
        <v/>
      </c>
      <c r="K170" s="33">
        <f>IF(OR($D170="",$F170=""),"",IFERROR(IF(INDEX(RUNS!$L$6:$S$1005,MATCH($D170,RUNS!$A$6:$A$1005,0),MATCH("ACTIVITÉ "&amp;$F170,RUNS!$L$5:$S$5,0))="","",INDEX(RUNS!$L$6:$S$1005,MATCH($D170,RUNS!$A$6:$A$1005,0),MATCH("ACTIVITÉ "&amp;$F170,RUNS!$L$5:$S$5,0))),""))</f>
        <v/>
      </c>
      <c r="L170" s="33">
        <f>IF($D170="","",IFERROR(IF(INDEX(RUNS!$E$6:$E$1005,MATCH($D170,RUNS!$A$6:$A$1005,0))="","",INDEX(RUNS!$E$6:$E$1005,MATCH($D170,RUNS!$A$6:$A$1005,0))),""))</f>
        <v/>
      </c>
      <c r="M170" s="33">
        <f>IF($D170="","",IFERROR(IF(INDEX(RUNS!$F$6:$F$1005,MATCH($D170,RUNS!$A$6:$A$1005,0))="","",INDEX(RUNS!$F$6:$F$1005,MATCH($D170,RUNS!$A$6:$A$1005,0))),""))</f>
        <v/>
      </c>
      <c r="N170" s="33">
        <f>IF($D170="","",IFERROR(IF(INDEX(RUNS!$G$6:$G$1005,MATCH($D170,RUNS!$A$6:$A$1005,0))="","",INDEX(RUNS!$G$6:$G$1005,MATCH($D170,RUNS!$A$6:$A$1005,0))),""))</f>
        <v/>
      </c>
      <c r="O170" s="33">
        <f>IF($D170="","",IFERROR(IF(INDEX(RUNS!$H$6:$H$1005,MATCH($D170,RUNS!$A$6:$A$1005,0))="","",INDEX(RUNS!$H$6:$H$1005,MATCH($D170,RUNS!$A$6:$A$1005,0))),""))</f>
        <v/>
      </c>
      <c r="P170" s="33">
        <f>IF($D170="","",IFERROR(IF(INDEX(RUNS!$J$6:$J$1005,MATCH($D170,RUNS!$A$6:$A$1005,0))="","",INDEX(RUNS!$J$6:$J$1005,MATCH($D170,RUNS!$A$6:$A$1005,0))),""))</f>
        <v/>
      </c>
      <c r="Q170" s="33">
        <f>IF($D170="","",IFERROR(IF(INDEX(RUNS!$K$6:$K$1005,MATCH($D170,RUNS!$A$6:$A$1005,0))="","",INDEX(RUNS!$K$6:$K$1005,MATCH($D170,RUNS!$A$6:$A$1005,0))),""))</f>
        <v/>
      </c>
      <c r="R170" s="34">
        <f>IF(OR($L170="",$K170=""),"",IFERROR(IF(INDEX(PARAMETRES!$H$43:$H$342,MATCH($L170&amp;"|"&amp;$M170&amp;"|"&amp;$N170&amp;"|"&amp;$O170&amp;"|"&amp;$P170&amp;"|"&amp;$Q170&amp;"|"&amp;$K170,PARAMETRES!$J$43:$J$342,0))="","",INDEX(PARAMETRES!$H$43:$H$342,MATCH($L170&amp;"|"&amp;$M170&amp;"|"&amp;$N170&amp;"|"&amp;$O170&amp;"|"&amp;$P170&amp;"|"&amp;$Q170&amp;"|"&amp;$K170,PARAMETRES!$J$43:$J$342,0))),""))</f>
        <v/>
      </c>
      <c r="S170" s="35">
        <f>IF(OR($G170="",$X170&lt;&gt;"VALIDE"),"",IFERROR(LOOKUP(2,1/(($B$3:$B169=$B170)*($G$3:$G169=$G170)*($X$3:$X169="VALIDE")),$C$3:$C169),""))</f>
        <v/>
      </c>
      <c r="T170" s="36">
        <f>IF(OR($C170="",$S170=""),"",ROUND(($C170-$S170+IF($C170&lt;$S170,1,0))*1440,0))</f>
        <v/>
      </c>
      <c r="U170" s="22">
        <f>IF(OR($H170="",$T170="",$T170&lt;=0),"",$H170*60/$T170)</f>
        <v/>
      </c>
      <c r="V170" s="37">
        <f>IF(OR($U170="",$R170="",$R170=0),"",$U170/$R170)</f>
        <v/>
      </c>
      <c r="W170" s="20">
        <f>IF($G170="","",IF($X170="CONTEXTE INCOMPLET","CONTEXTE INCOMPLET",IF($X170="DOUBLON",StatutDoublon,IF($S170="",StatutInitial,IF($R170="",StatutStandardManquant,IF($V170="","DONNEES INSUFFISANTES",IF($V170&gt;=SeuilConforme,StatutConforme,IF($V170&gt;=SeuilSurveiller,StatutSurveiller,StatutSousStandard))))))))</f>
        <v/>
      </c>
      <c r="X170" s="33">
        <f>IF($G170="","",IF(OR($D170="",$E170="",$F170=""),"CONTEXTE INCOMPLET",IF(COUNTIFS($D$3:$D169,$D170,$E$3:$E169,$E170,$F$3:$F169,$F170,$G$3:$G169,$G170)&gt;0,"DOUBLON","VALIDE")))</f>
        <v/>
      </c>
    </row>
    <row r="171" ht="15" customHeight="1">
      <c r="A171" s="12">
        <f>IF(OR($B171="",$G171=""),"",TEXT($B171,"YYYYMMDD")&amp;"-"&amp;SUBSTITUTE($E171," ","")&amp;"-"&amp;$F171&amp;"-"&amp;$G171)</f>
        <v/>
      </c>
      <c r="B171" s="15" t="n"/>
      <c r="C171" s="16" t="n"/>
      <c r="D171" s="10" t="n"/>
      <c r="E171" s="9" t="n"/>
      <c r="F171" s="9" t="n"/>
      <c r="G171" s="13" t="n"/>
      <c r="H171" s="21" t="n"/>
      <c r="I171" s="21" t="n"/>
      <c r="J171" s="17">
        <f>IF($G171="","",IFERROR(INDEX(NomsEmployes,MATCH($G171,MatriculesEmployes,0)),"MATRICULE INCONNU"))</f>
        <v/>
      </c>
      <c r="K171" s="33">
        <f>IF(OR($D171="",$F171=""),"",IFERROR(IF(INDEX(RUNS!$L$6:$S$1005,MATCH($D171,RUNS!$A$6:$A$1005,0),MATCH("ACTIVITÉ "&amp;$F171,RUNS!$L$5:$S$5,0))="","",INDEX(RUNS!$L$6:$S$1005,MATCH($D171,RUNS!$A$6:$A$1005,0),MATCH("ACTIVITÉ "&amp;$F171,RUNS!$L$5:$S$5,0))),""))</f>
        <v/>
      </c>
      <c r="L171" s="33">
        <f>IF($D171="","",IFERROR(IF(INDEX(RUNS!$E$6:$E$1005,MATCH($D171,RUNS!$A$6:$A$1005,0))="","",INDEX(RUNS!$E$6:$E$1005,MATCH($D171,RUNS!$A$6:$A$1005,0))),""))</f>
        <v/>
      </c>
      <c r="M171" s="33">
        <f>IF($D171="","",IFERROR(IF(INDEX(RUNS!$F$6:$F$1005,MATCH($D171,RUNS!$A$6:$A$1005,0))="","",INDEX(RUNS!$F$6:$F$1005,MATCH($D171,RUNS!$A$6:$A$1005,0))),""))</f>
        <v/>
      </c>
      <c r="N171" s="33">
        <f>IF($D171="","",IFERROR(IF(INDEX(RUNS!$G$6:$G$1005,MATCH($D171,RUNS!$A$6:$A$1005,0))="","",INDEX(RUNS!$G$6:$G$1005,MATCH($D171,RUNS!$A$6:$A$1005,0))),""))</f>
        <v/>
      </c>
      <c r="O171" s="33">
        <f>IF($D171="","",IFERROR(IF(INDEX(RUNS!$H$6:$H$1005,MATCH($D171,RUNS!$A$6:$A$1005,0))="","",INDEX(RUNS!$H$6:$H$1005,MATCH($D171,RUNS!$A$6:$A$1005,0))),""))</f>
        <v/>
      </c>
      <c r="P171" s="33">
        <f>IF($D171="","",IFERROR(IF(INDEX(RUNS!$J$6:$J$1005,MATCH($D171,RUNS!$A$6:$A$1005,0))="","",INDEX(RUNS!$J$6:$J$1005,MATCH($D171,RUNS!$A$6:$A$1005,0))),""))</f>
        <v/>
      </c>
      <c r="Q171" s="33">
        <f>IF($D171="","",IFERROR(IF(INDEX(RUNS!$K$6:$K$1005,MATCH($D171,RUNS!$A$6:$A$1005,0))="","",INDEX(RUNS!$K$6:$K$1005,MATCH($D171,RUNS!$A$6:$A$1005,0))),""))</f>
        <v/>
      </c>
      <c r="R171" s="34">
        <f>IF(OR($L171="",$K171=""),"",IFERROR(IF(INDEX(PARAMETRES!$H$43:$H$342,MATCH($L171&amp;"|"&amp;$M171&amp;"|"&amp;$N171&amp;"|"&amp;$O171&amp;"|"&amp;$P171&amp;"|"&amp;$Q171&amp;"|"&amp;$K171,PARAMETRES!$J$43:$J$342,0))="","",INDEX(PARAMETRES!$H$43:$H$342,MATCH($L171&amp;"|"&amp;$M171&amp;"|"&amp;$N171&amp;"|"&amp;$O171&amp;"|"&amp;$P171&amp;"|"&amp;$Q171&amp;"|"&amp;$K171,PARAMETRES!$J$43:$J$342,0))),""))</f>
        <v/>
      </c>
      <c r="S171" s="35">
        <f>IF(OR($G171="",$X171&lt;&gt;"VALIDE"),"",IFERROR(LOOKUP(2,1/(($B$3:$B170=$B171)*($G$3:$G170=$G171)*($X$3:$X170="VALIDE")),$C$3:$C170),""))</f>
        <v/>
      </c>
      <c r="T171" s="36">
        <f>IF(OR($C171="",$S171=""),"",ROUND(($C171-$S171+IF($C171&lt;$S171,1,0))*1440,0))</f>
        <v/>
      </c>
      <c r="U171" s="22">
        <f>IF(OR($H171="",$T171="",$T171&lt;=0),"",$H171*60/$T171)</f>
        <v/>
      </c>
      <c r="V171" s="37">
        <f>IF(OR($U171="",$R171="",$R171=0),"",$U171/$R171)</f>
        <v/>
      </c>
      <c r="W171" s="20">
        <f>IF($G171="","",IF($X171="CONTEXTE INCOMPLET","CONTEXTE INCOMPLET",IF($X171="DOUBLON",StatutDoublon,IF($S171="",StatutInitial,IF($R171="",StatutStandardManquant,IF($V171="","DONNEES INSUFFISANTES",IF($V171&gt;=SeuilConforme,StatutConforme,IF($V171&gt;=SeuilSurveiller,StatutSurveiller,StatutSousStandard))))))))</f>
        <v/>
      </c>
      <c r="X171" s="33">
        <f>IF($G171="","",IF(OR($D171="",$E171="",$F171=""),"CONTEXTE INCOMPLET",IF(COUNTIFS($D$3:$D170,$D171,$E$3:$E170,$E171,$F$3:$F170,$F171,$G$3:$G170,$G171)&gt;0,"DOUBLON","VALIDE")))</f>
        <v/>
      </c>
    </row>
    <row r="172" ht="15" customHeight="1">
      <c r="A172" s="12">
        <f>IF(OR($B172="",$G172=""),"",TEXT($B172,"YYYYMMDD")&amp;"-"&amp;SUBSTITUTE($E172," ","")&amp;"-"&amp;$F172&amp;"-"&amp;$G172)</f>
        <v/>
      </c>
      <c r="B172" s="15" t="n"/>
      <c r="C172" s="16" t="n"/>
      <c r="D172" s="10" t="n"/>
      <c r="E172" s="9" t="n"/>
      <c r="F172" s="9" t="n"/>
      <c r="G172" s="13" t="n"/>
      <c r="H172" s="21" t="n"/>
      <c r="I172" s="21" t="n"/>
      <c r="J172" s="17">
        <f>IF($G172="","",IFERROR(INDEX(NomsEmployes,MATCH($G172,MatriculesEmployes,0)),"MATRICULE INCONNU"))</f>
        <v/>
      </c>
      <c r="K172" s="33">
        <f>IF(OR($D172="",$F172=""),"",IFERROR(IF(INDEX(RUNS!$L$6:$S$1005,MATCH($D172,RUNS!$A$6:$A$1005,0),MATCH("ACTIVITÉ "&amp;$F172,RUNS!$L$5:$S$5,0))="","",INDEX(RUNS!$L$6:$S$1005,MATCH($D172,RUNS!$A$6:$A$1005,0),MATCH("ACTIVITÉ "&amp;$F172,RUNS!$L$5:$S$5,0))),""))</f>
        <v/>
      </c>
      <c r="L172" s="33">
        <f>IF($D172="","",IFERROR(IF(INDEX(RUNS!$E$6:$E$1005,MATCH($D172,RUNS!$A$6:$A$1005,0))="","",INDEX(RUNS!$E$6:$E$1005,MATCH($D172,RUNS!$A$6:$A$1005,0))),""))</f>
        <v/>
      </c>
      <c r="M172" s="33">
        <f>IF($D172="","",IFERROR(IF(INDEX(RUNS!$F$6:$F$1005,MATCH($D172,RUNS!$A$6:$A$1005,0))="","",INDEX(RUNS!$F$6:$F$1005,MATCH($D172,RUNS!$A$6:$A$1005,0))),""))</f>
        <v/>
      </c>
      <c r="N172" s="33">
        <f>IF($D172="","",IFERROR(IF(INDEX(RUNS!$G$6:$G$1005,MATCH($D172,RUNS!$A$6:$A$1005,0))="","",INDEX(RUNS!$G$6:$G$1005,MATCH($D172,RUNS!$A$6:$A$1005,0))),""))</f>
        <v/>
      </c>
      <c r="O172" s="33">
        <f>IF($D172="","",IFERROR(IF(INDEX(RUNS!$H$6:$H$1005,MATCH($D172,RUNS!$A$6:$A$1005,0))="","",INDEX(RUNS!$H$6:$H$1005,MATCH($D172,RUNS!$A$6:$A$1005,0))),""))</f>
        <v/>
      </c>
      <c r="P172" s="33">
        <f>IF($D172="","",IFERROR(IF(INDEX(RUNS!$J$6:$J$1005,MATCH($D172,RUNS!$A$6:$A$1005,0))="","",INDEX(RUNS!$J$6:$J$1005,MATCH($D172,RUNS!$A$6:$A$1005,0))),""))</f>
        <v/>
      </c>
      <c r="Q172" s="33">
        <f>IF($D172="","",IFERROR(IF(INDEX(RUNS!$K$6:$K$1005,MATCH($D172,RUNS!$A$6:$A$1005,0))="","",INDEX(RUNS!$K$6:$K$1005,MATCH($D172,RUNS!$A$6:$A$1005,0))),""))</f>
        <v/>
      </c>
      <c r="R172" s="34">
        <f>IF(OR($L172="",$K172=""),"",IFERROR(IF(INDEX(PARAMETRES!$H$43:$H$342,MATCH($L172&amp;"|"&amp;$M172&amp;"|"&amp;$N172&amp;"|"&amp;$O172&amp;"|"&amp;$P172&amp;"|"&amp;$Q172&amp;"|"&amp;$K172,PARAMETRES!$J$43:$J$342,0))="","",INDEX(PARAMETRES!$H$43:$H$342,MATCH($L172&amp;"|"&amp;$M172&amp;"|"&amp;$N172&amp;"|"&amp;$O172&amp;"|"&amp;$P172&amp;"|"&amp;$Q172&amp;"|"&amp;$K172,PARAMETRES!$J$43:$J$342,0))),""))</f>
        <v/>
      </c>
      <c r="S172" s="35">
        <f>IF(OR($G172="",$X172&lt;&gt;"VALIDE"),"",IFERROR(LOOKUP(2,1/(($B$3:$B171=$B172)*($G$3:$G171=$G172)*($X$3:$X171="VALIDE")),$C$3:$C171),""))</f>
        <v/>
      </c>
      <c r="T172" s="36">
        <f>IF(OR($C172="",$S172=""),"",ROUND(($C172-$S172+IF($C172&lt;$S172,1,0))*1440,0))</f>
        <v/>
      </c>
      <c r="U172" s="22">
        <f>IF(OR($H172="",$T172="",$T172&lt;=0),"",$H172*60/$T172)</f>
        <v/>
      </c>
      <c r="V172" s="37">
        <f>IF(OR($U172="",$R172="",$R172=0),"",$U172/$R172)</f>
        <v/>
      </c>
      <c r="W172" s="20">
        <f>IF($G172="","",IF($X172="CONTEXTE INCOMPLET","CONTEXTE INCOMPLET",IF($X172="DOUBLON",StatutDoublon,IF($S172="",StatutInitial,IF($R172="",StatutStandardManquant,IF($V172="","DONNEES INSUFFISANTES",IF($V172&gt;=SeuilConforme,StatutConforme,IF($V172&gt;=SeuilSurveiller,StatutSurveiller,StatutSousStandard))))))))</f>
        <v/>
      </c>
      <c r="X172" s="33">
        <f>IF($G172="","",IF(OR($D172="",$E172="",$F172=""),"CONTEXTE INCOMPLET",IF(COUNTIFS($D$3:$D171,$D172,$E$3:$E171,$E172,$F$3:$F171,$F172,$G$3:$G171,$G172)&gt;0,"DOUBLON","VALIDE")))</f>
        <v/>
      </c>
    </row>
    <row r="173" ht="15" customHeight="1">
      <c r="A173" s="12">
        <f>IF(OR($B173="",$G173=""),"",TEXT($B173,"YYYYMMDD")&amp;"-"&amp;SUBSTITUTE($E173," ","")&amp;"-"&amp;$F173&amp;"-"&amp;$G173)</f>
        <v/>
      </c>
      <c r="B173" s="15" t="n"/>
      <c r="C173" s="16" t="n"/>
      <c r="D173" s="10" t="n"/>
      <c r="E173" s="9" t="n"/>
      <c r="F173" s="9" t="n"/>
      <c r="G173" s="13" t="n"/>
      <c r="H173" s="21" t="n"/>
      <c r="I173" s="21" t="n"/>
      <c r="J173" s="17">
        <f>IF($G173="","",IFERROR(INDEX(NomsEmployes,MATCH($G173,MatriculesEmployes,0)),"MATRICULE INCONNU"))</f>
        <v/>
      </c>
      <c r="K173" s="33">
        <f>IF(OR($D173="",$F173=""),"",IFERROR(IF(INDEX(RUNS!$L$6:$S$1005,MATCH($D173,RUNS!$A$6:$A$1005,0),MATCH("ACTIVITÉ "&amp;$F173,RUNS!$L$5:$S$5,0))="","",INDEX(RUNS!$L$6:$S$1005,MATCH($D173,RUNS!$A$6:$A$1005,0),MATCH("ACTIVITÉ "&amp;$F173,RUNS!$L$5:$S$5,0))),""))</f>
        <v/>
      </c>
      <c r="L173" s="33">
        <f>IF($D173="","",IFERROR(IF(INDEX(RUNS!$E$6:$E$1005,MATCH($D173,RUNS!$A$6:$A$1005,0))="","",INDEX(RUNS!$E$6:$E$1005,MATCH($D173,RUNS!$A$6:$A$1005,0))),""))</f>
        <v/>
      </c>
      <c r="M173" s="33">
        <f>IF($D173="","",IFERROR(IF(INDEX(RUNS!$F$6:$F$1005,MATCH($D173,RUNS!$A$6:$A$1005,0))="","",INDEX(RUNS!$F$6:$F$1005,MATCH($D173,RUNS!$A$6:$A$1005,0))),""))</f>
        <v/>
      </c>
      <c r="N173" s="33">
        <f>IF($D173="","",IFERROR(IF(INDEX(RUNS!$G$6:$G$1005,MATCH($D173,RUNS!$A$6:$A$1005,0))="","",INDEX(RUNS!$G$6:$G$1005,MATCH($D173,RUNS!$A$6:$A$1005,0))),""))</f>
        <v/>
      </c>
      <c r="O173" s="33">
        <f>IF($D173="","",IFERROR(IF(INDEX(RUNS!$H$6:$H$1005,MATCH($D173,RUNS!$A$6:$A$1005,0))="","",INDEX(RUNS!$H$6:$H$1005,MATCH($D173,RUNS!$A$6:$A$1005,0))),""))</f>
        <v/>
      </c>
      <c r="P173" s="33">
        <f>IF($D173="","",IFERROR(IF(INDEX(RUNS!$J$6:$J$1005,MATCH($D173,RUNS!$A$6:$A$1005,0))="","",INDEX(RUNS!$J$6:$J$1005,MATCH($D173,RUNS!$A$6:$A$1005,0))),""))</f>
        <v/>
      </c>
      <c r="Q173" s="33">
        <f>IF($D173="","",IFERROR(IF(INDEX(RUNS!$K$6:$K$1005,MATCH($D173,RUNS!$A$6:$A$1005,0))="","",INDEX(RUNS!$K$6:$K$1005,MATCH($D173,RUNS!$A$6:$A$1005,0))),""))</f>
        <v/>
      </c>
      <c r="R173" s="34">
        <f>IF(OR($L173="",$K173=""),"",IFERROR(IF(INDEX(PARAMETRES!$H$43:$H$342,MATCH($L173&amp;"|"&amp;$M173&amp;"|"&amp;$N173&amp;"|"&amp;$O173&amp;"|"&amp;$P173&amp;"|"&amp;$Q173&amp;"|"&amp;$K173,PARAMETRES!$J$43:$J$342,0))="","",INDEX(PARAMETRES!$H$43:$H$342,MATCH($L173&amp;"|"&amp;$M173&amp;"|"&amp;$N173&amp;"|"&amp;$O173&amp;"|"&amp;$P173&amp;"|"&amp;$Q173&amp;"|"&amp;$K173,PARAMETRES!$J$43:$J$342,0))),""))</f>
        <v/>
      </c>
      <c r="S173" s="35">
        <f>IF(OR($G173="",$X173&lt;&gt;"VALIDE"),"",IFERROR(LOOKUP(2,1/(($B$3:$B172=$B173)*($G$3:$G172=$G173)*($X$3:$X172="VALIDE")),$C$3:$C172),""))</f>
        <v/>
      </c>
      <c r="T173" s="36">
        <f>IF(OR($C173="",$S173=""),"",ROUND(($C173-$S173+IF($C173&lt;$S173,1,0))*1440,0))</f>
        <v/>
      </c>
      <c r="U173" s="22">
        <f>IF(OR($H173="",$T173="",$T173&lt;=0),"",$H173*60/$T173)</f>
        <v/>
      </c>
      <c r="V173" s="37">
        <f>IF(OR($U173="",$R173="",$R173=0),"",$U173/$R173)</f>
        <v/>
      </c>
      <c r="W173" s="20">
        <f>IF($G173="","",IF($X173="CONTEXTE INCOMPLET","CONTEXTE INCOMPLET",IF($X173="DOUBLON",StatutDoublon,IF($S173="",StatutInitial,IF($R173="",StatutStandardManquant,IF($V173="","DONNEES INSUFFISANTES",IF($V173&gt;=SeuilConforme,StatutConforme,IF($V173&gt;=SeuilSurveiller,StatutSurveiller,StatutSousStandard))))))))</f>
        <v/>
      </c>
      <c r="X173" s="33">
        <f>IF($G173="","",IF(OR($D173="",$E173="",$F173=""),"CONTEXTE INCOMPLET",IF(COUNTIFS($D$3:$D172,$D173,$E$3:$E172,$E173,$F$3:$F172,$F173,$G$3:$G172,$G173)&gt;0,"DOUBLON","VALIDE")))</f>
        <v/>
      </c>
    </row>
    <row r="174" ht="15" customHeight="1">
      <c r="A174" s="12">
        <f>IF(OR($B174="",$G174=""),"",TEXT($B174,"YYYYMMDD")&amp;"-"&amp;SUBSTITUTE($E174," ","")&amp;"-"&amp;$F174&amp;"-"&amp;$G174)</f>
        <v/>
      </c>
      <c r="B174" s="15" t="n"/>
      <c r="C174" s="16" t="n"/>
      <c r="D174" s="10" t="n"/>
      <c r="E174" s="9" t="n"/>
      <c r="F174" s="9" t="n"/>
      <c r="G174" s="13" t="n"/>
      <c r="H174" s="21" t="n"/>
      <c r="I174" s="21" t="n"/>
      <c r="J174" s="17">
        <f>IF($G174="","",IFERROR(INDEX(NomsEmployes,MATCH($G174,MatriculesEmployes,0)),"MATRICULE INCONNU"))</f>
        <v/>
      </c>
      <c r="K174" s="33">
        <f>IF(OR($D174="",$F174=""),"",IFERROR(IF(INDEX(RUNS!$L$6:$S$1005,MATCH($D174,RUNS!$A$6:$A$1005,0),MATCH("ACTIVITÉ "&amp;$F174,RUNS!$L$5:$S$5,0))="","",INDEX(RUNS!$L$6:$S$1005,MATCH($D174,RUNS!$A$6:$A$1005,0),MATCH("ACTIVITÉ "&amp;$F174,RUNS!$L$5:$S$5,0))),""))</f>
        <v/>
      </c>
      <c r="L174" s="33">
        <f>IF($D174="","",IFERROR(IF(INDEX(RUNS!$E$6:$E$1005,MATCH($D174,RUNS!$A$6:$A$1005,0))="","",INDEX(RUNS!$E$6:$E$1005,MATCH($D174,RUNS!$A$6:$A$1005,0))),""))</f>
        <v/>
      </c>
      <c r="M174" s="33">
        <f>IF($D174="","",IFERROR(IF(INDEX(RUNS!$F$6:$F$1005,MATCH($D174,RUNS!$A$6:$A$1005,0))="","",INDEX(RUNS!$F$6:$F$1005,MATCH($D174,RUNS!$A$6:$A$1005,0))),""))</f>
        <v/>
      </c>
      <c r="N174" s="33">
        <f>IF($D174="","",IFERROR(IF(INDEX(RUNS!$G$6:$G$1005,MATCH($D174,RUNS!$A$6:$A$1005,0))="","",INDEX(RUNS!$G$6:$G$1005,MATCH($D174,RUNS!$A$6:$A$1005,0))),""))</f>
        <v/>
      </c>
      <c r="O174" s="33">
        <f>IF($D174="","",IFERROR(IF(INDEX(RUNS!$H$6:$H$1005,MATCH($D174,RUNS!$A$6:$A$1005,0))="","",INDEX(RUNS!$H$6:$H$1005,MATCH($D174,RUNS!$A$6:$A$1005,0))),""))</f>
        <v/>
      </c>
      <c r="P174" s="33">
        <f>IF($D174="","",IFERROR(IF(INDEX(RUNS!$J$6:$J$1005,MATCH($D174,RUNS!$A$6:$A$1005,0))="","",INDEX(RUNS!$J$6:$J$1005,MATCH($D174,RUNS!$A$6:$A$1005,0))),""))</f>
        <v/>
      </c>
      <c r="Q174" s="33">
        <f>IF($D174="","",IFERROR(IF(INDEX(RUNS!$K$6:$K$1005,MATCH($D174,RUNS!$A$6:$A$1005,0))="","",INDEX(RUNS!$K$6:$K$1005,MATCH($D174,RUNS!$A$6:$A$1005,0))),""))</f>
        <v/>
      </c>
      <c r="R174" s="34">
        <f>IF(OR($L174="",$K174=""),"",IFERROR(IF(INDEX(PARAMETRES!$H$43:$H$342,MATCH($L174&amp;"|"&amp;$M174&amp;"|"&amp;$N174&amp;"|"&amp;$O174&amp;"|"&amp;$P174&amp;"|"&amp;$Q174&amp;"|"&amp;$K174,PARAMETRES!$J$43:$J$342,0))="","",INDEX(PARAMETRES!$H$43:$H$342,MATCH($L174&amp;"|"&amp;$M174&amp;"|"&amp;$N174&amp;"|"&amp;$O174&amp;"|"&amp;$P174&amp;"|"&amp;$Q174&amp;"|"&amp;$K174,PARAMETRES!$J$43:$J$342,0))),""))</f>
        <v/>
      </c>
      <c r="S174" s="35">
        <f>IF(OR($G174="",$X174&lt;&gt;"VALIDE"),"",IFERROR(LOOKUP(2,1/(($B$3:$B173=$B174)*($G$3:$G173=$G174)*($X$3:$X173="VALIDE")),$C$3:$C173),""))</f>
        <v/>
      </c>
      <c r="T174" s="36">
        <f>IF(OR($C174="",$S174=""),"",ROUND(($C174-$S174+IF($C174&lt;$S174,1,0))*1440,0))</f>
        <v/>
      </c>
      <c r="U174" s="22">
        <f>IF(OR($H174="",$T174="",$T174&lt;=0),"",$H174*60/$T174)</f>
        <v/>
      </c>
      <c r="V174" s="37">
        <f>IF(OR($U174="",$R174="",$R174=0),"",$U174/$R174)</f>
        <v/>
      </c>
      <c r="W174" s="20">
        <f>IF($G174="","",IF($X174="CONTEXTE INCOMPLET","CONTEXTE INCOMPLET",IF($X174="DOUBLON",StatutDoublon,IF($S174="",StatutInitial,IF($R174="",StatutStandardManquant,IF($V174="","DONNEES INSUFFISANTES",IF($V174&gt;=SeuilConforme,StatutConforme,IF($V174&gt;=SeuilSurveiller,StatutSurveiller,StatutSousStandard))))))))</f>
        <v/>
      </c>
      <c r="X174" s="33">
        <f>IF($G174="","",IF(OR($D174="",$E174="",$F174=""),"CONTEXTE INCOMPLET",IF(COUNTIFS($D$3:$D173,$D174,$E$3:$E173,$E174,$F$3:$F173,$F174,$G$3:$G173,$G174)&gt;0,"DOUBLON","VALIDE")))</f>
        <v/>
      </c>
    </row>
    <row r="175" ht="15" customHeight="1">
      <c r="A175" s="12">
        <f>IF(OR($B175="",$G175=""),"",TEXT($B175,"YYYYMMDD")&amp;"-"&amp;SUBSTITUTE($E175," ","")&amp;"-"&amp;$F175&amp;"-"&amp;$G175)</f>
        <v/>
      </c>
      <c r="B175" s="15" t="n"/>
      <c r="C175" s="16" t="n"/>
      <c r="D175" s="10" t="n"/>
      <c r="E175" s="9" t="n"/>
      <c r="F175" s="9" t="n"/>
      <c r="G175" s="13" t="n"/>
      <c r="H175" s="21" t="n"/>
      <c r="I175" s="21" t="n"/>
      <c r="J175" s="17">
        <f>IF($G175="","",IFERROR(INDEX(NomsEmployes,MATCH($G175,MatriculesEmployes,0)),"MATRICULE INCONNU"))</f>
        <v/>
      </c>
      <c r="K175" s="33">
        <f>IF(OR($D175="",$F175=""),"",IFERROR(IF(INDEX(RUNS!$L$6:$S$1005,MATCH($D175,RUNS!$A$6:$A$1005,0),MATCH("ACTIVITÉ "&amp;$F175,RUNS!$L$5:$S$5,0))="","",INDEX(RUNS!$L$6:$S$1005,MATCH($D175,RUNS!$A$6:$A$1005,0),MATCH("ACTIVITÉ "&amp;$F175,RUNS!$L$5:$S$5,0))),""))</f>
        <v/>
      </c>
      <c r="L175" s="33">
        <f>IF($D175="","",IFERROR(IF(INDEX(RUNS!$E$6:$E$1005,MATCH($D175,RUNS!$A$6:$A$1005,0))="","",INDEX(RUNS!$E$6:$E$1005,MATCH($D175,RUNS!$A$6:$A$1005,0))),""))</f>
        <v/>
      </c>
      <c r="M175" s="33">
        <f>IF($D175="","",IFERROR(IF(INDEX(RUNS!$F$6:$F$1005,MATCH($D175,RUNS!$A$6:$A$1005,0))="","",INDEX(RUNS!$F$6:$F$1005,MATCH($D175,RUNS!$A$6:$A$1005,0))),""))</f>
        <v/>
      </c>
      <c r="N175" s="33">
        <f>IF($D175="","",IFERROR(IF(INDEX(RUNS!$G$6:$G$1005,MATCH($D175,RUNS!$A$6:$A$1005,0))="","",INDEX(RUNS!$G$6:$G$1005,MATCH($D175,RUNS!$A$6:$A$1005,0))),""))</f>
        <v/>
      </c>
      <c r="O175" s="33">
        <f>IF($D175="","",IFERROR(IF(INDEX(RUNS!$H$6:$H$1005,MATCH($D175,RUNS!$A$6:$A$1005,0))="","",INDEX(RUNS!$H$6:$H$1005,MATCH($D175,RUNS!$A$6:$A$1005,0))),""))</f>
        <v/>
      </c>
      <c r="P175" s="33">
        <f>IF($D175="","",IFERROR(IF(INDEX(RUNS!$J$6:$J$1005,MATCH($D175,RUNS!$A$6:$A$1005,0))="","",INDEX(RUNS!$J$6:$J$1005,MATCH($D175,RUNS!$A$6:$A$1005,0))),""))</f>
        <v/>
      </c>
      <c r="Q175" s="33">
        <f>IF($D175="","",IFERROR(IF(INDEX(RUNS!$K$6:$K$1005,MATCH($D175,RUNS!$A$6:$A$1005,0))="","",INDEX(RUNS!$K$6:$K$1005,MATCH($D175,RUNS!$A$6:$A$1005,0))),""))</f>
        <v/>
      </c>
      <c r="R175" s="34">
        <f>IF(OR($L175="",$K175=""),"",IFERROR(IF(INDEX(PARAMETRES!$H$43:$H$342,MATCH($L175&amp;"|"&amp;$M175&amp;"|"&amp;$N175&amp;"|"&amp;$O175&amp;"|"&amp;$P175&amp;"|"&amp;$Q175&amp;"|"&amp;$K175,PARAMETRES!$J$43:$J$342,0))="","",INDEX(PARAMETRES!$H$43:$H$342,MATCH($L175&amp;"|"&amp;$M175&amp;"|"&amp;$N175&amp;"|"&amp;$O175&amp;"|"&amp;$P175&amp;"|"&amp;$Q175&amp;"|"&amp;$K175,PARAMETRES!$J$43:$J$342,0))),""))</f>
        <v/>
      </c>
      <c r="S175" s="35">
        <f>IF(OR($G175="",$X175&lt;&gt;"VALIDE"),"",IFERROR(LOOKUP(2,1/(($B$3:$B174=$B175)*($G$3:$G174=$G175)*($X$3:$X174="VALIDE")),$C$3:$C174),""))</f>
        <v/>
      </c>
      <c r="T175" s="36">
        <f>IF(OR($C175="",$S175=""),"",ROUND(($C175-$S175+IF($C175&lt;$S175,1,0))*1440,0))</f>
        <v/>
      </c>
      <c r="U175" s="22">
        <f>IF(OR($H175="",$T175="",$T175&lt;=0),"",$H175*60/$T175)</f>
        <v/>
      </c>
      <c r="V175" s="37">
        <f>IF(OR($U175="",$R175="",$R175=0),"",$U175/$R175)</f>
        <v/>
      </c>
      <c r="W175" s="20">
        <f>IF($G175="","",IF($X175="CONTEXTE INCOMPLET","CONTEXTE INCOMPLET",IF($X175="DOUBLON",StatutDoublon,IF($S175="",StatutInitial,IF($R175="",StatutStandardManquant,IF($V175="","DONNEES INSUFFISANTES",IF($V175&gt;=SeuilConforme,StatutConforme,IF($V175&gt;=SeuilSurveiller,StatutSurveiller,StatutSousStandard))))))))</f>
        <v/>
      </c>
      <c r="X175" s="33">
        <f>IF($G175="","",IF(OR($D175="",$E175="",$F175=""),"CONTEXTE INCOMPLET",IF(COUNTIFS($D$3:$D174,$D175,$E$3:$E174,$E175,$F$3:$F174,$F175,$G$3:$G174,$G175)&gt;0,"DOUBLON","VALIDE")))</f>
        <v/>
      </c>
    </row>
    <row r="176" ht="15" customHeight="1">
      <c r="A176" s="12">
        <f>IF(OR($B176="",$G176=""),"",TEXT($B176,"YYYYMMDD")&amp;"-"&amp;SUBSTITUTE($E176," ","")&amp;"-"&amp;$F176&amp;"-"&amp;$G176)</f>
        <v/>
      </c>
      <c r="B176" s="15" t="n"/>
      <c r="C176" s="16" t="n"/>
      <c r="D176" s="10" t="n"/>
      <c r="E176" s="9" t="n"/>
      <c r="F176" s="9" t="n"/>
      <c r="G176" s="13" t="n"/>
      <c r="H176" s="21" t="n"/>
      <c r="I176" s="21" t="n"/>
      <c r="J176" s="17">
        <f>IF($G176="","",IFERROR(INDEX(NomsEmployes,MATCH($G176,MatriculesEmployes,0)),"MATRICULE INCONNU"))</f>
        <v/>
      </c>
      <c r="K176" s="33">
        <f>IF(OR($D176="",$F176=""),"",IFERROR(IF(INDEX(RUNS!$L$6:$S$1005,MATCH($D176,RUNS!$A$6:$A$1005,0),MATCH("ACTIVITÉ "&amp;$F176,RUNS!$L$5:$S$5,0))="","",INDEX(RUNS!$L$6:$S$1005,MATCH($D176,RUNS!$A$6:$A$1005,0),MATCH("ACTIVITÉ "&amp;$F176,RUNS!$L$5:$S$5,0))),""))</f>
        <v/>
      </c>
      <c r="L176" s="33">
        <f>IF($D176="","",IFERROR(IF(INDEX(RUNS!$E$6:$E$1005,MATCH($D176,RUNS!$A$6:$A$1005,0))="","",INDEX(RUNS!$E$6:$E$1005,MATCH($D176,RUNS!$A$6:$A$1005,0))),""))</f>
        <v/>
      </c>
      <c r="M176" s="33">
        <f>IF($D176="","",IFERROR(IF(INDEX(RUNS!$F$6:$F$1005,MATCH($D176,RUNS!$A$6:$A$1005,0))="","",INDEX(RUNS!$F$6:$F$1005,MATCH($D176,RUNS!$A$6:$A$1005,0))),""))</f>
        <v/>
      </c>
      <c r="N176" s="33">
        <f>IF($D176="","",IFERROR(IF(INDEX(RUNS!$G$6:$G$1005,MATCH($D176,RUNS!$A$6:$A$1005,0))="","",INDEX(RUNS!$G$6:$G$1005,MATCH($D176,RUNS!$A$6:$A$1005,0))),""))</f>
        <v/>
      </c>
      <c r="O176" s="33">
        <f>IF($D176="","",IFERROR(IF(INDEX(RUNS!$H$6:$H$1005,MATCH($D176,RUNS!$A$6:$A$1005,0))="","",INDEX(RUNS!$H$6:$H$1005,MATCH($D176,RUNS!$A$6:$A$1005,0))),""))</f>
        <v/>
      </c>
      <c r="P176" s="33">
        <f>IF($D176="","",IFERROR(IF(INDEX(RUNS!$J$6:$J$1005,MATCH($D176,RUNS!$A$6:$A$1005,0))="","",INDEX(RUNS!$J$6:$J$1005,MATCH($D176,RUNS!$A$6:$A$1005,0))),""))</f>
        <v/>
      </c>
      <c r="Q176" s="33">
        <f>IF($D176="","",IFERROR(IF(INDEX(RUNS!$K$6:$K$1005,MATCH($D176,RUNS!$A$6:$A$1005,0))="","",INDEX(RUNS!$K$6:$K$1005,MATCH($D176,RUNS!$A$6:$A$1005,0))),""))</f>
        <v/>
      </c>
      <c r="R176" s="34">
        <f>IF(OR($L176="",$K176=""),"",IFERROR(IF(INDEX(PARAMETRES!$H$43:$H$342,MATCH($L176&amp;"|"&amp;$M176&amp;"|"&amp;$N176&amp;"|"&amp;$O176&amp;"|"&amp;$P176&amp;"|"&amp;$Q176&amp;"|"&amp;$K176,PARAMETRES!$J$43:$J$342,0))="","",INDEX(PARAMETRES!$H$43:$H$342,MATCH($L176&amp;"|"&amp;$M176&amp;"|"&amp;$N176&amp;"|"&amp;$O176&amp;"|"&amp;$P176&amp;"|"&amp;$Q176&amp;"|"&amp;$K176,PARAMETRES!$J$43:$J$342,0))),""))</f>
        <v/>
      </c>
      <c r="S176" s="35">
        <f>IF(OR($G176="",$X176&lt;&gt;"VALIDE"),"",IFERROR(LOOKUP(2,1/(($B$3:$B175=$B176)*($G$3:$G175=$G176)*($X$3:$X175="VALIDE")),$C$3:$C175),""))</f>
        <v/>
      </c>
      <c r="T176" s="36">
        <f>IF(OR($C176="",$S176=""),"",ROUND(($C176-$S176+IF($C176&lt;$S176,1,0))*1440,0))</f>
        <v/>
      </c>
      <c r="U176" s="22">
        <f>IF(OR($H176="",$T176="",$T176&lt;=0),"",$H176*60/$T176)</f>
        <v/>
      </c>
      <c r="V176" s="37">
        <f>IF(OR($U176="",$R176="",$R176=0),"",$U176/$R176)</f>
        <v/>
      </c>
      <c r="W176" s="20">
        <f>IF($G176="","",IF($X176="CONTEXTE INCOMPLET","CONTEXTE INCOMPLET",IF($X176="DOUBLON",StatutDoublon,IF($S176="",StatutInitial,IF($R176="",StatutStandardManquant,IF($V176="","DONNEES INSUFFISANTES",IF($V176&gt;=SeuilConforme,StatutConforme,IF($V176&gt;=SeuilSurveiller,StatutSurveiller,StatutSousStandard))))))))</f>
        <v/>
      </c>
      <c r="X176" s="33">
        <f>IF($G176="","",IF(OR($D176="",$E176="",$F176=""),"CONTEXTE INCOMPLET",IF(COUNTIFS($D$3:$D175,$D176,$E$3:$E175,$E176,$F$3:$F175,$F176,$G$3:$G175,$G176)&gt;0,"DOUBLON","VALIDE")))</f>
        <v/>
      </c>
    </row>
    <row r="177" ht="15" customHeight="1">
      <c r="A177" s="12">
        <f>IF(OR($B177="",$G177=""),"",TEXT($B177,"YYYYMMDD")&amp;"-"&amp;SUBSTITUTE($E177," ","")&amp;"-"&amp;$F177&amp;"-"&amp;$G177)</f>
        <v/>
      </c>
      <c r="B177" s="15" t="n"/>
      <c r="C177" s="16" t="n"/>
      <c r="D177" s="10" t="n"/>
      <c r="E177" s="9" t="n"/>
      <c r="F177" s="9" t="n"/>
      <c r="G177" s="13" t="n"/>
      <c r="H177" s="21" t="n"/>
      <c r="I177" s="21" t="n"/>
      <c r="J177" s="17">
        <f>IF($G177="","",IFERROR(INDEX(NomsEmployes,MATCH($G177,MatriculesEmployes,0)),"MATRICULE INCONNU"))</f>
        <v/>
      </c>
      <c r="K177" s="33">
        <f>IF(OR($D177="",$F177=""),"",IFERROR(IF(INDEX(RUNS!$L$6:$S$1005,MATCH($D177,RUNS!$A$6:$A$1005,0),MATCH("ACTIVITÉ "&amp;$F177,RUNS!$L$5:$S$5,0))="","",INDEX(RUNS!$L$6:$S$1005,MATCH($D177,RUNS!$A$6:$A$1005,0),MATCH("ACTIVITÉ "&amp;$F177,RUNS!$L$5:$S$5,0))),""))</f>
        <v/>
      </c>
      <c r="L177" s="33">
        <f>IF($D177="","",IFERROR(IF(INDEX(RUNS!$E$6:$E$1005,MATCH($D177,RUNS!$A$6:$A$1005,0))="","",INDEX(RUNS!$E$6:$E$1005,MATCH($D177,RUNS!$A$6:$A$1005,0))),""))</f>
        <v/>
      </c>
      <c r="M177" s="33">
        <f>IF($D177="","",IFERROR(IF(INDEX(RUNS!$F$6:$F$1005,MATCH($D177,RUNS!$A$6:$A$1005,0))="","",INDEX(RUNS!$F$6:$F$1005,MATCH($D177,RUNS!$A$6:$A$1005,0))),""))</f>
        <v/>
      </c>
      <c r="N177" s="33">
        <f>IF($D177="","",IFERROR(IF(INDEX(RUNS!$G$6:$G$1005,MATCH($D177,RUNS!$A$6:$A$1005,0))="","",INDEX(RUNS!$G$6:$G$1005,MATCH($D177,RUNS!$A$6:$A$1005,0))),""))</f>
        <v/>
      </c>
      <c r="O177" s="33">
        <f>IF($D177="","",IFERROR(IF(INDEX(RUNS!$H$6:$H$1005,MATCH($D177,RUNS!$A$6:$A$1005,0))="","",INDEX(RUNS!$H$6:$H$1005,MATCH($D177,RUNS!$A$6:$A$1005,0))),""))</f>
        <v/>
      </c>
      <c r="P177" s="33">
        <f>IF($D177="","",IFERROR(IF(INDEX(RUNS!$J$6:$J$1005,MATCH($D177,RUNS!$A$6:$A$1005,0))="","",INDEX(RUNS!$J$6:$J$1005,MATCH($D177,RUNS!$A$6:$A$1005,0))),""))</f>
        <v/>
      </c>
      <c r="Q177" s="33">
        <f>IF($D177="","",IFERROR(IF(INDEX(RUNS!$K$6:$K$1005,MATCH($D177,RUNS!$A$6:$A$1005,0))="","",INDEX(RUNS!$K$6:$K$1005,MATCH($D177,RUNS!$A$6:$A$1005,0))),""))</f>
        <v/>
      </c>
      <c r="R177" s="34">
        <f>IF(OR($L177="",$K177=""),"",IFERROR(IF(INDEX(PARAMETRES!$H$43:$H$342,MATCH($L177&amp;"|"&amp;$M177&amp;"|"&amp;$N177&amp;"|"&amp;$O177&amp;"|"&amp;$P177&amp;"|"&amp;$Q177&amp;"|"&amp;$K177,PARAMETRES!$J$43:$J$342,0))="","",INDEX(PARAMETRES!$H$43:$H$342,MATCH($L177&amp;"|"&amp;$M177&amp;"|"&amp;$N177&amp;"|"&amp;$O177&amp;"|"&amp;$P177&amp;"|"&amp;$Q177&amp;"|"&amp;$K177,PARAMETRES!$J$43:$J$342,0))),""))</f>
        <v/>
      </c>
      <c r="S177" s="35">
        <f>IF(OR($G177="",$X177&lt;&gt;"VALIDE"),"",IFERROR(LOOKUP(2,1/(($B$3:$B176=$B177)*($G$3:$G176=$G177)*($X$3:$X176="VALIDE")),$C$3:$C176),""))</f>
        <v/>
      </c>
      <c r="T177" s="36">
        <f>IF(OR($C177="",$S177=""),"",ROUND(($C177-$S177+IF($C177&lt;$S177,1,0))*1440,0))</f>
        <v/>
      </c>
      <c r="U177" s="22">
        <f>IF(OR($H177="",$T177="",$T177&lt;=0),"",$H177*60/$T177)</f>
        <v/>
      </c>
      <c r="V177" s="37">
        <f>IF(OR($U177="",$R177="",$R177=0),"",$U177/$R177)</f>
        <v/>
      </c>
      <c r="W177" s="20">
        <f>IF($G177="","",IF($X177="CONTEXTE INCOMPLET","CONTEXTE INCOMPLET",IF($X177="DOUBLON",StatutDoublon,IF($S177="",StatutInitial,IF($R177="",StatutStandardManquant,IF($V177="","DONNEES INSUFFISANTES",IF($V177&gt;=SeuilConforme,StatutConforme,IF($V177&gt;=SeuilSurveiller,StatutSurveiller,StatutSousStandard))))))))</f>
        <v/>
      </c>
      <c r="X177" s="33">
        <f>IF($G177="","",IF(OR($D177="",$E177="",$F177=""),"CONTEXTE INCOMPLET",IF(COUNTIFS($D$3:$D176,$D177,$E$3:$E176,$E177,$F$3:$F176,$F177,$G$3:$G176,$G177)&gt;0,"DOUBLON","VALIDE")))</f>
        <v/>
      </c>
    </row>
    <row r="178" ht="15" customHeight="1">
      <c r="A178" s="12">
        <f>IF(OR($B178="",$G178=""),"",TEXT($B178,"YYYYMMDD")&amp;"-"&amp;SUBSTITUTE($E178," ","")&amp;"-"&amp;$F178&amp;"-"&amp;$G178)</f>
        <v/>
      </c>
      <c r="B178" s="15" t="n"/>
      <c r="C178" s="16" t="n"/>
      <c r="D178" s="10" t="n"/>
      <c r="E178" s="9" t="n"/>
      <c r="F178" s="9" t="n"/>
      <c r="G178" s="13" t="n"/>
      <c r="H178" s="21" t="n"/>
      <c r="I178" s="21" t="n"/>
      <c r="J178" s="17">
        <f>IF($G178="","",IFERROR(INDEX(NomsEmployes,MATCH($G178,MatriculesEmployes,0)),"MATRICULE INCONNU"))</f>
        <v/>
      </c>
      <c r="K178" s="33">
        <f>IF(OR($D178="",$F178=""),"",IFERROR(IF(INDEX(RUNS!$L$6:$S$1005,MATCH($D178,RUNS!$A$6:$A$1005,0),MATCH("ACTIVITÉ "&amp;$F178,RUNS!$L$5:$S$5,0))="","",INDEX(RUNS!$L$6:$S$1005,MATCH($D178,RUNS!$A$6:$A$1005,0),MATCH("ACTIVITÉ "&amp;$F178,RUNS!$L$5:$S$5,0))),""))</f>
        <v/>
      </c>
      <c r="L178" s="33">
        <f>IF($D178="","",IFERROR(IF(INDEX(RUNS!$E$6:$E$1005,MATCH($D178,RUNS!$A$6:$A$1005,0))="","",INDEX(RUNS!$E$6:$E$1005,MATCH($D178,RUNS!$A$6:$A$1005,0))),""))</f>
        <v/>
      </c>
      <c r="M178" s="33">
        <f>IF($D178="","",IFERROR(IF(INDEX(RUNS!$F$6:$F$1005,MATCH($D178,RUNS!$A$6:$A$1005,0))="","",INDEX(RUNS!$F$6:$F$1005,MATCH($D178,RUNS!$A$6:$A$1005,0))),""))</f>
        <v/>
      </c>
      <c r="N178" s="33">
        <f>IF($D178="","",IFERROR(IF(INDEX(RUNS!$G$6:$G$1005,MATCH($D178,RUNS!$A$6:$A$1005,0))="","",INDEX(RUNS!$G$6:$G$1005,MATCH($D178,RUNS!$A$6:$A$1005,0))),""))</f>
        <v/>
      </c>
      <c r="O178" s="33">
        <f>IF($D178="","",IFERROR(IF(INDEX(RUNS!$H$6:$H$1005,MATCH($D178,RUNS!$A$6:$A$1005,0))="","",INDEX(RUNS!$H$6:$H$1005,MATCH($D178,RUNS!$A$6:$A$1005,0))),""))</f>
        <v/>
      </c>
      <c r="P178" s="33">
        <f>IF($D178="","",IFERROR(IF(INDEX(RUNS!$J$6:$J$1005,MATCH($D178,RUNS!$A$6:$A$1005,0))="","",INDEX(RUNS!$J$6:$J$1005,MATCH($D178,RUNS!$A$6:$A$1005,0))),""))</f>
        <v/>
      </c>
      <c r="Q178" s="33">
        <f>IF($D178="","",IFERROR(IF(INDEX(RUNS!$K$6:$K$1005,MATCH($D178,RUNS!$A$6:$A$1005,0))="","",INDEX(RUNS!$K$6:$K$1005,MATCH($D178,RUNS!$A$6:$A$1005,0))),""))</f>
        <v/>
      </c>
      <c r="R178" s="34">
        <f>IF(OR($L178="",$K178=""),"",IFERROR(IF(INDEX(PARAMETRES!$H$43:$H$342,MATCH($L178&amp;"|"&amp;$M178&amp;"|"&amp;$N178&amp;"|"&amp;$O178&amp;"|"&amp;$P178&amp;"|"&amp;$Q178&amp;"|"&amp;$K178,PARAMETRES!$J$43:$J$342,0))="","",INDEX(PARAMETRES!$H$43:$H$342,MATCH($L178&amp;"|"&amp;$M178&amp;"|"&amp;$N178&amp;"|"&amp;$O178&amp;"|"&amp;$P178&amp;"|"&amp;$Q178&amp;"|"&amp;$K178,PARAMETRES!$J$43:$J$342,0))),""))</f>
        <v/>
      </c>
      <c r="S178" s="35">
        <f>IF(OR($G178="",$X178&lt;&gt;"VALIDE"),"",IFERROR(LOOKUP(2,1/(($B$3:$B177=$B178)*($G$3:$G177=$G178)*($X$3:$X177="VALIDE")),$C$3:$C177),""))</f>
        <v/>
      </c>
      <c r="T178" s="36">
        <f>IF(OR($C178="",$S178=""),"",ROUND(($C178-$S178+IF($C178&lt;$S178,1,0))*1440,0))</f>
        <v/>
      </c>
      <c r="U178" s="22">
        <f>IF(OR($H178="",$T178="",$T178&lt;=0),"",$H178*60/$T178)</f>
        <v/>
      </c>
      <c r="V178" s="37">
        <f>IF(OR($U178="",$R178="",$R178=0),"",$U178/$R178)</f>
        <v/>
      </c>
      <c r="W178" s="20">
        <f>IF($G178="","",IF($X178="CONTEXTE INCOMPLET","CONTEXTE INCOMPLET",IF($X178="DOUBLON",StatutDoublon,IF($S178="",StatutInitial,IF($R178="",StatutStandardManquant,IF($V178="","DONNEES INSUFFISANTES",IF($V178&gt;=SeuilConforme,StatutConforme,IF($V178&gt;=SeuilSurveiller,StatutSurveiller,StatutSousStandard))))))))</f>
        <v/>
      </c>
      <c r="X178" s="33">
        <f>IF($G178="","",IF(OR($D178="",$E178="",$F178=""),"CONTEXTE INCOMPLET",IF(COUNTIFS($D$3:$D177,$D178,$E$3:$E177,$E178,$F$3:$F177,$F178,$G$3:$G177,$G178)&gt;0,"DOUBLON","VALIDE")))</f>
        <v/>
      </c>
    </row>
    <row r="179" ht="15" customHeight="1">
      <c r="A179" s="12">
        <f>IF(OR($B179="",$G179=""),"",TEXT($B179,"YYYYMMDD")&amp;"-"&amp;SUBSTITUTE($E179," ","")&amp;"-"&amp;$F179&amp;"-"&amp;$G179)</f>
        <v/>
      </c>
      <c r="B179" s="15" t="n"/>
      <c r="C179" s="16" t="n"/>
      <c r="D179" s="10" t="n"/>
      <c r="E179" s="9" t="n"/>
      <c r="F179" s="9" t="n"/>
      <c r="G179" s="13" t="n"/>
      <c r="H179" s="21" t="n"/>
      <c r="I179" s="21" t="n"/>
      <c r="J179" s="17">
        <f>IF($G179="","",IFERROR(INDEX(NomsEmployes,MATCH($G179,MatriculesEmployes,0)),"MATRICULE INCONNU"))</f>
        <v/>
      </c>
      <c r="K179" s="33">
        <f>IF(OR($D179="",$F179=""),"",IFERROR(IF(INDEX(RUNS!$L$6:$S$1005,MATCH($D179,RUNS!$A$6:$A$1005,0),MATCH("ACTIVITÉ "&amp;$F179,RUNS!$L$5:$S$5,0))="","",INDEX(RUNS!$L$6:$S$1005,MATCH($D179,RUNS!$A$6:$A$1005,0),MATCH("ACTIVITÉ "&amp;$F179,RUNS!$L$5:$S$5,0))),""))</f>
        <v/>
      </c>
      <c r="L179" s="33">
        <f>IF($D179="","",IFERROR(IF(INDEX(RUNS!$E$6:$E$1005,MATCH($D179,RUNS!$A$6:$A$1005,0))="","",INDEX(RUNS!$E$6:$E$1005,MATCH($D179,RUNS!$A$6:$A$1005,0))),""))</f>
        <v/>
      </c>
      <c r="M179" s="33">
        <f>IF($D179="","",IFERROR(IF(INDEX(RUNS!$F$6:$F$1005,MATCH($D179,RUNS!$A$6:$A$1005,0))="","",INDEX(RUNS!$F$6:$F$1005,MATCH($D179,RUNS!$A$6:$A$1005,0))),""))</f>
        <v/>
      </c>
      <c r="N179" s="33">
        <f>IF($D179="","",IFERROR(IF(INDEX(RUNS!$G$6:$G$1005,MATCH($D179,RUNS!$A$6:$A$1005,0))="","",INDEX(RUNS!$G$6:$G$1005,MATCH($D179,RUNS!$A$6:$A$1005,0))),""))</f>
        <v/>
      </c>
      <c r="O179" s="33">
        <f>IF($D179="","",IFERROR(IF(INDEX(RUNS!$H$6:$H$1005,MATCH($D179,RUNS!$A$6:$A$1005,0))="","",INDEX(RUNS!$H$6:$H$1005,MATCH($D179,RUNS!$A$6:$A$1005,0))),""))</f>
        <v/>
      </c>
      <c r="P179" s="33">
        <f>IF($D179="","",IFERROR(IF(INDEX(RUNS!$J$6:$J$1005,MATCH($D179,RUNS!$A$6:$A$1005,0))="","",INDEX(RUNS!$J$6:$J$1005,MATCH($D179,RUNS!$A$6:$A$1005,0))),""))</f>
        <v/>
      </c>
      <c r="Q179" s="33">
        <f>IF($D179="","",IFERROR(IF(INDEX(RUNS!$K$6:$K$1005,MATCH($D179,RUNS!$A$6:$A$1005,0))="","",INDEX(RUNS!$K$6:$K$1005,MATCH($D179,RUNS!$A$6:$A$1005,0))),""))</f>
        <v/>
      </c>
      <c r="R179" s="34">
        <f>IF(OR($L179="",$K179=""),"",IFERROR(IF(INDEX(PARAMETRES!$H$43:$H$342,MATCH($L179&amp;"|"&amp;$M179&amp;"|"&amp;$N179&amp;"|"&amp;$O179&amp;"|"&amp;$P179&amp;"|"&amp;$Q179&amp;"|"&amp;$K179,PARAMETRES!$J$43:$J$342,0))="","",INDEX(PARAMETRES!$H$43:$H$342,MATCH($L179&amp;"|"&amp;$M179&amp;"|"&amp;$N179&amp;"|"&amp;$O179&amp;"|"&amp;$P179&amp;"|"&amp;$Q179&amp;"|"&amp;$K179,PARAMETRES!$J$43:$J$342,0))),""))</f>
        <v/>
      </c>
      <c r="S179" s="35">
        <f>IF(OR($G179="",$X179&lt;&gt;"VALIDE"),"",IFERROR(LOOKUP(2,1/(($B$3:$B178=$B179)*($G$3:$G178=$G179)*($X$3:$X178="VALIDE")),$C$3:$C178),""))</f>
        <v/>
      </c>
      <c r="T179" s="36">
        <f>IF(OR($C179="",$S179=""),"",ROUND(($C179-$S179+IF($C179&lt;$S179,1,0))*1440,0))</f>
        <v/>
      </c>
      <c r="U179" s="22">
        <f>IF(OR($H179="",$T179="",$T179&lt;=0),"",$H179*60/$T179)</f>
        <v/>
      </c>
      <c r="V179" s="37">
        <f>IF(OR($U179="",$R179="",$R179=0),"",$U179/$R179)</f>
        <v/>
      </c>
      <c r="W179" s="20">
        <f>IF($G179="","",IF($X179="CONTEXTE INCOMPLET","CONTEXTE INCOMPLET",IF($X179="DOUBLON",StatutDoublon,IF($S179="",StatutInitial,IF($R179="",StatutStandardManquant,IF($V179="","DONNEES INSUFFISANTES",IF($V179&gt;=SeuilConforme,StatutConforme,IF($V179&gt;=SeuilSurveiller,StatutSurveiller,StatutSousStandard))))))))</f>
        <v/>
      </c>
      <c r="X179" s="33">
        <f>IF($G179="","",IF(OR($D179="",$E179="",$F179=""),"CONTEXTE INCOMPLET",IF(COUNTIFS($D$3:$D178,$D179,$E$3:$E178,$E179,$F$3:$F178,$F179,$G$3:$G178,$G179)&gt;0,"DOUBLON","VALIDE")))</f>
        <v/>
      </c>
    </row>
    <row r="180" ht="15" customHeight="1">
      <c r="A180" s="12">
        <f>IF(OR($B180="",$G180=""),"",TEXT($B180,"YYYYMMDD")&amp;"-"&amp;SUBSTITUTE($E180," ","")&amp;"-"&amp;$F180&amp;"-"&amp;$G180)</f>
        <v/>
      </c>
      <c r="B180" s="15" t="n"/>
      <c r="C180" s="16" t="n"/>
      <c r="D180" s="10" t="n"/>
      <c r="E180" s="9" t="n"/>
      <c r="F180" s="9" t="n"/>
      <c r="G180" s="13" t="n"/>
      <c r="H180" s="21" t="n"/>
      <c r="I180" s="21" t="n"/>
      <c r="J180" s="17">
        <f>IF($G180="","",IFERROR(INDEX(NomsEmployes,MATCH($G180,MatriculesEmployes,0)),"MATRICULE INCONNU"))</f>
        <v/>
      </c>
      <c r="K180" s="33">
        <f>IF(OR($D180="",$F180=""),"",IFERROR(IF(INDEX(RUNS!$L$6:$S$1005,MATCH($D180,RUNS!$A$6:$A$1005,0),MATCH("ACTIVITÉ "&amp;$F180,RUNS!$L$5:$S$5,0))="","",INDEX(RUNS!$L$6:$S$1005,MATCH($D180,RUNS!$A$6:$A$1005,0),MATCH("ACTIVITÉ "&amp;$F180,RUNS!$L$5:$S$5,0))),""))</f>
        <v/>
      </c>
      <c r="L180" s="33">
        <f>IF($D180="","",IFERROR(IF(INDEX(RUNS!$E$6:$E$1005,MATCH($D180,RUNS!$A$6:$A$1005,0))="","",INDEX(RUNS!$E$6:$E$1005,MATCH($D180,RUNS!$A$6:$A$1005,0))),""))</f>
        <v/>
      </c>
      <c r="M180" s="33">
        <f>IF($D180="","",IFERROR(IF(INDEX(RUNS!$F$6:$F$1005,MATCH($D180,RUNS!$A$6:$A$1005,0))="","",INDEX(RUNS!$F$6:$F$1005,MATCH($D180,RUNS!$A$6:$A$1005,0))),""))</f>
        <v/>
      </c>
      <c r="N180" s="33">
        <f>IF($D180="","",IFERROR(IF(INDEX(RUNS!$G$6:$G$1005,MATCH($D180,RUNS!$A$6:$A$1005,0))="","",INDEX(RUNS!$G$6:$G$1005,MATCH($D180,RUNS!$A$6:$A$1005,0))),""))</f>
        <v/>
      </c>
      <c r="O180" s="33">
        <f>IF($D180="","",IFERROR(IF(INDEX(RUNS!$H$6:$H$1005,MATCH($D180,RUNS!$A$6:$A$1005,0))="","",INDEX(RUNS!$H$6:$H$1005,MATCH($D180,RUNS!$A$6:$A$1005,0))),""))</f>
        <v/>
      </c>
      <c r="P180" s="33">
        <f>IF($D180="","",IFERROR(IF(INDEX(RUNS!$J$6:$J$1005,MATCH($D180,RUNS!$A$6:$A$1005,0))="","",INDEX(RUNS!$J$6:$J$1005,MATCH($D180,RUNS!$A$6:$A$1005,0))),""))</f>
        <v/>
      </c>
      <c r="Q180" s="33">
        <f>IF($D180="","",IFERROR(IF(INDEX(RUNS!$K$6:$K$1005,MATCH($D180,RUNS!$A$6:$A$1005,0))="","",INDEX(RUNS!$K$6:$K$1005,MATCH($D180,RUNS!$A$6:$A$1005,0))),""))</f>
        <v/>
      </c>
      <c r="R180" s="34">
        <f>IF(OR($L180="",$K180=""),"",IFERROR(IF(INDEX(PARAMETRES!$H$43:$H$342,MATCH($L180&amp;"|"&amp;$M180&amp;"|"&amp;$N180&amp;"|"&amp;$O180&amp;"|"&amp;$P180&amp;"|"&amp;$Q180&amp;"|"&amp;$K180,PARAMETRES!$J$43:$J$342,0))="","",INDEX(PARAMETRES!$H$43:$H$342,MATCH($L180&amp;"|"&amp;$M180&amp;"|"&amp;$N180&amp;"|"&amp;$O180&amp;"|"&amp;$P180&amp;"|"&amp;$Q180&amp;"|"&amp;$K180,PARAMETRES!$J$43:$J$342,0))),""))</f>
        <v/>
      </c>
      <c r="S180" s="35">
        <f>IF(OR($G180="",$X180&lt;&gt;"VALIDE"),"",IFERROR(LOOKUP(2,1/(($B$3:$B179=$B180)*($G$3:$G179=$G180)*($X$3:$X179="VALIDE")),$C$3:$C179),""))</f>
        <v/>
      </c>
      <c r="T180" s="36">
        <f>IF(OR($C180="",$S180=""),"",ROUND(($C180-$S180+IF($C180&lt;$S180,1,0))*1440,0))</f>
        <v/>
      </c>
      <c r="U180" s="22">
        <f>IF(OR($H180="",$T180="",$T180&lt;=0),"",$H180*60/$T180)</f>
        <v/>
      </c>
      <c r="V180" s="37">
        <f>IF(OR($U180="",$R180="",$R180=0),"",$U180/$R180)</f>
        <v/>
      </c>
      <c r="W180" s="20">
        <f>IF($G180="","",IF($X180="CONTEXTE INCOMPLET","CONTEXTE INCOMPLET",IF($X180="DOUBLON",StatutDoublon,IF($S180="",StatutInitial,IF($R180="",StatutStandardManquant,IF($V180="","DONNEES INSUFFISANTES",IF($V180&gt;=SeuilConforme,StatutConforme,IF($V180&gt;=SeuilSurveiller,StatutSurveiller,StatutSousStandard))))))))</f>
        <v/>
      </c>
      <c r="X180" s="33">
        <f>IF($G180="","",IF(OR($D180="",$E180="",$F180=""),"CONTEXTE INCOMPLET",IF(COUNTIFS($D$3:$D179,$D180,$E$3:$E179,$E180,$F$3:$F179,$F180,$G$3:$G179,$G180)&gt;0,"DOUBLON","VALIDE")))</f>
        <v/>
      </c>
    </row>
    <row r="181" ht="15" customHeight="1">
      <c r="A181" s="12">
        <f>IF(OR($B181="",$G181=""),"",TEXT($B181,"YYYYMMDD")&amp;"-"&amp;SUBSTITUTE($E181," ","")&amp;"-"&amp;$F181&amp;"-"&amp;$G181)</f>
        <v/>
      </c>
      <c r="B181" s="15" t="n"/>
      <c r="C181" s="16" t="n"/>
      <c r="D181" s="10" t="n"/>
      <c r="E181" s="9" t="n"/>
      <c r="F181" s="9" t="n"/>
      <c r="G181" s="13" t="n"/>
      <c r="H181" s="21" t="n"/>
      <c r="I181" s="21" t="n"/>
      <c r="J181" s="17">
        <f>IF($G181="","",IFERROR(INDEX(NomsEmployes,MATCH($G181,MatriculesEmployes,0)),"MATRICULE INCONNU"))</f>
        <v/>
      </c>
      <c r="K181" s="33">
        <f>IF(OR($D181="",$F181=""),"",IFERROR(IF(INDEX(RUNS!$L$6:$S$1005,MATCH($D181,RUNS!$A$6:$A$1005,0),MATCH("ACTIVITÉ "&amp;$F181,RUNS!$L$5:$S$5,0))="","",INDEX(RUNS!$L$6:$S$1005,MATCH($D181,RUNS!$A$6:$A$1005,0),MATCH("ACTIVITÉ "&amp;$F181,RUNS!$L$5:$S$5,0))),""))</f>
        <v/>
      </c>
      <c r="L181" s="33">
        <f>IF($D181="","",IFERROR(IF(INDEX(RUNS!$E$6:$E$1005,MATCH($D181,RUNS!$A$6:$A$1005,0))="","",INDEX(RUNS!$E$6:$E$1005,MATCH($D181,RUNS!$A$6:$A$1005,0))),""))</f>
        <v/>
      </c>
      <c r="M181" s="33">
        <f>IF($D181="","",IFERROR(IF(INDEX(RUNS!$F$6:$F$1005,MATCH($D181,RUNS!$A$6:$A$1005,0))="","",INDEX(RUNS!$F$6:$F$1005,MATCH($D181,RUNS!$A$6:$A$1005,0))),""))</f>
        <v/>
      </c>
      <c r="N181" s="33">
        <f>IF($D181="","",IFERROR(IF(INDEX(RUNS!$G$6:$G$1005,MATCH($D181,RUNS!$A$6:$A$1005,0))="","",INDEX(RUNS!$G$6:$G$1005,MATCH($D181,RUNS!$A$6:$A$1005,0))),""))</f>
        <v/>
      </c>
      <c r="O181" s="33">
        <f>IF($D181="","",IFERROR(IF(INDEX(RUNS!$H$6:$H$1005,MATCH($D181,RUNS!$A$6:$A$1005,0))="","",INDEX(RUNS!$H$6:$H$1005,MATCH($D181,RUNS!$A$6:$A$1005,0))),""))</f>
        <v/>
      </c>
      <c r="P181" s="33">
        <f>IF($D181="","",IFERROR(IF(INDEX(RUNS!$J$6:$J$1005,MATCH($D181,RUNS!$A$6:$A$1005,0))="","",INDEX(RUNS!$J$6:$J$1005,MATCH($D181,RUNS!$A$6:$A$1005,0))),""))</f>
        <v/>
      </c>
      <c r="Q181" s="33">
        <f>IF($D181="","",IFERROR(IF(INDEX(RUNS!$K$6:$K$1005,MATCH($D181,RUNS!$A$6:$A$1005,0))="","",INDEX(RUNS!$K$6:$K$1005,MATCH($D181,RUNS!$A$6:$A$1005,0))),""))</f>
        <v/>
      </c>
      <c r="R181" s="34">
        <f>IF(OR($L181="",$K181=""),"",IFERROR(IF(INDEX(PARAMETRES!$H$43:$H$342,MATCH($L181&amp;"|"&amp;$M181&amp;"|"&amp;$N181&amp;"|"&amp;$O181&amp;"|"&amp;$P181&amp;"|"&amp;$Q181&amp;"|"&amp;$K181,PARAMETRES!$J$43:$J$342,0))="","",INDEX(PARAMETRES!$H$43:$H$342,MATCH($L181&amp;"|"&amp;$M181&amp;"|"&amp;$N181&amp;"|"&amp;$O181&amp;"|"&amp;$P181&amp;"|"&amp;$Q181&amp;"|"&amp;$K181,PARAMETRES!$J$43:$J$342,0))),""))</f>
        <v/>
      </c>
      <c r="S181" s="35">
        <f>IF(OR($G181="",$X181&lt;&gt;"VALIDE"),"",IFERROR(LOOKUP(2,1/(($B$3:$B180=$B181)*($G$3:$G180=$G181)*($X$3:$X180="VALIDE")),$C$3:$C180),""))</f>
        <v/>
      </c>
      <c r="T181" s="36">
        <f>IF(OR($C181="",$S181=""),"",ROUND(($C181-$S181+IF($C181&lt;$S181,1,0))*1440,0))</f>
        <v/>
      </c>
      <c r="U181" s="22">
        <f>IF(OR($H181="",$T181="",$T181&lt;=0),"",$H181*60/$T181)</f>
        <v/>
      </c>
      <c r="V181" s="37">
        <f>IF(OR($U181="",$R181="",$R181=0),"",$U181/$R181)</f>
        <v/>
      </c>
      <c r="W181" s="20">
        <f>IF($G181="","",IF($X181="CONTEXTE INCOMPLET","CONTEXTE INCOMPLET",IF($X181="DOUBLON",StatutDoublon,IF($S181="",StatutInitial,IF($R181="",StatutStandardManquant,IF($V181="","DONNEES INSUFFISANTES",IF($V181&gt;=SeuilConforme,StatutConforme,IF($V181&gt;=SeuilSurveiller,StatutSurveiller,StatutSousStandard))))))))</f>
        <v/>
      </c>
      <c r="X181" s="33">
        <f>IF($G181="","",IF(OR($D181="",$E181="",$F181=""),"CONTEXTE INCOMPLET",IF(COUNTIFS($D$3:$D180,$D181,$E$3:$E180,$E181,$F$3:$F180,$F181,$G$3:$G180,$G181)&gt;0,"DOUBLON","VALIDE")))</f>
        <v/>
      </c>
    </row>
    <row r="182" ht="15" customHeight="1">
      <c r="A182" s="12">
        <f>IF(OR($B182="",$G182=""),"",TEXT($B182,"YYYYMMDD")&amp;"-"&amp;SUBSTITUTE($E182," ","")&amp;"-"&amp;$F182&amp;"-"&amp;$G182)</f>
        <v/>
      </c>
      <c r="B182" s="15" t="n"/>
      <c r="C182" s="16" t="n"/>
      <c r="D182" s="10" t="n"/>
      <c r="E182" s="9" t="n"/>
      <c r="F182" s="9" t="n"/>
      <c r="G182" s="13" t="n"/>
      <c r="H182" s="21" t="n"/>
      <c r="I182" s="21" t="n"/>
      <c r="J182" s="17">
        <f>IF($G182="","",IFERROR(INDEX(NomsEmployes,MATCH($G182,MatriculesEmployes,0)),"MATRICULE INCONNU"))</f>
        <v/>
      </c>
      <c r="K182" s="33">
        <f>IF(OR($D182="",$F182=""),"",IFERROR(IF(INDEX(RUNS!$L$6:$S$1005,MATCH($D182,RUNS!$A$6:$A$1005,0),MATCH("ACTIVITÉ "&amp;$F182,RUNS!$L$5:$S$5,0))="","",INDEX(RUNS!$L$6:$S$1005,MATCH($D182,RUNS!$A$6:$A$1005,0),MATCH("ACTIVITÉ "&amp;$F182,RUNS!$L$5:$S$5,0))),""))</f>
        <v/>
      </c>
      <c r="L182" s="33">
        <f>IF($D182="","",IFERROR(IF(INDEX(RUNS!$E$6:$E$1005,MATCH($D182,RUNS!$A$6:$A$1005,0))="","",INDEX(RUNS!$E$6:$E$1005,MATCH($D182,RUNS!$A$6:$A$1005,0))),""))</f>
        <v/>
      </c>
      <c r="M182" s="33">
        <f>IF($D182="","",IFERROR(IF(INDEX(RUNS!$F$6:$F$1005,MATCH($D182,RUNS!$A$6:$A$1005,0))="","",INDEX(RUNS!$F$6:$F$1005,MATCH($D182,RUNS!$A$6:$A$1005,0))),""))</f>
        <v/>
      </c>
      <c r="N182" s="33">
        <f>IF($D182="","",IFERROR(IF(INDEX(RUNS!$G$6:$G$1005,MATCH($D182,RUNS!$A$6:$A$1005,0))="","",INDEX(RUNS!$G$6:$G$1005,MATCH($D182,RUNS!$A$6:$A$1005,0))),""))</f>
        <v/>
      </c>
      <c r="O182" s="33">
        <f>IF($D182="","",IFERROR(IF(INDEX(RUNS!$H$6:$H$1005,MATCH($D182,RUNS!$A$6:$A$1005,0))="","",INDEX(RUNS!$H$6:$H$1005,MATCH($D182,RUNS!$A$6:$A$1005,0))),""))</f>
        <v/>
      </c>
      <c r="P182" s="33">
        <f>IF($D182="","",IFERROR(IF(INDEX(RUNS!$J$6:$J$1005,MATCH($D182,RUNS!$A$6:$A$1005,0))="","",INDEX(RUNS!$J$6:$J$1005,MATCH($D182,RUNS!$A$6:$A$1005,0))),""))</f>
        <v/>
      </c>
      <c r="Q182" s="33">
        <f>IF($D182="","",IFERROR(IF(INDEX(RUNS!$K$6:$K$1005,MATCH($D182,RUNS!$A$6:$A$1005,0))="","",INDEX(RUNS!$K$6:$K$1005,MATCH($D182,RUNS!$A$6:$A$1005,0))),""))</f>
        <v/>
      </c>
      <c r="R182" s="34">
        <f>IF(OR($L182="",$K182=""),"",IFERROR(IF(INDEX(PARAMETRES!$H$43:$H$342,MATCH($L182&amp;"|"&amp;$M182&amp;"|"&amp;$N182&amp;"|"&amp;$O182&amp;"|"&amp;$P182&amp;"|"&amp;$Q182&amp;"|"&amp;$K182,PARAMETRES!$J$43:$J$342,0))="","",INDEX(PARAMETRES!$H$43:$H$342,MATCH($L182&amp;"|"&amp;$M182&amp;"|"&amp;$N182&amp;"|"&amp;$O182&amp;"|"&amp;$P182&amp;"|"&amp;$Q182&amp;"|"&amp;$K182,PARAMETRES!$J$43:$J$342,0))),""))</f>
        <v/>
      </c>
      <c r="S182" s="35">
        <f>IF(OR($G182="",$X182&lt;&gt;"VALIDE"),"",IFERROR(LOOKUP(2,1/(($B$3:$B181=$B182)*($G$3:$G181=$G182)*($X$3:$X181="VALIDE")),$C$3:$C181),""))</f>
        <v/>
      </c>
      <c r="T182" s="36">
        <f>IF(OR($C182="",$S182=""),"",ROUND(($C182-$S182+IF($C182&lt;$S182,1,0))*1440,0))</f>
        <v/>
      </c>
      <c r="U182" s="22">
        <f>IF(OR($H182="",$T182="",$T182&lt;=0),"",$H182*60/$T182)</f>
        <v/>
      </c>
      <c r="V182" s="37">
        <f>IF(OR($U182="",$R182="",$R182=0),"",$U182/$R182)</f>
        <v/>
      </c>
      <c r="W182" s="20">
        <f>IF($G182="","",IF($X182="CONTEXTE INCOMPLET","CONTEXTE INCOMPLET",IF($X182="DOUBLON",StatutDoublon,IF($S182="",StatutInitial,IF($R182="",StatutStandardManquant,IF($V182="","DONNEES INSUFFISANTES",IF($V182&gt;=SeuilConforme,StatutConforme,IF($V182&gt;=SeuilSurveiller,StatutSurveiller,StatutSousStandard))))))))</f>
        <v/>
      </c>
      <c r="X182" s="33">
        <f>IF($G182="","",IF(OR($D182="",$E182="",$F182=""),"CONTEXTE INCOMPLET",IF(COUNTIFS($D$3:$D181,$D182,$E$3:$E181,$E182,$F$3:$F181,$F182,$G$3:$G181,$G182)&gt;0,"DOUBLON","VALIDE")))</f>
        <v/>
      </c>
    </row>
    <row r="183" ht="15" customHeight="1">
      <c r="A183" s="12">
        <f>IF(OR($B183="",$G183=""),"",TEXT($B183,"YYYYMMDD")&amp;"-"&amp;SUBSTITUTE($E183," ","")&amp;"-"&amp;$F183&amp;"-"&amp;$G183)</f>
        <v/>
      </c>
      <c r="B183" s="15" t="n"/>
      <c r="C183" s="16" t="n"/>
      <c r="D183" s="10" t="n"/>
      <c r="E183" s="9" t="n"/>
      <c r="F183" s="9" t="n"/>
      <c r="G183" s="13" t="n"/>
      <c r="H183" s="21" t="n"/>
      <c r="I183" s="21" t="n"/>
      <c r="J183" s="17">
        <f>IF($G183="","",IFERROR(INDEX(NomsEmployes,MATCH($G183,MatriculesEmployes,0)),"MATRICULE INCONNU"))</f>
        <v/>
      </c>
      <c r="K183" s="33">
        <f>IF(OR($D183="",$F183=""),"",IFERROR(IF(INDEX(RUNS!$L$6:$S$1005,MATCH($D183,RUNS!$A$6:$A$1005,0),MATCH("ACTIVITÉ "&amp;$F183,RUNS!$L$5:$S$5,0))="","",INDEX(RUNS!$L$6:$S$1005,MATCH($D183,RUNS!$A$6:$A$1005,0),MATCH("ACTIVITÉ "&amp;$F183,RUNS!$L$5:$S$5,0))),""))</f>
        <v/>
      </c>
      <c r="L183" s="33">
        <f>IF($D183="","",IFERROR(IF(INDEX(RUNS!$E$6:$E$1005,MATCH($D183,RUNS!$A$6:$A$1005,0))="","",INDEX(RUNS!$E$6:$E$1005,MATCH($D183,RUNS!$A$6:$A$1005,0))),""))</f>
        <v/>
      </c>
      <c r="M183" s="33">
        <f>IF($D183="","",IFERROR(IF(INDEX(RUNS!$F$6:$F$1005,MATCH($D183,RUNS!$A$6:$A$1005,0))="","",INDEX(RUNS!$F$6:$F$1005,MATCH($D183,RUNS!$A$6:$A$1005,0))),""))</f>
        <v/>
      </c>
      <c r="N183" s="33">
        <f>IF($D183="","",IFERROR(IF(INDEX(RUNS!$G$6:$G$1005,MATCH($D183,RUNS!$A$6:$A$1005,0))="","",INDEX(RUNS!$G$6:$G$1005,MATCH($D183,RUNS!$A$6:$A$1005,0))),""))</f>
        <v/>
      </c>
      <c r="O183" s="33">
        <f>IF($D183="","",IFERROR(IF(INDEX(RUNS!$H$6:$H$1005,MATCH($D183,RUNS!$A$6:$A$1005,0))="","",INDEX(RUNS!$H$6:$H$1005,MATCH($D183,RUNS!$A$6:$A$1005,0))),""))</f>
        <v/>
      </c>
      <c r="P183" s="33">
        <f>IF($D183="","",IFERROR(IF(INDEX(RUNS!$J$6:$J$1005,MATCH($D183,RUNS!$A$6:$A$1005,0))="","",INDEX(RUNS!$J$6:$J$1005,MATCH($D183,RUNS!$A$6:$A$1005,0))),""))</f>
        <v/>
      </c>
      <c r="Q183" s="33">
        <f>IF($D183="","",IFERROR(IF(INDEX(RUNS!$K$6:$K$1005,MATCH($D183,RUNS!$A$6:$A$1005,0))="","",INDEX(RUNS!$K$6:$K$1005,MATCH($D183,RUNS!$A$6:$A$1005,0))),""))</f>
        <v/>
      </c>
      <c r="R183" s="34">
        <f>IF(OR($L183="",$K183=""),"",IFERROR(IF(INDEX(PARAMETRES!$H$43:$H$342,MATCH($L183&amp;"|"&amp;$M183&amp;"|"&amp;$N183&amp;"|"&amp;$O183&amp;"|"&amp;$P183&amp;"|"&amp;$Q183&amp;"|"&amp;$K183,PARAMETRES!$J$43:$J$342,0))="","",INDEX(PARAMETRES!$H$43:$H$342,MATCH($L183&amp;"|"&amp;$M183&amp;"|"&amp;$N183&amp;"|"&amp;$O183&amp;"|"&amp;$P183&amp;"|"&amp;$Q183&amp;"|"&amp;$K183,PARAMETRES!$J$43:$J$342,0))),""))</f>
        <v/>
      </c>
      <c r="S183" s="35">
        <f>IF(OR($G183="",$X183&lt;&gt;"VALIDE"),"",IFERROR(LOOKUP(2,1/(($B$3:$B182=$B183)*($G$3:$G182=$G183)*($X$3:$X182="VALIDE")),$C$3:$C182),""))</f>
        <v/>
      </c>
      <c r="T183" s="36">
        <f>IF(OR($C183="",$S183=""),"",ROUND(($C183-$S183+IF($C183&lt;$S183,1,0))*1440,0))</f>
        <v/>
      </c>
      <c r="U183" s="22">
        <f>IF(OR($H183="",$T183="",$T183&lt;=0),"",$H183*60/$T183)</f>
        <v/>
      </c>
      <c r="V183" s="37">
        <f>IF(OR($U183="",$R183="",$R183=0),"",$U183/$R183)</f>
        <v/>
      </c>
      <c r="W183" s="20">
        <f>IF($G183="","",IF($X183="CONTEXTE INCOMPLET","CONTEXTE INCOMPLET",IF($X183="DOUBLON",StatutDoublon,IF($S183="",StatutInitial,IF($R183="",StatutStandardManquant,IF($V183="","DONNEES INSUFFISANTES",IF($V183&gt;=SeuilConforme,StatutConforme,IF($V183&gt;=SeuilSurveiller,StatutSurveiller,StatutSousStandard))))))))</f>
        <v/>
      </c>
      <c r="X183" s="33">
        <f>IF($G183="","",IF(OR($D183="",$E183="",$F183=""),"CONTEXTE INCOMPLET",IF(COUNTIFS($D$3:$D182,$D183,$E$3:$E182,$E183,$F$3:$F182,$F183,$G$3:$G182,$G183)&gt;0,"DOUBLON","VALIDE")))</f>
        <v/>
      </c>
    </row>
    <row r="184" ht="15" customHeight="1">
      <c r="A184" s="12">
        <f>IF(OR($B184="",$G184=""),"",TEXT($B184,"YYYYMMDD")&amp;"-"&amp;SUBSTITUTE($E184," ","")&amp;"-"&amp;$F184&amp;"-"&amp;$G184)</f>
        <v/>
      </c>
      <c r="B184" s="15" t="n"/>
      <c r="C184" s="16" t="n"/>
      <c r="D184" s="10" t="n"/>
      <c r="E184" s="9" t="n"/>
      <c r="F184" s="9" t="n"/>
      <c r="G184" s="13" t="n"/>
      <c r="H184" s="21" t="n"/>
      <c r="I184" s="21" t="n"/>
      <c r="J184" s="17">
        <f>IF($G184="","",IFERROR(INDEX(NomsEmployes,MATCH($G184,MatriculesEmployes,0)),"MATRICULE INCONNU"))</f>
        <v/>
      </c>
      <c r="K184" s="33">
        <f>IF(OR($D184="",$F184=""),"",IFERROR(IF(INDEX(RUNS!$L$6:$S$1005,MATCH($D184,RUNS!$A$6:$A$1005,0),MATCH("ACTIVITÉ "&amp;$F184,RUNS!$L$5:$S$5,0))="","",INDEX(RUNS!$L$6:$S$1005,MATCH($D184,RUNS!$A$6:$A$1005,0),MATCH("ACTIVITÉ "&amp;$F184,RUNS!$L$5:$S$5,0))),""))</f>
        <v/>
      </c>
      <c r="L184" s="33">
        <f>IF($D184="","",IFERROR(IF(INDEX(RUNS!$E$6:$E$1005,MATCH($D184,RUNS!$A$6:$A$1005,0))="","",INDEX(RUNS!$E$6:$E$1005,MATCH($D184,RUNS!$A$6:$A$1005,0))),""))</f>
        <v/>
      </c>
      <c r="M184" s="33">
        <f>IF($D184="","",IFERROR(IF(INDEX(RUNS!$F$6:$F$1005,MATCH($D184,RUNS!$A$6:$A$1005,0))="","",INDEX(RUNS!$F$6:$F$1005,MATCH($D184,RUNS!$A$6:$A$1005,0))),""))</f>
        <v/>
      </c>
      <c r="N184" s="33">
        <f>IF($D184="","",IFERROR(IF(INDEX(RUNS!$G$6:$G$1005,MATCH($D184,RUNS!$A$6:$A$1005,0))="","",INDEX(RUNS!$G$6:$G$1005,MATCH($D184,RUNS!$A$6:$A$1005,0))),""))</f>
        <v/>
      </c>
      <c r="O184" s="33">
        <f>IF($D184="","",IFERROR(IF(INDEX(RUNS!$H$6:$H$1005,MATCH($D184,RUNS!$A$6:$A$1005,0))="","",INDEX(RUNS!$H$6:$H$1005,MATCH($D184,RUNS!$A$6:$A$1005,0))),""))</f>
        <v/>
      </c>
      <c r="P184" s="33">
        <f>IF($D184="","",IFERROR(IF(INDEX(RUNS!$J$6:$J$1005,MATCH($D184,RUNS!$A$6:$A$1005,0))="","",INDEX(RUNS!$J$6:$J$1005,MATCH($D184,RUNS!$A$6:$A$1005,0))),""))</f>
        <v/>
      </c>
      <c r="Q184" s="33">
        <f>IF($D184="","",IFERROR(IF(INDEX(RUNS!$K$6:$K$1005,MATCH($D184,RUNS!$A$6:$A$1005,0))="","",INDEX(RUNS!$K$6:$K$1005,MATCH($D184,RUNS!$A$6:$A$1005,0))),""))</f>
        <v/>
      </c>
      <c r="R184" s="34">
        <f>IF(OR($L184="",$K184=""),"",IFERROR(IF(INDEX(PARAMETRES!$H$43:$H$342,MATCH($L184&amp;"|"&amp;$M184&amp;"|"&amp;$N184&amp;"|"&amp;$O184&amp;"|"&amp;$P184&amp;"|"&amp;$Q184&amp;"|"&amp;$K184,PARAMETRES!$J$43:$J$342,0))="","",INDEX(PARAMETRES!$H$43:$H$342,MATCH($L184&amp;"|"&amp;$M184&amp;"|"&amp;$N184&amp;"|"&amp;$O184&amp;"|"&amp;$P184&amp;"|"&amp;$Q184&amp;"|"&amp;$K184,PARAMETRES!$J$43:$J$342,0))),""))</f>
        <v/>
      </c>
      <c r="S184" s="35">
        <f>IF(OR($G184="",$X184&lt;&gt;"VALIDE"),"",IFERROR(LOOKUP(2,1/(($B$3:$B183=$B184)*($G$3:$G183=$G184)*($X$3:$X183="VALIDE")),$C$3:$C183),""))</f>
        <v/>
      </c>
      <c r="T184" s="36">
        <f>IF(OR($C184="",$S184=""),"",ROUND(($C184-$S184+IF($C184&lt;$S184,1,0))*1440,0))</f>
        <v/>
      </c>
      <c r="U184" s="22">
        <f>IF(OR($H184="",$T184="",$T184&lt;=0),"",$H184*60/$T184)</f>
        <v/>
      </c>
      <c r="V184" s="37">
        <f>IF(OR($U184="",$R184="",$R184=0),"",$U184/$R184)</f>
        <v/>
      </c>
      <c r="W184" s="20">
        <f>IF($G184="","",IF($X184="CONTEXTE INCOMPLET","CONTEXTE INCOMPLET",IF($X184="DOUBLON",StatutDoublon,IF($S184="",StatutInitial,IF($R184="",StatutStandardManquant,IF($V184="","DONNEES INSUFFISANTES",IF($V184&gt;=SeuilConforme,StatutConforme,IF($V184&gt;=SeuilSurveiller,StatutSurveiller,StatutSousStandard))))))))</f>
        <v/>
      </c>
      <c r="X184" s="33">
        <f>IF($G184="","",IF(OR($D184="",$E184="",$F184=""),"CONTEXTE INCOMPLET",IF(COUNTIFS($D$3:$D183,$D184,$E$3:$E183,$E184,$F$3:$F183,$F184,$G$3:$G183,$G184)&gt;0,"DOUBLON","VALIDE")))</f>
        <v/>
      </c>
    </row>
    <row r="185" ht="15" customHeight="1">
      <c r="A185" s="12">
        <f>IF(OR($B185="",$G185=""),"",TEXT($B185,"YYYYMMDD")&amp;"-"&amp;SUBSTITUTE($E185," ","")&amp;"-"&amp;$F185&amp;"-"&amp;$G185)</f>
        <v/>
      </c>
      <c r="B185" s="15" t="n"/>
      <c r="C185" s="16" t="n"/>
      <c r="D185" s="10" t="n"/>
      <c r="E185" s="9" t="n"/>
      <c r="F185" s="9" t="n"/>
      <c r="G185" s="13" t="n"/>
      <c r="H185" s="21" t="n"/>
      <c r="I185" s="21" t="n"/>
      <c r="J185" s="17">
        <f>IF($G185="","",IFERROR(INDEX(NomsEmployes,MATCH($G185,MatriculesEmployes,0)),"MATRICULE INCONNU"))</f>
        <v/>
      </c>
      <c r="K185" s="33">
        <f>IF(OR($D185="",$F185=""),"",IFERROR(IF(INDEX(RUNS!$L$6:$S$1005,MATCH($D185,RUNS!$A$6:$A$1005,0),MATCH("ACTIVITÉ "&amp;$F185,RUNS!$L$5:$S$5,0))="","",INDEX(RUNS!$L$6:$S$1005,MATCH($D185,RUNS!$A$6:$A$1005,0),MATCH("ACTIVITÉ "&amp;$F185,RUNS!$L$5:$S$5,0))),""))</f>
        <v/>
      </c>
      <c r="L185" s="33">
        <f>IF($D185="","",IFERROR(IF(INDEX(RUNS!$E$6:$E$1005,MATCH($D185,RUNS!$A$6:$A$1005,0))="","",INDEX(RUNS!$E$6:$E$1005,MATCH($D185,RUNS!$A$6:$A$1005,0))),""))</f>
        <v/>
      </c>
      <c r="M185" s="33">
        <f>IF($D185="","",IFERROR(IF(INDEX(RUNS!$F$6:$F$1005,MATCH($D185,RUNS!$A$6:$A$1005,0))="","",INDEX(RUNS!$F$6:$F$1005,MATCH($D185,RUNS!$A$6:$A$1005,0))),""))</f>
        <v/>
      </c>
      <c r="N185" s="33">
        <f>IF($D185="","",IFERROR(IF(INDEX(RUNS!$G$6:$G$1005,MATCH($D185,RUNS!$A$6:$A$1005,0))="","",INDEX(RUNS!$G$6:$G$1005,MATCH($D185,RUNS!$A$6:$A$1005,0))),""))</f>
        <v/>
      </c>
      <c r="O185" s="33">
        <f>IF($D185="","",IFERROR(IF(INDEX(RUNS!$H$6:$H$1005,MATCH($D185,RUNS!$A$6:$A$1005,0))="","",INDEX(RUNS!$H$6:$H$1005,MATCH($D185,RUNS!$A$6:$A$1005,0))),""))</f>
        <v/>
      </c>
      <c r="P185" s="33">
        <f>IF($D185="","",IFERROR(IF(INDEX(RUNS!$J$6:$J$1005,MATCH($D185,RUNS!$A$6:$A$1005,0))="","",INDEX(RUNS!$J$6:$J$1005,MATCH($D185,RUNS!$A$6:$A$1005,0))),""))</f>
        <v/>
      </c>
      <c r="Q185" s="33">
        <f>IF($D185="","",IFERROR(IF(INDEX(RUNS!$K$6:$K$1005,MATCH($D185,RUNS!$A$6:$A$1005,0))="","",INDEX(RUNS!$K$6:$K$1005,MATCH($D185,RUNS!$A$6:$A$1005,0))),""))</f>
        <v/>
      </c>
      <c r="R185" s="34">
        <f>IF(OR($L185="",$K185=""),"",IFERROR(IF(INDEX(PARAMETRES!$H$43:$H$342,MATCH($L185&amp;"|"&amp;$M185&amp;"|"&amp;$N185&amp;"|"&amp;$O185&amp;"|"&amp;$P185&amp;"|"&amp;$Q185&amp;"|"&amp;$K185,PARAMETRES!$J$43:$J$342,0))="","",INDEX(PARAMETRES!$H$43:$H$342,MATCH($L185&amp;"|"&amp;$M185&amp;"|"&amp;$N185&amp;"|"&amp;$O185&amp;"|"&amp;$P185&amp;"|"&amp;$Q185&amp;"|"&amp;$K185,PARAMETRES!$J$43:$J$342,0))),""))</f>
        <v/>
      </c>
      <c r="S185" s="35">
        <f>IF(OR($G185="",$X185&lt;&gt;"VALIDE"),"",IFERROR(LOOKUP(2,1/(($B$3:$B184=$B185)*($G$3:$G184=$G185)*($X$3:$X184="VALIDE")),$C$3:$C184),""))</f>
        <v/>
      </c>
      <c r="T185" s="36">
        <f>IF(OR($C185="",$S185=""),"",ROUND(($C185-$S185+IF($C185&lt;$S185,1,0))*1440,0))</f>
        <v/>
      </c>
      <c r="U185" s="22">
        <f>IF(OR($H185="",$T185="",$T185&lt;=0),"",$H185*60/$T185)</f>
        <v/>
      </c>
      <c r="V185" s="37">
        <f>IF(OR($U185="",$R185="",$R185=0),"",$U185/$R185)</f>
        <v/>
      </c>
      <c r="W185" s="20">
        <f>IF($G185="","",IF($X185="CONTEXTE INCOMPLET","CONTEXTE INCOMPLET",IF($X185="DOUBLON",StatutDoublon,IF($S185="",StatutInitial,IF($R185="",StatutStandardManquant,IF($V185="","DONNEES INSUFFISANTES",IF($V185&gt;=SeuilConforme,StatutConforme,IF($V185&gt;=SeuilSurveiller,StatutSurveiller,StatutSousStandard))))))))</f>
        <v/>
      </c>
      <c r="X185" s="33">
        <f>IF($G185="","",IF(OR($D185="",$E185="",$F185=""),"CONTEXTE INCOMPLET",IF(COUNTIFS($D$3:$D184,$D185,$E$3:$E184,$E185,$F$3:$F184,$F185,$G$3:$G184,$G185)&gt;0,"DOUBLON","VALIDE")))</f>
        <v/>
      </c>
    </row>
    <row r="186" ht="15" customHeight="1">
      <c r="A186" s="12">
        <f>IF(OR($B186="",$G186=""),"",TEXT($B186,"YYYYMMDD")&amp;"-"&amp;SUBSTITUTE($E186," ","")&amp;"-"&amp;$F186&amp;"-"&amp;$G186)</f>
        <v/>
      </c>
      <c r="B186" s="15" t="n"/>
      <c r="C186" s="16" t="n"/>
      <c r="D186" s="10" t="n"/>
      <c r="E186" s="9" t="n"/>
      <c r="F186" s="9" t="n"/>
      <c r="G186" s="13" t="n"/>
      <c r="H186" s="21" t="n"/>
      <c r="I186" s="21" t="n"/>
      <c r="J186" s="17">
        <f>IF($G186="","",IFERROR(INDEX(NomsEmployes,MATCH($G186,MatriculesEmployes,0)),"MATRICULE INCONNU"))</f>
        <v/>
      </c>
      <c r="K186" s="33">
        <f>IF(OR($D186="",$F186=""),"",IFERROR(IF(INDEX(RUNS!$L$6:$S$1005,MATCH($D186,RUNS!$A$6:$A$1005,0),MATCH("ACTIVITÉ "&amp;$F186,RUNS!$L$5:$S$5,0))="","",INDEX(RUNS!$L$6:$S$1005,MATCH($D186,RUNS!$A$6:$A$1005,0),MATCH("ACTIVITÉ "&amp;$F186,RUNS!$L$5:$S$5,0))),""))</f>
        <v/>
      </c>
      <c r="L186" s="33">
        <f>IF($D186="","",IFERROR(IF(INDEX(RUNS!$E$6:$E$1005,MATCH($D186,RUNS!$A$6:$A$1005,0))="","",INDEX(RUNS!$E$6:$E$1005,MATCH($D186,RUNS!$A$6:$A$1005,0))),""))</f>
        <v/>
      </c>
      <c r="M186" s="33">
        <f>IF($D186="","",IFERROR(IF(INDEX(RUNS!$F$6:$F$1005,MATCH($D186,RUNS!$A$6:$A$1005,0))="","",INDEX(RUNS!$F$6:$F$1005,MATCH($D186,RUNS!$A$6:$A$1005,0))),""))</f>
        <v/>
      </c>
      <c r="N186" s="33">
        <f>IF($D186="","",IFERROR(IF(INDEX(RUNS!$G$6:$G$1005,MATCH($D186,RUNS!$A$6:$A$1005,0))="","",INDEX(RUNS!$G$6:$G$1005,MATCH($D186,RUNS!$A$6:$A$1005,0))),""))</f>
        <v/>
      </c>
      <c r="O186" s="33">
        <f>IF($D186="","",IFERROR(IF(INDEX(RUNS!$H$6:$H$1005,MATCH($D186,RUNS!$A$6:$A$1005,0))="","",INDEX(RUNS!$H$6:$H$1005,MATCH($D186,RUNS!$A$6:$A$1005,0))),""))</f>
        <v/>
      </c>
      <c r="P186" s="33">
        <f>IF($D186="","",IFERROR(IF(INDEX(RUNS!$J$6:$J$1005,MATCH($D186,RUNS!$A$6:$A$1005,0))="","",INDEX(RUNS!$J$6:$J$1005,MATCH($D186,RUNS!$A$6:$A$1005,0))),""))</f>
        <v/>
      </c>
      <c r="Q186" s="33">
        <f>IF($D186="","",IFERROR(IF(INDEX(RUNS!$K$6:$K$1005,MATCH($D186,RUNS!$A$6:$A$1005,0))="","",INDEX(RUNS!$K$6:$K$1005,MATCH($D186,RUNS!$A$6:$A$1005,0))),""))</f>
        <v/>
      </c>
      <c r="R186" s="34">
        <f>IF(OR($L186="",$K186=""),"",IFERROR(IF(INDEX(PARAMETRES!$H$43:$H$342,MATCH($L186&amp;"|"&amp;$M186&amp;"|"&amp;$N186&amp;"|"&amp;$O186&amp;"|"&amp;$P186&amp;"|"&amp;$Q186&amp;"|"&amp;$K186,PARAMETRES!$J$43:$J$342,0))="","",INDEX(PARAMETRES!$H$43:$H$342,MATCH($L186&amp;"|"&amp;$M186&amp;"|"&amp;$N186&amp;"|"&amp;$O186&amp;"|"&amp;$P186&amp;"|"&amp;$Q186&amp;"|"&amp;$K186,PARAMETRES!$J$43:$J$342,0))),""))</f>
        <v/>
      </c>
      <c r="S186" s="35">
        <f>IF(OR($G186="",$X186&lt;&gt;"VALIDE"),"",IFERROR(LOOKUP(2,1/(($B$3:$B185=$B186)*($G$3:$G185=$G186)*($X$3:$X185="VALIDE")),$C$3:$C185),""))</f>
        <v/>
      </c>
      <c r="T186" s="36">
        <f>IF(OR($C186="",$S186=""),"",ROUND(($C186-$S186+IF($C186&lt;$S186,1,0))*1440,0))</f>
        <v/>
      </c>
      <c r="U186" s="22">
        <f>IF(OR($H186="",$T186="",$T186&lt;=0),"",$H186*60/$T186)</f>
        <v/>
      </c>
      <c r="V186" s="37">
        <f>IF(OR($U186="",$R186="",$R186=0),"",$U186/$R186)</f>
        <v/>
      </c>
      <c r="W186" s="20">
        <f>IF($G186="","",IF($X186="CONTEXTE INCOMPLET","CONTEXTE INCOMPLET",IF($X186="DOUBLON",StatutDoublon,IF($S186="",StatutInitial,IF($R186="",StatutStandardManquant,IF($V186="","DONNEES INSUFFISANTES",IF($V186&gt;=SeuilConforme,StatutConforme,IF($V186&gt;=SeuilSurveiller,StatutSurveiller,StatutSousStandard))))))))</f>
        <v/>
      </c>
      <c r="X186" s="33">
        <f>IF($G186="","",IF(OR($D186="",$E186="",$F186=""),"CONTEXTE INCOMPLET",IF(COUNTIFS($D$3:$D185,$D186,$E$3:$E185,$E186,$F$3:$F185,$F186,$G$3:$G185,$G186)&gt;0,"DOUBLON","VALIDE")))</f>
        <v/>
      </c>
    </row>
    <row r="187" ht="15" customHeight="1">
      <c r="A187" s="12">
        <f>IF(OR($B187="",$G187=""),"",TEXT($B187,"YYYYMMDD")&amp;"-"&amp;SUBSTITUTE($E187," ","")&amp;"-"&amp;$F187&amp;"-"&amp;$G187)</f>
        <v/>
      </c>
      <c r="B187" s="15" t="n"/>
      <c r="C187" s="16" t="n"/>
      <c r="D187" s="10" t="n"/>
      <c r="E187" s="9" t="n"/>
      <c r="F187" s="9" t="n"/>
      <c r="G187" s="13" t="n"/>
      <c r="H187" s="21" t="n"/>
      <c r="I187" s="21" t="n"/>
      <c r="J187" s="17">
        <f>IF($G187="","",IFERROR(INDEX(NomsEmployes,MATCH($G187,MatriculesEmployes,0)),"MATRICULE INCONNU"))</f>
        <v/>
      </c>
      <c r="K187" s="33">
        <f>IF(OR($D187="",$F187=""),"",IFERROR(IF(INDEX(RUNS!$L$6:$S$1005,MATCH($D187,RUNS!$A$6:$A$1005,0),MATCH("ACTIVITÉ "&amp;$F187,RUNS!$L$5:$S$5,0))="","",INDEX(RUNS!$L$6:$S$1005,MATCH($D187,RUNS!$A$6:$A$1005,0),MATCH("ACTIVITÉ "&amp;$F187,RUNS!$L$5:$S$5,0))),""))</f>
        <v/>
      </c>
      <c r="L187" s="33">
        <f>IF($D187="","",IFERROR(IF(INDEX(RUNS!$E$6:$E$1005,MATCH($D187,RUNS!$A$6:$A$1005,0))="","",INDEX(RUNS!$E$6:$E$1005,MATCH($D187,RUNS!$A$6:$A$1005,0))),""))</f>
        <v/>
      </c>
      <c r="M187" s="33">
        <f>IF($D187="","",IFERROR(IF(INDEX(RUNS!$F$6:$F$1005,MATCH($D187,RUNS!$A$6:$A$1005,0))="","",INDEX(RUNS!$F$6:$F$1005,MATCH($D187,RUNS!$A$6:$A$1005,0))),""))</f>
        <v/>
      </c>
      <c r="N187" s="33">
        <f>IF($D187="","",IFERROR(IF(INDEX(RUNS!$G$6:$G$1005,MATCH($D187,RUNS!$A$6:$A$1005,0))="","",INDEX(RUNS!$G$6:$G$1005,MATCH($D187,RUNS!$A$6:$A$1005,0))),""))</f>
        <v/>
      </c>
      <c r="O187" s="33">
        <f>IF($D187="","",IFERROR(IF(INDEX(RUNS!$H$6:$H$1005,MATCH($D187,RUNS!$A$6:$A$1005,0))="","",INDEX(RUNS!$H$6:$H$1005,MATCH($D187,RUNS!$A$6:$A$1005,0))),""))</f>
        <v/>
      </c>
      <c r="P187" s="33">
        <f>IF($D187="","",IFERROR(IF(INDEX(RUNS!$J$6:$J$1005,MATCH($D187,RUNS!$A$6:$A$1005,0))="","",INDEX(RUNS!$J$6:$J$1005,MATCH($D187,RUNS!$A$6:$A$1005,0))),""))</f>
        <v/>
      </c>
      <c r="Q187" s="33">
        <f>IF($D187="","",IFERROR(IF(INDEX(RUNS!$K$6:$K$1005,MATCH($D187,RUNS!$A$6:$A$1005,0))="","",INDEX(RUNS!$K$6:$K$1005,MATCH($D187,RUNS!$A$6:$A$1005,0))),""))</f>
        <v/>
      </c>
      <c r="R187" s="34">
        <f>IF(OR($L187="",$K187=""),"",IFERROR(IF(INDEX(PARAMETRES!$H$43:$H$342,MATCH($L187&amp;"|"&amp;$M187&amp;"|"&amp;$N187&amp;"|"&amp;$O187&amp;"|"&amp;$P187&amp;"|"&amp;$Q187&amp;"|"&amp;$K187,PARAMETRES!$J$43:$J$342,0))="","",INDEX(PARAMETRES!$H$43:$H$342,MATCH($L187&amp;"|"&amp;$M187&amp;"|"&amp;$N187&amp;"|"&amp;$O187&amp;"|"&amp;$P187&amp;"|"&amp;$Q187&amp;"|"&amp;$K187,PARAMETRES!$J$43:$J$342,0))),""))</f>
        <v/>
      </c>
      <c r="S187" s="35">
        <f>IF(OR($G187="",$X187&lt;&gt;"VALIDE"),"",IFERROR(LOOKUP(2,1/(($B$3:$B186=$B187)*($G$3:$G186=$G187)*($X$3:$X186="VALIDE")),$C$3:$C186),""))</f>
        <v/>
      </c>
      <c r="T187" s="36">
        <f>IF(OR($C187="",$S187=""),"",ROUND(($C187-$S187+IF($C187&lt;$S187,1,0))*1440,0))</f>
        <v/>
      </c>
      <c r="U187" s="22">
        <f>IF(OR($H187="",$T187="",$T187&lt;=0),"",$H187*60/$T187)</f>
        <v/>
      </c>
      <c r="V187" s="37">
        <f>IF(OR($U187="",$R187="",$R187=0),"",$U187/$R187)</f>
        <v/>
      </c>
      <c r="W187" s="20">
        <f>IF($G187="","",IF($X187="CONTEXTE INCOMPLET","CONTEXTE INCOMPLET",IF($X187="DOUBLON",StatutDoublon,IF($S187="",StatutInitial,IF($R187="",StatutStandardManquant,IF($V187="","DONNEES INSUFFISANTES",IF($V187&gt;=SeuilConforme,StatutConforme,IF($V187&gt;=SeuilSurveiller,StatutSurveiller,StatutSousStandard))))))))</f>
        <v/>
      </c>
      <c r="X187" s="33">
        <f>IF($G187="","",IF(OR($D187="",$E187="",$F187=""),"CONTEXTE INCOMPLET",IF(COUNTIFS($D$3:$D186,$D187,$E$3:$E186,$E187,$F$3:$F186,$F187,$G$3:$G186,$G187)&gt;0,"DOUBLON","VALIDE")))</f>
        <v/>
      </c>
    </row>
    <row r="188" ht="15" customHeight="1">
      <c r="A188" s="12">
        <f>IF(OR($B188="",$G188=""),"",TEXT($B188,"YYYYMMDD")&amp;"-"&amp;SUBSTITUTE($E188," ","")&amp;"-"&amp;$F188&amp;"-"&amp;$G188)</f>
        <v/>
      </c>
      <c r="B188" s="15" t="n"/>
      <c r="C188" s="16" t="n"/>
      <c r="D188" s="10" t="n"/>
      <c r="E188" s="9" t="n"/>
      <c r="F188" s="9" t="n"/>
      <c r="G188" s="13" t="n"/>
      <c r="H188" s="21" t="n"/>
      <c r="I188" s="21" t="n"/>
      <c r="J188" s="17">
        <f>IF($G188="","",IFERROR(INDEX(NomsEmployes,MATCH($G188,MatriculesEmployes,0)),"MATRICULE INCONNU"))</f>
        <v/>
      </c>
      <c r="K188" s="33">
        <f>IF(OR($D188="",$F188=""),"",IFERROR(IF(INDEX(RUNS!$L$6:$S$1005,MATCH($D188,RUNS!$A$6:$A$1005,0),MATCH("ACTIVITÉ "&amp;$F188,RUNS!$L$5:$S$5,0))="","",INDEX(RUNS!$L$6:$S$1005,MATCH($D188,RUNS!$A$6:$A$1005,0),MATCH("ACTIVITÉ "&amp;$F188,RUNS!$L$5:$S$5,0))),""))</f>
        <v/>
      </c>
      <c r="L188" s="33">
        <f>IF($D188="","",IFERROR(IF(INDEX(RUNS!$E$6:$E$1005,MATCH($D188,RUNS!$A$6:$A$1005,0))="","",INDEX(RUNS!$E$6:$E$1005,MATCH($D188,RUNS!$A$6:$A$1005,0))),""))</f>
        <v/>
      </c>
      <c r="M188" s="33">
        <f>IF($D188="","",IFERROR(IF(INDEX(RUNS!$F$6:$F$1005,MATCH($D188,RUNS!$A$6:$A$1005,0))="","",INDEX(RUNS!$F$6:$F$1005,MATCH($D188,RUNS!$A$6:$A$1005,0))),""))</f>
        <v/>
      </c>
      <c r="N188" s="33">
        <f>IF($D188="","",IFERROR(IF(INDEX(RUNS!$G$6:$G$1005,MATCH($D188,RUNS!$A$6:$A$1005,0))="","",INDEX(RUNS!$G$6:$G$1005,MATCH($D188,RUNS!$A$6:$A$1005,0))),""))</f>
        <v/>
      </c>
      <c r="O188" s="33">
        <f>IF($D188="","",IFERROR(IF(INDEX(RUNS!$H$6:$H$1005,MATCH($D188,RUNS!$A$6:$A$1005,0))="","",INDEX(RUNS!$H$6:$H$1005,MATCH($D188,RUNS!$A$6:$A$1005,0))),""))</f>
        <v/>
      </c>
      <c r="P188" s="33">
        <f>IF($D188="","",IFERROR(IF(INDEX(RUNS!$J$6:$J$1005,MATCH($D188,RUNS!$A$6:$A$1005,0))="","",INDEX(RUNS!$J$6:$J$1005,MATCH($D188,RUNS!$A$6:$A$1005,0))),""))</f>
        <v/>
      </c>
      <c r="Q188" s="33">
        <f>IF($D188="","",IFERROR(IF(INDEX(RUNS!$K$6:$K$1005,MATCH($D188,RUNS!$A$6:$A$1005,0))="","",INDEX(RUNS!$K$6:$K$1005,MATCH($D188,RUNS!$A$6:$A$1005,0))),""))</f>
        <v/>
      </c>
      <c r="R188" s="34">
        <f>IF(OR($L188="",$K188=""),"",IFERROR(IF(INDEX(PARAMETRES!$H$43:$H$342,MATCH($L188&amp;"|"&amp;$M188&amp;"|"&amp;$N188&amp;"|"&amp;$O188&amp;"|"&amp;$P188&amp;"|"&amp;$Q188&amp;"|"&amp;$K188,PARAMETRES!$J$43:$J$342,0))="","",INDEX(PARAMETRES!$H$43:$H$342,MATCH($L188&amp;"|"&amp;$M188&amp;"|"&amp;$N188&amp;"|"&amp;$O188&amp;"|"&amp;$P188&amp;"|"&amp;$Q188&amp;"|"&amp;$K188,PARAMETRES!$J$43:$J$342,0))),""))</f>
        <v/>
      </c>
      <c r="S188" s="35">
        <f>IF(OR($G188="",$X188&lt;&gt;"VALIDE"),"",IFERROR(LOOKUP(2,1/(($B$3:$B187=$B188)*($G$3:$G187=$G188)*($X$3:$X187="VALIDE")),$C$3:$C187),""))</f>
        <v/>
      </c>
      <c r="T188" s="36">
        <f>IF(OR($C188="",$S188=""),"",ROUND(($C188-$S188+IF($C188&lt;$S188,1,0))*1440,0))</f>
        <v/>
      </c>
      <c r="U188" s="22">
        <f>IF(OR($H188="",$T188="",$T188&lt;=0),"",$H188*60/$T188)</f>
        <v/>
      </c>
      <c r="V188" s="37">
        <f>IF(OR($U188="",$R188="",$R188=0),"",$U188/$R188)</f>
        <v/>
      </c>
      <c r="W188" s="20">
        <f>IF($G188="","",IF($X188="CONTEXTE INCOMPLET","CONTEXTE INCOMPLET",IF($X188="DOUBLON",StatutDoublon,IF($S188="",StatutInitial,IF($R188="",StatutStandardManquant,IF($V188="","DONNEES INSUFFISANTES",IF($V188&gt;=SeuilConforme,StatutConforme,IF($V188&gt;=SeuilSurveiller,StatutSurveiller,StatutSousStandard))))))))</f>
        <v/>
      </c>
      <c r="X188" s="33">
        <f>IF($G188="","",IF(OR($D188="",$E188="",$F188=""),"CONTEXTE INCOMPLET",IF(COUNTIFS($D$3:$D187,$D188,$E$3:$E187,$E188,$F$3:$F187,$F188,$G$3:$G187,$G188)&gt;0,"DOUBLON","VALIDE")))</f>
        <v/>
      </c>
    </row>
    <row r="189" ht="15" customHeight="1">
      <c r="A189" s="12">
        <f>IF(OR($B189="",$G189=""),"",TEXT($B189,"YYYYMMDD")&amp;"-"&amp;SUBSTITUTE($E189," ","")&amp;"-"&amp;$F189&amp;"-"&amp;$G189)</f>
        <v/>
      </c>
      <c r="B189" s="15" t="n"/>
      <c r="C189" s="16" t="n"/>
      <c r="D189" s="10" t="n"/>
      <c r="E189" s="9" t="n"/>
      <c r="F189" s="9" t="n"/>
      <c r="G189" s="13" t="n"/>
      <c r="H189" s="21" t="n"/>
      <c r="I189" s="21" t="n"/>
      <c r="J189" s="17">
        <f>IF($G189="","",IFERROR(INDEX(NomsEmployes,MATCH($G189,MatriculesEmployes,0)),"MATRICULE INCONNU"))</f>
        <v/>
      </c>
      <c r="K189" s="33">
        <f>IF(OR($D189="",$F189=""),"",IFERROR(IF(INDEX(RUNS!$L$6:$S$1005,MATCH($D189,RUNS!$A$6:$A$1005,0),MATCH("ACTIVITÉ "&amp;$F189,RUNS!$L$5:$S$5,0))="","",INDEX(RUNS!$L$6:$S$1005,MATCH($D189,RUNS!$A$6:$A$1005,0),MATCH("ACTIVITÉ "&amp;$F189,RUNS!$L$5:$S$5,0))),""))</f>
        <v/>
      </c>
      <c r="L189" s="33">
        <f>IF($D189="","",IFERROR(IF(INDEX(RUNS!$E$6:$E$1005,MATCH($D189,RUNS!$A$6:$A$1005,0))="","",INDEX(RUNS!$E$6:$E$1005,MATCH($D189,RUNS!$A$6:$A$1005,0))),""))</f>
        <v/>
      </c>
      <c r="M189" s="33">
        <f>IF($D189="","",IFERROR(IF(INDEX(RUNS!$F$6:$F$1005,MATCH($D189,RUNS!$A$6:$A$1005,0))="","",INDEX(RUNS!$F$6:$F$1005,MATCH($D189,RUNS!$A$6:$A$1005,0))),""))</f>
        <v/>
      </c>
      <c r="N189" s="33">
        <f>IF($D189="","",IFERROR(IF(INDEX(RUNS!$G$6:$G$1005,MATCH($D189,RUNS!$A$6:$A$1005,0))="","",INDEX(RUNS!$G$6:$G$1005,MATCH($D189,RUNS!$A$6:$A$1005,0))),""))</f>
        <v/>
      </c>
      <c r="O189" s="33">
        <f>IF($D189="","",IFERROR(IF(INDEX(RUNS!$H$6:$H$1005,MATCH($D189,RUNS!$A$6:$A$1005,0))="","",INDEX(RUNS!$H$6:$H$1005,MATCH($D189,RUNS!$A$6:$A$1005,0))),""))</f>
        <v/>
      </c>
      <c r="P189" s="33">
        <f>IF($D189="","",IFERROR(IF(INDEX(RUNS!$J$6:$J$1005,MATCH($D189,RUNS!$A$6:$A$1005,0))="","",INDEX(RUNS!$J$6:$J$1005,MATCH($D189,RUNS!$A$6:$A$1005,0))),""))</f>
        <v/>
      </c>
      <c r="Q189" s="33">
        <f>IF($D189="","",IFERROR(IF(INDEX(RUNS!$K$6:$K$1005,MATCH($D189,RUNS!$A$6:$A$1005,0))="","",INDEX(RUNS!$K$6:$K$1005,MATCH($D189,RUNS!$A$6:$A$1005,0))),""))</f>
        <v/>
      </c>
      <c r="R189" s="34">
        <f>IF(OR($L189="",$K189=""),"",IFERROR(IF(INDEX(PARAMETRES!$H$43:$H$342,MATCH($L189&amp;"|"&amp;$M189&amp;"|"&amp;$N189&amp;"|"&amp;$O189&amp;"|"&amp;$P189&amp;"|"&amp;$Q189&amp;"|"&amp;$K189,PARAMETRES!$J$43:$J$342,0))="","",INDEX(PARAMETRES!$H$43:$H$342,MATCH($L189&amp;"|"&amp;$M189&amp;"|"&amp;$N189&amp;"|"&amp;$O189&amp;"|"&amp;$P189&amp;"|"&amp;$Q189&amp;"|"&amp;$K189,PARAMETRES!$J$43:$J$342,0))),""))</f>
        <v/>
      </c>
      <c r="S189" s="35">
        <f>IF(OR($G189="",$X189&lt;&gt;"VALIDE"),"",IFERROR(LOOKUP(2,1/(($B$3:$B188=$B189)*($G$3:$G188=$G189)*($X$3:$X188="VALIDE")),$C$3:$C188),""))</f>
        <v/>
      </c>
      <c r="T189" s="36">
        <f>IF(OR($C189="",$S189=""),"",ROUND(($C189-$S189+IF($C189&lt;$S189,1,0))*1440,0))</f>
        <v/>
      </c>
      <c r="U189" s="22">
        <f>IF(OR($H189="",$T189="",$T189&lt;=0),"",$H189*60/$T189)</f>
        <v/>
      </c>
      <c r="V189" s="37">
        <f>IF(OR($U189="",$R189="",$R189=0),"",$U189/$R189)</f>
        <v/>
      </c>
      <c r="W189" s="20">
        <f>IF($G189="","",IF($X189="CONTEXTE INCOMPLET","CONTEXTE INCOMPLET",IF($X189="DOUBLON",StatutDoublon,IF($S189="",StatutInitial,IF($R189="",StatutStandardManquant,IF($V189="","DONNEES INSUFFISANTES",IF($V189&gt;=SeuilConforme,StatutConforme,IF($V189&gt;=SeuilSurveiller,StatutSurveiller,StatutSousStandard))))))))</f>
        <v/>
      </c>
      <c r="X189" s="33">
        <f>IF($G189="","",IF(OR($D189="",$E189="",$F189=""),"CONTEXTE INCOMPLET",IF(COUNTIFS($D$3:$D188,$D189,$E$3:$E188,$E189,$F$3:$F188,$F189,$G$3:$G188,$G189)&gt;0,"DOUBLON","VALIDE")))</f>
        <v/>
      </c>
    </row>
    <row r="190" ht="15" customHeight="1">
      <c r="A190" s="12">
        <f>IF(OR($B190="",$G190=""),"",TEXT($B190,"YYYYMMDD")&amp;"-"&amp;SUBSTITUTE($E190," ","")&amp;"-"&amp;$F190&amp;"-"&amp;$G190)</f>
        <v/>
      </c>
      <c r="B190" s="15" t="n"/>
      <c r="C190" s="16" t="n"/>
      <c r="D190" s="10" t="n"/>
      <c r="E190" s="9" t="n"/>
      <c r="F190" s="9" t="n"/>
      <c r="G190" s="13" t="n"/>
      <c r="H190" s="21" t="n"/>
      <c r="I190" s="21" t="n"/>
      <c r="J190" s="17">
        <f>IF($G190="","",IFERROR(INDEX(NomsEmployes,MATCH($G190,MatriculesEmployes,0)),"MATRICULE INCONNU"))</f>
        <v/>
      </c>
      <c r="K190" s="33">
        <f>IF(OR($D190="",$F190=""),"",IFERROR(IF(INDEX(RUNS!$L$6:$S$1005,MATCH($D190,RUNS!$A$6:$A$1005,0),MATCH("ACTIVITÉ "&amp;$F190,RUNS!$L$5:$S$5,0))="","",INDEX(RUNS!$L$6:$S$1005,MATCH($D190,RUNS!$A$6:$A$1005,0),MATCH("ACTIVITÉ "&amp;$F190,RUNS!$L$5:$S$5,0))),""))</f>
        <v/>
      </c>
      <c r="L190" s="33">
        <f>IF($D190="","",IFERROR(IF(INDEX(RUNS!$E$6:$E$1005,MATCH($D190,RUNS!$A$6:$A$1005,0))="","",INDEX(RUNS!$E$6:$E$1005,MATCH($D190,RUNS!$A$6:$A$1005,0))),""))</f>
        <v/>
      </c>
      <c r="M190" s="33">
        <f>IF($D190="","",IFERROR(IF(INDEX(RUNS!$F$6:$F$1005,MATCH($D190,RUNS!$A$6:$A$1005,0))="","",INDEX(RUNS!$F$6:$F$1005,MATCH($D190,RUNS!$A$6:$A$1005,0))),""))</f>
        <v/>
      </c>
      <c r="N190" s="33">
        <f>IF($D190="","",IFERROR(IF(INDEX(RUNS!$G$6:$G$1005,MATCH($D190,RUNS!$A$6:$A$1005,0))="","",INDEX(RUNS!$G$6:$G$1005,MATCH($D190,RUNS!$A$6:$A$1005,0))),""))</f>
        <v/>
      </c>
      <c r="O190" s="33">
        <f>IF($D190="","",IFERROR(IF(INDEX(RUNS!$H$6:$H$1005,MATCH($D190,RUNS!$A$6:$A$1005,0))="","",INDEX(RUNS!$H$6:$H$1005,MATCH($D190,RUNS!$A$6:$A$1005,0))),""))</f>
        <v/>
      </c>
      <c r="P190" s="33">
        <f>IF($D190="","",IFERROR(IF(INDEX(RUNS!$J$6:$J$1005,MATCH($D190,RUNS!$A$6:$A$1005,0))="","",INDEX(RUNS!$J$6:$J$1005,MATCH($D190,RUNS!$A$6:$A$1005,0))),""))</f>
        <v/>
      </c>
      <c r="Q190" s="33">
        <f>IF($D190="","",IFERROR(IF(INDEX(RUNS!$K$6:$K$1005,MATCH($D190,RUNS!$A$6:$A$1005,0))="","",INDEX(RUNS!$K$6:$K$1005,MATCH($D190,RUNS!$A$6:$A$1005,0))),""))</f>
        <v/>
      </c>
      <c r="R190" s="34">
        <f>IF(OR($L190="",$K190=""),"",IFERROR(IF(INDEX(PARAMETRES!$H$43:$H$342,MATCH($L190&amp;"|"&amp;$M190&amp;"|"&amp;$N190&amp;"|"&amp;$O190&amp;"|"&amp;$P190&amp;"|"&amp;$Q190&amp;"|"&amp;$K190,PARAMETRES!$J$43:$J$342,0))="","",INDEX(PARAMETRES!$H$43:$H$342,MATCH($L190&amp;"|"&amp;$M190&amp;"|"&amp;$N190&amp;"|"&amp;$O190&amp;"|"&amp;$P190&amp;"|"&amp;$Q190&amp;"|"&amp;$K190,PARAMETRES!$J$43:$J$342,0))),""))</f>
        <v/>
      </c>
      <c r="S190" s="35">
        <f>IF(OR($G190="",$X190&lt;&gt;"VALIDE"),"",IFERROR(LOOKUP(2,1/(($B$3:$B189=$B190)*($G$3:$G189=$G190)*($X$3:$X189="VALIDE")),$C$3:$C189),""))</f>
        <v/>
      </c>
      <c r="T190" s="36">
        <f>IF(OR($C190="",$S190=""),"",ROUND(($C190-$S190+IF($C190&lt;$S190,1,0))*1440,0))</f>
        <v/>
      </c>
      <c r="U190" s="22">
        <f>IF(OR($H190="",$T190="",$T190&lt;=0),"",$H190*60/$T190)</f>
        <v/>
      </c>
      <c r="V190" s="37">
        <f>IF(OR($U190="",$R190="",$R190=0),"",$U190/$R190)</f>
        <v/>
      </c>
      <c r="W190" s="20">
        <f>IF($G190="","",IF($X190="CONTEXTE INCOMPLET","CONTEXTE INCOMPLET",IF($X190="DOUBLON",StatutDoublon,IF($S190="",StatutInitial,IF($R190="",StatutStandardManquant,IF($V190="","DONNEES INSUFFISANTES",IF($V190&gt;=SeuilConforme,StatutConforme,IF($V190&gt;=SeuilSurveiller,StatutSurveiller,StatutSousStandard))))))))</f>
        <v/>
      </c>
      <c r="X190" s="33">
        <f>IF($G190="","",IF(OR($D190="",$E190="",$F190=""),"CONTEXTE INCOMPLET",IF(COUNTIFS($D$3:$D189,$D190,$E$3:$E189,$E190,$F$3:$F189,$F190,$G$3:$G189,$G190)&gt;0,"DOUBLON","VALIDE")))</f>
        <v/>
      </c>
    </row>
    <row r="191" ht="15" customHeight="1">
      <c r="A191" s="12">
        <f>IF(OR($B191="",$G191=""),"",TEXT($B191,"YYYYMMDD")&amp;"-"&amp;SUBSTITUTE($E191," ","")&amp;"-"&amp;$F191&amp;"-"&amp;$G191)</f>
        <v/>
      </c>
      <c r="B191" s="15" t="n"/>
      <c r="C191" s="16" t="n"/>
      <c r="D191" s="10" t="n"/>
      <c r="E191" s="9" t="n"/>
      <c r="F191" s="9" t="n"/>
      <c r="G191" s="13" t="n"/>
      <c r="H191" s="21" t="n"/>
      <c r="I191" s="21" t="n"/>
      <c r="J191" s="17">
        <f>IF($G191="","",IFERROR(INDEX(NomsEmployes,MATCH($G191,MatriculesEmployes,0)),"MATRICULE INCONNU"))</f>
        <v/>
      </c>
      <c r="K191" s="33">
        <f>IF(OR($D191="",$F191=""),"",IFERROR(IF(INDEX(RUNS!$L$6:$S$1005,MATCH($D191,RUNS!$A$6:$A$1005,0),MATCH("ACTIVITÉ "&amp;$F191,RUNS!$L$5:$S$5,0))="","",INDEX(RUNS!$L$6:$S$1005,MATCH($D191,RUNS!$A$6:$A$1005,0),MATCH("ACTIVITÉ "&amp;$F191,RUNS!$L$5:$S$5,0))),""))</f>
        <v/>
      </c>
      <c r="L191" s="33">
        <f>IF($D191="","",IFERROR(IF(INDEX(RUNS!$E$6:$E$1005,MATCH($D191,RUNS!$A$6:$A$1005,0))="","",INDEX(RUNS!$E$6:$E$1005,MATCH($D191,RUNS!$A$6:$A$1005,0))),""))</f>
        <v/>
      </c>
      <c r="M191" s="33">
        <f>IF($D191="","",IFERROR(IF(INDEX(RUNS!$F$6:$F$1005,MATCH($D191,RUNS!$A$6:$A$1005,0))="","",INDEX(RUNS!$F$6:$F$1005,MATCH($D191,RUNS!$A$6:$A$1005,0))),""))</f>
        <v/>
      </c>
      <c r="N191" s="33">
        <f>IF($D191="","",IFERROR(IF(INDEX(RUNS!$G$6:$G$1005,MATCH($D191,RUNS!$A$6:$A$1005,0))="","",INDEX(RUNS!$G$6:$G$1005,MATCH($D191,RUNS!$A$6:$A$1005,0))),""))</f>
        <v/>
      </c>
      <c r="O191" s="33">
        <f>IF($D191="","",IFERROR(IF(INDEX(RUNS!$H$6:$H$1005,MATCH($D191,RUNS!$A$6:$A$1005,0))="","",INDEX(RUNS!$H$6:$H$1005,MATCH($D191,RUNS!$A$6:$A$1005,0))),""))</f>
        <v/>
      </c>
      <c r="P191" s="33">
        <f>IF($D191="","",IFERROR(IF(INDEX(RUNS!$J$6:$J$1005,MATCH($D191,RUNS!$A$6:$A$1005,0))="","",INDEX(RUNS!$J$6:$J$1005,MATCH($D191,RUNS!$A$6:$A$1005,0))),""))</f>
        <v/>
      </c>
      <c r="Q191" s="33">
        <f>IF($D191="","",IFERROR(IF(INDEX(RUNS!$K$6:$K$1005,MATCH($D191,RUNS!$A$6:$A$1005,0))="","",INDEX(RUNS!$K$6:$K$1005,MATCH($D191,RUNS!$A$6:$A$1005,0))),""))</f>
        <v/>
      </c>
      <c r="R191" s="34">
        <f>IF(OR($L191="",$K191=""),"",IFERROR(IF(INDEX(PARAMETRES!$H$43:$H$342,MATCH($L191&amp;"|"&amp;$M191&amp;"|"&amp;$N191&amp;"|"&amp;$O191&amp;"|"&amp;$P191&amp;"|"&amp;$Q191&amp;"|"&amp;$K191,PARAMETRES!$J$43:$J$342,0))="","",INDEX(PARAMETRES!$H$43:$H$342,MATCH($L191&amp;"|"&amp;$M191&amp;"|"&amp;$N191&amp;"|"&amp;$O191&amp;"|"&amp;$P191&amp;"|"&amp;$Q191&amp;"|"&amp;$K191,PARAMETRES!$J$43:$J$342,0))),""))</f>
        <v/>
      </c>
      <c r="S191" s="35">
        <f>IF(OR($G191="",$X191&lt;&gt;"VALIDE"),"",IFERROR(LOOKUP(2,1/(($B$3:$B190=$B191)*($G$3:$G190=$G191)*($X$3:$X190="VALIDE")),$C$3:$C190),""))</f>
        <v/>
      </c>
      <c r="T191" s="36">
        <f>IF(OR($C191="",$S191=""),"",ROUND(($C191-$S191+IF($C191&lt;$S191,1,0))*1440,0))</f>
        <v/>
      </c>
      <c r="U191" s="22">
        <f>IF(OR($H191="",$T191="",$T191&lt;=0),"",$H191*60/$T191)</f>
        <v/>
      </c>
      <c r="V191" s="37">
        <f>IF(OR($U191="",$R191="",$R191=0),"",$U191/$R191)</f>
        <v/>
      </c>
      <c r="W191" s="20">
        <f>IF($G191="","",IF($X191="CONTEXTE INCOMPLET","CONTEXTE INCOMPLET",IF($X191="DOUBLON",StatutDoublon,IF($S191="",StatutInitial,IF($R191="",StatutStandardManquant,IF($V191="","DONNEES INSUFFISANTES",IF($V191&gt;=SeuilConforme,StatutConforme,IF($V191&gt;=SeuilSurveiller,StatutSurveiller,StatutSousStandard))))))))</f>
        <v/>
      </c>
      <c r="X191" s="33">
        <f>IF($G191="","",IF(OR($D191="",$E191="",$F191=""),"CONTEXTE INCOMPLET",IF(COUNTIFS($D$3:$D190,$D191,$E$3:$E190,$E191,$F$3:$F190,$F191,$G$3:$G190,$G191)&gt;0,"DOUBLON","VALIDE")))</f>
        <v/>
      </c>
    </row>
    <row r="192" ht="15" customHeight="1">
      <c r="A192" s="12">
        <f>IF(OR($B192="",$G192=""),"",TEXT($B192,"YYYYMMDD")&amp;"-"&amp;SUBSTITUTE($E192," ","")&amp;"-"&amp;$F192&amp;"-"&amp;$G192)</f>
        <v/>
      </c>
      <c r="B192" s="15" t="n"/>
      <c r="C192" s="16" t="n"/>
      <c r="D192" s="10" t="n"/>
      <c r="E192" s="9" t="n"/>
      <c r="F192" s="9" t="n"/>
      <c r="G192" s="13" t="n"/>
      <c r="H192" s="21" t="n"/>
      <c r="I192" s="21" t="n"/>
      <c r="J192" s="17">
        <f>IF($G192="","",IFERROR(INDEX(NomsEmployes,MATCH($G192,MatriculesEmployes,0)),"MATRICULE INCONNU"))</f>
        <v/>
      </c>
      <c r="K192" s="33">
        <f>IF(OR($D192="",$F192=""),"",IFERROR(IF(INDEX(RUNS!$L$6:$S$1005,MATCH($D192,RUNS!$A$6:$A$1005,0),MATCH("ACTIVITÉ "&amp;$F192,RUNS!$L$5:$S$5,0))="","",INDEX(RUNS!$L$6:$S$1005,MATCH($D192,RUNS!$A$6:$A$1005,0),MATCH("ACTIVITÉ "&amp;$F192,RUNS!$L$5:$S$5,0))),""))</f>
        <v/>
      </c>
      <c r="L192" s="33">
        <f>IF($D192="","",IFERROR(IF(INDEX(RUNS!$E$6:$E$1005,MATCH($D192,RUNS!$A$6:$A$1005,0))="","",INDEX(RUNS!$E$6:$E$1005,MATCH($D192,RUNS!$A$6:$A$1005,0))),""))</f>
        <v/>
      </c>
      <c r="M192" s="33">
        <f>IF($D192="","",IFERROR(IF(INDEX(RUNS!$F$6:$F$1005,MATCH($D192,RUNS!$A$6:$A$1005,0))="","",INDEX(RUNS!$F$6:$F$1005,MATCH($D192,RUNS!$A$6:$A$1005,0))),""))</f>
        <v/>
      </c>
      <c r="N192" s="33">
        <f>IF($D192="","",IFERROR(IF(INDEX(RUNS!$G$6:$G$1005,MATCH($D192,RUNS!$A$6:$A$1005,0))="","",INDEX(RUNS!$G$6:$G$1005,MATCH($D192,RUNS!$A$6:$A$1005,0))),""))</f>
        <v/>
      </c>
      <c r="O192" s="33">
        <f>IF($D192="","",IFERROR(IF(INDEX(RUNS!$H$6:$H$1005,MATCH($D192,RUNS!$A$6:$A$1005,0))="","",INDEX(RUNS!$H$6:$H$1005,MATCH($D192,RUNS!$A$6:$A$1005,0))),""))</f>
        <v/>
      </c>
      <c r="P192" s="33">
        <f>IF($D192="","",IFERROR(IF(INDEX(RUNS!$J$6:$J$1005,MATCH($D192,RUNS!$A$6:$A$1005,0))="","",INDEX(RUNS!$J$6:$J$1005,MATCH($D192,RUNS!$A$6:$A$1005,0))),""))</f>
        <v/>
      </c>
      <c r="Q192" s="33">
        <f>IF($D192="","",IFERROR(IF(INDEX(RUNS!$K$6:$K$1005,MATCH($D192,RUNS!$A$6:$A$1005,0))="","",INDEX(RUNS!$K$6:$K$1005,MATCH($D192,RUNS!$A$6:$A$1005,0))),""))</f>
        <v/>
      </c>
      <c r="R192" s="34">
        <f>IF(OR($L192="",$K192=""),"",IFERROR(IF(INDEX(PARAMETRES!$H$43:$H$342,MATCH($L192&amp;"|"&amp;$M192&amp;"|"&amp;$N192&amp;"|"&amp;$O192&amp;"|"&amp;$P192&amp;"|"&amp;$Q192&amp;"|"&amp;$K192,PARAMETRES!$J$43:$J$342,0))="","",INDEX(PARAMETRES!$H$43:$H$342,MATCH($L192&amp;"|"&amp;$M192&amp;"|"&amp;$N192&amp;"|"&amp;$O192&amp;"|"&amp;$P192&amp;"|"&amp;$Q192&amp;"|"&amp;$K192,PARAMETRES!$J$43:$J$342,0))),""))</f>
        <v/>
      </c>
      <c r="S192" s="35">
        <f>IF(OR($G192="",$X192&lt;&gt;"VALIDE"),"",IFERROR(LOOKUP(2,1/(($B$3:$B191=$B192)*($G$3:$G191=$G192)*($X$3:$X191="VALIDE")),$C$3:$C191),""))</f>
        <v/>
      </c>
      <c r="T192" s="36">
        <f>IF(OR($C192="",$S192=""),"",ROUND(($C192-$S192+IF($C192&lt;$S192,1,0))*1440,0))</f>
        <v/>
      </c>
      <c r="U192" s="22">
        <f>IF(OR($H192="",$T192="",$T192&lt;=0),"",$H192*60/$T192)</f>
        <v/>
      </c>
      <c r="V192" s="37">
        <f>IF(OR($U192="",$R192="",$R192=0),"",$U192/$R192)</f>
        <v/>
      </c>
      <c r="W192" s="20">
        <f>IF($G192="","",IF($X192="CONTEXTE INCOMPLET","CONTEXTE INCOMPLET",IF($X192="DOUBLON",StatutDoublon,IF($S192="",StatutInitial,IF($R192="",StatutStandardManquant,IF($V192="","DONNEES INSUFFISANTES",IF($V192&gt;=SeuilConforme,StatutConforme,IF($V192&gt;=SeuilSurveiller,StatutSurveiller,StatutSousStandard))))))))</f>
        <v/>
      </c>
      <c r="X192" s="33">
        <f>IF($G192="","",IF(OR($D192="",$E192="",$F192=""),"CONTEXTE INCOMPLET",IF(COUNTIFS($D$3:$D191,$D192,$E$3:$E191,$E192,$F$3:$F191,$F192,$G$3:$G191,$G192)&gt;0,"DOUBLON","VALIDE")))</f>
        <v/>
      </c>
    </row>
    <row r="193" ht="15" customHeight="1">
      <c r="A193" s="12">
        <f>IF(OR($B193="",$G193=""),"",TEXT($B193,"YYYYMMDD")&amp;"-"&amp;SUBSTITUTE($E193," ","")&amp;"-"&amp;$F193&amp;"-"&amp;$G193)</f>
        <v/>
      </c>
      <c r="B193" s="15" t="n"/>
      <c r="C193" s="16" t="n"/>
      <c r="D193" s="10" t="n"/>
      <c r="E193" s="9" t="n"/>
      <c r="F193" s="9" t="n"/>
      <c r="G193" s="13" t="n"/>
      <c r="H193" s="21" t="n"/>
      <c r="I193" s="21" t="n"/>
      <c r="J193" s="17">
        <f>IF($G193="","",IFERROR(INDEX(NomsEmployes,MATCH($G193,MatriculesEmployes,0)),"MATRICULE INCONNU"))</f>
        <v/>
      </c>
      <c r="K193" s="33">
        <f>IF(OR($D193="",$F193=""),"",IFERROR(IF(INDEX(RUNS!$L$6:$S$1005,MATCH($D193,RUNS!$A$6:$A$1005,0),MATCH("ACTIVITÉ "&amp;$F193,RUNS!$L$5:$S$5,0))="","",INDEX(RUNS!$L$6:$S$1005,MATCH($D193,RUNS!$A$6:$A$1005,0),MATCH("ACTIVITÉ "&amp;$F193,RUNS!$L$5:$S$5,0))),""))</f>
        <v/>
      </c>
      <c r="L193" s="33">
        <f>IF($D193="","",IFERROR(IF(INDEX(RUNS!$E$6:$E$1005,MATCH($D193,RUNS!$A$6:$A$1005,0))="","",INDEX(RUNS!$E$6:$E$1005,MATCH($D193,RUNS!$A$6:$A$1005,0))),""))</f>
        <v/>
      </c>
      <c r="M193" s="33">
        <f>IF($D193="","",IFERROR(IF(INDEX(RUNS!$F$6:$F$1005,MATCH($D193,RUNS!$A$6:$A$1005,0))="","",INDEX(RUNS!$F$6:$F$1005,MATCH($D193,RUNS!$A$6:$A$1005,0))),""))</f>
        <v/>
      </c>
      <c r="N193" s="33">
        <f>IF($D193="","",IFERROR(IF(INDEX(RUNS!$G$6:$G$1005,MATCH($D193,RUNS!$A$6:$A$1005,0))="","",INDEX(RUNS!$G$6:$G$1005,MATCH($D193,RUNS!$A$6:$A$1005,0))),""))</f>
        <v/>
      </c>
      <c r="O193" s="33">
        <f>IF($D193="","",IFERROR(IF(INDEX(RUNS!$H$6:$H$1005,MATCH($D193,RUNS!$A$6:$A$1005,0))="","",INDEX(RUNS!$H$6:$H$1005,MATCH($D193,RUNS!$A$6:$A$1005,0))),""))</f>
        <v/>
      </c>
      <c r="P193" s="33">
        <f>IF($D193="","",IFERROR(IF(INDEX(RUNS!$J$6:$J$1005,MATCH($D193,RUNS!$A$6:$A$1005,0))="","",INDEX(RUNS!$J$6:$J$1005,MATCH($D193,RUNS!$A$6:$A$1005,0))),""))</f>
        <v/>
      </c>
      <c r="Q193" s="33">
        <f>IF($D193="","",IFERROR(IF(INDEX(RUNS!$K$6:$K$1005,MATCH($D193,RUNS!$A$6:$A$1005,0))="","",INDEX(RUNS!$K$6:$K$1005,MATCH($D193,RUNS!$A$6:$A$1005,0))),""))</f>
        <v/>
      </c>
      <c r="R193" s="34">
        <f>IF(OR($L193="",$K193=""),"",IFERROR(IF(INDEX(PARAMETRES!$H$43:$H$342,MATCH($L193&amp;"|"&amp;$M193&amp;"|"&amp;$N193&amp;"|"&amp;$O193&amp;"|"&amp;$P193&amp;"|"&amp;$Q193&amp;"|"&amp;$K193,PARAMETRES!$J$43:$J$342,0))="","",INDEX(PARAMETRES!$H$43:$H$342,MATCH($L193&amp;"|"&amp;$M193&amp;"|"&amp;$N193&amp;"|"&amp;$O193&amp;"|"&amp;$P193&amp;"|"&amp;$Q193&amp;"|"&amp;$K193,PARAMETRES!$J$43:$J$342,0))),""))</f>
        <v/>
      </c>
      <c r="S193" s="35">
        <f>IF(OR($G193="",$X193&lt;&gt;"VALIDE"),"",IFERROR(LOOKUP(2,1/(($B$3:$B192=$B193)*($G$3:$G192=$G193)*($X$3:$X192="VALIDE")),$C$3:$C192),""))</f>
        <v/>
      </c>
      <c r="T193" s="36">
        <f>IF(OR($C193="",$S193=""),"",ROUND(($C193-$S193+IF($C193&lt;$S193,1,0))*1440,0))</f>
        <v/>
      </c>
      <c r="U193" s="22">
        <f>IF(OR($H193="",$T193="",$T193&lt;=0),"",$H193*60/$T193)</f>
        <v/>
      </c>
      <c r="V193" s="37">
        <f>IF(OR($U193="",$R193="",$R193=0),"",$U193/$R193)</f>
        <v/>
      </c>
      <c r="W193" s="20">
        <f>IF($G193="","",IF($X193="CONTEXTE INCOMPLET","CONTEXTE INCOMPLET",IF($X193="DOUBLON",StatutDoublon,IF($S193="",StatutInitial,IF($R193="",StatutStandardManquant,IF($V193="","DONNEES INSUFFISANTES",IF($V193&gt;=SeuilConforme,StatutConforme,IF($V193&gt;=SeuilSurveiller,StatutSurveiller,StatutSousStandard))))))))</f>
        <v/>
      </c>
      <c r="X193" s="33">
        <f>IF($G193="","",IF(OR($D193="",$E193="",$F193=""),"CONTEXTE INCOMPLET",IF(COUNTIFS($D$3:$D192,$D193,$E$3:$E192,$E193,$F$3:$F192,$F193,$G$3:$G192,$G193)&gt;0,"DOUBLON","VALIDE")))</f>
        <v/>
      </c>
    </row>
    <row r="194" ht="15" customHeight="1">
      <c r="A194" s="12">
        <f>IF(OR($B194="",$G194=""),"",TEXT($B194,"YYYYMMDD")&amp;"-"&amp;SUBSTITUTE($E194," ","")&amp;"-"&amp;$F194&amp;"-"&amp;$G194)</f>
        <v/>
      </c>
      <c r="B194" s="15" t="n"/>
      <c r="C194" s="16" t="n"/>
      <c r="D194" s="10" t="n"/>
      <c r="E194" s="9" t="n"/>
      <c r="F194" s="9" t="n"/>
      <c r="G194" s="13" t="n"/>
      <c r="H194" s="21" t="n"/>
      <c r="I194" s="21" t="n"/>
      <c r="J194" s="17">
        <f>IF($G194="","",IFERROR(INDEX(NomsEmployes,MATCH($G194,MatriculesEmployes,0)),"MATRICULE INCONNU"))</f>
        <v/>
      </c>
      <c r="K194" s="33">
        <f>IF(OR($D194="",$F194=""),"",IFERROR(IF(INDEX(RUNS!$L$6:$S$1005,MATCH($D194,RUNS!$A$6:$A$1005,0),MATCH("ACTIVITÉ "&amp;$F194,RUNS!$L$5:$S$5,0))="","",INDEX(RUNS!$L$6:$S$1005,MATCH($D194,RUNS!$A$6:$A$1005,0),MATCH("ACTIVITÉ "&amp;$F194,RUNS!$L$5:$S$5,0))),""))</f>
        <v/>
      </c>
      <c r="L194" s="33">
        <f>IF($D194="","",IFERROR(IF(INDEX(RUNS!$E$6:$E$1005,MATCH($D194,RUNS!$A$6:$A$1005,0))="","",INDEX(RUNS!$E$6:$E$1005,MATCH($D194,RUNS!$A$6:$A$1005,0))),""))</f>
        <v/>
      </c>
      <c r="M194" s="33">
        <f>IF($D194="","",IFERROR(IF(INDEX(RUNS!$F$6:$F$1005,MATCH($D194,RUNS!$A$6:$A$1005,0))="","",INDEX(RUNS!$F$6:$F$1005,MATCH($D194,RUNS!$A$6:$A$1005,0))),""))</f>
        <v/>
      </c>
      <c r="N194" s="33">
        <f>IF($D194="","",IFERROR(IF(INDEX(RUNS!$G$6:$G$1005,MATCH($D194,RUNS!$A$6:$A$1005,0))="","",INDEX(RUNS!$G$6:$G$1005,MATCH($D194,RUNS!$A$6:$A$1005,0))),""))</f>
        <v/>
      </c>
      <c r="O194" s="33">
        <f>IF($D194="","",IFERROR(IF(INDEX(RUNS!$H$6:$H$1005,MATCH($D194,RUNS!$A$6:$A$1005,0))="","",INDEX(RUNS!$H$6:$H$1005,MATCH($D194,RUNS!$A$6:$A$1005,0))),""))</f>
        <v/>
      </c>
      <c r="P194" s="33">
        <f>IF($D194="","",IFERROR(IF(INDEX(RUNS!$J$6:$J$1005,MATCH($D194,RUNS!$A$6:$A$1005,0))="","",INDEX(RUNS!$J$6:$J$1005,MATCH($D194,RUNS!$A$6:$A$1005,0))),""))</f>
        <v/>
      </c>
      <c r="Q194" s="33">
        <f>IF($D194="","",IFERROR(IF(INDEX(RUNS!$K$6:$K$1005,MATCH($D194,RUNS!$A$6:$A$1005,0))="","",INDEX(RUNS!$K$6:$K$1005,MATCH($D194,RUNS!$A$6:$A$1005,0))),""))</f>
        <v/>
      </c>
      <c r="R194" s="34">
        <f>IF(OR($L194="",$K194=""),"",IFERROR(IF(INDEX(PARAMETRES!$H$43:$H$342,MATCH($L194&amp;"|"&amp;$M194&amp;"|"&amp;$N194&amp;"|"&amp;$O194&amp;"|"&amp;$P194&amp;"|"&amp;$Q194&amp;"|"&amp;$K194,PARAMETRES!$J$43:$J$342,0))="","",INDEX(PARAMETRES!$H$43:$H$342,MATCH($L194&amp;"|"&amp;$M194&amp;"|"&amp;$N194&amp;"|"&amp;$O194&amp;"|"&amp;$P194&amp;"|"&amp;$Q194&amp;"|"&amp;$K194,PARAMETRES!$J$43:$J$342,0))),""))</f>
        <v/>
      </c>
      <c r="S194" s="35">
        <f>IF(OR($G194="",$X194&lt;&gt;"VALIDE"),"",IFERROR(LOOKUP(2,1/(($B$3:$B193=$B194)*($G$3:$G193=$G194)*($X$3:$X193="VALIDE")),$C$3:$C193),""))</f>
        <v/>
      </c>
      <c r="T194" s="36">
        <f>IF(OR($C194="",$S194=""),"",ROUND(($C194-$S194+IF($C194&lt;$S194,1,0))*1440,0))</f>
        <v/>
      </c>
      <c r="U194" s="22">
        <f>IF(OR($H194="",$T194="",$T194&lt;=0),"",$H194*60/$T194)</f>
        <v/>
      </c>
      <c r="V194" s="37">
        <f>IF(OR($U194="",$R194="",$R194=0),"",$U194/$R194)</f>
        <v/>
      </c>
      <c r="W194" s="20">
        <f>IF($G194="","",IF($X194="CONTEXTE INCOMPLET","CONTEXTE INCOMPLET",IF($X194="DOUBLON",StatutDoublon,IF($S194="",StatutInitial,IF($R194="",StatutStandardManquant,IF($V194="","DONNEES INSUFFISANTES",IF($V194&gt;=SeuilConforme,StatutConforme,IF($V194&gt;=SeuilSurveiller,StatutSurveiller,StatutSousStandard))))))))</f>
        <v/>
      </c>
      <c r="X194" s="33">
        <f>IF($G194="","",IF(OR($D194="",$E194="",$F194=""),"CONTEXTE INCOMPLET",IF(COUNTIFS($D$3:$D193,$D194,$E$3:$E193,$E194,$F$3:$F193,$F194,$G$3:$G193,$G194)&gt;0,"DOUBLON","VALIDE")))</f>
        <v/>
      </c>
    </row>
    <row r="195" ht="15" customHeight="1">
      <c r="A195" s="12">
        <f>IF(OR($B195="",$G195=""),"",TEXT($B195,"YYYYMMDD")&amp;"-"&amp;SUBSTITUTE($E195," ","")&amp;"-"&amp;$F195&amp;"-"&amp;$G195)</f>
        <v/>
      </c>
      <c r="B195" s="15" t="n"/>
      <c r="C195" s="16" t="n"/>
      <c r="D195" s="10" t="n"/>
      <c r="E195" s="9" t="n"/>
      <c r="F195" s="9" t="n"/>
      <c r="G195" s="13" t="n"/>
      <c r="H195" s="21" t="n"/>
      <c r="I195" s="21" t="n"/>
      <c r="J195" s="17">
        <f>IF($G195="","",IFERROR(INDEX(NomsEmployes,MATCH($G195,MatriculesEmployes,0)),"MATRICULE INCONNU"))</f>
        <v/>
      </c>
      <c r="K195" s="33">
        <f>IF(OR($D195="",$F195=""),"",IFERROR(IF(INDEX(RUNS!$L$6:$S$1005,MATCH($D195,RUNS!$A$6:$A$1005,0),MATCH("ACTIVITÉ "&amp;$F195,RUNS!$L$5:$S$5,0))="","",INDEX(RUNS!$L$6:$S$1005,MATCH($D195,RUNS!$A$6:$A$1005,0),MATCH("ACTIVITÉ "&amp;$F195,RUNS!$L$5:$S$5,0))),""))</f>
        <v/>
      </c>
      <c r="L195" s="33">
        <f>IF($D195="","",IFERROR(IF(INDEX(RUNS!$E$6:$E$1005,MATCH($D195,RUNS!$A$6:$A$1005,0))="","",INDEX(RUNS!$E$6:$E$1005,MATCH($D195,RUNS!$A$6:$A$1005,0))),""))</f>
        <v/>
      </c>
      <c r="M195" s="33">
        <f>IF($D195="","",IFERROR(IF(INDEX(RUNS!$F$6:$F$1005,MATCH($D195,RUNS!$A$6:$A$1005,0))="","",INDEX(RUNS!$F$6:$F$1005,MATCH($D195,RUNS!$A$6:$A$1005,0))),""))</f>
        <v/>
      </c>
      <c r="N195" s="33">
        <f>IF($D195="","",IFERROR(IF(INDEX(RUNS!$G$6:$G$1005,MATCH($D195,RUNS!$A$6:$A$1005,0))="","",INDEX(RUNS!$G$6:$G$1005,MATCH($D195,RUNS!$A$6:$A$1005,0))),""))</f>
        <v/>
      </c>
      <c r="O195" s="33">
        <f>IF($D195="","",IFERROR(IF(INDEX(RUNS!$H$6:$H$1005,MATCH($D195,RUNS!$A$6:$A$1005,0))="","",INDEX(RUNS!$H$6:$H$1005,MATCH($D195,RUNS!$A$6:$A$1005,0))),""))</f>
        <v/>
      </c>
      <c r="P195" s="33">
        <f>IF($D195="","",IFERROR(IF(INDEX(RUNS!$J$6:$J$1005,MATCH($D195,RUNS!$A$6:$A$1005,0))="","",INDEX(RUNS!$J$6:$J$1005,MATCH($D195,RUNS!$A$6:$A$1005,0))),""))</f>
        <v/>
      </c>
      <c r="Q195" s="33">
        <f>IF($D195="","",IFERROR(IF(INDEX(RUNS!$K$6:$K$1005,MATCH($D195,RUNS!$A$6:$A$1005,0))="","",INDEX(RUNS!$K$6:$K$1005,MATCH($D195,RUNS!$A$6:$A$1005,0))),""))</f>
        <v/>
      </c>
      <c r="R195" s="34">
        <f>IF(OR($L195="",$K195=""),"",IFERROR(IF(INDEX(PARAMETRES!$H$43:$H$342,MATCH($L195&amp;"|"&amp;$M195&amp;"|"&amp;$N195&amp;"|"&amp;$O195&amp;"|"&amp;$P195&amp;"|"&amp;$Q195&amp;"|"&amp;$K195,PARAMETRES!$J$43:$J$342,0))="","",INDEX(PARAMETRES!$H$43:$H$342,MATCH($L195&amp;"|"&amp;$M195&amp;"|"&amp;$N195&amp;"|"&amp;$O195&amp;"|"&amp;$P195&amp;"|"&amp;$Q195&amp;"|"&amp;$K195,PARAMETRES!$J$43:$J$342,0))),""))</f>
        <v/>
      </c>
      <c r="S195" s="35">
        <f>IF(OR($G195="",$X195&lt;&gt;"VALIDE"),"",IFERROR(LOOKUP(2,1/(($B$3:$B194=$B195)*($G$3:$G194=$G195)*($X$3:$X194="VALIDE")),$C$3:$C194),""))</f>
        <v/>
      </c>
      <c r="T195" s="36">
        <f>IF(OR($C195="",$S195=""),"",ROUND(($C195-$S195+IF($C195&lt;$S195,1,0))*1440,0))</f>
        <v/>
      </c>
      <c r="U195" s="22">
        <f>IF(OR($H195="",$T195="",$T195&lt;=0),"",$H195*60/$T195)</f>
        <v/>
      </c>
      <c r="V195" s="37">
        <f>IF(OR($U195="",$R195="",$R195=0),"",$U195/$R195)</f>
        <v/>
      </c>
      <c r="W195" s="20">
        <f>IF($G195="","",IF($X195="CONTEXTE INCOMPLET","CONTEXTE INCOMPLET",IF($X195="DOUBLON",StatutDoublon,IF($S195="",StatutInitial,IF($R195="",StatutStandardManquant,IF($V195="","DONNEES INSUFFISANTES",IF($V195&gt;=SeuilConforme,StatutConforme,IF($V195&gt;=SeuilSurveiller,StatutSurveiller,StatutSousStandard))))))))</f>
        <v/>
      </c>
      <c r="X195" s="33">
        <f>IF($G195="","",IF(OR($D195="",$E195="",$F195=""),"CONTEXTE INCOMPLET",IF(COUNTIFS($D$3:$D194,$D195,$E$3:$E194,$E195,$F$3:$F194,$F195,$G$3:$G194,$G195)&gt;0,"DOUBLON","VALIDE")))</f>
        <v/>
      </c>
    </row>
    <row r="196" ht="15" customHeight="1">
      <c r="A196" s="12">
        <f>IF(OR($B196="",$G196=""),"",TEXT($B196,"YYYYMMDD")&amp;"-"&amp;SUBSTITUTE($E196," ","")&amp;"-"&amp;$F196&amp;"-"&amp;$G196)</f>
        <v/>
      </c>
      <c r="B196" s="15" t="n"/>
      <c r="C196" s="16" t="n"/>
      <c r="D196" s="10" t="n"/>
      <c r="E196" s="9" t="n"/>
      <c r="F196" s="9" t="n"/>
      <c r="G196" s="13" t="n"/>
      <c r="H196" s="21" t="n"/>
      <c r="I196" s="21" t="n"/>
      <c r="J196" s="17">
        <f>IF($G196="","",IFERROR(INDEX(NomsEmployes,MATCH($G196,MatriculesEmployes,0)),"MATRICULE INCONNU"))</f>
        <v/>
      </c>
      <c r="K196" s="33">
        <f>IF(OR($D196="",$F196=""),"",IFERROR(IF(INDEX(RUNS!$L$6:$S$1005,MATCH($D196,RUNS!$A$6:$A$1005,0),MATCH("ACTIVITÉ "&amp;$F196,RUNS!$L$5:$S$5,0))="","",INDEX(RUNS!$L$6:$S$1005,MATCH($D196,RUNS!$A$6:$A$1005,0),MATCH("ACTIVITÉ "&amp;$F196,RUNS!$L$5:$S$5,0))),""))</f>
        <v/>
      </c>
      <c r="L196" s="33">
        <f>IF($D196="","",IFERROR(IF(INDEX(RUNS!$E$6:$E$1005,MATCH($D196,RUNS!$A$6:$A$1005,0))="","",INDEX(RUNS!$E$6:$E$1005,MATCH($D196,RUNS!$A$6:$A$1005,0))),""))</f>
        <v/>
      </c>
      <c r="M196" s="33">
        <f>IF($D196="","",IFERROR(IF(INDEX(RUNS!$F$6:$F$1005,MATCH($D196,RUNS!$A$6:$A$1005,0))="","",INDEX(RUNS!$F$6:$F$1005,MATCH($D196,RUNS!$A$6:$A$1005,0))),""))</f>
        <v/>
      </c>
      <c r="N196" s="33">
        <f>IF($D196="","",IFERROR(IF(INDEX(RUNS!$G$6:$G$1005,MATCH($D196,RUNS!$A$6:$A$1005,0))="","",INDEX(RUNS!$G$6:$G$1005,MATCH($D196,RUNS!$A$6:$A$1005,0))),""))</f>
        <v/>
      </c>
      <c r="O196" s="33">
        <f>IF($D196="","",IFERROR(IF(INDEX(RUNS!$H$6:$H$1005,MATCH($D196,RUNS!$A$6:$A$1005,0))="","",INDEX(RUNS!$H$6:$H$1005,MATCH($D196,RUNS!$A$6:$A$1005,0))),""))</f>
        <v/>
      </c>
      <c r="P196" s="33">
        <f>IF($D196="","",IFERROR(IF(INDEX(RUNS!$J$6:$J$1005,MATCH($D196,RUNS!$A$6:$A$1005,0))="","",INDEX(RUNS!$J$6:$J$1005,MATCH($D196,RUNS!$A$6:$A$1005,0))),""))</f>
        <v/>
      </c>
      <c r="Q196" s="33">
        <f>IF($D196="","",IFERROR(IF(INDEX(RUNS!$K$6:$K$1005,MATCH($D196,RUNS!$A$6:$A$1005,0))="","",INDEX(RUNS!$K$6:$K$1005,MATCH($D196,RUNS!$A$6:$A$1005,0))),""))</f>
        <v/>
      </c>
      <c r="R196" s="34">
        <f>IF(OR($L196="",$K196=""),"",IFERROR(IF(INDEX(PARAMETRES!$H$43:$H$342,MATCH($L196&amp;"|"&amp;$M196&amp;"|"&amp;$N196&amp;"|"&amp;$O196&amp;"|"&amp;$P196&amp;"|"&amp;$Q196&amp;"|"&amp;$K196,PARAMETRES!$J$43:$J$342,0))="","",INDEX(PARAMETRES!$H$43:$H$342,MATCH($L196&amp;"|"&amp;$M196&amp;"|"&amp;$N196&amp;"|"&amp;$O196&amp;"|"&amp;$P196&amp;"|"&amp;$Q196&amp;"|"&amp;$K196,PARAMETRES!$J$43:$J$342,0))),""))</f>
        <v/>
      </c>
      <c r="S196" s="35">
        <f>IF(OR($G196="",$X196&lt;&gt;"VALIDE"),"",IFERROR(LOOKUP(2,1/(($B$3:$B195=$B196)*($G$3:$G195=$G196)*($X$3:$X195="VALIDE")),$C$3:$C195),""))</f>
        <v/>
      </c>
      <c r="T196" s="36">
        <f>IF(OR($C196="",$S196=""),"",ROUND(($C196-$S196+IF($C196&lt;$S196,1,0))*1440,0))</f>
        <v/>
      </c>
      <c r="U196" s="22">
        <f>IF(OR($H196="",$T196="",$T196&lt;=0),"",$H196*60/$T196)</f>
        <v/>
      </c>
      <c r="V196" s="37">
        <f>IF(OR($U196="",$R196="",$R196=0),"",$U196/$R196)</f>
        <v/>
      </c>
      <c r="W196" s="20">
        <f>IF($G196="","",IF($X196="CONTEXTE INCOMPLET","CONTEXTE INCOMPLET",IF($X196="DOUBLON",StatutDoublon,IF($S196="",StatutInitial,IF($R196="",StatutStandardManquant,IF($V196="","DONNEES INSUFFISANTES",IF($V196&gt;=SeuilConforme,StatutConforme,IF($V196&gt;=SeuilSurveiller,StatutSurveiller,StatutSousStandard))))))))</f>
        <v/>
      </c>
      <c r="X196" s="33">
        <f>IF($G196="","",IF(OR($D196="",$E196="",$F196=""),"CONTEXTE INCOMPLET",IF(COUNTIFS($D$3:$D195,$D196,$E$3:$E195,$E196,$F$3:$F195,$F196,$G$3:$G195,$G196)&gt;0,"DOUBLON","VALIDE")))</f>
        <v/>
      </c>
    </row>
    <row r="197" ht="15" customHeight="1">
      <c r="A197" s="12">
        <f>IF(OR($B197="",$G197=""),"",TEXT($B197,"YYYYMMDD")&amp;"-"&amp;SUBSTITUTE($E197," ","")&amp;"-"&amp;$F197&amp;"-"&amp;$G197)</f>
        <v/>
      </c>
      <c r="B197" s="15" t="n"/>
      <c r="C197" s="16" t="n"/>
      <c r="D197" s="10" t="n"/>
      <c r="E197" s="9" t="n"/>
      <c r="F197" s="9" t="n"/>
      <c r="G197" s="13" t="n"/>
      <c r="H197" s="21" t="n"/>
      <c r="I197" s="21" t="n"/>
      <c r="J197" s="17">
        <f>IF($G197="","",IFERROR(INDEX(NomsEmployes,MATCH($G197,MatriculesEmployes,0)),"MATRICULE INCONNU"))</f>
        <v/>
      </c>
      <c r="K197" s="33">
        <f>IF(OR($D197="",$F197=""),"",IFERROR(IF(INDEX(RUNS!$L$6:$S$1005,MATCH($D197,RUNS!$A$6:$A$1005,0),MATCH("ACTIVITÉ "&amp;$F197,RUNS!$L$5:$S$5,0))="","",INDEX(RUNS!$L$6:$S$1005,MATCH($D197,RUNS!$A$6:$A$1005,0),MATCH("ACTIVITÉ "&amp;$F197,RUNS!$L$5:$S$5,0))),""))</f>
        <v/>
      </c>
      <c r="L197" s="33">
        <f>IF($D197="","",IFERROR(IF(INDEX(RUNS!$E$6:$E$1005,MATCH($D197,RUNS!$A$6:$A$1005,0))="","",INDEX(RUNS!$E$6:$E$1005,MATCH($D197,RUNS!$A$6:$A$1005,0))),""))</f>
        <v/>
      </c>
      <c r="M197" s="33">
        <f>IF($D197="","",IFERROR(IF(INDEX(RUNS!$F$6:$F$1005,MATCH($D197,RUNS!$A$6:$A$1005,0))="","",INDEX(RUNS!$F$6:$F$1005,MATCH($D197,RUNS!$A$6:$A$1005,0))),""))</f>
        <v/>
      </c>
      <c r="N197" s="33">
        <f>IF($D197="","",IFERROR(IF(INDEX(RUNS!$G$6:$G$1005,MATCH($D197,RUNS!$A$6:$A$1005,0))="","",INDEX(RUNS!$G$6:$G$1005,MATCH($D197,RUNS!$A$6:$A$1005,0))),""))</f>
        <v/>
      </c>
      <c r="O197" s="33">
        <f>IF($D197="","",IFERROR(IF(INDEX(RUNS!$H$6:$H$1005,MATCH($D197,RUNS!$A$6:$A$1005,0))="","",INDEX(RUNS!$H$6:$H$1005,MATCH($D197,RUNS!$A$6:$A$1005,0))),""))</f>
        <v/>
      </c>
      <c r="P197" s="33">
        <f>IF($D197="","",IFERROR(IF(INDEX(RUNS!$J$6:$J$1005,MATCH($D197,RUNS!$A$6:$A$1005,0))="","",INDEX(RUNS!$J$6:$J$1005,MATCH($D197,RUNS!$A$6:$A$1005,0))),""))</f>
        <v/>
      </c>
      <c r="Q197" s="33">
        <f>IF($D197="","",IFERROR(IF(INDEX(RUNS!$K$6:$K$1005,MATCH($D197,RUNS!$A$6:$A$1005,0))="","",INDEX(RUNS!$K$6:$K$1005,MATCH($D197,RUNS!$A$6:$A$1005,0))),""))</f>
        <v/>
      </c>
      <c r="R197" s="34">
        <f>IF(OR($L197="",$K197=""),"",IFERROR(IF(INDEX(PARAMETRES!$H$43:$H$342,MATCH($L197&amp;"|"&amp;$M197&amp;"|"&amp;$N197&amp;"|"&amp;$O197&amp;"|"&amp;$P197&amp;"|"&amp;$Q197&amp;"|"&amp;$K197,PARAMETRES!$J$43:$J$342,0))="","",INDEX(PARAMETRES!$H$43:$H$342,MATCH($L197&amp;"|"&amp;$M197&amp;"|"&amp;$N197&amp;"|"&amp;$O197&amp;"|"&amp;$P197&amp;"|"&amp;$Q197&amp;"|"&amp;$K197,PARAMETRES!$J$43:$J$342,0))),""))</f>
        <v/>
      </c>
      <c r="S197" s="35">
        <f>IF(OR($G197="",$X197&lt;&gt;"VALIDE"),"",IFERROR(LOOKUP(2,1/(($B$3:$B196=$B197)*($G$3:$G196=$G197)*($X$3:$X196="VALIDE")),$C$3:$C196),""))</f>
        <v/>
      </c>
      <c r="T197" s="36">
        <f>IF(OR($C197="",$S197=""),"",ROUND(($C197-$S197+IF($C197&lt;$S197,1,0))*1440,0))</f>
        <v/>
      </c>
      <c r="U197" s="22">
        <f>IF(OR($H197="",$T197="",$T197&lt;=0),"",$H197*60/$T197)</f>
        <v/>
      </c>
      <c r="V197" s="37">
        <f>IF(OR($U197="",$R197="",$R197=0),"",$U197/$R197)</f>
        <v/>
      </c>
      <c r="W197" s="20">
        <f>IF($G197="","",IF($X197="CONTEXTE INCOMPLET","CONTEXTE INCOMPLET",IF($X197="DOUBLON",StatutDoublon,IF($S197="",StatutInitial,IF($R197="",StatutStandardManquant,IF($V197="","DONNEES INSUFFISANTES",IF($V197&gt;=SeuilConforme,StatutConforme,IF($V197&gt;=SeuilSurveiller,StatutSurveiller,StatutSousStandard))))))))</f>
        <v/>
      </c>
      <c r="X197" s="33">
        <f>IF($G197="","",IF(OR($D197="",$E197="",$F197=""),"CONTEXTE INCOMPLET",IF(COUNTIFS($D$3:$D196,$D197,$E$3:$E196,$E197,$F$3:$F196,$F197,$G$3:$G196,$G197)&gt;0,"DOUBLON","VALIDE")))</f>
        <v/>
      </c>
    </row>
    <row r="198" ht="15" customHeight="1">
      <c r="A198" s="12">
        <f>IF(OR($B198="",$G198=""),"",TEXT($B198,"YYYYMMDD")&amp;"-"&amp;SUBSTITUTE($E198," ","")&amp;"-"&amp;$F198&amp;"-"&amp;$G198)</f>
        <v/>
      </c>
      <c r="B198" s="15" t="n"/>
      <c r="C198" s="16" t="n"/>
      <c r="D198" s="10" t="n"/>
      <c r="E198" s="9" t="n"/>
      <c r="F198" s="9" t="n"/>
      <c r="G198" s="13" t="n"/>
      <c r="H198" s="21" t="n"/>
      <c r="I198" s="21" t="n"/>
      <c r="J198" s="17">
        <f>IF($G198="","",IFERROR(INDEX(NomsEmployes,MATCH($G198,MatriculesEmployes,0)),"MATRICULE INCONNU"))</f>
        <v/>
      </c>
      <c r="K198" s="33">
        <f>IF(OR($D198="",$F198=""),"",IFERROR(IF(INDEX(RUNS!$L$6:$S$1005,MATCH($D198,RUNS!$A$6:$A$1005,0),MATCH("ACTIVITÉ "&amp;$F198,RUNS!$L$5:$S$5,0))="","",INDEX(RUNS!$L$6:$S$1005,MATCH($D198,RUNS!$A$6:$A$1005,0),MATCH("ACTIVITÉ "&amp;$F198,RUNS!$L$5:$S$5,0))),""))</f>
        <v/>
      </c>
      <c r="L198" s="33">
        <f>IF($D198="","",IFERROR(IF(INDEX(RUNS!$E$6:$E$1005,MATCH($D198,RUNS!$A$6:$A$1005,0))="","",INDEX(RUNS!$E$6:$E$1005,MATCH($D198,RUNS!$A$6:$A$1005,0))),""))</f>
        <v/>
      </c>
      <c r="M198" s="33">
        <f>IF($D198="","",IFERROR(IF(INDEX(RUNS!$F$6:$F$1005,MATCH($D198,RUNS!$A$6:$A$1005,0))="","",INDEX(RUNS!$F$6:$F$1005,MATCH($D198,RUNS!$A$6:$A$1005,0))),""))</f>
        <v/>
      </c>
      <c r="N198" s="33">
        <f>IF($D198="","",IFERROR(IF(INDEX(RUNS!$G$6:$G$1005,MATCH($D198,RUNS!$A$6:$A$1005,0))="","",INDEX(RUNS!$G$6:$G$1005,MATCH($D198,RUNS!$A$6:$A$1005,0))),""))</f>
        <v/>
      </c>
      <c r="O198" s="33">
        <f>IF($D198="","",IFERROR(IF(INDEX(RUNS!$H$6:$H$1005,MATCH($D198,RUNS!$A$6:$A$1005,0))="","",INDEX(RUNS!$H$6:$H$1005,MATCH($D198,RUNS!$A$6:$A$1005,0))),""))</f>
        <v/>
      </c>
      <c r="P198" s="33">
        <f>IF($D198="","",IFERROR(IF(INDEX(RUNS!$J$6:$J$1005,MATCH($D198,RUNS!$A$6:$A$1005,0))="","",INDEX(RUNS!$J$6:$J$1005,MATCH($D198,RUNS!$A$6:$A$1005,0))),""))</f>
        <v/>
      </c>
      <c r="Q198" s="33">
        <f>IF($D198="","",IFERROR(IF(INDEX(RUNS!$K$6:$K$1005,MATCH($D198,RUNS!$A$6:$A$1005,0))="","",INDEX(RUNS!$K$6:$K$1005,MATCH($D198,RUNS!$A$6:$A$1005,0))),""))</f>
        <v/>
      </c>
      <c r="R198" s="34">
        <f>IF(OR($L198="",$K198=""),"",IFERROR(IF(INDEX(PARAMETRES!$H$43:$H$342,MATCH($L198&amp;"|"&amp;$M198&amp;"|"&amp;$N198&amp;"|"&amp;$O198&amp;"|"&amp;$P198&amp;"|"&amp;$Q198&amp;"|"&amp;$K198,PARAMETRES!$J$43:$J$342,0))="","",INDEX(PARAMETRES!$H$43:$H$342,MATCH($L198&amp;"|"&amp;$M198&amp;"|"&amp;$N198&amp;"|"&amp;$O198&amp;"|"&amp;$P198&amp;"|"&amp;$Q198&amp;"|"&amp;$K198,PARAMETRES!$J$43:$J$342,0))),""))</f>
        <v/>
      </c>
      <c r="S198" s="35">
        <f>IF(OR($G198="",$X198&lt;&gt;"VALIDE"),"",IFERROR(LOOKUP(2,1/(($B$3:$B197=$B198)*($G$3:$G197=$G198)*($X$3:$X197="VALIDE")),$C$3:$C197),""))</f>
        <v/>
      </c>
      <c r="T198" s="36">
        <f>IF(OR($C198="",$S198=""),"",ROUND(($C198-$S198+IF($C198&lt;$S198,1,0))*1440,0))</f>
        <v/>
      </c>
      <c r="U198" s="22">
        <f>IF(OR($H198="",$T198="",$T198&lt;=0),"",$H198*60/$T198)</f>
        <v/>
      </c>
      <c r="V198" s="37">
        <f>IF(OR($U198="",$R198="",$R198=0),"",$U198/$R198)</f>
        <v/>
      </c>
      <c r="W198" s="20">
        <f>IF($G198="","",IF($X198="CONTEXTE INCOMPLET","CONTEXTE INCOMPLET",IF($X198="DOUBLON",StatutDoublon,IF($S198="",StatutInitial,IF($R198="",StatutStandardManquant,IF($V198="","DONNEES INSUFFISANTES",IF($V198&gt;=SeuilConforme,StatutConforme,IF($V198&gt;=SeuilSurveiller,StatutSurveiller,StatutSousStandard))))))))</f>
        <v/>
      </c>
      <c r="X198" s="33">
        <f>IF($G198="","",IF(OR($D198="",$E198="",$F198=""),"CONTEXTE INCOMPLET",IF(COUNTIFS($D$3:$D197,$D198,$E$3:$E197,$E198,$F$3:$F197,$F198,$G$3:$G197,$G198)&gt;0,"DOUBLON","VALIDE")))</f>
        <v/>
      </c>
    </row>
    <row r="199" ht="15" customHeight="1">
      <c r="A199" s="12">
        <f>IF(OR($B199="",$G199=""),"",TEXT($B199,"YYYYMMDD")&amp;"-"&amp;SUBSTITUTE($E199," ","")&amp;"-"&amp;$F199&amp;"-"&amp;$G199)</f>
        <v/>
      </c>
      <c r="B199" s="15" t="n"/>
      <c r="C199" s="16" t="n"/>
      <c r="D199" s="10" t="n"/>
      <c r="E199" s="9" t="n"/>
      <c r="F199" s="9" t="n"/>
      <c r="G199" s="13" t="n"/>
      <c r="H199" s="21" t="n"/>
      <c r="I199" s="21" t="n"/>
      <c r="J199" s="17">
        <f>IF($G199="","",IFERROR(INDEX(NomsEmployes,MATCH($G199,MatriculesEmployes,0)),"MATRICULE INCONNU"))</f>
        <v/>
      </c>
      <c r="K199" s="33">
        <f>IF(OR($D199="",$F199=""),"",IFERROR(IF(INDEX(RUNS!$L$6:$S$1005,MATCH($D199,RUNS!$A$6:$A$1005,0),MATCH("ACTIVITÉ "&amp;$F199,RUNS!$L$5:$S$5,0))="","",INDEX(RUNS!$L$6:$S$1005,MATCH($D199,RUNS!$A$6:$A$1005,0),MATCH("ACTIVITÉ "&amp;$F199,RUNS!$L$5:$S$5,0))),""))</f>
        <v/>
      </c>
      <c r="L199" s="33">
        <f>IF($D199="","",IFERROR(IF(INDEX(RUNS!$E$6:$E$1005,MATCH($D199,RUNS!$A$6:$A$1005,0))="","",INDEX(RUNS!$E$6:$E$1005,MATCH($D199,RUNS!$A$6:$A$1005,0))),""))</f>
        <v/>
      </c>
      <c r="M199" s="33">
        <f>IF($D199="","",IFERROR(IF(INDEX(RUNS!$F$6:$F$1005,MATCH($D199,RUNS!$A$6:$A$1005,0))="","",INDEX(RUNS!$F$6:$F$1005,MATCH($D199,RUNS!$A$6:$A$1005,0))),""))</f>
        <v/>
      </c>
      <c r="N199" s="33">
        <f>IF($D199="","",IFERROR(IF(INDEX(RUNS!$G$6:$G$1005,MATCH($D199,RUNS!$A$6:$A$1005,0))="","",INDEX(RUNS!$G$6:$G$1005,MATCH($D199,RUNS!$A$6:$A$1005,0))),""))</f>
        <v/>
      </c>
      <c r="O199" s="33">
        <f>IF($D199="","",IFERROR(IF(INDEX(RUNS!$H$6:$H$1005,MATCH($D199,RUNS!$A$6:$A$1005,0))="","",INDEX(RUNS!$H$6:$H$1005,MATCH($D199,RUNS!$A$6:$A$1005,0))),""))</f>
        <v/>
      </c>
      <c r="P199" s="33">
        <f>IF($D199="","",IFERROR(IF(INDEX(RUNS!$J$6:$J$1005,MATCH($D199,RUNS!$A$6:$A$1005,0))="","",INDEX(RUNS!$J$6:$J$1005,MATCH($D199,RUNS!$A$6:$A$1005,0))),""))</f>
        <v/>
      </c>
      <c r="Q199" s="33">
        <f>IF($D199="","",IFERROR(IF(INDEX(RUNS!$K$6:$K$1005,MATCH($D199,RUNS!$A$6:$A$1005,0))="","",INDEX(RUNS!$K$6:$K$1005,MATCH($D199,RUNS!$A$6:$A$1005,0))),""))</f>
        <v/>
      </c>
      <c r="R199" s="34">
        <f>IF(OR($L199="",$K199=""),"",IFERROR(IF(INDEX(PARAMETRES!$H$43:$H$342,MATCH($L199&amp;"|"&amp;$M199&amp;"|"&amp;$N199&amp;"|"&amp;$O199&amp;"|"&amp;$P199&amp;"|"&amp;$Q199&amp;"|"&amp;$K199,PARAMETRES!$J$43:$J$342,0))="","",INDEX(PARAMETRES!$H$43:$H$342,MATCH($L199&amp;"|"&amp;$M199&amp;"|"&amp;$N199&amp;"|"&amp;$O199&amp;"|"&amp;$P199&amp;"|"&amp;$Q199&amp;"|"&amp;$K199,PARAMETRES!$J$43:$J$342,0))),""))</f>
        <v/>
      </c>
      <c r="S199" s="35">
        <f>IF(OR($G199="",$X199&lt;&gt;"VALIDE"),"",IFERROR(LOOKUP(2,1/(($B$3:$B198=$B199)*($G$3:$G198=$G199)*($X$3:$X198="VALIDE")),$C$3:$C198),""))</f>
        <v/>
      </c>
      <c r="T199" s="36">
        <f>IF(OR($C199="",$S199=""),"",ROUND(($C199-$S199+IF($C199&lt;$S199,1,0))*1440,0))</f>
        <v/>
      </c>
      <c r="U199" s="22">
        <f>IF(OR($H199="",$T199="",$T199&lt;=0),"",$H199*60/$T199)</f>
        <v/>
      </c>
      <c r="V199" s="37">
        <f>IF(OR($U199="",$R199="",$R199=0),"",$U199/$R199)</f>
        <v/>
      </c>
      <c r="W199" s="20">
        <f>IF($G199="","",IF($X199="CONTEXTE INCOMPLET","CONTEXTE INCOMPLET",IF($X199="DOUBLON",StatutDoublon,IF($S199="",StatutInitial,IF($R199="",StatutStandardManquant,IF($V199="","DONNEES INSUFFISANTES",IF($V199&gt;=SeuilConforme,StatutConforme,IF($V199&gt;=SeuilSurveiller,StatutSurveiller,StatutSousStandard))))))))</f>
        <v/>
      </c>
      <c r="X199" s="33">
        <f>IF($G199="","",IF(OR($D199="",$E199="",$F199=""),"CONTEXTE INCOMPLET",IF(COUNTIFS($D$3:$D198,$D199,$E$3:$E198,$E199,$F$3:$F198,$F199,$G$3:$G198,$G199)&gt;0,"DOUBLON","VALIDE")))</f>
        <v/>
      </c>
    </row>
    <row r="200" ht="15" customHeight="1">
      <c r="A200" s="12">
        <f>IF(OR($B200="",$G200=""),"",TEXT($B200,"YYYYMMDD")&amp;"-"&amp;SUBSTITUTE($E200," ","")&amp;"-"&amp;$F200&amp;"-"&amp;$G200)</f>
        <v/>
      </c>
      <c r="B200" s="15" t="n"/>
      <c r="C200" s="16" t="n"/>
      <c r="D200" s="10" t="n"/>
      <c r="E200" s="9" t="n"/>
      <c r="F200" s="9" t="n"/>
      <c r="G200" s="13" t="n"/>
      <c r="H200" s="21" t="n"/>
      <c r="I200" s="21" t="n"/>
      <c r="J200" s="17">
        <f>IF($G200="","",IFERROR(INDEX(NomsEmployes,MATCH($G200,MatriculesEmployes,0)),"MATRICULE INCONNU"))</f>
        <v/>
      </c>
      <c r="K200" s="33">
        <f>IF(OR($D200="",$F200=""),"",IFERROR(IF(INDEX(RUNS!$L$6:$S$1005,MATCH($D200,RUNS!$A$6:$A$1005,0),MATCH("ACTIVITÉ "&amp;$F200,RUNS!$L$5:$S$5,0))="","",INDEX(RUNS!$L$6:$S$1005,MATCH($D200,RUNS!$A$6:$A$1005,0),MATCH("ACTIVITÉ "&amp;$F200,RUNS!$L$5:$S$5,0))),""))</f>
        <v/>
      </c>
      <c r="L200" s="33">
        <f>IF($D200="","",IFERROR(IF(INDEX(RUNS!$E$6:$E$1005,MATCH($D200,RUNS!$A$6:$A$1005,0))="","",INDEX(RUNS!$E$6:$E$1005,MATCH($D200,RUNS!$A$6:$A$1005,0))),""))</f>
        <v/>
      </c>
      <c r="M200" s="33">
        <f>IF($D200="","",IFERROR(IF(INDEX(RUNS!$F$6:$F$1005,MATCH($D200,RUNS!$A$6:$A$1005,0))="","",INDEX(RUNS!$F$6:$F$1005,MATCH($D200,RUNS!$A$6:$A$1005,0))),""))</f>
        <v/>
      </c>
      <c r="N200" s="33">
        <f>IF($D200="","",IFERROR(IF(INDEX(RUNS!$G$6:$G$1005,MATCH($D200,RUNS!$A$6:$A$1005,0))="","",INDEX(RUNS!$G$6:$G$1005,MATCH($D200,RUNS!$A$6:$A$1005,0))),""))</f>
        <v/>
      </c>
      <c r="O200" s="33">
        <f>IF($D200="","",IFERROR(IF(INDEX(RUNS!$H$6:$H$1005,MATCH($D200,RUNS!$A$6:$A$1005,0))="","",INDEX(RUNS!$H$6:$H$1005,MATCH($D200,RUNS!$A$6:$A$1005,0))),""))</f>
        <v/>
      </c>
      <c r="P200" s="33">
        <f>IF($D200="","",IFERROR(IF(INDEX(RUNS!$J$6:$J$1005,MATCH($D200,RUNS!$A$6:$A$1005,0))="","",INDEX(RUNS!$J$6:$J$1005,MATCH($D200,RUNS!$A$6:$A$1005,0))),""))</f>
        <v/>
      </c>
      <c r="Q200" s="33">
        <f>IF($D200="","",IFERROR(IF(INDEX(RUNS!$K$6:$K$1005,MATCH($D200,RUNS!$A$6:$A$1005,0))="","",INDEX(RUNS!$K$6:$K$1005,MATCH($D200,RUNS!$A$6:$A$1005,0))),""))</f>
        <v/>
      </c>
      <c r="R200" s="34">
        <f>IF(OR($L200="",$K200=""),"",IFERROR(IF(INDEX(PARAMETRES!$H$43:$H$342,MATCH($L200&amp;"|"&amp;$M200&amp;"|"&amp;$N200&amp;"|"&amp;$O200&amp;"|"&amp;$P200&amp;"|"&amp;$Q200&amp;"|"&amp;$K200,PARAMETRES!$J$43:$J$342,0))="","",INDEX(PARAMETRES!$H$43:$H$342,MATCH($L200&amp;"|"&amp;$M200&amp;"|"&amp;$N200&amp;"|"&amp;$O200&amp;"|"&amp;$P200&amp;"|"&amp;$Q200&amp;"|"&amp;$K200,PARAMETRES!$J$43:$J$342,0))),""))</f>
        <v/>
      </c>
      <c r="S200" s="35">
        <f>IF(OR($G200="",$X200&lt;&gt;"VALIDE"),"",IFERROR(LOOKUP(2,1/(($B$3:$B199=$B200)*($G$3:$G199=$G200)*($X$3:$X199="VALIDE")),$C$3:$C199),""))</f>
        <v/>
      </c>
      <c r="T200" s="36">
        <f>IF(OR($C200="",$S200=""),"",ROUND(($C200-$S200+IF($C200&lt;$S200,1,0))*1440,0))</f>
        <v/>
      </c>
      <c r="U200" s="22">
        <f>IF(OR($H200="",$T200="",$T200&lt;=0),"",$H200*60/$T200)</f>
        <v/>
      </c>
      <c r="V200" s="37">
        <f>IF(OR($U200="",$R200="",$R200=0),"",$U200/$R200)</f>
        <v/>
      </c>
      <c r="W200" s="20">
        <f>IF($G200="","",IF($X200="CONTEXTE INCOMPLET","CONTEXTE INCOMPLET",IF($X200="DOUBLON",StatutDoublon,IF($S200="",StatutInitial,IF($R200="",StatutStandardManquant,IF($V200="","DONNEES INSUFFISANTES",IF($V200&gt;=SeuilConforme,StatutConforme,IF($V200&gt;=SeuilSurveiller,StatutSurveiller,StatutSousStandard))))))))</f>
        <v/>
      </c>
      <c r="X200" s="33">
        <f>IF($G200="","",IF(OR($D200="",$E200="",$F200=""),"CONTEXTE INCOMPLET",IF(COUNTIFS($D$3:$D199,$D200,$E$3:$E199,$E200,$F$3:$F199,$F200,$G$3:$G199,$G200)&gt;0,"DOUBLON","VALIDE")))</f>
        <v/>
      </c>
    </row>
    <row r="201" ht="15" customHeight="1">
      <c r="A201" s="12">
        <f>IF(OR($B201="",$G201=""),"",TEXT($B201,"YYYYMMDD")&amp;"-"&amp;SUBSTITUTE($E201," ","")&amp;"-"&amp;$F201&amp;"-"&amp;$G201)</f>
        <v/>
      </c>
      <c r="B201" s="15" t="n"/>
      <c r="C201" s="16" t="n"/>
      <c r="D201" s="10" t="n"/>
      <c r="E201" s="9" t="n"/>
      <c r="F201" s="9" t="n"/>
      <c r="G201" s="13" t="n"/>
      <c r="H201" s="21" t="n"/>
      <c r="I201" s="21" t="n"/>
      <c r="J201" s="17">
        <f>IF($G201="","",IFERROR(INDEX(NomsEmployes,MATCH($G201,MatriculesEmployes,0)),"MATRICULE INCONNU"))</f>
        <v/>
      </c>
      <c r="K201" s="33">
        <f>IF(OR($D201="",$F201=""),"",IFERROR(IF(INDEX(RUNS!$L$6:$S$1005,MATCH($D201,RUNS!$A$6:$A$1005,0),MATCH("ACTIVITÉ "&amp;$F201,RUNS!$L$5:$S$5,0))="","",INDEX(RUNS!$L$6:$S$1005,MATCH($D201,RUNS!$A$6:$A$1005,0),MATCH("ACTIVITÉ "&amp;$F201,RUNS!$L$5:$S$5,0))),""))</f>
        <v/>
      </c>
      <c r="L201" s="33">
        <f>IF($D201="","",IFERROR(IF(INDEX(RUNS!$E$6:$E$1005,MATCH($D201,RUNS!$A$6:$A$1005,0))="","",INDEX(RUNS!$E$6:$E$1005,MATCH($D201,RUNS!$A$6:$A$1005,0))),""))</f>
        <v/>
      </c>
      <c r="M201" s="33">
        <f>IF($D201="","",IFERROR(IF(INDEX(RUNS!$F$6:$F$1005,MATCH($D201,RUNS!$A$6:$A$1005,0))="","",INDEX(RUNS!$F$6:$F$1005,MATCH($D201,RUNS!$A$6:$A$1005,0))),""))</f>
        <v/>
      </c>
      <c r="N201" s="33">
        <f>IF($D201="","",IFERROR(IF(INDEX(RUNS!$G$6:$G$1005,MATCH($D201,RUNS!$A$6:$A$1005,0))="","",INDEX(RUNS!$G$6:$G$1005,MATCH($D201,RUNS!$A$6:$A$1005,0))),""))</f>
        <v/>
      </c>
      <c r="O201" s="33">
        <f>IF($D201="","",IFERROR(IF(INDEX(RUNS!$H$6:$H$1005,MATCH($D201,RUNS!$A$6:$A$1005,0))="","",INDEX(RUNS!$H$6:$H$1005,MATCH($D201,RUNS!$A$6:$A$1005,0))),""))</f>
        <v/>
      </c>
      <c r="P201" s="33">
        <f>IF($D201="","",IFERROR(IF(INDEX(RUNS!$J$6:$J$1005,MATCH($D201,RUNS!$A$6:$A$1005,0))="","",INDEX(RUNS!$J$6:$J$1005,MATCH($D201,RUNS!$A$6:$A$1005,0))),""))</f>
        <v/>
      </c>
      <c r="Q201" s="33">
        <f>IF($D201="","",IFERROR(IF(INDEX(RUNS!$K$6:$K$1005,MATCH($D201,RUNS!$A$6:$A$1005,0))="","",INDEX(RUNS!$K$6:$K$1005,MATCH($D201,RUNS!$A$6:$A$1005,0))),""))</f>
        <v/>
      </c>
      <c r="R201" s="34">
        <f>IF(OR($L201="",$K201=""),"",IFERROR(IF(INDEX(PARAMETRES!$H$43:$H$342,MATCH($L201&amp;"|"&amp;$M201&amp;"|"&amp;$N201&amp;"|"&amp;$O201&amp;"|"&amp;$P201&amp;"|"&amp;$Q201&amp;"|"&amp;$K201,PARAMETRES!$J$43:$J$342,0))="","",INDEX(PARAMETRES!$H$43:$H$342,MATCH($L201&amp;"|"&amp;$M201&amp;"|"&amp;$N201&amp;"|"&amp;$O201&amp;"|"&amp;$P201&amp;"|"&amp;$Q201&amp;"|"&amp;$K201,PARAMETRES!$J$43:$J$342,0))),""))</f>
        <v/>
      </c>
      <c r="S201" s="35">
        <f>IF(OR($G201="",$X201&lt;&gt;"VALIDE"),"",IFERROR(LOOKUP(2,1/(($B$3:$B200=$B201)*($G$3:$G200=$G201)*($X$3:$X200="VALIDE")),$C$3:$C200),""))</f>
        <v/>
      </c>
      <c r="T201" s="36">
        <f>IF(OR($C201="",$S201=""),"",ROUND(($C201-$S201+IF($C201&lt;$S201,1,0))*1440,0))</f>
        <v/>
      </c>
      <c r="U201" s="22">
        <f>IF(OR($H201="",$T201="",$T201&lt;=0),"",$H201*60/$T201)</f>
        <v/>
      </c>
      <c r="V201" s="37">
        <f>IF(OR($U201="",$R201="",$R201=0),"",$U201/$R201)</f>
        <v/>
      </c>
      <c r="W201" s="20">
        <f>IF($G201="","",IF($X201="CONTEXTE INCOMPLET","CONTEXTE INCOMPLET",IF($X201="DOUBLON",StatutDoublon,IF($S201="",StatutInitial,IF($R201="",StatutStandardManquant,IF($V201="","DONNEES INSUFFISANTES",IF($V201&gt;=SeuilConforme,StatutConforme,IF($V201&gt;=SeuilSurveiller,StatutSurveiller,StatutSousStandard))))))))</f>
        <v/>
      </c>
      <c r="X201" s="33">
        <f>IF($G201="","",IF(OR($D201="",$E201="",$F201=""),"CONTEXTE INCOMPLET",IF(COUNTIFS($D$3:$D200,$D201,$E$3:$E200,$E201,$F$3:$F200,$F201,$G$3:$G200,$G201)&gt;0,"DOUBLON","VALIDE")))</f>
        <v/>
      </c>
    </row>
    <row r="202" ht="15" customHeight="1">
      <c r="A202" s="12">
        <f>IF(OR($B202="",$G202=""),"",TEXT($B202,"YYYYMMDD")&amp;"-"&amp;SUBSTITUTE($E202," ","")&amp;"-"&amp;$F202&amp;"-"&amp;$G202)</f>
        <v/>
      </c>
      <c r="B202" s="15" t="n"/>
      <c r="C202" s="16" t="n"/>
      <c r="D202" s="10" t="n"/>
      <c r="E202" s="9" t="n"/>
      <c r="F202" s="9" t="n"/>
      <c r="G202" s="13" t="n"/>
      <c r="H202" s="21" t="n"/>
      <c r="I202" s="21" t="n"/>
      <c r="J202" s="17">
        <f>IF($G202="","",IFERROR(INDEX(NomsEmployes,MATCH($G202,MatriculesEmployes,0)),"MATRICULE INCONNU"))</f>
        <v/>
      </c>
      <c r="K202" s="33">
        <f>IF(OR($D202="",$F202=""),"",IFERROR(IF(INDEX(RUNS!$L$6:$S$1005,MATCH($D202,RUNS!$A$6:$A$1005,0),MATCH("ACTIVITÉ "&amp;$F202,RUNS!$L$5:$S$5,0))="","",INDEX(RUNS!$L$6:$S$1005,MATCH($D202,RUNS!$A$6:$A$1005,0),MATCH("ACTIVITÉ "&amp;$F202,RUNS!$L$5:$S$5,0))),""))</f>
        <v/>
      </c>
      <c r="L202" s="33">
        <f>IF($D202="","",IFERROR(IF(INDEX(RUNS!$E$6:$E$1005,MATCH($D202,RUNS!$A$6:$A$1005,0))="","",INDEX(RUNS!$E$6:$E$1005,MATCH($D202,RUNS!$A$6:$A$1005,0))),""))</f>
        <v/>
      </c>
      <c r="M202" s="33">
        <f>IF($D202="","",IFERROR(IF(INDEX(RUNS!$F$6:$F$1005,MATCH($D202,RUNS!$A$6:$A$1005,0))="","",INDEX(RUNS!$F$6:$F$1005,MATCH($D202,RUNS!$A$6:$A$1005,0))),""))</f>
        <v/>
      </c>
      <c r="N202" s="33">
        <f>IF($D202="","",IFERROR(IF(INDEX(RUNS!$G$6:$G$1005,MATCH($D202,RUNS!$A$6:$A$1005,0))="","",INDEX(RUNS!$G$6:$G$1005,MATCH($D202,RUNS!$A$6:$A$1005,0))),""))</f>
        <v/>
      </c>
      <c r="O202" s="33">
        <f>IF($D202="","",IFERROR(IF(INDEX(RUNS!$H$6:$H$1005,MATCH($D202,RUNS!$A$6:$A$1005,0))="","",INDEX(RUNS!$H$6:$H$1005,MATCH($D202,RUNS!$A$6:$A$1005,0))),""))</f>
        <v/>
      </c>
      <c r="P202" s="33">
        <f>IF($D202="","",IFERROR(IF(INDEX(RUNS!$J$6:$J$1005,MATCH($D202,RUNS!$A$6:$A$1005,0))="","",INDEX(RUNS!$J$6:$J$1005,MATCH($D202,RUNS!$A$6:$A$1005,0))),""))</f>
        <v/>
      </c>
      <c r="Q202" s="33">
        <f>IF($D202="","",IFERROR(IF(INDEX(RUNS!$K$6:$K$1005,MATCH($D202,RUNS!$A$6:$A$1005,0))="","",INDEX(RUNS!$K$6:$K$1005,MATCH($D202,RUNS!$A$6:$A$1005,0))),""))</f>
        <v/>
      </c>
      <c r="R202" s="34">
        <f>IF(OR($L202="",$K202=""),"",IFERROR(IF(INDEX(PARAMETRES!$H$43:$H$342,MATCH($L202&amp;"|"&amp;$M202&amp;"|"&amp;$N202&amp;"|"&amp;$O202&amp;"|"&amp;$P202&amp;"|"&amp;$Q202&amp;"|"&amp;$K202,PARAMETRES!$J$43:$J$342,0))="","",INDEX(PARAMETRES!$H$43:$H$342,MATCH($L202&amp;"|"&amp;$M202&amp;"|"&amp;$N202&amp;"|"&amp;$O202&amp;"|"&amp;$P202&amp;"|"&amp;$Q202&amp;"|"&amp;$K202,PARAMETRES!$J$43:$J$342,0))),""))</f>
        <v/>
      </c>
      <c r="S202" s="35">
        <f>IF(OR($G202="",$X202&lt;&gt;"VALIDE"),"",IFERROR(LOOKUP(2,1/(($B$3:$B201=$B202)*($G$3:$G201=$G202)*($X$3:$X201="VALIDE")),$C$3:$C201),""))</f>
        <v/>
      </c>
      <c r="T202" s="36">
        <f>IF(OR($C202="",$S202=""),"",ROUND(($C202-$S202+IF($C202&lt;$S202,1,0))*1440,0))</f>
        <v/>
      </c>
      <c r="U202" s="22">
        <f>IF(OR($H202="",$T202="",$T202&lt;=0),"",$H202*60/$T202)</f>
        <v/>
      </c>
      <c r="V202" s="37">
        <f>IF(OR($U202="",$R202="",$R202=0),"",$U202/$R202)</f>
        <v/>
      </c>
      <c r="W202" s="20">
        <f>IF($G202="","",IF($X202="CONTEXTE INCOMPLET","CONTEXTE INCOMPLET",IF($X202="DOUBLON",StatutDoublon,IF($S202="",StatutInitial,IF($R202="",StatutStandardManquant,IF($V202="","DONNEES INSUFFISANTES",IF($V202&gt;=SeuilConforme,StatutConforme,IF($V202&gt;=SeuilSurveiller,StatutSurveiller,StatutSousStandard))))))))</f>
        <v/>
      </c>
      <c r="X202" s="33">
        <f>IF($G202="","",IF(OR($D202="",$E202="",$F202=""),"CONTEXTE INCOMPLET",IF(COUNTIFS($D$3:$D201,$D202,$E$3:$E201,$E202,$F$3:$F201,$F202,$G$3:$G201,$G202)&gt;0,"DOUBLON","VALIDE")))</f>
        <v/>
      </c>
    </row>
    <row r="203" ht="15" customHeight="1">
      <c r="A203" s="12">
        <f>IF(OR($B203="",$G203=""),"",TEXT($B203,"YYYYMMDD")&amp;"-"&amp;SUBSTITUTE($E203," ","")&amp;"-"&amp;$F203&amp;"-"&amp;$G203)</f>
        <v/>
      </c>
      <c r="B203" s="15" t="n"/>
      <c r="C203" s="16" t="n"/>
      <c r="D203" s="10" t="n"/>
      <c r="E203" s="9" t="n"/>
      <c r="F203" s="9" t="n"/>
      <c r="G203" s="13" t="n"/>
      <c r="H203" s="21" t="n"/>
      <c r="I203" s="21" t="n"/>
      <c r="J203" s="17">
        <f>IF($G203="","",IFERROR(INDEX(NomsEmployes,MATCH($G203,MatriculesEmployes,0)),"MATRICULE INCONNU"))</f>
        <v/>
      </c>
      <c r="K203" s="33">
        <f>IF(OR($D203="",$F203=""),"",IFERROR(IF(INDEX(RUNS!$L$6:$S$1005,MATCH($D203,RUNS!$A$6:$A$1005,0),MATCH("ACTIVITÉ "&amp;$F203,RUNS!$L$5:$S$5,0))="","",INDEX(RUNS!$L$6:$S$1005,MATCH($D203,RUNS!$A$6:$A$1005,0),MATCH("ACTIVITÉ "&amp;$F203,RUNS!$L$5:$S$5,0))),""))</f>
        <v/>
      </c>
      <c r="L203" s="33">
        <f>IF($D203="","",IFERROR(IF(INDEX(RUNS!$E$6:$E$1005,MATCH($D203,RUNS!$A$6:$A$1005,0))="","",INDEX(RUNS!$E$6:$E$1005,MATCH($D203,RUNS!$A$6:$A$1005,0))),""))</f>
        <v/>
      </c>
      <c r="M203" s="33">
        <f>IF($D203="","",IFERROR(IF(INDEX(RUNS!$F$6:$F$1005,MATCH($D203,RUNS!$A$6:$A$1005,0))="","",INDEX(RUNS!$F$6:$F$1005,MATCH($D203,RUNS!$A$6:$A$1005,0))),""))</f>
        <v/>
      </c>
      <c r="N203" s="33">
        <f>IF($D203="","",IFERROR(IF(INDEX(RUNS!$G$6:$G$1005,MATCH($D203,RUNS!$A$6:$A$1005,0))="","",INDEX(RUNS!$G$6:$G$1005,MATCH($D203,RUNS!$A$6:$A$1005,0))),""))</f>
        <v/>
      </c>
      <c r="O203" s="33">
        <f>IF($D203="","",IFERROR(IF(INDEX(RUNS!$H$6:$H$1005,MATCH($D203,RUNS!$A$6:$A$1005,0))="","",INDEX(RUNS!$H$6:$H$1005,MATCH($D203,RUNS!$A$6:$A$1005,0))),""))</f>
        <v/>
      </c>
      <c r="P203" s="33">
        <f>IF($D203="","",IFERROR(IF(INDEX(RUNS!$J$6:$J$1005,MATCH($D203,RUNS!$A$6:$A$1005,0))="","",INDEX(RUNS!$J$6:$J$1005,MATCH($D203,RUNS!$A$6:$A$1005,0))),""))</f>
        <v/>
      </c>
      <c r="Q203" s="33">
        <f>IF($D203="","",IFERROR(IF(INDEX(RUNS!$K$6:$K$1005,MATCH($D203,RUNS!$A$6:$A$1005,0))="","",INDEX(RUNS!$K$6:$K$1005,MATCH($D203,RUNS!$A$6:$A$1005,0))),""))</f>
        <v/>
      </c>
      <c r="R203" s="34">
        <f>IF(OR($L203="",$K203=""),"",IFERROR(IF(INDEX(PARAMETRES!$H$43:$H$342,MATCH($L203&amp;"|"&amp;$M203&amp;"|"&amp;$N203&amp;"|"&amp;$O203&amp;"|"&amp;$P203&amp;"|"&amp;$Q203&amp;"|"&amp;$K203,PARAMETRES!$J$43:$J$342,0))="","",INDEX(PARAMETRES!$H$43:$H$342,MATCH($L203&amp;"|"&amp;$M203&amp;"|"&amp;$N203&amp;"|"&amp;$O203&amp;"|"&amp;$P203&amp;"|"&amp;$Q203&amp;"|"&amp;$K203,PARAMETRES!$J$43:$J$342,0))),""))</f>
        <v/>
      </c>
      <c r="S203" s="35">
        <f>IF(OR($G203="",$X203&lt;&gt;"VALIDE"),"",IFERROR(LOOKUP(2,1/(($B$3:$B202=$B203)*($G$3:$G202=$G203)*($X$3:$X202="VALIDE")),$C$3:$C202),""))</f>
        <v/>
      </c>
      <c r="T203" s="36">
        <f>IF(OR($C203="",$S203=""),"",ROUND(($C203-$S203+IF($C203&lt;$S203,1,0))*1440,0))</f>
        <v/>
      </c>
      <c r="U203" s="22">
        <f>IF(OR($H203="",$T203="",$T203&lt;=0),"",$H203*60/$T203)</f>
        <v/>
      </c>
      <c r="V203" s="37">
        <f>IF(OR($U203="",$R203="",$R203=0),"",$U203/$R203)</f>
        <v/>
      </c>
      <c r="W203" s="20">
        <f>IF($G203="","",IF($X203="CONTEXTE INCOMPLET","CONTEXTE INCOMPLET",IF($X203="DOUBLON",StatutDoublon,IF($S203="",StatutInitial,IF($R203="",StatutStandardManquant,IF($V203="","DONNEES INSUFFISANTES",IF($V203&gt;=SeuilConforme,StatutConforme,IF($V203&gt;=SeuilSurveiller,StatutSurveiller,StatutSousStandard))))))))</f>
        <v/>
      </c>
      <c r="X203" s="33">
        <f>IF($G203="","",IF(OR($D203="",$E203="",$F203=""),"CONTEXTE INCOMPLET",IF(COUNTIFS($D$3:$D202,$D203,$E$3:$E202,$E203,$F$3:$F202,$F203,$G$3:$G202,$G203)&gt;0,"DOUBLON","VALIDE")))</f>
        <v/>
      </c>
    </row>
    <row r="204" ht="15" customHeight="1">
      <c r="A204" s="12">
        <f>IF(OR($B204="",$G204=""),"",TEXT($B204,"YYYYMMDD")&amp;"-"&amp;SUBSTITUTE($E204," ","")&amp;"-"&amp;$F204&amp;"-"&amp;$G204)</f>
        <v/>
      </c>
      <c r="B204" s="15" t="n"/>
      <c r="C204" s="16" t="n"/>
      <c r="D204" s="10" t="n"/>
      <c r="E204" s="9" t="n"/>
      <c r="F204" s="9" t="n"/>
      <c r="G204" s="13" t="n"/>
      <c r="H204" s="21" t="n"/>
      <c r="I204" s="21" t="n"/>
      <c r="J204" s="17">
        <f>IF($G204="","",IFERROR(INDEX(NomsEmployes,MATCH($G204,MatriculesEmployes,0)),"MATRICULE INCONNU"))</f>
        <v/>
      </c>
      <c r="K204" s="33">
        <f>IF(OR($D204="",$F204=""),"",IFERROR(IF(INDEX(RUNS!$L$6:$S$1005,MATCH($D204,RUNS!$A$6:$A$1005,0),MATCH("ACTIVITÉ "&amp;$F204,RUNS!$L$5:$S$5,0))="","",INDEX(RUNS!$L$6:$S$1005,MATCH($D204,RUNS!$A$6:$A$1005,0),MATCH("ACTIVITÉ "&amp;$F204,RUNS!$L$5:$S$5,0))),""))</f>
        <v/>
      </c>
      <c r="L204" s="33">
        <f>IF($D204="","",IFERROR(IF(INDEX(RUNS!$E$6:$E$1005,MATCH($D204,RUNS!$A$6:$A$1005,0))="","",INDEX(RUNS!$E$6:$E$1005,MATCH($D204,RUNS!$A$6:$A$1005,0))),""))</f>
        <v/>
      </c>
      <c r="M204" s="33">
        <f>IF($D204="","",IFERROR(IF(INDEX(RUNS!$F$6:$F$1005,MATCH($D204,RUNS!$A$6:$A$1005,0))="","",INDEX(RUNS!$F$6:$F$1005,MATCH($D204,RUNS!$A$6:$A$1005,0))),""))</f>
        <v/>
      </c>
      <c r="N204" s="33">
        <f>IF($D204="","",IFERROR(IF(INDEX(RUNS!$G$6:$G$1005,MATCH($D204,RUNS!$A$6:$A$1005,0))="","",INDEX(RUNS!$G$6:$G$1005,MATCH($D204,RUNS!$A$6:$A$1005,0))),""))</f>
        <v/>
      </c>
      <c r="O204" s="33">
        <f>IF($D204="","",IFERROR(IF(INDEX(RUNS!$H$6:$H$1005,MATCH($D204,RUNS!$A$6:$A$1005,0))="","",INDEX(RUNS!$H$6:$H$1005,MATCH($D204,RUNS!$A$6:$A$1005,0))),""))</f>
        <v/>
      </c>
      <c r="P204" s="33">
        <f>IF($D204="","",IFERROR(IF(INDEX(RUNS!$J$6:$J$1005,MATCH($D204,RUNS!$A$6:$A$1005,0))="","",INDEX(RUNS!$J$6:$J$1005,MATCH($D204,RUNS!$A$6:$A$1005,0))),""))</f>
        <v/>
      </c>
      <c r="Q204" s="33">
        <f>IF($D204="","",IFERROR(IF(INDEX(RUNS!$K$6:$K$1005,MATCH($D204,RUNS!$A$6:$A$1005,0))="","",INDEX(RUNS!$K$6:$K$1005,MATCH($D204,RUNS!$A$6:$A$1005,0))),""))</f>
        <v/>
      </c>
      <c r="R204" s="34">
        <f>IF(OR($L204="",$K204=""),"",IFERROR(IF(INDEX(PARAMETRES!$H$43:$H$342,MATCH($L204&amp;"|"&amp;$M204&amp;"|"&amp;$N204&amp;"|"&amp;$O204&amp;"|"&amp;$P204&amp;"|"&amp;$Q204&amp;"|"&amp;$K204,PARAMETRES!$J$43:$J$342,0))="","",INDEX(PARAMETRES!$H$43:$H$342,MATCH($L204&amp;"|"&amp;$M204&amp;"|"&amp;$N204&amp;"|"&amp;$O204&amp;"|"&amp;$P204&amp;"|"&amp;$Q204&amp;"|"&amp;$K204,PARAMETRES!$J$43:$J$342,0))),""))</f>
        <v/>
      </c>
      <c r="S204" s="35">
        <f>IF(OR($G204="",$X204&lt;&gt;"VALIDE"),"",IFERROR(LOOKUP(2,1/(($B$3:$B203=$B204)*($G$3:$G203=$G204)*($X$3:$X203="VALIDE")),$C$3:$C203),""))</f>
        <v/>
      </c>
      <c r="T204" s="36">
        <f>IF(OR($C204="",$S204=""),"",ROUND(($C204-$S204+IF($C204&lt;$S204,1,0))*1440,0))</f>
        <v/>
      </c>
      <c r="U204" s="22">
        <f>IF(OR($H204="",$T204="",$T204&lt;=0),"",$H204*60/$T204)</f>
        <v/>
      </c>
      <c r="V204" s="37">
        <f>IF(OR($U204="",$R204="",$R204=0),"",$U204/$R204)</f>
        <v/>
      </c>
      <c r="W204" s="20">
        <f>IF($G204="","",IF($X204="CONTEXTE INCOMPLET","CONTEXTE INCOMPLET",IF($X204="DOUBLON",StatutDoublon,IF($S204="",StatutInitial,IF($R204="",StatutStandardManquant,IF($V204="","DONNEES INSUFFISANTES",IF($V204&gt;=SeuilConforme,StatutConforme,IF($V204&gt;=SeuilSurveiller,StatutSurveiller,StatutSousStandard))))))))</f>
        <v/>
      </c>
      <c r="X204" s="33">
        <f>IF($G204="","",IF(OR($D204="",$E204="",$F204=""),"CONTEXTE INCOMPLET",IF(COUNTIFS($D$3:$D203,$D204,$E$3:$E203,$E204,$F$3:$F203,$F204,$G$3:$G203,$G204)&gt;0,"DOUBLON","VALIDE")))</f>
        <v/>
      </c>
    </row>
    <row r="205" ht="15" customHeight="1">
      <c r="A205" s="12">
        <f>IF(OR($B205="",$G205=""),"",TEXT($B205,"YYYYMMDD")&amp;"-"&amp;SUBSTITUTE($E205," ","")&amp;"-"&amp;$F205&amp;"-"&amp;$G205)</f>
        <v/>
      </c>
      <c r="B205" s="15" t="n"/>
      <c r="C205" s="16" t="n"/>
      <c r="D205" s="10" t="n"/>
      <c r="E205" s="9" t="n"/>
      <c r="F205" s="9" t="n"/>
      <c r="G205" s="13" t="n"/>
      <c r="H205" s="21" t="n"/>
      <c r="I205" s="21" t="n"/>
      <c r="J205" s="17">
        <f>IF($G205="","",IFERROR(INDEX(NomsEmployes,MATCH($G205,MatriculesEmployes,0)),"MATRICULE INCONNU"))</f>
        <v/>
      </c>
      <c r="K205" s="33">
        <f>IF(OR($D205="",$F205=""),"",IFERROR(IF(INDEX(RUNS!$L$6:$S$1005,MATCH($D205,RUNS!$A$6:$A$1005,0),MATCH("ACTIVITÉ "&amp;$F205,RUNS!$L$5:$S$5,0))="","",INDEX(RUNS!$L$6:$S$1005,MATCH($D205,RUNS!$A$6:$A$1005,0),MATCH("ACTIVITÉ "&amp;$F205,RUNS!$L$5:$S$5,0))),""))</f>
        <v/>
      </c>
      <c r="L205" s="33">
        <f>IF($D205="","",IFERROR(IF(INDEX(RUNS!$E$6:$E$1005,MATCH($D205,RUNS!$A$6:$A$1005,0))="","",INDEX(RUNS!$E$6:$E$1005,MATCH($D205,RUNS!$A$6:$A$1005,0))),""))</f>
        <v/>
      </c>
      <c r="M205" s="33">
        <f>IF($D205="","",IFERROR(IF(INDEX(RUNS!$F$6:$F$1005,MATCH($D205,RUNS!$A$6:$A$1005,0))="","",INDEX(RUNS!$F$6:$F$1005,MATCH($D205,RUNS!$A$6:$A$1005,0))),""))</f>
        <v/>
      </c>
      <c r="N205" s="33">
        <f>IF($D205="","",IFERROR(IF(INDEX(RUNS!$G$6:$G$1005,MATCH($D205,RUNS!$A$6:$A$1005,0))="","",INDEX(RUNS!$G$6:$G$1005,MATCH($D205,RUNS!$A$6:$A$1005,0))),""))</f>
        <v/>
      </c>
      <c r="O205" s="33">
        <f>IF($D205="","",IFERROR(IF(INDEX(RUNS!$H$6:$H$1005,MATCH($D205,RUNS!$A$6:$A$1005,0))="","",INDEX(RUNS!$H$6:$H$1005,MATCH($D205,RUNS!$A$6:$A$1005,0))),""))</f>
        <v/>
      </c>
      <c r="P205" s="33">
        <f>IF($D205="","",IFERROR(IF(INDEX(RUNS!$J$6:$J$1005,MATCH($D205,RUNS!$A$6:$A$1005,0))="","",INDEX(RUNS!$J$6:$J$1005,MATCH($D205,RUNS!$A$6:$A$1005,0))),""))</f>
        <v/>
      </c>
      <c r="Q205" s="33">
        <f>IF($D205="","",IFERROR(IF(INDEX(RUNS!$K$6:$K$1005,MATCH($D205,RUNS!$A$6:$A$1005,0))="","",INDEX(RUNS!$K$6:$K$1005,MATCH($D205,RUNS!$A$6:$A$1005,0))),""))</f>
        <v/>
      </c>
      <c r="R205" s="34">
        <f>IF(OR($L205="",$K205=""),"",IFERROR(IF(INDEX(PARAMETRES!$H$43:$H$342,MATCH($L205&amp;"|"&amp;$M205&amp;"|"&amp;$N205&amp;"|"&amp;$O205&amp;"|"&amp;$P205&amp;"|"&amp;$Q205&amp;"|"&amp;$K205,PARAMETRES!$J$43:$J$342,0))="","",INDEX(PARAMETRES!$H$43:$H$342,MATCH($L205&amp;"|"&amp;$M205&amp;"|"&amp;$N205&amp;"|"&amp;$O205&amp;"|"&amp;$P205&amp;"|"&amp;$Q205&amp;"|"&amp;$K205,PARAMETRES!$J$43:$J$342,0))),""))</f>
        <v/>
      </c>
      <c r="S205" s="35">
        <f>IF(OR($G205="",$X205&lt;&gt;"VALIDE"),"",IFERROR(LOOKUP(2,1/(($B$3:$B204=$B205)*($G$3:$G204=$G205)*($X$3:$X204="VALIDE")),$C$3:$C204),""))</f>
        <v/>
      </c>
      <c r="T205" s="36">
        <f>IF(OR($C205="",$S205=""),"",ROUND(($C205-$S205+IF($C205&lt;$S205,1,0))*1440,0))</f>
        <v/>
      </c>
      <c r="U205" s="22">
        <f>IF(OR($H205="",$T205="",$T205&lt;=0),"",$H205*60/$T205)</f>
        <v/>
      </c>
      <c r="V205" s="37">
        <f>IF(OR($U205="",$R205="",$R205=0),"",$U205/$R205)</f>
        <v/>
      </c>
      <c r="W205" s="20">
        <f>IF($G205="","",IF($X205="CONTEXTE INCOMPLET","CONTEXTE INCOMPLET",IF($X205="DOUBLON",StatutDoublon,IF($S205="",StatutInitial,IF($R205="",StatutStandardManquant,IF($V205="","DONNEES INSUFFISANTES",IF($V205&gt;=SeuilConforme,StatutConforme,IF($V205&gt;=SeuilSurveiller,StatutSurveiller,StatutSousStandard))))))))</f>
        <v/>
      </c>
      <c r="X205" s="33">
        <f>IF($G205="","",IF(OR($D205="",$E205="",$F205=""),"CONTEXTE INCOMPLET",IF(COUNTIFS($D$3:$D204,$D205,$E$3:$E204,$E205,$F$3:$F204,$F205,$G$3:$G204,$G205)&gt;0,"DOUBLON","VALIDE")))</f>
        <v/>
      </c>
    </row>
    <row r="206" ht="15" customHeight="1">
      <c r="A206" s="12">
        <f>IF(OR($B206="",$G206=""),"",TEXT($B206,"YYYYMMDD")&amp;"-"&amp;SUBSTITUTE($E206," ","")&amp;"-"&amp;$F206&amp;"-"&amp;$G206)</f>
        <v/>
      </c>
      <c r="B206" s="15" t="n"/>
      <c r="C206" s="16" t="n"/>
      <c r="D206" s="10" t="n"/>
      <c r="E206" s="9" t="n"/>
      <c r="F206" s="9" t="n"/>
      <c r="G206" s="13" t="n"/>
      <c r="H206" s="21" t="n"/>
      <c r="I206" s="21" t="n"/>
      <c r="J206" s="17">
        <f>IF($G206="","",IFERROR(INDEX(NomsEmployes,MATCH($G206,MatriculesEmployes,0)),"MATRICULE INCONNU"))</f>
        <v/>
      </c>
      <c r="K206" s="33">
        <f>IF(OR($D206="",$F206=""),"",IFERROR(IF(INDEX(RUNS!$L$6:$S$1005,MATCH($D206,RUNS!$A$6:$A$1005,0),MATCH("ACTIVITÉ "&amp;$F206,RUNS!$L$5:$S$5,0))="","",INDEX(RUNS!$L$6:$S$1005,MATCH($D206,RUNS!$A$6:$A$1005,0),MATCH("ACTIVITÉ "&amp;$F206,RUNS!$L$5:$S$5,0))),""))</f>
        <v/>
      </c>
      <c r="L206" s="33">
        <f>IF($D206="","",IFERROR(IF(INDEX(RUNS!$E$6:$E$1005,MATCH($D206,RUNS!$A$6:$A$1005,0))="","",INDEX(RUNS!$E$6:$E$1005,MATCH($D206,RUNS!$A$6:$A$1005,0))),""))</f>
        <v/>
      </c>
      <c r="M206" s="33">
        <f>IF($D206="","",IFERROR(IF(INDEX(RUNS!$F$6:$F$1005,MATCH($D206,RUNS!$A$6:$A$1005,0))="","",INDEX(RUNS!$F$6:$F$1005,MATCH($D206,RUNS!$A$6:$A$1005,0))),""))</f>
        <v/>
      </c>
      <c r="N206" s="33">
        <f>IF($D206="","",IFERROR(IF(INDEX(RUNS!$G$6:$G$1005,MATCH($D206,RUNS!$A$6:$A$1005,0))="","",INDEX(RUNS!$G$6:$G$1005,MATCH($D206,RUNS!$A$6:$A$1005,0))),""))</f>
        <v/>
      </c>
      <c r="O206" s="33">
        <f>IF($D206="","",IFERROR(IF(INDEX(RUNS!$H$6:$H$1005,MATCH($D206,RUNS!$A$6:$A$1005,0))="","",INDEX(RUNS!$H$6:$H$1005,MATCH($D206,RUNS!$A$6:$A$1005,0))),""))</f>
        <v/>
      </c>
      <c r="P206" s="33">
        <f>IF($D206="","",IFERROR(IF(INDEX(RUNS!$J$6:$J$1005,MATCH($D206,RUNS!$A$6:$A$1005,0))="","",INDEX(RUNS!$J$6:$J$1005,MATCH($D206,RUNS!$A$6:$A$1005,0))),""))</f>
        <v/>
      </c>
      <c r="Q206" s="33">
        <f>IF($D206="","",IFERROR(IF(INDEX(RUNS!$K$6:$K$1005,MATCH($D206,RUNS!$A$6:$A$1005,0))="","",INDEX(RUNS!$K$6:$K$1005,MATCH($D206,RUNS!$A$6:$A$1005,0))),""))</f>
        <v/>
      </c>
      <c r="R206" s="34">
        <f>IF(OR($L206="",$K206=""),"",IFERROR(IF(INDEX(PARAMETRES!$H$43:$H$342,MATCH($L206&amp;"|"&amp;$M206&amp;"|"&amp;$N206&amp;"|"&amp;$O206&amp;"|"&amp;$P206&amp;"|"&amp;$Q206&amp;"|"&amp;$K206,PARAMETRES!$J$43:$J$342,0))="","",INDEX(PARAMETRES!$H$43:$H$342,MATCH($L206&amp;"|"&amp;$M206&amp;"|"&amp;$N206&amp;"|"&amp;$O206&amp;"|"&amp;$P206&amp;"|"&amp;$Q206&amp;"|"&amp;$K206,PARAMETRES!$J$43:$J$342,0))),""))</f>
        <v/>
      </c>
      <c r="S206" s="35">
        <f>IF(OR($G206="",$X206&lt;&gt;"VALIDE"),"",IFERROR(LOOKUP(2,1/(($B$3:$B205=$B206)*($G$3:$G205=$G206)*($X$3:$X205="VALIDE")),$C$3:$C205),""))</f>
        <v/>
      </c>
      <c r="T206" s="36">
        <f>IF(OR($C206="",$S206=""),"",ROUND(($C206-$S206+IF($C206&lt;$S206,1,0))*1440,0))</f>
        <v/>
      </c>
      <c r="U206" s="22">
        <f>IF(OR($H206="",$T206="",$T206&lt;=0),"",$H206*60/$T206)</f>
        <v/>
      </c>
      <c r="V206" s="37">
        <f>IF(OR($U206="",$R206="",$R206=0),"",$U206/$R206)</f>
        <v/>
      </c>
      <c r="W206" s="20">
        <f>IF($G206="","",IF($X206="CONTEXTE INCOMPLET","CONTEXTE INCOMPLET",IF($X206="DOUBLON",StatutDoublon,IF($S206="",StatutInitial,IF($R206="",StatutStandardManquant,IF($V206="","DONNEES INSUFFISANTES",IF($V206&gt;=SeuilConforme,StatutConforme,IF($V206&gt;=SeuilSurveiller,StatutSurveiller,StatutSousStandard))))))))</f>
        <v/>
      </c>
      <c r="X206" s="33">
        <f>IF($G206="","",IF(OR($D206="",$E206="",$F206=""),"CONTEXTE INCOMPLET",IF(COUNTIFS($D$3:$D205,$D206,$E$3:$E205,$E206,$F$3:$F205,$F206,$G$3:$G205,$G206)&gt;0,"DOUBLON","VALIDE")))</f>
        <v/>
      </c>
    </row>
    <row r="207" ht="15" customHeight="1">
      <c r="A207" s="12">
        <f>IF(OR($B207="",$G207=""),"",TEXT($B207,"YYYYMMDD")&amp;"-"&amp;SUBSTITUTE($E207," ","")&amp;"-"&amp;$F207&amp;"-"&amp;$G207)</f>
        <v/>
      </c>
      <c r="B207" s="15" t="n"/>
      <c r="C207" s="16" t="n"/>
      <c r="D207" s="10" t="n"/>
      <c r="E207" s="9" t="n"/>
      <c r="F207" s="9" t="n"/>
      <c r="G207" s="13" t="n"/>
      <c r="H207" s="21" t="n"/>
      <c r="I207" s="21" t="n"/>
      <c r="J207" s="17">
        <f>IF($G207="","",IFERROR(INDEX(NomsEmployes,MATCH($G207,MatriculesEmployes,0)),"MATRICULE INCONNU"))</f>
        <v/>
      </c>
      <c r="K207" s="33">
        <f>IF(OR($D207="",$F207=""),"",IFERROR(IF(INDEX(RUNS!$L$6:$S$1005,MATCH($D207,RUNS!$A$6:$A$1005,0),MATCH("ACTIVITÉ "&amp;$F207,RUNS!$L$5:$S$5,0))="","",INDEX(RUNS!$L$6:$S$1005,MATCH($D207,RUNS!$A$6:$A$1005,0),MATCH("ACTIVITÉ "&amp;$F207,RUNS!$L$5:$S$5,0))),""))</f>
        <v/>
      </c>
      <c r="L207" s="33">
        <f>IF($D207="","",IFERROR(IF(INDEX(RUNS!$E$6:$E$1005,MATCH($D207,RUNS!$A$6:$A$1005,0))="","",INDEX(RUNS!$E$6:$E$1005,MATCH($D207,RUNS!$A$6:$A$1005,0))),""))</f>
        <v/>
      </c>
      <c r="M207" s="33">
        <f>IF($D207="","",IFERROR(IF(INDEX(RUNS!$F$6:$F$1005,MATCH($D207,RUNS!$A$6:$A$1005,0))="","",INDEX(RUNS!$F$6:$F$1005,MATCH($D207,RUNS!$A$6:$A$1005,0))),""))</f>
        <v/>
      </c>
      <c r="N207" s="33">
        <f>IF($D207="","",IFERROR(IF(INDEX(RUNS!$G$6:$G$1005,MATCH($D207,RUNS!$A$6:$A$1005,0))="","",INDEX(RUNS!$G$6:$G$1005,MATCH($D207,RUNS!$A$6:$A$1005,0))),""))</f>
        <v/>
      </c>
      <c r="O207" s="33">
        <f>IF($D207="","",IFERROR(IF(INDEX(RUNS!$H$6:$H$1005,MATCH($D207,RUNS!$A$6:$A$1005,0))="","",INDEX(RUNS!$H$6:$H$1005,MATCH($D207,RUNS!$A$6:$A$1005,0))),""))</f>
        <v/>
      </c>
      <c r="P207" s="33">
        <f>IF($D207="","",IFERROR(IF(INDEX(RUNS!$J$6:$J$1005,MATCH($D207,RUNS!$A$6:$A$1005,0))="","",INDEX(RUNS!$J$6:$J$1005,MATCH($D207,RUNS!$A$6:$A$1005,0))),""))</f>
        <v/>
      </c>
      <c r="Q207" s="33">
        <f>IF($D207="","",IFERROR(IF(INDEX(RUNS!$K$6:$K$1005,MATCH($D207,RUNS!$A$6:$A$1005,0))="","",INDEX(RUNS!$K$6:$K$1005,MATCH($D207,RUNS!$A$6:$A$1005,0))),""))</f>
        <v/>
      </c>
      <c r="R207" s="34">
        <f>IF(OR($L207="",$K207=""),"",IFERROR(IF(INDEX(PARAMETRES!$H$43:$H$342,MATCH($L207&amp;"|"&amp;$M207&amp;"|"&amp;$N207&amp;"|"&amp;$O207&amp;"|"&amp;$P207&amp;"|"&amp;$Q207&amp;"|"&amp;$K207,PARAMETRES!$J$43:$J$342,0))="","",INDEX(PARAMETRES!$H$43:$H$342,MATCH($L207&amp;"|"&amp;$M207&amp;"|"&amp;$N207&amp;"|"&amp;$O207&amp;"|"&amp;$P207&amp;"|"&amp;$Q207&amp;"|"&amp;$K207,PARAMETRES!$J$43:$J$342,0))),""))</f>
        <v/>
      </c>
      <c r="S207" s="35">
        <f>IF(OR($G207="",$X207&lt;&gt;"VALIDE"),"",IFERROR(LOOKUP(2,1/(($B$3:$B206=$B207)*($G$3:$G206=$G207)*($X$3:$X206="VALIDE")),$C$3:$C206),""))</f>
        <v/>
      </c>
      <c r="T207" s="36">
        <f>IF(OR($C207="",$S207=""),"",ROUND(($C207-$S207+IF($C207&lt;$S207,1,0))*1440,0))</f>
        <v/>
      </c>
      <c r="U207" s="22">
        <f>IF(OR($H207="",$T207="",$T207&lt;=0),"",$H207*60/$T207)</f>
        <v/>
      </c>
      <c r="V207" s="37">
        <f>IF(OR($U207="",$R207="",$R207=0),"",$U207/$R207)</f>
        <v/>
      </c>
      <c r="W207" s="20">
        <f>IF($G207="","",IF($X207="CONTEXTE INCOMPLET","CONTEXTE INCOMPLET",IF($X207="DOUBLON",StatutDoublon,IF($S207="",StatutInitial,IF($R207="",StatutStandardManquant,IF($V207="","DONNEES INSUFFISANTES",IF($V207&gt;=SeuilConforme,StatutConforme,IF($V207&gt;=SeuilSurveiller,StatutSurveiller,StatutSousStandard))))))))</f>
        <v/>
      </c>
      <c r="X207" s="33">
        <f>IF($G207="","",IF(OR($D207="",$E207="",$F207=""),"CONTEXTE INCOMPLET",IF(COUNTIFS($D$3:$D206,$D207,$E$3:$E206,$E207,$F$3:$F206,$F207,$G$3:$G206,$G207)&gt;0,"DOUBLON","VALIDE")))</f>
        <v/>
      </c>
    </row>
    <row r="208" ht="15" customHeight="1">
      <c r="A208" s="12">
        <f>IF(OR($B208="",$G208=""),"",TEXT($B208,"YYYYMMDD")&amp;"-"&amp;SUBSTITUTE($E208," ","")&amp;"-"&amp;$F208&amp;"-"&amp;$G208)</f>
        <v/>
      </c>
      <c r="B208" s="15" t="n"/>
      <c r="C208" s="16" t="n"/>
      <c r="D208" s="10" t="n"/>
      <c r="E208" s="9" t="n"/>
      <c r="F208" s="9" t="n"/>
      <c r="G208" s="13" t="n"/>
      <c r="H208" s="21" t="n"/>
      <c r="I208" s="21" t="n"/>
      <c r="J208" s="17">
        <f>IF($G208="","",IFERROR(INDEX(NomsEmployes,MATCH($G208,MatriculesEmployes,0)),"MATRICULE INCONNU"))</f>
        <v/>
      </c>
      <c r="K208" s="33">
        <f>IF(OR($D208="",$F208=""),"",IFERROR(IF(INDEX(RUNS!$L$6:$S$1005,MATCH($D208,RUNS!$A$6:$A$1005,0),MATCH("ACTIVITÉ "&amp;$F208,RUNS!$L$5:$S$5,0))="","",INDEX(RUNS!$L$6:$S$1005,MATCH($D208,RUNS!$A$6:$A$1005,0),MATCH("ACTIVITÉ "&amp;$F208,RUNS!$L$5:$S$5,0))),""))</f>
        <v/>
      </c>
      <c r="L208" s="33">
        <f>IF($D208="","",IFERROR(IF(INDEX(RUNS!$E$6:$E$1005,MATCH($D208,RUNS!$A$6:$A$1005,0))="","",INDEX(RUNS!$E$6:$E$1005,MATCH($D208,RUNS!$A$6:$A$1005,0))),""))</f>
        <v/>
      </c>
      <c r="M208" s="33">
        <f>IF($D208="","",IFERROR(IF(INDEX(RUNS!$F$6:$F$1005,MATCH($D208,RUNS!$A$6:$A$1005,0))="","",INDEX(RUNS!$F$6:$F$1005,MATCH($D208,RUNS!$A$6:$A$1005,0))),""))</f>
        <v/>
      </c>
      <c r="N208" s="33">
        <f>IF($D208="","",IFERROR(IF(INDEX(RUNS!$G$6:$G$1005,MATCH($D208,RUNS!$A$6:$A$1005,0))="","",INDEX(RUNS!$G$6:$G$1005,MATCH($D208,RUNS!$A$6:$A$1005,0))),""))</f>
        <v/>
      </c>
      <c r="O208" s="33">
        <f>IF($D208="","",IFERROR(IF(INDEX(RUNS!$H$6:$H$1005,MATCH($D208,RUNS!$A$6:$A$1005,0))="","",INDEX(RUNS!$H$6:$H$1005,MATCH($D208,RUNS!$A$6:$A$1005,0))),""))</f>
        <v/>
      </c>
      <c r="P208" s="33">
        <f>IF($D208="","",IFERROR(IF(INDEX(RUNS!$J$6:$J$1005,MATCH($D208,RUNS!$A$6:$A$1005,0))="","",INDEX(RUNS!$J$6:$J$1005,MATCH($D208,RUNS!$A$6:$A$1005,0))),""))</f>
        <v/>
      </c>
      <c r="Q208" s="33">
        <f>IF($D208="","",IFERROR(IF(INDEX(RUNS!$K$6:$K$1005,MATCH($D208,RUNS!$A$6:$A$1005,0))="","",INDEX(RUNS!$K$6:$K$1005,MATCH($D208,RUNS!$A$6:$A$1005,0))),""))</f>
        <v/>
      </c>
      <c r="R208" s="34">
        <f>IF(OR($L208="",$K208=""),"",IFERROR(IF(INDEX(PARAMETRES!$H$43:$H$342,MATCH($L208&amp;"|"&amp;$M208&amp;"|"&amp;$N208&amp;"|"&amp;$O208&amp;"|"&amp;$P208&amp;"|"&amp;$Q208&amp;"|"&amp;$K208,PARAMETRES!$J$43:$J$342,0))="","",INDEX(PARAMETRES!$H$43:$H$342,MATCH($L208&amp;"|"&amp;$M208&amp;"|"&amp;$N208&amp;"|"&amp;$O208&amp;"|"&amp;$P208&amp;"|"&amp;$Q208&amp;"|"&amp;$K208,PARAMETRES!$J$43:$J$342,0))),""))</f>
        <v/>
      </c>
      <c r="S208" s="35">
        <f>IF(OR($G208="",$X208&lt;&gt;"VALIDE"),"",IFERROR(LOOKUP(2,1/(($B$3:$B207=$B208)*($G$3:$G207=$G208)*($X$3:$X207="VALIDE")),$C$3:$C207),""))</f>
        <v/>
      </c>
      <c r="T208" s="36">
        <f>IF(OR($C208="",$S208=""),"",ROUND(($C208-$S208+IF($C208&lt;$S208,1,0))*1440,0))</f>
        <v/>
      </c>
      <c r="U208" s="22">
        <f>IF(OR($H208="",$T208="",$T208&lt;=0),"",$H208*60/$T208)</f>
        <v/>
      </c>
      <c r="V208" s="37">
        <f>IF(OR($U208="",$R208="",$R208=0),"",$U208/$R208)</f>
        <v/>
      </c>
      <c r="W208" s="20">
        <f>IF($G208="","",IF($X208="CONTEXTE INCOMPLET","CONTEXTE INCOMPLET",IF($X208="DOUBLON",StatutDoublon,IF($S208="",StatutInitial,IF($R208="",StatutStandardManquant,IF($V208="","DONNEES INSUFFISANTES",IF($V208&gt;=SeuilConforme,StatutConforme,IF($V208&gt;=SeuilSurveiller,StatutSurveiller,StatutSousStandard))))))))</f>
        <v/>
      </c>
      <c r="X208" s="33">
        <f>IF($G208="","",IF(OR($D208="",$E208="",$F208=""),"CONTEXTE INCOMPLET",IF(COUNTIFS($D$3:$D207,$D208,$E$3:$E207,$E208,$F$3:$F207,$F208,$G$3:$G207,$G208)&gt;0,"DOUBLON","VALIDE")))</f>
        <v/>
      </c>
    </row>
    <row r="209" ht="15" customHeight="1">
      <c r="A209" s="12">
        <f>IF(OR($B209="",$G209=""),"",TEXT($B209,"YYYYMMDD")&amp;"-"&amp;SUBSTITUTE($E209," ","")&amp;"-"&amp;$F209&amp;"-"&amp;$G209)</f>
        <v/>
      </c>
      <c r="B209" s="15" t="n"/>
      <c r="C209" s="16" t="n"/>
      <c r="D209" s="10" t="n"/>
      <c r="E209" s="9" t="n"/>
      <c r="F209" s="9" t="n"/>
      <c r="G209" s="13" t="n"/>
      <c r="H209" s="21" t="n"/>
      <c r="I209" s="21" t="n"/>
      <c r="J209" s="17">
        <f>IF($G209="","",IFERROR(INDEX(NomsEmployes,MATCH($G209,MatriculesEmployes,0)),"MATRICULE INCONNU"))</f>
        <v/>
      </c>
      <c r="K209" s="33">
        <f>IF(OR($D209="",$F209=""),"",IFERROR(IF(INDEX(RUNS!$L$6:$S$1005,MATCH($D209,RUNS!$A$6:$A$1005,0),MATCH("ACTIVITÉ "&amp;$F209,RUNS!$L$5:$S$5,0))="","",INDEX(RUNS!$L$6:$S$1005,MATCH($D209,RUNS!$A$6:$A$1005,0),MATCH("ACTIVITÉ "&amp;$F209,RUNS!$L$5:$S$5,0))),""))</f>
        <v/>
      </c>
      <c r="L209" s="33">
        <f>IF($D209="","",IFERROR(IF(INDEX(RUNS!$E$6:$E$1005,MATCH($D209,RUNS!$A$6:$A$1005,0))="","",INDEX(RUNS!$E$6:$E$1005,MATCH($D209,RUNS!$A$6:$A$1005,0))),""))</f>
        <v/>
      </c>
      <c r="M209" s="33">
        <f>IF($D209="","",IFERROR(IF(INDEX(RUNS!$F$6:$F$1005,MATCH($D209,RUNS!$A$6:$A$1005,0))="","",INDEX(RUNS!$F$6:$F$1005,MATCH($D209,RUNS!$A$6:$A$1005,0))),""))</f>
        <v/>
      </c>
      <c r="N209" s="33">
        <f>IF($D209="","",IFERROR(IF(INDEX(RUNS!$G$6:$G$1005,MATCH($D209,RUNS!$A$6:$A$1005,0))="","",INDEX(RUNS!$G$6:$G$1005,MATCH($D209,RUNS!$A$6:$A$1005,0))),""))</f>
        <v/>
      </c>
      <c r="O209" s="33">
        <f>IF($D209="","",IFERROR(IF(INDEX(RUNS!$H$6:$H$1005,MATCH($D209,RUNS!$A$6:$A$1005,0))="","",INDEX(RUNS!$H$6:$H$1005,MATCH($D209,RUNS!$A$6:$A$1005,0))),""))</f>
        <v/>
      </c>
      <c r="P209" s="33">
        <f>IF($D209="","",IFERROR(IF(INDEX(RUNS!$J$6:$J$1005,MATCH($D209,RUNS!$A$6:$A$1005,0))="","",INDEX(RUNS!$J$6:$J$1005,MATCH($D209,RUNS!$A$6:$A$1005,0))),""))</f>
        <v/>
      </c>
      <c r="Q209" s="33">
        <f>IF($D209="","",IFERROR(IF(INDEX(RUNS!$K$6:$K$1005,MATCH($D209,RUNS!$A$6:$A$1005,0))="","",INDEX(RUNS!$K$6:$K$1005,MATCH($D209,RUNS!$A$6:$A$1005,0))),""))</f>
        <v/>
      </c>
      <c r="R209" s="34">
        <f>IF(OR($L209="",$K209=""),"",IFERROR(IF(INDEX(PARAMETRES!$H$43:$H$342,MATCH($L209&amp;"|"&amp;$M209&amp;"|"&amp;$N209&amp;"|"&amp;$O209&amp;"|"&amp;$P209&amp;"|"&amp;$Q209&amp;"|"&amp;$K209,PARAMETRES!$J$43:$J$342,0))="","",INDEX(PARAMETRES!$H$43:$H$342,MATCH($L209&amp;"|"&amp;$M209&amp;"|"&amp;$N209&amp;"|"&amp;$O209&amp;"|"&amp;$P209&amp;"|"&amp;$Q209&amp;"|"&amp;$K209,PARAMETRES!$J$43:$J$342,0))),""))</f>
        <v/>
      </c>
      <c r="S209" s="35">
        <f>IF(OR($G209="",$X209&lt;&gt;"VALIDE"),"",IFERROR(LOOKUP(2,1/(($B$3:$B208=$B209)*($G$3:$G208=$G209)*($X$3:$X208="VALIDE")),$C$3:$C208),""))</f>
        <v/>
      </c>
      <c r="T209" s="36">
        <f>IF(OR($C209="",$S209=""),"",ROUND(($C209-$S209+IF($C209&lt;$S209,1,0))*1440,0))</f>
        <v/>
      </c>
      <c r="U209" s="22">
        <f>IF(OR($H209="",$T209="",$T209&lt;=0),"",$H209*60/$T209)</f>
        <v/>
      </c>
      <c r="V209" s="37">
        <f>IF(OR($U209="",$R209="",$R209=0),"",$U209/$R209)</f>
        <v/>
      </c>
      <c r="W209" s="20">
        <f>IF($G209="","",IF($X209="CONTEXTE INCOMPLET","CONTEXTE INCOMPLET",IF($X209="DOUBLON",StatutDoublon,IF($S209="",StatutInitial,IF($R209="",StatutStandardManquant,IF($V209="","DONNEES INSUFFISANTES",IF($V209&gt;=SeuilConforme,StatutConforme,IF($V209&gt;=SeuilSurveiller,StatutSurveiller,StatutSousStandard))))))))</f>
        <v/>
      </c>
      <c r="X209" s="33">
        <f>IF($G209="","",IF(OR($D209="",$E209="",$F209=""),"CONTEXTE INCOMPLET",IF(COUNTIFS($D$3:$D208,$D209,$E$3:$E208,$E209,$F$3:$F208,$F209,$G$3:$G208,$G209)&gt;0,"DOUBLON","VALIDE")))</f>
        <v/>
      </c>
    </row>
    <row r="210" ht="15" customHeight="1">
      <c r="A210" s="12">
        <f>IF(OR($B210="",$G210=""),"",TEXT($B210,"YYYYMMDD")&amp;"-"&amp;SUBSTITUTE($E210," ","")&amp;"-"&amp;$F210&amp;"-"&amp;$G210)</f>
        <v/>
      </c>
      <c r="B210" s="15" t="n"/>
      <c r="C210" s="16" t="n"/>
      <c r="D210" s="10" t="n"/>
      <c r="E210" s="9" t="n"/>
      <c r="F210" s="9" t="n"/>
      <c r="G210" s="13" t="n"/>
      <c r="H210" s="21" t="n"/>
      <c r="I210" s="21" t="n"/>
      <c r="J210" s="17">
        <f>IF($G210="","",IFERROR(INDEX(NomsEmployes,MATCH($G210,MatriculesEmployes,0)),"MATRICULE INCONNU"))</f>
        <v/>
      </c>
      <c r="K210" s="33">
        <f>IF(OR($D210="",$F210=""),"",IFERROR(IF(INDEX(RUNS!$L$6:$S$1005,MATCH($D210,RUNS!$A$6:$A$1005,0),MATCH("ACTIVITÉ "&amp;$F210,RUNS!$L$5:$S$5,0))="","",INDEX(RUNS!$L$6:$S$1005,MATCH($D210,RUNS!$A$6:$A$1005,0),MATCH("ACTIVITÉ "&amp;$F210,RUNS!$L$5:$S$5,0))),""))</f>
        <v/>
      </c>
      <c r="L210" s="33">
        <f>IF($D210="","",IFERROR(IF(INDEX(RUNS!$E$6:$E$1005,MATCH($D210,RUNS!$A$6:$A$1005,0))="","",INDEX(RUNS!$E$6:$E$1005,MATCH($D210,RUNS!$A$6:$A$1005,0))),""))</f>
        <v/>
      </c>
      <c r="M210" s="33">
        <f>IF($D210="","",IFERROR(IF(INDEX(RUNS!$F$6:$F$1005,MATCH($D210,RUNS!$A$6:$A$1005,0))="","",INDEX(RUNS!$F$6:$F$1005,MATCH($D210,RUNS!$A$6:$A$1005,0))),""))</f>
        <v/>
      </c>
      <c r="N210" s="33">
        <f>IF($D210="","",IFERROR(IF(INDEX(RUNS!$G$6:$G$1005,MATCH($D210,RUNS!$A$6:$A$1005,0))="","",INDEX(RUNS!$G$6:$G$1005,MATCH($D210,RUNS!$A$6:$A$1005,0))),""))</f>
        <v/>
      </c>
      <c r="O210" s="33">
        <f>IF($D210="","",IFERROR(IF(INDEX(RUNS!$H$6:$H$1005,MATCH($D210,RUNS!$A$6:$A$1005,0))="","",INDEX(RUNS!$H$6:$H$1005,MATCH($D210,RUNS!$A$6:$A$1005,0))),""))</f>
        <v/>
      </c>
      <c r="P210" s="33">
        <f>IF($D210="","",IFERROR(IF(INDEX(RUNS!$J$6:$J$1005,MATCH($D210,RUNS!$A$6:$A$1005,0))="","",INDEX(RUNS!$J$6:$J$1005,MATCH($D210,RUNS!$A$6:$A$1005,0))),""))</f>
        <v/>
      </c>
      <c r="Q210" s="33">
        <f>IF($D210="","",IFERROR(IF(INDEX(RUNS!$K$6:$K$1005,MATCH($D210,RUNS!$A$6:$A$1005,0))="","",INDEX(RUNS!$K$6:$K$1005,MATCH($D210,RUNS!$A$6:$A$1005,0))),""))</f>
        <v/>
      </c>
      <c r="R210" s="34">
        <f>IF(OR($L210="",$K210=""),"",IFERROR(IF(INDEX(PARAMETRES!$H$43:$H$342,MATCH($L210&amp;"|"&amp;$M210&amp;"|"&amp;$N210&amp;"|"&amp;$O210&amp;"|"&amp;$P210&amp;"|"&amp;$Q210&amp;"|"&amp;$K210,PARAMETRES!$J$43:$J$342,0))="","",INDEX(PARAMETRES!$H$43:$H$342,MATCH($L210&amp;"|"&amp;$M210&amp;"|"&amp;$N210&amp;"|"&amp;$O210&amp;"|"&amp;$P210&amp;"|"&amp;$Q210&amp;"|"&amp;$K210,PARAMETRES!$J$43:$J$342,0))),""))</f>
        <v/>
      </c>
      <c r="S210" s="35">
        <f>IF(OR($G210="",$X210&lt;&gt;"VALIDE"),"",IFERROR(LOOKUP(2,1/(($B$3:$B209=$B210)*($G$3:$G209=$G210)*($X$3:$X209="VALIDE")),$C$3:$C209),""))</f>
        <v/>
      </c>
      <c r="T210" s="36">
        <f>IF(OR($C210="",$S210=""),"",ROUND(($C210-$S210+IF($C210&lt;$S210,1,0))*1440,0))</f>
        <v/>
      </c>
      <c r="U210" s="22">
        <f>IF(OR($H210="",$T210="",$T210&lt;=0),"",$H210*60/$T210)</f>
        <v/>
      </c>
      <c r="V210" s="37">
        <f>IF(OR($U210="",$R210="",$R210=0),"",$U210/$R210)</f>
        <v/>
      </c>
      <c r="W210" s="20">
        <f>IF($G210="","",IF($X210="CONTEXTE INCOMPLET","CONTEXTE INCOMPLET",IF($X210="DOUBLON",StatutDoublon,IF($S210="",StatutInitial,IF($R210="",StatutStandardManquant,IF($V210="","DONNEES INSUFFISANTES",IF($V210&gt;=SeuilConforme,StatutConforme,IF($V210&gt;=SeuilSurveiller,StatutSurveiller,StatutSousStandard))))))))</f>
        <v/>
      </c>
      <c r="X210" s="33">
        <f>IF($G210="","",IF(OR($D210="",$E210="",$F210=""),"CONTEXTE INCOMPLET",IF(COUNTIFS($D$3:$D209,$D210,$E$3:$E209,$E210,$F$3:$F209,$F210,$G$3:$G209,$G210)&gt;0,"DOUBLON","VALIDE")))</f>
        <v/>
      </c>
    </row>
    <row r="211" ht="15" customHeight="1">
      <c r="A211" s="12">
        <f>IF(OR($B211="",$G211=""),"",TEXT($B211,"YYYYMMDD")&amp;"-"&amp;SUBSTITUTE($E211," ","")&amp;"-"&amp;$F211&amp;"-"&amp;$G211)</f>
        <v/>
      </c>
      <c r="B211" s="15" t="n"/>
      <c r="C211" s="16" t="n"/>
      <c r="D211" s="10" t="n"/>
      <c r="E211" s="9" t="n"/>
      <c r="F211" s="9" t="n"/>
      <c r="G211" s="13" t="n"/>
      <c r="H211" s="21" t="n"/>
      <c r="I211" s="21" t="n"/>
      <c r="J211" s="17">
        <f>IF($G211="","",IFERROR(INDEX(NomsEmployes,MATCH($G211,MatriculesEmployes,0)),"MATRICULE INCONNU"))</f>
        <v/>
      </c>
      <c r="K211" s="33">
        <f>IF(OR($D211="",$F211=""),"",IFERROR(IF(INDEX(RUNS!$L$6:$S$1005,MATCH($D211,RUNS!$A$6:$A$1005,0),MATCH("ACTIVITÉ "&amp;$F211,RUNS!$L$5:$S$5,0))="","",INDEX(RUNS!$L$6:$S$1005,MATCH($D211,RUNS!$A$6:$A$1005,0),MATCH("ACTIVITÉ "&amp;$F211,RUNS!$L$5:$S$5,0))),""))</f>
        <v/>
      </c>
      <c r="L211" s="33">
        <f>IF($D211="","",IFERROR(IF(INDEX(RUNS!$E$6:$E$1005,MATCH($D211,RUNS!$A$6:$A$1005,0))="","",INDEX(RUNS!$E$6:$E$1005,MATCH($D211,RUNS!$A$6:$A$1005,0))),""))</f>
        <v/>
      </c>
      <c r="M211" s="33">
        <f>IF($D211="","",IFERROR(IF(INDEX(RUNS!$F$6:$F$1005,MATCH($D211,RUNS!$A$6:$A$1005,0))="","",INDEX(RUNS!$F$6:$F$1005,MATCH($D211,RUNS!$A$6:$A$1005,0))),""))</f>
        <v/>
      </c>
      <c r="N211" s="33">
        <f>IF($D211="","",IFERROR(IF(INDEX(RUNS!$G$6:$G$1005,MATCH($D211,RUNS!$A$6:$A$1005,0))="","",INDEX(RUNS!$G$6:$G$1005,MATCH($D211,RUNS!$A$6:$A$1005,0))),""))</f>
        <v/>
      </c>
      <c r="O211" s="33">
        <f>IF($D211="","",IFERROR(IF(INDEX(RUNS!$H$6:$H$1005,MATCH($D211,RUNS!$A$6:$A$1005,0))="","",INDEX(RUNS!$H$6:$H$1005,MATCH($D211,RUNS!$A$6:$A$1005,0))),""))</f>
        <v/>
      </c>
      <c r="P211" s="33">
        <f>IF($D211="","",IFERROR(IF(INDEX(RUNS!$J$6:$J$1005,MATCH($D211,RUNS!$A$6:$A$1005,0))="","",INDEX(RUNS!$J$6:$J$1005,MATCH($D211,RUNS!$A$6:$A$1005,0))),""))</f>
        <v/>
      </c>
      <c r="Q211" s="33">
        <f>IF($D211="","",IFERROR(IF(INDEX(RUNS!$K$6:$K$1005,MATCH($D211,RUNS!$A$6:$A$1005,0))="","",INDEX(RUNS!$K$6:$K$1005,MATCH($D211,RUNS!$A$6:$A$1005,0))),""))</f>
        <v/>
      </c>
      <c r="R211" s="34">
        <f>IF(OR($L211="",$K211=""),"",IFERROR(IF(INDEX(PARAMETRES!$H$43:$H$342,MATCH($L211&amp;"|"&amp;$M211&amp;"|"&amp;$N211&amp;"|"&amp;$O211&amp;"|"&amp;$P211&amp;"|"&amp;$Q211&amp;"|"&amp;$K211,PARAMETRES!$J$43:$J$342,0))="","",INDEX(PARAMETRES!$H$43:$H$342,MATCH($L211&amp;"|"&amp;$M211&amp;"|"&amp;$N211&amp;"|"&amp;$O211&amp;"|"&amp;$P211&amp;"|"&amp;$Q211&amp;"|"&amp;$K211,PARAMETRES!$J$43:$J$342,0))),""))</f>
        <v/>
      </c>
      <c r="S211" s="35">
        <f>IF(OR($G211="",$X211&lt;&gt;"VALIDE"),"",IFERROR(LOOKUP(2,1/(($B$3:$B210=$B211)*($G$3:$G210=$G211)*($X$3:$X210="VALIDE")),$C$3:$C210),""))</f>
        <v/>
      </c>
      <c r="T211" s="36">
        <f>IF(OR($C211="",$S211=""),"",ROUND(($C211-$S211+IF($C211&lt;$S211,1,0))*1440,0))</f>
        <v/>
      </c>
      <c r="U211" s="22">
        <f>IF(OR($H211="",$T211="",$T211&lt;=0),"",$H211*60/$T211)</f>
        <v/>
      </c>
      <c r="V211" s="37">
        <f>IF(OR($U211="",$R211="",$R211=0),"",$U211/$R211)</f>
        <v/>
      </c>
      <c r="W211" s="20">
        <f>IF($G211="","",IF($X211="CONTEXTE INCOMPLET","CONTEXTE INCOMPLET",IF($X211="DOUBLON",StatutDoublon,IF($S211="",StatutInitial,IF($R211="",StatutStandardManquant,IF($V211="","DONNEES INSUFFISANTES",IF($V211&gt;=SeuilConforme,StatutConforme,IF($V211&gt;=SeuilSurveiller,StatutSurveiller,StatutSousStandard))))))))</f>
        <v/>
      </c>
      <c r="X211" s="33">
        <f>IF($G211="","",IF(OR($D211="",$E211="",$F211=""),"CONTEXTE INCOMPLET",IF(COUNTIFS($D$3:$D210,$D211,$E$3:$E210,$E211,$F$3:$F210,$F211,$G$3:$G210,$G211)&gt;0,"DOUBLON","VALIDE")))</f>
        <v/>
      </c>
    </row>
    <row r="212" ht="15" customHeight="1">
      <c r="A212" s="12">
        <f>IF(OR($B212="",$G212=""),"",TEXT($B212,"YYYYMMDD")&amp;"-"&amp;SUBSTITUTE($E212," ","")&amp;"-"&amp;$F212&amp;"-"&amp;$G212)</f>
        <v/>
      </c>
      <c r="B212" s="15" t="n"/>
      <c r="C212" s="16" t="n"/>
      <c r="D212" s="10" t="n"/>
      <c r="E212" s="9" t="n"/>
      <c r="F212" s="9" t="n"/>
      <c r="G212" s="13" t="n"/>
      <c r="H212" s="21" t="n"/>
      <c r="I212" s="21" t="n"/>
      <c r="J212" s="17">
        <f>IF($G212="","",IFERROR(INDEX(NomsEmployes,MATCH($G212,MatriculesEmployes,0)),"MATRICULE INCONNU"))</f>
        <v/>
      </c>
      <c r="K212" s="33">
        <f>IF(OR($D212="",$F212=""),"",IFERROR(IF(INDEX(RUNS!$L$6:$S$1005,MATCH($D212,RUNS!$A$6:$A$1005,0),MATCH("ACTIVITÉ "&amp;$F212,RUNS!$L$5:$S$5,0))="","",INDEX(RUNS!$L$6:$S$1005,MATCH($D212,RUNS!$A$6:$A$1005,0),MATCH("ACTIVITÉ "&amp;$F212,RUNS!$L$5:$S$5,0))),""))</f>
        <v/>
      </c>
      <c r="L212" s="33">
        <f>IF($D212="","",IFERROR(IF(INDEX(RUNS!$E$6:$E$1005,MATCH($D212,RUNS!$A$6:$A$1005,0))="","",INDEX(RUNS!$E$6:$E$1005,MATCH($D212,RUNS!$A$6:$A$1005,0))),""))</f>
        <v/>
      </c>
      <c r="M212" s="33">
        <f>IF($D212="","",IFERROR(IF(INDEX(RUNS!$F$6:$F$1005,MATCH($D212,RUNS!$A$6:$A$1005,0))="","",INDEX(RUNS!$F$6:$F$1005,MATCH($D212,RUNS!$A$6:$A$1005,0))),""))</f>
        <v/>
      </c>
      <c r="N212" s="33">
        <f>IF($D212="","",IFERROR(IF(INDEX(RUNS!$G$6:$G$1005,MATCH($D212,RUNS!$A$6:$A$1005,0))="","",INDEX(RUNS!$G$6:$G$1005,MATCH($D212,RUNS!$A$6:$A$1005,0))),""))</f>
        <v/>
      </c>
      <c r="O212" s="33">
        <f>IF($D212="","",IFERROR(IF(INDEX(RUNS!$H$6:$H$1005,MATCH($D212,RUNS!$A$6:$A$1005,0))="","",INDEX(RUNS!$H$6:$H$1005,MATCH($D212,RUNS!$A$6:$A$1005,0))),""))</f>
        <v/>
      </c>
      <c r="P212" s="33">
        <f>IF($D212="","",IFERROR(IF(INDEX(RUNS!$J$6:$J$1005,MATCH($D212,RUNS!$A$6:$A$1005,0))="","",INDEX(RUNS!$J$6:$J$1005,MATCH($D212,RUNS!$A$6:$A$1005,0))),""))</f>
        <v/>
      </c>
      <c r="Q212" s="33">
        <f>IF($D212="","",IFERROR(IF(INDEX(RUNS!$K$6:$K$1005,MATCH($D212,RUNS!$A$6:$A$1005,0))="","",INDEX(RUNS!$K$6:$K$1005,MATCH($D212,RUNS!$A$6:$A$1005,0))),""))</f>
        <v/>
      </c>
      <c r="R212" s="34">
        <f>IF(OR($L212="",$K212=""),"",IFERROR(IF(INDEX(PARAMETRES!$H$43:$H$342,MATCH($L212&amp;"|"&amp;$M212&amp;"|"&amp;$N212&amp;"|"&amp;$O212&amp;"|"&amp;$P212&amp;"|"&amp;$Q212&amp;"|"&amp;$K212,PARAMETRES!$J$43:$J$342,0))="","",INDEX(PARAMETRES!$H$43:$H$342,MATCH($L212&amp;"|"&amp;$M212&amp;"|"&amp;$N212&amp;"|"&amp;$O212&amp;"|"&amp;$P212&amp;"|"&amp;$Q212&amp;"|"&amp;$K212,PARAMETRES!$J$43:$J$342,0))),""))</f>
        <v/>
      </c>
      <c r="S212" s="35">
        <f>IF(OR($G212="",$X212&lt;&gt;"VALIDE"),"",IFERROR(LOOKUP(2,1/(($B$3:$B211=$B212)*($G$3:$G211=$G212)*($X$3:$X211="VALIDE")),$C$3:$C211),""))</f>
        <v/>
      </c>
      <c r="T212" s="36">
        <f>IF(OR($C212="",$S212=""),"",ROUND(($C212-$S212+IF($C212&lt;$S212,1,0))*1440,0))</f>
        <v/>
      </c>
      <c r="U212" s="22">
        <f>IF(OR($H212="",$T212="",$T212&lt;=0),"",$H212*60/$T212)</f>
        <v/>
      </c>
      <c r="V212" s="37">
        <f>IF(OR($U212="",$R212="",$R212=0),"",$U212/$R212)</f>
        <v/>
      </c>
      <c r="W212" s="20">
        <f>IF($G212="","",IF($X212="CONTEXTE INCOMPLET","CONTEXTE INCOMPLET",IF($X212="DOUBLON",StatutDoublon,IF($S212="",StatutInitial,IF($R212="",StatutStandardManquant,IF($V212="","DONNEES INSUFFISANTES",IF($V212&gt;=SeuilConforme,StatutConforme,IF($V212&gt;=SeuilSurveiller,StatutSurveiller,StatutSousStandard))))))))</f>
        <v/>
      </c>
      <c r="X212" s="33">
        <f>IF($G212="","",IF(OR($D212="",$E212="",$F212=""),"CONTEXTE INCOMPLET",IF(COUNTIFS($D$3:$D211,$D212,$E$3:$E211,$E212,$F$3:$F211,$F212,$G$3:$G211,$G212)&gt;0,"DOUBLON","VALIDE")))</f>
        <v/>
      </c>
    </row>
    <row r="213" ht="15" customHeight="1">
      <c r="A213" s="12">
        <f>IF(OR($B213="",$G213=""),"",TEXT($B213,"YYYYMMDD")&amp;"-"&amp;SUBSTITUTE($E213," ","")&amp;"-"&amp;$F213&amp;"-"&amp;$G213)</f>
        <v/>
      </c>
      <c r="B213" s="15" t="n"/>
      <c r="C213" s="16" t="n"/>
      <c r="D213" s="10" t="n"/>
      <c r="E213" s="9" t="n"/>
      <c r="F213" s="9" t="n"/>
      <c r="G213" s="13" t="n"/>
      <c r="H213" s="21" t="n"/>
      <c r="I213" s="21" t="n"/>
      <c r="J213" s="17">
        <f>IF($G213="","",IFERROR(INDEX(NomsEmployes,MATCH($G213,MatriculesEmployes,0)),"MATRICULE INCONNU"))</f>
        <v/>
      </c>
      <c r="K213" s="33">
        <f>IF(OR($D213="",$F213=""),"",IFERROR(IF(INDEX(RUNS!$L$6:$S$1005,MATCH($D213,RUNS!$A$6:$A$1005,0),MATCH("ACTIVITÉ "&amp;$F213,RUNS!$L$5:$S$5,0))="","",INDEX(RUNS!$L$6:$S$1005,MATCH($D213,RUNS!$A$6:$A$1005,0),MATCH("ACTIVITÉ "&amp;$F213,RUNS!$L$5:$S$5,0))),""))</f>
        <v/>
      </c>
      <c r="L213" s="33">
        <f>IF($D213="","",IFERROR(IF(INDEX(RUNS!$E$6:$E$1005,MATCH($D213,RUNS!$A$6:$A$1005,0))="","",INDEX(RUNS!$E$6:$E$1005,MATCH($D213,RUNS!$A$6:$A$1005,0))),""))</f>
        <v/>
      </c>
      <c r="M213" s="33">
        <f>IF($D213="","",IFERROR(IF(INDEX(RUNS!$F$6:$F$1005,MATCH($D213,RUNS!$A$6:$A$1005,0))="","",INDEX(RUNS!$F$6:$F$1005,MATCH($D213,RUNS!$A$6:$A$1005,0))),""))</f>
        <v/>
      </c>
      <c r="N213" s="33">
        <f>IF($D213="","",IFERROR(IF(INDEX(RUNS!$G$6:$G$1005,MATCH($D213,RUNS!$A$6:$A$1005,0))="","",INDEX(RUNS!$G$6:$G$1005,MATCH($D213,RUNS!$A$6:$A$1005,0))),""))</f>
        <v/>
      </c>
      <c r="O213" s="33">
        <f>IF($D213="","",IFERROR(IF(INDEX(RUNS!$H$6:$H$1005,MATCH($D213,RUNS!$A$6:$A$1005,0))="","",INDEX(RUNS!$H$6:$H$1005,MATCH($D213,RUNS!$A$6:$A$1005,0))),""))</f>
        <v/>
      </c>
      <c r="P213" s="33">
        <f>IF($D213="","",IFERROR(IF(INDEX(RUNS!$J$6:$J$1005,MATCH($D213,RUNS!$A$6:$A$1005,0))="","",INDEX(RUNS!$J$6:$J$1005,MATCH($D213,RUNS!$A$6:$A$1005,0))),""))</f>
        <v/>
      </c>
      <c r="Q213" s="33">
        <f>IF($D213="","",IFERROR(IF(INDEX(RUNS!$K$6:$K$1005,MATCH($D213,RUNS!$A$6:$A$1005,0))="","",INDEX(RUNS!$K$6:$K$1005,MATCH($D213,RUNS!$A$6:$A$1005,0))),""))</f>
        <v/>
      </c>
      <c r="R213" s="34">
        <f>IF(OR($L213="",$K213=""),"",IFERROR(IF(INDEX(PARAMETRES!$H$43:$H$342,MATCH($L213&amp;"|"&amp;$M213&amp;"|"&amp;$N213&amp;"|"&amp;$O213&amp;"|"&amp;$P213&amp;"|"&amp;$Q213&amp;"|"&amp;$K213,PARAMETRES!$J$43:$J$342,0))="","",INDEX(PARAMETRES!$H$43:$H$342,MATCH($L213&amp;"|"&amp;$M213&amp;"|"&amp;$N213&amp;"|"&amp;$O213&amp;"|"&amp;$P213&amp;"|"&amp;$Q213&amp;"|"&amp;$K213,PARAMETRES!$J$43:$J$342,0))),""))</f>
        <v/>
      </c>
      <c r="S213" s="35">
        <f>IF(OR($G213="",$X213&lt;&gt;"VALIDE"),"",IFERROR(LOOKUP(2,1/(($B$3:$B212=$B213)*($G$3:$G212=$G213)*($X$3:$X212="VALIDE")),$C$3:$C212),""))</f>
        <v/>
      </c>
      <c r="T213" s="36">
        <f>IF(OR($C213="",$S213=""),"",ROUND(($C213-$S213+IF($C213&lt;$S213,1,0))*1440,0))</f>
        <v/>
      </c>
      <c r="U213" s="22">
        <f>IF(OR($H213="",$T213="",$T213&lt;=0),"",$H213*60/$T213)</f>
        <v/>
      </c>
      <c r="V213" s="37">
        <f>IF(OR($U213="",$R213="",$R213=0),"",$U213/$R213)</f>
        <v/>
      </c>
      <c r="W213" s="20">
        <f>IF($G213="","",IF($X213="CONTEXTE INCOMPLET","CONTEXTE INCOMPLET",IF($X213="DOUBLON",StatutDoublon,IF($S213="",StatutInitial,IF($R213="",StatutStandardManquant,IF($V213="","DONNEES INSUFFISANTES",IF($V213&gt;=SeuilConforme,StatutConforme,IF($V213&gt;=SeuilSurveiller,StatutSurveiller,StatutSousStandard))))))))</f>
        <v/>
      </c>
      <c r="X213" s="33">
        <f>IF($G213="","",IF(OR($D213="",$E213="",$F213=""),"CONTEXTE INCOMPLET",IF(COUNTIFS($D$3:$D212,$D213,$E$3:$E212,$E213,$F$3:$F212,$F213,$G$3:$G212,$G213)&gt;0,"DOUBLON","VALIDE")))</f>
        <v/>
      </c>
    </row>
    <row r="214" ht="15" customHeight="1">
      <c r="A214" s="12">
        <f>IF(OR($B214="",$G214=""),"",TEXT($B214,"YYYYMMDD")&amp;"-"&amp;SUBSTITUTE($E214," ","")&amp;"-"&amp;$F214&amp;"-"&amp;$G214)</f>
        <v/>
      </c>
      <c r="B214" s="15" t="n"/>
      <c r="C214" s="16" t="n"/>
      <c r="D214" s="10" t="n"/>
      <c r="E214" s="9" t="n"/>
      <c r="F214" s="9" t="n"/>
      <c r="G214" s="13" t="n"/>
      <c r="H214" s="21" t="n"/>
      <c r="I214" s="21" t="n"/>
      <c r="J214" s="17">
        <f>IF($G214="","",IFERROR(INDEX(NomsEmployes,MATCH($G214,MatriculesEmployes,0)),"MATRICULE INCONNU"))</f>
        <v/>
      </c>
      <c r="K214" s="33">
        <f>IF(OR($D214="",$F214=""),"",IFERROR(IF(INDEX(RUNS!$L$6:$S$1005,MATCH($D214,RUNS!$A$6:$A$1005,0),MATCH("ACTIVITÉ "&amp;$F214,RUNS!$L$5:$S$5,0))="","",INDEX(RUNS!$L$6:$S$1005,MATCH($D214,RUNS!$A$6:$A$1005,0),MATCH("ACTIVITÉ "&amp;$F214,RUNS!$L$5:$S$5,0))),""))</f>
        <v/>
      </c>
      <c r="L214" s="33">
        <f>IF($D214="","",IFERROR(IF(INDEX(RUNS!$E$6:$E$1005,MATCH($D214,RUNS!$A$6:$A$1005,0))="","",INDEX(RUNS!$E$6:$E$1005,MATCH($D214,RUNS!$A$6:$A$1005,0))),""))</f>
        <v/>
      </c>
      <c r="M214" s="33">
        <f>IF($D214="","",IFERROR(IF(INDEX(RUNS!$F$6:$F$1005,MATCH($D214,RUNS!$A$6:$A$1005,0))="","",INDEX(RUNS!$F$6:$F$1005,MATCH($D214,RUNS!$A$6:$A$1005,0))),""))</f>
        <v/>
      </c>
      <c r="N214" s="33">
        <f>IF($D214="","",IFERROR(IF(INDEX(RUNS!$G$6:$G$1005,MATCH($D214,RUNS!$A$6:$A$1005,0))="","",INDEX(RUNS!$G$6:$G$1005,MATCH($D214,RUNS!$A$6:$A$1005,0))),""))</f>
        <v/>
      </c>
      <c r="O214" s="33">
        <f>IF($D214="","",IFERROR(IF(INDEX(RUNS!$H$6:$H$1005,MATCH($D214,RUNS!$A$6:$A$1005,0))="","",INDEX(RUNS!$H$6:$H$1005,MATCH($D214,RUNS!$A$6:$A$1005,0))),""))</f>
        <v/>
      </c>
      <c r="P214" s="33">
        <f>IF($D214="","",IFERROR(IF(INDEX(RUNS!$J$6:$J$1005,MATCH($D214,RUNS!$A$6:$A$1005,0))="","",INDEX(RUNS!$J$6:$J$1005,MATCH($D214,RUNS!$A$6:$A$1005,0))),""))</f>
        <v/>
      </c>
      <c r="Q214" s="33">
        <f>IF($D214="","",IFERROR(IF(INDEX(RUNS!$K$6:$K$1005,MATCH($D214,RUNS!$A$6:$A$1005,0))="","",INDEX(RUNS!$K$6:$K$1005,MATCH($D214,RUNS!$A$6:$A$1005,0))),""))</f>
        <v/>
      </c>
      <c r="R214" s="34">
        <f>IF(OR($L214="",$K214=""),"",IFERROR(IF(INDEX(PARAMETRES!$H$43:$H$342,MATCH($L214&amp;"|"&amp;$M214&amp;"|"&amp;$N214&amp;"|"&amp;$O214&amp;"|"&amp;$P214&amp;"|"&amp;$Q214&amp;"|"&amp;$K214,PARAMETRES!$J$43:$J$342,0))="","",INDEX(PARAMETRES!$H$43:$H$342,MATCH($L214&amp;"|"&amp;$M214&amp;"|"&amp;$N214&amp;"|"&amp;$O214&amp;"|"&amp;$P214&amp;"|"&amp;$Q214&amp;"|"&amp;$K214,PARAMETRES!$J$43:$J$342,0))),""))</f>
        <v/>
      </c>
      <c r="S214" s="35">
        <f>IF(OR($G214="",$X214&lt;&gt;"VALIDE"),"",IFERROR(LOOKUP(2,1/(($B$3:$B213=$B214)*($G$3:$G213=$G214)*($X$3:$X213="VALIDE")),$C$3:$C213),""))</f>
        <v/>
      </c>
      <c r="T214" s="36">
        <f>IF(OR($C214="",$S214=""),"",ROUND(($C214-$S214+IF($C214&lt;$S214,1,0))*1440,0))</f>
        <v/>
      </c>
      <c r="U214" s="22">
        <f>IF(OR($H214="",$T214="",$T214&lt;=0),"",$H214*60/$T214)</f>
        <v/>
      </c>
      <c r="V214" s="37">
        <f>IF(OR($U214="",$R214="",$R214=0),"",$U214/$R214)</f>
        <v/>
      </c>
      <c r="W214" s="20">
        <f>IF($G214="","",IF($X214="CONTEXTE INCOMPLET","CONTEXTE INCOMPLET",IF($X214="DOUBLON",StatutDoublon,IF($S214="",StatutInitial,IF($R214="",StatutStandardManquant,IF($V214="","DONNEES INSUFFISANTES",IF($V214&gt;=SeuilConforme,StatutConforme,IF($V214&gt;=SeuilSurveiller,StatutSurveiller,StatutSousStandard))))))))</f>
        <v/>
      </c>
      <c r="X214" s="33">
        <f>IF($G214="","",IF(OR($D214="",$E214="",$F214=""),"CONTEXTE INCOMPLET",IF(COUNTIFS($D$3:$D213,$D214,$E$3:$E213,$E214,$F$3:$F213,$F214,$G$3:$G213,$G214)&gt;0,"DOUBLON","VALIDE")))</f>
        <v/>
      </c>
    </row>
    <row r="215" ht="15" customHeight="1">
      <c r="A215" s="12">
        <f>IF(OR($B215="",$G215=""),"",TEXT($B215,"YYYYMMDD")&amp;"-"&amp;SUBSTITUTE($E215," ","")&amp;"-"&amp;$F215&amp;"-"&amp;$G215)</f>
        <v/>
      </c>
      <c r="B215" s="15" t="n"/>
      <c r="C215" s="16" t="n"/>
      <c r="D215" s="10" t="n"/>
      <c r="E215" s="9" t="n"/>
      <c r="F215" s="9" t="n"/>
      <c r="G215" s="13" t="n"/>
      <c r="H215" s="21" t="n"/>
      <c r="I215" s="21" t="n"/>
      <c r="J215" s="17">
        <f>IF($G215="","",IFERROR(INDEX(NomsEmployes,MATCH($G215,MatriculesEmployes,0)),"MATRICULE INCONNU"))</f>
        <v/>
      </c>
      <c r="K215" s="33">
        <f>IF(OR($D215="",$F215=""),"",IFERROR(IF(INDEX(RUNS!$L$6:$S$1005,MATCH($D215,RUNS!$A$6:$A$1005,0),MATCH("ACTIVITÉ "&amp;$F215,RUNS!$L$5:$S$5,0))="","",INDEX(RUNS!$L$6:$S$1005,MATCH($D215,RUNS!$A$6:$A$1005,0),MATCH("ACTIVITÉ "&amp;$F215,RUNS!$L$5:$S$5,0))),""))</f>
        <v/>
      </c>
      <c r="L215" s="33">
        <f>IF($D215="","",IFERROR(IF(INDEX(RUNS!$E$6:$E$1005,MATCH($D215,RUNS!$A$6:$A$1005,0))="","",INDEX(RUNS!$E$6:$E$1005,MATCH($D215,RUNS!$A$6:$A$1005,0))),""))</f>
        <v/>
      </c>
      <c r="M215" s="33">
        <f>IF($D215="","",IFERROR(IF(INDEX(RUNS!$F$6:$F$1005,MATCH($D215,RUNS!$A$6:$A$1005,0))="","",INDEX(RUNS!$F$6:$F$1005,MATCH($D215,RUNS!$A$6:$A$1005,0))),""))</f>
        <v/>
      </c>
      <c r="N215" s="33">
        <f>IF($D215="","",IFERROR(IF(INDEX(RUNS!$G$6:$G$1005,MATCH($D215,RUNS!$A$6:$A$1005,0))="","",INDEX(RUNS!$G$6:$G$1005,MATCH($D215,RUNS!$A$6:$A$1005,0))),""))</f>
        <v/>
      </c>
      <c r="O215" s="33">
        <f>IF($D215="","",IFERROR(IF(INDEX(RUNS!$H$6:$H$1005,MATCH($D215,RUNS!$A$6:$A$1005,0))="","",INDEX(RUNS!$H$6:$H$1005,MATCH($D215,RUNS!$A$6:$A$1005,0))),""))</f>
        <v/>
      </c>
      <c r="P215" s="33">
        <f>IF($D215="","",IFERROR(IF(INDEX(RUNS!$J$6:$J$1005,MATCH($D215,RUNS!$A$6:$A$1005,0))="","",INDEX(RUNS!$J$6:$J$1005,MATCH($D215,RUNS!$A$6:$A$1005,0))),""))</f>
        <v/>
      </c>
      <c r="Q215" s="33">
        <f>IF($D215="","",IFERROR(IF(INDEX(RUNS!$K$6:$K$1005,MATCH($D215,RUNS!$A$6:$A$1005,0))="","",INDEX(RUNS!$K$6:$K$1005,MATCH($D215,RUNS!$A$6:$A$1005,0))),""))</f>
        <v/>
      </c>
      <c r="R215" s="34">
        <f>IF(OR($L215="",$K215=""),"",IFERROR(IF(INDEX(PARAMETRES!$H$43:$H$342,MATCH($L215&amp;"|"&amp;$M215&amp;"|"&amp;$N215&amp;"|"&amp;$O215&amp;"|"&amp;$P215&amp;"|"&amp;$Q215&amp;"|"&amp;$K215,PARAMETRES!$J$43:$J$342,0))="","",INDEX(PARAMETRES!$H$43:$H$342,MATCH($L215&amp;"|"&amp;$M215&amp;"|"&amp;$N215&amp;"|"&amp;$O215&amp;"|"&amp;$P215&amp;"|"&amp;$Q215&amp;"|"&amp;$K215,PARAMETRES!$J$43:$J$342,0))),""))</f>
        <v/>
      </c>
      <c r="S215" s="35">
        <f>IF(OR($G215="",$X215&lt;&gt;"VALIDE"),"",IFERROR(LOOKUP(2,1/(($B$3:$B214=$B215)*($G$3:$G214=$G215)*($X$3:$X214="VALIDE")),$C$3:$C214),""))</f>
        <v/>
      </c>
      <c r="T215" s="36">
        <f>IF(OR($C215="",$S215=""),"",ROUND(($C215-$S215+IF($C215&lt;$S215,1,0))*1440,0))</f>
        <v/>
      </c>
      <c r="U215" s="22">
        <f>IF(OR($H215="",$T215="",$T215&lt;=0),"",$H215*60/$T215)</f>
        <v/>
      </c>
      <c r="V215" s="37">
        <f>IF(OR($U215="",$R215="",$R215=0),"",$U215/$R215)</f>
        <v/>
      </c>
      <c r="W215" s="20">
        <f>IF($G215="","",IF($X215="CONTEXTE INCOMPLET","CONTEXTE INCOMPLET",IF($X215="DOUBLON",StatutDoublon,IF($S215="",StatutInitial,IF($R215="",StatutStandardManquant,IF($V215="","DONNEES INSUFFISANTES",IF($V215&gt;=SeuilConforme,StatutConforme,IF($V215&gt;=SeuilSurveiller,StatutSurveiller,StatutSousStandard))))))))</f>
        <v/>
      </c>
      <c r="X215" s="33">
        <f>IF($G215="","",IF(OR($D215="",$E215="",$F215=""),"CONTEXTE INCOMPLET",IF(COUNTIFS($D$3:$D214,$D215,$E$3:$E214,$E215,$F$3:$F214,$F215,$G$3:$G214,$G215)&gt;0,"DOUBLON","VALIDE")))</f>
        <v/>
      </c>
    </row>
    <row r="216" ht="15" customHeight="1">
      <c r="A216" s="12">
        <f>IF(OR($B216="",$G216=""),"",TEXT($B216,"YYYYMMDD")&amp;"-"&amp;SUBSTITUTE($E216," ","")&amp;"-"&amp;$F216&amp;"-"&amp;$G216)</f>
        <v/>
      </c>
      <c r="B216" s="15" t="n"/>
      <c r="C216" s="16" t="n"/>
      <c r="D216" s="10" t="n"/>
      <c r="E216" s="9" t="n"/>
      <c r="F216" s="9" t="n"/>
      <c r="G216" s="13" t="n"/>
      <c r="H216" s="21" t="n"/>
      <c r="I216" s="21" t="n"/>
      <c r="J216" s="17">
        <f>IF($G216="","",IFERROR(INDEX(NomsEmployes,MATCH($G216,MatriculesEmployes,0)),"MATRICULE INCONNU"))</f>
        <v/>
      </c>
      <c r="K216" s="33">
        <f>IF(OR($D216="",$F216=""),"",IFERROR(IF(INDEX(RUNS!$L$6:$S$1005,MATCH($D216,RUNS!$A$6:$A$1005,0),MATCH("ACTIVITÉ "&amp;$F216,RUNS!$L$5:$S$5,0))="","",INDEX(RUNS!$L$6:$S$1005,MATCH($D216,RUNS!$A$6:$A$1005,0),MATCH("ACTIVITÉ "&amp;$F216,RUNS!$L$5:$S$5,0))),""))</f>
        <v/>
      </c>
      <c r="L216" s="33">
        <f>IF($D216="","",IFERROR(IF(INDEX(RUNS!$E$6:$E$1005,MATCH($D216,RUNS!$A$6:$A$1005,0))="","",INDEX(RUNS!$E$6:$E$1005,MATCH($D216,RUNS!$A$6:$A$1005,0))),""))</f>
        <v/>
      </c>
      <c r="M216" s="33">
        <f>IF($D216="","",IFERROR(IF(INDEX(RUNS!$F$6:$F$1005,MATCH($D216,RUNS!$A$6:$A$1005,0))="","",INDEX(RUNS!$F$6:$F$1005,MATCH($D216,RUNS!$A$6:$A$1005,0))),""))</f>
        <v/>
      </c>
      <c r="N216" s="33">
        <f>IF($D216="","",IFERROR(IF(INDEX(RUNS!$G$6:$G$1005,MATCH($D216,RUNS!$A$6:$A$1005,0))="","",INDEX(RUNS!$G$6:$G$1005,MATCH($D216,RUNS!$A$6:$A$1005,0))),""))</f>
        <v/>
      </c>
      <c r="O216" s="33">
        <f>IF($D216="","",IFERROR(IF(INDEX(RUNS!$H$6:$H$1005,MATCH($D216,RUNS!$A$6:$A$1005,0))="","",INDEX(RUNS!$H$6:$H$1005,MATCH($D216,RUNS!$A$6:$A$1005,0))),""))</f>
        <v/>
      </c>
      <c r="P216" s="33">
        <f>IF($D216="","",IFERROR(IF(INDEX(RUNS!$J$6:$J$1005,MATCH($D216,RUNS!$A$6:$A$1005,0))="","",INDEX(RUNS!$J$6:$J$1005,MATCH($D216,RUNS!$A$6:$A$1005,0))),""))</f>
        <v/>
      </c>
      <c r="Q216" s="33">
        <f>IF($D216="","",IFERROR(IF(INDEX(RUNS!$K$6:$K$1005,MATCH($D216,RUNS!$A$6:$A$1005,0))="","",INDEX(RUNS!$K$6:$K$1005,MATCH($D216,RUNS!$A$6:$A$1005,0))),""))</f>
        <v/>
      </c>
      <c r="R216" s="34">
        <f>IF(OR($L216="",$K216=""),"",IFERROR(IF(INDEX(PARAMETRES!$H$43:$H$342,MATCH($L216&amp;"|"&amp;$M216&amp;"|"&amp;$N216&amp;"|"&amp;$O216&amp;"|"&amp;$P216&amp;"|"&amp;$Q216&amp;"|"&amp;$K216,PARAMETRES!$J$43:$J$342,0))="","",INDEX(PARAMETRES!$H$43:$H$342,MATCH($L216&amp;"|"&amp;$M216&amp;"|"&amp;$N216&amp;"|"&amp;$O216&amp;"|"&amp;$P216&amp;"|"&amp;$Q216&amp;"|"&amp;$K216,PARAMETRES!$J$43:$J$342,0))),""))</f>
        <v/>
      </c>
      <c r="S216" s="35">
        <f>IF(OR($G216="",$X216&lt;&gt;"VALIDE"),"",IFERROR(LOOKUP(2,1/(($B$3:$B215=$B216)*($G$3:$G215=$G216)*($X$3:$X215="VALIDE")),$C$3:$C215),""))</f>
        <v/>
      </c>
      <c r="T216" s="36">
        <f>IF(OR($C216="",$S216=""),"",ROUND(($C216-$S216+IF($C216&lt;$S216,1,0))*1440,0))</f>
        <v/>
      </c>
      <c r="U216" s="22">
        <f>IF(OR($H216="",$T216="",$T216&lt;=0),"",$H216*60/$T216)</f>
        <v/>
      </c>
      <c r="V216" s="37">
        <f>IF(OR($U216="",$R216="",$R216=0),"",$U216/$R216)</f>
        <v/>
      </c>
      <c r="W216" s="20">
        <f>IF($G216="","",IF($X216="CONTEXTE INCOMPLET","CONTEXTE INCOMPLET",IF($X216="DOUBLON",StatutDoublon,IF($S216="",StatutInitial,IF($R216="",StatutStandardManquant,IF($V216="","DONNEES INSUFFISANTES",IF($V216&gt;=SeuilConforme,StatutConforme,IF($V216&gt;=SeuilSurveiller,StatutSurveiller,StatutSousStandard))))))))</f>
        <v/>
      </c>
      <c r="X216" s="33">
        <f>IF($G216="","",IF(OR($D216="",$E216="",$F216=""),"CONTEXTE INCOMPLET",IF(COUNTIFS($D$3:$D215,$D216,$E$3:$E215,$E216,$F$3:$F215,$F216,$G$3:$G215,$G216)&gt;0,"DOUBLON","VALIDE")))</f>
        <v/>
      </c>
    </row>
    <row r="217" ht="15" customHeight="1">
      <c r="A217" s="12">
        <f>IF(OR($B217="",$G217=""),"",TEXT($B217,"YYYYMMDD")&amp;"-"&amp;SUBSTITUTE($E217," ","")&amp;"-"&amp;$F217&amp;"-"&amp;$G217)</f>
        <v/>
      </c>
      <c r="B217" s="15" t="n"/>
      <c r="C217" s="16" t="n"/>
      <c r="D217" s="10" t="n"/>
      <c r="E217" s="9" t="n"/>
      <c r="F217" s="9" t="n"/>
      <c r="G217" s="13" t="n"/>
      <c r="H217" s="21" t="n"/>
      <c r="I217" s="21" t="n"/>
      <c r="J217" s="17">
        <f>IF($G217="","",IFERROR(INDEX(NomsEmployes,MATCH($G217,MatriculesEmployes,0)),"MATRICULE INCONNU"))</f>
        <v/>
      </c>
      <c r="K217" s="33">
        <f>IF(OR($D217="",$F217=""),"",IFERROR(IF(INDEX(RUNS!$L$6:$S$1005,MATCH($D217,RUNS!$A$6:$A$1005,0),MATCH("ACTIVITÉ "&amp;$F217,RUNS!$L$5:$S$5,0))="","",INDEX(RUNS!$L$6:$S$1005,MATCH($D217,RUNS!$A$6:$A$1005,0),MATCH("ACTIVITÉ "&amp;$F217,RUNS!$L$5:$S$5,0))),""))</f>
        <v/>
      </c>
      <c r="L217" s="33">
        <f>IF($D217="","",IFERROR(IF(INDEX(RUNS!$E$6:$E$1005,MATCH($D217,RUNS!$A$6:$A$1005,0))="","",INDEX(RUNS!$E$6:$E$1005,MATCH($D217,RUNS!$A$6:$A$1005,0))),""))</f>
        <v/>
      </c>
      <c r="M217" s="33">
        <f>IF($D217="","",IFERROR(IF(INDEX(RUNS!$F$6:$F$1005,MATCH($D217,RUNS!$A$6:$A$1005,0))="","",INDEX(RUNS!$F$6:$F$1005,MATCH($D217,RUNS!$A$6:$A$1005,0))),""))</f>
        <v/>
      </c>
      <c r="N217" s="33">
        <f>IF($D217="","",IFERROR(IF(INDEX(RUNS!$G$6:$G$1005,MATCH($D217,RUNS!$A$6:$A$1005,0))="","",INDEX(RUNS!$G$6:$G$1005,MATCH($D217,RUNS!$A$6:$A$1005,0))),""))</f>
        <v/>
      </c>
      <c r="O217" s="33">
        <f>IF($D217="","",IFERROR(IF(INDEX(RUNS!$H$6:$H$1005,MATCH($D217,RUNS!$A$6:$A$1005,0))="","",INDEX(RUNS!$H$6:$H$1005,MATCH($D217,RUNS!$A$6:$A$1005,0))),""))</f>
        <v/>
      </c>
      <c r="P217" s="33">
        <f>IF($D217="","",IFERROR(IF(INDEX(RUNS!$J$6:$J$1005,MATCH($D217,RUNS!$A$6:$A$1005,0))="","",INDEX(RUNS!$J$6:$J$1005,MATCH($D217,RUNS!$A$6:$A$1005,0))),""))</f>
        <v/>
      </c>
      <c r="Q217" s="33">
        <f>IF($D217="","",IFERROR(IF(INDEX(RUNS!$K$6:$K$1005,MATCH($D217,RUNS!$A$6:$A$1005,0))="","",INDEX(RUNS!$K$6:$K$1005,MATCH($D217,RUNS!$A$6:$A$1005,0))),""))</f>
        <v/>
      </c>
      <c r="R217" s="34">
        <f>IF(OR($L217="",$K217=""),"",IFERROR(IF(INDEX(PARAMETRES!$H$43:$H$342,MATCH($L217&amp;"|"&amp;$M217&amp;"|"&amp;$N217&amp;"|"&amp;$O217&amp;"|"&amp;$P217&amp;"|"&amp;$Q217&amp;"|"&amp;$K217,PARAMETRES!$J$43:$J$342,0))="","",INDEX(PARAMETRES!$H$43:$H$342,MATCH($L217&amp;"|"&amp;$M217&amp;"|"&amp;$N217&amp;"|"&amp;$O217&amp;"|"&amp;$P217&amp;"|"&amp;$Q217&amp;"|"&amp;$K217,PARAMETRES!$J$43:$J$342,0))),""))</f>
        <v/>
      </c>
      <c r="S217" s="35">
        <f>IF(OR($G217="",$X217&lt;&gt;"VALIDE"),"",IFERROR(LOOKUP(2,1/(($B$3:$B216=$B217)*($G$3:$G216=$G217)*($X$3:$X216="VALIDE")),$C$3:$C216),""))</f>
        <v/>
      </c>
      <c r="T217" s="36">
        <f>IF(OR($C217="",$S217=""),"",ROUND(($C217-$S217+IF($C217&lt;$S217,1,0))*1440,0))</f>
        <v/>
      </c>
      <c r="U217" s="22">
        <f>IF(OR($H217="",$T217="",$T217&lt;=0),"",$H217*60/$T217)</f>
        <v/>
      </c>
      <c r="V217" s="37">
        <f>IF(OR($U217="",$R217="",$R217=0),"",$U217/$R217)</f>
        <v/>
      </c>
      <c r="W217" s="20">
        <f>IF($G217="","",IF($X217="CONTEXTE INCOMPLET","CONTEXTE INCOMPLET",IF($X217="DOUBLON",StatutDoublon,IF($S217="",StatutInitial,IF($R217="",StatutStandardManquant,IF($V217="","DONNEES INSUFFISANTES",IF($V217&gt;=SeuilConforme,StatutConforme,IF($V217&gt;=SeuilSurveiller,StatutSurveiller,StatutSousStandard))))))))</f>
        <v/>
      </c>
      <c r="X217" s="33">
        <f>IF($G217="","",IF(OR($D217="",$E217="",$F217=""),"CONTEXTE INCOMPLET",IF(COUNTIFS($D$3:$D216,$D217,$E$3:$E216,$E217,$F$3:$F216,$F217,$G$3:$G216,$G217)&gt;0,"DOUBLON","VALIDE")))</f>
        <v/>
      </c>
    </row>
    <row r="218" ht="15" customHeight="1">
      <c r="A218" s="12">
        <f>IF(OR($B218="",$G218=""),"",TEXT($B218,"YYYYMMDD")&amp;"-"&amp;SUBSTITUTE($E218," ","")&amp;"-"&amp;$F218&amp;"-"&amp;$G218)</f>
        <v/>
      </c>
      <c r="B218" s="15" t="n"/>
      <c r="C218" s="16" t="n"/>
      <c r="D218" s="10" t="n"/>
      <c r="E218" s="9" t="n"/>
      <c r="F218" s="9" t="n"/>
      <c r="G218" s="13" t="n"/>
      <c r="H218" s="21" t="n"/>
      <c r="I218" s="21" t="n"/>
      <c r="J218" s="17">
        <f>IF($G218="","",IFERROR(INDEX(NomsEmployes,MATCH($G218,MatriculesEmployes,0)),"MATRICULE INCONNU"))</f>
        <v/>
      </c>
      <c r="K218" s="33">
        <f>IF(OR($D218="",$F218=""),"",IFERROR(IF(INDEX(RUNS!$L$6:$S$1005,MATCH($D218,RUNS!$A$6:$A$1005,0),MATCH("ACTIVITÉ "&amp;$F218,RUNS!$L$5:$S$5,0))="","",INDEX(RUNS!$L$6:$S$1005,MATCH($D218,RUNS!$A$6:$A$1005,0),MATCH("ACTIVITÉ "&amp;$F218,RUNS!$L$5:$S$5,0))),""))</f>
        <v/>
      </c>
      <c r="L218" s="33">
        <f>IF($D218="","",IFERROR(IF(INDEX(RUNS!$E$6:$E$1005,MATCH($D218,RUNS!$A$6:$A$1005,0))="","",INDEX(RUNS!$E$6:$E$1005,MATCH($D218,RUNS!$A$6:$A$1005,0))),""))</f>
        <v/>
      </c>
      <c r="M218" s="33">
        <f>IF($D218="","",IFERROR(IF(INDEX(RUNS!$F$6:$F$1005,MATCH($D218,RUNS!$A$6:$A$1005,0))="","",INDEX(RUNS!$F$6:$F$1005,MATCH($D218,RUNS!$A$6:$A$1005,0))),""))</f>
        <v/>
      </c>
      <c r="N218" s="33">
        <f>IF($D218="","",IFERROR(IF(INDEX(RUNS!$G$6:$G$1005,MATCH($D218,RUNS!$A$6:$A$1005,0))="","",INDEX(RUNS!$G$6:$G$1005,MATCH($D218,RUNS!$A$6:$A$1005,0))),""))</f>
        <v/>
      </c>
      <c r="O218" s="33">
        <f>IF($D218="","",IFERROR(IF(INDEX(RUNS!$H$6:$H$1005,MATCH($D218,RUNS!$A$6:$A$1005,0))="","",INDEX(RUNS!$H$6:$H$1005,MATCH($D218,RUNS!$A$6:$A$1005,0))),""))</f>
        <v/>
      </c>
      <c r="P218" s="33">
        <f>IF($D218="","",IFERROR(IF(INDEX(RUNS!$J$6:$J$1005,MATCH($D218,RUNS!$A$6:$A$1005,0))="","",INDEX(RUNS!$J$6:$J$1005,MATCH($D218,RUNS!$A$6:$A$1005,0))),""))</f>
        <v/>
      </c>
      <c r="Q218" s="33">
        <f>IF($D218="","",IFERROR(IF(INDEX(RUNS!$K$6:$K$1005,MATCH($D218,RUNS!$A$6:$A$1005,0))="","",INDEX(RUNS!$K$6:$K$1005,MATCH($D218,RUNS!$A$6:$A$1005,0))),""))</f>
        <v/>
      </c>
      <c r="R218" s="34">
        <f>IF(OR($L218="",$K218=""),"",IFERROR(IF(INDEX(PARAMETRES!$H$43:$H$342,MATCH($L218&amp;"|"&amp;$M218&amp;"|"&amp;$N218&amp;"|"&amp;$O218&amp;"|"&amp;$P218&amp;"|"&amp;$Q218&amp;"|"&amp;$K218,PARAMETRES!$J$43:$J$342,0))="","",INDEX(PARAMETRES!$H$43:$H$342,MATCH($L218&amp;"|"&amp;$M218&amp;"|"&amp;$N218&amp;"|"&amp;$O218&amp;"|"&amp;$P218&amp;"|"&amp;$Q218&amp;"|"&amp;$K218,PARAMETRES!$J$43:$J$342,0))),""))</f>
        <v/>
      </c>
      <c r="S218" s="35">
        <f>IF(OR($G218="",$X218&lt;&gt;"VALIDE"),"",IFERROR(LOOKUP(2,1/(($B$3:$B217=$B218)*($G$3:$G217=$G218)*($X$3:$X217="VALIDE")),$C$3:$C217),""))</f>
        <v/>
      </c>
      <c r="T218" s="36">
        <f>IF(OR($C218="",$S218=""),"",ROUND(($C218-$S218+IF($C218&lt;$S218,1,0))*1440,0))</f>
        <v/>
      </c>
      <c r="U218" s="22">
        <f>IF(OR($H218="",$T218="",$T218&lt;=0),"",$H218*60/$T218)</f>
        <v/>
      </c>
      <c r="V218" s="37">
        <f>IF(OR($U218="",$R218="",$R218=0),"",$U218/$R218)</f>
        <v/>
      </c>
      <c r="W218" s="20">
        <f>IF($G218="","",IF($X218="CONTEXTE INCOMPLET","CONTEXTE INCOMPLET",IF($X218="DOUBLON",StatutDoublon,IF($S218="",StatutInitial,IF($R218="",StatutStandardManquant,IF($V218="","DONNEES INSUFFISANTES",IF($V218&gt;=SeuilConforme,StatutConforme,IF($V218&gt;=SeuilSurveiller,StatutSurveiller,StatutSousStandard))))))))</f>
        <v/>
      </c>
      <c r="X218" s="33">
        <f>IF($G218="","",IF(OR($D218="",$E218="",$F218=""),"CONTEXTE INCOMPLET",IF(COUNTIFS($D$3:$D217,$D218,$E$3:$E217,$E218,$F$3:$F217,$F218,$G$3:$G217,$G218)&gt;0,"DOUBLON","VALIDE")))</f>
        <v/>
      </c>
    </row>
    <row r="219" ht="15" customHeight="1">
      <c r="A219" s="12">
        <f>IF(OR($B219="",$G219=""),"",TEXT($B219,"YYYYMMDD")&amp;"-"&amp;SUBSTITUTE($E219," ","")&amp;"-"&amp;$F219&amp;"-"&amp;$G219)</f>
        <v/>
      </c>
      <c r="B219" s="15" t="n"/>
      <c r="C219" s="16" t="n"/>
      <c r="D219" s="10" t="n"/>
      <c r="E219" s="9" t="n"/>
      <c r="F219" s="9" t="n"/>
      <c r="G219" s="13" t="n"/>
      <c r="H219" s="21" t="n"/>
      <c r="I219" s="21" t="n"/>
      <c r="J219" s="17">
        <f>IF($G219="","",IFERROR(INDEX(NomsEmployes,MATCH($G219,MatriculesEmployes,0)),"MATRICULE INCONNU"))</f>
        <v/>
      </c>
      <c r="K219" s="33">
        <f>IF(OR($D219="",$F219=""),"",IFERROR(IF(INDEX(RUNS!$L$6:$S$1005,MATCH($D219,RUNS!$A$6:$A$1005,0),MATCH("ACTIVITÉ "&amp;$F219,RUNS!$L$5:$S$5,0))="","",INDEX(RUNS!$L$6:$S$1005,MATCH($D219,RUNS!$A$6:$A$1005,0),MATCH("ACTIVITÉ "&amp;$F219,RUNS!$L$5:$S$5,0))),""))</f>
        <v/>
      </c>
      <c r="L219" s="33">
        <f>IF($D219="","",IFERROR(IF(INDEX(RUNS!$E$6:$E$1005,MATCH($D219,RUNS!$A$6:$A$1005,0))="","",INDEX(RUNS!$E$6:$E$1005,MATCH($D219,RUNS!$A$6:$A$1005,0))),""))</f>
        <v/>
      </c>
      <c r="M219" s="33">
        <f>IF($D219="","",IFERROR(IF(INDEX(RUNS!$F$6:$F$1005,MATCH($D219,RUNS!$A$6:$A$1005,0))="","",INDEX(RUNS!$F$6:$F$1005,MATCH($D219,RUNS!$A$6:$A$1005,0))),""))</f>
        <v/>
      </c>
      <c r="N219" s="33">
        <f>IF($D219="","",IFERROR(IF(INDEX(RUNS!$G$6:$G$1005,MATCH($D219,RUNS!$A$6:$A$1005,0))="","",INDEX(RUNS!$G$6:$G$1005,MATCH($D219,RUNS!$A$6:$A$1005,0))),""))</f>
        <v/>
      </c>
      <c r="O219" s="33">
        <f>IF($D219="","",IFERROR(IF(INDEX(RUNS!$H$6:$H$1005,MATCH($D219,RUNS!$A$6:$A$1005,0))="","",INDEX(RUNS!$H$6:$H$1005,MATCH($D219,RUNS!$A$6:$A$1005,0))),""))</f>
        <v/>
      </c>
      <c r="P219" s="33">
        <f>IF($D219="","",IFERROR(IF(INDEX(RUNS!$J$6:$J$1005,MATCH($D219,RUNS!$A$6:$A$1005,0))="","",INDEX(RUNS!$J$6:$J$1005,MATCH($D219,RUNS!$A$6:$A$1005,0))),""))</f>
        <v/>
      </c>
      <c r="Q219" s="33">
        <f>IF($D219="","",IFERROR(IF(INDEX(RUNS!$K$6:$K$1005,MATCH($D219,RUNS!$A$6:$A$1005,0))="","",INDEX(RUNS!$K$6:$K$1005,MATCH($D219,RUNS!$A$6:$A$1005,0))),""))</f>
        <v/>
      </c>
      <c r="R219" s="34">
        <f>IF(OR($L219="",$K219=""),"",IFERROR(IF(INDEX(PARAMETRES!$H$43:$H$342,MATCH($L219&amp;"|"&amp;$M219&amp;"|"&amp;$N219&amp;"|"&amp;$O219&amp;"|"&amp;$P219&amp;"|"&amp;$Q219&amp;"|"&amp;$K219,PARAMETRES!$J$43:$J$342,0))="","",INDEX(PARAMETRES!$H$43:$H$342,MATCH($L219&amp;"|"&amp;$M219&amp;"|"&amp;$N219&amp;"|"&amp;$O219&amp;"|"&amp;$P219&amp;"|"&amp;$Q219&amp;"|"&amp;$K219,PARAMETRES!$J$43:$J$342,0))),""))</f>
        <v/>
      </c>
      <c r="S219" s="35">
        <f>IF(OR($G219="",$X219&lt;&gt;"VALIDE"),"",IFERROR(LOOKUP(2,1/(($B$3:$B218=$B219)*($G$3:$G218=$G219)*($X$3:$X218="VALIDE")),$C$3:$C218),""))</f>
        <v/>
      </c>
      <c r="T219" s="36">
        <f>IF(OR($C219="",$S219=""),"",ROUND(($C219-$S219+IF($C219&lt;$S219,1,0))*1440,0))</f>
        <v/>
      </c>
      <c r="U219" s="22">
        <f>IF(OR($H219="",$T219="",$T219&lt;=0),"",$H219*60/$T219)</f>
        <v/>
      </c>
      <c r="V219" s="37">
        <f>IF(OR($U219="",$R219="",$R219=0),"",$U219/$R219)</f>
        <v/>
      </c>
      <c r="W219" s="20">
        <f>IF($G219="","",IF($X219="CONTEXTE INCOMPLET","CONTEXTE INCOMPLET",IF($X219="DOUBLON",StatutDoublon,IF($S219="",StatutInitial,IF($R219="",StatutStandardManquant,IF($V219="","DONNEES INSUFFISANTES",IF($V219&gt;=SeuilConforme,StatutConforme,IF($V219&gt;=SeuilSurveiller,StatutSurveiller,StatutSousStandard))))))))</f>
        <v/>
      </c>
      <c r="X219" s="33">
        <f>IF($G219="","",IF(OR($D219="",$E219="",$F219=""),"CONTEXTE INCOMPLET",IF(COUNTIFS($D$3:$D218,$D219,$E$3:$E218,$E219,$F$3:$F218,$F219,$G$3:$G218,$G219)&gt;0,"DOUBLON","VALIDE")))</f>
        <v/>
      </c>
    </row>
    <row r="220" ht="15" customHeight="1">
      <c r="A220" s="12">
        <f>IF(OR($B220="",$G220=""),"",TEXT($B220,"YYYYMMDD")&amp;"-"&amp;SUBSTITUTE($E220," ","")&amp;"-"&amp;$F220&amp;"-"&amp;$G220)</f>
        <v/>
      </c>
      <c r="B220" s="15" t="n"/>
      <c r="C220" s="16" t="n"/>
      <c r="D220" s="10" t="n"/>
      <c r="E220" s="9" t="n"/>
      <c r="F220" s="9" t="n"/>
      <c r="G220" s="13" t="n"/>
      <c r="H220" s="21" t="n"/>
      <c r="I220" s="21" t="n"/>
      <c r="J220" s="17">
        <f>IF($G220="","",IFERROR(INDEX(NomsEmployes,MATCH($G220,MatriculesEmployes,0)),"MATRICULE INCONNU"))</f>
        <v/>
      </c>
      <c r="K220" s="33">
        <f>IF(OR($D220="",$F220=""),"",IFERROR(IF(INDEX(RUNS!$L$6:$S$1005,MATCH($D220,RUNS!$A$6:$A$1005,0),MATCH("ACTIVITÉ "&amp;$F220,RUNS!$L$5:$S$5,0))="","",INDEX(RUNS!$L$6:$S$1005,MATCH($D220,RUNS!$A$6:$A$1005,0),MATCH("ACTIVITÉ "&amp;$F220,RUNS!$L$5:$S$5,0))),""))</f>
        <v/>
      </c>
      <c r="L220" s="33">
        <f>IF($D220="","",IFERROR(IF(INDEX(RUNS!$E$6:$E$1005,MATCH($D220,RUNS!$A$6:$A$1005,0))="","",INDEX(RUNS!$E$6:$E$1005,MATCH($D220,RUNS!$A$6:$A$1005,0))),""))</f>
        <v/>
      </c>
      <c r="M220" s="33">
        <f>IF($D220="","",IFERROR(IF(INDEX(RUNS!$F$6:$F$1005,MATCH($D220,RUNS!$A$6:$A$1005,0))="","",INDEX(RUNS!$F$6:$F$1005,MATCH($D220,RUNS!$A$6:$A$1005,0))),""))</f>
        <v/>
      </c>
      <c r="N220" s="33">
        <f>IF($D220="","",IFERROR(IF(INDEX(RUNS!$G$6:$G$1005,MATCH($D220,RUNS!$A$6:$A$1005,0))="","",INDEX(RUNS!$G$6:$G$1005,MATCH($D220,RUNS!$A$6:$A$1005,0))),""))</f>
        <v/>
      </c>
      <c r="O220" s="33">
        <f>IF($D220="","",IFERROR(IF(INDEX(RUNS!$H$6:$H$1005,MATCH($D220,RUNS!$A$6:$A$1005,0))="","",INDEX(RUNS!$H$6:$H$1005,MATCH($D220,RUNS!$A$6:$A$1005,0))),""))</f>
        <v/>
      </c>
      <c r="P220" s="33">
        <f>IF($D220="","",IFERROR(IF(INDEX(RUNS!$J$6:$J$1005,MATCH($D220,RUNS!$A$6:$A$1005,0))="","",INDEX(RUNS!$J$6:$J$1005,MATCH($D220,RUNS!$A$6:$A$1005,0))),""))</f>
        <v/>
      </c>
      <c r="Q220" s="33">
        <f>IF($D220="","",IFERROR(IF(INDEX(RUNS!$K$6:$K$1005,MATCH($D220,RUNS!$A$6:$A$1005,0))="","",INDEX(RUNS!$K$6:$K$1005,MATCH($D220,RUNS!$A$6:$A$1005,0))),""))</f>
        <v/>
      </c>
      <c r="R220" s="34">
        <f>IF(OR($L220="",$K220=""),"",IFERROR(IF(INDEX(PARAMETRES!$H$43:$H$342,MATCH($L220&amp;"|"&amp;$M220&amp;"|"&amp;$N220&amp;"|"&amp;$O220&amp;"|"&amp;$P220&amp;"|"&amp;$Q220&amp;"|"&amp;$K220,PARAMETRES!$J$43:$J$342,0))="","",INDEX(PARAMETRES!$H$43:$H$342,MATCH($L220&amp;"|"&amp;$M220&amp;"|"&amp;$N220&amp;"|"&amp;$O220&amp;"|"&amp;$P220&amp;"|"&amp;$Q220&amp;"|"&amp;$K220,PARAMETRES!$J$43:$J$342,0))),""))</f>
        <v/>
      </c>
      <c r="S220" s="35">
        <f>IF(OR($G220="",$X220&lt;&gt;"VALIDE"),"",IFERROR(LOOKUP(2,1/(($B$3:$B219=$B220)*($G$3:$G219=$G220)*($X$3:$X219="VALIDE")),$C$3:$C219),""))</f>
        <v/>
      </c>
      <c r="T220" s="36">
        <f>IF(OR($C220="",$S220=""),"",ROUND(($C220-$S220+IF($C220&lt;$S220,1,0))*1440,0))</f>
        <v/>
      </c>
      <c r="U220" s="22">
        <f>IF(OR($H220="",$T220="",$T220&lt;=0),"",$H220*60/$T220)</f>
        <v/>
      </c>
      <c r="V220" s="37">
        <f>IF(OR($U220="",$R220="",$R220=0),"",$U220/$R220)</f>
        <v/>
      </c>
      <c r="W220" s="20">
        <f>IF($G220="","",IF($X220="CONTEXTE INCOMPLET","CONTEXTE INCOMPLET",IF($X220="DOUBLON",StatutDoublon,IF($S220="",StatutInitial,IF($R220="",StatutStandardManquant,IF($V220="","DONNEES INSUFFISANTES",IF($V220&gt;=SeuilConforme,StatutConforme,IF($V220&gt;=SeuilSurveiller,StatutSurveiller,StatutSousStandard))))))))</f>
        <v/>
      </c>
      <c r="X220" s="33">
        <f>IF($G220="","",IF(OR($D220="",$E220="",$F220=""),"CONTEXTE INCOMPLET",IF(COUNTIFS($D$3:$D219,$D220,$E$3:$E219,$E220,$F$3:$F219,$F220,$G$3:$G219,$G220)&gt;0,"DOUBLON","VALIDE")))</f>
        <v/>
      </c>
    </row>
    <row r="221" ht="15" customHeight="1">
      <c r="A221" s="12">
        <f>IF(OR($B221="",$G221=""),"",TEXT($B221,"YYYYMMDD")&amp;"-"&amp;SUBSTITUTE($E221," ","")&amp;"-"&amp;$F221&amp;"-"&amp;$G221)</f>
        <v/>
      </c>
      <c r="B221" s="15" t="n"/>
      <c r="C221" s="16" t="n"/>
      <c r="D221" s="10" t="n"/>
      <c r="E221" s="9" t="n"/>
      <c r="F221" s="9" t="n"/>
      <c r="G221" s="13" t="n"/>
      <c r="H221" s="21" t="n"/>
      <c r="I221" s="21" t="n"/>
      <c r="J221" s="17">
        <f>IF($G221="","",IFERROR(INDEX(NomsEmployes,MATCH($G221,MatriculesEmployes,0)),"MATRICULE INCONNU"))</f>
        <v/>
      </c>
      <c r="K221" s="33">
        <f>IF(OR($D221="",$F221=""),"",IFERROR(IF(INDEX(RUNS!$L$6:$S$1005,MATCH($D221,RUNS!$A$6:$A$1005,0),MATCH("ACTIVITÉ "&amp;$F221,RUNS!$L$5:$S$5,0))="","",INDEX(RUNS!$L$6:$S$1005,MATCH($D221,RUNS!$A$6:$A$1005,0),MATCH("ACTIVITÉ "&amp;$F221,RUNS!$L$5:$S$5,0))),""))</f>
        <v/>
      </c>
      <c r="L221" s="33">
        <f>IF($D221="","",IFERROR(IF(INDEX(RUNS!$E$6:$E$1005,MATCH($D221,RUNS!$A$6:$A$1005,0))="","",INDEX(RUNS!$E$6:$E$1005,MATCH($D221,RUNS!$A$6:$A$1005,0))),""))</f>
        <v/>
      </c>
      <c r="M221" s="33">
        <f>IF($D221="","",IFERROR(IF(INDEX(RUNS!$F$6:$F$1005,MATCH($D221,RUNS!$A$6:$A$1005,0))="","",INDEX(RUNS!$F$6:$F$1005,MATCH($D221,RUNS!$A$6:$A$1005,0))),""))</f>
        <v/>
      </c>
      <c r="N221" s="33">
        <f>IF($D221="","",IFERROR(IF(INDEX(RUNS!$G$6:$G$1005,MATCH($D221,RUNS!$A$6:$A$1005,0))="","",INDEX(RUNS!$G$6:$G$1005,MATCH($D221,RUNS!$A$6:$A$1005,0))),""))</f>
        <v/>
      </c>
      <c r="O221" s="33">
        <f>IF($D221="","",IFERROR(IF(INDEX(RUNS!$H$6:$H$1005,MATCH($D221,RUNS!$A$6:$A$1005,0))="","",INDEX(RUNS!$H$6:$H$1005,MATCH($D221,RUNS!$A$6:$A$1005,0))),""))</f>
        <v/>
      </c>
      <c r="P221" s="33">
        <f>IF($D221="","",IFERROR(IF(INDEX(RUNS!$J$6:$J$1005,MATCH($D221,RUNS!$A$6:$A$1005,0))="","",INDEX(RUNS!$J$6:$J$1005,MATCH($D221,RUNS!$A$6:$A$1005,0))),""))</f>
        <v/>
      </c>
      <c r="Q221" s="33">
        <f>IF($D221="","",IFERROR(IF(INDEX(RUNS!$K$6:$K$1005,MATCH($D221,RUNS!$A$6:$A$1005,0))="","",INDEX(RUNS!$K$6:$K$1005,MATCH($D221,RUNS!$A$6:$A$1005,0))),""))</f>
        <v/>
      </c>
      <c r="R221" s="34">
        <f>IF(OR($L221="",$K221=""),"",IFERROR(IF(INDEX(PARAMETRES!$H$43:$H$342,MATCH($L221&amp;"|"&amp;$M221&amp;"|"&amp;$N221&amp;"|"&amp;$O221&amp;"|"&amp;$P221&amp;"|"&amp;$Q221&amp;"|"&amp;$K221,PARAMETRES!$J$43:$J$342,0))="","",INDEX(PARAMETRES!$H$43:$H$342,MATCH($L221&amp;"|"&amp;$M221&amp;"|"&amp;$N221&amp;"|"&amp;$O221&amp;"|"&amp;$P221&amp;"|"&amp;$Q221&amp;"|"&amp;$K221,PARAMETRES!$J$43:$J$342,0))),""))</f>
        <v/>
      </c>
      <c r="S221" s="35">
        <f>IF(OR($G221="",$X221&lt;&gt;"VALIDE"),"",IFERROR(LOOKUP(2,1/(($B$3:$B220=$B221)*($G$3:$G220=$G221)*($X$3:$X220="VALIDE")),$C$3:$C220),""))</f>
        <v/>
      </c>
      <c r="T221" s="36">
        <f>IF(OR($C221="",$S221=""),"",ROUND(($C221-$S221+IF($C221&lt;$S221,1,0))*1440,0))</f>
        <v/>
      </c>
      <c r="U221" s="22">
        <f>IF(OR($H221="",$T221="",$T221&lt;=0),"",$H221*60/$T221)</f>
        <v/>
      </c>
      <c r="V221" s="37">
        <f>IF(OR($U221="",$R221="",$R221=0),"",$U221/$R221)</f>
        <v/>
      </c>
      <c r="W221" s="20">
        <f>IF($G221="","",IF($X221="CONTEXTE INCOMPLET","CONTEXTE INCOMPLET",IF($X221="DOUBLON",StatutDoublon,IF($S221="",StatutInitial,IF($R221="",StatutStandardManquant,IF($V221="","DONNEES INSUFFISANTES",IF($V221&gt;=SeuilConforme,StatutConforme,IF($V221&gt;=SeuilSurveiller,StatutSurveiller,StatutSousStandard))))))))</f>
        <v/>
      </c>
      <c r="X221" s="33">
        <f>IF($G221="","",IF(OR($D221="",$E221="",$F221=""),"CONTEXTE INCOMPLET",IF(COUNTIFS($D$3:$D220,$D221,$E$3:$E220,$E221,$F$3:$F220,$F221,$G$3:$G220,$G221)&gt;0,"DOUBLON","VALIDE")))</f>
        <v/>
      </c>
    </row>
    <row r="222" ht="15" customHeight="1">
      <c r="A222" s="12">
        <f>IF(OR($B222="",$G222=""),"",TEXT($B222,"YYYYMMDD")&amp;"-"&amp;SUBSTITUTE($E222," ","")&amp;"-"&amp;$F222&amp;"-"&amp;$G222)</f>
        <v/>
      </c>
      <c r="B222" s="15" t="n"/>
      <c r="C222" s="16" t="n"/>
      <c r="D222" s="10" t="n"/>
      <c r="E222" s="9" t="n"/>
      <c r="F222" s="9" t="n"/>
      <c r="G222" s="13" t="n"/>
      <c r="H222" s="21" t="n"/>
      <c r="I222" s="21" t="n"/>
      <c r="J222" s="17">
        <f>IF($G222="","",IFERROR(INDEX(NomsEmployes,MATCH($G222,MatriculesEmployes,0)),"MATRICULE INCONNU"))</f>
        <v/>
      </c>
      <c r="K222" s="33">
        <f>IF(OR($D222="",$F222=""),"",IFERROR(IF(INDEX(RUNS!$L$6:$S$1005,MATCH($D222,RUNS!$A$6:$A$1005,0),MATCH("ACTIVITÉ "&amp;$F222,RUNS!$L$5:$S$5,0))="","",INDEX(RUNS!$L$6:$S$1005,MATCH($D222,RUNS!$A$6:$A$1005,0),MATCH("ACTIVITÉ "&amp;$F222,RUNS!$L$5:$S$5,0))),""))</f>
        <v/>
      </c>
      <c r="L222" s="33">
        <f>IF($D222="","",IFERROR(IF(INDEX(RUNS!$E$6:$E$1005,MATCH($D222,RUNS!$A$6:$A$1005,0))="","",INDEX(RUNS!$E$6:$E$1005,MATCH($D222,RUNS!$A$6:$A$1005,0))),""))</f>
        <v/>
      </c>
      <c r="M222" s="33">
        <f>IF($D222="","",IFERROR(IF(INDEX(RUNS!$F$6:$F$1005,MATCH($D222,RUNS!$A$6:$A$1005,0))="","",INDEX(RUNS!$F$6:$F$1005,MATCH($D222,RUNS!$A$6:$A$1005,0))),""))</f>
        <v/>
      </c>
      <c r="N222" s="33">
        <f>IF($D222="","",IFERROR(IF(INDEX(RUNS!$G$6:$G$1005,MATCH($D222,RUNS!$A$6:$A$1005,0))="","",INDEX(RUNS!$G$6:$G$1005,MATCH($D222,RUNS!$A$6:$A$1005,0))),""))</f>
        <v/>
      </c>
      <c r="O222" s="33">
        <f>IF($D222="","",IFERROR(IF(INDEX(RUNS!$H$6:$H$1005,MATCH($D222,RUNS!$A$6:$A$1005,0))="","",INDEX(RUNS!$H$6:$H$1005,MATCH($D222,RUNS!$A$6:$A$1005,0))),""))</f>
        <v/>
      </c>
      <c r="P222" s="33">
        <f>IF($D222="","",IFERROR(IF(INDEX(RUNS!$J$6:$J$1005,MATCH($D222,RUNS!$A$6:$A$1005,0))="","",INDEX(RUNS!$J$6:$J$1005,MATCH($D222,RUNS!$A$6:$A$1005,0))),""))</f>
        <v/>
      </c>
      <c r="Q222" s="33">
        <f>IF($D222="","",IFERROR(IF(INDEX(RUNS!$K$6:$K$1005,MATCH($D222,RUNS!$A$6:$A$1005,0))="","",INDEX(RUNS!$K$6:$K$1005,MATCH($D222,RUNS!$A$6:$A$1005,0))),""))</f>
        <v/>
      </c>
      <c r="R222" s="34">
        <f>IF(OR($L222="",$K222=""),"",IFERROR(IF(INDEX(PARAMETRES!$H$43:$H$342,MATCH($L222&amp;"|"&amp;$M222&amp;"|"&amp;$N222&amp;"|"&amp;$O222&amp;"|"&amp;$P222&amp;"|"&amp;$Q222&amp;"|"&amp;$K222,PARAMETRES!$J$43:$J$342,0))="","",INDEX(PARAMETRES!$H$43:$H$342,MATCH($L222&amp;"|"&amp;$M222&amp;"|"&amp;$N222&amp;"|"&amp;$O222&amp;"|"&amp;$P222&amp;"|"&amp;$Q222&amp;"|"&amp;$K222,PARAMETRES!$J$43:$J$342,0))),""))</f>
        <v/>
      </c>
      <c r="S222" s="35">
        <f>IF(OR($G222="",$X222&lt;&gt;"VALIDE"),"",IFERROR(LOOKUP(2,1/(($B$3:$B221=$B222)*($G$3:$G221=$G222)*($X$3:$X221="VALIDE")),$C$3:$C221),""))</f>
        <v/>
      </c>
      <c r="T222" s="36">
        <f>IF(OR($C222="",$S222=""),"",ROUND(($C222-$S222+IF($C222&lt;$S222,1,0))*1440,0))</f>
        <v/>
      </c>
      <c r="U222" s="22">
        <f>IF(OR($H222="",$T222="",$T222&lt;=0),"",$H222*60/$T222)</f>
        <v/>
      </c>
      <c r="V222" s="37">
        <f>IF(OR($U222="",$R222="",$R222=0),"",$U222/$R222)</f>
        <v/>
      </c>
      <c r="W222" s="20">
        <f>IF($G222="","",IF($X222="CONTEXTE INCOMPLET","CONTEXTE INCOMPLET",IF($X222="DOUBLON",StatutDoublon,IF($S222="",StatutInitial,IF($R222="",StatutStandardManquant,IF($V222="","DONNEES INSUFFISANTES",IF($V222&gt;=SeuilConforme,StatutConforme,IF($V222&gt;=SeuilSurveiller,StatutSurveiller,StatutSousStandard))))))))</f>
        <v/>
      </c>
      <c r="X222" s="33">
        <f>IF($G222="","",IF(OR($D222="",$E222="",$F222=""),"CONTEXTE INCOMPLET",IF(COUNTIFS($D$3:$D221,$D222,$E$3:$E221,$E222,$F$3:$F221,$F222,$G$3:$G221,$G222)&gt;0,"DOUBLON","VALIDE")))</f>
        <v/>
      </c>
    </row>
    <row r="223" ht="15" customHeight="1">
      <c r="A223" s="12">
        <f>IF(OR($B223="",$G223=""),"",TEXT($B223,"YYYYMMDD")&amp;"-"&amp;SUBSTITUTE($E223," ","")&amp;"-"&amp;$F223&amp;"-"&amp;$G223)</f>
        <v/>
      </c>
      <c r="B223" s="15" t="n"/>
      <c r="C223" s="16" t="n"/>
      <c r="D223" s="10" t="n"/>
      <c r="E223" s="9" t="n"/>
      <c r="F223" s="9" t="n"/>
      <c r="G223" s="13" t="n"/>
      <c r="H223" s="21" t="n"/>
      <c r="I223" s="21" t="n"/>
      <c r="J223" s="17">
        <f>IF($G223="","",IFERROR(INDEX(NomsEmployes,MATCH($G223,MatriculesEmployes,0)),"MATRICULE INCONNU"))</f>
        <v/>
      </c>
      <c r="K223" s="33">
        <f>IF(OR($D223="",$F223=""),"",IFERROR(IF(INDEX(RUNS!$L$6:$S$1005,MATCH($D223,RUNS!$A$6:$A$1005,0),MATCH("ACTIVITÉ "&amp;$F223,RUNS!$L$5:$S$5,0))="","",INDEX(RUNS!$L$6:$S$1005,MATCH($D223,RUNS!$A$6:$A$1005,0),MATCH("ACTIVITÉ "&amp;$F223,RUNS!$L$5:$S$5,0))),""))</f>
        <v/>
      </c>
      <c r="L223" s="33">
        <f>IF($D223="","",IFERROR(IF(INDEX(RUNS!$E$6:$E$1005,MATCH($D223,RUNS!$A$6:$A$1005,0))="","",INDEX(RUNS!$E$6:$E$1005,MATCH($D223,RUNS!$A$6:$A$1005,0))),""))</f>
        <v/>
      </c>
      <c r="M223" s="33">
        <f>IF($D223="","",IFERROR(IF(INDEX(RUNS!$F$6:$F$1005,MATCH($D223,RUNS!$A$6:$A$1005,0))="","",INDEX(RUNS!$F$6:$F$1005,MATCH($D223,RUNS!$A$6:$A$1005,0))),""))</f>
        <v/>
      </c>
      <c r="N223" s="33">
        <f>IF($D223="","",IFERROR(IF(INDEX(RUNS!$G$6:$G$1005,MATCH($D223,RUNS!$A$6:$A$1005,0))="","",INDEX(RUNS!$G$6:$G$1005,MATCH($D223,RUNS!$A$6:$A$1005,0))),""))</f>
        <v/>
      </c>
      <c r="O223" s="33">
        <f>IF($D223="","",IFERROR(IF(INDEX(RUNS!$H$6:$H$1005,MATCH($D223,RUNS!$A$6:$A$1005,0))="","",INDEX(RUNS!$H$6:$H$1005,MATCH($D223,RUNS!$A$6:$A$1005,0))),""))</f>
        <v/>
      </c>
      <c r="P223" s="33">
        <f>IF($D223="","",IFERROR(IF(INDEX(RUNS!$J$6:$J$1005,MATCH($D223,RUNS!$A$6:$A$1005,0))="","",INDEX(RUNS!$J$6:$J$1005,MATCH($D223,RUNS!$A$6:$A$1005,0))),""))</f>
        <v/>
      </c>
      <c r="Q223" s="33">
        <f>IF($D223="","",IFERROR(IF(INDEX(RUNS!$K$6:$K$1005,MATCH($D223,RUNS!$A$6:$A$1005,0))="","",INDEX(RUNS!$K$6:$K$1005,MATCH($D223,RUNS!$A$6:$A$1005,0))),""))</f>
        <v/>
      </c>
      <c r="R223" s="34">
        <f>IF(OR($L223="",$K223=""),"",IFERROR(IF(INDEX(PARAMETRES!$H$43:$H$342,MATCH($L223&amp;"|"&amp;$M223&amp;"|"&amp;$N223&amp;"|"&amp;$O223&amp;"|"&amp;$P223&amp;"|"&amp;$Q223&amp;"|"&amp;$K223,PARAMETRES!$J$43:$J$342,0))="","",INDEX(PARAMETRES!$H$43:$H$342,MATCH($L223&amp;"|"&amp;$M223&amp;"|"&amp;$N223&amp;"|"&amp;$O223&amp;"|"&amp;$P223&amp;"|"&amp;$Q223&amp;"|"&amp;$K223,PARAMETRES!$J$43:$J$342,0))),""))</f>
        <v/>
      </c>
      <c r="S223" s="35">
        <f>IF(OR($G223="",$X223&lt;&gt;"VALIDE"),"",IFERROR(LOOKUP(2,1/(($B$3:$B222=$B223)*($G$3:$G222=$G223)*($X$3:$X222="VALIDE")),$C$3:$C222),""))</f>
        <v/>
      </c>
      <c r="T223" s="36">
        <f>IF(OR($C223="",$S223=""),"",ROUND(($C223-$S223+IF($C223&lt;$S223,1,0))*1440,0))</f>
        <v/>
      </c>
      <c r="U223" s="22">
        <f>IF(OR($H223="",$T223="",$T223&lt;=0),"",$H223*60/$T223)</f>
        <v/>
      </c>
      <c r="V223" s="37">
        <f>IF(OR($U223="",$R223="",$R223=0),"",$U223/$R223)</f>
        <v/>
      </c>
      <c r="W223" s="20">
        <f>IF($G223="","",IF($X223="CONTEXTE INCOMPLET","CONTEXTE INCOMPLET",IF($X223="DOUBLON",StatutDoublon,IF($S223="",StatutInitial,IF($R223="",StatutStandardManquant,IF($V223="","DONNEES INSUFFISANTES",IF($V223&gt;=SeuilConforme,StatutConforme,IF($V223&gt;=SeuilSurveiller,StatutSurveiller,StatutSousStandard))))))))</f>
        <v/>
      </c>
      <c r="X223" s="33">
        <f>IF($G223="","",IF(OR($D223="",$E223="",$F223=""),"CONTEXTE INCOMPLET",IF(COUNTIFS($D$3:$D222,$D223,$E$3:$E222,$E223,$F$3:$F222,$F223,$G$3:$G222,$G223)&gt;0,"DOUBLON","VALIDE")))</f>
        <v/>
      </c>
    </row>
    <row r="224" ht="15" customHeight="1">
      <c r="A224" s="12">
        <f>IF(OR($B224="",$G224=""),"",TEXT($B224,"YYYYMMDD")&amp;"-"&amp;SUBSTITUTE($E224," ","")&amp;"-"&amp;$F224&amp;"-"&amp;$G224)</f>
        <v/>
      </c>
      <c r="B224" s="15" t="n"/>
      <c r="C224" s="16" t="n"/>
      <c r="D224" s="10" t="n"/>
      <c r="E224" s="9" t="n"/>
      <c r="F224" s="9" t="n"/>
      <c r="G224" s="13" t="n"/>
      <c r="H224" s="21" t="n"/>
      <c r="I224" s="21" t="n"/>
      <c r="J224" s="17">
        <f>IF($G224="","",IFERROR(INDEX(NomsEmployes,MATCH($G224,MatriculesEmployes,0)),"MATRICULE INCONNU"))</f>
        <v/>
      </c>
      <c r="K224" s="33">
        <f>IF(OR($D224="",$F224=""),"",IFERROR(IF(INDEX(RUNS!$L$6:$S$1005,MATCH($D224,RUNS!$A$6:$A$1005,0),MATCH("ACTIVITÉ "&amp;$F224,RUNS!$L$5:$S$5,0))="","",INDEX(RUNS!$L$6:$S$1005,MATCH($D224,RUNS!$A$6:$A$1005,0),MATCH("ACTIVITÉ "&amp;$F224,RUNS!$L$5:$S$5,0))),""))</f>
        <v/>
      </c>
      <c r="L224" s="33">
        <f>IF($D224="","",IFERROR(IF(INDEX(RUNS!$E$6:$E$1005,MATCH($D224,RUNS!$A$6:$A$1005,0))="","",INDEX(RUNS!$E$6:$E$1005,MATCH($D224,RUNS!$A$6:$A$1005,0))),""))</f>
        <v/>
      </c>
      <c r="M224" s="33">
        <f>IF($D224="","",IFERROR(IF(INDEX(RUNS!$F$6:$F$1005,MATCH($D224,RUNS!$A$6:$A$1005,0))="","",INDEX(RUNS!$F$6:$F$1005,MATCH($D224,RUNS!$A$6:$A$1005,0))),""))</f>
        <v/>
      </c>
      <c r="N224" s="33">
        <f>IF($D224="","",IFERROR(IF(INDEX(RUNS!$G$6:$G$1005,MATCH($D224,RUNS!$A$6:$A$1005,0))="","",INDEX(RUNS!$G$6:$G$1005,MATCH($D224,RUNS!$A$6:$A$1005,0))),""))</f>
        <v/>
      </c>
      <c r="O224" s="33">
        <f>IF($D224="","",IFERROR(IF(INDEX(RUNS!$H$6:$H$1005,MATCH($D224,RUNS!$A$6:$A$1005,0))="","",INDEX(RUNS!$H$6:$H$1005,MATCH($D224,RUNS!$A$6:$A$1005,0))),""))</f>
        <v/>
      </c>
      <c r="P224" s="33">
        <f>IF($D224="","",IFERROR(IF(INDEX(RUNS!$J$6:$J$1005,MATCH($D224,RUNS!$A$6:$A$1005,0))="","",INDEX(RUNS!$J$6:$J$1005,MATCH($D224,RUNS!$A$6:$A$1005,0))),""))</f>
        <v/>
      </c>
      <c r="Q224" s="33">
        <f>IF($D224="","",IFERROR(IF(INDEX(RUNS!$K$6:$K$1005,MATCH($D224,RUNS!$A$6:$A$1005,0))="","",INDEX(RUNS!$K$6:$K$1005,MATCH($D224,RUNS!$A$6:$A$1005,0))),""))</f>
        <v/>
      </c>
      <c r="R224" s="34">
        <f>IF(OR($L224="",$K224=""),"",IFERROR(IF(INDEX(PARAMETRES!$H$43:$H$342,MATCH($L224&amp;"|"&amp;$M224&amp;"|"&amp;$N224&amp;"|"&amp;$O224&amp;"|"&amp;$P224&amp;"|"&amp;$Q224&amp;"|"&amp;$K224,PARAMETRES!$J$43:$J$342,0))="","",INDEX(PARAMETRES!$H$43:$H$342,MATCH($L224&amp;"|"&amp;$M224&amp;"|"&amp;$N224&amp;"|"&amp;$O224&amp;"|"&amp;$P224&amp;"|"&amp;$Q224&amp;"|"&amp;$K224,PARAMETRES!$J$43:$J$342,0))),""))</f>
        <v/>
      </c>
      <c r="S224" s="35">
        <f>IF(OR($G224="",$X224&lt;&gt;"VALIDE"),"",IFERROR(LOOKUP(2,1/(($B$3:$B223=$B224)*($G$3:$G223=$G224)*($X$3:$X223="VALIDE")),$C$3:$C223),""))</f>
        <v/>
      </c>
      <c r="T224" s="36">
        <f>IF(OR($C224="",$S224=""),"",ROUND(($C224-$S224+IF($C224&lt;$S224,1,0))*1440,0))</f>
        <v/>
      </c>
      <c r="U224" s="22">
        <f>IF(OR($H224="",$T224="",$T224&lt;=0),"",$H224*60/$T224)</f>
        <v/>
      </c>
      <c r="V224" s="37">
        <f>IF(OR($U224="",$R224="",$R224=0),"",$U224/$R224)</f>
        <v/>
      </c>
      <c r="W224" s="20">
        <f>IF($G224="","",IF($X224="CONTEXTE INCOMPLET","CONTEXTE INCOMPLET",IF($X224="DOUBLON",StatutDoublon,IF($S224="",StatutInitial,IF($R224="",StatutStandardManquant,IF($V224="","DONNEES INSUFFISANTES",IF($V224&gt;=SeuilConforme,StatutConforme,IF($V224&gt;=SeuilSurveiller,StatutSurveiller,StatutSousStandard))))))))</f>
        <v/>
      </c>
      <c r="X224" s="33">
        <f>IF($G224="","",IF(OR($D224="",$E224="",$F224=""),"CONTEXTE INCOMPLET",IF(COUNTIFS($D$3:$D223,$D224,$E$3:$E223,$E224,$F$3:$F223,$F224,$G$3:$G223,$G224)&gt;0,"DOUBLON","VALIDE")))</f>
        <v/>
      </c>
    </row>
    <row r="225" ht="15" customHeight="1">
      <c r="A225" s="12">
        <f>IF(OR($B225="",$G225=""),"",TEXT($B225,"YYYYMMDD")&amp;"-"&amp;SUBSTITUTE($E225," ","")&amp;"-"&amp;$F225&amp;"-"&amp;$G225)</f>
        <v/>
      </c>
      <c r="B225" s="15" t="n"/>
      <c r="C225" s="16" t="n"/>
      <c r="D225" s="10" t="n"/>
      <c r="E225" s="9" t="n"/>
      <c r="F225" s="9" t="n"/>
      <c r="G225" s="13" t="n"/>
      <c r="H225" s="21" t="n"/>
      <c r="I225" s="21" t="n"/>
      <c r="J225" s="17">
        <f>IF($G225="","",IFERROR(INDEX(NomsEmployes,MATCH($G225,MatriculesEmployes,0)),"MATRICULE INCONNU"))</f>
        <v/>
      </c>
      <c r="K225" s="33">
        <f>IF(OR($D225="",$F225=""),"",IFERROR(IF(INDEX(RUNS!$L$6:$S$1005,MATCH($D225,RUNS!$A$6:$A$1005,0),MATCH("ACTIVITÉ "&amp;$F225,RUNS!$L$5:$S$5,0))="","",INDEX(RUNS!$L$6:$S$1005,MATCH($D225,RUNS!$A$6:$A$1005,0),MATCH("ACTIVITÉ "&amp;$F225,RUNS!$L$5:$S$5,0))),""))</f>
        <v/>
      </c>
      <c r="L225" s="33">
        <f>IF($D225="","",IFERROR(IF(INDEX(RUNS!$E$6:$E$1005,MATCH($D225,RUNS!$A$6:$A$1005,0))="","",INDEX(RUNS!$E$6:$E$1005,MATCH($D225,RUNS!$A$6:$A$1005,0))),""))</f>
        <v/>
      </c>
      <c r="M225" s="33">
        <f>IF($D225="","",IFERROR(IF(INDEX(RUNS!$F$6:$F$1005,MATCH($D225,RUNS!$A$6:$A$1005,0))="","",INDEX(RUNS!$F$6:$F$1005,MATCH($D225,RUNS!$A$6:$A$1005,0))),""))</f>
        <v/>
      </c>
      <c r="N225" s="33">
        <f>IF($D225="","",IFERROR(IF(INDEX(RUNS!$G$6:$G$1005,MATCH($D225,RUNS!$A$6:$A$1005,0))="","",INDEX(RUNS!$G$6:$G$1005,MATCH($D225,RUNS!$A$6:$A$1005,0))),""))</f>
        <v/>
      </c>
      <c r="O225" s="33">
        <f>IF($D225="","",IFERROR(IF(INDEX(RUNS!$H$6:$H$1005,MATCH($D225,RUNS!$A$6:$A$1005,0))="","",INDEX(RUNS!$H$6:$H$1005,MATCH($D225,RUNS!$A$6:$A$1005,0))),""))</f>
        <v/>
      </c>
      <c r="P225" s="33">
        <f>IF($D225="","",IFERROR(IF(INDEX(RUNS!$J$6:$J$1005,MATCH($D225,RUNS!$A$6:$A$1005,0))="","",INDEX(RUNS!$J$6:$J$1005,MATCH($D225,RUNS!$A$6:$A$1005,0))),""))</f>
        <v/>
      </c>
      <c r="Q225" s="33">
        <f>IF($D225="","",IFERROR(IF(INDEX(RUNS!$K$6:$K$1005,MATCH($D225,RUNS!$A$6:$A$1005,0))="","",INDEX(RUNS!$K$6:$K$1005,MATCH($D225,RUNS!$A$6:$A$1005,0))),""))</f>
        <v/>
      </c>
      <c r="R225" s="34">
        <f>IF(OR($L225="",$K225=""),"",IFERROR(IF(INDEX(PARAMETRES!$H$43:$H$342,MATCH($L225&amp;"|"&amp;$M225&amp;"|"&amp;$N225&amp;"|"&amp;$O225&amp;"|"&amp;$P225&amp;"|"&amp;$Q225&amp;"|"&amp;$K225,PARAMETRES!$J$43:$J$342,0))="","",INDEX(PARAMETRES!$H$43:$H$342,MATCH($L225&amp;"|"&amp;$M225&amp;"|"&amp;$N225&amp;"|"&amp;$O225&amp;"|"&amp;$P225&amp;"|"&amp;$Q225&amp;"|"&amp;$K225,PARAMETRES!$J$43:$J$342,0))),""))</f>
        <v/>
      </c>
      <c r="S225" s="35">
        <f>IF(OR($G225="",$X225&lt;&gt;"VALIDE"),"",IFERROR(LOOKUP(2,1/(($B$3:$B224=$B225)*($G$3:$G224=$G225)*($X$3:$X224="VALIDE")),$C$3:$C224),""))</f>
        <v/>
      </c>
      <c r="T225" s="36">
        <f>IF(OR($C225="",$S225=""),"",ROUND(($C225-$S225+IF($C225&lt;$S225,1,0))*1440,0))</f>
        <v/>
      </c>
      <c r="U225" s="22">
        <f>IF(OR($H225="",$T225="",$T225&lt;=0),"",$H225*60/$T225)</f>
        <v/>
      </c>
      <c r="V225" s="37">
        <f>IF(OR($U225="",$R225="",$R225=0),"",$U225/$R225)</f>
        <v/>
      </c>
      <c r="W225" s="20">
        <f>IF($G225="","",IF($X225="CONTEXTE INCOMPLET","CONTEXTE INCOMPLET",IF($X225="DOUBLON",StatutDoublon,IF($S225="",StatutInitial,IF($R225="",StatutStandardManquant,IF($V225="","DONNEES INSUFFISANTES",IF($V225&gt;=SeuilConforme,StatutConforme,IF($V225&gt;=SeuilSurveiller,StatutSurveiller,StatutSousStandard))))))))</f>
        <v/>
      </c>
      <c r="X225" s="33">
        <f>IF($G225="","",IF(OR($D225="",$E225="",$F225=""),"CONTEXTE INCOMPLET",IF(COUNTIFS($D$3:$D224,$D225,$E$3:$E224,$E225,$F$3:$F224,$F225,$G$3:$G224,$G225)&gt;0,"DOUBLON","VALIDE")))</f>
        <v/>
      </c>
    </row>
    <row r="226" ht="15" customHeight="1">
      <c r="A226" s="12">
        <f>IF(OR($B226="",$G226=""),"",TEXT($B226,"YYYYMMDD")&amp;"-"&amp;SUBSTITUTE($E226," ","")&amp;"-"&amp;$F226&amp;"-"&amp;$G226)</f>
        <v/>
      </c>
      <c r="B226" s="15" t="n"/>
      <c r="C226" s="16" t="n"/>
      <c r="D226" s="10" t="n"/>
      <c r="E226" s="9" t="n"/>
      <c r="F226" s="9" t="n"/>
      <c r="G226" s="13" t="n"/>
      <c r="H226" s="21" t="n"/>
      <c r="I226" s="21" t="n"/>
      <c r="J226" s="17">
        <f>IF($G226="","",IFERROR(INDEX(NomsEmployes,MATCH($G226,MatriculesEmployes,0)),"MATRICULE INCONNU"))</f>
        <v/>
      </c>
      <c r="K226" s="33">
        <f>IF(OR($D226="",$F226=""),"",IFERROR(IF(INDEX(RUNS!$L$6:$S$1005,MATCH($D226,RUNS!$A$6:$A$1005,0),MATCH("ACTIVITÉ "&amp;$F226,RUNS!$L$5:$S$5,0))="","",INDEX(RUNS!$L$6:$S$1005,MATCH($D226,RUNS!$A$6:$A$1005,0),MATCH("ACTIVITÉ "&amp;$F226,RUNS!$L$5:$S$5,0))),""))</f>
        <v/>
      </c>
      <c r="L226" s="33">
        <f>IF($D226="","",IFERROR(IF(INDEX(RUNS!$E$6:$E$1005,MATCH($D226,RUNS!$A$6:$A$1005,0))="","",INDEX(RUNS!$E$6:$E$1005,MATCH($D226,RUNS!$A$6:$A$1005,0))),""))</f>
        <v/>
      </c>
      <c r="M226" s="33">
        <f>IF($D226="","",IFERROR(IF(INDEX(RUNS!$F$6:$F$1005,MATCH($D226,RUNS!$A$6:$A$1005,0))="","",INDEX(RUNS!$F$6:$F$1005,MATCH($D226,RUNS!$A$6:$A$1005,0))),""))</f>
        <v/>
      </c>
      <c r="N226" s="33">
        <f>IF($D226="","",IFERROR(IF(INDEX(RUNS!$G$6:$G$1005,MATCH($D226,RUNS!$A$6:$A$1005,0))="","",INDEX(RUNS!$G$6:$G$1005,MATCH($D226,RUNS!$A$6:$A$1005,0))),""))</f>
        <v/>
      </c>
      <c r="O226" s="33">
        <f>IF($D226="","",IFERROR(IF(INDEX(RUNS!$H$6:$H$1005,MATCH($D226,RUNS!$A$6:$A$1005,0))="","",INDEX(RUNS!$H$6:$H$1005,MATCH($D226,RUNS!$A$6:$A$1005,0))),""))</f>
        <v/>
      </c>
      <c r="P226" s="33">
        <f>IF($D226="","",IFERROR(IF(INDEX(RUNS!$J$6:$J$1005,MATCH($D226,RUNS!$A$6:$A$1005,0))="","",INDEX(RUNS!$J$6:$J$1005,MATCH($D226,RUNS!$A$6:$A$1005,0))),""))</f>
        <v/>
      </c>
      <c r="Q226" s="33">
        <f>IF($D226="","",IFERROR(IF(INDEX(RUNS!$K$6:$K$1005,MATCH($D226,RUNS!$A$6:$A$1005,0))="","",INDEX(RUNS!$K$6:$K$1005,MATCH($D226,RUNS!$A$6:$A$1005,0))),""))</f>
        <v/>
      </c>
      <c r="R226" s="34">
        <f>IF(OR($L226="",$K226=""),"",IFERROR(IF(INDEX(PARAMETRES!$H$43:$H$342,MATCH($L226&amp;"|"&amp;$M226&amp;"|"&amp;$N226&amp;"|"&amp;$O226&amp;"|"&amp;$P226&amp;"|"&amp;$Q226&amp;"|"&amp;$K226,PARAMETRES!$J$43:$J$342,0))="","",INDEX(PARAMETRES!$H$43:$H$342,MATCH($L226&amp;"|"&amp;$M226&amp;"|"&amp;$N226&amp;"|"&amp;$O226&amp;"|"&amp;$P226&amp;"|"&amp;$Q226&amp;"|"&amp;$K226,PARAMETRES!$J$43:$J$342,0))),""))</f>
        <v/>
      </c>
      <c r="S226" s="35">
        <f>IF(OR($G226="",$X226&lt;&gt;"VALIDE"),"",IFERROR(LOOKUP(2,1/(($B$3:$B225=$B226)*($G$3:$G225=$G226)*($X$3:$X225="VALIDE")),$C$3:$C225),""))</f>
        <v/>
      </c>
      <c r="T226" s="36">
        <f>IF(OR($C226="",$S226=""),"",ROUND(($C226-$S226+IF($C226&lt;$S226,1,0))*1440,0))</f>
        <v/>
      </c>
      <c r="U226" s="22">
        <f>IF(OR($H226="",$T226="",$T226&lt;=0),"",$H226*60/$T226)</f>
        <v/>
      </c>
      <c r="V226" s="37">
        <f>IF(OR($U226="",$R226="",$R226=0),"",$U226/$R226)</f>
        <v/>
      </c>
      <c r="W226" s="20">
        <f>IF($G226="","",IF($X226="CONTEXTE INCOMPLET","CONTEXTE INCOMPLET",IF($X226="DOUBLON",StatutDoublon,IF($S226="",StatutInitial,IF($R226="",StatutStandardManquant,IF($V226="","DONNEES INSUFFISANTES",IF($V226&gt;=SeuilConforme,StatutConforme,IF($V226&gt;=SeuilSurveiller,StatutSurveiller,StatutSousStandard))))))))</f>
        <v/>
      </c>
      <c r="X226" s="33">
        <f>IF($G226="","",IF(OR($D226="",$E226="",$F226=""),"CONTEXTE INCOMPLET",IF(COUNTIFS($D$3:$D225,$D226,$E$3:$E225,$E226,$F$3:$F225,$F226,$G$3:$G225,$G226)&gt;0,"DOUBLON","VALIDE")))</f>
        <v/>
      </c>
    </row>
    <row r="227" ht="15" customHeight="1">
      <c r="A227" s="12">
        <f>IF(OR($B227="",$G227=""),"",TEXT($B227,"YYYYMMDD")&amp;"-"&amp;SUBSTITUTE($E227," ","")&amp;"-"&amp;$F227&amp;"-"&amp;$G227)</f>
        <v/>
      </c>
      <c r="B227" s="15" t="n"/>
      <c r="C227" s="16" t="n"/>
      <c r="D227" s="10" t="n"/>
      <c r="E227" s="9" t="n"/>
      <c r="F227" s="9" t="n"/>
      <c r="G227" s="13" t="n"/>
      <c r="H227" s="21" t="n"/>
      <c r="I227" s="21" t="n"/>
      <c r="J227" s="17">
        <f>IF($G227="","",IFERROR(INDEX(NomsEmployes,MATCH($G227,MatriculesEmployes,0)),"MATRICULE INCONNU"))</f>
        <v/>
      </c>
      <c r="K227" s="33">
        <f>IF(OR($D227="",$F227=""),"",IFERROR(IF(INDEX(RUNS!$L$6:$S$1005,MATCH($D227,RUNS!$A$6:$A$1005,0),MATCH("ACTIVITÉ "&amp;$F227,RUNS!$L$5:$S$5,0))="","",INDEX(RUNS!$L$6:$S$1005,MATCH($D227,RUNS!$A$6:$A$1005,0),MATCH("ACTIVITÉ "&amp;$F227,RUNS!$L$5:$S$5,0))),""))</f>
        <v/>
      </c>
      <c r="L227" s="33">
        <f>IF($D227="","",IFERROR(IF(INDEX(RUNS!$E$6:$E$1005,MATCH($D227,RUNS!$A$6:$A$1005,0))="","",INDEX(RUNS!$E$6:$E$1005,MATCH($D227,RUNS!$A$6:$A$1005,0))),""))</f>
        <v/>
      </c>
      <c r="M227" s="33">
        <f>IF($D227="","",IFERROR(IF(INDEX(RUNS!$F$6:$F$1005,MATCH($D227,RUNS!$A$6:$A$1005,0))="","",INDEX(RUNS!$F$6:$F$1005,MATCH($D227,RUNS!$A$6:$A$1005,0))),""))</f>
        <v/>
      </c>
      <c r="N227" s="33">
        <f>IF($D227="","",IFERROR(IF(INDEX(RUNS!$G$6:$G$1005,MATCH($D227,RUNS!$A$6:$A$1005,0))="","",INDEX(RUNS!$G$6:$G$1005,MATCH($D227,RUNS!$A$6:$A$1005,0))),""))</f>
        <v/>
      </c>
      <c r="O227" s="33">
        <f>IF($D227="","",IFERROR(IF(INDEX(RUNS!$H$6:$H$1005,MATCH($D227,RUNS!$A$6:$A$1005,0))="","",INDEX(RUNS!$H$6:$H$1005,MATCH($D227,RUNS!$A$6:$A$1005,0))),""))</f>
        <v/>
      </c>
      <c r="P227" s="33">
        <f>IF($D227="","",IFERROR(IF(INDEX(RUNS!$J$6:$J$1005,MATCH($D227,RUNS!$A$6:$A$1005,0))="","",INDEX(RUNS!$J$6:$J$1005,MATCH($D227,RUNS!$A$6:$A$1005,0))),""))</f>
        <v/>
      </c>
      <c r="Q227" s="33">
        <f>IF($D227="","",IFERROR(IF(INDEX(RUNS!$K$6:$K$1005,MATCH($D227,RUNS!$A$6:$A$1005,0))="","",INDEX(RUNS!$K$6:$K$1005,MATCH($D227,RUNS!$A$6:$A$1005,0))),""))</f>
        <v/>
      </c>
      <c r="R227" s="34">
        <f>IF(OR($L227="",$K227=""),"",IFERROR(IF(INDEX(PARAMETRES!$H$43:$H$342,MATCH($L227&amp;"|"&amp;$M227&amp;"|"&amp;$N227&amp;"|"&amp;$O227&amp;"|"&amp;$P227&amp;"|"&amp;$Q227&amp;"|"&amp;$K227,PARAMETRES!$J$43:$J$342,0))="","",INDEX(PARAMETRES!$H$43:$H$342,MATCH($L227&amp;"|"&amp;$M227&amp;"|"&amp;$N227&amp;"|"&amp;$O227&amp;"|"&amp;$P227&amp;"|"&amp;$Q227&amp;"|"&amp;$K227,PARAMETRES!$J$43:$J$342,0))),""))</f>
        <v/>
      </c>
      <c r="S227" s="35">
        <f>IF(OR($G227="",$X227&lt;&gt;"VALIDE"),"",IFERROR(LOOKUP(2,1/(($B$3:$B226=$B227)*($G$3:$G226=$G227)*($X$3:$X226="VALIDE")),$C$3:$C226),""))</f>
        <v/>
      </c>
      <c r="T227" s="36">
        <f>IF(OR($C227="",$S227=""),"",ROUND(($C227-$S227+IF($C227&lt;$S227,1,0))*1440,0))</f>
        <v/>
      </c>
      <c r="U227" s="22">
        <f>IF(OR($H227="",$T227="",$T227&lt;=0),"",$H227*60/$T227)</f>
        <v/>
      </c>
      <c r="V227" s="37">
        <f>IF(OR($U227="",$R227="",$R227=0),"",$U227/$R227)</f>
        <v/>
      </c>
      <c r="W227" s="20">
        <f>IF($G227="","",IF($X227="CONTEXTE INCOMPLET","CONTEXTE INCOMPLET",IF($X227="DOUBLON",StatutDoublon,IF($S227="",StatutInitial,IF($R227="",StatutStandardManquant,IF($V227="","DONNEES INSUFFISANTES",IF($V227&gt;=SeuilConforme,StatutConforme,IF($V227&gt;=SeuilSurveiller,StatutSurveiller,StatutSousStandard))))))))</f>
        <v/>
      </c>
      <c r="X227" s="33">
        <f>IF($G227="","",IF(OR($D227="",$E227="",$F227=""),"CONTEXTE INCOMPLET",IF(COUNTIFS($D$3:$D226,$D227,$E$3:$E226,$E227,$F$3:$F226,$F227,$G$3:$G226,$G227)&gt;0,"DOUBLON","VALIDE")))</f>
        <v/>
      </c>
    </row>
    <row r="228" ht="15" customHeight="1">
      <c r="A228" s="12">
        <f>IF(OR($B228="",$G228=""),"",TEXT($B228,"YYYYMMDD")&amp;"-"&amp;SUBSTITUTE($E228," ","")&amp;"-"&amp;$F228&amp;"-"&amp;$G228)</f>
        <v/>
      </c>
      <c r="B228" s="15" t="n"/>
      <c r="C228" s="16" t="n"/>
      <c r="D228" s="10" t="n"/>
      <c r="E228" s="9" t="n"/>
      <c r="F228" s="9" t="n"/>
      <c r="G228" s="13" t="n"/>
      <c r="H228" s="21" t="n"/>
      <c r="I228" s="21" t="n"/>
      <c r="J228" s="17">
        <f>IF($G228="","",IFERROR(INDEX(NomsEmployes,MATCH($G228,MatriculesEmployes,0)),"MATRICULE INCONNU"))</f>
        <v/>
      </c>
      <c r="K228" s="33">
        <f>IF(OR($D228="",$F228=""),"",IFERROR(IF(INDEX(RUNS!$L$6:$S$1005,MATCH($D228,RUNS!$A$6:$A$1005,0),MATCH("ACTIVITÉ "&amp;$F228,RUNS!$L$5:$S$5,0))="","",INDEX(RUNS!$L$6:$S$1005,MATCH($D228,RUNS!$A$6:$A$1005,0),MATCH("ACTIVITÉ "&amp;$F228,RUNS!$L$5:$S$5,0))),""))</f>
        <v/>
      </c>
      <c r="L228" s="33">
        <f>IF($D228="","",IFERROR(IF(INDEX(RUNS!$E$6:$E$1005,MATCH($D228,RUNS!$A$6:$A$1005,0))="","",INDEX(RUNS!$E$6:$E$1005,MATCH($D228,RUNS!$A$6:$A$1005,0))),""))</f>
        <v/>
      </c>
      <c r="M228" s="33">
        <f>IF($D228="","",IFERROR(IF(INDEX(RUNS!$F$6:$F$1005,MATCH($D228,RUNS!$A$6:$A$1005,0))="","",INDEX(RUNS!$F$6:$F$1005,MATCH($D228,RUNS!$A$6:$A$1005,0))),""))</f>
        <v/>
      </c>
      <c r="N228" s="33">
        <f>IF($D228="","",IFERROR(IF(INDEX(RUNS!$G$6:$G$1005,MATCH($D228,RUNS!$A$6:$A$1005,0))="","",INDEX(RUNS!$G$6:$G$1005,MATCH($D228,RUNS!$A$6:$A$1005,0))),""))</f>
        <v/>
      </c>
      <c r="O228" s="33">
        <f>IF($D228="","",IFERROR(IF(INDEX(RUNS!$H$6:$H$1005,MATCH($D228,RUNS!$A$6:$A$1005,0))="","",INDEX(RUNS!$H$6:$H$1005,MATCH($D228,RUNS!$A$6:$A$1005,0))),""))</f>
        <v/>
      </c>
      <c r="P228" s="33">
        <f>IF($D228="","",IFERROR(IF(INDEX(RUNS!$J$6:$J$1005,MATCH($D228,RUNS!$A$6:$A$1005,0))="","",INDEX(RUNS!$J$6:$J$1005,MATCH($D228,RUNS!$A$6:$A$1005,0))),""))</f>
        <v/>
      </c>
      <c r="Q228" s="33">
        <f>IF($D228="","",IFERROR(IF(INDEX(RUNS!$K$6:$K$1005,MATCH($D228,RUNS!$A$6:$A$1005,0))="","",INDEX(RUNS!$K$6:$K$1005,MATCH($D228,RUNS!$A$6:$A$1005,0))),""))</f>
        <v/>
      </c>
      <c r="R228" s="34">
        <f>IF(OR($L228="",$K228=""),"",IFERROR(IF(INDEX(PARAMETRES!$H$43:$H$342,MATCH($L228&amp;"|"&amp;$M228&amp;"|"&amp;$N228&amp;"|"&amp;$O228&amp;"|"&amp;$P228&amp;"|"&amp;$Q228&amp;"|"&amp;$K228,PARAMETRES!$J$43:$J$342,0))="","",INDEX(PARAMETRES!$H$43:$H$342,MATCH($L228&amp;"|"&amp;$M228&amp;"|"&amp;$N228&amp;"|"&amp;$O228&amp;"|"&amp;$P228&amp;"|"&amp;$Q228&amp;"|"&amp;$K228,PARAMETRES!$J$43:$J$342,0))),""))</f>
        <v/>
      </c>
      <c r="S228" s="35">
        <f>IF(OR($G228="",$X228&lt;&gt;"VALIDE"),"",IFERROR(LOOKUP(2,1/(($B$3:$B227=$B228)*($G$3:$G227=$G228)*($X$3:$X227="VALIDE")),$C$3:$C227),""))</f>
        <v/>
      </c>
      <c r="T228" s="36">
        <f>IF(OR($C228="",$S228=""),"",ROUND(($C228-$S228+IF($C228&lt;$S228,1,0))*1440,0))</f>
        <v/>
      </c>
      <c r="U228" s="22">
        <f>IF(OR($H228="",$T228="",$T228&lt;=0),"",$H228*60/$T228)</f>
        <v/>
      </c>
      <c r="V228" s="37">
        <f>IF(OR($U228="",$R228="",$R228=0),"",$U228/$R228)</f>
        <v/>
      </c>
      <c r="W228" s="20">
        <f>IF($G228="","",IF($X228="CONTEXTE INCOMPLET","CONTEXTE INCOMPLET",IF($X228="DOUBLON",StatutDoublon,IF($S228="",StatutInitial,IF($R228="",StatutStandardManquant,IF($V228="","DONNEES INSUFFISANTES",IF($V228&gt;=SeuilConforme,StatutConforme,IF($V228&gt;=SeuilSurveiller,StatutSurveiller,StatutSousStandard))))))))</f>
        <v/>
      </c>
      <c r="X228" s="33">
        <f>IF($G228="","",IF(OR($D228="",$E228="",$F228=""),"CONTEXTE INCOMPLET",IF(COUNTIFS($D$3:$D227,$D228,$E$3:$E227,$E228,$F$3:$F227,$F228,$G$3:$G227,$G228)&gt;0,"DOUBLON","VALIDE")))</f>
        <v/>
      </c>
    </row>
    <row r="229" ht="15" customHeight="1">
      <c r="A229" s="12">
        <f>IF(OR($B229="",$G229=""),"",TEXT($B229,"YYYYMMDD")&amp;"-"&amp;SUBSTITUTE($E229," ","")&amp;"-"&amp;$F229&amp;"-"&amp;$G229)</f>
        <v/>
      </c>
      <c r="B229" s="15" t="n"/>
      <c r="C229" s="16" t="n"/>
      <c r="D229" s="10" t="n"/>
      <c r="E229" s="9" t="n"/>
      <c r="F229" s="9" t="n"/>
      <c r="G229" s="13" t="n"/>
      <c r="H229" s="21" t="n"/>
      <c r="I229" s="21" t="n"/>
      <c r="J229" s="17">
        <f>IF($G229="","",IFERROR(INDEX(NomsEmployes,MATCH($G229,MatriculesEmployes,0)),"MATRICULE INCONNU"))</f>
        <v/>
      </c>
      <c r="K229" s="33">
        <f>IF(OR($D229="",$F229=""),"",IFERROR(IF(INDEX(RUNS!$L$6:$S$1005,MATCH($D229,RUNS!$A$6:$A$1005,0),MATCH("ACTIVITÉ "&amp;$F229,RUNS!$L$5:$S$5,0))="","",INDEX(RUNS!$L$6:$S$1005,MATCH($D229,RUNS!$A$6:$A$1005,0),MATCH("ACTIVITÉ "&amp;$F229,RUNS!$L$5:$S$5,0))),""))</f>
        <v/>
      </c>
      <c r="L229" s="33">
        <f>IF($D229="","",IFERROR(IF(INDEX(RUNS!$E$6:$E$1005,MATCH($D229,RUNS!$A$6:$A$1005,0))="","",INDEX(RUNS!$E$6:$E$1005,MATCH($D229,RUNS!$A$6:$A$1005,0))),""))</f>
        <v/>
      </c>
      <c r="M229" s="33">
        <f>IF($D229="","",IFERROR(IF(INDEX(RUNS!$F$6:$F$1005,MATCH($D229,RUNS!$A$6:$A$1005,0))="","",INDEX(RUNS!$F$6:$F$1005,MATCH($D229,RUNS!$A$6:$A$1005,0))),""))</f>
        <v/>
      </c>
      <c r="N229" s="33">
        <f>IF($D229="","",IFERROR(IF(INDEX(RUNS!$G$6:$G$1005,MATCH($D229,RUNS!$A$6:$A$1005,0))="","",INDEX(RUNS!$G$6:$G$1005,MATCH($D229,RUNS!$A$6:$A$1005,0))),""))</f>
        <v/>
      </c>
      <c r="O229" s="33">
        <f>IF($D229="","",IFERROR(IF(INDEX(RUNS!$H$6:$H$1005,MATCH($D229,RUNS!$A$6:$A$1005,0))="","",INDEX(RUNS!$H$6:$H$1005,MATCH($D229,RUNS!$A$6:$A$1005,0))),""))</f>
        <v/>
      </c>
      <c r="P229" s="33">
        <f>IF($D229="","",IFERROR(IF(INDEX(RUNS!$J$6:$J$1005,MATCH($D229,RUNS!$A$6:$A$1005,0))="","",INDEX(RUNS!$J$6:$J$1005,MATCH($D229,RUNS!$A$6:$A$1005,0))),""))</f>
        <v/>
      </c>
      <c r="Q229" s="33">
        <f>IF($D229="","",IFERROR(IF(INDEX(RUNS!$K$6:$K$1005,MATCH($D229,RUNS!$A$6:$A$1005,0))="","",INDEX(RUNS!$K$6:$K$1005,MATCH($D229,RUNS!$A$6:$A$1005,0))),""))</f>
        <v/>
      </c>
      <c r="R229" s="34">
        <f>IF(OR($L229="",$K229=""),"",IFERROR(IF(INDEX(PARAMETRES!$H$43:$H$342,MATCH($L229&amp;"|"&amp;$M229&amp;"|"&amp;$N229&amp;"|"&amp;$O229&amp;"|"&amp;$P229&amp;"|"&amp;$Q229&amp;"|"&amp;$K229,PARAMETRES!$J$43:$J$342,0))="","",INDEX(PARAMETRES!$H$43:$H$342,MATCH($L229&amp;"|"&amp;$M229&amp;"|"&amp;$N229&amp;"|"&amp;$O229&amp;"|"&amp;$P229&amp;"|"&amp;$Q229&amp;"|"&amp;$K229,PARAMETRES!$J$43:$J$342,0))),""))</f>
        <v/>
      </c>
      <c r="S229" s="35">
        <f>IF(OR($G229="",$X229&lt;&gt;"VALIDE"),"",IFERROR(LOOKUP(2,1/(($B$3:$B228=$B229)*($G$3:$G228=$G229)*($X$3:$X228="VALIDE")),$C$3:$C228),""))</f>
        <v/>
      </c>
      <c r="T229" s="36">
        <f>IF(OR($C229="",$S229=""),"",ROUND(($C229-$S229+IF($C229&lt;$S229,1,0))*1440,0))</f>
        <v/>
      </c>
      <c r="U229" s="22">
        <f>IF(OR($H229="",$T229="",$T229&lt;=0),"",$H229*60/$T229)</f>
        <v/>
      </c>
      <c r="V229" s="37">
        <f>IF(OR($U229="",$R229="",$R229=0),"",$U229/$R229)</f>
        <v/>
      </c>
      <c r="W229" s="20">
        <f>IF($G229="","",IF($X229="CONTEXTE INCOMPLET","CONTEXTE INCOMPLET",IF($X229="DOUBLON",StatutDoublon,IF($S229="",StatutInitial,IF($R229="",StatutStandardManquant,IF($V229="","DONNEES INSUFFISANTES",IF($V229&gt;=SeuilConforme,StatutConforme,IF($V229&gt;=SeuilSurveiller,StatutSurveiller,StatutSousStandard))))))))</f>
        <v/>
      </c>
      <c r="X229" s="33">
        <f>IF($G229="","",IF(OR($D229="",$E229="",$F229=""),"CONTEXTE INCOMPLET",IF(COUNTIFS($D$3:$D228,$D229,$E$3:$E228,$E229,$F$3:$F228,$F229,$G$3:$G228,$G229)&gt;0,"DOUBLON","VALIDE")))</f>
        <v/>
      </c>
    </row>
    <row r="230" ht="15" customHeight="1">
      <c r="A230" s="12">
        <f>IF(OR($B230="",$G230=""),"",TEXT($B230,"YYYYMMDD")&amp;"-"&amp;SUBSTITUTE($E230," ","")&amp;"-"&amp;$F230&amp;"-"&amp;$G230)</f>
        <v/>
      </c>
      <c r="B230" s="15" t="n"/>
      <c r="C230" s="16" t="n"/>
      <c r="D230" s="10" t="n"/>
      <c r="E230" s="9" t="n"/>
      <c r="F230" s="9" t="n"/>
      <c r="G230" s="13" t="n"/>
      <c r="H230" s="21" t="n"/>
      <c r="I230" s="21" t="n"/>
      <c r="J230" s="17">
        <f>IF($G230="","",IFERROR(INDEX(NomsEmployes,MATCH($G230,MatriculesEmployes,0)),"MATRICULE INCONNU"))</f>
        <v/>
      </c>
      <c r="K230" s="33">
        <f>IF(OR($D230="",$F230=""),"",IFERROR(IF(INDEX(RUNS!$L$6:$S$1005,MATCH($D230,RUNS!$A$6:$A$1005,0),MATCH("ACTIVITÉ "&amp;$F230,RUNS!$L$5:$S$5,0))="","",INDEX(RUNS!$L$6:$S$1005,MATCH($D230,RUNS!$A$6:$A$1005,0),MATCH("ACTIVITÉ "&amp;$F230,RUNS!$L$5:$S$5,0))),""))</f>
        <v/>
      </c>
      <c r="L230" s="33">
        <f>IF($D230="","",IFERROR(IF(INDEX(RUNS!$E$6:$E$1005,MATCH($D230,RUNS!$A$6:$A$1005,0))="","",INDEX(RUNS!$E$6:$E$1005,MATCH($D230,RUNS!$A$6:$A$1005,0))),""))</f>
        <v/>
      </c>
      <c r="M230" s="33">
        <f>IF($D230="","",IFERROR(IF(INDEX(RUNS!$F$6:$F$1005,MATCH($D230,RUNS!$A$6:$A$1005,0))="","",INDEX(RUNS!$F$6:$F$1005,MATCH($D230,RUNS!$A$6:$A$1005,0))),""))</f>
        <v/>
      </c>
      <c r="N230" s="33">
        <f>IF($D230="","",IFERROR(IF(INDEX(RUNS!$G$6:$G$1005,MATCH($D230,RUNS!$A$6:$A$1005,0))="","",INDEX(RUNS!$G$6:$G$1005,MATCH($D230,RUNS!$A$6:$A$1005,0))),""))</f>
        <v/>
      </c>
      <c r="O230" s="33">
        <f>IF($D230="","",IFERROR(IF(INDEX(RUNS!$H$6:$H$1005,MATCH($D230,RUNS!$A$6:$A$1005,0))="","",INDEX(RUNS!$H$6:$H$1005,MATCH($D230,RUNS!$A$6:$A$1005,0))),""))</f>
        <v/>
      </c>
      <c r="P230" s="33">
        <f>IF($D230="","",IFERROR(IF(INDEX(RUNS!$J$6:$J$1005,MATCH($D230,RUNS!$A$6:$A$1005,0))="","",INDEX(RUNS!$J$6:$J$1005,MATCH($D230,RUNS!$A$6:$A$1005,0))),""))</f>
        <v/>
      </c>
      <c r="Q230" s="33">
        <f>IF($D230="","",IFERROR(IF(INDEX(RUNS!$K$6:$K$1005,MATCH($D230,RUNS!$A$6:$A$1005,0))="","",INDEX(RUNS!$K$6:$K$1005,MATCH($D230,RUNS!$A$6:$A$1005,0))),""))</f>
        <v/>
      </c>
      <c r="R230" s="34">
        <f>IF(OR($L230="",$K230=""),"",IFERROR(IF(INDEX(PARAMETRES!$H$43:$H$342,MATCH($L230&amp;"|"&amp;$M230&amp;"|"&amp;$N230&amp;"|"&amp;$O230&amp;"|"&amp;$P230&amp;"|"&amp;$Q230&amp;"|"&amp;$K230,PARAMETRES!$J$43:$J$342,0))="","",INDEX(PARAMETRES!$H$43:$H$342,MATCH($L230&amp;"|"&amp;$M230&amp;"|"&amp;$N230&amp;"|"&amp;$O230&amp;"|"&amp;$P230&amp;"|"&amp;$Q230&amp;"|"&amp;$K230,PARAMETRES!$J$43:$J$342,0))),""))</f>
        <v/>
      </c>
      <c r="S230" s="35">
        <f>IF(OR($G230="",$X230&lt;&gt;"VALIDE"),"",IFERROR(LOOKUP(2,1/(($B$3:$B229=$B230)*($G$3:$G229=$G230)*($X$3:$X229="VALIDE")),$C$3:$C229),""))</f>
        <v/>
      </c>
      <c r="T230" s="36">
        <f>IF(OR($C230="",$S230=""),"",ROUND(($C230-$S230+IF($C230&lt;$S230,1,0))*1440,0))</f>
        <v/>
      </c>
      <c r="U230" s="22">
        <f>IF(OR($H230="",$T230="",$T230&lt;=0),"",$H230*60/$T230)</f>
        <v/>
      </c>
      <c r="V230" s="37">
        <f>IF(OR($U230="",$R230="",$R230=0),"",$U230/$R230)</f>
        <v/>
      </c>
      <c r="W230" s="20">
        <f>IF($G230="","",IF($X230="CONTEXTE INCOMPLET","CONTEXTE INCOMPLET",IF($X230="DOUBLON",StatutDoublon,IF($S230="",StatutInitial,IF($R230="",StatutStandardManquant,IF($V230="","DONNEES INSUFFISANTES",IF($V230&gt;=SeuilConforme,StatutConforme,IF($V230&gt;=SeuilSurveiller,StatutSurveiller,StatutSousStandard))))))))</f>
        <v/>
      </c>
      <c r="X230" s="33">
        <f>IF($G230="","",IF(OR($D230="",$E230="",$F230=""),"CONTEXTE INCOMPLET",IF(COUNTIFS($D$3:$D229,$D230,$E$3:$E229,$E230,$F$3:$F229,$F230,$G$3:$G229,$G230)&gt;0,"DOUBLON","VALIDE")))</f>
        <v/>
      </c>
    </row>
    <row r="231" ht="15" customHeight="1">
      <c r="A231" s="12">
        <f>IF(OR($B231="",$G231=""),"",TEXT($B231,"YYYYMMDD")&amp;"-"&amp;SUBSTITUTE($E231," ","")&amp;"-"&amp;$F231&amp;"-"&amp;$G231)</f>
        <v/>
      </c>
      <c r="B231" s="15" t="n"/>
      <c r="C231" s="16" t="n"/>
      <c r="D231" s="10" t="n"/>
      <c r="E231" s="9" t="n"/>
      <c r="F231" s="9" t="n"/>
      <c r="G231" s="13" t="n"/>
      <c r="H231" s="21" t="n"/>
      <c r="I231" s="21" t="n"/>
      <c r="J231" s="17">
        <f>IF($G231="","",IFERROR(INDEX(NomsEmployes,MATCH($G231,MatriculesEmployes,0)),"MATRICULE INCONNU"))</f>
        <v/>
      </c>
      <c r="K231" s="33">
        <f>IF(OR($D231="",$F231=""),"",IFERROR(IF(INDEX(RUNS!$L$6:$S$1005,MATCH($D231,RUNS!$A$6:$A$1005,0),MATCH("ACTIVITÉ "&amp;$F231,RUNS!$L$5:$S$5,0))="","",INDEX(RUNS!$L$6:$S$1005,MATCH($D231,RUNS!$A$6:$A$1005,0),MATCH("ACTIVITÉ "&amp;$F231,RUNS!$L$5:$S$5,0))),""))</f>
        <v/>
      </c>
      <c r="L231" s="33">
        <f>IF($D231="","",IFERROR(IF(INDEX(RUNS!$E$6:$E$1005,MATCH($D231,RUNS!$A$6:$A$1005,0))="","",INDEX(RUNS!$E$6:$E$1005,MATCH($D231,RUNS!$A$6:$A$1005,0))),""))</f>
        <v/>
      </c>
      <c r="M231" s="33">
        <f>IF($D231="","",IFERROR(IF(INDEX(RUNS!$F$6:$F$1005,MATCH($D231,RUNS!$A$6:$A$1005,0))="","",INDEX(RUNS!$F$6:$F$1005,MATCH($D231,RUNS!$A$6:$A$1005,0))),""))</f>
        <v/>
      </c>
      <c r="N231" s="33">
        <f>IF($D231="","",IFERROR(IF(INDEX(RUNS!$G$6:$G$1005,MATCH($D231,RUNS!$A$6:$A$1005,0))="","",INDEX(RUNS!$G$6:$G$1005,MATCH($D231,RUNS!$A$6:$A$1005,0))),""))</f>
        <v/>
      </c>
      <c r="O231" s="33">
        <f>IF($D231="","",IFERROR(IF(INDEX(RUNS!$H$6:$H$1005,MATCH($D231,RUNS!$A$6:$A$1005,0))="","",INDEX(RUNS!$H$6:$H$1005,MATCH($D231,RUNS!$A$6:$A$1005,0))),""))</f>
        <v/>
      </c>
      <c r="P231" s="33">
        <f>IF($D231="","",IFERROR(IF(INDEX(RUNS!$J$6:$J$1005,MATCH($D231,RUNS!$A$6:$A$1005,0))="","",INDEX(RUNS!$J$6:$J$1005,MATCH($D231,RUNS!$A$6:$A$1005,0))),""))</f>
        <v/>
      </c>
      <c r="Q231" s="33">
        <f>IF($D231="","",IFERROR(IF(INDEX(RUNS!$K$6:$K$1005,MATCH($D231,RUNS!$A$6:$A$1005,0))="","",INDEX(RUNS!$K$6:$K$1005,MATCH($D231,RUNS!$A$6:$A$1005,0))),""))</f>
        <v/>
      </c>
      <c r="R231" s="34">
        <f>IF(OR($L231="",$K231=""),"",IFERROR(IF(INDEX(PARAMETRES!$H$43:$H$342,MATCH($L231&amp;"|"&amp;$M231&amp;"|"&amp;$N231&amp;"|"&amp;$O231&amp;"|"&amp;$P231&amp;"|"&amp;$Q231&amp;"|"&amp;$K231,PARAMETRES!$J$43:$J$342,0))="","",INDEX(PARAMETRES!$H$43:$H$342,MATCH($L231&amp;"|"&amp;$M231&amp;"|"&amp;$N231&amp;"|"&amp;$O231&amp;"|"&amp;$P231&amp;"|"&amp;$Q231&amp;"|"&amp;$K231,PARAMETRES!$J$43:$J$342,0))),""))</f>
        <v/>
      </c>
      <c r="S231" s="35">
        <f>IF(OR($G231="",$X231&lt;&gt;"VALIDE"),"",IFERROR(LOOKUP(2,1/(($B$3:$B230=$B231)*($G$3:$G230=$G231)*($X$3:$X230="VALIDE")),$C$3:$C230),""))</f>
        <v/>
      </c>
      <c r="T231" s="36">
        <f>IF(OR($C231="",$S231=""),"",ROUND(($C231-$S231+IF($C231&lt;$S231,1,0))*1440,0))</f>
        <v/>
      </c>
      <c r="U231" s="22">
        <f>IF(OR($H231="",$T231="",$T231&lt;=0),"",$H231*60/$T231)</f>
        <v/>
      </c>
      <c r="V231" s="37">
        <f>IF(OR($U231="",$R231="",$R231=0),"",$U231/$R231)</f>
        <v/>
      </c>
      <c r="W231" s="20">
        <f>IF($G231="","",IF($X231="CONTEXTE INCOMPLET","CONTEXTE INCOMPLET",IF($X231="DOUBLON",StatutDoublon,IF($S231="",StatutInitial,IF($R231="",StatutStandardManquant,IF($V231="","DONNEES INSUFFISANTES",IF($V231&gt;=SeuilConforme,StatutConforme,IF($V231&gt;=SeuilSurveiller,StatutSurveiller,StatutSousStandard))))))))</f>
        <v/>
      </c>
      <c r="X231" s="33">
        <f>IF($G231="","",IF(OR($D231="",$E231="",$F231=""),"CONTEXTE INCOMPLET",IF(COUNTIFS($D$3:$D230,$D231,$E$3:$E230,$E231,$F$3:$F230,$F231,$G$3:$G230,$G231)&gt;0,"DOUBLON","VALIDE")))</f>
        <v/>
      </c>
    </row>
    <row r="232" ht="15" customHeight="1">
      <c r="A232" s="12">
        <f>IF(OR($B232="",$G232=""),"",TEXT($B232,"YYYYMMDD")&amp;"-"&amp;SUBSTITUTE($E232," ","")&amp;"-"&amp;$F232&amp;"-"&amp;$G232)</f>
        <v/>
      </c>
      <c r="B232" s="15" t="n"/>
      <c r="C232" s="16" t="n"/>
      <c r="D232" s="10" t="n"/>
      <c r="E232" s="9" t="n"/>
      <c r="F232" s="9" t="n"/>
      <c r="G232" s="13" t="n"/>
      <c r="H232" s="21" t="n"/>
      <c r="I232" s="21" t="n"/>
      <c r="J232" s="17">
        <f>IF($G232="","",IFERROR(INDEX(NomsEmployes,MATCH($G232,MatriculesEmployes,0)),"MATRICULE INCONNU"))</f>
        <v/>
      </c>
      <c r="K232" s="33">
        <f>IF(OR($D232="",$F232=""),"",IFERROR(IF(INDEX(RUNS!$L$6:$S$1005,MATCH($D232,RUNS!$A$6:$A$1005,0),MATCH("ACTIVITÉ "&amp;$F232,RUNS!$L$5:$S$5,0))="","",INDEX(RUNS!$L$6:$S$1005,MATCH($D232,RUNS!$A$6:$A$1005,0),MATCH("ACTIVITÉ "&amp;$F232,RUNS!$L$5:$S$5,0))),""))</f>
        <v/>
      </c>
      <c r="L232" s="33">
        <f>IF($D232="","",IFERROR(IF(INDEX(RUNS!$E$6:$E$1005,MATCH($D232,RUNS!$A$6:$A$1005,0))="","",INDEX(RUNS!$E$6:$E$1005,MATCH($D232,RUNS!$A$6:$A$1005,0))),""))</f>
        <v/>
      </c>
      <c r="M232" s="33">
        <f>IF($D232="","",IFERROR(IF(INDEX(RUNS!$F$6:$F$1005,MATCH($D232,RUNS!$A$6:$A$1005,0))="","",INDEX(RUNS!$F$6:$F$1005,MATCH($D232,RUNS!$A$6:$A$1005,0))),""))</f>
        <v/>
      </c>
      <c r="N232" s="33">
        <f>IF($D232="","",IFERROR(IF(INDEX(RUNS!$G$6:$G$1005,MATCH($D232,RUNS!$A$6:$A$1005,0))="","",INDEX(RUNS!$G$6:$G$1005,MATCH($D232,RUNS!$A$6:$A$1005,0))),""))</f>
        <v/>
      </c>
      <c r="O232" s="33">
        <f>IF($D232="","",IFERROR(IF(INDEX(RUNS!$H$6:$H$1005,MATCH($D232,RUNS!$A$6:$A$1005,0))="","",INDEX(RUNS!$H$6:$H$1005,MATCH($D232,RUNS!$A$6:$A$1005,0))),""))</f>
        <v/>
      </c>
      <c r="P232" s="33">
        <f>IF($D232="","",IFERROR(IF(INDEX(RUNS!$J$6:$J$1005,MATCH($D232,RUNS!$A$6:$A$1005,0))="","",INDEX(RUNS!$J$6:$J$1005,MATCH($D232,RUNS!$A$6:$A$1005,0))),""))</f>
        <v/>
      </c>
      <c r="Q232" s="33">
        <f>IF($D232="","",IFERROR(IF(INDEX(RUNS!$K$6:$K$1005,MATCH($D232,RUNS!$A$6:$A$1005,0))="","",INDEX(RUNS!$K$6:$K$1005,MATCH($D232,RUNS!$A$6:$A$1005,0))),""))</f>
        <v/>
      </c>
      <c r="R232" s="34">
        <f>IF(OR($L232="",$K232=""),"",IFERROR(IF(INDEX(PARAMETRES!$H$43:$H$342,MATCH($L232&amp;"|"&amp;$M232&amp;"|"&amp;$N232&amp;"|"&amp;$O232&amp;"|"&amp;$P232&amp;"|"&amp;$Q232&amp;"|"&amp;$K232,PARAMETRES!$J$43:$J$342,0))="","",INDEX(PARAMETRES!$H$43:$H$342,MATCH($L232&amp;"|"&amp;$M232&amp;"|"&amp;$N232&amp;"|"&amp;$O232&amp;"|"&amp;$P232&amp;"|"&amp;$Q232&amp;"|"&amp;$K232,PARAMETRES!$J$43:$J$342,0))),""))</f>
        <v/>
      </c>
      <c r="S232" s="35">
        <f>IF(OR($G232="",$X232&lt;&gt;"VALIDE"),"",IFERROR(LOOKUP(2,1/(($B$3:$B231=$B232)*($G$3:$G231=$G232)*($X$3:$X231="VALIDE")),$C$3:$C231),""))</f>
        <v/>
      </c>
      <c r="T232" s="36">
        <f>IF(OR($C232="",$S232=""),"",ROUND(($C232-$S232+IF($C232&lt;$S232,1,0))*1440,0))</f>
        <v/>
      </c>
      <c r="U232" s="22">
        <f>IF(OR($H232="",$T232="",$T232&lt;=0),"",$H232*60/$T232)</f>
        <v/>
      </c>
      <c r="V232" s="37">
        <f>IF(OR($U232="",$R232="",$R232=0),"",$U232/$R232)</f>
        <v/>
      </c>
      <c r="W232" s="20">
        <f>IF($G232="","",IF($X232="CONTEXTE INCOMPLET","CONTEXTE INCOMPLET",IF($X232="DOUBLON",StatutDoublon,IF($S232="",StatutInitial,IF($R232="",StatutStandardManquant,IF($V232="","DONNEES INSUFFISANTES",IF($V232&gt;=SeuilConforme,StatutConforme,IF($V232&gt;=SeuilSurveiller,StatutSurveiller,StatutSousStandard))))))))</f>
        <v/>
      </c>
      <c r="X232" s="33">
        <f>IF($G232="","",IF(OR($D232="",$E232="",$F232=""),"CONTEXTE INCOMPLET",IF(COUNTIFS($D$3:$D231,$D232,$E$3:$E231,$E232,$F$3:$F231,$F232,$G$3:$G231,$G232)&gt;0,"DOUBLON","VALIDE")))</f>
        <v/>
      </c>
    </row>
    <row r="233" ht="15" customHeight="1">
      <c r="A233" s="12">
        <f>IF(OR($B233="",$G233=""),"",TEXT($B233,"YYYYMMDD")&amp;"-"&amp;SUBSTITUTE($E233," ","")&amp;"-"&amp;$F233&amp;"-"&amp;$G233)</f>
        <v/>
      </c>
      <c r="B233" s="15" t="n"/>
      <c r="C233" s="16" t="n"/>
      <c r="D233" s="10" t="n"/>
      <c r="E233" s="9" t="n"/>
      <c r="F233" s="9" t="n"/>
      <c r="G233" s="13" t="n"/>
      <c r="H233" s="21" t="n"/>
      <c r="I233" s="21" t="n"/>
      <c r="J233" s="17">
        <f>IF($G233="","",IFERROR(INDEX(NomsEmployes,MATCH($G233,MatriculesEmployes,0)),"MATRICULE INCONNU"))</f>
        <v/>
      </c>
      <c r="K233" s="33">
        <f>IF(OR($D233="",$F233=""),"",IFERROR(IF(INDEX(RUNS!$L$6:$S$1005,MATCH($D233,RUNS!$A$6:$A$1005,0),MATCH("ACTIVITÉ "&amp;$F233,RUNS!$L$5:$S$5,0))="","",INDEX(RUNS!$L$6:$S$1005,MATCH($D233,RUNS!$A$6:$A$1005,0),MATCH("ACTIVITÉ "&amp;$F233,RUNS!$L$5:$S$5,0))),""))</f>
        <v/>
      </c>
      <c r="L233" s="33">
        <f>IF($D233="","",IFERROR(IF(INDEX(RUNS!$E$6:$E$1005,MATCH($D233,RUNS!$A$6:$A$1005,0))="","",INDEX(RUNS!$E$6:$E$1005,MATCH($D233,RUNS!$A$6:$A$1005,0))),""))</f>
        <v/>
      </c>
      <c r="M233" s="33">
        <f>IF($D233="","",IFERROR(IF(INDEX(RUNS!$F$6:$F$1005,MATCH($D233,RUNS!$A$6:$A$1005,0))="","",INDEX(RUNS!$F$6:$F$1005,MATCH($D233,RUNS!$A$6:$A$1005,0))),""))</f>
        <v/>
      </c>
      <c r="N233" s="33">
        <f>IF($D233="","",IFERROR(IF(INDEX(RUNS!$G$6:$G$1005,MATCH($D233,RUNS!$A$6:$A$1005,0))="","",INDEX(RUNS!$G$6:$G$1005,MATCH($D233,RUNS!$A$6:$A$1005,0))),""))</f>
        <v/>
      </c>
      <c r="O233" s="33">
        <f>IF($D233="","",IFERROR(IF(INDEX(RUNS!$H$6:$H$1005,MATCH($D233,RUNS!$A$6:$A$1005,0))="","",INDEX(RUNS!$H$6:$H$1005,MATCH($D233,RUNS!$A$6:$A$1005,0))),""))</f>
        <v/>
      </c>
      <c r="P233" s="33">
        <f>IF($D233="","",IFERROR(IF(INDEX(RUNS!$J$6:$J$1005,MATCH($D233,RUNS!$A$6:$A$1005,0))="","",INDEX(RUNS!$J$6:$J$1005,MATCH($D233,RUNS!$A$6:$A$1005,0))),""))</f>
        <v/>
      </c>
      <c r="Q233" s="33">
        <f>IF($D233="","",IFERROR(IF(INDEX(RUNS!$K$6:$K$1005,MATCH($D233,RUNS!$A$6:$A$1005,0))="","",INDEX(RUNS!$K$6:$K$1005,MATCH($D233,RUNS!$A$6:$A$1005,0))),""))</f>
        <v/>
      </c>
      <c r="R233" s="34">
        <f>IF(OR($L233="",$K233=""),"",IFERROR(IF(INDEX(PARAMETRES!$H$43:$H$342,MATCH($L233&amp;"|"&amp;$M233&amp;"|"&amp;$N233&amp;"|"&amp;$O233&amp;"|"&amp;$P233&amp;"|"&amp;$Q233&amp;"|"&amp;$K233,PARAMETRES!$J$43:$J$342,0))="","",INDEX(PARAMETRES!$H$43:$H$342,MATCH($L233&amp;"|"&amp;$M233&amp;"|"&amp;$N233&amp;"|"&amp;$O233&amp;"|"&amp;$P233&amp;"|"&amp;$Q233&amp;"|"&amp;$K233,PARAMETRES!$J$43:$J$342,0))),""))</f>
        <v/>
      </c>
      <c r="S233" s="35">
        <f>IF(OR($G233="",$X233&lt;&gt;"VALIDE"),"",IFERROR(LOOKUP(2,1/(($B$3:$B232=$B233)*($G$3:$G232=$G233)*($X$3:$X232="VALIDE")),$C$3:$C232),""))</f>
        <v/>
      </c>
      <c r="T233" s="36">
        <f>IF(OR($C233="",$S233=""),"",ROUND(($C233-$S233+IF($C233&lt;$S233,1,0))*1440,0))</f>
        <v/>
      </c>
      <c r="U233" s="22">
        <f>IF(OR($H233="",$T233="",$T233&lt;=0),"",$H233*60/$T233)</f>
        <v/>
      </c>
      <c r="V233" s="37">
        <f>IF(OR($U233="",$R233="",$R233=0),"",$U233/$R233)</f>
        <v/>
      </c>
      <c r="W233" s="20">
        <f>IF($G233="","",IF($X233="CONTEXTE INCOMPLET","CONTEXTE INCOMPLET",IF($X233="DOUBLON",StatutDoublon,IF($S233="",StatutInitial,IF($R233="",StatutStandardManquant,IF($V233="","DONNEES INSUFFISANTES",IF($V233&gt;=SeuilConforme,StatutConforme,IF($V233&gt;=SeuilSurveiller,StatutSurveiller,StatutSousStandard))))))))</f>
        <v/>
      </c>
      <c r="X233" s="33">
        <f>IF($G233="","",IF(OR($D233="",$E233="",$F233=""),"CONTEXTE INCOMPLET",IF(COUNTIFS($D$3:$D232,$D233,$E$3:$E232,$E233,$F$3:$F232,$F233,$G$3:$G232,$G233)&gt;0,"DOUBLON","VALIDE")))</f>
        <v/>
      </c>
    </row>
    <row r="234" ht="15" customHeight="1">
      <c r="A234" s="12">
        <f>IF(OR($B234="",$G234=""),"",TEXT($B234,"YYYYMMDD")&amp;"-"&amp;SUBSTITUTE($E234," ","")&amp;"-"&amp;$F234&amp;"-"&amp;$G234)</f>
        <v/>
      </c>
      <c r="B234" s="15" t="n"/>
      <c r="C234" s="16" t="n"/>
      <c r="D234" s="10" t="n"/>
      <c r="E234" s="9" t="n"/>
      <c r="F234" s="9" t="n"/>
      <c r="G234" s="13" t="n"/>
      <c r="H234" s="21" t="n"/>
      <c r="I234" s="21" t="n"/>
      <c r="J234" s="17">
        <f>IF($G234="","",IFERROR(INDEX(NomsEmployes,MATCH($G234,MatriculesEmployes,0)),"MATRICULE INCONNU"))</f>
        <v/>
      </c>
      <c r="K234" s="33">
        <f>IF(OR($D234="",$F234=""),"",IFERROR(IF(INDEX(RUNS!$L$6:$S$1005,MATCH($D234,RUNS!$A$6:$A$1005,0),MATCH("ACTIVITÉ "&amp;$F234,RUNS!$L$5:$S$5,0))="","",INDEX(RUNS!$L$6:$S$1005,MATCH($D234,RUNS!$A$6:$A$1005,0),MATCH("ACTIVITÉ "&amp;$F234,RUNS!$L$5:$S$5,0))),""))</f>
        <v/>
      </c>
      <c r="L234" s="33">
        <f>IF($D234="","",IFERROR(IF(INDEX(RUNS!$E$6:$E$1005,MATCH($D234,RUNS!$A$6:$A$1005,0))="","",INDEX(RUNS!$E$6:$E$1005,MATCH($D234,RUNS!$A$6:$A$1005,0))),""))</f>
        <v/>
      </c>
      <c r="M234" s="33">
        <f>IF($D234="","",IFERROR(IF(INDEX(RUNS!$F$6:$F$1005,MATCH($D234,RUNS!$A$6:$A$1005,0))="","",INDEX(RUNS!$F$6:$F$1005,MATCH($D234,RUNS!$A$6:$A$1005,0))),""))</f>
        <v/>
      </c>
      <c r="N234" s="33">
        <f>IF($D234="","",IFERROR(IF(INDEX(RUNS!$G$6:$G$1005,MATCH($D234,RUNS!$A$6:$A$1005,0))="","",INDEX(RUNS!$G$6:$G$1005,MATCH($D234,RUNS!$A$6:$A$1005,0))),""))</f>
        <v/>
      </c>
      <c r="O234" s="33">
        <f>IF($D234="","",IFERROR(IF(INDEX(RUNS!$H$6:$H$1005,MATCH($D234,RUNS!$A$6:$A$1005,0))="","",INDEX(RUNS!$H$6:$H$1005,MATCH($D234,RUNS!$A$6:$A$1005,0))),""))</f>
        <v/>
      </c>
      <c r="P234" s="33">
        <f>IF($D234="","",IFERROR(IF(INDEX(RUNS!$J$6:$J$1005,MATCH($D234,RUNS!$A$6:$A$1005,0))="","",INDEX(RUNS!$J$6:$J$1005,MATCH($D234,RUNS!$A$6:$A$1005,0))),""))</f>
        <v/>
      </c>
      <c r="Q234" s="33">
        <f>IF($D234="","",IFERROR(IF(INDEX(RUNS!$K$6:$K$1005,MATCH($D234,RUNS!$A$6:$A$1005,0))="","",INDEX(RUNS!$K$6:$K$1005,MATCH($D234,RUNS!$A$6:$A$1005,0))),""))</f>
        <v/>
      </c>
      <c r="R234" s="34">
        <f>IF(OR($L234="",$K234=""),"",IFERROR(IF(INDEX(PARAMETRES!$H$43:$H$342,MATCH($L234&amp;"|"&amp;$M234&amp;"|"&amp;$N234&amp;"|"&amp;$O234&amp;"|"&amp;$P234&amp;"|"&amp;$Q234&amp;"|"&amp;$K234,PARAMETRES!$J$43:$J$342,0))="","",INDEX(PARAMETRES!$H$43:$H$342,MATCH($L234&amp;"|"&amp;$M234&amp;"|"&amp;$N234&amp;"|"&amp;$O234&amp;"|"&amp;$P234&amp;"|"&amp;$Q234&amp;"|"&amp;$K234,PARAMETRES!$J$43:$J$342,0))),""))</f>
        <v/>
      </c>
      <c r="S234" s="35">
        <f>IF(OR($G234="",$X234&lt;&gt;"VALIDE"),"",IFERROR(LOOKUP(2,1/(($B$3:$B233=$B234)*($G$3:$G233=$G234)*($X$3:$X233="VALIDE")),$C$3:$C233),""))</f>
        <v/>
      </c>
      <c r="T234" s="36">
        <f>IF(OR($C234="",$S234=""),"",ROUND(($C234-$S234+IF($C234&lt;$S234,1,0))*1440,0))</f>
        <v/>
      </c>
      <c r="U234" s="22">
        <f>IF(OR($H234="",$T234="",$T234&lt;=0),"",$H234*60/$T234)</f>
        <v/>
      </c>
      <c r="V234" s="37">
        <f>IF(OR($U234="",$R234="",$R234=0),"",$U234/$R234)</f>
        <v/>
      </c>
      <c r="W234" s="20">
        <f>IF($G234="","",IF($X234="CONTEXTE INCOMPLET","CONTEXTE INCOMPLET",IF($X234="DOUBLON",StatutDoublon,IF($S234="",StatutInitial,IF($R234="",StatutStandardManquant,IF($V234="","DONNEES INSUFFISANTES",IF($V234&gt;=SeuilConforme,StatutConforme,IF($V234&gt;=SeuilSurveiller,StatutSurveiller,StatutSousStandard))))))))</f>
        <v/>
      </c>
      <c r="X234" s="33">
        <f>IF($G234="","",IF(OR($D234="",$E234="",$F234=""),"CONTEXTE INCOMPLET",IF(COUNTIFS($D$3:$D233,$D234,$E$3:$E233,$E234,$F$3:$F233,$F234,$G$3:$G233,$G234)&gt;0,"DOUBLON","VALIDE")))</f>
        <v/>
      </c>
    </row>
    <row r="235" ht="15" customHeight="1">
      <c r="A235" s="12">
        <f>IF(OR($B235="",$G235=""),"",TEXT($B235,"YYYYMMDD")&amp;"-"&amp;SUBSTITUTE($E235," ","")&amp;"-"&amp;$F235&amp;"-"&amp;$G235)</f>
        <v/>
      </c>
      <c r="B235" s="15" t="n"/>
      <c r="C235" s="16" t="n"/>
      <c r="D235" s="10" t="n"/>
      <c r="E235" s="9" t="n"/>
      <c r="F235" s="9" t="n"/>
      <c r="G235" s="13" t="n"/>
      <c r="H235" s="21" t="n"/>
      <c r="I235" s="21" t="n"/>
      <c r="J235" s="17">
        <f>IF($G235="","",IFERROR(INDEX(NomsEmployes,MATCH($G235,MatriculesEmployes,0)),"MATRICULE INCONNU"))</f>
        <v/>
      </c>
      <c r="K235" s="33">
        <f>IF(OR($D235="",$F235=""),"",IFERROR(IF(INDEX(RUNS!$L$6:$S$1005,MATCH($D235,RUNS!$A$6:$A$1005,0),MATCH("ACTIVITÉ "&amp;$F235,RUNS!$L$5:$S$5,0))="","",INDEX(RUNS!$L$6:$S$1005,MATCH($D235,RUNS!$A$6:$A$1005,0),MATCH("ACTIVITÉ "&amp;$F235,RUNS!$L$5:$S$5,0))),""))</f>
        <v/>
      </c>
      <c r="L235" s="33">
        <f>IF($D235="","",IFERROR(IF(INDEX(RUNS!$E$6:$E$1005,MATCH($D235,RUNS!$A$6:$A$1005,0))="","",INDEX(RUNS!$E$6:$E$1005,MATCH($D235,RUNS!$A$6:$A$1005,0))),""))</f>
        <v/>
      </c>
      <c r="M235" s="33">
        <f>IF($D235="","",IFERROR(IF(INDEX(RUNS!$F$6:$F$1005,MATCH($D235,RUNS!$A$6:$A$1005,0))="","",INDEX(RUNS!$F$6:$F$1005,MATCH($D235,RUNS!$A$6:$A$1005,0))),""))</f>
        <v/>
      </c>
      <c r="N235" s="33">
        <f>IF($D235="","",IFERROR(IF(INDEX(RUNS!$G$6:$G$1005,MATCH($D235,RUNS!$A$6:$A$1005,0))="","",INDEX(RUNS!$G$6:$G$1005,MATCH($D235,RUNS!$A$6:$A$1005,0))),""))</f>
        <v/>
      </c>
      <c r="O235" s="33">
        <f>IF($D235="","",IFERROR(IF(INDEX(RUNS!$H$6:$H$1005,MATCH($D235,RUNS!$A$6:$A$1005,0))="","",INDEX(RUNS!$H$6:$H$1005,MATCH($D235,RUNS!$A$6:$A$1005,0))),""))</f>
        <v/>
      </c>
      <c r="P235" s="33">
        <f>IF($D235="","",IFERROR(IF(INDEX(RUNS!$J$6:$J$1005,MATCH($D235,RUNS!$A$6:$A$1005,0))="","",INDEX(RUNS!$J$6:$J$1005,MATCH($D235,RUNS!$A$6:$A$1005,0))),""))</f>
        <v/>
      </c>
      <c r="Q235" s="33">
        <f>IF($D235="","",IFERROR(IF(INDEX(RUNS!$K$6:$K$1005,MATCH($D235,RUNS!$A$6:$A$1005,0))="","",INDEX(RUNS!$K$6:$K$1005,MATCH($D235,RUNS!$A$6:$A$1005,0))),""))</f>
        <v/>
      </c>
      <c r="R235" s="34">
        <f>IF(OR($L235="",$K235=""),"",IFERROR(IF(INDEX(PARAMETRES!$H$43:$H$342,MATCH($L235&amp;"|"&amp;$M235&amp;"|"&amp;$N235&amp;"|"&amp;$O235&amp;"|"&amp;$P235&amp;"|"&amp;$Q235&amp;"|"&amp;$K235,PARAMETRES!$J$43:$J$342,0))="","",INDEX(PARAMETRES!$H$43:$H$342,MATCH($L235&amp;"|"&amp;$M235&amp;"|"&amp;$N235&amp;"|"&amp;$O235&amp;"|"&amp;$P235&amp;"|"&amp;$Q235&amp;"|"&amp;$K235,PARAMETRES!$J$43:$J$342,0))),""))</f>
        <v/>
      </c>
      <c r="S235" s="35">
        <f>IF(OR($G235="",$X235&lt;&gt;"VALIDE"),"",IFERROR(LOOKUP(2,1/(($B$3:$B234=$B235)*($G$3:$G234=$G235)*($X$3:$X234="VALIDE")),$C$3:$C234),""))</f>
        <v/>
      </c>
      <c r="T235" s="36">
        <f>IF(OR($C235="",$S235=""),"",ROUND(($C235-$S235+IF($C235&lt;$S235,1,0))*1440,0))</f>
        <v/>
      </c>
      <c r="U235" s="22">
        <f>IF(OR($H235="",$T235="",$T235&lt;=0),"",$H235*60/$T235)</f>
        <v/>
      </c>
      <c r="V235" s="37">
        <f>IF(OR($U235="",$R235="",$R235=0),"",$U235/$R235)</f>
        <v/>
      </c>
      <c r="W235" s="20">
        <f>IF($G235="","",IF($X235="CONTEXTE INCOMPLET","CONTEXTE INCOMPLET",IF($X235="DOUBLON",StatutDoublon,IF($S235="",StatutInitial,IF($R235="",StatutStandardManquant,IF($V235="","DONNEES INSUFFISANTES",IF($V235&gt;=SeuilConforme,StatutConforme,IF($V235&gt;=SeuilSurveiller,StatutSurveiller,StatutSousStandard))))))))</f>
        <v/>
      </c>
      <c r="X235" s="33">
        <f>IF($G235="","",IF(OR($D235="",$E235="",$F235=""),"CONTEXTE INCOMPLET",IF(COUNTIFS($D$3:$D234,$D235,$E$3:$E234,$E235,$F$3:$F234,$F235,$G$3:$G234,$G235)&gt;0,"DOUBLON","VALIDE")))</f>
        <v/>
      </c>
    </row>
    <row r="236" ht="15" customHeight="1">
      <c r="A236" s="12">
        <f>IF(OR($B236="",$G236=""),"",TEXT($B236,"YYYYMMDD")&amp;"-"&amp;SUBSTITUTE($E236," ","")&amp;"-"&amp;$F236&amp;"-"&amp;$G236)</f>
        <v/>
      </c>
      <c r="B236" s="15" t="n"/>
      <c r="C236" s="16" t="n"/>
      <c r="D236" s="10" t="n"/>
      <c r="E236" s="9" t="n"/>
      <c r="F236" s="9" t="n"/>
      <c r="G236" s="13" t="n"/>
      <c r="H236" s="21" t="n"/>
      <c r="I236" s="21" t="n"/>
      <c r="J236" s="17">
        <f>IF($G236="","",IFERROR(INDEX(NomsEmployes,MATCH($G236,MatriculesEmployes,0)),"MATRICULE INCONNU"))</f>
        <v/>
      </c>
      <c r="K236" s="33">
        <f>IF(OR($D236="",$F236=""),"",IFERROR(IF(INDEX(RUNS!$L$6:$S$1005,MATCH($D236,RUNS!$A$6:$A$1005,0),MATCH("ACTIVITÉ "&amp;$F236,RUNS!$L$5:$S$5,0))="","",INDEX(RUNS!$L$6:$S$1005,MATCH($D236,RUNS!$A$6:$A$1005,0),MATCH("ACTIVITÉ "&amp;$F236,RUNS!$L$5:$S$5,0))),""))</f>
        <v/>
      </c>
      <c r="L236" s="33">
        <f>IF($D236="","",IFERROR(IF(INDEX(RUNS!$E$6:$E$1005,MATCH($D236,RUNS!$A$6:$A$1005,0))="","",INDEX(RUNS!$E$6:$E$1005,MATCH($D236,RUNS!$A$6:$A$1005,0))),""))</f>
        <v/>
      </c>
      <c r="M236" s="33">
        <f>IF($D236="","",IFERROR(IF(INDEX(RUNS!$F$6:$F$1005,MATCH($D236,RUNS!$A$6:$A$1005,0))="","",INDEX(RUNS!$F$6:$F$1005,MATCH($D236,RUNS!$A$6:$A$1005,0))),""))</f>
        <v/>
      </c>
      <c r="N236" s="33">
        <f>IF($D236="","",IFERROR(IF(INDEX(RUNS!$G$6:$G$1005,MATCH($D236,RUNS!$A$6:$A$1005,0))="","",INDEX(RUNS!$G$6:$G$1005,MATCH($D236,RUNS!$A$6:$A$1005,0))),""))</f>
        <v/>
      </c>
      <c r="O236" s="33">
        <f>IF($D236="","",IFERROR(IF(INDEX(RUNS!$H$6:$H$1005,MATCH($D236,RUNS!$A$6:$A$1005,0))="","",INDEX(RUNS!$H$6:$H$1005,MATCH($D236,RUNS!$A$6:$A$1005,0))),""))</f>
        <v/>
      </c>
      <c r="P236" s="33">
        <f>IF($D236="","",IFERROR(IF(INDEX(RUNS!$J$6:$J$1005,MATCH($D236,RUNS!$A$6:$A$1005,0))="","",INDEX(RUNS!$J$6:$J$1005,MATCH($D236,RUNS!$A$6:$A$1005,0))),""))</f>
        <v/>
      </c>
      <c r="Q236" s="33">
        <f>IF($D236="","",IFERROR(IF(INDEX(RUNS!$K$6:$K$1005,MATCH($D236,RUNS!$A$6:$A$1005,0))="","",INDEX(RUNS!$K$6:$K$1005,MATCH($D236,RUNS!$A$6:$A$1005,0))),""))</f>
        <v/>
      </c>
      <c r="R236" s="34">
        <f>IF(OR($L236="",$K236=""),"",IFERROR(IF(INDEX(PARAMETRES!$H$43:$H$342,MATCH($L236&amp;"|"&amp;$M236&amp;"|"&amp;$N236&amp;"|"&amp;$O236&amp;"|"&amp;$P236&amp;"|"&amp;$Q236&amp;"|"&amp;$K236,PARAMETRES!$J$43:$J$342,0))="","",INDEX(PARAMETRES!$H$43:$H$342,MATCH($L236&amp;"|"&amp;$M236&amp;"|"&amp;$N236&amp;"|"&amp;$O236&amp;"|"&amp;$P236&amp;"|"&amp;$Q236&amp;"|"&amp;$K236,PARAMETRES!$J$43:$J$342,0))),""))</f>
        <v/>
      </c>
      <c r="S236" s="35">
        <f>IF(OR($G236="",$X236&lt;&gt;"VALIDE"),"",IFERROR(LOOKUP(2,1/(($B$3:$B235=$B236)*($G$3:$G235=$G236)*($X$3:$X235="VALIDE")),$C$3:$C235),""))</f>
        <v/>
      </c>
      <c r="T236" s="36">
        <f>IF(OR($C236="",$S236=""),"",ROUND(($C236-$S236+IF($C236&lt;$S236,1,0))*1440,0))</f>
        <v/>
      </c>
      <c r="U236" s="22">
        <f>IF(OR($H236="",$T236="",$T236&lt;=0),"",$H236*60/$T236)</f>
        <v/>
      </c>
      <c r="V236" s="37">
        <f>IF(OR($U236="",$R236="",$R236=0),"",$U236/$R236)</f>
        <v/>
      </c>
      <c r="W236" s="20">
        <f>IF($G236="","",IF($X236="CONTEXTE INCOMPLET","CONTEXTE INCOMPLET",IF($X236="DOUBLON",StatutDoublon,IF($S236="",StatutInitial,IF($R236="",StatutStandardManquant,IF($V236="","DONNEES INSUFFISANTES",IF($V236&gt;=SeuilConforme,StatutConforme,IF($V236&gt;=SeuilSurveiller,StatutSurveiller,StatutSousStandard))))))))</f>
        <v/>
      </c>
      <c r="X236" s="33">
        <f>IF($G236="","",IF(OR($D236="",$E236="",$F236=""),"CONTEXTE INCOMPLET",IF(COUNTIFS($D$3:$D235,$D236,$E$3:$E235,$E236,$F$3:$F235,$F236,$G$3:$G235,$G236)&gt;0,"DOUBLON","VALIDE")))</f>
        <v/>
      </c>
    </row>
    <row r="237" ht="15" customHeight="1">
      <c r="A237" s="12">
        <f>IF(OR($B237="",$G237=""),"",TEXT($B237,"YYYYMMDD")&amp;"-"&amp;SUBSTITUTE($E237," ","")&amp;"-"&amp;$F237&amp;"-"&amp;$G237)</f>
        <v/>
      </c>
      <c r="B237" s="15" t="n"/>
      <c r="C237" s="16" t="n"/>
      <c r="D237" s="10" t="n"/>
      <c r="E237" s="9" t="n"/>
      <c r="F237" s="9" t="n"/>
      <c r="G237" s="13" t="n"/>
      <c r="H237" s="21" t="n"/>
      <c r="I237" s="21" t="n"/>
      <c r="J237" s="17">
        <f>IF($G237="","",IFERROR(INDEX(NomsEmployes,MATCH($G237,MatriculesEmployes,0)),"MATRICULE INCONNU"))</f>
        <v/>
      </c>
      <c r="K237" s="33">
        <f>IF(OR($D237="",$F237=""),"",IFERROR(IF(INDEX(RUNS!$L$6:$S$1005,MATCH($D237,RUNS!$A$6:$A$1005,0),MATCH("ACTIVITÉ "&amp;$F237,RUNS!$L$5:$S$5,0))="","",INDEX(RUNS!$L$6:$S$1005,MATCH($D237,RUNS!$A$6:$A$1005,0),MATCH("ACTIVITÉ "&amp;$F237,RUNS!$L$5:$S$5,0))),""))</f>
        <v/>
      </c>
      <c r="L237" s="33">
        <f>IF($D237="","",IFERROR(IF(INDEX(RUNS!$E$6:$E$1005,MATCH($D237,RUNS!$A$6:$A$1005,0))="","",INDEX(RUNS!$E$6:$E$1005,MATCH($D237,RUNS!$A$6:$A$1005,0))),""))</f>
        <v/>
      </c>
      <c r="M237" s="33">
        <f>IF($D237="","",IFERROR(IF(INDEX(RUNS!$F$6:$F$1005,MATCH($D237,RUNS!$A$6:$A$1005,0))="","",INDEX(RUNS!$F$6:$F$1005,MATCH($D237,RUNS!$A$6:$A$1005,0))),""))</f>
        <v/>
      </c>
      <c r="N237" s="33">
        <f>IF($D237="","",IFERROR(IF(INDEX(RUNS!$G$6:$G$1005,MATCH($D237,RUNS!$A$6:$A$1005,0))="","",INDEX(RUNS!$G$6:$G$1005,MATCH($D237,RUNS!$A$6:$A$1005,0))),""))</f>
        <v/>
      </c>
      <c r="O237" s="33">
        <f>IF($D237="","",IFERROR(IF(INDEX(RUNS!$H$6:$H$1005,MATCH($D237,RUNS!$A$6:$A$1005,0))="","",INDEX(RUNS!$H$6:$H$1005,MATCH($D237,RUNS!$A$6:$A$1005,0))),""))</f>
        <v/>
      </c>
      <c r="P237" s="33">
        <f>IF($D237="","",IFERROR(IF(INDEX(RUNS!$J$6:$J$1005,MATCH($D237,RUNS!$A$6:$A$1005,0))="","",INDEX(RUNS!$J$6:$J$1005,MATCH($D237,RUNS!$A$6:$A$1005,0))),""))</f>
        <v/>
      </c>
      <c r="Q237" s="33">
        <f>IF($D237="","",IFERROR(IF(INDEX(RUNS!$K$6:$K$1005,MATCH($D237,RUNS!$A$6:$A$1005,0))="","",INDEX(RUNS!$K$6:$K$1005,MATCH($D237,RUNS!$A$6:$A$1005,0))),""))</f>
        <v/>
      </c>
      <c r="R237" s="34">
        <f>IF(OR($L237="",$K237=""),"",IFERROR(IF(INDEX(PARAMETRES!$H$43:$H$342,MATCH($L237&amp;"|"&amp;$M237&amp;"|"&amp;$N237&amp;"|"&amp;$O237&amp;"|"&amp;$P237&amp;"|"&amp;$Q237&amp;"|"&amp;$K237,PARAMETRES!$J$43:$J$342,0))="","",INDEX(PARAMETRES!$H$43:$H$342,MATCH($L237&amp;"|"&amp;$M237&amp;"|"&amp;$N237&amp;"|"&amp;$O237&amp;"|"&amp;$P237&amp;"|"&amp;$Q237&amp;"|"&amp;$K237,PARAMETRES!$J$43:$J$342,0))),""))</f>
        <v/>
      </c>
      <c r="S237" s="35">
        <f>IF(OR($G237="",$X237&lt;&gt;"VALIDE"),"",IFERROR(LOOKUP(2,1/(($B$3:$B236=$B237)*($G$3:$G236=$G237)*($X$3:$X236="VALIDE")),$C$3:$C236),""))</f>
        <v/>
      </c>
      <c r="T237" s="36">
        <f>IF(OR($C237="",$S237=""),"",ROUND(($C237-$S237+IF($C237&lt;$S237,1,0))*1440,0))</f>
        <v/>
      </c>
      <c r="U237" s="22">
        <f>IF(OR($H237="",$T237="",$T237&lt;=0),"",$H237*60/$T237)</f>
        <v/>
      </c>
      <c r="V237" s="37">
        <f>IF(OR($U237="",$R237="",$R237=0),"",$U237/$R237)</f>
        <v/>
      </c>
      <c r="W237" s="20">
        <f>IF($G237="","",IF($X237="CONTEXTE INCOMPLET","CONTEXTE INCOMPLET",IF($X237="DOUBLON",StatutDoublon,IF($S237="",StatutInitial,IF($R237="",StatutStandardManquant,IF($V237="","DONNEES INSUFFISANTES",IF($V237&gt;=SeuilConforme,StatutConforme,IF($V237&gt;=SeuilSurveiller,StatutSurveiller,StatutSousStandard))))))))</f>
        <v/>
      </c>
      <c r="X237" s="33">
        <f>IF($G237="","",IF(OR($D237="",$E237="",$F237=""),"CONTEXTE INCOMPLET",IF(COUNTIFS($D$3:$D236,$D237,$E$3:$E236,$E237,$F$3:$F236,$F237,$G$3:$G236,$G237)&gt;0,"DOUBLON","VALIDE")))</f>
        <v/>
      </c>
    </row>
    <row r="238" ht="15" customHeight="1">
      <c r="A238" s="12">
        <f>IF(OR($B238="",$G238=""),"",TEXT($B238,"YYYYMMDD")&amp;"-"&amp;SUBSTITUTE($E238," ","")&amp;"-"&amp;$F238&amp;"-"&amp;$G238)</f>
        <v/>
      </c>
      <c r="B238" s="15" t="n"/>
      <c r="C238" s="16" t="n"/>
      <c r="D238" s="10" t="n"/>
      <c r="E238" s="9" t="n"/>
      <c r="F238" s="9" t="n"/>
      <c r="G238" s="13" t="n"/>
      <c r="H238" s="21" t="n"/>
      <c r="I238" s="21" t="n"/>
      <c r="J238" s="17">
        <f>IF($G238="","",IFERROR(INDEX(NomsEmployes,MATCH($G238,MatriculesEmployes,0)),"MATRICULE INCONNU"))</f>
        <v/>
      </c>
      <c r="K238" s="33">
        <f>IF(OR($D238="",$F238=""),"",IFERROR(IF(INDEX(RUNS!$L$6:$S$1005,MATCH($D238,RUNS!$A$6:$A$1005,0),MATCH("ACTIVITÉ "&amp;$F238,RUNS!$L$5:$S$5,0))="","",INDEX(RUNS!$L$6:$S$1005,MATCH($D238,RUNS!$A$6:$A$1005,0),MATCH("ACTIVITÉ "&amp;$F238,RUNS!$L$5:$S$5,0))),""))</f>
        <v/>
      </c>
      <c r="L238" s="33">
        <f>IF($D238="","",IFERROR(IF(INDEX(RUNS!$E$6:$E$1005,MATCH($D238,RUNS!$A$6:$A$1005,0))="","",INDEX(RUNS!$E$6:$E$1005,MATCH($D238,RUNS!$A$6:$A$1005,0))),""))</f>
        <v/>
      </c>
      <c r="M238" s="33">
        <f>IF($D238="","",IFERROR(IF(INDEX(RUNS!$F$6:$F$1005,MATCH($D238,RUNS!$A$6:$A$1005,0))="","",INDEX(RUNS!$F$6:$F$1005,MATCH($D238,RUNS!$A$6:$A$1005,0))),""))</f>
        <v/>
      </c>
      <c r="N238" s="33">
        <f>IF($D238="","",IFERROR(IF(INDEX(RUNS!$G$6:$G$1005,MATCH($D238,RUNS!$A$6:$A$1005,0))="","",INDEX(RUNS!$G$6:$G$1005,MATCH($D238,RUNS!$A$6:$A$1005,0))),""))</f>
        <v/>
      </c>
      <c r="O238" s="33">
        <f>IF($D238="","",IFERROR(IF(INDEX(RUNS!$H$6:$H$1005,MATCH($D238,RUNS!$A$6:$A$1005,0))="","",INDEX(RUNS!$H$6:$H$1005,MATCH($D238,RUNS!$A$6:$A$1005,0))),""))</f>
        <v/>
      </c>
      <c r="P238" s="33">
        <f>IF($D238="","",IFERROR(IF(INDEX(RUNS!$J$6:$J$1005,MATCH($D238,RUNS!$A$6:$A$1005,0))="","",INDEX(RUNS!$J$6:$J$1005,MATCH($D238,RUNS!$A$6:$A$1005,0))),""))</f>
        <v/>
      </c>
      <c r="Q238" s="33">
        <f>IF($D238="","",IFERROR(IF(INDEX(RUNS!$K$6:$K$1005,MATCH($D238,RUNS!$A$6:$A$1005,0))="","",INDEX(RUNS!$K$6:$K$1005,MATCH($D238,RUNS!$A$6:$A$1005,0))),""))</f>
        <v/>
      </c>
      <c r="R238" s="34">
        <f>IF(OR($L238="",$K238=""),"",IFERROR(IF(INDEX(PARAMETRES!$H$43:$H$342,MATCH($L238&amp;"|"&amp;$M238&amp;"|"&amp;$N238&amp;"|"&amp;$O238&amp;"|"&amp;$P238&amp;"|"&amp;$Q238&amp;"|"&amp;$K238,PARAMETRES!$J$43:$J$342,0))="","",INDEX(PARAMETRES!$H$43:$H$342,MATCH($L238&amp;"|"&amp;$M238&amp;"|"&amp;$N238&amp;"|"&amp;$O238&amp;"|"&amp;$P238&amp;"|"&amp;$Q238&amp;"|"&amp;$K238,PARAMETRES!$J$43:$J$342,0))),""))</f>
        <v/>
      </c>
      <c r="S238" s="35">
        <f>IF(OR($G238="",$X238&lt;&gt;"VALIDE"),"",IFERROR(LOOKUP(2,1/(($B$3:$B237=$B238)*($G$3:$G237=$G238)*($X$3:$X237="VALIDE")),$C$3:$C237),""))</f>
        <v/>
      </c>
      <c r="T238" s="36">
        <f>IF(OR($C238="",$S238=""),"",ROUND(($C238-$S238+IF($C238&lt;$S238,1,0))*1440,0))</f>
        <v/>
      </c>
      <c r="U238" s="22">
        <f>IF(OR($H238="",$T238="",$T238&lt;=0),"",$H238*60/$T238)</f>
        <v/>
      </c>
      <c r="V238" s="37">
        <f>IF(OR($U238="",$R238="",$R238=0),"",$U238/$R238)</f>
        <v/>
      </c>
      <c r="W238" s="20">
        <f>IF($G238="","",IF($X238="CONTEXTE INCOMPLET","CONTEXTE INCOMPLET",IF($X238="DOUBLON",StatutDoublon,IF($S238="",StatutInitial,IF($R238="",StatutStandardManquant,IF($V238="","DONNEES INSUFFISANTES",IF($V238&gt;=SeuilConforme,StatutConforme,IF($V238&gt;=SeuilSurveiller,StatutSurveiller,StatutSousStandard))))))))</f>
        <v/>
      </c>
      <c r="X238" s="33">
        <f>IF($G238="","",IF(OR($D238="",$E238="",$F238=""),"CONTEXTE INCOMPLET",IF(COUNTIFS($D$3:$D237,$D238,$E$3:$E237,$E238,$F$3:$F237,$F238,$G$3:$G237,$G238)&gt;0,"DOUBLON","VALIDE")))</f>
        <v/>
      </c>
    </row>
    <row r="239" ht="15" customHeight="1">
      <c r="A239" s="12">
        <f>IF(OR($B239="",$G239=""),"",TEXT($B239,"YYYYMMDD")&amp;"-"&amp;SUBSTITUTE($E239," ","")&amp;"-"&amp;$F239&amp;"-"&amp;$G239)</f>
        <v/>
      </c>
      <c r="B239" s="15" t="n"/>
      <c r="C239" s="16" t="n"/>
      <c r="D239" s="10" t="n"/>
      <c r="E239" s="9" t="n"/>
      <c r="F239" s="9" t="n"/>
      <c r="G239" s="13" t="n"/>
      <c r="H239" s="21" t="n"/>
      <c r="I239" s="21" t="n"/>
      <c r="J239" s="17">
        <f>IF($G239="","",IFERROR(INDEX(NomsEmployes,MATCH($G239,MatriculesEmployes,0)),"MATRICULE INCONNU"))</f>
        <v/>
      </c>
      <c r="K239" s="33">
        <f>IF(OR($D239="",$F239=""),"",IFERROR(IF(INDEX(RUNS!$L$6:$S$1005,MATCH($D239,RUNS!$A$6:$A$1005,0),MATCH("ACTIVITÉ "&amp;$F239,RUNS!$L$5:$S$5,0))="","",INDEX(RUNS!$L$6:$S$1005,MATCH($D239,RUNS!$A$6:$A$1005,0),MATCH("ACTIVITÉ "&amp;$F239,RUNS!$L$5:$S$5,0))),""))</f>
        <v/>
      </c>
      <c r="L239" s="33">
        <f>IF($D239="","",IFERROR(IF(INDEX(RUNS!$E$6:$E$1005,MATCH($D239,RUNS!$A$6:$A$1005,0))="","",INDEX(RUNS!$E$6:$E$1005,MATCH($D239,RUNS!$A$6:$A$1005,0))),""))</f>
        <v/>
      </c>
      <c r="M239" s="33">
        <f>IF($D239="","",IFERROR(IF(INDEX(RUNS!$F$6:$F$1005,MATCH($D239,RUNS!$A$6:$A$1005,0))="","",INDEX(RUNS!$F$6:$F$1005,MATCH($D239,RUNS!$A$6:$A$1005,0))),""))</f>
        <v/>
      </c>
      <c r="N239" s="33">
        <f>IF($D239="","",IFERROR(IF(INDEX(RUNS!$G$6:$G$1005,MATCH($D239,RUNS!$A$6:$A$1005,0))="","",INDEX(RUNS!$G$6:$G$1005,MATCH($D239,RUNS!$A$6:$A$1005,0))),""))</f>
        <v/>
      </c>
      <c r="O239" s="33">
        <f>IF($D239="","",IFERROR(IF(INDEX(RUNS!$H$6:$H$1005,MATCH($D239,RUNS!$A$6:$A$1005,0))="","",INDEX(RUNS!$H$6:$H$1005,MATCH($D239,RUNS!$A$6:$A$1005,0))),""))</f>
        <v/>
      </c>
      <c r="P239" s="33">
        <f>IF($D239="","",IFERROR(IF(INDEX(RUNS!$J$6:$J$1005,MATCH($D239,RUNS!$A$6:$A$1005,0))="","",INDEX(RUNS!$J$6:$J$1005,MATCH($D239,RUNS!$A$6:$A$1005,0))),""))</f>
        <v/>
      </c>
      <c r="Q239" s="33">
        <f>IF($D239="","",IFERROR(IF(INDEX(RUNS!$K$6:$K$1005,MATCH($D239,RUNS!$A$6:$A$1005,0))="","",INDEX(RUNS!$K$6:$K$1005,MATCH($D239,RUNS!$A$6:$A$1005,0))),""))</f>
        <v/>
      </c>
      <c r="R239" s="34">
        <f>IF(OR($L239="",$K239=""),"",IFERROR(IF(INDEX(PARAMETRES!$H$43:$H$342,MATCH($L239&amp;"|"&amp;$M239&amp;"|"&amp;$N239&amp;"|"&amp;$O239&amp;"|"&amp;$P239&amp;"|"&amp;$Q239&amp;"|"&amp;$K239,PARAMETRES!$J$43:$J$342,0))="","",INDEX(PARAMETRES!$H$43:$H$342,MATCH($L239&amp;"|"&amp;$M239&amp;"|"&amp;$N239&amp;"|"&amp;$O239&amp;"|"&amp;$P239&amp;"|"&amp;$Q239&amp;"|"&amp;$K239,PARAMETRES!$J$43:$J$342,0))),""))</f>
        <v/>
      </c>
      <c r="S239" s="35">
        <f>IF(OR($G239="",$X239&lt;&gt;"VALIDE"),"",IFERROR(LOOKUP(2,1/(($B$3:$B238=$B239)*($G$3:$G238=$G239)*($X$3:$X238="VALIDE")),$C$3:$C238),""))</f>
        <v/>
      </c>
      <c r="T239" s="36">
        <f>IF(OR($C239="",$S239=""),"",ROUND(($C239-$S239+IF($C239&lt;$S239,1,0))*1440,0))</f>
        <v/>
      </c>
      <c r="U239" s="22">
        <f>IF(OR($H239="",$T239="",$T239&lt;=0),"",$H239*60/$T239)</f>
        <v/>
      </c>
      <c r="V239" s="37">
        <f>IF(OR($U239="",$R239="",$R239=0),"",$U239/$R239)</f>
        <v/>
      </c>
      <c r="W239" s="20">
        <f>IF($G239="","",IF($X239="CONTEXTE INCOMPLET","CONTEXTE INCOMPLET",IF($X239="DOUBLON",StatutDoublon,IF($S239="",StatutInitial,IF($R239="",StatutStandardManquant,IF($V239="","DONNEES INSUFFISANTES",IF($V239&gt;=SeuilConforme,StatutConforme,IF($V239&gt;=SeuilSurveiller,StatutSurveiller,StatutSousStandard))))))))</f>
        <v/>
      </c>
      <c r="X239" s="33">
        <f>IF($G239="","",IF(OR($D239="",$E239="",$F239=""),"CONTEXTE INCOMPLET",IF(COUNTIFS($D$3:$D238,$D239,$E$3:$E238,$E239,$F$3:$F238,$F239,$G$3:$G238,$G239)&gt;0,"DOUBLON","VALIDE")))</f>
        <v/>
      </c>
    </row>
    <row r="240" ht="15" customHeight="1">
      <c r="A240" s="12">
        <f>IF(OR($B240="",$G240=""),"",TEXT($B240,"YYYYMMDD")&amp;"-"&amp;SUBSTITUTE($E240," ","")&amp;"-"&amp;$F240&amp;"-"&amp;$G240)</f>
        <v/>
      </c>
      <c r="B240" s="15" t="n"/>
      <c r="C240" s="16" t="n"/>
      <c r="D240" s="10" t="n"/>
      <c r="E240" s="9" t="n"/>
      <c r="F240" s="9" t="n"/>
      <c r="G240" s="13" t="n"/>
      <c r="H240" s="21" t="n"/>
      <c r="I240" s="21" t="n"/>
      <c r="J240" s="17">
        <f>IF($G240="","",IFERROR(INDEX(NomsEmployes,MATCH($G240,MatriculesEmployes,0)),"MATRICULE INCONNU"))</f>
        <v/>
      </c>
      <c r="K240" s="33">
        <f>IF(OR($D240="",$F240=""),"",IFERROR(IF(INDEX(RUNS!$L$6:$S$1005,MATCH($D240,RUNS!$A$6:$A$1005,0),MATCH("ACTIVITÉ "&amp;$F240,RUNS!$L$5:$S$5,0))="","",INDEX(RUNS!$L$6:$S$1005,MATCH($D240,RUNS!$A$6:$A$1005,0),MATCH("ACTIVITÉ "&amp;$F240,RUNS!$L$5:$S$5,0))),""))</f>
        <v/>
      </c>
      <c r="L240" s="33">
        <f>IF($D240="","",IFERROR(IF(INDEX(RUNS!$E$6:$E$1005,MATCH($D240,RUNS!$A$6:$A$1005,0))="","",INDEX(RUNS!$E$6:$E$1005,MATCH($D240,RUNS!$A$6:$A$1005,0))),""))</f>
        <v/>
      </c>
      <c r="M240" s="33">
        <f>IF($D240="","",IFERROR(IF(INDEX(RUNS!$F$6:$F$1005,MATCH($D240,RUNS!$A$6:$A$1005,0))="","",INDEX(RUNS!$F$6:$F$1005,MATCH($D240,RUNS!$A$6:$A$1005,0))),""))</f>
        <v/>
      </c>
      <c r="N240" s="33">
        <f>IF($D240="","",IFERROR(IF(INDEX(RUNS!$G$6:$G$1005,MATCH($D240,RUNS!$A$6:$A$1005,0))="","",INDEX(RUNS!$G$6:$G$1005,MATCH($D240,RUNS!$A$6:$A$1005,0))),""))</f>
        <v/>
      </c>
      <c r="O240" s="33">
        <f>IF($D240="","",IFERROR(IF(INDEX(RUNS!$H$6:$H$1005,MATCH($D240,RUNS!$A$6:$A$1005,0))="","",INDEX(RUNS!$H$6:$H$1005,MATCH($D240,RUNS!$A$6:$A$1005,0))),""))</f>
        <v/>
      </c>
      <c r="P240" s="33">
        <f>IF($D240="","",IFERROR(IF(INDEX(RUNS!$J$6:$J$1005,MATCH($D240,RUNS!$A$6:$A$1005,0))="","",INDEX(RUNS!$J$6:$J$1005,MATCH($D240,RUNS!$A$6:$A$1005,0))),""))</f>
        <v/>
      </c>
      <c r="Q240" s="33">
        <f>IF($D240="","",IFERROR(IF(INDEX(RUNS!$K$6:$K$1005,MATCH($D240,RUNS!$A$6:$A$1005,0))="","",INDEX(RUNS!$K$6:$K$1005,MATCH($D240,RUNS!$A$6:$A$1005,0))),""))</f>
        <v/>
      </c>
      <c r="R240" s="34">
        <f>IF(OR($L240="",$K240=""),"",IFERROR(IF(INDEX(PARAMETRES!$H$43:$H$342,MATCH($L240&amp;"|"&amp;$M240&amp;"|"&amp;$N240&amp;"|"&amp;$O240&amp;"|"&amp;$P240&amp;"|"&amp;$Q240&amp;"|"&amp;$K240,PARAMETRES!$J$43:$J$342,0))="","",INDEX(PARAMETRES!$H$43:$H$342,MATCH($L240&amp;"|"&amp;$M240&amp;"|"&amp;$N240&amp;"|"&amp;$O240&amp;"|"&amp;$P240&amp;"|"&amp;$Q240&amp;"|"&amp;$K240,PARAMETRES!$J$43:$J$342,0))),""))</f>
        <v/>
      </c>
      <c r="S240" s="35">
        <f>IF(OR($G240="",$X240&lt;&gt;"VALIDE"),"",IFERROR(LOOKUP(2,1/(($B$3:$B239=$B240)*($G$3:$G239=$G240)*($X$3:$X239="VALIDE")),$C$3:$C239),""))</f>
        <v/>
      </c>
      <c r="T240" s="36">
        <f>IF(OR($C240="",$S240=""),"",ROUND(($C240-$S240+IF($C240&lt;$S240,1,0))*1440,0))</f>
        <v/>
      </c>
      <c r="U240" s="22">
        <f>IF(OR($H240="",$T240="",$T240&lt;=0),"",$H240*60/$T240)</f>
        <v/>
      </c>
      <c r="V240" s="37">
        <f>IF(OR($U240="",$R240="",$R240=0),"",$U240/$R240)</f>
        <v/>
      </c>
      <c r="W240" s="20">
        <f>IF($G240="","",IF($X240="CONTEXTE INCOMPLET","CONTEXTE INCOMPLET",IF($X240="DOUBLON",StatutDoublon,IF($S240="",StatutInitial,IF($R240="",StatutStandardManquant,IF($V240="","DONNEES INSUFFISANTES",IF($V240&gt;=SeuilConforme,StatutConforme,IF($V240&gt;=SeuilSurveiller,StatutSurveiller,StatutSousStandard))))))))</f>
        <v/>
      </c>
      <c r="X240" s="33">
        <f>IF($G240="","",IF(OR($D240="",$E240="",$F240=""),"CONTEXTE INCOMPLET",IF(COUNTIFS($D$3:$D239,$D240,$E$3:$E239,$E240,$F$3:$F239,$F240,$G$3:$G239,$G240)&gt;0,"DOUBLON","VALIDE")))</f>
        <v/>
      </c>
    </row>
    <row r="241" ht="15" customHeight="1">
      <c r="A241" s="12">
        <f>IF(OR($B241="",$G241=""),"",TEXT($B241,"YYYYMMDD")&amp;"-"&amp;SUBSTITUTE($E241," ","")&amp;"-"&amp;$F241&amp;"-"&amp;$G241)</f>
        <v/>
      </c>
      <c r="B241" s="15" t="n"/>
      <c r="C241" s="16" t="n"/>
      <c r="D241" s="10" t="n"/>
      <c r="E241" s="9" t="n"/>
      <c r="F241" s="9" t="n"/>
      <c r="G241" s="13" t="n"/>
      <c r="H241" s="21" t="n"/>
      <c r="I241" s="21" t="n"/>
      <c r="J241" s="17">
        <f>IF($G241="","",IFERROR(INDEX(NomsEmployes,MATCH($G241,MatriculesEmployes,0)),"MATRICULE INCONNU"))</f>
        <v/>
      </c>
      <c r="K241" s="33">
        <f>IF(OR($D241="",$F241=""),"",IFERROR(IF(INDEX(RUNS!$L$6:$S$1005,MATCH($D241,RUNS!$A$6:$A$1005,0),MATCH("ACTIVITÉ "&amp;$F241,RUNS!$L$5:$S$5,0))="","",INDEX(RUNS!$L$6:$S$1005,MATCH($D241,RUNS!$A$6:$A$1005,0),MATCH("ACTIVITÉ "&amp;$F241,RUNS!$L$5:$S$5,0))),""))</f>
        <v/>
      </c>
      <c r="L241" s="33">
        <f>IF($D241="","",IFERROR(IF(INDEX(RUNS!$E$6:$E$1005,MATCH($D241,RUNS!$A$6:$A$1005,0))="","",INDEX(RUNS!$E$6:$E$1005,MATCH($D241,RUNS!$A$6:$A$1005,0))),""))</f>
        <v/>
      </c>
      <c r="M241" s="33">
        <f>IF($D241="","",IFERROR(IF(INDEX(RUNS!$F$6:$F$1005,MATCH($D241,RUNS!$A$6:$A$1005,0))="","",INDEX(RUNS!$F$6:$F$1005,MATCH($D241,RUNS!$A$6:$A$1005,0))),""))</f>
        <v/>
      </c>
      <c r="N241" s="33">
        <f>IF($D241="","",IFERROR(IF(INDEX(RUNS!$G$6:$G$1005,MATCH($D241,RUNS!$A$6:$A$1005,0))="","",INDEX(RUNS!$G$6:$G$1005,MATCH($D241,RUNS!$A$6:$A$1005,0))),""))</f>
        <v/>
      </c>
      <c r="O241" s="33">
        <f>IF($D241="","",IFERROR(IF(INDEX(RUNS!$H$6:$H$1005,MATCH($D241,RUNS!$A$6:$A$1005,0))="","",INDEX(RUNS!$H$6:$H$1005,MATCH($D241,RUNS!$A$6:$A$1005,0))),""))</f>
        <v/>
      </c>
      <c r="P241" s="33">
        <f>IF($D241="","",IFERROR(IF(INDEX(RUNS!$J$6:$J$1005,MATCH($D241,RUNS!$A$6:$A$1005,0))="","",INDEX(RUNS!$J$6:$J$1005,MATCH($D241,RUNS!$A$6:$A$1005,0))),""))</f>
        <v/>
      </c>
      <c r="Q241" s="33">
        <f>IF($D241="","",IFERROR(IF(INDEX(RUNS!$K$6:$K$1005,MATCH($D241,RUNS!$A$6:$A$1005,0))="","",INDEX(RUNS!$K$6:$K$1005,MATCH($D241,RUNS!$A$6:$A$1005,0))),""))</f>
        <v/>
      </c>
      <c r="R241" s="34">
        <f>IF(OR($L241="",$K241=""),"",IFERROR(IF(INDEX(PARAMETRES!$H$43:$H$342,MATCH($L241&amp;"|"&amp;$M241&amp;"|"&amp;$N241&amp;"|"&amp;$O241&amp;"|"&amp;$P241&amp;"|"&amp;$Q241&amp;"|"&amp;$K241,PARAMETRES!$J$43:$J$342,0))="","",INDEX(PARAMETRES!$H$43:$H$342,MATCH($L241&amp;"|"&amp;$M241&amp;"|"&amp;$N241&amp;"|"&amp;$O241&amp;"|"&amp;$P241&amp;"|"&amp;$Q241&amp;"|"&amp;$K241,PARAMETRES!$J$43:$J$342,0))),""))</f>
        <v/>
      </c>
      <c r="S241" s="35">
        <f>IF(OR($G241="",$X241&lt;&gt;"VALIDE"),"",IFERROR(LOOKUP(2,1/(($B$3:$B240=$B241)*($G$3:$G240=$G241)*($X$3:$X240="VALIDE")),$C$3:$C240),""))</f>
        <v/>
      </c>
      <c r="T241" s="36">
        <f>IF(OR($C241="",$S241=""),"",ROUND(($C241-$S241+IF($C241&lt;$S241,1,0))*1440,0))</f>
        <v/>
      </c>
      <c r="U241" s="22">
        <f>IF(OR($H241="",$T241="",$T241&lt;=0),"",$H241*60/$T241)</f>
        <v/>
      </c>
      <c r="V241" s="37">
        <f>IF(OR($U241="",$R241="",$R241=0),"",$U241/$R241)</f>
        <v/>
      </c>
      <c r="W241" s="20">
        <f>IF($G241="","",IF($X241="CONTEXTE INCOMPLET","CONTEXTE INCOMPLET",IF($X241="DOUBLON",StatutDoublon,IF($S241="",StatutInitial,IF($R241="",StatutStandardManquant,IF($V241="","DONNEES INSUFFISANTES",IF($V241&gt;=SeuilConforme,StatutConforme,IF($V241&gt;=SeuilSurveiller,StatutSurveiller,StatutSousStandard))))))))</f>
        <v/>
      </c>
      <c r="X241" s="33">
        <f>IF($G241="","",IF(OR($D241="",$E241="",$F241=""),"CONTEXTE INCOMPLET",IF(COUNTIFS($D$3:$D240,$D241,$E$3:$E240,$E241,$F$3:$F240,$F241,$G$3:$G240,$G241)&gt;0,"DOUBLON","VALIDE")))</f>
        <v/>
      </c>
    </row>
    <row r="242" ht="15" customHeight="1">
      <c r="A242" s="12">
        <f>IF(OR($B242="",$G242=""),"",TEXT($B242,"YYYYMMDD")&amp;"-"&amp;SUBSTITUTE($E242," ","")&amp;"-"&amp;$F242&amp;"-"&amp;$G242)</f>
        <v/>
      </c>
      <c r="B242" s="15" t="n"/>
      <c r="C242" s="16" t="n"/>
      <c r="D242" s="10" t="n"/>
      <c r="E242" s="9" t="n"/>
      <c r="F242" s="9" t="n"/>
      <c r="G242" s="13" t="n"/>
      <c r="H242" s="21" t="n"/>
      <c r="I242" s="21" t="n"/>
      <c r="J242" s="17">
        <f>IF($G242="","",IFERROR(INDEX(NomsEmployes,MATCH($G242,MatriculesEmployes,0)),"MATRICULE INCONNU"))</f>
        <v/>
      </c>
      <c r="K242" s="33">
        <f>IF(OR($D242="",$F242=""),"",IFERROR(IF(INDEX(RUNS!$L$6:$S$1005,MATCH($D242,RUNS!$A$6:$A$1005,0),MATCH("ACTIVITÉ "&amp;$F242,RUNS!$L$5:$S$5,0))="","",INDEX(RUNS!$L$6:$S$1005,MATCH($D242,RUNS!$A$6:$A$1005,0),MATCH("ACTIVITÉ "&amp;$F242,RUNS!$L$5:$S$5,0))),""))</f>
        <v/>
      </c>
      <c r="L242" s="33">
        <f>IF($D242="","",IFERROR(IF(INDEX(RUNS!$E$6:$E$1005,MATCH($D242,RUNS!$A$6:$A$1005,0))="","",INDEX(RUNS!$E$6:$E$1005,MATCH($D242,RUNS!$A$6:$A$1005,0))),""))</f>
        <v/>
      </c>
      <c r="M242" s="33">
        <f>IF($D242="","",IFERROR(IF(INDEX(RUNS!$F$6:$F$1005,MATCH($D242,RUNS!$A$6:$A$1005,0))="","",INDEX(RUNS!$F$6:$F$1005,MATCH($D242,RUNS!$A$6:$A$1005,0))),""))</f>
        <v/>
      </c>
      <c r="N242" s="33">
        <f>IF($D242="","",IFERROR(IF(INDEX(RUNS!$G$6:$G$1005,MATCH($D242,RUNS!$A$6:$A$1005,0))="","",INDEX(RUNS!$G$6:$G$1005,MATCH($D242,RUNS!$A$6:$A$1005,0))),""))</f>
        <v/>
      </c>
      <c r="O242" s="33">
        <f>IF($D242="","",IFERROR(IF(INDEX(RUNS!$H$6:$H$1005,MATCH($D242,RUNS!$A$6:$A$1005,0))="","",INDEX(RUNS!$H$6:$H$1005,MATCH($D242,RUNS!$A$6:$A$1005,0))),""))</f>
        <v/>
      </c>
      <c r="P242" s="33">
        <f>IF($D242="","",IFERROR(IF(INDEX(RUNS!$J$6:$J$1005,MATCH($D242,RUNS!$A$6:$A$1005,0))="","",INDEX(RUNS!$J$6:$J$1005,MATCH($D242,RUNS!$A$6:$A$1005,0))),""))</f>
        <v/>
      </c>
      <c r="Q242" s="33">
        <f>IF($D242="","",IFERROR(IF(INDEX(RUNS!$K$6:$K$1005,MATCH($D242,RUNS!$A$6:$A$1005,0))="","",INDEX(RUNS!$K$6:$K$1005,MATCH($D242,RUNS!$A$6:$A$1005,0))),""))</f>
        <v/>
      </c>
      <c r="R242" s="34">
        <f>IF(OR($L242="",$K242=""),"",IFERROR(IF(INDEX(PARAMETRES!$H$43:$H$342,MATCH($L242&amp;"|"&amp;$M242&amp;"|"&amp;$N242&amp;"|"&amp;$O242&amp;"|"&amp;$P242&amp;"|"&amp;$Q242&amp;"|"&amp;$K242,PARAMETRES!$J$43:$J$342,0))="","",INDEX(PARAMETRES!$H$43:$H$342,MATCH($L242&amp;"|"&amp;$M242&amp;"|"&amp;$N242&amp;"|"&amp;$O242&amp;"|"&amp;$P242&amp;"|"&amp;$Q242&amp;"|"&amp;$K242,PARAMETRES!$J$43:$J$342,0))),""))</f>
        <v/>
      </c>
      <c r="S242" s="35">
        <f>IF(OR($G242="",$X242&lt;&gt;"VALIDE"),"",IFERROR(LOOKUP(2,1/(($B$3:$B241=$B242)*($G$3:$G241=$G242)*($X$3:$X241="VALIDE")),$C$3:$C241),""))</f>
        <v/>
      </c>
      <c r="T242" s="36">
        <f>IF(OR($C242="",$S242=""),"",ROUND(($C242-$S242+IF($C242&lt;$S242,1,0))*1440,0))</f>
        <v/>
      </c>
      <c r="U242" s="22">
        <f>IF(OR($H242="",$T242="",$T242&lt;=0),"",$H242*60/$T242)</f>
        <v/>
      </c>
      <c r="V242" s="37">
        <f>IF(OR($U242="",$R242="",$R242=0),"",$U242/$R242)</f>
        <v/>
      </c>
      <c r="W242" s="20">
        <f>IF($G242="","",IF($X242="CONTEXTE INCOMPLET","CONTEXTE INCOMPLET",IF($X242="DOUBLON",StatutDoublon,IF($S242="",StatutInitial,IF($R242="",StatutStandardManquant,IF($V242="","DONNEES INSUFFISANTES",IF($V242&gt;=SeuilConforme,StatutConforme,IF($V242&gt;=SeuilSurveiller,StatutSurveiller,StatutSousStandard))))))))</f>
        <v/>
      </c>
      <c r="X242" s="33">
        <f>IF($G242="","",IF(OR($D242="",$E242="",$F242=""),"CONTEXTE INCOMPLET",IF(COUNTIFS($D$3:$D241,$D242,$E$3:$E241,$E242,$F$3:$F241,$F242,$G$3:$G241,$G242)&gt;0,"DOUBLON","VALIDE")))</f>
        <v/>
      </c>
    </row>
    <row r="243" ht="15" customHeight="1">
      <c r="A243" s="12">
        <f>IF(OR($B243="",$G243=""),"",TEXT($B243,"YYYYMMDD")&amp;"-"&amp;SUBSTITUTE($E243," ","")&amp;"-"&amp;$F243&amp;"-"&amp;$G243)</f>
        <v/>
      </c>
      <c r="B243" s="15" t="n"/>
      <c r="C243" s="16" t="n"/>
      <c r="D243" s="10" t="n"/>
      <c r="E243" s="9" t="n"/>
      <c r="F243" s="9" t="n"/>
      <c r="G243" s="13" t="n"/>
      <c r="H243" s="21" t="n"/>
      <c r="I243" s="21" t="n"/>
      <c r="J243" s="17">
        <f>IF($G243="","",IFERROR(INDEX(NomsEmployes,MATCH($G243,MatriculesEmployes,0)),"MATRICULE INCONNU"))</f>
        <v/>
      </c>
      <c r="K243" s="33">
        <f>IF(OR($D243="",$F243=""),"",IFERROR(IF(INDEX(RUNS!$L$6:$S$1005,MATCH($D243,RUNS!$A$6:$A$1005,0),MATCH("ACTIVITÉ "&amp;$F243,RUNS!$L$5:$S$5,0))="","",INDEX(RUNS!$L$6:$S$1005,MATCH($D243,RUNS!$A$6:$A$1005,0),MATCH("ACTIVITÉ "&amp;$F243,RUNS!$L$5:$S$5,0))),""))</f>
        <v/>
      </c>
      <c r="L243" s="33">
        <f>IF($D243="","",IFERROR(IF(INDEX(RUNS!$E$6:$E$1005,MATCH($D243,RUNS!$A$6:$A$1005,0))="","",INDEX(RUNS!$E$6:$E$1005,MATCH($D243,RUNS!$A$6:$A$1005,0))),""))</f>
        <v/>
      </c>
      <c r="M243" s="33">
        <f>IF($D243="","",IFERROR(IF(INDEX(RUNS!$F$6:$F$1005,MATCH($D243,RUNS!$A$6:$A$1005,0))="","",INDEX(RUNS!$F$6:$F$1005,MATCH($D243,RUNS!$A$6:$A$1005,0))),""))</f>
        <v/>
      </c>
      <c r="N243" s="33">
        <f>IF($D243="","",IFERROR(IF(INDEX(RUNS!$G$6:$G$1005,MATCH($D243,RUNS!$A$6:$A$1005,0))="","",INDEX(RUNS!$G$6:$G$1005,MATCH($D243,RUNS!$A$6:$A$1005,0))),""))</f>
        <v/>
      </c>
      <c r="O243" s="33">
        <f>IF($D243="","",IFERROR(IF(INDEX(RUNS!$H$6:$H$1005,MATCH($D243,RUNS!$A$6:$A$1005,0))="","",INDEX(RUNS!$H$6:$H$1005,MATCH($D243,RUNS!$A$6:$A$1005,0))),""))</f>
        <v/>
      </c>
      <c r="P243" s="33">
        <f>IF($D243="","",IFERROR(IF(INDEX(RUNS!$J$6:$J$1005,MATCH($D243,RUNS!$A$6:$A$1005,0))="","",INDEX(RUNS!$J$6:$J$1005,MATCH($D243,RUNS!$A$6:$A$1005,0))),""))</f>
        <v/>
      </c>
      <c r="Q243" s="33">
        <f>IF($D243="","",IFERROR(IF(INDEX(RUNS!$K$6:$K$1005,MATCH($D243,RUNS!$A$6:$A$1005,0))="","",INDEX(RUNS!$K$6:$K$1005,MATCH($D243,RUNS!$A$6:$A$1005,0))),""))</f>
        <v/>
      </c>
      <c r="R243" s="34">
        <f>IF(OR($L243="",$K243=""),"",IFERROR(IF(INDEX(PARAMETRES!$H$43:$H$342,MATCH($L243&amp;"|"&amp;$M243&amp;"|"&amp;$N243&amp;"|"&amp;$O243&amp;"|"&amp;$P243&amp;"|"&amp;$Q243&amp;"|"&amp;$K243,PARAMETRES!$J$43:$J$342,0))="","",INDEX(PARAMETRES!$H$43:$H$342,MATCH($L243&amp;"|"&amp;$M243&amp;"|"&amp;$N243&amp;"|"&amp;$O243&amp;"|"&amp;$P243&amp;"|"&amp;$Q243&amp;"|"&amp;$K243,PARAMETRES!$J$43:$J$342,0))),""))</f>
        <v/>
      </c>
      <c r="S243" s="35">
        <f>IF(OR($G243="",$X243&lt;&gt;"VALIDE"),"",IFERROR(LOOKUP(2,1/(($B$3:$B242=$B243)*($G$3:$G242=$G243)*($X$3:$X242="VALIDE")),$C$3:$C242),""))</f>
        <v/>
      </c>
      <c r="T243" s="36">
        <f>IF(OR($C243="",$S243=""),"",ROUND(($C243-$S243+IF($C243&lt;$S243,1,0))*1440,0))</f>
        <v/>
      </c>
      <c r="U243" s="22">
        <f>IF(OR($H243="",$T243="",$T243&lt;=0),"",$H243*60/$T243)</f>
        <v/>
      </c>
      <c r="V243" s="37">
        <f>IF(OR($U243="",$R243="",$R243=0),"",$U243/$R243)</f>
        <v/>
      </c>
      <c r="W243" s="20">
        <f>IF($G243="","",IF($X243="CONTEXTE INCOMPLET","CONTEXTE INCOMPLET",IF($X243="DOUBLON",StatutDoublon,IF($S243="",StatutInitial,IF($R243="",StatutStandardManquant,IF($V243="","DONNEES INSUFFISANTES",IF($V243&gt;=SeuilConforme,StatutConforme,IF($V243&gt;=SeuilSurveiller,StatutSurveiller,StatutSousStandard))))))))</f>
        <v/>
      </c>
      <c r="X243" s="33">
        <f>IF($G243="","",IF(OR($D243="",$E243="",$F243=""),"CONTEXTE INCOMPLET",IF(COUNTIFS($D$3:$D242,$D243,$E$3:$E242,$E243,$F$3:$F242,$F243,$G$3:$G242,$G243)&gt;0,"DOUBLON","VALIDE")))</f>
        <v/>
      </c>
    </row>
    <row r="244" ht="15" customHeight="1">
      <c r="A244" s="12">
        <f>IF(OR($B244="",$G244=""),"",TEXT($B244,"YYYYMMDD")&amp;"-"&amp;SUBSTITUTE($E244," ","")&amp;"-"&amp;$F244&amp;"-"&amp;$G244)</f>
        <v/>
      </c>
      <c r="B244" s="15" t="n"/>
      <c r="C244" s="16" t="n"/>
      <c r="D244" s="10" t="n"/>
      <c r="E244" s="9" t="n"/>
      <c r="F244" s="9" t="n"/>
      <c r="G244" s="13" t="n"/>
      <c r="H244" s="21" t="n"/>
      <c r="I244" s="21" t="n"/>
      <c r="J244" s="17">
        <f>IF($G244="","",IFERROR(INDEX(NomsEmployes,MATCH($G244,MatriculesEmployes,0)),"MATRICULE INCONNU"))</f>
        <v/>
      </c>
      <c r="K244" s="33">
        <f>IF(OR($D244="",$F244=""),"",IFERROR(IF(INDEX(RUNS!$L$6:$S$1005,MATCH($D244,RUNS!$A$6:$A$1005,0),MATCH("ACTIVITÉ "&amp;$F244,RUNS!$L$5:$S$5,0))="","",INDEX(RUNS!$L$6:$S$1005,MATCH($D244,RUNS!$A$6:$A$1005,0),MATCH("ACTIVITÉ "&amp;$F244,RUNS!$L$5:$S$5,0))),""))</f>
        <v/>
      </c>
      <c r="L244" s="33">
        <f>IF($D244="","",IFERROR(IF(INDEX(RUNS!$E$6:$E$1005,MATCH($D244,RUNS!$A$6:$A$1005,0))="","",INDEX(RUNS!$E$6:$E$1005,MATCH($D244,RUNS!$A$6:$A$1005,0))),""))</f>
        <v/>
      </c>
      <c r="M244" s="33">
        <f>IF($D244="","",IFERROR(IF(INDEX(RUNS!$F$6:$F$1005,MATCH($D244,RUNS!$A$6:$A$1005,0))="","",INDEX(RUNS!$F$6:$F$1005,MATCH($D244,RUNS!$A$6:$A$1005,0))),""))</f>
        <v/>
      </c>
      <c r="N244" s="33">
        <f>IF($D244="","",IFERROR(IF(INDEX(RUNS!$G$6:$G$1005,MATCH($D244,RUNS!$A$6:$A$1005,0))="","",INDEX(RUNS!$G$6:$G$1005,MATCH($D244,RUNS!$A$6:$A$1005,0))),""))</f>
        <v/>
      </c>
      <c r="O244" s="33">
        <f>IF($D244="","",IFERROR(IF(INDEX(RUNS!$H$6:$H$1005,MATCH($D244,RUNS!$A$6:$A$1005,0))="","",INDEX(RUNS!$H$6:$H$1005,MATCH($D244,RUNS!$A$6:$A$1005,0))),""))</f>
        <v/>
      </c>
      <c r="P244" s="33">
        <f>IF($D244="","",IFERROR(IF(INDEX(RUNS!$J$6:$J$1005,MATCH($D244,RUNS!$A$6:$A$1005,0))="","",INDEX(RUNS!$J$6:$J$1005,MATCH($D244,RUNS!$A$6:$A$1005,0))),""))</f>
        <v/>
      </c>
      <c r="Q244" s="33">
        <f>IF($D244="","",IFERROR(IF(INDEX(RUNS!$K$6:$K$1005,MATCH($D244,RUNS!$A$6:$A$1005,0))="","",INDEX(RUNS!$K$6:$K$1005,MATCH($D244,RUNS!$A$6:$A$1005,0))),""))</f>
        <v/>
      </c>
      <c r="R244" s="34">
        <f>IF(OR($L244="",$K244=""),"",IFERROR(IF(INDEX(PARAMETRES!$H$43:$H$342,MATCH($L244&amp;"|"&amp;$M244&amp;"|"&amp;$N244&amp;"|"&amp;$O244&amp;"|"&amp;$P244&amp;"|"&amp;$Q244&amp;"|"&amp;$K244,PARAMETRES!$J$43:$J$342,0))="","",INDEX(PARAMETRES!$H$43:$H$342,MATCH($L244&amp;"|"&amp;$M244&amp;"|"&amp;$N244&amp;"|"&amp;$O244&amp;"|"&amp;$P244&amp;"|"&amp;$Q244&amp;"|"&amp;$K244,PARAMETRES!$J$43:$J$342,0))),""))</f>
        <v/>
      </c>
      <c r="S244" s="35">
        <f>IF(OR($G244="",$X244&lt;&gt;"VALIDE"),"",IFERROR(LOOKUP(2,1/(($B$3:$B243=$B244)*($G$3:$G243=$G244)*($X$3:$X243="VALIDE")),$C$3:$C243),""))</f>
        <v/>
      </c>
      <c r="T244" s="36">
        <f>IF(OR($C244="",$S244=""),"",ROUND(($C244-$S244+IF($C244&lt;$S244,1,0))*1440,0))</f>
        <v/>
      </c>
      <c r="U244" s="22">
        <f>IF(OR($H244="",$T244="",$T244&lt;=0),"",$H244*60/$T244)</f>
        <v/>
      </c>
      <c r="V244" s="37">
        <f>IF(OR($U244="",$R244="",$R244=0),"",$U244/$R244)</f>
        <v/>
      </c>
      <c r="W244" s="20">
        <f>IF($G244="","",IF($X244="CONTEXTE INCOMPLET","CONTEXTE INCOMPLET",IF($X244="DOUBLON",StatutDoublon,IF($S244="",StatutInitial,IF($R244="",StatutStandardManquant,IF($V244="","DONNEES INSUFFISANTES",IF($V244&gt;=SeuilConforme,StatutConforme,IF($V244&gt;=SeuilSurveiller,StatutSurveiller,StatutSousStandard))))))))</f>
        <v/>
      </c>
      <c r="X244" s="33">
        <f>IF($G244="","",IF(OR($D244="",$E244="",$F244=""),"CONTEXTE INCOMPLET",IF(COUNTIFS($D$3:$D243,$D244,$E$3:$E243,$E244,$F$3:$F243,$F244,$G$3:$G243,$G244)&gt;0,"DOUBLON","VALIDE")))</f>
        <v/>
      </c>
    </row>
    <row r="245" ht="15" customHeight="1">
      <c r="A245" s="12">
        <f>IF(OR($B245="",$G245=""),"",TEXT($B245,"YYYYMMDD")&amp;"-"&amp;SUBSTITUTE($E245," ","")&amp;"-"&amp;$F245&amp;"-"&amp;$G245)</f>
        <v/>
      </c>
      <c r="B245" s="15" t="n"/>
      <c r="C245" s="16" t="n"/>
      <c r="D245" s="10" t="n"/>
      <c r="E245" s="9" t="n"/>
      <c r="F245" s="9" t="n"/>
      <c r="G245" s="13" t="n"/>
      <c r="H245" s="21" t="n"/>
      <c r="I245" s="21" t="n"/>
      <c r="J245" s="17">
        <f>IF($G245="","",IFERROR(INDEX(NomsEmployes,MATCH($G245,MatriculesEmployes,0)),"MATRICULE INCONNU"))</f>
        <v/>
      </c>
      <c r="K245" s="33">
        <f>IF(OR($D245="",$F245=""),"",IFERROR(IF(INDEX(RUNS!$L$6:$S$1005,MATCH($D245,RUNS!$A$6:$A$1005,0),MATCH("ACTIVITÉ "&amp;$F245,RUNS!$L$5:$S$5,0))="","",INDEX(RUNS!$L$6:$S$1005,MATCH($D245,RUNS!$A$6:$A$1005,0),MATCH("ACTIVITÉ "&amp;$F245,RUNS!$L$5:$S$5,0))),""))</f>
        <v/>
      </c>
      <c r="L245" s="33">
        <f>IF($D245="","",IFERROR(IF(INDEX(RUNS!$E$6:$E$1005,MATCH($D245,RUNS!$A$6:$A$1005,0))="","",INDEX(RUNS!$E$6:$E$1005,MATCH($D245,RUNS!$A$6:$A$1005,0))),""))</f>
        <v/>
      </c>
      <c r="M245" s="33">
        <f>IF($D245="","",IFERROR(IF(INDEX(RUNS!$F$6:$F$1005,MATCH($D245,RUNS!$A$6:$A$1005,0))="","",INDEX(RUNS!$F$6:$F$1005,MATCH($D245,RUNS!$A$6:$A$1005,0))),""))</f>
        <v/>
      </c>
      <c r="N245" s="33">
        <f>IF($D245="","",IFERROR(IF(INDEX(RUNS!$G$6:$G$1005,MATCH($D245,RUNS!$A$6:$A$1005,0))="","",INDEX(RUNS!$G$6:$G$1005,MATCH($D245,RUNS!$A$6:$A$1005,0))),""))</f>
        <v/>
      </c>
      <c r="O245" s="33">
        <f>IF($D245="","",IFERROR(IF(INDEX(RUNS!$H$6:$H$1005,MATCH($D245,RUNS!$A$6:$A$1005,0))="","",INDEX(RUNS!$H$6:$H$1005,MATCH($D245,RUNS!$A$6:$A$1005,0))),""))</f>
        <v/>
      </c>
      <c r="P245" s="33">
        <f>IF($D245="","",IFERROR(IF(INDEX(RUNS!$J$6:$J$1005,MATCH($D245,RUNS!$A$6:$A$1005,0))="","",INDEX(RUNS!$J$6:$J$1005,MATCH($D245,RUNS!$A$6:$A$1005,0))),""))</f>
        <v/>
      </c>
      <c r="Q245" s="33">
        <f>IF($D245="","",IFERROR(IF(INDEX(RUNS!$K$6:$K$1005,MATCH($D245,RUNS!$A$6:$A$1005,0))="","",INDEX(RUNS!$K$6:$K$1005,MATCH($D245,RUNS!$A$6:$A$1005,0))),""))</f>
        <v/>
      </c>
      <c r="R245" s="34">
        <f>IF(OR($L245="",$K245=""),"",IFERROR(IF(INDEX(PARAMETRES!$H$43:$H$342,MATCH($L245&amp;"|"&amp;$M245&amp;"|"&amp;$N245&amp;"|"&amp;$O245&amp;"|"&amp;$P245&amp;"|"&amp;$Q245&amp;"|"&amp;$K245,PARAMETRES!$J$43:$J$342,0))="","",INDEX(PARAMETRES!$H$43:$H$342,MATCH($L245&amp;"|"&amp;$M245&amp;"|"&amp;$N245&amp;"|"&amp;$O245&amp;"|"&amp;$P245&amp;"|"&amp;$Q245&amp;"|"&amp;$K245,PARAMETRES!$J$43:$J$342,0))),""))</f>
        <v/>
      </c>
      <c r="S245" s="35">
        <f>IF(OR($G245="",$X245&lt;&gt;"VALIDE"),"",IFERROR(LOOKUP(2,1/(($B$3:$B244=$B245)*($G$3:$G244=$G245)*($X$3:$X244="VALIDE")),$C$3:$C244),""))</f>
        <v/>
      </c>
      <c r="T245" s="36">
        <f>IF(OR($C245="",$S245=""),"",ROUND(($C245-$S245+IF($C245&lt;$S245,1,0))*1440,0))</f>
        <v/>
      </c>
      <c r="U245" s="22">
        <f>IF(OR($H245="",$T245="",$T245&lt;=0),"",$H245*60/$T245)</f>
        <v/>
      </c>
      <c r="V245" s="37">
        <f>IF(OR($U245="",$R245="",$R245=0),"",$U245/$R245)</f>
        <v/>
      </c>
      <c r="W245" s="20">
        <f>IF($G245="","",IF($X245="CONTEXTE INCOMPLET","CONTEXTE INCOMPLET",IF($X245="DOUBLON",StatutDoublon,IF($S245="",StatutInitial,IF($R245="",StatutStandardManquant,IF($V245="","DONNEES INSUFFISANTES",IF($V245&gt;=SeuilConforme,StatutConforme,IF($V245&gt;=SeuilSurveiller,StatutSurveiller,StatutSousStandard))))))))</f>
        <v/>
      </c>
      <c r="X245" s="33">
        <f>IF($G245="","",IF(OR($D245="",$E245="",$F245=""),"CONTEXTE INCOMPLET",IF(COUNTIFS($D$3:$D244,$D245,$E$3:$E244,$E245,$F$3:$F244,$F245,$G$3:$G244,$G245)&gt;0,"DOUBLON","VALIDE")))</f>
        <v/>
      </c>
    </row>
    <row r="246" ht="15" customHeight="1">
      <c r="A246" s="12">
        <f>IF(OR($B246="",$G246=""),"",TEXT($B246,"YYYYMMDD")&amp;"-"&amp;SUBSTITUTE($E246," ","")&amp;"-"&amp;$F246&amp;"-"&amp;$G246)</f>
        <v/>
      </c>
      <c r="B246" s="15" t="n"/>
      <c r="C246" s="16" t="n"/>
      <c r="D246" s="10" t="n"/>
      <c r="E246" s="9" t="n"/>
      <c r="F246" s="9" t="n"/>
      <c r="G246" s="13" t="n"/>
      <c r="H246" s="21" t="n"/>
      <c r="I246" s="21" t="n"/>
      <c r="J246" s="17">
        <f>IF($G246="","",IFERROR(INDEX(NomsEmployes,MATCH($G246,MatriculesEmployes,0)),"MATRICULE INCONNU"))</f>
        <v/>
      </c>
      <c r="K246" s="33">
        <f>IF(OR($D246="",$F246=""),"",IFERROR(IF(INDEX(RUNS!$L$6:$S$1005,MATCH($D246,RUNS!$A$6:$A$1005,0),MATCH("ACTIVITÉ "&amp;$F246,RUNS!$L$5:$S$5,0))="","",INDEX(RUNS!$L$6:$S$1005,MATCH($D246,RUNS!$A$6:$A$1005,0),MATCH("ACTIVITÉ "&amp;$F246,RUNS!$L$5:$S$5,0))),""))</f>
        <v/>
      </c>
      <c r="L246" s="33">
        <f>IF($D246="","",IFERROR(IF(INDEX(RUNS!$E$6:$E$1005,MATCH($D246,RUNS!$A$6:$A$1005,0))="","",INDEX(RUNS!$E$6:$E$1005,MATCH($D246,RUNS!$A$6:$A$1005,0))),""))</f>
        <v/>
      </c>
      <c r="M246" s="33">
        <f>IF($D246="","",IFERROR(IF(INDEX(RUNS!$F$6:$F$1005,MATCH($D246,RUNS!$A$6:$A$1005,0))="","",INDEX(RUNS!$F$6:$F$1005,MATCH($D246,RUNS!$A$6:$A$1005,0))),""))</f>
        <v/>
      </c>
      <c r="N246" s="33">
        <f>IF($D246="","",IFERROR(IF(INDEX(RUNS!$G$6:$G$1005,MATCH($D246,RUNS!$A$6:$A$1005,0))="","",INDEX(RUNS!$G$6:$G$1005,MATCH($D246,RUNS!$A$6:$A$1005,0))),""))</f>
        <v/>
      </c>
      <c r="O246" s="33">
        <f>IF($D246="","",IFERROR(IF(INDEX(RUNS!$H$6:$H$1005,MATCH($D246,RUNS!$A$6:$A$1005,0))="","",INDEX(RUNS!$H$6:$H$1005,MATCH($D246,RUNS!$A$6:$A$1005,0))),""))</f>
        <v/>
      </c>
      <c r="P246" s="33">
        <f>IF($D246="","",IFERROR(IF(INDEX(RUNS!$J$6:$J$1005,MATCH($D246,RUNS!$A$6:$A$1005,0))="","",INDEX(RUNS!$J$6:$J$1005,MATCH($D246,RUNS!$A$6:$A$1005,0))),""))</f>
        <v/>
      </c>
      <c r="Q246" s="33">
        <f>IF($D246="","",IFERROR(IF(INDEX(RUNS!$K$6:$K$1005,MATCH($D246,RUNS!$A$6:$A$1005,0))="","",INDEX(RUNS!$K$6:$K$1005,MATCH($D246,RUNS!$A$6:$A$1005,0))),""))</f>
        <v/>
      </c>
      <c r="R246" s="34">
        <f>IF(OR($L246="",$K246=""),"",IFERROR(IF(INDEX(PARAMETRES!$H$43:$H$342,MATCH($L246&amp;"|"&amp;$M246&amp;"|"&amp;$N246&amp;"|"&amp;$O246&amp;"|"&amp;$P246&amp;"|"&amp;$Q246&amp;"|"&amp;$K246,PARAMETRES!$J$43:$J$342,0))="","",INDEX(PARAMETRES!$H$43:$H$342,MATCH($L246&amp;"|"&amp;$M246&amp;"|"&amp;$N246&amp;"|"&amp;$O246&amp;"|"&amp;$P246&amp;"|"&amp;$Q246&amp;"|"&amp;$K246,PARAMETRES!$J$43:$J$342,0))),""))</f>
        <v/>
      </c>
      <c r="S246" s="35">
        <f>IF(OR($G246="",$X246&lt;&gt;"VALIDE"),"",IFERROR(LOOKUP(2,1/(($B$3:$B245=$B246)*($G$3:$G245=$G246)*($X$3:$X245="VALIDE")),$C$3:$C245),""))</f>
        <v/>
      </c>
      <c r="T246" s="36">
        <f>IF(OR($C246="",$S246=""),"",ROUND(($C246-$S246+IF($C246&lt;$S246,1,0))*1440,0))</f>
        <v/>
      </c>
      <c r="U246" s="22">
        <f>IF(OR($H246="",$T246="",$T246&lt;=0),"",$H246*60/$T246)</f>
        <v/>
      </c>
      <c r="V246" s="37">
        <f>IF(OR($U246="",$R246="",$R246=0),"",$U246/$R246)</f>
        <v/>
      </c>
      <c r="W246" s="20">
        <f>IF($G246="","",IF($X246="CONTEXTE INCOMPLET","CONTEXTE INCOMPLET",IF($X246="DOUBLON",StatutDoublon,IF($S246="",StatutInitial,IF($R246="",StatutStandardManquant,IF($V246="","DONNEES INSUFFISANTES",IF($V246&gt;=SeuilConforme,StatutConforme,IF($V246&gt;=SeuilSurveiller,StatutSurveiller,StatutSousStandard))))))))</f>
        <v/>
      </c>
      <c r="X246" s="33">
        <f>IF($G246="","",IF(OR($D246="",$E246="",$F246=""),"CONTEXTE INCOMPLET",IF(COUNTIFS($D$3:$D245,$D246,$E$3:$E245,$E246,$F$3:$F245,$F246,$G$3:$G245,$G246)&gt;0,"DOUBLON","VALIDE")))</f>
        <v/>
      </c>
    </row>
    <row r="247" ht="15" customHeight="1">
      <c r="A247" s="12">
        <f>IF(OR($B247="",$G247=""),"",TEXT($B247,"YYYYMMDD")&amp;"-"&amp;SUBSTITUTE($E247," ","")&amp;"-"&amp;$F247&amp;"-"&amp;$G247)</f>
        <v/>
      </c>
      <c r="B247" s="15" t="n"/>
      <c r="C247" s="16" t="n"/>
      <c r="D247" s="10" t="n"/>
      <c r="E247" s="9" t="n"/>
      <c r="F247" s="9" t="n"/>
      <c r="G247" s="13" t="n"/>
      <c r="H247" s="21" t="n"/>
      <c r="I247" s="21" t="n"/>
      <c r="J247" s="17">
        <f>IF($G247="","",IFERROR(INDEX(NomsEmployes,MATCH($G247,MatriculesEmployes,0)),"MATRICULE INCONNU"))</f>
        <v/>
      </c>
      <c r="K247" s="33">
        <f>IF(OR($D247="",$F247=""),"",IFERROR(IF(INDEX(RUNS!$L$6:$S$1005,MATCH($D247,RUNS!$A$6:$A$1005,0),MATCH("ACTIVITÉ "&amp;$F247,RUNS!$L$5:$S$5,0))="","",INDEX(RUNS!$L$6:$S$1005,MATCH($D247,RUNS!$A$6:$A$1005,0),MATCH("ACTIVITÉ "&amp;$F247,RUNS!$L$5:$S$5,0))),""))</f>
        <v/>
      </c>
      <c r="L247" s="33">
        <f>IF($D247="","",IFERROR(IF(INDEX(RUNS!$E$6:$E$1005,MATCH($D247,RUNS!$A$6:$A$1005,0))="","",INDEX(RUNS!$E$6:$E$1005,MATCH($D247,RUNS!$A$6:$A$1005,0))),""))</f>
        <v/>
      </c>
      <c r="M247" s="33">
        <f>IF($D247="","",IFERROR(IF(INDEX(RUNS!$F$6:$F$1005,MATCH($D247,RUNS!$A$6:$A$1005,0))="","",INDEX(RUNS!$F$6:$F$1005,MATCH($D247,RUNS!$A$6:$A$1005,0))),""))</f>
        <v/>
      </c>
      <c r="N247" s="33">
        <f>IF($D247="","",IFERROR(IF(INDEX(RUNS!$G$6:$G$1005,MATCH($D247,RUNS!$A$6:$A$1005,0))="","",INDEX(RUNS!$G$6:$G$1005,MATCH($D247,RUNS!$A$6:$A$1005,0))),""))</f>
        <v/>
      </c>
      <c r="O247" s="33">
        <f>IF($D247="","",IFERROR(IF(INDEX(RUNS!$H$6:$H$1005,MATCH($D247,RUNS!$A$6:$A$1005,0))="","",INDEX(RUNS!$H$6:$H$1005,MATCH($D247,RUNS!$A$6:$A$1005,0))),""))</f>
        <v/>
      </c>
      <c r="P247" s="33">
        <f>IF($D247="","",IFERROR(IF(INDEX(RUNS!$J$6:$J$1005,MATCH($D247,RUNS!$A$6:$A$1005,0))="","",INDEX(RUNS!$J$6:$J$1005,MATCH($D247,RUNS!$A$6:$A$1005,0))),""))</f>
        <v/>
      </c>
      <c r="Q247" s="33">
        <f>IF($D247="","",IFERROR(IF(INDEX(RUNS!$K$6:$K$1005,MATCH($D247,RUNS!$A$6:$A$1005,0))="","",INDEX(RUNS!$K$6:$K$1005,MATCH($D247,RUNS!$A$6:$A$1005,0))),""))</f>
        <v/>
      </c>
      <c r="R247" s="34">
        <f>IF(OR($L247="",$K247=""),"",IFERROR(IF(INDEX(PARAMETRES!$H$43:$H$342,MATCH($L247&amp;"|"&amp;$M247&amp;"|"&amp;$N247&amp;"|"&amp;$O247&amp;"|"&amp;$P247&amp;"|"&amp;$Q247&amp;"|"&amp;$K247,PARAMETRES!$J$43:$J$342,0))="","",INDEX(PARAMETRES!$H$43:$H$342,MATCH($L247&amp;"|"&amp;$M247&amp;"|"&amp;$N247&amp;"|"&amp;$O247&amp;"|"&amp;$P247&amp;"|"&amp;$Q247&amp;"|"&amp;$K247,PARAMETRES!$J$43:$J$342,0))),""))</f>
        <v/>
      </c>
      <c r="S247" s="35">
        <f>IF(OR($G247="",$X247&lt;&gt;"VALIDE"),"",IFERROR(LOOKUP(2,1/(($B$3:$B246=$B247)*($G$3:$G246=$G247)*($X$3:$X246="VALIDE")),$C$3:$C246),""))</f>
        <v/>
      </c>
      <c r="T247" s="36">
        <f>IF(OR($C247="",$S247=""),"",ROUND(($C247-$S247+IF($C247&lt;$S247,1,0))*1440,0))</f>
        <v/>
      </c>
      <c r="U247" s="22">
        <f>IF(OR($H247="",$T247="",$T247&lt;=0),"",$H247*60/$T247)</f>
        <v/>
      </c>
      <c r="V247" s="37">
        <f>IF(OR($U247="",$R247="",$R247=0),"",$U247/$R247)</f>
        <v/>
      </c>
      <c r="W247" s="20">
        <f>IF($G247="","",IF($X247="CONTEXTE INCOMPLET","CONTEXTE INCOMPLET",IF($X247="DOUBLON",StatutDoublon,IF($S247="",StatutInitial,IF($R247="",StatutStandardManquant,IF($V247="","DONNEES INSUFFISANTES",IF($V247&gt;=SeuilConforme,StatutConforme,IF($V247&gt;=SeuilSurveiller,StatutSurveiller,StatutSousStandard))))))))</f>
        <v/>
      </c>
      <c r="X247" s="33">
        <f>IF($G247="","",IF(OR($D247="",$E247="",$F247=""),"CONTEXTE INCOMPLET",IF(COUNTIFS($D$3:$D246,$D247,$E$3:$E246,$E247,$F$3:$F246,$F247,$G$3:$G246,$G247)&gt;0,"DOUBLON","VALIDE")))</f>
        <v/>
      </c>
    </row>
    <row r="248" ht="15" customHeight="1">
      <c r="A248" s="12">
        <f>IF(OR($B248="",$G248=""),"",TEXT($B248,"YYYYMMDD")&amp;"-"&amp;SUBSTITUTE($E248," ","")&amp;"-"&amp;$F248&amp;"-"&amp;$G248)</f>
        <v/>
      </c>
      <c r="B248" s="15" t="n"/>
      <c r="C248" s="16" t="n"/>
      <c r="D248" s="10" t="n"/>
      <c r="E248" s="9" t="n"/>
      <c r="F248" s="9" t="n"/>
      <c r="G248" s="13" t="n"/>
      <c r="H248" s="21" t="n"/>
      <c r="I248" s="21" t="n"/>
      <c r="J248" s="17">
        <f>IF($G248="","",IFERROR(INDEX(NomsEmployes,MATCH($G248,MatriculesEmployes,0)),"MATRICULE INCONNU"))</f>
        <v/>
      </c>
      <c r="K248" s="33">
        <f>IF(OR($D248="",$F248=""),"",IFERROR(IF(INDEX(RUNS!$L$6:$S$1005,MATCH($D248,RUNS!$A$6:$A$1005,0),MATCH("ACTIVITÉ "&amp;$F248,RUNS!$L$5:$S$5,0))="","",INDEX(RUNS!$L$6:$S$1005,MATCH($D248,RUNS!$A$6:$A$1005,0),MATCH("ACTIVITÉ "&amp;$F248,RUNS!$L$5:$S$5,0))),""))</f>
        <v/>
      </c>
      <c r="L248" s="33">
        <f>IF($D248="","",IFERROR(IF(INDEX(RUNS!$E$6:$E$1005,MATCH($D248,RUNS!$A$6:$A$1005,0))="","",INDEX(RUNS!$E$6:$E$1005,MATCH($D248,RUNS!$A$6:$A$1005,0))),""))</f>
        <v/>
      </c>
      <c r="M248" s="33">
        <f>IF($D248="","",IFERROR(IF(INDEX(RUNS!$F$6:$F$1005,MATCH($D248,RUNS!$A$6:$A$1005,0))="","",INDEX(RUNS!$F$6:$F$1005,MATCH($D248,RUNS!$A$6:$A$1005,0))),""))</f>
        <v/>
      </c>
      <c r="N248" s="33">
        <f>IF($D248="","",IFERROR(IF(INDEX(RUNS!$G$6:$G$1005,MATCH($D248,RUNS!$A$6:$A$1005,0))="","",INDEX(RUNS!$G$6:$G$1005,MATCH($D248,RUNS!$A$6:$A$1005,0))),""))</f>
        <v/>
      </c>
      <c r="O248" s="33">
        <f>IF($D248="","",IFERROR(IF(INDEX(RUNS!$H$6:$H$1005,MATCH($D248,RUNS!$A$6:$A$1005,0))="","",INDEX(RUNS!$H$6:$H$1005,MATCH($D248,RUNS!$A$6:$A$1005,0))),""))</f>
        <v/>
      </c>
      <c r="P248" s="33">
        <f>IF($D248="","",IFERROR(IF(INDEX(RUNS!$J$6:$J$1005,MATCH($D248,RUNS!$A$6:$A$1005,0))="","",INDEX(RUNS!$J$6:$J$1005,MATCH($D248,RUNS!$A$6:$A$1005,0))),""))</f>
        <v/>
      </c>
      <c r="Q248" s="33">
        <f>IF($D248="","",IFERROR(IF(INDEX(RUNS!$K$6:$K$1005,MATCH($D248,RUNS!$A$6:$A$1005,0))="","",INDEX(RUNS!$K$6:$K$1005,MATCH($D248,RUNS!$A$6:$A$1005,0))),""))</f>
        <v/>
      </c>
      <c r="R248" s="34">
        <f>IF(OR($L248="",$K248=""),"",IFERROR(IF(INDEX(PARAMETRES!$H$43:$H$342,MATCH($L248&amp;"|"&amp;$M248&amp;"|"&amp;$N248&amp;"|"&amp;$O248&amp;"|"&amp;$P248&amp;"|"&amp;$Q248&amp;"|"&amp;$K248,PARAMETRES!$J$43:$J$342,0))="","",INDEX(PARAMETRES!$H$43:$H$342,MATCH($L248&amp;"|"&amp;$M248&amp;"|"&amp;$N248&amp;"|"&amp;$O248&amp;"|"&amp;$P248&amp;"|"&amp;$Q248&amp;"|"&amp;$K248,PARAMETRES!$J$43:$J$342,0))),""))</f>
        <v/>
      </c>
      <c r="S248" s="35">
        <f>IF(OR($G248="",$X248&lt;&gt;"VALIDE"),"",IFERROR(LOOKUP(2,1/(($B$3:$B247=$B248)*($G$3:$G247=$G248)*($X$3:$X247="VALIDE")),$C$3:$C247),""))</f>
        <v/>
      </c>
      <c r="T248" s="36">
        <f>IF(OR($C248="",$S248=""),"",ROUND(($C248-$S248+IF($C248&lt;$S248,1,0))*1440,0))</f>
        <v/>
      </c>
      <c r="U248" s="22">
        <f>IF(OR($H248="",$T248="",$T248&lt;=0),"",$H248*60/$T248)</f>
        <v/>
      </c>
      <c r="V248" s="37">
        <f>IF(OR($U248="",$R248="",$R248=0),"",$U248/$R248)</f>
        <v/>
      </c>
      <c r="W248" s="20">
        <f>IF($G248="","",IF($X248="CONTEXTE INCOMPLET","CONTEXTE INCOMPLET",IF($X248="DOUBLON",StatutDoublon,IF($S248="",StatutInitial,IF($R248="",StatutStandardManquant,IF($V248="","DONNEES INSUFFISANTES",IF($V248&gt;=SeuilConforme,StatutConforme,IF($V248&gt;=SeuilSurveiller,StatutSurveiller,StatutSousStandard))))))))</f>
        <v/>
      </c>
      <c r="X248" s="33">
        <f>IF($G248="","",IF(OR($D248="",$E248="",$F248=""),"CONTEXTE INCOMPLET",IF(COUNTIFS($D$3:$D247,$D248,$E$3:$E247,$E248,$F$3:$F247,$F248,$G$3:$G247,$G248)&gt;0,"DOUBLON","VALIDE")))</f>
        <v/>
      </c>
    </row>
    <row r="249" ht="15" customHeight="1">
      <c r="A249" s="12">
        <f>IF(OR($B249="",$G249=""),"",TEXT($B249,"YYYYMMDD")&amp;"-"&amp;SUBSTITUTE($E249," ","")&amp;"-"&amp;$F249&amp;"-"&amp;$G249)</f>
        <v/>
      </c>
      <c r="B249" s="15" t="n"/>
      <c r="C249" s="16" t="n"/>
      <c r="D249" s="10" t="n"/>
      <c r="E249" s="9" t="n"/>
      <c r="F249" s="9" t="n"/>
      <c r="G249" s="13" t="n"/>
      <c r="H249" s="21" t="n"/>
      <c r="I249" s="21" t="n"/>
      <c r="J249" s="17">
        <f>IF($G249="","",IFERROR(INDEX(NomsEmployes,MATCH($G249,MatriculesEmployes,0)),"MATRICULE INCONNU"))</f>
        <v/>
      </c>
      <c r="K249" s="33">
        <f>IF(OR($D249="",$F249=""),"",IFERROR(IF(INDEX(RUNS!$L$6:$S$1005,MATCH($D249,RUNS!$A$6:$A$1005,0),MATCH("ACTIVITÉ "&amp;$F249,RUNS!$L$5:$S$5,0))="","",INDEX(RUNS!$L$6:$S$1005,MATCH($D249,RUNS!$A$6:$A$1005,0),MATCH("ACTIVITÉ "&amp;$F249,RUNS!$L$5:$S$5,0))),""))</f>
        <v/>
      </c>
      <c r="L249" s="33">
        <f>IF($D249="","",IFERROR(IF(INDEX(RUNS!$E$6:$E$1005,MATCH($D249,RUNS!$A$6:$A$1005,0))="","",INDEX(RUNS!$E$6:$E$1005,MATCH($D249,RUNS!$A$6:$A$1005,0))),""))</f>
        <v/>
      </c>
      <c r="M249" s="33">
        <f>IF($D249="","",IFERROR(IF(INDEX(RUNS!$F$6:$F$1005,MATCH($D249,RUNS!$A$6:$A$1005,0))="","",INDEX(RUNS!$F$6:$F$1005,MATCH($D249,RUNS!$A$6:$A$1005,0))),""))</f>
        <v/>
      </c>
      <c r="N249" s="33">
        <f>IF($D249="","",IFERROR(IF(INDEX(RUNS!$G$6:$G$1005,MATCH($D249,RUNS!$A$6:$A$1005,0))="","",INDEX(RUNS!$G$6:$G$1005,MATCH($D249,RUNS!$A$6:$A$1005,0))),""))</f>
        <v/>
      </c>
      <c r="O249" s="33">
        <f>IF($D249="","",IFERROR(IF(INDEX(RUNS!$H$6:$H$1005,MATCH($D249,RUNS!$A$6:$A$1005,0))="","",INDEX(RUNS!$H$6:$H$1005,MATCH($D249,RUNS!$A$6:$A$1005,0))),""))</f>
        <v/>
      </c>
      <c r="P249" s="33">
        <f>IF($D249="","",IFERROR(IF(INDEX(RUNS!$J$6:$J$1005,MATCH($D249,RUNS!$A$6:$A$1005,0))="","",INDEX(RUNS!$J$6:$J$1005,MATCH($D249,RUNS!$A$6:$A$1005,0))),""))</f>
        <v/>
      </c>
      <c r="Q249" s="33">
        <f>IF($D249="","",IFERROR(IF(INDEX(RUNS!$K$6:$K$1005,MATCH($D249,RUNS!$A$6:$A$1005,0))="","",INDEX(RUNS!$K$6:$K$1005,MATCH($D249,RUNS!$A$6:$A$1005,0))),""))</f>
        <v/>
      </c>
      <c r="R249" s="34">
        <f>IF(OR($L249="",$K249=""),"",IFERROR(IF(INDEX(PARAMETRES!$H$43:$H$342,MATCH($L249&amp;"|"&amp;$M249&amp;"|"&amp;$N249&amp;"|"&amp;$O249&amp;"|"&amp;$P249&amp;"|"&amp;$Q249&amp;"|"&amp;$K249,PARAMETRES!$J$43:$J$342,0))="","",INDEX(PARAMETRES!$H$43:$H$342,MATCH($L249&amp;"|"&amp;$M249&amp;"|"&amp;$N249&amp;"|"&amp;$O249&amp;"|"&amp;$P249&amp;"|"&amp;$Q249&amp;"|"&amp;$K249,PARAMETRES!$J$43:$J$342,0))),""))</f>
        <v/>
      </c>
      <c r="S249" s="35">
        <f>IF(OR($G249="",$X249&lt;&gt;"VALIDE"),"",IFERROR(LOOKUP(2,1/(($B$3:$B248=$B249)*($G$3:$G248=$G249)*($X$3:$X248="VALIDE")),$C$3:$C248),""))</f>
        <v/>
      </c>
      <c r="T249" s="36">
        <f>IF(OR($C249="",$S249=""),"",ROUND(($C249-$S249+IF($C249&lt;$S249,1,0))*1440,0))</f>
        <v/>
      </c>
      <c r="U249" s="22">
        <f>IF(OR($H249="",$T249="",$T249&lt;=0),"",$H249*60/$T249)</f>
        <v/>
      </c>
      <c r="V249" s="37">
        <f>IF(OR($U249="",$R249="",$R249=0),"",$U249/$R249)</f>
        <v/>
      </c>
      <c r="W249" s="20">
        <f>IF($G249="","",IF($X249="CONTEXTE INCOMPLET","CONTEXTE INCOMPLET",IF($X249="DOUBLON",StatutDoublon,IF($S249="",StatutInitial,IF($R249="",StatutStandardManquant,IF($V249="","DONNEES INSUFFISANTES",IF($V249&gt;=SeuilConforme,StatutConforme,IF($V249&gt;=SeuilSurveiller,StatutSurveiller,StatutSousStandard))))))))</f>
        <v/>
      </c>
      <c r="X249" s="33">
        <f>IF($G249="","",IF(OR($D249="",$E249="",$F249=""),"CONTEXTE INCOMPLET",IF(COUNTIFS($D$3:$D248,$D249,$E$3:$E248,$E249,$F$3:$F248,$F249,$G$3:$G248,$G249)&gt;0,"DOUBLON","VALIDE")))</f>
        <v/>
      </c>
    </row>
    <row r="250" ht="15" customHeight="1">
      <c r="A250" s="12">
        <f>IF(OR($B250="",$G250=""),"",TEXT($B250,"YYYYMMDD")&amp;"-"&amp;SUBSTITUTE($E250," ","")&amp;"-"&amp;$F250&amp;"-"&amp;$G250)</f>
        <v/>
      </c>
      <c r="B250" s="15" t="n"/>
      <c r="C250" s="16" t="n"/>
      <c r="D250" s="10" t="n"/>
      <c r="E250" s="9" t="n"/>
      <c r="F250" s="9" t="n"/>
      <c r="G250" s="13" t="n"/>
      <c r="H250" s="21" t="n"/>
      <c r="I250" s="21" t="n"/>
      <c r="J250" s="17">
        <f>IF($G250="","",IFERROR(INDEX(NomsEmployes,MATCH($G250,MatriculesEmployes,0)),"MATRICULE INCONNU"))</f>
        <v/>
      </c>
      <c r="K250" s="33">
        <f>IF(OR($D250="",$F250=""),"",IFERROR(IF(INDEX(RUNS!$L$6:$S$1005,MATCH($D250,RUNS!$A$6:$A$1005,0),MATCH("ACTIVITÉ "&amp;$F250,RUNS!$L$5:$S$5,0))="","",INDEX(RUNS!$L$6:$S$1005,MATCH($D250,RUNS!$A$6:$A$1005,0),MATCH("ACTIVITÉ "&amp;$F250,RUNS!$L$5:$S$5,0))),""))</f>
        <v/>
      </c>
      <c r="L250" s="33">
        <f>IF($D250="","",IFERROR(IF(INDEX(RUNS!$E$6:$E$1005,MATCH($D250,RUNS!$A$6:$A$1005,0))="","",INDEX(RUNS!$E$6:$E$1005,MATCH($D250,RUNS!$A$6:$A$1005,0))),""))</f>
        <v/>
      </c>
      <c r="M250" s="33">
        <f>IF($D250="","",IFERROR(IF(INDEX(RUNS!$F$6:$F$1005,MATCH($D250,RUNS!$A$6:$A$1005,0))="","",INDEX(RUNS!$F$6:$F$1005,MATCH($D250,RUNS!$A$6:$A$1005,0))),""))</f>
        <v/>
      </c>
      <c r="N250" s="33">
        <f>IF($D250="","",IFERROR(IF(INDEX(RUNS!$G$6:$G$1005,MATCH($D250,RUNS!$A$6:$A$1005,0))="","",INDEX(RUNS!$G$6:$G$1005,MATCH($D250,RUNS!$A$6:$A$1005,0))),""))</f>
        <v/>
      </c>
      <c r="O250" s="33">
        <f>IF($D250="","",IFERROR(IF(INDEX(RUNS!$H$6:$H$1005,MATCH($D250,RUNS!$A$6:$A$1005,0))="","",INDEX(RUNS!$H$6:$H$1005,MATCH($D250,RUNS!$A$6:$A$1005,0))),""))</f>
        <v/>
      </c>
      <c r="P250" s="33">
        <f>IF($D250="","",IFERROR(IF(INDEX(RUNS!$J$6:$J$1005,MATCH($D250,RUNS!$A$6:$A$1005,0))="","",INDEX(RUNS!$J$6:$J$1005,MATCH($D250,RUNS!$A$6:$A$1005,0))),""))</f>
        <v/>
      </c>
      <c r="Q250" s="33">
        <f>IF($D250="","",IFERROR(IF(INDEX(RUNS!$K$6:$K$1005,MATCH($D250,RUNS!$A$6:$A$1005,0))="","",INDEX(RUNS!$K$6:$K$1005,MATCH($D250,RUNS!$A$6:$A$1005,0))),""))</f>
        <v/>
      </c>
      <c r="R250" s="34">
        <f>IF(OR($L250="",$K250=""),"",IFERROR(IF(INDEX(PARAMETRES!$H$43:$H$342,MATCH($L250&amp;"|"&amp;$M250&amp;"|"&amp;$N250&amp;"|"&amp;$O250&amp;"|"&amp;$P250&amp;"|"&amp;$Q250&amp;"|"&amp;$K250,PARAMETRES!$J$43:$J$342,0))="","",INDEX(PARAMETRES!$H$43:$H$342,MATCH($L250&amp;"|"&amp;$M250&amp;"|"&amp;$N250&amp;"|"&amp;$O250&amp;"|"&amp;$P250&amp;"|"&amp;$Q250&amp;"|"&amp;$K250,PARAMETRES!$J$43:$J$342,0))),""))</f>
        <v/>
      </c>
      <c r="S250" s="35">
        <f>IF(OR($G250="",$X250&lt;&gt;"VALIDE"),"",IFERROR(LOOKUP(2,1/(($B$3:$B249=$B250)*($G$3:$G249=$G250)*($X$3:$X249="VALIDE")),$C$3:$C249),""))</f>
        <v/>
      </c>
      <c r="T250" s="36">
        <f>IF(OR($C250="",$S250=""),"",ROUND(($C250-$S250+IF($C250&lt;$S250,1,0))*1440,0))</f>
        <v/>
      </c>
      <c r="U250" s="22">
        <f>IF(OR($H250="",$T250="",$T250&lt;=0),"",$H250*60/$T250)</f>
        <v/>
      </c>
      <c r="V250" s="37">
        <f>IF(OR($U250="",$R250="",$R250=0),"",$U250/$R250)</f>
        <v/>
      </c>
      <c r="W250" s="20">
        <f>IF($G250="","",IF($X250="CONTEXTE INCOMPLET","CONTEXTE INCOMPLET",IF($X250="DOUBLON",StatutDoublon,IF($S250="",StatutInitial,IF($R250="",StatutStandardManquant,IF($V250="","DONNEES INSUFFISANTES",IF($V250&gt;=SeuilConforme,StatutConforme,IF($V250&gt;=SeuilSurveiller,StatutSurveiller,StatutSousStandard))))))))</f>
        <v/>
      </c>
      <c r="X250" s="33">
        <f>IF($G250="","",IF(OR($D250="",$E250="",$F250=""),"CONTEXTE INCOMPLET",IF(COUNTIFS($D$3:$D249,$D250,$E$3:$E249,$E250,$F$3:$F249,$F250,$G$3:$G249,$G250)&gt;0,"DOUBLON","VALIDE")))</f>
        <v/>
      </c>
    </row>
    <row r="251" ht="15" customHeight="1">
      <c r="A251" s="12">
        <f>IF(OR($B251="",$G251=""),"",TEXT($B251,"YYYYMMDD")&amp;"-"&amp;SUBSTITUTE($E251," ","")&amp;"-"&amp;$F251&amp;"-"&amp;$G251)</f>
        <v/>
      </c>
      <c r="B251" s="15" t="n"/>
      <c r="C251" s="16" t="n"/>
      <c r="D251" s="10" t="n"/>
      <c r="E251" s="9" t="n"/>
      <c r="F251" s="9" t="n"/>
      <c r="G251" s="13" t="n"/>
      <c r="H251" s="21" t="n"/>
      <c r="I251" s="21" t="n"/>
      <c r="J251" s="17">
        <f>IF($G251="","",IFERROR(INDEX(NomsEmployes,MATCH($G251,MatriculesEmployes,0)),"MATRICULE INCONNU"))</f>
        <v/>
      </c>
      <c r="K251" s="33">
        <f>IF(OR($D251="",$F251=""),"",IFERROR(IF(INDEX(RUNS!$L$6:$S$1005,MATCH($D251,RUNS!$A$6:$A$1005,0),MATCH("ACTIVITÉ "&amp;$F251,RUNS!$L$5:$S$5,0))="","",INDEX(RUNS!$L$6:$S$1005,MATCH($D251,RUNS!$A$6:$A$1005,0),MATCH("ACTIVITÉ "&amp;$F251,RUNS!$L$5:$S$5,0))),""))</f>
        <v/>
      </c>
      <c r="L251" s="33">
        <f>IF($D251="","",IFERROR(IF(INDEX(RUNS!$E$6:$E$1005,MATCH($D251,RUNS!$A$6:$A$1005,0))="","",INDEX(RUNS!$E$6:$E$1005,MATCH($D251,RUNS!$A$6:$A$1005,0))),""))</f>
        <v/>
      </c>
      <c r="M251" s="33">
        <f>IF($D251="","",IFERROR(IF(INDEX(RUNS!$F$6:$F$1005,MATCH($D251,RUNS!$A$6:$A$1005,0))="","",INDEX(RUNS!$F$6:$F$1005,MATCH($D251,RUNS!$A$6:$A$1005,0))),""))</f>
        <v/>
      </c>
      <c r="N251" s="33">
        <f>IF($D251="","",IFERROR(IF(INDEX(RUNS!$G$6:$G$1005,MATCH($D251,RUNS!$A$6:$A$1005,0))="","",INDEX(RUNS!$G$6:$G$1005,MATCH($D251,RUNS!$A$6:$A$1005,0))),""))</f>
        <v/>
      </c>
      <c r="O251" s="33">
        <f>IF($D251="","",IFERROR(IF(INDEX(RUNS!$H$6:$H$1005,MATCH($D251,RUNS!$A$6:$A$1005,0))="","",INDEX(RUNS!$H$6:$H$1005,MATCH($D251,RUNS!$A$6:$A$1005,0))),""))</f>
        <v/>
      </c>
      <c r="P251" s="33">
        <f>IF($D251="","",IFERROR(IF(INDEX(RUNS!$J$6:$J$1005,MATCH($D251,RUNS!$A$6:$A$1005,0))="","",INDEX(RUNS!$J$6:$J$1005,MATCH($D251,RUNS!$A$6:$A$1005,0))),""))</f>
        <v/>
      </c>
      <c r="Q251" s="33">
        <f>IF($D251="","",IFERROR(IF(INDEX(RUNS!$K$6:$K$1005,MATCH($D251,RUNS!$A$6:$A$1005,0))="","",INDEX(RUNS!$K$6:$K$1005,MATCH($D251,RUNS!$A$6:$A$1005,0))),""))</f>
        <v/>
      </c>
      <c r="R251" s="34">
        <f>IF(OR($L251="",$K251=""),"",IFERROR(IF(INDEX(PARAMETRES!$H$43:$H$342,MATCH($L251&amp;"|"&amp;$M251&amp;"|"&amp;$N251&amp;"|"&amp;$O251&amp;"|"&amp;$P251&amp;"|"&amp;$Q251&amp;"|"&amp;$K251,PARAMETRES!$J$43:$J$342,0))="","",INDEX(PARAMETRES!$H$43:$H$342,MATCH($L251&amp;"|"&amp;$M251&amp;"|"&amp;$N251&amp;"|"&amp;$O251&amp;"|"&amp;$P251&amp;"|"&amp;$Q251&amp;"|"&amp;$K251,PARAMETRES!$J$43:$J$342,0))),""))</f>
        <v/>
      </c>
      <c r="S251" s="35">
        <f>IF(OR($G251="",$X251&lt;&gt;"VALIDE"),"",IFERROR(LOOKUP(2,1/(($B$3:$B250=$B251)*($G$3:$G250=$G251)*($X$3:$X250="VALIDE")),$C$3:$C250),""))</f>
        <v/>
      </c>
      <c r="T251" s="36">
        <f>IF(OR($C251="",$S251=""),"",ROUND(($C251-$S251+IF($C251&lt;$S251,1,0))*1440,0))</f>
        <v/>
      </c>
      <c r="U251" s="22">
        <f>IF(OR($H251="",$T251="",$T251&lt;=0),"",$H251*60/$T251)</f>
        <v/>
      </c>
      <c r="V251" s="37">
        <f>IF(OR($U251="",$R251="",$R251=0),"",$U251/$R251)</f>
        <v/>
      </c>
      <c r="W251" s="20">
        <f>IF($G251="","",IF($X251="CONTEXTE INCOMPLET","CONTEXTE INCOMPLET",IF($X251="DOUBLON",StatutDoublon,IF($S251="",StatutInitial,IF($R251="",StatutStandardManquant,IF($V251="","DONNEES INSUFFISANTES",IF($V251&gt;=SeuilConforme,StatutConforme,IF($V251&gt;=SeuilSurveiller,StatutSurveiller,StatutSousStandard))))))))</f>
        <v/>
      </c>
      <c r="X251" s="33">
        <f>IF($G251="","",IF(OR($D251="",$E251="",$F251=""),"CONTEXTE INCOMPLET",IF(COUNTIFS($D$3:$D250,$D251,$E$3:$E250,$E251,$F$3:$F250,$F251,$G$3:$G250,$G251)&gt;0,"DOUBLON","VALIDE")))</f>
        <v/>
      </c>
    </row>
    <row r="252" ht="15" customHeight="1">
      <c r="A252" s="12">
        <f>IF(OR($B252="",$G252=""),"",TEXT($B252,"YYYYMMDD")&amp;"-"&amp;SUBSTITUTE($E252," ","")&amp;"-"&amp;$F252&amp;"-"&amp;$G252)</f>
        <v/>
      </c>
      <c r="B252" s="15" t="n"/>
      <c r="C252" s="16" t="n"/>
      <c r="D252" s="10" t="n"/>
      <c r="E252" s="9" t="n"/>
      <c r="F252" s="9" t="n"/>
      <c r="G252" s="13" t="n"/>
      <c r="H252" s="21" t="n"/>
      <c r="I252" s="21" t="n"/>
      <c r="J252" s="17">
        <f>IF($G252="","",IFERROR(INDEX(NomsEmployes,MATCH($G252,MatriculesEmployes,0)),"MATRICULE INCONNU"))</f>
        <v/>
      </c>
      <c r="K252" s="33">
        <f>IF(OR($D252="",$F252=""),"",IFERROR(IF(INDEX(RUNS!$L$6:$S$1005,MATCH($D252,RUNS!$A$6:$A$1005,0),MATCH("ACTIVITÉ "&amp;$F252,RUNS!$L$5:$S$5,0))="","",INDEX(RUNS!$L$6:$S$1005,MATCH($D252,RUNS!$A$6:$A$1005,0),MATCH("ACTIVITÉ "&amp;$F252,RUNS!$L$5:$S$5,0))),""))</f>
        <v/>
      </c>
      <c r="L252" s="33">
        <f>IF($D252="","",IFERROR(IF(INDEX(RUNS!$E$6:$E$1005,MATCH($D252,RUNS!$A$6:$A$1005,0))="","",INDEX(RUNS!$E$6:$E$1005,MATCH($D252,RUNS!$A$6:$A$1005,0))),""))</f>
        <v/>
      </c>
      <c r="M252" s="33">
        <f>IF($D252="","",IFERROR(IF(INDEX(RUNS!$F$6:$F$1005,MATCH($D252,RUNS!$A$6:$A$1005,0))="","",INDEX(RUNS!$F$6:$F$1005,MATCH($D252,RUNS!$A$6:$A$1005,0))),""))</f>
        <v/>
      </c>
      <c r="N252" s="33">
        <f>IF($D252="","",IFERROR(IF(INDEX(RUNS!$G$6:$G$1005,MATCH($D252,RUNS!$A$6:$A$1005,0))="","",INDEX(RUNS!$G$6:$G$1005,MATCH($D252,RUNS!$A$6:$A$1005,0))),""))</f>
        <v/>
      </c>
      <c r="O252" s="33">
        <f>IF($D252="","",IFERROR(IF(INDEX(RUNS!$H$6:$H$1005,MATCH($D252,RUNS!$A$6:$A$1005,0))="","",INDEX(RUNS!$H$6:$H$1005,MATCH($D252,RUNS!$A$6:$A$1005,0))),""))</f>
        <v/>
      </c>
      <c r="P252" s="33">
        <f>IF($D252="","",IFERROR(IF(INDEX(RUNS!$J$6:$J$1005,MATCH($D252,RUNS!$A$6:$A$1005,0))="","",INDEX(RUNS!$J$6:$J$1005,MATCH($D252,RUNS!$A$6:$A$1005,0))),""))</f>
        <v/>
      </c>
      <c r="Q252" s="33">
        <f>IF($D252="","",IFERROR(IF(INDEX(RUNS!$K$6:$K$1005,MATCH($D252,RUNS!$A$6:$A$1005,0))="","",INDEX(RUNS!$K$6:$K$1005,MATCH($D252,RUNS!$A$6:$A$1005,0))),""))</f>
        <v/>
      </c>
      <c r="R252" s="34">
        <f>IF(OR($L252="",$K252=""),"",IFERROR(IF(INDEX(PARAMETRES!$H$43:$H$342,MATCH($L252&amp;"|"&amp;$M252&amp;"|"&amp;$N252&amp;"|"&amp;$O252&amp;"|"&amp;$P252&amp;"|"&amp;$Q252&amp;"|"&amp;$K252,PARAMETRES!$J$43:$J$342,0))="","",INDEX(PARAMETRES!$H$43:$H$342,MATCH($L252&amp;"|"&amp;$M252&amp;"|"&amp;$N252&amp;"|"&amp;$O252&amp;"|"&amp;$P252&amp;"|"&amp;$Q252&amp;"|"&amp;$K252,PARAMETRES!$J$43:$J$342,0))),""))</f>
        <v/>
      </c>
      <c r="S252" s="35">
        <f>IF(OR($G252="",$X252&lt;&gt;"VALIDE"),"",IFERROR(LOOKUP(2,1/(($B$3:$B251=$B252)*($G$3:$G251=$G252)*($X$3:$X251="VALIDE")),$C$3:$C251),""))</f>
        <v/>
      </c>
      <c r="T252" s="36">
        <f>IF(OR($C252="",$S252=""),"",ROUND(($C252-$S252+IF($C252&lt;$S252,1,0))*1440,0))</f>
        <v/>
      </c>
      <c r="U252" s="22">
        <f>IF(OR($H252="",$T252="",$T252&lt;=0),"",$H252*60/$T252)</f>
        <v/>
      </c>
      <c r="V252" s="37">
        <f>IF(OR($U252="",$R252="",$R252=0),"",$U252/$R252)</f>
        <v/>
      </c>
      <c r="W252" s="20">
        <f>IF($G252="","",IF($X252="CONTEXTE INCOMPLET","CONTEXTE INCOMPLET",IF($X252="DOUBLON",StatutDoublon,IF($S252="",StatutInitial,IF($R252="",StatutStandardManquant,IF($V252="","DONNEES INSUFFISANTES",IF($V252&gt;=SeuilConforme,StatutConforme,IF($V252&gt;=SeuilSurveiller,StatutSurveiller,StatutSousStandard))))))))</f>
        <v/>
      </c>
      <c r="X252" s="33">
        <f>IF($G252="","",IF(OR($D252="",$E252="",$F252=""),"CONTEXTE INCOMPLET",IF(COUNTIFS($D$3:$D251,$D252,$E$3:$E251,$E252,$F$3:$F251,$F252,$G$3:$G251,$G252)&gt;0,"DOUBLON","VALIDE")))</f>
        <v/>
      </c>
    </row>
    <row r="253" ht="15" customHeight="1">
      <c r="A253" s="12">
        <f>IF(OR($B253="",$G253=""),"",TEXT($B253,"YYYYMMDD")&amp;"-"&amp;SUBSTITUTE($E253," ","")&amp;"-"&amp;$F253&amp;"-"&amp;$G253)</f>
        <v/>
      </c>
      <c r="B253" s="15" t="n"/>
      <c r="C253" s="16" t="n"/>
      <c r="D253" s="10" t="n"/>
      <c r="E253" s="9" t="n"/>
      <c r="F253" s="9" t="n"/>
      <c r="G253" s="13" t="n"/>
      <c r="H253" s="21" t="n"/>
      <c r="I253" s="21" t="n"/>
      <c r="J253" s="17">
        <f>IF($G253="","",IFERROR(INDEX(NomsEmployes,MATCH($G253,MatriculesEmployes,0)),"MATRICULE INCONNU"))</f>
        <v/>
      </c>
      <c r="K253" s="33">
        <f>IF(OR($D253="",$F253=""),"",IFERROR(IF(INDEX(RUNS!$L$6:$S$1005,MATCH($D253,RUNS!$A$6:$A$1005,0),MATCH("ACTIVITÉ "&amp;$F253,RUNS!$L$5:$S$5,0))="","",INDEX(RUNS!$L$6:$S$1005,MATCH($D253,RUNS!$A$6:$A$1005,0),MATCH("ACTIVITÉ "&amp;$F253,RUNS!$L$5:$S$5,0))),""))</f>
        <v/>
      </c>
      <c r="L253" s="33">
        <f>IF($D253="","",IFERROR(IF(INDEX(RUNS!$E$6:$E$1005,MATCH($D253,RUNS!$A$6:$A$1005,0))="","",INDEX(RUNS!$E$6:$E$1005,MATCH($D253,RUNS!$A$6:$A$1005,0))),""))</f>
        <v/>
      </c>
      <c r="M253" s="33">
        <f>IF($D253="","",IFERROR(IF(INDEX(RUNS!$F$6:$F$1005,MATCH($D253,RUNS!$A$6:$A$1005,0))="","",INDEX(RUNS!$F$6:$F$1005,MATCH($D253,RUNS!$A$6:$A$1005,0))),""))</f>
        <v/>
      </c>
      <c r="N253" s="33">
        <f>IF($D253="","",IFERROR(IF(INDEX(RUNS!$G$6:$G$1005,MATCH($D253,RUNS!$A$6:$A$1005,0))="","",INDEX(RUNS!$G$6:$G$1005,MATCH($D253,RUNS!$A$6:$A$1005,0))),""))</f>
        <v/>
      </c>
      <c r="O253" s="33">
        <f>IF($D253="","",IFERROR(IF(INDEX(RUNS!$H$6:$H$1005,MATCH($D253,RUNS!$A$6:$A$1005,0))="","",INDEX(RUNS!$H$6:$H$1005,MATCH($D253,RUNS!$A$6:$A$1005,0))),""))</f>
        <v/>
      </c>
      <c r="P253" s="33">
        <f>IF($D253="","",IFERROR(IF(INDEX(RUNS!$J$6:$J$1005,MATCH($D253,RUNS!$A$6:$A$1005,0))="","",INDEX(RUNS!$J$6:$J$1005,MATCH($D253,RUNS!$A$6:$A$1005,0))),""))</f>
        <v/>
      </c>
      <c r="Q253" s="33">
        <f>IF($D253="","",IFERROR(IF(INDEX(RUNS!$K$6:$K$1005,MATCH($D253,RUNS!$A$6:$A$1005,0))="","",INDEX(RUNS!$K$6:$K$1005,MATCH($D253,RUNS!$A$6:$A$1005,0))),""))</f>
        <v/>
      </c>
      <c r="R253" s="34">
        <f>IF(OR($L253="",$K253=""),"",IFERROR(IF(INDEX(PARAMETRES!$H$43:$H$342,MATCH($L253&amp;"|"&amp;$M253&amp;"|"&amp;$N253&amp;"|"&amp;$O253&amp;"|"&amp;$P253&amp;"|"&amp;$Q253&amp;"|"&amp;$K253,PARAMETRES!$J$43:$J$342,0))="","",INDEX(PARAMETRES!$H$43:$H$342,MATCH($L253&amp;"|"&amp;$M253&amp;"|"&amp;$N253&amp;"|"&amp;$O253&amp;"|"&amp;$P253&amp;"|"&amp;$Q253&amp;"|"&amp;$K253,PARAMETRES!$J$43:$J$342,0))),""))</f>
        <v/>
      </c>
      <c r="S253" s="35">
        <f>IF(OR($G253="",$X253&lt;&gt;"VALIDE"),"",IFERROR(LOOKUP(2,1/(($B$3:$B252=$B253)*($G$3:$G252=$G253)*($X$3:$X252="VALIDE")),$C$3:$C252),""))</f>
        <v/>
      </c>
      <c r="T253" s="36">
        <f>IF(OR($C253="",$S253=""),"",ROUND(($C253-$S253+IF($C253&lt;$S253,1,0))*1440,0))</f>
        <v/>
      </c>
      <c r="U253" s="22">
        <f>IF(OR($H253="",$T253="",$T253&lt;=0),"",$H253*60/$T253)</f>
        <v/>
      </c>
      <c r="V253" s="37">
        <f>IF(OR($U253="",$R253="",$R253=0),"",$U253/$R253)</f>
        <v/>
      </c>
      <c r="W253" s="20">
        <f>IF($G253="","",IF($X253="CONTEXTE INCOMPLET","CONTEXTE INCOMPLET",IF($X253="DOUBLON",StatutDoublon,IF($S253="",StatutInitial,IF($R253="",StatutStandardManquant,IF($V253="","DONNEES INSUFFISANTES",IF($V253&gt;=SeuilConforme,StatutConforme,IF($V253&gt;=SeuilSurveiller,StatutSurveiller,StatutSousStandard))))))))</f>
        <v/>
      </c>
      <c r="X253" s="33">
        <f>IF($G253="","",IF(OR($D253="",$E253="",$F253=""),"CONTEXTE INCOMPLET",IF(COUNTIFS($D$3:$D252,$D253,$E$3:$E252,$E253,$F$3:$F252,$F253,$G$3:$G252,$G253)&gt;0,"DOUBLON","VALIDE")))</f>
        <v/>
      </c>
    </row>
    <row r="254" ht="15" customHeight="1">
      <c r="A254" s="12">
        <f>IF(OR($B254="",$G254=""),"",TEXT($B254,"YYYYMMDD")&amp;"-"&amp;SUBSTITUTE($E254," ","")&amp;"-"&amp;$F254&amp;"-"&amp;$G254)</f>
        <v/>
      </c>
      <c r="B254" s="15" t="n"/>
      <c r="C254" s="16" t="n"/>
      <c r="D254" s="10" t="n"/>
      <c r="E254" s="9" t="n"/>
      <c r="F254" s="9" t="n"/>
      <c r="G254" s="13" t="n"/>
      <c r="H254" s="21" t="n"/>
      <c r="I254" s="21" t="n"/>
      <c r="J254" s="17">
        <f>IF($G254="","",IFERROR(INDEX(NomsEmployes,MATCH($G254,MatriculesEmployes,0)),"MATRICULE INCONNU"))</f>
        <v/>
      </c>
      <c r="K254" s="33">
        <f>IF(OR($D254="",$F254=""),"",IFERROR(IF(INDEX(RUNS!$L$6:$S$1005,MATCH($D254,RUNS!$A$6:$A$1005,0),MATCH("ACTIVITÉ "&amp;$F254,RUNS!$L$5:$S$5,0))="","",INDEX(RUNS!$L$6:$S$1005,MATCH($D254,RUNS!$A$6:$A$1005,0),MATCH("ACTIVITÉ "&amp;$F254,RUNS!$L$5:$S$5,0))),""))</f>
        <v/>
      </c>
      <c r="L254" s="33">
        <f>IF($D254="","",IFERROR(IF(INDEX(RUNS!$E$6:$E$1005,MATCH($D254,RUNS!$A$6:$A$1005,0))="","",INDEX(RUNS!$E$6:$E$1005,MATCH($D254,RUNS!$A$6:$A$1005,0))),""))</f>
        <v/>
      </c>
      <c r="M254" s="33">
        <f>IF($D254="","",IFERROR(IF(INDEX(RUNS!$F$6:$F$1005,MATCH($D254,RUNS!$A$6:$A$1005,0))="","",INDEX(RUNS!$F$6:$F$1005,MATCH($D254,RUNS!$A$6:$A$1005,0))),""))</f>
        <v/>
      </c>
      <c r="N254" s="33">
        <f>IF($D254="","",IFERROR(IF(INDEX(RUNS!$G$6:$G$1005,MATCH($D254,RUNS!$A$6:$A$1005,0))="","",INDEX(RUNS!$G$6:$G$1005,MATCH($D254,RUNS!$A$6:$A$1005,0))),""))</f>
        <v/>
      </c>
      <c r="O254" s="33">
        <f>IF($D254="","",IFERROR(IF(INDEX(RUNS!$H$6:$H$1005,MATCH($D254,RUNS!$A$6:$A$1005,0))="","",INDEX(RUNS!$H$6:$H$1005,MATCH($D254,RUNS!$A$6:$A$1005,0))),""))</f>
        <v/>
      </c>
      <c r="P254" s="33">
        <f>IF($D254="","",IFERROR(IF(INDEX(RUNS!$J$6:$J$1005,MATCH($D254,RUNS!$A$6:$A$1005,0))="","",INDEX(RUNS!$J$6:$J$1005,MATCH($D254,RUNS!$A$6:$A$1005,0))),""))</f>
        <v/>
      </c>
      <c r="Q254" s="33">
        <f>IF($D254="","",IFERROR(IF(INDEX(RUNS!$K$6:$K$1005,MATCH($D254,RUNS!$A$6:$A$1005,0))="","",INDEX(RUNS!$K$6:$K$1005,MATCH($D254,RUNS!$A$6:$A$1005,0))),""))</f>
        <v/>
      </c>
      <c r="R254" s="34">
        <f>IF(OR($L254="",$K254=""),"",IFERROR(IF(INDEX(PARAMETRES!$H$43:$H$342,MATCH($L254&amp;"|"&amp;$M254&amp;"|"&amp;$N254&amp;"|"&amp;$O254&amp;"|"&amp;$P254&amp;"|"&amp;$Q254&amp;"|"&amp;$K254,PARAMETRES!$J$43:$J$342,0))="","",INDEX(PARAMETRES!$H$43:$H$342,MATCH($L254&amp;"|"&amp;$M254&amp;"|"&amp;$N254&amp;"|"&amp;$O254&amp;"|"&amp;$P254&amp;"|"&amp;$Q254&amp;"|"&amp;$K254,PARAMETRES!$J$43:$J$342,0))),""))</f>
        <v/>
      </c>
      <c r="S254" s="35">
        <f>IF(OR($G254="",$X254&lt;&gt;"VALIDE"),"",IFERROR(LOOKUP(2,1/(($B$3:$B253=$B254)*($G$3:$G253=$G254)*($X$3:$X253="VALIDE")),$C$3:$C253),""))</f>
        <v/>
      </c>
      <c r="T254" s="36">
        <f>IF(OR($C254="",$S254=""),"",ROUND(($C254-$S254+IF($C254&lt;$S254,1,0))*1440,0))</f>
        <v/>
      </c>
      <c r="U254" s="22">
        <f>IF(OR($H254="",$T254="",$T254&lt;=0),"",$H254*60/$T254)</f>
        <v/>
      </c>
      <c r="V254" s="37">
        <f>IF(OR($U254="",$R254="",$R254=0),"",$U254/$R254)</f>
        <v/>
      </c>
      <c r="W254" s="20">
        <f>IF($G254="","",IF($X254="CONTEXTE INCOMPLET","CONTEXTE INCOMPLET",IF($X254="DOUBLON",StatutDoublon,IF($S254="",StatutInitial,IF($R254="",StatutStandardManquant,IF($V254="","DONNEES INSUFFISANTES",IF($V254&gt;=SeuilConforme,StatutConforme,IF($V254&gt;=SeuilSurveiller,StatutSurveiller,StatutSousStandard))))))))</f>
        <v/>
      </c>
      <c r="X254" s="33">
        <f>IF($G254="","",IF(OR($D254="",$E254="",$F254=""),"CONTEXTE INCOMPLET",IF(COUNTIFS($D$3:$D253,$D254,$E$3:$E253,$E254,$F$3:$F253,$F254,$G$3:$G253,$G254)&gt;0,"DOUBLON","VALIDE")))</f>
        <v/>
      </c>
    </row>
    <row r="255" ht="15" customHeight="1">
      <c r="A255" s="12">
        <f>IF(OR($B255="",$G255=""),"",TEXT($B255,"YYYYMMDD")&amp;"-"&amp;SUBSTITUTE($E255," ","")&amp;"-"&amp;$F255&amp;"-"&amp;$G255)</f>
        <v/>
      </c>
      <c r="B255" s="15" t="n"/>
      <c r="C255" s="16" t="n"/>
      <c r="D255" s="10" t="n"/>
      <c r="E255" s="9" t="n"/>
      <c r="F255" s="9" t="n"/>
      <c r="G255" s="13" t="n"/>
      <c r="H255" s="21" t="n"/>
      <c r="I255" s="21" t="n"/>
      <c r="J255" s="17">
        <f>IF($G255="","",IFERROR(INDEX(NomsEmployes,MATCH($G255,MatriculesEmployes,0)),"MATRICULE INCONNU"))</f>
        <v/>
      </c>
      <c r="K255" s="33">
        <f>IF(OR($D255="",$F255=""),"",IFERROR(IF(INDEX(RUNS!$L$6:$S$1005,MATCH($D255,RUNS!$A$6:$A$1005,0),MATCH("ACTIVITÉ "&amp;$F255,RUNS!$L$5:$S$5,0))="","",INDEX(RUNS!$L$6:$S$1005,MATCH($D255,RUNS!$A$6:$A$1005,0),MATCH("ACTIVITÉ "&amp;$F255,RUNS!$L$5:$S$5,0))),""))</f>
        <v/>
      </c>
      <c r="L255" s="33">
        <f>IF($D255="","",IFERROR(IF(INDEX(RUNS!$E$6:$E$1005,MATCH($D255,RUNS!$A$6:$A$1005,0))="","",INDEX(RUNS!$E$6:$E$1005,MATCH($D255,RUNS!$A$6:$A$1005,0))),""))</f>
        <v/>
      </c>
      <c r="M255" s="33">
        <f>IF($D255="","",IFERROR(IF(INDEX(RUNS!$F$6:$F$1005,MATCH($D255,RUNS!$A$6:$A$1005,0))="","",INDEX(RUNS!$F$6:$F$1005,MATCH($D255,RUNS!$A$6:$A$1005,0))),""))</f>
        <v/>
      </c>
      <c r="N255" s="33">
        <f>IF($D255="","",IFERROR(IF(INDEX(RUNS!$G$6:$G$1005,MATCH($D255,RUNS!$A$6:$A$1005,0))="","",INDEX(RUNS!$G$6:$G$1005,MATCH($D255,RUNS!$A$6:$A$1005,0))),""))</f>
        <v/>
      </c>
      <c r="O255" s="33">
        <f>IF($D255="","",IFERROR(IF(INDEX(RUNS!$H$6:$H$1005,MATCH($D255,RUNS!$A$6:$A$1005,0))="","",INDEX(RUNS!$H$6:$H$1005,MATCH($D255,RUNS!$A$6:$A$1005,0))),""))</f>
        <v/>
      </c>
      <c r="P255" s="33">
        <f>IF($D255="","",IFERROR(IF(INDEX(RUNS!$J$6:$J$1005,MATCH($D255,RUNS!$A$6:$A$1005,0))="","",INDEX(RUNS!$J$6:$J$1005,MATCH($D255,RUNS!$A$6:$A$1005,0))),""))</f>
        <v/>
      </c>
      <c r="Q255" s="33">
        <f>IF($D255="","",IFERROR(IF(INDEX(RUNS!$K$6:$K$1005,MATCH($D255,RUNS!$A$6:$A$1005,0))="","",INDEX(RUNS!$K$6:$K$1005,MATCH($D255,RUNS!$A$6:$A$1005,0))),""))</f>
        <v/>
      </c>
      <c r="R255" s="34">
        <f>IF(OR($L255="",$K255=""),"",IFERROR(IF(INDEX(PARAMETRES!$H$43:$H$342,MATCH($L255&amp;"|"&amp;$M255&amp;"|"&amp;$N255&amp;"|"&amp;$O255&amp;"|"&amp;$P255&amp;"|"&amp;$Q255&amp;"|"&amp;$K255,PARAMETRES!$J$43:$J$342,0))="","",INDEX(PARAMETRES!$H$43:$H$342,MATCH($L255&amp;"|"&amp;$M255&amp;"|"&amp;$N255&amp;"|"&amp;$O255&amp;"|"&amp;$P255&amp;"|"&amp;$Q255&amp;"|"&amp;$K255,PARAMETRES!$J$43:$J$342,0))),""))</f>
        <v/>
      </c>
      <c r="S255" s="35">
        <f>IF(OR($G255="",$X255&lt;&gt;"VALIDE"),"",IFERROR(LOOKUP(2,1/(($B$3:$B254=$B255)*($G$3:$G254=$G255)*($X$3:$X254="VALIDE")),$C$3:$C254),""))</f>
        <v/>
      </c>
      <c r="T255" s="36">
        <f>IF(OR($C255="",$S255=""),"",ROUND(($C255-$S255+IF($C255&lt;$S255,1,0))*1440,0))</f>
        <v/>
      </c>
      <c r="U255" s="22">
        <f>IF(OR($H255="",$T255="",$T255&lt;=0),"",$H255*60/$T255)</f>
        <v/>
      </c>
      <c r="V255" s="37">
        <f>IF(OR($U255="",$R255="",$R255=0),"",$U255/$R255)</f>
        <v/>
      </c>
      <c r="W255" s="20">
        <f>IF($G255="","",IF($X255="CONTEXTE INCOMPLET","CONTEXTE INCOMPLET",IF($X255="DOUBLON",StatutDoublon,IF($S255="",StatutInitial,IF($R255="",StatutStandardManquant,IF($V255="","DONNEES INSUFFISANTES",IF($V255&gt;=SeuilConforme,StatutConforme,IF($V255&gt;=SeuilSurveiller,StatutSurveiller,StatutSousStandard))))))))</f>
        <v/>
      </c>
      <c r="X255" s="33">
        <f>IF($G255="","",IF(OR($D255="",$E255="",$F255=""),"CONTEXTE INCOMPLET",IF(COUNTIFS($D$3:$D254,$D255,$E$3:$E254,$E255,$F$3:$F254,$F255,$G$3:$G254,$G255)&gt;0,"DOUBLON","VALIDE")))</f>
        <v/>
      </c>
    </row>
    <row r="256" ht="15" customHeight="1">
      <c r="A256" s="12">
        <f>IF(OR($B256="",$G256=""),"",TEXT($B256,"YYYYMMDD")&amp;"-"&amp;SUBSTITUTE($E256," ","")&amp;"-"&amp;$F256&amp;"-"&amp;$G256)</f>
        <v/>
      </c>
      <c r="B256" s="15" t="n"/>
      <c r="C256" s="16" t="n"/>
      <c r="D256" s="10" t="n"/>
      <c r="E256" s="9" t="n"/>
      <c r="F256" s="9" t="n"/>
      <c r="G256" s="13" t="n"/>
      <c r="H256" s="21" t="n"/>
      <c r="I256" s="21" t="n"/>
      <c r="J256" s="17">
        <f>IF($G256="","",IFERROR(INDEX(NomsEmployes,MATCH($G256,MatriculesEmployes,0)),"MATRICULE INCONNU"))</f>
        <v/>
      </c>
      <c r="K256" s="33">
        <f>IF(OR($D256="",$F256=""),"",IFERROR(IF(INDEX(RUNS!$L$6:$S$1005,MATCH($D256,RUNS!$A$6:$A$1005,0),MATCH("ACTIVITÉ "&amp;$F256,RUNS!$L$5:$S$5,0))="","",INDEX(RUNS!$L$6:$S$1005,MATCH($D256,RUNS!$A$6:$A$1005,0),MATCH("ACTIVITÉ "&amp;$F256,RUNS!$L$5:$S$5,0))),""))</f>
        <v/>
      </c>
      <c r="L256" s="33">
        <f>IF($D256="","",IFERROR(IF(INDEX(RUNS!$E$6:$E$1005,MATCH($D256,RUNS!$A$6:$A$1005,0))="","",INDEX(RUNS!$E$6:$E$1005,MATCH($D256,RUNS!$A$6:$A$1005,0))),""))</f>
        <v/>
      </c>
      <c r="M256" s="33">
        <f>IF($D256="","",IFERROR(IF(INDEX(RUNS!$F$6:$F$1005,MATCH($D256,RUNS!$A$6:$A$1005,0))="","",INDEX(RUNS!$F$6:$F$1005,MATCH($D256,RUNS!$A$6:$A$1005,0))),""))</f>
        <v/>
      </c>
      <c r="N256" s="33">
        <f>IF($D256="","",IFERROR(IF(INDEX(RUNS!$G$6:$G$1005,MATCH($D256,RUNS!$A$6:$A$1005,0))="","",INDEX(RUNS!$G$6:$G$1005,MATCH($D256,RUNS!$A$6:$A$1005,0))),""))</f>
        <v/>
      </c>
      <c r="O256" s="33">
        <f>IF($D256="","",IFERROR(IF(INDEX(RUNS!$H$6:$H$1005,MATCH($D256,RUNS!$A$6:$A$1005,0))="","",INDEX(RUNS!$H$6:$H$1005,MATCH($D256,RUNS!$A$6:$A$1005,0))),""))</f>
        <v/>
      </c>
      <c r="P256" s="33">
        <f>IF($D256="","",IFERROR(IF(INDEX(RUNS!$J$6:$J$1005,MATCH($D256,RUNS!$A$6:$A$1005,0))="","",INDEX(RUNS!$J$6:$J$1005,MATCH($D256,RUNS!$A$6:$A$1005,0))),""))</f>
        <v/>
      </c>
      <c r="Q256" s="33">
        <f>IF($D256="","",IFERROR(IF(INDEX(RUNS!$K$6:$K$1005,MATCH($D256,RUNS!$A$6:$A$1005,0))="","",INDEX(RUNS!$K$6:$K$1005,MATCH($D256,RUNS!$A$6:$A$1005,0))),""))</f>
        <v/>
      </c>
      <c r="R256" s="34">
        <f>IF(OR($L256="",$K256=""),"",IFERROR(IF(INDEX(PARAMETRES!$H$43:$H$342,MATCH($L256&amp;"|"&amp;$M256&amp;"|"&amp;$N256&amp;"|"&amp;$O256&amp;"|"&amp;$P256&amp;"|"&amp;$Q256&amp;"|"&amp;$K256,PARAMETRES!$J$43:$J$342,0))="","",INDEX(PARAMETRES!$H$43:$H$342,MATCH($L256&amp;"|"&amp;$M256&amp;"|"&amp;$N256&amp;"|"&amp;$O256&amp;"|"&amp;$P256&amp;"|"&amp;$Q256&amp;"|"&amp;$K256,PARAMETRES!$J$43:$J$342,0))),""))</f>
        <v/>
      </c>
      <c r="S256" s="35">
        <f>IF(OR($G256="",$X256&lt;&gt;"VALIDE"),"",IFERROR(LOOKUP(2,1/(($B$3:$B255=$B256)*($G$3:$G255=$G256)*($X$3:$X255="VALIDE")),$C$3:$C255),""))</f>
        <v/>
      </c>
      <c r="T256" s="36">
        <f>IF(OR($C256="",$S256=""),"",ROUND(($C256-$S256+IF($C256&lt;$S256,1,0))*1440,0))</f>
        <v/>
      </c>
      <c r="U256" s="22">
        <f>IF(OR($H256="",$T256="",$T256&lt;=0),"",$H256*60/$T256)</f>
        <v/>
      </c>
      <c r="V256" s="37">
        <f>IF(OR($U256="",$R256="",$R256=0),"",$U256/$R256)</f>
        <v/>
      </c>
      <c r="W256" s="20">
        <f>IF($G256="","",IF($X256="CONTEXTE INCOMPLET","CONTEXTE INCOMPLET",IF($X256="DOUBLON",StatutDoublon,IF($S256="",StatutInitial,IF($R256="",StatutStandardManquant,IF($V256="","DONNEES INSUFFISANTES",IF($V256&gt;=SeuilConforme,StatutConforme,IF($V256&gt;=SeuilSurveiller,StatutSurveiller,StatutSousStandard))))))))</f>
        <v/>
      </c>
      <c r="X256" s="33">
        <f>IF($G256="","",IF(OR($D256="",$E256="",$F256=""),"CONTEXTE INCOMPLET",IF(COUNTIFS($D$3:$D255,$D256,$E$3:$E255,$E256,$F$3:$F255,$F256,$G$3:$G255,$G256)&gt;0,"DOUBLON","VALIDE")))</f>
        <v/>
      </c>
    </row>
    <row r="257" ht="15" customHeight="1">
      <c r="A257" s="12">
        <f>IF(OR($B257="",$G257=""),"",TEXT($B257,"YYYYMMDD")&amp;"-"&amp;SUBSTITUTE($E257," ","")&amp;"-"&amp;$F257&amp;"-"&amp;$G257)</f>
        <v/>
      </c>
      <c r="B257" s="15" t="n"/>
      <c r="C257" s="16" t="n"/>
      <c r="D257" s="10" t="n"/>
      <c r="E257" s="9" t="n"/>
      <c r="F257" s="9" t="n"/>
      <c r="G257" s="13" t="n"/>
      <c r="H257" s="21" t="n"/>
      <c r="I257" s="21" t="n"/>
      <c r="J257" s="17">
        <f>IF($G257="","",IFERROR(INDEX(NomsEmployes,MATCH($G257,MatriculesEmployes,0)),"MATRICULE INCONNU"))</f>
        <v/>
      </c>
      <c r="K257" s="33">
        <f>IF(OR($D257="",$F257=""),"",IFERROR(IF(INDEX(RUNS!$L$6:$S$1005,MATCH($D257,RUNS!$A$6:$A$1005,0),MATCH("ACTIVITÉ "&amp;$F257,RUNS!$L$5:$S$5,0))="","",INDEX(RUNS!$L$6:$S$1005,MATCH($D257,RUNS!$A$6:$A$1005,0),MATCH("ACTIVITÉ "&amp;$F257,RUNS!$L$5:$S$5,0))),""))</f>
        <v/>
      </c>
      <c r="L257" s="33">
        <f>IF($D257="","",IFERROR(IF(INDEX(RUNS!$E$6:$E$1005,MATCH($D257,RUNS!$A$6:$A$1005,0))="","",INDEX(RUNS!$E$6:$E$1005,MATCH($D257,RUNS!$A$6:$A$1005,0))),""))</f>
        <v/>
      </c>
      <c r="M257" s="33">
        <f>IF($D257="","",IFERROR(IF(INDEX(RUNS!$F$6:$F$1005,MATCH($D257,RUNS!$A$6:$A$1005,0))="","",INDEX(RUNS!$F$6:$F$1005,MATCH($D257,RUNS!$A$6:$A$1005,0))),""))</f>
        <v/>
      </c>
      <c r="N257" s="33">
        <f>IF($D257="","",IFERROR(IF(INDEX(RUNS!$G$6:$G$1005,MATCH($D257,RUNS!$A$6:$A$1005,0))="","",INDEX(RUNS!$G$6:$G$1005,MATCH($D257,RUNS!$A$6:$A$1005,0))),""))</f>
        <v/>
      </c>
      <c r="O257" s="33">
        <f>IF($D257="","",IFERROR(IF(INDEX(RUNS!$H$6:$H$1005,MATCH($D257,RUNS!$A$6:$A$1005,0))="","",INDEX(RUNS!$H$6:$H$1005,MATCH($D257,RUNS!$A$6:$A$1005,0))),""))</f>
        <v/>
      </c>
      <c r="P257" s="33">
        <f>IF($D257="","",IFERROR(IF(INDEX(RUNS!$J$6:$J$1005,MATCH($D257,RUNS!$A$6:$A$1005,0))="","",INDEX(RUNS!$J$6:$J$1005,MATCH($D257,RUNS!$A$6:$A$1005,0))),""))</f>
        <v/>
      </c>
      <c r="Q257" s="33">
        <f>IF($D257="","",IFERROR(IF(INDEX(RUNS!$K$6:$K$1005,MATCH($D257,RUNS!$A$6:$A$1005,0))="","",INDEX(RUNS!$K$6:$K$1005,MATCH($D257,RUNS!$A$6:$A$1005,0))),""))</f>
        <v/>
      </c>
      <c r="R257" s="34">
        <f>IF(OR($L257="",$K257=""),"",IFERROR(IF(INDEX(PARAMETRES!$H$43:$H$342,MATCH($L257&amp;"|"&amp;$M257&amp;"|"&amp;$N257&amp;"|"&amp;$O257&amp;"|"&amp;$P257&amp;"|"&amp;$Q257&amp;"|"&amp;$K257,PARAMETRES!$J$43:$J$342,0))="","",INDEX(PARAMETRES!$H$43:$H$342,MATCH($L257&amp;"|"&amp;$M257&amp;"|"&amp;$N257&amp;"|"&amp;$O257&amp;"|"&amp;$P257&amp;"|"&amp;$Q257&amp;"|"&amp;$K257,PARAMETRES!$J$43:$J$342,0))),""))</f>
        <v/>
      </c>
      <c r="S257" s="35">
        <f>IF(OR($G257="",$X257&lt;&gt;"VALIDE"),"",IFERROR(LOOKUP(2,1/(($B$3:$B256=$B257)*($G$3:$G256=$G257)*($X$3:$X256="VALIDE")),$C$3:$C256),""))</f>
        <v/>
      </c>
      <c r="T257" s="36">
        <f>IF(OR($C257="",$S257=""),"",ROUND(($C257-$S257+IF($C257&lt;$S257,1,0))*1440,0))</f>
        <v/>
      </c>
      <c r="U257" s="22">
        <f>IF(OR($H257="",$T257="",$T257&lt;=0),"",$H257*60/$T257)</f>
        <v/>
      </c>
      <c r="V257" s="37">
        <f>IF(OR($U257="",$R257="",$R257=0),"",$U257/$R257)</f>
        <v/>
      </c>
      <c r="W257" s="20">
        <f>IF($G257="","",IF($X257="CONTEXTE INCOMPLET","CONTEXTE INCOMPLET",IF($X257="DOUBLON",StatutDoublon,IF($S257="",StatutInitial,IF($R257="",StatutStandardManquant,IF($V257="","DONNEES INSUFFISANTES",IF($V257&gt;=SeuilConforme,StatutConforme,IF($V257&gt;=SeuilSurveiller,StatutSurveiller,StatutSousStandard))))))))</f>
        <v/>
      </c>
      <c r="X257" s="33">
        <f>IF($G257="","",IF(OR($D257="",$E257="",$F257=""),"CONTEXTE INCOMPLET",IF(COUNTIFS($D$3:$D256,$D257,$E$3:$E256,$E257,$F$3:$F256,$F257,$G$3:$G256,$G257)&gt;0,"DOUBLON","VALIDE")))</f>
        <v/>
      </c>
    </row>
    <row r="258" ht="15" customHeight="1">
      <c r="A258" s="12">
        <f>IF(OR($B258="",$G258=""),"",TEXT($B258,"YYYYMMDD")&amp;"-"&amp;SUBSTITUTE($E258," ","")&amp;"-"&amp;$F258&amp;"-"&amp;$G258)</f>
        <v/>
      </c>
      <c r="B258" s="15" t="n"/>
      <c r="C258" s="16" t="n"/>
      <c r="D258" s="10" t="n"/>
      <c r="E258" s="9" t="n"/>
      <c r="F258" s="9" t="n"/>
      <c r="G258" s="13" t="n"/>
      <c r="H258" s="21" t="n"/>
      <c r="I258" s="21" t="n"/>
      <c r="J258" s="17">
        <f>IF($G258="","",IFERROR(INDEX(NomsEmployes,MATCH($G258,MatriculesEmployes,0)),"MATRICULE INCONNU"))</f>
        <v/>
      </c>
      <c r="K258" s="33">
        <f>IF(OR($D258="",$F258=""),"",IFERROR(IF(INDEX(RUNS!$L$6:$S$1005,MATCH($D258,RUNS!$A$6:$A$1005,0),MATCH("ACTIVITÉ "&amp;$F258,RUNS!$L$5:$S$5,0))="","",INDEX(RUNS!$L$6:$S$1005,MATCH($D258,RUNS!$A$6:$A$1005,0),MATCH("ACTIVITÉ "&amp;$F258,RUNS!$L$5:$S$5,0))),""))</f>
        <v/>
      </c>
      <c r="L258" s="33">
        <f>IF($D258="","",IFERROR(IF(INDEX(RUNS!$E$6:$E$1005,MATCH($D258,RUNS!$A$6:$A$1005,0))="","",INDEX(RUNS!$E$6:$E$1005,MATCH($D258,RUNS!$A$6:$A$1005,0))),""))</f>
        <v/>
      </c>
      <c r="M258" s="33">
        <f>IF($D258="","",IFERROR(IF(INDEX(RUNS!$F$6:$F$1005,MATCH($D258,RUNS!$A$6:$A$1005,0))="","",INDEX(RUNS!$F$6:$F$1005,MATCH($D258,RUNS!$A$6:$A$1005,0))),""))</f>
        <v/>
      </c>
      <c r="N258" s="33">
        <f>IF($D258="","",IFERROR(IF(INDEX(RUNS!$G$6:$G$1005,MATCH($D258,RUNS!$A$6:$A$1005,0))="","",INDEX(RUNS!$G$6:$G$1005,MATCH($D258,RUNS!$A$6:$A$1005,0))),""))</f>
        <v/>
      </c>
      <c r="O258" s="33">
        <f>IF($D258="","",IFERROR(IF(INDEX(RUNS!$H$6:$H$1005,MATCH($D258,RUNS!$A$6:$A$1005,0))="","",INDEX(RUNS!$H$6:$H$1005,MATCH($D258,RUNS!$A$6:$A$1005,0))),""))</f>
        <v/>
      </c>
      <c r="P258" s="33">
        <f>IF($D258="","",IFERROR(IF(INDEX(RUNS!$J$6:$J$1005,MATCH($D258,RUNS!$A$6:$A$1005,0))="","",INDEX(RUNS!$J$6:$J$1005,MATCH($D258,RUNS!$A$6:$A$1005,0))),""))</f>
        <v/>
      </c>
      <c r="Q258" s="33">
        <f>IF($D258="","",IFERROR(IF(INDEX(RUNS!$K$6:$K$1005,MATCH($D258,RUNS!$A$6:$A$1005,0))="","",INDEX(RUNS!$K$6:$K$1005,MATCH($D258,RUNS!$A$6:$A$1005,0))),""))</f>
        <v/>
      </c>
      <c r="R258" s="34">
        <f>IF(OR($L258="",$K258=""),"",IFERROR(IF(INDEX(PARAMETRES!$H$43:$H$342,MATCH($L258&amp;"|"&amp;$M258&amp;"|"&amp;$N258&amp;"|"&amp;$O258&amp;"|"&amp;$P258&amp;"|"&amp;$Q258&amp;"|"&amp;$K258,PARAMETRES!$J$43:$J$342,0))="","",INDEX(PARAMETRES!$H$43:$H$342,MATCH($L258&amp;"|"&amp;$M258&amp;"|"&amp;$N258&amp;"|"&amp;$O258&amp;"|"&amp;$P258&amp;"|"&amp;$Q258&amp;"|"&amp;$K258,PARAMETRES!$J$43:$J$342,0))),""))</f>
        <v/>
      </c>
      <c r="S258" s="35">
        <f>IF(OR($G258="",$X258&lt;&gt;"VALIDE"),"",IFERROR(LOOKUP(2,1/(($B$3:$B257=$B258)*($G$3:$G257=$G258)*($X$3:$X257="VALIDE")),$C$3:$C257),""))</f>
        <v/>
      </c>
      <c r="T258" s="36">
        <f>IF(OR($C258="",$S258=""),"",ROUND(($C258-$S258+IF($C258&lt;$S258,1,0))*1440,0))</f>
        <v/>
      </c>
      <c r="U258" s="22">
        <f>IF(OR($H258="",$T258="",$T258&lt;=0),"",$H258*60/$T258)</f>
        <v/>
      </c>
      <c r="V258" s="37">
        <f>IF(OR($U258="",$R258="",$R258=0),"",$U258/$R258)</f>
        <v/>
      </c>
      <c r="W258" s="20">
        <f>IF($G258="","",IF($X258="CONTEXTE INCOMPLET","CONTEXTE INCOMPLET",IF($X258="DOUBLON",StatutDoublon,IF($S258="",StatutInitial,IF($R258="",StatutStandardManquant,IF($V258="","DONNEES INSUFFISANTES",IF($V258&gt;=SeuilConforme,StatutConforme,IF($V258&gt;=SeuilSurveiller,StatutSurveiller,StatutSousStandard))))))))</f>
        <v/>
      </c>
      <c r="X258" s="33">
        <f>IF($G258="","",IF(OR($D258="",$E258="",$F258=""),"CONTEXTE INCOMPLET",IF(COUNTIFS($D$3:$D257,$D258,$E$3:$E257,$E258,$F$3:$F257,$F258,$G$3:$G257,$G258)&gt;0,"DOUBLON","VALIDE")))</f>
        <v/>
      </c>
    </row>
    <row r="259" ht="15" customHeight="1">
      <c r="A259" s="12">
        <f>IF(OR($B259="",$G259=""),"",TEXT($B259,"YYYYMMDD")&amp;"-"&amp;SUBSTITUTE($E259," ","")&amp;"-"&amp;$F259&amp;"-"&amp;$G259)</f>
        <v/>
      </c>
      <c r="B259" s="15" t="n"/>
      <c r="C259" s="16" t="n"/>
      <c r="D259" s="10" t="n"/>
      <c r="E259" s="9" t="n"/>
      <c r="F259" s="9" t="n"/>
      <c r="G259" s="13" t="n"/>
      <c r="H259" s="21" t="n"/>
      <c r="I259" s="21" t="n"/>
      <c r="J259" s="17">
        <f>IF($G259="","",IFERROR(INDEX(NomsEmployes,MATCH($G259,MatriculesEmployes,0)),"MATRICULE INCONNU"))</f>
        <v/>
      </c>
      <c r="K259" s="33">
        <f>IF(OR($D259="",$F259=""),"",IFERROR(IF(INDEX(RUNS!$L$6:$S$1005,MATCH($D259,RUNS!$A$6:$A$1005,0),MATCH("ACTIVITÉ "&amp;$F259,RUNS!$L$5:$S$5,0))="","",INDEX(RUNS!$L$6:$S$1005,MATCH($D259,RUNS!$A$6:$A$1005,0),MATCH("ACTIVITÉ "&amp;$F259,RUNS!$L$5:$S$5,0))),""))</f>
        <v/>
      </c>
      <c r="L259" s="33">
        <f>IF($D259="","",IFERROR(IF(INDEX(RUNS!$E$6:$E$1005,MATCH($D259,RUNS!$A$6:$A$1005,0))="","",INDEX(RUNS!$E$6:$E$1005,MATCH($D259,RUNS!$A$6:$A$1005,0))),""))</f>
        <v/>
      </c>
      <c r="M259" s="33">
        <f>IF($D259="","",IFERROR(IF(INDEX(RUNS!$F$6:$F$1005,MATCH($D259,RUNS!$A$6:$A$1005,0))="","",INDEX(RUNS!$F$6:$F$1005,MATCH($D259,RUNS!$A$6:$A$1005,0))),""))</f>
        <v/>
      </c>
      <c r="N259" s="33">
        <f>IF($D259="","",IFERROR(IF(INDEX(RUNS!$G$6:$G$1005,MATCH($D259,RUNS!$A$6:$A$1005,0))="","",INDEX(RUNS!$G$6:$G$1005,MATCH($D259,RUNS!$A$6:$A$1005,0))),""))</f>
        <v/>
      </c>
      <c r="O259" s="33">
        <f>IF($D259="","",IFERROR(IF(INDEX(RUNS!$H$6:$H$1005,MATCH($D259,RUNS!$A$6:$A$1005,0))="","",INDEX(RUNS!$H$6:$H$1005,MATCH($D259,RUNS!$A$6:$A$1005,0))),""))</f>
        <v/>
      </c>
      <c r="P259" s="33">
        <f>IF($D259="","",IFERROR(IF(INDEX(RUNS!$J$6:$J$1005,MATCH($D259,RUNS!$A$6:$A$1005,0))="","",INDEX(RUNS!$J$6:$J$1005,MATCH($D259,RUNS!$A$6:$A$1005,0))),""))</f>
        <v/>
      </c>
      <c r="Q259" s="33">
        <f>IF($D259="","",IFERROR(IF(INDEX(RUNS!$K$6:$K$1005,MATCH($D259,RUNS!$A$6:$A$1005,0))="","",INDEX(RUNS!$K$6:$K$1005,MATCH($D259,RUNS!$A$6:$A$1005,0))),""))</f>
        <v/>
      </c>
      <c r="R259" s="34">
        <f>IF(OR($L259="",$K259=""),"",IFERROR(IF(INDEX(PARAMETRES!$H$43:$H$342,MATCH($L259&amp;"|"&amp;$M259&amp;"|"&amp;$N259&amp;"|"&amp;$O259&amp;"|"&amp;$P259&amp;"|"&amp;$Q259&amp;"|"&amp;$K259,PARAMETRES!$J$43:$J$342,0))="","",INDEX(PARAMETRES!$H$43:$H$342,MATCH($L259&amp;"|"&amp;$M259&amp;"|"&amp;$N259&amp;"|"&amp;$O259&amp;"|"&amp;$P259&amp;"|"&amp;$Q259&amp;"|"&amp;$K259,PARAMETRES!$J$43:$J$342,0))),""))</f>
        <v/>
      </c>
      <c r="S259" s="35">
        <f>IF(OR($G259="",$X259&lt;&gt;"VALIDE"),"",IFERROR(LOOKUP(2,1/(($B$3:$B258=$B259)*($G$3:$G258=$G259)*($X$3:$X258="VALIDE")),$C$3:$C258),""))</f>
        <v/>
      </c>
      <c r="T259" s="36">
        <f>IF(OR($C259="",$S259=""),"",ROUND(($C259-$S259+IF($C259&lt;$S259,1,0))*1440,0))</f>
        <v/>
      </c>
      <c r="U259" s="22">
        <f>IF(OR($H259="",$T259="",$T259&lt;=0),"",$H259*60/$T259)</f>
        <v/>
      </c>
      <c r="V259" s="37">
        <f>IF(OR($U259="",$R259="",$R259=0),"",$U259/$R259)</f>
        <v/>
      </c>
      <c r="W259" s="20">
        <f>IF($G259="","",IF($X259="CONTEXTE INCOMPLET","CONTEXTE INCOMPLET",IF($X259="DOUBLON",StatutDoublon,IF($S259="",StatutInitial,IF($R259="",StatutStandardManquant,IF($V259="","DONNEES INSUFFISANTES",IF($V259&gt;=SeuilConforme,StatutConforme,IF($V259&gt;=SeuilSurveiller,StatutSurveiller,StatutSousStandard))))))))</f>
        <v/>
      </c>
      <c r="X259" s="33">
        <f>IF($G259="","",IF(OR($D259="",$E259="",$F259=""),"CONTEXTE INCOMPLET",IF(COUNTIFS($D$3:$D258,$D259,$E$3:$E258,$E259,$F$3:$F258,$F259,$G$3:$G258,$G259)&gt;0,"DOUBLON","VALIDE")))</f>
        <v/>
      </c>
    </row>
    <row r="260" ht="15" customHeight="1">
      <c r="A260" s="12">
        <f>IF(OR($B260="",$G260=""),"",TEXT($B260,"YYYYMMDD")&amp;"-"&amp;SUBSTITUTE($E260," ","")&amp;"-"&amp;$F260&amp;"-"&amp;$G260)</f>
        <v/>
      </c>
      <c r="B260" s="15" t="n"/>
      <c r="C260" s="16" t="n"/>
      <c r="D260" s="10" t="n"/>
      <c r="E260" s="9" t="n"/>
      <c r="F260" s="9" t="n"/>
      <c r="G260" s="13" t="n"/>
      <c r="H260" s="21" t="n"/>
      <c r="I260" s="21" t="n"/>
      <c r="J260" s="17">
        <f>IF($G260="","",IFERROR(INDEX(NomsEmployes,MATCH($G260,MatriculesEmployes,0)),"MATRICULE INCONNU"))</f>
        <v/>
      </c>
      <c r="K260" s="33">
        <f>IF(OR($D260="",$F260=""),"",IFERROR(IF(INDEX(RUNS!$L$6:$S$1005,MATCH($D260,RUNS!$A$6:$A$1005,0),MATCH("ACTIVITÉ "&amp;$F260,RUNS!$L$5:$S$5,0))="","",INDEX(RUNS!$L$6:$S$1005,MATCH($D260,RUNS!$A$6:$A$1005,0),MATCH("ACTIVITÉ "&amp;$F260,RUNS!$L$5:$S$5,0))),""))</f>
        <v/>
      </c>
      <c r="L260" s="33">
        <f>IF($D260="","",IFERROR(IF(INDEX(RUNS!$E$6:$E$1005,MATCH($D260,RUNS!$A$6:$A$1005,0))="","",INDEX(RUNS!$E$6:$E$1005,MATCH($D260,RUNS!$A$6:$A$1005,0))),""))</f>
        <v/>
      </c>
      <c r="M260" s="33">
        <f>IF($D260="","",IFERROR(IF(INDEX(RUNS!$F$6:$F$1005,MATCH($D260,RUNS!$A$6:$A$1005,0))="","",INDEX(RUNS!$F$6:$F$1005,MATCH($D260,RUNS!$A$6:$A$1005,0))),""))</f>
        <v/>
      </c>
      <c r="N260" s="33">
        <f>IF($D260="","",IFERROR(IF(INDEX(RUNS!$G$6:$G$1005,MATCH($D260,RUNS!$A$6:$A$1005,0))="","",INDEX(RUNS!$G$6:$G$1005,MATCH($D260,RUNS!$A$6:$A$1005,0))),""))</f>
        <v/>
      </c>
      <c r="O260" s="33">
        <f>IF($D260="","",IFERROR(IF(INDEX(RUNS!$H$6:$H$1005,MATCH($D260,RUNS!$A$6:$A$1005,0))="","",INDEX(RUNS!$H$6:$H$1005,MATCH($D260,RUNS!$A$6:$A$1005,0))),""))</f>
        <v/>
      </c>
      <c r="P260" s="33">
        <f>IF($D260="","",IFERROR(IF(INDEX(RUNS!$J$6:$J$1005,MATCH($D260,RUNS!$A$6:$A$1005,0))="","",INDEX(RUNS!$J$6:$J$1005,MATCH($D260,RUNS!$A$6:$A$1005,0))),""))</f>
        <v/>
      </c>
      <c r="Q260" s="33">
        <f>IF($D260="","",IFERROR(IF(INDEX(RUNS!$K$6:$K$1005,MATCH($D260,RUNS!$A$6:$A$1005,0))="","",INDEX(RUNS!$K$6:$K$1005,MATCH($D260,RUNS!$A$6:$A$1005,0))),""))</f>
        <v/>
      </c>
      <c r="R260" s="34">
        <f>IF(OR($L260="",$K260=""),"",IFERROR(IF(INDEX(PARAMETRES!$H$43:$H$342,MATCH($L260&amp;"|"&amp;$M260&amp;"|"&amp;$N260&amp;"|"&amp;$O260&amp;"|"&amp;$P260&amp;"|"&amp;$Q260&amp;"|"&amp;$K260,PARAMETRES!$J$43:$J$342,0))="","",INDEX(PARAMETRES!$H$43:$H$342,MATCH($L260&amp;"|"&amp;$M260&amp;"|"&amp;$N260&amp;"|"&amp;$O260&amp;"|"&amp;$P260&amp;"|"&amp;$Q260&amp;"|"&amp;$K260,PARAMETRES!$J$43:$J$342,0))),""))</f>
        <v/>
      </c>
      <c r="S260" s="35">
        <f>IF(OR($G260="",$X260&lt;&gt;"VALIDE"),"",IFERROR(LOOKUP(2,1/(($B$3:$B259=$B260)*($G$3:$G259=$G260)*($X$3:$X259="VALIDE")),$C$3:$C259),""))</f>
        <v/>
      </c>
      <c r="T260" s="36">
        <f>IF(OR($C260="",$S260=""),"",ROUND(($C260-$S260+IF($C260&lt;$S260,1,0))*1440,0))</f>
        <v/>
      </c>
      <c r="U260" s="22">
        <f>IF(OR($H260="",$T260="",$T260&lt;=0),"",$H260*60/$T260)</f>
        <v/>
      </c>
      <c r="V260" s="37">
        <f>IF(OR($U260="",$R260="",$R260=0),"",$U260/$R260)</f>
        <v/>
      </c>
      <c r="W260" s="20">
        <f>IF($G260="","",IF($X260="CONTEXTE INCOMPLET","CONTEXTE INCOMPLET",IF($X260="DOUBLON",StatutDoublon,IF($S260="",StatutInitial,IF($R260="",StatutStandardManquant,IF($V260="","DONNEES INSUFFISANTES",IF($V260&gt;=SeuilConforme,StatutConforme,IF($V260&gt;=SeuilSurveiller,StatutSurveiller,StatutSousStandard))))))))</f>
        <v/>
      </c>
      <c r="X260" s="33">
        <f>IF($G260="","",IF(OR($D260="",$E260="",$F260=""),"CONTEXTE INCOMPLET",IF(COUNTIFS($D$3:$D259,$D260,$E$3:$E259,$E260,$F$3:$F259,$F260,$G$3:$G259,$G260)&gt;0,"DOUBLON","VALIDE")))</f>
        <v/>
      </c>
    </row>
    <row r="261" ht="15" customHeight="1">
      <c r="A261" s="12">
        <f>IF(OR($B261="",$G261=""),"",TEXT($B261,"YYYYMMDD")&amp;"-"&amp;SUBSTITUTE($E261," ","")&amp;"-"&amp;$F261&amp;"-"&amp;$G261)</f>
        <v/>
      </c>
      <c r="B261" s="15" t="n"/>
      <c r="C261" s="16" t="n"/>
      <c r="D261" s="10" t="n"/>
      <c r="E261" s="9" t="n"/>
      <c r="F261" s="9" t="n"/>
      <c r="G261" s="13" t="n"/>
      <c r="H261" s="21" t="n"/>
      <c r="I261" s="21" t="n"/>
      <c r="J261" s="17">
        <f>IF($G261="","",IFERROR(INDEX(NomsEmployes,MATCH($G261,MatriculesEmployes,0)),"MATRICULE INCONNU"))</f>
        <v/>
      </c>
      <c r="K261" s="33">
        <f>IF(OR($D261="",$F261=""),"",IFERROR(IF(INDEX(RUNS!$L$6:$S$1005,MATCH($D261,RUNS!$A$6:$A$1005,0),MATCH("ACTIVITÉ "&amp;$F261,RUNS!$L$5:$S$5,0))="","",INDEX(RUNS!$L$6:$S$1005,MATCH($D261,RUNS!$A$6:$A$1005,0),MATCH("ACTIVITÉ "&amp;$F261,RUNS!$L$5:$S$5,0))),""))</f>
        <v/>
      </c>
      <c r="L261" s="33">
        <f>IF($D261="","",IFERROR(IF(INDEX(RUNS!$E$6:$E$1005,MATCH($D261,RUNS!$A$6:$A$1005,0))="","",INDEX(RUNS!$E$6:$E$1005,MATCH($D261,RUNS!$A$6:$A$1005,0))),""))</f>
        <v/>
      </c>
      <c r="M261" s="33">
        <f>IF($D261="","",IFERROR(IF(INDEX(RUNS!$F$6:$F$1005,MATCH($D261,RUNS!$A$6:$A$1005,0))="","",INDEX(RUNS!$F$6:$F$1005,MATCH($D261,RUNS!$A$6:$A$1005,0))),""))</f>
        <v/>
      </c>
      <c r="N261" s="33">
        <f>IF($D261="","",IFERROR(IF(INDEX(RUNS!$G$6:$G$1005,MATCH($D261,RUNS!$A$6:$A$1005,0))="","",INDEX(RUNS!$G$6:$G$1005,MATCH($D261,RUNS!$A$6:$A$1005,0))),""))</f>
        <v/>
      </c>
      <c r="O261" s="33">
        <f>IF($D261="","",IFERROR(IF(INDEX(RUNS!$H$6:$H$1005,MATCH($D261,RUNS!$A$6:$A$1005,0))="","",INDEX(RUNS!$H$6:$H$1005,MATCH($D261,RUNS!$A$6:$A$1005,0))),""))</f>
        <v/>
      </c>
      <c r="P261" s="33">
        <f>IF($D261="","",IFERROR(IF(INDEX(RUNS!$J$6:$J$1005,MATCH($D261,RUNS!$A$6:$A$1005,0))="","",INDEX(RUNS!$J$6:$J$1005,MATCH($D261,RUNS!$A$6:$A$1005,0))),""))</f>
        <v/>
      </c>
      <c r="Q261" s="33">
        <f>IF($D261="","",IFERROR(IF(INDEX(RUNS!$K$6:$K$1005,MATCH($D261,RUNS!$A$6:$A$1005,0))="","",INDEX(RUNS!$K$6:$K$1005,MATCH($D261,RUNS!$A$6:$A$1005,0))),""))</f>
        <v/>
      </c>
      <c r="R261" s="34">
        <f>IF(OR($L261="",$K261=""),"",IFERROR(IF(INDEX(PARAMETRES!$H$43:$H$342,MATCH($L261&amp;"|"&amp;$M261&amp;"|"&amp;$N261&amp;"|"&amp;$O261&amp;"|"&amp;$P261&amp;"|"&amp;$Q261&amp;"|"&amp;$K261,PARAMETRES!$J$43:$J$342,0))="","",INDEX(PARAMETRES!$H$43:$H$342,MATCH($L261&amp;"|"&amp;$M261&amp;"|"&amp;$N261&amp;"|"&amp;$O261&amp;"|"&amp;$P261&amp;"|"&amp;$Q261&amp;"|"&amp;$K261,PARAMETRES!$J$43:$J$342,0))),""))</f>
        <v/>
      </c>
      <c r="S261" s="35">
        <f>IF(OR($G261="",$X261&lt;&gt;"VALIDE"),"",IFERROR(LOOKUP(2,1/(($B$3:$B260=$B261)*($G$3:$G260=$G261)*($X$3:$X260="VALIDE")),$C$3:$C260),""))</f>
        <v/>
      </c>
      <c r="T261" s="36">
        <f>IF(OR($C261="",$S261=""),"",ROUND(($C261-$S261+IF($C261&lt;$S261,1,0))*1440,0))</f>
        <v/>
      </c>
      <c r="U261" s="22">
        <f>IF(OR($H261="",$T261="",$T261&lt;=0),"",$H261*60/$T261)</f>
        <v/>
      </c>
      <c r="V261" s="37">
        <f>IF(OR($U261="",$R261="",$R261=0),"",$U261/$R261)</f>
        <v/>
      </c>
      <c r="W261" s="20">
        <f>IF($G261="","",IF($X261="CONTEXTE INCOMPLET","CONTEXTE INCOMPLET",IF($X261="DOUBLON",StatutDoublon,IF($S261="",StatutInitial,IF($R261="",StatutStandardManquant,IF($V261="","DONNEES INSUFFISANTES",IF($V261&gt;=SeuilConforme,StatutConforme,IF($V261&gt;=SeuilSurveiller,StatutSurveiller,StatutSousStandard))))))))</f>
        <v/>
      </c>
      <c r="X261" s="33">
        <f>IF($G261="","",IF(OR($D261="",$E261="",$F261=""),"CONTEXTE INCOMPLET",IF(COUNTIFS($D$3:$D260,$D261,$E$3:$E260,$E261,$F$3:$F260,$F261,$G$3:$G260,$G261)&gt;0,"DOUBLON","VALIDE")))</f>
        <v/>
      </c>
    </row>
    <row r="262" ht="15" customHeight="1">
      <c r="A262" s="12">
        <f>IF(OR($B262="",$G262=""),"",TEXT($B262,"YYYYMMDD")&amp;"-"&amp;SUBSTITUTE($E262," ","")&amp;"-"&amp;$F262&amp;"-"&amp;$G262)</f>
        <v/>
      </c>
      <c r="B262" s="15" t="n"/>
      <c r="C262" s="16" t="n"/>
      <c r="D262" s="10" t="n"/>
      <c r="E262" s="9" t="n"/>
      <c r="F262" s="9" t="n"/>
      <c r="G262" s="13" t="n"/>
      <c r="H262" s="21" t="n"/>
      <c r="I262" s="21" t="n"/>
      <c r="J262" s="17">
        <f>IF($G262="","",IFERROR(INDEX(NomsEmployes,MATCH($G262,MatriculesEmployes,0)),"MATRICULE INCONNU"))</f>
        <v/>
      </c>
      <c r="K262" s="33">
        <f>IF(OR($D262="",$F262=""),"",IFERROR(IF(INDEX(RUNS!$L$6:$S$1005,MATCH($D262,RUNS!$A$6:$A$1005,0),MATCH("ACTIVITÉ "&amp;$F262,RUNS!$L$5:$S$5,0))="","",INDEX(RUNS!$L$6:$S$1005,MATCH($D262,RUNS!$A$6:$A$1005,0),MATCH("ACTIVITÉ "&amp;$F262,RUNS!$L$5:$S$5,0))),""))</f>
        <v/>
      </c>
      <c r="L262" s="33">
        <f>IF($D262="","",IFERROR(IF(INDEX(RUNS!$E$6:$E$1005,MATCH($D262,RUNS!$A$6:$A$1005,0))="","",INDEX(RUNS!$E$6:$E$1005,MATCH($D262,RUNS!$A$6:$A$1005,0))),""))</f>
        <v/>
      </c>
      <c r="M262" s="33">
        <f>IF($D262="","",IFERROR(IF(INDEX(RUNS!$F$6:$F$1005,MATCH($D262,RUNS!$A$6:$A$1005,0))="","",INDEX(RUNS!$F$6:$F$1005,MATCH($D262,RUNS!$A$6:$A$1005,0))),""))</f>
        <v/>
      </c>
      <c r="N262" s="33">
        <f>IF($D262="","",IFERROR(IF(INDEX(RUNS!$G$6:$G$1005,MATCH($D262,RUNS!$A$6:$A$1005,0))="","",INDEX(RUNS!$G$6:$G$1005,MATCH($D262,RUNS!$A$6:$A$1005,0))),""))</f>
        <v/>
      </c>
      <c r="O262" s="33">
        <f>IF($D262="","",IFERROR(IF(INDEX(RUNS!$H$6:$H$1005,MATCH($D262,RUNS!$A$6:$A$1005,0))="","",INDEX(RUNS!$H$6:$H$1005,MATCH($D262,RUNS!$A$6:$A$1005,0))),""))</f>
        <v/>
      </c>
      <c r="P262" s="33">
        <f>IF($D262="","",IFERROR(IF(INDEX(RUNS!$J$6:$J$1005,MATCH($D262,RUNS!$A$6:$A$1005,0))="","",INDEX(RUNS!$J$6:$J$1005,MATCH($D262,RUNS!$A$6:$A$1005,0))),""))</f>
        <v/>
      </c>
      <c r="Q262" s="33">
        <f>IF($D262="","",IFERROR(IF(INDEX(RUNS!$K$6:$K$1005,MATCH($D262,RUNS!$A$6:$A$1005,0))="","",INDEX(RUNS!$K$6:$K$1005,MATCH($D262,RUNS!$A$6:$A$1005,0))),""))</f>
        <v/>
      </c>
      <c r="R262" s="34">
        <f>IF(OR($L262="",$K262=""),"",IFERROR(IF(INDEX(PARAMETRES!$H$43:$H$342,MATCH($L262&amp;"|"&amp;$M262&amp;"|"&amp;$N262&amp;"|"&amp;$O262&amp;"|"&amp;$P262&amp;"|"&amp;$Q262&amp;"|"&amp;$K262,PARAMETRES!$J$43:$J$342,0))="","",INDEX(PARAMETRES!$H$43:$H$342,MATCH($L262&amp;"|"&amp;$M262&amp;"|"&amp;$N262&amp;"|"&amp;$O262&amp;"|"&amp;$P262&amp;"|"&amp;$Q262&amp;"|"&amp;$K262,PARAMETRES!$J$43:$J$342,0))),""))</f>
        <v/>
      </c>
      <c r="S262" s="35">
        <f>IF(OR($G262="",$X262&lt;&gt;"VALIDE"),"",IFERROR(LOOKUP(2,1/(($B$3:$B261=$B262)*($G$3:$G261=$G262)*($X$3:$X261="VALIDE")),$C$3:$C261),""))</f>
        <v/>
      </c>
      <c r="T262" s="36">
        <f>IF(OR($C262="",$S262=""),"",ROUND(($C262-$S262+IF($C262&lt;$S262,1,0))*1440,0))</f>
        <v/>
      </c>
      <c r="U262" s="22">
        <f>IF(OR($H262="",$T262="",$T262&lt;=0),"",$H262*60/$T262)</f>
        <v/>
      </c>
      <c r="V262" s="37">
        <f>IF(OR($U262="",$R262="",$R262=0),"",$U262/$R262)</f>
        <v/>
      </c>
      <c r="W262" s="20">
        <f>IF($G262="","",IF($X262="CONTEXTE INCOMPLET","CONTEXTE INCOMPLET",IF($X262="DOUBLON",StatutDoublon,IF($S262="",StatutInitial,IF($R262="",StatutStandardManquant,IF($V262="","DONNEES INSUFFISANTES",IF($V262&gt;=SeuilConforme,StatutConforme,IF($V262&gt;=SeuilSurveiller,StatutSurveiller,StatutSousStandard))))))))</f>
        <v/>
      </c>
      <c r="X262" s="33">
        <f>IF($G262="","",IF(OR($D262="",$E262="",$F262=""),"CONTEXTE INCOMPLET",IF(COUNTIFS($D$3:$D261,$D262,$E$3:$E261,$E262,$F$3:$F261,$F262,$G$3:$G261,$G262)&gt;0,"DOUBLON","VALIDE")))</f>
        <v/>
      </c>
    </row>
    <row r="263" ht="15" customHeight="1">
      <c r="A263" s="12">
        <f>IF(OR($B263="",$G263=""),"",TEXT($B263,"YYYYMMDD")&amp;"-"&amp;SUBSTITUTE($E263," ","")&amp;"-"&amp;$F263&amp;"-"&amp;$G263)</f>
        <v/>
      </c>
      <c r="B263" s="15" t="n"/>
      <c r="C263" s="16" t="n"/>
      <c r="D263" s="10" t="n"/>
      <c r="E263" s="9" t="n"/>
      <c r="F263" s="9" t="n"/>
      <c r="G263" s="13" t="n"/>
      <c r="H263" s="21" t="n"/>
      <c r="I263" s="21" t="n"/>
      <c r="J263" s="17">
        <f>IF($G263="","",IFERROR(INDEX(NomsEmployes,MATCH($G263,MatriculesEmployes,0)),"MATRICULE INCONNU"))</f>
        <v/>
      </c>
      <c r="K263" s="33">
        <f>IF(OR($D263="",$F263=""),"",IFERROR(IF(INDEX(RUNS!$L$6:$S$1005,MATCH($D263,RUNS!$A$6:$A$1005,0),MATCH("ACTIVITÉ "&amp;$F263,RUNS!$L$5:$S$5,0))="","",INDEX(RUNS!$L$6:$S$1005,MATCH($D263,RUNS!$A$6:$A$1005,0),MATCH("ACTIVITÉ "&amp;$F263,RUNS!$L$5:$S$5,0))),""))</f>
        <v/>
      </c>
      <c r="L263" s="33">
        <f>IF($D263="","",IFERROR(IF(INDEX(RUNS!$E$6:$E$1005,MATCH($D263,RUNS!$A$6:$A$1005,0))="","",INDEX(RUNS!$E$6:$E$1005,MATCH($D263,RUNS!$A$6:$A$1005,0))),""))</f>
        <v/>
      </c>
      <c r="M263" s="33">
        <f>IF($D263="","",IFERROR(IF(INDEX(RUNS!$F$6:$F$1005,MATCH($D263,RUNS!$A$6:$A$1005,0))="","",INDEX(RUNS!$F$6:$F$1005,MATCH($D263,RUNS!$A$6:$A$1005,0))),""))</f>
        <v/>
      </c>
      <c r="N263" s="33">
        <f>IF($D263="","",IFERROR(IF(INDEX(RUNS!$G$6:$G$1005,MATCH($D263,RUNS!$A$6:$A$1005,0))="","",INDEX(RUNS!$G$6:$G$1005,MATCH($D263,RUNS!$A$6:$A$1005,0))),""))</f>
        <v/>
      </c>
      <c r="O263" s="33">
        <f>IF($D263="","",IFERROR(IF(INDEX(RUNS!$H$6:$H$1005,MATCH($D263,RUNS!$A$6:$A$1005,0))="","",INDEX(RUNS!$H$6:$H$1005,MATCH($D263,RUNS!$A$6:$A$1005,0))),""))</f>
        <v/>
      </c>
      <c r="P263" s="33">
        <f>IF($D263="","",IFERROR(IF(INDEX(RUNS!$J$6:$J$1005,MATCH($D263,RUNS!$A$6:$A$1005,0))="","",INDEX(RUNS!$J$6:$J$1005,MATCH($D263,RUNS!$A$6:$A$1005,0))),""))</f>
        <v/>
      </c>
      <c r="Q263" s="33">
        <f>IF($D263="","",IFERROR(IF(INDEX(RUNS!$K$6:$K$1005,MATCH($D263,RUNS!$A$6:$A$1005,0))="","",INDEX(RUNS!$K$6:$K$1005,MATCH($D263,RUNS!$A$6:$A$1005,0))),""))</f>
        <v/>
      </c>
      <c r="R263" s="34">
        <f>IF(OR($L263="",$K263=""),"",IFERROR(IF(INDEX(PARAMETRES!$H$43:$H$342,MATCH($L263&amp;"|"&amp;$M263&amp;"|"&amp;$N263&amp;"|"&amp;$O263&amp;"|"&amp;$P263&amp;"|"&amp;$Q263&amp;"|"&amp;$K263,PARAMETRES!$J$43:$J$342,0))="","",INDEX(PARAMETRES!$H$43:$H$342,MATCH($L263&amp;"|"&amp;$M263&amp;"|"&amp;$N263&amp;"|"&amp;$O263&amp;"|"&amp;$P263&amp;"|"&amp;$Q263&amp;"|"&amp;$K263,PARAMETRES!$J$43:$J$342,0))),""))</f>
        <v/>
      </c>
      <c r="S263" s="35">
        <f>IF(OR($G263="",$X263&lt;&gt;"VALIDE"),"",IFERROR(LOOKUP(2,1/(($B$3:$B262=$B263)*($G$3:$G262=$G263)*($X$3:$X262="VALIDE")),$C$3:$C262),""))</f>
        <v/>
      </c>
      <c r="T263" s="36">
        <f>IF(OR($C263="",$S263=""),"",ROUND(($C263-$S263+IF($C263&lt;$S263,1,0))*1440,0))</f>
        <v/>
      </c>
      <c r="U263" s="22">
        <f>IF(OR($H263="",$T263="",$T263&lt;=0),"",$H263*60/$T263)</f>
        <v/>
      </c>
      <c r="V263" s="37">
        <f>IF(OR($U263="",$R263="",$R263=0),"",$U263/$R263)</f>
        <v/>
      </c>
      <c r="W263" s="20">
        <f>IF($G263="","",IF($X263="CONTEXTE INCOMPLET","CONTEXTE INCOMPLET",IF($X263="DOUBLON",StatutDoublon,IF($S263="",StatutInitial,IF($R263="",StatutStandardManquant,IF($V263="","DONNEES INSUFFISANTES",IF($V263&gt;=SeuilConforme,StatutConforme,IF($V263&gt;=SeuilSurveiller,StatutSurveiller,StatutSousStandard))))))))</f>
        <v/>
      </c>
      <c r="X263" s="33">
        <f>IF($G263="","",IF(OR($D263="",$E263="",$F263=""),"CONTEXTE INCOMPLET",IF(COUNTIFS($D$3:$D262,$D263,$E$3:$E262,$E263,$F$3:$F262,$F263,$G$3:$G262,$G263)&gt;0,"DOUBLON","VALIDE")))</f>
        <v/>
      </c>
    </row>
    <row r="264" ht="15" customHeight="1">
      <c r="A264" s="12">
        <f>IF(OR($B264="",$G264=""),"",TEXT($B264,"YYYYMMDD")&amp;"-"&amp;SUBSTITUTE($E264," ","")&amp;"-"&amp;$F264&amp;"-"&amp;$G264)</f>
        <v/>
      </c>
      <c r="B264" s="15" t="n"/>
      <c r="C264" s="16" t="n"/>
      <c r="D264" s="10" t="n"/>
      <c r="E264" s="9" t="n"/>
      <c r="F264" s="9" t="n"/>
      <c r="G264" s="13" t="n"/>
      <c r="H264" s="21" t="n"/>
      <c r="I264" s="21" t="n"/>
      <c r="J264" s="17">
        <f>IF($G264="","",IFERROR(INDEX(NomsEmployes,MATCH($G264,MatriculesEmployes,0)),"MATRICULE INCONNU"))</f>
        <v/>
      </c>
      <c r="K264" s="33">
        <f>IF(OR($D264="",$F264=""),"",IFERROR(IF(INDEX(RUNS!$L$6:$S$1005,MATCH($D264,RUNS!$A$6:$A$1005,0),MATCH("ACTIVITÉ "&amp;$F264,RUNS!$L$5:$S$5,0))="","",INDEX(RUNS!$L$6:$S$1005,MATCH($D264,RUNS!$A$6:$A$1005,0),MATCH("ACTIVITÉ "&amp;$F264,RUNS!$L$5:$S$5,0))),""))</f>
        <v/>
      </c>
      <c r="L264" s="33">
        <f>IF($D264="","",IFERROR(IF(INDEX(RUNS!$E$6:$E$1005,MATCH($D264,RUNS!$A$6:$A$1005,0))="","",INDEX(RUNS!$E$6:$E$1005,MATCH($D264,RUNS!$A$6:$A$1005,0))),""))</f>
        <v/>
      </c>
      <c r="M264" s="33">
        <f>IF($D264="","",IFERROR(IF(INDEX(RUNS!$F$6:$F$1005,MATCH($D264,RUNS!$A$6:$A$1005,0))="","",INDEX(RUNS!$F$6:$F$1005,MATCH($D264,RUNS!$A$6:$A$1005,0))),""))</f>
        <v/>
      </c>
      <c r="N264" s="33">
        <f>IF($D264="","",IFERROR(IF(INDEX(RUNS!$G$6:$G$1005,MATCH($D264,RUNS!$A$6:$A$1005,0))="","",INDEX(RUNS!$G$6:$G$1005,MATCH($D264,RUNS!$A$6:$A$1005,0))),""))</f>
        <v/>
      </c>
      <c r="O264" s="33">
        <f>IF($D264="","",IFERROR(IF(INDEX(RUNS!$H$6:$H$1005,MATCH($D264,RUNS!$A$6:$A$1005,0))="","",INDEX(RUNS!$H$6:$H$1005,MATCH($D264,RUNS!$A$6:$A$1005,0))),""))</f>
        <v/>
      </c>
      <c r="P264" s="33">
        <f>IF($D264="","",IFERROR(IF(INDEX(RUNS!$J$6:$J$1005,MATCH($D264,RUNS!$A$6:$A$1005,0))="","",INDEX(RUNS!$J$6:$J$1005,MATCH($D264,RUNS!$A$6:$A$1005,0))),""))</f>
        <v/>
      </c>
      <c r="Q264" s="33">
        <f>IF($D264="","",IFERROR(IF(INDEX(RUNS!$K$6:$K$1005,MATCH($D264,RUNS!$A$6:$A$1005,0))="","",INDEX(RUNS!$K$6:$K$1005,MATCH($D264,RUNS!$A$6:$A$1005,0))),""))</f>
        <v/>
      </c>
      <c r="R264" s="34">
        <f>IF(OR($L264="",$K264=""),"",IFERROR(IF(INDEX(PARAMETRES!$H$43:$H$342,MATCH($L264&amp;"|"&amp;$M264&amp;"|"&amp;$N264&amp;"|"&amp;$O264&amp;"|"&amp;$P264&amp;"|"&amp;$Q264&amp;"|"&amp;$K264,PARAMETRES!$J$43:$J$342,0))="","",INDEX(PARAMETRES!$H$43:$H$342,MATCH($L264&amp;"|"&amp;$M264&amp;"|"&amp;$N264&amp;"|"&amp;$O264&amp;"|"&amp;$P264&amp;"|"&amp;$Q264&amp;"|"&amp;$K264,PARAMETRES!$J$43:$J$342,0))),""))</f>
        <v/>
      </c>
      <c r="S264" s="35">
        <f>IF(OR($G264="",$X264&lt;&gt;"VALIDE"),"",IFERROR(LOOKUP(2,1/(($B$3:$B263=$B264)*($G$3:$G263=$G264)*($X$3:$X263="VALIDE")),$C$3:$C263),""))</f>
        <v/>
      </c>
      <c r="T264" s="36">
        <f>IF(OR($C264="",$S264=""),"",ROUND(($C264-$S264+IF($C264&lt;$S264,1,0))*1440,0))</f>
        <v/>
      </c>
      <c r="U264" s="22">
        <f>IF(OR($H264="",$T264="",$T264&lt;=0),"",$H264*60/$T264)</f>
        <v/>
      </c>
      <c r="V264" s="37">
        <f>IF(OR($U264="",$R264="",$R264=0),"",$U264/$R264)</f>
        <v/>
      </c>
      <c r="W264" s="20">
        <f>IF($G264="","",IF($X264="CONTEXTE INCOMPLET","CONTEXTE INCOMPLET",IF($X264="DOUBLON",StatutDoublon,IF($S264="",StatutInitial,IF($R264="",StatutStandardManquant,IF($V264="","DONNEES INSUFFISANTES",IF($V264&gt;=SeuilConforme,StatutConforme,IF($V264&gt;=SeuilSurveiller,StatutSurveiller,StatutSousStandard))))))))</f>
        <v/>
      </c>
      <c r="X264" s="33">
        <f>IF($G264="","",IF(OR($D264="",$E264="",$F264=""),"CONTEXTE INCOMPLET",IF(COUNTIFS($D$3:$D263,$D264,$E$3:$E263,$E264,$F$3:$F263,$F264,$G$3:$G263,$G264)&gt;0,"DOUBLON","VALIDE")))</f>
        <v/>
      </c>
    </row>
    <row r="265" ht="15" customHeight="1">
      <c r="A265" s="12">
        <f>IF(OR($B265="",$G265=""),"",TEXT($B265,"YYYYMMDD")&amp;"-"&amp;SUBSTITUTE($E265," ","")&amp;"-"&amp;$F265&amp;"-"&amp;$G265)</f>
        <v/>
      </c>
      <c r="B265" s="15" t="n"/>
      <c r="C265" s="16" t="n"/>
      <c r="D265" s="10" t="n"/>
      <c r="E265" s="9" t="n"/>
      <c r="F265" s="9" t="n"/>
      <c r="G265" s="13" t="n"/>
      <c r="H265" s="21" t="n"/>
      <c r="I265" s="21" t="n"/>
      <c r="J265" s="17">
        <f>IF($G265="","",IFERROR(INDEX(NomsEmployes,MATCH($G265,MatriculesEmployes,0)),"MATRICULE INCONNU"))</f>
        <v/>
      </c>
      <c r="K265" s="33">
        <f>IF(OR($D265="",$F265=""),"",IFERROR(IF(INDEX(RUNS!$L$6:$S$1005,MATCH($D265,RUNS!$A$6:$A$1005,0),MATCH("ACTIVITÉ "&amp;$F265,RUNS!$L$5:$S$5,0))="","",INDEX(RUNS!$L$6:$S$1005,MATCH($D265,RUNS!$A$6:$A$1005,0),MATCH("ACTIVITÉ "&amp;$F265,RUNS!$L$5:$S$5,0))),""))</f>
        <v/>
      </c>
      <c r="L265" s="33">
        <f>IF($D265="","",IFERROR(IF(INDEX(RUNS!$E$6:$E$1005,MATCH($D265,RUNS!$A$6:$A$1005,0))="","",INDEX(RUNS!$E$6:$E$1005,MATCH($D265,RUNS!$A$6:$A$1005,0))),""))</f>
        <v/>
      </c>
      <c r="M265" s="33">
        <f>IF($D265="","",IFERROR(IF(INDEX(RUNS!$F$6:$F$1005,MATCH($D265,RUNS!$A$6:$A$1005,0))="","",INDEX(RUNS!$F$6:$F$1005,MATCH($D265,RUNS!$A$6:$A$1005,0))),""))</f>
        <v/>
      </c>
      <c r="N265" s="33">
        <f>IF($D265="","",IFERROR(IF(INDEX(RUNS!$G$6:$G$1005,MATCH($D265,RUNS!$A$6:$A$1005,0))="","",INDEX(RUNS!$G$6:$G$1005,MATCH($D265,RUNS!$A$6:$A$1005,0))),""))</f>
        <v/>
      </c>
      <c r="O265" s="33">
        <f>IF($D265="","",IFERROR(IF(INDEX(RUNS!$H$6:$H$1005,MATCH($D265,RUNS!$A$6:$A$1005,0))="","",INDEX(RUNS!$H$6:$H$1005,MATCH($D265,RUNS!$A$6:$A$1005,0))),""))</f>
        <v/>
      </c>
      <c r="P265" s="33">
        <f>IF($D265="","",IFERROR(IF(INDEX(RUNS!$J$6:$J$1005,MATCH($D265,RUNS!$A$6:$A$1005,0))="","",INDEX(RUNS!$J$6:$J$1005,MATCH($D265,RUNS!$A$6:$A$1005,0))),""))</f>
        <v/>
      </c>
      <c r="Q265" s="33">
        <f>IF($D265="","",IFERROR(IF(INDEX(RUNS!$K$6:$K$1005,MATCH($D265,RUNS!$A$6:$A$1005,0))="","",INDEX(RUNS!$K$6:$K$1005,MATCH($D265,RUNS!$A$6:$A$1005,0))),""))</f>
        <v/>
      </c>
      <c r="R265" s="34">
        <f>IF(OR($L265="",$K265=""),"",IFERROR(IF(INDEX(PARAMETRES!$H$43:$H$342,MATCH($L265&amp;"|"&amp;$M265&amp;"|"&amp;$N265&amp;"|"&amp;$O265&amp;"|"&amp;$P265&amp;"|"&amp;$Q265&amp;"|"&amp;$K265,PARAMETRES!$J$43:$J$342,0))="","",INDEX(PARAMETRES!$H$43:$H$342,MATCH($L265&amp;"|"&amp;$M265&amp;"|"&amp;$N265&amp;"|"&amp;$O265&amp;"|"&amp;$P265&amp;"|"&amp;$Q265&amp;"|"&amp;$K265,PARAMETRES!$J$43:$J$342,0))),""))</f>
        <v/>
      </c>
      <c r="S265" s="35">
        <f>IF(OR($G265="",$X265&lt;&gt;"VALIDE"),"",IFERROR(LOOKUP(2,1/(($B$3:$B264=$B265)*($G$3:$G264=$G265)*($X$3:$X264="VALIDE")),$C$3:$C264),""))</f>
        <v/>
      </c>
      <c r="T265" s="36">
        <f>IF(OR($C265="",$S265=""),"",ROUND(($C265-$S265+IF($C265&lt;$S265,1,0))*1440,0))</f>
        <v/>
      </c>
      <c r="U265" s="22">
        <f>IF(OR($H265="",$T265="",$T265&lt;=0),"",$H265*60/$T265)</f>
        <v/>
      </c>
      <c r="V265" s="37">
        <f>IF(OR($U265="",$R265="",$R265=0),"",$U265/$R265)</f>
        <v/>
      </c>
      <c r="W265" s="20">
        <f>IF($G265="","",IF($X265="CONTEXTE INCOMPLET","CONTEXTE INCOMPLET",IF($X265="DOUBLON",StatutDoublon,IF($S265="",StatutInitial,IF($R265="",StatutStandardManquant,IF($V265="","DONNEES INSUFFISANTES",IF($V265&gt;=SeuilConforme,StatutConforme,IF($V265&gt;=SeuilSurveiller,StatutSurveiller,StatutSousStandard))))))))</f>
        <v/>
      </c>
      <c r="X265" s="33">
        <f>IF($G265="","",IF(OR($D265="",$E265="",$F265=""),"CONTEXTE INCOMPLET",IF(COUNTIFS($D$3:$D264,$D265,$E$3:$E264,$E265,$F$3:$F264,$F265,$G$3:$G264,$G265)&gt;0,"DOUBLON","VALIDE")))</f>
        <v/>
      </c>
    </row>
    <row r="266" ht="15" customHeight="1">
      <c r="A266" s="12">
        <f>IF(OR($B266="",$G266=""),"",TEXT($B266,"YYYYMMDD")&amp;"-"&amp;SUBSTITUTE($E266," ","")&amp;"-"&amp;$F266&amp;"-"&amp;$G266)</f>
        <v/>
      </c>
      <c r="B266" s="15" t="n"/>
      <c r="C266" s="16" t="n"/>
      <c r="D266" s="10" t="n"/>
      <c r="E266" s="9" t="n"/>
      <c r="F266" s="9" t="n"/>
      <c r="G266" s="13" t="n"/>
      <c r="H266" s="21" t="n"/>
      <c r="I266" s="21" t="n"/>
      <c r="J266" s="17">
        <f>IF($G266="","",IFERROR(INDEX(NomsEmployes,MATCH($G266,MatriculesEmployes,0)),"MATRICULE INCONNU"))</f>
        <v/>
      </c>
      <c r="K266" s="33">
        <f>IF(OR($D266="",$F266=""),"",IFERROR(IF(INDEX(RUNS!$L$6:$S$1005,MATCH($D266,RUNS!$A$6:$A$1005,0),MATCH("ACTIVITÉ "&amp;$F266,RUNS!$L$5:$S$5,0))="","",INDEX(RUNS!$L$6:$S$1005,MATCH($D266,RUNS!$A$6:$A$1005,0),MATCH("ACTIVITÉ "&amp;$F266,RUNS!$L$5:$S$5,0))),""))</f>
        <v/>
      </c>
      <c r="L266" s="33">
        <f>IF($D266="","",IFERROR(IF(INDEX(RUNS!$E$6:$E$1005,MATCH($D266,RUNS!$A$6:$A$1005,0))="","",INDEX(RUNS!$E$6:$E$1005,MATCH($D266,RUNS!$A$6:$A$1005,0))),""))</f>
        <v/>
      </c>
      <c r="M266" s="33">
        <f>IF($D266="","",IFERROR(IF(INDEX(RUNS!$F$6:$F$1005,MATCH($D266,RUNS!$A$6:$A$1005,0))="","",INDEX(RUNS!$F$6:$F$1005,MATCH($D266,RUNS!$A$6:$A$1005,0))),""))</f>
        <v/>
      </c>
      <c r="N266" s="33">
        <f>IF($D266="","",IFERROR(IF(INDEX(RUNS!$G$6:$G$1005,MATCH($D266,RUNS!$A$6:$A$1005,0))="","",INDEX(RUNS!$G$6:$G$1005,MATCH($D266,RUNS!$A$6:$A$1005,0))),""))</f>
        <v/>
      </c>
      <c r="O266" s="33">
        <f>IF($D266="","",IFERROR(IF(INDEX(RUNS!$H$6:$H$1005,MATCH($D266,RUNS!$A$6:$A$1005,0))="","",INDEX(RUNS!$H$6:$H$1005,MATCH($D266,RUNS!$A$6:$A$1005,0))),""))</f>
        <v/>
      </c>
      <c r="P266" s="33">
        <f>IF($D266="","",IFERROR(IF(INDEX(RUNS!$J$6:$J$1005,MATCH($D266,RUNS!$A$6:$A$1005,0))="","",INDEX(RUNS!$J$6:$J$1005,MATCH($D266,RUNS!$A$6:$A$1005,0))),""))</f>
        <v/>
      </c>
      <c r="Q266" s="33">
        <f>IF($D266="","",IFERROR(IF(INDEX(RUNS!$K$6:$K$1005,MATCH($D266,RUNS!$A$6:$A$1005,0))="","",INDEX(RUNS!$K$6:$K$1005,MATCH($D266,RUNS!$A$6:$A$1005,0))),""))</f>
        <v/>
      </c>
      <c r="R266" s="34">
        <f>IF(OR($L266="",$K266=""),"",IFERROR(IF(INDEX(PARAMETRES!$H$43:$H$342,MATCH($L266&amp;"|"&amp;$M266&amp;"|"&amp;$N266&amp;"|"&amp;$O266&amp;"|"&amp;$P266&amp;"|"&amp;$Q266&amp;"|"&amp;$K266,PARAMETRES!$J$43:$J$342,0))="","",INDEX(PARAMETRES!$H$43:$H$342,MATCH($L266&amp;"|"&amp;$M266&amp;"|"&amp;$N266&amp;"|"&amp;$O266&amp;"|"&amp;$P266&amp;"|"&amp;$Q266&amp;"|"&amp;$K266,PARAMETRES!$J$43:$J$342,0))),""))</f>
        <v/>
      </c>
      <c r="S266" s="35">
        <f>IF(OR($G266="",$X266&lt;&gt;"VALIDE"),"",IFERROR(LOOKUP(2,1/(($B$3:$B265=$B266)*($G$3:$G265=$G266)*($X$3:$X265="VALIDE")),$C$3:$C265),""))</f>
        <v/>
      </c>
      <c r="T266" s="36">
        <f>IF(OR($C266="",$S266=""),"",ROUND(($C266-$S266+IF($C266&lt;$S266,1,0))*1440,0))</f>
        <v/>
      </c>
      <c r="U266" s="22">
        <f>IF(OR($H266="",$T266="",$T266&lt;=0),"",$H266*60/$T266)</f>
        <v/>
      </c>
      <c r="V266" s="37">
        <f>IF(OR($U266="",$R266="",$R266=0),"",$U266/$R266)</f>
        <v/>
      </c>
      <c r="W266" s="20">
        <f>IF($G266="","",IF($X266="CONTEXTE INCOMPLET","CONTEXTE INCOMPLET",IF($X266="DOUBLON",StatutDoublon,IF($S266="",StatutInitial,IF($R266="",StatutStandardManquant,IF($V266="","DONNEES INSUFFISANTES",IF($V266&gt;=SeuilConforme,StatutConforme,IF($V266&gt;=SeuilSurveiller,StatutSurveiller,StatutSousStandard))))))))</f>
        <v/>
      </c>
      <c r="X266" s="33">
        <f>IF($G266="","",IF(OR($D266="",$E266="",$F266=""),"CONTEXTE INCOMPLET",IF(COUNTIFS($D$3:$D265,$D266,$E$3:$E265,$E266,$F$3:$F265,$F266,$G$3:$G265,$G266)&gt;0,"DOUBLON","VALIDE")))</f>
        <v/>
      </c>
    </row>
    <row r="267" ht="15" customHeight="1">
      <c r="A267" s="12">
        <f>IF(OR($B267="",$G267=""),"",TEXT($B267,"YYYYMMDD")&amp;"-"&amp;SUBSTITUTE($E267," ","")&amp;"-"&amp;$F267&amp;"-"&amp;$G267)</f>
        <v/>
      </c>
      <c r="B267" s="15" t="n"/>
      <c r="C267" s="16" t="n"/>
      <c r="D267" s="10" t="n"/>
      <c r="E267" s="9" t="n"/>
      <c r="F267" s="9" t="n"/>
      <c r="G267" s="13" t="n"/>
      <c r="H267" s="21" t="n"/>
      <c r="I267" s="21" t="n"/>
      <c r="J267" s="17">
        <f>IF($G267="","",IFERROR(INDEX(NomsEmployes,MATCH($G267,MatriculesEmployes,0)),"MATRICULE INCONNU"))</f>
        <v/>
      </c>
      <c r="K267" s="33">
        <f>IF(OR($D267="",$F267=""),"",IFERROR(IF(INDEX(RUNS!$L$6:$S$1005,MATCH($D267,RUNS!$A$6:$A$1005,0),MATCH("ACTIVITÉ "&amp;$F267,RUNS!$L$5:$S$5,0))="","",INDEX(RUNS!$L$6:$S$1005,MATCH($D267,RUNS!$A$6:$A$1005,0),MATCH("ACTIVITÉ "&amp;$F267,RUNS!$L$5:$S$5,0))),""))</f>
        <v/>
      </c>
      <c r="L267" s="33">
        <f>IF($D267="","",IFERROR(IF(INDEX(RUNS!$E$6:$E$1005,MATCH($D267,RUNS!$A$6:$A$1005,0))="","",INDEX(RUNS!$E$6:$E$1005,MATCH($D267,RUNS!$A$6:$A$1005,0))),""))</f>
        <v/>
      </c>
      <c r="M267" s="33">
        <f>IF($D267="","",IFERROR(IF(INDEX(RUNS!$F$6:$F$1005,MATCH($D267,RUNS!$A$6:$A$1005,0))="","",INDEX(RUNS!$F$6:$F$1005,MATCH($D267,RUNS!$A$6:$A$1005,0))),""))</f>
        <v/>
      </c>
      <c r="N267" s="33">
        <f>IF($D267="","",IFERROR(IF(INDEX(RUNS!$G$6:$G$1005,MATCH($D267,RUNS!$A$6:$A$1005,0))="","",INDEX(RUNS!$G$6:$G$1005,MATCH($D267,RUNS!$A$6:$A$1005,0))),""))</f>
        <v/>
      </c>
      <c r="O267" s="33">
        <f>IF($D267="","",IFERROR(IF(INDEX(RUNS!$H$6:$H$1005,MATCH($D267,RUNS!$A$6:$A$1005,0))="","",INDEX(RUNS!$H$6:$H$1005,MATCH($D267,RUNS!$A$6:$A$1005,0))),""))</f>
        <v/>
      </c>
      <c r="P267" s="33">
        <f>IF($D267="","",IFERROR(IF(INDEX(RUNS!$J$6:$J$1005,MATCH($D267,RUNS!$A$6:$A$1005,0))="","",INDEX(RUNS!$J$6:$J$1005,MATCH($D267,RUNS!$A$6:$A$1005,0))),""))</f>
        <v/>
      </c>
      <c r="Q267" s="33">
        <f>IF($D267="","",IFERROR(IF(INDEX(RUNS!$K$6:$K$1005,MATCH($D267,RUNS!$A$6:$A$1005,0))="","",INDEX(RUNS!$K$6:$K$1005,MATCH($D267,RUNS!$A$6:$A$1005,0))),""))</f>
        <v/>
      </c>
      <c r="R267" s="34">
        <f>IF(OR($L267="",$K267=""),"",IFERROR(IF(INDEX(PARAMETRES!$H$43:$H$342,MATCH($L267&amp;"|"&amp;$M267&amp;"|"&amp;$N267&amp;"|"&amp;$O267&amp;"|"&amp;$P267&amp;"|"&amp;$Q267&amp;"|"&amp;$K267,PARAMETRES!$J$43:$J$342,0))="","",INDEX(PARAMETRES!$H$43:$H$342,MATCH($L267&amp;"|"&amp;$M267&amp;"|"&amp;$N267&amp;"|"&amp;$O267&amp;"|"&amp;$P267&amp;"|"&amp;$Q267&amp;"|"&amp;$K267,PARAMETRES!$J$43:$J$342,0))),""))</f>
        <v/>
      </c>
      <c r="S267" s="35">
        <f>IF(OR($G267="",$X267&lt;&gt;"VALIDE"),"",IFERROR(LOOKUP(2,1/(($B$3:$B266=$B267)*($G$3:$G266=$G267)*($X$3:$X266="VALIDE")),$C$3:$C266),""))</f>
        <v/>
      </c>
      <c r="T267" s="36">
        <f>IF(OR($C267="",$S267=""),"",ROUND(($C267-$S267+IF($C267&lt;$S267,1,0))*1440,0))</f>
        <v/>
      </c>
      <c r="U267" s="22">
        <f>IF(OR($H267="",$T267="",$T267&lt;=0),"",$H267*60/$T267)</f>
        <v/>
      </c>
      <c r="V267" s="37">
        <f>IF(OR($U267="",$R267="",$R267=0),"",$U267/$R267)</f>
        <v/>
      </c>
      <c r="W267" s="20">
        <f>IF($G267="","",IF($X267="CONTEXTE INCOMPLET","CONTEXTE INCOMPLET",IF($X267="DOUBLON",StatutDoublon,IF($S267="",StatutInitial,IF($R267="",StatutStandardManquant,IF($V267="","DONNEES INSUFFISANTES",IF($V267&gt;=SeuilConforme,StatutConforme,IF($V267&gt;=SeuilSurveiller,StatutSurveiller,StatutSousStandard))))))))</f>
        <v/>
      </c>
      <c r="X267" s="33">
        <f>IF($G267="","",IF(OR($D267="",$E267="",$F267=""),"CONTEXTE INCOMPLET",IF(COUNTIFS($D$3:$D266,$D267,$E$3:$E266,$E267,$F$3:$F266,$F267,$G$3:$G266,$G267)&gt;0,"DOUBLON","VALIDE")))</f>
        <v/>
      </c>
    </row>
    <row r="268" ht="15" customHeight="1">
      <c r="A268" s="12">
        <f>IF(OR($B268="",$G268=""),"",TEXT($B268,"YYYYMMDD")&amp;"-"&amp;SUBSTITUTE($E268," ","")&amp;"-"&amp;$F268&amp;"-"&amp;$G268)</f>
        <v/>
      </c>
      <c r="B268" s="15" t="n"/>
      <c r="C268" s="16" t="n"/>
      <c r="D268" s="10" t="n"/>
      <c r="E268" s="9" t="n"/>
      <c r="F268" s="9" t="n"/>
      <c r="G268" s="13" t="n"/>
      <c r="H268" s="21" t="n"/>
      <c r="I268" s="21" t="n"/>
      <c r="J268" s="17">
        <f>IF($G268="","",IFERROR(INDEX(NomsEmployes,MATCH($G268,MatriculesEmployes,0)),"MATRICULE INCONNU"))</f>
        <v/>
      </c>
      <c r="K268" s="33">
        <f>IF(OR($D268="",$F268=""),"",IFERROR(IF(INDEX(RUNS!$L$6:$S$1005,MATCH($D268,RUNS!$A$6:$A$1005,0),MATCH("ACTIVITÉ "&amp;$F268,RUNS!$L$5:$S$5,0))="","",INDEX(RUNS!$L$6:$S$1005,MATCH($D268,RUNS!$A$6:$A$1005,0),MATCH("ACTIVITÉ "&amp;$F268,RUNS!$L$5:$S$5,0))),""))</f>
        <v/>
      </c>
      <c r="L268" s="33">
        <f>IF($D268="","",IFERROR(IF(INDEX(RUNS!$E$6:$E$1005,MATCH($D268,RUNS!$A$6:$A$1005,0))="","",INDEX(RUNS!$E$6:$E$1005,MATCH($D268,RUNS!$A$6:$A$1005,0))),""))</f>
        <v/>
      </c>
      <c r="M268" s="33">
        <f>IF($D268="","",IFERROR(IF(INDEX(RUNS!$F$6:$F$1005,MATCH($D268,RUNS!$A$6:$A$1005,0))="","",INDEX(RUNS!$F$6:$F$1005,MATCH($D268,RUNS!$A$6:$A$1005,0))),""))</f>
        <v/>
      </c>
      <c r="N268" s="33">
        <f>IF($D268="","",IFERROR(IF(INDEX(RUNS!$G$6:$G$1005,MATCH($D268,RUNS!$A$6:$A$1005,0))="","",INDEX(RUNS!$G$6:$G$1005,MATCH($D268,RUNS!$A$6:$A$1005,0))),""))</f>
        <v/>
      </c>
      <c r="O268" s="33">
        <f>IF($D268="","",IFERROR(IF(INDEX(RUNS!$H$6:$H$1005,MATCH($D268,RUNS!$A$6:$A$1005,0))="","",INDEX(RUNS!$H$6:$H$1005,MATCH($D268,RUNS!$A$6:$A$1005,0))),""))</f>
        <v/>
      </c>
      <c r="P268" s="33">
        <f>IF($D268="","",IFERROR(IF(INDEX(RUNS!$J$6:$J$1005,MATCH($D268,RUNS!$A$6:$A$1005,0))="","",INDEX(RUNS!$J$6:$J$1005,MATCH($D268,RUNS!$A$6:$A$1005,0))),""))</f>
        <v/>
      </c>
      <c r="Q268" s="33">
        <f>IF($D268="","",IFERROR(IF(INDEX(RUNS!$K$6:$K$1005,MATCH($D268,RUNS!$A$6:$A$1005,0))="","",INDEX(RUNS!$K$6:$K$1005,MATCH($D268,RUNS!$A$6:$A$1005,0))),""))</f>
        <v/>
      </c>
      <c r="R268" s="34">
        <f>IF(OR($L268="",$K268=""),"",IFERROR(IF(INDEX(PARAMETRES!$H$43:$H$342,MATCH($L268&amp;"|"&amp;$M268&amp;"|"&amp;$N268&amp;"|"&amp;$O268&amp;"|"&amp;$P268&amp;"|"&amp;$Q268&amp;"|"&amp;$K268,PARAMETRES!$J$43:$J$342,0))="","",INDEX(PARAMETRES!$H$43:$H$342,MATCH($L268&amp;"|"&amp;$M268&amp;"|"&amp;$N268&amp;"|"&amp;$O268&amp;"|"&amp;$P268&amp;"|"&amp;$Q268&amp;"|"&amp;$K268,PARAMETRES!$J$43:$J$342,0))),""))</f>
        <v/>
      </c>
      <c r="S268" s="35">
        <f>IF(OR($G268="",$X268&lt;&gt;"VALIDE"),"",IFERROR(LOOKUP(2,1/(($B$3:$B267=$B268)*($G$3:$G267=$G268)*($X$3:$X267="VALIDE")),$C$3:$C267),""))</f>
        <v/>
      </c>
      <c r="T268" s="36">
        <f>IF(OR($C268="",$S268=""),"",ROUND(($C268-$S268+IF($C268&lt;$S268,1,0))*1440,0))</f>
        <v/>
      </c>
      <c r="U268" s="22">
        <f>IF(OR($H268="",$T268="",$T268&lt;=0),"",$H268*60/$T268)</f>
        <v/>
      </c>
      <c r="V268" s="37">
        <f>IF(OR($U268="",$R268="",$R268=0),"",$U268/$R268)</f>
        <v/>
      </c>
      <c r="W268" s="20">
        <f>IF($G268="","",IF($X268="CONTEXTE INCOMPLET","CONTEXTE INCOMPLET",IF($X268="DOUBLON",StatutDoublon,IF($S268="",StatutInitial,IF($R268="",StatutStandardManquant,IF($V268="","DONNEES INSUFFISANTES",IF($V268&gt;=SeuilConforme,StatutConforme,IF($V268&gt;=SeuilSurveiller,StatutSurveiller,StatutSousStandard))))))))</f>
        <v/>
      </c>
      <c r="X268" s="33">
        <f>IF($G268="","",IF(OR($D268="",$E268="",$F268=""),"CONTEXTE INCOMPLET",IF(COUNTIFS($D$3:$D267,$D268,$E$3:$E267,$E268,$F$3:$F267,$F268,$G$3:$G267,$G268)&gt;0,"DOUBLON","VALIDE")))</f>
        <v/>
      </c>
    </row>
    <row r="269" ht="15" customHeight="1">
      <c r="A269" s="12">
        <f>IF(OR($B269="",$G269=""),"",TEXT($B269,"YYYYMMDD")&amp;"-"&amp;SUBSTITUTE($E269," ","")&amp;"-"&amp;$F269&amp;"-"&amp;$G269)</f>
        <v/>
      </c>
      <c r="B269" s="15" t="n"/>
      <c r="C269" s="16" t="n"/>
      <c r="D269" s="10" t="n"/>
      <c r="E269" s="9" t="n"/>
      <c r="F269" s="9" t="n"/>
      <c r="G269" s="13" t="n"/>
      <c r="H269" s="21" t="n"/>
      <c r="I269" s="21" t="n"/>
      <c r="J269" s="17">
        <f>IF($G269="","",IFERROR(INDEX(NomsEmployes,MATCH($G269,MatriculesEmployes,0)),"MATRICULE INCONNU"))</f>
        <v/>
      </c>
      <c r="K269" s="33">
        <f>IF(OR($D269="",$F269=""),"",IFERROR(IF(INDEX(RUNS!$L$6:$S$1005,MATCH($D269,RUNS!$A$6:$A$1005,0),MATCH("ACTIVITÉ "&amp;$F269,RUNS!$L$5:$S$5,0))="","",INDEX(RUNS!$L$6:$S$1005,MATCH($D269,RUNS!$A$6:$A$1005,0),MATCH("ACTIVITÉ "&amp;$F269,RUNS!$L$5:$S$5,0))),""))</f>
        <v/>
      </c>
      <c r="L269" s="33">
        <f>IF($D269="","",IFERROR(IF(INDEX(RUNS!$E$6:$E$1005,MATCH($D269,RUNS!$A$6:$A$1005,0))="","",INDEX(RUNS!$E$6:$E$1005,MATCH($D269,RUNS!$A$6:$A$1005,0))),""))</f>
        <v/>
      </c>
      <c r="M269" s="33">
        <f>IF($D269="","",IFERROR(IF(INDEX(RUNS!$F$6:$F$1005,MATCH($D269,RUNS!$A$6:$A$1005,0))="","",INDEX(RUNS!$F$6:$F$1005,MATCH($D269,RUNS!$A$6:$A$1005,0))),""))</f>
        <v/>
      </c>
      <c r="N269" s="33">
        <f>IF($D269="","",IFERROR(IF(INDEX(RUNS!$G$6:$G$1005,MATCH($D269,RUNS!$A$6:$A$1005,0))="","",INDEX(RUNS!$G$6:$G$1005,MATCH($D269,RUNS!$A$6:$A$1005,0))),""))</f>
        <v/>
      </c>
      <c r="O269" s="33">
        <f>IF($D269="","",IFERROR(IF(INDEX(RUNS!$H$6:$H$1005,MATCH($D269,RUNS!$A$6:$A$1005,0))="","",INDEX(RUNS!$H$6:$H$1005,MATCH($D269,RUNS!$A$6:$A$1005,0))),""))</f>
        <v/>
      </c>
      <c r="P269" s="33">
        <f>IF($D269="","",IFERROR(IF(INDEX(RUNS!$J$6:$J$1005,MATCH($D269,RUNS!$A$6:$A$1005,0))="","",INDEX(RUNS!$J$6:$J$1005,MATCH($D269,RUNS!$A$6:$A$1005,0))),""))</f>
        <v/>
      </c>
      <c r="Q269" s="33">
        <f>IF($D269="","",IFERROR(IF(INDEX(RUNS!$K$6:$K$1005,MATCH($D269,RUNS!$A$6:$A$1005,0))="","",INDEX(RUNS!$K$6:$K$1005,MATCH($D269,RUNS!$A$6:$A$1005,0))),""))</f>
        <v/>
      </c>
      <c r="R269" s="34">
        <f>IF(OR($L269="",$K269=""),"",IFERROR(IF(INDEX(PARAMETRES!$H$43:$H$342,MATCH($L269&amp;"|"&amp;$M269&amp;"|"&amp;$N269&amp;"|"&amp;$O269&amp;"|"&amp;$P269&amp;"|"&amp;$Q269&amp;"|"&amp;$K269,PARAMETRES!$J$43:$J$342,0))="","",INDEX(PARAMETRES!$H$43:$H$342,MATCH($L269&amp;"|"&amp;$M269&amp;"|"&amp;$N269&amp;"|"&amp;$O269&amp;"|"&amp;$P269&amp;"|"&amp;$Q269&amp;"|"&amp;$K269,PARAMETRES!$J$43:$J$342,0))),""))</f>
        <v/>
      </c>
      <c r="S269" s="35">
        <f>IF(OR($G269="",$X269&lt;&gt;"VALIDE"),"",IFERROR(LOOKUP(2,1/(($B$3:$B268=$B269)*($G$3:$G268=$G269)*($X$3:$X268="VALIDE")),$C$3:$C268),""))</f>
        <v/>
      </c>
      <c r="T269" s="36">
        <f>IF(OR($C269="",$S269=""),"",ROUND(($C269-$S269+IF($C269&lt;$S269,1,0))*1440,0))</f>
        <v/>
      </c>
      <c r="U269" s="22">
        <f>IF(OR($H269="",$T269="",$T269&lt;=0),"",$H269*60/$T269)</f>
        <v/>
      </c>
      <c r="V269" s="37">
        <f>IF(OR($U269="",$R269="",$R269=0),"",$U269/$R269)</f>
        <v/>
      </c>
      <c r="W269" s="20">
        <f>IF($G269="","",IF($X269="CONTEXTE INCOMPLET","CONTEXTE INCOMPLET",IF($X269="DOUBLON",StatutDoublon,IF($S269="",StatutInitial,IF($R269="",StatutStandardManquant,IF($V269="","DONNEES INSUFFISANTES",IF($V269&gt;=SeuilConforme,StatutConforme,IF($V269&gt;=SeuilSurveiller,StatutSurveiller,StatutSousStandard))))))))</f>
        <v/>
      </c>
      <c r="X269" s="33">
        <f>IF($G269="","",IF(OR($D269="",$E269="",$F269=""),"CONTEXTE INCOMPLET",IF(COUNTIFS($D$3:$D268,$D269,$E$3:$E268,$E269,$F$3:$F268,$F269,$G$3:$G268,$G269)&gt;0,"DOUBLON","VALIDE")))</f>
        <v/>
      </c>
    </row>
    <row r="270" ht="15" customHeight="1">
      <c r="A270" s="12">
        <f>IF(OR($B270="",$G270=""),"",TEXT($B270,"YYYYMMDD")&amp;"-"&amp;SUBSTITUTE($E270," ","")&amp;"-"&amp;$F270&amp;"-"&amp;$G270)</f>
        <v/>
      </c>
      <c r="B270" s="15" t="n"/>
      <c r="C270" s="16" t="n"/>
      <c r="D270" s="10" t="n"/>
      <c r="E270" s="9" t="n"/>
      <c r="F270" s="9" t="n"/>
      <c r="G270" s="13" t="n"/>
      <c r="H270" s="21" t="n"/>
      <c r="I270" s="21" t="n"/>
      <c r="J270" s="17">
        <f>IF($G270="","",IFERROR(INDEX(NomsEmployes,MATCH($G270,MatriculesEmployes,0)),"MATRICULE INCONNU"))</f>
        <v/>
      </c>
      <c r="K270" s="33">
        <f>IF(OR($D270="",$F270=""),"",IFERROR(IF(INDEX(RUNS!$L$6:$S$1005,MATCH($D270,RUNS!$A$6:$A$1005,0),MATCH("ACTIVITÉ "&amp;$F270,RUNS!$L$5:$S$5,0))="","",INDEX(RUNS!$L$6:$S$1005,MATCH($D270,RUNS!$A$6:$A$1005,0),MATCH("ACTIVITÉ "&amp;$F270,RUNS!$L$5:$S$5,0))),""))</f>
        <v/>
      </c>
      <c r="L270" s="33">
        <f>IF($D270="","",IFERROR(IF(INDEX(RUNS!$E$6:$E$1005,MATCH($D270,RUNS!$A$6:$A$1005,0))="","",INDEX(RUNS!$E$6:$E$1005,MATCH($D270,RUNS!$A$6:$A$1005,0))),""))</f>
        <v/>
      </c>
      <c r="M270" s="33">
        <f>IF($D270="","",IFERROR(IF(INDEX(RUNS!$F$6:$F$1005,MATCH($D270,RUNS!$A$6:$A$1005,0))="","",INDEX(RUNS!$F$6:$F$1005,MATCH($D270,RUNS!$A$6:$A$1005,0))),""))</f>
        <v/>
      </c>
      <c r="N270" s="33">
        <f>IF($D270="","",IFERROR(IF(INDEX(RUNS!$G$6:$G$1005,MATCH($D270,RUNS!$A$6:$A$1005,0))="","",INDEX(RUNS!$G$6:$G$1005,MATCH($D270,RUNS!$A$6:$A$1005,0))),""))</f>
        <v/>
      </c>
      <c r="O270" s="33">
        <f>IF($D270="","",IFERROR(IF(INDEX(RUNS!$H$6:$H$1005,MATCH($D270,RUNS!$A$6:$A$1005,0))="","",INDEX(RUNS!$H$6:$H$1005,MATCH($D270,RUNS!$A$6:$A$1005,0))),""))</f>
        <v/>
      </c>
      <c r="P270" s="33">
        <f>IF($D270="","",IFERROR(IF(INDEX(RUNS!$J$6:$J$1005,MATCH($D270,RUNS!$A$6:$A$1005,0))="","",INDEX(RUNS!$J$6:$J$1005,MATCH($D270,RUNS!$A$6:$A$1005,0))),""))</f>
        <v/>
      </c>
      <c r="Q270" s="33">
        <f>IF($D270="","",IFERROR(IF(INDEX(RUNS!$K$6:$K$1005,MATCH($D270,RUNS!$A$6:$A$1005,0))="","",INDEX(RUNS!$K$6:$K$1005,MATCH($D270,RUNS!$A$6:$A$1005,0))),""))</f>
        <v/>
      </c>
      <c r="R270" s="34">
        <f>IF(OR($L270="",$K270=""),"",IFERROR(IF(INDEX(PARAMETRES!$H$43:$H$342,MATCH($L270&amp;"|"&amp;$M270&amp;"|"&amp;$N270&amp;"|"&amp;$O270&amp;"|"&amp;$P270&amp;"|"&amp;$Q270&amp;"|"&amp;$K270,PARAMETRES!$J$43:$J$342,0))="","",INDEX(PARAMETRES!$H$43:$H$342,MATCH($L270&amp;"|"&amp;$M270&amp;"|"&amp;$N270&amp;"|"&amp;$O270&amp;"|"&amp;$P270&amp;"|"&amp;$Q270&amp;"|"&amp;$K270,PARAMETRES!$J$43:$J$342,0))),""))</f>
        <v/>
      </c>
      <c r="S270" s="35">
        <f>IF(OR($G270="",$X270&lt;&gt;"VALIDE"),"",IFERROR(LOOKUP(2,1/(($B$3:$B269=$B270)*($G$3:$G269=$G270)*($X$3:$X269="VALIDE")),$C$3:$C269),""))</f>
        <v/>
      </c>
      <c r="T270" s="36">
        <f>IF(OR($C270="",$S270=""),"",ROUND(($C270-$S270+IF($C270&lt;$S270,1,0))*1440,0))</f>
        <v/>
      </c>
      <c r="U270" s="22">
        <f>IF(OR($H270="",$T270="",$T270&lt;=0),"",$H270*60/$T270)</f>
        <v/>
      </c>
      <c r="V270" s="37">
        <f>IF(OR($U270="",$R270="",$R270=0),"",$U270/$R270)</f>
        <v/>
      </c>
      <c r="W270" s="20">
        <f>IF($G270="","",IF($X270="CONTEXTE INCOMPLET","CONTEXTE INCOMPLET",IF($X270="DOUBLON",StatutDoublon,IF($S270="",StatutInitial,IF($R270="",StatutStandardManquant,IF($V270="","DONNEES INSUFFISANTES",IF($V270&gt;=SeuilConforme,StatutConforme,IF($V270&gt;=SeuilSurveiller,StatutSurveiller,StatutSousStandard))))))))</f>
        <v/>
      </c>
      <c r="X270" s="33">
        <f>IF($G270="","",IF(OR($D270="",$E270="",$F270=""),"CONTEXTE INCOMPLET",IF(COUNTIFS($D$3:$D269,$D270,$E$3:$E269,$E270,$F$3:$F269,$F270,$G$3:$G269,$G270)&gt;0,"DOUBLON","VALIDE")))</f>
        <v/>
      </c>
    </row>
    <row r="271" ht="15" customHeight="1">
      <c r="A271" s="12">
        <f>IF(OR($B271="",$G271=""),"",TEXT($B271,"YYYYMMDD")&amp;"-"&amp;SUBSTITUTE($E271," ","")&amp;"-"&amp;$F271&amp;"-"&amp;$G271)</f>
        <v/>
      </c>
      <c r="B271" s="15" t="n"/>
      <c r="C271" s="16" t="n"/>
      <c r="D271" s="10" t="n"/>
      <c r="E271" s="9" t="n"/>
      <c r="F271" s="9" t="n"/>
      <c r="G271" s="13" t="n"/>
      <c r="H271" s="21" t="n"/>
      <c r="I271" s="21" t="n"/>
      <c r="J271" s="17">
        <f>IF($G271="","",IFERROR(INDEX(NomsEmployes,MATCH($G271,MatriculesEmployes,0)),"MATRICULE INCONNU"))</f>
        <v/>
      </c>
      <c r="K271" s="33">
        <f>IF(OR($D271="",$F271=""),"",IFERROR(IF(INDEX(RUNS!$L$6:$S$1005,MATCH($D271,RUNS!$A$6:$A$1005,0),MATCH("ACTIVITÉ "&amp;$F271,RUNS!$L$5:$S$5,0))="","",INDEX(RUNS!$L$6:$S$1005,MATCH($D271,RUNS!$A$6:$A$1005,0),MATCH("ACTIVITÉ "&amp;$F271,RUNS!$L$5:$S$5,0))),""))</f>
        <v/>
      </c>
      <c r="L271" s="33">
        <f>IF($D271="","",IFERROR(IF(INDEX(RUNS!$E$6:$E$1005,MATCH($D271,RUNS!$A$6:$A$1005,0))="","",INDEX(RUNS!$E$6:$E$1005,MATCH($D271,RUNS!$A$6:$A$1005,0))),""))</f>
        <v/>
      </c>
      <c r="M271" s="33">
        <f>IF($D271="","",IFERROR(IF(INDEX(RUNS!$F$6:$F$1005,MATCH($D271,RUNS!$A$6:$A$1005,0))="","",INDEX(RUNS!$F$6:$F$1005,MATCH($D271,RUNS!$A$6:$A$1005,0))),""))</f>
        <v/>
      </c>
      <c r="N271" s="33">
        <f>IF($D271="","",IFERROR(IF(INDEX(RUNS!$G$6:$G$1005,MATCH($D271,RUNS!$A$6:$A$1005,0))="","",INDEX(RUNS!$G$6:$G$1005,MATCH($D271,RUNS!$A$6:$A$1005,0))),""))</f>
        <v/>
      </c>
      <c r="O271" s="33">
        <f>IF($D271="","",IFERROR(IF(INDEX(RUNS!$H$6:$H$1005,MATCH($D271,RUNS!$A$6:$A$1005,0))="","",INDEX(RUNS!$H$6:$H$1005,MATCH($D271,RUNS!$A$6:$A$1005,0))),""))</f>
        <v/>
      </c>
      <c r="P271" s="33">
        <f>IF($D271="","",IFERROR(IF(INDEX(RUNS!$J$6:$J$1005,MATCH($D271,RUNS!$A$6:$A$1005,0))="","",INDEX(RUNS!$J$6:$J$1005,MATCH($D271,RUNS!$A$6:$A$1005,0))),""))</f>
        <v/>
      </c>
      <c r="Q271" s="33">
        <f>IF($D271="","",IFERROR(IF(INDEX(RUNS!$K$6:$K$1005,MATCH($D271,RUNS!$A$6:$A$1005,0))="","",INDEX(RUNS!$K$6:$K$1005,MATCH($D271,RUNS!$A$6:$A$1005,0))),""))</f>
        <v/>
      </c>
      <c r="R271" s="34">
        <f>IF(OR($L271="",$K271=""),"",IFERROR(IF(INDEX(PARAMETRES!$H$43:$H$342,MATCH($L271&amp;"|"&amp;$M271&amp;"|"&amp;$N271&amp;"|"&amp;$O271&amp;"|"&amp;$P271&amp;"|"&amp;$Q271&amp;"|"&amp;$K271,PARAMETRES!$J$43:$J$342,0))="","",INDEX(PARAMETRES!$H$43:$H$342,MATCH($L271&amp;"|"&amp;$M271&amp;"|"&amp;$N271&amp;"|"&amp;$O271&amp;"|"&amp;$P271&amp;"|"&amp;$Q271&amp;"|"&amp;$K271,PARAMETRES!$J$43:$J$342,0))),""))</f>
        <v/>
      </c>
      <c r="S271" s="35">
        <f>IF(OR($G271="",$X271&lt;&gt;"VALIDE"),"",IFERROR(LOOKUP(2,1/(($B$3:$B270=$B271)*($G$3:$G270=$G271)*($X$3:$X270="VALIDE")),$C$3:$C270),""))</f>
        <v/>
      </c>
      <c r="T271" s="36">
        <f>IF(OR($C271="",$S271=""),"",ROUND(($C271-$S271+IF($C271&lt;$S271,1,0))*1440,0))</f>
        <v/>
      </c>
      <c r="U271" s="22">
        <f>IF(OR($H271="",$T271="",$T271&lt;=0),"",$H271*60/$T271)</f>
        <v/>
      </c>
      <c r="V271" s="37">
        <f>IF(OR($U271="",$R271="",$R271=0),"",$U271/$R271)</f>
        <v/>
      </c>
      <c r="W271" s="20">
        <f>IF($G271="","",IF($X271="CONTEXTE INCOMPLET","CONTEXTE INCOMPLET",IF($X271="DOUBLON",StatutDoublon,IF($S271="",StatutInitial,IF($R271="",StatutStandardManquant,IF($V271="","DONNEES INSUFFISANTES",IF($V271&gt;=SeuilConforme,StatutConforme,IF($V271&gt;=SeuilSurveiller,StatutSurveiller,StatutSousStandard))))))))</f>
        <v/>
      </c>
      <c r="X271" s="33">
        <f>IF($G271="","",IF(OR($D271="",$E271="",$F271=""),"CONTEXTE INCOMPLET",IF(COUNTIFS($D$3:$D270,$D271,$E$3:$E270,$E271,$F$3:$F270,$F271,$G$3:$G270,$G271)&gt;0,"DOUBLON","VALIDE")))</f>
        <v/>
      </c>
    </row>
    <row r="272" ht="15" customHeight="1">
      <c r="A272" s="12">
        <f>IF(OR($B272="",$G272=""),"",TEXT($B272,"YYYYMMDD")&amp;"-"&amp;SUBSTITUTE($E272," ","")&amp;"-"&amp;$F272&amp;"-"&amp;$G272)</f>
        <v/>
      </c>
      <c r="B272" s="15" t="n"/>
      <c r="C272" s="16" t="n"/>
      <c r="D272" s="10" t="n"/>
      <c r="E272" s="9" t="n"/>
      <c r="F272" s="9" t="n"/>
      <c r="G272" s="13" t="n"/>
      <c r="H272" s="21" t="n"/>
      <c r="I272" s="21" t="n"/>
      <c r="J272" s="17">
        <f>IF($G272="","",IFERROR(INDEX(NomsEmployes,MATCH($G272,MatriculesEmployes,0)),"MATRICULE INCONNU"))</f>
        <v/>
      </c>
      <c r="K272" s="33">
        <f>IF(OR($D272="",$F272=""),"",IFERROR(IF(INDEX(RUNS!$L$6:$S$1005,MATCH($D272,RUNS!$A$6:$A$1005,0),MATCH("ACTIVITÉ "&amp;$F272,RUNS!$L$5:$S$5,0))="","",INDEX(RUNS!$L$6:$S$1005,MATCH($D272,RUNS!$A$6:$A$1005,0),MATCH("ACTIVITÉ "&amp;$F272,RUNS!$L$5:$S$5,0))),""))</f>
        <v/>
      </c>
      <c r="L272" s="33">
        <f>IF($D272="","",IFERROR(IF(INDEX(RUNS!$E$6:$E$1005,MATCH($D272,RUNS!$A$6:$A$1005,0))="","",INDEX(RUNS!$E$6:$E$1005,MATCH($D272,RUNS!$A$6:$A$1005,0))),""))</f>
        <v/>
      </c>
      <c r="M272" s="33">
        <f>IF($D272="","",IFERROR(IF(INDEX(RUNS!$F$6:$F$1005,MATCH($D272,RUNS!$A$6:$A$1005,0))="","",INDEX(RUNS!$F$6:$F$1005,MATCH($D272,RUNS!$A$6:$A$1005,0))),""))</f>
        <v/>
      </c>
      <c r="N272" s="33">
        <f>IF($D272="","",IFERROR(IF(INDEX(RUNS!$G$6:$G$1005,MATCH($D272,RUNS!$A$6:$A$1005,0))="","",INDEX(RUNS!$G$6:$G$1005,MATCH($D272,RUNS!$A$6:$A$1005,0))),""))</f>
        <v/>
      </c>
      <c r="O272" s="33">
        <f>IF($D272="","",IFERROR(IF(INDEX(RUNS!$H$6:$H$1005,MATCH($D272,RUNS!$A$6:$A$1005,0))="","",INDEX(RUNS!$H$6:$H$1005,MATCH($D272,RUNS!$A$6:$A$1005,0))),""))</f>
        <v/>
      </c>
      <c r="P272" s="33">
        <f>IF($D272="","",IFERROR(IF(INDEX(RUNS!$J$6:$J$1005,MATCH($D272,RUNS!$A$6:$A$1005,0))="","",INDEX(RUNS!$J$6:$J$1005,MATCH($D272,RUNS!$A$6:$A$1005,0))),""))</f>
        <v/>
      </c>
      <c r="Q272" s="33">
        <f>IF($D272="","",IFERROR(IF(INDEX(RUNS!$K$6:$K$1005,MATCH($D272,RUNS!$A$6:$A$1005,0))="","",INDEX(RUNS!$K$6:$K$1005,MATCH($D272,RUNS!$A$6:$A$1005,0))),""))</f>
        <v/>
      </c>
      <c r="R272" s="34">
        <f>IF(OR($L272="",$K272=""),"",IFERROR(IF(INDEX(PARAMETRES!$H$43:$H$342,MATCH($L272&amp;"|"&amp;$M272&amp;"|"&amp;$N272&amp;"|"&amp;$O272&amp;"|"&amp;$P272&amp;"|"&amp;$Q272&amp;"|"&amp;$K272,PARAMETRES!$J$43:$J$342,0))="","",INDEX(PARAMETRES!$H$43:$H$342,MATCH($L272&amp;"|"&amp;$M272&amp;"|"&amp;$N272&amp;"|"&amp;$O272&amp;"|"&amp;$P272&amp;"|"&amp;$Q272&amp;"|"&amp;$K272,PARAMETRES!$J$43:$J$342,0))),""))</f>
        <v/>
      </c>
      <c r="S272" s="35">
        <f>IF(OR($G272="",$X272&lt;&gt;"VALIDE"),"",IFERROR(LOOKUP(2,1/(($B$3:$B271=$B272)*($G$3:$G271=$G272)*($X$3:$X271="VALIDE")),$C$3:$C271),""))</f>
        <v/>
      </c>
      <c r="T272" s="36">
        <f>IF(OR($C272="",$S272=""),"",ROUND(($C272-$S272+IF($C272&lt;$S272,1,0))*1440,0))</f>
        <v/>
      </c>
      <c r="U272" s="22">
        <f>IF(OR($H272="",$T272="",$T272&lt;=0),"",$H272*60/$T272)</f>
        <v/>
      </c>
      <c r="V272" s="37">
        <f>IF(OR($U272="",$R272="",$R272=0),"",$U272/$R272)</f>
        <v/>
      </c>
      <c r="W272" s="20">
        <f>IF($G272="","",IF($X272="CONTEXTE INCOMPLET","CONTEXTE INCOMPLET",IF($X272="DOUBLON",StatutDoublon,IF($S272="",StatutInitial,IF($R272="",StatutStandardManquant,IF($V272="","DONNEES INSUFFISANTES",IF($V272&gt;=SeuilConforme,StatutConforme,IF($V272&gt;=SeuilSurveiller,StatutSurveiller,StatutSousStandard))))))))</f>
        <v/>
      </c>
      <c r="X272" s="33">
        <f>IF($G272="","",IF(OR($D272="",$E272="",$F272=""),"CONTEXTE INCOMPLET",IF(COUNTIFS($D$3:$D271,$D272,$E$3:$E271,$E272,$F$3:$F271,$F272,$G$3:$G271,$G272)&gt;0,"DOUBLON","VALIDE")))</f>
        <v/>
      </c>
    </row>
    <row r="273" ht="15" customHeight="1">
      <c r="A273" s="12">
        <f>IF(OR($B273="",$G273=""),"",TEXT($B273,"YYYYMMDD")&amp;"-"&amp;SUBSTITUTE($E273," ","")&amp;"-"&amp;$F273&amp;"-"&amp;$G273)</f>
        <v/>
      </c>
      <c r="B273" s="15" t="n"/>
      <c r="C273" s="16" t="n"/>
      <c r="D273" s="10" t="n"/>
      <c r="E273" s="9" t="n"/>
      <c r="F273" s="9" t="n"/>
      <c r="G273" s="13" t="n"/>
      <c r="H273" s="21" t="n"/>
      <c r="I273" s="21" t="n"/>
      <c r="J273" s="17">
        <f>IF($G273="","",IFERROR(INDEX(NomsEmployes,MATCH($G273,MatriculesEmployes,0)),"MATRICULE INCONNU"))</f>
        <v/>
      </c>
      <c r="K273" s="33">
        <f>IF(OR($D273="",$F273=""),"",IFERROR(IF(INDEX(RUNS!$L$6:$S$1005,MATCH($D273,RUNS!$A$6:$A$1005,0),MATCH("ACTIVITÉ "&amp;$F273,RUNS!$L$5:$S$5,0))="","",INDEX(RUNS!$L$6:$S$1005,MATCH($D273,RUNS!$A$6:$A$1005,0),MATCH("ACTIVITÉ "&amp;$F273,RUNS!$L$5:$S$5,0))),""))</f>
        <v/>
      </c>
      <c r="L273" s="33">
        <f>IF($D273="","",IFERROR(IF(INDEX(RUNS!$E$6:$E$1005,MATCH($D273,RUNS!$A$6:$A$1005,0))="","",INDEX(RUNS!$E$6:$E$1005,MATCH($D273,RUNS!$A$6:$A$1005,0))),""))</f>
        <v/>
      </c>
      <c r="M273" s="33">
        <f>IF($D273="","",IFERROR(IF(INDEX(RUNS!$F$6:$F$1005,MATCH($D273,RUNS!$A$6:$A$1005,0))="","",INDEX(RUNS!$F$6:$F$1005,MATCH($D273,RUNS!$A$6:$A$1005,0))),""))</f>
        <v/>
      </c>
      <c r="N273" s="33">
        <f>IF($D273="","",IFERROR(IF(INDEX(RUNS!$G$6:$G$1005,MATCH($D273,RUNS!$A$6:$A$1005,0))="","",INDEX(RUNS!$G$6:$G$1005,MATCH($D273,RUNS!$A$6:$A$1005,0))),""))</f>
        <v/>
      </c>
      <c r="O273" s="33">
        <f>IF($D273="","",IFERROR(IF(INDEX(RUNS!$H$6:$H$1005,MATCH($D273,RUNS!$A$6:$A$1005,0))="","",INDEX(RUNS!$H$6:$H$1005,MATCH($D273,RUNS!$A$6:$A$1005,0))),""))</f>
        <v/>
      </c>
      <c r="P273" s="33">
        <f>IF($D273="","",IFERROR(IF(INDEX(RUNS!$J$6:$J$1005,MATCH($D273,RUNS!$A$6:$A$1005,0))="","",INDEX(RUNS!$J$6:$J$1005,MATCH($D273,RUNS!$A$6:$A$1005,0))),""))</f>
        <v/>
      </c>
      <c r="Q273" s="33">
        <f>IF($D273="","",IFERROR(IF(INDEX(RUNS!$K$6:$K$1005,MATCH($D273,RUNS!$A$6:$A$1005,0))="","",INDEX(RUNS!$K$6:$K$1005,MATCH($D273,RUNS!$A$6:$A$1005,0))),""))</f>
        <v/>
      </c>
      <c r="R273" s="34">
        <f>IF(OR($L273="",$K273=""),"",IFERROR(IF(INDEX(PARAMETRES!$H$43:$H$342,MATCH($L273&amp;"|"&amp;$M273&amp;"|"&amp;$N273&amp;"|"&amp;$O273&amp;"|"&amp;$P273&amp;"|"&amp;$Q273&amp;"|"&amp;$K273,PARAMETRES!$J$43:$J$342,0))="","",INDEX(PARAMETRES!$H$43:$H$342,MATCH($L273&amp;"|"&amp;$M273&amp;"|"&amp;$N273&amp;"|"&amp;$O273&amp;"|"&amp;$P273&amp;"|"&amp;$Q273&amp;"|"&amp;$K273,PARAMETRES!$J$43:$J$342,0))),""))</f>
        <v/>
      </c>
      <c r="S273" s="35">
        <f>IF(OR($G273="",$X273&lt;&gt;"VALIDE"),"",IFERROR(LOOKUP(2,1/(($B$3:$B272=$B273)*($G$3:$G272=$G273)*($X$3:$X272="VALIDE")),$C$3:$C272),""))</f>
        <v/>
      </c>
      <c r="T273" s="36">
        <f>IF(OR($C273="",$S273=""),"",ROUND(($C273-$S273+IF($C273&lt;$S273,1,0))*1440,0))</f>
        <v/>
      </c>
      <c r="U273" s="22">
        <f>IF(OR($H273="",$T273="",$T273&lt;=0),"",$H273*60/$T273)</f>
        <v/>
      </c>
      <c r="V273" s="37">
        <f>IF(OR($U273="",$R273="",$R273=0),"",$U273/$R273)</f>
        <v/>
      </c>
      <c r="W273" s="20">
        <f>IF($G273="","",IF($X273="CONTEXTE INCOMPLET","CONTEXTE INCOMPLET",IF($X273="DOUBLON",StatutDoublon,IF($S273="",StatutInitial,IF($R273="",StatutStandardManquant,IF($V273="","DONNEES INSUFFISANTES",IF($V273&gt;=SeuilConforme,StatutConforme,IF($V273&gt;=SeuilSurveiller,StatutSurveiller,StatutSousStandard))))))))</f>
        <v/>
      </c>
      <c r="X273" s="33">
        <f>IF($G273="","",IF(OR($D273="",$E273="",$F273=""),"CONTEXTE INCOMPLET",IF(COUNTIFS($D$3:$D272,$D273,$E$3:$E272,$E273,$F$3:$F272,$F273,$G$3:$G272,$G273)&gt;0,"DOUBLON","VALIDE")))</f>
        <v/>
      </c>
    </row>
    <row r="274" ht="15" customHeight="1">
      <c r="A274" s="12">
        <f>IF(OR($B274="",$G274=""),"",TEXT($B274,"YYYYMMDD")&amp;"-"&amp;SUBSTITUTE($E274," ","")&amp;"-"&amp;$F274&amp;"-"&amp;$G274)</f>
        <v/>
      </c>
      <c r="B274" s="15" t="n"/>
      <c r="C274" s="16" t="n"/>
      <c r="D274" s="10" t="n"/>
      <c r="E274" s="9" t="n"/>
      <c r="F274" s="9" t="n"/>
      <c r="G274" s="13" t="n"/>
      <c r="H274" s="21" t="n"/>
      <c r="I274" s="21" t="n"/>
      <c r="J274" s="17">
        <f>IF($G274="","",IFERROR(INDEX(NomsEmployes,MATCH($G274,MatriculesEmployes,0)),"MATRICULE INCONNU"))</f>
        <v/>
      </c>
      <c r="K274" s="33">
        <f>IF(OR($D274="",$F274=""),"",IFERROR(IF(INDEX(RUNS!$L$6:$S$1005,MATCH($D274,RUNS!$A$6:$A$1005,0),MATCH("ACTIVITÉ "&amp;$F274,RUNS!$L$5:$S$5,0))="","",INDEX(RUNS!$L$6:$S$1005,MATCH($D274,RUNS!$A$6:$A$1005,0),MATCH("ACTIVITÉ "&amp;$F274,RUNS!$L$5:$S$5,0))),""))</f>
        <v/>
      </c>
      <c r="L274" s="33">
        <f>IF($D274="","",IFERROR(IF(INDEX(RUNS!$E$6:$E$1005,MATCH($D274,RUNS!$A$6:$A$1005,0))="","",INDEX(RUNS!$E$6:$E$1005,MATCH($D274,RUNS!$A$6:$A$1005,0))),""))</f>
        <v/>
      </c>
      <c r="M274" s="33">
        <f>IF($D274="","",IFERROR(IF(INDEX(RUNS!$F$6:$F$1005,MATCH($D274,RUNS!$A$6:$A$1005,0))="","",INDEX(RUNS!$F$6:$F$1005,MATCH($D274,RUNS!$A$6:$A$1005,0))),""))</f>
        <v/>
      </c>
      <c r="N274" s="33">
        <f>IF($D274="","",IFERROR(IF(INDEX(RUNS!$G$6:$G$1005,MATCH($D274,RUNS!$A$6:$A$1005,0))="","",INDEX(RUNS!$G$6:$G$1005,MATCH($D274,RUNS!$A$6:$A$1005,0))),""))</f>
        <v/>
      </c>
      <c r="O274" s="33">
        <f>IF($D274="","",IFERROR(IF(INDEX(RUNS!$H$6:$H$1005,MATCH($D274,RUNS!$A$6:$A$1005,0))="","",INDEX(RUNS!$H$6:$H$1005,MATCH($D274,RUNS!$A$6:$A$1005,0))),""))</f>
        <v/>
      </c>
      <c r="P274" s="33">
        <f>IF($D274="","",IFERROR(IF(INDEX(RUNS!$J$6:$J$1005,MATCH($D274,RUNS!$A$6:$A$1005,0))="","",INDEX(RUNS!$J$6:$J$1005,MATCH($D274,RUNS!$A$6:$A$1005,0))),""))</f>
        <v/>
      </c>
      <c r="Q274" s="33">
        <f>IF($D274="","",IFERROR(IF(INDEX(RUNS!$K$6:$K$1005,MATCH($D274,RUNS!$A$6:$A$1005,0))="","",INDEX(RUNS!$K$6:$K$1005,MATCH($D274,RUNS!$A$6:$A$1005,0))),""))</f>
        <v/>
      </c>
      <c r="R274" s="34">
        <f>IF(OR($L274="",$K274=""),"",IFERROR(IF(INDEX(PARAMETRES!$H$43:$H$342,MATCH($L274&amp;"|"&amp;$M274&amp;"|"&amp;$N274&amp;"|"&amp;$O274&amp;"|"&amp;$P274&amp;"|"&amp;$Q274&amp;"|"&amp;$K274,PARAMETRES!$J$43:$J$342,0))="","",INDEX(PARAMETRES!$H$43:$H$342,MATCH($L274&amp;"|"&amp;$M274&amp;"|"&amp;$N274&amp;"|"&amp;$O274&amp;"|"&amp;$P274&amp;"|"&amp;$Q274&amp;"|"&amp;$K274,PARAMETRES!$J$43:$J$342,0))),""))</f>
        <v/>
      </c>
      <c r="S274" s="35">
        <f>IF(OR($G274="",$X274&lt;&gt;"VALIDE"),"",IFERROR(LOOKUP(2,1/(($B$3:$B273=$B274)*($G$3:$G273=$G274)*($X$3:$X273="VALIDE")),$C$3:$C273),""))</f>
        <v/>
      </c>
      <c r="T274" s="36">
        <f>IF(OR($C274="",$S274=""),"",ROUND(($C274-$S274+IF($C274&lt;$S274,1,0))*1440,0))</f>
        <v/>
      </c>
      <c r="U274" s="22">
        <f>IF(OR($H274="",$T274="",$T274&lt;=0),"",$H274*60/$T274)</f>
        <v/>
      </c>
      <c r="V274" s="37">
        <f>IF(OR($U274="",$R274="",$R274=0),"",$U274/$R274)</f>
        <v/>
      </c>
      <c r="W274" s="20">
        <f>IF($G274="","",IF($X274="CONTEXTE INCOMPLET","CONTEXTE INCOMPLET",IF($X274="DOUBLON",StatutDoublon,IF($S274="",StatutInitial,IF($R274="",StatutStandardManquant,IF($V274="","DONNEES INSUFFISANTES",IF($V274&gt;=SeuilConforme,StatutConforme,IF($V274&gt;=SeuilSurveiller,StatutSurveiller,StatutSousStandard))))))))</f>
        <v/>
      </c>
      <c r="X274" s="33">
        <f>IF($G274="","",IF(OR($D274="",$E274="",$F274=""),"CONTEXTE INCOMPLET",IF(COUNTIFS($D$3:$D273,$D274,$E$3:$E273,$E274,$F$3:$F273,$F274,$G$3:$G273,$G274)&gt;0,"DOUBLON","VALIDE")))</f>
        <v/>
      </c>
    </row>
    <row r="275" ht="15" customHeight="1">
      <c r="A275" s="12">
        <f>IF(OR($B275="",$G275=""),"",TEXT($B275,"YYYYMMDD")&amp;"-"&amp;SUBSTITUTE($E275," ","")&amp;"-"&amp;$F275&amp;"-"&amp;$G275)</f>
        <v/>
      </c>
      <c r="B275" s="15" t="n"/>
      <c r="C275" s="16" t="n"/>
      <c r="D275" s="10" t="n"/>
      <c r="E275" s="9" t="n"/>
      <c r="F275" s="9" t="n"/>
      <c r="G275" s="13" t="n"/>
      <c r="H275" s="21" t="n"/>
      <c r="I275" s="21" t="n"/>
      <c r="J275" s="17">
        <f>IF($G275="","",IFERROR(INDEX(NomsEmployes,MATCH($G275,MatriculesEmployes,0)),"MATRICULE INCONNU"))</f>
        <v/>
      </c>
      <c r="K275" s="33">
        <f>IF(OR($D275="",$F275=""),"",IFERROR(IF(INDEX(RUNS!$L$6:$S$1005,MATCH($D275,RUNS!$A$6:$A$1005,0),MATCH("ACTIVITÉ "&amp;$F275,RUNS!$L$5:$S$5,0))="","",INDEX(RUNS!$L$6:$S$1005,MATCH($D275,RUNS!$A$6:$A$1005,0),MATCH("ACTIVITÉ "&amp;$F275,RUNS!$L$5:$S$5,0))),""))</f>
        <v/>
      </c>
      <c r="L275" s="33">
        <f>IF($D275="","",IFERROR(IF(INDEX(RUNS!$E$6:$E$1005,MATCH($D275,RUNS!$A$6:$A$1005,0))="","",INDEX(RUNS!$E$6:$E$1005,MATCH($D275,RUNS!$A$6:$A$1005,0))),""))</f>
        <v/>
      </c>
      <c r="M275" s="33">
        <f>IF($D275="","",IFERROR(IF(INDEX(RUNS!$F$6:$F$1005,MATCH($D275,RUNS!$A$6:$A$1005,0))="","",INDEX(RUNS!$F$6:$F$1005,MATCH($D275,RUNS!$A$6:$A$1005,0))),""))</f>
        <v/>
      </c>
      <c r="N275" s="33">
        <f>IF($D275="","",IFERROR(IF(INDEX(RUNS!$G$6:$G$1005,MATCH($D275,RUNS!$A$6:$A$1005,0))="","",INDEX(RUNS!$G$6:$G$1005,MATCH($D275,RUNS!$A$6:$A$1005,0))),""))</f>
        <v/>
      </c>
      <c r="O275" s="33">
        <f>IF($D275="","",IFERROR(IF(INDEX(RUNS!$H$6:$H$1005,MATCH($D275,RUNS!$A$6:$A$1005,0))="","",INDEX(RUNS!$H$6:$H$1005,MATCH($D275,RUNS!$A$6:$A$1005,0))),""))</f>
        <v/>
      </c>
      <c r="P275" s="33">
        <f>IF($D275="","",IFERROR(IF(INDEX(RUNS!$J$6:$J$1005,MATCH($D275,RUNS!$A$6:$A$1005,0))="","",INDEX(RUNS!$J$6:$J$1005,MATCH($D275,RUNS!$A$6:$A$1005,0))),""))</f>
        <v/>
      </c>
      <c r="Q275" s="33">
        <f>IF($D275="","",IFERROR(IF(INDEX(RUNS!$K$6:$K$1005,MATCH($D275,RUNS!$A$6:$A$1005,0))="","",INDEX(RUNS!$K$6:$K$1005,MATCH($D275,RUNS!$A$6:$A$1005,0))),""))</f>
        <v/>
      </c>
      <c r="R275" s="34">
        <f>IF(OR($L275="",$K275=""),"",IFERROR(IF(INDEX(PARAMETRES!$H$43:$H$342,MATCH($L275&amp;"|"&amp;$M275&amp;"|"&amp;$N275&amp;"|"&amp;$O275&amp;"|"&amp;$P275&amp;"|"&amp;$Q275&amp;"|"&amp;$K275,PARAMETRES!$J$43:$J$342,0))="","",INDEX(PARAMETRES!$H$43:$H$342,MATCH($L275&amp;"|"&amp;$M275&amp;"|"&amp;$N275&amp;"|"&amp;$O275&amp;"|"&amp;$P275&amp;"|"&amp;$Q275&amp;"|"&amp;$K275,PARAMETRES!$J$43:$J$342,0))),""))</f>
        <v/>
      </c>
      <c r="S275" s="35">
        <f>IF(OR($G275="",$X275&lt;&gt;"VALIDE"),"",IFERROR(LOOKUP(2,1/(($B$3:$B274=$B275)*($G$3:$G274=$G275)*($X$3:$X274="VALIDE")),$C$3:$C274),""))</f>
        <v/>
      </c>
      <c r="T275" s="36">
        <f>IF(OR($C275="",$S275=""),"",ROUND(($C275-$S275+IF($C275&lt;$S275,1,0))*1440,0))</f>
        <v/>
      </c>
      <c r="U275" s="22">
        <f>IF(OR($H275="",$T275="",$T275&lt;=0),"",$H275*60/$T275)</f>
        <v/>
      </c>
      <c r="V275" s="37">
        <f>IF(OR($U275="",$R275="",$R275=0),"",$U275/$R275)</f>
        <v/>
      </c>
      <c r="W275" s="20">
        <f>IF($G275="","",IF($X275="CONTEXTE INCOMPLET","CONTEXTE INCOMPLET",IF($X275="DOUBLON",StatutDoublon,IF($S275="",StatutInitial,IF($R275="",StatutStandardManquant,IF($V275="","DONNEES INSUFFISANTES",IF($V275&gt;=SeuilConforme,StatutConforme,IF($V275&gt;=SeuilSurveiller,StatutSurveiller,StatutSousStandard))))))))</f>
        <v/>
      </c>
      <c r="X275" s="33">
        <f>IF($G275="","",IF(OR($D275="",$E275="",$F275=""),"CONTEXTE INCOMPLET",IF(COUNTIFS($D$3:$D274,$D275,$E$3:$E274,$E275,$F$3:$F274,$F275,$G$3:$G274,$G275)&gt;0,"DOUBLON","VALIDE")))</f>
        <v/>
      </c>
    </row>
    <row r="276" ht="15" customHeight="1">
      <c r="A276" s="12">
        <f>IF(OR($B276="",$G276=""),"",TEXT($B276,"YYYYMMDD")&amp;"-"&amp;SUBSTITUTE($E276," ","")&amp;"-"&amp;$F276&amp;"-"&amp;$G276)</f>
        <v/>
      </c>
      <c r="B276" s="15" t="n"/>
      <c r="C276" s="16" t="n"/>
      <c r="D276" s="10" t="n"/>
      <c r="E276" s="9" t="n"/>
      <c r="F276" s="9" t="n"/>
      <c r="G276" s="13" t="n"/>
      <c r="H276" s="21" t="n"/>
      <c r="I276" s="21" t="n"/>
      <c r="J276" s="17">
        <f>IF($G276="","",IFERROR(INDEX(NomsEmployes,MATCH($G276,MatriculesEmployes,0)),"MATRICULE INCONNU"))</f>
        <v/>
      </c>
      <c r="K276" s="33">
        <f>IF(OR($D276="",$F276=""),"",IFERROR(IF(INDEX(RUNS!$L$6:$S$1005,MATCH($D276,RUNS!$A$6:$A$1005,0),MATCH("ACTIVITÉ "&amp;$F276,RUNS!$L$5:$S$5,0))="","",INDEX(RUNS!$L$6:$S$1005,MATCH($D276,RUNS!$A$6:$A$1005,0),MATCH("ACTIVITÉ "&amp;$F276,RUNS!$L$5:$S$5,0))),""))</f>
        <v/>
      </c>
      <c r="L276" s="33">
        <f>IF($D276="","",IFERROR(IF(INDEX(RUNS!$E$6:$E$1005,MATCH($D276,RUNS!$A$6:$A$1005,0))="","",INDEX(RUNS!$E$6:$E$1005,MATCH($D276,RUNS!$A$6:$A$1005,0))),""))</f>
        <v/>
      </c>
      <c r="M276" s="33">
        <f>IF($D276="","",IFERROR(IF(INDEX(RUNS!$F$6:$F$1005,MATCH($D276,RUNS!$A$6:$A$1005,0))="","",INDEX(RUNS!$F$6:$F$1005,MATCH($D276,RUNS!$A$6:$A$1005,0))),""))</f>
        <v/>
      </c>
      <c r="N276" s="33">
        <f>IF($D276="","",IFERROR(IF(INDEX(RUNS!$G$6:$G$1005,MATCH($D276,RUNS!$A$6:$A$1005,0))="","",INDEX(RUNS!$G$6:$G$1005,MATCH($D276,RUNS!$A$6:$A$1005,0))),""))</f>
        <v/>
      </c>
      <c r="O276" s="33">
        <f>IF($D276="","",IFERROR(IF(INDEX(RUNS!$H$6:$H$1005,MATCH($D276,RUNS!$A$6:$A$1005,0))="","",INDEX(RUNS!$H$6:$H$1005,MATCH($D276,RUNS!$A$6:$A$1005,0))),""))</f>
        <v/>
      </c>
      <c r="P276" s="33">
        <f>IF($D276="","",IFERROR(IF(INDEX(RUNS!$J$6:$J$1005,MATCH($D276,RUNS!$A$6:$A$1005,0))="","",INDEX(RUNS!$J$6:$J$1005,MATCH($D276,RUNS!$A$6:$A$1005,0))),""))</f>
        <v/>
      </c>
      <c r="Q276" s="33">
        <f>IF($D276="","",IFERROR(IF(INDEX(RUNS!$K$6:$K$1005,MATCH($D276,RUNS!$A$6:$A$1005,0))="","",INDEX(RUNS!$K$6:$K$1005,MATCH($D276,RUNS!$A$6:$A$1005,0))),""))</f>
        <v/>
      </c>
      <c r="R276" s="34">
        <f>IF(OR($L276="",$K276=""),"",IFERROR(IF(INDEX(PARAMETRES!$H$43:$H$342,MATCH($L276&amp;"|"&amp;$M276&amp;"|"&amp;$N276&amp;"|"&amp;$O276&amp;"|"&amp;$P276&amp;"|"&amp;$Q276&amp;"|"&amp;$K276,PARAMETRES!$J$43:$J$342,0))="","",INDEX(PARAMETRES!$H$43:$H$342,MATCH($L276&amp;"|"&amp;$M276&amp;"|"&amp;$N276&amp;"|"&amp;$O276&amp;"|"&amp;$P276&amp;"|"&amp;$Q276&amp;"|"&amp;$K276,PARAMETRES!$J$43:$J$342,0))),""))</f>
        <v/>
      </c>
      <c r="S276" s="35">
        <f>IF(OR($G276="",$X276&lt;&gt;"VALIDE"),"",IFERROR(LOOKUP(2,1/(($B$3:$B275=$B276)*($G$3:$G275=$G276)*($X$3:$X275="VALIDE")),$C$3:$C275),""))</f>
        <v/>
      </c>
      <c r="T276" s="36">
        <f>IF(OR($C276="",$S276=""),"",ROUND(($C276-$S276+IF($C276&lt;$S276,1,0))*1440,0))</f>
        <v/>
      </c>
      <c r="U276" s="22">
        <f>IF(OR($H276="",$T276="",$T276&lt;=0),"",$H276*60/$T276)</f>
        <v/>
      </c>
      <c r="V276" s="37">
        <f>IF(OR($U276="",$R276="",$R276=0),"",$U276/$R276)</f>
        <v/>
      </c>
      <c r="W276" s="20">
        <f>IF($G276="","",IF($X276="CONTEXTE INCOMPLET","CONTEXTE INCOMPLET",IF($X276="DOUBLON",StatutDoublon,IF($S276="",StatutInitial,IF($R276="",StatutStandardManquant,IF($V276="","DONNEES INSUFFISANTES",IF($V276&gt;=SeuilConforme,StatutConforme,IF($V276&gt;=SeuilSurveiller,StatutSurveiller,StatutSousStandard))))))))</f>
        <v/>
      </c>
      <c r="X276" s="33">
        <f>IF($G276="","",IF(OR($D276="",$E276="",$F276=""),"CONTEXTE INCOMPLET",IF(COUNTIFS($D$3:$D275,$D276,$E$3:$E275,$E276,$F$3:$F275,$F276,$G$3:$G275,$G276)&gt;0,"DOUBLON","VALIDE")))</f>
        <v/>
      </c>
    </row>
    <row r="277" ht="15" customHeight="1">
      <c r="A277" s="12">
        <f>IF(OR($B277="",$G277=""),"",TEXT($B277,"YYYYMMDD")&amp;"-"&amp;SUBSTITUTE($E277," ","")&amp;"-"&amp;$F277&amp;"-"&amp;$G277)</f>
        <v/>
      </c>
      <c r="B277" s="15" t="n"/>
      <c r="C277" s="16" t="n"/>
      <c r="D277" s="10" t="n"/>
      <c r="E277" s="9" t="n"/>
      <c r="F277" s="9" t="n"/>
      <c r="G277" s="13" t="n"/>
      <c r="H277" s="21" t="n"/>
      <c r="I277" s="21" t="n"/>
      <c r="J277" s="17">
        <f>IF($G277="","",IFERROR(INDEX(NomsEmployes,MATCH($G277,MatriculesEmployes,0)),"MATRICULE INCONNU"))</f>
        <v/>
      </c>
      <c r="K277" s="33">
        <f>IF(OR($D277="",$F277=""),"",IFERROR(IF(INDEX(RUNS!$L$6:$S$1005,MATCH($D277,RUNS!$A$6:$A$1005,0),MATCH("ACTIVITÉ "&amp;$F277,RUNS!$L$5:$S$5,0))="","",INDEX(RUNS!$L$6:$S$1005,MATCH($D277,RUNS!$A$6:$A$1005,0),MATCH("ACTIVITÉ "&amp;$F277,RUNS!$L$5:$S$5,0))),""))</f>
        <v/>
      </c>
      <c r="L277" s="33">
        <f>IF($D277="","",IFERROR(IF(INDEX(RUNS!$E$6:$E$1005,MATCH($D277,RUNS!$A$6:$A$1005,0))="","",INDEX(RUNS!$E$6:$E$1005,MATCH($D277,RUNS!$A$6:$A$1005,0))),""))</f>
        <v/>
      </c>
      <c r="M277" s="33">
        <f>IF($D277="","",IFERROR(IF(INDEX(RUNS!$F$6:$F$1005,MATCH($D277,RUNS!$A$6:$A$1005,0))="","",INDEX(RUNS!$F$6:$F$1005,MATCH($D277,RUNS!$A$6:$A$1005,0))),""))</f>
        <v/>
      </c>
      <c r="N277" s="33">
        <f>IF($D277="","",IFERROR(IF(INDEX(RUNS!$G$6:$G$1005,MATCH($D277,RUNS!$A$6:$A$1005,0))="","",INDEX(RUNS!$G$6:$G$1005,MATCH($D277,RUNS!$A$6:$A$1005,0))),""))</f>
        <v/>
      </c>
      <c r="O277" s="33">
        <f>IF($D277="","",IFERROR(IF(INDEX(RUNS!$H$6:$H$1005,MATCH($D277,RUNS!$A$6:$A$1005,0))="","",INDEX(RUNS!$H$6:$H$1005,MATCH($D277,RUNS!$A$6:$A$1005,0))),""))</f>
        <v/>
      </c>
      <c r="P277" s="33">
        <f>IF($D277="","",IFERROR(IF(INDEX(RUNS!$J$6:$J$1005,MATCH($D277,RUNS!$A$6:$A$1005,0))="","",INDEX(RUNS!$J$6:$J$1005,MATCH($D277,RUNS!$A$6:$A$1005,0))),""))</f>
        <v/>
      </c>
      <c r="Q277" s="33">
        <f>IF($D277="","",IFERROR(IF(INDEX(RUNS!$K$6:$K$1005,MATCH($D277,RUNS!$A$6:$A$1005,0))="","",INDEX(RUNS!$K$6:$K$1005,MATCH($D277,RUNS!$A$6:$A$1005,0))),""))</f>
        <v/>
      </c>
      <c r="R277" s="34">
        <f>IF(OR($L277="",$K277=""),"",IFERROR(IF(INDEX(PARAMETRES!$H$43:$H$342,MATCH($L277&amp;"|"&amp;$M277&amp;"|"&amp;$N277&amp;"|"&amp;$O277&amp;"|"&amp;$P277&amp;"|"&amp;$Q277&amp;"|"&amp;$K277,PARAMETRES!$J$43:$J$342,0))="","",INDEX(PARAMETRES!$H$43:$H$342,MATCH($L277&amp;"|"&amp;$M277&amp;"|"&amp;$N277&amp;"|"&amp;$O277&amp;"|"&amp;$P277&amp;"|"&amp;$Q277&amp;"|"&amp;$K277,PARAMETRES!$J$43:$J$342,0))),""))</f>
        <v/>
      </c>
      <c r="S277" s="35">
        <f>IF(OR($G277="",$X277&lt;&gt;"VALIDE"),"",IFERROR(LOOKUP(2,1/(($B$3:$B276=$B277)*($G$3:$G276=$G277)*($X$3:$X276="VALIDE")),$C$3:$C276),""))</f>
        <v/>
      </c>
      <c r="T277" s="36">
        <f>IF(OR($C277="",$S277=""),"",ROUND(($C277-$S277+IF($C277&lt;$S277,1,0))*1440,0))</f>
        <v/>
      </c>
      <c r="U277" s="22">
        <f>IF(OR($H277="",$T277="",$T277&lt;=0),"",$H277*60/$T277)</f>
        <v/>
      </c>
      <c r="V277" s="37">
        <f>IF(OR($U277="",$R277="",$R277=0),"",$U277/$R277)</f>
        <v/>
      </c>
      <c r="W277" s="20">
        <f>IF($G277="","",IF($X277="CONTEXTE INCOMPLET","CONTEXTE INCOMPLET",IF($X277="DOUBLON",StatutDoublon,IF($S277="",StatutInitial,IF($R277="",StatutStandardManquant,IF($V277="","DONNEES INSUFFISANTES",IF($V277&gt;=SeuilConforme,StatutConforme,IF($V277&gt;=SeuilSurveiller,StatutSurveiller,StatutSousStandard))))))))</f>
        <v/>
      </c>
      <c r="X277" s="33">
        <f>IF($G277="","",IF(OR($D277="",$E277="",$F277=""),"CONTEXTE INCOMPLET",IF(COUNTIFS($D$3:$D276,$D277,$E$3:$E276,$E277,$F$3:$F276,$F277,$G$3:$G276,$G277)&gt;0,"DOUBLON","VALIDE")))</f>
        <v/>
      </c>
    </row>
    <row r="278" ht="15" customHeight="1">
      <c r="A278" s="12">
        <f>IF(OR($B278="",$G278=""),"",TEXT($B278,"YYYYMMDD")&amp;"-"&amp;SUBSTITUTE($E278," ","")&amp;"-"&amp;$F278&amp;"-"&amp;$G278)</f>
        <v/>
      </c>
      <c r="B278" s="15" t="n"/>
      <c r="C278" s="16" t="n"/>
      <c r="D278" s="10" t="n"/>
      <c r="E278" s="9" t="n"/>
      <c r="F278" s="9" t="n"/>
      <c r="G278" s="13" t="n"/>
      <c r="H278" s="21" t="n"/>
      <c r="I278" s="21" t="n"/>
      <c r="J278" s="17">
        <f>IF($G278="","",IFERROR(INDEX(NomsEmployes,MATCH($G278,MatriculesEmployes,0)),"MATRICULE INCONNU"))</f>
        <v/>
      </c>
      <c r="K278" s="33">
        <f>IF(OR($D278="",$F278=""),"",IFERROR(IF(INDEX(RUNS!$L$6:$S$1005,MATCH($D278,RUNS!$A$6:$A$1005,0),MATCH("ACTIVITÉ "&amp;$F278,RUNS!$L$5:$S$5,0))="","",INDEX(RUNS!$L$6:$S$1005,MATCH($D278,RUNS!$A$6:$A$1005,0),MATCH("ACTIVITÉ "&amp;$F278,RUNS!$L$5:$S$5,0))),""))</f>
        <v/>
      </c>
      <c r="L278" s="33">
        <f>IF($D278="","",IFERROR(IF(INDEX(RUNS!$E$6:$E$1005,MATCH($D278,RUNS!$A$6:$A$1005,0))="","",INDEX(RUNS!$E$6:$E$1005,MATCH($D278,RUNS!$A$6:$A$1005,0))),""))</f>
        <v/>
      </c>
      <c r="M278" s="33">
        <f>IF($D278="","",IFERROR(IF(INDEX(RUNS!$F$6:$F$1005,MATCH($D278,RUNS!$A$6:$A$1005,0))="","",INDEX(RUNS!$F$6:$F$1005,MATCH($D278,RUNS!$A$6:$A$1005,0))),""))</f>
        <v/>
      </c>
      <c r="N278" s="33">
        <f>IF($D278="","",IFERROR(IF(INDEX(RUNS!$G$6:$G$1005,MATCH($D278,RUNS!$A$6:$A$1005,0))="","",INDEX(RUNS!$G$6:$G$1005,MATCH($D278,RUNS!$A$6:$A$1005,0))),""))</f>
        <v/>
      </c>
      <c r="O278" s="33">
        <f>IF($D278="","",IFERROR(IF(INDEX(RUNS!$H$6:$H$1005,MATCH($D278,RUNS!$A$6:$A$1005,0))="","",INDEX(RUNS!$H$6:$H$1005,MATCH($D278,RUNS!$A$6:$A$1005,0))),""))</f>
        <v/>
      </c>
      <c r="P278" s="33">
        <f>IF($D278="","",IFERROR(IF(INDEX(RUNS!$J$6:$J$1005,MATCH($D278,RUNS!$A$6:$A$1005,0))="","",INDEX(RUNS!$J$6:$J$1005,MATCH($D278,RUNS!$A$6:$A$1005,0))),""))</f>
        <v/>
      </c>
      <c r="Q278" s="33">
        <f>IF($D278="","",IFERROR(IF(INDEX(RUNS!$K$6:$K$1005,MATCH($D278,RUNS!$A$6:$A$1005,0))="","",INDEX(RUNS!$K$6:$K$1005,MATCH($D278,RUNS!$A$6:$A$1005,0))),""))</f>
        <v/>
      </c>
      <c r="R278" s="34">
        <f>IF(OR($L278="",$K278=""),"",IFERROR(IF(INDEX(PARAMETRES!$H$43:$H$342,MATCH($L278&amp;"|"&amp;$M278&amp;"|"&amp;$N278&amp;"|"&amp;$O278&amp;"|"&amp;$P278&amp;"|"&amp;$Q278&amp;"|"&amp;$K278,PARAMETRES!$J$43:$J$342,0))="","",INDEX(PARAMETRES!$H$43:$H$342,MATCH($L278&amp;"|"&amp;$M278&amp;"|"&amp;$N278&amp;"|"&amp;$O278&amp;"|"&amp;$P278&amp;"|"&amp;$Q278&amp;"|"&amp;$K278,PARAMETRES!$J$43:$J$342,0))),""))</f>
        <v/>
      </c>
      <c r="S278" s="35">
        <f>IF(OR($G278="",$X278&lt;&gt;"VALIDE"),"",IFERROR(LOOKUP(2,1/(($B$3:$B277=$B278)*($G$3:$G277=$G278)*($X$3:$X277="VALIDE")),$C$3:$C277),""))</f>
        <v/>
      </c>
      <c r="T278" s="36">
        <f>IF(OR($C278="",$S278=""),"",ROUND(($C278-$S278+IF($C278&lt;$S278,1,0))*1440,0))</f>
        <v/>
      </c>
      <c r="U278" s="22">
        <f>IF(OR($H278="",$T278="",$T278&lt;=0),"",$H278*60/$T278)</f>
        <v/>
      </c>
      <c r="V278" s="37">
        <f>IF(OR($U278="",$R278="",$R278=0),"",$U278/$R278)</f>
        <v/>
      </c>
      <c r="W278" s="20">
        <f>IF($G278="","",IF($X278="CONTEXTE INCOMPLET","CONTEXTE INCOMPLET",IF($X278="DOUBLON",StatutDoublon,IF($S278="",StatutInitial,IF($R278="",StatutStandardManquant,IF($V278="","DONNEES INSUFFISANTES",IF($V278&gt;=SeuilConforme,StatutConforme,IF($V278&gt;=SeuilSurveiller,StatutSurveiller,StatutSousStandard))))))))</f>
        <v/>
      </c>
      <c r="X278" s="33">
        <f>IF($G278="","",IF(OR($D278="",$E278="",$F278=""),"CONTEXTE INCOMPLET",IF(COUNTIFS($D$3:$D277,$D278,$E$3:$E277,$E278,$F$3:$F277,$F278,$G$3:$G277,$G278)&gt;0,"DOUBLON","VALIDE")))</f>
        <v/>
      </c>
    </row>
    <row r="279" ht="15" customHeight="1">
      <c r="A279" s="12">
        <f>IF(OR($B279="",$G279=""),"",TEXT($B279,"YYYYMMDD")&amp;"-"&amp;SUBSTITUTE($E279," ","")&amp;"-"&amp;$F279&amp;"-"&amp;$G279)</f>
        <v/>
      </c>
      <c r="B279" s="15" t="n"/>
      <c r="C279" s="16" t="n"/>
      <c r="D279" s="10" t="n"/>
      <c r="E279" s="9" t="n"/>
      <c r="F279" s="9" t="n"/>
      <c r="G279" s="13" t="n"/>
      <c r="H279" s="21" t="n"/>
      <c r="I279" s="21" t="n"/>
      <c r="J279" s="17">
        <f>IF($G279="","",IFERROR(INDEX(NomsEmployes,MATCH($G279,MatriculesEmployes,0)),"MATRICULE INCONNU"))</f>
        <v/>
      </c>
      <c r="K279" s="33">
        <f>IF(OR($D279="",$F279=""),"",IFERROR(IF(INDEX(RUNS!$L$6:$S$1005,MATCH($D279,RUNS!$A$6:$A$1005,0),MATCH("ACTIVITÉ "&amp;$F279,RUNS!$L$5:$S$5,0))="","",INDEX(RUNS!$L$6:$S$1005,MATCH($D279,RUNS!$A$6:$A$1005,0),MATCH("ACTIVITÉ "&amp;$F279,RUNS!$L$5:$S$5,0))),""))</f>
        <v/>
      </c>
      <c r="L279" s="33">
        <f>IF($D279="","",IFERROR(IF(INDEX(RUNS!$E$6:$E$1005,MATCH($D279,RUNS!$A$6:$A$1005,0))="","",INDEX(RUNS!$E$6:$E$1005,MATCH($D279,RUNS!$A$6:$A$1005,0))),""))</f>
        <v/>
      </c>
      <c r="M279" s="33">
        <f>IF($D279="","",IFERROR(IF(INDEX(RUNS!$F$6:$F$1005,MATCH($D279,RUNS!$A$6:$A$1005,0))="","",INDEX(RUNS!$F$6:$F$1005,MATCH($D279,RUNS!$A$6:$A$1005,0))),""))</f>
        <v/>
      </c>
      <c r="N279" s="33">
        <f>IF($D279="","",IFERROR(IF(INDEX(RUNS!$G$6:$G$1005,MATCH($D279,RUNS!$A$6:$A$1005,0))="","",INDEX(RUNS!$G$6:$G$1005,MATCH($D279,RUNS!$A$6:$A$1005,0))),""))</f>
        <v/>
      </c>
      <c r="O279" s="33">
        <f>IF($D279="","",IFERROR(IF(INDEX(RUNS!$H$6:$H$1005,MATCH($D279,RUNS!$A$6:$A$1005,0))="","",INDEX(RUNS!$H$6:$H$1005,MATCH($D279,RUNS!$A$6:$A$1005,0))),""))</f>
        <v/>
      </c>
      <c r="P279" s="33">
        <f>IF($D279="","",IFERROR(IF(INDEX(RUNS!$J$6:$J$1005,MATCH($D279,RUNS!$A$6:$A$1005,0))="","",INDEX(RUNS!$J$6:$J$1005,MATCH($D279,RUNS!$A$6:$A$1005,0))),""))</f>
        <v/>
      </c>
      <c r="Q279" s="33">
        <f>IF($D279="","",IFERROR(IF(INDEX(RUNS!$K$6:$K$1005,MATCH($D279,RUNS!$A$6:$A$1005,0))="","",INDEX(RUNS!$K$6:$K$1005,MATCH($D279,RUNS!$A$6:$A$1005,0))),""))</f>
        <v/>
      </c>
      <c r="R279" s="34">
        <f>IF(OR($L279="",$K279=""),"",IFERROR(IF(INDEX(PARAMETRES!$H$43:$H$342,MATCH($L279&amp;"|"&amp;$M279&amp;"|"&amp;$N279&amp;"|"&amp;$O279&amp;"|"&amp;$P279&amp;"|"&amp;$Q279&amp;"|"&amp;$K279,PARAMETRES!$J$43:$J$342,0))="","",INDEX(PARAMETRES!$H$43:$H$342,MATCH($L279&amp;"|"&amp;$M279&amp;"|"&amp;$N279&amp;"|"&amp;$O279&amp;"|"&amp;$P279&amp;"|"&amp;$Q279&amp;"|"&amp;$K279,PARAMETRES!$J$43:$J$342,0))),""))</f>
        <v/>
      </c>
      <c r="S279" s="35">
        <f>IF(OR($G279="",$X279&lt;&gt;"VALIDE"),"",IFERROR(LOOKUP(2,1/(($B$3:$B278=$B279)*($G$3:$G278=$G279)*($X$3:$X278="VALIDE")),$C$3:$C278),""))</f>
        <v/>
      </c>
      <c r="T279" s="36">
        <f>IF(OR($C279="",$S279=""),"",ROUND(($C279-$S279+IF($C279&lt;$S279,1,0))*1440,0))</f>
        <v/>
      </c>
      <c r="U279" s="22">
        <f>IF(OR($H279="",$T279="",$T279&lt;=0),"",$H279*60/$T279)</f>
        <v/>
      </c>
      <c r="V279" s="37">
        <f>IF(OR($U279="",$R279="",$R279=0),"",$U279/$R279)</f>
        <v/>
      </c>
      <c r="W279" s="20">
        <f>IF($G279="","",IF($X279="CONTEXTE INCOMPLET","CONTEXTE INCOMPLET",IF($X279="DOUBLON",StatutDoublon,IF($S279="",StatutInitial,IF($R279="",StatutStandardManquant,IF($V279="","DONNEES INSUFFISANTES",IF($V279&gt;=SeuilConforme,StatutConforme,IF($V279&gt;=SeuilSurveiller,StatutSurveiller,StatutSousStandard))))))))</f>
        <v/>
      </c>
      <c r="X279" s="33">
        <f>IF($G279="","",IF(OR($D279="",$E279="",$F279=""),"CONTEXTE INCOMPLET",IF(COUNTIFS($D$3:$D278,$D279,$E$3:$E278,$E279,$F$3:$F278,$F279,$G$3:$G278,$G279)&gt;0,"DOUBLON","VALIDE")))</f>
        <v/>
      </c>
    </row>
    <row r="280" ht="15" customHeight="1">
      <c r="A280" s="12">
        <f>IF(OR($B280="",$G280=""),"",TEXT($B280,"YYYYMMDD")&amp;"-"&amp;SUBSTITUTE($E280," ","")&amp;"-"&amp;$F280&amp;"-"&amp;$G280)</f>
        <v/>
      </c>
      <c r="B280" s="15" t="n"/>
      <c r="C280" s="16" t="n"/>
      <c r="D280" s="10" t="n"/>
      <c r="E280" s="9" t="n"/>
      <c r="F280" s="9" t="n"/>
      <c r="G280" s="13" t="n"/>
      <c r="H280" s="21" t="n"/>
      <c r="I280" s="21" t="n"/>
      <c r="J280" s="17">
        <f>IF($G280="","",IFERROR(INDEX(NomsEmployes,MATCH($G280,MatriculesEmployes,0)),"MATRICULE INCONNU"))</f>
        <v/>
      </c>
      <c r="K280" s="33">
        <f>IF(OR($D280="",$F280=""),"",IFERROR(IF(INDEX(RUNS!$L$6:$S$1005,MATCH($D280,RUNS!$A$6:$A$1005,0),MATCH("ACTIVITÉ "&amp;$F280,RUNS!$L$5:$S$5,0))="","",INDEX(RUNS!$L$6:$S$1005,MATCH($D280,RUNS!$A$6:$A$1005,0),MATCH("ACTIVITÉ "&amp;$F280,RUNS!$L$5:$S$5,0))),""))</f>
        <v/>
      </c>
      <c r="L280" s="33">
        <f>IF($D280="","",IFERROR(IF(INDEX(RUNS!$E$6:$E$1005,MATCH($D280,RUNS!$A$6:$A$1005,0))="","",INDEX(RUNS!$E$6:$E$1005,MATCH($D280,RUNS!$A$6:$A$1005,0))),""))</f>
        <v/>
      </c>
      <c r="M280" s="33">
        <f>IF($D280="","",IFERROR(IF(INDEX(RUNS!$F$6:$F$1005,MATCH($D280,RUNS!$A$6:$A$1005,0))="","",INDEX(RUNS!$F$6:$F$1005,MATCH($D280,RUNS!$A$6:$A$1005,0))),""))</f>
        <v/>
      </c>
      <c r="N280" s="33">
        <f>IF($D280="","",IFERROR(IF(INDEX(RUNS!$G$6:$G$1005,MATCH($D280,RUNS!$A$6:$A$1005,0))="","",INDEX(RUNS!$G$6:$G$1005,MATCH($D280,RUNS!$A$6:$A$1005,0))),""))</f>
        <v/>
      </c>
      <c r="O280" s="33">
        <f>IF($D280="","",IFERROR(IF(INDEX(RUNS!$H$6:$H$1005,MATCH($D280,RUNS!$A$6:$A$1005,0))="","",INDEX(RUNS!$H$6:$H$1005,MATCH($D280,RUNS!$A$6:$A$1005,0))),""))</f>
        <v/>
      </c>
      <c r="P280" s="33">
        <f>IF($D280="","",IFERROR(IF(INDEX(RUNS!$J$6:$J$1005,MATCH($D280,RUNS!$A$6:$A$1005,0))="","",INDEX(RUNS!$J$6:$J$1005,MATCH($D280,RUNS!$A$6:$A$1005,0))),""))</f>
        <v/>
      </c>
      <c r="Q280" s="33">
        <f>IF($D280="","",IFERROR(IF(INDEX(RUNS!$K$6:$K$1005,MATCH($D280,RUNS!$A$6:$A$1005,0))="","",INDEX(RUNS!$K$6:$K$1005,MATCH($D280,RUNS!$A$6:$A$1005,0))),""))</f>
        <v/>
      </c>
      <c r="R280" s="34">
        <f>IF(OR($L280="",$K280=""),"",IFERROR(IF(INDEX(PARAMETRES!$H$43:$H$342,MATCH($L280&amp;"|"&amp;$M280&amp;"|"&amp;$N280&amp;"|"&amp;$O280&amp;"|"&amp;$P280&amp;"|"&amp;$Q280&amp;"|"&amp;$K280,PARAMETRES!$J$43:$J$342,0))="","",INDEX(PARAMETRES!$H$43:$H$342,MATCH($L280&amp;"|"&amp;$M280&amp;"|"&amp;$N280&amp;"|"&amp;$O280&amp;"|"&amp;$P280&amp;"|"&amp;$Q280&amp;"|"&amp;$K280,PARAMETRES!$J$43:$J$342,0))),""))</f>
        <v/>
      </c>
      <c r="S280" s="35">
        <f>IF(OR($G280="",$X280&lt;&gt;"VALIDE"),"",IFERROR(LOOKUP(2,1/(($B$3:$B279=$B280)*($G$3:$G279=$G280)*($X$3:$X279="VALIDE")),$C$3:$C279),""))</f>
        <v/>
      </c>
      <c r="T280" s="36">
        <f>IF(OR($C280="",$S280=""),"",ROUND(($C280-$S280+IF($C280&lt;$S280,1,0))*1440,0))</f>
        <v/>
      </c>
      <c r="U280" s="22">
        <f>IF(OR($H280="",$T280="",$T280&lt;=0),"",$H280*60/$T280)</f>
        <v/>
      </c>
      <c r="V280" s="37">
        <f>IF(OR($U280="",$R280="",$R280=0),"",$U280/$R280)</f>
        <v/>
      </c>
      <c r="W280" s="20">
        <f>IF($G280="","",IF($X280="CONTEXTE INCOMPLET","CONTEXTE INCOMPLET",IF($X280="DOUBLON",StatutDoublon,IF($S280="",StatutInitial,IF($R280="",StatutStandardManquant,IF($V280="","DONNEES INSUFFISANTES",IF($V280&gt;=SeuilConforme,StatutConforme,IF($V280&gt;=SeuilSurveiller,StatutSurveiller,StatutSousStandard))))))))</f>
        <v/>
      </c>
      <c r="X280" s="33">
        <f>IF($G280="","",IF(OR($D280="",$E280="",$F280=""),"CONTEXTE INCOMPLET",IF(COUNTIFS($D$3:$D279,$D280,$E$3:$E279,$E280,$F$3:$F279,$F280,$G$3:$G279,$G280)&gt;0,"DOUBLON","VALIDE")))</f>
        <v/>
      </c>
    </row>
    <row r="281" ht="15" customHeight="1">
      <c r="A281" s="12">
        <f>IF(OR($B281="",$G281=""),"",TEXT($B281,"YYYYMMDD")&amp;"-"&amp;SUBSTITUTE($E281," ","")&amp;"-"&amp;$F281&amp;"-"&amp;$G281)</f>
        <v/>
      </c>
      <c r="B281" s="15" t="n"/>
      <c r="C281" s="16" t="n"/>
      <c r="D281" s="10" t="n"/>
      <c r="E281" s="9" t="n"/>
      <c r="F281" s="9" t="n"/>
      <c r="G281" s="13" t="n"/>
      <c r="H281" s="21" t="n"/>
      <c r="I281" s="21" t="n"/>
      <c r="J281" s="17">
        <f>IF($G281="","",IFERROR(INDEX(NomsEmployes,MATCH($G281,MatriculesEmployes,0)),"MATRICULE INCONNU"))</f>
        <v/>
      </c>
      <c r="K281" s="33">
        <f>IF(OR($D281="",$F281=""),"",IFERROR(IF(INDEX(RUNS!$L$6:$S$1005,MATCH($D281,RUNS!$A$6:$A$1005,0),MATCH("ACTIVITÉ "&amp;$F281,RUNS!$L$5:$S$5,0))="","",INDEX(RUNS!$L$6:$S$1005,MATCH($D281,RUNS!$A$6:$A$1005,0),MATCH("ACTIVITÉ "&amp;$F281,RUNS!$L$5:$S$5,0))),""))</f>
        <v/>
      </c>
      <c r="L281" s="33">
        <f>IF($D281="","",IFERROR(IF(INDEX(RUNS!$E$6:$E$1005,MATCH($D281,RUNS!$A$6:$A$1005,0))="","",INDEX(RUNS!$E$6:$E$1005,MATCH($D281,RUNS!$A$6:$A$1005,0))),""))</f>
        <v/>
      </c>
      <c r="M281" s="33">
        <f>IF($D281="","",IFERROR(IF(INDEX(RUNS!$F$6:$F$1005,MATCH($D281,RUNS!$A$6:$A$1005,0))="","",INDEX(RUNS!$F$6:$F$1005,MATCH($D281,RUNS!$A$6:$A$1005,0))),""))</f>
        <v/>
      </c>
      <c r="N281" s="33">
        <f>IF($D281="","",IFERROR(IF(INDEX(RUNS!$G$6:$G$1005,MATCH($D281,RUNS!$A$6:$A$1005,0))="","",INDEX(RUNS!$G$6:$G$1005,MATCH($D281,RUNS!$A$6:$A$1005,0))),""))</f>
        <v/>
      </c>
      <c r="O281" s="33">
        <f>IF($D281="","",IFERROR(IF(INDEX(RUNS!$H$6:$H$1005,MATCH($D281,RUNS!$A$6:$A$1005,0))="","",INDEX(RUNS!$H$6:$H$1005,MATCH($D281,RUNS!$A$6:$A$1005,0))),""))</f>
        <v/>
      </c>
      <c r="P281" s="33">
        <f>IF($D281="","",IFERROR(IF(INDEX(RUNS!$J$6:$J$1005,MATCH($D281,RUNS!$A$6:$A$1005,0))="","",INDEX(RUNS!$J$6:$J$1005,MATCH($D281,RUNS!$A$6:$A$1005,0))),""))</f>
        <v/>
      </c>
      <c r="Q281" s="33">
        <f>IF($D281="","",IFERROR(IF(INDEX(RUNS!$K$6:$K$1005,MATCH($D281,RUNS!$A$6:$A$1005,0))="","",INDEX(RUNS!$K$6:$K$1005,MATCH($D281,RUNS!$A$6:$A$1005,0))),""))</f>
        <v/>
      </c>
      <c r="R281" s="34">
        <f>IF(OR($L281="",$K281=""),"",IFERROR(IF(INDEX(PARAMETRES!$H$43:$H$342,MATCH($L281&amp;"|"&amp;$M281&amp;"|"&amp;$N281&amp;"|"&amp;$O281&amp;"|"&amp;$P281&amp;"|"&amp;$Q281&amp;"|"&amp;$K281,PARAMETRES!$J$43:$J$342,0))="","",INDEX(PARAMETRES!$H$43:$H$342,MATCH($L281&amp;"|"&amp;$M281&amp;"|"&amp;$N281&amp;"|"&amp;$O281&amp;"|"&amp;$P281&amp;"|"&amp;$Q281&amp;"|"&amp;$K281,PARAMETRES!$J$43:$J$342,0))),""))</f>
        <v/>
      </c>
      <c r="S281" s="35">
        <f>IF(OR($G281="",$X281&lt;&gt;"VALIDE"),"",IFERROR(LOOKUP(2,1/(($B$3:$B280=$B281)*($G$3:$G280=$G281)*($X$3:$X280="VALIDE")),$C$3:$C280),""))</f>
        <v/>
      </c>
      <c r="T281" s="36">
        <f>IF(OR($C281="",$S281=""),"",ROUND(($C281-$S281+IF($C281&lt;$S281,1,0))*1440,0))</f>
        <v/>
      </c>
      <c r="U281" s="22">
        <f>IF(OR($H281="",$T281="",$T281&lt;=0),"",$H281*60/$T281)</f>
        <v/>
      </c>
      <c r="V281" s="37">
        <f>IF(OR($U281="",$R281="",$R281=0),"",$U281/$R281)</f>
        <v/>
      </c>
      <c r="W281" s="20">
        <f>IF($G281="","",IF($X281="CONTEXTE INCOMPLET","CONTEXTE INCOMPLET",IF($X281="DOUBLON",StatutDoublon,IF($S281="",StatutInitial,IF($R281="",StatutStandardManquant,IF($V281="","DONNEES INSUFFISANTES",IF($V281&gt;=SeuilConforme,StatutConforme,IF($V281&gt;=SeuilSurveiller,StatutSurveiller,StatutSousStandard))))))))</f>
        <v/>
      </c>
      <c r="X281" s="33">
        <f>IF($G281="","",IF(OR($D281="",$E281="",$F281=""),"CONTEXTE INCOMPLET",IF(COUNTIFS($D$3:$D280,$D281,$E$3:$E280,$E281,$F$3:$F280,$F281,$G$3:$G280,$G281)&gt;0,"DOUBLON","VALIDE")))</f>
        <v/>
      </c>
    </row>
    <row r="282" ht="15" customHeight="1">
      <c r="A282" s="12">
        <f>IF(OR($B282="",$G282=""),"",TEXT($B282,"YYYYMMDD")&amp;"-"&amp;SUBSTITUTE($E282," ","")&amp;"-"&amp;$F282&amp;"-"&amp;$G282)</f>
        <v/>
      </c>
      <c r="B282" s="15" t="n"/>
      <c r="C282" s="16" t="n"/>
      <c r="D282" s="10" t="n"/>
      <c r="E282" s="9" t="n"/>
      <c r="F282" s="9" t="n"/>
      <c r="G282" s="13" t="n"/>
      <c r="H282" s="21" t="n"/>
      <c r="I282" s="21" t="n"/>
      <c r="J282" s="17">
        <f>IF($G282="","",IFERROR(INDEX(NomsEmployes,MATCH($G282,MatriculesEmployes,0)),"MATRICULE INCONNU"))</f>
        <v/>
      </c>
      <c r="K282" s="33">
        <f>IF(OR($D282="",$F282=""),"",IFERROR(IF(INDEX(RUNS!$L$6:$S$1005,MATCH($D282,RUNS!$A$6:$A$1005,0),MATCH("ACTIVITÉ "&amp;$F282,RUNS!$L$5:$S$5,0))="","",INDEX(RUNS!$L$6:$S$1005,MATCH($D282,RUNS!$A$6:$A$1005,0),MATCH("ACTIVITÉ "&amp;$F282,RUNS!$L$5:$S$5,0))),""))</f>
        <v/>
      </c>
      <c r="L282" s="33">
        <f>IF($D282="","",IFERROR(IF(INDEX(RUNS!$E$6:$E$1005,MATCH($D282,RUNS!$A$6:$A$1005,0))="","",INDEX(RUNS!$E$6:$E$1005,MATCH($D282,RUNS!$A$6:$A$1005,0))),""))</f>
        <v/>
      </c>
      <c r="M282" s="33">
        <f>IF($D282="","",IFERROR(IF(INDEX(RUNS!$F$6:$F$1005,MATCH($D282,RUNS!$A$6:$A$1005,0))="","",INDEX(RUNS!$F$6:$F$1005,MATCH($D282,RUNS!$A$6:$A$1005,0))),""))</f>
        <v/>
      </c>
      <c r="N282" s="33">
        <f>IF($D282="","",IFERROR(IF(INDEX(RUNS!$G$6:$G$1005,MATCH($D282,RUNS!$A$6:$A$1005,0))="","",INDEX(RUNS!$G$6:$G$1005,MATCH($D282,RUNS!$A$6:$A$1005,0))),""))</f>
        <v/>
      </c>
      <c r="O282" s="33">
        <f>IF($D282="","",IFERROR(IF(INDEX(RUNS!$H$6:$H$1005,MATCH($D282,RUNS!$A$6:$A$1005,0))="","",INDEX(RUNS!$H$6:$H$1005,MATCH($D282,RUNS!$A$6:$A$1005,0))),""))</f>
        <v/>
      </c>
      <c r="P282" s="33">
        <f>IF($D282="","",IFERROR(IF(INDEX(RUNS!$J$6:$J$1005,MATCH($D282,RUNS!$A$6:$A$1005,0))="","",INDEX(RUNS!$J$6:$J$1005,MATCH($D282,RUNS!$A$6:$A$1005,0))),""))</f>
        <v/>
      </c>
      <c r="Q282" s="33">
        <f>IF($D282="","",IFERROR(IF(INDEX(RUNS!$K$6:$K$1005,MATCH($D282,RUNS!$A$6:$A$1005,0))="","",INDEX(RUNS!$K$6:$K$1005,MATCH($D282,RUNS!$A$6:$A$1005,0))),""))</f>
        <v/>
      </c>
      <c r="R282" s="34">
        <f>IF(OR($L282="",$K282=""),"",IFERROR(IF(INDEX(PARAMETRES!$H$43:$H$342,MATCH($L282&amp;"|"&amp;$M282&amp;"|"&amp;$N282&amp;"|"&amp;$O282&amp;"|"&amp;$P282&amp;"|"&amp;$Q282&amp;"|"&amp;$K282,PARAMETRES!$J$43:$J$342,0))="","",INDEX(PARAMETRES!$H$43:$H$342,MATCH($L282&amp;"|"&amp;$M282&amp;"|"&amp;$N282&amp;"|"&amp;$O282&amp;"|"&amp;$P282&amp;"|"&amp;$Q282&amp;"|"&amp;$K282,PARAMETRES!$J$43:$J$342,0))),""))</f>
        <v/>
      </c>
      <c r="S282" s="35">
        <f>IF(OR($G282="",$X282&lt;&gt;"VALIDE"),"",IFERROR(LOOKUP(2,1/(($B$3:$B281=$B282)*($G$3:$G281=$G282)*($X$3:$X281="VALIDE")),$C$3:$C281),""))</f>
        <v/>
      </c>
      <c r="T282" s="36">
        <f>IF(OR($C282="",$S282=""),"",ROUND(($C282-$S282+IF($C282&lt;$S282,1,0))*1440,0))</f>
        <v/>
      </c>
      <c r="U282" s="22">
        <f>IF(OR($H282="",$T282="",$T282&lt;=0),"",$H282*60/$T282)</f>
        <v/>
      </c>
      <c r="V282" s="37">
        <f>IF(OR($U282="",$R282="",$R282=0),"",$U282/$R282)</f>
        <v/>
      </c>
      <c r="W282" s="20">
        <f>IF($G282="","",IF($X282="CONTEXTE INCOMPLET","CONTEXTE INCOMPLET",IF($X282="DOUBLON",StatutDoublon,IF($S282="",StatutInitial,IF($R282="",StatutStandardManquant,IF($V282="","DONNEES INSUFFISANTES",IF($V282&gt;=SeuilConforme,StatutConforme,IF($V282&gt;=SeuilSurveiller,StatutSurveiller,StatutSousStandard))))))))</f>
        <v/>
      </c>
      <c r="X282" s="33">
        <f>IF($G282="","",IF(OR($D282="",$E282="",$F282=""),"CONTEXTE INCOMPLET",IF(COUNTIFS($D$3:$D281,$D282,$E$3:$E281,$E282,$F$3:$F281,$F282,$G$3:$G281,$G282)&gt;0,"DOUBLON","VALIDE")))</f>
        <v/>
      </c>
    </row>
    <row r="283" ht="15" customHeight="1">
      <c r="A283" s="12">
        <f>IF(OR($B283="",$G283=""),"",TEXT($B283,"YYYYMMDD")&amp;"-"&amp;SUBSTITUTE($E283," ","")&amp;"-"&amp;$F283&amp;"-"&amp;$G283)</f>
        <v/>
      </c>
      <c r="B283" s="15" t="n"/>
      <c r="C283" s="16" t="n"/>
      <c r="D283" s="10" t="n"/>
      <c r="E283" s="9" t="n"/>
      <c r="F283" s="9" t="n"/>
      <c r="G283" s="13" t="n"/>
      <c r="H283" s="21" t="n"/>
      <c r="I283" s="21" t="n"/>
      <c r="J283" s="17">
        <f>IF($G283="","",IFERROR(INDEX(NomsEmployes,MATCH($G283,MatriculesEmployes,0)),"MATRICULE INCONNU"))</f>
        <v/>
      </c>
      <c r="K283" s="33">
        <f>IF(OR($D283="",$F283=""),"",IFERROR(IF(INDEX(RUNS!$L$6:$S$1005,MATCH($D283,RUNS!$A$6:$A$1005,0),MATCH("ACTIVITÉ "&amp;$F283,RUNS!$L$5:$S$5,0))="","",INDEX(RUNS!$L$6:$S$1005,MATCH($D283,RUNS!$A$6:$A$1005,0),MATCH("ACTIVITÉ "&amp;$F283,RUNS!$L$5:$S$5,0))),""))</f>
        <v/>
      </c>
      <c r="L283" s="33">
        <f>IF($D283="","",IFERROR(IF(INDEX(RUNS!$E$6:$E$1005,MATCH($D283,RUNS!$A$6:$A$1005,0))="","",INDEX(RUNS!$E$6:$E$1005,MATCH($D283,RUNS!$A$6:$A$1005,0))),""))</f>
        <v/>
      </c>
      <c r="M283" s="33">
        <f>IF($D283="","",IFERROR(IF(INDEX(RUNS!$F$6:$F$1005,MATCH($D283,RUNS!$A$6:$A$1005,0))="","",INDEX(RUNS!$F$6:$F$1005,MATCH($D283,RUNS!$A$6:$A$1005,0))),""))</f>
        <v/>
      </c>
      <c r="N283" s="33">
        <f>IF($D283="","",IFERROR(IF(INDEX(RUNS!$G$6:$G$1005,MATCH($D283,RUNS!$A$6:$A$1005,0))="","",INDEX(RUNS!$G$6:$G$1005,MATCH($D283,RUNS!$A$6:$A$1005,0))),""))</f>
        <v/>
      </c>
      <c r="O283" s="33">
        <f>IF($D283="","",IFERROR(IF(INDEX(RUNS!$H$6:$H$1005,MATCH($D283,RUNS!$A$6:$A$1005,0))="","",INDEX(RUNS!$H$6:$H$1005,MATCH($D283,RUNS!$A$6:$A$1005,0))),""))</f>
        <v/>
      </c>
      <c r="P283" s="33">
        <f>IF($D283="","",IFERROR(IF(INDEX(RUNS!$J$6:$J$1005,MATCH($D283,RUNS!$A$6:$A$1005,0))="","",INDEX(RUNS!$J$6:$J$1005,MATCH($D283,RUNS!$A$6:$A$1005,0))),""))</f>
        <v/>
      </c>
      <c r="Q283" s="33">
        <f>IF($D283="","",IFERROR(IF(INDEX(RUNS!$K$6:$K$1005,MATCH($D283,RUNS!$A$6:$A$1005,0))="","",INDEX(RUNS!$K$6:$K$1005,MATCH($D283,RUNS!$A$6:$A$1005,0))),""))</f>
        <v/>
      </c>
      <c r="R283" s="34">
        <f>IF(OR($L283="",$K283=""),"",IFERROR(IF(INDEX(PARAMETRES!$H$43:$H$342,MATCH($L283&amp;"|"&amp;$M283&amp;"|"&amp;$N283&amp;"|"&amp;$O283&amp;"|"&amp;$P283&amp;"|"&amp;$Q283&amp;"|"&amp;$K283,PARAMETRES!$J$43:$J$342,0))="","",INDEX(PARAMETRES!$H$43:$H$342,MATCH($L283&amp;"|"&amp;$M283&amp;"|"&amp;$N283&amp;"|"&amp;$O283&amp;"|"&amp;$P283&amp;"|"&amp;$Q283&amp;"|"&amp;$K283,PARAMETRES!$J$43:$J$342,0))),""))</f>
        <v/>
      </c>
      <c r="S283" s="35">
        <f>IF(OR($G283="",$X283&lt;&gt;"VALIDE"),"",IFERROR(LOOKUP(2,1/(($B$3:$B282=$B283)*($G$3:$G282=$G283)*($X$3:$X282="VALIDE")),$C$3:$C282),""))</f>
        <v/>
      </c>
      <c r="T283" s="36">
        <f>IF(OR($C283="",$S283=""),"",ROUND(($C283-$S283+IF($C283&lt;$S283,1,0))*1440,0))</f>
        <v/>
      </c>
      <c r="U283" s="22">
        <f>IF(OR($H283="",$T283="",$T283&lt;=0),"",$H283*60/$T283)</f>
        <v/>
      </c>
      <c r="V283" s="37">
        <f>IF(OR($U283="",$R283="",$R283=0),"",$U283/$R283)</f>
        <v/>
      </c>
      <c r="W283" s="20">
        <f>IF($G283="","",IF($X283="CONTEXTE INCOMPLET","CONTEXTE INCOMPLET",IF($X283="DOUBLON",StatutDoublon,IF($S283="",StatutInitial,IF($R283="",StatutStandardManquant,IF($V283="","DONNEES INSUFFISANTES",IF($V283&gt;=SeuilConforme,StatutConforme,IF($V283&gt;=SeuilSurveiller,StatutSurveiller,StatutSousStandard))))))))</f>
        <v/>
      </c>
      <c r="X283" s="33">
        <f>IF($G283="","",IF(OR($D283="",$E283="",$F283=""),"CONTEXTE INCOMPLET",IF(COUNTIFS($D$3:$D282,$D283,$E$3:$E282,$E283,$F$3:$F282,$F283,$G$3:$G282,$G283)&gt;0,"DOUBLON","VALIDE")))</f>
        <v/>
      </c>
    </row>
    <row r="284" ht="15" customHeight="1">
      <c r="A284" s="12">
        <f>IF(OR($B284="",$G284=""),"",TEXT($B284,"YYYYMMDD")&amp;"-"&amp;SUBSTITUTE($E284," ","")&amp;"-"&amp;$F284&amp;"-"&amp;$G284)</f>
        <v/>
      </c>
      <c r="B284" s="15" t="n"/>
      <c r="C284" s="16" t="n"/>
      <c r="D284" s="10" t="n"/>
      <c r="E284" s="9" t="n"/>
      <c r="F284" s="9" t="n"/>
      <c r="G284" s="13" t="n"/>
      <c r="H284" s="21" t="n"/>
      <c r="I284" s="21" t="n"/>
      <c r="J284" s="17">
        <f>IF($G284="","",IFERROR(INDEX(NomsEmployes,MATCH($G284,MatriculesEmployes,0)),"MATRICULE INCONNU"))</f>
        <v/>
      </c>
      <c r="K284" s="33">
        <f>IF(OR($D284="",$F284=""),"",IFERROR(IF(INDEX(RUNS!$L$6:$S$1005,MATCH($D284,RUNS!$A$6:$A$1005,0),MATCH("ACTIVITÉ "&amp;$F284,RUNS!$L$5:$S$5,0))="","",INDEX(RUNS!$L$6:$S$1005,MATCH($D284,RUNS!$A$6:$A$1005,0),MATCH("ACTIVITÉ "&amp;$F284,RUNS!$L$5:$S$5,0))),""))</f>
        <v/>
      </c>
      <c r="L284" s="33">
        <f>IF($D284="","",IFERROR(IF(INDEX(RUNS!$E$6:$E$1005,MATCH($D284,RUNS!$A$6:$A$1005,0))="","",INDEX(RUNS!$E$6:$E$1005,MATCH($D284,RUNS!$A$6:$A$1005,0))),""))</f>
        <v/>
      </c>
      <c r="M284" s="33">
        <f>IF($D284="","",IFERROR(IF(INDEX(RUNS!$F$6:$F$1005,MATCH($D284,RUNS!$A$6:$A$1005,0))="","",INDEX(RUNS!$F$6:$F$1005,MATCH($D284,RUNS!$A$6:$A$1005,0))),""))</f>
        <v/>
      </c>
      <c r="N284" s="33">
        <f>IF($D284="","",IFERROR(IF(INDEX(RUNS!$G$6:$G$1005,MATCH($D284,RUNS!$A$6:$A$1005,0))="","",INDEX(RUNS!$G$6:$G$1005,MATCH($D284,RUNS!$A$6:$A$1005,0))),""))</f>
        <v/>
      </c>
      <c r="O284" s="33">
        <f>IF($D284="","",IFERROR(IF(INDEX(RUNS!$H$6:$H$1005,MATCH($D284,RUNS!$A$6:$A$1005,0))="","",INDEX(RUNS!$H$6:$H$1005,MATCH($D284,RUNS!$A$6:$A$1005,0))),""))</f>
        <v/>
      </c>
      <c r="P284" s="33">
        <f>IF($D284="","",IFERROR(IF(INDEX(RUNS!$J$6:$J$1005,MATCH($D284,RUNS!$A$6:$A$1005,0))="","",INDEX(RUNS!$J$6:$J$1005,MATCH($D284,RUNS!$A$6:$A$1005,0))),""))</f>
        <v/>
      </c>
      <c r="Q284" s="33">
        <f>IF($D284="","",IFERROR(IF(INDEX(RUNS!$K$6:$K$1005,MATCH($D284,RUNS!$A$6:$A$1005,0))="","",INDEX(RUNS!$K$6:$K$1005,MATCH($D284,RUNS!$A$6:$A$1005,0))),""))</f>
        <v/>
      </c>
      <c r="R284" s="34">
        <f>IF(OR($L284="",$K284=""),"",IFERROR(IF(INDEX(PARAMETRES!$H$43:$H$342,MATCH($L284&amp;"|"&amp;$M284&amp;"|"&amp;$N284&amp;"|"&amp;$O284&amp;"|"&amp;$P284&amp;"|"&amp;$Q284&amp;"|"&amp;$K284,PARAMETRES!$J$43:$J$342,0))="","",INDEX(PARAMETRES!$H$43:$H$342,MATCH($L284&amp;"|"&amp;$M284&amp;"|"&amp;$N284&amp;"|"&amp;$O284&amp;"|"&amp;$P284&amp;"|"&amp;$Q284&amp;"|"&amp;$K284,PARAMETRES!$J$43:$J$342,0))),""))</f>
        <v/>
      </c>
      <c r="S284" s="35">
        <f>IF(OR($G284="",$X284&lt;&gt;"VALIDE"),"",IFERROR(LOOKUP(2,1/(($B$3:$B283=$B284)*($G$3:$G283=$G284)*($X$3:$X283="VALIDE")),$C$3:$C283),""))</f>
        <v/>
      </c>
      <c r="T284" s="36">
        <f>IF(OR($C284="",$S284=""),"",ROUND(($C284-$S284+IF($C284&lt;$S284,1,0))*1440,0))</f>
        <v/>
      </c>
      <c r="U284" s="22">
        <f>IF(OR($H284="",$T284="",$T284&lt;=0),"",$H284*60/$T284)</f>
        <v/>
      </c>
      <c r="V284" s="37">
        <f>IF(OR($U284="",$R284="",$R284=0),"",$U284/$R284)</f>
        <v/>
      </c>
      <c r="W284" s="20">
        <f>IF($G284="","",IF($X284="CONTEXTE INCOMPLET","CONTEXTE INCOMPLET",IF($X284="DOUBLON",StatutDoublon,IF($S284="",StatutInitial,IF($R284="",StatutStandardManquant,IF($V284="","DONNEES INSUFFISANTES",IF($V284&gt;=SeuilConforme,StatutConforme,IF($V284&gt;=SeuilSurveiller,StatutSurveiller,StatutSousStandard))))))))</f>
        <v/>
      </c>
      <c r="X284" s="33">
        <f>IF($G284="","",IF(OR($D284="",$E284="",$F284=""),"CONTEXTE INCOMPLET",IF(COUNTIFS($D$3:$D283,$D284,$E$3:$E283,$E284,$F$3:$F283,$F284,$G$3:$G283,$G284)&gt;0,"DOUBLON","VALIDE")))</f>
        <v/>
      </c>
    </row>
    <row r="285" ht="15" customHeight="1">
      <c r="A285" s="12">
        <f>IF(OR($B285="",$G285=""),"",TEXT($B285,"YYYYMMDD")&amp;"-"&amp;SUBSTITUTE($E285," ","")&amp;"-"&amp;$F285&amp;"-"&amp;$G285)</f>
        <v/>
      </c>
      <c r="B285" s="15" t="n"/>
      <c r="C285" s="16" t="n"/>
      <c r="D285" s="10" t="n"/>
      <c r="E285" s="9" t="n"/>
      <c r="F285" s="9" t="n"/>
      <c r="G285" s="13" t="n"/>
      <c r="H285" s="21" t="n"/>
      <c r="I285" s="21" t="n"/>
      <c r="J285" s="17">
        <f>IF($G285="","",IFERROR(INDEX(NomsEmployes,MATCH($G285,MatriculesEmployes,0)),"MATRICULE INCONNU"))</f>
        <v/>
      </c>
      <c r="K285" s="33">
        <f>IF(OR($D285="",$F285=""),"",IFERROR(IF(INDEX(RUNS!$L$6:$S$1005,MATCH($D285,RUNS!$A$6:$A$1005,0),MATCH("ACTIVITÉ "&amp;$F285,RUNS!$L$5:$S$5,0))="","",INDEX(RUNS!$L$6:$S$1005,MATCH($D285,RUNS!$A$6:$A$1005,0),MATCH("ACTIVITÉ "&amp;$F285,RUNS!$L$5:$S$5,0))),""))</f>
        <v/>
      </c>
      <c r="L285" s="33">
        <f>IF($D285="","",IFERROR(IF(INDEX(RUNS!$E$6:$E$1005,MATCH($D285,RUNS!$A$6:$A$1005,0))="","",INDEX(RUNS!$E$6:$E$1005,MATCH($D285,RUNS!$A$6:$A$1005,0))),""))</f>
        <v/>
      </c>
      <c r="M285" s="33">
        <f>IF($D285="","",IFERROR(IF(INDEX(RUNS!$F$6:$F$1005,MATCH($D285,RUNS!$A$6:$A$1005,0))="","",INDEX(RUNS!$F$6:$F$1005,MATCH($D285,RUNS!$A$6:$A$1005,0))),""))</f>
        <v/>
      </c>
      <c r="N285" s="33">
        <f>IF($D285="","",IFERROR(IF(INDEX(RUNS!$G$6:$G$1005,MATCH($D285,RUNS!$A$6:$A$1005,0))="","",INDEX(RUNS!$G$6:$G$1005,MATCH($D285,RUNS!$A$6:$A$1005,0))),""))</f>
        <v/>
      </c>
      <c r="O285" s="33">
        <f>IF($D285="","",IFERROR(IF(INDEX(RUNS!$H$6:$H$1005,MATCH($D285,RUNS!$A$6:$A$1005,0))="","",INDEX(RUNS!$H$6:$H$1005,MATCH($D285,RUNS!$A$6:$A$1005,0))),""))</f>
        <v/>
      </c>
      <c r="P285" s="33">
        <f>IF($D285="","",IFERROR(IF(INDEX(RUNS!$J$6:$J$1005,MATCH($D285,RUNS!$A$6:$A$1005,0))="","",INDEX(RUNS!$J$6:$J$1005,MATCH($D285,RUNS!$A$6:$A$1005,0))),""))</f>
        <v/>
      </c>
      <c r="Q285" s="33">
        <f>IF($D285="","",IFERROR(IF(INDEX(RUNS!$K$6:$K$1005,MATCH($D285,RUNS!$A$6:$A$1005,0))="","",INDEX(RUNS!$K$6:$K$1005,MATCH($D285,RUNS!$A$6:$A$1005,0))),""))</f>
        <v/>
      </c>
      <c r="R285" s="34">
        <f>IF(OR($L285="",$K285=""),"",IFERROR(IF(INDEX(PARAMETRES!$H$43:$H$342,MATCH($L285&amp;"|"&amp;$M285&amp;"|"&amp;$N285&amp;"|"&amp;$O285&amp;"|"&amp;$P285&amp;"|"&amp;$Q285&amp;"|"&amp;$K285,PARAMETRES!$J$43:$J$342,0))="","",INDEX(PARAMETRES!$H$43:$H$342,MATCH($L285&amp;"|"&amp;$M285&amp;"|"&amp;$N285&amp;"|"&amp;$O285&amp;"|"&amp;$P285&amp;"|"&amp;$Q285&amp;"|"&amp;$K285,PARAMETRES!$J$43:$J$342,0))),""))</f>
        <v/>
      </c>
      <c r="S285" s="35">
        <f>IF(OR($G285="",$X285&lt;&gt;"VALIDE"),"",IFERROR(LOOKUP(2,1/(($B$3:$B284=$B285)*($G$3:$G284=$G285)*($X$3:$X284="VALIDE")),$C$3:$C284),""))</f>
        <v/>
      </c>
      <c r="T285" s="36">
        <f>IF(OR($C285="",$S285=""),"",ROUND(($C285-$S285+IF($C285&lt;$S285,1,0))*1440,0))</f>
        <v/>
      </c>
      <c r="U285" s="22">
        <f>IF(OR($H285="",$T285="",$T285&lt;=0),"",$H285*60/$T285)</f>
        <v/>
      </c>
      <c r="V285" s="37">
        <f>IF(OR($U285="",$R285="",$R285=0),"",$U285/$R285)</f>
        <v/>
      </c>
      <c r="W285" s="20">
        <f>IF($G285="","",IF($X285="CONTEXTE INCOMPLET","CONTEXTE INCOMPLET",IF($X285="DOUBLON",StatutDoublon,IF($S285="",StatutInitial,IF($R285="",StatutStandardManquant,IF($V285="","DONNEES INSUFFISANTES",IF($V285&gt;=SeuilConforme,StatutConforme,IF($V285&gt;=SeuilSurveiller,StatutSurveiller,StatutSousStandard))))))))</f>
        <v/>
      </c>
      <c r="X285" s="33">
        <f>IF($G285="","",IF(OR($D285="",$E285="",$F285=""),"CONTEXTE INCOMPLET",IF(COUNTIFS($D$3:$D284,$D285,$E$3:$E284,$E285,$F$3:$F284,$F285,$G$3:$G284,$G285)&gt;0,"DOUBLON","VALIDE")))</f>
        <v/>
      </c>
    </row>
    <row r="286" ht="15" customHeight="1">
      <c r="A286" s="12">
        <f>IF(OR($B286="",$G286=""),"",TEXT($B286,"YYYYMMDD")&amp;"-"&amp;SUBSTITUTE($E286," ","")&amp;"-"&amp;$F286&amp;"-"&amp;$G286)</f>
        <v/>
      </c>
      <c r="B286" s="15" t="n"/>
      <c r="C286" s="16" t="n"/>
      <c r="D286" s="10" t="n"/>
      <c r="E286" s="9" t="n"/>
      <c r="F286" s="9" t="n"/>
      <c r="G286" s="13" t="n"/>
      <c r="H286" s="21" t="n"/>
      <c r="I286" s="21" t="n"/>
      <c r="J286" s="17">
        <f>IF($G286="","",IFERROR(INDEX(NomsEmployes,MATCH($G286,MatriculesEmployes,0)),"MATRICULE INCONNU"))</f>
        <v/>
      </c>
      <c r="K286" s="33">
        <f>IF(OR($D286="",$F286=""),"",IFERROR(IF(INDEX(RUNS!$L$6:$S$1005,MATCH($D286,RUNS!$A$6:$A$1005,0),MATCH("ACTIVITÉ "&amp;$F286,RUNS!$L$5:$S$5,0))="","",INDEX(RUNS!$L$6:$S$1005,MATCH($D286,RUNS!$A$6:$A$1005,0),MATCH("ACTIVITÉ "&amp;$F286,RUNS!$L$5:$S$5,0))),""))</f>
        <v/>
      </c>
      <c r="L286" s="33">
        <f>IF($D286="","",IFERROR(IF(INDEX(RUNS!$E$6:$E$1005,MATCH($D286,RUNS!$A$6:$A$1005,0))="","",INDEX(RUNS!$E$6:$E$1005,MATCH($D286,RUNS!$A$6:$A$1005,0))),""))</f>
        <v/>
      </c>
      <c r="M286" s="33">
        <f>IF($D286="","",IFERROR(IF(INDEX(RUNS!$F$6:$F$1005,MATCH($D286,RUNS!$A$6:$A$1005,0))="","",INDEX(RUNS!$F$6:$F$1005,MATCH($D286,RUNS!$A$6:$A$1005,0))),""))</f>
        <v/>
      </c>
      <c r="N286" s="33">
        <f>IF($D286="","",IFERROR(IF(INDEX(RUNS!$G$6:$G$1005,MATCH($D286,RUNS!$A$6:$A$1005,0))="","",INDEX(RUNS!$G$6:$G$1005,MATCH($D286,RUNS!$A$6:$A$1005,0))),""))</f>
        <v/>
      </c>
      <c r="O286" s="33">
        <f>IF($D286="","",IFERROR(IF(INDEX(RUNS!$H$6:$H$1005,MATCH($D286,RUNS!$A$6:$A$1005,0))="","",INDEX(RUNS!$H$6:$H$1005,MATCH($D286,RUNS!$A$6:$A$1005,0))),""))</f>
        <v/>
      </c>
      <c r="P286" s="33">
        <f>IF($D286="","",IFERROR(IF(INDEX(RUNS!$J$6:$J$1005,MATCH($D286,RUNS!$A$6:$A$1005,0))="","",INDEX(RUNS!$J$6:$J$1005,MATCH($D286,RUNS!$A$6:$A$1005,0))),""))</f>
        <v/>
      </c>
      <c r="Q286" s="33">
        <f>IF($D286="","",IFERROR(IF(INDEX(RUNS!$K$6:$K$1005,MATCH($D286,RUNS!$A$6:$A$1005,0))="","",INDEX(RUNS!$K$6:$K$1005,MATCH($D286,RUNS!$A$6:$A$1005,0))),""))</f>
        <v/>
      </c>
      <c r="R286" s="34">
        <f>IF(OR($L286="",$K286=""),"",IFERROR(IF(INDEX(PARAMETRES!$H$43:$H$342,MATCH($L286&amp;"|"&amp;$M286&amp;"|"&amp;$N286&amp;"|"&amp;$O286&amp;"|"&amp;$P286&amp;"|"&amp;$Q286&amp;"|"&amp;$K286,PARAMETRES!$J$43:$J$342,0))="","",INDEX(PARAMETRES!$H$43:$H$342,MATCH($L286&amp;"|"&amp;$M286&amp;"|"&amp;$N286&amp;"|"&amp;$O286&amp;"|"&amp;$P286&amp;"|"&amp;$Q286&amp;"|"&amp;$K286,PARAMETRES!$J$43:$J$342,0))),""))</f>
        <v/>
      </c>
      <c r="S286" s="35">
        <f>IF(OR($G286="",$X286&lt;&gt;"VALIDE"),"",IFERROR(LOOKUP(2,1/(($B$3:$B285=$B286)*($G$3:$G285=$G286)*($X$3:$X285="VALIDE")),$C$3:$C285),""))</f>
        <v/>
      </c>
      <c r="T286" s="36">
        <f>IF(OR($C286="",$S286=""),"",ROUND(($C286-$S286+IF($C286&lt;$S286,1,0))*1440,0))</f>
        <v/>
      </c>
      <c r="U286" s="22">
        <f>IF(OR($H286="",$T286="",$T286&lt;=0),"",$H286*60/$T286)</f>
        <v/>
      </c>
      <c r="V286" s="37">
        <f>IF(OR($U286="",$R286="",$R286=0),"",$U286/$R286)</f>
        <v/>
      </c>
      <c r="W286" s="20">
        <f>IF($G286="","",IF($X286="CONTEXTE INCOMPLET","CONTEXTE INCOMPLET",IF($X286="DOUBLON",StatutDoublon,IF($S286="",StatutInitial,IF($R286="",StatutStandardManquant,IF($V286="","DONNEES INSUFFISANTES",IF($V286&gt;=SeuilConforme,StatutConforme,IF($V286&gt;=SeuilSurveiller,StatutSurveiller,StatutSousStandard))))))))</f>
        <v/>
      </c>
      <c r="X286" s="33">
        <f>IF($G286="","",IF(OR($D286="",$E286="",$F286=""),"CONTEXTE INCOMPLET",IF(COUNTIFS($D$3:$D285,$D286,$E$3:$E285,$E286,$F$3:$F285,$F286,$G$3:$G285,$G286)&gt;0,"DOUBLON","VALIDE")))</f>
        <v/>
      </c>
    </row>
    <row r="287" ht="15" customHeight="1">
      <c r="A287" s="12">
        <f>IF(OR($B287="",$G287=""),"",TEXT($B287,"YYYYMMDD")&amp;"-"&amp;SUBSTITUTE($E287," ","")&amp;"-"&amp;$F287&amp;"-"&amp;$G287)</f>
        <v/>
      </c>
      <c r="B287" s="15" t="n"/>
      <c r="C287" s="16" t="n"/>
      <c r="D287" s="10" t="n"/>
      <c r="E287" s="9" t="n"/>
      <c r="F287" s="9" t="n"/>
      <c r="G287" s="13" t="n"/>
      <c r="H287" s="21" t="n"/>
      <c r="I287" s="21" t="n"/>
      <c r="J287" s="17">
        <f>IF($G287="","",IFERROR(INDEX(NomsEmployes,MATCH($G287,MatriculesEmployes,0)),"MATRICULE INCONNU"))</f>
        <v/>
      </c>
      <c r="K287" s="33">
        <f>IF(OR($D287="",$F287=""),"",IFERROR(IF(INDEX(RUNS!$L$6:$S$1005,MATCH($D287,RUNS!$A$6:$A$1005,0),MATCH("ACTIVITÉ "&amp;$F287,RUNS!$L$5:$S$5,0))="","",INDEX(RUNS!$L$6:$S$1005,MATCH($D287,RUNS!$A$6:$A$1005,0),MATCH("ACTIVITÉ "&amp;$F287,RUNS!$L$5:$S$5,0))),""))</f>
        <v/>
      </c>
      <c r="L287" s="33">
        <f>IF($D287="","",IFERROR(IF(INDEX(RUNS!$E$6:$E$1005,MATCH($D287,RUNS!$A$6:$A$1005,0))="","",INDEX(RUNS!$E$6:$E$1005,MATCH($D287,RUNS!$A$6:$A$1005,0))),""))</f>
        <v/>
      </c>
      <c r="M287" s="33">
        <f>IF($D287="","",IFERROR(IF(INDEX(RUNS!$F$6:$F$1005,MATCH($D287,RUNS!$A$6:$A$1005,0))="","",INDEX(RUNS!$F$6:$F$1005,MATCH($D287,RUNS!$A$6:$A$1005,0))),""))</f>
        <v/>
      </c>
      <c r="N287" s="33">
        <f>IF($D287="","",IFERROR(IF(INDEX(RUNS!$G$6:$G$1005,MATCH($D287,RUNS!$A$6:$A$1005,0))="","",INDEX(RUNS!$G$6:$G$1005,MATCH($D287,RUNS!$A$6:$A$1005,0))),""))</f>
        <v/>
      </c>
      <c r="O287" s="33">
        <f>IF($D287="","",IFERROR(IF(INDEX(RUNS!$H$6:$H$1005,MATCH($D287,RUNS!$A$6:$A$1005,0))="","",INDEX(RUNS!$H$6:$H$1005,MATCH($D287,RUNS!$A$6:$A$1005,0))),""))</f>
        <v/>
      </c>
      <c r="P287" s="33">
        <f>IF($D287="","",IFERROR(IF(INDEX(RUNS!$J$6:$J$1005,MATCH($D287,RUNS!$A$6:$A$1005,0))="","",INDEX(RUNS!$J$6:$J$1005,MATCH($D287,RUNS!$A$6:$A$1005,0))),""))</f>
        <v/>
      </c>
      <c r="Q287" s="33">
        <f>IF($D287="","",IFERROR(IF(INDEX(RUNS!$K$6:$K$1005,MATCH($D287,RUNS!$A$6:$A$1005,0))="","",INDEX(RUNS!$K$6:$K$1005,MATCH($D287,RUNS!$A$6:$A$1005,0))),""))</f>
        <v/>
      </c>
      <c r="R287" s="34">
        <f>IF(OR($L287="",$K287=""),"",IFERROR(IF(INDEX(PARAMETRES!$H$43:$H$342,MATCH($L287&amp;"|"&amp;$M287&amp;"|"&amp;$N287&amp;"|"&amp;$O287&amp;"|"&amp;$P287&amp;"|"&amp;$Q287&amp;"|"&amp;$K287,PARAMETRES!$J$43:$J$342,0))="","",INDEX(PARAMETRES!$H$43:$H$342,MATCH($L287&amp;"|"&amp;$M287&amp;"|"&amp;$N287&amp;"|"&amp;$O287&amp;"|"&amp;$P287&amp;"|"&amp;$Q287&amp;"|"&amp;$K287,PARAMETRES!$J$43:$J$342,0))),""))</f>
        <v/>
      </c>
      <c r="S287" s="35">
        <f>IF(OR($G287="",$X287&lt;&gt;"VALIDE"),"",IFERROR(LOOKUP(2,1/(($B$3:$B286=$B287)*($G$3:$G286=$G287)*($X$3:$X286="VALIDE")),$C$3:$C286),""))</f>
        <v/>
      </c>
      <c r="T287" s="36">
        <f>IF(OR($C287="",$S287=""),"",ROUND(($C287-$S287+IF($C287&lt;$S287,1,0))*1440,0))</f>
        <v/>
      </c>
      <c r="U287" s="22">
        <f>IF(OR($H287="",$T287="",$T287&lt;=0),"",$H287*60/$T287)</f>
        <v/>
      </c>
      <c r="V287" s="37">
        <f>IF(OR($U287="",$R287="",$R287=0),"",$U287/$R287)</f>
        <v/>
      </c>
      <c r="W287" s="20">
        <f>IF($G287="","",IF($X287="CONTEXTE INCOMPLET","CONTEXTE INCOMPLET",IF($X287="DOUBLON",StatutDoublon,IF($S287="",StatutInitial,IF($R287="",StatutStandardManquant,IF($V287="","DONNEES INSUFFISANTES",IF($V287&gt;=SeuilConforme,StatutConforme,IF($V287&gt;=SeuilSurveiller,StatutSurveiller,StatutSousStandard))))))))</f>
        <v/>
      </c>
      <c r="X287" s="33">
        <f>IF($G287="","",IF(OR($D287="",$E287="",$F287=""),"CONTEXTE INCOMPLET",IF(COUNTIFS($D$3:$D286,$D287,$E$3:$E286,$E287,$F$3:$F286,$F287,$G$3:$G286,$G287)&gt;0,"DOUBLON","VALIDE")))</f>
        <v/>
      </c>
    </row>
    <row r="288" ht="15" customHeight="1">
      <c r="A288" s="12">
        <f>IF(OR($B288="",$G288=""),"",TEXT($B288,"YYYYMMDD")&amp;"-"&amp;SUBSTITUTE($E288," ","")&amp;"-"&amp;$F288&amp;"-"&amp;$G288)</f>
        <v/>
      </c>
      <c r="B288" s="15" t="n"/>
      <c r="C288" s="16" t="n"/>
      <c r="D288" s="10" t="n"/>
      <c r="E288" s="9" t="n"/>
      <c r="F288" s="9" t="n"/>
      <c r="G288" s="13" t="n"/>
      <c r="H288" s="21" t="n"/>
      <c r="I288" s="21" t="n"/>
      <c r="J288" s="17">
        <f>IF($G288="","",IFERROR(INDEX(NomsEmployes,MATCH($G288,MatriculesEmployes,0)),"MATRICULE INCONNU"))</f>
        <v/>
      </c>
      <c r="K288" s="33">
        <f>IF(OR($D288="",$F288=""),"",IFERROR(IF(INDEX(RUNS!$L$6:$S$1005,MATCH($D288,RUNS!$A$6:$A$1005,0),MATCH("ACTIVITÉ "&amp;$F288,RUNS!$L$5:$S$5,0))="","",INDEX(RUNS!$L$6:$S$1005,MATCH($D288,RUNS!$A$6:$A$1005,0),MATCH("ACTIVITÉ "&amp;$F288,RUNS!$L$5:$S$5,0))),""))</f>
        <v/>
      </c>
      <c r="L288" s="33">
        <f>IF($D288="","",IFERROR(IF(INDEX(RUNS!$E$6:$E$1005,MATCH($D288,RUNS!$A$6:$A$1005,0))="","",INDEX(RUNS!$E$6:$E$1005,MATCH($D288,RUNS!$A$6:$A$1005,0))),""))</f>
        <v/>
      </c>
      <c r="M288" s="33">
        <f>IF($D288="","",IFERROR(IF(INDEX(RUNS!$F$6:$F$1005,MATCH($D288,RUNS!$A$6:$A$1005,0))="","",INDEX(RUNS!$F$6:$F$1005,MATCH($D288,RUNS!$A$6:$A$1005,0))),""))</f>
        <v/>
      </c>
      <c r="N288" s="33">
        <f>IF($D288="","",IFERROR(IF(INDEX(RUNS!$G$6:$G$1005,MATCH($D288,RUNS!$A$6:$A$1005,0))="","",INDEX(RUNS!$G$6:$G$1005,MATCH($D288,RUNS!$A$6:$A$1005,0))),""))</f>
        <v/>
      </c>
      <c r="O288" s="33">
        <f>IF($D288="","",IFERROR(IF(INDEX(RUNS!$H$6:$H$1005,MATCH($D288,RUNS!$A$6:$A$1005,0))="","",INDEX(RUNS!$H$6:$H$1005,MATCH($D288,RUNS!$A$6:$A$1005,0))),""))</f>
        <v/>
      </c>
      <c r="P288" s="33">
        <f>IF($D288="","",IFERROR(IF(INDEX(RUNS!$J$6:$J$1005,MATCH($D288,RUNS!$A$6:$A$1005,0))="","",INDEX(RUNS!$J$6:$J$1005,MATCH($D288,RUNS!$A$6:$A$1005,0))),""))</f>
        <v/>
      </c>
      <c r="Q288" s="33">
        <f>IF($D288="","",IFERROR(IF(INDEX(RUNS!$K$6:$K$1005,MATCH($D288,RUNS!$A$6:$A$1005,0))="","",INDEX(RUNS!$K$6:$K$1005,MATCH($D288,RUNS!$A$6:$A$1005,0))),""))</f>
        <v/>
      </c>
      <c r="R288" s="34">
        <f>IF(OR($L288="",$K288=""),"",IFERROR(IF(INDEX(PARAMETRES!$H$43:$H$342,MATCH($L288&amp;"|"&amp;$M288&amp;"|"&amp;$N288&amp;"|"&amp;$O288&amp;"|"&amp;$P288&amp;"|"&amp;$Q288&amp;"|"&amp;$K288,PARAMETRES!$J$43:$J$342,0))="","",INDEX(PARAMETRES!$H$43:$H$342,MATCH($L288&amp;"|"&amp;$M288&amp;"|"&amp;$N288&amp;"|"&amp;$O288&amp;"|"&amp;$P288&amp;"|"&amp;$Q288&amp;"|"&amp;$K288,PARAMETRES!$J$43:$J$342,0))),""))</f>
        <v/>
      </c>
      <c r="S288" s="35">
        <f>IF(OR($G288="",$X288&lt;&gt;"VALIDE"),"",IFERROR(LOOKUP(2,1/(($B$3:$B287=$B288)*($G$3:$G287=$G288)*($X$3:$X287="VALIDE")),$C$3:$C287),""))</f>
        <v/>
      </c>
      <c r="T288" s="36">
        <f>IF(OR($C288="",$S288=""),"",ROUND(($C288-$S288+IF($C288&lt;$S288,1,0))*1440,0))</f>
        <v/>
      </c>
      <c r="U288" s="22">
        <f>IF(OR($H288="",$T288="",$T288&lt;=0),"",$H288*60/$T288)</f>
        <v/>
      </c>
      <c r="V288" s="37">
        <f>IF(OR($U288="",$R288="",$R288=0),"",$U288/$R288)</f>
        <v/>
      </c>
      <c r="W288" s="20">
        <f>IF($G288="","",IF($X288="CONTEXTE INCOMPLET","CONTEXTE INCOMPLET",IF($X288="DOUBLON",StatutDoublon,IF($S288="",StatutInitial,IF($R288="",StatutStandardManquant,IF($V288="","DONNEES INSUFFISANTES",IF($V288&gt;=SeuilConforme,StatutConforme,IF($V288&gt;=SeuilSurveiller,StatutSurveiller,StatutSousStandard))))))))</f>
        <v/>
      </c>
      <c r="X288" s="33">
        <f>IF($G288="","",IF(OR($D288="",$E288="",$F288=""),"CONTEXTE INCOMPLET",IF(COUNTIFS($D$3:$D287,$D288,$E$3:$E287,$E288,$F$3:$F287,$F288,$G$3:$G287,$G288)&gt;0,"DOUBLON","VALIDE")))</f>
        <v/>
      </c>
    </row>
    <row r="289" ht="15" customHeight="1">
      <c r="A289" s="12">
        <f>IF(OR($B289="",$G289=""),"",TEXT($B289,"YYYYMMDD")&amp;"-"&amp;SUBSTITUTE($E289," ","")&amp;"-"&amp;$F289&amp;"-"&amp;$G289)</f>
        <v/>
      </c>
      <c r="B289" s="15" t="n"/>
      <c r="C289" s="16" t="n"/>
      <c r="D289" s="10" t="n"/>
      <c r="E289" s="9" t="n"/>
      <c r="F289" s="9" t="n"/>
      <c r="G289" s="13" t="n"/>
      <c r="H289" s="21" t="n"/>
      <c r="I289" s="21" t="n"/>
      <c r="J289" s="17">
        <f>IF($G289="","",IFERROR(INDEX(NomsEmployes,MATCH($G289,MatriculesEmployes,0)),"MATRICULE INCONNU"))</f>
        <v/>
      </c>
      <c r="K289" s="33">
        <f>IF(OR($D289="",$F289=""),"",IFERROR(IF(INDEX(RUNS!$L$6:$S$1005,MATCH($D289,RUNS!$A$6:$A$1005,0),MATCH("ACTIVITÉ "&amp;$F289,RUNS!$L$5:$S$5,0))="","",INDEX(RUNS!$L$6:$S$1005,MATCH($D289,RUNS!$A$6:$A$1005,0),MATCH("ACTIVITÉ "&amp;$F289,RUNS!$L$5:$S$5,0))),""))</f>
        <v/>
      </c>
      <c r="L289" s="33">
        <f>IF($D289="","",IFERROR(IF(INDEX(RUNS!$E$6:$E$1005,MATCH($D289,RUNS!$A$6:$A$1005,0))="","",INDEX(RUNS!$E$6:$E$1005,MATCH($D289,RUNS!$A$6:$A$1005,0))),""))</f>
        <v/>
      </c>
      <c r="M289" s="33">
        <f>IF($D289="","",IFERROR(IF(INDEX(RUNS!$F$6:$F$1005,MATCH($D289,RUNS!$A$6:$A$1005,0))="","",INDEX(RUNS!$F$6:$F$1005,MATCH($D289,RUNS!$A$6:$A$1005,0))),""))</f>
        <v/>
      </c>
      <c r="N289" s="33">
        <f>IF($D289="","",IFERROR(IF(INDEX(RUNS!$G$6:$G$1005,MATCH($D289,RUNS!$A$6:$A$1005,0))="","",INDEX(RUNS!$G$6:$G$1005,MATCH($D289,RUNS!$A$6:$A$1005,0))),""))</f>
        <v/>
      </c>
      <c r="O289" s="33">
        <f>IF($D289="","",IFERROR(IF(INDEX(RUNS!$H$6:$H$1005,MATCH($D289,RUNS!$A$6:$A$1005,0))="","",INDEX(RUNS!$H$6:$H$1005,MATCH($D289,RUNS!$A$6:$A$1005,0))),""))</f>
        <v/>
      </c>
      <c r="P289" s="33">
        <f>IF($D289="","",IFERROR(IF(INDEX(RUNS!$J$6:$J$1005,MATCH($D289,RUNS!$A$6:$A$1005,0))="","",INDEX(RUNS!$J$6:$J$1005,MATCH($D289,RUNS!$A$6:$A$1005,0))),""))</f>
        <v/>
      </c>
      <c r="Q289" s="33">
        <f>IF($D289="","",IFERROR(IF(INDEX(RUNS!$K$6:$K$1005,MATCH($D289,RUNS!$A$6:$A$1005,0))="","",INDEX(RUNS!$K$6:$K$1005,MATCH($D289,RUNS!$A$6:$A$1005,0))),""))</f>
        <v/>
      </c>
      <c r="R289" s="34">
        <f>IF(OR($L289="",$K289=""),"",IFERROR(IF(INDEX(PARAMETRES!$H$43:$H$342,MATCH($L289&amp;"|"&amp;$M289&amp;"|"&amp;$N289&amp;"|"&amp;$O289&amp;"|"&amp;$P289&amp;"|"&amp;$Q289&amp;"|"&amp;$K289,PARAMETRES!$J$43:$J$342,0))="","",INDEX(PARAMETRES!$H$43:$H$342,MATCH($L289&amp;"|"&amp;$M289&amp;"|"&amp;$N289&amp;"|"&amp;$O289&amp;"|"&amp;$P289&amp;"|"&amp;$Q289&amp;"|"&amp;$K289,PARAMETRES!$J$43:$J$342,0))),""))</f>
        <v/>
      </c>
      <c r="S289" s="35">
        <f>IF(OR($G289="",$X289&lt;&gt;"VALIDE"),"",IFERROR(LOOKUP(2,1/(($B$3:$B288=$B289)*($G$3:$G288=$G289)*($X$3:$X288="VALIDE")),$C$3:$C288),""))</f>
        <v/>
      </c>
      <c r="T289" s="36">
        <f>IF(OR($C289="",$S289=""),"",ROUND(($C289-$S289+IF($C289&lt;$S289,1,0))*1440,0))</f>
        <v/>
      </c>
      <c r="U289" s="22">
        <f>IF(OR($H289="",$T289="",$T289&lt;=0),"",$H289*60/$T289)</f>
        <v/>
      </c>
      <c r="V289" s="37">
        <f>IF(OR($U289="",$R289="",$R289=0),"",$U289/$R289)</f>
        <v/>
      </c>
      <c r="W289" s="20">
        <f>IF($G289="","",IF($X289="CONTEXTE INCOMPLET","CONTEXTE INCOMPLET",IF($X289="DOUBLON",StatutDoublon,IF($S289="",StatutInitial,IF($R289="",StatutStandardManquant,IF($V289="","DONNEES INSUFFISANTES",IF($V289&gt;=SeuilConforme,StatutConforme,IF($V289&gt;=SeuilSurveiller,StatutSurveiller,StatutSousStandard))))))))</f>
        <v/>
      </c>
      <c r="X289" s="33">
        <f>IF($G289="","",IF(OR($D289="",$E289="",$F289=""),"CONTEXTE INCOMPLET",IF(COUNTIFS($D$3:$D288,$D289,$E$3:$E288,$E289,$F$3:$F288,$F289,$G$3:$G288,$G289)&gt;0,"DOUBLON","VALIDE")))</f>
        <v/>
      </c>
    </row>
    <row r="290" ht="15" customHeight="1">
      <c r="A290" s="12">
        <f>IF(OR($B290="",$G290=""),"",TEXT($B290,"YYYYMMDD")&amp;"-"&amp;SUBSTITUTE($E290," ","")&amp;"-"&amp;$F290&amp;"-"&amp;$G290)</f>
        <v/>
      </c>
      <c r="B290" s="15" t="n"/>
      <c r="C290" s="16" t="n"/>
      <c r="D290" s="10" t="n"/>
      <c r="E290" s="9" t="n"/>
      <c r="F290" s="9" t="n"/>
      <c r="G290" s="13" t="n"/>
      <c r="H290" s="21" t="n"/>
      <c r="I290" s="21" t="n"/>
      <c r="J290" s="17">
        <f>IF($G290="","",IFERROR(INDEX(NomsEmployes,MATCH($G290,MatriculesEmployes,0)),"MATRICULE INCONNU"))</f>
        <v/>
      </c>
      <c r="K290" s="33">
        <f>IF(OR($D290="",$F290=""),"",IFERROR(IF(INDEX(RUNS!$L$6:$S$1005,MATCH($D290,RUNS!$A$6:$A$1005,0),MATCH("ACTIVITÉ "&amp;$F290,RUNS!$L$5:$S$5,0))="","",INDEX(RUNS!$L$6:$S$1005,MATCH($D290,RUNS!$A$6:$A$1005,0),MATCH("ACTIVITÉ "&amp;$F290,RUNS!$L$5:$S$5,0))),""))</f>
        <v/>
      </c>
      <c r="L290" s="33">
        <f>IF($D290="","",IFERROR(IF(INDEX(RUNS!$E$6:$E$1005,MATCH($D290,RUNS!$A$6:$A$1005,0))="","",INDEX(RUNS!$E$6:$E$1005,MATCH($D290,RUNS!$A$6:$A$1005,0))),""))</f>
        <v/>
      </c>
      <c r="M290" s="33">
        <f>IF($D290="","",IFERROR(IF(INDEX(RUNS!$F$6:$F$1005,MATCH($D290,RUNS!$A$6:$A$1005,0))="","",INDEX(RUNS!$F$6:$F$1005,MATCH($D290,RUNS!$A$6:$A$1005,0))),""))</f>
        <v/>
      </c>
      <c r="N290" s="33">
        <f>IF($D290="","",IFERROR(IF(INDEX(RUNS!$G$6:$G$1005,MATCH($D290,RUNS!$A$6:$A$1005,0))="","",INDEX(RUNS!$G$6:$G$1005,MATCH($D290,RUNS!$A$6:$A$1005,0))),""))</f>
        <v/>
      </c>
      <c r="O290" s="33">
        <f>IF($D290="","",IFERROR(IF(INDEX(RUNS!$H$6:$H$1005,MATCH($D290,RUNS!$A$6:$A$1005,0))="","",INDEX(RUNS!$H$6:$H$1005,MATCH($D290,RUNS!$A$6:$A$1005,0))),""))</f>
        <v/>
      </c>
      <c r="P290" s="33">
        <f>IF($D290="","",IFERROR(IF(INDEX(RUNS!$J$6:$J$1005,MATCH($D290,RUNS!$A$6:$A$1005,0))="","",INDEX(RUNS!$J$6:$J$1005,MATCH($D290,RUNS!$A$6:$A$1005,0))),""))</f>
        <v/>
      </c>
      <c r="Q290" s="33">
        <f>IF($D290="","",IFERROR(IF(INDEX(RUNS!$K$6:$K$1005,MATCH($D290,RUNS!$A$6:$A$1005,0))="","",INDEX(RUNS!$K$6:$K$1005,MATCH($D290,RUNS!$A$6:$A$1005,0))),""))</f>
        <v/>
      </c>
      <c r="R290" s="34">
        <f>IF(OR($L290="",$K290=""),"",IFERROR(IF(INDEX(PARAMETRES!$H$43:$H$342,MATCH($L290&amp;"|"&amp;$M290&amp;"|"&amp;$N290&amp;"|"&amp;$O290&amp;"|"&amp;$P290&amp;"|"&amp;$Q290&amp;"|"&amp;$K290,PARAMETRES!$J$43:$J$342,0))="","",INDEX(PARAMETRES!$H$43:$H$342,MATCH($L290&amp;"|"&amp;$M290&amp;"|"&amp;$N290&amp;"|"&amp;$O290&amp;"|"&amp;$P290&amp;"|"&amp;$Q290&amp;"|"&amp;$K290,PARAMETRES!$J$43:$J$342,0))),""))</f>
        <v/>
      </c>
      <c r="S290" s="35">
        <f>IF(OR($G290="",$X290&lt;&gt;"VALIDE"),"",IFERROR(LOOKUP(2,1/(($B$3:$B289=$B290)*($G$3:$G289=$G290)*($X$3:$X289="VALIDE")),$C$3:$C289),""))</f>
        <v/>
      </c>
      <c r="T290" s="36">
        <f>IF(OR($C290="",$S290=""),"",ROUND(($C290-$S290+IF($C290&lt;$S290,1,0))*1440,0))</f>
        <v/>
      </c>
      <c r="U290" s="22">
        <f>IF(OR($H290="",$T290="",$T290&lt;=0),"",$H290*60/$T290)</f>
        <v/>
      </c>
      <c r="V290" s="37">
        <f>IF(OR($U290="",$R290="",$R290=0),"",$U290/$R290)</f>
        <v/>
      </c>
      <c r="W290" s="20">
        <f>IF($G290="","",IF($X290="CONTEXTE INCOMPLET","CONTEXTE INCOMPLET",IF($X290="DOUBLON",StatutDoublon,IF($S290="",StatutInitial,IF($R290="",StatutStandardManquant,IF($V290="","DONNEES INSUFFISANTES",IF($V290&gt;=SeuilConforme,StatutConforme,IF($V290&gt;=SeuilSurveiller,StatutSurveiller,StatutSousStandard))))))))</f>
        <v/>
      </c>
      <c r="X290" s="33">
        <f>IF($G290="","",IF(OR($D290="",$E290="",$F290=""),"CONTEXTE INCOMPLET",IF(COUNTIFS($D$3:$D289,$D290,$E$3:$E289,$E290,$F$3:$F289,$F290,$G$3:$G289,$G290)&gt;0,"DOUBLON","VALIDE")))</f>
        <v/>
      </c>
    </row>
    <row r="291" ht="15" customHeight="1">
      <c r="A291" s="12">
        <f>IF(OR($B291="",$G291=""),"",TEXT($B291,"YYYYMMDD")&amp;"-"&amp;SUBSTITUTE($E291," ","")&amp;"-"&amp;$F291&amp;"-"&amp;$G291)</f>
        <v/>
      </c>
      <c r="B291" s="15" t="n"/>
      <c r="C291" s="16" t="n"/>
      <c r="D291" s="10" t="n"/>
      <c r="E291" s="9" t="n"/>
      <c r="F291" s="9" t="n"/>
      <c r="G291" s="13" t="n"/>
      <c r="H291" s="21" t="n"/>
      <c r="I291" s="21" t="n"/>
      <c r="J291" s="17">
        <f>IF($G291="","",IFERROR(INDEX(NomsEmployes,MATCH($G291,MatriculesEmployes,0)),"MATRICULE INCONNU"))</f>
        <v/>
      </c>
      <c r="K291" s="33">
        <f>IF(OR($D291="",$F291=""),"",IFERROR(IF(INDEX(RUNS!$L$6:$S$1005,MATCH($D291,RUNS!$A$6:$A$1005,0),MATCH("ACTIVITÉ "&amp;$F291,RUNS!$L$5:$S$5,0))="","",INDEX(RUNS!$L$6:$S$1005,MATCH($D291,RUNS!$A$6:$A$1005,0),MATCH("ACTIVITÉ "&amp;$F291,RUNS!$L$5:$S$5,0))),""))</f>
        <v/>
      </c>
      <c r="L291" s="33">
        <f>IF($D291="","",IFERROR(IF(INDEX(RUNS!$E$6:$E$1005,MATCH($D291,RUNS!$A$6:$A$1005,0))="","",INDEX(RUNS!$E$6:$E$1005,MATCH($D291,RUNS!$A$6:$A$1005,0))),""))</f>
        <v/>
      </c>
      <c r="M291" s="33">
        <f>IF($D291="","",IFERROR(IF(INDEX(RUNS!$F$6:$F$1005,MATCH($D291,RUNS!$A$6:$A$1005,0))="","",INDEX(RUNS!$F$6:$F$1005,MATCH($D291,RUNS!$A$6:$A$1005,0))),""))</f>
        <v/>
      </c>
      <c r="N291" s="33">
        <f>IF($D291="","",IFERROR(IF(INDEX(RUNS!$G$6:$G$1005,MATCH($D291,RUNS!$A$6:$A$1005,0))="","",INDEX(RUNS!$G$6:$G$1005,MATCH($D291,RUNS!$A$6:$A$1005,0))),""))</f>
        <v/>
      </c>
      <c r="O291" s="33">
        <f>IF($D291="","",IFERROR(IF(INDEX(RUNS!$H$6:$H$1005,MATCH($D291,RUNS!$A$6:$A$1005,0))="","",INDEX(RUNS!$H$6:$H$1005,MATCH($D291,RUNS!$A$6:$A$1005,0))),""))</f>
        <v/>
      </c>
      <c r="P291" s="33">
        <f>IF($D291="","",IFERROR(IF(INDEX(RUNS!$J$6:$J$1005,MATCH($D291,RUNS!$A$6:$A$1005,0))="","",INDEX(RUNS!$J$6:$J$1005,MATCH($D291,RUNS!$A$6:$A$1005,0))),""))</f>
        <v/>
      </c>
      <c r="Q291" s="33">
        <f>IF($D291="","",IFERROR(IF(INDEX(RUNS!$K$6:$K$1005,MATCH($D291,RUNS!$A$6:$A$1005,0))="","",INDEX(RUNS!$K$6:$K$1005,MATCH($D291,RUNS!$A$6:$A$1005,0))),""))</f>
        <v/>
      </c>
      <c r="R291" s="34">
        <f>IF(OR($L291="",$K291=""),"",IFERROR(IF(INDEX(PARAMETRES!$H$43:$H$342,MATCH($L291&amp;"|"&amp;$M291&amp;"|"&amp;$N291&amp;"|"&amp;$O291&amp;"|"&amp;$P291&amp;"|"&amp;$Q291&amp;"|"&amp;$K291,PARAMETRES!$J$43:$J$342,0))="","",INDEX(PARAMETRES!$H$43:$H$342,MATCH($L291&amp;"|"&amp;$M291&amp;"|"&amp;$N291&amp;"|"&amp;$O291&amp;"|"&amp;$P291&amp;"|"&amp;$Q291&amp;"|"&amp;$K291,PARAMETRES!$J$43:$J$342,0))),""))</f>
        <v/>
      </c>
      <c r="S291" s="35">
        <f>IF(OR($G291="",$X291&lt;&gt;"VALIDE"),"",IFERROR(LOOKUP(2,1/(($B$3:$B290=$B291)*($G$3:$G290=$G291)*($X$3:$X290="VALIDE")),$C$3:$C290),""))</f>
        <v/>
      </c>
      <c r="T291" s="36">
        <f>IF(OR($C291="",$S291=""),"",ROUND(($C291-$S291+IF($C291&lt;$S291,1,0))*1440,0))</f>
        <v/>
      </c>
      <c r="U291" s="22">
        <f>IF(OR($H291="",$T291="",$T291&lt;=0),"",$H291*60/$T291)</f>
        <v/>
      </c>
      <c r="V291" s="37">
        <f>IF(OR($U291="",$R291="",$R291=0),"",$U291/$R291)</f>
        <v/>
      </c>
      <c r="W291" s="20">
        <f>IF($G291="","",IF($X291="CONTEXTE INCOMPLET","CONTEXTE INCOMPLET",IF($X291="DOUBLON",StatutDoublon,IF($S291="",StatutInitial,IF($R291="",StatutStandardManquant,IF($V291="","DONNEES INSUFFISANTES",IF($V291&gt;=SeuilConforme,StatutConforme,IF($V291&gt;=SeuilSurveiller,StatutSurveiller,StatutSousStandard))))))))</f>
        <v/>
      </c>
      <c r="X291" s="33">
        <f>IF($G291="","",IF(OR($D291="",$E291="",$F291=""),"CONTEXTE INCOMPLET",IF(COUNTIFS($D$3:$D290,$D291,$E$3:$E290,$E291,$F$3:$F290,$F291,$G$3:$G290,$G291)&gt;0,"DOUBLON","VALIDE")))</f>
        <v/>
      </c>
    </row>
    <row r="292" ht="15" customHeight="1">
      <c r="A292" s="12">
        <f>IF(OR($B292="",$G292=""),"",TEXT($B292,"YYYYMMDD")&amp;"-"&amp;SUBSTITUTE($E292," ","")&amp;"-"&amp;$F292&amp;"-"&amp;$G292)</f>
        <v/>
      </c>
      <c r="B292" s="15" t="n"/>
      <c r="C292" s="16" t="n"/>
      <c r="D292" s="10" t="n"/>
      <c r="E292" s="9" t="n"/>
      <c r="F292" s="9" t="n"/>
      <c r="G292" s="13" t="n"/>
      <c r="H292" s="21" t="n"/>
      <c r="I292" s="21" t="n"/>
      <c r="J292" s="17">
        <f>IF($G292="","",IFERROR(INDEX(NomsEmployes,MATCH($G292,MatriculesEmployes,0)),"MATRICULE INCONNU"))</f>
        <v/>
      </c>
      <c r="K292" s="33">
        <f>IF(OR($D292="",$F292=""),"",IFERROR(IF(INDEX(RUNS!$L$6:$S$1005,MATCH($D292,RUNS!$A$6:$A$1005,0),MATCH("ACTIVITÉ "&amp;$F292,RUNS!$L$5:$S$5,0))="","",INDEX(RUNS!$L$6:$S$1005,MATCH($D292,RUNS!$A$6:$A$1005,0),MATCH("ACTIVITÉ "&amp;$F292,RUNS!$L$5:$S$5,0))),""))</f>
        <v/>
      </c>
      <c r="L292" s="33">
        <f>IF($D292="","",IFERROR(IF(INDEX(RUNS!$E$6:$E$1005,MATCH($D292,RUNS!$A$6:$A$1005,0))="","",INDEX(RUNS!$E$6:$E$1005,MATCH($D292,RUNS!$A$6:$A$1005,0))),""))</f>
        <v/>
      </c>
      <c r="M292" s="33">
        <f>IF($D292="","",IFERROR(IF(INDEX(RUNS!$F$6:$F$1005,MATCH($D292,RUNS!$A$6:$A$1005,0))="","",INDEX(RUNS!$F$6:$F$1005,MATCH($D292,RUNS!$A$6:$A$1005,0))),""))</f>
        <v/>
      </c>
      <c r="N292" s="33">
        <f>IF($D292="","",IFERROR(IF(INDEX(RUNS!$G$6:$G$1005,MATCH($D292,RUNS!$A$6:$A$1005,0))="","",INDEX(RUNS!$G$6:$G$1005,MATCH($D292,RUNS!$A$6:$A$1005,0))),""))</f>
        <v/>
      </c>
      <c r="O292" s="33">
        <f>IF($D292="","",IFERROR(IF(INDEX(RUNS!$H$6:$H$1005,MATCH($D292,RUNS!$A$6:$A$1005,0))="","",INDEX(RUNS!$H$6:$H$1005,MATCH($D292,RUNS!$A$6:$A$1005,0))),""))</f>
        <v/>
      </c>
      <c r="P292" s="33">
        <f>IF($D292="","",IFERROR(IF(INDEX(RUNS!$J$6:$J$1005,MATCH($D292,RUNS!$A$6:$A$1005,0))="","",INDEX(RUNS!$J$6:$J$1005,MATCH($D292,RUNS!$A$6:$A$1005,0))),""))</f>
        <v/>
      </c>
      <c r="Q292" s="33">
        <f>IF($D292="","",IFERROR(IF(INDEX(RUNS!$K$6:$K$1005,MATCH($D292,RUNS!$A$6:$A$1005,0))="","",INDEX(RUNS!$K$6:$K$1005,MATCH($D292,RUNS!$A$6:$A$1005,0))),""))</f>
        <v/>
      </c>
      <c r="R292" s="34">
        <f>IF(OR($L292="",$K292=""),"",IFERROR(IF(INDEX(PARAMETRES!$H$43:$H$342,MATCH($L292&amp;"|"&amp;$M292&amp;"|"&amp;$N292&amp;"|"&amp;$O292&amp;"|"&amp;$P292&amp;"|"&amp;$Q292&amp;"|"&amp;$K292,PARAMETRES!$J$43:$J$342,0))="","",INDEX(PARAMETRES!$H$43:$H$342,MATCH($L292&amp;"|"&amp;$M292&amp;"|"&amp;$N292&amp;"|"&amp;$O292&amp;"|"&amp;$P292&amp;"|"&amp;$Q292&amp;"|"&amp;$K292,PARAMETRES!$J$43:$J$342,0))),""))</f>
        <v/>
      </c>
      <c r="S292" s="35">
        <f>IF(OR($G292="",$X292&lt;&gt;"VALIDE"),"",IFERROR(LOOKUP(2,1/(($B$3:$B291=$B292)*($G$3:$G291=$G292)*($X$3:$X291="VALIDE")),$C$3:$C291),""))</f>
        <v/>
      </c>
      <c r="T292" s="36">
        <f>IF(OR($C292="",$S292=""),"",ROUND(($C292-$S292+IF($C292&lt;$S292,1,0))*1440,0))</f>
        <v/>
      </c>
      <c r="U292" s="22">
        <f>IF(OR($H292="",$T292="",$T292&lt;=0),"",$H292*60/$T292)</f>
        <v/>
      </c>
      <c r="V292" s="37">
        <f>IF(OR($U292="",$R292="",$R292=0),"",$U292/$R292)</f>
        <v/>
      </c>
      <c r="W292" s="20">
        <f>IF($G292="","",IF($X292="CONTEXTE INCOMPLET","CONTEXTE INCOMPLET",IF($X292="DOUBLON",StatutDoublon,IF($S292="",StatutInitial,IF($R292="",StatutStandardManquant,IF($V292="","DONNEES INSUFFISANTES",IF($V292&gt;=SeuilConforme,StatutConforme,IF($V292&gt;=SeuilSurveiller,StatutSurveiller,StatutSousStandard))))))))</f>
        <v/>
      </c>
      <c r="X292" s="33">
        <f>IF($G292="","",IF(OR($D292="",$E292="",$F292=""),"CONTEXTE INCOMPLET",IF(COUNTIFS($D$3:$D291,$D292,$E$3:$E291,$E292,$F$3:$F291,$F292,$G$3:$G291,$G292)&gt;0,"DOUBLON","VALIDE")))</f>
        <v/>
      </c>
    </row>
    <row r="293" ht="15" customHeight="1">
      <c r="A293" s="12">
        <f>IF(OR($B293="",$G293=""),"",TEXT($B293,"YYYYMMDD")&amp;"-"&amp;SUBSTITUTE($E293," ","")&amp;"-"&amp;$F293&amp;"-"&amp;$G293)</f>
        <v/>
      </c>
      <c r="B293" s="15" t="n"/>
      <c r="C293" s="16" t="n"/>
      <c r="D293" s="10" t="n"/>
      <c r="E293" s="9" t="n"/>
      <c r="F293" s="9" t="n"/>
      <c r="G293" s="13" t="n"/>
      <c r="H293" s="21" t="n"/>
      <c r="I293" s="21" t="n"/>
      <c r="J293" s="17">
        <f>IF($G293="","",IFERROR(INDEX(NomsEmployes,MATCH($G293,MatriculesEmployes,0)),"MATRICULE INCONNU"))</f>
        <v/>
      </c>
      <c r="K293" s="33">
        <f>IF(OR($D293="",$F293=""),"",IFERROR(IF(INDEX(RUNS!$L$6:$S$1005,MATCH($D293,RUNS!$A$6:$A$1005,0),MATCH("ACTIVITÉ "&amp;$F293,RUNS!$L$5:$S$5,0))="","",INDEX(RUNS!$L$6:$S$1005,MATCH($D293,RUNS!$A$6:$A$1005,0),MATCH("ACTIVITÉ "&amp;$F293,RUNS!$L$5:$S$5,0))),""))</f>
        <v/>
      </c>
      <c r="L293" s="33">
        <f>IF($D293="","",IFERROR(IF(INDEX(RUNS!$E$6:$E$1005,MATCH($D293,RUNS!$A$6:$A$1005,0))="","",INDEX(RUNS!$E$6:$E$1005,MATCH($D293,RUNS!$A$6:$A$1005,0))),""))</f>
        <v/>
      </c>
      <c r="M293" s="33">
        <f>IF($D293="","",IFERROR(IF(INDEX(RUNS!$F$6:$F$1005,MATCH($D293,RUNS!$A$6:$A$1005,0))="","",INDEX(RUNS!$F$6:$F$1005,MATCH($D293,RUNS!$A$6:$A$1005,0))),""))</f>
        <v/>
      </c>
      <c r="N293" s="33">
        <f>IF($D293="","",IFERROR(IF(INDEX(RUNS!$G$6:$G$1005,MATCH($D293,RUNS!$A$6:$A$1005,0))="","",INDEX(RUNS!$G$6:$G$1005,MATCH($D293,RUNS!$A$6:$A$1005,0))),""))</f>
        <v/>
      </c>
      <c r="O293" s="33">
        <f>IF($D293="","",IFERROR(IF(INDEX(RUNS!$H$6:$H$1005,MATCH($D293,RUNS!$A$6:$A$1005,0))="","",INDEX(RUNS!$H$6:$H$1005,MATCH($D293,RUNS!$A$6:$A$1005,0))),""))</f>
        <v/>
      </c>
      <c r="P293" s="33">
        <f>IF($D293="","",IFERROR(IF(INDEX(RUNS!$J$6:$J$1005,MATCH($D293,RUNS!$A$6:$A$1005,0))="","",INDEX(RUNS!$J$6:$J$1005,MATCH($D293,RUNS!$A$6:$A$1005,0))),""))</f>
        <v/>
      </c>
      <c r="Q293" s="33">
        <f>IF($D293="","",IFERROR(IF(INDEX(RUNS!$K$6:$K$1005,MATCH($D293,RUNS!$A$6:$A$1005,0))="","",INDEX(RUNS!$K$6:$K$1005,MATCH($D293,RUNS!$A$6:$A$1005,0))),""))</f>
        <v/>
      </c>
      <c r="R293" s="34">
        <f>IF(OR($L293="",$K293=""),"",IFERROR(IF(INDEX(PARAMETRES!$H$43:$H$342,MATCH($L293&amp;"|"&amp;$M293&amp;"|"&amp;$N293&amp;"|"&amp;$O293&amp;"|"&amp;$P293&amp;"|"&amp;$Q293&amp;"|"&amp;$K293,PARAMETRES!$J$43:$J$342,0))="","",INDEX(PARAMETRES!$H$43:$H$342,MATCH($L293&amp;"|"&amp;$M293&amp;"|"&amp;$N293&amp;"|"&amp;$O293&amp;"|"&amp;$P293&amp;"|"&amp;$Q293&amp;"|"&amp;$K293,PARAMETRES!$J$43:$J$342,0))),""))</f>
        <v/>
      </c>
      <c r="S293" s="35">
        <f>IF(OR($G293="",$X293&lt;&gt;"VALIDE"),"",IFERROR(LOOKUP(2,1/(($B$3:$B292=$B293)*($G$3:$G292=$G293)*($X$3:$X292="VALIDE")),$C$3:$C292),""))</f>
        <v/>
      </c>
      <c r="T293" s="36">
        <f>IF(OR($C293="",$S293=""),"",ROUND(($C293-$S293+IF($C293&lt;$S293,1,0))*1440,0))</f>
        <v/>
      </c>
      <c r="U293" s="22">
        <f>IF(OR($H293="",$T293="",$T293&lt;=0),"",$H293*60/$T293)</f>
        <v/>
      </c>
      <c r="V293" s="37">
        <f>IF(OR($U293="",$R293="",$R293=0),"",$U293/$R293)</f>
        <v/>
      </c>
      <c r="W293" s="20">
        <f>IF($G293="","",IF($X293="CONTEXTE INCOMPLET","CONTEXTE INCOMPLET",IF($X293="DOUBLON",StatutDoublon,IF($S293="",StatutInitial,IF($R293="",StatutStandardManquant,IF($V293="","DONNEES INSUFFISANTES",IF($V293&gt;=SeuilConforme,StatutConforme,IF($V293&gt;=SeuilSurveiller,StatutSurveiller,StatutSousStandard))))))))</f>
        <v/>
      </c>
      <c r="X293" s="33">
        <f>IF($G293="","",IF(OR($D293="",$E293="",$F293=""),"CONTEXTE INCOMPLET",IF(COUNTIFS($D$3:$D292,$D293,$E$3:$E292,$E293,$F$3:$F292,$F293,$G$3:$G292,$G293)&gt;0,"DOUBLON","VALIDE")))</f>
        <v/>
      </c>
    </row>
    <row r="294" ht="15" customHeight="1">
      <c r="A294" s="12">
        <f>IF(OR($B294="",$G294=""),"",TEXT($B294,"YYYYMMDD")&amp;"-"&amp;SUBSTITUTE($E294," ","")&amp;"-"&amp;$F294&amp;"-"&amp;$G294)</f>
        <v/>
      </c>
      <c r="B294" s="15" t="n"/>
      <c r="C294" s="16" t="n"/>
      <c r="D294" s="10" t="n"/>
      <c r="E294" s="9" t="n"/>
      <c r="F294" s="9" t="n"/>
      <c r="G294" s="13" t="n"/>
      <c r="H294" s="21" t="n"/>
      <c r="I294" s="21" t="n"/>
      <c r="J294" s="17">
        <f>IF($G294="","",IFERROR(INDEX(NomsEmployes,MATCH($G294,MatriculesEmployes,0)),"MATRICULE INCONNU"))</f>
        <v/>
      </c>
      <c r="K294" s="33">
        <f>IF(OR($D294="",$F294=""),"",IFERROR(IF(INDEX(RUNS!$L$6:$S$1005,MATCH($D294,RUNS!$A$6:$A$1005,0),MATCH("ACTIVITÉ "&amp;$F294,RUNS!$L$5:$S$5,0))="","",INDEX(RUNS!$L$6:$S$1005,MATCH($D294,RUNS!$A$6:$A$1005,0),MATCH("ACTIVITÉ "&amp;$F294,RUNS!$L$5:$S$5,0))),""))</f>
        <v/>
      </c>
      <c r="L294" s="33">
        <f>IF($D294="","",IFERROR(IF(INDEX(RUNS!$E$6:$E$1005,MATCH($D294,RUNS!$A$6:$A$1005,0))="","",INDEX(RUNS!$E$6:$E$1005,MATCH($D294,RUNS!$A$6:$A$1005,0))),""))</f>
        <v/>
      </c>
      <c r="M294" s="33">
        <f>IF($D294="","",IFERROR(IF(INDEX(RUNS!$F$6:$F$1005,MATCH($D294,RUNS!$A$6:$A$1005,0))="","",INDEX(RUNS!$F$6:$F$1005,MATCH($D294,RUNS!$A$6:$A$1005,0))),""))</f>
        <v/>
      </c>
      <c r="N294" s="33">
        <f>IF($D294="","",IFERROR(IF(INDEX(RUNS!$G$6:$G$1005,MATCH($D294,RUNS!$A$6:$A$1005,0))="","",INDEX(RUNS!$G$6:$G$1005,MATCH($D294,RUNS!$A$6:$A$1005,0))),""))</f>
        <v/>
      </c>
      <c r="O294" s="33">
        <f>IF($D294="","",IFERROR(IF(INDEX(RUNS!$H$6:$H$1005,MATCH($D294,RUNS!$A$6:$A$1005,0))="","",INDEX(RUNS!$H$6:$H$1005,MATCH($D294,RUNS!$A$6:$A$1005,0))),""))</f>
        <v/>
      </c>
      <c r="P294" s="33">
        <f>IF($D294="","",IFERROR(IF(INDEX(RUNS!$J$6:$J$1005,MATCH($D294,RUNS!$A$6:$A$1005,0))="","",INDEX(RUNS!$J$6:$J$1005,MATCH($D294,RUNS!$A$6:$A$1005,0))),""))</f>
        <v/>
      </c>
      <c r="Q294" s="33">
        <f>IF($D294="","",IFERROR(IF(INDEX(RUNS!$K$6:$K$1005,MATCH($D294,RUNS!$A$6:$A$1005,0))="","",INDEX(RUNS!$K$6:$K$1005,MATCH($D294,RUNS!$A$6:$A$1005,0))),""))</f>
        <v/>
      </c>
      <c r="R294" s="34">
        <f>IF(OR($L294="",$K294=""),"",IFERROR(IF(INDEX(PARAMETRES!$H$43:$H$342,MATCH($L294&amp;"|"&amp;$M294&amp;"|"&amp;$N294&amp;"|"&amp;$O294&amp;"|"&amp;$P294&amp;"|"&amp;$Q294&amp;"|"&amp;$K294,PARAMETRES!$J$43:$J$342,0))="","",INDEX(PARAMETRES!$H$43:$H$342,MATCH($L294&amp;"|"&amp;$M294&amp;"|"&amp;$N294&amp;"|"&amp;$O294&amp;"|"&amp;$P294&amp;"|"&amp;$Q294&amp;"|"&amp;$K294,PARAMETRES!$J$43:$J$342,0))),""))</f>
        <v/>
      </c>
      <c r="S294" s="35">
        <f>IF(OR($G294="",$X294&lt;&gt;"VALIDE"),"",IFERROR(LOOKUP(2,1/(($B$3:$B293=$B294)*($G$3:$G293=$G294)*($X$3:$X293="VALIDE")),$C$3:$C293),""))</f>
        <v/>
      </c>
      <c r="T294" s="36">
        <f>IF(OR($C294="",$S294=""),"",ROUND(($C294-$S294+IF($C294&lt;$S294,1,0))*1440,0))</f>
        <v/>
      </c>
      <c r="U294" s="22">
        <f>IF(OR($H294="",$T294="",$T294&lt;=0),"",$H294*60/$T294)</f>
        <v/>
      </c>
      <c r="V294" s="37">
        <f>IF(OR($U294="",$R294="",$R294=0),"",$U294/$R294)</f>
        <v/>
      </c>
      <c r="W294" s="20">
        <f>IF($G294="","",IF($X294="CONTEXTE INCOMPLET","CONTEXTE INCOMPLET",IF($X294="DOUBLON",StatutDoublon,IF($S294="",StatutInitial,IF($R294="",StatutStandardManquant,IF($V294="","DONNEES INSUFFISANTES",IF($V294&gt;=SeuilConforme,StatutConforme,IF($V294&gt;=SeuilSurveiller,StatutSurveiller,StatutSousStandard))))))))</f>
        <v/>
      </c>
      <c r="X294" s="33">
        <f>IF($G294="","",IF(OR($D294="",$E294="",$F294=""),"CONTEXTE INCOMPLET",IF(COUNTIFS($D$3:$D293,$D294,$E$3:$E293,$E294,$F$3:$F293,$F294,$G$3:$G293,$G294)&gt;0,"DOUBLON","VALIDE")))</f>
        <v/>
      </c>
    </row>
    <row r="295" ht="15" customHeight="1">
      <c r="A295" s="12">
        <f>IF(OR($B295="",$G295=""),"",TEXT($B295,"YYYYMMDD")&amp;"-"&amp;SUBSTITUTE($E295," ","")&amp;"-"&amp;$F295&amp;"-"&amp;$G295)</f>
        <v/>
      </c>
      <c r="B295" s="15" t="n"/>
      <c r="C295" s="16" t="n"/>
      <c r="D295" s="10" t="n"/>
      <c r="E295" s="9" t="n"/>
      <c r="F295" s="9" t="n"/>
      <c r="G295" s="13" t="n"/>
      <c r="H295" s="21" t="n"/>
      <c r="I295" s="21" t="n"/>
      <c r="J295" s="17">
        <f>IF($G295="","",IFERROR(INDEX(NomsEmployes,MATCH($G295,MatriculesEmployes,0)),"MATRICULE INCONNU"))</f>
        <v/>
      </c>
      <c r="K295" s="33">
        <f>IF(OR($D295="",$F295=""),"",IFERROR(IF(INDEX(RUNS!$L$6:$S$1005,MATCH($D295,RUNS!$A$6:$A$1005,0),MATCH("ACTIVITÉ "&amp;$F295,RUNS!$L$5:$S$5,0))="","",INDEX(RUNS!$L$6:$S$1005,MATCH($D295,RUNS!$A$6:$A$1005,0),MATCH("ACTIVITÉ "&amp;$F295,RUNS!$L$5:$S$5,0))),""))</f>
        <v/>
      </c>
      <c r="L295" s="33">
        <f>IF($D295="","",IFERROR(IF(INDEX(RUNS!$E$6:$E$1005,MATCH($D295,RUNS!$A$6:$A$1005,0))="","",INDEX(RUNS!$E$6:$E$1005,MATCH($D295,RUNS!$A$6:$A$1005,0))),""))</f>
        <v/>
      </c>
      <c r="M295" s="33">
        <f>IF($D295="","",IFERROR(IF(INDEX(RUNS!$F$6:$F$1005,MATCH($D295,RUNS!$A$6:$A$1005,0))="","",INDEX(RUNS!$F$6:$F$1005,MATCH($D295,RUNS!$A$6:$A$1005,0))),""))</f>
        <v/>
      </c>
      <c r="N295" s="33">
        <f>IF($D295="","",IFERROR(IF(INDEX(RUNS!$G$6:$G$1005,MATCH($D295,RUNS!$A$6:$A$1005,0))="","",INDEX(RUNS!$G$6:$G$1005,MATCH($D295,RUNS!$A$6:$A$1005,0))),""))</f>
        <v/>
      </c>
      <c r="O295" s="33">
        <f>IF($D295="","",IFERROR(IF(INDEX(RUNS!$H$6:$H$1005,MATCH($D295,RUNS!$A$6:$A$1005,0))="","",INDEX(RUNS!$H$6:$H$1005,MATCH($D295,RUNS!$A$6:$A$1005,0))),""))</f>
        <v/>
      </c>
      <c r="P295" s="33">
        <f>IF($D295="","",IFERROR(IF(INDEX(RUNS!$J$6:$J$1005,MATCH($D295,RUNS!$A$6:$A$1005,0))="","",INDEX(RUNS!$J$6:$J$1005,MATCH($D295,RUNS!$A$6:$A$1005,0))),""))</f>
        <v/>
      </c>
      <c r="Q295" s="33">
        <f>IF($D295="","",IFERROR(IF(INDEX(RUNS!$K$6:$K$1005,MATCH($D295,RUNS!$A$6:$A$1005,0))="","",INDEX(RUNS!$K$6:$K$1005,MATCH($D295,RUNS!$A$6:$A$1005,0))),""))</f>
        <v/>
      </c>
      <c r="R295" s="34">
        <f>IF(OR($L295="",$K295=""),"",IFERROR(IF(INDEX(PARAMETRES!$H$43:$H$342,MATCH($L295&amp;"|"&amp;$M295&amp;"|"&amp;$N295&amp;"|"&amp;$O295&amp;"|"&amp;$P295&amp;"|"&amp;$Q295&amp;"|"&amp;$K295,PARAMETRES!$J$43:$J$342,0))="","",INDEX(PARAMETRES!$H$43:$H$342,MATCH($L295&amp;"|"&amp;$M295&amp;"|"&amp;$N295&amp;"|"&amp;$O295&amp;"|"&amp;$P295&amp;"|"&amp;$Q295&amp;"|"&amp;$K295,PARAMETRES!$J$43:$J$342,0))),""))</f>
        <v/>
      </c>
      <c r="S295" s="35">
        <f>IF(OR($G295="",$X295&lt;&gt;"VALIDE"),"",IFERROR(LOOKUP(2,1/(($B$3:$B294=$B295)*($G$3:$G294=$G295)*($X$3:$X294="VALIDE")),$C$3:$C294),""))</f>
        <v/>
      </c>
      <c r="T295" s="36">
        <f>IF(OR($C295="",$S295=""),"",ROUND(($C295-$S295+IF($C295&lt;$S295,1,0))*1440,0))</f>
        <v/>
      </c>
      <c r="U295" s="22">
        <f>IF(OR($H295="",$T295="",$T295&lt;=0),"",$H295*60/$T295)</f>
        <v/>
      </c>
      <c r="V295" s="37">
        <f>IF(OR($U295="",$R295="",$R295=0),"",$U295/$R295)</f>
        <v/>
      </c>
      <c r="W295" s="20">
        <f>IF($G295="","",IF($X295="CONTEXTE INCOMPLET","CONTEXTE INCOMPLET",IF($X295="DOUBLON",StatutDoublon,IF($S295="",StatutInitial,IF($R295="",StatutStandardManquant,IF($V295="","DONNEES INSUFFISANTES",IF($V295&gt;=SeuilConforme,StatutConforme,IF($V295&gt;=SeuilSurveiller,StatutSurveiller,StatutSousStandard))))))))</f>
        <v/>
      </c>
      <c r="X295" s="33">
        <f>IF($G295="","",IF(OR($D295="",$E295="",$F295=""),"CONTEXTE INCOMPLET",IF(COUNTIFS($D$3:$D294,$D295,$E$3:$E294,$E295,$F$3:$F294,$F295,$G$3:$G294,$G295)&gt;0,"DOUBLON","VALIDE")))</f>
        <v/>
      </c>
    </row>
    <row r="296" ht="15" customHeight="1">
      <c r="A296" s="12">
        <f>IF(OR($B296="",$G296=""),"",TEXT($B296,"YYYYMMDD")&amp;"-"&amp;SUBSTITUTE($E296," ","")&amp;"-"&amp;$F296&amp;"-"&amp;$G296)</f>
        <v/>
      </c>
      <c r="B296" s="15" t="n"/>
      <c r="C296" s="16" t="n"/>
      <c r="D296" s="10" t="n"/>
      <c r="E296" s="9" t="n"/>
      <c r="F296" s="9" t="n"/>
      <c r="G296" s="13" t="n"/>
      <c r="H296" s="21" t="n"/>
      <c r="I296" s="21" t="n"/>
      <c r="J296" s="17">
        <f>IF($G296="","",IFERROR(INDEX(NomsEmployes,MATCH($G296,MatriculesEmployes,0)),"MATRICULE INCONNU"))</f>
        <v/>
      </c>
      <c r="K296" s="33">
        <f>IF(OR($D296="",$F296=""),"",IFERROR(IF(INDEX(RUNS!$L$6:$S$1005,MATCH($D296,RUNS!$A$6:$A$1005,0),MATCH("ACTIVITÉ "&amp;$F296,RUNS!$L$5:$S$5,0))="","",INDEX(RUNS!$L$6:$S$1005,MATCH($D296,RUNS!$A$6:$A$1005,0),MATCH("ACTIVITÉ "&amp;$F296,RUNS!$L$5:$S$5,0))),""))</f>
        <v/>
      </c>
      <c r="L296" s="33">
        <f>IF($D296="","",IFERROR(IF(INDEX(RUNS!$E$6:$E$1005,MATCH($D296,RUNS!$A$6:$A$1005,0))="","",INDEX(RUNS!$E$6:$E$1005,MATCH($D296,RUNS!$A$6:$A$1005,0))),""))</f>
        <v/>
      </c>
      <c r="M296" s="33">
        <f>IF($D296="","",IFERROR(IF(INDEX(RUNS!$F$6:$F$1005,MATCH($D296,RUNS!$A$6:$A$1005,0))="","",INDEX(RUNS!$F$6:$F$1005,MATCH($D296,RUNS!$A$6:$A$1005,0))),""))</f>
        <v/>
      </c>
      <c r="N296" s="33">
        <f>IF($D296="","",IFERROR(IF(INDEX(RUNS!$G$6:$G$1005,MATCH($D296,RUNS!$A$6:$A$1005,0))="","",INDEX(RUNS!$G$6:$G$1005,MATCH($D296,RUNS!$A$6:$A$1005,0))),""))</f>
        <v/>
      </c>
      <c r="O296" s="33">
        <f>IF($D296="","",IFERROR(IF(INDEX(RUNS!$H$6:$H$1005,MATCH($D296,RUNS!$A$6:$A$1005,0))="","",INDEX(RUNS!$H$6:$H$1005,MATCH($D296,RUNS!$A$6:$A$1005,0))),""))</f>
        <v/>
      </c>
      <c r="P296" s="33">
        <f>IF($D296="","",IFERROR(IF(INDEX(RUNS!$J$6:$J$1005,MATCH($D296,RUNS!$A$6:$A$1005,0))="","",INDEX(RUNS!$J$6:$J$1005,MATCH($D296,RUNS!$A$6:$A$1005,0))),""))</f>
        <v/>
      </c>
      <c r="Q296" s="33">
        <f>IF($D296="","",IFERROR(IF(INDEX(RUNS!$K$6:$K$1005,MATCH($D296,RUNS!$A$6:$A$1005,0))="","",INDEX(RUNS!$K$6:$K$1005,MATCH($D296,RUNS!$A$6:$A$1005,0))),""))</f>
        <v/>
      </c>
      <c r="R296" s="34">
        <f>IF(OR($L296="",$K296=""),"",IFERROR(IF(INDEX(PARAMETRES!$H$43:$H$342,MATCH($L296&amp;"|"&amp;$M296&amp;"|"&amp;$N296&amp;"|"&amp;$O296&amp;"|"&amp;$P296&amp;"|"&amp;$Q296&amp;"|"&amp;$K296,PARAMETRES!$J$43:$J$342,0))="","",INDEX(PARAMETRES!$H$43:$H$342,MATCH($L296&amp;"|"&amp;$M296&amp;"|"&amp;$N296&amp;"|"&amp;$O296&amp;"|"&amp;$P296&amp;"|"&amp;$Q296&amp;"|"&amp;$K296,PARAMETRES!$J$43:$J$342,0))),""))</f>
        <v/>
      </c>
      <c r="S296" s="35">
        <f>IF(OR($G296="",$X296&lt;&gt;"VALIDE"),"",IFERROR(LOOKUP(2,1/(($B$3:$B295=$B296)*($G$3:$G295=$G296)*($X$3:$X295="VALIDE")),$C$3:$C295),""))</f>
        <v/>
      </c>
      <c r="T296" s="36">
        <f>IF(OR($C296="",$S296=""),"",ROUND(($C296-$S296+IF($C296&lt;$S296,1,0))*1440,0))</f>
        <v/>
      </c>
      <c r="U296" s="22">
        <f>IF(OR($H296="",$T296="",$T296&lt;=0),"",$H296*60/$T296)</f>
        <v/>
      </c>
      <c r="V296" s="37">
        <f>IF(OR($U296="",$R296="",$R296=0),"",$U296/$R296)</f>
        <v/>
      </c>
      <c r="W296" s="20">
        <f>IF($G296="","",IF($X296="CONTEXTE INCOMPLET","CONTEXTE INCOMPLET",IF($X296="DOUBLON",StatutDoublon,IF($S296="",StatutInitial,IF($R296="",StatutStandardManquant,IF($V296="","DONNEES INSUFFISANTES",IF($V296&gt;=SeuilConforme,StatutConforme,IF($V296&gt;=SeuilSurveiller,StatutSurveiller,StatutSousStandard))))))))</f>
        <v/>
      </c>
      <c r="X296" s="33">
        <f>IF($G296="","",IF(OR($D296="",$E296="",$F296=""),"CONTEXTE INCOMPLET",IF(COUNTIFS($D$3:$D295,$D296,$E$3:$E295,$E296,$F$3:$F295,$F296,$G$3:$G295,$G296)&gt;0,"DOUBLON","VALIDE")))</f>
        <v/>
      </c>
    </row>
    <row r="297" ht="15" customHeight="1">
      <c r="A297" s="12">
        <f>IF(OR($B297="",$G297=""),"",TEXT($B297,"YYYYMMDD")&amp;"-"&amp;SUBSTITUTE($E297," ","")&amp;"-"&amp;$F297&amp;"-"&amp;$G297)</f>
        <v/>
      </c>
      <c r="B297" s="15" t="n"/>
      <c r="C297" s="16" t="n"/>
      <c r="D297" s="10" t="n"/>
      <c r="E297" s="9" t="n"/>
      <c r="F297" s="9" t="n"/>
      <c r="G297" s="13" t="n"/>
      <c r="H297" s="21" t="n"/>
      <c r="I297" s="21" t="n"/>
      <c r="J297" s="17">
        <f>IF($G297="","",IFERROR(INDEX(NomsEmployes,MATCH($G297,MatriculesEmployes,0)),"MATRICULE INCONNU"))</f>
        <v/>
      </c>
      <c r="K297" s="33">
        <f>IF(OR($D297="",$F297=""),"",IFERROR(IF(INDEX(RUNS!$L$6:$S$1005,MATCH($D297,RUNS!$A$6:$A$1005,0),MATCH("ACTIVITÉ "&amp;$F297,RUNS!$L$5:$S$5,0))="","",INDEX(RUNS!$L$6:$S$1005,MATCH($D297,RUNS!$A$6:$A$1005,0),MATCH("ACTIVITÉ "&amp;$F297,RUNS!$L$5:$S$5,0))),""))</f>
        <v/>
      </c>
      <c r="L297" s="33">
        <f>IF($D297="","",IFERROR(IF(INDEX(RUNS!$E$6:$E$1005,MATCH($D297,RUNS!$A$6:$A$1005,0))="","",INDEX(RUNS!$E$6:$E$1005,MATCH($D297,RUNS!$A$6:$A$1005,0))),""))</f>
        <v/>
      </c>
      <c r="M297" s="33">
        <f>IF($D297="","",IFERROR(IF(INDEX(RUNS!$F$6:$F$1005,MATCH($D297,RUNS!$A$6:$A$1005,0))="","",INDEX(RUNS!$F$6:$F$1005,MATCH($D297,RUNS!$A$6:$A$1005,0))),""))</f>
        <v/>
      </c>
      <c r="N297" s="33">
        <f>IF($D297="","",IFERROR(IF(INDEX(RUNS!$G$6:$G$1005,MATCH($D297,RUNS!$A$6:$A$1005,0))="","",INDEX(RUNS!$G$6:$G$1005,MATCH($D297,RUNS!$A$6:$A$1005,0))),""))</f>
        <v/>
      </c>
      <c r="O297" s="33">
        <f>IF($D297="","",IFERROR(IF(INDEX(RUNS!$H$6:$H$1005,MATCH($D297,RUNS!$A$6:$A$1005,0))="","",INDEX(RUNS!$H$6:$H$1005,MATCH($D297,RUNS!$A$6:$A$1005,0))),""))</f>
        <v/>
      </c>
      <c r="P297" s="33">
        <f>IF($D297="","",IFERROR(IF(INDEX(RUNS!$J$6:$J$1005,MATCH($D297,RUNS!$A$6:$A$1005,0))="","",INDEX(RUNS!$J$6:$J$1005,MATCH($D297,RUNS!$A$6:$A$1005,0))),""))</f>
        <v/>
      </c>
      <c r="Q297" s="33">
        <f>IF($D297="","",IFERROR(IF(INDEX(RUNS!$K$6:$K$1005,MATCH($D297,RUNS!$A$6:$A$1005,0))="","",INDEX(RUNS!$K$6:$K$1005,MATCH($D297,RUNS!$A$6:$A$1005,0))),""))</f>
        <v/>
      </c>
      <c r="R297" s="34">
        <f>IF(OR($L297="",$K297=""),"",IFERROR(IF(INDEX(PARAMETRES!$H$43:$H$342,MATCH($L297&amp;"|"&amp;$M297&amp;"|"&amp;$N297&amp;"|"&amp;$O297&amp;"|"&amp;$P297&amp;"|"&amp;$Q297&amp;"|"&amp;$K297,PARAMETRES!$J$43:$J$342,0))="","",INDEX(PARAMETRES!$H$43:$H$342,MATCH($L297&amp;"|"&amp;$M297&amp;"|"&amp;$N297&amp;"|"&amp;$O297&amp;"|"&amp;$P297&amp;"|"&amp;$Q297&amp;"|"&amp;$K297,PARAMETRES!$J$43:$J$342,0))),""))</f>
        <v/>
      </c>
      <c r="S297" s="35">
        <f>IF(OR($G297="",$X297&lt;&gt;"VALIDE"),"",IFERROR(LOOKUP(2,1/(($B$3:$B296=$B297)*($G$3:$G296=$G297)*($X$3:$X296="VALIDE")),$C$3:$C296),""))</f>
        <v/>
      </c>
      <c r="T297" s="36">
        <f>IF(OR($C297="",$S297=""),"",ROUND(($C297-$S297+IF($C297&lt;$S297,1,0))*1440,0))</f>
        <v/>
      </c>
      <c r="U297" s="22">
        <f>IF(OR($H297="",$T297="",$T297&lt;=0),"",$H297*60/$T297)</f>
        <v/>
      </c>
      <c r="V297" s="37">
        <f>IF(OR($U297="",$R297="",$R297=0),"",$U297/$R297)</f>
        <v/>
      </c>
      <c r="W297" s="20">
        <f>IF($G297="","",IF($X297="CONTEXTE INCOMPLET","CONTEXTE INCOMPLET",IF($X297="DOUBLON",StatutDoublon,IF($S297="",StatutInitial,IF($R297="",StatutStandardManquant,IF($V297="","DONNEES INSUFFISANTES",IF($V297&gt;=SeuilConforme,StatutConforme,IF($V297&gt;=SeuilSurveiller,StatutSurveiller,StatutSousStandard))))))))</f>
        <v/>
      </c>
      <c r="X297" s="33">
        <f>IF($G297="","",IF(OR($D297="",$E297="",$F297=""),"CONTEXTE INCOMPLET",IF(COUNTIFS($D$3:$D296,$D297,$E$3:$E296,$E297,$F$3:$F296,$F297,$G$3:$G296,$G297)&gt;0,"DOUBLON","VALIDE")))</f>
        <v/>
      </c>
    </row>
    <row r="298" ht="15" customHeight="1">
      <c r="A298" s="12">
        <f>IF(OR($B298="",$G298=""),"",TEXT($B298,"YYYYMMDD")&amp;"-"&amp;SUBSTITUTE($E298," ","")&amp;"-"&amp;$F298&amp;"-"&amp;$G298)</f>
        <v/>
      </c>
      <c r="B298" s="15" t="n"/>
      <c r="C298" s="16" t="n"/>
      <c r="D298" s="10" t="n"/>
      <c r="E298" s="9" t="n"/>
      <c r="F298" s="9" t="n"/>
      <c r="G298" s="13" t="n"/>
      <c r="H298" s="21" t="n"/>
      <c r="I298" s="21" t="n"/>
      <c r="J298" s="17">
        <f>IF($G298="","",IFERROR(INDEX(NomsEmployes,MATCH($G298,MatriculesEmployes,0)),"MATRICULE INCONNU"))</f>
        <v/>
      </c>
      <c r="K298" s="33">
        <f>IF(OR($D298="",$F298=""),"",IFERROR(IF(INDEX(RUNS!$L$6:$S$1005,MATCH($D298,RUNS!$A$6:$A$1005,0),MATCH("ACTIVITÉ "&amp;$F298,RUNS!$L$5:$S$5,0))="","",INDEX(RUNS!$L$6:$S$1005,MATCH($D298,RUNS!$A$6:$A$1005,0),MATCH("ACTIVITÉ "&amp;$F298,RUNS!$L$5:$S$5,0))),""))</f>
        <v/>
      </c>
      <c r="L298" s="33">
        <f>IF($D298="","",IFERROR(IF(INDEX(RUNS!$E$6:$E$1005,MATCH($D298,RUNS!$A$6:$A$1005,0))="","",INDEX(RUNS!$E$6:$E$1005,MATCH($D298,RUNS!$A$6:$A$1005,0))),""))</f>
        <v/>
      </c>
      <c r="M298" s="33">
        <f>IF($D298="","",IFERROR(IF(INDEX(RUNS!$F$6:$F$1005,MATCH($D298,RUNS!$A$6:$A$1005,0))="","",INDEX(RUNS!$F$6:$F$1005,MATCH($D298,RUNS!$A$6:$A$1005,0))),""))</f>
        <v/>
      </c>
      <c r="N298" s="33">
        <f>IF($D298="","",IFERROR(IF(INDEX(RUNS!$G$6:$G$1005,MATCH($D298,RUNS!$A$6:$A$1005,0))="","",INDEX(RUNS!$G$6:$G$1005,MATCH($D298,RUNS!$A$6:$A$1005,0))),""))</f>
        <v/>
      </c>
      <c r="O298" s="33">
        <f>IF($D298="","",IFERROR(IF(INDEX(RUNS!$H$6:$H$1005,MATCH($D298,RUNS!$A$6:$A$1005,0))="","",INDEX(RUNS!$H$6:$H$1005,MATCH($D298,RUNS!$A$6:$A$1005,0))),""))</f>
        <v/>
      </c>
      <c r="P298" s="33">
        <f>IF($D298="","",IFERROR(IF(INDEX(RUNS!$J$6:$J$1005,MATCH($D298,RUNS!$A$6:$A$1005,0))="","",INDEX(RUNS!$J$6:$J$1005,MATCH($D298,RUNS!$A$6:$A$1005,0))),""))</f>
        <v/>
      </c>
      <c r="Q298" s="33">
        <f>IF($D298="","",IFERROR(IF(INDEX(RUNS!$K$6:$K$1005,MATCH($D298,RUNS!$A$6:$A$1005,0))="","",INDEX(RUNS!$K$6:$K$1005,MATCH($D298,RUNS!$A$6:$A$1005,0))),""))</f>
        <v/>
      </c>
      <c r="R298" s="34">
        <f>IF(OR($L298="",$K298=""),"",IFERROR(IF(INDEX(PARAMETRES!$H$43:$H$342,MATCH($L298&amp;"|"&amp;$M298&amp;"|"&amp;$N298&amp;"|"&amp;$O298&amp;"|"&amp;$P298&amp;"|"&amp;$Q298&amp;"|"&amp;$K298,PARAMETRES!$J$43:$J$342,0))="","",INDEX(PARAMETRES!$H$43:$H$342,MATCH($L298&amp;"|"&amp;$M298&amp;"|"&amp;$N298&amp;"|"&amp;$O298&amp;"|"&amp;$P298&amp;"|"&amp;$Q298&amp;"|"&amp;$K298,PARAMETRES!$J$43:$J$342,0))),""))</f>
        <v/>
      </c>
      <c r="S298" s="35">
        <f>IF(OR($G298="",$X298&lt;&gt;"VALIDE"),"",IFERROR(LOOKUP(2,1/(($B$3:$B297=$B298)*($G$3:$G297=$G298)*($X$3:$X297="VALIDE")),$C$3:$C297),""))</f>
        <v/>
      </c>
      <c r="T298" s="36">
        <f>IF(OR($C298="",$S298=""),"",ROUND(($C298-$S298+IF($C298&lt;$S298,1,0))*1440,0))</f>
        <v/>
      </c>
      <c r="U298" s="22">
        <f>IF(OR($H298="",$T298="",$T298&lt;=0),"",$H298*60/$T298)</f>
        <v/>
      </c>
      <c r="V298" s="37">
        <f>IF(OR($U298="",$R298="",$R298=0),"",$U298/$R298)</f>
        <v/>
      </c>
      <c r="W298" s="20">
        <f>IF($G298="","",IF($X298="CONTEXTE INCOMPLET","CONTEXTE INCOMPLET",IF($X298="DOUBLON",StatutDoublon,IF($S298="",StatutInitial,IF($R298="",StatutStandardManquant,IF($V298="","DONNEES INSUFFISANTES",IF($V298&gt;=SeuilConforme,StatutConforme,IF($V298&gt;=SeuilSurveiller,StatutSurveiller,StatutSousStandard))))))))</f>
        <v/>
      </c>
      <c r="X298" s="33">
        <f>IF($G298="","",IF(OR($D298="",$E298="",$F298=""),"CONTEXTE INCOMPLET",IF(COUNTIFS($D$3:$D297,$D298,$E$3:$E297,$E298,$F$3:$F297,$F298,$G$3:$G297,$G298)&gt;0,"DOUBLON","VALIDE")))</f>
        <v/>
      </c>
    </row>
    <row r="299" ht="15" customHeight="1">
      <c r="A299" s="12">
        <f>IF(OR($B299="",$G299=""),"",TEXT($B299,"YYYYMMDD")&amp;"-"&amp;SUBSTITUTE($E299," ","")&amp;"-"&amp;$F299&amp;"-"&amp;$G299)</f>
        <v/>
      </c>
      <c r="B299" s="15" t="n"/>
      <c r="C299" s="16" t="n"/>
      <c r="D299" s="10" t="n"/>
      <c r="E299" s="9" t="n"/>
      <c r="F299" s="9" t="n"/>
      <c r="G299" s="13" t="n"/>
      <c r="H299" s="21" t="n"/>
      <c r="I299" s="21" t="n"/>
      <c r="J299" s="17">
        <f>IF($G299="","",IFERROR(INDEX(NomsEmployes,MATCH($G299,MatriculesEmployes,0)),"MATRICULE INCONNU"))</f>
        <v/>
      </c>
      <c r="K299" s="33">
        <f>IF(OR($D299="",$F299=""),"",IFERROR(IF(INDEX(RUNS!$L$6:$S$1005,MATCH($D299,RUNS!$A$6:$A$1005,0),MATCH("ACTIVITÉ "&amp;$F299,RUNS!$L$5:$S$5,0))="","",INDEX(RUNS!$L$6:$S$1005,MATCH($D299,RUNS!$A$6:$A$1005,0),MATCH("ACTIVITÉ "&amp;$F299,RUNS!$L$5:$S$5,0))),""))</f>
        <v/>
      </c>
      <c r="L299" s="33">
        <f>IF($D299="","",IFERROR(IF(INDEX(RUNS!$E$6:$E$1005,MATCH($D299,RUNS!$A$6:$A$1005,0))="","",INDEX(RUNS!$E$6:$E$1005,MATCH($D299,RUNS!$A$6:$A$1005,0))),""))</f>
        <v/>
      </c>
      <c r="M299" s="33">
        <f>IF($D299="","",IFERROR(IF(INDEX(RUNS!$F$6:$F$1005,MATCH($D299,RUNS!$A$6:$A$1005,0))="","",INDEX(RUNS!$F$6:$F$1005,MATCH($D299,RUNS!$A$6:$A$1005,0))),""))</f>
        <v/>
      </c>
      <c r="N299" s="33">
        <f>IF($D299="","",IFERROR(IF(INDEX(RUNS!$G$6:$G$1005,MATCH($D299,RUNS!$A$6:$A$1005,0))="","",INDEX(RUNS!$G$6:$G$1005,MATCH($D299,RUNS!$A$6:$A$1005,0))),""))</f>
        <v/>
      </c>
      <c r="O299" s="33">
        <f>IF($D299="","",IFERROR(IF(INDEX(RUNS!$H$6:$H$1005,MATCH($D299,RUNS!$A$6:$A$1005,0))="","",INDEX(RUNS!$H$6:$H$1005,MATCH($D299,RUNS!$A$6:$A$1005,0))),""))</f>
        <v/>
      </c>
      <c r="P299" s="33">
        <f>IF($D299="","",IFERROR(IF(INDEX(RUNS!$J$6:$J$1005,MATCH($D299,RUNS!$A$6:$A$1005,0))="","",INDEX(RUNS!$J$6:$J$1005,MATCH($D299,RUNS!$A$6:$A$1005,0))),""))</f>
        <v/>
      </c>
      <c r="Q299" s="33">
        <f>IF($D299="","",IFERROR(IF(INDEX(RUNS!$K$6:$K$1005,MATCH($D299,RUNS!$A$6:$A$1005,0))="","",INDEX(RUNS!$K$6:$K$1005,MATCH($D299,RUNS!$A$6:$A$1005,0))),""))</f>
        <v/>
      </c>
      <c r="R299" s="34">
        <f>IF(OR($L299="",$K299=""),"",IFERROR(IF(INDEX(PARAMETRES!$H$43:$H$342,MATCH($L299&amp;"|"&amp;$M299&amp;"|"&amp;$N299&amp;"|"&amp;$O299&amp;"|"&amp;$P299&amp;"|"&amp;$Q299&amp;"|"&amp;$K299,PARAMETRES!$J$43:$J$342,0))="","",INDEX(PARAMETRES!$H$43:$H$342,MATCH($L299&amp;"|"&amp;$M299&amp;"|"&amp;$N299&amp;"|"&amp;$O299&amp;"|"&amp;$P299&amp;"|"&amp;$Q299&amp;"|"&amp;$K299,PARAMETRES!$J$43:$J$342,0))),""))</f>
        <v/>
      </c>
      <c r="S299" s="35">
        <f>IF(OR($G299="",$X299&lt;&gt;"VALIDE"),"",IFERROR(LOOKUP(2,1/(($B$3:$B298=$B299)*($G$3:$G298=$G299)*($X$3:$X298="VALIDE")),$C$3:$C298),""))</f>
        <v/>
      </c>
      <c r="T299" s="36">
        <f>IF(OR($C299="",$S299=""),"",ROUND(($C299-$S299+IF($C299&lt;$S299,1,0))*1440,0))</f>
        <v/>
      </c>
      <c r="U299" s="22">
        <f>IF(OR($H299="",$T299="",$T299&lt;=0),"",$H299*60/$T299)</f>
        <v/>
      </c>
      <c r="V299" s="37">
        <f>IF(OR($U299="",$R299="",$R299=0),"",$U299/$R299)</f>
        <v/>
      </c>
      <c r="W299" s="20">
        <f>IF($G299="","",IF($X299="CONTEXTE INCOMPLET","CONTEXTE INCOMPLET",IF($X299="DOUBLON",StatutDoublon,IF($S299="",StatutInitial,IF($R299="",StatutStandardManquant,IF($V299="","DONNEES INSUFFISANTES",IF($V299&gt;=SeuilConforme,StatutConforme,IF($V299&gt;=SeuilSurveiller,StatutSurveiller,StatutSousStandard))))))))</f>
        <v/>
      </c>
      <c r="X299" s="33">
        <f>IF($G299="","",IF(OR($D299="",$E299="",$F299=""),"CONTEXTE INCOMPLET",IF(COUNTIFS($D$3:$D298,$D299,$E$3:$E298,$E299,$F$3:$F298,$F299,$G$3:$G298,$G299)&gt;0,"DOUBLON","VALIDE")))</f>
        <v/>
      </c>
    </row>
    <row r="300" ht="15" customHeight="1">
      <c r="A300" s="12">
        <f>IF(OR($B300="",$G300=""),"",TEXT($B300,"YYYYMMDD")&amp;"-"&amp;SUBSTITUTE($E300," ","")&amp;"-"&amp;$F300&amp;"-"&amp;$G300)</f>
        <v/>
      </c>
      <c r="B300" s="15" t="n"/>
      <c r="C300" s="16" t="n"/>
      <c r="D300" s="10" t="n"/>
      <c r="E300" s="9" t="n"/>
      <c r="F300" s="9" t="n"/>
      <c r="G300" s="13" t="n"/>
      <c r="H300" s="21" t="n"/>
      <c r="I300" s="21" t="n"/>
      <c r="J300" s="17">
        <f>IF($G300="","",IFERROR(INDEX(NomsEmployes,MATCH($G300,MatriculesEmployes,0)),"MATRICULE INCONNU"))</f>
        <v/>
      </c>
      <c r="K300" s="33">
        <f>IF(OR($D300="",$F300=""),"",IFERROR(IF(INDEX(RUNS!$L$6:$S$1005,MATCH($D300,RUNS!$A$6:$A$1005,0),MATCH("ACTIVITÉ "&amp;$F300,RUNS!$L$5:$S$5,0))="","",INDEX(RUNS!$L$6:$S$1005,MATCH($D300,RUNS!$A$6:$A$1005,0),MATCH("ACTIVITÉ "&amp;$F300,RUNS!$L$5:$S$5,0))),""))</f>
        <v/>
      </c>
      <c r="L300" s="33">
        <f>IF($D300="","",IFERROR(IF(INDEX(RUNS!$E$6:$E$1005,MATCH($D300,RUNS!$A$6:$A$1005,0))="","",INDEX(RUNS!$E$6:$E$1005,MATCH($D300,RUNS!$A$6:$A$1005,0))),""))</f>
        <v/>
      </c>
      <c r="M300" s="33">
        <f>IF($D300="","",IFERROR(IF(INDEX(RUNS!$F$6:$F$1005,MATCH($D300,RUNS!$A$6:$A$1005,0))="","",INDEX(RUNS!$F$6:$F$1005,MATCH($D300,RUNS!$A$6:$A$1005,0))),""))</f>
        <v/>
      </c>
      <c r="N300" s="33">
        <f>IF($D300="","",IFERROR(IF(INDEX(RUNS!$G$6:$G$1005,MATCH($D300,RUNS!$A$6:$A$1005,0))="","",INDEX(RUNS!$G$6:$G$1005,MATCH($D300,RUNS!$A$6:$A$1005,0))),""))</f>
        <v/>
      </c>
      <c r="O300" s="33">
        <f>IF($D300="","",IFERROR(IF(INDEX(RUNS!$H$6:$H$1005,MATCH($D300,RUNS!$A$6:$A$1005,0))="","",INDEX(RUNS!$H$6:$H$1005,MATCH($D300,RUNS!$A$6:$A$1005,0))),""))</f>
        <v/>
      </c>
      <c r="P300" s="33">
        <f>IF($D300="","",IFERROR(IF(INDEX(RUNS!$J$6:$J$1005,MATCH($D300,RUNS!$A$6:$A$1005,0))="","",INDEX(RUNS!$J$6:$J$1005,MATCH($D300,RUNS!$A$6:$A$1005,0))),""))</f>
        <v/>
      </c>
      <c r="Q300" s="33">
        <f>IF($D300="","",IFERROR(IF(INDEX(RUNS!$K$6:$K$1005,MATCH($D300,RUNS!$A$6:$A$1005,0))="","",INDEX(RUNS!$K$6:$K$1005,MATCH($D300,RUNS!$A$6:$A$1005,0))),""))</f>
        <v/>
      </c>
      <c r="R300" s="34">
        <f>IF(OR($L300="",$K300=""),"",IFERROR(IF(INDEX(PARAMETRES!$H$43:$H$342,MATCH($L300&amp;"|"&amp;$M300&amp;"|"&amp;$N300&amp;"|"&amp;$O300&amp;"|"&amp;$P300&amp;"|"&amp;$Q300&amp;"|"&amp;$K300,PARAMETRES!$J$43:$J$342,0))="","",INDEX(PARAMETRES!$H$43:$H$342,MATCH($L300&amp;"|"&amp;$M300&amp;"|"&amp;$N300&amp;"|"&amp;$O300&amp;"|"&amp;$P300&amp;"|"&amp;$Q300&amp;"|"&amp;$K300,PARAMETRES!$J$43:$J$342,0))),""))</f>
        <v/>
      </c>
      <c r="S300" s="35">
        <f>IF(OR($G300="",$X300&lt;&gt;"VALIDE"),"",IFERROR(LOOKUP(2,1/(($B$3:$B299=$B300)*($G$3:$G299=$G300)*($X$3:$X299="VALIDE")),$C$3:$C299),""))</f>
        <v/>
      </c>
      <c r="T300" s="36">
        <f>IF(OR($C300="",$S300=""),"",ROUND(($C300-$S300+IF($C300&lt;$S300,1,0))*1440,0))</f>
        <v/>
      </c>
      <c r="U300" s="22">
        <f>IF(OR($H300="",$T300="",$T300&lt;=0),"",$H300*60/$T300)</f>
        <v/>
      </c>
      <c r="V300" s="37">
        <f>IF(OR($U300="",$R300="",$R300=0),"",$U300/$R300)</f>
        <v/>
      </c>
      <c r="W300" s="20">
        <f>IF($G300="","",IF($X300="CONTEXTE INCOMPLET","CONTEXTE INCOMPLET",IF($X300="DOUBLON",StatutDoublon,IF($S300="",StatutInitial,IF($R300="",StatutStandardManquant,IF($V300="","DONNEES INSUFFISANTES",IF($V300&gt;=SeuilConforme,StatutConforme,IF($V300&gt;=SeuilSurveiller,StatutSurveiller,StatutSousStandard))))))))</f>
        <v/>
      </c>
      <c r="X300" s="33">
        <f>IF($G300="","",IF(OR($D300="",$E300="",$F300=""),"CONTEXTE INCOMPLET",IF(COUNTIFS($D$3:$D299,$D300,$E$3:$E299,$E300,$F$3:$F299,$F300,$G$3:$G299,$G300)&gt;0,"DOUBLON","VALIDE")))</f>
        <v/>
      </c>
    </row>
    <row r="301" ht="15" customHeight="1">
      <c r="A301" s="12">
        <f>IF(OR($B301="",$G301=""),"",TEXT($B301,"YYYYMMDD")&amp;"-"&amp;SUBSTITUTE($E301," ","")&amp;"-"&amp;$F301&amp;"-"&amp;$G301)</f>
        <v/>
      </c>
      <c r="B301" s="15" t="n"/>
      <c r="C301" s="16" t="n"/>
      <c r="D301" s="10" t="n"/>
      <c r="E301" s="9" t="n"/>
      <c r="F301" s="9" t="n"/>
      <c r="G301" s="13" t="n"/>
      <c r="H301" s="21" t="n"/>
      <c r="I301" s="21" t="n"/>
      <c r="J301" s="17">
        <f>IF($G301="","",IFERROR(INDEX(NomsEmployes,MATCH($G301,MatriculesEmployes,0)),"MATRICULE INCONNU"))</f>
        <v/>
      </c>
      <c r="K301" s="33">
        <f>IF(OR($D301="",$F301=""),"",IFERROR(IF(INDEX(RUNS!$L$6:$S$1005,MATCH($D301,RUNS!$A$6:$A$1005,0),MATCH("ACTIVITÉ "&amp;$F301,RUNS!$L$5:$S$5,0))="","",INDEX(RUNS!$L$6:$S$1005,MATCH($D301,RUNS!$A$6:$A$1005,0),MATCH("ACTIVITÉ "&amp;$F301,RUNS!$L$5:$S$5,0))),""))</f>
        <v/>
      </c>
      <c r="L301" s="33">
        <f>IF($D301="","",IFERROR(IF(INDEX(RUNS!$E$6:$E$1005,MATCH($D301,RUNS!$A$6:$A$1005,0))="","",INDEX(RUNS!$E$6:$E$1005,MATCH($D301,RUNS!$A$6:$A$1005,0))),""))</f>
        <v/>
      </c>
      <c r="M301" s="33">
        <f>IF($D301="","",IFERROR(IF(INDEX(RUNS!$F$6:$F$1005,MATCH($D301,RUNS!$A$6:$A$1005,0))="","",INDEX(RUNS!$F$6:$F$1005,MATCH($D301,RUNS!$A$6:$A$1005,0))),""))</f>
        <v/>
      </c>
      <c r="N301" s="33">
        <f>IF($D301="","",IFERROR(IF(INDEX(RUNS!$G$6:$G$1005,MATCH($D301,RUNS!$A$6:$A$1005,0))="","",INDEX(RUNS!$G$6:$G$1005,MATCH($D301,RUNS!$A$6:$A$1005,0))),""))</f>
        <v/>
      </c>
      <c r="O301" s="33">
        <f>IF($D301="","",IFERROR(IF(INDEX(RUNS!$H$6:$H$1005,MATCH($D301,RUNS!$A$6:$A$1005,0))="","",INDEX(RUNS!$H$6:$H$1005,MATCH($D301,RUNS!$A$6:$A$1005,0))),""))</f>
        <v/>
      </c>
      <c r="P301" s="33">
        <f>IF($D301="","",IFERROR(IF(INDEX(RUNS!$J$6:$J$1005,MATCH($D301,RUNS!$A$6:$A$1005,0))="","",INDEX(RUNS!$J$6:$J$1005,MATCH($D301,RUNS!$A$6:$A$1005,0))),""))</f>
        <v/>
      </c>
      <c r="Q301" s="33">
        <f>IF($D301="","",IFERROR(IF(INDEX(RUNS!$K$6:$K$1005,MATCH($D301,RUNS!$A$6:$A$1005,0))="","",INDEX(RUNS!$K$6:$K$1005,MATCH($D301,RUNS!$A$6:$A$1005,0))),""))</f>
        <v/>
      </c>
      <c r="R301" s="34">
        <f>IF(OR($L301="",$K301=""),"",IFERROR(IF(INDEX(PARAMETRES!$H$43:$H$342,MATCH($L301&amp;"|"&amp;$M301&amp;"|"&amp;$N301&amp;"|"&amp;$O301&amp;"|"&amp;$P301&amp;"|"&amp;$Q301&amp;"|"&amp;$K301,PARAMETRES!$J$43:$J$342,0))="","",INDEX(PARAMETRES!$H$43:$H$342,MATCH($L301&amp;"|"&amp;$M301&amp;"|"&amp;$N301&amp;"|"&amp;$O301&amp;"|"&amp;$P301&amp;"|"&amp;$Q301&amp;"|"&amp;$K301,PARAMETRES!$J$43:$J$342,0))),""))</f>
        <v/>
      </c>
      <c r="S301" s="35">
        <f>IF(OR($G301="",$X301&lt;&gt;"VALIDE"),"",IFERROR(LOOKUP(2,1/(($B$3:$B300=$B301)*($G$3:$G300=$G301)*($X$3:$X300="VALIDE")),$C$3:$C300),""))</f>
        <v/>
      </c>
      <c r="T301" s="36">
        <f>IF(OR($C301="",$S301=""),"",ROUND(($C301-$S301+IF($C301&lt;$S301,1,0))*1440,0))</f>
        <v/>
      </c>
      <c r="U301" s="22">
        <f>IF(OR($H301="",$T301="",$T301&lt;=0),"",$H301*60/$T301)</f>
        <v/>
      </c>
      <c r="V301" s="37">
        <f>IF(OR($U301="",$R301="",$R301=0),"",$U301/$R301)</f>
        <v/>
      </c>
      <c r="W301" s="20">
        <f>IF($G301="","",IF($X301="CONTEXTE INCOMPLET","CONTEXTE INCOMPLET",IF($X301="DOUBLON",StatutDoublon,IF($S301="",StatutInitial,IF($R301="",StatutStandardManquant,IF($V301="","DONNEES INSUFFISANTES",IF($V301&gt;=SeuilConforme,StatutConforme,IF($V301&gt;=SeuilSurveiller,StatutSurveiller,StatutSousStandard))))))))</f>
        <v/>
      </c>
      <c r="X301" s="33">
        <f>IF($G301="","",IF(OR($D301="",$E301="",$F301=""),"CONTEXTE INCOMPLET",IF(COUNTIFS($D$3:$D300,$D301,$E$3:$E300,$E301,$F$3:$F300,$F301,$G$3:$G300,$G301)&gt;0,"DOUBLON","VALIDE")))</f>
        <v/>
      </c>
    </row>
    <row r="302" ht="15" customHeight="1">
      <c r="A302" s="12">
        <f>IF(OR($B302="",$G302=""),"",TEXT($B302,"YYYYMMDD")&amp;"-"&amp;SUBSTITUTE($E302," ","")&amp;"-"&amp;$F302&amp;"-"&amp;$G302)</f>
        <v/>
      </c>
      <c r="B302" s="15" t="n"/>
      <c r="C302" s="16" t="n"/>
      <c r="D302" s="10" t="n"/>
      <c r="E302" s="9" t="n"/>
      <c r="F302" s="9" t="n"/>
      <c r="G302" s="13" t="n"/>
      <c r="H302" s="21" t="n"/>
      <c r="I302" s="21" t="n"/>
      <c r="J302" s="17">
        <f>IF($G302="","",IFERROR(INDEX(NomsEmployes,MATCH($G302,MatriculesEmployes,0)),"MATRICULE INCONNU"))</f>
        <v/>
      </c>
      <c r="K302" s="33">
        <f>IF(OR($D302="",$F302=""),"",IFERROR(IF(INDEX(RUNS!$L$6:$S$1005,MATCH($D302,RUNS!$A$6:$A$1005,0),MATCH("ACTIVITÉ "&amp;$F302,RUNS!$L$5:$S$5,0))="","",INDEX(RUNS!$L$6:$S$1005,MATCH($D302,RUNS!$A$6:$A$1005,0),MATCH("ACTIVITÉ "&amp;$F302,RUNS!$L$5:$S$5,0))),""))</f>
        <v/>
      </c>
      <c r="L302" s="33">
        <f>IF($D302="","",IFERROR(IF(INDEX(RUNS!$E$6:$E$1005,MATCH($D302,RUNS!$A$6:$A$1005,0))="","",INDEX(RUNS!$E$6:$E$1005,MATCH($D302,RUNS!$A$6:$A$1005,0))),""))</f>
        <v/>
      </c>
      <c r="M302" s="33">
        <f>IF($D302="","",IFERROR(IF(INDEX(RUNS!$F$6:$F$1005,MATCH($D302,RUNS!$A$6:$A$1005,0))="","",INDEX(RUNS!$F$6:$F$1005,MATCH($D302,RUNS!$A$6:$A$1005,0))),""))</f>
        <v/>
      </c>
      <c r="N302" s="33">
        <f>IF($D302="","",IFERROR(IF(INDEX(RUNS!$G$6:$G$1005,MATCH($D302,RUNS!$A$6:$A$1005,0))="","",INDEX(RUNS!$G$6:$G$1005,MATCH($D302,RUNS!$A$6:$A$1005,0))),""))</f>
        <v/>
      </c>
      <c r="O302" s="33">
        <f>IF($D302="","",IFERROR(IF(INDEX(RUNS!$H$6:$H$1005,MATCH($D302,RUNS!$A$6:$A$1005,0))="","",INDEX(RUNS!$H$6:$H$1005,MATCH($D302,RUNS!$A$6:$A$1005,0))),""))</f>
        <v/>
      </c>
      <c r="P302" s="33">
        <f>IF($D302="","",IFERROR(IF(INDEX(RUNS!$J$6:$J$1005,MATCH($D302,RUNS!$A$6:$A$1005,0))="","",INDEX(RUNS!$J$6:$J$1005,MATCH($D302,RUNS!$A$6:$A$1005,0))),""))</f>
        <v/>
      </c>
      <c r="Q302" s="33">
        <f>IF($D302="","",IFERROR(IF(INDEX(RUNS!$K$6:$K$1005,MATCH($D302,RUNS!$A$6:$A$1005,0))="","",INDEX(RUNS!$K$6:$K$1005,MATCH($D302,RUNS!$A$6:$A$1005,0))),""))</f>
        <v/>
      </c>
      <c r="R302" s="34">
        <f>IF(OR($L302="",$K302=""),"",IFERROR(IF(INDEX(PARAMETRES!$H$43:$H$342,MATCH($L302&amp;"|"&amp;$M302&amp;"|"&amp;$N302&amp;"|"&amp;$O302&amp;"|"&amp;$P302&amp;"|"&amp;$Q302&amp;"|"&amp;$K302,PARAMETRES!$J$43:$J$342,0))="","",INDEX(PARAMETRES!$H$43:$H$342,MATCH($L302&amp;"|"&amp;$M302&amp;"|"&amp;$N302&amp;"|"&amp;$O302&amp;"|"&amp;$P302&amp;"|"&amp;$Q302&amp;"|"&amp;$K302,PARAMETRES!$J$43:$J$342,0))),""))</f>
        <v/>
      </c>
      <c r="S302" s="35">
        <f>IF(OR($G302="",$X302&lt;&gt;"VALIDE"),"",IFERROR(LOOKUP(2,1/(($B$3:$B301=$B302)*($G$3:$G301=$G302)*($X$3:$X301="VALIDE")),$C$3:$C301),""))</f>
        <v/>
      </c>
      <c r="T302" s="36">
        <f>IF(OR($C302="",$S302=""),"",ROUND(($C302-$S302+IF($C302&lt;$S302,1,0))*1440,0))</f>
        <v/>
      </c>
      <c r="U302" s="22">
        <f>IF(OR($H302="",$T302="",$T302&lt;=0),"",$H302*60/$T302)</f>
        <v/>
      </c>
      <c r="V302" s="37">
        <f>IF(OR($U302="",$R302="",$R302=0),"",$U302/$R302)</f>
        <v/>
      </c>
      <c r="W302" s="20">
        <f>IF($G302="","",IF($X302="CONTEXTE INCOMPLET","CONTEXTE INCOMPLET",IF($X302="DOUBLON",StatutDoublon,IF($S302="",StatutInitial,IF($R302="",StatutStandardManquant,IF($V302="","DONNEES INSUFFISANTES",IF($V302&gt;=SeuilConforme,StatutConforme,IF($V302&gt;=SeuilSurveiller,StatutSurveiller,StatutSousStandard))))))))</f>
        <v/>
      </c>
      <c r="X302" s="33">
        <f>IF($G302="","",IF(OR($D302="",$E302="",$F302=""),"CONTEXTE INCOMPLET",IF(COUNTIFS($D$3:$D301,$D302,$E$3:$E301,$E302,$F$3:$F301,$F302,$G$3:$G301,$G302)&gt;0,"DOUBLON","VALIDE")))</f>
        <v/>
      </c>
    </row>
    <row r="303" ht="15" customHeight="1">
      <c r="A303" s="12">
        <f>IF(OR($B303="",$G303=""),"",TEXT($B303,"YYYYMMDD")&amp;"-"&amp;SUBSTITUTE($E303," ","")&amp;"-"&amp;$F303&amp;"-"&amp;$G303)</f>
        <v/>
      </c>
      <c r="B303" s="15" t="n"/>
      <c r="C303" s="16" t="n"/>
      <c r="D303" s="10" t="n"/>
      <c r="E303" s="9" t="n"/>
      <c r="F303" s="9" t="n"/>
      <c r="G303" s="13" t="n"/>
      <c r="H303" s="21" t="n"/>
      <c r="I303" s="21" t="n"/>
      <c r="J303" s="17">
        <f>IF($G303="","",IFERROR(INDEX(NomsEmployes,MATCH($G303,MatriculesEmployes,0)),"MATRICULE INCONNU"))</f>
        <v/>
      </c>
      <c r="K303" s="33">
        <f>IF(OR($D303="",$F303=""),"",IFERROR(IF(INDEX(RUNS!$L$6:$S$1005,MATCH($D303,RUNS!$A$6:$A$1005,0),MATCH("ACTIVITÉ "&amp;$F303,RUNS!$L$5:$S$5,0))="","",INDEX(RUNS!$L$6:$S$1005,MATCH($D303,RUNS!$A$6:$A$1005,0),MATCH("ACTIVITÉ "&amp;$F303,RUNS!$L$5:$S$5,0))),""))</f>
        <v/>
      </c>
      <c r="L303" s="33">
        <f>IF($D303="","",IFERROR(IF(INDEX(RUNS!$E$6:$E$1005,MATCH($D303,RUNS!$A$6:$A$1005,0))="","",INDEX(RUNS!$E$6:$E$1005,MATCH($D303,RUNS!$A$6:$A$1005,0))),""))</f>
        <v/>
      </c>
      <c r="M303" s="33">
        <f>IF($D303="","",IFERROR(IF(INDEX(RUNS!$F$6:$F$1005,MATCH($D303,RUNS!$A$6:$A$1005,0))="","",INDEX(RUNS!$F$6:$F$1005,MATCH($D303,RUNS!$A$6:$A$1005,0))),""))</f>
        <v/>
      </c>
      <c r="N303" s="33">
        <f>IF($D303="","",IFERROR(IF(INDEX(RUNS!$G$6:$G$1005,MATCH($D303,RUNS!$A$6:$A$1005,0))="","",INDEX(RUNS!$G$6:$G$1005,MATCH($D303,RUNS!$A$6:$A$1005,0))),""))</f>
        <v/>
      </c>
      <c r="O303" s="33">
        <f>IF($D303="","",IFERROR(IF(INDEX(RUNS!$H$6:$H$1005,MATCH($D303,RUNS!$A$6:$A$1005,0))="","",INDEX(RUNS!$H$6:$H$1005,MATCH($D303,RUNS!$A$6:$A$1005,0))),""))</f>
        <v/>
      </c>
      <c r="P303" s="33">
        <f>IF($D303="","",IFERROR(IF(INDEX(RUNS!$J$6:$J$1005,MATCH($D303,RUNS!$A$6:$A$1005,0))="","",INDEX(RUNS!$J$6:$J$1005,MATCH($D303,RUNS!$A$6:$A$1005,0))),""))</f>
        <v/>
      </c>
      <c r="Q303" s="33">
        <f>IF($D303="","",IFERROR(IF(INDEX(RUNS!$K$6:$K$1005,MATCH($D303,RUNS!$A$6:$A$1005,0))="","",INDEX(RUNS!$K$6:$K$1005,MATCH($D303,RUNS!$A$6:$A$1005,0))),""))</f>
        <v/>
      </c>
      <c r="R303" s="34">
        <f>IF(OR($L303="",$K303=""),"",IFERROR(IF(INDEX(PARAMETRES!$H$43:$H$342,MATCH($L303&amp;"|"&amp;$M303&amp;"|"&amp;$N303&amp;"|"&amp;$O303&amp;"|"&amp;$P303&amp;"|"&amp;$Q303&amp;"|"&amp;$K303,PARAMETRES!$J$43:$J$342,0))="","",INDEX(PARAMETRES!$H$43:$H$342,MATCH($L303&amp;"|"&amp;$M303&amp;"|"&amp;$N303&amp;"|"&amp;$O303&amp;"|"&amp;$P303&amp;"|"&amp;$Q303&amp;"|"&amp;$K303,PARAMETRES!$J$43:$J$342,0))),""))</f>
        <v/>
      </c>
      <c r="S303" s="35">
        <f>IF(OR($G303="",$X303&lt;&gt;"VALIDE"),"",IFERROR(LOOKUP(2,1/(($B$3:$B302=$B303)*($G$3:$G302=$G303)*($X$3:$X302="VALIDE")),$C$3:$C302),""))</f>
        <v/>
      </c>
      <c r="T303" s="36">
        <f>IF(OR($C303="",$S303=""),"",ROUND(($C303-$S303+IF($C303&lt;$S303,1,0))*1440,0))</f>
        <v/>
      </c>
      <c r="U303" s="22">
        <f>IF(OR($H303="",$T303="",$T303&lt;=0),"",$H303*60/$T303)</f>
        <v/>
      </c>
      <c r="V303" s="37">
        <f>IF(OR($U303="",$R303="",$R303=0),"",$U303/$R303)</f>
        <v/>
      </c>
      <c r="W303" s="20">
        <f>IF($G303="","",IF($X303="CONTEXTE INCOMPLET","CONTEXTE INCOMPLET",IF($X303="DOUBLON",StatutDoublon,IF($S303="",StatutInitial,IF($R303="",StatutStandardManquant,IF($V303="","DONNEES INSUFFISANTES",IF($V303&gt;=SeuilConforme,StatutConforme,IF($V303&gt;=SeuilSurveiller,StatutSurveiller,StatutSousStandard))))))))</f>
        <v/>
      </c>
      <c r="X303" s="33">
        <f>IF($G303="","",IF(OR($D303="",$E303="",$F303=""),"CONTEXTE INCOMPLET",IF(COUNTIFS($D$3:$D302,$D303,$E$3:$E302,$E303,$F$3:$F302,$F303,$G$3:$G302,$G303)&gt;0,"DOUBLON","VALIDE")))</f>
        <v/>
      </c>
    </row>
    <row r="304" ht="15" customHeight="1">
      <c r="A304" s="12">
        <f>IF(OR($B304="",$G304=""),"",TEXT($B304,"YYYYMMDD")&amp;"-"&amp;SUBSTITUTE($E304," ","")&amp;"-"&amp;$F304&amp;"-"&amp;$G304)</f>
        <v/>
      </c>
      <c r="B304" s="15" t="n"/>
      <c r="C304" s="16" t="n"/>
      <c r="D304" s="10" t="n"/>
      <c r="E304" s="9" t="n"/>
      <c r="F304" s="9" t="n"/>
      <c r="G304" s="13" t="n"/>
      <c r="H304" s="21" t="n"/>
      <c r="I304" s="21" t="n"/>
      <c r="J304" s="17">
        <f>IF($G304="","",IFERROR(INDEX(NomsEmployes,MATCH($G304,MatriculesEmployes,0)),"MATRICULE INCONNU"))</f>
        <v/>
      </c>
      <c r="K304" s="33">
        <f>IF(OR($D304="",$F304=""),"",IFERROR(IF(INDEX(RUNS!$L$6:$S$1005,MATCH($D304,RUNS!$A$6:$A$1005,0),MATCH("ACTIVITÉ "&amp;$F304,RUNS!$L$5:$S$5,0))="","",INDEX(RUNS!$L$6:$S$1005,MATCH($D304,RUNS!$A$6:$A$1005,0),MATCH("ACTIVITÉ "&amp;$F304,RUNS!$L$5:$S$5,0))),""))</f>
        <v/>
      </c>
      <c r="L304" s="33">
        <f>IF($D304="","",IFERROR(IF(INDEX(RUNS!$E$6:$E$1005,MATCH($D304,RUNS!$A$6:$A$1005,0))="","",INDEX(RUNS!$E$6:$E$1005,MATCH($D304,RUNS!$A$6:$A$1005,0))),""))</f>
        <v/>
      </c>
      <c r="M304" s="33">
        <f>IF($D304="","",IFERROR(IF(INDEX(RUNS!$F$6:$F$1005,MATCH($D304,RUNS!$A$6:$A$1005,0))="","",INDEX(RUNS!$F$6:$F$1005,MATCH($D304,RUNS!$A$6:$A$1005,0))),""))</f>
        <v/>
      </c>
      <c r="N304" s="33">
        <f>IF($D304="","",IFERROR(IF(INDEX(RUNS!$G$6:$G$1005,MATCH($D304,RUNS!$A$6:$A$1005,0))="","",INDEX(RUNS!$G$6:$G$1005,MATCH($D304,RUNS!$A$6:$A$1005,0))),""))</f>
        <v/>
      </c>
      <c r="O304" s="33">
        <f>IF($D304="","",IFERROR(IF(INDEX(RUNS!$H$6:$H$1005,MATCH($D304,RUNS!$A$6:$A$1005,0))="","",INDEX(RUNS!$H$6:$H$1005,MATCH($D304,RUNS!$A$6:$A$1005,0))),""))</f>
        <v/>
      </c>
      <c r="P304" s="33">
        <f>IF($D304="","",IFERROR(IF(INDEX(RUNS!$J$6:$J$1005,MATCH($D304,RUNS!$A$6:$A$1005,0))="","",INDEX(RUNS!$J$6:$J$1005,MATCH($D304,RUNS!$A$6:$A$1005,0))),""))</f>
        <v/>
      </c>
      <c r="Q304" s="33">
        <f>IF($D304="","",IFERROR(IF(INDEX(RUNS!$K$6:$K$1005,MATCH($D304,RUNS!$A$6:$A$1005,0))="","",INDEX(RUNS!$K$6:$K$1005,MATCH($D304,RUNS!$A$6:$A$1005,0))),""))</f>
        <v/>
      </c>
      <c r="R304" s="34">
        <f>IF(OR($L304="",$K304=""),"",IFERROR(IF(INDEX(PARAMETRES!$H$43:$H$342,MATCH($L304&amp;"|"&amp;$M304&amp;"|"&amp;$N304&amp;"|"&amp;$O304&amp;"|"&amp;$P304&amp;"|"&amp;$Q304&amp;"|"&amp;$K304,PARAMETRES!$J$43:$J$342,0))="","",INDEX(PARAMETRES!$H$43:$H$342,MATCH($L304&amp;"|"&amp;$M304&amp;"|"&amp;$N304&amp;"|"&amp;$O304&amp;"|"&amp;$P304&amp;"|"&amp;$Q304&amp;"|"&amp;$K304,PARAMETRES!$J$43:$J$342,0))),""))</f>
        <v/>
      </c>
      <c r="S304" s="35">
        <f>IF(OR($G304="",$X304&lt;&gt;"VALIDE"),"",IFERROR(LOOKUP(2,1/(($B$3:$B303=$B304)*($G$3:$G303=$G304)*($X$3:$X303="VALIDE")),$C$3:$C303),""))</f>
        <v/>
      </c>
      <c r="T304" s="36">
        <f>IF(OR($C304="",$S304=""),"",ROUND(($C304-$S304+IF($C304&lt;$S304,1,0))*1440,0))</f>
        <v/>
      </c>
      <c r="U304" s="22">
        <f>IF(OR($H304="",$T304="",$T304&lt;=0),"",$H304*60/$T304)</f>
        <v/>
      </c>
      <c r="V304" s="37">
        <f>IF(OR($U304="",$R304="",$R304=0),"",$U304/$R304)</f>
        <v/>
      </c>
      <c r="W304" s="20">
        <f>IF($G304="","",IF($X304="CONTEXTE INCOMPLET","CONTEXTE INCOMPLET",IF($X304="DOUBLON",StatutDoublon,IF($S304="",StatutInitial,IF($R304="",StatutStandardManquant,IF($V304="","DONNEES INSUFFISANTES",IF($V304&gt;=SeuilConforme,StatutConforme,IF($V304&gt;=SeuilSurveiller,StatutSurveiller,StatutSousStandard))))))))</f>
        <v/>
      </c>
      <c r="X304" s="33">
        <f>IF($G304="","",IF(OR($D304="",$E304="",$F304=""),"CONTEXTE INCOMPLET",IF(COUNTIFS($D$3:$D303,$D304,$E$3:$E303,$E304,$F$3:$F303,$F304,$G$3:$G303,$G304)&gt;0,"DOUBLON","VALIDE")))</f>
        <v/>
      </c>
    </row>
    <row r="305" ht="15" customHeight="1">
      <c r="A305" s="12">
        <f>IF(OR($B305="",$G305=""),"",TEXT($B305,"YYYYMMDD")&amp;"-"&amp;SUBSTITUTE($E305," ","")&amp;"-"&amp;$F305&amp;"-"&amp;$G305)</f>
        <v/>
      </c>
      <c r="B305" s="15" t="n"/>
      <c r="C305" s="16" t="n"/>
      <c r="D305" s="10" t="n"/>
      <c r="E305" s="9" t="n"/>
      <c r="F305" s="9" t="n"/>
      <c r="G305" s="13" t="n"/>
      <c r="H305" s="21" t="n"/>
      <c r="I305" s="21" t="n"/>
      <c r="J305" s="17">
        <f>IF($G305="","",IFERROR(INDEX(NomsEmployes,MATCH($G305,MatriculesEmployes,0)),"MATRICULE INCONNU"))</f>
        <v/>
      </c>
      <c r="K305" s="33">
        <f>IF(OR($D305="",$F305=""),"",IFERROR(IF(INDEX(RUNS!$L$6:$S$1005,MATCH($D305,RUNS!$A$6:$A$1005,0),MATCH("ACTIVITÉ "&amp;$F305,RUNS!$L$5:$S$5,0))="","",INDEX(RUNS!$L$6:$S$1005,MATCH($D305,RUNS!$A$6:$A$1005,0),MATCH("ACTIVITÉ "&amp;$F305,RUNS!$L$5:$S$5,0))),""))</f>
        <v/>
      </c>
      <c r="L305" s="33">
        <f>IF($D305="","",IFERROR(IF(INDEX(RUNS!$E$6:$E$1005,MATCH($D305,RUNS!$A$6:$A$1005,0))="","",INDEX(RUNS!$E$6:$E$1005,MATCH($D305,RUNS!$A$6:$A$1005,0))),""))</f>
        <v/>
      </c>
      <c r="M305" s="33">
        <f>IF($D305="","",IFERROR(IF(INDEX(RUNS!$F$6:$F$1005,MATCH($D305,RUNS!$A$6:$A$1005,0))="","",INDEX(RUNS!$F$6:$F$1005,MATCH($D305,RUNS!$A$6:$A$1005,0))),""))</f>
        <v/>
      </c>
      <c r="N305" s="33">
        <f>IF($D305="","",IFERROR(IF(INDEX(RUNS!$G$6:$G$1005,MATCH($D305,RUNS!$A$6:$A$1005,0))="","",INDEX(RUNS!$G$6:$G$1005,MATCH($D305,RUNS!$A$6:$A$1005,0))),""))</f>
        <v/>
      </c>
      <c r="O305" s="33">
        <f>IF($D305="","",IFERROR(IF(INDEX(RUNS!$H$6:$H$1005,MATCH($D305,RUNS!$A$6:$A$1005,0))="","",INDEX(RUNS!$H$6:$H$1005,MATCH($D305,RUNS!$A$6:$A$1005,0))),""))</f>
        <v/>
      </c>
      <c r="P305" s="33">
        <f>IF($D305="","",IFERROR(IF(INDEX(RUNS!$J$6:$J$1005,MATCH($D305,RUNS!$A$6:$A$1005,0))="","",INDEX(RUNS!$J$6:$J$1005,MATCH($D305,RUNS!$A$6:$A$1005,0))),""))</f>
        <v/>
      </c>
      <c r="Q305" s="33">
        <f>IF($D305="","",IFERROR(IF(INDEX(RUNS!$K$6:$K$1005,MATCH($D305,RUNS!$A$6:$A$1005,0))="","",INDEX(RUNS!$K$6:$K$1005,MATCH($D305,RUNS!$A$6:$A$1005,0))),""))</f>
        <v/>
      </c>
      <c r="R305" s="34">
        <f>IF(OR($L305="",$K305=""),"",IFERROR(IF(INDEX(PARAMETRES!$H$43:$H$342,MATCH($L305&amp;"|"&amp;$M305&amp;"|"&amp;$N305&amp;"|"&amp;$O305&amp;"|"&amp;$P305&amp;"|"&amp;$Q305&amp;"|"&amp;$K305,PARAMETRES!$J$43:$J$342,0))="","",INDEX(PARAMETRES!$H$43:$H$342,MATCH($L305&amp;"|"&amp;$M305&amp;"|"&amp;$N305&amp;"|"&amp;$O305&amp;"|"&amp;$P305&amp;"|"&amp;$Q305&amp;"|"&amp;$K305,PARAMETRES!$J$43:$J$342,0))),""))</f>
        <v/>
      </c>
      <c r="S305" s="35">
        <f>IF(OR($G305="",$X305&lt;&gt;"VALIDE"),"",IFERROR(LOOKUP(2,1/(($B$3:$B304=$B305)*($G$3:$G304=$G305)*($X$3:$X304="VALIDE")),$C$3:$C304),""))</f>
        <v/>
      </c>
      <c r="T305" s="36">
        <f>IF(OR($C305="",$S305=""),"",ROUND(($C305-$S305+IF($C305&lt;$S305,1,0))*1440,0))</f>
        <v/>
      </c>
      <c r="U305" s="22">
        <f>IF(OR($H305="",$T305="",$T305&lt;=0),"",$H305*60/$T305)</f>
        <v/>
      </c>
      <c r="V305" s="37">
        <f>IF(OR($U305="",$R305="",$R305=0),"",$U305/$R305)</f>
        <v/>
      </c>
      <c r="W305" s="20">
        <f>IF($G305="","",IF($X305="CONTEXTE INCOMPLET","CONTEXTE INCOMPLET",IF($X305="DOUBLON",StatutDoublon,IF($S305="",StatutInitial,IF($R305="",StatutStandardManquant,IF($V305="","DONNEES INSUFFISANTES",IF($V305&gt;=SeuilConforme,StatutConforme,IF($V305&gt;=SeuilSurveiller,StatutSurveiller,StatutSousStandard))))))))</f>
        <v/>
      </c>
      <c r="X305" s="33">
        <f>IF($G305="","",IF(OR($D305="",$E305="",$F305=""),"CONTEXTE INCOMPLET",IF(COUNTIFS($D$3:$D304,$D305,$E$3:$E304,$E305,$F$3:$F304,$F305,$G$3:$G304,$G305)&gt;0,"DOUBLON","VALIDE")))</f>
        <v/>
      </c>
    </row>
    <row r="306" ht="15" customHeight="1">
      <c r="A306" s="12">
        <f>IF(OR($B306="",$G306=""),"",TEXT($B306,"YYYYMMDD")&amp;"-"&amp;SUBSTITUTE($E306," ","")&amp;"-"&amp;$F306&amp;"-"&amp;$G306)</f>
        <v/>
      </c>
      <c r="B306" s="15" t="n"/>
      <c r="C306" s="16" t="n"/>
      <c r="D306" s="10" t="n"/>
      <c r="E306" s="9" t="n"/>
      <c r="F306" s="9" t="n"/>
      <c r="G306" s="13" t="n"/>
      <c r="H306" s="21" t="n"/>
      <c r="I306" s="21" t="n"/>
      <c r="J306" s="17">
        <f>IF($G306="","",IFERROR(INDEX(NomsEmployes,MATCH($G306,MatriculesEmployes,0)),"MATRICULE INCONNU"))</f>
        <v/>
      </c>
      <c r="K306" s="33">
        <f>IF(OR($D306="",$F306=""),"",IFERROR(IF(INDEX(RUNS!$L$6:$S$1005,MATCH($D306,RUNS!$A$6:$A$1005,0),MATCH("ACTIVITÉ "&amp;$F306,RUNS!$L$5:$S$5,0))="","",INDEX(RUNS!$L$6:$S$1005,MATCH($D306,RUNS!$A$6:$A$1005,0),MATCH("ACTIVITÉ "&amp;$F306,RUNS!$L$5:$S$5,0))),""))</f>
        <v/>
      </c>
      <c r="L306" s="33">
        <f>IF($D306="","",IFERROR(IF(INDEX(RUNS!$E$6:$E$1005,MATCH($D306,RUNS!$A$6:$A$1005,0))="","",INDEX(RUNS!$E$6:$E$1005,MATCH($D306,RUNS!$A$6:$A$1005,0))),""))</f>
        <v/>
      </c>
      <c r="M306" s="33">
        <f>IF($D306="","",IFERROR(IF(INDEX(RUNS!$F$6:$F$1005,MATCH($D306,RUNS!$A$6:$A$1005,0))="","",INDEX(RUNS!$F$6:$F$1005,MATCH($D306,RUNS!$A$6:$A$1005,0))),""))</f>
        <v/>
      </c>
      <c r="N306" s="33">
        <f>IF($D306="","",IFERROR(IF(INDEX(RUNS!$G$6:$G$1005,MATCH($D306,RUNS!$A$6:$A$1005,0))="","",INDEX(RUNS!$G$6:$G$1005,MATCH($D306,RUNS!$A$6:$A$1005,0))),""))</f>
        <v/>
      </c>
      <c r="O306" s="33">
        <f>IF($D306="","",IFERROR(IF(INDEX(RUNS!$H$6:$H$1005,MATCH($D306,RUNS!$A$6:$A$1005,0))="","",INDEX(RUNS!$H$6:$H$1005,MATCH($D306,RUNS!$A$6:$A$1005,0))),""))</f>
        <v/>
      </c>
      <c r="P306" s="33">
        <f>IF($D306="","",IFERROR(IF(INDEX(RUNS!$J$6:$J$1005,MATCH($D306,RUNS!$A$6:$A$1005,0))="","",INDEX(RUNS!$J$6:$J$1005,MATCH($D306,RUNS!$A$6:$A$1005,0))),""))</f>
        <v/>
      </c>
      <c r="Q306" s="33">
        <f>IF($D306="","",IFERROR(IF(INDEX(RUNS!$K$6:$K$1005,MATCH($D306,RUNS!$A$6:$A$1005,0))="","",INDEX(RUNS!$K$6:$K$1005,MATCH($D306,RUNS!$A$6:$A$1005,0))),""))</f>
        <v/>
      </c>
      <c r="R306" s="34">
        <f>IF(OR($L306="",$K306=""),"",IFERROR(IF(INDEX(PARAMETRES!$H$43:$H$342,MATCH($L306&amp;"|"&amp;$M306&amp;"|"&amp;$N306&amp;"|"&amp;$O306&amp;"|"&amp;$P306&amp;"|"&amp;$Q306&amp;"|"&amp;$K306,PARAMETRES!$J$43:$J$342,0))="","",INDEX(PARAMETRES!$H$43:$H$342,MATCH($L306&amp;"|"&amp;$M306&amp;"|"&amp;$N306&amp;"|"&amp;$O306&amp;"|"&amp;$P306&amp;"|"&amp;$Q306&amp;"|"&amp;$K306,PARAMETRES!$J$43:$J$342,0))),""))</f>
        <v/>
      </c>
      <c r="S306" s="35">
        <f>IF(OR($G306="",$X306&lt;&gt;"VALIDE"),"",IFERROR(LOOKUP(2,1/(($B$3:$B305=$B306)*($G$3:$G305=$G306)*($X$3:$X305="VALIDE")),$C$3:$C305),""))</f>
        <v/>
      </c>
      <c r="T306" s="36">
        <f>IF(OR($C306="",$S306=""),"",ROUND(($C306-$S306+IF($C306&lt;$S306,1,0))*1440,0))</f>
        <v/>
      </c>
      <c r="U306" s="22">
        <f>IF(OR($H306="",$T306="",$T306&lt;=0),"",$H306*60/$T306)</f>
        <v/>
      </c>
      <c r="V306" s="37">
        <f>IF(OR($U306="",$R306="",$R306=0),"",$U306/$R306)</f>
        <v/>
      </c>
      <c r="W306" s="20">
        <f>IF($G306="","",IF($X306="CONTEXTE INCOMPLET","CONTEXTE INCOMPLET",IF($X306="DOUBLON",StatutDoublon,IF($S306="",StatutInitial,IF($R306="",StatutStandardManquant,IF($V306="","DONNEES INSUFFISANTES",IF($V306&gt;=SeuilConforme,StatutConforme,IF($V306&gt;=SeuilSurveiller,StatutSurveiller,StatutSousStandard))))))))</f>
        <v/>
      </c>
      <c r="X306" s="33">
        <f>IF($G306="","",IF(OR($D306="",$E306="",$F306=""),"CONTEXTE INCOMPLET",IF(COUNTIFS($D$3:$D305,$D306,$E$3:$E305,$E306,$F$3:$F305,$F306,$G$3:$G305,$G306)&gt;0,"DOUBLON","VALIDE")))</f>
        <v/>
      </c>
    </row>
    <row r="307" ht="15" customHeight="1">
      <c r="A307" s="12">
        <f>IF(OR($B307="",$G307=""),"",TEXT($B307,"YYYYMMDD")&amp;"-"&amp;SUBSTITUTE($E307," ","")&amp;"-"&amp;$F307&amp;"-"&amp;$G307)</f>
        <v/>
      </c>
      <c r="B307" s="15" t="n"/>
      <c r="C307" s="16" t="n"/>
      <c r="D307" s="10" t="n"/>
      <c r="E307" s="9" t="n"/>
      <c r="F307" s="9" t="n"/>
      <c r="G307" s="13" t="n"/>
      <c r="H307" s="21" t="n"/>
      <c r="I307" s="21" t="n"/>
      <c r="J307" s="17">
        <f>IF($G307="","",IFERROR(INDEX(NomsEmployes,MATCH($G307,MatriculesEmployes,0)),"MATRICULE INCONNU"))</f>
        <v/>
      </c>
      <c r="K307" s="33">
        <f>IF(OR($D307="",$F307=""),"",IFERROR(IF(INDEX(RUNS!$L$6:$S$1005,MATCH($D307,RUNS!$A$6:$A$1005,0),MATCH("ACTIVITÉ "&amp;$F307,RUNS!$L$5:$S$5,0))="","",INDEX(RUNS!$L$6:$S$1005,MATCH($D307,RUNS!$A$6:$A$1005,0),MATCH("ACTIVITÉ "&amp;$F307,RUNS!$L$5:$S$5,0))),""))</f>
        <v/>
      </c>
      <c r="L307" s="33">
        <f>IF($D307="","",IFERROR(IF(INDEX(RUNS!$E$6:$E$1005,MATCH($D307,RUNS!$A$6:$A$1005,0))="","",INDEX(RUNS!$E$6:$E$1005,MATCH($D307,RUNS!$A$6:$A$1005,0))),""))</f>
        <v/>
      </c>
      <c r="M307" s="33">
        <f>IF($D307="","",IFERROR(IF(INDEX(RUNS!$F$6:$F$1005,MATCH($D307,RUNS!$A$6:$A$1005,0))="","",INDEX(RUNS!$F$6:$F$1005,MATCH($D307,RUNS!$A$6:$A$1005,0))),""))</f>
        <v/>
      </c>
      <c r="N307" s="33">
        <f>IF($D307="","",IFERROR(IF(INDEX(RUNS!$G$6:$G$1005,MATCH($D307,RUNS!$A$6:$A$1005,0))="","",INDEX(RUNS!$G$6:$G$1005,MATCH($D307,RUNS!$A$6:$A$1005,0))),""))</f>
        <v/>
      </c>
      <c r="O307" s="33">
        <f>IF($D307="","",IFERROR(IF(INDEX(RUNS!$H$6:$H$1005,MATCH($D307,RUNS!$A$6:$A$1005,0))="","",INDEX(RUNS!$H$6:$H$1005,MATCH($D307,RUNS!$A$6:$A$1005,0))),""))</f>
        <v/>
      </c>
      <c r="P307" s="33">
        <f>IF($D307="","",IFERROR(IF(INDEX(RUNS!$J$6:$J$1005,MATCH($D307,RUNS!$A$6:$A$1005,0))="","",INDEX(RUNS!$J$6:$J$1005,MATCH($D307,RUNS!$A$6:$A$1005,0))),""))</f>
        <v/>
      </c>
      <c r="Q307" s="33">
        <f>IF($D307="","",IFERROR(IF(INDEX(RUNS!$K$6:$K$1005,MATCH($D307,RUNS!$A$6:$A$1005,0))="","",INDEX(RUNS!$K$6:$K$1005,MATCH($D307,RUNS!$A$6:$A$1005,0))),""))</f>
        <v/>
      </c>
      <c r="R307" s="34">
        <f>IF(OR($L307="",$K307=""),"",IFERROR(IF(INDEX(PARAMETRES!$H$43:$H$342,MATCH($L307&amp;"|"&amp;$M307&amp;"|"&amp;$N307&amp;"|"&amp;$O307&amp;"|"&amp;$P307&amp;"|"&amp;$Q307&amp;"|"&amp;$K307,PARAMETRES!$J$43:$J$342,0))="","",INDEX(PARAMETRES!$H$43:$H$342,MATCH($L307&amp;"|"&amp;$M307&amp;"|"&amp;$N307&amp;"|"&amp;$O307&amp;"|"&amp;$P307&amp;"|"&amp;$Q307&amp;"|"&amp;$K307,PARAMETRES!$J$43:$J$342,0))),""))</f>
        <v/>
      </c>
      <c r="S307" s="35">
        <f>IF(OR($G307="",$X307&lt;&gt;"VALIDE"),"",IFERROR(LOOKUP(2,1/(($B$3:$B306=$B307)*($G$3:$G306=$G307)*($X$3:$X306="VALIDE")),$C$3:$C306),""))</f>
        <v/>
      </c>
      <c r="T307" s="36">
        <f>IF(OR($C307="",$S307=""),"",ROUND(($C307-$S307+IF($C307&lt;$S307,1,0))*1440,0))</f>
        <v/>
      </c>
      <c r="U307" s="22">
        <f>IF(OR($H307="",$T307="",$T307&lt;=0),"",$H307*60/$T307)</f>
        <v/>
      </c>
      <c r="V307" s="37">
        <f>IF(OR($U307="",$R307="",$R307=0),"",$U307/$R307)</f>
        <v/>
      </c>
      <c r="W307" s="20">
        <f>IF($G307="","",IF($X307="CONTEXTE INCOMPLET","CONTEXTE INCOMPLET",IF($X307="DOUBLON",StatutDoublon,IF($S307="",StatutInitial,IF($R307="",StatutStandardManquant,IF($V307="","DONNEES INSUFFISANTES",IF($V307&gt;=SeuilConforme,StatutConforme,IF($V307&gt;=SeuilSurveiller,StatutSurveiller,StatutSousStandard))))))))</f>
        <v/>
      </c>
      <c r="X307" s="33">
        <f>IF($G307="","",IF(OR($D307="",$E307="",$F307=""),"CONTEXTE INCOMPLET",IF(COUNTIFS($D$3:$D306,$D307,$E$3:$E306,$E307,$F$3:$F306,$F307,$G$3:$G306,$G307)&gt;0,"DOUBLON","VALIDE")))</f>
        <v/>
      </c>
    </row>
    <row r="308" ht="15" customHeight="1">
      <c r="A308" s="12">
        <f>IF(OR($B308="",$G308=""),"",TEXT($B308,"YYYYMMDD")&amp;"-"&amp;SUBSTITUTE($E308," ","")&amp;"-"&amp;$F308&amp;"-"&amp;$G308)</f>
        <v/>
      </c>
      <c r="B308" s="15" t="n"/>
      <c r="C308" s="16" t="n"/>
      <c r="D308" s="10" t="n"/>
      <c r="E308" s="9" t="n"/>
      <c r="F308" s="9" t="n"/>
      <c r="G308" s="13" t="n"/>
      <c r="H308" s="21" t="n"/>
      <c r="I308" s="21" t="n"/>
      <c r="J308" s="17">
        <f>IF($G308="","",IFERROR(INDEX(NomsEmployes,MATCH($G308,MatriculesEmployes,0)),"MATRICULE INCONNU"))</f>
        <v/>
      </c>
      <c r="K308" s="33">
        <f>IF(OR($D308="",$F308=""),"",IFERROR(IF(INDEX(RUNS!$L$6:$S$1005,MATCH($D308,RUNS!$A$6:$A$1005,0),MATCH("ACTIVITÉ "&amp;$F308,RUNS!$L$5:$S$5,0))="","",INDEX(RUNS!$L$6:$S$1005,MATCH($D308,RUNS!$A$6:$A$1005,0),MATCH("ACTIVITÉ "&amp;$F308,RUNS!$L$5:$S$5,0))),""))</f>
        <v/>
      </c>
      <c r="L308" s="33">
        <f>IF($D308="","",IFERROR(IF(INDEX(RUNS!$E$6:$E$1005,MATCH($D308,RUNS!$A$6:$A$1005,0))="","",INDEX(RUNS!$E$6:$E$1005,MATCH($D308,RUNS!$A$6:$A$1005,0))),""))</f>
        <v/>
      </c>
      <c r="M308" s="33">
        <f>IF($D308="","",IFERROR(IF(INDEX(RUNS!$F$6:$F$1005,MATCH($D308,RUNS!$A$6:$A$1005,0))="","",INDEX(RUNS!$F$6:$F$1005,MATCH($D308,RUNS!$A$6:$A$1005,0))),""))</f>
        <v/>
      </c>
      <c r="N308" s="33">
        <f>IF($D308="","",IFERROR(IF(INDEX(RUNS!$G$6:$G$1005,MATCH($D308,RUNS!$A$6:$A$1005,0))="","",INDEX(RUNS!$G$6:$G$1005,MATCH($D308,RUNS!$A$6:$A$1005,0))),""))</f>
        <v/>
      </c>
      <c r="O308" s="33">
        <f>IF($D308="","",IFERROR(IF(INDEX(RUNS!$H$6:$H$1005,MATCH($D308,RUNS!$A$6:$A$1005,0))="","",INDEX(RUNS!$H$6:$H$1005,MATCH($D308,RUNS!$A$6:$A$1005,0))),""))</f>
        <v/>
      </c>
      <c r="P308" s="33">
        <f>IF($D308="","",IFERROR(IF(INDEX(RUNS!$J$6:$J$1005,MATCH($D308,RUNS!$A$6:$A$1005,0))="","",INDEX(RUNS!$J$6:$J$1005,MATCH($D308,RUNS!$A$6:$A$1005,0))),""))</f>
        <v/>
      </c>
      <c r="Q308" s="33">
        <f>IF($D308="","",IFERROR(IF(INDEX(RUNS!$K$6:$K$1005,MATCH($D308,RUNS!$A$6:$A$1005,0))="","",INDEX(RUNS!$K$6:$K$1005,MATCH($D308,RUNS!$A$6:$A$1005,0))),""))</f>
        <v/>
      </c>
      <c r="R308" s="34">
        <f>IF(OR($L308="",$K308=""),"",IFERROR(IF(INDEX(PARAMETRES!$H$43:$H$342,MATCH($L308&amp;"|"&amp;$M308&amp;"|"&amp;$N308&amp;"|"&amp;$O308&amp;"|"&amp;$P308&amp;"|"&amp;$Q308&amp;"|"&amp;$K308,PARAMETRES!$J$43:$J$342,0))="","",INDEX(PARAMETRES!$H$43:$H$342,MATCH($L308&amp;"|"&amp;$M308&amp;"|"&amp;$N308&amp;"|"&amp;$O308&amp;"|"&amp;$P308&amp;"|"&amp;$Q308&amp;"|"&amp;$K308,PARAMETRES!$J$43:$J$342,0))),""))</f>
        <v/>
      </c>
      <c r="S308" s="35">
        <f>IF(OR($G308="",$X308&lt;&gt;"VALIDE"),"",IFERROR(LOOKUP(2,1/(($B$3:$B307=$B308)*($G$3:$G307=$G308)*($X$3:$X307="VALIDE")),$C$3:$C307),""))</f>
        <v/>
      </c>
      <c r="T308" s="36">
        <f>IF(OR($C308="",$S308=""),"",ROUND(($C308-$S308+IF($C308&lt;$S308,1,0))*1440,0))</f>
        <v/>
      </c>
      <c r="U308" s="22">
        <f>IF(OR($H308="",$T308="",$T308&lt;=0),"",$H308*60/$T308)</f>
        <v/>
      </c>
      <c r="V308" s="37">
        <f>IF(OR($U308="",$R308="",$R308=0),"",$U308/$R308)</f>
        <v/>
      </c>
      <c r="W308" s="20">
        <f>IF($G308="","",IF($X308="CONTEXTE INCOMPLET","CONTEXTE INCOMPLET",IF($X308="DOUBLON",StatutDoublon,IF($S308="",StatutInitial,IF($R308="",StatutStandardManquant,IF($V308="","DONNEES INSUFFISANTES",IF($V308&gt;=SeuilConforme,StatutConforme,IF($V308&gt;=SeuilSurveiller,StatutSurveiller,StatutSousStandard))))))))</f>
        <v/>
      </c>
      <c r="X308" s="33">
        <f>IF($G308="","",IF(OR($D308="",$E308="",$F308=""),"CONTEXTE INCOMPLET",IF(COUNTIFS($D$3:$D307,$D308,$E$3:$E307,$E308,$F$3:$F307,$F308,$G$3:$G307,$G308)&gt;0,"DOUBLON","VALIDE")))</f>
        <v/>
      </c>
    </row>
    <row r="309" ht="15" customHeight="1">
      <c r="A309" s="12">
        <f>IF(OR($B309="",$G309=""),"",TEXT($B309,"YYYYMMDD")&amp;"-"&amp;SUBSTITUTE($E309," ","")&amp;"-"&amp;$F309&amp;"-"&amp;$G309)</f>
        <v/>
      </c>
      <c r="B309" s="15" t="n"/>
      <c r="C309" s="16" t="n"/>
      <c r="D309" s="10" t="n"/>
      <c r="E309" s="9" t="n"/>
      <c r="F309" s="9" t="n"/>
      <c r="G309" s="13" t="n"/>
      <c r="H309" s="21" t="n"/>
      <c r="I309" s="21" t="n"/>
      <c r="J309" s="17">
        <f>IF($G309="","",IFERROR(INDEX(NomsEmployes,MATCH($G309,MatriculesEmployes,0)),"MATRICULE INCONNU"))</f>
        <v/>
      </c>
      <c r="K309" s="33">
        <f>IF(OR($D309="",$F309=""),"",IFERROR(IF(INDEX(RUNS!$L$6:$S$1005,MATCH($D309,RUNS!$A$6:$A$1005,0),MATCH("ACTIVITÉ "&amp;$F309,RUNS!$L$5:$S$5,0))="","",INDEX(RUNS!$L$6:$S$1005,MATCH($D309,RUNS!$A$6:$A$1005,0),MATCH("ACTIVITÉ "&amp;$F309,RUNS!$L$5:$S$5,0))),""))</f>
        <v/>
      </c>
      <c r="L309" s="33">
        <f>IF($D309="","",IFERROR(IF(INDEX(RUNS!$E$6:$E$1005,MATCH($D309,RUNS!$A$6:$A$1005,0))="","",INDEX(RUNS!$E$6:$E$1005,MATCH($D309,RUNS!$A$6:$A$1005,0))),""))</f>
        <v/>
      </c>
      <c r="M309" s="33">
        <f>IF($D309="","",IFERROR(IF(INDEX(RUNS!$F$6:$F$1005,MATCH($D309,RUNS!$A$6:$A$1005,0))="","",INDEX(RUNS!$F$6:$F$1005,MATCH($D309,RUNS!$A$6:$A$1005,0))),""))</f>
        <v/>
      </c>
      <c r="N309" s="33">
        <f>IF($D309="","",IFERROR(IF(INDEX(RUNS!$G$6:$G$1005,MATCH($D309,RUNS!$A$6:$A$1005,0))="","",INDEX(RUNS!$G$6:$G$1005,MATCH($D309,RUNS!$A$6:$A$1005,0))),""))</f>
        <v/>
      </c>
      <c r="O309" s="33">
        <f>IF($D309="","",IFERROR(IF(INDEX(RUNS!$H$6:$H$1005,MATCH($D309,RUNS!$A$6:$A$1005,0))="","",INDEX(RUNS!$H$6:$H$1005,MATCH($D309,RUNS!$A$6:$A$1005,0))),""))</f>
        <v/>
      </c>
      <c r="P309" s="33">
        <f>IF($D309="","",IFERROR(IF(INDEX(RUNS!$J$6:$J$1005,MATCH($D309,RUNS!$A$6:$A$1005,0))="","",INDEX(RUNS!$J$6:$J$1005,MATCH($D309,RUNS!$A$6:$A$1005,0))),""))</f>
        <v/>
      </c>
      <c r="Q309" s="33">
        <f>IF($D309="","",IFERROR(IF(INDEX(RUNS!$K$6:$K$1005,MATCH($D309,RUNS!$A$6:$A$1005,0))="","",INDEX(RUNS!$K$6:$K$1005,MATCH($D309,RUNS!$A$6:$A$1005,0))),""))</f>
        <v/>
      </c>
      <c r="R309" s="34">
        <f>IF(OR($L309="",$K309=""),"",IFERROR(IF(INDEX(PARAMETRES!$H$43:$H$342,MATCH($L309&amp;"|"&amp;$M309&amp;"|"&amp;$N309&amp;"|"&amp;$O309&amp;"|"&amp;$P309&amp;"|"&amp;$Q309&amp;"|"&amp;$K309,PARAMETRES!$J$43:$J$342,0))="","",INDEX(PARAMETRES!$H$43:$H$342,MATCH($L309&amp;"|"&amp;$M309&amp;"|"&amp;$N309&amp;"|"&amp;$O309&amp;"|"&amp;$P309&amp;"|"&amp;$Q309&amp;"|"&amp;$K309,PARAMETRES!$J$43:$J$342,0))),""))</f>
        <v/>
      </c>
      <c r="S309" s="35">
        <f>IF(OR($G309="",$X309&lt;&gt;"VALIDE"),"",IFERROR(LOOKUP(2,1/(($B$3:$B308=$B309)*($G$3:$G308=$G309)*($X$3:$X308="VALIDE")),$C$3:$C308),""))</f>
        <v/>
      </c>
      <c r="T309" s="36">
        <f>IF(OR($C309="",$S309=""),"",ROUND(($C309-$S309+IF($C309&lt;$S309,1,0))*1440,0))</f>
        <v/>
      </c>
      <c r="U309" s="22">
        <f>IF(OR($H309="",$T309="",$T309&lt;=0),"",$H309*60/$T309)</f>
        <v/>
      </c>
      <c r="V309" s="37">
        <f>IF(OR($U309="",$R309="",$R309=0),"",$U309/$R309)</f>
        <v/>
      </c>
      <c r="W309" s="20">
        <f>IF($G309="","",IF($X309="CONTEXTE INCOMPLET","CONTEXTE INCOMPLET",IF($X309="DOUBLON",StatutDoublon,IF($S309="",StatutInitial,IF($R309="",StatutStandardManquant,IF($V309="","DONNEES INSUFFISANTES",IF($V309&gt;=SeuilConforme,StatutConforme,IF($V309&gt;=SeuilSurveiller,StatutSurveiller,StatutSousStandard))))))))</f>
        <v/>
      </c>
      <c r="X309" s="33">
        <f>IF($G309="","",IF(OR($D309="",$E309="",$F309=""),"CONTEXTE INCOMPLET",IF(COUNTIFS($D$3:$D308,$D309,$E$3:$E308,$E309,$F$3:$F308,$F309,$G$3:$G308,$G309)&gt;0,"DOUBLON","VALIDE")))</f>
        <v/>
      </c>
    </row>
    <row r="310" ht="15" customHeight="1">
      <c r="A310" s="12">
        <f>IF(OR($B310="",$G310=""),"",TEXT($B310,"YYYYMMDD")&amp;"-"&amp;SUBSTITUTE($E310," ","")&amp;"-"&amp;$F310&amp;"-"&amp;$G310)</f>
        <v/>
      </c>
      <c r="B310" s="15" t="n"/>
      <c r="C310" s="16" t="n"/>
      <c r="D310" s="10" t="n"/>
      <c r="E310" s="9" t="n"/>
      <c r="F310" s="9" t="n"/>
      <c r="G310" s="13" t="n"/>
      <c r="H310" s="21" t="n"/>
      <c r="I310" s="21" t="n"/>
      <c r="J310" s="17">
        <f>IF($G310="","",IFERROR(INDEX(NomsEmployes,MATCH($G310,MatriculesEmployes,0)),"MATRICULE INCONNU"))</f>
        <v/>
      </c>
      <c r="K310" s="33">
        <f>IF(OR($D310="",$F310=""),"",IFERROR(IF(INDEX(RUNS!$L$6:$S$1005,MATCH($D310,RUNS!$A$6:$A$1005,0),MATCH("ACTIVITÉ "&amp;$F310,RUNS!$L$5:$S$5,0))="","",INDEX(RUNS!$L$6:$S$1005,MATCH($D310,RUNS!$A$6:$A$1005,0),MATCH("ACTIVITÉ "&amp;$F310,RUNS!$L$5:$S$5,0))),""))</f>
        <v/>
      </c>
      <c r="L310" s="33">
        <f>IF($D310="","",IFERROR(IF(INDEX(RUNS!$E$6:$E$1005,MATCH($D310,RUNS!$A$6:$A$1005,0))="","",INDEX(RUNS!$E$6:$E$1005,MATCH($D310,RUNS!$A$6:$A$1005,0))),""))</f>
        <v/>
      </c>
      <c r="M310" s="33">
        <f>IF($D310="","",IFERROR(IF(INDEX(RUNS!$F$6:$F$1005,MATCH($D310,RUNS!$A$6:$A$1005,0))="","",INDEX(RUNS!$F$6:$F$1005,MATCH($D310,RUNS!$A$6:$A$1005,0))),""))</f>
        <v/>
      </c>
      <c r="N310" s="33">
        <f>IF($D310="","",IFERROR(IF(INDEX(RUNS!$G$6:$G$1005,MATCH($D310,RUNS!$A$6:$A$1005,0))="","",INDEX(RUNS!$G$6:$G$1005,MATCH($D310,RUNS!$A$6:$A$1005,0))),""))</f>
        <v/>
      </c>
      <c r="O310" s="33">
        <f>IF($D310="","",IFERROR(IF(INDEX(RUNS!$H$6:$H$1005,MATCH($D310,RUNS!$A$6:$A$1005,0))="","",INDEX(RUNS!$H$6:$H$1005,MATCH($D310,RUNS!$A$6:$A$1005,0))),""))</f>
        <v/>
      </c>
      <c r="P310" s="33">
        <f>IF($D310="","",IFERROR(IF(INDEX(RUNS!$J$6:$J$1005,MATCH($D310,RUNS!$A$6:$A$1005,0))="","",INDEX(RUNS!$J$6:$J$1005,MATCH($D310,RUNS!$A$6:$A$1005,0))),""))</f>
        <v/>
      </c>
      <c r="Q310" s="33">
        <f>IF($D310="","",IFERROR(IF(INDEX(RUNS!$K$6:$K$1005,MATCH($D310,RUNS!$A$6:$A$1005,0))="","",INDEX(RUNS!$K$6:$K$1005,MATCH($D310,RUNS!$A$6:$A$1005,0))),""))</f>
        <v/>
      </c>
      <c r="R310" s="34">
        <f>IF(OR($L310="",$K310=""),"",IFERROR(IF(INDEX(PARAMETRES!$H$43:$H$342,MATCH($L310&amp;"|"&amp;$M310&amp;"|"&amp;$N310&amp;"|"&amp;$O310&amp;"|"&amp;$P310&amp;"|"&amp;$Q310&amp;"|"&amp;$K310,PARAMETRES!$J$43:$J$342,0))="","",INDEX(PARAMETRES!$H$43:$H$342,MATCH($L310&amp;"|"&amp;$M310&amp;"|"&amp;$N310&amp;"|"&amp;$O310&amp;"|"&amp;$P310&amp;"|"&amp;$Q310&amp;"|"&amp;$K310,PARAMETRES!$J$43:$J$342,0))),""))</f>
        <v/>
      </c>
      <c r="S310" s="35">
        <f>IF(OR($G310="",$X310&lt;&gt;"VALIDE"),"",IFERROR(LOOKUP(2,1/(($B$3:$B309=$B310)*($G$3:$G309=$G310)*($X$3:$X309="VALIDE")),$C$3:$C309),""))</f>
        <v/>
      </c>
      <c r="T310" s="36">
        <f>IF(OR($C310="",$S310=""),"",ROUND(($C310-$S310+IF($C310&lt;$S310,1,0))*1440,0))</f>
        <v/>
      </c>
      <c r="U310" s="22">
        <f>IF(OR($H310="",$T310="",$T310&lt;=0),"",$H310*60/$T310)</f>
        <v/>
      </c>
      <c r="V310" s="37">
        <f>IF(OR($U310="",$R310="",$R310=0),"",$U310/$R310)</f>
        <v/>
      </c>
      <c r="W310" s="20">
        <f>IF($G310="","",IF($X310="CONTEXTE INCOMPLET","CONTEXTE INCOMPLET",IF($X310="DOUBLON",StatutDoublon,IF($S310="",StatutInitial,IF($R310="",StatutStandardManquant,IF($V310="","DONNEES INSUFFISANTES",IF($V310&gt;=SeuilConforme,StatutConforme,IF($V310&gt;=SeuilSurveiller,StatutSurveiller,StatutSousStandard))))))))</f>
        <v/>
      </c>
      <c r="X310" s="33">
        <f>IF($G310="","",IF(OR($D310="",$E310="",$F310=""),"CONTEXTE INCOMPLET",IF(COUNTIFS($D$3:$D309,$D310,$E$3:$E309,$E310,$F$3:$F309,$F310,$G$3:$G309,$G310)&gt;0,"DOUBLON","VALIDE")))</f>
        <v/>
      </c>
    </row>
    <row r="311" ht="15" customHeight="1">
      <c r="A311" s="12">
        <f>IF(OR($B311="",$G311=""),"",TEXT($B311,"YYYYMMDD")&amp;"-"&amp;SUBSTITUTE($E311," ","")&amp;"-"&amp;$F311&amp;"-"&amp;$G311)</f>
        <v/>
      </c>
      <c r="B311" s="15" t="n"/>
      <c r="C311" s="16" t="n"/>
      <c r="D311" s="10" t="n"/>
      <c r="E311" s="9" t="n"/>
      <c r="F311" s="9" t="n"/>
      <c r="G311" s="13" t="n"/>
      <c r="H311" s="21" t="n"/>
      <c r="I311" s="21" t="n"/>
      <c r="J311" s="17">
        <f>IF($G311="","",IFERROR(INDEX(NomsEmployes,MATCH($G311,MatriculesEmployes,0)),"MATRICULE INCONNU"))</f>
        <v/>
      </c>
      <c r="K311" s="33">
        <f>IF(OR($D311="",$F311=""),"",IFERROR(IF(INDEX(RUNS!$L$6:$S$1005,MATCH($D311,RUNS!$A$6:$A$1005,0),MATCH("ACTIVITÉ "&amp;$F311,RUNS!$L$5:$S$5,0))="","",INDEX(RUNS!$L$6:$S$1005,MATCH($D311,RUNS!$A$6:$A$1005,0),MATCH("ACTIVITÉ "&amp;$F311,RUNS!$L$5:$S$5,0))),""))</f>
        <v/>
      </c>
      <c r="L311" s="33">
        <f>IF($D311="","",IFERROR(IF(INDEX(RUNS!$E$6:$E$1005,MATCH($D311,RUNS!$A$6:$A$1005,0))="","",INDEX(RUNS!$E$6:$E$1005,MATCH($D311,RUNS!$A$6:$A$1005,0))),""))</f>
        <v/>
      </c>
      <c r="M311" s="33">
        <f>IF($D311="","",IFERROR(IF(INDEX(RUNS!$F$6:$F$1005,MATCH($D311,RUNS!$A$6:$A$1005,0))="","",INDEX(RUNS!$F$6:$F$1005,MATCH($D311,RUNS!$A$6:$A$1005,0))),""))</f>
        <v/>
      </c>
      <c r="N311" s="33">
        <f>IF($D311="","",IFERROR(IF(INDEX(RUNS!$G$6:$G$1005,MATCH($D311,RUNS!$A$6:$A$1005,0))="","",INDEX(RUNS!$G$6:$G$1005,MATCH($D311,RUNS!$A$6:$A$1005,0))),""))</f>
        <v/>
      </c>
      <c r="O311" s="33">
        <f>IF($D311="","",IFERROR(IF(INDEX(RUNS!$H$6:$H$1005,MATCH($D311,RUNS!$A$6:$A$1005,0))="","",INDEX(RUNS!$H$6:$H$1005,MATCH($D311,RUNS!$A$6:$A$1005,0))),""))</f>
        <v/>
      </c>
      <c r="P311" s="33">
        <f>IF($D311="","",IFERROR(IF(INDEX(RUNS!$J$6:$J$1005,MATCH($D311,RUNS!$A$6:$A$1005,0))="","",INDEX(RUNS!$J$6:$J$1005,MATCH($D311,RUNS!$A$6:$A$1005,0))),""))</f>
        <v/>
      </c>
      <c r="Q311" s="33">
        <f>IF($D311="","",IFERROR(IF(INDEX(RUNS!$K$6:$K$1005,MATCH($D311,RUNS!$A$6:$A$1005,0))="","",INDEX(RUNS!$K$6:$K$1005,MATCH($D311,RUNS!$A$6:$A$1005,0))),""))</f>
        <v/>
      </c>
      <c r="R311" s="34">
        <f>IF(OR($L311="",$K311=""),"",IFERROR(IF(INDEX(PARAMETRES!$H$43:$H$342,MATCH($L311&amp;"|"&amp;$M311&amp;"|"&amp;$N311&amp;"|"&amp;$O311&amp;"|"&amp;$P311&amp;"|"&amp;$Q311&amp;"|"&amp;$K311,PARAMETRES!$J$43:$J$342,0))="","",INDEX(PARAMETRES!$H$43:$H$342,MATCH($L311&amp;"|"&amp;$M311&amp;"|"&amp;$N311&amp;"|"&amp;$O311&amp;"|"&amp;$P311&amp;"|"&amp;$Q311&amp;"|"&amp;$K311,PARAMETRES!$J$43:$J$342,0))),""))</f>
        <v/>
      </c>
      <c r="S311" s="35">
        <f>IF(OR($G311="",$X311&lt;&gt;"VALIDE"),"",IFERROR(LOOKUP(2,1/(($B$3:$B310=$B311)*($G$3:$G310=$G311)*($X$3:$X310="VALIDE")),$C$3:$C310),""))</f>
        <v/>
      </c>
      <c r="T311" s="36">
        <f>IF(OR($C311="",$S311=""),"",ROUND(($C311-$S311+IF($C311&lt;$S311,1,0))*1440,0))</f>
        <v/>
      </c>
      <c r="U311" s="22">
        <f>IF(OR($H311="",$T311="",$T311&lt;=0),"",$H311*60/$T311)</f>
        <v/>
      </c>
      <c r="V311" s="37">
        <f>IF(OR($U311="",$R311="",$R311=0),"",$U311/$R311)</f>
        <v/>
      </c>
      <c r="W311" s="20">
        <f>IF($G311="","",IF($X311="CONTEXTE INCOMPLET","CONTEXTE INCOMPLET",IF($X311="DOUBLON",StatutDoublon,IF($S311="",StatutInitial,IF($R311="",StatutStandardManquant,IF($V311="","DONNEES INSUFFISANTES",IF($V311&gt;=SeuilConforme,StatutConforme,IF($V311&gt;=SeuilSurveiller,StatutSurveiller,StatutSousStandard))))))))</f>
        <v/>
      </c>
      <c r="X311" s="33">
        <f>IF($G311="","",IF(OR($D311="",$E311="",$F311=""),"CONTEXTE INCOMPLET",IF(COUNTIFS($D$3:$D310,$D311,$E$3:$E310,$E311,$F$3:$F310,$F311,$G$3:$G310,$G311)&gt;0,"DOUBLON","VALIDE")))</f>
        <v/>
      </c>
    </row>
    <row r="312" ht="15" customHeight="1">
      <c r="A312" s="12">
        <f>IF(OR($B312="",$G312=""),"",TEXT($B312,"YYYYMMDD")&amp;"-"&amp;SUBSTITUTE($E312," ","")&amp;"-"&amp;$F312&amp;"-"&amp;$G312)</f>
        <v/>
      </c>
      <c r="B312" s="15" t="n"/>
      <c r="C312" s="16" t="n"/>
      <c r="D312" s="10" t="n"/>
      <c r="E312" s="9" t="n"/>
      <c r="F312" s="9" t="n"/>
      <c r="G312" s="13" t="n"/>
      <c r="H312" s="21" t="n"/>
      <c r="I312" s="21" t="n"/>
      <c r="J312" s="17">
        <f>IF($G312="","",IFERROR(INDEX(NomsEmployes,MATCH($G312,MatriculesEmployes,0)),"MATRICULE INCONNU"))</f>
        <v/>
      </c>
      <c r="K312" s="33">
        <f>IF(OR($D312="",$F312=""),"",IFERROR(IF(INDEX(RUNS!$L$6:$S$1005,MATCH($D312,RUNS!$A$6:$A$1005,0),MATCH("ACTIVITÉ "&amp;$F312,RUNS!$L$5:$S$5,0))="","",INDEX(RUNS!$L$6:$S$1005,MATCH($D312,RUNS!$A$6:$A$1005,0),MATCH("ACTIVITÉ "&amp;$F312,RUNS!$L$5:$S$5,0))),""))</f>
        <v/>
      </c>
      <c r="L312" s="33">
        <f>IF($D312="","",IFERROR(IF(INDEX(RUNS!$E$6:$E$1005,MATCH($D312,RUNS!$A$6:$A$1005,0))="","",INDEX(RUNS!$E$6:$E$1005,MATCH($D312,RUNS!$A$6:$A$1005,0))),""))</f>
        <v/>
      </c>
      <c r="M312" s="33">
        <f>IF($D312="","",IFERROR(IF(INDEX(RUNS!$F$6:$F$1005,MATCH($D312,RUNS!$A$6:$A$1005,0))="","",INDEX(RUNS!$F$6:$F$1005,MATCH($D312,RUNS!$A$6:$A$1005,0))),""))</f>
        <v/>
      </c>
      <c r="N312" s="33">
        <f>IF($D312="","",IFERROR(IF(INDEX(RUNS!$G$6:$G$1005,MATCH($D312,RUNS!$A$6:$A$1005,0))="","",INDEX(RUNS!$G$6:$G$1005,MATCH($D312,RUNS!$A$6:$A$1005,0))),""))</f>
        <v/>
      </c>
      <c r="O312" s="33">
        <f>IF($D312="","",IFERROR(IF(INDEX(RUNS!$H$6:$H$1005,MATCH($D312,RUNS!$A$6:$A$1005,0))="","",INDEX(RUNS!$H$6:$H$1005,MATCH($D312,RUNS!$A$6:$A$1005,0))),""))</f>
        <v/>
      </c>
      <c r="P312" s="33">
        <f>IF($D312="","",IFERROR(IF(INDEX(RUNS!$J$6:$J$1005,MATCH($D312,RUNS!$A$6:$A$1005,0))="","",INDEX(RUNS!$J$6:$J$1005,MATCH($D312,RUNS!$A$6:$A$1005,0))),""))</f>
        <v/>
      </c>
      <c r="Q312" s="33">
        <f>IF($D312="","",IFERROR(IF(INDEX(RUNS!$K$6:$K$1005,MATCH($D312,RUNS!$A$6:$A$1005,0))="","",INDEX(RUNS!$K$6:$K$1005,MATCH($D312,RUNS!$A$6:$A$1005,0))),""))</f>
        <v/>
      </c>
      <c r="R312" s="34">
        <f>IF(OR($L312="",$K312=""),"",IFERROR(IF(INDEX(PARAMETRES!$H$43:$H$342,MATCH($L312&amp;"|"&amp;$M312&amp;"|"&amp;$N312&amp;"|"&amp;$O312&amp;"|"&amp;$P312&amp;"|"&amp;$Q312&amp;"|"&amp;$K312,PARAMETRES!$J$43:$J$342,0))="","",INDEX(PARAMETRES!$H$43:$H$342,MATCH($L312&amp;"|"&amp;$M312&amp;"|"&amp;$N312&amp;"|"&amp;$O312&amp;"|"&amp;$P312&amp;"|"&amp;$Q312&amp;"|"&amp;$K312,PARAMETRES!$J$43:$J$342,0))),""))</f>
        <v/>
      </c>
      <c r="S312" s="35">
        <f>IF(OR($G312="",$X312&lt;&gt;"VALIDE"),"",IFERROR(LOOKUP(2,1/(($B$3:$B311=$B312)*($G$3:$G311=$G312)*($X$3:$X311="VALIDE")),$C$3:$C311),""))</f>
        <v/>
      </c>
      <c r="T312" s="36">
        <f>IF(OR($C312="",$S312=""),"",ROUND(($C312-$S312+IF($C312&lt;$S312,1,0))*1440,0))</f>
        <v/>
      </c>
      <c r="U312" s="22">
        <f>IF(OR($H312="",$T312="",$T312&lt;=0),"",$H312*60/$T312)</f>
        <v/>
      </c>
      <c r="V312" s="37">
        <f>IF(OR($U312="",$R312="",$R312=0),"",$U312/$R312)</f>
        <v/>
      </c>
      <c r="W312" s="20">
        <f>IF($G312="","",IF($X312="CONTEXTE INCOMPLET","CONTEXTE INCOMPLET",IF($X312="DOUBLON",StatutDoublon,IF($S312="",StatutInitial,IF($R312="",StatutStandardManquant,IF($V312="","DONNEES INSUFFISANTES",IF($V312&gt;=SeuilConforme,StatutConforme,IF($V312&gt;=SeuilSurveiller,StatutSurveiller,StatutSousStandard))))))))</f>
        <v/>
      </c>
      <c r="X312" s="33">
        <f>IF($G312="","",IF(OR($D312="",$E312="",$F312=""),"CONTEXTE INCOMPLET",IF(COUNTIFS($D$3:$D311,$D312,$E$3:$E311,$E312,$F$3:$F311,$F312,$G$3:$G311,$G312)&gt;0,"DOUBLON","VALIDE")))</f>
        <v/>
      </c>
    </row>
    <row r="313" ht="15" customHeight="1">
      <c r="A313" s="12">
        <f>IF(OR($B313="",$G313=""),"",TEXT($B313,"YYYYMMDD")&amp;"-"&amp;SUBSTITUTE($E313," ","")&amp;"-"&amp;$F313&amp;"-"&amp;$G313)</f>
        <v/>
      </c>
      <c r="B313" s="15" t="n"/>
      <c r="C313" s="16" t="n"/>
      <c r="D313" s="10" t="n"/>
      <c r="E313" s="9" t="n"/>
      <c r="F313" s="9" t="n"/>
      <c r="G313" s="13" t="n"/>
      <c r="H313" s="21" t="n"/>
      <c r="I313" s="21" t="n"/>
      <c r="J313" s="17">
        <f>IF($G313="","",IFERROR(INDEX(NomsEmployes,MATCH($G313,MatriculesEmployes,0)),"MATRICULE INCONNU"))</f>
        <v/>
      </c>
      <c r="K313" s="33">
        <f>IF(OR($D313="",$F313=""),"",IFERROR(IF(INDEX(RUNS!$L$6:$S$1005,MATCH($D313,RUNS!$A$6:$A$1005,0),MATCH("ACTIVITÉ "&amp;$F313,RUNS!$L$5:$S$5,0))="","",INDEX(RUNS!$L$6:$S$1005,MATCH($D313,RUNS!$A$6:$A$1005,0),MATCH("ACTIVITÉ "&amp;$F313,RUNS!$L$5:$S$5,0))),""))</f>
        <v/>
      </c>
      <c r="L313" s="33">
        <f>IF($D313="","",IFERROR(IF(INDEX(RUNS!$E$6:$E$1005,MATCH($D313,RUNS!$A$6:$A$1005,0))="","",INDEX(RUNS!$E$6:$E$1005,MATCH($D313,RUNS!$A$6:$A$1005,0))),""))</f>
        <v/>
      </c>
      <c r="M313" s="33">
        <f>IF($D313="","",IFERROR(IF(INDEX(RUNS!$F$6:$F$1005,MATCH($D313,RUNS!$A$6:$A$1005,0))="","",INDEX(RUNS!$F$6:$F$1005,MATCH($D313,RUNS!$A$6:$A$1005,0))),""))</f>
        <v/>
      </c>
      <c r="N313" s="33">
        <f>IF($D313="","",IFERROR(IF(INDEX(RUNS!$G$6:$G$1005,MATCH($D313,RUNS!$A$6:$A$1005,0))="","",INDEX(RUNS!$G$6:$G$1005,MATCH($D313,RUNS!$A$6:$A$1005,0))),""))</f>
        <v/>
      </c>
      <c r="O313" s="33">
        <f>IF($D313="","",IFERROR(IF(INDEX(RUNS!$H$6:$H$1005,MATCH($D313,RUNS!$A$6:$A$1005,0))="","",INDEX(RUNS!$H$6:$H$1005,MATCH($D313,RUNS!$A$6:$A$1005,0))),""))</f>
        <v/>
      </c>
      <c r="P313" s="33">
        <f>IF($D313="","",IFERROR(IF(INDEX(RUNS!$J$6:$J$1005,MATCH($D313,RUNS!$A$6:$A$1005,0))="","",INDEX(RUNS!$J$6:$J$1005,MATCH($D313,RUNS!$A$6:$A$1005,0))),""))</f>
        <v/>
      </c>
      <c r="Q313" s="33">
        <f>IF($D313="","",IFERROR(IF(INDEX(RUNS!$K$6:$K$1005,MATCH($D313,RUNS!$A$6:$A$1005,0))="","",INDEX(RUNS!$K$6:$K$1005,MATCH($D313,RUNS!$A$6:$A$1005,0))),""))</f>
        <v/>
      </c>
      <c r="R313" s="34">
        <f>IF(OR($L313="",$K313=""),"",IFERROR(IF(INDEX(PARAMETRES!$H$43:$H$342,MATCH($L313&amp;"|"&amp;$M313&amp;"|"&amp;$N313&amp;"|"&amp;$O313&amp;"|"&amp;$P313&amp;"|"&amp;$Q313&amp;"|"&amp;$K313,PARAMETRES!$J$43:$J$342,0))="","",INDEX(PARAMETRES!$H$43:$H$342,MATCH($L313&amp;"|"&amp;$M313&amp;"|"&amp;$N313&amp;"|"&amp;$O313&amp;"|"&amp;$P313&amp;"|"&amp;$Q313&amp;"|"&amp;$K313,PARAMETRES!$J$43:$J$342,0))),""))</f>
        <v/>
      </c>
      <c r="S313" s="35">
        <f>IF(OR($G313="",$X313&lt;&gt;"VALIDE"),"",IFERROR(LOOKUP(2,1/(($B$3:$B312=$B313)*($G$3:$G312=$G313)*($X$3:$X312="VALIDE")),$C$3:$C312),""))</f>
        <v/>
      </c>
      <c r="T313" s="36">
        <f>IF(OR($C313="",$S313=""),"",ROUND(($C313-$S313+IF($C313&lt;$S313,1,0))*1440,0))</f>
        <v/>
      </c>
      <c r="U313" s="22">
        <f>IF(OR($H313="",$T313="",$T313&lt;=0),"",$H313*60/$T313)</f>
        <v/>
      </c>
      <c r="V313" s="37">
        <f>IF(OR($U313="",$R313="",$R313=0),"",$U313/$R313)</f>
        <v/>
      </c>
      <c r="W313" s="20">
        <f>IF($G313="","",IF($X313="CONTEXTE INCOMPLET","CONTEXTE INCOMPLET",IF($X313="DOUBLON",StatutDoublon,IF($S313="",StatutInitial,IF($R313="",StatutStandardManquant,IF($V313="","DONNEES INSUFFISANTES",IF($V313&gt;=SeuilConforme,StatutConforme,IF($V313&gt;=SeuilSurveiller,StatutSurveiller,StatutSousStandard))))))))</f>
        <v/>
      </c>
      <c r="X313" s="33">
        <f>IF($G313="","",IF(OR($D313="",$E313="",$F313=""),"CONTEXTE INCOMPLET",IF(COUNTIFS($D$3:$D312,$D313,$E$3:$E312,$E313,$F$3:$F312,$F313,$G$3:$G312,$G313)&gt;0,"DOUBLON","VALIDE")))</f>
        <v/>
      </c>
    </row>
    <row r="314" ht="15" customHeight="1">
      <c r="A314" s="12">
        <f>IF(OR($B314="",$G314=""),"",TEXT($B314,"YYYYMMDD")&amp;"-"&amp;SUBSTITUTE($E314," ","")&amp;"-"&amp;$F314&amp;"-"&amp;$G314)</f>
        <v/>
      </c>
      <c r="B314" s="15" t="n"/>
      <c r="C314" s="16" t="n"/>
      <c r="D314" s="10" t="n"/>
      <c r="E314" s="9" t="n"/>
      <c r="F314" s="9" t="n"/>
      <c r="G314" s="13" t="n"/>
      <c r="H314" s="21" t="n"/>
      <c r="I314" s="21" t="n"/>
      <c r="J314" s="17">
        <f>IF($G314="","",IFERROR(INDEX(NomsEmployes,MATCH($G314,MatriculesEmployes,0)),"MATRICULE INCONNU"))</f>
        <v/>
      </c>
      <c r="K314" s="33">
        <f>IF(OR($D314="",$F314=""),"",IFERROR(IF(INDEX(RUNS!$L$6:$S$1005,MATCH($D314,RUNS!$A$6:$A$1005,0),MATCH("ACTIVITÉ "&amp;$F314,RUNS!$L$5:$S$5,0))="","",INDEX(RUNS!$L$6:$S$1005,MATCH($D314,RUNS!$A$6:$A$1005,0),MATCH("ACTIVITÉ "&amp;$F314,RUNS!$L$5:$S$5,0))),""))</f>
        <v/>
      </c>
      <c r="L314" s="33">
        <f>IF($D314="","",IFERROR(IF(INDEX(RUNS!$E$6:$E$1005,MATCH($D314,RUNS!$A$6:$A$1005,0))="","",INDEX(RUNS!$E$6:$E$1005,MATCH($D314,RUNS!$A$6:$A$1005,0))),""))</f>
        <v/>
      </c>
      <c r="M314" s="33">
        <f>IF($D314="","",IFERROR(IF(INDEX(RUNS!$F$6:$F$1005,MATCH($D314,RUNS!$A$6:$A$1005,0))="","",INDEX(RUNS!$F$6:$F$1005,MATCH($D314,RUNS!$A$6:$A$1005,0))),""))</f>
        <v/>
      </c>
      <c r="N314" s="33">
        <f>IF($D314="","",IFERROR(IF(INDEX(RUNS!$G$6:$G$1005,MATCH($D314,RUNS!$A$6:$A$1005,0))="","",INDEX(RUNS!$G$6:$G$1005,MATCH($D314,RUNS!$A$6:$A$1005,0))),""))</f>
        <v/>
      </c>
      <c r="O314" s="33">
        <f>IF($D314="","",IFERROR(IF(INDEX(RUNS!$H$6:$H$1005,MATCH($D314,RUNS!$A$6:$A$1005,0))="","",INDEX(RUNS!$H$6:$H$1005,MATCH($D314,RUNS!$A$6:$A$1005,0))),""))</f>
        <v/>
      </c>
      <c r="P314" s="33">
        <f>IF($D314="","",IFERROR(IF(INDEX(RUNS!$J$6:$J$1005,MATCH($D314,RUNS!$A$6:$A$1005,0))="","",INDEX(RUNS!$J$6:$J$1005,MATCH($D314,RUNS!$A$6:$A$1005,0))),""))</f>
        <v/>
      </c>
      <c r="Q314" s="33">
        <f>IF($D314="","",IFERROR(IF(INDEX(RUNS!$K$6:$K$1005,MATCH($D314,RUNS!$A$6:$A$1005,0))="","",INDEX(RUNS!$K$6:$K$1005,MATCH($D314,RUNS!$A$6:$A$1005,0))),""))</f>
        <v/>
      </c>
      <c r="R314" s="34">
        <f>IF(OR($L314="",$K314=""),"",IFERROR(IF(INDEX(PARAMETRES!$H$43:$H$342,MATCH($L314&amp;"|"&amp;$M314&amp;"|"&amp;$N314&amp;"|"&amp;$O314&amp;"|"&amp;$P314&amp;"|"&amp;$Q314&amp;"|"&amp;$K314,PARAMETRES!$J$43:$J$342,0))="","",INDEX(PARAMETRES!$H$43:$H$342,MATCH($L314&amp;"|"&amp;$M314&amp;"|"&amp;$N314&amp;"|"&amp;$O314&amp;"|"&amp;$P314&amp;"|"&amp;$Q314&amp;"|"&amp;$K314,PARAMETRES!$J$43:$J$342,0))),""))</f>
        <v/>
      </c>
      <c r="S314" s="35">
        <f>IF(OR($G314="",$X314&lt;&gt;"VALIDE"),"",IFERROR(LOOKUP(2,1/(($B$3:$B313=$B314)*($G$3:$G313=$G314)*($X$3:$X313="VALIDE")),$C$3:$C313),""))</f>
        <v/>
      </c>
      <c r="T314" s="36">
        <f>IF(OR($C314="",$S314=""),"",ROUND(($C314-$S314+IF($C314&lt;$S314,1,0))*1440,0))</f>
        <v/>
      </c>
      <c r="U314" s="22">
        <f>IF(OR($H314="",$T314="",$T314&lt;=0),"",$H314*60/$T314)</f>
        <v/>
      </c>
      <c r="V314" s="37">
        <f>IF(OR($U314="",$R314="",$R314=0),"",$U314/$R314)</f>
        <v/>
      </c>
      <c r="W314" s="20">
        <f>IF($G314="","",IF($X314="CONTEXTE INCOMPLET","CONTEXTE INCOMPLET",IF($X314="DOUBLON",StatutDoublon,IF($S314="",StatutInitial,IF($R314="",StatutStandardManquant,IF($V314="","DONNEES INSUFFISANTES",IF($V314&gt;=SeuilConforme,StatutConforme,IF($V314&gt;=SeuilSurveiller,StatutSurveiller,StatutSousStandard))))))))</f>
        <v/>
      </c>
      <c r="X314" s="33">
        <f>IF($G314="","",IF(OR($D314="",$E314="",$F314=""),"CONTEXTE INCOMPLET",IF(COUNTIFS($D$3:$D313,$D314,$E$3:$E313,$E314,$F$3:$F313,$F314,$G$3:$G313,$G314)&gt;0,"DOUBLON","VALIDE")))</f>
        <v/>
      </c>
    </row>
    <row r="315" ht="15" customHeight="1">
      <c r="A315" s="12">
        <f>IF(OR($B315="",$G315=""),"",TEXT($B315,"YYYYMMDD")&amp;"-"&amp;SUBSTITUTE($E315," ","")&amp;"-"&amp;$F315&amp;"-"&amp;$G315)</f>
        <v/>
      </c>
      <c r="B315" s="15" t="n"/>
      <c r="C315" s="16" t="n"/>
      <c r="D315" s="10" t="n"/>
      <c r="E315" s="9" t="n"/>
      <c r="F315" s="9" t="n"/>
      <c r="G315" s="13" t="n"/>
      <c r="H315" s="21" t="n"/>
      <c r="I315" s="21" t="n"/>
      <c r="J315" s="17">
        <f>IF($G315="","",IFERROR(INDEX(NomsEmployes,MATCH($G315,MatriculesEmployes,0)),"MATRICULE INCONNU"))</f>
        <v/>
      </c>
      <c r="K315" s="33">
        <f>IF(OR($D315="",$F315=""),"",IFERROR(IF(INDEX(RUNS!$L$6:$S$1005,MATCH($D315,RUNS!$A$6:$A$1005,0),MATCH("ACTIVITÉ "&amp;$F315,RUNS!$L$5:$S$5,0))="","",INDEX(RUNS!$L$6:$S$1005,MATCH($D315,RUNS!$A$6:$A$1005,0),MATCH("ACTIVITÉ "&amp;$F315,RUNS!$L$5:$S$5,0))),""))</f>
        <v/>
      </c>
      <c r="L315" s="33">
        <f>IF($D315="","",IFERROR(IF(INDEX(RUNS!$E$6:$E$1005,MATCH($D315,RUNS!$A$6:$A$1005,0))="","",INDEX(RUNS!$E$6:$E$1005,MATCH($D315,RUNS!$A$6:$A$1005,0))),""))</f>
        <v/>
      </c>
      <c r="M315" s="33">
        <f>IF($D315="","",IFERROR(IF(INDEX(RUNS!$F$6:$F$1005,MATCH($D315,RUNS!$A$6:$A$1005,0))="","",INDEX(RUNS!$F$6:$F$1005,MATCH($D315,RUNS!$A$6:$A$1005,0))),""))</f>
        <v/>
      </c>
      <c r="N315" s="33">
        <f>IF($D315="","",IFERROR(IF(INDEX(RUNS!$G$6:$G$1005,MATCH($D315,RUNS!$A$6:$A$1005,0))="","",INDEX(RUNS!$G$6:$G$1005,MATCH($D315,RUNS!$A$6:$A$1005,0))),""))</f>
        <v/>
      </c>
      <c r="O315" s="33">
        <f>IF($D315="","",IFERROR(IF(INDEX(RUNS!$H$6:$H$1005,MATCH($D315,RUNS!$A$6:$A$1005,0))="","",INDEX(RUNS!$H$6:$H$1005,MATCH($D315,RUNS!$A$6:$A$1005,0))),""))</f>
        <v/>
      </c>
      <c r="P315" s="33">
        <f>IF($D315="","",IFERROR(IF(INDEX(RUNS!$J$6:$J$1005,MATCH($D315,RUNS!$A$6:$A$1005,0))="","",INDEX(RUNS!$J$6:$J$1005,MATCH($D315,RUNS!$A$6:$A$1005,0))),""))</f>
        <v/>
      </c>
      <c r="Q315" s="33">
        <f>IF($D315="","",IFERROR(IF(INDEX(RUNS!$K$6:$K$1005,MATCH($D315,RUNS!$A$6:$A$1005,0))="","",INDEX(RUNS!$K$6:$K$1005,MATCH($D315,RUNS!$A$6:$A$1005,0))),""))</f>
        <v/>
      </c>
      <c r="R315" s="34">
        <f>IF(OR($L315="",$K315=""),"",IFERROR(IF(INDEX(PARAMETRES!$H$43:$H$342,MATCH($L315&amp;"|"&amp;$M315&amp;"|"&amp;$N315&amp;"|"&amp;$O315&amp;"|"&amp;$P315&amp;"|"&amp;$Q315&amp;"|"&amp;$K315,PARAMETRES!$J$43:$J$342,0))="","",INDEX(PARAMETRES!$H$43:$H$342,MATCH($L315&amp;"|"&amp;$M315&amp;"|"&amp;$N315&amp;"|"&amp;$O315&amp;"|"&amp;$P315&amp;"|"&amp;$Q315&amp;"|"&amp;$K315,PARAMETRES!$J$43:$J$342,0))),""))</f>
        <v/>
      </c>
      <c r="S315" s="35">
        <f>IF(OR($G315="",$X315&lt;&gt;"VALIDE"),"",IFERROR(LOOKUP(2,1/(($B$3:$B314=$B315)*($G$3:$G314=$G315)*($X$3:$X314="VALIDE")),$C$3:$C314),""))</f>
        <v/>
      </c>
      <c r="T315" s="36">
        <f>IF(OR($C315="",$S315=""),"",ROUND(($C315-$S315+IF($C315&lt;$S315,1,0))*1440,0))</f>
        <v/>
      </c>
      <c r="U315" s="22">
        <f>IF(OR($H315="",$T315="",$T315&lt;=0),"",$H315*60/$T315)</f>
        <v/>
      </c>
      <c r="V315" s="37">
        <f>IF(OR($U315="",$R315="",$R315=0),"",$U315/$R315)</f>
        <v/>
      </c>
      <c r="W315" s="20">
        <f>IF($G315="","",IF($X315="CONTEXTE INCOMPLET","CONTEXTE INCOMPLET",IF($X315="DOUBLON",StatutDoublon,IF($S315="",StatutInitial,IF($R315="",StatutStandardManquant,IF($V315="","DONNEES INSUFFISANTES",IF($V315&gt;=SeuilConforme,StatutConforme,IF($V315&gt;=SeuilSurveiller,StatutSurveiller,StatutSousStandard))))))))</f>
        <v/>
      </c>
      <c r="X315" s="33">
        <f>IF($G315="","",IF(OR($D315="",$E315="",$F315=""),"CONTEXTE INCOMPLET",IF(COUNTIFS($D$3:$D314,$D315,$E$3:$E314,$E315,$F$3:$F314,$F315,$G$3:$G314,$G315)&gt;0,"DOUBLON","VALIDE")))</f>
        <v/>
      </c>
    </row>
    <row r="316" ht="15" customHeight="1">
      <c r="A316" s="12">
        <f>IF(OR($B316="",$G316=""),"",TEXT($B316,"YYYYMMDD")&amp;"-"&amp;SUBSTITUTE($E316," ","")&amp;"-"&amp;$F316&amp;"-"&amp;$G316)</f>
        <v/>
      </c>
      <c r="B316" s="15" t="n"/>
      <c r="C316" s="16" t="n"/>
      <c r="D316" s="10" t="n"/>
      <c r="E316" s="9" t="n"/>
      <c r="F316" s="9" t="n"/>
      <c r="G316" s="13" t="n"/>
      <c r="H316" s="21" t="n"/>
      <c r="I316" s="21" t="n"/>
      <c r="J316" s="17">
        <f>IF($G316="","",IFERROR(INDEX(NomsEmployes,MATCH($G316,MatriculesEmployes,0)),"MATRICULE INCONNU"))</f>
        <v/>
      </c>
      <c r="K316" s="33">
        <f>IF(OR($D316="",$F316=""),"",IFERROR(IF(INDEX(RUNS!$L$6:$S$1005,MATCH($D316,RUNS!$A$6:$A$1005,0),MATCH("ACTIVITÉ "&amp;$F316,RUNS!$L$5:$S$5,0))="","",INDEX(RUNS!$L$6:$S$1005,MATCH($D316,RUNS!$A$6:$A$1005,0),MATCH("ACTIVITÉ "&amp;$F316,RUNS!$L$5:$S$5,0))),""))</f>
        <v/>
      </c>
      <c r="L316" s="33">
        <f>IF($D316="","",IFERROR(IF(INDEX(RUNS!$E$6:$E$1005,MATCH($D316,RUNS!$A$6:$A$1005,0))="","",INDEX(RUNS!$E$6:$E$1005,MATCH($D316,RUNS!$A$6:$A$1005,0))),""))</f>
        <v/>
      </c>
      <c r="M316" s="33">
        <f>IF($D316="","",IFERROR(IF(INDEX(RUNS!$F$6:$F$1005,MATCH($D316,RUNS!$A$6:$A$1005,0))="","",INDEX(RUNS!$F$6:$F$1005,MATCH($D316,RUNS!$A$6:$A$1005,0))),""))</f>
        <v/>
      </c>
      <c r="N316" s="33">
        <f>IF($D316="","",IFERROR(IF(INDEX(RUNS!$G$6:$G$1005,MATCH($D316,RUNS!$A$6:$A$1005,0))="","",INDEX(RUNS!$G$6:$G$1005,MATCH($D316,RUNS!$A$6:$A$1005,0))),""))</f>
        <v/>
      </c>
      <c r="O316" s="33">
        <f>IF($D316="","",IFERROR(IF(INDEX(RUNS!$H$6:$H$1005,MATCH($D316,RUNS!$A$6:$A$1005,0))="","",INDEX(RUNS!$H$6:$H$1005,MATCH($D316,RUNS!$A$6:$A$1005,0))),""))</f>
        <v/>
      </c>
      <c r="P316" s="33">
        <f>IF($D316="","",IFERROR(IF(INDEX(RUNS!$J$6:$J$1005,MATCH($D316,RUNS!$A$6:$A$1005,0))="","",INDEX(RUNS!$J$6:$J$1005,MATCH($D316,RUNS!$A$6:$A$1005,0))),""))</f>
        <v/>
      </c>
      <c r="Q316" s="33">
        <f>IF($D316="","",IFERROR(IF(INDEX(RUNS!$K$6:$K$1005,MATCH($D316,RUNS!$A$6:$A$1005,0))="","",INDEX(RUNS!$K$6:$K$1005,MATCH($D316,RUNS!$A$6:$A$1005,0))),""))</f>
        <v/>
      </c>
      <c r="R316" s="34">
        <f>IF(OR($L316="",$K316=""),"",IFERROR(IF(INDEX(PARAMETRES!$H$43:$H$342,MATCH($L316&amp;"|"&amp;$M316&amp;"|"&amp;$N316&amp;"|"&amp;$O316&amp;"|"&amp;$P316&amp;"|"&amp;$Q316&amp;"|"&amp;$K316,PARAMETRES!$J$43:$J$342,0))="","",INDEX(PARAMETRES!$H$43:$H$342,MATCH($L316&amp;"|"&amp;$M316&amp;"|"&amp;$N316&amp;"|"&amp;$O316&amp;"|"&amp;$P316&amp;"|"&amp;$Q316&amp;"|"&amp;$K316,PARAMETRES!$J$43:$J$342,0))),""))</f>
        <v/>
      </c>
      <c r="S316" s="35">
        <f>IF(OR($G316="",$X316&lt;&gt;"VALIDE"),"",IFERROR(LOOKUP(2,1/(($B$3:$B315=$B316)*($G$3:$G315=$G316)*($X$3:$X315="VALIDE")),$C$3:$C315),""))</f>
        <v/>
      </c>
      <c r="T316" s="36">
        <f>IF(OR($C316="",$S316=""),"",ROUND(($C316-$S316+IF($C316&lt;$S316,1,0))*1440,0))</f>
        <v/>
      </c>
      <c r="U316" s="22">
        <f>IF(OR($H316="",$T316="",$T316&lt;=0),"",$H316*60/$T316)</f>
        <v/>
      </c>
      <c r="V316" s="37">
        <f>IF(OR($U316="",$R316="",$R316=0),"",$U316/$R316)</f>
        <v/>
      </c>
      <c r="W316" s="20">
        <f>IF($G316="","",IF($X316="CONTEXTE INCOMPLET","CONTEXTE INCOMPLET",IF($X316="DOUBLON",StatutDoublon,IF($S316="",StatutInitial,IF($R316="",StatutStandardManquant,IF($V316="","DONNEES INSUFFISANTES",IF($V316&gt;=SeuilConforme,StatutConforme,IF($V316&gt;=SeuilSurveiller,StatutSurveiller,StatutSousStandard))))))))</f>
        <v/>
      </c>
      <c r="X316" s="33">
        <f>IF($G316="","",IF(OR($D316="",$E316="",$F316=""),"CONTEXTE INCOMPLET",IF(COUNTIFS($D$3:$D315,$D316,$E$3:$E315,$E316,$F$3:$F315,$F316,$G$3:$G315,$G316)&gt;0,"DOUBLON","VALIDE")))</f>
        <v/>
      </c>
    </row>
    <row r="317" ht="15" customHeight="1">
      <c r="A317" s="12">
        <f>IF(OR($B317="",$G317=""),"",TEXT($B317,"YYYYMMDD")&amp;"-"&amp;SUBSTITUTE($E317," ","")&amp;"-"&amp;$F317&amp;"-"&amp;$G317)</f>
        <v/>
      </c>
      <c r="B317" s="15" t="n"/>
      <c r="C317" s="16" t="n"/>
      <c r="D317" s="10" t="n"/>
      <c r="E317" s="9" t="n"/>
      <c r="F317" s="9" t="n"/>
      <c r="G317" s="13" t="n"/>
      <c r="H317" s="21" t="n"/>
      <c r="I317" s="21" t="n"/>
      <c r="J317" s="17">
        <f>IF($G317="","",IFERROR(INDEX(NomsEmployes,MATCH($G317,MatriculesEmployes,0)),"MATRICULE INCONNU"))</f>
        <v/>
      </c>
      <c r="K317" s="33">
        <f>IF(OR($D317="",$F317=""),"",IFERROR(IF(INDEX(RUNS!$L$6:$S$1005,MATCH($D317,RUNS!$A$6:$A$1005,0),MATCH("ACTIVITÉ "&amp;$F317,RUNS!$L$5:$S$5,0))="","",INDEX(RUNS!$L$6:$S$1005,MATCH($D317,RUNS!$A$6:$A$1005,0),MATCH("ACTIVITÉ "&amp;$F317,RUNS!$L$5:$S$5,0))),""))</f>
        <v/>
      </c>
      <c r="L317" s="33">
        <f>IF($D317="","",IFERROR(IF(INDEX(RUNS!$E$6:$E$1005,MATCH($D317,RUNS!$A$6:$A$1005,0))="","",INDEX(RUNS!$E$6:$E$1005,MATCH($D317,RUNS!$A$6:$A$1005,0))),""))</f>
        <v/>
      </c>
      <c r="M317" s="33">
        <f>IF($D317="","",IFERROR(IF(INDEX(RUNS!$F$6:$F$1005,MATCH($D317,RUNS!$A$6:$A$1005,0))="","",INDEX(RUNS!$F$6:$F$1005,MATCH($D317,RUNS!$A$6:$A$1005,0))),""))</f>
        <v/>
      </c>
      <c r="N317" s="33">
        <f>IF($D317="","",IFERROR(IF(INDEX(RUNS!$G$6:$G$1005,MATCH($D317,RUNS!$A$6:$A$1005,0))="","",INDEX(RUNS!$G$6:$G$1005,MATCH($D317,RUNS!$A$6:$A$1005,0))),""))</f>
        <v/>
      </c>
      <c r="O317" s="33">
        <f>IF($D317="","",IFERROR(IF(INDEX(RUNS!$H$6:$H$1005,MATCH($D317,RUNS!$A$6:$A$1005,0))="","",INDEX(RUNS!$H$6:$H$1005,MATCH($D317,RUNS!$A$6:$A$1005,0))),""))</f>
        <v/>
      </c>
      <c r="P317" s="33">
        <f>IF($D317="","",IFERROR(IF(INDEX(RUNS!$J$6:$J$1005,MATCH($D317,RUNS!$A$6:$A$1005,0))="","",INDEX(RUNS!$J$6:$J$1005,MATCH($D317,RUNS!$A$6:$A$1005,0))),""))</f>
        <v/>
      </c>
      <c r="Q317" s="33">
        <f>IF($D317="","",IFERROR(IF(INDEX(RUNS!$K$6:$K$1005,MATCH($D317,RUNS!$A$6:$A$1005,0))="","",INDEX(RUNS!$K$6:$K$1005,MATCH($D317,RUNS!$A$6:$A$1005,0))),""))</f>
        <v/>
      </c>
      <c r="R317" s="34">
        <f>IF(OR($L317="",$K317=""),"",IFERROR(IF(INDEX(PARAMETRES!$H$43:$H$342,MATCH($L317&amp;"|"&amp;$M317&amp;"|"&amp;$N317&amp;"|"&amp;$O317&amp;"|"&amp;$P317&amp;"|"&amp;$Q317&amp;"|"&amp;$K317,PARAMETRES!$J$43:$J$342,0))="","",INDEX(PARAMETRES!$H$43:$H$342,MATCH($L317&amp;"|"&amp;$M317&amp;"|"&amp;$N317&amp;"|"&amp;$O317&amp;"|"&amp;$P317&amp;"|"&amp;$Q317&amp;"|"&amp;$K317,PARAMETRES!$J$43:$J$342,0))),""))</f>
        <v/>
      </c>
      <c r="S317" s="35">
        <f>IF(OR($G317="",$X317&lt;&gt;"VALIDE"),"",IFERROR(LOOKUP(2,1/(($B$3:$B316=$B317)*($G$3:$G316=$G317)*($X$3:$X316="VALIDE")),$C$3:$C316),""))</f>
        <v/>
      </c>
      <c r="T317" s="36">
        <f>IF(OR($C317="",$S317=""),"",ROUND(($C317-$S317+IF($C317&lt;$S317,1,0))*1440,0))</f>
        <v/>
      </c>
      <c r="U317" s="22">
        <f>IF(OR($H317="",$T317="",$T317&lt;=0),"",$H317*60/$T317)</f>
        <v/>
      </c>
      <c r="V317" s="37">
        <f>IF(OR($U317="",$R317="",$R317=0),"",$U317/$R317)</f>
        <v/>
      </c>
      <c r="W317" s="20">
        <f>IF($G317="","",IF($X317="CONTEXTE INCOMPLET","CONTEXTE INCOMPLET",IF($X317="DOUBLON",StatutDoublon,IF($S317="",StatutInitial,IF($R317="",StatutStandardManquant,IF($V317="","DONNEES INSUFFISANTES",IF($V317&gt;=SeuilConforme,StatutConforme,IF($V317&gt;=SeuilSurveiller,StatutSurveiller,StatutSousStandard))))))))</f>
        <v/>
      </c>
      <c r="X317" s="33">
        <f>IF($G317="","",IF(OR($D317="",$E317="",$F317=""),"CONTEXTE INCOMPLET",IF(COUNTIFS($D$3:$D316,$D317,$E$3:$E316,$E317,$F$3:$F316,$F317,$G$3:$G316,$G317)&gt;0,"DOUBLON","VALIDE")))</f>
        <v/>
      </c>
    </row>
    <row r="318" ht="15" customHeight="1">
      <c r="A318" s="12">
        <f>IF(OR($B318="",$G318=""),"",TEXT($B318,"YYYYMMDD")&amp;"-"&amp;SUBSTITUTE($E318," ","")&amp;"-"&amp;$F318&amp;"-"&amp;$G318)</f>
        <v/>
      </c>
      <c r="B318" s="15" t="n"/>
      <c r="C318" s="16" t="n"/>
      <c r="D318" s="10" t="n"/>
      <c r="E318" s="9" t="n"/>
      <c r="F318" s="9" t="n"/>
      <c r="G318" s="13" t="n"/>
      <c r="H318" s="21" t="n"/>
      <c r="I318" s="21" t="n"/>
      <c r="J318" s="17">
        <f>IF($G318="","",IFERROR(INDEX(NomsEmployes,MATCH($G318,MatriculesEmployes,0)),"MATRICULE INCONNU"))</f>
        <v/>
      </c>
      <c r="K318" s="33">
        <f>IF(OR($D318="",$F318=""),"",IFERROR(IF(INDEX(RUNS!$L$6:$S$1005,MATCH($D318,RUNS!$A$6:$A$1005,0),MATCH("ACTIVITÉ "&amp;$F318,RUNS!$L$5:$S$5,0))="","",INDEX(RUNS!$L$6:$S$1005,MATCH($D318,RUNS!$A$6:$A$1005,0),MATCH("ACTIVITÉ "&amp;$F318,RUNS!$L$5:$S$5,0))),""))</f>
        <v/>
      </c>
      <c r="L318" s="33">
        <f>IF($D318="","",IFERROR(IF(INDEX(RUNS!$E$6:$E$1005,MATCH($D318,RUNS!$A$6:$A$1005,0))="","",INDEX(RUNS!$E$6:$E$1005,MATCH($D318,RUNS!$A$6:$A$1005,0))),""))</f>
        <v/>
      </c>
      <c r="M318" s="33">
        <f>IF($D318="","",IFERROR(IF(INDEX(RUNS!$F$6:$F$1005,MATCH($D318,RUNS!$A$6:$A$1005,0))="","",INDEX(RUNS!$F$6:$F$1005,MATCH($D318,RUNS!$A$6:$A$1005,0))),""))</f>
        <v/>
      </c>
      <c r="N318" s="33">
        <f>IF($D318="","",IFERROR(IF(INDEX(RUNS!$G$6:$G$1005,MATCH($D318,RUNS!$A$6:$A$1005,0))="","",INDEX(RUNS!$G$6:$G$1005,MATCH($D318,RUNS!$A$6:$A$1005,0))),""))</f>
        <v/>
      </c>
      <c r="O318" s="33">
        <f>IF($D318="","",IFERROR(IF(INDEX(RUNS!$H$6:$H$1005,MATCH($D318,RUNS!$A$6:$A$1005,0))="","",INDEX(RUNS!$H$6:$H$1005,MATCH($D318,RUNS!$A$6:$A$1005,0))),""))</f>
        <v/>
      </c>
      <c r="P318" s="33">
        <f>IF($D318="","",IFERROR(IF(INDEX(RUNS!$J$6:$J$1005,MATCH($D318,RUNS!$A$6:$A$1005,0))="","",INDEX(RUNS!$J$6:$J$1005,MATCH($D318,RUNS!$A$6:$A$1005,0))),""))</f>
        <v/>
      </c>
      <c r="Q318" s="33">
        <f>IF($D318="","",IFERROR(IF(INDEX(RUNS!$K$6:$K$1005,MATCH($D318,RUNS!$A$6:$A$1005,0))="","",INDEX(RUNS!$K$6:$K$1005,MATCH($D318,RUNS!$A$6:$A$1005,0))),""))</f>
        <v/>
      </c>
      <c r="R318" s="34">
        <f>IF(OR($L318="",$K318=""),"",IFERROR(IF(INDEX(PARAMETRES!$H$43:$H$342,MATCH($L318&amp;"|"&amp;$M318&amp;"|"&amp;$N318&amp;"|"&amp;$O318&amp;"|"&amp;$P318&amp;"|"&amp;$Q318&amp;"|"&amp;$K318,PARAMETRES!$J$43:$J$342,0))="","",INDEX(PARAMETRES!$H$43:$H$342,MATCH($L318&amp;"|"&amp;$M318&amp;"|"&amp;$N318&amp;"|"&amp;$O318&amp;"|"&amp;$P318&amp;"|"&amp;$Q318&amp;"|"&amp;$K318,PARAMETRES!$J$43:$J$342,0))),""))</f>
        <v/>
      </c>
      <c r="S318" s="35">
        <f>IF(OR($G318="",$X318&lt;&gt;"VALIDE"),"",IFERROR(LOOKUP(2,1/(($B$3:$B317=$B318)*($G$3:$G317=$G318)*($X$3:$X317="VALIDE")),$C$3:$C317),""))</f>
        <v/>
      </c>
      <c r="T318" s="36">
        <f>IF(OR($C318="",$S318=""),"",ROUND(($C318-$S318+IF($C318&lt;$S318,1,0))*1440,0))</f>
        <v/>
      </c>
      <c r="U318" s="22">
        <f>IF(OR($H318="",$T318="",$T318&lt;=0),"",$H318*60/$T318)</f>
        <v/>
      </c>
      <c r="V318" s="37">
        <f>IF(OR($U318="",$R318="",$R318=0),"",$U318/$R318)</f>
        <v/>
      </c>
      <c r="W318" s="20">
        <f>IF($G318="","",IF($X318="CONTEXTE INCOMPLET","CONTEXTE INCOMPLET",IF($X318="DOUBLON",StatutDoublon,IF($S318="",StatutInitial,IF($R318="",StatutStandardManquant,IF($V318="","DONNEES INSUFFISANTES",IF($V318&gt;=SeuilConforme,StatutConforme,IF($V318&gt;=SeuilSurveiller,StatutSurveiller,StatutSousStandard))))))))</f>
        <v/>
      </c>
      <c r="X318" s="33">
        <f>IF($G318="","",IF(OR($D318="",$E318="",$F318=""),"CONTEXTE INCOMPLET",IF(COUNTIFS($D$3:$D317,$D318,$E$3:$E317,$E318,$F$3:$F317,$F318,$G$3:$G317,$G318)&gt;0,"DOUBLON","VALIDE")))</f>
        <v/>
      </c>
    </row>
    <row r="319" ht="15" customHeight="1">
      <c r="A319" s="12">
        <f>IF(OR($B319="",$G319=""),"",TEXT($B319,"YYYYMMDD")&amp;"-"&amp;SUBSTITUTE($E319," ","")&amp;"-"&amp;$F319&amp;"-"&amp;$G319)</f>
        <v/>
      </c>
      <c r="B319" s="15" t="n"/>
      <c r="C319" s="16" t="n"/>
      <c r="D319" s="10" t="n"/>
      <c r="E319" s="9" t="n"/>
      <c r="F319" s="9" t="n"/>
      <c r="G319" s="13" t="n"/>
      <c r="H319" s="21" t="n"/>
      <c r="I319" s="21" t="n"/>
      <c r="J319" s="17">
        <f>IF($G319="","",IFERROR(INDEX(NomsEmployes,MATCH($G319,MatriculesEmployes,0)),"MATRICULE INCONNU"))</f>
        <v/>
      </c>
      <c r="K319" s="33">
        <f>IF(OR($D319="",$F319=""),"",IFERROR(IF(INDEX(RUNS!$L$6:$S$1005,MATCH($D319,RUNS!$A$6:$A$1005,0),MATCH("ACTIVITÉ "&amp;$F319,RUNS!$L$5:$S$5,0))="","",INDEX(RUNS!$L$6:$S$1005,MATCH($D319,RUNS!$A$6:$A$1005,0),MATCH("ACTIVITÉ "&amp;$F319,RUNS!$L$5:$S$5,0))),""))</f>
        <v/>
      </c>
      <c r="L319" s="33">
        <f>IF($D319="","",IFERROR(IF(INDEX(RUNS!$E$6:$E$1005,MATCH($D319,RUNS!$A$6:$A$1005,0))="","",INDEX(RUNS!$E$6:$E$1005,MATCH($D319,RUNS!$A$6:$A$1005,0))),""))</f>
        <v/>
      </c>
      <c r="M319" s="33">
        <f>IF($D319="","",IFERROR(IF(INDEX(RUNS!$F$6:$F$1005,MATCH($D319,RUNS!$A$6:$A$1005,0))="","",INDEX(RUNS!$F$6:$F$1005,MATCH($D319,RUNS!$A$6:$A$1005,0))),""))</f>
        <v/>
      </c>
      <c r="N319" s="33">
        <f>IF($D319="","",IFERROR(IF(INDEX(RUNS!$G$6:$G$1005,MATCH($D319,RUNS!$A$6:$A$1005,0))="","",INDEX(RUNS!$G$6:$G$1005,MATCH($D319,RUNS!$A$6:$A$1005,0))),""))</f>
        <v/>
      </c>
      <c r="O319" s="33">
        <f>IF($D319="","",IFERROR(IF(INDEX(RUNS!$H$6:$H$1005,MATCH($D319,RUNS!$A$6:$A$1005,0))="","",INDEX(RUNS!$H$6:$H$1005,MATCH($D319,RUNS!$A$6:$A$1005,0))),""))</f>
        <v/>
      </c>
      <c r="P319" s="33">
        <f>IF($D319="","",IFERROR(IF(INDEX(RUNS!$J$6:$J$1005,MATCH($D319,RUNS!$A$6:$A$1005,0))="","",INDEX(RUNS!$J$6:$J$1005,MATCH($D319,RUNS!$A$6:$A$1005,0))),""))</f>
        <v/>
      </c>
      <c r="Q319" s="33">
        <f>IF($D319="","",IFERROR(IF(INDEX(RUNS!$K$6:$K$1005,MATCH($D319,RUNS!$A$6:$A$1005,0))="","",INDEX(RUNS!$K$6:$K$1005,MATCH($D319,RUNS!$A$6:$A$1005,0))),""))</f>
        <v/>
      </c>
      <c r="R319" s="34">
        <f>IF(OR($L319="",$K319=""),"",IFERROR(IF(INDEX(PARAMETRES!$H$43:$H$342,MATCH($L319&amp;"|"&amp;$M319&amp;"|"&amp;$N319&amp;"|"&amp;$O319&amp;"|"&amp;$P319&amp;"|"&amp;$Q319&amp;"|"&amp;$K319,PARAMETRES!$J$43:$J$342,0))="","",INDEX(PARAMETRES!$H$43:$H$342,MATCH($L319&amp;"|"&amp;$M319&amp;"|"&amp;$N319&amp;"|"&amp;$O319&amp;"|"&amp;$P319&amp;"|"&amp;$Q319&amp;"|"&amp;$K319,PARAMETRES!$J$43:$J$342,0))),""))</f>
        <v/>
      </c>
      <c r="S319" s="35">
        <f>IF(OR($G319="",$X319&lt;&gt;"VALIDE"),"",IFERROR(LOOKUP(2,1/(($B$3:$B318=$B319)*($G$3:$G318=$G319)*($X$3:$X318="VALIDE")),$C$3:$C318),""))</f>
        <v/>
      </c>
      <c r="T319" s="36">
        <f>IF(OR($C319="",$S319=""),"",ROUND(($C319-$S319+IF($C319&lt;$S319,1,0))*1440,0))</f>
        <v/>
      </c>
      <c r="U319" s="22">
        <f>IF(OR($H319="",$T319="",$T319&lt;=0),"",$H319*60/$T319)</f>
        <v/>
      </c>
      <c r="V319" s="37">
        <f>IF(OR($U319="",$R319="",$R319=0),"",$U319/$R319)</f>
        <v/>
      </c>
      <c r="W319" s="20">
        <f>IF($G319="","",IF($X319="CONTEXTE INCOMPLET","CONTEXTE INCOMPLET",IF($X319="DOUBLON",StatutDoublon,IF($S319="",StatutInitial,IF($R319="",StatutStandardManquant,IF($V319="","DONNEES INSUFFISANTES",IF($V319&gt;=SeuilConforme,StatutConforme,IF($V319&gt;=SeuilSurveiller,StatutSurveiller,StatutSousStandard))))))))</f>
        <v/>
      </c>
      <c r="X319" s="33">
        <f>IF($G319="","",IF(OR($D319="",$E319="",$F319=""),"CONTEXTE INCOMPLET",IF(COUNTIFS($D$3:$D318,$D319,$E$3:$E318,$E319,$F$3:$F318,$F319,$G$3:$G318,$G319)&gt;0,"DOUBLON","VALIDE")))</f>
        <v/>
      </c>
    </row>
    <row r="320" ht="15" customHeight="1">
      <c r="A320" s="12">
        <f>IF(OR($B320="",$G320=""),"",TEXT($B320,"YYYYMMDD")&amp;"-"&amp;SUBSTITUTE($E320," ","")&amp;"-"&amp;$F320&amp;"-"&amp;$G320)</f>
        <v/>
      </c>
      <c r="B320" s="15" t="n"/>
      <c r="C320" s="16" t="n"/>
      <c r="D320" s="10" t="n"/>
      <c r="E320" s="9" t="n"/>
      <c r="F320" s="9" t="n"/>
      <c r="G320" s="13" t="n"/>
      <c r="H320" s="21" t="n"/>
      <c r="I320" s="21" t="n"/>
      <c r="J320" s="17">
        <f>IF($G320="","",IFERROR(INDEX(NomsEmployes,MATCH($G320,MatriculesEmployes,0)),"MATRICULE INCONNU"))</f>
        <v/>
      </c>
      <c r="K320" s="33">
        <f>IF(OR($D320="",$F320=""),"",IFERROR(IF(INDEX(RUNS!$L$6:$S$1005,MATCH($D320,RUNS!$A$6:$A$1005,0),MATCH("ACTIVITÉ "&amp;$F320,RUNS!$L$5:$S$5,0))="","",INDEX(RUNS!$L$6:$S$1005,MATCH($D320,RUNS!$A$6:$A$1005,0),MATCH("ACTIVITÉ "&amp;$F320,RUNS!$L$5:$S$5,0))),""))</f>
        <v/>
      </c>
      <c r="L320" s="33">
        <f>IF($D320="","",IFERROR(IF(INDEX(RUNS!$E$6:$E$1005,MATCH($D320,RUNS!$A$6:$A$1005,0))="","",INDEX(RUNS!$E$6:$E$1005,MATCH($D320,RUNS!$A$6:$A$1005,0))),""))</f>
        <v/>
      </c>
      <c r="M320" s="33">
        <f>IF($D320="","",IFERROR(IF(INDEX(RUNS!$F$6:$F$1005,MATCH($D320,RUNS!$A$6:$A$1005,0))="","",INDEX(RUNS!$F$6:$F$1005,MATCH($D320,RUNS!$A$6:$A$1005,0))),""))</f>
        <v/>
      </c>
      <c r="N320" s="33">
        <f>IF($D320="","",IFERROR(IF(INDEX(RUNS!$G$6:$G$1005,MATCH($D320,RUNS!$A$6:$A$1005,0))="","",INDEX(RUNS!$G$6:$G$1005,MATCH($D320,RUNS!$A$6:$A$1005,0))),""))</f>
        <v/>
      </c>
      <c r="O320" s="33">
        <f>IF($D320="","",IFERROR(IF(INDEX(RUNS!$H$6:$H$1005,MATCH($D320,RUNS!$A$6:$A$1005,0))="","",INDEX(RUNS!$H$6:$H$1005,MATCH($D320,RUNS!$A$6:$A$1005,0))),""))</f>
        <v/>
      </c>
      <c r="P320" s="33">
        <f>IF($D320="","",IFERROR(IF(INDEX(RUNS!$J$6:$J$1005,MATCH($D320,RUNS!$A$6:$A$1005,0))="","",INDEX(RUNS!$J$6:$J$1005,MATCH($D320,RUNS!$A$6:$A$1005,0))),""))</f>
        <v/>
      </c>
      <c r="Q320" s="33">
        <f>IF($D320="","",IFERROR(IF(INDEX(RUNS!$K$6:$K$1005,MATCH($D320,RUNS!$A$6:$A$1005,0))="","",INDEX(RUNS!$K$6:$K$1005,MATCH($D320,RUNS!$A$6:$A$1005,0))),""))</f>
        <v/>
      </c>
      <c r="R320" s="34">
        <f>IF(OR($L320="",$K320=""),"",IFERROR(IF(INDEX(PARAMETRES!$H$43:$H$342,MATCH($L320&amp;"|"&amp;$M320&amp;"|"&amp;$N320&amp;"|"&amp;$O320&amp;"|"&amp;$P320&amp;"|"&amp;$Q320&amp;"|"&amp;$K320,PARAMETRES!$J$43:$J$342,0))="","",INDEX(PARAMETRES!$H$43:$H$342,MATCH($L320&amp;"|"&amp;$M320&amp;"|"&amp;$N320&amp;"|"&amp;$O320&amp;"|"&amp;$P320&amp;"|"&amp;$Q320&amp;"|"&amp;$K320,PARAMETRES!$J$43:$J$342,0))),""))</f>
        <v/>
      </c>
      <c r="S320" s="35">
        <f>IF(OR($G320="",$X320&lt;&gt;"VALIDE"),"",IFERROR(LOOKUP(2,1/(($B$3:$B319=$B320)*($G$3:$G319=$G320)*($X$3:$X319="VALIDE")),$C$3:$C319),""))</f>
        <v/>
      </c>
      <c r="T320" s="36">
        <f>IF(OR($C320="",$S320=""),"",ROUND(($C320-$S320+IF($C320&lt;$S320,1,0))*1440,0))</f>
        <v/>
      </c>
      <c r="U320" s="22">
        <f>IF(OR($H320="",$T320="",$T320&lt;=0),"",$H320*60/$T320)</f>
        <v/>
      </c>
      <c r="V320" s="37">
        <f>IF(OR($U320="",$R320="",$R320=0),"",$U320/$R320)</f>
        <v/>
      </c>
      <c r="W320" s="20">
        <f>IF($G320="","",IF($X320="CONTEXTE INCOMPLET","CONTEXTE INCOMPLET",IF($X320="DOUBLON",StatutDoublon,IF($S320="",StatutInitial,IF($R320="",StatutStandardManquant,IF($V320="","DONNEES INSUFFISANTES",IF($V320&gt;=SeuilConforme,StatutConforme,IF($V320&gt;=SeuilSurveiller,StatutSurveiller,StatutSousStandard))))))))</f>
        <v/>
      </c>
      <c r="X320" s="33">
        <f>IF($G320="","",IF(OR($D320="",$E320="",$F320=""),"CONTEXTE INCOMPLET",IF(COUNTIFS($D$3:$D319,$D320,$E$3:$E319,$E320,$F$3:$F319,$F320,$G$3:$G319,$G320)&gt;0,"DOUBLON","VALIDE")))</f>
        <v/>
      </c>
    </row>
    <row r="321" ht="15" customHeight="1">
      <c r="A321" s="12">
        <f>IF(OR($B321="",$G321=""),"",TEXT($B321,"YYYYMMDD")&amp;"-"&amp;SUBSTITUTE($E321," ","")&amp;"-"&amp;$F321&amp;"-"&amp;$G321)</f>
        <v/>
      </c>
      <c r="B321" s="15" t="n"/>
      <c r="C321" s="16" t="n"/>
      <c r="D321" s="10" t="n"/>
      <c r="E321" s="9" t="n"/>
      <c r="F321" s="9" t="n"/>
      <c r="G321" s="13" t="n"/>
      <c r="H321" s="21" t="n"/>
      <c r="I321" s="21" t="n"/>
      <c r="J321" s="17">
        <f>IF($G321="","",IFERROR(INDEX(NomsEmployes,MATCH($G321,MatriculesEmployes,0)),"MATRICULE INCONNU"))</f>
        <v/>
      </c>
      <c r="K321" s="33">
        <f>IF(OR($D321="",$F321=""),"",IFERROR(IF(INDEX(RUNS!$L$6:$S$1005,MATCH($D321,RUNS!$A$6:$A$1005,0),MATCH("ACTIVITÉ "&amp;$F321,RUNS!$L$5:$S$5,0))="","",INDEX(RUNS!$L$6:$S$1005,MATCH($D321,RUNS!$A$6:$A$1005,0),MATCH("ACTIVITÉ "&amp;$F321,RUNS!$L$5:$S$5,0))),""))</f>
        <v/>
      </c>
      <c r="L321" s="33">
        <f>IF($D321="","",IFERROR(IF(INDEX(RUNS!$E$6:$E$1005,MATCH($D321,RUNS!$A$6:$A$1005,0))="","",INDEX(RUNS!$E$6:$E$1005,MATCH($D321,RUNS!$A$6:$A$1005,0))),""))</f>
        <v/>
      </c>
      <c r="M321" s="33">
        <f>IF($D321="","",IFERROR(IF(INDEX(RUNS!$F$6:$F$1005,MATCH($D321,RUNS!$A$6:$A$1005,0))="","",INDEX(RUNS!$F$6:$F$1005,MATCH($D321,RUNS!$A$6:$A$1005,0))),""))</f>
        <v/>
      </c>
      <c r="N321" s="33">
        <f>IF($D321="","",IFERROR(IF(INDEX(RUNS!$G$6:$G$1005,MATCH($D321,RUNS!$A$6:$A$1005,0))="","",INDEX(RUNS!$G$6:$G$1005,MATCH($D321,RUNS!$A$6:$A$1005,0))),""))</f>
        <v/>
      </c>
      <c r="O321" s="33">
        <f>IF($D321="","",IFERROR(IF(INDEX(RUNS!$H$6:$H$1005,MATCH($D321,RUNS!$A$6:$A$1005,0))="","",INDEX(RUNS!$H$6:$H$1005,MATCH($D321,RUNS!$A$6:$A$1005,0))),""))</f>
        <v/>
      </c>
      <c r="P321" s="33">
        <f>IF($D321="","",IFERROR(IF(INDEX(RUNS!$J$6:$J$1005,MATCH($D321,RUNS!$A$6:$A$1005,0))="","",INDEX(RUNS!$J$6:$J$1005,MATCH($D321,RUNS!$A$6:$A$1005,0))),""))</f>
        <v/>
      </c>
      <c r="Q321" s="33">
        <f>IF($D321="","",IFERROR(IF(INDEX(RUNS!$K$6:$K$1005,MATCH($D321,RUNS!$A$6:$A$1005,0))="","",INDEX(RUNS!$K$6:$K$1005,MATCH($D321,RUNS!$A$6:$A$1005,0))),""))</f>
        <v/>
      </c>
      <c r="R321" s="34">
        <f>IF(OR($L321="",$K321=""),"",IFERROR(IF(INDEX(PARAMETRES!$H$43:$H$342,MATCH($L321&amp;"|"&amp;$M321&amp;"|"&amp;$N321&amp;"|"&amp;$O321&amp;"|"&amp;$P321&amp;"|"&amp;$Q321&amp;"|"&amp;$K321,PARAMETRES!$J$43:$J$342,0))="","",INDEX(PARAMETRES!$H$43:$H$342,MATCH($L321&amp;"|"&amp;$M321&amp;"|"&amp;$N321&amp;"|"&amp;$O321&amp;"|"&amp;$P321&amp;"|"&amp;$Q321&amp;"|"&amp;$K321,PARAMETRES!$J$43:$J$342,0))),""))</f>
        <v/>
      </c>
      <c r="S321" s="35">
        <f>IF(OR($G321="",$X321&lt;&gt;"VALIDE"),"",IFERROR(LOOKUP(2,1/(($B$3:$B320=$B321)*($G$3:$G320=$G321)*($X$3:$X320="VALIDE")),$C$3:$C320),""))</f>
        <v/>
      </c>
      <c r="T321" s="36">
        <f>IF(OR($C321="",$S321=""),"",ROUND(($C321-$S321+IF($C321&lt;$S321,1,0))*1440,0))</f>
        <v/>
      </c>
      <c r="U321" s="22">
        <f>IF(OR($H321="",$T321="",$T321&lt;=0),"",$H321*60/$T321)</f>
        <v/>
      </c>
      <c r="V321" s="37">
        <f>IF(OR($U321="",$R321="",$R321=0),"",$U321/$R321)</f>
        <v/>
      </c>
      <c r="W321" s="20">
        <f>IF($G321="","",IF($X321="CONTEXTE INCOMPLET","CONTEXTE INCOMPLET",IF($X321="DOUBLON",StatutDoublon,IF($S321="",StatutInitial,IF($R321="",StatutStandardManquant,IF($V321="","DONNEES INSUFFISANTES",IF($V321&gt;=SeuilConforme,StatutConforme,IF($V321&gt;=SeuilSurveiller,StatutSurveiller,StatutSousStandard))))))))</f>
        <v/>
      </c>
      <c r="X321" s="33">
        <f>IF($G321="","",IF(OR($D321="",$E321="",$F321=""),"CONTEXTE INCOMPLET",IF(COUNTIFS($D$3:$D320,$D321,$E$3:$E320,$E321,$F$3:$F320,$F321,$G$3:$G320,$G321)&gt;0,"DOUBLON","VALIDE")))</f>
        <v/>
      </c>
    </row>
    <row r="322" ht="15" customHeight="1">
      <c r="A322" s="12">
        <f>IF(OR($B322="",$G322=""),"",TEXT($B322,"YYYYMMDD")&amp;"-"&amp;SUBSTITUTE($E322," ","")&amp;"-"&amp;$F322&amp;"-"&amp;$G322)</f>
        <v/>
      </c>
      <c r="B322" s="15" t="n"/>
      <c r="C322" s="16" t="n"/>
      <c r="D322" s="10" t="n"/>
      <c r="E322" s="9" t="n"/>
      <c r="F322" s="9" t="n"/>
      <c r="G322" s="13" t="n"/>
      <c r="H322" s="21" t="n"/>
      <c r="I322" s="21" t="n"/>
      <c r="J322" s="17">
        <f>IF($G322="","",IFERROR(INDEX(NomsEmployes,MATCH($G322,MatriculesEmployes,0)),"MATRICULE INCONNU"))</f>
        <v/>
      </c>
      <c r="K322" s="33">
        <f>IF(OR($D322="",$F322=""),"",IFERROR(IF(INDEX(RUNS!$L$6:$S$1005,MATCH($D322,RUNS!$A$6:$A$1005,0),MATCH("ACTIVITÉ "&amp;$F322,RUNS!$L$5:$S$5,0))="","",INDEX(RUNS!$L$6:$S$1005,MATCH($D322,RUNS!$A$6:$A$1005,0),MATCH("ACTIVITÉ "&amp;$F322,RUNS!$L$5:$S$5,0))),""))</f>
        <v/>
      </c>
      <c r="L322" s="33">
        <f>IF($D322="","",IFERROR(IF(INDEX(RUNS!$E$6:$E$1005,MATCH($D322,RUNS!$A$6:$A$1005,0))="","",INDEX(RUNS!$E$6:$E$1005,MATCH($D322,RUNS!$A$6:$A$1005,0))),""))</f>
        <v/>
      </c>
      <c r="M322" s="33">
        <f>IF($D322="","",IFERROR(IF(INDEX(RUNS!$F$6:$F$1005,MATCH($D322,RUNS!$A$6:$A$1005,0))="","",INDEX(RUNS!$F$6:$F$1005,MATCH($D322,RUNS!$A$6:$A$1005,0))),""))</f>
        <v/>
      </c>
      <c r="N322" s="33">
        <f>IF($D322="","",IFERROR(IF(INDEX(RUNS!$G$6:$G$1005,MATCH($D322,RUNS!$A$6:$A$1005,0))="","",INDEX(RUNS!$G$6:$G$1005,MATCH($D322,RUNS!$A$6:$A$1005,0))),""))</f>
        <v/>
      </c>
      <c r="O322" s="33">
        <f>IF($D322="","",IFERROR(IF(INDEX(RUNS!$H$6:$H$1005,MATCH($D322,RUNS!$A$6:$A$1005,0))="","",INDEX(RUNS!$H$6:$H$1005,MATCH($D322,RUNS!$A$6:$A$1005,0))),""))</f>
        <v/>
      </c>
      <c r="P322" s="33">
        <f>IF($D322="","",IFERROR(IF(INDEX(RUNS!$J$6:$J$1005,MATCH($D322,RUNS!$A$6:$A$1005,0))="","",INDEX(RUNS!$J$6:$J$1005,MATCH($D322,RUNS!$A$6:$A$1005,0))),""))</f>
        <v/>
      </c>
      <c r="Q322" s="33">
        <f>IF($D322="","",IFERROR(IF(INDEX(RUNS!$K$6:$K$1005,MATCH($D322,RUNS!$A$6:$A$1005,0))="","",INDEX(RUNS!$K$6:$K$1005,MATCH($D322,RUNS!$A$6:$A$1005,0))),""))</f>
        <v/>
      </c>
      <c r="R322" s="34">
        <f>IF(OR($L322="",$K322=""),"",IFERROR(IF(INDEX(PARAMETRES!$H$43:$H$342,MATCH($L322&amp;"|"&amp;$M322&amp;"|"&amp;$N322&amp;"|"&amp;$O322&amp;"|"&amp;$P322&amp;"|"&amp;$Q322&amp;"|"&amp;$K322,PARAMETRES!$J$43:$J$342,0))="","",INDEX(PARAMETRES!$H$43:$H$342,MATCH($L322&amp;"|"&amp;$M322&amp;"|"&amp;$N322&amp;"|"&amp;$O322&amp;"|"&amp;$P322&amp;"|"&amp;$Q322&amp;"|"&amp;$K322,PARAMETRES!$J$43:$J$342,0))),""))</f>
        <v/>
      </c>
      <c r="S322" s="35">
        <f>IF(OR($G322="",$X322&lt;&gt;"VALIDE"),"",IFERROR(LOOKUP(2,1/(($B$3:$B321=$B322)*($G$3:$G321=$G322)*($X$3:$X321="VALIDE")),$C$3:$C321),""))</f>
        <v/>
      </c>
      <c r="T322" s="36">
        <f>IF(OR($C322="",$S322=""),"",ROUND(($C322-$S322+IF($C322&lt;$S322,1,0))*1440,0))</f>
        <v/>
      </c>
      <c r="U322" s="22">
        <f>IF(OR($H322="",$T322="",$T322&lt;=0),"",$H322*60/$T322)</f>
        <v/>
      </c>
      <c r="V322" s="37">
        <f>IF(OR($U322="",$R322="",$R322=0),"",$U322/$R322)</f>
        <v/>
      </c>
      <c r="W322" s="20">
        <f>IF($G322="","",IF($X322="CONTEXTE INCOMPLET","CONTEXTE INCOMPLET",IF($X322="DOUBLON",StatutDoublon,IF($S322="",StatutInitial,IF($R322="",StatutStandardManquant,IF($V322="","DONNEES INSUFFISANTES",IF($V322&gt;=SeuilConforme,StatutConforme,IF($V322&gt;=SeuilSurveiller,StatutSurveiller,StatutSousStandard))))))))</f>
        <v/>
      </c>
      <c r="X322" s="33">
        <f>IF($G322="","",IF(OR($D322="",$E322="",$F322=""),"CONTEXTE INCOMPLET",IF(COUNTIFS($D$3:$D321,$D322,$E$3:$E321,$E322,$F$3:$F321,$F322,$G$3:$G321,$G322)&gt;0,"DOUBLON","VALIDE")))</f>
        <v/>
      </c>
    </row>
    <row r="323" ht="15" customHeight="1">
      <c r="A323" s="12">
        <f>IF(OR($B323="",$G323=""),"",TEXT($B323,"YYYYMMDD")&amp;"-"&amp;SUBSTITUTE($E323," ","")&amp;"-"&amp;$F323&amp;"-"&amp;$G323)</f>
        <v/>
      </c>
      <c r="B323" s="15" t="n"/>
      <c r="C323" s="16" t="n"/>
      <c r="D323" s="10" t="n"/>
      <c r="E323" s="9" t="n"/>
      <c r="F323" s="9" t="n"/>
      <c r="G323" s="13" t="n"/>
      <c r="H323" s="21" t="n"/>
      <c r="I323" s="21" t="n"/>
      <c r="J323" s="17">
        <f>IF($G323="","",IFERROR(INDEX(NomsEmployes,MATCH($G323,MatriculesEmployes,0)),"MATRICULE INCONNU"))</f>
        <v/>
      </c>
      <c r="K323" s="33">
        <f>IF(OR($D323="",$F323=""),"",IFERROR(IF(INDEX(RUNS!$L$6:$S$1005,MATCH($D323,RUNS!$A$6:$A$1005,0),MATCH("ACTIVITÉ "&amp;$F323,RUNS!$L$5:$S$5,0))="","",INDEX(RUNS!$L$6:$S$1005,MATCH($D323,RUNS!$A$6:$A$1005,0),MATCH("ACTIVITÉ "&amp;$F323,RUNS!$L$5:$S$5,0))),""))</f>
        <v/>
      </c>
      <c r="L323" s="33">
        <f>IF($D323="","",IFERROR(IF(INDEX(RUNS!$E$6:$E$1005,MATCH($D323,RUNS!$A$6:$A$1005,0))="","",INDEX(RUNS!$E$6:$E$1005,MATCH($D323,RUNS!$A$6:$A$1005,0))),""))</f>
        <v/>
      </c>
      <c r="M323" s="33">
        <f>IF($D323="","",IFERROR(IF(INDEX(RUNS!$F$6:$F$1005,MATCH($D323,RUNS!$A$6:$A$1005,0))="","",INDEX(RUNS!$F$6:$F$1005,MATCH($D323,RUNS!$A$6:$A$1005,0))),""))</f>
        <v/>
      </c>
      <c r="N323" s="33">
        <f>IF($D323="","",IFERROR(IF(INDEX(RUNS!$G$6:$G$1005,MATCH($D323,RUNS!$A$6:$A$1005,0))="","",INDEX(RUNS!$G$6:$G$1005,MATCH($D323,RUNS!$A$6:$A$1005,0))),""))</f>
        <v/>
      </c>
      <c r="O323" s="33">
        <f>IF($D323="","",IFERROR(IF(INDEX(RUNS!$H$6:$H$1005,MATCH($D323,RUNS!$A$6:$A$1005,0))="","",INDEX(RUNS!$H$6:$H$1005,MATCH($D323,RUNS!$A$6:$A$1005,0))),""))</f>
        <v/>
      </c>
      <c r="P323" s="33">
        <f>IF($D323="","",IFERROR(IF(INDEX(RUNS!$J$6:$J$1005,MATCH($D323,RUNS!$A$6:$A$1005,0))="","",INDEX(RUNS!$J$6:$J$1005,MATCH($D323,RUNS!$A$6:$A$1005,0))),""))</f>
        <v/>
      </c>
      <c r="Q323" s="33">
        <f>IF($D323="","",IFERROR(IF(INDEX(RUNS!$K$6:$K$1005,MATCH($D323,RUNS!$A$6:$A$1005,0))="","",INDEX(RUNS!$K$6:$K$1005,MATCH($D323,RUNS!$A$6:$A$1005,0))),""))</f>
        <v/>
      </c>
      <c r="R323" s="34">
        <f>IF(OR($L323="",$K323=""),"",IFERROR(IF(INDEX(PARAMETRES!$H$43:$H$342,MATCH($L323&amp;"|"&amp;$M323&amp;"|"&amp;$N323&amp;"|"&amp;$O323&amp;"|"&amp;$P323&amp;"|"&amp;$Q323&amp;"|"&amp;$K323,PARAMETRES!$J$43:$J$342,0))="","",INDEX(PARAMETRES!$H$43:$H$342,MATCH($L323&amp;"|"&amp;$M323&amp;"|"&amp;$N323&amp;"|"&amp;$O323&amp;"|"&amp;$P323&amp;"|"&amp;$Q323&amp;"|"&amp;$K323,PARAMETRES!$J$43:$J$342,0))),""))</f>
        <v/>
      </c>
      <c r="S323" s="35">
        <f>IF(OR($G323="",$X323&lt;&gt;"VALIDE"),"",IFERROR(LOOKUP(2,1/(($B$3:$B322=$B323)*($G$3:$G322=$G323)*($X$3:$X322="VALIDE")),$C$3:$C322),""))</f>
        <v/>
      </c>
      <c r="T323" s="36">
        <f>IF(OR($C323="",$S323=""),"",ROUND(($C323-$S323+IF($C323&lt;$S323,1,0))*1440,0))</f>
        <v/>
      </c>
      <c r="U323" s="22">
        <f>IF(OR($H323="",$T323="",$T323&lt;=0),"",$H323*60/$T323)</f>
        <v/>
      </c>
      <c r="V323" s="37">
        <f>IF(OR($U323="",$R323="",$R323=0),"",$U323/$R323)</f>
        <v/>
      </c>
      <c r="W323" s="20">
        <f>IF($G323="","",IF($X323="CONTEXTE INCOMPLET","CONTEXTE INCOMPLET",IF($X323="DOUBLON",StatutDoublon,IF($S323="",StatutInitial,IF($R323="",StatutStandardManquant,IF($V323="","DONNEES INSUFFISANTES",IF($V323&gt;=SeuilConforme,StatutConforme,IF($V323&gt;=SeuilSurveiller,StatutSurveiller,StatutSousStandard))))))))</f>
        <v/>
      </c>
      <c r="X323" s="33">
        <f>IF($G323="","",IF(OR($D323="",$E323="",$F323=""),"CONTEXTE INCOMPLET",IF(COUNTIFS($D$3:$D322,$D323,$E$3:$E322,$E323,$F$3:$F322,$F323,$G$3:$G322,$G323)&gt;0,"DOUBLON","VALIDE")))</f>
        <v/>
      </c>
    </row>
    <row r="324" ht="15" customHeight="1">
      <c r="A324" s="12">
        <f>IF(OR($B324="",$G324=""),"",TEXT($B324,"YYYYMMDD")&amp;"-"&amp;SUBSTITUTE($E324," ","")&amp;"-"&amp;$F324&amp;"-"&amp;$G324)</f>
        <v/>
      </c>
      <c r="B324" s="15" t="n"/>
      <c r="C324" s="16" t="n"/>
      <c r="D324" s="10" t="n"/>
      <c r="E324" s="9" t="n"/>
      <c r="F324" s="9" t="n"/>
      <c r="G324" s="13" t="n"/>
      <c r="H324" s="21" t="n"/>
      <c r="I324" s="21" t="n"/>
      <c r="J324" s="17">
        <f>IF($G324="","",IFERROR(INDEX(NomsEmployes,MATCH($G324,MatriculesEmployes,0)),"MATRICULE INCONNU"))</f>
        <v/>
      </c>
      <c r="K324" s="33">
        <f>IF(OR($D324="",$F324=""),"",IFERROR(IF(INDEX(RUNS!$L$6:$S$1005,MATCH($D324,RUNS!$A$6:$A$1005,0),MATCH("ACTIVITÉ "&amp;$F324,RUNS!$L$5:$S$5,0))="","",INDEX(RUNS!$L$6:$S$1005,MATCH($D324,RUNS!$A$6:$A$1005,0),MATCH("ACTIVITÉ "&amp;$F324,RUNS!$L$5:$S$5,0))),""))</f>
        <v/>
      </c>
      <c r="L324" s="33">
        <f>IF($D324="","",IFERROR(IF(INDEX(RUNS!$E$6:$E$1005,MATCH($D324,RUNS!$A$6:$A$1005,0))="","",INDEX(RUNS!$E$6:$E$1005,MATCH($D324,RUNS!$A$6:$A$1005,0))),""))</f>
        <v/>
      </c>
      <c r="M324" s="33">
        <f>IF($D324="","",IFERROR(IF(INDEX(RUNS!$F$6:$F$1005,MATCH($D324,RUNS!$A$6:$A$1005,0))="","",INDEX(RUNS!$F$6:$F$1005,MATCH($D324,RUNS!$A$6:$A$1005,0))),""))</f>
        <v/>
      </c>
      <c r="N324" s="33">
        <f>IF($D324="","",IFERROR(IF(INDEX(RUNS!$G$6:$G$1005,MATCH($D324,RUNS!$A$6:$A$1005,0))="","",INDEX(RUNS!$G$6:$G$1005,MATCH($D324,RUNS!$A$6:$A$1005,0))),""))</f>
        <v/>
      </c>
      <c r="O324" s="33">
        <f>IF($D324="","",IFERROR(IF(INDEX(RUNS!$H$6:$H$1005,MATCH($D324,RUNS!$A$6:$A$1005,0))="","",INDEX(RUNS!$H$6:$H$1005,MATCH($D324,RUNS!$A$6:$A$1005,0))),""))</f>
        <v/>
      </c>
      <c r="P324" s="33">
        <f>IF($D324="","",IFERROR(IF(INDEX(RUNS!$J$6:$J$1005,MATCH($D324,RUNS!$A$6:$A$1005,0))="","",INDEX(RUNS!$J$6:$J$1005,MATCH($D324,RUNS!$A$6:$A$1005,0))),""))</f>
        <v/>
      </c>
      <c r="Q324" s="33">
        <f>IF($D324="","",IFERROR(IF(INDEX(RUNS!$K$6:$K$1005,MATCH($D324,RUNS!$A$6:$A$1005,0))="","",INDEX(RUNS!$K$6:$K$1005,MATCH($D324,RUNS!$A$6:$A$1005,0))),""))</f>
        <v/>
      </c>
      <c r="R324" s="34">
        <f>IF(OR($L324="",$K324=""),"",IFERROR(IF(INDEX(PARAMETRES!$H$43:$H$342,MATCH($L324&amp;"|"&amp;$M324&amp;"|"&amp;$N324&amp;"|"&amp;$O324&amp;"|"&amp;$P324&amp;"|"&amp;$Q324&amp;"|"&amp;$K324,PARAMETRES!$J$43:$J$342,0))="","",INDEX(PARAMETRES!$H$43:$H$342,MATCH($L324&amp;"|"&amp;$M324&amp;"|"&amp;$N324&amp;"|"&amp;$O324&amp;"|"&amp;$P324&amp;"|"&amp;$Q324&amp;"|"&amp;$K324,PARAMETRES!$J$43:$J$342,0))),""))</f>
        <v/>
      </c>
      <c r="S324" s="35">
        <f>IF(OR($G324="",$X324&lt;&gt;"VALIDE"),"",IFERROR(LOOKUP(2,1/(($B$3:$B323=$B324)*($G$3:$G323=$G324)*($X$3:$X323="VALIDE")),$C$3:$C323),""))</f>
        <v/>
      </c>
      <c r="T324" s="36">
        <f>IF(OR($C324="",$S324=""),"",ROUND(($C324-$S324+IF($C324&lt;$S324,1,0))*1440,0))</f>
        <v/>
      </c>
      <c r="U324" s="22">
        <f>IF(OR($H324="",$T324="",$T324&lt;=0),"",$H324*60/$T324)</f>
        <v/>
      </c>
      <c r="V324" s="37">
        <f>IF(OR($U324="",$R324="",$R324=0),"",$U324/$R324)</f>
        <v/>
      </c>
      <c r="W324" s="20">
        <f>IF($G324="","",IF($X324="CONTEXTE INCOMPLET","CONTEXTE INCOMPLET",IF($X324="DOUBLON",StatutDoublon,IF($S324="",StatutInitial,IF($R324="",StatutStandardManquant,IF($V324="","DONNEES INSUFFISANTES",IF($V324&gt;=SeuilConforme,StatutConforme,IF($V324&gt;=SeuilSurveiller,StatutSurveiller,StatutSousStandard))))))))</f>
        <v/>
      </c>
      <c r="X324" s="33">
        <f>IF($G324="","",IF(OR($D324="",$E324="",$F324=""),"CONTEXTE INCOMPLET",IF(COUNTIFS($D$3:$D323,$D324,$E$3:$E323,$E324,$F$3:$F323,$F324,$G$3:$G323,$G324)&gt;0,"DOUBLON","VALIDE")))</f>
        <v/>
      </c>
    </row>
    <row r="325" ht="15" customHeight="1">
      <c r="A325" s="12">
        <f>IF(OR($B325="",$G325=""),"",TEXT($B325,"YYYYMMDD")&amp;"-"&amp;SUBSTITUTE($E325," ","")&amp;"-"&amp;$F325&amp;"-"&amp;$G325)</f>
        <v/>
      </c>
      <c r="B325" s="15" t="n"/>
      <c r="C325" s="16" t="n"/>
      <c r="D325" s="10" t="n"/>
      <c r="E325" s="9" t="n"/>
      <c r="F325" s="9" t="n"/>
      <c r="G325" s="13" t="n"/>
      <c r="H325" s="21" t="n"/>
      <c r="I325" s="21" t="n"/>
      <c r="J325" s="17">
        <f>IF($G325="","",IFERROR(INDEX(NomsEmployes,MATCH($G325,MatriculesEmployes,0)),"MATRICULE INCONNU"))</f>
        <v/>
      </c>
      <c r="K325" s="33">
        <f>IF(OR($D325="",$F325=""),"",IFERROR(IF(INDEX(RUNS!$L$6:$S$1005,MATCH($D325,RUNS!$A$6:$A$1005,0),MATCH("ACTIVITÉ "&amp;$F325,RUNS!$L$5:$S$5,0))="","",INDEX(RUNS!$L$6:$S$1005,MATCH($D325,RUNS!$A$6:$A$1005,0),MATCH("ACTIVITÉ "&amp;$F325,RUNS!$L$5:$S$5,0))),""))</f>
        <v/>
      </c>
      <c r="L325" s="33">
        <f>IF($D325="","",IFERROR(IF(INDEX(RUNS!$E$6:$E$1005,MATCH($D325,RUNS!$A$6:$A$1005,0))="","",INDEX(RUNS!$E$6:$E$1005,MATCH($D325,RUNS!$A$6:$A$1005,0))),""))</f>
        <v/>
      </c>
      <c r="M325" s="33">
        <f>IF($D325="","",IFERROR(IF(INDEX(RUNS!$F$6:$F$1005,MATCH($D325,RUNS!$A$6:$A$1005,0))="","",INDEX(RUNS!$F$6:$F$1005,MATCH($D325,RUNS!$A$6:$A$1005,0))),""))</f>
        <v/>
      </c>
      <c r="N325" s="33">
        <f>IF($D325="","",IFERROR(IF(INDEX(RUNS!$G$6:$G$1005,MATCH($D325,RUNS!$A$6:$A$1005,0))="","",INDEX(RUNS!$G$6:$G$1005,MATCH($D325,RUNS!$A$6:$A$1005,0))),""))</f>
        <v/>
      </c>
      <c r="O325" s="33">
        <f>IF($D325="","",IFERROR(IF(INDEX(RUNS!$H$6:$H$1005,MATCH($D325,RUNS!$A$6:$A$1005,0))="","",INDEX(RUNS!$H$6:$H$1005,MATCH($D325,RUNS!$A$6:$A$1005,0))),""))</f>
        <v/>
      </c>
      <c r="P325" s="33">
        <f>IF($D325="","",IFERROR(IF(INDEX(RUNS!$J$6:$J$1005,MATCH($D325,RUNS!$A$6:$A$1005,0))="","",INDEX(RUNS!$J$6:$J$1005,MATCH($D325,RUNS!$A$6:$A$1005,0))),""))</f>
        <v/>
      </c>
      <c r="Q325" s="33">
        <f>IF($D325="","",IFERROR(IF(INDEX(RUNS!$K$6:$K$1005,MATCH($D325,RUNS!$A$6:$A$1005,0))="","",INDEX(RUNS!$K$6:$K$1005,MATCH($D325,RUNS!$A$6:$A$1005,0))),""))</f>
        <v/>
      </c>
      <c r="R325" s="34">
        <f>IF(OR($L325="",$K325=""),"",IFERROR(IF(INDEX(PARAMETRES!$H$43:$H$342,MATCH($L325&amp;"|"&amp;$M325&amp;"|"&amp;$N325&amp;"|"&amp;$O325&amp;"|"&amp;$P325&amp;"|"&amp;$Q325&amp;"|"&amp;$K325,PARAMETRES!$J$43:$J$342,0))="","",INDEX(PARAMETRES!$H$43:$H$342,MATCH($L325&amp;"|"&amp;$M325&amp;"|"&amp;$N325&amp;"|"&amp;$O325&amp;"|"&amp;$P325&amp;"|"&amp;$Q325&amp;"|"&amp;$K325,PARAMETRES!$J$43:$J$342,0))),""))</f>
        <v/>
      </c>
      <c r="S325" s="35">
        <f>IF(OR($G325="",$X325&lt;&gt;"VALIDE"),"",IFERROR(LOOKUP(2,1/(($B$3:$B324=$B325)*($G$3:$G324=$G325)*($X$3:$X324="VALIDE")),$C$3:$C324),""))</f>
        <v/>
      </c>
      <c r="T325" s="36">
        <f>IF(OR($C325="",$S325=""),"",ROUND(($C325-$S325+IF($C325&lt;$S325,1,0))*1440,0))</f>
        <v/>
      </c>
      <c r="U325" s="22">
        <f>IF(OR($H325="",$T325="",$T325&lt;=0),"",$H325*60/$T325)</f>
        <v/>
      </c>
      <c r="V325" s="37">
        <f>IF(OR($U325="",$R325="",$R325=0),"",$U325/$R325)</f>
        <v/>
      </c>
      <c r="W325" s="20">
        <f>IF($G325="","",IF($X325="CONTEXTE INCOMPLET","CONTEXTE INCOMPLET",IF($X325="DOUBLON",StatutDoublon,IF($S325="",StatutInitial,IF($R325="",StatutStandardManquant,IF($V325="","DONNEES INSUFFISANTES",IF($V325&gt;=SeuilConforme,StatutConforme,IF($V325&gt;=SeuilSurveiller,StatutSurveiller,StatutSousStandard))))))))</f>
        <v/>
      </c>
      <c r="X325" s="33">
        <f>IF($G325="","",IF(OR($D325="",$E325="",$F325=""),"CONTEXTE INCOMPLET",IF(COUNTIFS($D$3:$D324,$D325,$E$3:$E324,$E325,$F$3:$F324,$F325,$G$3:$G324,$G325)&gt;0,"DOUBLON","VALIDE")))</f>
        <v/>
      </c>
    </row>
    <row r="326" ht="15" customHeight="1">
      <c r="A326" s="12">
        <f>IF(OR($B326="",$G326=""),"",TEXT($B326,"YYYYMMDD")&amp;"-"&amp;SUBSTITUTE($E326," ","")&amp;"-"&amp;$F326&amp;"-"&amp;$G326)</f>
        <v/>
      </c>
      <c r="B326" s="15" t="n"/>
      <c r="C326" s="16" t="n"/>
      <c r="D326" s="10" t="n"/>
      <c r="E326" s="9" t="n"/>
      <c r="F326" s="9" t="n"/>
      <c r="G326" s="13" t="n"/>
      <c r="H326" s="21" t="n"/>
      <c r="I326" s="21" t="n"/>
      <c r="J326" s="17">
        <f>IF($G326="","",IFERROR(INDEX(NomsEmployes,MATCH($G326,MatriculesEmployes,0)),"MATRICULE INCONNU"))</f>
        <v/>
      </c>
      <c r="K326" s="33">
        <f>IF(OR($D326="",$F326=""),"",IFERROR(IF(INDEX(RUNS!$L$6:$S$1005,MATCH($D326,RUNS!$A$6:$A$1005,0),MATCH("ACTIVITÉ "&amp;$F326,RUNS!$L$5:$S$5,0))="","",INDEX(RUNS!$L$6:$S$1005,MATCH($D326,RUNS!$A$6:$A$1005,0),MATCH("ACTIVITÉ "&amp;$F326,RUNS!$L$5:$S$5,0))),""))</f>
        <v/>
      </c>
      <c r="L326" s="33">
        <f>IF($D326="","",IFERROR(IF(INDEX(RUNS!$E$6:$E$1005,MATCH($D326,RUNS!$A$6:$A$1005,0))="","",INDEX(RUNS!$E$6:$E$1005,MATCH($D326,RUNS!$A$6:$A$1005,0))),""))</f>
        <v/>
      </c>
      <c r="M326" s="33">
        <f>IF($D326="","",IFERROR(IF(INDEX(RUNS!$F$6:$F$1005,MATCH($D326,RUNS!$A$6:$A$1005,0))="","",INDEX(RUNS!$F$6:$F$1005,MATCH($D326,RUNS!$A$6:$A$1005,0))),""))</f>
        <v/>
      </c>
      <c r="N326" s="33">
        <f>IF($D326="","",IFERROR(IF(INDEX(RUNS!$G$6:$G$1005,MATCH($D326,RUNS!$A$6:$A$1005,0))="","",INDEX(RUNS!$G$6:$G$1005,MATCH($D326,RUNS!$A$6:$A$1005,0))),""))</f>
        <v/>
      </c>
      <c r="O326" s="33">
        <f>IF($D326="","",IFERROR(IF(INDEX(RUNS!$H$6:$H$1005,MATCH($D326,RUNS!$A$6:$A$1005,0))="","",INDEX(RUNS!$H$6:$H$1005,MATCH($D326,RUNS!$A$6:$A$1005,0))),""))</f>
        <v/>
      </c>
      <c r="P326" s="33">
        <f>IF($D326="","",IFERROR(IF(INDEX(RUNS!$J$6:$J$1005,MATCH($D326,RUNS!$A$6:$A$1005,0))="","",INDEX(RUNS!$J$6:$J$1005,MATCH($D326,RUNS!$A$6:$A$1005,0))),""))</f>
        <v/>
      </c>
      <c r="Q326" s="33">
        <f>IF($D326="","",IFERROR(IF(INDEX(RUNS!$K$6:$K$1005,MATCH($D326,RUNS!$A$6:$A$1005,0))="","",INDEX(RUNS!$K$6:$K$1005,MATCH($D326,RUNS!$A$6:$A$1005,0))),""))</f>
        <v/>
      </c>
      <c r="R326" s="34">
        <f>IF(OR($L326="",$K326=""),"",IFERROR(IF(INDEX(PARAMETRES!$H$43:$H$342,MATCH($L326&amp;"|"&amp;$M326&amp;"|"&amp;$N326&amp;"|"&amp;$O326&amp;"|"&amp;$P326&amp;"|"&amp;$Q326&amp;"|"&amp;$K326,PARAMETRES!$J$43:$J$342,0))="","",INDEX(PARAMETRES!$H$43:$H$342,MATCH($L326&amp;"|"&amp;$M326&amp;"|"&amp;$N326&amp;"|"&amp;$O326&amp;"|"&amp;$P326&amp;"|"&amp;$Q326&amp;"|"&amp;$K326,PARAMETRES!$J$43:$J$342,0))),""))</f>
        <v/>
      </c>
      <c r="S326" s="35">
        <f>IF(OR($G326="",$X326&lt;&gt;"VALIDE"),"",IFERROR(LOOKUP(2,1/(($B$3:$B325=$B326)*($G$3:$G325=$G326)*($X$3:$X325="VALIDE")),$C$3:$C325),""))</f>
        <v/>
      </c>
      <c r="T326" s="36">
        <f>IF(OR($C326="",$S326=""),"",ROUND(($C326-$S326+IF($C326&lt;$S326,1,0))*1440,0))</f>
        <v/>
      </c>
      <c r="U326" s="22">
        <f>IF(OR($H326="",$T326="",$T326&lt;=0),"",$H326*60/$T326)</f>
        <v/>
      </c>
      <c r="V326" s="37">
        <f>IF(OR($U326="",$R326="",$R326=0),"",$U326/$R326)</f>
        <v/>
      </c>
      <c r="W326" s="20">
        <f>IF($G326="","",IF($X326="CONTEXTE INCOMPLET","CONTEXTE INCOMPLET",IF($X326="DOUBLON",StatutDoublon,IF($S326="",StatutInitial,IF($R326="",StatutStandardManquant,IF($V326="","DONNEES INSUFFISANTES",IF($V326&gt;=SeuilConforme,StatutConforme,IF($V326&gt;=SeuilSurveiller,StatutSurveiller,StatutSousStandard))))))))</f>
        <v/>
      </c>
      <c r="X326" s="33">
        <f>IF($G326="","",IF(OR($D326="",$E326="",$F326=""),"CONTEXTE INCOMPLET",IF(COUNTIFS($D$3:$D325,$D326,$E$3:$E325,$E326,$F$3:$F325,$F326,$G$3:$G325,$G326)&gt;0,"DOUBLON","VALIDE")))</f>
        <v/>
      </c>
    </row>
    <row r="327" ht="15" customHeight="1">
      <c r="A327" s="12">
        <f>IF(OR($B327="",$G327=""),"",TEXT($B327,"YYYYMMDD")&amp;"-"&amp;SUBSTITUTE($E327," ","")&amp;"-"&amp;$F327&amp;"-"&amp;$G327)</f>
        <v/>
      </c>
      <c r="B327" s="15" t="n"/>
      <c r="C327" s="16" t="n"/>
      <c r="D327" s="10" t="n"/>
      <c r="E327" s="9" t="n"/>
      <c r="F327" s="9" t="n"/>
      <c r="G327" s="13" t="n"/>
      <c r="H327" s="21" t="n"/>
      <c r="I327" s="21" t="n"/>
      <c r="J327" s="17">
        <f>IF($G327="","",IFERROR(INDEX(NomsEmployes,MATCH($G327,MatriculesEmployes,0)),"MATRICULE INCONNU"))</f>
        <v/>
      </c>
      <c r="K327" s="33">
        <f>IF(OR($D327="",$F327=""),"",IFERROR(IF(INDEX(RUNS!$L$6:$S$1005,MATCH($D327,RUNS!$A$6:$A$1005,0),MATCH("ACTIVITÉ "&amp;$F327,RUNS!$L$5:$S$5,0))="","",INDEX(RUNS!$L$6:$S$1005,MATCH($D327,RUNS!$A$6:$A$1005,0),MATCH("ACTIVITÉ "&amp;$F327,RUNS!$L$5:$S$5,0))),""))</f>
        <v/>
      </c>
      <c r="L327" s="33">
        <f>IF($D327="","",IFERROR(IF(INDEX(RUNS!$E$6:$E$1005,MATCH($D327,RUNS!$A$6:$A$1005,0))="","",INDEX(RUNS!$E$6:$E$1005,MATCH($D327,RUNS!$A$6:$A$1005,0))),""))</f>
        <v/>
      </c>
      <c r="M327" s="33">
        <f>IF($D327="","",IFERROR(IF(INDEX(RUNS!$F$6:$F$1005,MATCH($D327,RUNS!$A$6:$A$1005,0))="","",INDEX(RUNS!$F$6:$F$1005,MATCH($D327,RUNS!$A$6:$A$1005,0))),""))</f>
        <v/>
      </c>
      <c r="N327" s="33">
        <f>IF($D327="","",IFERROR(IF(INDEX(RUNS!$G$6:$G$1005,MATCH($D327,RUNS!$A$6:$A$1005,0))="","",INDEX(RUNS!$G$6:$G$1005,MATCH($D327,RUNS!$A$6:$A$1005,0))),""))</f>
        <v/>
      </c>
      <c r="O327" s="33">
        <f>IF($D327="","",IFERROR(IF(INDEX(RUNS!$H$6:$H$1005,MATCH($D327,RUNS!$A$6:$A$1005,0))="","",INDEX(RUNS!$H$6:$H$1005,MATCH($D327,RUNS!$A$6:$A$1005,0))),""))</f>
        <v/>
      </c>
      <c r="P327" s="33">
        <f>IF($D327="","",IFERROR(IF(INDEX(RUNS!$J$6:$J$1005,MATCH($D327,RUNS!$A$6:$A$1005,0))="","",INDEX(RUNS!$J$6:$J$1005,MATCH($D327,RUNS!$A$6:$A$1005,0))),""))</f>
        <v/>
      </c>
      <c r="Q327" s="33">
        <f>IF($D327="","",IFERROR(IF(INDEX(RUNS!$K$6:$K$1005,MATCH($D327,RUNS!$A$6:$A$1005,0))="","",INDEX(RUNS!$K$6:$K$1005,MATCH($D327,RUNS!$A$6:$A$1005,0))),""))</f>
        <v/>
      </c>
      <c r="R327" s="34">
        <f>IF(OR($L327="",$K327=""),"",IFERROR(IF(INDEX(PARAMETRES!$H$43:$H$342,MATCH($L327&amp;"|"&amp;$M327&amp;"|"&amp;$N327&amp;"|"&amp;$O327&amp;"|"&amp;$P327&amp;"|"&amp;$Q327&amp;"|"&amp;$K327,PARAMETRES!$J$43:$J$342,0))="","",INDEX(PARAMETRES!$H$43:$H$342,MATCH($L327&amp;"|"&amp;$M327&amp;"|"&amp;$N327&amp;"|"&amp;$O327&amp;"|"&amp;$P327&amp;"|"&amp;$Q327&amp;"|"&amp;$K327,PARAMETRES!$J$43:$J$342,0))),""))</f>
        <v/>
      </c>
      <c r="S327" s="35">
        <f>IF(OR($G327="",$X327&lt;&gt;"VALIDE"),"",IFERROR(LOOKUP(2,1/(($B$3:$B326=$B327)*($G$3:$G326=$G327)*($X$3:$X326="VALIDE")),$C$3:$C326),""))</f>
        <v/>
      </c>
      <c r="T327" s="36">
        <f>IF(OR($C327="",$S327=""),"",ROUND(($C327-$S327+IF($C327&lt;$S327,1,0))*1440,0))</f>
        <v/>
      </c>
      <c r="U327" s="22">
        <f>IF(OR($H327="",$T327="",$T327&lt;=0),"",$H327*60/$T327)</f>
        <v/>
      </c>
      <c r="V327" s="37">
        <f>IF(OR($U327="",$R327="",$R327=0),"",$U327/$R327)</f>
        <v/>
      </c>
      <c r="W327" s="20">
        <f>IF($G327="","",IF($X327="CONTEXTE INCOMPLET","CONTEXTE INCOMPLET",IF($X327="DOUBLON",StatutDoublon,IF($S327="",StatutInitial,IF($R327="",StatutStandardManquant,IF($V327="","DONNEES INSUFFISANTES",IF($V327&gt;=SeuilConforme,StatutConforme,IF($V327&gt;=SeuilSurveiller,StatutSurveiller,StatutSousStandard))))))))</f>
        <v/>
      </c>
      <c r="X327" s="33">
        <f>IF($G327="","",IF(OR($D327="",$E327="",$F327=""),"CONTEXTE INCOMPLET",IF(COUNTIFS($D$3:$D326,$D327,$E$3:$E326,$E327,$F$3:$F326,$F327,$G$3:$G326,$G327)&gt;0,"DOUBLON","VALIDE")))</f>
        <v/>
      </c>
    </row>
    <row r="328" ht="15" customHeight="1">
      <c r="A328" s="12">
        <f>IF(OR($B328="",$G328=""),"",TEXT($B328,"YYYYMMDD")&amp;"-"&amp;SUBSTITUTE($E328," ","")&amp;"-"&amp;$F328&amp;"-"&amp;$G328)</f>
        <v/>
      </c>
      <c r="B328" s="15" t="n"/>
      <c r="C328" s="16" t="n"/>
      <c r="D328" s="10" t="n"/>
      <c r="E328" s="9" t="n"/>
      <c r="F328" s="9" t="n"/>
      <c r="G328" s="13" t="n"/>
      <c r="H328" s="21" t="n"/>
      <c r="I328" s="21" t="n"/>
      <c r="J328" s="17">
        <f>IF($G328="","",IFERROR(INDEX(NomsEmployes,MATCH($G328,MatriculesEmployes,0)),"MATRICULE INCONNU"))</f>
        <v/>
      </c>
      <c r="K328" s="33">
        <f>IF(OR($D328="",$F328=""),"",IFERROR(IF(INDEX(RUNS!$L$6:$S$1005,MATCH($D328,RUNS!$A$6:$A$1005,0),MATCH("ACTIVITÉ "&amp;$F328,RUNS!$L$5:$S$5,0))="","",INDEX(RUNS!$L$6:$S$1005,MATCH($D328,RUNS!$A$6:$A$1005,0),MATCH("ACTIVITÉ "&amp;$F328,RUNS!$L$5:$S$5,0))),""))</f>
        <v/>
      </c>
      <c r="L328" s="33">
        <f>IF($D328="","",IFERROR(IF(INDEX(RUNS!$E$6:$E$1005,MATCH($D328,RUNS!$A$6:$A$1005,0))="","",INDEX(RUNS!$E$6:$E$1005,MATCH($D328,RUNS!$A$6:$A$1005,0))),""))</f>
        <v/>
      </c>
      <c r="M328" s="33">
        <f>IF($D328="","",IFERROR(IF(INDEX(RUNS!$F$6:$F$1005,MATCH($D328,RUNS!$A$6:$A$1005,0))="","",INDEX(RUNS!$F$6:$F$1005,MATCH($D328,RUNS!$A$6:$A$1005,0))),""))</f>
        <v/>
      </c>
      <c r="N328" s="33">
        <f>IF($D328="","",IFERROR(IF(INDEX(RUNS!$G$6:$G$1005,MATCH($D328,RUNS!$A$6:$A$1005,0))="","",INDEX(RUNS!$G$6:$G$1005,MATCH($D328,RUNS!$A$6:$A$1005,0))),""))</f>
        <v/>
      </c>
      <c r="O328" s="33">
        <f>IF($D328="","",IFERROR(IF(INDEX(RUNS!$H$6:$H$1005,MATCH($D328,RUNS!$A$6:$A$1005,0))="","",INDEX(RUNS!$H$6:$H$1005,MATCH($D328,RUNS!$A$6:$A$1005,0))),""))</f>
        <v/>
      </c>
      <c r="P328" s="33">
        <f>IF($D328="","",IFERROR(IF(INDEX(RUNS!$J$6:$J$1005,MATCH($D328,RUNS!$A$6:$A$1005,0))="","",INDEX(RUNS!$J$6:$J$1005,MATCH($D328,RUNS!$A$6:$A$1005,0))),""))</f>
        <v/>
      </c>
      <c r="Q328" s="33">
        <f>IF($D328="","",IFERROR(IF(INDEX(RUNS!$K$6:$K$1005,MATCH($D328,RUNS!$A$6:$A$1005,0))="","",INDEX(RUNS!$K$6:$K$1005,MATCH($D328,RUNS!$A$6:$A$1005,0))),""))</f>
        <v/>
      </c>
      <c r="R328" s="34">
        <f>IF(OR($L328="",$K328=""),"",IFERROR(IF(INDEX(PARAMETRES!$H$43:$H$342,MATCH($L328&amp;"|"&amp;$M328&amp;"|"&amp;$N328&amp;"|"&amp;$O328&amp;"|"&amp;$P328&amp;"|"&amp;$Q328&amp;"|"&amp;$K328,PARAMETRES!$J$43:$J$342,0))="","",INDEX(PARAMETRES!$H$43:$H$342,MATCH($L328&amp;"|"&amp;$M328&amp;"|"&amp;$N328&amp;"|"&amp;$O328&amp;"|"&amp;$P328&amp;"|"&amp;$Q328&amp;"|"&amp;$K328,PARAMETRES!$J$43:$J$342,0))),""))</f>
        <v/>
      </c>
      <c r="S328" s="35">
        <f>IF(OR($G328="",$X328&lt;&gt;"VALIDE"),"",IFERROR(LOOKUP(2,1/(($B$3:$B327=$B328)*($G$3:$G327=$G328)*($X$3:$X327="VALIDE")),$C$3:$C327),""))</f>
        <v/>
      </c>
      <c r="T328" s="36">
        <f>IF(OR($C328="",$S328=""),"",ROUND(($C328-$S328+IF($C328&lt;$S328,1,0))*1440,0))</f>
        <v/>
      </c>
      <c r="U328" s="22">
        <f>IF(OR($H328="",$T328="",$T328&lt;=0),"",$H328*60/$T328)</f>
        <v/>
      </c>
      <c r="V328" s="37">
        <f>IF(OR($U328="",$R328="",$R328=0),"",$U328/$R328)</f>
        <v/>
      </c>
      <c r="W328" s="20">
        <f>IF($G328="","",IF($X328="CONTEXTE INCOMPLET","CONTEXTE INCOMPLET",IF($X328="DOUBLON",StatutDoublon,IF($S328="",StatutInitial,IF($R328="",StatutStandardManquant,IF($V328="","DONNEES INSUFFISANTES",IF($V328&gt;=SeuilConforme,StatutConforme,IF($V328&gt;=SeuilSurveiller,StatutSurveiller,StatutSousStandard))))))))</f>
        <v/>
      </c>
      <c r="X328" s="33">
        <f>IF($G328="","",IF(OR($D328="",$E328="",$F328=""),"CONTEXTE INCOMPLET",IF(COUNTIFS($D$3:$D327,$D328,$E$3:$E327,$E328,$F$3:$F327,$F328,$G$3:$G327,$G328)&gt;0,"DOUBLON","VALIDE")))</f>
        <v/>
      </c>
    </row>
    <row r="329" ht="15" customHeight="1">
      <c r="A329" s="12">
        <f>IF(OR($B329="",$G329=""),"",TEXT($B329,"YYYYMMDD")&amp;"-"&amp;SUBSTITUTE($E329," ","")&amp;"-"&amp;$F329&amp;"-"&amp;$G329)</f>
        <v/>
      </c>
      <c r="B329" s="15" t="n"/>
      <c r="C329" s="16" t="n"/>
      <c r="D329" s="10" t="n"/>
      <c r="E329" s="9" t="n"/>
      <c r="F329" s="9" t="n"/>
      <c r="G329" s="13" t="n"/>
      <c r="H329" s="21" t="n"/>
      <c r="I329" s="21" t="n"/>
      <c r="J329" s="17">
        <f>IF($G329="","",IFERROR(INDEX(NomsEmployes,MATCH($G329,MatriculesEmployes,0)),"MATRICULE INCONNU"))</f>
        <v/>
      </c>
      <c r="K329" s="33">
        <f>IF(OR($D329="",$F329=""),"",IFERROR(IF(INDEX(RUNS!$L$6:$S$1005,MATCH($D329,RUNS!$A$6:$A$1005,0),MATCH("ACTIVITÉ "&amp;$F329,RUNS!$L$5:$S$5,0))="","",INDEX(RUNS!$L$6:$S$1005,MATCH($D329,RUNS!$A$6:$A$1005,0),MATCH("ACTIVITÉ "&amp;$F329,RUNS!$L$5:$S$5,0))),""))</f>
        <v/>
      </c>
      <c r="L329" s="33">
        <f>IF($D329="","",IFERROR(IF(INDEX(RUNS!$E$6:$E$1005,MATCH($D329,RUNS!$A$6:$A$1005,0))="","",INDEX(RUNS!$E$6:$E$1005,MATCH($D329,RUNS!$A$6:$A$1005,0))),""))</f>
        <v/>
      </c>
      <c r="M329" s="33">
        <f>IF($D329="","",IFERROR(IF(INDEX(RUNS!$F$6:$F$1005,MATCH($D329,RUNS!$A$6:$A$1005,0))="","",INDEX(RUNS!$F$6:$F$1005,MATCH($D329,RUNS!$A$6:$A$1005,0))),""))</f>
        <v/>
      </c>
      <c r="N329" s="33">
        <f>IF($D329="","",IFERROR(IF(INDEX(RUNS!$G$6:$G$1005,MATCH($D329,RUNS!$A$6:$A$1005,0))="","",INDEX(RUNS!$G$6:$G$1005,MATCH($D329,RUNS!$A$6:$A$1005,0))),""))</f>
        <v/>
      </c>
      <c r="O329" s="33">
        <f>IF($D329="","",IFERROR(IF(INDEX(RUNS!$H$6:$H$1005,MATCH($D329,RUNS!$A$6:$A$1005,0))="","",INDEX(RUNS!$H$6:$H$1005,MATCH($D329,RUNS!$A$6:$A$1005,0))),""))</f>
        <v/>
      </c>
      <c r="P329" s="33">
        <f>IF($D329="","",IFERROR(IF(INDEX(RUNS!$J$6:$J$1005,MATCH($D329,RUNS!$A$6:$A$1005,0))="","",INDEX(RUNS!$J$6:$J$1005,MATCH($D329,RUNS!$A$6:$A$1005,0))),""))</f>
        <v/>
      </c>
      <c r="Q329" s="33">
        <f>IF($D329="","",IFERROR(IF(INDEX(RUNS!$K$6:$K$1005,MATCH($D329,RUNS!$A$6:$A$1005,0))="","",INDEX(RUNS!$K$6:$K$1005,MATCH($D329,RUNS!$A$6:$A$1005,0))),""))</f>
        <v/>
      </c>
      <c r="R329" s="34">
        <f>IF(OR($L329="",$K329=""),"",IFERROR(IF(INDEX(PARAMETRES!$H$43:$H$342,MATCH($L329&amp;"|"&amp;$M329&amp;"|"&amp;$N329&amp;"|"&amp;$O329&amp;"|"&amp;$P329&amp;"|"&amp;$Q329&amp;"|"&amp;$K329,PARAMETRES!$J$43:$J$342,0))="","",INDEX(PARAMETRES!$H$43:$H$342,MATCH($L329&amp;"|"&amp;$M329&amp;"|"&amp;$N329&amp;"|"&amp;$O329&amp;"|"&amp;$P329&amp;"|"&amp;$Q329&amp;"|"&amp;$K329,PARAMETRES!$J$43:$J$342,0))),""))</f>
        <v/>
      </c>
      <c r="S329" s="35">
        <f>IF(OR($G329="",$X329&lt;&gt;"VALIDE"),"",IFERROR(LOOKUP(2,1/(($B$3:$B328=$B329)*($G$3:$G328=$G329)*($X$3:$X328="VALIDE")),$C$3:$C328),""))</f>
        <v/>
      </c>
      <c r="T329" s="36">
        <f>IF(OR($C329="",$S329=""),"",ROUND(($C329-$S329+IF($C329&lt;$S329,1,0))*1440,0))</f>
        <v/>
      </c>
      <c r="U329" s="22">
        <f>IF(OR($H329="",$T329="",$T329&lt;=0),"",$H329*60/$T329)</f>
        <v/>
      </c>
      <c r="V329" s="37">
        <f>IF(OR($U329="",$R329="",$R329=0),"",$U329/$R329)</f>
        <v/>
      </c>
      <c r="W329" s="20">
        <f>IF($G329="","",IF($X329="CONTEXTE INCOMPLET","CONTEXTE INCOMPLET",IF($X329="DOUBLON",StatutDoublon,IF($S329="",StatutInitial,IF($R329="",StatutStandardManquant,IF($V329="","DONNEES INSUFFISANTES",IF($V329&gt;=SeuilConforme,StatutConforme,IF($V329&gt;=SeuilSurveiller,StatutSurveiller,StatutSousStandard))))))))</f>
        <v/>
      </c>
      <c r="X329" s="33">
        <f>IF($G329="","",IF(OR($D329="",$E329="",$F329=""),"CONTEXTE INCOMPLET",IF(COUNTIFS($D$3:$D328,$D329,$E$3:$E328,$E329,$F$3:$F328,$F329,$G$3:$G328,$G329)&gt;0,"DOUBLON","VALIDE")))</f>
        <v/>
      </c>
    </row>
    <row r="330" ht="15" customHeight="1">
      <c r="A330" s="12">
        <f>IF(OR($B330="",$G330=""),"",TEXT($B330,"YYYYMMDD")&amp;"-"&amp;SUBSTITUTE($E330," ","")&amp;"-"&amp;$F330&amp;"-"&amp;$G330)</f>
        <v/>
      </c>
      <c r="B330" s="15" t="n"/>
      <c r="C330" s="16" t="n"/>
      <c r="D330" s="10" t="n"/>
      <c r="E330" s="9" t="n"/>
      <c r="F330" s="9" t="n"/>
      <c r="G330" s="13" t="n"/>
      <c r="H330" s="21" t="n"/>
      <c r="I330" s="21" t="n"/>
      <c r="J330" s="17">
        <f>IF($G330="","",IFERROR(INDEX(NomsEmployes,MATCH($G330,MatriculesEmployes,0)),"MATRICULE INCONNU"))</f>
        <v/>
      </c>
      <c r="K330" s="33">
        <f>IF(OR($D330="",$F330=""),"",IFERROR(IF(INDEX(RUNS!$L$6:$S$1005,MATCH($D330,RUNS!$A$6:$A$1005,0),MATCH("ACTIVITÉ "&amp;$F330,RUNS!$L$5:$S$5,0))="","",INDEX(RUNS!$L$6:$S$1005,MATCH($D330,RUNS!$A$6:$A$1005,0),MATCH("ACTIVITÉ "&amp;$F330,RUNS!$L$5:$S$5,0))),""))</f>
        <v/>
      </c>
      <c r="L330" s="33">
        <f>IF($D330="","",IFERROR(IF(INDEX(RUNS!$E$6:$E$1005,MATCH($D330,RUNS!$A$6:$A$1005,0))="","",INDEX(RUNS!$E$6:$E$1005,MATCH($D330,RUNS!$A$6:$A$1005,0))),""))</f>
        <v/>
      </c>
      <c r="M330" s="33">
        <f>IF($D330="","",IFERROR(IF(INDEX(RUNS!$F$6:$F$1005,MATCH($D330,RUNS!$A$6:$A$1005,0))="","",INDEX(RUNS!$F$6:$F$1005,MATCH($D330,RUNS!$A$6:$A$1005,0))),""))</f>
        <v/>
      </c>
      <c r="N330" s="33">
        <f>IF($D330="","",IFERROR(IF(INDEX(RUNS!$G$6:$G$1005,MATCH($D330,RUNS!$A$6:$A$1005,0))="","",INDEX(RUNS!$G$6:$G$1005,MATCH($D330,RUNS!$A$6:$A$1005,0))),""))</f>
        <v/>
      </c>
      <c r="O330" s="33">
        <f>IF($D330="","",IFERROR(IF(INDEX(RUNS!$H$6:$H$1005,MATCH($D330,RUNS!$A$6:$A$1005,0))="","",INDEX(RUNS!$H$6:$H$1005,MATCH($D330,RUNS!$A$6:$A$1005,0))),""))</f>
        <v/>
      </c>
      <c r="P330" s="33">
        <f>IF($D330="","",IFERROR(IF(INDEX(RUNS!$J$6:$J$1005,MATCH($D330,RUNS!$A$6:$A$1005,0))="","",INDEX(RUNS!$J$6:$J$1005,MATCH($D330,RUNS!$A$6:$A$1005,0))),""))</f>
        <v/>
      </c>
      <c r="Q330" s="33">
        <f>IF($D330="","",IFERROR(IF(INDEX(RUNS!$K$6:$K$1005,MATCH($D330,RUNS!$A$6:$A$1005,0))="","",INDEX(RUNS!$K$6:$K$1005,MATCH($D330,RUNS!$A$6:$A$1005,0))),""))</f>
        <v/>
      </c>
      <c r="R330" s="34">
        <f>IF(OR($L330="",$K330=""),"",IFERROR(IF(INDEX(PARAMETRES!$H$43:$H$342,MATCH($L330&amp;"|"&amp;$M330&amp;"|"&amp;$N330&amp;"|"&amp;$O330&amp;"|"&amp;$P330&amp;"|"&amp;$Q330&amp;"|"&amp;$K330,PARAMETRES!$J$43:$J$342,0))="","",INDEX(PARAMETRES!$H$43:$H$342,MATCH($L330&amp;"|"&amp;$M330&amp;"|"&amp;$N330&amp;"|"&amp;$O330&amp;"|"&amp;$P330&amp;"|"&amp;$Q330&amp;"|"&amp;$K330,PARAMETRES!$J$43:$J$342,0))),""))</f>
        <v/>
      </c>
      <c r="S330" s="35">
        <f>IF(OR($G330="",$X330&lt;&gt;"VALIDE"),"",IFERROR(LOOKUP(2,1/(($B$3:$B329=$B330)*($G$3:$G329=$G330)*($X$3:$X329="VALIDE")),$C$3:$C329),""))</f>
        <v/>
      </c>
      <c r="T330" s="36">
        <f>IF(OR($C330="",$S330=""),"",ROUND(($C330-$S330+IF($C330&lt;$S330,1,0))*1440,0))</f>
        <v/>
      </c>
      <c r="U330" s="22">
        <f>IF(OR($H330="",$T330="",$T330&lt;=0),"",$H330*60/$T330)</f>
        <v/>
      </c>
      <c r="V330" s="37">
        <f>IF(OR($U330="",$R330="",$R330=0),"",$U330/$R330)</f>
        <v/>
      </c>
      <c r="W330" s="20">
        <f>IF($G330="","",IF($X330="CONTEXTE INCOMPLET","CONTEXTE INCOMPLET",IF($X330="DOUBLON",StatutDoublon,IF($S330="",StatutInitial,IF($R330="",StatutStandardManquant,IF($V330="","DONNEES INSUFFISANTES",IF($V330&gt;=SeuilConforme,StatutConforme,IF($V330&gt;=SeuilSurveiller,StatutSurveiller,StatutSousStandard))))))))</f>
        <v/>
      </c>
      <c r="X330" s="33">
        <f>IF($G330="","",IF(OR($D330="",$E330="",$F330=""),"CONTEXTE INCOMPLET",IF(COUNTIFS($D$3:$D329,$D330,$E$3:$E329,$E330,$F$3:$F329,$F330,$G$3:$G329,$G330)&gt;0,"DOUBLON","VALIDE")))</f>
        <v/>
      </c>
    </row>
    <row r="331" ht="15" customHeight="1">
      <c r="A331" s="12">
        <f>IF(OR($B331="",$G331=""),"",TEXT($B331,"YYYYMMDD")&amp;"-"&amp;SUBSTITUTE($E331," ","")&amp;"-"&amp;$F331&amp;"-"&amp;$G331)</f>
        <v/>
      </c>
      <c r="B331" s="15" t="n"/>
      <c r="C331" s="16" t="n"/>
      <c r="D331" s="10" t="n"/>
      <c r="E331" s="9" t="n"/>
      <c r="F331" s="9" t="n"/>
      <c r="G331" s="13" t="n"/>
      <c r="H331" s="21" t="n"/>
      <c r="I331" s="21" t="n"/>
      <c r="J331" s="17">
        <f>IF($G331="","",IFERROR(INDEX(NomsEmployes,MATCH($G331,MatriculesEmployes,0)),"MATRICULE INCONNU"))</f>
        <v/>
      </c>
      <c r="K331" s="33">
        <f>IF(OR($D331="",$F331=""),"",IFERROR(IF(INDEX(RUNS!$L$6:$S$1005,MATCH($D331,RUNS!$A$6:$A$1005,0),MATCH("ACTIVITÉ "&amp;$F331,RUNS!$L$5:$S$5,0))="","",INDEX(RUNS!$L$6:$S$1005,MATCH($D331,RUNS!$A$6:$A$1005,0),MATCH("ACTIVITÉ "&amp;$F331,RUNS!$L$5:$S$5,0))),""))</f>
        <v/>
      </c>
      <c r="L331" s="33">
        <f>IF($D331="","",IFERROR(IF(INDEX(RUNS!$E$6:$E$1005,MATCH($D331,RUNS!$A$6:$A$1005,0))="","",INDEX(RUNS!$E$6:$E$1005,MATCH($D331,RUNS!$A$6:$A$1005,0))),""))</f>
        <v/>
      </c>
      <c r="M331" s="33">
        <f>IF($D331="","",IFERROR(IF(INDEX(RUNS!$F$6:$F$1005,MATCH($D331,RUNS!$A$6:$A$1005,0))="","",INDEX(RUNS!$F$6:$F$1005,MATCH($D331,RUNS!$A$6:$A$1005,0))),""))</f>
        <v/>
      </c>
      <c r="N331" s="33">
        <f>IF($D331="","",IFERROR(IF(INDEX(RUNS!$G$6:$G$1005,MATCH($D331,RUNS!$A$6:$A$1005,0))="","",INDEX(RUNS!$G$6:$G$1005,MATCH($D331,RUNS!$A$6:$A$1005,0))),""))</f>
        <v/>
      </c>
      <c r="O331" s="33">
        <f>IF($D331="","",IFERROR(IF(INDEX(RUNS!$H$6:$H$1005,MATCH($D331,RUNS!$A$6:$A$1005,0))="","",INDEX(RUNS!$H$6:$H$1005,MATCH($D331,RUNS!$A$6:$A$1005,0))),""))</f>
        <v/>
      </c>
      <c r="P331" s="33">
        <f>IF($D331="","",IFERROR(IF(INDEX(RUNS!$J$6:$J$1005,MATCH($D331,RUNS!$A$6:$A$1005,0))="","",INDEX(RUNS!$J$6:$J$1005,MATCH($D331,RUNS!$A$6:$A$1005,0))),""))</f>
        <v/>
      </c>
      <c r="Q331" s="33">
        <f>IF($D331="","",IFERROR(IF(INDEX(RUNS!$K$6:$K$1005,MATCH($D331,RUNS!$A$6:$A$1005,0))="","",INDEX(RUNS!$K$6:$K$1005,MATCH($D331,RUNS!$A$6:$A$1005,0))),""))</f>
        <v/>
      </c>
      <c r="R331" s="34">
        <f>IF(OR($L331="",$K331=""),"",IFERROR(IF(INDEX(PARAMETRES!$H$43:$H$342,MATCH($L331&amp;"|"&amp;$M331&amp;"|"&amp;$N331&amp;"|"&amp;$O331&amp;"|"&amp;$P331&amp;"|"&amp;$Q331&amp;"|"&amp;$K331,PARAMETRES!$J$43:$J$342,0))="","",INDEX(PARAMETRES!$H$43:$H$342,MATCH($L331&amp;"|"&amp;$M331&amp;"|"&amp;$N331&amp;"|"&amp;$O331&amp;"|"&amp;$P331&amp;"|"&amp;$Q331&amp;"|"&amp;$K331,PARAMETRES!$J$43:$J$342,0))),""))</f>
        <v/>
      </c>
      <c r="S331" s="35">
        <f>IF(OR($G331="",$X331&lt;&gt;"VALIDE"),"",IFERROR(LOOKUP(2,1/(($B$3:$B330=$B331)*($G$3:$G330=$G331)*($X$3:$X330="VALIDE")),$C$3:$C330),""))</f>
        <v/>
      </c>
      <c r="T331" s="36">
        <f>IF(OR($C331="",$S331=""),"",ROUND(($C331-$S331+IF($C331&lt;$S331,1,0))*1440,0))</f>
        <v/>
      </c>
      <c r="U331" s="22">
        <f>IF(OR($H331="",$T331="",$T331&lt;=0),"",$H331*60/$T331)</f>
        <v/>
      </c>
      <c r="V331" s="37">
        <f>IF(OR($U331="",$R331="",$R331=0),"",$U331/$R331)</f>
        <v/>
      </c>
      <c r="W331" s="20">
        <f>IF($G331="","",IF($X331="CONTEXTE INCOMPLET","CONTEXTE INCOMPLET",IF($X331="DOUBLON",StatutDoublon,IF($S331="",StatutInitial,IF($R331="",StatutStandardManquant,IF($V331="","DONNEES INSUFFISANTES",IF($V331&gt;=SeuilConforme,StatutConforme,IF($V331&gt;=SeuilSurveiller,StatutSurveiller,StatutSousStandard))))))))</f>
        <v/>
      </c>
      <c r="X331" s="33">
        <f>IF($G331="","",IF(OR($D331="",$E331="",$F331=""),"CONTEXTE INCOMPLET",IF(COUNTIFS($D$3:$D330,$D331,$E$3:$E330,$E331,$F$3:$F330,$F331,$G$3:$G330,$G331)&gt;0,"DOUBLON","VALIDE")))</f>
        <v/>
      </c>
    </row>
    <row r="332" ht="15" customHeight="1">
      <c r="A332" s="12">
        <f>IF(OR($B332="",$G332=""),"",TEXT($B332,"YYYYMMDD")&amp;"-"&amp;SUBSTITUTE($E332," ","")&amp;"-"&amp;$F332&amp;"-"&amp;$G332)</f>
        <v/>
      </c>
      <c r="B332" s="15" t="n"/>
      <c r="C332" s="16" t="n"/>
      <c r="D332" s="10" t="n"/>
      <c r="E332" s="9" t="n"/>
      <c r="F332" s="9" t="n"/>
      <c r="G332" s="13" t="n"/>
      <c r="H332" s="21" t="n"/>
      <c r="I332" s="21" t="n"/>
      <c r="J332" s="17">
        <f>IF($G332="","",IFERROR(INDEX(NomsEmployes,MATCH($G332,MatriculesEmployes,0)),"MATRICULE INCONNU"))</f>
        <v/>
      </c>
      <c r="K332" s="33">
        <f>IF(OR($D332="",$F332=""),"",IFERROR(IF(INDEX(RUNS!$L$6:$S$1005,MATCH($D332,RUNS!$A$6:$A$1005,0),MATCH("ACTIVITÉ "&amp;$F332,RUNS!$L$5:$S$5,0))="","",INDEX(RUNS!$L$6:$S$1005,MATCH($D332,RUNS!$A$6:$A$1005,0),MATCH("ACTIVITÉ "&amp;$F332,RUNS!$L$5:$S$5,0))),""))</f>
        <v/>
      </c>
      <c r="L332" s="33">
        <f>IF($D332="","",IFERROR(IF(INDEX(RUNS!$E$6:$E$1005,MATCH($D332,RUNS!$A$6:$A$1005,0))="","",INDEX(RUNS!$E$6:$E$1005,MATCH($D332,RUNS!$A$6:$A$1005,0))),""))</f>
        <v/>
      </c>
      <c r="M332" s="33">
        <f>IF($D332="","",IFERROR(IF(INDEX(RUNS!$F$6:$F$1005,MATCH($D332,RUNS!$A$6:$A$1005,0))="","",INDEX(RUNS!$F$6:$F$1005,MATCH($D332,RUNS!$A$6:$A$1005,0))),""))</f>
        <v/>
      </c>
      <c r="N332" s="33">
        <f>IF($D332="","",IFERROR(IF(INDEX(RUNS!$G$6:$G$1005,MATCH($D332,RUNS!$A$6:$A$1005,0))="","",INDEX(RUNS!$G$6:$G$1005,MATCH($D332,RUNS!$A$6:$A$1005,0))),""))</f>
        <v/>
      </c>
      <c r="O332" s="33">
        <f>IF($D332="","",IFERROR(IF(INDEX(RUNS!$H$6:$H$1005,MATCH($D332,RUNS!$A$6:$A$1005,0))="","",INDEX(RUNS!$H$6:$H$1005,MATCH($D332,RUNS!$A$6:$A$1005,0))),""))</f>
        <v/>
      </c>
      <c r="P332" s="33">
        <f>IF($D332="","",IFERROR(IF(INDEX(RUNS!$J$6:$J$1005,MATCH($D332,RUNS!$A$6:$A$1005,0))="","",INDEX(RUNS!$J$6:$J$1005,MATCH($D332,RUNS!$A$6:$A$1005,0))),""))</f>
        <v/>
      </c>
      <c r="Q332" s="33">
        <f>IF($D332="","",IFERROR(IF(INDEX(RUNS!$K$6:$K$1005,MATCH($D332,RUNS!$A$6:$A$1005,0))="","",INDEX(RUNS!$K$6:$K$1005,MATCH($D332,RUNS!$A$6:$A$1005,0))),""))</f>
        <v/>
      </c>
      <c r="R332" s="34">
        <f>IF(OR($L332="",$K332=""),"",IFERROR(IF(INDEX(PARAMETRES!$H$43:$H$342,MATCH($L332&amp;"|"&amp;$M332&amp;"|"&amp;$N332&amp;"|"&amp;$O332&amp;"|"&amp;$P332&amp;"|"&amp;$Q332&amp;"|"&amp;$K332,PARAMETRES!$J$43:$J$342,0))="","",INDEX(PARAMETRES!$H$43:$H$342,MATCH($L332&amp;"|"&amp;$M332&amp;"|"&amp;$N332&amp;"|"&amp;$O332&amp;"|"&amp;$P332&amp;"|"&amp;$Q332&amp;"|"&amp;$K332,PARAMETRES!$J$43:$J$342,0))),""))</f>
        <v/>
      </c>
      <c r="S332" s="35">
        <f>IF(OR($G332="",$X332&lt;&gt;"VALIDE"),"",IFERROR(LOOKUP(2,1/(($B$3:$B331=$B332)*($G$3:$G331=$G332)*($X$3:$X331="VALIDE")),$C$3:$C331),""))</f>
        <v/>
      </c>
      <c r="T332" s="36">
        <f>IF(OR($C332="",$S332=""),"",ROUND(($C332-$S332+IF($C332&lt;$S332,1,0))*1440,0))</f>
        <v/>
      </c>
      <c r="U332" s="22">
        <f>IF(OR($H332="",$T332="",$T332&lt;=0),"",$H332*60/$T332)</f>
        <v/>
      </c>
      <c r="V332" s="37">
        <f>IF(OR($U332="",$R332="",$R332=0),"",$U332/$R332)</f>
        <v/>
      </c>
      <c r="W332" s="20">
        <f>IF($G332="","",IF($X332="CONTEXTE INCOMPLET","CONTEXTE INCOMPLET",IF($X332="DOUBLON",StatutDoublon,IF($S332="",StatutInitial,IF($R332="",StatutStandardManquant,IF($V332="","DONNEES INSUFFISANTES",IF($V332&gt;=SeuilConforme,StatutConforme,IF($V332&gt;=SeuilSurveiller,StatutSurveiller,StatutSousStandard))))))))</f>
        <v/>
      </c>
      <c r="X332" s="33">
        <f>IF($G332="","",IF(OR($D332="",$E332="",$F332=""),"CONTEXTE INCOMPLET",IF(COUNTIFS($D$3:$D331,$D332,$E$3:$E331,$E332,$F$3:$F331,$F332,$G$3:$G331,$G332)&gt;0,"DOUBLON","VALIDE")))</f>
        <v/>
      </c>
    </row>
    <row r="333" ht="15" customHeight="1">
      <c r="A333" s="12">
        <f>IF(OR($B333="",$G333=""),"",TEXT($B333,"YYYYMMDD")&amp;"-"&amp;SUBSTITUTE($E333," ","")&amp;"-"&amp;$F333&amp;"-"&amp;$G333)</f>
        <v/>
      </c>
      <c r="B333" s="15" t="n"/>
      <c r="C333" s="16" t="n"/>
      <c r="D333" s="10" t="n"/>
      <c r="E333" s="9" t="n"/>
      <c r="F333" s="9" t="n"/>
      <c r="G333" s="13" t="n"/>
      <c r="H333" s="21" t="n"/>
      <c r="I333" s="21" t="n"/>
      <c r="J333" s="17">
        <f>IF($G333="","",IFERROR(INDEX(NomsEmployes,MATCH($G333,MatriculesEmployes,0)),"MATRICULE INCONNU"))</f>
        <v/>
      </c>
      <c r="K333" s="33">
        <f>IF(OR($D333="",$F333=""),"",IFERROR(IF(INDEX(RUNS!$L$6:$S$1005,MATCH($D333,RUNS!$A$6:$A$1005,0),MATCH("ACTIVITÉ "&amp;$F333,RUNS!$L$5:$S$5,0))="","",INDEX(RUNS!$L$6:$S$1005,MATCH($D333,RUNS!$A$6:$A$1005,0),MATCH("ACTIVITÉ "&amp;$F333,RUNS!$L$5:$S$5,0))),""))</f>
        <v/>
      </c>
      <c r="L333" s="33">
        <f>IF($D333="","",IFERROR(IF(INDEX(RUNS!$E$6:$E$1005,MATCH($D333,RUNS!$A$6:$A$1005,0))="","",INDEX(RUNS!$E$6:$E$1005,MATCH($D333,RUNS!$A$6:$A$1005,0))),""))</f>
        <v/>
      </c>
      <c r="M333" s="33">
        <f>IF($D333="","",IFERROR(IF(INDEX(RUNS!$F$6:$F$1005,MATCH($D333,RUNS!$A$6:$A$1005,0))="","",INDEX(RUNS!$F$6:$F$1005,MATCH($D333,RUNS!$A$6:$A$1005,0))),""))</f>
        <v/>
      </c>
      <c r="N333" s="33">
        <f>IF($D333="","",IFERROR(IF(INDEX(RUNS!$G$6:$G$1005,MATCH($D333,RUNS!$A$6:$A$1005,0))="","",INDEX(RUNS!$G$6:$G$1005,MATCH($D333,RUNS!$A$6:$A$1005,0))),""))</f>
        <v/>
      </c>
      <c r="O333" s="33">
        <f>IF($D333="","",IFERROR(IF(INDEX(RUNS!$H$6:$H$1005,MATCH($D333,RUNS!$A$6:$A$1005,0))="","",INDEX(RUNS!$H$6:$H$1005,MATCH($D333,RUNS!$A$6:$A$1005,0))),""))</f>
        <v/>
      </c>
      <c r="P333" s="33">
        <f>IF($D333="","",IFERROR(IF(INDEX(RUNS!$J$6:$J$1005,MATCH($D333,RUNS!$A$6:$A$1005,0))="","",INDEX(RUNS!$J$6:$J$1005,MATCH($D333,RUNS!$A$6:$A$1005,0))),""))</f>
        <v/>
      </c>
      <c r="Q333" s="33">
        <f>IF($D333="","",IFERROR(IF(INDEX(RUNS!$K$6:$K$1005,MATCH($D333,RUNS!$A$6:$A$1005,0))="","",INDEX(RUNS!$K$6:$K$1005,MATCH($D333,RUNS!$A$6:$A$1005,0))),""))</f>
        <v/>
      </c>
      <c r="R333" s="34">
        <f>IF(OR($L333="",$K333=""),"",IFERROR(IF(INDEX(PARAMETRES!$H$43:$H$342,MATCH($L333&amp;"|"&amp;$M333&amp;"|"&amp;$N333&amp;"|"&amp;$O333&amp;"|"&amp;$P333&amp;"|"&amp;$Q333&amp;"|"&amp;$K333,PARAMETRES!$J$43:$J$342,0))="","",INDEX(PARAMETRES!$H$43:$H$342,MATCH($L333&amp;"|"&amp;$M333&amp;"|"&amp;$N333&amp;"|"&amp;$O333&amp;"|"&amp;$P333&amp;"|"&amp;$Q333&amp;"|"&amp;$K333,PARAMETRES!$J$43:$J$342,0))),""))</f>
        <v/>
      </c>
      <c r="S333" s="35">
        <f>IF(OR($G333="",$X333&lt;&gt;"VALIDE"),"",IFERROR(LOOKUP(2,1/(($B$3:$B332=$B333)*($G$3:$G332=$G333)*($X$3:$X332="VALIDE")),$C$3:$C332),""))</f>
        <v/>
      </c>
      <c r="T333" s="36">
        <f>IF(OR($C333="",$S333=""),"",ROUND(($C333-$S333+IF($C333&lt;$S333,1,0))*1440,0))</f>
        <v/>
      </c>
      <c r="U333" s="22">
        <f>IF(OR($H333="",$T333="",$T333&lt;=0),"",$H333*60/$T333)</f>
        <v/>
      </c>
      <c r="V333" s="37">
        <f>IF(OR($U333="",$R333="",$R333=0),"",$U333/$R333)</f>
        <v/>
      </c>
      <c r="W333" s="20">
        <f>IF($G333="","",IF($X333="CONTEXTE INCOMPLET","CONTEXTE INCOMPLET",IF($X333="DOUBLON",StatutDoublon,IF($S333="",StatutInitial,IF($R333="",StatutStandardManquant,IF($V333="","DONNEES INSUFFISANTES",IF($V333&gt;=SeuilConforme,StatutConforme,IF($V333&gt;=SeuilSurveiller,StatutSurveiller,StatutSousStandard))))))))</f>
        <v/>
      </c>
      <c r="X333" s="33">
        <f>IF($G333="","",IF(OR($D333="",$E333="",$F333=""),"CONTEXTE INCOMPLET",IF(COUNTIFS($D$3:$D332,$D333,$E$3:$E332,$E333,$F$3:$F332,$F333,$G$3:$G332,$G333)&gt;0,"DOUBLON","VALIDE")))</f>
        <v/>
      </c>
    </row>
    <row r="334" ht="15" customHeight="1">
      <c r="A334" s="12">
        <f>IF(OR($B334="",$G334=""),"",TEXT($B334,"YYYYMMDD")&amp;"-"&amp;SUBSTITUTE($E334," ","")&amp;"-"&amp;$F334&amp;"-"&amp;$G334)</f>
        <v/>
      </c>
      <c r="B334" s="15" t="n"/>
      <c r="C334" s="16" t="n"/>
      <c r="D334" s="10" t="n"/>
      <c r="E334" s="9" t="n"/>
      <c r="F334" s="9" t="n"/>
      <c r="G334" s="13" t="n"/>
      <c r="H334" s="21" t="n"/>
      <c r="I334" s="21" t="n"/>
      <c r="J334" s="17">
        <f>IF($G334="","",IFERROR(INDEX(NomsEmployes,MATCH($G334,MatriculesEmployes,0)),"MATRICULE INCONNU"))</f>
        <v/>
      </c>
      <c r="K334" s="33">
        <f>IF(OR($D334="",$F334=""),"",IFERROR(IF(INDEX(RUNS!$L$6:$S$1005,MATCH($D334,RUNS!$A$6:$A$1005,0),MATCH("ACTIVITÉ "&amp;$F334,RUNS!$L$5:$S$5,0))="","",INDEX(RUNS!$L$6:$S$1005,MATCH($D334,RUNS!$A$6:$A$1005,0),MATCH("ACTIVITÉ "&amp;$F334,RUNS!$L$5:$S$5,0))),""))</f>
        <v/>
      </c>
      <c r="L334" s="33">
        <f>IF($D334="","",IFERROR(IF(INDEX(RUNS!$E$6:$E$1005,MATCH($D334,RUNS!$A$6:$A$1005,0))="","",INDEX(RUNS!$E$6:$E$1005,MATCH($D334,RUNS!$A$6:$A$1005,0))),""))</f>
        <v/>
      </c>
      <c r="M334" s="33">
        <f>IF($D334="","",IFERROR(IF(INDEX(RUNS!$F$6:$F$1005,MATCH($D334,RUNS!$A$6:$A$1005,0))="","",INDEX(RUNS!$F$6:$F$1005,MATCH($D334,RUNS!$A$6:$A$1005,0))),""))</f>
        <v/>
      </c>
      <c r="N334" s="33">
        <f>IF($D334="","",IFERROR(IF(INDEX(RUNS!$G$6:$G$1005,MATCH($D334,RUNS!$A$6:$A$1005,0))="","",INDEX(RUNS!$G$6:$G$1005,MATCH($D334,RUNS!$A$6:$A$1005,0))),""))</f>
        <v/>
      </c>
      <c r="O334" s="33">
        <f>IF($D334="","",IFERROR(IF(INDEX(RUNS!$H$6:$H$1005,MATCH($D334,RUNS!$A$6:$A$1005,0))="","",INDEX(RUNS!$H$6:$H$1005,MATCH($D334,RUNS!$A$6:$A$1005,0))),""))</f>
        <v/>
      </c>
      <c r="P334" s="33">
        <f>IF($D334="","",IFERROR(IF(INDEX(RUNS!$J$6:$J$1005,MATCH($D334,RUNS!$A$6:$A$1005,0))="","",INDEX(RUNS!$J$6:$J$1005,MATCH($D334,RUNS!$A$6:$A$1005,0))),""))</f>
        <v/>
      </c>
      <c r="Q334" s="33">
        <f>IF($D334="","",IFERROR(IF(INDEX(RUNS!$K$6:$K$1005,MATCH($D334,RUNS!$A$6:$A$1005,0))="","",INDEX(RUNS!$K$6:$K$1005,MATCH($D334,RUNS!$A$6:$A$1005,0))),""))</f>
        <v/>
      </c>
      <c r="R334" s="34">
        <f>IF(OR($L334="",$K334=""),"",IFERROR(IF(INDEX(PARAMETRES!$H$43:$H$342,MATCH($L334&amp;"|"&amp;$M334&amp;"|"&amp;$N334&amp;"|"&amp;$O334&amp;"|"&amp;$P334&amp;"|"&amp;$Q334&amp;"|"&amp;$K334,PARAMETRES!$J$43:$J$342,0))="","",INDEX(PARAMETRES!$H$43:$H$342,MATCH($L334&amp;"|"&amp;$M334&amp;"|"&amp;$N334&amp;"|"&amp;$O334&amp;"|"&amp;$P334&amp;"|"&amp;$Q334&amp;"|"&amp;$K334,PARAMETRES!$J$43:$J$342,0))),""))</f>
        <v/>
      </c>
      <c r="S334" s="35">
        <f>IF(OR($G334="",$X334&lt;&gt;"VALIDE"),"",IFERROR(LOOKUP(2,1/(($B$3:$B333=$B334)*($G$3:$G333=$G334)*($X$3:$X333="VALIDE")),$C$3:$C333),""))</f>
        <v/>
      </c>
      <c r="T334" s="36">
        <f>IF(OR($C334="",$S334=""),"",ROUND(($C334-$S334+IF($C334&lt;$S334,1,0))*1440,0))</f>
        <v/>
      </c>
      <c r="U334" s="22">
        <f>IF(OR($H334="",$T334="",$T334&lt;=0),"",$H334*60/$T334)</f>
        <v/>
      </c>
      <c r="V334" s="37">
        <f>IF(OR($U334="",$R334="",$R334=0),"",$U334/$R334)</f>
        <v/>
      </c>
      <c r="W334" s="20">
        <f>IF($G334="","",IF($X334="CONTEXTE INCOMPLET","CONTEXTE INCOMPLET",IF($X334="DOUBLON",StatutDoublon,IF($S334="",StatutInitial,IF($R334="",StatutStandardManquant,IF($V334="","DONNEES INSUFFISANTES",IF($V334&gt;=SeuilConforme,StatutConforme,IF($V334&gt;=SeuilSurveiller,StatutSurveiller,StatutSousStandard))))))))</f>
        <v/>
      </c>
      <c r="X334" s="33">
        <f>IF($G334="","",IF(OR($D334="",$E334="",$F334=""),"CONTEXTE INCOMPLET",IF(COUNTIFS($D$3:$D333,$D334,$E$3:$E333,$E334,$F$3:$F333,$F334,$G$3:$G333,$G334)&gt;0,"DOUBLON","VALIDE")))</f>
        <v/>
      </c>
    </row>
    <row r="335" ht="15" customHeight="1">
      <c r="A335" s="12">
        <f>IF(OR($B335="",$G335=""),"",TEXT($B335,"YYYYMMDD")&amp;"-"&amp;SUBSTITUTE($E335," ","")&amp;"-"&amp;$F335&amp;"-"&amp;$G335)</f>
        <v/>
      </c>
      <c r="B335" s="15" t="n"/>
      <c r="C335" s="16" t="n"/>
      <c r="D335" s="10" t="n"/>
      <c r="E335" s="9" t="n"/>
      <c r="F335" s="9" t="n"/>
      <c r="G335" s="13" t="n"/>
      <c r="H335" s="21" t="n"/>
      <c r="I335" s="21" t="n"/>
      <c r="J335" s="17">
        <f>IF($G335="","",IFERROR(INDEX(NomsEmployes,MATCH($G335,MatriculesEmployes,0)),"MATRICULE INCONNU"))</f>
        <v/>
      </c>
      <c r="K335" s="33">
        <f>IF(OR($D335="",$F335=""),"",IFERROR(IF(INDEX(RUNS!$L$6:$S$1005,MATCH($D335,RUNS!$A$6:$A$1005,0),MATCH("ACTIVITÉ "&amp;$F335,RUNS!$L$5:$S$5,0))="","",INDEX(RUNS!$L$6:$S$1005,MATCH($D335,RUNS!$A$6:$A$1005,0),MATCH("ACTIVITÉ "&amp;$F335,RUNS!$L$5:$S$5,0))),""))</f>
        <v/>
      </c>
      <c r="L335" s="33">
        <f>IF($D335="","",IFERROR(IF(INDEX(RUNS!$E$6:$E$1005,MATCH($D335,RUNS!$A$6:$A$1005,0))="","",INDEX(RUNS!$E$6:$E$1005,MATCH($D335,RUNS!$A$6:$A$1005,0))),""))</f>
        <v/>
      </c>
      <c r="M335" s="33">
        <f>IF($D335="","",IFERROR(IF(INDEX(RUNS!$F$6:$F$1005,MATCH($D335,RUNS!$A$6:$A$1005,0))="","",INDEX(RUNS!$F$6:$F$1005,MATCH($D335,RUNS!$A$6:$A$1005,0))),""))</f>
        <v/>
      </c>
      <c r="N335" s="33">
        <f>IF($D335="","",IFERROR(IF(INDEX(RUNS!$G$6:$G$1005,MATCH($D335,RUNS!$A$6:$A$1005,0))="","",INDEX(RUNS!$G$6:$G$1005,MATCH($D335,RUNS!$A$6:$A$1005,0))),""))</f>
        <v/>
      </c>
      <c r="O335" s="33">
        <f>IF($D335="","",IFERROR(IF(INDEX(RUNS!$H$6:$H$1005,MATCH($D335,RUNS!$A$6:$A$1005,0))="","",INDEX(RUNS!$H$6:$H$1005,MATCH($D335,RUNS!$A$6:$A$1005,0))),""))</f>
        <v/>
      </c>
      <c r="P335" s="33">
        <f>IF($D335="","",IFERROR(IF(INDEX(RUNS!$J$6:$J$1005,MATCH($D335,RUNS!$A$6:$A$1005,0))="","",INDEX(RUNS!$J$6:$J$1005,MATCH($D335,RUNS!$A$6:$A$1005,0))),""))</f>
        <v/>
      </c>
      <c r="Q335" s="33">
        <f>IF($D335="","",IFERROR(IF(INDEX(RUNS!$K$6:$K$1005,MATCH($D335,RUNS!$A$6:$A$1005,0))="","",INDEX(RUNS!$K$6:$K$1005,MATCH($D335,RUNS!$A$6:$A$1005,0))),""))</f>
        <v/>
      </c>
      <c r="R335" s="34">
        <f>IF(OR($L335="",$K335=""),"",IFERROR(IF(INDEX(PARAMETRES!$H$43:$H$342,MATCH($L335&amp;"|"&amp;$M335&amp;"|"&amp;$N335&amp;"|"&amp;$O335&amp;"|"&amp;$P335&amp;"|"&amp;$Q335&amp;"|"&amp;$K335,PARAMETRES!$J$43:$J$342,0))="","",INDEX(PARAMETRES!$H$43:$H$342,MATCH($L335&amp;"|"&amp;$M335&amp;"|"&amp;$N335&amp;"|"&amp;$O335&amp;"|"&amp;$P335&amp;"|"&amp;$Q335&amp;"|"&amp;$K335,PARAMETRES!$J$43:$J$342,0))),""))</f>
        <v/>
      </c>
      <c r="S335" s="35">
        <f>IF(OR($G335="",$X335&lt;&gt;"VALIDE"),"",IFERROR(LOOKUP(2,1/(($B$3:$B334=$B335)*($G$3:$G334=$G335)*($X$3:$X334="VALIDE")),$C$3:$C334),""))</f>
        <v/>
      </c>
      <c r="T335" s="36">
        <f>IF(OR($C335="",$S335=""),"",ROUND(($C335-$S335+IF($C335&lt;$S335,1,0))*1440,0))</f>
        <v/>
      </c>
      <c r="U335" s="22">
        <f>IF(OR($H335="",$T335="",$T335&lt;=0),"",$H335*60/$T335)</f>
        <v/>
      </c>
      <c r="V335" s="37">
        <f>IF(OR($U335="",$R335="",$R335=0),"",$U335/$R335)</f>
        <v/>
      </c>
      <c r="W335" s="20">
        <f>IF($G335="","",IF($X335="CONTEXTE INCOMPLET","CONTEXTE INCOMPLET",IF($X335="DOUBLON",StatutDoublon,IF($S335="",StatutInitial,IF($R335="",StatutStandardManquant,IF($V335="","DONNEES INSUFFISANTES",IF($V335&gt;=SeuilConforme,StatutConforme,IF($V335&gt;=SeuilSurveiller,StatutSurveiller,StatutSousStandard))))))))</f>
        <v/>
      </c>
      <c r="X335" s="33">
        <f>IF($G335="","",IF(OR($D335="",$E335="",$F335=""),"CONTEXTE INCOMPLET",IF(COUNTIFS($D$3:$D334,$D335,$E$3:$E334,$E335,$F$3:$F334,$F335,$G$3:$G334,$G335)&gt;0,"DOUBLON","VALIDE")))</f>
        <v/>
      </c>
    </row>
    <row r="336" ht="15" customHeight="1">
      <c r="A336" s="12">
        <f>IF(OR($B336="",$G336=""),"",TEXT($B336,"YYYYMMDD")&amp;"-"&amp;SUBSTITUTE($E336," ","")&amp;"-"&amp;$F336&amp;"-"&amp;$G336)</f>
        <v/>
      </c>
      <c r="B336" s="15" t="n"/>
      <c r="C336" s="16" t="n"/>
      <c r="D336" s="10" t="n"/>
      <c r="E336" s="9" t="n"/>
      <c r="F336" s="9" t="n"/>
      <c r="G336" s="13" t="n"/>
      <c r="H336" s="21" t="n"/>
      <c r="I336" s="21" t="n"/>
      <c r="J336" s="17">
        <f>IF($G336="","",IFERROR(INDEX(NomsEmployes,MATCH($G336,MatriculesEmployes,0)),"MATRICULE INCONNU"))</f>
        <v/>
      </c>
      <c r="K336" s="33">
        <f>IF(OR($D336="",$F336=""),"",IFERROR(IF(INDEX(RUNS!$L$6:$S$1005,MATCH($D336,RUNS!$A$6:$A$1005,0),MATCH("ACTIVITÉ "&amp;$F336,RUNS!$L$5:$S$5,0))="","",INDEX(RUNS!$L$6:$S$1005,MATCH($D336,RUNS!$A$6:$A$1005,0),MATCH("ACTIVITÉ "&amp;$F336,RUNS!$L$5:$S$5,0))),""))</f>
        <v/>
      </c>
      <c r="L336" s="33">
        <f>IF($D336="","",IFERROR(IF(INDEX(RUNS!$E$6:$E$1005,MATCH($D336,RUNS!$A$6:$A$1005,0))="","",INDEX(RUNS!$E$6:$E$1005,MATCH($D336,RUNS!$A$6:$A$1005,0))),""))</f>
        <v/>
      </c>
      <c r="M336" s="33">
        <f>IF($D336="","",IFERROR(IF(INDEX(RUNS!$F$6:$F$1005,MATCH($D336,RUNS!$A$6:$A$1005,0))="","",INDEX(RUNS!$F$6:$F$1005,MATCH($D336,RUNS!$A$6:$A$1005,0))),""))</f>
        <v/>
      </c>
      <c r="N336" s="33">
        <f>IF($D336="","",IFERROR(IF(INDEX(RUNS!$G$6:$G$1005,MATCH($D336,RUNS!$A$6:$A$1005,0))="","",INDEX(RUNS!$G$6:$G$1005,MATCH($D336,RUNS!$A$6:$A$1005,0))),""))</f>
        <v/>
      </c>
      <c r="O336" s="33">
        <f>IF($D336="","",IFERROR(IF(INDEX(RUNS!$H$6:$H$1005,MATCH($D336,RUNS!$A$6:$A$1005,0))="","",INDEX(RUNS!$H$6:$H$1005,MATCH($D336,RUNS!$A$6:$A$1005,0))),""))</f>
        <v/>
      </c>
      <c r="P336" s="33">
        <f>IF($D336="","",IFERROR(IF(INDEX(RUNS!$J$6:$J$1005,MATCH($D336,RUNS!$A$6:$A$1005,0))="","",INDEX(RUNS!$J$6:$J$1005,MATCH($D336,RUNS!$A$6:$A$1005,0))),""))</f>
        <v/>
      </c>
      <c r="Q336" s="33">
        <f>IF($D336="","",IFERROR(IF(INDEX(RUNS!$K$6:$K$1005,MATCH($D336,RUNS!$A$6:$A$1005,0))="","",INDEX(RUNS!$K$6:$K$1005,MATCH($D336,RUNS!$A$6:$A$1005,0))),""))</f>
        <v/>
      </c>
      <c r="R336" s="34">
        <f>IF(OR($L336="",$K336=""),"",IFERROR(IF(INDEX(PARAMETRES!$H$43:$H$342,MATCH($L336&amp;"|"&amp;$M336&amp;"|"&amp;$N336&amp;"|"&amp;$O336&amp;"|"&amp;$P336&amp;"|"&amp;$Q336&amp;"|"&amp;$K336,PARAMETRES!$J$43:$J$342,0))="","",INDEX(PARAMETRES!$H$43:$H$342,MATCH($L336&amp;"|"&amp;$M336&amp;"|"&amp;$N336&amp;"|"&amp;$O336&amp;"|"&amp;$P336&amp;"|"&amp;$Q336&amp;"|"&amp;$K336,PARAMETRES!$J$43:$J$342,0))),""))</f>
        <v/>
      </c>
      <c r="S336" s="35">
        <f>IF(OR($G336="",$X336&lt;&gt;"VALIDE"),"",IFERROR(LOOKUP(2,1/(($B$3:$B335=$B336)*($G$3:$G335=$G336)*($X$3:$X335="VALIDE")),$C$3:$C335),""))</f>
        <v/>
      </c>
      <c r="T336" s="36">
        <f>IF(OR($C336="",$S336=""),"",ROUND(($C336-$S336+IF($C336&lt;$S336,1,0))*1440,0))</f>
        <v/>
      </c>
      <c r="U336" s="22">
        <f>IF(OR($H336="",$T336="",$T336&lt;=0),"",$H336*60/$T336)</f>
        <v/>
      </c>
      <c r="V336" s="37">
        <f>IF(OR($U336="",$R336="",$R336=0),"",$U336/$R336)</f>
        <v/>
      </c>
      <c r="W336" s="20">
        <f>IF($G336="","",IF($X336="CONTEXTE INCOMPLET","CONTEXTE INCOMPLET",IF($X336="DOUBLON",StatutDoublon,IF($S336="",StatutInitial,IF($R336="",StatutStandardManquant,IF($V336="","DONNEES INSUFFISANTES",IF($V336&gt;=SeuilConforme,StatutConforme,IF($V336&gt;=SeuilSurveiller,StatutSurveiller,StatutSousStandard))))))))</f>
        <v/>
      </c>
      <c r="X336" s="33">
        <f>IF($G336="","",IF(OR($D336="",$E336="",$F336=""),"CONTEXTE INCOMPLET",IF(COUNTIFS($D$3:$D335,$D336,$E$3:$E335,$E336,$F$3:$F335,$F336,$G$3:$G335,$G336)&gt;0,"DOUBLON","VALIDE")))</f>
        <v/>
      </c>
    </row>
    <row r="337" ht="15" customHeight="1">
      <c r="A337" s="12">
        <f>IF(OR($B337="",$G337=""),"",TEXT($B337,"YYYYMMDD")&amp;"-"&amp;SUBSTITUTE($E337," ","")&amp;"-"&amp;$F337&amp;"-"&amp;$G337)</f>
        <v/>
      </c>
      <c r="B337" s="15" t="n"/>
      <c r="C337" s="16" t="n"/>
      <c r="D337" s="10" t="n"/>
      <c r="E337" s="9" t="n"/>
      <c r="F337" s="9" t="n"/>
      <c r="G337" s="13" t="n"/>
      <c r="H337" s="21" t="n"/>
      <c r="I337" s="21" t="n"/>
      <c r="J337" s="17">
        <f>IF($G337="","",IFERROR(INDEX(NomsEmployes,MATCH($G337,MatriculesEmployes,0)),"MATRICULE INCONNU"))</f>
        <v/>
      </c>
      <c r="K337" s="33">
        <f>IF(OR($D337="",$F337=""),"",IFERROR(IF(INDEX(RUNS!$L$6:$S$1005,MATCH($D337,RUNS!$A$6:$A$1005,0),MATCH("ACTIVITÉ "&amp;$F337,RUNS!$L$5:$S$5,0))="","",INDEX(RUNS!$L$6:$S$1005,MATCH($D337,RUNS!$A$6:$A$1005,0),MATCH("ACTIVITÉ "&amp;$F337,RUNS!$L$5:$S$5,0))),""))</f>
        <v/>
      </c>
      <c r="L337" s="33">
        <f>IF($D337="","",IFERROR(IF(INDEX(RUNS!$E$6:$E$1005,MATCH($D337,RUNS!$A$6:$A$1005,0))="","",INDEX(RUNS!$E$6:$E$1005,MATCH($D337,RUNS!$A$6:$A$1005,0))),""))</f>
        <v/>
      </c>
      <c r="M337" s="33">
        <f>IF($D337="","",IFERROR(IF(INDEX(RUNS!$F$6:$F$1005,MATCH($D337,RUNS!$A$6:$A$1005,0))="","",INDEX(RUNS!$F$6:$F$1005,MATCH($D337,RUNS!$A$6:$A$1005,0))),""))</f>
        <v/>
      </c>
      <c r="N337" s="33">
        <f>IF($D337="","",IFERROR(IF(INDEX(RUNS!$G$6:$G$1005,MATCH($D337,RUNS!$A$6:$A$1005,0))="","",INDEX(RUNS!$G$6:$G$1005,MATCH($D337,RUNS!$A$6:$A$1005,0))),""))</f>
        <v/>
      </c>
      <c r="O337" s="33">
        <f>IF($D337="","",IFERROR(IF(INDEX(RUNS!$H$6:$H$1005,MATCH($D337,RUNS!$A$6:$A$1005,0))="","",INDEX(RUNS!$H$6:$H$1005,MATCH($D337,RUNS!$A$6:$A$1005,0))),""))</f>
        <v/>
      </c>
      <c r="P337" s="33">
        <f>IF($D337="","",IFERROR(IF(INDEX(RUNS!$J$6:$J$1005,MATCH($D337,RUNS!$A$6:$A$1005,0))="","",INDEX(RUNS!$J$6:$J$1005,MATCH($D337,RUNS!$A$6:$A$1005,0))),""))</f>
        <v/>
      </c>
      <c r="Q337" s="33">
        <f>IF($D337="","",IFERROR(IF(INDEX(RUNS!$K$6:$K$1005,MATCH($D337,RUNS!$A$6:$A$1005,0))="","",INDEX(RUNS!$K$6:$K$1005,MATCH($D337,RUNS!$A$6:$A$1005,0))),""))</f>
        <v/>
      </c>
      <c r="R337" s="34">
        <f>IF(OR($L337="",$K337=""),"",IFERROR(IF(INDEX(PARAMETRES!$H$43:$H$342,MATCH($L337&amp;"|"&amp;$M337&amp;"|"&amp;$N337&amp;"|"&amp;$O337&amp;"|"&amp;$P337&amp;"|"&amp;$Q337&amp;"|"&amp;$K337,PARAMETRES!$J$43:$J$342,0))="","",INDEX(PARAMETRES!$H$43:$H$342,MATCH($L337&amp;"|"&amp;$M337&amp;"|"&amp;$N337&amp;"|"&amp;$O337&amp;"|"&amp;$P337&amp;"|"&amp;$Q337&amp;"|"&amp;$K337,PARAMETRES!$J$43:$J$342,0))),""))</f>
        <v/>
      </c>
      <c r="S337" s="35">
        <f>IF(OR($G337="",$X337&lt;&gt;"VALIDE"),"",IFERROR(LOOKUP(2,1/(($B$3:$B336=$B337)*($G$3:$G336=$G337)*($X$3:$X336="VALIDE")),$C$3:$C336),""))</f>
        <v/>
      </c>
      <c r="T337" s="36">
        <f>IF(OR($C337="",$S337=""),"",ROUND(($C337-$S337+IF($C337&lt;$S337,1,0))*1440,0))</f>
        <v/>
      </c>
      <c r="U337" s="22">
        <f>IF(OR($H337="",$T337="",$T337&lt;=0),"",$H337*60/$T337)</f>
        <v/>
      </c>
      <c r="V337" s="37">
        <f>IF(OR($U337="",$R337="",$R337=0),"",$U337/$R337)</f>
        <v/>
      </c>
      <c r="W337" s="20">
        <f>IF($G337="","",IF($X337="CONTEXTE INCOMPLET","CONTEXTE INCOMPLET",IF($X337="DOUBLON",StatutDoublon,IF($S337="",StatutInitial,IF($R337="",StatutStandardManquant,IF($V337="","DONNEES INSUFFISANTES",IF($V337&gt;=SeuilConforme,StatutConforme,IF($V337&gt;=SeuilSurveiller,StatutSurveiller,StatutSousStandard))))))))</f>
        <v/>
      </c>
      <c r="X337" s="33">
        <f>IF($G337="","",IF(OR($D337="",$E337="",$F337=""),"CONTEXTE INCOMPLET",IF(COUNTIFS($D$3:$D336,$D337,$E$3:$E336,$E337,$F$3:$F336,$F337,$G$3:$G336,$G337)&gt;0,"DOUBLON","VALIDE")))</f>
        <v/>
      </c>
    </row>
    <row r="338" ht="15" customHeight="1">
      <c r="A338" s="12">
        <f>IF(OR($B338="",$G338=""),"",TEXT($B338,"YYYYMMDD")&amp;"-"&amp;SUBSTITUTE($E338," ","")&amp;"-"&amp;$F338&amp;"-"&amp;$G338)</f>
        <v/>
      </c>
      <c r="B338" s="15" t="n"/>
      <c r="C338" s="16" t="n"/>
      <c r="D338" s="10" t="n"/>
      <c r="E338" s="9" t="n"/>
      <c r="F338" s="9" t="n"/>
      <c r="G338" s="13" t="n"/>
      <c r="H338" s="21" t="n"/>
      <c r="I338" s="21" t="n"/>
      <c r="J338" s="17">
        <f>IF($G338="","",IFERROR(INDEX(NomsEmployes,MATCH($G338,MatriculesEmployes,0)),"MATRICULE INCONNU"))</f>
        <v/>
      </c>
      <c r="K338" s="33">
        <f>IF(OR($D338="",$F338=""),"",IFERROR(IF(INDEX(RUNS!$L$6:$S$1005,MATCH($D338,RUNS!$A$6:$A$1005,0),MATCH("ACTIVITÉ "&amp;$F338,RUNS!$L$5:$S$5,0))="","",INDEX(RUNS!$L$6:$S$1005,MATCH($D338,RUNS!$A$6:$A$1005,0),MATCH("ACTIVITÉ "&amp;$F338,RUNS!$L$5:$S$5,0))),""))</f>
        <v/>
      </c>
      <c r="L338" s="33">
        <f>IF($D338="","",IFERROR(IF(INDEX(RUNS!$E$6:$E$1005,MATCH($D338,RUNS!$A$6:$A$1005,0))="","",INDEX(RUNS!$E$6:$E$1005,MATCH($D338,RUNS!$A$6:$A$1005,0))),""))</f>
        <v/>
      </c>
      <c r="M338" s="33">
        <f>IF($D338="","",IFERROR(IF(INDEX(RUNS!$F$6:$F$1005,MATCH($D338,RUNS!$A$6:$A$1005,0))="","",INDEX(RUNS!$F$6:$F$1005,MATCH($D338,RUNS!$A$6:$A$1005,0))),""))</f>
        <v/>
      </c>
      <c r="N338" s="33">
        <f>IF($D338="","",IFERROR(IF(INDEX(RUNS!$G$6:$G$1005,MATCH($D338,RUNS!$A$6:$A$1005,0))="","",INDEX(RUNS!$G$6:$G$1005,MATCH($D338,RUNS!$A$6:$A$1005,0))),""))</f>
        <v/>
      </c>
      <c r="O338" s="33">
        <f>IF($D338="","",IFERROR(IF(INDEX(RUNS!$H$6:$H$1005,MATCH($D338,RUNS!$A$6:$A$1005,0))="","",INDEX(RUNS!$H$6:$H$1005,MATCH($D338,RUNS!$A$6:$A$1005,0))),""))</f>
        <v/>
      </c>
      <c r="P338" s="33">
        <f>IF($D338="","",IFERROR(IF(INDEX(RUNS!$J$6:$J$1005,MATCH($D338,RUNS!$A$6:$A$1005,0))="","",INDEX(RUNS!$J$6:$J$1005,MATCH($D338,RUNS!$A$6:$A$1005,0))),""))</f>
        <v/>
      </c>
      <c r="Q338" s="33">
        <f>IF($D338="","",IFERROR(IF(INDEX(RUNS!$K$6:$K$1005,MATCH($D338,RUNS!$A$6:$A$1005,0))="","",INDEX(RUNS!$K$6:$K$1005,MATCH($D338,RUNS!$A$6:$A$1005,0))),""))</f>
        <v/>
      </c>
      <c r="R338" s="34">
        <f>IF(OR($L338="",$K338=""),"",IFERROR(IF(INDEX(PARAMETRES!$H$43:$H$342,MATCH($L338&amp;"|"&amp;$M338&amp;"|"&amp;$N338&amp;"|"&amp;$O338&amp;"|"&amp;$P338&amp;"|"&amp;$Q338&amp;"|"&amp;$K338,PARAMETRES!$J$43:$J$342,0))="","",INDEX(PARAMETRES!$H$43:$H$342,MATCH($L338&amp;"|"&amp;$M338&amp;"|"&amp;$N338&amp;"|"&amp;$O338&amp;"|"&amp;$P338&amp;"|"&amp;$Q338&amp;"|"&amp;$K338,PARAMETRES!$J$43:$J$342,0))),""))</f>
        <v/>
      </c>
      <c r="S338" s="35">
        <f>IF(OR($G338="",$X338&lt;&gt;"VALIDE"),"",IFERROR(LOOKUP(2,1/(($B$3:$B337=$B338)*($G$3:$G337=$G338)*($X$3:$X337="VALIDE")),$C$3:$C337),""))</f>
        <v/>
      </c>
      <c r="T338" s="36">
        <f>IF(OR($C338="",$S338=""),"",ROUND(($C338-$S338+IF($C338&lt;$S338,1,0))*1440,0))</f>
        <v/>
      </c>
      <c r="U338" s="22">
        <f>IF(OR($H338="",$T338="",$T338&lt;=0),"",$H338*60/$T338)</f>
        <v/>
      </c>
      <c r="V338" s="37">
        <f>IF(OR($U338="",$R338="",$R338=0),"",$U338/$R338)</f>
        <v/>
      </c>
      <c r="W338" s="20">
        <f>IF($G338="","",IF($X338="CONTEXTE INCOMPLET","CONTEXTE INCOMPLET",IF($X338="DOUBLON",StatutDoublon,IF($S338="",StatutInitial,IF($R338="",StatutStandardManquant,IF($V338="","DONNEES INSUFFISANTES",IF($V338&gt;=SeuilConforme,StatutConforme,IF($V338&gt;=SeuilSurveiller,StatutSurveiller,StatutSousStandard))))))))</f>
        <v/>
      </c>
      <c r="X338" s="33">
        <f>IF($G338="","",IF(OR($D338="",$E338="",$F338=""),"CONTEXTE INCOMPLET",IF(COUNTIFS($D$3:$D337,$D338,$E$3:$E337,$E338,$F$3:$F337,$F338,$G$3:$G337,$G338)&gt;0,"DOUBLON","VALIDE")))</f>
        <v/>
      </c>
    </row>
    <row r="339" ht="15" customHeight="1">
      <c r="A339" s="12">
        <f>IF(OR($B339="",$G339=""),"",TEXT($B339,"YYYYMMDD")&amp;"-"&amp;SUBSTITUTE($E339," ","")&amp;"-"&amp;$F339&amp;"-"&amp;$G339)</f>
        <v/>
      </c>
      <c r="B339" s="15" t="n"/>
      <c r="C339" s="16" t="n"/>
      <c r="D339" s="10" t="n"/>
      <c r="E339" s="9" t="n"/>
      <c r="F339" s="9" t="n"/>
      <c r="G339" s="13" t="n"/>
      <c r="H339" s="21" t="n"/>
      <c r="I339" s="21" t="n"/>
      <c r="J339" s="17">
        <f>IF($G339="","",IFERROR(INDEX(NomsEmployes,MATCH($G339,MatriculesEmployes,0)),"MATRICULE INCONNU"))</f>
        <v/>
      </c>
      <c r="K339" s="33">
        <f>IF(OR($D339="",$F339=""),"",IFERROR(IF(INDEX(RUNS!$L$6:$S$1005,MATCH($D339,RUNS!$A$6:$A$1005,0),MATCH("ACTIVITÉ "&amp;$F339,RUNS!$L$5:$S$5,0))="","",INDEX(RUNS!$L$6:$S$1005,MATCH($D339,RUNS!$A$6:$A$1005,0),MATCH("ACTIVITÉ "&amp;$F339,RUNS!$L$5:$S$5,0))),""))</f>
        <v/>
      </c>
      <c r="L339" s="33">
        <f>IF($D339="","",IFERROR(IF(INDEX(RUNS!$E$6:$E$1005,MATCH($D339,RUNS!$A$6:$A$1005,0))="","",INDEX(RUNS!$E$6:$E$1005,MATCH($D339,RUNS!$A$6:$A$1005,0))),""))</f>
        <v/>
      </c>
      <c r="M339" s="33">
        <f>IF($D339="","",IFERROR(IF(INDEX(RUNS!$F$6:$F$1005,MATCH($D339,RUNS!$A$6:$A$1005,0))="","",INDEX(RUNS!$F$6:$F$1005,MATCH($D339,RUNS!$A$6:$A$1005,0))),""))</f>
        <v/>
      </c>
      <c r="N339" s="33">
        <f>IF($D339="","",IFERROR(IF(INDEX(RUNS!$G$6:$G$1005,MATCH($D339,RUNS!$A$6:$A$1005,0))="","",INDEX(RUNS!$G$6:$G$1005,MATCH($D339,RUNS!$A$6:$A$1005,0))),""))</f>
        <v/>
      </c>
      <c r="O339" s="33">
        <f>IF($D339="","",IFERROR(IF(INDEX(RUNS!$H$6:$H$1005,MATCH($D339,RUNS!$A$6:$A$1005,0))="","",INDEX(RUNS!$H$6:$H$1005,MATCH($D339,RUNS!$A$6:$A$1005,0))),""))</f>
        <v/>
      </c>
      <c r="P339" s="33">
        <f>IF($D339="","",IFERROR(IF(INDEX(RUNS!$J$6:$J$1005,MATCH($D339,RUNS!$A$6:$A$1005,0))="","",INDEX(RUNS!$J$6:$J$1005,MATCH($D339,RUNS!$A$6:$A$1005,0))),""))</f>
        <v/>
      </c>
      <c r="Q339" s="33">
        <f>IF($D339="","",IFERROR(IF(INDEX(RUNS!$K$6:$K$1005,MATCH($D339,RUNS!$A$6:$A$1005,0))="","",INDEX(RUNS!$K$6:$K$1005,MATCH($D339,RUNS!$A$6:$A$1005,0))),""))</f>
        <v/>
      </c>
      <c r="R339" s="34">
        <f>IF(OR($L339="",$K339=""),"",IFERROR(IF(INDEX(PARAMETRES!$H$43:$H$342,MATCH($L339&amp;"|"&amp;$M339&amp;"|"&amp;$N339&amp;"|"&amp;$O339&amp;"|"&amp;$P339&amp;"|"&amp;$Q339&amp;"|"&amp;$K339,PARAMETRES!$J$43:$J$342,0))="","",INDEX(PARAMETRES!$H$43:$H$342,MATCH($L339&amp;"|"&amp;$M339&amp;"|"&amp;$N339&amp;"|"&amp;$O339&amp;"|"&amp;$P339&amp;"|"&amp;$Q339&amp;"|"&amp;$K339,PARAMETRES!$J$43:$J$342,0))),""))</f>
        <v/>
      </c>
      <c r="S339" s="35">
        <f>IF(OR($G339="",$X339&lt;&gt;"VALIDE"),"",IFERROR(LOOKUP(2,1/(($B$3:$B338=$B339)*($G$3:$G338=$G339)*($X$3:$X338="VALIDE")),$C$3:$C338),""))</f>
        <v/>
      </c>
      <c r="T339" s="36">
        <f>IF(OR($C339="",$S339=""),"",ROUND(($C339-$S339+IF($C339&lt;$S339,1,0))*1440,0))</f>
        <v/>
      </c>
      <c r="U339" s="22">
        <f>IF(OR($H339="",$T339="",$T339&lt;=0),"",$H339*60/$T339)</f>
        <v/>
      </c>
      <c r="V339" s="37">
        <f>IF(OR($U339="",$R339="",$R339=0),"",$U339/$R339)</f>
        <v/>
      </c>
      <c r="W339" s="20">
        <f>IF($G339="","",IF($X339="CONTEXTE INCOMPLET","CONTEXTE INCOMPLET",IF($X339="DOUBLON",StatutDoublon,IF($S339="",StatutInitial,IF($R339="",StatutStandardManquant,IF($V339="","DONNEES INSUFFISANTES",IF($V339&gt;=SeuilConforme,StatutConforme,IF($V339&gt;=SeuilSurveiller,StatutSurveiller,StatutSousStandard))))))))</f>
        <v/>
      </c>
      <c r="X339" s="33">
        <f>IF($G339="","",IF(OR($D339="",$E339="",$F339=""),"CONTEXTE INCOMPLET",IF(COUNTIFS($D$3:$D338,$D339,$E$3:$E338,$E339,$F$3:$F338,$F339,$G$3:$G338,$G339)&gt;0,"DOUBLON","VALIDE")))</f>
        <v/>
      </c>
    </row>
    <row r="340" ht="15" customHeight="1">
      <c r="A340" s="12">
        <f>IF(OR($B340="",$G340=""),"",TEXT($B340,"YYYYMMDD")&amp;"-"&amp;SUBSTITUTE($E340," ","")&amp;"-"&amp;$F340&amp;"-"&amp;$G340)</f>
        <v/>
      </c>
      <c r="B340" s="15" t="n"/>
      <c r="C340" s="16" t="n"/>
      <c r="D340" s="10" t="n"/>
      <c r="E340" s="9" t="n"/>
      <c r="F340" s="9" t="n"/>
      <c r="G340" s="13" t="n"/>
      <c r="H340" s="21" t="n"/>
      <c r="I340" s="21" t="n"/>
      <c r="J340" s="17">
        <f>IF($G340="","",IFERROR(INDEX(NomsEmployes,MATCH($G340,MatriculesEmployes,0)),"MATRICULE INCONNU"))</f>
        <v/>
      </c>
      <c r="K340" s="33">
        <f>IF(OR($D340="",$F340=""),"",IFERROR(IF(INDEX(RUNS!$L$6:$S$1005,MATCH($D340,RUNS!$A$6:$A$1005,0),MATCH("ACTIVITÉ "&amp;$F340,RUNS!$L$5:$S$5,0))="","",INDEX(RUNS!$L$6:$S$1005,MATCH($D340,RUNS!$A$6:$A$1005,0),MATCH("ACTIVITÉ "&amp;$F340,RUNS!$L$5:$S$5,0))),""))</f>
        <v/>
      </c>
      <c r="L340" s="33">
        <f>IF($D340="","",IFERROR(IF(INDEX(RUNS!$E$6:$E$1005,MATCH($D340,RUNS!$A$6:$A$1005,0))="","",INDEX(RUNS!$E$6:$E$1005,MATCH($D340,RUNS!$A$6:$A$1005,0))),""))</f>
        <v/>
      </c>
      <c r="M340" s="33">
        <f>IF($D340="","",IFERROR(IF(INDEX(RUNS!$F$6:$F$1005,MATCH($D340,RUNS!$A$6:$A$1005,0))="","",INDEX(RUNS!$F$6:$F$1005,MATCH($D340,RUNS!$A$6:$A$1005,0))),""))</f>
        <v/>
      </c>
      <c r="N340" s="33">
        <f>IF($D340="","",IFERROR(IF(INDEX(RUNS!$G$6:$G$1005,MATCH($D340,RUNS!$A$6:$A$1005,0))="","",INDEX(RUNS!$G$6:$G$1005,MATCH($D340,RUNS!$A$6:$A$1005,0))),""))</f>
        <v/>
      </c>
      <c r="O340" s="33">
        <f>IF($D340="","",IFERROR(IF(INDEX(RUNS!$H$6:$H$1005,MATCH($D340,RUNS!$A$6:$A$1005,0))="","",INDEX(RUNS!$H$6:$H$1005,MATCH($D340,RUNS!$A$6:$A$1005,0))),""))</f>
        <v/>
      </c>
      <c r="P340" s="33">
        <f>IF($D340="","",IFERROR(IF(INDEX(RUNS!$J$6:$J$1005,MATCH($D340,RUNS!$A$6:$A$1005,0))="","",INDEX(RUNS!$J$6:$J$1005,MATCH($D340,RUNS!$A$6:$A$1005,0))),""))</f>
        <v/>
      </c>
      <c r="Q340" s="33">
        <f>IF($D340="","",IFERROR(IF(INDEX(RUNS!$K$6:$K$1005,MATCH($D340,RUNS!$A$6:$A$1005,0))="","",INDEX(RUNS!$K$6:$K$1005,MATCH($D340,RUNS!$A$6:$A$1005,0))),""))</f>
        <v/>
      </c>
      <c r="R340" s="34">
        <f>IF(OR($L340="",$K340=""),"",IFERROR(IF(INDEX(PARAMETRES!$H$43:$H$342,MATCH($L340&amp;"|"&amp;$M340&amp;"|"&amp;$N340&amp;"|"&amp;$O340&amp;"|"&amp;$P340&amp;"|"&amp;$Q340&amp;"|"&amp;$K340,PARAMETRES!$J$43:$J$342,0))="","",INDEX(PARAMETRES!$H$43:$H$342,MATCH($L340&amp;"|"&amp;$M340&amp;"|"&amp;$N340&amp;"|"&amp;$O340&amp;"|"&amp;$P340&amp;"|"&amp;$Q340&amp;"|"&amp;$K340,PARAMETRES!$J$43:$J$342,0))),""))</f>
        <v/>
      </c>
      <c r="S340" s="35">
        <f>IF(OR($G340="",$X340&lt;&gt;"VALIDE"),"",IFERROR(LOOKUP(2,1/(($B$3:$B339=$B340)*($G$3:$G339=$G340)*($X$3:$X339="VALIDE")),$C$3:$C339),""))</f>
        <v/>
      </c>
      <c r="T340" s="36">
        <f>IF(OR($C340="",$S340=""),"",ROUND(($C340-$S340+IF($C340&lt;$S340,1,0))*1440,0))</f>
        <v/>
      </c>
      <c r="U340" s="22">
        <f>IF(OR($H340="",$T340="",$T340&lt;=0),"",$H340*60/$T340)</f>
        <v/>
      </c>
      <c r="V340" s="37">
        <f>IF(OR($U340="",$R340="",$R340=0),"",$U340/$R340)</f>
        <v/>
      </c>
      <c r="W340" s="20">
        <f>IF($G340="","",IF($X340="CONTEXTE INCOMPLET","CONTEXTE INCOMPLET",IF($X340="DOUBLON",StatutDoublon,IF($S340="",StatutInitial,IF($R340="",StatutStandardManquant,IF($V340="","DONNEES INSUFFISANTES",IF($V340&gt;=SeuilConforme,StatutConforme,IF($V340&gt;=SeuilSurveiller,StatutSurveiller,StatutSousStandard))))))))</f>
        <v/>
      </c>
      <c r="X340" s="33">
        <f>IF($G340="","",IF(OR($D340="",$E340="",$F340=""),"CONTEXTE INCOMPLET",IF(COUNTIFS($D$3:$D339,$D340,$E$3:$E339,$E340,$F$3:$F339,$F340,$G$3:$G339,$G340)&gt;0,"DOUBLON","VALIDE")))</f>
        <v/>
      </c>
    </row>
    <row r="341" ht="15" customHeight="1">
      <c r="A341" s="12">
        <f>IF(OR($B341="",$G341=""),"",TEXT($B341,"YYYYMMDD")&amp;"-"&amp;SUBSTITUTE($E341," ","")&amp;"-"&amp;$F341&amp;"-"&amp;$G341)</f>
        <v/>
      </c>
      <c r="B341" s="15" t="n"/>
      <c r="C341" s="16" t="n"/>
      <c r="D341" s="10" t="n"/>
      <c r="E341" s="9" t="n"/>
      <c r="F341" s="9" t="n"/>
      <c r="G341" s="13" t="n"/>
      <c r="H341" s="21" t="n"/>
      <c r="I341" s="21" t="n"/>
      <c r="J341" s="17">
        <f>IF($G341="","",IFERROR(INDEX(NomsEmployes,MATCH($G341,MatriculesEmployes,0)),"MATRICULE INCONNU"))</f>
        <v/>
      </c>
      <c r="K341" s="33">
        <f>IF(OR($D341="",$F341=""),"",IFERROR(IF(INDEX(RUNS!$L$6:$S$1005,MATCH($D341,RUNS!$A$6:$A$1005,0),MATCH("ACTIVITÉ "&amp;$F341,RUNS!$L$5:$S$5,0))="","",INDEX(RUNS!$L$6:$S$1005,MATCH($D341,RUNS!$A$6:$A$1005,0),MATCH("ACTIVITÉ "&amp;$F341,RUNS!$L$5:$S$5,0))),""))</f>
        <v/>
      </c>
      <c r="L341" s="33">
        <f>IF($D341="","",IFERROR(IF(INDEX(RUNS!$E$6:$E$1005,MATCH($D341,RUNS!$A$6:$A$1005,0))="","",INDEX(RUNS!$E$6:$E$1005,MATCH($D341,RUNS!$A$6:$A$1005,0))),""))</f>
        <v/>
      </c>
      <c r="M341" s="33">
        <f>IF($D341="","",IFERROR(IF(INDEX(RUNS!$F$6:$F$1005,MATCH($D341,RUNS!$A$6:$A$1005,0))="","",INDEX(RUNS!$F$6:$F$1005,MATCH($D341,RUNS!$A$6:$A$1005,0))),""))</f>
        <v/>
      </c>
      <c r="N341" s="33">
        <f>IF($D341="","",IFERROR(IF(INDEX(RUNS!$G$6:$G$1005,MATCH($D341,RUNS!$A$6:$A$1005,0))="","",INDEX(RUNS!$G$6:$G$1005,MATCH($D341,RUNS!$A$6:$A$1005,0))),""))</f>
        <v/>
      </c>
      <c r="O341" s="33">
        <f>IF($D341="","",IFERROR(IF(INDEX(RUNS!$H$6:$H$1005,MATCH($D341,RUNS!$A$6:$A$1005,0))="","",INDEX(RUNS!$H$6:$H$1005,MATCH($D341,RUNS!$A$6:$A$1005,0))),""))</f>
        <v/>
      </c>
      <c r="P341" s="33">
        <f>IF($D341="","",IFERROR(IF(INDEX(RUNS!$J$6:$J$1005,MATCH($D341,RUNS!$A$6:$A$1005,0))="","",INDEX(RUNS!$J$6:$J$1005,MATCH($D341,RUNS!$A$6:$A$1005,0))),""))</f>
        <v/>
      </c>
      <c r="Q341" s="33">
        <f>IF($D341="","",IFERROR(IF(INDEX(RUNS!$K$6:$K$1005,MATCH($D341,RUNS!$A$6:$A$1005,0))="","",INDEX(RUNS!$K$6:$K$1005,MATCH($D341,RUNS!$A$6:$A$1005,0))),""))</f>
        <v/>
      </c>
      <c r="R341" s="34">
        <f>IF(OR($L341="",$K341=""),"",IFERROR(IF(INDEX(PARAMETRES!$H$43:$H$342,MATCH($L341&amp;"|"&amp;$M341&amp;"|"&amp;$N341&amp;"|"&amp;$O341&amp;"|"&amp;$P341&amp;"|"&amp;$Q341&amp;"|"&amp;$K341,PARAMETRES!$J$43:$J$342,0))="","",INDEX(PARAMETRES!$H$43:$H$342,MATCH($L341&amp;"|"&amp;$M341&amp;"|"&amp;$N341&amp;"|"&amp;$O341&amp;"|"&amp;$P341&amp;"|"&amp;$Q341&amp;"|"&amp;$K341,PARAMETRES!$J$43:$J$342,0))),""))</f>
        <v/>
      </c>
      <c r="S341" s="35">
        <f>IF(OR($G341="",$X341&lt;&gt;"VALIDE"),"",IFERROR(LOOKUP(2,1/(($B$3:$B340=$B341)*($G$3:$G340=$G341)*($X$3:$X340="VALIDE")),$C$3:$C340),""))</f>
        <v/>
      </c>
      <c r="T341" s="36">
        <f>IF(OR($C341="",$S341=""),"",ROUND(($C341-$S341+IF($C341&lt;$S341,1,0))*1440,0))</f>
        <v/>
      </c>
      <c r="U341" s="22">
        <f>IF(OR($H341="",$T341="",$T341&lt;=0),"",$H341*60/$T341)</f>
        <v/>
      </c>
      <c r="V341" s="37">
        <f>IF(OR($U341="",$R341="",$R341=0),"",$U341/$R341)</f>
        <v/>
      </c>
      <c r="W341" s="20">
        <f>IF($G341="","",IF($X341="CONTEXTE INCOMPLET","CONTEXTE INCOMPLET",IF($X341="DOUBLON",StatutDoublon,IF($S341="",StatutInitial,IF($R341="",StatutStandardManquant,IF($V341="","DONNEES INSUFFISANTES",IF($V341&gt;=SeuilConforme,StatutConforme,IF($V341&gt;=SeuilSurveiller,StatutSurveiller,StatutSousStandard))))))))</f>
        <v/>
      </c>
      <c r="X341" s="33">
        <f>IF($G341="","",IF(OR($D341="",$E341="",$F341=""),"CONTEXTE INCOMPLET",IF(COUNTIFS($D$3:$D340,$D341,$E$3:$E340,$E341,$F$3:$F340,$F341,$G$3:$G340,$G341)&gt;0,"DOUBLON","VALIDE")))</f>
        <v/>
      </c>
    </row>
    <row r="342" ht="15" customHeight="1">
      <c r="A342" s="12">
        <f>IF(OR($B342="",$G342=""),"",TEXT($B342,"YYYYMMDD")&amp;"-"&amp;SUBSTITUTE($E342," ","")&amp;"-"&amp;$F342&amp;"-"&amp;$G342)</f>
        <v/>
      </c>
      <c r="B342" s="15" t="n"/>
      <c r="C342" s="16" t="n"/>
      <c r="D342" s="10" t="n"/>
      <c r="E342" s="9" t="n"/>
      <c r="F342" s="9" t="n"/>
      <c r="G342" s="13" t="n"/>
      <c r="H342" s="21" t="n"/>
      <c r="I342" s="21" t="n"/>
      <c r="J342" s="17">
        <f>IF($G342="","",IFERROR(INDEX(NomsEmployes,MATCH($G342,MatriculesEmployes,0)),"MATRICULE INCONNU"))</f>
        <v/>
      </c>
      <c r="K342" s="33">
        <f>IF(OR($D342="",$F342=""),"",IFERROR(IF(INDEX(RUNS!$L$6:$S$1005,MATCH($D342,RUNS!$A$6:$A$1005,0),MATCH("ACTIVITÉ "&amp;$F342,RUNS!$L$5:$S$5,0))="","",INDEX(RUNS!$L$6:$S$1005,MATCH($D342,RUNS!$A$6:$A$1005,0),MATCH("ACTIVITÉ "&amp;$F342,RUNS!$L$5:$S$5,0))),""))</f>
        <v/>
      </c>
      <c r="L342" s="33">
        <f>IF($D342="","",IFERROR(IF(INDEX(RUNS!$E$6:$E$1005,MATCH($D342,RUNS!$A$6:$A$1005,0))="","",INDEX(RUNS!$E$6:$E$1005,MATCH($D342,RUNS!$A$6:$A$1005,0))),""))</f>
        <v/>
      </c>
      <c r="M342" s="33">
        <f>IF($D342="","",IFERROR(IF(INDEX(RUNS!$F$6:$F$1005,MATCH($D342,RUNS!$A$6:$A$1005,0))="","",INDEX(RUNS!$F$6:$F$1005,MATCH($D342,RUNS!$A$6:$A$1005,0))),""))</f>
        <v/>
      </c>
      <c r="N342" s="33">
        <f>IF($D342="","",IFERROR(IF(INDEX(RUNS!$G$6:$G$1005,MATCH($D342,RUNS!$A$6:$A$1005,0))="","",INDEX(RUNS!$G$6:$G$1005,MATCH($D342,RUNS!$A$6:$A$1005,0))),""))</f>
        <v/>
      </c>
      <c r="O342" s="33">
        <f>IF($D342="","",IFERROR(IF(INDEX(RUNS!$H$6:$H$1005,MATCH($D342,RUNS!$A$6:$A$1005,0))="","",INDEX(RUNS!$H$6:$H$1005,MATCH($D342,RUNS!$A$6:$A$1005,0))),""))</f>
        <v/>
      </c>
      <c r="P342" s="33">
        <f>IF($D342="","",IFERROR(IF(INDEX(RUNS!$J$6:$J$1005,MATCH($D342,RUNS!$A$6:$A$1005,0))="","",INDEX(RUNS!$J$6:$J$1005,MATCH($D342,RUNS!$A$6:$A$1005,0))),""))</f>
        <v/>
      </c>
      <c r="Q342" s="33">
        <f>IF($D342="","",IFERROR(IF(INDEX(RUNS!$K$6:$K$1005,MATCH($D342,RUNS!$A$6:$A$1005,0))="","",INDEX(RUNS!$K$6:$K$1005,MATCH($D342,RUNS!$A$6:$A$1005,0))),""))</f>
        <v/>
      </c>
      <c r="R342" s="34">
        <f>IF(OR($L342="",$K342=""),"",IFERROR(IF(INDEX(PARAMETRES!$H$43:$H$342,MATCH($L342&amp;"|"&amp;$M342&amp;"|"&amp;$N342&amp;"|"&amp;$O342&amp;"|"&amp;$P342&amp;"|"&amp;$Q342&amp;"|"&amp;$K342,PARAMETRES!$J$43:$J$342,0))="","",INDEX(PARAMETRES!$H$43:$H$342,MATCH($L342&amp;"|"&amp;$M342&amp;"|"&amp;$N342&amp;"|"&amp;$O342&amp;"|"&amp;$P342&amp;"|"&amp;$Q342&amp;"|"&amp;$K342,PARAMETRES!$J$43:$J$342,0))),""))</f>
        <v/>
      </c>
      <c r="S342" s="35">
        <f>IF(OR($G342="",$X342&lt;&gt;"VALIDE"),"",IFERROR(LOOKUP(2,1/(($B$3:$B341=$B342)*($G$3:$G341=$G342)*($X$3:$X341="VALIDE")),$C$3:$C341),""))</f>
        <v/>
      </c>
      <c r="T342" s="36">
        <f>IF(OR($C342="",$S342=""),"",ROUND(($C342-$S342+IF($C342&lt;$S342,1,0))*1440,0))</f>
        <v/>
      </c>
      <c r="U342" s="22">
        <f>IF(OR($H342="",$T342="",$T342&lt;=0),"",$H342*60/$T342)</f>
        <v/>
      </c>
      <c r="V342" s="37">
        <f>IF(OR($U342="",$R342="",$R342=0),"",$U342/$R342)</f>
        <v/>
      </c>
      <c r="W342" s="20">
        <f>IF($G342="","",IF($X342="CONTEXTE INCOMPLET","CONTEXTE INCOMPLET",IF($X342="DOUBLON",StatutDoublon,IF($S342="",StatutInitial,IF($R342="",StatutStandardManquant,IF($V342="","DONNEES INSUFFISANTES",IF($V342&gt;=SeuilConforme,StatutConforme,IF($V342&gt;=SeuilSurveiller,StatutSurveiller,StatutSousStandard))))))))</f>
        <v/>
      </c>
      <c r="X342" s="33">
        <f>IF($G342="","",IF(OR($D342="",$E342="",$F342=""),"CONTEXTE INCOMPLET",IF(COUNTIFS($D$3:$D341,$D342,$E$3:$E341,$E342,$F$3:$F341,$F342,$G$3:$G341,$G342)&gt;0,"DOUBLON","VALIDE")))</f>
        <v/>
      </c>
    </row>
    <row r="343" ht="15" customHeight="1">
      <c r="A343" s="12">
        <f>IF(OR($B343="",$G343=""),"",TEXT($B343,"YYYYMMDD")&amp;"-"&amp;SUBSTITUTE($E343," ","")&amp;"-"&amp;$F343&amp;"-"&amp;$G343)</f>
        <v/>
      </c>
      <c r="B343" s="15" t="n"/>
      <c r="C343" s="16" t="n"/>
      <c r="D343" s="10" t="n"/>
      <c r="E343" s="9" t="n"/>
      <c r="F343" s="9" t="n"/>
      <c r="G343" s="13" t="n"/>
      <c r="H343" s="21" t="n"/>
      <c r="I343" s="21" t="n"/>
      <c r="J343" s="17">
        <f>IF($G343="","",IFERROR(INDEX(NomsEmployes,MATCH($G343,MatriculesEmployes,0)),"MATRICULE INCONNU"))</f>
        <v/>
      </c>
      <c r="K343" s="33">
        <f>IF(OR($D343="",$F343=""),"",IFERROR(IF(INDEX(RUNS!$L$6:$S$1005,MATCH($D343,RUNS!$A$6:$A$1005,0),MATCH("ACTIVITÉ "&amp;$F343,RUNS!$L$5:$S$5,0))="","",INDEX(RUNS!$L$6:$S$1005,MATCH($D343,RUNS!$A$6:$A$1005,0),MATCH("ACTIVITÉ "&amp;$F343,RUNS!$L$5:$S$5,0))),""))</f>
        <v/>
      </c>
      <c r="L343" s="33">
        <f>IF($D343="","",IFERROR(IF(INDEX(RUNS!$E$6:$E$1005,MATCH($D343,RUNS!$A$6:$A$1005,0))="","",INDEX(RUNS!$E$6:$E$1005,MATCH($D343,RUNS!$A$6:$A$1005,0))),""))</f>
        <v/>
      </c>
      <c r="M343" s="33">
        <f>IF($D343="","",IFERROR(IF(INDEX(RUNS!$F$6:$F$1005,MATCH($D343,RUNS!$A$6:$A$1005,0))="","",INDEX(RUNS!$F$6:$F$1005,MATCH($D343,RUNS!$A$6:$A$1005,0))),""))</f>
        <v/>
      </c>
      <c r="N343" s="33">
        <f>IF($D343="","",IFERROR(IF(INDEX(RUNS!$G$6:$G$1005,MATCH($D343,RUNS!$A$6:$A$1005,0))="","",INDEX(RUNS!$G$6:$G$1005,MATCH($D343,RUNS!$A$6:$A$1005,0))),""))</f>
        <v/>
      </c>
      <c r="O343" s="33">
        <f>IF($D343="","",IFERROR(IF(INDEX(RUNS!$H$6:$H$1005,MATCH($D343,RUNS!$A$6:$A$1005,0))="","",INDEX(RUNS!$H$6:$H$1005,MATCH($D343,RUNS!$A$6:$A$1005,0))),""))</f>
        <v/>
      </c>
      <c r="P343" s="33">
        <f>IF($D343="","",IFERROR(IF(INDEX(RUNS!$J$6:$J$1005,MATCH($D343,RUNS!$A$6:$A$1005,0))="","",INDEX(RUNS!$J$6:$J$1005,MATCH($D343,RUNS!$A$6:$A$1005,0))),""))</f>
        <v/>
      </c>
      <c r="Q343" s="33">
        <f>IF($D343="","",IFERROR(IF(INDEX(RUNS!$K$6:$K$1005,MATCH($D343,RUNS!$A$6:$A$1005,0))="","",INDEX(RUNS!$K$6:$K$1005,MATCH($D343,RUNS!$A$6:$A$1005,0))),""))</f>
        <v/>
      </c>
      <c r="R343" s="34">
        <f>IF(OR($L343="",$K343=""),"",IFERROR(IF(INDEX(PARAMETRES!$H$43:$H$342,MATCH($L343&amp;"|"&amp;$M343&amp;"|"&amp;$N343&amp;"|"&amp;$O343&amp;"|"&amp;$P343&amp;"|"&amp;$Q343&amp;"|"&amp;$K343,PARAMETRES!$J$43:$J$342,0))="","",INDEX(PARAMETRES!$H$43:$H$342,MATCH($L343&amp;"|"&amp;$M343&amp;"|"&amp;$N343&amp;"|"&amp;$O343&amp;"|"&amp;$P343&amp;"|"&amp;$Q343&amp;"|"&amp;$K343,PARAMETRES!$J$43:$J$342,0))),""))</f>
        <v/>
      </c>
      <c r="S343" s="35">
        <f>IF(OR($G343="",$X343&lt;&gt;"VALIDE"),"",IFERROR(LOOKUP(2,1/(($B$3:$B342=$B343)*($G$3:$G342=$G343)*($X$3:$X342="VALIDE")),$C$3:$C342),""))</f>
        <v/>
      </c>
      <c r="T343" s="36">
        <f>IF(OR($C343="",$S343=""),"",ROUND(($C343-$S343+IF($C343&lt;$S343,1,0))*1440,0))</f>
        <v/>
      </c>
      <c r="U343" s="22">
        <f>IF(OR($H343="",$T343="",$T343&lt;=0),"",$H343*60/$T343)</f>
        <v/>
      </c>
      <c r="V343" s="37">
        <f>IF(OR($U343="",$R343="",$R343=0),"",$U343/$R343)</f>
        <v/>
      </c>
      <c r="W343" s="20">
        <f>IF($G343="","",IF($X343="CONTEXTE INCOMPLET","CONTEXTE INCOMPLET",IF($X343="DOUBLON",StatutDoublon,IF($S343="",StatutInitial,IF($R343="",StatutStandardManquant,IF($V343="","DONNEES INSUFFISANTES",IF($V343&gt;=SeuilConforme,StatutConforme,IF($V343&gt;=SeuilSurveiller,StatutSurveiller,StatutSousStandard))))))))</f>
        <v/>
      </c>
      <c r="X343" s="33">
        <f>IF($G343="","",IF(OR($D343="",$E343="",$F343=""),"CONTEXTE INCOMPLET",IF(COUNTIFS($D$3:$D342,$D343,$E$3:$E342,$E343,$F$3:$F342,$F343,$G$3:$G342,$G343)&gt;0,"DOUBLON","VALIDE")))</f>
        <v/>
      </c>
    </row>
    <row r="344" ht="15" customHeight="1">
      <c r="A344" s="12">
        <f>IF(OR($B344="",$G344=""),"",TEXT($B344,"YYYYMMDD")&amp;"-"&amp;SUBSTITUTE($E344," ","")&amp;"-"&amp;$F344&amp;"-"&amp;$G344)</f>
        <v/>
      </c>
      <c r="B344" s="15" t="n"/>
      <c r="C344" s="16" t="n"/>
      <c r="D344" s="10" t="n"/>
      <c r="E344" s="9" t="n"/>
      <c r="F344" s="9" t="n"/>
      <c r="G344" s="13" t="n"/>
      <c r="H344" s="21" t="n"/>
      <c r="I344" s="21" t="n"/>
      <c r="J344" s="17">
        <f>IF($G344="","",IFERROR(INDEX(NomsEmployes,MATCH($G344,MatriculesEmployes,0)),"MATRICULE INCONNU"))</f>
        <v/>
      </c>
      <c r="K344" s="33">
        <f>IF(OR($D344="",$F344=""),"",IFERROR(IF(INDEX(RUNS!$L$6:$S$1005,MATCH($D344,RUNS!$A$6:$A$1005,0),MATCH("ACTIVITÉ "&amp;$F344,RUNS!$L$5:$S$5,0))="","",INDEX(RUNS!$L$6:$S$1005,MATCH($D344,RUNS!$A$6:$A$1005,0),MATCH("ACTIVITÉ "&amp;$F344,RUNS!$L$5:$S$5,0))),""))</f>
        <v/>
      </c>
      <c r="L344" s="33">
        <f>IF($D344="","",IFERROR(IF(INDEX(RUNS!$E$6:$E$1005,MATCH($D344,RUNS!$A$6:$A$1005,0))="","",INDEX(RUNS!$E$6:$E$1005,MATCH($D344,RUNS!$A$6:$A$1005,0))),""))</f>
        <v/>
      </c>
      <c r="M344" s="33">
        <f>IF($D344="","",IFERROR(IF(INDEX(RUNS!$F$6:$F$1005,MATCH($D344,RUNS!$A$6:$A$1005,0))="","",INDEX(RUNS!$F$6:$F$1005,MATCH($D344,RUNS!$A$6:$A$1005,0))),""))</f>
        <v/>
      </c>
      <c r="N344" s="33">
        <f>IF($D344="","",IFERROR(IF(INDEX(RUNS!$G$6:$G$1005,MATCH($D344,RUNS!$A$6:$A$1005,0))="","",INDEX(RUNS!$G$6:$G$1005,MATCH($D344,RUNS!$A$6:$A$1005,0))),""))</f>
        <v/>
      </c>
      <c r="O344" s="33">
        <f>IF($D344="","",IFERROR(IF(INDEX(RUNS!$H$6:$H$1005,MATCH($D344,RUNS!$A$6:$A$1005,0))="","",INDEX(RUNS!$H$6:$H$1005,MATCH($D344,RUNS!$A$6:$A$1005,0))),""))</f>
        <v/>
      </c>
      <c r="P344" s="33">
        <f>IF($D344="","",IFERROR(IF(INDEX(RUNS!$J$6:$J$1005,MATCH($D344,RUNS!$A$6:$A$1005,0))="","",INDEX(RUNS!$J$6:$J$1005,MATCH($D344,RUNS!$A$6:$A$1005,0))),""))</f>
        <v/>
      </c>
      <c r="Q344" s="33">
        <f>IF($D344="","",IFERROR(IF(INDEX(RUNS!$K$6:$K$1005,MATCH($D344,RUNS!$A$6:$A$1005,0))="","",INDEX(RUNS!$K$6:$K$1005,MATCH($D344,RUNS!$A$6:$A$1005,0))),""))</f>
        <v/>
      </c>
      <c r="R344" s="34">
        <f>IF(OR($L344="",$K344=""),"",IFERROR(IF(INDEX(PARAMETRES!$H$43:$H$342,MATCH($L344&amp;"|"&amp;$M344&amp;"|"&amp;$N344&amp;"|"&amp;$O344&amp;"|"&amp;$P344&amp;"|"&amp;$Q344&amp;"|"&amp;$K344,PARAMETRES!$J$43:$J$342,0))="","",INDEX(PARAMETRES!$H$43:$H$342,MATCH($L344&amp;"|"&amp;$M344&amp;"|"&amp;$N344&amp;"|"&amp;$O344&amp;"|"&amp;$P344&amp;"|"&amp;$Q344&amp;"|"&amp;$K344,PARAMETRES!$J$43:$J$342,0))),""))</f>
        <v/>
      </c>
      <c r="S344" s="35">
        <f>IF(OR($G344="",$X344&lt;&gt;"VALIDE"),"",IFERROR(LOOKUP(2,1/(($B$3:$B343=$B344)*($G$3:$G343=$G344)*($X$3:$X343="VALIDE")),$C$3:$C343),""))</f>
        <v/>
      </c>
      <c r="T344" s="36">
        <f>IF(OR($C344="",$S344=""),"",ROUND(($C344-$S344+IF($C344&lt;$S344,1,0))*1440,0))</f>
        <v/>
      </c>
      <c r="U344" s="22">
        <f>IF(OR($H344="",$T344="",$T344&lt;=0),"",$H344*60/$T344)</f>
        <v/>
      </c>
      <c r="V344" s="37">
        <f>IF(OR($U344="",$R344="",$R344=0),"",$U344/$R344)</f>
        <v/>
      </c>
      <c r="W344" s="20">
        <f>IF($G344="","",IF($X344="CONTEXTE INCOMPLET","CONTEXTE INCOMPLET",IF($X344="DOUBLON",StatutDoublon,IF($S344="",StatutInitial,IF($R344="",StatutStandardManquant,IF($V344="","DONNEES INSUFFISANTES",IF($V344&gt;=SeuilConforme,StatutConforme,IF($V344&gt;=SeuilSurveiller,StatutSurveiller,StatutSousStandard))))))))</f>
        <v/>
      </c>
      <c r="X344" s="33">
        <f>IF($G344="","",IF(OR($D344="",$E344="",$F344=""),"CONTEXTE INCOMPLET",IF(COUNTIFS($D$3:$D343,$D344,$E$3:$E343,$E344,$F$3:$F343,$F344,$G$3:$G343,$G344)&gt;0,"DOUBLON","VALIDE")))</f>
        <v/>
      </c>
    </row>
    <row r="345" ht="15" customHeight="1">
      <c r="A345" s="12">
        <f>IF(OR($B345="",$G345=""),"",TEXT($B345,"YYYYMMDD")&amp;"-"&amp;SUBSTITUTE($E345," ","")&amp;"-"&amp;$F345&amp;"-"&amp;$G345)</f>
        <v/>
      </c>
      <c r="B345" s="15" t="n"/>
      <c r="C345" s="16" t="n"/>
      <c r="D345" s="10" t="n"/>
      <c r="E345" s="9" t="n"/>
      <c r="F345" s="9" t="n"/>
      <c r="G345" s="13" t="n"/>
      <c r="H345" s="21" t="n"/>
      <c r="I345" s="21" t="n"/>
      <c r="J345" s="17">
        <f>IF($G345="","",IFERROR(INDEX(NomsEmployes,MATCH($G345,MatriculesEmployes,0)),"MATRICULE INCONNU"))</f>
        <v/>
      </c>
      <c r="K345" s="33">
        <f>IF(OR($D345="",$F345=""),"",IFERROR(IF(INDEX(RUNS!$L$6:$S$1005,MATCH($D345,RUNS!$A$6:$A$1005,0),MATCH("ACTIVITÉ "&amp;$F345,RUNS!$L$5:$S$5,0))="","",INDEX(RUNS!$L$6:$S$1005,MATCH($D345,RUNS!$A$6:$A$1005,0),MATCH("ACTIVITÉ "&amp;$F345,RUNS!$L$5:$S$5,0))),""))</f>
        <v/>
      </c>
      <c r="L345" s="33">
        <f>IF($D345="","",IFERROR(IF(INDEX(RUNS!$E$6:$E$1005,MATCH($D345,RUNS!$A$6:$A$1005,0))="","",INDEX(RUNS!$E$6:$E$1005,MATCH($D345,RUNS!$A$6:$A$1005,0))),""))</f>
        <v/>
      </c>
      <c r="M345" s="33">
        <f>IF($D345="","",IFERROR(IF(INDEX(RUNS!$F$6:$F$1005,MATCH($D345,RUNS!$A$6:$A$1005,0))="","",INDEX(RUNS!$F$6:$F$1005,MATCH($D345,RUNS!$A$6:$A$1005,0))),""))</f>
        <v/>
      </c>
      <c r="N345" s="33">
        <f>IF($D345="","",IFERROR(IF(INDEX(RUNS!$G$6:$G$1005,MATCH($D345,RUNS!$A$6:$A$1005,0))="","",INDEX(RUNS!$G$6:$G$1005,MATCH($D345,RUNS!$A$6:$A$1005,0))),""))</f>
        <v/>
      </c>
      <c r="O345" s="33">
        <f>IF($D345="","",IFERROR(IF(INDEX(RUNS!$H$6:$H$1005,MATCH($D345,RUNS!$A$6:$A$1005,0))="","",INDEX(RUNS!$H$6:$H$1005,MATCH($D345,RUNS!$A$6:$A$1005,0))),""))</f>
        <v/>
      </c>
      <c r="P345" s="33">
        <f>IF($D345="","",IFERROR(IF(INDEX(RUNS!$J$6:$J$1005,MATCH($D345,RUNS!$A$6:$A$1005,0))="","",INDEX(RUNS!$J$6:$J$1005,MATCH($D345,RUNS!$A$6:$A$1005,0))),""))</f>
        <v/>
      </c>
      <c r="Q345" s="33">
        <f>IF($D345="","",IFERROR(IF(INDEX(RUNS!$K$6:$K$1005,MATCH($D345,RUNS!$A$6:$A$1005,0))="","",INDEX(RUNS!$K$6:$K$1005,MATCH($D345,RUNS!$A$6:$A$1005,0))),""))</f>
        <v/>
      </c>
      <c r="R345" s="34">
        <f>IF(OR($L345="",$K345=""),"",IFERROR(IF(INDEX(PARAMETRES!$H$43:$H$342,MATCH($L345&amp;"|"&amp;$M345&amp;"|"&amp;$N345&amp;"|"&amp;$O345&amp;"|"&amp;$P345&amp;"|"&amp;$Q345&amp;"|"&amp;$K345,PARAMETRES!$J$43:$J$342,0))="","",INDEX(PARAMETRES!$H$43:$H$342,MATCH($L345&amp;"|"&amp;$M345&amp;"|"&amp;$N345&amp;"|"&amp;$O345&amp;"|"&amp;$P345&amp;"|"&amp;$Q345&amp;"|"&amp;$K345,PARAMETRES!$J$43:$J$342,0))),""))</f>
        <v/>
      </c>
      <c r="S345" s="35">
        <f>IF(OR($G345="",$X345&lt;&gt;"VALIDE"),"",IFERROR(LOOKUP(2,1/(($B$3:$B344=$B345)*($G$3:$G344=$G345)*($X$3:$X344="VALIDE")),$C$3:$C344),""))</f>
        <v/>
      </c>
      <c r="T345" s="36">
        <f>IF(OR($C345="",$S345=""),"",ROUND(($C345-$S345+IF($C345&lt;$S345,1,0))*1440,0))</f>
        <v/>
      </c>
      <c r="U345" s="22">
        <f>IF(OR($H345="",$T345="",$T345&lt;=0),"",$H345*60/$T345)</f>
        <v/>
      </c>
      <c r="V345" s="37">
        <f>IF(OR($U345="",$R345="",$R345=0),"",$U345/$R345)</f>
        <v/>
      </c>
      <c r="W345" s="20">
        <f>IF($G345="","",IF($X345="CONTEXTE INCOMPLET","CONTEXTE INCOMPLET",IF($X345="DOUBLON",StatutDoublon,IF($S345="",StatutInitial,IF($R345="",StatutStandardManquant,IF($V345="","DONNEES INSUFFISANTES",IF($V345&gt;=SeuilConforme,StatutConforme,IF($V345&gt;=SeuilSurveiller,StatutSurveiller,StatutSousStandard))))))))</f>
        <v/>
      </c>
      <c r="X345" s="33">
        <f>IF($G345="","",IF(OR($D345="",$E345="",$F345=""),"CONTEXTE INCOMPLET",IF(COUNTIFS($D$3:$D344,$D345,$E$3:$E344,$E345,$F$3:$F344,$F345,$G$3:$G344,$G345)&gt;0,"DOUBLON","VALIDE")))</f>
        <v/>
      </c>
    </row>
    <row r="346" ht="15" customHeight="1">
      <c r="A346" s="12">
        <f>IF(OR($B346="",$G346=""),"",TEXT($B346,"YYYYMMDD")&amp;"-"&amp;SUBSTITUTE($E346," ","")&amp;"-"&amp;$F346&amp;"-"&amp;$G346)</f>
        <v/>
      </c>
      <c r="B346" s="15" t="n"/>
      <c r="C346" s="16" t="n"/>
      <c r="D346" s="10" t="n"/>
      <c r="E346" s="9" t="n"/>
      <c r="F346" s="9" t="n"/>
      <c r="G346" s="13" t="n"/>
      <c r="H346" s="21" t="n"/>
      <c r="I346" s="21" t="n"/>
      <c r="J346" s="17">
        <f>IF($G346="","",IFERROR(INDEX(NomsEmployes,MATCH($G346,MatriculesEmployes,0)),"MATRICULE INCONNU"))</f>
        <v/>
      </c>
      <c r="K346" s="33">
        <f>IF(OR($D346="",$F346=""),"",IFERROR(IF(INDEX(RUNS!$L$6:$S$1005,MATCH($D346,RUNS!$A$6:$A$1005,0),MATCH("ACTIVITÉ "&amp;$F346,RUNS!$L$5:$S$5,0))="","",INDEX(RUNS!$L$6:$S$1005,MATCH($D346,RUNS!$A$6:$A$1005,0),MATCH("ACTIVITÉ "&amp;$F346,RUNS!$L$5:$S$5,0))),""))</f>
        <v/>
      </c>
      <c r="L346" s="33">
        <f>IF($D346="","",IFERROR(IF(INDEX(RUNS!$E$6:$E$1005,MATCH($D346,RUNS!$A$6:$A$1005,0))="","",INDEX(RUNS!$E$6:$E$1005,MATCH($D346,RUNS!$A$6:$A$1005,0))),""))</f>
        <v/>
      </c>
      <c r="M346" s="33">
        <f>IF($D346="","",IFERROR(IF(INDEX(RUNS!$F$6:$F$1005,MATCH($D346,RUNS!$A$6:$A$1005,0))="","",INDEX(RUNS!$F$6:$F$1005,MATCH($D346,RUNS!$A$6:$A$1005,0))),""))</f>
        <v/>
      </c>
      <c r="N346" s="33">
        <f>IF($D346="","",IFERROR(IF(INDEX(RUNS!$G$6:$G$1005,MATCH($D346,RUNS!$A$6:$A$1005,0))="","",INDEX(RUNS!$G$6:$G$1005,MATCH($D346,RUNS!$A$6:$A$1005,0))),""))</f>
        <v/>
      </c>
      <c r="O346" s="33">
        <f>IF($D346="","",IFERROR(IF(INDEX(RUNS!$H$6:$H$1005,MATCH($D346,RUNS!$A$6:$A$1005,0))="","",INDEX(RUNS!$H$6:$H$1005,MATCH($D346,RUNS!$A$6:$A$1005,0))),""))</f>
        <v/>
      </c>
      <c r="P346" s="33">
        <f>IF($D346="","",IFERROR(IF(INDEX(RUNS!$J$6:$J$1005,MATCH($D346,RUNS!$A$6:$A$1005,0))="","",INDEX(RUNS!$J$6:$J$1005,MATCH($D346,RUNS!$A$6:$A$1005,0))),""))</f>
        <v/>
      </c>
      <c r="Q346" s="33">
        <f>IF($D346="","",IFERROR(IF(INDEX(RUNS!$K$6:$K$1005,MATCH($D346,RUNS!$A$6:$A$1005,0))="","",INDEX(RUNS!$K$6:$K$1005,MATCH($D346,RUNS!$A$6:$A$1005,0))),""))</f>
        <v/>
      </c>
      <c r="R346" s="34">
        <f>IF(OR($L346="",$K346=""),"",IFERROR(IF(INDEX(PARAMETRES!$H$43:$H$342,MATCH($L346&amp;"|"&amp;$M346&amp;"|"&amp;$N346&amp;"|"&amp;$O346&amp;"|"&amp;$P346&amp;"|"&amp;$Q346&amp;"|"&amp;$K346,PARAMETRES!$J$43:$J$342,0))="","",INDEX(PARAMETRES!$H$43:$H$342,MATCH($L346&amp;"|"&amp;$M346&amp;"|"&amp;$N346&amp;"|"&amp;$O346&amp;"|"&amp;$P346&amp;"|"&amp;$Q346&amp;"|"&amp;$K346,PARAMETRES!$J$43:$J$342,0))),""))</f>
        <v/>
      </c>
      <c r="S346" s="35">
        <f>IF(OR($G346="",$X346&lt;&gt;"VALIDE"),"",IFERROR(LOOKUP(2,1/(($B$3:$B345=$B346)*($G$3:$G345=$G346)*($X$3:$X345="VALIDE")),$C$3:$C345),""))</f>
        <v/>
      </c>
      <c r="T346" s="36">
        <f>IF(OR($C346="",$S346=""),"",ROUND(($C346-$S346+IF($C346&lt;$S346,1,0))*1440,0))</f>
        <v/>
      </c>
      <c r="U346" s="22">
        <f>IF(OR($H346="",$T346="",$T346&lt;=0),"",$H346*60/$T346)</f>
        <v/>
      </c>
      <c r="V346" s="37">
        <f>IF(OR($U346="",$R346="",$R346=0),"",$U346/$R346)</f>
        <v/>
      </c>
      <c r="W346" s="20">
        <f>IF($G346="","",IF($X346="CONTEXTE INCOMPLET","CONTEXTE INCOMPLET",IF($X346="DOUBLON",StatutDoublon,IF($S346="",StatutInitial,IF($R346="",StatutStandardManquant,IF($V346="","DONNEES INSUFFISANTES",IF($V346&gt;=SeuilConforme,StatutConforme,IF($V346&gt;=SeuilSurveiller,StatutSurveiller,StatutSousStandard))))))))</f>
        <v/>
      </c>
      <c r="X346" s="33">
        <f>IF($G346="","",IF(OR($D346="",$E346="",$F346=""),"CONTEXTE INCOMPLET",IF(COUNTIFS($D$3:$D345,$D346,$E$3:$E345,$E346,$F$3:$F345,$F346,$G$3:$G345,$G346)&gt;0,"DOUBLON","VALIDE")))</f>
        <v/>
      </c>
    </row>
    <row r="347" ht="15" customHeight="1">
      <c r="A347" s="12">
        <f>IF(OR($B347="",$G347=""),"",TEXT($B347,"YYYYMMDD")&amp;"-"&amp;SUBSTITUTE($E347," ","")&amp;"-"&amp;$F347&amp;"-"&amp;$G347)</f>
        <v/>
      </c>
      <c r="B347" s="15" t="n"/>
      <c r="C347" s="16" t="n"/>
      <c r="D347" s="10" t="n"/>
      <c r="E347" s="9" t="n"/>
      <c r="F347" s="9" t="n"/>
      <c r="G347" s="13" t="n"/>
      <c r="H347" s="21" t="n"/>
      <c r="I347" s="21" t="n"/>
      <c r="J347" s="17">
        <f>IF($G347="","",IFERROR(INDEX(NomsEmployes,MATCH($G347,MatriculesEmployes,0)),"MATRICULE INCONNU"))</f>
        <v/>
      </c>
      <c r="K347" s="33">
        <f>IF(OR($D347="",$F347=""),"",IFERROR(IF(INDEX(RUNS!$L$6:$S$1005,MATCH($D347,RUNS!$A$6:$A$1005,0),MATCH("ACTIVITÉ "&amp;$F347,RUNS!$L$5:$S$5,0))="","",INDEX(RUNS!$L$6:$S$1005,MATCH($D347,RUNS!$A$6:$A$1005,0),MATCH("ACTIVITÉ "&amp;$F347,RUNS!$L$5:$S$5,0))),""))</f>
        <v/>
      </c>
      <c r="L347" s="33">
        <f>IF($D347="","",IFERROR(IF(INDEX(RUNS!$E$6:$E$1005,MATCH($D347,RUNS!$A$6:$A$1005,0))="","",INDEX(RUNS!$E$6:$E$1005,MATCH($D347,RUNS!$A$6:$A$1005,0))),""))</f>
        <v/>
      </c>
      <c r="M347" s="33">
        <f>IF($D347="","",IFERROR(IF(INDEX(RUNS!$F$6:$F$1005,MATCH($D347,RUNS!$A$6:$A$1005,0))="","",INDEX(RUNS!$F$6:$F$1005,MATCH($D347,RUNS!$A$6:$A$1005,0))),""))</f>
        <v/>
      </c>
      <c r="N347" s="33">
        <f>IF($D347="","",IFERROR(IF(INDEX(RUNS!$G$6:$G$1005,MATCH($D347,RUNS!$A$6:$A$1005,0))="","",INDEX(RUNS!$G$6:$G$1005,MATCH($D347,RUNS!$A$6:$A$1005,0))),""))</f>
        <v/>
      </c>
      <c r="O347" s="33">
        <f>IF($D347="","",IFERROR(IF(INDEX(RUNS!$H$6:$H$1005,MATCH($D347,RUNS!$A$6:$A$1005,0))="","",INDEX(RUNS!$H$6:$H$1005,MATCH($D347,RUNS!$A$6:$A$1005,0))),""))</f>
        <v/>
      </c>
      <c r="P347" s="33">
        <f>IF($D347="","",IFERROR(IF(INDEX(RUNS!$J$6:$J$1005,MATCH($D347,RUNS!$A$6:$A$1005,0))="","",INDEX(RUNS!$J$6:$J$1005,MATCH($D347,RUNS!$A$6:$A$1005,0))),""))</f>
        <v/>
      </c>
      <c r="Q347" s="33">
        <f>IF($D347="","",IFERROR(IF(INDEX(RUNS!$K$6:$K$1005,MATCH($D347,RUNS!$A$6:$A$1005,0))="","",INDEX(RUNS!$K$6:$K$1005,MATCH($D347,RUNS!$A$6:$A$1005,0))),""))</f>
        <v/>
      </c>
      <c r="R347" s="34">
        <f>IF(OR($L347="",$K347=""),"",IFERROR(IF(INDEX(PARAMETRES!$H$43:$H$342,MATCH($L347&amp;"|"&amp;$M347&amp;"|"&amp;$N347&amp;"|"&amp;$O347&amp;"|"&amp;$P347&amp;"|"&amp;$Q347&amp;"|"&amp;$K347,PARAMETRES!$J$43:$J$342,0))="","",INDEX(PARAMETRES!$H$43:$H$342,MATCH($L347&amp;"|"&amp;$M347&amp;"|"&amp;$N347&amp;"|"&amp;$O347&amp;"|"&amp;$P347&amp;"|"&amp;$Q347&amp;"|"&amp;$K347,PARAMETRES!$J$43:$J$342,0))),""))</f>
        <v/>
      </c>
      <c r="S347" s="35">
        <f>IF(OR($G347="",$X347&lt;&gt;"VALIDE"),"",IFERROR(LOOKUP(2,1/(($B$3:$B346=$B347)*($G$3:$G346=$G347)*($X$3:$X346="VALIDE")),$C$3:$C346),""))</f>
        <v/>
      </c>
      <c r="T347" s="36">
        <f>IF(OR($C347="",$S347=""),"",ROUND(($C347-$S347+IF($C347&lt;$S347,1,0))*1440,0))</f>
        <v/>
      </c>
      <c r="U347" s="22">
        <f>IF(OR($H347="",$T347="",$T347&lt;=0),"",$H347*60/$T347)</f>
        <v/>
      </c>
      <c r="V347" s="37">
        <f>IF(OR($U347="",$R347="",$R347=0),"",$U347/$R347)</f>
        <v/>
      </c>
      <c r="W347" s="20">
        <f>IF($G347="","",IF($X347="CONTEXTE INCOMPLET","CONTEXTE INCOMPLET",IF($X347="DOUBLON",StatutDoublon,IF($S347="",StatutInitial,IF($R347="",StatutStandardManquant,IF($V347="","DONNEES INSUFFISANTES",IF($V347&gt;=SeuilConforme,StatutConforme,IF($V347&gt;=SeuilSurveiller,StatutSurveiller,StatutSousStandard))))))))</f>
        <v/>
      </c>
      <c r="X347" s="33">
        <f>IF($G347="","",IF(OR($D347="",$E347="",$F347=""),"CONTEXTE INCOMPLET",IF(COUNTIFS($D$3:$D346,$D347,$E$3:$E346,$E347,$F$3:$F346,$F347,$G$3:$G346,$G347)&gt;0,"DOUBLON","VALIDE")))</f>
        <v/>
      </c>
    </row>
    <row r="348" ht="15" customHeight="1">
      <c r="A348" s="12">
        <f>IF(OR($B348="",$G348=""),"",TEXT($B348,"YYYYMMDD")&amp;"-"&amp;SUBSTITUTE($E348," ","")&amp;"-"&amp;$F348&amp;"-"&amp;$G348)</f>
        <v/>
      </c>
      <c r="B348" s="15" t="n"/>
      <c r="C348" s="16" t="n"/>
      <c r="D348" s="10" t="n"/>
      <c r="E348" s="9" t="n"/>
      <c r="F348" s="9" t="n"/>
      <c r="G348" s="13" t="n"/>
      <c r="H348" s="21" t="n"/>
      <c r="I348" s="21" t="n"/>
      <c r="J348" s="17">
        <f>IF($G348="","",IFERROR(INDEX(NomsEmployes,MATCH($G348,MatriculesEmployes,0)),"MATRICULE INCONNU"))</f>
        <v/>
      </c>
      <c r="K348" s="33">
        <f>IF(OR($D348="",$F348=""),"",IFERROR(IF(INDEX(RUNS!$L$6:$S$1005,MATCH($D348,RUNS!$A$6:$A$1005,0),MATCH("ACTIVITÉ "&amp;$F348,RUNS!$L$5:$S$5,0))="","",INDEX(RUNS!$L$6:$S$1005,MATCH($D348,RUNS!$A$6:$A$1005,0),MATCH("ACTIVITÉ "&amp;$F348,RUNS!$L$5:$S$5,0))),""))</f>
        <v/>
      </c>
      <c r="L348" s="33">
        <f>IF($D348="","",IFERROR(IF(INDEX(RUNS!$E$6:$E$1005,MATCH($D348,RUNS!$A$6:$A$1005,0))="","",INDEX(RUNS!$E$6:$E$1005,MATCH($D348,RUNS!$A$6:$A$1005,0))),""))</f>
        <v/>
      </c>
      <c r="M348" s="33">
        <f>IF($D348="","",IFERROR(IF(INDEX(RUNS!$F$6:$F$1005,MATCH($D348,RUNS!$A$6:$A$1005,0))="","",INDEX(RUNS!$F$6:$F$1005,MATCH($D348,RUNS!$A$6:$A$1005,0))),""))</f>
        <v/>
      </c>
      <c r="N348" s="33">
        <f>IF($D348="","",IFERROR(IF(INDEX(RUNS!$G$6:$G$1005,MATCH($D348,RUNS!$A$6:$A$1005,0))="","",INDEX(RUNS!$G$6:$G$1005,MATCH($D348,RUNS!$A$6:$A$1005,0))),""))</f>
        <v/>
      </c>
      <c r="O348" s="33">
        <f>IF($D348="","",IFERROR(IF(INDEX(RUNS!$H$6:$H$1005,MATCH($D348,RUNS!$A$6:$A$1005,0))="","",INDEX(RUNS!$H$6:$H$1005,MATCH($D348,RUNS!$A$6:$A$1005,0))),""))</f>
        <v/>
      </c>
      <c r="P348" s="33">
        <f>IF($D348="","",IFERROR(IF(INDEX(RUNS!$J$6:$J$1005,MATCH($D348,RUNS!$A$6:$A$1005,0))="","",INDEX(RUNS!$J$6:$J$1005,MATCH($D348,RUNS!$A$6:$A$1005,0))),""))</f>
        <v/>
      </c>
      <c r="Q348" s="33">
        <f>IF($D348="","",IFERROR(IF(INDEX(RUNS!$K$6:$K$1005,MATCH($D348,RUNS!$A$6:$A$1005,0))="","",INDEX(RUNS!$K$6:$K$1005,MATCH($D348,RUNS!$A$6:$A$1005,0))),""))</f>
        <v/>
      </c>
      <c r="R348" s="34">
        <f>IF(OR($L348="",$K348=""),"",IFERROR(IF(INDEX(PARAMETRES!$H$43:$H$342,MATCH($L348&amp;"|"&amp;$M348&amp;"|"&amp;$N348&amp;"|"&amp;$O348&amp;"|"&amp;$P348&amp;"|"&amp;$Q348&amp;"|"&amp;$K348,PARAMETRES!$J$43:$J$342,0))="","",INDEX(PARAMETRES!$H$43:$H$342,MATCH($L348&amp;"|"&amp;$M348&amp;"|"&amp;$N348&amp;"|"&amp;$O348&amp;"|"&amp;$P348&amp;"|"&amp;$Q348&amp;"|"&amp;$K348,PARAMETRES!$J$43:$J$342,0))),""))</f>
        <v/>
      </c>
      <c r="S348" s="35">
        <f>IF(OR($G348="",$X348&lt;&gt;"VALIDE"),"",IFERROR(LOOKUP(2,1/(($B$3:$B347=$B348)*($G$3:$G347=$G348)*($X$3:$X347="VALIDE")),$C$3:$C347),""))</f>
        <v/>
      </c>
      <c r="T348" s="36">
        <f>IF(OR($C348="",$S348=""),"",ROUND(($C348-$S348+IF($C348&lt;$S348,1,0))*1440,0))</f>
        <v/>
      </c>
      <c r="U348" s="22">
        <f>IF(OR($H348="",$T348="",$T348&lt;=0),"",$H348*60/$T348)</f>
        <v/>
      </c>
      <c r="V348" s="37">
        <f>IF(OR($U348="",$R348="",$R348=0),"",$U348/$R348)</f>
        <v/>
      </c>
      <c r="W348" s="20">
        <f>IF($G348="","",IF($X348="CONTEXTE INCOMPLET","CONTEXTE INCOMPLET",IF($X348="DOUBLON",StatutDoublon,IF($S348="",StatutInitial,IF($R348="",StatutStandardManquant,IF($V348="","DONNEES INSUFFISANTES",IF($V348&gt;=SeuilConforme,StatutConforme,IF($V348&gt;=SeuilSurveiller,StatutSurveiller,StatutSousStandard))))))))</f>
        <v/>
      </c>
      <c r="X348" s="33">
        <f>IF($G348="","",IF(OR($D348="",$E348="",$F348=""),"CONTEXTE INCOMPLET",IF(COUNTIFS($D$3:$D347,$D348,$E$3:$E347,$E348,$F$3:$F347,$F348,$G$3:$G347,$G348)&gt;0,"DOUBLON","VALIDE")))</f>
        <v/>
      </c>
    </row>
    <row r="349" ht="15" customHeight="1">
      <c r="A349" s="12">
        <f>IF(OR($B349="",$G349=""),"",TEXT($B349,"YYYYMMDD")&amp;"-"&amp;SUBSTITUTE($E349," ","")&amp;"-"&amp;$F349&amp;"-"&amp;$G349)</f>
        <v/>
      </c>
      <c r="B349" s="15" t="n"/>
      <c r="C349" s="16" t="n"/>
      <c r="D349" s="10" t="n"/>
      <c r="E349" s="9" t="n"/>
      <c r="F349" s="9" t="n"/>
      <c r="G349" s="13" t="n"/>
      <c r="H349" s="21" t="n"/>
      <c r="I349" s="21" t="n"/>
      <c r="J349" s="17">
        <f>IF($G349="","",IFERROR(INDEX(NomsEmployes,MATCH($G349,MatriculesEmployes,0)),"MATRICULE INCONNU"))</f>
        <v/>
      </c>
      <c r="K349" s="33">
        <f>IF(OR($D349="",$F349=""),"",IFERROR(IF(INDEX(RUNS!$L$6:$S$1005,MATCH($D349,RUNS!$A$6:$A$1005,0),MATCH("ACTIVITÉ "&amp;$F349,RUNS!$L$5:$S$5,0))="","",INDEX(RUNS!$L$6:$S$1005,MATCH($D349,RUNS!$A$6:$A$1005,0),MATCH("ACTIVITÉ "&amp;$F349,RUNS!$L$5:$S$5,0))),""))</f>
        <v/>
      </c>
      <c r="L349" s="33">
        <f>IF($D349="","",IFERROR(IF(INDEX(RUNS!$E$6:$E$1005,MATCH($D349,RUNS!$A$6:$A$1005,0))="","",INDEX(RUNS!$E$6:$E$1005,MATCH($D349,RUNS!$A$6:$A$1005,0))),""))</f>
        <v/>
      </c>
      <c r="M349" s="33">
        <f>IF($D349="","",IFERROR(IF(INDEX(RUNS!$F$6:$F$1005,MATCH($D349,RUNS!$A$6:$A$1005,0))="","",INDEX(RUNS!$F$6:$F$1005,MATCH($D349,RUNS!$A$6:$A$1005,0))),""))</f>
        <v/>
      </c>
      <c r="N349" s="33">
        <f>IF($D349="","",IFERROR(IF(INDEX(RUNS!$G$6:$G$1005,MATCH($D349,RUNS!$A$6:$A$1005,0))="","",INDEX(RUNS!$G$6:$G$1005,MATCH($D349,RUNS!$A$6:$A$1005,0))),""))</f>
        <v/>
      </c>
      <c r="O349" s="33">
        <f>IF($D349="","",IFERROR(IF(INDEX(RUNS!$H$6:$H$1005,MATCH($D349,RUNS!$A$6:$A$1005,0))="","",INDEX(RUNS!$H$6:$H$1005,MATCH($D349,RUNS!$A$6:$A$1005,0))),""))</f>
        <v/>
      </c>
      <c r="P349" s="33">
        <f>IF($D349="","",IFERROR(IF(INDEX(RUNS!$J$6:$J$1005,MATCH($D349,RUNS!$A$6:$A$1005,0))="","",INDEX(RUNS!$J$6:$J$1005,MATCH($D349,RUNS!$A$6:$A$1005,0))),""))</f>
        <v/>
      </c>
      <c r="Q349" s="33">
        <f>IF($D349="","",IFERROR(IF(INDEX(RUNS!$K$6:$K$1005,MATCH($D349,RUNS!$A$6:$A$1005,0))="","",INDEX(RUNS!$K$6:$K$1005,MATCH($D349,RUNS!$A$6:$A$1005,0))),""))</f>
        <v/>
      </c>
      <c r="R349" s="34">
        <f>IF(OR($L349="",$K349=""),"",IFERROR(IF(INDEX(PARAMETRES!$H$43:$H$342,MATCH($L349&amp;"|"&amp;$M349&amp;"|"&amp;$N349&amp;"|"&amp;$O349&amp;"|"&amp;$P349&amp;"|"&amp;$Q349&amp;"|"&amp;$K349,PARAMETRES!$J$43:$J$342,0))="","",INDEX(PARAMETRES!$H$43:$H$342,MATCH($L349&amp;"|"&amp;$M349&amp;"|"&amp;$N349&amp;"|"&amp;$O349&amp;"|"&amp;$P349&amp;"|"&amp;$Q349&amp;"|"&amp;$K349,PARAMETRES!$J$43:$J$342,0))),""))</f>
        <v/>
      </c>
      <c r="S349" s="35">
        <f>IF(OR($G349="",$X349&lt;&gt;"VALIDE"),"",IFERROR(LOOKUP(2,1/(($B$3:$B348=$B349)*($G$3:$G348=$G349)*($X$3:$X348="VALIDE")),$C$3:$C348),""))</f>
        <v/>
      </c>
      <c r="T349" s="36">
        <f>IF(OR($C349="",$S349=""),"",ROUND(($C349-$S349+IF($C349&lt;$S349,1,0))*1440,0))</f>
        <v/>
      </c>
      <c r="U349" s="22">
        <f>IF(OR($H349="",$T349="",$T349&lt;=0),"",$H349*60/$T349)</f>
        <v/>
      </c>
      <c r="V349" s="37">
        <f>IF(OR($U349="",$R349="",$R349=0),"",$U349/$R349)</f>
        <v/>
      </c>
      <c r="W349" s="20">
        <f>IF($G349="","",IF($X349="CONTEXTE INCOMPLET","CONTEXTE INCOMPLET",IF($X349="DOUBLON",StatutDoublon,IF($S349="",StatutInitial,IF($R349="",StatutStandardManquant,IF($V349="","DONNEES INSUFFISANTES",IF($V349&gt;=SeuilConforme,StatutConforme,IF($V349&gt;=SeuilSurveiller,StatutSurveiller,StatutSousStandard))))))))</f>
        <v/>
      </c>
      <c r="X349" s="33">
        <f>IF($G349="","",IF(OR($D349="",$E349="",$F349=""),"CONTEXTE INCOMPLET",IF(COUNTIFS($D$3:$D348,$D349,$E$3:$E348,$E349,$F$3:$F348,$F349,$G$3:$G348,$G349)&gt;0,"DOUBLON","VALIDE")))</f>
        <v/>
      </c>
    </row>
    <row r="350" ht="15" customHeight="1">
      <c r="A350" s="12">
        <f>IF(OR($B350="",$G350=""),"",TEXT($B350,"YYYYMMDD")&amp;"-"&amp;SUBSTITUTE($E350," ","")&amp;"-"&amp;$F350&amp;"-"&amp;$G350)</f>
        <v/>
      </c>
      <c r="B350" s="15" t="n"/>
      <c r="C350" s="16" t="n"/>
      <c r="D350" s="10" t="n"/>
      <c r="E350" s="9" t="n"/>
      <c r="F350" s="9" t="n"/>
      <c r="G350" s="13" t="n"/>
      <c r="H350" s="21" t="n"/>
      <c r="I350" s="21" t="n"/>
      <c r="J350" s="17">
        <f>IF($G350="","",IFERROR(INDEX(NomsEmployes,MATCH($G350,MatriculesEmployes,0)),"MATRICULE INCONNU"))</f>
        <v/>
      </c>
      <c r="K350" s="33">
        <f>IF(OR($D350="",$F350=""),"",IFERROR(IF(INDEX(RUNS!$L$6:$S$1005,MATCH($D350,RUNS!$A$6:$A$1005,0),MATCH("ACTIVITÉ "&amp;$F350,RUNS!$L$5:$S$5,0))="","",INDEX(RUNS!$L$6:$S$1005,MATCH($D350,RUNS!$A$6:$A$1005,0),MATCH("ACTIVITÉ "&amp;$F350,RUNS!$L$5:$S$5,0))),""))</f>
        <v/>
      </c>
      <c r="L350" s="33">
        <f>IF($D350="","",IFERROR(IF(INDEX(RUNS!$E$6:$E$1005,MATCH($D350,RUNS!$A$6:$A$1005,0))="","",INDEX(RUNS!$E$6:$E$1005,MATCH($D350,RUNS!$A$6:$A$1005,0))),""))</f>
        <v/>
      </c>
      <c r="M350" s="33">
        <f>IF($D350="","",IFERROR(IF(INDEX(RUNS!$F$6:$F$1005,MATCH($D350,RUNS!$A$6:$A$1005,0))="","",INDEX(RUNS!$F$6:$F$1005,MATCH($D350,RUNS!$A$6:$A$1005,0))),""))</f>
        <v/>
      </c>
      <c r="N350" s="33">
        <f>IF($D350="","",IFERROR(IF(INDEX(RUNS!$G$6:$G$1005,MATCH($D350,RUNS!$A$6:$A$1005,0))="","",INDEX(RUNS!$G$6:$G$1005,MATCH($D350,RUNS!$A$6:$A$1005,0))),""))</f>
        <v/>
      </c>
      <c r="O350" s="33">
        <f>IF($D350="","",IFERROR(IF(INDEX(RUNS!$H$6:$H$1005,MATCH($D350,RUNS!$A$6:$A$1005,0))="","",INDEX(RUNS!$H$6:$H$1005,MATCH($D350,RUNS!$A$6:$A$1005,0))),""))</f>
        <v/>
      </c>
      <c r="P350" s="33">
        <f>IF($D350="","",IFERROR(IF(INDEX(RUNS!$J$6:$J$1005,MATCH($D350,RUNS!$A$6:$A$1005,0))="","",INDEX(RUNS!$J$6:$J$1005,MATCH($D350,RUNS!$A$6:$A$1005,0))),""))</f>
        <v/>
      </c>
      <c r="Q350" s="33">
        <f>IF($D350="","",IFERROR(IF(INDEX(RUNS!$K$6:$K$1005,MATCH($D350,RUNS!$A$6:$A$1005,0))="","",INDEX(RUNS!$K$6:$K$1005,MATCH($D350,RUNS!$A$6:$A$1005,0))),""))</f>
        <v/>
      </c>
      <c r="R350" s="34">
        <f>IF(OR($L350="",$K350=""),"",IFERROR(IF(INDEX(PARAMETRES!$H$43:$H$342,MATCH($L350&amp;"|"&amp;$M350&amp;"|"&amp;$N350&amp;"|"&amp;$O350&amp;"|"&amp;$P350&amp;"|"&amp;$Q350&amp;"|"&amp;$K350,PARAMETRES!$J$43:$J$342,0))="","",INDEX(PARAMETRES!$H$43:$H$342,MATCH($L350&amp;"|"&amp;$M350&amp;"|"&amp;$N350&amp;"|"&amp;$O350&amp;"|"&amp;$P350&amp;"|"&amp;$Q350&amp;"|"&amp;$K350,PARAMETRES!$J$43:$J$342,0))),""))</f>
        <v/>
      </c>
      <c r="S350" s="35">
        <f>IF(OR($G350="",$X350&lt;&gt;"VALIDE"),"",IFERROR(LOOKUP(2,1/(($B$3:$B349=$B350)*($G$3:$G349=$G350)*($X$3:$X349="VALIDE")),$C$3:$C349),""))</f>
        <v/>
      </c>
      <c r="T350" s="36">
        <f>IF(OR($C350="",$S350=""),"",ROUND(($C350-$S350+IF($C350&lt;$S350,1,0))*1440,0))</f>
        <v/>
      </c>
      <c r="U350" s="22">
        <f>IF(OR($H350="",$T350="",$T350&lt;=0),"",$H350*60/$T350)</f>
        <v/>
      </c>
      <c r="V350" s="37">
        <f>IF(OR($U350="",$R350="",$R350=0),"",$U350/$R350)</f>
        <v/>
      </c>
      <c r="W350" s="20">
        <f>IF($G350="","",IF($X350="CONTEXTE INCOMPLET","CONTEXTE INCOMPLET",IF($X350="DOUBLON",StatutDoublon,IF($S350="",StatutInitial,IF($R350="",StatutStandardManquant,IF($V350="","DONNEES INSUFFISANTES",IF($V350&gt;=SeuilConforme,StatutConforme,IF($V350&gt;=SeuilSurveiller,StatutSurveiller,StatutSousStandard))))))))</f>
        <v/>
      </c>
      <c r="X350" s="33">
        <f>IF($G350="","",IF(OR($D350="",$E350="",$F350=""),"CONTEXTE INCOMPLET",IF(COUNTIFS($D$3:$D349,$D350,$E$3:$E349,$E350,$F$3:$F349,$F350,$G$3:$G349,$G350)&gt;0,"DOUBLON","VALIDE")))</f>
        <v/>
      </c>
    </row>
    <row r="351" ht="15" customHeight="1">
      <c r="A351" s="12">
        <f>IF(OR($B351="",$G351=""),"",TEXT($B351,"YYYYMMDD")&amp;"-"&amp;SUBSTITUTE($E351," ","")&amp;"-"&amp;$F351&amp;"-"&amp;$G351)</f>
        <v/>
      </c>
      <c r="B351" s="15" t="n"/>
      <c r="C351" s="16" t="n"/>
      <c r="D351" s="10" t="n"/>
      <c r="E351" s="9" t="n"/>
      <c r="F351" s="9" t="n"/>
      <c r="G351" s="13" t="n"/>
      <c r="H351" s="21" t="n"/>
      <c r="I351" s="21" t="n"/>
      <c r="J351" s="17">
        <f>IF($G351="","",IFERROR(INDEX(NomsEmployes,MATCH($G351,MatriculesEmployes,0)),"MATRICULE INCONNU"))</f>
        <v/>
      </c>
      <c r="K351" s="33">
        <f>IF(OR($D351="",$F351=""),"",IFERROR(IF(INDEX(RUNS!$L$6:$S$1005,MATCH($D351,RUNS!$A$6:$A$1005,0),MATCH("ACTIVITÉ "&amp;$F351,RUNS!$L$5:$S$5,0))="","",INDEX(RUNS!$L$6:$S$1005,MATCH($D351,RUNS!$A$6:$A$1005,0),MATCH("ACTIVITÉ "&amp;$F351,RUNS!$L$5:$S$5,0))),""))</f>
        <v/>
      </c>
      <c r="L351" s="33">
        <f>IF($D351="","",IFERROR(IF(INDEX(RUNS!$E$6:$E$1005,MATCH($D351,RUNS!$A$6:$A$1005,0))="","",INDEX(RUNS!$E$6:$E$1005,MATCH($D351,RUNS!$A$6:$A$1005,0))),""))</f>
        <v/>
      </c>
      <c r="M351" s="33">
        <f>IF($D351="","",IFERROR(IF(INDEX(RUNS!$F$6:$F$1005,MATCH($D351,RUNS!$A$6:$A$1005,0))="","",INDEX(RUNS!$F$6:$F$1005,MATCH($D351,RUNS!$A$6:$A$1005,0))),""))</f>
        <v/>
      </c>
      <c r="N351" s="33">
        <f>IF($D351="","",IFERROR(IF(INDEX(RUNS!$G$6:$G$1005,MATCH($D351,RUNS!$A$6:$A$1005,0))="","",INDEX(RUNS!$G$6:$G$1005,MATCH($D351,RUNS!$A$6:$A$1005,0))),""))</f>
        <v/>
      </c>
      <c r="O351" s="33">
        <f>IF($D351="","",IFERROR(IF(INDEX(RUNS!$H$6:$H$1005,MATCH($D351,RUNS!$A$6:$A$1005,0))="","",INDEX(RUNS!$H$6:$H$1005,MATCH($D351,RUNS!$A$6:$A$1005,0))),""))</f>
        <v/>
      </c>
      <c r="P351" s="33">
        <f>IF($D351="","",IFERROR(IF(INDEX(RUNS!$J$6:$J$1005,MATCH($D351,RUNS!$A$6:$A$1005,0))="","",INDEX(RUNS!$J$6:$J$1005,MATCH($D351,RUNS!$A$6:$A$1005,0))),""))</f>
        <v/>
      </c>
      <c r="Q351" s="33">
        <f>IF($D351="","",IFERROR(IF(INDEX(RUNS!$K$6:$K$1005,MATCH($D351,RUNS!$A$6:$A$1005,0))="","",INDEX(RUNS!$K$6:$K$1005,MATCH($D351,RUNS!$A$6:$A$1005,0))),""))</f>
        <v/>
      </c>
      <c r="R351" s="34">
        <f>IF(OR($L351="",$K351=""),"",IFERROR(IF(INDEX(PARAMETRES!$H$43:$H$342,MATCH($L351&amp;"|"&amp;$M351&amp;"|"&amp;$N351&amp;"|"&amp;$O351&amp;"|"&amp;$P351&amp;"|"&amp;$Q351&amp;"|"&amp;$K351,PARAMETRES!$J$43:$J$342,0))="","",INDEX(PARAMETRES!$H$43:$H$342,MATCH($L351&amp;"|"&amp;$M351&amp;"|"&amp;$N351&amp;"|"&amp;$O351&amp;"|"&amp;$P351&amp;"|"&amp;$Q351&amp;"|"&amp;$K351,PARAMETRES!$J$43:$J$342,0))),""))</f>
        <v/>
      </c>
      <c r="S351" s="35">
        <f>IF(OR($G351="",$X351&lt;&gt;"VALIDE"),"",IFERROR(LOOKUP(2,1/(($B$3:$B350=$B351)*($G$3:$G350=$G351)*($X$3:$X350="VALIDE")),$C$3:$C350),""))</f>
        <v/>
      </c>
      <c r="T351" s="36">
        <f>IF(OR($C351="",$S351=""),"",ROUND(($C351-$S351+IF($C351&lt;$S351,1,0))*1440,0))</f>
        <v/>
      </c>
      <c r="U351" s="22">
        <f>IF(OR($H351="",$T351="",$T351&lt;=0),"",$H351*60/$T351)</f>
        <v/>
      </c>
      <c r="V351" s="37">
        <f>IF(OR($U351="",$R351="",$R351=0),"",$U351/$R351)</f>
        <v/>
      </c>
      <c r="W351" s="20">
        <f>IF($G351="","",IF($X351="CONTEXTE INCOMPLET","CONTEXTE INCOMPLET",IF($X351="DOUBLON",StatutDoublon,IF($S351="",StatutInitial,IF($R351="",StatutStandardManquant,IF($V351="","DONNEES INSUFFISANTES",IF($V351&gt;=SeuilConforme,StatutConforme,IF($V351&gt;=SeuilSurveiller,StatutSurveiller,StatutSousStandard))))))))</f>
        <v/>
      </c>
      <c r="X351" s="33">
        <f>IF($G351="","",IF(OR($D351="",$E351="",$F351=""),"CONTEXTE INCOMPLET",IF(COUNTIFS($D$3:$D350,$D351,$E$3:$E350,$E351,$F$3:$F350,$F351,$G$3:$G350,$G351)&gt;0,"DOUBLON","VALIDE")))</f>
        <v/>
      </c>
    </row>
    <row r="352" ht="15" customHeight="1">
      <c r="A352" s="12">
        <f>IF(OR($B352="",$G352=""),"",TEXT($B352,"YYYYMMDD")&amp;"-"&amp;SUBSTITUTE($E352," ","")&amp;"-"&amp;$F352&amp;"-"&amp;$G352)</f>
        <v/>
      </c>
      <c r="B352" s="15" t="n"/>
      <c r="C352" s="16" t="n"/>
      <c r="D352" s="10" t="n"/>
      <c r="E352" s="9" t="n"/>
      <c r="F352" s="9" t="n"/>
      <c r="G352" s="13" t="n"/>
      <c r="H352" s="21" t="n"/>
      <c r="I352" s="21" t="n"/>
      <c r="J352" s="17">
        <f>IF($G352="","",IFERROR(INDEX(NomsEmployes,MATCH($G352,MatriculesEmployes,0)),"MATRICULE INCONNU"))</f>
        <v/>
      </c>
      <c r="K352" s="33">
        <f>IF(OR($D352="",$F352=""),"",IFERROR(IF(INDEX(RUNS!$L$6:$S$1005,MATCH($D352,RUNS!$A$6:$A$1005,0),MATCH("ACTIVITÉ "&amp;$F352,RUNS!$L$5:$S$5,0))="","",INDEX(RUNS!$L$6:$S$1005,MATCH($D352,RUNS!$A$6:$A$1005,0),MATCH("ACTIVITÉ "&amp;$F352,RUNS!$L$5:$S$5,0))),""))</f>
        <v/>
      </c>
      <c r="L352" s="33">
        <f>IF($D352="","",IFERROR(IF(INDEX(RUNS!$E$6:$E$1005,MATCH($D352,RUNS!$A$6:$A$1005,0))="","",INDEX(RUNS!$E$6:$E$1005,MATCH($D352,RUNS!$A$6:$A$1005,0))),""))</f>
        <v/>
      </c>
      <c r="M352" s="33">
        <f>IF($D352="","",IFERROR(IF(INDEX(RUNS!$F$6:$F$1005,MATCH($D352,RUNS!$A$6:$A$1005,0))="","",INDEX(RUNS!$F$6:$F$1005,MATCH($D352,RUNS!$A$6:$A$1005,0))),""))</f>
        <v/>
      </c>
      <c r="N352" s="33">
        <f>IF($D352="","",IFERROR(IF(INDEX(RUNS!$G$6:$G$1005,MATCH($D352,RUNS!$A$6:$A$1005,0))="","",INDEX(RUNS!$G$6:$G$1005,MATCH($D352,RUNS!$A$6:$A$1005,0))),""))</f>
        <v/>
      </c>
      <c r="O352" s="33">
        <f>IF($D352="","",IFERROR(IF(INDEX(RUNS!$H$6:$H$1005,MATCH($D352,RUNS!$A$6:$A$1005,0))="","",INDEX(RUNS!$H$6:$H$1005,MATCH($D352,RUNS!$A$6:$A$1005,0))),""))</f>
        <v/>
      </c>
      <c r="P352" s="33">
        <f>IF($D352="","",IFERROR(IF(INDEX(RUNS!$J$6:$J$1005,MATCH($D352,RUNS!$A$6:$A$1005,0))="","",INDEX(RUNS!$J$6:$J$1005,MATCH($D352,RUNS!$A$6:$A$1005,0))),""))</f>
        <v/>
      </c>
      <c r="Q352" s="33">
        <f>IF($D352="","",IFERROR(IF(INDEX(RUNS!$K$6:$K$1005,MATCH($D352,RUNS!$A$6:$A$1005,0))="","",INDEX(RUNS!$K$6:$K$1005,MATCH($D352,RUNS!$A$6:$A$1005,0))),""))</f>
        <v/>
      </c>
      <c r="R352" s="34">
        <f>IF(OR($L352="",$K352=""),"",IFERROR(IF(INDEX(PARAMETRES!$H$43:$H$342,MATCH($L352&amp;"|"&amp;$M352&amp;"|"&amp;$N352&amp;"|"&amp;$O352&amp;"|"&amp;$P352&amp;"|"&amp;$Q352&amp;"|"&amp;$K352,PARAMETRES!$J$43:$J$342,0))="","",INDEX(PARAMETRES!$H$43:$H$342,MATCH($L352&amp;"|"&amp;$M352&amp;"|"&amp;$N352&amp;"|"&amp;$O352&amp;"|"&amp;$P352&amp;"|"&amp;$Q352&amp;"|"&amp;$K352,PARAMETRES!$J$43:$J$342,0))),""))</f>
        <v/>
      </c>
      <c r="S352" s="35">
        <f>IF(OR($G352="",$X352&lt;&gt;"VALIDE"),"",IFERROR(LOOKUP(2,1/(($B$3:$B351=$B352)*($G$3:$G351=$G352)*($X$3:$X351="VALIDE")),$C$3:$C351),""))</f>
        <v/>
      </c>
      <c r="T352" s="36">
        <f>IF(OR($C352="",$S352=""),"",ROUND(($C352-$S352+IF($C352&lt;$S352,1,0))*1440,0))</f>
        <v/>
      </c>
      <c r="U352" s="22">
        <f>IF(OR($H352="",$T352="",$T352&lt;=0),"",$H352*60/$T352)</f>
        <v/>
      </c>
      <c r="V352" s="37">
        <f>IF(OR($U352="",$R352="",$R352=0),"",$U352/$R352)</f>
        <v/>
      </c>
      <c r="W352" s="20">
        <f>IF($G352="","",IF($X352="CONTEXTE INCOMPLET","CONTEXTE INCOMPLET",IF($X352="DOUBLON",StatutDoublon,IF($S352="",StatutInitial,IF($R352="",StatutStandardManquant,IF($V352="","DONNEES INSUFFISANTES",IF($V352&gt;=SeuilConforme,StatutConforme,IF($V352&gt;=SeuilSurveiller,StatutSurveiller,StatutSousStandard))))))))</f>
        <v/>
      </c>
      <c r="X352" s="33">
        <f>IF($G352="","",IF(OR($D352="",$E352="",$F352=""),"CONTEXTE INCOMPLET",IF(COUNTIFS($D$3:$D351,$D352,$E$3:$E351,$E352,$F$3:$F351,$F352,$G$3:$G351,$G352)&gt;0,"DOUBLON","VALIDE")))</f>
        <v/>
      </c>
    </row>
    <row r="353" ht="15" customHeight="1">
      <c r="A353" s="12">
        <f>IF(OR($B353="",$G353=""),"",TEXT($B353,"YYYYMMDD")&amp;"-"&amp;SUBSTITUTE($E353," ","")&amp;"-"&amp;$F353&amp;"-"&amp;$G353)</f>
        <v/>
      </c>
      <c r="B353" s="15" t="n"/>
      <c r="C353" s="16" t="n"/>
      <c r="D353" s="10" t="n"/>
      <c r="E353" s="9" t="n"/>
      <c r="F353" s="9" t="n"/>
      <c r="G353" s="13" t="n"/>
      <c r="H353" s="21" t="n"/>
      <c r="I353" s="21" t="n"/>
      <c r="J353" s="17">
        <f>IF($G353="","",IFERROR(INDEX(NomsEmployes,MATCH($G353,MatriculesEmployes,0)),"MATRICULE INCONNU"))</f>
        <v/>
      </c>
      <c r="K353" s="33">
        <f>IF(OR($D353="",$F353=""),"",IFERROR(IF(INDEX(RUNS!$L$6:$S$1005,MATCH($D353,RUNS!$A$6:$A$1005,0),MATCH("ACTIVITÉ "&amp;$F353,RUNS!$L$5:$S$5,0))="","",INDEX(RUNS!$L$6:$S$1005,MATCH($D353,RUNS!$A$6:$A$1005,0),MATCH("ACTIVITÉ "&amp;$F353,RUNS!$L$5:$S$5,0))),""))</f>
        <v/>
      </c>
      <c r="L353" s="33">
        <f>IF($D353="","",IFERROR(IF(INDEX(RUNS!$E$6:$E$1005,MATCH($D353,RUNS!$A$6:$A$1005,0))="","",INDEX(RUNS!$E$6:$E$1005,MATCH($D353,RUNS!$A$6:$A$1005,0))),""))</f>
        <v/>
      </c>
      <c r="M353" s="33">
        <f>IF($D353="","",IFERROR(IF(INDEX(RUNS!$F$6:$F$1005,MATCH($D353,RUNS!$A$6:$A$1005,0))="","",INDEX(RUNS!$F$6:$F$1005,MATCH($D353,RUNS!$A$6:$A$1005,0))),""))</f>
        <v/>
      </c>
      <c r="N353" s="33">
        <f>IF($D353="","",IFERROR(IF(INDEX(RUNS!$G$6:$G$1005,MATCH($D353,RUNS!$A$6:$A$1005,0))="","",INDEX(RUNS!$G$6:$G$1005,MATCH($D353,RUNS!$A$6:$A$1005,0))),""))</f>
        <v/>
      </c>
      <c r="O353" s="33">
        <f>IF($D353="","",IFERROR(IF(INDEX(RUNS!$H$6:$H$1005,MATCH($D353,RUNS!$A$6:$A$1005,0))="","",INDEX(RUNS!$H$6:$H$1005,MATCH($D353,RUNS!$A$6:$A$1005,0))),""))</f>
        <v/>
      </c>
      <c r="P353" s="33">
        <f>IF($D353="","",IFERROR(IF(INDEX(RUNS!$J$6:$J$1005,MATCH($D353,RUNS!$A$6:$A$1005,0))="","",INDEX(RUNS!$J$6:$J$1005,MATCH($D353,RUNS!$A$6:$A$1005,0))),""))</f>
        <v/>
      </c>
      <c r="Q353" s="33">
        <f>IF($D353="","",IFERROR(IF(INDEX(RUNS!$K$6:$K$1005,MATCH($D353,RUNS!$A$6:$A$1005,0))="","",INDEX(RUNS!$K$6:$K$1005,MATCH($D353,RUNS!$A$6:$A$1005,0))),""))</f>
        <v/>
      </c>
      <c r="R353" s="34">
        <f>IF(OR($L353="",$K353=""),"",IFERROR(IF(INDEX(PARAMETRES!$H$43:$H$342,MATCH($L353&amp;"|"&amp;$M353&amp;"|"&amp;$N353&amp;"|"&amp;$O353&amp;"|"&amp;$P353&amp;"|"&amp;$Q353&amp;"|"&amp;$K353,PARAMETRES!$J$43:$J$342,0))="","",INDEX(PARAMETRES!$H$43:$H$342,MATCH($L353&amp;"|"&amp;$M353&amp;"|"&amp;$N353&amp;"|"&amp;$O353&amp;"|"&amp;$P353&amp;"|"&amp;$Q353&amp;"|"&amp;$K353,PARAMETRES!$J$43:$J$342,0))),""))</f>
        <v/>
      </c>
      <c r="S353" s="35">
        <f>IF(OR($G353="",$X353&lt;&gt;"VALIDE"),"",IFERROR(LOOKUP(2,1/(($B$3:$B352=$B353)*($G$3:$G352=$G353)*($X$3:$X352="VALIDE")),$C$3:$C352),""))</f>
        <v/>
      </c>
      <c r="T353" s="36">
        <f>IF(OR($C353="",$S353=""),"",ROUND(($C353-$S353+IF($C353&lt;$S353,1,0))*1440,0))</f>
        <v/>
      </c>
      <c r="U353" s="22">
        <f>IF(OR($H353="",$T353="",$T353&lt;=0),"",$H353*60/$T353)</f>
        <v/>
      </c>
      <c r="V353" s="37">
        <f>IF(OR($U353="",$R353="",$R353=0),"",$U353/$R353)</f>
        <v/>
      </c>
      <c r="W353" s="20">
        <f>IF($G353="","",IF($X353="CONTEXTE INCOMPLET","CONTEXTE INCOMPLET",IF($X353="DOUBLON",StatutDoublon,IF($S353="",StatutInitial,IF($R353="",StatutStandardManquant,IF($V353="","DONNEES INSUFFISANTES",IF($V353&gt;=SeuilConforme,StatutConforme,IF($V353&gt;=SeuilSurveiller,StatutSurveiller,StatutSousStandard))))))))</f>
        <v/>
      </c>
      <c r="X353" s="33">
        <f>IF($G353="","",IF(OR($D353="",$E353="",$F353=""),"CONTEXTE INCOMPLET",IF(COUNTIFS($D$3:$D352,$D353,$E$3:$E352,$E353,$F$3:$F352,$F353,$G$3:$G352,$G353)&gt;0,"DOUBLON","VALIDE")))</f>
        <v/>
      </c>
    </row>
    <row r="354" ht="15" customHeight="1">
      <c r="A354" s="12">
        <f>IF(OR($B354="",$G354=""),"",TEXT($B354,"YYYYMMDD")&amp;"-"&amp;SUBSTITUTE($E354," ","")&amp;"-"&amp;$F354&amp;"-"&amp;$G354)</f>
        <v/>
      </c>
      <c r="B354" s="15" t="n"/>
      <c r="C354" s="16" t="n"/>
      <c r="D354" s="10" t="n"/>
      <c r="E354" s="9" t="n"/>
      <c r="F354" s="9" t="n"/>
      <c r="G354" s="13" t="n"/>
      <c r="H354" s="21" t="n"/>
      <c r="I354" s="21" t="n"/>
      <c r="J354" s="17">
        <f>IF($G354="","",IFERROR(INDEX(NomsEmployes,MATCH($G354,MatriculesEmployes,0)),"MATRICULE INCONNU"))</f>
        <v/>
      </c>
      <c r="K354" s="33">
        <f>IF(OR($D354="",$F354=""),"",IFERROR(IF(INDEX(RUNS!$L$6:$S$1005,MATCH($D354,RUNS!$A$6:$A$1005,0),MATCH("ACTIVITÉ "&amp;$F354,RUNS!$L$5:$S$5,0))="","",INDEX(RUNS!$L$6:$S$1005,MATCH($D354,RUNS!$A$6:$A$1005,0),MATCH("ACTIVITÉ "&amp;$F354,RUNS!$L$5:$S$5,0))),""))</f>
        <v/>
      </c>
      <c r="L354" s="33">
        <f>IF($D354="","",IFERROR(IF(INDEX(RUNS!$E$6:$E$1005,MATCH($D354,RUNS!$A$6:$A$1005,0))="","",INDEX(RUNS!$E$6:$E$1005,MATCH($D354,RUNS!$A$6:$A$1005,0))),""))</f>
        <v/>
      </c>
      <c r="M354" s="33">
        <f>IF($D354="","",IFERROR(IF(INDEX(RUNS!$F$6:$F$1005,MATCH($D354,RUNS!$A$6:$A$1005,0))="","",INDEX(RUNS!$F$6:$F$1005,MATCH($D354,RUNS!$A$6:$A$1005,0))),""))</f>
        <v/>
      </c>
      <c r="N354" s="33">
        <f>IF($D354="","",IFERROR(IF(INDEX(RUNS!$G$6:$G$1005,MATCH($D354,RUNS!$A$6:$A$1005,0))="","",INDEX(RUNS!$G$6:$G$1005,MATCH($D354,RUNS!$A$6:$A$1005,0))),""))</f>
        <v/>
      </c>
      <c r="O354" s="33">
        <f>IF($D354="","",IFERROR(IF(INDEX(RUNS!$H$6:$H$1005,MATCH($D354,RUNS!$A$6:$A$1005,0))="","",INDEX(RUNS!$H$6:$H$1005,MATCH($D354,RUNS!$A$6:$A$1005,0))),""))</f>
        <v/>
      </c>
      <c r="P354" s="33">
        <f>IF($D354="","",IFERROR(IF(INDEX(RUNS!$J$6:$J$1005,MATCH($D354,RUNS!$A$6:$A$1005,0))="","",INDEX(RUNS!$J$6:$J$1005,MATCH($D354,RUNS!$A$6:$A$1005,0))),""))</f>
        <v/>
      </c>
      <c r="Q354" s="33">
        <f>IF($D354="","",IFERROR(IF(INDEX(RUNS!$K$6:$K$1005,MATCH($D354,RUNS!$A$6:$A$1005,0))="","",INDEX(RUNS!$K$6:$K$1005,MATCH($D354,RUNS!$A$6:$A$1005,0))),""))</f>
        <v/>
      </c>
      <c r="R354" s="34">
        <f>IF(OR($L354="",$K354=""),"",IFERROR(IF(INDEX(PARAMETRES!$H$43:$H$342,MATCH($L354&amp;"|"&amp;$M354&amp;"|"&amp;$N354&amp;"|"&amp;$O354&amp;"|"&amp;$P354&amp;"|"&amp;$Q354&amp;"|"&amp;$K354,PARAMETRES!$J$43:$J$342,0))="","",INDEX(PARAMETRES!$H$43:$H$342,MATCH($L354&amp;"|"&amp;$M354&amp;"|"&amp;$N354&amp;"|"&amp;$O354&amp;"|"&amp;$P354&amp;"|"&amp;$Q354&amp;"|"&amp;$K354,PARAMETRES!$J$43:$J$342,0))),""))</f>
        <v/>
      </c>
      <c r="S354" s="35">
        <f>IF(OR($G354="",$X354&lt;&gt;"VALIDE"),"",IFERROR(LOOKUP(2,1/(($B$3:$B353=$B354)*($G$3:$G353=$G354)*($X$3:$X353="VALIDE")),$C$3:$C353),""))</f>
        <v/>
      </c>
      <c r="T354" s="36">
        <f>IF(OR($C354="",$S354=""),"",ROUND(($C354-$S354+IF($C354&lt;$S354,1,0))*1440,0))</f>
        <v/>
      </c>
      <c r="U354" s="22">
        <f>IF(OR($H354="",$T354="",$T354&lt;=0),"",$H354*60/$T354)</f>
        <v/>
      </c>
      <c r="V354" s="37">
        <f>IF(OR($U354="",$R354="",$R354=0),"",$U354/$R354)</f>
        <v/>
      </c>
      <c r="W354" s="20">
        <f>IF($G354="","",IF($X354="CONTEXTE INCOMPLET","CONTEXTE INCOMPLET",IF($X354="DOUBLON",StatutDoublon,IF($S354="",StatutInitial,IF($R354="",StatutStandardManquant,IF($V354="","DONNEES INSUFFISANTES",IF($V354&gt;=SeuilConforme,StatutConforme,IF($V354&gt;=SeuilSurveiller,StatutSurveiller,StatutSousStandard))))))))</f>
        <v/>
      </c>
      <c r="X354" s="33">
        <f>IF($G354="","",IF(OR($D354="",$E354="",$F354=""),"CONTEXTE INCOMPLET",IF(COUNTIFS($D$3:$D353,$D354,$E$3:$E353,$E354,$F$3:$F353,$F354,$G$3:$G353,$G354)&gt;0,"DOUBLON","VALIDE")))</f>
        <v/>
      </c>
    </row>
    <row r="355" ht="15" customHeight="1">
      <c r="A355" s="12">
        <f>IF(OR($B355="",$G355=""),"",TEXT($B355,"YYYYMMDD")&amp;"-"&amp;SUBSTITUTE($E355," ","")&amp;"-"&amp;$F355&amp;"-"&amp;$G355)</f>
        <v/>
      </c>
      <c r="B355" s="15" t="n"/>
      <c r="C355" s="16" t="n"/>
      <c r="D355" s="10" t="n"/>
      <c r="E355" s="9" t="n"/>
      <c r="F355" s="9" t="n"/>
      <c r="G355" s="13" t="n"/>
      <c r="H355" s="21" t="n"/>
      <c r="I355" s="21" t="n"/>
      <c r="J355" s="17">
        <f>IF($G355="","",IFERROR(INDEX(NomsEmployes,MATCH($G355,MatriculesEmployes,0)),"MATRICULE INCONNU"))</f>
        <v/>
      </c>
      <c r="K355" s="33">
        <f>IF(OR($D355="",$F355=""),"",IFERROR(IF(INDEX(RUNS!$L$6:$S$1005,MATCH($D355,RUNS!$A$6:$A$1005,0),MATCH("ACTIVITÉ "&amp;$F355,RUNS!$L$5:$S$5,0))="","",INDEX(RUNS!$L$6:$S$1005,MATCH($D355,RUNS!$A$6:$A$1005,0),MATCH("ACTIVITÉ "&amp;$F355,RUNS!$L$5:$S$5,0))),""))</f>
        <v/>
      </c>
      <c r="L355" s="33">
        <f>IF($D355="","",IFERROR(IF(INDEX(RUNS!$E$6:$E$1005,MATCH($D355,RUNS!$A$6:$A$1005,0))="","",INDEX(RUNS!$E$6:$E$1005,MATCH($D355,RUNS!$A$6:$A$1005,0))),""))</f>
        <v/>
      </c>
      <c r="M355" s="33">
        <f>IF($D355="","",IFERROR(IF(INDEX(RUNS!$F$6:$F$1005,MATCH($D355,RUNS!$A$6:$A$1005,0))="","",INDEX(RUNS!$F$6:$F$1005,MATCH($D355,RUNS!$A$6:$A$1005,0))),""))</f>
        <v/>
      </c>
      <c r="N355" s="33">
        <f>IF($D355="","",IFERROR(IF(INDEX(RUNS!$G$6:$G$1005,MATCH($D355,RUNS!$A$6:$A$1005,0))="","",INDEX(RUNS!$G$6:$G$1005,MATCH($D355,RUNS!$A$6:$A$1005,0))),""))</f>
        <v/>
      </c>
      <c r="O355" s="33">
        <f>IF($D355="","",IFERROR(IF(INDEX(RUNS!$H$6:$H$1005,MATCH($D355,RUNS!$A$6:$A$1005,0))="","",INDEX(RUNS!$H$6:$H$1005,MATCH($D355,RUNS!$A$6:$A$1005,0))),""))</f>
        <v/>
      </c>
      <c r="P355" s="33">
        <f>IF($D355="","",IFERROR(IF(INDEX(RUNS!$J$6:$J$1005,MATCH($D355,RUNS!$A$6:$A$1005,0))="","",INDEX(RUNS!$J$6:$J$1005,MATCH($D355,RUNS!$A$6:$A$1005,0))),""))</f>
        <v/>
      </c>
      <c r="Q355" s="33">
        <f>IF($D355="","",IFERROR(IF(INDEX(RUNS!$K$6:$K$1005,MATCH($D355,RUNS!$A$6:$A$1005,0))="","",INDEX(RUNS!$K$6:$K$1005,MATCH($D355,RUNS!$A$6:$A$1005,0))),""))</f>
        <v/>
      </c>
      <c r="R355" s="34">
        <f>IF(OR($L355="",$K355=""),"",IFERROR(IF(INDEX(PARAMETRES!$H$43:$H$342,MATCH($L355&amp;"|"&amp;$M355&amp;"|"&amp;$N355&amp;"|"&amp;$O355&amp;"|"&amp;$P355&amp;"|"&amp;$Q355&amp;"|"&amp;$K355,PARAMETRES!$J$43:$J$342,0))="","",INDEX(PARAMETRES!$H$43:$H$342,MATCH($L355&amp;"|"&amp;$M355&amp;"|"&amp;$N355&amp;"|"&amp;$O355&amp;"|"&amp;$P355&amp;"|"&amp;$Q355&amp;"|"&amp;$K355,PARAMETRES!$J$43:$J$342,0))),""))</f>
        <v/>
      </c>
      <c r="S355" s="35">
        <f>IF(OR($G355="",$X355&lt;&gt;"VALIDE"),"",IFERROR(LOOKUP(2,1/(($B$3:$B354=$B355)*($G$3:$G354=$G355)*($X$3:$X354="VALIDE")),$C$3:$C354),""))</f>
        <v/>
      </c>
      <c r="T355" s="36">
        <f>IF(OR($C355="",$S355=""),"",ROUND(($C355-$S355+IF($C355&lt;$S355,1,0))*1440,0))</f>
        <v/>
      </c>
      <c r="U355" s="22">
        <f>IF(OR($H355="",$T355="",$T355&lt;=0),"",$H355*60/$T355)</f>
        <v/>
      </c>
      <c r="V355" s="37">
        <f>IF(OR($U355="",$R355="",$R355=0),"",$U355/$R355)</f>
        <v/>
      </c>
      <c r="W355" s="20">
        <f>IF($G355="","",IF($X355="CONTEXTE INCOMPLET","CONTEXTE INCOMPLET",IF($X355="DOUBLON",StatutDoublon,IF($S355="",StatutInitial,IF($R355="",StatutStandardManquant,IF($V355="","DONNEES INSUFFISANTES",IF($V355&gt;=SeuilConforme,StatutConforme,IF($V355&gt;=SeuilSurveiller,StatutSurveiller,StatutSousStandard))))))))</f>
        <v/>
      </c>
      <c r="X355" s="33">
        <f>IF($G355="","",IF(OR($D355="",$E355="",$F355=""),"CONTEXTE INCOMPLET",IF(COUNTIFS($D$3:$D354,$D355,$E$3:$E354,$E355,$F$3:$F354,$F355,$G$3:$G354,$G355)&gt;0,"DOUBLON","VALIDE")))</f>
        <v/>
      </c>
    </row>
    <row r="356" ht="15" customHeight="1">
      <c r="A356" s="12">
        <f>IF(OR($B356="",$G356=""),"",TEXT($B356,"YYYYMMDD")&amp;"-"&amp;SUBSTITUTE($E356," ","")&amp;"-"&amp;$F356&amp;"-"&amp;$G356)</f>
        <v/>
      </c>
      <c r="B356" s="15" t="n"/>
      <c r="C356" s="16" t="n"/>
      <c r="D356" s="10" t="n"/>
      <c r="E356" s="9" t="n"/>
      <c r="F356" s="9" t="n"/>
      <c r="G356" s="13" t="n"/>
      <c r="H356" s="21" t="n"/>
      <c r="I356" s="21" t="n"/>
      <c r="J356" s="17">
        <f>IF($G356="","",IFERROR(INDEX(NomsEmployes,MATCH($G356,MatriculesEmployes,0)),"MATRICULE INCONNU"))</f>
        <v/>
      </c>
      <c r="K356" s="33">
        <f>IF(OR($D356="",$F356=""),"",IFERROR(IF(INDEX(RUNS!$L$6:$S$1005,MATCH($D356,RUNS!$A$6:$A$1005,0),MATCH("ACTIVITÉ "&amp;$F356,RUNS!$L$5:$S$5,0))="","",INDEX(RUNS!$L$6:$S$1005,MATCH($D356,RUNS!$A$6:$A$1005,0),MATCH("ACTIVITÉ "&amp;$F356,RUNS!$L$5:$S$5,0))),""))</f>
        <v/>
      </c>
      <c r="L356" s="33">
        <f>IF($D356="","",IFERROR(IF(INDEX(RUNS!$E$6:$E$1005,MATCH($D356,RUNS!$A$6:$A$1005,0))="","",INDEX(RUNS!$E$6:$E$1005,MATCH($D356,RUNS!$A$6:$A$1005,0))),""))</f>
        <v/>
      </c>
      <c r="M356" s="33">
        <f>IF($D356="","",IFERROR(IF(INDEX(RUNS!$F$6:$F$1005,MATCH($D356,RUNS!$A$6:$A$1005,0))="","",INDEX(RUNS!$F$6:$F$1005,MATCH($D356,RUNS!$A$6:$A$1005,0))),""))</f>
        <v/>
      </c>
      <c r="N356" s="33">
        <f>IF($D356="","",IFERROR(IF(INDEX(RUNS!$G$6:$G$1005,MATCH($D356,RUNS!$A$6:$A$1005,0))="","",INDEX(RUNS!$G$6:$G$1005,MATCH($D356,RUNS!$A$6:$A$1005,0))),""))</f>
        <v/>
      </c>
      <c r="O356" s="33">
        <f>IF($D356="","",IFERROR(IF(INDEX(RUNS!$H$6:$H$1005,MATCH($D356,RUNS!$A$6:$A$1005,0))="","",INDEX(RUNS!$H$6:$H$1005,MATCH($D356,RUNS!$A$6:$A$1005,0))),""))</f>
        <v/>
      </c>
      <c r="P356" s="33">
        <f>IF($D356="","",IFERROR(IF(INDEX(RUNS!$J$6:$J$1005,MATCH($D356,RUNS!$A$6:$A$1005,0))="","",INDEX(RUNS!$J$6:$J$1005,MATCH($D356,RUNS!$A$6:$A$1005,0))),""))</f>
        <v/>
      </c>
      <c r="Q356" s="33">
        <f>IF($D356="","",IFERROR(IF(INDEX(RUNS!$K$6:$K$1005,MATCH($D356,RUNS!$A$6:$A$1005,0))="","",INDEX(RUNS!$K$6:$K$1005,MATCH($D356,RUNS!$A$6:$A$1005,0))),""))</f>
        <v/>
      </c>
      <c r="R356" s="34">
        <f>IF(OR($L356="",$K356=""),"",IFERROR(IF(INDEX(PARAMETRES!$H$43:$H$342,MATCH($L356&amp;"|"&amp;$M356&amp;"|"&amp;$N356&amp;"|"&amp;$O356&amp;"|"&amp;$P356&amp;"|"&amp;$Q356&amp;"|"&amp;$K356,PARAMETRES!$J$43:$J$342,0))="","",INDEX(PARAMETRES!$H$43:$H$342,MATCH($L356&amp;"|"&amp;$M356&amp;"|"&amp;$N356&amp;"|"&amp;$O356&amp;"|"&amp;$P356&amp;"|"&amp;$Q356&amp;"|"&amp;$K356,PARAMETRES!$J$43:$J$342,0))),""))</f>
        <v/>
      </c>
      <c r="S356" s="35">
        <f>IF(OR($G356="",$X356&lt;&gt;"VALIDE"),"",IFERROR(LOOKUP(2,1/(($B$3:$B355=$B356)*($G$3:$G355=$G356)*($X$3:$X355="VALIDE")),$C$3:$C355),""))</f>
        <v/>
      </c>
      <c r="T356" s="36">
        <f>IF(OR($C356="",$S356=""),"",ROUND(($C356-$S356+IF($C356&lt;$S356,1,0))*1440,0))</f>
        <v/>
      </c>
      <c r="U356" s="22">
        <f>IF(OR($H356="",$T356="",$T356&lt;=0),"",$H356*60/$T356)</f>
        <v/>
      </c>
      <c r="V356" s="37">
        <f>IF(OR($U356="",$R356="",$R356=0),"",$U356/$R356)</f>
        <v/>
      </c>
      <c r="W356" s="20">
        <f>IF($G356="","",IF($X356="CONTEXTE INCOMPLET","CONTEXTE INCOMPLET",IF($X356="DOUBLON",StatutDoublon,IF($S356="",StatutInitial,IF($R356="",StatutStandardManquant,IF($V356="","DONNEES INSUFFISANTES",IF($V356&gt;=SeuilConforme,StatutConforme,IF($V356&gt;=SeuilSurveiller,StatutSurveiller,StatutSousStandard))))))))</f>
        <v/>
      </c>
      <c r="X356" s="33">
        <f>IF($G356="","",IF(OR($D356="",$E356="",$F356=""),"CONTEXTE INCOMPLET",IF(COUNTIFS($D$3:$D355,$D356,$E$3:$E355,$E356,$F$3:$F355,$F356,$G$3:$G355,$G356)&gt;0,"DOUBLON","VALIDE")))</f>
        <v/>
      </c>
    </row>
    <row r="357" ht="15" customHeight="1">
      <c r="A357" s="12">
        <f>IF(OR($B357="",$G357=""),"",TEXT($B357,"YYYYMMDD")&amp;"-"&amp;SUBSTITUTE($E357," ","")&amp;"-"&amp;$F357&amp;"-"&amp;$G357)</f>
        <v/>
      </c>
      <c r="B357" s="15" t="n"/>
      <c r="C357" s="16" t="n"/>
      <c r="D357" s="10" t="n"/>
      <c r="E357" s="9" t="n"/>
      <c r="F357" s="9" t="n"/>
      <c r="G357" s="13" t="n"/>
      <c r="H357" s="21" t="n"/>
      <c r="I357" s="21" t="n"/>
      <c r="J357" s="17">
        <f>IF($G357="","",IFERROR(INDEX(NomsEmployes,MATCH($G357,MatriculesEmployes,0)),"MATRICULE INCONNU"))</f>
        <v/>
      </c>
      <c r="K357" s="33">
        <f>IF(OR($D357="",$F357=""),"",IFERROR(IF(INDEX(RUNS!$L$6:$S$1005,MATCH($D357,RUNS!$A$6:$A$1005,0),MATCH("ACTIVITÉ "&amp;$F357,RUNS!$L$5:$S$5,0))="","",INDEX(RUNS!$L$6:$S$1005,MATCH($D357,RUNS!$A$6:$A$1005,0),MATCH("ACTIVITÉ "&amp;$F357,RUNS!$L$5:$S$5,0))),""))</f>
        <v/>
      </c>
      <c r="L357" s="33">
        <f>IF($D357="","",IFERROR(IF(INDEX(RUNS!$E$6:$E$1005,MATCH($D357,RUNS!$A$6:$A$1005,0))="","",INDEX(RUNS!$E$6:$E$1005,MATCH($D357,RUNS!$A$6:$A$1005,0))),""))</f>
        <v/>
      </c>
      <c r="M357" s="33">
        <f>IF($D357="","",IFERROR(IF(INDEX(RUNS!$F$6:$F$1005,MATCH($D357,RUNS!$A$6:$A$1005,0))="","",INDEX(RUNS!$F$6:$F$1005,MATCH($D357,RUNS!$A$6:$A$1005,0))),""))</f>
        <v/>
      </c>
      <c r="N357" s="33">
        <f>IF($D357="","",IFERROR(IF(INDEX(RUNS!$G$6:$G$1005,MATCH($D357,RUNS!$A$6:$A$1005,0))="","",INDEX(RUNS!$G$6:$G$1005,MATCH($D357,RUNS!$A$6:$A$1005,0))),""))</f>
        <v/>
      </c>
      <c r="O357" s="33">
        <f>IF($D357="","",IFERROR(IF(INDEX(RUNS!$H$6:$H$1005,MATCH($D357,RUNS!$A$6:$A$1005,0))="","",INDEX(RUNS!$H$6:$H$1005,MATCH($D357,RUNS!$A$6:$A$1005,0))),""))</f>
        <v/>
      </c>
      <c r="P357" s="33">
        <f>IF($D357="","",IFERROR(IF(INDEX(RUNS!$J$6:$J$1005,MATCH($D357,RUNS!$A$6:$A$1005,0))="","",INDEX(RUNS!$J$6:$J$1005,MATCH($D357,RUNS!$A$6:$A$1005,0))),""))</f>
        <v/>
      </c>
      <c r="Q357" s="33">
        <f>IF($D357="","",IFERROR(IF(INDEX(RUNS!$K$6:$K$1005,MATCH($D357,RUNS!$A$6:$A$1005,0))="","",INDEX(RUNS!$K$6:$K$1005,MATCH($D357,RUNS!$A$6:$A$1005,0))),""))</f>
        <v/>
      </c>
      <c r="R357" s="34">
        <f>IF(OR($L357="",$K357=""),"",IFERROR(IF(INDEX(PARAMETRES!$H$43:$H$342,MATCH($L357&amp;"|"&amp;$M357&amp;"|"&amp;$N357&amp;"|"&amp;$O357&amp;"|"&amp;$P357&amp;"|"&amp;$Q357&amp;"|"&amp;$K357,PARAMETRES!$J$43:$J$342,0))="","",INDEX(PARAMETRES!$H$43:$H$342,MATCH($L357&amp;"|"&amp;$M357&amp;"|"&amp;$N357&amp;"|"&amp;$O357&amp;"|"&amp;$P357&amp;"|"&amp;$Q357&amp;"|"&amp;$K357,PARAMETRES!$J$43:$J$342,0))),""))</f>
        <v/>
      </c>
      <c r="S357" s="35">
        <f>IF(OR($G357="",$X357&lt;&gt;"VALIDE"),"",IFERROR(LOOKUP(2,1/(($B$3:$B356=$B357)*($G$3:$G356=$G357)*($X$3:$X356="VALIDE")),$C$3:$C356),""))</f>
        <v/>
      </c>
      <c r="T357" s="36">
        <f>IF(OR($C357="",$S357=""),"",ROUND(($C357-$S357+IF($C357&lt;$S357,1,0))*1440,0))</f>
        <v/>
      </c>
      <c r="U357" s="22">
        <f>IF(OR($H357="",$T357="",$T357&lt;=0),"",$H357*60/$T357)</f>
        <v/>
      </c>
      <c r="V357" s="37">
        <f>IF(OR($U357="",$R357="",$R357=0),"",$U357/$R357)</f>
        <v/>
      </c>
      <c r="W357" s="20">
        <f>IF($G357="","",IF($X357="CONTEXTE INCOMPLET","CONTEXTE INCOMPLET",IF($X357="DOUBLON",StatutDoublon,IF($S357="",StatutInitial,IF($R357="",StatutStandardManquant,IF($V357="","DONNEES INSUFFISANTES",IF($V357&gt;=SeuilConforme,StatutConforme,IF($V357&gt;=SeuilSurveiller,StatutSurveiller,StatutSousStandard))))))))</f>
        <v/>
      </c>
      <c r="X357" s="33">
        <f>IF($G357="","",IF(OR($D357="",$E357="",$F357=""),"CONTEXTE INCOMPLET",IF(COUNTIFS($D$3:$D356,$D357,$E$3:$E356,$E357,$F$3:$F356,$F357,$G$3:$G356,$G357)&gt;0,"DOUBLON","VALIDE")))</f>
        <v/>
      </c>
    </row>
    <row r="358" ht="15" customHeight="1">
      <c r="A358" s="12">
        <f>IF(OR($B358="",$G358=""),"",TEXT($B358,"YYYYMMDD")&amp;"-"&amp;SUBSTITUTE($E358," ","")&amp;"-"&amp;$F358&amp;"-"&amp;$G358)</f>
        <v/>
      </c>
      <c r="B358" s="15" t="n"/>
      <c r="C358" s="16" t="n"/>
      <c r="D358" s="10" t="n"/>
      <c r="E358" s="9" t="n"/>
      <c r="F358" s="9" t="n"/>
      <c r="G358" s="13" t="n"/>
      <c r="H358" s="21" t="n"/>
      <c r="I358" s="21" t="n"/>
      <c r="J358" s="17">
        <f>IF($G358="","",IFERROR(INDEX(NomsEmployes,MATCH($G358,MatriculesEmployes,0)),"MATRICULE INCONNU"))</f>
        <v/>
      </c>
      <c r="K358" s="33">
        <f>IF(OR($D358="",$F358=""),"",IFERROR(IF(INDEX(RUNS!$L$6:$S$1005,MATCH($D358,RUNS!$A$6:$A$1005,0),MATCH("ACTIVITÉ "&amp;$F358,RUNS!$L$5:$S$5,0))="","",INDEX(RUNS!$L$6:$S$1005,MATCH($D358,RUNS!$A$6:$A$1005,0),MATCH("ACTIVITÉ "&amp;$F358,RUNS!$L$5:$S$5,0))),""))</f>
        <v/>
      </c>
      <c r="L358" s="33">
        <f>IF($D358="","",IFERROR(IF(INDEX(RUNS!$E$6:$E$1005,MATCH($D358,RUNS!$A$6:$A$1005,0))="","",INDEX(RUNS!$E$6:$E$1005,MATCH($D358,RUNS!$A$6:$A$1005,0))),""))</f>
        <v/>
      </c>
      <c r="M358" s="33">
        <f>IF($D358="","",IFERROR(IF(INDEX(RUNS!$F$6:$F$1005,MATCH($D358,RUNS!$A$6:$A$1005,0))="","",INDEX(RUNS!$F$6:$F$1005,MATCH($D358,RUNS!$A$6:$A$1005,0))),""))</f>
        <v/>
      </c>
      <c r="N358" s="33">
        <f>IF($D358="","",IFERROR(IF(INDEX(RUNS!$G$6:$G$1005,MATCH($D358,RUNS!$A$6:$A$1005,0))="","",INDEX(RUNS!$G$6:$G$1005,MATCH($D358,RUNS!$A$6:$A$1005,0))),""))</f>
        <v/>
      </c>
      <c r="O358" s="33">
        <f>IF($D358="","",IFERROR(IF(INDEX(RUNS!$H$6:$H$1005,MATCH($D358,RUNS!$A$6:$A$1005,0))="","",INDEX(RUNS!$H$6:$H$1005,MATCH($D358,RUNS!$A$6:$A$1005,0))),""))</f>
        <v/>
      </c>
      <c r="P358" s="33">
        <f>IF($D358="","",IFERROR(IF(INDEX(RUNS!$J$6:$J$1005,MATCH($D358,RUNS!$A$6:$A$1005,0))="","",INDEX(RUNS!$J$6:$J$1005,MATCH($D358,RUNS!$A$6:$A$1005,0))),""))</f>
        <v/>
      </c>
      <c r="Q358" s="33">
        <f>IF($D358="","",IFERROR(IF(INDEX(RUNS!$K$6:$K$1005,MATCH($D358,RUNS!$A$6:$A$1005,0))="","",INDEX(RUNS!$K$6:$K$1005,MATCH($D358,RUNS!$A$6:$A$1005,0))),""))</f>
        <v/>
      </c>
      <c r="R358" s="34">
        <f>IF(OR($L358="",$K358=""),"",IFERROR(IF(INDEX(PARAMETRES!$H$43:$H$342,MATCH($L358&amp;"|"&amp;$M358&amp;"|"&amp;$N358&amp;"|"&amp;$O358&amp;"|"&amp;$P358&amp;"|"&amp;$Q358&amp;"|"&amp;$K358,PARAMETRES!$J$43:$J$342,0))="","",INDEX(PARAMETRES!$H$43:$H$342,MATCH($L358&amp;"|"&amp;$M358&amp;"|"&amp;$N358&amp;"|"&amp;$O358&amp;"|"&amp;$P358&amp;"|"&amp;$Q358&amp;"|"&amp;$K358,PARAMETRES!$J$43:$J$342,0))),""))</f>
        <v/>
      </c>
      <c r="S358" s="35">
        <f>IF(OR($G358="",$X358&lt;&gt;"VALIDE"),"",IFERROR(LOOKUP(2,1/(($B$3:$B357=$B358)*($G$3:$G357=$G358)*($X$3:$X357="VALIDE")),$C$3:$C357),""))</f>
        <v/>
      </c>
      <c r="T358" s="36">
        <f>IF(OR($C358="",$S358=""),"",ROUND(($C358-$S358+IF($C358&lt;$S358,1,0))*1440,0))</f>
        <v/>
      </c>
      <c r="U358" s="22">
        <f>IF(OR($H358="",$T358="",$T358&lt;=0),"",$H358*60/$T358)</f>
        <v/>
      </c>
      <c r="V358" s="37">
        <f>IF(OR($U358="",$R358="",$R358=0),"",$U358/$R358)</f>
        <v/>
      </c>
      <c r="W358" s="20">
        <f>IF($G358="","",IF($X358="CONTEXTE INCOMPLET","CONTEXTE INCOMPLET",IF($X358="DOUBLON",StatutDoublon,IF($S358="",StatutInitial,IF($R358="",StatutStandardManquant,IF($V358="","DONNEES INSUFFISANTES",IF($V358&gt;=SeuilConforme,StatutConforme,IF($V358&gt;=SeuilSurveiller,StatutSurveiller,StatutSousStandard))))))))</f>
        <v/>
      </c>
      <c r="X358" s="33">
        <f>IF($G358="","",IF(OR($D358="",$E358="",$F358=""),"CONTEXTE INCOMPLET",IF(COUNTIFS($D$3:$D357,$D358,$E$3:$E357,$E358,$F$3:$F357,$F358,$G$3:$G357,$G358)&gt;0,"DOUBLON","VALIDE")))</f>
        <v/>
      </c>
    </row>
    <row r="359" ht="15" customHeight="1">
      <c r="A359" s="12">
        <f>IF(OR($B359="",$G359=""),"",TEXT($B359,"YYYYMMDD")&amp;"-"&amp;SUBSTITUTE($E359," ","")&amp;"-"&amp;$F359&amp;"-"&amp;$G359)</f>
        <v/>
      </c>
      <c r="B359" s="15" t="n"/>
      <c r="C359" s="16" t="n"/>
      <c r="D359" s="10" t="n"/>
      <c r="E359" s="9" t="n"/>
      <c r="F359" s="9" t="n"/>
      <c r="G359" s="13" t="n"/>
      <c r="H359" s="21" t="n"/>
      <c r="I359" s="21" t="n"/>
      <c r="J359" s="17">
        <f>IF($G359="","",IFERROR(INDEX(NomsEmployes,MATCH($G359,MatriculesEmployes,0)),"MATRICULE INCONNU"))</f>
        <v/>
      </c>
      <c r="K359" s="33">
        <f>IF(OR($D359="",$F359=""),"",IFERROR(IF(INDEX(RUNS!$L$6:$S$1005,MATCH($D359,RUNS!$A$6:$A$1005,0),MATCH("ACTIVITÉ "&amp;$F359,RUNS!$L$5:$S$5,0))="","",INDEX(RUNS!$L$6:$S$1005,MATCH($D359,RUNS!$A$6:$A$1005,0),MATCH("ACTIVITÉ "&amp;$F359,RUNS!$L$5:$S$5,0))),""))</f>
        <v/>
      </c>
      <c r="L359" s="33">
        <f>IF($D359="","",IFERROR(IF(INDEX(RUNS!$E$6:$E$1005,MATCH($D359,RUNS!$A$6:$A$1005,0))="","",INDEX(RUNS!$E$6:$E$1005,MATCH($D359,RUNS!$A$6:$A$1005,0))),""))</f>
        <v/>
      </c>
      <c r="M359" s="33">
        <f>IF($D359="","",IFERROR(IF(INDEX(RUNS!$F$6:$F$1005,MATCH($D359,RUNS!$A$6:$A$1005,0))="","",INDEX(RUNS!$F$6:$F$1005,MATCH($D359,RUNS!$A$6:$A$1005,0))),""))</f>
        <v/>
      </c>
      <c r="N359" s="33">
        <f>IF($D359="","",IFERROR(IF(INDEX(RUNS!$G$6:$G$1005,MATCH($D359,RUNS!$A$6:$A$1005,0))="","",INDEX(RUNS!$G$6:$G$1005,MATCH($D359,RUNS!$A$6:$A$1005,0))),""))</f>
        <v/>
      </c>
      <c r="O359" s="33">
        <f>IF($D359="","",IFERROR(IF(INDEX(RUNS!$H$6:$H$1005,MATCH($D359,RUNS!$A$6:$A$1005,0))="","",INDEX(RUNS!$H$6:$H$1005,MATCH($D359,RUNS!$A$6:$A$1005,0))),""))</f>
        <v/>
      </c>
      <c r="P359" s="33">
        <f>IF($D359="","",IFERROR(IF(INDEX(RUNS!$J$6:$J$1005,MATCH($D359,RUNS!$A$6:$A$1005,0))="","",INDEX(RUNS!$J$6:$J$1005,MATCH($D359,RUNS!$A$6:$A$1005,0))),""))</f>
        <v/>
      </c>
      <c r="Q359" s="33">
        <f>IF($D359="","",IFERROR(IF(INDEX(RUNS!$K$6:$K$1005,MATCH($D359,RUNS!$A$6:$A$1005,0))="","",INDEX(RUNS!$K$6:$K$1005,MATCH($D359,RUNS!$A$6:$A$1005,0))),""))</f>
        <v/>
      </c>
      <c r="R359" s="34">
        <f>IF(OR($L359="",$K359=""),"",IFERROR(IF(INDEX(PARAMETRES!$H$43:$H$342,MATCH($L359&amp;"|"&amp;$M359&amp;"|"&amp;$N359&amp;"|"&amp;$O359&amp;"|"&amp;$P359&amp;"|"&amp;$Q359&amp;"|"&amp;$K359,PARAMETRES!$J$43:$J$342,0))="","",INDEX(PARAMETRES!$H$43:$H$342,MATCH($L359&amp;"|"&amp;$M359&amp;"|"&amp;$N359&amp;"|"&amp;$O359&amp;"|"&amp;$P359&amp;"|"&amp;$Q359&amp;"|"&amp;$K359,PARAMETRES!$J$43:$J$342,0))),""))</f>
        <v/>
      </c>
      <c r="S359" s="35">
        <f>IF(OR($G359="",$X359&lt;&gt;"VALIDE"),"",IFERROR(LOOKUP(2,1/(($B$3:$B358=$B359)*($G$3:$G358=$G359)*($X$3:$X358="VALIDE")),$C$3:$C358),""))</f>
        <v/>
      </c>
      <c r="T359" s="36">
        <f>IF(OR($C359="",$S359=""),"",ROUND(($C359-$S359+IF($C359&lt;$S359,1,0))*1440,0))</f>
        <v/>
      </c>
      <c r="U359" s="22">
        <f>IF(OR($H359="",$T359="",$T359&lt;=0),"",$H359*60/$T359)</f>
        <v/>
      </c>
      <c r="V359" s="37">
        <f>IF(OR($U359="",$R359="",$R359=0),"",$U359/$R359)</f>
        <v/>
      </c>
      <c r="W359" s="20">
        <f>IF($G359="","",IF($X359="CONTEXTE INCOMPLET","CONTEXTE INCOMPLET",IF($X359="DOUBLON",StatutDoublon,IF($S359="",StatutInitial,IF($R359="",StatutStandardManquant,IF($V359="","DONNEES INSUFFISANTES",IF($V359&gt;=SeuilConforme,StatutConforme,IF($V359&gt;=SeuilSurveiller,StatutSurveiller,StatutSousStandard))))))))</f>
        <v/>
      </c>
      <c r="X359" s="33">
        <f>IF($G359="","",IF(OR($D359="",$E359="",$F359=""),"CONTEXTE INCOMPLET",IF(COUNTIFS($D$3:$D358,$D359,$E$3:$E358,$E359,$F$3:$F358,$F359,$G$3:$G358,$G359)&gt;0,"DOUBLON","VALIDE")))</f>
        <v/>
      </c>
    </row>
    <row r="360" ht="15" customHeight="1">
      <c r="A360" s="12">
        <f>IF(OR($B360="",$G360=""),"",TEXT($B360,"YYYYMMDD")&amp;"-"&amp;SUBSTITUTE($E360," ","")&amp;"-"&amp;$F360&amp;"-"&amp;$G360)</f>
        <v/>
      </c>
      <c r="B360" s="15" t="n"/>
      <c r="C360" s="16" t="n"/>
      <c r="D360" s="10" t="n"/>
      <c r="E360" s="9" t="n"/>
      <c r="F360" s="9" t="n"/>
      <c r="G360" s="13" t="n"/>
      <c r="H360" s="21" t="n"/>
      <c r="I360" s="21" t="n"/>
      <c r="J360" s="17">
        <f>IF($G360="","",IFERROR(INDEX(NomsEmployes,MATCH($G360,MatriculesEmployes,0)),"MATRICULE INCONNU"))</f>
        <v/>
      </c>
      <c r="K360" s="33">
        <f>IF(OR($D360="",$F360=""),"",IFERROR(IF(INDEX(RUNS!$L$6:$S$1005,MATCH($D360,RUNS!$A$6:$A$1005,0),MATCH("ACTIVITÉ "&amp;$F360,RUNS!$L$5:$S$5,0))="","",INDEX(RUNS!$L$6:$S$1005,MATCH($D360,RUNS!$A$6:$A$1005,0),MATCH("ACTIVITÉ "&amp;$F360,RUNS!$L$5:$S$5,0))),""))</f>
        <v/>
      </c>
      <c r="L360" s="33">
        <f>IF($D360="","",IFERROR(IF(INDEX(RUNS!$E$6:$E$1005,MATCH($D360,RUNS!$A$6:$A$1005,0))="","",INDEX(RUNS!$E$6:$E$1005,MATCH($D360,RUNS!$A$6:$A$1005,0))),""))</f>
        <v/>
      </c>
      <c r="M360" s="33">
        <f>IF($D360="","",IFERROR(IF(INDEX(RUNS!$F$6:$F$1005,MATCH($D360,RUNS!$A$6:$A$1005,0))="","",INDEX(RUNS!$F$6:$F$1005,MATCH($D360,RUNS!$A$6:$A$1005,0))),""))</f>
        <v/>
      </c>
      <c r="N360" s="33">
        <f>IF($D360="","",IFERROR(IF(INDEX(RUNS!$G$6:$G$1005,MATCH($D360,RUNS!$A$6:$A$1005,0))="","",INDEX(RUNS!$G$6:$G$1005,MATCH($D360,RUNS!$A$6:$A$1005,0))),""))</f>
        <v/>
      </c>
      <c r="O360" s="33">
        <f>IF($D360="","",IFERROR(IF(INDEX(RUNS!$H$6:$H$1005,MATCH($D360,RUNS!$A$6:$A$1005,0))="","",INDEX(RUNS!$H$6:$H$1005,MATCH($D360,RUNS!$A$6:$A$1005,0))),""))</f>
        <v/>
      </c>
      <c r="P360" s="33">
        <f>IF($D360="","",IFERROR(IF(INDEX(RUNS!$J$6:$J$1005,MATCH($D360,RUNS!$A$6:$A$1005,0))="","",INDEX(RUNS!$J$6:$J$1005,MATCH($D360,RUNS!$A$6:$A$1005,0))),""))</f>
        <v/>
      </c>
      <c r="Q360" s="33">
        <f>IF($D360="","",IFERROR(IF(INDEX(RUNS!$K$6:$K$1005,MATCH($D360,RUNS!$A$6:$A$1005,0))="","",INDEX(RUNS!$K$6:$K$1005,MATCH($D360,RUNS!$A$6:$A$1005,0))),""))</f>
        <v/>
      </c>
      <c r="R360" s="34">
        <f>IF(OR($L360="",$K360=""),"",IFERROR(IF(INDEX(PARAMETRES!$H$43:$H$342,MATCH($L360&amp;"|"&amp;$M360&amp;"|"&amp;$N360&amp;"|"&amp;$O360&amp;"|"&amp;$P360&amp;"|"&amp;$Q360&amp;"|"&amp;$K360,PARAMETRES!$J$43:$J$342,0))="","",INDEX(PARAMETRES!$H$43:$H$342,MATCH($L360&amp;"|"&amp;$M360&amp;"|"&amp;$N360&amp;"|"&amp;$O360&amp;"|"&amp;$P360&amp;"|"&amp;$Q360&amp;"|"&amp;$K360,PARAMETRES!$J$43:$J$342,0))),""))</f>
        <v/>
      </c>
      <c r="S360" s="35">
        <f>IF(OR($G360="",$X360&lt;&gt;"VALIDE"),"",IFERROR(LOOKUP(2,1/(($B$3:$B359=$B360)*($G$3:$G359=$G360)*($X$3:$X359="VALIDE")),$C$3:$C359),""))</f>
        <v/>
      </c>
      <c r="T360" s="36">
        <f>IF(OR($C360="",$S360=""),"",ROUND(($C360-$S360+IF($C360&lt;$S360,1,0))*1440,0))</f>
        <v/>
      </c>
      <c r="U360" s="22">
        <f>IF(OR($H360="",$T360="",$T360&lt;=0),"",$H360*60/$T360)</f>
        <v/>
      </c>
      <c r="V360" s="37">
        <f>IF(OR($U360="",$R360="",$R360=0),"",$U360/$R360)</f>
        <v/>
      </c>
      <c r="W360" s="20">
        <f>IF($G360="","",IF($X360="CONTEXTE INCOMPLET","CONTEXTE INCOMPLET",IF($X360="DOUBLON",StatutDoublon,IF($S360="",StatutInitial,IF($R360="",StatutStandardManquant,IF($V360="","DONNEES INSUFFISANTES",IF($V360&gt;=SeuilConforme,StatutConforme,IF($V360&gt;=SeuilSurveiller,StatutSurveiller,StatutSousStandard))))))))</f>
        <v/>
      </c>
      <c r="X360" s="33">
        <f>IF($G360="","",IF(OR($D360="",$E360="",$F360=""),"CONTEXTE INCOMPLET",IF(COUNTIFS($D$3:$D359,$D360,$E$3:$E359,$E360,$F$3:$F359,$F360,$G$3:$G359,$G360)&gt;0,"DOUBLON","VALIDE")))</f>
        <v/>
      </c>
    </row>
    <row r="361" ht="15" customHeight="1">
      <c r="A361" s="12">
        <f>IF(OR($B361="",$G361=""),"",TEXT($B361,"YYYYMMDD")&amp;"-"&amp;SUBSTITUTE($E361," ","")&amp;"-"&amp;$F361&amp;"-"&amp;$G361)</f>
        <v/>
      </c>
      <c r="B361" s="15" t="n"/>
      <c r="C361" s="16" t="n"/>
      <c r="D361" s="10" t="n"/>
      <c r="E361" s="9" t="n"/>
      <c r="F361" s="9" t="n"/>
      <c r="G361" s="13" t="n"/>
      <c r="H361" s="21" t="n"/>
      <c r="I361" s="21" t="n"/>
      <c r="J361" s="17">
        <f>IF($G361="","",IFERROR(INDEX(NomsEmployes,MATCH($G361,MatriculesEmployes,0)),"MATRICULE INCONNU"))</f>
        <v/>
      </c>
      <c r="K361" s="33">
        <f>IF(OR($D361="",$F361=""),"",IFERROR(IF(INDEX(RUNS!$L$6:$S$1005,MATCH($D361,RUNS!$A$6:$A$1005,0),MATCH("ACTIVITÉ "&amp;$F361,RUNS!$L$5:$S$5,0))="","",INDEX(RUNS!$L$6:$S$1005,MATCH($D361,RUNS!$A$6:$A$1005,0),MATCH("ACTIVITÉ "&amp;$F361,RUNS!$L$5:$S$5,0))),""))</f>
        <v/>
      </c>
      <c r="L361" s="33">
        <f>IF($D361="","",IFERROR(IF(INDEX(RUNS!$E$6:$E$1005,MATCH($D361,RUNS!$A$6:$A$1005,0))="","",INDEX(RUNS!$E$6:$E$1005,MATCH($D361,RUNS!$A$6:$A$1005,0))),""))</f>
        <v/>
      </c>
      <c r="M361" s="33">
        <f>IF($D361="","",IFERROR(IF(INDEX(RUNS!$F$6:$F$1005,MATCH($D361,RUNS!$A$6:$A$1005,0))="","",INDEX(RUNS!$F$6:$F$1005,MATCH($D361,RUNS!$A$6:$A$1005,0))),""))</f>
        <v/>
      </c>
      <c r="N361" s="33">
        <f>IF($D361="","",IFERROR(IF(INDEX(RUNS!$G$6:$G$1005,MATCH($D361,RUNS!$A$6:$A$1005,0))="","",INDEX(RUNS!$G$6:$G$1005,MATCH($D361,RUNS!$A$6:$A$1005,0))),""))</f>
        <v/>
      </c>
      <c r="O361" s="33">
        <f>IF($D361="","",IFERROR(IF(INDEX(RUNS!$H$6:$H$1005,MATCH($D361,RUNS!$A$6:$A$1005,0))="","",INDEX(RUNS!$H$6:$H$1005,MATCH($D361,RUNS!$A$6:$A$1005,0))),""))</f>
        <v/>
      </c>
      <c r="P361" s="33">
        <f>IF($D361="","",IFERROR(IF(INDEX(RUNS!$J$6:$J$1005,MATCH($D361,RUNS!$A$6:$A$1005,0))="","",INDEX(RUNS!$J$6:$J$1005,MATCH($D361,RUNS!$A$6:$A$1005,0))),""))</f>
        <v/>
      </c>
      <c r="Q361" s="33">
        <f>IF($D361="","",IFERROR(IF(INDEX(RUNS!$K$6:$K$1005,MATCH($D361,RUNS!$A$6:$A$1005,0))="","",INDEX(RUNS!$K$6:$K$1005,MATCH($D361,RUNS!$A$6:$A$1005,0))),""))</f>
        <v/>
      </c>
      <c r="R361" s="34">
        <f>IF(OR($L361="",$K361=""),"",IFERROR(IF(INDEX(PARAMETRES!$H$43:$H$342,MATCH($L361&amp;"|"&amp;$M361&amp;"|"&amp;$N361&amp;"|"&amp;$O361&amp;"|"&amp;$P361&amp;"|"&amp;$Q361&amp;"|"&amp;$K361,PARAMETRES!$J$43:$J$342,0))="","",INDEX(PARAMETRES!$H$43:$H$342,MATCH($L361&amp;"|"&amp;$M361&amp;"|"&amp;$N361&amp;"|"&amp;$O361&amp;"|"&amp;$P361&amp;"|"&amp;$Q361&amp;"|"&amp;$K361,PARAMETRES!$J$43:$J$342,0))),""))</f>
        <v/>
      </c>
      <c r="S361" s="35">
        <f>IF(OR($G361="",$X361&lt;&gt;"VALIDE"),"",IFERROR(LOOKUP(2,1/(($B$3:$B360=$B361)*($G$3:$G360=$G361)*($X$3:$X360="VALIDE")),$C$3:$C360),""))</f>
        <v/>
      </c>
      <c r="T361" s="36">
        <f>IF(OR($C361="",$S361=""),"",ROUND(($C361-$S361+IF($C361&lt;$S361,1,0))*1440,0))</f>
        <v/>
      </c>
      <c r="U361" s="22">
        <f>IF(OR($H361="",$T361="",$T361&lt;=0),"",$H361*60/$T361)</f>
        <v/>
      </c>
      <c r="V361" s="37">
        <f>IF(OR($U361="",$R361="",$R361=0),"",$U361/$R361)</f>
        <v/>
      </c>
      <c r="W361" s="20">
        <f>IF($G361="","",IF($X361="CONTEXTE INCOMPLET","CONTEXTE INCOMPLET",IF($X361="DOUBLON",StatutDoublon,IF($S361="",StatutInitial,IF($R361="",StatutStandardManquant,IF($V361="","DONNEES INSUFFISANTES",IF($V361&gt;=SeuilConforme,StatutConforme,IF($V361&gt;=SeuilSurveiller,StatutSurveiller,StatutSousStandard))))))))</f>
        <v/>
      </c>
      <c r="X361" s="33">
        <f>IF($G361="","",IF(OR($D361="",$E361="",$F361=""),"CONTEXTE INCOMPLET",IF(COUNTIFS($D$3:$D360,$D361,$E$3:$E360,$E361,$F$3:$F360,$F361,$G$3:$G360,$G361)&gt;0,"DOUBLON","VALIDE")))</f>
        <v/>
      </c>
    </row>
    <row r="362" ht="15" customHeight="1">
      <c r="A362" s="12">
        <f>IF(OR($B362="",$G362=""),"",TEXT($B362,"YYYYMMDD")&amp;"-"&amp;SUBSTITUTE($E362," ","")&amp;"-"&amp;$F362&amp;"-"&amp;$G362)</f>
        <v/>
      </c>
      <c r="B362" s="15" t="n"/>
      <c r="C362" s="16" t="n"/>
      <c r="D362" s="10" t="n"/>
      <c r="E362" s="9" t="n"/>
      <c r="F362" s="9" t="n"/>
      <c r="G362" s="13" t="n"/>
      <c r="H362" s="21" t="n"/>
      <c r="I362" s="21" t="n"/>
      <c r="J362" s="17">
        <f>IF($G362="","",IFERROR(INDEX(NomsEmployes,MATCH($G362,MatriculesEmployes,0)),"MATRICULE INCONNU"))</f>
        <v/>
      </c>
      <c r="K362" s="33">
        <f>IF(OR($D362="",$F362=""),"",IFERROR(IF(INDEX(RUNS!$L$6:$S$1005,MATCH($D362,RUNS!$A$6:$A$1005,0),MATCH("ACTIVITÉ "&amp;$F362,RUNS!$L$5:$S$5,0))="","",INDEX(RUNS!$L$6:$S$1005,MATCH($D362,RUNS!$A$6:$A$1005,0),MATCH("ACTIVITÉ "&amp;$F362,RUNS!$L$5:$S$5,0))),""))</f>
        <v/>
      </c>
      <c r="L362" s="33">
        <f>IF($D362="","",IFERROR(IF(INDEX(RUNS!$E$6:$E$1005,MATCH($D362,RUNS!$A$6:$A$1005,0))="","",INDEX(RUNS!$E$6:$E$1005,MATCH($D362,RUNS!$A$6:$A$1005,0))),""))</f>
        <v/>
      </c>
      <c r="M362" s="33">
        <f>IF($D362="","",IFERROR(IF(INDEX(RUNS!$F$6:$F$1005,MATCH($D362,RUNS!$A$6:$A$1005,0))="","",INDEX(RUNS!$F$6:$F$1005,MATCH($D362,RUNS!$A$6:$A$1005,0))),""))</f>
        <v/>
      </c>
      <c r="N362" s="33">
        <f>IF($D362="","",IFERROR(IF(INDEX(RUNS!$G$6:$G$1005,MATCH($D362,RUNS!$A$6:$A$1005,0))="","",INDEX(RUNS!$G$6:$G$1005,MATCH($D362,RUNS!$A$6:$A$1005,0))),""))</f>
        <v/>
      </c>
      <c r="O362" s="33">
        <f>IF($D362="","",IFERROR(IF(INDEX(RUNS!$H$6:$H$1005,MATCH($D362,RUNS!$A$6:$A$1005,0))="","",INDEX(RUNS!$H$6:$H$1005,MATCH($D362,RUNS!$A$6:$A$1005,0))),""))</f>
        <v/>
      </c>
      <c r="P362" s="33">
        <f>IF($D362="","",IFERROR(IF(INDEX(RUNS!$J$6:$J$1005,MATCH($D362,RUNS!$A$6:$A$1005,0))="","",INDEX(RUNS!$J$6:$J$1005,MATCH($D362,RUNS!$A$6:$A$1005,0))),""))</f>
        <v/>
      </c>
      <c r="Q362" s="33">
        <f>IF($D362="","",IFERROR(IF(INDEX(RUNS!$K$6:$K$1005,MATCH($D362,RUNS!$A$6:$A$1005,0))="","",INDEX(RUNS!$K$6:$K$1005,MATCH($D362,RUNS!$A$6:$A$1005,0))),""))</f>
        <v/>
      </c>
      <c r="R362" s="34">
        <f>IF(OR($L362="",$K362=""),"",IFERROR(IF(INDEX(PARAMETRES!$H$43:$H$342,MATCH($L362&amp;"|"&amp;$M362&amp;"|"&amp;$N362&amp;"|"&amp;$O362&amp;"|"&amp;$P362&amp;"|"&amp;$Q362&amp;"|"&amp;$K362,PARAMETRES!$J$43:$J$342,0))="","",INDEX(PARAMETRES!$H$43:$H$342,MATCH($L362&amp;"|"&amp;$M362&amp;"|"&amp;$N362&amp;"|"&amp;$O362&amp;"|"&amp;$P362&amp;"|"&amp;$Q362&amp;"|"&amp;$K362,PARAMETRES!$J$43:$J$342,0))),""))</f>
        <v/>
      </c>
      <c r="S362" s="35">
        <f>IF(OR($G362="",$X362&lt;&gt;"VALIDE"),"",IFERROR(LOOKUP(2,1/(($B$3:$B361=$B362)*($G$3:$G361=$G362)*($X$3:$X361="VALIDE")),$C$3:$C361),""))</f>
        <v/>
      </c>
      <c r="T362" s="36">
        <f>IF(OR($C362="",$S362=""),"",ROUND(($C362-$S362+IF($C362&lt;$S362,1,0))*1440,0))</f>
        <v/>
      </c>
      <c r="U362" s="22">
        <f>IF(OR($H362="",$T362="",$T362&lt;=0),"",$H362*60/$T362)</f>
        <v/>
      </c>
      <c r="V362" s="37">
        <f>IF(OR($U362="",$R362="",$R362=0),"",$U362/$R362)</f>
        <v/>
      </c>
      <c r="W362" s="20">
        <f>IF($G362="","",IF($X362="CONTEXTE INCOMPLET","CONTEXTE INCOMPLET",IF($X362="DOUBLON",StatutDoublon,IF($S362="",StatutInitial,IF($R362="",StatutStandardManquant,IF($V362="","DONNEES INSUFFISANTES",IF($V362&gt;=SeuilConforme,StatutConforme,IF($V362&gt;=SeuilSurveiller,StatutSurveiller,StatutSousStandard))))))))</f>
        <v/>
      </c>
      <c r="X362" s="33">
        <f>IF($G362="","",IF(OR($D362="",$E362="",$F362=""),"CONTEXTE INCOMPLET",IF(COUNTIFS($D$3:$D361,$D362,$E$3:$E361,$E362,$F$3:$F361,$F362,$G$3:$G361,$G362)&gt;0,"DOUBLON","VALIDE")))</f>
        <v/>
      </c>
    </row>
    <row r="363" ht="15" customHeight="1">
      <c r="A363" s="12">
        <f>IF(OR($B363="",$G363=""),"",TEXT($B363,"YYYYMMDD")&amp;"-"&amp;SUBSTITUTE($E363," ","")&amp;"-"&amp;$F363&amp;"-"&amp;$G363)</f>
        <v/>
      </c>
      <c r="B363" s="15" t="n"/>
      <c r="C363" s="16" t="n"/>
      <c r="D363" s="10" t="n"/>
      <c r="E363" s="9" t="n"/>
      <c r="F363" s="9" t="n"/>
      <c r="G363" s="13" t="n"/>
      <c r="H363" s="21" t="n"/>
      <c r="I363" s="21" t="n"/>
      <c r="J363" s="17">
        <f>IF($G363="","",IFERROR(INDEX(NomsEmployes,MATCH($G363,MatriculesEmployes,0)),"MATRICULE INCONNU"))</f>
        <v/>
      </c>
      <c r="K363" s="33">
        <f>IF(OR($D363="",$F363=""),"",IFERROR(IF(INDEX(RUNS!$L$6:$S$1005,MATCH($D363,RUNS!$A$6:$A$1005,0),MATCH("ACTIVITÉ "&amp;$F363,RUNS!$L$5:$S$5,0))="","",INDEX(RUNS!$L$6:$S$1005,MATCH($D363,RUNS!$A$6:$A$1005,0),MATCH("ACTIVITÉ "&amp;$F363,RUNS!$L$5:$S$5,0))),""))</f>
        <v/>
      </c>
      <c r="L363" s="33">
        <f>IF($D363="","",IFERROR(IF(INDEX(RUNS!$E$6:$E$1005,MATCH($D363,RUNS!$A$6:$A$1005,0))="","",INDEX(RUNS!$E$6:$E$1005,MATCH($D363,RUNS!$A$6:$A$1005,0))),""))</f>
        <v/>
      </c>
      <c r="M363" s="33">
        <f>IF($D363="","",IFERROR(IF(INDEX(RUNS!$F$6:$F$1005,MATCH($D363,RUNS!$A$6:$A$1005,0))="","",INDEX(RUNS!$F$6:$F$1005,MATCH($D363,RUNS!$A$6:$A$1005,0))),""))</f>
        <v/>
      </c>
      <c r="N363" s="33">
        <f>IF($D363="","",IFERROR(IF(INDEX(RUNS!$G$6:$G$1005,MATCH($D363,RUNS!$A$6:$A$1005,0))="","",INDEX(RUNS!$G$6:$G$1005,MATCH($D363,RUNS!$A$6:$A$1005,0))),""))</f>
        <v/>
      </c>
      <c r="O363" s="33">
        <f>IF($D363="","",IFERROR(IF(INDEX(RUNS!$H$6:$H$1005,MATCH($D363,RUNS!$A$6:$A$1005,0))="","",INDEX(RUNS!$H$6:$H$1005,MATCH($D363,RUNS!$A$6:$A$1005,0))),""))</f>
        <v/>
      </c>
      <c r="P363" s="33">
        <f>IF($D363="","",IFERROR(IF(INDEX(RUNS!$J$6:$J$1005,MATCH($D363,RUNS!$A$6:$A$1005,0))="","",INDEX(RUNS!$J$6:$J$1005,MATCH($D363,RUNS!$A$6:$A$1005,0))),""))</f>
        <v/>
      </c>
      <c r="Q363" s="33">
        <f>IF($D363="","",IFERROR(IF(INDEX(RUNS!$K$6:$K$1005,MATCH($D363,RUNS!$A$6:$A$1005,0))="","",INDEX(RUNS!$K$6:$K$1005,MATCH($D363,RUNS!$A$6:$A$1005,0))),""))</f>
        <v/>
      </c>
      <c r="R363" s="34">
        <f>IF(OR($L363="",$K363=""),"",IFERROR(IF(INDEX(PARAMETRES!$H$43:$H$342,MATCH($L363&amp;"|"&amp;$M363&amp;"|"&amp;$N363&amp;"|"&amp;$O363&amp;"|"&amp;$P363&amp;"|"&amp;$Q363&amp;"|"&amp;$K363,PARAMETRES!$J$43:$J$342,0))="","",INDEX(PARAMETRES!$H$43:$H$342,MATCH($L363&amp;"|"&amp;$M363&amp;"|"&amp;$N363&amp;"|"&amp;$O363&amp;"|"&amp;$P363&amp;"|"&amp;$Q363&amp;"|"&amp;$K363,PARAMETRES!$J$43:$J$342,0))),""))</f>
        <v/>
      </c>
      <c r="S363" s="35">
        <f>IF(OR($G363="",$X363&lt;&gt;"VALIDE"),"",IFERROR(LOOKUP(2,1/(($B$3:$B362=$B363)*($G$3:$G362=$G363)*($X$3:$X362="VALIDE")),$C$3:$C362),""))</f>
        <v/>
      </c>
      <c r="T363" s="36">
        <f>IF(OR($C363="",$S363=""),"",ROUND(($C363-$S363+IF($C363&lt;$S363,1,0))*1440,0))</f>
        <v/>
      </c>
      <c r="U363" s="22">
        <f>IF(OR($H363="",$T363="",$T363&lt;=0),"",$H363*60/$T363)</f>
        <v/>
      </c>
      <c r="V363" s="37">
        <f>IF(OR($U363="",$R363="",$R363=0),"",$U363/$R363)</f>
        <v/>
      </c>
      <c r="W363" s="20">
        <f>IF($G363="","",IF($X363="CONTEXTE INCOMPLET","CONTEXTE INCOMPLET",IF($X363="DOUBLON",StatutDoublon,IF($S363="",StatutInitial,IF($R363="",StatutStandardManquant,IF($V363="","DONNEES INSUFFISANTES",IF($V363&gt;=SeuilConforme,StatutConforme,IF($V363&gt;=SeuilSurveiller,StatutSurveiller,StatutSousStandard))))))))</f>
        <v/>
      </c>
      <c r="X363" s="33">
        <f>IF($G363="","",IF(OR($D363="",$E363="",$F363=""),"CONTEXTE INCOMPLET",IF(COUNTIFS($D$3:$D362,$D363,$E$3:$E362,$E363,$F$3:$F362,$F363,$G$3:$G362,$G363)&gt;0,"DOUBLON","VALIDE")))</f>
        <v/>
      </c>
    </row>
    <row r="364" ht="15" customHeight="1">
      <c r="A364" s="12">
        <f>IF(OR($B364="",$G364=""),"",TEXT($B364,"YYYYMMDD")&amp;"-"&amp;SUBSTITUTE($E364," ","")&amp;"-"&amp;$F364&amp;"-"&amp;$G364)</f>
        <v/>
      </c>
      <c r="B364" s="15" t="n"/>
      <c r="C364" s="16" t="n"/>
      <c r="D364" s="10" t="n"/>
      <c r="E364" s="9" t="n"/>
      <c r="F364" s="9" t="n"/>
      <c r="G364" s="13" t="n"/>
      <c r="H364" s="21" t="n"/>
      <c r="I364" s="21" t="n"/>
      <c r="J364" s="17">
        <f>IF($G364="","",IFERROR(INDEX(NomsEmployes,MATCH($G364,MatriculesEmployes,0)),"MATRICULE INCONNU"))</f>
        <v/>
      </c>
      <c r="K364" s="33">
        <f>IF(OR($D364="",$F364=""),"",IFERROR(IF(INDEX(RUNS!$L$6:$S$1005,MATCH($D364,RUNS!$A$6:$A$1005,0),MATCH("ACTIVITÉ "&amp;$F364,RUNS!$L$5:$S$5,0))="","",INDEX(RUNS!$L$6:$S$1005,MATCH($D364,RUNS!$A$6:$A$1005,0),MATCH("ACTIVITÉ "&amp;$F364,RUNS!$L$5:$S$5,0))),""))</f>
        <v/>
      </c>
      <c r="L364" s="33">
        <f>IF($D364="","",IFERROR(IF(INDEX(RUNS!$E$6:$E$1005,MATCH($D364,RUNS!$A$6:$A$1005,0))="","",INDEX(RUNS!$E$6:$E$1005,MATCH($D364,RUNS!$A$6:$A$1005,0))),""))</f>
        <v/>
      </c>
      <c r="M364" s="33">
        <f>IF($D364="","",IFERROR(IF(INDEX(RUNS!$F$6:$F$1005,MATCH($D364,RUNS!$A$6:$A$1005,0))="","",INDEX(RUNS!$F$6:$F$1005,MATCH($D364,RUNS!$A$6:$A$1005,0))),""))</f>
        <v/>
      </c>
      <c r="N364" s="33">
        <f>IF($D364="","",IFERROR(IF(INDEX(RUNS!$G$6:$G$1005,MATCH($D364,RUNS!$A$6:$A$1005,0))="","",INDEX(RUNS!$G$6:$G$1005,MATCH($D364,RUNS!$A$6:$A$1005,0))),""))</f>
        <v/>
      </c>
      <c r="O364" s="33">
        <f>IF($D364="","",IFERROR(IF(INDEX(RUNS!$H$6:$H$1005,MATCH($D364,RUNS!$A$6:$A$1005,0))="","",INDEX(RUNS!$H$6:$H$1005,MATCH($D364,RUNS!$A$6:$A$1005,0))),""))</f>
        <v/>
      </c>
      <c r="P364" s="33">
        <f>IF($D364="","",IFERROR(IF(INDEX(RUNS!$J$6:$J$1005,MATCH($D364,RUNS!$A$6:$A$1005,0))="","",INDEX(RUNS!$J$6:$J$1005,MATCH($D364,RUNS!$A$6:$A$1005,0))),""))</f>
        <v/>
      </c>
      <c r="Q364" s="33">
        <f>IF($D364="","",IFERROR(IF(INDEX(RUNS!$K$6:$K$1005,MATCH($D364,RUNS!$A$6:$A$1005,0))="","",INDEX(RUNS!$K$6:$K$1005,MATCH($D364,RUNS!$A$6:$A$1005,0))),""))</f>
        <v/>
      </c>
      <c r="R364" s="34">
        <f>IF(OR($L364="",$K364=""),"",IFERROR(IF(INDEX(PARAMETRES!$H$43:$H$342,MATCH($L364&amp;"|"&amp;$M364&amp;"|"&amp;$N364&amp;"|"&amp;$O364&amp;"|"&amp;$P364&amp;"|"&amp;$Q364&amp;"|"&amp;$K364,PARAMETRES!$J$43:$J$342,0))="","",INDEX(PARAMETRES!$H$43:$H$342,MATCH($L364&amp;"|"&amp;$M364&amp;"|"&amp;$N364&amp;"|"&amp;$O364&amp;"|"&amp;$P364&amp;"|"&amp;$Q364&amp;"|"&amp;$K364,PARAMETRES!$J$43:$J$342,0))),""))</f>
        <v/>
      </c>
      <c r="S364" s="35">
        <f>IF(OR($G364="",$X364&lt;&gt;"VALIDE"),"",IFERROR(LOOKUP(2,1/(($B$3:$B363=$B364)*($G$3:$G363=$G364)*($X$3:$X363="VALIDE")),$C$3:$C363),""))</f>
        <v/>
      </c>
      <c r="T364" s="36">
        <f>IF(OR($C364="",$S364=""),"",ROUND(($C364-$S364+IF($C364&lt;$S364,1,0))*1440,0))</f>
        <v/>
      </c>
      <c r="U364" s="22">
        <f>IF(OR($H364="",$T364="",$T364&lt;=0),"",$H364*60/$T364)</f>
        <v/>
      </c>
      <c r="V364" s="37">
        <f>IF(OR($U364="",$R364="",$R364=0),"",$U364/$R364)</f>
        <v/>
      </c>
      <c r="W364" s="20">
        <f>IF($G364="","",IF($X364="CONTEXTE INCOMPLET","CONTEXTE INCOMPLET",IF($X364="DOUBLON",StatutDoublon,IF($S364="",StatutInitial,IF($R364="",StatutStandardManquant,IF($V364="","DONNEES INSUFFISANTES",IF($V364&gt;=SeuilConforme,StatutConforme,IF($V364&gt;=SeuilSurveiller,StatutSurveiller,StatutSousStandard))))))))</f>
        <v/>
      </c>
      <c r="X364" s="33">
        <f>IF($G364="","",IF(OR($D364="",$E364="",$F364=""),"CONTEXTE INCOMPLET",IF(COUNTIFS($D$3:$D363,$D364,$E$3:$E363,$E364,$F$3:$F363,$F364,$G$3:$G363,$G364)&gt;0,"DOUBLON","VALIDE")))</f>
        <v/>
      </c>
    </row>
    <row r="365" ht="15" customHeight="1">
      <c r="A365" s="12">
        <f>IF(OR($B365="",$G365=""),"",TEXT($B365,"YYYYMMDD")&amp;"-"&amp;SUBSTITUTE($E365," ","")&amp;"-"&amp;$F365&amp;"-"&amp;$G365)</f>
        <v/>
      </c>
      <c r="B365" s="15" t="n"/>
      <c r="C365" s="16" t="n"/>
      <c r="D365" s="10" t="n"/>
      <c r="E365" s="9" t="n"/>
      <c r="F365" s="9" t="n"/>
      <c r="G365" s="13" t="n"/>
      <c r="H365" s="21" t="n"/>
      <c r="I365" s="21" t="n"/>
      <c r="J365" s="17">
        <f>IF($G365="","",IFERROR(INDEX(NomsEmployes,MATCH($G365,MatriculesEmployes,0)),"MATRICULE INCONNU"))</f>
        <v/>
      </c>
      <c r="K365" s="33">
        <f>IF(OR($D365="",$F365=""),"",IFERROR(IF(INDEX(RUNS!$L$6:$S$1005,MATCH($D365,RUNS!$A$6:$A$1005,0),MATCH("ACTIVITÉ "&amp;$F365,RUNS!$L$5:$S$5,0))="","",INDEX(RUNS!$L$6:$S$1005,MATCH($D365,RUNS!$A$6:$A$1005,0),MATCH("ACTIVITÉ "&amp;$F365,RUNS!$L$5:$S$5,0))),""))</f>
        <v/>
      </c>
      <c r="L365" s="33">
        <f>IF($D365="","",IFERROR(IF(INDEX(RUNS!$E$6:$E$1005,MATCH($D365,RUNS!$A$6:$A$1005,0))="","",INDEX(RUNS!$E$6:$E$1005,MATCH($D365,RUNS!$A$6:$A$1005,0))),""))</f>
        <v/>
      </c>
      <c r="M365" s="33">
        <f>IF($D365="","",IFERROR(IF(INDEX(RUNS!$F$6:$F$1005,MATCH($D365,RUNS!$A$6:$A$1005,0))="","",INDEX(RUNS!$F$6:$F$1005,MATCH($D365,RUNS!$A$6:$A$1005,0))),""))</f>
        <v/>
      </c>
      <c r="N365" s="33">
        <f>IF($D365="","",IFERROR(IF(INDEX(RUNS!$G$6:$G$1005,MATCH($D365,RUNS!$A$6:$A$1005,0))="","",INDEX(RUNS!$G$6:$G$1005,MATCH($D365,RUNS!$A$6:$A$1005,0))),""))</f>
        <v/>
      </c>
      <c r="O365" s="33">
        <f>IF($D365="","",IFERROR(IF(INDEX(RUNS!$H$6:$H$1005,MATCH($D365,RUNS!$A$6:$A$1005,0))="","",INDEX(RUNS!$H$6:$H$1005,MATCH($D365,RUNS!$A$6:$A$1005,0))),""))</f>
        <v/>
      </c>
      <c r="P365" s="33">
        <f>IF($D365="","",IFERROR(IF(INDEX(RUNS!$J$6:$J$1005,MATCH($D365,RUNS!$A$6:$A$1005,0))="","",INDEX(RUNS!$J$6:$J$1005,MATCH($D365,RUNS!$A$6:$A$1005,0))),""))</f>
        <v/>
      </c>
      <c r="Q365" s="33">
        <f>IF($D365="","",IFERROR(IF(INDEX(RUNS!$K$6:$K$1005,MATCH($D365,RUNS!$A$6:$A$1005,0))="","",INDEX(RUNS!$K$6:$K$1005,MATCH($D365,RUNS!$A$6:$A$1005,0))),""))</f>
        <v/>
      </c>
      <c r="R365" s="34">
        <f>IF(OR($L365="",$K365=""),"",IFERROR(IF(INDEX(PARAMETRES!$H$43:$H$342,MATCH($L365&amp;"|"&amp;$M365&amp;"|"&amp;$N365&amp;"|"&amp;$O365&amp;"|"&amp;$P365&amp;"|"&amp;$Q365&amp;"|"&amp;$K365,PARAMETRES!$J$43:$J$342,0))="","",INDEX(PARAMETRES!$H$43:$H$342,MATCH($L365&amp;"|"&amp;$M365&amp;"|"&amp;$N365&amp;"|"&amp;$O365&amp;"|"&amp;$P365&amp;"|"&amp;$Q365&amp;"|"&amp;$K365,PARAMETRES!$J$43:$J$342,0))),""))</f>
        <v/>
      </c>
      <c r="S365" s="35">
        <f>IF(OR($G365="",$X365&lt;&gt;"VALIDE"),"",IFERROR(LOOKUP(2,1/(($B$3:$B364=$B365)*($G$3:$G364=$G365)*($X$3:$X364="VALIDE")),$C$3:$C364),""))</f>
        <v/>
      </c>
      <c r="T365" s="36">
        <f>IF(OR($C365="",$S365=""),"",ROUND(($C365-$S365+IF($C365&lt;$S365,1,0))*1440,0))</f>
        <v/>
      </c>
      <c r="U365" s="22">
        <f>IF(OR($H365="",$T365="",$T365&lt;=0),"",$H365*60/$T365)</f>
        <v/>
      </c>
      <c r="V365" s="37">
        <f>IF(OR($U365="",$R365="",$R365=0),"",$U365/$R365)</f>
        <v/>
      </c>
      <c r="W365" s="20">
        <f>IF($G365="","",IF($X365="CONTEXTE INCOMPLET","CONTEXTE INCOMPLET",IF($X365="DOUBLON",StatutDoublon,IF($S365="",StatutInitial,IF($R365="",StatutStandardManquant,IF($V365="","DONNEES INSUFFISANTES",IF($V365&gt;=SeuilConforme,StatutConforme,IF($V365&gt;=SeuilSurveiller,StatutSurveiller,StatutSousStandard))))))))</f>
        <v/>
      </c>
      <c r="X365" s="33">
        <f>IF($G365="","",IF(OR($D365="",$E365="",$F365=""),"CONTEXTE INCOMPLET",IF(COUNTIFS($D$3:$D364,$D365,$E$3:$E364,$E365,$F$3:$F364,$F365,$G$3:$G364,$G365)&gt;0,"DOUBLON","VALIDE")))</f>
        <v/>
      </c>
    </row>
    <row r="366" ht="15" customHeight="1">
      <c r="A366" s="12">
        <f>IF(OR($B366="",$G366=""),"",TEXT($B366,"YYYYMMDD")&amp;"-"&amp;SUBSTITUTE($E366," ","")&amp;"-"&amp;$F366&amp;"-"&amp;$G366)</f>
        <v/>
      </c>
      <c r="B366" s="15" t="n"/>
      <c r="C366" s="16" t="n"/>
      <c r="D366" s="10" t="n"/>
      <c r="E366" s="9" t="n"/>
      <c r="F366" s="9" t="n"/>
      <c r="G366" s="13" t="n"/>
      <c r="H366" s="21" t="n"/>
      <c r="I366" s="21" t="n"/>
      <c r="J366" s="17">
        <f>IF($G366="","",IFERROR(INDEX(NomsEmployes,MATCH($G366,MatriculesEmployes,0)),"MATRICULE INCONNU"))</f>
        <v/>
      </c>
      <c r="K366" s="33">
        <f>IF(OR($D366="",$F366=""),"",IFERROR(IF(INDEX(RUNS!$L$6:$S$1005,MATCH($D366,RUNS!$A$6:$A$1005,0),MATCH("ACTIVITÉ "&amp;$F366,RUNS!$L$5:$S$5,0))="","",INDEX(RUNS!$L$6:$S$1005,MATCH($D366,RUNS!$A$6:$A$1005,0),MATCH("ACTIVITÉ "&amp;$F366,RUNS!$L$5:$S$5,0))),""))</f>
        <v/>
      </c>
      <c r="L366" s="33">
        <f>IF($D366="","",IFERROR(IF(INDEX(RUNS!$E$6:$E$1005,MATCH($D366,RUNS!$A$6:$A$1005,0))="","",INDEX(RUNS!$E$6:$E$1005,MATCH($D366,RUNS!$A$6:$A$1005,0))),""))</f>
        <v/>
      </c>
      <c r="M366" s="33">
        <f>IF($D366="","",IFERROR(IF(INDEX(RUNS!$F$6:$F$1005,MATCH($D366,RUNS!$A$6:$A$1005,0))="","",INDEX(RUNS!$F$6:$F$1005,MATCH($D366,RUNS!$A$6:$A$1005,0))),""))</f>
        <v/>
      </c>
      <c r="N366" s="33">
        <f>IF($D366="","",IFERROR(IF(INDEX(RUNS!$G$6:$G$1005,MATCH($D366,RUNS!$A$6:$A$1005,0))="","",INDEX(RUNS!$G$6:$G$1005,MATCH($D366,RUNS!$A$6:$A$1005,0))),""))</f>
        <v/>
      </c>
      <c r="O366" s="33">
        <f>IF($D366="","",IFERROR(IF(INDEX(RUNS!$H$6:$H$1005,MATCH($D366,RUNS!$A$6:$A$1005,0))="","",INDEX(RUNS!$H$6:$H$1005,MATCH($D366,RUNS!$A$6:$A$1005,0))),""))</f>
        <v/>
      </c>
      <c r="P366" s="33">
        <f>IF($D366="","",IFERROR(IF(INDEX(RUNS!$J$6:$J$1005,MATCH($D366,RUNS!$A$6:$A$1005,0))="","",INDEX(RUNS!$J$6:$J$1005,MATCH($D366,RUNS!$A$6:$A$1005,0))),""))</f>
        <v/>
      </c>
      <c r="Q366" s="33">
        <f>IF($D366="","",IFERROR(IF(INDEX(RUNS!$K$6:$K$1005,MATCH($D366,RUNS!$A$6:$A$1005,0))="","",INDEX(RUNS!$K$6:$K$1005,MATCH($D366,RUNS!$A$6:$A$1005,0))),""))</f>
        <v/>
      </c>
      <c r="R366" s="34">
        <f>IF(OR($L366="",$K366=""),"",IFERROR(IF(INDEX(PARAMETRES!$H$43:$H$342,MATCH($L366&amp;"|"&amp;$M366&amp;"|"&amp;$N366&amp;"|"&amp;$O366&amp;"|"&amp;$P366&amp;"|"&amp;$Q366&amp;"|"&amp;$K366,PARAMETRES!$J$43:$J$342,0))="","",INDEX(PARAMETRES!$H$43:$H$342,MATCH($L366&amp;"|"&amp;$M366&amp;"|"&amp;$N366&amp;"|"&amp;$O366&amp;"|"&amp;$P366&amp;"|"&amp;$Q366&amp;"|"&amp;$K366,PARAMETRES!$J$43:$J$342,0))),""))</f>
        <v/>
      </c>
      <c r="S366" s="35">
        <f>IF(OR($G366="",$X366&lt;&gt;"VALIDE"),"",IFERROR(LOOKUP(2,1/(($B$3:$B365=$B366)*($G$3:$G365=$G366)*($X$3:$X365="VALIDE")),$C$3:$C365),""))</f>
        <v/>
      </c>
      <c r="T366" s="36">
        <f>IF(OR($C366="",$S366=""),"",ROUND(($C366-$S366+IF($C366&lt;$S366,1,0))*1440,0))</f>
        <v/>
      </c>
      <c r="U366" s="22">
        <f>IF(OR($H366="",$T366="",$T366&lt;=0),"",$H366*60/$T366)</f>
        <v/>
      </c>
      <c r="V366" s="37">
        <f>IF(OR($U366="",$R366="",$R366=0),"",$U366/$R366)</f>
        <v/>
      </c>
      <c r="W366" s="20">
        <f>IF($G366="","",IF($X366="CONTEXTE INCOMPLET","CONTEXTE INCOMPLET",IF($X366="DOUBLON",StatutDoublon,IF($S366="",StatutInitial,IF($R366="",StatutStandardManquant,IF($V366="","DONNEES INSUFFISANTES",IF($V366&gt;=SeuilConforme,StatutConforme,IF($V366&gt;=SeuilSurveiller,StatutSurveiller,StatutSousStandard))))))))</f>
        <v/>
      </c>
      <c r="X366" s="33">
        <f>IF($G366="","",IF(OR($D366="",$E366="",$F366=""),"CONTEXTE INCOMPLET",IF(COUNTIFS($D$3:$D365,$D366,$E$3:$E365,$E366,$F$3:$F365,$F366,$G$3:$G365,$G366)&gt;0,"DOUBLON","VALIDE")))</f>
        <v/>
      </c>
    </row>
    <row r="367" ht="15" customHeight="1">
      <c r="A367" s="12">
        <f>IF(OR($B367="",$G367=""),"",TEXT($B367,"YYYYMMDD")&amp;"-"&amp;SUBSTITUTE($E367," ","")&amp;"-"&amp;$F367&amp;"-"&amp;$G367)</f>
        <v/>
      </c>
      <c r="B367" s="15" t="n"/>
      <c r="C367" s="16" t="n"/>
      <c r="D367" s="10" t="n"/>
      <c r="E367" s="9" t="n"/>
      <c r="F367" s="9" t="n"/>
      <c r="G367" s="13" t="n"/>
      <c r="H367" s="21" t="n"/>
      <c r="I367" s="21" t="n"/>
      <c r="J367" s="17">
        <f>IF($G367="","",IFERROR(INDEX(NomsEmployes,MATCH($G367,MatriculesEmployes,0)),"MATRICULE INCONNU"))</f>
        <v/>
      </c>
      <c r="K367" s="33">
        <f>IF(OR($D367="",$F367=""),"",IFERROR(IF(INDEX(RUNS!$L$6:$S$1005,MATCH($D367,RUNS!$A$6:$A$1005,0),MATCH("ACTIVITÉ "&amp;$F367,RUNS!$L$5:$S$5,0))="","",INDEX(RUNS!$L$6:$S$1005,MATCH($D367,RUNS!$A$6:$A$1005,0),MATCH("ACTIVITÉ "&amp;$F367,RUNS!$L$5:$S$5,0))),""))</f>
        <v/>
      </c>
      <c r="L367" s="33">
        <f>IF($D367="","",IFERROR(IF(INDEX(RUNS!$E$6:$E$1005,MATCH($D367,RUNS!$A$6:$A$1005,0))="","",INDEX(RUNS!$E$6:$E$1005,MATCH($D367,RUNS!$A$6:$A$1005,0))),""))</f>
        <v/>
      </c>
      <c r="M367" s="33">
        <f>IF($D367="","",IFERROR(IF(INDEX(RUNS!$F$6:$F$1005,MATCH($D367,RUNS!$A$6:$A$1005,0))="","",INDEX(RUNS!$F$6:$F$1005,MATCH($D367,RUNS!$A$6:$A$1005,0))),""))</f>
        <v/>
      </c>
      <c r="N367" s="33">
        <f>IF($D367="","",IFERROR(IF(INDEX(RUNS!$G$6:$G$1005,MATCH($D367,RUNS!$A$6:$A$1005,0))="","",INDEX(RUNS!$G$6:$G$1005,MATCH($D367,RUNS!$A$6:$A$1005,0))),""))</f>
        <v/>
      </c>
      <c r="O367" s="33">
        <f>IF($D367="","",IFERROR(IF(INDEX(RUNS!$H$6:$H$1005,MATCH($D367,RUNS!$A$6:$A$1005,0))="","",INDEX(RUNS!$H$6:$H$1005,MATCH($D367,RUNS!$A$6:$A$1005,0))),""))</f>
        <v/>
      </c>
      <c r="P367" s="33">
        <f>IF($D367="","",IFERROR(IF(INDEX(RUNS!$J$6:$J$1005,MATCH($D367,RUNS!$A$6:$A$1005,0))="","",INDEX(RUNS!$J$6:$J$1005,MATCH($D367,RUNS!$A$6:$A$1005,0))),""))</f>
        <v/>
      </c>
      <c r="Q367" s="33">
        <f>IF($D367="","",IFERROR(IF(INDEX(RUNS!$K$6:$K$1005,MATCH($D367,RUNS!$A$6:$A$1005,0))="","",INDEX(RUNS!$K$6:$K$1005,MATCH($D367,RUNS!$A$6:$A$1005,0))),""))</f>
        <v/>
      </c>
      <c r="R367" s="34">
        <f>IF(OR($L367="",$K367=""),"",IFERROR(IF(INDEX(PARAMETRES!$H$43:$H$342,MATCH($L367&amp;"|"&amp;$M367&amp;"|"&amp;$N367&amp;"|"&amp;$O367&amp;"|"&amp;$P367&amp;"|"&amp;$Q367&amp;"|"&amp;$K367,PARAMETRES!$J$43:$J$342,0))="","",INDEX(PARAMETRES!$H$43:$H$342,MATCH($L367&amp;"|"&amp;$M367&amp;"|"&amp;$N367&amp;"|"&amp;$O367&amp;"|"&amp;$P367&amp;"|"&amp;$Q367&amp;"|"&amp;$K367,PARAMETRES!$J$43:$J$342,0))),""))</f>
        <v/>
      </c>
      <c r="S367" s="35">
        <f>IF(OR($G367="",$X367&lt;&gt;"VALIDE"),"",IFERROR(LOOKUP(2,1/(($B$3:$B366=$B367)*($G$3:$G366=$G367)*($X$3:$X366="VALIDE")),$C$3:$C366),""))</f>
        <v/>
      </c>
      <c r="T367" s="36">
        <f>IF(OR($C367="",$S367=""),"",ROUND(($C367-$S367+IF($C367&lt;$S367,1,0))*1440,0))</f>
        <v/>
      </c>
      <c r="U367" s="22">
        <f>IF(OR($H367="",$T367="",$T367&lt;=0),"",$H367*60/$T367)</f>
        <v/>
      </c>
      <c r="V367" s="37">
        <f>IF(OR($U367="",$R367="",$R367=0),"",$U367/$R367)</f>
        <v/>
      </c>
      <c r="W367" s="20">
        <f>IF($G367="","",IF($X367="CONTEXTE INCOMPLET","CONTEXTE INCOMPLET",IF($X367="DOUBLON",StatutDoublon,IF($S367="",StatutInitial,IF($R367="",StatutStandardManquant,IF($V367="","DONNEES INSUFFISANTES",IF($V367&gt;=SeuilConforme,StatutConforme,IF($V367&gt;=SeuilSurveiller,StatutSurveiller,StatutSousStandard))))))))</f>
        <v/>
      </c>
      <c r="X367" s="33">
        <f>IF($G367="","",IF(OR($D367="",$E367="",$F367=""),"CONTEXTE INCOMPLET",IF(COUNTIFS($D$3:$D366,$D367,$E$3:$E366,$E367,$F$3:$F366,$F367,$G$3:$G366,$G367)&gt;0,"DOUBLON","VALIDE")))</f>
        <v/>
      </c>
    </row>
    <row r="368" ht="15" customHeight="1">
      <c r="A368" s="12">
        <f>IF(OR($B368="",$G368=""),"",TEXT($B368,"YYYYMMDD")&amp;"-"&amp;SUBSTITUTE($E368," ","")&amp;"-"&amp;$F368&amp;"-"&amp;$G368)</f>
        <v/>
      </c>
      <c r="B368" s="15" t="n"/>
      <c r="C368" s="16" t="n"/>
      <c r="D368" s="10" t="n"/>
      <c r="E368" s="9" t="n"/>
      <c r="F368" s="9" t="n"/>
      <c r="G368" s="13" t="n"/>
      <c r="H368" s="21" t="n"/>
      <c r="I368" s="21" t="n"/>
      <c r="J368" s="17">
        <f>IF($G368="","",IFERROR(INDEX(NomsEmployes,MATCH($G368,MatriculesEmployes,0)),"MATRICULE INCONNU"))</f>
        <v/>
      </c>
      <c r="K368" s="33">
        <f>IF(OR($D368="",$F368=""),"",IFERROR(IF(INDEX(RUNS!$L$6:$S$1005,MATCH($D368,RUNS!$A$6:$A$1005,0),MATCH("ACTIVITÉ "&amp;$F368,RUNS!$L$5:$S$5,0))="","",INDEX(RUNS!$L$6:$S$1005,MATCH($D368,RUNS!$A$6:$A$1005,0),MATCH("ACTIVITÉ "&amp;$F368,RUNS!$L$5:$S$5,0))),""))</f>
        <v/>
      </c>
      <c r="L368" s="33">
        <f>IF($D368="","",IFERROR(IF(INDEX(RUNS!$E$6:$E$1005,MATCH($D368,RUNS!$A$6:$A$1005,0))="","",INDEX(RUNS!$E$6:$E$1005,MATCH($D368,RUNS!$A$6:$A$1005,0))),""))</f>
        <v/>
      </c>
      <c r="M368" s="33">
        <f>IF($D368="","",IFERROR(IF(INDEX(RUNS!$F$6:$F$1005,MATCH($D368,RUNS!$A$6:$A$1005,0))="","",INDEX(RUNS!$F$6:$F$1005,MATCH($D368,RUNS!$A$6:$A$1005,0))),""))</f>
        <v/>
      </c>
      <c r="N368" s="33">
        <f>IF($D368="","",IFERROR(IF(INDEX(RUNS!$G$6:$G$1005,MATCH($D368,RUNS!$A$6:$A$1005,0))="","",INDEX(RUNS!$G$6:$G$1005,MATCH($D368,RUNS!$A$6:$A$1005,0))),""))</f>
        <v/>
      </c>
      <c r="O368" s="33">
        <f>IF($D368="","",IFERROR(IF(INDEX(RUNS!$H$6:$H$1005,MATCH($D368,RUNS!$A$6:$A$1005,0))="","",INDEX(RUNS!$H$6:$H$1005,MATCH($D368,RUNS!$A$6:$A$1005,0))),""))</f>
        <v/>
      </c>
      <c r="P368" s="33">
        <f>IF($D368="","",IFERROR(IF(INDEX(RUNS!$J$6:$J$1005,MATCH($D368,RUNS!$A$6:$A$1005,0))="","",INDEX(RUNS!$J$6:$J$1005,MATCH($D368,RUNS!$A$6:$A$1005,0))),""))</f>
        <v/>
      </c>
      <c r="Q368" s="33">
        <f>IF($D368="","",IFERROR(IF(INDEX(RUNS!$K$6:$K$1005,MATCH($D368,RUNS!$A$6:$A$1005,0))="","",INDEX(RUNS!$K$6:$K$1005,MATCH($D368,RUNS!$A$6:$A$1005,0))),""))</f>
        <v/>
      </c>
      <c r="R368" s="34">
        <f>IF(OR($L368="",$K368=""),"",IFERROR(IF(INDEX(PARAMETRES!$H$43:$H$342,MATCH($L368&amp;"|"&amp;$M368&amp;"|"&amp;$N368&amp;"|"&amp;$O368&amp;"|"&amp;$P368&amp;"|"&amp;$Q368&amp;"|"&amp;$K368,PARAMETRES!$J$43:$J$342,0))="","",INDEX(PARAMETRES!$H$43:$H$342,MATCH($L368&amp;"|"&amp;$M368&amp;"|"&amp;$N368&amp;"|"&amp;$O368&amp;"|"&amp;$P368&amp;"|"&amp;$Q368&amp;"|"&amp;$K368,PARAMETRES!$J$43:$J$342,0))),""))</f>
        <v/>
      </c>
      <c r="S368" s="35">
        <f>IF(OR($G368="",$X368&lt;&gt;"VALIDE"),"",IFERROR(LOOKUP(2,1/(($B$3:$B367=$B368)*($G$3:$G367=$G368)*($X$3:$X367="VALIDE")),$C$3:$C367),""))</f>
        <v/>
      </c>
      <c r="T368" s="36">
        <f>IF(OR($C368="",$S368=""),"",ROUND(($C368-$S368+IF($C368&lt;$S368,1,0))*1440,0))</f>
        <v/>
      </c>
      <c r="U368" s="22">
        <f>IF(OR($H368="",$T368="",$T368&lt;=0),"",$H368*60/$T368)</f>
        <v/>
      </c>
      <c r="V368" s="37">
        <f>IF(OR($U368="",$R368="",$R368=0),"",$U368/$R368)</f>
        <v/>
      </c>
      <c r="W368" s="20">
        <f>IF($G368="","",IF($X368="CONTEXTE INCOMPLET","CONTEXTE INCOMPLET",IF($X368="DOUBLON",StatutDoublon,IF($S368="",StatutInitial,IF($R368="",StatutStandardManquant,IF($V368="","DONNEES INSUFFISANTES",IF($V368&gt;=SeuilConforme,StatutConforme,IF($V368&gt;=SeuilSurveiller,StatutSurveiller,StatutSousStandard))))))))</f>
        <v/>
      </c>
      <c r="X368" s="33">
        <f>IF($G368="","",IF(OR($D368="",$E368="",$F368=""),"CONTEXTE INCOMPLET",IF(COUNTIFS($D$3:$D367,$D368,$E$3:$E367,$E368,$F$3:$F367,$F368,$G$3:$G367,$G368)&gt;0,"DOUBLON","VALIDE")))</f>
        <v/>
      </c>
    </row>
    <row r="369" ht="15" customHeight="1">
      <c r="A369" s="12">
        <f>IF(OR($B369="",$G369=""),"",TEXT($B369,"YYYYMMDD")&amp;"-"&amp;SUBSTITUTE($E369," ","")&amp;"-"&amp;$F369&amp;"-"&amp;$G369)</f>
        <v/>
      </c>
      <c r="B369" s="15" t="n"/>
      <c r="C369" s="16" t="n"/>
      <c r="D369" s="10" t="n"/>
      <c r="E369" s="9" t="n"/>
      <c r="F369" s="9" t="n"/>
      <c r="G369" s="13" t="n"/>
      <c r="H369" s="21" t="n"/>
      <c r="I369" s="21" t="n"/>
      <c r="J369" s="17">
        <f>IF($G369="","",IFERROR(INDEX(NomsEmployes,MATCH($G369,MatriculesEmployes,0)),"MATRICULE INCONNU"))</f>
        <v/>
      </c>
      <c r="K369" s="33">
        <f>IF(OR($D369="",$F369=""),"",IFERROR(IF(INDEX(RUNS!$L$6:$S$1005,MATCH($D369,RUNS!$A$6:$A$1005,0),MATCH("ACTIVITÉ "&amp;$F369,RUNS!$L$5:$S$5,0))="","",INDEX(RUNS!$L$6:$S$1005,MATCH($D369,RUNS!$A$6:$A$1005,0),MATCH("ACTIVITÉ "&amp;$F369,RUNS!$L$5:$S$5,0))),""))</f>
        <v/>
      </c>
      <c r="L369" s="33">
        <f>IF($D369="","",IFERROR(IF(INDEX(RUNS!$E$6:$E$1005,MATCH($D369,RUNS!$A$6:$A$1005,0))="","",INDEX(RUNS!$E$6:$E$1005,MATCH($D369,RUNS!$A$6:$A$1005,0))),""))</f>
        <v/>
      </c>
      <c r="M369" s="33">
        <f>IF($D369="","",IFERROR(IF(INDEX(RUNS!$F$6:$F$1005,MATCH($D369,RUNS!$A$6:$A$1005,0))="","",INDEX(RUNS!$F$6:$F$1005,MATCH($D369,RUNS!$A$6:$A$1005,0))),""))</f>
        <v/>
      </c>
      <c r="N369" s="33">
        <f>IF($D369="","",IFERROR(IF(INDEX(RUNS!$G$6:$G$1005,MATCH($D369,RUNS!$A$6:$A$1005,0))="","",INDEX(RUNS!$G$6:$G$1005,MATCH($D369,RUNS!$A$6:$A$1005,0))),""))</f>
        <v/>
      </c>
      <c r="O369" s="33">
        <f>IF($D369="","",IFERROR(IF(INDEX(RUNS!$H$6:$H$1005,MATCH($D369,RUNS!$A$6:$A$1005,0))="","",INDEX(RUNS!$H$6:$H$1005,MATCH($D369,RUNS!$A$6:$A$1005,0))),""))</f>
        <v/>
      </c>
      <c r="P369" s="33">
        <f>IF($D369="","",IFERROR(IF(INDEX(RUNS!$J$6:$J$1005,MATCH($D369,RUNS!$A$6:$A$1005,0))="","",INDEX(RUNS!$J$6:$J$1005,MATCH($D369,RUNS!$A$6:$A$1005,0))),""))</f>
        <v/>
      </c>
      <c r="Q369" s="33">
        <f>IF($D369="","",IFERROR(IF(INDEX(RUNS!$K$6:$K$1005,MATCH($D369,RUNS!$A$6:$A$1005,0))="","",INDEX(RUNS!$K$6:$K$1005,MATCH($D369,RUNS!$A$6:$A$1005,0))),""))</f>
        <v/>
      </c>
      <c r="R369" s="34">
        <f>IF(OR($L369="",$K369=""),"",IFERROR(IF(INDEX(PARAMETRES!$H$43:$H$342,MATCH($L369&amp;"|"&amp;$M369&amp;"|"&amp;$N369&amp;"|"&amp;$O369&amp;"|"&amp;$P369&amp;"|"&amp;$Q369&amp;"|"&amp;$K369,PARAMETRES!$J$43:$J$342,0))="","",INDEX(PARAMETRES!$H$43:$H$342,MATCH($L369&amp;"|"&amp;$M369&amp;"|"&amp;$N369&amp;"|"&amp;$O369&amp;"|"&amp;$P369&amp;"|"&amp;$Q369&amp;"|"&amp;$K369,PARAMETRES!$J$43:$J$342,0))),""))</f>
        <v/>
      </c>
      <c r="S369" s="35">
        <f>IF(OR($G369="",$X369&lt;&gt;"VALIDE"),"",IFERROR(LOOKUP(2,1/(($B$3:$B368=$B369)*($G$3:$G368=$G369)*($X$3:$X368="VALIDE")),$C$3:$C368),""))</f>
        <v/>
      </c>
      <c r="T369" s="36">
        <f>IF(OR($C369="",$S369=""),"",ROUND(($C369-$S369+IF($C369&lt;$S369,1,0))*1440,0))</f>
        <v/>
      </c>
      <c r="U369" s="22">
        <f>IF(OR($H369="",$T369="",$T369&lt;=0),"",$H369*60/$T369)</f>
        <v/>
      </c>
      <c r="V369" s="37">
        <f>IF(OR($U369="",$R369="",$R369=0),"",$U369/$R369)</f>
        <v/>
      </c>
      <c r="W369" s="20">
        <f>IF($G369="","",IF($X369="CONTEXTE INCOMPLET","CONTEXTE INCOMPLET",IF($X369="DOUBLON",StatutDoublon,IF($S369="",StatutInitial,IF($R369="",StatutStandardManquant,IF($V369="","DONNEES INSUFFISANTES",IF($V369&gt;=SeuilConforme,StatutConforme,IF($V369&gt;=SeuilSurveiller,StatutSurveiller,StatutSousStandard))))))))</f>
        <v/>
      </c>
      <c r="X369" s="33">
        <f>IF($G369="","",IF(OR($D369="",$E369="",$F369=""),"CONTEXTE INCOMPLET",IF(COUNTIFS($D$3:$D368,$D369,$E$3:$E368,$E369,$F$3:$F368,$F369,$G$3:$G368,$G369)&gt;0,"DOUBLON","VALIDE")))</f>
        <v/>
      </c>
    </row>
    <row r="370" ht="15" customHeight="1">
      <c r="A370" s="12">
        <f>IF(OR($B370="",$G370=""),"",TEXT($B370,"YYYYMMDD")&amp;"-"&amp;SUBSTITUTE($E370," ","")&amp;"-"&amp;$F370&amp;"-"&amp;$G370)</f>
        <v/>
      </c>
      <c r="B370" s="15" t="n"/>
      <c r="C370" s="16" t="n"/>
      <c r="D370" s="10" t="n"/>
      <c r="E370" s="9" t="n"/>
      <c r="F370" s="9" t="n"/>
      <c r="G370" s="13" t="n"/>
      <c r="H370" s="21" t="n"/>
      <c r="I370" s="21" t="n"/>
      <c r="J370" s="17">
        <f>IF($G370="","",IFERROR(INDEX(NomsEmployes,MATCH($G370,MatriculesEmployes,0)),"MATRICULE INCONNU"))</f>
        <v/>
      </c>
      <c r="K370" s="33">
        <f>IF(OR($D370="",$F370=""),"",IFERROR(IF(INDEX(RUNS!$L$6:$S$1005,MATCH($D370,RUNS!$A$6:$A$1005,0),MATCH("ACTIVITÉ "&amp;$F370,RUNS!$L$5:$S$5,0))="","",INDEX(RUNS!$L$6:$S$1005,MATCH($D370,RUNS!$A$6:$A$1005,0),MATCH("ACTIVITÉ "&amp;$F370,RUNS!$L$5:$S$5,0))),""))</f>
        <v/>
      </c>
      <c r="L370" s="33">
        <f>IF($D370="","",IFERROR(IF(INDEX(RUNS!$E$6:$E$1005,MATCH($D370,RUNS!$A$6:$A$1005,0))="","",INDEX(RUNS!$E$6:$E$1005,MATCH($D370,RUNS!$A$6:$A$1005,0))),""))</f>
        <v/>
      </c>
      <c r="M370" s="33">
        <f>IF($D370="","",IFERROR(IF(INDEX(RUNS!$F$6:$F$1005,MATCH($D370,RUNS!$A$6:$A$1005,0))="","",INDEX(RUNS!$F$6:$F$1005,MATCH($D370,RUNS!$A$6:$A$1005,0))),""))</f>
        <v/>
      </c>
      <c r="N370" s="33">
        <f>IF($D370="","",IFERROR(IF(INDEX(RUNS!$G$6:$G$1005,MATCH($D370,RUNS!$A$6:$A$1005,0))="","",INDEX(RUNS!$G$6:$G$1005,MATCH($D370,RUNS!$A$6:$A$1005,0))),""))</f>
        <v/>
      </c>
      <c r="O370" s="33">
        <f>IF($D370="","",IFERROR(IF(INDEX(RUNS!$H$6:$H$1005,MATCH($D370,RUNS!$A$6:$A$1005,0))="","",INDEX(RUNS!$H$6:$H$1005,MATCH($D370,RUNS!$A$6:$A$1005,0))),""))</f>
        <v/>
      </c>
      <c r="P370" s="33">
        <f>IF($D370="","",IFERROR(IF(INDEX(RUNS!$J$6:$J$1005,MATCH($D370,RUNS!$A$6:$A$1005,0))="","",INDEX(RUNS!$J$6:$J$1005,MATCH($D370,RUNS!$A$6:$A$1005,0))),""))</f>
        <v/>
      </c>
      <c r="Q370" s="33">
        <f>IF($D370="","",IFERROR(IF(INDEX(RUNS!$K$6:$K$1005,MATCH($D370,RUNS!$A$6:$A$1005,0))="","",INDEX(RUNS!$K$6:$K$1005,MATCH($D370,RUNS!$A$6:$A$1005,0))),""))</f>
        <v/>
      </c>
      <c r="R370" s="34">
        <f>IF(OR($L370="",$K370=""),"",IFERROR(IF(INDEX(PARAMETRES!$H$43:$H$342,MATCH($L370&amp;"|"&amp;$M370&amp;"|"&amp;$N370&amp;"|"&amp;$O370&amp;"|"&amp;$P370&amp;"|"&amp;$Q370&amp;"|"&amp;$K370,PARAMETRES!$J$43:$J$342,0))="","",INDEX(PARAMETRES!$H$43:$H$342,MATCH($L370&amp;"|"&amp;$M370&amp;"|"&amp;$N370&amp;"|"&amp;$O370&amp;"|"&amp;$P370&amp;"|"&amp;$Q370&amp;"|"&amp;$K370,PARAMETRES!$J$43:$J$342,0))),""))</f>
        <v/>
      </c>
      <c r="S370" s="35">
        <f>IF(OR($G370="",$X370&lt;&gt;"VALIDE"),"",IFERROR(LOOKUP(2,1/(($B$3:$B369=$B370)*($G$3:$G369=$G370)*($X$3:$X369="VALIDE")),$C$3:$C369),""))</f>
        <v/>
      </c>
      <c r="T370" s="36">
        <f>IF(OR($C370="",$S370=""),"",ROUND(($C370-$S370+IF($C370&lt;$S370,1,0))*1440,0))</f>
        <v/>
      </c>
      <c r="U370" s="22">
        <f>IF(OR($H370="",$T370="",$T370&lt;=0),"",$H370*60/$T370)</f>
        <v/>
      </c>
      <c r="V370" s="37">
        <f>IF(OR($U370="",$R370="",$R370=0),"",$U370/$R370)</f>
        <v/>
      </c>
      <c r="W370" s="20">
        <f>IF($G370="","",IF($X370="CONTEXTE INCOMPLET","CONTEXTE INCOMPLET",IF($X370="DOUBLON",StatutDoublon,IF($S370="",StatutInitial,IF($R370="",StatutStandardManquant,IF($V370="","DONNEES INSUFFISANTES",IF($V370&gt;=SeuilConforme,StatutConforme,IF($V370&gt;=SeuilSurveiller,StatutSurveiller,StatutSousStandard))))))))</f>
        <v/>
      </c>
      <c r="X370" s="33">
        <f>IF($G370="","",IF(OR($D370="",$E370="",$F370=""),"CONTEXTE INCOMPLET",IF(COUNTIFS($D$3:$D369,$D370,$E$3:$E369,$E370,$F$3:$F369,$F370,$G$3:$G369,$G370)&gt;0,"DOUBLON","VALIDE")))</f>
        <v/>
      </c>
    </row>
    <row r="371" ht="15" customHeight="1">
      <c r="A371" s="12">
        <f>IF(OR($B371="",$G371=""),"",TEXT($B371,"YYYYMMDD")&amp;"-"&amp;SUBSTITUTE($E371," ","")&amp;"-"&amp;$F371&amp;"-"&amp;$G371)</f>
        <v/>
      </c>
      <c r="B371" s="15" t="n"/>
      <c r="C371" s="16" t="n"/>
      <c r="D371" s="10" t="n"/>
      <c r="E371" s="9" t="n"/>
      <c r="F371" s="9" t="n"/>
      <c r="G371" s="13" t="n"/>
      <c r="H371" s="21" t="n"/>
      <c r="I371" s="21" t="n"/>
      <c r="J371" s="17">
        <f>IF($G371="","",IFERROR(INDEX(NomsEmployes,MATCH($G371,MatriculesEmployes,0)),"MATRICULE INCONNU"))</f>
        <v/>
      </c>
      <c r="K371" s="33">
        <f>IF(OR($D371="",$F371=""),"",IFERROR(IF(INDEX(RUNS!$L$6:$S$1005,MATCH($D371,RUNS!$A$6:$A$1005,0),MATCH("ACTIVITÉ "&amp;$F371,RUNS!$L$5:$S$5,0))="","",INDEX(RUNS!$L$6:$S$1005,MATCH($D371,RUNS!$A$6:$A$1005,0),MATCH("ACTIVITÉ "&amp;$F371,RUNS!$L$5:$S$5,0))),""))</f>
        <v/>
      </c>
      <c r="L371" s="33">
        <f>IF($D371="","",IFERROR(IF(INDEX(RUNS!$E$6:$E$1005,MATCH($D371,RUNS!$A$6:$A$1005,0))="","",INDEX(RUNS!$E$6:$E$1005,MATCH($D371,RUNS!$A$6:$A$1005,0))),""))</f>
        <v/>
      </c>
      <c r="M371" s="33">
        <f>IF($D371="","",IFERROR(IF(INDEX(RUNS!$F$6:$F$1005,MATCH($D371,RUNS!$A$6:$A$1005,0))="","",INDEX(RUNS!$F$6:$F$1005,MATCH($D371,RUNS!$A$6:$A$1005,0))),""))</f>
        <v/>
      </c>
      <c r="N371" s="33">
        <f>IF($D371="","",IFERROR(IF(INDEX(RUNS!$G$6:$G$1005,MATCH($D371,RUNS!$A$6:$A$1005,0))="","",INDEX(RUNS!$G$6:$G$1005,MATCH($D371,RUNS!$A$6:$A$1005,0))),""))</f>
        <v/>
      </c>
      <c r="O371" s="33">
        <f>IF($D371="","",IFERROR(IF(INDEX(RUNS!$H$6:$H$1005,MATCH($D371,RUNS!$A$6:$A$1005,0))="","",INDEX(RUNS!$H$6:$H$1005,MATCH($D371,RUNS!$A$6:$A$1005,0))),""))</f>
        <v/>
      </c>
      <c r="P371" s="33">
        <f>IF($D371="","",IFERROR(IF(INDEX(RUNS!$J$6:$J$1005,MATCH($D371,RUNS!$A$6:$A$1005,0))="","",INDEX(RUNS!$J$6:$J$1005,MATCH($D371,RUNS!$A$6:$A$1005,0))),""))</f>
        <v/>
      </c>
      <c r="Q371" s="33">
        <f>IF($D371="","",IFERROR(IF(INDEX(RUNS!$K$6:$K$1005,MATCH($D371,RUNS!$A$6:$A$1005,0))="","",INDEX(RUNS!$K$6:$K$1005,MATCH($D371,RUNS!$A$6:$A$1005,0))),""))</f>
        <v/>
      </c>
      <c r="R371" s="34">
        <f>IF(OR($L371="",$K371=""),"",IFERROR(IF(INDEX(PARAMETRES!$H$43:$H$342,MATCH($L371&amp;"|"&amp;$M371&amp;"|"&amp;$N371&amp;"|"&amp;$O371&amp;"|"&amp;$P371&amp;"|"&amp;$Q371&amp;"|"&amp;$K371,PARAMETRES!$J$43:$J$342,0))="","",INDEX(PARAMETRES!$H$43:$H$342,MATCH($L371&amp;"|"&amp;$M371&amp;"|"&amp;$N371&amp;"|"&amp;$O371&amp;"|"&amp;$P371&amp;"|"&amp;$Q371&amp;"|"&amp;$K371,PARAMETRES!$J$43:$J$342,0))),""))</f>
        <v/>
      </c>
      <c r="S371" s="35">
        <f>IF(OR($G371="",$X371&lt;&gt;"VALIDE"),"",IFERROR(LOOKUP(2,1/(($B$3:$B370=$B371)*($G$3:$G370=$G371)*($X$3:$X370="VALIDE")),$C$3:$C370),""))</f>
        <v/>
      </c>
      <c r="T371" s="36">
        <f>IF(OR($C371="",$S371=""),"",ROUND(($C371-$S371+IF($C371&lt;$S371,1,0))*1440,0))</f>
        <v/>
      </c>
      <c r="U371" s="22">
        <f>IF(OR($H371="",$T371="",$T371&lt;=0),"",$H371*60/$T371)</f>
        <v/>
      </c>
      <c r="V371" s="37">
        <f>IF(OR($U371="",$R371="",$R371=0),"",$U371/$R371)</f>
        <v/>
      </c>
      <c r="W371" s="20">
        <f>IF($G371="","",IF($X371="CONTEXTE INCOMPLET","CONTEXTE INCOMPLET",IF($X371="DOUBLON",StatutDoublon,IF($S371="",StatutInitial,IF($R371="",StatutStandardManquant,IF($V371="","DONNEES INSUFFISANTES",IF($V371&gt;=SeuilConforme,StatutConforme,IF($V371&gt;=SeuilSurveiller,StatutSurveiller,StatutSousStandard))))))))</f>
        <v/>
      </c>
      <c r="X371" s="33">
        <f>IF($G371="","",IF(OR($D371="",$E371="",$F371=""),"CONTEXTE INCOMPLET",IF(COUNTIFS($D$3:$D370,$D371,$E$3:$E370,$E371,$F$3:$F370,$F371,$G$3:$G370,$G371)&gt;0,"DOUBLON","VALIDE")))</f>
        <v/>
      </c>
    </row>
    <row r="372" ht="15" customHeight="1">
      <c r="A372" s="12">
        <f>IF(OR($B372="",$G372=""),"",TEXT($B372,"YYYYMMDD")&amp;"-"&amp;SUBSTITUTE($E372," ","")&amp;"-"&amp;$F372&amp;"-"&amp;$G372)</f>
        <v/>
      </c>
      <c r="B372" s="15" t="n"/>
      <c r="C372" s="16" t="n"/>
      <c r="D372" s="10" t="n"/>
      <c r="E372" s="9" t="n"/>
      <c r="F372" s="9" t="n"/>
      <c r="G372" s="13" t="n"/>
      <c r="H372" s="21" t="n"/>
      <c r="I372" s="21" t="n"/>
      <c r="J372" s="17">
        <f>IF($G372="","",IFERROR(INDEX(NomsEmployes,MATCH($G372,MatriculesEmployes,0)),"MATRICULE INCONNU"))</f>
        <v/>
      </c>
      <c r="K372" s="33">
        <f>IF(OR($D372="",$F372=""),"",IFERROR(IF(INDEX(RUNS!$L$6:$S$1005,MATCH($D372,RUNS!$A$6:$A$1005,0),MATCH("ACTIVITÉ "&amp;$F372,RUNS!$L$5:$S$5,0))="","",INDEX(RUNS!$L$6:$S$1005,MATCH($D372,RUNS!$A$6:$A$1005,0),MATCH("ACTIVITÉ "&amp;$F372,RUNS!$L$5:$S$5,0))),""))</f>
        <v/>
      </c>
      <c r="L372" s="33">
        <f>IF($D372="","",IFERROR(IF(INDEX(RUNS!$E$6:$E$1005,MATCH($D372,RUNS!$A$6:$A$1005,0))="","",INDEX(RUNS!$E$6:$E$1005,MATCH($D372,RUNS!$A$6:$A$1005,0))),""))</f>
        <v/>
      </c>
      <c r="M372" s="33">
        <f>IF($D372="","",IFERROR(IF(INDEX(RUNS!$F$6:$F$1005,MATCH($D372,RUNS!$A$6:$A$1005,0))="","",INDEX(RUNS!$F$6:$F$1005,MATCH($D372,RUNS!$A$6:$A$1005,0))),""))</f>
        <v/>
      </c>
      <c r="N372" s="33">
        <f>IF($D372="","",IFERROR(IF(INDEX(RUNS!$G$6:$G$1005,MATCH($D372,RUNS!$A$6:$A$1005,0))="","",INDEX(RUNS!$G$6:$G$1005,MATCH($D372,RUNS!$A$6:$A$1005,0))),""))</f>
        <v/>
      </c>
      <c r="O372" s="33">
        <f>IF($D372="","",IFERROR(IF(INDEX(RUNS!$H$6:$H$1005,MATCH($D372,RUNS!$A$6:$A$1005,0))="","",INDEX(RUNS!$H$6:$H$1005,MATCH($D372,RUNS!$A$6:$A$1005,0))),""))</f>
        <v/>
      </c>
      <c r="P372" s="33">
        <f>IF($D372="","",IFERROR(IF(INDEX(RUNS!$J$6:$J$1005,MATCH($D372,RUNS!$A$6:$A$1005,0))="","",INDEX(RUNS!$J$6:$J$1005,MATCH($D372,RUNS!$A$6:$A$1005,0))),""))</f>
        <v/>
      </c>
      <c r="Q372" s="33">
        <f>IF($D372="","",IFERROR(IF(INDEX(RUNS!$K$6:$K$1005,MATCH($D372,RUNS!$A$6:$A$1005,0))="","",INDEX(RUNS!$K$6:$K$1005,MATCH($D372,RUNS!$A$6:$A$1005,0))),""))</f>
        <v/>
      </c>
      <c r="R372" s="34">
        <f>IF(OR($L372="",$K372=""),"",IFERROR(IF(INDEX(PARAMETRES!$H$43:$H$342,MATCH($L372&amp;"|"&amp;$M372&amp;"|"&amp;$N372&amp;"|"&amp;$O372&amp;"|"&amp;$P372&amp;"|"&amp;$Q372&amp;"|"&amp;$K372,PARAMETRES!$J$43:$J$342,0))="","",INDEX(PARAMETRES!$H$43:$H$342,MATCH($L372&amp;"|"&amp;$M372&amp;"|"&amp;$N372&amp;"|"&amp;$O372&amp;"|"&amp;$P372&amp;"|"&amp;$Q372&amp;"|"&amp;$K372,PARAMETRES!$J$43:$J$342,0))),""))</f>
        <v/>
      </c>
      <c r="S372" s="35">
        <f>IF(OR($G372="",$X372&lt;&gt;"VALIDE"),"",IFERROR(LOOKUP(2,1/(($B$3:$B371=$B372)*($G$3:$G371=$G372)*($X$3:$X371="VALIDE")),$C$3:$C371),""))</f>
        <v/>
      </c>
      <c r="T372" s="36">
        <f>IF(OR($C372="",$S372=""),"",ROUND(($C372-$S372+IF($C372&lt;$S372,1,0))*1440,0))</f>
        <v/>
      </c>
      <c r="U372" s="22">
        <f>IF(OR($H372="",$T372="",$T372&lt;=0),"",$H372*60/$T372)</f>
        <v/>
      </c>
      <c r="V372" s="37">
        <f>IF(OR($U372="",$R372="",$R372=0),"",$U372/$R372)</f>
        <v/>
      </c>
      <c r="W372" s="20">
        <f>IF($G372="","",IF($X372="CONTEXTE INCOMPLET","CONTEXTE INCOMPLET",IF($X372="DOUBLON",StatutDoublon,IF($S372="",StatutInitial,IF($R372="",StatutStandardManquant,IF($V372="","DONNEES INSUFFISANTES",IF($V372&gt;=SeuilConforme,StatutConforme,IF($V372&gt;=SeuilSurveiller,StatutSurveiller,StatutSousStandard))))))))</f>
        <v/>
      </c>
      <c r="X372" s="33">
        <f>IF($G372="","",IF(OR($D372="",$E372="",$F372=""),"CONTEXTE INCOMPLET",IF(COUNTIFS($D$3:$D371,$D372,$E$3:$E371,$E372,$F$3:$F371,$F372,$G$3:$G371,$G372)&gt;0,"DOUBLON","VALIDE")))</f>
        <v/>
      </c>
    </row>
    <row r="373" ht="15" customHeight="1">
      <c r="A373" s="12">
        <f>IF(OR($B373="",$G373=""),"",TEXT($B373,"YYYYMMDD")&amp;"-"&amp;SUBSTITUTE($E373," ","")&amp;"-"&amp;$F373&amp;"-"&amp;$G373)</f>
        <v/>
      </c>
      <c r="B373" s="15" t="n"/>
      <c r="C373" s="16" t="n"/>
      <c r="D373" s="10" t="n"/>
      <c r="E373" s="9" t="n"/>
      <c r="F373" s="9" t="n"/>
      <c r="G373" s="13" t="n"/>
      <c r="H373" s="21" t="n"/>
      <c r="I373" s="21" t="n"/>
      <c r="J373" s="17">
        <f>IF($G373="","",IFERROR(INDEX(NomsEmployes,MATCH($G373,MatriculesEmployes,0)),"MATRICULE INCONNU"))</f>
        <v/>
      </c>
      <c r="K373" s="33">
        <f>IF(OR($D373="",$F373=""),"",IFERROR(IF(INDEX(RUNS!$L$6:$S$1005,MATCH($D373,RUNS!$A$6:$A$1005,0),MATCH("ACTIVITÉ "&amp;$F373,RUNS!$L$5:$S$5,0))="","",INDEX(RUNS!$L$6:$S$1005,MATCH($D373,RUNS!$A$6:$A$1005,0),MATCH("ACTIVITÉ "&amp;$F373,RUNS!$L$5:$S$5,0))),""))</f>
        <v/>
      </c>
      <c r="L373" s="33">
        <f>IF($D373="","",IFERROR(IF(INDEX(RUNS!$E$6:$E$1005,MATCH($D373,RUNS!$A$6:$A$1005,0))="","",INDEX(RUNS!$E$6:$E$1005,MATCH($D373,RUNS!$A$6:$A$1005,0))),""))</f>
        <v/>
      </c>
      <c r="M373" s="33">
        <f>IF($D373="","",IFERROR(IF(INDEX(RUNS!$F$6:$F$1005,MATCH($D373,RUNS!$A$6:$A$1005,0))="","",INDEX(RUNS!$F$6:$F$1005,MATCH($D373,RUNS!$A$6:$A$1005,0))),""))</f>
        <v/>
      </c>
      <c r="N373" s="33">
        <f>IF($D373="","",IFERROR(IF(INDEX(RUNS!$G$6:$G$1005,MATCH($D373,RUNS!$A$6:$A$1005,0))="","",INDEX(RUNS!$G$6:$G$1005,MATCH($D373,RUNS!$A$6:$A$1005,0))),""))</f>
        <v/>
      </c>
      <c r="O373" s="33">
        <f>IF($D373="","",IFERROR(IF(INDEX(RUNS!$H$6:$H$1005,MATCH($D373,RUNS!$A$6:$A$1005,0))="","",INDEX(RUNS!$H$6:$H$1005,MATCH($D373,RUNS!$A$6:$A$1005,0))),""))</f>
        <v/>
      </c>
      <c r="P373" s="33">
        <f>IF($D373="","",IFERROR(IF(INDEX(RUNS!$J$6:$J$1005,MATCH($D373,RUNS!$A$6:$A$1005,0))="","",INDEX(RUNS!$J$6:$J$1005,MATCH($D373,RUNS!$A$6:$A$1005,0))),""))</f>
        <v/>
      </c>
      <c r="Q373" s="33">
        <f>IF($D373="","",IFERROR(IF(INDEX(RUNS!$K$6:$K$1005,MATCH($D373,RUNS!$A$6:$A$1005,0))="","",INDEX(RUNS!$K$6:$K$1005,MATCH($D373,RUNS!$A$6:$A$1005,0))),""))</f>
        <v/>
      </c>
      <c r="R373" s="34">
        <f>IF(OR($L373="",$K373=""),"",IFERROR(IF(INDEX(PARAMETRES!$H$43:$H$342,MATCH($L373&amp;"|"&amp;$M373&amp;"|"&amp;$N373&amp;"|"&amp;$O373&amp;"|"&amp;$P373&amp;"|"&amp;$Q373&amp;"|"&amp;$K373,PARAMETRES!$J$43:$J$342,0))="","",INDEX(PARAMETRES!$H$43:$H$342,MATCH($L373&amp;"|"&amp;$M373&amp;"|"&amp;$N373&amp;"|"&amp;$O373&amp;"|"&amp;$P373&amp;"|"&amp;$Q373&amp;"|"&amp;$K373,PARAMETRES!$J$43:$J$342,0))),""))</f>
        <v/>
      </c>
      <c r="S373" s="35">
        <f>IF(OR($G373="",$X373&lt;&gt;"VALIDE"),"",IFERROR(LOOKUP(2,1/(($B$3:$B372=$B373)*($G$3:$G372=$G373)*($X$3:$X372="VALIDE")),$C$3:$C372),""))</f>
        <v/>
      </c>
      <c r="T373" s="36">
        <f>IF(OR($C373="",$S373=""),"",ROUND(($C373-$S373+IF($C373&lt;$S373,1,0))*1440,0))</f>
        <v/>
      </c>
      <c r="U373" s="22">
        <f>IF(OR($H373="",$T373="",$T373&lt;=0),"",$H373*60/$T373)</f>
        <v/>
      </c>
      <c r="V373" s="37">
        <f>IF(OR($U373="",$R373="",$R373=0),"",$U373/$R373)</f>
        <v/>
      </c>
      <c r="W373" s="20">
        <f>IF($G373="","",IF($X373="CONTEXTE INCOMPLET","CONTEXTE INCOMPLET",IF($X373="DOUBLON",StatutDoublon,IF($S373="",StatutInitial,IF($R373="",StatutStandardManquant,IF($V373="","DONNEES INSUFFISANTES",IF($V373&gt;=SeuilConforme,StatutConforme,IF($V373&gt;=SeuilSurveiller,StatutSurveiller,StatutSousStandard))))))))</f>
        <v/>
      </c>
      <c r="X373" s="33">
        <f>IF($G373="","",IF(OR($D373="",$E373="",$F373=""),"CONTEXTE INCOMPLET",IF(COUNTIFS($D$3:$D372,$D373,$E$3:$E372,$E373,$F$3:$F372,$F373,$G$3:$G372,$G373)&gt;0,"DOUBLON","VALIDE")))</f>
        <v/>
      </c>
    </row>
    <row r="374" ht="15" customHeight="1">
      <c r="A374" s="12">
        <f>IF(OR($B374="",$G374=""),"",TEXT($B374,"YYYYMMDD")&amp;"-"&amp;SUBSTITUTE($E374," ","")&amp;"-"&amp;$F374&amp;"-"&amp;$G374)</f>
        <v/>
      </c>
      <c r="B374" s="15" t="n"/>
      <c r="C374" s="16" t="n"/>
      <c r="D374" s="10" t="n"/>
      <c r="E374" s="9" t="n"/>
      <c r="F374" s="9" t="n"/>
      <c r="G374" s="13" t="n"/>
      <c r="H374" s="21" t="n"/>
      <c r="I374" s="21" t="n"/>
      <c r="J374" s="17">
        <f>IF($G374="","",IFERROR(INDEX(NomsEmployes,MATCH($G374,MatriculesEmployes,0)),"MATRICULE INCONNU"))</f>
        <v/>
      </c>
      <c r="K374" s="33">
        <f>IF(OR($D374="",$F374=""),"",IFERROR(IF(INDEX(RUNS!$L$6:$S$1005,MATCH($D374,RUNS!$A$6:$A$1005,0),MATCH("ACTIVITÉ "&amp;$F374,RUNS!$L$5:$S$5,0))="","",INDEX(RUNS!$L$6:$S$1005,MATCH($D374,RUNS!$A$6:$A$1005,0),MATCH("ACTIVITÉ "&amp;$F374,RUNS!$L$5:$S$5,0))),""))</f>
        <v/>
      </c>
      <c r="L374" s="33">
        <f>IF($D374="","",IFERROR(IF(INDEX(RUNS!$E$6:$E$1005,MATCH($D374,RUNS!$A$6:$A$1005,0))="","",INDEX(RUNS!$E$6:$E$1005,MATCH($D374,RUNS!$A$6:$A$1005,0))),""))</f>
        <v/>
      </c>
      <c r="M374" s="33">
        <f>IF($D374="","",IFERROR(IF(INDEX(RUNS!$F$6:$F$1005,MATCH($D374,RUNS!$A$6:$A$1005,0))="","",INDEX(RUNS!$F$6:$F$1005,MATCH($D374,RUNS!$A$6:$A$1005,0))),""))</f>
        <v/>
      </c>
      <c r="N374" s="33">
        <f>IF($D374="","",IFERROR(IF(INDEX(RUNS!$G$6:$G$1005,MATCH($D374,RUNS!$A$6:$A$1005,0))="","",INDEX(RUNS!$G$6:$G$1005,MATCH($D374,RUNS!$A$6:$A$1005,0))),""))</f>
        <v/>
      </c>
      <c r="O374" s="33">
        <f>IF($D374="","",IFERROR(IF(INDEX(RUNS!$H$6:$H$1005,MATCH($D374,RUNS!$A$6:$A$1005,0))="","",INDEX(RUNS!$H$6:$H$1005,MATCH($D374,RUNS!$A$6:$A$1005,0))),""))</f>
        <v/>
      </c>
      <c r="P374" s="33">
        <f>IF($D374="","",IFERROR(IF(INDEX(RUNS!$J$6:$J$1005,MATCH($D374,RUNS!$A$6:$A$1005,0))="","",INDEX(RUNS!$J$6:$J$1005,MATCH($D374,RUNS!$A$6:$A$1005,0))),""))</f>
        <v/>
      </c>
      <c r="Q374" s="33">
        <f>IF($D374="","",IFERROR(IF(INDEX(RUNS!$K$6:$K$1005,MATCH($D374,RUNS!$A$6:$A$1005,0))="","",INDEX(RUNS!$K$6:$K$1005,MATCH($D374,RUNS!$A$6:$A$1005,0))),""))</f>
        <v/>
      </c>
      <c r="R374" s="34">
        <f>IF(OR($L374="",$K374=""),"",IFERROR(IF(INDEX(PARAMETRES!$H$43:$H$342,MATCH($L374&amp;"|"&amp;$M374&amp;"|"&amp;$N374&amp;"|"&amp;$O374&amp;"|"&amp;$P374&amp;"|"&amp;$Q374&amp;"|"&amp;$K374,PARAMETRES!$J$43:$J$342,0))="","",INDEX(PARAMETRES!$H$43:$H$342,MATCH($L374&amp;"|"&amp;$M374&amp;"|"&amp;$N374&amp;"|"&amp;$O374&amp;"|"&amp;$P374&amp;"|"&amp;$Q374&amp;"|"&amp;$K374,PARAMETRES!$J$43:$J$342,0))),""))</f>
        <v/>
      </c>
      <c r="S374" s="35">
        <f>IF(OR($G374="",$X374&lt;&gt;"VALIDE"),"",IFERROR(LOOKUP(2,1/(($B$3:$B373=$B374)*($G$3:$G373=$G374)*($X$3:$X373="VALIDE")),$C$3:$C373),""))</f>
        <v/>
      </c>
      <c r="T374" s="36">
        <f>IF(OR($C374="",$S374=""),"",ROUND(($C374-$S374+IF($C374&lt;$S374,1,0))*1440,0))</f>
        <v/>
      </c>
      <c r="U374" s="22">
        <f>IF(OR($H374="",$T374="",$T374&lt;=0),"",$H374*60/$T374)</f>
        <v/>
      </c>
      <c r="V374" s="37">
        <f>IF(OR($U374="",$R374="",$R374=0),"",$U374/$R374)</f>
        <v/>
      </c>
      <c r="W374" s="20">
        <f>IF($G374="","",IF($X374="CONTEXTE INCOMPLET","CONTEXTE INCOMPLET",IF($X374="DOUBLON",StatutDoublon,IF($S374="",StatutInitial,IF($R374="",StatutStandardManquant,IF($V374="","DONNEES INSUFFISANTES",IF($V374&gt;=SeuilConforme,StatutConforme,IF($V374&gt;=SeuilSurveiller,StatutSurveiller,StatutSousStandard))))))))</f>
        <v/>
      </c>
      <c r="X374" s="33">
        <f>IF($G374="","",IF(OR($D374="",$E374="",$F374=""),"CONTEXTE INCOMPLET",IF(COUNTIFS($D$3:$D373,$D374,$E$3:$E373,$E374,$F$3:$F373,$F374,$G$3:$G373,$G374)&gt;0,"DOUBLON","VALIDE")))</f>
        <v/>
      </c>
    </row>
    <row r="375" ht="15" customHeight="1">
      <c r="A375" s="12">
        <f>IF(OR($B375="",$G375=""),"",TEXT($B375,"YYYYMMDD")&amp;"-"&amp;SUBSTITUTE($E375," ","")&amp;"-"&amp;$F375&amp;"-"&amp;$G375)</f>
        <v/>
      </c>
      <c r="B375" s="15" t="n"/>
      <c r="C375" s="16" t="n"/>
      <c r="D375" s="10" t="n"/>
      <c r="E375" s="9" t="n"/>
      <c r="F375" s="9" t="n"/>
      <c r="G375" s="13" t="n"/>
      <c r="H375" s="21" t="n"/>
      <c r="I375" s="21" t="n"/>
      <c r="J375" s="17">
        <f>IF($G375="","",IFERROR(INDEX(NomsEmployes,MATCH($G375,MatriculesEmployes,0)),"MATRICULE INCONNU"))</f>
        <v/>
      </c>
      <c r="K375" s="33">
        <f>IF(OR($D375="",$F375=""),"",IFERROR(IF(INDEX(RUNS!$L$6:$S$1005,MATCH($D375,RUNS!$A$6:$A$1005,0),MATCH("ACTIVITÉ "&amp;$F375,RUNS!$L$5:$S$5,0))="","",INDEX(RUNS!$L$6:$S$1005,MATCH($D375,RUNS!$A$6:$A$1005,0),MATCH("ACTIVITÉ "&amp;$F375,RUNS!$L$5:$S$5,0))),""))</f>
        <v/>
      </c>
      <c r="L375" s="33">
        <f>IF($D375="","",IFERROR(IF(INDEX(RUNS!$E$6:$E$1005,MATCH($D375,RUNS!$A$6:$A$1005,0))="","",INDEX(RUNS!$E$6:$E$1005,MATCH($D375,RUNS!$A$6:$A$1005,0))),""))</f>
        <v/>
      </c>
      <c r="M375" s="33">
        <f>IF($D375="","",IFERROR(IF(INDEX(RUNS!$F$6:$F$1005,MATCH($D375,RUNS!$A$6:$A$1005,0))="","",INDEX(RUNS!$F$6:$F$1005,MATCH($D375,RUNS!$A$6:$A$1005,0))),""))</f>
        <v/>
      </c>
      <c r="N375" s="33">
        <f>IF($D375="","",IFERROR(IF(INDEX(RUNS!$G$6:$G$1005,MATCH($D375,RUNS!$A$6:$A$1005,0))="","",INDEX(RUNS!$G$6:$G$1005,MATCH($D375,RUNS!$A$6:$A$1005,0))),""))</f>
        <v/>
      </c>
      <c r="O375" s="33">
        <f>IF($D375="","",IFERROR(IF(INDEX(RUNS!$H$6:$H$1005,MATCH($D375,RUNS!$A$6:$A$1005,0))="","",INDEX(RUNS!$H$6:$H$1005,MATCH($D375,RUNS!$A$6:$A$1005,0))),""))</f>
        <v/>
      </c>
      <c r="P375" s="33">
        <f>IF($D375="","",IFERROR(IF(INDEX(RUNS!$J$6:$J$1005,MATCH($D375,RUNS!$A$6:$A$1005,0))="","",INDEX(RUNS!$J$6:$J$1005,MATCH($D375,RUNS!$A$6:$A$1005,0))),""))</f>
        <v/>
      </c>
      <c r="Q375" s="33">
        <f>IF($D375="","",IFERROR(IF(INDEX(RUNS!$K$6:$K$1005,MATCH($D375,RUNS!$A$6:$A$1005,0))="","",INDEX(RUNS!$K$6:$K$1005,MATCH($D375,RUNS!$A$6:$A$1005,0))),""))</f>
        <v/>
      </c>
      <c r="R375" s="34">
        <f>IF(OR($L375="",$K375=""),"",IFERROR(IF(INDEX(PARAMETRES!$H$43:$H$342,MATCH($L375&amp;"|"&amp;$M375&amp;"|"&amp;$N375&amp;"|"&amp;$O375&amp;"|"&amp;$P375&amp;"|"&amp;$Q375&amp;"|"&amp;$K375,PARAMETRES!$J$43:$J$342,0))="","",INDEX(PARAMETRES!$H$43:$H$342,MATCH($L375&amp;"|"&amp;$M375&amp;"|"&amp;$N375&amp;"|"&amp;$O375&amp;"|"&amp;$P375&amp;"|"&amp;$Q375&amp;"|"&amp;$K375,PARAMETRES!$J$43:$J$342,0))),""))</f>
        <v/>
      </c>
      <c r="S375" s="35">
        <f>IF(OR($G375="",$X375&lt;&gt;"VALIDE"),"",IFERROR(LOOKUP(2,1/(($B$3:$B374=$B375)*($G$3:$G374=$G375)*($X$3:$X374="VALIDE")),$C$3:$C374),""))</f>
        <v/>
      </c>
      <c r="T375" s="36">
        <f>IF(OR($C375="",$S375=""),"",ROUND(($C375-$S375+IF($C375&lt;$S375,1,0))*1440,0))</f>
        <v/>
      </c>
      <c r="U375" s="22">
        <f>IF(OR($H375="",$T375="",$T375&lt;=0),"",$H375*60/$T375)</f>
        <v/>
      </c>
      <c r="V375" s="37">
        <f>IF(OR($U375="",$R375="",$R375=0),"",$U375/$R375)</f>
        <v/>
      </c>
      <c r="W375" s="20">
        <f>IF($G375="","",IF($X375="CONTEXTE INCOMPLET","CONTEXTE INCOMPLET",IF($X375="DOUBLON",StatutDoublon,IF($S375="",StatutInitial,IF($R375="",StatutStandardManquant,IF($V375="","DONNEES INSUFFISANTES",IF($V375&gt;=SeuilConforme,StatutConforme,IF($V375&gt;=SeuilSurveiller,StatutSurveiller,StatutSousStandard))))))))</f>
        <v/>
      </c>
      <c r="X375" s="33">
        <f>IF($G375="","",IF(OR($D375="",$E375="",$F375=""),"CONTEXTE INCOMPLET",IF(COUNTIFS($D$3:$D374,$D375,$E$3:$E374,$E375,$F$3:$F374,$F375,$G$3:$G374,$G375)&gt;0,"DOUBLON","VALIDE")))</f>
        <v/>
      </c>
    </row>
    <row r="376" ht="15" customHeight="1">
      <c r="A376" s="12">
        <f>IF(OR($B376="",$G376=""),"",TEXT($B376,"YYYYMMDD")&amp;"-"&amp;SUBSTITUTE($E376," ","")&amp;"-"&amp;$F376&amp;"-"&amp;$G376)</f>
        <v/>
      </c>
      <c r="B376" s="15" t="n"/>
      <c r="C376" s="16" t="n"/>
      <c r="D376" s="10" t="n"/>
      <c r="E376" s="9" t="n"/>
      <c r="F376" s="9" t="n"/>
      <c r="G376" s="13" t="n"/>
      <c r="H376" s="21" t="n"/>
      <c r="I376" s="21" t="n"/>
      <c r="J376" s="17">
        <f>IF($G376="","",IFERROR(INDEX(NomsEmployes,MATCH($G376,MatriculesEmployes,0)),"MATRICULE INCONNU"))</f>
        <v/>
      </c>
      <c r="K376" s="33">
        <f>IF(OR($D376="",$F376=""),"",IFERROR(IF(INDEX(RUNS!$L$6:$S$1005,MATCH($D376,RUNS!$A$6:$A$1005,0),MATCH("ACTIVITÉ "&amp;$F376,RUNS!$L$5:$S$5,0))="","",INDEX(RUNS!$L$6:$S$1005,MATCH($D376,RUNS!$A$6:$A$1005,0),MATCH("ACTIVITÉ "&amp;$F376,RUNS!$L$5:$S$5,0))),""))</f>
        <v/>
      </c>
      <c r="L376" s="33">
        <f>IF($D376="","",IFERROR(IF(INDEX(RUNS!$E$6:$E$1005,MATCH($D376,RUNS!$A$6:$A$1005,0))="","",INDEX(RUNS!$E$6:$E$1005,MATCH($D376,RUNS!$A$6:$A$1005,0))),""))</f>
        <v/>
      </c>
      <c r="M376" s="33">
        <f>IF($D376="","",IFERROR(IF(INDEX(RUNS!$F$6:$F$1005,MATCH($D376,RUNS!$A$6:$A$1005,0))="","",INDEX(RUNS!$F$6:$F$1005,MATCH($D376,RUNS!$A$6:$A$1005,0))),""))</f>
        <v/>
      </c>
      <c r="N376" s="33">
        <f>IF($D376="","",IFERROR(IF(INDEX(RUNS!$G$6:$G$1005,MATCH($D376,RUNS!$A$6:$A$1005,0))="","",INDEX(RUNS!$G$6:$G$1005,MATCH($D376,RUNS!$A$6:$A$1005,0))),""))</f>
        <v/>
      </c>
      <c r="O376" s="33">
        <f>IF($D376="","",IFERROR(IF(INDEX(RUNS!$H$6:$H$1005,MATCH($D376,RUNS!$A$6:$A$1005,0))="","",INDEX(RUNS!$H$6:$H$1005,MATCH($D376,RUNS!$A$6:$A$1005,0))),""))</f>
        <v/>
      </c>
      <c r="P376" s="33">
        <f>IF($D376="","",IFERROR(IF(INDEX(RUNS!$J$6:$J$1005,MATCH($D376,RUNS!$A$6:$A$1005,0))="","",INDEX(RUNS!$J$6:$J$1005,MATCH($D376,RUNS!$A$6:$A$1005,0))),""))</f>
        <v/>
      </c>
      <c r="Q376" s="33">
        <f>IF($D376="","",IFERROR(IF(INDEX(RUNS!$K$6:$K$1005,MATCH($D376,RUNS!$A$6:$A$1005,0))="","",INDEX(RUNS!$K$6:$K$1005,MATCH($D376,RUNS!$A$6:$A$1005,0))),""))</f>
        <v/>
      </c>
      <c r="R376" s="34">
        <f>IF(OR($L376="",$K376=""),"",IFERROR(IF(INDEX(PARAMETRES!$H$43:$H$342,MATCH($L376&amp;"|"&amp;$M376&amp;"|"&amp;$N376&amp;"|"&amp;$O376&amp;"|"&amp;$P376&amp;"|"&amp;$Q376&amp;"|"&amp;$K376,PARAMETRES!$J$43:$J$342,0))="","",INDEX(PARAMETRES!$H$43:$H$342,MATCH($L376&amp;"|"&amp;$M376&amp;"|"&amp;$N376&amp;"|"&amp;$O376&amp;"|"&amp;$P376&amp;"|"&amp;$Q376&amp;"|"&amp;$K376,PARAMETRES!$J$43:$J$342,0))),""))</f>
        <v/>
      </c>
      <c r="S376" s="35">
        <f>IF(OR($G376="",$X376&lt;&gt;"VALIDE"),"",IFERROR(LOOKUP(2,1/(($B$3:$B375=$B376)*($G$3:$G375=$G376)*($X$3:$X375="VALIDE")),$C$3:$C375),""))</f>
        <v/>
      </c>
      <c r="T376" s="36">
        <f>IF(OR($C376="",$S376=""),"",ROUND(($C376-$S376+IF($C376&lt;$S376,1,0))*1440,0))</f>
        <v/>
      </c>
      <c r="U376" s="22">
        <f>IF(OR($H376="",$T376="",$T376&lt;=0),"",$H376*60/$T376)</f>
        <v/>
      </c>
      <c r="V376" s="37">
        <f>IF(OR($U376="",$R376="",$R376=0),"",$U376/$R376)</f>
        <v/>
      </c>
      <c r="W376" s="20">
        <f>IF($G376="","",IF($X376="CONTEXTE INCOMPLET","CONTEXTE INCOMPLET",IF($X376="DOUBLON",StatutDoublon,IF($S376="",StatutInitial,IF($R376="",StatutStandardManquant,IF($V376="","DONNEES INSUFFISANTES",IF($V376&gt;=SeuilConforme,StatutConforme,IF($V376&gt;=SeuilSurveiller,StatutSurveiller,StatutSousStandard))))))))</f>
        <v/>
      </c>
      <c r="X376" s="33">
        <f>IF($G376="","",IF(OR($D376="",$E376="",$F376=""),"CONTEXTE INCOMPLET",IF(COUNTIFS($D$3:$D375,$D376,$E$3:$E375,$E376,$F$3:$F375,$F376,$G$3:$G375,$G376)&gt;0,"DOUBLON","VALIDE")))</f>
        <v/>
      </c>
    </row>
    <row r="377" ht="15" customHeight="1">
      <c r="A377" s="12">
        <f>IF(OR($B377="",$G377=""),"",TEXT($B377,"YYYYMMDD")&amp;"-"&amp;SUBSTITUTE($E377," ","")&amp;"-"&amp;$F377&amp;"-"&amp;$G377)</f>
        <v/>
      </c>
      <c r="B377" s="15" t="n"/>
      <c r="C377" s="16" t="n"/>
      <c r="D377" s="10" t="n"/>
      <c r="E377" s="9" t="n"/>
      <c r="F377" s="9" t="n"/>
      <c r="G377" s="13" t="n"/>
      <c r="H377" s="21" t="n"/>
      <c r="I377" s="21" t="n"/>
      <c r="J377" s="17">
        <f>IF($G377="","",IFERROR(INDEX(NomsEmployes,MATCH($G377,MatriculesEmployes,0)),"MATRICULE INCONNU"))</f>
        <v/>
      </c>
      <c r="K377" s="33">
        <f>IF(OR($D377="",$F377=""),"",IFERROR(IF(INDEX(RUNS!$L$6:$S$1005,MATCH($D377,RUNS!$A$6:$A$1005,0),MATCH("ACTIVITÉ "&amp;$F377,RUNS!$L$5:$S$5,0))="","",INDEX(RUNS!$L$6:$S$1005,MATCH($D377,RUNS!$A$6:$A$1005,0),MATCH("ACTIVITÉ "&amp;$F377,RUNS!$L$5:$S$5,0))),""))</f>
        <v/>
      </c>
      <c r="L377" s="33">
        <f>IF($D377="","",IFERROR(IF(INDEX(RUNS!$E$6:$E$1005,MATCH($D377,RUNS!$A$6:$A$1005,0))="","",INDEX(RUNS!$E$6:$E$1005,MATCH($D377,RUNS!$A$6:$A$1005,0))),""))</f>
        <v/>
      </c>
      <c r="M377" s="33">
        <f>IF($D377="","",IFERROR(IF(INDEX(RUNS!$F$6:$F$1005,MATCH($D377,RUNS!$A$6:$A$1005,0))="","",INDEX(RUNS!$F$6:$F$1005,MATCH($D377,RUNS!$A$6:$A$1005,0))),""))</f>
        <v/>
      </c>
      <c r="N377" s="33">
        <f>IF($D377="","",IFERROR(IF(INDEX(RUNS!$G$6:$G$1005,MATCH($D377,RUNS!$A$6:$A$1005,0))="","",INDEX(RUNS!$G$6:$G$1005,MATCH($D377,RUNS!$A$6:$A$1005,0))),""))</f>
        <v/>
      </c>
      <c r="O377" s="33">
        <f>IF($D377="","",IFERROR(IF(INDEX(RUNS!$H$6:$H$1005,MATCH($D377,RUNS!$A$6:$A$1005,0))="","",INDEX(RUNS!$H$6:$H$1005,MATCH($D377,RUNS!$A$6:$A$1005,0))),""))</f>
        <v/>
      </c>
      <c r="P377" s="33">
        <f>IF($D377="","",IFERROR(IF(INDEX(RUNS!$J$6:$J$1005,MATCH($D377,RUNS!$A$6:$A$1005,0))="","",INDEX(RUNS!$J$6:$J$1005,MATCH($D377,RUNS!$A$6:$A$1005,0))),""))</f>
        <v/>
      </c>
      <c r="Q377" s="33">
        <f>IF($D377="","",IFERROR(IF(INDEX(RUNS!$K$6:$K$1005,MATCH($D377,RUNS!$A$6:$A$1005,0))="","",INDEX(RUNS!$K$6:$K$1005,MATCH($D377,RUNS!$A$6:$A$1005,0))),""))</f>
        <v/>
      </c>
      <c r="R377" s="34">
        <f>IF(OR($L377="",$K377=""),"",IFERROR(IF(INDEX(PARAMETRES!$H$43:$H$342,MATCH($L377&amp;"|"&amp;$M377&amp;"|"&amp;$N377&amp;"|"&amp;$O377&amp;"|"&amp;$P377&amp;"|"&amp;$Q377&amp;"|"&amp;$K377,PARAMETRES!$J$43:$J$342,0))="","",INDEX(PARAMETRES!$H$43:$H$342,MATCH($L377&amp;"|"&amp;$M377&amp;"|"&amp;$N377&amp;"|"&amp;$O377&amp;"|"&amp;$P377&amp;"|"&amp;$Q377&amp;"|"&amp;$K377,PARAMETRES!$J$43:$J$342,0))),""))</f>
        <v/>
      </c>
      <c r="S377" s="35">
        <f>IF(OR($G377="",$X377&lt;&gt;"VALIDE"),"",IFERROR(LOOKUP(2,1/(($B$3:$B376=$B377)*($G$3:$G376=$G377)*($X$3:$X376="VALIDE")),$C$3:$C376),""))</f>
        <v/>
      </c>
      <c r="T377" s="36">
        <f>IF(OR($C377="",$S377=""),"",ROUND(($C377-$S377+IF($C377&lt;$S377,1,0))*1440,0))</f>
        <v/>
      </c>
      <c r="U377" s="22">
        <f>IF(OR($H377="",$T377="",$T377&lt;=0),"",$H377*60/$T377)</f>
        <v/>
      </c>
      <c r="V377" s="37">
        <f>IF(OR($U377="",$R377="",$R377=0),"",$U377/$R377)</f>
        <v/>
      </c>
      <c r="W377" s="20">
        <f>IF($G377="","",IF($X377="CONTEXTE INCOMPLET","CONTEXTE INCOMPLET",IF($X377="DOUBLON",StatutDoublon,IF($S377="",StatutInitial,IF($R377="",StatutStandardManquant,IF($V377="","DONNEES INSUFFISANTES",IF($V377&gt;=SeuilConforme,StatutConforme,IF($V377&gt;=SeuilSurveiller,StatutSurveiller,StatutSousStandard))))))))</f>
        <v/>
      </c>
      <c r="X377" s="33">
        <f>IF($G377="","",IF(OR($D377="",$E377="",$F377=""),"CONTEXTE INCOMPLET",IF(COUNTIFS($D$3:$D376,$D377,$E$3:$E376,$E377,$F$3:$F376,$F377,$G$3:$G376,$G377)&gt;0,"DOUBLON","VALIDE")))</f>
        <v/>
      </c>
    </row>
    <row r="378" ht="15" customHeight="1">
      <c r="A378" s="12">
        <f>IF(OR($B378="",$G378=""),"",TEXT($B378,"YYYYMMDD")&amp;"-"&amp;SUBSTITUTE($E378," ","")&amp;"-"&amp;$F378&amp;"-"&amp;$G378)</f>
        <v/>
      </c>
      <c r="B378" s="15" t="n"/>
      <c r="C378" s="16" t="n"/>
      <c r="D378" s="10" t="n"/>
      <c r="E378" s="9" t="n"/>
      <c r="F378" s="9" t="n"/>
      <c r="G378" s="13" t="n"/>
      <c r="H378" s="21" t="n"/>
      <c r="I378" s="21" t="n"/>
      <c r="J378" s="17">
        <f>IF($G378="","",IFERROR(INDEX(NomsEmployes,MATCH($G378,MatriculesEmployes,0)),"MATRICULE INCONNU"))</f>
        <v/>
      </c>
      <c r="K378" s="33">
        <f>IF(OR($D378="",$F378=""),"",IFERROR(IF(INDEX(RUNS!$L$6:$S$1005,MATCH($D378,RUNS!$A$6:$A$1005,0),MATCH("ACTIVITÉ "&amp;$F378,RUNS!$L$5:$S$5,0))="","",INDEX(RUNS!$L$6:$S$1005,MATCH($D378,RUNS!$A$6:$A$1005,0),MATCH("ACTIVITÉ "&amp;$F378,RUNS!$L$5:$S$5,0))),""))</f>
        <v/>
      </c>
      <c r="L378" s="33">
        <f>IF($D378="","",IFERROR(IF(INDEX(RUNS!$E$6:$E$1005,MATCH($D378,RUNS!$A$6:$A$1005,0))="","",INDEX(RUNS!$E$6:$E$1005,MATCH($D378,RUNS!$A$6:$A$1005,0))),""))</f>
        <v/>
      </c>
      <c r="M378" s="33">
        <f>IF($D378="","",IFERROR(IF(INDEX(RUNS!$F$6:$F$1005,MATCH($D378,RUNS!$A$6:$A$1005,0))="","",INDEX(RUNS!$F$6:$F$1005,MATCH($D378,RUNS!$A$6:$A$1005,0))),""))</f>
        <v/>
      </c>
      <c r="N378" s="33">
        <f>IF($D378="","",IFERROR(IF(INDEX(RUNS!$G$6:$G$1005,MATCH($D378,RUNS!$A$6:$A$1005,0))="","",INDEX(RUNS!$G$6:$G$1005,MATCH($D378,RUNS!$A$6:$A$1005,0))),""))</f>
        <v/>
      </c>
      <c r="O378" s="33">
        <f>IF($D378="","",IFERROR(IF(INDEX(RUNS!$H$6:$H$1005,MATCH($D378,RUNS!$A$6:$A$1005,0))="","",INDEX(RUNS!$H$6:$H$1005,MATCH($D378,RUNS!$A$6:$A$1005,0))),""))</f>
        <v/>
      </c>
      <c r="P378" s="33">
        <f>IF($D378="","",IFERROR(IF(INDEX(RUNS!$J$6:$J$1005,MATCH($D378,RUNS!$A$6:$A$1005,0))="","",INDEX(RUNS!$J$6:$J$1005,MATCH($D378,RUNS!$A$6:$A$1005,0))),""))</f>
        <v/>
      </c>
      <c r="Q378" s="33">
        <f>IF($D378="","",IFERROR(IF(INDEX(RUNS!$K$6:$K$1005,MATCH($D378,RUNS!$A$6:$A$1005,0))="","",INDEX(RUNS!$K$6:$K$1005,MATCH($D378,RUNS!$A$6:$A$1005,0))),""))</f>
        <v/>
      </c>
      <c r="R378" s="34">
        <f>IF(OR($L378="",$K378=""),"",IFERROR(IF(INDEX(PARAMETRES!$H$43:$H$342,MATCH($L378&amp;"|"&amp;$M378&amp;"|"&amp;$N378&amp;"|"&amp;$O378&amp;"|"&amp;$P378&amp;"|"&amp;$Q378&amp;"|"&amp;$K378,PARAMETRES!$J$43:$J$342,0))="","",INDEX(PARAMETRES!$H$43:$H$342,MATCH($L378&amp;"|"&amp;$M378&amp;"|"&amp;$N378&amp;"|"&amp;$O378&amp;"|"&amp;$P378&amp;"|"&amp;$Q378&amp;"|"&amp;$K378,PARAMETRES!$J$43:$J$342,0))),""))</f>
        <v/>
      </c>
      <c r="S378" s="35">
        <f>IF(OR($G378="",$X378&lt;&gt;"VALIDE"),"",IFERROR(LOOKUP(2,1/(($B$3:$B377=$B378)*($G$3:$G377=$G378)*($X$3:$X377="VALIDE")),$C$3:$C377),""))</f>
        <v/>
      </c>
      <c r="T378" s="36">
        <f>IF(OR($C378="",$S378=""),"",ROUND(($C378-$S378+IF($C378&lt;$S378,1,0))*1440,0))</f>
        <v/>
      </c>
      <c r="U378" s="22">
        <f>IF(OR($H378="",$T378="",$T378&lt;=0),"",$H378*60/$T378)</f>
        <v/>
      </c>
      <c r="V378" s="37">
        <f>IF(OR($U378="",$R378="",$R378=0),"",$U378/$R378)</f>
        <v/>
      </c>
      <c r="W378" s="20">
        <f>IF($G378="","",IF($X378="CONTEXTE INCOMPLET","CONTEXTE INCOMPLET",IF($X378="DOUBLON",StatutDoublon,IF($S378="",StatutInitial,IF($R378="",StatutStandardManquant,IF($V378="","DONNEES INSUFFISANTES",IF($V378&gt;=SeuilConforme,StatutConforme,IF($V378&gt;=SeuilSurveiller,StatutSurveiller,StatutSousStandard))))))))</f>
        <v/>
      </c>
      <c r="X378" s="33">
        <f>IF($G378="","",IF(OR($D378="",$E378="",$F378=""),"CONTEXTE INCOMPLET",IF(COUNTIFS($D$3:$D377,$D378,$E$3:$E377,$E378,$F$3:$F377,$F378,$G$3:$G377,$G378)&gt;0,"DOUBLON","VALIDE")))</f>
        <v/>
      </c>
    </row>
    <row r="379" ht="15" customHeight="1">
      <c r="A379" s="12">
        <f>IF(OR($B379="",$G379=""),"",TEXT($B379,"YYYYMMDD")&amp;"-"&amp;SUBSTITUTE($E379," ","")&amp;"-"&amp;$F379&amp;"-"&amp;$G379)</f>
        <v/>
      </c>
      <c r="B379" s="15" t="n"/>
      <c r="C379" s="16" t="n"/>
      <c r="D379" s="10" t="n"/>
      <c r="E379" s="9" t="n"/>
      <c r="F379" s="9" t="n"/>
      <c r="G379" s="13" t="n"/>
      <c r="H379" s="21" t="n"/>
      <c r="I379" s="21" t="n"/>
      <c r="J379" s="17">
        <f>IF($G379="","",IFERROR(INDEX(NomsEmployes,MATCH($G379,MatriculesEmployes,0)),"MATRICULE INCONNU"))</f>
        <v/>
      </c>
      <c r="K379" s="33">
        <f>IF(OR($D379="",$F379=""),"",IFERROR(IF(INDEX(RUNS!$L$6:$S$1005,MATCH($D379,RUNS!$A$6:$A$1005,0),MATCH("ACTIVITÉ "&amp;$F379,RUNS!$L$5:$S$5,0))="","",INDEX(RUNS!$L$6:$S$1005,MATCH($D379,RUNS!$A$6:$A$1005,0),MATCH("ACTIVITÉ "&amp;$F379,RUNS!$L$5:$S$5,0))),""))</f>
        <v/>
      </c>
      <c r="L379" s="33">
        <f>IF($D379="","",IFERROR(IF(INDEX(RUNS!$E$6:$E$1005,MATCH($D379,RUNS!$A$6:$A$1005,0))="","",INDEX(RUNS!$E$6:$E$1005,MATCH($D379,RUNS!$A$6:$A$1005,0))),""))</f>
        <v/>
      </c>
      <c r="M379" s="33">
        <f>IF($D379="","",IFERROR(IF(INDEX(RUNS!$F$6:$F$1005,MATCH($D379,RUNS!$A$6:$A$1005,0))="","",INDEX(RUNS!$F$6:$F$1005,MATCH($D379,RUNS!$A$6:$A$1005,0))),""))</f>
        <v/>
      </c>
      <c r="N379" s="33">
        <f>IF($D379="","",IFERROR(IF(INDEX(RUNS!$G$6:$G$1005,MATCH($D379,RUNS!$A$6:$A$1005,0))="","",INDEX(RUNS!$G$6:$G$1005,MATCH($D379,RUNS!$A$6:$A$1005,0))),""))</f>
        <v/>
      </c>
      <c r="O379" s="33">
        <f>IF($D379="","",IFERROR(IF(INDEX(RUNS!$H$6:$H$1005,MATCH($D379,RUNS!$A$6:$A$1005,0))="","",INDEX(RUNS!$H$6:$H$1005,MATCH($D379,RUNS!$A$6:$A$1005,0))),""))</f>
        <v/>
      </c>
      <c r="P379" s="33">
        <f>IF($D379="","",IFERROR(IF(INDEX(RUNS!$J$6:$J$1005,MATCH($D379,RUNS!$A$6:$A$1005,0))="","",INDEX(RUNS!$J$6:$J$1005,MATCH($D379,RUNS!$A$6:$A$1005,0))),""))</f>
        <v/>
      </c>
      <c r="Q379" s="33">
        <f>IF($D379="","",IFERROR(IF(INDEX(RUNS!$K$6:$K$1005,MATCH($D379,RUNS!$A$6:$A$1005,0))="","",INDEX(RUNS!$K$6:$K$1005,MATCH($D379,RUNS!$A$6:$A$1005,0))),""))</f>
        <v/>
      </c>
      <c r="R379" s="34">
        <f>IF(OR($L379="",$K379=""),"",IFERROR(IF(INDEX(PARAMETRES!$H$43:$H$342,MATCH($L379&amp;"|"&amp;$M379&amp;"|"&amp;$N379&amp;"|"&amp;$O379&amp;"|"&amp;$P379&amp;"|"&amp;$Q379&amp;"|"&amp;$K379,PARAMETRES!$J$43:$J$342,0))="","",INDEX(PARAMETRES!$H$43:$H$342,MATCH($L379&amp;"|"&amp;$M379&amp;"|"&amp;$N379&amp;"|"&amp;$O379&amp;"|"&amp;$P379&amp;"|"&amp;$Q379&amp;"|"&amp;$K379,PARAMETRES!$J$43:$J$342,0))),""))</f>
        <v/>
      </c>
      <c r="S379" s="35">
        <f>IF(OR($G379="",$X379&lt;&gt;"VALIDE"),"",IFERROR(LOOKUP(2,1/(($B$3:$B378=$B379)*($G$3:$G378=$G379)*($X$3:$X378="VALIDE")),$C$3:$C378),""))</f>
        <v/>
      </c>
      <c r="T379" s="36">
        <f>IF(OR($C379="",$S379=""),"",ROUND(($C379-$S379+IF($C379&lt;$S379,1,0))*1440,0))</f>
        <v/>
      </c>
      <c r="U379" s="22">
        <f>IF(OR($H379="",$T379="",$T379&lt;=0),"",$H379*60/$T379)</f>
        <v/>
      </c>
      <c r="V379" s="37">
        <f>IF(OR($U379="",$R379="",$R379=0),"",$U379/$R379)</f>
        <v/>
      </c>
      <c r="W379" s="20">
        <f>IF($G379="","",IF($X379="CONTEXTE INCOMPLET","CONTEXTE INCOMPLET",IF($X379="DOUBLON",StatutDoublon,IF($S379="",StatutInitial,IF($R379="",StatutStandardManquant,IF($V379="","DONNEES INSUFFISANTES",IF($V379&gt;=SeuilConforme,StatutConforme,IF($V379&gt;=SeuilSurveiller,StatutSurveiller,StatutSousStandard))))))))</f>
        <v/>
      </c>
      <c r="X379" s="33">
        <f>IF($G379="","",IF(OR($D379="",$E379="",$F379=""),"CONTEXTE INCOMPLET",IF(COUNTIFS($D$3:$D378,$D379,$E$3:$E378,$E379,$F$3:$F378,$F379,$G$3:$G378,$G379)&gt;0,"DOUBLON","VALIDE")))</f>
        <v/>
      </c>
    </row>
    <row r="380" ht="15" customHeight="1">
      <c r="A380" s="12">
        <f>IF(OR($B380="",$G380=""),"",TEXT($B380,"YYYYMMDD")&amp;"-"&amp;SUBSTITUTE($E380," ","")&amp;"-"&amp;$F380&amp;"-"&amp;$G380)</f>
        <v/>
      </c>
      <c r="B380" s="15" t="n"/>
      <c r="C380" s="16" t="n"/>
      <c r="D380" s="10" t="n"/>
      <c r="E380" s="9" t="n"/>
      <c r="F380" s="9" t="n"/>
      <c r="G380" s="13" t="n"/>
      <c r="H380" s="21" t="n"/>
      <c r="I380" s="21" t="n"/>
      <c r="J380" s="17">
        <f>IF($G380="","",IFERROR(INDEX(NomsEmployes,MATCH($G380,MatriculesEmployes,0)),"MATRICULE INCONNU"))</f>
        <v/>
      </c>
      <c r="K380" s="33">
        <f>IF(OR($D380="",$F380=""),"",IFERROR(IF(INDEX(RUNS!$L$6:$S$1005,MATCH($D380,RUNS!$A$6:$A$1005,0),MATCH("ACTIVITÉ "&amp;$F380,RUNS!$L$5:$S$5,0))="","",INDEX(RUNS!$L$6:$S$1005,MATCH($D380,RUNS!$A$6:$A$1005,0),MATCH("ACTIVITÉ "&amp;$F380,RUNS!$L$5:$S$5,0))),""))</f>
        <v/>
      </c>
      <c r="L380" s="33">
        <f>IF($D380="","",IFERROR(IF(INDEX(RUNS!$E$6:$E$1005,MATCH($D380,RUNS!$A$6:$A$1005,0))="","",INDEX(RUNS!$E$6:$E$1005,MATCH($D380,RUNS!$A$6:$A$1005,0))),""))</f>
        <v/>
      </c>
      <c r="M380" s="33">
        <f>IF($D380="","",IFERROR(IF(INDEX(RUNS!$F$6:$F$1005,MATCH($D380,RUNS!$A$6:$A$1005,0))="","",INDEX(RUNS!$F$6:$F$1005,MATCH($D380,RUNS!$A$6:$A$1005,0))),""))</f>
        <v/>
      </c>
      <c r="N380" s="33">
        <f>IF($D380="","",IFERROR(IF(INDEX(RUNS!$G$6:$G$1005,MATCH($D380,RUNS!$A$6:$A$1005,0))="","",INDEX(RUNS!$G$6:$G$1005,MATCH($D380,RUNS!$A$6:$A$1005,0))),""))</f>
        <v/>
      </c>
      <c r="O380" s="33">
        <f>IF($D380="","",IFERROR(IF(INDEX(RUNS!$H$6:$H$1005,MATCH($D380,RUNS!$A$6:$A$1005,0))="","",INDEX(RUNS!$H$6:$H$1005,MATCH($D380,RUNS!$A$6:$A$1005,0))),""))</f>
        <v/>
      </c>
      <c r="P380" s="33">
        <f>IF($D380="","",IFERROR(IF(INDEX(RUNS!$J$6:$J$1005,MATCH($D380,RUNS!$A$6:$A$1005,0))="","",INDEX(RUNS!$J$6:$J$1005,MATCH($D380,RUNS!$A$6:$A$1005,0))),""))</f>
        <v/>
      </c>
      <c r="Q380" s="33">
        <f>IF($D380="","",IFERROR(IF(INDEX(RUNS!$K$6:$K$1005,MATCH($D380,RUNS!$A$6:$A$1005,0))="","",INDEX(RUNS!$K$6:$K$1005,MATCH($D380,RUNS!$A$6:$A$1005,0))),""))</f>
        <v/>
      </c>
      <c r="R380" s="34">
        <f>IF(OR($L380="",$K380=""),"",IFERROR(IF(INDEX(PARAMETRES!$H$43:$H$342,MATCH($L380&amp;"|"&amp;$M380&amp;"|"&amp;$N380&amp;"|"&amp;$O380&amp;"|"&amp;$P380&amp;"|"&amp;$Q380&amp;"|"&amp;$K380,PARAMETRES!$J$43:$J$342,0))="","",INDEX(PARAMETRES!$H$43:$H$342,MATCH($L380&amp;"|"&amp;$M380&amp;"|"&amp;$N380&amp;"|"&amp;$O380&amp;"|"&amp;$P380&amp;"|"&amp;$Q380&amp;"|"&amp;$K380,PARAMETRES!$J$43:$J$342,0))),""))</f>
        <v/>
      </c>
      <c r="S380" s="35">
        <f>IF(OR($G380="",$X380&lt;&gt;"VALIDE"),"",IFERROR(LOOKUP(2,1/(($B$3:$B379=$B380)*($G$3:$G379=$G380)*($X$3:$X379="VALIDE")),$C$3:$C379),""))</f>
        <v/>
      </c>
      <c r="T380" s="36">
        <f>IF(OR($C380="",$S380=""),"",ROUND(($C380-$S380+IF($C380&lt;$S380,1,0))*1440,0))</f>
        <v/>
      </c>
      <c r="U380" s="22">
        <f>IF(OR($H380="",$T380="",$T380&lt;=0),"",$H380*60/$T380)</f>
        <v/>
      </c>
      <c r="V380" s="37">
        <f>IF(OR($U380="",$R380="",$R380=0),"",$U380/$R380)</f>
        <v/>
      </c>
      <c r="W380" s="20">
        <f>IF($G380="","",IF($X380="CONTEXTE INCOMPLET","CONTEXTE INCOMPLET",IF($X380="DOUBLON",StatutDoublon,IF($S380="",StatutInitial,IF($R380="",StatutStandardManquant,IF($V380="","DONNEES INSUFFISANTES",IF($V380&gt;=SeuilConforme,StatutConforme,IF($V380&gt;=SeuilSurveiller,StatutSurveiller,StatutSousStandard))))))))</f>
        <v/>
      </c>
      <c r="X380" s="33">
        <f>IF($G380="","",IF(OR($D380="",$E380="",$F380=""),"CONTEXTE INCOMPLET",IF(COUNTIFS($D$3:$D379,$D380,$E$3:$E379,$E380,$F$3:$F379,$F380,$G$3:$G379,$G380)&gt;0,"DOUBLON","VALIDE")))</f>
        <v/>
      </c>
    </row>
    <row r="381" ht="15" customHeight="1">
      <c r="A381" s="12">
        <f>IF(OR($B381="",$G381=""),"",TEXT($B381,"YYYYMMDD")&amp;"-"&amp;SUBSTITUTE($E381," ","")&amp;"-"&amp;$F381&amp;"-"&amp;$G381)</f>
        <v/>
      </c>
      <c r="B381" s="15" t="n"/>
      <c r="C381" s="16" t="n"/>
      <c r="D381" s="10" t="n"/>
      <c r="E381" s="9" t="n"/>
      <c r="F381" s="9" t="n"/>
      <c r="G381" s="13" t="n"/>
      <c r="H381" s="21" t="n"/>
      <c r="I381" s="21" t="n"/>
      <c r="J381" s="17">
        <f>IF($G381="","",IFERROR(INDEX(NomsEmployes,MATCH($G381,MatriculesEmployes,0)),"MATRICULE INCONNU"))</f>
        <v/>
      </c>
      <c r="K381" s="33">
        <f>IF(OR($D381="",$F381=""),"",IFERROR(IF(INDEX(RUNS!$L$6:$S$1005,MATCH($D381,RUNS!$A$6:$A$1005,0),MATCH("ACTIVITÉ "&amp;$F381,RUNS!$L$5:$S$5,0))="","",INDEX(RUNS!$L$6:$S$1005,MATCH($D381,RUNS!$A$6:$A$1005,0),MATCH("ACTIVITÉ "&amp;$F381,RUNS!$L$5:$S$5,0))),""))</f>
        <v/>
      </c>
      <c r="L381" s="33">
        <f>IF($D381="","",IFERROR(IF(INDEX(RUNS!$E$6:$E$1005,MATCH($D381,RUNS!$A$6:$A$1005,0))="","",INDEX(RUNS!$E$6:$E$1005,MATCH($D381,RUNS!$A$6:$A$1005,0))),""))</f>
        <v/>
      </c>
      <c r="M381" s="33">
        <f>IF($D381="","",IFERROR(IF(INDEX(RUNS!$F$6:$F$1005,MATCH($D381,RUNS!$A$6:$A$1005,0))="","",INDEX(RUNS!$F$6:$F$1005,MATCH($D381,RUNS!$A$6:$A$1005,0))),""))</f>
        <v/>
      </c>
      <c r="N381" s="33">
        <f>IF($D381="","",IFERROR(IF(INDEX(RUNS!$G$6:$G$1005,MATCH($D381,RUNS!$A$6:$A$1005,0))="","",INDEX(RUNS!$G$6:$G$1005,MATCH($D381,RUNS!$A$6:$A$1005,0))),""))</f>
        <v/>
      </c>
      <c r="O381" s="33">
        <f>IF($D381="","",IFERROR(IF(INDEX(RUNS!$H$6:$H$1005,MATCH($D381,RUNS!$A$6:$A$1005,0))="","",INDEX(RUNS!$H$6:$H$1005,MATCH($D381,RUNS!$A$6:$A$1005,0))),""))</f>
        <v/>
      </c>
      <c r="P381" s="33">
        <f>IF($D381="","",IFERROR(IF(INDEX(RUNS!$J$6:$J$1005,MATCH($D381,RUNS!$A$6:$A$1005,0))="","",INDEX(RUNS!$J$6:$J$1005,MATCH($D381,RUNS!$A$6:$A$1005,0))),""))</f>
        <v/>
      </c>
      <c r="Q381" s="33">
        <f>IF($D381="","",IFERROR(IF(INDEX(RUNS!$K$6:$K$1005,MATCH($D381,RUNS!$A$6:$A$1005,0))="","",INDEX(RUNS!$K$6:$K$1005,MATCH($D381,RUNS!$A$6:$A$1005,0))),""))</f>
        <v/>
      </c>
      <c r="R381" s="34">
        <f>IF(OR($L381="",$K381=""),"",IFERROR(IF(INDEX(PARAMETRES!$H$43:$H$342,MATCH($L381&amp;"|"&amp;$M381&amp;"|"&amp;$N381&amp;"|"&amp;$O381&amp;"|"&amp;$P381&amp;"|"&amp;$Q381&amp;"|"&amp;$K381,PARAMETRES!$J$43:$J$342,0))="","",INDEX(PARAMETRES!$H$43:$H$342,MATCH($L381&amp;"|"&amp;$M381&amp;"|"&amp;$N381&amp;"|"&amp;$O381&amp;"|"&amp;$P381&amp;"|"&amp;$Q381&amp;"|"&amp;$K381,PARAMETRES!$J$43:$J$342,0))),""))</f>
        <v/>
      </c>
      <c r="S381" s="35">
        <f>IF(OR($G381="",$X381&lt;&gt;"VALIDE"),"",IFERROR(LOOKUP(2,1/(($B$3:$B380=$B381)*($G$3:$G380=$G381)*($X$3:$X380="VALIDE")),$C$3:$C380),""))</f>
        <v/>
      </c>
      <c r="T381" s="36">
        <f>IF(OR($C381="",$S381=""),"",ROUND(($C381-$S381+IF($C381&lt;$S381,1,0))*1440,0))</f>
        <v/>
      </c>
      <c r="U381" s="22">
        <f>IF(OR($H381="",$T381="",$T381&lt;=0),"",$H381*60/$T381)</f>
        <v/>
      </c>
      <c r="V381" s="37">
        <f>IF(OR($U381="",$R381="",$R381=0),"",$U381/$R381)</f>
        <v/>
      </c>
      <c r="W381" s="20">
        <f>IF($G381="","",IF($X381="CONTEXTE INCOMPLET","CONTEXTE INCOMPLET",IF($X381="DOUBLON",StatutDoublon,IF($S381="",StatutInitial,IF($R381="",StatutStandardManquant,IF($V381="","DONNEES INSUFFISANTES",IF($V381&gt;=SeuilConforme,StatutConforme,IF($V381&gt;=SeuilSurveiller,StatutSurveiller,StatutSousStandard))))))))</f>
        <v/>
      </c>
      <c r="X381" s="33">
        <f>IF($G381="","",IF(OR($D381="",$E381="",$F381=""),"CONTEXTE INCOMPLET",IF(COUNTIFS($D$3:$D380,$D381,$E$3:$E380,$E381,$F$3:$F380,$F381,$G$3:$G380,$G381)&gt;0,"DOUBLON","VALIDE")))</f>
        <v/>
      </c>
    </row>
    <row r="382" ht="15" customHeight="1">
      <c r="A382" s="12">
        <f>IF(OR($B382="",$G382=""),"",TEXT($B382,"YYYYMMDD")&amp;"-"&amp;SUBSTITUTE($E382," ","")&amp;"-"&amp;$F382&amp;"-"&amp;$G382)</f>
        <v/>
      </c>
      <c r="B382" s="15" t="n"/>
      <c r="C382" s="16" t="n"/>
      <c r="D382" s="10" t="n"/>
      <c r="E382" s="9" t="n"/>
      <c r="F382" s="9" t="n"/>
      <c r="G382" s="13" t="n"/>
      <c r="H382" s="21" t="n"/>
      <c r="I382" s="21" t="n"/>
      <c r="J382" s="17">
        <f>IF($G382="","",IFERROR(INDEX(NomsEmployes,MATCH($G382,MatriculesEmployes,0)),"MATRICULE INCONNU"))</f>
        <v/>
      </c>
      <c r="K382" s="33">
        <f>IF(OR($D382="",$F382=""),"",IFERROR(IF(INDEX(RUNS!$L$6:$S$1005,MATCH($D382,RUNS!$A$6:$A$1005,0),MATCH("ACTIVITÉ "&amp;$F382,RUNS!$L$5:$S$5,0))="","",INDEX(RUNS!$L$6:$S$1005,MATCH($D382,RUNS!$A$6:$A$1005,0),MATCH("ACTIVITÉ "&amp;$F382,RUNS!$L$5:$S$5,0))),""))</f>
        <v/>
      </c>
      <c r="L382" s="33">
        <f>IF($D382="","",IFERROR(IF(INDEX(RUNS!$E$6:$E$1005,MATCH($D382,RUNS!$A$6:$A$1005,0))="","",INDEX(RUNS!$E$6:$E$1005,MATCH($D382,RUNS!$A$6:$A$1005,0))),""))</f>
        <v/>
      </c>
      <c r="M382" s="33">
        <f>IF($D382="","",IFERROR(IF(INDEX(RUNS!$F$6:$F$1005,MATCH($D382,RUNS!$A$6:$A$1005,0))="","",INDEX(RUNS!$F$6:$F$1005,MATCH($D382,RUNS!$A$6:$A$1005,0))),""))</f>
        <v/>
      </c>
      <c r="N382" s="33">
        <f>IF($D382="","",IFERROR(IF(INDEX(RUNS!$G$6:$G$1005,MATCH($D382,RUNS!$A$6:$A$1005,0))="","",INDEX(RUNS!$G$6:$G$1005,MATCH($D382,RUNS!$A$6:$A$1005,0))),""))</f>
        <v/>
      </c>
      <c r="O382" s="33">
        <f>IF($D382="","",IFERROR(IF(INDEX(RUNS!$H$6:$H$1005,MATCH($D382,RUNS!$A$6:$A$1005,0))="","",INDEX(RUNS!$H$6:$H$1005,MATCH($D382,RUNS!$A$6:$A$1005,0))),""))</f>
        <v/>
      </c>
      <c r="P382" s="33">
        <f>IF($D382="","",IFERROR(IF(INDEX(RUNS!$J$6:$J$1005,MATCH($D382,RUNS!$A$6:$A$1005,0))="","",INDEX(RUNS!$J$6:$J$1005,MATCH($D382,RUNS!$A$6:$A$1005,0))),""))</f>
        <v/>
      </c>
      <c r="Q382" s="33">
        <f>IF($D382="","",IFERROR(IF(INDEX(RUNS!$K$6:$K$1005,MATCH($D382,RUNS!$A$6:$A$1005,0))="","",INDEX(RUNS!$K$6:$K$1005,MATCH($D382,RUNS!$A$6:$A$1005,0))),""))</f>
        <v/>
      </c>
      <c r="R382" s="34">
        <f>IF(OR($L382="",$K382=""),"",IFERROR(IF(INDEX(PARAMETRES!$H$43:$H$342,MATCH($L382&amp;"|"&amp;$M382&amp;"|"&amp;$N382&amp;"|"&amp;$O382&amp;"|"&amp;$P382&amp;"|"&amp;$Q382&amp;"|"&amp;$K382,PARAMETRES!$J$43:$J$342,0))="","",INDEX(PARAMETRES!$H$43:$H$342,MATCH($L382&amp;"|"&amp;$M382&amp;"|"&amp;$N382&amp;"|"&amp;$O382&amp;"|"&amp;$P382&amp;"|"&amp;$Q382&amp;"|"&amp;$K382,PARAMETRES!$J$43:$J$342,0))),""))</f>
        <v/>
      </c>
      <c r="S382" s="35">
        <f>IF(OR($G382="",$X382&lt;&gt;"VALIDE"),"",IFERROR(LOOKUP(2,1/(($B$3:$B381=$B382)*($G$3:$G381=$G382)*($X$3:$X381="VALIDE")),$C$3:$C381),""))</f>
        <v/>
      </c>
      <c r="T382" s="36">
        <f>IF(OR($C382="",$S382=""),"",ROUND(($C382-$S382+IF($C382&lt;$S382,1,0))*1440,0))</f>
        <v/>
      </c>
      <c r="U382" s="22">
        <f>IF(OR($H382="",$T382="",$T382&lt;=0),"",$H382*60/$T382)</f>
        <v/>
      </c>
      <c r="V382" s="37">
        <f>IF(OR($U382="",$R382="",$R382=0),"",$U382/$R382)</f>
        <v/>
      </c>
      <c r="W382" s="20">
        <f>IF($G382="","",IF($X382="CONTEXTE INCOMPLET","CONTEXTE INCOMPLET",IF($X382="DOUBLON",StatutDoublon,IF($S382="",StatutInitial,IF($R382="",StatutStandardManquant,IF($V382="","DONNEES INSUFFISANTES",IF($V382&gt;=SeuilConforme,StatutConforme,IF($V382&gt;=SeuilSurveiller,StatutSurveiller,StatutSousStandard))))))))</f>
        <v/>
      </c>
      <c r="X382" s="33">
        <f>IF($G382="","",IF(OR($D382="",$E382="",$F382=""),"CONTEXTE INCOMPLET",IF(COUNTIFS($D$3:$D381,$D382,$E$3:$E381,$E382,$F$3:$F381,$F382,$G$3:$G381,$G382)&gt;0,"DOUBLON","VALIDE")))</f>
        <v/>
      </c>
    </row>
    <row r="383" ht="15" customHeight="1">
      <c r="A383" s="12">
        <f>IF(OR($B383="",$G383=""),"",TEXT($B383,"YYYYMMDD")&amp;"-"&amp;SUBSTITUTE($E383," ","")&amp;"-"&amp;$F383&amp;"-"&amp;$G383)</f>
        <v/>
      </c>
      <c r="B383" s="15" t="n"/>
      <c r="C383" s="16" t="n"/>
      <c r="D383" s="10" t="n"/>
      <c r="E383" s="9" t="n"/>
      <c r="F383" s="9" t="n"/>
      <c r="G383" s="13" t="n"/>
      <c r="H383" s="21" t="n"/>
      <c r="I383" s="21" t="n"/>
      <c r="J383" s="17">
        <f>IF($G383="","",IFERROR(INDEX(NomsEmployes,MATCH($G383,MatriculesEmployes,0)),"MATRICULE INCONNU"))</f>
        <v/>
      </c>
      <c r="K383" s="33">
        <f>IF(OR($D383="",$F383=""),"",IFERROR(IF(INDEX(RUNS!$L$6:$S$1005,MATCH($D383,RUNS!$A$6:$A$1005,0),MATCH("ACTIVITÉ "&amp;$F383,RUNS!$L$5:$S$5,0))="","",INDEX(RUNS!$L$6:$S$1005,MATCH($D383,RUNS!$A$6:$A$1005,0),MATCH("ACTIVITÉ "&amp;$F383,RUNS!$L$5:$S$5,0))),""))</f>
        <v/>
      </c>
      <c r="L383" s="33">
        <f>IF($D383="","",IFERROR(IF(INDEX(RUNS!$E$6:$E$1005,MATCH($D383,RUNS!$A$6:$A$1005,0))="","",INDEX(RUNS!$E$6:$E$1005,MATCH($D383,RUNS!$A$6:$A$1005,0))),""))</f>
        <v/>
      </c>
      <c r="M383" s="33">
        <f>IF($D383="","",IFERROR(IF(INDEX(RUNS!$F$6:$F$1005,MATCH($D383,RUNS!$A$6:$A$1005,0))="","",INDEX(RUNS!$F$6:$F$1005,MATCH($D383,RUNS!$A$6:$A$1005,0))),""))</f>
        <v/>
      </c>
      <c r="N383" s="33">
        <f>IF($D383="","",IFERROR(IF(INDEX(RUNS!$G$6:$G$1005,MATCH($D383,RUNS!$A$6:$A$1005,0))="","",INDEX(RUNS!$G$6:$G$1005,MATCH($D383,RUNS!$A$6:$A$1005,0))),""))</f>
        <v/>
      </c>
      <c r="O383" s="33">
        <f>IF($D383="","",IFERROR(IF(INDEX(RUNS!$H$6:$H$1005,MATCH($D383,RUNS!$A$6:$A$1005,0))="","",INDEX(RUNS!$H$6:$H$1005,MATCH($D383,RUNS!$A$6:$A$1005,0))),""))</f>
        <v/>
      </c>
      <c r="P383" s="33">
        <f>IF($D383="","",IFERROR(IF(INDEX(RUNS!$J$6:$J$1005,MATCH($D383,RUNS!$A$6:$A$1005,0))="","",INDEX(RUNS!$J$6:$J$1005,MATCH($D383,RUNS!$A$6:$A$1005,0))),""))</f>
        <v/>
      </c>
      <c r="Q383" s="33">
        <f>IF($D383="","",IFERROR(IF(INDEX(RUNS!$K$6:$K$1005,MATCH($D383,RUNS!$A$6:$A$1005,0))="","",INDEX(RUNS!$K$6:$K$1005,MATCH($D383,RUNS!$A$6:$A$1005,0))),""))</f>
        <v/>
      </c>
      <c r="R383" s="34">
        <f>IF(OR($L383="",$K383=""),"",IFERROR(IF(INDEX(PARAMETRES!$H$43:$H$342,MATCH($L383&amp;"|"&amp;$M383&amp;"|"&amp;$N383&amp;"|"&amp;$O383&amp;"|"&amp;$P383&amp;"|"&amp;$Q383&amp;"|"&amp;$K383,PARAMETRES!$J$43:$J$342,0))="","",INDEX(PARAMETRES!$H$43:$H$342,MATCH($L383&amp;"|"&amp;$M383&amp;"|"&amp;$N383&amp;"|"&amp;$O383&amp;"|"&amp;$P383&amp;"|"&amp;$Q383&amp;"|"&amp;$K383,PARAMETRES!$J$43:$J$342,0))),""))</f>
        <v/>
      </c>
      <c r="S383" s="35">
        <f>IF(OR($G383="",$X383&lt;&gt;"VALIDE"),"",IFERROR(LOOKUP(2,1/(($B$3:$B382=$B383)*($G$3:$G382=$G383)*($X$3:$X382="VALIDE")),$C$3:$C382),""))</f>
        <v/>
      </c>
      <c r="T383" s="36">
        <f>IF(OR($C383="",$S383=""),"",ROUND(($C383-$S383+IF($C383&lt;$S383,1,0))*1440,0))</f>
        <v/>
      </c>
      <c r="U383" s="22">
        <f>IF(OR($H383="",$T383="",$T383&lt;=0),"",$H383*60/$T383)</f>
        <v/>
      </c>
      <c r="V383" s="37">
        <f>IF(OR($U383="",$R383="",$R383=0),"",$U383/$R383)</f>
        <v/>
      </c>
      <c r="W383" s="20">
        <f>IF($G383="","",IF($X383="CONTEXTE INCOMPLET","CONTEXTE INCOMPLET",IF($X383="DOUBLON",StatutDoublon,IF($S383="",StatutInitial,IF($R383="",StatutStandardManquant,IF($V383="","DONNEES INSUFFISANTES",IF($V383&gt;=SeuilConforme,StatutConforme,IF($V383&gt;=SeuilSurveiller,StatutSurveiller,StatutSousStandard))))))))</f>
        <v/>
      </c>
      <c r="X383" s="33">
        <f>IF($G383="","",IF(OR($D383="",$E383="",$F383=""),"CONTEXTE INCOMPLET",IF(COUNTIFS($D$3:$D382,$D383,$E$3:$E382,$E383,$F$3:$F382,$F383,$G$3:$G382,$G383)&gt;0,"DOUBLON","VALIDE")))</f>
        <v/>
      </c>
    </row>
    <row r="384" ht="15" customHeight="1">
      <c r="A384" s="12">
        <f>IF(OR($B384="",$G384=""),"",TEXT($B384,"YYYYMMDD")&amp;"-"&amp;SUBSTITUTE($E384," ","")&amp;"-"&amp;$F384&amp;"-"&amp;$G384)</f>
        <v/>
      </c>
      <c r="B384" s="15" t="n"/>
      <c r="C384" s="16" t="n"/>
      <c r="D384" s="10" t="n"/>
      <c r="E384" s="9" t="n"/>
      <c r="F384" s="9" t="n"/>
      <c r="G384" s="13" t="n"/>
      <c r="H384" s="21" t="n"/>
      <c r="I384" s="21" t="n"/>
      <c r="J384" s="17">
        <f>IF($G384="","",IFERROR(INDEX(NomsEmployes,MATCH($G384,MatriculesEmployes,0)),"MATRICULE INCONNU"))</f>
        <v/>
      </c>
      <c r="K384" s="33">
        <f>IF(OR($D384="",$F384=""),"",IFERROR(IF(INDEX(RUNS!$L$6:$S$1005,MATCH($D384,RUNS!$A$6:$A$1005,0),MATCH("ACTIVITÉ "&amp;$F384,RUNS!$L$5:$S$5,0))="","",INDEX(RUNS!$L$6:$S$1005,MATCH($D384,RUNS!$A$6:$A$1005,0),MATCH("ACTIVITÉ "&amp;$F384,RUNS!$L$5:$S$5,0))),""))</f>
        <v/>
      </c>
      <c r="L384" s="33">
        <f>IF($D384="","",IFERROR(IF(INDEX(RUNS!$E$6:$E$1005,MATCH($D384,RUNS!$A$6:$A$1005,0))="","",INDEX(RUNS!$E$6:$E$1005,MATCH($D384,RUNS!$A$6:$A$1005,0))),""))</f>
        <v/>
      </c>
      <c r="M384" s="33">
        <f>IF($D384="","",IFERROR(IF(INDEX(RUNS!$F$6:$F$1005,MATCH($D384,RUNS!$A$6:$A$1005,0))="","",INDEX(RUNS!$F$6:$F$1005,MATCH($D384,RUNS!$A$6:$A$1005,0))),""))</f>
        <v/>
      </c>
      <c r="N384" s="33">
        <f>IF($D384="","",IFERROR(IF(INDEX(RUNS!$G$6:$G$1005,MATCH($D384,RUNS!$A$6:$A$1005,0))="","",INDEX(RUNS!$G$6:$G$1005,MATCH($D384,RUNS!$A$6:$A$1005,0))),""))</f>
        <v/>
      </c>
      <c r="O384" s="33">
        <f>IF($D384="","",IFERROR(IF(INDEX(RUNS!$H$6:$H$1005,MATCH($D384,RUNS!$A$6:$A$1005,0))="","",INDEX(RUNS!$H$6:$H$1005,MATCH($D384,RUNS!$A$6:$A$1005,0))),""))</f>
        <v/>
      </c>
      <c r="P384" s="33">
        <f>IF($D384="","",IFERROR(IF(INDEX(RUNS!$J$6:$J$1005,MATCH($D384,RUNS!$A$6:$A$1005,0))="","",INDEX(RUNS!$J$6:$J$1005,MATCH($D384,RUNS!$A$6:$A$1005,0))),""))</f>
        <v/>
      </c>
      <c r="Q384" s="33">
        <f>IF($D384="","",IFERROR(IF(INDEX(RUNS!$K$6:$K$1005,MATCH($D384,RUNS!$A$6:$A$1005,0))="","",INDEX(RUNS!$K$6:$K$1005,MATCH($D384,RUNS!$A$6:$A$1005,0))),""))</f>
        <v/>
      </c>
      <c r="R384" s="34">
        <f>IF(OR($L384="",$K384=""),"",IFERROR(IF(INDEX(PARAMETRES!$H$43:$H$342,MATCH($L384&amp;"|"&amp;$M384&amp;"|"&amp;$N384&amp;"|"&amp;$O384&amp;"|"&amp;$P384&amp;"|"&amp;$Q384&amp;"|"&amp;$K384,PARAMETRES!$J$43:$J$342,0))="","",INDEX(PARAMETRES!$H$43:$H$342,MATCH($L384&amp;"|"&amp;$M384&amp;"|"&amp;$N384&amp;"|"&amp;$O384&amp;"|"&amp;$P384&amp;"|"&amp;$Q384&amp;"|"&amp;$K384,PARAMETRES!$J$43:$J$342,0))),""))</f>
        <v/>
      </c>
      <c r="S384" s="35">
        <f>IF(OR($G384="",$X384&lt;&gt;"VALIDE"),"",IFERROR(LOOKUP(2,1/(($B$3:$B383=$B384)*($G$3:$G383=$G384)*($X$3:$X383="VALIDE")),$C$3:$C383),""))</f>
        <v/>
      </c>
      <c r="T384" s="36">
        <f>IF(OR($C384="",$S384=""),"",ROUND(($C384-$S384+IF($C384&lt;$S384,1,0))*1440,0))</f>
        <v/>
      </c>
      <c r="U384" s="22">
        <f>IF(OR($H384="",$T384="",$T384&lt;=0),"",$H384*60/$T384)</f>
        <v/>
      </c>
      <c r="V384" s="37">
        <f>IF(OR($U384="",$R384="",$R384=0),"",$U384/$R384)</f>
        <v/>
      </c>
      <c r="W384" s="20">
        <f>IF($G384="","",IF($X384="CONTEXTE INCOMPLET","CONTEXTE INCOMPLET",IF($X384="DOUBLON",StatutDoublon,IF($S384="",StatutInitial,IF($R384="",StatutStandardManquant,IF($V384="","DONNEES INSUFFISANTES",IF($V384&gt;=SeuilConforme,StatutConforme,IF($V384&gt;=SeuilSurveiller,StatutSurveiller,StatutSousStandard))))))))</f>
        <v/>
      </c>
      <c r="X384" s="33">
        <f>IF($G384="","",IF(OR($D384="",$E384="",$F384=""),"CONTEXTE INCOMPLET",IF(COUNTIFS($D$3:$D383,$D384,$E$3:$E383,$E384,$F$3:$F383,$F384,$G$3:$G383,$G384)&gt;0,"DOUBLON","VALIDE")))</f>
        <v/>
      </c>
    </row>
    <row r="385" ht="15" customHeight="1">
      <c r="A385" s="12">
        <f>IF(OR($B385="",$G385=""),"",TEXT($B385,"YYYYMMDD")&amp;"-"&amp;SUBSTITUTE($E385," ","")&amp;"-"&amp;$F385&amp;"-"&amp;$G385)</f>
        <v/>
      </c>
      <c r="B385" s="15" t="n"/>
      <c r="C385" s="16" t="n"/>
      <c r="D385" s="10" t="n"/>
      <c r="E385" s="9" t="n"/>
      <c r="F385" s="9" t="n"/>
      <c r="G385" s="13" t="n"/>
      <c r="H385" s="21" t="n"/>
      <c r="I385" s="21" t="n"/>
      <c r="J385" s="17">
        <f>IF($G385="","",IFERROR(INDEX(NomsEmployes,MATCH($G385,MatriculesEmployes,0)),"MATRICULE INCONNU"))</f>
        <v/>
      </c>
      <c r="K385" s="33">
        <f>IF(OR($D385="",$F385=""),"",IFERROR(IF(INDEX(RUNS!$L$6:$S$1005,MATCH($D385,RUNS!$A$6:$A$1005,0),MATCH("ACTIVITÉ "&amp;$F385,RUNS!$L$5:$S$5,0))="","",INDEX(RUNS!$L$6:$S$1005,MATCH($D385,RUNS!$A$6:$A$1005,0),MATCH("ACTIVITÉ "&amp;$F385,RUNS!$L$5:$S$5,0))),""))</f>
        <v/>
      </c>
      <c r="L385" s="33">
        <f>IF($D385="","",IFERROR(IF(INDEX(RUNS!$E$6:$E$1005,MATCH($D385,RUNS!$A$6:$A$1005,0))="","",INDEX(RUNS!$E$6:$E$1005,MATCH($D385,RUNS!$A$6:$A$1005,0))),""))</f>
        <v/>
      </c>
      <c r="M385" s="33">
        <f>IF($D385="","",IFERROR(IF(INDEX(RUNS!$F$6:$F$1005,MATCH($D385,RUNS!$A$6:$A$1005,0))="","",INDEX(RUNS!$F$6:$F$1005,MATCH($D385,RUNS!$A$6:$A$1005,0))),""))</f>
        <v/>
      </c>
      <c r="N385" s="33">
        <f>IF($D385="","",IFERROR(IF(INDEX(RUNS!$G$6:$G$1005,MATCH($D385,RUNS!$A$6:$A$1005,0))="","",INDEX(RUNS!$G$6:$G$1005,MATCH($D385,RUNS!$A$6:$A$1005,0))),""))</f>
        <v/>
      </c>
      <c r="O385" s="33">
        <f>IF($D385="","",IFERROR(IF(INDEX(RUNS!$H$6:$H$1005,MATCH($D385,RUNS!$A$6:$A$1005,0))="","",INDEX(RUNS!$H$6:$H$1005,MATCH($D385,RUNS!$A$6:$A$1005,0))),""))</f>
        <v/>
      </c>
      <c r="P385" s="33">
        <f>IF($D385="","",IFERROR(IF(INDEX(RUNS!$J$6:$J$1005,MATCH($D385,RUNS!$A$6:$A$1005,0))="","",INDEX(RUNS!$J$6:$J$1005,MATCH($D385,RUNS!$A$6:$A$1005,0))),""))</f>
        <v/>
      </c>
      <c r="Q385" s="33">
        <f>IF($D385="","",IFERROR(IF(INDEX(RUNS!$K$6:$K$1005,MATCH($D385,RUNS!$A$6:$A$1005,0))="","",INDEX(RUNS!$K$6:$K$1005,MATCH($D385,RUNS!$A$6:$A$1005,0))),""))</f>
        <v/>
      </c>
      <c r="R385" s="34">
        <f>IF(OR($L385="",$K385=""),"",IFERROR(IF(INDEX(PARAMETRES!$H$43:$H$342,MATCH($L385&amp;"|"&amp;$M385&amp;"|"&amp;$N385&amp;"|"&amp;$O385&amp;"|"&amp;$P385&amp;"|"&amp;$Q385&amp;"|"&amp;$K385,PARAMETRES!$J$43:$J$342,0))="","",INDEX(PARAMETRES!$H$43:$H$342,MATCH($L385&amp;"|"&amp;$M385&amp;"|"&amp;$N385&amp;"|"&amp;$O385&amp;"|"&amp;$P385&amp;"|"&amp;$Q385&amp;"|"&amp;$K385,PARAMETRES!$J$43:$J$342,0))),""))</f>
        <v/>
      </c>
      <c r="S385" s="35">
        <f>IF(OR($G385="",$X385&lt;&gt;"VALIDE"),"",IFERROR(LOOKUP(2,1/(($B$3:$B384=$B385)*($G$3:$G384=$G385)*($X$3:$X384="VALIDE")),$C$3:$C384),""))</f>
        <v/>
      </c>
      <c r="T385" s="36">
        <f>IF(OR($C385="",$S385=""),"",ROUND(($C385-$S385+IF($C385&lt;$S385,1,0))*1440,0))</f>
        <v/>
      </c>
      <c r="U385" s="22">
        <f>IF(OR($H385="",$T385="",$T385&lt;=0),"",$H385*60/$T385)</f>
        <v/>
      </c>
      <c r="V385" s="37">
        <f>IF(OR($U385="",$R385="",$R385=0),"",$U385/$R385)</f>
        <v/>
      </c>
      <c r="W385" s="20">
        <f>IF($G385="","",IF($X385="CONTEXTE INCOMPLET","CONTEXTE INCOMPLET",IF($X385="DOUBLON",StatutDoublon,IF($S385="",StatutInitial,IF($R385="",StatutStandardManquant,IF($V385="","DONNEES INSUFFISANTES",IF($V385&gt;=SeuilConforme,StatutConforme,IF($V385&gt;=SeuilSurveiller,StatutSurveiller,StatutSousStandard))))))))</f>
        <v/>
      </c>
      <c r="X385" s="33">
        <f>IF($G385="","",IF(OR($D385="",$E385="",$F385=""),"CONTEXTE INCOMPLET",IF(COUNTIFS($D$3:$D384,$D385,$E$3:$E384,$E385,$F$3:$F384,$F385,$G$3:$G384,$G385)&gt;0,"DOUBLON","VALIDE")))</f>
        <v/>
      </c>
    </row>
    <row r="386" ht="15" customHeight="1">
      <c r="A386" s="12">
        <f>IF(OR($B386="",$G386=""),"",TEXT($B386,"YYYYMMDD")&amp;"-"&amp;SUBSTITUTE($E386," ","")&amp;"-"&amp;$F386&amp;"-"&amp;$G386)</f>
        <v/>
      </c>
      <c r="B386" s="15" t="n"/>
      <c r="C386" s="16" t="n"/>
      <c r="D386" s="10" t="n"/>
      <c r="E386" s="9" t="n"/>
      <c r="F386" s="9" t="n"/>
      <c r="G386" s="13" t="n"/>
      <c r="H386" s="21" t="n"/>
      <c r="I386" s="21" t="n"/>
      <c r="J386" s="17">
        <f>IF($G386="","",IFERROR(INDEX(NomsEmployes,MATCH($G386,MatriculesEmployes,0)),"MATRICULE INCONNU"))</f>
        <v/>
      </c>
      <c r="K386" s="33">
        <f>IF(OR($D386="",$F386=""),"",IFERROR(IF(INDEX(RUNS!$L$6:$S$1005,MATCH($D386,RUNS!$A$6:$A$1005,0),MATCH("ACTIVITÉ "&amp;$F386,RUNS!$L$5:$S$5,0))="","",INDEX(RUNS!$L$6:$S$1005,MATCH($D386,RUNS!$A$6:$A$1005,0),MATCH("ACTIVITÉ "&amp;$F386,RUNS!$L$5:$S$5,0))),""))</f>
        <v/>
      </c>
      <c r="L386" s="33">
        <f>IF($D386="","",IFERROR(IF(INDEX(RUNS!$E$6:$E$1005,MATCH($D386,RUNS!$A$6:$A$1005,0))="","",INDEX(RUNS!$E$6:$E$1005,MATCH($D386,RUNS!$A$6:$A$1005,0))),""))</f>
        <v/>
      </c>
      <c r="M386" s="33">
        <f>IF($D386="","",IFERROR(IF(INDEX(RUNS!$F$6:$F$1005,MATCH($D386,RUNS!$A$6:$A$1005,0))="","",INDEX(RUNS!$F$6:$F$1005,MATCH($D386,RUNS!$A$6:$A$1005,0))),""))</f>
        <v/>
      </c>
      <c r="N386" s="33">
        <f>IF($D386="","",IFERROR(IF(INDEX(RUNS!$G$6:$G$1005,MATCH($D386,RUNS!$A$6:$A$1005,0))="","",INDEX(RUNS!$G$6:$G$1005,MATCH($D386,RUNS!$A$6:$A$1005,0))),""))</f>
        <v/>
      </c>
      <c r="O386" s="33">
        <f>IF($D386="","",IFERROR(IF(INDEX(RUNS!$H$6:$H$1005,MATCH($D386,RUNS!$A$6:$A$1005,0))="","",INDEX(RUNS!$H$6:$H$1005,MATCH($D386,RUNS!$A$6:$A$1005,0))),""))</f>
        <v/>
      </c>
      <c r="P386" s="33">
        <f>IF($D386="","",IFERROR(IF(INDEX(RUNS!$J$6:$J$1005,MATCH($D386,RUNS!$A$6:$A$1005,0))="","",INDEX(RUNS!$J$6:$J$1005,MATCH($D386,RUNS!$A$6:$A$1005,0))),""))</f>
        <v/>
      </c>
      <c r="Q386" s="33">
        <f>IF($D386="","",IFERROR(IF(INDEX(RUNS!$K$6:$K$1005,MATCH($D386,RUNS!$A$6:$A$1005,0))="","",INDEX(RUNS!$K$6:$K$1005,MATCH($D386,RUNS!$A$6:$A$1005,0))),""))</f>
        <v/>
      </c>
      <c r="R386" s="34">
        <f>IF(OR($L386="",$K386=""),"",IFERROR(IF(INDEX(PARAMETRES!$H$43:$H$342,MATCH($L386&amp;"|"&amp;$M386&amp;"|"&amp;$N386&amp;"|"&amp;$O386&amp;"|"&amp;$P386&amp;"|"&amp;$Q386&amp;"|"&amp;$K386,PARAMETRES!$J$43:$J$342,0))="","",INDEX(PARAMETRES!$H$43:$H$342,MATCH($L386&amp;"|"&amp;$M386&amp;"|"&amp;$N386&amp;"|"&amp;$O386&amp;"|"&amp;$P386&amp;"|"&amp;$Q386&amp;"|"&amp;$K386,PARAMETRES!$J$43:$J$342,0))),""))</f>
        <v/>
      </c>
      <c r="S386" s="35">
        <f>IF(OR($G386="",$X386&lt;&gt;"VALIDE"),"",IFERROR(LOOKUP(2,1/(($B$3:$B385=$B386)*($G$3:$G385=$G386)*($X$3:$X385="VALIDE")),$C$3:$C385),""))</f>
        <v/>
      </c>
      <c r="T386" s="36">
        <f>IF(OR($C386="",$S386=""),"",ROUND(($C386-$S386+IF($C386&lt;$S386,1,0))*1440,0))</f>
        <v/>
      </c>
      <c r="U386" s="22">
        <f>IF(OR($H386="",$T386="",$T386&lt;=0),"",$H386*60/$T386)</f>
        <v/>
      </c>
      <c r="V386" s="37">
        <f>IF(OR($U386="",$R386="",$R386=0),"",$U386/$R386)</f>
        <v/>
      </c>
      <c r="W386" s="20">
        <f>IF($G386="","",IF($X386="CONTEXTE INCOMPLET","CONTEXTE INCOMPLET",IF($X386="DOUBLON",StatutDoublon,IF($S386="",StatutInitial,IF($R386="",StatutStandardManquant,IF($V386="","DONNEES INSUFFISANTES",IF($V386&gt;=SeuilConforme,StatutConforme,IF($V386&gt;=SeuilSurveiller,StatutSurveiller,StatutSousStandard))))))))</f>
        <v/>
      </c>
      <c r="X386" s="33">
        <f>IF($G386="","",IF(OR($D386="",$E386="",$F386=""),"CONTEXTE INCOMPLET",IF(COUNTIFS($D$3:$D385,$D386,$E$3:$E385,$E386,$F$3:$F385,$F386,$G$3:$G385,$G386)&gt;0,"DOUBLON","VALIDE")))</f>
        <v/>
      </c>
    </row>
    <row r="387" ht="15" customHeight="1">
      <c r="A387" s="12">
        <f>IF(OR($B387="",$G387=""),"",TEXT($B387,"YYYYMMDD")&amp;"-"&amp;SUBSTITUTE($E387," ","")&amp;"-"&amp;$F387&amp;"-"&amp;$G387)</f>
        <v/>
      </c>
      <c r="B387" s="15" t="n"/>
      <c r="C387" s="16" t="n"/>
      <c r="D387" s="10" t="n"/>
      <c r="E387" s="9" t="n"/>
      <c r="F387" s="9" t="n"/>
      <c r="G387" s="13" t="n"/>
      <c r="H387" s="21" t="n"/>
      <c r="I387" s="21" t="n"/>
      <c r="J387" s="17">
        <f>IF($G387="","",IFERROR(INDEX(NomsEmployes,MATCH($G387,MatriculesEmployes,0)),"MATRICULE INCONNU"))</f>
        <v/>
      </c>
      <c r="K387" s="33">
        <f>IF(OR($D387="",$F387=""),"",IFERROR(IF(INDEX(RUNS!$L$6:$S$1005,MATCH($D387,RUNS!$A$6:$A$1005,0),MATCH("ACTIVITÉ "&amp;$F387,RUNS!$L$5:$S$5,0))="","",INDEX(RUNS!$L$6:$S$1005,MATCH($D387,RUNS!$A$6:$A$1005,0),MATCH("ACTIVITÉ "&amp;$F387,RUNS!$L$5:$S$5,0))),""))</f>
        <v/>
      </c>
      <c r="L387" s="33">
        <f>IF($D387="","",IFERROR(IF(INDEX(RUNS!$E$6:$E$1005,MATCH($D387,RUNS!$A$6:$A$1005,0))="","",INDEX(RUNS!$E$6:$E$1005,MATCH($D387,RUNS!$A$6:$A$1005,0))),""))</f>
        <v/>
      </c>
      <c r="M387" s="33">
        <f>IF($D387="","",IFERROR(IF(INDEX(RUNS!$F$6:$F$1005,MATCH($D387,RUNS!$A$6:$A$1005,0))="","",INDEX(RUNS!$F$6:$F$1005,MATCH($D387,RUNS!$A$6:$A$1005,0))),""))</f>
        <v/>
      </c>
      <c r="N387" s="33">
        <f>IF($D387="","",IFERROR(IF(INDEX(RUNS!$G$6:$G$1005,MATCH($D387,RUNS!$A$6:$A$1005,0))="","",INDEX(RUNS!$G$6:$G$1005,MATCH($D387,RUNS!$A$6:$A$1005,0))),""))</f>
        <v/>
      </c>
      <c r="O387" s="33">
        <f>IF($D387="","",IFERROR(IF(INDEX(RUNS!$H$6:$H$1005,MATCH($D387,RUNS!$A$6:$A$1005,0))="","",INDEX(RUNS!$H$6:$H$1005,MATCH($D387,RUNS!$A$6:$A$1005,0))),""))</f>
        <v/>
      </c>
      <c r="P387" s="33">
        <f>IF($D387="","",IFERROR(IF(INDEX(RUNS!$J$6:$J$1005,MATCH($D387,RUNS!$A$6:$A$1005,0))="","",INDEX(RUNS!$J$6:$J$1005,MATCH($D387,RUNS!$A$6:$A$1005,0))),""))</f>
        <v/>
      </c>
      <c r="Q387" s="33">
        <f>IF($D387="","",IFERROR(IF(INDEX(RUNS!$K$6:$K$1005,MATCH($D387,RUNS!$A$6:$A$1005,0))="","",INDEX(RUNS!$K$6:$K$1005,MATCH($D387,RUNS!$A$6:$A$1005,0))),""))</f>
        <v/>
      </c>
      <c r="R387" s="34">
        <f>IF(OR($L387="",$K387=""),"",IFERROR(IF(INDEX(PARAMETRES!$H$43:$H$342,MATCH($L387&amp;"|"&amp;$M387&amp;"|"&amp;$N387&amp;"|"&amp;$O387&amp;"|"&amp;$P387&amp;"|"&amp;$Q387&amp;"|"&amp;$K387,PARAMETRES!$J$43:$J$342,0))="","",INDEX(PARAMETRES!$H$43:$H$342,MATCH($L387&amp;"|"&amp;$M387&amp;"|"&amp;$N387&amp;"|"&amp;$O387&amp;"|"&amp;$P387&amp;"|"&amp;$Q387&amp;"|"&amp;$K387,PARAMETRES!$J$43:$J$342,0))),""))</f>
        <v/>
      </c>
      <c r="S387" s="35">
        <f>IF(OR($G387="",$X387&lt;&gt;"VALIDE"),"",IFERROR(LOOKUP(2,1/(($B$3:$B386=$B387)*($G$3:$G386=$G387)*($X$3:$X386="VALIDE")),$C$3:$C386),""))</f>
        <v/>
      </c>
      <c r="T387" s="36">
        <f>IF(OR($C387="",$S387=""),"",ROUND(($C387-$S387+IF($C387&lt;$S387,1,0))*1440,0))</f>
        <v/>
      </c>
      <c r="U387" s="22">
        <f>IF(OR($H387="",$T387="",$T387&lt;=0),"",$H387*60/$T387)</f>
        <v/>
      </c>
      <c r="V387" s="37">
        <f>IF(OR($U387="",$R387="",$R387=0),"",$U387/$R387)</f>
        <v/>
      </c>
      <c r="W387" s="20">
        <f>IF($G387="","",IF($X387="CONTEXTE INCOMPLET","CONTEXTE INCOMPLET",IF($X387="DOUBLON",StatutDoublon,IF($S387="",StatutInitial,IF($R387="",StatutStandardManquant,IF($V387="","DONNEES INSUFFISANTES",IF($V387&gt;=SeuilConforme,StatutConforme,IF($V387&gt;=SeuilSurveiller,StatutSurveiller,StatutSousStandard))))))))</f>
        <v/>
      </c>
      <c r="X387" s="33">
        <f>IF($G387="","",IF(OR($D387="",$E387="",$F387=""),"CONTEXTE INCOMPLET",IF(COUNTIFS($D$3:$D386,$D387,$E$3:$E386,$E387,$F$3:$F386,$F387,$G$3:$G386,$G387)&gt;0,"DOUBLON","VALIDE")))</f>
        <v/>
      </c>
    </row>
    <row r="388" ht="15" customHeight="1">
      <c r="A388" s="12">
        <f>IF(OR($B388="",$G388=""),"",TEXT($B388,"YYYYMMDD")&amp;"-"&amp;SUBSTITUTE($E388," ","")&amp;"-"&amp;$F388&amp;"-"&amp;$G388)</f>
        <v/>
      </c>
      <c r="B388" s="15" t="n"/>
      <c r="C388" s="16" t="n"/>
      <c r="D388" s="10" t="n"/>
      <c r="E388" s="9" t="n"/>
      <c r="F388" s="9" t="n"/>
      <c r="G388" s="13" t="n"/>
      <c r="H388" s="21" t="n"/>
      <c r="I388" s="21" t="n"/>
      <c r="J388" s="17">
        <f>IF($G388="","",IFERROR(INDEX(NomsEmployes,MATCH($G388,MatriculesEmployes,0)),"MATRICULE INCONNU"))</f>
        <v/>
      </c>
      <c r="K388" s="33">
        <f>IF(OR($D388="",$F388=""),"",IFERROR(IF(INDEX(RUNS!$L$6:$S$1005,MATCH($D388,RUNS!$A$6:$A$1005,0),MATCH("ACTIVITÉ "&amp;$F388,RUNS!$L$5:$S$5,0))="","",INDEX(RUNS!$L$6:$S$1005,MATCH($D388,RUNS!$A$6:$A$1005,0),MATCH("ACTIVITÉ "&amp;$F388,RUNS!$L$5:$S$5,0))),""))</f>
        <v/>
      </c>
      <c r="L388" s="33">
        <f>IF($D388="","",IFERROR(IF(INDEX(RUNS!$E$6:$E$1005,MATCH($D388,RUNS!$A$6:$A$1005,0))="","",INDEX(RUNS!$E$6:$E$1005,MATCH($D388,RUNS!$A$6:$A$1005,0))),""))</f>
        <v/>
      </c>
      <c r="M388" s="33">
        <f>IF($D388="","",IFERROR(IF(INDEX(RUNS!$F$6:$F$1005,MATCH($D388,RUNS!$A$6:$A$1005,0))="","",INDEX(RUNS!$F$6:$F$1005,MATCH($D388,RUNS!$A$6:$A$1005,0))),""))</f>
        <v/>
      </c>
      <c r="N388" s="33">
        <f>IF($D388="","",IFERROR(IF(INDEX(RUNS!$G$6:$G$1005,MATCH($D388,RUNS!$A$6:$A$1005,0))="","",INDEX(RUNS!$G$6:$G$1005,MATCH($D388,RUNS!$A$6:$A$1005,0))),""))</f>
        <v/>
      </c>
      <c r="O388" s="33">
        <f>IF($D388="","",IFERROR(IF(INDEX(RUNS!$H$6:$H$1005,MATCH($D388,RUNS!$A$6:$A$1005,0))="","",INDEX(RUNS!$H$6:$H$1005,MATCH($D388,RUNS!$A$6:$A$1005,0))),""))</f>
        <v/>
      </c>
      <c r="P388" s="33">
        <f>IF($D388="","",IFERROR(IF(INDEX(RUNS!$J$6:$J$1005,MATCH($D388,RUNS!$A$6:$A$1005,0))="","",INDEX(RUNS!$J$6:$J$1005,MATCH($D388,RUNS!$A$6:$A$1005,0))),""))</f>
        <v/>
      </c>
      <c r="Q388" s="33">
        <f>IF($D388="","",IFERROR(IF(INDEX(RUNS!$K$6:$K$1005,MATCH($D388,RUNS!$A$6:$A$1005,0))="","",INDEX(RUNS!$K$6:$K$1005,MATCH($D388,RUNS!$A$6:$A$1005,0))),""))</f>
        <v/>
      </c>
      <c r="R388" s="34">
        <f>IF(OR($L388="",$K388=""),"",IFERROR(IF(INDEX(PARAMETRES!$H$43:$H$342,MATCH($L388&amp;"|"&amp;$M388&amp;"|"&amp;$N388&amp;"|"&amp;$O388&amp;"|"&amp;$P388&amp;"|"&amp;$Q388&amp;"|"&amp;$K388,PARAMETRES!$J$43:$J$342,0))="","",INDEX(PARAMETRES!$H$43:$H$342,MATCH($L388&amp;"|"&amp;$M388&amp;"|"&amp;$N388&amp;"|"&amp;$O388&amp;"|"&amp;$P388&amp;"|"&amp;$Q388&amp;"|"&amp;$K388,PARAMETRES!$J$43:$J$342,0))),""))</f>
        <v/>
      </c>
      <c r="S388" s="35">
        <f>IF(OR($G388="",$X388&lt;&gt;"VALIDE"),"",IFERROR(LOOKUP(2,1/(($B$3:$B387=$B388)*($G$3:$G387=$G388)*($X$3:$X387="VALIDE")),$C$3:$C387),""))</f>
        <v/>
      </c>
      <c r="T388" s="36">
        <f>IF(OR($C388="",$S388=""),"",ROUND(($C388-$S388+IF($C388&lt;$S388,1,0))*1440,0))</f>
        <v/>
      </c>
      <c r="U388" s="22">
        <f>IF(OR($H388="",$T388="",$T388&lt;=0),"",$H388*60/$T388)</f>
        <v/>
      </c>
      <c r="V388" s="37">
        <f>IF(OR($U388="",$R388="",$R388=0),"",$U388/$R388)</f>
        <v/>
      </c>
      <c r="W388" s="20">
        <f>IF($G388="","",IF($X388="CONTEXTE INCOMPLET","CONTEXTE INCOMPLET",IF($X388="DOUBLON",StatutDoublon,IF($S388="",StatutInitial,IF($R388="",StatutStandardManquant,IF($V388="","DONNEES INSUFFISANTES",IF($V388&gt;=SeuilConforme,StatutConforme,IF($V388&gt;=SeuilSurveiller,StatutSurveiller,StatutSousStandard))))))))</f>
        <v/>
      </c>
      <c r="X388" s="33">
        <f>IF($G388="","",IF(OR($D388="",$E388="",$F388=""),"CONTEXTE INCOMPLET",IF(COUNTIFS($D$3:$D387,$D388,$E$3:$E387,$E388,$F$3:$F387,$F388,$G$3:$G387,$G388)&gt;0,"DOUBLON","VALIDE")))</f>
        <v/>
      </c>
    </row>
    <row r="389" ht="15" customHeight="1">
      <c r="A389" s="12">
        <f>IF(OR($B389="",$G389=""),"",TEXT($B389,"YYYYMMDD")&amp;"-"&amp;SUBSTITUTE($E389," ","")&amp;"-"&amp;$F389&amp;"-"&amp;$G389)</f>
        <v/>
      </c>
      <c r="B389" s="15" t="n"/>
      <c r="C389" s="16" t="n"/>
      <c r="D389" s="10" t="n"/>
      <c r="E389" s="9" t="n"/>
      <c r="F389" s="9" t="n"/>
      <c r="G389" s="13" t="n"/>
      <c r="H389" s="21" t="n"/>
      <c r="I389" s="21" t="n"/>
      <c r="J389" s="17">
        <f>IF($G389="","",IFERROR(INDEX(NomsEmployes,MATCH($G389,MatriculesEmployes,0)),"MATRICULE INCONNU"))</f>
        <v/>
      </c>
      <c r="K389" s="33">
        <f>IF(OR($D389="",$F389=""),"",IFERROR(IF(INDEX(RUNS!$L$6:$S$1005,MATCH($D389,RUNS!$A$6:$A$1005,0),MATCH("ACTIVITÉ "&amp;$F389,RUNS!$L$5:$S$5,0))="","",INDEX(RUNS!$L$6:$S$1005,MATCH($D389,RUNS!$A$6:$A$1005,0),MATCH("ACTIVITÉ "&amp;$F389,RUNS!$L$5:$S$5,0))),""))</f>
        <v/>
      </c>
      <c r="L389" s="33">
        <f>IF($D389="","",IFERROR(IF(INDEX(RUNS!$E$6:$E$1005,MATCH($D389,RUNS!$A$6:$A$1005,0))="","",INDEX(RUNS!$E$6:$E$1005,MATCH($D389,RUNS!$A$6:$A$1005,0))),""))</f>
        <v/>
      </c>
      <c r="M389" s="33">
        <f>IF($D389="","",IFERROR(IF(INDEX(RUNS!$F$6:$F$1005,MATCH($D389,RUNS!$A$6:$A$1005,0))="","",INDEX(RUNS!$F$6:$F$1005,MATCH($D389,RUNS!$A$6:$A$1005,0))),""))</f>
        <v/>
      </c>
      <c r="N389" s="33">
        <f>IF($D389="","",IFERROR(IF(INDEX(RUNS!$G$6:$G$1005,MATCH($D389,RUNS!$A$6:$A$1005,0))="","",INDEX(RUNS!$G$6:$G$1005,MATCH($D389,RUNS!$A$6:$A$1005,0))),""))</f>
        <v/>
      </c>
      <c r="O389" s="33">
        <f>IF($D389="","",IFERROR(IF(INDEX(RUNS!$H$6:$H$1005,MATCH($D389,RUNS!$A$6:$A$1005,0))="","",INDEX(RUNS!$H$6:$H$1005,MATCH($D389,RUNS!$A$6:$A$1005,0))),""))</f>
        <v/>
      </c>
      <c r="P389" s="33">
        <f>IF($D389="","",IFERROR(IF(INDEX(RUNS!$J$6:$J$1005,MATCH($D389,RUNS!$A$6:$A$1005,0))="","",INDEX(RUNS!$J$6:$J$1005,MATCH($D389,RUNS!$A$6:$A$1005,0))),""))</f>
        <v/>
      </c>
      <c r="Q389" s="33">
        <f>IF($D389="","",IFERROR(IF(INDEX(RUNS!$K$6:$K$1005,MATCH($D389,RUNS!$A$6:$A$1005,0))="","",INDEX(RUNS!$K$6:$K$1005,MATCH($D389,RUNS!$A$6:$A$1005,0))),""))</f>
        <v/>
      </c>
      <c r="R389" s="34">
        <f>IF(OR($L389="",$K389=""),"",IFERROR(IF(INDEX(PARAMETRES!$H$43:$H$342,MATCH($L389&amp;"|"&amp;$M389&amp;"|"&amp;$N389&amp;"|"&amp;$O389&amp;"|"&amp;$P389&amp;"|"&amp;$Q389&amp;"|"&amp;$K389,PARAMETRES!$J$43:$J$342,0))="","",INDEX(PARAMETRES!$H$43:$H$342,MATCH($L389&amp;"|"&amp;$M389&amp;"|"&amp;$N389&amp;"|"&amp;$O389&amp;"|"&amp;$P389&amp;"|"&amp;$Q389&amp;"|"&amp;$K389,PARAMETRES!$J$43:$J$342,0))),""))</f>
        <v/>
      </c>
      <c r="S389" s="35">
        <f>IF(OR($G389="",$X389&lt;&gt;"VALIDE"),"",IFERROR(LOOKUP(2,1/(($B$3:$B388=$B389)*($G$3:$G388=$G389)*($X$3:$X388="VALIDE")),$C$3:$C388),""))</f>
        <v/>
      </c>
      <c r="T389" s="36">
        <f>IF(OR($C389="",$S389=""),"",ROUND(($C389-$S389+IF($C389&lt;$S389,1,0))*1440,0))</f>
        <v/>
      </c>
      <c r="U389" s="22">
        <f>IF(OR($H389="",$T389="",$T389&lt;=0),"",$H389*60/$T389)</f>
        <v/>
      </c>
      <c r="V389" s="37">
        <f>IF(OR($U389="",$R389="",$R389=0),"",$U389/$R389)</f>
        <v/>
      </c>
      <c r="W389" s="20">
        <f>IF($G389="","",IF($X389="CONTEXTE INCOMPLET","CONTEXTE INCOMPLET",IF($X389="DOUBLON",StatutDoublon,IF($S389="",StatutInitial,IF($R389="",StatutStandardManquant,IF($V389="","DONNEES INSUFFISANTES",IF($V389&gt;=SeuilConforme,StatutConforme,IF($V389&gt;=SeuilSurveiller,StatutSurveiller,StatutSousStandard))))))))</f>
        <v/>
      </c>
      <c r="X389" s="33">
        <f>IF($G389="","",IF(OR($D389="",$E389="",$F389=""),"CONTEXTE INCOMPLET",IF(COUNTIFS($D$3:$D388,$D389,$E$3:$E388,$E389,$F$3:$F388,$F389,$G$3:$G388,$G389)&gt;0,"DOUBLON","VALIDE")))</f>
        <v/>
      </c>
    </row>
    <row r="390" ht="15" customHeight="1">
      <c r="A390" s="12">
        <f>IF(OR($B390="",$G390=""),"",TEXT($B390,"YYYYMMDD")&amp;"-"&amp;SUBSTITUTE($E390," ","")&amp;"-"&amp;$F390&amp;"-"&amp;$G390)</f>
        <v/>
      </c>
      <c r="B390" s="15" t="n"/>
      <c r="C390" s="16" t="n"/>
      <c r="D390" s="10" t="n"/>
      <c r="E390" s="9" t="n"/>
      <c r="F390" s="9" t="n"/>
      <c r="G390" s="13" t="n"/>
      <c r="H390" s="21" t="n"/>
      <c r="I390" s="21" t="n"/>
      <c r="J390" s="17">
        <f>IF($G390="","",IFERROR(INDEX(NomsEmployes,MATCH($G390,MatriculesEmployes,0)),"MATRICULE INCONNU"))</f>
        <v/>
      </c>
      <c r="K390" s="33">
        <f>IF(OR($D390="",$F390=""),"",IFERROR(IF(INDEX(RUNS!$L$6:$S$1005,MATCH($D390,RUNS!$A$6:$A$1005,0),MATCH("ACTIVITÉ "&amp;$F390,RUNS!$L$5:$S$5,0))="","",INDEX(RUNS!$L$6:$S$1005,MATCH($D390,RUNS!$A$6:$A$1005,0),MATCH("ACTIVITÉ "&amp;$F390,RUNS!$L$5:$S$5,0))),""))</f>
        <v/>
      </c>
      <c r="L390" s="33">
        <f>IF($D390="","",IFERROR(IF(INDEX(RUNS!$E$6:$E$1005,MATCH($D390,RUNS!$A$6:$A$1005,0))="","",INDEX(RUNS!$E$6:$E$1005,MATCH($D390,RUNS!$A$6:$A$1005,0))),""))</f>
        <v/>
      </c>
      <c r="M390" s="33">
        <f>IF($D390="","",IFERROR(IF(INDEX(RUNS!$F$6:$F$1005,MATCH($D390,RUNS!$A$6:$A$1005,0))="","",INDEX(RUNS!$F$6:$F$1005,MATCH($D390,RUNS!$A$6:$A$1005,0))),""))</f>
        <v/>
      </c>
      <c r="N390" s="33">
        <f>IF($D390="","",IFERROR(IF(INDEX(RUNS!$G$6:$G$1005,MATCH($D390,RUNS!$A$6:$A$1005,0))="","",INDEX(RUNS!$G$6:$G$1005,MATCH($D390,RUNS!$A$6:$A$1005,0))),""))</f>
        <v/>
      </c>
      <c r="O390" s="33">
        <f>IF($D390="","",IFERROR(IF(INDEX(RUNS!$H$6:$H$1005,MATCH($D390,RUNS!$A$6:$A$1005,0))="","",INDEX(RUNS!$H$6:$H$1005,MATCH($D390,RUNS!$A$6:$A$1005,0))),""))</f>
        <v/>
      </c>
      <c r="P390" s="33">
        <f>IF($D390="","",IFERROR(IF(INDEX(RUNS!$J$6:$J$1005,MATCH($D390,RUNS!$A$6:$A$1005,0))="","",INDEX(RUNS!$J$6:$J$1005,MATCH($D390,RUNS!$A$6:$A$1005,0))),""))</f>
        <v/>
      </c>
      <c r="Q390" s="33">
        <f>IF($D390="","",IFERROR(IF(INDEX(RUNS!$K$6:$K$1005,MATCH($D390,RUNS!$A$6:$A$1005,0))="","",INDEX(RUNS!$K$6:$K$1005,MATCH($D390,RUNS!$A$6:$A$1005,0))),""))</f>
        <v/>
      </c>
      <c r="R390" s="34">
        <f>IF(OR($L390="",$K390=""),"",IFERROR(IF(INDEX(PARAMETRES!$H$43:$H$342,MATCH($L390&amp;"|"&amp;$M390&amp;"|"&amp;$N390&amp;"|"&amp;$O390&amp;"|"&amp;$P390&amp;"|"&amp;$Q390&amp;"|"&amp;$K390,PARAMETRES!$J$43:$J$342,0))="","",INDEX(PARAMETRES!$H$43:$H$342,MATCH($L390&amp;"|"&amp;$M390&amp;"|"&amp;$N390&amp;"|"&amp;$O390&amp;"|"&amp;$P390&amp;"|"&amp;$Q390&amp;"|"&amp;$K390,PARAMETRES!$J$43:$J$342,0))),""))</f>
        <v/>
      </c>
      <c r="S390" s="35">
        <f>IF(OR($G390="",$X390&lt;&gt;"VALIDE"),"",IFERROR(LOOKUP(2,1/(($B$3:$B389=$B390)*($G$3:$G389=$G390)*($X$3:$X389="VALIDE")),$C$3:$C389),""))</f>
        <v/>
      </c>
      <c r="T390" s="36">
        <f>IF(OR($C390="",$S390=""),"",ROUND(($C390-$S390+IF($C390&lt;$S390,1,0))*1440,0))</f>
        <v/>
      </c>
      <c r="U390" s="22">
        <f>IF(OR($H390="",$T390="",$T390&lt;=0),"",$H390*60/$T390)</f>
        <v/>
      </c>
      <c r="V390" s="37">
        <f>IF(OR($U390="",$R390="",$R390=0),"",$U390/$R390)</f>
        <v/>
      </c>
      <c r="W390" s="20">
        <f>IF($G390="","",IF($X390="CONTEXTE INCOMPLET","CONTEXTE INCOMPLET",IF($X390="DOUBLON",StatutDoublon,IF($S390="",StatutInitial,IF($R390="",StatutStandardManquant,IF($V390="","DONNEES INSUFFISANTES",IF($V390&gt;=SeuilConforme,StatutConforme,IF($V390&gt;=SeuilSurveiller,StatutSurveiller,StatutSousStandard))))))))</f>
        <v/>
      </c>
      <c r="X390" s="33">
        <f>IF($G390="","",IF(OR($D390="",$E390="",$F390=""),"CONTEXTE INCOMPLET",IF(COUNTIFS($D$3:$D389,$D390,$E$3:$E389,$E390,$F$3:$F389,$F390,$G$3:$G389,$G390)&gt;0,"DOUBLON","VALIDE")))</f>
        <v/>
      </c>
    </row>
    <row r="391" ht="15" customHeight="1">
      <c r="A391" s="12">
        <f>IF(OR($B391="",$G391=""),"",TEXT($B391,"YYYYMMDD")&amp;"-"&amp;SUBSTITUTE($E391," ","")&amp;"-"&amp;$F391&amp;"-"&amp;$G391)</f>
        <v/>
      </c>
      <c r="B391" s="15" t="n"/>
      <c r="C391" s="16" t="n"/>
      <c r="D391" s="10" t="n"/>
      <c r="E391" s="9" t="n"/>
      <c r="F391" s="9" t="n"/>
      <c r="G391" s="13" t="n"/>
      <c r="H391" s="21" t="n"/>
      <c r="I391" s="21" t="n"/>
      <c r="J391" s="17">
        <f>IF($G391="","",IFERROR(INDEX(NomsEmployes,MATCH($G391,MatriculesEmployes,0)),"MATRICULE INCONNU"))</f>
        <v/>
      </c>
      <c r="K391" s="33">
        <f>IF(OR($D391="",$F391=""),"",IFERROR(IF(INDEX(RUNS!$L$6:$S$1005,MATCH($D391,RUNS!$A$6:$A$1005,0),MATCH("ACTIVITÉ "&amp;$F391,RUNS!$L$5:$S$5,0))="","",INDEX(RUNS!$L$6:$S$1005,MATCH($D391,RUNS!$A$6:$A$1005,0),MATCH("ACTIVITÉ "&amp;$F391,RUNS!$L$5:$S$5,0))),""))</f>
        <v/>
      </c>
      <c r="L391" s="33">
        <f>IF($D391="","",IFERROR(IF(INDEX(RUNS!$E$6:$E$1005,MATCH($D391,RUNS!$A$6:$A$1005,0))="","",INDEX(RUNS!$E$6:$E$1005,MATCH($D391,RUNS!$A$6:$A$1005,0))),""))</f>
        <v/>
      </c>
      <c r="M391" s="33">
        <f>IF($D391="","",IFERROR(IF(INDEX(RUNS!$F$6:$F$1005,MATCH($D391,RUNS!$A$6:$A$1005,0))="","",INDEX(RUNS!$F$6:$F$1005,MATCH($D391,RUNS!$A$6:$A$1005,0))),""))</f>
        <v/>
      </c>
      <c r="N391" s="33">
        <f>IF($D391="","",IFERROR(IF(INDEX(RUNS!$G$6:$G$1005,MATCH($D391,RUNS!$A$6:$A$1005,0))="","",INDEX(RUNS!$G$6:$G$1005,MATCH($D391,RUNS!$A$6:$A$1005,0))),""))</f>
        <v/>
      </c>
      <c r="O391" s="33">
        <f>IF($D391="","",IFERROR(IF(INDEX(RUNS!$H$6:$H$1005,MATCH($D391,RUNS!$A$6:$A$1005,0))="","",INDEX(RUNS!$H$6:$H$1005,MATCH($D391,RUNS!$A$6:$A$1005,0))),""))</f>
        <v/>
      </c>
      <c r="P391" s="33">
        <f>IF($D391="","",IFERROR(IF(INDEX(RUNS!$J$6:$J$1005,MATCH($D391,RUNS!$A$6:$A$1005,0))="","",INDEX(RUNS!$J$6:$J$1005,MATCH($D391,RUNS!$A$6:$A$1005,0))),""))</f>
        <v/>
      </c>
      <c r="Q391" s="33">
        <f>IF($D391="","",IFERROR(IF(INDEX(RUNS!$K$6:$K$1005,MATCH($D391,RUNS!$A$6:$A$1005,0))="","",INDEX(RUNS!$K$6:$K$1005,MATCH($D391,RUNS!$A$6:$A$1005,0))),""))</f>
        <v/>
      </c>
      <c r="R391" s="34">
        <f>IF(OR($L391="",$K391=""),"",IFERROR(IF(INDEX(PARAMETRES!$H$43:$H$342,MATCH($L391&amp;"|"&amp;$M391&amp;"|"&amp;$N391&amp;"|"&amp;$O391&amp;"|"&amp;$P391&amp;"|"&amp;$Q391&amp;"|"&amp;$K391,PARAMETRES!$J$43:$J$342,0))="","",INDEX(PARAMETRES!$H$43:$H$342,MATCH($L391&amp;"|"&amp;$M391&amp;"|"&amp;$N391&amp;"|"&amp;$O391&amp;"|"&amp;$P391&amp;"|"&amp;$Q391&amp;"|"&amp;$K391,PARAMETRES!$J$43:$J$342,0))),""))</f>
        <v/>
      </c>
      <c r="S391" s="35">
        <f>IF(OR($G391="",$X391&lt;&gt;"VALIDE"),"",IFERROR(LOOKUP(2,1/(($B$3:$B390=$B391)*($G$3:$G390=$G391)*($X$3:$X390="VALIDE")),$C$3:$C390),""))</f>
        <v/>
      </c>
      <c r="T391" s="36">
        <f>IF(OR($C391="",$S391=""),"",ROUND(($C391-$S391+IF($C391&lt;$S391,1,0))*1440,0))</f>
        <v/>
      </c>
      <c r="U391" s="22">
        <f>IF(OR($H391="",$T391="",$T391&lt;=0),"",$H391*60/$T391)</f>
        <v/>
      </c>
      <c r="V391" s="37">
        <f>IF(OR($U391="",$R391="",$R391=0),"",$U391/$R391)</f>
        <v/>
      </c>
      <c r="W391" s="20">
        <f>IF($G391="","",IF($X391="CONTEXTE INCOMPLET","CONTEXTE INCOMPLET",IF($X391="DOUBLON",StatutDoublon,IF($S391="",StatutInitial,IF($R391="",StatutStandardManquant,IF($V391="","DONNEES INSUFFISANTES",IF($V391&gt;=SeuilConforme,StatutConforme,IF($V391&gt;=SeuilSurveiller,StatutSurveiller,StatutSousStandard))))))))</f>
        <v/>
      </c>
      <c r="X391" s="33">
        <f>IF($G391="","",IF(OR($D391="",$E391="",$F391=""),"CONTEXTE INCOMPLET",IF(COUNTIFS($D$3:$D390,$D391,$E$3:$E390,$E391,$F$3:$F390,$F391,$G$3:$G390,$G391)&gt;0,"DOUBLON","VALIDE")))</f>
        <v/>
      </c>
    </row>
    <row r="392" ht="15" customHeight="1">
      <c r="A392" s="12">
        <f>IF(OR($B392="",$G392=""),"",TEXT($B392,"YYYYMMDD")&amp;"-"&amp;SUBSTITUTE($E392," ","")&amp;"-"&amp;$F392&amp;"-"&amp;$G392)</f>
        <v/>
      </c>
      <c r="B392" s="15" t="n"/>
      <c r="C392" s="16" t="n"/>
      <c r="D392" s="10" t="n"/>
      <c r="E392" s="9" t="n"/>
      <c r="F392" s="9" t="n"/>
      <c r="G392" s="13" t="n"/>
      <c r="H392" s="21" t="n"/>
      <c r="I392" s="21" t="n"/>
      <c r="J392" s="17">
        <f>IF($G392="","",IFERROR(INDEX(NomsEmployes,MATCH($G392,MatriculesEmployes,0)),"MATRICULE INCONNU"))</f>
        <v/>
      </c>
      <c r="K392" s="33">
        <f>IF(OR($D392="",$F392=""),"",IFERROR(IF(INDEX(RUNS!$L$6:$S$1005,MATCH($D392,RUNS!$A$6:$A$1005,0),MATCH("ACTIVITÉ "&amp;$F392,RUNS!$L$5:$S$5,0))="","",INDEX(RUNS!$L$6:$S$1005,MATCH($D392,RUNS!$A$6:$A$1005,0),MATCH("ACTIVITÉ "&amp;$F392,RUNS!$L$5:$S$5,0))),""))</f>
        <v/>
      </c>
      <c r="L392" s="33">
        <f>IF($D392="","",IFERROR(IF(INDEX(RUNS!$E$6:$E$1005,MATCH($D392,RUNS!$A$6:$A$1005,0))="","",INDEX(RUNS!$E$6:$E$1005,MATCH($D392,RUNS!$A$6:$A$1005,0))),""))</f>
        <v/>
      </c>
      <c r="M392" s="33">
        <f>IF($D392="","",IFERROR(IF(INDEX(RUNS!$F$6:$F$1005,MATCH($D392,RUNS!$A$6:$A$1005,0))="","",INDEX(RUNS!$F$6:$F$1005,MATCH($D392,RUNS!$A$6:$A$1005,0))),""))</f>
        <v/>
      </c>
      <c r="N392" s="33">
        <f>IF($D392="","",IFERROR(IF(INDEX(RUNS!$G$6:$G$1005,MATCH($D392,RUNS!$A$6:$A$1005,0))="","",INDEX(RUNS!$G$6:$G$1005,MATCH($D392,RUNS!$A$6:$A$1005,0))),""))</f>
        <v/>
      </c>
      <c r="O392" s="33">
        <f>IF($D392="","",IFERROR(IF(INDEX(RUNS!$H$6:$H$1005,MATCH($D392,RUNS!$A$6:$A$1005,0))="","",INDEX(RUNS!$H$6:$H$1005,MATCH($D392,RUNS!$A$6:$A$1005,0))),""))</f>
        <v/>
      </c>
      <c r="P392" s="33">
        <f>IF($D392="","",IFERROR(IF(INDEX(RUNS!$J$6:$J$1005,MATCH($D392,RUNS!$A$6:$A$1005,0))="","",INDEX(RUNS!$J$6:$J$1005,MATCH($D392,RUNS!$A$6:$A$1005,0))),""))</f>
        <v/>
      </c>
      <c r="Q392" s="33">
        <f>IF($D392="","",IFERROR(IF(INDEX(RUNS!$K$6:$K$1005,MATCH($D392,RUNS!$A$6:$A$1005,0))="","",INDEX(RUNS!$K$6:$K$1005,MATCH($D392,RUNS!$A$6:$A$1005,0))),""))</f>
        <v/>
      </c>
      <c r="R392" s="34">
        <f>IF(OR($L392="",$K392=""),"",IFERROR(IF(INDEX(PARAMETRES!$H$43:$H$342,MATCH($L392&amp;"|"&amp;$M392&amp;"|"&amp;$N392&amp;"|"&amp;$O392&amp;"|"&amp;$P392&amp;"|"&amp;$Q392&amp;"|"&amp;$K392,PARAMETRES!$J$43:$J$342,0))="","",INDEX(PARAMETRES!$H$43:$H$342,MATCH($L392&amp;"|"&amp;$M392&amp;"|"&amp;$N392&amp;"|"&amp;$O392&amp;"|"&amp;$P392&amp;"|"&amp;$Q392&amp;"|"&amp;$K392,PARAMETRES!$J$43:$J$342,0))),""))</f>
        <v/>
      </c>
      <c r="S392" s="35">
        <f>IF(OR($G392="",$X392&lt;&gt;"VALIDE"),"",IFERROR(LOOKUP(2,1/(($B$3:$B391=$B392)*($G$3:$G391=$G392)*($X$3:$X391="VALIDE")),$C$3:$C391),""))</f>
        <v/>
      </c>
      <c r="T392" s="36">
        <f>IF(OR($C392="",$S392=""),"",ROUND(($C392-$S392+IF($C392&lt;$S392,1,0))*1440,0))</f>
        <v/>
      </c>
      <c r="U392" s="22">
        <f>IF(OR($H392="",$T392="",$T392&lt;=0),"",$H392*60/$T392)</f>
        <v/>
      </c>
      <c r="V392" s="37">
        <f>IF(OR($U392="",$R392="",$R392=0),"",$U392/$R392)</f>
        <v/>
      </c>
      <c r="W392" s="20">
        <f>IF($G392="","",IF($X392="CONTEXTE INCOMPLET","CONTEXTE INCOMPLET",IF($X392="DOUBLON",StatutDoublon,IF($S392="",StatutInitial,IF($R392="",StatutStandardManquant,IF($V392="","DONNEES INSUFFISANTES",IF($V392&gt;=SeuilConforme,StatutConforme,IF($V392&gt;=SeuilSurveiller,StatutSurveiller,StatutSousStandard))))))))</f>
        <v/>
      </c>
      <c r="X392" s="33">
        <f>IF($G392="","",IF(OR($D392="",$E392="",$F392=""),"CONTEXTE INCOMPLET",IF(COUNTIFS($D$3:$D391,$D392,$E$3:$E391,$E392,$F$3:$F391,$F392,$G$3:$G391,$G392)&gt;0,"DOUBLON","VALIDE")))</f>
        <v/>
      </c>
    </row>
    <row r="393" ht="15" customHeight="1">
      <c r="A393" s="12">
        <f>IF(OR($B393="",$G393=""),"",TEXT($B393,"YYYYMMDD")&amp;"-"&amp;SUBSTITUTE($E393," ","")&amp;"-"&amp;$F393&amp;"-"&amp;$G393)</f>
        <v/>
      </c>
      <c r="B393" s="15" t="n"/>
      <c r="C393" s="16" t="n"/>
      <c r="D393" s="10" t="n"/>
      <c r="E393" s="9" t="n"/>
      <c r="F393" s="9" t="n"/>
      <c r="G393" s="13" t="n"/>
      <c r="H393" s="21" t="n"/>
      <c r="I393" s="21" t="n"/>
      <c r="J393" s="17">
        <f>IF($G393="","",IFERROR(INDEX(NomsEmployes,MATCH($G393,MatriculesEmployes,0)),"MATRICULE INCONNU"))</f>
        <v/>
      </c>
      <c r="K393" s="33">
        <f>IF(OR($D393="",$F393=""),"",IFERROR(IF(INDEX(RUNS!$L$6:$S$1005,MATCH($D393,RUNS!$A$6:$A$1005,0),MATCH("ACTIVITÉ "&amp;$F393,RUNS!$L$5:$S$5,0))="","",INDEX(RUNS!$L$6:$S$1005,MATCH($D393,RUNS!$A$6:$A$1005,0),MATCH("ACTIVITÉ "&amp;$F393,RUNS!$L$5:$S$5,0))),""))</f>
        <v/>
      </c>
      <c r="L393" s="33">
        <f>IF($D393="","",IFERROR(IF(INDEX(RUNS!$E$6:$E$1005,MATCH($D393,RUNS!$A$6:$A$1005,0))="","",INDEX(RUNS!$E$6:$E$1005,MATCH($D393,RUNS!$A$6:$A$1005,0))),""))</f>
        <v/>
      </c>
      <c r="M393" s="33">
        <f>IF($D393="","",IFERROR(IF(INDEX(RUNS!$F$6:$F$1005,MATCH($D393,RUNS!$A$6:$A$1005,0))="","",INDEX(RUNS!$F$6:$F$1005,MATCH($D393,RUNS!$A$6:$A$1005,0))),""))</f>
        <v/>
      </c>
      <c r="N393" s="33">
        <f>IF($D393="","",IFERROR(IF(INDEX(RUNS!$G$6:$G$1005,MATCH($D393,RUNS!$A$6:$A$1005,0))="","",INDEX(RUNS!$G$6:$G$1005,MATCH($D393,RUNS!$A$6:$A$1005,0))),""))</f>
        <v/>
      </c>
      <c r="O393" s="33">
        <f>IF($D393="","",IFERROR(IF(INDEX(RUNS!$H$6:$H$1005,MATCH($D393,RUNS!$A$6:$A$1005,0))="","",INDEX(RUNS!$H$6:$H$1005,MATCH($D393,RUNS!$A$6:$A$1005,0))),""))</f>
        <v/>
      </c>
      <c r="P393" s="33">
        <f>IF($D393="","",IFERROR(IF(INDEX(RUNS!$J$6:$J$1005,MATCH($D393,RUNS!$A$6:$A$1005,0))="","",INDEX(RUNS!$J$6:$J$1005,MATCH($D393,RUNS!$A$6:$A$1005,0))),""))</f>
        <v/>
      </c>
      <c r="Q393" s="33">
        <f>IF($D393="","",IFERROR(IF(INDEX(RUNS!$K$6:$K$1005,MATCH($D393,RUNS!$A$6:$A$1005,0))="","",INDEX(RUNS!$K$6:$K$1005,MATCH($D393,RUNS!$A$6:$A$1005,0))),""))</f>
        <v/>
      </c>
      <c r="R393" s="34">
        <f>IF(OR($L393="",$K393=""),"",IFERROR(IF(INDEX(PARAMETRES!$H$43:$H$342,MATCH($L393&amp;"|"&amp;$M393&amp;"|"&amp;$N393&amp;"|"&amp;$O393&amp;"|"&amp;$P393&amp;"|"&amp;$Q393&amp;"|"&amp;$K393,PARAMETRES!$J$43:$J$342,0))="","",INDEX(PARAMETRES!$H$43:$H$342,MATCH($L393&amp;"|"&amp;$M393&amp;"|"&amp;$N393&amp;"|"&amp;$O393&amp;"|"&amp;$P393&amp;"|"&amp;$Q393&amp;"|"&amp;$K393,PARAMETRES!$J$43:$J$342,0))),""))</f>
        <v/>
      </c>
      <c r="S393" s="35">
        <f>IF(OR($G393="",$X393&lt;&gt;"VALIDE"),"",IFERROR(LOOKUP(2,1/(($B$3:$B392=$B393)*($G$3:$G392=$G393)*($X$3:$X392="VALIDE")),$C$3:$C392),""))</f>
        <v/>
      </c>
      <c r="T393" s="36">
        <f>IF(OR($C393="",$S393=""),"",ROUND(($C393-$S393+IF($C393&lt;$S393,1,0))*1440,0))</f>
        <v/>
      </c>
      <c r="U393" s="22">
        <f>IF(OR($H393="",$T393="",$T393&lt;=0),"",$H393*60/$T393)</f>
        <v/>
      </c>
      <c r="V393" s="37">
        <f>IF(OR($U393="",$R393="",$R393=0),"",$U393/$R393)</f>
        <v/>
      </c>
      <c r="W393" s="20">
        <f>IF($G393="","",IF($X393="CONTEXTE INCOMPLET","CONTEXTE INCOMPLET",IF($X393="DOUBLON",StatutDoublon,IF($S393="",StatutInitial,IF($R393="",StatutStandardManquant,IF($V393="","DONNEES INSUFFISANTES",IF($V393&gt;=SeuilConforme,StatutConforme,IF($V393&gt;=SeuilSurveiller,StatutSurveiller,StatutSousStandard))))))))</f>
        <v/>
      </c>
      <c r="X393" s="33">
        <f>IF($G393="","",IF(OR($D393="",$E393="",$F393=""),"CONTEXTE INCOMPLET",IF(COUNTIFS($D$3:$D392,$D393,$E$3:$E392,$E393,$F$3:$F392,$F393,$G$3:$G392,$G393)&gt;0,"DOUBLON","VALIDE")))</f>
        <v/>
      </c>
    </row>
    <row r="394" ht="15" customHeight="1">
      <c r="A394" s="12">
        <f>IF(OR($B394="",$G394=""),"",TEXT($B394,"YYYYMMDD")&amp;"-"&amp;SUBSTITUTE($E394," ","")&amp;"-"&amp;$F394&amp;"-"&amp;$G394)</f>
        <v/>
      </c>
      <c r="B394" s="15" t="n"/>
      <c r="C394" s="16" t="n"/>
      <c r="D394" s="10" t="n"/>
      <c r="E394" s="9" t="n"/>
      <c r="F394" s="9" t="n"/>
      <c r="G394" s="13" t="n"/>
      <c r="H394" s="21" t="n"/>
      <c r="I394" s="21" t="n"/>
      <c r="J394" s="17">
        <f>IF($G394="","",IFERROR(INDEX(NomsEmployes,MATCH($G394,MatriculesEmployes,0)),"MATRICULE INCONNU"))</f>
        <v/>
      </c>
      <c r="K394" s="33">
        <f>IF(OR($D394="",$F394=""),"",IFERROR(IF(INDEX(RUNS!$L$6:$S$1005,MATCH($D394,RUNS!$A$6:$A$1005,0),MATCH("ACTIVITÉ "&amp;$F394,RUNS!$L$5:$S$5,0))="","",INDEX(RUNS!$L$6:$S$1005,MATCH($D394,RUNS!$A$6:$A$1005,0),MATCH("ACTIVITÉ "&amp;$F394,RUNS!$L$5:$S$5,0))),""))</f>
        <v/>
      </c>
      <c r="L394" s="33">
        <f>IF($D394="","",IFERROR(IF(INDEX(RUNS!$E$6:$E$1005,MATCH($D394,RUNS!$A$6:$A$1005,0))="","",INDEX(RUNS!$E$6:$E$1005,MATCH($D394,RUNS!$A$6:$A$1005,0))),""))</f>
        <v/>
      </c>
      <c r="M394" s="33">
        <f>IF($D394="","",IFERROR(IF(INDEX(RUNS!$F$6:$F$1005,MATCH($D394,RUNS!$A$6:$A$1005,0))="","",INDEX(RUNS!$F$6:$F$1005,MATCH($D394,RUNS!$A$6:$A$1005,0))),""))</f>
        <v/>
      </c>
      <c r="N394" s="33">
        <f>IF($D394="","",IFERROR(IF(INDEX(RUNS!$G$6:$G$1005,MATCH($D394,RUNS!$A$6:$A$1005,0))="","",INDEX(RUNS!$G$6:$G$1005,MATCH($D394,RUNS!$A$6:$A$1005,0))),""))</f>
        <v/>
      </c>
      <c r="O394" s="33">
        <f>IF($D394="","",IFERROR(IF(INDEX(RUNS!$H$6:$H$1005,MATCH($D394,RUNS!$A$6:$A$1005,0))="","",INDEX(RUNS!$H$6:$H$1005,MATCH($D394,RUNS!$A$6:$A$1005,0))),""))</f>
        <v/>
      </c>
      <c r="P394" s="33">
        <f>IF($D394="","",IFERROR(IF(INDEX(RUNS!$J$6:$J$1005,MATCH($D394,RUNS!$A$6:$A$1005,0))="","",INDEX(RUNS!$J$6:$J$1005,MATCH($D394,RUNS!$A$6:$A$1005,0))),""))</f>
        <v/>
      </c>
      <c r="Q394" s="33">
        <f>IF($D394="","",IFERROR(IF(INDEX(RUNS!$K$6:$K$1005,MATCH($D394,RUNS!$A$6:$A$1005,0))="","",INDEX(RUNS!$K$6:$K$1005,MATCH($D394,RUNS!$A$6:$A$1005,0))),""))</f>
        <v/>
      </c>
      <c r="R394" s="34">
        <f>IF(OR($L394="",$K394=""),"",IFERROR(IF(INDEX(PARAMETRES!$H$43:$H$342,MATCH($L394&amp;"|"&amp;$M394&amp;"|"&amp;$N394&amp;"|"&amp;$O394&amp;"|"&amp;$P394&amp;"|"&amp;$Q394&amp;"|"&amp;$K394,PARAMETRES!$J$43:$J$342,0))="","",INDEX(PARAMETRES!$H$43:$H$342,MATCH($L394&amp;"|"&amp;$M394&amp;"|"&amp;$N394&amp;"|"&amp;$O394&amp;"|"&amp;$P394&amp;"|"&amp;$Q394&amp;"|"&amp;$K394,PARAMETRES!$J$43:$J$342,0))),""))</f>
        <v/>
      </c>
      <c r="S394" s="35">
        <f>IF(OR($G394="",$X394&lt;&gt;"VALIDE"),"",IFERROR(LOOKUP(2,1/(($B$3:$B393=$B394)*($G$3:$G393=$G394)*($X$3:$X393="VALIDE")),$C$3:$C393),""))</f>
        <v/>
      </c>
      <c r="T394" s="36">
        <f>IF(OR($C394="",$S394=""),"",ROUND(($C394-$S394+IF($C394&lt;$S394,1,0))*1440,0))</f>
        <v/>
      </c>
      <c r="U394" s="22">
        <f>IF(OR($H394="",$T394="",$T394&lt;=0),"",$H394*60/$T394)</f>
        <v/>
      </c>
      <c r="V394" s="37">
        <f>IF(OR($U394="",$R394="",$R394=0),"",$U394/$R394)</f>
        <v/>
      </c>
      <c r="W394" s="20">
        <f>IF($G394="","",IF($X394="CONTEXTE INCOMPLET","CONTEXTE INCOMPLET",IF($X394="DOUBLON",StatutDoublon,IF($S394="",StatutInitial,IF($R394="",StatutStandardManquant,IF($V394="","DONNEES INSUFFISANTES",IF($V394&gt;=SeuilConforme,StatutConforme,IF($V394&gt;=SeuilSurveiller,StatutSurveiller,StatutSousStandard))))))))</f>
        <v/>
      </c>
      <c r="X394" s="33">
        <f>IF($G394="","",IF(OR($D394="",$E394="",$F394=""),"CONTEXTE INCOMPLET",IF(COUNTIFS($D$3:$D393,$D394,$E$3:$E393,$E394,$F$3:$F393,$F394,$G$3:$G393,$G394)&gt;0,"DOUBLON","VALIDE")))</f>
        <v/>
      </c>
    </row>
    <row r="395" ht="15" customHeight="1">
      <c r="A395" s="12">
        <f>IF(OR($B395="",$G395=""),"",TEXT($B395,"YYYYMMDD")&amp;"-"&amp;SUBSTITUTE($E395," ","")&amp;"-"&amp;$F395&amp;"-"&amp;$G395)</f>
        <v/>
      </c>
      <c r="B395" s="15" t="n"/>
      <c r="C395" s="16" t="n"/>
      <c r="D395" s="10" t="n"/>
      <c r="E395" s="9" t="n"/>
      <c r="F395" s="9" t="n"/>
      <c r="G395" s="13" t="n"/>
      <c r="H395" s="21" t="n"/>
      <c r="I395" s="21" t="n"/>
      <c r="J395" s="17">
        <f>IF($G395="","",IFERROR(INDEX(NomsEmployes,MATCH($G395,MatriculesEmployes,0)),"MATRICULE INCONNU"))</f>
        <v/>
      </c>
      <c r="K395" s="33">
        <f>IF(OR($D395="",$F395=""),"",IFERROR(IF(INDEX(RUNS!$L$6:$S$1005,MATCH($D395,RUNS!$A$6:$A$1005,0),MATCH("ACTIVITÉ "&amp;$F395,RUNS!$L$5:$S$5,0))="","",INDEX(RUNS!$L$6:$S$1005,MATCH($D395,RUNS!$A$6:$A$1005,0),MATCH("ACTIVITÉ "&amp;$F395,RUNS!$L$5:$S$5,0))),""))</f>
        <v/>
      </c>
      <c r="L395" s="33">
        <f>IF($D395="","",IFERROR(IF(INDEX(RUNS!$E$6:$E$1005,MATCH($D395,RUNS!$A$6:$A$1005,0))="","",INDEX(RUNS!$E$6:$E$1005,MATCH($D395,RUNS!$A$6:$A$1005,0))),""))</f>
        <v/>
      </c>
      <c r="M395" s="33">
        <f>IF($D395="","",IFERROR(IF(INDEX(RUNS!$F$6:$F$1005,MATCH($D395,RUNS!$A$6:$A$1005,0))="","",INDEX(RUNS!$F$6:$F$1005,MATCH($D395,RUNS!$A$6:$A$1005,0))),""))</f>
        <v/>
      </c>
      <c r="N395" s="33">
        <f>IF($D395="","",IFERROR(IF(INDEX(RUNS!$G$6:$G$1005,MATCH($D395,RUNS!$A$6:$A$1005,0))="","",INDEX(RUNS!$G$6:$G$1005,MATCH($D395,RUNS!$A$6:$A$1005,0))),""))</f>
        <v/>
      </c>
      <c r="O395" s="33">
        <f>IF($D395="","",IFERROR(IF(INDEX(RUNS!$H$6:$H$1005,MATCH($D395,RUNS!$A$6:$A$1005,0))="","",INDEX(RUNS!$H$6:$H$1005,MATCH($D395,RUNS!$A$6:$A$1005,0))),""))</f>
        <v/>
      </c>
      <c r="P395" s="33">
        <f>IF($D395="","",IFERROR(IF(INDEX(RUNS!$J$6:$J$1005,MATCH($D395,RUNS!$A$6:$A$1005,0))="","",INDEX(RUNS!$J$6:$J$1005,MATCH($D395,RUNS!$A$6:$A$1005,0))),""))</f>
        <v/>
      </c>
      <c r="Q395" s="33">
        <f>IF($D395="","",IFERROR(IF(INDEX(RUNS!$K$6:$K$1005,MATCH($D395,RUNS!$A$6:$A$1005,0))="","",INDEX(RUNS!$K$6:$K$1005,MATCH($D395,RUNS!$A$6:$A$1005,0))),""))</f>
        <v/>
      </c>
      <c r="R395" s="34">
        <f>IF(OR($L395="",$K395=""),"",IFERROR(IF(INDEX(PARAMETRES!$H$43:$H$342,MATCH($L395&amp;"|"&amp;$M395&amp;"|"&amp;$N395&amp;"|"&amp;$O395&amp;"|"&amp;$P395&amp;"|"&amp;$Q395&amp;"|"&amp;$K395,PARAMETRES!$J$43:$J$342,0))="","",INDEX(PARAMETRES!$H$43:$H$342,MATCH($L395&amp;"|"&amp;$M395&amp;"|"&amp;$N395&amp;"|"&amp;$O395&amp;"|"&amp;$P395&amp;"|"&amp;$Q395&amp;"|"&amp;$K395,PARAMETRES!$J$43:$J$342,0))),""))</f>
        <v/>
      </c>
      <c r="S395" s="35">
        <f>IF(OR($G395="",$X395&lt;&gt;"VALIDE"),"",IFERROR(LOOKUP(2,1/(($B$3:$B394=$B395)*($G$3:$G394=$G395)*($X$3:$X394="VALIDE")),$C$3:$C394),""))</f>
        <v/>
      </c>
      <c r="T395" s="36">
        <f>IF(OR($C395="",$S395=""),"",ROUND(($C395-$S395+IF($C395&lt;$S395,1,0))*1440,0))</f>
        <v/>
      </c>
      <c r="U395" s="22">
        <f>IF(OR($H395="",$T395="",$T395&lt;=0),"",$H395*60/$T395)</f>
        <v/>
      </c>
      <c r="V395" s="37">
        <f>IF(OR($U395="",$R395="",$R395=0),"",$U395/$R395)</f>
        <v/>
      </c>
      <c r="W395" s="20">
        <f>IF($G395="","",IF($X395="CONTEXTE INCOMPLET","CONTEXTE INCOMPLET",IF($X395="DOUBLON",StatutDoublon,IF($S395="",StatutInitial,IF($R395="",StatutStandardManquant,IF($V395="","DONNEES INSUFFISANTES",IF($V395&gt;=SeuilConforme,StatutConforme,IF($V395&gt;=SeuilSurveiller,StatutSurveiller,StatutSousStandard))))))))</f>
        <v/>
      </c>
      <c r="X395" s="33">
        <f>IF($G395="","",IF(OR($D395="",$E395="",$F395=""),"CONTEXTE INCOMPLET",IF(COUNTIFS($D$3:$D394,$D395,$E$3:$E394,$E395,$F$3:$F394,$F395,$G$3:$G394,$G395)&gt;0,"DOUBLON","VALIDE")))</f>
        <v/>
      </c>
    </row>
    <row r="396" ht="15" customHeight="1">
      <c r="A396" s="12">
        <f>IF(OR($B396="",$G396=""),"",TEXT($B396,"YYYYMMDD")&amp;"-"&amp;SUBSTITUTE($E396," ","")&amp;"-"&amp;$F396&amp;"-"&amp;$G396)</f>
        <v/>
      </c>
      <c r="B396" s="15" t="n"/>
      <c r="C396" s="16" t="n"/>
      <c r="D396" s="10" t="n"/>
      <c r="E396" s="9" t="n"/>
      <c r="F396" s="9" t="n"/>
      <c r="G396" s="13" t="n"/>
      <c r="H396" s="21" t="n"/>
      <c r="I396" s="21" t="n"/>
      <c r="J396" s="17">
        <f>IF($G396="","",IFERROR(INDEX(NomsEmployes,MATCH($G396,MatriculesEmployes,0)),"MATRICULE INCONNU"))</f>
        <v/>
      </c>
      <c r="K396" s="33">
        <f>IF(OR($D396="",$F396=""),"",IFERROR(IF(INDEX(RUNS!$L$6:$S$1005,MATCH($D396,RUNS!$A$6:$A$1005,0),MATCH("ACTIVITÉ "&amp;$F396,RUNS!$L$5:$S$5,0))="","",INDEX(RUNS!$L$6:$S$1005,MATCH($D396,RUNS!$A$6:$A$1005,0),MATCH("ACTIVITÉ "&amp;$F396,RUNS!$L$5:$S$5,0))),""))</f>
        <v/>
      </c>
      <c r="L396" s="33">
        <f>IF($D396="","",IFERROR(IF(INDEX(RUNS!$E$6:$E$1005,MATCH($D396,RUNS!$A$6:$A$1005,0))="","",INDEX(RUNS!$E$6:$E$1005,MATCH($D396,RUNS!$A$6:$A$1005,0))),""))</f>
        <v/>
      </c>
      <c r="M396" s="33">
        <f>IF($D396="","",IFERROR(IF(INDEX(RUNS!$F$6:$F$1005,MATCH($D396,RUNS!$A$6:$A$1005,0))="","",INDEX(RUNS!$F$6:$F$1005,MATCH($D396,RUNS!$A$6:$A$1005,0))),""))</f>
        <v/>
      </c>
      <c r="N396" s="33">
        <f>IF($D396="","",IFERROR(IF(INDEX(RUNS!$G$6:$G$1005,MATCH($D396,RUNS!$A$6:$A$1005,0))="","",INDEX(RUNS!$G$6:$G$1005,MATCH($D396,RUNS!$A$6:$A$1005,0))),""))</f>
        <v/>
      </c>
      <c r="O396" s="33">
        <f>IF($D396="","",IFERROR(IF(INDEX(RUNS!$H$6:$H$1005,MATCH($D396,RUNS!$A$6:$A$1005,0))="","",INDEX(RUNS!$H$6:$H$1005,MATCH($D396,RUNS!$A$6:$A$1005,0))),""))</f>
        <v/>
      </c>
      <c r="P396" s="33">
        <f>IF($D396="","",IFERROR(IF(INDEX(RUNS!$J$6:$J$1005,MATCH($D396,RUNS!$A$6:$A$1005,0))="","",INDEX(RUNS!$J$6:$J$1005,MATCH($D396,RUNS!$A$6:$A$1005,0))),""))</f>
        <v/>
      </c>
      <c r="Q396" s="33">
        <f>IF($D396="","",IFERROR(IF(INDEX(RUNS!$K$6:$K$1005,MATCH($D396,RUNS!$A$6:$A$1005,0))="","",INDEX(RUNS!$K$6:$K$1005,MATCH($D396,RUNS!$A$6:$A$1005,0))),""))</f>
        <v/>
      </c>
      <c r="R396" s="34">
        <f>IF(OR($L396="",$K396=""),"",IFERROR(IF(INDEX(PARAMETRES!$H$43:$H$342,MATCH($L396&amp;"|"&amp;$M396&amp;"|"&amp;$N396&amp;"|"&amp;$O396&amp;"|"&amp;$P396&amp;"|"&amp;$Q396&amp;"|"&amp;$K396,PARAMETRES!$J$43:$J$342,0))="","",INDEX(PARAMETRES!$H$43:$H$342,MATCH($L396&amp;"|"&amp;$M396&amp;"|"&amp;$N396&amp;"|"&amp;$O396&amp;"|"&amp;$P396&amp;"|"&amp;$Q396&amp;"|"&amp;$K396,PARAMETRES!$J$43:$J$342,0))),""))</f>
        <v/>
      </c>
      <c r="S396" s="35">
        <f>IF(OR($G396="",$X396&lt;&gt;"VALIDE"),"",IFERROR(LOOKUP(2,1/(($B$3:$B395=$B396)*($G$3:$G395=$G396)*($X$3:$X395="VALIDE")),$C$3:$C395),""))</f>
        <v/>
      </c>
      <c r="T396" s="36">
        <f>IF(OR($C396="",$S396=""),"",ROUND(($C396-$S396+IF($C396&lt;$S396,1,0))*1440,0))</f>
        <v/>
      </c>
      <c r="U396" s="22">
        <f>IF(OR($H396="",$T396="",$T396&lt;=0),"",$H396*60/$T396)</f>
        <v/>
      </c>
      <c r="V396" s="37">
        <f>IF(OR($U396="",$R396="",$R396=0),"",$U396/$R396)</f>
        <v/>
      </c>
      <c r="W396" s="20">
        <f>IF($G396="","",IF($X396="CONTEXTE INCOMPLET","CONTEXTE INCOMPLET",IF($X396="DOUBLON",StatutDoublon,IF($S396="",StatutInitial,IF($R396="",StatutStandardManquant,IF($V396="","DONNEES INSUFFISANTES",IF($V396&gt;=SeuilConforme,StatutConforme,IF($V396&gt;=SeuilSurveiller,StatutSurveiller,StatutSousStandard))))))))</f>
        <v/>
      </c>
      <c r="X396" s="33">
        <f>IF($G396="","",IF(OR($D396="",$E396="",$F396=""),"CONTEXTE INCOMPLET",IF(COUNTIFS($D$3:$D395,$D396,$E$3:$E395,$E396,$F$3:$F395,$F396,$G$3:$G395,$G396)&gt;0,"DOUBLON","VALIDE")))</f>
        <v/>
      </c>
    </row>
    <row r="397" ht="15" customHeight="1">
      <c r="A397" s="12">
        <f>IF(OR($B397="",$G397=""),"",TEXT($B397,"YYYYMMDD")&amp;"-"&amp;SUBSTITUTE($E397," ","")&amp;"-"&amp;$F397&amp;"-"&amp;$G397)</f>
        <v/>
      </c>
      <c r="B397" s="15" t="n"/>
      <c r="C397" s="16" t="n"/>
      <c r="D397" s="10" t="n"/>
      <c r="E397" s="9" t="n"/>
      <c r="F397" s="9" t="n"/>
      <c r="G397" s="13" t="n"/>
      <c r="H397" s="21" t="n"/>
      <c r="I397" s="21" t="n"/>
      <c r="J397" s="17">
        <f>IF($G397="","",IFERROR(INDEX(NomsEmployes,MATCH($G397,MatriculesEmployes,0)),"MATRICULE INCONNU"))</f>
        <v/>
      </c>
      <c r="K397" s="33">
        <f>IF(OR($D397="",$F397=""),"",IFERROR(IF(INDEX(RUNS!$L$6:$S$1005,MATCH($D397,RUNS!$A$6:$A$1005,0),MATCH("ACTIVITÉ "&amp;$F397,RUNS!$L$5:$S$5,0))="","",INDEX(RUNS!$L$6:$S$1005,MATCH($D397,RUNS!$A$6:$A$1005,0),MATCH("ACTIVITÉ "&amp;$F397,RUNS!$L$5:$S$5,0))),""))</f>
        <v/>
      </c>
      <c r="L397" s="33">
        <f>IF($D397="","",IFERROR(IF(INDEX(RUNS!$E$6:$E$1005,MATCH($D397,RUNS!$A$6:$A$1005,0))="","",INDEX(RUNS!$E$6:$E$1005,MATCH($D397,RUNS!$A$6:$A$1005,0))),""))</f>
        <v/>
      </c>
      <c r="M397" s="33">
        <f>IF($D397="","",IFERROR(IF(INDEX(RUNS!$F$6:$F$1005,MATCH($D397,RUNS!$A$6:$A$1005,0))="","",INDEX(RUNS!$F$6:$F$1005,MATCH($D397,RUNS!$A$6:$A$1005,0))),""))</f>
        <v/>
      </c>
      <c r="N397" s="33">
        <f>IF($D397="","",IFERROR(IF(INDEX(RUNS!$G$6:$G$1005,MATCH($D397,RUNS!$A$6:$A$1005,0))="","",INDEX(RUNS!$G$6:$G$1005,MATCH($D397,RUNS!$A$6:$A$1005,0))),""))</f>
        <v/>
      </c>
      <c r="O397" s="33">
        <f>IF($D397="","",IFERROR(IF(INDEX(RUNS!$H$6:$H$1005,MATCH($D397,RUNS!$A$6:$A$1005,0))="","",INDEX(RUNS!$H$6:$H$1005,MATCH($D397,RUNS!$A$6:$A$1005,0))),""))</f>
        <v/>
      </c>
      <c r="P397" s="33">
        <f>IF($D397="","",IFERROR(IF(INDEX(RUNS!$J$6:$J$1005,MATCH($D397,RUNS!$A$6:$A$1005,0))="","",INDEX(RUNS!$J$6:$J$1005,MATCH($D397,RUNS!$A$6:$A$1005,0))),""))</f>
        <v/>
      </c>
      <c r="Q397" s="33">
        <f>IF($D397="","",IFERROR(IF(INDEX(RUNS!$K$6:$K$1005,MATCH($D397,RUNS!$A$6:$A$1005,0))="","",INDEX(RUNS!$K$6:$K$1005,MATCH($D397,RUNS!$A$6:$A$1005,0))),""))</f>
        <v/>
      </c>
      <c r="R397" s="34">
        <f>IF(OR($L397="",$K397=""),"",IFERROR(IF(INDEX(PARAMETRES!$H$43:$H$342,MATCH($L397&amp;"|"&amp;$M397&amp;"|"&amp;$N397&amp;"|"&amp;$O397&amp;"|"&amp;$P397&amp;"|"&amp;$Q397&amp;"|"&amp;$K397,PARAMETRES!$J$43:$J$342,0))="","",INDEX(PARAMETRES!$H$43:$H$342,MATCH($L397&amp;"|"&amp;$M397&amp;"|"&amp;$N397&amp;"|"&amp;$O397&amp;"|"&amp;$P397&amp;"|"&amp;$Q397&amp;"|"&amp;$K397,PARAMETRES!$J$43:$J$342,0))),""))</f>
        <v/>
      </c>
      <c r="S397" s="35">
        <f>IF(OR($G397="",$X397&lt;&gt;"VALIDE"),"",IFERROR(LOOKUP(2,1/(($B$3:$B396=$B397)*($G$3:$G396=$G397)*($X$3:$X396="VALIDE")),$C$3:$C396),""))</f>
        <v/>
      </c>
      <c r="T397" s="36">
        <f>IF(OR($C397="",$S397=""),"",ROUND(($C397-$S397+IF($C397&lt;$S397,1,0))*1440,0))</f>
        <v/>
      </c>
      <c r="U397" s="22">
        <f>IF(OR($H397="",$T397="",$T397&lt;=0),"",$H397*60/$T397)</f>
        <v/>
      </c>
      <c r="V397" s="37">
        <f>IF(OR($U397="",$R397="",$R397=0),"",$U397/$R397)</f>
        <v/>
      </c>
      <c r="W397" s="20">
        <f>IF($G397="","",IF($X397="CONTEXTE INCOMPLET","CONTEXTE INCOMPLET",IF($X397="DOUBLON",StatutDoublon,IF($S397="",StatutInitial,IF($R397="",StatutStandardManquant,IF($V397="","DONNEES INSUFFISANTES",IF($V397&gt;=SeuilConforme,StatutConforme,IF($V397&gt;=SeuilSurveiller,StatutSurveiller,StatutSousStandard))))))))</f>
        <v/>
      </c>
      <c r="X397" s="33">
        <f>IF($G397="","",IF(OR($D397="",$E397="",$F397=""),"CONTEXTE INCOMPLET",IF(COUNTIFS($D$3:$D396,$D397,$E$3:$E396,$E397,$F$3:$F396,$F397,$G$3:$G396,$G397)&gt;0,"DOUBLON","VALIDE")))</f>
        <v/>
      </c>
    </row>
    <row r="398" ht="15" customHeight="1">
      <c r="A398" s="12">
        <f>IF(OR($B398="",$G398=""),"",TEXT($B398,"YYYYMMDD")&amp;"-"&amp;SUBSTITUTE($E398," ","")&amp;"-"&amp;$F398&amp;"-"&amp;$G398)</f>
        <v/>
      </c>
      <c r="B398" s="15" t="n"/>
      <c r="C398" s="16" t="n"/>
      <c r="D398" s="10" t="n"/>
      <c r="E398" s="9" t="n"/>
      <c r="F398" s="9" t="n"/>
      <c r="G398" s="13" t="n"/>
      <c r="H398" s="21" t="n"/>
      <c r="I398" s="21" t="n"/>
      <c r="J398" s="17">
        <f>IF($G398="","",IFERROR(INDEX(NomsEmployes,MATCH($G398,MatriculesEmployes,0)),"MATRICULE INCONNU"))</f>
        <v/>
      </c>
      <c r="K398" s="33">
        <f>IF(OR($D398="",$F398=""),"",IFERROR(IF(INDEX(RUNS!$L$6:$S$1005,MATCH($D398,RUNS!$A$6:$A$1005,0),MATCH("ACTIVITÉ "&amp;$F398,RUNS!$L$5:$S$5,0))="","",INDEX(RUNS!$L$6:$S$1005,MATCH($D398,RUNS!$A$6:$A$1005,0),MATCH("ACTIVITÉ "&amp;$F398,RUNS!$L$5:$S$5,0))),""))</f>
        <v/>
      </c>
      <c r="L398" s="33">
        <f>IF($D398="","",IFERROR(IF(INDEX(RUNS!$E$6:$E$1005,MATCH($D398,RUNS!$A$6:$A$1005,0))="","",INDEX(RUNS!$E$6:$E$1005,MATCH($D398,RUNS!$A$6:$A$1005,0))),""))</f>
        <v/>
      </c>
      <c r="M398" s="33">
        <f>IF($D398="","",IFERROR(IF(INDEX(RUNS!$F$6:$F$1005,MATCH($D398,RUNS!$A$6:$A$1005,0))="","",INDEX(RUNS!$F$6:$F$1005,MATCH($D398,RUNS!$A$6:$A$1005,0))),""))</f>
        <v/>
      </c>
      <c r="N398" s="33">
        <f>IF($D398="","",IFERROR(IF(INDEX(RUNS!$G$6:$G$1005,MATCH($D398,RUNS!$A$6:$A$1005,0))="","",INDEX(RUNS!$G$6:$G$1005,MATCH($D398,RUNS!$A$6:$A$1005,0))),""))</f>
        <v/>
      </c>
      <c r="O398" s="33">
        <f>IF($D398="","",IFERROR(IF(INDEX(RUNS!$H$6:$H$1005,MATCH($D398,RUNS!$A$6:$A$1005,0))="","",INDEX(RUNS!$H$6:$H$1005,MATCH($D398,RUNS!$A$6:$A$1005,0))),""))</f>
        <v/>
      </c>
      <c r="P398" s="33">
        <f>IF($D398="","",IFERROR(IF(INDEX(RUNS!$J$6:$J$1005,MATCH($D398,RUNS!$A$6:$A$1005,0))="","",INDEX(RUNS!$J$6:$J$1005,MATCH($D398,RUNS!$A$6:$A$1005,0))),""))</f>
        <v/>
      </c>
      <c r="Q398" s="33">
        <f>IF($D398="","",IFERROR(IF(INDEX(RUNS!$K$6:$K$1005,MATCH($D398,RUNS!$A$6:$A$1005,0))="","",INDEX(RUNS!$K$6:$K$1005,MATCH($D398,RUNS!$A$6:$A$1005,0))),""))</f>
        <v/>
      </c>
      <c r="R398" s="34">
        <f>IF(OR($L398="",$K398=""),"",IFERROR(IF(INDEX(PARAMETRES!$H$43:$H$342,MATCH($L398&amp;"|"&amp;$M398&amp;"|"&amp;$N398&amp;"|"&amp;$O398&amp;"|"&amp;$P398&amp;"|"&amp;$Q398&amp;"|"&amp;$K398,PARAMETRES!$J$43:$J$342,0))="","",INDEX(PARAMETRES!$H$43:$H$342,MATCH($L398&amp;"|"&amp;$M398&amp;"|"&amp;$N398&amp;"|"&amp;$O398&amp;"|"&amp;$P398&amp;"|"&amp;$Q398&amp;"|"&amp;$K398,PARAMETRES!$J$43:$J$342,0))),""))</f>
        <v/>
      </c>
      <c r="S398" s="35">
        <f>IF(OR($G398="",$X398&lt;&gt;"VALIDE"),"",IFERROR(LOOKUP(2,1/(($B$3:$B397=$B398)*($G$3:$G397=$G398)*($X$3:$X397="VALIDE")),$C$3:$C397),""))</f>
        <v/>
      </c>
      <c r="T398" s="36">
        <f>IF(OR($C398="",$S398=""),"",ROUND(($C398-$S398+IF($C398&lt;$S398,1,0))*1440,0))</f>
        <v/>
      </c>
      <c r="U398" s="22">
        <f>IF(OR($H398="",$T398="",$T398&lt;=0),"",$H398*60/$T398)</f>
        <v/>
      </c>
      <c r="V398" s="37">
        <f>IF(OR($U398="",$R398="",$R398=0),"",$U398/$R398)</f>
        <v/>
      </c>
      <c r="W398" s="20">
        <f>IF($G398="","",IF($X398="CONTEXTE INCOMPLET","CONTEXTE INCOMPLET",IF($X398="DOUBLON",StatutDoublon,IF($S398="",StatutInitial,IF($R398="",StatutStandardManquant,IF($V398="","DONNEES INSUFFISANTES",IF($V398&gt;=SeuilConforme,StatutConforme,IF($V398&gt;=SeuilSurveiller,StatutSurveiller,StatutSousStandard))))))))</f>
        <v/>
      </c>
      <c r="X398" s="33">
        <f>IF($G398="","",IF(OR($D398="",$E398="",$F398=""),"CONTEXTE INCOMPLET",IF(COUNTIFS($D$3:$D397,$D398,$E$3:$E397,$E398,$F$3:$F397,$F398,$G$3:$G397,$G398)&gt;0,"DOUBLON","VALIDE")))</f>
        <v/>
      </c>
    </row>
    <row r="399" ht="15" customHeight="1">
      <c r="A399" s="12">
        <f>IF(OR($B399="",$G399=""),"",TEXT($B399,"YYYYMMDD")&amp;"-"&amp;SUBSTITUTE($E399," ","")&amp;"-"&amp;$F399&amp;"-"&amp;$G399)</f>
        <v/>
      </c>
      <c r="B399" s="15" t="n"/>
      <c r="C399" s="16" t="n"/>
      <c r="D399" s="10" t="n"/>
      <c r="E399" s="9" t="n"/>
      <c r="F399" s="9" t="n"/>
      <c r="G399" s="13" t="n"/>
      <c r="H399" s="21" t="n"/>
      <c r="I399" s="21" t="n"/>
      <c r="J399" s="17">
        <f>IF($G399="","",IFERROR(INDEX(NomsEmployes,MATCH($G399,MatriculesEmployes,0)),"MATRICULE INCONNU"))</f>
        <v/>
      </c>
      <c r="K399" s="33">
        <f>IF(OR($D399="",$F399=""),"",IFERROR(IF(INDEX(RUNS!$L$6:$S$1005,MATCH($D399,RUNS!$A$6:$A$1005,0),MATCH("ACTIVITÉ "&amp;$F399,RUNS!$L$5:$S$5,0))="","",INDEX(RUNS!$L$6:$S$1005,MATCH($D399,RUNS!$A$6:$A$1005,0),MATCH("ACTIVITÉ "&amp;$F399,RUNS!$L$5:$S$5,0))),""))</f>
        <v/>
      </c>
      <c r="L399" s="33">
        <f>IF($D399="","",IFERROR(IF(INDEX(RUNS!$E$6:$E$1005,MATCH($D399,RUNS!$A$6:$A$1005,0))="","",INDEX(RUNS!$E$6:$E$1005,MATCH($D399,RUNS!$A$6:$A$1005,0))),""))</f>
        <v/>
      </c>
      <c r="M399" s="33">
        <f>IF($D399="","",IFERROR(IF(INDEX(RUNS!$F$6:$F$1005,MATCH($D399,RUNS!$A$6:$A$1005,0))="","",INDEX(RUNS!$F$6:$F$1005,MATCH($D399,RUNS!$A$6:$A$1005,0))),""))</f>
        <v/>
      </c>
      <c r="N399" s="33">
        <f>IF($D399="","",IFERROR(IF(INDEX(RUNS!$G$6:$G$1005,MATCH($D399,RUNS!$A$6:$A$1005,0))="","",INDEX(RUNS!$G$6:$G$1005,MATCH($D399,RUNS!$A$6:$A$1005,0))),""))</f>
        <v/>
      </c>
      <c r="O399" s="33">
        <f>IF($D399="","",IFERROR(IF(INDEX(RUNS!$H$6:$H$1005,MATCH($D399,RUNS!$A$6:$A$1005,0))="","",INDEX(RUNS!$H$6:$H$1005,MATCH($D399,RUNS!$A$6:$A$1005,0))),""))</f>
        <v/>
      </c>
      <c r="P399" s="33">
        <f>IF($D399="","",IFERROR(IF(INDEX(RUNS!$J$6:$J$1005,MATCH($D399,RUNS!$A$6:$A$1005,0))="","",INDEX(RUNS!$J$6:$J$1005,MATCH($D399,RUNS!$A$6:$A$1005,0))),""))</f>
        <v/>
      </c>
      <c r="Q399" s="33">
        <f>IF($D399="","",IFERROR(IF(INDEX(RUNS!$K$6:$K$1005,MATCH($D399,RUNS!$A$6:$A$1005,0))="","",INDEX(RUNS!$K$6:$K$1005,MATCH($D399,RUNS!$A$6:$A$1005,0))),""))</f>
        <v/>
      </c>
      <c r="R399" s="34">
        <f>IF(OR($L399="",$K399=""),"",IFERROR(IF(INDEX(PARAMETRES!$H$43:$H$342,MATCH($L399&amp;"|"&amp;$M399&amp;"|"&amp;$N399&amp;"|"&amp;$O399&amp;"|"&amp;$P399&amp;"|"&amp;$Q399&amp;"|"&amp;$K399,PARAMETRES!$J$43:$J$342,0))="","",INDEX(PARAMETRES!$H$43:$H$342,MATCH($L399&amp;"|"&amp;$M399&amp;"|"&amp;$N399&amp;"|"&amp;$O399&amp;"|"&amp;$P399&amp;"|"&amp;$Q399&amp;"|"&amp;$K399,PARAMETRES!$J$43:$J$342,0))),""))</f>
        <v/>
      </c>
      <c r="S399" s="35">
        <f>IF(OR($G399="",$X399&lt;&gt;"VALIDE"),"",IFERROR(LOOKUP(2,1/(($B$3:$B398=$B399)*($G$3:$G398=$G399)*($X$3:$X398="VALIDE")),$C$3:$C398),""))</f>
        <v/>
      </c>
      <c r="T399" s="36">
        <f>IF(OR($C399="",$S399=""),"",ROUND(($C399-$S399+IF($C399&lt;$S399,1,0))*1440,0))</f>
        <v/>
      </c>
      <c r="U399" s="22">
        <f>IF(OR($H399="",$T399="",$T399&lt;=0),"",$H399*60/$T399)</f>
        <v/>
      </c>
      <c r="V399" s="37">
        <f>IF(OR($U399="",$R399="",$R399=0),"",$U399/$R399)</f>
        <v/>
      </c>
      <c r="W399" s="20">
        <f>IF($G399="","",IF($X399="CONTEXTE INCOMPLET","CONTEXTE INCOMPLET",IF($X399="DOUBLON",StatutDoublon,IF($S399="",StatutInitial,IF($R399="",StatutStandardManquant,IF($V399="","DONNEES INSUFFISANTES",IF($V399&gt;=SeuilConforme,StatutConforme,IF($V399&gt;=SeuilSurveiller,StatutSurveiller,StatutSousStandard))))))))</f>
        <v/>
      </c>
      <c r="X399" s="33">
        <f>IF($G399="","",IF(OR($D399="",$E399="",$F399=""),"CONTEXTE INCOMPLET",IF(COUNTIFS($D$3:$D398,$D399,$E$3:$E398,$E399,$F$3:$F398,$F399,$G$3:$G398,$G399)&gt;0,"DOUBLON","VALIDE")))</f>
        <v/>
      </c>
    </row>
    <row r="400" ht="15" customHeight="1">
      <c r="A400" s="12">
        <f>IF(OR($B400="",$G400=""),"",TEXT($B400,"YYYYMMDD")&amp;"-"&amp;SUBSTITUTE($E400," ","")&amp;"-"&amp;$F400&amp;"-"&amp;$G400)</f>
        <v/>
      </c>
      <c r="B400" s="15" t="n"/>
      <c r="C400" s="16" t="n"/>
      <c r="D400" s="10" t="n"/>
      <c r="E400" s="9" t="n"/>
      <c r="F400" s="9" t="n"/>
      <c r="G400" s="13" t="n"/>
      <c r="H400" s="21" t="n"/>
      <c r="I400" s="21" t="n"/>
      <c r="J400" s="17">
        <f>IF($G400="","",IFERROR(INDEX(NomsEmployes,MATCH($G400,MatriculesEmployes,0)),"MATRICULE INCONNU"))</f>
        <v/>
      </c>
      <c r="K400" s="33">
        <f>IF(OR($D400="",$F400=""),"",IFERROR(IF(INDEX(RUNS!$L$6:$S$1005,MATCH($D400,RUNS!$A$6:$A$1005,0),MATCH("ACTIVITÉ "&amp;$F400,RUNS!$L$5:$S$5,0))="","",INDEX(RUNS!$L$6:$S$1005,MATCH($D400,RUNS!$A$6:$A$1005,0),MATCH("ACTIVITÉ "&amp;$F400,RUNS!$L$5:$S$5,0))),""))</f>
        <v/>
      </c>
      <c r="L400" s="33">
        <f>IF($D400="","",IFERROR(IF(INDEX(RUNS!$E$6:$E$1005,MATCH($D400,RUNS!$A$6:$A$1005,0))="","",INDEX(RUNS!$E$6:$E$1005,MATCH($D400,RUNS!$A$6:$A$1005,0))),""))</f>
        <v/>
      </c>
      <c r="M400" s="33">
        <f>IF($D400="","",IFERROR(IF(INDEX(RUNS!$F$6:$F$1005,MATCH($D400,RUNS!$A$6:$A$1005,0))="","",INDEX(RUNS!$F$6:$F$1005,MATCH($D400,RUNS!$A$6:$A$1005,0))),""))</f>
        <v/>
      </c>
      <c r="N400" s="33">
        <f>IF($D400="","",IFERROR(IF(INDEX(RUNS!$G$6:$G$1005,MATCH($D400,RUNS!$A$6:$A$1005,0))="","",INDEX(RUNS!$G$6:$G$1005,MATCH($D400,RUNS!$A$6:$A$1005,0))),""))</f>
        <v/>
      </c>
      <c r="O400" s="33">
        <f>IF($D400="","",IFERROR(IF(INDEX(RUNS!$H$6:$H$1005,MATCH($D400,RUNS!$A$6:$A$1005,0))="","",INDEX(RUNS!$H$6:$H$1005,MATCH($D400,RUNS!$A$6:$A$1005,0))),""))</f>
        <v/>
      </c>
      <c r="P400" s="33">
        <f>IF($D400="","",IFERROR(IF(INDEX(RUNS!$J$6:$J$1005,MATCH($D400,RUNS!$A$6:$A$1005,0))="","",INDEX(RUNS!$J$6:$J$1005,MATCH($D400,RUNS!$A$6:$A$1005,0))),""))</f>
        <v/>
      </c>
      <c r="Q400" s="33">
        <f>IF($D400="","",IFERROR(IF(INDEX(RUNS!$K$6:$K$1005,MATCH($D400,RUNS!$A$6:$A$1005,0))="","",INDEX(RUNS!$K$6:$K$1005,MATCH($D400,RUNS!$A$6:$A$1005,0))),""))</f>
        <v/>
      </c>
      <c r="R400" s="34">
        <f>IF(OR($L400="",$K400=""),"",IFERROR(IF(INDEX(PARAMETRES!$H$43:$H$342,MATCH($L400&amp;"|"&amp;$M400&amp;"|"&amp;$N400&amp;"|"&amp;$O400&amp;"|"&amp;$P400&amp;"|"&amp;$Q400&amp;"|"&amp;$K400,PARAMETRES!$J$43:$J$342,0))="","",INDEX(PARAMETRES!$H$43:$H$342,MATCH($L400&amp;"|"&amp;$M400&amp;"|"&amp;$N400&amp;"|"&amp;$O400&amp;"|"&amp;$P400&amp;"|"&amp;$Q400&amp;"|"&amp;$K400,PARAMETRES!$J$43:$J$342,0))),""))</f>
        <v/>
      </c>
      <c r="S400" s="35">
        <f>IF(OR($G400="",$X400&lt;&gt;"VALIDE"),"",IFERROR(LOOKUP(2,1/(($B$3:$B399=$B400)*($G$3:$G399=$G400)*($X$3:$X399="VALIDE")),$C$3:$C399),""))</f>
        <v/>
      </c>
      <c r="T400" s="36">
        <f>IF(OR($C400="",$S400=""),"",ROUND(($C400-$S400+IF($C400&lt;$S400,1,0))*1440,0))</f>
        <v/>
      </c>
      <c r="U400" s="22">
        <f>IF(OR($H400="",$T400="",$T400&lt;=0),"",$H400*60/$T400)</f>
        <v/>
      </c>
      <c r="V400" s="37">
        <f>IF(OR($U400="",$R400="",$R400=0),"",$U400/$R400)</f>
        <v/>
      </c>
      <c r="W400" s="20">
        <f>IF($G400="","",IF($X400="CONTEXTE INCOMPLET","CONTEXTE INCOMPLET",IF($X400="DOUBLON",StatutDoublon,IF($S400="",StatutInitial,IF($R400="",StatutStandardManquant,IF($V400="","DONNEES INSUFFISANTES",IF($V400&gt;=SeuilConforme,StatutConforme,IF($V400&gt;=SeuilSurveiller,StatutSurveiller,StatutSousStandard))))))))</f>
        <v/>
      </c>
      <c r="X400" s="33">
        <f>IF($G400="","",IF(OR($D400="",$E400="",$F400=""),"CONTEXTE INCOMPLET",IF(COUNTIFS($D$3:$D399,$D400,$E$3:$E399,$E400,$F$3:$F399,$F400,$G$3:$G399,$G400)&gt;0,"DOUBLON","VALIDE")))</f>
        <v/>
      </c>
    </row>
    <row r="401" ht="15" customHeight="1">
      <c r="A401" s="12">
        <f>IF(OR($B401="",$G401=""),"",TEXT($B401,"YYYYMMDD")&amp;"-"&amp;SUBSTITUTE($E401," ","")&amp;"-"&amp;$F401&amp;"-"&amp;$G401)</f>
        <v/>
      </c>
      <c r="B401" s="15" t="n"/>
      <c r="C401" s="16" t="n"/>
      <c r="D401" s="10" t="n"/>
      <c r="E401" s="9" t="n"/>
      <c r="F401" s="9" t="n"/>
      <c r="G401" s="13" t="n"/>
      <c r="H401" s="21" t="n"/>
      <c r="I401" s="21" t="n"/>
      <c r="J401" s="17">
        <f>IF($G401="","",IFERROR(INDEX(NomsEmployes,MATCH($G401,MatriculesEmployes,0)),"MATRICULE INCONNU"))</f>
        <v/>
      </c>
      <c r="K401" s="33">
        <f>IF(OR($D401="",$F401=""),"",IFERROR(IF(INDEX(RUNS!$L$6:$S$1005,MATCH($D401,RUNS!$A$6:$A$1005,0),MATCH("ACTIVITÉ "&amp;$F401,RUNS!$L$5:$S$5,0))="","",INDEX(RUNS!$L$6:$S$1005,MATCH($D401,RUNS!$A$6:$A$1005,0),MATCH("ACTIVITÉ "&amp;$F401,RUNS!$L$5:$S$5,0))),""))</f>
        <v/>
      </c>
      <c r="L401" s="33">
        <f>IF($D401="","",IFERROR(IF(INDEX(RUNS!$E$6:$E$1005,MATCH($D401,RUNS!$A$6:$A$1005,0))="","",INDEX(RUNS!$E$6:$E$1005,MATCH($D401,RUNS!$A$6:$A$1005,0))),""))</f>
        <v/>
      </c>
      <c r="M401" s="33">
        <f>IF($D401="","",IFERROR(IF(INDEX(RUNS!$F$6:$F$1005,MATCH($D401,RUNS!$A$6:$A$1005,0))="","",INDEX(RUNS!$F$6:$F$1005,MATCH($D401,RUNS!$A$6:$A$1005,0))),""))</f>
        <v/>
      </c>
      <c r="N401" s="33">
        <f>IF($D401="","",IFERROR(IF(INDEX(RUNS!$G$6:$G$1005,MATCH($D401,RUNS!$A$6:$A$1005,0))="","",INDEX(RUNS!$G$6:$G$1005,MATCH($D401,RUNS!$A$6:$A$1005,0))),""))</f>
        <v/>
      </c>
      <c r="O401" s="33">
        <f>IF($D401="","",IFERROR(IF(INDEX(RUNS!$H$6:$H$1005,MATCH($D401,RUNS!$A$6:$A$1005,0))="","",INDEX(RUNS!$H$6:$H$1005,MATCH($D401,RUNS!$A$6:$A$1005,0))),""))</f>
        <v/>
      </c>
      <c r="P401" s="33">
        <f>IF($D401="","",IFERROR(IF(INDEX(RUNS!$J$6:$J$1005,MATCH($D401,RUNS!$A$6:$A$1005,0))="","",INDEX(RUNS!$J$6:$J$1005,MATCH($D401,RUNS!$A$6:$A$1005,0))),""))</f>
        <v/>
      </c>
      <c r="Q401" s="33">
        <f>IF($D401="","",IFERROR(IF(INDEX(RUNS!$K$6:$K$1005,MATCH($D401,RUNS!$A$6:$A$1005,0))="","",INDEX(RUNS!$K$6:$K$1005,MATCH($D401,RUNS!$A$6:$A$1005,0))),""))</f>
        <v/>
      </c>
      <c r="R401" s="34">
        <f>IF(OR($L401="",$K401=""),"",IFERROR(IF(INDEX(PARAMETRES!$H$43:$H$342,MATCH($L401&amp;"|"&amp;$M401&amp;"|"&amp;$N401&amp;"|"&amp;$O401&amp;"|"&amp;$P401&amp;"|"&amp;$Q401&amp;"|"&amp;$K401,PARAMETRES!$J$43:$J$342,0))="","",INDEX(PARAMETRES!$H$43:$H$342,MATCH($L401&amp;"|"&amp;$M401&amp;"|"&amp;$N401&amp;"|"&amp;$O401&amp;"|"&amp;$P401&amp;"|"&amp;$Q401&amp;"|"&amp;$K401,PARAMETRES!$J$43:$J$342,0))),""))</f>
        <v/>
      </c>
      <c r="S401" s="35">
        <f>IF(OR($G401="",$X401&lt;&gt;"VALIDE"),"",IFERROR(LOOKUP(2,1/(($B$3:$B400=$B401)*($G$3:$G400=$G401)*($X$3:$X400="VALIDE")),$C$3:$C400),""))</f>
        <v/>
      </c>
      <c r="T401" s="36">
        <f>IF(OR($C401="",$S401=""),"",ROUND(($C401-$S401+IF($C401&lt;$S401,1,0))*1440,0))</f>
        <v/>
      </c>
      <c r="U401" s="22">
        <f>IF(OR($H401="",$T401="",$T401&lt;=0),"",$H401*60/$T401)</f>
        <v/>
      </c>
      <c r="V401" s="37">
        <f>IF(OR($U401="",$R401="",$R401=0),"",$U401/$R401)</f>
        <v/>
      </c>
      <c r="W401" s="20">
        <f>IF($G401="","",IF($X401="CONTEXTE INCOMPLET","CONTEXTE INCOMPLET",IF($X401="DOUBLON",StatutDoublon,IF($S401="",StatutInitial,IF($R401="",StatutStandardManquant,IF($V401="","DONNEES INSUFFISANTES",IF($V401&gt;=SeuilConforme,StatutConforme,IF($V401&gt;=SeuilSurveiller,StatutSurveiller,StatutSousStandard))))))))</f>
        <v/>
      </c>
      <c r="X401" s="33">
        <f>IF($G401="","",IF(OR($D401="",$E401="",$F401=""),"CONTEXTE INCOMPLET",IF(COUNTIFS($D$3:$D400,$D401,$E$3:$E400,$E401,$F$3:$F400,$F401,$G$3:$G400,$G401)&gt;0,"DOUBLON","VALIDE")))</f>
        <v/>
      </c>
    </row>
    <row r="402" ht="15" customHeight="1">
      <c r="A402" s="12">
        <f>IF(OR($B402="",$G402=""),"",TEXT($B402,"YYYYMMDD")&amp;"-"&amp;SUBSTITUTE($E402," ","")&amp;"-"&amp;$F402&amp;"-"&amp;$G402)</f>
        <v/>
      </c>
      <c r="B402" s="15" t="n"/>
      <c r="C402" s="16" t="n"/>
      <c r="D402" s="10" t="n"/>
      <c r="E402" s="9" t="n"/>
      <c r="F402" s="9" t="n"/>
      <c r="G402" s="13" t="n"/>
      <c r="H402" s="21" t="n"/>
      <c r="I402" s="21" t="n"/>
      <c r="J402" s="17">
        <f>IF($G402="","",IFERROR(INDEX(NomsEmployes,MATCH($G402,MatriculesEmployes,0)),"MATRICULE INCONNU"))</f>
        <v/>
      </c>
      <c r="K402" s="33">
        <f>IF(OR($D402="",$F402=""),"",IFERROR(IF(INDEX(RUNS!$L$6:$S$1005,MATCH($D402,RUNS!$A$6:$A$1005,0),MATCH("ACTIVITÉ "&amp;$F402,RUNS!$L$5:$S$5,0))="","",INDEX(RUNS!$L$6:$S$1005,MATCH($D402,RUNS!$A$6:$A$1005,0),MATCH("ACTIVITÉ "&amp;$F402,RUNS!$L$5:$S$5,0))),""))</f>
        <v/>
      </c>
      <c r="L402" s="33">
        <f>IF($D402="","",IFERROR(IF(INDEX(RUNS!$E$6:$E$1005,MATCH($D402,RUNS!$A$6:$A$1005,0))="","",INDEX(RUNS!$E$6:$E$1005,MATCH($D402,RUNS!$A$6:$A$1005,0))),""))</f>
        <v/>
      </c>
      <c r="M402" s="33">
        <f>IF($D402="","",IFERROR(IF(INDEX(RUNS!$F$6:$F$1005,MATCH($D402,RUNS!$A$6:$A$1005,0))="","",INDEX(RUNS!$F$6:$F$1005,MATCH($D402,RUNS!$A$6:$A$1005,0))),""))</f>
        <v/>
      </c>
      <c r="N402" s="33">
        <f>IF($D402="","",IFERROR(IF(INDEX(RUNS!$G$6:$G$1005,MATCH($D402,RUNS!$A$6:$A$1005,0))="","",INDEX(RUNS!$G$6:$G$1005,MATCH($D402,RUNS!$A$6:$A$1005,0))),""))</f>
        <v/>
      </c>
      <c r="O402" s="33">
        <f>IF($D402="","",IFERROR(IF(INDEX(RUNS!$H$6:$H$1005,MATCH($D402,RUNS!$A$6:$A$1005,0))="","",INDEX(RUNS!$H$6:$H$1005,MATCH($D402,RUNS!$A$6:$A$1005,0))),""))</f>
        <v/>
      </c>
      <c r="P402" s="33">
        <f>IF($D402="","",IFERROR(IF(INDEX(RUNS!$J$6:$J$1005,MATCH($D402,RUNS!$A$6:$A$1005,0))="","",INDEX(RUNS!$J$6:$J$1005,MATCH($D402,RUNS!$A$6:$A$1005,0))),""))</f>
        <v/>
      </c>
      <c r="Q402" s="33">
        <f>IF($D402="","",IFERROR(IF(INDEX(RUNS!$K$6:$K$1005,MATCH($D402,RUNS!$A$6:$A$1005,0))="","",INDEX(RUNS!$K$6:$K$1005,MATCH($D402,RUNS!$A$6:$A$1005,0))),""))</f>
        <v/>
      </c>
      <c r="R402" s="34">
        <f>IF(OR($L402="",$K402=""),"",IFERROR(IF(INDEX(PARAMETRES!$H$43:$H$342,MATCH($L402&amp;"|"&amp;$M402&amp;"|"&amp;$N402&amp;"|"&amp;$O402&amp;"|"&amp;$P402&amp;"|"&amp;$Q402&amp;"|"&amp;$K402,PARAMETRES!$J$43:$J$342,0))="","",INDEX(PARAMETRES!$H$43:$H$342,MATCH($L402&amp;"|"&amp;$M402&amp;"|"&amp;$N402&amp;"|"&amp;$O402&amp;"|"&amp;$P402&amp;"|"&amp;$Q402&amp;"|"&amp;$K402,PARAMETRES!$J$43:$J$342,0))),""))</f>
        <v/>
      </c>
      <c r="S402" s="35">
        <f>IF(OR($G402="",$X402&lt;&gt;"VALIDE"),"",IFERROR(LOOKUP(2,1/(($B$3:$B401=$B402)*($G$3:$G401=$G402)*($X$3:$X401="VALIDE")),$C$3:$C401),""))</f>
        <v/>
      </c>
      <c r="T402" s="36">
        <f>IF(OR($C402="",$S402=""),"",ROUND(($C402-$S402+IF($C402&lt;$S402,1,0))*1440,0))</f>
        <v/>
      </c>
      <c r="U402" s="22">
        <f>IF(OR($H402="",$T402="",$T402&lt;=0),"",$H402*60/$T402)</f>
        <v/>
      </c>
      <c r="V402" s="37">
        <f>IF(OR($U402="",$R402="",$R402=0),"",$U402/$R402)</f>
        <v/>
      </c>
      <c r="W402" s="20">
        <f>IF($G402="","",IF($X402="CONTEXTE INCOMPLET","CONTEXTE INCOMPLET",IF($X402="DOUBLON",StatutDoublon,IF($S402="",StatutInitial,IF($R402="",StatutStandardManquant,IF($V402="","DONNEES INSUFFISANTES",IF($V402&gt;=SeuilConforme,StatutConforme,IF($V402&gt;=SeuilSurveiller,StatutSurveiller,StatutSousStandard))))))))</f>
        <v/>
      </c>
      <c r="X402" s="33">
        <f>IF($G402="","",IF(OR($D402="",$E402="",$F402=""),"CONTEXTE INCOMPLET",IF(COUNTIFS($D$3:$D401,$D402,$E$3:$E401,$E402,$F$3:$F401,$F402,$G$3:$G401,$G402)&gt;0,"DOUBLON","VALIDE")))</f>
        <v/>
      </c>
    </row>
    <row r="403" ht="15" customHeight="1">
      <c r="A403" s="12">
        <f>IF(OR($B403="",$G403=""),"",TEXT($B403,"YYYYMMDD")&amp;"-"&amp;SUBSTITUTE($E403," ","")&amp;"-"&amp;$F403&amp;"-"&amp;$G403)</f>
        <v/>
      </c>
      <c r="B403" s="15" t="n"/>
      <c r="C403" s="16" t="n"/>
      <c r="D403" s="10" t="n"/>
      <c r="E403" s="9" t="n"/>
      <c r="F403" s="9" t="n"/>
      <c r="G403" s="13" t="n"/>
      <c r="H403" s="21" t="n"/>
      <c r="I403" s="21" t="n"/>
      <c r="J403" s="17">
        <f>IF($G403="","",IFERROR(INDEX(NomsEmployes,MATCH($G403,MatriculesEmployes,0)),"MATRICULE INCONNU"))</f>
        <v/>
      </c>
      <c r="K403" s="33">
        <f>IF(OR($D403="",$F403=""),"",IFERROR(IF(INDEX(RUNS!$L$6:$S$1005,MATCH($D403,RUNS!$A$6:$A$1005,0),MATCH("ACTIVITÉ "&amp;$F403,RUNS!$L$5:$S$5,0))="","",INDEX(RUNS!$L$6:$S$1005,MATCH($D403,RUNS!$A$6:$A$1005,0),MATCH("ACTIVITÉ "&amp;$F403,RUNS!$L$5:$S$5,0))),""))</f>
        <v/>
      </c>
      <c r="L403" s="33">
        <f>IF($D403="","",IFERROR(IF(INDEX(RUNS!$E$6:$E$1005,MATCH($D403,RUNS!$A$6:$A$1005,0))="","",INDEX(RUNS!$E$6:$E$1005,MATCH($D403,RUNS!$A$6:$A$1005,0))),""))</f>
        <v/>
      </c>
      <c r="M403" s="33">
        <f>IF($D403="","",IFERROR(IF(INDEX(RUNS!$F$6:$F$1005,MATCH($D403,RUNS!$A$6:$A$1005,0))="","",INDEX(RUNS!$F$6:$F$1005,MATCH($D403,RUNS!$A$6:$A$1005,0))),""))</f>
        <v/>
      </c>
      <c r="N403" s="33">
        <f>IF($D403="","",IFERROR(IF(INDEX(RUNS!$G$6:$G$1005,MATCH($D403,RUNS!$A$6:$A$1005,0))="","",INDEX(RUNS!$G$6:$G$1005,MATCH($D403,RUNS!$A$6:$A$1005,0))),""))</f>
        <v/>
      </c>
      <c r="O403" s="33">
        <f>IF($D403="","",IFERROR(IF(INDEX(RUNS!$H$6:$H$1005,MATCH($D403,RUNS!$A$6:$A$1005,0))="","",INDEX(RUNS!$H$6:$H$1005,MATCH($D403,RUNS!$A$6:$A$1005,0))),""))</f>
        <v/>
      </c>
      <c r="P403" s="33">
        <f>IF($D403="","",IFERROR(IF(INDEX(RUNS!$J$6:$J$1005,MATCH($D403,RUNS!$A$6:$A$1005,0))="","",INDEX(RUNS!$J$6:$J$1005,MATCH($D403,RUNS!$A$6:$A$1005,0))),""))</f>
        <v/>
      </c>
      <c r="Q403" s="33">
        <f>IF($D403="","",IFERROR(IF(INDEX(RUNS!$K$6:$K$1005,MATCH($D403,RUNS!$A$6:$A$1005,0))="","",INDEX(RUNS!$K$6:$K$1005,MATCH($D403,RUNS!$A$6:$A$1005,0))),""))</f>
        <v/>
      </c>
      <c r="R403" s="34">
        <f>IF(OR($L403="",$K403=""),"",IFERROR(IF(INDEX(PARAMETRES!$H$43:$H$342,MATCH($L403&amp;"|"&amp;$M403&amp;"|"&amp;$N403&amp;"|"&amp;$O403&amp;"|"&amp;$P403&amp;"|"&amp;$Q403&amp;"|"&amp;$K403,PARAMETRES!$J$43:$J$342,0))="","",INDEX(PARAMETRES!$H$43:$H$342,MATCH($L403&amp;"|"&amp;$M403&amp;"|"&amp;$N403&amp;"|"&amp;$O403&amp;"|"&amp;$P403&amp;"|"&amp;$Q403&amp;"|"&amp;$K403,PARAMETRES!$J$43:$J$342,0))),""))</f>
        <v/>
      </c>
      <c r="S403" s="35">
        <f>IF(OR($G403="",$X403&lt;&gt;"VALIDE"),"",IFERROR(LOOKUP(2,1/(($B$3:$B402=$B403)*($G$3:$G402=$G403)*($X$3:$X402="VALIDE")),$C$3:$C402),""))</f>
        <v/>
      </c>
      <c r="T403" s="36">
        <f>IF(OR($C403="",$S403=""),"",ROUND(($C403-$S403+IF($C403&lt;$S403,1,0))*1440,0))</f>
        <v/>
      </c>
      <c r="U403" s="22">
        <f>IF(OR($H403="",$T403="",$T403&lt;=0),"",$H403*60/$T403)</f>
        <v/>
      </c>
      <c r="V403" s="37">
        <f>IF(OR($U403="",$R403="",$R403=0),"",$U403/$R403)</f>
        <v/>
      </c>
      <c r="W403" s="20">
        <f>IF($G403="","",IF($X403="CONTEXTE INCOMPLET","CONTEXTE INCOMPLET",IF($X403="DOUBLON",StatutDoublon,IF($S403="",StatutInitial,IF($R403="",StatutStandardManquant,IF($V403="","DONNEES INSUFFISANTES",IF($V403&gt;=SeuilConforme,StatutConforme,IF($V403&gt;=SeuilSurveiller,StatutSurveiller,StatutSousStandard))))))))</f>
        <v/>
      </c>
      <c r="X403" s="33">
        <f>IF($G403="","",IF(OR($D403="",$E403="",$F403=""),"CONTEXTE INCOMPLET",IF(COUNTIFS($D$3:$D402,$D403,$E$3:$E402,$E403,$F$3:$F402,$F403,$G$3:$G402,$G403)&gt;0,"DOUBLON","VALIDE")))</f>
        <v/>
      </c>
    </row>
    <row r="404" ht="15" customHeight="1">
      <c r="A404" s="12">
        <f>IF(OR($B404="",$G404=""),"",TEXT($B404,"YYYYMMDD")&amp;"-"&amp;SUBSTITUTE($E404," ","")&amp;"-"&amp;$F404&amp;"-"&amp;$G404)</f>
        <v/>
      </c>
      <c r="B404" s="15" t="n"/>
      <c r="C404" s="16" t="n"/>
      <c r="D404" s="10" t="n"/>
      <c r="E404" s="9" t="n"/>
      <c r="F404" s="9" t="n"/>
      <c r="G404" s="13" t="n"/>
      <c r="H404" s="21" t="n"/>
      <c r="I404" s="21" t="n"/>
      <c r="J404" s="17">
        <f>IF($G404="","",IFERROR(INDEX(NomsEmployes,MATCH($G404,MatriculesEmployes,0)),"MATRICULE INCONNU"))</f>
        <v/>
      </c>
      <c r="K404" s="33">
        <f>IF(OR($D404="",$F404=""),"",IFERROR(IF(INDEX(RUNS!$L$6:$S$1005,MATCH($D404,RUNS!$A$6:$A$1005,0),MATCH("ACTIVITÉ "&amp;$F404,RUNS!$L$5:$S$5,0))="","",INDEX(RUNS!$L$6:$S$1005,MATCH($D404,RUNS!$A$6:$A$1005,0),MATCH("ACTIVITÉ "&amp;$F404,RUNS!$L$5:$S$5,0))),""))</f>
        <v/>
      </c>
      <c r="L404" s="33">
        <f>IF($D404="","",IFERROR(IF(INDEX(RUNS!$E$6:$E$1005,MATCH($D404,RUNS!$A$6:$A$1005,0))="","",INDEX(RUNS!$E$6:$E$1005,MATCH($D404,RUNS!$A$6:$A$1005,0))),""))</f>
        <v/>
      </c>
      <c r="M404" s="33">
        <f>IF($D404="","",IFERROR(IF(INDEX(RUNS!$F$6:$F$1005,MATCH($D404,RUNS!$A$6:$A$1005,0))="","",INDEX(RUNS!$F$6:$F$1005,MATCH($D404,RUNS!$A$6:$A$1005,0))),""))</f>
        <v/>
      </c>
      <c r="N404" s="33">
        <f>IF($D404="","",IFERROR(IF(INDEX(RUNS!$G$6:$G$1005,MATCH($D404,RUNS!$A$6:$A$1005,0))="","",INDEX(RUNS!$G$6:$G$1005,MATCH($D404,RUNS!$A$6:$A$1005,0))),""))</f>
        <v/>
      </c>
      <c r="O404" s="33">
        <f>IF($D404="","",IFERROR(IF(INDEX(RUNS!$H$6:$H$1005,MATCH($D404,RUNS!$A$6:$A$1005,0))="","",INDEX(RUNS!$H$6:$H$1005,MATCH($D404,RUNS!$A$6:$A$1005,0))),""))</f>
        <v/>
      </c>
      <c r="P404" s="33">
        <f>IF($D404="","",IFERROR(IF(INDEX(RUNS!$J$6:$J$1005,MATCH($D404,RUNS!$A$6:$A$1005,0))="","",INDEX(RUNS!$J$6:$J$1005,MATCH($D404,RUNS!$A$6:$A$1005,0))),""))</f>
        <v/>
      </c>
      <c r="Q404" s="33">
        <f>IF($D404="","",IFERROR(IF(INDEX(RUNS!$K$6:$K$1005,MATCH($D404,RUNS!$A$6:$A$1005,0))="","",INDEX(RUNS!$K$6:$K$1005,MATCH($D404,RUNS!$A$6:$A$1005,0))),""))</f>
        <v/>
      </c>
      <c r="R404" s="34">
        <f>IF(OR($L404="",$K404=""),"",IFERROR(IF(INDEX(PARAMETRES!$H$43:$H$342,MATCH($L404&amp;"|"&amp;$M404&amp;"|"&amp;$N404&amp;"|"&amp;$O404&amp;"|"&amp;$P404&amp;"|"&amp;$Q404&amp;"|"&amp;$K404,PARAMETRES!$J$43:$J$342,0))="","",INDEX(PARAMETRES!$H$43:$H$342,MATCH($L404&amp;"|"&amp;$M404&amp;"|"&amp;$N404&amp;"|"&amp;$O404&amp;"|"&amp;$P404&amp;"|"&amp;$Q404&amp;"|"&amp;$K404,PARAMETRES!$J$43:$J$342,0))),""))</f>
        <v/>
      </c>
      <c r="S404" s="35">
        <f>IF(OR($G404="",$X404&lt;&gt;"VALIDE"),"",IFERROR(LOOKUP(2,1/(($B$3:$B403=$B404)*($G$3:$G403=$G404)*($X$3:$X403="VALIDE")),$C$3:$C403),""))</f>
        <v/>
      </c>
      <c r="T404" s="36">
        <f>IF(OR($C404="",$S404=""),"",ROUND(($C404-$S404+IF($C404&lt;$S404,1,0))*1440,0))</f>
        <v/>
      </c>
      <c r="U404" s="22">
        <f>IF(OR($H404="",$T404="",$T404&lt;=0),"",$H404*60/$T404)</f>
        <v/>
      </c>
      <c r="V404" s="37">
        <f>IF(OR($U404="",$R404="",$R404=0),"",$U404/$R404)</f>
        <v/>
      </c>
      <c r="W404" s="20">
        <f>IF($G404="","",IF($X404="CONTEXTE INCOMPLET","CONTEXTE INCOMPLET",IF($X404="DOUBLON",StatutDoublon,IF($S404="",StatutInitial,IF($R404="",StatutStandardManquant,IF($V404="","DONNEES INSUFFISANTES",IF($V404&gt;=SeuilConforme,StatutConforme,IF($V404&gt;=SeuilSurveiller,StatutSurveiller,StatutSousStandard))))))))</f>
        <v/>
      </c>
      <c r="X404" s="33">
        <f>IF($G404="","",IF(OR($D404="",$E404="",$F404=""),"CONTEXTE INCOMPLET",IF(COUNTIFS($D$3:$D403,$D404,$E$3:$E403,$E404,$F$3:$F403,$F404,$G$3:$G403,$G404)&gt;0,"DOUBLON","VALIDE")))</f>
        <v/>
      </c>
    </row>
    <row r="405" ht="15" customHeight="1">
      <c r="A405" s="12">
        <f>IF(OR($B405="",$G405=""),"",TEXT($B405,"YYYYMMDD")&amp;"-"&amp;SUBSTITUTE($E405," ","")&amp;"-"&amp;$F405&amp;"-"&amp;$G405)</f>
        <v/>
      </c>
      <c r="B405" s="15" t="n"/>
      <c r="C405" s="16" t="n"/>
      <c r="D405" s="10" t="n"/>
      <c r="E405" s="9" t="n"/>
      <c r="F405" s="9" t="n"/>
      <c r="G405" s="13" t="n"/>
      <c r="H405" s="21" t="n"/>
      <c r="I405" s="21" t="n"/>
      <c r="J405" s="17">
        <f>IF($G405="","",IFERROR(INDEX(NomsEmployes,MATCH($G405,MatriculesEmployes,0)),"MATRICULE INCONNU"))</f>
        <v/>
      </c>
      <c r="K405" s="33">
        <f>IF(OR($D405="",$F405=""),"",IFERROR(IF(INDEX(RUNS!$L$6:$S$1005,MATCH($D405,RUNS!$A$6:$A$1005,0),MATCH("ACTIVITÉ "&amp;$F405,RUNS!$L$5:$S$5,0))="","",INDEX(RUNS!$L$6:$S$1005,MATCH($D405,RUNS!$A$6:$A$1005,0),MATCH("ACTIVITÉ "&amp;$F405,RUNS!$L$5:$S$5,0))),""))</f>
        <v/>
      </c>
      <c r="L405" s="33">
        <f>IF($D405="","",IFERROR(IF(INDEX(RUNS!$E$6:$E$1005,MATCH($D405,RUNS!$A$6:$A$1005,0))="","",INDEX(RUNS!$E$6:$E$1005,MATCH($D405,RUNS!$A$6:$A$1005,0))),""))</f>
        <v/>
      </c>
      <c r="M405" s="33">
        <f>IF($D405="","",IFERROR(IF(INDEX(RUNS!$F$6:$F$1005,MATCH($D405,RUNS!$A$6:$A$1005,0))="","",INDEX(RUNS!$F$6:$F$1005,MATCH($D405,RUNS!$A$6:$A$1005,0))),""))</f>
        <v/>
      </c>
      <c r="N405" s="33">
        <f>IF($D405="","",IFERROR(IF(INDEX(RUNS!$G$6:$G$1005,MATCH($D405,RUNS!$A$6:$A$1005,0))="","",INDEX(RUNS!$G$6:$G$1005,MATCH($D405,RUNS!$A$6:$A$1005,0))),""))</f>
        <v/>
      </c>
      <c r="O405" s="33">
        <f>IF($D405="","",IFERROR(IF(INDEX(RUNS!$H$6:$H$1005,MATCH($D405,RUNS!$A$6:$A$1005,0))="","",INDEX(RUNS!$H$6:$H$1005,MATCH($D405,RUNS!$A$6:$A$1005,0))),""))</f>
        <v/>
      </c>
      <c r="P405" s="33">
        <f>IF($D405="","",IFERROR(IF(INDEX(RUNS!$J$6:$J$1005,MATCH($D405,RUNS!$A$6:$A$1005,0))="","",INDEX(RUNS!$J$6:$J$1005,MATCH($D405,RUNS!$A$6:$A$1005,0))),""))</f>
        <v/>
      </c>
      <c r="Q405" s="33">
        <f>IF($D405="","",IFERROR(IF(INDEX(RUNS!$K$6:$K$1005,MATCH($D405,RUNS!$A$6:$A$1005,0))="","",INDEX(RUNS!$K$6:$K$1005,MATCH($D405,RUNS!$A$6:$A$1005,0))),""))</f>
        <v/>
      </c>
      <c r="R405" s="34">
        <f>IF(OR($L405="",$K405=""),"",IFERROR(IF(INDEX(PARAMETRES!$H$43:$H$342,MATCH($L405&amp;"|"&amp;$M405&amp;"|"&amp;$N405&amp;"|"&amp;$O405&amp;"|"&amp;$P405&amp;"|"&amp;$Q405&amp;"|"&amp;$K405,PARAMETRES!$J$43:$J$342,0))="","",INDEX(PARAMETRES!$H$43:$H$342,MATCH($L405&amp;"|"&amp;$M405&amp;"|"&amp;$N405&amp;"|"&amp;$O405&amp;"|"&amp;$P405&amp;"|"&amp;$Q405&amp;"|"&amp;$K405,PARAMETRES!$J$43:$J$342,0))),""))</f>
        <v/>
      </c>
      <c r="S405" s="35">
        <f>IF(OR($G405="",$X405&lt;&gt;"VALIDE"),"",IFERROR(LOOKUP(2,1/(($B$3:$B404=$B405)*($G$3:$G404=$G405)*($X$3:$X404="VALIDE")),$C$3:$C404),""))</f>
        <v/>
      </c>
      <c r="T405" s="36">
        <f>IF(OR($C405="",$S405=""),"",ROUND(($C405-$S405+IF($C405&lt;$S405,1,0))*1440,0))</f>
        <v/>
      </c>
      <c r="U405" s="22">
        <f>IF(OR($H405="",$T405="",$T405&lt;=0),"",$H405*60/$T405)</f>
        <v/>
      </c>
      <c r="V405" s="37">
        <f>IF(OR($U405="",$R405="",$R405=0),"",$U405/$R405)</f>
        <v/>
      </c>
      <c r="W405" s="20">
        <f>IF($G405="","",IF($X405="CONTEXTE INCOMPLET","CONTEXTE INCOMPLET",IF($X405="DOUBLON",StatutDoublon,IF($S405="",StatutInitial,IF($R405="",StatutStandardManquant,IF($V405="","DONNEES INSUFFISANTES",IF($V405&gt;=SeuilConforme,StatutConforme,IF($V405&gt;=SeuilSurveiller,StatutSurveiller,StatutSousStandard))))))))</f>
        <v/>
      </c>
      <c r="X405" s="33">
        <f>IF($G405="","",IF(OR($D405="",$E405="",$F405=""),"CONTEXTE INCOMPLET",IF(COUNTIFS($D$3:$D404,$D405,$E$3:$E404,$E405,$F$3:$F404,$F405,$G$3:$G404,$G405)&gt;0,"DOUBLON","VALIDE")))</f>
        <v/>
      </c>
    </row>
    <row r="406" ht="15" customHeight="1">
      <c r="A406" s="12">
        <f>IF(OR($B406="",$G406=""),"",TEXT($B406,"YYYYMMDD")&amp;"-"&amp;SUBSTITUTE($E406," ","")&amp;"-"&amp;$F406&amp;"-"&amp;$G406)</f>
        <v/>
      </c>
      <c r="B406" s="15" t="n"/>
      <c r="C406" s="16" t="n"/>
      <c r="D406" s="10" t="n"/>
      <c r="E406" s="9" t="n"/>
      <c r="F406" s="9" t="n"/>
      <c r="G406" s="13" t="n"/>
      <c r="H406" s="21" t="n"/>
      <c r="I406" s="21" t="n"/>
      <c r="J406" s="17">
        <f>IF($G406="","",IFERROR(INDEX(NomsEmployes,MATCH($G406,MatriculesEmployes,0)),"MATRICULE INCONNU"))</f>
        <v/>
      </c>
      <c r="K406" s="33">
        <f>IF(OR($D406="",$F406=""),"",IFERROR(IF(INDEX(RUNS!$L$6:$S$1005,MATCH($D406,RUNS!$A$6:$A$1005,0),MATCH("ACTIVITÉ "&amp;$F406,RUNS!$L$5:$S$5,0))="","",INDEX(RUNS!$L$6:$S$1005,MATCH($D406,RUNS!$A$6:$A$1005,0),MATCH("ACTIVITÉ "&amp;$F406,RUNS!$L$5:$S$5,0))),""))</f>
        <v/>
      </c>
      <c r="L406" s="33">
        <f>IF($D406="","",IFERROR(IF(INDEX(RUNS!$E$6:$E$1005,MATCH($D406,RUNS!$A$6:$A$1005,0))="","",INDEX(RUNS!$E$6:$E$1005,MATCH($D406,RUNS!$A$6:$A$1005,0))),""))</f>
        <v/>
      </c>
      <c r="M406" s="33">
        <f>IF($D406="","",IFERROR(IF(INDEX(RUNS!$F$6:$F$1005,MATCH($D406,RUNS!$A$6:$A$1005,0))="","",INDEX(RUNS!$F$6:$F$1005,MATCH($D406,RUNS!$A$6:$A$1005,0))),""))</f>
        <v/>
      </c>
      <c r="N406" s="33">
        <f>IF($D406="","",IFERROR(IF(INDEX(RUNS!$G$6:$G$1005,MATCH($D406,RUNS!$A$6:$A$1005,0))="","",INDEX(RUNS!$G$6:$G$1005,MATCH($D406,RUNS!$A$6:$A$1005,0))),""))</f>
        <v/>
      </c>
      <c r="O406" s="33">
        <f>IF($D406="","",IFERROR(IF(INDEX(RUNS!$H$6:$H$1005,MATCH($D406,RUNS!$A$6:$A$1005,0))="","",INDEX(RUNS!$H$6:$H$1005,MATCH($D406,RUNS!$A$6:$A$1005,0))),""))</f>
        <v/>
      </c>
      <c r="P406" s="33">
        <f>IF($D406="","",IFERROR(IF(INDEX(RUNS!$J$6:$J$1005,MATCH($D406,RUNS!$A$6:$A$1005,0))="","",INDEX(RUNS!$J$6:$J$1005,MATCH($D406,RUNS!$A$6:$A$1005,0))),""))</f>
        <v/>
      </c>
      <c r="Q406" s="33">
        <f>IF($D406="","",IFERROR(IF(INDEX(RUNS!$K$6:$K$1005,MATCH($D406,RUNS!$A$6:$A$1005,0))="","",INDEX(RUNS!$K$6:$K$1005,MATCH($D406,RUNS!$A$6:$A$1005,0))),""))</f>
        <v/>
      </c>
      <c r="R406" s="34">
        <f>IF(OR($L406="",$K406=""),"",IFERROR(IF(INDEX(PARAMETRES!$H$43:$H$342,MATCH($L406&amp;"|"&amp;$M406&amp;"|"&amp;$N406&amp;"|"&amp;$O406&amp;"|"&amp;$P406&amp;"|"&amp;$Q406&amp;"|"&amp;$K406,PARAMETRES!$J$43:$J$342,0))="","",INDEX(PARAMETRES!$H$43:$H$342,MATCH($L406&amp;"|"&amp;$M406&amp;"|"&amp;$N406&amp;"|"&amp;$O406&amp;"|"&amp;$P406&amp;"|"&amp;$Q406&amp;"|"&amp;$K406,PARAMETRES!$J$43:$J$342,0))),""))</f>
        <v/>
      </c>
      <c r="S406" s="35">
        <f>IF(OR($G406="",$X406&lt;&gt;"VALIDE"),"",IFERROR(LOOKUP(2,1/(($B$3:$B405=$B406)*($G$3:$G405=$G406)*($X$3:$X405="VALIDE")),$C$3:$C405),""))</f>
        <v/>
      </c>
      <c r="T406" s="36">
        <f>IF(OR($C406="",$S406=""),"",ROUND(($C406-$S406+IF($C406&lt;$S406,1,0))*1440,0))</f>
        <v/>
      </c>
      <c r="U406" s="22">
        <f>IF(OR($H406="",$T406="",$T406&lt;=0),"",$H406*60/$T406)</f>
        <v/>
      </c>
      <c r="V406" s="37">
        <f>IF(OR($U406="",$R406="",$R406=0),"",$U406/$R406)</f>
        <v/>
      </c>
      <c r="W406" s="20">
        <f>IF($G406="","",IF($X406="CONTEXTE INCOMPLET","CONTEXTE INCOMPLET",IF($X406="DOUBLON",StatutDoublon,IF($S406="",StatutInitial,IF($R406="",StatutStandardManquant,IF($V406="","DONNEES INSUFFISANTES",IF($V406&gt;=SeuilConforme,StatutConforme,IF($V406&gt;=SeuilSurveiller,StatutSurveiller,StatutSousStandard))))))))</f>
        <v/>
      </c>
      <c r="X406" s="33">
        <f>IF($G406="","",IF(OR($D406="",$E406="",$F406=""),"CONTEXTE INCOMPLET",IF(COUNTIFS($D$3:$D405,$D406,$E$3:$E405,$E406,$F$3:$F405,$F406,$G$3:$G405,$G406)&gt;0,"DOUBLON","VALIDE")))</f>
        <v/>
      </c>
    </row>
    <row r="407" ht="15" customHeight="1">
      <c r="A407" s="12">
        <f>IF(OR($B407="",$G407=""),"",TEXT($B407,"YYYYMMDD")&amp;"-"&amp;SUBSTITUTE($E407," ","")&amp;"-"&amp;$F407&amp;"-"&amp;$G407)</f>
        <v/>
      </c>
      <c r="B407" s="15" t="n"/>
      <c r="C407" s="16" t="n"/>
      <c r="D407" s="10" t="n"/>
      <c r="E407" s="9" t="n"/>
      <c r="F407" s="9" t="n"/>
      <c r="G407" s="13" t="n"/>
      <c r="H407" s="21" t="n"/>
      <c r="I407" s="21" t="n"/>
      <c r="J407" s="17">
        <f>IF($G407="","",IFERROR(INDEX(NomsEmployes,MATCH($G407,MatriculesEmployes,0)),"MATRICULE INCONNU"))</f>
        <v/>
      </c>
      <c r="K407" s="33">
        <f>IF(OR($D407="",$F407=""),"",IFERROR(IF(INDEX(RUNS!$L$6:$S$1005,MATCH($D407,RUNS!$A$6:$A$1005,0),MATCH("ACTIVITÉ "&amp;$F407,RUNS!$L$5:$S$5,0))="","",INDEX(RUNS!$L$6:$S$1005,MATCH($D407,RUNS!$A$6:$A$1005,0),MATCH("ACTIVITÉ "&amp;$F407,RUNS!$L$5:$S$5,0))),""))</f>
        <v/>
      </c>
      <c r="L407" s="33">
        <f>IF($D407="","",IFERROR(IF(INDEX(RUNS!$E$6:$E$1005,MATCH($D407,RUNS!$A$6:$A$1005,0))="","",INDEX(RUNS!$E$6:$E$1005,MATCH($D407,RUNS!$A$6:$A$1005,0))),""))</f>
        <v/>
      </c>
      <c r="M407" s="33">
        <f>IF($D407="","",IFERROR(IF(INDEX(RUNS!$F$6:$F$1005,MATCH($D407,RUNS!$A$6:$A$1005,0))="","",INDEX(RUNS!$F$6:$F$1005,MATCH($D407,RUNS!$A$6:$A$1005,0))),""))</f>
        <v/>
      </c>
      <c r="N407" s="33">
        <f>IF($D407="","",IFERROR(IF(INDEX(RUNS!$G$6:$G$1005,MATCH($D407,RUNS!$A$6:$A$1005,0))="","",INDEX(RUNS!$G$6:$G$1005,MATCH($D407,RUNS!$A$6:$A$1005,0))),""))</f>
        <v/>
      </c>
      <c r="O407" s="33">
        <f>IF($D407="","",IFERROR(IF(INDEX(RUNS!$H$6:$H$1005,MATCH($D407,RUNS!$A$6:$A$1005,0))="","",INDEX(RUNS!$H$6:$H$1005,MATCH($D407,RUNS!$A$6:$A$1005,0))),""))</f>
        <v/>
      </c>
      <c r="P407" s="33">
        <f>IF($D407="","",IFERROR(IF(INDEX(RUNS!$J$6:$J$1005,MATCH($D407,RUNS!$A$6:$A$1005,0))="","",INDEX(RUNS!$J$6:$J$1005,MATCH($D407,RUNS!$A$6:$A$1005,0))),""))</f>
        <v/>
      </c>
      <c r="Q407" s="33">
        <f>IF($D407="","",IFERROR(IF(INDEX(RUNS!$K$6:$K$1005,MATCH($D407,RUNS!$A$6:$A$1005,0))="","",INDEX(RUNS!$K$6:$K$1005,MATCH($D407,RUNS!$A$6:$A$1005,0))),""))</f>
        <v/>
      </c>
      <c r="R407" s="34">
        <f>IF(OR($L407="",$K407=""),"",IFERROR(IF(INDEX(PARAMETRES!$H$43:$H$342,MATCH($L407&amp;"|"&amp;$M407&amp;"|"&amp;$N407&amp;"|"&amp;$O407&amp;"|"&amp;$P407&amp;"|"&amp;$Q407&amp;"|"&amp;$K407,PARAMETRES!$J$43:$J$342,0))="","",INDEX(PARAMETRES!$H$43:$H$342,MATCH($L407&amp;"|"&amp;$M407&amp;"|"&amp;$N407&amp;"|"&amp;$O407&amp;"|"&amp;$P407&amp;"|"&amp;$Q407&amp;"|"&amp;$K407,PARAMETRES!$J$43:$J$342,0))),""))</f>
        <v/>
      </c>
      <c r="S407" s="35">
        <f>IF(OR($G407="",$X407&lt;&gt;"VALIDE"),"",IFERROR(LOOKUP(2,1/(($B$3:$B406=$B407)*($G$3:$G406=$G407)*($X$3:$X406="VALIDE")),$C$3:$C406),""))</f>
        <v/>
      </c>
      <c r="T407" s="36">
        <f>IF(OR($C407="",$S407=""),"",ROUND(($C407-$S407+IF($C407&lt;$S407,1,0))*1440,0))</f>
        <v/>
      </c>
      <c r="U407" s="22">
        <f>IF(OR($H407="",$T407="",$T407&lt;=0),"",$H407*60/$T407)</f>
        <v/>
      </c>
      <c r="V407" s="37">
        <f>IF(OR($U407="",$R407="",$R407=0),"",$U407/$R407)</f>
        <v/>
      </c>
      <c r="W407" s="20">
        <f>IF($G407="","",IF($X407="CONTEXTE INCOMPLET","CONTEXTE INCOMPLET",IF($X407="DOUBLON",StatutDoublon,IF($S407="",StatutInitial,IF($R407="",StatutStandardManquant,IF($V407="","DONNEES INSUFFISANTES",IF($V407&gt;=SeuilConforme,StatutConforme,IF($V407&gt;=SeuilSurveiller,StatutSurveiller,StatutSousStandard))))))))</f>
        <v/>
      </c>
      <c r="X407" s="33">
        <f>IF($G407="","",IF(OR($D407="",$E407="",$F407=""),"CONTEXTE INCOMPLET",IF(COUNTIFS($D$3:$D406,$D407,$E$3:$E406,$E407,$F$3:$F406,$F407,$G$3:$G406,$G407)&gt;0,"DOUBLON","VALIDE")))</f>
        <v/>
      </c>
    </row>
    <row r="408" ht="15" customHeight="1">
      <c r="A408" s="12">
        <f>IF(OR($B408="",$G408=""),"",TEXT($B408,"YYYYMMDD")&amp;"-"&amp;SUBSTITUTE($E408," ","")&amp;"-"&amp;$F408&amp;"-"&amp;$G408)</f>
        <v/>
      </c>
      <c r="B408" s="15" t="n"/>
      <c r="C408" s="16" t="n"/>
      <c r="D408" s="10" t="n"/>
      <c r="E408" s="9" t="n"/>
      <c r="F408" s="9" t="n"/>
      <c r="G408" s="13" t="n"/>
      <c r="H408" s="21" t="n"/>
      <c r="I408" s="21" t="n"/>
      <c r="J408" s="17">
        <f>IF($G408="","",IFERROR(INDEX(NomsEmployes,MATCH($G408,MatriculesEmployes,0)),"MATRICULE INCONNU"))</f>
        <v/>
      </c>
      <c r="K408" s="33">
        <f>IF(OR($D408="",$F408=""),"",IFERROR(IF(INDEX(RUNS!$L$6:$S$1005,MATCH($D408,RUNS!$A$6:$A$1005,0),MATCH("ACTIVITÉ "&amp;$F408,RUNS!$L$5:$S$5,0))="","",INDEX(RUNS!$L$6:$S$1005,MATCH($D408,RUNS!$A$6:$A$1005,0),MATCH("ACTIVITÉ "&amp;$F408,RUNS!$L$5:$S$5,0))),""))</f>
        <v/>
      </c>
      <c r="L408" s="33">
        <f>IF($D408="","",IFERROR(IF(INDEX(RUNS!$E$6:$E$1005,MATCH($D408,RUNS!$A$6:$A$1005,0))="","",INDEX(RUNS!$E$6:$E$1005,MATCH($D408,RUNS!$A$6:$A$1005,0))),""))</f>
        <v/>
      </c>
      <c r="M408" s="33">
        <f>IF($D408="","",IFERROR(IF(INDEX(RUNS!$F$6:$F$1005,MATCH($D408,RUNS!$A$6:$A$1005,0))="","",INDEX(RUNS!$F$6:$F$1005,MATCH($D408,RUNS!$A$6:$A$1005,0))),""))</f>
        <v/>
      </c>
      <c r="N408" s="33">
        <f>IF($D408="","",IFERROR(IF(INDEX(RUNS!$G$6:$G$1005,MATCH($D408,RUNS!$A$6:$A$1005,0))="","",INDEX(RUNS!$G$6:$G$1005,MATCH($D408,RUNS!$A$6:$A$1005,0))),""))</f>
        <v/>
      </c>
      <c r="O408" s="33">
        <f>IF($D408="","",IFERROR(IF(INDEX(RUNS!$H$6:$H$1005,MATCH($D408,RUNS!$A$6:$A$1005,0))="","",INDEX(RUNS!$H$6:$H$1005,MATCH($D408,RUNS!$A$6:$A$1005,0))),""))</f>
        <v/>
      </c>
      <c r="P408" s="33">
        <f>IF($D408="","",IFERROR(IF(INDEX(RUNS!$J$6:$J$1005,MATCH($D408,RUNS!$A$6:$A$1005,0))="","",INDEX(RUNS!$J$6:$J$1005,MATCH($D408,RUNS!$A$6:$A$1005,0))),""))</f>
        <v/>
      </c>
      <c r="Q408" s="33">
        <f>IF($D408="","",IFERROR(IF(INDEX(RUNS!$K$6:$K$1005,MATCH($D408,RUNS!$A$6:$A$1005,0))="","",INDEX(RUNS!$K$6:$K$1005,MATCH($D408,RUNS!$A$6:$A$1005,0))),""))</f>
        <v/>
      </c>
      <c r="R408" s="34">
        <f>IF(OR($L408="",$K408=""),"",IFERROR(IF(INDEX(PARAMETRES!$H$43:$H$342,MATCH($L408&amp;"|"&amp;$M408&amp;"|"&amp;$N408&amp;"|"&amp;$O408&amp;"|"&amp;$P408&amp;"|"&amp;$Q408&amp;"|"&amp;$K408,PARAMETRES!$J$43:$J$342,0))="","",INDEX(PARAMETRES!$H$43:$H$342,MATCH($L408&amp;"|"&amp;$M408&amp;"|"&amp;$N408&amp;"|"&amp;$O408&amp;"|"&amp;$P408&amp;"|"&amp;$Q408&amp;"|"&amp;$K408,PARAMETRES!$J$43:$J$342,0))),""))</f>
        <v/>
      </c>
      <c r="S408" s="35">
        <f>IF(OR($G408="",$X408&lt;&gt;"VALIDE"),"",IFERROR(LOOKUP(2,1/(($B$3:$B407=$B408)*($G$3:$G407=$G408)*($X$3:$X407="VALIDE")),$C$3:$C407),""))</f>
        <v/>
      </c>
      <c r="T408" s="36">
        <f>IF(OR($C408="",$S408=""),"",ROUND(($C408-$S408+IF($C408&lt;$S408,1,0))*1440,0))</f>
        <v/>
      </c>
      <c r="U408" s="22">
        <f>IF(OR($H408="",$T408="",$T408&lt;=0),"",$H408*60/$T408)</f>
        <v/>
      </c>
      <c r="V408" s="37">
        <f>IF(OR($U408="",$R408="",$R408=0),"",$U408/$R408)</f>
        <v/>
      </c>
      <c r="W408" s="20">
        <f>IF($G408="","",IF($X408="CONTEXTE INCOMPLET","CONTEXTE INCOMPLET",IF($X408="DOUBLON",StatutDoublon,IF($S408="",StatutInitial,IF($R408="",StatutStandardManquant,IF($V408="","DONNEES INSUFFISANTES",IF($V408&gt;=SeuilConforme,StatutConforme,IF($V408&gt;=SeuilSurveiller,StatutSurveiller,StatutSousStandard))))))))</f>
        <v/>
      </c>
      <c r="X408" s="33">
        <f>IF($G408="","",IF(OR($D408="",$E408="",$F408=""),"CONTEXTE INCOMPLET",IF(COUNTIFS($D$3:$D407,$D408,$E$3:$E407,$E408,$F$3:$F407,$F408,$G$3:$G407,$G408)&gt;0,"DOUBLON","VALIDE")))</f>
        <v/>
      </c>
    </row>
    <row r="409" ht="15" customHeight="1">
      <c r="A409" s="12">
        <f>IF(OR($B409="",$G409=""),"",TEXT($B409,"YYYYMMDD")&amp;"-"&amp;SUBSTITUTE($E409," ","")&amp;"-"&amp;$F409&amp;"-"&amp;$G409)</f>
        <v/>
      </c>
      <c r="B409" s="15" t="n"/>
      <c r="C409" s="16" t="n"/>
      <c r="D409" s="10" t="n"/>
      <c r="E409" s="9" t="n"/>
      <c r="F409" s="9" t="n"/>
      <c r="G409" s="13" t="n"/>
      <c r="H409" s="21" t="n"/>
      <c r="I409" s="21" t="n"/>
      <c r="J409" s="17">
        <f>IF($G409="","",IFERROR(INDEX(NomsEmployes,MATCH($G409,MatriculesEmployes,0)),"MATRICULE INCONNU"))</f>
        <v/>
      </c>
      <c r="K409" s="33">
        <f>IF(OR($D409="",$F409=""),"",IFERROR(IF(INDEX(RUNS!$L$6:$S$1005,MATCH($D409,RUNS!$A$6:$A$1005,0),MATCH("ACTIVITÉ "&amp;$F409,RUNS!$L$5:$S$5,0))="","",INDEX(RUNS!$L$6:$S$1005,MATCH($D409,RUNS!$A$6:$A$1005,0),MATCH("ACTIVITÉ "&amp;$F409,RUNS!$L$5:$S$5,0))),""))</f>
        <v/>
      </c>
      <c r="L409" s="33">
        <f>IF($D409="","",IFERROR(IF(INDEX(RUNS!$E$6:$E$1005,MATCH($D409,RUNS!$A$6:$A$1005,0))="","",INDEX(RUNS!$E$6:$E$1005,MATCH($D409,RUNS!$A$6:$A$1005,0))),""))</f>
        <v/>
      </c>
      <c r="M409" s="33">
        <f>IF($D409="","",IFERROR(IF(INDEX(RUNS!$F$6:$F$1005,MATCH($D409,RUNS!$A$6:$A$1005,0))="","",INDEX(RUNS!$F$6:$F$1005,MATCH($D409,RUNS!$A$6:$A$1005,0))),""))</f>
        <v/>
      </c>
      <c r="N409" s="33">
        <f>IF($D409="","",IFERROR(IF(INDEX(RUNS!$G$6:$G$1005,MATCH($D409,RUNS!$A$6:$A$1005,0))="","",INDEX(RUNS!$G$6:$G$1005,MATCH($D409,RUNS!$A$6:$A$1005,0))),""))</f>
        <v/>
      </c>
      <c r="O409" s="33">
        <f>IF($D409="","",IFERROR(IF(INDEX(RUNS!$H$6:$H$1005,MATCH($D409,RUNS!$A$6:$A$1005,0))="","",INDEX(RUNS!$H$6:$H$1005,MATCH($D409,RUNS!$A$6:$A$1005,0))),""))</f>
        <v/>
      </c>
      <c r="P409" s="33">
        <f>IF($D409="","",IFERROR(IF(INDEX(RUNS!$J$6:$J$1005,MATCH($D409,RUNS!$A$6:$A$1005,0))="","",INDEX(RUNS!$J$6:$J$1005,MATCH($D409,RUNS!$A$6:$A$1005,0))),""))</f>
        <v/>
      </c>
      <c r="Q409" s="33">
        <f>IF($D409="","",IFERROR(IF(INDEX(RUNS!$K$6:$K$1005,MATCH($D409,RUNS!$A$6:$A$1005,0))="","",INDEX(RUNS!$K$6:$K$1005,MATCH($D409,RUNS!$A$6:$A$1005,0))),""))</f>
        <v/>
      </c>
      <c r="R409" s="34">
        <f>IF(OR($L409="",$K409=""),"",IFERROR(IF(INDEX(PARAMETRES!$H$43:$H$342,MATCH($L409&amp;"|"&amp;$M409&amp;"|"&amp;$N409&amp;"|"&amp;$O409&amp;"|"&amp;$P409&amp;"|"&amp;$Q409&amp;"|"&amp;$K409,PARAMETRES!$J$43:$J$342,0))="","",INDEX(PARAMETRES!$H$43:$H$342,MATCH($L409&amp;"|"&amp;$M409&amp;"|"&amp;$N409&amp;"|"&amp;$O409&amp;"|"&amp;$P409&amp;"|"&amp;$Q409&amp;"|"&amp;$K409,PARAMETRES!$J$43:$J$342,0))),""))</f>
        <v/>
      </c>
      <c r="S409" s="35">
        <f>IF(OR($G409="",$X409&lt;&gt;"VALIDE"),"",IFERROR(LOOKUP(2,1/(($B$3:$B408=$B409)*($G$3:$G408=$G409)*($X$3:$X408="VALIDE")),$C$3:$C408),""))</f>
        <v/>
      </c>
      <c r="T409" s="36">
        <f>IF(OR($C409="",$S409=""),"",ROUND(($C409-$S409+IF($C409&lt;$S409,1,0))*1440,0))</f>
        <v/>
      </c>
      <c r="U409" s="22">
        <f>IF(OR($H409="",$T409="",$T409&lt;=0),"",$H409*60/$T409)</f>
        <v/>
      </c>
      <c r="V409" s="37">
        <f>IF(OR($U409="",$R409="",$R409=0),"",$U409/$R409)</f>
        <v/>
      </c>
      <c r="W409" s="20">
        <f>IF($G409="","",IF($X409="CONTEXTE INCOMPLET","CONTEXTE INCOMPLET",IF($X409="DOUBLON",StatutDoublon,IF($S409="",StatutInitial,IF($R409="",StatutStandardManquant,IF($V409="","DONNEES INSUFFISANTES",IF($V409&gt;=SeuilConforme,StatutConforme,IF($V409&gt;=SeuilSurveiller,StatutSurveiller,StatutSousStandard))))))))</f>
        <v/>
      </c>
      <c r="X409" s="33">
        <f>IF($G409="","",IF(OR($D409="",$E409="",$F409=""),"CONTEXTE INCOMPLET",IF(COUNTIFS($D$3:$D408,$D409,$E$3:$E408,$E409,$F$3:$F408,$F409,$G$3:$G408,$G409)&gt;0,"DOUBLON","VALIDE")))</f>
        <v/>
      </c>
    </row>
    <row r="410" ht="15" customHeight="1">
      <c r="A410" s="12">
        <f>IF(OR($B410="",$G410=""),"",TEXT($B410,"YYYYMMDD")&amp;"-"&amp;SUBSTITUTE($E410," ","")&amp;"-"&amp;$F410&amp;"-"&amp;$G410)</f>
        <v/>
      </c>
      <c r="B410" s="15" t="n"/>
      <c r="C410" s="16" t="n"/>
      <c r="D410" s="10" t="n"/>
      <c r="E410" s="9" t="n"/>
      <c r="F410" s="9" t="n"/>
      <c r="G410" s="13" t="n"/>
      <c r="H410" s="21" t="n"/>
      <c r="I410" s="21" t="n"/>
      <c r="J410" s="17">
        <f>IF($G410="","",IFERROR(INDEX(NomsEmployes,MATCH($G410,MatriculesEmployes,0)),"MATRICULE INCONNU"))</f>
        <v/>
      </c>
      <c r="K410" s="33">
        <f>IF(OR($D410="",$F410=""),"",IFERROR(IF(INDEX(RUNS!$L$6:$S$1005,MATCH($D410,RUNS!$A$6:$A$1005,0),MATCH("ACTIVITÉ "&amp;$F410,RUNS!$L$5:$S$5,0))="","",INDEX(RUNS!$L$6:$S$1005,MATCH($D410,RUNS!$A$6:$A$1005,0),MATCH("ACTIVITÉ "&amp;$F410,RUNS!$L$5:$S$5,0))),""))</f>
        <v/>
      </c>
      <c r="L410" s="33">
        <f>IF($D410="","",IFERROR(IF(INDEX(RUNS!$E$6:$E$1005,MATCH($D410,RUNS!$A$6:$A$1005,0))="","",INDEX(RUNS!$E$6:$E$1005,MATCH($D410,RUNS!$A$6:$A$1005,0))),""))</f>
        <v/>
      </c>
      <c r="M410" s="33">
        <f>IF($D410="","",IFERROR(IF(INDEX(RUNS!$F$6:$F$1005,MATCH($D410,RUNS!$A$6:$A$1005,0))="","",INDEX(RUNS!$F$6:$F$1005,MATCH($D410,RUNS!$A$6:$A$1005,0))),""))</f>
        <v/>
      </c>
      <c r="N410" s="33">
        <f>IF($D410="","",IFERROR(IF(INDEX(RUNS!$G$6:$G$1005,MATCH($D410,RUNS!$A$6:$A$1005,0))="","",INDEX(RUNS!$G$6:$G$1005,MATCH($D410,RUNS!$A$6:$A$1005,0))),""))</f>
        <v/>
      </c>
      <c r="O410" s="33">
        <f>IF($D410="","",IFERROR(IF(INDEX(RUNS!$H$6:$H$1005,MATCH($D410,RUNS!$A$6:$A$1005,0))="","",INDEX(RUNS!$H$6:$H$1005,MATCH($D410,RUNS!$A$6:$A$1005,0))),""))</f>
        <v/>
      </c>
      <c r="P410" s="33">
        <f>IF($D410="","",IFERROR(IF(INDEX(RUNS!$J$6:$J$1005,MATCH($D410,RUNS!$A$6:$A$1005,0))="","",INDEX(RUNS!$J$6:$J$1005,MATCH($D410,RUNS!$A$6:$A$1005,0))),""))</f>
        <v/>
      </c>
      <c r="Q410" s="33">
        <f>IF($D410="","",IFERROR(IF(INDEX(RUNS!$K$6:$K$1005,MATCH($D410,RUNS!$A$6:$A$1005,0))="","",INDEX(RUNS!$K$6:$K$1005,MATCH($D410,RUNS!$A$6:$A$1005,0))),""))</f>
        <v/>
      </c>
      <c r="R410" s="34">
        <f>IF(OR($L410="",$K410=""),"",IFERROR(IF(INDEX(PARAMETRES!$H$43:$H$342,MATCH($L410&amp;"|"&amp;$M410&amp;"|"&amp;$N410&amp;"|"&amp;$O410&amp;"|"&amp;$P410&amp;"|"&amp;$Q410&amp;"|"&amp;$K410,PARAMETRES!$J$43:$J$342,0))="","",INDEX(PARAMETRES!$H$43:$H$342,MATCH($L410&amp;"|"&amp;$M410&amp;"|"&amp;$N410&amp;"|"&amp;$O410&amp;"|"&amp;$P410&amp;"|"&amp;$Q410&amp;"|"&amp;$K410,PARAMETRES!$J$43:$J$342,0))),""))</f>
        <v/>
      </c>
      <c r="S410" s="35">
        <f>IF(OR($G410="",$X410&lt;&gt;"VALIDE"),"",IFERROR(LOOKUP(2,1/(($B$3:$B409=$B410)*($G$3:$G409=$G410)*($X$3:$X409="VALIDE")),$C$3:$C409),""))</f>
        <v/>
      </c>
      <c r="T410" s="36">
        <f>IF(OR($C410="",$S410=""),"",ROUND(($C410-$S410+IF($C410&lt;$S410,1,0))*1440,0))</f>
        <v/>
      </c>
      <c r="U410" s="22">
        <f>IF(OR($H410="",$T410="",$T410&lt;=0),"",$H410*60/$T410)</f>
        <v/>
      </c>
      <c r="V410" s="37">
        <f>IF(OR($U410="",$R410="",$R410=0),"",$U410/$R410)</f>
        <v/>
      </c>
      <c r="W410" s="20">
        <f>IF($G410="","",IF($X410="CONTEXTE INCOMPLET","CONTEXTE INCOMPLET",IF($X410="DOUBLON",StatutDoublon,IF($S410="",StatutInitial,IF($R410="",StatutStandardManquant,IF($V410="","DONNEES INSUFFISANTES",IF($V410&gt;=SeuilConforme,StatutConforme,IF($V410&gt;=SeuilSurveiller,StatutSurveiller,StatutSousStandard))))))))</f>
        <v/>
      </c>
      <c r="X410" s="33">
        <f>IF($G410="","",IF(OR($D410="",$E410="",$F410=""),"CONTEXTE INCOMPLET",IF(COUNTIFS($D$3:$D409,$D410,$E$3:$E409,$E410,$F$3:$F409,$F410,$G$3:$G409,$G410)&gt;0,"DOUBLON","VALIDE")))</f>
        <v/>
      </c>
    </row>
    <row r="411" ht="15" customHeight="1">
      <c r="A411" s="12">
        <f>IF(OR($B411="",$G411=""),"",TEXT($B411,"YYYYMMDD")&amp;"-"&amp;SUBSTITUTE($E411," ","")&amp;"-"&amp;$F411&amp;"-"&amp;$G411)</f>
        <v/>
      </c>
      <c r="B411" s="15" t="n"/>
      <c r="C411" s="16" t="n"/>
      <c r="D411" s="10" t="n"/>
      <c r="E411" s="9" t="n"/>
      <c r="F411" s="9" t="n"/>
      <c r="G411" s="13" t="n"/>
      <c r="H411" s="21" t="n"/>
      <c r="I411" s="21" t="n"/>
      <c r="J411" s="17">
        <f>IF($G411="","",IFERROR(INDEX(NomsEmployes,MATCH($G411,MatriculesEmployes,0)),"MATRICULE INCONNU"))</f>
        <v/>
      </c>
      <c r="K411" s="33">
        <f>IF(OR($D411="",$F411=""),"",IFERROR(IF(INDEX(RUNS!$L$6:$S$1005,MATCH($D411,RUNS!$A$6:$A$1005,0),MATCH("ACTIVITÉ "&amp;$F411,RUNS!$L$5:$S$5,0))="","",INDEX(RUNS!$L$6:$S$1005,MATCH($D411,RUNS!$A$6:$A$1005,0),MATCH("ACTIVITÉ "&amp;$F411,RUNS!$L$5:$S$5,0))),""))</f>
        <v/>
      </c>
      <c r="L411" s="33">
        <f>IF($D411="","",IFERROR(IF(INDEX(RUNS!$E$6:$E$1005,MATCH($D411,RUNS!$A$6:$A$1005,0))="","",INDEX(RUNS!$E$6:$E$1005,MATCH($D411,RUNS!$A$6:$A$1005,0))),""))</f>
        <v/>
      </c>
      <c r="M411" s="33">
        <f>IF($D411="","",IFERROR(IF(INDEX(RUNS!$F$6:$F$1005,MATCH($D411,RUNS!$A$6:$A$1005,0))="","",INDEX(RUNS!$F$6:$F$1005,MATCH($D411,RUNS!$A$6:$A$1005,0))),""))</f>
        <v/>
      </c>
      <c r="N411" s="33">
        <f>IF($D411="","",IFERROR(IF(INDEX(RUNS!$G$6:$G$1005,MATCH($D411,RUNS!$A$6:$A$1005,0))="","",INDEX(RUNS!$G$6:$G$1005,MATCH($D411,RUNS!$A$6:$A$1005,0))),""))</f>
        <v/>
      </c>
      <c r="O411" s="33">
        <f>IF($D411="","",IFERROR(IF(INDEX(RUNS!$H$6:$H$1005,MATCH($D411,RUNS!$A$6:$A$1005,0))="","",INDEX(RUNS!$H$6:$H$1005,MATCH($D411,RUNS!$A$6:$A$1005,0))),""))</f>
        <v/>
      </c>
      <c r="P411" s="33">
        <f>IF($D411="","",IFERROR(IF(INDEX(RUNS!$J$6:$J$1005,MATCH($D411,RUNS!$A$6:$A$1005,0))="","",INDEX(RUNS!$J$6:$J$1005,MATCH($D411,RUNS!$A$6:$A$1005,0))),""))</f>
        <v/>
      </c>
      <c r="Q411" s="33">
        <f>IF($D411="","",IFERROR(IF(INDEX(RUNS!$K$6:$K$1005,MATCH($D411,RUNS!$A$6:$A$1005,0))="","",INDEX(RUNS!$K$6:$K$1005,MATCH($D411,RUNS!$A$6:$A$1005,0))),""))</f>
        <v/>
      </c>
      <c r="R411" s="34">
        <f>IF(OR($L411="",$K411=""),"",IFERROR(IF(INDEX(PARAMETRES!$H$43:$H$342,MATCH($L411&amp;"|"&amp;$M411&amp;"|"&amp;$N411&amp;"|"&amp;$O411&amp;"|"&amp;$P411&amp;"|"&amp;$Q411&amp;"|"&amp;$K411,PARAMETRES!$J$43:$J$342,0))="","",INDEX(PARAMETRES!$H$43:$H$342,MATCH($L411&amp;"|"&amp;$M411&amp;"|"&amp;$N411&amp;"|"&amp;$O411&amp;"|"&amp;$P411&amp;"|"&amp;$Q411&amp;"|"&amp;$K411,PARAMETRES!$J$43:$J$342,0))),""))</f>
        <v/>
      </c>
      <c r="S411" s="35">
        <f>IF(OR($G411="",$X411&lt;&gt;"VALIDE"),"",IFERROR(LOOKUP(2,1/(($B$3:$B410=$B411)*($G$3:$G410=$G411)*($X$3:$X410="VALIDE")),$C$3:$C410),""))</f>
        <v/>
      </c>
      <c r="T411" s="36">
        <f>IF(OR($C411="",$S411=""),"",ROUND(($C411-$S411+IF($C411&lt;$S411,1,0))*1440,0))</f>
        <v/>
      </c>
      <c r="U411" s="22">
        <f>IF(OR($H411="",$T411="",$T411&lt;=0),"",$H411*60/$T411)</f>
        <v/>
      </c>
      <c r="V411" s="37">
        <f>IF(OR($U411="",$R411="",$R411=0),"",$U411/$R411)</f>
        <v/>
      </c>
      <c r="W411" s="20">
        <f>IF($G411="","",IF($X411="CONTEXTE INCOMPLET","CONTEXTE INCOMPLET",IF($X411="DOUBLON",StatutDoublon,IF($S411="",StatutInitial,IF($R411="",StatutStandardManquant,IF($V411="","DONNEES INSUFFISANTES",IF($V411&gt;=SeuilConforme,StatutConforme,IF($V411&gt;=SeuilSurveiller,StatutSurveiller,StatutSousStandard))))))))</f>
        <v/>
      </c>
      <c r="X411" s="33">
        <f>IF($G411="","",IF(OR($D411="",$E411="",$F411=""),"CONTEXTE INCOMPLET",IF(COUNTIFS($D$3:$D410,$D411,$E$3:$E410,$E411,$F$3:$F410,$F411,$G$3:$G410,$G411)&gt;0,"DOUBLON","VALIDE")))</f>
        <v/>
      </c>
    </row>
    <row r="412" ht="15" customHeight="1">
      <c r="A412" s="12">
        <f>IF(OR($B412="",$G412=""),"",TEXT($B412,"YYYYMMDD")&amp;"-"&amp;SUBSTITUTE($E412," ","")&amp;"-"&amp;$F412&amp;"-"&amp;$G412)</f>
        <v/>
      </c>
      <c r="B412" s="15" t="n"/>
      <c r="C412" s="16" t="n"/>
      <c r="D412" s="10" t="n"/>
      <c r="E412" s="9" t="n"/>
      <c r="F412" s="9" t="n"/>
      <c r="G412" s="13" t="n"/>
      <c r="H412" s="21" t="n"/>
      <c r="I412" s="21" t="n"/>
      <c r="J412" s="17">
        <f>IF($G412="","",IFERROR(INDEX(NomsEmployes,MATCH($G412,MatriculesEmployes,0)),"MATRICULE INCONNU"))</f>
        <v/>
      </c>
      <c r="K412" s="33">
        <f>IF(OR($D412="",$F412=""),"",IFERROR(IF(INDEX(RUNS!$L$6:$S$1005,MATCH($D412,RUNS!$A$6:$A$1005,0),MATCH("ACTIVITÉ "&amp;$F412,RUNS!$L$5:$S$5,0))="","",INDEX(RUNS!$L$6:$S$1005,MATCH($D412,RUNS!$A$6:$A$1005,0),MATCH("ACTIVITÉ "&amp;$F412,RUNS!$L$5:$S$5,0))),""))</f>
        <v/>
      </c>
      <c r="L412" s="33">
        <f>IF($D412="","",IFERROR(IF(INDEX(RUNS!$E$6:$E$1005,MATCH($D412,RUNS!$A$6:$A$1005,0))="","",INDEX(RUNS!$E$6:$E$1005,MATCH($D412,RUNS!$A$6:$A$1005,0))),""))</f>
        <v/>
      </c>
      <c r="M412" s="33">
        <f>IF($D412="","",IFERROR(IF(INDEX(RUNS!$F$6:$F$1005,MATCH($D412,RUNS!$A$6:$A$1005,0))="","",INDEX(RUNS!$F$6:$F$1005,MATCH($D412,RUNS!$A$6:$A$1005,0))),""))</f>
        <v/>
      </c>
      <c r="N412" s="33">
        <f>IF($D412="","",IFERROR(IF(INDEX(RUNS!$G$6:$G$1005,MATCH($D412,RUNS!$A$6:$A$1005,0))="","",INDEX(RUNS!$G$6:$G$1005,MATCH($D412,RUNS!$A$6:$A$1005,0))),""))</f>
        <v/>
      </c>
      <c r="O412" s="33">
        <f>IF($D412="","",IFERROR(IF(INDEX(RUNS!$H$6:$H$1005,MATCH($D412,RUNS!$A$6:$A$1005,0))="","",INDEX(RUNS!$H$6:$H$1005,MATCH($D412,RUNS!$A$6:$A$1005,0))),""))</f>
        <v/>
      </c>
      <c r="P412" s="33">
        <f>IF($D412="","",IFERROR(IF(INDEX(RUNS!$J$6:$J$1005,MATCH($D412,RUNS!$A$6:$A$1005,0))="","",INDEX(RUNS!$J$6:$J$1005,MATCH($D412,RUNS!$A$6:$A$1005,0))),""))</f>
        <v/>
      </c>
      <c r="Q412" s="33">
        <f>IF($D412="","",IFERROR(IF(INDEX(RUNS!$K$6:$K$1005,MATCH($D412,RUNS!$A$6:$A$1005,0))="","",INDEX(RUNS!$K$6:$K$1005,MATCH($D412,RUNS!$A$6:$A$1005,0))),""))</f>
        <v/>
      </c>
      <c r="R412" s="34">
        <f>IF(OR($L412="",$K412=""),"",IFERROR(IF(INDEX(PARAMETRES!$H$43:$H$342,MATCH($L412&amp;"|"&amp;$M412&amp;"|"&amp;$N412&amp;"|"&amp;$O412&amp;"|"&amp;$P412&amp;"|"&amp;$Q412&amp;"|"&amp;$K412,PARAMETRES!$J$43:$J$342,0))="","",INDEX(PARAMETRES!$H$43:$H$342,MATCH($L412&amp;"|"&amp;$M412&amp;"|"&amp;$N412&amp;"|"&amp;$O412&amp;"|"&amp;$P412&amp;"|"&amp;$Q412&amp;"|"&amp;$K412,PARAMETRES!$J$43:$J$342,0))),""))</f>
        <v/>
      </c>
      <c r="S412" s="35">
        <f>IF(OR($G412="",$X412&lt;&gt;"VALIDE"),"",IFERROR(LOOKUP(2,1/(($B$3:$B411=$B412)*($G$3:$G411=$G412)*($X$3:$X411="VALIDE")),$C$3:$C411),""))</f>
        <v/>
      </c>
      <c r="T412" s="36">
        <f>IF(OR($C412="",$S412=""),"",ROUND(($C412-$S412+IF($C412&lt;$S412,1,0))*1440,0))</f>
        <v/>
      </c>
      <c r="U412" s="22">
        <f>IF(OR($H412="",$T412="",$T412&lt;=0),"",$H412*60/$T412)</f>
        <v/>
      </c>
      <c r="V412" s="37">
        <f>IF(OR($U412="",$R412="",$R412=0),"",$U412/$R412)</f>
        <v/>
      </c>
      <c r="W412" s="20">
        <f>IF($G412="","",IF($X412="CONTEXTE INCOMPLET","CONTEXTE INCOMPLET",IF($X412="DOUBLON",StatutDoublon,IF($S412="",StatutInitial,IF($R412="",StatutStandardManquant,IF($V412="","DONNEES INSUFFISANTES",IF($V412&gt;=SeuilConforme,StatutConforme,IF($V412&gt;=SeuilSurveiller,StatutSurveiller,StatutSousStandard))))))))</f>
        <v/>
      </c>
      <c r="X412" s="33">
        <f>IF($G412="","",IF(OR($D412="",$E412="",$F412=""),"CONTEXTE INCOMPLET",IF(COUNTIFS($D$3:$D411,$D412,$E$3:$E411,$E412,$F$3:$F411,$F412,$G$3:$G411,$G412)&gt;0,"DOUBLON","VALIDE")))</f>
        <v/>
      </c>
    </row>
    <row r="413" ht="15" customHeight="1">
      <c r="A413" s="12">
        <f>IF(OR($B413="",$G413=""),"",TEXT($B413,"YYYYMMDD")&amp;"-"&amp;SUBSTITUTE($E413," ","")&amp;"-"&amp;$F413&amp;"-"&amp;$G413)</f>
        <v/>
      </c>
      <c r="B413" s="15" t="n"/>
      <c r="C413" s="16" t="n"/>
      <c r="D413" s="10" t="n"/>
      <c r="E413" s="9" t="n"/>
      <c r="F413" s="9" t="n"/>
      <c r="G413" s="13" t="n"/>
      <c r="H413" s="21" t="n"/>
      <c r="I413" s="21" t="n"/>
      <c r="J413" s="17">
        <f>IF($G413="","",IFERROR(INDEX(NomsEmployes,MATCH($G413,MatriculesEmployes,0)),"MATRICULE INCONNU"))</f>
        <v/>
      </c>
      <c r="K413" s="33">
        <f>IF(OR($D413="",$F413=""),"",IFERROR(IF(INDEX(RUNS!$L$6:$S$1005,MATCH($D413,RUNS!$A$6:$A$1005,0),MATCH("ACTIVITÉ "&amp;$F413,RUNS!$L$5:$S$5,0))="","",INDEX(RUNS!$L$6:$S$1005,MATCH($D413,RUNS!$A$6:$A$1005,0),MATCH("ACTIVITÉ "&amp;$F413,RUNS!$L$5:$S$5,0))),""))</f>
        <v/>
      </c>
      <c r="L413" s="33">
        <f>IF($D413="","",IFERROR(IF(INDEX(RUNS!$E$6:$E$1005,MATCH($D413,RUNS!$A$6:$A$1005,0))="","",INDEX(RUNS!$E$6:$E$1005,MATCH($D413,RUNS!$A$6:$A$1005,0))),""))</f>
        <v/>
      </c>
      <c r="M413" s="33">
        <f>IF($D413="","",IFERROR(IF(INDEX(RUNS!$F$6:$F$1005,MATCH($D413,RUNS!$A$6:$A$1005,0))="","",INDEX(RUNS!$F$6:$F$1005,MATCH($D413,RUNS!$A$6:$A$1005,0))),""))</f>
        <v/>
      </c>
      <c r="N413" s="33">
        <f>IF($D413="","",IFERROR(IF(INDEX(RUNS!$G$6:$G$1005,MATCH($D413,RUNS!$A$6:$A$1005,0))="","",INDEX(RUNS!$G$6:$G$1005,MATCH($D413,RUNS!$A$6:$A$1005,0))),""))</f>
        <v/>
      </c>
      <c r="O413" s="33">
        <f>IF($D413="","",IFERROR(IF(INDEX(RUNS!$H$6:$H$1005,MATCH($D413,RUNS!$A$6:$A$1005,0))="","",INDEX(RUNS!$H$6:$H$1005,MATCH($D413,RUNS!$A$6:$A$1005,0))),""))</f>
        <v/>
      </c>
      <c r="P413" s="33">
        <f>IF($D413="","",IFERROR(IF(INDEX(RUNS!$J$6:$J$1005,MATCH($D413,RUNS!$A$6:$A$1005,0))="","",INDEX(RUNS!$J$6:$J$1005,MATCH($D413,RUNS!$A$6:$A$1005,0))),""))</f>
        <v/>
      </c>
      <c r="Q413" s="33">
        <f>IF($D413="","",IFERROR(IF(INDEX(RUNS!$K$6:$K$1005,MATCH($D413,RUNS!$A$6:$A$1005,0))="","",INDEX(RUNS!$K$6:$K$1005,MATCH($D413,RUNS!$A$6:$A$1005,0))),""))</f>
        <v/>
      </c>
      <c r="R413" s="34">
        <f>IF(OR($L413="",$K413=""),"",IFERROR(IF(INDEX(PARAMETRES!$H$43:$H$342,MATCH($L413&amp;"|"&amp;$M413&amp;"|"&amp;$N413&amp;"|"&amp;$O413&amp;"|"&amp;$P413&amp;"|"&amp;$Q413&amp;"|"&amp;$K413,PARAMETRES!$J$43:$J$342,0))="","",INDEX(PARAMETRES!$H$43:$H$342,MATCH($L413&amp;"|"&amp;$M413&amp;"|"&amp;$N413&amp;"|"&amp;$O413&amp;"|"&amp;$P413&amp;"|"&amp;$Q413&amp;"|"&amp;$K413,PARAMETRES!$J$43:$J$342,0))),""))</f>
        <v/>
      </c>
      <c r="S413" s="35">
        <f>IF(OR($G413="",$X413&lt;&gt;"VALIDE"),"",IFERROR(LOOKUP(2,1/(($B$3:$B412=$B413)*($G$3:$G412=$G413)*($X$3:$X412="VALIDE")),$C$3:$C412),""))</f>
        <v/>
      </c>
      <c r="T413" s="36">
        <f>IF(OR($C413="",$S413=""),"",ROUND(($C413-$S413+IF($C413&lt;$S413,1,0))*1440,0))</f>
        <v/>
      </c>
      <c r="U413" s="22">
        <f>IF(OR($H413="",$T413="",$T413&lt;=0),"",$H413*60/$T413)</f>
        <v/>
      </c>
      <c r="V413" s="37">
        <f>IF(OR($U413="",$R413="",$R413=0),"",$U413/$R413)</f>
        <v/>
      </c>
      <c r="W413" s="20">
        <f>IF($G413="","",IF($X413="CONTEXTE INCOMPLET","CONTEXTE INCOMPLET",IF($X413="DOUBLON",StatutDoublon,IF($S413="",StatutInitial,IF($R413="",StatutStandardManquant,IF($V413="","DONNEES INSUFFISANTES",IF($V413&gt;=SeuilConforme,StatutConforme,IF($V413&gt;=SeuilSurveiller,StatutSurveiller,StatutSousStandard))))))))</f>
        <v/>
      </c>
      <c r="X413" s="33">
        <f>IF($G413="","",IF(OR($D413="",$E413="",$F413=""),"CONTEXTE INCOMPLET",IF(COUNTIFS($D$3:$D412,$D413,$E$3:$E412,$E413,$F$3:$F412,$F413,$G$3:$G412,$G413)&gt;0,"DOUBLON","VALIDE")))</f>
        <v/>
      </c>
    </row>
    <row r="414" ht="15" customHeight="1">
      <c r="A414" s="12">
        <f>IF(OR($B414="",$G414=""),"",TEXT($B414,"YYYYMMDD")&amp;"-"&amp;SUBSTITUTE($E414," ","")&amp;"-"&amp;$F414&amp;"-"&amp;$G414)</f>
        <v/>
      </c>
      <c r="B414" s="15" t="n"/>
      <c r="C414" s="16" t="n"/>
      <c r="D414" s="10" t="n"/>
      <c r="E414" s="9" t="n"/>
      <c r="F414" s="9" t="n"/>
      <c r="G414" s="13" t="n"/>
      <c r="H414" s="21" t="n"/>
      <c r="I414" s="21" t="n"/>
      <c r="J414" s="17">
        <f>IF($G414="","",IFERROR(INDEX(NomsEmployes,MATCH($G414,MatriculesEmployes,0)),"MATRICULE INCONNU"))</f>
        <v/>
      </c>
      <c r="K414" s="33">
        <f>IF(OR($D414="",$F414=""),"",IFERROR(IF(INDEX(RUNS!$L$6:$S$1005,MATCH($D414,RUNS!$A$6:$A$1005,0),MATCH("ACTIVITÉ "&amp;$F414,RUNS!$L$5:$S$5,0))="","",INDEX(RUNS!$L$6:$S$1005,MATCH($D414,RUNS!$A$6:$A$1005,0),MATCH("ACTIVITÉ "&amp;$F414,RUNS!$L$5:$S$5,0))),""))</f>
        <v/>
      </c>
      <c r="L414" s="33">
        <f>IF($D414="","",IFERROR(IF(INDEX(RUNS!$E$6:$E$1005,MATCH($D414,RUNS!$A$6:$A$1005,0))="","",INDEX(RUNS!$E$6:$E$1005,MATCH($D414,RUNS!$A$6:$A$1005,0))),""))</f>
        <v/>
      </c>
      <c r="M414" s="33">
        <f>IF($D414="","",IFERROR(IF(INDEX(RUNS!$F$6:$F$1005,MATCH($D414,RUNS!$A$6:$A$1005,0))="","",INDEX(RUNS!$F$6:$F$1005,MATCH($D414,RUNS!$A$6:$A$1005,0))),""))</f>
        <v/>
      </c>
      <c r="N414" s="33">
        <f>IF($D414="","",IFERROR(IF(INDEX(RUNS!$G$6:$G$1005,MATCH($D414,RUNS!$A$6:$A$1005,0))="","",INDEX(RUNS!$G$6:$G$1005,MATCH($D414,RUNS!$A$6:$A$1005,0))),""))</f>
        <v/>
      </c>
      <c r="O414" s="33">
        <f>IF($D414="","",IFERROR(IF(INDEX(RUNS!$H$6:$H$1005,MATCH($D414,RUNS!$A$6:$A$1005,0))="","",INDEX(RUNS!$H$6:$H$1005,MATCH($D414,RUNS!$A$6:$A$1005,0))),""))</f>
        <v/>
      </c>
      <c r="P414" s="33">
        <f>IF($D414="","",IFERROR(IF(INDEX(RUNS!$J$6:$J$1005,MATCH($D414,RUNS!$A$6:$A$1005,0))="","",INDEX(RUNS!$J$6:$J$1005,MATCH($D414,RUNS!$A$6:$A$1005,0))),""))</f>
        <v/>
      </c>
      <c r="Q414" s="33">
        <f>IF($D414="","",IFERROR(IF(INDEX(RUNS!$K$6:$K$1005,MATCH($D414,RUNS!$A$6:$A$1005,0))="","",INDEX(RUNS!$K$6:$K$1005,MATCH($D414,RUNS!$A$6:$A$1005,0))),""))</f>
        <v/>
      </c>
      <c r="R414" s="34">
        <f>IF(OR($L414="",$K414=""),"",IFERROR(IF(INDEX(PARAMETRES!$H$43:$H$342,MATCH($L414&amp;"|"&amp;$M414&amp;"|"&amp;$N414&amp;"|"&amp;$O414&amp;"|"&amp;$P414&amp;"|"&amp;$Q414&amp;"|"&amp;$K414,PARAMETRES!$J$43:$J$342,0))="","",INDEX(PARAMETRES!$H$43:$H$342,MATCH($L414&amp;"|"&amp;$M414&amp;"|"&amp;$N414&amp;"|"&amp;$O414&amp;"|"&amp;$P414&amp;"|"&amp;$Q414&amp;"|"&amp;$K414,PARAMETRES!$J$43:$J$342,0))),""))</f>
        <v/>
      </c>
      <c r="S414" s="35">
        <f>IF(OR($G414="",$X414&lt;&gt;"VALIDE"),"",IFERROR(LOOKUP(2,1/(($B$3:$B413=$B414)*($G$3:$G413=$G414)*($X$3:$X413="VALIDE")),$C$3:$C413),""))</f>
        <v/>
      </c>
      <c r="T414" s="36">
        <f>IF(OR($C414="",$S414=""),"",ROUND(($C414-$S414+IF($C414&lt;$S414,1,0))*1440,0))</f>
        <v/>
      </c>
      <c r="U414" s="22">
        <f>IF(OR($H414="",$T414="",$T414&lt;=0),"",$H414*60/$T414)</f>
        <v/>
      </c>
      <c r="V414" s="37">
        <f>IF(OR($U414="",$R414="",$R414=0),"",$U414/$R414)</f>
        <v/>
      </c>
      <c r="W414" s="20">
        <f>IF($G414="","",IF($X414="CONTEXTE INCOMPLET","CONTEXTE INCOMPLET",IF($X414="DOUBLON",StatutDoublon,IF($S414="",StatutInitial,IF($R414="",StatutStandardManquant,IF($V414="","DONNEES INSUFFISANTES",IF($V414&gt;=SeuilConforme,StatutConforme,IF($V414&gt;=SeuilSurveiller,StatutSurveiller,StatutSousStandard))))))))</f>
        <v/>
      </c>
      <c r="X414" s="33">
        <f>IF($G414="","",IF(OR($D414="",$E414="",$F414=""),"CONTEXTE INCOMPLET",IF(COUNTIFS($D$3:$D413,$D414,$E$3:$E413,$E414,$F$3:$F413,$F414,$G$3:$G413,$G414)&gt;0,"DOUBLON","VALIDE")))</f>
        <v/>
      </c>
    </row>
    <row r="415" ht="15" customHeight="1">
      <c r="A415" s="12">
        <f>IF(OR($B415="",$G415=""),"",TEXT($B415,"YYYYMMDD")&amp;"-"&amp;SUBSTITUTE($E415," ","")&amp;"-"&amp;$F415&amp;"-"&amp;$G415)</f>
        <v/>
      </c>
      <c r="B415" s="15" t="n"/>
      <c r="C415" s="16" t="n"/>
      <c r="D415" s="10" t="n"/>
      <c r="E415" s="9" t="n"/>
      <c r="F415" s="9" t="n"/>
      <c r="G415" s="13" t="n"/>
      <c r="H415" s="21" t="n"/>
      <c r="I415" s="21" t="n"/>
      <c r="J415" s="17">
        <f>IF($G415="","",IFERROR(INDEX(NomsEmployes,MATCH($G415,MatriculesEmployes,0)),"MATRICULE INCONNU"))</f>
        <v/>
      </c>
      <c r="K415" s="33">
        <f>IF(OR($D415="",$F415=""),"",IFERROR(IF(INDEX(RUNS!$L$6:$S$1005,MATCH($D415,RUNS!$A$6:$A$1005,0),MATCH("ACTIVITÉ "&amp;$F415,RUNS!$L$5:$S$5,0))="","",INDEX(RUNS!$L$6:$S$1005,MATCH($D415,RUNS!$A$6:$A$1005,0),MATCH("ACTIVITÉ "&amp;$F415,RUNS!$L$5:$S$5,0))),""))</f>
        <v/>
      </c>
      <c r="L415" s="33">
        <f>IF($D415="","",IFERROR(IF(INDEX(RUNS!$E$6:$E$1005,MATCH($D415,RUNS!$A$6:$A$1005,0))="","",INDEX(RUNS!$E$6:$E$1005,MATCH($D415,RUNS!$A$6:$A$1005,0))),""))</f>
        <v/>
      </c>
      <c r="M415" s="33">
        <f>IF($D415="","",IFERROR(IF(INDEX(RUNS!$F$6:$F$1005,MATCH($D415,RUNS!$A$6:$A$1005,0))="","",INDEX(RUNS!$F$6:$F$1005,MATCH($D415,RUNS!$A$6:$A$1005,0))),""))</f>
        <v/>
      </c>
      <c r="N415" s="33">
        <f>IF($D415="","",IFERROR(IF(INDEX(RUNS!$G$6:$G$1005,MATCH($D415,RUNS!$A$6:$A$1005,0))="","",INDEX(RUNS!$G$6:$G$1005,MATCH($D415,RUNS!$A$6:$A$1005,0))),""))</f>
        <v/>
      </c>
      <c r="O415" s="33">
        <f>IF($D415="","",IFERROR(IF(INDEX(RUNS!$H$6:$H$1005,MATCH($D415,RUNS!$A$6:$A$1005,0))="","",INDEX(RUNS!$H$6:$H$1005,MATCH($D415,RUNS!$A$6:$A$1005,0))),""))</f>
        <v/>
      </c>
      <c r="P415" s="33">
        <f>IF($D415="","",IFERROR(IF(INDEX(RUNS!$J$6:$J$1005,MATCH($D415,RUNS!$A$6:$A$1005,0))="","",INDEX(RUNS!$J$6:$J$1005,MATCH($D415,RUNS!$A$6:$A$1005,0))),""))</f>
        <v/>
      </c>
      <c r="Q415" s="33">
        <f>IF($D415="","",IFERROR(IF(INDEX(RUNS!$K$6:$K$1005,MATCH($D415,RUNS!$A$6:$A$1005,0))="","",INDEX(RUNS!$K$6:$K$1005,MATCH($D415,RUNS!$A$6:$A$1005,0))),""))</f>
        <v/>
      </c>
      <c r="R415" s="34">
        <f>IF(OR($L415="",$K415=""),"",IFERROR(IF(INDEX(PARAMETRES!$H$43:$H$342,MATCH($L415&amp;"|"&amp;$M415&amp;"|"&amp;$N415&amp;"|"&amp;$O415&amp;"|"&amp;$P415&amp;"|"&amp;$Q415&amp;"|"&amp;$K415,PARAMETRES!$J$43:$J$342,0))="","",INDEX(PARAMETRES!$H$43:$H$342,MATCH($L415&amp;"|"&amp;$M415&amp;"|"&amp;$N415&amp;"|"&amp;$O415&amp;"|"&amp;$P415&amp;"|"&amp;$Q415&amp;"|"&amp;$K415,PARAMETRES!$J$43:$J$342,0))),""))</f>
        <v/>
      </c>
      <c r="S415" s="35">
        <f>IF(OR($G415="",$X415&lt;&gt;"VALIDE"),"",IFERROR(LOOKUP(2,1/(($B$3:$B414=$B415)*($G$3:$G414=$G415)*($X$3:$X414="VALIDE")),$C$3:$C414),""))</f>
        <v/>
      </c>
      <c r="T415" s="36">
        <f>IF(OR($C415="",$S415=""),"",ROUND(($C415-$S415+IF($C415&lt;$S415,1,0))*1440,0))</f>
        <v/>
      </c>
      <c r="U415" s="22">
        <f>IF(OR($H415="",$T415="",$T415&lt;=0),"",$H415*60/$T415)</f>
        <v/>
      </c>
      <c r="V415" s="37">
        <f>IF(OR($U415="",$R415="",$R415=0),"",$U415/$R415)</f>
        <v/>
      </c>
      <c r="W415" s="20">
        <f>IF($G415="","",IF($X415="CONTEXTE INCOMPLET","CONTEXTE INCOMPLET",IF($X415="DOUBLON",StatutDoublon,IF($S415="",StatutInitial,IF($R415="",StatutStandardManquant,IF($V415="","DONNEES INSUFFISANTES",IF($V415&gt;=SeuilConforme,StatutConforme,IF($V415&gt;=SeuilSurveiller,StatutSurveiller,StatutSousStandard))))))))</f>
        <v/>
      </c>
      <c r="X415" s="33">
        <f>IF($G415="","",IF(OR($D415="",$E415="",$F415=""),"CONTEXTE INCOMPLET",IF(COUNTIFS($D$3:$D414,$D415,$E$3:$E414,$E415,$F$3:$F414,$F415,$G$3:$G414,$G415)&gt;0,"DOUBLON","VALIDE")))</f>
        <v/>
      </c>
    </row>
    <row r="416" ht="15" customHeight="1">
      <c r="A416" s="12">
        <f>IF(OR($B416="",$G416=""),"",TEXT($B416,"YYYYMMDD")&amp;"-"&amp;SUBSTITUTE($E416," ","")&amp;"-"&amp;$F416&amp;"-"&amp;$G416)</f>
        <v/>
      </c>
      <c r="B416" s="15" t="n"/>
      <c r="C416" s="16" t="n"/>
      <c r="D416" s="10" t="n"/>
      <c r="E416" s="9" t="n"/>
      <c r="F416" s="9" t="n"/>
      <c r="G416" s="13" t="n"/>
      <c r="H416" s="21" t="n"/>
      <c r="I416" s="21" t="n"/>
      <c r="J416" s="17">
        <f>IF($G416="","",IFERROR(INDEX(NomsEmployes,MATCH($G416,MatriculesEmployes,0)),"MATRICULE INCONNU"))</f>
        <v/>
      </c>
      <c r="K416" s="33">
        <f>IF(OR($D416="",$F416=""),"",IFERROR(IF(INDEX(RUNS!$L$6:$S$1005,MATCH($D416,RUNS!$A$6:$A$1005,0),MATCH("ACTIVITÉ "&amp;$F416,RUNS!$L$5:$S$5,0))="","",INDEX(RUNS!$L$6:$S$1005,MATCH($D416,RUNS!$A$6:$A$1005,0),MATCH("ACTIVITÉ "&amp;$F416,RUNS!$L$5:$S$5,0))),""))</f>
        <v/>
      </c>
      <c r="L416" s="33">
        <f>IF($D416="","",IFERROR(IF(INDEX(RUNS!$E$6:$E$1005,MATCH($D416,RUNS!$A$6:$A$1005,0))="","",INDEX(RUNS!$E$6:$E$1005,MATCH($D416,RUNS!$A$6:$A$1005,0))),""))</f>
        <v/>
      </c>
      <c r="M416" s="33">
        <f>IF($D416="","",IFERROR(IF(INDEX(RUNS!$F$6:$F$1005,MATCH($D416,RUNS!$A$6:$A$1005,0))="","",INDEX(RUNS!$F$6:$F$1005,MATCH($D416,RUNS!$A$6:$A$1005,0))),""))</f>
        <v/>
      </c>
      <c r="N416" s="33">
        <f>IF($D416="","",IFERROR(IF(INDEX(RUNS!$G$6:$G$1005,MATCH($D416,RUNS!$A$6:$A$1005,0))="","",INDEX(RUNS!$G$6:$G$1005,MATCH($D416,RUNS!$A$6:$A$1005,0))),""))</f>
        <v/>
      </c>
      <c r="O416" s="33">
        <f>IF($D416="","",IFERROR(IF(INDEX(RUNS!$H$6:$H$1005,MATCH($D416,RUNS!$A$6:$A$1005,0))="","",INDEX(RUNS!$H$6:$H$1005,MATCH($D416,RUNS!$A$6:$A$1005,0))),""))</f>
        <v/>
      </c>
      <c r="P416" s="33">
        <f>IF($D416="","",IFERROR(IF(INDEX(RUNS!$J$6:$J$1005,MATCH($D416,RUNS!$A$6:$A$1005,0))="","",INDEX(RUNS!$J$6:$J$1005,MATCH($D416,RUNS!$A$6:$A$1005,0))),""))</f>
        <v/>
      </c>
      <c r="Q416" s="33">
        <f>IF($D416="","",IFERROR(IF(INDEX(RUNS!$K$6:$K$1005,MATCH($D416,RUNS!$A$6:$A$1005,0))="","",INDEX(RUNS!$K$6:$K$1005,MATCH($D416,RUNS!$A$6:$A$1005,0))),""))</f>
        <v/>
      </c>
      <c r="R416" s="34">
        <f>IF(OR($L416="",$K416=""),"",IFERROR(IF(INDEX(PARAMETRES!$H$43:$H$342,MATCH($L416&amp;"|"&amp;$M416&amp;"|"&amp;$N416&amp;"|"&amp;$O416&amp;"|"&amp;$P416&amp;"|"&amp;$Q416&amp;"|"&amp;$K416,PARAMETRES!$J$43:$J$342,0))="","",INDEX(PARAMETRES!$H$43:$H$342,MATCH($L416&amp;"|"&amp;$M416&amp;"|"&amp;$N416&amp;"|"&amp;$O416&amp;"|"&amp;$P416&amp;"|"&amp;$Q416&amp;"|"&amp;$K416,PARAMETRES!$J$43:$J$342,0))),""))</f>
        <v/>
      </c>
      <c r="S416" s="35">
        <f>IF(OR($G416="",$X416&lt;&gt;"VALIDE"),"",IFERROR(LOOKUP(2,1/(($B$3:$B415=$B416)*($G$3:$G415=$G416)*($X$3:$X415="VALIDE")),$C$3:$C415),""))</f>
        <v/>
      </c>
      <c r="T416" s="36">
        <f>IF(OR($C416="",$S416=""),"",ROUND(($C416-$S416+IF($C416&lt;$S416,1,0))*1440,0))</f>
        <v/>
      </c>
      <c r="U416" s="22">
        <f>IF(OR($H416="",$T416="",$T416&lt;=0),"",$H416*60/$T416)</f>
        <v/>
      </c>
      <c r="V416" s="37">
        <f>IF(OR($U416="",$R416="",$R416=0),"",$U416/$R416)</f>
        <v/>
      </c>
      <c r="W416" s="20">
        <f>IF($G416="","",IF($X416="CONTEXTE INCOMPLET","CONTEXTE INCOMPLET",IF($X416="DOUBLON",StatutDoublon,IF($S416="",StatutInitial,IF($R416="",StatutStandardManquant,IF($V416="","DONNEES INSUFFISANTES",IF($V416&gt;=SeuilConforme,StatutConforme,IF($V416&gt;=SeuilSurveiller,StatutSurveiller,StatutSousStandard))))))))</f>
        <v/>
      </c>
      <c r="X416" s="33">
        <f>IF($G416="","",IF(OR($D416="",$E416="",$F416=""),"CONTEXTE INCOMPLET",IF(COUNTIFS($D$3:$D415,$D416,$E$3:$E415,$E416,$F$3:$F415,$F416,$G$3:$G415,$G416)&gt;0,"DOUBLON","VALIDE")))</f>
        <v/>
      </c>
    </row>
    <row r="417" ht="15" customHeight="1">
      <c r="A417" s="12">
        <f>IF(OR($B417="",$G417=""),"",TEXT($B417,"YYYYMMDD")&amp;"-"&amp;SUBSTITUTE($E417," ","")&amp;"-"&amp;$F417&amp;"-"&amp;$G417)</f>
        <v/>
      </c>
      <c r="B417" s="15" t="n"/>
      <c r="C417" s="16" t="n"/>
      <c r="D417" s="10" t="n"/>
      <c r="E417" s="9" t="n"/>
      <c r="F417" s="9" t="n"/>
      <c r="G417" s="13" t="n"/>
      <c r="H417" s="21" t="n"/>
      <c r="I417" s="21" t="n"/>
      <c r="J417" s="17">
        <f>IF($G417="","",IFERROR(INDEX(NomsEmployes,MATCH($G417,MatriculesEmployes,0)),"MATRICULE INCONNU"))</f>
        <v/>
      </c>
      <c r="K417" s="33">
        <f>IF(OR($D417="",$F417=""),"",IFERROR(IF(INDEX(RUNS!$L$6:$S$1005,MATCH($D417,RUNS!$A$6:$A$1005,0),MATCH("ACTIVITÉ "&amp;$F417,RUNS!$L$5:$S$5,0))="","",INDEX(RUNS!$L$6:$S$1005,MATCH($D417,RUNS!$A$6:$A$1005,0),MATCH("ACTIVITÉ "&amp;$F417,RUNS!$L$5:$S$5,0))),""))</f>
        <v/>
      </c>
      <c r="L417" s="33">
        <f>IF($D417="","",IFERROR(IF(INDEX(RUNS!$E$6:$E$1005,MATCH($D417,RUNS!$A$6:$A$1005,0))="","",INDEX(RUNS!$E$6:$E$1005,MATCH($D417,RUNS!$A$6:$A$1005,0))),""))</f>
        <v/>
      </c>
      <c r="M417" s="33">
        <f>IF($D417="","",IFERROR(IF(INDEX(RUNS!$F$6:$F$1005,MATCH($D417,RUNS!$A$6:$A$1005,0))="","",INDEX(RUNS!$F$6:$F$1005,MATCH($D417,RUNS!$A$6:$A$1005,0))),""))</f>
        <v/>
      </c>
      <c r="N417" s="33">
        <f>IF($D417="","",IFERROR(IF(INDEX(RUNS!$G$6:$G$1005,MATCH($D417,RUNS!$A$6:$A$1005,0))="","",INDEX(RUNS!$G$6:$G$1005,MATCH($D417,RUNS!$A$6:$A$1005,0))),""))</f>
        <v/>
      </c>
      <c r="O417" s="33">
        <f>IF($D417="","",IFERROR(IF(INDEX(RUNS!$H$6:$H$1005,MATCH($D417,RUNS!$A$6:$A$1005,0))="","",INDEX(RUNS!$H$6:$H$1005,MATCH($D417,RUNS!$A$6:$A$1005,0))),""))</f>
        <v/>
      </c>
      <c r="P417" s="33">
        <f>IF($D417="","",IFERROR(IF(INDEX(RUNS!$J$6:$J$1005,MATCH($D417,RUNS!$A$6:$A$1005,0))="","",INDEX(RUNS!$J$6:$J$1005,MATCH($D417,RUNS!$A$6:$A$1005,0))),""))</f>
        <v/>
      </c>
      <c r="Q417" s="33">
        <f>IF($D417="","",IFERROR(IF(INDEX(RUNS!$K$6:$K$1005,MATCH($D417,RUNS!$A$6:$A$1005,0))="","",INDEX(RUNS!$K$6:$K$1005,MATCH($D417,RUNS!$A$6:$A$1005,0))),""))</f>
        <v/>
      </c>
      <c r="R417" s="34">
        <f>IF(OR($L417="",$K417=""),"",IFERROR(IF(INDEX(PARAMETRES!$H$43:$H$342,MATCH($L417&amp;"|"&amp;$M417&amp;"|"&amp;$N417&amp;"|"&amp;$O417&amp;"|"&amp;$P417&amp;"|"&amp;$Q417&amp;"|"&amp;$K417,PARAMETRES!$J$43:$J$342,0))="","",INDEX(PARAMETRES!$H$43:$H$342,MATCH($L417&amp;"|"&amp;$M417&amp;"|"&amp;$N417&amp;"|"&amp;$O417&amp;"|"&amp;$P417&amp;"|"&amp;$Q417&amp;"|"&amp;$K417,PARAMETRES!$J$43:$J$342,0))),""))</f>
        <v/>
      </c>
      <c r="S417" s="35">
        <f>IF(OR($G417="",$X417&lt;&gt;"VALIDE"),"",IFERROR(LOOKUP(2,1/(($B$3:$B416=$B417)*($G$3:$G416=$G417)*($X$3:$X416="VALIDE")),$C$3:$C416),""))</f>
        <v/>
      </c>
      <c r="T417" s="36">
        <f>IF(OR($C417="",$S417=""),"",ROUND(($C417-$S417+IF($C417&lt;$S417,1,0))*1440,0))</f>
        <v/>
      </c>
      <c r="U417" s="22">
        <f>IF(OR($H417="",$T417="",$T417&lt;=0),"",$H417*60/$T417)</f>
        <v/>
      </c>
      <c r="V417" s="37">
        <f>IF(OR($U417="",$R417="",$R417=0),"",$U417/$R417)</f>
        <v/>
      </c>
      <c r="W417" s="20">
        <f>IF($G417="","",IF($X417="CONTEXTE INCOMPLET","CONTEXTE INCOMPLET",IF($X417="DOUBLON",StatutDoublon,IF($S417="",StatutInitial,IF($R417="",StatutStandardManquant,IF($V417="","DONNEES INSUFFISANTES",IF($V417&gt;=SeuilConforme,StatutConforme,IF($V417&gt;=SeuilSurveiller,StatutSurveiller,StatutSousStandard))))))))</f>
        <v/>
      </c>
      <c r="X417" s="33">
        <f>IF($G417="","",IF(OR($D417="",$E417="",$F417=""),"CONTEXTE INCOMPLET",IF(COUNTIFS($D$3:$D416,$D417,$E$3:$E416,$E417,$F$3:$F416,$F417,$G$3:$G416,$G417)&gt;0,"DOUBLON","VALIDE")))</f>
        <v/>
      </c>
    </row>
    <row r="418" ht="15" customHeight="1">
      <c r="A418" s="12">
        <f>IF(OR($B418="",$G418=""),"",TEXT($B418,"YYYYMMDD")&amp;"-"&amp;SUBSTITUTE($E418," ","")&amp;"-"&amp;$F418&amp;"-"&amp;$G418)</f>
        <v/>
      </c>
      <c r="B418" s="15" t="n"/>
      <c r="C418" s="16" t="n"/>
      <c r="D418" s="10" t="n"/>
      <c r="E418" s="9" t="n"/>
      <c r="F418" s="9" t="n"/>
      <c r="G418" s="13" t="n"/>
      <c r="H418" s="21" t="n"/>
      <c r="I418" s="21" t="n"/>
      <c r="J418" s="17">
        <f>IF($G418="","",IFERROR(INDEX(NomsEmployes,MATCH($G418,MatriculesEmployes,0)),"MATRICULE INCONNU"))</f>
        <v/>
      </c>
      <c r="K418" s="33">
        <f>IF(OR($D418="",$F418=""),"",IFERROR(IF(INDEX(RUNS!$L$6:$S$1005,MATCH($D418,RUNS!$A$6:$A$1005,0),MATCH("ACTIVITÉ "&amp;$F418,RUNS!$L$5:$S$5,0))="","",INDEX(RUNS!$L$6:$S$1005,MATCH($D418,RUNS!$A$6:$A$1005,0),MATCH("ACTIVITÉ "&amp;$F418,RUNS!$L$5:$S$5,0))),""))</f>
        <v/>
      </c>
      <c r="L418" s="33">
        <f>IF($D418="","",IFERROR(IF(INDEX(RUNS!$E$6:$E$1005,MATCH($D418,RUNS!$A$6:$A$1005,0))="","",INDEX(RUNS!$E$6:$E$1005,MATCH($D418,RUNS!$A$6:$A$1005,0))),""))</f>
        <v/>
      </c>
      <c r="M418" s="33">
        <f>IF($D418="","",IFERROR(IF(INDEX(RUNS!$F$6:$F$1005,MATCH($D418,RUNS!$A$6:$A$1005,0))="","",INDEX(RUNS!$F$6:$F$1005,MATCH($D418,RUNS!$A$6:$A$1005,0))),""))</f>
        <v/>
      </c>
      <c r="N418" s="33">
        <f>IF($D418="","",IFERROR(IF(INDEX(RUNS!$G$6:$G$1005,MATCH($D418,RUNS!$A$6:$A$1005,0))="","",INDEX(RUNS!$G$6:$G$1005,MATCH($D418,RUNS!$A$6:$A$1005,0))),""))</f>
        <v/>
      </c>
      <c r="O418" s="33">
        <f>IF($D418="","",IFERROR(IF(INDEX(RUNS!$H$6:$H$1005,MATCH($D418,RUNS!$A$6:$A$1005,0))="","",INDEX(RUNS!$H$6:$H$1005,MATCH($D418,RUNS!$A$6:$A$1005,0))),""))</f>
        <v/>
      </c>
      <c r="P418" s="33">
        <f>IF($D418="","",IFERROR(IF(INDEX(RUNS!$J$6:$J$1005,MATCH($D418,RUNS!$A$6:$A$1005,0))="","",INDEX(RUNS!$J$6:$J$1005,MATCH($D418,RUNS!$A$6:$A$1005,0))),""))</f>
        <v/>
      </c>
      <c r="Q418" s="33">
        <f>IF($D418="","",IFERROR(IF(INDEX(RUNS!$K$6:$K$1005,MATCH($D418,RUNS!$A$6:$A$1005,0))="","",INDEX(RUNS!$K$6:$K$1005,MATCH($D418,RUNS!$A$6:$A$1005,0))),""))</f>
        <v/>
      </c>
      <c r="R418" s="34">
        <f>IF(OR($L418="",$K418=""),"",IFERROR(IF(INDEX(PARAMETRES!$H$43:$H$342,MATCH($L418&amp;"|"&amp;$M418&amp;"|"&amp;$N418&amp;"|"&amp;$O418&amp;"|"&amp;$P418&amp;"|"&amp;$Q418&amp;"|"&amp;$K418,PARAMETRES!$J$43:$J$342,0))="","",INDEX(PARAMETRES!$H$43:$H$342,MATCH($L418&amp;"|"&amp;$M418&amp;"|"&amp;$N418&amp;"|"&amp;$O418&amp;"|"&amp;$P418&amp;"|"&amp;$Q418&amp;"|"&amp;$K418,PARAMETRES!$J$43:$J$342,0))),""))</f>
        <v/>
      </c>
      <c r="S418" s="35">
        <f>IF(OR($G418="",$X418&lt;&gt;"VALIDE"),"",IFERROR(LOOKUP(2,1/(($B$3:$B417=$B418)*($G$3:$G417=$G418)*($X$3:$X417="VALIDE")),$C$3:$C417),""))</f>
        <v/>
      </c>
      <c r="T418" s="36">
        <f>IF(OR($C418="",$S418=""),"",ROUND(($C418-$S418+IF($C418&lt;$S418,1,0))*1440,0))</f>
        <v/>
      </c>
      <c r="U418" s="22">
        <f>IF(OR($H418="",$T418="",$T418&lt;=0),"",$H418*60/$T418)</f>
        <v/>
      </c>
      <c r="V418" s="37">
        <f>IF(OR($U418="",$R418="",$R418=0),"",$U418/$R418)</f>
        <v/>
      </c>
      <c r="W418" s="20">
        <f>IF($G418="","",IF($X418="CONTEXTE INCOMPLET","CONTEXTE INCOMPLET",IF($X418="DOUBLON",StatutDoublon,IF($S418="",StatutInitial,IF($R418="",StatutStandardManquant,IF($V418="","DONNEES INSUFFISANTES",IF($V418&gt;=SeuilConforme,StatutConforme,IF($V418&gt;=SeuilSurveiller,StatutSurveiller,StatutSousStandard))))))))</f>
        <v/>
      </c>
      <c r="X418" s="33">
        <f>IF($G418="","",IF(OR($D418="",$E418="",$F418=""),"CONTEXTE INCOMPLET",IF(COUNTIFS($D$3:$D417,$D418,$E$3:$E417,$E418,$F$3:$F417,$F418,$G$3:$G417,$G418)&gt;0,"DOUBLON","VALIDE")))</f>
        <v/>
      </c>
    </row>
    <row r="419" ht="15" customHeight="1">
      <c r="A419" s="12">
        <f>IF(OR($B419="",$G419=""),"",TEXT($B419,"YYYYMMDD")&amp;"-"&amp;SUBSTITUTE($E419," ","")&amp;"-"&amp;$F419&amp;"-"&amp;$G419)</f>
        <v/>
      </c>
      <c r="B419" s="15" t="n"/>
      <c r="C419" s="16" t="n"/>
      <c r="D419" s="10" t="n"/>
      <c r="E419" s="9" t="n"/>
      <c r="F419" s="9" t="n"/>
      <c r="G419" s="13" t="n"/>
      <c r="H419" s="21" t="n"/>
      <c r="I419" s="21" t="n"/>
      <c r="J419" s="17">
        <f>IF($G419="","",IFERROR(INDEX(NomsEmployes,MATCH($G419,MatriculesEmployes,0)),"MATRICULE INCONNU"))</f>
        <v/>
      </c>
      <c r="K419" s="33">
        <f>IF(OR($D419="",$F419=""),"",IFERROR(IF(INDEX(RUNS!$L$6:$S$1005,MATCH($D419,RUNS!$A$6:$A$1005,0),MATCH("ACTIVITÉ "&amp;$F419,RUNS!$L$5:$S$5,0))="","",INDEX(RUNS!$L$6:$S$1005,MATCH($D419,RUNS!$A$6:$A$1005,0),MATCH("ACTIVITÉ "&amp;$F419,RUNS!$L$5:$S$5,0))),""))</f>
        <v/>
      </c>
      <c r="L419" s="33">
        <f>IF($D419="","",IFERROR(IF(INDEX(RUNS!$E$6:$E$1005,MATCH($D419,RUNS!$A$6:$A$1005,0))="","",INDEX(RUNS!$E$6:$E$1005,MATCH($D419,RUNS!$A$6:$A$1005,0))),""))</f>
        <v/>
      </c>
      <c r="M419" s="33">
        <f>IF($D419="","",IFERROR(IF(INDEX(RUNS!$F$6:$F$1005,MATCH($D419,RUNS!$A$6:$A$1005,0))="","",INDEX(RUNS!$F$6:$F$1005,MATCH($D419,RUNS!$A$6:$A$1005,0))),""))</f>
        <v/>
      </c>
      <c r="N419" s="33">
        <f>IF($D419="","",IFERROR(IF(INDEX(RUNS!$G$6:$G$1005,MATCH($D419,RUNS!$A$6:$A$1005,0))="","",INDEX(RUNS!$G$6:$G$1005,MATCH($D419,RUNS!$A$6:$A$1005,0))),""))</f>
        <v/>
      </c>
      <c r="O419" s="33">
        <f>IF($D419="","",IFERROR(IF(INDEX(RUNS!$H$6:$H$1005,MATCH($D419,RUNS!$A$6:$A$1005,0))="","",INDEX(RUNS!$H$6:$H$1005,MATCH($D419,RUNS!$A$6:$A$1005,0))),""))</f>
        <v/>
      </c>
      <c r="P419" s="33">
        <f>IF($D419="","",IFERROR(IF(INDEX(RUNS!$J$6:$J$1005,MATCH($D419,RUNS!$A$6:$A$1005,0))="","",INDEX(RUNS!$J$6:$J$1005,MATCH($D419,RUNS!$A$6:$A$1005,0))),""))</f>
        <v/>
      </c>
      <c r="Q419" s="33">
        <f>IF($D419="","",IFERROR(IF(INDEX(RUNS!$K$6:$K$1005,MATCH($D419,RUNS!$A$6:$A$1005,0))="","",INDEX(RUNS!$K$6:$K$1005,MATCH($D419,RUNS!$A$6:$A$1005,0))),""))</f>
        <v/>
      </c>
      <c r="R419" s="34">
        <f>IF(OR($L419="",$K419=""),"",IFERROR(IF(INDEX(PARAMETRES!$H$43:$H$342,MATCH($L419&amp;"|"&amp;$M419&amp;"|"&amp;$N419&amp;"|"&amp;$O419&amp;"|"&amp;$P419&amp;"|"&amp;$Q419&amp;"|"&amp;$K419,PARAMETRES!$J$43:$J$342,0))="","",INDEX(PARAMETRES!$H$43:$H$342,MATCH($L419&amp;"|"&amp;$M419&amp;"|"&amp;$N419&amp;"|"&amp;$O419&amp;"|"&amp;$P419&amp;"|"&amp;$Q419&amp;"|"&amp;$K419,PARAMETRES!$J$43:$J$342,0))),""))</f>
        <v/>
      </c>
      <c r="S419" s="35">
        <f>IF(OR($G419="",$X419&lt;&gt;"VALIDE"),"",IFERROR(LOOKUP(2,1/(($B$3:$B418=$B419)*($G$3:$G418=$G419)*($X$3:$X418="VALIDE")),$C$3:$C418),""))</f>
        <v/>
      </c>
      <c r="T419" s="36">
        <f>IF(OR($C419="",$S419=""),"",ROUND(($C419-$S419+IF($C419&lt;$S419,1,0))*1440,0))</f>
        <v/>
      </c>
      <c r="U419" s="22">
        <f>IF(OR($H419="",$T419="",$T419&lt;=0),"",$H419*60/$T419)</f>
        <v/>
      </c>
      <c r="V419" s="37">
        <f>IF(OR($U419="",$R419="",$R419=0),"",$U419/$R419)</f>
        <v/>
      </c>
      <c r="W419" s="20">
        <f>IF($G419="","",IF($X419="CONTEXTE INCOMPLET","CONTEXTE INCOMPLET",IF($X419="DOUBLON",StatutDoublon,IF($S419="",StatutInitial,IF($R419="",StatutStandardManquant,IF($V419="","DONNEES INSUFFISANTES",IF($V419&gt;=SeuilConforme,StatutConforme,IF($V419&gt;=SeuilSurveiller,StatutSurveiller,StatutSousStandard))))))))</f>
        <v/>
      </c>
      <c r="X419" s="33">
        <f>IF($G419="","",IF(OR($D419="",$E419="",$F419=""),"CONTEXTE INCOMPLET",IF(COUNTIFS($D$3:$D418,$D419,$E$3:$E418,$E419,$F$3:$F418,$F419,$G$3:$G418,$G419)&gt;0,"DOUBLON","VALIDE")))</f>
        <v/>
      </c>
    </row>
    <row r="420" ht="15" customHeight="1">
      <c r="A420" s="12">
        <f>IF(OR($B420="",$G420=""),"",TEXT($B420,"YYYYMMDD")&amp;"-"&amp;SUBSTITUTE($E420," ","")&amp;"-"&amp;$F420&amp;"-"&amp;$G420)</f>
        <v/>
      </c>
      <c r="B420" s="15" t="n"/>
      <c r="C420" s="16" t="n"/>
      <c r="D420" s="10" t="n"/>
      <c r="E420" s="9" t="n"/>
      <c r="F420" s="9" t="n"/>
      <c r="G420" s="13" t="n"/>
      <c r="H420" s="21" t="n"/>
      <c r="I420" s="21" t="n"/>
      <c r="J420" s="17">
        <f>IF($G420="","",IFERROR(INDEX(NomsEmployes,MATCH($G420,MatriculesEmployes,0)),"MATRICULE INCONNU"))</f>
        <v/>
      </c>
      <c r="K420" s="33">
        <f>IF(OR($D420="",$F420=""),"",IFERROR(IF(INDEX(RUNS!$L$6:$S$1005,MATCH($D420,RUNS!$A$6:$A$1005,0),MATCH("ACTIVITÉ "&amp;$F420,RUNS!$L$5:$S$5,0))="","",INDEX(RUNS!$L$6:$S$1005,MATCH($D420,RUNS!$A$6:$A$1005,0),MATCH("ACTIVITÉ "&amp;$F420,RUNS!$L$5:$S$5,0))),""))</f>
        <v/>
      </c>
      <c r="L420" s="33">
        <f>IF($D420="","",IFERROR(IF(INDEX(RUNS!$E$6:$E$1005,MATCH($D420,RUNS!$A$6:$A$1005,0))="","",INDEX(RUNS!$E$6:$E$1005,MATCH($D420,RUNS!$A$6:$A$1005,0))),""))</f>
        <v/>
      </c>
      <c r="M420" s="33">
        <f>IF($D420="","",IFERROR(IF(INDEX(RUNS!$F$6:$F$1005,MATCH($D420,RUNS!$A$6:$A$1005,0))="","",INDEX(RUNS!$F$6:$F$1005,MATCH($D420,RUNS!$A$6:$A$1005,0))),""))</f>
        <v/>
      </c>
      <c r="N420" s="33">
        <f>IF($D420="","",IFERROR(IF(INDEX(RUNS!$G$6:$G$1005,MATCH($D420,RUNS!$A$6:$A$1005,0))="","",INDEX(RUNS!$G$6:$G$1005,MATCH($D420,RUNS!$A$6:$A$1005,0))),""))</f>
        <v/>
      </c>
      <c r="O420" s="33">
        <f>IF($D420="","",IFERROR(IF(INDEX(RUNS!$H$6:$H$1005,MATCH($D420,RUNS!$A$6:$A$1005,0))="","",INDEX(RUNS!$H$6:$H$1005,MATCH($D420,RUNS!$A$6:$A$1005,0))),""))</f>
        <v/>
      </c>
      <c r="P420" s="33">
        <f>IF($D420="","",IFERROR(IF(INDEX(RUNS!$J$6:$J$1005,MATCH($D420,RUNS!$A$6:$A$1005,0))="","",INDEX(RUNS!$J$6:$J$1005,MATCH($D420,RUNS!$A$6:$A$1005,0))),""))</f>
        <v/>
      </c>
      <c r="Q420" s="33">
        <f>IF($D420="","",IFERROR(IF(INDEX(RUNS!$K$6:$K$1005,MATCH($D420,RUNS!$A$6:$A$1005,0))="","",INDEX(RUNS!$K$6:$K$1005,MATCH($D420,RUNS!$A$6:$A$1005,0))),""))</f>
        <v/>
      </c>
      <c r="R420" s="34">
        <f>IF(OR($L420="",$K420=""),"",IFERROR(IF(INDEX(PARAMETRES!$H$43:$H$342,MATCH($L420&amp;"|"&amp;$M420&amp;"|"&amp;$N420&amp;"|"&amp;$O420&amp;"|"&amp;$P420&amp;"|"&amp;$Q420&amp;"|"&amp;$K420,PARAMETRES!$J$43:$J$342,0))="","",INDEX(PARAMETRES!$H$43:$H$342,MATCH($L420&amp;"|"&amp;$M420&amp;"|"&amp;$N420&amp;"|"&amp;$O420&amp;"|"&amp;$P420&amp;"|"&amp;$Q420&amp;"|"&amp;$K420,PARAMETRES!$J$43:$J$342,0))),""))</f>
        <v/>
      </c>
      <c r="S420" s="35">
        <f>IF(OR($G420="",$X420&lt;&gt;"VALIDE"),"",IFERROR(LOOKUP(2,1/(($B$3:$B419=$B420)*($G$3:$G419=$G420)*($X$3:$X419="VALIDE")),$C$3:$C419),""))</f>
        <v/>
      </c>
      <c r="T420" s="36">
        <f>IF(OR($C420="",$S420=""),"",ROUND(($C420-$S420+IF($C420&lt;$S420,1,0))*1440,0))</f>
        <v/>
      </c>
      <c r="U420" s="22">
        <f>IF(OR($H420="",$T420="",$T420&lt;=0),"",$H420*60/$T420)</f>
        <v/>
      </c>
      <c r="V420" s="37">
        <f>IF(OR($U420="",$R420="",$R420=0),"",$U420/$R420)</f>
        <v/>
      </c>
      <c r="W420" s="20">
        <f>IF($G420="","",IF($X420="CONTEXTE INCOMPLET","CONTEXTE INCOMPLET",IF($X420="DOUBLON",StatutDoublon,IF($S420="",StatutInitial,IF($R420="",StatutStandardManquant,IF($V420="","DONNEES INSUFFISANTES",IF($V420&gt;=SeuilConforme,StatutConforme,IF($V420&gt;=SeuilSurveiller,StatutSurveiller,StatutSousStandard))))))))</f>
        <v/>
      </c>
      <c r="X420" s="33">
        <f>IF($G420="","",IF(OR($D420="",$E420="",$F420=""),"CONTEXTE INCOMPLET",IF(COUNTIFS($D$3:$D419,$D420,$E$3:$E419,$E420,$F$3:$F419,$F420,$G$3:$G419,$G420)&gt;0,"DOUBLON","VALIDE")))</f>
        <v/>
      </c>
    </row>
    <row r="421" ht="15" customHeight="1">
      <c r="A421" s="12">
        <f>IF(OR($B421="",$G421=""),"",TEXT($B421,"YYYYMMDD")&amp;"-"&amp;SUBSTITUTE($E421," ","")&amp;"-"&amp;$F421&amp;"-"&amp;$G421)</f>
        <v/>
      </c>
      <c r="B421" s="15" t="n"/>
      <c r="C421" s="16" t="n"/>
      <c r="D421" s="10" t="n"/>
      <c r="E421" s="9" t="n"/>
      <c r="F421" s="9" t="n"/>
      <c r="G421" s="13" t="n"/>
      <c r="H421" s="21" t="n"/>
      <c r="I421" s="21" t="n"/>
      <c r="J421" s="17">
        <f>IF($G421="","",IFERROR(INDEX(NomsEmployes,MATCH($G421,MatriculesEmployes,0)),"MATRICULE INCONNU"))</f>
        <v/>
      </c>
      <c r="K421" s="33">
        <f>IF(OR($D421="",$F421=""),"",IFERROR(IF(INDEX(RUNS!$L$6:$S$1005,MATCH($D421,RUNS!$A$6:$A$1005,0),MATCH("ACTIVITÉ "&amp;$F421,RUNS!$L$5:$S$5,0))="","",INDEX(RUNS!$L$6:$S$1005,MATCH($D421,RUNS!$A$6:$A$1005,0),MATCH("ACTIVITÉ "&amp;$F421,RUNS!$L$5:$S$5,0))),""))</f>
        <v/>
      </c>
      <c r="L421" s="33">
        <f>IF($D421="","",IFERROR(IF(INDEX(RUNS!$E$6:$E$1005,MATCH($D421,RUNS!$A$6:$A$1005,0))="","",INDEX(RUNS!$E$6:$E$1005,MATCH($D421,RUNS!$A$6:$A$1005,0))),""))</f>
        <v/>
      </c>
      <c r="M421" s="33">
        <f>IF($D421="","",IFERROR(IF(INDEX(RUNS!$F$6:$F$1005,MATCH($D421,RUNS!$A$6:$A$1005,0))="","",INDEX(RUNS!$F$6:$F$1005,MATCH($D421,RUNS!$A$6:$A$1005,0))),""))</f>
        <v/>
      </c>
      <c r="N421" s="33">
        <f>IF($D421="","",IFERROR(IF(INDEX(RUNS!$G$6:$G$1005,MATCH($D421,RUNS!$A$6:$A$1005,0))="","",INDEX(RUNS!$G$6:$G$1005,MATCH($D421,RUNS!$A$6:$A$1005,0))),""))</f>
        <v/>
      </c>
      <c r="O421" s="33">
        <f>IF($D421="","",IFERROR(IF(INDEX(RUNS!$H$6:$H$1005,MATCH($D421,RUNS!$A$6:$A$1005,0))="","",INDEX(RUNS!$H$6:$H$1005,MATCH($D421,RUNS!$A$6:$A$1005,0))),""))</f>
        <v/>
      </c>
      <c r="P421" s="33">
        <f>IF($D421="","",IFERROR(IF(INDEX(RUNS!$J$6:$J$1005,MATCH($D421,RUNS!$A$6:$A$1005,0))="","",INDEX(RUNS!$J$6:$J$1005,MATCH($D421,RUNS!$A$6:$A$1005,0))),""))</f>
        <v/>
      </c>
      <c r="Q421" s="33">
        <f>IF($D421="","",IFERROR(IF(INDEX(RUNS!$K$6:$K$1005,MATCH($D421,RUNS!$A$6:$A$1005,0))="","",INDEX(RUNS!$K$6:$K$1005,MATCH($D421,RUNS!$A$6:$A$1005,0))),""))</f>
        <v/>
      </c>
      <c r="R421" s="34">
        <f>IF(OR($L421="",$K421=""),"",IFERROR(IF(INDEX(PARAMETRES!$H$43:$H$342,MATCH($L421&amp;"|"&amp;$M421&amp;"|"&amp;$N421&amp;"|"&amp;$O421&amp;"|"&amp;$P421&amp;"|"&amp;$Q421&amp;"|"&amp;$K421,PARAMETRES!$J$43:$J$342,0))="","",INDEX(PARAMETRES!$H$43:$H$342,MATCH($L421&amp;"|"&amp;$M421&amp;"|"&amp;$N421&amp;"|"&amp;$O421&amp;"|"&amp;$P421&amp;"|"&amp;$Q421&amp;"|"&amp;$K421,PARAMETRES!$J$43:$J$342,0))),""))</f>
        <v/>
      </c>
      <c r="S421" s="35">
        <f>IF(OR($G421="",$X421&lt;&gt;"VALIDE"),"",IFERROR(LOOKUP(2,1/(($B$3:$B420=$B421)*($G$3:$G420=$G421)*($X$3:$X420="VALIDE")),$C$3:$C420),""))</f>
        <v/>
      </c>
      <c r="T421" s="36">
        <f>IF(OR($C421="",$S421=""),"",ROUND(($C421-$S421+IF($C421&lt;$S421,1,0))*1440,0))</f>
        <v/>
      </c>
      <c r="U421" s="22">
        <f>IF(OR($H421="",$T421="",$T421&lt;=0),"",$H421*60/$T421)</f>
        <v/>
      </c>
      <c r="V421" s="37">
        <f>IF(OR($U421="",$R421="",$R421=0),"",$U421/$R421)</f>
        <v/>
      </c>
      <c r="W421" s="20">
        <f>IF($G421="","",IF($X421="CONTEXTE INCOMPLET","CONTEXTE INCOMPLET",IF($X421="DOUBLON",StatutDoublon,IF($S421="",StatutInitial,IF($R421="",StatutStandardManquant,IF($V421="","DONNEES INSUFFISANTES",IF($V421&gt;=SeuilConforme,StatutConforme,IF($V421&gt;=SeuilSurveiller,StatutSurveiller,StatutSousStandard))))))))</f>
        <v/>
      </c>
      <c r="X421" s="33">
        <f>IF($G421="","",IF(OR($D421="",$E421="",$F421=""),"CONTEXTE INCOMPLET",IF(COUNTIFS($D$3:$D420,$D421,$E$3:$E420,$E421,$F$3:$F420,$F421,$G$3:$G420,$G421)&gt;0,"DOUBLON","VALIDE")))</f>
        <v/>
      </c>
    </row>
    <row r="422" ht="15" customHeight="1">
      <c r="A422" s="12">
        <f>IF(OR($B422="",$G422=""),"",TEXT($B422,"YYYYMMDD")&amp;"-"&amp;SUBSTITUTE($E422," ","")&amp;"-"&amp;$F422&amp;"-"&amp;$G422)</f>
        <v/>
      </c>
      <c r="B422" s="15" t="n"/>
      <c r="C422" s="16" t="n"/>
      <c r="D422" s="10" t="n"/>
      <c r="E422" s="9" t="n"/>
      <c r="F422" s="9" t="n"/>
      <c r="G422" s="13" t="n"/>
      <c r="H422" s="21" t="n"/>
      <c r="I422" s="21" t="n"/>
      <c r="J422" s="17">
        <f>IF($G422="","",IFERROR(INDEX(NomsEmployes,MATCH($G422,MatriculesEmployes,0)),"MATRICULE INCONNU"))</f>
        <v/>
      </c>
      <c r="K422" s="33">
        <f>IF(OR($D422="",$F422=""),"",IFERROR(IF(INDEX(RUNS!$L$6:$S$1005,MATCH($D422,RUNS!$A$6:$A$1005,0),MATCH("ACTIVITÉ "&amp;$F422,RUNS!$L$5:$S$5,0))="","",INDEX(RUNS!$L$6:$S$1005,MATCH($D422,RUNS!$A$6:$A$1005,0),MATCH("ACTIVITÉ "&amp;$F422,RUNS!$L$5:$S$5,0))),""))</f>
        <v/>
      </c>
      <c r="L422" s="33">
        <f>IF($D422="","",IFERROR(IF(INDEX(RUNS!$E$6:$E$1005,MATCH($D422,RUNS!$A$6:$A$1005,0))="","",INDEX(RUNS!$E$6:$E$1005,MATCH($D422,RUNS!$A$6:$A$1005,0))),""))</f>
        <v/>
      </c>
      <c r="M422" s="33">
        <f>IF($D422="","",IFERROR(IF(INDEX(RUNS!$F$6:$F$1005,MATCH($D422,RUNS!$A$6:$A$1005,0))="","",INDEX(RUNS!$F$6:$F$1005,MATCH($D422,RUNS!$A$6:$A$1005,0))),""))</f>
        <v/>
      </c>
      <c r="N422" s="33">
        <f>IF($D422="","",IFERROR(IF(INDEX(RUNS!$G$6:$G$1005,MATCH($D422,RUNS!$A$6:$A$1005,0))="","",INDEX(RUNS!$G$6:$G$1005,MATCH($D422,RUNS!$A$6:$A$1005,0))),""))</f>
        <v/>
      </c>
      <c r="O422" s="33">
        <f>IF($D422="","",IFERROR(IF(INDEX(RUNS!$H$6:$H$1005,MATCH($D422,RUNS!$A$6:$A$1005,0))="","",INDEX(RUNS!$H$6:$H$1005,MATCH($D422,RUNS!$A$6:$A$1005,0))),""))</f>
        <v/>
      </c>
      <c r="P422" s="33">
        <f>IF($D422="","",IFERROR(IF(INDEX(RUNS!$J$6:$J$1005,MATCH($D422,RUNS!$A$6:$A$1005,0))="","",INDEX(RUNS!$J$6:$J$1005,MATCH($D422,RUNS!$A$6:$A$1005,0))),""))</f>
        <v/>
      </c>
      <c r="Q422" s="33">
        <f>IF($D422="","",IFERROR(IF(INDEX(RUNS!$K$6:$K$1005,MATCH($D422,RUNS!$A$6:$A$1005,0))="","",INDEX(RUNS!$K$6:$K$1005,MATCH($D422,RUNS!$A$6:$A$1005,0))),""))</f>
        <v/>
      </c>
      <c r="R422" s="34">
        <f>IF(OR($L422="",$K422=""),"",IFERROR(IF(INDEX(PARAMETRES!$H$43:$H$342,MATCH($L422&amp;"|"&amp;$M422&amp;"|"&amp;$N422&amp;"|"&amp;$O422&amp;"|"&amp;$P422&amp;"|"&amp;$Q422&amp;"|"&amp;$K422,PARAMETRES!$J$43:$J$342,0))="","",INDEX(PARAMETRES!$H$43:$H$342,MATCH($L422&amp;"|"&amp;$M422&amp;"|"&amp;$N422&amp;"|"&amp;$O422&amp;"|"&amp;$P422&amp;"|"&amp;$Q422&amp;"|"&amp;$K422,PARAMETRES!$J$43:$J$342,0))),""))</f>
        <v/>
      </c>
      <c r="S422" s="35">
        <f>IF(OR($G422="",$X422&lt;&gt;"VALIDE"),"",IFERROR(LOOKUP(2,1/(($B$3:$B421=$B422)*($G$3:$G421=$G422)*($X$3:$X421="VALIDE")),$C$3:$C421),""))</f>
        <v/>
      </c>
      <c r="T422" s="36">
        <f>IF(OR($C422="",$S422=""),"",ROUND(($C422-$S422+IF($C422&lt;$S422,1,0))*1440,0))</f>
        <v/>
      </c>
      <c r="U422" s="22">
        <f>IF(OR($H422="",$T422="",$T422&lt;=0),"",$H422*60/$T422)</f>
        <v/>
      </c>
      <c r="V422" s="37">
        <f>IF(OR($U422="",$R422="",$R422=0),"",$U422/$R422)</f>
        <v/>
      </c>
      <c r="W422" s="20">
        <f>IF($G422="","",IF($X422="CONTEXTE INCOMPLET","CONTEXTE INCOMPLET",IF($X422="DOUBLON",StatutDoublon,IF($S422="",StatutInitial,IF($R422="",StatutStandardManquant,IF($V422="","DONNEES INSUFFISANTES",IF($V422&gt;=SeuilConforme,StatutConforme,IF($V422&gt;=SeuilSurveiller,StatutSurveiller,StatutSousStandard))))))))</f>
        <v/>
      </c>
      <c r="X422" s="33">
        <f>IF($G422="","",IF(OR($D422="",$E422="",$F422=""),"CONTEXTE INCOMPLET",IF(COUNTIFS($D$3:$D421,$D422,$E$3:$E421,$E422,$F$3:$F421,$F422,$G$3:$G421,$G422)&gt;0,"DOUBLON","VALIDE")))</f>
        <v/>
      </c>
    </row>
    <row r="423" ht="15" customHeight="1">
      <c r="A423" s="12">
        <f>IF(OR($B423="",$G423=""),"",TEXT($B423,"YYYYMMDD")&amp;"-"&amp;SUBSTITUTE($E423," ","")&amp;"-"&amp;$F423&amp;"-"&amp;$G423)</f>
        <v/>
      </c>
      <c r="B423" s="15" t="n"/>
      <c r="C423" s="16" t="n"/>
      <c r="D423" s="10" t="n"/>
      <c r="E423" s="9" t="n"/>
      <c r="F423" s="9" t="n"/>
      <c r="G423" s="13" t="n"/>
      <c r="H423" s="21" t="n"/>
      <c r="I423" s="21" t="n"/>
      <c r="J423" s="17">
        <f>IF($G423="","",IFERROR(INDEX(NomsEmployes,MATCH($G423,MatriculesEmployes,0)),"MATRICULE INCONNU"))</f>
        <v/>
      </c>
      <c r="K423" s="33">
        <f>IF(OR($D423="",$F423=""),"",IFERROR(IF(INDEX(RUNS!$L$6:$S$1005,MATCH($D423,RUNS!$A$6:$A$1005,0),MATCH("ACTIVITÉ "&amp;$F423,RUNS!$L$5:$S$5,0))="","",INDEX(RUNS!$L$6:$S$1005,MATCH($D423,RUNS!$A$6:$A$1005,0),MATCH("ACTIVITÉ "&amp;$F423,RUNS!$L$5:$S$5,0))),""))</f>
        <v/>
      </c>
      <c r="L423" s="33">
        <f>IF($D423="","",IFERROR(IF(INDEX(RUNS!$E$6:$E$1005,MATCH($D423,RUNS!$A$6:$A$1005,0))="","",INDEX(RUNS!$E$6:$E$1005,MATCH($D423,RUNS!$A$6:$A$1005,0))),""))</f>
        <v/>
      </c>
      <c r="M423" s="33">
        <f>IF($D423="","",IFERROR(IF(INDEX(RUNS!$F$6:$F$1005,MATCH($D423,RUNS!$A$6:$A$1005,0))="","",INDEX(RUNS!$F$6:$F$1005,MATCH($D423,RUNS!$A$6:$A$1005,0))),""))</f>
        <v/>
      </c>
      <c r="N423" s="33">
        <f>IF($D423="","",IFERROR(IF(INDEX(RUNS!$G$6:$G$1005,MATCH($D423,RUNS!$A$6:$A$1005,0))="","",INDEX(RUNS!$G$6:$G$1005,MATCH($D423,RUNS!$A$6:$A$1005,0))),""))</f>
        <v/>
      </c>
      <c r="O423" s="33">
        <f>IF($D423="","",IFERROR(IF(INDEX(RUNS!$H$6:$H$1005,MATCH($D423,RUNS!$A$6:$A$1005,0))="","",INDEX(RUNS!$H$6:$H$1005,MATCH($D423,RUNS!$A$6:$A$1005,0))),""))</f>
        <v/>
      </c>
      <c r="P423" s="33">
        <f>IF($D423="","",IFERROR(IF(INDEX(RUNS!$J$6:$J$1005,MATCH($D423,RUNS!$A$6:$A$1005,0))="","",INDEX(RUNS!$J$6:$J$1005,MATCH($D423,RUNS!$A$6:$A$1005,0))),""))</f>
        <v/>
      </c>
      <c r="Q423" s="33">
        <f>IF($D423="","",IFERROR(IF(INDEX(RUNS!$K$6:$K$1005,MATCH($D423,RUNS!$A$6:$A$1005,0))="","",INDEX(RUNS!$K$6:$K$1005,MATCH($D423,RUNS!$A$6:$A$1005,0))),""))</f>
        <v/>
      </c>
      <c r="R423" s="34">
        <f>IF(OR($L423="",$K423=""),"",IFERROR(IF(INDEX(PARAMETRES!$H$43:$H$342,MATCH($L423&amp;"|"&amp;$M423&amp;"|"&amp;$N423&amp;"|"&amp;$O423&amp;"|"&amp;$P423&amp;"|"&amp;$Q423&amp;"|"&amp;$K423,PARAMETRES!$J$43:$J$342,0))="","",INDEX(PARAMETRES!$H$43:$H$342,MATCH($L423&amp;"|"&amp;$M423&amp;"|"&amp;$N423&amp;"|"&amp;$O423&amp;"|"&amp;$P423&amp;"|"&amp;$Q423&amp;"|"&amp;$K423,PARAMETRES!$J$43:$J$342,0))),""))</f>
        <v/>
      </c>
      <c r="S423" s="35">
        <f>IF(OR($G423="",$X423&lt;&gt;"VALIDE"),"",IFERROR(LOOKUP(2,1/(($B$3:$B422=$B423)*($G$3:$G422=$G423)*($X$3:$X422="VALIDE")),$C$3:$C422),""))</f>
        <v/>
      </c>
      <c r="T423" s="36">
        <f>IF(OR($C423="",$S423=""),"",ROUND(($C423-$S423+IF($C423&lt;$S423,1,0))*1440,0))</f>
        <v/>
      </c>
      <c r="U423" s="22">
        <f>IF(OR($H423="",$T423="",$T423&lt;=0),"",$H423*60/$T423)</f>
        <v/>
      </c>
      <c r="V423" s="37">
        <f>IF(OR($U423="",$R423="",$R423=0),"",$U423/$R423)</f>
        <v/>
      </c>
      <c r="W423" s="20">
        <f>IF($G423="","",IF($X423="CONTEXTE INCOMPLET","CONTEXTE INCOMPLET",IF($X423="DOUBLON",StatutDoublon,IF($S423="",StatutInitial,IF($R423="",StatutStandardManquant,IF($V423="","DONNEES INSUFFISANTES",IF($V423&gt;=SeuilConforme,StatutConforme,IF($V423&gt;=SeuilSurveiller,StatutSurveiller,StatutSousStandard))))))))</f>
        <v/>
      </c>
      <c r="X423" s="33">
        <f>IF($G423="","",IF(OR($D423="",$E423="",$F423=""),"CONTEXTE INCOMPLET",IF(COUNTIFS($D$3:$D422,$D423,$E$3:$E422,$E423,$F$3:$F422,$F423,$G$3:$G422,$G423)&gt;0,"DOUBLON","VALIDE")))</f>
        <v/>
      </c>
    </row>
    <row r="424" ht="15" customHeight="1">
      <c r="A424" s="12">
        <f>IF(OR($B424="",$G424=""),"",TEXT($B424,"YYYYMMDD")&amp;"-"&amp;SUBSTITUTE($E424," ","")&amp;"-"&amp;$F424&amp;"-"&amp;$G424)</f>
        <v/>
      </c>
      <c r="B424" s="15" t="n"/>
      <c r="C424" s="16" t="n"/>
      <c r="D424" s="10" t="n"/>
      <c r="E424" s="9" t="n"/>
      <c r="F424" s="9" t="n"/>
      <c r="G424" s="13" t="n"/>
      <c r="H424" s="21" t="n"/>
      <c r="I424" s="21" t="n"/>
      <c r="J424" s="17">
        <f>IF($G424="","",IFERROR(INDEX(NomsEmployes,MATCH($G424,MatriculesEmployes,0)),"MATRICULE INCONNU"))</f>
        <v/>
      </c>
      <c r="K424" s="33">
        <f>IF(OR($D424="",$F424=""),"",IFERROR(IF(INDEX(RUNS!$L$6:$S$1005,MATCH($D424,RUNS!$A$6:$A$1005,0),MATCH("ACTIVITÉ "&amp;$F424,RUNS!$L$5:$S$5,0))="","",INDEX(RUNS!$L$6:$S$1005,MATCH($D424,RUNS!$A$6:$A$1005,0),MATCH("ACTIVITÉ "&amp;$F424,RUNS!$L$5:$S$5,0))),""))</f>
        <v/>
      </c>
      <c r="L424" s="33">
        <f>IF($D424="","",IFERROR(IF(INDEX(RUNS!$E$6:$E$1005,MATCH($D424,RUNS!$A$6:$A$1005,0))="","",INDEX(RUNS!$E$6:$E$1005,MATCH($D424,RUNS!$A$6:$A$1005,0))),""))</f>
        <v/>
      </c>
      <c r="M424" s="33">
        <f>IF($D424="","",IFERROR(IF(INDEX(RUNS!$F$6:$F$1005,MATCH($D424,RUNS!$A$6:$A$1005,0))="","",INDEX(RUNS!$F$6:$F$1005,MATCH($D424,RUNS!$A$6:$A$1005,0))),""))</f>
        <v/>
      </c>
      <c r="N424" s="33">
        <f>IF($D424="","",IFERROR(IF(INDEX(RUNS!$G$6:$G$1005,MATCH($D424,RUNS!$A$6:$A$1005,0))="","",INDEX(RUNS!$G$6:$G$1005,MATCH($D424,RUNS!$A$6:$A$1005,0))),""))</f>
        <v/>
      </c>
      <c r="O424" s="33">
        <f>IF($D424="","",IFERROR(IF(INDEX(RUNS!$H$6:$H$1005,MATCH($D424,RUNS!$A$6:$A$1005,0))="","",INDEX(RUNS!$H$6:$H$1005,MATCH($D424,RUNS!$A$6:$A$1005,0))),""))</f>
        <v/>
      </c>
      <c r="P424" s="33">
        <f>IF($D424="","",IFERROR(IF(INDEX(RUNS!$J$6:$J$1005,MATCH($D424,RUNS!$A$6:$A$1005,0))="","",INDEX(RUNS!$J$6:$J$1005,MATCH($D424,RUNS!$A$6:$A$1005,0))),""))</f>
        <v/>
      </c>
      <c r="Q424" s="33">
        <f>IF($D424="","",IFERROR(IF(INDEX(RUNS!$K$6:$K$1005,MATCH($D424,RUNS!$A$6:$A$1005,0))="","",INDEX(RUNS!$K$6:$K$1005,MATCH($D424,RUNS!$A$6:$A$1005,0))),""))</f>
        <v/>
      </c>
      <c r="R424" s="34">
        <f>IF(OR($L424="",$K424=""),"",IFERROR(IF(INDEX(PARAMETRES!$H$43:$H$342,MATCH($L424&amp;"|"&amp;$M424&amp;"|"&amp;$N424&amp;"|"&amp;$O424&amp;"|"&amp;$P424&amp;"|"&amp;$Q424&amp;"|"&amp;$K424,PARAMETRES!$J$43:$J$342,0))="","",INDEX(PARAMETRES!$H$43:$H$342,MATCH($L424&amp;"|"&amp;$M424&amp;"|"&amp;$N424&amp;"|"&amp;$O424&amp;"|"&amp;$P424&amp;"|"&amp;$Q424&amp;"|"&amp;$K424,PARAMETRES!$J$43:$J$342,0))),""))</f>
        <v/>
      </c>
      <c r="S424" s="35">
        <f>IF(OR($G424="",$X424&lt;&gt;"VALIDE"),"",IFERROR(LOOKUP(2,1/(($B$3:$B423=$B424)*($G$3:$G423=$G424)*($X$3:$X423="VALIDE")),$C$3:$C423),""))</f>
        <v/>
      </c>
      <c r="T424" s="36">
        <f>IF(OR($C424="",$S424=""),"",ROUND(($C424-$S424+IF($C424&lt;$S424,1,0))*1440,0))</f>
        <v/>
      </c>
      <c r="U424" s="22">
        <f>IF(OR($H424="",$T424="",$T424&lt;=0),"",$H424*60/$T424)</f>
        <v/>
      </c>
      <c r="V424" s="37">
        <f>IF(OR($U424="",$R424="",$R424=0),"",$U424/$R424)</f>
        <v/>
      </c>
      <c r="W424" s="20">
        <f>IF($G424="","",IF($X424="CONTEXTE INCOMPLET","CONTEXTE INCOMPLET",IF($X424="DOUBLON",StatutDoublon,IF($S424="",StatutInitial,IF($R424="",StatutStandardManquant,IF($V424="","DONNEES INSUFFISANTES",IF($V424&gt;=SeuilConforme,StatutConforme,IF($V424&gt;=SeuilSurveiller,StatutSurveiller,StatutSousStandard))))))))</f>
        <v/>
      </c>
      <c r="X424" s="33">
        <f>IF($G424="","",IF(OR($D424="",$E424="",$F424=""),"CONTEXTE INCOMPLET",IF(COUNTIFS($D$3:$D423,$D424,$E$3:$E423,$E424,$F$3:$F423,$F424,$G$3:$G423,$G424)&gt;0,"DOUBLON","VALIDE")))</f>
        <v/>
      </c>
    </row>
    <row r="425" ht="15" customHeight="1">
      <c r="A425" s="12">
        <f>IF(OR($B425="",$G425=""),"",TEXT($B425,"YYYYMMDD")&amp;"-"&amp;SUBSTITUTE($E425," ","")&amp;"-"&amp;$F425&amp;"-"&amp;$G425)</f>
        <v/>
      </c>
      <c r="B425" s="15" t="n"/>
      <c r="C425" s="16" t="n"/>
      <c r="D425" s="10" t="n"/>
      <c r="E425" s="9" t="n"/>
      <c r="F425" s="9" t="n"/>
      <c r="G425" s="13" t="n"/>
      <c r="H425" s="21" t="n"/>
      <c r="I425" s="21" t="n"/>
      <c r="J425" s="17">
        <f>IF($G425="","",IFERROR(INDEX(NomsEmployes,MATCH($G425,MatriculesEmployes,0)),"MATRICULE INCONNU"))</f>
        <v/>
      </c>
      <c r="K425" s="33">
        <f>IF(OR($D425="",$F425=""),"",IFERROR(IF(INDEX(RUNS!$L$6:$S$1005,MATCH($D425,RUNS!$A$6:$A$1005,0),MATCH("ACTIVITÉ "&amp;$F425,RUNS!$L$5:$S$5,0))="","",INDEX(RUNS!$L$6:$S$1005,MATCH($D425,RUNS!$A$6:$A$1005,0),MATCH("ACTIVITÉ "&amp;$F425,RUNS!$L$5:$S$5,0))),""))</f>
        <v/>
      </c>
      <c r="L425" s="33">
        <f>IF($D425="","",IFERROR(IF(INDEX(RUNS!$E$6:$E$1005,MATCH($D425,RUNS!$A$6:$A$1005,0))="","",INDEX(RUNS!$E$6:$E$1005,MATCH($D425,RUNS!$A$6:$A$1005,0))),""))</f>
        <v/>
      </c>
      <c r="M425" s="33">
        <f>IF($D425="","",IFERROR(IF(INDEX(RUNS!$F$6:$F$1005,MATCH($D425,RUNS!$A$6:$A$1005,0))="","",INDEX(RUNS!$F$6:$F$1005,MATCH($D425,RUNS!$A$6:$A$1005,0))),""))</f>
        <v/>
      </c>
      <c r="N425" s="33">
        <f>IF($D425="","",IFERROR(IF(INDEX(RUNS!$G$6:$G$1005,MATCH($D425,RUNS!$A$6:$A$1005,0))="","",INDEX(RUNS!$G$6:$G$1005,MATCH($D425,RUNS!$A$6:$A$1005,0))),""))</f>
        <v/>
      </c>
      <c r="O425" s="33">
        <f>IF($D425="","",IFERROR(IF(INDEX(RUNS!$H$6:$H$1005,MATCH($D425,RUNS!$A$6:$A$1005,0))="","",INDEX(RUNS!$H$6:$H$1005,MATCH($D425,RUNS!$A$6:$A$1005,0))),""))</f>
        <v/>
      </c>
      <c r="P425" s="33">
        <f>IF($D425="","",IFERROR(IF(INDEX(RUNS!$J$6:$J$1005,MATCH($D425,RUNS!$A$6:$A$1005,0))="","",INDEX(RUNS!$J$6:$J$1005,MATCH($D425,RUNS!$A$6:$A$1005,0))),""))</f>
        <v/>
      </c>
      <c r="Q425" s="33">
        <f>IF($D425="","",IFERROR(IF(INDEX(RUNS!$K$6:$K$1005,MATCH($D425,RUNS!$A$6:$A$1005,0))="","",INDEX(RUNS!$K$6:$K$1005,MATCH($D425,RUNS!$A$6:$A$1005,0))),""))</f>
        <v/>
      </c>
      <c r="R425" s="34">
        <f>IF(OR($L425="",$K425=""),"",IFERROR(IF(INDEX(PARAMETRES!$H$43:$H$342,MATCH($L425&amp;"|"&amp;$M425&amp;"|"&amp;$N425&amp;"|"&amp;$O425&amp;"|"&amp;$P425&amp;"|"&amp;$Q425&amp;"|"&amp;$K425,PARAMETRES!$J$43:$J$342,0))="","",INDEX(PARAMETRES!$H$43:$H$342,MATCH($L425&amp;"|"&amp;$M425&amp;"|"&amp;$N425&amp;"|"&amp;$O425&amp;"|"&amp;$P425&amp;"|"&amp;$Q425&amp;"|"&amp;$K425,PARAMETRES!$J$43:$J$342,0))),""))</f>
        <v/>
      </c>
      <c r="S425" s="35">
        <f>IF(OR($G425="",$X425&lt;&gt;"VALIDE"),"",IFERROR(LOOKUP(2,1/(($B$3:$B424=$B425)*($G$3:$G424=$G425)*($X$3:$X424="VALIDE")),$C$3:$C424),""))</f>
        <v/>
      </c>
      <c r="T425" s="36">
        <f>IF(OR($C425="",$S425=""),"",ROUND(($C425-$S425+IF($C425&lt;$S425,1,0))*1440,0))</f>
        <v/>
      </c>
      <c r="U425" s="22">
        <f>IF(OR($H425="",$T425="",$T425&lt;=0),"",$H425*60/$T425)</f>
        <v/>
      </c>
      <c r="V425" s="37">
        <f>IF(OR($U425="",$R425="",$R425=0),"",$U425/$R425)</f>
        <v/>
      </c>
      <c r="W425" s="20">
        <f>IF($G425="","",IF($X425="CONTEXTE INCOMPLET","CONTEXTE INCOMPLET",IF($X425="DOUBLON",StatutDoublon,IF($S425="",StatutInitial,IF($R425="",StatutStandardManquant,IF($V425="","DONNEES INSUFFISANTES",IF($V425&gt;=SeuilConforme,StatutConforme,IF($V425&gt;=SeuilSurveiller,StatutSurveiller,StatutSousStandard))))))))</f>
        <v/>
      </c>
      <c r="X425" s="33">
        <f>IF($G425="","",IF(OR($D425="",$E425="",$F425=""),"CONTEXTE INCOMPLET",IF(COUNTIFS($D$3:$D424,$D425,$E$3:$E424,$E425,$F$3:$F424,$F425,$G$3:$G424,$G425)&gt;0,"DOUBLON","VALIDE")))</f>
        <v/>
      </c>
    </row>
    <row r="426" ht="15" customHeight="1">
      <c r="A426" s="12">
        <f>IF(OR($B426="",$G426=""),"",TEXT($B426,"YYYYMMDD")&amp;"-"&amp;SUBSTITUTE($E426," ","")&amp;"-"&amp;$F426&amp;"-"&amp;$G426)</f>
        <v/>
      </c>
      <c r="B426" s="15" t="n"/>
      <c r="C426" s="16" t="n"/>
      <c r="D426" s="10" t="n"/>
      <c r="E426" s="9" t="n"/>
      <c r="F426" s="9" t="n"/>
      <c r="G426" s="13" t="n"/>
      <c r="H426" s="21" t="n"/>
      <c r="I426" s="21" t="n"/>
      <c r="J426" s="17">
        <f>IF($G426="","",IFERROR(INDEX(NomsEmployes,MATCH($G426,MatriculesEmployes,0)),"MATRICULE INCONNU"))</f>
        <v/>
      </c>
      <c r="K426" s="33">
        <f>IF(OR($D426="",$F426=""),"",IFERROR(IF(INDEX(RUNS!$L$6:$S$1005,MATCH($D426,RUNS!$A$6:$A$1005,0),MATCH("ACTIVITÉ "&amp;$F426,RUNS!$L$5:$S$5,0))="","",INDEX(RUNS!$L$6:$S$1005,MATCH($D426,RUNS!$A$6:$A$1005,0),MATCH("ACTIVITÉ "&amp;$F426,RUNS!$L$5:$S$5,0))),""))</f>
        <v/>
      </c>
      <c r="L426" s="33">
        <f>IF($D426="","",IFERROR(IF(INDEX(RUNS!$E$6:$E$1005,MATCH($D426,RUNS!$A$6:$A$1005,0))="","",INDEX(RUNS!$E$6:$E$1005,MATCH($D426,RUNS!$A$6:$A$1005,0))),""))</f>
        <v/>
      </c>
      <c r="M426" s="33">
        <f>IF($D426="","",IFERROR(IF(INDEX(RUNS!$F$6:$F$1005,MATCH($D426,RUNS!$A$6:$A$1005,0))="","",INDEX(RUNS!$F$6:$F$1005,MATCH($D426,RUNS!$A$6:$A$1005,0))),""))</f>
        <v/>
      </c>
      <c r="N426" s="33">
        <f>IF($D426="","",IFERROR(IF(INDEX(RUNS!$G$6:$G$1005,MATCH($D426,RUNS!$A$6:$A$1005,0))="","",INDEX(RUNS!$G$6:$G$1005,MATCH($D426,RUNS!$A$6:$A$1005,0))),""))</f>
        <v/>
      </c>
      <c r="O426" s="33">
        <f>IF($D426="","",IFERROR(IF(INDEX(RUNS!$H$6:$H$1005,MATCH($D426,RUNS!$A$6:$A$1005,0))="","",INDEX(RUNS!$H$6:$H$1005,MATCH($D426,RUNS!$A$6:$A$1005,0))),""))</f>
        <v/>
      </c>
      <c r="P426" s="33">
        <f>IF($D426="","",IFERROR(IF(INDEX(RUNS!$J$6:$J$1005,MATCH($D426,RUNS!$A$6:$A$1005,0))="","",INDEX(RUNS!$J$6:$J$1005,MATCH($D426,RUNS!$A$6:$A$1005,0))),""))</f>
        <v/>
      </c>
      <c r="Q426" s="33">
        <f>IF($D426="","",IFERROR(IF(INDEX(RUNS!$K$6:$K$1005,MATCH($D426,RUNS!$A$6:$A$1005,0))="","",INDEX(RUNS!$K$6:$K$1005,MATCH($D426,RUNS!$A$6:$A$1005,0))),""))</f>
        <v/>
      </c>
      <c r="R426" s="34">
        <f>IF(OR($L426="",$K426=""),"",IFERROR(IF(INDEX(PARAMETRES!$H$43:$H$342,MATCH($L426&amp;"|"&amp;$M426&amp;"|"&amp;$N426&amp;"|"&amp;$O426&amp;"|"&amp;$P426&amp;"|"&amp;$Q426&amp;"|"&amp;$K426,PARAMETRES!$J$43:$J$342,0))="","",INDEX(PARAMETRES!$H$43:$H$342,MATCH($L426&amp;"|"&amp;$M426&amp;"|"&amp;$N426&amp;"|"&amp;$O426&amp;"|"&amp;$P426&amp;"|"&amp;$Q426&amp;"|"&amp;$K426,PARAMETRES!$J$43:$J$342,0))),""))</f>
        <v/>
      </c>
      <c r="S426" s="35">
        <f>IF(OR($G426="",$X426&lt;&gt;"VALIDE"),"",IFERROR(LOOKUP(2,1/(($B$3:$B425=$B426)*($G$3:$G425=$G426)*($X$3:$X425="VALIDE")),$C$3:$C425),""))</f>
        <v/>
      </c>
      <c r="T426" s="36">
        <f>IF(OR($C426="",$S426=""),"",ROUND(($C426-$S426+IF($C426&lt;$S426,1,0))*1440,0))</f>
        <v/>
      </c>
      <c r="U426" s="22">
        <f>IF(OR($H426="",$T426="",$T426&lt;=0),"",$H426*60/$T426)</f>
        <v/>
      </c>
      <c r="V426" s="37">
        <f>IF(OR($U426="",$R426="",$R426=0),"",$U426/$R426)</f>
        <v/>
      </c>
      <c r="W426" s="20">
        <f>IF($G426="","",IF($X426="CONTEXTE INCOMPLET","CONTEXTE INCOMPLET",IF($X426="DOUBLON",StatutDoublon,IF($S426="",StatutInitial,IF($R426="",StatutStandardManquant,IF($V426="","DONNEES INSUFFISANTES",IF($V426&gt;=SeuilConforme,StatutConforme,IF($V426&gt;=SeuilSurveiller,StatutSurveiller,StatutSousStandard))))))))</f>
        <v/>
      </c>
      <c r="X426" s="33">
        <f>IF($G426="","",IF(OR($D426="",$E426="",$F426=""),"CONTEXTE INCOMPLET",IF(COUNTIFS($D$3:$D425,$D426,$E$3:$E425,$E426,$F$3:$F425,$F426,$G$3:$G425,$G426)&gt;0,"DOUBLON","VALIDE")))</f>
        <v/>
      </c>
    </row>
    <row r="427" ht="15" customHeight="1">
      <c r="A427" s="12">
        <f>IF(OR($B427="",$G427=""),"",TEXT($B427,"YYYYMMDD")&amp;"-"&amp;SUBSTITUTE($E427," ","")&amp;"-"&amp;$F427&amp;"-"&amp;$G427)</f>
        <v/>
      </c>
      <c r="B427" s="15" t="n"/>
      <c r="C427" s="16" t="n"/>
      <c r="D427" s="10" t="n"/>
      <c r="E427" s="9" t="n"/>
      <c r="F427" s="9" t="n"/>
      <c r="G427" s="13" t="n"/>
      <c r="H427" s="21" t="n"/>
      <c r="I427" s="21" t="n"/>
      <c r="J427" s="17">
        <f>IF($G427="","",IFERROR(INDEX(NomsEmployes,MATCH($G427,MatriculesEmployes,0)),"MATRICULE INCONNU"))</f>
        <v/>
      </c>
      <c r="K427" s="33">
        <f>IF(OR($D427="",$F427=""),"",IFERROR(IF(INDEX(RUNS!$L$6:$S$1005,MATCH($D427,RUNS!$A$6:$A$1005,0),MATCH("ACTIVITÉ "&amp;$F427,RUNS!$L$5:$S$5,0))="","",INDEX(RUNS!$L$6:$S$1005,MATCH($D427,RUNS!$A$6:$A$1005,0),MATCH("ACTIVITÉ "&amp;$F427,RUNS!$L$5:$S$5,0))),""))</f>
        <v/>
      </c>
      <c r="L427" s="33">
        <f>IF($D427="","",IFERROR(IF(INDEX(RUNS!$E$6:$E$1005,MATCH($D427,RUNS!$A$6:$A$1005,0))="","",INDEX(RUNS!$E$6:$E$1005,MATCH($D427,RUNS!$A$6:$A$1005,0))),""))</f>
        <v/>
      </c>
      <c r="M427" s="33">
        <f>IF($D427="","",IFERROR(IF(INDEX(RUNS!$F$6:$F$1005,MATCH($D427,RUNS!$A$6:$A$1005,0))="","",INDEX(RUNS!$F$6:$F$1005,MATCH($D427,RUNS!$A$6:$A$1005,0))),""))</f>
        <v/>
      </c>
      <c r="N427" s="33">
        <f>IF($D427="","",IFERROR(IF(INDEX(RUNS!$G$6:$G$1005,MATCH($D427,RUNS!$A$6:$A$1005,0))="","",INDEX(RUNS!$G$6:$G$1005,MATCH($D427,RUNS!$A$6:$A$1005,0))),""))</f>
        <v/>
      </c>
      <c r="O427" s="33">
        <f>IF($D427="","",IFERROR(IF(INDEX(RUNS!$H$6:$H$1005,MATCH($D427,RUNS!$A$6:$A$1005,0))="","",INDEX(RUNS!$H$6:$H$1005,MATCH($D427,RUNS!$A$6:$A$1005,0))),""))</f>
        <v/>
      </c>
      <c r="P427" s="33">
        <f>IF($D427="","",IFERROR(IF(INDEX(RUNS!$J$6:$J$1005,MATCH($D427,RUNS!$A$6:$A$1005,0))="","",INDEX(RUNS!$J$6:$J$1005,MATCH($D427,RUNS!$A$6:$A$1005,0))),""))</f>
        <v/>
      </c>
      <c r="Q427" s="33">
        <f>IF($D427="","",IFERROR(IF(INDEX(RUNS!$K$6:$K$1005,MATCH($D427,RUNS!$A$6:$A$1005,0))="","",INDEX(RUNS!$K$6:$K$1005,MATCH($D427,RUNS!$A$6:$A$1005,0))),""))</f>
        <v/>
      </c>
      <c r="R427" s="34">
        <f>IF(OR($L427="",$K427=""),"",IFERROR(IF(INDEX(PARAMETRES!$H$43:$H$342,MATCH($L427&amp;"|"&amp;$M427&amp;"|"&amp;$N427&amp;"|"&amp;$O427&amp;"|"&amp;$P427&amp;"|"&amp;$Q427&amp;"|"&amp;$K427,PARAMETRES!$J$43:$J$342,0))="","",INDEX(PARAMETRES!$H$43:$H$342,MATCH($L427&amp;"|"&amp;$M427&amp;"|"&amp;$N427&amp;"|"&amp;$O427&amp;"|"&amp;$P427&amp;"|"&amp;$Q427&amp;"|"&amp;$K427,PARAMETRES!$J$43:$J$342,0))),""))</f>
        <v/>
      </c>
      <c r="S427" s="35">
        <f>IF(OR($G427="",$X427&lt;&gt;"VALIDE"),"",IFERROR(LOOKUP(2,1/(($B$3:$B426=$B427)*($G$3:$G426=$G427)*($X$3:$X426="VALIDE")),$C$3:$C426),""))</f>
        <v/>
      </c>
      <c r="T427" s="36">
        <f>IF(OR($C427="",$S427=""),"",ROUND(($C427-$S427+IF($C427&lt;$S427,1,0))*1440,0))</f>
        <v/>
      </c>
      <c r="U427" s="22">
        <f>IF(OR($H427="",$T427="",$T427&lt;=0),"",$H427*60/$T427)</f>
        <v/>
      </c>
      <c r="V427" s="37">
        <f>IF(OR($U427="",$R427="",$R427=0),"",$U427/$R427)</f>
        <v/>
      </c>
      <c r="W427" s="20">
        <f>IF($G427="","",IF($X427="CONTEXTE INCOMPLET","CONTEXTE INCOMPLET",IF($X427="DOUBLON",StatutDoublon,IF($S427="",StatutInitial,IF($R427="",StatutStandardManquant,IF($V427="","DONNEES INSUFFISANTES",IF($V427&gt;=SeuilConforme,StatutConforme,IF($V427&gt;=SeuilSurveiller,StatutSurveiller,StatutSousStandard))))))))</f>
        <v/>
      </c>
      <c r="X427" s="33">
        <f>IF($G427="","",IF(OR($D427="",$E427="",$F427=""),"CONTEXTE INCOMPLET",IF(COUNTIFS($D$3:$D426,$D427,$E$3:$E426,$E427,$F$3:$F426,$F427,$G$3:$G426,$G427)&gt;0,"DOUBLON","VALIDE")))</f>
        <v/>
      </c>
    </row>
    <row r="428" ht="15" customHeight="1">
      <c r="A428" s="12">
        <f>IF(OR($B428="",$G428=""),"",TEXT($B428,"YYYYMMDD")&amp;"-"&amp;SUBSTITUTE($E428," ","")&amp;"-"&amp;$F428&amp;"-"&amp;$G428)</f>
        <v/>
      </c>
      <c r="B428" s="15" t="n"/>
      <c r="C428" s="16" t="n"/>
      <c r="D428" s="10" t="n"/>
      <c r="E428" s="9" t="n"/>
      <c r="F428" s="9" t="n"/>
      <c r="G428" s="13" t="n"/>
      <c r="H428" s="21" t="n"/>
      <c r="I428" s="21" t="n"/>
      <c r="J428" s="17">
        <f>IF($G428="","",IFERROR(INDEX(NomsEmployes,MATCH($G428,MatriculesEmployes,0)),"MATRICULE INCONNU"))</f>
        <v/>
      </c>
      <c r="K428" s="33">
        <f>IF(OR($D428="",$F428=""),"",IFERROR(IF(INDEX(RUNS!$L$6:$S$1005,MATCH($D428,RUNS!$A$6:$A$1005,0),MATCH("ACTIVITÉ "&amp;$F428,RUNS!$L$5:$S$5,0))="","",INDEX(RUNS!$L$6:$S$1005,MATCH($D428,RUNS!$A$6:$A$1005,0),MATCH("ACTIVITÉ "&amp;$F428,RUNS!$L$5:$S$5,0))),""))</f>
        <v/>
      </c>
      <c r="L428" s="33">
        <f>IF($D428="","",IFERROR(IF(INDEX(RUNS!$E$6:$E$1005,MATCH($D428,RUNS!$A$6:$A$1005,0))="","",INDEX(RUNS!$E$6:$E$1005,MATCH($D428,RUNS!$A$6:$A$1005,0))),""))</f>
        <v/>
      </c>
      <c r="M428" s="33">
        <f>IF($D428="","",IFERROR(IF(INDEX(RUNS!$F$6:$F$1005,MATCH($D428,RUNS!$A$6:$A$1005,0))="","",INDEX(RUNS!$F$6:$F$1005,MATCH($D428,RUNS!$A$6:$A$1005,0))),""))</f>
        <v/>
      </c>
      <c r="N428" s="33">
        <f>IF($D428="","",IFERROR(IF(INDEX(RUNS!$G$6:$G$1005,MATCH($D428,RUNS!$A$6:$A$1005,0))="","",INDEX(RUNS!$G$6:$G$1005,MATCH($D428,RUNS!$A$6:$A$1005,0))),""))</f>
        <v/>
      </c>
      <c r="O428" s="33">
        <f>IF($D428="","",IFERROR(IF(INDEX(RUNS!$H$6:$H$1005,MATCH($D428,RUNS!$A$6:$A$1005,0))="","",INDEX(RUNS!$H$6:$H$1005,MATCH($D428,RUNS!$A$6:$A$1005,0))),""))</f>
        <v/>
      </c>
      <c r="P428" s="33">
        <f>IF($D428="","",IFERROR(IF(INDEX(RUNS!$J$6:$J$1005,MATCH($D428,RUNS!$A$6:$A$1005,0))="","",INDEX(RUNS!$J$6:$J$1005,MATCH($D428,RUNS!$A$6:$A$1005,0))),""))</f>
        <v/>
      </c>
      <c r="Q428" s="33">
        <f>IF($D428="","",IFERROR(IF(INDEX(RUNS!$K$6:$K$1005,MATCH($D428,RUNS!$A$6:$A$1005,0))="","",INDEX(RUNS!$K$6:$K$1005,MATCH($D428,RUNS!$A$6:$A$1005,0))),""))</f>
        <v/>
      </c>
      <c r="R428" s="34">
        <f>IF(OR($L428="",$K428=""),"",IFERROR(IF(INDEX(PARAMETRES!$H$43:$H$342,MATCH($L428&amp;"|"&amp;$M428&amp;"|"&amp;$N428&amp;"|"&amp;$O428&amp;"|"&amp;$P428&amp;"|"&amp;$Q428&amp;"|"&amp;$K428,PARAMETRES!$J$43:$J$342,0))="","",INDEX(PARAMETRES!$H$43:$H$342,MATCH($L428&amp;"|"&amp;$M428&amp;"|"&amp;$N428&amp;"|"&amp;$O428&amp;"|"&amp;$P428&amp;"|"&amp;$Q428&amp;"|"&amp;$K428,PARAMETRES!$J$43:$J$342,0))),""))</f>
        <v/>
      </c>
      <c r="S428" s="35">
        <f>IF(OR($G428="",$X428&lt;&gt;"VALIDE"),"",IFERROR(LOOKUP(2,1/(($B$3:$B427=$B428)*($G$3:$G427=$G428)*($X$3:$X427="VALIDE")),$C$3:$C427),""))</f>
        <v/>
      </c>
      <c r="T428" s="36">
        <f>IF(OR($C428="",$S428=""),"",ROUND(($C428-$S428+IF($C428&lt;$S428,1,0))*1440,0))</f>
        <v/>
      </c>
      <c r="U428" s="22">
        <f>IF(OR($H428="",$T428="",$T428&lt;=0),"",$H428*60/$T428)</f>
        <v/>
      </c>
      <c r="V428" s="37">
        <f>IF(OR($U428="",$R428="",$R428=0),"",$U428/$R428)</f>
        <v/>
      </c>
      <c r="W428" s="20">
        <f>IF($G428="","",IF($X428="CONTEXTE INCOMPLET","CONTEXTE INCOMPLET",IF($X428="DOUBLON",StatutDoublon,IF($S428="",StatutInitial,IF($R428="",StatutStandardManquant,IF($V428="","DONNEES INSUFFISANTES",IF($V428&gt;=SeuilConforme,StatutConforme,IF($V428&gt;=SeuilSurveiller,StatutSurveiller,StatutSousStandard))))))))</f>
        <v/>
      </c>
      <c r="X428" s="33">
        <f>IF($G428="","",IF(OR($D428="",$E428="",$F428=""),"CONTEXTE INCOMPLET",IF(COUNTIFS($D$3:$D427,$D428,$E$3:$E427,$E428,$F$3:$F427,$F428,$G$3:$G427,$G428)&gt;0,"DOUBLON","VALIDE")))</f>
        <v/>
      </c>
    </row>
    <row r="429" ht="15" customHeight="1">
      <c r="A429" s="12">
        <f>IF(OR($B429="",$G429=""),"",TEXT($B429,"YYYYMMDD")&amp;"-"&amp;SUBSTITUTE($E429," ","")&amp;"-"&amp;$F429&amp;"-"&amp;$G429)</f>
        <v/>
      </c>
      <c r="B429" s="15" t="n"/>
      <c r="C429" s="16" t="n"/>
      <c r="D429" s="10" t="n"/>
      <c r="E429" s="9" t="n"/>
      <c r="F429" s="9" t="n"/>
      <c r="G429" s="13" t="n"/>
      <c r="H429" s="21" t="n"/>
      <c r="I429" s="21" t="n"/>
      <c r="J429" s="17">
        <f>IF($G429="","",IFERROR(INDEX(NomsEmployes,MATCH($G429,MatriculesEmployes,0)),"MATRICULE INCONNU"))</f>
        <v/>
      </c>
      <c r="K429" s="33">
        <f>IF(OR($D429="",$F429=""),"",IFERROR(IF(INDEX(RUNS!$L$6:$S$1005,MATCH($D429,RUNS!$A$6:$A$1005,0),MATCH("ACTIVITÉ "&amp;$F429,RUNS!$L$5:$S$5,0))="","",INDEX(RUNS!$L$6:$S$1005,MATCH($D429,RUNS!$A$6:$A$1005,0),MATCH("ACTIVITÉ "&amp;$F429,RUNS!$L$5:$S$5,0))),""))</f>
        <v/>
      </c>
      <c r="L429" s="33">
        <f>IF($D429="","",IFERROR(IF(INDEX(RUNS!$E$6:$E$1005,MATCH($D429,RUNS!$A$6:$A$1005,0))="","",INDEX(RUNS!$E$6:$E$1005,MATCH($D429,RUNS!$A$6:$A$1005,0))),""))</f>
        <v/>
      </c>
      <c r="M429" s="33">
        <f>IF($D429="","",IFERROR(IF(INDEX(RUNS!$F$6:$F$1005,MATCH($D429,RUNS!$A$6:$A$1005,0))="","",INDEX(RUNS!$F$6:$F$1005,MATCH($D429,RUNS!$A$6:$A$1005,0))),""))</f>
        <v/>
      </c>
      <c r="N429" s="33">
        <f>IF($D429="","",IFERROR(IF(INDEX(RUNS!$G$6:$G$1005,MATCH($D429,RUNS!$A$6:$A$1005,0))="","",INDEX(RUNS!$G$6:$G$1005,MATCH($D429,RUNS!$A$6:$A$1005,0))),""))</f>
        <v/>
      </c>
      <c r="O429" s="33">
        <f>IF($D429="","",IFERROR(IF(INDEX(RUNS!$H$6:$H$1005,MATCH($D429,RUNS!$A$6:$A$1005,0))="","",INDEX(RUNS!$H$6:$H$1005,MATCH($D429,RUNS!$A$6:$A$1005,0))),""))</f>
        <v/>
      </c>
      <c r="P429" s="33">
        <f>IF($D429="","",IFERROR(IF(INDEX(RUNS!$J$6:$J$1005,MATCH($D429,RUNS!$A$6:$A$1005,0))="","",INDEX(RUNS!$J$6:$J$1005,MATCH($D429,RUNS!$A$6:$A$1005,0))),""))</f>
        <v/>
      </c>
      <c r="Q429" s="33">
        <f>IF($D429="","",IFERROR(IF(INDEX(RUNS!$K$6:$K$1005,MATCH($D429,RUNS!$A$6:$A$1005,0))="","",INDEX(RUNS!$K$6:$K$1005,MATCH($D429,RUNS!$A$6:$A$1005,0))),""))</f>
        <v/>
      </c>
      <c r="R429" s="34">
        <f>IF(OR($L429="",$K429=""),"",IFERROR(IF(INDEX(PARAMETRES!$H$43:$H$342,MATCH($L429&amp;"|"&amp;$M429&amp;"|"&amp;$N429&amp;"|"&amp;$O429&amp;"|"&amp;$P429&amp;"|"&amp;$Q429&amp;"|"&amp;$K429,PARAMETRES!$J$43:$J$342,0))="","",INDEX(PARAMETRES!$H$43:$H$342,MATCH($L429&amp;"|"&amp;$M429&amp;"|"&amp;$N429&amp;"|"&amp;$O429&amp;"|"&amp;$P429&amp;"|"&amp;$Q429&amp;"|"&amp;$K429,PARAMETRES!$J$43:$J$342,0))),""))</f>
        <v/>
      </c>
      <c r="S429" s="35">
        <f>IF(OR($G429="",$X429&lt;&gt;"VALIDE"),"",IFERROR(LOOKUP(2,1/(($B$3:$B428=$B429)*($G$3:$G428=$G429)*($X$3:$X428="VALIDE")),$C$3:$C428),""))</f>
        <v/>
      </c>
      <c r="T429" s="36">
        <f>IF(OR($C429="",$S429=""),"",ROUND(($C429-$S429+IF($C429&lt;$S429,1,0))*1440,0))</f>
        <v/>
      </c>
      <c r="U429" s="22">
        <f>IF(OR($H429="",$T429="",$T429&lt;=0),"",$H429*60/$T429)</f>
        <v/>
      </c>
      <c r="V429" s="37">
        <f>IF(OR($U429="",$R429="",$R429=0),"",$U429/$R429)</f>
        <v/>
      </c>
      <c r="W429" s="20">
        <f>IF($G429="","",IF($X429="CONTEXTE INCOMPLET","CONTEXTE INCOMPLET",IF($X429="DOUBLON",StatutDoublon,IF($S429="",StatutInitial,IF($R429="",StatutStandardManquant,IF($V429="","DONNEES INSUFFISANTES",IF($V429&gt;=SeuilConforme,StatutConforme,IF($V429&gt;=SeuilSurveiller,StatutSurveiller,StatutSousStandard))))))))</f>
        <v/>
      </c>
      <c r="X429" s="33">
        <f>IF($G429="","",IF(OR($D429="",$E429="",$F429=""),"CONTEXTE INCOMPLET",IF(COUNTIFS($D$3:$D428,$D429,$E$3:$E428,$E429,$F$3:$F428,$F429,$G$3:$G428,$G429)&gt;0,"DOUBLON","VALIDE")))</f>
        <v/>
      </c>
    </row>
    <row r="430" ht="15" customHeight="1">
      <c r="A430" s="12">
        <f>IF(OR($B430="",$G430=""),"",TEXT($B430,"YYYYMMDD")&amp;"-"&amp;SUBSTITUTE($E430," ","")&amp;"-"&amp;$F430&amp;"-"&amp;$G430)</f>
        <v/>
      </c>
      <c r="B430" s="15" t="n"/>
      <c r="C430" s="16" t="n"/>
      <c r="D430" s="10" t="n"/>
      <c r="E430" s="9" t="n"/>
      <c r="F430" s="9" t="n"/>
      <c r="G430" s="13" t="n"/>
      <c r="H430" s="21" t="n"/>
      <c r="I430" s="21" t="n"/>
      <c r="J430" s="17">
        <f>IF($G430="","",IFERROR(INDEX(NomsEmployes,MATCH($G430,MatriculesEmployes,0)),"MATRICULE INCONNU"))</f>
        <v/>
      </c>
      <c r="K430" s="33">
        <f>IF(OR($D430="",$F430=""),"",IFERROR(IF(INDEX(RUNS!$L$6:$S$1005,MATCH($D430,RUNS!$A$6:$A$1005,0),MATCH("ACTIVITÉ "&amp;$F430,RUNS!$L$5:$S$5,0))="","",INDEX(RUNS!$L$6:$S$1005,MATCH($D430,RUNS!$A$6:$A$1005,0),MATCH("ACTIVITÉ "&amp;$F430,RUNS!$L$5:$S$5,0))),""))</f>
        <v/>
      </c>
      <c r="L430" s="33">
        <f>IF($D430="","",IFERROR(IF(INDEX(RUNS!$E$6:$E$1005,MATCH($D430,RUNS!$A$6:$A$1005,0))="","",INDEX(RUNS!$E$6:$E$1005,MATCH($D430,RUNS!$A$6:$A$1005,0))),""))</f>
        <v/>
      </c>
      <c r="M430" s="33">
        <f>IF($D430="","",IFERROR(IF(INDEX(RUNS!$F$6:$F$1005,MATCH($D430,RUNS!$A$6:$A$1005,0))="","",INDEX(RUNS!$F$6:$F$1005,MATCH($D430,RUNS!$A$6:$A$1005,0))),""))</f>
        <v/>
      </c>
      <c r="N430" s="33">
        <f>IF($D430="","",IFERROR(IF(INDEX(RUNS!$G$6:$G$1005,MATCH($D430,RUNS!$A$6:$A$1005,0))="","",INDEX(RUNS!$G$6:$G$1005,MATCH($D430,RUNS!$A$6:$A$1005,0))),""))</f>
        <v/>
      </c>
      <c r="O430" s="33">
        <f>IF($D430="","",IFERROR(IF(INDEX(RUNS!$H$6:$H$1005,MATCH($D430,RUNS!$A$6:$A$1005,0))="","",INDEX(RUNS!$H$6:$H$1005,MATCH($D430,RUNS!$A$6:$A$1005,0))),""))</f>
        <v/>
      </c>
      <c r="P430" s="33">
        <f>IF($D430="","",IFERROR(IF(INDEX(RUNS!$J$6:$J$1005,MATCH($D430,RUNS!$A$6:$A$1005,0))="","",INDEX(RUNS!$J$6:$J$1005,MATCH($D430,RUNS!$A$6:$A$1005,0))),""))</f>
        <v/>
      </c>
      <c r="Q430" s="33">
        <f>IF($D430="","",IFERROR(IF(INDEX(RUNS!$K$6:$K$1005,MATCH($D430,RUNS!$A$6:$A$1005,0))="","",INDEX(RUNS!$K$6:$K$1005,MATCH($D430,RUNS!$A$6:$A$1005,0))),""))</f>
        <v/>
      </c>
      <c r="R430" s="34">
        <f>IF(OR($L430="",$K430=""),"",IFERROR(IF(INDEX(PARAMETRES!$H$43:$H$342,MATCH($L430&amp;"|"&amp;$M430&amp;"|"&amp;$N430&amp;"|"&amp;$O430&amp;"|"&amp;$P430&amp;"|"&amp;$Q430&amp;"|"&amp;$K430,PARAMETRES!$J$43:$J$342,0))="","",INDEX(PARAMETRES!$H$43:$H$342,MATCH($L430&amp;"|"&amp;$M430&amp;"|"&amp;$N430&amp;"|"&amp;$O430&amp;"|"&amp;$P430&amp;"|"&amp;$Q430&amp;"|"&amp;$K430,PARAMETRES!$J$43:$J$342,0))),""))</f>
        <v/>
      </c>
      <c r="S430" s="35">
        <f>IF(OR($G430="",$X430&lt;&gt;"VALIDE"),"",IFERROR(LOOKUP(2,1/(($B$3:$B429=$B430)*($G$3:$G429=$G430)*($X$3:$X429="VALIDE")),$C$3:$C429),""))</f>
        <v/>
      </c>
      <c r="T430" s="36">
        <f>IF(OR($C430="",$S430=""),"",ROUND(($C430-$S430+IF($C430&lt;$S430,1,0))*1440,0))</f>
        <v/>
      </c>
      <c r="U430" s="22">
        <f>IF(OR($H430="",$T430="",$T430&lt;=0),"",$H430*60/$T430)</f>
        <v/>
      </c>
      <c r="V430" s="37">
        <f>IF(OR($U430="",$R430="",$R430=0),"",$U430/$R430)</f>
        <v/>
      </c>
      <c r="W430" s="20">
        <f>IF($G430="","",IF($X430="CONTEXTE INCOMPLET","CONTEXTE INCOMPLET",IF($X430="DOUBLON",StatutDoublon,IF($S430="",StatutInitial,IF($R430="",StatutStandardManquant,IF($V430="","DONNEES INSUFFISANTES",IF($V430&gt;=SeuilConforme,StatutConforme,IF($V430&gt;=SeuilSurveiller,StatutSurveiller,StatutSousStandard))))))))</f>
        <v/>
      </c>
      <c r="X430" s="33">
        <f>IF($G430="","",IF(OR($D430="",$E430="",$F430=""),"CONTEXTE INCOMPLET",IF(COUNTIFS($D$3:$D429,$D430,$E$3:$E429,$E430,$F$3:$F429,$F430,$G$3:$G429,$G430)&gt;0,"DOUBLON","VALIDE")))</f>
        <v/>
      </c>
    </row>
    <row r="431" ht="15" customHeight="1">
      <c r="A431" s="12">
        <f>IF(OR($B431="",$G431=""),"",TEXT($B431,"YYYYMMDD")&amp;"-"&amp;SUBSTITUTE($E431," ","")&amp;"-"&amp;$F431&amp;"-"&amp;$G431)</f>
        <v/>
      </c>
      <c r="B431" s="15" t="n"/>
      <c r="C431" s="16" t="n"/>
      <c r="D431" s="10" t="n"/>
      <c r="E431" s="9" t="n"/>
      <c r="F431" s="9" t="n"/>
      <c r="G431" s="13" t="n"/>
      <c r="H431" s="21" t="n"/>
      <c r="I431" s="21" t="n"/>
      <c r="J431" s="17">
        <f>IF($G431="","",IFERROR(INDEX(NomsEmployes,MATCH($G431,MatriculesEmployes,0)),"MATRICULE INCONNU"))</f>
        <v/>
      </c>
      <c r="K431" s="33">
        <f>IF(OR($D431="",$F431=""),"",IFERROR(IF(INDEX(RUNS!$L$6:$S$1005,MATCH($D431,RUNS!$A$6:$A$1005,0),MATCH("ACTIVITÉ "&amp;$F431,RUNS!$L$5:$S$5,0))="","",INDEX(RUNS!$L$6:$S$1005,MATCH($D431,RUNS!$A$6:$A$1005,0),MATCH("ACTIVITÉ "&amp;$F431,RUNS!$L$5:$S$5,0))),""))</f>
        <v/>
      </c>
      <c r="L431" s="33">
        <f>IF($D431="","",IFERROR(IF(INDEX(RUNS!$E$6:$E$1005,MATCH($D431,RUNS!$A$6:$A$1005,0))="","",INDEX(RUNS!$E$6:$E$1005,MATCH($D431,RUNS!$A$6:$A$1005,0))),""))</f>
        <v/>
      </c>
      <c r="M431" s="33">
        <f>IF($D431="","",IFERROR(IF(INDEX(RUNS!$F$6:$F$1005,MATCH($D431,RUNS!$A$6:$A$1005,0))="","",INDEX(RUNS!$F$6:$F$1005,MATCH($D431,RUNS!$A$6:$A$1005,0))),""))</f>
        <v/>
      </c>
      <c r="N431" s="33">
        <f>IF($D431="","",IFERROR(IF(INDEX(RUNS!$G$6:$G$1005,MATCH($D431,RUNS!$A$6:$A$1005,0))="","",INDEX(RUNS!$G$6:$G$1005,MATCH($D431,RUNS!$A$6:$A$1005,0))),""))</f>
        <v/>
      </c>
      <c r="O431" s="33">
        <f>IF($D431="","",IFERROR(IF(INDEX(RUNS!$H$6:$H$1005,MATCH($D431,RUNS!$A$6:$A$1005,0))="","",INDEX(RUNS!$H$6:$H$1005,MATCH($D431,RUNS!$A$6:$A$1005,0))),""))</f>
        <v/>
      </c>
      <c r="P431" s="33">
        <f>IF($D431="","",IFERROR(IF(INDEX(RUNS!$J$6:$J$1005,MATCH($D431,RUNS!$A$6:$A$1005,0))="","",INDEX(RUNS!$J$6:$J$1005,MATCH($D431,RUNS!$A$6:$A$1005,0))),""))</f>
        <v/>
      </c>
      <c r="Q431" s="33">
        <f>IF($D431="","",IFERROR(IF(INDEX(RUNS!$K$6:$K$1005,MATCH($D431,RUNS!$A$6:$A$1005,0))="","",INDEX(RUNS!$K$6:$K$1005,MATCH($D431,RUNS!$A$6:$A$1005,0))),""))</f>
        <v/>
      </c>
      <c r="R431" s="34">
        <f>IF(OR($L431="",$K431=""),"",IFERROR(IF(INDEX(PARAMETRES!$H$43:$H$342,MATCH($L431&amp;"|"&amp;$M431&amp;"|"&amp;$N431&amp;"|"&amp;$O431&amp;"|"&amp;$P431&amp;"|"&amp;$Q431&amp;"|"&amp;$K431,PARAMETRES!$J$43:$J$342,0))="","",INDEX(PARAMETRES!$H$43:$H$342,MATCH($L431&amp;"|"&amp;$M431&amp;"|"&amp;$N431&amp;"|"&amp;$O431&amp;"|"&amp;$P431&amp;"|"&amp;$Q431&amp;"|"&amp;$K431,PARAMETRES!$J$43:$J$342,0))),""))</f>
        <v/>
      </c>
      <c r="S431" s="35">
        <f>IF(OR($G431="",$X431&lt;&gt;"VALIDE"),"",IFERROR(LOOKUP(2,1/(($B$3:$B430=$B431)*($G$3:$G430=$G431)*($X$3:$X430="VALIDE")),$C$3:$C430),""))</f>
        <v/>
      </c>
      <c r="T431" s="36">
        <f>IF(OR($C431="",$S431=""),"",ROUND(($C431-$S431+IF($C431&lt;$S431,1,0))*1440,0))</f>
        <v/>
      </c>
      <c r="U431" s="22">
        <f>IF(OR($H431="",$T431="",$T431&lt;=0),"",$H431*60/$T431)</f>
        <v/>
      </c>
      <c r="V431" s="37">
        <f>IF(OR($U431="",$R431="",$R431=0),"",$U431/$R431)</f>
        <v/>
      </c>
      <c r="W431" s="20">
        <f>IF($G431="","",IF($X431="CONTEXTE INCOMPLET","CONTEXTE INCOMPLET",IF($X431="DOUBLON",StatutDoublon,IF($S431="",StatutInitial,IF($R431="",StatutStandardManquant,IF($V431="","DONNEES INSUFFISANTES",IF($V431&gt;=SeuilConforme,StatutConforme,IF($V431&gt;=SeuilSurveiller,StatutSurveiller,StatutSousStandard))))))))</f>
        <v/>
      </c>
      <c r="X431" s="33">
        <f>IF($G431="","",IF(OR($D431="",$E431="",$F431=""),"CONTEXTE INCOMPLET",IF(COUNTIFS($D$3:$D430,$D431,$E$3:$E430,$E431,$F$3:$F430,$F431,$G$3:$G430,$G431)&gt;0,"DOUBLON","VALIDE")))</f>
        <v/>
      </c>
    </row>
    <row r="432" ht="15" customHeight="1">
      <c r="A432" s="12">
        <f>IF(OR($B432="",$G432=""),"",TEXT($B432,"YYYYMMDD")&amp;"-"&amp;SUBSTITUTE($E432," ","")&amp;"-"&amp;$F432&amp;"-"&amp;$G432)</f>
        <v/>
      </c>
      <c r="B432" s="15" t="n"/>
      <c r="C432" s="16" t="n"/>
      <c r="D432" s="10" t="n"/>
      <c r="E432" s="9" t="n"/>
      <c r="F432" s="9" t="n"/>
      <c r="G432" s="13" t="n"/>
      <c r="H432" s="21" t="n"/>
      <c r="I432" s="21" t="n"/>
      <c r="J432" s="17">
        <f>IF($G432="","",IFERROR(INDEX(NomsEmployes,MATCH($G432,MatriculesEmployes,0)),"MATRICULE INCONNU"))</f>
        <v/>
      </c>
      <c r="K432" s="33">
        <f>IF(OR($D432="",$F432=""),"",IFERROR(IF(INDEX(RUNS!$L$6:$S$1005,MATCH($D432,RUNS!$A$6:$A$1005,0),MATCH("ACTIVITÉ "&amp;$F432,RUNS!$L$5:$S$5,0))="","",INDEX(RUNS!$L$6:$S$1005,MATCH($D432,RUNS!$A$6:$A$1005,0),MATCH("ACTIVITÉ "&amp;$F432,RUNS!$L$5:$S$5,0))),""))</f>
        <v/>
      </c>
      <c r="L432" s="33">
        <f>IF($D432="","",IFERROR(IF(INDEX(RUNS!$E$6:$E$1005,MATCH($D432,RUNS!$A$6:$A$1005,0))="","",INDEX(RUNS!$E$6:$E$1005,MATCH($D432,RUNS!$A$6:$A$1005,0))),""))</f>
        <v/>
      </c>
      <c r="M432" s="33">
        <f>IF($D432="","",IFERROR(IF(INDEX(RUNS!$F$6:$F$1005,MATCH($D432,RUNS!$A$6:$A$1005,0))="","",INDEX(RUNS!$F$6:$F$1005,MATCH($D432,RUNS!$A$6:$A$1005,0))),""))</f>
        <v/>
      </c>
      <c r="N432" s="33">
        <f>IF($D432="","",IFERROR(IF(INDEX(RUNS!$G$6:$G$1005,MATCH($D432,RUNS!$A$6:$A$1005,0))="","",INDEX(RUNS!$G$6:$G$1005,MATCH($D432,RUNS!$A$6:$A$1005,0))),""))</f>
        <v/>
      </c>
      <c r="O432" s="33">
        <f>IF($D432="","",IFERROR(IF(INDEX(RUNS!$H$6:$H$1005,MATCH($D432,RUNS!$A$6:$A$1005,0))="","",INDEX(RUNS!$H$6:$H$1005,MATCH($D432,RUNS!$A$6:$A$1005,0))),""))</f>
        <v/>
      </c>
      <c r="P432" s="33">
        <f>IF($D432="","",IFERROR(IF(INDEX(RUNS!$J$6:$J$1005,MATCH($D432,RUNS!$A$6:$A$1005,0))="","",INDEX(RUNS!$J$6:$J$1005,MATCH($D432,RUNS!$A$6:$A$1005,0))),""))</f>
        <v/>
      </c>
      <c r="Q432" s="33">
        <f>IF($D432="","",IFERROR(IF(INDEX(RUNS!$K$6:$K$1005,MATCH($D432,RUNS!$A$6:$A$1005,0))="","",INDEX(RUNS!$K$6:$K$1005,MATCH($D432,RUNS!$A$6:$A$1005,0))),""))</f>
        <v/>
      </c>
      <c r="R432" s="34">
        <f>IF(OR($L432="",$K432=""),"",IFERROR(IF(INDEX(PARAMETRES!$H$43:$H$342,MATCH($L432&amp;"|"&amp;$M432&amp;"|"&amp;$N432&amp;"|"&amp;$O432&amp;"|"&amp;$P432&amp;"|"&amp;$Q432&amp;"|"&amp;$K432,PARAMETRES!$J$43:$J$342,0))="","",INDEX(PARAMETRES!$H$43:$H$342,MATCH($L432&amp;"|"&amp;$M432&amp;"|"&amp;$N432&amp;"|"&amp;$O432&amp;"|"&amp;$P432&amp;"|"&amp;$Q432&amp;"|"&amp;$K432,PARAMETRES!$J$43:$J$342,0))),""))</f>
        <v/>
      </c>
      <c r="S432" s="35">
        <f>IF(OR($G432="",$X432&lt;&gt;"VALIDE"),"",IFERROR(LOOKUP(2,1/(($B$3:$B431=$B432)*($G$3:$G431=$G432)*($X$3:$X431="VALIDE")),$C$3:$C431),""))</f>
        <v/>
      </c>
      <c r="T432" s="36">
        <f>IF(OR($C432="",$S432=""),"",ROUND(($C432-$S432+IF($C432&lt;$S432,1,0))*1440,0))</f>
        <v/>
      </c>
      <c r="U432" s="22">
        <f>IF(OR($H432="",$T432="",$T432&lt;=0),"",$H432*60/$T432)</f>
        <v/>
      </c>
      <c r="V432" s="37">
        <f>IF(OR($U432="",$R432="",$R432=0),"",$U432/$R432)</f>
        <v/>
      </c>
      <c r="W432" s="20">
        <f>IF($G432="","",IF($X432="CONTEXTE INCOMPLET","CONTEXTE INCOMPLET",IF($X432="DOUBLON",StatutDoublon,IF($S432="",StatutInitial,IF($R432="",StatutStandardManquant,IF($V432="","DONNEES INSUFFISANTES",IF($V432&gt;=SeuilConforme,StatutConforme,IF($V432&gt;=SeuilSurveiller,StatutSurveiller,StatutSousStandard))))))))</f>
        <v/>
      </c>
      <c r="X432" s="33">
        <f>IF($G432="","",IF(OR($D432="",$E432="",$F432=""),"CONTEXTE INCOMPLET",IF(COUNTIFS($D$3:$D431,$D432,$E$3:$E431,$E432,$F$3:$F431,$F432,$G$3:$G431,$G432)&gt;0,"DOUBLON","VALIDE")))</f>
        <v/>
      </c>
    </row>
    <row r="433" ht="15" customHeight="1">
      <c r="A433" s="12">
        <f>IF(OR($B433="",$G433=""),"",TEXT($B433,"YYYYMMDD")&amp;"-"&amp;SUBSTITUTE($E433," ","")&amp;"-"&amp;$F433&amp;"-"&amp;$G433)</f>
        <v/>
      </c>
      <c r="B433" s="15" t="n"/>
      <c r="C433" s="16" t="n"/>
      <c r="D433" s="10" t="n"/>
      <c r="E433" s="9" t="n"/>
      <c r="F433" s="9" t="n"/>
      <c r="G433" s="13" t="n"/>
      <c r="H433" s="21" t="n"/>
      <c r="I433" s="21" t="n"/>
      <c r="J433" s="17">
        <f>IF($G433="","",IFERROR(INDEX(NomsEmployes,MATCH($G433,MatriculesEmployes,0)),"MATRICULE INCONNU"))</f>
        <v/>
      </c>
      <c r="K433" s="33">
        <f>IF(OR($D433="",$F433=""),"",IFERROR(IF(INDEX(RUNS!$L$6:$S$1005,MATCH($D433,RUNS!$A$6:$A$1005,0),MATCH("ACTIVITÉ "&amp;$F433,RUNS!$L$5:$S$5,0))="","",INDEX(RUNS!$L$6:$S$1005,MATCH($D433,RUNS!$A$6:$A$1005,0),MATCH("ACTIVITÉ "&amp;$F433,RUNS!$L$5:$S$5,0))),""))</f>
        <v/>
      </c>
      <c r="L433" s="33">
        <f>IF($D433="","",IFERROR(IF(INDEX(RUNS!$E$6:$E$1005,MATCH($D433,RUNS!$A$6:$A$1005,0))="","",INDEX(RUNS!$E$6:$E$1005,MATCH($D433,RUNS!$A$6:$A$1005,0))),""))</f>
        <v/>
      </c>
      <c r="M433" s="33">
        <f>IF($D433="","",IFERROR(IF(INDEX(RUNS!$F$6:$F$1005,MATCH($D433,RUNS!$A$6:$A$1005,0))="","",INDEX(RUNS!$F$6:$F$1005,MATCH($D433,RUNS!$A$6:$A$1005,0))),""))</f>
        <v/>
      </c>
      <c r="N433" s="33">
        <f>IF($D433="","",IFERROR(IF(INDEX(RUNS!$G$6:$G$1005,MATCH($D433,RUNS!$A$6:$A$1005,0))="","",INDEX(RUNS!$G$6:$G$1005,MATCH($D433,RUNS!$A$6:$A$1005,0))),""))</f>
        <v/>
      </c>
      <c r="O433" s="33">
        <f>IF($D433="","",IFERROR(IF(INDEX(RUNS!$H$6:$H$1005,MATCH($D433,RUNS!$A$6:$A$1005,0))="","",INDEX(RUNS!$H$6:$H$1005,MATCH($D433,RUNS!$A$6:$A$1005,0))),""))</f>
        <v/>
      </c>
      <c r="P433" s="33">
        <f>IF($D433="","",IFERROR(IF(INDEX(RUNS!$J$6:$J$1005,MATCH($D433,RUNS!$A$6:$A$1005,0))="","",INDEX(RUNS!$J$6:$J$1005,MATCH($D433,RUNS!$A$6:$A$1005,0))),""))</f>
        <v/>
      </c>
      <c r="Q433" s="33">
        <f>IF($D433="","",IFERROR(IF(INDEX(RUNS!$K$6:$K$1005,MATCH($D433,RUNS!$A$6:$A$1005,0))="","",INDEX(RUNS!$K$6:$K$1005,MATCH($D433,RUNS!$A$6:$A$1005,0))),""))</f>
        <v/>
      </c>
      <c r="R433" s="34">
        <f>IF(OR($L433="",$K433=""),"",IFERROR(IF(INDEX(PARAMETRES!$H$43:$H$342,MATCH($L433&amp;"|"&amp;$M433&amp;"|"&amp;$N433&amp;"|"&amp;$O433&amp;"|"&amp;$P433&amp;"|"&amp;$Q433&amp;"|"&amp;$K433,PARAMETRES!$J$43:$J$342,0))="","",INDEX(PARAMETRES!$H$43:$H$342,MATCH($L433&amp;"|"&amp;$M433&amp;"|"&amp;$N433&amp;"|"&amp;$O433&amp;"|"&amp;$P433&amp;"|"&amp;$Q433&amp;"|"&amp;$K433,PARAMETRES!$J$43:$J$342,0))),""))</f>
        <v/>
      </c>
      <c r="S433" s="35">
        <f>IF(OR($G433="",$X433&lt;&gt;"VALIDE"),"",IFERROR(LOOKUP(2,1/(($B$3:$B432=$B433)*($G$3:$G432=$G433)*($X$3:$X432="VALIDE")),$C$3:$C432),""))</f>
        <v/>
      </c>
      <c r="T433" s="36">
        <f>IF(OR($C433="",$S433=""),"",ROUND(($C433-$S433+IF($C433&lt;$S433,1,0))*1440,0))</f>
        <v/>
      </c>
      <c r="U433" s="22">
        <f>IF(OR($H433="",$T433="",$T433&lt;=0),"",$H433*60/$T433)</f>
        <v/>
      </c>
      <c r="V433" s="37">
        <f>IF(OR($U433="",$R433="",$R433=0),"",$U433/$R433)</f>
        <v/>
      </c>
      <c r="W433" s="20">
        <f>IF($G433="","",IF($X433="CONTEXTE INCOMPLET","CONTEXTE INCOMPLET",IF($X433="DOUBLON",StatutDoublon,IF($S433="",StatutInitial,IF($R433="",StatutStandardManquant,IF($V433="","DONNEES INSUFFISANTES",IF($V433&gt;=SeuilConforme,StatutConforme,IF($V433&gt;=SeuilSurveiller,StatutSurveiller,StatutSousStandard))))))))</f>
        <v/>
      </c>
      <c r="X433" s="33">
        <f>IF($G433="","",IF(OR($D433="",$E433="",$F433=""),"CONTEXTE INCOMPLET",IF(COUNTIFS($D$3:$D432,$D433,$E$3:$E432,$E433,$F$3:$F432,$F433,$G$3:$G432,$G433)&gt;0,"DOUBLON","VALIDE")))</f>
        <v/>
      </c>
    </row>
    <row r="434" ht="15" customHeight="1">
      <c r="A434" s="12">
        <f>IF(OR($B434="",$G434=""),"",TEXT($B434,"YYYYMMDD")&amp;"-"&amp;SUBSTITUTE($E434," ","")&amp;"-"&amp;$F434&amp;"-"&amp;$G434)</f>
        <v/>
      </c>
      <c r="B434" s="15" t="n"/>
      <c r="C434" s="16" t="n"/>
      <c r="D434" s="10" t="n"/>
      <c r="E434" s="9" t="n"/>
      <c r="F434" s="9" t="n"/>
      <c r="G434" s="13" t="n"/>
      <c r="H434" s="21" t="n"/>
      <c r="I434" s="21" t="n"/>
      <c r="J434" s="17">
        <f>IF($G434="","",IFERROR(INDEX(NomsEmployes,MATCH($G434,MatriculesEmployes,0)),"MATRICULE INCONNU"))</f>
        <v/>
      </c>
      <c r="K434" s="33">
        <f>IF(OR($D434="",$F434=""),"",IFERROR(IF(INDEX(RUNS!$L$6:$S$1005,MATCH($D434,RUNS!$A$6:$A$1005,0),MATCH("ACTIVITÉ "&amp;$F434,RUNS!$L$5:$S$5,0))="","",INDEX(RUNS!$L$6:$S$1005,MATCH($D434,RUNS!$A$6:$A$1005,0),MATCH("ACTIVITÉ "&amp;$F434,RUNS!$L$5:$S$5,0))),""))</f>
        <v/>
      </c>
      <c r="L434" s="33">
        <f>IF($D434="","",IFERROR(IF(INDEX(RUNS!$E$6:$E$1005,MATCH($D434,RUNS!$A$6:$A$1005,0))="","",INDEX(RUNS!$E$6:$E$1005,MATCH($D434,RUNS!$A$6:$A$1005,0))),""))</f>
        <v/>
      </c>
      <c r="M434" s="33">
        <f>IF($D434="","",IFERROR(IF(INDEX(RUNS!$F$6:$F$1005,MATCH($D434,RUNS!$A$6:$A$1005,0))="","",INDEX(RUNS!$F$6:$F$1005,MATCH($D434,RUNS!$A$6:$A$1005,0))),""))</f>
        <v/>
      </c>
      <c r="N434" s="33">
        <f>IF($D434="","",IFERROR(IF(INDEX(RUNS!$G$6:$G$1005,MATCH($D434,RUNS!$A$6:$A$1005,0))="","",INDEX(RUNS!$G$6:$G$1005,MATCH($D434,RUNS!$A$6:$A$1005,0))),""))</f>
        <v/>
      </c>
      <c r="O434" s="33">
        <f>IF($D434="","",IFERROR(IF(INDEX(RUNS!$H$6:$H$1005,MATCH($D434,RUNS!$A$6:$A$1005,0))="","",INDEX(RUNS!$H$6:$H$1005,MATCH($D434,RUNS!$A$6:$A$1005,0))),""))</f>
        <v/>
      </c>
      <c r="P434" s="33">
        <f>IF($D434="","",IFERROR(IF(INDEX(RUNS!$J$6:$J$1005,MATCH($D434,RUNS!$A$6:$A$1005,0))="","",INDEX(RUNS!$J$6:$J$1005,MATCH($D434,RUNS!$A$6:$A$1005,0))),""))</f>
        <v/>
      </c>
      <c r="Q434" s="33">
        <f>IF($D434="","",IFERROR(IF(INDEX(RUNS!$K$6:$K$1005,MATCH($D434,RUNS!$A$6:$A$1005,0))="","",INDEX(RUNS!$K$6:$K$1005,MATCH($D434,RUNS!$A$6:$A$1005,0))),""))</f>
        <v/>
      </c>
      <c r="R434" s="34">
        <f>IF(OR($L434="",$K434=""),"",IFERROR(IF(INDEX(PARAMETRES!$H$43:$H$342,MATCH($L434&amp;"|"&amp;$M434&amp;"|"&amp;$N434&amp;"|"&amp;$O434&amp;"|"&amp;$P434&amp;"|"&amp;$Q434&amp;"|"&amp;$K434,PARAMETRES!$J$43:$J$342,0))="","",INDEX(PARAMETRES!$H$43:$H$342,MATCH($L434&amp;"|"&amp;$M434&amp;"|"&amp;$N434&amp;"|"&amp;$O434&amp;"|"&amp;$P434&amp;"|"&amp;$Q434&amp;"|"&amp;$K434,PARAMETRES!$J$43:$J$342,0))),""))</f>
        <v/>
      </c>
      <c r="S434" s="35">
        <f>IF(OR($G434="",$X434&lt;&gt;"VALIDE"),"",IFERROR(LOOKUP(2,1/(($B$3:$B433=$B434)*($G$3:$G433=$G434)*($X$3:$X433="VALIDE")),$C$3:$C433),""))</f>
        <v/>
      </c>
      <c r="T434" s="36">
        <f>IF(OR($C434="",$S434=""),"",ROUND(($C434-$S434+IF($C434&lt;$S434,1,0))*1440,0))</f>
        <v/>
      </c>
      <c r="U434" s="22">
        <f>IF(OR($H434="",$T434="",$T434&lt;=0),"",$H434*60/$T434)</f>
        <v/>
      </c>
      <c r="V434" s="37">
        <f>IF(OR($U434="",$R434="",$R434=0),"",$U434/$R434)</f>
        <v/>
      </c>
      <c r="W434" s="20">
        <f>IF($G434="","",IF($X434="CONTEXTE INCOMPLET","CONTEXTE INCOMPLET",IF($X434="DOUBLON",StatutDoublon,IF($S434="",StatutInitial,IF($R434="",StatutStandardManquant,IF($V434="","DONNEES INSUFFISANTES",IF($V434&gt;=SeuilConforme,StatutConforme,IF($V434&gt;=SeuilSurveiller,StatutSurveiller,StatutSousStandard))))))))</f>
        <v/>
      </c>
      <c r="X434" s="33">
        <f>IF($G434="","",IF(OR($D434="",$E434="",$F434=""),"CONTEXTE INCOMPLET",IF(COUNTIFS($D$3:$D433,$D434,$E$3:$E433,$E434,$F$3:$F433,$F434,$G$3:$G433,$G434)&gt;0,"DOUBLON","VALIDE")))</f>
        <v/>
      </c>
    </row>
    <row r="435" ht="15" customHeight="1">
      <c r="A435" s="12">
        <f>IF(OR($B435="",$G435=""),"",TEXT($B435,"YYYYMMDD")&amp;"-"&amp;SUBSTITUTE($E435," ","")&amp;"-"&amp;$F435&amp;"-"&amp;$G435)</f>
        <v/>
      </c>
      <c r="B435" s="15" t="n"/>
      <c r="C435" s="16" t="n"/>
      <c r="D435" s="10" t="n"/>
      <c r="E435" s="9" t="n"/>
      <c r="F435" s="9" t="n"/>
      <c r="G435" s="13" t="n"/>
      <c r="H435" s="21" t="n"/>
      <c r="I435" s="21" t="n"/>
      <c r="J435" s="17">
        <f>IF($G435="","",IFERROR(INDEX(NomsEmployes,MATCH($G435,MatriculesEmployes,0)),"MATRICULE INCONNU"))</f>
        <v/>
      </c>
      <c r="K435" s="33">
        <f>IF(OR($D435="",$F435=""),"",IFERROR(IF(INDEX(RUNS!$L$6:$S$1005,MATCH($D435,RUNS!$A$6:$A$1005,0),MATCH("ACTIVITÉ "&amp;$F435,RUNS!$L$5:$S$5,0))="","",INDEX(RUNS!$L$6:$S$1005,MATCH($D435,RUNS!$A$6:$A$1005,0),MATCH("ACTIVITÉ "&amp;$F435,RUNS!$L$5:$S$5,0))),""))</f>
        <v/>
      </c>
      <c r="L435" s="33">
        <f>IF($D435="","",IFERROR(IF(INDEX(RUNS!$E$6:$E$1005,MATCH($D435,RUNS!$A$6:$A$1005,0))="","",INDEX(RUNS!$E$6:$E$1005,MATCH($D435,RUNS!$A$6:$A$1005,0))),""))</f>
        <v/>
      </c>
      <c r="M435" s="33">
        <f>IF($D435="","",IFERROR(IF(INDEX(RUNS!$F$6:$F$1005,MATCH($D435,RUNS!$A$6:$A$1005,0))="","",INDEX(RUNS!$F$6:$F$1005,MATCH($D435,RUNS!$A$6:$A$1005,0))),""))</f>
        <v/>
      </c>
      <c r="N435" s="33">
        <f>IF($D435="","",IFERROR(IF(INDEX(RUNS!$G$6:$G$1005,MATCH($D435,RUNS!$A$6:$A$1005,0))="","",INDEX(RUNS!$G$6:$G$1005,MATCH($D435,RUNS!$A$6:$A$1005,0))),""))</f>
        <v/>
      </c>
      <c r="O435" s="33">
        <f>IF($D435="","",IFERROR(IF(INDEX(RUNS!$H$6:$H$1005,MATCH($D435,RUNS!$A$6:$A$1005,0))="","",INDEX(RUNS!$H$6:$H$1005,MATCH($D435,RUNS!$A$6:$A$1005,0))),""))</f>
        <v/>
      </c>
      <c r="P435" s="33">
        <f>IF($D435="","",IFERROR(IF(INDEX(RUNS!$J$6:$J$1005,MATCH($D435,RUNS!$A$6:$A$1005,0))="","",INDEX(RUNS!$J$6:$J$1005,MATCH($D435,RUNS!$A$6:$A$1005,0))),""))</f>
        <v/>
      </c>
      <c r="Q435" s="33">
        <f>IF($D435="","",IFERROR(IF(INDEX(RUNS!$K$6:$K$1005,MATCH($D435,RUNS!$A$6:$A$1005,0))="","",INDEX(RUNS!$K$6:$K$1005,MATCH($D435,RUNS!$A$6:$A$1005,0))),""))</f>
        <v/>
      </c>
      <c r="R435" s="34">
        <f>IF(OR($L435="",$K435=""),"",IFERROR(IF(INDEX(PARAMETRES!$H$43:$H$342,MATCH($L435&amp;"|"&amp;$M435&amp;"|"&amp;$N435&amp;"|"&amp;$O435&amp;"|"&amp;$P435&amp;"|"&amp;$Q435&amp;"|"&amp;$K435,PARAMETRES!$J$43:$J$342,0))="","",INDEX(PARAMETRES!$H$43:$H$342,MATCH($L435&amp;"|"&amp;$M435&amp;"|"&amp;$N435&amp;"|"&amp;$O435&amp;"|"&amp;$P435&amp;"|"&amp;$Q435&amp;"|"&amp;$K435,PARAMETRES!$J$43:$J$342,0))),""))</f>
        <v/>
      </c>
      <c r="S435" s="35">
        <f>IF(OR($G435="",$X435&lt;&gt;"VALIDE"),"",IFERROR(LOOKUP(2,1/(($B$3:$B434=$B435)*($G$3:$G434=$G435)*($X$3:$X434="VALIDE")),$C$3:$C434),""))</f>
        <v/>
      </c>
      <c r="T435" s="36">
        <f>IF(OR($C435="",$S435=""),"",ROUND(($C435-$S435+IF($C435&lt;$S435,1,0))*1440,0))</f>
        <v/>
      </c>
      <c r="U435" s="22">
        <f>IF(OR($H435="",$T435="",$T435&lt;=0),"",$H435*60/$T435)</f>
        <v/>
      </c>
      <c r="V435" s="37">
        <f>IF(OR($U435="",$R435="",$R435=0),"",$U435/$R435)</f>
        <v/>
      </c>
      <c r="W435" s="20">
        <f>IF($G435="","",IF($X435="CONTEXTE INCOMPLET","CONTEXTE INCOMPLET",IF($X435="DOUBLON",StatutDoublon,IF($S435="",StatutInitial,IF($R435="",StatutStandardManquant,IF($V435="","DONNEES INSUFFISANTES",IF($V435&gt;=SeuilConforme,StatutConforme,IF($V435&gt;=SeuilSurveiller,StatutSurveiller,StatutSousStandard))))))))</f>
        <v/>
      </c>
      <c r="X435" s="33">
        <f>IF($G435="","",IF(OR($D435="",$E435="",$F435=""),"CONTEXTE INCOMPLET",IF(COUNTIFS($D$3:$D434,$D435,$E$3:$E434,$E435,$F$3:$F434,$F435,$G$3:$G434,$G435)&gt;0,"DOUBLON","VALIDE")))</f>
        <v/>
      </c>
    </row>
    <row r="436" ht="15" customHeight="1">
      <c r="A436" s="12">
        <f>IF(OR($B436="",$G436=""),"",TEXT($B436,"YYYYMMDD")&amp;"-"&amp;SUBSTITUTE($E436," ","")&amp;"-"&amp;$F436&amp;"-"&amp;$G436)</f>
        <v/>
      </c>
      <c r="B436" s="15" t="n"/>
      <c r="C436" s="16" t="n"/>
      <c r="D436" s="10" t="n"/>
      <c r="E436" s="9" t="n"/>
      <c r="F436" s="9" t="n"/>
      <c r="G436" s="13" t="n"/>
      <c r="H436" s="21" t="n"/>
      <c r="I436" s="21" t="n"/>
      <c r="J436" s="17">
        <f>IF($G436="","",IFERROR(INDEX(NomsEmployes,MATCH($G436,MatriculesEmployes,0)),"MATRICULE INCONNU"))</f>
        <v/>
      </c>
      <c r="K436" s="33">
        <f>IF(OR($D436="",$F436=""),"",IFERROR(IF(INDEX(RUNS!$L$6:$S$1005,MATCH($D436,RUNS!$A$6:$A$1005,0),MATCH("ACTIVITÉ "&amp;$F436,RUNS!$L$5:$S$5,0))="","",INDEX(RUNS!$L$6:$S$1005,MATCH($D436,RUNS!$A$6:$A$1005,0),MATCH("ACTIVITÉ "&amp;$F436,RUNS!$L$5:$S$5,0))),""))</f>
        <v/>
      </c>
      <c r="L436" s="33">
        <f>IF($D436="","",IFERROR(IF(INDEX(RUNS!$E$6:$E$1005,MATCH($D436,RUNS!$A$6:$A$1005,0))="","",INDEX(RUNS!$E$6:$E$1005,MATCH($D436,RUNS!$A$6:$A$1005,0))),""))</f>
        <v/>
      </c>
      <c r="M436" s="33">
        <f>IF($D436="","",IFERROR(IF(INDEX(RUNS!$F$6:$F$1005,MATCH($D436,RUNS!$A$6:$A$1005,0))="","",INDEX(RUNS!$F$6:$F$1005,MATCH($D436,RUNS!$A$6:$A$1005,0))),""))</f>
        <v/>
      </c>
      <c r="N436" s="33">
        <f>IF($D436="","",IFERROR(IF(INDEX(RUNS!$G$6:$G$1005,MATCH($D436,RUNS!$A$6:$A$1005,0))="","",INDEX(RUNS!$G$6:$G$1005,MATCH($D436,RUNS!$A$6:$A$1005,0))),""))</f>
        <v/>
      </c>
      <c r="O436" s="33">
        <f>IF($D436="","",IFERROR(IF(INDEX(RUNS!$H$6:$H$1005,MATCH($D436,RUNS!$A$6:$A$1005,0))="","",INDEX(RUNS!$H$6:$H$1005,MATCH($D436,RUNS!$A$6:$A$1005,0))),""))</f>
        <v/>
      </c>
      <c r="P436" s="33">
        <f>IF($D436="","",IFERROR(IF(INDEX(RUNS!$J$6:$J$1005,MATCH($D436,RUNS!$A$6:$A$1005,0))="","",INDEX(RUNS!$J$6:$J$1005,MATCH($D436,RUNS!$A$6:$A$1005,0))),""))</f>
        <v/>
      </c>
      <c r="Q436" s="33">
        <f>IF($D436="","",IFERROR(IF(INDEX(RUNS!$K$6:$K$1005,MATCH($D436,RUNS!$A$6:$A$1005,0))="","",INDEX(RUNS!$K$6:$K$1005,MATCH($D436,RUNS!$A$6:$A$1005,0))),""))</f>
        <v/>
      </c>
      <c r="R436" s="34">
        <f>IF(OR($L436="",$K436=""),"",IFERROR(IF(INDEX(PARAMETRES!$H$43:$H$342,MATCH($L436&amp;"|"&amp;$M436&amp;"|"&amp;$N436&amp;"|"&amp;$O436&amp;"|"&amp;$P436&amp;"|"&amp;$Q436&amp;"|"&amp;$K436,PARAMETRES!$J$43:$J$342,0))="","",INDEX(PARAMETRES!$H$43:$H$342,MATCH($L436&amp;"|"&amp;$M436&amp;"|"&amp;$N436&amp;"|"&amp;$O436&amp;"|"&amp;$P436&amp;"|"&amp;$Q436&amp;"|"&amp;$K436,PARAMETRES!$J$43:$J$342,0))),""))</f>
        <v/>
      </c>
      <c r="S436" s="35">
        <f>IF(OR($G436="",$X436&lt;&gt;"VALIDE"),"",IFERROR(LOOKUP(2,1/(($B$3:$B435=$B436)*($G$3:$G435=$G436)*($X$3:$X435="VALIDE")),$C$3:$C435),""))</f>
        <v/>
      </c>
      <c r="T436" s="36">
        <f>IF(OR($C436="",$S436=""),"",ROUND(($C436-$S436+IF($C436&lt;$S436,1,0))*1440,0))</f>
        <v/>
      </c>
      <c r="U436" s="22">
        <f>IF(OR($H436="",$T436="",$T436&lt;=0),"",$H436*60/$T436)</f>
        <v/>
      </c>
      <c r="V436" s="37">
        <f>IF(OR($U436="",$R436="",$R436=0),"",$U436/$R436)</f>
        <v/>
      </c>
      <c r="W436" s="20">
        <f>IF($G436="","",IF($X436="CONTEXTE INCOMPLET","CONTEXTE INCOMPLET",IF($X436="DOUBLON",StatutDoublon,IF($S436="",StatutInitial,IF($R436="",StatutStandardManquant,IF($V436="","DONNEES INSUFFISANTES",IF($V436&gt;=SeuilConforme,StatutConforme,IF($V436&gt;=SeuilSurveiller,StatutSurveiller,StatutSousStandard))))))))</f>
        <v/>
      </c>
      <c r="X436" s="33">
        <f>IF($G436="","",IF(OR($D436="",$E436="",$F436=""),"CONTEXTE INCOMPLET",IF(COUNTIFS($D$3:$D435,$D436,$E$3:$E435,$E436,$F$3:$F435,$F436,$G$3:$G435,$G436)&gt;0,"DOUBLON","VALIDE")))</f>
        <v/>
      </c>
    </row>
    <row r="437" ht="15" customHeight="1">
      <c r="A437" s="12">
        <f>IF(OR($B437="",$G437=""),"",TEXT($B437,"YYYYMMDD")&amp;"-"&amp;SUBSTITUTE($E437," ","")&amp;"-"&amp;$F437&amp;"-"&amp;$G437)</f>
        <v/>
      </c>
      <c r="B437" s="15" t="n"/>
      <c r="C437" s="16" t="n"/>
      <c r="D437" s="10" t="n"/>
      <c r="E437" s="9" t="n"/>
      <c r="F437" s="9" t="n"/>
      <c r="G437" s="13" t="n"/>
      <c r="H437" s="21" t="n"/>
      <c r="I437" s="21" t="n"/>
      <c r="J437" s="17">
        <f>IF($G437="","",IFERROR(INDEX(NomsEmployes,MATCH($G437,MatriculesEmployes,0)),"MATRICULE INCONNU"))</f>
        <v/>
      </c>
      <c r="K437" s="33">
        <f>IF(OR($D437="",$F437=""),"",IFERROR(IF(INDEX(RUNS!$L$6:$S$1005,MATCH($D437,RUNS!$A$6:$A$1005,0),MATCH("ACTIVITÉ "&amp;$F437,RUNS!$L$5:$S$5,0))="","",INDEX(RUNS!$L$6:$S$1005,MATCH($D437,RUNS!$A$6:$A$1005,0),MATCH("ACTIVITÉ "&amp;$F437,RUNS!$L$5:$S$5,0))),""))</f>
        <v/>
      </c>
      <c r="L437" s="33">
        <f>IF($D437="","",IFERROR(IF(INDEX(RUNS!$E$6:$E$1005,MATCH($D437,RUNS!$A$6:$A$1005,0))="","",INDEX(RUNS!$E$6:$E$1005,MATCH($D437,RUNS!$A$6:$A$1005,0))),""))</f>
        <v/>
      </c>
      <c r="M437" s="33">
        <f>IF($D437="","",IFERROR(IF(INDEX(RUNS!$F$6:$F$1005,MATCH($D437,RUNS!$A$6:$A$1005,0))="","",INDEX(RUNS!$F$6:$F$1005,MATCH($D437,RUNS!$A$6:$A$1005,0))),""))</f>
        <v/>
      </c>
      <c r="N437" s="33">
        <f>IF($D437="","",IFERROR(IF(INDEX(RUNS!$G$6:$G$1005,MATCH($D437,RUNS!$A$6:$A$1005,0))="","",INDEX(RUNS!$G$6:$G$1005,MATCH($D437,RUNS!$A$6:$A$1005,0))),""))</f>
        <v/>
      </c>
      <c r="O437" s="33">
        <f>IF($D437="","",IFERROR(IF(INDEX(RUNS!$H$6:$H$1005,MATCH($D437,RUNS!$A$6:$A$1005,0))="","",INDEX(RUNS!$H$6:$H$1005,MATCH($D437,RUNS!$A$6:$A$1005,0))),""))</f>
        <v/>
      </c>
      <c r="P437" s="33">
        <f>IF($D437="","",IFERROR(IF(INDEX(RUNS!$J$6:$J$1005,MATCH($D437,RUNS!$A$6:$A$1005,0))="","",INDEX(RUNS!$J$6:$J$1005,MATCH($D437,RUNS!$A$6:$A$1005,0))),""))</f>
        <v/>
      </c>
      <c r="Q437" s="33">
        <f>IF($D437="","",IFERROR(IF(INDEX(RUNS!$K$6:$K$1005,MATCH($D437,RUNS!$A$6:$A$1005,0))="","",INDEX(RUNS!$K$6:$K$1005,MATCH($D437,RUNS!$A$6:$A$1005,0))),""))</f>
        <v/>
      </c>
      <c r="R437" s="34">
        <f>IF(OR($L437="",$K437=""),"",IFERROR(IF(INDEX(PARAMETRES!$H$43:$H$342,MATCH($L437&amp;"|"&amp;$M437&amp;"|"&amp;$N437&amp;"|"&amp;$O437&amp;"|"&amp;$P437&amp;"|"&amp;$Q437&amp;"|"&amp;$K437,PARAMETRES!$J$43:$J$342,0))="","",INDEX(PARAMETRES!$H$43:$H$342,MATCH($L437&amp;"|"&amp;$M437&amp;"|"&amp;$N437&amp;"|"&amp;$O437&amp;"|"&amp;$P437&amp;"|"&amp;$Q437&amp;"|"&amp;$K437,PARAMETRES!$J$43:$J$342,0))),""))</f>
        <v/>
      </c>
      <c r="S437" s="35">
        <f>IF(OR($G437="",$X437&lt;&gt;"VALIDE"),"",IFERROR(LOOKUP(2,1/(($B$3:$B436=$B437)*($G$3:$G436=$G437)*($X$3:$X436="VALIDE")),$C$3:$C436),""))</f>
        <v/>
      </c>
      <c r="T437" s="36">
        <f>IF(OR($C437="",$S437=""),"",ROUND(($C437-$S437+IF($C437&lt;$S437,1,0))*1440,0))</f>
        <v/>
      </c>
      <c r="U437" s="22">
        <f>IF(OR($H437="",$T437="",$T437&lt;=0),"",$H437*60/$T437)</f>
        <v/>
      </c>
      <c r="V437" s="37">
        <f>IF(OR($U437="",$R437="",$R437=0),"",$U437/$R437)</f>
        <v/>
      </c>
      <c r="W437" s="20">
        <f>IF($G437="","",IF($X437="CONTEXTE INCOMPLET","CONTEXTE INCOMPLET",IF($X437="DOUBLON",StatutDoublon,IF($S437="",StatutInitial,IF($R437="",StatutStandardManquant,IF($V437="","DONNEES INSUFFISANTES",IF($V437&gt;=SeuilConforme,StatutConforme,IF($V437&gt;=SeuilSurveiller,StatutSurveiller,StatutSousStandard))))))))</f>
        <v/>
      </c>
      <c r="X437" s="33">
        <f>IF($G437="","",IF(OR($D437="",$E437="",$F437=""),"CONTEXTE INCOMPLET",IF(COUNTIFS($D$3:$D436,$D437,$E$3:$E436,$E437,$F$3:$F436,$F437,$G$3:$G436,$G437)&gt;0,"DOUBLON","VALIDE")))</f>
        <v/>
      </c>
    </row>
    <row r="438" ht="15" customHeight="1">
      <c r="A438" s="12">
        <f>IF(OR($B438="",$G438=""),"",TEXT($B438,"YYYYMMDD")&amp;"-"&amp;SUBSTITUTE($E438," ","")&amp;"-"&amp;$F438&amp;"-"&amp;$G438)</f>
        <v/>
      </c>
      <c r="B438" s="15" t="n"/>
      <c r="C438" s="16" t="n"/>
      <c r="D438" s="10" t="n"/>
      <c r="E438" s="9" t="n"/>
      <c r="F438" s="9" t="n"/>
      <c r="G438" s="13" t="n"/>
      <c r="H438" s="21" t="n"/>
      <c r="I438" s="21" t="n"/>
      <c r="J438" s="17">
        <f>IF($G438="","",IFERROR(INDEX(NomsEmployes,MATCH($G438,MatriculesEmployes,0)),"MATRICULE INCONNU"))</f>
        <v/>
      </c>
      <c r="K438" s="33">
        <f>IF(OR($D438="",$F438=""),"",IFERROR(IF(INDEX(RUNS!$L$6:$S$1005,MATCH($D438,RUNS!$A$6:$A$1005,0),MATCH("ACTIVITÉ "&amp;$F438,RUNS!$L$5:$S$5,0))="","",INDEX(RUNS!$L$6:$S$1005,MATCH($D438,RUNS!$A$6:$A$1005,0),MATCH("ACTIVITÉ "&amp;$F438,RUNS!$L$5:$S$5,0))),""))</f>
        <v/>
      </c>
      <c r="L438" s="33">
        <f>IF($D438="","",IFERROR(IF(INDEX(RUNS!$E$6:$E$1005,MATCH($D438,RUNS!$A$6:$A$1005,0))="","",INDEX(RUNS!$E$6:$E$1005,MATCH($D438,RUNS!$A$6:$A$1005,0))),""))</f>
        <v/>
      </c>
      <c r="M438" s="33">
        <f>IF($D438="","",IFERROR(IF(INDEX(RUNS!$F$6:$F$1005,MATCH($D438,RUNS!$A$6:$A$1005,0))="","",INDEX(RUNS!$F$6:$F$1005,MATCH($D438,RUNS!$A$6:$A$1005,0))),""))</f>
        <v/>
      </c>
      <c r="N438" s="33">
        <f>IF($D438="","",IFERROR(IF(INDEX(RUNS!$G$6:$G$1005,MATCH($D438,RUNS!$A$6:$A$1005,0))="","",INDEX(RUNS!$G$6:$G$1005,MATCH($D438,RUNS!$A$6:$A$1005,0))),""))</f>
        <v/>
      </c>
      <c r="O438" s="33">
        <f>IF($D438="","",IFERROR(IF(INDEX(RUNS!$H$6:$H$1005,MATCH($D438,RUNS!$A$6:$A$1005,0))="","",INDEX(RUNS!$H$6:$H$1005,MATCH($D438,RUNS!$A$6:$A$1005,0))),""))</f>
        <v/>
      </c>
      <c r="P438" s="33">
        <f>IF($D438="","",IFERROR(IF(INDEX(RUNS!$J$6:$J$1005,MATCH($D438,RUNS!$A$6:$A$1005,0))="","",INDEX(RUNS!$J$6:$J$1005,MATCH($D438,RUNS!$A$6:$A$1005,0))),""))</f>
        <v/>
      </c>
      <c r="Q438" s="33">
        <f>IF($D438="","",IFERROR(IF(INDEX(RUNS!$K$6:$K$1005,MATCH($D438,RUNS!$A$6:$A$1005,0))="","",INDEX(RUNS!$K$6:$K$1005,MATCH($D438,RUNS!$A$6:$A$1005,0))),""))</f>
        <v/>
      </c>
      <c r="R438" s="34">
        <f>IF(OR($L438="",$K438=""),"",IFERROR(IF(INDEX(PARAMETRES!$H$43:$H$342,MATCH($L438&amp;"|"&amp;$M438&amp;"|"&amp;$N438&amp;"|"&amp;$O438&amp;"|"&amp;$P438&amp;"|"&amp;$Q438&amp;"|"&amp;$K438,PARAMETRES!$J$43:$J$342,0))="","",INDEX(PARAMETRES!$H$43:$H$342,MATCH($L438&amp;"|"&amp;$M438&amp;"|"&amp;$N438&amp;"|"&amp;$O438&amp;"|"&amp;$P438&amp;"|"&amp;$Q438&amp;"|"&amp;$K438,PARAMETRES!$J$43:$J$342,0))),""))</f>
        <v/>
      </c>
      <c r="S438" s="35">
        <f>IF(OR($G438="",$X438&lt;&gt;"VALIDE"),"",IFERROR(LOOKUP(2,1/(($B$3:$B437=$B438)*($G$3:$G437=$G438)*($X$3:$X437="VALIDE")),$C$3:$C437),""))</f>
        <v/>
      </c>
      <c r="T438" s="36">
        <f>IF(OR($C438="",$S438=""),"",ROUND(($C438-$S438+IF($C438&lt;$S438,1,0))*1440,0))</f>
        <v/>
      </c>
      <c r="U438" s="22">
        <f>IF(OR($H438="",$T438="",$T438&lt;=0),"",$H438*60/$T438)</f>
        <v/>
      </c>
      <c r="V438" s="37">
        <f>IF(OR($U438="",$R438="",$R438=0),"",$U438/$R438)</f>
        <v/>
      </c>
      <c r="W438" s="20">
        <f>IF($G438="","",IF($X438="CONTEXTE INCOMPLET","CONTEXTE INCOMPLET",IF($X438="DOUBLON",StatutDoublon,IF($S438="",StatutInitial,IF($R438="",StatutStandardManquant,IF($V438="","DONNEES INSUFFISANTES",IF($V438&gt;=SeuilConforme,StatutConforme,IF($V438&gt;=SeuilSurveiller,StatutSurveiller,StatutSousStandard))))))))</f>
        <v/>
      </c>
      <c r="X438" s="33">
        <f>IF($G438="","",IF(OR($D438="",$E438="",$F438=""),"CONTEXTE INCOMPLET",IF(COUNTIFS($D$3:$D437,$D438,$E$3:$E437,$E438,$F$3:$F437,$F438,$G$3:$G437,$G438)&gt;0,"DOUBLON","VALIDE")))</f>
        <v/>
      </c>
    </row>
    <row r="439" ht="15" customHeight="1">
      <c r="A439" s="12">
        <f>IF(OR($B439="",$G439=""),"",TEXT($B439,"YYYYMMDD")&amp;"-"&amp;SUBSTITUTE($E439," ","")&amp;"-"&amp;$F439&amp;"-"&amp;$G439)</f>
        <v/>
      </c>
      <c r="B439" s="15" t="n"/>
      <c r="C439" s="16" t="n"/>
      <c r="D439" s="10" t="n"/>
      <c r="E439" s="9" t="n"/>
      <c r="F439" s="9" t="n"/>
      <c r="G439" s="13" t="n"/>
      <c r="H439" s="21" t="n"/>
      <c r="I439" s="21" t="n"/>
      <c r="J439" s="17">
        <f>IF($G439="","",IFERROR(INDEX(NomsEmployes,MATCH($G439,MatriculesEmployes,0)),"MATRICULE INCONNU"))</f>
        <v/>
      </c>
      <c r="K439" s="33">
        <f>IF(OR($D439="",$F439=""),"",IFERROR(IF(INDEX(RUNS!$L$6:$S$1005,MATCH($D439,RUNS!$A$6:$A$1005,0),MATCH("ACTIVITÉ "&amp;$F439,RUNS!$L$5:$S$5,0))="","",INDEX(RUNS!$L$6:$S$1005,MATCH($D439,RUNS!$A$6:$A$1005,0),MATCH("ACTIVITÉ "&amp;$F439,RUNS!$L$5:$S$5,0))),""))</f>
        <v/>
      </c>
      <c r="L439" s="33">
        <f>IF($D439="","",IFERROR(IF(INDEX(RUNS!$E$6:$E$1005,MATCH($D439,RUNS!$A$6:$A$1005,0))="","",INDEX(RUNS!$E$6:$E$1005,MATCH($D439,RUNS!$A$6:$A$1005,0))),""))</f>
        <v/>
      </c>
      <c r="M439" s="33">
        <f>IF($D439="","",IFERROR(IF(INDEX(RUNS!$F$6:$F$1005,MATCH($D439,RUNS!$A$6:$A$1005,0))="","",INDEX(RUNS!$F$6:$F$1005,MATCH($D439,RUNS!$A$6:$A$1005,0))),""))</f>
        <v/>
      </c>
      <c r="N439" s="33">
        <f>IF($D439="","",IFERROR(IF(INDEX(RUNS!$G$6:$G$1005,MATCH($D439,RUNS!$A$6:$A$1005,0))="","",INDEX(RUNS!$G$6:$G$1005,MATCH($D439,RUNS!$A$6:$A$1005,0))),""))</f>
        <v/>
      </c>
      <c r="O439" s="33">
        <f>IF($D439="","",IFERROR(IF(INDEX(RUNS!$H$6:$H$1005,MATCH($D439,RUNS!$A$6:$A$1005,0))="","",INDEX(RUNS!$H$6:$H$1005,MATCH($D439,RUNS!$A$6:$A$1005,0))),""))</f>
        <v/>
      </c>
      <c r="P439" s="33">
        <f>IF($D439="","",IFERROR(IF(INDEX(RUNS!$J$6:$J$1005,MATCH($D439,RUNS!$A$6:$A$1005,0))="","",INDEX(RUNS!$J$6:$J$1005,MATCH($D439,RUNS!$A$6:$A$1005,0))),""))</f>
        <v/>
      </c>
      <c r="Q439" s="33">
        <f>IF($D439="","",IFERROR(IF(INDEX(RUNS!$K$6:$K$1005,MATCH($D439,RUNS!$A$6:$A$1005,0))="","",INDEX(RUNS!$K$6:$K$1005,MATCH($D439,RUNS!$A$6:$A$1005,0))),""))</f>
        <v/>
      </c>
      <c r="R439" s="34">
        <f>IF(OR($L439="",$K439=""),"",IFERROR(IF(INDEX(PARAMETRES!$H$43:$H$342,MATCH($L439&amp;"|"&amp;$M439&amp;"|"&amp;$N439&amp;"|"&amp;$O439&amp;"|"&amp;$P439&amp;"|"&amp;$Q439&amp;"|"&amp;$K439,PARAMETRES!$J$43:$J$342,0))="","",INDEX(PARAMETRES!$H$43:$H$342,MATCH($L439&amp;"|"&amp;$M439&amp;"|"&amp;$N439&amp;"|"&amp;$O439&amp;"|"&amp;$P439&amp;"|"&amp;$Q439&amp;"|"&amp;$K439,PARAMETRES!$J$43:$J$342,0))),""))</f>
        <v/>
      </c>
      <c r="S439" s="35">
        <f>IF(OR($G439="",$X439&lt;&gt;"VALIDE"),"",IFERROR(LOOKUP(2,1/(($B$3:$B438=$B439)*($G$3:$G438=$G439)*($X$3:$X438="VALIDE")),$C$3:$C438),""))</f>
        <v/>
      </c>
      <c r="T439" s="36">
        <f>IF(OR($C439="",$S439=""),"",ROUND(($C439-$S439+IF($C439&lt;$S439,1,0))*1440,0))</f>
        <v/>
      </c>
      <c r="U439" s="22">
        <f>IF(OR($H439="",$T439="",$T439&lt;=0),"",$H439*60/$T439)</f>
        <v/>
      </c>
      <c r="V439" s="37">
        <f>IF(OR($U439="",$R439="",$R439=0),"",$U439/$R439)</f>
        <v/>
      </c>
      <c r="W439" s="20">
        <f>IF($G439="","",IF($X439="CONTEXTE INCOMPLET","CONTEXTE INCOMPLET",IF($X439="DOUBLON",StatutDoublon,IF($S439="",StatutInitial,IF($R439="",StatutStandardManquant,IF($V439="","DONNEES INSUFFISANTES",IF($V439&gt;=SeuilConforme,StatutConforme,IF($V439&gt;=SeuilSurveiller,StatutSurveiller,StatutSousStandard))))))))</f>
        <v/>
      </c>
      <c r="X439" s="33">
        <f>IF($G439="","",IF(OR($D439="",$E439="",$F439=""),"CONTEXTE INCOMPLET",IF(COUNTIFS($D$3:$D438,$D439,$E$3:$E438,$E439,$F$3:$F438,$F439,$G$3:$G438,$G439)&gt;0,"DOUBLON","VALIDE")))</f>
        <v/>
      </c>
    </row>
    <row r="440" ht="15" customHeight="1">
      <c r="A440" s="12">
        <f>IF(OR($B440="",$G440=""),"",TEXT($B440,"YYYYMMDD")&amp;"-"&amp;SUBSTITUTE($E440," ","")&amp;"-"&amp;$F440&amp;"-"&amp;$G440)</f>
        <v/>
      </c>
      <c r="B440" s="15" t="n"/>
      <c r="C440" s="16" t="n"/>
      <c r="D440" s="10" t="n"/>
      <c r="E440" s="9" t="n"/>
      <c r="F440" s="9" t="n"/>
      <c r="G440" s="13" t="n"/>
      <c r="H440" s="21" t="n"/>
      <c r="I440" s="21" t="n"/>
      <c r="J440" s="17">
        <f>IF($G440="","",IFERROR(INDEX(NomsEmployes,MATCH($G440,MatriculesEmployes,0)),"MATRICULE INCONNU"))</f>
        <v/>
      </c>
      <c r="K440" s="33">
        <f>IF(OR($D440="",$F440=""),"",IFERROR(IF(INDEX(RUNS!$L$6:$S$1005,MATCH($D440,RUNS!$A$6:$A$1005,0),MATCH("ACTIVITÉ "&amp;$F440,RUNS!$L$5:$S$5,0))="","",INDEX(RUNS!$L$6:$S$1005,MATCH($D440,RUNS!$A$6:$A$1005,0),MATCH("ACTIVITÉ "&amp;$F440,RUNS!$L$5:$S$5,0))),""))</f>
        <v/>
      </c>
      <c r="L440" s="33">
        <f>IF($D440="","",IFERROR(IF(INDEX(RUNS!$E$6:$E$1005,MATCH($D440,RUNS!$A$6:$A$1005,0))="","",INDEX(RUNS!$E$6:$E$1005,MATCH($D440,RUNS!$A$6:$A$1005,0))),""))</f>
        <v/>
      </c>
      <c r="M440" s="33">
        <f>IF($D440="","",IFERROR(IF(INDEX(RUNS!$F$6:$F$1005,MATCH($D440,RUNS!$A$6:$A$1005,0))="","",INDEX(RUNS!$F$6:$F$1005,MATCH($D440,RUNS!$A$6:$A$1005,0))),""))</f>
        <v/>
      </c>
      <c r="N440" s="33">
        <f>IF($D440="","",IFERROR(IF(INDEX(RUNS!$G$6:$G$1005,MATCH($D440,RUNS!$A$6:$A$1005,0))="","",INDEX(RUNS!$G$6:$G$1005,MATCH($D440,RUNS!$A$6:$A$1005,0))),""))</f>
        <v/>
      </c>
      <c r="O440" s="33">
        <f>IF($D440="","",IFERROR(IF(INDEX(RUNS!$H$6:$H$1005,MATCH($D440,RUNS!$A$6:$A$1005,0))="","",INDEX(RUNS!$H$6:$H$1005,MATCH($D440,RUNS!$A$6:$A$1005,0))),""))</f>
        <v/>
      </c>
      <c r="P440" s="33">
        <f>IF($D440="","",IFERROR(IF(INDEX(RUNS!$J$6:$J$1005,MATCH($D440,RUNS!$A$6:$A$1005,0))="","",INDEX(RUNS!$J$6:$J$1005,MATCH($D440,RUNS!$A$6:$A$1005,0))),""))</f>
        <v/>
      </c>
      <c r="Q440" s="33">
        <f>IF($D440="","",IFERROR(IF(INDEX(RUNS!$K$6:$K$1005,MATCH($D440,RUNS!$A$6:$A$1005,0))="","",INDEX(RUNS!$K$6:$K$1005,MATCH($D440,RUNS!$A$6:$A$1005,0))),""))</f>
        <v/>
      </c>
      <c r="R440" s="34">
        <f>IF(OR($L440="",$K440=""),"",IFERROR(IF(INDEX(PARAMETRES!$H$43:$H$342,MATCH($L440&amp;"|"&amp;$M440&amp;"|"&amp;$N440&amp;"|"&amp;$O440&amp;"|"&amp;$P440&amp;"|"&amp;$Q440&amp;"|"&amp;$K440,PARAMETRES!$J$43:$J$342,0))="","",INDEX(PARAMETRES!$H$43:$H$342,MATCH($L440&amp;"|"&amp;$M440&amp;"|"&amp;$N440&amp;"|"&amp;$O440&amp;"|"&amp;$P440&amp;"|"&amp;$Q440&amp;"|"&amp;$K440,PARAMETRES!$J$43:$J$342,0))),""))</f>
        <v/>
      </c>
      <c r="S440" s="35">
        <f>IF(OR($G440="",$X440&lt;&gt;"VALIDE"),"",IFERROR(LOOKUP(2,1/(($B$3:$B439=$B440)*($G$3:$G439=$G440)*($X$3:$X439="VALIDE")),$C$3:$C439),""))</f>
        <v/>
      </c>
      <c r="T440" s="36">
        <f>IF(OR($C440="",$S440=""),"",ROUND(($C440-$S440+IF($C440&lt;$S440,1,0))*1440,0))</f>
        <v/>
      </c>
      <c r="U440" s="22">
        <f>IF(OR($H440="",$T440="",$T440&lt;=0),"",$H440*60/$T440)</f>
        <v/>
      </c>
      <c r="V440" s="37">
        <f>IF(OR($U440="",$R440="",$R440=0),"",$U440/$R440)</f>
        <v/>
      </c>
      <c r="W440" s="20">
        <f>IF($G440="","",IF($X440="CONTEXTE INCOMPLET","CONTEXTE INCOMPLET",IF($X440="DOUBLON",StatutDoublon,IF($S440="",StatutInitial,IF($R440="",StatutStandardManquant,IF($V440="","DONNEES INSUFFISANTES",IF($V440&gt;=SeuilConforme,StatutConforme,IF($V440&gt;=SeuilSurveiller,StatutSurveiller,StatutSousStandard))))))))</f>
        <v/>
      </c>
      <c r="X440" s="33">
        <f>IF($G440="","",IF(OR($D440="",$E440="",$F440=""),"CONTEXTE INCOMPLET",IF(COUNTIFS($D$3:$D439,$D440,$E$3:$E439,$E440,$F$3:$F439,$F440,$G$3:$G439,$G440)&gt;0,"DOUBLON","VALIDE")))</f>
        <v/>
      </c>
    </row>
    <row r="441" ht="15" customHeight="1">
      <c r="A441" s="12">
        <f>IF(OR($B441="",$G441=""),"",TEXT($B441,"YYYYMMDD")&amp;"-"&amp;SUBSTITUTE($E441," ","")&amp;"-"&amp;$F441&amp;"-"&amp;$G441)</f>
        <v/>
      </c>
      <c r="B441" s="15" t="n"/>
      <c r="C441" s="16" t="n"/>
      <c r="D441" s="10" t="n"/>
      <c r="E441" s="9" t="n"/>
      <c r="F441" s="9" t="n"/>
      <c r="G441" s="13" t="n"/>
      <c r="H441" s="21" t="n"/>
      <c r="I441" s="21" t="n"/>
      <c r="J441" s="17">
        <f>IF($G441="","",IFERROR(INDEX(NomsEmployes,MATCH($G441,MatriculesEmployes,0)),"MATRICULE INCONNU"))</f>
        <v/>
      </c>
      <c r="K441" s="33">
        <f>IF(OR($D441="",$F441=""),"",IFERROR(IF(INDEX(RUNS!$L$6:$S$1005,MATCH($D441,RUNS!$A$6:$A$1005,0),MATCH("ACTIVITÉ "&amp;$F441,RUNS!$L$5:$S$5,0))="","",INDEX(RUNS!$L$6:$S$1005,MATCH($D441,RUNS!$A$6:$A$1005,0),MATCH("ACTIVITÉ "&amp;$F441,RUNS!$L$5:$S$5,0))),""))</f>
        <v/>
      </c>
      <c r="L441" s="33">
        <f>IF($D441="","",IFERROR(IF(INDEX(RUNS!$E$6:$E$1005,MATCH($D441,RUNS!$A$6:$A$1005,0))="","",INDEX(RUNS!$E$6:$E$1005,MATCH($D441,RUNS!$A$6:$A$1005,0))),""))</f>
        <v/>
      </c>
      <c r="M441" s="33">
        <f>IF($D441="","",IFERROR(IF(INDEX(RUNS!$F$6:$F$1005,MATCH($D441,RUNS!$A$6:$A$1005,0))="","",INDEX(RUNS!$F$6:$F$1005,MATCH($D441,RUNS!$A$6:$A$1005,0))),""))</f>
        <v/>
      </c>
      <c r="N441" s="33">
        <f>IF($D441="","",IFERROR(IF(INDEX(RUNS!$G$6:$G$1005,MATCH($D441,RUNS!$A$6:$A$1005,0))="","",INDEX(RUNS!$G$6:$G$1005,MATCH($D441,RUNS!$A$6:$A$1005,0))),""))</f>
        <v/>
      </c>
      <c r="O441" s="33">
        <f>IF($D441="","",IFERROR(IF(INDEX(RUNS!$H$6:$H$1005,MATCH($D441,RUNS!$A$6:$A$1005,0))="","",INDEX(RUNS!$H$6:$H$1005,MATCH($D441,RUNS!$A$6:$A$1005,0))),""))</f>
        <v/>
      </c>
      <c r="P441" s="33">
        <f>IF($D441="","",IFERROR(IF(INDEX(RUNS!$J$6:$J$1005,MATCH($D441,RUNS!$A$6:$A$1005,0))="","",INDEX(RUNS!$J$6:$J$1005,MATCH($D441,RUNS!$A$6:$A$1005,0))),""))</f>
        <v/>
      </c>
      <c r="Q441" s="33">
        <f>IF($D441="","",IFERROR(IF(INDEX(RUNS!$K$6:$K$1005,MATCH($D441,RUNS!$A$6:$A$1005,0))="","",INDEX(RUNS!$K$6:$K$1005,MATCH($D441,RUNS!$A$6:$A$1005,0))),""))</f>
        <v/>
      </c>
      <c r="R441" s="34">
        <f>IF(OR($L441="",$K441=""),"",IFERROR(IF(INDEX(PARAMETRES!$H$43:$H$342,MATCH($L441&amp;"|"&amp;$M441&amp;"|"&amp;$N441&amp;"|"&amp;$O441&amp;"|"&amp;$P441&amp;"|"&amp;$Q441&amp;"|"&amp;$K441,PARAMETRES!$J$43:$J$342,0))="","",INDEX(PARAMETRES!$H$43:$H$342,MATCH($L441&amp;"|"&amp;$M441&amp;"|"&amp;$N441&amp;"|"&amp;$O441&amp;"|"&amp;$P441&amp;"|"&amp;$Q441&amp;"|"&amp;$K441,PARAMETRES!$J$43:$J$342,0))),""))</f>
        <v/>
      </c>
      <c r="S441" s="35">
        <f>IF(OR($G441="",$X441&lt;&gt;"VALIDE"),"",IFERROR(LOOKUP(2,1/(($B$3:$B440=$B441)*($G$3:$G440=$G441)*($X$3:$X440="VALIDE")),$C$3:$C440),""))</f>
        <v/>
      </c>
      <c r="T441" s="36">
        <f>IF(OR($C441="",$S441=""),"",ROUND(($C441-$S441+IF($C441&lt;$S441,1,0))*1440,0))</f>
        <v/>
      </c>
      <c r="U441" s="22">
        <f>IF(OR($H441="",$T441="",$T441&lt;=0),"",$H441*60/$T441)</f>
        <v/>
      </c>
      <c r="V441" s="37">
        <f>IF(OR($U441="",$R441="",$R441=0),"",$U441/$R441)</f>
        <v/>
      </c>
      <c r="W441" s="20">
        <f>IF($G441="","",IF($X441="CONTEXTE INCOMPLET","CONTEXTE INCOMPLET",IF($X441="DOUBLON",StatutDoublon,IF($S441="",StatutInitial,IF($R441="",StatutStandardManquant,IF($V441="","DONNEES INSUFFISANTES",IF($V441&gt;=SeuilConforme,StatutConforme,IF($V441&gt;=SeuilSurveiller,StatutSurveiller,StatutSousStandard))))))))</f>
        <v/>
      </c>
      <c r="X441" s="33">
        <f>IF($G441="","",IF(OR($D441="",$E441="",$F441=""),"CONTEXTE INCOMPLET",IF(COUNTIFS($D$3:$D440,$D441,$E$3:$E440,$E441,$F$3:$F440,$F441,$G$3:$G440,$G441)&gt;0,"DOUBLON","VALIDE")))</f>
        <v/>
      </c>
    </row>
    <row r="442" ht="15" customHeight="1">
      <c r="A442" s="12">
        <f>IF(OR($B442="",$G442=""),"",TEXT($B442,"YYYYMMDD")&amp;"-"&amp;SUBSTITUTE($E442," ","")&amp;"-"&amp;$F442&amp;"-"&amp;$G442)</f>
        <v/>
      </c>
      <c r="B442" s="15" t="n"/>
      <c r="C442" s="16" t="n"/>
      <c r="D442" s="10" t="n"/>
      <c r="E442" s="9" t="n"/>
      <c r="F442" s="9" t="n"/>
      <c r="G442" s="13" t="n"/>
      <c r="H442" s="21" t="n"/>
      <c r="I442" s="21" t="n"/>
      <c r="J442" s="17">
        <f>IF($G442="","",IFERROR(INDEX(NomsEmployes,MATCH($G442,MatriculesEmployes,0)),"MATRICULE INCONNU"))</f>
        <v/>
      </c>
      <c r="K442" s="33">
        <f>IF(OR($D442="",$F442=""),"",IFERROR(IF(INDEX(RUNS!$L$6:$S$1005,MATCH($D442,RUNS!$A$6:$A$1005,0),MATCH("ACTIVITÉ "&amp;$F442,RUNS!$L$5:$S$5,0))="","",INDEX(RUNS!$L$6:$S$1005,MATCH($D442,RUNS!$A$6:$A$1005,0),MATCH("ACTIVITÉ "&amp;$F442,RUNS!$L$5:$S$5,0))),""))</f>
        <v/>
      </c>
      <c r="L442" s="33">
        <f>IF($D442="","",IFERROR(IF(INDEX(RUNS!$E$6:$E$1005,MATCH($D442,RUNS!$A$6:$A$1005,0))="","",INDEX(RUNS!$E$6:$E$1005,MATCH($D442,RUNS!$A$6:$A$1005,0))),""))</f>
        <v/>
      </c>
      <c r="M442" s="33">
        <f>IF($D442="","",IFERROR(IF(INDEX(RUNS!$F$6:$F$1005,MATCH($D442,RUNS!$A$6:$A$1005,0))="","",INDEX(RUNS!$F$6:$F$1005,MATCH($D442,RUNS!$A$6:$A$1005,0))),""))</f>
        <v/>
      </c>
      <c r="N442" s="33">
        <f>IF($D442="","",IFERROR(IF(INDEX(RUNS!$G$6:$G$1005,MATCH($D442,RUNS!$A$6:$A$1005,0))="","",INDEX(RUNS!$G$6:$G$1005,MATCH($D442,RUNS!$A$6:$A$1005,0))),""))</f>
        <v/>
      </c>
      <c r="O442" s="33">
        <f>IF($D442="","",IFERROR(IF(INDEX(RUNS!$H$6:$H$1005,MATCH($D442,RUNS!$A$6:$A$1005,0))="","",INDEX(RUNS!$H$6:$H$1005,MATCH($D442,RUNS!$A$6:$A$1005,0))),""))</f>
        <v/>
      </c>
      <c r="P442" s="33">
        <f>IF($D442="","",IFERROR(IF(INDEX(RUNS!$J$6:$J$1005,MATCH($D442,RUNS!$A$6:$A$1005,0))="","",INDEX(RUNS!$J$6:$J$1005,MATCH($D442,RUNS!$A$6:$A$1005,0))),""))</f>
        <v/>
      </c>
      <c r="Q442" s="33">
        <f>IF($D442="","",IFERROR(IF(INDEX(RUNS!$K$6:$K$1005,MATCH($D442,RUNS!$A$6:$A$1005,0))="","",INDEX(RUNS!$K$6:$K$1005,MATCH($D442,RUNS!$A$6:$A$1005,0))),""))</f>
        <v/>
      </c>
      <c r="R442" s="34">
        <f>IF(OR($L442="",$K442=""),"",IFERROR(IF(INDEX(PARAMETRES!$H$43:$H$342,MATCH($L442&amp;"|"&amp;$M442&amp;"|"&amp;$N442&amp;"|"&amp;$O442&amp;"|"&amp;$P442&amp;"|"&amp;$Q442&amp;"|"&amp;$K442,PARAMETRES!$J$43:$J$342,0))="","",INDEX(PARAMETRES!$H$43:$H$342,MATCH($L442&amp;"|"&amp;$M442&amp;"|"&amp;$N442&amp;"|"&amp;$O442&amp;"|"&amp;$P442&amp;"|"&amp;$Q442&amp;"|"&amp;$K442,PARAMETRES!$J$43:$J$342,0))),""))</f>
        <v/>
      </c>
      <c r="S442" s="35">
        <f>IF(OR($G442="",$X442&lt;&gt;"VALIDE"),"",IFERROR(LOOKUP(2,1/(($B$3:$B441=$B442)*($G$3:$G441=$G442)*($X$3:$X441="VALIDE")),$C$3:$C441),""))</f>
        <v/>
      </c>
      <c r="T442" s="36">
        <f>IF(OR($C442="",$S442=""),"",ROUND(($C442-$S442+IF($C442&lt;$S442,1,0))*1440,0))</f>
        <v/>
      </c>
      <c r="U442" s="22">
        <f>IF(OR($H442="",$T442="",$T442&lt;=0),"",$H442*60/$T442)</f>
        <v/>
      </c>
      <c r="V442" s="37">
        <f>IF(OR($U442="",$R442="",$R442=0),"",$U442/$R442)</f>
        <v/>
      </c>
      <c r="W442" s="20">
        <f>IF($G442="","",IF($X442="CONTEXTE INCOMPLET","CONTEXTE INCOMPLET",IF($X442="DOUBLON",StatutDoublon,IF($S442="",StatutInitial,IF($R442="",StatutStandardManquant,IF($V442="","DONNEES INSUFFISANTES",IF($V442&gt;=SeuilConforme,StatutConforme,IF($V442&gt;=SeuilSurveiller,StatutSurveiller,StatutSousStandard))))))))</f>
        <v/>
      </c>
      <c r="X442" s="33">
        <f>IF($G442="","",IF(OR($D442="",$E442="",$F442=""),"CONTEXTE INCOMPLET",IF(COUNTIFS($D$3:$D441,$D442,$E$3:$E441,$E442,$F$3:$F441,$F442,$G$3:$G441,$G442)&gt;0,"DOUBLON","VALIDE")))</f>
        <v/>
      </c>
    </row>
    <row r="443" ht="15" customHeight="1">
      <c r="A443" s="12">
        <f>IF(OR($B443="",$G443=""),"",TEXT($B443,"YYYYMMDD")&amp;"-"&amp;SUBSTITUTE($E443," ","")&amp;"-"&amp;$F443&amp;"-"&amp;$G443)</f>
        <v/>
      </c>
      <c r="B443" s="15" t="n"/>
      <c r="C443" s="16" t="n"/>
      <c r="D443" s="10" t="n"/>
      <c r="E443" s="9" t="n"/>
      <c r="F443" s="9" t="n"/>
      <c r="G443" s="13" t="n"/>
      <c r="H443" s="21" t="n"/>
      <c r="I443" s="21" t="n"/>
      <c r="J443" s="17">
        <f>IF($G443="","",IFERROR(INDEX(NomsEmployes,MATCH($G443,MatriculesEmployes,0)),"MATRICULE INCONNU"))</f>
        <v/>
      </c>
      <c r="K443" s="33">
        <f>IF(OR($D443="",$F443=""),"",IFERROR(IF(INDEX(RUNS!$L$6:$S$1005,MATCH($D443,RUNS!$A$6:$A$1005,0),MATCH("ACTIVITÉ "&amp;$F443,RUNS!$L$5:$S$5,0))="","",INDEX(RUNS!$L$6:$S$1005,MATCH($D443,RUNS!$A$6:$A$1005,0),MATCH("ACTIVITÉ "&amp;$F443,RUNS!$L$5:$S$5,0))),""))</f>
        <v/>
      </c>
      <c r="L443" s="33">
        <f>IF($D443="","",IFERROR(IF(INDEX(RUNS!$E$6:$E$1005,MATCH($D443,RUNS!$A$6:$A$1005,0))="","",INDEX(RUNS!$E$6:$E$1005,MATCH($D443,RUNS!$A$6:$A$1005,0))),""))</f>
        <v/>
      </c>
      <c r="M443" s="33">
        <f>IF($D443="","",IFERROR(IF(INDEX(RUNS!$F$6:$F$1005,MATCH($D443,RUNS!$A$6:$A$1005,0))="","",INDEX(RUNS!$F$6:$F$1005,MATCH($D443,RUNS!$A$6:$A$1005,0))),""))</f>
        <v/>
      </c>
      <c r="N443" s="33">
        <f>IF($D443="","",IFERROR(IF(INDEX(RUNS!$G$6:$G$1005,MATCH($D443,RUNS!$A$6:$A$1005,0))="","",INDEX(RUNS!$G$6:$G$1005,MATCH($D443,RUNS!$A$6:$A$1005,0))),""))</f>
        <v/>
      </c>
      <c r="O443" s="33">
        <f>IF($D443="","",IFERROR(IF(INDEX(RUNS!$H$6:$H$1005,MATCH($D443,RUNS!$A$6:$A$1005,0))="","",INDEX(RUNS!$H$6:$H$1005,MATCH($D443,RUNS!$A$6:$A$1005,0))),""))</f>
        <v/>
      </c>
      <c r="P443" s="33">
        <f>IF($D443="","",IFERROR(IF(INDEX(RUNS!$J$6:$J$1005,MATCH($D443,RUNS!$A$6:$A$1005,0))="","",INDEX(RUNS!$J$6:$J$1005,MATCH($D443,RUNS!$A$6:$A$1005,0))),""))</f>
        <v/>
      </c>
      <c r="Q443" s="33">
        <f>IF($D443="","",IFERROR(IF(INDEX(RUNS!$K$6:$K$1005,MATCH($D443,RUNS!$A$6:$A$1005,0))="","",INDEX(RUNS!$K$6:$K$1005,MATCH($D443,RUNS!$A$6:$A$1005,0))),""))</f>
        <v/>
      </c>
      <c r="R443" s="34">
        <f>IF(OR($L443="",$K443=""),"",IFERROR(IF(INDEX(PARAMETRES!$H$43:$H$342,MATCH($L443&amp;"|"&amp;$M443&amp;"|"&amp;$N443&amp;"|"&amp;$O443&amp;"|"&amp;$P443&amp;"|"&amp;$Q443&amp;"|"&amp;$K443,PARAMETRES!$J$43:$J$342,0))="","",INDEX(PARAMETRES!$H$43:$H$342,MATCH($L443&amp;"|"&amp;$M443&amp;"|"&amp;$N443&amp;"|"&amp;$O443&amp;"|"&amp;$P443&amp;"|"&amp;$Q443&amp;"|"&amp;$K443,PARAMETRES!$J$43:$J$342,0))),""))</f>
        <v/>
      </c>
      <c r="S443" s="35">
        <f>IF(OR($G443="",$X443&lt;&gt;"VALIDE"),"",IFERROR(LOOKUP(2,1/(($B$3:$B442=$B443)*($G$3:$G442=$G443)*($X$3:$X442="VALIDE")),$C$3:$C442),""))</f>
        <v/>
      </c>
      <c r="T443" s="36">
        <f>IF(OR($C443="",$S443=""),"",ROUND(($C443-$S443+IF($C443&lt;$S443,1,0))*1440,0))</f>
        <v/>
      </c>
      <c r="U443" s="22">
        <f>IF(OR($H443="",$T443="",$T443&lt;=0),"",$H443*60/$T443)</f>
        <v/>
      </c>
      <c r="V443" s="37">
        <f>IF(OR($U443="",$R443="",$R443=0),"",$U443/$R443)</f>
        <v/>
      </c>
      <c r="W443" s="20">
        <f>IF($G443="","",IF($X443="CONTEXTE INCOMPLET","CONTEXTE INCOMPLET",IF($X443="DOUBLON",StatutDoublon,IF($S443="",StatutInitial,IF($R443="",StatutStandardManquant,IF($V443="","DONNEES INSUFFISANTES",IF($V443&gt;=SeuilConforme,StatutConforme,IF($V443&gt;=SeuilSurveiller,StatutSurveiller,StatutSousStandard))))))))</f>
        <v/>
      </c>
      <c r="X443" s="33">
        <f>IF($G443="","",IF(OR($D443="",$E443="",$F443=""),"CONTEXTE INCOMPLET",IF(COUNTIFS($D$3:$D442,$D443,$E$3:$E442,$E443,$F$3:$F442,$F443,$G$3:$G442,$G443)&gt;0,"DOUBLON","VALIDE")))</f>
        <v/>
      </c>
    </row>
    <row r="444" ht="15" customHeight="1">
      <c r="A444" s="12">
        <f>IF(OR($B444="",$G444=""),"",TEXT($B444,"YYYYMMDD")&amp;"-"&amp;SUBSTITUTE($E444," ","")&amp;"-"&amp;$F444&amp;"-"&amp;$G444)</f>
        <v/>
      </c>
      <c r="B444" s="15" t="n"/>
      <c r="C444" s="16" t="n"/>
      <c r="D444" s="10" t="n"/>
      <c r="E444" s="9" t="n"/>
      <c r="F444" s="9" t="n"/>
      <c r="G444" s="13" t="n"/>
      <c r="H444" s="21" t="n"/>
      <c r="I444" s="21" t="n"/>
      <c r="J444" s="17">
        <f>IF($G444="","",IFERROR(INDEX(NomsEmployes,MATCH($G444,MatriculesEmployes,0)),"MATRICULE INCONNU"))</f>
        <v/>
      </c>
      <c r="K444" s="33">
        <f>IF(OR($D444="",$F444=""),"",IFERROR(IF(INDEX(RUNS!$L$6:$S$1005,MATCH($D444,RUNS!$A$6:$A$1005,0),MATCH("ACTIVITÉ "&amp;$F444,RUNS!$L$5:$S$5,0))="","",INDEX(RUNS!$L$6:$S$1005,MATCH($D444,RUNS!$A$6:$A$1005,0),MATCH("ACTIVITÉ "&amp;$F444,RUNS!$L$5:$S$5,0))),""))</f>
        <v/>
      </c>
      <c r="L444" s="33">
        <f>IF($D444="","",IFERROR(IF(INDEX(RUNS!$E$6:$E$1005,MATCH($D444,RUNS!$A$6:$A$1005,0))="","",INDEX(RUNS!$E$6:$E$1005,MATCH($D444,RUNS!$A$6:$A$1005,0))),""))</f>
        <v/>
      </c>
      <c r="M444" s="33">
        <f>IF($D444="","",IFERROR(IF(INDEX(RUNS!$F$6:$F$1005,MATCH($D444,RUNS!$A$6:$A$1005,0))="","",INDEX(RUNS!$F$6:$F$1005,MATCH($D444,RUNS!$A$6:$A$1005,0))),""))</f>
        <v/>
      </c>
      <c r="N444" s="33">
        <f>IF($D444="","",IFERROR(IF(INDEX(RUNS!$G$6:$G$1005,MATCH($D444,RUNS!$A$6:$A$1005,0))="","",INDEX(RUNS!$G$6:$G$1005,MATCH($D444,RUNS!$A$6:$A$1005,0))),""))</f>
        <v/>
      </c>
      <c r="O444" s="33">
        <f>IF($D444="","",IFERROR(IF(INDEX(RUNS!$H$6:$H$1005,MATCH($D444,RUNS!$A$6:$A$1005,0))="","",INDEX(RUNS!$H$6:$H$1005,MATCH($D444,RUNS!$A$6:$A$1005,0))),""))</f>
        <v/>
      </c>
      <c r="P444" s="33">
        <f>IF($D444="","",IFERROR(IF(INDEX(RUNS!$J$6:$J$1005,MATCH($D444,RUNS!$A$6:$A$1005,0))="","",INDEX(RUNS!$J$6:$J$1005,MATCH($D444,RUNS!$A$6:$A$1005,0))),""))</f>
        <v/>
      </c>
      <c r="Q444" s="33">
        <f>IF($D444="","",IFERROR(IF(INDEX(RUNS!$K$6:$K$1005,MATCH($D444,RUNS!$A$6:$A$1005,0))="","",INDEX(RUNS!$K$6:$K$1005,MATCH($D444,RUNS!$A$6:$A$1005,0))),""))</f>
        <v/>
      </c>
      <c r="R444" s="34">
        <f>IF(OR($L444="",$K444=""),"",IFERROR(IF(INDEX(PARAMETRES!$H$43:$H$342,MATCH($L444&amp;"|"&amp;$M444&amp;"|"&amp;$N444&amp;"|"&amp;$O444&amp;"|"&amp;$P444&amp;"|"&amp;$Q444&amp;"|"&amp;$K444,PARAMETRES!$J$43:$J$342,0))="","",INDEX(PARAMETRES!$H$43:$H$342,MATCH($L444&amp;"|"&amp;$M444&amp;"|"&amp;$N444&amp;"|"&amp;$O444&amp;"|"&amp;$P444&amp;"|"&amp;$Q444&amp;"|"&amp;$K444,PARAMETRES!$J$43:$J$342,0))),""))</f>
        <v/>
      </c>
      <c r="S444" s="35">
        <f>IF(OR($G444="",$X444&lt;&gt;"VALIDE"),"",IFERROR(LOOKUP(2,1/(($B$3:$B443=$B444)*($G$3:$G443=$G444)*($X$3:$X443="VALIDE")),$C$3:$C443),""))</f>
        <v/>
      </c>
      <c r="T444" s="36">
        <f>IF(OR($C444="",$S444=""),"",ROUND(($C444-$S444+IF($C444&lt;$S444,1,0))*1440,0))</f>
        <v/>
      </c>
      <c r="U444" s="22">
        <f>IF(OR($H444="",$T444="",$T444&lt;=0),"",$H444*60/$T444)</f>
        <v/>
      </c>
      <c r="V444" s="37">
        <f>IF(OR($U444="",$R444="",$R444=0),"",$U444/$R444)</f>
        <v/>
      </c>
      <c r="W444" s="20">
        <f>IF($G444="","",IF($X444="CONTEXTE INCOMPLET","CONTEXTE INCOMPLET",IF($X444="DOUBLON",StatutDoublon,IF($S444="",StatutInitial,IF($R444="",StatutStandardManquant,IF($V444="","DONNEES INSUFFISANTES",IF($V444&gt;=SeuilConforme,StatutConforme,IF($V444&gt;=SeuilSurveiller,StatutSurveiller,StatutSousStandard))))))))</f>
        <v/>
      </c>
      <c r="X444" s="33">
        <f>IF($G444="","",IF(OR($D444="",$E444="",$F444=""),"CONTEXTE INCOMPLET",IF(COUNTIFS($D$3:$D443,$D444,$E$3:$E443,$E444,$F$3:$F443,$F444,$G$3:$G443,$G444)&gt;0,"DOUBLON","VALIDE")))</f>
        <v/>
      </c>
    </row>
    <row r="445" ht="15" customHeight="1">
      <c r="A445" s="12">
        <f>IF(OR($B445="",$G445=""),"",TEXT($B445,"YYYYMMDD")&amp;"-"&amp;SUBSTITUTE($E445," ","")&amp;"-"&amp;$F445&amp;"-"&amp;$G445)</f>
        <v/>
      </c>
      <c r="B445" s="15" t="n"/>
      <c r="C445" s="16" t="n"/>
      <c r="D445" s="10" t="n"/>
      <c r="E445" s="9" t="n"/>
      <c r="F445" s="9" t="n"/>
      <c r="G445" s="13" t="n"/>
      <c r="H445" s="21" t="n"/>
      <c r="I445" s="21" t="n"/>
      <c r="J445" s="17">
        <f>IF($G445="","",IFERROR(INDEX(NomsEmployes,MATCH($G445,MatriculesEmployes,0)),"MATRICULE INCONNU"))</f>
        <v/>
      </c>
      <c r="K445" s="33">
        <f>IF(OR($D445="",$F445=""),"",IFERROR(IF(INDEX(RUNS!$L$6:$S$1005,MATCH($D445,RUNS!$A$6:$A$1005,0),MATCH("ACTIVITÉ "&amp;$F445,RUNS!$L$5:$S$5,0))="","",INDEX(RUNS!$L$6:$S$1005,MATCH($D445,RUNS!$A$6:$A$1005,0),MATCH("ACTIVITÉ "&amp;$F445,RUNS!$L$5:$S$5,0))),""))</f>
        <v/>
      </c>
      <c r="L445" s="33">
        <f>IF($D445="","",IFERROR(IF(INDEX(RUNS!$E$6:$E$1005,MATCH($D445,RUNS!$A$6:$A$1005,0))="","",INDEX(RUNS!$E$6:$E$1005,MATCH($D445,RUNS!$A$6:$A$1005,0))),""))</f>
        <v/>
      </c>
      <c r="M445" s="33">
        <f>IF($D445="","",IFERROR(IF(INDEX(RUNS!$F$6:$F$1005,MATCH($D445,RUNS!$A$6:$A$1005,0))="","",INDEX(RUNS!$F$6:$F$1005,MATCH($D445,RUNS!$A$6:$A$1005,0))),""))</f>
        <v/>
      </c>
      <c r="N445" s="33">
        <f>IF($D445="","",IFERROR(IF(INDEX(RUNS!$G$6:$G$1005,MATCH($D445,RUNS!$A$6:$A$1005,0))="","",INDEX(RUNS!$G$6:$G$1005,MATCH($D445,RUNS!$A$6:$A$1005,0))),""))</f>
        <v/>
      </c>
      <c r="O445" s="33">
        <f>IF($D445="","",IFERROR(IF(INDEX(RUNS!$H$6:$H$1005,MATCH($D445,RUNS!$A$6:$A$1005,0))="","",INDEX(RUNS!$H$6:$H$1005,MATCH($D445,RUNS!$A$6:$A$1005,0))),""))</f>
        <v/>
      </c>
      <c r="P445" s="33">
        <f>IF($D445="","",IFERROR(IF(INDEX(RUNS!$J$6:$J$1005,MATCH($D445,RUNS!$A$6:$A$1005,0))="","",INDEX(RUNS!$J$6:$J$1005,MATCH($D445,RUNS!$A$6:$A$1005,0))),""))</f>
        <v/>
      </c>
      <c r="Q445" s="33">
        <f>IF($D445="","",IFERROR(IF(INDEX(RUNS!$K$6:$K$1005,MATCH($D445,RUNS!$A$6:$A$1005,0))="","",INDEX(RUNS!$K$6:$K$1005,MATCH($D445,RUNS!$A$6:$A$1005,0))),""))</f>
        <v/>
      </c>
      <c r="R445" s="34">
        <f>IF(OR($L445="",$K445=""),"",IFERROR(IF(INDEX(PARAMETRES!$H$43:$H$342,MATCH($L445&amp;"|"&amp;$M445&amp;"|"&amp;$N445&amp;"|"&amp;$O445&amp;"|"&amp;$P445&amp;"|"&amp;$Q445&amp;"|"&amp;$K445,PARAMETRES!$J$43:$J$342,0))="","",INDEX(PARAMETRES!$H$43:$H$342,MATCH($L445&amp;"|"&amp;$M445&amp;"|"&amp;$N445&amp;"|"&amp;$O445&amp;"|"&amp;$P445&amp;"|"&amp;$Q445&amp;"|"&amp;$K445,PARAMETRES!$J$43:$J$342,0))),""))</f>
        <v/>
      </c>
      <c r="S445" s="35">
        <f>IF(OR($G445="",$X445&lt;&gt;"VALIDE"),"",IFERROR(LOOKUP(2,1/(($B$3:$B444=$B445)*($G$3:$G444=$G445)*($X$3:$X444="VALIDE")),$C$3:$C444),""))</f>
        <v/>
      </c>
      <c r="T445" s="36">
        <f>IF(OR($C445="",$S445=""),"",ROUND(($C445-$S445+IF($C445&lt;$S445,1,0))*1440,0))</f>
        <v/>
      </c>
      <c r="U445" s="22">
        <f>IF(OR($H445="",$T445="",$T445&lt;=0),"",$H445*60/$T445)</f>
        <v/>
      </c>
      <c r="V445" s="37">
        <f>IF(OR($U445="",$R445="",$R445=0),"",$U445/$R445)</f>
        <v/>
      </c>
      <c r="W445" s="20">
        <f>IF($G445="","",IF($X445="CONTEXTE INCOMPLET","CONTEXTE INCOMPLET",IF($X445="DOUBLON",StatutDoublon,IF($S445="",StatutInitial,IF($R445="",StatutStandardManquant,IF($V445="","DONNEES INSUFFISANTES",IF($V445&gt;=SeuilConforme,StatutConforme,IF($V445&gt;=SeuilSurveiller,StatutSurveiller,StatutSousStandard))))))))</f>
        <v/>
      </c>
      <c r="X445" s="33">
        <f>IF($G445="","",IF(OR($D445="",$E445="",$F445=""),"CONTEXTE INCOMPLET",IF(COUNTIFS($D$3:$D444,$D445,$E$3:$E444,$E445,$F$3:$F444,$F445,$G$3:$G444,$G445)&gt;0,"DOUBLON","VALIDE")))</f>
        <v/>
      </c>
    </row>
    <row r="446" ht="15" customHeight="1">
      <c r="A446" s="12">
        <f>IF(OR($B446="",$G446=""),"",TEXT($B446,"YYYYMMDD")&amp;"-"&amp;SUBSTITUTE($E446," ","")&amp;"-"&amp;$F446&amp;"-"&amp;$G446)</f>
        <v/>
      </c>
      <c r="B446" s="15" t="n"/>
      <c r="C446" s="16" t="n"/>
      <c r="D446" s="10" t="n"/>
      <c r="E446" s="9" t="n"/>
      <c r="F446" s="9" t="n"/>
      <c r="G446" s="13" t="n"/>
      <c r="H446" s="21" t="n"/>
      <c r="I446" s="21" t="n"/>
      <c r="J446" s="17">
        <f>IF($G446="","",IFERROR(INDEX(NomsEmployes,MATCH($G446,MatriculesEmployes,0)),"MATRICULE INCONNU"))</f>
        <v/>
      </c>
      <c r="K446" s="33">
        <f>IF(OR($D446="",$F446=""),"",IFERROR(IF(INDEX(RUNS!$L$6:$S$1005,MATCH($D446,RUNS!$A$6:$A$1005,0),MATCH("ACTIVITÉ "&amp;$F446,RUNS!$L$5:$S$5,0))="","",INDEX(RUNS!$L$6:$S$1005,MATCH($D446,RUNS!$A$6:$A$1005,0),MATCH("ACTIVITÉ "&amp;$F446,RUNS!$L$5:$S$5,0))),""))</f>
        <v/>
      </c>
      <c r="L446" s="33">
        <f>IF($D446="","",IFERROR(IF(INDEX(RUNS!$E$6:$E$1005,MATCH($D446,RUNS!$A$6:$A$1005,0))="","",INDEX(RUNS!$E$6:$E$1005,MATCH($D446,RUNS!$A$6:$A$1005,0))),""))</f>
        <v/>
      </c>
      <c r="M446" s="33">
        <f>IF($D446="","",IFERROR(IF(INDEX(RUNS!$F$6:$F$1005,MATCH($D446,RUNS!$A$6:$A$1005,0))="","",INDEX(RUNS!$F$6:$F$1005,MATCH($D446,RUNS!$A$6:$A$1005,0))),""))</f>
        <v/>
      </c>
      <c r="N446" s="33">
        <f>IF($D446="","",IFERROR(IF(INDEX(RUNS!$G$6:$G$1005,MATCH($D446,RUNS!$A$6:$A$1005,0))="","",INDEX(RUNS!$G$6:$G$1005,MATCH($D446,RUNS!$A$6:$A$1005,0))),""))</f>
        <v/>
      </c>
      <c r="O446" s="33">
        <f>IF($D446="","",IFERROR(IF(INDEX(RUNS!$H$6:$H$1005,MATCH($D446,RUNS!$A$6:$A$1005,0))="","",INDEX(RUNS!$H$6:$H$1005,MATCH($D446,RUNS!$A$6:$A$1005,0))),""))</f>
        <v/>
      </c>
      <c r="P446" s="33">
        <f>IF($D446="","",IFERROR(IF(INDEX(RUNS!$J$6:$J$1005,MATCH($D446,RUNS!$A$6:$A$1005,0))="","",INDEX(RUNS!$J$6:$J$1005,MATCH($D446,RUNS!$A$6:$A$1005,0))),""))</f>
        <v/>
      </c>
      <c r="Q446" s="33">
        <f>IF($D446="","",IFERROR(IF(INDEX(RUNS!$K$6:$K$1005,MATCH($D446,RUNS!$A$6:$A$1005,0))="","",INDEX(RUNS!$K$6:$K$1005,MATCH($D446,RUNS!$A$6:$A$1005,0))),""))</f>
        <v/>
      </c>
      <c r="R446" s="34">
        <f>IF(OR($L446="",$K446=""),"",IFERROR(IF(INDEX(PARAMETRES!$H$43:$H$342,MATCH($L446&amp;"|"&amp;$M446&amp;"|"&amp;$N446&amp;"|"&amp;$O446&amp;"|"&amp;$P446&amp;"|"&amp;$Q446&amp;"|"&amp;$K446,PARAMETRES!$J$43:$J$342,0))="","",INDEX(PARAMETRES!$H$43:$H$342,MATCH($L446&amp;"|"&amp;$M446&amp;"|"&amp;$N446&amp;"|"&amp;$O446&amp;"|"&amp;$P446&amp;"|"&amp;$Q446&amp;"|"&amp;$K446,PARAMETRES!$J$43:$J$342,0))),""))</f>
        <v/>
      </c>
      <c r="S446" s="35">
        <f>IF(OR($G446="",$X446&lt;&gt;"VALIDE"),"",IFERROR(LOOKUP(2,1/(($B$3:$B445=$B446)*($G$3:$G445=$G446)*($X$3:$X445="VALIDE")),$C$3:$C445),""))</f>
        <v/>
      </c>
      <c r="T446" s="36">
        <f>IF(OR($C446="",$S446=""),"",ROUND(($C446-$S446+IF($C446&lt;$S446,1,0))*1440,0))</f>
        <v/>
      </c>
      <c r="U446" s="22">
        <f>IF(OR($H446="",$T446="",$T446&lt;=0),"",$H446*60/$T446)</f>
        <v/>
      </c>
      <c r="V446" s="37">
        <f>IF(OR($U446="",$R446="",$R446=0),"",$U446/$R446)</f>
        <v/>
      </c>
      <c r="W446" s="20">
        <f>IF($G446="","",IF($X446="CONTEXTE INCOMPLET","CONTEXTE INCOMPLET",IF($X446="DOUBLON",StatutDoublon,IF($S446="",StatutInitial,IF($R446="",StatutStandardManquant,IF($V446="","DONNEES INSUFFISANTES",IF($V446&gt;=SeuilConforme,StatutConforme,IF($V446&gt;=SeuilSurveiller,StatutSurveiller,StatutSousStandard))))))))</f>
        <v/>
      </c>
      <c r="X446" s="33">
        <f>IF($G446="","",IF(OR($D446="",$E446="",$F446=""),"CONTEXTE INCOMPLET",IF(COUNTIFS($D$3:$D445,$D446,$E$3:$E445,$E446,$F$3:$F445,$F446,$G$3:$G445,$G446)&gt;0,"DOUBLON","VALIDE")))</f>
        <v/>
      </c>
    </row>
    <row r="447" ht="15" customHeight="1">
      <c r="A447" s="12">
        <f>IF(OR($B447="",$G447=""),"",TEXT($B447,"YYYYMMDD")&amp;"-"&amp;SUBSTITUTE($E447," ","")&amp;"-"&amp;$F447&amp;"-"&amp;$G447)</f>
        <v/>
      </c>
      <c r="B447" s="15" t="n"/>
      <c r="C447" s="16" t="n"/>
      <c r="D447" s="10" t="n"/>
      <c r="E447" s="9" t="n"/>
      <c r="F447" s="9" t="n"/>
      <c r="G447" s="13" t="n"/>
      <c r="H447" s="21" t="n"/>
      <c r="I447" s="21" t="n"/>
      <c r="J447" s="17">
        <f>IF($G447="","",IFERROR(INDEX(NomsEmployes,MATCH($G447,MatriculesEmployes,0)),"MATRICULE INCONNU"))</f>
        <v/>
      </c>
      <c r="K447" s="33">
        <f>IF(OR($D447="",$F447=""),"",IFERROR(IF(INDEX(RUNS!$L$6:$S$1005,MATCH($D447,RUNS!$A$6:$A$1005,0),MATCH("ACTIVITÉ "&amp;$F447,RUNS!$L$5:$S$5,0))="","",INDEX(RUNS!$L$6:$S$1005,MATCH($D447,RUNS!$A$6:$A$1005,0),MATCH("ACTIVITÉ "&amp;$F447,RUNS!$L$5:$S$5,0))),""))</f>
        <v/>
      </c>
      <c r="L447" s="33">
        <f>IF($D447="","",IFERROR(IF(INDEX(RUNS!$E$6:$E$1005,MATCH($D447,RUNS!$A$6:$A$1005,0))="","",INDEX(RUNS!$E$6:$E$1005,MATCH($D447,RUNS!$A$6:$A$1005,0))),""))</f>
        <v/>
      </c>
      <c r="M447" s="33">
        <f>IF($D447="","",IFERROR(IF(INDEX(RUNS!$F$6:$F$1005,MATCH($D447,RUNS!$A$6:$A$1005,0))="","",INDEX(RUNS!$F$6:$F$1005,MATCH($D447,RUNS!$A$6:$A$1005,0))),""))</f>
        <v/>
      </c>
      <c r="N447" s="33">
        <f>IF($D447="","",IFERROR(IF(INDEX(RUNS!$G$6:$G$1005,MATCH($D447,RUNS!$A$6:$A$1005,0))="","",INDEX(RUNS!$G$6:$G$1005,MATCH($D447,RUNS!$A$6:$A$1005,0))),""))</f>
        <v/>
      </c>
      <c r="O447" s="33">
        <f>IF($D447="","",IFERROR(IF(INDEX(RUNS!$H$6:$H$1005,MATCH($D447,RUNS!$A$6:$A$1005,0))="","",INDEX(RUNS!$H$6:$H$1005,MATCH($D447,RUNS!$A$6:$A$1005,0))),""))</f>
        <v/>
      </c>
      <c r="P447" s="33">
        <f>IF($D447="","",IFERROR(IF(INDEX(RUNS!$J$6:$J$1005,MATCH($D447,RUNS!$A$6:$A$1005,0))="","",INDEX(RUNS!$J$6:$J$1005,MATCH($D447,RUNS!$A$6:$A$1005,0))),""))</f>
        <v/>
      </c>
      <c r="Q447" s="33">
        <f>IF($D447="","",IFERROR(IF(INDEX(RUNS!$K$6:$K$1005,MATCH($D447,RUNS!$A$6:$A$1005,0))="","",INDEX(RUNS!$K$6:$K$1005,MATCH($D447,RUNS!$A$6:$A$1005,0))),""))</f>
        <v/>
      </c>
      <c r="R447" s="34">
        <f>IF(OR($L447="",$K447=""),"",IFERROR(IF(INDEX(PARAMETRES!$H$43:$H$342,MATCH($L447&amp;"|"&amp;$M447&amp;"|"&amp;$N447&amp;"|"&amp;$O447&amp;"|"&amp;$P447&amp;"|"&amp;$Q447&amp;"|"&amp;$K447,PARAMETRES!$J$43:$J$342,0))="","",INDEX(PARAMETRES!$H$43:$H$342,MATCH($L447&amp;"|"&amp;$M447&amp;"|"&amp;$N447&amp;"|"&amp;$O447&amp;"|"&amp;$P447&amp;"|"&amp;$Q447&amp;"|"&amp;$K447,PARAMETRES!$J$43:$J$342,0))),""))</f>
        <v/>
      </c>
      <c r="S447" s="35">
        <f>IF(OR($G447="",$X447&lt;&gt;"VALIDE"),"",IFERROR(LOOKUP(2,1/(($B$3:$B446=$B447)*($G$3:$G446=$G447)*($X$3:$X446="VALIDE")),$C$3:$C446),""))</f>
        <v/>
      </c>
      <c r="T447" s="36">
        <f>IF(OR($C447="",$S447=""),"",ROUND(($C447-$S447+IF($C447&lt;$S447,1,0))*1440,0))</f>
        <v/>
      </c>
      <c r="U447" s="22">
        <f>IF(OR($H447="",$T447="",$T447&lt;=0),"",$H447*60/$T447)</f>
        <v/>
      </c>
      <c r="V447" s="37">
        <f>IF(OR($U447="",$R447="",$R447=0),"",$U447/$R447)</f>
        <v/>
      </c>
      <c r="W447" s="20">
        <f>IF($G447="","",IF($X447="CONTEXTE INCOMPLET","CONTEXTE INCOMPLET",IF($X447="DOUBLON",StatutDoublon,IF($S447="",StatutInitial,IF($R447="",StatutStandardManquant,IF($V447="","DONNEES INSUFFISANTES",IF($V447&gt;=SeuilConforme,StatutConforme,IF($V447&gt;=SeuilSurveiller,StatutSurveiller,StatutSousStandard))))))))</f>
        <v/>
      </c>
      <c r="X447" s="33">
        <f>IF($G447="","",IF(OR($D447="",$E447="",$F447=""),"CONTEXTE INCOMPLET",IF(COUNTIFS($D$3:$D446,$D447,$E$3:$E446,$E447,$F$3:$F446,$F447,$G$3:$G446,$G447)&gt;0,"DOUBLON","VALIDE")))</f>
        <v/>
      </c>
    </row>
    <row r="448" ht="15" customHeight="1">
      <c r="A448" s="12">
        <f>IF(OR($B448="",$G448=""),"",TEXT($B448,"YYYYMMDD")&amp;"-"&amp;SUBSTITUTE($E448," ","")&amp;"-"&amp;$F448&amp;"-"&amp;$G448)</f>
        <v/>
      </c>
      <c r="B448" s="15" t="n"/>
      <c r="C448" s="16" t="n"/>
      <c r="D448" s="10" t="n"/>
      <c r="E448" s="9" t="n"/>
      <c r="F448" s="9" t="n"/>
      <c r="G448" s="13" t="n"/>
      <c r="H448" s="21" t="n"/>
      <c r="I448" s="21" t="n"/>
      <c r="J448" s="17">
        <f>IF($G448="","",IFERROR(INDEX(NomsEmployes,MATCH($G448,MatriculesEmployes,0)),"MATRICULE INCONNU"))</f>
        <v/>
      </c>
      <c r="K448" s="33">
        <f>IF(OR($D448="",$F448=""),"",IFERROR(IF(INDEX(RUNS!$L$6:$S$1005,MATCH($D448,RUNS!$A$6:$A$1005,0),MATCH("ACTIVITÉ "&amp;$F448,RUNS!$L$5:$S$5,0))="","",INDEX(RUNS!$L$6:$S$1005,MATCH($D448,RUNS!$A$6:$A$1005,0),MATCH("ACTIVITÉ "&amp;$F448,RUNS!$L$5:$S$5,0))),""))</f>
        <v/>
      </c>
      <c r="L448" s="33">
        <f>IF($D448="","",IFERROR(IF(INDEX(RUNS!$E$6:$E$1005,MATCH($D448,RUNS!$A$6:$A$1005,0))="","",INDEX(RUNS!$E$6:$E$1005,MATCH($D448,RUNS!$A$6:$A$1005,0))),""))</f>
        <v/>
      </c>
      <c r="M448" s="33">
        <f>IF($D448="","",IFERROR(IF(INDEX(RUNS!$F$6:$F$1005,MATCH($D448,RUNS!$A$6:$A$1005,0))="","",INDEX(RUNS!$F$6:$F$1005,MATCH($D448,RUNS!$A$6:$A$1005,0))),""))</f>
        <v/>
      </c>
      <c r="N448" s="33">
        <f>IF($D448="","",IFERROR(IF(INDEX(RUNS!$G$6:$G$1005,MATCH($D448,RUNS!$A$6:$A$1005,0))="","",INDEX(RUNS!$G$6:$G$1005,MATCH($D448,RUNS!$A$6:$A$1005,0))),""))</f>
        <v/>
      </c>
      <c r="O448" s="33">
        <f>IF($D448="","",IFERROR(IF(INDEX(RUNS!$H$6:$H$1005,MATCH($D448,RUNS!$A$6:$A$1005,0))="","",INDEX(RUNS!$H$6:$H$1005,MATCH($D448,RUNS!$A$6:$A$1005,0))),""))</f>
        <v/>
      </c>
      <c r="P448" s="33">
        <f>IF($D448="","",IFERROR(IF(INDEX(RUNS!$J$6:$J$1005,MATCH($D448,RUNS!$A$6:$A$1005,0))="","",INDEX(RUNS!$J$6:$J$1005,MATCH($D448,RUNS!$A$6:$A$1005,0))),""))</f>
        <v/>
      </c>
      <c r="Q448" s="33">
        <f>IF($D448="","",IFERROR(IF(INDEX(RUNS!$K$6:$K$1005,MATCH($D448,RUNS!$A$6:$A$1005,0))="","",INDEX(RUNS!$K$6:$K$1005,MATCH($D448,RUNS!$A$6:$A$1005,0))),""))</f>
        <v/>
      </c>
      <c r="R448" s="34">
        <f>IF(OR($L448="",$K448=""),"",IFERROR(IF(INDEX(PARAMETRES!$H$43:$H$342,MATCH($L448&amp;"|"&amp;$M448&amp;"|"&amp;$N448&amp;"|"&amp;$O448&amp;"|"&amp;$P448&amp;"|"&amp;$Q448&amp;"|"&amp;$K448,PARAMETRES!$J$43:$J$342,0))="","",INDEX(PARAMETRES!$H$43:$H$342,MATCH($L448&amp;"|"&amp;$M448&amp;"|"&amp;$N448&amp;"|"&amp;$O448&amp;"|"&amp;$P448&amp;"|"&amp;$Q448&amp;"|"&amp;$K448,PARAMETRES!$J$43:$J$342,0))),""))</f>
        <v/>
      </c>
      <c r="S448" s="35">
        <f>IF(OR($G448="",$X448&lt;&gt;"VALIDE"),"",IFERROR(LOOKUP(2,1/(($B$3:$B447=$B448)*($G$3:$G447=$G448)*($X$3:$X447="VALIDE")),$C$3:$C447),""))</f>
        <v/>
      </c>
      <c r="T448" s="36">
        <f>IF(OR($C448="",$S448=""),"",ROUND(($C448-$S448+IF($C448&lt;$S448,1,0))*1440,0))</f>
        <v/>
      </c>
      <c r="U448" s="22">
        <f>IF(OR($H448="",$T448="",$T448&lt;=0),"",$H448*60/$T448)</f>
        <v/>
      </c>
      <c r="V448" s="37">
        <f>IF(OR($U448="",$R448="",$R448=0),"",$U448/$R448)</f>
        <v/>
      </c>
      <c r="W448" s="20">
        <f>IF($G448="","",IF($X448="CONTEXTE INCOMPLET","CONTEXTE INCOMPLET",IF($X448="DOUBLON",StatutDoublon,IF($S448="",StatutInitial,IF($R448="",StatutStandardManquant,IF($V448="","DONNEES INSUFFISANTES",IF($V448&gt;=SeuilConforme,StatutConforme,IF($V448&gt;=SeuilSurveiller,StatutSurveiller,StatutSousStandard))))))))</f>
        <v/>
      </c>
      <c r="X448" s="33">
        <f>IF($G448="","",IF(OR($D448="",$E448="",$F448=""),"CONTEXTE INCOMPLET",IF(COUNTIFS($D$3:$D447,$D448,$E$3:$E447,$E448,$F$3:$F447,$F448,$G$3:$G447,$G448)&gt;0,"DOUBLON","VALIDE")))</f>
        <v/>
      </c>
    </row>
    <row r="449" ht="15" customHeight="1">
      <c r="A449" s="12">
        <f>IF(OR($B449="",$G449=""),"",TEXT($B449,"YYYYMMDD")&amp;"-"&amp;SUBSTITUTE($E449," ","")&amp;"-"&amp;$F449&amp;"-"&amp;$G449)</f>
        <v/>
      </c>
      <c r="B449" s="15" t="n"/>
      <c r="C449" s="16" t="n"/>
      <c r="D449" s="10" t="n"/>
      <c r="E449" s="9" t="n"/>
      <c r="F449" s="9" t="n"/>
      <c r="G449" s="13" t="n"/>
      <c r="H449" s="21" t="n"/>
      <c r="I449" s="21" t="n"/>
      <c r="J449" s="17">
        <f>IF($G449="","",IFERROR(INDEX(NomsEmployes,MATCH($G449,MatriculesEmployes,0)),"MATRICULE INCONNU"))</f>
        <v/>
      </c>
      <c r="K449" s="33">
        <f>IF(OR($D449="",$F449=""),"",IFERROR(IF(INDEX(RUNS!$L$6:$S$1005,MATCH($D449,RUNS!$A$6:$A$1005,0),MATCH("ACTIVITÉ "&amp;$F449,RUNS!$L$5:$S$5,0))="","",INDEX(RUNS!$L$6:$S$1005,MATCH($D449,RUNS!$A$6:$A$1005,0),MATCH("ACTIVITÉ "&amp;$F449,RUNS!$L$5:$S$5,0))),""))</f>
        <v/>
      </c>
      <c r="L449" s="33">
        <f>IF($D449="","",IFERROR(IF(INDEX(RUNS!$E$6:$E$1005,MATCH($D449,RUNS!$A$6:$A$1005,0))="","",INDEX(RUNS!$E$6:$E$1005,MATCH($D449,RUNS!$A$6:$A$1005,0))),""))</f>
        <v/>
      </c>
      <c r="M449" s="33">
        <f>IF($D449="","",IFERROR(IF(INDEX(RUNS!$F$6:$F$1005,MATCH($D449,RUNS!$A$6:$A$1005,0))="","",INDEX(RUNS!$F$6:$F$1005,MATCH($D449,RUNS!$A$6:$A$1005,0))),""))</f>
        <v/>
      </c>
      <c r="N449" s="33">
        <f>IF($D449="","",IFERROR(IF(INDEX(RUNS!$G$6:$G$1005,MATCH($D449,RUNS!$A$6:$A$1005,0))="","",INDEX(RUNS!$G$6:$G$1005,MATCH($D449,RUNS!$A$6:$A$1005,0))),""))</f>
        <v/>
      </c>
      <c r="O449" s="33">
        <f>IF($D449="","",IFERROR(IF(INDEX(RUNS!$H$6:$H$1005,MATCH($D449,RUNS!$A$6:$A$1005,0))="","",INDEX(RUNS!$H$6:$H$1005,MATCH($D449,RUNS!$A$6:$A$1005,0))),""))</f>
        <v/>
      </c>
      <c r="P449" s="33">
        <f>IF($D449="","",IFERROR(IF(INDEX(RUNS!$J$6:$J$1005,MATCH($D449,RUNS!$A$6:$A$1005,0))="","",INDEX(RUNS!$J$6:$J$1005,MATCH($D449,RUNS!$A$6:$A$1005,0))),""))</f>
        <v/>
      </c>
      <c r="Q449" s="33">
        <f>IF($D449="","",IFERROR(IF(INDEX(RUNS!$K$6:$K$1005,MATCH($D449,RUNS!$A$6:$A$1005,0))="","",INDEX(RUNS!$K$6:$K$1005,MATCH($D449,RUNS!$A$6:$A$1005,0))),""))</f>
        <v/>
      </c>
      <c r="R449" s="34">
        <f>IF(OR($L449="",$K449=""),"",IFERROR(IF(INDEX(PARAMETRES!$H$43:$H$342,MATCH($L449&amp;"|"&amp;$M449&amp;"|"&amp;$N449&amp;"|"&amp;$O449&amp;"|"&amp;$P449&amp;"|"&amp;$Q449&amp;"|"&amp;$K449,PARAMETRES!$J$43:$J$342,0))="","",INDEX(PARAMETRES!$H$43:$H$342,MATCH($L449&amp;"|"&amp;$M449&amp;"|"&amp;$N449&amp;"|"&amp;$O449&amp;"|"&amp;$P449&amp;"|"&amp;$Q449&amp;"|"&amp;$K449,PARAMETRES!$J$43:$J$342,0))),""))</f>
        <v/>
      </c>
      <c r="S449" s="35">
        <f>IF(OR($G449="",$X449&lt;&gt;"VALIDE"),"",IFERROR(LOOKUP(2,1/(($B$3:$B448=$B449)*($G$3:$G448=$G449)*($X$3:$X448="VALIDE")),$C$3:$C448),""))</f>
        <v/>
      </c>
      <c r="T449" s="36">
        <f>IF(OR($C449="",$S449=""),"",ROUND(($C449-$S449+IF($C449&lt;$S449,1,0))*1440,0))</f>
        <v/>
      </c>
      <c r="U449" s="22">
        <f>IF(OR($H449="",$T449="",$T449&lt;=0),"",$H449*60/$T449)</f>
        <v/>
      </c>
      <c r="V449" s="37">
        <f>IF(OR($U449="",$R449="",$R449=0),"",$U449/$R449)</f>
        <v/>
      </c>
      <c r="W449" s="20">
        <f>IF($G449="","",IF($X449="CONTEXTE INCOMPLET","CONTEXTE INCOMPLET",IF($X449="DOUBLON",StatutDoublon,IF($S449="",StatutInitial,IF($R449="",StatutStandardManquant,IF($V449="","DONNEES INSUFFISANTES",IF($V449&gt;=SeuilConforme,StatutConforme,IF($V449&gt;=SeuilSurveiller,StatutSurveiller,StatutSousStandard))))))))</f>
        <v/>
      </c>
      <c r="X449" s="33">
        <f>IF($G449="","",IF(OR($D449="",$E449="",$F449=""),"CONTEXTE INCOMPLET",IF(COUNTIFS($D$3:$D448,$D449,$E$3:$E448,$E449,$F$3:$F448,$F449,$G$3:$G448,$G449)&gt;0,"DOUBLON","VALIDE")))</f>
        <v/>
      </c>
    </row>
    <row r="450" ht="15" customHeight="1">
      <c r="A450" s="12">
        <f>IF(OR($B450="",$G450=""),"",TEXT($B450,"YYYYMMDD")&amp;"-"&amp;SUBSTITUTE($E450," ","")&amp;"-"&amp;$F450&amp;"-"&amp;$G450)</f>
        <v/>
      </c>
      <c r="B450" s="15" t="n"/>
      <c r="C450" s="16" t="n"/>
      <c r="D450" s="10" t="n"/>
      <c r="E450" s="9" t="n"/>
      <c r="F450" s="9" t="n"/>
      <c r="G450" s="13" t="n"/>
      <c r="H450" s="21" t="n"/>
      <c r="I450" s="21" t="n"/>
      <c r="J450" s="17">
        <f>IF($G450="","",IFERROR(INDEX(NomsEmployes,MATCH($G450,MatriculesEmployes,0)),"MATRICULE INCONNU"))</f>
        <v/>
      </c>
      <c r="K450" s="33">
        <f>IF(OR($D450="",$F450=""),"",IFERROR(IF(INDEX(RUNS!$L$6:$S$1005,MATCH($D450,RUNS!$A$6:$A$1005,0),MATCH("ACTIVITÉ "&amp;$F450,RUNS!$L$5:$S$5,0))="","",INDEX(RUNS!$L$6:$S$1005,MATCH($D450,RUNS!$A$6:$A$1005,0),MATCH("ACTIVITÉ "&amp;$F450,RUNS!$L$5:$S$5,0))),""))</f>
        <v/>
      </c>
      <c r="L450" s="33">
        <f>IF($D450="","",IFERROR(IF(INDEX(RUNS!$E$6:$E$1005,MATCH($D450,RUNS!$A$6:$A$1005,0))="","",INDEX(RUNS!$E$6:$E$1005,MATCH($D450,RUNS!$A$6:$A$1005,0))),""))</f>
        <v/>
      </c>
      <c r="M450" s="33">
        <f>IF($D450="","",IFERROR(IF(INDEX(RUNS!$F$6:$F$1005,MATCH($D450,RUNS!$A$6:$A$1005,0))="","",INDEX(RUNS!$F$6:$F$1005,MATCH($D450,RUNS!$A$6:$A$1005,0))),""))</f>
        <v/>
      </c>
      <c r="N450" s="33">
        <f>IF($D450="","",IFERROR(IF(INDEX(RUNS!$G$6:$G$1005,MATCH($D450,RUNS!$A$6:$A$1005,0))="","",INDEX(RUNS!$G$6:$G$1005,MATCH($D450,RUNS!$A$6:$A$1005,0))),""))</f>
        <v/>
      </c>
      <c r="O450" s="33">
        <f>IF($D450="","",IFERROR(IF(INDEX(RUNS!$H$6:$H$1005,MATCH($D450,RUNS!$A$6:$A$1005,0))="","",INDEX(RUNS!$H$6:$H$1005,MATCH($D450,RUNS!$A$6:$A$1005,0))),""))</f>
        <v/>
      </c>
      <c r="P450" s="33">
        <f>IF($D450="","",IFERROR(IF(INDEX(RUNS!$J$6:$J$1005,MATCH($D450,RUNS!$A$6:$A$1005,0))="","",INDEX(RUNS!$J$6:$J$1005,MATCH($D450,RUNS!$A$6:$A$1005,0))),""))</f>
        <v/>
      </c>
      <c r="Q450" s="33">
        <f>IF($D450="","",IFERROR(IF(INDEX(RUNS!$K$6:$K$1005,MATCH($D450,RUNS!$A$6:$A$1005,0))="","",INDEX(RUNS!$K$6:$K$1005,MATCH($D450,RUNS!$A$6:$A$1005,0))),""))</f>
        <v/>
      </c>
      <c r="R450" s="34">
        <f>IF(OR($L450="",$K450=""),"",IFERROR(IF(INDEX(PARAMETRES!$H$43:$H$342,MATCH($L450&amp;"|"&amp;$M450&amp;"|"&amp;$N450&amp;"|"&amp;$O450&amp;"|"&amp;$P450&amp;"|"&amp;$Q450&amp;"|"&amp;$K450,PARAMETRES!$J$43:$J$342,0))="","",INDEX(PARAMETRES!$H$43:$H$342,MATCH($L450&amp;"|"&amp;$M450&amp;"|"&amp;$N450&amp;"|"&amp;$O450&amp;"|"&amp;$P450&amp;"|"&amp;$Q450&amp;"|"&amp;$K450,PARAMETRES!$J$43:$J$342,0))),""))</f>
        <v/>
      </c>
      <c r="S450" s="35">
        <f>IF(OR($G450="",$X450&lt;&gt;"VALIDE"),"",IFERROR(LOOKUP(2,1/(($B$3:$B449=$B450)*($G$3:$G449=$G450)*($X$3:$X449="VALIDE")),$C$3:$C449),""))</f>
        <v/>
      </c>
      <c r="T450" s="36">
        <f>IF(OR($C450="",$S450=""),"",ROUND(($C450-$S450+IF($C450&lt;$S450,1,0))*1440,0))</f>
        <v/>
      </c>
      <c r="U450" s="22">
        <f>IF(OR($H450="",$T450="",$T450&lt;=0),"",$H450*60/$T450)</f>
        <v/>
      </c>
      <c r="V450" s="37">
        <f>IF(OR($U450="",$R450="",$R450=0),"",$U450/$R450)</f>
        <v/>
      </c>
      <c r="W450" s="20">
        <f>IF($G450="","",IF($X450="CONTEXTE INCOMPLET","CONTEXTE INCOMPLET",IF($X450="DOUBLON",StatutDoublon,IF($S450="",StatutInitial,IF($R450="",StatutStandardManquant,IF($V450="","DONNEES INSUFFISANTES",IF($V450&gt;=SeuilConforme,StatutConforme,IF($V450&gt;=SeuilSurveiller,StatutSurveiller,StatutSousStandard))))))))</f>
        <v/>
      </c>
      <c r="X450" s="33">
        <f>IF($G450="","",IF(OR($D450="",$E450="",$F450=""),"CONTEXTE INCOMPLET",IF(COUNTIFS($D$3:$D449,$D450,$E$3:$E449,$E450,$F$3:$F449,$F450,$G$3:$G449,$G450)&gt;0,"DOUBLON","VALIDE")))</f>
        <v/>
      </c>
    </row>
    <row r="451" ht="15" customHeight="1">
      <c r="A451" s="12">
        <f>IF(OR($B451="",$G451=""),"",TEXT($B451,"YYYYMMDD")&amp;"-"&amp;SUBSTITUTE($E451," ","")&amp;"-"&amp;$F451&amp;"-"&amp;$G451)</f>
        <v/>
      </c>
      <c r="B451" s="15" t="n"/>
      <c r="C451" s="16" t="n"/>
      <c r="D451" s="10" t="n"/>
      <c r="E451" s="9" t="n"/>
      <c r="F451" s="9" t="n"/>
      <c r="G451" s="13" t="n"/>
      <c r="H451" s="21" t="n"/>
      <c r="I451" s="21" t="n"/>
      <c r="J451" s="17">
        <f>IF($G451="","",IFERROR(INDEX(NomsEmployes,MATCH($G451,MatriculesEmployes,0)),"MATRICULE INCONNU"))</f>
        <v/>
      </c>
      <c r="K451" s="33">
        <f>IF(OR($D451="",$F451=""),"",IFERROR(IF(INDEX(RUNS!$L$6:$S$1005,MATCH($D451,RUNS!$A$6:$A$1005,0),MATCH("ACTIVITÉ "&amp;$F451,RUNS!$L$5:$S$5,0))="","",INDEX(RUNS!$L$6:$S$1005,MATCH($D451,RUNS!$A$6:$A$1005,0),MATCH("ACTIVITÉ "&amp;$F451,RUNS!$L$5:$S$5,0))),""))</f>
        <v/>
      </c>
      <c r="L451" s="33">
        <f>IF($D451="","",IFERROR(IF(INDEX(RUNS!$E$6:$E$1005,MATCH($D451,RUNS!$A$6:$A$1005,0))="","",INDEX(RUNS!$E$6:$E$1005,MATCH($D451,RUNS!$A$6:$A$1005,0))),""))</f>
        <v/>
      </c>
      <c r="M451" s="33">
        <f>IF($D451="","",IFERROR(IF(INDEX(RUNS!$F$6:$F$1005,MATCH($D451,RUNS!$A$6:$A$1005,0))="","",INDEX(RUNS!$F$6:$F$1005,MATCH($D451,RUNS!$A$6:$A$1005,0))),""))</f>
        <v/>
      </c>
      <c r="N451" s="33">
        <f>IF($D451="","",IFERROR(IF(INDEX(RUNS!$G$6:$G$1005,MATCH($D451,RUNS!$A$6:$A$1005,0))="","",INDEX(RUNS!$G$6:$G$1005,MATCH($D451,RUNS!$A$6:$A$1005,0))),""))</f>
        <v/>
      </c>
      <c r="O451" s="33">
        <f>IF($D451="","",IFERROR(IF(INDEX(RUNS!$H$6:$H$1005,MATCH($D451,RUNS!$A$6:$A$1005,0))="","",INDEX(RUNS!$H$6:$H$1005,MATCH($D451,RUNS!$A$6:$A$1005,0))),""))</f>
        <v/>
      </c>
      <c r="P451" s="33">
        <f>IF($D451="","",IFERROR(IF(INDEX(RUNS!$J$6:$J$1005,MATCH($D451,RUNS!$A$6:$A$1005,0))="","",INDEX(RUNS!$J$6:$J$1005,MATCH($D451,RUNS!$A$6:$A$1005,0))),""))</f>
        <v/>
      </c>
      <c r="Q451" s="33">
        <f>IF($D451="","",IFERROR(IF(INDEX(RUNS!$K$6:$K$1005,MATCH($D451,RUNS!$A$6:$A$1005,0))="","",INDEX(RUNS!$K$6:$K$1005,MATCH($D451,RUNS!$A$6:$A$1005,0))),""))</f>
        <v/>
      </c>
      <c r="R451" s="34">
        <f>IF(OR($L451="",$K451=""),"",IFERROR(IF(INDEX(PARAMETRES!$H$43:$H$342,MATCH($L451&amp;"|"&amp;$M451&amp;"|"&amp;$N451&amp;"|"&amp;$O451&amp;"|"&amp;$P451&amp;"|"&amp;$Q451&amp;"|"&amp;$K451,PARAMETRES!$J$43:$J$342,0))="","",INDEX(PARAMETRES!$H$43:$H$342,MATCH($L451&amp;"|"&amp;$M451&amp;"|"&amp;$N451&amp;"|"&amp;$O451&amp;"|"&amp;$P451&amp;"|"&amp;$Q451&amp;"|"&amp;$K451,PARAMETRES!$J$43:$J$342,0))),""))</f>
        <v/>
      </c>
      <c r="S451" s="35">
        <f>IF(OR($G451="",$X451&lt;&gt;"VALIDE"),"",IFERROR(LOOKUP(2,1/(($B$3:$B450=$B451)*($G$3:$G450=$G451)*($X$3:$X450="VALIDE")),$C$3:$C450),""))</f>
        <v/>
      </c>
      <c r="T451" s="36">
        <f>IF(OR($C451="",$S451=""),"",ROUND(($C451-$S451+IF($C451&lt;$S451,1,0))*1440,0))</f>
        <v/>
      </c>
      <c r="U451" s="22">
        <f>IF(OR($H451="",$T451="",$T451&lt;=0),"",$H451*60/$T451)</f>
        <v/>
      </c>
      <c r="V451" s="37">
        <f>IF(OR($U451="",$R451="",$R451=0),"",$U451/$R451)</f>
        <v/>
      </c>
      <c r="W451" s="20">
        <f>IF($G451="","",IF($X451="CONTEXTE INCOMPLET","CONTEXTE INCOMPLET",IF($X451="DOUBLON",StatutDoublon,IF($S451="",StatutInitial,IF($R451="",StatutStandardManquant,IF($V451="","DONNEES INSUFFISANTES",IF($V451&gt;=SeuilConforme,StatutConforme,IF($V451&gt;=SeuilSurveiller,StatutSurveiller,StatutSousStandard))))))))</f>
        <v/>
      </c>
      <c r="X451" s="33">
        <f>IF($G451="","",IF(OR($D451="",$E451="",$F451=""),"CONTEXTE INCOMPLET",IF(COUNTIFS($D$3:$D450,$D451,$E$3:$E450,$E451,$F$3:$F450,$F451,$G$3:$G450,$G451)&gt;0,"DOUBLON","VALIDE")))</f>
        <v/>
      </c>
    </row>
    <row r="452" ht="15" customHeight="1">
      <c r="A452" s="12">
        <f>IF(OR($B452="",$G452=""),"",TEXT($B452,"YYYYMMDD")&amp;"-"&amp;SUBSTITUTE($E452," ","")&amp;"-"&amp;$F452&amp;"-"&amp;$G452)</f>
        <v/>
      </c>
      <c r="B452" s="15" t="n"/>
      <c r="C452" s="16" t="n"/>
      <c r="D452" s="10" t="n"/>
      <c r="E452" s="9" t="n"/>
      <c r="F452" s="9" t="n"/>
      <c r="G452" s="13" t="n"/>
      <c r="H452" s="21" t="n"/>
      <c r="I452" s="21" t="n"/>
      <c r="J452" s="17">
        <f>IF($G452="","",IFERROR(INDEX(NomsEmployes,MATCH($G452,MatriculesEmployes,0)),"MATRICULE INCONNU"))</f>
        <v/>
      </c>
      <c r="K452" s="33">
        <f>IF(OR($D452="",$F452=""),"",IFERROR(IF(INDEX(RUNS!$L$6:$S$1005,MATCH($D452,RUNS!$A$6:$A$1005,0),MATCH("ACTIVITÉ "&amp;$F452,RUNS!$L$5:$S$5,0))="","",INDEX(RUNS!$L$6:$S$1005,MATCH($D452,RUNS!$A$6:$A$1005,0),MATCH("ACTIVITÉ "&amp;$F452,RUNS!$L$5:$S$5,0))),""))</f>
        <v/>
      </c>
      <c r="L452" s="33">
        <f>IF($D452="","",IFERROR(IF(INDEX(RUNS!$E$6:$E$1005,MATCH($D452,RUNS!$A$6:$A$1005,0))="","",INDEX(RUNS!$E$6:$E$1005,MATCH($D452,RUNS!$A$6:$A$1005,0))),""))</f>
        <v/>
      </c>
      <c r="M452" s="33">
        <f>IF($D452="","",IFERROR(IF(INDEX(RUNS!$F$6:$F$1005,MATCH($D452,RUNS!$A$6:$A$1005,0))="","",INDEX(RUNS!$F$6:$F$1005,MATCH($D452,RUNS!$A$6:$A$1005,0))),""))</f>
        <v/>
      </c>
      <c r="N452" s="33">
        <f>IF($D452="","",IFERROR(IF(INDEX(RUNS!$G$6:$G$1005,MATCH($D452,RUNS!$A$6:$A$1005,0))="","",INDEX(RUNS!$G$6:$G$1005,MATCH($D452,RUNS!$A$6:$A$1005,0))),""))</f>
        <v/>
      </c>
      <c r="O452" s="33">
        <f>IF($D452="","",IFERROR(IF(INDEX(RUNS!$H$6:$H$1005,MATCH($D452,RUNS!$A$6:$A$1005,0))="","",INDEX(RUNS!$H$6:$H$1005,MATCH($D452,RUNS!$A$6:$A$1005,0))),""))</f>
        <v/>
      </c>
      <c r="P452" s="33">
        <f>IF($D452="","",IFERROR(IF(INDEX(RUNS!$J$6:$J$1005,MATCH($D452,RUNS!$A$6:$A$1005,0))="","",INDEX(RUNS!$J$6:$J$1005,MATCH($D452,RUNS!$A$6:$A$1005,0))),""))</f>
        <v/>
      </c>
      <c r="Q452" s="33">
        <f>IF($D452="","",IFERROR(IF(INDEX(RUNS!$K$6:$K$1005,MATCH($D452,RUNS!$A$6:$A$1005,0))="","",INDEX(RUNS!$K$6:$K$1005,MATCH($D452,RUNS!$A$6:$A$1005,0))),""))</f>
        <v/>
      </c>
      <c r="R452" s="34">
        <f>IF(OR($L452="",$K452=""),"",IFERROR(IF(INDEX(PARAMETRES!$H$43:$H$342,MATCH($L452&amp;"|"&amp;$M452&amp;"|"&amp;$N452&amp;"|"&amp;$O452&amp;"|"&amp;$P452&amp;"|"&amp;$Q452&amp;"|"&amp;$K452,PARAMETRES!$J$43:$J$342,0))="","",INDEX(PARAMETRES!$H$43:$H$342,MATCH($L452&amp;"|"&amp;$M452&amp;"|"&amp;$N452&amp;"|"&amp;$O452&amp;"|"&amp;$P452&amp;"|"&amp;$Q452&amp;"|"&amp;$K452,PARAMETRES!$J$43:$J$342,0))),""))</f>
        <v/>
      </c>
      <c r="S452" s="35">
        <f>IF(OR($G452="",$X452&lt;&gt;"VALIDE"),"",IFERROR(LOOKUP(2,1/(($B$3:$B451=$B452)*($G$3:$G451=$G452)*($X$3:$X451="VALIDE")),$C$3:$C451),""))</f>
        <v/>
      </c>
      <c r="T452" s="36">
        <f>IF(OR($C452="",$S452=""),"",ROUND(($C452-$S452+IF($C452&lt;$S452,1,0))*1440,0))</f>
        <v/>
      </c>
      <c r="U452" s="22">
        <f>IF(OR($H452="",$T452="",$T452&lt;=0),"",$H452*60/$T452)</f>
        <v/>
      </c>
      <c r="V452" s="37">
        <f>IF(OR($U452="",$R452="",$R452=0),"",$U452/$R452)</f>
        <v/>
      </c>
      <c r="W452" s="20">
        <f>IF($G452="","",IF($X452="CONTEXTE INCOMPLET","CONTEXTE INCOMPLET",IF($X452="DOUBLON",StatutDoublon,IF($S452="",StatutInitial,IF($R452="",StatutStandardManquant,IF($V452="","DONNEES INSUFFISANTES",IF($V452&gt;=SeuilConforme,StatutConforme,IF($V452&gt;=SeuilSurveiller,StatutSurveiller,StatutSousStandard))))))))</f>
        <v/>
      </c>
      <c r="X452" s="33">
        <f>IF($G452="","",IF(OR($D452="",$E452="",$F452=""),"CONTEXTE INCOMPLET",IF(COUNTIFS($D$3:$D451,$D452,$E$3:$E451,$E452,$F$3:$F451,$F452,$G$3:$G451,$G452)&gt;0,"DOUBLON","VALIDE")))</f>
        <v/>
      </c>
    </row>
    <row r="453" ht="15" customHeight="1">
      <c r="A453" s="12">
        <f>IF(OR($B453="",$G453=""),"",TEXT($B453,"YYYYMMDD")&amp;"-"&amp;SUBSTITUTE($E453," ","")&amp;"-"&amp;$F453&amp;"-"&amp;$G453)</f>
        <v/>
      </c>
      <c r="B453" s="15" t="n"/>
      <c r="C453" s="16" t="n"/>
      <c r="D453" s="10" t="n"/>
      <c r="E453" s="9" t="n"/>
      <c r="F453" s="9" t="n"/>
      <c r="G453" s="13" t="n"/>
      <c r="H453" s="21" t="n"/>
      <c r="I453" s="21" t="n"/>
      <c r="J453" s="17">
        <f>IF($G453="","",IFERROR(INDEX(NomsEmployes,MATCH($G453,MatriculesEmployes,0)),"MATRICULE INCONNU"))</f>
        <v/>
      </c>
      <c r="K453" s="33">
        <f>IF(OR($D453="",$F453=""),"",IFERROR(IF(INDEX(RUNS!$L$6:$S$1005,MATCH($D453,RUNS!$A$6:$A$1005,0),MATCH("ACTIVITÉ "&amp;$F453,RUNS!$L$5:$S$5,0))="","",INDEX(RUNS!$L$6:$S$1005,MATCH($D453,RUNS!$A$6:$A$1005,0),MATCH("ACTIVITÉ "&amp;$F453,RUNS!$L$5:$S$5,0))),""))</f>
        <v/>
      </c>
      <c r="L453" s="33">
        <f>IF($D453="","",IFERROR(IF(INDEX(RUNS!$E$6:$E$1005,MATCH($D453,RUNS!$A$6:$A$1005,0))="","",INDEX(RUNS!$E$6:$E$1005,MATCH($D453,RUNS!$A$6:$A$1005,0))),""))</f>
        <v/>
      </c>
      <c r="M453" s="33">
        <f>IF($D453="","",IFERROR(IF(INDEX(RUNS!$F$6:$F$1005,MATCH($D453,RUNS!$A$6:$A$1005,0))="","",INDEX(RUNS!$F$6:$F$1005,MATCH($D453,RUNS!$A$6:$A$1005,0))),""))</f>
        <v/>
      </c>
      <c r="N453" s="33">
        <f>IF($D453="","",IFERROR(IF(INDEX(RUNS!$G$6:$G$1005,MATCH($D453,RUNS!$A$6:$A$1005,0))="","",INDEX(RUNS!$G$6:$G$1005,MATCH($D453,RUNS!$A$6:$A$1005,0))),""))</f>
        <v/>
      </c>
      <c r="O453" s="33">
        <f>IF($D453="","",IFERROR(IF(INDEX(RUNS!$H$6:$H$1005,MATCH($D453,RUNS!$A$6:$A$1005,0))="","",INDEX(RUNS!$H$6:$H$1005,MATCH($D453,RUNS!$A$6:$A$1005,0))),""))</f>
        <v/>
      </c>
      <c r="P453" s="33">
        <f>IF($D453="","",IFERROR(IF(INDEX(RUNS!$J$6:$J$1005,MATCH($D453,RUNS!$A$6:$A$1005,0))="","",INDEX(RUNS!$J$6:$J$1005,MATCH($D453,RUNS!$A$6:$A$1005,0))),""))</f>
        <v/>
      </c>
      <c r="Q453" s="33">
        <f>IF($D453="","",IFERROR(IF(INDEX(RUNS!$K$6:$K$1005,MATCH($D453,RUNS!$A$6:$A$1005,0))="","",INDEX(RUNS!$K$6:$K$1005,MATCH($D453,RUNS!$A$6:$A$1005,0))),""))</f>
        <v/>
      </c>
      <c r="R453" s="34">
        <f>IF(OR($L453="",$K453=""),"",IFERROR(IF(INDEX(PARAMETRES!$H$43:$H$342,MATCH($L453&amp;"|"&amp;$M453&amp;"|"&amp;$N453&amp;"|"&amp;$O453&amp;"|"&amp;$P453&amp;"|"&amp;$Q453&amp;"|"&amp;$K453,PARAMETRES!$J$43:$J$342,0))="","",INDEX(PARAMETRES!$H$43:$H$342,MATCH($L453&amp;"|"&amp;$M453&amp;"|"&amp;$N453&amp;"|"&amp;$O453&amp;"|"&amp;$P453&amp;"|"&amp;$Q453&amp;"|"&amp;$K453,PARAMETRES!$J$43:$J$342,0))),""))</f>
        <v/>
      </c>
      <c r="S453" s="35">
        <f>IF(OR($G453="",$X453&lt;&gt;"VALIDE"),"",IFERROR(LOOKUP(2,1/(($B$3:$B452=$B453)*($G$3:$G452=$G453)*($X$3:$X452="VALIDE")),$C$3:$C452),""))</f>
        <v/>
      </c>
      <c r="T453" s="36">
        <f>IF(OR($C453="",$S453=""),"",ROUND(($C453-$S453+IF($C453&lt;$S453,1,0))*1440,0))</f>
        <v/>
      </c>
      <c r="U453" s="22">
        <f>IF(OR($H453="",$T453="",$T453&lt;=0),"",$H453*60/$T453)</f>
        <v/>
      </c>
      <c r="V453" s="37">
        <f>IF(OR($U453="",$R453="",$R453=0),"",$U453/$R453)</f>
        <v/>
      </c>
      <c r="W453" s="20">
        <f>IF($G453="","",IF($X453="CONTEXTE INCOMPLET","CONTEXTE INCOMPLET",IF($X453="DOUBLON",StatutDoublon,IF($S453="",StatutInitial,IF($R453="",StatutStandardManquant,IF($V453="","DONNEES INSUFFISANTES",IF($V453&gt;=SeuilConforme,StatutConforme,IF($V453&gt;=SeuilSurveiller,StatutSurveiller,StatutSousStandard))))))))</f>
        <v/>
      </c>
      <c r="X453" s="33">
        <f>IF($G453="","",IF(OR($D453="",$E453="",$F453=""),"CONTEXTE INCOMPLET",IF(COUNTIFS($D$3:$D452,$D453,$E$3:$E452,$E453,$F$3:$F452,$F453,$G$3:$G452,$G453)&gt;0,"DOUBLON","VALIDE")))</f>
        <v/>
      </c>
    </row>
    <row r="454" ht="15" customHeight="1">
      <c r="A454" s="12">
        <f>IF(OR($B454="",$G454=""),"",TEXT($B454,"YYYYMMDD")&amp;"-"&amp;SUBSTITUTE($E454," ","")&amp;"-"&amp;$F454&amp;"-"&amp;$G454)</f>
        <v/>
      </c>
      <c r="B454" s="15" t="n"/>
      <c r="C454" s="16" t="n"/>
      <c r="D454" s="10" t="n"/>
      <c r="E454" s="9" t="n"/>
      <c r="F454" s="9" t="n"/>
      <c r="G454" s="13" t="n"/>
      <c r="H454" s="21" t="n"/>
      <c r="I454" s="21" t="n"/>
      <c r="J454" s="17">
        <f>IF($G454="","",IFERROR(INDEX(NomsEmployes,MATCH($G454,MatriculesEmployes,0)),"MATRICULE INCONNU"))</f>
        <v/>
      </c>
      <c r="K454" s="33">
        <f>IF(OR($D454="",$F454=""),"",IFERROR(IF(INDEX(RUNS!$L$6:$S$1005,MATCH($D454,RUNS!$A$6:$A$1005,0),MATCH("ACTIVITÉ "&amp;$F454,RUNS!$L$5:$S$5,0))="","",INDEX(RUNS!$L$6:$S$1005,MATCH($D454,RUNS!$A$6:$A$1005,0),MATCH("ACTIVITÉ "&amp;$F454,RUNS!$L$5:$S$5,0))),""))</f>
        <v/>
      </c>
      <c r="L454" s="33">
        <f>IF($D454="","",IFERROR(IF(INDEX(RUNS!$E$6:$E$1005,MATCH($D454,RUNS!$A$6:$A$1005,0))="","",INDEX(RUNS!$E$6:$E$1005,MATCH($D454,RUNS!$A$6:$A$1005,0))),""))</f>
        <v/>
      </c>
      <c r="M454" s="33">
        <f>IF($D454="","",IFERROR(IF(INDEX(RUNS!$F$6:$F$1005,MATCH($D454,RUNS!$A$6:$A$1005,0))="","",INDEX(RUNS!$F$6:$F$1005,MATCH($D454,RUNS!$A$6:$A$1005,0))),""))</f>
        <v/>
      </c>
      <c r="N454" s="33">
        <f>IF($D454="","",IFERROR(IF(INDEX(RUNS!$G$6:$G$1005,MATCH($D454,RUNS!$A$6:$A$1005,0))="","",INDEX(RUNS!$G$6:$G$1005,MATCH($D454,RUNS!$A$6:$A$1005,0))),""))</f>
        <v/>
      </c>
      <c r="O454" s="33">
        <f>IF($D454="","",IFERROR(IF(INDEX(RUNS!$H$6:$H$1005,MATCH($D454,RUNS!$A$6:$A$1005,0))="","",INDEX(RUNS!$H$6:$H$1005,MATCH($D454,RUNS!$A$6:$A$1005,0))),""))</f>
        <v/>
      </c>
      <c r="P454" s="33">
        <f>IF($D454="","",IFERROR(IF(INDEX(RUNS!$J$6:$J$1005,MATCH($D454,RUNS!$A$6:$A$1005,0))="","",INDEX(RUNS!$J$6:$J$1005,MATCH($D454,RUNS!$A$6:$A$1005,0))),""))</f>
        <v/>
      </c>
      <c r="Q454" s="33">
        <f>IF($D454="","",IFERROR(IF(INDEX(RUNS!$K$6:$K$1005,MATCH($D454,RUNS!$A$6:$A$1005,0))="","",INDEX(RUNS!$K$6:$K$1005,MATCH($D454,RUNS!$A$6:$A$1005,0))),""))</f>
        <v/>
      </c>
      <c r="R454" s="34">
        <f>IF(OR($L454="",$K454=""),"",IFERROR(IF(INDEX(PARAMETRES!$H$43:$H$342,MATCH($L454&amp;"|"&amp;$M454&amp;"|"&amp;$N454&amp;"|"&amp;$O454&amp;"|"&amp;$P454&amp;"|"&amp;$Q454&amp;"|"&amp;$K454,PARAMETRES!$J$43:$J$342,0))="","",INDEX(PARAMETRES!$H$43:$H$342,MATCH($L454&amp;"|"&amp;$M454&amp;"|"&amp;$N454&amp;"|"&amp;$O454&amp;"|"&amp;$P454&amp;"|"&amp;$Q454&amp;"|"&amp;$K454,PARAMETRES!$J$43:$J$342,0))),""))</f>
        <v/>
      </c>
      <c r="S454" s="35">
        <f>IF(OR($G454="",$X454&lt;&gt;"VALIDE"),"",IFERROR(LOOKUP(2,1/(($B$3:$B453=$B454)*($G$3:$G453=$G454)*($X$3:$X453="VALIDE")),$C$3:$C453),""))</f>
        <v/>
      </c>
      <c r="T454" s="36">
        <f>IF(OR($C454="",$S454=""),"",ROUND(($C454-$S454+IF($C454&lt;$S454,1,0))*1440,0))</f>
        <v/>
      </c>
      <c r="U454" s="22">
        <f>IF(OR($H454="",$T454="",$T454&lt;=0),"",$H454*60/$T454)</f>
        <v/>
      </c>
      <c r="V454" s="37">
        <f>IF(OR($U454="",$R454="",$R454=0),"",$U454/$R454)</f>
        <v/>
      </c>
      <c r="W454" s="20">
        <f>IF($G454="","",IF($X454="CONTEXTE INCOMPLET","CONTEXTE INCOMPLET",IF($X454="DOUBLON",StatutDoublon,IF($S454="",StatutInitial,IF($R454="",StatutStandardManquant,IF($V454="","DONNEES INSUFFISANTES",IF($V454&gt;=SeuilConforme,StatutConforme,IF($V454&gt;=SeuilSurveiller,StatutSurveiller,StatutSousStandard))))))))</f>
        <v/>
      </c>
      <c r="X454" s="33">
        <f>IF($G454="","",IF(OR($D454="",$E454="",$F454=""),"CONTEXTE INCOMPLET",IF(COUNTIFS($D$3:$D453,$D454,$E$3:$E453,$E454,$F$3:$F453,$F454,$G$3:$G453,$G454)&gt;0,"DOUBLON","VALIDE")))</f>
        <v/>
      </c>
    </row>
    <row r="455" ht="15" customHeight="1">
      <c r="A455" s="12">
        <f>IF(OR($B455="",$G455=""),"",TEXT($B455,"YYYYMMDD")&amp;"-"&amp;SUBSTITUTE($E455," ","")&amp;"-"&amp;$F455&amp;"-"&amp;$G455)</f>
        <v/>
      </c>
      <c r="B455" s="15" t="n"/>
      <c r="C455" s="16" t="n"/>
      <c r="D455" s="10" t="n"/>
      <c r="E455" s="9" t="n"/>
      <c r="F455" s="9" t="n"/>
      <c r="G455" s="13" t="n"/>
      <c r="H455" s="21" t="n"/>
      <c r="I455" s="21" t="n"/>
      <c r="J455" s="17">
        <f>IF($G455="","",IFERROR(INDEX(NomsEmployes,MATCH($G455,MatriculesEmployes,0)),"MATRICULE INCONNU"))</f>
        <v/>
      </c>
      <c r="K455" s="33">
        <f>IF(OR($D455="",$F455=""),"",IFERROR(IF(INDEX(RUNS!$L$6:$S$1005,MATCH($D455,RUNS!$A$6:$A$1005,0),MATCH("ACTIVITÉ "&amp;$F455,RUNS!$L$5:$S$5,0))="","",INDEX(RUNS!$L$6:$S$1005,MATCH($D455,RUNS!$A$6:$A$1005,0),MATCH("ACTIVITÉ "&amp;$F455,RUNS!$L$5:$S$5,0))),""))</f>
        <v/>
      </c>
      <c r="L455" s="33">
        <f>IF($D455="","",IFERROR(IF(INDEX(RUNS!$E$6:$E$1005,MATCH($D455,RUNS!$A$6:$A$1005,0))="","",INDEX(RUNS!$E$6:$E$1005,MATCH($D455,RUNS!$A$6:$A$1005,0))),""))</f>
        <v/>
      </c>
      <c r="M455" s="33">
        <f>IF($D455="","",IFERROR(IF(INDEX(RUNS!$F$6:$F$1005,MATCH($D455,RUNS!$A$6:$A$1005,0))="","",INDEX(RUNS!$F$6:$F$1005,MATCH($D455,RUNS!$A$6:$A$1005,0))),""))</f>
        <v/>
      </c>
      <c r="N455" s="33">
        <f>IF($D455="","",IFERROR(IF(INDEX(RUNS!$G$6:$G$1005,MATCH($D455,RUNS!$A$6:$A$1005,0))="","",INDEX(RUNS!$G$6:$G$1005,MATCH($D455,RUNS!$A$6:$A$1005,0))),""))</f>
        <v/>
      </c>
      <c r="O455" s="33">
        <f>IF($D455="","",IFERROR(IF(INDEX(RUNS!$H$6:$H$1005,MATCH($D455,RUNS!$A$6:$A$1005,0))="","",INDEX(RUNS!$H$6:$H$1005,MATCH($D455,RUNS!$A$6:$A$1005,0))),""))</f>
        <v/>
      </c>
      <c r="P455" s="33">
        <f>IF($D455="","",IFERROR(IF(INDEX(RUNS!$J$6:$J$1005,MATCH($D455,RUNS!$A$6:$A$1005,0))="","",INDEX(RUNS!$J$6:$J$1005,MATCH($D455,RUNS!$A$6:$A$1005,0))),""))</f>
        <v/>
      </c>
      <c r="Q455" s="33">
        <f>IF($D455="","",IFERROR(IF(INDEX(RUNS!$K$6:$K$1005,MATCH($D455,RUNS!$A$6:$A$1005,0))="","",INDEX(RUNS!$K$6:$K$1005,MATCH($D455,RUNS!$A$6:$A$1005,0))),""))</f>
        <v/>
      </c>
      <c r="R455" s="34">
        <f>IF(OR($L455="",$K455=""),"",IFERROR(IF(INDEX(PARAMETRES!$H$43:$H$342,MATCH($L455&amp;"|"&amp;$M455&amp;"|"&amp;$N455&amp;"|"&amp;$O455&amp;"|"&amp;$P455&amp;"|"&amp;$Q455&amp;"|"&amp;$K455,PARAMETRES!$J$43:$J$342,0))="","",INDEX(PARAMETRES!$H$43:$H$342,MATCH($L455&amp;"|"&amp;$M455&amp;"|"&amp;$N455&amp;"|"&amp;$O455&amp;"|"&amp;$P455&amp;"|"&amp;$Q455&amp;"|"&amp;$K455,PARAMETRES!$J$43:$J$342,0))),""))</f>
        <v/>
      </c>
      <c r="S455" s="35">
        <f>IF(OR($G455="",$X455&lt;&gt;"VALIDE"),"",IFERROR(LOOKUP(2,1/(($B$3:$B454=$B455)*($G$3:$G454=$G455)*($X$3:$X454="VALIDE")),$C$3:$C454),""))</f>
        <v/>
      </c>
      <c r="T455" s="36">
        <f>IF(OR($C455="",$S455=""),"",ROUND(($C455-$S455+IF($C455&lt;$S455,1,0))*1440,0))</f>
        <v/>
      </c>
      <c r="U455" s="22">
        <f>IF(OR($H455="",$T455="",$T455&lt;=0),"",$H455*60/$T455)</f>
        <v/>
      </c>
      <c r="V455" s="37">
        <f>IF(OR($U455="",$R455="",$R455=0),"",$U455/$R455)</f>
        <v/>
      </c>
      <c r="W455" s="20">
        <f>IF($G455="","",IF($X455="CONTEXTE INCOMPLET","CONTEXTE INCOMPLET",IF($X455="DOUBLON",StatutDoublon,IF($S455="",StatutInitial,IF($R455="",StatutStandardManquant,IF($V455="","DONNEES INSUFFISANTES",IF($V455&gt;=SeuilConforme,StatutConforme,IF($V455&gt;=SeuilSurveiller,StatutSurveiller,StatutSousStandard))))))))</f>
        <v/>
      </c>
      <c r="X455" s="33">
        <f>IF($G455="","",IF(OR($D455="",$E455="",$F455=""),"CONTEXTE INCOMPLET",IF(COUNTIFS($D$3:$D454,$D455,$E$3:$E454,$E455,$F$3:$F454,$F455,$G$3:$G454,$G455)&gt;0,"DOUBLON","VALIDE")))</f>
        <v/>
      </c>
    </row>
    <row r="456" ht="15" customHeight="1">
      <c r="A456" s="12">
        <f>IF(OR($B456="",$G456=""),"",TEXT($B456,"YYYYMMDD")&amp;"-"&amp;SUBSTITUTE($E456," ","")&amp;"-"&amp;$F456&amp;"-"&amp;$G456)</f>
        <v/>
      </c>
      <c r="B456" s="15" t="n"/>
      <c r="C456" s="16" t="n"/>
      <c r="D456" s="10" t="n"/>
      <c r="E456" s="9" t="n"/>
      <c r="F456" s="9" t="n"/>
      <c r="G456" s="13" t="n"/>
      <c r="H456" s="21" t="n"/>
      <c r="I456" s="21" t="n"/>
      <c r="J456" s="17">
        <f>IF($G456="","",IFERROR(INDEX(NomsEmployes,MATCH($G456,MatriculesEmployes,0)),"MATRICULE INCONNU"))</f>
        <v/>
      </c>
      <c r="K456" s="33">
        <f>IF(OR($D456="",$F456=""),"",IFERROR(IF(INDEX(RUNS!$L$6:$S$1005,MATCH($D456,RUNS!$A$6:$A$1005,0),MATCH("ACTIVITÉ "&amp;$F456,RUNS!$L$5:$S$5,0))="","",INDEX(RUNS!$L$6:$S$1005,MATCH($D456,RUNS!$A$6:$A$1005,0),MATCH("ACTIVITÉ "&amp;$F456,RUNS!$L$5:$S$5,0))),""))</f>
        <v/>
      </c>
      <c r="L456" s="33">
        <f>IF($D456="","",IFERROR(IF(INDEX(RUNS!$E$6:$E$1005,MATCH($D456,RUNS!$A$6:$A$1005,0))="","",INDEX(RUNS!$E$6:$E$1005,MATCH($D456,RUNS!$A$6:$A$1005,0))),""))</f>
        <v/>
      </c>
      <c r="M456" s="33">
        <f>IF($D456="","",IFERROR(IF(INDEX(RUNS!$F$6:$F$1005,MATCH($D456,RUNS!$A$6:$A$1005,0))="","",INDEX(RUNS!$F$6:$F$1005,MATCH($D456,RUNS!$A$6:$A$1005,0))),""))</f>
        <v/>
      </c>
      <c r="N456" s="33">
        <f>IF($D456="","",IFERROR(IF(INDEX(RUNS!$G$6:$G$1005,MATCH($D456,RUNS!$A$6:$A$1005,0))="","",INDEX(RUNS!$G$6:$G$1005,MATCH($D456,RUNS!$A$6:$A$1005,0))),""))</f>
        <v/>
      </c>
      <c r="O456" s="33">
        <f>IF($D456="","",IFERROR(IF(INDEX(RUNS!$H$6:$H$1005,MATCH($D456,RUNS!$A$6:$A$1005,0))="","",INDEX(RUNS!$H$6:$H$1005,MATCH($D456,RUNS!$A$6:$A$1005,0))),""))</f>
        <v/>
      </c>
      <c r="P456" s="33">
        <f>IF($D456="","",IFERROR(IF(INDEX(RUNS!$J$6:$J$1005,MATCH($D456,RUNS!$A$6:$A$1005,0))="","",INDEX(RUNS!$J$6:$J$1005,MATCH($D456,RUNS!$A$6:$A$1005,0))),""))</f>
        <v/>
      </c>
      <c r="Q456" s="33">
        <f>IF($D456="","",IFERROR(IF(INDEX(RUNS!$K$6:$K$1005,MATCH($D456,RUNS!$A$6:$A$1005,0))="","",INDEX(RUNS!$K$6:$K$1005,MATCH($D456,RUNS!$A$6:$A$1005,0))),""))</f>
        <v/>
      </c>
      <c r="R456" s="34">
        <f>IF(OR($L456="",$K456=""),"",IFERROR(IF(INDEX(PARAMETRES!$H$43:$H$342,MATCH($L456&amp;"|"&amp;$M456&amp;"|"&amp;$N456&amp;"|"&amp;$O456&amp;"|"&amp;$P456&amp;"|"&amp;$Q456&amp;"|"&amp;$K456,PARAMETRES!$J$43:$J$342,0))="","",INDEX(PARAMETRES!$H$43:$H$342,MATCH($L456&amp;"|"&amp;$M456&amp;"|"&amp;$N456&amp;"|"&amp;$O456&amp;"|"&amp;$P456&amp;"|"&amp;$Q456&amp;"|"&amp;$K456,PARAMETRES!$J$43:$J$342,0))),""))</f>
        <v/>
      </c>
      <c r="S456" s="35">
        <f>IF(OR($G456="",$X456&lt;&gt;"VALIDE"),"",IFERROR(LOOKUP(2,1/(($B$3:$B455=$B456)*($G$3:$G455=$G456)*($X$3:$X455="VALIDE")),$C$3:$C455),""))</f>
        <v/>
      </c>
      <c r="T456" s="36">
        <f>IF(OR($C456="",$S456=""),"",ROUND(($C456-$S456+IF($C456&lt;$S456,1,0))*1440,0))</f>
        <v/>
      </c>
      <c r="U456" s="22">
        <f>IF(OR($H456="",$T456="",$T456&lt;=0),"",$H456*60/$T456)</f>
        <v/>
      </c>
      <c r="V456" s="37">
        <f>IF(OR($U456="",$R456="",$R456=0),"",$U456/$R456)</f>
        <v/>
      </c>
      <c r="W456" s="20">
        <f>IF($G456="","",IF($X456="CONTEXTE INCOMPLET","CONTEXTE INCOMPLET",IF($X456="DOUBLON",StatutDoublon,IF($S456="",StatutInitial,IF($R456="",StatutStandardManquant,IF($V456="","DONNEES INSUFFISANTES",IF($V456&gt;=SeuilConforme,StatutConforme,IF($V456&gt;=SeuilSurveiller,StatutSurveiller,StatutSousStandard))))))))</f>
        <v/>
      </c>
      <c r="X456" s="33">
        <f>IF($G456="","",IF(OR($D456="",$E456="",$F456=""),"CONTEXTE INCOMPLET",IF(COUNTIFS($D$3:$D455,$D456,$E$3:$E455,$E456,$F$3:$F455,$F456,$G$3:$G455,$G456)&gt;0,"DOUBLON","VALIDE")))</f>
        <v/>
      </c>
    </row>
    <row r="457" ht="15" customHeight="1">
      <c r="A457" s="12">
        <f>IF(OR($B457="",$G457=""),"",TEXT($B457,"YYYYMMDD")&amp;"-"&amp;SUBSTITUTE($E457," ","")&amp;"-"&amp;$F457&amp;"-"&amp;$G457)</f>
        <v/>
      </c>
      <c r="B457" s="15" t="n"/>
      <c r="C457" s="16" t="n"/>
      <c r="D457" s="10" t="n"/>
      <c r="E457" s="9" t="n"/>
      <c r="F457" s="9" t="n"/>
      <c r="G457" s="13" t="n"/>
      <c r="H457" s="21" t="n"/>
      <c r="I457" s="21" t="n"/>
      <c r="J457" s="17">
        <f>IF($G457="","",IFERROR(INDEX(NomsEmployes,MATCH($G457,MatriculesEmployes,0)),"MATRICULE INCONNU"))</f>
        <v/>
      </c>
      <c r="K457" s="33">
        <f>IF(OR($D457="",$F457=""),"",IFERROR(IF(INDEX(RUNS!$L$6:$S$1005,MATCH($D457,RUNS!$A$6:$A$1005,0),MATCH("ACTIVITÉ "&amp;$F457,RUNS!$L$5:$S$5,0))="","",INDEX(RUNS!$L$6:$S$1005,MATCH($D457,RUNS!$A$6:$A$1005,0),MATCH("ACTIVITÉ "&amp;$F457,RUNS!$L$5:$S$5,0))),""))</f>
        <v/>
      </c>
      <c r="L457" s="33">
        <f>IF($D457="","",IFERROR(IF(INDEX(RUNS!$E$6:$E$1005,MATCH($D457,RUNS!$A$6:$A$1005,0))="","",INDEX(RUNS!$E$6:$E$1005,MATCH($D457,RUNS!$A$6:$A$1005,0))),""))</f>
        <v/>
      </c>
      <c r="M457" s="33">
        <f>IF($D457="","",IFERROR(IF(INDEX(RUNS!$F$6:$F$1005,MATCH($D457,RUNS!$A$6:$A$1005,0))="","",INDEX(RUNS!$F$6:$F$1005,MATCH($D457,RUNS!$A$6:$A$1005,0))),""))</f>
        <v/>
      </c>
      <c r="N457" s="33">
        <f>IF($D457="","",IFERROR(IF(INDEX(RUNS!$G$6:$G$1005,MATCH($D457,RUNS!$A$6:$A$1005,0))="","",INDEX(RUNS!$G$6:$G$1005,MATCH($D457,RUNS!$A$6:$A$1005,0))),""))</f>
        <v/>
      </c>
      <c r="O457" s="33">
        <f>IF($D457="","",IFERROR(IF(INDEX(RUNS!$H$6:$H$1005,MATCH($D457,RUNS!$A$6:$A$1005,0))="","",INDEX(RUNS!$H$6:$H$1005,MATCH($D457,RUNS!$A$6:$A$1005,0))),""))</f>
        <v/>
      </c>
      <c r="P457" s="33">
        <f>IF($D457="","",IFERROR(IF(INDEX(RUNS!$J$6:$J$1005,MATCH($D457,RUNS!$A$6:$A$1005,0))="","",INDEX(RUNS!$J$6:$J$1005,MATCH($D457,RUNS!$A$6:$A$1005,0))),""))</f>
        <v/>
      </c>
      <c r="Q457" s="33">
        <f>IF($D457="","",IFERROR(IF(INDEX(RUNS!$K$6:$K$1005,MATCH($D457,RUNS!$A$6:$A$1005,0))="","",INDEX(RUNS!$K$6:$K$1005,MATCH($D457,RUNS!$A$6:$A$1005,0))),""))</f>
        <v/>
      </c>
      <c r="R457" s="34">
        <f>IF(OR($L457="",$K457=""),"",IFERROR(IF(INDEX(PARAMETRES!$H$43:$H$342,MATCH($L457&amp;"|"&amp;$M457&amp;"|"&amp;$N457&amp;"|"&amp;$O457&amp;"|"&amp;$P457&amp;"|"&amp;$Q457&amp;"|"&amp;$K457,PARAMETRES!$J$43:$J$342,0))="","",INDEX(PARAMETRES!$H$43:$H$342,MATCH($L457&amp;"|"&amp;$M457&amp;"|"&amp;$N457&amp;"|"&amp;$O457&amp;"|"&amp;$P457&amp;"|"&amp;$Q457&amp;"|"&amp;$K457,PARAMETRES!$J$43:$J$342,0))),""))</f>
        <v/>
      </c>
      <c r="S457" s="35">
        <f>IF(OR($G457="",$X457&lt;&gt;"VALIDE"),"",IFERROR(LOOKUP(2,1/(($B$3:$B456=$B457)*($G$3:$G456=$G457)*($X$3:$X456="VALIDE")),$C$3:$C456),""))</f>
        <v/>
      </c>
      <c r="T457" s="36">
        <f>IF(OR($C457="",$S457=""),"",ROUND(($C457-$S457+IF($C457&lt;$S457,1,0))*1440,0))</f>
        <v/>
      </c>
      <c r="U457" s="22">
        <f>IF(OR($H457="",$T457="",$T457&lt;=0),"",$H457*60/$T457)</f>
        <v/>
      </c>
      <c r="V457" s="37">
        <f>IF(OR($U457="",$R457="",$R457=0),"",$U457/$R457)</f>
        <v/>
      </c>
      <c r="W457" s="20">
        <f>IF($G457="","",IF($X457="CONTEXTE INCOMPLET","CONTEXTE INCOMPLET",IF($X457="DOUBLON",StatutDoublon,IF($S457="",StatutInitial,IF($R457="",StatutStandardManquant,IF($V457="","DONNEES INSUFFISANTES",IF($V457&gt;=SeuilConforme,StatutConforme,IF($V457&gt;=SeuilSurveiller,StatutSurveiller,StatutSousStandard))))))))</f>
        <v/>
      </c>
      <c r="X457" s="33">
        <f>IF($G457="","",IF(OR($D457="",$E457="",$F457=""),"CONTEXTE INCOMPLET",IF(COUNTIFS($D$3:$D456,$D457,$E$3:$E456,$E457,$F$3:$F456,$F457,$G$3:$G456,$G457)&gt;0,"DOUBLON","VALIDE")))</f>
        <v/>
      </c>
    </row>
    <row r="458" ht="15" customHeight="1">
      <c r="A458" s="12">
        <f>IF(OR($B458="",$G458=""),"",TEXT($B458,"YYYYMMDD")&amp;"-"&amp;SUBSTITUTE($E458," ","")&amp;"-"&amp;$F458&amp;"-"&amp;$G458)</f>
        <v/>
      </c>
      <c r="B458" s="15" t="n"/>
      <c r="C458" s="16" t="n"/>
      <c r="D458" s="10" t="n"/>
      <c r="E458" s="9" t="n"/>
      <c r="F458" s="9" t="n"/>
      <c r="G458" s="13" t="n"/>
      <c r="H458" s="21" t="n"/>
      <c r="I458" s="21" t="n"/>
      <c r="J458" s="17">
        <f>IF($G458="","",IFERROR(INDEX(NomsEmployes,MATCH($G458,MatriculesEmployes,0)),"MATRICULE INCONNU"))</f>
        <v/>
      </c>
      <c r="K458" s="33">
        <f>IF(OR($D458="",$F458=""),"",IFERROR(IF(INDEX(RUNS!$L$6:$S$1005,MATCH($D458,RUNS!$A$6:$A$1005,0),MATCH("ACTIVITÉ "&amp;$F458,RUNS!$L$5:$S$5,0))="","",INDEX(RUNS!$L$6:$S$1005,MATCH($D458,RUNS!$A$6:$A$1005,0),MATCH("ACTIVITÉ "&amp;$F458,RUNS!$L$5:$S$5,0))),""))</f>
        <v/>
      </c>
      <c r="L458" s="33">
        <f>IF($D458="","",IFERROR(IF(INDEX(RUNS!$E$6:$E$1005,MATCH($D458,RUNS!$A$6:$A$1005,0))="","",INDEX(RUNS!$E$6:$E$1005,MATCH($D458,RUNS!$A$6:$A$1005,0))),""))</f>
        <v/>
      </c>
      <c r="M458" s="33">
        <f>IF($D458="","",IFERROR(IF(INDEX(RUNS!$F$6:$F$1005,MATCH($D458,RUNS!$A$6:$A$1005,0))="","",INDEX(RUNS!$F$6:$F$1005,MATCH($D458,RUNS!$A$6:$A$1005,0))),""))</f>
        <v/>
      </c>
      <c r="N458" s="33">
        <f>IF($D458="","",IFERROR(IF(INDEX(RUNS!$G$6:$G$1005,MATCH($D458,RUNS!$A$6:$A$1005,0))="","",INDEX(RUNS!$G$6:$G$1005,MATCH($D458,RUNS!$A$6:$A$1005,0))),""))</f>
        <v/>
      </c>
      <c r="O458" s="33">
        <f>IF($D458="","",IFERROR(IF(INDEX(RUNS!$H$6:$H$1005,MATCH($D458,RUNS!$A$6:$A$1005,0))="","",INDEX(RUNS!$H$6:$H$1005,MATCH($D458,RUNS!$A$6:$A$1005,0))),""))</f>
        <v/>
      </c>
      <c r="P458" s="33">
        <f>IF($D458="","",IFERROR(IF(INDEX(RUNS!$J$6:$J$1005,MATCH($D458,RUNS!$A$6:$A$1005,0))="","",INDEX(RUNS!$J$6:$J$1005,MATCH($D458,RUNS!$A$6:$A$1005,0))),""))</f>
        <v/>
      </c>
      <c r="Q458" s="33">
        <f>IF($D458="","",IFERROR(IF(INDEX(RUNS!$K$6:$K$1005,MATCH($D458,RUNS!$A$6:$A$1005,0))="","",INDEX(RUNS!$K$6:$K$1005,MATCH($D458,RUNS!$A$6:$A$1005,0))),""))</f>
        <v/>
      </c>
      <c r="R458" s="34">
        <f>IF(OR($L458="",$K458=""),"",IFERROR(IF(INDEX(PARAMETRES!$H$43:$H$342,MATCH($L458&amp;"|"&amp;$M458&amp;"|"&amp;$N458&amp;"|"&amp;$O458&amp;"|"&amp;$P458&amp;"|"&amp;$Q458&amp;"|"&amp;$K458,PARAMETRES!$J$43:$J$342,0))="","",INDEX(PARAMETRES!$H$43:$H$342,MATCH($L458&amp;"|"&amp;$M458&amp;"|"&amp;$N458&amp;"|"&amp;$O458&amp;"|"&amp;$P458&amp;"|"&amp;$Q458&amp;"|"&amp;$K458,PARAMETRES!$J$43:$J$342,0))),""))</f>
        <v/>
      </c>
      <c r="S458" s="35">
        <f>IF(OR($G458="",$X458&lt;&gt;"VALIDE"),"",IFERROR(LOOKUP(2,1/(($B$3:$B457=$B458)*($G$3:$G457=$G458)*($X$3:$X457="VALIDE")),$C$3:$C457),""))</f>
        <v/>
      </c>
      <c r="T458" s="36">
        <f>IF(OR($C458="",$S458=""),"",ROUND(($C458-$S458+IF($C458&lt;$S458,1,0))*1440,0))</f>
        <v/>
      </c>
      <c r="U458" s="22">
        <f>IF(OR($H458="",$T458="",$T458&lt;=0),"",$H458*60/$T458)</f>
        <v/>
      </c>
      <c r="V458" s="37">
        <f>IF(OR($U458="",$R458="",$R458=0),"",$U458/$R458)</f>
        <v/>
      </c>
      <c r="W458" s="20">
        <f>IF($G458="","",IF($X458="CONTEXTE INCOMPLET","CONTEXTE INCOMPLET",IF($X458="DOUBLON",StatutDoublon,IF($S458="",StatutInitial,IF($R458="",StatutStandardManquant,IF($V458="","DONNEES INSUFFISANTES",IF($V458&gt;=SeuilConforme,StatutConforme,IF($V458&gt;=SeuilSurveiller,StatutSurveiller,StatutSousStandard))))))))</f>
        <v/>
      </c>
      <c r="X458" s="33">
        <f>IF($G458="","",IF(OR($D458="",$E458="",$F458=""),"CONTEXTE INCOMPLET",IF(COUNTIFS($D$3:$D457,$D458,$E$3:$E457,$E458,$F$3:$F457,$F458,$G$3:$G457,$G458)&gt;0,"DOUBLON","VALIDE")))</f>
        <v/>
      </c>
    </row>
    <row r="459" ht="15" customHeight="1">
      <c r="A459" s="12">
        <f>IF(OR($B459="",$G459=""),"",TEXT($B459,"YYYYMMDD")&amp;"-"&amp;SUBSTITUTE($E459," ","")&amp;"-"&amp;$F459&amp;"-"&amp;$G459)</f>
        <v/>
      </c>
      <c r="B459" s="15" t="n"/>
      <c r="C459" s="16" t="n"/>
      <c r="D459" s="10" t="n"/>
      <c r="E459" s="9" t="n"/>
      <c r="F459" s="9" t="n"/>
      <c r="G459" s="13" t="n"/>
      <c r="H459" s="21" t="n"/>
      <c r="I459" s="21" t="n"/>
      <c r="J459" s="17">
        <f>IF($G459="","",IFERROR(INDEX(NomsEmployes,MATCH($G459,MatriculesEmployes,0)),"MATRICULE INCONNU"))</f>
        <v/>
      </c>
      <c r="K459" s="33">
        <f>IF(OR($D459="",$F459=""),"",IFERROR(IF(INDEX(RUNS!$L$6:$S$1005,MATCH($D459,RUNS!$A$6:$A$1005,0),MATCH("ACTIVITÉ "&amp;$F459,RUNS!$L$5:$S$5,0))="","",INDEX(RUNS!$L$6:$S$1005,MATCH($D459,RUNS!$A$6:$A$1005,0),MATCH("ACTIVITÉ "&amp;$F459,RUNS!$L$5:$S$5,0))),""))</f>
        <v/>
      </c>
      <c r="L459" s="33">
        <f>IF($D459="","",IFERROR(IF(INDEX(RUNS!$E$6:$E$1005,MATCH($D459,RUNS!$A$6:$A$1005,0))="","",INDEX(RUNS!$E$6:$E$1005,MATCH($D459,RUNS!$A$6:$A$1005,0))),""))</f>
        <v/>
      </c>
      <c r="M459" s="33">
        <f>IF($D459="","",IFERROR(IF(INDEX(RUNS!$F$6:$F$1005,MATCH($D459,RUNS!$A$6:$A$1005,0))="","",INDEX(RUNS!$F$6:$F$1005,MATCH($D459,RUNS!$A$6:$A$1005,0))),""))</f>
        <v/>
      </c>
      <c r="N459" s="33">
        <f>IF($D459="","",IFERROR(IF(INDEX(RUNS!$G$6:$G$1005,MATCH($D459,RUNS!$A$6:$A$1005,0))="","",INDEX(RUNS!$G$6:$G$1005,MATCH($D459,RUNS!$A$6:$A$1005,0))),""))</f>
        <v/>
      </c>
      <c r="O459" s="33">
        <f>IF($D459="","",IFERROR(IF(INDEX(RUNS!$H$6:$H$1005,MATCH($D459,RUNS!$A$6:$A$1005,0))="","",INDEX(RUNS!$H$6:$H$1005,MATCH($D459,RUNS!$A$6:$A$1005,0))),""))</f>
        <v/>
      </c>
      <c r="P459" s="33">
        <f>IF($D459="","",IFERROR(IF(INDEX(RUNS!$J$6:$J$1005,MATCH($D459,RUNS!$A$6:$A$1005,0))="","",INDEX(RUNS!$J$6:$J$1005,MATCH($D459,RUNS!$A$6:$A$1005,0))),""))</f>
        <v/>
      </c>
      <c r="Q459" s="33">
        <f>IF($D459="","",IFERROR(IF(INDEX(RUNS!$K$6:$K$1005,MATCH($D459,RUNS!$A$6:$A$1005,0))="","",INDEX(RUNS!$K$6:$K$1005,MATCH($D459,RUNS!$A$6:$A$1005,0))),""))</f>
        <v/>
      </c>
      <c r="R459" s="34">
        <f>IF(OR($L459="",$K459=""),"",IFERROR(IF(INDEX(PARAMETRES!$H$43:$H$342,MATCH($L459&amp;"|"&amp;$M459&amp;"|"&amp;$N459&amp;"|"&amp;$O459&amp;"|"&amp;$P459&amp;"|"&amp;$Q459&amp;"|"&amp;$K459,PARAMETRES!$J$43:$J$342,0))="","",INDEX(PARAMETRES!$H$43:$H$342,MATCH($L459&amp;"|"&amp;$M459&amp;"|"&amp;$N459&amp;"|"&amp;$O459&amp;"|"&amp;$P459&amp;"|"&amp;$Q459&amp;"|"&amp;$K459,PARAMETRES!$J$43:$J$342,0))),""))</f>
        <v/>
      </c>
      <c r="S459" s="35">
        <f>IF(OR($G459="",$X459&lt;&gt;"VALIDE"),"",IFERROR(LOOKUP(2,1/(($B$3:$B458=$B459)*($G$3:$G458=$G459)*($X$3:$X458="VALIDE")),$C$3:$C458),""))</f>
        <v/>
      </c>
      <c r="T459" s="36">
        <f>IF(OR($C459="",$S459=""),"",ROUND(($C459-$S459+IF($C459&lt;$S459,1,0))*1440,0))</f>
        <v/>
      </c>
      <c r="U459" s="22">
        <f>IF(OR($H459="",$T459="",$T459&lt;=0),"",$H459*60/$T459)</f>
        <v/>
      </c>
      <c r="V459" s="37">
        <f>IF(OR($U459="",$R459="",$R459=0),"",$U459/$R459)</f>
        <v/>
      </c>
      <c r="W459" s="20">
        <f>IF($G459="","",IF($X459="CONTEXTE INCOMPLET","CONTEXTE INCOMPLET",IF($X459="DOUBLON",StatutDoublon,IF($S459="",StatutInitial,IF($R459="",StatutStandardManquant,IF($V459="","DONNEES INSUFFISANTES",IF($V459&gt;=SeuilConforme,StatutConforme,IF($V459&gt;=SeuilSurveiller,StatutSurveiller,StatutSousStandard))))))))</f>
        <v/>
      </c>
      <c r="X459" s="33">
        <f>IF($G459="","",IF(OR($D459="",$E459="",$F459=""),"CONTEXTE INCOMPLET",IF(COUNTIFS($D$3:$D458,$D459,$E$3:$E458,$E459,$F$3:$F458,$F459,$G$3:$G458,$G459)&gt;0,"DOUBLON","VALIDE")))</f>
        <v/>
      </c>
    </row>
    <row r="460" ht="15" customHeight="1">
      <c r="A460" s="12">
        <f>IF(OR($B460="",$G460=""),"",TEXT($B460,"YYYYMMDD")&amp;"-"&amp;SUBSTITUTE($E460," ","")&amp;"-"&amp;$F460&amp;"-"&amp;$G460)</f>
        <v/>
      </c>
      <c r="B460" s="15" t="n"/>
      <c r="C460" s="16" t="n"/>
      <c r="D460" s="10" t="n"/>
      <c r="E460" s="9" t="n"/>
      <c r="F460" s="9" t="n"/>
      <c r="G460" s="13" t="n"/>
      <c r="H460" s="21" t="n"/>
      <c r="I460" s="21" t="n"/>
      <c r="J460" s="17">
        <f>IF($G460="","",IFERROR(INDEX(NomsEmployes,MATCH($G460,MatriculesEmployes,0)),"MATRICULE INCONNU"))</f>
        <v/>
      </c>
      <c r="K460" s="33">
        <f>IF(OR($D460="",$F460=""),"",IFERROR(IF(INDEX(RUNS!$L$6:$S$1005,MATCH($D460,RUNS!$A$6:$A$1005,0),MATCH("ACTIVITÉ "&amp;$F460,RUNS!$L$5:$S$5,0))="","",INDEX(RUNS!$L$6:$S$1005,MATCH($D460,RUNS!$A$6:$A$1005,0),MATCH("ACTIVITÉ "&amp;$F460,RUNS!$L$5:$S$5,0))),""))</f>
        <v/>
      </c>
      <c r="L460" s="33">
        <f>IF($D460="","",IFERROR(IF(INDEX(RUNS!$E$6:$E$1005,MATCH($D460,RUNS!$A$6:$A$1005,0))="","",INDEX(RUNS!$E$6:$E$1005,MATCH($D460,RUNS!$A$6:$A$1005,0))),""))</f>
        <v/>
      </c>
      <c r="M460" s="33">
        <f>IF($D460="","",IFERROR(IF(INDEX(RUNS!$F$6:$F$1005,MATCH($D460,RUNS!$A$6:$A$1005,0))="","",INDEX(RUNS!$F$6:$F$1005,MATCH($D460,RUNS!$A$6:$A$1005,0))),""))</f>
        <v/>
      </c>
      <c r="N460" s="33">
        <f>IF($D460="","",IFERROR(IF(INDEX(RUNS!$G$6:$G$1005,MATCH($D460,RUNS!$A$6:$A$1005,0))="","",INDEX(RUNS!$G$6:$G$1005,MATCH($D460,RUNS!$A$6:$A$1005,0))),""))</f>
        <v/>
      </c>
      <c r="O460" s="33">
        <f>IF($D460="","",IFERROR(IF(INDEX(RUNS!$H$6:$H$1005,MATCH($D460,RUNS!$A$6:$A$1005,0))="","",INDEX(RUNS!$H$6:$H$1005,MATCH($D460,RUNS!$A$6:$A$1005,0))),""))</f>
        <v/>
      </c>
      <c r="P460" s="33">
        <f>IF($D460="","",IFERROR(IF(INDEX(RUNS!$J$6:$J$1005,MATCH($D460,RUNS!$A$6:$A$1005,0))="","",INDEX(RUNS!$J$6:$J$1005,MATCH($D460,RUNS!$A$6:$A$1005,0))),""))</f>
        <v/>
      </c>
      <c r="Q460" s="33">
        <f>IF($D460="","",IFERROR(IF(INDEX(RUNS!$K$6:$K$1005,MATCH($D460,RUNS!$A$6:$A$1005,0))="","",INDEX(RUNS!$K$6:$K$1005,MATCH($D460,RUNS!$A$6:$A$1005,0))),""))</f>
        <v/>
      </c>
      <c r="R460" s="34">
        <f>IF(OR($L460="",$K460=""),"",IFERROR(IF(INDEX(PARAMETRES!$H$43:$H$342,MATCH($L460&amp;"|"&amp;$M460&amp;"|"&amp;$N460&amp;"|"&amp;$O460&amp;"|"&amp;$P460&amp;"|"&amp;$Q460&amp;"|"&amp;$K460,PARAMETRES!$J$43:$J$342,0))="","",INDEX(PARAMETRES!$H$43:$H$342,MATCH($L460&amp;"|"&amp;$M460&amp;"|"&amp;$N460&amp;"|"&amp;$O460&amp;"|"&amp;$P460&amp;"|"&amp;$Q460&amp;"|"&amp;$K460,PARAMETRES!$J$43:$J$342,0))),""))</f>
        <v/>
      </c>
      <c r="S460" s="35">
        <f>IF(OR($G460="",$X460&lt;&gt;"VALIDE"),"",IFERROR(LOOKUP(2,1/(($B$3:$B459=$B460)*($G$3:$G459=$G460)*($X$3:$X459="VALIDE")),$C$3:$C459),""))</f>
        <v/>
      </c>
      <c r="T460" s="36">
        <f>IF(OR($C460="",$S460=""),"",ROUND(($C460-$S460+IF($C460&lt;$S460,1,0))*1440,0))</f>
        <v/>
      </c>
      <c r="U460" s="22">
        <f>IF(OR($H460="",$T460="",$T460&lt;=0),"",$H460*60/$T460)</f>
        <v/>
      </c>
      <c r="V460" s="37">
        <f>IF(OR($U460="",$R460="",$R460=0),"",$U460/$R460)</f>
        <v/>
      </c>
      <c r="W460" s="20">
        <f>IF($G460="","",IF($X460="CONTEXTE INCOMPLET","CONTEXTE INCOMPLET",IF($X460="DOUBLON",StatutDoublon,IF($S460="",StatutInitial,IF($R460="",StatutStandardManquant,IF($V460="","DONNEES INSUFFISANTES",IF($V460&gt;=SeuilConforme,StatutConforme,IF($V460&gt;=SeuilSurveiller,StatutSurveiller,StatutSousStandard))))))))</f>
        <v/>
      </c>
      <c r="X460" s="33">
        <f>IF($G460="","",IF(OR($D460="",$E460="",$F460=""),"CONTEXTE INCOMPLET",IF(COUNTIFS($D$3:$D459,$D460,$E$3:$E459,$E460,$F$3:$F459,$F460,$G$3:$G459,$G460)&gt;0,"DOUBLON","VALIDE")))</f>
        <v/>
      </c>
    </row>
    <row r="461" ht="15" customHeight="1">
      <c r="A461" s="12">
        <f>IF(OR($B461="",$G461=""),"",TEXT($B461,"YYYYMMDD")&amp;"-"&amp;SUBSTITUTE($E461," ","")&amp;"-"&amp;$F461&amp;"-"&amp;$G461)</f>
        <v/>
      </c>
      <c r="B461" s="15" t="n"/>
      <c r="C461" s="16" t="n"/>
      <c r="D461" s="10" t="n"/>
      <c r="E461" s="9" t="n"/>
      <c r="F461" s="9" t="n"/>
      <c r="G461" s="13" t="n"/>
      <c r="H461" s="21" t="n"/>
      <c r="I461" s="21" t="n"/>
      <c r="J461" s="17">
        <f>IF($G461="","",IFERROR(INDEX(NomsEmployes,MATCH($G461,MatriculesEmployes,0)),"MATRICULE INCONNU"))</f>
        <v/>
      </c>
      <c r="K461" s="33">
        <f>IF(OR($D461="",$F461=""),"",IFERROR(IF(INDEX(RUNS!$L$6:$S$1005,MATCH($D461,RUNS!$A$6:$A$1005,0),MATCH("ACTIVITÉ "&amp;$F461,RUNS!$L$5:$S$5,0))="","",INDEX(RUNS!$L$6:$S$1005,MATCH($D461,RUNS!$A$6:$A$1005,0),MATCH("ACTIVITÉ "&amp;$F461,RUNS!$L$5:$S$5,0))),""))</f>
        <v/>
      </c>
      <c r="L461" s="33">
        <f>IF($D461="","",IFERROR(IF(INDEX(RUNS!$E$6:$E$1005,MATCH($D461,RUNS!$A$6:$A$1005,0))="","",INDEX(RUNS!$E$6:$E$1005,MATCH($D461,RUNS!$A$6:$A$1005,0))),""))</f>
        <v/>
      </c>
      <c r="M461" s="33">
        <f>IF($D461="","",IFERROR(IF(INDEX(RUNS!$F$6:$F$1005,MATCH($D461,RUNS!$A$6:$A$1005,0))="","",INDEX(RUNS!$F$6:$F$1005,MATCH($D461,RUNS!$A$6:$A$1005,0))),""))</f>
        <v/>
      </c>
      <c r="N461" s="33">
        <f>IF($D461="","",IFERROR(IF(INDEX(RUNS!$G$6:$G$1005,MATCH($D461,RUNS!$A$6:$A$1005,0))="","",INDEX(RUNS!$G$6:$G$1005,MATCH($D461,RUNS!$A$6:$A$1005,0))),""))</f>
        <v/>
      </c>
      <c r="O461" s="33">
        <f>IF($D461="","",IFERROR(IF(INDEX(RUNS!$H$6:$H$1005,MATCH($D461,RUNS!$A$6:$A$1005,0))="","",INDEX(RUNS!$H$6:$H$1005,MATCH($D461,RUNS!$A$6:$A$1005,0))),""))</f>
        <v/>
      </c>
      <c r="P461" s="33">
        <f>IF($D461="","",IFERROR(IF(INDEX(RUNS!$J$6:$J$1005,MATCH($D461,RUNS!$A$6:$A$1005,0))="","",INDEX(RUNS!$J$6:$J$1005,MATCH($D461,RUNS!$A$6:$A$1005,0))),""))</f>
        <v/>
      </c>
      <c r="Q461" s="33">
        <f>IF($D461="","",IFERROR(IF(INDEX(RUNS!$K$6:$K$1005,MATCH($D461,RUNS!$A$6:$A$1005,0))="","",INDEX(RUNS!$K$6:$K$1005,MATCH($D461,RUNS!$A$6:$A$1005,0))),""))</f>
        <v/>
      </c>
      <c r="R461" s="34">
        <f>IF(OR($L461="",$K461=""),"",IFERROR(IF(INDEX(PARAMETRES!$H$43:$H$342,MATCH($L461&amp;"|"&amp;$M461&amp;"|"&amp;$N461&amp;"|"&amp;$O461&amp;"|"&amp;$P461&amp;"|"&amp;$Q461&amp;"|"&amp;$K461,PARAMETRES!$J$43:$J$342,0))="","",INDEX(PARAMETRES!$H$43:$H$342,MATCH($L461&amp;"|"&amp;$M461&amp;"|"&amp;$N461&amp;"|"&amp;$O461&amp;"|"&amp;$P461&amp;"|"&amp;$Q461&amp;"|"&amp;$K461,PARAMETRES!$J$43:$J$342,0))),""))</f>
        <v/>
      </c>
      <c r="S461" s="35">
        <f>IF(OR($G461="",$X461&lt;&gt;"VALIDE"),"",IFERROR(LOOKUP(2,1/(($B$3:$B460=$B461)*($G$3:$G460=$G461)*($X$3:$X460="VALIDE")),$C$3:$C460),""))</f>
        <v/>
      </c>
      <c r="T461" s="36">
        <f>IF(OR($C461="",$S461=""),"",ROUND(($C461-$S461+IF($C461&lt;$S461,1,0))*1440,0))</f>
        <v/>
      </c>
      <c r="U461" s="22">
        <f>IF(OR($H461="",$T461="",$T461&lt;=0),"",$H461*60/$T461)</f>
        <v/>
      </c>
      <c r="V461" s="37">
        <f>IF(OR($U461="",$R461="",$R461=0),"",$U461/$R461)</f>
        <v/>
      </c>
      <c r="W461" s="20">
        <f>IF($G461="","",IF($X461="CONTEXTE INCOMPLET","CONTEXTE INCOMPLET",IF($X461="DOUBLON",StatutDoublon,IF($S461="",StatutInitial,IF($R461="",StatutStandardManquant,IF($V461="","DONNEES INSUFFISANTES",IF($V461&gt;=SeuilConforme,StatutConforme,IF($V461&gt;=SeuilSurveiller,StatutSurveiller,StatutSousStandard))))))))</f>
        <v/>
      </c>
      <c r="X461" s="33">
        <f>IF($G461="","",IF(OR($D461="",$E461="",$F461=""),"CONTEXTE INCOMPLET",IF(COUNTIFS($D$3:$D460,$D461,$E$3:$E460,$E461,$F$3:$F460,$F461,$G$3:$G460,$G461)&gt;0,"DOUBLON","VALIDE")))</f>
        <v/>
      </c>
    </row>
    <row r="462" ht="15" customHeight="1">
      <c r="A462" s="12">
        <f>IF(OR($B462="",$G462=""),"",TEXT($B462,"YYYYMMDD")&amp;"-"&amp;SUBSTITUTE($E462," ","")&amp;"-"&amp;$F462&amp;"-"&amp;$G462)</f>
        <v/>
      </c>
      <c r="B462" s="15" t="n"/>
      <c r="C462" s="16" t="n"/>
      <c r="D462" s="10" t="n"/>
      <c r="E462" s="9" t="n"/>
      <c r="F462" s="9" t="n"/>
      <c r="G462" s="13" t="n"/>
      <c r="H462" s="21" t="n"/>
      <c r="I462" s="21" t="n"/>
      <c r="J462" s="17">
        <f>IF($G462="","",IFERROR(INDEX(NomsEmployes,MATCH($G462,MatriculesEmployes,0)),"MATRICULE INCONNU"))</f>
        <v/>
      </c>
      <c r="K462" s="33">
        <f>IF(OR($D462="",$F462=""),"",IFERROR(IF(INDEX(RUNS!$L$6:$S$1005,MATCH($D462,RUNS!$A$6:$A$1005,0),MATCH("ACTIVITÉ "&amp;$F462,RUNS!$L$5:$S$5,0))="","",INDEX(RUNS!$L$6:$S$1005,MATCH($D462,RUNS!$A$6:$A$1005,0),MATCH("ACTIVITÉ "&amp;$F462,RUNS!$L$5:$S$5,0))),""))</f>
        <v/>
      </c>
      <c r="L462" s="33">
        <f>IF($D462="","",IFERROR(IF(INDEX(RUNS!$E$6:$E$1005,MATCH($D462,RUNS!$A$6:$A$1005,0))="","",INDEX(RUNS!$E$6:$E$1005,MATCH($D462,RUNS!$A$6:$A$1005,0))),""))</f>
        <v/>
      </c>
      <c r="M462" s="33">
        <f>IF($D462="","",IFERROR(IF(INDEX(RUNS!$F$6:$F$1005,MATCH($D462,RUNS!$A$6:$A$1005,0))="","",INDEX(RUNS!$F$6:$F$1005,MATCH($D462,RUNS!$A$6:$A$1005,0))),""))</f>
        <v/>
      </c>
      <c r="N462" s="33">
        <f>IF($D462="","",IFERROR(IF(INDEX(RUNS!$G$6:$G$1005,MATCH($D462,RUNS!$A$6:$A$1005,0))="","",INDEX(RUNS!$G$6:$G$1005,MATCH($D462,RUNS!$A$6:$A$1005,0))),""))</f>
        <v/>
      </c>
      <c r="O462" s="33">
        <f>IF($D462="","",IFERROR(IF(INDEX(RUNS!$H$6:$H$1005,MATCH($D462,RUNS!$A$6:$A$1005,0))="","",INDEX(RUNS!$H$6:$H$1005,MATCH($D462,RUNS!$A$6:$A$1005,0))),""))</f>
        <v/>
      </c>
      <c r="P462" s="33">
        <f>IF($D462="","",IFERROR(IF(INDEX(RUNS!$J$6:$J$1005,MATCH($D462,RUNS!$A$6:$A$1005,0))="","",INDEX(RUNS!$J$6:$J$1005,MATCH($D462,RUNS!$A$6:$A$1005,0))),""))</f>
        <v/>
      </c>
      <c r="Q462" s="33">
        <f>IF($D462="","",IFERROR(IF(INDEX(RUNS!$K$6:$K$1005,MATCH($D462,RUNS!$A$6:$A$1005,0))="","",INDEX(RUNS!$K$6:$K$1005,MATCH($D462,RUNS!$A$6:$A$1005,0))),""))</f>
        <v/>
      </c>
      <c r="R462" s="34">
        <f>IF(OR($L462="",$K462=""),"",IFERROR(IF(INDEX(PARAMETRES!$H$43:$H$342,MATCH($L462&amp;"|"&amp;$M462&amp;"|"&amp;$N462&amp;"|"&amp;$O462&amp;"|"&amp;$P462&amp;"|"&amp;$Q462&amp;"|"&amp;$K462,PARAMETRES!$J$43:$J$342,0))="","",INDEX(PARAMETRES!$H$43:$H$342,MATCH($L462&amp;"|"&amp;$M462&amp;"|"&amp;$N462&amp;"|"&amp;$O462&amp;"|"&amp;$P462&amp;"|"&amp;$Q462&amp;"|"&amp;$K462,PARAMETRES!$J$43:$J$342,0))),""))</f>
        <v/>
      </c>
      <c r="S462" s="35">
        <f>IF(OR($G462="",$X462&lt;&gt;"VALIDE"),"",IFERROR(LOOKUP(2,1/(($B$3:$B461=$B462)*($G$3:$G461=$G462)*($X$3:$X461="VALIDE")),$C$3:$C461),""))</f>
        <v/>
      </c>
      <c r="T462" s="36">
        <f>IF(OR($C462="",$S462=""),"",ROUND(($C462-$S462+IF($C462&lt;$S462,1,0))*1440,0))</f>
        <v/>
      </c>
      <c r="U462" s="22">
        <f>IF(OR($H462="",$T462="",$T462&lt;=0),"",$H462*60/$T462)</f>
        <v/>
      </c>
      <c r="V462" s="37">
        <f>IF(OR($U462="",$R462="",$R462=0),"",$U462/$R462)</f>
        <v/>
      </c>
      <c r="W462" s="20">
        <f>IF($G462="","",IF($X462="CONTEXTE INCOMPLET","CONTEXTE INCOMPLET",IF($X462="DOUBLON",StatutDoublon,IF($S462="",StatutInitial,IF($R462="",StatutStandardManquant,IF($V462="","DONNEES INSUFFISANTES",IF($V462&gt;=SeuilConforme,StatutConforme,IF($V462&gt;=SeuilSurveiller,StatutSurveiller,StatutSousStandard))))))))</f>
        <v/>
      </c>
      <c r="X462" s="33">
        <f>IF($G462="","",IF(OR($D462="",$E462="",$F462=""),"CONTEXTE INCOMPLET",IF(COUNTIFS($D$3:$D461,$D462,$E$3:$E461,$E462,$F$3:$F461,$F462,$G$3:$G461,$G462)&gt;0,"DOUBLON","VALIDE")))</f>
        <v/>
      </c>
    </row>
    <row r="463" ht="15" customHeight="1">
      <c r="A463" s="12">
        <f>IF(OR($B463="",$G463=""),"",TEXT($B463,"YYYYMMDD")&amp;"-"&amp;SUBSTITUTE($E463," ","")&amp;"-"&amp;$F463&amp;"-"&amp;$G463)</f>
        <v/>
      </c>
      <c r="B463" s="15" t="n"/>
      <c r="C463" s="16" t="n"/>
      <c r="D463" s="10" t="n"/>
      <c r="E463" s="9" t="n"/>
      <c r="F463" s="9" t="n"/>
      <c r="G463" s="13" t="n"/>
      <c r="H463" s="21" t="n"/>
      <c r="I463" s="21" t="n"/>
      <c r="J463" s="17">
        <f>IF($G463="","",IFERROR(INDEX(NomsEmployes,MATCH($G463,MatriculesEmployes,0)),"MATRICULE INCONNU"))</f>
        <v/>
      </c>
      <c r="K463" s="33">
        <f>IF(OR($D463="",$F463=""),"",IFERROR(IF(INDEX(RUNS!$L$6:$S$1005,MATCH($D463,RUNS!$A$6:$A$1005,0),MATCH("ACTIVITÉ "&amp;$F463,RUNS!$L$5:$S$5,0))="","",INDEX(RUNS!$L$6:$S$1005,MATCH($D463,RUNS!$A$6:$A$1005,0),MATCH("ACTIVITÉ "&amp;$F463,RUNS!$L$5:$S$5,0))),""))</f>
        <v/>
      </c>
      <c r="L463" s="33">
        <f>IF($D463="","",IFERROR(IF(INDEX(RUNS!$E$6:$E$1005,MATCH($D463,RUNS!$A$6:$A$1005,0))="","",INDEX(RUNS!$E$6:$E$1005,MATCH($D463,RUNS!$A$6:$A$1005,0))),""))</f>
        <v/>
      </c>
      <c r="M463" s="33">
        <f>IF($D463="","",IFERROR(IF(INDEX(RUNS!$F$6:$F$1005,MATCH($D463,RUNS!$A$6:$A$1005,0))="","",INDEX(RUNS!$F$6:$F$1005,MATCH($D463,RUNS!$A$6:$A$1005,0))),""))</f>
        <v/>
      </c>
      <c r="N463" s="33">
        <f>IF($D463="","",IFERROR(IF(INDEX(RUNS!$G$6:$G$1005,MATCH($D463,RUNS!$A$6:$A$1005,0))="","",INDEX(RUNS!$G$6:$G$1005,MATCH($D463,RUNS!$A$6:$A$1005,0))),""))</f>
        <v/>
      </c>
      <c r="O463" s="33">
        <f>IF($D463="","",IFERROR(IF(INDEX(RUNS!$H$6:$H$1005,MATCH($D463,RUNS!$A$6:$A$1005,0))="","",INDEX(RUNS!$H$6:$H$1005,MATCH($D463,RUNS!$A$6:$A$1005,0))),""))</f>
        <v/>
      </c>
      <c r="P463" s="33">
        <f>IF($D463="","",IFERROR(IF(INDEX(RUNS!$J$6:$J$1005,MATCH($D463,RUNS!$A$6:$A$1005,0))="","",INDEX(RUNS!$J$6:$J$1005,MATCH($D463,RUNS!$A$6:$A$1005,0))),""))</f>
        <v/>
      </c>
      <c r="Q463" s="33">
        <f>IF($D463="","",IFERROR(IF(INDEX(RUNS!$K$6:$K$1005,MATCH($D463,RUNS!$A$6:$A$1005,0))="","",INDEX(RUNS!$K$6:$K$1005,MATCH($D463,RUNS!$A$6:$A$1005,0))),""))</f>
        <v/>
      </c>
      <c r="R463" s="34">
        <f>IF(OR($L463="",$K463=""),"",IFERROR(IF(INDEX(PARAMETRES!$H$43:$H$342,MATCH($L463&amp;"|"&amp;$M463&amp;"|"&amp;$N463&amp;"|"&amp;$O463&amp;"|"&amp;$P463&amp;"|"&amp;$Q463&amp;"|"&amp;$K463,PARAMETRES!$J$43:$J$342,0))="","",INDEX(PARAMETRES!$H$43:$H$342,MATCH($L463&amp;"|"&amp;$M463&amp;"|"&amp;$N463&amp;"|"&amp;$O463&amp;"|"&amp;$P463&amp;"|"&amp;$Q463&amp;"|"&amp;$K463,PARAMETRES!$J$43:$J$342,0))),""))</f>
        <v/>
      </c>
      <c r="S463" s="35">
        <f>IF(OR($G463="",$X463&lt;&gt;"VALIDE"),"",IFERROR(LOOKUP(2,1/(($B$3:$B462=$B463)*($G$3:$G462=$G463)*($X$3:$X462="VALIDE")),$C$3:$C462),""))</f>
        <v/>
      </c>
      <c r="T463" s="36">
        <f>IF(OR($C463="",$S463=""),"",ROUND(($C463-$S463+IF($C463&lt;$S463,1,0))*1440,0))</f>
        <v/>
      </c>
      <c r="U463" s="22">
        <f>IF(OR($H463="",$T463="",$T463&lt;=0),"",$H463*60/$T463)</f>
        <v/>
      </c>
      <c r="V463" s="37">
        <f>IF(OR($U463="",$R463="",$R463=0),"",$U463/$R463)</f>
        <v/>
      </c>
      <c r="W463" s="20">
        <f>IF($G463="","",IF($X463="CONTEXTE INCOMPLET","CONTEXTE INCOMPLET",IF($X463="DOUBLON",StatutDoublon,IF($S463="",StatutInitial,IF($R463="",StatutStandardManquant,IF($V463="","DONNEES INSUFFISANTES",IF($V463&gt;=SeuilConforme,StatutConforme,IF($V463&gt;=SeuilSurveiller,StatutSurveiller,StatutSousStandard))))))))</f>
        <v/>
      </c>
      <c r="X463" s="33">
        <f>IF($G463="","",IF(OR($D463="",$E463="",$F463=""),"CONTEXTE INCOMPLET",IF(COUNTIFS($D$3:$D462,$D463,$E$3:$E462,$E463,$F$3:$F462,$F463,$G$3:$G462,$G463)&gt;0,"DOUBLON","VALIDE")))</f>
        <v/>
      </c>
    </row>
    <row r="464" ht="15" customHeight="1">
      <c r="A464" s="12">
        <f>IF(OR($B464="",$G464=""),"",TEXT($B464,"YYYYMMDD")&amp;"-"&amp;SUBSTITUTE($E464," ","")&amp;"-"&amp;$F464&amp;"-"&amp;$G464)</f>
        <v/>
      </c>
      <c r="B464" s="15" t="n"/>
      <c r="C464" s="16" t="n"/>
      <c r="D464" s="10" t="n"/>
      <c r="E464" s="9" t="n"/>
      <c r="F464" s="9" t="n"/>
      <c r="G464" s="13" t="n"/>
      <c r="H464" s="21" t="n"/>
      <c r="I464" s="21" t="n"/>
      <c r="J464" s="17">
        <f>IF($G464="","",IFERROR(INDEX(NomsEmployes,MATCH($G464,MatriculesEmployes,0)),"MATRICULE INCONNU"))</f>
        <v/>
      </c>
      <c r="K464" s="33">
        <f>IF(OR($D464="",$F464=""),"",IFERROR(IF(INDEX(RUNS!$L$6:$S$1005,MATCH($D464,RUNS!$A$6:$A$1005,0),MATCH("ACTIVITÉ "&amp;$F464,RUNS!$L$5:$S$5,0))="","",INDEX(RUNS!$L$6:$S$1005,MATCH($D464,RUNS!$A$6:$A$1005,0),MATCH("ACTIVITÉ "&amp;$F464,RUNS!$L$5:$S$5,0))),""))</f>
        <v/>
      </c>
      <c r="L464" s="33">
        <f>IF($D464="","",IFERROR(IF(INDEX(RUNS!$E$6:$E$1005,MATCH($D464,RUNS!$A$6:$A$1005,0))="","",INDEX(RUNS!$E$6:$E$1005,MATCH($D464,RUNS!$A$6:$A$1005,0))),""))</f>
        <v/>
      </c>
      <c r="M464" s="33">
        <f>IF($D464="","",IFERROR(IF(INDEX(RUNS!$F$6:$F$1005,MATCH($D464,RUNS!$A$6:$A$1005,0))="","",INDEX(RUNS!$F$6:$F$1005,MATCH($D464,RUNS!$A$6:$A$1005,0))),""))</f>
        <v/>
      </c>
      <c r="N464" s="33">
        <f>IF($D464="","",IFERROR(IF(INDEX(RUNS!$G$6:$G$1005,MATCH($D464,RUNS!$A$6:$A$1005,0))="","",INDEX(RUNS!$G$6:$G$1005,MATCH($D464,RUNS!$A$6:$A$1005,0))),""))</f>
        <v/>
      </c>
      <c r="O464" s="33">
        <f>IF($D464="","",IFERROR(IF(INDEX(RUNS!$H$6:$H$1005,MATCH($D464,RUNS!$A$6:$A$1005,0))="","",INDEX(RUNS!$H$6:$H$1005,MATCH($D464,RUNS!$A$6:$A$1005,0))),""))</f>
        <v/>
      </c>
      <c r="P464" s="33">
        <f>IF($D464="","",IFERROR(IF(INDEX(RUNS!$J$6:$J$1005,MATCH($D464,RUNS!$A$6:$A$1005,0))="","",INDEX(RUNS!$J$6:$J$1005,MATCH($D464,RUNS!$A$6:$A$1005,0))),""))</f>
        <v/>
      </c>
      <c r="Q464" s="33">
        <f>IF($D464="","",IFERROR(IF(INDEX(RUNS!$K$6:$K$1005,MATCH($D464,RUNS!$A$6:$A$1005,0))="","",INDEX(RUNS!$K$6:$K$1005,MATCH($D464,RUNS!$A$6:$A$1005,0))),""))</f>
        <v/>
      </c>
      <c r="R464" s="34">
        <f>IF(OR($L464="",$K464=""),"",IFERROR(IF(INDEX(PARAMETRES!$H$43:$H$342,MATCH($L464&amp;"|"&amp;$M464&amp;"|"&amp;$N464&amp;"|"&amp;$O464&amp;"|"&amp;$P464&amp;"|"&amp;$Q464&amp;"|"&amp;$K464,PARAMETRES!$J$43:$J$342,0))="","",INDEX(PARAMETRES!$H$43:$H$342,MATCH($L464&amp;"|"&amp;$M464&amp;"|"&amp;$N464&amp;"|"&amp;$O464&amp;"|"&amp;$P464&amp;"|"&amp;$Q464&amp;"|"&amp;$K464,PARAMETRES!$J$43:$J$342,0))),""))</f>
        <v/>
      </c>
      <c r="S464" s="35">
        <f>IF(OR($G464="",$X464&lt;&gt;"VALIDE"),"",IFERROR(LOOKUP(2,1/(($B$3:$B463=$B464)*($G$3:$G463=$G464)*($X$3:$X463="VALIDE")),$C$3:$C463),""))</f>
        <v/>
      </c>
      <c r="T464" s="36">
        <f>IF(OR($C464="",$S464=""),"",ROUND(($C464-$S464+IF($C464&lt;$S464,1,0))*1440,0))</f>
        <v/>
      </c>
      <c r="U464" s="22">
        <f>IF(OR($H464="",$T464="",$T464&lt;=0),"",$H464*60/$T464)</f>
        <v/>
      </c>
      <c r="V464" s="37">
        <f>IF(OR($U464="",$R464="",$R464=0),"",$U464/$R464)</f>
        <v/>
      </c>
      <c r="W464" s="20">
        <f>IF($G464="","",IF($X464="CONTEXTE INCOMPLET","CONTEXTE INCOMPLET",IF($X464="DOUBLON",StatutDoublon,IF($S464="",StatutInitial,IF($R464="",StatutStandardManquant,IF($V464="","DONNEES INSUFFISANTES",IF($V464&gt;=SeuilConforme,StatutConforme,IF($V464&gt;=SeuilSurveiller,StatutSurveiller,StatutSousStandard))))))))</f>
        <v/>
      </c>
      <c r="X464" s="33">
        <f>IF($G464="","",IF(OR($D464="",$E464="",$F464=""),"CONTEXTE INCOMPLET",IF(COUNTIFS($D$3:$D463,$D464,$E$3:$E463,$E464,$F$3:$F463,$F464,$G$3:$G463,$G464)&gt;0,"DOUBLON","VALIDE")))</f>
        <v/>
      </c>
    </row>
    <row r="465" ht="15" customHeight="1">
      <c r="A465" s="12">
        <f>IF(OR($B465="",$G465=""),"",TEXT($B465,"YYYYMMDD")&amp;"-"&amp;SUBSTITUTE($E465," ","")&amp;"-"&amp;$F465&amp;"-"&amp;$G465)</f>
        <v/>
      </c>
      <c r="B465" s="15" t="n"/>
      <c r="C465" s="16" t="n"/>
      <c r="D465" s="10" t="n"/>
      <c r="E465" s="9" t="n"/>
      <c r="F465" s="9" t="n"/>
      <c r="G465" s="13" t="n"/>
      <c r="H465" s="21" t="n"/>
      <c r="I465" s="21" t="n"/>
      <c r="J465" s="17">
        <f>IF($G465="","",IFERROR(INDEX(NomsEmployes,MATCH($G465,MatriculesEmployes,0)),"MATRICULE INCONNU"))</f>
        <v/>
      </c>
      <c r="K465" s="33">
        <f>IF(OR($D465="",$F465=""),"",IFERROR(IF(INDEX(RUNS!$L$6:$S$1005,MATCH($D465,RUNS!$A$6:$A$1005,0),MATCH("ACTIVITÉ "&amp;$F465,RUNS!$L$5:$S$5,0))="","",INDEX(RUNS!$L$6:$S$1005,MATCH($D465,RUNS!$A$6:$A$1005,0),MATCH("ACTIVITÉ "&amp;$F465,RUNS!$L$5:$S$5,0))),""))</f>
        <v/>
      </c>
      <c r="L465" s="33">
        <f>IF($D465="","",IFERROR(IF(INDEX(RUNS!$E$6:$E$1005,MATCH($D465,RUNS!$A$6:$A$1005,0))="","",INDEX(RUNS!$E$6:$E$1005,MATCH($D465,RUNS!$A$6:$A$1005,0))),""))</f>
        <v/>
      </c>
      <c r="M465" s="33">
        <f>IF($D465="","",IFERROR(IF(INDEX(RUNS!$F$6:$F$1005,MATCH($D465,RUNS!$A$6:$A$1005,0))="","",INDEX(RUNS!$F$6:$F$1005,MATCH($D465,RUNS!$A$6:$A$1005,0))),""))</f>
        <v/>
      </c>
      <c r="N465" s="33">
        <f>IF($D465="","",IFERROR(IF(INDEX(RUNS!$G$6:$G$1005,MATCH($D465,RUNS!$A$6:$A$1005,0))="","",INDEX(RUNS!$G$6:$G$1005,MATCH($D465,RUNS!$A$6:$A$1005,0))),""))</f>
        <v/>
      </c>
      <c r="O465" s="33">
        <f>IF($D465="","",IFERROR(IF(INDEX(RUNS!$H$6:$H$1005,MATCH($D465,RUNS!$A$6:$A$1005,0))="","",INDEX(RUNS!$H$6:$H$1005,MATCH($D465,RUNS!$A$6:$A$1005,0))),""))</f>
        <v/>
      </c>
      <c r="P465" s="33">
        <f>IF($D465="","",IFERROR(IF(INDEX(RUNS!$J$6:$J$1005,MATCH($D465,RUNS!$A$6:$A$1005,0))="","",INDEX(RUNS!$J$6:$J$1005,MATCH($D465,RUNS!$A$6:$A$1005,0))),""))</f>
        <v/>
      </c>
      <c r="Q465" s="33">
        <f>IF($D465="","",IFERROR(IF(INDEX(RUNS!$K$6:$K$1005,MATCH($D465,RUNS!$A$6:$A$1005,0))="","",INDEX(RUNS!$K$6:$K$1005,MATCH($D465,RUNS!$A$6:$A$1005,0))),""))</f>
        <v/>
      </c>
      <c r="R465" s="34">
        <f>IF(OR($L465="",$K465=""),"",IFERROR(IF(INDEX(PARAMETRES!$H$43:$H$342,MATCH($L465&amp;"|"&amp;$M465&amp;"|"&amp;$N465&amp;"|"&amp;$O465&amp;"|"&amp;$P465&amp;"|"&amp;$Q465&amp;"|"&amp;$K465,PARAMETRES!$J$43:$J$342,0))="","",INDEX(PARAMETRES!$H$43:$H$342,MATCH($L465&amp;"|"&amp;$M465&amp;"|"&amp;$N465&amp;"|"&amp;$O465&amp;"|"&amp;$P465&amp;"|"&amp;$Q465&amp;"|"&amp;$K465,PARAMETRES!$J$43:$J$342,0))),""))</f>
        <v/>
      </c>
      <c r="S465" s="35">
        <f>IF(OR($G465="",$X465&lt;&gt;"VALIDE"),"",IFERROR(LOOKUP(2,1/(($B$3:$B464=$B465)*($G$3:$G464=$G465)*($X$3:$X464="VALIDE")),$C$3:$C464),""))</f>
        <v/>
      </c>
      <c r="T465" s="36">
        <f>IF(OR($C465="",$S465=""),"",ROUND(($C465-$S465+IF($C465&lt;$S465,1,0))*1440,0))</f>
        <v/>
      </c>
      <c r="U465" s="22">
        <f>IF(OR($H465="",$T465="",$T465&lt;=0),"",$H465*60/$T465)</f>
        <v/>
      </c>
      <c r="V465" s="37">
        <f>IF(OR($U465="",$R465="",$R465=0),"",$U465/$R465)</f>
        <v/>
      </c>
      <c r="W465" s="20">
        <f>IF($G465="","",IF($X465="CONTEXTE INCOMPLET","CONTEXTE INCOMPLET",IF($X465="DOUBLON",StatutDoublon,IF($S465="",StatutInitial,IF($R465="",StatutStandardManquant,IF($V465="","DONNEES INSUFFISANTES",IF($V465&gt;=SeuilConforme,StatutConforme,IF($V465&gt;=SeuilSurveiller,StatutSurveiller,StatutSousStandard))))))))</f>
        <v/>
      </c>
      <c r="X465" s="33">
        <f>IF($G465="","",IF(OR($D465="",$E465="",$F465=""),"CONTEXTE INCOMPLET",IF(COUNTIFS($D$3:$D464,$D465,$E$3:$E464,$E465,$F$3:$F464,$F465,$G$3:$G464,$G465)&gt;0,"DOUBLON","VALIDE")))</f>
        <v/>
      </c>
    </row>
    <row r="466" ht="15" customHeight="1">
      <c r="A466" s="12">
        <f>IF(OR($B466="",$G466=""),"",TEXT($B466,"YYYYMMDD")&amp;"-"&amp;SUBSTITUTE($E466," ","")&amp;"-"&amp;$F466&amp;"-"&amp;$G466)</f>
        <v/>
      </c>
      <c r="B466" s="15" t="n"/>
      <c r="C466" s="16" t="n"/>
      <c r="D466" s="10" t="n"/>
      <c r="E466" s="9" t="n"/>
      <c r="F466" s="9" t="n"/>
      <c r="G466" s="13" t="n"/>
      <c r="H466" s="21" t="n"/>
      <c r="I466" s="21" t="n"/>
      <c r="J466" s="17">
        <f>IF($G466="","",IFERROR(INDEX(NomsEmployes,MATCH($G466,MatriculesEmployes,0)),"MATRICULE INCONNU"))</f>
        <v/>
      </c>
      <c r="K466" s="33">
        <f>IF(OR($D466="",$F466=""),"",IFERROR(IF(INDEX(RUNS!$L$6:$S$1005,MATCH($D466,RUNS!$A$6:$A$1005,0),MATCH("ACTIVITÉ "&amp;$F466,RUNS!$L$5:$S$5,0))="","",INDEX(RUNS!$L$6:$S$1005,MATCH($D466,RUNS!$A$6:$A$1005,0),MATCH("ACTIVITÉ "&amp;$F466,RUNS!$L$5:$S$5,0))),""))</f>
        <v/>
      </c>
      <c r="L466" s="33">
        <f>IF($D466="","",IFERROR(IF(INDEX(RUNS!$E$6:$E$1005,MATCH($D466,RUNS!$A$6:$A$1005,0))="","",INDEX(RUNS!$E$6:$E$1005,MATCH($D466,RUNS!$A$6:$A$1005,0))),""))</f>
        <v/>
      </c>
      <c r="M466" s="33">
        <f>IF($D466="","",IFERROR(IF(INDEX(RUNS!$F$6:$F$1005,MATCH($D466,RUNS!$A$6:$A$1005,0))="","",INDEX(RUNS!$F$6:$F$1005,MATCH($D466,RUNS!$A$6:$A$1005,0))),""))</f>
        <v/>
      </c>
      <c r="N466" s="33">
        <f>IF($D466="","",IFERROR(IF(INDEX(RUNS!$G$6:$G$1005,MATCH($D466,RUNS!$A$6:$A$1005,0))="","",INDEX(RUNS!$G$6:$G$1005,MATCH($D466,RUNS!$A$6:$A$1005,0))),""))</f>
        <v/>
      </c>
      <c r="O466" s="33">
        <f>IF($D466="","",IFERROR(IF(INDEX(RUNS!$H$6:$H$1005,MATCH($D466,RUNS!$A$6:$A$1005,0))="","",INDEX(RUNS!$H$6:$H$1005,MATCH($D466,RUNS!$A$6:$A$1005,0))),""))</f>
        <v/>
      </c>
      <c r="P466" s="33">
        <f>IF($D466="","",IFERROR(IF(INDEX(RUNS!$J$6:$J$1005,MATCH($D466,RUNS!$A$6:$A$1005,0))="","",INDEX(RUNS!$J$6:$J$1005,MATCH($D466,RUNS!$A$6:$A$1005,0))),""))</f>
        <v/>
      </c>
      <c r="Q466" s="33">
        <f>IF($D466="","",IFERROR(IF(INDEX(RUNS!$K$6:$K$1005,MATCH($D466,RUNS!$A$6:$A$1005,0))="","",INDEX(RUNS!$K$6:$K$1005,MATCH($D466,RUNS!$A$6:$A$1005,0))),""))</f>
        <v/>
      </c>
      <c r="R466" s="34">
        <f>IF(OR($L466="",$K466=""),"",IFERROR(IF(INDEX(PARAMETRES!$H$43:$H$342,MATCH($L466&amp;"|"&amp;$M466&amp;"|"&amp;$N466&amp;"|"&amp;$O466&amp;"|"&amp;$P466&amp;"|"&amp;$Q466&amp;"|"&amp;$K466,PARAMETRES!$J$43:$J$342,0))="","",INDEX(PARAMETRES!$H$43:$H$342,MATCH($L466&amp;"|"&amp;$M466&amp;"|"&amp;$N466&amp;"|"&amp;$O466&amp;"|"&amp;$P466&amp;"|"&amp;$Q466&amp;"|"&amp;$K466,PARAMETRES!$J$43:$J$342,0))),""))</f>
        <v/>
      </c>
      <c r="S466" s="35">
        <f>IF(OR($G466="",$X466&lt;&gt;"VALIDE"),"",IFERROR(LOOKUP(2,1/(($B$3:$B465=$B466)*($G$3:$G465=$G466)*($X$3:$X465="VALIDE")),$C$3:$C465),""))</f>
        <v/>
      </c>
      <c r="T466" s="36">
        <f>IF(OR($C466="",$S466=""),"",ROUND(($C466-$S466+IF($C466&lt;$S466,1,0))*1440,0))</f>
        <v/>
      </c>
      <c r="U466" s="22">
        <f>IF(OR($H466="",$T466="",$T466&lt;=0),"",$H466*60/$T466)</f>
        <v/>
      </c>
      <c r="V466" s="37">
        <f>IF(OR($U466="",$R466="",$R466=0),"",$U466/$R466)</f>
        <v/>
      </c>
      <c r="W466" s="20">
        <f>IF($G466="","",IF($X466="CONTEXTE INCOMPLET","CONTEXTE INCOMPLET",IF($X466="DOUBLON",StatutDoublon,IF($S466="",StatutInitial,IF($R466="",StatutStandardManquant,IF($V466="","DONNEES INSUFFISANTES",IF($V466&gt;=SeuilConforme,StatutConforme,IF($V466&gt;=SeuilSurveiller,StatutSurveiller,StatutSousStandard))))))))</f>
        <v/>
      </c>
      <c r="X466" s="33">
        <f>IF($G466="","",IF(OR($D466="",$E466="",$F466=""),"CONTEXTE INCOMPLET",IF(COUNTIFS($D$3:$D465,$D466,$E$3:$E465,$E466,$F$3:$F465,$F466,$G$3:$G465,$G466)&gt;0,"DOUBLON","VALIDE")))</f>
        <v/>
      </c>
    </row>
    <row r="467" ht="15" customHeight="1">
      <c r="A467" s="12">
        <f>IF(OR($B467="",$G467=""),"",TEXT($B467,"YYYYMMDD")&amp;"-"&amp;SUBSTITUTE($E467," ","")&amp;"-"&amp;$F467&amp;"-"&amp;$G467)</f>
        <v/>
      </c>
      <c r="B467" s="15" t="n"/>
      <c r="C467" s="16" t="n"/>
      <c r="D467" s="10" t="n"/>
      <c r="E467" s="9" t="n"/>
      <c r="F467" s="9" t="n"/>
      <c r="G467" s="13" t="n"/>
      <c r="H467" s="21" t="n"/>
      <c r="I467" s="21" t="n"/>
      <c r="J467" s="17">
        <f>IF($G467="","",IFERROR(INDEX(NomsEmployes,MATCH($G467,MatriculesEmployes,0)),"MATRICULE INCONNU"))</f>
        <v/>
      </c>
      <c r="K467" s="33">
        <f>IF(OR($D467="",$F467=""),"",IFERROR(IF(INDEX(RUNS!$L$6:$S$1005,MATCH($D467,RUNS!$A$6:$A$1005,0),MATCH("ACTIVITÉ "&amp;$F467,RUNS!$L$5:$S$5,0))="","",INDEX(RUNS!$L$6:$S$1005,MATCH($D467,RUNS!$A$6:$A$1005,0),MATCH("ACTIVITÉ "&amp;$F467,RUNS!$L$5:$S$5,0))),""))</f>
        <v/>
      </c>
      <c r="L467" s="33">
        <f>IF($D467="","",IFERROR(IF(INDEX(RUNS!$E$6:$E$1005,MATCH($D467,RUNS!$A$6:$A$1005,0))="","",INDEX(RUNS!$E$6:$E$1005,MATCH($D467,RUNS!$A$6:$A$1005,0))),""))</f>
        <v/>
      </c>
      <c r="M467" s="33">
        <f>IF($D467="","",IFERROR(IF(INDEX(RUNS!$F$6:$F$1005,MATCH($D467,RUNS!$A$6:$A$1005,0))="","",INDEX(RUNS!$F$6:$F$1005,MATCH($D467,RUNS!$A$6:$A$1005,0))),""))</f>
        <v/>
      </c>
      <c r="N467" s="33">
        <f>IF($D467="","",IFERROR(IF(INDEX(RUNS!$G$6:$G$1005,MATCH($D467,RUNS!$A$6:$A$1005,0))="","",INDEX(RUNS!$G$6:$G$1005,MATCH($D467,RUNS!$A$6:$A$1005,0))),""))</f>
        <v/>
      </c>
      <c r="O467" s="33">
        <f>IF($D467="","",IFERROR(IF(INDEX(RUNS!$H$6:$H$1005,MATCH($D467,RUNS!$A$6:$A$1005,0))="","",INDEX(RUNS!$H$6:$H$1005,MATCH($D467,RUNS!$A$6:$A$1005,0))),""))</f>
        <v/>
      </c>
      <c r="P467" s="33">
        <f>IF($D467="","",IFERROR(IF(INDEX(RUNS!$J$6:$J$1005,MATCH($D467,RUNS!$A$6:$A$1005,0))="","",INDEX(RUNS!$J$6:$J$1005,MATCH($D467,RUNS!$A$6:$A$1005,0))),""))</f>
        <v/>
      </c>
      <c r="Q467" s="33">
        <f>IF($D467="","",IFERROR(IF(INDEX(RUNS!$K$6:$K$1005,MATCH($D467,RUNS!$A$6:$A$1005,0))="","",INDEX(RUNS!$K$6:$K$1005,MATCH($D467,RUNS!$A$6:$A$1005,0))),""))</f>
        <v/>
      </c>
      <c r="R467" s="34">
        <f>IF(OR($L467="",$K467=""),"",IFERROR(IF(INDEX(PARAMETRES!$H$43:$H$342,MATCH($L467&amp;"|"&amp;$M467&amp;"|"&amp;$N467&amp;"|"&amp;$O467&amp;"|"&amp;$P467&amp;"|"&amp;$Q467&amp;"|"&amp;$K467,PARAMETRES!$J$43:$J$342,0))="","",INDEX(PARAMETRES!$H$43:$H$342,MATCH($L467&amp;"|"&amp;$M467&amp;"|"&amp;$N467&amp;"|"&amp;$O467&amp;"|"&amp;$P467&amp;"|"&amp;$Q467&amp;"|"&amp;$K467,PARAMETRES!$J$43:$J$342,0))),""))</f>
        <v/>
      </c>
      <c r="S467" s="35">
        <f>IF(OR($G467="",$X467&lt;&gt;"VALIDE"),"",IFERROR(LOOKUP(2,1/(($B$3:$B466=$B467)*($G$3:$G466=$G467)*($X$3:$X466="VALIDE")),$C$3:$C466),""))</f>
        <v/>
      </c>
      <c r="T467" s="36">
        <f>IF(OR($C467="",$S467=""),"",ROUND(($C467-$S467+IF($C467&lt;$S467,1,0))*1440,0))</f>
        <v/>
      </c>
      <c r="U467" s="22">
        <f>IF(OR($H467="",$T467="",$T467&lt;=0),"",$H467*60/$T467)</f>
        <v/>
      </c>
      <c r="V467" s="37">
        <f>IF(OR($U467="",$R467="",$R467=0),"",$U467/$R467)</f>
        <v/>
      </c>
      <c r="W467" s="20">
        <f>IF($G467="","",IF($X467="CONTEXTE INCOMPLET","CONTEXTE INCOMPLET",IF($X467="DOUBLON",StatutDoublon,IF($S467="",StatutInitial,IF($R467="",StatutStandardManquant,IF($V467="","DONNEES INSUFFISANTES",IF($V467&gt;=SeuilConforme,StatutConforme,IF($V467&gt;=SeuilSurveiller,StatutSurveiller,StatutSousStandard))))))))</f>
        <v/>
      </c>
      <c r="X467" s="33">
        <f>IF($G467="","",IF(OR($D467="",$E467="",$F467=""),"CONTEXTE INCOMPLET",IF(COUNTIFS($D$3:$D466,$D467,$E$3:$E466,$E467,$F$3:$F466,$F467,$G$3:$G466,$G467)&gt;0,"DOUBLON","VALIDE")))</f>
        <v/>
      </c>
    </row>
    <row r="468" ht="15" customHeight="1">
      <c r="A468" s="12">
        <f>IF(OR($B468="",$G468=""),"",TEXT($B468,"YYYYMMDD")&amp;"-"&amp;SUBSTITUTE($E468," ","")&amp;"-"&amp;$F468&amp;"-"&amp;$G468)</f>
        <v/>
      </c>
      <c r="B468" s="15" t="n"/>
      <c r="C468" s="16" t="n"/>
      <c r="D468" s="10" t="n"/>
      <c r="E468" s="9" t="n"/>
      <c r="F468" s="9" t="n"/>
      <c r="G468" s="13" t="n"/>
      <c r="H468" s="21" t="n"/>
      <c r="I468" s="21" t="n"/>
      <c r="J468" s="17">
        <f>IF($G468="","",IFERROR(INDEX(NomsEmployes,MATCH($G468,MatriculesEmployes,0)),"MATRICULE INCONNU"))</f>
        <v/>
      </c>
      <c r="K468" s="33">
        <f>IF(OR($D468="",$F468=""),"",IFERROR(IF(INDEX(RUNS!$L$6:$S$1005,MATCH($D468,RUNS!$A$6:$A$1005,0),MATCH("ACTIVITÉ "&amp;$F468,RUNS!$L$5:$S$5,0))="","",INDEX(RUNS!$L$6:$S$1005,MATCH($D468,RUNS!$A$6:$A$1005,0),MATCH("ACTIVITÉ "&amp;$F468,RUNS!$L$5:$S$5,0))),""))</f>
        <v/>
      </c>
      <c r="L468" s="33">
        <f>IF($D468="","",IFERROR(IF(INDEX(RUNS!$E$6:$E$1005,MATCH($D468,RUNS!$A$6:$A$1005,0))="","",INDEX(RUNS!$E$6:$E$1005,MATCH($D468,RUNS!$A$6:$A$1005,0))),""))</f>
        <v/>
      </c>
      <c r="M468" s="33">
        <f>IF($D468="","",IFERROR(IF(INDEX(RUNS!$F$6:$F$1005,MATCH($D468,RUNS!$A$6:$A$1005,0))="","",INDEX(RUNS!$F$6:$F$1005,MATCH($D468,RUNS!$A$6:$A$1005,0))),""))</f>
        <v/>
      </c>
      <c r="N468" s="33">
        <f>IF($D468="","",IFERROR(IF(INDEX(RUNS!$G$6:$G$1005,MATCH($D468,RUNS!$A$6:$A$1005,0))="","",INDEX(RUNS!$G$6:$G$1005,MATCH($D468,RUNS!$A$6:$A$1005,0))),""))</f>
        <v/>
      </c>
      <c r="O468" s="33">
        <f>IF($D468="","",IFERROR(IF(INDEX(RUNS!$H$6:$H$1005,MATCH($D468,RUNS!$A$6:$A$1005,0))="","",INDEX(RUNS!$H$6:$H$1005,MATCH($D468,RUNS!$A$6:$A$1005,0))),""))</f>
        <v/>
      </c>
      <c r="P468" s="33">
        <f>IF($D468="","",IFERROR(IF(INDEX(RUNS!$J$6:$J$1005,MATCH($D468,RUNS!$A$6:$A$1005,0))="","",INDEX(RUNS!$J$6:$J$1005,MATCH($D468,RUNS!$A$6:$A$1005,0))),""))</f>
        <v/>
      </c>
      <c r="Q468" s="33">
        <f>IF($D468="","",IFERROR(IF(INDEX(RUNS!$K$6:$K$1005,MATCH($D468,RUNS!$A$6:$A$1005,0))="","",INDEX(RUNS!$K$6:$K$1005,MATCH($D468,RUNS!$A$6:$A$1005,0))),""))</f>
        <v/>
      </c>
      <c r="R468" s="34">
        <f>IF(OR($L468="",$K468=""),"",IFERROR(IF(INDEX(PARAMETRES!$H$43:$H$342,MATCH($L468&amp;"|"&amp;$M468&amp;"|"&amp;$N468&amp;"|"&amp;$O468&amp;"|"&amp;$P468&amp;"|"&amp;$Q468&amp;"|"&amp;$K468,PARAMETRES!$J$43:$J$342,0))="","",INDEX(PARAMETRES!$H$43:$H$342,MATCH($L468&amp;"|"&amp;$M468&amp;"|"&amp;$N468&amp;"|"&amp;$O468&amp;"|"&amp;$P468&amp;"|"&amp;$Q468&amp;"|"&amp;$K468,PARAMETRES!$J$43:$J$342,0))),""))</f>
        <v/>
      </c>
      <c r="S468" s="35">
        <f>IF(OR($G468="",$X468&lt;&gt;"VALIDE"),"",IFERROR(LOOKUP(2,1/(($B$3:$B467=$B468)*($G$3:$G467=$G468)*($X$3:$X467="VALIDE")),$C$3:$C467),""))</f>
        <v/>
      </c>
      <c r="T468" s="36">
        <f>IF(OR($C468="",$S468=""),"",ROUND(($C468-$S468+IF($C468&lt;$S468,1,0))*1440,0))</f>
        <v/>
      </c>
      <c r="U468" s="22">
        <f>IF(OR($H468="",$T468="",$T468&lt;=0),"",$H468*60/$T468)</f>
        <v/>
      </c>
      <c r="V468" s="37">
        <f>IF(OR($U468="",$R468="",$R468=0),"",$U468/$R468)</f>
        <v/>
      </c>
      <c r="W468" s="20">
        <f>IF($G468="","",IF($X468="CONTEXTE INCOMPLET","CONTEXTE INCOMPLET",IF($X468="DOUBLON",StatutDoublon,IF($S468="",StatutInitial,IF($R468="",StatutStandardManquant,IF($V468="","DONNEES INSUFFISANTES",IF($V468&gt;=SeuilConforme,StatutConforme,IF($V468&gt;=SeuilSurveiller,StatutSurveiller,StatutSousStandard))))))))</f>
        <v/>
      </c>
      <c r="X468" s="33">
        <f>IF($G468="","",IF(OR($D468="",$E468="",$F468=""),"CONTEXTE INCOMPLET",IF(COUNTIFS($D$3:$D467,$D468,$E$3:$E467,$E468,$F$3:$F467,$F468,$G$3:$G467,$G468)&gt;0,"DOUBLON","VALIDE")))</f>
        <v/>
      </c>
    </row>
    <row r="469" ht="15" customHeight="1">
      <c r="A469" s="12">
        <f>IF(OR($B469="",$G469=""),"",TEXT($B469,"YYYYMMDD")&amp;"-"&amp;SUBSTITUTE($E469," ","")&amp;"-"&amp;$F469&amp;"-"&amp;$G469)</f>
        <v/>
      </c>
      <c r="B469" s="15" t="n"/>
      <c r="C469" s="16" t="n"/>
      <c r="D469" s="10" t="n"/>
      <c r="E469" s="9" t="n"/>
      <c r="F469" s="9" t="n"/>
      <c r="G469" s="13" t="n"/>
      <c r="H469" s="21" t="n"/>
      <c r="I469" s="21" t="n"/>
      <c r="J469" s="17">
        <f>IF($G469="","",IFERROR(INDEX(NomsEmployes,MATCH($G469,MatriculesEmployes,0)),"MATRICULE INCONNU"))</f>
        <v/>
      </c>
      <c r="K469" s="33">
        <f>IF(OR($D469="",$F469=""),"",IFERROR(IF(INDEX(RUNS!$L$6:$S$1005,MATCH($D469,RUNS!$A$6:$A$1005,0),MATCH("ACTIVITÉ "&amp;$F469,RUNS!$L$5:$S$5,0))="","",INDEX(RUNS!$L$6:$S$1005,MATCH($D469,RUNS!$A$6:$A$1005,0),MATCH("ACTIVITÉ "&amp;$F469,RUNS!$L$5:$S$5,0))),""))</f>
        <v/>
      </c>
      <c r="L469" s="33">
        <f>IF($D469="","",IFERROR(IF(INDEX(RUNS!$E$6:$E$1005,MATCH($D469,RUNS!$A$6:$A$1005,0))="","",INDEX(RUNS!$E$6:$E$1005,MATCH($D469,RUNS!$A$6:$A$1005,0))),""))</f>
        <v/>
      </c>
      <c r="M469" s="33">
        <f>IF($D469="","",IFERROR(IF(INDEX(RUNS!$F$6:$F$1005,MATCH($D469,RUNS!$A$6:$A$1005,0))="","",INDEX(RUNS!$F$6:$F$1005,MATCH($D469,RUNS!$A$6:$A$1005,0))),""))</f>
        <v/>
      </c>
      <c r="N469" s="33">
        <f>IF($D469="","",IFERROR(IF(INDEX(RUNS!$G$6:$G$1005,MATCH($D469,RUNS!$A$6:$A$1005,0))="","",INDEX(RUNS!$G$6:$G$1005,MATCH($D469,RUNS!$A$6:$A$1005,0))),""))</f>
        <v/>
      </c>
      <c r="O469" s="33">
        <f>IF($D469="","",IFERROR(IF(INDEX(RUNS!$H$6:$H$1005,MATCH($D469,RUNS!$A$6:$A$1005,0))="","",INDEX(RUNS!$H$6:$H$1005,MATCH($D469,RUNS!$A$6:$A$1005,0))),""))</f>
        <v/>
      </c>
      <c r="P469" s="33">
        <f>IF($D469="","",IFERROR(IF(INDEX(RUNS!$J$6:$J$1005,MATCH($D469,RUNS!$A$6:$A$1005,0))="","",INDEX(RUNS!$J$6:$J$1005,MATCH($D469,RUNS!$A$6:$A$1005,0))),""))</f>
        <v/>
      </c>
      <c r="Q469" s="33">
        <f>IF($D469="","",IFERROR(IF(INDEX(RUNS!$K$6:$K$1005,MATCH($D469,RUNS!$A$6:$A$1005,0))="","",INDEX(RUNS!$K$6:$K$1005,MATCH($D469,RUNS!$A$6:$A$1005,0))),""))</f>
        <v/>
      </c>
      <c r="R469" s="34">
        <f>IF(OR($L469="",$K469=""),"",IFERROR(IF(INDEX(PARAMETRES!$H$43:$H$342,MATCH($L469&amp;"|"&amp;$M469&amp;"|"&amp;$N469&amp;"|"&amp;$O469&amp;"|"&amp;$P469&amp;"|"&amp;$Q469&amp;"|"&amp;$K469,PARAMETRES!$J$43:$J$342,0))="","",INDEX(PARAMETRES!$H$43:$H$342,MATCH($L469&amp;"|"&amp;$M469&amp;"|"&amp;$N469&amp;"|"&amp;$O469&amp;"|"&amp;$P469&amp;"|"&amp;$Q469&amp;"|"&amp;$K469,PARAMETRES!$J$43:$J$342,0))),""))</f>
        <v/>
      </c>
      <c r="S469" s="35">
        <f>IF(OR($G469="",$X469&lt;&gt;"VALIDE"),"",IFERROR(LOOKUP(2,1/(($B$3:$B468=$B469)*($G$3:$G468=$G469)*($X$3:$X468="VALIDE")),$C$3:$C468),""))</f>
        <v/>
      </c>
      <c r="T469" s="36">
        <f>IF(OR($C469="",$S469=""),"",ROUND(($C469-$S469+IF($C469&lt;$S469,1,0))*1440,0))</f>
        <v/>
      </c>
      <c r="U469" s="22">
        <f>IF(OR($H469="",$T469="",$T469&lt;=0),"",$H469*60/$T469)</f>
        <v/>
      </c>
      <c r="V469" s="37">
        <f>IF(OR($U469="",$R469="",$R469=0),"",$U469/$R469)</f>
        <v/>
      </c>
      <c r="W469" s="20">
        <f>IF($G469="","",IF($X469="CONTEXTE INCOMPLET","CONTEXTE INCOMPLET",IF($X469="DOUBLON",StatutDoublon,IF($S469="",StatutInitial,IF($R469="",StatutStandardManquant,IF($V469="","DONNEES INSUFFISANTES",IF($V469&gt;=SeuilConforme,StatutConforme,IF($V469&gt;=SeuilSurveiller,StatutSurveiller,StatutSousStandard))))))))</f>
        <v/>
      </c>
      <c r="X469" s="33">
        <f>IF($G469="","",IF(OR($D469="",$E469="",$F469=""),"CONTEXTE INCOMPLET",IF(COUNTIFS($D$3:$D468,$D469,$E$3:$E468,$E469,$F$3:$F468,$F469,$G$3:$G468,$G469)&gt;0,"DOUBLON","VALIDE")))</f>
        <v/>
      </c>
    </row>
    <row r="470" ht="15" customHeight="1">
      <c r="A470" s="12">
        <f>IF(OR($B470="",$G470=""),"",TEXT($B470,"YYYYMMDD")&amp;"-"&amp;SUBSTITUTE($E470," ","")&amp;"-"&amp;$F470&amp;"-"&amp;$G470)</f>
        <v/>
      </c>
      <c r="B470" s="15" t="n"/>
      <c r="C470" s="16" t="n"/>
      <c r="D470" s="10" t="n"/>
      <c r="E470" s="9" t="n"/>
      <c r="F470" s="9" t="n"/>
      <c r="G470" s="13" t="n"/>
      <c r="H470" s="21" t="n"/>
      <c r="I470" s="21" t="n"/>
      <c r="J470" s="17">
        <f>IF($G470="","",IFERROR(INDEX(NomsEmployes,MATCH($G470,MatriculesEmployes,0)),"MATRICULE INCONNU"))</f>
        <v/>
      </c>
      <c r="K470" s="33">
        <f>IF(OR($D470="",$F470=""),"",IFERROR(IF(INDEX(RUNS!$L$6:$S$1005,MATCH($D470,RUNS!$A$6:$A$1005,0),MATCH("ACTIVITÉ "&amp;$F470,RUNS!$L$5:$S$5,0))="","",INDEX(RUNS!$L$6:$S$1005,MATCH($D470,RUNS!$A$6:$A$1005,0),MATCH("ACTIVITÉ "&amp;$F470,RUNS!$L$5:$S$5,0))),""))</f>
        <v/>
      </c>
      <c r="L470" s="33">
        <f>IF($D470="","",IFERROR(IF(INDEX(RUNS!$E$6:$E$1005,MATCH($D470,RUNS!$A$6:$A$1005,0))="","",INDEX(RUNS!$E$6:$E$1005,MATCH($D470,RUNS!$A$6:$A$1005,0))),""))</f>
        <v/>
      </c>
      <c r="M470" s="33">
        <f>IF($D470="","",IFERROR(IF(INDEX(RUNS!$F$6:$F$1005,MATCH($D470,RUNS!$A$6:$A$1005,0))="","",INDEX(RUNS!$F$6:$F$1005,MATCH($D470,RUNS!$A$6:$A$1005,0))),""))</f>
        <v/>
      </c>
      <c r="N470" s="33">
        <f>IF($D470="","",IFERROR(IF(INDEX(RUNS!$G$6:$G$1005,MATCH($D470,RUNS!$A$6:$A$1005,0))="","",INDEX(RUNS!$G$6:$G$1005,MATCH($D470,RUNS!$A$6:$A$1005,0))),""))</f>
        <v/>
      </c>
      <c r="O470" s="33">
        <f>IF($D470="","",IFERROR(IF(INDEX(RUNS!$H$6:$H$1005,MATCH($D470,RUNS!$A$6:$A$1005,0))="","",INDEX(RUNS!$H$6:$H$1005,MATCH($D470,RUNS!$A$6:$A$1005,0))),""))</f>
        <v/>
      </c>
      <c r="P470" s="33">
        <f>IF($D470="","",IFERROR(IF(INDEX(RUNS!$J$6:$J$1005,MATCH($D470,RUNS!$A$6:$A$1005,0))="","",INDEX(RUNS!$J$6:$J$1005,MATCH($D470,RUNS!$A$6:$A$1005,0))),""))</f>
        <v/>
      </c>
      <c r="Q470" s="33">
        <f>IF($D470="","",IFERROR(IF(INDEX(RUNS!$K$6:$K$1005,MATCH($D470,RUNS!$A$6:$A$1005,0))="","",INDEX(RUNS!$K$6:$K$1005,MATCH($D470,RUNS!$A$6:$A$1005,0))),""))</f>
        <v/>
      </c>
      <c r="R470" s="34">
        <f>IF(OR($L470="",$K470=""),"",IFERROR(IF(INDEX(PARAMETRES!$H$43:$H$342,MATCH($L470&amp;"|"&amp;$M470&amp;"|"&amp;$N470&amp;"|"&amp;$O470&amp;"|"&amp;$P470&amp;"|"&amp;$Q470&amp;"|"&amp;$K470,PARAMETRES!$J$43:$J$342,0))="","",INDEX(PARAMETRES!$H$43:$H$342,MATCH($L470&amp;"|"&amp;$M470&amp;"|"&amp;$N470&amp;"|"&amp;$O470&amp;"|"&amp;$P470&amp;"|"&amp;$Q470&amp;"|"&amp;$K470,PARAMETRES!$J$43:$J$342,0))),""))</f>
        <v/>
      </c>
      <c r="S470" s="35">
        <f>IF(OR($G470="",$X470&lt;&gt;"VALIDE"),"",IFERROR(LOOKUP(2,1/(($B$3:$B469=$B470)*($G$3:$G469=$G470)*($X$3:$X469="VALIDE")),$C$3:$C469),""))</f>
        <v/>
      </c>
      <c r="T470" s="36">
        <f>IF(OR($C470="",$S470=""),"",ROUND(($C470-$S470+IF($C470&lt;$S470,1,0))*1440,0))</f>
        <v/>
      </c>
      <c r="U470" s="22">
        <f>IF(OR($H470="",$T470="",$T470&lt;=0),"",$H470*60/$T470)</f>
        <v/>
      </c>
      <c r="V470" s="37">
        <f>IF(OR($U470="",$R470="",$R470=0),"",$U470/$R470)</f>
        <v/>
      </c>
      <c r="W470" s="20">
        <f>IF($G470="","",IF($X470="CONTEXTE INCOMPLET","CONTEXTE INCOMPLET",IF($X470="DOUBLON",StatutDoublon,IF($S470="",StatutInitial,IF($R470="",StatutStandardManquant,IF($V470="","DONNEES INSUFFISANTES",IF($V470&gt;=SeuilConforme,StatutConforme,IF($V470&gt;=SeuilSurveiller,StatutSurveiller,StatutSousStandard))))))))</f>
        <v/>
      </c>
      <c r="X470" s="33">
        <f>IF($G470="","",IF(OR($D470="",$E470="",$F470=""),"CONTEXTE INCOMPLET",IF(COUNTIFS($D$3:$D469,$D470,$E$3:$E469,$E470,$F$3:$F469,$F470,$G$3:$G469,$G470)&gt;0,"DOUBLON","VALIDE")))</f>
        <v/>
      </c>
    </row>
    <row r="471" ht="15" customHeight="1">
      <c r="A471" s="12">
        <f>IF(OR($B471="",$G471=""),"",TEXT($B471,"YYYYMMDD")&amp;"-"&amp;SUBSTITUTE($E471," ","")&amp;"-"&amp;$F471&amp;"-"&amp;$G471)</f>
        <v/>
      </c>
      <c r="B471" s="15" t="n"/>
      <c r="C471" s="16" t="n"/>
      <c r="D471" s="10" t="n"/>
      <c r="E471" s="9" t="n"/>
      <c r="F471" s="9" t="n"/>
      <c r="G471" s="13" t="n"/>
      <c r="H471" s="21" t="n"/>
      <c r="I471" s="21" t="n"/>
      <c r="J471" s="17">
        <f>IF($G471="","",IFERROR(INDEX(NomsEmployes,MATCH($G471,MatriculesEmployes,0)),"MATRICULE INCONNU"))</f>
        <v/>
      </c>
      <c r="K471" s="33">
        <f>IF(OR($D471="",$F471=""),"",IFERROR(IF(INDEX(RUNS!$L$6:$S$1005,MATCH($D471,RUNS!$A$6:$A$1005,0),MATCH("ACTIVITÉ "&amp;$F471,RUNS!$L$5:$S$5,0))="","",INDEX(RUNS!$L$6:$S$1005,MATCH($D471,RUNS!$A$6:$A$1005,0),MATCH("ACTIVITÉ "&amp;$F471,RUNS!$L$5:$S$5,0))),""))</f>
        <v/>
      </c>
      <c r="L471" s="33">
        <f>IF($D471="","",IFERROR(IF(INDEX(RUNS!$E$6:$E$1005,MATCH($D471,RUNS!$A$6:$A$1005,0))="","",INDEX(RUNS!$E$6:$E$1005,MATCH($D471,RUNS!$A$6:$A$1005,0))),""))</f>
        <v/>
      </c>
      <c r="M471" s="33">
        <f>IF($D471="","",IFERROR(IF(INDEX(RUNS!$F$6:$F$1005,MATCH($D471,RUNS!$A$6:$A$1005,0))="","",INDEX(RUNS!$F$6:$F$1005,MATCH($D471,RUNS!$A$6:$A$1005,0))),""))</f>
        <v/>
      </c>
      <c r="N471" s="33">
        <f>IF($D471="","",IFERROR(IF(INDEX(RUNS!$G$6:$G$1005,MATCH($D471,RUNS!$A$6:$A$1005,0))="","",INDEX(RUNS!$G$6:$G$1005,MATCH($D471,RUNS!$A$6:$A$1005,0))),""))</f>
        <v/>
      </c>
      <c r="O471" s="33">
        <f>IF($D471="","",IFERROR(IF(INDEX(RUNS!$H$6:$H$1005,MATCH($D471,RUNS!$A$6:$A$1005,0))="","",INDEX(RUNS!$H$6:$H$1005,MATCH($D471,RUNS!$A$6:$A$1005,0))),""))</f>
        <v/>
      </c>
      <c r="P471" s="33">
        <f>IF($D471="","",IFERROR(IF(INDEX(RUNS!$J$6:$J$1005,MATCH($D471,RUNS!$A$6:$A$1005,0))="","",INDEX(RUNS!$J$6:$J$1005,MATCH($D471,RUNS!$A$6:$A$1005,0))),""))</f>
        <v/>
      </c>
      <c r="Q471" s="33">
        <f>IF($D471="","",IFERROR(IF(INDEX(RUNS!$K$6:$K$1005,MATCH($D471,RUNS!$A$6:$A$1005,0))="","",INDEX(RUNS!$K$6:$K$1005,MATCH($D471,RUNS!$A$6:$A$1005,0))),""))</f>
        <v/>
      </c>
      <c r="R471" s="34">
        <f>IF(OR($L471="",$K471=""),"",IFERROR(IF(INDEX(PARAMETRES!$H$43:$H$342,MATCH($L471&amp;"|"&amp;$M471&amp;"|"&amp;$N471&amp;"|"&amp;$O471&amp;"|"&amp;$P471&amp;"|"&amp;$Q471&amp;"|"&amp;$K471,PARAMETRES!$J$43:$J$342,0))="","",INDEX(PARAMETRES!$H$43:$H$342,MATCH($L471&amp;"|"&amp;$M471&amp;"|"&amp;$N471&amp;"|"&amp;$O471&amp;"|"&amp;$P471&amp;"|"&amp;$Q471&amp;"|"&amp;$K471,PARAMETRES!$J$43:$J$342,0))),""))</f>
        <v/>
      </c>
      <c r="S471" s="35">
        <f>IF(OR($G471="",$X471&lt;&gt;"VALIDE"),"",IFERROR(LOOKUP(2,1/(($B$3:$B470=$B471)*($G$3:$G470=$G471)*($X$3:$X470="VALIDE")),$C$3:$C470),""))</f>
        <v/>
      </c>
      <c r="T471" s="36">
        <f>IF(OR($C471="",$S471=""),"",ROUND(($C471-$S471+IF($C471&lt;$S471,1,0))*1440,0))</f>
        <v/>
      </c>
      <c r="U471" s="22">
        <f>IF(OR($H471="",$T471="",$T471&lt;=0),"",$H471*60/$T471)</f>
        <v/>
      </c>
      <c r="V471" s="37">
        <f>IF(OR($U471="",$R471="",$R471=0),"",$U471/$R471)</f>
        <v/>
      </c>
      <c r="W471" s="20">
        <f>IF($G471="","",IF($X471="CONTEXTE INCOMPLET","CONTEXTE INCOMPLET",IF($X471="DOUBLON",StatutDoublon,IF($S471="",StatutInitial,IF($R471="",StatutStandardManquant,IF($V471="","DONNEES INSUFFISANTES",IF($V471&gt;=SeuilConforme,StatutConforme,IF($V471&gt;=SeuilSurveiller,StatutSurveiller,StatutSousStandard))))))))</f>
        <v/>
      </c>
      <c r="X471" s="33">
        <f>IF($G471="","",IF(OR($D471="",$E471="",$F471=""),"CONTEXTE INCOMPLET",IF(COUNTIFS($D$3:$D470,$D471,$E$3:$E470,$E471,$F$3:$F470,$F471,$G$3:$G470,$G471)&gt;0,"DOUBLON","VALIDE")))</f>
        <v/>
      </c>
    </row>
    <row r="472" ht="15" customHeight="1">
      <c r="A472" s="12">
        <f>IF(OR($B472="",$G472=""),"",TEXT($B472,"YYYYMMDD")&amp;"-"&amp;SUBSTITUTE($E472," ","")&amp;"-"&amp;$F472&amp;"-"&amp;$G472)</f>
        <v/>
      </c>
      <c r="B472" s="15" t="n"/>
      <c r="C472" s="16" t="n"/>
      <c r="D472" s="10" t="n"/>
      <c r="E472" s="9" t="n"/>
      <c r="F472" s="9" t="n"/>
      <c r="G472" s="13" t="n"/>
      <c r="H472" s="21" t="n"/>
      <c r="I472" s="21" t="n"/>
      <c r="J472" s="17">
        <f>IF($G472="","",IFERROR(INDEX(NomsEmployes,MATCH($G472,MatriculesEmployes,0)),"MATRICULE INCONNU"))</f>
        <v/>
      </c>
      <c r="K472" s="33">
        <f>IF(OR($D472="",$F472=""),"",IFERROR(IF(INDEX(RUNS!$L$6:$S$1005,MATCH($D472,RUNS!$A$6:$A$1005,0),MATCH("ACTIVITÉ "&amp;$F472,RUNS!$L$5:$S$5,0))="","",INDEX(RUNS!$L$6:$S$1005,MATCH($D472,RUNS!$A$6:$A$1005,0),MATCH("ACTIVITÉ "&amp;$F472,RUNS!$L$5:$S$5,0))),""))</f>
        <v/>
      </c>
      <c r="L472" s="33">
        <f>IF($D472="","",IFERROR(IF(INDEX(RUNS!$E$6:$E$1005,MATCH($D472,RUNS!$A$6:$A$1005,0))="","",INDEX(RUNS!$E$6:$E$1005,MATCH($D472,RUNS!$A$6:$A$1005,0))),""))</f>
        <v/>
      </c>
      <c r="M472" s="33">
        <f>IF($D472="","",IFERROR(IF(INDEX(RUNS!$F$6:$F$1005,MATCH($D472,RUNS!$A$6:$A$1005,0))="","",INDEX(RUNS!$F$6:$F$1005,MATCH($D472,RUNS!$A$6:$A$1005,0))),""))</f>
        <v/>
      </c>
      <c r="N472" s="33">
        <f>IF($D472="","",IFERROR(IF(INDEX(RUNS!$G$6:$G$1005,MATCH($D472,RUNS!$A$6:$A$1005,0))="","",INDEX(RUNS!$G$6:$G$1005,MATCH($D472,RUNS!$A$6:$A$1005,0))),""))</f>
        <v/>
      </c>
      <c r="O472" s="33">
        <f>IF($D472="","",IFERROR(IF(INDEX(RUNS!$H$6:$H$1005,MATCH($D472,RUNS!$A$6:$A$1005,0))="","",INDEX(RUNS!$H$6:$H$1005,MATCH($D472,RUNS!$A$6:$A$1005,0))),""))</f>
        <v/>
      </c>
      <c r="P472" s="33">
        <f>IF($D472="","",IFERROR(IF(INDEX(RUNS!$J$6:$J$1005,MATCH($D472,RUNS!$A$6:$A$1005,0))="","",INDEX(RUNS!$J$6:$J$1005,MATCH($D472,RUNS!$A$6:$A$1005,0))),""))</f>
        <v/>
      </c>
      <c r="Q472" s="33">
        <f>IF($D472="","",IFERROR(IF(INDEX(RUNS!$K$6:$K$1005,MATCH($D472,RUNS!$A$6:$A$1005,0))="","",INDEX(RUNS!$K$6:$K$1005,MATCH($D472,RUNS!$A$6:$A$1005,0))),""))</f>
        <v/>
      </c>
      <c r="R472" s="34">
        <f>IF(OR($L472="",$K472=""),"",IFERROR(IF(INDEX(PARAMETRES!$H$43:$H$342,MATCH($L472&amp;"|"&amp;$M472&amp;"|"&amp;$N472&amp;"|"&amp;$O472&amp;"|"&amp;$P472&amp;"|"&amp;$Q472&amp;"|"&amp;$K472,PARAMETRES!$J$43:$J$342,0))="","",INDEX(PARAMETRES!$H$43:$H$342,MATCH($L472&amp;"|"&amp;$M472&amp;"|"&amp;$N472&amp;"|"&amp;$O472&amp;"|"&amp;$P472&amp;"|"&amp;$Q472&amp;"|"&amp;$K472,PARAMETRES!$J$43:$J$342,0))),""))</f>
        <v/>
      </c>
      <c r="S472" s="35">
        <f>IF(OR($G472="",$X472&lt;&gt;"VALIDE"),"",IFERROR(LOOKUP(2,1/(($B$3:$B471=$B472)*($G$3:$G471=$G472)*($X$3:$X471="VALIDE")),$C$3:$C471),""))</f>
        <v/>
      </c>
      <c r="T472" s="36">
        <f>IF(OR($C472="",$S472=""),"",ROUND(($C472-$S472+IF($C472&lt;$S472,1,0))*1440,0))</f>
        <v/>
      </c>
      <c r="U472" s="22">
        <f>IF(OR($H472="",$T472="",$T472&lt;=0),"",$H472*60/$T472)</f>
        <v/>
      </c>
      <c r="V472" s="37">
        <f>IF(OR($U472="",$R472="",$R472=0),"",$U472/$R472)</f>
        <v/>
      </c>
      <c r="W472" s="20">
        <f>IF($G472="","",IF($X472="CONTEXTE INCOMPLET","CONTEXTE INCOMPLET",IF($X472="DOUBLON",StatutDoublon,IF($S472="",StatutInitial,IF($R472="",StatutStandardManquant,IF($V472="","DONNEES INSUFFISANTES",IF($V472&gt;=SeuilConforme,StatutConforme,IF($V472&gt;=SeuilSurveiller,StatutSurveiller,StatutSousStandard))))))))</f>
        <v/>
      </c>
      <c r="X472" s="33">
        <f>IF($G472="","",IF(OR($D472="",$E472="",$F472=""),"CONTEXTE INCOMPLET",IF(COUNTIFS($D$3:$D471,$D472,$E$3:$E471,$E472,$F$3:$F471,$F472,$G$3:$G471,$G472)&gt;0,"DOUBLON","VALIDE")))</f>
        <v/>
      </c>
    </row>
    <row r="473" ht="15" customHeight="1">
      <c r="A473" s="12">
        <f>IF(OR($B473="",$G473=""),"",TEXT($B473,"YYYYMMDD")&amp;"-"&amp;SUBSTITUTE($E473," ","")&amp;"-"&amp;$F473&amp;"-"&amp;$G473)</f>
        <v/>
      </c>
      <c r="B473" s="15" t="n"/>
      <c r="C473" s="16" t="n"/>
      <c r="D473" s="10" t="n"/>
      <c r="E473" s="9" t="n"/>
      <c r="F473" s="9" t="n"/>
      <c r="G473" s="13" t="n"/>
      <c r="H473" s="21" t="n"/>
      <c r="I473" s="21" t="n"/>
      <c r="J473" s="17">
        <f>IF($G473="","",IFERROR(INDEX(NomsEmployes,MATCH($G473,MatriculesEmployes,0)),"MATRICULE INCONNU"))</f>
        <v/>
      </c>
      <c r="K473" s="33">
        <f>IF(OR($D473="",$F473=""),"",IFERROR(IF(INDEX(RUNS!$L$6:$S$1005,MATCH($D473,RUNS!$A$6:$A$1005,0),MATCH("ACTIVITÉ "&amp;$F473,RUNS!$L$5:$S$5,0))="","",INDEX(RUNS!$L$6:$S$1005,MATCH($D473,RUNS!$A$6:$A$1005,0),MATCH("ACTIVITÉ "&amp;$F473,RUNS!$L$5:$S$5,0))),""))</f>
        <v/>
      </c>
      <c r="L473" s="33">
        <f>IF($D473="","",IFERROR(IF(INDEX(RUNS!$E$6:$E$1005,MATCH($D473,RUNS!$A$6:$A$1005,0))="","",INDEX(RUNS!$E$6:$E$1005,MATCH($D473,RUNS!$A$6:$A$1005,0))),""))</f>
        <v/>
      </c>
      <c r="M473" s="33">
        <f>IF($D473="","",IFERROR(IF(INDEX(RUNS!$F$6:$F$1005,MATCH($D473,RUNS!$A$6:$A$1005,0))="","",INDEX(RUNS!$F$6:$F$1005,MATCH($D473,RUNS!$A$6:$A$1005,0))),""))</f>
        <v/>
      </c>
      <c r="N473" s="33">
        <f>IF($D473="","",IFERROR(IF(INDEX(RUNS!$G$6:$G$1005,MATCH($D473,RUNS!$A$6:$A$1005,0))="","",INDEX(RUNS!$G$6:$G$1005,MATCH($D473,RUNS!$A$6:$A$1005,0))),""))</f>
        <v/>
      </c>
      <c r="O473" s="33">
        <f>IF($D473="","",IFERROR(IF(INDEX(RUNS!$H$6:$H$1005,MATCH($D473,RUNS!$A$6:$A$1005,0))="","",INDEX(RUNS!$H$6:$H$1005,MATCH($D473,RUNS!$A$6:$A$1005,0))),""))</f>
        <v/>
      </c>
      <c r="P473" s="33">
        <f>IF($D473="","",IFERROR(IF(INDEX(RUNS!$J$6:$J$1005,MATCH($D473,RUNS!$A$6:$A$1005,0))="","",INDEX(RUNS!$J$6:$J$1005,MATCH($D473,RUNS!$A$6:$A$1005,0))),""))</f>
        <v/>
      </c>
      <c r="Q473" s="33">
        <f>IF($D473="","",IFERROR(IF(INDEX(RUNS!$K$6:$K$1005,MATCH($D473,RUNS!$A$6:$A$1005,0))="","",INDEX(RUNS!$K$6:$K$1005,MATCH($D473,RUNS!$A$6:$A$1005,0))),""))</f>
        <v/>
      </c>
      <c r="R473" s="34">
        <f>IF(OR($L473="",$K473=""),"",IFERROR(IF(INDEX(PARAMETRES!$H$43:$H$342,MATCH($L473&amp;"|"&amp;$M473&amp;"|"&amp;$N473&amp;"|"&amp;$O473&amp;"|"&amp;$P473&amp;"|"&amp;$Q473&amp;"|"&amp;$K473,PARAMETRES!$J$43:$J$342,0))="","",INDEX(PARAMETRES!$H$43:$H$342,MATCH($L473&amp;"|"&amp;$M473&amp;"|"&amp;$N473&amp;"|"&amp;$O473&amp;"|"&amp;$P473&amp;"|"&amp;$Q473&amp;"|"&amp;$K473,PARAMETRES!$J$43:$J$342,0))),""))</f>
        <v/>
      </c>
      <c r="S473" s="35">
        <f>IF(OR($G473="",$X473&lt;&gt;"VALIDE"),"",IFERROR(LOOKUP(2,1/(($B$3:$B472=$B473)*($G$3:$G472=$G473)*($X$3:$X472="VALIDE")),$C$3:$C472),""))</f>
        <v/>
      </c>
      <c r="T473" s="36">
        <f>IF(OR($C473="",$S473=""),"",ROUND(($C473-$S473+IF($C473&lt;$S473,1,0))*1440,0))</f>
        <v/>
      </c>
      <c r="U473" s="22">
        <f>IF(OR($H473="",$T473="",$T473&lt;=0),"",$H473*60/$T473)</f>
        <v/>
      </c>
      <c r="V473" s="37">
        <f>IF(OR($U473="",$R473="",$R473=0),"",$U473/$R473)</f>
        <v/>
      </c>
      <c r="W473" s="20">
        <f>IF($G473="","",IF($X473="CONTEXTE INCOMPLET","CONTEXTE INCOMPLET",IF($X473="DOUBLON",StatutDoublon,IF($S473="",StatutInitial,IF($R473="",StatutStandardManquant,IF($V473="","DONNEES INSUFFISANTES",IF($V473&gt;=SeuilConforme,StatutConforme,IF($V473&gt;=SeuilSurveiller,StatutSurveiller,StatutSousStandard))))))))</f>
        <v/>
      </c>
      <c r="X473" s="33">
        <f>IF($G473="","",IF(OR($D473="",$E473="",$F473=""),"CONTEXTE INCOMPLET",IF(COUNTIFS($D$3:$D472,$D473,$E$3:$E472,$E473,$F$3:$F472,$F473,$G$3:$G472,$G473)&gt;0,"DOUBLON","VALIDE")))</f>
        <v/>
      </c>
    </row>
    <row r="474" ht="15" customHeight="1">
      <c r="A474" s="12">
        <f>IF(OR($B474="",$G474=""),"",TEXT($B474,"YYYYMMDD")&amp;"-"&amp;SUBSTITUTE($E474," ","")&amp;"-"&amp;$F474&amp;"-"&amp;$G474)</f>
        <v/>
      </c>
      <c r="B474" s="15" t="n"/>
      <c r="C474" s="16" t="n"/>
      <c r="D474" s="10" t="n"/>
      <c r="E474" s="9" t="n"/>
      <c r="F474" s="9" t="n"/>
      <c r="G474" s="13" t="n"/>
      <c r="H474" s="21" t="n"/>
      <c r="I474" s="21" t="n"/>
      <c r="J474" s="17">
        <f>IF($G474="","",IFERROR(INDEX(NomsEmployes,MATCH($G474,MatriculesEmployes,0)),"MATRICULE INCONNU"))</f>
        <v/>
      </c>
      <c r="K474" s="33">
        <f>IF(OR($D474="",$F474=""),"",IFERROR(IF(INDEX(RUNS!$L$6:$S$1005,MATCH($D474,RUNS!$A$6:$A$1005,0),MATCH("ACTIVITÉ "&amp;$F474,RUNS!$L$5:$S$5,0))="","",INDEX(RUNS!$L$6:$S$1005,MATCH($D474,RUNS!$A$6:$A$1005,0),MATCH("ACTIVITÉ "&amp;$F474,RUNS!$L$5:$S$5,0))),""))</f>
        <v/>
      </c>
      <c r="L474" s="33">
        <f>IF($D474="","",IFERROR(IF(INDEX(RUNS!$E$6:$E$1005,MATCH($D474,RUNS!$A$6:$A$1005,0))="","",INDEX(RUNS!$E$6:$E$1005,MATCH($D474,RUNS!$A$6:$A$1005,0))),""))</f>
        <v/>
      </c>
      <c r="M474" s="33">
        <f>IF($D474="","",IFERROR(IF(INDEX(RUNS!$F$6:$F$1005,MATCH($D474,RUNS!$A$6:$A$1005,0))="","",INDEX(RUNS!$F$6:$F$1005,MATCH($D474,RUNS!$A$6:$A$1005,0))),""))</f>
        <v/>
      </c>
      <c r="N474" s="33">
        <f>IF($D474="","",IFERROR(IF(INDEX(RUNS!$G$6:$G$1005,MATCH($D474,RUNS!$A$6:$A$1005,0))="","",INDEX(RUNS!$G$6:$G$1005,MATCH($D474,RUNS!$A$6:$A$1005,0))),""))</f>
        <v/>
      </c>
      <c r="O474" s="33">
        <f>IF($D474="","",IFERROR(IF(INDEX(RUNS!$H$6:$H$1005,MATCH($D474,RUNS!$A$6:$A$1005,0))="","",INDEX(RUNS!$H$6:$H$1005,MATCH($D474,RUNS!$A$6:$A$1005,0))),""))</f>
        <v/>
      </c>
      <c r="P474" s="33">
        <f>IF($D474="","",IFERROR(IF(INDEX(RUNS!$J$6:$J$1005,MATCH($D474,RUNS!$A$6:$A$1005,0))="","",INDEX(RUNS!$J$6:$J$1005,MATCH($D474,RUNS!$A$6:$A$1005,0))),""))</f>
        <v/>
      </c>
      <c r="Q474" s="33">
        <f>IF($D474="","",IFERROR(IF(INDEX(RUNS!$K$6:$K$1005,MATCH($D474,RUNS!$A$6:$A$1005,0))="","",INDEX(RUNS!$K$6:$K$1005,MATCH($D474,RUNS!$A$6:$A$1005,0))),""))</f>
        <v/>
      </c>
      <c r="R474" s="34">
        <f>IF(OR($L474="",$K474=""),"",IFERROR(IF(INDEX(PARAMETRES!$H$43:$H$342,MATCH($L474&amp;"|"&amp;$M474&amp;"|"&amp;$N474&amp;"|"&amp;$O474&amp;"|"&amp;$P474&amp;"|"&amp;$Q474&amp;"|"&amp;$K474,PARAMETRES!$J$43:$J$342,0))="","",INDEX(PARAMETRES!$H$43:$H$342,MATCH($L474&amp;"|"&amp;$M474&amp;"|"&amp;$N474&amp;"|"&amp;$O474&amp;"|"&amp;$P474&amp;"|"&amp;$Q474&amp;"|"&amp;$K474,PARAMETRES!$J$43:$J$342,0))),""))</f>
        <v/>
      </c>
      <c r="S474" s="35">
        <f>IF(OR($G474="",$X474&lt;&gt;"VALIDE"),"",IFERROR(LOOKUP(2,1/(($B$3:$B473=$B474)*($G$3:$G473=$G474)*($X$3:$X473="VALIDE")),$C$3:$C473),""))</f>
        <v/>
      </c>
      <c r="T474" s="36">
        <f>IF(OR($C474="",$S474=""),"",ROUND(($C474-$S474+IF($C474&lt;$S474,1,0))*1440,0))</f>
        <v/>
      </c>
      <c r="U474" s="22">
        <f>IF(OR($H474="",$T474="",$T474&lt;=0),"",$H474*60/$T474)</f>
        <v/>
      </c>
      <c r="V474" s="37">
        <f>IF(OR($U474="",$R474="",$R474=0),"",$U474/$R474)</f>
        <v/>
      </c>
      <c r="W474" s="20">
        <f>IF($G474="","",IF($X474="CONTEXTE INCOMPLET","CONTEXTE INCOMPLET",IF($X474="DOUBLON",StatutDoublon,IF($S474="",StatutInitial,IF($R474="",StatutStandardManquant,IF($V474="","DONNEES INSUFFISANTES",IF($V474&gt;=SeuilConforme,StatutConforme,IF($V474&gt;=SeuilSurveiller,StatutSurveiller,StatutSousStandard))))))))</f>
        <v/>
      </c>
      <c r="X474" s="33">
        <f>IF($G474="","",IF(OR($D474="",$E474="",$F474=""),"CONTEXTE INCOMPLET",IF(COUNTIFS($D$3:$D473,$D474,$E$3:$E473,$E474,$F$3:$F473,$F474,$G$3:$G473,$G474)&gt;0,"DOUBLON","VALIDE")))</f>
        <v/>
      </c>
    </row>
    <row r="475" ht="15" customHeight="1">
      <c r="A475" s="12">
        <f>IF(OR($B475="",$G475=""),"",TEXT($B475,"YYYYMMDD")&amp;"-"&amp;SUBSTITUTE($E475," ","")&amp;"-"&amp;$F475&amp;"-"&amp;$G475)</f>
        <v/>
      </c>
      <c r="B475" s="15" t="n"/>
      <c r="C475" s="16" t="n"/>
      <c r="D475" s="10" t="n"/>
      <c r="E475" s="9" t="n"/>
      <c r="F475" s="9" t="n"/>
      <c r="G475" s="13" t="n"/>
      <c r="H475" s="21" t="n"/>
      <c r="I475" s="21" t="n"/>
      <c r="J475" s="17">
        <f>IF($G475="","",IFERROR(INDEX(NomsEmployes,MATCH($G475,MatriculesEmployes,0)),"MATRICULE INCONNU"))</f>
        <v/>
      </c>
      <c r="K475" s="33">
        <f>IF(OR($D475="",$F475=""),"",IFERROR(IF(INDEX(RUNS!$L$6:$S$1005,MATCH($D475,RUNS!$A$6:$A$1005,0),MATCH("ACTIVITÉ "&amp;$F475,RUNS!$L$5:$S$5,0))="","",INDEX(RUNS!$L$6:$S$1005,MATCH($D475,RUNS!$A$6:$A$1005,0),MATCH("ACTIVITÉ "&amp;$F475,RUNS!$L$5:$S$5,0))),""))</f>
        <v/>
      </c>
      <c r="L475" s="33">
        <f>IF($D475="","",IFERROR(IF(INDEX(RUNS!$E$6:$E$1005,MATCH($D475,RUNS!$A$6:$A$1005,0))="","",INDEX(RUNS!$E$6:$E$1005,MATCH($D475,RUNS!$A$6:$A$1005,0))),""))</f>
        <v/>
      </c>
      <c r="M475" s="33">
        <f>IF($D475="","",IFERROR(IF(INDEX(RUNS!$F$6:$F$1005,MATCH($D475,RUNS!$A$6:$A$1005,0))="","",INDEX(RUNS!$F$6:$F$1005,MATCH($D475,RUNS!$A$6:$A$1005,0))),""))</f>
        <v/>
      </c>
      <c r="N475" s="33">
        <f>IF($D475="","",IFERROR(IF(INDEX(RUNS!$G$6:$G$1005,MATCH($D475,RUNS!$A$6:$A$1005,0))="","",INDEX(RUNS!$G$6:$G$1005,MATCH($D475,RUNS!$A$6:$A$1005,0))),""))</f>
        <v/>
      </c>
      <c r="O475" s="33">
        <f>IF($D475="","",IFERROR(IF(INDEX(RUNS!$H$6:$H$1005,MATCH($D475,RUNS!$A$6:$A$1005,0))="","",INDEX(RUNS!$H$6:$H$1005,MATCH($D475,RUNS!$A$6:$A$1005,0))),""))</f>
        <v/>
      </c>
      <c r="P475" s="33">
        <f>IF($D475="","",IFERROR(IF(INDEX(RUNS!$J$6:$J$1005,MATCH($D475,RUNS!$A$6:$A$1005,0))="","",INDEX(RUNS!$J$6:$J$1005,MATCH($D475,RUNS!$A$6:$A$1005,0))),""))</f>
        <v/>
      </c>
      <c r="Q475" s="33">
        <f>IF($D475="","",IFERROR(IF(INDEX(RUNS!$K$6:$K$1005,MATCH($D475,RUNS!$A$6:$A$1005,0))="","",INDEX(RUNS!$K$6:$K$1005,MATCH($D475,RUNS!$A$6:$A$1005,0))),""))</f>
        <v/>
      </c>
      <c r="R475" s="34">
        <f>IF(OR($L475="",$K475=""),"",IFERROR(IF(INDEX(PARAMETRES!$H$43:$H$342,MATCH($L475&amp;"|"&amp;$M475&amp;"|"&amp;$N475&amp;"|"&amp;$O475&amp;"|"&amp;$P475&amp;"|"&amp;$Q475&amp;"|"&amp;$K475,PARAMETRES!$J$43:$J$342,0))="","",INDEX(PARAMETRES!$H$43:$H$342,MATCH($L475&amp;"|"&amp;$M475&amp;"|"&amp;$N475&amp;"|"&amp;$O475&amp;"|"&amp;$P475&amp;"|"&amp;$Q475&amp;"|"&amp;$K475,PARAMETRES!$J$43:$J$342,0))),""))</f>
        <v/>
      </c>
      <c r="S475" s="35">
        <f>IF(OR($G475="",$X475&lt;&gt;"VALIDE"),"",IFERROR(LOOKUP(2,1/(($B$3:$B474=$B475)*($G$3:$G474=$G475)*($X$3:$X474="VALIDE")),$C$3:$C474),""))</f>
        <v/>
      </c>
      <c r="T475" s="36">
        <f>IF(OR($C475="",$S475=""),"",ROUND(($C475-$S475+IF($C475&lt;$S475,1,0))*1440,0))</f>
        <v/>
      </c>
      <c r="U475" s="22">
        <f>IF(OR($H475="",$T475="",$T475&lt;=0),"",$H475*60/$T475)</f>
        <v/>
      </c>
      <c r="V475" s="37">
        <f>IF(OR($U475="",$R475="",$R475=0),"",$U475/$R475)</f>
        <v/>
      </c>
      <c r="W475" s="20">
        <f>IF($G475="","",IF($X475="CONTEXTE INCOMPLET","CONTEXTE INCOMPLET",IF($X475="DOUBLON",StatutDoublon,IF($S475="",StatutInitial,IF($R475="",StatutStandardManquant,IF($V475="","DONNEES INSUFFISANTES",IF($V475&gt;=SeuilConforme,StatutConforme,IF($V475&gt;=SeuilSurveiller,StatutSurveiller,StatutSousStandard))))))))</f>
        <v/>
      </c>
      <c r="X475" s="33">
        <f>IF($G475="","",IF(OR($D475="",$E475="",$F475=""),"CONTEXTE INCOMPLET",IF(COUNTIFS($D$3:$D474,$D475,$E$3:$E474,$E475,$F$3:$F474,$F475,$G$3:$G474,$G475)&gt;0,"DOUBLON","VALIDE")))</f>
        <v/>
      </c>
    </row>
    <row r="476" ht="15" customHeight="1">
      <c r="A476" s="12">
        <f>IF(OR($B476="",$G476=""),"",TEXT($B476,"YYYYMMDD")&amp;"-"&amp;SUBSTITUTE($E476," ","")&amp;"-"&amp;$F476&amp;"-"&amp;$G476)</f>
        <v/>
      </c>
      <c r="B476" s="15" t="n"/>
      <c r="C476" s="16" t="n"/>
      <c r="D476" s="10" t="n"/>
      <c r="E476" s="9" t="n"/>
      <c r="F476" s="9" t="n"/>
      <c r="G476" s="13" t="n"/>
      <c r="H476" s="21" t="n"/>
      <c r="I476" s="21" t="n"/>
      <c r="J476" s="17">
        <f>IF($G476="","",IFERROR(INDEX(NomsEmployes,MATCH($G476,MatriculesEmployes,0)),"MATRICULE INCONNU"))</f>
        <v/>
      </c>
      <c r="K476" s="33">
        <f>IF(OR($D476="",$F476=""),"",IFERROR(IF(INDEX(RUNS!$L$6:$S$1005,MATCH($D476,RUNS!$A$6:$A$1005,0),MATCH("ACTIVITÉ "&amp;$F476,RUNS!$L$5:$S$5,0))="","",INDEX(RUNS!$L$6:$S$1005,MATCH($D476,RUNS!$A$6:$A$1005,0),MATCH("ACTIVITÉ "&amp;$F476,RUNS!$L$5:$S$5,0))),""))</f>
        <v/>
      </c>
      <c r="L476" s="33">
        <f>IF($D476="","",IFERROR(IF(INDEX(RUNS!$E$6:$E$1005,MATCH($D476,RUNS!$A$6:$A$1005,0))="","",INDEX(RUNS!$E$6:$E$1005,MATCH($D476,RUNS!$A$6:$A$1005,0))),""))</f>
        <v/>
      </c>
      <c r="M476" s="33">
        <f>IF($D476="","",IFERROR(IF(INDEX(RUNS!$F$6:$F$1005,MATCH($D476,RUNS!$A$6:$A$1005,0))="","",INDEX(RUNS!$F$6:$F$1005,MATCH($D476,RUNS!$A$6:$A$1005,0))),""))</f>
        <v/>
      </c>
      <c r="N476" s="33">
        <f>IF($D476="","",IFERROR(IF(INDEX(RUNS!$G$6:$G$1005,MATCH($D476,RUNS!$A$6:$A$1005,0))="","",INDEX(RUNS!$G$6:$G$1005,MATCH($D476,RUNS!$A$6:$A$1005,0))),""))</f>
        <v/>
      </c>
      <c r="O476" s="33">
        <f>IF($D476="","",IFERROR(IF(INDEX(RUNS!$H$6:$H$1005,MATCH($D476,RUNS!$A$6:$A$1005,0))="","",INDEX(RUNS!$H$6:$H$1005,MATCH($D476,RUNS!$A$6:$A$1005,0))),""))</f>
        <v/>
      </c>
      <c r="P476" s="33">
        <f>IF($D476="","",IFERROR(IF(INDEX(RUNS!$J$6:$J$1005,MATCH($D476,RUNS!$A$6:$A$1005,0))="","",INDEX(RUNS!$J$6:$J$1005,MATCH($D476,RUNS!$A$6:$A$1005,0))),""))</f>
        <v/>
      </c>
      <c r="Q476" s="33">
        <f>IF($D476="","",IFERROR(IF(INDEX(RUNS!$K$6:$K$1005,MATCH($D476,RUNS!$A$6:$A$1005,0))="","",INDEX(RUNS!$K$6:$K$1005,MATCH($D476,RUNS!$A$6:$A$1005,0))),""))</f>
        <v/>
      </c>
      <c r="R476" s="34">
        <f>IF(OR($L476="",$K476=""),"",IFERROR(IF(INDEX(PARAMETRES!$H$43:$H$342,MATCH($L476&amp;"|"&amp;$M476&amp;"|"&amp;$N476&amp;"|"&amp;$O476&amp;"|"&amp;$P476&amp;"|"&amp;$Q476&amp;"|"&amp;$K476,PARAMETRES!$J$43:$J$342,0))="","",INDEX(PARAMETRES!$H$43:$H$342,MATCH($L476&amp;"|"&amp;$M476&amp;"|"&amp;$N476&amp;"|"&amp;$O476&amp;"|"&amp;$P476&amp;"|"&amp;$Q476&amp;"|"&amp;$K476,PARAMETRES!$J$43:$J$342,0))),""))</f>
        <v/>
      </c>
      <c r="S476" s="35">
        <f>IF(OR($G476="",$X476&lt;&gt;"VALIDE"),"",IFERROR(LOOKUP(2,1/(($B$3:$B475=$B476)*($G$3:$G475=$G476)*($X$3:$X475="VALIDE")),$C$3:$C475),""))</f>
        <v/>
      </c>
      <c r="T476" s="36">
        <f>IF(OR($C476="",$S476=""),"",ROUND(($C476-$S476+IF($C476&lt;$S476,1,0))*1440,0))</f>
        <v/>
      </c>
      <c r="U476" s="22">
        <f>IF(OR($H476="",$T476="",$T476&lt;=0),"",$H476*60/$T476)</f>
        <v/>
      </c>
      <c r="V476" s="37">
        <f>IF(OR($U476="",$R476="",$R476=0),"",$U476/$R476)</f>
        <v/>
      </c>
      <c r="W476" s="20">
        <f>IF($G476="","",IF($X476="CONTEXTE INCOMPLET","CONTEXTE INCOMPLET",IF($X476="DOUBLON",StatutDoublon,IF($S476="",StatutInitial,IF($R476="",StatutStandardManquant,IF($V476="","DONNEES INSUFFISANTES",IF($V476&gt;=SeuilConforme,StatutConforme,IF($V476&gt;=SeuilSurveiller,StatutSurveiller,StatutSousStandard))))))))</f>
        <v/>
      </c>
      <c r="X476" s="33">
        <f>IF($G476="","",IF(OR($D476="",$E476="",$F476=""),"CONTEXTE INCOMPLET",IF(COUNTIFS($D$3:$D475,$D476,$E$3:$E475,$E476,$F$3:$F475,$F476,$G$3:$G475,$G476)&gt;0,"DOUBLON","VALIDE")))</f>
        <v/>
      </c>
    </row>
    <row r="477" ht="15" customHeight="1">
      <c r="A477" s="12">
        <f>IF(OR($B477="",$G477=""),"",TEXT($B477,"YYYYMMDD")&amp;"-"&amp;SUBSTITUTE($E477," ","")&amp;"-"&amp;$F477&amp;"-"&amp;$G477)</f>
        <v/>
      </c>
      <c r="B477" s="15" t="n"/>
      <c r="C477" s="16" t="n"/>
      <c r="D477" s="10" t="n"/>
      <c r="E477" s="9" t="n"/>
      <c r="F477" s="9" t="n"/>
      <c r="G477" s="13" t="n"/>
      <c r="H477" s="21" t="n"/>
      <c r="I477" s="21" t="n"/>
      <c r="J477" s="17">
        <f>IF($G477="","",IFERROR(INDEX(NomsEmployes,MATCH($G477,MatriculesEmployes,0)),"MATRICULE INCONNU"))</f>
        <v/>
      </c>
      <c r="K477" s="33">
        <f>IF(OR($D477="",$F477=""),"",IFERROR(IF(INDEX(RUNS!$L$6:$S$1005,MATCH($D477,RUNS!$A$6:$A$1005,0),MATCH("ACTIVITÉ "&amp;$F477,RUNS!$L$5:$S$5,0))="","",INDEX(RUNS!$L$6:$S$1005,MATCH($D477,RUNS!$A$6:$A$1005,0),MATCH("ACTIVITÉ "&amp;$F477,RUNS!$L$5:$S$5,0))),""))</f>
        <v/>
      </c>
      <c r="L477" s="33">
        <f>IF($D477="","",IFERROR(IF(INDEX(RUNS!$E$6:$E$1005,MATCH($D477,RUNS!$A$6:$A$1005,0))="","",INDEX(RUNS!$E$6:$E$1005,MATCH($D477,RUNS!$A$6:$A$1005,0))),""))</f>
        <v/>
      </c>
      <c r="M477" s="33">
        <f>IF($D477="","",IFERROR(IF(INDEX(RUNS!$F$6:$F$1005,MATCH($D477,RUNS!$A$6:$A$1005,0))="","",INDEX(RUNS!$F$6:$F$1005,MATCH($D477,RUNS!$A$6:$A$1005,0))),""))</f>
        <v/>
      </c>
      <c r="N477" s="33">
        <f>IF($D477="","",IFERROR(IF(INDEX(RUNS!$G$6:$G$1005,MATCH($D477,RUNS!$A$6:$A$1005,0))="","",INDEX(RUNS!$G$6:$G$1005,MATCH($D477,RUNS!$A$6:$A$1005,0))),""))</f>
        <v/>
      </c>
      <c r="O477" s="33">
        <f>IF($D477="","",IFERROR(IF(INDEX(RUNS!$H$6:$H$1005,MATCH($D477,RUNS!$A$6:$A$1005,0))="","",INDEX(RUNS!$H$6:$H$1005,MATCH($D477,RUNS!$A$6:$A$1005,0))),""))</f>
        <v/>
      </c>
      <c r="P477" s="33">
        <f>IF($D477="","",IFERROR(IF(INDEX(RUNS!$J$6:$J$1005,MATCH($D477,RUNS!$A$6:$A$1005,0))="","",INDEX(RUNS!$J$6:$J$1005,MATCH($D477,RUNS!$A$6:$A$1005,0))),""))</f>
        <v/>
      </c>
      <c r="Q477" s="33">
        <f>IF($D477="","",IFERROR(IF(INDEX(RUNS!$K$6:$K$1005,MATCH($D477,RUNS!$A$6:$A$1005,0))="","",INDEX(RUNS!$K$6:$K$1005,MATCH($D477,RUNS!$A$6:$A$1005,0))),""))</f>
        <v/>
      </c>
      <c r="R477" s="34">
        <f>IF(OR($L477="",$K477=""),"",IFERROR(IF(INDEX(PARAMETRES!$H$43:$H$342,MATCH($L477&amp;"|"&amp;$M477&amp;"|"&amp;$N477&amp;"|"&amp;$O477&amp;"|"&amp;$P477&amp;"|"&amp;$Q477&amp;"|"&amp;$K477,PARAMETRES!$J$43:$J$342,0))="","",INDEX(PARAMETRES!$H$43:$H$342,MATCH($L477&amp;"|"&amp;$M477&amp;"|"&amp;$N477&amp;"|"&amp;$O477&amp;"|"&amp;$P477&amp;"|"&amp;$Q477&amp;"|"&amp;$K477,PARAMETRES!$J$43:$J$342,0))),""))</f>
        <v/>
      </c>
      <c r="S477" s="35">
        <f>IF(OR($G477="",$X477&lt;&gt;"VALIDE"),"",IFERROR(LOOKUP(2,1/(($B$3:$B476=$B477)*($G$3:$G476=$G477)*($X$3:$X476="VALIDE")),$C$3:$C476),""))</f>
        <v/>
      </c>
      <c r="T477" s="36">
        <f>IF(OR($C477="",$S477=""),"",ROUND(($C477-$S477+IF($C477&lt;$S477,1,0))*1440,0))</f>
        <v/>
      </c>
      <c r="U477" s="22">
        <f>IF(OR($H477="",$T477="",$T477&lt;=0),"",$H477*60/$T477)</f>
        <v/>
      </c>
      <c r="V477" s="37">
        <f>IF(OR($U477="",$R477="",$R477=0),"",$U477/$R477)</f>
        <v/>
      </c>
      <c r="W477" s="20">
        <f>IF($G477="","",IF($X477="CONTEXTE INCOMPLET","CONTEXTE INCOMPLET",IF($X477="DOUBLON",StatutDoublon,IF($S477="",StatutInitial,IF($R477="",StatutStandardManquant,IF($V477="","DONNEES INSUFFISANTES",IF($V477&gt;=SeuilConforme,StatutConforme,IF($V477&gt;=SeuilSurveiller,StatutSurveiller,StatutSousStandard))))))))</f>
        <v/>
      </c>
      <c r="X477" s="33">
        <f>IF($G477="","",IF(OR($D477="",$E477="",$F477=""),"CONTEXTE INCOMPLET",IF(COUNTIFS($D$3:$D476,$D477,$E$3:$E476,$E477,$F$3:$F476,$F477,$G$3:$G476,$G477)&gt;0,"DOUBLON","VALIDE")))</f>
        <v/>
      </c>
    </row>
    <row r="478" ht="15" customHeight="1">
      <c r="A478" s="12">
        <f>IF(OR($B478="",$G478=""),"",TEXT($B478,"YYYYMMDD")&amp;"-"&amp;SUBSTITUTE($E478," ","")&amp;"-"&amp;$F478&amp;"-"&amp;$G478)</f>
        <v/>
      </c>
      <c r="B478" s="15" t="n"/>
      <c r="C478" s="16" t="n"/>
      <c r="D478" s="10" t="n"/>
      <c r="E478" s="9" t="n"/>
      <c r="F478" s="9" t="n"/>
      <c r="G478" s="13" t="n"/>
      <c r="H478" s="21" t="n"/>
      <c r="I478" s="21" t="n"/>
      <c r="J478" s="17">
        <f>IF($G478="","",IFERROR(INDEX(NomsEmployes,MATCH($G478,MatriculesEmployes,0)),"MATRICULE INCONNU"))</f>
        <v/>
      </c>
      <c r="K478" s="33">
        <f>IF(OR($D478="",$F478=""),"",IFERROR(IF(INDEX(RUNS!$L$6:$S$1005,MATCH($D478,RUNS!$A$6:$A$1005,0),MATCH("ACTIVITÉ "&amp;$F478,RUNS!$L$5:$S$5,0))="","",INDEX(RUNS!$L$6:$S$1005,MATCH($D478,RUNS!$A$6:$A$1005,0),MATCH("ACTIVITÉ "&amp;$F478,RUNS!$L$5:$S$5,0))),""))</f>
        <v/>
      </c>
      <c r="L478" s="33">
        <f>IF($D478="","",IFERROR(IF(INDEX(RUNS!$E$6:$E$1005,MATCH($D478,RUNS!$A$6:$A$1005,0))="","",INDEX(RUNS!$E$6:$E$1005,MATCH($D478,RUNS!$A$6:$A$1005,0))),""))</f>
        <v/>
      </c>
      <c r="M478" s="33">
        <f>IF($D478="","",IFERROR(IF(INDEX(RUNS!$F$6:$F$1005,MATCH($D478,RUNS!$A$6:$A$1005,0))="","",INDEX(RUNS!$F$6:$F$1005,MATCH($D478,RUNS!$A$6:$A$1005,0))),""))</f>
        <v/>
      </c>
      <c r="N478" s="33">
        <f>IF($D478="","",IFERROR(IF(INDEX(RUNS!$G$6:$G$1005,MATCH($D478,RUNS!$A$6:$A$1005,0))="","",INDEX(RUNS!$G$6:$G$1005,MATCH($D478,RUNS!$A$6:$A$1005,0))),""))</f>
        <v/>
      </c>
      <c r="O478" s="33">
        <f>IF($D478="","",IFERROR(IF(INDEX(RUNS!$H$6:$H$1005,MATCH($D478,RUNS!$A$6:$A$1005,0))="","",INDEX(RUNS!$H$6:$H$1005,MATCH($D478,RUNS!$A$6:$A$1005,0))),""))</f>
        <v/>
      </c>
      <c r="P478" s="33">
        <f>IF($D478="","",IFERROR(IF(INDEX(RUNS!$J$6:$J$1005,MATCH($D478,RUNS!$A$6:$A$1005,0))="","",INDEX(RUNS!$J$6:$J$1005,MATCH($D478,RUNS!$A$6:$A$1005,0))),""))</f>
        <v/>
      </c>
      <c r="Q478" s="33">
        <f>IF($D478="","",IFERROR(IF(INDEX(RUNS!$K$6:$K$1005,MATCH($D478,RUNS!$A$6:$A$1005,0))="","",INDEX(RUNS!$K$6:$K$1005,MATCH($D478,RUNS!$A$6:$A$1005,0))),""))</f>
        <v/>
      </c>
      <c r="R478" s="34">
        <f>IF(OR($L478="",$K478=""),"",IFERROR(IF(INDEX(PARAMETRES!$H$43:$H$342,MATCH($L478&amp;"|"&amp;$M478&amp;"|"&amp;$N478&amp;"|"&amp;$O478&amp;"|"&amp;$P478&amp;"|"&amp;$Q478&amp;"|"&amp;$K478,PARAMETRES!$J$43:$J$342,0))="","",INDEX(PARAMETRES!$H$43:$H$342,MATCH($L478&amp;"|"&amp;$M478&amp;"|"&amp;$N478&amp;"|"&amp;$O478&amp;"|"&amp;$P478&amp;"|"&amp;$Q478&amp;"|"&amp;$K478,PARAMETRES!$J$43:$J$342,0))),""))</f>
        <v/>
      </c>
      <c r="S478" s="35">
        <f>IF(OR($G478="",$X478&lt;&gt;"VALIDE"),"",IFERROR(LOOKUP(2,1/(($B$3:$B477=$B478)*($G$3:$G477=$G478)*($X$3:$X477="VALIDE")),$C$3:$C477),""))</f>
        <v/>
      </c>
      <c r="T478" s="36">
        <f>IF(OR($C478="",$S478=""),"",ROUND(($C478-$S478+IF($C478&lt;$S478,1,0))*1440,0))</f>
        <v/>
      </c>
      <c r="U478" s="22">
        <f>IF(OR($H478="",$T478="",$T478&lt;=0),"",$H478*60/$T478)</f>
        <v/>
      </c>
      <c r="V478" s="37">
        <f>IF(OR($U478="",$R478="",$R478=0),"",$U478/$R478)</f>
        <v/>
      </c>
      <c r="W478" s="20">
        <f>IF($G478="","",IF($X478="CONTEXTE INCOMPLET","CONTEXTE INCOMPLET",IF($X478="DOUBLON",StatutDoublon,IF($S478="",StatutInitial,IF($R478="",StatutStandardManquant,IF($V478="","DONNEES INSUFFISANTES",IF($V478&gt;=SeuilConforme,StatutConforme,IF($V478&gt;=SeuilSurveiller,StatutSurveiller,StatutSousStandard))))))))</f>
        <v/>
      </c>
      <c r="X478" s="33">
        <f>IF($G478="","",IF(OR($D478="",$E478="",$F478=""),"CONTEXTE INCOMPLET",IF(COUNTIFS($D$3:$D477,$D478,$E$3:$E477,$E478,$F$3:$F477,$F478,$G$3:$G477,$G478)&gt;0,"DOUBLON","VALIDE")))</f>
        <v/>
      </c>
    </row>
    <row r="479" ht="15" customHeight="1">
      <c r="A479" s="12">
        <f>IF(OR($B479="",$G479=""),"",TEXT($B479,"YYYYMMDD")&amp;"-"&amp;SUBSTITUTE($E479," ","")&amp;"-"&amp;$F479&amp;"-"&amp;$G479)</f>
        <v/>
      </c>
      <c r="B479" s="15" t="n"/>
      <c r="C479" s="16" t="n"/>
      <c r="D479" s="10" t="n"/>
      <c r="E479" s="9" t="n"/>
      <c r="F479" s="9" t="n"/>
      <c r="G479" s="13" t="n"/>
      <c r="H479" s="21" t="n"/>
      <c r="I479" s="21" t="n"/>
      <c r="J479" s="17">
        <f>IF($G479="","",IFERROR(INDEX(NomsEmployes,MATCH($G479,MatriculesEmployes,0)),"MATRICULE INCONNU"))</f>
        <v/>
      </c>
      <c r="K479" s="33">
        <f>IF(OR($D479="",$F479=""),"",IFERROR(IF(INDEX(RUNS!$L$6:$S$1005,MATCH($D479,RUNS!$A$6:$A$1005,0),MATCH("ACTIVITÉ "&amp;$F479,RUNS!$L$5:$S$5,0))="","",INDEX(RUNS!$L$6:$S$1005,MATCH($D479,RUNS!$A$6:$A$1005,0),MATCH("ACTIVITÉ "&amp;$F479,RUNS!$L$5:$S$5,0))),""))</f>
        <v/>
      </c>
      <c r="L479" s="33">
        <f>IF($D479="","",IFERROR(IF(INDEX(RUNS!$E$6:$E$1005,MATCH($D479,RUNS!$A$6:$A$1005,0))="","",INDEX(RUNS!$E$6:$E$1005,MATCH($D479,RUNS!$A$6:$A$1005,0))),""))</f>
        <v/>
      </c>
      <c r="M479" s="33">
        <f>IF($D479="","",IFERROR(IF(INDEX(RUNS!$F$6:$F$1005,MATCH($D479,RUNS!$A$6:$A$1005,0))="","",INDEX(RUNS!$F$6:$F$1005,MATCH($D479,RUNS!$A$6:$A$1005,0))),""))</f>
        <v/>
      </c>
      <c r="N479" s="33">
        <f>IF($D479="","",IFERROR(IF(INDEX(RUNS!$G$6:$G$1005,MATCH($D479,RUNS!$A$6:$A$1005,0))="","",INDEX(RUNS!$G$6:$G$1005,MATCH($D479,RUNS!$A$6:$A$1005,0))),""))</f>
        <v/>
      </c>
      <c r="O479" s="33">
        <f>IF($D479="","",IFERROR(IF(INDEX(RUNS!$H$6:$H$1005,MATCH($D479,RUNS!$A$6:$A$1005,0))="","",INDEX(RUNS!$H$6:$H$1005,MATCH($D479,RUNS!$A$6:$A$1005,0))),""))</f>
        <v/>
      </c>
      <c r="P479" s="33">
        <f>IF($D479="","",IFERROR(IF(INDEX(RUNS!$J$6:$J$1005,MATCH($D479,RUNS!$A$6:$A$1005,0))="","",INDEX(RUNS!$J$6:$J$1005,MATCH($D479,RUNS!$A$6:$A$1005,0))),""))</f>
        <v/>
      </c>
      <c r="Q479" s="33">
        <f>IF($D479="","",IFERROR(IF(INDEX(RUNS!$K$6:$K$1005,MATCH($D479,RUNS!$A$6:$A$1005,0))="","",INDEX(RUNS!$K$6:$K$1005,MATCH($D479,RUNS!$A$6:$A$1005,0))),""))</f>
        <v/>
      </c>
      <c r="R479" s="34">
        <f>IF(OR($L479="",$K479=""),"",IFERROR(IF(INDEX(PARAMETRES!$H$43:$H$342,MATCH($L479&amp;"|"&amp;$M479&amp;"|"&amp;$N479&amp;"|"&amp;$O479&amp;"|"&amp;$P479&amp;"|"&amp;$Q479&amp;"|"&amp;$K479,PARAMETRES!$J$43:$J$342,0))="","",INDEX(PARAMETRES!$H$43:$H$342,MATCH($L479&amp;"|"&amp;$M479&amp;"|"&amp;$N479&amp;"|"&amp;$O479&amp;"|"&amp;$P479&amp;"|"&amp;$Q479&amp;"|"&amp;$K479,PARAMETRES!$J$43:$J$342,0))),""))</f>
        <v/>
      </c>
      <c r="S479" s="35">
        <f>IF(OR($G479="",$X479&lt;&gt;"VALIDE"),"",IFERROR(LOOKUP(2,1/(($B$3:$B478=$B479)*($G$3:$G478=$G479)*($X$3:$X478="VALIDE")),$C$3:$C478),""))</f>
        <v/>
      </c>
      <c r="T479" s="36">
        <f>IF(OR($C479="",$S479=""),"",ROUND(($C479-$S479+IF($C479&lt;$S479,1,0))*1440,0))</f>
        <v/>
      </c>
      <c r="U479" s="22">
        <f>IF(OR($H479="",$T479="",$T479&lt;=0),"",$H479*60/$T479)</f>
        <v/>
      </c>
      <c r="V479" s="37">
        <f>IF(OR($U479="",$R479="",$R479=0),"",$U479/$R479)</f>
        <v/>
      </c>
      <c r="W479" s="20">
        <f>IF($G479="","",IF($X479="CONTEXTE INCOMPLET","CONTEXTE INCOMPLET",IF($X479="DOUBLON",StatutDoublon,IF($S479="",StatutInitial,IF($R479="",StatutStandardManquant,IF($V479="","DONNEES INSUFFISANTES",IF($V479&gt;=SeuilConforme,StatutConforme,IF($V479&gt;=SeuilSurveiller,StatutSurveiller,StatutSousStandard))))))))</f>
        <v/>
      </c>
      <c r="X479" s="33">
        <f>IF($G479="","",IF(OR($D479="",$E479="",$F479=""),"CONTEXTE INCOMPLET",IF(COUNTIFS($D$3:$D478,$D479,$E$3:$E478,$E479,$F$3:$F478,$F479,$G$3:$G478,$G479)&gt;0,"DOUBLON","VALIDE")))</f>
        <v/>
      </c>
    </row>
    <row r="480" ht="15" customHeight="1">
      <c r="A480" s="12">
        <f>IF(OR($B480="",$G480=""),"",TEXT($B480,"YYYYMMDD")&amp;"-"&amp;SUBSTITUTE($E480," ","")&amp;"-"&amp;$F480&amp;"-"&amp;$G480)</f>
        <v/>
      </c>
      <c r="B480" s="15" t="n"/>
      <c r="C480" s="16" t="n"/>
      <c r="D480" s="10" t="n"/>
      <c r="E480" s="9" t="n"/>
      <c r="F480" s="9" t="n"/>
      <c r="G480" s="13" t="n"/>
      <c r="H480" s="21" t="n"/>
      <c r="I480" s="21" t="n"/>
      <c r="J480" s="17">
        <f>IF($G480="","",IFERROR(INDEX(NomsEmployes,MATCH($G480,MatriculesEmployes,0)),"MATRICULE INCONNU"))</f>
        <v/>
      </c>
      <c r="K480" s="33">
        <f>IF(OR($D480="",$F480=""),"",IFERROR(IF(INDEX(RUNS!$L$6:$S$1005,MATCH($D480,RUNS!$A$6:$A$1005,0),MATCH("ACTIVITÉ "&amp;$F480,RUNS!$L$5:$S$5,0))="","",INDEX(RUNS!$L$6:$S$1005,MATCH($D480,RUNS!$A$6:$A$1005,0),MATCH("ACTIVITÉ "&amp;$F480,RUNS!$L$5:$S$5,0))),""))</f>
        <v/>
      </c>
      <c r="L480" s="33">
        <f>IF($D480="","",IFERROR(IF(INDEX(RUNS!$E$6:$E$1005,MATCH($D480,RUNS!$A$6:$A$1005,0))="","",INDEX(RUNS!$E$6:$E$1005,MATCH($D480,RUNS!$A$6:$A$1005,0))),""))</f>
        <v/>
      </c>
      <c r="M480" s="33">
        <f>IF($D480="","",IFERROR(IF(INDEX(RUNS!$F$6:$F$1005,MATCH($D480,RUNS!$A$6:$A$1005,0))="","",INDEX(RUNS!$F$6:$F$1005,MATCH($D480,RUNS!$A$6:$A$1005,0))),""))</f>
        <v/>
      </c>
      <c r="N480" s="33">
        <f>IF($D480="","",IFERROR(IF(INDEX(RUNS!$G$6:$G$1005,MATCH($D480,RUNS!$A$6:$A$1005,0))="","",INDEX(RUNS!$G$6:$G$1005,MATCH($D480,RUNS!$A$6:$A$1005,0))),""))</f>
        <v/>
      </c>
      <c r="O480" s="33">
        <f>IF($D480="","",IFERROR(IF(INDEX(RUNS!$H$6:$H$1005,MATCH($D480,RUNS!$A$6:$A$1005,0))="","",INDEX(RUNS!$H$6:$H$1005,MATCH($D480,RUNS!$A$6:$A$1005,0))),""))</f>
        <v/>
      </c>
      <c r="P480" s="33">
        <f>IF($D480="","",IFERROR(IF(INDEX(RUNS!$J$6:$J$1005,MATCH($D480,RUNS!$A$6:$A$1005,0))="","",INDEX(RUNS!$J$6:$J$1005,MATCH($D480,RUNS!$A$6:$A$1005,0))),""))</f>
        <v/>
      </c>
      <c r="Q480" s="33">
        <f>IF($D480="","",IFERROR(IF(INDEX(RUNS!$K$6:$K$1005,MATCH($D480,RUNS!$A$6:$A$1005,0))="","",INDEX(RUNS!$K$6:$K$1005,MATCH($D480,RUNS!$A$6:$A$1005,0))),""))</f>
        <v/>
      </c>
      <c r="R480" s="34">
        <f>IF(OR($L480="",$K480=""),"",IFERROR(IF(INDEX(PARAMETRES!$H$43:$H$342,MATCH($L480&amp;"|"&amp;$M480&amp;"|"&amp;$N480&amp;"|"&amp;$O480&amp;"|"&amp;$P480&amp;"|"&amp;$Q480&amp;"|"&amp;$K480,PARAMETRES!$J$43:$J$342,0))="","",INDEX(PARAMETRES!$H$43:$H$342,MATCH($L480&amp;"|"&amp;$M480&amp;"|"&amp;$N480&amp;"|"&amp;$O480&amp;"|"&amp;$P480&amp;"|"&amp;$Q480&amp;"|"&amp;$K480,PARAMETRES!$J$43:$J$342,0))),""))</f>
        <v/>
      </c>
      <c r="S480" s="35">
        <f>IF(OR($G480="",$X480&lt;&gt;"VALIDE"),"",IFERROR(LOOKUP(2,1/(($B$3:$B479=$B480)*($G$3:$G479=$G480)*($X$3:$X479="VALIDE")),$C$3:$C479),""))</f>
        <v/>
      </c>
      <c r="T480" s="36">
        <f>IF(OR($C480="",$S480=""),"",ROUND(($C480-$S480+IF($C480&lt;$S480,1,0))*1440,0))</f>
        <v/>
      </c>
      <c r="U480" s="22">
        <f>IF(OR($H480="",$T480="",$T480&lt;=0),"",$H480*60/$T480)</f>
        <v/>
      </c>
      <c r="V480" s="37">
        <f>IF(OR($U480="",$R480="",$R480=0),"",$U480/$R480)</f>
        <v/>
      </c>
      <c r="W480" s="20">
        <f>IF($G480="","",IF($X480="CONTEXTE INCOMPLET","CONTEXTE INCOMPLET",IF($X480="DOUBLON",StatutDoublon,IF($S480="",StatutInitial,IF($R480="",StatutStandardManquant,IF($V480="","DONNEES INSUFFISANTES",IF($V480&gt;=SeuilConforme,StatutConforme,IF($V480&gt;=SeuilSurveiller,StatutSurveiller,StatutSousStandard))))))))</f>
        <v/>
      </c>
      <c r="X480" s="33">
        <f>IF($G480="","",IF(OR($D480="",$E480="",$F480=""),"CONTEXTE INCOMPLET",IF(COUNTIFS($D$3:$D479,$D480,$E$3:$E479,$E480,$F$3:$F479,$F480,$G$3:$G479,$G480)&gt;0,"DOUBLON","VALIDE")))</f>
        <v/>
      </c>
    </row>
    <row r="481" ht="15" customHeight="1">
      <c r="A481" s="12">
        <f>IF(OR($B481="",$G481=""),"",TEXT($B481,"YYYYMMDD")&amp;"-"&amp;SUBSTITUTE($E481," ","")&amp;"-"&amp;$F481&amp;"-"&amp;$G481)</f>
        <v/>
      </c>
      <c r="B481" s="15" t="n"/>
      <c r="C481" s="16" t="n"/>
      <c r="D481" s="10" t="n"/>
      <c r="E481" s="9" t="n"/>
      <c r="F481" s="9" t="n"/>
      <c r="G481" s="13" t="n"/>
      <c r="H481" s="21" t="n"/>
      <c r="I481" s="21" t="n"/>
      <c r="J481" s="17">
        <f>IF($G481="","",IFERROR(INDEX(NomsEmployes,MATCH($G481,MatriculesEmployes,0)),"MATRICULE INCONNU"))</f>
        <v/>
      </c>
      <c r="K481" s="33">
        <f>IF(OR($D481="",$F481=""),"",IFERROR(IF(INDEX(RUNS!$L$6:$S$1005,MATCH($D481,RUNS!$A$6:$A$1005,0),MATCH("ACTIVITÉ "&amp;$F481,RUNS!$L$5:$S$5,0))="","",INDEX(RUNS!$L$6:$S$1005,MATCH($D481,RUNS!$A$6:$A$1005,0),MATCH("ACTIVITÉ "&amp;$F481,RUNS!$L$5:$S$5,0))),""))</f>
        <v/>
      </c>
      <c r="L481" s="33">
        <f>IF($D481="","",IFERROR(IF(INDEX(RUNS!$E$6:$E$1005,MATCH($D481,RUNS!$A$6:$A$1005,0))="","",INDEX(RUNS!$E$6:$E$1005,MATCH($D481,RUNS!$A$6:$A$1005,0))),""))</f>
        <v/>
      </c>
      <c r="M481" s="33">
        <f>IF($D481="","",IFERROR(IF(INDEX(RUNS!$F$6:$F$1005,MATCH($D481,RUNS!$A$6:$A$1005,0))="","",INDEX(RUNS!$F$6:$F$1005,MATCH($D481,RUNS!$A$6:$A$1005,0))),""))</f>
        <v/>
      </c>
      <c r="N481" s="33">
        <f>IF($D481="","",IFERROR(IF(INDEX(RUNS!$G$6:$G$1005,MATCH($D481,RUNS!$A$6:$A$1005,0))="","",INDEX(RUNS!$G$6:$G$1005,MATCH($D481,RUNS!$A$6:$A$1005,0))),""))</f>
        <v/>
      </c>
      <c r="O481" s="33">
        <f>IF($D481="","",IFERROR(IF(INDEX(RUNS!$H$6:$H$1005,MATCH($D481,RUNS!$A$6:$A$1005,0))="","",INDEX(RUNS!$H$6:$H$1005,MATCH($D481,RUNS!$A$6:$A$1005,0))),""))</f>
        <v/>
      </c>
      <c r="P481" s="33">
        <f>IF($D481="","",IFERROR(IF(INDEX(RUNS!$J$6:$J$1005,MATCH($D481,RUNS!$A$6:$A$1005,0))="","",INDEX(RUNS!$J$6:$J$1005,MATCH($D481,RUNS!$A$6:$A$1005,0))),""))</f>
        <v/>
      </c>
      <c r="Q481" s="33">
        <f>IF($D481="","",IFERROR(IF(INDEX(RUNS!$K$6:$K$1005,MATCH($D481,RUNS!$A$6:$A$1005,0))="","",INDEX(RUNS!$K$6:$K$1005,MATCH($D481,RUNS!$A$6:$A$1005,0))),""))</f>
        <v/>
      </c>
      <c r="R481" s="34">
        <f>IF(OR($L481="",$K481=""),"",IFERROR(IF(INDEX(PARAMETRES!$H$43:$H$342,MATCH($L481&amp;"|"&amp;$M481&amp;"|"&amp;$N481&amp;"|"&amp;$O481&amp;"|"&amp;$P481&amp;"|"&amp;$Q481&amp;"|"&amp;$K481,PARAMETRES!$J$43:$J$342,0))="","",INDEX(PARAMETRES!$H$43:$H$342,MATCH($L481&amp;"|"&amp;$M481&amp;"|"&amp;$N481&amp;"|"&amp;$O481&amp;"|"&amp;$P481&amp;"|"&amp;$Q481&amp;"|"&amp;$K481,PARAMETRES!$J$43:$J$342,0))),""))</f>
        <v/>
      </c>
      <c r="S481" s="35">
        <f>IF(OR($G481="",$X481&lt;&gt;"VALIDE"),"",IFERROR(LOOKUP(2,1/(($B$3:$B480=$B481)*($G$3:$G480=$G481)*($X$3:$X480="VALIDE")),$C$3:$C480),""))</f>
        <v/>
      </c>
      <c r="T481" s="36">
        <f>IF(OR($C481="",$S481=""),"",ROUND(($C481-$S481+IF($C481&lt;$S481,1,0))*1440,0))</f>
        <v/>
      </c>
      <c r="U481" s="22">
        <f>IF(OR($H481="",$T481="",$T481&lt;=0),"",$H481*60/$T481)</f>
        <v/>
      </c>
      <c r="V481" s="37">
        <f>IF(OR($U481="",$R481="",$R481=0),"",$U481/$R481)</f>
        <v/>
      </c>
      <c r="W481" s="20">
        <f>IF($G481="","",IF($X481="CONTEXTE INCOMPLET","CONTEXTE INCOMPLET",IF($X481="DOUBLON",StatutDoublon,IF($S481="",StatutInitial,IF($R481="",StatutStandardManquant,IF($V481="","DONNEES INSUFFISANTES",IF($V481&gt;=SeuilConforme,StatutConforme,IF($V481&gt;=SeuilSurveiller,StatutSurveiller,StatutSousStandard))))))))</f>
        <v/>
      </c>
      <c r="X481" s="33">
        <f>IF($G481="","",IF(OR($D481="",$E481="",$F481=""),"CONTEXTE INCOMPLET",IF(COUNTIFS($D$3:$D480,$D481,$E$3:$E480,$E481,$F$3:$F480,$F481,$G$3:$G480,$G481)&gt;0,"DOUBLON","VALIDE")))</f>
        <v/>
      </c>
    </row>
    <row r="482" ht="15" customHeight="1">
      <c r="A482" s="12">
        <f>IF(OR($B482="",$G482=""),"",TEXT($B482,"YYYYMMDD")&amp;"-"&amp;SUBSTITUTE($E482," ","")&amp;"-"&amp;$F482&amp;"-"&amp;$G482)</f>
        <v/>
      </c>
      <c r="B482" s="15" t="n"/>
      <c r="C482" s="16" t="n"/>
      <c r="D482" s="10" t="n"/>
      <c r="E482" s="9" t="n"/>
      <c r="F482" s="9" t="n"/>
      <c r="G482" s="13" t="n"/>
      <c r="H482" s="21" t="n"/>
      <c r="I482" s="21" t="n"/>
      <c r="J482" s="17">
        <f>IF($G482="","",IFERROR(INDEX(NomsEmployes,MATCH($G482,MatriculesEmployes,0)),"MATRICULE INCONNU"))</f>
        <v/>
      </c>
      <c r="K482" s="33">
        <f>IF(OR($D482="",$F482=""),"",IFERROR(IF(INDEX(RUNS!$L$6:$S$1005,MATCH($D482,RUNS!$A$6:$A$1005,0),MATCH("ACTIVITÉ "&amp;$F482,RUNS!$L$5:$S$5,0))="","",INDEX(RUNS!$L$6:$S$1005,MATCH($D482,RUNS!$A$6:$A$1005,0),MATCH("ACTIVITÉ "&amp;$F482,RUNS!$L$5:$S$5,0))),""))</f>
        <v/>
      </c>
      <c r="L482" s="33">
        <f>IF($D482="","",IFERROR(IF(INDEX(RUNS!$E$6:$E$1005,MATCH($D482,RUNS!$A$6:$A$1005,0))="","",INDEX(RUNS!$E$6:$E$1005,MATCH($D482,RUNS!$A$6:$A$1005,0))),""))</f>
        <v/>
      </c>
      <c r="M482" s="33">
        <f>IF($D482="","",IFERROR(IF(INDEX(RUNS!$F$6:$F$1005,MATCH($D482,RUNS!$A$6:$A$1005,0))="","",INDEX(RUNS!$F$6:$F$1005,MATCH($D482,RUNS!$A$6:$A$1005,0))),""))</f>
        <v/>
      </c>
      <c r="N482" s="33">
        <f>IF($D482="","",IFERROR(IF(INDEX(RUNS!$G$6:$G$1005,MATCH($D482,RUNS!$A$6:$A$1005,0))="","",INDEX(RUNS!$G$6:$G$1005,MATCH($D482,RUNS!$A$6:$A$1005,0))),""))</f>
        <v/>
      </c>
      <c r="O482" s="33">
        <f>IF($D482="","",IFERROR(IF(INDEX(RUNS!$H$6:$H$1005,MATCH($D482,RUNS!$A$6:$A$1005,0))="","",INDEX(RUNS!$H$6:$H$1005,MATCH($D482,RUNS!$A$6:$A$1005,0))),""))</f>
        <v/>
      </c>
      <c r="P482" s="33">
        <f>IF($D482="","",IFERROR(IF(INDEX(RUNS!$J$6:$J$1005,MATCH($D482,RUNS!$A$6:$A$1005,0))="","",INDEX(RUNS!$J$6:$J$1005,MATCH($D482,RUNS!$A$6:$A$1005,0))),""))</f>
        <v/>
      </c>
      <c r="Q482" s="33">
        <f>IF($D482="","",IFERROR(IF(INDEX(RUNS!$K$6:$K$1005,MATCH($D482,RUNS!$A$6:$A$1005,0))="","",INDEX(RUNS!$K$6:$K$1005,MATCH($D482,RUNS!$A$6:$A$1005,0))),""))</f>
        <v/>
      </c>
      <c r="R482" s="34">
        <f>IF(OR($L482="",$K482=""),"",IFERROR(IF(INDEX(PARAMETRES!$H$43:$H$342,MATCH($L482&amp;"|"&amp;$M482&amp;"|"&amp;$N482&amp;"|"&amp;$O482&amp;"|"&amp;$P482&amp;"|"&amp;$Q482&amp;"|"&amp;$K482,PARAMETRES!$J$43:$J$342,0))="","",INDEX(PARAMETRES!$H$43:$H$342,MATCH($L482&amp;"|"&amp;$M482&amp;"|"&amp;$N482&amp;"|"&amp;$O482&amp;"|"&amp;$P482&amp;"|"&amp;$Q482&amp;"|"&amp;$K482,PARAMETRES!$J$43:$J$342,0))),""))</f>
        <v/>
      </c>
      <c r="S482" s="35">
        <f>IF(OR($G482="",$X482&lt;&gt;"VALIDE"),"",IFERROR(LOOKUP(2,1/(($B$3:$B481=$B482)*($G$3:$G481=$G482)*($X$3:$X481="VALIDE")),$C$3:$C481),""))</f>
        <v/>
      </c>
      <c r="T482" s="36">
        <f>IF(OR($C482="",$S482=""),"",ROUND(($C482-$S482+IF($C482&lt;$S482,1,0))*1440,0))</f>
        <v/>
      </c>
      <c r="U482" s="22">
        <f>IF(OR($H482="",$T482="",$T482&lt;=0),"",$H482*60/$T482)</f>
        <v/>
      </c>
      <c r="V482" s="37">
        <f>IF(OR($U482="",$R482="",$R482=0),"",$U482/$R482)</f>
        <v/>
      </c>
      <c r="W482" s="20">
        <f>IF($G482="","",IF($X482="CONTEXTE INCOMPLET","CONTEXTE INCOMPLET",IF($X482="DOUBLON",StatutDoublon,IF($S482="",StatutInitial,IF($R482="",StatutStandardManquant,IF($V482="","DONNEES INSUFFISANTES",IF($V482&gt;=SeuilConforme,StatutConforme,IF($V482&gt;=SeuilSurveiller,StatutSurveiller,StatutSousStandard))))))))</f>
        <v/>
      </c>
      <c r="X482" s="33">
        <f>IF($G482="","",IF(OR($D482="",$E482="",$F482=""),"CONTEXTE INCOMPLET",IF(COUNTIFS($D$3:$D481,$D482,$E$3:$E481,$E482,$F$3:$F481,$F482,$G$3:$G481,$G482)&gt;0,"DOUBLON","VALIDE")))</f>
        <v/>
      </c>
    </row>
    <row r="483" ht="15" customHeight="1">
      <c r="A483" s="12">
        <f>IF(OR($B483="",$G483=""),"",TEXT($B483,"YYYYMMDD")&amp;"-"&amp;SUBSTITUTE($E483," ","")&amp;"-"&amp;$F483&amp;"-"&amp;$G483)</f>
        <v/>
      </c>
      <c r="B483" s="15" t="n"/>
      <c r="C483" s="16" t="n"/>
      <c r="D483" s="10" t="n"/>
      <c r="E483" s="9" t="n"/>
      <c r="F483" s="9" t="n"/>
      <c r="G483" s="13" t="n"/>
      <c r="H483" s="21" t="n"/>
      <c r="I483" s="21" t="n"/>
      <c r="J483" s="17">
        <f>IF($G483="","",IFERROR(INDEX(NomsEmployes,MATCH($G483,MatriculesEmployes,0)),"MATRICULE INCONNU"))</f>
        <v/>
      </c>
      <c r="K483" s="33">
        <f>IF(OR($D483="",$F483=""),"",IFERROR(IF(INDEX(RUNS!$L$6:$S$1005,MATCH($D483,RUNS!$A$6:$A$1005,0),MATCH("ACTIVITÉ "&amp;$F483,RUNS!$L$5:$S$5,0))="","",INDEX(RUNS!$L$6:$S$1005,MATCH($D483,RUNS!$A$6:$A$1005,0),MATCH("ACTIVITÉ "&amp;$F483,RUNS!$L$5:$S$5,0))),""))</f>
        <v/>
      </c>
      <c r="L483" s="33">
        <f>IF($D483="","",IFERROR(IF(INDEX(RUNS!$E$6:$E$1005,MATCH($D483,RUNS!$A$6:$A$1005,0))="","",INDEX(RUNS!$E$6:$E$1005,MATCH($D483,RUNS!$A$6:$A$1005,0))),""))</f>
        <v/>
      </c>
      <c r="M483" s="33">
        <f>IF($D483="","",IFERROR(IF(INDEX(RUNS!$F$6:$F$1005,MATCH($D483,RUNS!$A$6:$A$1005,0))="","",INDEX(RUNS!$F$6:$F$1005,MATCH($D483,RUNS!$A$6:$A$1005,0))),""))</f>
        <v/>
      </c>
      <c r="N483" s="33">
        <f>IF($D483="","",IFERROR(IF(INDEX(RUNS!$G$6:$G$1005,MATCH($D483,RUNS!$A$6:$A$1005,0))="","",INDEX(RUNS!$G$6:$G$1005,MATCH($D483,RUNS!$A$6:$A$1005,0))),""))</f>
        <v/>
      </c>
      <c r="O483" s="33">
        <f>IF($D483="","",IFERROR(IF(INDEX(RUNS!$H$6:$H$1005,MATCH($D483,RUNS!$A$6:$A$1005,0))="","",INDEX(RUNS!$H$6:$H$1005,MATCH($D483,RUNS!$A$6:$A$1005,0))),""))</f>
        <v/>
      </c>
      <c r="P483" s="33">
        <f>IF($D483="","",IFERROR(IF(INDEX(RUNS!$J$6:$J$1005,MATCH($D483,RUNS!$A$6:$A$1005,0))="","",INDEX(RUNS!$J$6:$J$1005,MATCH($D483,RUNS!$A$6:$A$1005,0))),""))</f>
        <v/>
      </c>
      <c r="Q483" s="33">
        <f>IF($D483="","",IFERROR(IF(INDEX(RUNS!$K$6:$K$1005,MATCH($D483,RUNS!$A$6:$A$1005,0))="","",INDEX(RUNS!$K$6:$K$1005,MATCH($D483,RUNS!$A$6:$A$1005,0))),""))</f>
        <v/>
      </c>
      <c r="R483" s="34">
        <f>IF(OR($L483="",$K483=""),"",IFERROR(IF(INDEX(PARAMETRES!$H$43:$H$342,MATCH($L483&amp;"|"&amp;$M483&amp;"|"&amp;$N483&amp;"|"&amp;$O483&amp;"|"&amp;$P483&amp;"|"&amp;$Q483&amp;"|"&amp;$K483,PARAMETRES!$J$43:$J$342,0))="","",INDEX(PARAMETRES!$H$43:$H$342,MATCH($L483&amp;"|"&amp;$M483&amp;"|"&amp;$N483&amp;"|"&amp;$O483&amp;"|"&amp;$P483&amp;"|"&amp;$Q483&amp;"|"&amp;$K483,PARAMETRES!$J$43:$J$342,0))),""))</f>
        <v/>
      </c>
      <c r="S483" s="35">
        <f>IF(OR($G483="",$X483&lt;&gt;"VALIDE"),"",IFERROR(LOOKUP(2,1/(($B$3:$B482=$B483)*($G$3:$G482=$G483)*($X$3:$X482="VALIDE")),$C$3:$C482),""))</f>
        <v/>
      </c>
      <c r="T483" s="36">
        <f>IF(OR($C483="",$S483=""),"",ROUND(($C483-$S483+IF($C483&lt;$S483,1,0))*1440,0))</f>
        <v/>
      </c>
      <c r="U483" s="22">
        <f>IF(OR($H483="",$T483="",$T483&lt;=0),"",$H483*60/$T483)</f>
        <v/>
      </c>
      <c r="V483" s="37">
        <f>IF(OR($U483="",$R483="",$R483=0),"",$U483/$R483)</f>
        <v/>
      </c>
      <c r="W483" s="20">
        <f>IF($G483="","",IF($X483="CONTEXTE INCOMPLET","CONTEXTE INCOMPLET",IF($X483="DOUBLON",StatutDoublon,IF($S483="",StatutInitial,IF($R483="",StatutStandardManquant,IF($V483="","DONNEES INSUFFISANTES",IF($V483&gt;=SeuilConforme,StatutConforme,IF($V483&gt;=SeuilSurveiller,StatutSurveiller,StatutSousStandard))))))))</f>
        <v/>
      </c>
      <c r="X483" s="33">
        <f>IF($G483="","",IF(OR($D483="",$E483="",$F483=""),"CONTEXTE INCOMPLET",IF(COUNTIFS($D$3:$D482,$D483,$E$3:$E482,$E483,$F$3:$F482,$F483,$G$3:$G482,$G483)&gt;0,"DOUBLON","VALIDE")))</f>
        <v/>
      </c>
    </row>
    <row r="484" ht="15" customHeight="1">
      <c r="A484" s="12">
        <f>IF(OR($B484="",$G484=""),"",TEXT($B484,"YYYYMMDD")&amp;"-"&amp;SUBSTITUTE($E484," ","")&amp;"-"&amp;$F484&amp;"-"&amp;$G484)</f>
        <v/>
      </c>
      <c r="B484" s="15" t="n"/>
      <c r="C484" s="16" t="n"/>
      <c r="D484" s="10" t="n"/>
      <c r="E484" s="9" t="n"/>
      <c r="F484" s="9" t="n"/>
      <c r="G484" s="13" t="n"/>
      <c r="H484" s="21" t="n"/>
      <c r="I484" s="21" t="n"/>
      <c r="J484" s="17">
        <f>IF($G484="","",IFERROR(INDEX(NomsEmployes,MATCH($G484,MatriculesEmployes,0)),"MATRICULE INCONNU"))</f>
        <v/>
      </c>
      <c r="K484" s="33">
        <f>IF(OR($D484="",$F484=""),"",IFERROR(IF(INDEX(RUNS!$L$6:$S$1005,MATCH($D484,RUNS!$A$6:$A$1005,0),MATCH("ACTIVITÉ "&amp;$F484,RUNS!$L$5:$S$5,0))="","",INDEX(RUNS!$L$6:$S$1005,MATCH($D484,RUNS!$A$6:$A$1005,0),MATCH("ACTIVITÉ "&amp;$F484,RUNS!$L$5:$S$5,0))),""))</f>
        <v/>
      </c>
      <c r="L484" s="33">
        <f>IF($D484="","",IFERROR(IF(INDEX(RUNS!$E$6:$E$1005,MATCH($D484,RUNS!$A$6:$A$1005,0))="","",INDEX(RUNS!$E$6:$E$1005,MATCH($D484,RUNS!$A$6:$A$1005,0))),""))</f>
        <v/>
      </c>
      <c r="M484" s="33">
        <f>IF($D484="","",IFERROR(IF(INDEX(RUNS!$F$6:$F$1005,MATCH($D484,RUNS!$A$6:$A$1005,0))="","",INDEX(RUNS!$F$6:$F$1005,MATCH($D484,RUNS!$A$6:$A$1005,0))),""))</f>
        <v/>
      </c>
      <c r="N484" s="33">
        <f>IF($D484="","",IFERROR(IF(INDEX(RUNS!$G$6:$G$1005,MATCH($D484,RUNS!$A$6:$A$1005,0))="","",INDEX(RUNS!$G$6:$G$1005,MATCH($D484,RUNS!$A$6:$A$1005,0))),""))</f>
        <v/>
      </c>
      <c r="O484" s="33">
        <f>IF($D484="","",IFERROR(IF(INDEX(RUNS!$H$6:$H$1005,MATCH($D484,RUNS!$A$6:$A$1005,0))="","",INDEX(RUNS!$H$6:$H$1005,MATCH($D484,RUNS!$A$6:$A$1005,0))),""))</f>
        <v/>
      </c>
      <c r="P484" s="33">
        <f>IF($D484="","",IFERROR(IF(INDEX(RUNS!$J$6:$J$1005,MATCH($D484,RUNS!$A$6:$A$1005,0))="","",INDEX(RUNS!$J$6:$J$1005,MATCH($D484,RUNS!$A$6:$A$1005,0))),""))</f>
        <v/>
      </c>
      <c r="Q484" s="33">
        <f>IF($D484="","",IFERROR(IF(INDEX(RUNS!$K$6:$K$1005,MATCH($D484,RUNS!$A$6:$A$1005,0))="","",INDEX(RUNS!$K$6:$K$1005,MATCH($D484,RUNS!$A$6:$A$1005,0))),""))</f>
        <v/>
      </c>
      <c r="R484" s="34">
        <f>IF(OR($L484="",$K484=""),"",IFERROR(IF(INDEX(PARAMETRES!$H$43:$H$342,MATCH($L484&amp;"|"&amp;$M484&amp;"|"&amp;$N484&amp;"|"&amp;$O484&amp;"|"&amp;$P484&amp;"|"&amp;$Q484&amp;"|"&amp;$K484,PARAMETRES!$J$43:$J$342,0))="","",INDEX(PARAMETRES!$H$43:$H$342,MATCH($L484&amp;"|"&amp;$M484&amp;"|"&amp;$N484&amp;"|"&amp;$O484&amp;"|"&amp;$P484&amp;"|"&amp;$Q484&amp;"|"&amp;$K484,PARAMETRES!$J$43:$J$342,0))),""))</f>
        <v/>
      </c>
      <c r="S484" s="35">
        <f>IF(OR($G484="",$X484&lt;&gt;"VALIDE"),"",IFERROR(LOOKUP(2,1/(($B$3:$B483=$B484)*($G$3:$G483=$G484)*($X$3:$X483="VALIDE")),$C$3:$C483),""))</f>
        <v/>
      </c>
      <c r="T484" s="36">
        <f>IF(OR($C484="",$S484=""),"",ROUND(($C484-$S484+IF($C484&lt;$S484,1,0))*1440,0))</f>
        <v/>
      </c>
      <c r="U484" s="22">
        <f>IF(OR($H484="",$T484="",$T484&lt;=0),"",$H484*60/$T484)</f>
        <v/>
      </c>
      <c r="V484" s="37">
        <f>IF(OR($U484="",$R484="",$R484=0),"",$U484/$R484)</f>
        <v/>
      </c>
      <c r="W484" s="20">
        <f>IF($G484="","",IF($X484="CONTEXTE INCOMPLET","CONTEXTE INCOMPLET",IF($X484="DOUBLON",StatutDoublon,IF($S484="",StatutInitial,IF($R484="",StatutStandardManquant,IF($V484="","DONNEES INSUFFISANTES",IF($V484&gt;=SeuilConforme,StatutConforme,IF($V484&gt;=SeuilSurveiller,StatutSurveiller,StatutSousStandard))))))))</f>
        <v/>
      </c>
      <c r="X484" s="33">
        <f>IF($G484="","",IF(OR($D484="",$E484="",$F484=""),"CONTEXTE INCOMPLET",IF(COUNTIFS($D$3:$D483,$D484,$E$3:$E483,$E484,$F$3:$F483,$F484,$G$3:$G483,$G484)&gt;0,"DOUBLON","VALIDE")))</f>
        <v/>
      </c>
    </row>
    <row r="485" ht="15" customHeight="1">
      <c r="A485" s="12">
        <f>IF(OR($B485="",$G485=""),"",TEXT($B485,"YYYYMMDD")&amp;"-"&amp;SUBSTITUTE($E485," ","")&amp;"-"&amp;$F485&amp;"-"&amp;$G485)</f>
        <v/>
      </c>
      <c r="B485" s="15" t="n"/>
      <c r="C485" s="16" t="n"/>
      <c r="D485" s="10" t="n"/>
      <c r="E485" s="9" t="n"/>
      <c r="F485" s="9" t="n"/>
      <c r="G485" s="13" t="n"/>
      <c r="H485" s="21" t="n"/>
      <c r="I485" s="21" t="n"/>
      <c r="J485" s="17">
        <f>IF($G485="","",IFERROR(INDEX(NomsEmployes,MATCH($G485,MatriculesEmployes,0)),"MATRICULE INCONNU"))</f>
        <v/>
      </c>
      <c r="K485" s="33">
        <f>IF(OR($D485="",$F485=""),"",IFERROR(IF(INDEX(RUNS!$L$6:$S$1005,MATCH($D485,RUNS!$A$6:$A$1005,0),MATCH("ACTIVITÉ "&amp;$F485,RUNS!$L$5:$S$5,0))="","",INDEX(RUNS!$L$6:$S$1005,MATCH($D485,RUNS!$A$6:$A$1005,0),MATCH("ACTIVITÉ "&amp;$F485,RUNS!$L$5:$S$5,0))),""))</f>
        <v/>
      </c>
      <c r="L485" s="33">
        <f>IF($D485="","",IFERROR(IF(INDEX(RUNS!$E$6:$E$1005,MATCH($D485,RUNS!$A$6:$A$1005,0))="","",INDEX(RUNS!$E$6:$E$1005,MATCH($D485,RUNS!$A$6:$A$1005,0))),""))</f>
        <v/>
      </c>
      <c r="M485" s="33">
        <f>IF($D485="","",IFERROR(IF(INDEX(RUNS!$F$6:$F$1005,MATCH($D485,RUNS!$A$6:$A$1005,0))="","",INDEX(RUNS!$F$6:$F$1005,MATCH($D485,RUNS!$A$6:$A$1005,0))),""))</f>
        <v/>
      </c>
      <c r="N485" s="33">
        <f>IF($D485="","",IFERROR(IF(INDEX(RUNS!$G$6:$G$1005,MATCH($D485,RUNS!$A$6:$A$1005,0))="","",INDEX(RUNS!$G$6:$G$1005,MATCH($D485,RUNS!$A$6:$A$1005,0))),""))</f>
        <v/>
      </c>
      <c r="O485" s="33">
        <f>IF($D485="","",IFERROR(IF(INDEX(RUNS!$H$6:$H$1005,MATCH($D485,RUNS!$A$6:$A$1005,0))="","",INDEX(RUNS!$H$6:$H$1005,MATCH($D485,RUNS!$A$6:$A$1005,0))),""))</f>
        <v/>
      </c>
      <c r="P485" s="33">
        <f>IF($D485="","",IFERROR(IF(INDEX(RUNS!$J$6:$J$1005,MATCH($D485,RUNS!$A$6:$A$1005,0))="","",INDEX(RUNS!$J$6:$J$1005,MATCH($D485,RUNS!$A$6:$A$1005,0))),""))</f>
        <v/>
      </c>
      <c r="Q485" s="33">
        <f>IF($D485="","",IFERROR(IF(INDEX(RUNS!$K$6:$K$1005,MATCH($D485,RUNS!$A$6:$A$1005,0))="","",INDEX(RUNS!$K$6:$K$1005,MATCH($D485,RUNS!$A$6:$A$1005,0))),""))</f>
        <v/>
      </c>
      <c r="R485" s="34">
        <f>IF(OR($L485="",$K485=""),"",IFERROR(IF(INDEX(PARAMETRES!$H$43:$H$342,MATCH($L485&amp;"|"&amp;$M485&amp;"|"&amp;$N485&amp;"|"&amp;$O485&amp;"|"&amp;$P485&amp;"|"&amp;$Q485&amp;"|"&amp;$K485,PARAMETRES!$J$43:$J$342,0))="","",INDEX(PARAMETRES!$H$43:$H$342,MATCH($L485&amp;"|"&amp;$M485&amp;"|"&amp;$N485&amp;"|"&amp;$O485&amp;"|"&amp;$P485&amp;"|"&amp;$Q485&amp;"|"&amp;$K485,PARAMETRES!$J$43:$J$342,0))),""))</f>
        <v/>
      </c>
      <c r="S485" s="35">
        <f>IF(OR($G485="",$X485&lt;&gt;"VALIDE"),"",IFERROR(LOOKUP(2,1/(($B$3:$B484=$B485)*($G$3:$G484=$G485)*($X$3:$X484="VALIDE")),$C$3:$C484),""))</f>
        <v/>
      </c>
      <c r="T485" s="36">
        <f>IF(OR($C485="",$S485=""),"",ROUND(($C485-$S485+IF($C485&lt;$S485,1,0))*1440,0))</f>
        <v/>
      </c>
      <c r="U485" s="22">
        <f>IF(OR($H485="",$T485="",$T485&lt;=0),"",$H485*60/$T485)</f>
        <v/>
      </c>
      <c r="V485" s="37">
        <f>IF(OR($U485="",$R485="",$R485=0),"",$U485/$R485)</f>
        <v/>
      </c>
      <c r="W485" s="20">
        <f>IF($G485="","",IF($X485="CONTEXTE INCOMPLET","CONTEXTE INCOMPLET",IF($X485="DOUBLON",StatutDoublon,IF($S485="",StatutInitial,IF($R485="",StatutStandardManquant,IF($V485="","DONNEES INSUFFISANTES",IF($V485&gt;=SeuilConforme,StatutConforme,IF($V485&gt;=SeuilSurveiller,StatutSurveiller,StatutSousStandard))))))))</f>
        <v/>
      </c>
      <c r="X485" s="33">
        <f>IF($G485="","",IF(OR($D485="",$E485="",$F485=""),"CONTEXTE INCOMPLET",IF(COUNTIFS($D$3:$D484,$D485,$E$3:$E484,$E485,$F$3:$F484,$F485,$G$3:$G484,$G485)&gt;0,"DOUBLON","VALIDE")))</f>
        <v/>
      </c>
    </row>
    <row r="486" ht="15" customHeight="1">
      <c r="A486" s="12">
        <f>IF(OR($B486="",$G486=""),"",TEXT($B486,"YYYYMMDD")&amp;"-"&amp;SUBSTITUTE($E486," ","")&amp;"-"&amp;$F486&amp;"-"&amp;$G486)</f>
        <v/>
      </c>
      <c r="B486" s="15" t="n"/>
      <c r="C486" s="16" t="n"/>
      <c r="D486" s="10" t="n"/>
      <c r="E486" s="9" t="n"/>
      <c r="F486" s="9" t="n"/>
      <c r="G486" s="13" t="n"/>
      <c r="H486" s="21" t="n"/>
      <c r="I486" s="21" t="n"/>
      <c r="J486" s="17">
        <f>IF($G486="","",IFERROR(INDEX(NomsEmployes,MATCH($G486,MatriculesEmployes,0)),"MATRICULE INCONNU"))</f>
        <v/>
      </c>
      <c r="K486" s="33">
        <f>IF(OR($D486="",$F486=""),"",IFERROR(IF(INDEX(RUNS!$L$6:$S$1005,MATCH($D486,RUNS!$A$6:$A$1005,0),MATCH("ACTIVITÉ "&amp;$F486,RUNS!$L$5:$S$5,0))="","",INDEX(RUNS!$L$6:$S$1005,MATCH($D486,RUNS!$A$6:$A$1005,0),MATCH("ACTIVITÉ "&amp;$F486,RUNS!$L$5:$S$5,0))),""))</f>
        <v/>
      </c>
      <c r="L486" s="33">
        <f>IF($D486="","",IFERROR(IF(INDEX(RUNS!$E$6:$E$1005,MATCH($D486,RUNS!$A$6:$A$1005,0))="","",INDEX(RUNS!$E$6:$E$1005,MATCH($D486,RUNS!$A$6:$A$1005,0))),""))</f>
        <v/>
      </c>
      <c r="M486" s="33">
        <f>IF($D486="","",IFERROR(IF(INDEX(RUNS!$F$6:$F$1005,MATCH($D486,RUNS!$A$6:$A$1005,0))="","",INDEX(RUNS!$F$6:$F$1005,MATCH($D486,RUNS!$A$6:$A$1005,0))),""))</f>
        <v/>
      </c>
      <c r="N486" s="33">
        <f>IF($D486="","",IFERROR(IF(INDEX(RUNS!$G$6:$G$1005,MATCH($D486,RUNS!$A$6:$A$1005,0))="","",INDEX(RUNS!$G$6:$G$1005,MATCH($D486,RUNS!$A$6:$A$1005,0))),""))</f>
        <v/>
      </c>
      <c r="O486" s="33">
        <f>IF($D486="","",IFERROR(IF(INDEX(RUNS!$H$6:$H$1005,MATCH($D486,RUNS!$A$6:$A$1005,0))="","",INDEX(RUNS!$H$6:$H$1005,MATCH($D486,RUNS!$A$6:$A$1005,0))),""))</f>
        <v/>
      </c>
      <c r="P486" s="33">
        <f>IF($D486="","",IFERROR(IF(INDEX(RUNS!$J$6:$J$1005,MATCH($D486,RUNS!$A$6:$A$1005,0))="","",INDEX(RUNS!$J$6:$J$1005,MATCH($D486,RUNS!$A$6:$A$1005,0))),""))</f>
        <v/>
      </c>
      <c r="Q486" s="33">
        <f>IF($D486="","",IFERROR(IF(INDEX(RUNS!$K$6:$K$1005,MATCH($D486,RUNS!$A$6:$A$1005,0))="","",INDEX(RUNS!$K$6:$K$1005,MATCH($D486,RUNS!$A$6:$A$1005,0))),""))</f>
        <v/>
      </c>
      <c r="R486" s="34">
        <f>IF(OR($L486="",$K486=""),"",IFERROR(IF(INDEX(PARAMETRES!$H$43:$H$342,MATCH($L486&amp;"|"&amp;$M486&amp;"|"&amp;$N486&amp;"|"&amp;$O486&amp;"|"&amp;$P486&amp;"|"&amp;$Q486&amp;"|"&amp;$K486,PARAMETRES!$J$43:$J$342,0))="","",INDEX(PARAMETRES!$H$43:$H$342,MATCH($L486&amp;"|"&amp;$M486&amp;"|"&amp;$N486&amp;"|"&amp;$O486&amp;"|"&amp;$P486&amp;"|"&amp;$Q486&amp;"|"&amp;$K486,PARAMETRES!$J$43:$J$342,0))),""))</f>
        <v/>
      </c>
      <c r="S486" s="35">
        <f>IF(OR($G486="",$X486&lt;&gt;"VALIDE"),"",IFERROR(LOOKUP(2,1/(($B$3:$B485=$B486)*($G$3:$G485=$G486)*($X$3:$X485="VALIDE")),$C$3:$C485),""))</f>
        <v/>
      </c>
      <c r="T486" s="36">
        <f>IF(OR($C486="",$S486=""),"",ROUND(($C486-$S486+IF($C486&lt;$S486,1,0))*1440,0))</f>
        <v/>
      </c>
      <c r="U486" s="22">
        <f>IF(OR($H486="",$T486="",$T486&lt;=0),"",$H486*60/$T486)</f>
        <v/>
      </c>
      <c r="V486" s="37">
        <f>IF(OR($U486="",$R486="",$R486=0),"",$U486/$R486)</f>
        <v/>
      </c>
      <c r="W486" s="20">
        <f>IF($G486="","",IF($X486="CONTEXTE INCOMPLET","CONTEXTE INCOMPLET",IF($X486="DOUBLON",StatutDoublon,IF($S486="",StatutInitial,IF($R486="",StatutStandardManquant,IF($V486="","DONNEES INSUFFISANTES",IF($V486&gt;=SeuilConforme,StatutConforme,IF($V486&gt;=SeuilSurveiller,StatutSurveiller,StatutSousStandard))))))))</f>
        <v/>
      </c>
      <c r="X486" s="33">
        <f>IF($G486="","",IF(OR($D486="",$E486="",$F486=""),"CONTEXTE INCOMPLET",IF(COUNTIFS($D$3:$D485,$D486,$E$3:$E485,$E486,$F$3:$F485,$F486,$G$3:$G485,$G486)&gt;0,"DOUBLON","VALIDE")))</f>
        <v/>
      </c>
    </row>
    <row r="487" ht="15" customHeight="1">
      <c r="A487" s="12">
        <f>IF(OR($B487="",$G487=""),"",TEXT($B487,"YYYYMMDD")&amp;"-"&amp;SUBSTITUTE($E487," ","")&amp;"-"&amp;$F487&amp;"-"&amp;$G487)</f>
        <v/>
      </c>
      <c r="B487" s="15" t="n"/>
      <c r="C487" s="16" t="n"/>
      <c r="D487" s="10" t="n"/>
      <c r="E487" s="9" t="n"/>
      <c r="F487" s="9" t="n"/>
      <c r="G487" s="13" t="n"/>
      <c r="H487" s="21" t="n"/>
      <c r="I487" s="21" t="n"/>
      <c r="J487" s="17">
        <f>IF($G487="","",IFERROR(INDEX(NomsEmployes,MATCH($G487,MatriculesEmployes,0)),"MATRICULE INCONNU"))</f>
        <v/>
      </c>
      <c r="K487" s="33">
        <f>IF(OR($D487="",$F487=""),"",IFERROR(IF(INDEX(RUNS!$L$6:$S$1005,MATCH($D487,RUNS!$A$6:$A$1005,0),MATCH("ACTIVITÉ "&amp;$F487,RUNS!$L$5:$S$5,0))="","",INDEX(RUNS!$L$6:$S$1005,MATCH($D487,RUNS!$A$6:$A$1005,0),MATCH("ACTIVITÉ "&amp;$F487,RUNS!$L$5:$S$5,0))),""))</f>
        <v/>
      </c>
      <c r="L487" s="33">
        <f>IF($D487="","",IFERROR(IF(INDEX(RUNS!$E$6:$E$1005,MATCH($D487,RUNS!$A$6:$A$1005,0))="","",INDEX(RUNS!$E$6:$E$1005,MATCH($D487,RUNS!$A$6:$A$1005,0))),""))</f>
        <v/>
      </c>
      <c r="M487" s="33">
        <f>IF($D487="","",IFERROR(IF(INDEX(RUNS!$F$6:$F$1005,MATCH($D487,RUNS!$A$6:$A$1005,0))="","",INDEX(RUNS!$F$6:$F$1005,MATCH($D487,RUNS!$A$6:$A$1005,0))),""))</f>
        <v/>
      </c>
      <c r="N487" s="33">
        <f>IF($D487="","",IFERROR(IF(INDEX(RUNS!$G$6:$G$1005,MATCH($D487,RUNS!$A$6:$A$1005,0))="","",INDEX(RUNS!$G$6:$G$1005,MATCH($D487,RUNS!$A$6:$A$1005,0))),""))</f>
        <v/>
      </c>
      <c r="O487" s="33">
        <f>IF($D487="","",IFERROR(IF(INDEX(RUNS!$H$6:$H$1005,MATCH($D487,RUNS!$A$6:$A$1005,0))="","",INDEX(RUNS!$H$6:$H$1005,MATCH($D487,RUNS!$A$6:$A$1005,0))),""))</f>
        <v/>
      </c>
      <c r="P487" s="33">
        <f>IF($D487="","",IFERROR(IF(INDEX(RUNS!$J$6:$J$1005,MATCH($D487,RUNS!$A$6:$A$1005,0))="","",INDEX(RUNS!$J$6:$J$1005,MATCH($D487,RUNS!$A$6:$A$1005,0))),""))</f>
        <v/>
      </c>
      <c r="Q487" s="33">
        <f>IF($D487="","",IFERROR(IF(INDEX(RUNS!$K$6:$K$1005,MATCH($D487,RUNS!$A$6:$A$1005,0))="","",INDEX(RUNS!$K$6:$K$1005,MATCH($D487,RUNS!$A$6:$A$1005,0))),""))</f>
        <v/>
      </c>
      <c r="R487" s="34">
        <f>IF(OR($L487="",$K487=""),"",IFERROR(IF(INDEX(PARAMETRES!$H$43:$H$342,MATCH($L487&amp;"|"&amp;$M487&amp;"|"&amp;$N487&amp;"|"&amp;$O487&amp;"|"&amp;$P487&amp;"|"&amp;$Q487&amp;"|"&amp;$K487,PARAMETRES!$J$43:$J$342,0))="","",INDEX(PARAMETRES!$H$43:$H$342,MATCH($L487&amp;"|"&amp;$M487&amp;"|"&amp;$N487&amp;"|"&amp;$O487&amp;"|"&amp;$P487&amp;"|"&amp;$Q487&amp;"|"&amp;$K487,PARAMETRES!$J$43:$J$342,0))),""))</f>
        <v/>
      </c>
      <c r="S487" s="35">
        <f>IF(OR($G487="",$X487&lt;&gt;"VALIDE"),"",IFERROR(LOOKUP(2,1/(($B$3:$B486=$B487)*($G$3:$G486=$G487)*($X$3:$X486="VALIDE")),$C$3:$C486),""))</f>
        <v/>
      </c>
      <c r="T487" s="36">
        <f>IF(OR($C487="",$S487=""),"",ROUND(($C487-$S487+IF($C487&lt;$S487,1,0))*1440,0))</f>
        <v/>
      </c>
      <c r="U487" s="22">
        <f>IF(OR($H487="",$T487="",$T487&lt;=0),"",$H487*60/$T487)</f>
        <v/>
      </c>
      <c r="V487" s="37">
        <f>IF(OR($U487="",$R487="",$R487=0),"",$U487/$R487)</f>
        <v/>
      </c>
      <c r="W487" s="20">
        <f>IF($G487="","",IF($X487="CONTEXTE INCOMPLET","CONTEXTE INCOMPLET",IF($X487="DOUBLON",StatutDoublon,IF($S487="",StatutInitial,IF($R487="",StatutStandardManquant,IF($V487="","DONNEES INSUFFISANTES",IF($V487&gt;=SeuilConforme,StatutConforme,IF($V487&gt;=SeuilSurveiller,StatutSurveiller,StatutSousStandard))))))))</f>
        <v/>
      </c>
      <c r="X487" s="33">
        <f>IF($G487="","",IF(OR($D487="",$E487="",$F487=""),"CONTEXTE INCOMPLET",IF(COUNTIFS($D$3:$D486,$D487,$E$3:$E486,$E487,$F$3:$F486,$F487,$G$3:$G486,$G487)&gt;0,"DOUBLON","VALIDE")))</f>
        <v/>
      </c>
    </row>
    <row r="488" ht="15" customHeight="1">
      <c r="A488" s="12">
        <f>IF(OR($B488="",$G488=""),"",TEXT($B488,"YYYYMMDD")&amp;"-"&amp;SUBSTITUTE($E488," ","")&amp;"-"&amp;$F488&amp;"-"&amp;$G488)</f>
        <v/>
      </c>
      <c r="B488" s="15" t="n"/>
      <c r="C488" s="16" t="n"/>
      <c r="D488" s="10" t="n"/>
      <c r="E488" s="9" t="n"/>
      <c r="F488" s="9" t="n"/>
      <c r="G488" s="13" t="n"/>
      <c r="H488" s="21" t="n"/>
      <c r="I488" s="21" t="n"/>
      <c r="J488" s="17">
        <f>IF($G488="","",IFERROR(INDEX(NomsEmployes,MATCH($G488,MatriculesEmployes,0)),"MATRICULE INCONNU"))</f>
        <v/>
      </c>
      <c r="K488" s="33">
        <f>IF(OR($D488="",$F488=""),"",IFERROR(IF(INDEX(RUNS!$L$6:$S$1005,MATCH($D488,RUNS!$A$6:$A$1005,0),MATCH("ACTIVITÉ "&amp;$F488,RUNS!$L$5:$S$5,0))="","",INDEX(RUNS!$L$6:$S$1005,MATCH($D488,RUNS!$A$6:$A$1005,0),MATCH("ACTIVITÉ "&amp;$F488,RUNS!$L$5:$S$5,0))),""))</f>
        <v/>
      </c>
      <c r="L488" s="33">
        <f>IF($D488="","",IFERROR(IF(INDEX(RUNS!$E$6:$E$1005,MATCH($D488,RUNS!$A$6:$A$1005,0))="","",INDEX(RUNS!$E$6:$E$1005,MATCH($D488,RUNS!$A$6:$A$1005,0))),""))</f>
        <v/>
      </c>
      <c r="M488" s="33">
        <f>IF($D488="","",IFERROR(IF(INDEX(RUNS!$F$6:$F$1005,MATCH($D488,RUNS!$A$6:$A$1005,0))="","",INDEX(RUNS!$F$6:$F$1005,MATCH($D488,RUNS!$A$6:$A$1005,0))),""))</f>
        <v/>
      </c>
      <c r="N488" s="33">
        <f>IF($D488="","",IFERROR(IF(INDEX(RUNS!$G$6:$G$1005,MATCH($D488,RUNS!$A$6:$A$1005,0))="","",INDEX(RUNS!$G$6:$G$1005,MATCH($D488,RUNS!$A$6:$A$1005,0))),""))</f>
        <v/>
      </c>
      <c r="O488" s="33">
        <f>IF($D488="","",IFERROR(IF(INDEX(RUNS!$H$6:$H$1005,MATCH($D488,RUNS!$A$6:$A$1005,0))="","",INDEX(RUNS!$H$6:$H$1005,MATCH($D488,RUNS!$A$6:$A$1005,0))),""))</f>
        <v/>
      </c>
      <c r="P488" s="33">
        <f>IF($D488="","",IFERROR(IF(INDEX(RUNS!$J$6:$J$1005,MATCH($D488,RUNS!$A$6:$A$1005,0))="","",INDEX(RUNS!$J$6:$J$1005,MATCH($D488,RUNS!$A$6:$A$1005,0))),""))</f>
        <v/>
      </c>
      <c r="Q488" s="33">
        <f>IF($D488="","",IFERROR(IF(INDEX(RUNS!$K$6:$K$1005,MATCH($D488,RUNS!$A$6:$A$1005,0))="","",INDEX(RUNS!$K$6:$K$1005,MATCH($D488,RUNS!$A$6:$A$1005,0))),""))</f>
        <v/>
      </c>
      <c r="R488" s="34">
        <f>IF(OR($L488="",$K488=""),"",IFERROR(IF(INDEX(PARAMETRES!$H$43:$H$342,MATCH($L488&amp;"|"&amp;$M488&amp;"|"&amp;$N488&amp;"|"&amp;$O488&amp;"|"&amp;$P488&amp;"|"&amp;$Q488&amp;"|"&amp;$K488,PARAMETRES!$J$43:$J$342,0))="","",INDEX(PARAMETRES!$H$43:$H$342,MATCH($L488&amp;"|"&amp;$M488&amp;"|"&amp;$N488&amp;"|"&amp;$O488&amp;"|"&amp;$P488&amp;"|"&amp;$Q488&amp;"|"&amp;$K488,PARAMETRES!$J$43:$J$342,0))),""))</f>
        <v/>
      </c>
      <c r="S488" s="35">
        <f>IF(OR($G488="",$X488&lt;&gt;"VALIDE"),"",IFERROR(LOOKUP(2,1/(($B$3:$B487=$B488)*($G$3:$G487=$G488)*($X$3:$X487="VALIDE")),$C$3:$C487),""))</f>
        <v/>
      </c>
      <c r="T488" s="36">
        <f>IF(OR($C488="",$S488=""),"",ROUND(($C488-$S488+IF($C488&lt;$S488,1,0))*1440,0))</f>
        <v/>
      </c>
      <c r="U488" s="22">
        <f>IF(OR($H488="",$T488="",$T488&lt;=0),"",$H488*60/$T488)</f>
        <v/>
      </c>
      <c r="V488" s="37">
        <f>IF(OR($U488="",$R488="",$R488=0),"",$U488/$R488)</f>
        <v/>
      </c>
      <c r="W488" s="20">
        <f>IF($G488="","",IF($X488="CONTEXTE INCOMPLET","CONTEXTE INCOMPLET",IF($X488="DOUBLON",StatutDoublon,IF($S488="",StatutInitial,IF($R488="",StatutStandardManquant,IF($V488="","DONNEES INSUFFISANTES",IF($V488&gt;=SeuilConforme,StatutConforme,IF($V488&gt;=SeuilSurveiller,StatutSurveiller,StatutSousStandard))))))))</f>
        <v/>
      </c>
      <c r="X488" s="33">
        <f>IF($G488="","",IF(OR($D488="",$E488="",$F488=""),"CONTEXTE INCOMPLET",IF(COUNTIFS($D$3:$D487,$D488,$E$3:$E487,$E488,$F$3:$F487,$F488,$G$3:$G487,$G488)&gt;0,"DOUBLON","VALIDE")))</f>
        <v/>
      </c>
    </row>
    <row r="489" ht="15" customHeight="1">
      <c r="A489" s="12">
        <f>IF(OR($B489="",$G489=""),"",TEXT($B489,"YYYYMMDD")&amp;"-"&amp;SUBSTITUTE($E489," ","")&amp;"-"&amp;$F489&amp;"-"&amp;$G489)</f>
        <v/>
      </c>
      <c r="B489" s="15" t="n"/>
      <c r="C489" s="16" t="n"/>
      <c r="D489" s="10" t="n"/>
      <c r="E489" s="9" t="n"/>
      <c r="F489" s="9" t="n"/>
      <c r="G489" s="13" t="n"/>
      <c r="H489" s="21" t="n"/>
      <c r="I489" s="21" t="n"/>
      <c r="J489" s="17">
        <f>IF($G489="","",IFERROR(INDEX(NomsEmployes,MATCH($G489,MatriculesEmployes,0)),"MATRICULE INCONNU"))</f>
        <v/>
      </c>
      <c r="K489" s="33">
        <f>IF(OR($D489="",$F489=""),"",IFERROR(IF(INDEX(RUNS!$L$6:$S$1005,MATCH($D489,RUNS!$A$6:$A$1005,0),MATCH("ACTIVITÉ "&amp;$F489,RUNS!$L$5:$S$5,0))="","",INDEX(RUNS!$L$6:$S$1005,MATCH($D489,RUNS!$A$6:$A$1005,0),MATCH("ACTIVITÉ "&amp;$F489,RUNS!$L$5:$S$5,0))),""))</f>
        <v/>
      </c>
      <c r="L489" s="33">
        <f>IF($D489="","",IFERROR(IF(INDEX(RUNS!$E$6:$E$1005,MATCH($D489,RUNS!$A$6:$A$1005,0))="","",INDEX(RUNS!$E$6:$E$1005,MATCH($D489,RUNS!$A$6:$A$1005,0))),""))</f>
        <v/>
      </c>
      <c r="M489" s="33">
        <f>IF($D489="","",IFERROR(IF(INDEX(RUNS!$F$6:$F$1005,MATCH($D489,RUNS!$A$6:$A$1005,0))="","",INDEX(RUNS!$F$6:$F$1005,MATCH($D489,RUNS!$A$6:$A$1005,0))),""))</f>
        <v/>
      </c>
      <c r="N489" s="33">
        <f>IF($D489="","",IFERROR(IF(INDEX(RUNS!$G$6:$G$1005,MATCH($D489,RUNS!$A$6:$A$1005,0))="","",INDEX(RUNS!$G$6:$G$1005,MATCH($D489,RUNS!$A$6:$A$1005,0))),""))</f>
        <v/>
      </c>
      <c r="O489" s="33">
        <f>IF($D489="","",IFERROR(IF(INDEX(RUNS!$H$6:$H$1005,MATCH($D489,RUNS!$A$6:$A$1005,0))="","",INDEX(RUNS!$H$6:$H$1005,MATCH($D489,RUNS!$A$6:$A$1005,0))),""))</f>
        <v/>
      </c>
      <c r="P489" s="33">
        <f>IF($D489="","",IFERROR(IF(INDEX(RUNS!$J$6:$J$1005,MATCH($D489,RUNS!$A$6:$A$1005,0))="","",INDEX(RUNS!$J$6:$J$1005,MATCH($D489,RUNS!$A$6:$A$1005,0))),""))</f>
        <v/>
      </c>
      <c r="Q489" s="33">
        <f>IF($D489="","",IFERROR(IF(INDEX(RUNS!$K$6:$K$1005,MATCH($D489,RUNS!$A$6:$A$1005,0))="","",INDEX(RUNS!$K$6:$K$1005,MATCH($D489,RUNS!$A$6:$A$1005,0))),""))</f>
        <v/>
      </c>
      <c r="R489" s="34">
        <f>IF(OR($L489="",$K489=""),"",IFERROR(IF(INDEX(PARAMETRES!$H$43:$H$342,MATCH($L489&amp;"|"&amp;$M489&amp;"|"&amp;$N489&amp;"|"&amp;$O489&amp;"|"&amp;$P489&amp;"|"&amp;$Q489&amp;"|"&amp;$K489,PARAMETRES!$J$43:$J$342,0))="","",INDEX(PARAMETRES!$H$43:$H$342,MATCH($L489&amp;"|"&amp;$M489&amp;"|"&amp;$N489&amp;"|"&amp;$O489&amp;"|"&amp;$P489&amp;"|"&amp;$Q489&amp;"|"&amp;$K489,PARAMETRES!$J$43:$J$342,0))),""))</f>
        <v/>
      </c>
      <c r="S489" s="35">
        <f>IF(OR($G489="",$X489&lt;&gt;"VALIDE"),"",IFERROR(LOOKUP(2,1/(($B$3:$B488=$B489)*($G$3:$G488=$G489)*($X$3:$X488="VALIDE")),$C$3:$C488),""))</f>
        <v/>
      </c>
      <c r="T489" s="36">
        <f>IF(OR($C489="",$S489=""),"",ROUND(($C489-$S489+IF($C489&lt;$S489,1,0))*1440,0))</f>
        <v/>
      </c>
      <c r="U489" s="22">
        <f>IF(OR($H489="",$T489="",$T489&lt;=0),"",$H489*60/$T489)</f>
        <v/>
      </c>
      <c r="V489" s="37">
        <f>IF(OR($U489="",$R489="",$R489=0),"",$U489/$R489)</f>
        <v/>
      </c>
      <c r="W489" s="20">
        <f>IF($G489="","",IF($X489="CONTEXTE INCOMPLET","CONTEXTE INCOMPLET",IF($X489="DOUBLON",StatutDoublon,IF($S489="",StatutInitial,IF($R489="",StatutStandardManquant,IF($V489="","DONNEES INSUFFISANTES",IF($V489&gt;=SeuilConforme,StatutConforme,IF($V489&gt;=SeuilSurveiller,StatutSurveiller,StatutSousStandard))))))))</f>
        <v/>
      </c>
      <c r="X489" s="33">
        <f>IF($G489="","",IF(OR($D489="",$E489="",$F489=""),"CONTEXTE INCOMPLET",IF(COUNTIFS($D$3:$D488,$D489,$E$3:$E488,$E489,$F$3:$F488,$F489,$G$3:$G488,$G489)&gt;0,"DOUBLON","VALIDE")))</f>
        <v/>
      </c>
    </row>
    <row r="490" ht="15" customHeight="1">
      <c r="A490" s="12">
        <f>IF(OR($B490="",$G490=""),"",TEXT($B490,"YYYYMMDD")&amp;"-"&amp;SUBSTITUTE($E490," ","")&amp;"-"&amp;$F490&amp;"-"&amp;$G490)</f>
        <v/>
      </c>
      <c r="B490" s="15" t="n"/>
      <c r="C490" s="16" t="n"/>
      <c r="D490" s="10" t="n"/>
      <c r="E490" s="9" t="n"/>
      <c r="F490" s="9" t="n"/>
      <c r="G490" s="13" t="n"/>
      <c r="H490" s="21" t="n"/>
      <c r="I490" s="21" t="n"/>
      <c r="J490" s="17">
        <f>IF($G490="","",IFERROR(INDEX(NomsEmployes,MATCH($G490,MatriculesEmployes,0)),"MATRICULE INCONNU"))</f>
        <v/>
      </c>
      <c r="K490" s="33">
        <f>IF(OR($D490="",$F490=""),"",IFERROR(IF(INDEX(RUNS!$L$6:$S$1005,MATCH($D490,RUNS!$A$6:$A$1005,0),MATCH("ACTIVITÉ "&amp;$F490,RUNS!$L$5:$S$5,0))="","",INDEX(RUNS!$L$6:$S$1005,MATCH($D490,RUNS!$A$6:$A$1005,0),MATCH("ACTIVITÉ "&amp;$F490,RUNS!$L$5:$S$5,0))),""))</f>
        <v/>
      </c>
      <c r="L490" s="33">
        <f>IF($D490="","",IFERROR(IF(INDEX(RUNS!$E$6:$E$1005,MATCH($D490,RUNS!$A$6:$A$1005,0))="","",INDEX(RUNS!$E$6:$E$1005,MATCH($D490,RUNS!$A$6:$A$1005,0))),""))</f>
        <v/>
      </c>
      <c r="M490" s="33">
        <f>IF($D490="","",IFERROR(IF(INDEX(RUNS!$F$6:$F$1005,MATCH($D490,RUNS!$A$6:$A$1005,0))="","",INDEX(RUNS!$F$6:$F$1005,MATCH($D490,RUNS!$A$6:$A$1005,0))),""))</f>
        <v/>
      </c>
      <c r="N490" s="33">
        <f>IF($D490="","",IFERROR(IF(INDEX(RUNS!$G$6:$G$1005,MATCH($D490,RUNS!$A$6:$A$1005,0))="","",INDEX(RUNS!$G$6:$G$1005,MATCH($D490,RUNS!$A$6:$A$1005,0))),""))</f>
        <v/>
      </c>
      <c r="O490" s="33">
        <f>IF($D490="","",IFERROR(IF(INDEX(RUNS!$H$6:$H$1005,MATCH($D490,RUNS!$A$6:$A$1005,0))="","",INDEX(RUNS!$H$6:$H$1005,MATCH($D490,RUNS!$A$6:$A$1005,0))),""))</f>
        <v/>
      </c>
      <c r="P490" s="33">
        <f>IF($D490="","",IFERROR(IF(INDEX(RUNS!$J$6:$J$1005,MATCH($D490,RUNS!$A$6:$A$1005,0))="","",INDEX(RUNS!$J$6:$J$1005,MATCH($D490,RUNS!$A$6:$A$1005,0))),""))</f>
        <v/>
      </c>
      <c r="Q490" s="33">
        <f>IF($D490="","",IFERROR(IF(INDEX(RUNS!$K$6:$K$1005,MATCH($D490,RUNS!$A$6:$A$1005,0))="","",INDEX(RUNS!$K$6:$K$1005,MATCH($D490,RUNS!$A$6:$A$1005,0))),""))</f>
        <v/>
      </c>
      <c r="R490" s="34">
        <f>IF(OR($L490="",$K490=""),"",IFERROR(IF(INDEX(PARAMETRES!$H$43:$H$342,MATCH($L490&amp;"|"&amp;$M490&amp;"|"&amp;$N490&amp;"|"&amp;$O490&amp;"|"&amp;$P490&amp;"|"&amp;$Q490&amp;"|"&amp;$K490,PARAMETRES!$J$43:$J$342,0))="","",INDEX(PARAMETRES!$H$43:$H$342,MATCH($L490&amp;"|"&amp;$M490&amp;"|"&amp;$N490&amp;"|"&amp;$O490&amp;"|"&amp;$P490&amp;"|"&amp;$Q490&amp;"|"&amp;$K490,PARAMETRES!$J$43:$J$342,0))),""))</f>
        <v/>
      </c>
      <c r="S490" s="35">
        <f>IF(OR($G490="",$X490&lt;&gt;"VALIDE"),"",IFERROR(LOOKUP(2,1/(($B$3:$B489=$B490)*($G$3:$G489=$G490)*($X$3:$X489="VALIDE")),$C$3:$C489),""))</f>
        <v/>
      </c>
      <c r="T490" s="36">
        <f>IF(OR($C490="",$S490=""),"",ROUND(($C490-$S490+IF($C490&lt;$S490,1,0))*1440,0))</f>
        <v/>
      </c>
      <c r="U490" s="22">
        <f>IF(OR($H490="",$T490="",$T490&lt;=0),"",$H490*60/$T490)</f>
        <v/>
      </c>
      <c r="V490" s="37">
        <f>IF(OR($U490="",$R490="",$R490=0),"",$U490/$R490)</f>
        <v/>
      </c>
      <c r="W490" s="20">
        <f>IF($G490="","",IF($X490="CONTEXTE INCOMPLET","CONTEXTE INCOMPLET",IF($X490="DOUBLON",StatutDoublon,IF($S490="",StatutInitial,IF($R490="",StatutStandardManquant,IF($V490="","DONNEES INSUFFISANTES",IF($V490&gt;=SeuilConforme,StatutConforme,IF($V490&gt;=SeuilSurveiller,StatutSurveiller,StatutSousStandard))))))))</f>
        <v/>
      </c>
      <c r="X490" s="33">
        <f>IF($G490="","",IF(OR($D490="",$E490="",$F490=""),"CONTEXTE INCOMPLET",IF(COUNTIFS($D$3:$D489,$D490,$E$3:$E489,$E490,$F$3:$F489,$F490,$G$3:$G489,$G490)&gt;0,"DOUBLON","VALIDE")))</f>
        <v/>
      </c>
    </row>
    <row r="491" ht="15" customHeight="1">
      <c r="A491" s="12">
        <f>IF(OR($B491="",$G491=""),"",TEXT($B491,"YYYYMMDD")&amp;"-"&amp;SUBSTITUTE($E491," ","")&amp;"-"&amp;$F491&amp;"-"&amp;$G491)</f>
        <v/>
      </c>
      <c r="B491" s="15" t="n"/>
      <c r="C491" s="16" t="n"/>
      <c r="D491" s="10" t="n"/>
      <c r="E491" s="9" t="n"/>
      <c r="F491" s="9" t="n"/>
      <c r="G491" s="13" t="n"/>
      <c r="H491" s="21" t="n"/>
      <c r="I491" s="21" t="n"/>
      <c r="J491" s="17">
        <f>IF($G491="","",IFERROR(INDEX(NomsEmployes,MATCH($G491,MatriculesEmployes,0)),"MATRICULE INCONNU"))</f>
        <v/>
      </c>
      <c r="K491" s="33">
        <f>IF(OR($D491="",$F491=""),"",IFERROR(IF(INDEX(RUNS!$L$6:$S$1005,MATCH($D491,RUNS!$A$6:$A$1005,0),MATCH("ACTIVITÉ "&amp;$F491,RUNS!$L$5:$S$5,0))="","",INDEX(RUNS!$L$6:$S$1005,MATCH($D491,RUNS!$A$6:$A$1005,0),MATCH("ACTIVITÉ "&amp;$F491,RUNS!$L$5:$S$5,0))),""))</f>
        <v/>
      </c>
      <c r="L491" s="33">
        <f>IF($D491="","",IFERROR(IF(INDEX(RUNS!$E$6:$E$1005,MATCH($D491,RUNS!$A$6:$A$1005,0))="","",INDEX(RUNS!$E$6:$E$1005,MATCH($D491,RUNS!$A$6:$A$1005,0))),""))</f>
        <v/>
      </c>
      <c r="M491" s="33">
        <f>IF($D491="","",IFERROR(IF(INDEX(RUNS!$F$6:$F$1005,MATCH($D491,RUNS!$A$6:$A$1005,0))="","",INDEX(RUNS!$F$6:$F$1005,MATCH($D491,RUNS!$A$6:$A$1005,0))),""))</f>
        <v/>
      </c>
      <c r="N491" s="33">
        <f>IF($D491="","",IFERROR(IF(INDEX(RUNS!$G$6:$G$1005,MATCH($D491,RUNS!$A$6:$A$1005,0))="","",INDEX(RUNS!$G$6:$G$1005,MATCH($D491,RUNS!$A$6:$A$1005,0))),""))</f>
        <v/>
      </c>
      <c r="O491" s="33">
        <f>IF($D491="","",IFERROR(IF(INDEX(RUNS!$H$6:$H$1005,MATCH($D491,RUNS!$A$6:$A$1005,0))="","",INDEX(RUNS!$H$6:$H$1005,MATCH($D491,RUNS!$A$6:$A$1005,0))),""))</f>
        <v/>
      </c>
      <c r="P491" s="33">
        <f>IF($D491="","",IFERROR(IF(INDEX(RUNS!$J$6:$J$1005,MATCH($D491,RUNS!$A$6:$A$1005,0))="","",INDEX(RUNS!$J$6:$J$1005,MATCH($D491,RUNS!$A$6:$A$1005,0))),""))</f>
        <v/>
      </c>
      <c r="Q491" s="33">
        <f>IF($D491="","",IFERROR(IF(INDEX(RUNS!$K$6:$K$1005,MATCH($D491,RUNS!$A$6:$A$1005,0))="","",INDEX(RUNS!$K$6:$K$1005,MATCH($D491,RUNS!$A$6:$A$1005,0))),""))</f>
        <v/>
      </c>
      <c r="R491" s="34">
        <f>IF(OR($L491="",$K491=""),"",IFERROR(IF(INDEX(PARAMETRES!$H$43:$H$342,MATCH($L491&amp;"|"&amp;$M491&amp;"|"&amp;$N491&amp;"|"&amp;$O491&amp;"|"&amp;$P491&amp;"|"&amp;$Q491&amp;"|"&amp;$K491,PARAMETRES!$J$43:$J$342,0))="","",INDEX(PARAMETRES!$H$43:$H$342,MATCH($L491&amp;"|"&amp;$M491&amp;"|"&amp;$N491&amp;"|"&amp;$O491&amp;"|"&amp;$P491&amp;"|"&amp;$Q491&amp;"|"&amp;$K491,PARAMETRES!$J$43:$J$342,0))),""))</f>
        <v/>
      </c>
      <c r="S491" s="35">
        <f>IF(OR($G491="",$X491&lt;&gt;"VALIDE"),"",IFERROR(LOOKUP(2,1/(($B$3:$B490=$B491)*($G$3:$G490=$G491)*($X$3:$X490="VALIDE")),$C$3:$C490),""))</f>
        <v/>
      </c>
      <c r="T491" s="36">
        <f>IF(OR($C491="",$S491=""),"",ROUND(($C491-$S491+IF($C491&lt;$S491,1,0))*1440,0))</f>
        <v/>
      </c>
      <c r="U491" s="22">
        <f>IF(OR($H491="",$T491="",$T491&lt;=0),"",$H491*60/$T491)</f>
        <v/>
      </c>
      <c r="V491" s="37">
        <f>IF(OR($U491="",$R491="",$R491=0),"",$U491/$R491)</f>
        <v/>
      </c>
      <c r="W491" s="20">
        <f>IF($G491="","",IF($X491="CONTEXTE INCOMPLET","CONTEXTE INCOMPLET",IF($X491="DOUBLON",StatutDoublon,IF($S491="",StatutInitial,IF($R491="",StatutStandardManquant,IF($V491="","DONNEES INSUFFISANTES",IF($V491&gt;=SeuilConforme,StatutConforme,IF($V491&gt;=SeuilSurveiller,StatutSurveiller,StatutSousStandard))))))))</f>
        <v/>
      </c>
      <c r="X491" s="33">
        <f>IF($G491="","",IF(OR($D491="",$E491="",$F491=""),"CONTEXTE INCOMPLET",IF(COUNTIFS($D$3:$D490,$D491,$E$3:$E490,$E491,$F$3:$F490,$F491,$G$3:$G490,$G491)&gt;0,"DOUBLON","VALIDE")))</f>
        <v/>
      </c>
    </row>
    <row r="492" ht="15" customHeight="1">
      <c r="A492" s="12">
        <f>IF(OR($B492="",$G492=""),"",TEXT($B492,"YYYYMMDD")&amp;"-"&amp;SUBSTITUTE($E492," ","")&amp;"-"&amp;$F492&amp;"-"&amp;$G492)</f>
        <v/>
      </c>
      <c r="B492" s="15" t="n"/>
      <c r="C492" s="16" t="n"/>
      <c r="D492" s="10" t="n"/>
      <c r="E492" s="9" t="n"/>
      <c r="F492" s="9" t="n"/>
      <c r="G492" s="13" t="n"/>
      <c r="H492" s="21" t="n"/>
      <c r="I492" s="21" t="n"/>
      <c r="J492" s="17">
        <f>IF($G492="","",IFERROR(INDEX(NomsEmployes,MATCH($G492,MatriculesEmployes,0)),"MATRICULE INCONNU"))</f>
        <v/>
      </c>
      <c r="K492" s="33">
        <f>IF(OR($D492="",$F492=""),"",IFERROR(IF(INDEX(RUNS!$L$6:$S$1005,MATCH($D492,RUNS!$A$6:$A$1005,0),MATCH("ACTIVITÉ "&amp;$F492,RUNS!$L$5:$S$5,0))="","",INDEX(RUNS!$L$6:$S$1005,MATCH($D492,RUNS!$A$6:$A$1005,0),MATCH("ACTIVITÉ "&amp;$F492,RUNS!$L$5:$S$5,0))),""))</f>
        <v/>
      </c>
      <c r="L492" s="33">
        <f>IF($D492="","",IFERROR(IF(INDEX(RUNS!$E$6:$E$1005,MATCH($D492,RUNS!$A$6:$A$1005,0))="","",INDEX(RUNS!$E$6:$E$1005,MATCH($D492,RUNS!$A$6:$A$1005,0))),""))</f>
        <v/>
      </c>
      <c r="M492" s="33">
        <f>IF($D492="","",IFERROR(IF(INDEX(RUNS!$F$6:$F$1005,MATCH($D492,RUNS!$A$6:$A$1005,0))="","",INDEX(RUNS!$F$6:$F$1005,MATCH($D492,RUNS!$A$6:$A$1005,0))),""))</f>
        <v/>
      </c>
      <c r="N492" s="33">
        <f>IF($D492="","",IFERROR(IF(INDEX(RUNS!$G$6:$G$1005,MATCH($D492,RUNS!$A$6:$A$1005,0))="","",INDEX(RUNS!$G$6:$G$1005,MATCH($D492,RUNS!$A$6:$A$1005,0))),""))</f>
        <v/>
      </c>
      <c r="O492" s="33">
        <f>IF($D492="","",IFERROR(IF(INDEX(RUNS!$H$6:$H$1005,MATCH($D492,RUNS!$A$6:$A$1005,0))="","",INDEX(RUNS!$H$6:$H$1005,MATCH($D492,RUNS!$A$6:$A$1005,0))),""))</f>
        <v/>
      </c>
      <c r="P492" s="33">
        <f>IF($D492="","",IFERROR(IF(INDEX(RUNS!$J$6:$J$1005,MATCH($D492,RUNS!$A$6:$A$1005,0))="","",INDEX(RUNS!$J$6:$J$1005,MATCH($D492,RUNS!$A$6:$A$1005,0))),""))</f>
        <v/>
      </c>
      <c r="Q492" s="33">
        <f>IF($D492="","",IFERROR(IF(INDEX(RUNS!$K$6:$K$1005,MATCH($D492,RUNS!$A$6:$A$1005,0))="","",INDEX(RUNS!$K$6:$K$1005,MATCH($D492,RUNS!$A$6:$A$1005,0))),""))</f>
        <v/>
      </c>
      <c r="R492" s="34">
        <f>IF(OR($L492="",$K492=""),"",IFERROR(IF(INDEX(PARAMETRES!$H$43:$H$342,MATCH($L492&amp;"|"&amp;$M492&amp;"|"&amp;$N492&amp;"|"&amp;$O492&amp;"|"&amp;$P492&amp;"|"&amp;$Q492&amp;"|"&amp;$K492,PARAMETRES!$J$43:$J$342,0))="","",INDEX(PARAMETRES!$H$43:$H$342,MATCH($L492&amp;"|"&amp;$M492&amp;"|"&amp;$N492&amp;"|"&amp;$O492&amp;"|"&amp;$P492&amp;"|"&amp;$Q492&amp;"|"&amp;$K492,PARAMETRES!$J$43:$J$342,0))),""))</f>
        <v/>
      </c>
      <c r="S492" s="35">
        <f>IF(OR($G492="",$X492&lt;&gt;"VALIDE"),"",IFERROR(LOOKUP(2,1/(($B$3:$B491=$B492)*($G$3:$G491=$G492)*($X$3:$X491="VALIDE")),$C$3:$C491),""))</f>
        <v/>
      </c>
      <c r="T492" s="36">
        <f>IF(OR($C492="",$S492=""),"",ROUND(($C492-$S492+IF($C492&lt;$S492,1,0))*1440,0))</f>
        <v/>
      </c>
      <c r="U492" s="22">
        <f>IF(OR($H492="",$T492="",$T492&lt;=0),"",$H492*60/$T492)</f>
        <v/>
      </c>
      <c r="V492" s="37">
        <f>IF(OR($U492="",$R492="",$R492=0),"",$U492/$R492)</f>
        <v/>
      </c>
      <c r="W492" s="20">
        <f>IF($G492="","",IF($X492="CONTEXTE INCOMPLET","CONTEXTE INCOMPLET",IF($X492="DOUBLON",StatutDoublon,IF($S492="",StatutInitial,IF($R492="",StatutStandardManquant,IF($V492="","DONNEES INSUFFISANTES",IF($V492&gt;=SeuilConforme,StatutConforme,IF($V492&gt;=SeuilSurveiller,StatutSurveiller,StatutSousStandard))))))))</f>
        <v/>
      </c>
      <c r="X492" s="33">
        <f>IF($G492="","",IF(OR($D492="",$E492="",$F492=""),"CONTEXTE INCOMPLET",IF(COUNTIFS($D$3:$D491,$D492,$E$3:$E491,$E492,$F$3:$F491,$F492,$G$3:$G491,$G492)&gt;0,"DOUBLON","VALIDE")))</f>
        <v/>
      </c>
    </row>
    <row r="493" ht="15" customHeight="1">
      <c r="A493" s="12">
        <f>IF(OR($B493="",$G493=""),"",TEXT($B493,"YYYYMMDD")&amp;"-"&amp;SUBSTITUTE($E493," ","")&amp;"-"&amp;$F493&amp;"-"&amp;$G493)</f>
        <v/>
      </c>
      <c r="B493" s="15" t="n"/>
      <c r="C493" s="16" t="n"/>
      <c r="D493" s="10" t="n"/>
      <c r="E493" s="9" t="n"/>
      <c r="F493" s="9" t="n"/>
      <c r="G493" s="13" t="n"/>
      <c r="H493" s="21" t="n"/>
      <c r="I493" s="21" t="n"/>
      <c r="J493" s="17">
        <f>IF($G493="","",IFERROR(INDEX(NomsEmployes,MATCH($G493,MatriculesEmployes,0)),"MATRICULE INCONNU"))</f>
        <v/>
      </c>
      <c r="K493" s="33">
        <f>IF(OR($D493="",$F493=""),"",IFERROR(IF(INDEX(RUNS!$L$6:$S$1005,MATCH($D493,RUNS!$A$6:$A$1005,0),MATCH("ACTIVITÉ "&amp;$F493,RUNS!$L$5:$S$5,0))="","",INDEX(RUNS!$L$6:$S$1005,MATCH($D493,RUNS!$A$6:$A$1005,0),MATCH("ACTIVITÉ "&amp;$F493,RUNS!$L$5:$S$5,0))),""))</f>
        <v/>
      </c>
      <c r="L493" s="33">
        <f>IF($D493="","",IFERROR(IF(INDEX(RUNS!$E$6:$E$1005,MATCH($D493,RUNS!$A$6:$A$1005,0))="","",INDEX(RUNS!$E$6:$E$1005,MATCH($D493,RUNS!$A$6:$A$1005,0))),""))</f>
        <v/>
      </c>
      <c r="M493" s="33">
        <f>IF($D493="","",IFERROR(IF(INDEX(RUNS!$F$6:$F$1005,MATCH($D493,RUNS!$A$6:$A$1005,0))="","",INDEX(RUNS!$F$6:$F$1005,MATCH($D493,RUNS!$A$6:$A$1005,0))),""))</f>
        <v/>
      </c>
      <c r="N493" s="33">
        <f>IF($D493="","",IFERROR(IF(INDEX(RUNS!$G$6:$G$1005,MATCH($D493,RUNS!$A$6:$A$1005,0))="","",INDEX(RUNS!$G$6:$G$1005,MATCH($D493,RUNS!$A$6:$A$1005,0))),""))</f>
        <v/>
      </c>
      <c r="O493" s="33">
        <f>IF($D493="","",IFERROR(IF(INDEX(RUNS!$H$6:$H$1005,MATCH($D493,RUNS!$A$6:$A$1005,0))="","",INDEX(RUNS!$H$6:$H$1005,MATCH($D493,RUNS!$A$6:$A$1005,0))),""))</f>
        <v/>
      </c>
      <c r="P493" s="33">
        <f>IF($D493="","",IFERROR(IF(INDEX(RUNS!$J$6:$J$1005,MATCH($D493,RUNS!$A$6:$A$1005,0))="","",INDEX(RUNS!$J$6:$J$1005,MATCH($D493,RUNS!$A$6:$A$1005,0))),""))</f>
        <v/>
      </c>
      <c r="Q493" s="33">
        <f>IF($D493="","",IFERROR(IF(INDEX(RUNS!$K$6:$K$1005,MATCH($D493,RUNS!$A$6:$A$1005,0))="","",INDEX(RUNS!$K$6:$K$1005,MATCH($D493,RUNS!$A$6:$A$1005,0))),""))</f>
        <v/>
      </c>
      <c r="R493" s="34">
        <f>IF(OR($L493="",$K493=""),"",IFERROR(IF(INDEX(PARAMETRES!$H$43:$H$342,MATCH($L493&amp;"|"&amp;$M493&amp;"|"&amp;$N493&amp;"|"&amp;$O493&amp;"|"&amp;$P493&amp;"|"&amp;$Q493&amp;"|"&amp;$K493,PARAMETRES!$J$43:$J$342,0))="","",INDEX(PARAMETRES!$H$43:$H$342,MATCH($L493&amp;"|"&amp;$M493&amp;"|"&amp;$N493&amp;"|"&amp;$O493&amp;"|"&amp;$P493&amp;"|"&amp;$Q493&amp;"|"&amp;$K493,PARAMETRES!$J$43:$J$342,0))),""))</f>
        <v/>
      </c>
      <c r="S493" s="35">
        <f>IF(OR($G493="",$X493&lt;&gt;"VALIDE"),"",IFERROR(LOOKUP(2,1/(($B$3:$B492=$B493)*($G$3:$G492=$G493)*($X$3:$X492="VALIDE")),$C$3:$C492),""))</f>
        <v/>
      </c>
      <c r="T493" s="36">
        <f>IF(OR($C493="",$S493=""),"",ROUND(($C493-$S493+IF($C493&lt;$S493,1,0))*1440,0))</f>
        <v/>
      </c>
      <c r="U493" s="22">
        <f>IF(OR($H493="",$T493="",$T493&lt;=0),"",$H493*60/$T493)</f>
        <v/>
      </c>
      <c r="V493" s="37">
        <f>IF(OR($U493="",$R493="",$R493=0),"",$U493/$R493)</f>
        <v/>
      </c>
      <c r="W493" s="20">
        <f>IF($G493="","",IF($X493="CONTEXTE INCOMPLET","CONTEXTE INCOMPLET",IF($X493="DOUBLON",StatutDoublon,IF($S493="",StatutInitial,IF($R493="",StatutStandardManquant,IF($V493="","DONNEES INSUFFISANTES",IF($V493&gt;=SeuilConforme,StatutConforme,IF($V493&gt;=SeuilSurveiller,StatutSurveiller,StatutSousStandard))))))))</f>
        <v/>
      </c>
      <c r="X493" s="33">
        <f>IF($G493="","",IF(OR($D493="",$E493="",$F493=""),"CONTEXTE INCOMPLET",IF(COUNTIFS($D$3:$D492,$D493,$E$3:$E492,$E493,$F$3:$F492,$F493,$G$3:$G492,$G493)&gt;0,"DOUBLON","VALIDE")))</f>
        <v/>
      </c>
    </row>
    <row r="494" ht="15" customHeight="1">
      <c r="A494" s="12">
        <f>IF(OR($B494="",$G494=""),"",TEXT($B494,"YYYYMMDD")&amp;"-"&amp;SUBSTITUTE($E494," ","")&amp;"-"&amp;$F494&amp;"-"&amp;$G494)</f>
        <v/>
      </c>
      <c r="B494" s="15" t="n"/>
      <c r="C494" s="16" t="n"/>
      <c r="D494" s="10" t="n"/>
      <c r="E494" s="9" t="n"/>
      <c r="F494" s="9" t="n"/>
      <c r="G494" s="13" t="n"/>
      <c r="H494" s="21" t="n"/>
      <c r="I494" s="21" t="n"/>
      <c r="J494" s="17">
        <f>IF($G494="","",IFERROR(INDEX(NomsEmployes,MATCH($G494,MatriculesEmployes,0)),"MATRICULE INCONNU"))</f>
        <v/>
      </c>
      <c r="K494" s="33">
        <f>IF(OR($D494="",$F494=""),"",IFERROR(IF(INDEX(RUNS!$L$6:$S$1005,MATCH($D494,RUNS!$A$6:$A$1005,0),MATCH("ACTIVITÉ "&amp;$F494,RUNS!$L$5:$S$5,0))="","",INDEX(RUNS!$L$6:$S$1005,MATCH($D494,RUNS!$A$6:$A$1005,0),MATCH("ACTIVITÉ "&amp;$F494,RUNS!$L$5:$S$5,0))),""))</f>
        <v/>
      </c>
      <c r="L494" s="33">
        <f>IF($D494="","",IFERROR(IF(INDEX(RUNS!$E$6:$E$1005,MATCH($D494,RUNS!$A$6:$A$1005,0))="","",INDEX(RUNS!$E$6:$E$1005,MATCH($D494,RUNS!$A$6:$A$1005,0))),""))</f>
        <v/>
      </c>
      <c r="M494" s="33">
        <f>IF($D494="","",IFERROR(IF(INDEX(RUNS!$F$6:$F$1005,MATCH($D494,RUNS!$A$6:$A$1005,0))="","",INDEX(RUNS!$F$6:$F$1005,MATCH($D494,RUNS!$A$6:$A$1005,0))),""))</f>
        <v/>
      </c>
      <c r="N494" s="33">
        <f>IF($D494="","",IFERROR(IF(INDEX(RUNS!$G$6:$G$1005,MATCH($D494,RUNS!$A$6:$A$1005,0))="","",INDEX(RUNS!$G$6:$G$1005,MATCH($D494,RUNS!$A$6:$A$1005,0))),""))</f>
        <v/>
      </c>
      <c r="O494" s="33">
        <f>IF($D494="","",IFERROR(IF(INDEX(RUNS!$H$6:$H$1005,MATCH($D494,RUNS!$A$6:$A$1005,0))="","",INDEX(RUNS!$H$6:$H$1005,MATCH($D494,RUNS!$A$6:$A$1005,0))),""))</f>
        <v/>
      </c>
      <c r="P494" s="33">
        <f>IF($D494="","",IFERROR(IF(INDEX(RUNS!$J$6:$J$1005,MATCH($D494,RUNS!$A$6:$A$1005,0))="","",INDEX(RUNS!$J$6:$J$1005,MATCH($D494,RUNS!$A$6:$A$1005,0))),""))</f>
        <v/>
      </c>
      <c r="Q494" s="33">
        <f>IF($D494="","",IFERROR(IF(INDEX(RUNS!$K$6:$K$1005,MATCH($D494,RUNS!$A$6:$A$1005,0))="","",INDEX(RUNS!$K$6:$K$1005,MATCH($D494,RUNS!$A$6:$A$1005,0))),""))</f>
        <v/>
      </c>
      <c r="R494" s="34">
        <f>IF(OR($L494="",$K494=""),"",IFERROR(IF(INDEX(PARAMETRES!$H$43:$H$342,MATCH($L494&amp;"|"&amp;$M494&amp;"|"&amp;$N494&amp;"|"&amp;$O494&amp;"|"&amp;$P494&amp;"|"&amp;$Q494&amp;"|"&amp;$K494,PARAMETRES!$J$43:$J$342,0))="","",INDEX(PARAMETRES!$H$43:$H$342,MATCH($L494&amp;"|"&amp;$M494&amp;"|"&amp;$N494&amp;"|"&amp;$O494&amp;"|"&amp;$P494&amp;"|"&amp;$Q494&amp;"|"&amp;$K494,PARAMETRES!$J$43:$J$342,0))),""))</f>
        <v/>
      </c>
      <c r="S494" s="35">
        <f>IF(OR($G494="",$X494&lt;&gt;"VALIDE"),"",IFERROR(LOOKUP(2,1/(($B$3:$B493=$B494)*($G$3:$G493=$G494)*($X$3:$X493="VALIDE")),$C$3:$C493),""))</f>
        <v/>
      </c>
      <c r="T494" s="36">
        <f>IF(OR($C494="",$S494=""),"",ROUND(($C494-$S494+IF($C494&lt;$S494,1,0))*1440,0))</f>
        <v/>
      </c>
      <c r="U494" s="22">
        <f>IF(OR($H494="",$T494="",$T494&lt;=0),"",$H494*60/$T494)</f>
        <v/>
      </c>
      <c r="V494" s="37">
        <f>IF(OR($U494="",$R494="",$R494=0),"",$U494/$R494)</f>
        <v/>
      </c>
      <c r="W494" s="20">
        <f>IF($G494="","",IF($X494="CONTEXTE INCOMPLET","CONTEXTE INCOMPLET",IF($X494="DOUBLON",StatutDoublon,IF($S494="",StatutInitial,IF($R494="",StatutStandardManquant,IF($V494="","DONNEES INSUFFISANTES",IF($V494&gt;=SeuilConforme,StatutConforme,IF($V494&gt;=SeuilSurveiller,StatutSurveiller,StatutSousStandard))))))))</f>
        <v/>
      </c>
      <c r="X494" s="33">
        <f>IF($G494="","",IF(OR($D494="",$E494="",$F494=""),"CONTEXTE INCOMPLET",IF(COUNTIFS($D$3:$D493,$D494,$E$3:$E493,$E494,$F$3:$F493,$F494,$G$3:$G493,$G494)&gt;0,"DOUBLON","VALIDE")))</f>
        <v/>
      </c>
    </row>
    <row r="495" ht="15" customHeight="1">
      <c r="A495" s="12">
        <f>IF(OR($B495="",$G495=""),"",TEXT($B495,"YYYYMMDD")&amp;"-"&amp;SUBSTITUTE($E495," ","")&amp;"-"&amp;$F495&amp;"-"&amp;$G495)</f>
        <v/>
      </c>
      <c r="B495" s="15" t="n"/>
      <c r="C495" s="16" t="n"/>
      <c r="D495" s="10" t="n"/>
      <c r="E495" s="9" t="n"/>
      <c r="F495" s="9" t="n"/>
      <c r="G495" s="13" t="n"/>
      <c r="H495" s="21" t="n"/>
      <c r="I495" s="21" t="n"/>
      <c r="J495" s="17">
        <f>IF($G495="","",IFERROR(INDEX(NomsEmployes,MATCH($G495,MatriculesEmployes,0)),"MATRICULE INCONNU"))</f>
        <v/>
      </c>
      <c r="K495" s="33">
        <f>IF(OR($D495="",$F495=""),"",IFERROR(IF(INDEX(RUNS!$L$6:$S$1005,MATCH($D495,RUNS!$A$6:$A$1005,0),MATCH("ACTIVITÉ "&amp;$F495,RUNS!$L$5:$S$5,0))="","",INDEX(RUNS!$L$6:$S$1005,MATCH($D495,RUNS!$A$6:$A$1005,0),MATCH("ACTIVITÉ "&amp;$F495,RUNS!$L$5:$S$5,0))),""))</f>
        <v/>
      </c>
      <c r="L495" s="33">
        <f>IF($D495="","",IFERROR(IF(INDEX(RUNS!$E$6:$E$1005,MATCH($D495,RUNS!$A$6:$A$1005,0))="","",INDEX(RUNS!$E$6:$E$1005,MATCH($D495,RUNS!$A$6:$A$1005,0))),""))</f>
        <v/>
      </c>
      <c r="M495" s="33">
        <f>IF($D495="","",IFERROR(IF(INDEX(RUNS!$F$6:$F$1005,MATCH($D495,RUNS!$A$6:$A$1005,0))="","",INDEX(RUNS!$F$6:$F$1005,MATCH($D495,RUNS!$A$6:$A$1005,0))),""))</f>
        <v/>
      </c>
      <c r="N495" s="33">
        <f>IF($D495="","",IFERROR(IF(INDEX(RUNS!$G$6:$G$1005,MATCH($D495,RUNS!$A$6:$A$1005,0))="","",INDEX(RUNS!$G$6:$G$1005,MATCH($D495,RUNS!$A$6:$A$1005,0))),""))</f>
        <v/>
      </c>
      <c r="O495" s="33">
        <f>IF($D495="","",IFERROR(IF(INDEX(RUNS!$H$6:$H$1005,MATCH($D495,RUNS!$A$6:$A$1005,0))="","",INDEX(RUNS!$H$6:$H$1005,MATCH($D495,RUNS!$A$6:$A$1005,0))),""))</f>
        <v/>
      </c>
      <c r="P495" s="33">
        <f>IF($D495="","",IFERROR(IF(INDEX(RUNS!$J$6:$J$1005,MATCH($D495,RUNS!$A$6:$A$1005,0))="","",INDEX(RUNS!$J$6:$J$1005,MATCH($D495,RUNS!$A$6:$A$1005,0))),""))</f>
        <v/>
      </c>
      <c r="Q495" s="33">
        <f>IF($D495="","",IFERROR(IF(INDEX(RUNS!$K$6:$K$1005,MATCH($D495,RUNS!$A$6:$A$1005,0))="","",INDEX(RUNS!$K$6:$K$1005,MATCH($D495,RUNS!$A$6:$A$1005,0))),""))</f>
        <v/>
      </c>
      <c r="R495" s="34">
        <f>IF(OR($L495="",$K495=""),"",IFERROR(IF(INDEX(PARAMETRES!$H$43:$H$342,MATCH($L495&amp;"|"&amp;$M495&amp;"|"&amp;$N495&amp;"|"&amp;$O495&amp;"|"&amp;$P495&amp;"|"&amp;$Q495&amp;"|"&amp;$K495,PARAMETRES!$J$43:$J$342,0))="","",INDEX(PARAMETRES!$H$43:$H$342,MATCH($L495&amp;"|"&amp;$M495&amp;"|"&amp;$N495&amp;"|"&amp;$O495&amp;"|"&amp;$P495&amp;"|"&amp;$Q495&amp;"|"&amp;$K495,PARAMETRES!$J$43:$J$342,0))),""))</f>
        <v/>
      </c>
      <c r="S495" s="35">
        <f>IF(OR($G495="",$X495&lt;&gt;"VALIDE"),"",IFERROR(LOOKUP(2,1/(($B$3:$B494=$B495)*($G$3:$G494=$G495)*($X$3:$X494="VALIDE")),$C$3:$C494),""))</f>
        <v/>
      </c>
      <c r="T495" s="36">
        <f>IF(OR($C495="",$S495=""),"",ROUND(($C495-$S495+IF($C495&lt;$S495,1,0))*1440,0))</f>
        <v/>
      </c>
      <c r="U495" s="22">
        <f>IF(OR($H495="",$T495="",$T495&lt;=0),"",$H495*60/$T495)</f>
        <v/>
      </c>
      <c r="V495" s="37">
        <f>IF(OR($U495="",$R495="",$R495=0),"",$U495/$R495)</f>
        <v/>
      </c>
      <c r="W495" s="20">
        <f>IF($G495="","",IF($X495="CONTEXTE INCOMPLET","CONTEXTE INCOMPLET",IF($X495="DOUBLON",StatutDoublon,IF($S495="",StatutInitial,IF($R495="",StatutStandardManquant,IF($V495="","DONNEES INSUFFISANTES",IF($V495&gt;=SeuilConforme,StatutConforme,IF($V495&gt;=SeuilSurveiller,StatutSurveiller,StatutSousStandard))))))))</f>
        <v/>
      </c>
      <c r="X495" s="33">
        <f>IF($G495="","",IF(OR($D495="",$E495="",$F495=""),"CONTEXTE INCOMPLET",IF(COUNTIFS($D$3:$D494,$D495,$E$3:$E494,$E495,$F$3:$F494,$F495,$G$3:$G494,$G495)&gt;0,"DOUBLON","VALIDE")))</f>
        <v/>
      </c>
    </row>
    <row r="496" ht="15" customHeight="1">
      <c r="A496" s="12">
        <f>IF(OR($B496="",$G496=""),"",TEXT($B496,"YYYYMMDD")&amp;"-"&amp;SUBSTITUTE($E496," ","")&amp;"-"&amp;$F496&amp;"-"&amp;$G496)</f>
        <v/>
      </c>
      <c r="B496" s="15" t="n"/>
      <c r="C496" s="16" t="n"/>
      <c r="D496" s="10" t="n"/>
      <c r="E496" s="9" t="n"/>
      <c r="F496" s="9" t="n"/>
      <c r="G496" s="13" t="n"/>
      <c r="H496" s="21" t="n"/>
      <c r="I496" s="21" t="n"/>
      <c r="J496" s="17">
        <f>IF($G496="","",IFERROR(INDEX(NomsEmployes,MATCH($G496,MatriculesEmployes,0)),"MATRICULE INCONNU"))</f>
        <v/>
      </c>
      <c r="K496" s="33">
        <f>IF(OR($D496="",$F496=""),"",IFERROR(IF(INDEX(RUNS!$L$6:$S$1005,MATCH($D496,RUNS!$A$6:$A$1005,0),MATCH("ACTIVITÉ "&amp;$F496,RUNS!$L$5:$S$5,0))="","",INDEX(RUNS!$L$6:$S$1005,MATCH($D496,RUNS!$A$6:$A$1005,0),MATCH("ACTIVITÉ "&amp;$F496,RUNS!$L$5:$S$5,0))),""))</f>
        <v/>
      </c>
      <c r="L496" s="33">
        <f>IF($D496="","",IFERROR(IF(INDEX(RUNS!$E$6:$E$1005,MATCH($D496,RUNS!$A$6:$A$1005,0))="","",INDEX(RUNS!$E$6:$E$1005,MATCH($D496,RUNS!$A$6:$A$1005,0))),""))</f>
        <v/>
      </c>
      <c r="M496" s="33">
        <f>IF($D496="","",IFERROR(IF(INDEX(RUNS!$F$6:$F$1005,MATCH($D496,RUNS!$A$6:$A$1005,0))="","",INDEX(RUNS!$F$6:$F$1005,MATCH($D496,RUNS!$A$6:$A$1005,0))),""))</f>
        <v/>
      </c>
      <c r="N496" s="33">
        <f>IF($D496="","",IFERROR(IF(INDEX(RUNS!$G$6:$G$1005,MATCH($D496,RUNS!$A$6:$A$1005,0))="","",INDEX(RUNS!$G$6:$G$1005,MATCH($D496,RUNS!$A$6:$A$1005,0))),""))</f>
        <v/>
      </c>
      <c r="O496" s="33">
        <f>IF($D496="","",IFERROR(IF(INDEX(RUNS!$H$6:$H$1005,MATCH($D496,RUNS!$A$6:$A$1005,0))="","",INDEX(RUNS!$H$6:$H$1005,MATCH($D496,RUNS!$A$6:$A$1005,0))),""))</f>
        <v/>
      </c>
      <c r="P496" s="33">
        <f>IF($D496="","",IFERROR(IF(INDEX(RUNS!$J$6:$J$1005,MATCH($D496,RUNS!$A$6:$A$1005,0))="","",INDEX(RUNS!$J$6:$J$1005,MATCH($D496,RUNS!$A$6:$A$1005,0))),""))</f>
        <v/>
      </c>
      <c r="Q496" s="33">
        <f>IF($D496="","",IFERROR(IF(INDEX(RUNS!$K$6:$K$1005,MATCH($D496,RUNS!$A$6:$A$1005,0))="","",INDEX(RUNS!$K$6:$K$1005,MATCH($D496,RUNS!$A$6:$A$1005,0))),""))</f>
        <v/>
      </c>
      <c r="R496" s="34">
        <f>IF(OR($L496="",$K496=""),"",IFERROR(IF(INDEX(PARAMETRES!$H$43:$H$342,MATCH($L496&amp;"|"&amp;$M496&amp;"|"&amp;$N496&amp;"|"&amp;$O496&amp;"|"&amp;$P496&amp;"|"&amp;$Q496&amp;"|"&amp;$K496,PARAMETRES!$J$43:$J$342,0))="","",INDEX(PARAMETRES!$H$43:$H$342,MATCH($L496&amp;"|"&amp;$M496&amp;"|"&amp;$N496&amp;"|"&amp;$O496&amp;"|"&amp;$P496&amp;"|"&amp;$Q496&amp;"|"&amp;$K496,PARAMETRES!$J$43:$J$342,0))),""))</f>
        <v/>
      </c>
      <c r="S496" s="35">
        <f>IF(OR($G496="",$X496&lt;&gt;"VALIDE"),"",IFERROR(LOOKUP(2,1/(($B$3:$B495=$B496)*($G$3:$G495=$G496)*($X$3:$X495="VALIDE")),$C$3:$C495),""))</f>
        <v/>
      </c>
      <c r="T496" s="36">
        <f>IF(OR($C496="",$S496=""),"",ROUND(($C496-$S496+IF($C496&lt;$S496,1,0))*1440,0))</f>
        <v/>
      </c>
      <c r="U496" s="22">
        <f>IF(OR($H496="",$T496="",$T496&lt;=0),"",$H496*60/$T496)</f>
        <v/>
      </c>
      <c r="V496" s="37">
        <f>IF(OR($U496="",$R496="",$R496=0),"",$U496/$R496)</f>
        <v/>
      </c>
      <c r="W496" s="20">
        <f>IF($G496="","",IF($X496="CONTEXTE INCOMPLET","CONTEXTE INCOMPLET",IF($X496="DOUBLON",StatutDoublon,IF($S496="",StatutInitial,IF($R496="",StatutStandardManquant,IF($V496="","DONNEES INSUFFISANTES",IF($V496&gt;=SeuilConforme,StatutConforme,IF($V496&gt;=SeuilSurveiller,StatutSurveiller,StatutSousStandard))))))))</f>
        <v/>
      </c>
      <c r="X496" s="33">
        <f>IF($G496="","",IF(OR($D496="",$E496="",$F496=""),"CONTEXTE INCOMPLET",IF(COUNTIFS($D$3:$D495,$D496,$E$3:$E495,$E496,$F$3:$F495,$F496,$G$3:$G495,$G496)&gt;0,"DOUBLON","VALIDE")))</f>
        <v/>
      </c>
    </row>
    <row r="497" ht="15" customHeight="1">
      <c r="A497" s="12">
        <f>IF(OR($B497="",$G497=""),"",TEXT($B497,"YYYYMMDD")&amp;"-"&amp;SUBSTITUTE($E497," ","")&amp;"-"&amp;$F497&amp;"-"&amp;$G497)</f>
        <v/>
      </c>
      <c r="B497" s="15" t="n"/>
      <c r="C497" s="16" t="n"/>
      <c r="D497" s="10" t="n"/>
      <c r="E497" s="9" t="n"/>
      <c r="F497" s="9" t="n"/>
      <c r="G497" s="13" t="n"/>
      <c r="H497" s="21" t="n"/>
      <c r="I497" s="21" t="n"/>
      <c r="J497" s="17">
        <f>IF($G497="","",IFERROR(INDEX(NomsEmployes,MATCH($G497,MatriculesEmployes,0)),"MATRICULE INCONNU"))</f>
        <v/>
      </c>
      <c r="K497" s="33">
        <f>IF(OR($D497="",$F497=""),"",IFERROR(IF(INDEX(RUNS!$L$6:$S$1005,MATCH($D497,RUNS!$A$6:$A$1005,0),MATCH("ACTIVITÉ "&amp;$F497,RUNS!$L$5:$S$5,0))="","",INDEX(RUNS!$L$6:$S$1005,MATCH($D497,RUNS!$A$6:$A$1005,0),MATCH("ACTIVITÉ "&amp;$F497,RUNS!$L$5:$S$5,0))),""))</f>
        <v/>
      </c>
      <c r="L497" s="33">
        <f>IF($D497="","",IFERROR(IF(INDEX(RUNS!$E$6:$E$1005,MATCH($D497,RUNS!$A$6:$A$1005,0))="","",INDEX(RUNS!$E$6:$E$1005,MATCH($D497,RUNS!$A$6:$A$1005,0))),""))</f>
        <v/>
      </c>
      <c r="M497" s="33">
        <f>IF($D497="","",IFERROR(IF(INDEX(RUNS!$F$6:$F$1005,MATCH($D497,RUNS!$A$6:$A$1005,0))="","",INDEX(RUNS!$F$6:$F$1005,MATCH($D497,RUNS!$A$6:$A$1005,0))),""))</f>
        <v/>
      </c>
      <c r="N497" s="33">
        <f>IF($D497="","",IFERROR(IF(INDEX(RUNS!$G$6:$G$1005,MATCH($D497,RUNS!$A$6:$A$1005,0))="","",INDEX(RUNS!$G$6:$G$1005,MATCH($D497,RUNS!$A$6:$A$1005,0))),""))</f>
        <v/>
      </c>
      <c r="O497" s="33">
        <f>IF($D497="","",IFERROR(IF(INDEX(RUNS!$H$6:$H$1005,MATCH($D497,RUNS!$A$6:$A$1005,0))="","",INDEX(RUNS!$H$6:$H$1005,MATCH($D497,RUNS!$A$6:$A$1005,0))),""))</f>
        <v/>
      </c>
      <c r="P497" s="33">
        <f>IF($D497="","",IFERROR(IF(INDEX(RUNS!$J$6:$J$1005,MATCH($D497,RUNS!$A$6:$A$1005,0))="","",INDEX(RUNS!$J$6:$J$1005,MATCH($D497,RUNS!$A$6:$A$1005,0))),""))</f>
        <v/>
      </c>
      <c r="Q497" s="33">
        <f>IF($D497="","",IFERROR(IF(INDEX(RUNS!$K$6:$K$1005,MATCH($D497,RUNS!$A$6:$A$1005,0))="","",INDEX(RUNS!$K$6:$K$1005,MATCH($D497,RUNS!$A$6:$A$1005,0))),""))</f>
        <v/>
      </c>
      <c r="R497" s="34">
        <f>IF(OR($L497="",$K497=""),"",IFERROR(IF(INDEX(PARAMETRES!$H$43:$H$342,MATCH($L497&amp;"|"&amp;$M497&amp;"|"&amp;$N497&amp;"|"&amp;$O497&amp;"|"&amp;$P497&amp;"|"&amp;$Q497&amp;"|"&amp;$K497,PARAMETRES!$J$43:$J$342,0))="","",INDEX(PARAMETRES!$H$43:$H$342,MATCH($L497&amp;"|"&amp;$M497&amp;"|"&amp;$N497&amp;"|"&amp;$O497&amp;"|"&amp;$P497&amp;"|"&amp;$Q497&amp;"|"&amp;$K497,PARAMETRES!$J$43:$J$342,0))),""))</f>
        <v/>
      </c>
      <c r="S497" s="35">
        <f>IF(OR($G497="",$X497&lt;&gt;"VALIDE"),"",IFERROR(LOOKUP(2,1/(($B$3:$B496=$B497)*($G$3:$G496=$G497)*($X$3:$X496="VALIDE")),$C$3:$C496),""))</f>
        <v/>
      </c>
      <c r="T497" s="36">
        <f>IF(OR($C497="",$S497=""),"",ROUND(($C497-$S497+IF($C497&lt;$S497,1,0))*1440,0))</f>
        <v/>
      </c>
      <c r="U497" s="22">
        <f>IF(OR($H497="",$T497="",$T497&lt;=0),"",$H497*60/$T497)</f>
        <v/>
      </c>
      <c r="V497" s="37">
        <f>IF(OR($U497="",$R497="",$R497=0),"",$U497/$R497)</f>
        <v/>
      </c>
      <c r="W497" s="20">
        <f>IF($G497="","",IF($X497="CONTEXTE INCOMPLET","CONTEXTE INCOMPLET",IF($X497="DOUBLON",StatutDoublon,IF($S497="",StatutInitial,IF($R497="",StatutStandardManquant,IF($V497="","DONNEES INSUFFISANTES",IF($V497&gt;=SeuilConforme,StatutConforme,IF($V497&gt;=SeuilSurveiller,StatutSurveiller,StatutSousStandard))))))))</f>
        <v/>
      </c>
      <c r="X497" s="33">
        <f>IF($G497="","",IF(OR($D497="",$E497="",$F497=""),"CONTEXTE INCOMPLET",IF(COUNTIFS($D$3:$D496,$D497,$E$3:$E496,$E497,$F$3:$F496,$F497,$G$3:$G496,$G497)&gt;0,"DOUBLON","VALIDE")))</f>
        <v/>
      </c>
    </row>
    <row r="498" ht="15" customHeight="1">
      <c r="A498" s="12">
        <f>IF(OR($B498="",$G498=""),"",TEXT($B498,"YYYYMMDD")&amp;"-"&amp;SUBSTITUTE($E498," ","")&amp;"-"&amp;$F498&amp;"-"&amp;$G498)</f>
        <v/>
      </c>
      <c r="B498" s="15" t="n"/>
      <c r="C498" s="16" t="n"/>
      <c r="D498" s="10" t="n"/>
      <c r="E498" s="9" t="n"/>
      <c r="F498" s="9" t="n"/>
      <c r="G498" s="13" t="n"/>
      <c r="H498" s="21" t="n"/>
      <c r="I498" s="21" t="n"/>
      <c r="J498" s="17">
        <f>IF($G498="","",IFERROR(INDEX(NomsEmployes,MATCH($G498,MatriculesEmployes,0)),"MATRICULE INCONNU"))</f>
        <v/>
      </c>
      <c r="K498" s="33">
        <f>IF(OR($D498="",$F498=""),"",IFERROR(IF(INDEX(RUNS!$L$6:$S$1005,MATCH($D498,RUNS!$A$6:$A$1005,0),MATCH("ACTIVITÉ "&amp;$F498,RUNS!$L$5:$S$5,0))="","",INDEX(RUNS!$L$6:$S$1005,MATCH($D498,RUNS!$A$6:$A$1005,0),MATCH("ACTIVITÉ "&amp;$F498,RUNS!$L$5:$S$5,0))),""))</f>
        <v/>
      </c>
      <c r="L498" s="33">
        <f>IF($D498="","",IFERROR(IF(INDEX(RUNS!$E$6:$E$1005,MATCH($D498,RUNS!$A$6:$A$1005,0))="","",INDEX(RUNS!$E$6:$E$1005,MATCH($D498,RUNS!$A$6:$A$1005,0))),""))</f>
        <v/>
      </c>
      <c r="M498" s="33">
        <f>IF($D498="","",IFERROR(IF(INDEX(RUNS!$F$6:$F$1005,MATCH($D498,RUNS!$A$6:$A$1005,0))="","",INDEX(RUNS!$F$6:$F$1005,MATCH($D498,RUNS!$A$6:$A$1005,0))),""))</f>
        <v/>
      </c>
      <c r="N498" s="33">
        <f>IF($D498="","",IFERROR(IF(INDEX(RUNS!$G$6:$G$1005,MATCH($D498,RUNS!$A$6:$A$1005,0))="","",INDEX(RUNS!$G$6:$G$1005,MATCH($D498,RUNS!$A$6:$A$1005,0))),""))</f>
        <v/>
      </c>
      <c r="O498" s="33">
        <f>IF($D498="","",IFERROR(IF(INDEX(RUNS!$H$6:$H$1005,MATCH($D498,RUNS!$A$6:$A$1005,0))="","",INDEX(RUNS!$H$6:$H$1005,MATCH($D498,RUNS!$A$6:$A$1005,0))),""))</f>
        <v/>
      </c>
      <c r="P498" s="33">
        <f>IF($D498="","",IFERROR(IF(INDEX(RUNS!$J$6:$J$1005,MATCH($D498,RUNS!$A$6:$A$1005,0))="","",INDEX(RUNS!$J$6:$J$1005,MATCH($D498,RUNS!$A$6:$A$1005,0))),""))</f>
        <v/>
      </c>
      <c r="Q498" s="33">
        <f>IF($D498="","",IFERROR(IF(INDEX(RUNS!$K$6:$K$1005,MATCH($D498,RUNS!$A$6:$A$1005,0))="","",INDEX(RUNS!$K$6:$K$1005,MATCH($D498,RUNS!$A$6:$A$1005,0))),""))</f>
        <v/>
      </c>
      <c r="R498" s="34">
        <f>IF(OR($L498="",$K498=""),"",IFERROR(IF(INDEX(PARAMETRES!$H$43:$H$342,MATCH($L498&amp;"|"&amp;$M498&amp;"|"&amp;$N498&amp;"|"&amp;$O498&amp;"|"&amp;$P498&amp;"|"&amp;$Q498&amp;"|"&amp;$K498,PARAMETRES!$J$43:$J$342,0))="","",INDEX(PARAMETRES!$H$43:$H$342,MATCH($L498&amp;"|"&amp;$M498&amp;"|"&amp;$N498&amp;"|"&amp;$O498&amp;"|"&amp;$P498&amp;"|"&amp;$Q498&amp;"|"&amp;$K498,PARAMETRES!$J$43:$J$342,0))),""))</f>
        <v/>
      </c>
      <c r="S498" s="35">
        <f>IF(OR($G498="",$X498&lt;&gt;"VALIDE"),"",IFERROR(LOOKUP(2,1/(($B$3:$B497=$B498)*($G$3:$G497=$G498)*($X$3:$X497="VALIDE")),$C$3:$C497),""))</f>
        <v/>
      </c>
      <c r="T498" s="36">
        <f>IF(OR($C498="",$S498=""),"",ROUND(($C498-$S498+IF($C498&lt;$S498,1,0))*1440,0))</f>
        <v/>
      </c>
      <c r="U498" s="22">
        <f>IF(OR($H498="",$T498="",$T498&lt;=0),"",$H498*60/$T498)</f>
        <v/>
      </c>
      <c r="V498" s="37">
        <f>IF(OR($U498="",$R498="",$R498=0),"",$U498/$R498)</f>
        <v/>
      </c>
      <c r="W498" s="20">
        <f>IF($G498="","",IF($X498="CONTEXTE INCOMPLET","CONTEXTE INCOMPLET",IF($X498="DOUBLON",StatutDoublon,IF($S498="",StatutInitial,IF($R498="",StatutStandardManquant,IF($V498="","DONNEES INSUFFISANTES",IF($V498&gt;=SeuilConforme,StatutConforme,IF($V498&gt;=SeuilSurveiller,StatutSurveiller,StatutSousStandard))))))))</f>
        <v/>
      </c>
      <c r="X498" s="33">
        <f>IF($G498="","",IF(OR($D498="",$E498="",$F498=""),"CONTEXTE INCOMPLET",IF(COUNTIFS($D$3:$D497,$D498,$E$3:$E497,$E498,$F$3:$F497,$F498,$G$3:$G497,$G498)&gt;0,"DOUBLON","VALIDE")))</f>
        <v/>
      </c>
    </row>
    <row r="499" ht="15" customHeight="1">
      <c r="A499" s="12">
        <f>IF(OR($B499="",$G499=""),"",TEXT($B499,"YYYYMMDD")&amp;"-"&amp;SUBSTITUTE($E499," ","")&amp;"-"&amp;$F499&amp;"-"&amp;$G499)</f>
        <v/>
      </c>
      <c r="B499" s="15" t="n"/>
      <c r="C499" s="16" t="n"/>
      <c r="D499" s="10" t="n"/>
      <c r="E499" s="9" t="n"/>
      <c r="F499" s="9" t="n"/>
      <c r="G499" s="13" t="n"/>
      <c r="H499" s="21" t="n"/>
      <c r="I499" s="21" t="n"/>
      <c r="J499" s="17">
        <f>IF($G499="","",IFERROR(INDEX(NomsEmployes,MATCH($G499,MatriculesEmployes,0)),"MATRICULE INCONNU"))</f>
        <v/>
      </c>
      <c r="K499" s="33">
        <f>IF(OR($D499="",$F499=""),"",IFERROR(IF(INDEX(RUNS!$L$6:$S$1005,MATCH($D499,RUNS!$A$6:$A$1005,0),MATCH("ACTIVITÉ "&amp;$F499,RUNS!$L$5:$S$5,0))="","",INDEX(RUNS!$L$6:$S$1005,MATCH($D499,RUNS!$A$6:$A$1005,0),MATCH("ACTIVITÉ "&amp;$F499,RUNS!$L$5:$S$5,0))),""))</f>
        <v/>
      </c>
      <c r="L499" s="33">
        <f>IF($D499="","",IFERROR(IF(INDEX(RUNS!$E$6:$E$1005,MATCH($D499,RUNS!$A$6:$A$1005,0))="","",INDEX(RUNS!$E$6:$E$1005,MATCH($D499,RUNS!$A$6:$A$1005,0))),""))</f>
        <v/>
      </c>
      <c r="M499" s="33">
        <f>IF($D499="","",IFERROR(IF(INDEX(RUNS!$F$6:$F$1005,MATCH($D499,RUNS!$A$6:$A$1005,0))="","",INDEX(RUNS!$F$6:$F$1005,MATCH($D499,RUNS!$A$6:$A$1005,0))),""))</f>
        <v/>
      </c>
      <c r="N499" s="33">
        <f>IF($D499="","",IFERROR(IF(INDEX(RUNS!$G$6:$G$1005,MATCH($D499,RUNS!$A$6:$A$1005,0))="","",INDEX(RUNS!$G$6:$G$1005,MATCH($D499,RUNS!$A$6:$A$1005,0))),""))</f>
        <v/>
      </c>
      <c r="O499" s="33">
        <f>IF($D499="","",IFERROR(IF(INDEX(RUNS!$H$6:$H$1005,MATCH($D499,RUNS!$A$6:$A$1005,0))="","",INDEX(RUNS!$H$6:$H$1005,MATCH($D499,RUNS!$A$6:$A$1005,0))),""))</f>
        <v/>
      </c>
      <c r="P499" s="33">
        <f>IF($D499="","",IFERROR(IF(INDEX(RUNS!$J$6:$J$1005,MATCH($D499,RUNS!$A$6:$A$1005,0))="","",INDEX(RUNS!$J$6:$J$1005,MATCH($D499,RUNS!$A$6:$A$1005,0))),""))</f>
        <v/>
      </c>
      <c r="Q499" s="33">
        <f>IF($D499="","",IFERROR(IF(INDEX(RUNS!$K$6:$K$1005,MATCH($D499,RUNS!$A$6:$A$1005,0))="","",INDEX(RUNS!$K$6:$K$1005,MATCH($D499,RUNS!$A$6:$A$1005,0))),""))</f>
        <v/>
      </c>
      <c r="R499" s="34">
        <f>IF(OR($L499="",$K499=""),"",IFERROR(IF(INDEX(PARAMETRES!$H$43:$H$342,MATCH($L499&amp;"|"&amp;$M499&amp;"|"&amp;$N499&amp;"|"&amp;$O499&amp;"|"&amp;$P499&amp;"|"&amp;$Q499&amp;"|"&amp;$K499,PARAMETRES!$J$43:$J$342,0))="","",INDEX(PARAMETRES!$H$43:$H$342,MATCH($L499&amp;"|"&amp;$M499&amp;"|"&amp;$N499&amp;"|"&amp;$O499&amp;"|"&amp;$P499&amp;"|"&amp;$Q499&amp;"|"&amp;$K499,PARAMETRES!$J$43:$J$342,0))),""))</f>
        <v/>
      </c>
      <c r="S499" s="35">
        <f>IF(OR($G499="",$X499&lt;&gt;"VALIDE"),"",IFERROR(LOOKUP(2,1/(($B$3:$B498=$B499)*($G$3:$G498=$G499)*($X$3:$X498="VALIDE")),$C$3:$C498),""))</f>
        <v/>
      </c>
      <c r="T499" s="36">
        <f>IF(OR($C499="",$S499=""),"",ROUND(($C499-$S499+IF($C499&lt;$S499,1,0))*1440,0))</f>
        <v/>
      </c>
      <c r="U499" s="22">
        <f>IF(OR($H499="",$T499="",$T499&lt;=0),"",$H499*60/$T499)</f>
        <v/>
      </c>
      <c r="V499" s="37">
        <f>IF(OR($U499="",$R499="",$R499=0),"",$U499/$R499)</f>
        <v/>
      </c>
      <c r="W499" s="20">
        <f>IF($G499="","",IF($X499="CONTEXTE INCOMPLET","CONTEXTE INCOMPLET",IF($X499="DOUBLON",StatutDoublon,IF($S499="",StatutInitial,IF($R499="",StatutStandardManquant,IF($V499="","DONNEES INSUFFISANTES",IF($V499&gt;=SeuilConforme,StatutConforme,IF($V499&gt;=SeuilSurveiller,StatutSurveiller,StatutSousStandard))))))))</f>
        <v/>
      </c>
      <c r="X499" s="33">
        <f>IF($G499="","",IF(OR($D499="",$E499="",$F499=""),"CONTEXTE INCOMPLET",IF(COUNTIFS($D$3:$D498,$D499,$E$3:$E498,$E499,$F$3:$F498,$F499,$G$3:$G498,$G499)&gt;0,"DOUBLON","VALIDE")))</f>
        <v/>
      </c>
    </row>
    <row r="500" ht="15" customHeight="1">
      <c r="A500" s="12">
        <f>IF(OR($B500="",$G500=""),"",TEXT($B500,"YYYYMMDD")&amp;"-"&amp;SUBSTITUTE($E500," ","")&amp;"-"&amp;$F500&amp;"-"&amp;$G500)</f>
        <v/>
      </c>
      <c r="B500" s="15" t="n"/>
      <c r="C500" s="16" t="n"/>
      <c r="D500" s="10" t="n"/>
      <c r="E500" s="9" t="n"/>
      <c r="F500" s="9" t="n"/>
      <c r="G500" s="13" t="n"/>
      <c r="H500" s="21" t="n"/>
      <c r="I500" s="21" t="n"/>
      <c r="J500" s="17">
        <f>IF($G500="","",IFERROR(INDEX(NomsEmployes,MATCH($G500,MatriculesEmployes,0)),"MATRICULE INCONNU"))</f>
        <v/>
      </c>
      <c r="K500" s="33">
        <f>IF(OR($D500="",$F500=""),"",IFERROR(IF(INDEX(RUNS!$L$6:$S$1005,MATCH($D500,RUNS!$A$6:$A$1005,0),MATCH("ACTIVITÉ "&amp;$F500,RUNS!$L$5:$S$5,0))="","",INDEX(RUNS!$L$6:$S$1005,MATCH($D500,RUNS!$A$6:$A$1005,0),MATCH("ACTIVITÉ "&amp;$F500,RUNS!$L$5:$S$5,0))),""))</f>
        <v/>
      </c>
      <c r="L500" s="33">
        <f>IF($D500="","",IFERROR(IF(INDEX(RUNS!$E$6:$E$1005,MATCH($D500,RUNS!$A$6:$A$1005,0))="","",INDEX(RUNS!$E$6:$E$1005,MATCH($D500,RUNS!$A$6:$A$1005,0))),""))</f>
        <v/>
      </c>
      <c r="M500" s="33">
        <f>IF($D500="","",IFERROR(IF(INDEX(RUNS!$F$6:$F$1005,MATCH($D500,RUNS!$A$6:$A$1005,0))="","",INDEX(RUNS!$F$6:$F$1005,MATCH($D500,RUNS!$A$6:$A$1005,0))),""))</f>
        <v/>
      </c>
      <c r="N500" s="33">
        <f>IF($D500="","",IFERROR(IF(INDEX(RUNS!$G$6:$G$1005,MATCH($D500,RUNS!$A$6:$A$1005,0))="","",INDEX(RUNS!$G$6:$G$1005,MATCH($D500,RUNS!$A$6:$A$1005,0))),""))</f>
        <v/>
      </c>
      <c r="O500" s="33">
        <f>IF($D500="","",IFERROR(IF(INDEX(RUNS!$H$6:$H$1005,MATCH($D500,RUNS!$A$6:$A$1005,0))="","",INDEX(RUNS!$H$6:$H$1005,MATCH($D500,RUNS!$A$6:$A$1005,0))),""))</f>
        <v/>
      </c>
      <c r="P500" s="33">
        <f>IF($D500="","",IFERROR(IF(INDEX(RUNS!$J$6:$J$1005,MATCH($D500,RUNS!$A$6:$A$1005,0))="","",INDEX(RUNS!$J$6:$J$1005,MATCH($D500,RUNS!$A$6:$A$1005,0))),""))</f>
        <v/>
      </c>
      <c r="Q500" s="33">
        <f>IF($D500="","",IFERROR(IF(INDEX(RUNS!$K$6:$K$1005,MATCH($D500,RUNS!$A$6:$A$1005,0))="","",INDEX(RUNS!$K$6:$K$1005,MATCH($D500,RUNS!$A$6:$A$1005,0))),""))</f>
        <v/>
      </c>
      <c r="R500" s="34">
        <f>IF(OR($L500="",$K500=""),"",IFERROR(IF(INDEX(PARAMETRES!$H$43:$H$342,MATCH($L500&amp;"|"&amp;$M500&amp;"|"&amp;$N500&amp;"|"&amp;$O500&amp;"|"&amp;$P500&amp;"|"&amp;$Q500&amp;"|"&amp;$K500,PARAMETRES!$J$43:$J$342,0))="","",INDEX(PARAMETRES!$H$43:$H$342,MATCH($L500&amp;"|"&amp;$M500&amp;"|"&amp;$N500&amp;"|"&amp;$O500&amp;"|"&amp;$P500&amp;"|"&amp;$Q500&amp;"|"&amp;$K500,PARAMETRES!$J$43:$J$342,0))),""))</f>
        <v/>
      </c>
      <c r="S500" s="35">
        <f>IF(OR($G500="",$X500&lt;&gt;"VALIDE"),"",IFERROR(LOOKUP(2,1/(($B$3:$B499=$B500)*($G$3:$G499=$G500)*($X$3:$X499="VALIDE")),$C$3:$C499),""))</f>
        <v/>
      </c>
      <c r="T500" s="36">
        <f>IF(OR($C500="",$S500=""),"",ROUND(($C500-$S500+IF($C500&lt;$S500,1,0))*1440,0))</f>
        <v/>
      </c>
      <c r="U500" s="22">
        <f>IF(OR($H500="",$T500="",$T500&lt;=0),"",$H500*60/$T500)</f>
        <v/>
      </c>
      <c r="V500" s="37">
        <f>IF(OR($U500="",$R500="",$R500=0),"",$U500/$R500)</f>
        <v/>
      </c>
      <c r="W500" s="20">
        <f>IF($G500="","",IF($X500="CONTEXTE INCOMPLET","CONTEXTE INCOMPLET",IF($X500="DOUBLON",StatutDoublon,IF($S500="",StatutInitial,IF($R500="",StatutStandardManquant,IF($V500="","DONNEES INSUFFISANTES",IF($V500&gt;=SeuilConforme,StatutConforme,IF($V500&gt;=SeuilSurveiller,StatutSurveiller,StatutSousStandard))))))))</f>
        <v/>
      </c>
      <c r="X500" s="33">
        <f>IF($G500="","",IF(OR($D500="",$E500="",$F500=""),"CONTEXTE INCOMPLET",IF(COUNTIFS($D$3:$D499,$D500,$E$3:$E499,$E500,$F$3:$F499,$F500,$G$3:$G499,$G500)&gt;0,"DOUBLON","VALIDE")))</f>
        <v/>
      </c>
    </row>
    <row r="501" ht="15" customHeight="1">
      <c r="A501" s="12">
        <f>IF(OR($B501="",$G501=""),"",TEXT($B501,"YYYYMMDD")&amp;"-"&amp;SUBSTITUTE($E501," ","")&amp;"-"&amp;$F501&amp;"-"&amp;$G501)</f>
        <v/>
      </c>
      <c r="B501" s="15" t="n"/>
      <c r="C501" s="16" t="n"/>
      <c r="D501" s="10" t="n"/>
      <c r="E501" s="9" t="n"/>
      <c r="F501" s="9" t="n"/>
      <c r="G501" s="13" t="n"/>
      <c r="H501" s="21" t="n"/>
      <c r="I501" s="21" t="n"/>
      <c r="J501" s="17">
        <f>IF($G501="","",IFERROR(INDEX(NomsEmployes,MATCH($G501,MatriculesEmployes,0)),"MATRICULE INCONNU"))</f>
        <v/>
      </c>
      <c r="K501" s="33">
        <f>IF(OR($D501="",$F501=""),"",IFERROR(IF(INDEX(RUNS!$L$6:$S$1005,MATCH($D501,RUNS!$A$6:$A$1005,0),MATCH("ACTIVITÉ "&amp;$F501,RUNS!$L$5:$S$5,0))="","",INDEX(RUNS!$L$6:$S$1005,MATCH($D501,RUNS!$A$6:$A$1005,0),MATCH("ACTIVITÉ "&amp;$F501,RUNS!$L$5:$S$5,0))),""))</f>
        <v/>
      </c>
      <c r="L501" s="33">
        <f>IF($D501="","",IFERROR(IF(INDEX(RUNS!$E$6:$E$1005,MATCH($D501,RUNS!$A$6:$A$1005,0))="","",INDEX(RUNS!$E$6:$E$1005,MATCH($D501,RUNS!$A$6:$A$1005,0))),""))</f>
        <v/>
      </c>
      <c r="M501" s="33">
        <f>IF($D501="","",IFERROR(IF(INDEX(RUNS!$F$6:$F$1005,MATCH($D501,RUNS!$A$6:$A$1005,0))="","",INDEX(RUNS!$F$6:$F$1005,MATCH($D501,RUNS!$A$6:$A$1005,0))),""))</f>
        <v/>
      </c>
      <c r="N501" s="33">
        <f>IF($D501="","",IFERROR(IF(INDEX(RUNS!$G$6:$G$1005,MATCH($D501,RUNS!$A$6:$A$1005,0))="","",INDEX(RUNS!$G$6:$G$1005,MATCH($D501,RUNS!$A$6:$A$1005,0))),""))</f>
        <v/>
      </c>
      <c r="O501" s="33">
        <f>IF($D501="","",IFERROR(IF(INDEX(RUNS!$H$6:$H$1005,MATCH($D501,RUNS!$A$6:$A$1005,0))="","",INDEX(RUNS!$H$6:$H$1005,MATCH($D501,RUNS!$A$6:$A$1005,0))),""))</f>
        <v/>
      </c>
      <c r="P501" s="33">
        <f>IF($D501="","",IFERROR(IF(INDEX(RUNS!$J$6:$J$1005,MATCH($D501,RUNS!$A$6:$A$1005,0))="","",INDEX(RUNS!$J$6:$J$1005,MATCH($D501,RUNS!$A$6:$A$1005,0))),""))</f>
        <v/>
      </c>
      <c r="Q501" s="33">
        <f>IF($D501="","",IFERROR(IF(INDEX(RUNS!$K$6:$K$1005,MATCH($D501,RUNS!$A$6:$A$1005,0))="","",INDEX(RUNS!$K$6:$K$1005,MATCH($D501,RUNS!$A$6:$A$1005,0))),""))</f>
        <v/>
      </c>
      <c r="R501" s="34">
        <f>IF(OR($L501="",$K501=""),"",IFERROR(IF(INDEX(PARAMETRES!$H$43:$H$342,MATCH($L501&amp;"|"&amp;$M501&amp;"|"&amp;$N501&amp;"|"&amp;$O501&amp;"|"&amp;$P501&amp;"|"&amp;$Q501&amp;"|"&amp;$K501,PARAMETRES!$J$43:$J$342,0))="","",INDEX(PARAMETRES!$H$43:$H$342,MATCH($L501&amp;"|"&amp;$M501&amp;"|"&amp;$N501&amp;"|"&amp;$O501&amp;"|"&amp;$P501&amp;"|"&amp;$Q501&amp;"|"&amp;$K501,PARAMETRES!$J$43:$J$342,0))),""))</f>
        <v/>
      </c>
      <c r="S501" s="35">
        <f>IF(OR($G501="",$X501&lt;&gt;"VALIDE"),"",IFERROR(LOOKUP(2,1/(($B$3:$B500=$B501)*($G$3:$G500=$G501)*($X$3:$X500="VALIDE")),$C$3:$C500),""))</f>
        <v/>
      </c>
      <c r="T501" s="36">
        <f>IF(OR($C501="",$S501=""),"",ROUND(($C501-$S501+IF($C501&lt;$S501,1,0))*1440,0))</f>
        <v/>
      </c>
      <c r="U501" s="22">
        <f>IF(OR($H501="",$T501="",$T501&lt;=0),"",$H501*60/$T501)</f>
        <v/>
      </c>
      <c r="V501" s="37">
        <f>IF(OR($U501="",$R501="",$R501=0),"",$U501/$R501)</f>
        <v/>
      </c>
      <c r="W501" s="20">
        <f>IF($G501="","",IF($X501="CONTEXTE INCOMPLET","CONTEXTE INCOMPLET",IF($X501="DOUBLON",StatutDoublon,IF($S501="",StatutInitial,IF($R501="",StatutStandardManquant,IF($V501="","DONNEES INSUFFISANTES",IF($V501&gt;=SeuilConforme,StatutConforme,IF($V501&gt;=SeuilSurveiller,StatutSurveiller,StatutSousStandard))))))))</f>
        <v/>
      </c>
      <c r="X501" s="33">
        <f>IF($G501="","",IF(OR($D501="",$E501="",$F501=""),"CONTEXTE INCOMPLET",IF(COUNTIFS($D$3:$D500,$D501,$E$3:$E500,$E501,$F$3:$F500,$F501,$G$3:$G500,$G501)&gt;0,"DOUBLON","VALIDE")))</f>
        <v/>
      </c>
    </row>
    <row r="502" ht="15" customHeight="1">
      <c r="A502" s="12">
        <f>IF(OR($B502="",$G502=""),"",TEXT($B502,"YYYYMMDD")&amp;"-"&amp;SUBSTITUTE($E502," ","")&amp;"-"&amp;$F502&amp;"-"&amp;$G502)</f>
        <v/>
      </c>
      <c r="B502" s="15" t="n"/>
      <c r="C502" s="16" t="n"/>
      <c r="D502" s="10" t="n"/>
      <c r="E502" s="9" t="n"/>
      <c r="F502" s="9" t="n"/>
      <c r="G502" s="13" t="n"/>
      <c r="H502" s="21" t="n"/>
      <c r="I502" s="21" t="n"/>
      <c r="J502" s="17">
        <f>IF($G502="","",IFERROR(INDEX(NomsEmployes,MATCH($G502,MatriculesEmployes,0)),"MATRICULE INCONNU"))</f>
        <v/>
      </c>
      <c r="K502" s="33">
        <f>IF(OR($D502="",$F502=""),"",IFERROR(IF(INDEX(RUNS!$L$6:$S$1005,MATCH($D502,RUNS!$A$6:$A$1005,0),MATCH("ACTIVITÉ "&amp;$F502,RUNS!$L$5:$S$5,0))="","",INDEX(RUNS!$L$6:$S$1005,MATCH($D502,RUNS!$A$6:$A$1005,0),MATCH("ACTIVITÉ "&amp;$F502,RUNS!$L$5:$S$5,0))),""))</f>
        <v/>
      </c>
      <c r="L502" s="33">
        <f>IF($D502="","",IFERROR(IF(INDEX(RUNS!$E$6:$E$1005,MATCH($D502,RUNS!$A$6:$A$1005,0))="","",INDEX(RUNS!$E$6:$E$1005,MATCH($D502,RUNS!$A$6:$A$1005,0))),""))</f>
        <v/>
      </c>
      <c r="M502" s="33">
        <f>IF($D502="","",IFERROR(IF(INDEX(RUNS!$F$6:$F$1005,MATCH($D502,RUNS!$A$6:$A$1005,0))="","",INDEX(RUNS!$F$6:$F$1005,MATCH($D502,RUNS!$A$6:$A$1005,0))),""))</f>
        <v/>
      </c>
      <c r="N502" s="33">
        <f>IF($D502="","",IFERROR(IF(INDEX(RUNS!$G$6:$G$1005,MATCH($D502,RUNS!$A$6:$A$1005,0))="","",INDEX(RUNS!$G$6:$G$1005,MATCH($D502,RUNS!$A$6:$A$1005,0))),""))</f>
        <v/>
      </c>
      <c r="O502" s="33">
        <f>IF($D502="","",IFERROR(IF(INDEX(RUNS!$H$6:$H$1005,MATCH($D502,RUNS!$A$6:$A$1005,0))="","",INDEX(RUNS!$H$6:$H$1005,MATCH($D502,RUNS!$A$6:$A$1005,0))),""))</f>
        <v/>
      </c>
      <c r="P502" s="33">
        <f>IF($D502="","",IFERROR(IF(INDEX(RUNS!$J$6:$J$1005,MATCH($D502,RUNS!$A$6:$A$1005,0))="","",INDEX(RUNS!$J$6:$J$1005,MATCH($D502,RUNS!$A$6:$A$1005,0))),""))</f>
        <v/>
      </c>
      <c r="Q502" s="33">
        <f>IF($D502="","",IFERROR(IF(INDEX(RUNS!$K$6:$K$1005,MATCH($D502,RUNS!$A$6:$A$1005,0))="","",INDEX(RUNS!$K$6:$K$1005,MATCH($D502,RUNS!$A$6:$A$1005,0))),""))</f>
        <v/>
      </c>
      <c r="R502" s="34">
        <f>IF(OR($L502="",$K502=""),"",IFERROR(IF(INDEX(PARAMETRES!$H$43:$H$342,MATCH($L502&amp;"|"&amp;$M502&amp;"|"&amp;$N502&amp;"|"&amp;$O502&amp;"|"&amp;$P502&amp;"|"&amp;$Q502&amp;"|"&amp;$K502,PARAMETRES!$J$43:$J$342,0))="","",INDEX(PARAMETRES!$H$43:$H$342,MATCH($L502&amp;"|"&amp;$M502&amp;"|"&amp;$N502&amp;"|"&amp;$O502&amp;"|"&amp;$P502&amp;"|"&amp;$Q502&amp;"|"&amp;$K502,PARAMETRES!$J$43:$J$342,0))),""))</f>
        <v/>
      </c>
      <c r="S502" s="35">
        <f>IF(OR($G502="",$X502&lt;&gt;"VALIDE"),"",IFERROR(LOOKUP(2,1/(($B$3:$B501=$B502)*($G$3:$G501=$G502)*($X$3:$X501="VALIDE")),$C$3:$C501),""))</f>
        <v/>
      </c>
      <c r="T502" s="36">
        <f>IF(OR($C502="",$S502=""),"",ROUND(($C502-$S502+IF($C502&lt;$S502,1,0))*1440,0))</f>
        <v/>
      </c>
      <c r="U502" s="22">
        <f>IF(OR($H502="",$T502="",$T502&lt;=0),"",$H502*60/$T502)</f>
        <v/>
      </c>
      <c r="V502" s="37">
        <f>IF(OR($U502="",$R502="",$R502=0),"",$U502/$R502)</f>
        <v/>
      </c>
      <c r="W502" s="20">
        <f>IF($G502="","",IF($X502="CONTEXTE INCOMPLET","CONTEXTE INCOMPLET",IF($X502="DOUBLON",StatutDoublon,IF($S502="",StatutInitial,IF($R502="",StatutStandardManquant,IF($V502="","DONNEES INSUFFISANTES",IF($V502&gt;=SeuilConforme,StatutConforme,IF($V502&gt;=SeuilSurveiller,StatutSurveiller,StatutSousStandard))))))))</f>
        <v/>
      </c>
      <c r="X502" s="33">
        <f>IF($G502="","",IF(OR($D502="",$E502="",$F502=""),"CONTEXTE INCOMPLET",IF(COUNTIFS($D$3:$D501,$D502,$E$3:$E501,$E502,$F$3:$F501,$F502,$G$3:$G501,$G502)&gt;0,"DOUBLON","VALIDE")))</f>
        <v/>
      </c>
    </row>
    <row r="503" ht="15" customHeight="1">
      <c r="A503" s="12">
        <f>IF(OR($B503="",$G503=""),"",TEXT($B503,"YYYYMMDD")&amp;"-"&amp;SUBSTITUTE($E503," ","")&amp;"-"&amp;$F503&amp;"-"&amp;$G503)</f>
        <v/>
      </c>
      <c r="B503" s="15" t="n"/>
      <c r="C503" s="16" t="n"/>
      <c r="D503" s="10" t="n"/>
      <c r="E503" s="9" t="n"/>
      <c r="F503" s="9" t="n"/>
      <c r="G503" s="13" t="n"/>
      <c r="H503" s="21" t="n"/>
      <c r="I503" s="21" t="n"/>
      <c r="J503" s="17">
        <f>IF($G503="","",IFERROR(INDEX(NomsEmployes,MATCH($G503,MatriculesEmployes,0)),"MATRICULE INCONNU"))</f>
        <v/>
      </c>
      <c r="K503" s="33">
        <f>IF(OR($D503="",$F503=""),"",IFERROR(IF(INDEX(RUNS!$L$6:$S$1005,MATCH($D503,RUNS!$A$6:$A$1005,0),MATCH("ACTIVITÉ "&amp;$F503,RUNS!$L$5:$S$5,0))="","",INDEX(RUNS!$L$6:$S$1005,MATCH($D503,RUNS!$A$6:$A$1005,0),MATCH("ACTIVITÉ "&amp;$F503,RUNS!$L$5:$S$5,0))),""))</f>
        <v/>
      </c>
      <c r="L503" s="33">
        <f>IF($D503="","",IFERROR(IF(INDEX(RUNS!$E$6:$E$1005,MATCH($D503,RUNS!$A$6:$A$1005,0))="","",INDEX(RUNS!$E$6:$E$1005,MATCH($D503,RUNS!$A$6:$A$1005,0))),""))</f>
        <v/>
      </c>
      <c r="M503" s="33">
        <f>IF($D503="","",IFERROR(IF(INDEX(RUNS!$F$6:$F$1005,MATCH($D503,RUNS!$A$6:$A$1005,0))="","",INDEX(RUNS!$F$6:$F$1005,MATCH($D503,RUNS!$A$6:$A$1005,0))),""))</f>
        <v/>
      </c>
      <c r="N503" s="33">
        <f>IF($D503="","",IFERROR(IF(INDEX(RUNS!$G$6:$G$1005,MATCH($D503,RUNS!$A$6:$A$1005,0))="","",INDEX(RUNS!$G$6:$G$1005,MATCH($D503,RUNS!$A$6:$A$1005,0))),""))</f>
        <v/>
      </c>
      <c r="O503" s="33">
        <f>IF($D503="","",IFERROR(IF(INDEX(RUNS!$H$6:$H$1005,MATCH($D503,RUNS!$A$6:$A$1005,0))="","",INDEX(RUNS!$H$6:$H$1005,MATCH($D503,RUNS!$A$6:$A$1005,0))),""))</f>
        <v/>
      </c>
      <c r="P503" s="33">
        <f>IF($D503="","",IFERROR(IF(INDEX(RUNS!$J$6:$J$1005,MATCH($D503,RUNS!$A$6:$A$1005,0))="","",INDEX(RUNS!$J$6:$J$1005,MATCH($D503,RUNS!$A$6:$A$1005,0))),""))</f>
        <v/>
      </c>
      <c r="Q503" s="33">
        <f>IF($D503="","",IFERROR(IF(INDEX(RUNS!$K$6:$K$1005,MATCH($D503,RUNS!$A$6:$A$1005,0))="","",INDEX(RUNS!$K$6:$K$1005,MATCH($D503,RUNS!$A$6:$A$1005,0))),""))</f>
        <v/>
      </c>
      <c r="R503" s="34">
        <f>IF(OR($L503="",$K503=""),"",IFERROR(IF(INDEX(PARAMETRES!$H$43:$H$342,MATCH($L503&amp;"|"&amp;$M503&amp;"|"&amp;$N503&amp;"|"&amp;$O503&amp;"|"&amp;$P503&amp;"|"&amp;$Q503&amp;"|"&amp;$K503,PARAMETRES!$J$43:$J$342,0))="","",INDEX(PARAMETRES!$H$43:$H$342,MATCH($L503&amp;"|"&amp;$M503&amp;"|"&amp;$N503&amp;"|"&amp;$O503&amp;"|"&amp;$P503&amp;"|"&amp;$Q503&amp;"|"&amp;$K503,PARAMETRES!$J$43:$J$342,0))),""))</f>
        <v/>
      </c>
      <c r="S503" s="35">
        <f>IF(OR($G503="",$X503&lt;&gt;"VALIDE"),"",IFERROR(LOOKUP(2,1/(($B$3:$B502=$B503)*($G$3:$G502=$G503)*($X$3:$X502="VALIDE")),$C$3:$C502),""))</f>
        <v/>
      </c>
      <c r="T503" s="36">
        <f>IF(OR($C503="",$S503=""),"",ROUND(($C503-$S503+IF($C503&lt;$S503,1,0))*1440,0))</f>
        <v/>
      </c>
      <c r="U503" s="22">
        <f>IF(OR($H503="",$T503="",$T503&lt;=0),"",$H503*60/$T503)</f>
        <v/>
      </c>
      <c r="V503" s="37">
        <f>IF(OR($U503="",$R503="",$R503=0),"",$U503/$R503)</f>
        <v/>
      </c>
      <c r="W503" s="20">
        <f>IF($G503="","",IF($X503="CONTEXTE INCOMPLET","CONTEXTE INCOMPLET",IF($X503="DOUBLON",StatutDoublon,IF($S503="",StatutInitial,IF($R503="",StatutStandardManquant,IF($V503="","DONNEES INSUFFISANTES",IF($V503&gt;=SeuilConforme,StatutConforme,IF($V503&gt;=SeuilSurveiller,StatutSurveiller,StatutSousStandard))))))))</f>
        <v/>
      </c>
      <c r="X503" s="33">
        <f>IF($G503="","",IF(OR($D503="",$E503="",$F503=""),"CONTEXTE INCOMPLET",IF(COUNTIFS($D$3:$D502,$D503,$E$3:$E502,$E503,$F$3:$F502,$F503,$G$3:$G502,$G503)&gt;0,"DOUBLON","VALIDE")))</f>
        <v/>
      </c>
    </row>
    <row r="504" ht="15" customHeight="1">
      <c r="A504" s="12">
        <f>IF(OR($B504="",$G504=""),"",TEXT($B504,"YYYYMMDD")&amp;"-"&amp;SUBSTITUTE($E504," ","")&amp;"-"&amp;$F504&amp;"-"&amp;$G504)</f>
        <v/>
      </c>
      <c r="B504" s="15" t="n"/>
      <c r="C504" s="16" t="n"/>
      <c r="D504" s="10" t="n"/>
      <c r="E504" s="9" t="n"/>
      <c r="F504" s="9" t="n"/>
      <c r="G504" s="13" t="n"/>
      <c r="H504" s="21" t="n"/>
      <c r="I504" s="21" t="n"/>
      <c r="J504" s="17">
        <f>IF($G504="","",IFERROR(INDEX(NomsEmployes,MATCH($G504,MatriculesEmployes,0)),"MATRICULE INCONNU"))</f>
        <v/>
      </c>
      <c r="K504" s="33">
        <f>IF(OR($D504="",$F504=""),"",IFERROR(IF(INDEX(RUNS!$L$6:$S$1005,MATCH($D504,RUNS!$A$6:$A$1005,0),MATCH("ACTIVITÉ "&amp;$F504,RUNS!$L$5:$S$5,0))="","",INDEX(RUNS!$L$6:$S$1005,MATCH($D504,RUNS!$A$6:$A$1005,0),MATCH("ACTIVITÉ "&amp;$F504,RUNS!$L$5:$S$5,0))),""))</f>
        <v/>
      </c>
      <c r="L504" s="33">
        <f>IF($D504="","",IFERROR(IF(INDEX(RUNS!$E$6:$E$1005,MATCH($D504,RUNS!$A$6:$A$1005,0))="","",INDEX(RUNS!$E$6:$E$1005,MATCH($D504,RUNS!$A$6:$A$1005,0))),""))</f>
        <v/>
      </c>
      <c r="M504" s="33">
        <f>IF($D504="","",IFERROR(IF(INDEX(RUNS!$F$6:$F$1005,MATCH($D504,RUNS!$A$6:$A$1005,0))="","",INDEX(RUNS!$F$6:$F$1005,MATCH($D504,RUNS!$A$6:$A$1005,0))),""))</f>
        <v/>
      </c>
      <c r="N504" s="33">
        <f>IF($D504="","",IFERROR(IF(INDEX(RUNS!$G$6:$G$1005,MATCH($D504,RUNS!$A$6:$A$1005,0))="","",INDEX(RUNS!$G$6:$G$1005,MATCH($D504,RUNS!$A$6:$A$1005,0))),""))</f>
        <v/>
      </c>
      <c r="O504" s="33">
        <f>IF($D504="","",IFERROR(IF(INDEX(RUNS!$H$6:$H$1005,MATCH($D504,RUNS!$A$6:$A$1005,0))="","",INDEX(RUNS!$H$6:$H$1005,MATCH($D504,RUNS!$A$6:$A$1005,0))),""))</f>
        <v/>
      </c>
      <c r="P504" s="33">
        <f>IF($D504="","",IFERROR(IF(INDEX(RUNS!$J$6:$J$1005,MATCH($D504,RUNS!$A$6:$A$1005,0))="","",INDEX(RUNS!$J$6:$J$1005,MATCH($D504,RUNS!$A$6:$A$1005,0))),""))</f>
        <v/>
      </c>
      <c r="Q504" s="33">
        <f>IF($D504="","",IFERROR(IF(INDEX(RUNS!$K$6:$K$1005,MATCH($D504,RUNS!$A$6:$A$1005,0))="","",INDEX(RUNS!$K$6:$K$1005,MATCH($D504,RUNS!$A$6:$A$1005,0))),""))</f>
        <v/>
      </c>
      <c r="R504" s="34">
        <f>IF(OR($L504="",$K504=""),"",IFERROR(IF(INDEX(PARAMETRES!$H$43:$H$342,MATCH($L504&amp;"|"&amp;$M504&amp;"|"&amp;$N504&amp;"|"&amp;$O504&amp;"|"&amp;$P504&amp;"|"&amp;$Q504&amp;"|"&amp;$K504,PARAMETRES!$J$43:$J$342,0))="","",INDEX(PARAMETRES!$H$43:$H$342,MATCH($L504&amp;"|"&amp;$M504&amp;"|"&amp;$N504&amp;"|"&amp;$O504&amp;"|"&amp;$P504&amp;"|"&amp;$Q504&amp;"|"&amp;$K504,PARAMETRES!$J$43:$J$342,0))),""))</f>
        <v/>
      </c>
      <c r="S504" s="35">
        <f>IF(OR($G504="",$X504&lt;&gt;"VALIDE"),"",IFERROR(LOOKUP(2,1/(($B$3:$B503=$B504)*($G$3:$G503=$G504)*($X$3:$X503="VALIDE")),$C$3:$C503),""))</f>
        <v/>
      </c>
      <c r="T504" s="36">
        <f>IF(OR($C504="",$S504=""),"",ROUND(($C504-$S504+IF($C504&lt;$S504,1,0))*1440,0))</f>
        <v/>
      </c>
      <c r="U504" s="22">
        <f>IF(OR($H504="",$T504="",$T504&lt;=0),"",$H504*60/$T504)</f>
        <v/>
      </c>
      <c r="V504" s="37">
        <f>IF(OR($U504="",$R504="",$R504=0),"",$U504/$R504)</f>
        <v/>
      </c>
      <c r="W504" s="20">
        <f>IF($G504="","",IF($X504="CONTEXTE INCOMPLET","CONTEXTE INCOMPLET",IF($X504="DOUBLON",StatutDoublon,IF($S504="",StatutInitial,IF($R504="",StatutStandardManquant,IF($V504="","DONNEES INSUFFISANTES",IF($V504&gt;=SeuilConforme,StatutConforme,IF($V504&gt;=SeuilSurveiller,StatutSurveiller,StatutSousStandard))))))))</f>
        <v/>
      </c>
      <c r="X504" s="33">
        <f>IF($G504="","",IF(OR($D504="",$E504="",$F504=""),"CONTEXTE INCOMPLET",IF(COUNTIFS($D$3:$D503,$D504,$E$3:$E503,$E504,$F$3:$F503,$F504,$G$3:$G503,$G504)&gt;0,"DOUBLON","VALIDE")))</f>
        <v/>
      </c>
    </row>
    <row r="505" ht="15" customHeight="1">
      <c r="A505" s="12">
        <f>IF(OR($B505="",$G505=""),"",TEXT($B505,"YYYYMMDD")&amp;"-"&amp;SUBSTITUTE($E505," ","")&amp;"-"&amp;$F505&amp;"-"&amp;$G505)</f>
        <v/>
      </c>
      <c r="B505" s="15" t="n"/>
      <c r="C505" s="16" t="n"/>
      <c r="D505" s="10" t="n"/>
      <c r="E505" s="9" t="n"/>
      <c r="F505" s="9" t="n"/>
      <c r="G505" s="13" t="n"/>
      <c r="H505" s="21" t="n"/>
      <c r="I505" s="21" t="n"/>
      <c r="J505" s="17">
        <f>IF($G505="","",IFERROR(INDEX(NomsEmployes,MATCH($G505,MatriculesEmployes,0)),"MATRICULE INCONNU"))</f>
        <v/>
      </c>
      <c r="K505" s="33">
        <f>IF(OR($D505="",$F505=""),"",IFERROR(IF(INDEX(RUNS!$L$6:$S$1005,MATCH($D505,RUNS!$A$6:$A$1005,0),MATCH("ACTIVITÉ "&amp;$F505,RUNS!$L$5:$S$5,0))="","",INDEX(RUNS!$L$6:$S$1005,MATCH($D505,RUNS!$A$6:$A$1005,0),MATCH("ACTIVITÉ "&amp;$F505,RUNS!$L$5:$S$5,0))),""))</f>
        <v/>
      </c>
      <c r="L505" s="33">
        <f>IF($D505="","",IFERROR(IF(INDEX(RUNS!$E$6:$E$1005,MATCH($D505,RUNS!$A$6:$A$1005,0))="","",INDEX(RUNS!$E$6:$E$1005,MATCH($D505,RUNS!$A$6:$A$1005,0))),""))</f>
        <v/>
      </c>
      <c r="M505" s="33">
        <f>IF($D505="","",IFERROR(IF(INDEX(RUNS!$F$6:$F$1005,MATCH($D505,RUNS!$A$6:$A$1005,0))="","",INDEX(RUNS!$F$6:$F$1005,MATCH($D505,RUNS!$A$6:$A$1005,0))),""))</f>
        <v/>
      </c>
      <c r="N505" s="33">
        <f>IF($D505="","",IFERROR(IF(INDEX(RUNS!$G$6:$G$1005,MATCH($D505,RUNS!$A$6:$A$1005,0))="","",INDEX(RUNS!$G$6:$G$1005,MATCH($D505,RUNS!$A$6:$A$1005,0))),""))</f>
        <v/>
      </c>
      <c r="O505" s="33">
        <f>IF($D505="","",IFERROR(IF(INDEX(RUNS!$H$6:$H$1005,MATCH($D505,RUNS!$A$6:$A$1005,0))="","",INDEX(RUNS!$H$6:$H$1005,MATCH($D505,RUNS!$A$6:$A$1005,0))),""))</f>
        <v/>
      </c>
      <c r="P505" s="33">
        <f>IF($D505="","",IFERROR(IF(INDEX(RUNS!$J$6:$J$1005,MATCH($D505,RUNS!$A$6:$A$1005,0))="","",INDEX(RUNS!$J$6:$J$1005,MATCH($D505,RUNS!$A$6:$A$1005,0))),""))</f>
        <v/>
      </c>
      <c r="Q505" s="33">
        <f>IF($D505="","",IFERROR(IF(INDEX(RUNS!$K$6:$K$1005,MATCH($D505,RUNS!$A$6:$A$1005,0))="","",INDEX(RUNS!$K$6:$K$1005,MATCH($D505,RUNS!$A$6:$A$1005,0))),""))</f>
        <v/>
      </c>
      <c r="R505" s="34">
        <f>IF(OR($L505="",$K505=""),"",IFERROR(IF(INDEX(PARAMETRES!$H$43:$H$342,MATCH($L505&amp;"|"&amp;$M505&amp;"|"&amp;$N505&amp;"|"&amp;$O505&amp;"|"&amp;$P505&amp;"|"&amp;$Q505&amp;"|"&amp;$K505,PARAMETRES!$J$43:$J$342,0))="","",INDEX(PARAMETRES!$H$43:$H$342,MATCH($L505&amp;"|"&amp;$M505&amp;"|"&amp;$N505&amp;"|"&amp;$O505&amp;"|"&amp;$P505&amp;"|"&amp;$Q505&amp;"|"&amp;$K505,PARAMETRES!$J$43:$J$342,0))),""))</f>
        <v/>
      </c>
      <c r="S505" s="35">
        <f>IF(OR($G505="",$X505&lt;&gt;"VALIDE"),"",IFERROR(LOOKUP(2,1/(($B$3:$B504=$B505)*($G$3:$G504=$G505)*($X$3:$X504="VALIDE")),$C$3:$C504),""))</f>
        <v/>
      </c>
      <c r="T505" s="36">
        <f>IF(OR($C505="",$S505=""),"",ROUND(($C505-$S505+IF($C505&lt;$S505,1,0))*1440,0))</f>
        <v/>
      </c>
      <c r="U505" s="22">
        <f>IF(OR($H505="",$T505="",$T505&lt;=0),"",$H505*60/$T505)</f>
        <v/>
      </c>
      <c r="V505" s="37">
        <f>IF(OR($U505="",$R505="",$R505=0),"",$U505/$R505)</f>
        <v/>
      </c>
      <c r="W505" s="20">
        <f>IF($G505="","",IF($X505="CONTEXTE INCOMPLET","CONTEXTE INCOMPLET",IF($X505="DOUBLON",StatutDoublon,IF($S505="",StatutInitial,IF($R505="",StatutStandardManquant,IF($V505="","DONNEES INSUFFISANTES",IF($V505&gt;=SeuilConforme,StatutConforme,IF($V505&gt;=SeuilSurveiller,StatutSurveiller,StatutSousStandard))))))))</f>
        <v/>
      </c>
      <c r="X505" s="33">
        <f>IF($G505="","",IF(OR($D505="",$E505="",$F505=""),"CONTEXTE INCOMPLET",IF(COUNTIFS($D$3:$D504,$D505,$E$3:$E504,$E505,$F$3:$F504,$F505,$G$3:$G504,$G505)&gt;0,"DOUBLON","VALIDE")))</f>
        <v/>
      </c>
    </row>
    <row r="506" ht="15" customHeight="1">
      <c r="A506" s="12">
        <f>IF(OR($B506="",$G506=""),"",TEXT($B506,"YYYYMMDD")&amp;"-"&amp;SUBSTITUTE($E506," ","")&amp;"-"&amp;$F506&amp;"-"&amp;$G506)</f>
        <v/>
      </c>
      <c r="B506" s="15" t="n"/>
      <c r="C506" s="16" t="n"/>
      <c r="D506" s="10" t="n"/>
      <c r="E506" s="9" t="n"/>
      <c r="F506" s="9" t="n"/>
      <c r="G506" s="13" t="n"/>
      <c r="H506" s="21" t="n"/>
      <c r="I506" s="21" t="n"/>
      <c r="J506" s="17">
        <f>IF($G506="","",IFERROR(INDEX(NomsEmployes,MATCH($G506,MatriculesEmployes,0)),"MATRICULE INCONNU"))</f>
        <v/>
      </c>
      <c r="K506" s="33">
        <f>IF(OR($D506="",$F506=""),"",IFERROR(IF(INDEX(RUNS!$L$6:$S$1005,MATCH($D506,RUNS!$A$6:$A$1005,0),MATCH("ACTIVITÉ "&amp;$F506,RUNS!$L$5:$S$5,0))="","",INDEX(RUNS!$L$6:$S$1005,MATCH($D506,RUNS!$A$6:$A$1005,0),MATCH("ACTIVITÉ "&amp;$F506,RUNS!$L$5:$S$5,0))),""))</f>
        <v/>
      </c>
      <c r="L506" s="33">
        <f>IF($D506="","",IFERROR(IF(INDEX(RUNS!$E$6:$E$1005,MATCH($D506,RUNS!$A$6:$A$1005,0))="","",INDEX(RUNS!$E$6:$E$1005,MATCH($D506,RUNS!$A$6:$A$1005,0))),""))</f>
        <v/>
      </c>
      <c r="M506" s="33">
        <f>IF($D506="","",IFERROR(IF(INDEX(RUNS!$F$6:$F$1005,MATCH($D506,RUNS!$A$6:$A$1005,0))="","",INDEX(RUNS!$F$6:$F$1005,MATCH($D506,RUNS!$A$6:$A$1005,0))),""))</f>
        <v/>
      </c>
      <c r="N506" s="33">
        <f>IF($D506="","",IFERROR(IF(INDEX(RUNS!$G$6:$G$1005,MATCH($D506,RUNS!$A$6:$A$1005,0))="","",INDEX(RUNS!$G$6:$G$1005,MATCH($D506,RUNS!$A$6:$A$1005,0))),""))</f>
        <v/>
      </c>
      <c r="O506" s="33">
        <f>IF($D506="","",IFERROR(IF(INDEX(RUNS!$H$6:$H$1005,MATCH($D506,RUNS!$A$6:$A$1005,0))="","",INDEX(RUNS!$H$6:$H$1005,MATCH($D506,RUNS!$A$6:$A$1005,0))),""))</f>
        <v/>
      </c>
      <c r="P506" s="33">
        <f>IF($D506="","",IFERROR(IF(INDEX(RUNS!$J$6:$J$1005,MATCH($D506,RUNS!$A$6:$A$1005,0))="","",INDEX(RUNS!$J$6:$J$1005,MATCH($D506,RUNS!$A$6:$A$1005,0))),""))</f>
        <v/>
      </c>
      <c r="Q506" s="33">
        <f>IF($D506="","",IFERROR(IF(INDEX(RUNS!$K$6:$K$1005,MATCH($D506,RUNS!$A$6:$A$1005,0))="","",INDEX(RUNS!$K$6:$K$1005,MATCH($D506,RUNS!$A$6:$A$1005,0))),""))</f>
        <v/>
      </c>
      <c r="R506" s="34">
        <f>IF(OR($L506="",$K506=""),"",IFERROR(IF(INDEX(PARAMETRES!$H$43:$H$342,MATCH($L506&amp;"|"&amp;$M506&amp;"|"&amp;$N506&amp;"|"&amp;$O506&amp;"|"&amp;$P506&amp;"|"&amp;$Q506&amp;"|"&amp;$K506,PARAMETRES!$J$43:$J$342,0))="","",INDEX(PARAMETRES!$H$43:$H$342,MATCH($L506&amp;"|"&amp;$M506&amp;"|"&amp;$N506&amp;"|"&amp;$O506&amp;"|"&amp;$P506&amp;"|"&amp;$Q506&amp;"|"&amp;$K506,PARAMETRES!$J$43:$J$342,0))),""))</f>
        <v/>
      </c>
      <c r="S506" s="35">
        <f>IF(OR($G506="",$X506&lt;&gt;"VALIDE"),"",IFERROR(LOOKUP(2,1/(($B$3:$B505=$B506)*($G$3:$G505=$G506)*($X$3:$X505="VALIDE")),$C$3:$C505),""))</f>
        <v/>
      </c>
      <c r="T506" s="36">
        <f>IF(OR($C506="",$S506=""),"",ROUND(($C506-$S506+IF($C506&lt;$S506,1,0))*1440,0))</f>
        <v/>
      </c>
      <c r="U506" s="22">
        <f>IF(OR($H506="",$T506="",$T506&lt;=0),"",$H506*60/$T506)</f>
        <v/>
      </c>
      <c r="V506" s="37">
        <f>IF(OR($U506="",$R506="",$R506=0),"",$U506/$R506)</f>
        <v/>
      </c>
      <c r="W506" s="20">
        <f>IF($G506="","",IF($X506="CONTEXTE INCOMPLET","CONTEXTE INCOMPLET",IF($X506="DOUBLON",StatutDoublon,IF($S506="",StatutInitial,IF($R506="",StatutStandardManquant,IF($V506="","DONNEES INSUFFISANTES",IF($V506&gt;=SeuilConforme,StatutConforme,IF($V506&gt;=SeuilSurveiller,StatutSurveiller,StatutSousStandard))))))))</f>
        <v/>
      </c>
      <c r="X506" s="33">
        <f>IF($G506="","",IF(OR($D506="",$E506="",$F506=""),"CONTEXTE INCOMPLET",IF(COUNTIFS($D$3:$D505,$D506,$E$3:$E505,$E506,$F$3:$F505,$F506,$G$3:$G505,$G506)&gt;0,"DOUBLON","VALIDE")))</f>
        <v/>
      </c>
    </row>
    <row r="507" ht="15" customHeight="1">
      <c r="A507" s="12">
        <f>IF(OR($B507="",$G507=""),"",TEXT($B507,"YYYYMMDD")&amp;"-"&amp;SUBSTITUTE($E507," ","")&amp;"-"&amp;$F507&amp;"-"&amp;$G507)</f>
        <v/>
      </c>
      <c r="B507" s="15" t="n"/>
      <c r="C507" s="16" t="n"/>
      <c r="D507" s="10" t="n"/>
      <c r="E507" s="9" t="n"/>
      <c r="F507" s="9" t="n"/>
      <c r="G507" s="13" t="n"/>
      <c r="H507" s="21" t="n"/>
      <c r="I507" s="21" t="n"/>
      <c r="J507" s="17">
        <f>IF($G507="","",IFERROR(INDEX(NomsEmployes,MATCH($G507,MatriculesEmployes,0)),"MATRICULE INCONNU"))</f>
        <v/>
      </c>
      <c r="K507" s="33">
        <f>IF(OR($D507="",$F507=""),"",IFERROR(IF(INDEX(RUNS!$L$6:$S$1005,MATCH($D507,RUNS!$A$6:$A$1005,0),MATCH("ACTIVITÉ "&amp;$F507,RUNS!$L$5:$S$5,0))="","",INDEX(RUNS!$L$6:$S$1005,MATCH($D507,RUNS!$A$6:$A$1005,0),MATCH("ACTIVITÉ "&amp;$F507,RUNS!$L$5:$S$5,0))),""))</f>
        <v/>
      </c>
      <c r="L507" s="33">
        <f>IF($D507="","",IFERROR(IF(INDEX(RUNS!$E$6:$E$1005,MATCH($D507,RUNS!$A$6:$A$1005,0))="","",INDEX(RUNS!$E$6:$E$1005,MATCH($D507,RUNS!$A$6:$A$1005,0))),""))</f>
        <v/>
      </c>
      <c r="M507" s="33">
        <f>IF($D507="","",IFERROR(IF(INDEX(RUNS!$F$6:$F$1005,MATCH($D507,RUNS!$A$6:$A$1005,0))="","",INDEX(RUNS!$F$6:$F$1005,MATCH($D507,RUNS!$A$6:$A$1005,0))),""))</f>
        <v/>
      </c>
      <c r="N507" s="33">
        <f>IF($D507="","",IFERROR(IF(INDEX(RUNS!$G$6:$G$1005,MATCH($D507,RUNS!$A$6:$A$1005,0))="","",INDEX(RUNS!$G$6:$G$1005,MATCH($D507,RUNS!$A$6:$A$1005,0))),""))</f>
        <v/>
      </c>
      <c r="O507" s="33">
        <f>IF($D507="","",IFERROR(IF(INDEX(RUNS!$H$6:$H$1005,MATCH($D507,RUNS!$A$6:$A$1005,0))="","",INDEX(RUNS!$H$6:$H$1005,MATCH($D507,RUNS!$A$6:$A$1005,0))),""))</f>
        <v/>
      </c>
      <c r="P507" s="33">
        <f>IF($D507="","",IFERROR(IF(INDEX(RUNS!$J$6:$J$1005,MATCH($D507,RUNS!$A$6:$A$1005,0))="","",INDEX(RUNS!$J$6:$J$1005,MATCH($D507,RUNS!$A$6:$A$1005,0))),""))</f>
        <v/>
      </c>
      <c r="Q507" s="33">
        <f>IF($D507="","",IFERROR(IF(INDEX(RUNS!$K$6:$K$1005,MATCH($D507,RUNS!$A$6:$A$1005,0))="","",INDEX(RUNS!$K$6:$K$1005,MATCH($D507,RUNS!$A$6:$A$1005,0))),""))</f>
        <v/>
      </c>
      <c r="R507" s="34">
        <f>IF(OR($L507="",$K507=""),"",IFERROR(IF(INDEX(PARAMETRES!$H$43:$H$342,MATCH($L507&amp;"|"&amp;$M507&amp;"|"&amp;$N507&amp;"|"&amp;$O507&amp;"|"&amp;$P507&amp;"|"&amp;$Q507&amp;"|"&amp;$K507,PARAMETRES!$J$43:$J$342,0))="","",INDEX(PARAMETRES!$H$43:$H$342,MATCH($L507&amp;"|"&amp;$M507&amp;"|"&amp;$N507&amp;"|"&amp;$O507&amp;"|"&amp;$P507&amp;"|"&amp;$Q507&amp;"|"&amp;$K507,PARAMETRES!$J$43:$J$342,0))),""))</f>
        <v/>
      </c>
      <c r="S507" s="35">
        <f>IF(OR($G507="",$X507&lt;&gt;"VALIDE"),"",IFERROR(LOOKUP(2,1/(($B$3:$B506=$B507)*($G$3:$G506=$G507)*($X$3:$X506="VALIDE")),$C$3:$C506),""))</f>
        <v/>
      </c>
      <c r="T507" s="36">
        <f>IF(OR($C507="",$S507=""),"",ROUND(($C507-$S507+IF($C507&lt;$S507,1,0))*1440,0))</f>
        <v/>
      </c>
      <c r="U507" s="22">
        <f>IF(OR($H507="",$T507="",$T507&lt;=0),"",$H507*60/$T507)</f>
        <v/>
      </c>
      <c r="V507" s="37">
        <f>IF(OR($U507="",$R507="",$R507=0),"",$U507/$R507)</f>
        <v/>
      </c>
      <c r="W507" s="20">
        <f>IF($G507="","",IF($X507="CONTEXTE INCOMPLET","CONTEXTE INCOMPLET",IF($X507="DOUBLON",StatutDoublon,IF($S507="",StatutInitial,IF($R507="",StatutStandardManquant,IF($V507="","DONNEES INSUFFISANTES",IF($V507&gt;=SeuilConforme,StatutConforme,IF($V507&gt;=SeuilSurveiller,StatutSurveiller,StatutSousStandard))))))))</f>
        <v/>
      </c>
      <c r="X507" s="33">
        <f>IF($G507="","",IF(OR($D507="",$E507="",$F507=""),"CONTEXTE INCOMPLET",IF(COUNTIFS($D$3:$D506,$D507,$E$3:$E506,$E507,$F$3:$F506,$F507,$G$3:$G506,$G507)&gt;0,"DOUBLON","VALIDE")))</f>
        <v/>
      </c>
    </row>
    <row r="508" ht="15" customHeight="1">
      <c r="A508" s="12">
        <f>IF(OR($B508="",$G508=""),"",TEXT($B508,"YYYYMMDD")&amp;"-"&amp;SUBSTITUTE($E508," ","")&amp;"-"&amp;$F508&amp;"-"&amp;$G508)</f>
        <v/>
      </c>
      <c r="B508" s="15" t="n"/>
      <c r="C508" s="16" t="n"/>
      <c r="D508" s="10" t="n"/>
      <c r="E508" s="9" t="n"/>
      <c r="F508" s="9" t="n"/>
      <c r="G508" s="13" t="n"/>
      <c r="H508" s="21" t="n"/>
      <c r="I508" s="21" t="n"/>
      <c r="J508" s="17">
        <f>IF($G508="","",IFERROR(INDEX(NomsEmployes,MATCH($G508,MatriculesEmployes,0)),"MATRICULE INCONNU"))</f>
        <v/>
      </c>
      <c r="K508" s="33">
        <f>IF(OR($D508="",$F508=""),"",IFERROR(IF(INDEX(RUNS!$L$6:$S$1005,MATCH($D508,RUNS!$A$6:$A$1005,0),MATCH("ACTIVITÉ "&amp;$F508,RUNS!$L$5:$S$5,0))="","",INDEX(RUNS!$L$6:$S$1005,MATCH($D508,RUNS!$A$6:$A$1005,0),MATCH("ACTIVITÉ "&amp;$F508,RUNS!$L$5:$S$5,0))),""))</f>
        <v/>
      </c>
      <c r="L508" s="33">
        <f>IF($D508="","",IFERROR(IF(INDEX(RUNS!$E$6:$E$1005,MATCH($D508,RUNS!$A$6:$A$1005,0))="","",INDEX(RUNS!$E$6:$E$1005,MATCH($D508,RUNS!$A$6:$A$1005,0))),""))</f>
        <v/>
      </c>
      <c r="M508" s="33">
        <f>IF($D508="","",IFERROR(IF(INDEX(RUNS!$F$6:$F$1005,MATCH($D508,RUNS!$A$6:$A$1005,0))="","",INDEX(RUNS!$F$6:$F$1005,MATCH($D508,RUNS!$A$6:$A$1005,0))),""))</f>
        <v/>
      </c>
      <c r="N508" s="33">
        <f>IF($D508="","",IFERROR(IF(INDEX(RUNS!$G$6:$G$1005,MATCH($D508,RUNS!$A$6:$A$1005,0))="","",INDEX(RUNS!$G$6:$G$1005,MATCH($D508,RUNS!$A$6:$A$1005,0))),""))</f>
        <v/>
      </c>
      <c r="O508" s="33">
        <f>IF($D508="","",IFERROR(IF(INDEX(RUNS!$H$6:$H$1005,MATCH($D508,RUNS!$A$6:$A$1005,0))="","",INDEX(RUNS!$H$6:$H$1005,MATCH($D508,RUNS!$A$6:$A$1005,0))),""))</f>
        <v/>
      </c>
      <c r="P508" s="33">
        <f>IF($D508="","",IFERROR(IF(INDEX(RUNS!$J$6:$J$1005,MATCH($D508,RUNS!$A$6:$A$1005,0))="","",INDEX(RUNS!$J$6:$J$1005,MATCH($D508,RUNS!$A$6:$A$1005,0))),""))</f>
        <v/>
      </c>
      <c r="Q508" s="33">
        <f>IF($D508="","",IFERROR(IF(INDEX(RUNS!$K$6:$K$1005,MATCH($D508,RUNS!$A$6:$A$1005,0))="","",INDEX(RUNS!$K$6:$K$1005,MATCH($D508,RUNS!$A$6:$A$1005,0))),""))</f>
        <v/>
      </c>
      <c r="R508" s="34">
        <f>IF(OR($L508="",$K508=""),"",IFERROR(IF(INDEX(PARAMETRES!$H$43:$H$342,MATCH($L508&amp;"|"&amp;$M508&amp;"|"&amp;$N508&amp;"|"&amp;$O508&amp;"|"&amp;$P508&amp;"|"&amp;$Q508&amp;"|"&amp;$K508,PARAMETRES!$J$43:$J$342,0))="","",INDEX(PARAMETRES!$H$43:$H$342,MATCH($L508&amp;"|"&amp;$M508&amp;"|"&amp;$N508&amp;"|"&amp;$O508&amp;"|"&amp;$P508&amp;"|"&amp;$Q508&amp;"|"&amp;$K508,PARAMETRES!$J$43:$J$342,0))),""))</f>
        <v/>
      </c>
      <c r="S508" s="35">
        <f>IF(OR($G508="",$X508&lt;&gt;"VALIDE"),"",IFERROR(LOOKUP(2,1/(($B$3:$B507=$B508)*($G$3:$G507=$G508)*($X$3:$X507="VALIDE")),$C$3:$C507),""))</f>
        <v/>
      </c>
      <c r="T508" s="36">
        <f>IF(OR($C508="",$S508=""),"",ROUND(($C508-$S508+IF($C508&lt;$S508,1,0))*1440,0))</f>
        <v/>
      </c>
      <c r="U508" s="22">
        <f>IF(OR($H508="",$T508="",$T508&lt;=0),"",$H508*60/$T508)</f>
        <v/>
      </c>
      <c r="V508" s="37">
        <f>IF(OR($U508="",$R508="",$R508=0),"",$U508/$R508)</f>
        <v/>
      </c>
      <c r="W508" s="20">
        <f>IF($G508="","",IF($X508="CONTEXTE INCOMPLET","CONTEXTE INCOMPLET",IF($X508="DOUBLON",StatutDoublon,IF($S508="",StatutInitial,IF($R508="",StatutStandardManquant,IF($V508="","DONNEES INSUFFISANTES",IF($V508&gt;=SeuilConforme,StatutConforme,IF($V508&gt;=SeuilSurveiller,StatutSurveiller,StatutSousStandard))))))))</f>
        <v/>
      </c>
      <c r="X508" s="33">
        <f>IF($G508="","",IF(OR($D508="",$E508="",$F508=""),"CONTEXTE INCOMPLET",IF(COUNTIFS($D$3:$D507,$D508,$E$3:$E507,$E508,$F$3:$F507,$F508,$G$3:$G507,$G508)&gt;0,"DOUBLON","VALIDE")))</f>
        <v/>
      </c>
    </row>
    <row r="509" ht="15" customHeight="1">
      <c r="A509" s="12">
        <f>IF(OR($B509="",$G509=""),"",TEXT($B509,"YYYYMMDD")&amp;"-"&amp;SUBSTITUTE($E509," ","")&amp;"-"&amp;$F509&amp;"-"&amp;$G509)</f>
        <v/>
      </c>
      <c r="B509" s="15" t="n"/>
      <c r="C509" s="16" t="n"/>
      <c r="D509" s="10" t="n"/>
      <c r="E509" s="9" t="n"/>
      <c r="F509" s="9" t="n"/>
      <c r="G509" s="13" t="n"/>
      <c r="H509" s="21" t="n"/>
      <c r="I509" s="21" t="n"/>
      <c r="J509" s="17">
        <f>IF($G509="","",IFERROR(INDEX(NomsEmployes,MATCH($G509,MatriculesEmployes,0)),"MATRICULE INCONNU"))</f>
        <v/>
      </c>
      <c r="K509" s="33">
        <f>IF(OR($D509="",$F509=""),"",IFERROR(IF(INDEX(RUNS!$L$6:$S$1005,MATCH($D509,RUNS!$A$6:$A$1005,0),MATCH("ACTIVITÉ "&amp;$F509,RUNS!$L$5:$S$5,0))="","",INDEX(RUNS!$L$6:$S$1005,MATCH($D509,RUNS!$A$6:$A$1005,0),MATCH("ACTIVITÉ "&amp;$F509,RUNS!$L$5:$S$5,0))),""))</f>
        <v/>
      </c>
      <c r="L509" s="33">
        <f>IF($D509="","",IFERROR(IF(INDEX(RUNS!$E$6:$E$1005,MATCH($D509,RUNS!$A$6:$A$1005,0))="","",INDEX(RUNS!$E$6:$E$1005,MATCH($D509,RUNS!$A$6:$A$1005,0))),""))</f>
        <v/>
      </c>
      <c r="M509" s="33">
        <f>IF($D509="","",IFERROR(IF(INDEX(RUNS!$F$6:$F$1005,MATCH($D509,RUNS!$A$6:$A$1005,0))="","",INDEX(RUNS!$F$6:$F$1005,MATCH($D509,RUNS!$A$6:$A$1005,0))),""))</f>
        <v/>
      </c>
      <c r="N509" s="33">
        <f>IF($D509="","",IFERROR(IF(INDEX(RUNS!$G$6:$G$1005,MATCH($D509,RUNS!$A$6:$A$1005,0))="","",INDEX(RUNS!$G$6:$G$1005,MATCH($D509,RUNS!$A$6:$A$1005,0))),""))</f>
        <v/>
      </c>
      <c r="O509" s="33">
        <f>IF($D509="","",IFERROR(IF(INDEX(RUNS!$H$6:$H$1005,MATCH($D509,RUNS!$A$6:$A$1005,0))="","",INDEX(RUNS!$H$6:$H$1005,MATCH($D509,RUNS!$A$6:$A$1005,0))),""))</f>
        <v/>
      </c>
      <c r="P509" s="33">
        <f>IF($D509="","",IFERROR(IF(INDEX(RUNS!$J$6:$J$1005,MATCH($D509,RUNS!$A$6:$A$1005,0))="","",INDEX(RUNS!$J$6:$J$1005,MATCH($D509,RUNS!$A$6:$A$1005,0))),""))</f>
        <v/>
      </c>
      <c r="Q509" s="33">
        <f>IF($D509="","",IFERROR(IF(INDEX(RUNS!$K$6:$K$1005,MATCH($D509,RUNS!$A$6:$A$1005,0))="","",INDEX(RUNS!$K$6:$K$1005,MATCH($D509,RUNS!$A$6:$A$1005,0))),""))</f>
        <v/>
      </c>
      <c r="R509" s="34">
        <f>IF(OR($L509="",$K509=""),"",IFERROR(IF(INDEX(PARAMETRES!$H$43:$H$342,MATCH($L509&amp;"|"&amp;$M509&amp;"|"&amp;$N509&amp;"|"&amp;$O509&amp;"|"&amp;$P509&amp;"|"&amp;$Q509&amp;"|"&amp;$K509,PARAMETRES!$J$43:$J$342,0))="","",INDEX(PARAMETRES!$H$43:$H$342,MATCH($L509&amp;"|"&amp;$M509&amp;"|"&amp;$N509&amp;"|"&amp;$O509&amp;"|"&amp;$P509&amp;"|"&amp;$Q509&amp;"|"&amp;$K509,PARAMETRES!$J$43:$J$342,0))),""))</f>
        <v/>
      </c>
      <c r="S509" s="35">
        <f>IF(OR($G509="",$X509&lt;&gt;"VALIDE"),"",IFERROR(LOOKUP(2,1/(($B$3:$B508=$B509)*($G$3:$G508=$G509)*($X$3:$X508="VALIDE")),$C$3:$C508),""))</f>
        <v/>
      </c>
      <c r="T509" s="36">
        <f>IF(OR($C509="",$S509=""),"",ROUND(($C509-$S509+IF($C509&lt;$S509,1,0))*1440,0))</f>
        <v/>
      </c>
      <c r="U509" s="22">
        <f>IF(OR($H509="",$T509="",$T509&lt;=0),"",$H509*60/$T509)</f>
        <v/>
      </c>
      <c r="V509" s="37">
        <f>IF(OR($U509="",$R509="",$R509=0),"",$U509/$R509)</f>
        <v/>
      </c>
      <c r="W509" s="20">
        <f>IF($G509="","",IF($X509="CONTEXTE INCOMPLET","CONTEXTE INCOMPLET",IF($X509="DOUBLON",StatutDoublon,IF($S509="",StatutInitial,IF($R509="",StatutStandardManquant,IF($V509="","DONNEES INSUFFISANTES",IF($V509&gt;=SeuilConforme,StatutConforme,IF($V509&gt;=SeuilSurveiller,StatutSurveiller,StatutSousStandard))))))))</f>
        <v/>
      </c>
      <c r="X509" s="33">
        <f>IF($G509="","",IF(OR($D509="",$E509="",$F509=""),"CONTEXTE INCOMPLET",IF(COUNTIFS($D$3:$D508,$D509,$E$3:$E508,$E509,$F$3:$F508,$F509,$G$3:$G508,$G509)&gt;0,"DOUBLON","VALIDE")))</f>
        <v/>
      </c>
    </row>
    <row r="510" ht="15" customHeight="1">
      <c r="A510" s="12">
        <f>IF(OR($B510="",$G510=""),"",TEXT($B510,"YYYYMMDD")&amp;"-"&amp;SUBSTITUTE($E510," ","")&amp;"-"&amp;$F510&amp;"-"&amp;$G510)</f>
        <v/>
      </c>
      <c r="B510" s="15" t="n"/>
      <c r="C510" s="16" t="n"/>
      <c r="D510" s="10" t="n"/>
      <c r="E510" s="9" t="n"/>
      <c r="F510" s="9" t="n"/>
      <c r="G510" s="13" t="n"/>
      <c r="H510" s="21" t="n"/>
      <c r="I510" s="21" t="n"/>
      <c r="J510" s="17">
        <f>IF($G510="","",IFERROR(INDEX(NomsEmployes,MATCH($G510,MatriculesEmployes,0)),"MATRICULE INCONNU"))</f>
        <v/>
      </c>
      <c r="K510" s="33">
        <f>IF(OR($D510="",$F510=""),"",IFERROR(IF(INDEX(RUNS!$L$6:$S$1005,MATCH($D510,RUNS!$A$6:$A$1005,0),MATCH("ACTIVITÉ "&amp;$F510,RUNS!$L$5:$S$5,0))="","",INDEX(RUNS!$L$6:$S$1005,MATCH($D510,RUNS!$A$6:$A$1005,0),MATCH("ACTIVITÉ "&amp;$F510,RUNS!$L$5:$S$5,0))),""))</f>
        <v/>
      </c>
      <c r="L510" s="33">
        <f>IF($D510="","",IFERROR(IF(INDEX(RUNS!$E$6:$E$1005,MATCH($D510,RUNS!$A$6:$A$1005,0))="","",INDEX(RUNS!$E$6:$E$1005,MATCH($D510,RUNS!$A$6:$A$1005,0))),""))</f>
        <v/>
      </c>
      <c r="M510" s="33">
        <f>IF($D510="","",IFERROR(IF(INDEX(RUNS!$F$6:$F$1005,MATCH($D510,RUNS!$A$6:$A$1005,0))="","",INDEX(RUNS!$F$6:$F$1005,MATCH($D510,RUNS!$A$6:$A$1005,0))),""))</f>
        <v/>
      </c>
      <c r="N510" s="33">
        <f>IF($D510="","",IFERROR(IF(INDEX(RUNS!$G$6:$G$1005,MATCH($D510,RUNS!$A$6:$A$1005,0))="","",INDEX(RUNS!$G$6:$G$1005,MATCH($D510,RUNS!$A$6:$A$1005,0))),""))</f>
        <v/>
      </c>
      <c r="O510" s="33">
        <f>IF($D510="","",IFERROR(IF(INDEX(RUNS!$H$6:$H$1005,MATCH($D510,RUNS!$A$6:$A$1005,0))="","",INDEX(RUNS!$H$6:$H$1005,MATCH($D510,RUNS!$A$6:$A$1005,0))),""))</f>
        <v/>
      </c>
      <c r="P510" s="33">
        <f>IF($D510="","",IFERROR(IF(INDEX(RUNS!$J$6:$J$1005,MATCH($D510,RUNS!$A$6:$A$1005,0))="","",INDEX(RUNS!$J$6:$J$1005,MATCH($D510,RUNS!$A$6:$A$1005,0))),""))</f>
        <v/>
      </c>
      <c r="Q510" s="33">
        <f>IF($D510="","",IFERROR(IF(INDEX(RUNS!$K$6:$K$1005,MATCH($D510,RUNS!$A$6:$A$1005,0))="","",INDEX(RUNS!$K$6:$K$1005,MATCH($D510,RUNS!$A$6:$A$1005,0))),""))</f>
        <v/>
      </c>
      <c r="R510" s="34">
        <f>IF(OR($L510="",$K510=""),"",IFERROR(IF(INDEX(PARAMETRES!$H$43:$H$342,MATCH($L510&amp;"|"&amp;$M510&amp;"|"&amp;$N510&amp;"|"&amp;$O510&amp;"|"&amp;$P510&amp;"|"&amp;$Q510&amp;"|"&amp;$K510,PARAMETRES!$J$43:$J$342,0))="","",INDEX(PARAMETRES!$H$43:$H$342,MATCH($L510&amp;"|"&amp;$M510&amp;"|"&amp;$N510&amp;"|"&amp;$O510&amp;"|"&amp;$P510&amp;"|"&amp;$Q510&amp;"|"&amp;$K510,PARAMETRES!$J$43:$J$342,0))),""))</f>
        <v/>
      </c>
      <c r="S510" s="35">
        <f>IF(OR($G510="",$X510&lt;&gt;"VALIDE"),"",IFERROR(LOOKUP(2,1/(($B$3:$B509=$B510)*($G$3:$G509=$G510)*($X$3:$X509="VALIDE")),$C$3:$C509),""))</f>
        <v/>
      </c>
      <c r="T510" s="36">
        <f>IF(OR($C510="",$S510=""),"",ROUND(($C510-$S510+IF($C510&lt;$S510,1,0))*1440,0))</f>
        <v/>
      </c>
      <c r="U510" s="22">
        <f>IF(OR($H510="",$T510="",$T510&lt;=0),"",$H510*60/$T510)</f>
        <v/>
      </c>
      <c r="V510" s="37">
        <f>IF(OR($U510="",$R510="",$R510=0),"",$U510/$R510)</f>
        <v/>
      </c>
      <c r="W510" s="20">
        <f>IF($G510="","",IF($X510="CONTEXTE INCOMPLET","CONTEXTE INCOMPLET",IF($X510="DOUBLON",StatutDoublon,IF($S510="",StatutInitial,IF($R510="",StatutStandardManquant,IF($V510="","DONNEES INSUFFISANTES",IF($V510&gt;=SeuilConforme,StatutConforme,IF($V510&gt;=SeuilSurveiller,StatutSurveiller,StatutSousStandard))))))))</f>
        <v/>
      </c>
      <c r="X510" s="33">
        <f>IF($G510="","",IF(OR($D510="",$E510="",$F510=""),"CONTEXTE INCOMPLET",IF(COUNTIFS($D$3:$D509,$D510,$E$3:$E509,$E510,$F$3:$F509,$F510,$G$3:$G509,$G510)&gt;0,"DOUBLON","VALIDE")))</f>
        <v/>
      </c>
    </row>
    <row r="511" ht="15" customHeight="1">
      <c r="A511" s="12">
        <f>IF(OR($B511="",$G511=""),"",TEXT($B511,"YYYYMMDD")&amp;"-"&amp;SUBSTITUTE($E511," ","")&amp;"-"&amp;$F511&amp;"-"&amp;$G511)</f>
        <v/>
      </c>
      <c r="B511" s="15" t="n"/>
      <c r="C511" s="16" t="n"/>
      <c r="D511" s="10" t="n"/>
      <c r="E511" s="9" t="n"/>
      <c r="F511" s="9" t="n"/>
      <c r="G511" s="13" t="n"/>
      <c r="H511" s="21" t="n"/>
      <c r="I511" s="21" t="n"/>
      <c r="J511" s="17">
        <f>IF($G511="","",IFERROR(INDEX(NomsEmployes,MATCH($G511,MatriculesEmployes,0)),"MATRICULE INCONNU"))</f>
        <v/>
      </c>
      <c r="K511" s="33">
        <f>IF(OR($D511="",$F511=""),"",IFERROR(IF(INDEX(RUNS!$L$6:$S$1005,MATCH($D511,RUNS!$A$6:$A$1005,0),MATCH("ACTIVITÉ "&amp;$F511,RUNS!$L$5:$S$5,0))="","",INDEX(RUNS!$L$6:$S$1005,MATCH($D511,RUNS!$A$6:$A$1005,0),MATCH("ACTIVITÉ "&amp;$F511,RUNS!$L$5:$S$5,0))),""))</f>
        <v/>
      </c>
      <c r="L511" s="33">
        <f>IF($D511="","",IFERROR(IF(INDEX(RUNS!$E$6:$E$1005,MATCH($D511,RUNS!$A$6:$A$1005,0))="","",INDEX(RUNS!$E$6:$E$1005,MATCH($D511,RUNS!$A$6:$A$1005,0))),""))</f>
        <v/>
      </c>
      <c r="M511" s="33">
        <f>IF($D511="","",IFERROR(IF(INDEX(RUNS!$F$6:$F$1005,MATCH($D511,RUNS!$A$6:$A$1005,0))="","",INDEX(RUNS!$F$6:$F$1005,MATCH($D511,RUNS!$A$6:$A$1005,0))),""))</f>
        <v/>
      </c>
      <c r="N511" s="33">
        <f>IF($D511="","",IFERROR(IF(INDEX(RUNS!$G$6:$G$1005,MATCH($D511,RUNS!$A$6:$A$1005,0))="","",INDEX(RUNS!$G$6:$G$1005,MATCH($D511,RUNS!$A$6:$A$1005,0))),""))</f>
        <v/>
      </c>
      <c r="O511" s="33">
        <f>IF($D511="","",IFERROR(IF(INDEX(RUNS!$H$6:$H$1005,MATCH($D511,RUNS!$A$6:$A$1005,0))="","",INDEX(RUNS!$H$6:$H$1005,MATCH($D511,RUNS!$A$6:$A$1005,0))),""))</f>
        <v/>
      </c>
      <c r="P511" s="33">
        <f>IF($D511="","",IFERROR(IF(INDEX(RUNS!$J$6:$J$1005,MATCH($D511,RUNS!$A$6:$A$1005,0))="","",INDEX(RUNS!$J$6:$J$1005,MATCH($D511,RUNS!$A$6:$A$1005,0))),""))</f>
        <v/>
      </c>
      <c r="Q511" s="33">
        <f>IF($D511="","",IFERROR(IF(INDEX(RUNS!$K$6:$K$1005,MATCH($D511,RUNS!$A$6:$A$1005,0))="","",INDEX(RUNS!$K$6:$K$1005,MATCH($D511,RUNS!$A$6:$A$1005,0))),""))</f>
        <v/>
      </c>
      <c r="R511" s="34">
        <f>IF(OR($L511="",$K511=""),"",IFERROR(IF(INDEX(PARAMETRES!$H$43:$H$342,MATCH($L511&amp;"|"&amp;$M511&amp;"|"&amp;$N511&amp;"|"&amp;$O511&amp;"|"&amp;$P511&amp;"|"&amp;$Q511&amp;"|"&amp;$K511,PARAMETRES!$J$43:$J$342,0))="","",INDEX(PARAMETRES!$H$43:$H$342,MATCH($L511&amp;"|"&amp;$M511&amp;"|"&amp;$N511&amp;"|"&amp;$O511&amp;"|"&amp;$P511&amp;"|"&amp;$Q511&amp;"|"&amp;$K511,PARAMETRES!$J$43:$J$342,0))),""))</f>
        <v/>
      </c>
      <c r="S511" s="35">
        <f>IF(OR($G511="",$X511&lt;&gt;"VALIDE"),"",IFERROR(LOOKUP(2,1/(($B$3:$B510=$B511)*($G$3:$G510=$G511)*($X$3:$X510="VALIDE")),$C$3:$C510),""))</f>
        <v/>
      </c>
      <c r="T511" s="36">
        <f>IF(OR($C511="",$S511=""),"",ROUND(($C511-$S511+IF($C511&lt;$S511,1,0))*1440,0))</f>
        <v/>
      </c>
      <c r="U511" s="22">
        <f>IF(OR($H511="",$T511="",$T511&lt;=0),"",$H511*60/$T511)</f>
        <v/>
      </c>
      <c r="V511" s="37">
        <f>IF(OR($U511="",$R511="",$R511=0),"",$U511/$R511)</f>
        <v/>
      </c>
      <c r="W511" s="20">
        <f>IF($G511="","",IF($X511="CONTEXTE INCOMPLET","CONTEXTE INCOMPLET",IF($X511="DOUBLON",StatutDoublon,IF($S511="",StatutInitial,IF($R511="",StatutStandardManquant,IF($V511="","DONNEES INSUFFISANTES",IF($V511&gt;=SeuilConforme,StatutConforme,IF($V511&gt;=SeuilSurveiller,StatutSurveiller,StatutSousStandard))))))))</f>
        <v/>
      </c>
      <c r="X511" s="33">
        <f>IF($G511="","",IF(OR($D511="",$E511="",$F511=""),"CONTEXTE INCOMPLET",IF(COUNTIFS($D$3:$D510,$D511,$E$3:$E510,$E511,$F$3:$F510,$F511,$G$3:$G510,$G511)&gt;0,"DOUBLON","VALIDE")))</f>
        <v/>
      </c>
    </row>
    <row r="512" ht="15" customHeight="1">
      <c r="A512" s="12">
        <f>IF(OR($B512="",$G512=""),"",TEXT($B512,"YYYYMMDD")&amp;"-"&amp;SUBSTITUTE($E512," ","")&amp;"-"&amp;$F512&amp;"-"&amp;$G512)</f>
        <v/>
      </c>
      <c r="B512" s="15" t="n"/>
      <c r="C512" s="16" t="n"/>
      <c r="D512" s="10" t="n"/>
      <c r="E512" s="9" t="n"/>
      <c r="F512" s="9" t="n"/>
      <c r="G512" s="13" t="n"/>
      <c r="H512" s="21" t="n"/>
      <c r="I512" s="21" t="n"/>
      <c r="J512" s="17">
        <f>IF($G512="","",IFERROR(INDEX(NomsEmployes,MATCH($G512,MatriculesEmployes,0)),"MATRICULE INCONNU"))</f>
        <v/>
      </c>
      <c r="K512" s="33">
        <f>IF(OR($D512="",$F512=""),"",IFERROR(IF(INDEX(RUNS!$L$6:$S$1005,MATCH($D512,RUNS!$A$6:$A$1005,0),MATCH("ACTIVITÉ "&amp;$F512,RUNS!$L$5:$S$5,0))="","",INDEX(RUNS!$L$6:$S$1005,MATCH($D512,RUNS!$A$6:$A$1005,0),MATCH("ACTIVITÉ "&amp;$F512,RUNS!$L$5:$S$5,0))),""))</f>
        <v/>
      </c>
      <c r="L512" s="33">
        <f>IF($D512="","",IFERROR(IF(INDEX(RUNS!$E$6:$E$1005,MATCH($D512,RUNS!$A$6:$A$1005,0))="","",INDEX(RUNS!$E$6:$E$1005,MATCH($D512,RUNS!$A$6:$A$1005,0))),""))</f>
        <v/>
      </c>
      <c r="M512" s="33">
        <f>IF($D512="","",IFERROR(IF(INDEX(RUNS!$F$6:$F$1005,MATCH($D512,RUNS!$A$6:$A$1005,0))="","",INDEX(RUNS!$F$6:$F$1005,MATCH($D512,RUNS!$A$6:$A$1005,0))),""))</f>
        <v/>
      </c>
      <c r="N512" s="33">
        <f>IF($D512="","",IFERROR(IF(INDEX(RUNS!$G$6:$G$1005,MATCH($D512,RUNS!$A$6:$A$1005,0))="","",INDEX(RUNS!$G$6:$G$1005,MATCH($D512,RUNS!$A$6:$A$1005,0))),""))</f>
        <v/>
      </c>
      <c r="O512" s="33">
        <f>IF($D512="","",IFERROR(IF(INDEX(RUNS!$H$6:$H$1005,MATCH($D512,RUNS!$A$6:$A$1005,0))="","",INDEX(RUNS!$H$6:$H$1005,MATCH($D512,RUNS!$A$6:$A$1005,0))),""))</f>
        <v/>
      </c>
      <c r="P512" s="33">
        <f>IF($D512="","",IFERROR(IF(INDEX(RUNS!$J$6:$J$1005,MATCH($D512,RUNS!$A$6:$A$1005,0))="","",INDEX(RUNS!$J$6:$J$1005,MATCH($D512,RUNS!$A$6:$A$1005,0))),""))</f>
        <v/>
      </c>
      <c r="Q512" s="33">
        <f>IF($D512="","",IFERROR(IF(INDEX(RUNS!$K$6:$K$1005,MATCH($D512,RUNS!$A$6:$A$1005,0))="","",INDEX(RUNS!$K$6:$K$1005,MATCH($D512,RUNS!$A$6:$A$1005,0))),""))</f>
        <v/>
      </c>
      <c r="R512" s="34">
        <f>IF(OR($L512="",$K512=""),"",IFERROR(IF(INDEX(PARAMETRES!$H$43:$H$342,MATCH($L512&amp;"|"&amp;$M512&amp;"|"&amp;$N512&amp;"|"&amp;$O512&amp;"|"&amp;$P512&amp;"|"&amp;$Q512&amp;"|"&amp;$K512,PARAMETRES!$J$43:$J$342,0))="","",INDEX(PARAMETRES!$H$43:$H$342,MATCH($L512&amp;"|"&amp;$M512&amp;"|"&amp;$N512&amp;"|"&amp;$O512&amp;"|"&amp;$P512&amp;"|"&amp;$Q512&amp;"|"&amp;$K512,PARAMETRES!$J$43:$J$342,0))),""))</f>
        <v/>
      </c>
      <c r="S512" s="35">
        <f>IF(OR($G512="",$X512&lt;&gt;"VALIDE"),"",IFERROR(LOOKUP(2,1/(($B$3:$B511=$B512)*($G$3:$G511=$G512)*($X$3:$X511="VALIDE")),$C$3:$C511),""))</f>
        <v/>
      </c>
      <c r="T512" s="36">
        <f>IF(OR($C512="",$S512=""),"",ROUND(($C512-$S512+IF($C512&lt;$S512,1,0))*1440,0))</f>
        <v/>
      </c>
      <c r="U512" s="22">
        <f>IF(OR($H512="",$T512="",$T512&lt;=0),"",$H512*60/$T512)</f>
        <v/>
      </c>
      <c r="V512" s="37">
        <f>IF(OR($U512="",$R512="",$R512=0),"",$U512/$R512)</f>
        <v/>
      </c>
      <c r="W512" s="20">
        <f>IF($G512="","",IF($X512="CONTEXTE INCOMPLET","CONTEXTE INCOMPLET",IF($X512="DOUBLON",StatutDoublon,IF($S512="",StatutInitial,IF($R512="",StatutStandardManquant,IF($V512="","DONNEES INSUFFISANTES",IF($V512&gt;=SeuilConforme,StatutConforme,IF($V512&gt;=SeuilSurveiller,StatutSurveiller,StatutSousStandard))))))))</f>
        <v/>
      </c>
      <c r="X512" s="33">
        <f>IF($G512="","",IF(OR($D512="",$E512="",$F512=""),"CONTEXTE INCOMPLET",IF(COUNTIFS($D$3:$D511,$D512,$E$3:$E511,$E512,$F$3:$F511,$F512,$G$3:$G511,$G512)&gt;0,"DOUBLON","VALIDE")))</f>
        <v/>
      </c>
    </row>
    <row r="513" ht="15" customHeight="1">
      <c r="A513" s="12">
        <f>IF(OR($B513="",$G513=""),"",TEXT($B513,"YYYYMMDD")&amp;"-"&amp;SUBSTITUTE($E513," ","")&amp;"-"&amp;$F513&amp;"-"&amp;$G513)</f>
        <v/>
      </c>
      <c r="B513" s="15" t="n"/>
      <c r="C513" s="16" t="n"/>
      <c r="D513" s="10" t="n"/>
      <c r="E513" s="9" t="n"/>
      <c r="F513" s="9" t="n"/>
      <c r="G513" s="13" t="n"/>
      <c r="H513" s="21" t="n"/>
      <c r="I513" s="21" t="n"/>
      <c r="J513" s="17">
        <f>IF($G513="","",IFERROR(INDEX(NomsEmployes,MATCH($G513,MatriculesEmployes,0)),"MATRICULE INCONNU"))</f>
        <v/>
      </c>
      <c r="K513" s="33">
        <f>IF(OR($D513="",$F513=""),"",IFERROR(IF(INDEX(RUNS!$L$6:$S$1005,MATCH($D513,RUNS!$A$6:$A$1005,0),MATCH("ACTIVITÉ "&amp;$F513,RUNS!$L$5:$S$5,0))="","",INDEX(RUNS!$L$6:$S$1005,MATCH($D513,RUNS!$A$6:$A$1005,0),MATCH("ACTIVITÉ "&amp;$F513,RUNS!$L$5:$S$5,0))),""))</f>
        <v/>
      </c>
      <c r="L513" s="33">
        <f>IF($D513="","",IFERROR(IF(INDEX(RUNS!$E$6:$E$1005,MATCH($D513,RUNS!$A$6:$A$1005,0))="","",INDEX(RUNS!$E$6:$E$1005,MATCH($D513,RUNS!$A$6:$A$1005,0))),""))</f>
        <v/>
      </c>
      <c r="M513" s="33">
        <f>IF($D513="","",IFERROR(IF(INDEX(RUNS!$F$6:$F$1005,MATCH($D513,RUNS!$A$6:$A$1005,0))="","",INDEX(RUNS!$F$6:$F$1005,MATCH($D513,RUNS!$A$6:$A$1005,0))),""))</f>
        <v/>
      </c>
      <c r="N513" s="33">
        <f>IF($D513="","",IFERROR(IF(INDEX(RUNS!$G$6:$G$1005,MATCH($D513,RUNS!$A$6:$A$1005,0))="","",INDEX(RUNS!$G$6:$G$1005,MATCH($D513,RUNS!$A$6:$A$1005,0))),""))</f>
        <v/>
      </c>
      <c r="O513" s="33">
        <f>IF($D513="","",IFERROR(IF(INDEX(RUNS!$H$6:$H$1005,MATCH($D513,RUNS!$A$6:$A$1005,0))="","",INDEX(RUNS!$H$6:$H$1005,MATCH($D513,RUNS!$A$6:$A$1005,0))),""))</f>
        <v/>
      </c>
      <c r="P513" s="33">
        <f>IF($D513="","",IFERROR(IF(INDEX(RUNS!$J$6:$J$1005,MATCH($D513,RUNS!$A$6:$A$1005,0))="","",INDEX(RUNS!$J$6:$J$1005,MATCH($D513,RUNS!$A$6:$A$1005,0))),""))</f>
        <v/>
      </c>
      <c r="Q513" s="33">
        <f>IF($D513="","",IFERROR(IF(INDEX(RUNS!$K$6:$K$1005,MATCH($D513,RUNS!$A$6:$A$1005,0))="","",INDEX(RUNS!$K$6:$K$1005,MATCH($D513,RUNS!$A$6:$A$1005,0))),""))</f>
        <v/>
      </c>
      <c r="R513" s="34">
        <f>IF(OR($L513="",$K513=""),"",IFERROR(IF(INDEX(PARAMETRES!$H$43:$H$342,MATCH($L513&amp;"|"&amp;$M513&amp;"|"&amp;$N513&amp;"|"&amp;$O513&amp;"|"&amp;$P513&amp;"|"&amp;$Q513&amp;"|"&amp;$K513,PARAMETRES!$J$43:$J$342,0))="","",INDEX(PARAMETRES!$H$43:$H$342,MATCH($L513&amp;"|"&amp;$M513&amp;"|"&amp;$N513&amp;"|"&amp;$O513&amp;"|"&amp;$P513&amp;"|"&amp;$Q513&amp;"|"&amp;$K513,PARAMETRES!$J$43:$J$342,0))),""))</f>
        <v/>
      </c>
      <c r="S513" s="35">
        <f>IF(OR($G513="",$X513&lt;&gt;"VALIDE"),"",IFERROR(LOOKUP(2,1/(($B$3:$B512=$B513)*($G$3:$G512=$G513)*($X$3:$X512="VALIDE")),$C$3:$C512),""))</f>
        <v/>
      </c>
      <c r="T513" s="36">
        <f>IF(OR($C513="",$S513=""),"",ROUND(($C513-$S513+IF($C513&lt;$S513,1,0))*1440,0))</f>
        <v/>
      </c>
      <c r="U513" s="22">
        <f>IF(OR($H513="",$T513="",$T513&lt;=0),"",$H513*60/$T513)</f>
        <v/>
      </c>
      <c r="V513" s="37">
        <f>IF(OR($U513="",$R513="",$R513=0),"",$U513/$R513)</f>
        <v/>
      </c>
      <c r="W513" s="20">
        <f>IF($G513="","",IF($X513="CONTEXTE INCOMPLET","CONTEXTE INCOMPLET",IF($X513="DOUBLON",StatutDoublon,IF($S513="",StatutInitial,IF($R513="",StatutStandardManquant,IF($V513="","DONNEES INSUFFISANTES",IF($V513&gt;=SeuilConforme,StatutConforme,IF($V513&gt;=SeuilSurveiller,StatutSurveiller,StatutSousStandard))))))))</f>
        <v/>
      </c>
      <c r="X513" s="33">
        <f>IF($G513="","",IF(OR($D513="",$E513="",$F513=""),"CONTEXTE INCOMPLET",IF(COUNTIFS($D$3:$D512,$D513,$E$3:$E512,$E513,$F$3:$F512,$F513,$G$3:$G512,$G513)&gt;0,"DOUBLON","VALIDE")))</f>
        <v/>
      </c>
    </row>
    <row r="514" ht="15" customHeight="1">
      <c r="A514" s="12">
        <f>IF(OR($B514="",$G514=""),"",TEXT($B514,"YYYYMMDD")&amp;"-"&amp;SUBSTITUTE($E514," ","")&amp;"-"&amp;$F514&amp;"-"&amp;$G514)</f>
        <v/>
      </c>
      <c r="B514" s="15" t="n"/>
      <c r="C514" s="16" t="n"/>
      <c r="D514" s="10" t="n"/>
      <c r="E514" s="9" t="n"/>
      <c r="F514" s="9" t="n"/>
      <c r="G514" s="13" t="n"/>
      <c r="H514" s="21" t="n"/>
      <c r="I514" s="21" t="n"/>
      <c r="J514" s="17">
        <f>IF($G514="","",IFERROR(INDEX(NomsEmployes,MATCH($G514,MatriculesEmployes,0)),"MATRICULE INCONNU"))</f>
        <v/>
      </c>
      <c r="K514" s="33">
        <f>IF(OR($D514="",$F514=""),"",IFERROR(IF(INDEX(RUNS!$L$6:$S$1005,MATCH($D514,RUNS!$A$6:$A$1005,0),MATCH("ACTIVITÉ "&amp;$F514,RUNS!$L$5:$S$5,0))="","",INDEX(RUNS!$L$6:$S$1005,MATCH($D514,RUNS!$A$6:$A$1005,0),MATCH("ACTIVITÉ "&amp;$F514,RUNS!$L$5:$S$5,0))),""))</f>
        <v/>
      </c>
      <c r="L514" s="33">
        <f>IF($D514="","",IFERROR(IF(INDEX(RUNS!$E$6:$E$1005,MATCH($D514,RUNS!$A$6:$A$1005,0))="","",INDEX(RUNS!$E$6:$E$1005,MATCH($D514,RUNS!$A$6:$A$1005,0))),""))</f>
        <v/>
      </c>
      <c r="M514" s="33">
        <f>IF($D514="","",IFERROR(IF(INDEX(RUNS!$F$6:$F$1005,MATCH($D514,RUNS!$A$6:$A$1005,0))="","",INDEX(RUNS!$F$6:$F$1005,MATCH($D514,RUNS!$A$6:$A$1005,0))),""))</f>
        <v/>
      </c>
      <c r="N514" s="33">
        <f>IF($D514="","",IFERROR(IF(INDEX(RUNS!$G$6:$G$1005,MATCH($D514,RUNS!$A$6:$A$1005,0))="","",INDEX(RUNS!$G$6:$G$1005,MATCH($D514,RUNS!$A$6:$A$1005,0))),""))</f>
        <v/>
      </c>
      <c r="O514" s="33">
        <f>IF($D514="","",IFERROR(IF(INDEX(RUNS!$H$6:$H$1005,MATCH($D514,RUNS!$A$6:$A$1005,0))="","",INDEX(RUNS!$H$6:$H$1005,MATCH($D514,RUNS!$A$6:$A$1005,0))),""))</f>
        <v/>
      </c>
      <c r="P514" s="33">
        <f>IF($D514="","",IFERROR(IF(INDEX(RUNS!$J$6:$J$1005,MATCH($D514,RUNS!$A$6:$A$1005,0))="","",INDEX(RUNS!$J$6:$J$1005,MATCH($D514,RUNS!$A$6:$A$1005,0))),""))</f>
        <v/>
      </c>
      <c r="Q514" s="33">
        <f>IF($D514="","",IFERROR(IF(INDEX(RUNS!$K$6:$K$1005,MATCH($D514,RUNS!$A$6:$A$1005,0))="","",INDEX(RUNS!$K$6:$K$1005,MATCH($D514,RUNS!$A$6:$A$1005,0))),""))</f>
        <v/>
      </c>
      <c r="R514" s="34">
        <f>IF(OR($L514="",$K514=""),"",IFERROR(IF(INDEX(PARAMETRES!$H$43:$H$342,MATCH($L514&amp;"|"&amp;$M514&amp;"|"&amp;$N514&amp;"|"&amp;$O514&amp;"|"&amp;$P514&amp;"|"&amp;$Q514&amp;"|"&amp;$K514,PARAMETRES!$J$43:$J$342,0))="","",INDEX(PARAMETRES!$H$43:$H$342,MATCH($L514&amp;"|"&amp;$M514&amp;"|"&amp;$N514&amp;"|"&amp;$O514&amp;"|"&amp;$P514&amp;"|"&amp;$Q514&amp;"|"&amp;$K514,PARAMETRES!$J$43:$J$342,0))),""))</f>
        <v/>
      </c>
      <c r="S514" s="35">
        <f>IF(OR($G514="",$X514&lt;&gt;"VALIDE"),"",IFERROR(LOOKUP(2,1/(($B$3:$B513=$B514)*($G$3:$G513=$G514)*($X$3:$X513="VALIDE")),$C$3:$C513),""))</f>
        <v/>
      </c>
      <c r="T514" s="36">
        <f>IF(OR($C514="",$S514=""),"",ROUND(($C514-$S514+IF($C514&lt;$S514,1,0))*1440,0))</f>
        <v/>
      </c>
      <c r="U514" s="22">
        <f>IF(OR($H514="",$T514="",$T514&lt;=0),"",$H514*60/$T514)</f>
        <v/>
      </c>
      <c r="V514" s="37">
        <f>IF(OR($U514="",$R514="",$R514=0),"",$U514/$R514)</f>
        <v/>
      </c>
      <c r="W514" s="20">
        <f>IF($G514="","",IF($X514="CONTEXTE INCOMPLET","CONTEXTE INCOMPLET",IF($X514="DOUBLON",StatutDoublon,IF($S514="",StatutInitial,IF($R514="",StatutStandardManquant,IF($V514="","DONNEES INSUFFISANTES",IF($V514&gt;=SeuilConforme,StatutConforme,IF($V514&gt;=SeuilSurveiller,StatutSurveiller,StatutSousStandard))))))))</f>
        <v/>
      </c>
      <c r="X514" s="33">
        <f>IF($G514="","",IF(OR($D514="",$E514="",$F514=""),"CONTEXTE INCOMPLET",IF(COUNTIFS($D$3:$D513,$D514,$E$3:$E513,$E514,$F$3:$F513,$F514,$G$3:$G513,$G514)&gt;0,"DOUBLON","VALIDE")))</f>
        <v/>
      </c>
    </row>
    <row r="515" ht="15" customHeight="1">
      <c r="A515" s="12">
        <f>IF(OR($B515="",$G515=""),"",TEXT($B515,"YYYYMMDD")&amp;"-"&amp;SUBSTITUTE($E515," ","")&amp;"-"&amp;$F515&amp;"-"&amp;$G515)</f>
        <v/>
      </c>
      <c r="B515" s="15" t="n"/>
      <c r="C515" s="16" t="n"/>
      <c r="D515" s="10" t="n"/>
      <c r="E515" s="9" t="n"/>
      <c r="F515" s="9" t="n"/>
      <c r="G515" s="13" t="n"/>
      <c r="H515" s="21" t="n"/>
      <c r="I515" s="21" t="n"/>
      <c r="J515" s="17">
        <f>IF($G515="","",IFERROR(INDEX(NomsEmployes,MATCH($G515,MatriculesEmployes,0)),"MATRICULE INCONNU"))</f>
        <v/>
      </c>
      <c r="K515" s="33">
        <f>IF(OR($D515="",$F515=""),"",IFERROR(IF(INDEX(RUNS!$L$6:$S$1005,MATCH($D515,RUNS!$A$6:$A$1005,0),MATCH("ACTIVITÉ "&amp;$F515,RUNS!$L$5:$S$5,0))="","",INDEX(RUNS!$L$6:$S$1005,MATCH($D515,RUNS!$A$6:$A$1005,0),MATCH("ACTIVITÉ "&amp;$F515,RUNS!$L$5:$S$5,0))),""))</f>
        <v/>
      </c>
      <c r="L515" s="33">
        <f>IF($D515="","",IFERROR(IF(INDEX(RUNS!$E$6:$E$1005,MATCH($D515,RUNS!$A$6:$A$1005,0))="","",INDEX(RUNS!$E$6:$E$1005,MATCH($D515,RUNS!$A$6:$A$1005,0))),""))</f>
        <v/>
      </c>
      <c r="M515" s="33">
        <f>IF($D515="","",IFERROR(IF(INDEX(RUNS!$F$6:$F$1005,MATCH($D515,RUNS!$A$6:$A$1005,0))="","",INDEX(RUNS!$F$6:$F$1005,MATCH($D515,RUNS!$A$6:$A$1005,0))),""))</f>
        <v/>
      </c>
      <c r="N515" s="33">
        <f>IF($D515="","",IFERROR(IF(INDEX(RUNS!$G$6:$G$1005,MATCH($D515,RUNS!$A$6:$A$1005,0))="","",INDEX(RUNS!$G$6:$G$1005,MATCH($D515,RUNS!$A$6:$A$1005,0))),""))</f>
        <v/>
      </c>
      <c r="O515" s="33">
        <f>IF($D515="","",IFERROR(IF(INDEX(RUNS!$H$6:$H$1005,MATCH($D515,RUNS!$A$6:$A$1005,0))="","",INDEX(RUNS!$H$6:$H$1005,MATCH($D515,RUNS!$A$6:$A$1005,0))),""))</f>
        <v/>
      </c>
      <c r="P515" s="33">
        <f>IF($D515="","",IFERROR(IF(INDEX(RUNS!$J$6:$J$1005,MATCH($D515,RUNS!$A$6:$A$1005,0))="","",INDEX(RUNS!$J$6:$J$1005,MATCH($D515,RUNS!$A$6:$A$1005,0))),""))</f>
        <v/>
      </c>
      <c r="Q515" s="33">
        <f>IF($D515="","",IFERROR(IF(INDEX(RUNS!$K$6:$K$1005,MATCH($D515,RUNS!$A$6:$A$1005,0))="","",INDEX(RUNS!$K$6:$K$1005,MATCH($D515,RUNS!$A$6:$A$1005,0))),""))</f>
        <v/>
      </c>
      <c r="R515" s="34">
        <f>IF(OR($L515="",$K515=""),"",IFERROR(IF(INDEX(PARAMETRES!$H$43:$H$342,MATCH($L515&amp;"|"&amp;$M515&amp;"|"&amp;$N515&amp;"|"&amp;$O515&amp;"|"&amp;$P515&amp;"|"&amp;$Q515&amp;"|"&amp;$K515,PARAMETRES!$J$43:$J$342,0))="","",INDEX(PARAMETRES!$H$43:$H$342,MATCH($L515&amp;"|"&amp;$M515&amp;"|"&amp;$N515&amp;"|"&amp;$O515&amp;"|"&amp;$P515&amp;"|"&amp;$Q515&amp;"|"&amp;$K515,PARAMETRES!$J$43:$J$342,0))),""))</f>
        <v/>
      </c>
      <c r="S515" s="35">
        <f>IF(OR($G515="",$X515&lt;&gt;"VALIDE"),"",IFERROR(LOOKUP(2,1/(($B$3:$B514=$B515)*($G$3:$G514=$G515)*($X$3:$X514="VALIDE")),$C$3:$C514),""))</f>
        <v/>
      </c>
      <c r="T515" s="36">
        <f>IF(OR($C515="",$S515=""),"",ROUND(($C515-$S515+IF($C515&lt;$S515,1,0))*1440,0))</f>
        <v/>
      </c>
      <c r="U515" s="22">
        <f>IF(OR($H515="",$T515="",$T515&lt;=0),"",$H515*60/$T515)</f>
        <v/>
      </c>
      <c r="V515" s="37">
        <f>IF(OR($U515="",$R515="",$R515=0),"",$U515/$R515)</f>
        <v/>
      </c>
      <c r="W515" s="20">
        <f>IF($G515="","",IF($X515="CONTEXTE INCOMPLET","CONTEXTE INCOMPLET",IF($X515="DOUBLON",StatutDoublon,IF($S515="",StatutInitial,IF($R515="",StatutStandardManquant,IF($V515="","DONNEES INSUFFISANTES",IF($V515&gt;=SeuilConforme,StatutConforme,IF($V515&gt;=SeuilSurveiller,StatutSurveiller,StatutSousStandard))))))))</f>
        <v/>
      </c>
      <c r="X515" s="33">
        <f>IF($G515="","",IF(OR($D515="",$E515="",$F515=""),"CONTEXTE INCOMPLET",IF(COUNTIFS($D$3:$D514,$D515,$E$3:$E514,$E515,$F$3:$F514,$F515,$G$3:$G514,$G515)&gt;0,"DOUBLON","VALIDE")))</f>
        <v/>
      </c>
    </row>
    <row r="516" ht="15" customHeight="1">
      <c r="A516" s="12">
        <f>IF(OR($B516="",$G516=""),"",TEXT($B516,"YYYYMMDD")&amp;"-"&amp;SUBSTITUTE($E516," ","")&amp;"-"&amp;$F516&amp;"-"&amp;$G516)</f>
        <v/>
      </c>
      <c r="B516" s="15" t="n"/>
      <c r="C516" s="16" t="n"/>
      <c r="D516" s="10" t="n"/>
      <c r="E516" s="9" t="n"/>
      <c r="F516" s="9" t="n"/>
      <c r="G516" s="13" t="n"/>
      <c r="H516" s="21" t="n"/>
      <c r="I516" s="21" t="n"/>
      <c r="J516" s="17">
        <f>IF($G516="","",IFERROR(INDEX(NomsEmployes,MATCH($G516,MatriculesEmployes,0)),"MATRICULE INCONNU"))</f>
        <v/>
      </c>
      <c r="K516" s="33">
        <f>IF(OR($D516="",$F516=""),"",IFERROR(IF(INDEX(RUNS!$L$6:$S$1005,MATCH($D516,RUNS!$A$6:$A$1005,0),MATCH("ACTIVITÉ "&amp;$F516,RUNS!$L$5:$S$5,0))="","",INDEX(RUNS!$L$6:$S$1005,MATCH($D516,RUNS!$A$6:$A$1005,0),MATCH("ACTIVITÉ "&amp;$F516,RUNS!$L$5:$S$5,0))),""))</f>
        <v/>
      </c>
      <c r="L516" s="33">
        <f>IF($D516="","",IFERROR(IF(INDEX(RUNS!$E$6:$E$1005,MATCH($D516,RUNS!$A$6:$A$1005,0))="","",INDEX(RUNS!$E$6:$E$1005,MATCH($D516,RUNS!$A$6:$A$1005,0))),""))</f>
        <v/>
      </c>
      <c r="M516" s="33">
        <f>IF($D516="","",IFERROR(IF(INDEX(RUNS!$F$6:$F$1005,MATCH($D516,RUNS!$A$6:$A$1005,0))="","",INDEX(RUNS!$F$6:$F$1005,MATCH($D516,RUNS!$A$6:$A$1005,0))),""))</f>
        <v/>
      </c>
      <c r="N516" s="33">
        <f>IF($D516="","",IFERROR(IF(INDEX(RUNS!$G$6:$G$1005,MATCH($D516,RUNS!$A$6:$A$1005,0))="","",INDEX(RUNS!$G$6:$G$1005,MATCH($D516,RUNS!$A$6:$A$1005,0))),""))</f>
        <v/>
      </c>
      <c r="O516" s="33">
        <f>IF($D516="","",IFERROR(IF(INDEX(RUNS!$H$6:$H$1005,MATCH($D516,RUNS!$A$6:$A$1005,0))="","",INDEX(RUNS!$H$6:$H$1005,MATCH($D516,RUNS!$A$6:$A$1005,0))),""))</f>
        <v/>
      </c>
      <c r="P516" s="33">
        <f>IF($D516="","",IFERROR(IF(INDEX(RUNS!$J$6:$J$1005,MATCH($D516,RUNS!$A$6:$A$1005,0))="","",INDEX(RUNS!$J$6:$J$1005,MATCH($D516,RUNS!$A$6:$A$1005,0))),""))</f>
        <v/>
      </c>
      <c r="Q516" s="33">
        <f>IF($D516="","",IFERROR(IF(INDEX(RUNS!$K$6:$K$1005,MATCH($D516,RUNS!$A$6:$A$1005,0))="","",INDEX(RUNS!$K$6:$K$1005,MATCH($D516,RUNS!$A$6:$A$1005,0))),""))</f>
        <v/>
      </c>
      <c r="R516" s="34">
        <f>IF(OR($L516="",$K516=""),"",IFERROR(IF(INDEX(PARAMETRES!$H$43:$H$342,MATCH($L516&amp;"|"&amp;$M516&amp;"|"&amp;$N516&amp;"|"&amp;$O516&amp;"|"&amp;$P516&amp;"|"&amp;$Q516&amp;"|"&amp;$K516,PARAMETRES!$J$43:$J$342,0))="","",INDEX(PARAMETRES!$H$43:$H$342,MATCH($L516&amp;"|"&amp;$M516&amp;"|"&amp;$N516&amp;"|"&amp;$O516&amp;"|"&amp;$P516&amp;"|"&amp;$Q516&amp;"|"&amp;$K516,PARAMETRES!$J$43:$J$342,0))),""))</f>
        <v/>
      </c>
      <c r="S516" s="35">
        <f>IF(OR($G516="",$X516&lt;&gt;"VALIDE"),"",IFERROR(LOOKUP(2,1/(($B$3:$B515=$B516)*($G$3:$G515=$G516)*($X$3:$X515="VALIDE")),$C$3:$C515),""))</f>
        <v/>
      </c>
      <c r="T516" s="36">
        <f>IF(OR($C516="",$S516=""),"",ROUND(($C516-$S516+IF($C516&lt;$S516,1,0))*1440,0))</f>
        <v/>
      </c>
      <c r="U516" s="22">
        <f>IF(OR($H516="",$T516="",$T516&lt;=0),"",$H516*60/$T516)</f>
        <v/>
      </c>
      <c r="V516" s="37">
        <f>IF(OR($U516="",$R516="",$R516=0),"",$U516/$R516)</f>
        <v/>
      </c>
      <c r="W516" s="20">
        <f>IF($G516="","",IF($X516="CONTEXTE INCOMPLET","CONTEXTE INCOMPLET",IF($X516="DOUBLON",StatutDoublon,IF($S516="",StatutInitial,IF($R516="",StatutStandardManquant,IF($V516="","DONNEES INSUFFISANTES",IF($V516&gt;=SeuilConforme,StatutConforme,IF($V516&gt;=SeuilSurveiller,StatutSurveiller,StatutSousStandard))))))))</f>
        <v/>
      </c>
      <c r="X516" s="33">
        <f>IF($G516="","",IF(OR($D516="",$E516="",$F516=""),"CONTEXTE INCOMPLET",IF(COUNTIFS($D$3:$D515,$D516,$E$3:$E515,$E516,$F$3:$F515,$F516,$G$3:$G515,$G516)&gt;0,"DOUBLON","VALIDE")))</f>
        <v/>
      </c>
    </row>
    <row r="517" ht="15" customHeight="1">
      <c r="A517" s="12">
        <f>IF(OR($B517="",$G517=""),"",TEXT($B517,"YYYYMMDD")&amp;"-"&amp;SUBSTITUTE($E517," ","")&amp;"-"&amp;$F517&amp;"-"&amp;$G517)</f>
        <v/>
      </c>
      <c r="B517" s="15" t="n"/>
      <c r="C517" s="16" t="n"/>
      <c r="D517" s="10" t="n"/>
      <c r="E517" s="9" t="n"/>
      <c r="F517" s="9" t="n"/>
      <c r="G517" s="13" t="n"/>
      <c r="H517" s="21" t="n"/>
      <c r="I517" s="21" t="n"/>
      <c r="J517" s="17">
        <f>IF($G517="","",IFERROR(INDEX(NomsEmployes,MATCH($G517,MatriculesEmployes,0)),"MATRICULE INCONNU"))</f>
        <v/>
      </c>
      <c r="K517" s="33">
        <f>IF(OR($D517="",$F517=""),"",IFERROR(IF(INDEX(RUNS!$L$6:$S$1005,MATCH($D517,RUNS!$A$6:$A$1005,0),MATCH("ACTIVITÉ "&amp;$F517,RUNS!$L$5:$S$5,0))="","",INDEX(RUNS!$L$6:$S$1005,MATCH($D517,RUNS!$A$6:$A$1005,0),MATCH("ACTIVITÉ "&amp;$F517,RUNS!$L$5:$S$5,0))),""))</f>
        <v/>
      </c>
      <c r="L517" s="33">
        <f>IF($D517="","",IFERROR(IF(INDEX(RUNS!$E$6:$E$1005,MATCH($D517,RUNS!$A$6:$A$1005,0))="","",INDEX(RUNS!$E$6:$E$1005,MATCH($D517,RUNS!$A$6:$A$1005,0))),""))</f>
        <v/>
      </c>
      <c r="M517" s="33">
        <f>IF($D517="","",IFERROR(IF(INDEX(RUNS!$F$6:$F$1005,MATCH($D517,RUNS!$A$6:$A$1005,0))="","",INDEX(RUNS!$F$6:$F$1005,MATCH($D517,RUNS!$A$6:$A$1005,0))),""))</f>
        <v/>
      </c>
      <c r="N517" s="33">
        <f>IF($D517="","",IFERROR(IF(INDEX(RUNS!$G$6:$G$1005,MATCH($D517,RUNS!$A$6:$A$1005,0))="","",INDEX(RUNS!$G$6:$G$1005,MATCH($D517,RUNS!$A$6:$A$1005,0))),""))</f>
        <v/>
      </c>
      <c r="O517" s="33">
        <f>IF($D517="","",IFERROR(IF(INDEX(RUNS!$H$6:$H$1005,MATCH($D517,RUNS!$A$6:$A$1005,0))="","",INDEX(RUNS!$H$6:$H$1005,MATCH($D517,RUNS!$A$6:$A$1005,0))),""))</f>
        <v/>
      </c>
      <c r="P517" s="33">
        <f>IF($D517="","",IFERROR(IF(INDEX(RUNS!$J$6:$J$1005,MATCH($D517,RUNS!$A$6:$A$1005,0))="","",INDEX(RUNS!$J$6:$J$1005,MATCH($D517,RUNS!$A$6:$A$1005,0))),""))</f>
        <v/>
      </c>
      <c r="Q517" s="33">
        <f>IF($D517="","",IFERROR(IF(INDEX(RUNS!$K$6:$K$1005,MATCH($D517,RUNS!$A$6:$A$1005,0))="","",INDEX(RUNS!$K$6:$K$1005,MATCH($D517,RUNS!$A$6:$A$1005,0))),""))</f>
        <v/>
      </c>
      <c r="R517" s="34">
        <f>IF(OR($L517="",$K517=""),"",IFERROR(IF(INDEX(PARAMETRES!$H$43:$H$342,MATCH($L517&amp;"|"&amp;$M517&amp;"|"&amp;$N517&amp;"|"&amp;$O517&amp;"|"&amp;$P517&amp;"|"&amp;$Q517&amp;"|"&amp;$K517,PARAMETRES!$J$43:$J$342,0))="","",INDEX(PARAMETRES!$H$43:$H$342,MATCH($L517&amp;"|"&amp;$M517&amp;"|"&amp;$N517&amp;"|"&amp;$O517&amp;"|"&amp;$P517&amp;"|"&amp;$Q517&amp;"|"&amp;$K517,PARAMETRES!$J$43:$J$342,0))),""))</f>
        <v/>
      </c>
      <c r="S517" s="35">
        <f>IF(OR($G517="",$X517&lt;&gt;"VALIDE"),"",IFERROR(LOOKUP(2,1/(($B$3:$B516=$B517)*($G$3:$G516=$G517)*($X$3:$X516="VALIDE")),$C$3:$C516),""))</f>
        <v/>
      </c>
      <c r="T517" s="36">
        <f>IF(OR($C517="",$S517=""),"",ROUND(($C517-$S517+IF($C517&lt;$S517,1,0))*1440,0))</f>
        <v/>
      </c>
      <c r="U517" s="22">
        <f>IF(OR($H517="",$T517="",$T517&lt;=0),"",$H517*60/$T517)</f>
        <v/>
      </c>
      <c r="V517" s="37">
        <f>IF(OR($U517="",$R517="",$R517=0),"",$U517/$R517)</f>
        <v/>
      </c>
      <c r="W517" s="20">
        <f>IF($G517="","",IF($X517="CONTEXTE INCOMPLET","CONTEXTE INCOMPLET",IF($X517="DOUBLON",StatutDoublon,IF($S517="",StatutInitial,IF($R517="",StatutStandardManquant,IF($V517="","DONNEES INSUFFISANTES",IF($V517&gt;=SeuilConforme,StatutConforme,IF($V517&gt;=SeuilSurveiller,StatutSurveiller,StatutSousStandard))))))))</f>
        <v/>
      </c>
      <c r="X517" s="33">
        <f>IF($G517="","",IF(OR($D517="",$E517="",$F517=""),"CONTEXTE INCOMPLET",IF(COUNTIFS($D$3:$D516,$D517,$E$3:$E516,$E517,$F$3:$F516,$F517,$G$3:$G516,$G517)&gt;0,"DOUBLON","VALIDE")))</f>
        <v/>
      </c>
    </row>
    <row r="518" ht="15" customHeight="1">
      <c r="A518" s="12">
        <f>IF(OR($B518="",$G518=""),"",TEXT($B518,"YYYYMMDD")&amp;"-"&amp;SUBSTITUTE($E518," ","")&amp;"-"&amp;$F518&amp;"-"&amp;$G518)</f>
        <v/>
      </c>
      <c r="B518" s="15" t="n"/>
      <c r="C518" s="16" t="n"/>
      <c r="D518" s="10" t="n"/>
      <c r="E518" s="9" t="n"/>
      <c r="F518" s="9" t="n"/>
      <c r="G518" s="13" t="n"/>
      <c r="H518" s="21" t="n"/>
      <c r="I518" s="21" t="n"/>
      <c r="J518" s="17">
        <f>IF($G518="","",IFERROR(INDEX(NomsEmployes,MATCH($G518,MatriculesEmployes,0)),"MATRICULE INCONNU"))</f>
        <v/>
      </c>
      <c r="K518" s="33">
        <f>IF(OR($D518="",$F518=""),"",IFERROR(IF(INDEX(RUNS!$L$6:$S$1005,MATCH($D518,RUNS!$A$6:$A$1005,0),MATCH("ACTIVITÉ "&amp;$F518,RUNS!$L$5:$S$5,0))="","",INDEX(RUNS!$L$6:$S$1005,MATCH($D518,RUNS!$A$6:$A$1005,0),MATCH("ACTIVITÉ "&amp;$F518,RUNS!$L$5:$S$5,0))),""))</f>
        <v/>
      </c>
      <c r="L518" s="33">
        <f>IF($D518="","",IFERROR(IF(INDEX(RUNS!$E$6:$E$1005,MATCH($D518,RUNS!$A$6:$A$1005,0))="","",INDEX(RUNS!$E$6:$E$1005,MATCH($D518,RUNS!$A$6:$A$1005,0))),""))</f>
        <v/>
      </c>
      <c r="M518" s="33">
        <f>IF($D518="","",IFERROR(IF(INDEX(RUNS!$F$6:$F$1005,MATCH($D518,RUNS!$A$6:$A$1005,0))="","",INDEX(RUNS!$F$6:$F$1005,MATCH($D518,RUNS!$A$6:$A$1005,0))),""))</f>
        <v/>
      </c>
      <c r="N518" s="33">
        <f>IF($D518="","",IFERROR(IF(INDEX(RUNS!$G$6:$G$1005,MATCH($D518,RUNS!$A$6:$A$1005,0))="","",INDEX(RUNS!$G$6:$G$1005,MATCH($D518,RUNS!$A$6:$A$1005,0))),""))</f>
        <v/>
      </c>
      <c r="O518" s="33">
        <f>IF($D518="","",IFERROR(IF(INDEX(RUNS!$H$6:$H$1005,MATCH($D518,RUNS!$A$6:$A$1005,0))="","",INDEX(RUNS!$H$6:$H$1005,MATCH($D518,RUNS!$A$6:$A$1005,0))),""))</f>
        <v/>
      </c>
      <c r="P518" s="33">
        <f>IF($D518="","",IFERROR(IF(INDEX(RUNS!$J$6:$J$1005,MATCH($D518,RUNS!$A$6:$A$1005,0))="","",INDEX(RUNS!$J$6:$J$1005,MATCH($D518,RUNS!$A$6:$A$1005,0))),""))</f>
        <v/>
      </c>
      <c r="Q518" s="33">
        <f>IF($D518="","",IFERROR(IF(INDEX(RUNS!$K$6:$K$1005,MATCH($D518,RUNS!$A$6:$A$1005,0))="","",INDEX(RUNS!$K$6:$K$1005,MATCH($D518,RUNS!$A$6:$A$1005,0))),""))</f>
        <v/>
      </c>
      <c r="R518" s="34">
        <f>IF(OR($L518="",$K518=""),"",IFERROR(IF(INDEX(PARAMETRES!$H$43:$H$342,MATCH($L518&amp;"|"&amp;$M518&amp;"|"&amp;$N518&amp;"|"&amp;$O518&amp;"|"&amp;$P518&amp;"|"&amp;$Q518&amp;"|"&amp;$K518,PARAMETRES!$J$43:$J$342,0))="","",INDEX(PARAMETRES!$H$43:$H$342,MATCH($L518&amp;"|"&amp;$M518&amp;"|"&amp;$N518&amp;"|"&amp;$O518&amp;"|"&amp;$P518&amp;"|"&amp;$Q518&amp;"|"&amp;$K518,PARAMETRES!$J$43:$J$342,0))),""))</f>
        <v/>
      </c>
      <c r="S518" s="35">
        <f>IF(OR($G518="",$X518&lt;&gt;"VALIDE"),"",IFERROR(LOOKUP(2,1/(($B$3:$B517=$B518)*($G$3:$G517=$G518)*($X$3:$X517="VALIDE")),$C$3:$C517),""))</f>
        <v/>
      </c>
      <c r="T518" s="36">
        <f>IF(OR($C518="",$S518=""),"",ROUND(($C518-$S518+IF($C518&lt;$S518,1,0))*1440,0))</f>
        <v/>
      </c>
      <c r="U518" s="22">
        <f>IF(OR($H518="",$T518="",$T518&lt;=0),"",$H518*60/$T518)</f>
        <v/>
      </c>
      <c r="V518" s="37">
        <f>IF(OR($U518="",$R518="",$R518=0),"",$U518/$R518)</f>
        <v/>
      </c>
      <c r="W518" s="20">
        <f>IF($G518="","",IF($X518="CONTEXTE INCOMPLET","CONTEXTE INCOMPLET",IF($X518="DOUBLON",StatutDoublon,IF($S518="",StatutInitial,IF($R518="",StatutStandardManquant,IF($V518="","DONNEES INSUFFISANTES",IF($V518&gt;=SeuilConforme,StatutConforme,IF($V518&gt;=SeuilSurveiller,StatutSurveiller,StatutSousStandard))))))))</f>
        <v/>
      </c>
      <c r="X518" s="33">
        <f>IF($G518="","",IF(OR($D518="",$E518="",$F518=""),"CONTEXTE INCOMPLET",IF(COUNTIFS($D$3:$D517,$D518,$E$3:$E517,$E518,$F$3:$F517,$F518,$G$3:$G517,$G518)&gt;0,"DOUBLON","VALIDE")))</f>
        <v/>
      </c>
    </row>
    <row r="519" ht="15" customHeight="1">
      <c r="A519" s="12">
        <f>IF(OR($B519="",$G519=""),"",TEXT($B519,"YYYYMMDD")&amp;"-"&amp;SUBSTITUTE($E519," ","")&amp;"-"&amp;$F519&amp;"-"&amp;$G519)</f>
        <v/>
      </c>
      <c r="B519" s="15" t="n"/>
      <c r="C519" s="16" t="n"/>
      <c r="D519" s="10" t="n"/>
      <c r="E519" s="9" t="n"/>
      <c r="F519" s="9" t="n"/>
      <c r="G519" s="13" t="n"/>
      <c r="H519" s="21" t="n"/>
      <c r="I519" s="21" t="n"/>
      <c r="J519" s="17">
        <f>IF($G519="","",IFERROR(INDEX(NomsEmployes,MATCH($G519,MatriculesEmployes,0)),"MATRICULE INCONNU"))</f>
        <v/>
      </c>
      <c r="K519" s="33">
        <f>IF(OR($D519="",$F519=""),"",IFERROR(IF(INDEX(RUNS!$L$6:$S$1005,MATCH($D519,RUNS!$A$6:$A$1005,0),MATCH("ACTIVITÉ "&amp;$F519,RUNS!$L$5:$S$5,0))="","",INDEX(RUNS!$L$6:$S$1005,MATCH($D519,RUNS!$A$6:$A$1005,0),MATCH("ACTIVITÉ "&amp;$F519,RUNS!$L$5:$S$5,0))),""))</f>
        <v/>
      </c>
      <c r="L519" s="33">
        <f>IF($D519="","",IFERROR(IF(INDEX(RUNS!$E$6:$E$1005,MATCH($D519,RUNS!$A$6:$A$1005,0))="","",INDEX(RUNS!$E$6:$E$1005,MATCH($D519,RUNS!$A$6:$A$1005,0))),""))</f>
        <v/>
      </c>
      <c r="M519" s="33">
        <f>IF($D519="","",IFERROR(IF(INDEX(RUNS!$F$6:$F$1005,MATCH($D519,RUNS!$A$6:$A$1005,0))="","",INDEX(RUNS!$F$6:$F$1005,MATCH($D519,RUNS!$A$6:$A$1005,0))),""))</f>
        <v/>
      </c>
      <c r="N519" s="33">
        <f>IF($D519="","",IFERROR(IF(INDEX(RUNS!$G$6:$G$1005,MATCH($D519,RUNS!$A$6:$A$1005,0))="","",INDEX(RUNS!$G$6:$G$1005,MATCH($D519,RUNS!$A$6:$A$1005,0))),""))</f>
        <v/>
      </c>
      <c r="O519" s="33">
        <f>IF($D519="","",IFERROR(IF(INDEX(RUNS!$H$6:$H$1005,MATCH($D519,RUNS!$A$6:$A$1005,0))="","",INDEX(RUNS!$H$6:$H$1005,MATCH($D519,RUNS!$A$6:$A$1005,0))),""))</f>
        <v/>
      </c>
      <c r="P519" s="33">
        <f>IF($D519="","",IFERROR(IF(INDEX(RUNS!$J$6:$J$1005,MATCH($D519,RUNS!$A$6:$A$1005,0))="","",INDEX(RUNS!$J$6:$J$1005,MATCH($D519,RUNS!$A$6:$A$1005,0))),""))</f>
        <v/>
      </c>
      <c r="Q519" s="33">
        <f>IF($D519="","",IFERROR(IF(INDEX(RUNS!$K$6:$K$1005,MATCH($D519,RUNS!$A$6:$A$1005,0))="","",INDEX(RUNS!$K$6:$K$1005,MATCH($D519,RUNS!$A$6:$A$1005,0))),""))</f>
        <v/>
      </c>
      <c r="R519" s="34">
        <f>IF(OR($L519="",$K519=""),"",IFERROR(IF(INDEX(PARAMETRES!$H$43:$H$342,MATCH($L519&amp;"|"&amp;$M519&amp;"|"&amp;$N519&amp;"|"&amp;$O519&amp;"|"&amp;$P519&amp;"|"&amp;$Q519&amp;"|"&amp;$K519,PARAMETRES!$J$43:$J$342,0))="","",INDEX(PARAMETRES!$H$43:$H$342,MATCH($L519&amp;"|"&amp;$M519&amp;"|"&amp;$N519&amp;"|"&amp;$O519&amp;"|"&amp;$P519&amp;"|"&amp;$Q519&amp;"|"&amp;$K519,PARAMETRES!$J$43:$J$342,0))),""))</f>
        <v/>
      </c>
      <c r="S519" s="35">
        <f>IF(OR($G519="",$X519&lt;&gt;"VALIDE"),"",IFERROR(LOOKUP(2,1/(($B$3:$B518=$B519)*($G$3:$G518=$G519)*($X$3:$X518="VALIDE")),$C$3:$C518),""))</f>
        <v/>
      </c>
      <c r="T519" s="36">
        <f>IF(OR($C519="",$S519=""),"",ROUND(($C519-$S519+IF($C519&lt;$S519,1,0))*1440,0))</f>
        <v/>
      </c>
      <c r="U519" s="22">
        <f>IF(OR($H519="",$T519="",$T519&lt;=0),"",$H519*60/$T519)</f>
        <v/>
      </c>
      <c r="V519" s="37">
        <f>IF(OR($U519="",$R519="",$R519=0),"",$U519/$R519)</f>
        <v/>
      </c>
      <c r="W519" s="20">
        <f>IF($G519="","",IF($X519="CONTEXTE INCOMPLET","CONTEXTE INCOMPLET",IF($X519="DOUBLON",StatutDoublon,IF($S519="",StatutInitial,IF($R519="",StatutStandardManquant,IF($V519="","DONNEES INSUFFISANTES",IF($V519&gt;=SeuilConforme,StatutConforme,IF($V519&gt;=SeuilSurveiller,StatutSurveiller,StatutSousStandard))))))))</f>
        <v/>
      </c>
      <c r="X519" s="33">
        <f>IF($G519="","",IF(OR($D519="",$E519="",$F519=""),"CONTEXTE INCOMPLET",IF(COUNTIFS($D$3:$D518,$D519,$E$3:$E518,$E519,$F$3:$F518,$F519,$G$3:$G518,$G519)&gt;0,"DOUBLON","VALIDE")))</f>
        <v/>
      </c>
    </row>
    <row r="520" ht="15" customHeight="1">
      <c r="A520" s="12">
        <f>IF(OR($B520="",$G520=""),"",TEXT($B520,"YYYYMMDD")&amp;"-"&amp;SUBSTITUTE($E520," ","")&amp;"-"&amp;$F520&amp;"-"&amp;$G520)</f>
        <v/>
      </c>
      <c r="B520" s="15" t="n"/>
      <c r="C520" s="16" t="n"/>
      <c r="D520" s="10" t="n"/>
      <c r="E520" s="9" t="n"/>
      <c r="F520" s="9" t="n"/>
      <c r="G520" s="13" t="n"/>
      <c r="H520" s="21" t="n"/>
      <c r="I520" s="21" t="n"/>
      <c r="J520" s="17">
        <f>IF($G520="","",IFERROR(INDEX(NomsEmployes,MATCH($G520,MatriculesEmployes,0)),"MATRICULE INCONNU"))</f>
        <v/>
      </c>
      <c r="K520" s="33">
        <f>IF(OR($D520="",$F520=""),"",IFERROR(IF(INDEX(RUNS!$L$6:$S$1005,MATCH($D520,RUNS!$A$6:$A$1005,0),MATCH("ACTIVITÉ "&amp;$F520,RUNS!$L$5:$S$5,0))="","",INDEX(RUNS!$L$6:$S$1005,MATCH($D520,RUNS!$A$6:$A$1005,0),MATCH("ACTIVITÉ "&amp;$F520,RUNS!$L$5:$S$5,0))),""))</f>
        <v/>
      </c>
      <c r="L520" s="33">
        <f>IF($D520="","",IFERROR(IF(INDEX(RUNS!$E$6:$E$1005,MATCH($D520,RUNS!$A$6:$A$1005,0))="","",INDEX(RUNS!$E$6:$E$1005,MATCH($D520,RUNS!$A$6:$A$1005,0))),""))</f>
        <v/>
      </c>
      <c r="M520" s="33">
        <f>IF($D520="","",IFERROR(IF(INDEX(RUNS!$F$6:$F$1005,MATCH($D520,RUNS!$A$6:$A$1005,0))="","",INDEX(RUNS!$F$6:$F$1005,MATCH($D520,RUNS!$A$6:$A$1005,0))),""))</f>
        <v/>
      </c>
      <c r="N520" s="33">
        <f>IF($D520="","",IFERROR(IF(INDEX(RUNS!$G$6:$G$1005,MATCH($D520,RUNS!$A$6:$A$1005,0))="","",INDEX(RUNS!$G$6:$G$1005,MATCH($D520,RUNS!$A$6:$A$1005,0))),""))</f>
        <v/>
      </c>
      <c r="O520" s="33">
        <f>IF($D520="","",IFERROR(IF(INDEX(RUNS!$H$6:$H$1005,MATCH($D520,RUNS!$A$6:$A$1005,0))="","",INDEX(RUNS!$H$6:$H$1005,MATCH($D520,RUNS!$A$6:$A$1005,0))),""))</f>
        <v/>
      </c>
      <c r="P520" s="33">
        <f>IF($D520="","",IFERROR(IF(INDEX(RUNS!$J$6:$J$1005,MATCH($D520,RUNS!$A$6:$A$1005,0))="","",INDEX(RUNS!$J$6:$J$1005,MATCH($D520,RUNS!$A$6:$A$1005,0))),""))</f>
        <v/>
      </c>
      <c r="Q520" s="33">
        <f>IF($D520="","",IFERROR(IF(INDEX(RUNS!$K$6:$K$1005,MATCH($D520,RUNS!$A$6:$A$1005,0))="","",INDEX(RUNS!$K$6:$K$1005,MATCH($D520,RUNS!$A$6:$A$1005,0))),""))</f>
        <v/>
      </c>
      <c r="R520" s="34">
        <f>IF(OR($L520="",$K520=""),"",IFERROR(IF(INDEX(PARAMETRES!$H$43:$H$342,MATCH($L520&amp;"|"&amp;$M520&amp;"|"&amp;$N520&amp;"|"&amp;$O520&amp;"|"&amp;$P520&amp;"|"&amp;$Q520&amp;"|"&amp;$K520,PARAMETRES!$J$43:$J$342,0))="","",INDEX(PARAMETRES!$H$43:$H$342,MATCH($L520&amp;"|"&amp;$M520&amp;"|"&amp;$N520&amp;"|"&amp;$O520&amp;"|"&amp;$P520&amp;"|"&amp;$Q520&amp;"|"&amp;$K520,PARAMETRES!$J$43:$J$342,0))),""))</f>
        <v/>
      </c>
      <c r="S520" s="35">
        <f>IF(OR($G520="",$X520&lt;&gt;"VALIDE"),"",IFERROR(LOOKUP(2,1/(($B$3:$B519=$B520)*($G$3:$G519=$G520)*($X$3:$X519="VALIDE")),$C$3:$C519),""))</f>
        <v/>
      </c>
      <c r="T520" s="36">
        <f>IF(OR($C520="",$S520=""),"",ROUND(($C520-$S520+IF($C520&lt;$S520,1,0))*1440,0))</f>
        <v/>
      </c>
      <c r="U520" s="22">
        <f>IF(OR($H520="",$T520="",$T520&lt;=0),"",$H520*60/$T520)</f>
        <v/>
      </c>
      <c r="V520" s="37">
        <f>IF(OR($U520="",$R520="",$R520=0),"",$U520/$R520)</f>
        <v/>
      </c>
      <c r="W520" s="20">
        <f>IF($G520="","",IF($X520="CONTEXTE INCOMPLET","CONTEXTE INCOMPLET",IF($X520="DOUBLON",StatutDoublon,IF($S520="",StatutInitial,IF($R520="",StatutStandardManquant,IF($V520="","DONNEES INSUFFISANTES",IF($V520&gt;=SeuilConforme,StatutConforme,IF($V520&gt;=SeuilSurveiller,StatutSurveiller,StatutSousStandard))))))))</f>
        <v/>
      </c>
      <c r="X520" s="33">
        <f>IF($G520="","",IF(OR($D520="",$E520="",$F520=""),"CONTEXTE INCOMPLET",IF(COUNTIFS($D$3:$D519,$D520,$E$3:$E519,$E520,$F$3:$F519,$F520,$G$3:$G519,$G520)&gt;0,"DOUBLON","VALIDE")))</f>
        <v/>
      </c>
    </row>
    <row r="521" ht="15" customHeight="1">
      <c r="A521" s="12">
        <f>IF(OR($B521="",$G521=""),"",TEXT($B521,"YYYYMMDD")&amp;"-"&amp;SUBSTITUTE($E521," ","")&amp;"-"&amp;$F521&amp;"-"&amp;$G521)</f>
        <v/>
      </c>
      <c r="B521" s="15" t="n"/>
      <c r="C521" s="16" t="n"/>
      <c r="D521" s="10" t="n"/>
      <c r="E521" s="9" t="n"/>
      <c r="F521" s="9" t="n"/>
      <c r="G521" s="13" t="n"/>
      <c r="H521" s="21" t="n"/>
      <c r="I521" s="21" t="n"/>
      <c r="J521" s="17">
        <f>IF($G521="","",IFERROR(INDEX(NomsEmployes,MATCH($G521,MatriculesEmployes,0)),"MATRICULE INCONNU"))</f>
        <v/>
      </c>
      <c r="K521" s="33">
        <f>IF(OR($D521="",$F521=""),"",IFERROR(IF(INDEX(RUNS!$L$6:$S$1005,MATCH($D521,RUNS!$A$6:$A$1005,0),MATCH("ACTIVITÉ "&amp;$F521,RUNS!$L$5:$S$5,0))="","",INDEX(RUNS!$L$6:$S$1005,MATCH($D521,RUNS!$A$6:$A$1005,0),MATCH("ACTIVITÉ "&amp;$F521,RUNS!$L$5:$S$5,0))),""))</f>
        <v/>
      </c>
      <c r="L521" s="33">
        <f>IF($D521="","",IFERROR(IF(INDEX(RUNS!$E$6:$E$1005,MATCH($D521,RUNS!$A$6:$A$1005,0))="","",INDEX(RUNS!$E$6:$E$1005,MATCH($D521,RUNS!$A$6:$A$1005,0))),""))</f>
        <v/>
      </c>
      <c r="M521" s="33">
        <f>IF($D521="","",IFERROR(IF(INDEX(RUNS!$F$6:$F$1005,MATCH($D521,RUNS!$A$6:$A$1005,0))="","",INDEX(RUNS!$F$6:$F$1005,MATCH($D521,RUNS!$A$6:$A$1005,0))),""))</f>
        <v/>
      </c>
      <c r="N521" s="33">
        <f>IF($D521="","",IFERROR(IF(INDEX(RUNS!$G$6:$G$1005,MATCH($D521,RUNS!$A$6:$A$1005,0))="","",INDEX(RUNS!$G$6:$G$1005,MATCH($D521,RUNS!$A$6:$A$1005,0))),""))</f>
        <v/>
      </c>
      <c r="O521" s="33">
        <f>IF($D521="","",IFERROR(IF(INDEX(RUNS!$H$6:$H$1005,MATCH($D521,RUNS!$A$6:$A$1005,0))="","",INDEX(RUNS!$H$6:$H$1005,MATCH($D521,RUNS!$A$6:$A$1005,0))),""))</f>
        <v/>
      </c>
      <c r="P521" s="33">
        <f>IF($D521="","",IFERROR(IF(INDEX(RUNS!$J$6:$J$1005,MATCH($D521,RUNS!$A$6:$A$1005,0))="","",INDEX(RUNS!$J$6:$J$1005,MATCH($D521,RUNS!$A$6:$A$1005,0))),""))</f>
        <v/>
      </c>
      <c r="Q521" s="33">
        <f>IF($D521="","",IFERROR(IF(INDEX(RUNS!$K$6:$K$1005,MATCH($D521,RUNS!$A$6:$A$1005,0))="","",INDEX(RUNS!$K$6:$K$1005,MATCH($D521,RUNS!$A$6:$A$1005,0))),""))</f>
        <v/>
      </c>
      <c r="R521" s="34">
        <f>IF(OR($L521="",$K521=""),"",IFERROR(IF(INDEX(PARAMETRES!$H$43:$H$342,MATCH($L521&amp;"|"&amp;$M521&amp;"|"&amp;$N521&amp;"|"&amp;$O521&amp;"|"&amp;$P521&amp;"|"&amp;$Q521&amp;"|"&amp;$K521,PARAMETRES!$J$43:$J$342,0))="","",INDEX(PARAMETRES!$H$43:$H$342,MATCH($L521&amp;"|"&amp;$M521&amp;"|"&amp;$N521&amp;"|"&amp;$O521&amp;"|"&amp;$P521&amp;"|"&amp;$Q521&amp;"|"&amp;$K521,PARAMETRES!$J$43:$J$342,0))),""))</f>
        <v/>
      </c>
      <c r="S521" s="35">
        <f>IF(OR($G521="",$X521&lt;&gt;"VALIDE"),"",IFERROR(LOOKUP(2,1/(($B$3:$B520=$B521)*($G$3:$G520=$G521)*($X$3:$X520="VALIDE")),$C$3:$C520),""))</f>
        <v/>
      </c>
      <c r="T521" s="36">
        <f>IF(OR($C521="",$S521=""),"",ROUND(($C521-$S521+IF($C521&lt;$S521,1,0))*1440,0))</f>
        <v/>
      </c>
      <c r="U521" s="22">
        <f>IF(OR($H521="",$T521="",$T521&lt;=0),"",$H521*60/$T521)</f>
        <v/>
      </c>
      <c r="V521" s="37">
        <f>IF(OR($U521="",$R521="",$R521=0),"",$U521/$R521)</f>
        <v/>
      </c>
      <c r="W521" s="20">
        <f>IF($G521="","",IF($X521="CONTEXTE INCOMPLET","CONTEXTE INCOMPLET",IF($X521="DOUBLON",StatutDoublon,IF($S521="",StatutInitial,IF($R521="",StatutStandardManquant,IF($V521="","DONNEES INSUFFISANTES",IF($V521&gt;=SeuilConforme,StatutConforme,IF($V521&gt;=SeuilSurveiller,StatutSurveiller,StatutSousStandard))))))))</f>
        <v/>
      </c>
      <c r="X521" s="33">
        <f>IF($G521="","",IF(OR($D521="",$E521="",$F521=""),"CONTEXTE INCOMPLET",IF(COUNTIFS($D$3:$D520,$D521,$E$3:$E520,$E521,$F$3:$F520,$F521,$G$3:$G520,$G521)&gt;0,"DOUBLON","VALIDE")))</f>
        <v/>
      </c>
    </row>
    <row r="522" ht="15" customHeight="1">
      <c r="A522" s="12">
        <f>IF(OR($B522="",$G522=""),"",TEXT($B522,"YYYYMMDD")&amp;"-"&amp;SUBSTITUTE($E522," ","")&amp;"-"&amp;$F522&amp;"-"&amp;$G522)</f>
        <v/>
      </c>
      <c r="B522" s="15" t="n"/>
      <c r="C522" s="16" t="n"/>
      <c r="D522" s="10" t="n"/>
      <c r="E522" s="9" t="n"/>
      <c r="F522" s="9" t="n"/>
      <c r="G522" s="13" t="n"/>
      <c r="H522" s="21" t="n"/>
      <c r="I522" s="21" t="n"/>
      <c r="J522" s="17">
        <f>IF($G522="","",IFERROR(INDEX(NomsEmployes,MATCH($G522,MatriculesEmployes,0)),"MATRICULE INCONNU"))</f>
        <v/>
      </c>
      <c r="K522" s="33">
        <f>IF(OR($D522="",$F522=""),"",IFERROR(IF(INDEX(RUNS!$L$6:$S$1005,MATCH($D522,RUNS!$A$6:$A$1005,0),MATCH("ACTIVITÉ "&amp;$F522,RUNS!$L$5:$S$5,0))="","",INDEX(RUNS!$L$6:$S$1005,MATCH($D522,RUNS!$A$6:$A$1005,0),MATCH("ACTIVITÉ "&amp;$F522,RUNS!$L$5:$S$5,0))),""))</f>
        <v/>
      </c>
      <c r="L522" s="33">
        <f>IF($D522="","",IFERROR(IF(INDEX(RUNS!$E$6:$E$1005,MATCH($D522,RUNS!$A$6:$A$1005,0))="","",INDEX(RUNS!$E$6:$E$1005,MATCH($D522,RUNS!$A$6:$A$1005,0))),""))</f>
        <v/>
      </c>
      <c r="M522" s="33">
        <f>IF($D522="","",IFERROR(IF(INDEX(RUNS!$F$6:$F$1005,MATCH($D522,RUNS!$A$6:$A$1005,0))="","",INDEX(RUNS!$F$6:$F$1005,MATCH($D522,RUNS!$A$6:$A$1005,0))),""))</f>
        <v/>
      </c>
      <c r="N522" s="33">
        <f>IF($D522="","",IFERROR(IF(INDEX(RUNS!$G$6:$G$1005,MATCH($D522,RUNS!$A$6:$A$1005,0))="","",INDEX(RUNS!$G$6:$G$1005,MATCH($D522,RUNS!$A$6:$A$1005,0))),""))</f>
        <v/>
      </c>
      <c r="O522" s="33">
        <f>IF($D522="","",IFERROR(IF(INDEX(RUNS!$H$6:$H$1005,MATCH($D522,RUNS!$A$6:$A$1005,0))="","",INDEX(RUNS!$H$6:$H$1005,MATCH($D522,RUNS!$A$6:$A$1005,0))),""))</f>
        <v/>
      </c>
      <c r="P522" s="33">
        <f>IF($D522="","",IFERROR(IF(INDEX(RUNS!$J$6:$J$1005,MATCH($D522,RUNS!$A$6:$A$1005,0))="","",INDEX(RUNS!$J$6:$J$1005,MATCH($D522,RUNS!$A$6:$A$1005,0))),""))</f>
        <v/>
      </c>
      <c r="Q522" s="33">
        <f>IF($D522="","",IFERROR(IF(INDEX(RUNS!$K$6:$K$1005,MATCH($D522,RUNS!$A$6:$A$1005,0))="","",INDEX(RUNS!$K$6:$K$1005,MATCH($D522,RUNS!$A$6:$A$1005,0))),""))</f>
        <v/>
      </c>
      <c r="R522" s="34">
        <f>IF(OR($L522="",$K522=""),"",IFERROR(IF(INDEX(PARAMETRES!$H$43:$H$342,MATCH($L522&amp;"|"&amp;$M522&amp;"|"&amp;$N522&amp;"|"&amp;$O522&amp;"|"&amp;$P522&amp;"|"&amp;$Q522&amp;"|"&amp;$K522,PARAMETRES!$J$43:$J$342,0))="","",INDEX(PARAMETRES!$H$43:$H$342,MATCH($L522&amp;"|"&amp;$M522&amp;"|"&amp;$N522&amp;"|"&amp;$O522&amp;"|"&amp;$P522&amp;"|"&amp;$Q522&amp;"|"&amp;$K522,PARAMETRES!$J$43:$J$342,0))),""))</f>
        <v/>
      </c>
      <c r="S522" s="35">
        <f>IF(OR($G522="",$X522&lt;&gt;"VALIDE"),"",IFERROR(LOOKUP(2,1/(($B$3:$B521=$B522)*($G$3:$G521=$G522)*($X$3:$X521="VALIDE")),$C$3:$C521),""))</f>
        <v/>
      </c>
      <c r="T522" s="36">
        <f>IF(OR($C522="",$S522=""),"",ROUND(($C522-$S522+IF($C522&lt;$S522,1,0))*1440,0))</f>
        <v/>
      </c>
      <c r="U522" s="22">
        <f>IF(OR($H522="",$T522="",$T522&lt;=0),"",$H522*60/$T522)</f>
        <v/>
      </c>
      <c r="V522" s="37">
        <f>IF(OR($U522="",$R522="",$R522=0),"",$U522/$R522)</f>
        <v/>
      </c>
      <c r="W522" s="20">
        <f>IF($G522="","",IF($X522="CONTEXTE INCOMPLET","CONTEXTE INCOMPLET",IF($X522="DOUBLON",StatutDoublon,IF($S522="",StatutInitial,IF($R522="",StatutStandardManquant,IF($V522="","DONNEES INSUFFISANTES",IF($V522&gt;=SeuilConforme,StatutConforme,IF($V522&gt;=SeuilSurveiller,StatutSurveiller,StatutSousStandard))))))))</f>
        <v/>
      </c>
      <c r="X522" s="33">
        <f>IF($G522="","",IF(OR($D522="",$E522="",$F522=""),"CONTEXTE INCOMPLET",IF(COUNTIFS($D$3:$D521,$D522,$E$3:$E521,$E522,$F$3:$F521,$F522,$G$3:$G521,$G522)&gt;0,"DOUBLON","VALIDE")))</f>
        <v/>
      </c>
    </row>
    <row r="523" ht="15" customHeight="1">
      <c r="A523" s="12">
        <f>IF(OR($B523="",$G523=""),"",TEXT($B523,"YYYYMMDD")&amp;"-"&amp;SUBSTITUTE($E523," ","")&amp;"-"&amp;$F523&amp;"-"&amp;$G523)</f>
        <v/>
      </c>
      <c r="B523" s="15" t="n"/>
      <c r="C523" s="16" t="n"/>
      <c r="D523" s="10" t="n"/>
      <c r="E523" s="9" t="n"/>
      <c r="F523" s="9" t="n"/>
      <c r="G523" s="13" t="n"/>
      <c r="H523" s="21" t="n"/>
      <c r="I523" s="21" t="n"/>
      <c r="J523" s="17">
        <f>IF($G523="","",IFERROR(INDEX(NomsEmployes,MATCH($G523,MatriculesEmployes,0)),"MATRICULE INCONNU"))</f>
        <v/>
      </c>
      <c r="K523" s="33">
        <f>IF(OR($D523="",$F523=""),"",IFERROR(IF(INDEX(RUNS!$L$6:$S$1005,MATCH($D523,RUNS!$A$6:$A$1005,0),MATCH("ACTIVITÉ "&amp;$F523,RUNS!$L$5:$S$5,0))="","",INDEX(RUNS!$L$6:$S$1005,MATCH($D523,RUNS!$A$6:$A$1005,0),MATCH("ACTIVITÉ "&amp;$F523,RUNS!$L$5:$S$5,0))),""))</f>
        <v/>
      </c>
      <c r="L523" s="33">
        <f>IF($D523="","",IFERROR(IF(INDEX(RUNS!$E$6:$E$1005,MATCH($D523,RUNS!$A$6:$A$1005,0))="","",INDEX(RUNS!$E$6:$E$1005,MATCH($D523,RUNS!$A$6:$A$1005,0))),""))</f>
        <v/>
      </c>
      <c r="M523" s="33">
        <f>IF($D523="","",IFERROR(IF(INDEX(RUNS!$F$6:$F$1005,MATCH($D523,RUNS!$A$6:$A$1005,0))="","",INDEX(RUNS!$F$6:$F$1005,MATCH($D523,RUNS!$A$6:$A$1005,0))),""))</f>
        <v/>
      </c>
      <c r="N523" s="33">
        <f>IF($D523="","",IFERROR(IF(INDEX(RUNS!$G$6:$G$1005,MATCH($D523,RUNS!$A$6:$A$1005,0))="","",INDEX(RUNS!$G$6:$G$1005,MATCH($D523,RUNS!$A$6:$A$1005,0))),""))</f>
        <v/>
      </c>
      <c r="O523" s="33">
        <f>IF($D523="","",IFERROR(IF(INDEX(RUNS!$H$6:$H$1005,MATCH($D523,RUNS!$A$6:$A$1005,0))="","",INDEX(RUNS!$H$6:$H$1005,MATCH($D523,RUNS!$A$6:$A$1005,0))),""))</f>
        <v/>
      </c>
      <c r="P523" s="33">
        <f>IF($D523="","",IFERROR(IF(INDEX(RUNS!$J$6:$J$1005,MATCH($D523,RUNS!$A$6:$A$1005,0))="","",INDEX(RUNS!$J$6:$J$1005,MATCH($D523,RUNS!$A$6:$A$1005,0))),""))</f>
        <v/>
      </c>
      <c r="Q523" s="33">
        <f>IF($D523="","",IFERROR(IF(INDEX(RUNS!$K$6:$K$1005,MATCH($D523,RUNS!$A$6:$A$1005,0))="","",INDEX(RUNS!$K$6:$K$1005,MATCH($D523,RUNS!$A$6:$A$1005,0))),""))</f>
        <v/>
      </c>
      <c r="R523" s="34">
        <f>IF(OR($L523="",$K523=""),"",IFERROR(IF(INDEX(PARAMETRES!$H$43:$H$342,MATCH($L523&amp;"|"&amp;$M523&amp;"|"&amp;$N523&amp;"|"&amp;$O523&amp;"|"&amp;$P523&amp;"|"&amp;$Q523&amp;"|"&amp;$K523,PARAMETRES!$J$43:$J$342,0))="","",INDEX(PARAMETRES!$H$43:$H$342,MATCH($L523&amp;"|"&amp;$M523&amp;"|"&amp;$N523&amp;"|"&amp;$O523&amp;"|"&amp;$P523&amp;"|"&amp;$Q523&amp;"|"&amp;$K523,PARAMETRES!$J$43:$J$342,0))),""))</f>
        <v/>
      </c>
      <c r="S523" s="35">
        <f>IF(OR($G523="",$X523&lt;&gt;"VALIDE"),"",IFERROR(LOOKUP(2,1/(($B$3:$B522=$B523)*($G$3:$G522=$G523)*($X$3:$X522="VALIDE")),$C$3:$C522),""))</f>
        <v/>
      </c>
      <c r="T523" s="36">
        <f>IF(OR($C523="",$S523=""),"",ROUND(($C523-$S523+IF($C523&lt;$S523,1,0))*1440,0))</f>
        <v/>
      </c>
      <c r="U523" s="22">
        <f>IF(OR($H523="",$T523="",$T523&lt;=0),"",$H523*60/$T523)</f>
        <v/>
      </c>
      <c r="V523" s="37">
        <f>IF(OR($U523="",$R523="",$R523=0),"",$U523/$R523)</f>
        <v/>
      </c>
      <c r="W523" s="20">
        <f>IF($G523="","",IF($X523="CONTEXTE INCOMPLET","CONTEXTE INCOMPLET",IF($X523="DOUBLON",StatutDoublon,IF($S523="",StatutInitial,IF($R523="",StatutStandardManquant,IF($V523="","DONNEES INSUFFISANTES",IF($V523&gt;=SeuilConforme,StatutConforme,IF($V523&gt;=SeuilSurveiller,StatutSurveiller,StatutSousStandard))))))))</f>
        <v/>
      </c>
      <c r="X523" s="33">
        <f>IF($G523="","",IF(OR($D523="",$E523="",$F523=""),"CONTEXTE INCOMPLET",IF(COUNTIFS($D$3:$D522,$D523,$E$3:$E522,$E523,$F$3:$F522,$F523,$G$3:$G522,$G523)&gt;0,"DOUBLON","VALIDE")))</f>
        <v/>
      </c>
    </row>
    <row r="524" ht="15" customHeight="1">
      <c r="A524" s="12">
        <f>IF(OR($B524="",$G524=""),"",TEXT($B524,"YYYYMMDD")&amp;"-"&amp;SUBSTITUTE($E524," ","")&amp;"-"&amp;$F524&amp;"-"&amp;$G524)</f>
        <v/>
      </c>
      <c r="B524" s="15" t="n"/>
      <c r="C524" s="16" t="n"/>
      <c r="D524" s="10" t="n"/>
      <c r="E524" s="9" t="n"/>
      <c r="F524" s="9" t="n"/>
      <c r="G524" s="13" t="n"/>
      <c r="H524" s="21" t="n"/>
      <c r="I524" s="21" t="n"/>
      <c r="J524" s="17">
        <f>IF($G524="","",IFERROR(INDEX(NomsEmployes,MATCH($G524,MatriculesEmployes,0)),"MATRICULE INCONNU"))</f>
        <v/>
      </c>
      <c r="K524" s="33">
        <f>IF(OR($D524="",$F524=""),"",IFERROR(IF(INDEX(RUNS!$L$6:$S$1005,MATCH($D524,RUNS!$A$6:$A$1005,0),MATCH("ACTIVITÉ "&amp;$F524,RUNS!$L$5:$S$5,0))="","",INDEX(RUNS!$L$6:$S$1005,MATCH($D524,RUNS!$A$6:$A$1005,0),MATCH("ACTIVITÉ "&amp;$F524,RUNS!$L$5:$S$5,0))),""))</f>
        <v/>
      </c>
      <c r="L524" s="33">
        <f>IF($D524="","",IFERROR(IF(INDEX(RUNS!$E$6:$E$1005,MATCH($D524,RUNS!$A$6:$A$1005,0))="","",INDEX(RUNS!$E$6:$E$1005,MATCH($D524,RUNS!$A$6:$A$1005,0))),""))</f>
        <v/>
      </c>
      <c r="M524" s="33">
        <f>IF($D524="","",IFERROR(IF(INDEX(RUNS!$F$6:$F$1005,MATCH($D524,RUNS!$A$6:$A$1005,0))="","",INDEX(RUNS!$F$6:$F$1005,MATCH($D524,RUNS!$A$6:$A$1005,0))),""))</f>
        <v/>
      </c>
      <c r="N524" s="33">
        <f>IF($D524="","",IFERROR(IF(INDEX(RUNS!$G$6:$G$1005,MATCH($D524,RUNS!$A$6:$A$1005,0))="","",INDEX(RUNS!$G$6:$G$1005,MATCH($D524,RUNS!$A$6:$A$1005,0))),""))</f>
        <v/>
      </c>
      <c r="O524" s="33">
        <f>IF($D524="","",IFERROR(IF(INDEX(RUNS!$H$6:$H$1005,MATCH($D524,RUNS!$A$6:$A$1005,0))="","",INDEX(RUNS!$H$6:$H$1005,MATCH($D524,RUNS!$A$6:$A$1005,0))),""))</f>
        <v/>
      </c>
      <c r="P524" s="33">
        <f>IF($D524="","",IFERROR(IF(INDEX(RUNS!$J$6:$J$1005,MATCH($D524,RUNS!$A$6:$A$1005,0))="","",INDEX(RUNS!$J$6:$J$1005,MATCH($D524,RUNS!$A$6:$A$1005,0))),""))</f>
        <v/>
      </c>
      <c r="Q524" s="33">
        <f>IF($D524="","",IFERROR(IF(INDEX(RUNS!$K$6:$K$1005,MATCH($D524,RUNS!$A$6:$A$1005,0))="","",INDEX(RUNS!$K$6:$K$1005,MATCH($D524,RUNS!$A$6:$A$1005,0))),""))</f>
        <v/>
      </c>
      <c r="R524" s="34">
        <f>IF(OR($L524="",$K524=""),"",IFERROR(IF(INDEX(PARAMETRES!$H$43:$H$342,MATCH($L524&amp;"|"&amp;$M524&amp;"|"&amp;$N524&amp;"|"&amp;$O524&amp;"|"&amp;$P524&amp;"|"&amp;$Q524&amp;"|"&amp;$K524,PARAMETRES!$J$43:$J$342,0))="","",INDEX(PARAMETRES!$H$43:$H$342,MATCH($L524&amp;"|"&amp;$M524&amp;"|"&amp;$N524&amp;"|"&amp;$O524&amp;"|"&amp;$P524&amp;"|"&amp;$Q524&amp;"|"&amp;$K524,PARAMETRES!$J$43:$J$342,0))),""))</f>
        <v/>
      </c>
      <c r="S524" s="35">
        <f>IF(OR($G524="",$X524&lt;&gt;"VALIDE"),"",IFERROR(LOOKUP(2,1/(($B$3:$B523=$B524)*($G$3:$G523=$G524)*($X$3:$X523="VALIDE")),$C$3:$C523),""))</f>
        <v/>
      </c>
      <c r="T524" s="36">
        <f>IF(OR($C524="",$S524=""),"",ROUND(($C524-$S524+IF($C524&lt;$S524,1,0))*1440,0))</f>
        <v/>
      </c>
      <c r="U524" s="22">
        <f>IF(OR($H524="",$T524="",$T524&lt;=0),"",$H524*60/$T524)</f>
        <v/>
      </c>
      <c r="V524" s="37">
        <f>IF(OR($U524="",$R524="",$R524=0),"",$U524/$R524)</f>
        <v/>
      </c>
      <c r="W524" s="20">
        <f>IF($G524="","",IF($X524="CONTEXTE INCOMPLET","CONTEXTE INCOMPLET",IF($X524="DOUBLON",StatutDoublon,IF($S524="",StatutInitial,IF($R524="",StatutStandardManquant,IF($V524="","DONNEES INSUFFISANTES",IF($V524&gt;=SeuilConforme,StatutConforme,IF($V524&gt;=SeuilSurveiller,StatutSurveiller,StatutSousStandard))))))))</f>
        <v/>
      </c>
      <c r="X524" s="33">
        <f>IF($G524="","",IF(OR($D524="",$E524="",$F524=""),"CONTEXTE INCOMPLET",IF(COUNTIFS($D$3:$D523,$D524,$E$3:$E523,$E524,$F$3:$F523,$F524,$G$3:$G523,$G524)&gt;0,"DOUBLON","VALIDE")))</f>
        <v/>
      </c>
    </row>
    <row r="525" ht="15" customHeight="1">
      <c r="A525" s="12">
        <f>IF(OR($B525="",$G525=""),"",TEXT($B525,"YYYYMMDD")&amp;"-"&amp;SUBSTITUTE($E525," ","")&amp;"-"&amp;$F525&amp;"-"&amp;$G525)</f>
        <v/>
      </c>
      <c r="B525" s="15" t="n"/>
      <c r="C525" s="16" t="n"/>
      <c r="D525" s="10" t="n"/>
      <c r="E525" s="9" t="n"/>
      <c r="F525" s="9" t="n"/>
      <c r="G525" s="13" t="n"/>
      <c r="H525" s="21" t="n"/>
      <c r="I525" s="21" t="n"/>
      <c r="J525" s="17">
        <f>IF($G525="","",IFERROR(INDEX(NomsEmployes,MATCH($G525,MatriculesEmployes,0)),"MATRICULE INCONNU"))</f>
        <v/>
      </c>
      <c r="K525" s="33">
        <f>IF(OR($D525="",$F525=""),"",IFERROR(IF(INDEX(RUNS!$L$6:$S$1005,MATCH($D525,RUNS!$A$6:$A$1005,0),MATCH("ACTIVITÉ "&amp;$F525,RUNS!$L$5:$S$5,0))="","",INDEX(RUNS!$L$6:$S$1005,MATCH($D525,RUNS!$A$6:$A$1005,0),MATCH("ACTIVITÉ "&amp;$F525,RUNS!$L$5:$S$5,0))),""))</f>
        <v/>
      </c>
      <c r="L525" s="33">
        <f>IF($D525="","",IFERROR(IF(INDEX(RUNS!$E$6:$E$1005,MATCH($D525,RUNS!$A$6:$A$1005,0))="","",INDEX(RUNS!$E$6:$E$1005,MATCH($D525,RUNS!$A$6:$A$1005,0))),""))</f>
        <v/>
      </c>
      <c r="M525" s="33">
        <f>IF($D525="","",IFERROR(IF(INDEX(RUNS!$F$6:$F$1005,MATCH($D525,RUNS!$A$6:$A$1005,0))="","",INDEX(RUNS!$F$6:$F$1005,MATCH($D525,RUNS!$A$6:$A$1005,0))),""))</f>
        <v/>
      </c>
      <c r="N525" s="33">
        <f>IF($D525="","",IFERROR(IF(INDEX(RUNS!$G$6:$G$1005,MATCH($D525,RUNS!$A$6:$A$1005,0))="","",INDEX(RUNS!$G$6:$G$1005,MATCH($D525,RUNS!$A$6:$A$1005,0))),""))</f>
        <v/>
      </c>
      <c r="O525" s="33">
        <f>IF($D525="","",IFERROR(IF(INDEX(RUNS!$H$6:$H$1005,MATCH($D525,RUNS!$A$6:$A$1005,0))="","",INDEX(RUNS!$H$6:$H$1005,MATCH($D525,RUNS!$A$6:$A$1005,0))),""))</f>
        <v/>
      </c>
      <c r="P525" s="33">
        <f>IF($D525="","",IFERROR(IF(INDEX(RUNS!$J$6:$J$1005,MATCH($D525,RUNS!$A$6:$A$1005,0))="","",INDEX(RUNS!$J$6:$J$1005,MATCH($D525,RUNS!$A$6:$A$1005,0))),""))</f>
        <v/>
      </c>
      <c r="Q525" s="33">
        <f>IF($D525="","",IFERROR(IF(INDEX(RUNS!$K$6:$K$1005,MATCH($D525,RUNS!$A$6:$A$1005,0))="","",INDEX(RUNS!$K$6:$K$1005,MATCH($D525,RUNS!$A$6:$A$1005,0))),""))</f>
        <v/>
      </c>
      <c r="R525" s="34">
        <f>IF(OR($L525="",$K525=""),"",IFERROR(IF(INDEX(PARAMETRES!$H$43:$H$342,MATCH($L525&amp;"|"&amp;$M525&amp;"|"&amp;$N525&amp;"|"&amp;$O525&amp;"|"&amp;$P525&amp;"|"&amp;$Q525&amp;"|"&amp;$K525,PARAMETRES!$J$43:$J$342,0))="","",INDEX(PARAMETRES!$H$43:$H$342,MATCH($L525&amp;"|"&amp;$M525&amp;"|"&amp;$N525&amp;"|"&amp;$O525&amp;"|"&amp;$P525&amp;"|"&amp;$Q525&amp;"|"&amp;$K525,PARAMETRES!$J$43:$J$342,0))),""))</f>
        <v/>
      </c>
      <c r="S525" s="35">
        <f>IF(OR($G525="",$X525&lt;&gt;"VALIDE"),"",IFERROR(LOOKUP(2,1/(($B$3:$B524=$B525)*($G$3:$G524=$G525)*($X$3:$X524="VALIDE")),$C$3:$C524),""))</f>
        <v/>
      </c>
      <c r="T525" s="36">
        <f>IF(OR($C525="",$S525=""),"",ROUND(($C525-$S525+IF($C525&lt;$S525,1,0))*1440,0))</f>
        <v/>
      </c>
      <c r="U525" s="22">
        <f>IF(OR($H525="",$T525="",$T525&lt;=0),"",$H525*60/$T525)</f>
        <v/>
      </c>
      <c r="V525" s="37">
        <f>IF(OR($U525="",$R525="",$R525=0),"",$U525/$R525)</f>
        <v/>
      </c>
      <c r="W525" s="20">
        <f>IF($G525="","",IF($X525="CONTEXTE INCOMPLET","CONTEXTE INCOMPLET",IF($X525="DOUBLON",StatutDoublon,IF($S525="",StatutInitial,IF($R525="",StatutStandardManquant,IF($V525="","DONNEES INSUFFISANTES",IF($V525&gt;=SeuilConforme,StatutConforme,IF($V525&gt;=SeuilSurveiller,StatutSurveiller,StatutSousStandard))))))))</f>
        <v/>
      </c>
      <c r="X525" s="33">
        <f>IF($G525="","",IF(OR($D525="",$E525="",$F525=""),"CONTEXTE INCOMPLET",IF(COUNTIFS($D$3:$D524,$D525,$E$3:$E524,$E525,$F$3:$F524,$F525,$G$3:$G524,$G525)&gt;0,"DOUBLON","VALIDE")))</f>
        <v/>
      </c>
    </row>
    <row r="526" ht="15" customHeight="1">
      <c r="A526" s="12">
        <f>IF(OR($B526="",$G526=""),"",TEXT($B526,"YYYYMMDD")&amp;"-"&amp;SUBSTITUTE($E526," ","")&amp;"-"&amp;$F526&amp;"-"&amp;$G526)</f>
        <v/>
      </c>
      <c r="B526" s="15" t="n"/>
      <c r="C526" s="16" t="n"/>
      <c r="D526" s="10" t="n"/>
      <c r="E526" s="9" t="n"/>
      <c r="F526" s="9" t="n"/>
      <c r="G526" s="13" t="n"/>
      <c r="H526" s="21" t="n"/>
      <c r="I526" s="21" t="n"/>
      <c r="J526" s="17">
        <f>IF($G526="","",IFERROR(INDEX(NomsEmployes,MATCH($G526,MatriculesEmployes,0)),"MATRICULE INCONNU"))</f>
        <v/>
      </c>
      <c r="K526" s="33">
        <f>IF(OR($D526="",$F526=""),"",IFERROR(IF(INDEX(RUNS!$L$6:$S$1005,MATCH($D526,RUNS!$A$6:$A$1005,0),MATCH("ACTIVITÉ "&amp;$F526,RUNS!$L$5:$S$5,0))="","",INDEX(RUNS!$L$6:$S$1005,MATCH($D526,RUNS!$A$6:$A$1005,0),MATCH("ACTIVITÉ "&amp;$F526,RUNS!$L$5:$S$5,0))),""))</f>
        <v/>
      </c>
      <c r="L526" s="33">
        <f>IF($D526="","",IFERROR(IF(INDEX(RUNS!$E$6:$E$1005,MATCH($D526,RUNS!$A$6:$A$1005,0))="","",INDEX(RUNS!$E$6:$E$1005,MATCH($D526,RUNS!$A$6:$A$1005,0))),""))</f>
        <v/>
      </c>
      <c r="M526" s="33">
        <f>IF($D526="","",IFERROR(IF(INDEX(RUNS!$F$6:$F$1005,MATCH($D526,RUNS!$A$6:$A$1005,0))="","",INDEX(RUNS!$F$6:$F$1005,MATCH($D526,RUNS!$A$6:$A$1005,0))),""))</f>
        <v/>
      </c>
      <c r="N526" s="33">
        <f>IF($D526="","",IFERROR(IF(INDEX(RUNS!$G$6:$G$1005,MATCH($D526,RUNS!$A$6:$A$1005,0))="","",INDEX(RUNS!$G$6:$G$1005,MATCH($D526,RUNS!$A$6:$A$1005,0))),""))</f>
        <v/>
      </c>
      <c r="O526" s="33">
        <f>IF($D526="","",IFERROR(IF(INDEX(RUNS!$H$6:$H$1005,MATCH($D526,RUNS!$A$6:$A$1005,0))="","",INDEX(RUNS!$H$6:$H$1005,MATCH($D526,RUNS!$A$6:$A$1005,0))),""))</f>
        <v/>
      </c>
      <c r="P526" s="33">
        <f>IF($D526="","",IFERROR(IF(INDEX(RUNS!$J$6:$J$1005,MATCH($D526,RUNS!$A$6:$A$1005,0))="","",INDEX(RUNS!$J$6:$J$1005,MATCH($D526,RUNS!$A$6:$A$1005,0))),""))</f>
        <v/>
      </c>
      <c r="Q526" s="33">
        <f>IF($D526="","",IFERROR(IF(INDEX(RUNS!$K$6:$K$1005,MATCH($D526,RUNS!$A$6:$A$1005,0))="","",INDEX(RUNS!$K$6:$K$1005,MATCH($D526,RUNS!$A$6:$A$1005,0))),""))</f>
        <v/>
      </c>
      <c r="R526" s="34">
        <f>IF(OR($L526="",$K526=""),"",IFERROR(IF(INDEX(PARAMETRES!$H$43:$H$342,MATCH($L526&amp;"|"&amp;$M526&amp;"|"&amp;$N526&amp;"|"&amp;$O526&amp;"|"&amp;$P526&amp;"|"&amp;$Q526&amp;"|"&amp;$K526,PARAMETRES!$J$43:$J$342,0))="","",INDEX(PARAMETRES!$H$43:$H$342,MATCH($L526&amp;"|"&amp;$M526&amp;"|"&amp;$N526&amp;"|"&amp;$O526&amp;"|"&amp;$P526&amp;"|"&amp;$Q526&amp;"|"&amp;$K526,PARAMETRES!$J$43:$J$342,0))),""))</f>
        <v/>
      </c>
      <c r="S526" s="35">
        <f>IF(OR($G526="",$X526&lt;&gt;"VALIDE"),"",IFERROR(LOOKUP(2,1/(($B$3:$B525=$B526)*($G$3:$G525=$G526)*($X$3:$X525="VALIDE")),$C$3:$C525),""))</f>
        <v/>
      </c>
      <c r="T526" s="36">
        <f>IF(OR($C526="",$S526=""),"",ROUND(($C526-$S526+IF($C526&lt;$S526,1,0))*1440,0))</f>
        <v/>
      </c>
      <c r="U526" s="22">
        <f>IF(OR($H526="",$T526="",$T526&lt;=0),"",$H526*60/$T526)</f>
        <v/>
      </c>
      <c r="V526" s="37">
        <f>IF(OR($U526="",$R526="",$R526=0),"",$U526/$R526)</f>
        <v/>
      </c>
      <c r="W526" s="20">
        <f>IF($G526="","",IF($X526="CONTEXTE INCOMPLET","CONTEXTE INCOMPLET",IF($X526="DOUBLON",StatutDoublon,IF($S526="",StatutInitial,IF($R526="",StatutStandardManquant,IF($V526="","DONNEES INSUFFISANTES",IF($V526&gt;=SeuilConforme,StatutConforme,IF($V526&gt;=SeuilSurveiller,StatutSurveiller,StatutSousStandard))))))))</f>
        <v/>
      </c>
      <c r="X526" s="33">
        <f>IF($G526="","",IF(OR($D526="",$E526="",$F526=""),"CONTEXTE INCOMPLET",IF(COUNTIFS($D$3:$D525,$D526,$E$3:$E525,$E526,$F$3:$F525,$F526,$G$3:$G525,$G526)&gt;0,"DOUBLON","VALIDE")))</f>
        <v/>
      </c>
    </row>
    <row r="527" ht="15" customHeight="1">
      <c r="A527" s="12">
        <f>IF(OR($B527="",$G527=""),"",TEXT($B527,"YYYYMMDD")&amp;"-"&amp;SUBSTITUTE($E527," ","")&amp;"-"&amp;$F527&amp;"-"&amp;$G527)</f>
        <v/>
      </c>
      <c r="B527" s="15" t="n"/>
      <c r="C527" s="16" t="n"/>
      <c r="D527" s="10" t="n"/>
      <c r="E527" s="9" t="n"/>
      <c r="F527" s="9" t="n"/>
      <c r="G527" s="13" t="n"/>
      <c r="H527" s="21" t="n"/>
      <c r="I527" s="21" t="n"/>
      <c r="J527" s="17">
        <f>IF($G527="","",IFERROR(INDEX(NomsEmployes,MATCH($G527,MatriculesEmployes,0)),"MATRICULE INCONNU"))</f>
        <v/>
      </c>
      <c r="K527" s="33">
        <f>IF(OR($D527="",$F527=""),"",IFERROR(IF(INDEX(RUNS!$L$6:$S$1005,MATCH($D527,RUNS!$A$6:$A$1005,0),MATCH("ACTIVITÉ "&amp;$F527,RUNS!$L$5:$S$5,0))="","",INDEX(RUNS!$L$6:$S$1005,MATCH($D527,RUNS!$A$6:$A$1005,0),MATCH("ACTIVITÉ "&amp;$F527,RUNS!$L$5:$S$5,0))),""))</f>
        <v/>
      </c>
      <c r="L527" s="33">
        <f>IF($D527="","",IFERROR(IF(INDEX(RUNS!$E$6:$E$1005,MATCH($D527,RUNS!$A$6:$A$1005,0))="","",INDEX(RUNS!$E$6:$E$1005,MATCH($D527,RUNS!$A$6:$A$1005,0))),""))</f>
        <v/>
      </c>
      <c r="M527" s="33">
        <f>IF($D527="","",IFERROR(IF(INDEX(RUNS!$F$6:$F$1005,MATCH($D527,RUNS!$A$6:$A$1005,0))="","",INDEX(RUNS!$F$6:$F$1005,MATCH($D527,RUNS!$A$6:$A$1005,0))),""))</f>
        <v/>
      </c>
      <c r="N527" s="33">
        <f>IF($D527="","",IFERROR(IF(INDEX(RUNS!$G$6:$G$1005,MATCH($D527,RUNS!$A$6:$A$1005,0))="","",INDEX(RUNS!$G$6:$G$1005,MATCH($D527,RUNS!$A$6:$A$1005,0))),""))</f>
        <v/>
      </c>
      <c r="O527" s="33">
        <f>IF($D527="","",IFERROR(IF(INDEX(RUNS!$H$6:$H$1005,MATCH($D527,RUNS!$A$6:$A$1005,0))="","",INDEX(RUNS!$H$6:$H$1005,MATCH($D527,RUNS!$A$6:$A$1005,0))),""))</f>
        <v/>
      </c>
      <c r="P527" s="33">
        <f>IF($D527="","",IFERROR(IF(INDEX(RUNS!$J$6:$J$1005,MATCH($D527,RUNS!$A$6:$A$1005,0))="","",INDEX(RUNS!$J$6:$J$1005,MATCH($D527,RUNS!$A$6:$A$1005,0))),""))</f>
        <v/>
      </c>
      <c r="Q527" s="33">
        <f>IF($D527="","",IFERROR(IF(INDEX(RUNS!$K$6:$K$1005,MATCH($D527,RUNS!$A$6:$A$1005,0))="","",INDEX(RUNS!$K$6:$K$1005,MATCH($D527,RUNS!$A$6:$A$1005,0))),""))</f>
        <v/>
      </c>
      <c r="R527" s="34">
        <f>IF(OR($L527="",$K527=""),"",IFERROR(IF(INDEX(PARAMETRES!$H$43:$H$342,MATCH($L527&amp;"|"&amp;$M527&amp;"|"&amp;$N527&amp;"|"&amp;$O527&amp;"|"&amp;$P527&amp;"|"&amp;$Q527&amp;"|"&amp;$K527,PARAMETRES!$J$43:$J$342,0))="","",INDEX(PARAMETRES!$H$43:$H$342,MATCH($L527&amp;"|"&amp;$M527&amp;"|"&amp;$N527&amp;"|"&amp;$O527&amp;"|"&amp;$P527&amp;"|"&amp;$Q527&amp;"|"&amp;$K527,PARAMETRES!$J$43:$J$342,0))),""))</f>
        <v/>
      </c>
      <c r="S527" s="35">
        <f>IF(OR($G527="",$X527&lt;&gt;"VALIDE"),"",IFERROR(LOOKUP(2,1/(($B$3:$B526=$B527)*($G$3:$G526=$G527)*($X$3:$X526="VALIDE")),$C$3:$C526),""))</f>
        <v/>
      </c>
      <c r="T527" s="36">
        <f>IF(OR($C527="",$S527=""),"",ROUND(($C527-$S527+IF($C527&lt;$S527,1,0))*1440,0))</f>
        <v/>
      </c>
      <c r="U527" s="22">
        <f>IF(OR($H527="",$T527="",$T527&lt;=0),"",$H527*60/$T527)</f>
        <v/>
      </c>
      <c r="V527" s="37">
        <f>IF(OR($U527="",$R527="",$R527=0),"",$U527/$R527)</f>
        <v/>
      </c>
      <c r="W527" s="20">
        <f>IF($G527="","",IF($X527="CONTEXTE INCOMPLET","CONTEXTE INCOMPLET",IF($X527="DOUBLON",StatutDoublon,IF($S527="",StatutInitial,IF($R527="",StatutStandardManquant,IF($V527="","DONNEES INSUFFISANTES",IF($V527&gt;=SeuilConforme,StatutConforme,IF($V527&gt;=SeuilSurveiller,StatutSurveiller,StatutSousStandard))))))))</f>
        <v/>
      </c>
      <c r="X527" s="33">
        <f>IF($G527="","",IF(OR($D527="",$E527="",$F527=""),"CONTEXTE INCOMPLET",IF(COUNTIFS($D$3:$D526,$D527,$E$3:$E526,$E527,$F$3:$F526,$F527,$G$3:$G526,$G527)&gt;0,"DOUBLON","VALIDE")))</f>
        <v/>
      </c>
    </row>
    <row r="528" ht="15" customHeight="1">
      <c r="A528" s="12">
        <f>IF(OR($B528="",$G528=""),"",TEXT($B528,"YYYYMMDD")&amp;"-"&amp;SUBSTITUTE($E528," ","")&amp;"-"&amp;$F528&amp;"-"&amp;$G528)</f>
        <v/>
      </c>
      <c r="B528" s="15" t="n"/>
      <c r="C528" s="16" t="n"/>
      <c r="D528" s="10" t="n"/>
      <c r="E528" s="9" t="n"/>
      <c r="F528" s="9" t="n"/>
      <c r="G528" s="13" t="n"/>
      <c r="H528" s="21" t="n"/>
      <c r="I528" s="21" t="n"/>
      <c r="J528" s="17">
        <f>IF($G528="","",IFERROR(INDEX(NomsEmployes,MATCH($G528,MatriculesEmployes,0)),"MATRICULE INCONNU"))</f>
        <v/>
      </c>
      <c r="K528" s="33">
        <f>IF(OR($D528="",$F528=""),"",IFERROR(IF(INDEX(RUNS!$L$6:$S$1005,MATCH($D528,RUNS!$A$6:$A$1005,0),MATCH("ACTIVITÉ "&amp;$F528,RUNS!$L$5:$S$5,0))="","",INDEX(RUNS!$L$6:$S$1005,MATCH($D528,RUNS!$A$6:$A$1005,0),MATCH("ACTIVITÉ "&amp;$F528,RUNS!$L$5:$S$5,0))),""))</f>
        <v/>
      </c>
      <c r="L528" s="33">
        <f>IF($D528="","",IFERROR(IF(INDEX(RUNS!$E$6:$E$1005,MATCH($D528,RUNS!$A$6:$A$1005,0))="","",INDEX(RUNS!$E$6:$E$1005,MATCH($D528,RUNS!$A$6:$A$1005,0))),""))</f>
        <v/>
      </c>
      <c r="M528" s="33">
        <f>IF($D528="","",IFERROR(IF(INDEX(RUNS!$F$6:$F$1005,MATCH($D528,RUNS!$A$6:$A$1005,0))="","",INDEX(RUNS!$F$6:$F$1005,MATCH($D528,RUNS!$A$6:$A$1005,0))),""))</f>
        <v/>
      </c>
      <c r="N528" s="33">
        <f>IF($D528="","",IFERROR(IF(INDEX(RUNS!$G$6:$G$1005,MATCH($D528,RUNS!$A$6:$A$1005,0))="","",INDEX(RUNS!$G$6:$G$1005,MATCH($D528,RUNS!$A$6:$A$1005,0))),""))</f>
        <v/>
      </c>
      <c r="O528" s="33">
        <f>IF($D528="","",IFERROR(IF(INDEX(RUNS!$H$6:$H$1005,MATCH($D528,RUNS!$A$6:$A$1005,0))="","",INDEX(RUNS!$H$6:$H$1005,MATCH($D528,RUNS!$A$6:$A$1005,0))),""))</f>
        <v/>
      </c>
      <c r="P528" s="33">
        <f>IF($D528="","",IFERROR(IF(INDEX(RUNS!$J$6:$J$1005,MATCH($D528,RUNS!$A$6:$A$1005,0))="","",INDEX(RUNS!$J$6:$J$1005,MATCH($D528,RUNS!$A$6:$A$1005,0))),""))</f>
        <v/>
      </c>
      <c r="Q528" s="33">
        <f>IF($D528="","",IFERROR(IF(INDEX(RUNS!$K$6:$K$1005,MATCH($D528,RUNS!$A$6:$A$1005,0))="","",INDEX(RUNS!$K$6:$K$1005,MATCH($D528,RUNS!$A$6:$A$1005,0))),""))</f>
        <v/>
      </c>
      <c r="R528" s="34">
        <f>IF(OR($L528="",$K528=""),"",IFERROR(IF(INDEX(PARAMETRES!$H$43:$H$342,MATCH($L528&amp;"|"&amp;$M528&amp;"|"&amp;$N528&amp;"|"&amp;$O528&amp;"|"&amp;$P528&amp;"|"&amp;$Q528&amp;"|"&amp;$K528,PARAMETRES!$J$43:$J$342,0))="","",INDEX(PARAMETRES!$H$43:$H$342,MATCH($L528&amp;"|"&amp;$M528&amp;"|"&amp;$N528&amp;"|"&amp;$O528&amp;"|"&amp;$P528&amp;"|"&amp;$Q528&amp;"|"&amp;$K528,PARAMETRES!$J$43:$J$342,0))),""))</f>
        <v/>
      </c>
      <c r="S528" s="35">
        <f>IF(OR($G528="",$X528&lt;&gt;"VALIDE"),"",IFERROR(LOOKUP(2,1/(($B$3:$B527=$B528)*($G$3:$G527=$G528)*($X$3:$X527="VALIDE")),$C$3:$C527),""))</f>
        <v/>
      </c>
      <c r="T528" s="36">
        <f>IF(OR($C528="",$S528=""),"",ROUND(($C528-$S528+IF($C528&lt;$S528,1,0))*1440,0))</f>
        <v/>
      </c>
      <c r="U528" s="22">
        <f>IF(OR($H528="",$T528="",$T528&lt;=0),"",$H528*60/$T528)</f>
        <v/>
      </c>
      <c r="V528" s="37">
        <f>IF(OR($U528="",$R528="",$R528=0),"",$U528/$R528)</f>
        <v/>
      </c>
      <c r="W528" s="20">
        <f>IF($G528="","",IF($X528="CONTEXTE INCOMPLET","CONTEXTE INCOMPLET",IF($X528="DOUBLON",StatutDoublon,IF($S528="",StatutInitial,IF($R528="",StatutStandardManquant,IF($V528="","DONNEES INSUFFISANTES",IF($V528&gt;=SeuilConforme,StatutConforme,IF($V528&gt;=SeuilSurveiller,StatutSurveiller,StatutSousStandard))))))))</f>
        <v/>
      </c>
      <c r="X528" s="33">
        <f>IF($G528="","",IF(OR($D528="",$E528="",$F528=""),"CONTEXTE INCOMPLET",IF(COUNTIFS($D$3:$D527,$D528,$E$3:$E527,$E528,$F$3:$F527,$F528,$G$3:$G527,$G528)&gt;0,"DOUBLON","VALIDE")))</f>
        <v/>
      </c>
    </row>
    <row r="529" ht="15" customHeight="1">
      <c r="A529" s="12">
        <f>IF(OR($B529="",$G529=""),"",TEXT($B529,"YYYYMMDD")&amp;"-"&amp;SUBSTITUTE($E529," ","")&amp;"-"&amp;$F529&amp;"-"&amp;$G529)</f>
        <v/>
      </c>
      <c r="B529" s="15" t="n"/>
      <c r="C529" s="16" t="n"/>
      <c r="D529" s="10" t="n"/>
      <c r="E529" s="9" t="n"/>
      <c r="F529" s="9" t="n"/>
      <c r="G529" s="13" t="n"/>
      <c r="H529" s="21" t="n"/>
      <c r="I529" s="21" t="n"/>
      <c r="J529" s="17">
        <f>IF($G529="","",IFERROR(INDEX(NomsEmployes,MATCH($G529,MatriculesEmployes,0)),"MATRICULE INCONNU"))</f>
        <v/>
      </c>
      <c r="K529" s="33">
        <f>IF(OR($D529="",$F529=""),"",IFERROR(IF(INDEX(RUNS!$L$6:$S$1005,MATCH($D529,RUNS!$A$6:$A$1005,0),MATCH("ACTIVITÉ "&amp;$F529,RUNS!$L$5:$S$5,0))="","",INDEX(RUNS!$L$6:$S$1005,MATCH($D529,RUNS!$A$6:$A$1005,0),MATCH("ACTIVITÉ "&amp;$F529,RUNS!$L$5:$S$5,0))),""))</f>
        <v/>
      </c>
      <c r="L529" s="33">
        <f>IF($D529="","",IFERROR(IF(INDEX(RUNS!$E$6:$E$1005,MATCH($D529,RUNS!$A$6:$A$1005,0))="","",INDEX(RUNS!$E$6:$E$1005,MATCH($D529,RUNS!$A$6:$A$1005,0))),""))</f>
        <v/>
      </c>
      <c r="M529" s="33">
        <f>IF($D529="","",IFERROR(IF(INDEX(RUNS!$F$6:$F$1005,MATCH($D529,RUNS!$A$6:$A$1005,0))="","",INDEX(RUNS!$F$6:$F$1005,MATCH($D529,RUNS!$A$6:$A$1005,0))),""))</f>
        <v/>
      </c>
      <c r="N529" s="33">
        <f>IF($D529="","",IFERROR(IF(INDEX(RUNS!$G$6:$G$1005,MATCH($D529,RUNS!$A$6:$A$1005,0))="","",INDEX(RUNS!$G$6:$G$1005,MATCH($D529,RUNS!$A$6:$A$1005,0))),""))</f>
        <v/>
      </c>
      <c r="O529" s="33">
        <f>IF($D529="","",IFERROR(IF(INDEX(RUNS!$H$6:$H$1005,MATCH($D529,RUNS!$A$6:$A$1005,0))="","",INDEX(RUNS!$H$6:$H$1005,MATCH($D529,RUNS!$A$6:$A$1005,0))),""))</f>
        <v/>
      </c>
      <c r="P529" s="33">
        <f>IF($D529="","",IFERROR(IF(INDEX(RUNS!$J$6:$J$1005,MATCH($D529,RUNS!$A$6:$A$1005,0))="","",INDEX(RUNS!$J$6:$J$1005,MATCH($D529,RUNS!$A$6:$A$1005,0))),""))</f>
        <v/>
      </c>
      <c r="Q529" s="33">
        <f>IF($D529="","",IFERROR(IF(INDEX(RUNS!$K$6:$K$1005,MATCH($D529,RUNS!$A$6:$A$1005,0))="","",INDEX(RUNS!$K$6:$K$1005,MATCH($D529,RUNS!$A$6:$A$1005,0))),""))</f>
        <v/>
      </c>
      <c r="R529" s="34">
        <f>IF(OR($L529="",$K529=""),"",IFERROR(IF(INDEX(PARAMETRES!$H$43:$H$342,MATCH($L529&amp;"|"&amp;$M529&amp;"|"&amp;$N529&amp;"|"&amp;$O529&amp;"|"&amp;$P529&amp;"|"&amp;$Q529&amp;"|"&amp;$K529,PARAMETRES!$J$43:$J$342,0))="","",INDEX(PARAMETRES!$H$43:$H$342,MATCH($L529&amp;"|"&amp;$M529&amp;"|"&amp;$N529&amp;"|"&amp;$O529&amp;"|"&amp;$P529&amp;"|"&amp;$Q529&amp;"|"&amp;$K529,PARAMETRES!$J$43:$J$342,0))),""))</f>
        <v/>
      </c>
      <c r="S529" s="35">
        <f>IF(OR($G529="",$X529&lt;&gt;"VALIDE"),"",IFERROR(LOOKUP(2,1/(($B$3:$B528=$B529)*($G$3:$G528=$G529)*($X$3:$X528="VALIDE")),$C$3:$C528),""))</f>
        <v/>
      </c>
      <c r="T529" s="36">
        <f>IF(OR($C529="",$S529=""),"",ROUND(($C529-$S529+IF($C529&lt;$S529,1,0))*1440,0))</f>
        <v/>
      </c>
      <c r="U529" s="22">
        <f>IF(OR($H529="",$T529="",$T529&lt;=0),"",$H529*60/$T529)</f>
        <v/>
      </c>
      <c r="V529" s="37">
        <f>IF(OR($U529="",$R529="",$R529=0),"",$U529/$R529)</f>
        <v/>
      </c>
      <c r="W529" s="20">
        <f>IF($G529="","",IF($X529="CONTEXTE INCOMPLET","CONTEXTE INCOMPLET",IF($X529="DOUBLON",StatutDoublon,IF($S529="",StatutInitial,IF($R529="",StatutStandardManquant,IF($V529="","DONNEES INSUFFISANTES",IF($V529&gt;=SeuilConforme,StatutConforme,IF($V529&gt;=SeuilSurveiller,StatutSurveiller,StatutSousStandard))))))))</f>
        <v/>
      </c>
      <c r="X529" s="33">
        <f>IF($G529="","",IF(OR($D529="",$E529="",$F529=""),"CONTEXTE INCOMPLET",IF(COUNTIFS($D$3:$D528,$D529,$E$3:$E528,$E529,$F$3:$F528,$F529,$G$3:$G528,$G529)&gt;0,"DOUBLON","VALIDE")))</f>
        <v/>
      </c>
    </row>
    <row r="530" ht="15" customHeight="1">
      <c r="A530" s="12">
        <f>IF(OR($B530="",$G530=""),"",TEXT($B530,"YYYYMMDD")&amp;"-"&amp;SUBSTITUTE($E530," ","")&amp;"-"&amp;$F530&amp;"-"&amp;$G530)</f>
        <v/>
      </c>
      <c r="B530" s="15" t="n"/>
      <c r="C530" s="16" t="n"/>
      <c r="D530" s="10" t="n"/>
      <c r="E530" s="9" t="n"/>
      <c r="F530" s="9" t="n"/>
      <c r="G530" s="13" t="n"/>
      <c r="H530" s="21" t="n"/>
      <c r="I530" s="21" t="n"/>
      <c r="J530" s="17">
        <f>IF($G530="","",IFERROR(INDEX(NomsEmployes,MATCH($G530,MatriculesEmployes,0)),"MATRICULE INCONNU"))</f>
        <v/>
      </c>
      <c r="K530" s="33">
        <f>IF(OR($D530="",$F530=""),"",IFERROR(IF(INDEX(RUNS!$L$6:$S$1005,MATCH($D530,RUNS!$A$6:$A$1005,0),MATCH("ACTIVITÉ "&amp;$F530,RUNS!$L$5:$S$5,0))="","",INDEX(RUNS!$L$6:$S$1005,MATCH($D530,RUNS!$A$6:$A$1005,0),MATCH("ACTIVITÉ "&amp;$F530,RUNS!$L$5:$S$5,0))),""))</f>
        <v/>
      </c>
      <c r="L530" s="33">
        <f>IF($D530="","",IFERROR(IF(INDEX(RUNS!$E$6:$E$1005,MATCH($D530,RUNS!$A$6:$A$1005,0))="","",INDEX(RUNS!$E$6:$E$1005,MATCH($D530,RUNS!$A$6:$A$1005,0))),""))</f>
        <v/>
      </c>
      <c r="M530" s="33">
        <f>IF($D530="","",IFERROR(IF(INDEX(RUNS!$F$6:$F$1005,MATCH($D530,RUNS!$A$6:$A$1005,0))="","",INDEX(RUNS!$F$6:$F$1005,MATCH($D530,RUNS!$A$6:$A$1005,0))),""))</f>
        <v/>
      </c>
      <c r="N530" s="33">
        <f>IF($D530="","",IFERROR(IF(INDEX(RUNS!$G$6:$G$1005,MATCH($D530,RUNS!$A$6:$A$1005,0))="","",INDEX(RUNS!$G$6:$G$1005,MATCH($D530,RUNS!$A$6:$A$1005,0))),""))</f>
        <v/>
      </c>
      <c r="O530" s="33">
        <f>IF($D530="","",IFERROR(IF(INDEX(RUNS!$H$6:$H$1005,MATCH($D530,RUNS!$A$6:$A$1005,0))="","",INDEX(RUNS!$H$6:$H$1005,MATCH($D530,RUNS!$A$6:$A$1005,0))),""))</f>
        <v/>
      </c>
      <c r="P530" s="33">
        <f>IF($D530="","",IFERROR(IF(INDEX(RUNS!$J$6:$J$1005,MATCH($D530,RUNS!$A$6:$A$1005,0))="","",INDEX(RUNS!$J$6:$J$1005,MATCH($D530,RUNS!$A$6:$A$1005,0))),""))</f>
        <v/>
      </c>
      <c r="Q530" s="33">
        <f>IF($D530="","",IFERROR(IF(INDEX(RUNS!$K$6:$K$1005,MATCH($D530,RUNS!$A$6:$A$1005,0))="","",INDEX(RUNS!$K$6:$K$1005,MATCH($D530,RUNS!$A$6:$A$1005,0))),""))</f>
        <v/>
      </c>
      <c r="R530" s="34">
        <f>IF(OR($L530="",$K530=""),"",IFERROR(IF(INDEX(PARAMETRES!$H$43:$H$342,MATCH($L530&amp;"|"&amp;$M530&amp;"|"&amp;$N530&amp;"|"&amp;$O530&amp;"|"&amp;$P530&amp;"|"&amp;$Q530&amp;"|"&amp;$K530,PARAMETRES!$J$43:$J$342,0))="","",INDEX(PARAMETRES!$H$43:$H$342,MATCH($L530&amp;"|"&amp;$M530&amp;"|"&amp;$N530&amp;"|"&amp;$O530&amp;"|"&amp;$P530&amp;"|"&amp;$Q530&amp;"|"&amp;$K530,PARAMETRES!$J$43:$J$342,0))),""))</f>
        <v/>
      </c>
      <c r="S530" s="35">
        <f>IF(OR($G530="",$X530&lt;&gt;"VALIDE"),"",IFERROR(LOOKUP(2,1/(($B$3:$B529=$B530)*($G$3:$G529=$G530)*($X$3:$X529="VALIDE")),$C$3:$C529),""))</f>
        <v/>
      </c>
      <c r="T530" s="36">
        <f>IF(OR($C530="",$S530=""),"",ROUND(($C530-$S530+IF($C530&lt;$S530,1,0))*1440,0))</f>
        <v/>
      </c>
      <c r="U530" s="22">
        <f>IF(OR($H530="",$T530="",$T530&lt;=0),"",$H530*60/$T530)</f>
        <v/>
      </c>
      <c r="V530" s="37">
        <f>IF(OR($U530="",$R530="",$R530=0),"",$U530/$R530)</f>
        <v/>
      </c>
      <c r="W530" s="20">
        <f>IF($G530="","",IF($X530="CONTEXTE INCOMPLET","CONTEXTE INCOMPLET",IF($X530="DOUBLON",StatutDoublon,IF($S530="",StatutInitial,IF($R530="",StatutStandardManquant,IF($V530="","DONNEES INSUFFISANTES",IF($V530&gt;=SeuilConforme,StatutConforme,IF($V530&gt;=SeuilSurveiller,StatutSurveiller,StatutSousStandard))))))))</f>
        <v/>
      </c>
      <c r="X530" s="33">
        <f>IF($G530="","",IF(OR($D530="",$E530="",$F530=""),"CONTEXTE INCOMPLET",IF(COUNTIFS($D$3:$D529,$D530,$E$3:$E529,$E530,$F$3:$F529,$F530,$G$3:$G529,$G530)&gt;0,"DOUBLON","VALIDE")))</f>
        <v/>
      </c>
    </row>
    <row r="531" ht="15" customHeight="1">
      <c r="A531" s="12">
        <f>IF(OR($B531="",$G531=""),"",TEXT($B531,"YYYYMMDD")&amp;"-"&amp;SUBSTITUTE($E531," ","")&amp;"-"&amp;$F531&amp;"-"&amp;$G531)</f>
        <v/>
      </c>
      <c r="B531" s="15" t="n"/>
      <c r="C531" s="16" t="n"/>
      <c r="D531" s="10" t="n"/>
      <c r="E531" s="9" t="n"/>
      <c r="F531" s="9" t="n"/>
      <c r="G531" s="13" t="n"/>
      <c r="H531" s="21" t="n"/>
      <c r="I531" s="21" t="n"/>
      <c r="J531" s="17">
        <f>IF($G531="","",IFERROR(INDEX(NomsEmployes,MATCH($G531,MatriculesEmployes,0)),"MATRICULE INCONNU"))</f>
        <v/>
      </c>
      <c r="K531" s="33">
        <f>IF(OR($D531="",$F531=""),"",IFERROR(IF(INDEX(RUNS!$L$6:$S$1005,MATCH($D531,RUNS!$A$6:$A$1005,0),MATCH("ACTIVITÉ "&amp;$F531,RUNS!$L$5:$S$5,0))="","",INDEX(RUNS!$L$6:$S$1005,MATCH($D531,RUNS!$A$6:$A$1005,0),MATCH("ACTIVITÉ "&amp;$F531,RUNS!$L$5:$S$5,0))),""))</f>
        <v/>
      </c>
      <c r="L531" s="33">
        <f>IF($D531="","",IFERROR(IF(INDEX(RUNS!$E$6:$E$1005,MATCH($D531,RUNS!$A$6:$A$1005,0))="","",INDEX(RUNS!$E$6:$E$1005,MATCH($D531,RUNS!$A$6:$A$1005,0))),""))</f>
        <v/>
      </c>
      <c r="M531" s="33">
        <f>IF($D531="","",IFERROR(IF(INDEX(RUNS!$F$6:$F$1005,MATCH($D531,RUNS!$A$6:$A$1005,0))="","",INDEX(RUNS!$F$6:$F$1005,MATCH($D531,RUNS!$A$6:$A$1005,0))),""))</f>
        <v/>
      </c>
      <c r="N531" s="33">
        <f>IF($D531="","",IFERROR(IF(INDEX(RUNS!$G$6:$G$1005,MATCH($D531,RUNS!$A$6:$A$1005,0))="","",INDEX(RUNS!$G$6:$G$1005,MATCH($D531,RUNS!$A$6:$A$1005,0))),""))</f>
        <v/>
      </c>
      <c r="O531" s="33">
        <f>IF($D531="","",IFERROR(IF(INDEX(RUNS!$H$6:$H$1005,MATCH($D531,RUNS!$A$6:$A$1005,0))="","",INDEX(RUNS!$H$6:$H$1005,MATCH($D531,RUNS!$A$6:$A$1005,0))),""))</f>
        <v/>
      </c>
      <c r="P531" s="33">
        <f>IF($D531="","",IFERROR(IF(INDEX(RUNS!$J$6:$J$1005,MATCH($D531,RUNS!$A$6:$A$1005,0))="","",INDEX(RUNS!$J$6:$J$1005,MATCH($D531,RUNS!$A$6:$A$1005,0))),""))</f>
        <v/>
      </c>
      <c r="Q531" s="33">
        <f>IF($D531="","",IFERROR(IF(INDEX(RUNS!$K$6:$K$1005,MATCH($D531,RUNS!$A$6:$A$1005,0))="","",INDEX(RUNS!$K$6:$K$1005,MATCH($D531,RUNS!$A$6:$A$1005,0))),""))</f>
        <v/>
      </c>
      <c r="R531" s="34">
        <f>IF(OR($L531="",$K531=""),"",IFERROR(IF(INDEX(PARAMETRES!$H$43:$H$342,MATCH($L531&amp;"|"&amp;$M531&amp;"|"&amp;$N531&amp;"|"&amp;$O531&amp;"|"&amp;$P531&amp;"|"&amp;$Q531&amp;"|"&amp;$K531,PARAMETRES!$J$43:$J$342,0))="","",INDEX(PARAMETRES!$H$43:$H$342,MATCH($L531&amp;"|"&amp;$M531&amp;"|"&amp;$N531&amp;"|"&amp;$O531&amp;"|"&amp;$P531&amp;"|"&amp;$Q531&amp;"|"&amp;$K531,PARAMETRES!$J$43:$J$342,0))),""))</f>
        <v/>
      </c>
      <c r="S531" s="35">
        <f>IF(OR($G531="",$X531&lt;&gt;"VALIDE"),"",IFERROR(LOOKUP(2,1/(($B$3:$B530=$B531)*($G$3:$G530=$G531)*($X$3:$X530="VALIDE")),$C$3:$C530),""))</f>
        <v/>
      </c>
      <c r="T531" s="36">
        <f>IF(OR($C531="",$S531=""),"",ROUND(($C531-$S531+IF($C531&lt;$S531,1,0))*1440,0))</f>
        <v/>
      </c>
      <c r="U531" s="22">
        <f>IF(OR($H531="",$T531="",$T531&lt;=0),"",$H531*60/$T531)</f>
        <v/>
      </c>
      <c r="V531" s="37">
        <f>IF(OR($U531="",$R531="",$R531=0),"",$U531/$R531)</f>
        <v/>
      </c>
      <c r="W531" s="20">
        <f>IF($G531="","",IF($X531="CONTEXTE INCOMPLET","CONTEXTE INCOMPLET",IF($X531="DOUBLON",StatutDoublon,IF($S531="",StatutInitial,IF($R531="",StatutStandardManquant,IF($V531="","DONNEES INSUFFISANTES",IF($V531&gt;=SeuilConforme,StatutConforme,IF($V531&gt;=SeuilSurveiller,StatutSurveiller,StatutSousStandard))))))))</f>
        <v/>
      </c>
      <c r="X531" s="33">
        <f>IF($G531="","",IF(OR($D531="",$E531="",$F531=""),"CONTEXTE INCOMPLET",IF(COUNTIFS($D$3:$D530,$D531,$E$3:$E530,$E531,$F$3:$F530,$F531,$G$3:$G530,$G531)&gt;0,"DOUBLON","VALIDE")))</f>
        <v/>
      </c>
    </row>
    <row r="532" ht="15" customHeight="1">
      <c r="A532" s="12">
        <f>IF(OR($B532="",$G532=""),"",TEXT($B532,"YYYYMMDD")&amp;"-"&amp;SUBSTITUTE($E532," ","")&amp;"-"&amp;$F532&amp;"-"&amp;$G532)</f>
        <v/>
      </c>
      <c r="B532" s="15" t="n"/>
      <c r="C532" s="16" t="n"/>
      <c r="D532" s="10" t="n"/>
      <c r="E532" s="9" t="n"/>
      <c r="F532" s="9" t="n"/>
      <c r="G532" s="13" t="n"/>
      <c r="H532" s="21" t="n"/>
      <c r="I532" s="21" t="n"/>
      <c r="J532" s="17">
        <f>IF($G532="","",IFERROR(INDEX(NomsEmployes,MATCH($G532,MatriculesEmployes,0)),"MATRICULE INCONNU"))</f>
        <v/>
      </c>
      <c r="K532" s="33">
        <f>IF(OR($D532="",$F532=""),"",IFERROR(IF(INDEX(RUNS!$L$6:$S$1005,MATCH($D532,RUNS!$A$6:$A$1005,0),MATCH("ACTIVITÉ "&amp;$F532,RUNS!$L$5:$S$5,0))="","",INDEX(RUNS!$L$6:$S$1005,MATCH($D532,RUNS!$A$6:$A$1005,0),MATCH("ACTIVITÉ "&amp;$F532,RUNS!$L$5:$S$5,0))),""))</f>
        <v/>
      </c>
      <c r="L532" s="33">
        <f>IF($D532="","",IFERROR(IF(INDEX(RUNS!$E$6:$E$1005,MATCH($D532,RUNS!$A$6:$A$1005,0))="","",INDEX(RUNS!$E$6:$E$1005,MATCH($D532,RUNS!$A$6:$A$1005,0))),""))</f>
        <v/>
      </c>
      <c r="M532" s="33">
        <f>IF($D532="","",IFERROR(IF(INDEX(RUNS!$F$6:$F$1005,MATCH($D532,RUNS!$A$6:$A$1005,0))="","",INDEX(RUNS!$F$6:$F$1005,MATCH($D532,RUNS!$A$6:$A$1005,0))),""))</f>
        <v/>
      </c>
      <c r="N532" s="33">
        <f>IF($D532="","",IFERROR(IF(INDEX(RUNS!$G$6:$G$1005,MATCH($D532,RUNS!$A$6:$A$1005,0))="","",INDEX(RUNS!$G$6:$G$1005,MATCH($D532,RUNS!$A$6:$A$1005,0))),""))</f>
        <v/>
      </c>
      <c r="O532" s="33">
        <f>IF($D532="","",IFERROR(IF(INDEX(RUNS!$H$6:$H$1005,MATCH($D532,RUNS!$A$6:$A$1005,0))="","",INDEX(RUNS!$H$6:$H$1005,MATCH($D532,RUNS!$A$6:$A$1005,0))),""))</f>
        <v/>
      </c>
      <c r="P532" s="33">
        <f>IF($D532="","",IFERROR(IF(INDEX(RUNS!$J$6:$J$1005,MATCH($D532,RUNS!$A$6:$A$1005,0))="","",INDEX(RUNS!$J$6:$J$1005,MATCH($D532,RUNS!$A$6:$A$1005,0))),""))</f>
        <v/>
      </c>
      <c r="Q532" s="33">
        <f>IF($D532="","",IFERROR(IF(INDEX(RUNS!$K$6:$K$1005,MATCH($D532,RUNS!$A$6:$A$1005,0))="","",INDEX(RUNS!$K$6:$K$1005,MATCH($D532,RUNS!$A$6:$A$1005,0))),""))</f>
        <v/>
      </c>
      <c r="R532" s="34">
        <f>IF(OR($L532="",$K532=""),"",IFERROR(IF(INDEX(PARAMETRES!$H$43:$H$342,MATCH($L532&amp;"|"&amp;$M532&amp;"|"&amp;$N532&amp;"|"&amp;$O532&amp;"|"&amp;$P532&amp;"|"&amp;$Q532&amp;"|"&amp;$K532,PARAMETRES!$J$43:$J$342,0))="","",INDEX(PARAMETRES!$H$43:$H$342,MATCH($L532&amp;"|"&amp;$M532&amp;"|"&amp;$N532&amp;"|"&amp;$O532&amp;"|"&amp;$P532&amp;"|"&amp;$Q532&amp;"|"&amp;$K532,PARAMETRES!$J$43:$J$342,0))),""))</f>
        <v/>
      </c>
      <c r="S532" s="35">
        <f>IF(OR($G532="",$X532&lt;&gt;"VALIDE"),"",IFERROR(LOOKUP(2,1/(($B$3:$B531=$B532)*($G$3:$G531=$G532)*($X$3:$X531="VALIDE")),$C$3:$C531),""))</f>
        <v/>
      </c>
      <c r="T532" s="36">
        <f>IF(OR($C532="",$S532=""),"",ROUND(($C532-$S532+IF($C532&lt;$S532,1,0))*1440,0))</f>
        <v/>
      </c>
      <c r="U532" s="22">
        <f>IF(OR($H532="",$T532="",$T532&lt;=0),"",$H532*60/$T532)</f>
        <v/>
      </c>
      <c r="V532" s="37">
        <f>IF(OR($U532="",$R532="",$R532=0),"",$U532/$R532)</f>
        <v/>
      </c>
      <c r="W532" s="20">
        <f>IF($G532="","",IF($X532="CONTEXTE INCOMPLET","CONTEXTE INCOMPLET",IF($X532="DOUBLON",StatutDoublon,IF($S532="",StatutInitial,IF($R532="",StatutStandardManquant,IF($V532="","DONNEES INSUFFISANTES",IF($V532&gt;=SeuilConforme,StatutConforme,IF($V532&gt;=SeuilSurveiller,StatutSurveiller,StatutSousStandard))))))))</f>
        <v/>
      </c>
      <c r="X532" s="33">
        <f>IF($G532="","",IF(OR($D532="",$E532="",$F532=""),"CONTEXTE INCOMPLET",IF(COUNTIFS($D$3:$D531,$D532,$E$3:$E531,$E532,$F$3:$F531,$F532,$G$3:$G531,$G532)&gt;0,"DOUBLON","VALIDE")))</f>
        <v/>
      </c>
    </row>
    <row r="533" ht="15" customHeight="1">
      <c r="A533" s="12">
        <f>IF(OR($B533="",$G533=""),"",TEXT($B533,"YYYYMMDD")&amp;"-"&amp;SUBSTITUTE($E533," ","")&amp;"-"&amp;$F533&amp;"-"&amp;$G533)</f>
        <v/>
      </c>
      <c r="B533" s="15" t="n"/>
      <c r="C533" s="16" t="n"/>
      <c r="D533" s="10" t="n"/>
      <c r="E533" s="9" t="n"/>
      <c r="F533" s="9" t="n"/>
      <c r="G533" s="13" t="n"/>
      <c r="H533" s="21" t="n"/>
      <c r="I533" s="21" t="n"/>
      <c r="J533" s="17">
        <f>IF($G533="","",IFERROR(INDEX(NomsEmployes,MATCH($G533,MatriculesEmployes,0)),"MATRICULE INCONNU"))</f>
        <v/>
      </c>
      <c r="K533" s="33">
        <f>IF(OR($D533="",$F533=""),"",IFERROR(IF(INDEX(RUNS!$L$6:$S$1005,MATCH($D533,RUNS!$A$6:$A$1005,0),MATCH("ACTIVITÉ "&amp;$F533,RUNS!$L$5:$S$5,0))="","",INDEX(RUNS!$L$6:$S$1005,MATCH($D533,RUNS!$A$6:$A$1005,0),MATCH("ACTIVITÉ "&amp;$F533,RUNS!$L$5:$S$5,0))),""))</f>
        <v/>
      </c>
      <c r="L533" s="33">
        <f>IF($D533="","",IFERROR(IF(INDEX(RUNS!$E$6:$E$1005,MATCH($D533,RUNS!$A$6:$A$1005,0))="","",INDEX(RUNS!$E$6:$E$1005,MATCH($D533,RUNS!$A$6:$A$1005,0))),""))</f>
        <v/>
      </c>
      <c r="M533" s="33">
        <f>IF($D533="","",IFERROR(IF(INDEX(RUNS!$F$6:$F$1005,MATCH($D533,RUNS!$A$6:$A$1005,0))="","",INDEX(RUNS!$F$6:$F$1005,MATCH($D533,RUNS!$A$6:$A$1005,0))),""))</f>
        <v/>
      </c>
      <c r="N533" s="33">
        <f>IF($D533="","",IFERROR(IF(INDEX(RUNS!$G$6:$G$1005,MATCH($D533,RUNS!$A$6:$A$1005,0))="","",INDEX(RUNS!$G$6:$G$1005,MATCH($D533,RUNS!$A$6:$A$1005,0))),""))</f>
        <v/>
      </c>
      <c r="O533" s="33">
        <f>IF($D533="","",IFERROR(IF(INDEX(RUNS!$H$6:$H$1005,MATCH($D533,RUNS!$A$6:$A$1005,0))="","",INDEX(RUNS!$H$6:$H$1005,MATCH($D533,RUNS!$A$6:$A$1005,0))),""))</f>
        <v/>
      </c>
      <c r="P533" s="33">
        <f>IF($D533="","",IFERROR(IF(INDEX(RUNS!$J$6:$J$1005,MATCH($D533,RUNS!$A$6:$A$1005,0))="","",INDEX(RUNS!$J$6:$J$1005,MATCH($D533,RUNS!$A$6:$A$1005,0))),""))</f>
        <v/>
      </c>
      <c r="Q533" s="33">
        <f>IF($D533="","",IFERROR(IF(INDEX(RUNS!$K$6:$K$1005,MATCH($D533,RUNS!$A$6:$A$1005,0))="","",INDEX(RUNS!$K$6:$K$1005,MATCH($D533,RUNS!$A$6:$A$1005,0))),""))</f>
        <v/>
      </c>
      <c r="R533" s="34">
        <f>IF(OR($L533="",$K533=""),"",IFERROR(IF(INDEX(PARAMETRES!$H$43:$H$342,MATCH($L533&amp;"|"&amp;$M533&amp;"|"&amp;$N533&amp;"|"&amp;$O533&amp;"|"&amp;$P533&amp;"|"&amp;$Q533&amp;"|"&amp;$K533,PARAMETRES!$J$43:$J$342,0))="","",INDEX(PARAMETRES!$H$43:$H$342,MATCH($L533&amp;"|"&amp;$M533&amp;"|"&amp;$N533&amp;"|"&amp;$O533&amp;"|"&amp;$P533&amp;"|"&amp;$Q533&amp;"|"&amp;$K533,PARAMETRES!$J$43:$J$342,0))),""))</f>
        <v/>
      </c>
      <c r="S533" s="35">
        <f>IF(OR($G533="",$X533&lt;&gt;"VALIDE"),"",IFERROR(LOOKUP(2,1/(($B$3:$B532=$B533)*($G$3:$G532=$G533)*($X$3:$X532="VALIDE")),$C$3:$C532),""))</f>
        <v/>
      </c>
      <c r="T533" s="36">
        <f>IF(OR($C533="",$S533=""),"",ROUND(($C533-$S533+IF($C533&lt;$S533,1,0))*1440,0))</f>
        <v/>
      </c>
      <c r="U533" s="22">
        <f>IF(OR($H533="",$T533="",$T533&lt;=0),"",$H533*60/$T533)</f>
        <v/>
      </c>
      <c r="V533" s="37">
        <f>IF(OR($U533="",$R533="",$R533=0),"",$U533/$R533)</f>
        <v/>
      </c>
      <c r="W533" s="20">
        <f>IF($G533="","",IF($X533="CONTEXTE INCOMPLET","CONTEXTE INCOMPLET",IF($X533="DOUBLON",StatutDoublon,IF($S533="",StatutInitial,IF($R533="",StatutStandardManquant,IF($V533="","DONNEES INSUFFISANTES",IF($V533&gt;=SeuilConforme,StatutConforme,IF($V533&gt;=SeuilSurveiller,StatutSurveiller,StatutSousStandard))))))))</f>
        <v/>
      </c>
      <c r="X533" s="33">
        <f>IF($G533="","",IF(OR($D533="",$E533="",$F533=""),"CONTEXTE INCOMPLET",IF(COUNTIFS($D$3:$D532,$D533,$E$3:$E532,$E533,$F$3:$F532,$F533,$G$3:$G532,$G533)&gt;0,"DOUBLON","VALIDE")))</f>
        <v/>
      </c>
    </row>
    <row r="534" ht="15" customHeight="1">
      <c r="A534" s="12">
        <f>IF(OR($B534="",$G534=""),"",TEXT($B534,"YYYYMMDD")&amp;"-"&amp;SUBSTITUTE($E534," ","")&amp;"-"&amp;$F534&amp;"-"&amp;$G534)</f>
        <v/>
      </c>
      <c r="B534" s="15" t="n"/>
      <c r="C534" s="16" t="n"/>
      <c r="D534" s="10" t="n"/>
      <c r="E534" s="9" t="n"/>
      <c r="F534" s="9" t="n"/>
      <c r="G534" s="13" t="n"/>
      <c r="H534" s="21" t="n"/>
      <c r="I534" s="21" t="n"/>
      <c r="J534" s="17">
        <f>IF($G534="","",IFERROR(INDEX(NomsEmployes,MATCH($G534,MatriculesEmployes,0)),"MATRICULE INCONNU"))</f>
        <v/>
      </c>
      <c r="K534" s="33">
        <f>IF(OR($D534="",$F534=""),"",IFERROR(IF(INDEX(RUNS!$L$6:$S$1005,MATCH($D534,RUNS!$A$6:$A$1005,0),MATCH("ACTIVITÉ "&amp;$F534,RUNS!$L$5:$S$5,0))="","",INDEX(RUNS!$L$6:$S$1005,MATCH($D534,RUNS!$A$6:$A$1005,0),MATCH("ACTIVITÉ "&amp;$F534,RUNS!$L$5:$S$5,0))),""))</f>
        <v/>
      </c>
      <c r="L534" s="33">
        <f>IF($D534="","",IFERROR(IF(INDEX(RUNS!$E$6:$E$1005,MATCH($D534,RUNS!$A$6:$A$1005,0))="","",INDEX(RUNS!$E$6:$E$1005,MATCH($D534,RUNS!$A$6:$A$1005,0))),""))</f>
        <v/>
      </c>
      <c r="M534" s="33">
        <f>IF($D534="","",IFERROR(IF(INDEX(RUNS!$F$6:$F$1005,MATCH($D534,RUNS!$A$6:$A$1005,0))="","",INDEX(RUNS!$F$6:$F$1005,MATCH($D534,RUNS!$A$6:$A$1005,0))),""))</f>
        <v/>
      </c>
      <c r="N534" s="33">
        <f>IF($D534="","",IFERROR(IF(INDEX(RUNS!$G$6:$G$1005,MATCH($D534,RUNS!$A$6:$A$1005,0))="","",INDEX(RUNS!$G$6:$G$1005,MATCH($D534,RUNS!$A$6:$A$1005,0))),""))</f>
        <v/>
      </c>
      <c r="O534" s="33">
        <f>IF($D534="","",IFERROR(IF(INDEX(RUNS!$H$6:$H$1005,MATCH($D534,RUNS!$A$6:$A$1005,0))="","",INDEX(RUNS!$H$6:$H$1005,MATCH($D534,RUNS!$A$6:$A$1005,0))),""))</f>
        <v/>
      </c>
      <c r="P534" s="33">
        <f>IF($D534="","",IFERROR(IF(INDEX(RUNS!$J$6:$J$1005,MATCH($D534,RUNS!$A$6:$A$1005,0))="","",INDEX(RUNS!$J$6:$J$1005,MATCH($D534,RUNS!$A$6:$A$1005,0))),""))</f>
        <v/>
      </c>
      <c r="Q534" s="33">
        <f>IF($D534="","",IFERROR(IF(INDEX(RUNS!$K$6:$K$1005,MATCH($D534,RUNS!$A$6:$A$1005,0))="","",INDEX(RUNS!$K$6:$K$1005,MATCH($D534,RUNS!$A$6:$A$1005,0))),""))</f>
        <v/>
      </c>
      <c r="R534" s="34">
        <f>IF(OR($L534="",$K534=""),"",IFERROR(IF(INDEX(PARAMETRES!$H$43:$H$342,MATCH($L534&amp;"|"&amp;$M534&amp;"|"&amp;$N534&amp;"|"&amp;$O534&amp;"|"&amp;$P534&amp;"|"&amp;$Q534&amp;"|"&amp;$K534,PARAMETRES!$J$43:$J$342,0))="","",INDEX(PARAMETRES!$H$43:$H$342,MATCH($L534&amp;"|"&amp;$M534&amp;"|"&amp;$N534&amp;"|"&amp;$O534&amp;"|"&amp;$P534&amp;"|"&amp;$Q534&amp;"|"&amp;$K534,PARAMETRES!$J$43:$J$342,0))),""))</f>
        <v/>
      </c>
      <c r="S534" s="35">
        <f>IF(OR($G534="",$X534&lt;&gt;"VALIDE"),"",IFERROR(LOOKUP(2,1/(($B$3:$B533=$B534)*($G$3:$G533=$G534)*($X$3:$X533="VALIDE")),$C$3:$C533),""))</f>
        <v/>
      </c>
      <c r="T534" s="36">
        <f>IF(OR($C534="",$S534=""),"",ROUND(($C534-$S534+IF($C534&lt;$S534,1,0))*1440,0))</f>
        <v/>
      </c>
      <c r="U534" s="22">
        <f>IF(OR($H534="",$T534="",$T534&lt;=0),"",$H534*60/$T534)</f>
        <v/>
      </c>
      <c r="V534" s="37">
        <f>IF(OR($U534="",$R534="",$R534=0),"",$U534/$R534)</f>
        <v/>
      </c>
      <c r="W534" s="20">
        <f>IF($G534="","",IF($X534="CONTEXTE INCOMPLET","CONTEXTE INCOMPLET",IF($X534="DOUBLON",StatutDoublon,IF($S534="",StatutInitial,IF($R534="",StatutStandardManquant,IF($V534="","DONNEES INSUFFISANTES",IF($V534&gt;=SeuilConforme,StatutConforme,IF($V534&gt;=SeuilSurveiller,StatutSurveiller,StatutSousStandard))))))))</f>
        <v/>
      </c>
      <c r="X534" s="33">
        <f>IF($G534="","",IF(OR($D534="",$E534="",$F534=""),"CONTEXTE INCOMPLET",IF(COUNTIFS($D$3:$D533,$D534,$E$3:$E533,$E534,$F$3:$F533,$F534,$G$3:$G533,$G534)&gt;0,"DOUBLON","VALIDE")))</f>
        <v/>
      </c>
    </row>
    <row r="535" ht="15" customHeight="1">
      <c r="A535" s="12">
        <f>IF(OR($B535="",$G535=""),"",TEXT($B535,"YYYYMMDD")&amp;"-"&amp;SUBSTITUTE($E535," ","")&amp;"-"&amp;$F535&amp;"-"&amp;$G535)</f>
        <v/>
      </c>
      <c r="B535" s="15" t="n"/>
      <c r="C535" s="16" t="n"/>
      <c r="D535" s="10" t="n"/>
      <c r="E535" s="9" t="n"/>
      <c r="F535" s="9" t="n"/>
      <c r="G535" s="13" t="n"/>
      <c r="H535" s="21" t="n"/>
      <c r="I535" s="21" t="n"/>
      <c r="J535" s="17">
        <f>IF($G535="","",IFERROR(INDEX(NomsEmployes,MATCH($G535,MatriculesEmployes,0)),"MATRICULE INCONNU"))</f>
        <v/>
      </c>
      <c r="K535" s="33">
        <f>IF(OR($D535="",$F535=""),"",IFERROR(IF(INDEX(RUNS!$L$6:$S$1005,MATCH($D535,RUNS!$A$6:$A$1005,0),MATCH("ACTIVITÉ "&amp;$F535,RUNS!$L$5:$S$5,0))="","",INDEX(RUNS!$L$6:$S$1005,MATCH($D535,RUNS!$A$6:$A$1005,0),MATCH("ACTIVITÉ "&amp;$F535,RUNS!$L$5:$S$5,0))),""))</f>
        <v/>
      </c>
      <c r="L535" s="33">
        <f>IF($D535="","",IFERROR(IF(INDEX(RUNS!$E$6:$E$1005,MATCH($D535,RUNS!$A$6:$A$1005,0))="","",INDEX(RUNS!$E$6:$E$1005,MATCH($D535,RUNS!$A$6:$A$1005,0))),""))</f>
        <v/>
      </c>
      <c r="M535" s="33">
        <f>IF($D535="","",IFERROR(IF(INDEX(RUNS!$F$6:$F$1005,MATCH($D535,RUNS!$A$6:$A$1005,0))="","",INDEX(RUNS!$F$6:$F$1005,MATCH($D535,RUNS!$A$6:$A$1005,0))),""))</f>
        <v/>
      </c>
      <c r="N535" s="33">
        <f>IF($D535="","",IFERROR(IF(INDEX(RUNS!$G$6:$G$1005,MATCH($D535,RUNS!$A$6:$A$1005,0))="","",INDEX(RUNS!$G$6:$G$1005,MATCH($D535,RUNS!$A$6:$A$1005,0))),""))</f>
        <v/>
      </c>
      <c r="O535" s="33">
        <f>IF($D535="","",IFERROR(IF(INDEX(RUNS!$H$6:$H$1005,MATCH($D535,RUNS!$A$6:$A$1005,0))="","",INDEX(RUNS!$H$6:$H$1005,MATCH($D535,RUNS!$A$6:$A$1005,0))),""))</f>
        <v/>
      </c>
      <c r="P535" s="33">
        <f>IF($D535="","",IFERROR(IF(INDEX(RUNS!$J$6:$J$1005,MATCH($D535,RUNS!$A$6:$A$1005,0))="","",INDEX(RUNS!$J$6:$J$1005,MATCH($D535,RUNS!$A$6:$A$1005,0))),""))</f>
        <v/>
      </c>
      <c r="Q535" s="33">
        <f>IF($D535="","",IFERROR(IF(INDEX(RUNS!$K$6:$K$1005,MATCH($D535,RUNS!$A$6:$A$1005,0))="","",INDEX(RUNS!$K$6:$K$1005,MATCH($D535,RUNS!$A$6:$A$1005,0))),""))</f>
        <v/>
      </c>
      <c r="R535" s="34">
        <f>IF(OR($L535="",$K535=""),"",IFERROR(IF(INDEX(PARAMETRES!$H$43:$H$342,MATCH($L535&amp;"|"&amp;$M535&amp;"|"&amp;$N535&amp;"|"&amp;$O535&amp;"|"&amp;$P535&amp;"|"&amp;$Q535&amp;"|"&amp;$K535,PARAMETRES!$J$43:$J$342,0))="","",INDEX(PARAMETRES!$H$43:$H$342,MATCH($L535&amp;"|"&amp;$M535&amp;"|"&amp;$N535&amp;"|"&amp;$O535&amp;"|"&amp;$P535&amp;"|"&amp;$Q535&amp;"|"&amp;$K535,PARAMETRES!$J$43:$J$342,0))),""))</f>
        <v/>
      </c>
      <c r="S535" s="35">
        <f>IF(OR($G535="",$X535&lt;&gt;"VALIDE"),"",IFERROR(LOOKUP(2,1/(($B$3:$B534=$B535)*($G$3:$G534=$G535)*($X$3:$X534="VALIDE")),$C$3:$C534),""))</f>
        <v/>
      </c>
      <c r="T535" s="36">
        <f>IF(OR($C535="",$S535=""),"",ROUND(($C535-$S535+IF($C535&lt;$S535,1,0))*1440,0))</f>
        <v/>
      </c>
      <c r="U535" s="22">
        <f>IF(OR($H535="",$T535="",$T535&lt;=0),"",$H535*60/$T535)</f>
        <v/>
      </c>
      <c r="V535" s="37">
        <f>IF(OR($U535="",$R535="",$R535=0),"",$U535/$R535)</f>
        <v/>
      </c>
      <c r="W535" s="20">
        <f>IF($G535="","",IF($X535="CONTEXTE INCOMPLET","CONTEXTE INCOMPLET",IF($X535="DOUBLON",StatutDoublon,IF($S535="",StatutInitial,IF($R535="",StatutStandardManquant,IF($V535="","DONNEES INSUFFISANTES",IF($V535&gt;=SeuilConforme,StatutConforme,IF($V535&gt;=SeuilSurveiller,StatutSurveiller,StatutSousStandard))))))))</f>
        <v/>
      </c>
      <c r="X535" s="33">
        <f>IF($G535="","",IF(OR($D535="",$E535="",$F535=""),"CONTEXTE INCOMPLET",IF(COUNTIFS($D$3:$D534,$D535,$E$3:$E534,$E535,$F$3:$F534,$F535,$G$3:$G534,$G535)&gt;0,"DOUBLON","VALIDE")))</f>
        <v/>
      </c>
    </row>
    <row r="536" ht="15" customHeight="1">
      <c r="A536" s="12">
        <f>IF(OR($B536="",$G536=""),"",TEXT($B536,"YYYYMMDD")&amp;"-"&amp;SUBSTITUTE($E536," ","")&amp;"-"&amp;$F536&amp;"-"&amp;$G536)</f>
        <v/>
      </c>
      <c r="B536" s="15" t="n"/>
      <c r="C536" s="16" t="n"/>
      <c r="D536" s="10" t="n"/>
      <c r="E536" s="9" t="n"/>
      <c r="F536" s="9" t="n"/>
      <c r="G536" s="13" t="n"/>
      <c r="H536" s="21" t="n"/>
      <c r="I536" s="21" t="n"/>
      <c r="J536" s="17">
        <f>IF($G536="","",IFERROR(INDEX(NomsEmployes,MATCH($G536,MatriculesEmployes,0)),"MATRICULE INCONNU"))</f>
        <v/>
      </c>
      <c r="K536" s="33">
        <f>IF(OR($D536="",$F536=""),"",IFERROR(IF(INDEX(RUNS!$L$6:$S$1005,MATCH($D536,RUNS!$A$6:$A$1005,0),MATCH("ACTIVITÉ "&amp;$F536,RUNS!$L$5:$S$5,0))="","",INDEX(RUNS!$L$6:$S$1005,MATCH($D536,RUNS!$A$6:$A$1005,0),MATCH("ACTIVITÉ "&amp;$F536,RUNS!$L$5:$S$5,0))),""))</f>
        <v/>
      </c>
      <c r="L536" s="33">
        <f>IF($D536="","",IFERROR(IF(INDEX(RUNS!$E$6:$E$1005,MATCH($D536,RUNS!$A$6:$A$1005,0))="","",INDEX(RUNS!$E$6:$E$1005,MATCH($D536,RUNS!$A$6:$A$1005,0))),""))</f>
        <v/>
      </c>
      <c r="M536" s="33">
        <f>IF($D536="","",IFERROR(IF(INDEX(RUNS!$F$6:$F$1005,MATCH($D536,RUNS!$A$6:$A$1005,0))="","",INDEX(RUNS!$F$6:$F$1005,MATCH($D536,RUNS!$A$6:$A$1005,0))),""))</f>
        <v/>
      </c>
      <c r="N536" s="33">
        <f>IF($D536="","",IFERROR(IF(INDEX(RUNS!$G$6:$G$1005,MATCH($D536,RUNS!$A$6:$A$1005,0))="","",INDEX(RUNS!$G$6:$G$1005,MATCH($D536,RUNS!$A$6:$A$1005,0))),""))</f>
        <v/>
      </c>
      <c r="O536" s="33">
        <f>IF($D536="","",IFERROR(IF(INDEX(RUNS!$H$6:$H$1005,MATCH($D536,RUNS!$A$6:$A$1005,0))="","",INDEX(RUNS!$H$6:$H$1005,MATCH($D536,RUNS!$A$6:$A$1005,0))),""))</f>
        <v/>
      </c>
      <c r="P536" s="33">
        <f>IF($D536="","",IFERROR(IF(INDEX(RUNS!$J$6:$J$1005,MATCH($D536,RUNS!$A$6:$A$1005,0))="","",INDEX(RUNS!$J$6:$J$1005,MATCH($D536,RUNS!$A$6:$A$1005,0))),""))</f>
        <v/>
      </c>
      <c r="Q536" s="33">
        <f>IF($D536="","",IFERROR(IF(INDEX(RUNS!$K$6:$K$1005,MATCH($D536,RUNS!$A$6:$A$1005,0))="","",INDEX(RUNS!$K$6:$K$1005,MATCH($D536,RUNS!$A$6:$A$1005,0))),""))</f>
        <v/>
      </c>
      <c r="R536" s="34">
        <f>IF(OR($L536="",$K536=""),"",IFERROR(IF(INDEX(PARAMETRES!$H$43:$H$342,MATCH($L536&amp;"|"&amp;$M536&amp;"|"&amp;$N536&amp;"|"&amp;$O536&amp;"|"&amp;$P536&amp;"|"&amp;$Q536&amp;"|"&amp;$K536,PARAMETRES!$J$43:$J$342,0))="","",INDEX(PARAMETRES!$H$43:$H$342,MATCH($L536&amp;"|"&amp;$M536&amp;"|"&amp;$N536&amp;"|"&amp;$O536&amp;"|"&amp;$P536&amp;"|"&amp;$Q536&amp;"|"&amp;$K536,PARAMETRES!$J$43:$J$342,0))),""))</f>
        <v/>
      </c>
      <c r="S536" s="35">
        <f>IF(OR($G536="",$X536&lt;&gt;"VALIDE"),"",IFERROR(LOOKUP(2,1/(($B$3:$B535=$B536)*($G$3:$G535=$G536)*($X$3:$X535="VALIDE")),$C$3:$C535),""))</f>
        <v/>
      </c>
      <c r="T536" s="36">
        <f>IF(OR($C536="",$S536=""),"",ROUND(($C536-$S536+IF($C536&lt;$S536,1,0))*1440,0))</f>
        <v/>
      </c>
      <c r="U536" s="22">
        <f>IF(OR($H536="",$T536="",$T536&lt;=0),"",$H536*60/$T536)</f>
        <v/>
      </c>
      <c r="V536" s="37">
        <f>IF(OR($U536="",$R536="",$R536=0),"",$U536/$R536)</f>
        <v/>
      </c>
      <c r="W536" s="20">
        <f>IF($G536="","",IF($X536="CONTEXTE INCOMPLET","CONTEXTE INCOMPLET",IF($X536="DOUBLON",StatutDoublon,IF($S536="",StatutInitial,IF($R536="",StatutStandardManquant,IF($V536="","DONNEES INSUFFISANTES",IF($V536&gt;=SeuilConforme,StatutConforme,IF($V536&gt;=SeuilSurveiller,StatutSurveiller,StatutSousStandard))))))))</f>
        <v/>
      </c>
      <c r="X536" s="33">
        <f>IF($G536="","",IF(OR($D536="",$E536="",$F536=""),"CONTEXTE INCOMPLET",IF(COUNTIFS($D$3:$D535,$D536,$E$3:$E535,$E536,$F$3:$F535,$F536,$G$3:$G535,$G536)&gt;0,"DOUBLON","VALIDE")))</f>
        <v/>
      </c>
    </row>
    <row r="537" ht="15" customHeight="1">
      <c r="A537" s="12">
        <f>IF(OR($B537="",$G537=""),"",TEXT($B537,"YYYYMMDD")&amp;"-"&amp;SUBSTITUTE($E537," ","")&amp;"-"&amp;$F537&amp;"-"&amp;$G537)</f>
        <v/>
      </c>
      <c r="B537" s="15" t="n"/>
      <c r="C537" s="16" t="n"/>
      <c r="D537" s="10" t="n"/>
      <c r="E537" s="9" t="n"/>
      <c r="F537" s="9" t="n"/>
      <c r="G537" s="13" t="n"/>
      <c r="H537" s="21" t="n"/>
      <c r="I537" s="21" t="n"/>
      <c r="J537" s="17">
        <f>IF($G537="","",IFERROR(INDEX(NomsEmployes,MATCH($G537,MatriculesEmployes,0)),"MATRICULE INCONNU"))</f>
        <v/>
      </c>
      <c r="K537" s="33">
        <f>IF(OR($D537="",$F537=""),"",IFERROR(IF(INDEX(RUNS!$L$6:$S$1005,MATCH($D537,RUNS!$A$6:$A$1005,0),MATCH("ACTIVITÉ "&amp;$F537,RUNS!$L$5:$S$5,0))="","",INDEX(RUNS!$L$6:$S$1005,MATCH($D537,RUNS!$A$6:$A$1005,0),MATCH("ACTIVITÉ "&amp;$F537,RUNS!$L$5:$S$5,0))),""))</f>
        <v/>
      </c>
      <c r="L537" s="33">
        <f>IF($D537="","",IFERROR(IF(INDEX(RUNS!$E$6:$E$1005,MATCH($D537,RUNS!$A$6:$A$1005,0))="","",INDEX(RUNS!$E$6:$E$1005,MATCH($D537,RUNS!$A$6:$A$1005,0))),""))</f>
        <v/>
      </c>
      <c r="M537" s="33">
        <f>IF($D537="","",IFERROR(IF(INDEX(RUNS!$F$6:$F$1005,MATCH($D537,RUNS!$A$6:$A$1005,0))="","",INDEX(RUNS!$F$6:$F$1005,MATCH($D537,RUNS!$A$6:$A$1005,0))),""))</f>
        <v/>
      </c>
      <c r="N537" s="33">
        <f>IF($D537="","",IFERROR(IF(INDEX(RUNS!$G$6:$G$1005,MATCH($D537,RUNS!$A$6:$A$1005,0))="","",INDEX(RUNS!$G$6:$G$1005,MATCH($D537,RUNS!$A$6:$A$1005,0))),""))</f>
        <v/>
      </c>
      <c r="O537" s="33">
        <f>IF($D537="","",IFERROR(IF(INDEX(RUNS!$H$6:$H$1005,MATCH($D537,RUNS!$A$6:$A$1005,0))="","",INDEX(RUNS!$H$6:$H$1005,MATCH($D537,RUNS!$A$6:$A$1005,0))),""))</f>
        <v/>
      </c>
      <c r="P537" s="33">
        <f>IF($D537="","",IFERROR(IF(INDEX(RUNS!$J$6:$J$1005,MATCH($D537,RUNS!$A$6:$A$1005,0))="","",INDEX(RUNS!$J$6:$J$1005,MATCH($D537,RUNS!$A$6:$A$1005,0))),""))</f>
        <v/>
      </c>
      <c r="Q537" s="33">
        <f>IF($D537="","",IFERROR(IF(INDEX(RUNS!$K$6:$K$1005,MATCH($D537,RUNS!$A$6:$A$1005,0))="","",INDEX(RUNS!$K$6:$K$1005,MATCH($D537,RUNS!$A$6:$A$1005,0))),""))</f>
        <v/>
      </c>
      <c r="R537" s="34">
        <f>IF(OR($L537="",$K537=""),"",IFERROR(IF(INDEX(PARAMETRES!$H$43:$H$342,MATCH($L537&amp;"|"&amp;$M537&amp;"|"&amp;$N537&amp;"|"&amp;$O537&amp;"|"&amp;$P537&amp;"|"&amp;$Q537&amp;"|"&amp;$K537,PARAMETRES!$J$43:$J$342,0))="","",INDEX(PARAMETRES!$H$43:$H$342,MATCH($L537&amp;"|"&amp;$M537&amp;"|"&amp;$N537&amp;"|"&amp;$O537&amp;"|"&amp;$P537&amp;"|"&amp;$Q537&amp;"|"&amp;$K537,PARAMETRES!$J$43:$J$342,0))),""))</f>
        <v/>
      </c>
      <c r="S537" s="35">
        <f>IF(OR($G537="",$X537&lt;&gt;"VALIDE"),"",IFERROR(LOOKUP(2,1/(($B$3:$B536=$B537)*($G$3:$G536=$G537)*($X$3:$X536="VALIDE")),$C$3:$C536),""))</f>
        <v/>
      </c>
      <c r="T537" s="36">
        <f>IF(OR($C537="",$S537=""),"",ROUND(($C537-$S537+IF($C537&lt;$S537,1,0))*1440,0))</f>
        <v/>
      </c>
      <c r="U537" s="22">
        <f>IF(OR($H537="",$T537="",$T537&lt;=0),"",$H537*60/$T537)</f>
        <v/>
      </c>
      <c r="V537" s="37">
        <f>IF(OR($U537="",$R537="",$R537=0),"",$U537/$R537)</f>
        <v/>
      </c>
      <c r="W537" s="20">
        <f>IF($G537="","",IF($X537="CONTEXTE INCOMPLET","CONTEXTE INCOMPLET",IF($X537="DOUBLON",StatutDoublon,IF($S537="",StatutInitial,IF($R537="",StatutStandardManquant,IF($V537="","DONNEES INSUFFISANTES",IF($V537&gt;=SeuilConforme,StatutConforme,IF($V537&gt;=SeuilSurveiller,StatutSurveiller,StatutSousStandard))))))))</f>
        <v/>
      </c>
      <c r="X537" s="33">
        <f>IF($G537="","",IF(OR($D537="",$E537="",$F537=""),"CONTEXTE INCOMPLET",IF(COUNTIFS($D$3:$D536,$D537,$E$3:$E536,$E537,$F$3:$F536,$F537,$G$3:$G536,$G537)&gt;0,"DOUBLON","VALIDE")))</f>
        <v/>
      </c>
    </row>
    <row r="538" ht="15" customHeight="1">
      <c r="A538" s="12">
        <f>IF(OR($B538="",$G538=""),"",TEXT($B538,"YYYYMMDD")&amp;"-"&amp;SUBSTITUTE($E538," ","")&amp;"-"&amp;$F538&amp;"-"&amp;$G538)</f>
        <v/>
      </c>
      <c r="B538" s="15" t="n"/>
      <c r="C538" s="16" t="n"/>
      <c r="D538" s="10" t="n"/>
      <c r="E538" s="9" t="n"/>
      <c r="F538" s="9" t="n"/>
      <c r="G538" s="13" t="n"/>
      <c r="H538" s="21" t="n"/>
      <c r="I538" s="21" t="n"/>
      <c r="J538" s="17">
        <f>IF($G538="","",IFERROR(INDEX(NomsEmployes,MATCH($G538,MatriculesEmployes,0)),"MATRICULE INCONNU"))</f>
        <v/>
      </c>
      <c r="K538" s="33">
        <f>IF(OR($D538="",$F538=""),"",IFERROR(IF(INDEX(RUNS!$L$6:$S$1005,MATCH($D538,RUNS!$A$6:$A$1005,0),MATCH("ACTIVITÉ "&amp;$F538,RUNS!$L$5:$S$5,0))="","",INDEX(RUNS!$L$6:$S$1005,MATCH($D538,RUNS!$A$6:$A$1005,0),MATCH("ACTIVITÉ "&amp;$F538,RUNS!$L$5:$S$5,0))),""))</f>
        <v/>
      </c>
      <c r="L538" s="33">
        <f>IF($D538="","",IFERROR(IF(INDEX(RUNS!$E$6:$E$1005,MATCH($D538,RUNS!$A$6:$A$1005,0))="","",INDEX(RUNS!$E$6:$E$1005,MATCH($D538,RUNS!$A$6:$A$1005,0))),""))</f>
        <v/>
      </c>
      <c r="M538" s="33">
        <f>IF($D538="","",IFERROR(IF(INDEX(RUNS!$F$6:$F$1005,MATCH($D538,RUNS!$A$6:$A$1005,0))="","",INDEX(RUNS!$F$6:$F$1005,MATCH($D538,RUNS!$A$6:$A$1005,0))),""))</f>
        <v/>
      </c>
      <c r="N538" s="33">
        <f>IF($D538="","",IFERROR(IF(INDEX(RUNS!$G$6:$G$1005,MATCH($D538,RUNS!$A$6:$A$1005,0))="","",INDEX(RUNS!$G$6:$G$1005,MATCH($D538,RUNS!$A$6:$A$1005,0))),""))</f>
        <v/>
      </c>
      <c r="O538" s="33">
        <f>IF($D538="","",IFERROR(IF(INDEX(RUNS!$H$6:$H$1005,MATCH($D538,RUNS!$A$6:$A$1005,0))="","",INDEX(RUNS!$H$6:$H$1005,MATCH($D538,RUNS!$A$6:$A$1005,0))),""))</f>
        <v/>
      </c>
      <c r="P538" s="33">
        <f>IF($D538="","",IFERROR(IF(INDEX(RUNS!$J$6:$J$1005,MATCH($D538,RUNS!$A$6:$A$1005,0))="","",INDEX(RUNS!$J$6:$J$1005,MATCH($D538,RUNS!$A$6:$A$1005,0))),""))</f>
        <v/>
      </c>
      <c r="Q538" s="33">
        <f>IF($D538="","",IFERROR(IF(INDEX(RUNS!$K$6:$K$1005,MATCH($D538,RUNS!$A$6:$A$1005,0))="","",INDEX(RUNS!$K$6:$K$1005,MATCH($D538,RUNS!$A$6:$A$1005,0))),""))</f>
        <v/>
      </c>
      <c r="R538" s="34">
        <f>IF(OR($L538="",$K538=""),"",IFERROR(IF(INDEX(PARAMETRES!$H$43:$H$342,MATCH($L538&amp;"|"&amp;$M538&amp;"|"&amp;$N538&amp;"|"&amp;$O538&amp;"|"&amp;$P538&amp;"|"&amp;$Q538&amp;"|"&amp;$K538,PARAMETRES!$J$43:$J$342,0))="","",INDEX(PARAMETRES!$H$43:$H$342,MATCH($L538&amp;"|"&amp;$M538&amp;"|"&amp;$N538&amp;"|"&amp;$O538&amp;"|"&amp;$P538&amp;"|"&amp;$Q538&amp;"|"&amp;$K538,PARAMETRES!$J$43:$J$342,0))),""))</f>
        <v/>
      </c>
      <c r="S538" s="35">
        <f>IF(OR($G538="",$X538&lt;&gt;"VALIDE"),"",IFERROR(LOOKUP(2,1/(($B$3:$B537=$B538)*($G$3:$G537=$G538)*($X$3:$X537="VALIDE")),$C$3:$C537),""))</f>
        <v/>
      </c>
      <c r="T538" s="36">
        <f>IF(OR($C538="",$S538=""),"",ROUND(($C538-$S538+IF($C538&lt;$S538,1,0))*1440,0))</f>
        <v/>
      </c>
      <c r="U538" s="22">
        <f>IF(OR($H538="",$T538="",$T538&lt;=0),"",$H538*60/$T538)</f>
        <v/>
      </c>
      <c r="V538" s="37">
        <f>IF(OR($U538="",$R538="",$R538=0),"",$U538/$R538)</f>
        <v/>
      </c>
      <c r="W538" s="20">
        <f>IF($G538="","",IF($X538="CONTEXTE INCOMPLET","CONTEXTE INCOMPLET",IF($X538="DOUBLON",StatutDoublon,IF($S538="",StatutInitial,IF($R538="",StatutStandardManquant,IF($V538="","DONNEES INSUFFISANTES",IF($V538&gt;=SeuilConforme,StatutConforme,IF($V538&gt;=SeuilSurveiller,StatutSurveiller,StatutSousStandard))))))))</f>
        <v/>
      </c>
      <c r="X538" s="33">
        <f>IF($G538="","",IF(OR($D538="",$E538="",$F538=""),"CONTEXTE INCOMPLET",IF(COUNTIFS($D$3:$D537,$D538,$E$3:$E537,$E538,$F$3:$F537,$F538,$G$3:$G537,$G538)&gt;0,"DOUBLON","VALIDE")))</f>
        <v/>
      </c>
    </row>
    <row r="539" ht="15" customHeight="1">
      <c r="A539" s="12">
        <f>IF(OR($B539="",$G539=""),"",TEXT($B539,"YYYYMMDD")&amp;"-"&amp;SUBSTITUTE($E539," ","")&amp;"-"&amp;$F539&amp;"-"&amp;$G539)</f>
        <v/>
      </c>
      <c r="B539" s="15" t="n"/>
      <c r="C539" s="16" t="n"/>
      <c r="D539" s="10" t="n"/>
      <c r="E539" s="9" t="n"/>
      <c r="F539" s="9" t="n"/>
      <c r="G539" s="13" t="n"/>
      <c r="H539" s="21" t="n"/>
      <c r="I539" s="21" t="n"/>
      <c r="J539" s="17">
        <f>IF($G539="","",IFERROR(INDEX(NomsEmployes,MATCH($G539,MatriculesEmployes,0)),"MATRICULE INCONNU"))</f>
        <v/>
      </c>
      <c r="K539" s="33">
        <f>IF(OR($D539="",$F539=""),"",IFERROR(IF(INDEX(RUNS!$L$6:$S$1005,MATCH($D539,RUNS!$A$6:$A$1005,0),MATCH("ACTIVITÉ "&amp;$F539,RUNS!$L$5:$S$5,0))="","",INDEX(RUNS!$L$6:$S$1005,MATCH($D539,RUNS!$A$6:$A$1005,0),MATCH("ACTIVITÉ "&amp;$F539,RUNS!$L$5:$S$5,0))),""))</f>
        <v/>
      </c>
      <c r="L539" s="33">
        <f>IF($D539="","",IFERROR(IF(INDEX(RUNS!$E$6:$E$1005,MATCH($D539,RUNS!$A$6:$A$1005,0))="","",INDEX(RUNS!$E$6:$E$1005,MATCH($D539,RUNS!$A$6:$A$1005,0))),""))</f>
        <v/>
      </c>
      <c r="M539" s="33">
        <f>IF($D539="","",IFERROR(IF(INDEX(RUNS!$F$6:$F$1005,MATCH($D539,RUNS!$A$6:$A$1005,0))="","",INDEX(RUNS!$F$6:$F$1005,MATCH($D539,RUNS!$A$6:$A$1005,0))),""))</f>
        <v/>
      </c>
      <c r="N539" s="33">
        <f>IF($D539="","",IFERROR(IF(INDEX(RUNS!$G$6:$G$1005,MATCH($D539,RUNS!$A$6:$A$1005,0))="","",INDEX(RUNS!$G$6:$G$1005,MATCH($D539,RUNS!$A$6:$A$1005,0))),""))</f>
        <v/>
      </c>
      <c r="O539" s="33">
        <f>IF($D539="","",IFERROR(IF(INDEX(RUNS!$H$6:$H$1005,MATCH($D539,RUNS!$A$6:$A$1005,0))="","",INDEX(RUNS!$H$6:$H$1005,MATCH($D539,RUNS!$A$6:$A$1005,0))),""))</f>
        <v/>
      </c>
      <c r="P539" s="33">
        <f>IF($D539="","",IFERROR(IF(INDEX(RUNS!$J$6:$J$1005,MATCH($D539,RUNS!$A$6:$A$1005,0))="","",INDEX(RUNS!$J$6:$J$1005,MATCH($D539,RUNS!$A$6:$A$1005,0))),""))</f>
        <v/>
      </c>
      <c r="Q539" s="33">
        <f>IF($D539="","",IFERROR(IF(INDEX(RUNS!$K$6:$K$1005,MATCH($D539,RUNS!$A$6:$A$1005,0))="","",INDEX(RUNS!$K$6:$K$1005,MATCH($D539,RUNS!$A$6:$A$1005,0))),""))</f>
        <v/>
      </c>
      <c r="R539" s="34">
        <f>IF(OR($L539="",$K539=""),"",IFERROR(IF(INDEX(PARAMETRES!$H$43:$H$342,MATCH($L539&amp;"|"&amp;$M539&amp;"|"&amp;$N539&amp;"|"&amp;$O539&amp;"|"&amp;$P539&amp;"|"&amp;$Q539&amp;"|"&amp;$K539,PARAMETRES!$J$43:$J$342,0))="","",INDEX(PARAMETRES!$H$43:$H$342,MATCH($L539&amp;"|"&amp;$M539&amp;"|"&amp;$N539&amp;"|"&amp;$O539&amp;"|"&amp;$P539&amp;"|"&amp;$Q539&amp;"|"&amp;$K539,PARAMETRES!$J$43:$J$342,0))),""))</f>
        <v/>
      </c>
      <c r="S539" s="35">
        <f>IF(OR($G539="",$X539&lt;&gt;"VALIDE"),"",IFERROR(LOOKUP(2,1/(($B$3:$B538=$B539)*($G$3:$G538=$G539)*($X$3:$X538="VALIDE")),$C$3:$C538),""))</f>
        <v/>
      </c>
      <c r="T539" s="36">
        <f>IF(OR($C539="",$S539=""),"",ROUND(($C539-$S539+IF($C539&lt;$S539,1,0))*1440,0))</f>
        <v/>
      </c>
      <c r="U539" s="22">
        <f>IF(OR($H539="",$T539="",$T539&lt;=0),"",$H539*60/$T539)</f>
        <v/>
      </c>
      <c r="V539" s="37">
        <f>IF(OR($U539="",$R539="",$R539=0),"",$U539/$R539)</f>
        <v/>
      </c>
      <c r="W539" s="20">
        <f>IF($G539="","",IF($X539="CONTEXTE INCOMPLET","CONTEXTE INCOMPLET",IF($X539="DOUBLON",StatutDoublon,IF($S539="",StatutInitial,IF($R539="",StatutStandardManquant,IF($V539="","DONNEES INSUFFISANTES",IF($V539&gt;=SeuilConforme,StatutConforme,IF($V539&gt;=SeuilSurveiller,StatutSurveiller,StatutSousStandard))))))))</f>
        <v/>
      </c>
      <c r="X539" s="33">
        <f>IF($G539="","",IF(OR($D539="",$E539="",$F539=""),"CONTEXTE INCOMPLET",IF(COUNTIFS($D$3:$D538,$D539,$E$3:$E538,$E539,$F$3:$F538,$F539,$G$3:$G538,$G539)&gt;0,"DOUBLON","VALIDE")))</f>
        <v/>
      </c>
    </row>
    <row r="540" ht="15" customHeight="1">
      <c r="A540" s="12">
        <f>IF(OR($B540="",$G540=""),"",TEXT($B540,"YYYYMMDD")&amp;"-"&amp;SUBSTITUTE($E540," ","")&amp;"-"&amp;$F540&amp;"-"&amp;$G540)</f>
        <v/>
      </c>
      <c r="B540" s="15" t="n"/>
      <c r="C540" s="16" t="n"/>
      <c r="D540" s="10" t="n"/>
      <c r="E540" s="9" t="n"/>
      <c r="F540" s="9" t="n"/>
      <c r="G540" s="13" t="n"/>
      <c r="H540" s="21" t="n"/>
      <c r="I540" s="21" t="n"/>
      <c r="J540" s="17">
        <f>IF($G540="","",IFERROR(INDEX(NomsEmployes,MATCH($G540,MatriculesEmployes,0)),"MATRICULE INCONNU"))</f>
        <v/>
      </c>
      <c r="K540" s="33">
        <f>IF(OR($D540="",$F540=""),"",IFERROR(IF(INDEX(RUNS!$L$6:$S$1005,MATCH($D540,RUNS!$A$6:$A$1005,0),MATCH("ACTIVITÉ "&amp;$F540,RUNS!$L$5:$S$5,0))="","",INDEX(RUNS!$L$6:$S$1005,MATCH($D540,RUNS!$A$6:$A$1005,0),MATCH("ACTIVITÉ "&amp;$F540,RUNS!$L$5:$S$5,0))),""))</f>
        <v/>
      </c>
      <c r="L540" s="33">
        <f>IF($D540="","",IFERROR(IF(INDEX(RUNS!$E$6:$E$1005,MATCH($D540,RUNS!$A$6:$A$1005,0))="","",INDEX(RUNS!$E$6:$E$1005,MATCH($D540,RUNS!$A$6:$A$1005,0))),""))</f>
        <v/>
      </c>
      <c r="M540" s="33">
        <f>IF($D540="","",IFERROR(IF(INDEX(RUNS!$F$6:$F$1005,MATCH($D540,RUNS!$A$6:$A$1005,0))="","",INDEX(RUNS!$F$6:$F$1005,MATCH($D540,RUNS!$A$6:$A$1005,0))),""))</f>
        <v/>
      </c>
      <c r="N540" s="33">
        <f>IF($D540="","",IFERROR(IF(INDEX(RUNS!$G$6:$G$1005,MATCH($D540,RUNS!$A$6:$A$1005,0))="","",INDEX(RUNS!$G$6:$G$1005,MATCH($D540,RUNS!$A$6:$A$1005,0))),""))</f>
        <v/>
      </c>
      <c r="O540" s="33">
        <f>IF($D540="","",IFERROR(IF(INDEX(RUNS!$H$6:$H$1005,MATCH($D540,RUNS!$A$6:$A$1005,0))="","",INDEX(RUNS!$H$6:$H$1005,MATCH($D540,RUNS!$A$6:$A$1005,0))),""))</f>
        <v/>
      </c>
      <c r="P540" s="33">
        <f>IF($D540="","",IFERROR(IF(INDEX(RUNS!$J$6:$J$1005,MATCH($D540,RUNS!$A$6:$A$1005,0))="","",INDEX(RUNS!$J$6:$J$1005,MATCH($D540,RUNS!$A$6:$A$1005,0))),""))</f>
        <v/>
      </c>
      <c r="Q540" s="33">
        <f>IF($D540="","",IFERROR(IF(INDEX(RUNS!$K$6:$K$1005,MATCH($D540,RUNS!$A$6:$A$1005,0))="","",INDEX(RUNS!$K$6:$K$1005,MATCH($D540,RUNS!$A$6:$A$1005,0))),""))</f>
        <v/>
      </c>
      <c r="R540" s="34">
        <f>IF(OR($L540="",$K540=""),"",IFERROR(IF(INDEX(PARAMETRES!$H$43:$H$342,MATCH($L540&amp;"|"&amp;$M540&amp;"|"&amp;$N540&amp;"|"&amp;$O540&amp;"|"&amp;$P540&amp;"|"&amp;$Q540&amp;"|"&amp;$K540,PARAMETRES!$J$43:$J$342,0))="","",INDEX(PARAMETRES!$H$43:$H$342,MATCH($L540&amp;"|"&amp;$M540&amp;"|"&amp;$N540&amp;"|"&amp;$O540&amp;"|"&amp;$P540&amp;"|"&amp;$Q540&amp;"|"&amp;$K540,PARAMETRES!$J$43:$J$342,0))),""))</f>
        <v/>
      </c>
      <c r="S540" s="35">
        <f>IF(OR($G540="",$X540&lt;&gt;"VALIDE"),"",IFERROR(LOOKUP(2,1/(($B$3:$B539=$B540)*($G$3:$G539=$G540)*($X$3:$X539="VALIDE")),$C$3:$C539),""))</f>
        <v/>
      </c>
      <c r="T540" s="36">
        <f>IF(OR($C540="",$S540=""),"",ROUND(($C540-$S540+IF($C540&lt;$S540,1,0))*1440,0))</f>
        <v/>
      </c>
      <c r="U540" s="22">
        <f>IF(OR($H540="",$T540="",$T540&lt;=0),"",$H540*60/$T540)</f>
        <v/>
      </c>
      <c r="V540" s="37">
        <f>IF(OR($U540="",$R540="",$R540=0),"",$U540/$R540)</f>
        <v/>
      </c>
      <c r="W540" s="20">
        <f>IF($G540="","",IF($X540="CONTEXTE INCOMPLET","CONTEXTE INCOMPLET",IF($X540="DOUBLON",StatutDoublon,IF($S540="",StatutInitial,IF($R540="",StatutStandardManquant,IF($V540="","DONNEES INSUFFISANTES",IF($V540&gt;=SeuilConforme,StatutConforme,IF($V540&gt;=SeuilSurveiller,StatutSurveiller,StatutSousStandard))))))))</f>
        <v/>
      </c>
      <c r="X540" s="33">
        <f>IF($G540="","",IF(OR($D540="",$E540="",$F540=""),"CONTEXTE INCOMPLET",IF(COUNTIFS($D$3:$D539,$D540,$E$3:$E539,$E540,$F$3:$F539,$F540,$G$3:$G539,$G540)&gt;0,"DOUBLON","VALIDE")))</f>
        <v/>
      </c>
    </row>
    <row r="541" ht="15" customHeight="1">
      <c r="A541" s="12">
        <f>IF(OR($B541="",$G541=""),"",TEXT($B541,"YYYYMMDD")&amp;"-"&amp;SUBSTITUTE($E541," ","")&amp;"-"&amp;$F541&amp;"-"&amp;$G541)</f>
        <v/>
      </c>
      <c r="B541" s="15" t="n"/>
      <c r="C541" s="16" t="n"/>
      <c r="D541" s="10" t="n"/>
      <c r="E541" s="9" t="n"/>
      <c r="F541" s="9" t="n"/>
      <c r="G541" s="13" t="n"/>
      <c r="H541" s="21" t="n"/>
      <c r="I541" s="21" t="n"/>
      <c r="J541" s="17">
        <f>IF($G541="","",IFERROR(INDEX(NomsEmployes,MATCH($G541,MatriculesEmployes,0)),"MATRICULE INCONNU"))</f>
        <v/>
      </c>
      <c r="K541" s="33">
        <f>IF(OR($D541="",$F541=""),"",IFERROR(IF(INDEX(RUNS!$L$6:$S$1005,MATCH($D541,RUNS!$A$6:$A$1005,0),MATCH("ACTIVITÉ "&amp;$F541,RUNS!$L$5:$S$5,0))="","",INDEX(RUNS!$L$6:$S$1005,MATCH($D541,RUNS!$A$6:$A$1005,0),MATCH("ACTIVITÉ "&amp;$F541,RUNS!$L$5:$S$5,0))),""))</f>
        <v/>
      </c>
      <c r="L541" s="33">
        <f>IF($D541="","",IFERROR(IF(INDEX(RUNS!$E$6:$E$1005,MATCH($D541,RUNS!$A$6:$A$1005,0))="","",INDEX(RUNS!$E$6:$E$1005,MATCH($D541,RUNS!$A$6:$A$1005,0))),""))</f>
        <v/>
      </c>
      <c r="M541" s="33">
        <f>IF($D541="","",IFERROR(IF(INDEX(RUNS!$F$6:$F$1005,MATCH($D541,RUNS!$A$6:$A$1005,0))="","",INDEX(RUNS!$F$6:$F$1005,MATCH($D541,RUNS!$A$6:$A$1005,0))),""))</f>
        <v/>
      </c>
      <c r="N541" s="33">
        <f>IF($D541="","",IFERROR(IF(INDEX(RUNS!$G$6:$G$1005,MATCH($D541,RUNS!$A$6:$A$1005,0))="","",INDEX(RUNS!$G$6:$G$1005,MATCH($D541,RUNS!$A$6:$A$1005,0))),""))</f>
        <v/>
      </c>
      <c r="O541" s="33">
        <f>IF($D541="","",IFERROR(IF(INDEX(RUNS!$H$6:$H$1005,MATCH($D541,RUNS!$A$6:$A$1005,0))="","",INDEX(RUNS!$H$6:$H$1005,MATCH($D541,RUNS!$A$6:$A$1005,0))),""))</f>
        <v/>
      </c>
      <c r="P541" s="33">
        <f>IF($D541="","",IFERROR(IF(INDEX(RUNS!$J$6:$J$1005,MATCH($D541,RUNS!$A$6:$A$1005,0))="","",INDEX(RUNS!$J$6:$J$1005,MATCH($D541,RUNS!$A$6:$A$1005,0))),""))</f>
        <v/>
      </c>
      <c r="Q541" s="33">
        <f>IF($D541="","",IFERROR(IF(INDEX(RUNS!$K$6:$K$1005,MATCH($D541,RUNS!$A$6:$A$1005,0))="","",INDEX(RUNS!$K$6:$K$1005,MATCH($D541,RUNS!$A$6:$A$1005,0))),""))</f>
        <v/>
      </c>
      <c r="R541" s="34">
        <f>IF(OR($L541="",$K541=""),"",IFERROR(IF(INDEX(PARAMETRES!$H$43:$H$342,MATCH($L541&amp;"|"&amp;$M541&amp;"|"&amp;$N541&amp;"|"&amp;$O541&amp;"|"&amp;$P541&amp;"|"&amp;$Q541&amp;"|"&amp;$K541,PARAMETRES!$J$43:$J$342,0))="","",INDEX(PARAMETRES!$H$43:$H$342,MATCH($L541&amp;"|"&amp;$M541&amp;"|"&amp;$N541&amp;"|"&amp;$O541&amp;"|"&amp;$P541&amp;"|"&amp;$Q541&amp;"|"&amp;$K541,PARAMETRES!$J$43:$J$342,0))),""))</f>
        <v/>
      </c>
      <c r="S541" s="35">
        <f>IF(OR($G541="",$X541&lt;&gt;"VALIDE"),"",IFERROR(LOOKUP(2,1/(($B$3:$B540=$B541)*($G$3:$G540=$G541)*($X$3:$X540="VALIDE")),$C$3:$C540),""))</f>
        <v/>
      </c>
      <c r="T541" s="36">
        <f>IF(OR($C541="",$S541=""),"",ROUND(($C541-$S541+IF($C541&lt;$S541,1,0))*1440,0))</f>
        <v/>
      </c>
      <c r="U541" s="22">
        <f>IF(OR($H541="",$T541="",$T541&lt;=0),"",$H541*60/$T541)</f>
        <v/>
      </c>
      <c r="V541" s="37">
        <f>IF(OR($U541="",$R541="",$R541=0),"",$U541/$R541)</f>
        <v/>
      </c>
      <c r="W541" s="20">
        <f>IF($G541="","",IF($X541="CONTEXTE INCOMPLET","CONTEXTE INCOMPLET",IF($X541="DOUBLON",StatutDoublon,IF($S541="",StatutInitial,IF($R541="",StatutStandardManquant,IF($V541="","DONNEES INSUFFISANTES",IF($V541&gt;=SeuilConforme,StatutConforme,IF($V541&gt;=SeuilSurveiller,StatutSurveiller,StatutSousStandard))))))))</f>
        <v/>
      </c>
      <c r="X541" s="33">
        <f>IF($G541="","",IF(OR($D541="",$E541="",$F541=""),"CONTEXTE INCOMPLET",IF(COUNTIFS($D$3:$D540,$D541,$E$3:$E540,$E541,$F$3:$F540,$F541,$G$3:$G540,$G541)&gt;0,"DOUBLON","VALIDE")))</f>
        <v/>
      </c>
    </row>
    <row r="542" ht="15" customHeight="1">
      <c r="A542" s="12">
        <f>IF(OR($B542="",$G542=""),"",TEXT($B542,"YYYYMMDD")&amp;"-"&amp;SUBSTITUTE($E542," ","")&amp;"-"&amp;$F542&amp;"-"&amp;$G542)</f>
        <v/>
      </c>
      <c r="B542" s="15" t="n"/>
      <c r="C542" s="16" t="n"/>
      <c r="D542" s="10" t="n"/>
      <c r="E542" s="9" t="n"/>
      <c r="F542" s="9" t="n"/>
      <c r="G542" s="13" t="n"/>
      <c r="H542" s="21" t="n"/>
      <c r="I542" s="21" t="n"/>
      <c r="J542" s="17">
        <f>IF($G542="","",IFERROR(INDEX(NomsEmployes,MATCH($G542,MatriculesEmployes,0)),"MATRICULE INCONNU"))</f>
        <v/>
      </c>
      <c r="K542" s="33">
        <f>IF(OR($D542="",$F542=""),"",IFERROR(IF(INDEX(RUNS!$L$6:$S$1005,MATCH($D542,RUNS!$A$6:$A$1005,0),MATCH("ACTIVITÉ "&amp;$F542,RUNS!$L$5:$S$5,0))="","",INDEX(RUNS!$L$6:$S$1005,MATCH($D542,RUNS!$A$6:$A$1005,0),MATCH("ACTIVITÉ "&amp;$F542,RUNS!$L$5:$S$5,0))),""))</f>
        <v/>
      </c>
      <c r="L542" s="33">
        <f>IF($D542="","",IFERROR(IF(INDEX(RUNS!$E$6:$E$1005,MATCH($D542,RUNS!$A$6:$A$1005,0))="","",INDEX(RUNS!$E$6:$E$1005,MATCH($D542,RUNS!$A$6:$A$1005,0))),""))</f>
        <v/>
      </c>
      <c r="M542" s="33">
        <f>IF($D542="","",IFERROR(IF(INDEX(RUNS!$F$6:$F$1005,MATCH($D542,RUNS!$A$6:$A$1005,0))="","",INDEX(RUNS!$F$6:$F$1005,MATCH($D542,RUNS!$A$6:$A$1005,0))),""))</f>
        <v/>
      </c>
      <c r="N542" s="33">
        <f>IF($D542="","",IFERROR(IF(INDEX(RUNS!$G$6:$G$1005,MATCH($D542,RUNS!$A$6:$A$1005,0))="","",INDEX(RUNS!$G$6:$G$1005,MATCH($D542,RUNS!$A$6:$A$1005,0))),""))</f>
        <v/>
      </c>
      <c r="O542" s="33">
        <f>IF($D542="","",IFERROR(IF(INDEX(RUNS!$H$6:$H$1005,MATCH($D542,RUNS!$A$6:$A$1005,0))="","",INDEX(RUNS!$H$6:$H$1005,MATCH($D542,RUNS!$A$6:$A$1005,0))),""))</f>
        <v/>
      </c>
      <c r="P542" s="33">
        <f>IF($D542="","",IFERROR(IF(INDEX(RUNS!$J$6:$J$1005,MATCH($D542,RUNS!$A$6:$A$1005,0))="","",INDEX(RUNS!$J$6:$J$1005,MATCH($D542,RUNS!$A$6:$A$1005,0))),""))</f>
        <v/>
      </c>
      <c r="Q542" s="33">
        <f>IF($D542="","",IFERROR(IF(INDEX(RUNS!$K$6:$K$1005,MATCH($D542,RUNS!$A$6:$A$1005,0))="","",INDEX(RUNS!$K$6:$K$1005,MATCH($D542,RUNS!$A$6:$A$1005,0))),""))</f>
        <v/>
      </c>
      <c r="R542" s="34">
        <f>IF(OR($L542="",$K542=""),"",IFERROR(IF(INDEX(PARAMETRES!$H$43:$H$342,MATCH($L542&amp;"|"&amp;$M542&amp;"|"&amp;$N542&amp;"|"&amp;$O542&amp;"|"&amp;$P542&amp;"|"&amp;$Q542&amp;"|"&amp;$K542,PARAMETRES!$J$43:$J$342,0))="","",INDEX(PARAMETRES!$H$43:$H$342,MATCH($L542&amp;"|"&amp;$M542&amp;"|"&amp;$N542&amp;"|"&amp;$O542&amp;"|"&amp;$P542&amp;"|"&amp;$Q542&amp;"|"&amp;$K542,PARAMETRES!$J$43:$J$342,0))),""))</f>
        <v/>
      </c>
      <c r="S542" s="35">
        <f>IF(OR($G542="",$X542&lt;&gt;"VALIDE"),"",IFERROR(LOOKUP(2,1/(($B$3:$B541=$B542)*($G$3:$G541=$G542)*($X$3:$X541="VALIDE")),$C$3:$C541),""))</f>
        <v/>
      </c>
      <c r="T542" s="36">
        <f>IF(OR($C542="",$S542=""),"",ROUND(($C542-$S542+IF($C542&lt;$S542,1,0))*1440,0))</f>
        <v/>
      </c>
      <c r="U542" s="22">
        <f>IF(OR($H542="",$T542="",$T542&lt;=0),"",$H542*60/$T542)</f>
        <v/>
      </c>
      <c r="V542" s="37">
        <f>IF(OR($U542="",$R542="",$R542=0),"",$U542/$R542)</f>
        <v/>
      </c>
      <c r="W542" s="20">
        <f>IF($G542="","",IF($X542="CONTEXTE INCOMPLET","CONTEXTE INCOMPLET",IF($X542="DOUBLON",StatutDoublon,IF($S542="",StatutInitial,IF($R542="",StatutStandardManquant,IF($V542="","DONNEES INSUFFISANTES",IF($V542&gt;=SeuilConforme,StatutConforme,IF($V542&gt;=SeuilSurveiller,StatutSurveiller,StatutSousStandard))))))))</f>
        <v/>
      </c>
      <c r="X542" s="33">
        <f>IF($G542="","",IF(OR($D542="",$E542="",$F542=""),"CONTEXTE INCOMPLET",IF(COUNTIFS($D$3:$D541,$D542,$E$3:$E541,$E542,$F$3:$F541,$F542,$G$3:$G541,$G542)&gt;0,"DOUBLON","VALIDE")))</f>
        <v/>
      </c>
    </row>
    <row r="543" ht="15" customHeight="1">
      <c r="A543" s="12">
        <f>IF(OR($B543="",$G543=""),"",TEXT($B543,"YYYYMMDD")&amp;"-"&amp;SUBSTITUTE($E543," ","")&amp;"-"&amp;$F543&amp;"-"&amp;$G543)</f>
        <v/>
      </c>
      <c r="B543" s="15" t="n"/>
      <c r="C543" s="16" t="n"/>
      <c r="D543" s="10" t="n"/>
      <c r="E543" s="9" t="n"/>
      <c r="F543" s="9" t="n"/>
      <c r="G543" s="13" t="n"/>
      <c r="H543" s="21" t="n"/>
      <c r="I543" s="21" t="n"/>
      <c r="J543" s="17">
        <f>IF($G543="","",IFERROR(INDEX(NomsEmployes,MATCH($G543,MatriculesEmployes,0)),"MATRICULE INCONNU"))</f>
        <v/>
      </c>
      <c r="K543" s="33">
        <f>IF(OR($D543="",$F543=""),"",IFERROR(IF(INDEX(RUNS!$L$6:$S$1005,MATCH($D543,RUNS!$A$6:$A$1005,0),MATCH("ACTIVITÉ "&amp;$F543,RUNS!$L$5:$S$5,0))="","",INDEX(RUNS!$L$6:$S$1005,MATCH($D543,RUNS!$A$6:$A$1005,0),MATCH("ACTIVITÉ "&amp;$F543,RUNS!$L$5:$S$5,0))),""))</f>
        <v/>
      </c>
      <c r="L543" s="33">
        <f>IF($D543="","",IFERROR(IF(INDEX(RUNS!$E$6:$E$1005,MATCH($D543,RUNS!$A$6:$A$1005,0))="","",INDEX(RUNS!$E$6:$E$1005,MATCH($D543,RUNS!$A$6:$A$1005,0))),""))</f>
        <v/>
      </c>
      <c r="M543" s="33">
        <f>IF($D543="","",IFERROR(IF(INDEX(RUNS!$F$6:$F$1005,MATCH($D543,RUNS!$A$6:$A$1005,0))="","",INDEX(RUNS!$F$6:$F$1005,MATCH($D543,RUNS!$A$6:$A$1005,0))),""))</f>
        <v/>
      </c>
      <c r="N543" s="33">
        <f>IF($D543="","",IFERROR(IF(INDEX(RUNS!$G$6:$G$1005,MATCH($D543,RUNS!$A$6:$A$1005,0))="","",INDEX(RUNS!$G$6:$G$1005,MATCH($D543,RUNS!$A$6:$A$1005,0))),""))</f>
        <v/>
      </c>
      <c r="O543" s="33">
        <f>IF($D543="","",IFERROR(IF(INDEX(RUNS!$H$6:$H$1005,MATCH($D543,RUNS!$A$6:$A$1005,0))="","",INDEX(RUNS!$H$6:$H$1005,MATCH($D543,RUNS!$A$6:$A$1005,0))),""))</f>
        <v/>
      </c>
      <c r="P543" s="33">
        <f>IF($D543="","",IFERROR(IF(INDEX(RUNS!$J$6:$J$1005,MATCH($D543,RUNS!$A$6:$A$1005,0))="","",INDEX(RUNS!$J$6:$J$1005,MATCH($D543,RUNS!$A$6:$A$1005,0))),""))</f>
        <v/>
      </c>
      <c r="Q543" s="33">
        <f>IF($D543="","",IFERROR(IF(INDEX(RUNS!$K$6:$K$1005,MATCH($D543,RUNS!$A$6:$A$1005,0))="","",INDEX(RUNS!$K$6:$K$1005,MATCH($D543,RUNS!$A$6:$A$1005,0))),""))</f>
        <v/>
      </c>
      <c r="R543" s="34">
        <f>IF(OR($L543="",$K543=""),"",IFERROR(IF(INDEX(PARAMETRES!$H$43:$H$342,MATCH($L543&amp;"|"&amp;$M543&amp;"|"&amp;$N543&amp;"|"&amp;$O543&amp;"|"&amp;$P543&amp;"|"&amp;$Q543&amp;"|"&amp;$K543,PARAMETRES!$J$43:$J$342,0))="","",INDEX(PARAMETRES!$H$43:$H$342,MATCH($L543&amp;"|"&amp;$M543&amp;"|"&amp;$N543&amp;"|"&amp;$O543&amp;"|"&amp;$P543&amp;"|"&amp;$Q543&amp;"|"&amp;$K543,PARAMETRES!$J$43:$J$342,0))),""))</f>
        <v/>
      </c>
      <c r="S543" s="35">
        <f>IF(OR($G543="",$X543&lt;&gt;"VALIDE"),"",IFERROR(LOOKUP(2,1/(($B$3:$B542=$B543)*($G$3:$G542=$G543)*($X$3:$X542="VALIDE")),$C$3:$C542),""))</f>
        <v/>
      </c>
      <c r="T543" s="36">
        <f>IF(OR($C543="",$S543=""),"",ROUND(($C543-$S543+IF($C543&lt;$S543,1,0))*1440,0))</f>
        <v/>
      </c>
      <c r="U543" s="22">
        <f>IF(OR($H543="",$T543="",$T543&lt;=0),"",$H543*60/$T543)</f>
        <v/>
      </c>
      <c r="V543" s="37">
        <f>IF(OR($U543="",$R543="",$R543=0),"",$U543/$R543)</f>
        <v/>
      </c>
      <c r="W543" s="20">
        <f>IF($G543="","",IF($X543="CONTEXTE INCOMPLET","CONTEXTE INCOMPLET",IF($X543="DOUBLON",StatutDoublon,IF($S543="",StatutInitial,IF($R543="",StatutStandardManquant,IF($V543="","DONNEES INSUFFISANTES",IF($V543&gt;=SeuilConforme,StatutConforme,IF($V543&gt;=SeuilSurveiller,StatutSurveiller,StatutSousStandard))))))))</f>
        <v/>
      </c>
      <c r="X543" s="33">
        <f>IF($G543="","",IF(OR($D543="",$E543="",$F543=""),"CONTEXTE INCOMPLET",IF(COUNTIFS($D$3:$D542,$D543,$E$3:$E542,$E543,$F$3:$F542,$F543,$G$3:$G542,$G543)&gt;0,"DOUBLON","VALIDE")))</f>
        <v/>
      </c>
    </row>
    <row r="544" ht="15" customHeight="1">
      <c r="A544" s="12">
        <f>IF(OR($B544="",$G544=""),"",TEXT($B544,"YYYYMMDD")&amp;"-"&amp;SUBSTITUTE($E544," ","")&amp;"-"&amp;$F544&amp;"-"&amp;$G544)</f>
        <v/>
      </c>
      <c r="B544" s="15" t="n"/>
      <c r="C544" s="16" t="n"/>
      <c r="D544" s="10" t="n"/>
      <c r="E544" s="9" t="n"/>
      <c r="F544" s="9" t="n"/>
      <c r="G544" s="13" t="n"/>
      <c r="H544" s="21" t="n"/>
      <c r="I544" s="21" t="n"/>
      <c r="J544" s="17">
        <f>IF($G544="","",IFERROR(INDEX(NomsEmployes,MATCH($G544,MatriculesEmployes,0)),"MATRICULE INCONNU"))</f>
        <v/>
      </c>
      <c r="K544" s="33">
        <f>IF(OR($D544="",$F544=""),"",IFERROR(IF(INDEX(RUNS!$L$6:$S$1005,MATCH($D544,RUNS!$A$6:$A$1005,0),MATCH("ACTIVITÉ "&amp;$F544,RUNS!$L$5:$S$5,0))="","",INDEX(RUNS!$L$6:$S$1005,MATCH($D544,RUNS!$A$6:$A$1005,0),MATCH("ACTIVITÉ "&amp;$F544,RUNS!$L$5:$S$5,0))),""))</f>
        <v/>
      </c>
      <c r="L544" s="33">
        <f>IF($D544="","",IFERROR(IF(INDEX(RUNS!$E$6:$E$1005,MATCH($D544,RUNS!$A$6:$A$1005,0))="","",INDEX(RUNS!$E$6:$E$1005,MATCH($D544,RUNS!$A$6:$A$1005,0))),""))</f>
        <v/>
      </c>
      <c r="M544" s="33">
        <f>IF($D544="","",IFERROR(IF(INDEX(RUNS!$F$6:$F$1005,MATCH($D544,RUNS!$A$6:$A$1005,0))="","",INDEX(RUNS!$F$6:$F$1005,MATCH($D544,RUNS!$A$6:$A$1005,0))),""))</f>
        <v/>
      </c>
      <c r="N544" s="33">
        <f>IF($D544="","",IFERROR(IF(INDEX(RUNS!$G$6:$G$1005,MATCH($D544,RUNS!$A$6:$A$1005,0))="","",INDEX(RUNS!$G$6:$G$1005,MATCH($D544,RUNS!$A$6:$A$1005,0))),""))</f>
        <v/>
      </c>
      <c r="O544" s="33">
        <f>IF($D544="","",IFERROR(IF(INDEX(RUNS!$H$6:$H$1005,MATCH($D544,RUNS!$A$6:$A$1005,0))="","",INDEX(RUNS!$H$6:$H$1005,MATCH($D544,RUNS!$A$6:$A$1005,0))),""))</f>
        <v/>
      </c>
      <c r="P544" s="33">
        <f>IF($D544="","",IFERROR(IF(INDEX(RUNS!$J$6:$J$1005,MATCH($D544,RUNS!$A$6:$A$1005,0))="","",INDEX(RUNS!$J$6:$J$1005,MATCH($D544,RUNS!$A$6:$A$1005,0))),""))</f>
        <v/>
      </c>
      <c r="Q544" s="33">
        <f>IF($D544="","",IFERROR(IF(INDEX(RUNS!$K$6:$K$1005,MATCH($D544,RUNS!$A$6:$A$1005,0))="","",INDEX(RUNS!$K$6:$K$1005,MATCH($D544,RUNS!$A$6:$A$1005,0))),""))</f>
        <v/>
      </c>
      <c r="R544" s="34">
        <f>IF(OR($L544="",$K544=""),"",IFERROR(IF(INDEX(PARAMETRES!$H$43:$H$342,MATCH($L544&amp;"|"&amp;$M544&amp;"|"&amp;$N544&amp;"|"&amp;$O544&amp;"|"&amp;$P544&amp;"|"&amp;$Q544&amp;"|"&amp;$K544,PARAMETRES!$J$43:$J$342,0))="","",INDEX(PARAMETRES!$H$43:$H$342,MATCH($L544&amp;"|"&amp;$M544&amp;"|"&amp;$N544&amp;"|"&amp;$O544&amp;"|"&amp;$P544&amp;"|"&amp;$Q544&amp;"|"&amp;$K544,PARAMETRES!$J$43:$J$342,0))),""))</f>
        <v/>
      </c>
      <c r="S544" s="35">
        <f>IF(OR($G544="",$X544&lt;&gt;"VALIDE"),"",IFERROR(LOOKUP(2,1/(($B$3:$B543=$B544)*($G$3:$G543=$G544)*($X$3:$X543="VALIDE")),$C$3:$C543),""))</f>
        <v/>
      </c>
      <c r="T544" s="36">
        <f>IF(OR($C544="",$S544=""),"",ROUND(($C544-$S544+IF($C544&lt;$S544,1,0))*1440,0))</f>
        <v/>
      </c>
      <c r="U544" s="22">
        <f>IF(OR($H544="",$T544="",$T544&lt;=0),"",$H544*60/$T544)</f>
        <v/>
      </c>
      <c r="V544" s="37">
        <f>IF(OR($U544="",$R544="",$R544=0),"",$U544/$R544)</f>
        <v/>
      </c>
      <c r="W544" s="20">
        <f>IF($G544="","",IF($X544="CONTEXTE INCOMPLET","CONTEXTE INCOMPLET",IF($X544="DOUBLON",StatutDoublon,IF($S544="",StatutInitial,IF($R544="",StatutStandardManquant,IF($V544="","DONNEES INSUFFISANTES",IF($V544&gt;=SeuilConforme,StatutConforme,IF($V544&gt;=SeuilSurveiller,StatutSurveiller,StatutSousStandard))))))))</f>
        <v/>
      </c>
      <c r="X544" s="33">
        <f>IF($G544="","",IF(OR($D544="",$E544="",$F544=""),"CONTEXTE INCOMPLET",IF(COUNTIFS($D$3:$D543,$D544,$E$3:$E543,$E544,$F$3:$F543,$F544,$G$3:$G543,$G544)&gt;0,"DOUBLON","VALIDE")))</f>
        <v/>
      </c>
    </row>
    <row r="545" ht="15" customHeight="1">
      <c r="A545" s="12">
        <f>IF(OR($B545="",$G545=""),"",TEXT($B545,"YYYYMMDD")&amp;"-"&amp;SUBSTITUTE($E545," ","")&amp;"-"&amp;$F545&amp;"-"&amp;$G545)</f>
        <v/>
      </c>
      <c r="B545" s="15" t="n"/>
      <c r="C545" s="16" t="n"/>
      <c r="D545" s="10" t="n"/>
      <c r="E545" s="9" t="n"/>
      <c r="F545" s="9" t="n"/>
      <c r="G545" s="13" t="n"/>
      <c r="H545" s="21" t="n"/>
      <c r="I545" s="21" t="n"/>
      <c r="J545" s="17">
        <f>IF($G545="","",IFERROR(INDEX(NomsEmployes,MATCH($G545,MatriculesEmployes,0)),"MATRICULE INCONNU"))</f>
        <v/>
      </c>
      <c r="K545" s="33">
        <f>IF(OR($D545="",$F545=""),"",IFERROR(IF(INDEX(RUNS!$L$6:$S$1005,MATCH($D545,RUNS!$A$6:$A$1005,0),MATCH("ACTIVITÉ "&amp;$F545,RUNS!$L$5:$S$5,0))="","",INDEX(RUNS!$L$6:$S$1005,MATCH($D545,RUNS!$A$6:$A$1005,0),MATCH("ACTIVITÉ "&amp;$F545,RUNS!$L$5:$S$5,0))),""))</f>
        <v/>
      </c>
      <c r="L545" s="33">
        <f>IF($D545="","",IFERROR(IF(INDEX(RUNS!$E$6:$E$1005,MATCH($D545,RUNS!$A$6:$A$1005,0))="","",INDEX(RUNS!$E$6:$E$1005,MATCH($D545,RUNS!$A$6:$A$1005,0))),""))</f>
        <v/>
      </c>
      <c r="M545" s="33">
        <f>IF($D545="","",IFERROR(IF(INDEX(RUNS!$F$6:$F$1005,MATCH($D545,RUNS!$A$6:$A$1005,0))="","",INDEX(RUNS!$F$6:$F$1005,MATCH($D545,RUNS!$A$6:$A$1005,0))),""))</f>
        <v/>
      </c>
      <c r="N545" s="33">
        <f>IF($D545="","",IFERROR(IF(INDEX(RUNS!$G$6:$G$1005,MATCH($D545,RUNS!$A$6:$A$1005,0))="","",INDEX(RUNS!$G$6:$G$1005,MATCH($D545,RUNS!$A$6:$A$1005,0))),""))</f>
        <v/>
      </c>
      <c r="O545" s="33">
        <f>IF($D545="","",IFERROR(IF(INDEX(RUNS!$H$6:$H$1005,MATCH($D545,RUNS!$A$6:$A$1005,0))="","",INDEX(RUNS!$H$6:$H$1005,MATCH($D545,RUNS!$A$6:$A$1005,0))),""))</f>
        <v/>
      </c>
      <c r="P545" s="33">
        <f>IF($D545="","",IFERROR(IF(INDEX(RUNS!$J$6:$J$1005,MATCH($D545,RUNS!$A$6:$A$1005,0))="","",INDEX(RUNS!$J$6:$J$1005,MATCH($D545,RUNS!$A$6:$A$1005,0))),""))</f>
        <v/>
      </c>
      <c r="Q545" s="33">
        <f>IF($D545="","",IFERROR(IF(INDEX(RUNS!$K$6:$K$1005,MATCH($D545,RUNS!$A$6:$A$1005,0))="","",INDEX(RUNS!$K$6:$K$1005,MATCH($D545,RUNS!$A$6:$A$1005,0))),""))</f>
        <v/>
      </c>
      <c r="R545" s="34">
        <f>IF(OR($L545="",$K545=""),"",IFERROR(IF(INDEX(PARAMETRES!$H$43:$H$342,MATCH($L545&amp;"|"&amp;$M545&amp;"|"&amp;$N545&amp;"|"&amp;$O545&amp;"|"&amp;$P545&amp;"|"&amp;$Q545&amp;"|"&amp;$K545,PARAMETRES!$J$43:$J$342,0))="","",INDEX(PARAMETRES!$H$43:$H$342,MATCH($L545&amp;"|"&amp;$M545&amp;"|"&amp;$N545&amp;"|"&amp;$O545&amp;"|"&amp;$P545&amp;"|"&amp;$Q545&amp;"|"&amp;$K545,PARAMETRES!$J$43:$J$342,0))),""))</f>
        <v/>
      </c>
      <c r="S545" s="35">
        <f>IF(OR($G545="",$X545&lt;&gt;"VALIDE"),"",IFERROR(LOOKUP(2,1/(($B$3:$B544=$B545)*($G$3:$G544=$G545)*($X$3:$X544="VALIDE")),$C$3:$C544),""))</f>
        <v/>
      </c>
      <c r="T545" s="36">
        <f>IF(OR($C545="",$S545=""),"",ROUND(($C545-$S545+IF($C545&lt;$S545,1,0))*1440,0))</f>
        <v/>
      </c>
      <c r="U545" s="22">
        <f>IF(OR($H545="",$T545="",$T545&lt;=0),"",$H545*60/$T545)</f>
        <v/>
      </c>
      <c r="V545" s="37">
        <f>IF(OR($U545="",$R545="",$R545=0),"",$U545/$R545)</f>
        <v/>
      </c>
      <c r="W545" s="20">
        <f>IF($G545="","",IF($X545="CONTEXTE INCOMPLET","CONTEXTE INCOMPLET",IF($X545="DOUBLON",StatutDoublon,IF($S545="",StatutInitial,IF($R545="",StatutStandardManquant,IF($V545="","DONNEES INSUFFISANTES",IF($V545&gt;=SeuilConforme,StatutConforme,IF($V545&gt;=SeuilSurveiller,StatutSurveiller,StatutSousStandard))))))))</f>
        <v/>
      </c>
      <c r="X545" s="33">
        <f>IF($G545="","",IF(OR($D545="",$E545="",$F545=""),"CONTEXTE INCOMPLET",IF(COUNTIFS($D$3:$D544,$D545,$E$3:$E544,$E545,$F$3:$F544,$F545,$G$3:$G544,$G545)&gt;0,"DOUBLON","VALIDE")))</f>
        <v/>
      </c>
    </row>
    <row r="546" ht="15" customHeight="1">
      <c r="A546" s="12">
        <f>IF(OR($B546="",$G546=""),"",TEXT($B546,"YYYYMMDD")&amp;"-"&amp;SUBSTITUTE($E546," ","")&amp;"-"&amp;$F546&amp;"-"&amp;$G546)</f>
        <v/>
      </c>
      <c r="B546" s="15" t="n"/>
      <c r="C546" s="16" t="n"/>
      <c r="D546" s="10" t="n"/>
      <c r="E546" s="9" t="n"/>
      <c r="F546" s="9" t="n"/>
      <c r="G546" s="13" t="n"/>
      <c r="H546" s="21" t="n"/>
      <c r="I546" s="21" t="n"/>
      <c r="J546" s="17">
        <f>IF($G546="","",IFERROR(INDEX(NomsEmployes,MATCH($G546,MatriculesEmployes,0)),"MATRICULE INCONNU"))</f>
        <v/>
      </c>
      <c r="K546" s="33">
        <f>IF(OR($D546="",$F546=""),"",IFERROR(IF(INDEX(RUNS!$L$6:$S$1005,MATCH($D546,RUNS!$A$6:$A$1005,0),MATCH("ACTIVITÉ "&amp;$F546,RUNS!$L$5:$S$5,0))="","",INDEX(RUNS!$L$6:$S$1005,MATCH($D546,RUNS!$A$6:$A$1005,0),MATCH("ACTIVITÉ "&amp;$F546,RUNS!$L$5:$S$5,0))),""))</f>
        <v/>
      </c>
      <c r="L546" s="33">
        <f>IF($D546="","",IFERROR(IF(INDEX(RUNS!$E$6:$E$1005,MATCH($D546,RUNS!$A$6:$A$1005,0))="","",INDEX(RUNS!$E$6:$E$1005,MATCH($D546,RUNS!$A$6:$A$1005,0))),""))</f>
        <v/>
      </c>
      <c r="M546" s="33">
        <f>IF($D546="","",IFERROR(IF(INDEX(RUNS!$F$6:$F$1005,MATCH($D546,RUNS!$A$6:$A$1005,0))="","",INDEX(RUNS!$F$6:$F$1005,MATCH($D546,RUNS!$A$6:$A$1005,0))),""))</f>
        <v/>
      </c>
      <c r="N546" s="33">
        <f>IF($D546="","",IFERROR(IF(INDEX(RUNS!$G$6:$G$1005,MATCH($D546,RUNS!$A$6:$A$1005,0))="","",INDEX(RUNS!$G$6:$G$1005,MATCH($D546,RUNS!$A$6:$A$1005,0))),""))</f>
        <v/>
      </c>
      <c r="O546" s="33">
        <f>IF($D546="","",IFERROR(IF(INDEX(RUNS!$H$6:$H$1005,MATCH($D546,RUNS!$A$6:$A$1005,0))="","",INDEX(RUNS!$H$6:$H$1005,MATCH($D546,RUNS!$A$6:$A$1005,0))),""))</f>
        <v/>
      </c>
      <c r="P546" s="33">
        <f>IF($D546="","",IFERROR(IF(INDEX(RUNS!$J$6:$J$1005,MATCH($D546,RUNS!$A$6:$A$1005,0))="","",INDEX(RUNS!$J$6:$J$1005,MATCH($D546,RUNS!$A$6:$A$1005,0))),""))</f>
        <v/>
      </c>
      <c r="Q546" s="33">
        <f>IF($D546="","",IFERROR(IF(INDEX(RUNS!$K$6:$K$1005,MATCH($D546,RUNS!$A$6:$A$1005,0))="","",INDEX(RUNS!$K$6:$K$1005,MATCH($D546,RUNS!$A$6:$A$1005,0))),""))</f>
        <v/>
      </c>
      <c r="R546" s="34">
        <f>IF(OR($L546="",$K546=""),"",IFERROR(IF(INDEX(PARAMETRES!$H$43:$H$342,MATCH($L546&amp;"|"&amp;$M546&amp;"|"&amp;$N546&amp;"|"&amp;$O546&amp;"|"&amp;$P546&amp;"|"&amp;$Q546&amp;"|"&amp;$K546,PARAMETRES!$J$43:$J$342,0))="","",INDEX(PARAMETRES!$H$43:$H$342,MATCH($L546&amp;"|"&amp;$M546&amp;"|"&amp;$N546&amp;"|"&amp;$O546&amp;"|"&amp;$P546&amp;"|"&amp;$Q546&amp;"|"&amp;$K546,PARAMETRES!$J$43:$J$342,0))),""))</f>
        <v/>
      </c>
      <c r="S546" s="35">
        <f>IF(OR($G546="",$X546&lt;&gt;"VALIDE"),"",IFERROR(LOOKUP(2,1/(($B$3:$B545=$B546)*($G$3:$G545=$G546)*($X$3:$X545="VALIDE")),$C$3:$C545),""))</f>
        <v/>
      </c>
      <c r="T546" s="36">
        <f>IF(OR($C546="",$S546=""),"",ROUND(($C546-$S546+IF($C546&lt;$S546,1,0))*1440,0))</f>
        <v/>
      </c>
      <c r="U546" s="22">
        <f>IF(OR($H546="",$T546="",$T546&lt;=0),"",$H546*60/$T546)</f>
        <v/>
      </c>
      <c r="V546" s="37">
        <f>IF(OR($U546="",$R546="",$R546=0),"",$U546/$R546)</f>
        <v/>
      </c>
      <c r="W546" s="20">
        <f>IF($G546="","",IF($X546="CONTEXTE INCOMPLET","CONTEXTE INCOMPLET",IF($X546="DOUBLON",StatutDoublon,IF($S546="",StatutInitial,IF($R546="",StatutStandardManquant,IF($V546="","DONNEES INSUFFISANTES",IF($V546&gt;=SeuilConforme,StatutConforme,IF($V546&gt;=SeuilSurveiller,StatutSurveiller,StatutSousStandard))))))))</f>
        <v/>
      </c>
      <c r="X546" s="33">
        <f>IF($G546="","",IF(OR($D546="",$E546="",$F546=""),"CONTEXTE INCOMPLET",IF(COUNTIFS($D$3:$D545,$D546,$E$3:$E545,$E546,$F$3:$F545,$F546,$G$3:$G545,$G546)&gt;0,"DOUBLON","VALIDE")))</f>
        <v/>
      </c>
    </row>
    <row r="547" ht="15" customHeight="1">
      <c r="A547" s="12">
        <f>IF(OR($B547="",$G547=""),"",TEXT($B547,"YYYYMMDD")&amp;"-"&amp;SUBSTITUTE($E547," ","")&amp;"-"&amp;$F547&amp;"-"&amp;$G547)</f>
        <v/>
      </c>
      <c r="B547" s="15" t="n"/>
      <c r="C547" s="16" t="n"/>
      <c r="D547" s="10" t="n"/>
      <c r="E547" s="9" t="n"/>
      <c r="F547" s="9" t="n"/>
      <c r="G547" s="13" t="n"/>
      <c r="H547" s="21" t="n"/>
      <c r="I547" s="21" t="n"/>
      <c r="J547" s="17">
        <f>IF($G547="","",IFERROR(INDEX(NomsEmployes,MATCH($G547,MatriculesEmployes,0)),"MATRICULE INCONNU"))</f>
        <v/>
      </c>
      <c r="K547" s="33">
        <f>IF(OR($D547="",$F547=""),"",IFERROR(IF(INDEX(RUNS!$L$6:$S$1005,MATCH($D547,RUNS!$A$6:$A$1005,0),MATCH("ACTIVITÉ "&amp;$F547,RUNS!$L$5:$S$5,0))="","",INDEX(RUNS!$L$6:$S$1005,MATCH($D547,RUNS!$A$6:$A$1005,0),MATCH("ACTIVITÉ "&amp;$F547,RUNS!$L$5:$S$5,0))),""))</f>
        <v/>
      </c>
      <c r="L547" s="33">
        <f>IF($D547="","",IFERROR(IF(INDEX(RUNS!$E$6:$E$1005,MATCH($D547,RUNS!$A$6:$A$1005,0))="","",INDEX(RUNS!$E$6:$E$1005,MATCH($D547,RUNS!$A$6:$A$1005,0))),""))</f>
        <v/>
      </c>
      <c r="M547" s="33">
        <f>IF($D547="","",IFERROR(IF(INDEX(RUNS!$F$6:$F$1005,MATCH($D547,RUNS!$A$6:$A$1005,0))="","",INDEX(RUNS!$F$6:$F$1005,MATCH($D547,RUNS!$A$6:$A$1005,0))),""))</f>
        <v/>
      </c>
      <c r="N547" s="33">
        <f>IF($D547="","",IFERROR(IF(INDEX(RUNS!$G$6:$G$1005,MATCH($D547,RUNS!$A$6:$A$1005,0))="","",INDEX(RUNS!$G$6:$G$1005,MATCH($D547,RUNS!$A$6:$A$1005,0))),""))</f>
        <v/>
      </c>
      <c r="O547" s="33">
        <f>IF($D547="","",IFERROR(IF(INDEX(RUNS!$H$6:$H$1005,MATCH($D547,RUNS!$A$6:$A$1005,0))="","",INDEX(RUNS!$H$6:$H$1005,MATCH($D547,RUNS!$A$6:$A$1005,0))),""))</f>
        <v/>
      </c>
      <c r="P547" s="33">
        <f>IF($D547="","",IFERROR(IF(INDEX(RUNS!$J$6:$J$1005,MATCH($D547,RUNS!$A$6:$A$1005,0))="","",INDEX(RUNS!$J$6:$J$1005,MATCH($D547,RUNS!$A$6:$A$1005,0))),""))</f>
        <v/>
      </c>
      <c r="Q547" s="33">
        <f>IF($D547="","",IFERROR(IF(INDEX(RUNS!$K$6:$K$1005,MATCH($D547,RUNS!$A$6:$A$1005,0))="","",INDEX(RUNS!$K$6:$K$1005,MATCH($D547,RUNS!$A$6:$A$1005,0))),""))</f>
        <v/>
      </c>
      <c r="R547" s="34">
        <f>IF(OR($L547="",$K547=""),"",IFERROR(IF(INDEX(PARAMETRES!$H$43:$H$342,MATCH($L547&amp;"|"&amp;$M547&amp;"|"&amp;$N547&amp;"|"&amp;$O547&amp;"|"&amp;$P547&amp;"|"&amp;$Q547&amp;"|"&amp;$K547,PARAMETRES!$J$43:$J$342,0))="","",INDEX(PARAMETRES!$H$43:$H$342,MATCH($L547&amp;"|"&amp;$M547&amp;"|"&amp;$N547&amp;"|"&amp;$O547&amp;"|"&amp;$P547&amp;"|"&amp;$Q547&amp;"|"&amp;$K547,PARAMETRES!$J$43:$J$342,0))),""))</f>
        <v/>
      </c>
      <c r="S547" s="35">
        <f>IF(OR($G547="",$X547&lt;&gt;"VALIDE"),"",IFERROR(LOOKUP(2,1/(($B$3:$B546=$B547)*($G$3:$G546=$G547)*($X$3:$X546="VALIDE")),$C$3:$C546),""))</f>
        <v/>
      </c>
      <c r="T547" s="36">
        <f>IF(OR($C547="",$S547=""),"",ROUND(($C547-$S547+IF($C547&lt;$S547,1,0))*1440,0))</f>
        <v/>
      </c>
      <c r="U547" s="22">
        <f>IF(OR($H547="",$T547="",$T547&lt;=0),"",$H547*60/$T547)</f>
        <v/>
      </c>
      <c r="V547" s="37">
        <f>IF(OR($U547="",$R547="",$R547=0),"",$U547/$R547)</f>
        <v/>
      </c>
      <c r="W547" s="20">
        <f>IF($G547="","",IF($X547="CONTEXTE INCOMPLET","CONTEXTE INCOMPLET",IF($X547="DOUBLON",StatutDoublon,IF($S547="",StatutInitial,IF($R547="",StatutStandardManquant,IF($V547="","DONNEES INSUFFISANTES",IF($V547&gt;=SeuilConforme,StatutConforme,IF($V547&gt;=SeuilSurveiller,StatutSurveiller,StatutSousStandard))))))))</f>
        <v/>
      </c>
      <c r="X547" s="33">
        <f>IF($G547="","",IF(OR($D547="",$E547="",$F547=""),"CONTEXTE INCOMPLET",IF(COUNTIFS($D$3:$D546,$D547,$E$3:$E546,$E547,$F$3:$F546,$F547,$G$3:$G546,$G547)&gt;0,"DOUBLON","VALIDE")))</f>
        <v/>
      </c>
    </row>
    <row r="548" ht="15" customHeight="1">
      <c r="A548" s="12">
        <f>IF(OR($B548="",$G548=""),"",TEXT($B548,"YYYYMMDD")&amp;"-"&amp;SUBSTITUTE($E548," ","")&amp;"-"&amp;$F548&amp;"-"&amp;$G548)</f>
        <v/>
      </c>
      <c r="B548" s="15" t="n"/>
      <c r="C548" s="16" t="n"/>
      <c r="D548" s="10" t="n"/>
      <c r="E548" s="9" t="n"/>
      <c r="F548" s="9" t="n"/>
      <c r="G548" s="13" t="n"/>
      <c r="H548" s="21" t="n"/>
      <c r="I548" s="21" t="n"/>
      <c r="J548" s="17">
        <f>IF($G548="","",IFERROR(INDEX(NomsEmployes,MATCH($G548,MatriculesEmployes,0)),"MATRICULE INCONNU"))</f>
        <v/>
      </c>
      <c r="K548" s="33">
        <f>IF(OR($D548="",$F548=""),"",IFERROR(IF(INDEX(RUNS!$L$6:$S$1005,MATCH($D548,RUNS!$A$6:$A$1005,0),MATCH("ACTIVITÉ "&amp;$F548,RUNS!$L$5:$S$5,0))="","",INDEX(RUNS!$L$6:$S$1005,MATCH($D548,RUNS!$A$6:$A$1005,0),MATCH("ACTIVITÉ "&amp;$F548,RUNS!$L$5:$S$5,0))),""))</f>
        <v/>
      </c>
      <c r="L548" s="33">
        <f>IF($D548="","",IFERROR(IF(INDEX(RUNS!$E$6:$E$1005,MATCH($D548,RUNS!$A$6:$A$1005,0))="","",INDEX(RUNS!$E$6:$E$1005,MATCH($D548,RUNS!$A$6:$A$1005,0))),""))</f>
        <v/>
      </c>
      <c r="M548" s="33">
        <f>IF($D548="","",IFERROR(IF(INDEX(RUNS!$F$6:$F$1005,MATCH($D548,RUNS!$A$6:$A$1005,0))="","",INDEX(RUNS!$F$6:$F$1005,MATCH($D548,RUNS!$A$6:$A$1005,0))),""))</f>
        <v/>
      </c>
      <c r="N548" s="33">
        <f>IF($D548="","",IFERROR(IF(INDEX(RUNS!$G$6:$G$1005,MATCH($D548,RUNS!$A$6:$A$1005,0))="","",INDEX(RUNS!$G$6:$G$1005,MATCH($D548,RUNS!$A$6:$A$1005,0))),""))</f>
        <v/>
      </c>
      <c r="O548" s="33">
        <f>IF($D548="","",IFERROR(IF(INDEX(RUNS!$H$6:$H$1005,MATCH($D548,RUNS!$A$6:$A$1005,0))="","",INDEX(RUNS!$H$6:$H$1005,MATCH($D548,RUNS!$A$6:$A$1005,0))),""))</f>
        <v/>
      </c>
      <c r="P548" s="33">
        <f>IF($D548="","",IFERROR(IF(INDEX(RUNS!$J$6:$J$1005,MATCH($D548,RUNS!$A$6:$A$1005,0))="","",INDEX(RUNS!$J$6:$J$1005,MATCH($D548,RUNS!$A$6:$A$1005,0))),""))</f>
        <v/>
      </c>
      <c r="Q548" s="33">
        <f>IF($D548="","",IFERROR(IF(INDEX(RUNS!$K$6:$K$1005,MATCH($D548,RUNS!$A$6:$A$1005,0))="","",INDEX(RUNS!$K$6:$K$1005,MATCH($D548,RUNS!$A$6:$A$1005,0))),""))</f>
        <v/>
      </c>
      <c r="R548" s="34">
        <f>IF(OR($L548="",$K548=""),"",IFERROR(IF(INDEX(PARAMETRES!$H$43:$H$342,MATCH($L548&amp;"|"&amp;$M548&amp;"|"&amp;$N548&amp;"|"&amp;$O548&amp;"|"&amp;$P548&amp;"|"&amp;$Q548&amp;"|"&amp;$K548,PARAMETRES!$J$43:$J$342,0))="","",INDEX(PARAMETRES!$H$43:$H$342,MATCH($L548&amp;"|"&amp;$M548&amp;"|"&amp;$N548&amp;"|"&amp;$O548&amp;"|"&amp;$P548&amp;"|"&amp;$Q548&amp;"|"&amp;$K548,PARAMETRES!$J$43:$J$342,0))),""))</f>
        <v/>
      </c>
      <c r="S548" s="35">
        <f>IF(OR($G548="",$X548&lt;&gt;"VALIDE"),"",IFERROR(LOOKUP(2,1/(($B$3:$B547=$B548)*($G$3:$G547=$G548)*($X$3:$X547="VALIDE")),$C$3:$C547),""))</f>
        <v/>
      </c>
      <c r="T548" s="36">
        <f>IF(OR($C548="",$S548=""),"",ROUND(($C548-$S548+IF($C548&lt;$S548,1,0))*1440,0))</f>
        <v/>
      </c>
      <c r="U548" s="22">
        <f>IF(OR($H548="",$T548="",$T548&lt;=0),"",$H548*60/$T548)</f>
        <v/>
      </c>
      <c r="V548" s="37">
        <f>IF(OR($U548="",$R548="",$R548=0),"",$U548/$R548)</f>
        <v/>
      </c>
      <c r="W548" s="20">
        <f>IF($G548="","",IF($X548="CONTEXTE INCOMPLET","CONTEXTE INCOMPLET",IF($X548="DOUBLON",StatutDoublon,IF($S548="",StatutInitial,IF($R548="",StatutStandardManquant,IF($V548="","DONNEES INSUFFISANTES",IF($V548&gt;=SeuilConforme,StatutConforme,IF($V548&gt;=SeuilSurveiller,StatutSurveiller,StatutSousStandard))))))))</f>
        <v/>
      </c>
      <c r="X548" s="33">
        <f>IF($G548="","",IF(OR($D548="",$E548="",$F548=""),"CONTEXTE INCOMPLET",IF(COUNTIFS($D$3:$D547,$D548,$E$3:$E547,$E548,$F$3:$F547,$F548,$G$3:$G547,$G548)&gt;0,"DOUBLON","VALIDE")))</f>
        <v/>
      </c>
    </row>
    <row r="549" ht="15" customHeight="1">
      <c r="A549" s="12">
        <f>IF(OR($B549="",$G549=""),"",TEXT($B549,"YYYYMMDD")&amp;"-"&amp;SUBSTITUTE($E549," ","")&amp;"-"&amp;$F549&amp;"-"&amp;$G549)</f>
        <v/>
      </c>
      <c r="B549" s="15" t="n"/>
      <c r="C549" s="16" t="n"/>
      <c r="D549" s="10" t="n"/>
      <c r="E549" s="9" t="n"/>
      <c r="F549" s="9" t="n"/>
      <c r="G549" s="13" t="n"/>
      <c r="H549" s="21" t="n"/>
      <c r="I549" s="21" t="n"/>
      <c r="J549" s="17">
        <f>IF($G549="","",IFERROR(INDEX(NomsEmployes,MATCH($G549,MatriculesEmployes,0)),"MATRICULE INCONNU"))</f>
        <v/>
      </c>
      <c r="K549" s="33">
        <f>IF(OR($D549="",$F549=""),"",IFERROR(IF(INDEX(RUNS!$L$6:$S$1005,MATCH($D549,RUNS!$A$6:$A$1005,0),MATCH("ACTIVITÉ "&amp;$F549,RUNS!$L$5:$S$5,0))="","",INDEX(RUNS!$L$6:$S$1005,MATCH($D549,RUNS!$A$6:$A$1005,0),MATCH("ACTIVITÉ "&amp;$F549,RUNS!$L$5:$S$5,0))),""))</f>
        <v/>
      </c>
      <c r="L549" s="33">
        <f>IF($D549="","",IFERROR(IF(INDEX(RUNS!$E$6:$E$1005,MATCH($D549,RUNS!$A$6:$A$1005,0))="","",INDEX(RUNS!$E$6:$E$1005,MATCH($D549,RUNS!$A$6:$A$1005,0))),""))</f>
        <v/>
      </c>
      <c r="M549" s="33">
        <f>IF($D549="","",IFERROR(IF(INDEX(RUNS!$F$6:$F$1005,MATCH($D549,RUNS!$A$6:$A$1005,0))="","",INDEX(RUNS!$F$6:$F$1005,MATCH($D549,RUNS!$A$6:$A$1005,0))),""))</f>
        <v/>
      </c>
      <c r="N549" s="33">
        <f>IF($D549="","",IFERROR(IF(INDEX(RUNS!$G$6:$G$1005,MATCH($D549,RUNS!$A$6:$A$1005,0))="","",INDEX(RUNS!$G$6:$G$1005,MATCH($D549,RUNS!$A$6:$A$1005,0))),""))</f>
        <v/>
      </c>
      <c r="O549" s="33">
        <f>IF($D549="","",IFERROR(IF(INDEX(RUNS!$H$6:$H$1005,MATCH($D549,RUNS!$A$6:$A$1005,0))="","",INDEX(RUNS!$H$6:$H$1005,MATCH($D549,RUNS!$A$6:$A$1005,0))),""))</f>
        <v/>
      </c>
      <c r="P549" s="33">
        <f>IF($D549="","",IFERROR(IF(INDEX(RUNS!$J$6:$J$1005,MATCH($D549,RUNS!$A$6:$A$1005,0))="","",INDEX(RUNS!$J$6:$J$1005,MATCH($D549,RUNS!$A$6:$A$1005,0))),""))</f>
        <v/>
      </c>
      <c r="Q549" s="33">
        <f>IF($D549="","",IFERROR(IF(INDEX(RUNS!$K$6:$K$1005,MATCH($D549,RUNS!$A$6:$A$1005,0))="","",INDEX(RUNS!$K$6:$K$1005,MATCH($D549,RUNS!$A$6:$A$1005,0))),""))</f>
        <v/>
      </c>
      <c r="R549" s="34">
        <f>IF(OR($L549="",$K549=""),"",IFERROR(IF(INDEX(PARAMETRES!$H$43:$H$342,MATCH($L549&amp;"|"&amp;$M549&amp;"|"&amp;$N549&amp;"|"&amp;$O549&amp;"|"&amp;$P549&amp;"|"&amp;$Q549&amp;"|"&amp;$K549,PARAMETRES!$J$43:$J$342,0))="","",INDEX(PARAMETRES!$H$43:$H$342,MATCH($L549&amp;"|"&amp;$M549&amp;"|"&amp;$N549&amp;"|"&amp;$O549&amp;"|"&amp;$P549&amp;"|"&amp;$Q549&amp;"|"&amp;$K549,PARAMETRES!$J$43:$J$342,0))),""))</f>
        <v/>
      </c>
      <c r="S549" s="35">
        <f>IF(OR($G549="",$X549&lt;&gt;"VALIDE"),"",IFERROR(LOOKUP(2,1/(($B$3:$B548=$B549)*($G$3:$G548=$G549)*($X$3:$X548="VALIDE")),$C$3:$C548),""))</f>
        <v/>
      </c>
      <c r="T549" s="36">
        <f>IF(OR($C549="",$S549=""),"",ROUND(($C549-$S549+IF($C549&lt;$S549,1,0))*1440,0))</f>
        <v/>
      </c>
      <c r="U549" s="22">
        <f>IF(OR($H549="",$T549="",$T549&lt;=0),"",$H549*60/$T549)</f>
        <v/>
      </c>
      <c r="V549" s="37">
        <f>IF(OR($U549="",$R549="",$R549=0),"",$U549/$R549)</f>
        <v/>
      </c>
      <c r="W549" s="20">
        <f>IF($G549="","",IF($X549="CONTEXTE INCOMPLET","CONTEXTE INCOMPLET",IF($X549="DOUBLON",StatutDoublon,IF($S549="",StatutInitial,IF($R549="",StatutStandardManquant,IF($V549="","DONNEES INSUFFISANTES",IF($V549&gt;=SeuilConforme,StatutConforme,IF($V549&gt;=SeuilSurveiller,StatutSurveiller,StatutSousStandard))))))))</f>
        <v/>
      </c>
      <c r="X549" s="33">
        <f>IF($G549="","",IF(OR($D549="",$E549="",$F549=""),"CONTEXTE INCOMPLET",IF(COUNTIFS($D$3:$D548,$D549,$E$3:$E548,$E549,$F$3:$F548,$F549,$G$3:$G548,$G549)&gt;0,"DOUBLON","VALIDE")))</f>
        <v/>
      </c>
    </row>
    <row r="550" ht="15" customHeight="1">
      <c r="A550" s="12">
        <f>IF(OR($B550="",$G550=""),"",TEXT($B550,"YYYYMMDD")&amp;"-"&amp;SUBSTITUTE($E550," ","")&amp;"-"&amp;$F550&amp;"-"&amp;$G550)</f>
        <v/>
      </c>
      <c r="B550" s="15" t="n"/>
      <c r="C550" s="16" t="n"/>
      <c r="D550" s="10" t="n"/>
      <c r="E550" s="9" t="n"/>
      <c r="F550" s="9" t="n"/>
      <c r="G550" s="13" t="n"/>
      <c r="H550" s="21" t="n"/>
      <c r="I550" s="21" t="n"/>
      <c r="J550" s="17">
        <f>IF($G550="","",IFERROR(INDEX(NomsEmployes,MATCH($G550,MatriculesEmployes,0)),"MATRICULE INCONNU"))</f>
        <v/>
      </c>
      <c r="K550" s="33">
        <f>IF(OR($D550="",$F550=""),"",IFERROR(IF(INDEX(RUNS!$L$6:$S$1005,MATCH($D550,RUNS!$A$6:$A$1005,0),MATCH("ACTIVITÉ "&amp;$F550,RUNS!$L$5:$S$5,0))="","",INDEX(RUNS!$L$6:$S$1005,MATCH($D550,RUNS!$A$6:$A$1005,0),MATCH("ACTIVITÉ "&amp;$F550,RUNS!$L$5:$S$5,0))),""))</f>
        <v/>
      </c>
      <c r="L550" s="33">
        <f>IF($D550="","",IFERROR(IF(INDEX(RUNS!$E$6:$E$1005,MATCH($D550,RUNS!$A$6:$A$1005,0))="","",INDEX(RUNS!$E$6:$E$1005,MATCH($D550,RUNS!$A$6:$A$1005,0))),""))</f>
        <v/>
      </c>
      <c r="M550" s="33">
        <f>IF($D550="","",IFERROR(IF(INDEX(RUNS!$F$6:$F$1005,MATCH($D550,RUNS!$A$6:$A$1005,0))="","",INDEX(RUNS!$F$6:$F$1005,MATCH($D550,RUNS!$A$6:$A$1005,0))),""))</f>
        <v/>
      </c>
      <c r="N550" s="33">
        <f>IF($D550="","",IFERROR(IF(INDEX(RUNS!$G$6:$G$1005,MATCH($D550,RUNS!$A$6:$A$1005,0))="","",INDEX(RUNS!$G$6:$G$1005,MATCH($D550,RUNS!$A$6:$A$1005,0))),""))</f>
        <v/>
      </c>
      <c r="O550" s="33">
        <f>IF($D550="","",IFERROR(IF(INDEX(RUNS!$H$6:$H$1005,MATCH($D550,RUNS!$A$6:$A$1005,0))="","",INDEX(RUNS!$H$6:$H$1005,MATCH($D550,RUNS!$A$6:$A$1005,0))),""))</f>
        <v/>
      </c>
      <c r="P550" s="33">
        <f>IF($D550="","",IFERROR(IF(INDEX(RUNS!$J$6:$J$1005,MATCH($D550,RUNS!$A$6:$A$1005,0))="","",INDEX(RUNS!$J$6:$J$1005,MATCH($D550,RUNS!$A$6:$A$1005,0))),""))</f>
        <v/>
      </c>
      <c r="Q550" s="33">
        <f>IF($D550="","",IFERROR(IF(INDEX(RUNS!$K$6:$K$1005,MATCH($D550,RUNS!$A$6:$A$1005,0))="","",INDEX(RUNS!$K$6:$K$1005,MATCH($D550,RUNS!$A$6:$A$1005,0))),""))</f>
        <v/>
      </c>
      <c r="R550" s="34">
        <f>IF(OR($L550="",$K550=""),"",IFERROR(IF(INDEX(PARAMETRES!$H$43:$H$342,MATCH($L550&amp;"|"&amp;$M550&amp;"|"&amp;$N550&amp;"|"&amp;$O550&amp;"|"&amp;$P550&amp;"|"&amp;$Q550&amp;"|"&amp;$K550,PARAMETRES!$J$43:$J$342,0))="","",INDEX(PARAMETRES!$H$43:$H$342,MATCH($L550&amp;"|"&amp;$M550&amp;"|"&amp;$N550&amp;"|"&amp;$O550&amp;"|"&amp;$P550&amp;"|"&amp;$Q550&amp;"|"&amp;$K550,PARAMETRES!$J$43:$J$342,0))),""))</f>
        <v/>
      </c>
      <c r="S550" s="35">
        <f>IF(OR($G550="",$X550&lt;&gt;"VALIDE"),"",IFERROR(LOOKUP(2,1/(($B$3:$B549=$B550)*($G$3:$G549=$G550)*($X$3:$X549="VALIDE")),$C$3:$C549),""))</f>
        <v/>
      </c>
      <c r="T550" s="36">
        <f>IF(OR($C550="",$S550=""),"",ROUND(($C550-$S550+IF($C550&lt;$S550,1,0))*1440,0))</f>
        <v/>
      </c>
      <c r="U550" s="22">
        <f>IF(OR($H550="",$T550="",$T550&lt;=0),"",$H550*60/$T550)</f>
        <v/>
      </c>
      <c r="V550" s="37">
        <f>IF(OR($U550="",$R550="",$R550=0),"",$U550/$R550)</f>
        <v/>
      </c>
      <c r="W550" s="20">
        <f>IF($G550="","",IF($X550="CONTEXTE INCOMPLET","CONTEXTE INCOMPLET",IF($X550="DOUBLON",StatutDoublon,IF($S550="",StatutInitial,IF($R550="",StatutStandardManquant,IF($V550="","DONNEES INSUFFISANTES",IF($V550&gt;=SeuilConforme,StatutConforme,IF($V550&gt;=SeuilSurveiller,StatutSurveiller,StatutSousStandard))))))))</f>
        <v/>
      </c>
      <c r="X550" s="33">
        <f>IF($G550="","",IF(OR($D550="",$E550="",$F550=""),"CONTEXTE INCOMPLET",IF(COUNTIFS($D$3:$D549,$D550,$E$3:$E549,$E550,$F$3:$F549,$F550,$G$3:$G549,$G550)&gt;0,"DOUBLON","VALIDE")))</f>
        <v/>
      </c>
    </row>
    <row r="551" ht="15" customHeight="1">
      <c r="A551" s="12">
        <f>IF(OR($B551="",$G551=""),"",TEXT($B551,"YYYYMMDD")&amp;"-"&amp;SUBSTITUTE($E551," ","")&amp;"-"&amp;$F551&amp;"-"&amp;$G551)</f>
        <v/>
      </c>
      <c r="B551" s="15" t="n"/>
      <c r="C551" s="16" t="n"/>
      <c r="D551" s="10" t="n"/>
      <c r="E551" s="9" t="n"/>
      <c r="F551" s="9" t="n"/>
      <c r="G551" s="13" t="n"/>
      <c r="H551" s="21" t="n"/>
      <c r="I551" s="21" t="n"/>
      <c r="J551" s="17">
        <f>IF($G551="","",IFERROR(INDEX(NomsEmployes,MATCH($G551,MatriculesEmployes,0)),"MATRICULE INCONNU"))</f>
        <v/>
      </c>
      <c r="K551" s="33">
        <f>IF(OR($D551="",$F551=""),"",IFERROR(IF(INDEX(RUNS!$L$6:$S$1005,MATCH($D551,RUNS!$A$6:$A$1005,0),MATCH("ACTIVITÉ "&amp;$F551,RUNS!$L$5:$S$5,0))="","",INDEX(RUNS!$L$6:$S$1005,MATCH($D551,RUNS!$A$6:$A$1005,0),MATCH("ACTIVITÉ "&amp;$F551,RUNS!$L$5:$S$5,0))),""))</f>
        <v/>
      </c>
      <c r="L551" s="33">
        <f>IF($D551="","",IFERROR(IF(INDEX(RUNS!$E$6:$E$1005,MATCH($D551,RUNS!$A$6:$A$1005,0))="","",INDEX(RUNS!$E$6:$E$1005,MATCH($D551,RUNS!$A$6:$A$1005,0))),""))</f>
        <v/>
      </c>
      <c r="M551" s="33">
        <f>IF($D551="","",IFERROR(IF(INDEX(RUNS!$F$6:$F$1005,MATCH($D551,RUNS!$A$6:$A$1005,0))="","",INDEX(RUNS!$F$6:$F$1005,MATCH($D551,RUNS!$A$6:$A$1005,0))),""))</f>
        <v/>
      </c>
      <c r="N551" s="33">
        <f>IF($D551="","",IFERROR(IF(INDEX(RUNS!$G$6:$G$1005,MATCH($D551,RUNS!$A$6:$A$1005,0))="","",INDEX(RUNS!$G$6:$G$1005,MATCH($D551,RUNS!$A$6:$A$1005,0))),""))</f>
        <v/>
      </c>
      <c r="O551" s="33">
        <f>IF($D551="","",IFERROR(IF(INDEX(RUNS!$H$6:$H$1005,MATCH($D551,RUNS!$A$6:$A$1005,0))="","",INDEX(RUNS!$H$6:$H$1005,MATCH($D551,RUNS!$A$6:$A$1005,0))),""))</f>
        <v/>
      </c>
      <c r="P551" s="33">
        <f>IF($D551="","",IFERROR(IF(INDEX(RUNS!$J$6:$J$1005,MATCH($D551,RUNS!$A$6:$A$1005,0))="","",INDEX(RUNS!$J$6:$J$1005,MATCH($D551,RUNS!$A$6:$A$1005,0))),""))</f>
        <v/>
      </c>
      <c r="Q551" s="33">
        <f>IF($D551="","",IFERROR(IF(INDEX(RUNS!$K$6:$K$1005,MATCH($D551,RUNS!$A$6:$A$1005,0))="","",INDEX(RUNS!$K$6:$K$1005,MATCH($D551,RUNS!$A$6:$A$1005,0))),""))</f>
        <v/>
      </c>
      <c r="R551" s="34">
        <f>IF(OR($L551="",$K551=""),"",IFERROR(IF(INDEX(PARAMETRES!$H$43:$H$342,MATCH($L551&amp;"|"&amp;$M551&amp;"|"&amp;$N551&amp;"|"&amp;$O551&amp;"|"&amp;$P551&amp;"|"&amp;$Q551&amp;"|"&amp;$K551,PARAMETRES!$J$43:$J$342,0))="","",INDEX(PARAMETRES!$H$43:$H$342,MATCH($L551&amp;"|"&amp;$M551&amp;"|"&amp;$N551&amp;"|"&amp;$O551&amp;"|"&amp;$P551&amp;"|"&amp;$Q551&amp;"|"&amp;$K551,PARAMETRES!$J$43:$J$342,0))),""))</f>
        <v/>
      </c>
      <c r="S551" s="35">
        <f>IF(OR($G551="",$X551&lt;&gt;"VALIDE"),"",IFERROR(LOOKUP(2,1/(($B$3:$B550=$B551)*($G$3:$G550=$G551)*($X$3:$X550="VALIDE")),$C$3:$C550),""))</f>
        <v/>
      </c>
      <c r="T551" s="36">
        <f>IF(OR($C551="",$S551=""),"",ROUND(($C551-$S551+IF($C551&lt;$S551,1,0))*1440,0))</f>
        <v/>
      </c>
      <c r="U551" s="22">
        <f>IF(OR($H551="",$T551="",$T551&lt;=0),"",$H551*60/$T551)</f>
        <v/>
      </c>
      <c r="V551" s="37">
        <f>IF(OR($U551="",$R551="",$R551=0),"",$U551/$R551)</f>
        <v/>
      </c>
      <c r="W551" s="20">
        <f>IF($G551="","",IF($X551="CONTEXTE INCOMPLET","CONTEXTE INCOMPLET",IF($X551="DOUBLON",StatutDoublon,IF($S551="",StatutInitial,IF($R551="",StatutStandardManquant,IF($V551="","DONNEES INSUFFISANTES",IF($V551&gt;=SeuilConforme,StatutConforme,IF($V551&gt;=SeuilSurveiller,StatutSurveiller,StatutSousStandard))))))))</f>
        <v/>
      </c>
      <c r="X551" s="33">
        <f>IF($G551="","",IF(OR($D551="",$E551="",$F551=""),"CONTEXTE INCOMPLET",IF(COUNTIFS($D$3:$D550,$D551,$E$3:$E550,$E551,$F$3:$F550,$F551,$G$3:$G550,$G551)&gt;0,"DOUBLON","VALIDE")))</f>
        <v/>
      </c>
    </row>
    <row r="552" ht="15" customHeight="1">
      <c r="A552" s="12">
        <f>IF(OR($B552="",$G552=""),"",TEXT($B552,"YYYYMMDD")&amp;"-"&amp;SUBSTITUTE($E552," ","")&amp;"-"&amp;$F552&amp;"-"&amp;$G552)</f>
        <v/>
      </c>
      <c r="B552" s="15" t="n"/>
      <c r="C552" s="16" t="n"/>
      <c r="D552" s="10" t="n"/>
      <c r="E552" s="9" t="n"/>
      <c r="F552" s="9" t="n"/>
      <c r="G552" s="13" t="n"/>
      <c r="H552" s="21" t="n"/>
      <c r="I552" s="21" t="n"/>
      <c r="J552" s="17">
        <f>IF($G552="","",IFERROR(INDEX(NomsEmployes,MATCH($G552,MatriculesEmployes,0)),"MATRICULE INCONNU"))</f>
        <v/>
      </c>
      <c r="K552" s="33">
        <f>IF(OR($D552="",$F552=""),"",IFERROR(IF(INDEX(RUNS!$L$6:$S$1005,MATCH($D552,RUNS!$A$6:$A$1005,0),MATCH("ACTIVITÉ "&amp;$F552,RUNS!$L$5:$S$5,0))="","",INDEX(RUNS!$L$6:$S$1005,MATCH($D552,RUNS!$A$6:$A$1005,0),MATCH("ACTIVITÉ "&amp;$F552,RUNS!$L$5:$S$5,0))),""))</f>
        <v/>
      </c>
      <c r="L552" s="33">
        <f>IF($D552="","",IFERROR(IF(INDEX(RUNS!$E$6:$E$1005,MATCH($D552,RUNS!$A$6:$A$1005,0))="","",INDEX(RUNS!$E$6:$E$1005,MATCH($D552,RUNS!$A$6:$A$1005,0))),""))</f>
        <v/>
      </c>
      <c r="M552" s="33">
        <f>IF($D552="","",IFERROR(IF(INDEX(RUNS!$F$6:$F$1005,MATCH($D552,RUNS!$A$6:$A$1005,0))="","",INDEX(RUNS!$F$6:$F$1005,MATCH($D552,RUNS!$A$6:$A$1005,0))),""))</f>
        <v/>
      </c>
      <c r="N552" s="33">
        <f>IF($D552="","",IFERROR(IF(INDEX(RUNS!$G$6:$G$1005,MATCH($D552,RUNS!$A$6:$A$1005,0))="","",INDEX(RUNS!$G$6:$G$1005,MATCH($D552,RUNS!$A$6:$A$1005,0))),""))</f>
        <v/>
      </c>
      <c r="O552" s="33">
        <f>IF($D552="","",IFERROR(IF(INDEX(RUNS!$H$6:$H$1005,MATCH($D552,RUNS!$A$6:$A$1005,0))="","",INDEX(RUNS!$H$6:$H$1005,MATCH($D552,RUNS!$A$6:$A$1005,0))),""))</f>
        <v/>
      </c>
      <c r="P552" s="33">
        <f>IF($D552="","",IFERROR(IF(INDEX(RUNS!$J$6:$J$1005,MATCH($D552,RUNS!$A$6:$A$1005,0))="","",INDEX(RUNS!$J$6:$J$1005,MATCH($D552,RUNS!$A$6:$A$1005,0))),""))</f>
        <v/>
      </c>
      <c r="Q552" s="33">
        <f>IF($D552="","",IFERROR(IF(INDEX(RUNS!$K$6:$K$1005,MATCH($D552,RUNS!$A$6:$A$1005,0))="","",INDEX(RUNS!$K$6:$K$1005,MATCH($D552,RUNS!$A$6:$A$1005,0))),""))</f>
        <v/>
      </c>
      <c r="R552" s="34">
        <f>IF(OR($L552="",$K552=""),"",IFERROR(IF(INDEX(PARAMETRES!$H$43:$H$342,MATCH($L552&amp;"|"&amp;$M552&amp;"|"&amp;$N552&amp;"|"&amp;$O552&amp;"|"&amp;$P552&amp;"|"&amp;$Q552&amp;"|"&amp;$K552,PARAMETRES!$J$43:$J$342,0))="","",INDEX(PARAMETRES!$H$43:$H$342,MATCH($L552&amp;"|"&amp;$M552&amp;"|"&amp;$N552&amp;"|"&amp;$O552&amp;"|"&amp;$P552&amp;"|"&amp;$Q552&amp;"|"&amp;$K552,PARAMETRES!$J$43:$J$342,0))),""))</f>
        <v/>
      </c>
      <c r="S552" s="35">
        <f>IF(OR($G552="",$X552&lt;&gt;"VALIDE"),"",IFERROR(LOOKUP(2,1/(($B$3:$B551=$B552)*($G$3:$G551=$G552)*($X$3:$X551="VALIDE")),$C$3:$C551),""))</f>
        <v/>
      </c>
      <c r="T552" s="36">
        <f>IF(OR($C552="",$S552=""),"",ROUND(($C552-$S552+IF($C552&lt;$S552,1,0))*1440,0))</f>
        <v/>
      </c>
      <c r="U552" s="22">
        <f>IF(OR($H552="",$T552="",$T552&lt;=0),"",$H552*60/$T552)</f>
        <v/>
      </c>
      <c r="V552" s="37">
        <f>IF(OR($U552="",$R552="",$R552=0),"",$U552/$R552)</f>
        <v/>
      </c>
      <c r="W552" s="20">
        <f>IF($G552="","",IF($X552="CONTEXTE INCOMPLET","CONTEXTE INCOMPLET",IF($X552="DOUBLON",StatutDoublon,IF($S552="",StatutInitial,IF($R552="",StatutStandardManquant,IF($V552="","DONNEES INSUFFISANTES",IF($V552&gt;=SeuilConforme,StatutConforme,IF($V552&gt;=SeuilSurveiller,StatutSurveiller,StatutSousStandard))))))))</f>
        <v/>
      </c>
      <c r="X552" s="33">
        <f>IF($G552="","",IF(OR($D552="",$E552="",$F552=""),"CONTEXTE INCOMPLET",IF(COUNTIFS($D$3:$D551,$D552,$E$3:$E551,$E552,$F$3:$F551,$F552,$G$3:$G551,$G552)&gt;0,"DOUBLON","VALIDE")))</f>
        <v/>
      </c>
    </row>
    <row r="553" ht="15" customHeight="1">
      <c r="A553" s="12">
        <f>IF(OR($B553="",$G553=""),"",TEXT($B553,"YYYYMMDD")&amp;"-"&amp;SUBSTITUTE($E553," ","")&amp;"-"&amp;$F553&amp;"-"&amp;$G553)</f>
        <v/>
      </c>
      <c r="B553" s="15" t="n"/>
      <c r="C553" s="16" t="n"/>
      <c r="D553" s="10" t="n"/>
      <c r="E553" s="9" t="n"/>
      <c r="F553" s="9" t="n"/>
      <c r="G553" s="13" t="n"/>
      <c r="H553" s="21" t="n"/>
      <c r="I553" s="21" t="n"/>
      <c r="J553" s="17">
        <f>IF($G553="","",IFERROR(INDEX(NomsEmployes,MATCH($G553,MatriculesEmployes,0)),"MATRICULE INCONNU"))</f>
        <v/>
      </c>
      <c r="K553" s="33">
        <f>IF(OR($D553="",$F553=""),"",IFERROR(IF(INDEX(RUNS!$L$6:$S$1005,MATCH($D553,RUNS!$A$6:$A$1005,0),MATCH("ACTIVITÉ "&amp;$F553,RUNS!$L$5:$S$5,0))="","",INDEX(RUNS!$L$6:$S$1005,MATCH($D553,RUNS!$A$6:$A$1005,0),MATCH("ACTIVITÉ "&amp;$F553,RUNS!$L$5:$S$5,0))),""))</f>
        <v/>
      </c>
      <c r="L553" s="33">
        <f>IF($D553="","",IFERROR(IF(INDEX(RUNS!$E$6:$E$1005,MATCH($D553,RUNS!$A$6:$A$1005,0))="","",INDEX(RUNS!$E$6:$E$1005,MATCH($D553,RUNS!$A$6:$A$1005,0))),""))</f>
        <v/>
      </c>
      <c r="M553" s="33">
        <f>IF($D553="","",IFERROR(IF(INDEX(RUNS!$F$6:$F$1005,MATCH($D553,RUNS!$A$6:$A$1005,0))="","",INDEX(RUNS!$F$6:$F$1005,MATCH($D553,RUNS!$A$6:$A$1005,0))),""))</f>
        <v/>
      </c>
      <c r="N553" s="33">
        <f>IF($D553="","",IFERROR(IF(INDEX(RUNS!$G$6:$G$1005,MATCH($D553,RUNS!$A$6:$A$1005,0))="","",INDEX(RUNS!$G$6:$G$1005,MATCH($D553,RUNS!$A$6:$A$1005,0))),""))</f>
        <v/>
      </c>
      <c r="O553" s="33">
        <f>IF($D553="","",IFERROR(IF(INDEX(RUNS!$H$6:$H$1005,MATCH($D553,RUNS!$A$6:$A$1005,0))="","",INDEX(RUNS!$H$6:$H$1005,MATCH($D553,RUNS!$A$6:$A$1005,0))),""))</f>
        <v/>
      </c>
      <c r="P553" s="33">
        <f>IF($D553="","",IFERROR(IF(INDEX(RUNS!$J$6:$J$1005,MATCH($D553,RUNS!$A$6:$A$1005,0))="","",INDEX(RUNS!$J$6:$J$1005,MATCH($D553,RUNS!$A$6:$A$1005,0))),""))</f>
        <v/>
      </c>
      <c r="Q553" s="33">
        <f>IF($D553="","",IFERROR(IF(INDEX(RUNS!$K$6:$K$1005,MATCH($D553,RUNS!$A$6:$A$1005,0))="","",INDEX(RUNS!$K$6:$K$1005,MATCH($D553,RUNS!$A$6:$A$1005,0))),""))</f>
        <v/>
      </c>
      <c r="R553" s="34">
        <f>IF(OR($L553="",$K553=""),"",IFERROR(IF(INDEX(PARAMETRES!$H$43:$H$342,MATCH($L553&amp;"|"&amp;$M553&amp;"|"&amp;$N553&amp;"|"&amp;$O553&amp;"|"&amp;$P553&amp;"|"&amp;$Q553&amp;"|"&amp;$K553,PARAMETRES!$J$43:$J$342,0))="","",INDEX(PARAMETRES!$H$43:$H$342,MATCH($L553&amp;"|"&amp;$M553&amp;"|"&amp;$N553&amp;"|"&amp;$O553&amp;"|"&amp;$P553&amp;"|"&amp;$Q553&amp;"|"&amp;$K553,PARAMETRES!$J$43:$J$342,0))),""))</f>
        <v/>
      </c>
      <c r="S553" s="35">
        <f>IF(OR($G553="",$X553&lt;&gt;"VALIDE"),"",IFERROR(LOOKUP(2,1/(($B$3:$B552=$B553)*($G$3:$G552=$G553)*($X$3:$X552="VALIDE")),$C$3:$C552),""))</f>
        <v/>
      </c>
      <c r="T553" s="36">
        <f>IF(OR($C553="",$S553=""),"",ROUND(($C553-$S553+IF($C553&lt;$S553,1,0))*1440,0))</f>
        <v/>
      </c>
      <c r="U553" s="22">
        <f>IF(OR($H553="",$T553="",$T553&lt;=0),"",$H553*60/$T553)</f>
        <v/>
      </c>
      <c r="V553" s="37">
        <f>IF(OR($U553="",$R553="",$R553=0),"",$U553/$R553)</f>
        <v/>
      </c>
      <c r="W553" s="20">
        <f>IF($G553="","",IF($X553="CONTEXTE INCOMPLET","CONTEXTE INCOMPLET",IF($X553="DOUBLON",StatutDoublon,IF($S553="",StatutInitial,IF($R553="",StatutStandardManquant,IF($V553="","DONNEES INSUFFISANTES",IF($V553&gt;=SeuilConforme,StatutConforme,IF($V553&gt;=SeuilSurveiller,StatutSurveiller,StatutSousStandard))))))))</f>
        <v/>
      </c>
      <c r="X553" s="33">
        <f>IF($G553="","",IF(OR($D553="",$E553="",$F553=""),"CONTEXTE INCOMPLET",IF(COUNTIFS($D$3:$D552,$D553,$E$3:$E552,$E553,$F$3:$F552,$F553,$G$3:$G552,$G553)&gt;0,"DOUBLON","VALIDE")))</f>
        <v/>
      </c>
    </row>
    <row r="554" ht="15" customHeight="1">
      <c r="A554" s="12">
        <f>IF(OR($B554="",$G554=""),"",TEXT($B554,"YYYYMMDD")&amp;"-"&amp;SUBSTITUTE($E554," ","")&amp;"-"&amp;$F554&amp;"-"&amp;$G554)</f>
        <v/>
      </c>
      <c r="B554" s="15" t="n"/>
      <c r="C554" s="16" t="n"/>
      <c r="D554" s="10" t="n"/>
      <c r="E554" s="9" t="n"/>
      <c r="F554" s="9" t="n"/>
      <c r="G554" s="13" t="n"/>
      <c r="H554" s="21" t="n"/>
      <c r="I554" s="21" t="n"/>
      <c r="J554" s="17">
        <f>IF($G554="","",IFERROR(INDEX(NomsEmployes,MATCH($G554,MatriculesEmployes,0)),"MATRICULE INCONNU"))</f>
        <v/>
      </c>
      <c r="K554" s="33">
        <f>IF(OR($D554="",$F554=""),"",IFERROR(IF(INDEX(RUNS!$L$6:$S$1005,MATCH($D554,RUNS!$A$6:$A$1005,0),MATCH("ACTIVITÉ "&amp;$F554,RUNS!$L$5:$S$5,0))="","",INDEX(RUNS!$L$6:$S$1005,MATCH($D554,RUNS!$A$6:$A$1005,0),MATCH("ACTIVITÉ "&amp;$F554,RUNS!$L$5:$S$5,0))),""))</f>
        <v/>
      </c>
      <c r="L554" s="33">
        <f>IF($D554="","",IFERROR(IF(INDEX(RUNS!$E$6:$E$1005,MATCH($D554,RUNS!$A$6:$A$1005,0))="","",INDEX(RUNS!$E$6:$E$1005,MATCH($D554,RUNS!$A$6:$A$1005,0))),""))</f>
        <v/>
      </c>
      <c r="M554" s="33">
        <f>IF($D554="","",IFERROR(IF(INDEX(RUNS!$F$6:$F$1005,MATCH($D554,RUNS!$A$6:$A$1005,0))="","",INDEX(RUNS!$F$6:$F$1005,MATCH($D554,RUNS!$A$6:$A$1005,0))),""))</f>
        <v/>
      </c>
      <c r="N554" s="33">
        <f>IF($D554="","",IFERROR(IF(INDEX(RUNS!$G$6:$G$1005,MATCH($D554,RUNS!$A$6:$A$1005,0))="","",INDEX(RUNS!$G$6:$G$1005,MATCH($D554,RUNS!$A$6:$A$1005,0))),""))</f>
        <v/>
      </c>
      <c r="O554" s="33">
        <f>IF($D554="","",IFERROR(IF(INDEX(RUNS!$H$6:$H$1005,MATCH($D554,RUNS!$A$6:$A$1005,0))="","",INDEX(RUNS!$H$6:$H$1005,MATCH($D554,RUNS!$A$6:$A$1005,0))),""))</f>
        <v/>
      </c>
      <c r="P554" s="33">
        <f>IF($D554="","",IFERROR(IF(INDEX(RUNS!$J$6:$J$1005,MATCH($D554,RUNS!$A$6:$A$1005,0))="","",INDEX(RUNS!$J$6:$J$1005,MATCH($D554,RUNS!$A$6:$A$1005,0))),""))</f>
        <v/>
      </c>
      <c r="Q554" s="33">
        <f>IF($D554="","",IFERROR(IF(INDEX(RUNS!$K$6:$K$1005,MATCH($D554,RUNS!$A$6:$A$1005,0))="","",INDEX(RUNS!$K$6:$K$1005,MATCH($D554,RUNS!$A$6:$A$1005,0))),""))</f>
        <v/>
      </c>
      <c r="R554" s="34">
        <f>IF(OR($L554="",$K554=""),"",IFERROR(IF(INDEX(PARAMETRES!$H$43:$H$342,MATCH($L554&amp;"|"&amp;$M554&amp;"|"&amp;$N554&amp;"|"&amp;$O554&amp;"|"&amp;$P554&amp;"|"&amp;$Q554&amp;"|"&amp;$K554,PARAMETRES!$J$43:$J$342,0))="","",INDEX(PARAMETRES!$H$43:$H$342,MATCH($L554&amp;"|"&amp;$M554&amp;"|"&amp;$N554&amp;"|"&amp;$O554&amp;"|"&amp;$P554&amp;"|"&amp;$Q554&amp;"|"&amp;$K554,PARAMETRES!$J$43:$J$342,0))),""))</f>
        <v/>
      </c>
      <c r="S554" s="35">
        <f>IF(OR($G554="",$X554&lt;&gt;"VALIDE"),"",IFERROR(LOOKUP(2,1/(($B$3:$B553=$B554)*($G$3:$G553=$G554)*($X$3:$X553="VALIDE")),$C$3:$C553),""))</f>
        <v/>
      </c>
      <c r="T554" s="36">
        <f>IF(OR($C554="",$S554=""),"",ROUND(($C554-$S554+IF($C554&lt;$S554,1,0))*1440,0))</f>
        <v/>
      </c>
      <c r="U554" s="22">
        <f>IF(OR($H554="",$T554="",$T554&lt;=0),"",$H554*60/$T554)</f>
        <v/>
      </c>
      <c r="V554" s="37">
        <f>IF(OR($U554="",$R554="",$R554=0),"",$U554/$R554)</f>
        <v/>
      </c>
      <c r="W554" s="20">
        <f>IF($G554="","",IF($X554="CONTEXTE INCOMPLET","CONTEXTE INCOMPLET",IF($X554="DOUBLON",StatutDoublon,IF($S554="",StatutInitial,IF($R554="",StatutStandardManquant,IF($V554="","DONNEES INSUFFISANTES",IF($V554&gt;=SeuilConforme,StatutConforme,IF($V554&gt;=SeuilSurveiller,StatutSurveiller,StatutSousStandard))))))))</f>
        <v/>
      </c>
      <c r="X554" s="33">
        <f>IF($G554="","",IF(OR($D554="",$E554="",$F554=""),"CONTEXTE INCOMPLET",IF(COUNTIFS($D$3:$D553,$D554,$E$3:$E553,$E554,$F$3:$F553,$F554,$G$3:$G553,$G554)&gt;0,"DOUBLON","VALIDE")))</f>
        <v/>
      </c>
    </row>
    <row r="555" ht="15" customHeight="1">
      <c r="A555" s="12">
        <f>IF(OR($B555="",$G555=""),"",TEXT($B555,"YYYYMMDD")&amp;"-"&amp;SUBSTITUTE($E555," ","")&amp;"-"&amp;$F555&amp;"-"&amp;$G555)</f>
        <v/>
      </c>
      <c r="B555" s="15" t="n"/>
      <c r="C555" s="16" t="n"/>
      <c r="D555" s="10" t="n"/>
      <c r="E555" s="9" t="n"/>
      <c r="F555" s="9" t="n"/>
      <c r="G555" s="13" t="n"/>
      <c r="H555" s="21" t="n"/>
      <c r="I555" s="21" t="n"/>
      <c r="J555" s="17">
        <f>IF($G555="","",IFERROR(INDEX(NomsEmployes,MATCH($G555,MatriculesEmployes,0)),"MATRICULE INCONNU"))</f>
        <v/>
      </c>
      <c r="K555" s="33">
        <f>IF(OR($D555="",$F555=""),"",IFERROR(IF(INDEX(RUNS!$L$6:$S$1005,MATCH($D555,RUNS!$A$6:$A$1005,0),MATCH("ACTIVITÉ "&amp;$F555,RUNS!$L$5:$S$5,0))="","",INDEX(RUNS!$L$6:$S$1005,MATCH($D555,RUNS!$A$6:$A$1005,0),MATCH("ACTIVITÉ "&amp;$F555,RUNS!$L$5:$S$5,0))),""))</f>
        <v/>
      </c>
      <c r="L555" s="33">
        <f>IF($D555="","",IFERROR(IF(INDEX(RUNS!$E$6:$E$1005,MATCH($D555,RUNS!$A$6:$A$1005,0))="","",INDEX(RUNS!$E$6:$E$1005,MATCH($D555,RUNS!$A$6:$A$1005,0))),""))</f>
        <v/>
      </c>
      <c r="M555" s="33">
        <f>IF($D555="","",IFERROR(IF(INDEX(RUNS!$F$6:$F$1005,MATCH($D555,RUNS!$A$6:$A$1005,0))="","",INDEX(RUNS!$F$6:$F$1005,MATCH($D555,RUNS!$A$6:$A$1005,0))),""))</f>
        <v/>
      </c>
      <c r="N555" s="33">
        <f>IF($D555="","",IFERROR(IF(INDEX(RUNS!$G$6:$G$1005,MATCH($D555,RUNS!$A$6:$A$1005,0))="","",INDEX(RUNS!$G$6:$G$1005,MATCH($D555,RUNS!$A$6:$A$1005,0))),""))</f>
        <v/>
      </c>
      <c r="O555" s="33">
        <f>IF($D555="","",IFERROR(IF(INDEX(RUNS!$H$6:$H$1005,MATCH($D555,RUNS!$A$6:$A$1005,0))="","",INDEX(RUNS!$H$6:$H$1005,MATCH($D555,RUNS!$A$6:$A$1005,0))),""))</f>
        <v/>
      </c>
      <c r="P555" s="33">
        <f>IF($D555="","",IFERROR(IF(INDEX(RUNS!$J$6:$J$1005,MATCH($D555,RUNS!$A$6:$A$1005,0))="","",INDEX(RUNS!$J$6:$J$1005,MATCH($D555,RUNS!$A$6:$A$1005,0))),""))</f>
        <v/>
      </c>
      <c r="Q555" s="33">
        <f>IF($D555="","",IFERROR(IF(INDEX(RUNS!$K$6:$K$1005,MATCH($D555,RUNS!$A$6:$A$1005,0))="","",INDEX(RUNS!$K$6:$K$1005,MATCH($D555,RUNS!$A$6:$A$1005,0))),""))</f>
        <v/>
      </c>
      <c r="R555" s="34">
        <f>IF(OR($L555="",$K555=""),"",IFERROR(IF(INDEX(PARAMETRES!$H$43:$H$342,MATCH($L555&amp;"|"&amp;$M555&amp;"|"&amp;$N555&amp;"|"&amp;$O555&amp;"|"&amp;$P555&amp;"|"&amp;$Q555&amp;"|"&amp;$K555,PARAMETRES!$J$43:$J$342,0))="","",INDEX(PARAMETRES!$H$43:$H$342,MATCH($L555&amp;"|"&amp;$M555&amp;"|"&amp;$N555&amp;"|"&amp;$O555&amp;"|"&amp;$P555&amp;"|"&amp;$Q555&amp;"|"&amp;$K555,PARAMETRES!$J$43:$J$342,0))),""))</f>
        <v/>
      </c>
      <c r="S555" s="35">
        <f>IF(OR($G555="",$X555&lt;&gt;"VALIDE"),"",IFERROR(LOOKUP(2,1/(($B$3:$B554=$B555)*($G$3:$G554=$G555)*($X$3:$X554="VALIDE")),$C$3:$C554),""))</f>
        <v/>
      </c>
      <c r="T555" s="36">
        <f>IF(OR($C555="",$S555=""),"",ROUND(($C555-$S555+IF($C555&lt;$S555,1,0))*1440,0))</f>
        <v/>
      </c>
      <c r="U555" s="22">
        <f>IF(OR($H555="",$T555="",$T555&lt;=0),"",$H555*60/$T555)</f>
        <v/>
      </c>
      <c r="V555" s="37">
        <f>IF(OR($U555="",$R555="",$R555=0),"",$U555/$R555)</f>
        <v/>
      </c>
      <c r="W555" s="20">
        <f>IF($G555="","",IF($X555="CONTEXTE INCOMPLET","CONTEXTE INCOMPLET",IF($X555="DOUBLON",StatutDoublon,IF($S555="",StatutInitial,IF($R555="",StatutStandardManquant,IF($V555="","DONNEES INSUFFISANTES",IF($V555&gt;=SeuilConforme,StatutConforme,IF($V555&gt;=SeuilSurveiller,StatutSurveiller,StatutSousStandard))))))))</f>
        <v/>
      </c>
      <c r="X555" s="33">
        <f>IF($G555="","",IF(OR($D555="",$E555="",$F555=""),"CONTEXTE INCOMPLET",IF(COUNTIFS($D$3:$D554,$D555,$E$3:$E554,$E555,$F$3:$F554,$F555,$G$3:$G554,$G555)&gt;0,"DOUBLON","VALIDE")))</f>
        <v/>
      </c>
    </row>
    <row r="556" ht="15" customHeight="1">
      <c r="A556" s="12">
        <f>IF(OR($B556="",$G556=""),"",TEXT($B556,"YYYYMMDD")&amp;"-"&amp;SUBSTITUTE($E556," ","")&amp;"-"&amp;$F556&amp;"-"&amp;$G556)</f>
        <v/>
      </c>
      <c r="B556" s="15" t="n"/>
      <c r="C556" s="16" t="n"/>
      <c r="D556" s="10" t="n"/>
      <c r="E556" s="9" t="n"/>
      <c r="F556" s="9" t="n"/>
      <c r="G556" s="13" t="n"/>
      <c r="H556" s="21" t="n"/>
      <c r="I556" s="21" t="n"/>
      <c r="J556" s="17">
        <f>IF($G556="","",IFERROR(INDEX(NomsEmployes,MATCH($G556,MatriculesEmployes,0)),"MATRICULE INCONNU"))</f>
        <v/>
      </c>
      <c r="K556" s="33">
        <f>IF(OR($D556="",$F556=""),"",IFERROR(IF(INDEX(RUNS!$L$6:$S$1005,MATCH($D556,RUNS!$A$6:$A$1005,0),MATCH("ACTIVITÉ "&amp;$F556,RUNS!$L$5:$S$5,0))="","",INDEX(RUNS!$L$6:$S$1005,MATCH($D556,RUNS!$A$6:$A$1005,0),MATCH("ACTIVITÉ "&amp;$F556,RUNS!$L$5:$S$5,0))),""))</f>
        <v/>
      </c>
      <c r="L556" s="33">
        <f>IF($D556="","",IFERROR(IF(INDEX(RUNS!$E$6:$E$1005,MATCH($D556,RUNS!$A$6:$A$1005,0))="","",INDEX(RUNS!$E$6:$E$1005,MATCH($D556,RUNS!$A$6:$A$1005,0))),""))</f>
        <v/>
      </c>
      <c r="M556" s="33">
        <f>IF($D556="","",IFERROR(IF(INDEX(RUNS!$F$6:$F$1005,MATCH($D556,RUNS!$A$6:$A$1005,0))="","",INDEX(RUNS!$F$6:$F$1005,MATCH($D556,RUNS!$A$6:$A$1005,0))),""))</f>
        <v/>
      </c>
      <c r="N556" s="33">
        <f>IF($D556="","",IFERROR(IF(INDEX(RUNS!$G$6:$G$1005,MATCH($D556,RUNS!$A$6:$A$1005,0))="","",INDEX(RUNS!$G$6:$G$1005,MATCH($D556,RUNS!$A$6:$A$1005,0))),""))</f>
        <v/>
      </c>
      <c r="O556" s="33">
        <f>IF($D556="","",IFERROR(IF(INDEX(RUNS!$H$6:$H$1005,MATCH($D556,RUNS!$A$6:$A$1005,0))="","",INDEX(RUNS!$H$6:$H$1005,MATCH($D556,RUNS!$A$6:$A$1005,0))),""))</f>
        <v/>
      </c>
      <c r="P556" s="33">
        <f>IF($D556="","",IFERROR(IF(INDEX(RUNS!$J$6:$J$1005,MATCH($D556,RUNS!$A$6:$A$1005,0))="","",INDEX(RUNS!$J$6:$J$1005,MATCH($D556,RUNS!$A$6:$A$1005,0))),""))</f>
        <v/>
      </c>
      <c r="Q556" s="33">
        <f>IF($D556="","",IFERROR(IF(INDEX(RUNS!$K$6:$K$1005,MATCH($D556,RUNS!$A$6:$A$1005,0))="","",INDEX(RUNS!$K$6:$K$1005,MATCH($D556,RUNS!$A$6:$A$1005,0))),""))</f>
        <v/>
      </c>
      <c r="R556" s="34">
        <f>IF(OR($L556="",$K556=""),"",IFERROR(IF(INDEX(PARAMETRES!$H$43:$H$342,MATCH($L556&amp;"|"&amp;$M556&amp;"|"&amp;$N556&amp;"|"&amp;$O556&amp;"|"&amp;$P556&amp;"|"&amp;$Q556&amp;"|"&amp;$K556,PARAMETRES!$J$43:$J$342,0))="","",INDEX(PARAMETRES!$H$43:$H$342,MATCH($L556&amp;"|"&amp;$M556&amp;"|"&amp;$N556&amp;"|"&amp;$O556&amp;"|"&amp;$P556&amp;"|"&amp;$Q556&amp;"|"&amp;$K556,PARAMETRES!$J$43:$J$342,0))),""))</f>
        <v/>
      </c>
      <c r="S556" s="35">
        <f>IF(OR($G556="",$X556&lt;&gt;"VALIDE"),"",IFERROR(LOOKUP(2,1/(($B$3:$B555=$B556)*($G$3:$G555=$G556)*($X$3:$X555="VALIDE")),$C$3:$C555),""))</f>
        <v/>
      </c>
      <c r="T556" s="36">
        <f>IF(OR($C556="",$S556=""),"",ROUND(($C556-$S556+IF($C556&lt;$S556,1,0))*1440,0))</f>
        <v/>
      </c>
      <c r="U556" s="22">
        <f>IF(OR($H556="",$T556="",$T556&lt;=0),"",$H556*60/$T556)</f>
        <v/>
      </c>
      <c r="V556" s="37">
        <f>IF(OR($U556="",$R556="",$R556=0),"",$U556/$R556)</f>
        <v/>
      </c>
      <c r="W556" s="20">
        <f>IF($G556="","",IF($X556="CONTEXTE INCOMPLET","CONTEXTE INCOMPLET",IF($X556="DOUBLON",StatutDoublon,IF($S556="",StatutInitial,IF($R556="",StatutStandardManquant,IF($V556="","DONNEES INSUFFISANTES",IF($V556&gt;=SeuilConforme,StatutConforme,IF($V556&gt;=SeuilSurveiller,StatutSurveiller,StatutSousStandard))))))))</f>
        <v/>
      </c>
      <c r="X556" s="33">
        <f>IF($G556="","",IF(OR($D556="",$E556="",$F556=""),"CONTEXTE INCOMPLET",IF(COUNTIFS($D$3:$D555,$D556,$E$3:$E555,$E556,$F$3:$F555,$F556,$G$3:$G555,$G556)&gt;0,"DOUBLON","VALIDE")))</f>
        <v/>
      </c>
    </row>
    <row r="557" ht="15" customHeight="1">
      <c r="A557" s="12">
        <f>IF(OR($B557="",$G557=""),"",TEXT($B557,"YYYYMMDD")&amp;"-"&amp;SUBSTITUTE($E557," ","")&amp;"-"&amp;$F557&amp;"-"&amp;$G557)</f>
        <v/>
      </c>
      <c r="B557" s="15" t="n"/>
      <c r="C557" s="16" t="n"/>
      <c r="D557" s="10" t="n"/>
      <c r="E557" s="9" t="n"/>
      <c r="F557" s="9" t="n"/>
      <c r="G557" s="13" t="n"/>
      <c r="H557" s="21" t="n"/>
      <c r="I557" s="21" t="n"/>
      <c r="J557" s="17">
        <f>IF($G557="","",IFERROR(INDEX(NomsEmployes,MATCH($G557,MatriculesEmployes,0)),"MATRICULE INCONNU"))</f>
        <v/>
      </c>
      <c r="K557" s="33">
        <f>IF(OR($D557="",$F557=""),"",IFERROR(IF(INDEX(RUNS!$L$6:$S$1005,MATCH($D557,RUNS!$A$6:$A$1005,0),MATCH("ACTIVITÉ "&amp;$F557,RUNS!$L$5:$S$5,0))="","",INDEX(RUNS!$L$6:$S$1005,MATCH($D557,RUNS!$A$6:$A$1005,0),MATCH("ACTIVITÉ "&amp;$F557,RUNS!$L$5:$S$5,0))),""))</f>
        <v/>
      </c>
      <c r="L557" s="33">
        <f>IF($D557="","",IFERROR(IF(INDEX(RUNS!$E$6:$E$1005,MATCH($D557,RUNS!$A$6:$A$1005,0))="","",INDEX(RUNS!$E$6:$E$1005,MATCH($D557,RUNS!$A$6:$A$1005,0))),""))</f>
        <v/>
      </c>
      <c r="M557" s="33">
        <f>IF($D557="","",IFERROR(IF(INDEX(RUNS!$F$6:$F$1005,MATCH($D557,RUNS!$A$6:$A$1005,0))="","",INDEX(RUNS!$F$6:$F$1005,MATCH($D557,RUNS!$A$6:$A$1005,0))),""))</f>
        <v/>
      </c>
      <c r="N557" s="33">
        <f>IF($D557="","",IFERROR(IF(INDEX(RUNS!$G$6:$G$1005,MATCH($D557,RUNS!$A$6:$A$1005,0))="","",INDEX(RUNS!$G$6:$G$1005,MATCH($D557,RUNS!$A$6:$A$1005,0))),""))</f>
        <v/>
      </c>
      <c r="O557" s="33">
        <f>IF($D557="","",IFERROR(IF(INDEX(RUNS!$H$6:$H$1005,MATCH($D557,RUNS!$A$6:$A$1005,0))="","",INDEX(RUNS!$H$6:$H$1005,MATCH($D557,RUNS!$A$6:$A$1005,0))),""))</f>
        <v/>
      </c>
      <c r="P557" s="33">
        <f>IF($D557="","",IFERROR(IF(INDEX(RUNS!$J$6:$J$1005,MATCH($D557,RUNS!$A$6:$A$1005,0))="","",INDEX(RUNS!$J$6:$J$1005,MATCH($D557,RUNS!$A$6:$A$1005,0))),""))</f>
        <v/>
      </c>
      <c r="Q557" s="33">
        <f>IF($D557="","",IFERROR(IF(INDEX(RUNS!$K$6:$K$1005,MATCH($D557,RUNS!$A$6:$A$1005,0))="","",INDEX(RUNS!$K$6:$K$1005,MATCH($D557,RUNS!$A$6:$A$1005,0))),""))</f>
        <v/>
      </c>
      <c r="R557" s="34">
        <f>IF(OR($L557="",$K557=""),"",IFERROR(IF(INDEX(PARAMETRES!$H$43:$H$342,MATCH($L557&amp;"|"&amp;$M557&amp;"|"&amp;$N557&amp;"|"&amp;$O557&amp;"|"&amp;$P557&amp;"|"&amp;$Q557&amp;"|"&amp;$K557,PARAMETRES!$J$43:$J$342,0))="","",INDEX(PARAMETRES!$H$43:$H$342,MATCH($L557&amp;"|"&amp;$M557&amp;"|"&amp;$N557&amp;"|"&amp;$O557&amp;"|"&amp;$P557&amp;"|"&amp;$Q557&amp;"|"&amp;$K557,PARAMETRES!$J$43:$J$342,0))),""))</f>
        <v/>
      </c>
      <c r="S557" s="35">
        <f>IF(OR($G557="",$X557&lt;&gt;"VALIDE"),"",IFERROR(LOOKUP(2,1/(($B$3:$B556=$B557)*($G$3:$G556=$G557)*($X$3:$X556="VALIDE")),$C$3:$C556),""))</f>
        <v/>
      </c>
      <c r="T557" s="36">
        <f>IF(OR($C557="",$S557=""),"",ROUND(($C557-$S557+IF($C557&lt;$S557,1,0))*1440,0))</f>
        <v/>
      </c>
      <c r="U557" s="22">
        <f>IF(OR($H557="",$T557="",$T557&lt;=0),"",$H557*60/$T557)</f>
        <v/>
      </c>
      <c r="V557" s="37">
        <f>IF(OR($U557="",$R557="",$R557=0),"",$U557/$R557)</f>
        <v/>
      </c>
      <c r="W557" s="20">
        <f>IF($G557="","",IF($X557="CONTEXTE INCOMPLET","CONTEXTE INCOMPLET",IF($X557="DOUBLON",StatutDoublon,IF($S557="",StatutInitial,IF($R557="",StatutStandardManquant,IF($V557="","DONNEES INSUFFISANTES",IF($V557&gt;=SeuilConforme,StatutConforme,IF($V557&gt;=SeuilSurveiller,StatutSurveiller,StatutSousStandard))))))))</f>
        <v/>
      </c>
      <c r="X557" s="33">
        <f>IF($G557="","",IF(OR($D557="",$E557="",$F557=""),"CONTEXTE INCOMPLET",IF(COUNTIFS($D$3:$D556,$D557,$E$3:$E556,$E557,$F$3:$F556,$F557,$G$3:$G556,$G557)&gt;0,"DOUBLON","VALIDE")))</f>
        <v/>
      </c>
    </row>
    <row r="558" ht="15" customHeight="1">
      <c r="A558" s="12">
        <f>IF(OR($B558="",$G558=""),"",TEXT($B558,"YYYYMMDD")&amp;"-"&amp;SUBSTITUTE($E558," ","")&amp;"-"&amp;$F558&amp;"-"&amp;$G558)</f>
        <v/>
      </c>
      <c r="B558" s="15" t="n"/>
      <c r="C558" s="16" t="n"/>
      <c r="D558" s="10" t="n"/>
      <c r="E558" s="9" t="n"/>
      <c r="F558" s="9" t="n"/>
      <c r="G558" s="13" t="n"/>
      <c r="H558" s="21" t="n"/>
      <c r="I558" s="21" t="n"/>
      <c r="J558" s="17">
        <f>IF($G558="","",IFERROR(INDEX(NomsEmployes,MATCH($G558,MatriculesEmployes,0)),"MATRICULE INCONNU"))</f>
        <v/>
      </c>
      <c r="K558" s="33">
        <f>IF(OR($D558="",$F558=""),"",IFERROR(IF(INDEX(RUNS!$L$6:$S$1005,MATCH($D558,RUNS!$A$6:$A$1005,0),MATCH("ACTIVITÉ "&amp;$F558,RUNS!$L$5:$S$5,0))="","",INDEX(RUNS!$L$6:$S$1005,MATCH($D558,RUNS!$A$6:$A$1005,0),MATCH("ACTIVITÉ "&amp;$F558,RUNS!$L$5:$S$5,0))),""))</f>
        <v/>
      </c>
      <c r="L558" s="33">
        <f>IF($D558="","",IFERROR(IF(INDEX(RUNS!$E$6:$E$1005,MATCH($D558,RUNS!$A$6:$A$1005,0))="","",INDEX(RUNS!$E$6:$E$1005,MATCH($D558,RUNS!$A$6:$A$1005,0))),""))</f>
        <v/>
      </c>
      <c r="M558" s="33">
        <f>IF($D558="","",IFERROR(IF(INDEX(RUNS!$F$6:$F$1005,MATCH($D558,RUNS!$A$6:$A$1005,0))="","",INDEX(RUNS!$F$6:$F$1005,MATCH($D558,RUNS!$A$6:$A$1005,0))),""))</f>
        <v/>
      </c>
      <c r="N558" s="33">
        <f>IF($D558="","",IFERROR(IF(INDEX(RUNS!$G$6:$G$1005,MATCH($D558,RUNS!$A$6:$A$1005,0))="","",INDEX(RUNS!$G$6:$G$1005,MATCH($D558,RUNS!$A$6:$A$1005,0))),""))</f>
        <v/>
      </c>
      <c r="O558" s="33">
        <f>IF($D558="","",IFERROR(IF(INDEX(RUNS!$H$6:$H$1005,MATCH($D558,RUNS!$A$6:$A$1005,0))="","",INDEX(RUNS!$H$6:$H$1005,MATCH($D558,RUNS!$A$6:$A$1005,0))),""))</f>
        <v/>
      </c>
      <c r="P558" s="33">
        <f>IF($D558="","",IFERROR(IF(INDEX(RUNS!$J$6:$J$1005,MATCH($D558,RUNS!$A$6:$A$1005,0))="","",INDEX(RUNS!$J$6:$J$1005,MATCH($D558,RUNS!$A$6:$A$1005,0))),""))</f>
        <v/>
      </c>
      <c r="Q558" s="33">
        <f>IF($D558="","",IFERROR(IF(INDEX(RUNS!$K$6:$K$1005,MATCH($D558,RUNS!$A$6:$A$1005,0))="","",INDEX(RUNS!$K$6:$K$1005,MATCH($D558,RUNS!$A$6:$A$1005,0))),""))</f>
        <v/>
      </c>
      <c r="R558" s="34">
        <f>IF(OR($L558="",$K558=""),"",IFERROR(IF(INDEX(PARAMETRES!$H$43:$H$342,MATCH($L558&amp;"|"&amp;$M558&amp;"|"&amp;$N558&amp;"|"&amp;$O558&amp;"|"&amp;$P558&amp;"|"&amp;$Q558&amp;"|"&amp;$K558,PARAMETRES!$J$43:$J$342,0))="","",INDEX(PARAMETRES!$H$43:$H$342,MATCH($L558&amp;"|"&amp;$M558&amp;"|"&amp;$N558&amp;"|"&amp;$O558&amp;"|"&amp;$P558&amp;"|"&amp;$Q558&amp;"|"&amp;$K558,PARAMETRES!$J$43:$J$342,0))),""))</f>
        <v/>
      </c>
      <c r="S558" s="35">
        <f>IF(OR($G558="",$X558&lt;&gt;"VALIDE"),"",IFERROR(LOOKUP(2,1/(($B$3:$B557=$B558)*($G$3:$G557=$G558)*($X$3:$X557="VALIDE")),$C$3:$C557),""))</f>
        <v/>
      </c>
      <c r="T558" s="36">
        <f>IF(OR($C558="",$S558=""),"",ROUND(($C558-$S558+IF($C558&lt;$S558,1,0))*1440,0))</f>
        <v/>
      </c>
      <c r="U558" s="22">
        <f>IF(OR($H558="",$T558="",$T558&lt;=0),"",$H558*60/$T558)</f>
        <v/>
      </c>
      <c r="V558" s="37">
        <f>IF(OR($U558="",$R558="",$R558=0),"",$U558/$R558)</f>
        <v/>
      </c>
      <c r="W558" s="20">
        <f>IF($G558="","",IF($X558="CONTEXTE INCOMPLET","CONTEXTE INCOMPLET",IF($X558="DOUBLON",StatutDoublon,IF($S558="",StatutInitial,IF($R558="",StatutStandardManquant,IF($V558="","DONNEES INSUFFISANTES",IF($V558&gt;=SeuilConforme,StatutConforme,IF($V558&gt;=SeuilSurveiller,StatutSurveiller,StatutSousStandard))))))))</f>
        <v/>
      </c>
      <c r="X558" s="33">
        <f>IF($G558="","",IF(OR($D558="",$E558="",$F558=""),"CONTEXTE INCOMPLET",IF(COUNTIFS($D$3:$D557,$D558,$E$3:$E557,$E558,$F$3:$F557,$F558,$G$3:$G557,$G558)&gt;0,"DOUBLON","VALIDE")))</f>
        <v/>
      </c>
    </row>
    <row r="559" ht="15" customHeight="1">
      <c r="A559" s="12">
        <f>IF(OR($B559="",$G559=""),"",TEXT($B559,"YYYYMMDD")&amp;"-"&amp;SUBSTITUTE($E559," ","")&amp;"-"&amp;$F559&amp;"-"&amp;$G559)</f>
        <v/>
      </c>
      <c r="B559" s="15" t="n"/>
      <c r="C559" s="16" t="n"/>
      <c r="D559" s="10" t="n"/>
      <c r="E559" s="9" t="n"/>
      <c r="F559" s="9" t="n"/>
      <c r="G559" s="13" t="n"/>
      <c r="H559" s="21" t="n"/>
      <c r="I559" s="21" t="n"/>
      <c r="J559" s="17">
        <f>IF($G559="","",IFERROR(INDEX(NomsEmployes,MATCH($G559,MatriculesEmployes,0)),"MATRICULE INCONNU"))</f>
        <v/>
      </c>
      <c r="K559" s="33">
        <f>IF(OR($D559="",$F559=""),"",IFERROR(IF(INDEX(RUNS!$L$6:$S$1005,MATCH($D559,RUNS!$A$6:$A$1005,0),MATCH("ACTIVITÉ "&amp;$F559,RUNS!$L$5:$S$5,0))="","",INDEX(RUNS!$L$6:$S$1005,MATCH($D559,RUNS!$A$6:$A$1005,0),MATCH("ACTIVITÉ "&amp;$F559,RUNS!$L$5:$S$5,0))),""))</f>
        <v/>
      </c>
      <c r="L559" s="33">
        <f>IF($D559="","",IFERROR(IF(INDEX(RUNS!$E$6:$E$1005,MATCH($D559,RUNS!$A$6:$A$1005,0))="","",INDEX(RUNS!$E$6:$E$1005,MATCH($D559,RUNS!$A$6:$A$1005,0))),""))</f>
        <v/>
      </c>
      <c r="M559" s="33">
        <f>IF($D559="","",IFERROR(IF(INDEX(RUNS!$F$6:$F$1005,MATCH($D559,RUNS!$A$6:$A$1005,0))="","",INDEX(RUNS!$F$6:$F$1005,MATCH($D559,RUNS!$A$6:$A$1005,0))),""))</f>
        <v/>
      </c>
      <c r="N559" s="33">
        <f>IF($D559="","",IFERROR(IF(INDEX(RUNS!$G$6:$G$1005,MATCH($D559,RUNS!$A$6:$A$1005,0))="","",INDEX(RUNS!$G$6:$G$1005,MATCH($D559,RUNS!$A$6:$A$1005,0))),""))</f>
        <v/>
      </c>
      <c r="O559" s="33">
        <f>IF($D559="","",IFERROR(IF(INDEX(RUNS!$H$6:$H$1005,MATCH($D559,RUNS!$A$6:$A$1005,0))="","",INDEX(RUNS!$H$6:$H$1005,MATCH($D559,RUNS!$A$6:$A$1005,0))),""))</f>
        <v/>
      </c>
      <c r="P559" s="33">
        <f>IF($D559="","",IFERROR(IF(INDEX(RUNS!$J$6:$J$1005,MATCH($D559,RUNS!$A$6:$A$1005,0))="","",INDEX(RUNS!$J$6:$J$1005,MATCH($D559,RUNS!$A$6:$A$1005,0))),""))</f>
        <v/>
      </c>
      <c r="Q559" s="33">
        <f>IF($D559="","",IFERROR(IF(INDEX(RUNS!$K$6:$K$1005,MATCH($D559,RUNS!$A$6:$A$1005,0))="","",INDEX(RUNS!$K$6:$K$1005,MATCH($D559,RUNS!$A$6:$A$1005,0))),""))</f>
        <v/>
      </c>
      <c r="R559" s="34">
        <f>IF(OR($L559="",$K559=""),"",IFERROR(IF(INDEX(PARAMETRES!$H$43:$H$342,MATCH($L559&amp;"|"&amp;$M559&amp;"|"&amp;$N559&amp;"|"&amp;$O559&amp;"|"&amp;$P559&amp;"|"&amp;$Q559&amp;"|"&amp;$K559,PARAMETRES!$J$43:$J$342,0))="","",INDEX(PARAMETRES!$H$43:$H$342,MATCH($L559&amp;"|"&amp;$M559&amp;"|"&amp;$N559&amp;"|"&amp;$O559&amp;"|"&amp;$P559&amp;"|"&amp;$Q559&amp;"|"&amp;$K559,PARAMETRES!$J$43:$J$342,0))),""))</f>
        <v/>
      </c>
      <c r="S559" s="35">
        <f>IF(OR($G559="",$X559&lt;&gt;"VALIDE"),"",IFERROR(LOOKUP(2,1/(($B$3:$B558=$B559)*($G$3:$G558=$G559)*($X$3:$X558="VALIDE")),$C$3:$C558),""))</f>
        <v/>
      </c>
      <c r="T559" s="36">
        <f>IF(OR($C559="",$S559=""),"",ROUND(($C559-$S559+IF($C559&lt;$S559,1,0))*1440,0))</f>
        <v/>
      </c>
      <c r="U559" s="22">
        <f>IF(OR($H559="",$T559="",$T559&lt;=0),"",$H559*60/$T559)</f>
        <v/>
      </c>
      <c r="V559" s="37">
        <f>IF(OR($U559="",$R559="",$R559=0),"",$U559/$R559)</f>
        <v/>
      </c>
      <c r="W559" s="20">
        <f>IF($G559="","",IF($X559="CONTEXTE INCOMPLET","CONTEXTE INCOMPLET",IF($X559="DOUBLON",StatutDoublon,IF($S559="",StatutInitial,IF($R559="",StatutStandardManquant,IF($V559="","DONNEES INSUFFISANTES",IF($V559&gt;=SeuilConforme,StatutConforme,IF($V559&gt;=SeuilSurveiller,StatutSurveiller,StatutSousStandard))))))))</f>
        <v/>
      </c>
      <c r="X559" s="33">
        <f>IF($G559="","",IF(OR($D559="",$E559="",$F559=""),"CONTEXTE INCOMPLET",IF(COUNTIFS($D$3:$D558,$D559,$E$3:$E558,$E559,$F$3:$F558,$F559,$G$3:$G558,$G559)&gt;0,"DOUBLON","VALIDE")))</f>
        <v/>
      </c>
    </row>
    <row r="560" ht="15" customHeight="1">
      <c r="A560" s="12">
        <f>IF(OR($B560="",$G560=""),"",TEXT($B560,"YYYYMMDD")&amp;"-"&amp;SUBSTITUTE($E560," ","")&amp;"-"&amp;$F560&amp;"-"&amp;$G560)</f>
        <v/>
      </c>
      <c r="B560" s="15" t="n"/>
      <c r="C560" s="16" t="n"/>
      <c r="D560" s="10" t="n"/>
      <c r="E560" s="9" t="n"/>
      <c r="F560" s="9" t="n"/>
      <c r="G560" s="13" t="n"/>
      <c r="H560" s="21" t="n"/>
      <c r="I560" s="21" t="n"/>
      <c r="J560" s="17">
        <f>IF($G560="","",IFERROR(INDEX(NomsEmployes,MATCH($G560,MatriculesEmployes,0)),"MATRICULE INCONNU"))</f>
        <v/>
      </c>
      <c r="K560" s="33">
        <f>IF(OR($D560="",$F560=""),"",IFERROR(IF(INDEX(RUNS!$L$6:$S$1005,MATCH($D560,RUNS!$A$6:$A$1005,0),MATCH("ACTIVITÉ "&amp;$F560,RUNS!$L$5:$S$5,0))="","",INDEX(RUNS!$L$6:$S$1005,MATCH($D560,RUNS!$A$6:$A$1005,0),MATCH("ACTIVITÉ "&amp;$F560,RUNS!$L$5:$S$5,0))),""))</f>
        <v/>
      </c>
      <c r="L560" s="33">
        <f>IF($D560="","",IFERROR(IF(INDEX(RUNS!$E$6:$E$1005,MATCH($D560,RUNS!$A$6:$A$1005,0))="","",INDEX(RUNS!$E$6:$E$1005,MATCH($D560,RUNS!$A$6:$A$1005,0))),""))</f>
        <v/>
      </c>
      <c r="M560" s="33">
        <f>IF($D560="","",IFERROR(IF(INDEX(RUNS!$F$6:$F$1005,MATCH($D560,RUNS!$A$6:$A$1005,0))="","",INDEX(RUNS!$F$6:$F$1005,MATCH($D560,RUNS!$A$6:$A$1005,0))),""))</f>
        <v/>
      </c>
      <c r="N560" s="33">
        <f>IF($D560="","",IFERROR(IF(INDEX(RUNS!$G$6:$G$1005,MATCH($D560,RUNS!$A$6:$A$1005,0))="","",INDEX(RUNS!$G$6:$G$1005,MATCH($D560,RUNS!$A$6:$A$1005,0))),""))</f>
        <v/>
      </c>
      <c r="O560" s="33">
        <f>IF($D560="","",IFERROR(IF(INDEX(RUNS!$H$6:$H$1005,MATCH($D560,RUNS!$A$6:$A$1005,0))="","",INDEX(RUNS!$H$6:$H$1005,MATCH($D560,RUNS!$A$6:$A$1005,0))),""))</f>
        <v/>
      </c>
      <c r="P560" s="33">
        <f>IF($D560="","",IFERROR(IF(INDEX(RUNS!$J$6:$J$1005,MATCH($D560,RUNS!$A$6:$A$1005,0))="","",INDEX(RUNS!$J$6:$J$1005,MATCH($D560,RUNS!$A$6:$A$1005,0))),""))</f>
        <v/>
      </c>
      <c r="Q560" s="33">
        <f>IF($D560="","",IFERROR(IF(INDEX(RUNS!$K$6:$K$1005,MATCH($D560,RUNS!$A$6:$A$1005,0))="","",INDEX(RUNS!$K$6:$K$1005,MATCH($D560,RUNS!$A$6:$A$1005,0))),""))</f>
        <v/>
      </c>
      <c r="R560" s="34">
        <f>IF(OR($L560="",$K560=""),"",IFERROR(IF(INDEX(PARAMETRES!$H$43:$H$342,MATCH($L560&amp;"|"&amp;$M560&amp;"|"&amp;$N560&amp;"|"&amp;$O560&amp;"|"&amp;$P560&amp;"|"&amp;$Q560&amp;"|"&amp;$K560,PARAMETRES!$J$43:$J$342,0))="","",INDEX(PARAMETRES!$H$43:$H$342,MATCH($L560&amp;"|"&amp;$M560&amp;"|"&amp;$N560&amp;"|"&amp;$O560&amp;"|"&amp;$P560&amp;"|"&amp;$Q560&amp;"|"&amp;$K560,PARAMETRES!$J$43:$J$342,0))),""))</f>
        <v/>
      </c>
      <c r="S560" s="35">
        <f>IF(OR($G560="",$X560&lt;&gt;"VALIDE"),"",IFERROR(LOOKUP(2,1/(($B$3:$B559=$B560)*($G$3:$G559=$G560)*($X$3:$X559="VALIDE")),$C$3:$C559),""))</f>
        <v/>
      </c>
      <c r="T560" s="36">
        <f>IF(OR($C560="",$S560=""),"",ROUND(($C560-$S560+IF($C560&lt;$S560,1,0))*1440,0))</f>
        <v/>
      </c>
      <c r="U560" s="22">
        <f>IF(OR($H560="",$T560="",$T560&lt;=0),"",$H560*60/$T560)</f>
        <v/>
      </c>
      <c r="V560" s="37">
        <f>IF(OR($U560="",$R560="",$R560=0),"",$U560/$R560)</f>
        <v/>
      </c>
      <c r="W560" s="20">
        <f>IF($G560="","",IF($X560="CONTEXTE INCOMPLET","CONTEXTE INCOMPLET",IF($X560="DOUBLON",StatutDoublon,IF($S560="",StatutInitial,IF($R560="",StatutStandardManquant,IF($V560="","DONNEES INSUFFISANTES",IF($V560&gt;=SeuilConforme,StatutConforme,IF($V560&gt;=SeuilSurveiller,StatutSurveiller,StatutSousStandard))))))))</f>
        <v/>
      </c>
      <c r="X560" s="33">
        <f>IF($G560="","",IF(OR($D560="",$E560="",$F560=""),"CONTEXTE INCOMPLET",IF(COUNTIFS($D$3:$D559,$D560,$E$3:$E559,$E560,$F$3:$F559,$F560,$G$3:$G559,$G560)&gt;0,"DOUBLON","VALIDE")))</f>
        <v/>
      </c>
    </row>
    <row r="561" ht="15" customHeight="1">
      <c r="A561" s="12">
        <f>IF(OR($B561="",$G561=""),"",TEXT($B561,"YYYYMMDD")&amp;"-"&amp;SUBSTITUTE($E561," ","")&amp;"-"&amp;$F561&amp;"-"&amp;$G561)</f>
        <v/>
      </c>
      <c r="B561" s="15" t="n"/>
      <c r="C561" s="16" t="n"/>
      <c r="D561" s="10" t="n"/>
      <c r="E561" s="9" t="n"/>
      <c r="F561" s="9" t="n"/>
      <c r="G561" s="13" t="n"/>
      <c r="H561" s="21" t="n"/>
      <c r="I561" s="21" t="n"/>
      <c r="J561" s="17">
        <f>IF($G561="","",IFERROR(INDEX(NomsEmployes,MATCH($G561,MatriculesEmployes,0)),"MATRICULE INCONNU"))</f>
        <v/>
      </c>
      <c r="K561" s="33">
        <f>IF(OR($D561="",$F561=""),"",IFERROR(IF(INDEX(RUNS!$L$6:$S$1005,MATCH($D561,RUNS!$A$6:$A$1005,0),MATCH("ACTIVITÉ "&amp;$F561,RUNS!$L$5:$S$5,0))="","",INDEX(RUNS!$L$6:$S$1005,MATCH($D561,RUNS!$A$6:$A$1005,0),MATCH("ACTIVITÉ "&amp;$F561,RUNS!$L$5:$S$5,0))),""))</f>
        <v/>
      </c>
      <c r="L561" s="33">
        <f>IF($D561="","",IFERROR(IF(INDEX(RUNS!$E$6:$E$1005,MATCH($D561,RUNS!$A$6:$A$1005,0))="","",INDEX(RUNS!$E$6:$E$1005,MATCH($D561,RUNS!$A$6:$A$1005,0))),""))</f>
        <v/>
      </c>
      <c r="M561" s="33">
        <f>IF($D561="","",IFERROR(IF(INDEX(RUNS!$F$6:$F$1005,MATCH($D561,RUNS!$A$6:$A$1005,0))="","",INDEX(RUNS!$F$6:$F$1005,MATCH($D561,RUNS!$A$6:$A$1005,0))),""))</f>
        <v/>
      </c>
      <c r="N561" s="33">
        <f>IF($D561="","",IFERROR(IF(INDEX(RUNS!$G$6:$G$1005,MATCH($D561,RUNS!$A$6:$A$1005,0))="","",INDEX(RUNS!$G$6:$G$1005,MATCH($D561,RUNS!$A$6:$A$1005,0))),""))</f>
        <v/>
      </c>
      <c r="O561" s="33">
        <f>IF($D561="","",IFERROR(IF(INDEX(RUNS!$H$6:$H$1005,MATCH($D561,RUNS!$A$6:$A$1005,0))="","",INDEX(RUNS!$H$6:$H$1005,MATCH($D561,RUNS!$A$6:$A$1005,0))),""))</f>
        <v/>
      </c>
      <c r="P561" s="33">
        <f>IF($D561="","",IFERROR(IF(INDEX(RUNS!$J$6:$J$1005,MATCH($D561,RUNS!$A$6:$A$1005,0))="","",INDEX(RUNS!$J$6:$J$1005,MATCH($D561,RUNS!$A$6:$A$1005,0))),""))</f>
        <v/>
      </c>
      <c r="Q561" s="33">
        <f>IF($D561="","",IFERROR(IF(INDEX(RUNS!$K$6:$K$1005,MATCH($D561,RUNS!$A$6:$A$1005,0))="","",INDEX(RUNS!$K$6:$K$1005,MATCH($D561,RUNS!$A$6:$A$1005,0))),""))</f>
        <v/>
      </c>
      <c r="R561" s="34">
        <f>IF(OR($L561="",$K561=""),"",IFERROR(IF(INDEX(PARAMETRES!$H$43:$H$342,MATCH($L561&amp;"|"&amp;$M561&amp;"|"&amp;$N561&amp;"|"&amp;$O561&amp;"|"&amp;$P561&amp;"|"&amp;$Q561&amp;"|"&amp;$K561,PARAMETRES!$J$43:$J$342,0))="","",INDEX(PARAMETRES!$H$43:$H$342,MATCH($L561&amp;"|"&amp;$M561&amp;"|"&amp;$N561&amp;"|"&amp;$O561&amp;"|"&amp;$P561&amp;"|"&amp;$Q561&amp;"|"&amp;$K561,PARAMETRES!$J$43:$J$342,0))),""))</f>
        <v/>
      </c>
      <c r="S561" s="35">
        <f>IF(OR($G561="",$X561&lt;&gt;"VALIDE"),"",IFERROR(LOOKUP(2,1/(($B$3:$B560=$B561)*($G$3:$G560=$G561)*($X$3:$X560="VALIDE")),$C$3:$C560),""))</f>
        <v/>
      </c>
      <c r="T561" s="36">
        <f>IF(OR($C561="",$S561=""),"",ROUND(($C561-$S561+IF($C561&lt;$S561,1,0))*1440,0))</f>
        <v/>
      </c>
      <c r="U561" s="22">
        <f>IF(OR($H561="",$T561="",$T561&lt;=0),"",$H561*60/$T561)</f>
        <v/>
      </c>
      <c r="V561" s="37">
        <f>IF(OR($U561="",$R561="",$R561=0),"",$U561/$R561)</f>
        <v/>
      </c>
      <c r="W561" s="20">
        <f>IF($G561="","",IF($X561="CONTEXTE INCOMPLET","CONTEXTE INCOMPLET",IF($X561="DOUBLON",StatutDoublon,IF($S561="",StatutInitial,IF($R561="",StatutStandardManquant,IF($V561="","DONNEES INSUFFISANTES",IF($V561&gt;=SeuilConforme,StatutConforme,IF($V561&gt;=SeuilSurveiller,StatutSurveiller,StatutSousStandard))))))))</f>
        <v/>
      </c>
      <c r="X561" s="33">
        <f>IF($G561="","",IF(OR($D561="",$E561="",$F561=""),"CONTEXTE INCOMPLET",IF(COUNTIFS($D$3:$D560,$D561,$E$3:$E560,$E561,$F$3:$F560,$F561,$G$3:$G560,$G561)&gt;0,"DOUBLON","VALIDE")))</f>
        <v/>
      </c>
    </row>
    <row r="562" ht="15" customHeight="1">
      <c r="A562" s="12">
        <f>IF(OR($B562="",$G562=""),"",TEXT($B562,"YYYYMMDD")&amp;"-"&amp;SUBSTITUTE($E562," ","")&amp;"-"&amp;$F562&amp;"-"&amp;$G562)</f>
        <v/>
      </c>
      <c r="B562" s="15" t="n"/>
      <c r="C562" s="16" t="n"/>
      <c r="D562" s="10" t="n"/>
      <c r="E562" s="9" t="n"/>
      <c r="F562" s="9" t="n"/>
      <c r="G562" s="13" t="n"/>
      <c r="H562" s="21" t="n"/>
      <c r="I562" s="21" t="n"/>
      <c r="J562" s="17">
        <f>IF($G562="","",IFERROR(INDEX(NomsEmployes,MATCH($G562,MatriculesEmployes,0)),"MATRICULE INCONNU"))</f>
        <v/>
      </c>
      <c r="K562" s="33">
        <f>IF(OR($D562="",$F562=""),"",IFERROR(IF(INDEX(RUNS!$L$6:$S$1005,MATCH($D562,RUNS!$A$6:$A$1005,0),MATCH("ACTIVITÉ "&amp;$F562,RUNS!$L$5:$S$5,0))="","",INDEX(RUNS!$L$6:$S$1005,MATCH($D562,RUNS!$A$6:$A$1005,0),MATCH("ACTIVITÉ "&amp;$F562,RUNS!$L$5:$S$5,0))),""))</f>
        <v/>
      </c>
      <c r="L562" s="33">
        <f>IF($D562="","",IFERROR(IF(INDEX(RUNS!$E$6:$E$1005,MATCH($D562,RUNS!$A$6:$A$1005,0))="","",INDEX(RUNS!$E$6:$E$1005,MATCH($D562,RUNS!$A$6:$A$1005,0))),""))</f>
        <v/>
      </c>
      <c r="M562" s="33">
        <f>IF($D562="","",IFERROR(IF(INDEX(RUNS!$F$6:$F$1005,MATCH($D562,RUNS!$A$6:$A$1005,0))="","",INDEX(RUNS!$F$6:$F$1005,MATCH($D562,RUNS!$A$6:$A$1005,0))),""))</f>
        <v/>
      </c>
      <c r="N562" s="33">
        <f>IF($D562="","",IFERROR(IF(INDEX(RUNS!$G$6:$G$1005,MATCH($D562,RUNS!$A$6:$A$1005,0))="","",INDEX(RUNS!$G$6:$G$1005,MATCH($D562,RUNS!$A$6:$A$1005,0))),""))</f>
        <v/>
      </c>
      <c r="O562" s="33">
        <f>IF($D562="","",IFERROR(IF(INDEX(RUNS!$H$6:$H$1005,MATCH($D562,RUNS!$A$6:$A$1005,0))="","",INDEX(RUNS!$H$6:$H$1005,MATCH($D562,RUNS!$A$6:$A$1005,0))),""))</f>
        <v/>
      </c>
      <c r="P562" s="33">
        <f>IF($D562="","",IFERROR(IF(INDEX(RUNS!$J$6:$J$1005,MATCH($D562,RUNS!$A$6:$A$1005,0))="","",INDEX(RUNS!$J$6:$J$1005,MATCH($D562,RUNS!$A$6:$A$1005,0))),""))</f>
        <v/>
      </c>
      <c r="Q562" s="33">
        <f>IF($D562="","",IFERROR(IF(INDEX(RUNS!$K$6:$K$1005,MATCH($D562,RUNS!$A$6:$A$1005,0))="","",INDEX(RUNS!$K$6:$K$1005,MATCH($D562,RUNS!$A$6:$A$1005,0))),""))</f>
        <v/>
      </c>
      <c r="R562" s="34">
        <f>IF(OR($L562="",$K562=""),"",IFERROR(IF(INDEX(PARAMETRES!$H$43:$H$342,MATCH($L562&amp;"|"&amp;$M562&amp;"|"&amp;$N562&amp;"|"&amp;$O562&amp;"|"&amp;$P562&amp;"|"&amp;$Q562&amp;"|"&amp;$K562,PARAMETRES!$J$43:$J$342,0))="","",INDEX(PARAMETRES!$H$43:$H$342,MATCH($L562&amp;"|"&amp;$M562&amp;"|"&amp;$N562&amp;"|"&amp;$O562&amp;"|"&amp;$P562&amp;"|"&amp;$Q562&amp;"|"&amp;$K562,PARAMETRES!$J$43:$J$342,0))),""))</f>
        <v/>
      </c>
      <c r="S562" s="35">
        <f>IF(OR($G562="",$X562&lt;&gt;"VALIDE"),"",IFERROR(LOOKUP(2,1/(($B$3:$B561=$B562)*($G$3:$G561=$G562)*($X$3:$X561="VALIDE")),$C$3:$C561),""))</f>
        <v/>
      </c>
      <c r="T562" s="36">
        <f>IF(OR($C562="",$S562=""),"",ROUND(($C562-$S562+IF($C562&lt;$S562,1,0))*1440,0))</f>
        <v/>
      </c>
      <c r="U562" s="22">
        <f>IF(OR($H562="",$T562="",$T562&lt;=0),"",$H562*60/$T562)</f>
        <v/>
      </c>
      <c r="V562" s="37">
        <f>IF(OR($U562="",$R562="",$R562=0),"",$U562/$R562)</f>
        <v/>
      </c>
      <c r="W562" s="20">
        <f>IF($G562="","",IF($X562="CONTEXTE INCOMPLET","CONTEXTE INCOMPLET",IF($X562="DOUBLON",StatutDoublon,IF($S562="",StatutInitial,IF($R562="",StatutStandardManquant,IF($V562="","DONNEES INSUFFISANTES",IF($V562&gt;=SeuilConforme,StatutConforme,IF($V562&gt;=SeuilSurveiller,StatutSurveiller,StatutSousStandard))))))))</f>
        <v/>
      </c>
      <c r="X562" s="33">
        <f>IF($G562="","",IF(OR($D562="",$E562="",$F562=""),"CONTEXTE INCOMPLET",IF(COUNTIFS($D$3:$D561,$D562,$E$3:$E561,$E562,$F$3:$F561,$F562,$G$3:$G561,$G562)&gt;0,"DOUBLON","VALIDE")))</f>
        <v/>
      </c>
    </row>
    <row r="563" ht="15" customHeight="1">
      <c r="A563" s="12">
        <f>IF(OR($B563="",$G563=""),"",TEXT($B563,"YYYYMMDD")&amp;"-"&amp;SUBSTITUTE($E563," ","")&amp;"-"&amp;$F563&amp;"-"&amp;$G563)</f>
        <v/>
      </c>
      <c r="B563" s="15" t="n"/>
      <c r="C563" s="16" t="n"/>
      <c r="D563" s="10" t="n"/>
      <c r="E563" s="9" t="n"/>
      <c r="F563" s="9" t="n"/>
      <c r="G563" s="13" t="n"/>
      <c r="H563" s="21" t="n"/>
      <c r="I563" s="21" t="n"/>
      <c r="J563" s="17">
        <f>IF($G563="","",IFERROR(INDEX(NomsEmployes,MATCH($G563,MatriculesEmployes,0)),"MATRICULE INCONNU"))</f>
        <v/>
      </c>
      <c r="K563" s="33">
        <f>IF(OR($D563="",$F563=""),"",IFERROR(IF(INDEX(RUNS!$L$6:$S$1005,MATCH($D563,RUNS!$A$6:$A$1005,0),MATCH("ACTIVITÉ "&amp;$F563,RUNS!$L$5:$S$5,0))="","",INDEX(RUNS!$L$6:$S$1005,MATCH($D563,RUNS!$A$6:$A$1005,0),MATCH("ACTIVITÉ "&amp;$F563,RUNS!$L$5:$S$5,0))),""))</f>
        <v/>
      </c>
      <c r="L563" s="33">
        <f>IF($D563="","",IFERROR(IF(INDEX(RUNS!$E$6:$E$1005,MATCH($D563,RUNS!$A$6:$A$1005,0))="","",INDEX(RUNS!$E$6:$E$1005,MATCH($D563,RUNS!$A$6:$A$1005,0))),""))</f>
        <v/>
      </c>
      <c r="M563" s="33">
        <f>IF($D563="","",IFERROR(IF(INDEX(RUNS!$F$6:$F$1005,MATCH($D563,RUNS!$A$6:$A$1005,0))="","",INDEX(RUNS!$F$6:$F$1005,MATCH($D563,RUNS!$A$6:$A$1005,0))),""))</f>
        <v/>
      </c>
      <c r="N563" s="33">
        <f>IF($D563="","",IFERROR(IF(INDEX(RUNS!$G$6:$G$1005,MATCH($D563,RUNS!$A$6:$A$1005,0))="","",INDEX(RUNS!$G$6:$G$1005,MATCH($D563,RUNS!$A$6:$A$1005,0))),""))</f>
        <v/>
      </c>
      <c r="O563" s="33">
        <f>IF($D563="","",IFERROR(IF(INDEX(RUNS!$H$6:$H$1005,MATCH($D563,RUNS!$A$6:$A$1005,0))="","",INDEX(RUNS!$H$6:$H$1005,MATCH($D563,RUNS!$A$6:$A$1005,0))),""))</f>
        <v/>
      </c>
      <c r="P563" s="33">
        <f>IF($D563="","",IFERROR(IF(INDEX(RUNS!$J$6:$J$1005,MATCH($D563,RUNS!$A$6:$A$1005,0))="","",INDEX(RUNS!$J$6:$J$1005,MATCH($D563,RUNS!$A$6:$A$1005,0))),""))</f>
        <v/>
      </c>
      <c r="Q563" s="33">
        <f>IF($D563="","",IFERROR(IF(INDEX(RUNS!$K$6:$K$1005,MATCH($D563,RUNS!$A$6:$A$1005,0))="","",INDEX(RUNS!$K$6:$K$1005,MATCH($D563,RUNS!$A$6:$A$1005,0))),""))</f>
        <v/>
      </c>
      <c r="R563" s="34">
        <f>IF(OR($L563="",$K563=""),"",IFERROR(IF(INDEX(PARAMETRES!$H$43:$H$342,MATCH($L563&amp;"|"&amp;$M563&amp;"|"&amp;$N563&amp;"|"&amp;$O563&amp;"|"&amp;$P563&amp;"|"&amp;$Q563&amp;"|"&amp;$K563,PARAMETRES!$J$43:$J$342,0))="","",INDEX(PARAMETRES!$H$43:$H$342,MATCH($L563&amp;"|"&amp;$M563&amp;"|"&amp;$N563&amp;"|"&amp;$O563&amp;"|"&amp;$P563&amp;"|"&amp;$Q563&amp;"|"&amp;$K563,PARAMETRES!$J$43:$J$342,0))),""))</f>
        <v/>
      </c>
      <c r="S563" s="35">
        <f>IF(OR($G563="",$X563&lt;&gt;"VALIDE"),"",IFERROR(LOOKUP(2,1/(($B$3:$B562=$B563)*($G$3:$G562=$G563)*($X$3:$X562="VALIDE")),$C$3:$C562),""))</f>
        <v/>
      </c>
      <c r="T563" s="36">
        <f>IF(OR($C563="",$S563=""),"",ROUND(($C563-$S563+IF($C563&lt;$S563,1,0))*1440,0))</f>
        <v/>
      </c>
      <c r="U563" s="22">
        <f>IF(OR($H563="",$T563="",$T563&lt;=0),"",$H563*60/$T563)</f>
        <v/>
      </c>
      <c r="V563" s="37">
        <f>IF(OR($U563="",$R563="",$R563=0),"",$U563/$R563)</f>
        <v/>
      </c>
      <c r="W563" s="20">
        <f>IF($G563="","",IF($X563="CONTEXTE INCOMPLET","CONTEXTE INCOMPLET",IF($X563="DOUBLON",StatutDoublon,IF($S563="",StatutInitial,IF($R563="",StatutStandardManquant,IF($V563="","DONNEES INSUFFISANTES",IF($V563&gt;=SeuilConforme,StatutConforme,IF($V563&gt;=SeuilSurveiller,StatutSurveiller,StatutSousStandard))))))))</f>
        <v/>
      </c>
      <c r="X563" s="33">
        <f>IF($G563="","",IF(OR($D563="",$E563="",$F563=""),"CONTEXTE INCOMPLET",IF(COUNTIFS($D$3:$D562,$D563,$E$3:$E562,$E563,$F$3:$F562,$F563,$G$3:$G562,$G563)&gt;0,"DOUBLON","VALIDE")))</f>
        <v/>
      </c>
    </row>
    <row r="564" ht="15" customHeight="1">
      <c r="A564" s="12">
        <f>IF(OR($B564="",$G564=""),"",TEXT($B564,"YYYYMMDD")&amp;"-"&amp;SUBSTITUTE($E564," ","")&amp;"-"&amp;$F564&amp;"-"&amp;$G564)</f>
        <v/>
      </c>
      <c r="B564" s="15" t="n"/>
      <c r="C564" s="16" t="n"/>
      <c r="D564" s="10" t="n"/>
      <c r="E564" s="9" t="n"/>
      <c r="F564" s="9" t="n"/>
      <c r="G564" s="13" t="n"/>
      <c r="H564" s="21" t="n"/>
      <c r="I564" s="21" t="n"/>
      <c r="J564" s="17">
        <f>IF($G564="","",IFERROR(INDEX(NomsEmployes,MATCH($G564,MatriculesEmployes,0)),"MATRICULE INCONNU"))</f>
        <v/>
      </c>
      <c r="K564" s="33">
        <f>IF(OR($D564="",$F564=""),"",IFERROR(IF(INDEX(RUNS!$L$6:$S$1005,MATCH($D564,RUNS!$A$6:$A$1005,0),MATCH("ACTIVITÉ "&amp;$F564,RUNS!$L$5:$S$5,0))="","",INDEX(RUNS!$L$6:$S$1005,MATCH($D564,RUNS!$A$6:$A$1005,0),MATCH("ACTIVITÉ "&amp;$F564,RUNS!$L$5:$S$5,0))),""))</f>
        <v/>
      </c>
      <c r="L564" s="33">
        <f>IF($D564="","",IFERROR(IF(INDEX(RUNS!$E$6:$E$1005,MATCH($D564,RUNS!$A$6:$A$1005,0))="","",INDEX(RUNS!$E$6:$E$1005,MATCH($D564,RUNS!$A$6:$A$1005,0))),""))</f>
        <v/>
      </c>
      <c r="M564" s="33">
        <f>IF($D564="","",IFERROR(IF(INDEX(RUNS!$F$6:$F$1005,MATCH($D564,RUNS!$A$6:$A$1005,0))="","",INDEX(RUNS!$F$6:$F$1005,MATCH($D564,RUNS!$A$6:$A$1005,0))),""))</f>
        <v/>
      </c>
      <c r="N564" s="33">
        <f>IF($D564="","",IFERROR(IF(INDEX(RUNS!$G$6:$G$1005,MATCH($D564,RUNS!$A$6:$A$1005,0))="","",INDEX(RUNS!$G$6:$G$1005,MATCH($D564,RUNS!$A$6:$A$1005,0))),""))</f>
        <v/>
      </c>
      <c r="O564" s="33">
        <f>IF($D564="","",IFERROR(IF(INDEX(RUNS!$H$6:$H$1005,MATCH($D564,RUNS!$A$6:$A$1005,0))="","",INDEX(RUNS!$H$6:$H$1005,MATCH($D564,RUNS!$A$6:$A$1005,0))),""))</f>
        <v/>
      </c>
      <c r="P564" s="33">
        <f>IF($D564="","",IFERROR(IF(INDEX(RUNS!$J$6:$J$1005,MATCH($D564,RUNS!$A$6:$A$1005,0))="","",INDEX(RUNS!$J$6:$J$1005,MATCH($D564,RUNS!$A$6:$A$1005,0))),""))</f>
        <v/>
      </c>
      <c r="Q564" s="33">
        <f>IF($D564="","",IFERROR(IF(INDEX(RUNS!$K$6:$K$1005,MATCH($D564,RUNS!$A$6:$A$1005,0))="","",INDEX(RUNS!$K$6:$K$1005,MATCH($D564,RUNS!$A$6:$A$1005,0))),""))</f>
        <v/>
      </c>
      <c r="R564" s="34">
        <f>IF(OR($L564="",$K564=""),"",IFERROR(IF(INDEX(PARAMETRES!$H$43:$H$342,MATCH($L564&amp;"|"&amp;$M564&amp;"|"&amp;$N564&amp;"|"&amp;$O564&amp;"|"&amp;$P564&amp;"|"&amp;$Q564&amp;"|"&amp;$K564,PARAMETRES!$J$43:$J$342,0))="","",INDEX(PARAMETRES!$H$43:$H$342,MATCH($L564&amp;"|"&amp;$M564&amp;"|"&amp;$N564&amp;"|"&amp;$O564&amp;"|"&amp;$P564&amp;"|"&amp;$Q564&amp;"|"&amp;$K564,PARAMETRES!$J$43:$J$342,0))),""))</f>
        <v/>
      </c>
      <c r="S564" s="35">
        <f>IF(OR($G564="",$X564&lt;&gt;"VALIDE"),"",IFERROR(LOOKUP(2,1/(($B$3:$B563=$B564)*($G$3:$G563=$G564)*($X$3:$X563="VALIDE")),$C$3:$C563),""))</f>
        <v/>
      </c>
      <c r="T564" s="36">
        <f>IF(OR($C564="",$S564=""),"",ROUND(($C564-$S564+IF($C564&lt;$S564,1,0))*1440,0))</f>
        <v/>
      </c>
      <c r="U564" s="22">
        <f>IF(OR($H564="",$T564="",$T564&lt;=0),"",$H564*60/$T564)</f>
        <v/>
      </c>
      <c r="V564" s="37">
        <f>IF(OR($U564="",$R564="",$R564=0),"",$U564/$R564)</f>
        <v/>
      </c>
      <c r="W564" s="20">
        <f>IF($G564="","",IF($X564="CONTEXTE INCOMPLET","CONTEXTE INCOMPLET",IF($X564="DOUBLON",StatutDoublon,IF($S564="",StatutInitial,IF($R564="",StatutStandardManquant,IF($V564="","DONNEES INSUFFISANTES",IF($V564&gt;=SeuilConforme,StatutConforme,IF($V564&gt;=SeuilSurveiller,StatutSurveiller,StatutSousStandard))))))))</f>
        <v/>
      </c>
      <c r="X564" s="33">
        <f>IF($G564="","",IF(OR($D564="",$E564="",$F564=""),"CONTEXTE INCOMPLET",IF(COUNTIFS($D$3:$D563,$D564,$E$3:$E563,$E564,$F$3:$F563,$F564,$G$3:$G563,$G564)&gt;0,"DOUBLON","VALIDE")))</f>
        <v/>
      </c>
    </row>
    <row r="565" ht="15" customHeight="1">
      <c r="A565" s="12">
        <f>IF(OR($B565="",$G565=""),"",TEXT($B565,"YYYYMMDD")&amp;"-"&amp;SUBSTITUTE($E565," ","")&amp;"-"&amp;$F565&amp;"-"&amp;$G565)</f>
        <v/>
      </c>
      <c r="B565" s="15" t="n"/>
      <c r="C565" s="16" t="n"/>
      <c r="D565" s="10" t="n"/>
      <c r="E565" s="9" t="n"/>
      <c r="F565" s="9" t="n"/>
      <c r="G565" s="13" t="n"/>
      <c r="H565" s="21" t="n"/>
      <c r="I565" s="21" t="n"/>
      <c r="J565" s="17">
        <f>IF($G565="","",IFERROR(INDEX(NomsEmployes,MATCH($G565,MatriculesEmployes,0)),"MATRICULE INCONNU"))</f>
        <v/>
      </c>
      <c r="K565" s="33">
        <f>IF(OR($D565="",$F565=""),"",IFERROR(IF(INDEX(RUNS!$L$6:$S$1005,MATCH($D565,RUNS!$A$6:$A$1005,0),MATCH("ACTIVITÉ "&amp;$F565,RUNS!$L$5:$S$5,0))="","",INDEX(RUNS!$L$6:$S$1005,MATCH($D565,RUNS!$A$6:$A$1005,0),MATCH("ACTIVITÉ "&amp;$F565,RUNS!$L$5:$S$5,0))),""))</f>
        <v/>
      </c>
      <c r="L565" s="33">
        <f>IF($D565="","",IFERROR(IF(INDEX(RUNS!$E$6:$E$1005,MATCH($D565,RUNS!$A$6:$A$1005,0))="","",INDEX(RUNS!$E$6:$E$1005,MATCH($D565,RUNS!$A$6:$A$1005,0))),""))</f>
        <v/>
      </c>
      <c r="M565" s="33">
        <f>IF($D565="","",IFERROR(IF(INDEX(RUNS!$F$6:$F$1005,MATCH($D565,RUNS!$A$6:$A$1005,0))="","",INDEX(RUNS!$F$6:$F$1005,MATCH($D565,RUNS!$A$6:$A$1005,0))),""))</f>
        <v/>
      </c>
      <c r="N565" s="33">
        <f>IF($D565="","",IFERROR(IF(INDEX(RUNS!$G$6:$G$1005,MATCH($D565,RUNS!$A$6:$A$1005,0))="","",INDEX(RUNS!$G$6:$G$1005,MATCH($D565,RUNS!$A$6:$A$1005,0))),""))</f>
        <v/>
      </c>
      <c r="O565" s="33">
        <f>IF($D565="","",IFERROR(IF(INDEX(RUNS!$H$6:$H$1005,MATCH($D565,RUNS!$A$6:$A$1005,0))="","",INDEX(RUNS!$H$6:$H$1005,MATCH($D565,RUNS!$A$6:$A$1005,0))),""))</f>
        <v/>
      </c>
      <c r="P565" s="33">
        <f>IF($D565="","",IFERROR(IF(INDEX(RUNS!$J$6:$J$1005,MATCH($D565,RUNS!$A$6:$A$1005,0))="","",INDEX(RUNS!$J$6:$J$1005,MATCH($D565,RUNS!$A$6:$A$1005,0))),""))</f>
        <v/>
      </c>
      <c r="Q565" s="33">
        <f>IF($D565="","",IFERROR(IF(INDEX(RUNS!$K$6:$K$1005,MATCH($D565,RUNS!$A$6:$A$1005,0))="","",INDEX(RUNS!$K$6:$K$1005,MATCH($D565,RUNS!$A$6:$A$1005,0))),""))</f>
        <v/>
      </c>
      <c r="R565" s="34">
        <f>IF(OR($L565="",$K565=""),"",IFERROR(IF(INDEX(PARAMETRES!$H$43:$H$342,MATCH($L565&amp;"|"&amp;$M565&amp;"|"&amp;$N565&amp;"|"&amp;$O565&amp;"|"&amp;$P565&amp;"|"&amp;$Q565&amp;"|"&amp;$K565,PARAMETRES!$J$43:$J$342,0))="","",INDEX(PARAMETRES!$H$43:$H$342,MATCH($L565&amp;"|"&amp;$M565&amp;"|"&amp;$N565&amp;"|"&amp;$O565&amp;"|"&amp;$P565&amp;"|"&amp;$Q565&amp;"|"&amp;$K565,PARAMETRES!$J$43:$J$342,0))),""))</f>
        <v/>
      </c>
      <c r="S565" s="35">
        <f>IF(OR($G565="",$X565&lt;&gt;"VALIDE"),"",IFERROR(LOOKUP(2,1/(($B$3:$B564=$B565)*($G$3:$G564=$G565)*($X$3:$X564="VALIDE")),$C$3:$C564),""))</f>
        <v/>
      </c>
      <c r="T565" s="36">
        <f>IF(OR($C565="",$S565=""),"",ROUND(($C565-$S565+IF($C565&lt;$S565,1,0))*1440,0))</f>
        <v/>
      </c>
      <c r="U565" s="22">
        <f>IF(OR($H565="",$T565="",$T565&lt;=0),"",$H565*60/$T565)</f>
        <v/>
      </c>
      <c r="V565" s="37">
        <f>IF(OR($U565="",$R565="",$R565=0),"",$U565/$R565)</f>
        <v/>
      </c>
      <c r="W565" s="20">
        <f>IF($G565="","",IF($X565="CONTEXTE INCOMPLET","CONTEXTE INCOMPLET",IF($X565="DOUBLON",StatutDoublon,IF($S565="",StatutInitial,IF($R565="",StatutStandardManquant,IF($V565="","DONNEES INSUFFISANTES",IF($V565&gt;=SeuilConforme,StatutConforme,IF($V565&gt;=SeuilSurveiller,StatutSurveiller,StatutSousStandard))))))))</f>
        <v/>
      </c>
      <c r="X565" s="33">
        <f>IF($G565="","",IF(OR($D565="",$E565="",$F565=""),"CONTEXTE INCOMPLET",IF(COUNTIFS($D$3:$D564,$D565,$E$3:$E564,$E565,$F$3:$F564,$F565,$G$3:$G564,$G565)&gt;0,"DOUBLON","VALIDE")))</f>
        <v/>
      </c>
    </row>
    <row r="566" ht="15" customHeight="1">
      <c r="A566" s="12">
        <f>IF(OR($B566="",$G566=""),"",TEXT($B566,"YYYYMMDD")&amp;"-"&amp;SUBSTITUTE($E566," ","")&amp;"-"&amp;$F566&amp;"-"&amp;$G566)</f>
        <v/>
      </c>
      <c r="B566" s="15" t="n"/>
      <c r="C566" s="16" t="n"/>
      <c r="D566" s="10" t="n"/>
      <c r="E566" s="9" t="n"/>
      <c r="F566" s="9" t="n"/>
      <c r="G566" s="13" t="n"/>
      <c r="H566" s="21" t="n"/>
      <c r="I566" s="21" t="n"/>
      <c r="J566" s="17">
        <f>IF($G566="","",IFERROR(INDEX(NomsEmployes,MATCH($G566,MatriculesEmployes,0)),"MATRICULE INCONNU"))</f>
        <v/>
      </c>
      <c r="K566" s="33">
        <f>IF(OR($D566="",$F566=""),"",IFERROR(IF(INDEX(RUNS!$L$6:$S$1005,MATCH($D566,RUNS!$A$6:$A$1005,0),MATCH("ACTIVITÉ "&amp;$F566,RUNS!$L$5:$S$5,0))="","",INDEX(RUNS!$L$6:$S$1005,MATCH($D566,RUNS!$A$6:$A$1005,0),MATCH("ACTIVITÉ "&amp;$F566,RUNS!$L$5:$S$5,0))),""))</f>
        <v/>
      </c>
      <c r="L566" s="33">
        <f>IF($D566="","",IFERROR(IF(INDEX(RUNS!$E$6:$E$1005,MATCH($D566,RUNS!$A$6:$A$1005,0))="","",INDEX(RUNS!$E$6:$E$1005,MATCH($D566,RUNS!$A$6:$A$1005,0))),""))</f>
        <v/>
      </c>
      <c r="M566" s="33">
        <f>IF($D566="","",IFERROR(IF(INDEX(RUNS!$F$6:$F$1005,MATCH($D566,RUNS!$A$6:$A$1005,0))="","",INDEX(RUNS!$F$6:$F$1005,MATCH($D566,RUNS!$A$6:$A$1005,0))),""))</f>
        <v/>
      </c>
      <c r="N566" s="33">
        <f>IF($D566="","",IFERROR(IF(INDEX(RUNS!$G$6:$G$1005,MATCH($D566,RUNS!$A$6:$A$1005,0))="","",INDEX(RUNS!$G$6:$G$1005,MATCH($D566,RUNS!$A$6:$A$1005,0))),""))</f>
        <v/>
      </c>
      <c r="O566" s="33">
        <f>IF($D566="","",IFERROR(IF(INDEX(RUNS!$H$6:$H$1005,MATCH($D566,RUNS!$A$6:$A$1005,0))="","",INDEX(RUNS!$H$6:$H$1005,MATCH($D566,RUNS!$A$6:$A$1005,0))),""))</f>
        <v/>
      </c>
      <c r="P566" s="33">
        <f>IF($D566="","",IFERROR(IF(INDEX(RUNS!$J$6:$J$1005,MATCH($D566,RUNS!$A$6:$A$1005,0))="","",INDEX(RUNS!$J$6:$J$1005,MATCH($D566,RUNS!$A$6:$A$1005,0))),""))</f>
        <v/>
      </c>
      <c r="Q566" s="33">
        <f>IF($D566="","",IFERROR(IF(INDEX(RUNS!$K$6:$K$1005,MATCH($D566,RUNS!$A$6:$A$1005,0))="","",INDEX(RUNS!$K$6:$K$1005,MATCH($D566,RUNS!$A$6:$A$1005,0))),""))</f>
        <v/>
      </c>
      <c r="R566" s="34">
        <f>IF(OR($L566="",$K566=""),"",IFERROR(IF(INDEX(PARAMETRES!$H$43:$H$342,MATCH($L566&amp;"|"&amp;$M566&amp;"|"&amp;$N566&amp;"|"&amp;$O566&amp;"|"&amp;$P566&amp;"|"&amp;$Q566&amp;"|"&amp;$K566,PARAMETRES!$J$43:$J$342,0))="","",INDEX(PARAMETRES!$H$43:$H$342,MATCH($L566&amp;"|"&amp;$M566&amp;"|"&amp;$N566&amp;"|"&amp;$O566&amp;"|"&amp;$P566&amp;"|"&amp;$Q566&amp;"|"&amp;$K566,PARAMETRES!$J$43:$J$342,0))),""))</f>
        <v/>
      </c>
      <c r="S566" s="35">
        <f>IF(OR($G566="",$X566&lt;&gt;"VALIDE"),"",IFERROR(LOOKUP(2,1/(($B$3:$B565=$B566)*($G$3:$G565=$G566)*($X$3:$X565="VALIDE")),$C$3:$C565),""))</f>
        <v/>
      </c>
      <c r="T566" s="36">
        <f>IF(OR($C566="",$S566=""),"",ROUND(($C566-$S566+IF($C566&lt;$S566,1,0))*1440,0))</f>
        <v/>
      </c>
      <c r="U566" s="22">
        <f>IF(OR($H566="",$T566="",$T566&lt;=0),"",$H566*60/$T566)</f>
        <v/>
      </c>
      <c r="V566" s="37">
        <f>IF(OR($U566="",$R566="",$R566=0),"",$U566/$R566)</f>
        <v/>
      </c>
      <c r="W566" s="20">
        <f>IF($G566="","",IF($X566="CONTEXTE INCOMPLET","CONTEXTE INCOMPLET",IF($X566="DOUBLON",StatutDoublon,IF($S566="",StatutInitial,IF($R566="",StatutStandardManquant,IF($V566="","DONNEES INSUFFISANTES",IF($V566&gt;=SeuilConforme,StatutConforme,IF($V566&gt;=SeuilSurveiller,StatutSurveiller,StatutSousStandard))))))))</f>
        <v/>
      </c>
      <c r="X566" s="33">
        <f>IF($G566="","",IF(OR($D566="",$E566="",$F566=""),"CONTEXTE INCOMPLET",IF(COUNTIFS($D$3:$D565,$D566,$E$3:$E565,$E566,$F$3:$F565,$F566,$G$3:$G565,$G566)&gt;0,"DOUBLON","VALIDE")))</f>
        <v/>
      </c>
    </row>
    <row r="567" ht="15" customHeight="1">
      <c r="A567" s="12">
        <f>IF(OR($B567="",$G567=""),"",TEXT($B567,"YYYYMMDD")&amp;"-"&amp;SUBSTITUTE($E567," ","")&amp;"-"&amp;$F567&amp;"-"&amp;$G567)</f>
        <v/>
      </c>
      <c r="B567" s="15" t="n"/>
      <c r="C567" s="16" t="n"/>
      <c r="D567" s="10" t="n"/>
      <c r="E567" s="9" t="n"/>
      <c r="F567" s="9" t="n"/>
      <c r="G567" s="13" t="n"/>
      <c r="H567" s="21" t="n"/>
      <c r="I567" s="21" t="n"/>
      <c r="J567" s="17">
        <f>IF($G567="","",IFERROR(INDEX(NomsEmployes,MATCH($G567,MatriculesEmployes,0)),"MATRICULE INCONNU"))</f>
        <v/>
      </c>
      <c r="K567" s="33">
        <f>IF(OR($D567="",$F567=""),"",IFERROR(IF(INDEX(RUNS!$L$6:$S$1005,MATCH($D567,RUNS!$A$6:$A$1005,0),MATCH("ACTIVITÉ "&amp;$F567,RUNS!$L$5:$S$5,0))="","",INDEX(RUNS!$L$6:$S$1005,MATCH($D567,RUNS!$A$6:$A$1005,0),MATCH("ACTIVITÉ "&amp;$F567,RUNS!$L$5:$S$5,0))),""))</f>
        <v/>
      </c>
      <c r="L567" s="33">
        <f>IF($D567="","",IFERROR(IF(INDEX(RUNS!$E$6:$E$1005,MATCH($D567,RUNS!$A$6:$A$1005,0))="","",INDEX(RUNS!$E$6:$E$1005,MATCH($D567,RUNS!$A$6:$A$1005,0))),""))</f>
        <v/>
      </c>
      <c r="M567" s="33">
        <f>IF($D567="","",IFERROR(IF(INDEX(RUNS!$F$6:$F$1005,MATCH($D567,RUNS!$A$6:$A$1005,0))="","",INDEX(RUNS!$F$6:$F$1005,MATCH($D567,RUNS!$A$6:$A$1005,0))),""))</f>
        <v/>
      </c>
      <c r="N567" s="33">
        <f>IF($D567="","",IFERROR(IF(INDEX(RUNS!$G$6:$G$1005,MATCH($D567,RUNS!$A$6:$A$1005,0))="","",INDEX(RUNS!$G$6:$G$1005,MATCH($D567,RUNS!$A$6:$A$1005,0))),""))</f>
        <v/>
      </c>
      <c r="O567" s="33">
        <f>IF($D567="","",IFERROR(IF(INDEX(RUNS!$H$6:$H$1005,MATCH($D567,RUNS!$A$6:$A$1005,0))="","",INDEX(RUNS!$H$6:$H$1005,MATCH($D567,RUNS!$A$6:$A$1005,0))),""))</f>
        <v/>
      </c>
      <c r="P567" s="33">
        <f>IF($D567="","",IFERROR(IF(INDEX(RUNS!$J$6:$J$1005,MATCH($D567,RUNS!$A$6:$A$1005,0))="","",INDEX(RUNS!$J$6:$J$1005,MATCH($D567,RUNS!$A$6:$A$1005,0))),""))</f>
        <v/>
      </c>
      <c r="Q567" s="33">
        <f>IF($D567="","",IFERROR(IF(INDEX(RUNS!$K$6:$K$1005,MATCH($D567,RUNS!$A$6:$A$1005,0))="","",INDEX(RUNS!$K$6:$K$1005,MATCH($D567,RUNS!$A$6:$A$1005,0))),""))</f>
        <v/>
      </c>
      <c r="R567" s="34">
        <f>IF(OR($L567="",$K567=""),"",IFERROR(IF(INDEX(PARAMETRES!$H$43:$H$342,MATCH($L567&amp;"|"&amp;$M567&amp;"|"&amp;$N567&amp;"|"&amp;$O567&amp;"|"&amp;$P567&amp;"|"&amp;$Q567&amp;"|"&amp;$K567,PARAMETRES!$J$43:$J$342,0))="","",INDEX(PARAMETRES!$H$43:$H$342,MATCH($L567&amp;"|"&amp;$M567&amp;"|"&amp;$N567&amp;"|"&amp;$O567&amp;"|"&amp;$P567&amp;"|"&amp;$Q567&amp;"|"&amp;$K567,PARAMETRES!$J$43:$J$342,0))),""))</f>
        <v/>
      </c>
      <c r="S567" s="35">
        <f>IF(OR($G567="",$X567&lt;&gt;"VALIDE"),"",IFERROR(LOOKUP(2,1/(($B$3:$B566=$B567)*($G$3:$G566=$G567)*($X$3:$X566="VALIDE")),$C$3:$C566),""))</f>
        <v/>
      </c>
      <c r="T567" s="36">
        <f>IF(OR($C567="",$S567=""),"",ROUND(($C567-$S567+IF($C567&lt;$S567,1,0))*1440,0))</f>
        <v/>
      </c>
      <c r="U567" s="22">
        <f>IF(OR($H567="",$T567="",$T567&lt;=0),"",$H567*60/$T567)</f>
        <v/>
      </c>
      <c r="V567" s="37">
        <f>IF(OR($U567="",$R567="",$R567=0),"",$U567/$R567)</f>
        <v/>
      </c>
      <c r="W567" s="20">
        <f>IF($G567="","",IF($X567="CONTEXTE INCOMPLET","CONTEXTE INCOMPLET",IF($X567="DOUBLON",StatutDoublon,IF($S567="",StatutInitial,IF($R567="",StatutStandardManquant,IF($V567="","DONNEES INSUFFISANTES",IF($V567&gt;=SeuilConforme,StatutConforme,IF($V567&gt;=SeuilSurveiller,StatutSurveiller,StatutSousStandard))))))))</f>
        <v/>
      </c>
      <c r="X567" s="33">
        <f>IF($G567="","",IF(OR($D567="",$E567="",$F567=""),"CONTEXTE INCOMPLET",IF(COUNTIFS($D$3:$D566,$D567,$E$3:$E566,$E567,$F$3:$F566,$F567,$G$3:$G566,$G567)&gt;0,"DOUBLON","VALIDE")))</f>
        <v/>
      </c>
    </row>
    <row r="568" ht="15" customHeight="1">
      <c r="A568" s="12">
        <f>IF(OR($B568="",$G568=""),"",TEXT($B568,"YYYYMMDD")&amp;"-"&amp;SUBSTITUTE($E568," ","")&amp;"-"&amp;$F568&amp;"-"&amp;$G568)</f>
        <v/>
      </c>
      <c r="B568" s="15" t="n"/>
      <c r="C568" s="16" t="n"/>
      <c r="D568" s="10" t="n"/>
      <c r="E568" s="9" t="n"/>
      <c r="F568" s="9" t="n"/>
      <c r="G568" s="13" t="n"/>
      <c r="H568" s="21" t="n"/>
      <c r="I568" s="21" t="n"/>
      <c r="J568" s="17">
        <f>IF($G568="","",IFERROR(INDEX(NomsEmployes,MATCH($G568,MatriculesEmployes,0)),"MATRICULE INCONNU"))</f>
        <v/>
      </c>
      <c r="K568" s="33">
        <f>IF(OR($D568="",$F568=""),"",IFERROR(IF(INDEX(RUNS!$L$6:$S$1005,MATCH($D568,RUNS!$A$6:$A$1005,0),MATCH("ACTIVITÉ "&amp;$F568,RUNS!$L$5:$S$5,0))="","",INDEX(RUNS!$L$6:$S$1005,MATCH($D568,RUNS!$A$6:$A$1005,0),MATCH("ACTIVITÉ "&amp;$F568,RUNS!$L$5:$S$5,0))),""))</f>
        <v/>
      </c>
      <c r="L568" s="33">
        <f>IF($D568="","",IFERROR(IF(INDEX(RUNS!$E$6:$E$1005,MATCH($D568,RUNS!$A$6:$A$1005,0))="","",INDEX(RUNS!$E$6:$E$1005,MATCH($D568,RUNS!$A$6:$A$1005,0))),""))</f>
        <v/>
      </c>
      <c r="M568" s="33">
        <f>IF($D568="","",IFERROR(IF(INDEX(RUNS!$F$6:$F$1005,MATCH($D568,RUNS!$A$6:$A$1005,0))="","",INDEX(RUNS!$F$6:$F$1005,MATCH($D568,RUNS!$A$6:$A$1005,0))),""))</f>
        <v/>
      </c>
      <c r="N568" s="33">
        <f>IF($D568="","",IFERROR(IF(INDEX(RUNS!$G$6:$G$1005,MATCH($D568,RUNS!$A$6:$A$1005,0))="","",INDEX(RUNS!$G$6:$G$1005,MATCH($D568,RUNS!$A$6:$A$1005,0))),""))</f>
        <v/>
      </c>
      <c r="O568" s="33">
        <f>IF($D568="","",IFERROR(IF(INDEX(RUNS!$H$6:$H$1005,MATCH($D568,RUNS!$A$6:$A$1005,0))="","",INDEX(RUNS!$H$6:$H$1005,MATCH($D568,RUNS!$A$6:$A$1005,0))),""))</f>
        <v/>
      </c>
      <c r="P568" s="33">
        <f>IF($D568="","",IFERROR(IF(INDEX(RUNS!$J$6:$J$1005,MATCH($D568,RUNS!$A$6:$A$1005,0))="","",INDEX(RUNS!$J$6:$J$1005,MATCH($D568,RUNS!$A$6:$A$1005,0))),""))</f>
        <v/>
      </c>
      <c r="Q568" s="33">
        <f>IF($D568="","",IFERROR(IF(INDEX(RUNS!$K$6:$K$1005,MATCH($D568,RUNS!$A$6:$A$1005,0))="","",INDEX(RUNS!$K$6:$K$1005,MATCH($D568,RUNS!$A$6:$A$1005,0))),""))</f>
        <v/>
      </c>
      <c r="R568" s="34">
        <f>IF(OR($L568="",$K568=""),"",IFERROR(IF(INDEX(PARAMETRES!$H$43:$H$342,MATCH($L568&amp;"|"&amp;$M568&amp;"|"&amp;$N568&amp;"|"&amp;$O568&amp;"|"&amp;$P568&amp;"|"&amp;$Q568&amp;"|"&amp;$K568,PARAMETRES!$J$43:$J$342,0))="","",INDEX(PARAMETRES!$H$43:$H$342,MATCH($L568&amp;"|"&amp;$M568&amp;"|"&amp;$N568&amp;"|"&amp;$O568&amp;"|"&amp;$P568&amp;"|"&amp;$Q568&amp;"|"&amp;$K568,PARAMETRES!$J$43:$J$342,0))),""))</f>
        <v/>
      </c>
      <c r="S568" s="35">
        <f>IF(OR($G568="",$X568&lt;&gt;"VALIDE"),"",IFERROR(LOOKUP(2,1/(($B$3:$B567=$B568)*($G$3:$G567=$G568)*($X$3:$X567="VALIDE")),$C$3:$C567),""))</f>
        <v/>
      </c>
      <c r="T568" s="36">
        <f>IF(OR($C568="",$S568=""),"",ROUND(($C568-$S568+IF($C568&lt;$S568,1,0))*1440,0))</f>
        <v/>
      </c>
      <c r="U568" s="22">
        <f>IF(OR($H568="",$T568="",$T568&lt;=0),"",$H568*60/$T568)</f>
        <v/>
      </c>
      <c r="V568" s="37">
        <f>IF(OR($U568="",$R568="",$R568=0),"",$U568/$R568)</f>
        <v/>
      </c>
      <c r="W568" s="20">
        <f>IF($G568="","",IF($X568="CONTEXTE INCOMPLET","CONTEXTE INCOMPLET",IF($X568="DOUBLON",StatutDoublon,IF($S568="",StatutInitial,IF($R568="",StatutStandardManquant,IF($V568="","DONNEES INSUFFISANTES",IF($V568&gt;=SeuilConforme,StatutConforme,IF($V568&gt;=SeuilSurveiller,StatutSurveiller,StatutSousStandard))))))))</f>
        <v/>
      </c>
      <c r="X568" s="33">
        <f>IF($G568="","",IF(OR($D568="",$E568="",$F568=""),"CONTEXTE INCOMPLET",IF(COUNTIFS($D$3:$D567,$D568,$E$3:$E567,$E568,$F$3:$F567,$F568,$G$3:$G567,$G568)&gt;0,"DOUBLON","VALIDE")))</f>
        <v/>
      </c>
    </row>
    <row r="569" ht="15" customHeight="1">
      <c r="A569" s="12">
        <f>IF(OR($B569="",$G569=""),"",TEXT($B569,"YYYYMMDD")&amp;"-"&amp;SUBSTITUTE($E569," ","")&amp;"-"&amp;$F569&amp;"-"&amp;$G569)</f>
        <v/>
      </c>
      <c r="B569" s="15" t="n"/>
      <c r="C569" s="16" t="n"/>
      <c r="D569" s="10" t="n"/>
      <c r="E569" s="9" t="n"/>
      <c r="F569" s="9" t="n"/>
      <c r="G569" s="13" t="n"/>
      <c r="H569" s="21" t="n"/>
      <c r="I569" s="21" t="n"/>
      <c r="J569" s="17">
        <f>IF($G569="","",IFERROR(INDEX(NomsEmployes,MATCH($G569,MatriculesEmployes,0)),"MATRICULE INCONNU"))</f>
        <v/>
      </c>
      <c r="K569" s="33">
        <f>IF(OR($D569="",$F569=""),"",IFERROR(IF(INDEX(RUNS!$L$6:$S$1005,MATCH($D569,RUNS!$A$6:$A$1005,0),MATCH("ACTIVITÉ "&amp;$F569,RUNS!$L$5:$S$5,0))="","",INDEX(RUNS!$L$6:$S$1005,MATCH($D569,RUNS!$A$6:$A$1005,0),MATCH("ACTIVITÉ "&amp;$F569,RUNS!$L$5:$S$5,0))),""))</f>
        <v/>
      </c>
      <c r="L569" s="33">
        <f>IF($D569="","",IFERROR(IF(INDEX(RUNS!$E$6:$E$1005,MATCH($D569,RUNS!$A$6:$A$1005,0))="","",INDEX(RUNS!$E$6:$E$1005,MATCH($D569,RUNS!$A$6:$A$1005,0))),""))</f>
        <v/>
      </c>
      <c r="M569" s="33">
        <f>IF($D569="","",IFERROR(IF(INDEX(RUNS!$F$6:$F$1005,MATCH($D569,RUNS!$A$6:$A$1005,0))="","",INDEX(RUNS!$F$6:$F$1005,MATCH($D569,RUNS!$A$6:$A$1005,0))),""))</f>
        <v/>
      </c>
      <c r="N569" s="33">
        <f>IF($D569="","",IFERROR(IF(INDEX(RUNS!$G$6:$G$1005,MATCH($D569,RUNS!$A$6:$A$1005,0))="","",INDEX(RUNS!$G$6:$G$1005,MATCH($D569,RUNS!$A$6:$A$1005,0))),""))</f>
        <v/>
      </c>
      <c r="O569" s="33">
        <f>IF($D569="","",IFERROR(IF(INDEX(RUNS!$H$6:$H$1005,MATCH($D569,RUNS!$A$6:$A$1005,0))="","",INDEX(RUNS!$H$6:$H$1005,MATCH($D569,RUNS!$A$6:$A$1005,0))),""))</f>
        <v/>
      </c>
      <c r="P569" s="33">
        <f>IF($D569="","",IFERROR(IF(INDEX(RUNS!$J$6:$J$1005,MATCH($D569,RUNS!$A$6:$A$1005,0))="","",INDEX(RUNS!$J$6:$J$1005,MATCH($D569,RUNS!$A$6:$A$1005,0))),""))</f>
        <v/>
      </c>
      <c r="Q569" s="33">
        <f>IF($D569="","",IFERROR(IF(INDEX(RUNS!$K$6:$K$1005,MATCH($D569,RUNS!$A$6:$A$1005,0))="","",INDEX(RUNS!$K$6:$K$1005,MATCH($D569,RUNS!$A$6:$A$1005,0))),""))</f>
        <v/>
      </c>
      <c r="R569" s="34">
        <f>IF(OR($L569="",$K569=""),"",IFERROR(IF(INDEX(PARAMETRES!$H$43:$H$342,MATCH($L569&amp;"|"&amp;$M569&amp;"|"&amp;$N569&amp;"|"&amp;$O569&amp;"|"&amp;$P569&amp;"|"&amp;$Q569&amp;"|"&amp;$K569,PARAMETRES!$J$43:$J$342,0))="","",INDEX(PARAMETRES!$H$43:$H$342,MATCH($L569&amp;"|"&amp;$M569&amp;"|"&amp;$N569&amp;"|"&amp;$O569&amp;"|"&amp;$P569&amp;"|"&amp;$Q569&amp;"|"&amp;$K569,PARAMETRES!$J$43:$J$342,0))),""))</f>
        <v/>
      </c>
      <c r="S569" s="35">
        <f>IF(OR($G569="",$X569&lt;&gt;"VALIDE"),"",IFERROR(LOOKUP(2,1/(($B$3:$B568=$B569)*($G$3:$G568=$G569)*($X$3:$X568="VALIDE")),$C$3:$C568),""))</f>
        <v/>
      </c>
      <c r="T569" s="36">
        <f>IF(OR($C569="",$S569=""),"",ROUND(($C569-$S569+IF($C569&lt;$S569,1,0))*1440,0))</f>
        <v/>
      </c>
      <c r="U569" s="22">
        <f>IF(OR($H569="",$T569="",$T569&lt;=0),"",$H569*60/$T569)</f>
        <v/>
      </c>
      <c r="V569" s="37">
        <f>IF(OR($U569="",$R569="",$R569=0),"",$U569/$R569)</f>
        <v/>
      </c>
      <c r="W569" s="20">
        <f>IF($G569="","",IF($X569="CONTEXTE INCOMPLET","CONTEXTE INCOMPLET",IF($X569="DOUBLON",StatutDoublon,IF($S569="",StatutInitial,IF($R569="",StatutStandardManquant,IF($V569="","DONNEES INSUFFISANTES",IF($V569&gt;=SeuilConforme,StatutConforme,IF($V569&gt;=SeuilSurveiller,StatutSurveiller,StatutSousStandard))))))))</f>
        <v/>
      </c>
      <c r="X569" s="33">
        <f>IF($G569="","",IF(OR($D569="",$E569="",$F569=""),"CONTEXTE INCOMPLET",IF(COUNTIFS($D$3:$D568,$D569,$E$3:$E568,$E569,$F$3:$F568,$F569,$G$3:$G568,$G569)&gt;0,"DOUBLON","VALIDE")))</f>
        <v/>
      </c>
    </row>
    <row r="570" ht="15" customHeight="1">
      <c r="A570" s="12">
        <f>IF(OR($B570="",$G570=""),"",TEXT($B570,"YYYYMMDD")&amp;"-"&amp;SUBSTITUTE($E570," ","")&amp;"-"&amp;$F570&amp;"-"&amp;$G570)</f>
        <v/>
      </c>
      <c r="B570" s="15" t="n"/>
      <c r="C570" s="16" t="n"/>
      <c r="D570" s="10" t="n"/>
      <c r="E570" s="9" t="n"/>
      <c r="F570" s="9" t="n"/>
      <c r="G570" s="13" t="n"/>
      <c r="H570" s="21" t="n"/>
      <c r="I570" s="21" t="n"/>
      <c r="J570" s="17">
        <f>IF($G570="","",IFERROR(INDEX(NomsEmployes,MATCH($G570,MatriculesEmployes,0)),"MATRICULE INCONNU"))</f>
        <v/>
      </c>
      <c r="K570" s="33">
        <f>IF(OR($D570="",$F570=""),"",IFERROR(IF(INDEX(RUNS!$L$6:$S$1005,MATCH($D570,RUNS!$A$6:$A$1005,0),MATCH("ACTIVITÉ "&amp;$F570,RUNS!$L$5:$S$5,0))="","",INDEX(RUNS!$L$6:$S$1005,MATCH($D570,RUNS!$A$6:$A$1005,0),MATCH("ACTIVITÉ "&amp;$F570,RUNS!$L$5:$S$5,0))),""))</f>
        <v/>
      </c>
      <c r="L570" s="33">
        <f>IF($D570="","",IFERROR(IF(INDEX(RUNS!$E$6:$E$1005,MATCH($D570,RUNS!$A$6:$A$1005,0))="","",INDEX(RUNS!$E$6:$E$1005,MATCH($D570,RUNS!$A$6:$A$1005,0))),""))</f>
        <v/>
      </c>
      <c r="M570" s="33">
        <f>IF($D570="","",IFERROR(IF(INDEX(RUNS!$F$6:$F$1005,MATCH($D570,RUNS!$A$6:$A$1005,0))="","",INDEX(RUNS!$F$6:$F$1005,MATCH($D570,RUNS!$A$6:$A$1005,0))),""))</f>
        <v/>
      </c>
      <c r="N570" s="33">
        <f>IF($D570="","",IFERROR(IF(INDEX(RUNS!$G$6:$G$1005,MATCH($D570,RUNS!$A$6:$A$1005,0))="","",INDEX(RUNS!$G$6:$G$1005,MATCH($D570,RUNS!$A$6:$A$1005,0))),""))</f>
        <v/>
      </c>
      <c r="O570" s="33">
        <f>IF($D570="","",IFERROR(IF(INDEX(RUNS!$H$6:$H$1005,MATCH($D570,RUNS!$A$6:$A$1005,0))="","",INDEX(RUNS!$H$6:$H$1005,MATCH($D570,RUNS!$A$6:$A$1005,0))),""))</f>
        <v/>
      </c>
      <c r="P570" s="33">
        <f>IF($D570="","",IFERROR(IF(INDEX(RUNS!$J$6:$J$1005,MATCH($D570,RUNS!$A$6:$A$1005,0))="","",INDEX(RUNS!$J$6:$J$1005,MATCH($D570,RUNS!$A$6:$A$1005,0))),""))</f>
        <v/>
      </c>
      <c r="Q570" s="33">
        <f>IF($D570="","",IFERROR(IF(INDEX(RUNS!$K$6:$K$1005,MATCH($D570,RUNS!$A$6:$A$1005,0))="","",INDEX(RUNS!$K$6:$K$1005,MATCH($D570,RUNS!$A$6:$A$1005,0))),""))</f>
        <v/>
      </c>
      <c r="R570" s="34">
        <f>IF(OR($L570="",$K570=""),"",IFERROR(IF(INDEX(PARAMETRES!$H$43:$H$342,MATCH($L570&amp;"|"&amp;$M570&amp;"|"&amp;$N570&amp;"|"&amp;$O570&amp;"|"&amp;$P570&amp;"|"&amp;$Q570&amp;"|"&amp;$K570,PARAMETRES!$J$43:$J$342,0))="","",INDEX(PARAMETRES!$H$43:$H$342,MATCH($L570&amp;"|"&amp;$M570&amp;"|"&amp;$N570&amp;"|"&amp;$O570&amp;"|"&amp;$P570&amp;"|"&amp;$Q570&amp;"|"&amp;$K570,PARAMETRES!$J$43:$J$342,0))),""))</f>
        <v/>
      </c>
      <c r="S570" s="35">
        <f>IF(OR($G570="",$X570&lt;&gt;"VALIDE"),"",IFERROR(LOOKUP(2,1/(($B$3:$B569=$B570)*($G$3:$G569=$G570)*($X$3:$X569="VALIDE")),$C$3:$C569),""))</f>
        <v/>
      </c>
      <c r="T570" s="36">
        <f>IF(OR($C570="",$S570=""),"",ROUND(($C570-$S570+IF($C570&lt;$S570,1,0))*1440,0))</f>
        <v/>
      </c>
      <c r="U570" s="22">
        <f>IF(OR($H570="",$T570="",$T570&lt;=0),"",$H570*60/$T570)</f>
        <v/>
      </c>
      <c r="V570" s="37">
        <f>IF(OR($U570="",$R570="",$R570=0),"",$U570/$R570)</f>
        <v/>
      </c>
      <c r="W570" s="20">
        <f>IF($G570="","",IF($X570="CONTEXTE INCOMPLET","CONTEXTE INCOMPLET",IF($X570="DOUBLON",StatutDoublon,IF($S570="",StatutInitial,IF($R570="",StatutStandardManquant,IF($V570="","DONNEES INSUFFISANTES",IF($V570&gt;=SeuilConforme,StatutConforme,IF($V570&gt;=SeuilSurveiller,StatutSurveiller,StatutSousStandard))))))))</f>
        <v/>
      </c>
      <c r="X570" s="33">
        <f>IF($G570="","",IF(OR($D570="",$E570="",$F570=""),"CONTEXTE INCOMPLET",IF(COUNTIFS($D$3:$D569,$D570,$E$3:$E569,$E570,$F$3:$F569,$F570,$G$3:$G569,$G570)&gt;0,"DOUBLON","VALIDE")))</f>
        <v/>
      </c>
    </row>
    <row r="571" ht="15" customHeight="1">
      <c r="A571" s="12">
        <f>IF(OR($B571="",$G571=""),"",TEXT($B571,"YYYYMMDD")&amp;"-"&amp;SUBSTITUTE($E571," ","")&amp;"-"&amp;$F571&amp;"-"&amp;$G571)</f>
        <v/>
      </c>
      <c r="B571" s="15" t="n"/>
      <c r="C571" s="16" t="n"/>
      <c r="D571" s="10" t="n"/>
      <c r="E571" s="9" t="n"/>
      <c r="F571" s="9" t="n"/>
      <c r="G571" s="13" t="n"/>
      <c r="H571" s="21" t="n"/>
      <c r="I571" s="21" t="n"/>
      <c r="J571" s="17">
        <f>IF($G571="","",IFERROR(INDEX(NomsEmployes,MATCH($G571,MatriculesEmployes,0)),"MATRICULE INCONNU"))</f>
        <v/>
      </c>
      <c r="K571" s="33">
        <f>IF(OR($D571="",$F571=""),"",IFERROR(IF(INDEX(RUNS!$L$6:$S$1005,MATCH($D571,RUNS!$A$6:$A$1005,0),MATCH("ACTIVITÉ "&amp;$F571,RUNS!$L$5:$S$5,0))="","",INDEX(RUNS!$L$6:$S$1005,MATCH($D571,RUNS!$A$6:$A$1005,0),MATCH("ACTIVITÉ "&amp;$F571,RUNS!$L$5:$S$5,0))),""))</f>
        <v/>
      </c>
      <c r="L571" s="33">
        <f>IF($D571="","",IFERROR(IF(INDEX(RUNS!$E$6:$E$1005,MATCH($D571,RUNS!$A$6:$A$1005,0))="","",INDEX(RUNS!$E$6:$E$1005,MATCH($D571,RUNS!$A$6:$A$1005,0))),""))</f>
        <v/>
      </c>
      <c r="M571" s="33">
        <f>IF($D571="","",IFERROR(IF(INDEX(RUNS!$F$6:$F$1005,MATCH($D571,RUNS!$A$6:$A$1005,0))="","",INDEX(RUNS!$F$6:$F$1005,MATCH($D571,RUNS!$A$6:$A$1005,0))),""))</f>
        <v/>
      </c>
      <c r="N571" s="33">
        <f>IF($D571="","",IFERROR(IF(INDEX(RUNS!$G$6:$G$1005,MATCH($D571,RUNS!$A$6:$A$1005,0))="","",INDEX(RUNS!$G$6:$G$1005,MATCH($D571,RUNS!$A$6:$A$1005,0))),""))</f>
        <v/>
      </c>
      <c r="O571" s="33">
        <f>IF($D571="","",IFERROR(IF(INDEX(RUNS!$H$6:$H$1005,MATCH($D571,RUNS!$A$6:$A$1005,0))="","",INDEX(RUNS!$H$6:$H$1005,MATCH($D571,RUNS!$A$6:$A$1005,0))),""))</f>
        <v/>
      </c>
      <c r="P571" s="33">
        <f>IF($D571="","",IFERROR(IF(INDEX(RUNS!$J$6:$J$1005,MATCH($D571,RUNS!$A$6:$A$1005,0))="","",INDEX(RUNS!$J$6:$J$1005,MATCH($D571,RUNS!$A$6:$A$1005,0))),""))</f>
        <v/>
      </c>
      <c r="Q571" s="33">
        <f>IF($D571="","",IFERROR(IF(INDEX(RUNS!$K$6:$K$1005,MATCH($D571,RUNS!$A$6:$A$1005,0))="","",INDEX(RUNS!$K$6:$K$1005,MATCH($D571,RUNS!$A$6:$A$1005,0))),""))</f>
        <v/>
      </c>
      <c r="R571" s="34">
        <f>IF(OR($L571="",$K571=""),"",IFERROR(IF(INDEX(PARAMETRES!$H$43:$H$342,MATCH($L571&amp;"|"&amp;$M571&amp;"|"&amp;$N571&amp;"|"&amp;$O571&amp;"|"&amp;$P571&amp;"|"&amp;$Q571&amp;"|"&amp;$K571,PARAMETRES!$J$43:$J$342,0))="","",INDEX(PARAMETRES!$H$43:$H$342,MATCH($L571&amp;"|"&amp;$M571&amp;"|"&amp;$N571&amp;"|"&amp;$O571&amp;"|"&amp;$P571&amp;"|"&amp;$Q571&amp;"|"&amp;$K571,PARAMETRES!$J$43:$J$342,0))),""))</f>
        <v/>
      </c>
      <c r="S571" s="35">
        <f>IF(OR($G571="",$X571&lt;&gt;"VALIDE"),"",IFERROR(LOOKUP(2,1/(($B$3:$B570=$B571)*($G$3:$G570=$G571)*($X$3:$X570="VALIDE")),$C$3:$C570),""))</f>
        <v/>
      </c>
      <c r="T571" s="36">
        <f>IF(OR($C571="",$S571=""),"",ROUND(($C571-$S571+IF($C571&lt;$S571,1,0))*1440,0))</f>
        <v/>
      </c>
      <c r="U571" s="22">
        <f>IF(OR($H571="",$T571="",$T571&lt;=0),"",$H571*60/$T571)</f>
        <v/>
      </c>
      <c r="V571" s="37">
        <f>IF(OR($U571="",$R571="",$R571=0),"",$U571/$R571)</f>
        <v/>
      </c>
      <c r="W571" s="20">
        <f>IF($G571="","",IF($X571="CONTEXTE INCOMPLET","CONTEXTE INCOMPLET",IF($X571="DOUBLON",StatutDoublon,IF($S571="",StatutInitial,IF($R571="",StatutStandardManquant,IF($V571="","DONNEES INSUFFISANTES",IF($V571&gt;=SeuilConforme,StatutConforme,IF($V571&gt;=SeuilSurveiller,StatutSurveiller,StatutSousStandard))))))))</f>
        <v/>
      </c>
      <c r="X571" s="33">
        <f>IF($G571="","",IF(OR($D571="",$E571="",$F571=""),"CONTEXTE INCOMPLET",IF(COUNTIFS($D$3:$D570,$D571,$E$3:$E570,$E571,$F$3:$F570,$F571,$G$3:$G570,$G571)&gt;0,"DOUBLON","VALIDE")))</f>
        <v/>
      </c>
    </row>
    <row r="572" ht="15" customHeight="1">
      <c r="A572" s="12">
        <f>IF(OR($B572="",$G572=""),"",TEXT($B572,"YYYYMMDD")&amp;"-"&amp;SUBSTITUTE($E572," ","")&amp;"-"&amp;$F572&amp;"-"&amp;$G572)</f>
        <v/>
      </c>
      <c r="B572" s="15" t="n"/>
      <c r="C572" s="16" t="n"/>
      <c r="D572" s="10" t="n"/>
      <c r="E572" s="9" t="n"/>
      <c r="F572" s="9" t="n"/>
      <c r="G572" s="13" t="n"/>
      <c r="H572" s="21" t="n"/>
      <c r="I572" s="21" t="n"/>
      <c r="J572" s="17">
        <f>IF($G572="","",IFERROR(INDEX(NomsEmployes,MATCH($G572,MatriculesEmployes,0)),"MATRICULE INCONNU"))</f>
        <v/>
      </c>
      <c r="K572" s="33">
        <f>IF(OR($D572="",$F572=""),"",IFERROR(IF(INDEX(RUNS!$L$6:$S$1005,MATCH($D572,RUNS!$A$6:$A$1005,0),MATCH("ACTIVITÉ "&amp;$F572,RUNS!$L$5:$S$5,0))="","",INDEX(RUNS!$L$6:$S$1005,MATCH($D572,RUNS!$A$6:$A$1005,0),MATCH("ACTIVITÉ "&amp;$F572,RUNS!$L$5:$S$5,0))),""))</f>
        <v/>
      </c>
      <c r="L572" s="33">
        <f>IF($D572="","",IFERROR(IF(INDEX(RUNS!$E$6:$E$1005,MATCH($D572,RUNS!$A$6:$A$1005,0))="","",INDEX(RUNS!$E$6:$E$1005,MATCH($D572,RUNS!$A$6:$A$1005,0))),""))</f>
        <v/>
      </c>
      <c r="M572" s="33">
        <f>IF($D572="","",IFERROR(IF(INDEX(RUNS!$F$6:$F$1005,MATCH($D572,RUNS!$A$6:$A$1005,0))="","",INDEX(RUNS!$F$6:$F$1005,MATCH($D572,RUNS!$A$6:$A$1005,0))),""))</f>
        <v/>
      </c>
      <c r="N572" s="33">
        <f>IF($D572="","",IFERROR(IF(INDEX(RUNS!$G$6:$G$1005,MATCH($D572,RUNS!$A$6:$A$1005,0))="","",INDEX(RUNS!$G$6:$G$1005,MATCH($D572,RUNS!$A$6:$A$1005,0))),""))</f>
        <v/>
      </c>
      <c r="O572" s="33">
        <f>IF($D572="","",IFERROR(IF(INDEX(RUNS!$H$6:$H$1005,MATCH($D572,RUNS!$A$6:$A$1005,0))="","",INDEX(RUNS!$H$6:$H$1005,MATCH($D572,RUNS!$A$6:$A$1005,0))),""))</f>
        <v/>
      </c>
      <c r="P572" s="33">
        <f>IF($D572="","",IFERROR(IF(INDEX(RUNS!$J$6:$J$1005,MATCH($D572,RUNS!$A$6:$A$1005,0))="","",INDEX(RUNS!$J$6:$J$1005,MATCH($D572,RUNS!$A$6:$A$1005,0))),""))</f>
        <v/>
      </c>
      <c r="Q572" s="33">
        <f>IF($D572="","",IFERROR(IF(INDEX(RUNS!$K$6:$K$1005,MATCH($D572,RUNS!$A$6:$A$1005,0))="","",INDEX(RUNS!$K$6:$K$1005,MATCH($D572,RUNS!$A$6:$A$1005,0))),""))</f>
        <v/>
      </c>
      <c r="R572" s="34">
        <f>IF(OR($L572="",$K572=""),"",IFERROR(IF(INDEX(PARAMETRES!$H$43:$H$342,MATCH($L572&amp;"|"&amp;$M572&amp;"|"&amp;$N572&amp;"|"&amp;$O572&amp;"|"&amp;$P572&amp;"|"&amp;$Q572&amp;"|"&amp;$K572,PARAMETRES!$J$43:$J$342,0))="","",INDEX(PARAMETRES!$H$43:$H$342,MATCH($L572&amp;"|"&amp;$M572&amp;"|"&amp;$N572&amp;"|"&amp;$O572&amp;"|"&amp;$P572&amp;"|"&amp;$Q572&amp;"|"&amp;$K572,PARAMETRES!$J$43:$J$342,0))),""))</f>
        <v/>
      </c>
      <c r="S572" s="35">
        <f>IF(OR($G572="",$X572&lt;&gt;"VALIDE"),"",IFERROR(LOOKUP(2,1/(($B$3:$B571=$B572)*($G$3:$G571=$G572)*($X$3:$X571="VALIDE")),$C$3:$C571),""))</f>
        <v/>
      </c>
      <c r="T572" s="36">
        <f>IF(OR($C572="",$S572=""),"",ROUND(($C572-$S572+IF($C572&lt;$S572,1,0))*1440,0))</f>
        <v/>
      </c>
      <c r="U572" s="22">
        <f>IF(OR($H572="",$T572="",$T572&lt;=0),"",$H572*60/$T572)</f>
        <v/>
      </c>
      <c r="V572" s="37">
        <f>IF(OR($U572="",$R572="",$R572=0),"",$U572/$R572)</f>
        <v/>
      </c>
      <c r="W572" s="20">
        <f>IF($G572="","",IF($X572="CONTEXTE INCOMPLET","CONTEXTE INCOMPLET",IF($X572="DOUBLON",StatutDoublon,IF($S572="",StatutInitial,IF($R572="",StatutStandardManquant,IF($V572="","DONNEES INSUFFISANTES",IF($V572&gt;=SeuilConforme,StatutConforme,IF($V572&gt;=SeuilSurveiller,StatutSurveiller,StatutSousStandard))))))))</f>
        <v/>
      </c>
      <c r="X572" s="33">
        <f>IF($G572="","",IF(OR($D572="",$E572="",$F572=""),"CONTEXTE INCOMPLET",IF(COUNTIFS($D$3:$D571,$D572,$E$3:$E571,$E572,$F$3:$F571,$F572,$G$3:$G571,$G572)&gt;0,"DOUBLON","VALIDE")))</f>
        <v/>
      </c>
    </row>
    <row r="573" ht="15" customHeight="1">
      <c r="A573" s="12">
        <f>IF(OR($B573="",$G573=""),"",TEXT($B573,"YYYYMMDD")&amp;"-"&amp;SUBSTITUTE($E573," ","")&amp;"-"&amp;$F573&amp;"-"&amp;$G573)</f>
        <v/>
      </c>
      <c r="B573" s="15" t="n"/>
      <c r="C573" s="16" t="n"/>
      <c r="D573" s="10" t="n"/>
      <c r="E573" s="9" t="n"/>
      <c r="F573" s="9" t="n"/>
      <c r="G573" s="13" t="n"/>
      <c r="H573" s="21" t="n"/>
      <c r="I573" s="21" t="n"/>
      <c r="J573" s="17">
        <f>IF($G573="","",IFERROR(INDEX(NomsEmployes,MATCH($G573,MatriculesEmployes,0)),"MATRICULE INCONNU"))</f>
        <v/>
      </c>
      <c r="K573" s="33">
        <f>IF(OR($D573="",$F573=""),"",IFERROR(IF(INDEX(RUNS!$L$6:$S$1005,MATCH($D573,RUNS!$A$6:$A$1005,0),MATCH("ACTIVITÉ "&amp;$F573,RUNS!$L$5:$S$5,0))="","",INDEX(RUNS!$L$6:$S$1005,MATCH($D573,RUNS!$A$6:$A$1005,0),MATCH("ACTIVITÉ "&amp;$F573,RUNS!$L$5:$S$5,0))),""))</f>
        <v/>
      </c>
      <c r="L573" s="33">
        <f>IF($D573="","",IFERROR(IF(INDEX(RUNS!$E$6:$E$1005,MATCH($D573,RUNS!$A$6:$A$1005,0))="","",INDEX(RUNS!$E$6:$E$1005,MATCH($D573,RUNS!$A$6:$A$1005,0))),""))</f>
        <v/>
      </c>
      <c r="M573" s="33">
        <f>IF($D573="","",IFERROR(IF(INDEX(RUNS!$F$6:$F$1005,MATCH($D573,RUNS!$A$6:$A$1005,0))="","",INDEX(RUNS!$F$6:$F$1005,MATCH($D573,RUNS!$A$6:$A$1005,0))),""))</f>
        <v/>
      </c>
      <c r="N573" s="33">
        <f>IF($D573="","",IFERROR(IF(INDEX(RUNS!$G$6:$G$1005,MATCH($D573,RUNS!$A$6:$A$1005,0))="","",INDEX(RUNS!$G$6:$G$1005,MATCH($D573,RUNS!$A$6:$A$1005,0))),""))</f>
        <v/>
      </c>
      <c r="O573" s="33">
        <f>IF($D573="","",IFERROR(IF(INDEX(RUNS!$H$6:$H$1005,MATCH($D573,RUNS!$A$6:$A$1005,0))="","",INDEX(RUNS!$H$6:$H$1005,MATCH($D573,RUNS!$A$6:$A$1005,0))),""))</f>
        <v/>
      </c>
      <c r="P573" s="33">
        <f>IF($D573="","",IFERROR(IF(INDEX(RUNS!$J$6:$J$1005,MATCH($D573,RUNS!$A$6:$A$1005,0))="","",INDEX(RUNS!$J$6:$J$1005,MATCH($D573,RUNS!$A$6:$A$1005,0))),""))</f>
        <v/>
      </c>
      <c r="Q573" s="33">
        <f>IF($D573="","",IFERROR(IF(INDEX(RUNS!$K$6:$K$1005,MATCH($D573,RUNS!$A$6:$A$1005,0))="","",INDEX(RUNS!$K$6:$K$1005,MATCH($D573,RUNS!$A$6:$A$1005,0))),""))</f>
        <v/>
      </c>
      <c r="R573" s="34">
        <f>IF(OR($L573="",$K573=""),"",IFERROR(IF(INDEX(PARAMETRES!$H$43:$H$342,MATCH($L573&amp;"|"&amp;$M573&amp;"|"&amp;$N573&amp;"|"&amp;$O573&amp;"|"&amp;$P573&amp;"|"&amp;$Q573&amp;"|"&amp;$K573,PARAMETRES!$J$43:$J$342,0))="","",INDEX(PARAMETRES!$H$43:$H$342,MATCH($L573&amp;"|"&amp;$M573&amp;"|"&amp;$N573&amp;"|"&amp;$O573&amp;"|"&amp;$P573&amp;"|"&amp;$Q573&amp;"|"&amp;$K573,PARAMETRES!$J$43:$J$342,0))),""))</f>
        <v/>
      </c>
      <c r="S573" s="35">
        <f>IF(OR($G573="",$X573&lt;&gt;"VALIDE"),"",IFERROR(LOOKUP(2,1/(($B$3:$B572=$B573)*($G$3:$G572=$G573)*($X$3:$X572="VALIDE")),$C$3:$C572),""))</f>
        <v/>
      </c>
      <c r="T573" s="36">
        <f>IF(OR($C573="",$S573=""),"",ROUND(($C573-$S573+IF($C573&lt;$S573,1,0))*1440,0))</f>
        <v/>
      </c>
      <c r="U573" s="22">
        <f>IF(OR($H573="",$T573="",$T573&lt;=0),"",$H573*60/$T573)</f>
        <v/>
      </c>
      <c r="V573" s="37">
        <f>IF(OR($U573="",$R573="",$R573=0),"",$U573/$R573)</f>
        <v/>
      </c>
      <c r="W573" s="20">
        <f>IF($G573="","",IF($X573="CONTEXTE INCOMPLET","CONTEXTE INCOMPLET",IF($X573="DOUBLON",StatutDoublon,IF($S573="",StatutInitial,IF($R573="",StatutStandardManquant,IF($V573="","DONNEES INSUFFISANTES",IF($V573&gt;=SeuilConforme,StatutConforme,IF($V573&gt;=SeuilSurveiller,StatutSurveiller,StatutSousStandard))))))))</f>
        <v/>
      </c>
      <c r="X573" s="33">
        <f>IF($G573="","",IF(OR($D573="",$E573="",$F573=""),"CONTEXTE INCOMPLET",IF(COUNTIFS($D$3:$D572,$D573,$E$3:$E572,$E573,$F$3:$F572,$F573,$G$3:$G572,$G573)&gt;0,"DOUBLON","VALIDE")))</f>
        <v/>
      </c>
    </row>
    <row r="574" ht="15" customHeight="1">
      <c r="A574" s="12">
        <f>IF(OR($B574="",$G574=""),"",TEXT($B574,"YYYYMMDD")&amp;"-"&amp;SUBSTITUTE($E574," ","")&amp;"-"&amp;$F574&amp;"-"&amp;$G574)</f>
        <v/>
      </c>
      <c r="B574" s="15" t="n"/>
      <c r="C574" s="16" t="n"/>
      <c r="D574" s="10" t="n"/>
      <c r="E574" s="9" t="n"/>
      <c r="F574" s="9" t="n"/>
      <c r="G574" s="13" t="n"/>
      <c r="H574" s="21" t="n"/>
      <c r="I574" s="21" t="n"/>
      <c r="J574" s="17">
        <f>IF($G574="","",IFERROR(INDEX(NomsEmployes,MATCH($G574,MatriculesEmployes,0)),"MATRICULE INCONNU"))</f>
        <v/>
      </c>
      <c r="K574" s="33">
        <f>IF(OR($D574="",$F574=""),"",IFERROR(IF(INDEX(RUNS!$L$6:$S$1005,MATCH($D574,RUNS!$A$6:$A$1005,0),MATCH("ACTIVITÉ "&amp;$F574,RUNS!$L$5:$S$5,0))="","",INDEX(RUNS!$L$6:$S$1005,MATCH($D574,RUNS!$A$6:$A$1005,0),MATCH("ACTIVITÉ "&amp;$F574,RUNS!$L$5:$S$5,0))),""))</f>
        <v/>
      </c>
      <c r="L574" s="33">
        <f>IF($D574="","",IFERROR(IF(INDEX(RUNS!$E$6:$E$1005,MATCH($D574,RUNS!$A$6:$A$1005,0))="","",INDEX(RUNS!$E$6:$E$1005,MATCH($D574,RUNS!$A$6:$A$1005,0))),""))</f>
        <v/>
      </c>
      <c r="M574" s="33">
        <f>IF($D574="","",IFERROR(IF(INDEX(RUNS!$F$6:$F$1005,MATCH($D574,RUNS!$A$6:$A$1005,0))="","",INDEX(RUNS!$F$6:$F$1005,MATCH($D574,RUNS!$A$6:$A$1005,0))),""))</f>
        <v/>
      </c>
      <c r="N574" s="33">
        <f>IF($D574="","",IFERROR(IF(INDEX(RUNS!$G$6:$G$1005,MATCH($D574,RUNS!$A$6:$A$1005,0))="","",INDEX(RUNS!$G$6:$G$1005,MATCH($D574,RUNS!$A$6:$A$1005,0))),""))</f>
        <v/>
      </c>
      <c r="O574" s="33">
        <f>IF($D574="","",IFERROR(IF(INDEX(RUNS!$H$6:$H$1005,MATCH($D574,RUNS!$A$6:$A$1005,0))="","",INDEX(RUNS!$H$6:$H$1005,MATCH($D574,RUNS!$A$6:$A$1005,0))),""))</f>
        <v/>
      </c>
      <c r="P574" s="33">
        <f>IF($D574="","",IFERROR(IF(INDEX(RUNS!$J$6:$J$1005,MATCH($D574,RUNS!$A$6:$A$1005,0))="","",INDEX(RUNS!$J$6:$J$1005,MATCH($D574,RUNS!$A$6:$A$1005,0))),""))</f>
        <v/>
      </c>
      <c r="Q574" s="33">
        <f>IF($D574="","",IFERROR(IF(INDEX(RUNS!$K$6:$K$1005,MATCH($D574,RUNS!$A$6:$A$1005,0))="","",INDEX(RUNS!$K$6:$K$1005,MATCH($D574,RUNS!$A$6:$A$1005,0))),""))</f>
        <v/>
      </c>
      <c r="R574" s="34">
        <f>IF(OR($L574="",$K574=""),"",IFERROR(IF(INDEX(PARAMETRES!$H$43:$H$342,MATCH($L574&amp;"|"&amp;$M574&amp;"|"&amp;$N574&amp;"|"&amp;$O574&amp;"|"&amp;$P574&amp;"|"&amp;$Q574&amp;"|"&amp;$K574,PARAMETRES!$J$43:$J$342,0))="","",INDEX(PARAMETRES!$H$43:$H$342,MATCH($L574&amp;"|"&amp;$M574&amp;"|"&amp;$N574&amp;"|"&amp;$O574&amp;"|"&amp;$P574&amp;"|"&amp;$Q574&amp;"|"&amp;$K574,PARAMETRES!$J$43:$J$342,0))),""))</f>
        <v/>
      </c>
      <c r="S574" s="35">
        <f>IF(OR($G574="",$X574&lt;&gt;"VALIDE"),"",IFERROR(LOOKUP(2,1/(($B$3:$B573=$B574)*($G$3:$G573=$G574)*($X$3:$X573="VALIDE")),$C$3:$C573),""))</f>
        <v/>
      </c>
      <c r="T574" s="36">
        <f>IF(OR($C574="",$S574=""),"",ROUND(($C574-$S574+IF($C574&lt;$S574,1,0))*1440,0))</f>
        <v/>
      </c>
      <c r="U574" s="22">
        <f>IF(OR($H574="",$T574="",$T574&lt;=0),"",$H574*60/$T574)</f>
        <v/>
      </c>
      <c r="V574" s="37">
        <f>IF(OR($U574="",$R574="",$R574=0),"",$U574/$R574)</f>
        <v/>
      </c>
      <c r="W574" s="20">
        <f>IF($G574="","",IF($X574="CONTEXTE INCOMPLET","CONTEXTE INCOMPLET",IF($X574="DOUBLON",StatutDoublon,IF($S574="",StatutInitial,IF($R574="",StatutStandardManquant,IF($V574="","DONNEES INSUFFISANTES",IF($V574&gt;=SeuilConforme,StatutConforme,IF($V574&gt;=SeuilSurveiller,StatutSurveiller,StatutSousStandard))))))))</f>
        <v/>
      </c>
      <c r="X574" s="33">
        <f>IF($G574="","",IF(OR($D574="",$E574="",$F574=""),"CONTEXTE INCOMPLET",IF(COUNTIFS($D$3:$D573,$D574,$E$3:$E573,$E574,$F$3:$F573,$F574,$G$3:$G573,$G574)&gt;0,"DOUBLON","VALIDE")))</f>
        <v/>
      </c>
    </row>
    <row r="575" ht="15" customHeight="1">
      <c r="A575" s="12">
        <f>IF(OR($B575="",$G575=""),"",TEXT($B575,"YYYYMMDD")&amp;"-"&amp;SUBSTITUTE($E575," ","")&amp;"-"&amp;$F575&amp;"-"&amp;$G575)</f>
        <v/>
      </c>
      <c r="B575" s="15" t="n"/>
      <c r="C575" s="16" t="n"/>
      <c r="D575" s="10" t="n"/>
      <c r="E575" s="9" t="n"/>
      <c r="F575" s="9" t="n"/>
      <c r="G575" s="13" t="n"/>
      <c r="H575" s="21" t="n"/>
      <c r="I575" s="21" t="n"/>
      <c r="J575" s="17">
        <f>IF($G575="","",IFERROR(INDEX(NomsEmployes,MATCH($G575,MatriculesEmployes,0)),"MATRICULE INCONNU"))</f>
        <v/>
      </c>
      <c r="K575" s="33">
        <f>IF(OR($D575="",$F575=""),"",IFERROR(IF(INDEX(RUNS!$L$6:$S$1005,MATCH($D575,RUNS!$A$6:$A$1005,0),MATCH("ACTIVITÉ "&amp;$F575,RUNS!$L$5:$S$5,0))="","",INDEX(RUNS!$L$6:$S$1005,MATCH($D575,RUNS!$A$6:$A$1005,0),MATCH("ACTIVITÉ "&amp;$F575,RUNS!$L$5:$S$5,0))),""))</f>
        <v/>
      </c>
      <c r="L575" s="33">
        <f>IF($D575="","",IFERROR(IF(INDEX(RUNS!$E$6:$E$1005,MATCH($D575,RUNS!$A$6:$A$1005,0))="","",INDEX(RUNS!$E$6:$E$1005,MATCH($D575,RUNS!$A$6:$A$1005,0))),""))</f>
        <v/>
      </c>
      <c r="M575" s="33">
        <f>IF($D575="","",IFERROR(IF(INDEX(RUNS!$F$6:$F$1005,MATCH($D575,RUNS!$A$6:$A$1005,0))="","",INDEX(RUNS!$F$6:$F$1005,MATCH($D575,RUNS!$A$6:$A$1005,0))),""))</f>
        <v/>
      </c>
      <c r="N575" s="33">
        <f>IF($D575="","",IFERROR(IF(INDEX(RUNS!$G$6:$G$1005,MATCH($D575,RUNS!$A$6:$A$1005,0))="","",INDEX(RUNS!$G$6:$G$1005,MATCH($D575,RUNS!$A$6:$A$1005,0))),""))</f>
        <v/>
      </c>
      <c r="O575" s="33">
        <f>IF($D575="","",IFERROR(IF(INDEX(RUNS!$H$6:$H$1005,MATCH($D575,RUNS!$A$6:$A$1005,0))="","",INDEX(RUNS!$H$6:$H$1005,MATCH($D575,RUNS!$A$6:$A$1005,0))),""))</f>
        <v/>
      </c>
      <c r="P575" s="33">
        <f>IF($D575="","",IFERROR(IF(INDEX(RUNS!$J$6:$J$1005,MATCH($D575,RUNS!$A$6:$A$1005,0))="","",INDEX(RUNS!$J$6:$J$1005,MATCH($D575,RUNS!$A$6:$A$1005,0))),""))</f>
        <v/>
      </c>
      <c r="Q575" s="33">
        <f>IF($D575="","",IFERROR(IF(INDEX(RUNS!$K$6:$K$1005,MATCH($D575,RUNS!$A$6:$A$1005,0))="","",INDEX(RUNS!$K$6:$K$1005,MATCH($D575,RUNS!$A$6:$A$1005,0))),""))</f>
        <v/>
      </c>
      <c r="R575" s="34">
        <f>IF(OR($L575="",$K575=""),"",IFERROR(IF(INDEX(PARAMETRES!$H$43:$H$342,MATCH($L575&amp;"|"&amp;$M575&amp;"|"&amp;$N575&amp;"|"&amp;$O575&amp;"|"&amp;$P575&amp;"|"&amp;$Q575&amp;"|"&amp;$K575,PARAMETRES!$J$43:$J$342,0))="","",INDEX(PARAMETRES!$H$43:$H$342,MATCH($L575&amp;"|"&amp;$M575&amp;"|"&amp;$N575&amp;"|"&amp;$O575&amp;"|"&amp;$P575&amp;"|"&amp;$Q575&amp;"|"&amp;$K575,PARAMETRES!$J$43:$J$342,0))),""))</f>
        <v/>
      </c>
      <c r="S575" s="35">
        <f>IF(OR($G575="",$X575&lt;&gt;"VALIDE"),"",IFERROR(LOOKUP(2,1/(($B$3:$B574=$B575)*($G$3:$G574=$G575)*($X$3:$X574="VALIDE")),$C$3:$C574),""))</f>
        <v/>
      </c>
      <c r="T575" s="36">
        <f>IF(OR($C575="",$S575=""),"",ROUND(($C575-$S575+IF($C575&lt;$S575,1,0))*1440,0))</f>
        <v/>
      </c>
      <c r="U575" s="22">
        <f>IF(OR($H575="",$T575="",$T575&lt;=0),"",$H575*60/$T575)</f>
        <v/>
      </c>
      <c r="V575" s="37">
        <f>IF(OR($U575="",$R575="",$R575=0),"",$U575/$R575)</f>
        <v/>
      </c>
      <c r="W575" s="20">
        <f>IF($G575="","",IF($X575="CONTEXTE INCOMPLET","CONTEXTE INCOMPLET",IF($X575="DOUBLON",StatutDoublon,IF($S575="",StatutInitial,IF($R575="",StatutStandardManquant,IF($V575="","DONNEES INSUFFISANTES",IF($V575&gt;=SeuilConforme,StatutConforme,IF($V575&gt;=SeuilSurveiller,StatutSurveiller,StatutSousStandard))))))))</f>
        <v/>
      </c>
      <c r="X575" s="33">
        <f>IF($G575="","",IF(OR($D575="",$E575="",$F575=""),"CONTEXTE INCOMPLET",IF(COUNTIFS($D$3:$D574,$D575,$E$3:$E574,$E575,$F$3:$F574,$F575,$G$3:$G574,$G575)&gt;0,"DOUBLON","VALIDE")))</f>
        <v/>
      </c>
    </row>
    <row r="576" ht="15" customHeight="1">
      <c r="A576" s="12">
        <f>IF(OR($B576="",$G576=""),"",TEXT($B576,"YYYYMMDD")&amp;"-"&amp;SUBSTITUTE($E576," ","")&amp;"-"&amp;$F576&amp;"-"&amp;$G576)</f>
        <v/>
      </c>
      <c r="B576" s="15" t="n"/>
      <c r="C576" s="16" t="n"/>
      <c r="D576" s="10" t="n"/>
      <c r="E576" s="9" t="n"/>
      <c r="F576" s="9" t="n"/>
      <c r="G576" s="13" t="n"/>
      <c r="H576" s="21" t="n"/>
      <c r="I576" s="21" t="n"/>
      <c r="J576" s="17">
        <f>IF($G576="","",IFERROR(INDEX(NomsEmployes,MATCH($G576,MatriculesEmployes,0)),"MATRICULE INCONNU"))</f>
        <v/>
      </c>
      <c r="K576" s="33">
        <f>IF(OR($D576="",$F576=""),"",IFERROR(IF(INDEX(RUNS!$L$6:$S$1005,MATCH($D576,RUNS!$A$6:$A$1005,0),MATCH("ACTIVITÉ "&amp;$F576,RUNS!$L$5:$S$5,0))="","",INDEX(RUNS!$L$6:$S$1005,MATCH($D576,RUNS!$A$6:$A$1005,0),MATCH("ACTIVITÉ "&amp;$F576,RUNS!$L$5:$S$5,0))),""))</f>
        <v/>
      </c>
      <c r="L576" s="33">
        <f>IF($D576="","",IFERROR(IF(INDEX(RUNS!$E$6:$E$1005,MATCH($D576,RUNS!$A$6:$A$1005,0))="","",INDEX(RUNS!$E$6:$E$1005,MATCH($D576,RUNS!$A$6:$A$1005,0))),""))</f>
        <v/>
      </c>
      <c r="M576" s="33">
        <f>IF($D576="","",IFERROR(IF(INDEX(RUNS!$F$6:$F$1005,MATCH($D576,RUNS!$A$6:$A$1005,0))="","",INDEX(RUNS!$F$6:$F$1005,MATCH($D576,RUNS!$A$6:$A$1005,0))),""))</f>
        <v/>
      </c>
      <c r="N576" s="33">
        <f>IF($D576="","",IFERROR(IF(INDEX(RUNS!$G$6:$G$1005,MATCH($D576,RUNS!$A$6:$A$1005,0))="","",INDEX(RUNS!$G$6:$G$1005,MATCH($D576,RUNS!$A$6:$A$1005,0))),""))</f>
        <v/>
      </c>
      <c r="O576" s="33">
        <f>IF($D576="","",IFERROR(IF(INDEX(RUNS!$H$6:$H$1005,MATCH($D576,RUNS!$A$6:$A$1005,0))="","",INDEX(RUNS!$H$6:$H$1005,MATCH($D576,RUNS!$A$6:$A$1005,0))),""))</f>
        <v/>
      </c>
      <c r="P576" s="33">
        <f>IF($D576="","",IFERROR(IF(INDEX(RUNS!$J$6:$J$1005,MATCH($D576,RUNS!$A$6:$A$1005,0))="","",INDEX(RUNS!$J$6:$J$1005,MATCH($D576,RUNS!$A$6:$A$1005,0))),""))</f>
        <v/>
      </c>
      <c r="Q576" s="33">
        <f>IF($D576="","",IFERROR(IF(INDEX(RUNS!$K$6:$K$1005,MATCH($D576,RUNS!$A$6:$A$1005,0))="","",INDEX(RUNS!$K$6:$K$1005,MATCH($D576,RUNS!$A$6:$A$1005,0))),""))</f>
        <v/>
      </c>
      <c r="R576" s="34">
        <f>IF(OR($L576="",$K576=""),"",IFERROR(IF(INDEX(PARAMETRES!$H$43:$H$342,MATCH($L576&amp;"|"&amp;$M576&amp;"|"&amp;$N576&amp;"|"&amp;$O576&amp;"|"&amp;$P576&amp;"|"&amp;$Q576&amp;"|"&amp;$K576,PARAMETRES!$J$43:$J$342,0))="","",INDEX(PARAMETRES!$H$43:$H$342,MATCH($L576&amp;"|"&amp;$M576&amp;"|"&amp;$N576&amp;"|"&amp;$O576&amp;"|"&amp;$P576&amp;"|"&amp;$Q576&amp;"|"&amp;$K576,PARAMETRES!$J$43:$J$342,0))),""))</f>
        <v/>
      </c>
      <c r="S576" s="35">
        <f>IF(OR($G576="",$X576&lt;&gt;"VALIDE"),"",IFERROR(LOOKUP(2,1/(($B$3:$B575=$B576)*($G$3:$G575=$G576)*($X$3:$X575="VALIDE")),$C$3:$C575),""))</f>
        <v/>
      </c>
      <c r="T576" s="36">
        <f>IF(OR($C576="",$S576=""),"",ROUND(($C576-$S576+IF($C576&lt;$S576,1,0))*1440,0))</f>
        <v/>
      </c>
      <c r="U576" s="22">
        <f>IF(OR($H576="",$T576="",$T576&lt;=0),"",$H576*60/$T576)</f>
        <v/>
      </c>
      <c r="V576" s="37">
        <f>IF(OR($U576="",$R576="",$R576=0),"",$U576/$R576)</f>
        <v/>
      </c>
      <c r="W576" s="20">
        <f>IF($G576="","",IF($X576="CONTEXTE INCOMPLET","CONTEXTE INCOMPLET",IF($X576="DOUBLON",StatutDoublon,IF($S576="",StatutInitial,IF($R576="",StatutStandardManquant,IF($V576="","DONNEES INSUFFISANTES",IF($V576&gt;=SeuilConforme,StatutConforme,IF($V576&gt;=SeuilSurveiller,StatutSurveiller,StatutSousStandard))))))))</f>
        <v/>
      </c>
      <c r="X576" s="33">
        <f>IF($G576="","",IF(OR($D576="",$E576="",$F576=""),"CONTEXTE INCOMPLET",IF(COUNTIFS($D$3:$D575,$D576,$E$3:$E575,$E576,$F$3:$F575,$F576,$G$3:$G575,$G576)&gt;0,"DOUBLON","VALIDE")))</f>
        <v/>
      </c>
    </row>
    <row r="577" ht="15" customHeight="1">
      <c r="A577" s="12">
        <f>IF(OR($B577="",$G577=""),"",TEXT($B577,"YYYYMMDD")&amp;"-"&amp;SUBSTITUTE($E577," ","")&amp;"-"&amp;$F577&amp;"-"&amp;$G577)</f>
        <v/>
      </c>
      <c r="B577" s="15" t="n"/>
      <c r="C577" s="16" t="n"/>
      <c r="D577" s="10" t="n"/>
      <c r="E577" s="9" t="n"/>
      <c r="F577" s="9" t="n"/>
      <c r="G577" s="13" t="n"/>
      <c r="H577" s="21" t="n"/>
      <c r="I577" s="21" t="n"/>
      <c r="J577" s="17">
        <f>IF($G577="","",IFERROR(INDEX(NomsEmployes,MATCH($G577,MatriculesEmployes,0)),"MATRICULE INCONNU"))</f>
        <v/>
      </c>
      <c r="K577" s="33">
        <f>IF(OR($D577="",$F577=""),"",IFERROR(IF(INDEX(RUNS!$L$6:$S$1005,MATCH($D577,RUNS!$A$6:$A$1005,0),MATCH("ACTIVITÉ "&amp;$F577,RUNS!$L$5:$S$5,0))="","",INDEX(RUNS!$L$6:$S$1005,MATCH($D577,RUNS!$A$6:$A$1005,0),MATCH("ACTIVITÉ "&amp;$F577,RUNS!$L$5:$S$5,0))),""))</f>
        <v/>
      </c>
      <c r="L577" s="33">
        <f>IF($D577="","",IFERROR(IF(INDEX(RUNS!$E$6:$E$1005,MATCH($D577,RUNS!$A$6:$A$1005,0))="","",INDEX(RUNS!$E$6:$E$1005,MATCH($D577,RUNS!$A$6:$A$1005,0))),""))</f>
        <v/>
      </c>
      <c r="M577" s="33">
        <f>IF($D577="","",IFERROR(IF(INDEX(RUNS!$F$6:$F$1005,MATCH($D577,RUNS!$A$6:$A$1005,0))="","",INDEX(RUNS!$F$6:$F$1005,MATCH($D577,RUNS!$A$6:$A$1005,0))),""))</f>
        <v/>
      </c>
      <c r="N577" s="33">
        <f>IF($D577="","",IFERROR(IF(INDEX(RUNS!$G$6:$G$1005,MATCH($D577,RUNS!$A$6:$A$1005,0))="","",INDEX(RUNS!$G$6:$G$1005,MATCH($D577,RUNS!$A$6:$A$1005,0))),""))</f>
        <v/>
      </c>
      <c r="O577" s="33">
        <f>IF($D577="","",IFERROR(IF(INDEX(RUNS!$H$6:$H$1005,MATCH($D577,RUNS!$A$6:$A$1005,0))="","",INDEX(RUNS!$H$6:$H$1005,MATCH($D577,RUNS!$A$6:$A$1005,0))),""))</f>
        <v/>
      </c>
      <c r="P577" s="33">
        <f>IF($D577="","",IFERROR(IF(INDEX(RUNS!$J$6:$J$1005,MATCH($D577,RUNS!$A$6:$A$1005,0))="","",INDEX(RUNS!$J$6:$J$1005,MATCH($D577,RUNS!$A$6:$A$1005,0))),""))</f>
        <v/>
      </c>
      <c r="Q577" s="33">
        <f>IF($D577="","",IFERROR(IF(INDEX(RUNS!$K$6:$K$1005,MATCH($D577,RUNS!$A$6:$A$1005,0))="","",INDEX(RUNS!$K$6:$K$1005,MATCH($D577,RUNS!$A$6:$A$1005,0))),""))</f>
        <v/>
      </c>
      <c r="R577" s="34">
        <f>IF(OR($L577="",$K577=""),"",IFERROR(IF(INDEX(PARAMETRES!$H$43:$H$342,MATCH($L577&amp;"|"&amp;$M577&amp;"|"&amp;$N577&amp;"|"&amp;$O577&amp;"|"&amp;$P577&amp;"|"&amp;$Q577&amp;"|"&amp;$K577,PARAMETRES!$J$43:$J$342,0))="","",INDEX(PARAMETRES!$H$43:$H$342,MATCH($L577&amp;"|"&amp;$M577&amp;"|"&amp;$N577&amp;"|"&amp;$O577&amp;"|"&amp;$P577&amp;"|"&amp;$Q577&amp;"|"&amp;$K577,PARAMETRES!$J$43:$J$342,0))),""))</f>
        <v/>
      </c>
      <c r="S577" s="35">
        <f>IF(OR($G577="",$X577&lt;&gt;"VALIDE"),"",IFERROR(LOOKUP(2,1/(($B$3:$B576=$B577)*($G$3:$G576=$G577)*($X$3:$X576="VALIDE")),$C$3:$C576),""))</f>
        <v/>
      </c>
      <c r="T577" s="36">
        <f>IF(OR($C577="",$S577=""),"",ROUND(($C577-$S577+IF($C577&lt;$S577,1,0))*1440,0))</f>
        <v/>
      </c>
      <c r="U577" s="22">
        <f>IF(OR($H577="",$T577="",$T577&lt;=0),"",$H577*60/$T577)</f>
        <v/>
      </c>
      <c r="V577" s="37">
        <f>IF(OR($U577="",$R577="",$R577=0),"",$U577/$R577)</f>
        <v/>
      </c>
      <c r="W577" s="20">
        <f>IF($G577="","",IF($X577="CONTEXTE INCOMPLET","CONTEXTE INCOMPLET",IF($X577="DOUBLON",StatutDoublon,IF($S577="",StatutInitial,IF($R577="",StatutStandardManquant,IF($V577="","DONNEES INSUFFISANTES",IF($V577&gt;=SeuilConforme,StatutConforme,IF($V577&gt;=SeuilSurveiller,StatutSurveiller,StatutSousStandard))))))))</f>
        <v/>
      </c>
      <c r="X577" s="33">
        <f>IF($G577="","",IF(OR($D577="",$E577="",$F577=""),"CONTEXTE INCOMPLET",IF(COUNTIFS($D$3:$D576,$D577,$E$3:$E576,$E577,$F$3:$F576,$F577,$G$3:$G576,$G577)&gt;0,"DOUBLON","VALIDE")))</f>
        <v/>
      </c>
    </row>
    <row r="578" ht="15" customHeight="1">
      <c r="A578" s="12">
        <f>IF(OR($B578="",$G578=""),"",TEXT($B578,"YYYYMMDD")&amp;"-"&amp;SUBSTITUTE($E578," ","")&amp;"-"&amp;$F578&amp;"-"&amp;$G578)</f>
        <v/>
      </c>
      <c r="B578" s="15" t="n"/>
      <c r="C578" s="16" t="n"/>
      <c r="D578" s="10" t="n"/>
      <c r="E578" s="9" t="n"/>
      <c r="F578" s="9" t="n"/>
      <c r="G578" s="13" t="n"/>
      <c r="H578" s="21" t="n"/>
      <c r="I578" s="21" t="n"/>
      <c r="J578" s="17">
        <f>IF($G578="","",IFERROR(INDEX(NomsEmployes,MATCH($G578,MatriculesEmployes,0)),"MATRICULE INCONNU"))</f>
        <v/>
      </c>
      <c r="K578" s="33">
        <f>IF(OR($D578="",$F578=""),"",IFERROR(IF(INDEX(RUNS!$L$6:$S$1005,MATCH($D578,RUNS!$A$6:$A$1005,0),MATCH("ACTIVITÉ "&amp;$F578,RUNS!$L$5:$S$5,0))="","",INDEX(RUNS!$L$6:$S$1005,MATCH($D578,RUNS!$A$6:$A$1005,0),MATCH("ACTIVITÉ "&amp;$F578,RUNS!$L$5:$S$5,0))),""))</f>
        <v/>
      </c>
      <c r="L578" s="33">
        <f>IF($D578="","",IFERROR(IF(INDEX(RUNS!$E$6:$E$1005,MATCH($D578,RUNS!$A$6:$A$1005,0))="","",INDEX(RUNS!$E$6:$E$1005,MATCH($D578,RUNS!$A$6:$A$1005,0))),""))</f>
        <v/>
      </c>
      <c r="M578" s="33">
        <f>IF($D578="","",IFERROR(IF(INDEX(RUNS!$F$6:$F$1005,MATCH($D578,RUNS!$A$6:$A$1005,0))="","",INDEX(RUNS!$F$6:$F$1005,MATCH($D578,RUNS!$A$6:$A$1005,0))),""))</f>
        <v/>
      </c>
      <c r="N578" s="33">
        <f>IF($D578="","",IFERROR(IF(INDEX(RUNS!$G$6:$G$1005,MATCH($D578,RUNS!$A$6:$A$1005,0))="","",INDEX(RUNS!$G$6:$G$1005,MATCH($D578,RUNS!$A$6:$A$1005,0))),""))</f>
        <v/>
      </c>
      <c r="O578" s="33">
        <f>IF($D578="","",IFERROR(IF(INDEX(RUNS!$H$6:$H$1005,MATCH($D578,RUNS!$A$6:$A$1005,0))="","",INDEX(RUNS!$H$6:$H$1005,MATCH($D578,RUNS!$A$6:$A$1005,0))),""))</f>
        <v/>
      </c>
      <c r="P578" s="33">
        <f>IF($D578="","",IFERROR(IF(INDEX(RUNS!$J$6:$J$1005,MATCH($D578,RUNS!$A$6:$A$1005,0))="","",INDEX(RUNS!$J$6:$J$1005,MATCH($D578,RUNS!$A$6:$A$1005,0))),""))</f>
        <v/>
      </c>
      <c r="Q578" s="33">
        <f>IF($D578="","",IFERROR(IF(INDEX(RUNS!$K$6:$K$1005,MATCH($D578,RUNS!$A$6:$A$1005,0))="","",INDEX(RUNS!$K$6:$K$1005,MATCH($D578,RUNS!$A$6:$A$1005,0))),""))</f>
        <v/>
      </c>
      <c r="R578" s="34">
        <f>IF(OR($L578="",$K578=""),"",IFERROR(IF(INDEX(PARAMETRES!$H$43:$H$342,MATCH($L578&amp;"|"&amp;$M578&amp;"|"&amp;$N578&amp;"|"&amp;$O578&amp;"|"&amp;$P578&amp;"|"&amp;$Q578&amp;"|"&amp;$K578,PARAMETRES!$J$43:$J$342,0))="","",INDEX(PARAMETRES!$H$43:$H$342,MATCH($L578&amp;"|"&amp;$M578&amp;"|"&amp;$N578&amp;"|"&amp;$O578&amp;"|"&amp;$P578&amp;"|"&amp;$Q578&amp;"|"&amp;$K578,PARAMETRES!$J$43:$J$342,0))),""))</f>
        <v/>
      </c>
      <c r="S578" s="35">
        <f>IF(OR($G578="",$X578&lt;&gt;"VALIDE"),"",IFERROR(LOOKUP(2,1/(($B$3:$B577=$B578)*($G$3:$G577=$G578)*($X$3:$X577="VALIDE")),$C$3:$C577),""))</f>
        <v/>
      </c>
      <c r="T578" s="36">
        <f>IF(OR($C578="",$S578=""),"",ROUND(($C578-$S578+IF($C578&lt;$S578,1,0))*1440,0))</f>
        <v/>
      </c>
      <c r="U578" s="22">
        <f>IF(OR($H578="",$T578="",$T578&lt;=0),"",$H578*60/$T578)</f>
        <v/>
      </c>
      <c r="V578" s="37">
        <f>IF(OR($U578="",$R578="",$R578=0),"",$U578/$R578)</f>
        <v/>
      </c>
      <c r="W578" s="20">
        <f>IF($G578="","",IF($X578="CONTEXTE INCOMPLET","CONTEXTE INCOMPLET",IF($X578="DOUBLON",StatutDoublon,IF($S578="",StatutInitial,IF($R578="",StatutStandardManquant,IF($V578="","DONNEES INSUFFISANTES",IF($V578&gt;=SeuilConforme,StatutConforme,IF($V578&gt;=SeuilSurveiller,StatutSurveiller,StatutSousStandard))))))))</f>
        <v/>
      </c>
      <c r="X578" s="33">
        <f>IF($G578="","",IF(OR($D578="",$E578="",$F578=""),"CONTEXTE INCOMPLET",IF(COUNTIFS($D$3:$D577,$D578,$E$3:$E577,$E578,$F$3:$F577,$F578,$G$3:$G577,$G578)&gt;0,"DOUBLON","VALIDE")))</f>
        <v/>
      </c>
    </row>
    <row r="579" ht="15" customHeight="1">
      <c r="A579" s="12">
        <f>IF(OR($B579="",$G579=""),"",TEXT($B579,"YYYYMMDD")&amp;"-"&amp;SUBSTITUTE($E579," ","")&amp;"-"&amp;$F579&amp;"-"&amp;$G579)</f>
        <v/>
      </c>
      <c r="B579" s="15" t="n"/>
      <c r="C579" s="16" t="n"/>
      <c r="D579" s="10" t="n"/>
      <c r="E579" s="9" t="n"/>
      <c r="F579" s="9" t="n"/>
      <c r="G579" s="13" t="n"/>
      <c r="H579" s="21" t="n"/>
      <c r="I579" s="21" t="n"/>
      <c r="J579" s="17">
        <f>IF($G579="","",IFERROR(INDEX(NomsEmployes,MATCH($G579,MatriculesEmployes,0)),"MATRICULE INCONNU"))</f>
        <v/>
      </c>
      <c r="K579" s="33">
        <f>IF(OR($D579="",$F579=""),"",IFERROR(IF(INDEX(RUNS!$L$6:$S$1005,MATCH($D579,RUNS!$A$6:$A$1005,0),MATCH("ACTIVITÉ "&amp;$F579,RUNS!$L$5:$S$5,0))="","",INDEX(RUNS!$L$6:$S$1005,MATCH($D579,RUNS!$A$6:$A$1005,0),MATCH("ACTIVITÉ "&amp;$F579,RUNS!$L$5:$S$5,0))),""))</f>
        <v/>
      </c>
      <c r="L579" s="33">
        <f>IF($D579="","",IFERROR(IF(INDEX(RUNS!$E$6:$E$1005,MATCH($D579,RUNS!$A$6:$A$1005,0))="","",INDEX(RUNS!$E$6:$E$1005,MATCH($D579,RUNS!$A$6:$A$1005,0))),""))</f>
        <v/>
      </c>
      <c r="M579" s="33">
        <f>IF($D579="","",IFERROR(IF(INDEX(RUNS!$F$6:$F$1005,MATCH($D579,RUNS!$A$6:$A$1005,0))="","",INDEX(RUNS!$F$6:$F$1005,MATCH($D579,RUNS!$A$6:$A$1005,0))),""))</f>
        <v/>
      </c>
      <c r="N579" s="33">
        <f>IF($D579="","",IFERROR(IF(INDEX(RUNS!$G$6:$G$1005,MATCH($D579,RUNS!$A$6:$A$1005,0))="","",INDEX(RUNS!$G$6:$G$1005,MATCH($D579,RUNS!$A$6:$A$1005,0))),""))</f>
        <v/>
      </c>
      <c r="O579" s="33">
        <f>IF($D579="","",IFERROR(IF(INDEX(RUNS!$H$6:$H$1005,MATCH($D579,RUNS!$A$6:$A$1005,0))="","",INDEX(RUNS!$H$6:$H$1005,MATCH($D579,RUNS!$A$6:$A$1005,0))),""))</f>
        <v/>
      </c>
      <c r="P579" s="33">
        <f>IF($D579="","",IFERROR(IF(INDEX(RUNS!$J$6:$J$1005,MATCH($D579,RUNS!$A$6:$A$1005,0))="","",INDEX(RUNS!$J$6:$J$1005,MATCH($D579,RUNS!$A$6:$A$1005,0))),""))</f>
        <v/>
      </c>
      <c r="Q579" s="33">
        <f>IF($D579="","",IFERROR(IF(INDEX(RUNS!$K$6:$K$1005,MATCH($D579,RUNS!$A$6:$A$1005,0))="","",INDEX(RUNS!$K$6:$K$1005,MATCH($D579,RUNS!$A$6:$A$1005,0))),""))</f>
        <v/>
      </c>
      <c r="R579" s="34">
        <f>IF(OR($L579="",$K579=""),"",IFERROR(IF(INDEX(PARAMETRES!$H$43:$H$342,MATCH($L579&amp;"|"&amp;$M579&amp;"|"&amp;$N579&amp;"|"&amp;$O579&amp;"|"&amp;$P579&amp;"|"&amp;$Q579&amp;"|"&amp;$K579,PARAMETRES!$J$43:$J$342,0))="","",INDEX(PARAMETRES!$H$43:$H$342,MATCH($L579&amp;"|"&amp;$M579&amp;"|"&amp;$N579&amp;"|"&amp;$O579&amp;"|"&amp;$P579&amp;"|"&amp;$Q579&amp;"|"&amp;$K579,PARAMETRES!$J$43:$J$342,0))),""))</f>
        <v/>
      </c>
      <c r="S579" s="35">
        <f>IF(OR($G579="",$X579&lt;&gt;"VALIDE"),"",IFERROR(LOOKUP(2,1/(($B$3:$B578=$B579)*($G$3:$G578=$G579)*($X$3:$X578="VALIDE")),$C$3:$C578),""))</f>
        <v/>
      </c>
      <c r="T579" s="36">
        <f>IF(OR($C579="",$S579=""),"",ROUND(($C579-$S579+IF($C579&lt;$S579,1,0))*1440,0))</f>
        <v/>
      </c>
      <c r="U579" s="22">
        <f>IF(OR($H579="",$T579="",$T579&lt;=0),"",$H579*60/$T579)</f>
        <v/>
      </c>
      <c r="V579" s="37">
        <f>IF(OR($U579="",$R579="",$R579=0),"",$U579/$R579)</f>
        <v/>
      </c>
      <c r="W579" s="20">
        <f>IF($G579="","",IF($X579="CONTEXTE INCOMPLET","CONTEXTE INCOMPLET",IF($X579="DOUBLON",StatutDoublon,IF($S579="",StatutInitial,IF($R579="",StatutStandardManquant,IF($V579="","DONNEES INSUFFISANTES",IF($V579&gt;=SeuilConforme,StatutConforme,IF($V579&gt;=SeuilSurveiller,StatutSurveiller,StatutSousStandard))))))))</f>
        <v/>
      </c>
      <c r="X579" s="33">
        <f>IF($G579="","",IF(OR($D579="",$E579="",$F579=""),"CONTEXTE INCOMPLET",IF(COUNTIFS($D$3:$D578,$D579,$E$3:$E578,$E579,$F$3:$F578,$F579,$G$3:$G578,$G579)&gt;0,"DOUBLON","VALIDE")))</f>
        <v/>
      </c>
    </row>
    <row r="580" ht="15" customHeight="1">
      <c r="A580" s="12">
        <f>IF(OR($B580="",$G580=""),"",TEXT($B580,"YYYYMMDD")&amp;"-"&amp;SUBSTITUTE($E580," ","")&amp;"-"&amp;$F580&amp;"-"&amp;$G580)</f>
        <v/>
      </c>
      <c r="B580" s="15" t="n"/>
      <c r="C580" s="16" t="n"/>
      <c r="D580" s="10" t="n"/>
      <c r="E580" s="9" t="n"/>
      <c r="F580" s="9" t="n"/>
      <c r="G580" s="13" t="n"/>
      <c r="H580" s="21" t="n"/>
      <c r="I580" s="21" t="n"/>
      <c r="J580" s="17">
        <f>IF($G580="","",IFERROR(INDEX(NomsEmployes,MATCH($G580,MatriculesEmployes,0)),"MATRICULE INCONNU"))</f>
        <v/>
      </c>
      <c r="K580" s="33">
        <f>IF(OR($D580="",$F580=""),"",IFERROR(IF(INDEX(RUNS!$L$6:$S$1005,MATCH($D580,RUNS!$A$6:$A$1005,0),MATCH("ACTIVITÉ "&amp;$F580,RUNS!$L$5:$S$5,0))="","",INDEX(RUNS!$L$6:$S$1005,MATCH($D580,RUNS!$A$6:$A$1005,0),MATCH("ACTIVITÉ "&amp;$F580,RUNS!$L$5:$S$5,0))),""))</f>
        <v/>
      </c>
      <c r="L580" s="33">
        <f>IF($D580="","",IFERROR(IF(INDEX(RUNS!$E$6:$E$1005,MATCH($D580,RUNS!$A$6:$A$1005,0))="","",INDEX(RUNS!$E$6:$E$1005,MATCH($D580,RUNS!$A$6:$A$1005,0))),""))</f>
        <v/>
      </c>
      <c r="M580" s="33">
        <f>IF($D580="","",IFERROR(IF(INDEX(RUNS!$F$6:$F$1005,MATCH($D580,RUNS!$A$6:$A$1005,0))="","",INDEX(RUNS!$F$6:$F$1005,MATCH($D580,RUNS!$A$6:$A$1005,0))),""))</f>
        <v/>
      </c>
      <c r="N580" s="33">
        <f>IF($D580="","",IFERROR(IF(INDEX(RUNS!$G$6:$G$1005,MATCH($D580,RUNS!$A$6:$A$1005,0))="","",INDEX(RUNS!$G$6:$G$1005,MATCH($D580,RUNS!$A$6:$A$1005,0))),""))</f>
        <v/>
      </c>
      <c r="O580" s="33">
        <f>IF($D580="","",IFERROR(IF(INDEX(RUNS!$H$6:$H$1005,MATCH($D580,RUNS!$A$6:$A$1005,0))="","",INDEX(RUNS!$H$6:$H$1005,MATCH($D580,RUNS!$A$6:$A$1005,0))),""))</f>
        <v/>
      </c>
      <c r="P580" s="33">
        <f>IF($D580="","",IFERROR(IF(INDEX(RUNS!$J$6:$J$1005,MATCH($D580,RUNS!$A$6:$A$1005,0))="","",INDEX(RUNS!$J$6:$J$1005,MATCH($D580,RUNS!$A$6:$A$1005,0))),""))</f>
        <v/>
      </c>
      <c r="Q580" s="33">
        <f>IF($D580="","",IFERROR(IF(INDEX(RUNS!$K$6:$K$1005,MATCH($D580,RUNS!$A$6:$A$1005,0))="","",INDEX(RUNS!$K$6:$K$1005,MATCH($D580,RUNS!$A$6:$A$1005,0))),""))</f>
        <v/>
      </c>
      <c r="R580" s="34">
        <f>IF(OR($L580="",$K580=""),"",IFERROR(IF(INDEX(PARAMETRES!$H$43:$H$342,MATCH($L580&amp;"|"&amp;$M580&amp;"|"&amp;$N580&amp;"|"&amp;$O580&amp;"|"&amp;$P580&amp;"|"&amp;$Q580&amp;"|"&amp;$K580,PARAMETRES!$J$43:$J$342,0))="","",INDEX(PARAMETRES!$H$43:$H$342,MATCH($L580&amp;"|"&amp;$M580&amp;"|"&amp;$N580&amp;"|"&amp;$O580&amp;"|"&amp;$P580&amp;"|"&amp;$Q580&amp;"|"&amp;$K580,PARAMETRES!$J$43:$J$342,0))),""))</f>
        <v/>
      </c>
      <c r="S580" s="35">
        <f>IF(OR($G580="",$X580&lt;&gt;"VALIDE"),"",IFERROR(LOOKUP(2,1/(($B$3:$B579=$B580)*($G$3:$G579=$G580)*($X$3:$X579="VALIDE")),$C$3:$C579),""))</f>
        <v/>
      </c>
      <c r="T580" s="36">
        <f>IF(OR($C580="",$S580=""),"",ROUND(($C580-$S580+IF($C580&lt;$S580,1,0))*1440,0))</f>
        <v/>
      </c>
      <c r="U580" s="22">
        <f>IF(OR($H580="",$T580="",$T580&lt;=0),"",$H580*60/$T580)</f>
        <v/>
      </c>
      <c r="V580" s="37">
        <f>IF(OR($U580="",$R580="",$R580=0),"",$U580/$R580)</f>
        <v/>
      </c>
      <c r="W580" s="20">
        <f>IF($G580="","",IF($X580="CONTEXTE INCOMPLET","CONTEXTE INCOMPLET",IF($X580="DOUBLON",StatutDoublon,IF($S580="",StatutInitial,IF($R580="",StatutStandardManquant,IF($V580="","DONNEES INSUFFISANTES",IF($V580&gt;=SeuilConforme,StatutConforme,IF($V580&gt;=SeuilSurveiller,StatutSurveiller,StatutSousStandard))))))))</f>
        <v/>
      </c>
      <c r="X580" s="33">
        <f>IF($G580="","",IF(OR($D580="",$E580="",$F580=""),"CONTEXTE INCOMPLET",IF(COUNTIFS($D$3:$D579,$D580,$E$3:$E579,$E580,$F$3:$F579,$F580,$G$3:$G579,$G580)&gt;0,"DOUBLON","VALIDE")))</f>
        <v/>
      </c>
    </row>
    <row r="581" ht="15" customHeight="1">
      <c r="A581" s="12">
        <f>IF(OR($B581="",$G581=""),"",TEXT($B581,"YYYYMMDD")&amp;"-"&amp;SUBSTITUTE($E581," ","")&amp;"-"&amp;$F581&amp;"-"&amp;$G581)</f>
        <v/>
      </c>
      <c r="B581" s="15" t="n"/>
      <c r="C581" s="16" t="n"/>
      <c r="D581" s="10" t="n"/>
      <c r="E581" s="9" t="n"/>
      <c r="F581" s="9" t="n"/>
      <c r="G581" s="13" t="n"/>
      <c r="H581" s="21" t="n"/>
      <c r="I581" s="21" t="n"/>
      <c r="J581" s="17">
        <f>IF($G581="","",IFERROR(INDEX(NomsEmployes,MATCH($G581,MatriculesEmployes,0)),"MATRICULE INCONNU"))</f>
        <v/>
      </c>
      <c r="K581" s="33">
        <f>IF(OR($D581="",$F581=""),"",IFERROR(IF(INDEX(RUNS!$L$6:$S$1005,MATCH($D581,RUNS!$A$6:$A$1005,0),MATCH("ACTIVITÉ "&amp;$F581,RUNS!$L$5:$S$5,0))="","",INDEX(RUNS!$L$6:$S$1005,MATCH($D581,RUNS!$A$6:$A$1005,0),MATCH("ACTIVITÉ "&amp;$F581,RUNS!$L$5:$S$5,0))),""))</f>
        <v/>
      </c>
      <c r="L581" s="33">
        <f>IF($D581="","",IFERROR(IF(INDEX(RUNS!$E$6:$E$1005,MATCH($D581,RUNS!$A$6:$A$1005,0))="","",INDEX(RUNS!$E$6:$E$1005,MATCH($D581,RUNS!$A$6:$A$1005,0))),""))</f>
        <v/>
      </c>
      <c r="M581" s="33">
        <f>IF($D581="","",IFERROR(IF(INDEX(RUNS!$F$6:$F$1005,MATCH($D581,RUNS!$A$6:$A$1005,0))="","",INDEX(RUNS!$F$6:$F$1005,MATCH($D581,RUNS!$A$6:$A$1005,0))),""))</f>
        <v/>
      </c>
      <c r="N581" s="33">
        <f>IF($D581="","",IFERROR(IF(INDEX(RUNS!$G$6:$G$1005,MATCH($D581,RUNS!$A$6:$A$1005,0))="","",INDEX(RUNS!$G$6:$G$1005,MATCH($D581,RUNS!$A$6:$A$1005,0))),""))</f>
        <v/>
      </c>
      <c r="O581" s="33">
        <f>IF($D581="","",IFERROR(IF(INDEX(RUNS!$H$6:$H$1005,MATCH($D581,RUNS!$A$6:$A$1005,0))="","",INDEX(RUNS!$H$6:$H$1005,MATCH($D581,RUNS!$A$6:$A$1005,0))),""))</f>
        <v/>
      </c>
      <c r="P581" s="33">
        <f>IF($D581="","",IFERROR(IF(INDEX(RUNS!$J$6:$J$1005,MATCH($D581,RUNS!$A$6:$A$1005,0))="","",INDEX(RUNS!$J$6:$J$1005,MATCH($D581,RUNS!$A$6:$A$1005,0))),""))</f>
        <v/>
      </c>
      <c r="Q581" s="33">
        <f>IF($D581="","",IFERROR(IF(INDEX(RUNS!$K$6:$K$1005,MATCH($D581,RUNS!$A$6:$A$1005,0))="","",INDEX(RUNS!$K$6:$K$1005,MATCH($D581,RUNS!$A$6:$A$1005,0))),""))</f>
        <v/>
      </c>
      <c r="R581" s="34">
        <f>IF(OR($L581="",$K581=""),"",IFERROR(IF(INDEX(PARAMETRES!$H$43:$H$342,MATCH($L581&amp;"|"&amp;$M581&amp;"|"&amp;$N581&amp;"|"&amp;$O581&amp;"|"&amp;$P581&amp;"|"&amp;$Q581&amp;"|"&amp;$K581,PARAMETRES!$J$43:$J$342,0))="","",INDEX(PARAMETRES!$H$43:$H$342,MATCH($L581&amp;"|"&amp;$M581&amp;"|"&amp;$N581&amp;"|"&amp;$O581&amp;"|"&amp;$P581&amp;"|"&amp;$Q581&amp;"|"&amp;$K581,PARAMETRES!$J$43:$J$342,0))),""))</f>
        <v/>
      </c>
      <c r="S581" s="35">
        <f>IF(OR($G581="",$X581&lt;&gt;"VALIDE"),"",IFERROR(LOOKUP(2,1/(($B$3:$B580=$B581)*($G$3:$G580=$G581)*($X$3:$X580="VALIDE")),$C$3:$C580),""))</f>
        <v/>
      </c>
      <c r="T581" s="36">
        <f>IF(OR($C581="",$S581=""),"",ROUND(($C581-$S581+IF($C581&lt;$S581,1,0))*1440,0))</f>
        <v/>
      </c>
      <c r="U581" s="22">
        <f>IF(OR($H581="",$T581="",$T581&lt;=0),"",$H581*60/$T581)</f>
        <v/>
      </c>
      <c r="V581" s="37">
        <f>IF(OR($U581="",$R581="",$R581=0),"",$U581/$R581)</f>
        <v/>
      </c>
      <c r="W581" s="20">
        <f>IF($G581="","",IF($X581="CONTEXTE INCOMPLET","CONTEXTE INCOMPLET",IF($X581="DOUBLON",StatutDoublon,IF($S581="",StatutInitial,IF($R581="",StatutStandardManquant,IF($V581="","DONNEES INSUFFISANTES",IF($V581&gt;=SeuilConforme,StatutConforme,IF($V581&gt;=SeuilSurveiller,StatutSurveiller,StatutSousStandard))))))))</f>
        <v/>
      </c>
      <c r="X581" s="33">
        <f>IF($G581="","",IF(OR($D581="",$E581="",$F581=""),"CONTEXTE INCOMPLET",IF(COUNTIFS($D$3:$D580,$D581,$E$3:$E580,$E581,$F$3:$F580,$F581,$G$3:$G580,$G581)&gt;0,"DOUBLON","VALIDE")))</f>
        <v/>
      </c>
    </row>
    <row r="582" ht="15" customHeight="1">
      <c r="A582" s="12">
        <f>IF(OR($B582="",$G582=""),"",TEXT($B582,"YYYYMMDD")&amp;"-"&amp;SUBSTITUTE($E582," ","")&amp;"-"&amp;$F582&amp;"-"&amp;$G582)</f>
        <v/>
      </c>
      <c r="B582" s="15" t="n"/>
      <c r="C582" s="16" t="n"/>
      <c r="D582" s="10" t="n"/>
      <c r="E582" s="9" t="n"/>
      <c r="F582" s="9" t="n"/>
      <c r="G582" s="13" t="n"/>
      <c r="H582" s="21" t="n"/>
      <c r="I582" s="21" t="n"/>
      <c r="J582" s="17">
        <f>IF($G582="","",IFERROR(INDEX(NomsEmployes,MATCH($G582,MatriculesEmployes,0)),"MATRICULE INCONNU"))</f>
        <v/>
      </c>
      <c r="K582" s="33">
        <f>IF(OR($D582="",$F582=""),"",IFERROR(IF(INDEX(RUNS!$L$6:$S$1005,MATCH($D582,RUNS!$A$6:$A$1005,0),MATCH("ACTIVITÉ "&amp;$F582,RUNS!$L$5:$S$5,0))="","",INDEX(RUNS!$L$6:$S$1005,MATCH($D582,RUNS!$A$6:$A$1005,0),MATCH("ACTIVITÉ "&amp;$F582,RUNS!$L$5:$S$5,0))),""))</f>
        <v/>
      </c>
      <c r="L582" s="33">
        <f>IF($D582="","",IFERROR(IF(INDEX(RUNS!$E$6:$E$1005,MATCH($D582,RUNS!$A$6:$A$1005,0))="","",INDEX(RUNS!$E$6:$E$1005,MATCH($D582,RUNS!$A$6:$A$1005,0))),""))</f>
        <v/>
      </c>
      <c r="M582" s="33">
        <f>IF($D582="","",IFERROR(IF(INDEX(RUNS!$F$6:$F$1005,MATCH($D582,RUNS!$A$6:$A$1005,0))="","",INDEX(RUNS!$F$6:$F$1005,MATCH($D582,RUNS!$A$6:$A$1005,0))),""))</f>
        <v/>
      </c>
      <c r="N582" s="33">
        <f>IF($D582="","",IFERROR(IF(INDEX(RUNS!$G$6:$G$1005,MATCH($D582,RUNS!$A$6:$A$1005,0))="","",INDEX(RUNS!$G$6:$G$1005,MATCH($D582,RUNS!$A$6:$A$1005,0))),""))</f>
        <v/>
      </c>
      <c r="O582" s="33">
        <f>IF($D582="","",IFERROR(IF(INDEX(RUNS!$H$6:$H$1005,MATCH($D582,RUNS!$A$6:$A$1005,0))="","",INDEX(RUNS!$H$6:$H$1005,MATCH($D582,RUNS!$A$6:$A$1005,0))),""))</f>
        <v/>
      </c>
      <c r="P582" s="33">
        <f>IF($D582="","",IFERROR(IF(INDEX(RUNS!$J$6:$J$1005,MATCH($D582,RUNS!$A$6:$A$1005,0))="","",INDEX(RUNS!$J$6:$J$1005,MATCH($D582,RUNS!$A$6:$A$1005,0))),""))</f>
        <v/>
      </c>
      <c r="Q582" s="33">
        <f>IF($D582="","",IFERROR(IF(INDEX(RUNS!$K$6:$K$1005,MATCH($D582,RUNS!$A$6:$A$1005,0))="","",INDEX(RUNS!$K$6:$K$1005,MATCH($D582,RUNS!$A$6:$A$1005,0))),""))</f>
        <v/>
      </c>
      <c r="R582" s="34">
        <f>IF(OR($L582="",$K582=""),"",IFERROR(IF(INDEX(PARAMETRES!$H$43:$H$342,MATCH($L582&amp;"|"&amp;$M582&amp;"|"&amp;$N582&amp;"|"&amp;$O582&amp;"|"&amp;$P582&amp;"|"&amp;$Q582&amp;"|"&amp;$K582,PARAMETRES!$J$43:$J$342,0))="","",INDEX(PARAMETRES!$H$43:$H$342,MATCH($L582&amp;"|"&amp;$M582&amp;"|"&amp;$N582&amp;"|"&amp;$O582&amp;"|"&amp;$P582&amp;"|"&amp;$Q582&amp;"|"&amp;$K582,PARAMETRES!$J$43:$J$342,0))),""))</f>
        <v/>
      </c>
      <c r="S582" s="35">
        <f>IF(OR($G582="",$X582&lt;&gt;"VALIDE"),"",IFERROR(LOOKUP(2,1/(($B$3:$B581=$B582)*($G$3:$G581=$G582)*($X$3:$X581="VALIDE")),$C$3:$C581),""))</f>
        <v/>
      </c>
      <c r="T582" s="36">
        <f>IF(OR($C582="",$S582=""),"",ROUND(($C582-$S582+IF($C582&lt;$S582,1,0))*1440,0))</f>
        <v/>
      </c>
      <c r="U582" s="22">
        <f>IF(OR($H582="",$T582="",$T582&lt;=0),"",$H582*60/$T582)</f>
        <v/>
      </c>
      <c r="V582" s="37">
        <f>IF(OR($U582="",$R582="",$R582=0),"",$U582/$R582)</f>
        <v/>
      </c>
      <c r="W582" s="20">
        <f>IF($G582="","",IF($X582="CONTEXTE INCOMPLET","CONTEXTE INCOMPLET",IF($X582="DOUBLON",StatutDoublon,IF($S582="",StatutInitial,IF($R582="",StatutStandardManquant,IF($V582="","DONNEES INSUFFISANTES",IF($V582&gt;=SeuilConforme,StatutConforme,IF($V582&gt;=SeuilSurveiller,StatutSurveiller,StatutSousStandard))))))))</f>
        <v/>
      </c>
      <c r="X582" s="33">
        <f>IF($G582="","",IF(OR($D582="",$E582="",$F582=""),"CONTEXTE INCOMPLET",IF(COUNTIFS($D$3:$D581,$D582,$E$3:$E581,$E582,$F$3:$F581,$F582,$G$3:$G581,$G582)&gt;0,"DOUBLON","VALIDE")))</f>
        <v/>
      </c>
    </row>
    <row r="583" ht="15" customHeight="1">
      <c r="A583" s="12">
        <f>IF(OR($B583="",$G583=""),"",TEXT($B583,"YYYYMMDD")&amp;"-"&amp;SUBSTITUTE($E583," ","")&amp;"-"&amp;$F583&amp;"-"&amp;$G583)</f>
        <v/>
      </c>
      <c r="B583" s="15" t="n"/>
      <c r="C583" s="16" t="n"/>
      <c r="D583" s="10" t="n"/>
      <c r="E583" s="9" t="n"/>
      <c r="F583" s="9" t="n"/>
      <c r="G583" s="13" t="n"/>
      <c r="H583" s="21" t="n"/>
      <c r="I583" s="21" t="n"/>
      <c r="J583" s="17">
        <f>IF($G583="","",IFERROR(INDEX(NomsEmployes,MATCH($G583,MatriculesEmployes,0)),"MATRICULE INCONNU"))</f>
        <v/>
      </c>
      <c r="K583" s="33">
        <f>IF(OR($D583="",$F583=""),"",IFERROR(IF(INDEX(RUNS!$L$6:$S$1005,MATCH($D583,RUNS!$A$6:$A$1005,0),MATCH("ACTIVITÉ "&amp;$F583,RUNS!$L$5:$S$5,0))="","",INDEX(RUNS!$L$6:$S$1005,MATCH($D583,RUNS!$A$6:$A$1005,0),MATCH("ACTIVITÉ "&amp;$F583,RUNS!$L$5:$S$5,0))),""))</f>
        <v/>
      </c>
      <c r="L583" s="33">
        <f>IF($D583="","",IFERROR(IF(INDEX(RUNS!$E$6:$E$1005,MATCH($D583,RUNS!$A$6:$A$1005,0))="","",INDEX(RUNS!$E$6:$E$1005,MATCH($D583,RUNS!$A$6:$A$1005,0))),""))</f>
        <v/>
      </c>
      <c r="M583" s="33">
        <f>IF($D583="","",IFERROR(IF(INDEX(RUNS!$F$6:$F$1005,MATCH($D583,RUNS!$A$6:$A$1005,0))="","",INDEX(RUNS!$F$6:$F$1005,MATCH($D583,RUNS!$A$6:$A$1005,0))),""))</f>
        <v/>
      </c>
      <c r="N583" s="33">
        <f>IF($D583="","",IFERROR(IF(INDEX(RUNS!$G$6:$G$1005,MATCH($D583,RUNS!$A$6:$A$1005,0))="","",INDEX(RUNS!$G$6:$G$1005,MATCH($D583,RUNS!$A$6:$A$1005,0))),""))</f>
        <v/>
      </c>
      <c r="O583" s="33">
        <f>IF($D583="","",IFERROR(IF(INDEX(RUNS!$H$6:$H$1005,MATCH($D583,RUNS!$A$6:$A$1005,0))="","",INDEX(RUNS!$H$6:$H$1005,MATCH($D583,RUNS!$A$6:$A$1005,0))),""))</f>
        <v/>
      </c>
      <c r="P583" s="33">
        <f>IF($D583="","",IFERROR(IF(INDEX(RUNS!$J$6:$J$1005,MATCH($D583,RUNS!$A$6:$A$1005,0))="","",INDEX(RUNS!$J$6:$J$1005,MATCH($D583,RUNS!$A$6:$A$1005,0))),""))</f>
        <v/>
      </c>
      <c r="Q583" s="33">
        <f>IF($D583="","",IFERROR(IF(INDEX(RUNS!$K$6:$K$1005,MATCH($D583,RUNS!$A$6:$A$1005,0))="","",INDEX(RUNS!$K$6:$K$1005,MATCH($D583,RUNS!$A$6:$A$1005,0))),""))</f>
        <v/>
      </c>
      <c r="R583" s="34">
        <f>IF(OR($L583="",$K583=""),"",IFERROR(IF(INDEX(PARAMETRES!$H$43:$H$342,MATCH($L583&amp;"|"&amp;$M583&amp;"|"&amp;$N583&amp;"|"&amp;$O583&amp;"|"&amp;$P583&amp;"|"&amp;$Q583&amp;"|"&amp;$K583,PARAMETRES!$J$43:$J$342,0))="","",INDEX(PARAMETRES!$H$43:$H$342,MATCH($L583&amp;"|"&amp;$M583&amp;"|"&amp;$N583&amp;"|"&amp;$O583&amp;"|"&amp;$P583&amp;"|"&amp;$Q583&amp;"|"&amp;$K583,PARAMETRES!$J$43:$J$342,0))),""))</f>
        <v/>
      </c>
      <c r="S583" s="35">
        <f>IF(OR($G583="",$X583&lt;&gt;"VALIDE"),"",IFERROR(LOOKUP(2,1/(($B$3:$B582=$B583)*($G$3:$G582=$G583)*($X$3:$X582="VALIDE")),$C$3:$C582),""))</f>
        <v/>
      </c>
      <c r="T583" s="36">
        <f>IF(OR($C583="",$S583=""),"",ROUND(($C583-$S583+IF($C583&lt;$S583,1,0))*1440,0))</f>
        <v/>
      </c>
      <c r="U583" s="22">
        <f>IF(OR($H583="",$T583="",$T583&lt;=0),"",$H583*60/$T583)</f>
        <v/>
      </c>
      <c r="V583" s="37">
        <f>IF(OR($U583="",$R583="",$R583=0),"",$U583/$R583)</f>
        <v/>
      </c>
      <c r="W583" s="20">
        <f>IF($G583="","",IF($X583="CONTEXTE INCOMPLET","CONTEXTE INCOMPLET",IF($X583="DOUBLON",StatutDoublon,IF($S583="",StatutInitial,IF($R583="",StatutStandardManquant,IF($V583="","DONNEES INSUFFISANTES",IF($V583&gt;=SeuilConforme,StatutConforme,IF($V583&gt;=SeuilSurveiller,StatutSurveiller,StatutSousStandard))))))))</f>
        <v/>
      </c>
      <c r="X583" s="33">
        <f>IF($G583="","",IF(OR($D583="",$E583="",$F583=""),"CONTEXTE INCOMPLET",IF(COUNTIFS($D$3:$D582,$D583,$E$3:$E582,$E583,$F$3:$F582,$F583,$G$3:$G582,$G583)&gt;0,"DOUBLON","VALIDE")))</f>
        <v/>
      </c>
    </row>
    <row r="584" ht="15" customHeight="1">
      <c r="A584" s="12">
        <f>IF(OR($B584="",$G584=""),"",TEXT($B584,"YYYYMMDD")&amp;"-"&amp;SUBSTITUTE($E584," ","")&amp;"-"&amp;$F584&amp;"-"&amp;$G584)</f>
        <v/>
      </c>
      <c r="B584" s="15" t="n"/>
      <c r="C584" s="16" t="n"/>
      <c r="D584" s="10" t="n"/>
      <c r="E584" s="9" t="n"/>
      <c r="F584" s="9" t="n"/>
      <c r="G584" s="13" t="n"/>
      <c r="H584" s="21" t="n"/>
      <c r="I584" s="21" t="n"/>
      <c r="J584" s="17">
        <f>IF($G584="","",IFERROR(INDEX(NomsEmployes,MATCH($G584,MatriculesEmployes,0)),"MATRICULE INCONNU"))</f>
        <v/>
      </c>
      <c r="K584" s="33">
        <f>IF(OR($D584="",$F584=""),"",IFERROR(IF(INDEX(RUNS!$L$6:$S$1005,MATCH($D584,RUNS!$A$6:$A$1005,0),MATCH("ACTIVITÉ "&amp;$F584,RUNS!$L$5:$S$5,0))="","",INDEX(RUNS!$L$6:$S$1005,MATCH($D584,RUNS!$A$6:$A$1005,0),MATCH("ACTIVITÉ "&amp;$F584,RUNS!$L$5:$S$5,0))),""))</f>
        <v/>
      </c>
      <c r="L584" s="33">
        <f>IF($D584="","",IFERROR(IF(INDEX(RUNS!$E$6:$E$1005,MATCH($D584,RUNS!$A$6:$A$1005,0))="","",INDEX(RUNS!$E$6:$E$1005,MATCH($D584,RUNS!$A$6:$A$1005,0))),""))</f>
        <v/>
      </c>
      <c r="M584" s="33">
        <f>IF($D584="","",IFERROR(IF(INDEX(RUNS!$F$6:$F$1005,MATCH($D584,RUNS!$A$6:$A$1005,0))="","",INDEX(RUNS!$F$6:$F$1005,MATCH($D584,RUNS!$A$6:$A$1005,0))),""))</f>
        <v/>
      </c>
      <c r="N584" s="33">
        <f>IF($D584="","",IFERROR(IF(INDEX(RUNS!$G$6:$G$1005,MATCH($D584,RUNS!$A$6:$A$1005,0))="","",INDEX(RUNS!$G$6:$G$1005,MATCH($D584,RUNS!$A$6:$A$1005,0))),""))</f>
        <v/>
      </c>
      <c r="O584" s="33">
        <f>IF($D584="","",IFERROR(IF(INDEX(RUNS!$H$6:$H$1005,MATCH($D584,RUNS!$A$6:$A$1005,0))="","",INDEX(RUNS!$H$6:$H$1005,MATCH($D584,RUNS!$A$6:$A$1005,0))),""))</f>
        <v/>
      </c>
      <c r="P584" s="33">
        <f>IF($D584="","",IFERROR(IF(INDEX(RUNS!$J$6:$J$1005,MATCH($D584,RUNS!$A$6:$A$1005,0))="","",INDEX(RUNS!$J$6:$J$1005,MATCH($D584,RUNS!$A$6:$A$1005,0))),""))</f>
        <v/>
      </c>
      <c r="Q584" s="33">
        <f>IF($D584="","",IFERROR(IF(INDEX(RUNS!$K$6:$K$1005,MATCH($D584,RUNS!$A$6:$A$1005,0))="","",INDEX(RUNS!$K$6:$K$1005,MATCH($D584,RUNS!$A$6:$A$1005,0))),""))</f>
        <v/>
      </c>
      <c r="R584" s="34">
        <f>IF(OR($L584="",$K584=""),"",IFERROR(IF(INDEX(PARAMETRES!$H$43:$H$342,MATCH($L584&amp;"|"&amp;$M584&amp;"|"&amp;$N584&amp;"|"&amp;$O584&amp;"|"&amp;$P584&amp;"|"&amp;$Q584&amp;"|"&amp;$K584,PARAMETRES!$J$43:$J$342,0))="","",INDEX(PARAMETRES!$H$43:$H$342,MATCH($L584&amp;"|"&amp;$M584&amp;"|"&amp;$N584&amp;"|"&amp;$O584&amp;"|"&amp;$P584&amp;"|"&amp;$Q584&amp;"|"&amp;$K584,PARAMETRES!$J$43:$J$342,0))),""))</f>
        <v/>
      </c>
      <c r="S584" s="35">
        <f>IF(OR($G584="",$X584&lt;&gt;"VALIDE"),"",IFERROR(LOOKUP(2,1/(($B$3:$B583=$B584)*($G$3:$G583=$G584)*($X$3:$X583="VALIDE")),$C$3:$C583),""))</f>
        <v/>
      </c>
      <c r="T584" s="36">
        <f>IF(OR($C584="",$S584=""),"",ROUND(($C584-$S584+IF($C584&lt;$S584,1,0))*1440,0))</f>
        <v/>
      </c>
      <c r="U584" s="22">
        <f>IF(OR($H584="",$T584="",$T584&lt;=0),"",$H584*60/$T584)</f>
        <v/>
      </c>
      <c r="V584" s="37">
        <f>IF(OR($U584="",$R584="",$R584=0),"",$U584/$R584)</f>
        <v/>
      </c>
      <c r="W584" s="20">
        <f>IF($G584="","",IF($X584="CONTEXTE INCOMPLET","CONTEXTE INCOMPLET",IF($X584="DOUBLON",StatutDoublon,IF($S584="",StatutInitial,IF($R584="",StatutStandardManquant,IF($V584="","DONNEES INSUFFISANTES",IF($V584&gt;=SeuilConforme,StatutConforme,IF($V584&gt;=SeuilSurveiller,StatutSurveiller,StatutSousStandard))))))))</f>
        <v/>
      </c>
      <c r="X584" s="33">
        <f>IF($G584="","",IF(OR($D584="",$E584="",$F584=""),"CONTEXTE INCOMPLET",IF(COUNTIFS($D$3:$D583,$D584,$E$3:$E583,$E584,$F$3:$F583,$F584,$G$3:$G583,$G584)&gt;0,"DOUBLON","VALIDE")))</f>
        <v/>
      </c>
    </row>
    <row r="585" ht="15" customHeight="1">
      <c r="A585" s="12">
        <f>IF(OR($B585="",$G585=""),"",TEXT($B585,"YYYYMMDD")&amp;"-"&amp;SUBSTITUTE($E585," ","")&amp;"-"&amp;$F585&amp;"-"&amp;$G585)</f>
        <v/>
      </c>
      <c r="B585" s="15" t="n"/>
      <c r="C585" s="16" t="n"/>
      <c r="D585" s="10" t="n"/>
      <c r="E585" s="9" t="n"/>
      <c r="F585" s="9" t="n"/>
      <c r="G585" s="13" t="n"/>
      <c r="H585" s="21" t="n"/>
      <c r="I585" s="21" t="n"/>
      <c r="J585" s="17">
        <f>IF($G585="","",IFERROR(INDEX(NomsEmployes,MATCH($G585,MatriculesEmployes,0)),"MATRICULE INCONNU"))</f>
        <v/>
      </c>
      <c r="K585" s="33">
        <f>IF(OR($D585="",$F585=""),"",IFERROR(IF(INDEX(RUNS!$L$6:$S$1005,MATCH($D585,RUNS!$A$6:$A$1005,0),MATCH("ACTIVITÉ "&amp;$F585,RUNS!$L$5:$S$5,0))="","",INDEX(RUNS!$L$6:$S$1005,MATCH($D585,RUNS!$A$6:$A$1005,0),MATCH("ACTIVITÉ "&amp;$F585,RUNS!$L$5:$S$5,0))),""))</f>
        <v/>
      </c>
      <c r="L585" s="33">
        <f>IF($D585="","",IFERROR(IF(INDEX(RUNS!$E$6:$E$1005,MATCH($D585,RUNS!$A$6:$A$1005,0))="","",INDEX(RUNS!$E$6:$E$1005,MATCH($D585,RUNS!$A$6:$A$1005,0))),""))</f>
        <v/>
      </c>
      <c r="M585" s="33">
        <f>IF($D585="","",IFERROR(IF(INDEX(RUNS!$F$6:$F$1005,MATCH($D585,RUNS!$A$6:$A$1005,0))="","",INDEX(RUNS!$F$6:$F$1005,MATCH($D585,RUNS!$A$6:$A$1005,0))),""))</f>
        <v/>
      </c>
      <c r="N585" s="33">
        <f>IF($D585="","",IFERROR(IF(INDEX(RUNS!$G$6:$G$1005,MATCH($D585,RUNS!$A$6:$A$1005,0))="","",INDEX(RUNS!$G$6:$G$1005,MATCH($D585,RUNS!$A$6:$A$1005,0))),""))</f>
        <v/>
      </c>
      <c r="O585" s="33">
        <f>IF($D585="","",IFERROR(IF(INDEX(RUNS!$H$6:$H$1005,MATCH($D585,RUNS!$A$6:$A$1005,0))="","",INDEX(RUNS!$H$6:$H$1005,MATCH($D585,RUNS!$A$6:$A$1005,0))),""))</f>
        <v/>
      </c>
      <c r="P585" s="33">
        <f>IF($D585="","",IFERROR(IF(INDEX(RUNS!$J$6:$J$1005,MATCH($D585,RUNS!$A$6:$A$1005,0))="","",INDEX(RUNS!$J$6:$J$1005,MATCH($D585,RUNS!$A$6:$A$1005,0))),""))</f>
        <v/>
      </c>
      <c r="Q585" s="33">
        <f>IF($D585="","",IFERROR(IF(INDEX(RUNS!$K$6:$K$1005,MATCH($D585,RUNS!$A$6:$A$1005,0))="","",INDEX(RUNS!$K$6:$K$1005,MATCH($D585,RUNS!$A$6:$A$1005,0))),""))</f>
        <v/>
      </c>
      <c r="R585" s="34">
        <f>IF(OR($L585="",$K585=""),"",IFERROR(IF(INDEX(PARAMETRES!$H$43:$H$342,MATCH($L585&amp;"|"&amp;$M585&amp;"|"&amp;$N585&amp;"|"&amp;$O585&amp;"|"&amp;$P585&amp;"|"&amp;$Q585&amp;"|"&amp;$K585,PARAMETRES!$J$43:$J$342,0))="","",INDEX(PARAMETRES!$H$43:$H$342,MATCH($L585&amp;"|"&amp;$M585&amp;"|"&amp;$N585&amp;"|"&amp;$O585&amp;"|"&amp;$P585&amp;"|"&amp;$Q585&amp;"|"&amp;$K585,PARAMETRES!$J$43:$J$342,0))),""))</f>
        <v/>
      </c>
      <c r="S585" s="35">
        <f>IF(OR($G585="",$X585&lt;&gt;"VALIDE"),"",IFERROR(LOOKUP(2,1/(($B$3:$B584=$B585)*($G$3:$G584=$G585)*($X$3:$X584="VALIDE")),$C$3:$C584),""))</f>
        <v/>
      </c>
      <c r="T585" s="36">
        <f>IF(OR($C585="",$S585=""),"",ROUND(($C585-$S585+IF($C585&lt;$S585,1,0))*1440,0))</f>
        <v/>
      </c>
      <c r="U585" s="22">
        <f>IF(OR($H585="",$T585="",$T585&lt;=0),"",$H585*60/$T585)</f>
        <v/>
      </c>
      <c r="V585" s="37">
        <f>IF(OR($U585="",$R585="",$R585=0),"",$U585/$R585)</f>
        <v/>
      </c>
      <c r="W585" s="20">
        <f>IF($G585="","",IF($X585="CONTEXTE INCOMPLET","CONTEXTE INCOMPLET",IF($X585="DOUBLON",StatutDoublon,IF($S585="",StatutInitial,IF($R585="",StatutStandardManquant,IF($V585="","DONNEES INSUFFISANTES",IF($V585&gt;=SeuilConforme,StatutConforme,IF($V585&gt;=SeuilSurveiller,StatutSurveiller,StatutSousStandard))))))))</f>
        <v/>
      </c>
      <c r="X585" s="33">
        <f>IF($G585="","",IF(OR($D585="",$E585="",$F585=""),"CONTEXTE INCOMPLET",IF(COUNTIFS($D$3:$D584,$D585,$E$3:$E584,$E585,$F$3:$F584,$F585,$G$3:$G584,$G585)&gt;0,"DOUBLON","VALIDE")))</f>
        <v/>
      </c>
    </row>
    <row r="586" ht="15" customHeight="1">
      <c r="A586" s="12">
        <f>IF(OR($B586="",$G586=""),"",TEXT($B586,"YYYYMMDD")&amp;"-"&amp;SUBSTITUTE($E586," ","")&amp;"-"&amp;$F586&amp;"-"&amp;$G586)</f>
        <v/>
      </c>
      <c r="B586" s="15" t="n"/>
      <c r="C586" s="16" t="n"/>
      <c r="D586" s="10" t="n"/>
      <c r="E586" s="9" t="n"/>
      <c r="F586" s="9" t="n"/>
      <c r="G586" s="13" t="n"/>
      <c r="H586" s="21" t="n"/>
      <c r="I586" s="21" t="n"/>
      <c r="J586" s="17">
        <f>IF($G586="","",IFERROR(INDEX(NomsEmployes,MATCH($G586,MatriculesEmployes,0)),"MATRICULE INCONNU"))</f>
        <v/>
      </c>
      <c r="K586" s="33">
        <f>IF(OR($D586="",$F586=""),"",IFERROR(IF(INDEX(RUNS!$L$6:$S$1005,MATCH($D586,RUNS!$A$6:$A$1005,0),MATCH("ACTIVITÉ "&amp;$F586,RUNS!$L$5:$S$5,0))="","",INDEX(RUNS!$L$6:$S$1005,MATCH($D586,RUNS!$A$6:$A$1005,0),MATCH("ACTIVITÉ "&amp;$F586,RUNS!$L$5:$S$5,0))),""))</f>
        <v/>
      </c>
      <c r="L586" s="33">
        <f>IF($D586="","",IFERROR(IF(INDEX(RUNS!$E$6:$E$1005,MATCH($D586,RUNS!$A$6:$A$1005,0))="","",INDEX(RUNS!$E$6:$E$1005,MATCH($D586,RUNS!$A$6:$A$1005,0))),""))</f>
        <v/>
      </c>
      <c r="M586" s="33">
        <f>IF($D586="","",IFERROR(IF(INDEX(RUNS!$F$6:$F$1005,MATCH($D586,RUNS!$A$6:$A$1005,0))="","",INDEX(RUNS!$F$6:$F$1005,MATCH($D586,RUNS!$A$6:$A$1005,0))),""))</f>
        <v/>
      </c>
      <c r="N586" s="33">
        <f>IF($D586="","",IFERROR(IF(INDEX(RUNS!$G$6:$G$1005,MATCH($D586,RUNS!$A$6:$A$1005,0))="","",INDEX(RUNS!$G$6:$G$1005,MATCH($D586,RUNS!$A$6:$A$1005,0))),""))</f>
        <v/>
      </c>
      <c r="O586" s="33">
        <f>IF($D586="","",IFERROR(IF(INDEX(RUNS!$H$6:$H$1005,MATCH($D586,RUNS!$A$6:$A$1005,0))="","",INDEX(RUNS!$H$6:$H$1005,MATCH($D586,RUNS!$A$6:$A$1005,0))),""))</f>
        <v/>
      </c>
      <c r="P586" s="33">
        <f>IF($D586="","",IFERROR(IF(INDEX(RUNS!$J$6:$J$1005,MATCH($D586,RUNS!$A$6:$A$1005,0))="","",INDEX(RUNS!$J$6:$J$1005,MATCH($D586,RUNS!$A$6:$A$1005,0))),""))</f>
        <v/>
      </c>
      <c r="Q586" s="33">
        <f>IF($D586="","",IFERROR(IF(INDEX(RUNS!$K$6:$K$1005,MATCH($D586,RUNS!$A$6:$A$1005,0))="","",INDEX(RUNS!$K$6:$K$1005,MATCH($D586,RUNS!$A$6:$A$1005,0))),""))</f>
        <v/>
      </c>
      <c r="R586" s="34">
        <f>IF(OR($L586="",$K586=""),"",IFERROR(IF(INDEX(PARAMETRES!$H$43:$H$342,MATCH($L586&amp;"|"&amp;$M586&amp;"|"&amp;$N586&amp;"|"&amp;$O586&amp;"|"&amp;$P586&amp;"|"&amp;$Q586&amp;"|"&amp;$K586,PARAMETRES!$J$43:$J$342,0))="","",INDEX(PARAMETRES!$H$43:$H$342,MATCH($L586&amp;"|"&amp;$M586&amp;"|"&amp;$N586&amp;"|"&amp;$O586&amp;"|"&amp;$P586&amp;"|"&amp;$Q586&amp;"|"&amp;$K586,PARAMETRES!$J$43:$J$342,0))),""))</f>
        <v/>
      </c>
      <c r="S586" s="35">
        <f>IF(OR($G586="",$X586&lt;&gt;"VALIDE"),"",IFERROR(LOOKUP(2,1/(($B$3:$B585=$B586)*($G$3:$G585=$G586)*($X$3:$X585="VALIDE")),$C$3:$C585),""))</f>
        <v/>
      </c>
      <c r="T586" s="36">
        <f>IF(OR($C586="",$S586=""),"",ROUND(($C586-$S586+IF($C586&lt;$S586,1,0))*1440,0))</f>
        <v/>
      </c>
      <c r="U586" s="22">
        <f>IF(OR($H586="",$T586="",$T586&lt;=0),"",$H586*60/$T586)</f>
        <v/>
      </c>
      <c r="V586" s="37">
        <f>IF(OR($U586="",$R586="",$R586=0),"",$U586/$R586)</f>
        <v/>
      </c>
      <c r="W586" s="20">
        <f>IF($G586="","",IF($X586="CONTEXTE INCOMPLET","CONTEXTE INCOMPLET",IF($X586="DOUBLON",StatutDoublon,IF($S586="",StatutInitial,IF($R586="",StatutStandardManquant,IF($V586="","DONNEES INSUFFISANTES",IF($V586&gt;=SeuilConforme,StatutConforme,IF($V586&gt;=SeuilSurveiller,StatutSurveiller,StatutSousStandard))))))))</f>
        <v/>
      </c>
      <c r="X586" s="33">
        <f>IF($G586="","",IF(OR($D586="",$E586="",$F586=""),"CONTEXTE INCOMPLET",IF(COUNTIFS($D$3:$D585,$D586,$E$3:$E585,$E586,$F$3:$F585,$F586,$G$3:$G585,$G586)&gt;0,"DOUBLON","VALIDE")))</f>
        <v/>
      </c>
    </row>
    <row r="587" ht="15" customHeight="1">
      <c r="A587" s="12">
        <f>IF(OR($B587="",$G587=""),"",TEXT($B587,"YYYYMMDD")&amp;"-"&amp;SUBSTITUTE($E587," ","")&amp;"-"&amp;$F587&amp;"-"&amp;$G587)</f>
        <v/>
      </c>
      <c r="B587" s="15" t="n"/>
      <c r="C587" s="16" t="n"/>
      <c r="D587" s="10" t="n"/>
      <c r="E587" s="9" t="n"/>
      <c r="F587" s="9" t="n"/>
      <c r="G587" s="13" t="n"/>
      <c r="H587" s="21" t="n"/>
      <c r="I587" s="21" t="n"/>
      <c r="J587" s="17">
        <f>IF($G587="","",IFERROR(INDEX(NomsEmployes,MATCH($G587,MatriculesEmployes,0)),"MATRICULE INCONNU"))</f>
        <v/>
      </c>
      <c r="K587" s="33">
        <f>IF(OR($D587="",$F587=""),"",IFERROR(IF(INDEX(RUNS!$L$6:$S$1005,MATCH($D587,RUNS!$A$6:$A$1005,0),MATCH("ACTIVITÉ "&amp;$F587,RUNS!$L$5:$S$5,0))="","",INDEX(RUNS!$L$6:$S$1005,MATCH($D587,RUNS!$A$6:$A$1005,0),MATCH("ACTIVITÉ "&amp;$F587,RUNS!$L$5:$S$5,0))),""))</f>
        <v/>
      </c>
      <c r="L587" s="33">
        <f>IF($D587="","",IFERROR(IF(INDEX(RUNS!$E$6:$E$1005,MATCH($D587,RUNS!$A$6:$A$1005,0))="","",INDEX(RUNS!$E$6:$E$1005,MATCH($D587,RUNS!$A$6:$A$1005,0))),""))</f>
        <v/>
      </c>
      <c r="M587" s="33">
        <f>IF($D587="","",IFERROR(IF(INDEX(RUNS!$F$6:$F$1005,MATCH($D587,RUNS!$A$6:$A$1005,0))="","",INDEX(RUNS!$F$6:$F$1005,MATCH($D587,RUNS!$A$6:$A$1005,0))),""))</f>
        <v/>
      </c>
      <c r="N587" s="33">
        <f>IF($D587="","",IFERROR(IF(INDEX(RUNS!$G$6:$G$1005,MATCH($D587,RUNS!$A$6:$A$1005,0))="","",INDEX(RUNS!$G$6:$G$1005,MATCH($D587,RUNS!$A$6:$A$1005,0))),""))</f>
        <v/>
      </c>
      <c r="O587" s="33">
        <f>IF($D587="","",IFERROR(IF(INDEX(RUNS!$H$6:$H$1005,MATCH($D587,RUNS!$A$6:$A$1005,0))="","",INDEX(RUNS!$H$6:$H$1005,MATCH($D587,RUNS!$A$6:$A$1005,0))),""))</f>
        <v/>
      </c>
      <c r="P587" s="33">
        <f>IF($D587="","",IFERROR(IF(INDEX(RUNS!$J$6:$J$1005,MATCH($D587,RUNS!$A$6:$A$1005,0))="","",INDEX(RUNS!$J$6:$J$1005,MATCH($D587,RUNS!$A$6:$A$1005,0))),""))</f>
        <v/>
      </c>
      <c r="Q587" s="33">
        <f>IF($D587="","",IFERROR(IF(INDEX(RUNS!$K$6:$K$1005,MATCH($D587,RUNS!$A$6:$A$1005,0))="","",INDEX(RUNS!$K$6:$K$1005,MATCH($D587,RUNS!$A$6:$A$1005,0))),""))</f>
        <v/>
      </c>
      <c r="R587" s="34">
        <f>IF(OR($L587="",$K587=""),"",IFERROR(IF(INDEX(PARAMETRES!$H$43:$H$342,MATCH($L587&amp;"|"&amp;$M587&amp;"|"&amp;$N587&amp;"|"&amp;$O587&amp;"|"&amp;$P587&amp;"|"&amp;$Q587&amp;"|"&amp;$K587,PARAMETRES!$J$43:$J$342,0))="","",INDEX(PARAMETRES!$H$43:$H$342,MATCH($L587&amp;"|"&amp;$M587&amp;"|"&amp;$N587&amp;"|"&amp;$O587&amp;"|"&amp;$P587&amp;"|"&amp;$Q587&amp;"|"&amp;$K587,PARAMETRES!$J$43:$J$342,0))),""))</f>
        <v/>
      </c>
      <c r="S587" s="35">
        <f>IF(OR($G587="",$X587&lt;&gt;"VALIDE"),"",IFERROR(LOOKUP(2,1/(($B$3:$B586=$B587)*($G$3:$G586=$G587)*($X$3:$X586="VALIDE")),$C$3:$C586),""))</f>
        <v/>
      </c>
      <c r="T587" s="36">
        <f>IF(OR($C587="",$S587=""),"",ROUND(($C587-$S587+IF($C587&lt;$S587,1,0))*1440,0))</f>
        <v/>
      </c>
      <c r="U587" s="22">
        <f>IF(OR($H587="",$T587="",$T587&lt;=0),"",$H587*60/$T587)</f>
        <v/>
      </c>
      <c r="V587" s="37">
        <f>IF(OR($U587="",$R587="",$R587=0),"",$U587/$R587)</f>
        <v/>
      </c>
      <c r="W587" s="20">
        <f>IF($G587="","",IF($X587="CONTEXTE INCOMPLET","CONTEXTE INCOMPLET",IF($X587="DOUBLON",StatutDoublon,IF($S587="",StatutInitial,IF($R587="",StatutStandardManquant,IF($V587="","DONNEES INSUFFISANTES",IF($V587&gt;=SeuilConforme,StatutConforme,IF($V587&gt;=SeuilSurveiller,StatutSurveiller,StatutSousStandard))))))))</f>
        <v/>
      </c>
      <c r="X587" s="33">
        <f>IF($G587="","",IF(OR($D587="",$E587="",$F587=""),"CONTEXTE INCOMPLET",IF(COUNTIFS($D$3:$D586,$D587,$E$3:$E586,$E587,$F$3:$F586,$F587,$G$3:$G586,$G587)&gt;0,"DOUBLON","VALIDE")))</f>
        <v/>
      </c>
    </row>
    <row r="588" ht="15" customHeight="1">
      <c r="A588" s="12">
        <f>IF(OR($B588="",$G588=""),"",TEXT($B588,"YYYYMMDD")&amp;"-"&amp;SUBSTITUTE($E588," ","")&amp;"-"&amp;$F588&amp;"-"&amp;$G588)</f>
        <v/>
      </c>
      <c r="B588" s="15" t="n"/>
      <c r="C588" s="16" t="n"/>
      <c r="D588" s="10" t="n"/>
      <c r="E588" s="9" t="n"/>
      <c r="F588" s="9" t="n"/>
      <c r="G588" s="13" t="n"/>
      <c r="H588" s="21" t="n"/>
      <c r="I588" s="21" t="n"/>
      <c r="J588" s="17">
        <f>IF($G588="","",IFERROR(INDEX(NomsEmployes,MATCH($G588,MatriculesEmployes,0)),"MATRICULE INCONNU"))</f>
        <v/>
      </c>
      <c r="K588" s="33">
        <f>IF(OR($D588="",$F588=""),"",IFERROR(IF(INDEX(RUNS!$L$6:$S$1005,MATCH($D588,RUNS!$A$6:$A$1005,0),MATCH("ACTIVITÉ "&amp;$F588,RUNS!$L$5:$S$5,0))="","",INDEX(RUNS!$L$6:$S$1005,MATCH($D588,RUNS!$A$6:$A$1005,0),MATCH("ACTIVITÉ "&amp;$F588,RUNS!$L$5:$S$5,0))),""))</f>
        <v/>
      </c>
      <c r="L588" s="33">
        <f>IF($D588="","",IFERROR(IF(INDEX(RUNS!$E$6:$E$1005,MATCH($D588,RUNS!$A$6:$A$1005,0))="","",INDEX(RUNS!$E$6:$E$1005,MATCH($D588,RUNS!$A$6:$A$1005,0))),""))</f>
        <v/>
      </c>
      <c r="M588" s="33">
        <f>IF($D588="","",IFERROR(IF(INDEX(RUNS!$F$6:$F$1005,MATCH($D588,RUNS!$A$6:$A$1005,0))="","",INDEX(RUNS!$F$6:$F$1005,MATCH($D588,RUNS!$A$6:$A$1005,0))),""))</f>
        <v/>
      </c>
      <c r="N588" s="33">
        <f>IF($D588="","",IFERROR(IF(INDEX(RUNS!$G$6:$G$1005,MATCH($D588,RUNS!$A$6:$A$1005,0))="","",INDEX(RUNS!$G$6:$G$1005,MATCH($D588,RUNS!$A$6:$A$1005,0))),""))</f>
        <v/>
      </c>
      <c r="O588" s="33">
        <f>IF($D588="","",IFERROR(IF(INDEX(RUNS!$H$6:$H$1005,MATCH($D588,RUNS!$A$6:$A$1005,0))="","",INDEX(RUNS!$H$6:$H$1005,MATCH($D588,RUNS!$A$6:$A$1005,0))),""))</f>
        <v/>
      </c>
      <c r="P588" s="33">
        <f>IF($D588="","",IFERROR(IF(INDEX(RUNS!$J$6:$J$1005,MATCH($D588,RUNS!$A$6:$A$1005,0))="","",INDEX(RUNS!$J$6:$J$1005,MATCH($D588,RUNS!$A$6:$A$1005,0))),""))</f>
        <v/>
      </c>
      <c r="Q588" s="33">
        <f>IF($D588="","",IFERROR(IF(INDEX(RUNS!$K$6:$K$1005,MATCH($D588,RUNS!$A$6:$A$1005,0))="","",INDEX(RUNS!$K$6:$K$1005,MATCH($D588,RUNS!$A$6:$A$1005,0))),""))</f>
        <v/>
      </c>
      <c r="R588" s="34">
        <f>IF(OR($L588="",$K588=""),"",IFERROR(IF(INDEX(PARAMETRES!$H$43:$H$342,MATCH($L588&amp;"|"&amp;$M588&amp;"|"&amp;$N588&amp;"|"&amp;$O588&amp;"|"&amp;$P588&amp;"|"&amp;$Q588&amp;"|"&amp;$K588,PARAMETRES!$J$43:$J$342,0))="","",INDEX(PARAMETRES!$H$43:$H$342,MATCH($L588&amp;"|"&amp;$M588&amp;"|"&amp;$N588&amp;"|"&amp;$O588&amp;"|"&amp;$P588&amp;"|"&amp;$Q588&amp;"|"&amp;$K588,PARAMETRES!$J$43:$J$342,0))),""))</f>
        <v/>
      </c>
      <c r="S588" s="35">
        <f>IF(OR($G588="",$X588&lt;&gt;"VALIDE"),"",IFERROR(LOOKUP(2,1/(($B$3:$B587=$B588)*($G$3:$G587=$G588)*($X$3:$X587="VALIDE")),$C$3:$C587),""))</f>
        <v/>
      </c>
      <c r="T588" s="36">
        <f>IF(OR($C588="",$S588=""),"",ROUND(($C588-$S588+IF($C588&lt;$S588,1,0))*1440,0))</f>
        <v/>
      </c>
      <c r="U588" s="22">
        <f>IF(OR($H588="",$T588="",$T588&lt;=0),"",$H588*60/$T588)</f>
        <v/>
      </c>
      <c r="V588" s="37">
        <f>IF(OR($U588="",$R588="",$R588=0),"",$U588/$R588)</f>
        <v/>
      </c>
      <c r="W588" s="20">
        <f>IF($G588="","",IF($X588="CONTEXTE INCOMPLET","CONTEXTE INCOMPLET",IF($X588="DOUBLON",StatutDoublon,IF($S588="",StatutInitial,IF($R588="",StatutStandardManquant,IF($V588="","DONNEES INSUFFISANTES",IF($V588&gt;=SeuilConforme,StatutConforme,IF($V588&gt;=SeuilSurveiller,StatutSurveiller,StatutSousStandard))))))))</f>
        <v/>
      </c>
      <c r="X588" s="33">
        <f>IF($G588="","",IF(OR($D588="",$E588="",$F588=""),"CONTEXTE INCOMPLET",IF(COUNTIFS($D$3:$D587,$D588,$E$3:$E587,$E588,$F$3:$F587,$F588,$G$3:$G587,$G588)&gt;0,"DOUBLON","VALIDE")))</f>
        <v/>
      </c>
    </row>
    <row r="589" ht="15" customHeight="1">
      <c r="A589" s="12">
        <f>IF(OR($B589="",$G589=""),"",TEXT($B589,"YYYYMMDD")&amp;"-"&amp;SUBSTITUTE($E589," ","")&amp;"-"&amp;$F589&amp;"-"&amp;$G589)</f>
        <v/>
      </c>
      <c r="B589" s="15" t="n"/>
      <c r="C589" s="16" t="n"/>
      <c r="D589" s="10" t="n"/>
      <c r="E589" s="9" t="n"/>
      <c r="F589" s="9" t="n"/>
      <c r="G589" s="13" t="n"/>
      <c r="H589" s="21" t="n"/>
      <c r="I589" s="21" t="n"/>
      <c r="J589" s="17">
        <f>IF($G589="","",IFERROR(INDEX(NomsEmployes,MATCH($G589,MatriculesEmployes,0)),"MATRICULE INCONNU"))</f>
        <v/>
      </c>
      <c r="K589" s="33">
        <f>IF(OR($D589="",$F589=""),"",IFERROR(IF(INDEX(RUNS!$L$6:$S$1005,MATCH($D589,RUNS!$A$6:$A$1005,0),MATCH("ACTIVITÉ "&amp;$F589,RUNS!$L$5:$S$5,0))="","",INDEX(RUNS!$L$6:$S$1005,MATCH($D589,RUNS!$A$6:$A$1005,0),MATCH("ACTIVITÉ "&amp;$F589,RUNS!$L$5:$S$5,0))),""))</f>
        <v/>
      </c>
      <c r="L589" s="33">
        <f>IF($D589="","",IFERROR(IF(INDEX(RUNS!$E$6:$E$1005,MATCH($D589,RUNS!$A$6:$A$1005,0))="","",INDEX(RUNS!$E$6:$E$1005,MATCH($D589,RUNS!$A$6:$A$1005,0))),""))</f>
        <v/>
      </c>
      <c r="M589" s="33">
        <f>IF($D589="","",IFERROR(IF(INDEX(RUNS!$F$6:$F$1005,MATCH($D589,RUNS!$A$6:$A$1005,0))="","",INDEX(RUNS!$F$6:$F$1005,MATCH($D589,RUNS!$A$6:$A$1005,0))),""))</f>
        <v/>
      </c>
      <c r="N589" s="33">
        <f>IF($D589="","",IFERROR(IF(INDEX(RUNS!$G$6:$G$1005,MATCH($D589,RUNS!$A$6:$A$1005,0))="","",INDEX(RUNS!$G$6:$G$1005,MATCH($D589,RUNS!$A$6:$A$1005,0))),""))</f>
        <v/>
      </c>
      <c r="O589" s="33">
        <f>IF($D589="","",IFERROR(IF(INDEX(RUNS!$H$6:$H$1005,MATCH($D589,RUNS!$A$6:$A$1005,0))="","",INDEX(RUNS!$H$6:$H$1005,MATCH($D589,RUNS!$A$6:$A$1005,0))),""))</f>
        <v/>
      </c>
      <c r="P589" s="33">
        <f>IF($D589="","",IFERROR(IF(INDEX(RUNS!$J$6:$J$1005,MATCH($D589,RUNS!$A$6:$A$1005,0))="","",INDEX(RUNS!$J$6:$J$1005,MATCH($D589,RUNS!$A$6:$A$1005,0))),""))</f>
        <v/>
      </c>
      <c r="Q589" s="33">
        <f>IF($D589="","",IFERROR(IF(INDEX(RUNS!$K$6:$K$1005,MATCH($D589,RUNS!$A$6:$A$1005,0))="","",INDEX(RUNS!$K$6:$K$1005,MATCH($D589,RUNS!$A$6:$A$1005,0))),""))</f>
        <v/>
      </c>
      <c r="R589" s="34">
        <f>IF(OR($L589="",$K589=""),"",IFERROR(IF(INDEX(PARAMETRES!$H$43:$H$342,MATCH($L589&amp;"|"&amp;$M589&amp;"|"&amp;$N589&amp;"|"&amp;$O589&amp;"|"&amp;$P589&amp;"|"&amp;$Q589&amp;"|"&amp;$K589,PARAMETRES!$J$43:$J$342,0))="","",INDEX(PARAMETRES!$H$43:$H$342,MATCH($L589&amp;"|"&amp;$M589&amp;"|"&amp;$N589&amp;"|"&amp;$O589&amp;"|"&amp;$P589&amp;"|"&amp;$Q589&amp;"|"&amp;$K589,PARAMETRES!$J$43:$J$342,0))),""))</f>
        <v/>
      </c>
      <c r="S589" s="35">
        <f>IF(OR($G589="",$X589&lt;&gt;"VALIDE"),"",IFERROR(LOOKUP(2,1/(($B$3:$B588=$B589)*($G$3:$G588=$G589)*($X$3:$X588="VALIDE")),$C$3:$C588),""))</f>
        <v/>
      </c>
      <c r="T589" s="36">
        <f>IF(OR($C589="",$S589=""),"",ROUND(($C589-$S589+IF($C589&lt;$S589,1,0))*1440,0))</f>
        <v/>
      </c>
      <c r="U589" s="22">
        <f>IF(OR($H589="",$T589="",$T589&lt;=0),"",$H589*60/$T589)</f>
        <v/>
      </c>
      <c r="V589" s="37">
        <f>IF(OR($U589="",$R589="",$R589=0),"",$U589/$R589)</f>
        <v/>
      </c>
      <c r="W589" s="20">
        <f>IF($G589="","",IF($X589="CONTEXTE INCOMPLET","CONTEXTE INCOMPLET",IF($X589="DOUBLON",StatutDoublon,IF($S589="",StatutInitial,IF($R589="",StatutStandardManquant,IF($V589="","DONNEES INSUFFISANTES",IF($V589&gt;=SeuilConforme,StatutConforme,IF($V589&gt;=SeuilSurveiller,StatutSurveiller,StatutSousStandard))))))))</f>
        <v/>
      </c>
      <c r="X589" s="33">
        <f>IF($G589="","",IF(OR($D589="",$E589="",$F589=""),"CONTEXTE INCOMPLET",IF(COUNTIFS($D$3:$D588,$D589,$E$3:$E588,$E589,$F$3:$F588,$F589,$G$3:$G588,$G589)&gt;0,"DOUBLON","VALIDE")))</f>
        <v/>
      </c>
    </row>
    <row r="590" ht="15" customHeight="1">
      <c r="A590" s="12">
        <f>IF(OR($B590="",$G590=""),"",TEXT($B590,"YYYYMMDD")&amp;"-"&amp;SUBSTITUTE($E590," ","")&amp;"-"&amp;$F590&amp;"-"&amp;$G590)</f>
        <v/>
      </c>
      <c r="B590" s="15" t="n"/>
      <c r="C590" s="16" t="n"/>
      <c r="D590" s="10" t="n"/>
      <c r="E590" s="9" t="n"/>
      <c r="F590" s="9" t="n"/>
      <c r="G590" s="13" t="n"/>
      <c r="H590" s="21" t="n"/>
      <c r="I590" s="21" t="n"/>
      <c r="J590" s="17">
        <f>IF($G590="","",IFERROR(INDEX(NomsEmployes,MATCH($G590,MatriculesEmployes,0)),"MATRICULE INCONNU"))</f>
        <v/>
      </c>
      <c r="K590" s="33">
        <f>IF(OR($D590="",$F590=""),"",IFERROR(IF(INDEX(RUNS!$L$6:$S$1005,MATCH($D590,RUNS!$A$6:$A$1005,0),MATCH("ACTIVITÉ "&amp;$F590,RUNS!$L$5:$S$5,0))="","",INDEX(RUNS!$L$6:$S$1005,MATCH($D590,RUNS!$A$6:$A$1005,0),MATCH("ACTIVITÉ "&amp;$F590,RUNS!$L$5:$S$5,0))),""))</f>
        <v/>
      </c>
      <c r="L590" s="33">
        <f>IF($D590="","",IFERROR(IF(INDEX(RUNS!$E$6:$E$1005,MATCH($D590,RUNS!$A$6:$A$1005,0))="","",INDEX(RUNS!$E$6:$E$1005,MATCH($D590,RUNS!$A$6:$A$1005,0))),""))</f>
        <v/>
      </c>
      <c r="M590" s="33">
        <f>IF($D590="","",IFERROR(IF(INDEX(RUNS!$F$6:$F$1005,MATCH($D590,RUNS!$A$6:$A$1005,0))="","",INDEX(RUNS!$F$6:$F$1005,MATCH($D590,RUNS!$A$6:$A$1005,0))),""))</f>
        <v/>
      </c>
      <c r="N590" s="33">
        <f>IF($D590="","",IFERROR(IF(INDEX(RUNS!$G$6:$G$1005,MATCH($D590,RUNS!$A$6:$A$1005,0))="","",INDEX(RUNS!$G$6:$G$1005,MATCH($D590,RUNS!$A$6:$A$1005,0))),""))</f>
        <v/>
      </c>
      <c r="O590" s="33">
        <f>IF($D590="","",IFERROR(IF(INDEX(RUNS!$H$6:$H$1005,MATCH($D590,RUNS!$A$6:$A$1005,0))="","",INDEX(RUNS!$H$6:$H$1005,MATCH($D590,RUNS!$A$6:$A$1005,0))),""))</f>
        <v/>
      </c>
      <c r="P590" s="33">
        <f>IF($D590="","",IFERROR(IF(INDEX(RUNS!$J$6:$J$1005,MATCH($D590,RUNS!$A$6:$A$1005,0))="","",INDEX(RUNS!$J$6:$J$1005,MATCH($D590,RUNS!$A$6:$A$1005,0))),""))</f>
        <v/>
      </c>
      <c r="Q590" s="33">
        <f>IF($D590="","",IFERROR(IF(INDEX(RUNS!$K$6:$K$1005,MATCH($D590,RUNS!$A$6:$A$1005,0))="","",INDEX(RUNS!$K$6:$K$1005,MATCH($D590,RUNS!$A$6:$A$1005,0))),""))</f>
        <v/>
      </c>
      <c r="R590" s="34">
        <f>IF(OR($L590="",$K590=""),"",IFERROR(IF(INDEX(PARAMETRES!$H$43:$H$342,MATCH($L590&amp;"|"&amp;$M590&amp;"|"&amp;$N590&amp;"|"&amp;$O590&amp;"|"&amp;$P590&amp;"|"&amp;$Q590&amp;"|"&amp;$K590,PARAMETRES!$J$43:$J$342,0))="","",INDEX(PARAMETRES!$H$43:$H$342,MATCH($L590&amp;"|"&amp;$M590&amp;"|"&amp;$N590&amp;"|"&amp;$O590&amp;"|"&amp;$P590&amp;"|"&amp;$Q590&amp;"|"&amp;$K590,PARAMETRES!$J$43:$J$342,0))),""))</f>
        <v/>
      </c>
      <c r="S590" s="35">
        <f>IF(OR($G590="",$X590&lt;&gt;"VALIDE"),"",IFERROR(LOOKUP(2,1/(($B$3:$B589=$B590)*($G$3:$G589=$G590)*($X$3:$X589="VALIDE")),$C$3:$C589),""))</f>
        <v/>
      </c>
      <c r="T590" s="36">
        <f>IF(OR($C590="",$S590=""),"",ROUND(($C590-$S590+IF($C590&lt;$S590,1,0))*1440,0))</f>
        <v/>
      </c>
      <c r="U590" s="22">
        <f>IF(OR($H590="",$T590="",$T590&lt;=0),"",$H590*60/$T590)</f>
        <v/>
      </c>
      <c r="V590" s="37">
        <f>IF(OR($U590="",$R590="",$R590=0),"",$U590/$R590)</f>
        <v/>
      </c>
      <c r="W590" s="20">
        <f>IF($G590="","",IF($X590="CONTEXTE INCOMPLET","CONTEXTE INCOMPLET",IF($X590="DOUBLON",StatutDoublon,IF($S590="",StatutInitial,IF($R590="",StatutStandardManquant,IF($V590="","DONNEES INSUFFISANTES",IF($V590&gt;=SeuilConforme,StatutConforme,IF($V590&gt;=SeuilSurveiller,StatutSurveiller,StatutSousStandard))))))))</f>
        <v/>
      </c>
      <c r="X590" s="33">
        <f>IF($G590="","",IF(OR($D590="",$E590="",$F590=""),"CONTEXTE INCOMPLET",IF(COUNTIFS($D$3:$D589,$D590,$E$3:$E589,$E590,$F$3:$F589,$F590,$G$3:$G589,$G590)&gt;0,"DOUBLON","VALIDE")))</f>
        <v/>
      </c>
    </row>
    <row r="591" ht="15" customHeight="1">
      <c r="A591" s="12">
        <f>IF(OR($B591="",$G591=""),"",TEXT($B591,"YYYYMMDD")&amp;"-"&amp;SUBSTITUTE($E591," ","")&amp;"-"&amp;$F591&amp;"-"&amp;$G591)</f>
        <v/>
      </c>
      <c r="B591" s="15" t="n"/>
      <c r="C591" s="16" t="n"/>
      <c r="D591" s="10" t="n"/>
      <c r="E591" s="9" t="n"/>
      <c r="F591" s="9" t="n"/>
      <c r="G591" s="13" t="n"/>
      <c r="H591" s="21" t="n"/>
      <c r="I591" s="21" t="n"/>
      <c r="J591" s="17">
        <f>IF($G591="","",IFERROR(INDEX(NomsEmployes,MATCH($G591,MatriculesEmployes,0)),"MATRICULE INCONNU"))</f>
        <v/>
      </c>
      <c r="K591" s="33">
        <f>IF(OR($D591="",$F591=""),"",IFERROR(IF(INDEX(RUNS!$L$6:$S$1005,MATCH($D591,RUNS!$A$6:$A$1005,0),MATCH("ACTIVITÉ "&amp;$F591,RUNS!$L$5:$S$5,0))="","",INDEX(RUNS!$L$6:$S$1005,MATCH($D591,RUNS!$A$6:$A$1005,0),MATCH("ACTIVITÉ "&amp;$F591,RUNS!$L$5:$S$5,0))),""))</f>
        <v/>
      </c>
      <c r="L591" s="33">
        <f>IF($D591="","",IFERROR(IF(INDEX(RUNS!$E$6:$E$1005,MATCH($D591,RUNS!$A$6:$A$1005,0))="","",INDEX(RUNS!$E$6:$E$1005,MATCH($D591,RUNS!$A$6:$A$1005,0))),""))</f>
        <v/>
      </c>
      <c r="M591" s="33">
        <f>IF($D591="","",IFERROR(IF(INDEX(RUNS!$F$6:$F$1005,MATCH($D591,RUNS!$A$6:$A$1005,0))="","",INDEX(RUNS!$F$6:$F$1005,MATCH($D591,RUNS!$A$6:$A$1005,0))),""))</f>
        <v/>
      </c>
      <c r="N591" s="33">
        <f>IF($D591="","",IFERROR(IF(INDEX(RUNS!$G$6:$G$1005,MATCH($D591,RUNS!$A$6:$A$1005,0))="","",INDEX(RUNS!$G$6:$G$1005,MATCH($D591,RUNS!$A$6:$A$1005,0))),""))</f>
        <v/>
      </c>
      <c r="O591" s="33">
        <f>IF($D591="","",IFERROR(IF(INDEX(RUNS!$H$6:$H$1005,MATCH($D591,RUNS!$A$6:$A$1005,0))="","",INDEX(RUNS!$H$6:$H$1005,MATCH($D591,RUNS!$A$6:$A$1005,0))),""))</f>
        <v/>
      </c>
      <c r="P591" s="33">
        <f>IF($D591="","",IFERROR(IF(INDEX(RUNS!$J$6:$J$1005,MATCH($D591,RUNS!$A$6:$A$1005,0))="","",INDEX(RUNS!$J$6:$J$1005,MATCH($D591,RUNS!$A$6:$A$1005,0))),""))</f>
        <v/>
      </c>
      <c r="Q591" s="33">
        <f>IF($D591="","",IFERROR(IF(INDEX(RUNS!$K$6:$K$1005,MATCH($D591,RUNS!$A$6:$A$1005,0))="","",INDEX(RUNS!$K$6:$K$1005,MATCH($D591,RUNS!$A$6:$A$1005,0))),""))</f>
        <v/>
      </c>
      <c r="R591" s="34">
        <f>IF(OR($L591="",$K591=""),"",IFERROR(IF(INDEX(PARAMETRES!$H$43:$H$342,MATCH($L591&amp;"|"&amp;$M591&amp;"|"&amp;$N591&amp;"|"&amp;$O591&amp;"|"&amp;$P591&amp;"|"&amp;$Q591&amp;"|"&amp;$K591,PARAMETRES!$J$43:$J$342,0))="","",INDEX(PARAMETRES!$H$43:$H$342,MATCH($L591&amp;"|"&amp;$M591&amp;"|"&amp;$N591&amp;"|"&amp;$O591&amp;"|"&amp;$P591&amp;"|"&amp;$Q591&amp;"|"&amp;$K591,PARAMETRES!$J$43:$J$342,0))),""))</f>
        <v/>
      </c>
      <c r="S591" s="35">
        <f>IF(OR($G591="",$X591&lt;&gt;"VALIDE"),"",IFERROR(LOOKUP(2,1/(($B$3:$B590=$B591)*($G$3:$G590=$G591)*($X$3:$X590="VALIDE")),$C$3:$C590),""))</f>
        <v/>
      </c>
      <c r="T591" s="36">
        <f>IF(OR($C591="",$S591=""),"",ROUND(($C591-$S591+IF($C591&lt;$S591,1,0))*1440,0))</f>
        <v/>
      </c>
      <c r="U591" s="22">
        <f>IF(OR($H591="",$T591="",$T591&lt;=0),"",$H591*60/$T591)</f>
        <v/>
      </c>
      <c r="V591" s="37">
        <f>IF(OR($U591="",$R591="",$R591=0),"",$U591/$R591)</f>
        <v/>
      </c>
      <c r="W591" s="20">
        <f>IF($G591="","",IF($X591="CONTEXTE INCOMPLET","CONTEXTE INCOMPLET",IF($X591="DOUBLON",StatutDoublon,IF($S591="",StatutInitial,IF($R591="",StatutStandardManquant,IF($V591="","DONNEES INSUFFISANTES",IF($V591&gt;=SeuilConforme,StatutConforme,IF($V591&gt;=SeuilSurveiller,StatutSurveiller,StatutSousStandard))))))))</f>
        <v/>
      </c>
      <c r="X591" s="33">
        <f>IF($G591="","",IF(OR($D591="",$E591="",$F591=""),"CONTEXTE INCOMPLET",IF(COUNTIFS($D$3:$D590,$D591,$E$3:$E590,$E591,$F$3:$F590,$F591,$G$3:$G590,$G591)&gt;0,"DOUBLON","VALIDE")))</f>
        <v/>
      </c>
    </row>
    <row r="592" ht="15" customHeight="1">
      <c r="A592" s="12">
        <f>IF(OR($B592="",$G592=""),"",TEXT($B592,"YYYYMMDD")&amp;"-"&amp;SUBSTITUTE($E592," ","")&amp;"-"&amp;$F592&amp;"-"&amp;$G592)</f>
        <v/>
      </c>
      <c r="B592" s="15" t="n"/>
      <c r="C592" s="16" t="n"/>
      <c r="D592" s="10" t="n"/>
      <c r="E592" s="9" t="n"/>
      <c r="F592" s="9" t="n"/>
      <c r="G592" s="13" t="n"/>
      <c r="H592" s="21" t="n"/>
      <c r="I592" s="21" t="n"/>
      <c r="J592" s="17">
        <f>IF($G592="","",IFERROR(INDEX(NomsEmployes,MATCH($G592,MatriculesEmployes,0)),"MATRICULE INCONNU"))</f>
        <v/>
      </c>
      <c r="K592" s="33">
        <f>IF(OR($D592="",$F592=""),"",IFERROR(IF(INDEX(RUNS!$L$6:$S$1005,MATCH($D592,RUNS!$A$6:$A$1005,0),MATCH("ACTIVITÉ "&amp;$F592,RUNS!$L$5:$S$5,0))="","",INDEX(RUNS!$L$6:$S$1005,MATCH($D592,RUNS!$A$6:$A$1005,0),MATCH("ACTIVITÉ "&amp;$F592,RUNS!$L$5:$S$5,0))),""))</f>
        <v/>
      </c>
      <c r="L592" s="33">
        <f>IF($D592="","",IFERROR(IF(INDEX(RUNS!$E$6:$E$1005,MATCH($D592,RUNS!$A$6:$A$1005,0))="","",INDEX(RUNS!$E$6:$E$1005,MATCH($D592,RUNS!$A$6:$A$1005,0))),""))</f>
        <v/>
      </c>
      <c r="M592" s="33">
        <f>IF($D592="","",IFERROR(IF(INDEX(RUNS!$F$6:$F$1005,MATCH($D592,RUNS!$A$6:$A$1005,0))="","",INDEX(RUNS!$F$6:$F$1005,MATCH($D592,RUNS!$A$6:$A$1005,0))),""))</f>
        <v/>
      </c>
      <c r="N592" s="33">
        <f>IF($D592="","",IFERROR(IF(INDEX(RUNS!$G$6:$G$1005,MATCH($D592,RUNS!$A$6:$A$1005,0))="","",INDEX(RUNS!$G$6:$G$1005,MATCH($D592,RUNS!$A$6:$A$1005,0))),""))</f>
        <v/>
      </c>
      <c r="O592" s="33">
        <f>IF($D592="","",IFERROR(IF(INDEX(RUNS!$H$6:$H$1005,MATCH($D592,RUNS!$A$6:$A$1005,0))="","",INDEX(RUNS!$H$6:$H$1005,MATCH($D592,RUNS!$A$6:$A$1005,0))),""))</f>
        <v/>
      </c>
      <c r="P592" s="33">
        <f>IF($D592="","",IFERROR(IF(INDEX(RUNS!$J$6:$J$1005,MATCH($D592,RUNS!$A$6:$A$1005,0))="","",INDEX(RUNS!$J$6:$J$1005,MATCH($D592,RUNS!$A$6:$A$1005,0))),""))</f>
        <v/>
      </c>
      <c r="Q592" s="33">
        <f>IF($D592="","",IFERROR(IF(INDEX(RUNS!$K$6:$K$1005,MATCH($D592,RUNS!$A$6:$A$1005,0))="","",INDEX(RUNS!$K$6:$K$1005,MATCH($D592,RUNS!$A$6:$A$1005,0))),""))</f>
        <v/>
      </c>
      <c r="R592" s="34">
        <f>IF(OR($L592="",$K592=""),"",IFERROR(IF(INDEX(PARAMETRES!$H$43:$H$342,MATCH($L592&amp;"|"&amp;$M592&amp;"|"&amp;$N592&amp;"|"&amp;$O592&amp;"|"&amp;$P592&amp;"|"&amp;$Q592&amp;"|"&amp;$K592,PARAMETRES!$J$43:$J$342,0))="","",INDEX(PARAMETRES!$H$43:$H$342,MATCH($L592&amp;"|"&amp;$M592&amp;"|"&amp;$N592&amp;"|"&amp;$O592&amp;"|"&amp;$P592&amp;"|"&amp;$Q592&amp;"|"&amp;$K592,PARAMETRES!$J$43:$J$342,0))),""))</f>
        <v/>
      </c>
      <c r="S592" s="35">
        <f>IF(OR($G592="",$X592&lt;&gt;"VALIDE"),"",IFERROR(LOOKUP(2,1/(($B$3:$B591=$B592)*($G$3:$G591=$G592)*($X$3:$X591="VALIDE")),$C$3:$C591),""))</f>
        <v/>
      </c>
      <c r="T592" s="36">
        <f>IF(OR($C592="",$S592=""),"",ROUND(($C592-$S592+IF($C592&lt;$S592,1,0))*1440,0))</f>
        <v/>
      </c>
      <c r="U592" s="22">
        <f>IF(OR($H592="",$T592="",$T592&lt;=0),"",$H592*60/$T592)</f>
        <v/>
      </c>
      <c r="V592" s="37">
        <f>IF(OR($U592="",$R592="",$R592=0),"",$U592/$R592)</f>
        <v/>
      </c>
      <c r="W592" s="20">
        <f>IF($G592="","",IF($X592="CONTEXTE INCOMPLET","CONTEXTE INCOMPLET",IF($X592="DOUBLON",StatutDoublon,IF($S592="",StatutInitial,IF($R592="",StatutStandardManquant,IF($V592="","DONNEES INSUFFISANTES",IF($V592&gt;=SeuilConforme,StatutConforme,IF($V592&gt;=SeuilSurveiller,StatutSurveiller,StatutSousStandard))))))))</f>
        <v/>
      </c>
      <c r="X592" s="33">
        <f>IF($G592="","",IF(OR($D592="",$E592="",$F592=""),"CONTEXTE INCOMPLET",IF(COUNTIFS($D$3:$D591,$D592,$E$3:$E591,$E592,$F$3:$F591,$F592,$G$3:$G591,$G592)&gt;0,"DOUBLON","VALIDE")))</f>
        <v/>
      </c>
    </row>
    <row r="593" ht="15" customHeight="1">
      <c r="A593" s="12">
        <f>IF(OR($B593="",$G593=""),"",TEXT($B593,"YYYYMMDD")&amp;"-"&amp;SUBSTITUTE($E593," ","")&amp;"-"&amp;$F593&amp;"-"&amp;$G593)</f>
        <v/>
      </c>
      <c r="B593" s="15" t="n"/>
      <c r="C593" s="16" t="n"/>
      <c r="D593" s="10" t="n"/>
      <c r="E593" s="9" t="n"/>
      <c r="F593" s="9" t="n"/>
      <c r="G593" s="13" t="n"/>
      <c r="H593" s="21" t="n"/>
      <c r="I593" s="21" t="n"/>
      <c r="J593" s="17">
        <f>IF($G593="","",IFERROR(INDEX(NomsEmployes,MATCH($G593,MatriculesEmployes,0)),"MATRICULE INCONNU"))</f>
        <v/>
      </c>
      <c r="K593" s="33">
        <f>IF(OR($D593="",$F593=""),"",IFERROR(IF(INDEX(RUNS!$L$6:$S$1005,MATCH($D593,RUNS!$A$6:$A$1005,0),MATCH("ACTIVITÉ "&amp;$F593,RUNS!$L$5:$S$5,0))="","",INDEX(RUNS!$L$6:$S$1005,MATCH($D593,RUNS!$A$6:$A$1005,0),MATCH("ACTIVITÉ "&amp;$F593,RUNS!$L$5:$S$5,0))),""))</f>
        <v/>
      </c>
      <c r="L593" s="33">
        <f>IF($D593="","",IFERROR(IF(INDEX(RUNS!$E$6:$E$1005,MATCH($D593,RUNS!$A$6:$A$1005,0))="","",INDEX(RUNS!$E$6:$E$1005,MATCH($D593,RUNS!$A$6:$A$1005,0))),""))</f>
        <v/>
      </c>
      <c r="M593" s="33">
        <f>IF($D593="","",IFERROR(IF(INDEX(RUNS!$F$6:$F$1005,MATCH($D593,RUNS!$A$6:$A$1005,0))="","",INDEX(RUNS!$F$6:$F$1005,MATCH($D593,RUNS!$A$6:$A$1005,0))),""))</f>
        <v/>
      </c>
      <c r="N593" s="33">
        <f>IF($D593="","",IFERROR(IF(INDEX(RUNS!$G$6:$G$1005,MATCH($D593,RUNS!$A$6:$A$1005,0))="","",INDEX(RUNS!$G$6:$G$1005,MATCH($D593,RUNS!$A$6:$A$1005,0))),""))</f>
        <v/>
      </c>
      <c r="O593" s="33">
        <f>IF($D593="","",IFERROR(IF(INDEX(RUNS!$H$6:$H$1005,MATCH($D593,RUNS!$A$6:$A$1005,0))="","",INDEX(RUNS!$H$6:$H$1005,MATCH($D593,RUNS!$A$6:$A$1005,0))),""))</f>
        <v/>
      </c>
      <c r="P593" s="33">
        <f>IF($D593="","",IFERROR(IF(INDEX(RUNS!$J$6:$J$1005,MATCH($D593,RUNS!$A$6:$A$1005,0))="","",INDEX(RUNS!$J$6:$J$1005,MATCH($D593,RUNS!$A$6:$A$1005,0))),""))</f>
        <v/>
      </c>
      <c r="Q593" s="33">
        <f>IF($D593="","",IFERROR(IF(INDEX(RUNS!$K$6:$K$1005,MATCH($D593,RUNS!$A$6:$A$1005,0))="","",INDEX(RUNS!$K$6:$K$1005,MATCH($D593,RUNS!$A$6:$A$1005,0))),""))</f>
        <v/>
      </c>
      <c r="R593" s="34">
        <f>IF(OR($L593="",$K593=""),"",IFERROR(IF(INDEX(PARAMETRES!$H$43:$H$342,MATCH($L593&amp;"|"&amp;$M593&amp;"|"&amp;$N593&amp;"|"&amp;$O593&amp;"|"&amp;$P593&amp;"|"&amp;$Q593&amp;"|"&amp;$K593,PARAMETRES!$J$43:$J$342,0))="","",INDEX(PARAMETRES!$H$43:$H$342,MATCH($L593&amp;"|"&amp;$M593&amp;"|"&amp;$N593&amp;"|"&amp;$O593&amp;"|"&amp;$P593&amp;"|"&amp;$Q593&amp;"|"&amp;$K593,PARAMETRES!$J$43:$J$342,0))),""))</f>
        <v/>
      </c>
      <c r="S593" s="35">
        <f>IF(OR($G593="",$X593&lt;&gt;"VALIDE"),"",IFERROR(LOOKUP(2,1/(($B$3:$B592=$B593)*($G$3:$G592=$G593)*($X$3:$X592="VALIDE")),$C$3:$C592),""))</f>
        <v/>
      </c>
      <c r="T593" s="36">
        <f>IF(OR($C593="",$S593=""),"",ROUND(($C593-$S593+IF($C593&lt;$S593,1,0))*1440,0))</f>
        <v/>
      </c>
      <c r="U593" s="22">
        <f>IF(OR($H593="",$T593="",$T593&lt;=0),"",$H593*60/$T593)</f>
        <v/>
      </c>
      <c r="V593" s="37">
        <f>IF(OR($U593="",$R593="",$R593=0),"",$U593/$R593)</f>
        <v/>
      </c>
      <c r="W593" s="20">
        <f>IF($G593="","",IF($X593="CONTEXTE INCOMPLET","CONTEXTE INCOMPLET",IF($X593="DOUBLON",StatutDoublon,IF($S593="",StatutInitial,IF($R593="",StatutStandardManquant,IF($V593="","DONNEES INSUFFISANTES",IF($V593&gt;=SeuilConforme,StatutConforme,IF($V593&gt;=SeuilSurveiller,StatutSurveiller,StatutSousStandard))))))))</f>
        <v/>
      </c>
      <c r="X593" s="33">
        <f>IF($G593="","",IF(OR($D593="",$E593="",$F593=""),"CONTEXTE INCOMPLET",IF(COUNTIFS($D$3:$D592,$D593,$E$3:$E592,$E593,$F$3:$F592,$F593,$G$3:$G592,$G593)&gt;0,"DOUBLON","VALIDE")))</f>
        <v/>
      </c>
    </row>
    <row r="594" ht="15" customHeight="1">
      <c r="A594" s="12">
        <f>IF(OR($B594="",$G594=""),"",TEXT($B594,"YYYYMMDD")&amp;"-"&amp;SUBSTITUTE($E594," ","")&amp;"-"&amp;$F594&amp;"-"&amp;$G594)</f>
        <v/>
      </c>
      <c r="B594" s="15" t="n"/>
      <c r="C594" s="16" t="n"/>
      <c r="D594" s="10" t="n"/>
      <c r="E594" s="9" t="n"/>
      <c r="F594" s="9" t="n"/>
      <c r="G594" s="13" t="n"/>
      <c r="H594" s="21" t="n"/>
      <c r="I594" s="21" t="n"/>
      <c r="J594" s="17">
        <f>IF($G594="","",IFERROR(INDEX(NomsEmployes,MATCH($G594,MatriculesEmployes,0)),"MATRICULE INCONNU"))</f>
        <v/>
      </c>
      <c r="K594" s="33">
        <f>IF(OR($D594="",$F594=""),"",IFERROR(IF(INDEX(RUNS!$L$6:$S$1005,MATCH($D594,RUNS!$A$6:$A$1005,0),MATCH("ACTIVITÉ "&amp;$F594,RUNS!$L$5:$S$5,0))="","",INDEX(RUNS!$L$6:$S$1005,MATCH($D594,RUNS!$A$6:$A$1005,0),MATCH("ACTIVITÉ "&amp;$F594,RUNS!$L$5:$S$5,0))),""))</f>
        <v/>
      </c>
      <c r="L594" s="33">
        <f>IF($D594="","",IFERROR(IF(INDEX(RUNS!$E$6:$E$1005,MATCH($D594,RUNS!$A$6:$A$1005,0))="","",INDEX(RUNS!$E$6:$E$1005,MATCH($D594,RUNS!$A$6:$A$1005,0))),""))</f>
        <v/>
      </c>
      <c r="M594" s="33">
        <f>IF($D594="","",IFERROR(IF(INDEX(RUNS!$F$6:$F$1005,MATCH($D594,RUNS!$A$6:$A$1005,0))="","",INDEX(RUNS!$F$6:$F$1005,MATCH($D594,RUNS!$A$6:$A$1005,0))),""))</f>
        <v/>
      </c>
      <c r="N594" s="33">
        <f>IF($D594="","",IFERROR(IF(INDEX(RUNS!$G$6:$G$1005,MATCH($D594,RUNS!$A$6:$A$1005,0))="","",INDEX(RUNS!$G$6:$G$1005,MATCH($D594,RUNS!$A$6:$A$1005,0))),""))</f>
        <v/>
      </c>
      <c r="O594" s="33">
        <f>IF($D594="","",IFERROR(IF(INDEX(RUNS!$H$6:$H$1005,MATCH($D594,RUNS!$A$6:$A$1005,0))="","",INDEX(RUNS!$H$6:$H$1005,MATCH($D594,RUNS!$A$6:$A$1005,0))),""))</f>
        <v/>
      </c>
      <c r="P594" s="33">
        <f>IF($D594="","",IFERROR(IF(INDEX(RUNS!$J$6:$J$1005,MATCH($D594,RUNS!$A$6:$A$1005,0))="","",INDEX(RUNS!$J$6:$J$1005,MATCH($D594,RUNS!$A$6:$A$1005,0))),""))</f>
        <v/>
      </c>
      <c r="Q594" s="33">
        <f>IF($D594="","",IFERROR(IF(INDEX(RUNS!$K$6:$K$1005,MATCH($D594,RUNS!$A$6:$A$1005,0))="","",INDEX(RUNS!$K$6:$K$1005,MATCH($D594,RUNS!$A$6:$A$1005,0))),""))</f>
        <v/>
      </c>
      <c r="R594" s="34">
        <f>IF(OR($L594="",$K594=""),"",IFERROR(IF(INDEX(PARAMETRES!$H$43:$H$342,MATCH($L594&amp;"|"&amp;$M594&amp;"|"&amp;$N594&amp;"|"&amp;$O594&amp;"|"&amp;$P594&amp;"|"&amp;$Q594&amp;"|"&amp;$K594,PARAMETRES!$J$43:$J$342,0))="","",INDEX(PARAMETRES!$H$43:$H$342,MATCH($L594&amp;"|"&amp;$M594&amp;"|"&amp;$N594&amp;"|"&amp;$O594&amp;"|"&amp;$P594&amp;"|"&amp;$Q594&amp;"|"&amp;$K594,PARAMETRES!$J$43:$J$342,0))),""))</f>
        <v/>
      </c>
      <c r="S594" s="35">
        <f>IF(OR($G594="",$X594&lt;&gt;"VALIDE"),"",IFERROR(LOOKUP(2,1/(($B$3:$B593=$B594)*($G$3:$G593=$G594)*($X$3:$X593="VALIDE")),$C$3:$C593),""))</f>
        <v/>
      </c>
      <c r="T594" s="36">
        <f>IF(OR($C594="",$S594=""),"",ROUND(($C594-$S594+IF($C594&lt;$S594,1,0))*1440,0))</f>
        <v/>
      </c>
      <c r="U594" s="22">
        <f>IF(OR($H594="",$T594="",$T594&lt;=0),"",$H594*60/$T594)</f>
        <v/>
      </c>
      <c r="V594" s="37">
        <f>IF(OR($U594="",$R594="",$R594=0),"",$U594/$R594)</f>
        <v/>
      </c>
      <c r="W594" s="20">
        <f>IF($G594="","",IF($X594="CONTEXTE INCOMPLET","CONTEXTE INCOMPLET",IF($X594="DOUBLON",StatutDoublon,IF($S594="",StatutInitial,IF($R594="",StatutStandardManquant,IF($V594="","DONNEES INSUFFISANTES",IF($V594&gt;=SeuilConforme,StatutConforme,IF($V594&gt;=SeuilSurveiller,StatutSurveiller,StatutSousStandard))))))))</f>
        <v/>
      </c>
      <c r="X594" s="33">
        <f>IF($G594="","",IF(OR($D594="",$E594="",$F594=""),"CONTEXTE INCOMPLET",IF(COUNTIFS($D$3:$D593,$D594,$E$3:$E593,$E594,$F$3:$F593,$F594,$G$3:$G593,$G594)&gt;0,"DOUBLON","VALIDE")))</f>
        <v/>
      </c>
    </row>
    <row r="595" ht="15" customHeight="1">
      <c r="A595" s="12">
        <f>IF(OR($B595="",$G595=""),"",TEXT($B595,"YYYYMMDD")&amp;"-"&amp;SUBSTITUTE($E595," ","")&amp;"-"&amp;$F595&amp;"-"&amp;$G595)</f>
        <v/>
      </c>
      <c r="B595" s="15" t="n"/>
      <c r="C595" s="16" t="n"/>
      <c r="D595" s="10" t="n"/>
      <c r="E595" s="9" t="n"/>
      <c r="F595" s="9" t="n"/>
      <c r="G595" s="13" t="n"/>
      <c r="H595" s="21" t="n"/>
      <c r="I595" s="21" t="n"/>
      <c r="J595" s="17">
        <f>IF($G595="","",IFERROR(INDEX(NomsEmployes,MATCH($G595,MatriculesEmployes,0)),"MATRICULE INCONNU"))</f>
        <v/>
      </c>
      <c r="K595" s="33">
        <f>IF(OR($D595="",$F595=""),"",IFERROR(IF(INDEX(RUNS!$L$6:$S$1005,MATCH($D595,RUNS!$A$6:$A$1005,0),MATCH("ACTIVITÉ "&amp;$F595,RUNS!$L$5:$S$5,0))="","",INDEX(RUNS!$L$6:$S$1005,MATCH($D595,RUNS!$A$6:$A$1005,0),MATCH("ACTIVITÉ "&amp;$F595,RUNS!$L$5:$S$5,0))),""))</f>
        <v/>
      </c>
      <c r="L595" s="33">
        <f>IF($D595="","",IFERROR(IF(INDEX(RUNS!$E$6:$E$1005,MATCH($D595,RUNS!$A$6:$A$1005,0))="","",INDEX(RUNS!$E$6:$E$1005,MATCH($D595,RUNS!$A$6:$A$1005,0))),""))</f>
        <v/>
      </c>
      <c r="M595" s="33">
        <f>IF($D595="","",IFERROR(IF(INDEX(RUNS!$F$6:$F$1005,MATCH($D595,RUNS!$A$6:$A$1005,0))="","",INDEX(RUNS!$F$6:$F$1005,MATCH($D595,RUNS!$A$6:$A$1005,0))),""))</f>
        <v/>
      </c>
      <c r="N595" s="33">
        <f>IF($D595="","",IFERROR(IF(INDEX(RUNS!$G$6:$G$1005,MATCH($D595,RUNS!$A$6:$A$1005,0))="","",INDEX(RUNS!$G$6:$G$1005,MATCH($D595,RUNS!$A$6:$A$1005,0))),""))</f>
        <v/>
      </c>
      <c r="O595" s="33">
        <f>IF($D595="","",IFERROR(IF(INDEX(RUNS!$H$6:$H$1005,MATCH($D595,RUNS!$A$6:$A$1005,0))="","",INDEX(RUNS!$H$6:$H$1005,MATCH($D595,RUNS!$A$6:$A$1005,0))),""))</f>
        <v/>
      </c>
      <c r="P595" s="33">
        <f>IF($D595="","",IFERROR(IF(INDEX(RUNS!$J$6:$J$1005,MATCH($D595,RUNS!$A$6:$A$1005,0))="","",INDEX(RUNS!$J$6:$J$1005,MATCH($D595,RUNS!$A$6:$A$1005,0))),""))</f>
        <v/>
      </c>
      <c r="Q595" s="33">
        <f>IF($D595="","",IFERROR(IF(INDEX(RUNS!$K$6:$K$1005,MATCH($D595,RUNS!$A$6:$A$1005,0))="","",INDEX(RUNS!$K$6:$K$1005,MATCH($D595,RUNS!$A$6:$A$1005,0))),""))</f>
        <v/>
      </c>
      <c r="R595" s="34">
        <f>IF(OR($L595="",$K595=""),"",IFERROR(IF(INDEX(PARAMETRES!$H$43:$H$342,MATCH($L595&amp;"|"&amp;$M595&amp;"|"&amp;$N595&amp;"|"&amp;$O595&amp;"|"&amp;$P595&amp;"|"&amp;$Q595&amp;"|"&amp;$K595,PARAMETRES!$J$43:$J$342,0))="","",INDEX(PARAMETRES!$H$43:$H$342,MATCH($L595&amp;"|"&amp;$M595&amp;"|"&amp;$N595&amp;"|"&amp;$O595&amp;"|"&amp;$P595&amp;"|"&amp;$Q595&amp;"|"&amp;$K595,PARAMETRES!$J$43:$J$342,0))),""))</f>
        <v/>
      </c>
      <c r="S595" s="35">
        <f>IF(OR($G595="",$X595&lt;&gt;"VALIDE"),"",IFERROR(LOOKUP(2,1/(($B$3:$B594=$B595)*($G$3:$G594=$G595)*($X$3:$X594="VALIDE")),$C$3:$C594),""))</f>
        <v/>
      </c>
      <c r="T595" s="36">
        <f>IF(OR($C595="",$S595=""),"",ROUND(($C595-$S595+IF($C595&lt;$S595,1,0))*1440,0))</f>
        <v/>
      </c>
      <c r="U595" s="22">
        <f>IF(OR($H595="",$T595="",$T595&lt;=0),"",$H595*60/$T595)</f>
        <v/>
      </c>
      <c r="V595" s="37">
        <f>IF(OR($U595="",$R595="",$R595=0),"",$U595/$R595)</f>
        <v/>
      </c>
      <c r="W595" s="20">
        <f>IF($G595="","",IF($X595="CONTEXTE INCOMPLET","CONTEXTE INCOMPLET",IF($X595="DOUBLON",StatutDoublon,IF($S595="",StatutInitial,IF($R595="",StatutStandardManquant,IF($V595="","DONNEES INSUFFISANTES",IF($V595&gt;=SeuilConforme,StatutConforme,IF($V595&gt;=SeuilSurveiller,StatutSurveiller,StatutSousStandard))))))))</f>
        <v/>
      </c>
      <c r="X595" s="33">
        <f>IF($G595="","",IF(OR($D595="",$E595="",$F595=""),"CONTEXTE INCOMPLET",IF(COUNTIFS($D$3:$D594,$D595,$E$3:$E594,$E595,$F$3:$F594,$F595,$G$3:$G594,$G595)&gt;0,"DOUBLON","VALIDE")))</f>
        <v/>
      </c>
    </row>
    <row r="596" ht="15" customHeight="1">
      <c r="A596" s="12">
        <f>IF(OR($B596="",$G596=""),"",TEXT($B596,"YYYYMMDD")&amp;"-"&amp;SUBSTITUTE($E596," ","")&amp;"-"&amp;$F596&amp;"-"&amp;$G596)</f>
        <v/>
      </c>
      <c r="B596" s="15" t="n"/>
      <c r="C596" s="16" t="n"/>
      <c r="D596" s="10" t="n"/>
      <c r="E596" s="9" t="n"/>
      <c r="F596" s="9" t="n"/>
      <c r="G596" s="13" t="n"/>
      <c r="H596" s="21" t="n"/>
      <c r="I596" s="21" t="n"/>
      <c r="J596" s="17">
        <f>IF($G596="","",IFERROR(INDEX(NomsEmployes,MATCH($G596,MatriculesEmployes,0)),"MATRICULE INCONNU"))</f>
        <v/>
      </c>
      <c r="K596" s="33">
        <f>IF(OR($D596="",$F596=""),"",IFERROR(IF(INDEX(RUNS!$L$6:$S$1005,MATCH($D596,RUNS!$A$6:$A$1005,0),MATCH("ACTIVITÉ "&amp;$F596,RUNS!$L$5:$S$5,0))="","",INDEX(RUNS!$L$6:$S$1005,MATCH($D596,RUNS!$A$6:$A$1005,0),MATCH("ACTIVITÉ "&amp;$F596,RUNS!$L$5:$S$5,0))),""))</f>
        <v/>
      </c>
      <c r="L596" s="33">
        <f>IF($D596="","",IFERROR(IF(INDEX(RUNS!$E$6:$E$1005,MATCH($D596,RUNS!$A$6:$A$1005,0))="","",INDEX(RUNS!$E$6:$E$1005,MATCH($D596,RUNS!$A$6:$A$1005,0))),""))</f>
        <v/>
      </c>
      <c r="M596" s="33">
        <f>IF($D596="","",IFERROR(IF(INDEX(RUNS!$F$6:$F$1005,MATCH($D596,RUNS!$A$6:$A$1005,0))="","",INDEX(RUNS!$F$6:$F$1005,MATCH($D596,RUNS!$A$6:$A$1005,0))),""))</f>
        <v/>
      </c>
      <c r="N596" s="33">
        <f>IF($D596="","",IFERROR(IF(INDEX(RUNS!$G$6:$G$1005,MATCH($D596,RUNS!$A$6:$A$1005,0))="","",INDEX(RUNS!$G$6:$G$1005,MATCH($D596,RUNS!$A$6:$A$1005,0))),""))</f>
        <v/>
      </c>
      <c r="O596" s="33">
        <f>IF($D596="","",IFERROR(IF(INDEX(RUNS!$H$6:$H$1005,MATCH($D596,RUNS!$A$6:$A$1005,0))="","",INDEX(RUNS!$H$6:$H$1005,MATCH($D596,RUNS!$A$6:$A$1005,0))),""))</f>
        <v/>
      </c>
      <c r="P596" s="33">
        <f>IF($D596="","",IFERROR(IF(INDEX(RUNS!$J$6:$J$1005,MATCH($D596,RUNS!$A$6:$A$1005,0))="","",INDEX(RUNS!$J$6:$J$1005,MATCH($D596,RUNS!$A$6:$A$1005,0))),""))</f>
        <v/>
      </c>
      <c r="Q596" s="33">
        <f>IF($D596="","",IFERROR(IF(INDEX(RUNS!$K$6:$K$1005,MATCH($D596,RUNS!$A$6:$A$1005,0))="","",INDEX(RUNS!$K$6:$K$1005,MATCH($D596,RUNS!$A$6:$A$1005,0))),""))</f>
        <v/>
      </c>
      <c r="R596" s="34">
        <f>IF(OR($L596="",$K596=""),"",IFERROR(IF(INDEX(PARAMETRES!$H$43:$H$342,MATCH($L596&amp;"|"&amp;$M596&amp;"|"&amp;$N596&amp;"|"&amp;$O596&amp;"|"&amp;$P596&amp;"|"&amp;$Q596&amp;"|"&amp;$K596,PARAMETRES!$J$43:$J$342,0))="","",INDEX(PARAMETRES!$H$43:$H$342,MATCH($L596&amp;"|"&amp;$M596&amp;"|"&amp;$N596&amp;"|"&amp;$O596&amp;"|"&amp;$P596&amp;"|"&amp;$Q596&amp;"|"&amp;$K596,PARAMETRES!$J$43:$J$342,0))),""))</f>
        <v/>
      </c>
      <c r="S596" s="35">
        <f>IF(OR($G596="",$X596&lt;&gt;"VALIDE"),"",IFERROR(LOOKUP(2,1/(($B$3:$B595=$B596)*($G$3:$G595=$G596)*($X$3:$X595="VALIDE")),$C$3:$C595),""))</f>
        <v/>
      </c>
      <c r="T596" s="36">
        <f>IF(OR($C596="",$S596=""),"",ROUND(($C596-$S596+IF($C596&lt;$S596,1,0))*1440,0))</f>
        <v/>
      </c>
      <c r="U596" s="22">
        <f>IF(OR($H596="",$T596="",$T596&lt;=0),"",$H596*60/$T596)</f>
        <v/>
      </c>
      <c r="V596" s="37">
        <f>IF(OR($U596="",$R596="",$R596=0),"",$U596/$R596)</f>
        <v/>
      </c>
      <c r="W596" s="20">
        <f>IF($G596="","",IF($X596="CONTEXTE INCOMPLET","CONTEXTE INCOMPLET",IF($X596="DOUBLON",StatutDoublon,IF($S596="",StatutInitial,IF($R596="",StatutStandardManquant,IF($V596="","DONNEES INSUFFISANTES",IF($V596&gt;=SeuilConforme,StatutConforme,IF($V596&gt;=SeuilSurveiller,StatutSurveiller,StatutSousStandard))))))))</f>
        <v/>
      </c>
      <c r="X596" s="33">
        <f>IF($G596="","",IF(OR($D596="",$E596="",$F596=""),"CONTEXTE INCOMPLET",IF(COUNTIFS($D$3:$D595,$D596,$E$3:$E595,$E596,$F$3:$F595,$F596,$G$3:$G595,$G596)&gt;0,"DOUBLON","VALIDE")))</f>
        <v/>
      </c>
    </row>
    <row r="597" ht="15" customHeight="1">
      <c r="A597" s="12">
        <f>IF(OR($B597="",$G597=""),"",TEXT($B597,"YYYYMMDD")&amp;"-"&amp;SUBSTITUTE($E597," ","")&amp;"-"&amp;$F597&amp;"-"&amp;$G597)</f>
        <v/>
      </c>
      <c r="B597" s="15" t="n"/>
      <c r="C597" s="16" t="n"/>
      <c r="D597" s="10" t="n"/>
      <c r="E597" s="9" t="n"/>
      <c r="F597" s="9" t="n"/>
      <c r="G597" s="13" t="n"/>
      <c r="H597" s="21" t="n"/>
      <c r="I597" s="21" t="n"/>
      <c r="J597" s="17">
        <f>IF($G597="","",IFERROR(INDEX(NomsEmployes,MATCH($G597,MatriculesEmployes,0)),"MATRICULE INCONNU"))</f>
        <v/>
      </c>
      <c r="K597" s="33">
        <f>IF(OR($D597="",$F597=""),"",IFERROR(IF(INDEX(RUNS!$L$6:$S$1005,MATCH($D597,RUNS!$A$6:$A$1005,0),MATCH("ACTIVITÉ "&amp;$F597,RUNS!$L$5:$S$5,0))="","",INDEX(RUNS!$L$6:$S$1005,MATCH($D597,RUNS!$A$6:$A$1005,0),MATCH("ACTIVITÉ "&amp;$F597,RUNS!$L$5:$S$5,0))),""))</f>
        <v/>
      </c>
      <c r="L597" s="33">
        <f>IF($D597="","",IFERROR(IF(INDEX(RUNS!$E$6:$E$1005,MATCH($D597,RUNS!$A$6:$A$1005,0))="","",INDEX(RUNS!$E$6:$E$1005,MATCH($D597,RUNS!$A$6:$A$1005,0))),""))</f>
        <v/>
      </c>
      <c r="M597" s="33">
        <f>IF($D597="","",IFERROR(IF(INDEX(RUNS!$F$6:$F$1005,MATCH($D597,RUNS!$A$6:$A$1005,0))="","",INDEX(RUNS!$F$6:$F$1005,MATCH($D597,RUNS!$A$6:$A$1005,0))),""))</f>
        <v/>
      </c>
      <c r="N597" s="33">
        <f>IF($D597="","",IFERROR(IF(INDEX(RUNS!$G$6:$G$1005,MATCH($D597,RUNS!$A$6:$A$1005,0))="","",INDEX(RUNS!$G$6:$G$1005,MATCH($D597,RUNS!$A$6:$A$1005,0))),""))</f>
        <v/>
      </c>
      <c r="O597" s="33">
        <f>IF($D597="","",IFERROR(IF(INDEX(RUNS!$H$6:$H$1005,MATCH($D597,RUNS!$A$6:$A$1005,0))="","",INDEX(RUNS!$H$6:$H$1005,MATCH($D597,RUNS!$A$6:$A$1005,0))),""))</f>
        <v/>
      </c>
      <c r="P597" s="33">
        <f>IF($D597="","",IFERROR(IF(INDEX(RUNS!$J$6:$J$1005,MATCH($D597,RUNS!$A$6:$A$1005,0))="","",INDEX(RUNS!$J$6:$J$1005,MATCH($D597,RUNS!$A$6:$A$1005,0))),""))</f>
        <v/>
      </c>
      <c r="Q597" s="33">
        <f>IF($D597="","",IFERROR(IF(INDEX(RUNS!$K$6:$K$1005,MATCH($D597,RUNS!$A$6:$A$1005,0))="","",INDEX(RUNS!$K$6:$K$1005,MATCH($D597,RUNS!$A$6:$A$1005,0))),""))</f>
        <v/>
      </c>
      <c r="R597" s="34">
        <f>IF(OR($L597="",$K597=""),"",IFERROR(IF(INDEX(PARAMETRES!$H$43:$H$342,MATCH($L597&amp;"|"&amp;$M597&amp;"|"&amp;$N597&amp;"|"&amp;$O597&amp;"|"&amp;$P597&amp;"|"&amp;$Q597&amp;"|"&amp;$K597,PARAMETRES!$J$43:$J$342,0))="","",INDEX(PARAMETRES!$H$43:$H$342,MATCH($L597&amp;"|"&amp;$M597&amp;"|"&amp;$N597&amp;"|"&amp;$O597&amp;"|"&amp;$P597&amp;"|"&amp;$Q597&amp;"|"&amp;$K597,PARAMETRES!$J$43:$J$342,0))),""))</f>
        <v/>
      </c>
      <c r="S597" s="35">
        <f>IF(OR($G597="",$X597&lt;&gt;"VALIDE"),"",IFERROR(LOOKUP(2,1/(($B$3:$B596=$B597)*($G$3:$G596=$G597)*($X$3:$X596="VALIDE")),$C$3:$C596),""))</f>
        <v/>
      </c>
      <c r="T597" s="36">
        <f>IF(OR($C597="",$S597=""),"",ROUND(($C597-$S597+IF($C597&lt;$S597,1,0))*1440,0))</f>
        <v/>
      </c>
      <c r="U597" s="22">
        <f>IF(OR($H597="",$T597="",$T597&lt;=0),"",$H597*60/$T597)</f>
        <v/>
      </c>
      <c r="V597" s="37">
        <f>IF(OR($U597="",$R597="",$R597=0),"",$U597/$R597)</f>
        <v/>
      </c>
      <c r="W597" s="20">
        <f>IF($G597="","",IF($X597="CONTEXTE INCOMPLET","CONTEXTE INCOMPLET",IF($X597="DOUBLON",StatutDoublon,IF($S597="",StatutInitial,IF($R597="",StatutStandardManquant,IF($V597="","DONNEES INSUFFISANTES",IF($V597&gt;=SeuilConforme,StatutConforme,IF($V597&gt;=SeuilSurveiller,StatutSurveiller,StatutSousStandard))))))))</f>
        <v/>
      </c>
      <c r="X597" s="33">
        <f>IF($G597="","",IF(OR($D597="",$E597="",$F597=""),"CONTEXTE INCOMPLET",IF(COUNTIFS($D$3:$D596,$D597,$E$3:$E596,$E597,$F$3:$F596,$F597,$G$3:$G596,$G597)&gt;0,"DOUBLON","VALIDE")))</f>
        <v/>
      </c>
    </row>
    <row r="598" ht="15" customHeight="1">
      <c r="A598" s="12">
        <f>IF(OR($B598="",$G598=""),"",TEXT($B598,"YYYYMMDD")&amp;"-"&amp;SUBSTITUTE($E598," ","")&amp;"-"&amp;$F598&amp;"-"&amp;$G598)</f>
        <v/>
      </c>
      <c r="B598" s="15" t="n"/>
      <c r="C598" s="16" t="n"/>
      <c r="D598" s="10" t="n"/>
      <c r="E598" s="9" t="n"/>
      <c r="F598" s="9" t="n"/>
      <c r="G598" s="13" t="n"/>
      <c r="H598" s="21" t="n"/>
      <c r="I598" s="21" t="n"/>
      <c r="J598" s="17">
        <f>IF($G598="","",IFERROR(INDEX(NomsEmployes,MATCH($G598,MatriculesEmployes,0)),"MATRICULE INCONNU"))</f>
        <v/>
      </c>
      <c r="K598" s="33">
        <f>IF(OR($D598="",$F598=""),"",IFERROR(IF(INDEX(RUNS!$L$6:$S$1005,MATCH($D598,RUNS!$A$6:$A$1005,0),MATCH("ACTIVITÉ "&amp;$F598,RUNS!$L$5:$S$5,0))="","",INDEX(RUNS!$L$6:$S$1005,MATCH($D598,RUNS!$A$6:$A$1005,0),MATCH("ACTIVITÉ "&amp;$F598,RUNS!$L$5:$S$5,0))),""))</f>
        <v/>
      </c>
      <c r="L598" s="33">
        <f>IF($D598="","",IFERROR(IF(INDEX(RUNS!$E$6:$E$1005,MATCH($D598,RUNS!$A$6:$A$1005,0))="","",INDEX(RUNS!$E$6:$E$1005,MATCH($D598,RUNS!$A$6:$A$1005,0))),""))</f>
        <v/>
      </c>
      <c r="M598" s="33">
        <f>IF($D598="","",IFERROR(IF(INDEX(RUNS!$F$6:$F$1005,MATCH($D598,RUNS!$A$6:$A$1005,0))="","",INDEX(RUNS!$F$6:$F$1005,MATCH($D598,RUNS!$A$6:$A$1005,0))),""))</f>
        <v/>
      </c>
      <c r="N598" s="33">
        <f>IF($D598="","",IFERROR(IF(INDEX(RUNS!$G$6:$G$1005,MATCH($D598,RUNS!$A$6:$A$1005,0))="","",INDEX(RUNS!$G$6:$G$1005,MATCH($D598,RUNS!$A$6:$A$1005,0))),""))</f>
        <v/>
      </c>
      <c r="O598" s="33">
        <f>IF($D598="","",IFERROR(IF(INDEX(RUNS!$H$6:$H$1005,MATCH($D598,RUNS!$A$6:$A$1005,0))="","",INDEX(RUNS!$H$6:$H$1005,MATCH($D598,RUNS!$A$6:$A$1005,0))),""))</f>
        <v/>
      </c>
      <c r="P598" s="33">
        <f>IF($D598="","",IFERROR(IF(INDEX(RUNS!$J$6:$J$1005,MATCH($D598,RUNS!$A$6:$A$1005,0))="","",INDEX(RUNS!$J$6:$J$1005,MATCH($D598,RUNS!$A$6:$A$1005,0))),""))</f>
        <v/>
      </c>
      <c r="Q598" s="33">
        <f>IF($D598="","",IFERROR(IF(INDEX(RUNS!$K$6:$K$1005,MATCH($D598,RUNS!$A$6:$A$1005,0))="","",INDEX(RUNS!$K$6:$K$1005,MATCH($D598,RUNS!$A$6:$A$1005,0))),""))</f>
        <v/>
      </c>
      <c r="R598" s="34">
        <f>IF(OR($L598="",$K598=""),"",IFERROR(IF(INDEX(PARAMETRES!$H$43:$H$342,MATCH($L598&amp;"|"&amp;$M598&amp;"|"&amp;$N598&amp;"|"&amp;$O598&amp;"|"&amp;$P598&amp;"|"&amp;$Q598&amp;"|"&amp;$K598,PARAMETRES!$J$43:$J$342,0))="","",INDEX(PARAMETRES!$H$43:$H$342,MATCH($L598&amp;"|"&amp;$M598&amp;"|"&amp;$N598&amp;"|"&amp;$O598&amp;"|"&amp;$P598&amp;"|"&amp;$Q598&amp;"|"&amp;$K598,PARAMETRES!$J$43:$J$342,0))),""))</f>
        <v/>
      </c>
      <c r="S598" s="35">
        <f>IF(OR($G598="",$X598&lt;&gt;"VALIDE"),"",IFERROR(LOOKUP(2,1/(($B$3:$B597=$B598)*($G$3:$G597=$G598)*($X$3:$X597="VALIDE")),$C$3:$C597),""))</f>
        <v/>
      </c>
      <c r="T598" s="36">
        <f>IF(OR($C598="",$S598=""),"",ROUND(($C598-$S598+IF($C598&lt;$S598,1,0))*1440,0))</f>
        <v/>
      </c>
      <c r="U598" s="22">
        <f>IF(OR($H598="",$T598="",$T598&lt;=0),"",$H598*60/$T598)</f>
        <v/>
      </c>
      <c r="V598" s="37">
        <f>IF(OR($U598="",$R598="",$R598=0),"",$U598/$R598)</f>
        <v/>
      </c>
      <c r="W598" s="20">
        <f>IF($G598="","",IF($X598="CONTEXTE INCOMPLET","CONTEXTE INCOMPLET",IF($X598="DOUBLON",StatutDoublon,IF($S598="",StatutInitial,IF($R598="",StatutStandardManquant,IF($V598="","DONNEES INSUFFISANTES",IF($V598&gt;=SeuilConforme,StatutConforme,IF($V598&gt;=SeuilSurveiller,StatutSurveiller,StatutSousStandard))))))))</f>
        <v/>
      </c>
      <c r="X598" s="33">
        <f>IF($G598="","",IF(OR($D598="",$E598="",$F598=""),"CONTEXTE INCOMPLET",IF(COUNTIFS($D$3:$D597,$D598,$E$3:$E597,$E598,$F$3:$F597,$F598,$G$3:$G597,$G598)&gt;0,"DOUBLON","VALIDE")))</f>
        <v/>
      </c>
    </row>
    <row r="599" ht="15" customHeight="1">
      <c r="A599" s="12">
        <f>IF(OR($B599="",$G599=""),"",TEXT($B599,"YYYYMMDD")&amp;"-"&amp;SUBSTITUTE($E599," ","")&amp;"-"&amp;$F599&amp;"-"&amp;$G599)</f>
        <v/>
      </c>
      <c r="B599" s="15" t="n"/>
      <c r="C599" s="16" t="n"/>
      <c r="D599" s="10" t="n"/>
      <c r="E599" s="9" t="n"/>
      <c r="F599" s="9" t="n"/>
      <c r="G599" s="13" t="n"/>
      <c r="H599" s="21" t="n"/>
      <c r="I599" s="21" t="n"/>
      <c r="J599" s="17">
        <f>IF($G599="","",IFERROR(INDEX(NomsEmployes,MATCH($G599,MatriculesEmployes,0)),"MATRICULE INCONNU"))</f>
        <v/>
      </c>
      <c r="K599" s="33">
        <f>IF(OR($D599="",$F599=""),"",IFERROR(IF(INDEX(RUNS!$L$6:$S$1005,MATCH($D599,RUNS!$A$6:$A$1005,0),MATCH("ACTIVITÉ "&amp;$F599,RUNS!$L$5:$S$5,0))="","",INDEX(RUNS!$L$6:$S$1005,MATCH($D599,RUNS!$A$6:$A$1005,0),MATCH("ACTIVITÉ "&amp;$F599,RUNS!$L$5:$S$5,0))),""))</f>
        <v/>
      </c>
      <c r="L599" s="33">
        <f>IF($D599="","",IFERROR(IF(INDEX(RUNS!$E$6:$E$1005,MATCH($D599,RUNS!$A$6:$A$1005,0))="","",INDEX(RUNS!$E$6:$E$1005,MATCH($D599,RUNS!$A$6:$A$1005,0))),""))</f>
        <v/>
      </c>
      <c r="M599" s="33">
        <f>IF($D599="","",IFERROR(IF(INDEX(RUNS!$F$6:$F$1005,MATCH($D599,RUNS!$A$6:$A$1005,0))="","",INDEX(RUNS!$F$6:$F$1005,MATCH($D599,RUNS!$A$6:$A$1005,0))),""))</f>
        <v/>
      </c>
      <c r="N599" s="33">
        <f>IF($D599="","",IFERROR(IF(INDEX(RUNS!$G$6:$G$1005,MATCH($D599,RUNS!$A$6:$A$1005,0))="","",INDEX(RUNS!$G$6:$G$1005,MATCH($D599,RUNS!$A$6:$A$1005,0))),""))</f>
        <v/>
      </c>
      <c r="O599" s="33">
        <f>IF($D599="","",IFERROR(IF(INDEX(RUNS!$H$6:$H$1005,MATCH($D599,RUNS!$A$6:$A$1005,0))="","",INDEX(RUNS!$H$6:$H$1005,MATCH($D599,RUNS!$A$6:$A$1005,0))),""))</f>
        <v/>
      </c>
      <c r="P599" s="33">
        <f>IF($D599="","",IFERROR(IF(INDEX(RUNS!$J$6:$J$1005,MATCH($D599,RUNS!$A$6:$A$1005,0))="","",INDEX(RUNS!$J$6:$J$1005,MATCH($D599,RUNS!$A$6:$A$1005,0))),""))</f>
        <v/>
      </c>
      <c r="Q599" s="33">
        <f>IF($D599="","",IFERROR(IF(INDEX(RUNS!$K$6:$K$1005,MATCH($D599,RUNS!$A$6:$A$1005,0))="","",INDEX(RUNS!$K$6:$K$1005,MATCH($D599,RUNS!$A$6:$A$1005,0))),""))</f>
        <v/>
      </c>
      <c r="R599" s="34">
        <f>IF(OR($L599="",$K599=""),"",IFERROR(IF(INDEX(PARAMETRES!$H$43:$H$342,MATCH($L599&amp;"|"&amp;$M599&amp;"|"&amp;$N599&amp;"|"&amp;$O599&amp;"|"&amp;$P599&amp;"|"&amp;$Q599&amp;"|"&amp;$K599,PARAMETRES!$J$43:$J$342,0))="","",INDEX(PARAMETRES!$H$43:$H$342,MATCH($L599&amp;"|"&amp;$M599&amp;"|"&amp;$N599&amp;"|"&amp;$O599&amp;"|"&amp;$P599&amp;"|"&amp;$Q599&amp;"|"&amp;$K599,PARAMETRES!$J$43:$J$342,0))),""))</f>
        <v/>
      </c>
      <c r="S599" s="35">
        <f>IF(OR($G599="",$X599&lt;&gt;"VALIDE"),"",IFERROR(LOOKUP(2,1/(($B$3:$B598=$B599)*($G$3:$G598=$G599)*($X$3:$X598="VALIDE")),$C$3:$C598),""))</f>
        <v/>
      </c>
      <c r="T599" s="36">
        <f>IF(OR($C599="",$S599=""),"",ROUND(($C599-$S599+IF($C599&lt;$S599,1,0))*1440,0))</f>
        <v/>
      </c>
      <c r="U599" s="22">
        <f>IF(OR($H599="",$T599="",$T599&lt;=0),"",$H599*60/$T599)</f>
        <v/>
      </c>
      <c r="V599" s="37">
        <f>IF(OR($U599="",$R599="",$R599=0),"",$U599/$R599)</f>
        <v/>
      </c>
      <c r="W599" s="20">
        <f>IF($G599="","",IF($X599="CONTEXTE INCOMPLET","CONTEXTE INCOMPLET",IF($X599="DOUBLON",StatutDoublon,IF($S599="",StatutInitial,IF($R599="",StatutStandardManquant,IF($V599="","DONNEES INSUFFISANTES",IF($V599&gt;=SeuilConforme,StatutConforme,IF($V599&gt;=SeuilSurveiller,StatutSurveiller,StatutSousStandard))))))))</f>
        <v/>
      </c>
      <c r="X599" s="33">
        <f>IF($G599="","",IF(OR($D599="",$E599="",$F599=""),"CONTEXTE INCOMPLET",IF(COUNTIFS($D$3:$D598,$D599,$E$3:$E598,$E599,$F$3:$F598,$F599,$G$3:$G598,$G599)&gt;0,"DOUBLON","VALIDE")))</f>
        <v/>
      </c>
    </row>
    <row r="600" ht="15" customHeight="1">
      <c r="A600" s="12">
        <f>IF(OR($B600="",$G600=""),"",TEXT($B600,"YYYYMMDD")&amp;"-"&amp;SUBSTITUTE($E600," ","")&amp;"-"&amp;$F600&amp;"-"&amp;$G600)</f>
        <v/>
      </c>
      <c r="B600" s="15" t="n"/>
      <c r="C600" s="16" t="n"/>
      <c r="D600" s="10" t="n"/>
      <c r="E600" s="9" t="n"/>
      <c r="F600" s="9" t="n"/>
      <c r="G600" s="13" t="n"/>
      <c r="H600" s="21" t="n"/>
      <c r="I600" s="21" t="n"/>
      <c r="J600" s="17">
        <f>IF($G600="","",IFERROR(INDEX(NomsEmployes,MATCH($G600,MatriculesEmployes,0)),"MATRICULE INCONNU"))</f>
        <v/>
      </c>
      <c r="K600" s="33">
        <f>IF(OR($D600="",$F600=""),"",IFERROR(IF(INDEX(RUNS!$L$6:$S$1005,MATCH($D600,RUNS!$A$6:$A$1005,0),MATCH("ACTIVITÉ "&amp;$F600,RUNS!$L$5:$S$5,0))="","",INDEX(RUNS!$L$6:$S$1005,MATCH($D600,RUNS!$A$6:$A$1005,0),MATCH("ACTIVITÉ "&amp;$F600,RUNS!$L$5:$S$5,0))),""))</f>
        <v/>
      </c>
      <c r="L600" s="33">
        <f>IF($D600="","",IFERROR(IF(INDEX(RUNS!$E$6:$E$1005,MATCH($D600,RUNS!$A$6:$A$1005,0))="","",INDEX(RUNS!$E$6:$E$1005,MATCH($D600,RUNS!$A$6:$A$1005,0))),""))</f>
        <v/>
      </c>
      <c r="M600" s="33">
        <f>IF($D600="","",IFERROR(IF(INDEX(RUNS!$F$6:$F$1005,MATCH($D600,RUNS!$A$6:$A$1005,0))="","",INDEX(RUNS!$F$6:$F$1005,MATCH($D600,RUNS!$A$6:$A$1005,0))),""))</f>
        <v/>
      </c>
      <c r="N600" s="33">
        <f>IF($D600="","",IFERROR(IF(INDEX(RUNS!$G$6:$G$1005,MATCH($D600,RUNS!$A$6:$A$1005,0))="","",INDEX(RUNS!$G$6:$G$1005,MATCH($D600,RUNS!$A$6:$A$1005,0))),""))</f>
        <v/>
      </c>
      <c r="O600" s="33">
        <f>IF($D600="","",IFERROR(IF(INDEX(RUNS!$H$6:$H$1005,MATCH($D600,RUNS!$A$6:$A$1005,0))="","",INDEX(RUNS!$H$6:$H$1005,MATCH($D600,RUNS!$A$6:$A$1005,0))),""))</f>
        <v/>
      </c>
      <c r="P600" s="33">
        <f>IF($D600="","",IFERROR(IF(INDEX(RUNS!$J$6:$J$1005,MATCH($D600,RUNS!$A$6:$A$1005,0))="","",INDEX(RUNS!$J$6:$J$1005,MATCH($D600,RUNS!$A$6:$A$1005,0))),""))</f>
        <v/>
      </c>
      <c r="Q600" s="33">
        <f>IF($D600="","",IFERROR(IF(INDEX(RUNS!$K$6:$K$1005,MATCH($D600,RUNS!$A$6:$A$1005,0))="","",INDEX(RUNS!$K$6:$K$1005,MATCH($D600,RUNS!$A$6:$A$1005,0))),""))</f>
        <v/>
      </c>
      <c r="R600" s="34">
        <f>IF(OR($L600="",$K600=""),"",IFERROR(IF(INDEX(PARAMETRES!$H$43:$H$342,MATCH($L600&amp;"|"&amp;$M600&amp;"|"&amp;$N600&amp;"|"&amp;$O600&amp;"|"&amp;$P600&amp;"|"&amp;$Q600&amp;"|"&amp;$K600,PARAMETRES!$J$43:$J$342,0))="","",INDEX(PARAMETRES!$H$43:$H$342,MATCH($L600&amp;"|"&amp;$M600&amp;"|"&amp;$N600&amp;"|"&amp;$O600&amp;"|"&amp;$P600&amp;"|"&amp;$Q600&amp;"|"&amp;$K600,PARAMETRES!$J$43:$J$342,0))),""))</f>
        <v/>
      </c>
      <c r="S600" s="35">
        <f>IF(OR($G600="",$X600&lt;&gt;"VALIDE"),"",IFERROR(LOOKUP(2,1/(($B$3:$B599=$B600)*($G$3:$G599=$G600)*($X$3:$X599="VALIDE")),$C$3:$C599),""))</f>
        <v/>
      </c>
      <c r="T600" s="36">
        <f>IF(OR($C600="",$S600=""),"",ROUND(($C600-$S600+IF($C600&lt;$S600,1,0))*1440,0))</f>
        <v/>
      </c>
      <c r="U600" s="22">
        <f>IF(OR($H600="",$T600="",$T600&lt;=0),"",$H600*60/$T600)</f>
        <v/>
      </c>
      <c r="V600" s="37">
        <f>IF(OR($U600="",$R600="",$R600=0),"",$U600/$R600)</f>
        <v/>
      </c>
      <c r="W600" s="20">
        <f>IF($G600="","",IF($X600="CONTEXTE INCOMPLET","CONTEXTE INCOMPLET",IF($X600="DOUBLON",StatutDoublon,IF($S600="",StatutInitial,IF($R600="",StatutStandardManquant,IF($V600="","DONNEES INSUFFISANTES",IF($V600&gt;=SeuilConforme,StatutConforme,IF($V600&gt;=SeuilSurveiller,StatutSurveiller,StatutSousStandard))))))))</f>
        <v/>
      </c>
      <c r="X600" s="33">
        <f>IF($G600="","",IF(OR($D600="",$E600="",$F600=""),"CONTEXTE INCOMPLET",IF(COUNTIFS($D$3:$D599,$D600,$E$3:$E599,$E600,$F$3:$F599,$F600,$G$3:$G599,$G600)&gt;0,"DOUBLON","VALIDE")))</f>
        <v/>
      </c>
    </row>
    <row r="601" ht="15" customHeight="1">
      <c r="A601" s="12">
        <f>IF(OR($B601="",$G601=""),"",TEXT($B601,"YYYYMMDD")&amp;"-"&amp;SUBSTITUTE($E601," ","")&amp;"-"&amp;$F601&amp;"-"&amp;$G601)</f>
        <v/>
      </c>
      <c r="B601" s="15" t="n"/>
      <c r="C601" s="16" t="n"/>
      <c r="D601" s="10" t="n"/>
      <c r="E601" s="9" t="n"/>
      <c r="F601" s="9" t="n"/>
      <c r="G601" s="13" t="n"/>
      <c r="H601" s="21" t="n"/>
      <c r="I601" s="21" t="n"/>
      <c r="J601" s="17">
        <f>IF($G601="","",IFERROR(INDEX(NomsEmployes,MATCH($G601,MatriculesEmployes,0)),"MATRICULE INCONNU"))</f>
        <v/>
      </c>
      <c r="K601" s="33">
        <f>IF(OR($D601="",$F601=""),"",IFERROR(IF(INDEX(RUNS!$L$6:$S$1005,MATCH($D601,RUNS!$A$6:$A$1005,0),MATCH("ACTIVITÉ "&amp;$F601,RUNS!$L$5:$S$5,0))="","",INDEX(RUNS!$L$6:$S$1005,MATCH($D601,RUNS!$A$6:$A$1005,0),MATCH("ACTIVITÉ "&amp;$F601,RUNS!$L$5:$S$5,0))),""))</f>
        <v/>
      </c>
      <c r="L601" s="33">
        <f>IF($D601="","",IFERROR(IF(INDEX(RUNS!$E$6:$E$1005,MATCH($D601,RUNS!$A$6:$A$1005,0))="","",INDEX(RUNS!$E$6:$E$1005,MATCH($D601,RUNS!$A$6:$A$1005,0))),""))</f>
        <v/>
      </c>
      <c r="M601" s="33">
        <f>IF($D601="","",IFERROR(IF(INDEX(RUNS!$F$6:$F$1005,MATCH($D601,RUNS!$A$6:$A$1005,0))="","",INDEX(RUNS!$F$6:$F$1005,MATCH($D601,RUNS!$A$6:$A$1005,0))),""))</f>
        <v/>
      </c>
      <c r="N601" s="33">
        <f>IF($D601="","",IFERROR(IF(INDEX(RUNS!$G$6:$G$1005,MATCH($D601,RUNS!$A$6:$A$1005,0))="","",INDEX(RUNS!$G$6:$G$1005,MATCH($D601,RUNS!$A$6:$A$1005,0))),""))</f>
        <v/>
      </c>
      <c r="O601" s="33">
        <f>IF($D601="","",IFERROR(IF(INDEX(RUNS!$H$6:$H$1005,MATCH($D601,RUNS!$A$6:$A$1005,0))="","",INDEX(RUNS!$H$6:$H$1005,MATCH($D601,RUNS!$A$6:$A$1005,0))),""))</f>
        <v/>
      </c>
      <c r="P601" s="33">
        <f>IF($D601="","",IFERROR(IF(INDEX(RUNS!$J$6:$J$1005,MATCH($D601,RUNS!$A$6:$A$1005,0))="","",INDEX(RUNS!$J$6:$J$1005,MATCH($D601,RUNS!$A$6:$A$1005,0))),""))</f>
        <v/>
      </c>
      <c r="Q601" s="33">
        <f>IF($D601="","",IFERROR(IF(INDEX(RUNS!$K$6:$K$1005,MATCH($D601,RUNS!$A$6:$A$1005,0))="","",INDEX(RUNS!$K$6:$K$1005,MATCH($D601,RUNS!$A$6:$A$1005,0))),""))</f>
        <v/>
      </c>
      <c r="R601" s="34">
        <f>IF(OR($L601="",$K601=""),"",IFERROR(IF(INDEX(PARAMETRES!$H$43:$H$342,MATCH($L601&amp;"|"&amp;$M601&amp;"|"&amp;$N601&amp;"|"&amp;$O601&amp;"|"&amp;$P601&amp;"|"&amp;$Q601&amp;"|"&amp;$K601,PARAMETRES!$J$43:$J$342,0))="","",INDEX(PARAMETRES!$H$43:$H$342,MATCH($L601&amp;"|"&amp;$M601&amp;"|"&amp;$N601&amp;"|"&amp;$O601&amp;"|"&amp;$P601&amp;"|"&amp;$Q601&amp;"|"&amp;$K601,PARAMETRES!$J$43:$J$342,0))),""))</f>
        <v/>
      </c>
      <c r="S601" s="35">
        <f>IF(OR($G601="",$X601&lt;&gt;"VALIDE"),"",IFERROR(LOOKUP(2,1/(($B$3:$B600=$B601)*($G$3:$G600=$G601)*($X$3:$X600="VALIDE")),$C$3:$C600),""))</f>
        <v/>
      </c>
      <c r="T601" s="36">
        <f>IF(OR($C601="",$S601=""),"",ROUND(($C601-$S601+IF($C601&lt;$S601,1,0))*1440,0))</f>
        <v/>
      </c>
      <c r="U601" s="22">
        <f>IF(OR($H601="",$T601="",$T601&lt;=0),"",$H601*60/$T601)</f>
        <v/>
      </c>
      <c r="V601" s="37">
        <f>IF(OR($U601="",$R601="",$R601=0),"",$U601/$R601)</f>
        <v/>
      </c>
      <c r="W601" s="20">
        <f>IF($G601="","",IF($X601="CONTEXTE INCOMPLET","CONTEXTE INCOMPLET",IF($X601="DOUBLON",StatutDoublon,IF($S601="",StatutInitial,IF($R601="",StatutStandardManquant,IF($V601="","DONNEES INSUFFISANTES",IF($V601&gt;=SeuilConforme,StatutConforme,IF($V601&gt;=SeuilSurveiller,StatutSurveiller,StatutSousStandard))))))))</f>
        <v/>
      </c>
      <c r="X601" s="33">
        <f>IF($G601="","",IF(OR($D601="",$E601="",$F601=""),"CONTEXTE INCOMPLET",IF(COUNTIFS($D$3:$D600,$D601,$E$3:$E600,$E601,$F$3:$F600,$F601,$G$3:$G600,$G601)&gt;0,"DOUBLON","VALIDE")))</f>
        <v/>
      </c>
    </row>
    <row r="602" ht="15" customHeight="1">
      <c r="A602" s="12">
        <f>IF(OR($B602="",$G602=""),"",TEXT($B602,"YYYYMMDD")&amp;"-"&amp;SUBSTITUTE($E602," ","")&amp;"-"&amp;$F602&amp;"-"&amp;$G602)</f>
        <v/>
      </c>
      <c r="B602" s="15" t="n"/>
      <c r="C602" s="16" t="n"/>
      <c r="D602" s="10" t="n"/>
      <c r="E602" s="9" t="n"/>
      <c r="F602" s="9" t="n"/>
      <c r="G602" s="13" t="n"/>
      <c r="H602" s="21" t="n"/>
      <c r="I602" s="21" t="n"/>
      <c r="J602" s="17">
        <f>IF($G602="","",IFERROR(INDEX(NomsEmployes,MATCH($G602,MatriculesEmployes,0)),"MATRICULE INCONNU"))</f>
        <v/>
      </c>
      <c r="K602" s="33">
        <f>IF(OR($D602="",$F602=""),"",IFERROR(IF(INDEX(RUNS!$L$6:$S$1005,MATCH($D602,RUNS!$A$6:$A$1005,0),MATCH("ACTIVITÉ "&amp;$F602,RUNS!$L$5:$S$5,0))="","",INDEX(RUNS!$L$6:$S$1005,MATCH($D602,RUNS!$A$6:$A$1005,0),MATCH("ACTIVITÉ "&amp;$F602,RUNS!$L$5:$S$5,0))),""))</f>
        <v/>
      </c>
      <c r="L602" s="33">
        <f>IF($D602="","",IFERROR(IF(INDEX(RUNS!$E$6:$E$1005,MATCH($D602,RUNS!$A$6:$A$1005,0))="","",INDEX(RUNS!$E$6:$E$1005,MATCH($D602,RUNS!$A$6:$A$1005,0))),""))</f>
        <v/>
      </c>
      <c r="M602" s="33">
        <f>IF($D602="","",IFERROR(IF(INDEX(RUNS!$F$6:$F$1005,MATCH($D602,RUNS!$A$6:$A$1005,0))="","",INDEX(RUNS!$F$6:$F$1005,MATCH($D602,RUNS!$A$6:$A$1005,0))),""))</f>
        <v/>
      </c>
      <c r="N602" s="33">
        <f>IF($D602="","",IFERROR(IF(INDEX(RUNS!$G$6:$G$1005,MATCH($D602,RUNS!$A$6:$A$1005,0))="","",INDEX(RUNS!$G$6:$G$1005,MATCH($D602,RUNS!$A$6:$A$1005,0))),""))</f>
        <v/>
      </c>
      <c r="O602" s="33">
        <f>IF($D602="","",IFERROR(IF(INDEX(RUNS!$H$6:$H$1005,MATCH($D602,RUNS!$A$6:$A$1005,0))="","",INDEX(RUNS!$H$6:$H$1005,MATCH($D602,RUNS!$A$6:$A$1005,0))),""))</f>
        <v/>
      </c>
      <c r="P602" s="33">
        <f>IF($D602="","",IFERROR(IF(INDEX(RUNS!$J$6:$J$1005,MATCH($D602,RUNS!$A$6:$A$1005,0))="","",INDEX(RUNS!$J$6:$J$1005,MATCH($D602,RUNS!$A$6:$A$1005,0))),""))</f>
        <v/>
      </c>
      <c r="Q602" s="33">
        <f>IF($D602="","",IFERROR(IF(INDEX(RUNS!$K$6:$K$1005,MATCH($D602,RUNS!$A$6:$A$1005,0))="","",INDEX(RUNS!$K$6:$K$1005,MATCH($D602,RUNS!$A$6:$A$1005,0))),""))</f>
        <v/>
      </c>
      <c r="R602" s="34">
        <f>IF(OR($L602="",$K602=""),"",IFERROR(IF(INDEX(PARAMETRES!$H$43:$H$342,MATCH($L602&amp;"|"&amp;$M602&amp;"|"&amp;$N602&amp;"|"&amp;$O602&amp;"|"&amp;$P602&amp;"|"&amp;$Q602&amp;"|"&amp;$K602,PARAMETRES!$J$43:$J$342,0))="","",INDEX(PARAMETRES!$H$43:$H$342,MATCH($L602&amp;"|"&amp;$M602&amp;"|"&amp;$N602&amp;"|"&amp;$O602&amp;"|"&amp;$P602&amp;"|"&amp;$Q602&amp;"|"&amp;$K602,PARAMETRES!$J$43:$J$342,0))),""))</f>
        <v/>
      </c>
      <c r="S602" s="35">
        <f>IF(OR($G602="",$X602&lt;&gt;"VALIDE"),"",IFERROR(LOOKUP(2,1/(($B$3:$B601=$B602)*($G$3:$G601=$G602)*($X$3:$X601="VALIDE")),$C$3:$C601),""))</f>
        <v/>
      </c>
      <c r="T602" s="36">
        <f>IF(OR($C602="",$S602=""),"",ROUND(($C602-$S602+IF($C602&lt;$S602,1,0))*1440,0))</f>
        <v/>
      </c>
      <c r="U602" s="22">
        <f>IF(OR($H602="",$T602="",$T602&lt;=0),"",$H602*60/$T602)</f>
        <v/>
      </c>
      <c r="V602" s="37">
        <f>IF(OR($U602="",$R602="",$R602=0),"",$U602/$R602)</f>
        <v/>
      </c>
      <c r="W602" s="20">
        <f>IF($G602="","",IF($X602="CONTEXTE INCOMPLET","CONTEXTE INCOMPLET",IF($X602="DOUBLON",StatutDoublon,IF($S602="",StatutInitial,IF($R602="",StatutStandardManquant,IF($V602="","DONNEES INSUFFISANTES",IF($V602&gt;=SeuilConforme,StatutConforme,IF($V602&gt;=SeuilSurveiller,StatutSurveiller,StatutSousStandard))))))))</f>
        <v/>
      </c>
      <c r="X602" s="33">
        <f>IF($G602="","",IF(OR($D602="",$E602="",$F602=""),"CONTEXTE INCOMPLET",IF(COUNTIFS($D$3:$D601,$D602,$E$3:$E601,$E602,$F$3:$F601,$F602,$G$3:$G601,$G602)&gt;0,"DOUBLON","VALIDE")))</f>
        <v/>
      </c>
    </row>
    <row r="603" ht="15" customHeight="1">
      <c r="A603" s="12">
        <f>IF(OR($B603="",$G603=""),"",TEXT($B603,"YYYYMMDD")&amp;"-"&amp;SUBSTITUTE($E603," ","")&amp;"-"&amp;$F603&amp;"-"&amp;$G603)</f>
        <v/>
      </c>
      <c r="B603" s="15" t="n"/>
      <c r="C603" s="16" t="n"/>
      <c r="D603" s="10" t="n"/>
      <c r="E603" s="9" t="n"/>
      <c r="F603" s="9" t="n"/>
      <c r="G603" s="13" t="n"/>
      <c r="H603" s="21" t="n"/>
      <c r="I603" s="21" t="n"/>
      <c r="J603" s="17">
        <f>IF($G603="","",IFERROR(INDEX(NomsEmployes,MATCH($G603,MatriculesEmployes,0)),"MATRICULE INCONNU"))</f>
        <v/>
      </c>
      <c r="K603" s="33">
        <f>IF(OR($D603="",$F603=""),"",IFERROR(IF(INDEX(RUNS!$L$6:$S$1005,MATCH($D603,RUNS!$A$6:$A$1005,0),MATCH("ACTIVITÉ "&amp;$F603,RUNS!$L$5:$S$5,0))="","",INDEX(RUNS!$L$6:$S$1005,MATCH($D603,RUNS!$A$6:$A$1005,0),MATCH("ACTIVITÉ "&amp;$F603,RUNS!$L$5:$S$5,0))),""))</f>
        <v/>
      </c>
      <c r="L603" s="33">
        <f>IF($D603="","",IFERROR(IF(INDEX(RUNS!$E$6:$E$1005,MATCH($D603,RUNS!$A$6:$A$1005,0))="","",INDEX(RUNS!$E$6:$E$1005,MATCH($D603,RUNS!$A$6:$A$1005,0))),""))</f>
        <v/>
      </c>
      <c r="M603" s="33">
        <f>IF($D603="","",IFERROR(IF(INDEX(RUNS!$F$6:$F$1005,MATCH($D603,RUNS!$A$6:$A$1005,0))="","",INDEX(RUNS!$F$6:$F$1005,MATCH($D603,RUNS!$A$6:$A$1005,0))),""))</f>
        <v/>
      </c>
      <c r="N603" s="33">
        <f>IF($D603="","",IFERROR(IF(INDEX(RUNS!$G$6:$G$1005,MATCH($D603,RUNS!$A$6:$A$1005,0))="","",INDEX(RUNS!$G$6:$G$1005,MATCH($D603,RUNS!$A$6:$A$1005,0))),""))</f>
        <v/>
      </c>
      <c r="O603" s="33">
        <f>IF($D603="","",IFERROR(IF(INDEX(RUNS!$H$6:$H$1005,MATCH($D603,RUNS!$A$6:$A$1005,0))="","",INDEX(RUNS!$H$6:$H$1005,MATCH($D603,RUNS!$A$6:$A$1005,0))),""))</f>
        <v/>
      </c>
      <c r="P603" s="33">
        <f>IF($D603="","",IFERROR(IF(INDEX(RUNS!$J$6:$J$1005,MATCH($D603,RUNS!$A$6:$A$1005,0))="","",INDEX(RUNS!$J$6:$J$1005,MATCH($D603,RUNS!$A$6:$A$1005,0))),""))</f>
        <v/>
      </c>
      <c r="Q603" s="33">
        <f>IF($D603="","",IFERROR(IF(INDEX(RUNS!$K$6:$K$1005,MATCH($D603,RUNS!$A$6:$A$1005,0))="","",INDEX(RUNS!$K$6:$K$1005,MATCH($D603,RUNS!$A$6:$A$1005,0))),""))</f>
        <v/>
      </c>
      <c r="R603" s="34">
        <f>IF(OR($L603="",$K603=""),"",IFERROR(IF(INDEX(PARAMETRES!$H$43:$H$342,MATCH($L603&amp;"|"&amp;$M603&amp;"|"&amp;$N603&amp;"|"&amp;$O603&amp;"|"&amp;$P603&amp;"|"&amp;$Q603&amp;"|"&amp;$K603,PARAMETRES!$J$43:$J$342,0))="","",INDEX(PARAMETRES!$H$43:$H$342,MATCH($L603&amp;"|"&amp;$M603&amp;"|"&amp;$N603&amp;"|"&amp;$O603&amp;"|"&amp;$P603&amp;"|"&amp;$Q603&amp;"|"&amp;$K603,PARAMETRES!$J$43:$J$342,0))),""))</f>
        <v/>
      </c>
      <c r="S603" s="35">
        <f>IF(OR($G603="",$X603&lt;&gt;"VALIDE"),"",IFERROR(LOOKUP(2,1/(($B$3:$B602=$B603)*($G$3:$G602=$G603)*($X$3:$X602="VALIDE")),$C$3:$C602),""))</f>
        <v/>
      </c>
      <c r="T603" s="36">
        <f>IF(OR($C603="",$S603=""),"",ROUND(($C603-$S603+IF($C603&lt;$S603,1,0))*1440,0))</f>
        <v/>
      </c>
      <c r="U603" s="22">
        <f>IF(OR($H603="",$T603="",$T603&lt;=0),"",$H603*60/$T603)</f>
        <v/>
      </c>
      <c r="V603" s="37">
        <f>IF(OR($U603="",$R603="",$R603=0),"",$U603/$R603)</f>
        <v/>
      </c>
      <c r="W603" s="20">
        <f>IF($G603="","",IF($X603="CONTEXTE INCOMPLET","CONTEXTE INCOMPLET",IF($X603="DOUBLON",StatutDoublon,IF($S603="",StatutInitial,IF($R603="",StatutStandardManquant,IF($V603="","DONNEES INSUFFISANTES",IF($V603&gt;=SeuilConforme,StatutConforme,IF($V603&gt;=SeuilSurveiller,StatutSurveiller,StatutSousStandard))))))))</f>
        <v/>
      </c>
      <c r="X603" s="33">
        <f>IF($G603="","",IF(OR($D603="",$E603="",$F603=""),"CONTEXTE INCOMPLET",IF(COUNTIFS($D$3:$D602,$D603,$E$3:$E602,$E603,$F$3:$F602,$F603,$G$3:$G602,$G603)&gt;0,"DOUBLON","VALIDE")))</f>
        <v/>
      </c>
    </row>
    <row r="604" ht="15" customHeight="1">
      <c r="A604" s="12">
        <f>IF(OR($B604="",$G604=""),"",TEXT($B604,"YYYYMMDD")&amp;"-"&amp;SUBSTITUTE($E604," ","")&amp;"-"&amp;$F604&amp;"-"&amp;$G604)</f>
        <v/>
      </c>
      <c r="B604" s="15" t="n"/>
      <c r="C604" s="16" t="n"/>
      <c r="D604" s="10" t="n"/>
      <c r="E604" s="9" t="n"/>
      <c r="F604" s="9" t="n"/>
      <c r="G604" s="13" t="n"/>
      <c r="H604" s="21" t="n"/>
      <c r="I604" s="21" t="n"/>
      <c r="J604" s="17">
        <f>IF($G604="","",IFERROR(INDEX(NomsEmployes,MATCH($G604,MatriculesEmployes,0)),"MATRICULE INCONNU"))</f>
        <v/>
      </c>
      <c r="K604" s="33">
        <f>IF(OR($D604="",$F604=""),"",IFERROR(IF(INDEX(RUNS!$L$6:$S$1005,MATCH($D604,RUNS!$A$6:$A$1005,0),MATCH("ACTIVITÉ "&amp;$F604,RUNS!$L$5:$S$5,0))="","",INDEX(RUNS!$L$6:$S$1005,MATCH($D604,RUNS!$A$6:$A$1005,0),MATCH("ACTIVITÉ "&amp;$F604,RUNS!$L$5:$S$5,0))),""))</f>
        <v/>
      </c>
      <c r="L604" s="33">
        <f>IF($D604="","",IFERROR(IF(INDEX(RUNS!$E$6:$E$1005,MATCH($D604,RUNS!$A$6:$A$1005,0))="","",INDEX(RUNS!$E$6:$E$1005,MATCH($D604,RUNS!$A$6:$A$1005,0))),""))</f>
        <v/>
      </c>
      <c r="M604" s="33">
        <f>IF($D604="","",IFERROR(IF(INDEX(RUNS!$F$6:$F$1005,MATCH($D604,RUNS!$A$6:$A$1005,0))="","",INDEX(RUNS!$F$6:$F$1005,MATCH($D604,RUNS!$A$6:$A$1005,0))),""))</f>
        <v/>
      </c>
      <c r="N604" s="33">
        <f>IF($D604="","",IFERROR(IF(INDEX(RUNS!$G$6:$G$1005,MATCH($D604,RUNS!$A$6:$A$1005,0))="","",INDEX(RUNS!$G$6:$G$1005,MATCH($D604,RUNS!$A$6:$A$1005,0))),""))</f>
        <v/>
      </c>
      <c r="O604" s="33">
        <f>IF($D604="","",IFERROR(IF(INDEX(RUNS!$H$6:$H$1005,MATCH($D604,RUNS!$A$6:$A$1005,0))="","",INDEX(RUNS!$H$6:$H$1005,MATCH($D604,RUNS!$A$6:$A$1005,0))),""))</f>
        <v/>
      </c>
      <c r="P604" s="33">
        <f>IF($D604="","",IFERROR(IF(INDEX(RUNS!$J$6:$J$1005,MATCH($D604,RUNS!$A$6:$A$1005,0))="","",INDEX(RUNS!$J$6:$J$1005,MATCH($D604,RUNS!$A$6:$A$1005,0))),""))</f>
        <v/>
      </c>
      <c r="Q604" s="33">
        <f>IF($D604="","",IFERROR(IF(INDEX(RUNS!$K$6:$K$1005,MATCH($D604,RUNS!$A$6:$A$1005,0))="","",INDEX(RUNS!$K$6:$K$1005,MATCH($D604,RUNS!$A$6:$A$1005,0))),""))</f>
        <v/>
      </c>
      <c r="R604" s="34">
        <f>IF(OR($L604="",$K604=""),"",IFERROR(IF(INDEX(PARAMETRES!$H$43:$H$342,MATCH($L604&amp;"|"&amp;$M604&amp;"|"&amp;$N604&amp;"|"&amp;$O604&amp;"|"&amp;$P604&amp;"|"&amp;$Q604&amp;"|"&amp;$K604,PARAMETRES!$J$43:$J$342,0))="","",INDEX(PARAMETRES!$H$43:$H$342,MATCH($L604&amp;"|"&amp;$M604&amp;"|"&amp;$N604&amp;"|"&amp;$O604&amp;"|"&amp;$P604&amp;"|"&amp;$Q604&amp;"|"&amp;$K604,PARAMETRES!$J$43:$J$342,0))),""))</f>
        <v/>
      </c>
      <c r="S604" s="35">
        <f>IF(OR($G604="",$X604&lt;&gt;"VALIDE"),"",IFERROR(LOOKUP(2,1/(($B$3:$B603=$B604)*($G$3:$G603=$G604)*($X$3:$X603="VALIDE")),$C$3:$C603),""))</f>
        <v/>
      </c>
      <c r="T604" s="36">
        <f>IF(OR($C604="",$S604=""),"",ROUND(($C604-$S604+IF($C604&lt;$S604,1,0))*1440,0))</f>
        <v/>
      </c>
      <c r="U604" s="22">
        <f>IF(OR($H604="",$T604="",$T604&lt;=0),"",$H604*60/$T604)</f>
        <v/>
      </c>
      <c r="V604" s="37">
        <f>IF(OR($U604="",$R604="",$R604=0),"",$U604/$R604)</f>
        <v/>
      </c>
      <c r="W604" s="20">
        <f>IF($G604="","",IF($X604="CONTEXTE INCOMPLET","CONTEXTE INCOMPLET",IF($X604="DOUBLON",StatutDoublon,IF($S604="",StatutInitial,IF($R604="",StatutStandardManquant,IF($V604="","DONNEES INSUFFISANTES",IF($V604&gt;=SeuilConforme,StatutConforme,IF($V604&gt;=SeuilSurveiller,StatutSurveiller,StatutSousStandard))))))))</f>
        <v/>
      </c>
      <c r="X604" s="33">
        <f>IF($G604="","",IF(OR($D604="",$E604="",$F604=""),"CONTEXTE INCOMPLET",IF(COUNTIFS($D$3:$D603,$D604,$E$3:$E603,$E604,$F$3:$F603,$F604,$G$3:$G603,$G604)&gt;0,"DOUBLON","VALIDE")))</f>
        <v/>
      </c>
    </row>
    <row r="605" ht="15" customHeight="1">
      <c r="A605" s="12">
        <f>IF(OR($B605="",$G605=""),"",TEXT($B605,"YYYYMMDD")&amp;"-"&amp;SUBSTITUTE($E605," ","")&amp;"-"&amp;$F605&amp;"-"&amp;$G605)</f>
        <v/>
      </c>
      <c r="B605" s="15" t="n"/>
      <c r="C605" s="16" t="n"/>
      <c r="D605" s="10" t="n"/>
      <c r="E605" s="9" t="n"/>
      <c r="F605" s="9" t="n"/>
      <c r="G605" s="13" t="n"/>
      <c r="H605" s="21" t="n"/>
      <c r="I605" s="21" t="n"/>
      <c r="J605" s="17">
        <f>IF($G605="","",IFERROR(INDEX(NomsEmployes,MATCH($G605,MatriculesEmployes,0)),"MATRICULE INCONNU"))</f>
        <v/>
      </c>
      <c r="K605" s="33">
        <f>IF(OR($D605="",$F605=""),"",IFERROR(IF(INDEX(RUNS!$L$6:$S$1005,MATCH($D605,RUNS!$A$6:$A$1005,0),MATCH("ACTIVITÉ "&amp;$F605,RUNS!$L$5:$S$5,0))="","",INDEX(RUNS!$L$6:$S$1005,MATCH($D605,RUNS!$A$6:$A$1005,0),MATCH("ACTIVITÉ "&amp;$F605,RUNS!$L$5:$S$5,0))),""))</f>
        <v/>
      </c>
      <c r="L605" s="33">
        <f>IF($D605="","",IFERROR(IF(INDEX(RUNS!$E$6:$E$1005,MATCH($D605,RUNS!$A$6:$A$1005,0))="","",INDEX(RUNS!$E$6:$E$1005,MATCH($D605,RUNS!$A$6:$A$1005,0))),""))</f>
        <v/>
      </c>
      <c r="M605" s="33">
        <f>IF($D605="","",IFERROR(IF(INDEX(RUNS!$F$6:$F$1005,MATCH($D605,RUNS!$A$6:$A$1005,0))="","",INDEX(RUNS!$F$6:$F$1005,MATCH($D605,RUNS!$A$6:$A$1005,0))),""))</f>
        <v/>
      </c>
      <c r="N605" s="33">
        <f>IF($D605="","",IFERROR(IF(INDEX(RUNS!$G$6:$G$1005,MATCH($D605,RUNS!$A$6:$A$1005,0))="","",INDEX(RUNS!$G$6:$G$1005,MATCH($D605,RUNS!$A$6:$A$1005,0))),""))</f>
        <v/>
      </c>
      <c r="O605" s="33">
        <f>IF($D605="","",IFERROR(IF(INDEX(RUNS!$H$6:$H$1005,MATCH($D605,RUNS!$A$6:$A$1005,0))="","",INDEX(RUNS!$H$6:$H$1005,MATCH($D605,RUNS!$A$6:$A$1005,0))),""))</f>
        <v/>
      </c>
      <c r="P605" s="33">
        <f>IF($D605="","",IFERROR(IF(INDEX(RUNS!$J$6:$J$1005,MATCH($D605,RUNS!$A$6:$A$1005,0))="","",INDEX(RUNS!$J$6:$J$1005,MATCH($D605,RUNS!$A$6:$A$1005,0))),""))</f>
        <v/>
      </c>
      <c r="Q605" s="33">
        <f>IF($D605="","",IFERROR(IF(INDEX(RUNS!$K$6:$K$1005,MATCH($D605,RUNS!$A$6:$A$1005,0))="","",INDEX(RUNS!$K$6:$K$1005,MATCH($D605,RUNS!$A$6:$A$1005,0))),""))</f>
        <v/>
      </c>
      <c r="R605" s="34">
        <f>IF(OR($L605="",$K605=""),"",IFERROR(IF(INDEX(PARAMETRES!$H$43:$H$342,MATCH($L605&amp;"|"&amp;$M605&amp;"|"&amp;$N605&amp;"|"&amp;$O605&amp;"|"&amp;$P605&amp;"|"&amp;$Q605&amp;"|"&amp;$K605,PARAMETRES!$J$43:$J$342,0))="","",INDEX(PARAMETRES!$H$43:$H$342,MATCH($L605&amp;"|"&amp;$M605&amp;"|"&amp;$N605&amp;"|"&amp;$O605&amp;"|"&amp;$P605&amp;"|"&amp;$Q605&amp;"|"&amp;$K605,PARAMETRES!$J$43:$J$342,0))),""))</f>
        <v/>
      </c>
      <c r="S605" s="35">
        <f>IF(OR($G605="",$X605&lt;&gt;"VALIDE"),"",IFERROR(LOOKUP(2,1/(($B$3:$B604=$B605)*($G$3:$G604=$G605)*($X$3:$X604="VALIDE")),$C$3:$C604),""))</f>
        <v/>
      </c>
      <c r="T605" s="36">
        <f>IF(OR($C605="",$S605=""),"",ROUND(($C605-$S605+IF($C605&lt;$S605,1,0))*1440,0))</f>
        <v/>
      </c>
      <c r="U605" s="22">
        <f>IF(OR($H605="",$T605="",$T605&lt;=0),"",$H605*60/$T605)</f>
        <v/>
      </c>
      <c r="V605" s="37">
        <f>IF(OR($U605="",$R605="",$R605=0),"",$U605/$R605)</f>
        <v/>
      </c>
      <c r="W605" s="20">
        <f>IF($G605="","",IF($X605="CONTEXTE INCOMPLET","CONTEXTE INCOMPLET",IF($X605="DOUBLON",StatutDoublon,IF($S605="",StatutInitial,IF($R605="",StatutStandardManquant,IF($V605="","DONNEES INSUFFISANTES",IF($V605&gt;=SeuilConforme,StatutConforme,IF($V605&gt;=SeuilSurveiller,StatutSurveiller,StatutSousStandard))))))))</f>
        <v/>
      </c>
      <c r="X605" s="33">
        <f>IF($G605="","",IF(OR($D605="",$E605="",$F605=""),"CONTEXTE INCOMPLET",IF(COUNTIFS($D$3:$D604,$D605,$E$3:$E604,$E605,$F$3:$F604,$F605,$G$3:$G604,$G605)&gt;0,"DOUBLON","VALIDE")))</f>
        <v/>
      </c>
    </row>
    <row r="606" ht="15" customHeight="1">
      <c r="A606" s="12">
        <f>IF(OR($B606="",$G606=""),"",TEXT($B606,"YYYYMMDD")&amp;"-"&amp;SUBSTITUTE($E606," ","")&amp;"-"&amp;$F606&amp;"-"&amp;$G606)</f>
        <v/>
      </c>
      <c r="B606" s="15" t="n"/>
      <c r="C606" s="16" t="n"/>
      <c r="D606" s="10" t="n"/>
      <c r="E606" s="9" t="n"/>
      <c r="F606" s="9" t="n"/>
      <c r="G606" s="13" t="n"/>
      <c r="H606" s="21" t="n"/>
      <c r="I606" s="21" t="n"/>
      <c r="J606" s="17">
        <f>IF($G606="","",IFERROR(INDEX(NomsEmployes,MATCH($G606,MatriculesEmployes,0)),"MATRICULE INCONNU"))</f>
        <v/>
      </c>
      <c r="K606" s="33">
        <f>IF(OR($D606="",$F606=""),"",IFERROR(IF(INDEX(RUNS!$L$6:$S$1005,MATCH($D606,RUNS!$A$6:$A$1005,0),MATCH("ACTIVITÉ "&amp;$F606,RUNS!$L$5:$S$5,0))="","",INDEX(RUNS!$L$6:$S$1005,MATCH($D606,RUNS!$A$6:$A$1005,0),MATCH("ACTIVITÉ "&amp;$F606,RUNS!$L$5:$S$5,0))),""))</f>
        <v/>
      </c>
      <c r="L606" s="33">
        <f>IF($D606="","",IFERROR(IF(INDEX(RUNS!$E$6:$E$1005,MATCH($D606,RUNS!$A$6:$A$1005,0))="","",INDEX(RUNS!$E$6:$E$1005,MATCH($D606,RUNS!$A$6:$A$1005,0))),""))</f>
        <v/>
      </c>
      <c r="M606" s="33">
        <f>IF($D606="","",IFERROR(IF(INDEX(RUNS!$F$6:$F$1005,MATCH($D606,RUNS!$A$6:$A$1005,0))="","",INDEX(RUNS!$F$6:$F$1005,MATCH($D606,RUNS!$A$6:$A$1005,0))),""))</f>
        <v/>
      </c>
      <c r="N606" s="33">
        <f>IF($D606="","",IFERROR(IF(INDEX(RUNS!$G$6:$G$1005,MATCH($D606,RUNS!$A$6:$A$1005,0))="","",INDEX(RUNS!$G$6:$G$1005,MATCH($D606,RUNS!$A$6:$A$1005,0))),""))</f>
        <v/>
      </c>
      <c r="O606" s="33">
        <f>IF($D606="","",IFERROR(IF(INDEX(RUNS!$H$6:$H$1005,MATCH($D606,RUNS!$A$6:$A$1005,0))="","",INDEX(RUNS!$H$6:$H$1005,MATCH($D606,RUNS!$A$6:$A$1005,0))),""))</f>
        <v/>
      </c>
      <c r="P606" s="33">
        <f>IF($D606="","",IFERROR(IF(INDEX(RUNS!$J$6:$J$1005,MATCH($D606,RUNS!$A$6:$A$1005,0))="","",INDEX(RUNS!$J$6:$J$1005,MATCH($D606,RUNS!$A$6:$A$1005,0))),""))</f>
        <v/>
      </c>
      <c r="Q606" s="33">
        <f>IF($D606="","",IFERROR(IF(INDEX(RUNS!$K$6:$K$1005,MATCH($D606,RUNS!$A$6:$A$1005,0))="","",INDEX(RUNS!$K$6:$K$1005,MATCH($D606,RUNS!$A$6:$A$1005,0))),""))</f>
        <v/>
      </c>
      <c r="R606" s="34">
        <f>IF(OR($L606="",$K606=""),"",IFERROR(IF(INDEX(PARAMETRES!$H$43:$H$342,MATCH($L606&amp;"|"&amp;$M606&amp;"|"&amp;$N606&amp;"|"&amp;$O606&amp;"|"&amp;$P606&amp;"|"&amp;$Q606&amp;"|"&amp;$K606,PARAMETRES!$J$43:$J$342,0))="","",INDEX(PARAMETRES!$H$43:$H$342,MATCH($L606&amp;"|"&amp;$M606&amp;"|"&amp;$N606&amp;"|"&amp;$O606&amp;"|"&amp;$P606&amp;"|"&amp;$Q606&amp;"|"&amp;$K606,PARAMETRES!$J$43:$J$342,0))),""))</f>
        <v/>
      </c>
      <c r="S606" s="35">
        <f>IF(OR($G606="",$X606&lt;&gt;"VALIDE"),"",IFERROR(LOOKUP(2,1/(($B$3:$B605=$B606)*($G$3:$G605=$G606)*($X$3:$X605="VALIDE")),$C$3:$C605),""))</f>
        <v/>
      </c>
      <c r="T606" s="36">
        <f>IF(OR($C606="",$S606=""),"",ROUND(($C606-$S606+IF($C606&lt;$S606,1,0))*1440,0))</f>
        <v/>
      </c>
      <c r="U606" s="22">
        <f>IF(OR($H606="",$T606="",$T606&lt;=0),"",$H606*60/$T606)</f>
        <v/>
      </c>
      <c r="V606" s="37">
        <f>IF(OR($U606="",$R606="",$R606=0),"",$U606/$R606)</f>
        <v/>
      </c>
      <c r="W606" s="20">
        <f>IF($G606="","",IF($X606="CONTEXTE INCOMPLET","CONTEXTE INCOMPLET",IF($X606="DOUBLON",StatutDoublon,IF($S606="",StatutInitial,IF($R606="",StatutStandardManquant,IF($V606="","DONNEES INSUFFISANTES",IF($V606&gt;=SeuilConforme,StatutConforme,IF($V606&gt;=SeuilSurveiller,StatutSurveiller,StatutSousStandard))))))))</f>
        <v/>
      </c>
      <c r="X606" s="33">
        <f>IF($G606="","",IF(OR($D606="",$E606="",$F606=""),"CONTEXTE INCOMPLET",IF(COUNTIFS($D$3:$D605,$D606,$E$3:$E605,$E606,$F$3:$F605,$F606,$G$3:$G605,$G606)&gt;0,"DOUBLON","VALIDE")))</f>
        <v/>
      </c>
    </row>
    <row r="607" ht="15" customHeight="1">
      <c r="A607" s="12">
        <f>IF(OR($B607="",$G607=""),"",TEXT($B607,"YYYYMMDD")&amp;"-"&amp;SUBSTITUTE($E607," ","")&amp;"-"&amp;$F607&amp;"-"&amp;$G607)</f>
        <v/>
      </c>
      <c r="B607" s="15" t="n"/>
      <c r="C607" s="16" t="n"/>
      <c r="D607" s="10" t="n"/>
      <c r="E607" s="9" t="n"/>
      <c r="F607" s="9" t="n"/>
      <c r="G607" s="13" t="n"/>
      <c r="H607" s="21" t="n"/>
      <c r="I607" s="21" t="n"/>
      <c r="J607" s="17">
        <f>IF($G607="","",IFERROR(INDEX(NomsEmployes,MATCH($G607,MatriculesEmployes,0)),"MATRICULE INCONNU"))</f>
        <v/>
      </c>
      <c r="K607" s="33">
        <f>IF(OR($D607="",$F607=""),"",IFERROR(IF(INDEX(RUNS!$L$6:$S$1005,MATCH($D607,RUNS!$A$6:$A$1005,0),MATCH("ACTIVITÉ "&amp;$F607,RUNS!$L$5:$S$5,0))="","",INDEX(RUNS!$L$6:$S$1005,MATCH($D607,RUNS!$A$6:$A$1005,0),MATCH("ACTIVITÉ "&amp;$F607,RUNS!$L$5:$S$5,0))),""))</f>
        <v/>
      </c>
      <c r="L607" s="33">
        <f>IF($D607="","",IFERROR(IF(INDEX(RUNS!$E$6:$E$1005,MATCH($D607,RUNS!$A$6:$A$1005,0))="","",INDEX(RUNS!$E$6:$E$1005,MATCH($D607,RUNS!$A$6:$A$1005,0))),""))</f>
        <v/>
      </c>
      <c r="M607" s="33">
        <f>IF($D607="","",IFERROR(IF(INDEX(RUNS!$F$6:$F$1005,MATCH($D607,RUNS!$A$6:$A$1005,0))="","",INDEX(RUNS!$F$6:$F$1005,MATCH($D607,RUNS!$A$6:$A$1005,0))),""))</f>
        <v/>
      </c>
      <c r="N607" s="33">
        <f>IF($D607="","",IFERROR(IF(INDEX(RUNS!$G$6:$G$1005,MATCH($D607,RUNS!$A$6:$A$1005,0))="","",INDEX(RUNS!$G$6:$G$1005,MATCH($D607,RUNS!$A$6:$A$1005,0))),""))</f>
        <v/>
      </c>
      <c r="O607" s="33">
        <f>IF($D607="","",IFERROR(IF(INDEX(RUNS!$H$6:$H$1005,MATCH($D607,RUNS!$A$6:$A$1005,0))="","",INDEX(RUNS!$H$6:$H$1005,MATCH($D607,RUNS!$A$6:$A$1005,0))),""))</f>
        <v/>
      </c>
      <c r="P607" s="33">
        <f>IF($D607="","",IFERROR(IF(INDEX(RUNS!$J$6:$J$1005,MATCH($D607,RUNS!$A$6:$A$1005,0))="","",INDEX(RUNS!$J$6:$J$1005,MATCH($D607,RUNS!$A$6:$A$1005,0))),""))</f>
        <v/>
      </c>
      <c r="Q607" s="33">
        <f>IF($D607="","",IFERROR(IF(INDEX(RUNS!$K$6:$K$1005,MATCH($D607,RUNS!$A$6:$A$1005,0))="","",INDEX(RUNS!$K$6:$K$1005,MATCH($D607,RUNS!$A$6:$A$1005,0))),""))</f>
        <v/>
      </c>
      <c r="R607" s="34">
        <f>IF(OR($L607="",$K607=""),"",IFERROR(IF(INDEX(PARAMETRES!$H$43:$H$342,MATCH($L607&amp;"|"&amp;$M607&amp;"|"&amp;$N607&amp;"|"&amp;$O607&amp;"|"&amp;$P607&amp;"|"&amp;$Q607&amp;"|"&amp;$K607,PARAMETRES!$J$43:$J$342,0))="","",INDEX(PARAMETRES!$H$43:$H$342,MATCH($L607&amp;"|"&amp;$M607&amp;"|"&amp;$N607&amp;"|"&amp;$O607&amp;"|"&amp;$P607&amp;"|"&amp;$Q607&amp;"|"&amp;$K607,PARAMETRES!$J$43:$J$342,0))),""))</f>
        <v/>
      </c>
      <c r="S607" s="35">
        <f>IF(OR($G607="",$X607&lt;&gt;"VALIDE"),"",IFERROR(LOOKUP(2,1/(($B$3:$B606=$B607)*($G$3:$G606=$G607)*($X$3:$X606="VALIDE")),$C$3:$C606),""))</f>
        <v/>
      </c>
      <c r="T607" s="36">
        <f>IF(OR($C607="",$S607=""),"",ROUND(($C607-$S607+IF($C607&lt;$S607,1,0))*1440,0))</f>
        <v/>
      </c>
      <c r="U607" s="22">
        <f>IF(OR($H607="",$T607="",$T607&lt;=0),"",$H607*60/$T607)</f>
        <v/>
      </c>
      <c r="V607" s="37">
        <f>IF(OR($U607="",$R607="",$R607=0),"",$U607/$R607)</f>
        <v/>
      </c>
      <c r="W607" s="20">
        <f>IF($G607="","",IF($X607="CONTEXTE INCOMPLET","CONTEXTE INCOMPLET",IF($X607="DOUBLON",StatutDoublon,IF($S607="",StatutInitial,IF($R607="",StatutStandardManquant,IF($V607="","DONNEES INSUFFISANTES",IF($V607&gt;=SeuilConforme,StatutConforme,IF($V607&gt;=SeuilSurveiller,StatutSurveiller,StatutSousStandard))))))))</f>
        <v/>
      </c>
      <c r="X607" s="33">
        <f>IF($G607="","",IF(OR($D607="",$E607="",$F607=""),"CONTEXTE INCOMPLET",IF(COUNTIFS($D$3:$D606,$D607,$E$3:$E606,$E607,$F$3:$F606,$F607,$G$3:$G606,$G607)&gt;0,"DOUBLON","VALIDE")))</f>
        <v/>
      </c>
    </row>
    <row r="608" ht="15" customHeight="1">
      <c r="A608" s="12">
        <f>IF(OR($B608="",$G608=""),"",TEXT($B608,"YYYYMMDD")&amp;"-"&amp;SUBSTITUTE($E608," ","")&amp;"-"&amp;$F608&amp;"-"&amp;$G608)</f>
        <v/>
      </c>
      <c r="B608" s="15" t="n"/>
      <c r="C608" s="16" t="n"/>
      <c r="D608" s="10" t="n"/>
      <c r="E608" s="9" t="n"/>
      <c r="F608" s="9" t="n"/>
      <c r="G608" s="13" t="n"/>
      <c r="H608" s="21" t="n"/>
      <c r="I608" s="21" t="n"/>
      <c r="J608" s="17">
        <f>IF($G608="","",IFERROR(INDEX(NomsEmployes,MATCH($G608,MatriculesEmployes,0)),"MATRICULE INCONNU"))</f>
        <v/>
      </c>
      <c r="K608" s="33">
        <f>IF(OR($D608="",$F608=""),"",IFERROR(IF(INDEX(RUNS!$L$6:$S$1005,MATCH($D608,RUNS!$A$6:$A$1005,0),MATCH("ACTIVITÉ "&amp;$F608,RUNS!$L$5:$S$5,0))="","",INDEX(RUNS!$L$6:$S$1005,MATCH($D608,RUNS!$A$6:$A$1005,0),MATCH("ACTIVITÉ "&amp;$F608,RUNS!$L$5:$S$5,0))),""))</f>
        <v/>
      </c>
      <c r="L608" s="33">
        <f>IF($D608="","",IFERROR(IF(INDEX(RUNS!$E$6:$E$1005,MATCH($D608,RUNS!$A$6:$A$1005,0))="","",INDEX(RUNS!$E$6:$E$1005,MATCH($D608,RUNS!$A$6:$A$1005,0))),""))</f>
        <v/>
      </c>
      <c r="M608" s="33">
        <f>IF($D608="","",IFERROR(IF(INDEX(RUNS!$F$6:$F$1005,MATCH($D608,RUNS!$A$6:$A$1005,0))="","",INDEX(RUNS!$F$6:$F$1005,MATCH($D608,RUNS!$A$6:$A$1005,0))),""))</f>
        <v/>
      </c>
      <c r="N608" s="33">
        <f>IF($D608="","",IFERROR(IF(INDEX(RUNS!$G$6:$G$1005,MATCH($D608,RUNS!$A$6:$A$1005,0))="","",INDEX(RUNS!$G$6:$G$1005,MATCH($D608,RUNS!$A$6:$A$1005,0))),""))</f>
        <v/>
      </c>
      <c r="O608" s="33">
        <f>IF($D608="","",IFERROR(IF(INDEX(RUNS!$H$6:$H$1005,MATCH($D608,RUNS!$A$6:$A$1005,0))="","",INDEX(RUNS!$H$6:$H$1005,MATCH($D608,RUNS!$A$6:$A$1005,0))),""))</f>
        <v/>
      </c>
      <c r="P608" s="33">
        <f>IF($D608="","",IFERROR(IF(INDEX(RUNS!$J$6:$J$1005,MATCH($D608,RUNS!$A$6:$A$1005,0))="","",INDEX(RUNS!$J$6:$J$1005,MATCH($D608,RUNS!$A$6:$A$1005,0))),""))</f>
        <v/>
      </c>
      <c r="Q608" s="33">
        <f>IF($D608="","",IFERROR(IF(INDEX(RUNS!$K$6:$K$1005,MATCH($D608,RUNS!$A$6:$A$1005,0))="","",INDEX(RUNS!$K$6:$K$1005,MATCH($D608,RUNS!$A$6:$A$1005,0))),""))</f>
        <v/>
      </c>
      <c r="R608" s="34">
        <f>IF(OR($L608="",$K608=""),"",IFERROR(IF(INDEX(PARAMETRES!$H$43:$H$342,MATCH($L608&amp;"|"&amp;$M608&amp;"|"&amp;$N608&amp;"|"&amp;$O608&amp;"|"&amp;$P608&amp;"|"&amp;$Q608&amp;"|"&amp;$K608,PARAMETRES!$J$43:$J$342,0))="","",INDEX(PARAMETRES!$H$43:$H$342,MATCH($L608&amp;"|"&amp;$M608&amp;"|"&amp;$N608&amp;"|"&amp;$O608&amp;"|"&amp;$P608&amp;"|"&amp;$Q608&amp;"|"&amp;$K608,PARAMETRES!$J$43:$J$342,0))),""))</f>
        <v/>
      </c>
      <c r="S608" s="35">
        <f>IF(OR($G608="",$X608&lt;&gt;"VALIDE"),"",IFERROR(LOOKUP(2,1/(($B$3:$B607=$B608)*($G$3:$G607=$G608)*($X$3:$X607="VALIDE")),$C$3:$C607),""))</f>
        <v/>
      </c>
      <c r="T608" s="36">
        <f>IF(OR($C608="",$S608=""),"",ROUND(($C608-$S608+IF($C608&lt;$S608,1,0))*1440,0))</f>
        <v/>
      </c>
      <c r="U608" s="22">
        <f>IF(OR($H608="",$T608="",$T608&lt;=0),"",$H608*60/$T608)</f>
        <v/>
      </c>
      <c r="V608" s="37">
        <f>IF(OR($U608="",$R608="",$R608=0),"",$U608/$R608)</f>
        <v/>
      </c>
      <c r="W608" s="20">
        <f>IF($G608="","",IF($X608="CONTEXTE INCOMPLET","CONTEXTE INCOMPLET",IF($X608="DOUBLON",StatutDoublon,IF($S608="",StatutInitial,IF($R608="",StatutStandardManquant,IF($V608="","DONNEES INSUFFISANTES",IF($V608&gt;=SeuilConforme,StatutConforme,IF($V608&gt;=SeuilSurveiller,StatutSurveiller,StatutSousStandard))))))))</f>
        <v/>
      </c>
      <c r="X608" s="33">
        <f>IF($G608="","",IF(OR($D608="",$E608="",$F608=""),"CONTEXTE INCOMPLET",IF(COUNTIFS($D$3:$D607,$D608,$E$3:$E607,$E608,$F$3:$F607,$F608,$G$3:$G607,$G608)&gt;0,"DOUBLON","VALIDE")))</f>
        <v/>
      </c>
    </row>
    <row r="609" ht="15" customHeight="1">
      <c r="A609" s="12">
        <f>IF(OR($B609="",$G609=""),"",TEXT($B609,"YYYYMMDD")&amp;"-"&amp;SUBSTITUTE($E609," ","")&amp;"-"&amp;$F609&amp;"-"&amp;$G609)</f>
        <v/>
      </c>
      <c r="B609" s="15" t="n"/>
      <c r="C609" s="16" t="n"/>
      <c r="D609" s="10" t="n"/>
      <c r="E609" s="9" t="n"/>
      <c r="F609" s="9" t="n"/>
      <c r="G609" s="13" t="n"/>
      <c r="H609" s="21" t="n"/>
      <c r="I609" s="21" t="n"/>
      <c r="J609" s="17">
        <f>IF($G609="","",IFERROR(INDEX(NomsEmployes,MATCH($G609,MatriculesEmployes,0)),"MATRICULE INCONNU"))</f>
        <v/>
      </c>
      <c r="K609" s="33">
        <f>IF(OR($D609="",$F609=""),"",IFERROR(IF(INDEX(RUNS!$L$6:$S$1005,MATCH($D609,RUNS!$A$6:$A$1005,0),MATCH("ACTIVITÉ "&amp;$F609,RUNS!$L$5:$S$5,0))="","",INDEX(RUNS!$L$6:$S$1005,MATCH($D609,RUNS!$A$6:$A$1005,0),MATCH("ACTIVITÉ "&amp;$F609,RUNS!$L$5:$S$5,0))),""))</f>
        <v/>
      </c>
      <c r="L609" s="33">
        <f>IF($D609="","",IFERROR(IF(INDEX(RUNS!$E$6:$E$1005,MATCH($D609,RUNS!$A$6:$A$1005,0))="","",INDEX(RUNS!$E$6:$E$1005,MATCH($D609,RUNS!$A$6:$A$1005,0))),""))</f>
        <v/>
      </c>
      <c r="M609" s="33">
        <f>IF($D609="","",IFERROR(IF(INDEX(RUNS!$F$6:$F$1005,MATCH($D609,RUNS!$A$6:$A$1005,0))="","",INDEX(RUNS!$F$6:$F$1005,MATCH($D609,RUNS!$A$6:$A$1005,0))),""))</f>
        <v/>
      </c>
      <c r="N609" s="33">
        <f>IF($D609="","",IFERROR(IF(INDEX(RUNS!$G$6:$G$1005,MATCH($D609,RUNS!$A$6:$A$1005,0))="","",INDEX(RUNS!$G$6:$G$1005,MATCH($D609,RUNS!$A$6:$A$1005,0))),""))</f>
        <v/>
      </c>
      <c r="O609" s="33">
        <f>IF($D609="","",IFERROR(IF(INDEX(RUNS!$H$6:$H$1005,MATCH($D609,RUNS!$A$6:$A$1005,0))="","",INDEX(RUNS!$H$6:$H$1005,MATCH($D609,RUNS!$A$6:$A$1005,0))),""))</f>
        <v/>
      </c>
      <c r="P609" s="33">
        <f>IF($D609="","",IFERROR(IF(INDEX(RUNS!$J$6:$J$1005,MATCH($D609,RUNS!$A$6:$A$1005,0))="","",INDEX(RUNS!$J$6:$J$1005,MATCH($D609,RUNS!$A$6:$A$1005,0))),""))</f>
        <v/>
      </c>
      <c r="Q609" s="33">
        <f>IF($D609="","",IFERROR(IF(INDEX(RUNS!$K$6:$K$1005,MATCH($D609,RUNS!$A$6:$A$1005,0))="","",INDEX(RUNS!$K$6:$K$1005,MATCH($D609,RUNS!$A$6:$A$1005,0))),""))</f>
        <v/>
      </c>
      <c r="R609" s="34">
        <f>IF(OR($L609="",$K609=""),"",IFERROR(IF(INDEX(PARAMETRES!$H$43:$H$342,MATCH($L609&amp;"|"&amp;$M609&amp;"|"&amp;$N609&amp;"|"&amp;$O609&amp;"|"&amp;$P609&amp;"|"&amp;$Q609&amp;"|"&amp;$K609,PARAMETRES!$J$43:$J$342,0))="","",INDEX(PARAMETRES!$H$43:$H$342,MATCH($L609&amp;"|"&amp;$M609&amp;"|"&amp;$N609&amp;"|"&amp;$O609&amp;"|"&amp;$P609&amp;"|"&amp;$Q609&amp;"|"&amp;$K609,PARAMETRES!$J$43:$J$342,0))),""))</f>
        <v/>
      </c>
      <c r="S609" s="35">
        <f>IF(OR($G609="",$X609&lt;&gt;"VALIDE"),"",IFERROR(LOOKUP(2,1/(($B$3:$B608=$B609)*($G$3:$G608=$G609)*($X$3:$X608="VALIDE")),$C$3:$C608),""))</f>
        <v/>
      </c>
      <c r="T609" s="36">
        <f>IF(OR($C609="",$S609=""),"",ROUND(($C609-$S609+IF($C609&lt;$S609,1,0))*1440,0))</f>
        <v/>
      </c>
      <c r="U609" s="22">
        <f>IF(OR($H609="",$T609="",$T609&lt;=0),"",$H609*60/$T609)</f>
        <v/>
      </c>
      <c r="V609" s="37">
        <f>IF(OR($U609="",$R609="",$R609=0),"",$U609/$R609)</f>
        <v/>
      </c>
      <c r="W609" s="20">
        <f>IF($G609="","",IF($X609="CONTEXTE INCOMPLET","CONTEXTE INCOMPLET",IF($X609="DOUBLON",StatutDoublon,IF($S609="",StatutInitial,IF($R609="",StatutStandardManquant,IF($V609="","DONNEES INSUFFISANTES",IF($V609&gt;=SeuilConforme,StatutConforme,IF($V609&gt;=SeuilSurveiller,StatutSurveiller,StatutSousStandard))))))))</f>
        <v/>
      </c>
      <c r="X609" s="33">
        <f>IF($G609="","",IF(OR($D609="",$E609="",$F609=""),"CONTEXTE INCOMPLET",IF(COUNTIFS($D$3:$D608,$D609,$E$3:$E608,$E609,$F$3:$F608,$F609,$G$3:$G608,$G609)&gt;0,"DOUBLON","VALIDE")))</f>
        <v/>
      </c>
    </row>
    <row r="610" ht="15" customHeight="1">
      <c r="A610" s="12">
        <f>IF(OR($B610="",$G610=""),"",TEXT($B610,"YYYYMMDD")&amp;"-"&amp;SUBSTITUTE($E610," ","")&amp;"-"&amp;$F610&amp;"-"&amp;$G610)</f>
        <v/>
      </c>
      <c r="B610" s="15" t="n"/>
      <c r="C610" s="16" t="n"/>
      <c r="D610" s="10" t="n"/>
      <c r="E610" s="9" t="n"/>
      <c r="F610" s="9" t="n"/>
      <c r="G610" s="13" t="n"/>
      <c r="H610" s="21" t="n"/>
      <c r="I610" s="21" t="n"/>
      <c r="J610" s="17">
        <f>IF($G610="","",IFERROR(INDEX(NomsEmployes,MATCH($G610,MatriculesEmployes,0)),"MATRICULE INCONNU"))</f>
        <v/>
      </c>
      <c r="K610" s="33">
        <f>IF(OR($D610="",$F610=""),"",IFERROR(IF(INDEX(RUNS!$L$6:$S$1005,MATCH($D610,RUNS!$A$6:$A$1005,0),MATCH("ACTIVITÉ "&amp;$F610,RUNS!$L$5:$S$5,0))="","",INDEX(RUNS!$L$6:$S$1005,MATCH($D610,RUNS!$A$6:$A$1005,0),MATCH("ACTIVITÉ "&amp;$F610,RUNS!$L$5:$S$5,0))),""))</f>
        <v/>
      </c>
      <c r="L610" s="33">
        <f>IF($D610="","",IFERROR(IF(INDEX(RUNS!$E$6:$E$1005,MATCH($D610,RUNS!$A$6:$A$1005,0))="","",INDEX(RUNS!$E$6:$E$1005,MATCH($D610,RUNS!$A$6:$A$1005,0))),""))</f>
        <v/>
      </c>
      <c r="M610" s="33">
        <f>IF($D610="","",IFERROR(IF(INDEX(RUNS!$F$6:$F$1005,MATCH($D610,RUNS!$A$6:$A$1005,0))="","",INDEX(RUNS!$F$6:$F$1005,MATCH($D610,RUNS!$A$6:$A$1005,0))),""))</f>
        <v/>
      </c>
      <c r="N610" s="33">
        <f>IF($D610="","",IFERROR(IF(INDEX(RUNS!$G$6:$G$1005,MATCH($D610,RUNS!$A$6:$A$1005,0))="","",INDEX(RUNS!$G$6:$G$1005,MATCH($D610,RUNS!$A$6:$A$1005,0))),""))</f>
        <v/>
      </c>
      <c r="O610" s="33">
        <f>IF($D610="","",IFERROR(IF(INDEX(RUNS!$H$6:$H$1005,MATCH($D610,RUNS!$A$6:$A$1005,0))="","",INDEX(RUNS!$H$6:$H$1005,MATCH($D610,RUNS!$A$6:$A$1005,0))),""))</f>
        <v/>
      </c>
      <c r="P610" s="33">
        <f>IF($D610="","",IFERROR(IF(INDEX(RUNS!$J$6:$J$1005,MATCH($D610,RUNS!$A$6:$A$1005,0))="","",INDEX(RUNS!$J$6:$J$1005,MATCH($D610,RUNS!$A$6:$A$1005,0))),""))</f>
        <v/>
      </c>
      <c r="Q610" s="33">
        <f>IF($D610="","",IFERROR(IF(INDEX(RUNS!$K$6:$K$1005,MATCH($D610,RUNS!$A$6:$A$1005,0))="","",INDEX(RUNS!$K$6:$K$1005,MATCH($D610,RUNS!$A$6:$A$1005,0))),""))</f>
        <v/>
      </c>
      <c r="R610" s="34">
        <f>IF(OR($L610="",$K610=""),"",IFERROR(IF(INDEX(PARAMETRES!$H$43:$H$342,MATCH($L610&amp;"|"&amp;$M610&amp;"|"&amp;$N610&amp;"|"&amp;$O610&amp;"|"&amp;$P610&amp;"|"&amp;$Q610&amp;"|"&amp;$K610,PARAMETRES!$J$43:$J$342,0))="","",INDEX(PARAMETRES!$H$43:$H$342,MATCH($L610&amp;"|"&amp;$M610&amp;"|"&amp;$N610&amp;"|"&amp;$O610&amp;"|"&amp;$P610&amp;"|"&amp;$Q610&amp;"|"&amp;$K610,PARAMETRES!$J$43:$J$342,0))),""))</f>
        <v/>
      </c>
      <c r="S610" s="35">
        <f>IF(OR($G610="",$X610&lt;&gt;"VALIDE"),"",IFERROR(LOOKUP(2,1/(($B$3:$B609=$B610)*($G$3:$G609=$G610)*($X$3:$X609="VALIDE")),$C$3:$C609),""))</f>
        <v/>
      </c>
      <c r="T610" s="36">
        <f>IF(OR($C610="",$S610=""),"",ROUND(($C610-$S610+IF($C610&lt;$S610,1,0))*1440,0))</f>
        <v/>
      </c>
      <c r="U610" s="22">
        <f>IF(OR($H610="",$T610="",$T610&lt;=0),"",$H610*60/$T610)</f>
        <v/>
      </c>
      <c r="V610" s="37">
        <f>IF(OR($U610="",$R610="",$R610=0),"",$U610/$R610)</f>
        <v/>
      </c>
      <c r="W610" s="20">
        <f>IF($G610="","",IF($X610="CONTEXTE INCOMPLET","CONTEXTE INCOMPLET",IF($X610="DOUBLON",StatutDoublon,IF($S610="",StatutInitial,IF($R610="",StatutStandardManquant,IF($V610="","DONNEES INSUFFISANTES",IF($V610&gt;=SeuilConforme,StatutConforme,IF($V610&gt;=SeuilSurveiller,StatutSurveiller,StatutSousStandard))))))))</f>
        <v/>
      </c>
      <c r="X610" s="33">
        <f>IF($G610="","",IF(OR($D610="",$E610="",$F610=""),"CONTEXTE INCOMPLET",IF(COUNTIFS($D$3:$D609,$D610,$E$3:$E609,$E610,$F$3:$F609,$F610,$G$3:$G609,$G610)&gt;0,"DOUBLON","VALIDE")))</f>
        <v/>
      </c>
    </row>
    <row r="611" ht="15" customHeight="1">
      <c r="A611" s="12">
        <f>IF(OR($B611="",$G611=""),"",TEXT($B611,"YYYYMMDD")&amp;"-"&amp;SUBSTITUTE($E611," ","")&amp;"-"&amp;$F611&amp;"-"&amp;$G611)</f>
        <v/>
      </c>
      <c r="B611" s="15" t="n"/>
      <c r="C611" s="16" t="n"/>
      <c r="D611" s="10" t="n"/>
      <c r="E611" s="9" t="n"/>
      <c r="F611" s="9" t="n"/>
      <c r="G611" s="13" t="n"/>
      <c r="H611" s="21" t="n"/>
      <c r="I611" s="21" t="n"/>
      <c r="J611" s="17">
        <f>IF($G611="","",IFERROR(INDEX(NomsEmployes,MATCH($G611,MatriculesEmployes,0)),"MATRICULE INCONNU"))</f>
        <v/>
      </c>
      <c r="K611" s="33">
        <f>IF(OR($D611="",$F611=""),"",IFERROR(IF(INDEX(RUNS!$L$6:$S$1005,MATCH($D611,RUNS!$A$6:$A$1005,0),MATCH("ACTIVITÉ "&amp;$F611,RUNS!$L$5:$S$5,0))="","",INDEX(RUNS!$L$6:$S$1005,MATCH($D611,RUNS!$A$6:$A$1005,0),MATCH("ACTIVITÉ "&amp;$F611,RUNS!$L$5:$S$5,0))),""))</f>
        <v/>
      </c>
      <c r="L611" s="33">
        <f>IF($D611="","",IFERROR(IF(INDEX(RUNS!$E$6:$E$1005,MATCH($D611,RUNS!$A$6:$A$1005,0))="","",INDEX(RUNS!$E$6:$E$1005,MATCH($D611,RUNS!$A$6:$A$1005,0))),""))</f>
        <v/>
      </c>
      <c r="M611" s="33">
        <f>IF($D611="","",IFERROR(IF(INDEX(RUNS!$F$6:$F$1005,MATCH($D611,RUNS!$A$6:$A$1005,0))="","",INDEX(RUNS!$F$6:$F$1005,MATCH($D611,RUNS!$A$6:$A$1005,0))),""))</f>
        <v/>
      </c>
      <c r="N611" s="33">
        <f>IF($D611="","",IFERROR(IF(INDEX(RUNS!$G$6:$G$1005,MATCH($D611,RUNS!$A$6:$A$1005,0))="","",INDEX(RUNS!$G$6:$G$1005,MATCH($D611,RUNS!$A$6:$A$1005,0))),""))</f>
        <v/>
      </c>
      <c r="O611" s="33">
        <f>IF($D611="","",IFERROR(IF(INDEX(RUNS!$H$6:$H$1005,MATCH($D611,RUNS!$A$6:$A$1005,0))="","",INDEX(RUNS!$H$6:$H$1005,MATCH($D611,RUNS!$A$6:$A$1005,0))),""))</f>
        <v/>
      </c>
      <c r="P611" s="33">
        <f>IF($D611="","",IFERROR(IF(INDEX(RUNS!$J$6:$J$1005,MATCH($D611,RUNS!$A$6:$A$1005,0))="","",INDEX(RUNS!$J$6:$J$1005,MATCH($D611,RUNS!$A$6:$A$1005,0))),""))</f>
        <v/>
      </c>
      <c r="Q611" s="33">
        <f>IF($D611="","",IFERROR(IF(INDEX(RUNS!$K$6:$K$1005,MATCH($D611,RUNS!$A$6:$A$1005,0))="","",INDEX(RUNS!$K$6:$K$1005,MATCH($D611,RUNS!$A$6:$A$1005,0))),""))</f>
        <v/>
      </c>
      <c r="R611" s="34">
        <f>IF(OR($L611="",$K611=""),"",IFERROR(IF(INDEX(PARAMETRES!$H$43:$H$342,MATCH($L611&amp;"|"&amp;$M611&amp;"|"&amp;$N611&amp;"|"&amp;$O611&amp;"|"&amp;$P611&amp;"|"&amp;$Q611&amp;"|"&amp;$K611,PARAMETRES!$J$43:$J$342,0))="","",INDEX(PARAMETRES!$H$43:$H$342,MATCH($L611&amp;"|"&amp;$M611&amp;"|"&amp;$N611&amp;"|"&amp;$O611&amp;"|"&amp;$P611&amp;"|"&amp;$Q611&amp;"|"&amp;$K611,PARAMETRES!$J$43:$J$342,0))),""))</f>
        <v/>
      </c>
      <c r="S611" s="35">
        <f>IF(OR($G611="",$X611&lt;&gt;"VALIDE"),"",IFERROR(LOOKUP(2,1/(($B$3:$B610=$B611)*($G$3:$G610=$G611)*($X$3:$X610="VALIDE")),$C$3:$C610),""))</f>
        <v/>
      </c>
      <c r="T611" s="36">
        <f>IF(OR($C611="",$S611=""),"",ROUND(($C611-$S611+IF($C611&lt;$S611,1,0))*1440,0))</f>
        <v/>
      </c>
      <c r="U611" s="22">
        <f>IF(OR($H611="",$T611="",$T611&lt;=0),"",$H611*60/$T611)</f>
        <v/>
      </c>
      <c r="V611" s="37">
        <f>IF(OR($U611="",$R611="",$R611=0),"",$U611/$R611)</f>
        <v/>
      </c>
      <c r="W611" s="20">
        <f>IF($G611="","",IF($X611="CONTEXTE INCOMPLET","CONTEXTE INCOMPLET",IF($X611="DOUBLON",StatutDoublon,IF($S611="",StatutInitial,IF($R611="",StatutStandardManquant,IF($V611="","DONNEES INSUFFISANTES",IF($V611&gt;=SeuilConforme,StatutConforme,IF($V611&gt;=SeuilSurveiller,StatutSurveiller,StatutSousStandard))))))))</f>
        <v/>
      </c>
      <c r="X611" s="33">
        <f>IF($G611="","",IF(OR($D611="",$E611="",$F611=""),"CONTEXTE INCOMPLET",IF(COUNTIFS($D$3:$D610,$D611,$E$3:$E610,$E611,$F$3:$F610,$F611,$G$3:$G610,$G611)&gt;0,"DOUBLON","VALIDE")))</f>
        <v/>
      </c>
    </row>
    <row r="612" ht="15" customHeight="1">
      <c r="A612" s="12">
        <f>IF(OR($B612="",$G612=""),"",TEXT($B612,"YYYYMMDD")&amp;"-"&amp;SUBSTITUTE($E612," ","")&amp;"-"&amp;$F612&amp;"-"&amp;$G612)</f>
        <v/>
      </c>
      <c r="B612" s="15" t="n"/>
      <c r="C612" s="16" t="n"/>
      <c r="D612" s="10" t="n"/>
      <c r="E612" s="9" t="n"/>
      <c r="F612" s="9" t="n"/>
      <c r="G612" s="13" t="n"/>
      <c r="H612" s="21" t="n"/>
      <c r="I612" s="21" t="n"/>
      <c r="J612" s="17">
        <f>IF($G612="","",IFERROR(INDEX(NomsEmployes,MATCH($G612,MatriculesEmployes,0)),"MATRICULE INCONNU"))</f>
        <v/>
      </c>
      <c r="K612" s="33">
        <f>IF(OR($D612="",$F612=""),"",IFERROR(IF(INDEX(RUNS!$L$6:$S$1005,MATCH($D612,RUNS!$A$6:$A$1005,0),MATCH("ACTIVITÉ "&amp;$F612,RUNS!$L$5:$S$5,0))="","",INDEX(RUNS!$L$6:$S$1005,MATCH($D612,RUNS!$A$6:$A$1005,0),MATCH("ACTIVITÉ "&amp;$F612,RUNS!$L$5:$S$5,0))),""))</f>
        <v/>
      </c>
      <c r="L612" s="33">
        <f>IF($D612="","",IFERROR(IF(INDEX(RUNS!$E$6:$E$1005,MATCH($D612,RUNS!$A$6:$A$1005,0))="","",INDEX(RUNS!$E$6:$E$1005,MATCH($D612,RUNS!$A$6:$A$1005,0))),""))</f>
        <v/>
      </c>
      <c r="M612" s="33">
        <f>IF($D612="","",IFERROR(IF(INDEX(RUNS!$F$6:$F$1005,MATCH($D612,RUNS!$A$6:$A$1005,0))="","",INDEX(RUNS!$F$6:$F$1005,MATCH($D612,RUNS!$A$6:$A$1005,0))),""))</f>
        <v/>
      </c>
      <c r="N612" s="33">
        <f>IF($D612="","",IFERROR(IF(INDEX(RUNS!$G$6:$G$1005,MATCH($D612,RUNS!$A$6:$A$1005,0))="","",INDEX(RUNS!$G$6:$G$1005,MATCH($D612,RUNS!$A$6:$A$1005,0))),""))</f>
        <v/>
      </c>
      <c r="O612" s="33">
        <f>IF($D612="","",IFERROR(IF(INDEX(RUNS!$H$6:$H$1005,MATCH($D612,RUNS!$A$6:$A$1005,0))="","",INDEX(RUNS!$H$6:$H$1005,MATCH($D612,RUNS!$A$6:$A$1005,0))),""))</f>
        <v/>
      </c>
      <c r="P612" s="33">
        <f>IF($D612="","",IFERROR(IF(INDEX(RUNS!$J$6:$J$1005,MATCH($D612,RUNS!$A$6:$A$1005,0))="","",INDEX(RUNS!$J$6:$J$1005,MATCH($D612,RUNS!$A$6:$A$1005,0))),""))</f>
        <v/>
      </c>
      <c r="Q612" s="33">
        <f>IF($D612="","",IFERROR(IF(INDEX(RUNS!$K$6:$K$1005,MATCH($D612,RUNS!$A$6:$A$1005,0))="","",INDEX(RUNS!$K$6:$K$1005,MATCH($D612,RUNS!$A$6:$A$1005,0))),""))</f>
        <v/>
      </c>
      <c r="R612" s="34">
        <f>IF(OR($L612="",$K612=""),"",IFERROR(IF(INDEX(PARAMETRES!$H$43:$H$342,MATCH($L612&amp;"|"&amp;$M612&amp;"|"&amp;$N612&amp;"|"&amp;$O612&amp;"|"&amp;$P612&amp;"|"&amp;$Q612&amp;"|"&amp;$K612,PARAMETRES!$J$43:$J$342,0))="","",INDEX(PARAMETRES!$H$43:$H$342,MATCH($L612&amp;"|"&amp;$M612&amp;"|"&amp;$N612&amp;"|"&amp;$O612&amp;"|"&amp;$P612&amp;"|"&amp;$Q612&amp;"|"&amp;$K612,PARAMETRES!$J$43:$J$342,0))),""))</f>
        <v/>
      </c>
      <c r="S612" s="35">
        <f>IF(OR($G612="",$X612&lt;&gt;"VALIDE"),"",IFERROR(LOOKUP(2,1/(($B$3:$B611=$B612)*($G$3:$G611=$G612)*($X$3:$X611="VALIDE")),$C$3:$C611),""))</f>
        <v/>
      </c>
      <c r="T612" s="36">
        <f>IF(OR($C612="",$S612=""),"",ROUND(($C612-$S612+IF($C612&lt;$S612,1,0))*1440,0))</f>
        <v/>
      </c>
      <c r="U612" s="22">
        <f>IF(OR($H612="",$T612="",$T612&lt;=0),"",$H612*60/$T612)</f>
        <v/>
      </c>
      <c r="V612" s="37">
        <f>IF(OR($U612="",$R612="",$R612=0),"",$U612/$R612)</f>
        <v/>
      </c>
      <c r="W612" s="20">
        <f>IF($G612="","",IF($X612="CONTEXTE INCOMPLET","CONTEXTE INCOMPLET",IF($X612="DOUBLON",StatutDoublon,IF($S612="",StatutInitial,IF($R612="",StatutStandardManquant,IF($V612="","DONNEES INSUFFISANTES",IF($V612&gt;=SeuilConforme,StatutConforme,IF($V612&gt;=SeuilSurveiller,StatutSurveiller,StatutSousStandard))))))))</f>
        <v/>
      </c>
      <c r="X612" s="33">
        <f>IF($G612="","",IF(OR($D612="",$E612="",$F612=""),"CONTEXTE INCOMPLET",IF(COUNTIFS($D$3:$D611,$D612,$E$3:$E611,$E612,$F$3:$F611,$F612,$G$3:$G611,$G612)&gt;0,"DOUBLON","VALIDE")))</f>
        <v/>
      </c>
    </row>
    <row r="613" ht="15" customHeight="1">
      <c r="A613" s="12">
        <f>IF(OR($B613="",$G613=""),"",TEXT($B613,"YYYYMMDD")&amp;"-"&amp;SUBSTITUTE($E613," ","")&amp;"-"&amp;$F613&amp;"-"&amp;$G613)</f>
        <v/>
      </c>
      <c r="B613" s="15" t="n"/>
      <c r="C613" s="16" t="n"/>
      <c r="D613" s="10" t="n"/>
      <c r="E613" s="9" t="n"/>
      <c r="F613" s="9" t="n"/>
      <c r="G613" s="13" t="n"/>
      <c r="H613" s="21" t="n"/>
      <c r="I613" s="21" t="n"/>
      <c r="J613" s="17">
        <f>IF($G613="","",IFERROR(INDEX(NomsEmployes,MATCH($G613,MatriculesEmployes,0)),"MATRICULE INCONNU"))</f>
        <v/>
      </c>
      <c r="K613" s="33">
        <f>IF(OR($D613="",$F613=""),"",IFERROR(IF(INDEX(RUNS!$L$6:$S$1005,MATCH($D613,RUNS!$A$6:$A$1005,0),MATCH("ACTIVITÉ "&amp;$F613,RUNS!$L$5:$S$5,0))="","",INDEX(RUNS!$L$6:$S$1005,MATCH($D613,RUNS!$A$6:$A$1005,0),MATCH("ACTIVITÉ "&amp;$F613,RUNS!$L$5:$S$5,0))),""))</f>
        <v/>
      </c>
      <c r="L613" s="33">
        <f>IF($D613="","",IFERROR(IF(INDEX(RUNS!$E$6:$E$1005,MATCH($D613,RUNS!$A$6:$A$1005,0))="","",INDEX(RUNS!$E$6:$E$1005,MATCH($D613,RUNS!$A$6:$A$1005,0))),""))</f>
        <v/>
      </c>
      <c r="M613" s="33">
        <f>IF($D613="","",IFERROR(IF(INDEX(RUNS!$F$6:$F$1005,MATCH($D613,RUNS!$A$6:$A$1005,0))="","",INDEX(RUNS!$F$6:$F$1005,MATCH($D613,RUNS!$A$6:$A$1005,0))),""))</f>
        <v/>
      </c>
      <c r="N613" s="33">
        <f>IF($D613="","",IFERROR(IF(INDEX(RUNS!$G$6:$G$1005,MATCH($D613,RUNS!$A$6:$A$1005,0))="","",INDEX(RUNS!$G$6:$G$1005,MATCH($D613,RUNS!$A$6:$A$1005,0))),""))</f>
        <v/>
      </c>
      <c r="O613" s="33">
        <f>IF($D613="","",IFERROR(IF(INDEX(RUNS!$H$6:$H$1005,MATCH($D613,RUNS!$A$6:$A$1005,0))="","",INDEX(RUNS!$H$6:$H$1005,MATCH($D613,RUNS!$A$6:$A$1005,0))),""))</f>
        <v/>
      </c>
      <c r="P613" s="33">
        <f>IF($D613="","",IFERROR(IF(INDEX(RUNS!$J$6:$J$1005,MATCH($D613,RUNS!$A$6:$A$1005,0))="","",INDEX(RUNS!$J$6:$J$1005,MATCH($D613,RUNS!$A$6:$A$1005,0))),""))</f>
        <v/>
      </c>
      <c r="Q613" s="33">
        <f>IF($D613="","",IFERROR(IF(INDEX(RUNS!$K$6:$K$1005,MATCH($D613,RUNS!$A$6:$A$1005,0))="","",INDEX(RUNS!$K$6:$K$1005,MATCH($D613,RUNS!$A$6:$A$1005,0))),""))</f>
        <v/>
      </c>
      <c r="R613" s="34">
        <f>IF(OR($L613="",$K613=""),"",IFERROR(IF(INDEX(PARAMETRES!$H$43:$H$342,MATCH($L613&amp;"|"&amp;$M613&amp;"|"&amp;$N613&amp;"|"&amp;$O613&amp;"|"&amp;$P613&amp;"|"&amp;$Q613&amp;"|"&amp;$K613,PARAMETRES!$J$43:$J$342,0))="","",INDEX(PARAMETRES!$H$43:$H$342,MATCH($L613&amp;"|"&amp;$M613&amp;"|"&amp;$N613&amp;"|"&amp;$O613&amp;"|"&amp;$P613&amp;"|"&amp;$Q613&amp;"|"&amp;$K613,PARAMETRES!$J$43:$J$342,0))),""))</f>
        <v/>
      </c>
      <c r="S613" s="35">
        <f>IF(OR($G613="",$X613&lt;&gt;"VALIDE"),"",IFERROR(LOOKUP(2,1/(($B$3:$B612=$B613)*($G$3:$G612=$G613)*($X$3:$X612="VALIDE")),$C$3:$C612),""))</f>
        <v/>
      </c>
      <c r="T613" s="36">
        <f>IF(OR($C613="",$S613=""),"",ROUND(($C613-$S613+IF($C613&lt;$S613,1,0))*1440,0))</f>
        <v/>
      </c>
      <c r="U613" s="22">
        <f>IF(OR($H613="",$T613="",$T613&lt;=0),"",$H613*60/$T613)</f>
        <v/>
      </c>
      <c r="V613" s="37">
        <f>IF(OR($U613="",$R613="",$R613=0),"",$U613/$R613)</f>
        <v/>
      </c>
      <c r="W613" s="20">
        <f>IF($G613="","",IF($X613="CONTEXTE INCOMPLET","CONTEXTE INCOMPLET",IF($X613="DOUBLON",StatutDoublon,IF($S613="",StatutInitial,IF($R613="",StatutStandardManquant,IF($V613="","DONNEES INSUFFISANTES",IF($V613&gt;=SeuilConforme,StatutConforme,IF($V613&gt;=SeuilSurveiller,StatutSurveiller,StatutSousStandard))))))))</f>
        <v/>
      </c>
      <c r="X613" s="33">
        <f>IF($G613="","",IF(OR($D613="",$E613="",$F613=""),"CONTEXTE INCOMPLET",IF(COUNTIFS($D$3:$D612,$D613,$E$3:$E612,$E613,$F$3:$F612,$F613,$G$3:$G612,$G613)&gt;0,"DOUBLON","VALIDE")))</f>
        <v/>
      </c>
    </row>
    <row r="614" ht="15" customHeight="1">
      <c r="A614" s="12">
        <f>IF(OR($B614="",$G614=""),"",TEXT($B614,"YYYYMMDD")&amp;"-"&amp;SUBSTITUTE($E614," ","")&amp;"-"&amp;$F614&amp;"-"&amp;$G614)</f>
        <v/>
      </c>
      <c r="B614" s="15" t="n"/>
      <c r="C614" s="16" t="n"/>
      <c r="D614" s="10" t="n"/>
      <c r="E614" s="9" t="n"/>
      <c r="F614" s="9" t="n"/>
      <c r="G614" s="13" t="n"/>
      <c r="H614" s="21" t="n"/>
      <c r="I614" s="21" t="n"/>
      <c r="J614" s="17">
        <f>IF($G614="","",IFERROR(INDEX(NomsEmployes,MATCH($G614,MatriculesEmployes,0)),"MATRICULE INCONNU"))</f>
        <v/>
      </c>
      <c r="K614" s="33">
        <f>IF(OR($D614="",$F614=""),"",IFERROR(IF(INDEX(RUNS!$L$6:$S$1005,MATCH($D614,RUNS!$A$6:$A$1005,0),MATCH("ACTIVITÉ "&amp;$F614,RUNS!$L$5:$S$5,0))="","",INDEX(RUNS!$L$6:$S$1005,MATCH($D614,RUNS!$A$6:$A$1005,0),MATCH("ACTIVITÉ "&amp;$F614,RUNS!$L$5:$S$5,0))),""))</f>
        <v/>
      </c>
      <c r="L614" s="33">
        <f>IF($D614="","",IFERROR(IF(INDEX(RUNS!$E$6:$E$1005,MATCH($D614,RUNS!$A$6:$A$1005,0))="","",INDEX(RUNS!$E$6:$E$1005,MATCH($D614,RUNS!$A$6:$A$1005,0))),""))</f>
        <v/>
      </c>
      <c r="M614" s="33">
        <f>IF($D614="","",IFERROR(IF(INDEX(RUNS!$F$6:$F$1005,MATCH($D614,RUNS!$A$6:$A$1005,0))="","",INDEX(RUNS!$F$6:$F$1005,MATCH($D614,RUNS!$A$6:$A$1005,0))),""))</f>
        <v/>
      </c>
      <c r="N614" s="33">
        <f>IF($D614="","",IFERROR(IF(INDEX(RUNS!$G$6:$G$1005,MATCH($D614,RUNS!$A$6:$A$1005,0))="","",INDEX(RUNS!$G$6:$G$1005,MATCH($D614,RUNS!$A$6:$A$1005,0))),""))</f>
        <v/>
      </c>
      <c r="O614" s="33">
        <f>IF($D614="","",IFERROR(IF(INDEX(RUNS!$H$6:$H$1005,MATCH($D614,RUNS!$A$6:$A$1005,0))="","",INDEX(RUNS!$H$6:$H$1005,MATCH($D614,RUNS!$A$6:$A$1005,0))),""))</f>
        <v/>
      </c>
      <c r="P614" s="33">
        <f>IF($D614="","",IFERROR(IF(INDEX(RUNS!$J$6:$J$1005,MATCH($D614,RUNS!$A$6:$A$1005,0))="","",INDEX(RUNS!$J$6:$J$1005,MATCH($D614,RUNS!$A$6:$A$1005,0))),""))</f>
        <v/>
      </c>
      <c r="Q614" s="33">
        <f>IF($D614="","",IFERROR(IF(INDEX(RUNS!$K$6:$K$1005,MATCH($D614,RUNS!$A$6:$A$1005,0))="","",INDEX(RUNS!$K$6:$K$1005,MATCH($D614,RUNS!$A$6:$A$1005,0))),""))</f>
        <v/>
      </c>
      <c r="R614" s="34">
        <f>IF(OR($L614="",$K614=""),"",IFERROR(IF(INDEX(PARAMETRES!$H$43:$H$342,MATCH($L614&amp;"|"&amp;$M614&amp;"|"&amp;$N614&amp;"|"&amp;$O614&amp;"|"&amp;$P614&amp;"|"&amp;$Q614&amp;"|"&amp;$K614,PARAMETRES!$J$43:$J$342,0))="","",INDEX(PARAMETRES!$H$43:$H$342,MATCH($L614&amp;"|"&amp;$M614&amp;"|"&amp;$N614&amp;"|"&amp;$O614&amp;"|"&amp;$P614&amp;"|"&amp;$Q614&amp;"|"&amp;$K614,PARAMETRES!$J$43:$J$342,0))),""))</f>
        <v/>
      </c>
      <c r="S614" s="35">
        <f>IF(OR($G614="",$X614&lt;&gt;"VALIDE"),"",IFERROR(LOOKUP(2,1/(($B$3:$B613=$B614)*($G$3:$G613=$G614)*($X$3:$X613="VALIDE")),$C$3:$C613),""))</f>
        <v/>
      </c>
      <c r="T614" s="36">
        <f>IF(OR($C614="",$S614=""),"",ROUND(($C614-$S614+IF($C614&lt;$S614,1,0))*1440,0))</f>
        <v/>
      </c>
      <c r="U614" s="22">
        <f>IF(OR($H614="",$T614="",$T614&lt;=0),"",$H614*60/$T614)</f>
        <v/>
      </c>
      <c r="V614" s="37">
        <f>IF(OR($U614="",$R614="",$R614=0),"",$U614/$R614)</f>
        <v/>
      </c>
      <c r="W614" s="20">
        <f>IF($G614="","",IF($X614="CONTEXTE INCOMPLET","CONTEXTE INCOMPLET",IF($X614="DOUBLON",StatutDoublon,IF($S614="",StatutInitial,IF($R614="",StatutStandardManquant,IF($V614="","DONNEES INSUFFISANTES",IF($V614&gt;=SeuilConforme,StatutConforme,IF($V614&gt;=SeuilSurveiller,StatutSurveiller,StatutSousStandard))))))))</f>
        <v/>
      </c>
      <c r="X614" s="33">
        <f>IF($G614="","",IF(OR($D614="",$E614="",$F614=""),"CONTEXTE INCOMPLET",IF(COUNTIFS($D$3:$D613,$D614,$E$3:$E613,$E614,$F$3:$F613,$F614,$G$3:$G613,$G614)&gt;0,"DOUBLON","VALIDE")))</f>
        <v/>
      </c>
    </row>
    <row r="615" ht="15" customHeight="1">
      <c r="A615" s="12">
        <f>IF(OR($B615="",$G615=""),"",TEXT($B615,"YYYYMMDD")&amp;"-"&amp;SUBSTITUTE($E615," ","")&amp;"-"&amp;$F615&amp;"-"&amp;$G615)</f>
        <v/>
      </c>
      <c r="B615" s="15" t="n"/>
      <c r="C615" s="16" t="n"/>
      <c r="D615" s="10" t="n"/>
      <c r="E615" s="9" t="n"/>
      <c r="F615" s="9" t="n"/>
      <c r="G615" s="13" t="n"/>
      <c r="H615" s="21" t="n"/>
      <c r="I615" s="21" t="n"/>
      <c r="J615" s="17">
        <f>IF($G615="","",IFERROR(INDEX(NomsEmployes,MATCH($G615,MatriculesEmployes,0)),"MATRICULE INCONNU"))</f>
        <v/>
      </c>
      <c r="K615" s="33">
        <f>IF(OR($D615="",$F615=""),"",IFERROR(IF(INDEX(RUNS!$L$6:$S$1005,MATCH($D615,RUNS!$A$6:$A$1005,0),MATCH("ACTIVITÉ "&amp;$F615,RUNS!$L$5:$S$5,0))="","",INDEX(RUNS!$L$6:$S$1005,MATCH($D615,RUNS!$A$6:$A$1005,0),MATCH("ACTIVITÉ "&amp;$F615,RUNS!$L$5:$S$5,0))),""))</f>
        <v/>
      </c>
      <c r="L615" s="33">
        <f>IF($D615="","",IFERROR(IF(INDEX(RUNS!$E$6:$E$1005,MATCH($D615,RUNS!$A$6:$A$1005,0))="","",INDEX(RUNS!$E$6:$E$1005,MATCH($D615,RUNS!$A$6:$A$1005,0))),""))</f>
        <v/>
      </c>
      <c r="M615" s="33">
        <f>IF($D615="","",IFERROR(IF(INDEX(RUNS!$F$6:$F$1005,MATCH($D615,RUNS!$A$6:$A$1005,0))="","",INDEX(RUNS!$F$6:$F$1005,MATCH($D615,RUNS!$A$6:$A$1005,0))),""))</f>
        <v/>
      </c>
      <c r="N615" s="33">
        <f>IF($D615="","",IFERROR(IF(INDEX(RUNS!$G$6:$G$1005,MATCH($D615,RUNS!$A$6:$A$1005,0))="","",INDEX(RUNS!$G$6:$G$1005,MATCH($D615,RUNS!$A$6:$A$1005,0))),""))</f>
        <v/>
      </c>
      <c r="O615" s="33">
        <f>IF($D615="","",IFERROR(IF(INDEX(RUNS!$H$6:$H$1005,MATCH($D615,RUNS!$A$6:$A$1005,0))="","",INDEX(RUNS!$H$6:$H$1005,MATCH($D615,RUNS!$A$6:$A$1005,0))),""))</f>
        <v/>
      </c>
      <c r="P615" s="33">
        <f>IF($D615="","",IFERROR(IF(INDEX(RUNS!$J$6:$J$1005,MATCH($D615,RUNS!$A$6:$A$1005,0))="","",INDEX(RUNS!$J$6:$J$1005,MATCH($D615,RUNS!$A$6:$A$1005,0))),""))</f>
        <v/>
      </c>
      <c r="Q615" s="33">
        <f>IF($D615="","",IFERROR(IF(INDEX(RUNS!$K$6:$K$1005,MATCH($D615,RUNS!$A$6:$A$1005,0))="","",INDEX(RUNS!$K$6:$K$1005,MATCH($D615,RUNS!$A$6:$A$1005,0))),""))</f>
        <v/>
      </c>
      <c r="R615" s="34">
        <f>IF(OR($L615="",$K615=""),"",IFERROR(IF(INDEX(PARAMETRES!$H$43:$H$342,MATCH($L615&amp;"|"&amp;$M615&amp;"|"&amp;$N615&amp;"|"&amp;$O615&amp;"|"&amp;$P615&amp;"|"&amp;$Q615&amp;"|"&amp;$K615,PARAMETRES!$J$43:$J$342,0))="","",INDEX(PARAMETRES!$H$43:$H$342,MATCH($L615&amp;"|"&amp;$M615&amp;"|"&amp;$N615&amp;"|"&amp;$O615&amp;"|"&amp;$P615&amp;"|"&amp;$Q615&amp;"|"&amp;$K615,PARAMETRES!$J$43:$J$342,0))),""))</f>
        <v/>
      </c>
      <c r="S615" s="35">
        <f>IF(OR($G615="",$X615&lt;&gt;"VALIDE"),"",IFERROR(LOOKUP(2,1/(($B$3:$B614=$B615)*($G$3:$G614=$G615)*($X$3:$X614="VALIDE")),$C$3:$C614),""))</f>
        <v/>
      </c>
      <c r="T615" s="36">
        <f>IF(OR($C615="",$S615=""),"",ROUND(($C615-$S615+IF($C615&lt;$S615,1,0))*1440,0))</f>
        <v/>
      </c>
      <c r="U615" s="22">
        <f>IF(OR($H615="",$T615="",$T615&lt;=0),"",$H615*60/$T615)</f>
        <v/>
      </c>
      <c r="V615" s="37">
        <f>IF(OR($U615="",$R615="",$R615=0),"",$U615/$R615)</f>
        <v/>
      </c>
      <c r="W615" s="20">
        <f>IF($G615="","",IF($X615="CONTEXTE INCOMPLET","CONTEXTE INCOMPLET",IF($X615="DOUBLON",StatutDoublon,IF($S615="",StatutInitial,IF($R615="",StatutStandardManquant,IF($V615="","DONNEES INSUFFISANTES",IF($V615&gt;=SeuilConforme,StatutConforme,IF($V615&gt;=SeuilSurveiller,StatutSurveiller,StatutSousStandard))))))))</f>
        <v/>
      </c>
      <c r="X615" s="33">
        <f>IF($G615="","",IF(OR($D615="",$E615="",$F615=""),"CONTEXTE INCOMPLET",IF(COUNTIFS($D$3:$D614,$D615,$E$3:$E614,$E615,$F$3:$F614,$F615,$G$3:$G614,$G615)&gt;0,"DOUBLON","VALIDE")))</f>
        <v/>
      </c>
    </row>
    <row r="616" ht="15" customHeight="1">
      <c r="A616" s="12">
        <f>IF(OR($B616="",$G616=""),"",TEXT($B616,"YYYYMMDD")&amp;"-"&amp;SUBSTITUTE($E616," ","")&amp;"-"&amp;$F616&amp;"-"&amp;$G616)</f>
        <v/>
      </c>
      <c r="B616" s="15" t="n"/>
      <c r="C616" s="16" t="n"/>
      <c r="D616" s="10" t="n"/>
      <c r="E616" s="9" t="n"/>
      <c r="F616" s="9" t="n"/>
      <c r="G616" s="13" t="n"/>
      <c r="H616" s="21" t="n"/>
      <c r="I616" s="21" t="n"/>
      <c r="J616" s="17">
        <f>IF($G616="","",IFERROR(INDEX(NomsEmployes,MATCH($G616,MatriculesEmployes,0)),"MATRICULE INCONNU"))</f>
        <v/>
      </c>
      <c r="K616" s="33">
        <f>IF(OR($D616="",$F616=""),"",IFERROR(IF(INDEX(RUNS!$L$6:$S$1005,MATCH($D616,RUNS!$A$6:$A$1005,0),MATCH("ACTIVITÉ "&amp;$F616,RUNS!$L$5:$S$5,0))="","",INDEX(RUNS!$L$6:$S$1005,MATCH($D616,RUNS!$A$6:$A$1005,0),MATCH("ACTIVITÉ "&amp;$F616,RUNS!$L$5:$S$5,0))),""))</f>
        <v/>
      </c>
      <c r="L616" s="33">
        <f>IF($D616="","",IFERROR(IF(INDEX(RUNS!$E$6:$E$1005,MATCH($D616,RUNS!$A$6:$A$1005,0))="","",INDEX(RUNS!$E$6:$E$1005,MATCH($D616,RUNS!$A$6:$A$1005,0))),""))</f>
        <v/>
      </c>
      <c r="M616" s="33">
        <f>IF($D616="","",IFERROR(IF(INDEX(RUNS!$F$6:$F$1005,MATCH($D616,RUNS!$A$6:$A$1005,0))="","",INDEX(RUNS!$F$6:$F$1005,MATCH($D616,RUNS!$A$6:$A$1005,0))),""))</f>
        <v/>
      </c>
      <c r="N616" s="33">
        <f>IF($D616="","",IFERROR(IF(INDEX(RUNS!$G$6:$G$1005,MATCH($D616,RUNS!$A$6:$A$1005,0))="","",INDEX(RUNS!$G$6:$G$1005,MATCH($D616,RUNS!$A$6:$A$1005,0))),""))</f>
        <v/>
      </c>
      <c r="O616" s="33">
        <f>IF($D616="","",IFERROR(IF(INDEX(RUNS!$H$6:$H$1005,MATCH($D616,RUNS!$A$6:$A$1005,0))="","",INDEX(RUNS!$H$6:$H$1005,MATCH($D616,RUNS!$A$6:$A$1005,0))),""))</f>
        <v/>
      </c>
      <c r="P616" s="33">
        <f>IF($D616="","",IFERROR(IF(INDEX(RUNS!$J$6:$J$1005,MATCH($D616,RUNS!$A$6:$A$1005,0))="","",INDEX(RUNS!$J$6:$J$1005,MATCH($D616,RUNS!$A$6:$A$1005,0))),""))</f>
        <v/>
      </c>
      <c r="Q616" s="33">
        <f>IF($D616="","",IFERROR(IF(INDEX(RUNS!$K$6:$K$1005,MATCH($D616,RUNS!$A$6:$A$1005,0))="","",INDEX(RUNS!$K$6:$K$1005,MATCH($D616,RUNS!$A$6:$A$1005,0))),""))</f>
        <v/>
      </c>
      <c r="R616" s="34">
        <f>IF(OR($L616="",$K616=""),"",IFERROR(IF(INDEX(PARAMETRES!$H$43:$H$342,MATCH($L616&amp;"|"&amp;$M616&amp;"|"&amp;$N616&amp;"|"&amp;$O616&amp;"|"&amp;$P616&amp;"|"&amp;$Q616&amp;"|"&amp;$K616,PARAMETRES!$J$43:$J$342,0))="","",INDEX(PARAMETRES!$H$43:$H$342,MATCH($L616&amp;"|"&amp;$M616&amp;"|"&amp;$N616&amp;"|"&amp;$O616&amp;"|"&amp;$P616&amp;"|"&amp;$Q616&amp;"|"&amp;$K616,PARAMETRES!$J$43:$J$342,0))),""))</f>
        <v/>
      </c>
      <c r="S616" s="35">
        <f>IF(OR($G616="",$X616&lt;&gt;"VALIDE"),"",IFERROR(LOOKUP(2,1/(($B$3:$B615=$B616)*($G$3:$G615=$G616)*($X$3:$X615="VALIDE")),$C$3:$C615),""))</f>
        <v/>
      </c>
      <c r="T616" s="36">
        <f>IF(OR($C616="",$S616=""),"",ROUND(($C616-$S616+IF($C616&lt;$S616,1,0))*1440,0))</f>
        <v/>
      </c>
      <c r="U616" s="22">
        <f>IF(OR($H616="",$T616="",$T616&lt;=0),"",$H616*60/$T616)</f>
        <v/>
      </c>
      <c r="V616" s="37">
        <f>IF(OR($U616="",$R616="",$R616=0),"",$U616/$R616)</f>
        <v/>
      </c>
      <c r="W616" s="20">
        <f>IF($G616="","",IF($X616="CONTEXTE INCOMPLET","CONTEXTE INCOMPLET",IF($X616="DOUBLON",StatutDoublon,IF($S616="",StatutInitial,IF($R616="",StatutStandardManquant,IF($V616="","DONNEES INSUFFISANTES",IF($V616&gt;=SeuilConforme,StatutConforme,IF($V616&gt;=SeuilSurveiller,StatutSurveiller,StatutSousStandard))))))))</f>
        <v/>
      </c>
      <c r="X616" s="33">
        <f>IF($G616="","",IF(OR($D616="",$E616="",$F616=""),"CONTEXTE INCOMPLET",IF(COUNTIFS($D$3:$D615,$D616,$E$3:$E615,$E616,$F$3:$F615,$F616,$G$3:$G615,$G616)&gt;0,"DOUBLON","VALIDE")))</f>
        <v/>
      </c>
    </row>
    <row r="617" ht="15" customHeight="1">
      <c r="A617" s="12">
        <f>IF(OR($B617="",$G617=""),"",TEXT($B617,"YYYYMMDD")&amp;"-"&amp;SUBSTITUTE($E617," ","")&amp;"-"&amp;$F617&amp;"-"&amp;$G617)</f>
        <v/>
      </c>
      <c r="B617" s="15" t="n"/>
      <c r="C617" s="16" t="n"/>
      <c r="D617" s="10" t="n"/>
      <c r="E617" s="9" t="n"/>
      <c r="F617" s="9" t="n"/>
      <c r="G617" s="13" t="n"/>
      <c r="H617" s="21" t="n"/>
      <c r="I617" s="21" t="n"/>
      <c r="J617" s="17">
        <f>IF($G617="","",IFERROR(INDEX(NomsEmployes,MATCH($G617,MatriculesEmployes,0)),"MATRICULE INCONNU"))</f>
        <v/>
      </c>
      <c r="K617" s="33">
        <f>IF(OR($D617="",$F617=""),"",IFERROR(IF(INDEX(RUNS!$L$6:$S$1005,MATCH($D617,RUNS!$A$6:$A$1005,0),MATCH("ACTIVITÉ "&amp;$F617,RUNS!$L$5:$S$5,0))="","",INDEX(RUNS!$L$6:$S$1005,MATCH($D617,RUNS!$A$6:$A$1005,0),MATCH("ACTIVITÉ "&amp;$F617,RUNS!$L$5:$S$5,0))),""))</f>
        <v/>
      </c>
      <c r="L617" s="33">
        <f>IF($D617="","",IFERROR(IF(INDEX(RUNS!$E$6:$E$1005,MATCH($D617,RUNS!$A$6:$A$1005,0))="","",INDEX(RUNS!$E$6:$E$1005,MATCH($D617,RUNS!$A$6:$A$1005,0))),""))</f>
        <v/>
      </c>
      <c r="M617" s="33">
        <f>IF($D617="","",IFERROR(IF(INDEX(RUNS!$F$6:$F$1005,MATCH($D617,RUNS!$A$6:$A$1005,0))="","",INDEX(RUNS!$F$6:$F$1005,MATCH($D617,RUNS!$A$6:$A$1005,0))),""))</f>
        <v/>
      </c>
      <c r="N617" s="33">
        <f>IF($D617="","",IFERROR(IF(INDEX(RUNS!$G$6:$G$1005,MATCH($D617,RUNS!$A$6:$A$1005,0))="","",INDEX(RUNS!$G$6:$G$1005,MATCH($D617,RUNS!$A$6:$A$1005,0))),""))</f>
        <v/>
      </c>
      <c r="O617" s="33">
        <f>IF($D617="","",IFERROR(IF(INDEX(RUNS!$H$6:$H$1005,MATCH($D617,RUNS!$A$6:$A$1005,0))="","",INDEX(RUNS!$H$6:$H$1005,MATCH($D617,RUNS!$A$6:$A$1005,0))),""))</f>
        <v/>
      </c>
      <c r="P617" s="33">
        <f>IF($D617="","",IFERROR(IF(INDEX(RUNS!$J$6:$J$1005,MATCH($D617,RUNS!$A$6:$A$1005,0))="","",INDEX(RUNS!$J$6:$J$1005,MATCH($D617,RUNS!$A$6:$A$1005,0))),""))</f>
        <v/>
      </c>
      <c r="Q617" s="33">
        <f>IF($D617="","",IFERROR(IF(INDEX(RUNS!$K$6:$K$1005,MATCH($D617,RUNS!$A$6:$A$1005,0))="","",INDEX(RUNS!$K$6:$K$1005,MATCH($D617,RUNS!$A$6:$A$1005,0))),""))</f>
        <v/>
      </c>
      <c r="R617" s="34">
        <f>IF(OR($L617="",$K617=""),"",IFERROR(IF(INDEX(PARAMETRES!$H$43:$H$342,MATCH($L617&amp;"|"&amp;$M617&amp;"|"&amp;$N617&amp;"|"&amp;$O617&amp;"|"&amp;$P617&amp;"|"&amp;$Q617&amp;"|"&amp;$K617,PARAMETRES!$J$43:$J$342,0))="","",INDEX(PARAMETRES!$H$43:$H$342,MATCH($L617&amp;"|"&amp;$M617&amp;"|"&amp;$N617&amp;"|"&amp;$O617&amp;"|"&amp;$P617&amp;"|"&amp;$Q617&amp;"|"&amp;$K617,PARAMETRES!$J$43:$J$342,0))),""))</f>
        <v/>
      </c>
      <c r="S617" s="35">
        <f>IF(OR($G617="",$X617&lt;&gt;"VALIDE"),"",IFERROR(LOOKUP(2,1/(($B$3:$B616=$B617)*($G$3:$G616=$G617)*($X$3:$X616="VALIDE")),$C$3:$C616),""))</f>
        <v/>
      </c>
      <c r="T617" s="36">
        <f>IF(OR($C617="",$S617=""),"",ROUND(($C617-$S617+IF($C617&lt;$S617,1,0))*1440,0))</f>
        <v/>
      </c>
      <c r="U617" s="22">
        <f>IF(OR($H617="",$T617="",$T617&lt;=0),"",$H617*60/$T617)</f>
        <v/>
      </c>
      <c r="V617" s="37">
        <f>IF(OR($U617="",$R617="",$R617=0),"",$U617/$R617)</f>
        <v/>
      </c>
      <c r="W617" s="20">
        <f>IF($G617="","",IF($X617="CONTEXTE INCOMPLET","CONTEXTE INCOMPLET",IF($X617="DOUBLON",StatutDoublon,IF($S617="",StatutInitial,IF($R617="",StatutStandardManquant,IF($V617="","DONNEES INSUFFISANTES",IF($V617&gt;=SeuilConforme,StatutConforme,IF($V617&gt;=SeuilSurveiller,StatutSurveiller,StatutSousStandard))))))))</f>
        <v/>
      </c>
      <c r="X617" s="33">
        <f>IF($G617="","",IF(OR($D617="",$E617="",$F617=""),"CONTEXTE INCOMPLET",IF(COUNTIFS($D$3:$D616,$D617,$E$3:$E616,$E617,$F$3:$F616,$F617,$G$3:$G616,$G617)&gt;0,"DOUBLON","VALIDE")))</f>
        <v/>
      </c>
    </row>
    <row r="618" ht="15" customHeight="1">
      <c r="A618" s="12">
        <f>IF(OR($B618="",$G618=""),"",TEXT($B618,"YYYYMMDD")&amp;"-"&amp;SUBSTITUTE($E618," ","")&amp;"-"&amp;$F618&amp;"-"&amp;$G618)</f>
        <v/>
      </c>
      <c r="B618" s="15" t="n"/>
      <c r="C618" s="16" t="n"/>
      <c r="D618" s="10" t="n"/>
      <c r="E618" s="9" t="n"/>
      <c r="F618" s="9" t="n"/>
      <c r="G618" s="13" t="n"/>
      <c r="H618" s="21" t="n"/>
      <c r="I618" s="21" t="n"/>
      <c r="J618" s="17">
        <f>IF($G618="","",IFERROR(INDEX(NomsEmployes,MATCH($G618,MatriculesEmployes,0)),"MATRICULE INCONNU"))</f>
        <v/>
      </c>
      <c r="K618" s="33">
        <f>IF(OR($D618="",$F618=""),"",IFERROR(IF(INDEX(RUNS!$L$6:$S$1005,MATCH($D618,RUNS!$A$6:$A$1005,0),MATCH("ACTIVITÉ "&amp;$F618,RUNS!$L$5:$S$5,0))="","",INDEX(RUNS!$L$6:$S$1005,MATCH($D618,RUNS!$A$6:$A$1005,0),MATCH("ACTIVITÉ "&amp;$F618,RUNS!$L$5:$S$5,0))),""))</f>
        <v/>
      </c>
      <c r="L618" s="33">
        <f>IF($D618="","",IFERROR(IF(INDEX(RUNS!$E$6:$E$1005,MATCH($D618,RUNS!$A$6:$A$1005,0))="","",INDEX(RUNS!$E$6:$E$1005,MATCH($D618,RUNS!$A$6:$A$1005,0))),""))</f>
        <v/>
      </c>
      <c r="M618" s="33">
        <f>IF($D618="","",IFERROR(IF(INDEX(RUNS!$F$6:$F$1005,MATCH($D618,RUNS!$A$6:$A$1005,0))="","",INDEX(RUNS!$F$6:$F$1005,MATCH($D618,RUNS!$A$6:$A$1005,0))),""))</f>
        <v/>
      </c>
      <c r="N618" s="33">
        <f>IF($D618="","",IFERROR(IF(INDEX(RUNS!$G$6:$G$1005,MATCH($D618,RUNS!$A$6:$A$1005,0))="","",INDEX(RUNS!$G$6:$G$1005,MATCH($D618,RUNS!$A$6:$A$1005,0))),""))</f>
        <v/>
      </c>
      <c r="O618" s="33">
        <f>IF($D618="","",IFERROR(IF(INDEX(RUNS!$H$6:$H$1005,MATCH($D618,RUNS!$A$6:$A$1005,0))="","",INDEX(RUNS!$H$6:$H$1005,MATCH($D618,RUNS!$A$6:$A$1005,0))),""))</f>
        <v/>
      </c>
      <c r="P618" s="33">
        <f>IF($D618="","",IFERROR(IF(INDEX(RUNS!$J$6:$J$1005,MATCH($D618,RUNS!$A$6:$A$1005,0))="","",INDEX(RUNS!$J$6:$J$1005,MATCH($D618,RUNS!$A$6:$A$1005,0))),""))</f>
        <v/>
      </c>
      <c r="Q618" s="33">
        <f>IF($D618="","",IFERROR(IF(INDEX(RUNS!$K$6:$K$1005,MATCH($D618,RUNS!$A$6:$A$1005,0))="","",INDEX(RUNS!$K$6:$K$1005,MATCH($D618,RUNS!$A$6:$A$1005,0))),""))</f>
        <v/>
      </c>
      <c r="R618" s="34">
        <f>IF(OR($L618="",$K618=""),"",IFERROR(IF(INDEX(PARAMETRES!$H$43:$H$342,MATCH($L618&amp;"|"&amp;$M618&amp;"|"&amp;$N618&amp;"|"&amp;$O618&amp;"|"&amp;$P618&amp;"|"&amp;$Q618&amp;"|"&amp;$K618,PARAMETRES!$J$43:$J$342,0))="","",INDEX(PARAMETRES!$H$43:$H$342,MATCH($L618&amp;"|"&amp;$M618&amp;"|"&amp;$N618&amp;"|"&amp;$O618&amp;"|"&amp;$P618&amp;"|"&amp;$Q618&amp;"|"&amp;$K618,PARAMETRES!$J$43:$J$342,0))),""))</f>
        <v/>
      </c>
      <c r="S618" s="35">
        <f>IF(OR($G618="",$X618&lt;&gt;"VALIDE"),"",IFERROR(LOOKUP(2,1/(($B$3:$B617=$B618)*($G$3:$G617=$G618)*($X$3:$X617="VALIDE")),$C$3:$C617),""))</f>
        <v/>
      </c>
      <c r="T618" s="36">
        <f>IF(OR($C618="",$S618=""),"",ROUND(($C618-$S618+IF($C618&lt;$S618,1,0))*1440,0))</f>
        <v/>
      </c>
      <c r="U618" s="22">
        <f>IF(OR($H618="",$T618="",$T618&lt;=0),"",$H618*60/$T618)</f>
        <v/>
      </c>
      <c r="V618" s="37">
        <f>IF(OR($U618="",$R618="",$R618=0),"",$U618/$R618)</f>
        <v/>
      </c>
      <c r="W618" s="20">
        <f>IF($G618="","",IF($X618="CONTEXTE INCOMPLET","CONTEXTE INCOMPLET",IF($X618="DOUBLON",StatutDoublon,IF($S618="",StatutInitial,IF($R618="",StatutStandardManquant,IF($V618="","DONNEES INSUFFISANTES",IF($V618&gt;=SeuilConforme,StatutConforme,IF($V618&gt;=SeuilSurveiller,StatutSurveiller,StatutSousStandard))))))))</f>
        <v/>
      </c>
      <c r="X618" s="33">
        <f>IF($G618="","",IF(OR($D618="",$E618="",$F618=""),"CONTEXTE INCOMPLET",IF(COUNTIFS($D$3:$D617,$D618,$E$3:$E617,$E618,$F$3:$F617,$F618,$G$3:$G617,$G618)&gt;0,"DOUBLON","VALIDE")))</f>
        <v/>
      </c>
    </row>
    <row r="619" ht="15" customHeight="1">
      <c r="A619" s="12">
        <f>IF(OR($B619="",$G619=""),"",TEXT($B619,"YYYYMMDD")&amp;"-"&amp;SUBSTITUTE($E619," ","")&amp;"-"&amp;$F619&amp;"-"&amp;$G619)</f>
        <v/>
      </c>
      <c r="B619" s="15" t="n"/>
      <c r="C619" s="16" t="n"/>
      <c r="D619" s="10" t="n"/>
      <c r="E619" s="9" t="n"/>
      <c r="F619" s="9" t="n"/>
      <c r="G619" s="13" t="n"/>
      <c r="H619" s="21" t="n"/>
      <c r="I619" s="21" t="n"/>
      <c r="J619" s="17">
        <f>IF($G619="","",IFERROR(INDEX(NomsEmployes,MATCH($G619,MatriculesEmployes,0)),"MATRICULE INCONNU"))</f>
        <v/>
      </c>
      <c r="K619" s="33">
        <f>IF(OR($D619="",$F619=""),"",IFERROR(IF(INDEX(RUNS!$L$6:$S$1005,MATCH($D619,RUNS!$A$6:$A$1005,0),MATCH("ACTIVITÉ "&amp;$F619,RUNS!$L$5:$S$5,0))="","",INDEX(RUNS!$L$6:$S$1005,MATCH($D619,RUNS!$A$6:$A$1005,0),MATCH("ACTIVITÉ "&amp;$F619,RUNS!$L$5:$S$5,0))),""))</f>
        <v/>
      </c>
      <c r="L619" s="33">
        <f>IF($D619="","",IFERROR(IF(INDEX(RUNS!$E$6:$E$1005,MATCH($D619,RUNS!$A$6:$A$1005,0))="","",INDEX(RUNS!$E$6:$E$1005,MATCH($D619,RUNS!$A$6:$A$1005,0))),""))</f>
        <v/>
      </c>
      <c r="M619" s="33">
        <f>IF($D619="","",IFERROR(IF(INDEX(RUNS!$F$6:$F$1005,MATCH($D619,RUNS!$A$6:$A$1005,0))="","",INDEX(RUNS!$F$6:$F$1005,MATCH($D619,RUNS!$A$6:$A$1005,0))),""))</f>
        <v/>
      </c>
      <c r="N619" s="33">
        <f>IF($D619="","",IFERROR(IF(INDEX(RUNS!$G$6:$G$1005,MATCH($D619,RUNS!$A$6:$A$1005,0))="","",INDEX(RUNS!$G$6:$G$1005,MATCH($D619,RUNS!$A$6:$A$1005,0))),""))</f>
        <v/>
      </c>
      <c r="O619" s="33">
        <f>IF($D619="","",IFERROR(IF(INDEX(RUNS!$H$6:$H$1005,MATCH($D619,RUNS!$A$6:$A$1005,0))="","",INDEX(RUNS!$H$6:$H$1005,MATCH($D619,RUNS!$A$6:$A$1005,0))),""))</f>
        <v/>
      </c>
      <c r="P619" s="33">
        <f>IF($D619="","",IFERROR(IF(INDEX(RUNS!$J$6:$J$1005,MATCH($D619,RUNS!$A$6:$A$1005,0))="","",INDEX(RUNS!$J$6:$J$1005,MATCH($D619,RUNS!$A$6:$A$1005,0))),""))</f>
        <v/>
      </c>
      <c r="Q619" s="33">
        <f>IF($D619="","",IFERROR(IF(INDEX(RUNS!$K$6:$K$1005,MATCH($D619,RUNS!$A$6:$A$1005,0))="","",INDEX(RUNS!$K$6:$K$1005,MATCH($D619,RUNS!$A$6:$A$1005,0))),""))</f>
        <v/>
      </c>
      <c r="R619" s="34">
        <f>IF(OR($L619="",$K619=""),"",IFERROR(IF(INDEX(PARAMETRES!$H$43:$H$342,MATCH($L619&amp;"|"&amp;$M619&amp;"|"&amp;$N619&amp;"|"&amp;$O619&amp;"|"&amp;$P619&amp;"|"&amp;$Q619&amp;"|"&amp;$K619,PARAMETRES!$J$43:$J$342,0))="","",INDEX(PARAMETRES!$H$43:$H$342,MATCH($L619&amp;"|"&amp;$M619&amp;"|"&amp;$N619&amp;"|"&amp;$O619&amp;"|"&amp;$P619&amp;"|"&amp;$Q619&amp;"|"&amp;$K619,PARAMETRES!$J$43:$J$342,0))),""))</f>
        <v/>
      </c>
      <c r="S619" s="35">
        <f>IF(OR($G619="",$X619&lt;&gt;"VALIDE"),"",IFERROR(LOOKUP(2,1/(($B$3:$B618=$B619)*($G$3:$G618=$G619)*($X$3:$X618="VALIDE")),$C$3:$C618),""))</f>
        <v/>
      </c>
      <c r="T619" s="36">
        <f>IF(OR($C619="",$S619=""),"",ROUND(($C619-$S619+IF($C619&lt;$S619,1,0))*1440,0))</f>
        <v/>
      </c>
      <c r="U619" s="22">
        <f>IF(OR($H619="",$T619="",$T619&lt;=0),"",$H619*60/$T619)</f>
        <v/>
      </c>
      <c r="V619" s="37">
        <f>IF(OR($U619="",$R619="",$R619=0),"",$U619/$R619)</f>
        <v/>
      </c>
      <c r="W619" s="20">
        <f>IF($G619="","",IF($X619="CONTEXTE INCOMPLET","CONTEXTE INCOMPLET",IF($X619="DOUBLON",StatutDoublon,IF($S619="",StatutInitial,IF($R619="",StatutStandardManquant,IF($V619="","DONNEES INSUFFISANTES",IF($V619&gt;=SeuilConforme,StatutConforme,IF($V619&gt;=SeuilSurveiller,StatutSurveiller,StatutSousStandard))))))))</f>
        <v/>
      </c>
      <c r="X619" s="33">
        <f>IF($G619="","",IF(OR($D619="",$E619="",$F619=""),"CONTEXTE INCOMPLET",IF(COUNTIFS($D$3:$D618,$D619,$E$3:$E618,$E619,$F$3:$F618,$F619,$G$3:$G618,$G619)&gt;0,"DOUBLON","VALIDE")))</f>
        <v/>
      </c>
    </row>
    <row r="620" ht="15" customHeight="1">
      <c r="A620" s="12">
        <f>IF(OR($B620="",$G620=""),"",TEXT($B620,"YYYYMMDD")&amp;"-"&amp;SUBSTITUTE($E620," ","")&amp;"-"&amp;$F620&amp;"-"&amp;$G620)</f>
        <v/>
      </c>
      <c r="B620" s="15" t="n"/>
      <c r="C620" s="16" t="n"/>
      <c r="D620" s="10" t="n"/>
      <c r="E620" s="9" t="n"/>
      <c r="F620" s="9" t="n"/>
      <c r="G620" s="13" t="n"/>
      <c r="H620" s="21" t="n"/>
      <c r="I620" s="21" t="n"/>
      <c r="J620" s="17">
        <f>IF($G620="","",IFERROR(INDEX(NomsEmployes,MATCH($G620,MatriculesEmployes,0)),"MATRICULE INCONNU"))</f>
        <v/>
      </c>
      <c r="K620" s="33">
        <f>IF(OR($D620="",$F620=""),"",IFERROR(IF(INDEX(RUNS!$L$6:$S$1005,MATCH($D620,RUNS!$A$6:$A$1005,0),MATCH("ACTIVITÉ "&amp;$F620,RUNS!$L$5:$S$5,0))="","",INDEX(RUNS!$L$6:$S$1005,MATCH($D620,RUNS!$A$6:$A$1005,0),MATCH("ACTIVITÉ "&amp;$F620,RUNS!$L$5:$S$5,0))),""))</f>
        <v/>
      </c>
      <c r="L620" s="33">
        <f>IF($D620="","",IFERROR(IF(INDEX(RUNS!$E$6:$E$1005,MATCH($D620,RUNS!$A$6:$A$1005,0))="","",INDEX(RUNS!$E$6:$E$1005,MATCH($D620,RUNS!$A$6:$A$1005,0))),""))</f>
        <v/>
      </c>
      <c r="M620" s="33">
        <f>IF($D620="","",IFERROR(IF(INDEX(RUNS!$F$6:$F$1005,MATCH($D620,RUNS!$A$6:$A$1005,0))="","",INDEX(RUNS!$F$6:$F$1005,MATCH($D620,RUNS!$A$6:$A$1005,0))),""))</f>
        <v/>
      </c>
      <c r="N620" s="33">
        <f>IF($D620="","",IFERROR(IF(INDEX(RUNS!$G$6:$G$1005,MATCH($D620,RUNS!$A$6:$A$1005,0))="","",INDEX(RUNS!$G$6:$G$1005,MATCH($D620,RUNS!$A$6:$A$1005,0))),""))</f>
        <v/>
      </c>
      <c r="O620" s="33">
        <f>IF($D620="","",IFERROR(IF(INDEX(RUNS!$H$6:$H$1005,MATCH($D620,RUNS!$A$6:$A$1005,0))="","",INDEX(RUNS!$H$6:$H$1005,MATCH($D620,RUNS!$A$6:$A$1005,0))),""))</f>
        <v/>
      </c>
      <c r="P620" s="33">
        <f>IF($D620="","",IFERROR(IF(INDEX(RUNS!$J$6:$J$1005,MATCH($D620,RUNS!$A$6:$A$1005,0))="","",INDEX(RUNS!$J$6:$J$1005,MATCH($D620,RUNS!$A$6:$A$1005,0))),""))</f>
        <v/>
      </c>
      <c r="Q620" s="33">
        <f>IF($D620="","",IFERROR(IF(INDEX(RUNS!$K$6:$K$1005,MATCH($D620,RUNS!$A$6:$A$1005,0))="","",INDEX(RUNS!$K$6:$K$1005,MATCH($D620,RUNS!$A$6:$A$1005,0))),""))</f>
        <v/>
      </c>
      <c r="R620" s="34">
        <f>IF(OR($L620="",$K620=""),"",IFERROR(IF(INDEX(PARAMETRES!$H$43:$H$342,MATCH($L620&amp;"|"&amp;$M620&amp;"|"&amp;$N620&amp;"|"&amp;$O620&amp;"|"&amp;$P620&amp;"|"&amp;$Q620&amp;"|"&amp;$K620,PARAMETRES!$J$43:$J$342,0))="","",INDEX(PARAMETRES!$H$43:$H$342,MATCH($L620&amp;"|"&amp;$M620&amp;"|"&amp;$N620&amp;"|"&amp;$O620&amp;"|"&amp;$P620&amp;"|"&amp;$Q620&amp;"|"&amp;$K620,PARAMETRES!$J$43:$J$342,0))),""))</f>
        <v/>
      </c>
      <c r="S620" s="35">
        <f>IF(OR($G620="",$X620&lt;&gt;"VALIDE"),"",IFERROR(LOOKUP(2,1/(($B$3:$B619=$B620)*($G$3:$G619=$G620)*($X$3:$X619="VALIDE")),$C$3:$C619),""))</f>
        <v/>
      </c>
      <c r="T620" s="36">
        <f>IF(OR($C620="",$S620=""),"",ROUND(($C620-$S620+IF($C620&lt;$S620,1,0))*1440,0))</f>
        <v/>
      </c>
      <c r="U620" s="22">
        <f>IF(OR($H620="",$T620="",$T620&lt;=0),"",$H620*60/$T620)</f>
        <v/>
      </c>
      <c r="V620" s="37">
        <f>IF(OR($U620="",$R620="",$R620=0),"",$U620/$R620)</f>
        <v/>
      </c>
      <c r="W620" s="20">
        <f>IF($G620="","",IF($X620="CONTEXTE INCOMPLET","CONTEXTE INCOMPLET",IF($X620="DOUBLON",StatutDoublon,IF($S620="",StatutInitial,IF($R620="",StatutStandardManquant,IF($V620="","DONNEES INSUFFISANTES",IF($V620&gt;=SeuilConforme,StatutConforme,IF($V620&gt;=SeuilSurveiller,StatutSurveiller,StatutSousStandard))))))))</f>
        <v/>
      </c>
      <c r="X620" s="33">
        <f>IF($G620="","",IF(OR($D620="",$E620="",$F620=""),"CONTEXTE INCOMPLET",IF(COUNTIFS($D$3:$D619,$D620,$E$3:$E619,$E620,$F$3:$F619,$F620,$G$3:$G619,$G620)&gt;0,"DOUBLON","VALIDE")))</f>
        <v/>
      </c>
    </row>
    <row r="621" ht="15" customHeight="1">
      <c r="A621" s="12">
        <f>IF(OR($B621="",$G621=""),"",TEXT($B621,"YYYYMMDD")&amp;"-"&amp;SUBSTITUTE($E621," ","")&amp;"-"&amp;$F621&amp;"-"&amp;$G621)</f>
        <v/>
      </c>
      <c r="B621" s="15" t="n"/>
      <c r="C621" s="16" t="n"/>
      <c r="D621" s="10" t="n"/>
      <c r="E621" s="9" t="n"/>
      <c r="F621" s="9" t="n"/>
      <c r="G621" s="13" t="n"/>
      <c r="H621" s="21" t="n"/>
      <c r="I621" s="21" t="n"/>
      <c r="J621" s="17">
        <f>IF($G621="","",IFERROR(INDEX(NomsEmployes,MATCH($G621,MatriculesEmployes,0)),"MATRICULE INCONNU"))</f>
        <v/>
      </c>
      <c r="K621" s="33">
        <f>IF(OR($D621="",$F621=""),"",IFERROR(IF(INDEX(RUNS!$L$6:$S$1005,MATCH($D621,RUNS!$A$6:$A$1005,0),MATCH("ACTIVITÉ "&amp;$F621,RUNS!$L$5:$S$5,0))="","",INDEX(RUNS!$L$6:$S$1005,MATCH($D621,RUNS!$A$6:$A$1005,0),MATCH("ACTIVITÉ "&amp;$F621,RUNS!$L$5:$S$5,0))),""))</f>
        <v/>
      </c>
      <c r="L621" s="33">
        <f>IF($D621="","",IFERROR(IF(INDEX(RUNS!$E$6:$E$1005,MATCH($D621,RUNS!$A$6:$A$1005,0))="","",INDEX(RUNS!$E$6:$E$1005,MATCH($D621,RUNS!$A$6:$A$1005,0))),""))</f>
        <v/>
      </c>
      <c r="M621" s="33">
        <f>IF($D621="","",IFERROR(IF(INDEX(RUNS!$F$6:$F$1005,MATCH($D621,RUNS!$A$6:$A$1005,0))="","",INDEX(RUNS!$F$6:$F$1005,MATCH($D621,RUNS!$A$6:$A$1005,0))),""))</f>
        <v/>
      </c>
      <c r="N621" s="33">
        <f>IF($D621="","",IFERROR(IF(INDEX(RUNS!$G$6:$G$1005,MATCH($D621,RUNS!$A$6:$A$1005,0))="","",INDEX(RUNS!$G$6:$G$1005,MATCH($D621,RUNS!$A$6:$A$1005,0))),""))</f>
        <v/>
      </c>
      <c r="O621" s="33">
        <f>IF($D621="","",IFERROR(IF(INDEX(RUNS!$H$6:$H$1005,MATCH($D621,RUNS!$A$6:$A$1005,0))="","",INDEX(RUNS!$H$6:$H$1005,MATCH($D621,RUNS!$A$6:$A$1005,0))),""))</f>
        <v/>
      </c>
      <c r="P621" s="33">
        <f>IF($D621="","",IFERROR(IF(INDEX(RUNS!$J$6:$J$1005,MATCH($D621,RUNS!$A$6:$A$1005,0))="","",INDEX(RUNS!$J$6:$J$1005,MATCH($D621,RUNS!$A$6:$A$1005,0))),""))</f>
        <v/>
      </c>
      <c r="Q621" s="33">
        <f>IF($D621="","",IFERROR(IF(INDEX(RUNS!$K$6:$K$1005,MATCH($D621,RUNS!$A$6:$A$1005,0))="","",INDEX(RUNS!$K$6:$K$1005,MATCH($D621,RUNS!$A$6:$A$1005,0))),""))</f>
        <v/>
      </c>
      <c r="R621" s="34">
        <f>IF(OR($L621="",$K621=""),"",IFERROR(IF(INDEX(PARAMETRES!$H$43:$H$342,MATCH($L621&amp;"|"&amp;$M621&amp;"|"&amp;$N621&amp;"|"&amp;$O621&amp;"|"&amp;$P621&amp;"|"&amp;$Q621&amp;"|"&amp;$K621,PARAMETRES!$J$43:$J$342,0))="","",INDEX(PARAMETRES!$H$43:$H$342,MATCH($L621&amp;"|"&amp;$M621&amp;"|"&amp;$N621&amp;"|"&amp;$O621&amp;"|"&amp;$P621&amp;"|"&amp;$Q621&amp;"|"&amp;$K621,PARAMETRES!$J$43:$J$342,0))),""))</f>
        <v/>
      </c>
      <c r="S621" s="35">
        <f>IF(OR($G621="",$X621&lt;&gt;"VALIDE"),"",IFERROR(LOOKUP(2,1/(($B$3:$B620=$B621)*($G$3:$G620=$G621)*($X$3:$X620="VALIDE")),$C$3:$C620),""))</f>
        <v/>
      </c>
      <c r="T621" s="36">
        <f>IF(OR($C621="",$S621=""),"",ROUND(($C621-$S621+IF($C621&lt;$S621,1,0))*1440,0))</f>
        <v/>
      </c>
      <c r="U621" s="22">
        <f>IF(OR($H621="",$T621="",$T621&lt;=0),"",$H621*60/$T621)</f>
        <v/>
      </c>
      <c r="V621" s="37">
        <f>IF(OR($U621="",$R621="",$R621=0),"",$U621/$R621)</f>
        <v/>
      </c>
      <c r="W621" s="20">
        <f>IF($G621="","",IF($X621="CONTEXTE INCOMPLET","CONTEXTE INCOMPLET",IF($X621="DOUBLON",StatutDoublon,IF($S621="",StatutInitial,IF($R621="",StatutStandardManquant,IF($V621="","DONNEES INSUFFISANTES",IF($V621&gt;=SeuilConforme,StatutConforme,IF($V621&gt;=SeuilSurveiller,StatutSurveiller,StatutSousStandard))))))))</f>
        <v/>
      </c>
      <c r="X621" s="33">
        <f>IF($G621="","",IF(OR($D621="",$E621="",$F621=""),"CONTEXTE INCOMPLET",IF(COUNTIFS($D$3:$D620,$D621,$E$3:$E620,$E621,$F$3:$F620,$F621,$G$3:$G620,$G621)&gt;0,"DOUBLON","VALIDE")))</f>
        <v/>
      </c>
    </row>
    <row r="622" ht="15" customHeight="1">
      <c r="A622" s="12">
        <f>IF(OR($B622="",$G622=""),"",TEXT($B622,"YYYYMMDD")&amp;"-"&amp;SUBSTITUTE($E622," ","")&amp;"-"&amp;$F622&amp;"-"&amp;$G622)</f>
        <v/>
      </c>
      <c r="B622" s="15" t="n"/>
      <c r="C622" s="16" t="n"/>
      <c r="D622" s="10" t="n"/>
      <c r="E622" s="9" t="n"/>
      <c r="F622" s="9" t="n"/>
      <c r="G622" s="13" t="n"/>
      <c r="H622" s="21" t="n"/>
      <c r="I622" s="21" t="n"/>
      <c r="J622" s="17">
        <f>IF($G622="","",IFERROR(INDEX(NomsEmployes,MATCH($G622,MatriculesEmployes,0)),"MATRICULE INCONNU"))</f>
        <v/>
      </c>
      <c r="K622" s="33">
        <f>IF(OR($D622="",$F622=""),"",IFERROR(IF(INDEX(RUNS!$L$6:$S$1005,MATCH($D622,RUNS!$A$6:$A$1005,0),MATCH("ACTIVITÉ "&amp;$F622,RUNS!$L$5:$S$5,0))="","",INDEX(RUNS!$L$6:$S$1005,MATCH($D622,RUNS!$A$6:$A$1005,0),MATCH("ACTIVITÉ "&amp;$F622,RUNS!$L$5:$S$5,0))),""))</f>
        <v/>
      </c>
      <c r="L622" s="33">
        <f>IF($D622="","",IFERROR(IF(INDEX(RUNS!$E$6:$E$1005,MATCH($D622,RUNS!$A$6:$A$1005,0))="","",INDEX(RUNS!$E$6:$E$1005,MATCH($D622,RUNS!$A$6:$A$1005,0))),""))</f>
        <v/>
      </c>
      <c r="M622" s="33">
        <f>IF($D622="","",IFERROR(IF(INDEX(RUNS!$F$6:$F$1005,MATCH($D622,RUNS!$A$6:$A$1005,0))="","",INDEX(RUNS!$F$6:$F$1005,MATCH($D622,RUNS!$A$6:$A$1005,0))),""))</f>
        <v/>
      </c>
      <c r="N622" s="33">
        <f>IF($D622="","",IFERROR(IF(INDEX(RUNS!$G$6:$G$1005,MATCH($D622,RUNS!$A$6:$A$1005,0))="","",INDEX(RUNS!$G$6:$G$1005,MATCH($D622,RUNS!$A$6:$A$1005,0))),""))</f>
        <v/>
      </c>
      <c r="O622" s="33">
        <f>IF($D622="","",IFERROR(IF(INDEX(RUNS!$H$6:$H$1005,MATCH($D622,RUNS!$A$6:$A$1005,0))="","",INDEX(RUNS!$H$6:$H$1005,MATCH($D622,RUNS!$A$6:$A$1005,0))),""))</f>
        <v/>
      </c>
      <c r="P622" s="33">
        <f>IF($D622="","",IFERROR(IF(INDEX(RUNS!$J$6:$J$1005,MATCH($D622,RUNS!$A$6:$A$1005,0))="","",INDEX(RUNS!$J$6:$J$1005,MATCH($D622,RUNS!$A$6:$A$1005,0))),""))</f>
        <v/>
      </c>
      <c r="Q622" s="33">
        <f>IF($D622="","",IFERROR(IF(INDEX(RUNS!$K$6:$K$1005,MATCH($D622,RUNS!$A$6:$A$1005,0))="","",INDEX(RUNS!$K$6:$K$1005,MATCH($D622,RUNS!$A$6:$A$1005,0))),""))</f>
        <v/>
      </c>
      <c r="R622" s="34">
        <f>IF(OR($L622="",$K622=""),"",IFERROR(IF(INDEX(PARAMETRES!$H$43:$H$342,MATCH($L622&amp;"|"&amp;$M622&amp;"|"&amp;$N622&amp;"|"&amp;$O622&amp;"|"&amp;$P622&amp;"|"&amp;$Q622&amp;"|"&amp;$K622,PARAMETRES!$J$43:$J$342,0))="","",INDEX(PARAMETRES!$H$43:$H$342,MATCH($L622&amp;"|"&amp;$M622&amp;"|"&amp;$N622&amp;"|"&amp;$O622&amp;"|"&amp;$P622&amp;"|"&amp;$Q622&amp;"|"&amp;$K622,PARAMETRES!$J$43:$J$342,0))),""))</f>
        <v/>
      </c>
      <c r="S622" s="35">
        <f>IF(OR($G622="",$X622&lt;&gt;"VALIDE"),"",IFERROR(LOOKUP(2,1/(($B$3:$B621=$B622)*($G$3:$G621=$G622)*($X$3:$X621="VALIDE")),$C$3:$C621),""))</f>
        <v/>
      </c>
      <c r="T622" s="36">
        <f>IF(OR($C622="",$S622=""),"",ROUND(($C622-$S622+IF($C622&lt;$S622,1,0))*1440,0))</f>
        <v/>
      </c>
      <c r="U622" s="22">
        <f>IF(OR($H622="",$T622="",$T622&lt;=0),"",$H622*60/$T622)</f>
        <v/>
      </c>
      <c r="V622" s="37">
        <f>IF(OR($U622="",$R622="",$R622=0),"",$U622/$R622)</f>
        <v/>
      </c>
      <c r="W622" s="20">
        <f>IF($G622="","",IF($X622="CONTEXTE INCOMPLET","CONTEXTE INCOMPLET",IF($X622="DOUBLON",StatutDoublon,IF($S622="",StatutInitial,IF($R622="",StatutStandardManquant,IF($V622="","DONNEES INSUFFISANTES",IF($V622&gt;=SeuilConforme,StatutConforme,IF($V622&gt;=SeuilSurveiller,StatutSurveiller,StatutSousStandard))))))))</f>
        <v/>
      </c>
      <c r="X622" s="33">
        <f>IF($G622="","",IF(OR($D622="",$E622="",$F622=""),"CONTEXTE INCOMPLET",IF(COUNTIFS($D$3:$D621,$D622,$E$3:$E621,$E622,$F$3:$F621,$F622,$G$3:$G621,$G622)&gt;0,"DOUBLON","VALIDE")))</f>
        <v/>
      </c>
    </row>
    <row r="623" ht="15" customHeight="1">
      <c r="A623" s="12">
        <f>IF(OR($B623="",$G623=""),"",TEXT($B623,"YYYYMMDD")&amp;"-"&amp;SUBSTITUTE($E623," ","")&amp;"-"&amp;$F623&amp;"-"&amp;$G623)</f>
        <v/>
      </c>
      <c r="B623" s="15" t="n"/>
      <c r="C623" s="16" t="n"/>
      <c r="D623" s="10" t="n"/>
      <c r="E623" s="9" t="n"/>
      <c r="F623" s="9" t="n"/>
      <c r="G623" s="13" t="n"/>
      <c r="H623" s="21" t="n"/>
      <c r="I623" s="21" t="n"/>
      <c r="J623" s="17">
        <f>IF($G623="","",IFERROR(INDEX(NomsEmployes,MATCH($G623,MatriculesEmployes,0)),"MATRICULE INCONNU"))</f>
        <v/>
      </c>
      <c r="K623" s="33">
        <f>IF(OR($D623="",$F623=""),"",IFERROR(IF(INDEX(RUNS!$L$6:$S$1005,MATCH($D623,RUNS!$A$6:$A$1005,0),MATCH("ACTIVITÉ "&amp;$F623,RUNS!$L$5:$S$5,0))="","",INDEX(RUNS!$L$6:$S$1005,MATCH($D623,RUNS!$A$6:$A$1005,0),MATCH("ACTIVITÉ "&amp;$F623,RUNS!$L$5:$S$5,0))),""))</f>
        <v/>
      </c>
      <c r="L623" s="33">
        <f>IF($D623="","",IFERROR(IF(INDEX(RUNS!$E$6:$E$1005,MATCH($D623,RUNS!$A$6:$A$1005,0))="","",INDEX(RUNS!$E$6:$E$1005,MATCH($D623,RUNS!$A$6:$A$1005,0))),""))</f>
        <v/>
      </c>
      <c r="M623" s="33">
        <f>IF($D623="","",IFERROR(IF(INDEX(RUNS!$F$6:$F$1005,MATCH($D623,RUNS!$A$6:$A$1005,0))="","",INDEX(RUNS!$F$6:$F$1005,MATCH($D623,RUNS!$A$6:$A$1005,0))),""))</f>
        <v/>
      </c>
      <c r="N623" s="33">
        <f>IF($D623="","",IFERROR(IF(INDEX(RUNS!$G$6:$G$1005,MATCH($D623,RUNS!$A$6:$A$1005,0))="","",INDEX(RUNS!$G$6:$G$1005,MATCH($D623,RUNS!$A$6:$A$1005,0))),""))</f>
        <v/>
      </c>
      <c r="O623" s="33">
        <f>IF($D623="","",IFERROR(IF(INDEX(RUNS!$H$6:$H$1005,MATCH($D623,RUNS!$A$6:$A$1005,0))="","",INDEX(RUNS!$H$6:$H$1005,MATCH($D623,RUNS!$A$6:$A$1005,0))),""))</f>
        <v/>
      </c>
      <c r="P623" s="33">
        <f>IF($D623="","",IFERROR(IF(INDEX(RUNS!$J$6:$J$1005,MATCH($D623,RUNS!$A$6:$A$1005,0))="","",INDEX(RUNS!$J$6:$J$1005,MATCH($D623,RUNS!$A$6:$A$1005,0))),""))</f>
        <v/>
      </c>
      <c r="Q623" s="33">
        <f>IF($D623="","",IFERROR(IF(INDEX(RUNS!$K$6:$K$1005,MATCH($D623,RUNS!$A$6:$A$1005,0))="","",INDEX(RUNS!$K$6:$K$1005,MATCH($D623,RUNS!$A$6:$A$1005,0))),""))</f>
        <v/>
      </c>
      <c r="R623" s="34">
        <f>IF(OR($L623="",$K623=""),"",IFERROR(IF(INDEX(PARAMETRES!$H$43:$H$342,MATCH($L623&amp;"|"&amp;$M623&amp;"|"&amp;$N623&amp;"|"&amp;$O623&amp;"|"&amp;$P623&amp;"|"&amp;$Q623&amp;"|"&amp;$K623,PARAMETRES!$J$43:$J$342,0))="","",INDEX(PARAMETRES!$H$43:$H$342,MATCH($L623&amp;"|"&amp;$M623&amp;"|"&amp;$N623&amp;"|"&amp;$O623&amp;"|"&amp;$P623&amp;"|"&amp;$Q623&amp;"|"&amp;$K623,PARAMETRES!$J$43:$J$342,0))),""))</f>
        <v/>
      </c>
      <c r="S623" s="35">
        <f>IF(OR($G623="",$X623&lt;&gt;"VALIDE"),"",IFERROR(LOOKUP(2,1/(($B$3:$B622=$B623)*($G$3:$G622=$G623)*($X$3:$X622="VALIDE")),$C$3:$C622),""))</f>
        <v/>
      </c>
      <c r="T623" s="36">
        <f>IF(OR($C623="",$S623=""),"",ROUND(($C623-$S623+IF($C623&lt;$S623,1,0))*1440,0))</f>
        <v/>
      </c>
      <c r="U623" s="22">
        <f>IF(OR($H623="",$T623="",$T623&lt;=0),"",$H623*60/$T623)</f>
        <v/>
      </c>
      <c r="V623" s="37">
        <f>IF(OR($U623="",$R623="",$R623=0),"",$U623/$R623)</f>
        <v/>
      </c>
      <c r="W623" s="20">
        <f>IF($G623="","",IF($X623="CONTEXTE INCOMPLET","CONTEXTE INCOMPLET",IF($X623="DOUBLON",StatutDoublon,IF($S623="",StatutInitial,IF($R623="",StatutStandardManquant,IF($V623="","DONNEES INSUFFISANTES",IF($V623&gt;=SeuilConforme,StatutConforme,IF($V623&gt;=SeuilSurveiller,StatutSurveiller,StatutSousStandard))))))))</f>
        <v/>
      </c>
      <c r="X623" s="33">
        <f>IF($G623="","",IF(OR($D623="",$E623="",$F623=""),"CONTEXTE INCOMPLET",IF(COUNTIFS($D$3:$D622,$D623,$E$3:$E622,$E623,$F$3:$F622,$F623,$G$3:$G622,$G623)&gt;0,"DOUBLON","VALIDE")))</f>
        <v/>
      </c>
    </row>
    <row r="624" ht="15" customHeight="1">
      <c r="A624" s="12">
        <f>IF(OR($B624="",$G624=""),"",TEXT($B624,"YYYYMMDD")&amp;"-"&amp;SUBSTITUTE($E624," ","")&amp;"-"&amp;$F624&amp;"-"&amp;$G624)</f>
        <v/>
      </c>
      <c r="B624" s="15" t="n"/>
      <c r="C624" s="16" t="n"/>
      <c r="D624" s="10" t="n"/>
      <c r="E624" s="9" t="n"/>
      <c r="F624" s="9" t="n"/>
      <c r="G624" s="13" t="n"/>
      <c r="H624" s="21" t="n"/>
      <c r="I624" s="21" t="n"/>
      <c r="J624" s="17">
        <f>IF($G624="","",IFERROR(INDEX(NomsEmployes,MATCH($G624,MatriculesEmployes,0)),"MATRICULE INCONNU"))</f>
        <v/>
      </c>
      <c r="K624" s="33">
        <f>IF(OR($D624="",$F624=""),"",IFERROR(IF(INDEX(RUNS!$L$6:$S$1005,MATCH($D624,RUNS!$A$6:$A$1005,0),MATCH("ACTIVITÉ "&amp;$F624,RUNS!$L$5:$S$5,0))="","",INDEX(RUNS!$L$6:$S$1005,MATCH($D624,RUNS!$A$6:$A$1005,0),MATCH("ACTIVITÉ "&amp;$F624,RUNS!$L$5:$S$5,0))),""))</f>
        <v/>
      </c>
      <c r="L624" s="33">
        <f>IF($D624="","",IFERROR(IF(INDEX(RUNS!$E$6:$E$1005,MATCH($D624,RUNS!$A$6:$A$1005,0))="","",INDEX(RUNS!$E$6:$E$1005,MATCH($D624,RUNS!$A$6:$A$1005,0))),""))</f>
        <v/>
      </c>
      <c r="M624" s="33">
        <f>IF($D624="","",IFERROR(IF(INDEX(RUNS!$F$6:$F$1005,MATCH($D624,RUNS!$A$6:$A$1005,0))="","",INDEX(RUNS!$F$6:$F$1005,MATCH($D624,RUNS!$A$6:$A$1005,0))),""))</f>
        <v/>
      </c>
      <c r="N624" s="33">
        <f>IF($D624="","",IFERROR(IF(INDEX(RUNS!$G$6:$G$1005,MATCH($D624,RUNS!$A$6:$A$1005,0))="","",INDEX(RUNS!$G$6:$G$1005,MATCH($D624,RUNS!$A$6:$A$1005,0))),""))</f>
        <v/>
      </c>
      <c r="O624" s="33">
        <f>IF($D624="","",IFERROR(IF(INDEX(RUNS!$H$6:$H$1005,MATCH($D624,RUNS!$A$6:$A$1005,0))="","",INDEX(RUNS!$H$6:$H$1005,MATCH($D624,RUNS!$A$6:$A$1005,0))),""))</f>
        <v/>
      </c>
      <c r="P624" s="33">
        <f>IF($D624="","",IFERROR(IF(INDEX(RUNS!$J$6:$J$1005,MATCH($D624,RUNS!$A$6:$A$1005,0))="","",INDEX(RUNS!$J$6:$J$1005,MATCH($D624,RUNS!$A$6:$A$1005,0))),""))</f>
        <v/>
      </c>
      <c r="Q624" s="33">
        <f>IF($D624="","",IFERROR(IF(INDEX(RUNS!$K$6:$K$1005,MATCH($D624,RUNS!$A$6:$A$1005,0))="","",INDEX(RUNS!$K$6:$K$1005,MATCH($D624,RUNS!$A$6:$A$1005,0))),""))</f>
        <v/>
      </c>
      <c r="R624" s="34">
        <f>IF(OR($L624="",$K624=""),"",IFERROR(IF(INDEX(PARAMETRES!$H$43:$H$342,MATCH($L624&amp;"|"&amp;$M624&amp;"|"&amp;$N624&amp;"|"&amp;$O624&amp;"|"&amp;$P624&amp;"|"&amp;$Q624&amp;"|"&amp;$K624,PARAMETRES!$J$43:$J$342,0))="","",INDEX(PARAMETRES!$H$43:$H$342,MATCH($L624&amp;"|"&amp;$M624&amp;"|"&amp;$N624&amp;"|"&amp;$O624&amp;"|"&amp;$P624&amp;"|"&amp;$Q624&amp;"|"&amp;$K624,PARAMETRES!$J$43:$J$342,0))),""))</f>
        <v/>
      </c>
      <c r="S624" s="35">
        <f>IF(OR($G624="",$X624&lt;&gt;"VALIDE"),"",IFERROR(LOOKUP(2,1/(($B$3:$B623=$B624)*($G$3:$G623=$G624)*($X$3:$X623="VALIDE")),$C$3:$C623),""))</f>
        <v/>
      </c>
      <c r="T624" s="36">
        <f>IF(OR($C624="",$S624=""),"",ROUND(($C624-$S624+IF($C624&lt;$S624,1,0))*1440,0))</f>
        <v/>
      </c>
      <c r="U624" s="22">
        <f>IF(OR($H624="",$T624="",$T624&lt;=0),"",$H624*60/$T624)</f>
        <v/>
      </c>
      <c r="V624" s="37">
        <f>IF(OR($U624="",$R624="",$R624=0),"",$U624/$R624)</f>
        <v/>
      </c>
      <c r="W624" s="20">
        <f>IF($G624="","",IF($X624="CONTEXTE INCOMPLET","CONTEXTE INCOMPLET",IF($X624="DOUBLON",StatutDoublon,IF($S624="",StatutInitial,IF($R624="",StatutStandardManquant,IF($V624="","DONNEES INSUFFISANTES",IF($V624&gt;=SeuilConforme,StatutConforme,IF($V624&gt;=SeuilSurveiller,StatutSurveiller,StatutSousStandard))))))))</f>
        <v/>
      </c>
      <c r="X624" s="33">
        <f>IF($G624="","",IF(OR($D624="",$E624="",$F624=""),"CONTEXTE INCOMPLET",IF(COUNTIFS($D$3:$D623,$D624,$E$3:$E623,$E624,$F$3:$F623,$F624,$G$3:$G623,$G624)&gt;0,"DOUBLON","VALIDE")))</f>
        <v/>
      </c>
    </row>
    <row r="625" ht="15" customHeight="1">
      <c r="A625" s="12">
        <f>IF(OR($B625="",$G625=""),"",TEXT($B625,"YYYYMMDD")&amp;"-"&amp;SUBSTITUTE($E625," ","")&amp;"-"&amp;$F625&amp;"-"&amp;$G625)</f>
        <v/>
      </c>
      <c r="B625" s="15" t="n"/>
      <c r="C625" s="16" t="n"/>
      <c r="D625" s="10" t="n"/>
      <c r="E625" s="9" t="n"/>
      <c r="F625" s="9" t="n"/>
      <c r="G625" s="13" t="n"/>
      <c r="H625" s="21" t="n"/>
      <c r="I625" s="21" t="n"/>
      <c r="J625" s="17">
        <f>IF($G625="","",IFERROR(INDEX(NomsEmployes,MATCH($G625,MatriculesEmployes,0)),"MATRICULE INCONNU"))</f>
        <v/>
      </c>
      <c r="K625" s="33">
        <f>IF(OR($D625="",$F625=""),"",IFERROR(IF(INDEX(RUNS!$L$6:$S$1005,MATCH($D625,RUNS!$A$6:$A$1005,0),MATCH("ACTIVITÉ "&amp;$F625,RUNS!$L$5:$S$5,0))="","",INDEX(RUNS!$L$6:$S$1005,MATCH($D625,RUNS!$A$6:$A$1005,0),MATCH("ACTIVITÉ "&amp;$F625,RUNS!$L$5:$S$5,0))),""))</f>
        <v/>
      </c>
      <c r="L625" s="33">
        <f>IF($D625="","",IFERROR(IF(INDEX(RUNS!$E$6:$E$1005,MATCH($D625,RUNS!$A$6:$A$1005,0))="","",INDEX(RUNS!$E$6:$E$1005,MATCH($D625,RUNS!$A$6:$A$1005,0))),""))</f>
        <v/>
      </c>
      <c r="M625" s="33">
        <f>IF($D625="","",IFERROR(IF(INDEX(RUNS!$F$6:$F$1005,MATCH($D625,RUNS!$A$6:$A$1005,0))="","",INDEX(RUNS!$F$6:$F$1005,MATCH($D625,RUNS!$A$6:$A$1005,0))),""))</f>
        <v/>
      </c>
      <c r="N625" s="33">
        <f>IF($D625="","",IFERROR(IF(INDEX(RUNS!$G$6:$G$1005,MATCH($D625,RUNS!$A$6:$A$1005,0))="","",INDEX(RUNS!$G$6:$G$1005,MATCH($D625,RUNS!$A$6:$A$1005,0))),""))</f>
        <v/>
      </c>
      <c r="O625" s="33">
        <f>IF($D625="","",IFERROR(IF(INDEX(RUNS!$H$6:$H$1005,MATCH($D625,RUNS!$A$6:$A$1005,0))="","",INDEX(RUNS!$H$6:$H$1005,MATCH($D625,RUNS!$A$6:$A$1005,0))),""))</f>
        <v/>
      </c>
      <c r="P625" s="33">
        <f>IF($D625="","",IFERROR(IF(INDEX(RUNS!$J$6:$J$1005,MATCH($D625,RUNS!$A$6:$A$1005,0))="","",INDEX(RUNS!$J$6:$J$1005,MATCH($D625,RUNS!$A$6:$A$1005,0))),""))</f>
        <v/>
      </c>
      <c r="Q625" s="33">
        <f>IF($D625="","",IFERROR(IF(INDEX(RUNS!$K$6:$K$1005,MATCH($D625,RUNS!$A$6:$A$1005,0))="","",INDEX(RUNS!$K$6:$K$1005,MATCH($D625,RUNS!$A$6:$A$1005,0))),""))</f>
        <v/>
      </c>
      <c r="R625" s="34">
        <f>IF(OR($L625="",$K625=""),"",IFERROR(IF(INDEX(PARAMETRES!$H$43:$H$342,MATCH($L625&amp;"|"&amp;$M625&amp;"|"&amp;$N625&amp;"|"&amp;$O625&amp;"|"&amp;$P625&amp;"|"&amp;$Q625&amp;"|"&amp;$K625,PARAMETRES!$J$43:$J$342,0))="","",INDEX(PARAMETRES!$H$43:$H$342,MATCH($L625&amp;"|"&amp;$M625&amp;"|"&amp;$N625&amp;"|"&amp;$O625&amp;"|"&amp;$P625&amp;"|"&amp;$Q625&amp;"|"&amp;$K625,PARAMETRES!$J$43:$J$342,0))),""))</f>
        <v/>
      </c>
      <c r="S625" s="35">
        <f>IF(OR($G625="",$X625&lt;&gt;"VALIDE"),"",IFERROR(LOOKUP(2,1/(($B$3:$B624=$B625)*($G$3:$G624=$G625)*($X$3:$X624="VALIDE")),$C$3:$C624),""))</f>
        <v/>
      </c>
      <c r="T625" s="36">
        <f>IF(OR($C625="",$S625=""),"",ROUND(($C625-$S625+IF($C625&lt;$S625,1,0))*1440,0))</f>
        <v/>
      </c>
      <c r="U625" s="22">
        <f>IF(OR($H625="",$T625="",$T625&lt;=0),"",$H625*60/$T625)</f>
        <v/>
      </c>
      <c r="V625" s="37">
        <f>IF(OR($U625="",$R625="",$R625=0),"",$U625/$R625)</f>
        <v/>
      </c>
      <c r="W625" s="20">
        <f>IF($G625="","",IF($X625="CONTEXTE INCOMPLET","CONTEXTE INCOMPLET",IF($X625="DOUBLON",StatutDoublon,IF($S625="",StatutInitial,IF($R625="",StatutStandardManquant,IF($V625="","DONNEES INSUFFISANTES",IF($V625&gt;=SeuilConforme,StatutConforme,IF($V625&gt;=SeuilSurveiller,StatutSurveiller,StatutSousStandard))))))))</f>
        <v/>
      </c>
      <c r="X625" s="33">
        <f>IF($G625="","",IF(OR($D625="",$E625="",$F625=""),"CONTEXTE INCOMPLET",IF(COUNTIFS($D$3:$D624,$D625,$E$3:$E624,$E625,$F$3:$F624,$F625,$G$3:$G624,$G625)&gt;0,"DOUBLON","VALIDE")))</f>
        <v/>
      </c>
    </row>
    <row r="626" ht="15" customHeight="1">
      <c r="A626" s="12">
        <f>IF(OR($B626="",$G626=""),"",TEXT($B626,"YYYYMMDD")&amp;"-"&amp;SUBSTITUTE($E626," ","")&amp;"-"&amp;$F626&amp;"-"&amp;$G626)</f>
        <v/>
      </c>
      <c r="B626" s="15" t="n"/>
      <c r="C626" s="16" t="n"/>
      <c r="D626" s="10" t="n"/>
      <c r="E626" s="9" t="n"/>
      <c r="F626" s="9" t="n"/>
      <c r="G626" s="13" t="n"/>
      <c r="H626" s="21" t="n"/>
      <c r="I626" s="21" t="n"/>
      <c r="J626" s="17">
        <f>IF($G626="","",IFERROR(INDEX(NomsEmployes,MATCH($G626,MatriculesEmployes,0)),"MATRICULE INCONNU"))</f>
        <v/>
      </c>
      <c r="K626" s="33">
        <f>IF(OR($D626="",$F626=""),"",IFERROR(IF(INDEX(RUNS!$L$6:$S$1005,MATCH($D626,RUNS!$A$6:$A$1005,0),MATCH("ACTIVITÉ "&amp;$F626,RUNS!$L$5:$S$5,0))="","",INDEX(RUNS!$L$6:$S$1005,MATCH($D626,RUNS!$A$6:$A$1005,0),MATCH("ACTIVITÉ "&amp;$F626,RUNS!$L$5:$S$5,0))),""))</f>
        <v/>
      </c>
      <c r="L626" s="33">
        <f>IF($D626="","",IFERROR(IF(INDEX(RUNS!$E$6:$E$1005,MATCH($D626,RUNS!$A$6:$A$1005,0))="","",INDEX(RUNS!$E$6:$E$1005,MATCH($D626,RUNS!$A$6:$A$1005,0))),""))</f>
        <v/>
      </c>
      <c r="M626" s="33">
        <f>IF($D626="","",IFERROR(IF(INDEX(RUNS!$F$6:$F$1005,MATCH($D626,RUNS!$A$6:$A$1005,0))="","",INDEX(RUNS!$F$6:$F$1005,MATCH($D626,RUNS!$A$6:$A$1005,0))),""))</f>
        <v/>
      </c>
      <c r="N626" s="33">
        <f>IF($D626="","",IFERROR(IF(INDEX(RUNS!$G$6:$G$1005,MATCH($D626,RUNS!$A$6:$A$1005,0))="","",INDEX(RUNS!$G$6:$G$1005,MATCH($D626,RUNS!$A$6:$A$1005,0))),""))</f>
        <v/>
      </c>
      <c r="O626" s="33">
        <f>IF($D626="","",IFERROR(IF(INDEX(RUNS!$H$6:$H$1005,MATCH($D626,RUNS!$A$6:$A$1005,0))="","",INDEX(RUNS!$H$6:$H$1005,MATCH($D626,RUNS!$A$6:$A$1005,0))),""))</f>
        <v/>
      </c>
      <c r="P626" s="33">
        <f>IF($D626="","",IFERROR(IF(INDEX(RUNS!$J$6:$J$1005,MATCH($D626,RUNS!$A$6:$A$1005,0))="","",INDEX(RUNS!$J$6:$J$1005,MATCH($D626,RUNS!$A$6:$A$1005,0))),""))</f>
        <v/>
      </c>
      <c r="Q626" s="33">
        <f>IF($D626="","",IFERROR(IF(INDEX(RUNS!$K$6:$K$1005,MATCH($D626,RUNS!$A$6:$A$1005,0))="","",INDEX(RUNS!$K$6:$K$1005,MATCH($D626,RUNS!$A$6:$A$1005,0))),""))</f>
        <v/>
      </c>
      <c r="R626" s="34">
        <f>IF(OR($L626="",$K626=""),"",IFERROR(IF(INDEX(PARAMETRES!$H$43:$H$342,MATCH($L626&amp;"|"&amp;$M626&amp;"|"&amp;$N626&amp;"|"&amp;$O626&amp;"|"&amp;$P626&amp;"|"&amp;$Q626&amp;"|"&amp;$K626,PARAMETRES!$J$43:$J$342,0))="","",INDEX(PARAMETRES!$H$43:$H$342,MATCH($L626&amp;"|"&amp;$M626&amp;"|"&amp;$N626&amp;"|"&amp;$O626&amp;"|"&amp;$P626&amp;"|"&amp;$Q626&amp;"|"&amp;$K626,PARAMETRES!$J$43:$J$342,0))),""))</f>
        <v/>
      </c>
      <c r="S626" s="35">
        <f>IF(OR($G626="",$X626&lt;&gt;"VALIDE"),"",IFERROR(LOOKUP(2,1/(($B$3:$B625=$B626)*($G$3:$G625=$G626)*($X$3:$X625="VALIDE")),$C$3:$C625),""))</f>
        <v/>
      </c>
      <c r="T626" s="36">
        <f>IF(OR($C626="",$S626=""),"",ROUND(($C626-$S626+IF($C626&lt;$S626,1,0))*1440,0))</f>
        <v/>
      </c>
      <c r="U626" s="22">
        <f>IF(OR($H626="",$T626="",$T626&lt;=0),"",$H626*60/$T626)</f>
        <v/>
      </c>
      <c r="V626" s="37">
        <f>IF(OR($U626="",$R626="",$R626=0),"",$U626/$R626)</f>
        <v/>
      </c>
      <c r="W626" s="20">
        <f>IF($G626="","",IF($X626="CONTEXTE INCOMPLET","CONTEXTE INCOMPLET",IF($X626="DOUBLON",StatutDoublon,IF($S626="",StatutInitial,IF($R626="",StatutStandardManquant,IF($V626="","DONNEES INSUFFISANTES",IF($V626&gt;=SeuilConforme,StatutConforme,IF($V626&gt;=SeuilSurveiller,StatutSurveiller,StatutSousStandard))))))))</f>
        <v/>
      </c>
      <c r="X626" s="33">
        <f>IF($G626="","",IF(OR($D626="",$E626="",$F626=""),"CONTEXTE INCOMPLET",IF(COUNTIFS($D$3:$D625,$D626,$E$3:$E625,$E626,$F$3:$F625,$F626,$G$3:$G625,$G626)&gt;0,"DOUBLON","VALIDE")))</f>
        <v/>
      </c>
    </row>
    <row r="627" ht="15" customHeight="1">
      <c r="A627" s="12">
        <f>IF(OR($B627="",$G627=""),"",TEXT($B627,"YYYYMMDD")&amp;"-"&amp;SUBSTITUTE($E627," ","")&amp;"-"&amp;$F627&amp;"-"&amp;$G627)</f>
        <v/>
      </c>
      <c r="B627" s="15" t="n"/>
      <c r="C627" s="16" t="n"/>
      <c r="D627" s="10" t="n"/>
      <c r="E627" s="9" t="n"/>
      <c r="F627" s="9" t="n"/>
      <c r="G627" s="13" t="n"/>
      <c r="H627" s="21" t="n"/>
      <c r="I627" s="21" t="n"/>
      <c r="J627" s="17">
        <f>IF($G627="","",IFERROR(INDEX(NomsEmployes,MATCH($G627,MatriculesEmployes,0)),"MATRICULE INCONNU"))</f>
        <v/>
      </c>
      <c r="K627" s="33">
        <f>IF(OR($D627="",$F627=""),"",IFERROR(IF(INDEX(RUNS!$L$6:$S$1005,MATCH($D627,RUNS!$A$6:$A$1005,0),MATCH("ACTIVITÉ "&amp;$F627,RUNS!$L$5:$S$5,0))="","",INDEX(RUNS!$L$6:$S$1005,MATCH($D627,RUNS!$A$6:$A$1005,0),MATCH("ACTIVITÉ "&amp;$F627,RUNS!$L$5:$S$5,0))),""))</f>
        <v/>
      </c>
      <c r="L627" s="33">
        <f>IF($D627="","",IFERROR(IF(INDEX(RUNS!$E$6:$E$1005,MATCH($D627,RUNS!$A$6:$A$1005,0))="","",INDEX(RUNS!$E$6:$E$1005,MATCH($D627,RUNS!$A$6:$A$1005,0))),""))</f>
        <v/>
      </c>
      <c r="M627" s="33">
        <f>IF($D627="","",IFERROR(IF(INDEX(RUNS!$F$6:$F$1005,MATCH($D627,RUNS!$A$6:$A$1005,0))="","",INDEX(RUNS!$F$6:$F$1005,MATCH($D627,RUNS!$A$6:$A$1005,0))),""))</f>
        <v/>
      </c>
      <c r="N627" s="33">
        <f>IF($D627="","",IFERROR(IF(INDEX(RUNS!$G$6:$G$1005,MATCH($D627,RUNS!$A$6:$A$1005,0))="","",INDEX(RUNS!$G$6:$G$1005,MATCH($D627,RUNS!$A$6:$A$1005,0))),""))</f>
        <v/>
      </c>
      <c r="O627" s="33">
        <f>IF($D627="","",IFERROR(IF(INDEX(RUNS!$H$6:$H$1005,MATCH($D627,RUNS!$A$6:$A$1005,0))="","",INDEX(RUNS!$H$6:$H$1005,MATCH($D627,RUNS!$A$6:$A$1005,0))),""))</f>
        <v/>
      </c>
      <c r="P627" s="33">
        <f>IF($D627="","",IFERROR(IF(INDEX(RUNS!$J$6:$J$1005,MATCH($D627,RUNS!$A$6:$A$1005,0))="","",INDEX(RUNS!$J$6:$J$1005,MATCH($D627,RUNS!$A$6:$A$1005,0))),""))</f>
        <v/>
      </c>
      <c r="Q627" s="33">
        <f>IF($D627="","",IFERROR(IF(INDEX(RUNS!$K$6:$K$1005,MATCH($D627,RUNS!$A$6:$A$1005,0))="","",INDEX(RUNS!$K$6:$K$1005,MATCH($D627,RUNS!$A$6:$A$1005,0))),""))</f>
        <v/>
      </c>
      <c r="R627" s="34">
        <f>IF(OR($L627="",$K627=""),"",IFERROR(IF(INDEX(PARAMETRES!$H$43:$H$342,MATCH($L627&amp;"|"&amp;$M627&amp;"|"&amp;$N627&amp;"|"&amp;$O627&amp;"|"&amp;$P627&amp;"|"&amp;$Q627&amp;"|"&amp;$K627,PARAMETRES!$J$43:$J$342,0))="","",INDEX(PARAMETRES!$H$43:$H$342,MATCH($L627&amp;"|"&amp;$M627&amp;"|"&amp;$N627&amp;"|"&amp;$O627&amp;"|"&amp;$P627&amp;"|"&amp;$Q627&amp;"|"&amp;$K627,PARAMETRES!$J$43:$J$342,0))),""))</f>
        <v/>
      </c>
      <c r="S627" s="35">
        <f>IF(OR($G627="",$X627&lt;&gt;"VALIDE"),"",IFERROR(LOOKUP(2,1/(($B$3:$B626=$B627)*($G$3:$G626=$G627)*($X$3:$X626="VALIDE")),$C$3:$C626),""))</f>
        <v/>
      </c>
      <c r="T627" s="36">
        <f>IF(OR($C627="",$S627=""),"",ROUND(($C627-$S627+IF($C627&lt;$S627,1,0))*1440,0))</f>
        <v/>
      </c>
      <c r="U627" s="22">
        <f>IF(OR($H627="",$T627="",$T627&lt;=0),"",$H627*60/$T627)</f>
        <v/>
      </c>
      <c r="V627" s="37">
        <f>IF(OR($U627="",$R627="",$R627=0),"",$U627/$R627)</f>
        <v/>
      </c>
      <c r="W627" s="20">
        <f>IF($G627="","",IF($X627="CONTEXTE INCOMPLET","CONTEXTE INCOMPLET",IF($X627="DOUBLON",StatutDoublon,IF($S627="",StatutInitial,IF($R627="",StatutStandardManquant,IF($V627="","DONNEES INSUFFISANTES",IF($V627&gt;=SeuilConforme,StatutConforme,IF($V627&gt;=SeuilSurveiller,StatutSurveiller,StatutSousStandard))))))))</f>
        <v/>
      </c>
      <c r="X627" s="33">
        <f>IF($G627="","",IF(OR($D627="",$E627="",$F627=""),"CONTEXTE INCOMPLET",IF(COUNTIFS($D$3:$D626,$D627,$E$3:$E626,$E627,$F$3:$F626,$F627,$G$3:$G626,$G627)&gt;0,"DOUBLON","VALIDE")))</f>
        <v/>
      </c>
    </row>
    <row r="628" ht="15" customHeight="1">
      <c r="A628" s="12">
        <f>IF(OR($B628="",$G628=""),"",TEXT($B628,"YYYYMMDD")&amp;"-"&amp;SUBSTITUTE($E628," ","")&amp;"-"&amp;$F628&amp;"-"&amp;$G628)</f>
        <v/>
      </c>
      <c r="B628" s="15" t="n"/>
      <c r="C628" s="16" t="n"/>
      <c r="D628" s="10" t="n"/>
      <c r="E628" s="9" t="n"/>
      <c r="F628" s="9" t="n"/>
      <c r="G628" s="13" t="n"/>
      <c r="H628" s="21" t="n"/>
      <c r="I628" s="21" t="n"/>
      <c r="J628" s="17">
        <f>IF($G628="","",IFERROR(INDEX(NomsEmployes,MATCH($G628,MatriculesEmployes,0)),"MATRICULE INCONNU"))</f>
        <v/>
      </c>
      <c r="K628" s="33">
        <f>IF(OR($D628="",$F628=""),"",IFERROR(IF(INDEX(RUNS!$L$6:$S$1005,MATCH($D628,RUNS!$A$6:$A$1005,0),MATCH("ACTIVITÉ "&amp;$F628,RUNS!$L$5:$S$5,0))="","",INDEX(RUNS!$L$6:$S$1005,MATCH($D628,RUNS!$A$6:$A$1005,0),MATCH("ACTIVITÉ "&amp;$F628,RUNS!$L$5:$S$5,0))),""))</f>
        <v/>
      </c>
      <c r="L628" s="33">
        <f>IF($D628="","",IFERROR(IF(INDEX(RUNS!$E$6:$E$1005,MATCH($D628,RUNS!$A$6:$A$1005,0))="","",INDEX(RUNS!$E$6:$E$1005,MATCH($D628,RUNS!$A$6:$A$1005,0))),""))</f>
        <v/>
      </c>
      <c r="M628" s="33">
        <f>IF($D628="","",IFERROR(IF(INDEX(RUNS!$F$6:$F$1005,MATCH($D628,RUNS!$A$6:$A$1005,0))="","",INDEX(RUNS!$F$6:$F$1005,MATCH($D628,RUNS!$A$6:$A$1005,0))),""))</f>
        <v/>
      </c>
      <c r="N628" s="33">
        <f>IF($D628="","",IFERROR(IF(INDEX(RUNS!$G$6:$G$1005,MATCH($D628,RUNS!$A$6:$A$1005,0))="","",INDEX(RUNS!$G$6:$G$1005,MATCH($D628,RUNS!$A$6:$A$1005,0))),""))</f>
        <v/>
      </c>
      <c r="O628" s="33">
        <f>IF($D628="","",IFERROR(IF(INDEX(RUNS!$H$6:$H$1005,MATCH($D628,RUNS!$A$6:$A$1005,0))="","",INDEX(RUNS!$H$6:$H$1005,MATCH($D628,RUNS!$A$6:$A$1005,0))),""))</f>
        <v/>
      </c>
      <c r="P628" s="33">
        <f>IF($D628="","",IFERROR(IF(INDEX(RUNS!$J$6:$J$1005,MATCH($D628,RUNS!$A$6:$A$1005,0))="","",INDEX(RUNS!$J$6:$J$1005,MATCH($D628,RUNS!$A$6:$A$1005,0))),""))</f>
        <v/>
      </c>
      <c r="Q628" s="33">
        <f>IF($D628="","",IFERROR(IF(INDEX(RUNS!$K$6:$K$1005,MATCH($D628,RUNS!$A$6:$A$1005,0))="","",INDEX(RUNS!$K$6:$K$1005,MATCH($D628,RUNS!$A$6:$A$1005,0))),""))</f>
        <v/>
      </c>
      <c r="R628" s="34">
        <f>IF(OR($L628="",$K628=""),"",IFERROR(IF(INDEX(PARAMETRES!$H$43:$H$342,MATCH($L628&amp;"|"&amp;$M628&amp;"|"&amp;$N628&amp;"|"&amp;$O628&amp;"|"&amp;$P628&amp;"|"&amp;$Q628&amp;"|"&amp;$K628,PARAMETRES!$J$43:$J$342,0))="","",INDEX(PARAMETRES!$H$43:$H$342,MATCH($L628&amp;"|"&amp;$M628&amp;"|"&amp;$N628&amp;"|"&amp;$O628&amp;"|"&amp;$P628&amp;"|"&amp;$Q628&amp;"|"&amp;$K628,PARAMETRES!$J$43:$J$342,0))),""))</f>
        <v/>
      </c>
      <c r="S628" s="35">
        <f>IF(OR($G628="",$X628&lt;&gt;"VALIDE"),"",IFERROR(LOOKUP(2,1/(($B$3:$B627=$B628)*($G$3:$G627=$G628)*($X$3:$X627="VALIDE")),$C$3:$C627),""))</f>
        <v/>
      </c>
      <c r="T628" s="36">
        <f>IF(OR($C628="",$S628=""),"",ROUND(($C628-$S628+IF($C628&lt;$S628,1,0))*1440,0))</f>
        <v/>
      </c>
      <c r="U628" s="22">
        <f>IF(OR($H628="",$T628="",$T628&lt;=0),"",$H628*60/$T628)</f>
        <v/>
      </c>
      <c r="V628" s="37">
        <f>IF(OR($U628="",$R628="",$R628=0),"",$U628/$R628)</f>
        <v/>
      </c>
      <c r="W628" s="20">
        <f>IF($G628="","",IF($X628="CONTEXTE INCOMPLET","CONTEXTE INCOMPLET",IF($X628="DOUBLON",StatutDoublon,IF($S628="",StatutInitial,IF($R628="",StatutStandardManquant,IF($V628="","DONNEES INSUFFISANTES",IF($V628&gt;=SeuilConforme,StatutConforme,IF($V628&gt;=SeuilSurveiller,StatutSurveiller,StatutSousStandard))))))))</f>
        <v/>
      </c>
      <c r="X628" s="33">
        <f>IF($G628="","",IF(OR($D628="",$E628="",$F628=""),"CONTEXTE INCOMPLET",IF(COUNTIFS($D$3:$D627,$D628,$E$3:$E627,$E628,$F$3:$F627,$F628,$G$3:$G627,$G628)&gt;0,"DOUBLON","VALIDE")))</f>
        <v/>
      </c>
    </row>
    <row r="629" ht="15" customHeight="1">
      <c r="A629" s="12">
        <f>IF(OR($B629="",$G629=""),"",TEXT($B629,"YYYYMMDD")&amp;"-"&amp;SUBSTITUTE($E629," ","")&amp;"-"&amp;$F629&amp;"-"&amp;$G629)</f>
        <v/>
      </c>
      <c r="B629" s="15" t="n"/>
      <c r="C629" s="16" t="n"/>
      <c r="D629" s="10" t="n"/>
      <c r="E629" s="9" t="n"/>
      <c r="F629" s="9" t="n"/>
      <c r="G629" s="13" t="n"/>
      <c r="H629" s="21" t="n"/>
      <c r="I629" s="21" t="n"/>
      <c r="J629" s="17">
        <f>IF($G629="","",IFERROR(INDEX(NomsEmployes,MATCH($G629,MatriculesEmployes,0)),"MATRICULE INCONNU"))</f>
        <v/>
      </c>
      <c r="K629" s="33">
        <f>IF(OR($D629="",$F629=""),"",IFERROR(IF(INDEX(RUNS!$L$6:$S$1005,MATCH($D629,RUNS!$A$6:$A$1005,0),MATCH("ACTIVITÉ "&amp;$F629,RUNS!$L$5:$S$5,0))="","",INDEX(RUNS!$L$6:$S$1005,MATCH($D629,RUNS!$A$6:$A$1005,0),MATCH("ACTIVITÉ "&amp;$F629,RUNS!$L$5:$S$5,0))),""))</f>
        <v/>
      </c>
      <c r="L629" s="33">
        <f>IF($D629="","",IFERROR(IF(INDEX(RUNS!$E$6:$E$1005,MATCH($D629,RUNS!$A$6:$A$1005,0))="","",INDEX(RUNS!$E$6:$E$1005,MATCH($D629,RUNS!$A$6:$A$1005,0))),""))</f>
        <v/>
      </c>
      <c r="M629" s="33">
        <f>IF($D629="","",IFERROR(IF(INDEX(RUNS!$F$6:$F$1005,MATCH($D629,RUNS!$A$6:$A$1005,0))="","",INDEX(RUNS!$F$6:$F$1005,MATCH($D629,RUNS!$A$6:$A$1005,0))),""))</f>
        <v/>
      </c>
      <c r="N629" s="33">
        <f>IF($D629="","",IFERROR(IF(INDEX(RUNS!$G$6:$G$1005,MATCH($D629,RUNS!$A$6:$A$1005,0))="","",INDEX(RUNS!$G$6:$G$1005,MATCH($D629,RUNS!$A$6:$A$1005,0))),""))</f>
        <v/>
      </c>
      <c r="O629" s="33">
        <f>IF($D629="","",IFERROR(IF(INDEX(RUNS!$H$6:$H$1005,MATCH($D629,RUNS!$A$6:$A$1005,0))="","",INDEX(RUNS!$H$6:$H$1005,MATCH($D629,RUNS!$A$6:$A$1005,0))),""))</f>
        <v/>
      </c>
      <c r="P629" s="33">
        <f>IF($D629="","",IFERROR(IF(INDEX(RUNS!$J$6:$J$1005,MATCH($D629,RUNS!$A$6:$A$1005,0))="","",INDEX(RUNS!$J$6:$J$1005,MATCH($D629,RUNS!$A$6:$A$1005,0))),""))</f>
        <v/>
      </c>
      <c r="Q629" s="33">
        <f>IF($D629="","",IFERROR(IF(INDEX(RUNS!$K$6:$K$1005,MATCH($D629,RUNS!$A$6:$A$1005,0))="","",INDEX(RUNS!$K$6:$K$1005,MATCH($D629,RUNS!$A$6:$A$1005,0))),""))</f>
        <v/>
      </c>
      <c r="R629" s="34">
        <f>IF(OR($L629="",$K629=""),"",IFERROR(IF(INDEX(PARAMETRES!$H$43:$H$342,MATCH($L629&amp;"|"&amp;$M629&amp;"|"&amp;$N629&amp;"|"&amp;$O629&amp;"|"&amp;$P629&amp;"|"&amp;$Q629&amp;"|"&amp;$K629,PARAMETRES!$J$43:$J$342,0))="","",INDEX(PARAMETRES!$H$43:$H$342,MATCH($L629&amp;"|"&amp;$M629&amp;"|"&amp;$N629&amp;"|"&amp;$O629&amp;"|"&amp;$P629&amp;"|"&amp;$Q629&amp;"|"&amp;$K629,PARAMETRES!$J$43:$J$342,0))),""))</f>
        <v/>
      </c>
      <c r="S629" s="35">
        <f>IF(OR($G629="",$X629&lt;&gt;"VALIDE"),"",IFERROR(LOOKUP(2,1/(($B$3:$B628=$B629)*($G$3:$G628=$G629)*($X$3:$X628="VALIDE")),$C$3:$C628),""))</f>
        <v/>
      </c>
      <c r="T629" s="36">
        <f>IF(OR($C629="",$S629=""),"",ROUND(($C629-$S629+IF($C629&lt;$S629,1,0))*1440,0))</f>
        <v/>
      </c>
      <c r="U629" s="22">
        <f>IF(OR($H629="",$T629="",$T629&lt;=0),"",$H629*60/$T629)</f>
        <v/>
      </c>
      <c r="V629" s="37">
        <f>IF(OR($U629="",$R629="",$R629=0),"",$U629/$R629)</f>
        <v/>
      </c>
      <c r="W629" s="20">
        <f>IF($G629="","",IF($X629="CONTEXTE INCOMPLET","CONTEXTE INCOMPLET",IF($X629="DOUBLON",StatutDoublon,IF($S629="",StatutInitial,IF($R629="",StatutStandardManquant,IF($V629="","DONNEES INSUFFISANTES",IF($V629&gt;=SeuilConforme,StatutConforme,IF($V629&gt;=SeuilSurveiller,StatutSurveiller,StatutSousStandard))))))))</f>
        <v/>
      </c>
      <c r="X629" s="33">
        <f>IF($G629="","",IF(OR($D629="",$E629="",$F629=""),"CONTEXTE INCOMPLET",IF(COUNTIFS($D$3:$D628,$D629,$E$3:$E628,$E629,$F$3:$F628,$F629,$G$3:$G628,$G629)&gt;0,"DOUBLON","VALIDE")))</f>
        <v/>
      </c>
    </row>
    <row r="630" ht="15" customHeight="1">
      <c r="A630" s="12">
        <f>IF(OR($B630="",$G630=""),"",TEXT($B630,"YYYYMMDD")&amp;"-"&amp;SUBSTITUTE($E630," ","")&amp;"-"&amp;$F630&amp;"-"&amp;$G630)</f>
        <v/>
      </c>
      <c r="B630" s="15" t="n"/>
      <c r="C630" s="16" t="n"/>
      <c r="D630" s="10" t="n"/>
      <c r="E630" s="9" t="n"/>
      <c r="F630" s="9" t="n"/>
      <c r="G630" s="13" t="n"/>
      <c r="H630" s="21" t="n"/>
      <c r="I630" s="21" t="n"/>
      <c r="J630" s="17">
        <f>IF($G630="","",IFERROR(INDEX(NomsEmployes,MATCH($G630,MatriculesEmployes,0)),"MATRICULE INCONNU"))</f>
        <v/>
      </c>
      <c r="K630" s="33">
        <f>IF(OR($D630="",$F630=""),"",IFERROR(IF(INDEX(RUNS!$L$6:$S$1005,MATCH($D630,RUNS!$A$6:$A$1005,0),MATCH("ACTIVITÉ "&amp;$F630,RUNS!$L$5:$S$5,0))="","",INDEX(RUNS!$L$6:$S$1005,MATCH($D630,RUNS!$A$6:$A$1005,0),MATCH("ACTIVITÉ "&amp;$F630,RUNS!$L$5:$S$5,0))),""))</f>
        <v/>
      </c>
      <c r="L630" s="33">
        <f>IF($D630="","",IFERROR(IF(INDEX(RUNS!$E$6:$E$1005,MATCH($D630,RUNS!$A$6:$A$1005,0))="","",INDEX(RUNS!$E$6:$E$1005,MATCH($D630,RUNS!$A$6:$A$1005,0))),""))</f>
        <v/>
      </c>
      <c r="M630" s="33">
        <f>IF($D630="","",IFERROR(IF(INDEX(RUNS!$F$6:$F$1005,MATCH($D630,RUNS!$A$6:$A$1005,0))="","",INDEX(RUNS!$F$6:$F$1005,MATCH($D630,RUNS!$A$6:$A$1005,0))),""))</f>
        <v/>
      </c>
      <c r="N630" s="33">
        <f>IF($D630="","",IFERROR(IF(INDEX(RUNS!$G$6:$G$1005,MATCH($D630,RUNS!$A$6:$A$1005,0))="","",INDEX(RUNS!$G$6:$G$1005,MATCH($D630,RUNS!$A$6:$A$1005,0))),""))</f>
        <v/>
      </c>
      <c r="O630" s="33">
        <f>IF($D630="","",IFERROR(IF(INDEX(RUNS!$H$6:$H$1005,MATCH($D630,RUNS!$A$6:$A$1005,0))="","",INDEX(RUNS!$H$6:$H$1005,MATCH($D630,RUNS!$A$6:$A$1005,0))),""))</f>
        <v/>
      </c>
      <c r="P630" s="33">
        <f>IF($D630="","",IFERROR(IF(INDEX(RUNS!$J$6:$J$1005,MATCH($D630,RUNS!$A$6:$A$1005,0))="","",INDEX(RUNS!$J$6:$J$1005,MATCH($D630,RUNS!$A$6:$A$1005,0))),""))</f>
        <v/>
      </c>
      <c r="Q630" s="33">
        <f>IF($D630="","",IFERROR(IF(INDEX(RUNS!$K$6:$K$1005,MATCH($D630,RUNS!$A$6:$A$1005,0))="","",INDEX(RUNS!$K$6:$K$1005,MATCH($D630,RUNS!$A$6:$A$1005,0))),""))</f>
        <v/>
      </c>
      <c r="R630" s="34">
        <f>IF(OR($L630="",$K630=""),"",IFERROR(IF(INDEX(PARAMETRES!$H$43:$H$342,MATCH($L630&amp;"|"&amp;$M630&amp;"|"&amp;$N630&amp;"|"&amp;$O630&amp;"|"&amp;$P630&amp;"|"&amp;$Q630&amp;"|"&amp;$K630,PARAMETRES!$J$43:$J$342,0))="","",INDEX(PARAMETRES!$H$43:$H$342,MATCH($L630&amp;"|"&amp;$M630&amp;"|"&amp;$N630&amp;"|"&amp;$O630&amp;"|"&amp;$P630&amp;"|"&amp;$Q630&amp;"|"&amp;$K630,PARAMETRES!$J$43:$J$342,0))),""))</f>
        <v/>
      </c>
      <c r="S630" s="35">
        <f>IF(OR($G630="",$X630&lt;&gt;"VALIDE"),"",IFERROR(LOOKUP(2,1/(($B$3:$B629=$B630)*($G$3:$G629=$G630)*($X$3:$X629="VALIDE")),$C$3:$C629),""))</f>
        <v/>
      </c>
      <c r="T630" s="36">
        <f>IF(OR($C630="",$S630=""),"",ROUND(($C630-$S630+IF($C630&lt;$S630,1,0))*1440,0))</f>
        <v/>
      </c>
      <c r="U630" s="22">
        <f>IF(OR($H630="",$T630="",$T630&lt;=0),"",$H630*60/$T630)</f>
        <v/>
      </c>
      <c r="V630" s="37">
        <f>IF(OR($U630="",$R630="",$R630=0),"",$U630/$R630)</f>
        <v/>
      </c>
      <c r="W630" s="20">
        <f>IF($G630="","",IF($X630="CONTEXTE INCOMPLET","CONTEXTE INCOMPLET",IF($X630="DOUBLON",StatutDoublon,IF($S630="",StatutInitial,IF($R630="",StatutStandardManquant,IF($V630="","DONNEES INSUFFISANTES",IF($V630&gt;=SeuilConforme,StatutConforme,IF($V630&gt;=SeuilSurveiller,StatutSurveiller,StatutSousStandard))))))))</f>
        <v/>
      </c>
      <c r="X630" s="33">
        <f>IF($G630="","",IF(OR($D630="",$E630="",$F630=""),"CONTEXTE INCOMPLET",IF(COUNTIFS($D$3:$D629,$D630,$E$3:$E629,$E630,$F$3:$F629,$F630,$G$3:$G629,$G630)&gt;0,"DOUBLON","VALIDE")))</f>
        <v/>
      </c>
    </row>
    <row r="631" ht="15" customHeight="1">
      <c r="A631" s="12">
        <f>IF(OR($B631="",$G631=""),"",TEXT($B631,"YYYYMMDD")&amp;"-"&amp;SUBSTITUTE($E631," ","")&amp;"-"&amp;$F631&amp;"-"&amp;$G631)</f>
        <v/>
      </c>
      <c r="B631" s="15" t="n"/>
      <c r="C631" s="16" t="n"/>
      <c r="D631" s="10" t="n"/>
      <c r="E631" s="9" t="n"/>
      <c r="F631" s="9" t="n"/>
      <c r="G631" s="13" t="n"/>
      <c r="H631" s="21" t="n"/>
      <c r="I631" s="21" t="n"/>
      <c r="J631" s="17">
        <f>IF($G631="","",IFERROR(INDEX(NomsEmployes,MATCH($G631,MatriculesEmployes,0)),"MATRICULE INCONNU"))</f>
        <v/>
      </c>
      <c r="K631" s="33">
        <f>IF(OR($D631="",$F631=""),"",IFERROR(IF(INDEX(RUNS!$L$6:$S$1005,MATCH($D631,RUNS!$A$6:$A$1005,0),MATCH("ACTIVITÉ "&amp;$F631,RUNS!$L$5:$S$5,0))="","",INDEX(RUNS!$L$6:$S$1005,MATCH($D631,RUNS!$A$6:$A$1005,0),MATCH("ACTIVITÉ "&amp;$F631,RUNS!$L$5:$S$5,0))),""))</f>
        <v/>
      </c>
      <c r="L631" s="33">
        <f>IF($D631="","",IFERROR(IF(INDEX(RUNS!$E$6:$E$1005,MATCH($D631,RUNS!$A$6:$A$1005,0))="","",INDEX(RUNS!$E$6:$E$1005,MATCH($D631,RUNS!$A$6:$A$1005,0))),""))</f>
        <v/>
      </c>
      <c r="M631" s="33">
        <f>IF($D631="","",IFERROR(IF(INDEX(RUNS!$F$6:$F$1005,MATCH($D631,RUNS!$A$6:$A$1005,0))="","",INDEX(RUNS!$F$6:$F$1005,MATCH($D631,RUNS!$A$6:$A$1005,0))),""))</f>
        <v/>
      </c>
      <c r="N631" s="33">
        <f>IF($D631="","",IFERROR(IF(INDEX(RUNS!$G$6:$G$1005,MATCH($D631,RUNS!$A$6:$A$1005,0))="","",INDEX(RUNS!$G$6:$G$1005,MATCH($D631,RUNS!$A$6:$A$1005,0))),""))</f>
        <v/>
      </c>
      <c r="O631" s="33">
        <f>IF($D631="","",IFERROR(IF(INDEX(RUNS!$H$6:$H$1005,MATCH($D631,RUNS!$A$6:$A$1005,0))="","",INDEX(RUNS!$H$6:$H$1005,MATCH($D631,RUNS!$A$6:$A$1005,0))),""))</f>
        <v/>
      </c>
      <c r="P631" s="33">
        <f>IF($D631="","",IFERROR(IF(INDEX(RUNS!$J$6:$J$1005,MATCH($D631,RUNS!$A$6:$A$1005,0))="","",INDEX(RUNS!$J$6:$J$1005,MATCH($D631,RUNS!$A$6:$A$1005,0))),""))</f>
        <v/>
      </c>
      <c r="Q631" s="33">
        <f>IF($D631="","",IFERROR(IF(INDEX(RUNS!$K$6:$K$1005,MATCH($D631,RUNS!$A$6:$A$1005,0))="","",INDEX(RUNS!$K$6:$K$1005,MATCH($D631,RUNS!$A$6:$A$1005,0))),""))</f>
        <v/>
      </c>
      <c r="R631" s="34">
        <f>IF(OR($L631="",$K631=""),"",IFERROR(IF(INDEX(PARAMETRES!$H$43:$H$342,MATCH($L631&amp;"|"&amp;$M631&amp;"|"&amp;$N631&amp;"|"&amp;$O631&amp;"|"&amp;$P631&amp;"|"&amp;$Q631&amp;"|"&amp;$K631,PARAMETRES!$J$43:$J$342,0))="","",INDEX(PARAMETRES!$H$43:$H$342,MATCH($L631&amp;"|"&amp;$M631&amp;"|"&amp;$N631&amp;"|"&amp;$O631&amp;"|"&amp;$P631&amp;"|"&amp;$Q631&amp;"|"&amp;$K631,PARAMETRES!$J$43:$J$342,0))),""))</f>
        <v/>
      </c>
      <c r="S631" s="35">
        <f>IF(OR($G631="",$X631&lt;&gt;"VALIDE"),"",IFERROR(LOOKUP(2,1/(($B$3:$B630=$B631)*($G$3:$G630=$G631)*($X$3:$X630="VALIDE")),$C$3:$C630),""))</f>
        <v/>
      </c>
      <c r="T631" s="36">
        <f>IF(OR($C631="",$S631=""),"",ROUND(($C631-$S631+IF($C631&lt;$S631,1,0))*1440,0))</f>
        <v/>
      </c>
      <c r="U631" s="22">
        <f>IF(OR($H631="",$T631="",$T631&lt;=0),"",$H631*60/$T631)</f>
        <v/>
      </c>
      <c r="V631" s="37">
        <f>IF(OR($U631="",$R631="",$R631=0),"",$U631/$R631)</f>
        <v/>
      </c>
      <c r="W631" s="20">
        <f>IF($G631="","",IF($X631="CONTEXTE INCOMPLET","CONTEXTE INCOMPLET",IF($X631="DOUBLON",StatutDoublon,IF($S631="",StatutInitial,IF($R631="",StatutStandardManquant,IF($V631="","DONNEES INSUFFISANTES",IF($V631&gt;=SeuilConforme,StatutConforme,IF($V631&gt;=SeuilSurveiller,StatutSurveiller,StatutSousStandard))))))))</f>
        <v/>
      </c>
      <c r="X631" s="33">
        <f>IF($G631="","",IF(OR($D631="",$E631="",$F631=""),"CONTEXTE INCOMPLET",IF(COUNTIFS($D$3:$D630,$D631,$E$3:$E630,$E631,$F$3:$F630,$F631,$G$3:$G630,$G631)&gt;0,"DOUBLON","VALIDE")))</f>
        <v/>
      </c>
    </row>
    <row r="632" ht="15" customHeight="1">
      <c r="A632" s="12">
        <f>IF(OR($B632="",$G632=""),"",TEXT($B632,"YYYYMMDD")&amp;"-"&amp;SUBSTITUTE($E632," ","")&amp;"-"&amp;$F632&amp;"-"&amp;$G632)</f>
        <v/>
      </c>
      <c r="B632" s="15" t="n"/>
      <c r="C632" s="16" t="n"/>
      <c r="D632" s="10" t="n"/>
      <c r="E632" s="9" t="n"/>
      <c r="F632" s="9" t="n"/>
      <c r="G632" s="13" t="n"/>
      <c r="H632" s="21" t="n"/>
      <c r="I632" s="21" t="n"/>
      <c r="J632" s="17">
        <f>IF($G632="","",IFERROR(INDEX(NomsEmployes,MATCH($G632,MatriculesEmployes,0)),"MATRICULE INCONNU"))</f>
        <v/>
      </c>
      <c r="K632" s="33">
        <f>IF(OR($D632="",$F632=""),"",IFERROR(IF(INDEX(RUNS!$L$6:$S$1005,MATCH($D632,RUNS!$A$6:$A$1005,0),MATCH("ACTIVITÉ "&amp;$F632,RUNS!$L$5:$S$5,0))="","",INDEX(RUNS!$L$6:$S$1005,MATCH($D632,RUNS!$A$6:$A$1005,0),MATCH("ACTIVITÉ "&amp;$F632,RUNS!$L$5:$S$5,0))),""))</f>
        <v/>
      </c>
      <c r="L632" s="33">
        <f>IF($D632="","",IFERROR(IF(INDEX(RUNS!$E$6:$E$1005,MATCH($D632,RUNS!$A$6:$A$1005,0))="","",INDEX(RUNS!$E$6:$E$1005,MATCH($D632,RUNS!$A$6:$A$1005,0))),""))</f>
        <v/>
      </c>
      <c r="M632" s="33">
        <f>IF($D632="","",IFERROR(IF(INDEX(RUNS!$F$6:$F$1005,MATCH($D632,RUNS!$A$6:$A$1005,0))="","",INDEX(RUNS!$F$6:$F$1005,MATCH($D632,RUNS!$A$6:$A$1005,0))),""))</f>
        <v/>
      </c>
      <c r="N632" s="33">
        <f>IF($D632="","",IFERROR(IF(INDEX(RUNS!$G$6:$G$1005,MATCH($D632,RUNS!$A$6:$A$1005,0))="","",INDEX(RUNS!$G$6:$G$1005,MATCH($D632,RUNS!$A$6:$A$1005,0))),""))</f>
        <v/>
      </c>
      <c r="O632" s="33">
        <f>IF($D632="","",IFERROR(IF(INDEX(RUNS!$H$6:$H$1005,MATCH($D632,RUNS!$A$6:$A$1005,0))="","",INDEX(RUNS!$H$6:$H$1005,MATCH($D632,RUNS!$A$6:$A$1005,0))),""))</f>
        <v/>
      </c>
      <c r="P632" s="33">
        <f>IF($D632="","",IFERROR(IF(INDEX(RUNS!$J$6:$J$1005,MATCH($D632,RUNS!$A$6:$A$1005,0))="","",INDEX(RUNS!$J$6:$J$1005,MATCH($D632,RUNS!$A$6:$A$1005,0))),""))</f>
        <v/>
      </c>
      <c r="Q632" s="33">
        <f>IF($D632="","",IFERROR(IF(INDEX(RUNS!$K$6:$K$1005,MATCH($D632,RUNS!$A$6:$A$1005,0))="","",INDEX(RUNS!$K$6:$K$1005,MATCH($D632,RUNS!$A$6:$A$1005,0))),""))</f>
        <v/>
      </c>
      <c r="R632" s="34">
        <f>IF(OR($L632="",$K632=""),"",IFERROR(IF(INDEX(PARAMETRES!$H$43:$H$342,MATCH($L632&amp;"|"&amp;$M632&amp;"|"&amp;$N632&amp;"|"&amp;$O632&amp;"|"&amp;$P632&amp;"|"&amp;$Q632&amp;"|"&amp;$K632,PARAMETRES!$J$43:$J$342,0))="","",INDEX(PARAMETRES!$H$43:$H$342,MATCH($L632&amp;"|"&amp;$M632&amp;"|"&amp;$N632&amp;"|"&amp;$O632&amp;"|"&amp;$P632&amp;"|"&amp;$Q632&amp;"|"&amp;$K632,PARAMETRES!$J$43:$J$342,0))),""))</f>
        <v/>
      </c>
      <c r="S632" s="35">
        <f>IF(OR($G632="",$X632&lt;&gt;"VALIDE"),"",IFERROR(LOOKUP(2,1/(($B$3:$B631=$B632)*($G$3:$G631=$G632)*($X$3:$X631="VALIDE")),$C$3:$C631),""))</f>
        <v/>
      </c>
      <c r="T632" s="36">
        <f>IF(OR($C632="",$S632=""),"",ROUND(($C632-$S632+IF($C632&lt;$S632,1,0))*1440,0))</f>
        <v/>
      </c>
      <c r="U632" s="22">
        <f>IF(OR($H632="",$T632="",$T632&lt;=0),"",$H632*60/$T632)</f>
        <v/>
      </c>
      <c r="V632" s="37">
        <f>IF(OR($U632="",$R632="",$R632=0),"",$U632/$R632)</f>
        <v/>
      </c>
      <c r="W632" s="20">
        <f>IF($G632="","",IF($X632="CONTEXTE INCOMPLET","CONTEXTE INCOMPLET",IF($X632="DOUBLON",StatutDoublon,IF($S632="",StatutInitial,IF($R632="",StatutStandardManquant,IF($V632="","DONNEES INSUFFISANTES",IF($V632&gt;=SeuilConforme,StatutConforme,IF($V632&gt;=SeuilSurveiller,StatutSurveiller,StatutSousStandard))))))))</f>
        <v/>
      </c>
      <c r="X632" s="33">
        <f>IF($G632="","",IF(OR($D632="",$E632="",$F632=""),"CONTEXTE INCOMPLET",IF(COUNTIFS($D$3:$D631,$D632,$E$3:$E631,$E632,$F$3:$F631,$F632,$G$3:$G631,$G632)&gt;0,"DOUBLON","VALIDE")))</f>
        <v/>
      </c>
    </row>
    <row r="633" ht="15" customHeight="1">
      <c r="A633" s="12">
        <f>IF(OR($B633="",$G633=""),"",TEXT($B633,"YYYYMMDD")&amp;"-"&amp;SUBSTITUTE($E633," ","")&amp;"-"&amp;$F633&amp;"-"&amp;$G633)</f>
        <v/>
      </c>
      <c r="B633" s="15" t="n"/>
      <c r="C633" s="16" t="n"/>
      <c r="D633" s="10" t="n"/>
      <c r="E633" s="9" t="n"/>
      <c r="F633" s="9" t="n"/>
      <c r="G633" s="13" t="n"/>
      <c r="H633" s="21" t="n"/>
      <c r="I633" s="21" t="n"/>
      <c r="J633" s="17">
        <f>IF($G633="","",IFERROR(INDEX(NomsEmployes,MATCH($G633,MatriculesEmployes,0)),"MATRICULE INCONNU"))</f>
        <v/>
      </c>
      <c r="K633" s="33">
        <f>IF(OR($D633="",$F633=""),"",IFERROR(IF(INDEX(RUNS!$L$6:$S$1005,MATCH($D633,RUNS!$A$6:$A$1005,0),MATCH("ACTIVITÉ "&amp;$F633,RUNS!$L$5:$S$5,0))="","",INDEX(RUNS!$L$6:$S$1005,MATCH($D633,RUNS!$A$6:$A$1005,0),MATCH("ACTIVITÉ "&amp;$F633,RUNS!$L$5:$S$5,0))),""))</f>
        <v/>
      </c>
      <c r="L633" s="33">
        <f>IF($D633="","",IFERROR(IF(INDEX(RUNS!$E$6:$E$1005,MATCH($D633,RUNS!$A$6:$A$1005,0))="","",INDEX(RUNS!$E$6:$E$1005,MATCH($D633,RUNS!$A$6:$A$1005,0))),""))</f>
        <v/>
      </c>
      <c r="M633" s="33">
        <f>IF($D633="","",IFERROR(IF(INDEX(RUNS!$F$6:$F$1005,MATCH($D633,RUNS!$A$6:$A$1005,0))="","",INDEX(RUNS!$F$6:$F$1005,MATCH($D633,RUNS!$A$6:$A$1005,0))),""))</f>
        <v/>
      </c>
      <c r="N633" s="33">
        <f>IF($D633="","",IFERROR(IF(INDEX(RUNS!$G$6:$G$1005,MATCH($D633,RUNS!$A$6:$A$1005,0))="","",INDEX(RUNS!$G$6:$G$1005,MATCH($D633,RUNS!$A$6:$A$1005,0))),""))</f>
        <v/>
      </c>
      <c r="O633" s="33">
        <f>IF($D633="","",IFERROR(IF(INDEX(RUNS!$H$6:$H$1005,MATCH($D633,RUNS!$A$6:$A$1005,0))="","",INDEX(RUNS!$H$6:$H$1005,MATCH($D633,RUNS!$A$6:$A$1005,0))),""))</f>
        <v/>
      </c>
      <c r="P633" s="33">
        <f>IF($D633="","",IFERROR(IF(INDEX(RUNS!$J$6:$J$1005,MATCH($D633,RUNS!$A$6:$A$1005,0))="","",INDEX(RUNS!$J$6:$J$1005,MATCH($D633,RUNS!$A$6:$A$1005,0))),""))</f>
        <v/>
      </c>
      <c r="Q633" s="33">
        <f>IF($D633="","",IFERROR(IF(INDEX(RUNS!$K$6:$K$1005,MATCH($D633,RUNS!$A$6:$A$1005,0))="","",INDEX(RUNS!$K$6:$K$1005,MATCH($D633,RUNS!$A$6:$A$1005,0))),""))</f>
        <v/>
      </c>
      <c r="R633" s="34">
        <f>IF(OR($L633="",$K633=""),"",IFERROR(IF(INDEX(PARAMETRES!$H$43:$H$342,MATCH($L633&amp;"|"&amp;$M633&amp;"|"&amp;$N633&amp;"|"&amp;$O633&amp;"|"&amp;$P633&amp;"|"&amp;$Q633&amp;"|"&amp;$K633,PARAMETRES!$J$43:$J$342,0))="","",INDEX(PARAMETRES!$H$43:$H$342,MATCH($L633&amp;"|"&amp;$M633&amp;"|"&amp;$N633&amp;"|"&amp;$O633&amp;"|"&amp;$P633&amp;"|"&amp;$Q633&amp;"|"&amp;$K633,PARAMETRES!$J$43:$J$342,0))),""))</f>
        <v/>
      </c>
      <c r="S633" s="35">
        <f>IF(OR($G633="",$X633&lt;&gt;"VALIDE"),"",IFERROR(LOOKUP(2,1/(($B$3:$B632=$B633)*($G$3:$G632=$G633)*($X$3:$X632="VALIDE")),$C$3:$C632),""))</f>
        <v/>
      </c>
      <c r="T633" s="36">
        <f>IF(OR($C633="",$S633=""),"",ROUND(($C633-$S633+IF($C633&lt;$S633,1,0))*1440,0))</f>
        <v/>
      </c>
      <c r="U633" s="22">
        <f>IF(OR($H633="",$T633="",$T633&lt;=0),"",$H633*60/$T633)</f>
        <v/>
      </c>
      <c r="V633" s="37">
        <f>IF(OR($U633="",$R633="",$R633=0),"",$U633/$R633)</f>
        <v/>
      </c>
      <c r="W633" s="20">
        <f>IF($G633="","",IF($X633="CONTEXTE INCOMPLET","CONTEXTE INCOMPLET",IF($X633="DOUBLON",StatutDoublon,IF($S633="",StatutInitial,IF($R633="",StatutStandardManquant,IF($V633="","DONNEES INSUFFISANTES",IF($V633&gt;=SeuilConforme,StatutConforme,IF($V633&gt;=SeuilSurveiller,StatutSurveiller,StatutSousStandard))))))))</f>
        <v/>
      </c>
      <c r="X633" s="33">
        <f>IF($G633="","",IF(OR($D633="",$E633="",$F633=""),"CONTEXTE INCOMPLET",IF(COUNTIFS($D$3:$D632,$D633,$E$3:$E632,$E633,$F$3:$F632,$F633,$G$3:$G632,$G633)&gt;0,"DOUBLON","VALIDE")))</f>
        <v/>
      </c>
    </row>
    <row r="634" ht="15" customHeight="1">
      <c r="A634" s="12">
        <f>IF(OR($B634="",$G634=""),"",TEXT($B634,"YYYYMMDD")&amp;"-"&amp;SUBSTITUTE($E634," ","")&amp;"-"&amp;$F634&amp;"-"&amp;$G634)</f>
        <v/>
      </c>
      <c r="B634" s="15" t="n"/>
      <c r="C634" s="16" t="n"/>
      <c r="D634" s="10" t="n"/>
      <c r="E634" s="9" t="n"/>
      <c r="F634" s="9" t="n"/>
      <c r="G634" s="13" t="n"/>
      <c r="H634" s="21" t="n"/>
      <c r="I634" s="21" t="n"/>
      <c r="J634" s="17">
        <f>IF($G634="","",IFERROR(INDEX(NomsEmployes,MATCH($G634,MatriculesEmployes,0)),"MATRICULE INCONNU"))</f>
        <v/>
      </c>
      <c r="K634" s="33">
        <f>IF(OR($D634="",$F634=""),"",IFERROR(IF(INDEX(RUNS!$L$6:$S$1005,MATCH($D634,RUNS!$A$6:$A$1005,0),MATCH("ACTIVITÉ "&amp;$F634,RUNS!$L$5:$S$5,0))="","",INDEX(RUNS!$L$6:$S$1005,MATCH($D634,RUNS!$A$6:$A$1005,0),MATCH("ACTIVITÉ "&amp;$F634,RUNS!$L$5:$S$5,0))),""))</f>
        <v/>
      </c>
      <c r="L634" s="33">
        <f>IF($D634="","",IFERROR(IF(INDEX(RUNS!$E$6:$E$1005,MATCH($D634,RUNS!$A$6:$A$1005,0))="","",INDEX(RUNS!$E$6:$E$1005,MATCH($D634,RUNS!$A$6:$A$1005,0))),""))</f>
        <v/>
      </c>
      <c r="M634" s="33">
        <f>IF($D634="","",IFERROR(IF(INDEX(RUNS!$F$6:$F$1005,MATCH($D634,RUNS!$A$6:$A$1005,0))="","",INDEX(RUNS!$F$6:$F$1005,MATCH($D634,RUNS!$A$6:$A$1005,0))),""))</f>
        <v/>
      </c>
      <c r="N634" s="33">
        <f>IF($D634="","",IFERROR(IF(INDEX(RUNS!$G$6:$G$1005,MATCH($D634,RUNS!$A$6:$A$1005,0))="","",INDEX(RUNS!$G$6:$G$1005,MATCH($D634,RUNS!$A$6:$A$1005,0))),""))</f>
        <v/>
      </c>
      <c r="O634" s="33">
        <f>IF($D634="","",IFERROR(IF(INDEX(RUNS!$H$6:$H$1005,MATCH($D634,RUNS!$A$6:$A$1005,0))="","",INDEX(RUNS!$H$6:$H$1005,MATCH($D634,RUNS!$A$6:$A$1005,0))),""))</f>
        <v/>
      </c>
      <c r="P634" s="33">
        <f>IF($D634="","",IFERROR(IF(INDEX(RUNS!$J$6:$J$1005,MATCH($D634,RUNS!$A$6:$A$1005,0))="","",INDEX(RUNS!$J$6:$J$1005,MATCH($D634,RUNS!$A$6:$A$1005,0))),""))</f>
        <v/>
      </c>
      <c r="Q634" s="33">
        <f>IF($D634="","",IFERROR(IF(INDEX(RUNS!$K$6:$K$1005,MATCH($D634,RUNS!$A$6:$A$1005,0))="","",INDEX(RUNS!$K$6:$K$1005,MATCH($D634,RUNS!$A$6:$A$1005,0))),""))</f>
        <v/>
      </c>
      <c r="R634" s="34">
        <f>IF(OR($L634="",$K634=""),"",IFERROR(IF(INDEX(PARAMETRES!$H$43:$H$342,MATCH($L634&amp;"|"&amp;$M634&amp;"|"&amp;$N634&amp;"|"&amp;$O634&amp;"|"&amp;$P634&amp;"|"&amp;$Q634&amp;"|"&amp;$K634,PARAMETRES!$J$43:$J$342,0))="","",INDEX(PARAMETRES!$H$43:$H$342,MATCH($L634&amp;"|"&amp;$M634&amp;"|"&amp;$N634&amp;"|"&amp;$O634&amp;"|"&amp;$P634&amp;"|"&amp;$Q634&amp;"|"&amp;$K634,PARAMETRES!$J$43:$J$342,0))),""))</f>
        <v/>
      </c>
      <c r="S634" s="35">
        <f>IF(OR($G634="",$X634&lt;&gt;"VALIDE"),"",IFERROR(LOOKUP(2,1/(($B$3:$B633=$B634)*($G$3:$G633=$G634)*($X$3:$X633="VALIDE")),$C$3:$C633),""))</f>
        <v/>
      </c>
      <c r="T634" s="36">
        <f>IF(OR($C634="",$S634=""),"",ROUND(($C634-$S634+IF($C634&lt;$S634,1,0))*1440,0))</f>
        <v/>
      </c>
      <c r="U634" s="22">
        <f>IF(OR($H634="",$T634="",$T634&lt;=0),"",$H634*60/$T634)</f>
        <v/>
      </c>
      <c r="V634" s="37">
        <f>IF(OR($U634="",$R634="",$R634=0),"",$U634/$R634)</f>
        <v/>
      </c>
      <c r="W634" s="20">
        <f>IF($G634="","",IF($X634="CONTEXTE INCOMPLET","CONTEXTE INCOMPLET",IF($X634="DOUBLON",StatutDoublon,IF($S634="",StatutInitial,IF($R634="",StatutStandardManquant,IF($V634="","DONNEES INSUFFISANTES",IF($V634&gt;=SeuilConforme,StatutConforme,IF($V634&gt;=SeuilSurveiller,StatutSurveiller,StatutSousStandard))))))))</f>
        <v/>
      </c>
      <c r="X634" s="33">
        <f>IF($G634="","",IF(OR($D634="",$E634="",$F634=""),"CONTEXTE INCOMPLET",IF(COUNTIFS($D$3:$D633,$D634,$E$3:$E633,$E634,$F$3:$F633,$F634,$G$3:$G633,$G634)&gt;0,"DOUBLON","VALIDE")))</f>
        <v/>
      </c>
    </row>
    <row r="635" ht="15" customHeight="1">
      <c r="A635" s="12">
        <f>IF(OR($B635="",$G635=""),"",TEXT($B635,"YYYYMMDD")&amp;"-"&amp;SUBSTITUTE($E635," ","")&amp;"-"&amp;$F635&amp;"-"&amp;$G635)</f>
        <v/>
      </c>
      <c r="B635" s="15" t="n"/>
      <c r="C635" s="16" t="n"/>
      <c r="D635" s="10" t="n"/>
      <c r="E635" s="9" t="n"/>
      <c r="F635" s="9" t="n"/>
      <c r="G635" s="13" t="n"/>
      <c r="H635" s="21" t="n"/>
      <c r="I635" s="21" t="n"/>
      <c r="J635" s="17">
        <f>IF($G635="","",IFERROR(INDEX(NomsEmployes,MATCH($G635,MatriculesEmployes,0)),"MATRICULE INCONNU"))</f>
        <v/>
      </c>
      <c r="K635" s="33">
        <f>IF(OR($D635="",$F635=""),"",IFERROR(IF(INDEX(RUNS!$L$6:$S$1005,MATCH($D635,RUNS!$A$6:$A$1005,0),MATCH("ACTIVITÉ "&amp;$F635,RUNS!$L$5:$S$5,0))="","",INDEX(RUNS!$L$6:$S$1005,MATCH($D635,RUNS!$A$6:$A$1005,0),MATCH("ACTIVITÉ "&amp;$F635,RUNS!$L$5:$S$5,0))),""))</f>
        <v/>
      </c>
      <c r="L635" s="33">
        <f>IF($D635="","",IFERROR(IF(INDEX(RUNS!$E$6:$E$1005,MATCH($D635,RUNS!$A$6:$A$1005,0))="","",INDEX(RUNS!$E$6:$E$1005,MATCH($D635,RUNS!$A$6:$A$1005,0))),""))</f>
        <v/>
      </c>
      <c r="M635" s="33">
        <f>IF($D635="","",IFERROR(IF(INDEX(RUNS!$F$6:$F$1005,MATCH($D635,RUNS!$A$6:$A$1005,0))="","",INDEX(RUNS!$F$6:$F$1005,MATCH($D635,RUNS!$A$6:$A$1005,0))),""))</f>
        <v/>
      </c>
      <c r="N635" s="33">
        <f>IF($D635="","",IFERROR(IF(INDEX(RUNS!$G$6:$G$1005,MATCH($D635,RUNS!$A$6:$A$1005,0))="","",INDEX(RUNS!$G$6:$G$1005,MATCH($D635,RUNS!$A$6:$A$1005,0))),""))</f>
        <v/>
      </c>
      <c r="O635" s="33">
        <f>IF($D635="","",IFERROR(IF(INDEX(RUNS!$H$6:$H$1005,MATCH($D635,RUNS!$A$6:$A$1005,0))="","",INDEX(RUNS!$H$6:$H$1005,MATCH($D635,RUNS!$A$6:$A$1005,0))),""))</f>
        <v/>
      </c>
      <c r="P635" s="33">
        <f>IF($D635="","",IFERROR(IF(INDEX(RUNS!$J$6:$J$1005,MATCH($D635,RUNS!$A$6:$A$1005,0))="","",INDEX(RUNS!$J$6:$J$1005,MATCH($D635,RUNS!$A$6:$A$1005,0))),""))</f>
        <v/>
      </c>
      <c r="Q635" s="33">
        <f>IF($D635="","",IFERROR(IF(INDEX(RUNS!$K$6:$K$1005,MATCH($D635,RUNS!$A$6:$A$1005,0))="","",INDEX(RUNS!$K$6:$K$1005,MATCH($D635,RUNS!$A$6:$A$1005,0))),""))</f>
        <v/>
      </c>
      <c r="R635" s="34">
        <f>IF(OR($L635="",$K635=""),"",IFERROR(IF(INDEX(PARAMETRES!$H$43:$H$342,MATCH($L635&amp;"|"&amp;$M635&amp;"|"&amp;$N635&amp;"|"&amp;$O635&amp;"|"&amp;$P635&amp;"|"&amp;$Q635&amp;"|"&amp;$K635,PARAMETRES!$J$43:$J$342,0))="","",INDEX(PARAMETRES!$H$43:$H$342,MATCH($L635&amp;"|"&amp;$M635&amp;"|"&amp;$N635&amp;"|"&amp;$O635&amp;"|"&amp;$P635&amp;"|"&amp;$Q635&amp;"|"&amp;$K635,PARAMETRES!$J$43:$J$342,0))),""))</f>
        <v/>
      </c>
      <c r="S635" s="35">
        <f>IF(OR($G635="",$X635&lt;&gt;"VALIDE"),"",IFERROR(LOOKUP(2,1/(($B$3:$B634=$B635)*($G$3:$G634=$G635)*($X$3:$X634="VALIDE")),$C$3:$C634),""))</f>
        <v/>
      </c>
      <c r="T635" s="36">
        <f>IF(OR($C635="",$S635=""),"",ROUND(($C635-$S635+IF($C635&lt;$S635,1,0))*1440,0))</f>
        <v/>
      </c>
      <c r="U635" s="22">
        <f>IF(OR($H635="",$T635="",$T635&lt;=0),"",$H635*60/$T635)</f>
        <v/>
      </c>
      <c r="V635" s="37">
        <f>IF(OR($U635="",$R635="",$R635=0),"",$U635/$R635)</f>
        <v/>
      </c>
      <c r="W635" s="20">
        <f>IF($G635="","",IF($X635="CONTEXTE INCOMPLET","CONTEXTE INCOMPLET",IF($X635="DOUBLON",StatutDoublon,IF($S635="",StatutInitial,IF($R635="",StatutStandardManquant,IF($V635="","DONNEES INSUFFISANTES",IF($V635&gt;=SeuilConforme,StatutConforme,IF($V635&gt;=SeuilSurveiller,StatutSurveiller,StatutSousStandard))))))))</f>
        <v/>
      </c>
      <c r="X635" s="33">
        <f>IF($G635="","",IF(OR($D635="",$E635="",$F635=""),"CONTEXTE INCOMPLET",IF(COUNTIFS($D$3:$D634,$D635,$E$3:$E634,$E635,$F$3:$F634,$F635,$G$3:$G634,$G635)&gt;0,"DOUBLON","VALIDE")))</f>
        <v/>
      </c>
    </row>
    <row r="636" ht="15" customHeight="1">
      <c r="A636" s="12">
        <f>IF(OR($B636="",$G636=""),"",TEXT($B636,"YYYYMMDD")&amp;"-"&amp;SUBSTITUTE($E636," ","")&amp;"-"&amp;$F636&amp;"-"&amp;$G636)</f>
        <v/>
      </c>
      <c r="B636" s="15" t="n"/>
      <c r="C636" s="16" t="n"/>
      <c r="D636" s="10" t="n"/>
      <c r="E636" s="9" t="n"/>
      <c r="F636" s="9" t="n"/>
      <c r="G636" s="13" t="n"/>
      <c r="H636" s="21" t="n"/>
      <c r="I636" s="21" t="n"/>
      <c r="J636" s="17">
        <f>IF($G636="","",IFERROR(INDEX(NomsEmployes,MATCH($G636,MatriculesEmployes,0)),"MATRICULE INCONNU"))</f>
        <v/>
      </c>
      <c r="K636" s="33">
        <f>IF(OR($D636="",$F636=""),"",IFERROR(IF(INDEX(RUNS!$L$6:$S$1005,MATCH($D636,RUNS!$A$6:$A$1005,0),MATCH("ACTIVITÉ "&amp;$F636,RUNS!$L$5:$S$5,0))="","",INDEX(RUNS!$L$6:$S$1005,MATCH($D636,RUNS!$A$6:$A$1005,0),MATCH("ACTIVITÉ "&amp;$F636,RUNS!$L$5:$S$5,0))),""))</f>
        <v/>
      </c>
      <c r="L636" s="33">
        <f>IF($D636="","",IFERROR(IF(INDEX(RUNS!$E$6:$E$1005,MATCH($D636,RUNS!$A$6:$A$1005,0))="","",INDEX(RUNS!$E$6:$E$1005,MATCH($D636,RUNS!$A$6:$A$1005,0))),""))</f>
        <v/>
      </c>
      <c r="M636" s="33">
        <f>IF($D636="","",IFERROR(IF(INDEX(RUNS!$F$6:$F$1005,MATCH($D636,RUNS!$A$6:$A$1005,0))="","",INDEX(RUNS!$F$6:$F$1005,MATCH($D636,RUNS!$A$6:$A$1005,0))),""))</f>
        <v/>
      </c>
      <c r="N636" s="33">
        <f>IF($D636="","",IFERROR(IF(INDEX(RUNS!$G$6:$G$1005,MATCH($D636,RUNS!$A$6:$A$1005,0))="","",INDEX(RUNS!$G$6:$G$1005,MATCH($D636,RUNS!$A$6:$A$1005,0))),""))</f>
        <v/>
      </c>
      <c r="O636" s="33">
        <f>IF($D636="","",IFERROR(IF(INDEX(RUNS!$H$6:$H$1005,MATCH($D636,RUNS!$A$6:$A$1005,0))="","",INDEX(RUNS!$H$6:$H$1005,MATCH($D636,RUNS!$A$6:$A$1005,0))),""))</f>
        <v/>
      </c>
      <c r="P636" s="33">
        <f>IF($D636="","",IFERROR(IF(INDEX(RUNS!$J$6:$J$1005,MATCH($D636,RUNS!$A$6:$A$1005,0))="","",INDEX(RUNS!$J$6:$J$1005,MATCH($D636,RUNS!$A$6:$A$1005,0))),""))</f>
        <v/>
      </c>
      <c r="Q636" s="33">
        <f>IF($D636="","",IFERROR(IF(INDEX(RUNS!$K$6:$K$1005,MATCH($D636,RUNS!$A$6:$A$1005,0))="","",INDEX(RUNS!$K$6:$K$1005,MATCH($D636,RUNS!$A$6:$A$1005,0))),""))</f>
        <v/>
      </c>
      <c r="R636" s="34">
        <f>IF(OR($L636="",$K636=""),"",IFERROR(IF(INDEX(PARAMETRES!$H$43:$H$342,MATCH($L636&amp;"|"&amp;$M636&amp;"|"&amp;$N636&amp;"|"&amp;$O636&amp;"|"&amp;$P636&amp;"|"&amp;$Q636&amp;"|"&amp;$K636,PARAMETRES!$J$43:$J$342,0))="","",INDEX(PARAMETRES!$H$43:$H$342,MATCH($L636&amp;"|"&amp;$M636&amp;"|"&amp;$N636&amp;"|"&amp;$O636&amp;"|"&amp;$P636&amp;"|"&amp;$Q636&amp;"|"&amp;$K636,PARAMETRES!$J$43:$J$342,0))),""))</f>
        <v/>
      </c>
      <c r="S636" s="35">
        <f>IF(OR($G636="",$X636&lt;&gt;"VALIDE"),"",IFERROR(LOOKUP(2,1/(($B$3:$B635=$B636)*($G$3:$G635=$G636)*($X$3:$X635="VALIDE")),$C$3:$C635),""))</f>
        <v/>
      </c>
      <c r="T636" s="36">
        <f>IF(OR($C636="",$S636=""),"",ROUND(($C636-$S636+IF($C636&lt;$S636,1,0))*1440,0))</f>
        <v/>
      </c>
      <c r="U636" s="22">
        <f>IF(OR($H636="",$T636="",$T636&lt;=0),"",$H636*60/$T636)</f>
        <v/>
      </c>
      <c r="V636" s="37">
        <f>IF(OR($U636="",$R636="",$R636=0),"",$U636/$R636)</f>
        <v/>
      </c>
      <c r="W636" s="20">
        <f>IF($G636="","",IF($X636="CONTEXTE INCOMPLET","CONTEXTE INCOMPLET",IF($X636="DOUBLON",StatutDoublon,IF($S636="",StatutInitial,IF($R636="",StatutStandardManquant,IF($V636="","DONNEES INSUFFISANTES",IF($V636&gt;=SeuilConforme,StatutConforme,IF($V636&gt;=SeuilSurveiller,StatutSurveiller,StatutSousStandard))))))))</f>
        <v/>
      </c>
      <c r="X636" s="33">
        <f>IF($G636="","",IF(OR($D636="",$E636="",$F636=""),"CONTEXTE INCOMPLET",IF(COUNTIFS($D$3:$D635,$D636,$E$3:$E635,$E636,$F$3:$F635,$F636,$G$3:$G635,$G636)&gt;0,"DOUBLON","VALIDE")))</f>
        <v/>
      </c>
    </row>
    <row r="637" ht="15" customHeight="1">
      <c r="A637" s="12">
        <f>IF(OR($B637="",$G637=""),"",TEXT($B637,"YYYYMMDD")&amp;"-"&amp;SUBSTITUTE($E637," ","")&amp;"-"&amp;$F637&amp;"-"&amp;$G637)</f>
        <v/>
      </c>
      <c r="B637" s="15" t="n"/>
      <c r="C637" s="16" t="n"/>
      <c r="D637" s="10" t="n"/>
      <c r="E637" s="9" t="n"/>
      <c r="F637" s="9" t="n"/>
      <c r="G637" s="13" t="n"/>
      <c r="H637" s="21" t="n"/>
      <c r="I637" s="21" t="n"/>
      <c r="J637" s="17">
        <f>IF($G637="","",IFERROR(INDEX(NomsEmployes,MATCH($G637,MatriculesEmployes,0)),"MATRICULE INCONNU"))</f>
        <v/>
      </c>
      <c r="K637" s="33">
        <f>IF(OR($D637="",$F637=""),"",IFERROR(IF(INDEX(RUNS!$L$6:$S$1005,MATCH($D637,RUNS!$A$6:$A$1005,0),MATCH("ACTIVITÉ "&amp;$F637,RUNS!$L$5:$S$5,0))="","",INDEX(RUNS!$L$6:$S$1005,MATCH($D637,RUNS!$A$6:$A$1005,0),MATCH("ACTIVITÉ "&amp;$F637,RUNS!$L$5:$S$5,0))),""))</f>
        <v/>
      </c>
      <c r="L637" s="33">
        <f>IF($D637="","",IFERROR(IF(INDEX(RUNS!$E$6:$E$1005,MATCH($D637,RUNS!$A$6:$A$1005,0))="","",INDEX(RUNS!$E$6:$E$1005,MATCH($D637,RUNS!$A$6:$A$1005,0))),""))</f>
        <v/>
      </c>
      <c r="M637" s="33">
        <f>IF($D637="","",IFERROR(IF(INDEX(RUNS!$F$6:$F$1005,MATCH($D637,RUNS!$A$6:$A$1005,0))="","",INDEX(RUNS!$F$6:$F$1005,MATCH($D637,RUNS!$A$6:$A$1005,0))),""))</f>
        <v/>
      </c>
      <c r="N637" s="33">
        <f>IF($D637="","",IFERROR(IF(INDEX(RUNS!$G$6:$G$1005,MATCH($D637,RUNS!$A$6:$A$1005,0))="","",INDEX(RUNS!$G$6:$G$1005,MATCH($D637,RUNS!$A$6:$A$1005,0))),""))</f>
        <v/>
      </c>
      <c r="O637" s="33">
        <f>IF($D637="","",IFERROR(IF(INDEX(RUNS!$H$6:$H$1005,MATCH($D637,RUNS!$A$6:$A$1005,0))="","",INDEX(RUNS!$H$6:$H$1005,MATCH($D637,RUNS!$A$6:$A$1005,0))),""))</f>
        <v/>
      </c>
      <c r="P637" s="33">
        <f>IF($D637="","",IFERROR(IF(INDEX(RUNS!$J$6:$J$1005,MATCH($D637,RUNS!$A$6:$A$1005,0))="","",INDEX(RUNS!$J$6:$J$1005,MATCH($D637,RUNS!$A$6:$A$1005,0))),""))</f>
        <v/>
      </c>
      <c r="Q637" s="33">
        <f>IF($D637="","",IFERROR(IF(INDEX(RUNS!$K$6:$K$1005,MATCH($D637,RUNS!$A$6:$A$1005,0))="","",INDEX(RUNS!$K$6:$K$1005,MATCH($D637,RUNS!$A$6:$A$1005,0))),""))</f>
        <v/>
      </c>
      <c r="R637" s="34">
        <f>IF(OR($L637="",$K637=""),"",IFERROR(IF(INDEX(PARAMETRES!$H$43:$H$342,MATCH($L637&amp;"|"&amp;$M637&amp;"|"&amp;$N637&amp;"|"&amp;$O637&amp;"|"&amp;$P637&amp;"|"&amp;$Q637&amp;"|"&amp;$K637,PARAMETRES!$J$43:$J$342,0))="","",INDEX(PARAMETRES!$H$43:$H$342,MATCH($L637&amp;"|"&amp;$M637&amp;"|"&amp;$N637&amp;"|"&amp;$O637&amp;"|"&amp;$P637&amp;"|"&amp;$Q637&amp;"|"&amp;$K637,PARAMETRES!$J$43:$J$342,0))),""))</f>
        <v/>
      </c>
      <c r="S637" s="35">
        <f>IF(OR($G637="",$X637&lt;&gt;"VALIDE"),"",IFERROR(LOOKUP(2,1/(($B$3:$B636=$B637)*($G$3:$G636=$G637)*($X$3:$X636="VALIDE")),$C$3:$C636),""))</f>
        <v/>
      </c>
      <c r="T637" s="36">
        <f>IF(OR($C637="",$S637=""),"",ROUND(($C637-$S637+IF($C637&lt;$S637,1,0))*1440,0))</f>
        <v/>
      </c>
      <c r="U637" s="22">
        <f>IF(OR($H637="",$T637="",$T637&lt;=0),"",$H637*60/$T637)</f>
        <v/>
      </c>
      <c r="V637" s="37">
        <f>IF(OR($U637="",$R637="",$R637=0),"",$U637/$R637)</f>
        <v/>
      </c>
      <c r="W637" s="20">
        <f>IF($G637="","",IF($X637="CONTEXTE INCOMPLET","CONTEXTE INCOMPLET",IF($X637="DOUBLON",StatutDoublon,IF($S637="",StatutInitial,IF($R637="",StatutStandardManquant,IF($V637="","DONNEES INSUFFISANTES",IF($V637&gt;=SeuilConforme,StatutConforme,IF($V637&gt;=SeuilSurveiller,StatutSurveiller,StatutSousStandard))))))))</f>
        <v/>
      </c>
      <c r="X637" s="33">
        <f>IF($G637="","",IF(OR($D637="",$E637="",$F637=""),"CONTEXTE INCOMPLET",IF(COUNTIFS($D$3:$D636,$D637,$E$3:$E636,$E637,$F$3:$F636,$F637,$G$3:$G636,$G637)&gt;0,"DOUBLON","VALIDE")))</f>
        <v/>
      </c>
    </row>
    <row r="638" ht="15" customHeight="1">
      <c r="A638" s="12">
        <f>IF(OR($B638="",$G638=""),"",TEXT($B638,"YYYYMMDD")&amp;"-"&amp;SUBSTITUTE($E638," ","")&amp;"-"&amp;$F638&amp;"-"&amp;$G638)</f>
        <v/>
      </c>
      <c r="B638" s="15" t="n"/>
      <c r="C638" s="16" t="n"/>
      <c r="D638" s="10" t="n"/>
      <c r="E638" s="9" t="n"/>
      <c r="F638" s="9" t="n"/>
      <c r="G638" s="13" t="n"/>
      <c r="H638" s="21" t="n"/>
      <c r="I638" s="21" t="n"/>
      <c r="J638" s="17">
        <f>IF($G638="","",IFERROR(INDEX(NomsEmployes,MATCH($G638,MatriculesEmployes,0)),"MATRICULE INCONNU"))</f>
        <v/>
      </c>
      <c r="K638" s="33">
        <f>IF(OR($D638="",$F638=""),"",IFERROR(IF(INDEX(RUNS!$L$6:$S$1005,MATCH($D638,RUNS!$A$6:$A$1005,0),MATCH("ACTIVITÉ "&amp;$F638,RUNS!$L$5:$S$5,0))="","",INDEX(RUNS!$L$6:$S$1005,MATCH($D638,RUNS!$A$6:$A$1005,0),MATCH("ACTIVITÉ "&amp;$F638,RUNS!$L$5:$S$5,0))),""))</f>
        <v/>
      </c>
      <c r="L638" s="33">
        <f>IF($D638="","",IFERROR(IF(INDEX(RUNS!$E$6:$E$1005,MATCH($D638,RUNS!$A$6:$A$1005,0))="","",INDEX(RUNS!$E$6:$E$1005,MATCH($D638,RUNS!$A$6:$A$1005,0))),""))</f>
        <v/>
      </c>
      <c r="M638" s="33">
        <f>IF($D638="","",IFERROR(IF(INDEX(RUNS!$F$6:$F$1005,MATCH($D638,RUNS!$A$6:$A$1005,0))="","",INDEX(RUNS!$F$6:$F$1005,MATCH($D638,RUNS!$A$6:$A$1005,0))),""))</f>
        <v/>
      </c>
      <c r="N638" s="33">
        <f>IF($D638="","",IFERROR(IF(INDEX(RUNS!$G$6:$G$1005,MATCH($D638,RUNS!$A$6:$A$1005,0))="","",INDEX(RUNS!$G$6:$G$1005,MATCH($D638,RUNS!$A$6:$A$1005,0))),""))</f>
        <v/>
      </c>
      <c r="O638" s="33">
        <f>IF($D638="","",IFERROR(IF(INDEX(RUNS!$H$6:$H$1005,MATCH($D638,RUNS!$A$6:$A$1005,0))="","",INDEX(RUNS!$H$6:$H$1005,MATCH($D638,RUNS!$A$6:$A$1005,0))),""))</f>
        <v/>
      </c>
      <c r="P638" s="33">
        <f>IF($D638="","",IFERROR(IF(INDEX(RUNS!$J$6:$J$1005,MATCH($D638,RUNS!$A$6:$A$1005,0))="","",INDEX(RUNS!$J$6:$J$1005,MATCH($D638,RUNS!$A$6:$A$1005,0))),""))</f>
        <v/>
      </c>
      <c r="Q638" s="33">
        <f>IF($D638="","",IFERROR(IF(INDEX(RUNS!$K$6:$K$1005,MATCH($D638,RUNS!$A$6:$A$1005,0))="","",INDEX(RUNS!$K$6:$K$1005,MATCH($D638,RUNS!$A$6:$A$1005,0))),""))</f>
        <v/>
      </c>
      <c r="R638" s="34">
        <f>IF(OR($L638="",$K638=""),"",IFERROR(IF(INDEX(PARAMETRES!$H$43:$H$342,MATCH($L638&amp;"|"&amp;$M638&amp;"|"&amp;$N638&amp;"|"&amp;$O638&amp;"|"&amp;$P638&amp;"|"&amp;$Q638&amp;"|"&amp;$K638,PARAMETRES!$J$43:$J$342,0))="","",INDEX(PARAMETRES!$H$43:$H$342,MATCH($L638&amp;"|"&amp;$M638&amp;"|"&amp;$N638&amp;"|"&amp;$O638&amp;"|"&amp;$P638&amp;"|"&amp;$Q638&amp;"|"&amp;$K638,PARAMETRES!$J$43:$J$342,0))),""))</f>
        <v/>
      </c>
      <c r="S638" s="35">
        <f>IF(OR($G638="",$X638&lt;&gt;"VALIDE"),"",IFERROR(LOOKUP(2,1/(($B$3:$B637=$B638)*($G$3:$G637=$G638)*($X$3:$X637="VALIDE")),$C$3:$C637),""))</f>
        <v/>
      </c>
      <c r="T638" s="36">
        <f>IF(OR($C638="",$S638=""),"",ROUND(($C638-$S638+IF($C638&lt;$S638,1,0))*1440,0))</f>
        <v/>
      </c>
      <c r="U638" s="22">
        <f>IF(OR($H638="",$T638="",$T638&lt;=0),"",$H638*60/$T638)</f>
        <v/>
      </c>
      <c r="V638" s="37">
        <f>IF(OR($U638="",$R638="",$R638=0),"",$U638/$R638)</f>
        <v/>
      </c>
      <c r="W638" s="20">
        <f>IF($G638="","",IF($X638="CONTEXTE INCOMPLET","CONTEXTE INCOMPLET",IF($X638="DOUBLON",StatutDoublon,IF($S638="",StatutInitial,IF($R638="",StatutStandardManquant,IF($V638="","DONNEES INSUFFISANTES",IF($V638&gt;=SeuilConforme,StatutConforme,IF($V638&gt;=SeuilSurveiller,StatutSurveiller,StatutSousStandard))))))))</f>
        <v/>
      </c>
      <c r="X638" s="33">
        <f>IF($G638="","",IF(OR($D638="",$E638="",$F638=""),"CONTEXTE INCOMPLET",IF(COUNTIFS($D$3:$D637,$D638,$E$3:$E637,$E638,$F$3:$F637,$F638,$G$3:$G637,$G638)&gt;0,"DOUBLON","VALIDE")))</f>
        <v/>
      </c>
    </row>
    <row r="639" ht="15" customHeight="1">
      <c r="A639" s="12">
        <f>IF(OR($B639="",$G639=""),"",TEXT($B639,"YYYYMMDD")&amp;"-"&amp;SUBSTITUTE($E639," ","")&amp;"-"&amp;$F639&amp;"-"&amp;$G639)</f>
        <v/>
      </c>
      <c r="B639" s="15" t="n"/>
      <c r="C639" s="16" t="n"/>
      <c r="D639" s="10" t="n"/>
      <c r="E639" s="9" t="n"/>
      <c r="F639" s="9" t="n"/>
      <c r="G639" s="13" t="n"/>
      <c r="H639" s="21" t="n"/>
      <c r="I639" s="21" t="n"/>
      <c r="J639" s="17">
        <f>IF($G639="","",IFERROR(INDEX(NomsEmployes,MATCH($G639,MatriculesEmployes,0)),"MATRICULE INCONNU"))</f>
        <v/>
      </c>
      <c r="K639" s="33">
        <f>IF(OR($D639="",$F639=""),"",IFERROR(IF(INDEX(RUNS!$L$6:$S$1005,MATCH($D639,RUNS!$A$6:$A$1005,0),MATCH("ACTIVITÉ "&amp;$F639,RUNS!$L$5:$S$5,0))="","",INDEX(RUNS!$L$6:$S$1005,MATCH($D639,RUNS!$A$6:$A$1005,0),MATCH("ACTIVITÉ "&amp;$F639,RUNS!$L$5:$S$5,0))),""))</f>
        <v/>
      </c>
      <c r="L639" s="33">
        <f>IF($D639="","",IFERROR(IF(INDEX(RUNS!$E$6:$E$1005,MATCH($D639,RUNS!$A$6:$A$1005,0))="","",INDEX(RUNS!$E$6:$E$1005,MATCH($D639,RUNS!$A$6:$A$1005,0))),""))</f>
        <v/>
      </c>
      <c r="M639" s="33">
        <f>IF($D639="","",IFERROR(IF(INDEX(RUNS!$F$6:$F$1005,MATCH($D639,RUNS!$A$6:$A$1005,0))="","",INDEX(RUNS!$F$6:$F$1005,MATCH($D639,RUNS!$A$6:$A$1005,0))),""))</f>
        <v/>
      </c>
      <c r="N639" s="33">
        <f>IF($D639="","",IFERROR(IF(INDEX(RUNS!$G$6:$G$1005,MATCH($D639,RUNS!$A$6:$A$1005,0))="","",INDEX(RUNS!$G$6:$G$1005,MATCH($D639,RUNS!$A$6:$A$1005,0))),""))</f>
        <v/>
      </c>
      <c r="O639" s="33">
        <f>IF($D639="","",IFERROR(IF(INDEX(RUNS!$H$6:$H$1005,MATCH($D639,RUNS!$A$6:$A$1005,0))="","",INDEX(RUNS!$H$6:$H$1005,MATCH($D639,RUNS!$A$6:$A$1005,0))),""))</f>
        <v/>
      </c>
      <c r="P639" s="33">
        <f>IF($D639="","",IFERROR(IF(INDEX(RUNS!$J$6:$J$1005,MATCH($D639,RUNS!$A$6:$A$1005,0))="","",INDEX(RUNS!$J$6:$J$1005,MATCH($D639,RUNS!$A$6:$A$1005,0))),""))</f>
        <v/>
      </c>
      <c r="Q639" s="33">
        <f>IF($D639="","",IFERROR(IF(INDEX(RUNS!$K$6:$K$1005,MATCH($D639,RUNS!$A$6:$A$1005,0))="","",INDEX(RUNS!$K$6:$K$1005,MATCH($D639,RUNS!$A$6:$A$1005,0))),""))</f>
        <v/>
      </c>
      <c r="R639" s="34">
        <f>IF(OR($L639="",$K639=""),"",IFERROR(IF(INDEX(PARAMETRES!$H$43:$H$342,MATCH($L639&amp;"|"&amp;$M639&amp;"|"&amp;$N639&amp;"|"&amp;$O639&amp;"|"&amp;$P639&amp;"|"&amp;$Q639&amp;"|"&amp;$K639,PARAMETRES!$J$43:$J$342,0))="","",INDEX(PARAMETRES!$H$43:$H$342,MATCH($L639&amp;"|"&amp;$M639&amp;"|"&amp;$N639&amp;"|"&amp;$O639&amp;"|"&amp;$P639&amp;"|"&amp;$Q639&amp;"|"&amp;$K639,PARAMETRES!$J$43:$J$342,0))),""))</f>
        <v/>
      </c>
      <c r="S639" s="35">
        <f>IF(OR($G639="",$X639&lt;&gt;"VALIDE"),"",IFERROR(LOOKUP(2,1/(($B$3:$B638=$B639)*($G$3:$G638=$G639)*($X$3:$X638="VALIDE")),$C$3:$C638),""))</f>
        <v/>
      </c>
      <c r="T639" s="36">
        <f>IF(OR($C639="",$S639=""),"",ROUND(($C639-$S639+IF($C639&lt;$S639,1,0))*1440,0))</f>
        <v/>
      </c>
      <c r="U639" s="22">
        <f>IF(OR($H639="",$T639="",$T639&lt;=0),"",$H639*60/$T639)</f>
        <v/>
      </c>
      <c r="V639" s="37">
        <f>IF(OR($U639="",$R639="",$R639=0),"",$U639/$R639)</f>
        <v/>
      </c>
      <c r="W639" s="20">
        <f>IF($G639="","",IF($X639="CONTEXTE INCOMPLET","CONTEXTE INCOMPLET",IF($X639="DOUBLON",StatutDoublon,IF($S639="",StatutInitial,IF($R639="",StatutStandardManquant,IF($V639="","DONNEES INSUFFISANTES",IF($V639&gt;=SeuilConforme,StatutConforme,IF($V639&gt;=SeuilSurveiller,StatutSurveiller,StatutSousStandard))))))))</f>
        <v/>
      </c>
      <c r="X639" s="33">
        <f>IF($G639="","",IF(OR($D639="",$E639="",$F639=""),"CONTEXTE INCOMPLET",IF(COUNTIFS($D$3:$D638,$D639,$E$3:$E638,$E639,$F$3:$F638,$F639,$G$3:$G638,$G639)&gt;0,"DOUBLON","VALIDE")))</f>
        <v/>
      </c>
    </row>
    <row r="640" ht="15" customHeight="1">
      <c r="A640" s="12">
        <f>IF(OR($B640="",$G640=""),"",TEXT($B640,"YYYYMMDD")&amp;"-"&amp;SUBSTITUTE($E640," ","")&amp;"-"&amp;$F640&amp;"-"&amp;$G640)</f>
        <v/>
      </c>
      <c r="B640" s="15" t="n"/>
      <c r="C640" s="16" t="n"/>
      <c r="D640" s="10" t="n"/>
      <c r="E640" s="9" t="n"/>
      <c r="F640" s="9" t="n"/>
      <c r="G640" s="13" t="n"/>
      <c r="H640" s="21" t="n"/>
      <c r="I640" s="21" t="n"/>
      <c r="J640" s="17">
        <f>IF($G640="","",IFERROR(INDEX(NomsEmployes,MATCH($G640,MatriculesEmployes,0)),"MATRICULE INCONNU"))</f>
        <v/>
      </c>
      <c r="K640" s="33">
        <f>IF(OR($D640="",$F640=""),"",IFERROR(IF(INDEX(RUNS!$L$6:$S$1005,MATCH($D640,RUNS!$A$6:$A$1005,0),MATCH("ACTIVITÉ "&amp;$F640,RUNS!$L$5:$S$5,0))="","",INDEX(RUNS!$L$6:$S$1005,MATCH($D640,RUNS!$A$6:$A$1005,0),MATCH("ACTIVITÉ "&amp;$F640,RUNS!$L$5:$S$5,0))),""))</f>
        <v/>
      </c>
      <c r="L640" s="33">
        <f>IF($D640="","",IFERROR(IF(INDEX(RUNS!$E$6:$E$1005,MATCH($D640,RUNS!$A$6:$A$1005,0))="","",INDEX(RUNS!$E$6:$E$1005,MATCH($D640,RUNS!$A$6:$A$1005,0))),""))</f>
        <v/>
      </c>
      <c r="M640" s="33">
        <f>IF($D640="","",IFERROR(IF(INDEX(RUNS!$F$6:$F$1005,MATCH($D640,RUNS!$A$6:$A$1005,0))="","",INDEX(RUNS!$F$6:$F$1005,MATCH($D640,RUNS!$A$6:$A$1005,0))),""))</f>
        <v/>
      </c>
      <c r="N640" s="33">
        <f>IF($D640="","",IFERROR(IF(INDEX(RUNS!$G$6:$G$1005,MATCH($D640,RUNS!$A$6:$A$1005,0))="","",INDEX(RUNS!$G$6:$G$1005,MATCH($D640,RUNS!$A$6:$A$1005,0))),""))</f>
        <v/>
      </c>
      <c r="O640" s="33">
        <f>IF($D640="","",IFERROR(IF(INDEX(RUNS!$H$6:$H$1005,MATCH($D640,RUNS!$A$6:$A$1005,0))="","",INDEX(RUNS!$H$6:$H$1005,MATCH($D640,RUNS!$A$6:$A$1005,0))),""))</f>
        <v/>
      </c>
      <c r="P640" s="33">
        <f>IF($D640="","",IFERROR(IF(INDEX(RUNS!$J$6:$J$1005,MATCH($D640,RUNS!$A$6:$A$1005,0))="","",INDEX(RUNS!$J$6:$J$1005,MATCH($D640,RUNS!$A$6:$A$1005,0))),""))</f>
        <v/>
      </c>
      <c r="Q640" s="33">
        <f>IF($D640="","",IFERROR(IF(INDEX(RUNS!$K$6:$K$1005,MATCH($D640,RUNS!$A$6:$A$1005,0))="","",INDEX(RUNS!$K$6:$K$1005,MATCH($D640,RUNS!$A$6:$A$1005,0))),""))</f>
        <v/>
      </c>
      <c r="R640" s="34">
        <f>IF(OR($L640="",$K640=""),"",IFERROR(IF(INDEX(PARAMETRES!$H$43:$H$342,MATCH($L640&amp;"|"&amp;$M640&amp;"|"&amp;$N640&amp;"|"&amp;$O640&amp;"|"&amp;$P640&amp;"|"&amp;$Q640&amp;"|"&amp;$K640,PARAMETRES!$J$43:$J$342,0))="","",INDEX(PARAMETRES!$H$43:$H$342,MATCH($L640&amp;"|"&amp;$M640&amp;"|"&amp;$N640&amp;"|"&amp;$O640&amp;"|"&amp;$P640&amp;"|"&amp;$Q640&amp;"|"&amp;$K640,PARAMETRES!$J$43:$J$342,0))),""))</f>
        <v/>
      </c>
      <c r="S640" s="35">
        <f>IF(OR($G640="",$X640&lt;&gt;"VALIDE"),"",IFERROR(LOOKUP(2,1/(($B$3:$B639=$B640)*($G$3:$G639=$G640)*($X$3:$X639="VALIDE")),$C$3:$C639),""))</f>
        <v/>
      </c>
      <c r="T640" s="36">
        <f>IF(OR($C640="",$S640=""),"",ROUND(($C640-$S640+IF($C640&lt;$S640,1,0))*1440,0))</f>
        <v/>
      </c>
      <c r="U640" s="22">
        <f>IF(OR($H640="",$T640="",$T640&lt;=0),"",$H640*60/$T640)</f>
        <v/>
      </c>
      <c r="V640" s="37">
        <f>IF(OR($U640="",$R640="",$R640=0),"",$U640/$R640)</f>
        <v/>
      </c>
      <c r="W640" s="20">
        <f>IF($G640="","",IF($X640="CONTEXTE INCOMPLET","CONTEXTE INCOMPLET",IF($X640="DOUBLON",StatutDoublon,IF($S640="",StatutInitial,IF($R640="",StatutStandardManquant,IF($V640="","DONNEES INSUFFISANTES",IF($V640&gt;=SeuilConforme,StatutConforme,IF($V640&gt;=SeuilSurveiller,StatutSurveiller,StatutSousStandard))))))))</f>
        <v/>
      </c>
      <c r="X640" s="33">
        <f>IF($G640="","",IF(OR($D640="",$E640="",$F640=""),"CONTEXTE INCOMPLET",IF(COUNTIFS($D$3:$D639,$D640,$E$3:$E639,$E640,$F$3:$F639,$F640,$G$3:$G639,$G640)&gt;0,"DOUBLON","VALIDE")))</f>
        <v/>
      </c>
    </row>
    <row r="641" ht="15" customHeight="1">
      <c r="A641" s="12">
        <f>IF(OR($B641="",$G641=""),"",TEXT($B641,"YYYYMMDD")&amp;"-"&amp;SUBSTITUTE($E641," ","")&amp;"-"&amp;$F641&amp;"-"&amp;$G641)</f>
        <v/>
      </c>
      <c r="B641" s="15" t="n"/>
      <c r="C641" s="16" t="n"/>
      <c r="D641" s="10" t="n"/>
      <c r="E641" s="9" t="n"/>
      <c r="F641" s="9" t="n"/>
      <c r="G641" s="13" t="n"/>
      <c r="H641" s="21" t="n"/>
      <c r="I641" s="21" t="n"/>
      <c r="J641" s="17">
        <f>IF($G641="","",IFERROR(INDEX(NomsEmployes,MATCH($G641,MatriculesEmployes,0)),"MATRICULE INCONNU"))</f>
        <v/>
      </c>
      <c r="K641" s="33">
        <f>IF(OR($D641="",$F641=""),"",IFERROR(IF(INDEX(RUNS!$L$6:$S$1005,MATCH($D641,RUNS!$A$6:$A$1005,0),MATCH("ACTIVITÉ "&amp;$F641,RUNS!$L$5:$S$5,0))="","",INDEX(RUNS!$L$6:$S$1005,MATCH($D641,RUNS!$A$6:$A$1005,0),MATCH("ACTIVITÉ "&amp;$F641,RUNS!$L$5:$S$5,0))),""))</f>
        <v/>
      </c>
      <c r="L641" s="33">
        <f>IF($D641="","",IFERROR(IF(INDEX(RUNS!$E$6:$E$1005,MATCH($D641,RUNS!$A$6:$A$1005,0))="","",INDEX(RUNS!$E$6:$E$1005,MATCH($D641,RUNS!$A$6:$A$1005,0))),""))</f>
        <v/>
      </c>
      <c r="M641" s="33">
        <f>IF($D641="","",IFERROR(IF(INDEX(RUNS!$F$6:$F$1005,MATCH($D641,RUNS!$A$6:$A$1005,0))="","",INDEX(RUNS!$F$6:$F$1005,MATCH($D641,RUNS!$A$6:$A$1005,0))),""))</f>
        <v/>
      </c>
      <c r="N641" s="33">
        <f>IF($D641="","",IFERROR(IF(INDEX(RUNS!$G$6:$G$1005,MATCH($D641,RUNS!$A$6:$A$1005,0))="","",INDEX(RUNS!$G$6:$G$1005,MATCH($D641,RUNS!$A$6:$A$1005,0))),""))</f>
        <v/>
      </c>
      <c r="O641" s="33">
        <f>IF($D641="","",IFERROR(IF(INDEX(RUNS!$H$6:$H$1005,MATCH($D641,RUNS!$A$6:$A$1005,0))="","",INDEX(RUNS!$H$6:$H$1005,MATCH($D641,RUNS!$A$6:$A$1005,0))),""))</f>
        <v/>
      </c>
      <c r="P641" s="33">
        <f>IF($D641="","",IFERROR(IF(INDEX(RUNS!$J$6:$J$1005,MATCH($D641,RUNS!$A$6:$A$1005,0))="","",INDEX(RUNS!$J$6:$J$1005,MATCH($D641,RUNS!$A$6:$A$1005,0))),""))</f>
        <v/>
      </c>
      <c r="Q641" s="33">
        <f>IF($D641="","",IFERROR(IF(INDEX(RUNS!$K$6:$K$1005,MATCH($D641,RUNS!$A$6:$A$1005,0))="","",INDEX(RUNS!$K$6:$K$1005,MATCH($D641,RUNS!$A$6:$A$1005,0))),""))</f>
        <v/>
      </c>
      <c r="R641" s="34">
        <f>IF(OR($L641="",$K641=""),"",IFERROR(IF(INDEX(PARAMETRES!$H$43:$H$342,MATCH($L641&amp;"|"&amp;$M641&amp;"|"&amp;$N641&amp;"|"&amp;$O641&amp;"|"&amp;$P641&amp;"|"&amp;$Q641&amp;"|"&amp;$K641,PARAMETRES!$J$43:$J$342,0))="","",INDEX(PARAMETRES!$H$43:$H$342,MATCH($L641&amp;"|"&amp;$M641&amp;"|"&amp;$N641&amp;"|"&amp;$O641&amp;"|"&amp;$P641&amp;"|"&amp;$Q641&amp;"|"&amp;$K641,PARAMETRES!$J$43:$J$342,0))),""))</f>
        <v/>
      </c>
      <c r="S641" s="35">
        <f>IF(OR($G641="",$X641&lt;&gt;"VALIDE"),"",IFERROR(LOOKUP(2,1/(($B$3:$B640=$B641)*($G$3:$G640=$G641)*($X$3:$X640="VALIDE")),$C$3:$C640),""))</f>
        <v/>
      </c>
      <c r="T641" s="36">
        <f>IF(OR($C641="",$S641=""),"",ROUND(($C641-$S641+IF($C641&lt;$S641,1,0))*1440,0))</f>
        <v/>
      </c>
      <c r="U641" s="22">
        <f>IF(OR($H641="",$T641="",$T641&lt;=0),"",$H641*60/$T641)</f>
        <v/>
      </c>
      <c r="V641" s="37">
        <f>IF(OR($U641="",$R641="",$R641=0),"",$U641/$R641)</f>
        <v/>
      </c>
      <c r="W641" s="20">
        <f>IF($G641="","",IF($X641="CONTEXTE INCOMPLET","CONTEXTE INCOMPLET",IF($X641="DOUBLON",StatutDoublon,IF($S641="",StatutInitial,IF($R641="",StatutStandardManquant,IF($V641="","DONNEES INSUFFISANTES",IF($V641&gt;=SeuilConforme,StatutConforme,IF($V641&gt;=SeuilSurveiller,StatutSurveiller,StatutSousStandard))))))))</f>
        <v/>
      </c>
      <c r="X641" s="33">
        <f>IF($G641="","",IF(OR($D641="",$E641="",$F641=""),"CONTEXTE INCOMPLET",IF(COUNTIFS($D$3:$D640,$D641,$E$3:$E640,$E641,$F$3:$F640,$F641,$G$3:$G640,$G641)&gt;0,"DOUBLON","VALIDE")))</f>
        <v/>
      </c>
    </row>
    <row r="642" ht="15" customHeight="1">
      <c r="A642" s="12">
        <f>IF(OR($B642="",$G642=""),"",TEXT($B642,"YYYYMMDD")&amp;"-"&amp;SUBSTITUTE($E642," ","")&amp;"-"&amp;$F642&amp;"-"&amp;$G642)</f>
        <v/>
      </c>
      <c r="B642" s="15" t="n"/>
      <c r="C642" s="16" t="n"/>
      <c r="D642" s="10" t="n"/>
      <c r="E642" s="9" t="n"/>
      <c r="F642" s="9" t="n"/>
      <c r="G642" s="13" t="n"/>
      <c r="H642" s="21" t="n"/>
      <c r="I642" s="21" t="n"/>
      <c r="J642" s="17">
        <f>IF($G642="","",IFERROR(INDEX(NomsEmployes,MATCH($G642,MatriculesEmployes,0)),"MATRICULE INCONNU"))</f>
        <v/>
      </c>
      <c r="K642" s="33">
        <f>IF(OR($D642="",$F642=""),"",IFERROR(IF(INDEX(RUNS!$L$6:$S$1005,MATCH($D642,RUNS!$A$6:$A$1005,0),MATCH("ACTIVITÉ "&amp;$F642,RUNS!$L$5:$S$5,0))="","",INDEX(RUNS!$L$6:$S$1005,MATCH($D642,RUNS!$A$6:$A$1005,0),MATCH("ACTIVITÉ "&amp;$F642,RUNS!$L$5:$S$5,0))),""))</f>
        <v/>
      </c>
      <c r="L642" s="33">
        <f>IF($D642="","",IFERROR(IF(INDEX(RUNS!$E$6:$E$1005,MATCH($D642,RUNS!$A$6:$A$1005,0))="","",INDEX(RUNS!$E$6:$E$1005,MATCH($D642,RUNS!$A$6:$A$1005,0))),""))</f>
        <v/>
      </c>
      <c r="M642" s="33">
        <f>IF($D642="","",IFERROR(IF(INDEX(RUNS!$F$6:$F$1005,MATCH($D642,RUNS!$A$6:$A$1005,0))="","",INDEX(RUNS!$F$6:$F$1005,MATCH($D642,RUNS!$A$6:$A$1005,0))),""))</f>
        <v/>
      </c>
      <c r="N642" s="33">
        <f>IF($D642="","",IFERROR(IF(INDEX(RUNS!$G$6:$G$1005,MATCH($D642,RUNS!$A$6:$A$1005,0))="","",INDEX(RUNS!$G$6:$G$1005,MATCH($D642,RUNS!$A$6:$A$1005,0))),""))</f>
        <v/>
      </c>
      <c r="O642" s="33">
        <f>IF($D642="","",IFERROR(IF(INDEX(RUNS!$H$6:$H$1005,MATCH($D642,RUNS!$A$6:$A$1005,0))="","",INDEX(RUNS!$H$6:$H$1005,MATCH($D642,RUNS!$A$6:$A$1005,0))),""))</f>
        <v/>
      </c>
      <c r="P642" s="33">
        <f>IF($D642="","",IFERROR(IF(INDEX(RUNS!$J$6:$J$1005,MATCH($D642,RUNS!$A$6:$A$1005,0))="","",INDEX(RUNS!$J$6:$J$1005,MATCH($D642,RUNS!$A$6:$A$1005,0))),""))</f>
        <v/>
      </c>
      <c r="Q642" s="33">
        <f>IF($D642="","",IFERROR(IF(INDEX(RUNS!$K$6:$K$1005,MATCH($D642,RUNS!$A$6:$A$1005,0))="","",INDEX(RUNS!$K$6:$K$1005,MATCH($D642,RUNS!$A$6:$A$1005,0))),""))</f>
        <v/>
      </c>
      <c r="R642" s="34">
        <f>IF(OR($L642="",$K642=""),"",IFERROR(IF(INDEX(PARAMETRES!$H$43:$H$342,MATCH($L642&amp;"|"&amp;$M642&amp;"|"&amp;$N642&amp;"|"&amp;$O642&amp;"|"&amp;$P642&amp;"|"&amp;$Q642&amp;"|"&amp;$K642,PARAMETRES!$J$43:$J$342,0))="","",INDEX(PARAMETRES!$H$43:$H$342,MATCH($L642&amp;"|"&amp;$M642&amp;"|"&amp;$N642&amp;"|"&amp;$O642&amp;"|"&amp;$P642&amp;"|"&amp;$Q642&amp;"|"&amp;$K642,PARAMETRES!$J$43:$J$342,0))),""))</f>
        <v/>
      </c>
      <c r="S642" s="35">
        <f>IF(OR($G642="",$X642&lt;&gt;"VALIDE"),"",IFERROR(LOOKUP(2,1/(($B$3:$B641=$B642)*($G$3:$G641=$G642)*($X$3:$X641="VALIDE")),$C$3:$C641),""))</f>
        <v/>
      </c>
      <c r="T642" s="36">
        <f>IF(OR($C642="",$S642=""),"",ROUND(($C642-$S642+IF($C642&lt;$S642,1,0))*1440,0))</f>
        <v/>
      </c>
      <c r="U642" s="22">
        <f>IF(OR($H642="",$T642="",$T642&lt;=0),"",$H642*60/$T642)</f>
        <v/>
      </c>
      <c r="V642" s="37">
        <f>IF(OR($U642="",$R642="",$R642=0),"",$U642/$R642)</f>
        <v/>
      </c>
      <c r="W642" s="20">
        <f>IF($G642="","",IF($X642="CONTEXTE INCOMPLET","CONTEXTE INCOMPLET",IF($X642="DOUBLON",StatutDoublon,IF($S642="",StatutInitial,IF($R642="",StatutStandardManquant,IF($V642="","DONNEES INSUFFISANTES",IF($V642&gt;=SeuilConforme,StatutConforme,IF($V642&gt;=SeuilSurveiller,StatutSurveiller,StatutSousStandard))))))))</f>
        <v/>
      </c>
      <c r="X642" s="33">
        <f>IF($G642="","",IF(OR($D642="",$E642="",$F642=""),"CONTEXTE INCOMPLET",IF(COUNTIFS($D$3:$D641,$D642,$E$3:$E641,$E642,$F$3:$F641,$F642,$G$3:$G641,$G642)&gt;0,"DOUBLON","VALIDE")))</f>
        <v/>
      </c>
    </row>
    <row r="643" ht="15" customHeight="1">
      <c r="A643" s="12">
        <f>IF(OR($B643="",$G643=""),"",TEXT($B643,"YYYYMMDD")&amp;"-"&amp;SUBSTITUTE($E643," ","")&amp;"-"&amp;$F643&amp;"-"&amp;$G643)</f>
        <v/>
      </c>
      <c r="B643" s="15" t="n"/>
      <c r="C643" s="16" t="n"/>
      <c r="D643" s="10" t="n"/>
      <c r="E643" s="9" t="n"/>
      <c r="F643" s="9" t="n"/>
      <c r="G643" s="13" t="n"/>
      <c r="H643" s="21" t="n"/>
      <c r="I643" s="21" t="n"/>
      <c r="J643" s="17">
        <f>IF($G643="","",IFERROR(INDEX(NomsEmployes,MATCH($G643,MatriculesEmployes,0)),"MATRICULE INCONNU"))</f>
        <v/>
      </c>
      <c r="K643" s="33">
        <f>IF(OR($D643="",$F643=""),"",IFERROR(IF(INDEX(RUNS!$L$6:$S$1005,MATCH($D643,RUNS!$A$6:$A$1005,0),MATCH("ACTIVITÉ "&amp;$F643,RUNS!$L$5:$S$5,0))="","",INDEX(RUNS!$L$6:$S$1005,MATCH($D643,RUNS!$A$6:$A$1005,0),MATCH("ACTIVITÉ "&amp;$F643,RUNS!$L$5:$S$5,0))),""))</f>
        <v/>
      </c>
      <c r="L643" s="33">
        <f>IF($D643="","",IFERROR(IF(INDEX(RUNS!$E$6:$E$1005,MATCH($D643,RUNS!$A$6:$A$1005,0))="","",INDEX(RUNS!$E$6:$E$1005,MATCH($D643,RUNS!$A$6:$A$1005,0))),""))</f>
        <v/>
      </c>
      <c r="M643" s="33">
        <f>IF($D643="","",IFERROR(IF(INDEX(RUNS!$F$6:$F$1005,MATCH($D643,RUNS!$A$6:$A$1005,0))="","",INDEX(RUNS!$F$6:$F$1005,MATCH($D643,RUNS!$A$6:$A$1005,0))),""))</f>
        <v/>
      </c>
      <c r="N643" s="33">
        <f>IF($D643="","",IFERROR(IF(INDEX(RUNS!$G$6:$G$1005,MATCH($D643,RUNS!$A$6:$A$1005,0))="","",INDEX(RUNS!$G$6:$G$1005,MATCH($D643,RUNS!$A$6:$A$1005,0))),""))</f>
        <v/>
      </c>
      <c r="O643" s="33">
        <f>IF($D643="","",IFERROR(IF(INDEX(RUNS!$H$6:$H$1005,MATCH($D643,RUNS!$A$6:$A$1005,0))="","",INDEX(RUNS!$H$6:$H$1005,MATCH($D643,RUNS!$A$6:$A$1005,0))),""))</f>
        <v/>
      </c>
      <c r="P643" s="33">
        <f>IF($D643="","",IFERROR(IF(INDEX(RUNS!$J$6:$J$1005,MATCH($D643,RUNS!$A$6:$A$1005,0))="","",INDEX(RUNS!$J$6:$J$1005,MATCH($D643,RUNS!$A$6:$A$1005,0))),""))</f>
        <v/>
      </c>
      <c r="Q643" s="33">
        <f>IF($D643="","",IFERROR(IF(INDEX(RUNS!$K$6:$K$1005,MATCH($D643,RUNS!$A$6:$A$1005,0))="","",INDEX(RUNS!$K$6:$K$1005,MATCH($D643,RUNS!$A$6:$A$1005,0))),""))</f>
        <v/>
      </c>
      <c r="R643" s="34">
        <f>IF(OR($L643="",$K643=""),"",IFERROR(IF(INDEX(PARAMETRES!$H$43:$H$342,MATCH($L643&amp;"|"&amp;$M643&amp;"|"&amp;$N643&amp;"|"&amp;$O643&amp;"|"&amp;$P643&amp;"|"&amp;$Q643&amp;"|"&amp;$K643,PARAMETRES!$J$43:$J$342,0))="","",INDEX(PARAMETRES!$H$43:$H$342,MATCH($L643&amp;"|"&amp;$M643&amp;"|"&amp;$N643&amp;"|"&amp;$O643&amp;"|"&amp;$P643&amp;"|"&amp;$Q643&amp;"|"&amp;$K643,PARAMETRES!$J$43:$J$342,0))),""))</f>
        <v/>
      </c>
      <c r="S643" s="35">
        <f>IF(OR($G643="",$X643&lt;&gt;"VALIDE"),"",IFERROR(LOOKUP(2,1/(($B$3:$B642=$B643)*($G$3:$G642=$G643)*($X$3:$X642="VALIDE")),$C$3:$C642),""))</f>
        <v/>
      </c>
      <c r="T643" s="36">
        <f>IF(OR($C643="",$S643=""),"",ROUND(($C643-$S643+IF($C643&lt;$S643,1,0))*1440,0))</f>
        <v/>
      </c>
      <c r="U643" s="22">
        <f>IF(OR($H643="",$T643="",$T643&lt;=0),"",$H643*60/$T643)</f>
        <v/>
      </c>
      <c r="V643" s="37">
        <f>IF(OR($U643="",$R643="",$R643=0),"",$U643/$R643)</f>
        <v/>
      </c>
      <c r="W643" s="20">
        <f>IF($G643="","",IF($X643="CONTEXTE INCOMPLET","CONTEXTE INCOMPLET",IF($X643="DOUBLON",StatutDoublon,IF($S643="",StatutInitial,IF($R643="",StatutStandardManquant,IF($V643="","DONNEES INSUFFISANTES",IF($V643&gt;=SeuilConforme,StatutConforme,IF($V643&gt;=SeuilSurveiller,StatutSurveiller,StatutSousStandard))))))))</f>
        <v/>
      </c>
      <c r="X643" s="33">
        <f>IF($G643="","",IF(OR($D643="",$E643="",$F643=""),"CONTEXTE INCOMPLET",IF(COUNTIFS($D$3:$D642,$D643,$E$3:$E642,$E643,$F$3:$F642,$F643,$G$3:$G642,$G643)&gt;0,"DOUBLON","VALIDE")))</f>
        <v/>
      </c>
    </row>
    <row r="644" ht="15" customHeight="1">
      <c r="A644" s="12">
        <f>IF(OR($B644="",$G644=""),"",TEXT($B644,"YYYYMMDD")&amp;"-"&amp;SUBSTITUTE($E644," ","")&amp;"-"&amp;$F644&amp;"-"&amp;$G644)</f>
        <v/>
      </c>
      <c r="B644" s="15" t="n"/>
      <c r="C644" s="16" t="n"/>
      <c r="D644" s="10" t="n"/>
      <c r="E644" s="9" t="n"/>
      <c r="F644" s="9" t="n"/>
      <c r="G644" s="13" t="n"/>
      <c r="H644" s="21" t="n"/>
      <c r="I644" s="21" t="n"/>
      <c r="J644" s="17">
        <f>IF($G644="","",IFERROR(INDEX(NomsEmployes,MATCH($G644,MatriculesEmployes,0)),"MATRICULE INCONNU"))</f>
        <v/>
      </c>
      <c r="K644" s="33">
        <f>IF(OR($D644="",$F644=""),"",IFERROR(IF(INDEX(RUNS!$L$6:$S$1005,MATCH($D644,RUNS!$A$6:$A$1005,0),MATCH("ACTIVITÉ "&amp;$F644,RUNS!$L$5:$S$5,0))="","",INDEX(RUNS!$L$6:$S$1005,MATCH($D644,RUNS!$A$6:$A$1005,0),MATCH("ACTIVITÉ "&amp;$F644,RUNS!$L$5:$S$5,0))),""))</f>
        <v/>
      </c>
      <c r="L644" s="33">
        <f>IF($D644="","",IFERROR(IF(INDEX(RUNS!$E$6:$E$1005,MATCH($D644,RUNS!$A$6:$A$1005,0))="","",INDEX(RUNS!$E$6:$E$1005,MATCH($D644,RUNS!$A$6:$A$1005,0))),""))</f>
        <v/>
      </c>
      <c r="M644" s="33">
        <f>IF($D644="","",IFERROR(IF(INDEX(RUNS!$F$6:$F$1005,MATCH($D644,RUNS!$A$6:$A$1005,0))="","",INDEX(RUNS!$F$6:$F$1005,MATCH($D644,RUNS!$A$6:$A$1005,0))),""))</f>
        <v/>
      </c>
      <c r="N644" s="33">
        <f>IF($D644="","",IFERROR(IF(INDEX(RUNS!$G$6:$G$1005,MATCH($D644,RUNS!$A$6:$A$1005,0))="","",INDEX(RUNS!$G$6:$G$1005,MATCH($D644,RUNS!$A$6:$A$1005,0))),""))</f>
        <v/>
      </c>
      <c r="O644" s="33">
        <f>IF($D644="","",IFERROR(IF(INDEX(RUNS!$H$6:$H$1005,MATCH($D644,RUNS!$A$6:$A$1005,0))="","",INDEX(RUNS!$H$6:$H$1005,MATCH($D644,RUNS!$A$6:$A$1005,0))),""))</f>
        <v/>
      </c>
      <c r="P644" s="33">
        <f>IF($D644="","",IFERROR(IF(INDEX(RUNS!$J$6:$J$1005,MATCH($D644,RUNS!$A$6:$A$1005,0))="","",INDEX(RUNS!$J$6:$J$1005,MATCH($D644,RUNS!$A$6:$A$1005,0))),""))</f>
        <v/>
      </c>
      <c r="Q644" s="33">
        <f>IF($D644="","",IFERROR(IF(INDEX(RUNS!$K$6:$K$1005,MATCH($D644,RUNS!$A$6:$A$1005,0))="","",INDEX(RUNS!$K$6:$K$1005,MATCH($D644,RUNS!$A$6:$A$1005,0))),""))</f>
        <v/>
      </c>
      <c r="R644" s="34">
        <f>IF(OR($L644="",$K644=""),"",IFERROR(IF(INDEX(PARAMETRES!$H$43:$H$342,MATCH($L644&amp;"|"&amp;$M644&amp;"|"&amp;$N644&amp;"|"&amp;$O644&amp;"|"&amp;$P644&amp;"|"&amp;$Q644&amp;"|"&amp;$K644,PARAMETRES!$J$43:$J$342,0))="","",INDEX(PARAMETRES!$H$43:$H$342,MATCH($L644&amp;"|"&amp;$M644&amp;"|"&amp;$N644&amp;"|"&amp;$O644&amp;"|"&amp;$P644&amp;"|"&amp;$Q644&amp;"|"&amp;$K644,PARAMETRES!$J$43:$J$342,0))),""))</f>
        <v/>
      </c>
      <c r="S644" s="35">
        <f>IF(OR($G644="",$X644&lt;&gt;"VALIDE"),"",IFERROR(LOOKUP(2,1/(($B$3:$B643=$B644)*($G$3:$G643=$G644)*($X$3:$X643="VALIDE")),$C$3:$C643),""))</f>
        <v/>
      </c>
      <c r="T644" s="36">
        <f>IF(OR($C644="",$S644=""),"",ROUND(($C644-$S644+IF($C644&lt;$S644,1,0))*1440,0))</f>
        <v/>
      </c>
      <c r="U644" s="22">
        <f>IF(OR($H644="",$T644="",$T644&lt;=0),"",$H644*60/$T644)</f>
        <v/>
      </c>
      <c r="V644" s="37">
        <f>IF(OR($U644="",$R644="",$R644=0),"",$U644/$R644)</f>
        <v/>
      </c>
      <c r="W644" s="20">
        <f>IF($G644="","",IF($X644="CONTEXTE INCOMPLET","CONTEXTE INCOMPLET",IF($X644="DOUBLON",StatutDoublon,IF($S644="",StatutInitial,IF($R644="",StatutStandardManquant,IF($V644="","DONNEES INSUFFISANTES",IF($V644&gt;=SeuilConforme,StatutConforme,IF($V644&gt;=SeuilSurveiller,StatutSurveiller,StatutSousStandard))))))))</f>
        <v/>
      </c>
      <c r="X644" s="33">
        <f>IF($G644="","",IF(OR($D644="",$E644="",$F644=""),"CONTEXTE INCOMPLET",IF(COUNTIFS($D$3:$D643,$D644,$E$3:$E643,$E644,$F$3:$F643,$F644,$G$3:$G643,$G644)&gt;0,"DOUBLON","VALIDE")))</f>
        <v/>
      </c>
    </row>
    <row r="645" ht="15" customHeight="1">
      <c r="A645" s="12">
        <f>IF(OR($B645="",$G645=""),"",TEXT($B645,"YYYYMMDD")&amp;"-"&amp;SUBSTITUTE($E645," ","")&amp;"-"&amp;$F645&amp;"-"&amp;$G645)</f>
        <v/>
      </c>
      <c r="B645" s="15" t="n"/>
      <c r="C645" s="16" t="n"/>
      <c r="D645" s="10" t="n"/>
      <c r="E645" s="9" t="n"/>
      <c r="F645" s="9" t="n"/>
      <c r="G645" s="13" t="n"/>
      <c r="H645" s="21" t="n"/>
      <c r="I645" s="21" t="n"/>
      <c r="J645" s="17">
        <f>IF($G645="","",IFERROR(INDEX(NomsEmployes,MATCH($G645,MatriculesEmployes,0)),"MATRICULE INCONNU"))</f>
        <v/>
      </c>
      <c r="K645" s="33">
        <f>IF(OR($D645="",$F645=""),"",IFERROR(IF(INDEX(RUNS!$L$6:$S$1005,MATCH($D645,RUNS!$A$6:$A$1005,0),MATCH("ACTIVITÉ "&amp;$F645,RUNS!$L$5:$S$5,0))="","",INDEX(RUNS!$L$6:$S$1005,MATCH($D645,RUNS!$A$6:$A$1005,0),MATCH("ACTIVITÉ "&amp;$F645,RUNS!$L$5:$S$5,0))),""))</f>
        <v/>
      </c>
      <c r="L645" s="33">
        <f>IF($D645="","",IFERROR(IF(INDEX(RUNS!$E$6:$E$1005,MATCH($D645,RUNS!$A$6:$A$1005,0))="","",INDEX(RUNS!$E$6:$E$1005,MATCH($D645,RUNS!$A$6:$A$1005,0))),""))</f>
        <v/>
      </c>
      <c r="M645" s="33">
        <f>IF($D645="","",IFERROR(IF(INDEX(RUNS!$F$6:$F$1005,MATCH($D645,RUNS!$A$6:$A$1005,0))="","",INDEX(RUNS!$F$6:$F$1005,MATCH($D645,RUNS!$A$6:$A$1005,0))),""))</f>
        <v/>
      </c>
      <c r="N645" s="33">
        <f>IF($D645="","",IFERROR(IF(INDEX(RUNS!$G$6:$G$1005,MATCH($D645,RUNS!$A$6:$A$1005,0))="","",INDEX(RUNS!$G$6:$G$1005,MATCH($D645,RUNS!$A$6:$A$1005,0))),""))</f>
        <v/>
      </c>
      <c r="O645" s="33">
        <f>IF($D645="","",IFERROR(IF(INDEX(RUNS!$H$6:$H$1005,MATCH($D645,RUNS!$A$6:$A$1005,0))="","",INDEX(RUNS!$H$6:$H$1005,MATCH($D645,RUNS!$A$6:$A$1005,0))),""))</f>
        <v/>
      </c>
      <c r="P645" s="33">
        <f>IF($D645="","",IFERROR(IF(INDEX(RUNS!$J$6:$J$1005,MATCH($D645,RUNS!$A$6:$A$1005,0))="","",INDEX(RUNS!$J$6:$J$1005,MATCH($D645,RUNS!$A$6:$A$1005,0))),""))</f>
        <v/>
      </c>
      <c r="Q645" s="33">
        <f>IF($D645="","",IFERROR(IF(INDEX(RUNS!$K$6:$K$1005,MATCH($D645,RUNS!$A$6:$A$1005,0))="","",INDEX(RUNS!$K$6:$K$1005,MATCH($D645,RUNS!$A$6:$A$1005,0))),""))</f>
        <v/>
      </c>
      <c r="R645" s="34">
        <f>IF(OR($L645="",$K645=""),"",IFERROR(IF(INDEX(PARAMETRES!$H$43:$H$342,MATCH($L645&amp;"|"&amp;$M645&amp;"|"&amp;$N645&amp;"|"&amp;$O645&amp;"|"&amp;$P645&amp;"|"&amp;$Q645&amp;"|"&amp;$K645,PARAMETRES!$J$43:$J$342,0))="","",INDEX(PARAMETRES!$H$43:$H$342,MATCH($L645&amp;"|"&amp;$M645&amp;"|"&amp;$N645&amp;"|"&amp;$O645&amp;"|"&amp;$P645&amp;"|"&amp;$Q645&amp;"|"&amp;$K645,PARAMETRES!$J$43:$J$342,0))),""))</f>
        <v/>
      </c>
      <c r="S645" s="35">
        <f>IF(OR($G645="",$X645&lt;&gt;"VALIDE"),"",IFERROR(LOOKUP(2,1/(($B$3:$B644=$B645)*($G$3:$G644=$G645)*($X$3:$X644="VALIDE")),$C$3:$C644),""))</f>
        <v/>
      </c>
      <c r="T645" s="36">
        <f>IF(OR($C645="",$S645=""),"",ROUND(($C645-$S645+IF($C645&lt;$S645,1,0))*1440,0))</f>
        <v/>
      </c>
      <c r="U645" s="22">
        <f>IF(OR($H645="",$T645="",$T645&lt;=0),"",$H645*60/$T645)</f>
        <v/>
      </c>
      <c r="V645" s="37">
        <f>IF(OR($U645="",$R645="",$R645=0),"",$U645/$R645)</f>
        <v/>
      </c>
      <c r="W645" s="20">
        <f>IF($G645="","",IF($X645="CONTEXTE INCOMPLET","CONTEXTE INCOMPLET",IF($X645="DOUBLON",StatutDoublon,IF($S645="",StatutInitial,IF($R645="",StatutStandardManquant,IF($V645="","DONNEES INSUFFISANTES",IF($V645&gt;=SeuilConforme,StatutConforme,IF($V645&gt;=SeuilSurveiller,StatutSurveiller,StatutSousStandard))))))))</f>
        <v/>
      </c>
      <c r="X645" s="33">
        <f>IF($G645="","",IF(OR($D645="",$E645="",$F645=""),"CONTEXTE INCOMPLET",IF(COUNTIFS($D$3:$D644,$D645,$E$3:$E644,$E645,$F$3:$F644,$F645,$G$3:$G644,$G645)&gt;0,"DOUBLON","VALIDE")))</f>
        <v/>
      </c>
    </row>
    <row r="646" ht="15" customHeight="1">
      <c r="A646" s="12">
        <f>IF(OR($B646="",$G646=""),"",TEXT($B646,"YYYYMMDD")&amp;"-"&amp;SUBSTITUTE($E646," ","")&amp;"-"&amp;$F646&amp;"-"&amp;$G646)</f>
        <v/>
      </c>
      <c r="B646" s="15" t="n"/>
      <c r="C646" s="16" t="n"/>
      <c r="D646" s="10" t="n"/>
      <c r="E646" s="9" t="n"/>
      <c r="F646" s="9" t="n"/>
      <c r="G646" s="13" t="n"/>
      <c r="H646" s="21" t="n"/>
      <c r="I646" s="21" t="n"/>
      <c r="J646" s="17">
        <f>IF($G646="","",IFERROR(INDEX(NomsEmployes,MATCH($G646,MatriculesEmployes,0)),"MATRICULE INCONNU"))</f>
        <v/>
      </c>
      <c r="K646" s="33">
        <f>IF(OR($D646="",$F646=""),"",IFERROR(IF(INDEX(RUNS!$L$6:$S$1005,MATCH($D646,RUNS!$A$6:$A$1005,0),MATCH("ACTIVITÉ "&amp;$F646,RUNS!$L$5:$S$5,0))="","",INDEX(RUNS!$L$6:$S$1005,MATCH($D646,RUNS!$A$6:$A$1005,0),MATCH("ACTIVITÉ "&amp;$F646,RUNS!$L$5:$S$5,0))),""))</f>
        <v/>
      </c>
      <c r="L646" s="33">
        <f>IF($D646="","",IFERROR(IF(INDEX(RUNS!$E$6:$E$1005,MATCH($D646,RUNS!$A$6:$A$1005,0))="","",INDEX(RUNS!$E$6:$E$1005,MATCH($D646,RUNS!$A$6:$A$1005,0))),""))</f>
        <v/>
      </c>
      <c r="M646" s="33">
        <f>IF($D646="","",IFERROR(IF(INDEX(RUNS!$F$6:$F$1005,MATCH($D646,RUNS!$A$6:$A$1005,0))="","",INDEX(RUNS!$F$6:$F$1005,MATCH($D646,RUNS!$A$6:$A$1005,0))),""))</f>
        <v/>
      </c>
      <c r="N646" s="33">
        <f>IF($D646="","",IFERROR(IF(INDEX(RUNS!$G$6:$G$1005,MATCH($D646,RUNS!$A$6:$A$1005,0))="","",INDEX(RUNS!$G$6:$G$1005,MATCH($D646,RUNS!$A$6:$A$1005,0))),""))</f>
        <v/>
      </c>
      <c r="O646" s="33">
        <f>IF($D646="","",IFERROR(IF(INDEX(RUNS!$H$6:$H$1005,MATCH($D646,RUNS!$A$6:$A$1005,0))="","",INDEX(RUNS!$H$6:$H$1005,MATCH($D646,RUNS!$A$6:$A$1005,0))),""))</f>
        <v/>
      </c>
      <c r="P646" s="33">
        <f>IF($D646="","",IFERROR(IF(INDEX(RUNS!$J$6:$J$1005,MATCH($D646,RUNS!$A$6:$A$1005,0))="","",INDEX(RUNS!$J$6:$J$1005,MATCH($D646,RUNS!$A$6:$A$1005,0))),""))</f>
        <v/>
      </c>
      <c r="Q646" s="33">
        <f>IF($D646="","",IFERROR(IF(INDEX(RUNS!$K$6:$K$1005,MATCH($D646,RUNS!$A$6:$A$1005,0))="","",INDEX(RUNS!$K$6:$K$1005,MATCH($D646,RUNS!$A$6:$A$1005,0))),""))</f>
        <v/>
      </c>
      <c r="R646" s="34">
        <f>IF(OR($L646="",$K646=""),"",IFERROR(IF(INDEX(PARAMETRES!$H$43:$H$342,MATCH($L646&amp;"|"&amp;$M646&amp;"|"&amp;$N646&amp;"|"&amp;$O646&amp;"|"&amp;$P646&amp;"|"&amp;$Q646&amp;"|"&amp;$K646,PARAMETRES!$J$43:$J$342,0))="","",INDEX(PARAMETRES!$H$43:$H$342,MATCH($L646&amp;"|"&amp;$M646&amp;"|"&amp;$N646&amp;"|"&amp;$O646&amp;"|"&amp;$P646&amp;"|"&amp;$Q646&amp;"|"&amp;$K646,PARAMETRES!$J$43:$J$342,0))),""))</f>
        <v/>
      </c>
      <c r="S646" s="35">
        <f>IF(OR($G646="",$X646&lt;&gt;"VALIDE"),"",IFERROR(LOOKUP(2,1/(($B$3:$B645=$B646)*($G$3:$G645=$G646)*($X$3:$X645="VALIDE")),$C$3:$C645),""))</f>
        <v/>
      </c>
      <c r="T646" s="36">
        <f>IF(OR($C646="",$S646=""),"",ROUND(($C646-$S646+IF($C646&lt;$S646,1,0))*1440,0))</f>
        <v/>
      </c>
      <c r="U646" s="22">
        <f>IF(OR($H646="",$T646="",$T646&lt;=0),"",$H646*60/$T646)</f>
        <v/>
      </c>
      <c r="V646" s="37">
        <f>IF(OR($U646="",$R646="",$R646=0),"",$U646/$R646)</f>
        <v/>
      </c>
      <c r="W646" s="20">
        <f>IF($G646="","",IF($X646="CONTEXTE INCOMPLET","CONTEXTE INCOMPLET",IF($X646="DOUBLON",StatutDoublon,IF($S646="",StatutInitial,IF($R646="",StatutStandardManquant,IF($V646="","DONNEES INSUFFISANTES",IF($V646&gt;=SeuilConforme,StatutConforme,IF($V646&gt;=SeuilSurveiller,StatutSurveiller,StatutSousStandard))))))))</f>
        <v/>
      </c>
      <c r="X646" s="33">
        <f>IF($G646="","",IF(OR($D646="",$E646="",$F646=""),"CONTEXTE INCOMPLET",IF(COUNTIFS($D$3:$D645,$D646,$E$3:$E645,$E646,$F$3:$F645,$F646,$G$3:$G645,$G646)&gt;0,"DOUBLON","VALIDE")))</f>
        <v/>
      </c>
    </row>
    <row r="647" ht="15" customHeight="1">
      <c r="A647" s="12">
        <f>IF(OR($B647="",$G647=""),"",TEXT($B647,"YYYYMMDD")&amp;"-"&amp;SUBSTITUTE($E647," ","")&amp;"-"&amp;$F647&amp;"-"&amp;$G647)</f>
        <v/>
      </c>
      <c r="B647" s="15" t="n"/>
      <c r="C647" s="16" t="n"/>
      <c r="D647" s="10" t="n"/>
      <c r="E647" s="9" t="n"/>
      <c r="F647" s="9" t="n"/>
      <c r="G647" s="13" t="n"/>
      <c r="H647" s="21" t="n"/>
      <c r="I647" s="21" t="n"/>
      <c r="J647" s="17">
        <f>IF($G647="","",IFERROR(INDEX(NomsEmployes,MATCH($G647,MatriculesEmployes,0)),"MATRICULE INCONNU"))</f>
        <v/>
      </c>
      <c r="K647" s="33">
        <f>IF(OR($D647="",$F647=""),"",IFERROR(IF(INDEX(RUNS!$L$6:$S$1005,MATCH($D647,RUNS!$A$6:$A$1005,0),MATCH("ACTIVITÉ "&amp;$F647,RUNS!$L$5:$S$5,0))="","",INDEX(RUNS!$L$6:$S$1005,MATCH($D647,RUNS!$A$6:$A$1005,0),MATCH("ACTIVITÉ "&amp;$F647,RUNS!$L$5:$S$5,0))),""))</f>
        <v/>
      </c>
      <c r="L647" s="33">
        <f>IF($D647="","",IFERROR(IF(INDEX(RUNS!$E$6:$E$1005,MATCH($D647,RUNS!$A$6:$A$1005,0))="","",INDEX(RUNS!$E$6:$E$1005,MATCH($D647,RUNS!$A$6:$A$1005,0))),""))</f>
        <v/>
      </c>
      <c r="M647" s="33">
        <f>IF($D647="","",IFERROR(IF(INDEX(RUNS!$F$6:$F$1005,MATCH($D647,RUNS!$A$6:$A$1005,0))="","",INDEX(RUNS!$F$6:$F$1005,MATCH($D647,RUNS!$A$6:$A$1005,0))),""))</f>
        <v/>
      </c>
      <c r="N647" s="33">
        <f>IF($D647="","",IFERROR(IF(INDEX(RUNS!$G$6:$G$1005,MATCH($D647,RUNS!$A$6:$A$1005,0))="","",INDEX(RUNS!$G$6:$G$1005,MATCH($D647,RUNS!$A$6:$A$1005,0))),""))</f>
        <v/>
      </c>
      <c r="O647" s="33">
        <f>IF($D647="","",IFERROR(IF(INDEX(RUNS!$H$6:$H$1005,MATCH($D647,RUNS!$A$6:$A$1005,0))="","",INDEX(RUNS!$H$6:$H$1005,MATCH($D647,RUNS!$A$6:$A$1005,0))),""))</f>
        <v/>
      </c>
      <c r="P647" s="33">
        <f>IF($D647="","",IFERROR(IF(INDEX(RUNS!$J$6:$J$1005,MATCH($D647,RUNS!$A$6:$A$1005,0))="","",INDEX(RUNS!$J$6:$J$1005,MATCH($D647,RUNS!$A$6:$A$1005,0))),""))</f>
        <v/>
      </c>
      <c r="Q647" s="33">
        <f>IF($D647="","",IFERROR(IF(INDEX(RUNS!$K$6:$K$1005,MATCH($D647,RUNS!$A$6:$A$1005,0))="","",INDEX(RUNS!$K$6:$K$1005,MATCH($D647,RUNS!$A$6:$A$1005,0))),""))</f>
        <v/>
      </c>
      <c r="R647" s="34">
        <f>IF(OR($L647="",$K647=""),"",IFERROR(IF(INDEX(PARAMETRES!$H$43:$H$342,MATCH($L647&amp;"|"&amp;$M647&amp;"|"&amp;$N647&amp;"|"&amp;$O647&amp;"|"&amp;$P647&amp;"|"&amp;$Q647&amp;"|"&amp;$K647,PARAMETRES!$J$43:$J$342,0))="","",INDEX(PARAMETRES!$H$43:$H$342,MATCH($L647&amp;"|"&amp;$M647&amp;"|"&amp;$N647&amp;"|"&amp;$O647&amp;"|"&amp;$P647&amp;"|"&amp;$Q647&amp;"|"&amp;$K647,PARAMETRES!$J$43:$J$342,0))),""))</f>
        <v/>
      </c>
      <c r="S647" s="35">
        <f>IF(OR($G647="",$X647&lt;&gt;"VALIDE"),"",IFERROR(LOOKUP(2,1/(($B$3:$B646=$B647)*($G$3:$G646=$G647)*($X$3:$X646="VALIDE")),$C$3:$C646),""))</f>
        <v/>
      </c>
      <c r="T647" s="36">
        <f>IF(OR($C647="",$S647=""),"",ROUND(($C647-$S647+IF($C647&lt;$S647,1,0))*1440,0))</f>
        <v/>
      </c>
      <c r="U647" s="22">
        <f>IF(OR($H647="",$T647="",$T647&lt;=0),"",$H647*60/$T647)</f>
        <v/>
      </c>
      <c r="V647" s="37">
        <f>IF(OR($U647="",$R647="",$R647=0),"",$U647/$R647)</f>
        <v/>
      </c>
      <c r="W647" s="20">
        <f>IF($G647="","",IF($X647="CONTEXTE INCOMPLET","CONTEXTE INCOMPLET",IF($X647="DOUBLON",StatutDoublon,IF($S647="",StatutInitial,IF($R647="",StatutStandardManquant,IF($V647="","DONNEES INSUFFISANTES",IF($V647&gt;=SeuilConforme,StatutConforme,IF($V647&gt;=SeuilSurveiller,StatutSurveiller,StatutSousStandard))))))))</f>
        <v/>
      </c>
      <c r="X647" s="33">
        <f>IF($G647="","",IF(OR($D647="",$E647="",$F647=""),"CONTEXTE INCOMPLET",IF(COUNTIFS($D$3:$D646,$D647,$E$3:$E646,$E647,$F$3:$F646,$F647,$G$3:$G646,$G647)&gt;0,"DOUBLON","VALIDE")))</f>
        <v/>
      </c>
    </row>
    <row r="648" ht="15" customHeight="1">
      <c r="A648" s="12">
        <f>IF(OR($B648="",$G648=""),"",TEXT($B648,"YYYYMMDD")&amp;"-"&amp;SUBSTITUTE($E648," ","")&amp;"-"&amp;$F648&amp;"-"&amp;$G648)</f>
        <v/>
      </c>
      <c r="B648" s="15" t="n"/>
      <c r="C648" s="16" t="n"/>
      <c r="D648" s="10" t="n"/>
      <c r="E648" s="9" t="n"/>
      <c r="F648" s="9" t="n"/>
      <c r="G648" s="13" t="n"/>
      <c r="H648" s="21" t="n"/>
      <c r="I648" s="21" t="n"/>
      <c r="J648" s="17">
        <f>IF($G648="","",IFERROR(INDEX(NomsEmployes,MATCH($G648,MatriculesEmployes,0)),"MATRICULE INCONNU"))</f>
        <v/>
      </c>
      <c r="K648" s="33">
        <f>IF(OR($D648="",$F648=""),"",IFERROR(IF(INDEX(RUNS!$L$6:$S$1005,MATCH($D648,RUNS!$A$6:$A$1005,0),MATCH("ACTIVITÉ "&amp;$F648,RUNS!$L$5:$S$5,0))="","",INDEX(RUNS!$L$6:$S$1005,MATCH($D648,RUNS!$A$6:$A$1005,0),MATCH("ACTIVITÉ "&amp;$F648,RUNS!$L$5:$S$5,0))),""))</f>
        <v/>
      </c>
      <c r="L648" s="33">
        <f>IF($D648="","",IFERROR(IF(INDEX(RUNS!$E$6:$E$1005,MATCH($D648,RUNS!$A$6:$A$1005,0))="","",INDEX(RUNS!$E$6:$E$1005,MATCH($D648,RUNS!$A$6:$A$1005,0))),""))</f>
        <v/>
      </c>
      <c r="M648" s="33">
        <f>IF($D648="","",IFERROR(IF(INDEX(RUNS!$F$6:$F$1005,MATCH($D648,RUNS!$A$6:$A$1005,0))="","",INDEX(RUNS!$F$6:$F$1005,MATCH($D648,RUNS!$A$6:$A$1005,0))),""))</f>
        <v/>
      </c>
      <c r="N648" s="33">
        <f>IF($D648="","",IFERROR(IF(INDEX(RUNS!$G$6:$G$1005,MATCH($D648,RUNS!$A$6:$A$1005,0))="","",INDEX(RUNS!$G$6:$G$1005,MATCH($D648,RUNS!$A$6:$A$1005,0))),""))</f>
        <v/>
      </c>
      <c r="O648" s="33">
        <f>IF($D648="","",IFERROR(IF(INDEX(RUNS!$H$6:$H$1005,MATCH($D648,RUNS!$A$6:$A$1005,0))="","",INDEX(RUNS!$H$6:$H$1005,MATCH($D648,RUNS!$A$6:$A$1005,0))),""))</f>
        <v/>
      </c>
      <c r="P648" s="33">
        <f>IF($D648="","",IFERROR(IF(INDEX(RUNS!$J$6:$J$1005,MATCH($D648,RUNS!$A$6:$A$1005,0))="","",INDEX(RUNS!$J$6:$J$1005,MATCH($D648,RUNS!$A$6:$A$1005,0))),""))</f>
        <v/>
      </c>
      <c r="Q648" s="33">
        <f>IF($D648="","",IFERROR(IF(INDEX(RUNS!$K$6:$K$1005,MATCH($D648,RUNS!$A$6:$A$1005,0))="","",INDEX(RUNS!$K$6:$K$1005,MATCH($D648,RUNS!$A$6:$A$1005,0))),""))</f>
        <v/>
      </c>
      <c r="R648" s="34">
        <f>IF(OR($L648="",$K648=""),"",IFERROR(IF(INDEX(PARAMETRES!$H$43:$H$342,MATCH($L648&amp;"|"&amp;$M648&amp;"|"&amp;$N648&amp;"|"&amp;$O648&amp;"|"&amp;$P648&amp;"|"&amp;$Q648&amp;"|"&amp;$K648,PARAMETRES!$J$43:$J$342,0))="","",INDEX(PARAMETRES!$H$43:$H$342,MATCH($L648&amp;"|"&amp;$M648&amp;"|"&amp;$N648&amp;"|"&amp;$O648&amp;"|"&amp;$P648&amp;"|"&amp;$Q648&amp;"|"&amp;$K648,PARAMETRES!$J$43:$J$342,0))),""))</f>
        <v/>
      </c>
      <c r="S648" s="35">
        <f>IF(OR($G648="",$X648&lt;&gt;"VALIDE"),"",IFERROR(LOOKUP(2,1/(($B$3:$B647=$B648)*($G$3:$G647=$G648)*($X$3:$X647="VALIDE")),$C$3:$C647),""))</f>
        <v/>
      </c>
      <c r="T648" s="36">
        <f>IF(OR($C648="",$S648=""),"",ROUND(($C648-$S648+IF($C648&lt;$S648,1,0))*1440,0))</f>
        <v/>
      </c>
      <c r="U648" s="22">
        <f>IF(OR($H648="",$T648="",$T648&lt;=0),"",$H648*60/$T648)</f>
        <v/>
      </c>
      <c r="V648" s="37">
        <f>IF(OR($U648="",$R648="",$R648=0),"",$U648/$R648)</f>
        <v/>
      </c>
      <c r="W648" s="20">
        <f>IF($G648="","",IF($X648="CONTEXTE INCOMPLET","CONTEXTE INCOMPLET",IF($X648="DOUBLON",StatutDoublon,IF($S648="",StatutInitial,IF($R648="",StatutStandardManquant,IF($V648="","DONNEES INSUFFISANTES",IF($V648&gt;=SeuilConforme,StatutConforme,IF($V648&gt;=SeuilSurveiller,StatutSurveiller,StatutSousStandard))))))))</f>
        <v/>
      </c>
      <c r="X648" s="33">
        <f>IF($G648="","",IF(OR($D648="",$E648="",$F648=""),"CONTEXTE INCOMPLET",IF(COUNTIFS($D$3:$D647,$D648,$E$3:$E647,$E648,$F$3:$F647,$F648,$G$3:$G647,$G648)&gt;0,"DOUBLON","VALIDE")))</f>
        <v/>
      </c>
    </row>
    <row r="649" ht="15" customHeight="1">
      <c r="A649" s="12">
        <f>IF(OR($B649="",$G649=""),"",TEXT($B649,"YYYYMMDD")&amp;"-"&amp;SUBSTITUTE($E649," ","")&amp;"-"&amp;$F649&amp;"-"&amp;$G649)</f>
        <v/>
      </c>
      <c r="B649" s="15" t="n"/>
      <c r="C649" s="16" t="n"/>
      <c r="D649" s="10" t="n"/>
      <c r="E649" s="9" t="n"/>
      <c r="F649" s="9" t="n"/>
      <c r="G649" s="13" t="n"/>
      <c r="H649" s="21" t="n"/>
      <c r="I649" s="21" t="n"/>
      <c r="J649" s="17">
        <f>IF($G649="","",IFERROR(INDEX(NomsEmployes,MATCH($G649,MatriculesEmployes,0)),"MATRICULE INCONNU"))</f>
        <v/>
      </c>
      <c r="K649" s="33">
        <f>IF(OR($D649="",$F649=""),"",IFERROR(IF(INDEX(RUNS!$L$6:$S$1005,MATCH($D649,RUNS!$A$6:$A$1005,0),MATCH("ACTIVITÉ "&amp;$F649,RUNS!$L$5:$S$5,0))="","",INDEX(RUNS!$L$6:$S$1005,MATCH($D649,RUNS!$A$6:$A$1005,0),MATCH("ACTIVITÉ "&amp;$F649,RUNS!$L$5:$S$5,0))),""))</f>
        <v/>
      </c>
      <c r="L649" s="33">
        <f>IF($D649="","",IFERROR(IF(INDEX(RUNS!$E$6:$E$1005,MATCH($D649,RUNS!$A$6:$A$1005,0))="","",INDEX(RUNS!$E$6:$E$1005,MATCH($D649,RUNS!$A$6:$A$1005,0))),""))</f>
        <v/>
      </c>
      <c r="M649" s="33">
        <f>IF($D649="","",IFERROR(IF(INDEX(RUNS!$F$6:$F$1005,MATCH($D649,RUNS!$A$6:$A$1005,0))="","",INDEX(RUNS!$F$6:$F$1005,MATCH($D649,RUNS!$A$6:$A$1005,0))),""))</f>
        <v/>
      </c>
      <c r="N649" s="33">
        <f>IF($D649="","",IFERROR(IF(INDEX(RUNS!$G$6:$G$1005,MATCH($D649,RUNS!$A$6:$A$1005,0))="","",INDEX(RUNS!$G$6:$G$1005,MATCH($D649,RUNS!$A$6:$A$1005,0))),""))</f>
        <v/>
      </c>
      <c r="O649" s="33">
        <f>IF($D649="","",IFERROR(IF(INDEX(RUNS!$H$6:$H$1005,MATCH($D649,RUNS!$A$6:$A$1005,0))="","",INDEX(RUNS!$H$6:$H$1005,MATCH($D649,RUNS!$A$6:$A$1005,0))),""))</f>
        <v/>
      </c>
      <c r="P649" s="33">
        <f>IF($D649="","",IFERROR(IF(INDEX(RUNS!$J$6:$J$1005,MATCH($D649,RUNS!$A$6:$A$1005,0))="","",INDEX(RUNS!$J$6:$J$1005,MATCH($D649,RUNS!$A$6:$A$1005,0))),""))</f>
        <v/>
      </c>
      <c r="Q649" s="33">
        <f>IF($D649="","",IFERROR(IF(INDEX(RUNS!$K$6:$K$1005,MATCH($D649,RUNS!$A$6:$A$1005,0))="","",INDEX(RUNS!$K$6:$K$1005,MATCH($D649,RUNS!$A$6:$A$1005,0))),""))</f>
        <v/>
      </c>
      <c r="R649" s="34">
        <f>IF(OR($L649="",$K649=""),"",IFERROR(IF(INDEX(PARAMETRES!$H$43:$H$342,MATCH($L649&amp;"|"&amp;$M649&amp;"|"&amp;$N649&amp;"|"&amp;$O649&amp;"|"&amp;$P649&amp;"|"&amp;$Q649&amp;"|"&amp;$K649,PARAMETRES!$J$43:$J$342,0))="","",INDEX(PARAMETRES!$H$43:$H$342,MATCH($L649&amp;"|"&amp;$M649&amp;"|"&amp;$N649&amp;"|"&amp;$O649&amp;"|"&amp;$P649&amp;"|"&amp;$Q649&amp;"|"&amp;$K649,PARAMETRES!$J$43:$J$342,0))),""))</f>
        <v/>
      </c>
      <c r="S649" s="35">
        <f>IF(OR($G649="",$X649&lt;&gt;"VALIDE"),"",IFERROR(LOOKUP(2,1/(($B$3:$B648=$B649)*($G$3:$G648=$G649)*($X$3:$X648="VALIDE")),$C$3:$C648),""))</f>
        <v/>
      </c>
      <c r="T649" s="36">
        <f>IF(OR($C649="",$S649=""),"",ROUND(($C649-$S649+IF($C649&lt;$S649,1,0))*1440,0))</f>
        <v/>
      </c>
      <c r="U649" s="22">
        <f>IF(OR($H649="",$T649="",$T649&lt;=0),"",$H649*60/$T649)</f>
        <v/>
      </c>
      <c r="V649" s="37">
        <f>IF(OR($U649="",$R649="",$R649=0),"",$U649/$R649)</f>
        <v/>
      </c>
      <c r="W649" s="20">
        <f>IF($G649="","",IF($X649="CONTEXTE INCOMPLET","CONTEXTE INCOMPLET",IF($X649="DOUBLON",StatutDoublon,IF($S649="",StatutInitial,IF($R649="",StatutStandardManquant,IF($V649="","DONNEES INSUFFISANTES",IF($V649&gt;=SeuilConforme,StatutConforme,IF($V649&gt;=SeuilSurveiller,StatutSurveiller,StatutSousStandard))))))))</f>
        <v/>
      </c>
      <c r="X649" s="33">
        <f>IF($G649="","",IF(OR($D649="",$E649="",$F649=""),"CONTEXTE INCOMPLET",IF(COUNTIFS($D$3:$D648,$D649,$E$3:$E648,$E649,$F$3:$F648,$F649,$G$3:$G648,$G649)&gt;0,"DOUBLON","VALIDE")))</f>
        <v/>
      </c>
    </row>
    <row r="650" ht="15" customHeight="1">
      <c r="A650" s="12">
        <f>IF(OR($B650="",$G650=""),"",TEXT($B650,"YYYYMMDD")&amp;"-"&amp;SUBSTITUTE($E650," ","")&amp;"-"&amp;$F650&amp;"-"&amp;$G650)</f>
        <v/>
      </c>
      <c r="B650" s="15" t="n"/>
      <c r="C650" s="16" t="n"/>
      <c r="D650" s="10" t="n"/>
      <c r="E650" s="9" t="n"/>
      <c r="F650" s="9" t="n"/>
      <c r="G650" s="13" t="n"/>
      <c r="H650" s="21" t="n"/>
      <c r="I650" s="21" t="n"/>
      <c r="J650" s="17">
        <f>IF($G650="","",IFERROR(INDEX(NomsEmployes,MATCH($G650,MatriculesEmployes,0)),"MATRICULE INCONNU"))</f>
        <v/>
      </c>
      <c r="K650" s="33">
        <f>IF(OR($D650="",$F650=""),"",IFERROR(IF(INDEX(RUNS!$L$6:$S$1005,MATCH($D650,RUNS!$A$6:$A$1005,0),MATCH("ACTIVITÉ "&amp;$F650,RUNS!$L$5:$S$5,0))="","",INDEX(RUNS!$L$6:$S$1005,MATCH($D650,RUNS!$A$6:$A$1005,0),MATCH("ACTIVITÉ "&amp;$F650,RUNS!$L$5:$S$5,0))),""))</f>
        <v/>
      </c>
      <c r="L650" s="33">
        <f>IF($D650="","",IFERROR(IF(INDEX(RUNS!$E$6:$E$1005,MATCH($D650,RUNS!$A$6:$A$1005,0))="","",INDEX(RUNS!$E$6:$E$1005,MATCH($D650,RUNS!$A$6:$A$1005,0))),""))</f>
        <v/>
      </c>
      <c r="M650" s="33">
        <f>IF($D650="","",IFERROR(IF(INDEX(RUNS!$F$6:$F$1005,MATCH($D650,RUNS!$A$6:$A$1005,0))="","",INDEX(RUNS!$F$6:$F$1005,MATCH($D650,RUNS!$A$6:$A$1005,0))),""))</f>
        <v/>
      </c>
      <c r="N650" s="33">
        <f>IF($D650="","",IFERROR(IF(INDEX(RUNS!$G$6:$G$1005,MATCH($D650,RUNS!$A$6:$A$1005,0))="","",INDEX(RUNS!$G$6:$G$1005,MATCH($D650,RUNS!$A$6:$A$1005,0))),""))</f>
        <v/>
      </c>
      <c r="O650" s="33">
        <f>IF($D650="","",IFERROR(IF(INDEX(RUNS!$H$6:$H$1005,MATCH($D650,RUNS!$A$6:$A$1005,0))="","",INDEX(RUNS!$H$6:$H$1005,MATCH($D650,RUNS!$A$6:$A$1005,0))),""))</f>
        <v/>
      </c>
      <c r="P650" s="33">
        <f>IF($D650="","",IFERROR(IF(INDEX(RUNS!$J$6:$J$1005,MATCH($D650,RUNS!$A$6:$A$1005,0))="","",INDEX(RUNS!$J$6:$J$1005,MATCH($D650,RUNS!$A$6:$A$1005,0))),""))</f>
        <v/>
      </c>
      <c r="Q650" s="33">
        <f>IF($D650="","",IFERROR(IF(INDEX(RUNS!$K$6:$K$1005,MATCH($D650,RUNS!$A$6:$A$1005,0))="","",INDEX(RUNS!$K$6:$K$1005,MATCH($D650,RUNS!$A$6:$A$1005,0))),""))</f>
        <v/>
      </c>
      <c r="R650" s="34">
        <f>IF(OR($L650="",$K650=""),"",IFERROR(IF(INDEX(PARAMETRES!$H$43:$H$342,MATCH($L650&amp;"|"&amp;$M650&amp;"|"&amp;$N650&amp;"|"&amp;$O650&amp;"|"&amp;$P650&amp;"|"&amp;$Q650&amp;"|"&amp;$K650,PARAMETRES!$J$43:$J$342,0))="","",INDEX(PARAMETRES!$H$43:$H$342,MATCH($L650&amp;"|"&amp;$M650&amp;"|"&amp;$N650&amp;"|"&amp;$O650&amp;"|"&amp;$P650&amp;"|"&amp;$Q650&amp;"|"&amp;$K650,PARAMETRES!$J$43:$J$342,0))),""))</f>
        <v/>
      </c>
      <c r="S650" s="35">
        <f>IF(OR($G650="",$X650&lt;&gt;"VALIDE"),"",IFERROR(LOOKUP(2,1/(($B$3:$B649=$B650)*($G$3:$G649=$G650)*($X$3:$X649="VALIDE")),$C$3:$C649),""))</f>
        <v/>
      </c>
      <c r="T650" s="36">
        <f>IF(OR($C650="",$S650=""),"",ROUND(($C650-$S650+IF($C650&lt;$S650,1,0))*1440,0))</f>
        <v/>
      </c>
      <c r="U650" s="22">
        <f>IF(OR($H650="",$T650="",$T650&lt;=0),"",$H650*60/$T650)</f>
        <v/>
      </c>
      <c r="V650" s="37">
        <f>IF(OR($U650="",$R650="",$R650=0),"",$U650/$R650)</f>
        <v/>
      </c>
      <c r="W650" s="20">
        <f>IF($G650="","",IF($X650="CONTEXTE INCOMPLET","CONTEXTE INCOMPLET",IF($X650="DOUBLON",StatutDoublon,IF($S650="",StatutInitial,IF($R650="",StatutStandardManquant,IF($V650="","DONNEES INSUFFISANTES",IF($V650&gt;=SeuilConforme,StatutConforme,IF($V650&gt;=SeuilSurveiller,StatutSurveiller,StatutSousStandard))))))))</f>
        <v/>
      </c>
      <c r="X650" s="33">
        <f>IF($G650="","",IF(OR($D650="",$E650="",$F650=""),"CONTEXTE INCOMPLET",IF(COUNTIFS($D$3:$D649,$D650,$E$3:$E649,$E650,$F$3:$F649,$F650,$G$3:$G649,$G650)&gt;0,"DOUBLON","VALIDE")))</f>
        <v/>
      </c>
    </row>
    <row r="651" ht="15" customHeight="1">
      <c r="A651" s="12">
        <f>IF(OR($B651="",$G651=""),"",TEXT($B651,"YYYYMMDD")&amp;"-"&amp;SUBSTITUTE($E651," ","")&amp;"-"&amp;$F651&amp;"-"&amp;$G651)</f>
        <v/>
      </c>
      <c r="B651" s="15" t="n"/>
      <c r="C651" s="16" t="n"/>
      <c r="D651" s="10" t="n"/>
      <c r="E651" s="9" t="n"/>
      <c r="F651" s="9" t="n"/>
      <c r="G651" s="13" t="n"/>
      <c r="H651" s="21" t="n"/>
      <c r="I651" s="21" t="n"/>
      <c r="J651" s="17">
        <f>IF($G651="","",IFERROR(INDEX(NomsEmployes,MATCH($G651,MatriculesEmployes,0)),"MATRICULE INCONNU"))</f>
        <v/>
      </c>
      <c r="K651" s="33">
        <f>IF(OR($D651="",$F651=""),"",IFERROR(IF(INDEX(RUNS!$L$6:$S$1005,MATCH($D651,RUNS!$A$6:$A$1005,0),MATCH("ACTIVITÉ "&amp;$F651,RUNS!$L$5:$S$5,0))="","",INDEX(RUNS!$L$6:$S$1005,MATCH($D651,RUNS!$A$6:$A$1005,0),MATCH("ACTIVITÉ "&amp;$F651,RUNS!$L$5:$S$5,0))),""))</f>
        <v/>
      </c>
      <c r="L651" s="33">
        <f>IF($D651="","",IFERROR(IF(INDEX(RUNS!$E$6:$E$1005,MATCH($D651,RUNS!$A$6:$A$1005,0))="","",INDEX(RUNS!$E$6:$E$1005,MATCH($D651,RUNS!$A$6:$A$1005,0))),""))</f>
        <v/>
      </c>
      <c r="M651" s="33">
        <f>IF($D651="","",IFERROR(IF(INDEX(RUNS!$F$6:$F$1005,MATCH($D651,RUNS!$A$6:$A$1005,0))="","",INDEX(RUNS!$F$6:$F$1005,MATCH($D651,RUNS!$A$6:$A$1005,0))),""))</f>
        <v/>
      </c>
      <c r="N651" s="33">
        <f>IF($D651="","",IFERROR(IF(INDEX(RUNS!$G$6:$G$1005,MATCH($D651,RUNS!$A$6:$A$1005,0))="","",INDEX(RUNS!$G$6:$G$1005,MATCH($D651,RUNS!$A$6:$A$1005,0))),""))</f>
        <v/>
      </c>
      <c r="O651" s="33">
        <f>IF($D651="","",IFERROR(IF(INDEX(RUNS!$H$6:$H$1005,MATCH($D651,RUNS!$A$6:$A$1005,0))="","",INDEX(RUNS!$H$6:$H$1005,MATCH($D651,RUNS!$A$6:$A$1005,0))),""))</f>
        <v/>
      </c>
      <c r="P651" s="33">
        <f>IF($D651="","",IFERROR(IF(INDEX(RUNS!$J$6:$J$1005,MATCH($D651,RUNS!$A$6:$A$1005,0))="","",INDEX(RUNS!$J$6:$J$1005,MATCH($D651,RUNS!$A$6:$A$1005,0))),""))</f>
        <v/>
      </c>
      <c r="Q651" s="33">
        <f>IF($D651="","",IFERROR(IF(INDEX(RUNS!$K$6:$K$1005,MATCH($D651,RUNS!$A$6:$A$1005,0))="","",INDEX(RUNS!$K$6:$K$1005,MATCH($D651,RUNS!$A$6:$A$1005,0))),""))</f>
        <v/>
      </c>
      <c r="R651" s="34">
        <f>IF(OR($L651="",$K651=""),"",IFERROR(IF(INDEX(PARAMETRES!$H$43:$H$342,MATCH($L651&amp;"|"&amp;$M651&amp;"|"&amp;$N651&amp;"|"&amp;$O651&amp;"|"&amp;$P651&amp;"|"&amp;$Q651&amp;"|"&amp;$K651,PARAMETRES!$J$43:$J$342,0))="","",INDEX(PARAMETRES!$H$43:$H$342,MATCH($L651&amp;"|"&amp;$M651&amp;"|"&amp;$N651&amp;"|"&amp;$O651&amp;"|"&amp;$P651&amp;"|"&amp;$Q651&amp;"|"&amp;$K651,PARAMETRES!$J$43:$J$342,0))),""))</f>
        <v/>
      </c>
      <c r="S651" s="35">
        <f>IF(OR($G651="",$X651&lt;&gt;"VALIDE"),"",IFERROR(LOOKUP(2,1/(($B$3:$B650=$B651)*($G$3:$G650=$G651)*($X$3:$X650="VALIDE")),$C$3:$C650),""))</f>
        <v/>
      </c>
      <c r="T651" s="36">
        <f>IF(OR($C651="",$S651=""),"",ROUND(($C651-$S651+IF($C651&lt;$S651,1,0))*1440,0))</f>
        <v/>
      </c>
      <c r="U651" s="22">
        <f>IF(OR($H651="",$T651="",$T651&lt;=0),"",$H651*60/$T651)</f>
        <v/>
      </c>
      <c r="V651" s="37">
        <f>IF(OR($U651="",$R651="",$R651=0),"",$U651/$R651)</f>
        <v/>
      </c>
      <c r="W651" s="20">
        <f>IF($G651="","",IF($X651="CONTEXTE INCOMPLET","CONTEXTE INCOMPLET",IF($X651="DOUBLON",StatutDoublon,IF($S651="",StatutInitial,IF($R651="",StatutStandardManquant,IF($V651="","DONNEES INSUFFISANTES",IF($V651&gt;=SeuilConforme,StatutConforme,IF($V651&gt;=SeuilSurveiller,StatutSurveiller,StatutSousStandard))))))))</f>
        <v/>
      </c>
      <c r="X651" s="33">
        <f>IF($G651="","",IF(OR($D651="",$E651="",$F651=""),"CONTEXTE INCOMPLET",IF(COUNTIFS($D$3:$D650,$D651,$E$3:$E650,$E651,$F$3:$F650,$F651,$G$3:$G650,$G651)&gt;0,"DOUBLON","VALIDE")))</f>
        <v/>
      </c>
    </row>
    <row r="652" ht="15" customHeight="1">
      <c r="A652" s="12">
        <f>IF(OR($B652="",$G652=""),"",TEXT($B652,"YYYYMMDD")&amp;"-"&amp;SUBSTITUTE($E652," ","")&amp;"-"&amp;$F652&amp;"-"&amp;$G652)</f>
        <v/>
      </c>
      <c r="B652" s="15" t="n"/>
      <c r="C652" s="16" t="n"/>
      <c r="D652" s="10" t="n"/>
      <c r="E652" s="9" t="n"/>
      <c r="F652" s="9" t="n"/>
      <c r="G652" s="13" t="n"/>
      <c r="H652" s="21" t="n"/>
      <c r="I652" s="21" t="n"/>
      <c r="J652" s="17">
        <f>IF($G652="","",IFERROR(INDEX(NomsEmployes,MATCH($G652,MatriculesEmployes,0)),"MATRICULE INCONNU"))</f>
        <v/>
      </c>
      <c r="K652" s="33">
        <f>IF(OR($D652="",$F652=""),"",IFERROR(IF(INDEX(RUNS!$L$6:$S$1005,MATCH($D652,RUNS!$A$6:$A$1005,0),MATCH("ACTIVITÉ "&amp;$F652,RUNS!$L$5:$S$5,0))="","",INDEX(RUNS!$L$6:$S$1005,MATCH($D652,RUNS!$A$6:$A$1005,0),MATCH("ACTIVITÉ "&amp;$F652,RUNS!$L$5:$S$5,0))),""))</f>
        <v/>
      </c>
      <c r="L652" s="33">
        <f>IF($D652="","",IFERROR(IF(INDEX(RUNS!$E$6:$E$1005,MATCH($D652,RUNS!$A$6:$A$1005,0))="","",INDEX(RUNS!$E$6:$E$1005,MATCH($D652,RUNS!$A$6:$A$1005,0))),""))</f>
        <v/>
      </c>
      <c r="M652" s="33">
        <f>IF($D652="","",IFERROR(IF(INDEX(RUNS!$F$6:$F$1005,MATCH($D652,RUNS!$A$6:$A$1005,0))="","",INDEX(RUNS!$F$6:$F$1005,MATCH($D652,RUNS!$A$6:$A$1005,0))),""))</f>
        <v/>
      </c>
      <c r="N652" s="33">
        <f>IF($D652="","",IFERROR(IF(INDEX(RUNS!$G$6:$G$1005,MATCH($D652,RUNS!$A$6:$A$1005,0))="","",INDEX(RUNS!$G$6:$G$1005,MATCH($D652,RUNS!$A$6:$A$1005,0))),""))</f>
        <v/>
      </c>
      <c r="O652" s="33">
        <f>IF($D652="","",IFERROR(IF(INDEX(RUNS!$H$6:$H$1005,MATCH($D652,RUNS!$A$6:$A$1005,0))="","",INDEX(RUNS!$H$6:$H$1005,MATCH($D652,RUNS!$A$6:$A$1005,0))),""))</f>
        <v/>
      </c>
      <c r="P652" s="33">
        <f>IF($D652="","",IFERROR(IF(INDEX(RUNS!$J$6:$J$1005,MATCH($D652,RUNS!$A$6:$A$1005,0))="","",INDEX(RUNS!$J$6:$J$1005,MATCH($D652,RUNS!$A$6:$A$1005,0))),""))</f>
        <v/>
      </c>
      <c r="Q652" s="33">
        <f>IF($D652="","",IFERROR(IF(INDEX(RUNS!$K$6:$K$1005,MATCH($D652,RUNS!$A$6:$A$1005,0))="","",INDEX(RUNS!$K$6:$K$1005,MATCH($D652,RUNS!$A$6:$A$1005,0))),""))</f>
        <v/>
      </c>
      <c r="R652" s="34">
        <f>IF(OR($L652="",$K652=""),"",IFERROR(IF(INDEX(PARAMETRES!$H$43:$H$342,MATCH($L652&amp;"|"&amp;$M652&amp;"|"&amp;$N652&amp;"|"&amp;$O652&amp;"|"&amp;$P652&amp;"|"&amp;$Q652&amp;"|"&amp;$K652,PARAMETRES!$J$43:$J$342,0))="","",INDEX(PARAMETRES!$H$43:$H$342,MATCH($L652&amp;"|"&amp;$M652&amp;"|"&amp;$N652&amp;"|"&amp;$O652&amp;"|"&amp;$P652&amp;"|"&amp;$Q652&amp;"|"&amp;$K652,PARAMETRES!$J$43:$J$342,0))),""))</f>
        <v/>
      </c>
      <c r="S652" s="35">
        <f>IF(OR($G652="",$X652&lt;&gt;"VALIDE"),"",IFERROR(LOOKUP(2,1/(($B$3:$B651=$B652)*($G$3:$G651=$G652)*($X$3:$X651="VALIDE")),$C$3:$C651),""))</f>
        <v/>
      </c>
      <c r="T652" s="36">
        <f>IF(OR($C652="",$S652=""),"",ROUND(($C652-$S652+IF($C652&lt;$S652,1,0))*1440,0))</f>
        <v/>
      </c>
      <c r="U652" s="22">
        <f>IF(OR($H652="",$T652="",$T652&lt;=0),"",$H652*60/$T652)</f>
        <v/>
      </c>
      <c r="V652" s="37">
        <f>IF(OR($U652="",$R652="",$R652=0),"",$U652/$R652)</f>
        <v/>
      </c>
      <c r="W652" s="20">
        <f>IF($G652="","",IF($X652="CONTEXTE INCOMPLET","CONTEXTE INCOMPLET",IF($X652="DOUBLON",StatutDoublon,IF($S652="",StatutInitial,IF($R652="",StatutStandardManquant,IF($V652="","DONNEES INSUFFISANTES",IF($V652&gt;=SeuilConforme,StatutConforme,IF($V652&gt;=SeuilSurveiller,StatutSurveiller,StatutSousStandard))))))))</f>
        <v/>
      </c>
      <c r="X652" s="33">
        <f>IF($G652="","",IF(OR($D652="",$E652="",$F652=""),"CONTEXTE INCOMPLET",IF(COUNTIFS($D$3:$D651,$D652,$E$3:$E651,$E652,$F$3:$F651,$F652,$G$3:$G651,$G652)&gt;0,"DOUBLON","VALIDE")))</f>
        <v/>
      </c>
    </row>
    <row r="653" ht="15" customHeight="1">
      <c r="A653" s="12">
        <f>IF(OR($B653="",$G653=""),"",TEXT($B653,"YYYYMMDD")&amp;"-"&amp;SUBSTITUTE($E653," ","")&amp;"-"&amp;$F653&amp;"-"&amp;$G653)</f>
        <v/>
      </c>
      <c r="B653" s="15" t="n"/>
      <c r="C653" s="16" t="n"/>
      <c r="D653" s="10" t="n"/>
      <c r="E653" s="9" t="n"/>
      <c r="F653" s="9" t="n"/>
      <c r="G653" s="13" t="n"/>
      <c r="H653" s="21" t="n"/>
      <c r="I653" s="21" t="n"/>
      <c r="J653" s="17">
        <f>IF($G653="","",IFERROR(INDEX(NomsEmployes,MATCH($G653,MatriculesEmployes,0)),"MATRICULE INCONNU"))</f>
        <v/>
      </c>
      <c r="K653" s="33">
        <f>IF(OR($D653="",$F653=""),"",IFERROR(IF(INDEX(RUNS!$L$6:$S$1005,MATCH($D653,RUNS!$A$6:$A$1005,0),MATCH("ACTIVITÉ "&amp;$F653,RUNS!$L$5:$S$5,0))="","",INDEX(RUNS!$L$6:$S$1005,MATCH($D653,RUNS!$A$6:$A$1005,0),MATCH("ACTIVITÉ "&amp;$F653,RUNS!$L$5:$S$5,0))),""))</f>
        <v/>
      </c>
      <c r="L653" s="33">
        <f>IF($D653="","",IFERROR(IF(INDEX(RUNS!$E$6:$E$1005,MATCH($D653,RUNS!$A$6:$A$1005,0))="","",INDEX(RUNS!$E$6:$E$1005,MATCH($D653,RUNS!$A$6:$A$1005,0))),""))</f>
        <v/>
      </c>
      <c r="M653" s="33">
        <f>IF($D653="","",IFERROR(IF(INDEX(RUNS!$F$6:$F$1005,MATCH($D653,RUNS!$A$6:$A$1005,0))="","",INDEX(RUNS!$F$6:$F$1005,MATCH($D653,RUNS!$A$6:$A$1005,0))),""))</f>
        <v/>
      </c>
      <c r="N653" s="33">
        <f>IF($D653="","",IFERROR(IF(INDEX(RUNS!$G$6:$G$1005,MATCH($D653,RUNS!$A$6:$A$1005,0))="","",INDEX(RUNS!$G$6:$G$1005,MATCH($D653,RUNS!$A$6:$A$1005,0))),""))</f>
        <v/>
      </c>
      <c r="O653" s="33">
        <f>IF($D653="","",IFERROR(IF(INDEX(RUNS!$H$6:$H$1005,MATCH($D653,RUNS!$A$6:$A$1005,0))="","",INDEX(RUNS!$H$6:$H$1005,MATCH($D653,RUNS!$A$6:$A$1005,0))),""))</f>
        <v/>
      </c>
      <c r="P653" s="33">
        <f>IF($D653="","",IFERROR(IF(INDEX(RUNS!$J$6:$J$1005,MATCH($D653,RUNS!$A$6:$A$1005,0))="","",INDEX(RUNS!$J$6:$J$1005,MATCH($D653,RUNS!$A$6:$A$1005,0))),""))</f>
        <v/>
      </c>
      <c r="Q653" s="33">
        <f>IF($D653="","",IFERROR(IF(INDEX(RUNS!$K$6:$K$1005,MATCH($D653,RUNS!$A$6:$A$1005,0))="","",INDEX(RUNS!$K$6:$K$1005,MATCH($D653,RUNS!$A$6:$A$1005,0))),""))</f>
        <v/>
      </c>
      <c r="R653" s="34">
        <f>IF(OR($L653="",$K653=""),"",IFERROR(IF(INDEX(PARAMETRES!$H$43:$H$342,MATCH($L653&amp;"|"&amp;$M653&amp;"|"&amp;$N653&amp;"|"&amp;$O653&amp;"|"&amp;$P653&amp;"|"&amp;$Q653&amp;"|"&amp;$K653,PARAMETRES!$J$43:$J$342,0))="","",INDEX(PARAMETRES!$H$43:$H$342,MATCH($L653&amp;"|"&amp;$M653&amp;"|"&amp;$N653&amp;"|"&amp;$O653&amp;"|"&amp;$P653&amp;"|"&amp;$Q653&amp;"|"&amp;$K653,PARAMETRES!$J$43:$J$342,0))),""))</f>
        <v/>
      </c>
      <c r="S653" s="35">
        <f>IF(OR($G653="",$X653&lt;&gt;"VALIDE"),"",IFERROR(LOOKUP(2,1/(($B$3:$B652=$B653)*($G$3:$G652=$G653)*($X$3:$X652="VALIDE")),$C$3:$C652),""))</f>
        <v/>
      </c>
      <c r="T653" s="36">
        <f>IF(OR($C653="",$S653=""),"",ROUND(($C653-$S653+IF($C653&lt;$S653,1,0))*1440,0))</f>
        <v/>
      </c>
      <c r="U653" s="22">
        <f>IF(OR($H653="",$T653="",$T653&lt;=0),"",$H653*60/$T653)</f>
        <v/>
      </c>
      <c r="V653" s="37">
        <f>IF(OR($U653="",$R653="",$R653=0),"",$U653/$R653)</f>
        <v/>
      </c>
      <c r="W653" s="20">
        <f>IF($G653="","",IF($X653="CONTEXTE INCOMPLET","CONTEXTE INCOMPLET",IF($X653="DOUBLON",StatutDoublon,IF($S653="",StatutInitial,IF($R653="",StatutStandardManquant,IF($V653="","DONNEES INSUFFISANTES",IF($V653&gt;=SeuilConforme,StatutConforme,IF($V653&gt;=SeuilSurveiller,StatutSurveiller,StatutSousStandard))))))))</f>
        <v/>
      </c>
      <c r="X653" s="33">
        <f>IF($G653="","",IF(OR($D653="",$E653="",$F653=""),"CONTEXTE INCOMPLET",IF(COUNTIFS($D$3:$D652,$D653,$E$3:$E652,$E653,$F$3:$F652,$F653,$G$3:$G652,$G653)&gt;0,"DOUBLON","VALIDE")))</f>
        <v/>
      </c>
    </row>
    <row r="654" ht="15" customHeight="1">
      <c r="A654" s="12">
        <f>IF(OR($B654="",$G654=""),"",TEXT($B654,"YYYYMMDD")&amp;"-"&amp;SUBSTITUTE($E654," ","")&amp;"-"&amp;$F654&amp;"-"&amp;$G654)</f>
        <v/>
      </c>
      <c r="B654" s="15" t="n"/>
      <c r="C654" s="16" t="n"/>
      <c r="D654" s="10" t="n"/>
      <c r="E654" s="9" t="n"/>
      <c r="F654" s="9" t="n"/>
      <c r="G654" s="13" t="n"/>
      <c r="H654" s="21" t="n"/>
      <c r="I654" s="21" t="n"/>
      <c r="J654" s="17">
        <f>IF($G654="","",IFERROR(INDEX(NomsEmployes,MATCH($G654,MatriculesEmployes,0)),"MATRICULE INCONNU"))</f>
        <v/>
      </c>
      <c r="K654" s="33">
        <f>IF(OR($D654="",$F654=""),"",IFERROR(IF(INDEX(RUNS!$L$6:$S$1005,MATCH($D654,RUNS!$A$6:$A$1005,0),MATCH("ACTIVITÉ "&amp;$F654,RUNS!$L$5:$S$5,0))="","",INDEX(RUNS!$L$6:$S$1005,MATCH($D654,RUNS!$A$6:$A$1005,0),MATCH("ACTIVITÉ "&amp;$F654,RUNS!$L$5:$S$5,0))),""))</f>
        <v/>
      </c>
      <c r="L654" s="33">
        <f>IF($D654="","",IFERROR(IF(INDEX(RUNS!$E$6:$E$1005,MATCH($D654,RUNS!$A$6:$A$1005,0))="","",INDEX(RUNS!$E$6:$E$1005,MATCH($D654,RUNS!$A$6:$A$1005,0))),""))</f>
        <v/>
      </c>
      <c r="M654" s="33">
        <f>IF($D654="","",IFERROR(IF(INDEX(RUNS!$F$6:$F$1005,MATCH($D654,RUNS!$A$6:$A$1005,0))="","",INDEX(RUNS!$F$6:$F$1005,MATCH($D654,RUNS!$A$6:$A$1005,0))),""))</f>
        <v/>
      </c>
      <c r="N654" s="33">
        <f>IF($D654="","",IFERROR(IF(INDEX(RUNS!$G$6:$G$1005,MATCH($D654,RUNS!$A$6:$A$1005,0))="","",INDEX(RUNS!$G$6:$G$1005,MATCH($D654,RUNS!$A$6:$A$1005,0))),""))</f>
        <v/>
      </c>
      <c r="O654" s="33">
        <f>IF($D654="","",IFERROR(IF(INDEX(RUNS!$H$6:$H$1005,MATCH($D654,RUNS!$A$6:$A$1005,0))="","",INDEX(RUNS!$H$6:$H$1005,MATCH($D654,RUNS!$A$6:$A$1005,0))),""))</f>
        <v/>
      </c>
      <c r="P654" s="33">
        <f>IF($D654="","",IFERROR(IF(INDEX(RUNS!$J$6:$J$1005,MATCH($D654,RUNS!$A$6:$A$1005,0))="","",INDEX(RUNS!$J$6:$J$1005,MATCH($D654,RUNS!$A$6:$A$1005,0))),""))</f>
        <v/>
      </c>
      <c r="Q654" s="33">
        <f>IF($D654="","",IFERROR(IF(INDEX(RUNS!$K$6:$K$1005,MATCH($D654,RUNS!$A$6:$A$1005,0))="","",INDEX(RUNS!$K$6:$K$1005,MATCH($D654,RUNS!$A$6:$A$1005,0))),""))</f>
        <v/>
      </c>
      <c r="R654" s="34">
        <f>IF(OR($L654="",$K654=""),"",IFERROR(IF(INDEX(PARAMETRES!$H$43:$H$342,MATCH($L654&amp;"|"&amp;$M654&amp;"|"&amp;$N654&amp;"|"&amp;$O654&amp;"|"&amp;$P654&amp;"|"&amp;$Q654&amp;"|"&amp;$K654,PARAMETRES!$J$43:$J$342,0))="","",INDEX(PARAMETRES!$H$43:$H$342,MATCH($L654&amp;"|"&amp;$M654&amp;"|"&amp;$N654&amp;"|"&amp;$O654&amp;"|"&amp;$P654&amp;"|"&amp;$Q654&amp;"|"&amp;$K654,PARAMETRES!$J$43:$J$342,0))),""))</f>
        <v/>
      </c>
      <c r="S654" s="35">
        <f>IF(OR($G654="",$X654&lt;&gt;"VALIDE"),"",IFERROR(LOOKUP(2,1/(($B$3:$B653=$B654)*($G$3:$G653=$G654)*($X$3:$X653="VALIDE")),$C$3:$C653),""))</f>
        <v/>
      </c>
      <c r="T654" s="36">
        <f>IF(OR($C654="",$S654=""),"",ROUND(($C654-$S654+IF($C654&lt;$S654,1,0))*1440,0))</f>
        <v/>
      </c>
      <c r="U654" s="22">
        <f>IF(OR($H654="",$T654="",$T654&lt;=0),"",$H654*60/$T654)</f>
        <v/>
      </c>
      <c r="V654" s="37">
        <f>IF(OR($U654="",$R654="",$R654=0),"",$U654/$R654)</f>
        <v/>
      </c>
      <c r="W654" s="20">
        <f>IF($G654="","",IF($X654="CONTEXTE INCOMPLET","CONTEXTE INCOMPLET",IF($X654="DOUBLON",StatutDoublon,IF($S654="",StatutInitial,IF($R654="",StatutStandardManquant,IF($V654="","DONNEES INSUFFISANTES",IF($V654&gt;=SeuilConforme,StatutConforme,IF($V654&gt;=SeuilSurveiller,StatutSurveiller,StatutSousStandard))))))))</f>
        <v/>
      </c>
      <c r="X654" s="33">
        <f>IF($G654="","",IF(OR($D654="",$E654="",$F654=""),"CONTEXTE INCOMPLET",IF(COUNTIFS($D$3:$D653,$D654,$E$3:$E653,$E654,$F$3:$F653,$F654,$G$3:$G653,$G654)&gt;0,"DOUBLON","VALIDE")))</f>
        <v/>
      </c>
    </row>
    <row r="655" ht="15" customHeight="1">
      <c r="A655" s="12">
        <f>IF(OR($B655="",$G655=""),"",TEXT($B655,"YYYYMMDD")&amp;"-"&amp;SUBSTITUTE($E655," ","")&amp;"-"&amp;$F655&amp;"-"&amp;$G655)</f>
        <v/>
      </c>
      <c r="B655" s="15" t="n"/>
      <c r="C655" s="16" t="n"/>
      <c r="D655" s="10" t="n"/>
      <c r="E655" s="9" t="n"/>
      <c r="F655" s="9" t="n"/>
      <c r="G655" s="13" t="n"/>
      <c r="H655" s="21" t="n"/>
      <c r="I655" s="21" t="n"/>
      <c r="J655" s="17">
        <f>IF($G655="","",IFERROR(INDEX(NomsEmployes,MATCH($G655,MatriculesEmployes,0)),"MATRICULE INCONNU"))</f>
        <v/>
      </c>
      <c r="K655" s="33">
        <f>IF(OR($D655="",$F655=""),"",IFERROR(IF(INDEX(RUNS!$L$6:$S$1005,MATCH($D655,RUNS!$A$6:$A$1005,0),MATCH("ACTIVITÉ "&amp;$F655,RUNS!$L$5:$S$5,0))="","",INDEX(RUNS!$L$6:$S$1005,MATCH($D655,RUNS!$A$6:$A$1005,0),MATCH("ACTIVITÉ "&amp;$F655,RUNS!$L$5:$S$5,0))),""))</f>
        <v/>
      </c>
      <c r="L655" s="33">
        <f>IF($D655="","",IFERROR(IF(INDEX(RUNS!$E$6:$E$1005,MATCH($D655,RUNS!$A$6:$A$1005,0))="","",INDEX(RUNS!$E$6:$E$1005,MATCH($D655,RUNS!$A$6:$A$1005,0))),""))</f>
        <v/>
      </c>
      <c r="M655" s="33">
        <f>IF($D655="","",IFERROR(IF(INDEX(RUNS!$F$6:$F$1005,MATCH($D655,RUNS!$A$6:$A$1005,0))="","",INDEX(RUNS!$F$6:$F$1005,MATCH($D655,RUNS!$A$6:$A$1005,0))),""))</f>
        <v/>
      </c>
      <c r="N655" s="33">
        <f>IF($D655="","",IFERROR(IF(INDEX(RUNS!$G$6:$G$1005,MATCH($D655,RUNS!$A$6:$A$1005,0))="","",INDEX(RUNS!$G$6:$G$1005,MATCH($D655,RUNS!$A$6:$A$1005,0))),""))</f>
        <v/>
      </c>
      <c r="O655" s="33">
        <f>IF($D655="","",IFERROR(IF(INDEX(RUNS!$H$6:$H$1005,MATCH($D655,RUNS!$A$6:$A$1005,0))="","",INDEX(RUNS!$H$6:$H$1005,MATCH($D655,RUNS!$A$6:$A$1005,0))),""))</f>
        <v/>
      </c>
      <c r="P655" s="33">
        <f>IF($D655="","",IFERROR(IF(INDEX(RUNS!$J$6:$J$1005,MATCH($D655,RUNS!$A$6:$A$1005,0))="","",INDEX(RUNS!$J$6:$J$1005,MATCH($D655,RUNS!$A$6:$A$1005,0))),""))</f>
        <v/>
      </c>
      <c r="Q655" s="33">
        <f>IF($D655="","",IFERROR(IF(INDEX(RUNS!$K$6:$K$1005,MATCH($D655,RUNS!$A$6:$A$1005,0))="","",INDEX(RUNS!$K$6:$K$1005,MATCH($D655,RUNS!$A$6:$A$1005,0))),""))</f>
        <v/>
      </c>
      <c r="R655" s="34">
        <f>IF(OR($L655="",$K655=""),"",IFERROR(IF(INDEX(PARAMETRES!$H$43:$H$342,MATCH($L655&amp;"|"&amp;$M655&amp;"|"&amp;$N655&amp;"|"&amp;$O655&amp;"|"&amp;$P655&amp;"|"&amp;$Q655&amp;"|"&amp;$K655,PARAMETRES!$J$43:$J$342,0))="","",INDEX(PARAMETRES!$H$43:$H$342,MATCH($L655&amp;"|"&amp;$M655&amp;"|"&amp;$N655&amp;"|"&amp;$O655&amp;"|"&amp;$P655&amp;"|"&amp;$Q655&amp;"|"&amp;$K655,PARAMETRES!$J$43:$J$342,0))),""))</f>
        <v/>
      </c>
      <c r="S655" s="35">
        <f>IF(OR($G655="",$X655&lt;&gt;"VALIDE"),"",IFERROR(LOOKUP(2,1/(($B$3:$B654=$B655)*($G$3:$G654=$G655)*($X$3:$X654="VALIDE")),$C$3:$C654),""))</f>
        <v/>
      </c>
      <c r="T655" s="36">
        <f>IF(OR($C655="",$S655=""),"",ROUND(($C655-$S655+IF($C655&lt;$S655,1,0))*1440,0))</f>
        <v/>
      </c>
      <c r="U655" s="22">
        <f>IF(OR($H655="",$T655="",$T655&lt;=0),"",$H655*60/$T655)</f>
        <v/>
      </c>
      <c r="V655" s="37">
        <f>IF(OR($U655="",$R655="",$R655=0),"",$U655/$R655)</f>
        <v/>
      </c>
      <c r="W655" s="20">
        <f>IF($G655="","",IF($X655="CONTEXTE INCOMPLET","CONTEXTE INCOMPLET",IF($X655="DOUBLON",StatutDoublon,IF($S655="",StatutInitial,IF($R655="",StatutStandardManquant,IF($V655="","DONNEES INSUFFISANTES",IF($V655&gt;=SeuilConforme,StatutConforme,IF($V655&gt;=SeuilSurveiller,StatutSurveiller,StatutSousStandard))))))))</f>
        <v/>
      </c>
      <c r="X655" s="33">
        <f>IF($G655="","",IF(OR($D655="",$E655="",$F655=""),"CONTEXTE INCOMPLET",IF(COUNTIFS($D$3:$D654,$D655,$E$3:$E654,$E655,$F$3:$F654,$F655,$G$3:$G654,$G655)&gt;0,"DOUBLON","VALIDE")))</f>
        <v/>
      </c>
    </row>
    <row r="656" ht="15" customHeight="1">
      <c r="A656" s="12">
        <f>IF(OR($B656="",$G656=""),"",TEXT($B656,"YYYYMMDD")&amp;"-"&amp;SUBSTITUTE($E656," ","")&amp;"-"&amp;$F656&amp;"-"&amp;$G656)</f>
        <v/>
      </c>
      <c r="B656" s="15" t="n"/>
      <c r="C656" s="16" t="n"/>
      <c r="D656" s="10" t="n"/>
      <c r="E656" s="9" t="n"/>
      <c r="F656" s="9" t="n"/>
      <c r="G656" s="13" t="n"/>
      <c r="H656" s="21" t="n"/>
      <c r="I656" s="21" t="n"/>
      <c r="J656" s="17">
        <f>IF($G656="","",IFERROR(INDEX(NomsEmployes,MATCH($G656,MatriculesEmployes,0)),"MATRICULE INCONNU"))</f>
        <v/>
      </c>
      <c r="K656" s="33">
        <f>IF(OR($D656="",$F656=""),"",IFERROR(IF(INDEX(RUNS!$L$6:$S$1005,MATCH($D656,RUNS!$A$6:$A$1005,0),MATCH("ACTIVITÉ "&amp;$F656,RUNS!$L$5:$S$5,0))="","",INDEX(RUNS!$L$6:$S$1005,MATCH($D656,RUNS!$A$6:$A$1005,0),MATCH("ACTIVITÉ "&amp;$F656,RUNS!$L$5:$S$5,0))),""))</f>
        <v/>
      </c>
      <c r="L656" s="33">
        <f>IF($D656="","",IFERROR(IF(INDEX(RUNS!$E$6:$E$1005,MATCH($D656,RUNS!$A$6:$A$1005,0))="","",INDEX(RUNS!$E$6:$E$1005,MATCH($D656,RUNS!$A$6:$A$1005,0))),""))</f>
        <v/>
      </c>
      <c r="M656" s="33">
        <f>IF($D656="","",IFERROR(IF(INDEX(RUNS!$F$6:$F$1005,MATCH($D656,RUNS!$A$6:$A$1005,0))="","",INDEX(RUNS!$F$6:$F$1005,MATCH($D656,RUNS!$A$6:$A$1005,0))),""))</f>
        <v/>
      </c>
      <c r="N656" s="33">
        <f>IF($D656="","",IFERROR(IF(INDEX(RUNS!$G$6:$G$1005,MATCH($D656,RUNS!$A$6:$A$1005,0))="","",INDEX(RUNS!$G$6:$G$1005,MATCH($D656,RUNS!$A$6:$A$1005,0))),""))</f>
        <v/>
      </c>
      <c r="O656" s="33">
        <f>IF($D656="","",IFERROR(IF(INDEX(RUNS!$H$6:$H$1005,MATCH($D656,RUNS!$A$6:$A$1005,0))="","",INDEX(RUNS!$H$6:$H$1005,MATCH($D656,RUNS!$A$6:$A$1005,0))),""))</f>
        <v/>
      </c>
      <c r="P656" s="33">
        <f>IF($D656="","",IFERROR(IF(INDEX(RUNS!$J$6:$J$1005,MATCH($D656,RUNS!$A$6:$A$1005,0))="","",INDEX(RUNS!$J$6:$J$1005,MATCH($D656,RUNS!$A$6:$A$1005,0))),""))</f>
        <v/>
      </c>
      <c r="Q656" s="33">
        <f>IF($D656="","",IFERROR(IF(INDEX(RUNS!$K$6:$K$1005,MATCH($D656,RUNS!$A$6:$A$1005,0))="","",INDEX(RUNS!$K$6:$K$1005,MATCH($D656,RUNS!$A$6:$A$1005,0))),""))</f>
        <v/>
      </c>
      <c r="R656" s="34">
        <f>IF(OR($L656="",$K656=""),"",IFERROR(IF(INDEX(PARAMETRES!$H$43:$H$342,MATCH($L656&amp;"|"&amp;$M656&amp;"|"&amp;$N656&amp;"|"&amp;$O656&amp;"|"&amp;$P656&amp;"|"&amp;$Q656&amp;"|"&amp;$K656,PARAMETRES!$J$43:$J$342,0))="","",INDEX(PARAMETRES!$H$43:$H$342,MATCH($L656&amp;"|"&amp;$M656&amp;"|"&amp;$N656&amp;"|"&amp;$O656&amp;"|"&amp;$P656&amp;"|"&amp;$Q656&amp;"|"&amp;$K656,PARAMETRES!$J$43:$J$342,0))),""))</f>
        <v/>
      </c>
      <c r="S656" s="35">
        <f>IF(OR($G656="",$X656&lt;&gt;"VALIDE"),"",IFERROR(LOOKUP(2,1/(($B$3:$B655=$B656)*($G$3:$G655=$G656)*($X$3:$X655="VALIDE")),$C$3:$C655),""))</f>
        <v/>
      </c>
      <c r="T656" s="36">
        <f>IF(OR($C656="",$S656=""),"",ROUND(($C656-$S656+IF($C656&lt;$S656,1,0))*1440,0))</f>
        <v/>
      </c>
      <c r="U656" s="22">
        <f>IF(OR($H656="",$T656="",$T656&lt;=0),"",$H656*60/$T656)</f>
        <v/>
      </c>
      <c r="V656" s="37">
        <f>IF(OR($U656="",$R656="",$R656=0),"",$U656/$R656)</f>
        <v/>
      </c>
      <c r="W656" s="20">
        <f>IF($G656="","",IF($X656="CONTEXTE INCOMPLET","CONTEXTE INCOMPLET",IF($X656="DOUBLON",StatutDoublon,IF($S656="",StatutInitial,IF($R656="",StatutStandardManquant,IF($V656="","DONNEES INSUFFISANTES",IF($V656&gt;=SeuilConforme,StatutConforme,IF($V656&gt;=SeuilSurveiller,StatutSurveiller,StatutSousStandard))))))))</f>
        <v/>
      </c>
      <c r="X656" s="33">
        <f>IF($G656="","",IF(OR($D656="",$E656="",$F656=""),"CONTEXTE INCOMPLET",IF(COUNTIFS($D$3:$D655,$D656,$E$3:$E655,$E656,$F$3:$F655,$F656,$G$3:$G655,$G656)&gt;0,"DOUBLON","VALIDE")))</f>
        <v/>
      </c>
    </row>
    <row r="657" ht="15" customHeight="1">
      <c r="A657" s="12">
        <f>IF(OR($B657="",$G657=""),"",TEXT($B657,"YYYYMMDD")&amp;"-"&amp;SUBSTITUTE($E657," ","")&amp;"-"&amp;$F657&amp;"-"&amp;$G657)</f>
        <v/>
      </c>
      <c r="B657" s="15" t="n"/>
      <c r="C657" s="16" t="n"/>
      <c r="D657" s="10" t="n"/>
      <c r="E657" s="9" t="n"/>
      <c r="F657" s="9" t="n"/>
      <c r="G657" s="13" t="n"/>
      <c r="H657" s="21" t="n"/>
      <c r="I657" s="21" t="n"/>
      <c r="J657" s="17">
        <f>IF($G657="","",IFERROR(INDEX(NomsEmployes,MATCH($G657,MatriculesEmployes,0)),"MATRICULE INCONNU"))</f>
        <v/>
      </c>
      <c r="K657" s="33">
        <f>IF(OR($D657="",$F657=""),"",IFERROR(IF(INDEX(RUNS!$L$6:$S$1005,MATCH($D657,RUNS!$A$6:$A$1005,0),MATCH("ACTIVITÉ "&amp;$F657,RUNS!$L$5:$S$5,0))="","",INDEX(RUNS!$L$6:$S$1005,MATCH($D657,RUNS!$A$6:$A$1005,0),MATCH("ACTIVITÉ "&amp;$F657,RUNS!$L$5:$S$5,0))),""))</f>
        <v/>
      </c>
      <c r="L657" s="33">
        <f>IF($D657="","",IFERROR(IF(INDEX(RUNS!$E$6:$E$1005,MATCH($D657,RUNS!$A$6:$A$1005,0))="","",INDEX(RUNS!$E$6:$E$1005,MATCH($D657,RUNS!$A$6:$A$1005,0))),""))</f>
        <v/>
      </c>
      <c r="M657" s="33">
        <f>IF($D657="","",IFERROR(IF(INDEX(RUNS!$F$6:$F$1005,MATCH($D657,RUNS!$A$6:$A$1005,0))="","",INDEX(RUNS!$F$6:$F$1005,MATCH($D657,RUNS!$A$6:$A$1005,0))),""))</f>
        <v/>
      </c>
      <c r="N657" s="33">
        <f>IF($D657="","",IFERROR(IF(INDEX(RUNS!$G$6:$G$1005,MATCH($D657,RUNS!$A$6:$A$1005,0))="","",INDEX(RUNS!$G$6:$G$1005,MATCH($D657,RUNS!$A$6:$A$1005,0))),""))</f>
        <v/>
      </c>
      <c r="O657" s="33">
        <f>IF($D657="","",IFERROR(IF(INDEX(RUNS!$H$6:$H$1005,MATCH($D657,RUNS!$A$6:$A$1005,0))="","",INDEX(RUNS!$H$6:$H$1005,MATCH($D657,RUNS!$A$6:$A$1005,0))),""))</f>
        <v/>
      </c>
      <c r="P657" s="33">
        <f>IF($D657="","",IFERROR(IF(INDEX(RUNS!$J$6:$J$1005,MATCH($D657,RUNS!$A$6:$A$1005,0))="","",INDEX(RUNS!$J$6:$J$1005,MATCH($D657,RUNS!$A$6:$A$1005,0))),""))</f>
        <v/>
      </c>
      <c r="Q657" s="33">
        <f>IF($D657="","",IFERROR(IF(INDEX(RUNS!$K$6:$K$1005,MATCH($D657,RUNS!$A$6:$A$1005,0))="","",INDEX(RUNS!$K$6:$K$1005,MATCH($D657,RUNS!$A$6:$A$1005,0))),""))</f>
        <v/>
      </c>
      <c r="R657" s="34">
        <f>IF(OR($L657="",$K657=""),"",IFERROR(IF(INDEX(PARAMETRES!$H$43:$H$342,MATCH($L657&amp;"|"&amp;$M657&amp;"|"&amp;$N657&amp;"|"&amp;$O657&amp;"|"&amp;$P657&amp;"|"&amp;$Q657&amp;"|"&amp;$K657,PARAMETRES!$J$43:$J$342,0))="","",INDEX(PARAMETRES!$H$43:$H$342,MATCH($L657&amp;"|"&amp;$M657&amp;"|"&amp;$N657&amp;"|"&amp;$O657&amp;"|"&amp;$P657&amp;"|"&amp;$Q657&amp;"|"&amp;$K657,PARAMETRES!$J$43:$J$342,0))),""))</f>
        <v/>
      </c>
      <c r="S657" s="35">
        <f>IF(OR($G657="",$X657&lt;&gt;"VALIDE"),"",IFERROR(LOOKUP(2,1/(($B$3:$B656=$B657)*($G$3:$G656=$G657)*($X$3:$X656="VALIDE")),$C$3:$C656),""))</f>
        <v/>
      </c>
      <c r="T657" s="36">
        <f>IF(OR($C657="",$S657=""),"",ROUND(($C657-$S657+IF($C657&lt;$S657,1,0))*1440,0))</f>
        <v/>
      </c>
      <c r="U657" s="22">
        <f>IF(OR($H657="",$T657="",$T657&lt;=0),"",$H657*60/$T657)</f>
        <v/>
      </c>
      <c r="V657" s="37">
        <f>IF(OR($U657="",$R657="",$R657=0),"",$U657/$R657)</f>
        <v/>
      </c>
      <c r="W657" s="20">
        <f>IF($G657="","",IF($X657="CONTEXTE INCOMPLET","CONTEXTE INCOMPLET",IF($X657="DOUBLON",StatutDoublon,IF($S657="",StatutInitial,IF($R657="",StatutStandardManquant,IF($V657="","DONNEES INSUFFISANTES",IF($V657&gt;=SeuilConforme,StatutConforme,IF($V657&gt;=SeuilSurveiller,StatutSurveiller,StatutSousStandard))))))))</f>
        <v/>
      </c>
      <c r="X657" s="33">
        <f>IF($G657="","",IF(OR($D657="",$E657="",$F657=""),"CONTEXTE INCOMPLET",IF(COUNTIFS($D$3:$D656,$D657,$E$3:$E656,$E657,$F$3:$F656,$F657,$G$3:$G656,$G657)&gt;0,"DOUBLON","VALIDE")))</f>
        <v/>
      </c>
    </row>
    <row r="658" ht="15" customHeight="1">
      <c r="A658" s="12">
        <f>IF(OR($B658="",$G658=""),"",TEXT($B658,"YYYYMMDD")&amp;"-"&amp;SUBSTITUTE($E658," ","")&amp;"-"&amp;$F658&amp;"-"&amp;$G658)</f>
        <v/>
      </c>
      <c r="B658" s="15" t="n"/>
      <c r="C658" s="16" t="n"/>
      <c r="D658" s="10" t="n"/>
      <c r="E658" s="9" t="n"/>
      <c r="F658" s="9" t="n"/>
      <c r="G658" s="13" t="n"/>
      <c r="H658" s="21" t="n"/>
      <c r="I658" s="21" t="n"/>
      <c r="J658" s="17">
        <f>IF($G658="","",IFERROR(INDEX(NomsEmployes,MATCH($G658,MatriculesEmployes,0)),"MATRICULE INCONNU"))</f>
        <v/>
      </c>
      <c r="K658" s="33">
        <f>IF(OR($D658="",$F658=""),"",IFERROR(IF(INDEX(RUNS!$L$6:$S$1005,MATCH($D658,RUNS!$A$6:$A$1005,0),MATCH("ACTIVITÉ "&amp;$F658,RUNS!$L$5:$S$5,0))="","",INDEX(RUNS!$L$6:$S$1005,MATCH($D658,RUNS!$A$6:$A$1005,0),MATCH("ACTIVITÉ "&amp;$F658,RUNS!$L$5:$S$5,0))),""))</f>
        <v/>
      </c>
      <c r="L658" s="33">
        <f>IF($D658="","",IFERROR(IF(INDEX(RUNS!$E$6:$E$1005,MATCH($D658,RUNS!$A$6:$A$1005,0))="","",INDEX(RUNS!$E$6:$E$1005,MATCH($D658,RUNS!$A$6:$A$1005,0))),""))</f>
        <v/>
      </c>
      <c r="M658" s="33">
        <f>IF($D658="","",IFERROR(IF(INDEX(RUNS!$F$6:$F$1005,MATCH($D658,RUNS!$A$6:$A$1005,0))="","",INDEX(RUNS!$F$6:$F$1005,MATCH($D658,RUNS!$A$6:$A$1005,0))),""))</f>
        <v/>
      </c>
      <c r="N658" s="33">
        <f>IF($D658="","",IFERROR(IF(INDEX(RUNS!$G$6:$G$1005,MATCH($D658,RUNS!$A$6:$A$1005,0))="","",INDEX(RUNS!$G$6:$G$1005,MATCH($D658,RUNS!$A$6:$A$1005,0))),""))</f>
        <v/>
      </c>
      <c r="O658" s="33">
        <f>IF($D658="","",IFERROR(IF(INDEX(RUNS!$H$6:$H$1005,MATCH($D658,RUNS!$A$6:$A$1005,0))="","",INDEX(RUNS!$H$6:$H$1005,MATCH($D658,RUNS!$A$6:$A$1005,0))),""))</f>
        <v/>
      </c>
      <c r="P658" s="33">
        <f>IF($D658="","",IFERROR(IF(INDEX(RUNS!$J$6:$J$1005,MATCH($D658,RUNS!$A$6:$A$1005,0))="","",INDEX(RUNS!$J$6:$J$1005,MATCH($D658,RUNS!$A$6:$A$1005,0))),""))</f>
        <v/>
      </c>
      <c r="Q658" s="33">
        <f>IF($D658="","",IFERROR(IF(INDEX(RUNS!$K$6:$K$1005,MATCH($D658,RUNS!$A$6:$A$1005,0))="","",INDEX(RUNS!$K$6:$K$1005,MATCH($D658,RUNS!$A$6:$A$1005,0))),""))</f>
        <v/>
      </c>
      <c r="R658" s="34">
        <f>IF(OR($L658="",$K658=""),"",IFERROR(IF(INDEX(PARAMETRES!$H$43:$H$342,MATCH($L658&amp;"|"&amp;$M658&amp;"|"&amp;$N658&amp;"|"&amp;$O658&amp;"|"&amp;$P658&amp;"|"&amp;$Q658&amp;"|"&amp;$K658,PARAMETRES!$J$43:$J$342,0))="","",INDEX(PARAMETRES!$H$43:$H$342,MATCH($L658&amp;"|"&amp;$M658&amp;"|"&amp;$N658&amp;"|"&amp;$O658&amp;"|"&amp;$P658&amp;"|"&amp;$Q658&amp;"|"&amp;$K658,PARAMETRES!$J$43:$J$342,0))),""))</f>
        <v/>
      </c>
      <c r="S658" s="35">
        <f>IF(OR($G658="",$X658&lt;&gt;"VALIDE"),"",IFERROR(LOOKUP(2,1/(($B$3:$B657=$B658)*($G$3:$G657=$G658)*($X$3:$X657="VALIDE")),$C$3:$C657),""))</f>
        <v/>
      </c>
      <c r="T658" s="36">
        <f>IF(OR($C658="",$S658=""),"",ROUND(($C658-$S658+IF($C658&lt;$S658,1,0))*1440,0))</f>
        <v/>
      </c>
      <c r="U658" s="22">
        <f>IF(OR($H658="",$T658="",$T658&lt;=0),"",$H658*60/$T658)</f>
        <v/>
      </c>
      <c r="V658" s="37">
        <f>IF(OR($U658="",$R658="",$R658=0),"",$U658/$R658)</f>
        <v/>
      </c>
      <c r="W658" s="20">
        <f>IF($G658="","",IF($X658="CONTEXTE INCOMPLET","CONTEXTE INCOMPLET",IF($X658="DOUBLON",StatutDoublon,IF($S658="",StatutInitial,IF($R658="",StatutStandardManquant,IF($V658="","DONNEES INSUFFISANTES",IF($V658&gt;=SeuilConforme,StatutConforme,IF($V658&gt;=SeuilSurveiller,StatutSurveiller,StatutSousStandard))))))))</f>
        <v/>
      </c>
      <c r="X658" s="33">
        <f>IF($G658="","",IF(OR($D658="",$E658="",$F658=""),"CONTEXTE INCOMPLET",IF(COUNTIFS($D$3:$D657,$D658,$E$3:$E657,$E658,$F$3:$F657,$F658,$G$3:$G657,$G658)&gt;0,"DOUBLON","VALIDE")))</f>
        <v/>
      </c>
    </row>
    <row r="659" ht="15" customHeight="1">
      <c r="A659" s="12">
        <f>IF(OR($B659="",$G659=""),"",TEXT($B659,"YYYYMMDD")&amp;"-"&amp;SUBSTITUTE($E659," ","")&amp;"-"&amp;$F659&amp;"-"&amp;$G659)</f>
        <v/>
      </c>
      <c r="B659" s="15" t="n"/>
      <c r="C659" s="16" t="n"/>
      <c r="D659" s="10" t="n"/>
      <c r="E659" s="9" t="n"/>
      <c r="F659" s="9" t="n"/>
      <c r="G659" s="13" t="n"/>
      <c r="H659" s="21" t="n"/>
      <c r="I659" s="21" t="n"/>
      <c r="J659" s="17">
        <f>IF($G659="","",IFERROR(INDEX(NomsEmployes,MATCH($G659,MatriculesEmployes,0)),"MATRICULE INCONNU"))</f>
        <v/>
      </c>
      <c r="K659" s="33">
        <f>IF(OR($D659="",$F659=""),"",IFERROR(IF(INDEX(RUNS!$L$6:$S$1005,MATCH($D659,RUNS!$A$6:$A$1005,0),MATCH("ACTIVITÉ "&amp;$F659,RUNS!$L$5:$S$5,0))="","",INDEX(RUNS!$L$6:$S$1005,MATCH($D659,RUNS!$A$6:$A$1005,0),MATCH("ACTIVITÉ "&amp;$F659,RUNS!$L$5:$S$5,0))),""))</f>
        <v/>
      </c>
      <c r="L659" s="33">
        <f>IF($D659="","",IFERROR(IF(INDEX(RUNS!$E$6:$E$1005,MATCH($D659,RUNS!$A$6:$A$1005,0))="","",INDEX(RUNS!$E$6:$E$1005,MATCH($D659,RUNS!$A$6:$A$1005,0))),""))</f>
        <v/>
      </c>
      <c r="M659" s="33">
        <f>IF($D659="","",IFERROR(IF(INDEX(RUNS!$F$6:$F$1005,MATCH($D659,RUNS!$A$6:$A$1005,0))="","",INDEX(RUNS!$F$6:$F$1005,MATCH($D659,RUNS!$A$6:$A$1005,0))),""))</f>
        <v/>
      </c>
      <c r="N659" s="33">
        <f>IF($D659="","",IFERROR(IF(INDEX(RUNS!$G$6:$G$1005,MATCH($D659,RUNS!$A$6:$A$1005,0))="","",INDEX(RUNS!$G$6:$G$1005,MATCH($D659,RUNS!$A$6:$A$1005,0))),""))</f>
        <v/>
      </c>
      <c r="O659" s="33">
        <f>IF($D659="","",IFERROR(IF(INDEX(RUNS!$H$6:$H$1005,MATCH($D659,RUNS!$A$6:$A$1005,0))="","",INDEX(RUNS!$H$6:$H$1005,MATCH($D659,RUNS!$A$6:$A$1005,0))),""))</f>
        <v/>
      </c>
      <c r="P659" s="33">
        <f>IF($D659="","",IFERROR(IF(INDEX(RUNS!$J$6:$J$1005,MATCH($D659,RUNS!$A$6:$A$1005,0))="","",INDEX(RUNS!$J$6:$J$1005,MATCH($D659,RUNS!$A$6:$A$1005,0))),""))</f>
        <v/>
      </c>
      <c r="Q659" s="33">
        <f>IF($D659="","",IFERROR(IF(INDEX(RUNS!$K$6:$K$1005,MATCH($D659,RUNS!$A$6:$A$1005,0))="","",INDEX(RUNS!$K$6:$K$1005,MATCH($D659,RUNS!$A$6:$A$1005,0))),""))</f>
        <v/>
      </c>
      <c r="R659" s="34">
        <f>IF(OR($L659="",$K659=""),"",IFERROR(IF(INDEX(PARAMETRES!$H$43:$H$342,MATCH($L659&amp;"|"&amp;$M659&amp;"|"&amp;$N659&amp;"|"&amp;$O659&amp;"|"&amp;$P659&amp;"|"&amp;$Q659&amp;"|"&amp;$K659,PARAMETRES!$J$43:$J$342,0))="","",INDEX(PARAMETRES!$H$43:$H$342,MATCH($L659&amp;"|"&amp;$M659&amp;"|"&amp;$N659&amp;"|"&amp;$O659&amp;"|"&amp;$P659&amp;"|"&amp;$Q659&amp;"|"&amp;$K659,PARAMETRES!$J$43:$J$342,0))),""))</f>
        <v/>
      </c>
      <c r="S659" s="35">
        <f>IF(OR($G659="",$X659&lt;&gt;"VALIDE"),"",IFERROR(LOOKUP(2,1/(($B$3:$B658=$B659)*($G$3:$G658=$G659)*($X$3:$X658="VALIDE")),$C$3:$C658),""))</f>
        <v/>
      </c>
      <c r="T659" s="36">
        <f>IF(OR($C659="",$S659=""),"",ROUND(($C659-$S659+IF($C659&lt;$S659,1,0))*1440,0))</f>
        <v/>
      </c>
      <c r="U659" s="22">
        <f>IF(OR($H659="",$T659="",$T659&lt;=0),"",$H659*60/$T659)</f>
        <v/>
      </c>
      <c r="V659" s="37">
        <f>IF(OR($U659="",$R659="",$R659=0),"",$U659/$R659)</f>
        <v/>
      </c>
      <c r="W659" s="20">
        <f>IF($G659="","",IF($X659="CONTEXTE INCOMPLET","CONTEXTE INCOMPLET",IF($X659="DOUBLON",StatutDoublon,IF($S659="",StatutInitial,IF($R659="",StatutStandardManquant,IF($V659="","DONNEES INSUFFISANTES",IF($V659&gt;=SeuilConforme,StatutConforme,IF($V659&gt;=SeuilSurveiller,StatutSurveiller,StatutSousStandard))))))))</f>
        <v/>
      </c>
      <c r="X659" s="33">
        <f>IF($G659="","",IF(OR($D659="",$E659="",$F659=""),"CONTEXTE INCOMPLET",IF(COUNTIFS($D$3:$D658,$D659,$E$3:$E658,$E659,$F$3:$F658,$F659,$G$3:$G658,$G659)&gt;0,"DOUBLON","VALIDE")))</f>
        <v/>
      </c>
    </row>
    <row r="660" ht="15" customHeight="1">
      <c r="A660" s="12">
        <f>IF(OR($B660="",$G660=""),"",TEXT($B660,"YYYYMMDD")&amp;"-"&amp;SUBSTITUTE($E660," ","")&amp;"-"&amp;$F660&amp;"-"&amp;$G660)</f>
        <v/>
      </c>
      <c r="B660" s="15" t="n"/>
      <c r="C660" s="16" t="n"/>
      <c r="D660" s="10" t="n"/>
      <c r="E660" s="9" t="n"/>
      <c r="F660" s="9" t="n"/>
      <c r="G660" s="13" t="n"/>
      <c r="H660" s="21" t="n"/>
      <c r="I660" s="21" t="n"/>
      <c r="J660" s="17">
        <f>IF($G660="","",IFERROR(INDEX(NomsEmployes,MATCH($G660,MatriculesEmployes,0)),"MATRICULE INCONNU"))</f>
        <v/>
      </c>
      <c r="K660" s="33">
        <f>IF(OR($D660="",$F660=""),"",IFERROR(IF(INDEX(RUNS!$L$6:$S$1005,MATCH($D660,RUNS!$A$6:$A$1005,0),MATCH("ACTIVITÉ "&amp;$F660,RUNS!$L$5:$S$5,0))="","",INDEX(RUNS!$L$6:$S$1005,MATCH($D660,RUNS!$A$6:$A$1005,0),MATCH("ACTIVITÉ "&amp;$F660,RUNS!$L$5:$S$5,0))),""))</f>
        <v/>
      </c>
      <c r="L660" s="33">
        <f>IF($D660="","",IFERROR(IF(INDEX(RUNS!$E$6:$E$1005,MATCH($D660,RUNS!$A$6:$A$1005,0))="","",INDEX(RUNS!$E$6:$E$1005,MATCH($D660,RUNS!$A$6:$A$1005,0))),""))</f>
        <v/>
      </c>
      <c r="M660" s="33">
        <f>IF($D660="","",IFERROR(IF(INDEX(RUNS!$F$6:$F$1005,MATCH($D660,RUNS!$A$6:$A$1005,0))="","",INDEX(RUNS!$F$6:$F$1005,MATCH($D660,RUNS!$A$6:$A$1005,0))),""))</f>
        <v/>
      </c>
      <c r="N660" s="33">
        <f>IF($D660="","",IFERROR(IF(INDEX(RUNS!$G$6:$G$1005,MATCH($D660,RUNS!$A$6:$A$1005,0))="","",INDEX(RUNS!$G$6:$G$1005,MATCH($D660,RUNS!$A$6:$A$1005,0))),""))</f>
        <v/>
      </c>
      <c r="O660" s="33">
        <f>IF($D660="","",IFERROR(IF(INDEX(RUNS!$H$6:$H$1005,MATCH($D660,RUNS!$A$6:$A$1005,0))="","",INDEX(RUNS!$H$6:$H$1005,MATCH($D660,RUNS!$A$6:$A$1005,0))),""))</f>
        <v/>
      </c>
      <c r="P660" s="33">
        <f>IF($D660="","",IFERROR(IF(INDEX(RUNS!$J$6:$J$1005,MATCH($D660,RUNS!$A$6:$A$1005,0))="","",INDEX(RUNS!$J$6:$J$1005,MATCH($D660,RUNS!$A$6:$A$1005,0))),""))</f>
        <v/>
      </c>
      <c r="Q660" s="33">
        <f>IF($D660="","",IFERROR(IF(INDEX(RUNS!$K$6:$K$1005,MATCH($D660,RUNS!$A$6:$A$1005,0))="","",INDEX(RUNS!$K$6:$K$1005,MATCH($D660,RUNS!$A$6:$A$1005,0))),""))</f>
        <v/>
      </c>
      <c r="R660" s="34">
        <f>IF(OR($L660="",$K660=""),"",IFERROR(IF(INDEX(PARAMETRES!$H$43:$H$342,MATCH($L660&amp;"|"&amp;$M660&amp;"|"&amp;$N660&amp;"|"&amp;$O660&amp;"|"&amp;$P660&amp;"|"&amp;$Q660&amp;"|"&amp;$K660,PARAMETRES!$J$43:$J$342,0))="","",INDEX(PARAMETRES!$H$43:$H$342,MATCH($L660&amp;"|"&amp;$M660&amp;"|"&amp;$N660&amp;"|"&amp;$O660&amp;"|"&amp;$P660&amp;"|"&amp;$Q660&amp;"|"&amp;$K660,PARAMETRES!$J$43:$J$342,0))),""))</f>
        <v/>
      </c>
      <c r="S660" s="35">
        <f>IF(OR($G660="",$X660&lt;&gt;"VALIDE"),"",IFERROR(LOOKUP(2,1/(($B$3:$B659=$B660)*($G$3:$G659=$G660)*($X$3:$X659="VALIDE")),$C$3:$C659),""))</f>
        <v/>
      </c>
      <c r="T660" s="36">
        <f>IF(OR($C660="",$S660=""),"",ROUND(($C660-$S660+IF($C660&lt;$S660,1,0))*1440,0))</f>
        <v/>
      </c>
      <c r="U660" s="22">
        <f>IF(OR($H660="",$T660="",$T660&lt;=0),"",$H660*60/$T660)</f>
        <v/>
      </c>
      <c r="V660" s="37">
        <f>IF(OR($U660="",$R660="",$R660=0),"",$U660/$R660)</f>
        <v/>
      </c>
      <c r="W660" s="20">
        <f>IF($G660="","",IF($X660="CONTEXTE INCOMPLET","CONTEXTE INCOMPLET",IF($X660="DOUBLON",StatutDoublon,IF($S660="",StatutInitial,IF($R660="",StatutStandardManquant,IF($V660="","DONNEES INSUFFISANTES",IF($V660&gt;=SeuilConforme,StatutConforme,IF($V660&gt;=SeuilSurveiller,StatutSurveiller,StatutSousStandard))))))))</f>
        <v/>
      </c>
      <c r="X660" s="33">
        <f>IF($G660="","",IF(OR($D660="",$E660="",$F660=""),"CONTEXTE INCOMPLET",IF(COUNTIFS($D$3:$D659,$D660,$E$3:$E659,$E660,$F$3:$F659,$F660,$G$3:$G659,$G660)&gt;0,"DOUBLON","VALIDE")))</f>
        <v/>
      </c>
    </row>
    <row r="661" ht="15" customHeight="1">
      <c r="A661" s="12">
        <f>IF(OR($B661="",$G661=""),"",TEXT($B661,"YYYYMMDD")&amp;"-"&amp;SUBSTITUTE($E661," ","")&amp;"-"&amp;$F661&amp;"-"&amp;$G661)</f>
        <v/>
      </c>
      <c r="B661" s="15" t="n"/>
      <c r="C661" s="16" t="n"/>
      <c r="D661" s="10" t="n"/>
      <c r="E661" s="9" t="n"/>
      <c r="F661" s="9" t="n"/>
      <c r="G661" s="13" t="n"/>
      <c r="H661" s="21" t="n"/>
      <c r="I661" s="21" t="n"/>
      <c r="J661" s="17">
        <f>IF($G661="","",IFERROR(INDEX(NomsEmployes,MATCH($G661,MatriculesEmployes,0)),"MATRICULE INCONNU"))</f>
        <v/>
      </c>
      <c r="K661" s="33">
        <f>IF(OR($D661="",$F661=""),"",IFERROR(IF(INDEX(RUNS!$L$6:$S$1005,MATCH($D661,RUNS!$A$6:$A$1005,0),MATCH("ACTIVITÉ "&amp;$F661,RUNS!$L$5:$S$5,0))="","",INDEX(RUNS!$L$6:$S$1005,MATCH($D661,RUNS!$A$6:$A$1005,0),MATCH("ACTIVITÉ "&amp;$F661,RUNS!$L$5:$S$5,0))),""))</f>
        <v/>
      </c>
      <c r="L661" s="33">
        <f>IF($D661="","",IFERROR(IF(INDEX(RUNS!$E$6:$E$1005,MATCH($D661,RUNS!$A$6:$A$1005,0))="","",INDEX(RUNS!$E$6:$E$1005,MATCH($D661,RUNS!$A$6:$A$1005,0))),""))</f>
        <v/>
      </c>
      <c r="M661" s="33">
        <f>IF($D661="","",IFERROR(IF(INDEX(RUNS!$F$6:$F$1005,MATCH($D661,RUNS!$A$6:$A$1005,0))="","",INDEX(RUNS!$F$6:$F$1005,MATCH($D661,RUNS!$A$6:$A$1005,0))),""))</f>
        <v/>
      </c>
      <c r="N661" s="33">
        <f>IF($D661="","",IFERROR(IF(INDEX(RUNS!$G$6:$G$1005,MATCH($D661,RUNS!$A$6:$A$1005,0))="","",INDEX(RUNS!$G$6:$G$1005,MATCH($D661,RUNS!$A$6:$A$1005,0))),""))</f>
        <v/>
      </c>
      <c r="O661" s="33">
        <f>IF($D661="","",IFERROR(IF(INDEX(RUNS!$H$6:$H$1005,MATCH($D661,RUNS!$A$6:$A$1005,0))="","",INDEX(RUNS!$H$6:$H$1005,MATCH($D661,RUNS!$A$6:$A$1005,0))),""))</f>
        <v/>
      </c>
      <c r="P661" s="33">
        <f>IF($D661="","",IFERROR(IF(INDEX(RUNS!$J$6:$J$1005,MATCH($D661,RUNS!$A$6:$A$1005,0))="","",INDEX(RUNS!$J$6:$J$1005,MATCH($D661,RUNS!$A$6:$A$1005,0))),""))</f>
        <v/>
      </c>
      <c r="Q661" s="33">
        <f>IF($D661="","",IFERROR(IF(INDEX(RUNS!$K$6:$K$1005,MATCH($D661,RUNS!$A$6:$A$1005,0))="","",INDEX(RUNS!$K$6:$K$1005,MATCH($D661,RUNS!$A$6:$A$1005,0))),""))</f>
        <v/>
      </c>
      <c r="R661" s="34">
        <f>IF(OR($L661="",$K661=""),"",IFERROR(IF(INDEX(PARAMETRES!$H$43:$H$342,MATCH($L661&amp;"|"&amp;$M661&amp;"|"&amp;$N661&amp;"|"&amp;$O661&amp;"|"&amp;$P661&amp;"|"&amp;$Q661&amp;"|"&amp;$K661,PARAMETRES!$J$43:$J$342,0))="","",INDEX(PARAMETRES!$H$43:$H$342,MATCH($L661&amp;"|"&amp;$M661&amp;"|"&amp;$N661&amp;"|"&amp;$O661&amp;"|"&amp;$P661&amp;"|"&amp;$Q661&amp;"|"&amp;$K661,PARAMETRES!$J$43:$J$342,0))),""))</f>
        <v/>
      </c>
      <c r="S661" s="35">
        <f>IF(OR($G661="",$X661&lt;&gt;"VALIDE"),"",IFERROR(LOOKUP(2,1/(($B$3:$B660=$B661)*($G$3:$G660=$G661)*($X$3:$X660="VALIDE")),$C$3:$C660),""))</f>
        <v/>
      </c>
      <c r="T661" s="36">
        <f>IF(OR($C661="",$S661=""),"",ROUND(($C661-$S661+IF($C661&lt;$S661,1,0))*1440,0))</f>
        <v/>
      </c>
      <c r="U661" s="22">
        <f>IF(OR($H661="",$T661="",$T661&lt;=0),"",$H661*60/$T661)</f>
        <v/>
      </c>
      <c r="V661" s="37">
        <f>IF(OR($U661="",$R661="",$R661=0),"",$U661/$R661)</f>
        <v/>
      </c>
      <c r="W661" s="20">
        <f>IF($G661="","",IF($X661="CONTEXTE INCOMPLET","CONTEXTE INCOMPLET",IF($X661="DOUBLON",StatutDoublon,IF($S661="",StatutInitial,IF($R661="",StatutStandardManquant,IF($V661="","DONNEES INSUFFISANTES",IF($V661&gt;=SeuilConforme,StatutConforme,IF($V661&gt;=SeuilSurveiller,StatutSurveiller,StatutSousStandard))))))))</f>
        <v/>
      </c>
      <c r="X661" s="33">
        <f>IF($G661="","",IF(OR($D661="",$E661="",$F661=""),"CONTEXTE INCOMPLET",IF(COUNTIFS($D$3:$D660,$D661,$E$3:$E660,$E661,$F$3:$F660,$F661,$G$3:$G660,$G661)&gt;0,"DOUBLON","VALIDE")))</f>
        <v/>
      </c>
    </row>
    <row r="662" ht="15" customHeight="1">
      <c r="A662" s="12">
        <f>IF(OR($B662="",$G662=""),"",TEXT($B662,"YYYYMMDD")&amp;"-"&amp;SUBSTITUTE($E662," ","")&amp;"-"&amp;$F662&amp;"-"&amp;$G662)</f>
        <v/>
      </c>
      <c r="B662" s="15" t="n"/>
      <c r="C662" s="16" t="n"/>
      <c r="D662" s="10" t="n"/>
      <c r="E662" s="9" t="n"/>
      <c r="F662" s="9" t="n"/>
      <c r="G662" s="13" t="n"/>
      <c r="H662" s="21" t="n"/>
      <c r="I662" s="21" t="n"/>
      <c r="J662" s="17">
        <f>IF($G662="","",IFERROR(INDEX(NomsEmployes,MATCH($G662,MatriculesEmployes,0)),"MATRICULE INCONNU"))</f>
        <v/>
      </c>
      <c r="K662" s="33">
        <f>IF(OR($D662="",$F662=""),"",IFERROR(IF(INDEX(RUNS!$L$6:$S$1005,MATCH($D662,RUNS!$A$6:$A$1005,0),MATCH("ACTIVITÉ "&amp;$F662,RUNS!$L$5:$S$5,0))="","",INDEX(RUNS!$L$6:$S$1005,MATCH($D662,RUNS!$A$6:$A$1005,0),MATCH("ACTIVITÉ "&amp;$F662,RUNS!$L$5:$S$5,0))),""))</f>
        <v/>
      </c>
      <c r="L662" s="33">
        <f>IF($D662="","",IFERROR(IF(INDEX(RUNS!$E$6:$E$1005,MATCH($D662,RUNS!$A$6:$A$1005,0))="","",INDEX(RUNS!$E$6:$E$1005,MATCH($D662,RUNS!$A$6:$A$1005,0))),""))</f>
        <v/>
      </c>
      <c r="M662" s="33">
        <f>IF($D662="","",IFERROR(IF(INDEX(RUNS!$F$6:$F$1005,MATCH($D662,RUNS!$A$6:$A$1005,0))="","",INDEX(RUNS!$F$6:$F$1005,MATCH($D662,RUNS!$A$6:$A$1005,0))),""))</f>
        <v/>
      </c>
      <c r="N662" s="33">
        <f>IF($D662="","",IFERROR(IF(INDEX(RUNS!$G$6:$G$1005,MATCH($D662,RUNS!$A$6:$A$1005,0))="","",INDEX(RUNS!$G$6:$G$1005,MATCH($D662,RUNS!$A$6:$A$1005,0))),""))</f>
        <v/>
      </c>
      <c r="O662" s="33">
        <f>IF($D662="","",IFERROR(IF(INDEX(RUNS!$H$6:$H$1005,MATCH($D662,RUNS!$A$6:$A$1005,0))="","",INDEX(RUNS!$H$6:$H$1005,MATCH($D662,RUNS!$A$6:$A$1005,0))),""))</f>
        <v/>
      </c>
      <c r="P662" s="33">
        <f>IF($D662="","",IFERROR(IF(INDEX(RUNS!$J$6:$J$1005,MATCH($D662,RUNS!$A$6:$A$1005,0))="","",INDEX(RUNS!$J$6:$J$1005,MATCH($D662,RUNS!$A$6:$A$1005,0))),""))</f>
        <v/>
      </c>
      <c r="Q662" s="33">
        <f>IF($D662="","",IFERROR(IF(INDEX(RUNS!$K$6:$K$1005,MATCH($D662,RUNS!$A$6:$A$1005,0))="","",INDEX(RUNS!$K$6:$K$1005,MATCH($D662,RUNS!$A$6:$A$1005,0))),""))</f>
        <v/>
      </c>
      <c r="R662" s="34">
        <f>IF(OR($L662="",$K662=""),"",IFERROR(IF(INDEX(PARAMETRES!$H$43:$H$342,MATCH($L662&amp;"|"&amp;$M662&amp;"|"&amp;$N662&amp;"|"&amp;$O662&amp;"|"&amp;$P662&amp;"|"&amp;$Q662&amp;"|"&amp;$K662,PARAMETRES!$J$43:$J$342,0))="","",INDEX(PARAMETRES!$H$43:$H$342,MATCH($L662&amp;"|"&amp;$M662&amp;"|"&amp;$N662&amp;"|"&amp;$O662&amp;"|"&amp;$P662&amp;"|"&amp;$Q662&amp;"|"&amp;$K662,PARAMETRES!$J$43:$J$342,0))),""))</f>
        <v/>
      </c>
      <c r="S662" s="35">
        <f>IF(OR($G662="",$X662&lt;&gt;"VALIDE"),"",IFERROR(LOOKUP(2,1/(($B$3:$B661=$B662)*($G$3:$G661=$G662)*($X$3:$X661="VALIDE")),$C$3:$C661),""))</f>
        <v/>
      </c>
      <c r="T662" s="36">
        <f>IF(OR($C662="",$S662=""),"",ROUND(($C662-$S662+IF($C662&lt;$S662,1,0))*1440,0))</f>
        <v/>
      </c>
      <c r="U662" s="22">
        <f>IF(OR($H662="",$T662="",$T662&lt;=0),"",$H662*60/$T662)</f>
        <v/>
      </c>
      <c r="V662" s="37">
        <f>IF(OR($U662="",$R662="",$R662=0),"",$U662/$R662)</f>
        <v/>
      </c>
      <c r="W662" s="20">
        <f>IF($G662="","",IF($X662="CONTEXTE INCOMPLET","CONTEXTE INCOMPLET",IF($X662="DOUBLON",StatutDoublon,IF($S662="",StatutInitial,IF($R662="",StatutStandardManquant,IF($V662="","DONNEES INSUFFISANTES",IF($V662&gt;=SeuilConforme,StatutConforme,IF($V662&gt;=SeuilSurveiller,StatutSurveiller,StatutSousStandard))))))))</f>
        <v/>
      </c>
      <c r="X662" s="33">
        <f>IF($G662="","",IF(OR($D662="",$E662="",$F662=""),"CONTEXTE INCOMPLET",IF(COUNTIFS($D$3:$D661,$D662,$E$3:$E661,$E662,$F$3:$F661,$F662,$G$3:$G661,$G662)&gt;0,"DOUBLON","VALIDE")))</f>
        <v/>
      </c>
    </row>
    <row r="663" ht="15" customHeight="1">
      <c r="A663" s="12">
        <f>IF(OR($B663="",$G663=""),"",TEXT($B663,"YYYYMMDD")&amp;"-"&amp;SUBSTITUTE($E663," ","")&amp;"-"&amp;$F663&amp;"-"&amp;$G663)</f>
        <v/>
      </c>
      <c r="B663" s="15" t="n"/>
      <c r="C663" s="16" t="n"/>
      <c r="D663" s="10" t="n"/>
      <c r="E663" s="9" t="n"/>
      <c r="F663" s="9" t="n"/>
      <c r="G663" s="13" t="n"/>
      <c r="H663" s="21" t="n"/>
      <c r="I663" s="21" t="n"/>
      <c r="J663" s="17">
        <f>IF($G663="","",IFERROR(INDEX(NomsEmployes,MATCH($G663,MatriculesEmployes,0)),"MATRICULE INCONNU"))</f>
        <v/>
      </c>
      <c r="K663" s="33">
        <f>IF(OR($D663="",$F663=""),"",IFERROR(IF(INDEX(RUNS!$L$6:$S$1005,MATCH($D663,RUNS!$A$6:$A$1005,0),MATCH("ACTIVITÉ "&amp;$F663,RUNS!$L$5:$S$5,0))="","",INDEX(RUNS!$L$6:$S$1005,MATCH($D663,RUNS!$A$6:$A$1005,0),MATCH("ACTIVITÉ "&amp;$F663,RUNS!$L$5:$S$5,0))),""))</f>
        <v/>
      </c>
      <c r="L663" s="33">
        <f>IF($D663="","",IFERROR(IF(INDEX(RUNS!$E$6:$E$1005,MATCH($D663,RUNS!$A$6:$A$1005,0))="","",INDEX(RUNS!$E$6:$E$1005,MATCH($D663,RUNS!$A$6:$A$1005,0))),""))</f>
        <v/>
      </c>
      <c r="M663" s="33">
        <f>IF($D663="","",IFERROR(IF(INDEX(RUNS!$F$6:$F$1005,MATCH($D663,RUNS!$A$6:$A$1005,0))="","",INDEX(RUNS!$F$6:$F$1005,MATCH($D663,RUNS!$A$6:$A$1005,0))),""))</f>
        <v/>
      </c>
      <c r="N663" s="33">
        <f>IF($D663="","",IFERROR(IF(INDEX(RUNS!$G$6:$G$1005,MATCH($D663,RUNS!$A$6:$A$1005,0))="","",INDEX(RUNS!$G$6:$G$1005,MATCH($D663,RUNS!$A$6:$A$1005,0))),""))</f>
        <v/>
      </c>
      <c r="O663" s="33">
        <f>IF($D663="","",IFERROR(IF(INDEX(RUNS!$H$6:$H$1005,MATCH($D663,RUNS!$A$6:$A$1005,0))="","",INDEX(RUNS!$H$6:$H$1005,MATCH($D663,RUNS!$A$6:$A$1005,0))),""))</f>
        <v/>
      </c>
      <c r="P663" s="33">
        <f>IF($D663="","",IFERROR(IF(INDEX(RUNS!$J$6:$J$1005,MATCH($D663,RUNS!$A$6:$A$1005,0))="","",INDEX(RUNS!$J$6:$J$1005,MATCH($D663,RUNS!$A$6:$A$1005,0))),""))</f>
        <v/>
      </c>
      <c r="Q663" s="33">
        <f>IF($D663="","",IFERROR(IF(INDEX(RUNS!$K$6:$K$1005,MATCH($D663,RUNS!$A$6:$A$1005,0))="","",INDEX(RUNS!$K$6:$K$1005,MATCH($D663,RUNS!$A$6:$A$1005,0))),""))</f>
        <v/>
      </c>
      <c r="R663" s="34">
        <f>IF(OR($L663="",$K663=""),"",IFERROR(IF(INDEX(PARAMETRES!$H$43:$H$342,MATCH($L663&amp;"|"&amp;$M663&amp;"|"&amp;$N663&amp;"|"&amp;$O663&amp;"|"&amp;$P663&amp;"|"&amp;$Q663&amp;"|"&amp;$K663,PARAMETRES!$J$43:$J$342,0))="","",INDEX(PARAMETRES!$H$43:$H$342,MATCH($L663&amp;"|"&amp;$M663&amp;"|"&amp;$N663&amp;"|"&amp;$O663&amp;"|"&amp;$P663&amp;"|"&amp;$Q663&amp;"|"&amp;$K663,PARAMETRES!$J$43:$J$342,0))),""))</f>
        <v/>
      </c>
      <c r="S663" s="35">
        <f>IF(OR($G663="",$X663&lt;&gt;"VALIDE"),"",IFERROR(LOOKUP(2,1/(($B$3:$B662=$B663)*($G$3:$G662=$G663)*($X$3:$X662="VALIDE")),$C$3:$C662),""))</f>
        <v/>
      </c>
      <c r="T663" s="36">
        <f>IF(OR($C663="",$S663=""),"",ROUND(($C663-$S663+IF($C663&lt;$S663,1,0))*1440,0))</f>
        <v/>
      </c>
      <c r="U663" s="22">
        <f>IF(OR($H663="",$T663="",$T663&lt;=0),"",$H663*60/$T663)</f>
        <v/>
      </c>
      <c r="V663" s="37">
        <f>IF(OR($U663="",$R663="",$R663=0),"",$U663/$R663)</f>
        <v/>
      </c>
      <c r="W663" s="20">
        <f>IF($G663="","",IF($X663="CONTEXTE INCOMPLET","CONTEXTE INCOMPLET",IF($X663="DOUBLON",StatutDoublon,IF($S663="",StatutInitial,IF($R663="",StatutStandardManquant,IF($V663="","DONNEES INSUFFISANTES",IF($V663&gt;=SeuilConforme,StatutConforme,IF($V663&gt;=SeuilSurveiller,StatutSurveiller,StatutSousStandard))))))))</f>
        <v/>
      </c>
      <c r="X663" s="33">
        <f>IF($G663="","",IF(OR($D663="",$E663="",$F663=""),"CONTEXTE INCOMPLET",IF(COUNTIFS($D$3:$D662,$D663,$E$3:$E662,$E663,$F$3:$F662,$F663,$G$3:$G662,$G663)&gt;0,"DOUBLON","VALIDE")))</f>
        <v/>
      </c>
    </row>
    <row r="664" ht="15" customHeight="1">
      <c r="A664" s="12">
        <f>IF(OR($B664="",$G664=""),"",TEXT($B664,"YYYYMMDD")&amp;"-"&amp;SUBSTITUTE($E664," ","")&amp;"-"&amp;$F664&amp;"-"&amp;$G664)</f>
        <v/>
      </c>
      <c r="B664" s="15" t="n"/>
      <c r="C664" s="16" t="n"/>
      <c r="D664" s="10" t="n"/>
      <c r="E664" s="9" t="n"/>
      <c r="F664" s="9" t="n"/>
      <c r="G664" s="13" t="n"/>
      <c r="H664" s="21" t="n"/>
      <c r="I664" s="21" t="n"/>
      <c r="J664" s="17">
        <f>IF($G664="","",IFERROR(INDEX(NomsEmployes,MATCH($G664,MatriculesEmployes,0)),"MATRICULE INCONNU"))</f>
        <v/>
      </c>
      <c r="K664" s="33">
        <f>IF(OR($D664="",$F664=""),"",IFERROR(IF(INDEX(RUNS!$L$6:$S$1005,MATCH($D664,RUNS!$A$6:$A$1005,0),MATCH("ACTIVITÉ "&amp;$F664,RUNS!$L$5:$S$5,0))="","",INDEX(RUNS!$L$6:$S$1005,MATCH($D664,RUNS!$A$6:$A$1005,0),MATCH("ACTIVITÉ "&amp;$F664,RUNS!$L$5:$S$5,0))),""))</f>
        <v/>
      </c>
      <c r="L664" s="33">
        <f>IF($D664="","",IFERROR(IF(INDEX(RUNS!$E$6:$E$1005,MATCH($D664,RUNS!$A$6:$A$1005,0))="","",INDEX(RUNS!$E$6:$E$1005,MATCH($D664,RUNS!$A$6:$A$1005,0))),""))</f>
        <v/>
      </c>
      <c r="M664" s="33">
        <f>IF($D664="","",IFERROR(IF(INDEX(RUNS!$F$6:$F$1005,MATCH($D664,RUNS!$A$6:$A$1005,0))="","",INDEX(RUNS!$F$6:$F$1005,MATCH($D664,RUNS!$A$6:$A$1005,0))),""))</f>
        <v/>
      </c>
      <c r="N664" s="33">
        <f>IF($D664="","",IFERROR(IF(INDEX(RUNS!$G$6:$G$1005,MATCH($D664,RUNS!$A$6:$A$1005,0))="","",INDEX(RUNS!$G$6:$G$1005,MATCH($D664,RUNS!$A$6:$A$1005,0))),""))</f>
        <v/>
      </c>
      <c r="O664" s="33">
        <f>IF($D664="","",IFERROR(IF(INDEX(RUNS!$H$6:$H$1005,MATCH($D664,RUNS!$A$6:$A$1005,0))="","",INDEX(RUNS!$H$6:$H$1005,MATCH($D664,RUNS!$A$6:$A$1005,0))),""))</f>
        <v/>
      </c>
      <c r="P664" s="33">
        <f>IF($D664="","",IFERROR(IF(INDEX(RUNS!$J$6:$J$1005,MATCH($D664,RUNS!$A$6:$A$1005,0))="","",INDEX(RUNS!$J$6:$J$1005,MATCH($D664,RUNS!$A$6:$A$1005,0))),""))</f>
        <v/>
      </c>
      <c r="Q664" s="33">
        <f>IF($D664="","",IFERROR(IF(INDEX(RUNS!$K$6:$K$1005,MATCH($D664,RUNS!$A$6:$A$1005,0))="","",INDEX(RUNS!$K$6:$K$1005,MATCH($D664,RUNS!$A$6:$A$1005,0))),""))</f>
        <v/>
      </c>
      <c r="R664" s="34">
        <f>IF(OR($L664="",$K664=""),"",IFERROR(IF(INDEX(PARAMETRES!$H$43:$H$342,MATCH($L664&amp;"|"&amp;$M664&amp;"|"&amp;$N664&amp;"|"&amp;$O664&amp;"|"&amp;$P664&amp;"|"&amp;$Q664&amp;"|"&amp;$K664,PARAMETRES!$J$43:$J$342,0))="","",INDEX(PARAMETRES!$H$43:$H$342,MATCH($L664&amp;"|"&amp;$M664&amp;"|"&amp;$N664&amp;"|"&amp;$O664&amp;"|"&amp;$P664&amp;"|"&amp;$Q664&amp;"|"&amp;$K664,PARAMETRES!$J$43:$J$342,0))),""))</f>
        <v/>
      </c>
      <c r="S664" s="35">
        <f>IF(OR($G664="",$X664&lt;&gt;"VALIDE"),"",IFERROR(LOOKUP(2,1/(($B$3:$B663=$B664)*($G$3:$G663=$G664)*($X$3:$X663="VALIDE")),$C$3:$C663),""))</f>
        <v/>
      </c>
      <c r="T664" s="36">
        <f>IF(OR($C664="",$S664=""),"",ROUND(($C664-$S664+IF($C664&lt;$S664,1,0))*1440,0))</f>
        <v/>
      </c>
      <c r="U664" s="22">
        <f>IF(OR($H664="",$T664="",$T664&lt;=0),"",$H664*60/$T664)</f>
        <v/>
      </c>
      <c r="V664" s="37">
        <f>IF(OR($U664="",$R664="",$R664=0),"",$U664/$R664)</f>
        <v/>
      </c>
      <c r="W664" s="20">
        <f>IF($G664="","",IF($X664="CONTEXTE INCOMPLET","CONTEXTE INCOMPLET",IF($X664="DOUBLON",StatutDoublon,IF($S664="",StatutInitial,IF($R664="",StatutStandardManquant,IF($V664="","DONNEES INSUFFISANTES",IF($V664&gt;=SeuilConforme,StatutConforme,IF($V664&gt;=SeuilSurveiller,StatutSurveiller,StatutSousStandard))))))))</f>
        <v/>
      </c>
      <c r="X664" s="33">
        <f>IF($G664="","",IF(OR($D664="",$E664="",$F664=""),"CONTEXTE INCOMPLET",IF(COUNTIFS($D$3:$D663,$D664,$E$3:$E663,$E664,$F$3:$F663,$F664,$G$3:$G663,$G664)&gt;0,"DOUBLON","VALIDE")))</f>
        <v/>
      </c>
    </row>
    <row r="665" ht="15" customHeight="1">
      <c r="A665" s="12">
        <f>IF(OR($B665="",$G665=""),"",TEXT($B665,"YYYYMMDD")&amp;"-"&amp;SUBSTITUTE($E665," ","")&amp;"-"&amp;$F665&amp;"-"&amp;$G665)</f>
        <v/>
      </c>
      <c r="B665" s="15" t="n"/>
      <c r="C665" s="16" t="n"/>
      <c r="D665" s="10" t="n"/>
      <c r="E665" s="9" t="n"/>
      <c r="F665" s="9" t="n"/>
      <c r="G665" s="13" t="n"/>
      <c r="H665" s="21" t="n"/>
      <c r="I665" s="21" t="n"/>
      <c r="J665" s="17">
        <f>IF($G665="","",IFERROR(INDEX(NomsEmployes,MATCH($G665,MatriculesEmployes,0)),"MATRICULE INCONNU"))</f>
        <v/>
      </c>
      <c r="K665" s="33">
        <f>IF(OR($D665="",$F665=""),"",IFERROR(IF(INDEX(RUNS!$L$6:$S$1005,MATCH($D665,RUNS!$A$6:$A$1005,0),MATCH("ACTIVITÉ "&amp;$F665,RUNS!$L$5:$S$5,0))="","",INDEX(RUNS!$L$6:$S$1005,MATCH($D665,RUNS!$A$6:$A$1005,0),MATCH("ACTIVITÉ "&amp;$F665,RUNS!$L$5:$S$5,0))),""))</f>
        <v/>
      </c>
      <c r="L665" s="33">
        <f>IF($D665="","",IFERROR(IF(INDEX(RUNS!$E$6:$E$1005,MATCH($D665,RUNS!$A$6:$A$1005,0))="","",INDEX(RUNS!$E$6:$E$1005,MATCH($D665,RUNS!$A$6:$A$1005,0))),""))</f>
        <v/>
      </c>
      <c r="M665" s="33">
        <f>IF($D665="","",IFERROR(IF(INDEX(RUNS!$F$6:$F$1005,MATCH($D665,RUNS!$A$6:$A$1005,0))="","",INDEX(RUNS!$F$6:$F$1005,MATCH($D665,RUNS!$A$6:$A$1005,0))),""))</f>
        <v/>
      </c>
      <c r="N665" s="33">
        <f>IF($D665="","",IFERROR(IF(INDEX(RUNS!$G$6:$G$1005,MATCH($D665,RUNS!$A$6:$A$1005,0))="","",INDEX(RUNS!$G$6:$G$1005,MATCH($D665,RUNS!$A$6:$A$1005,0))),""))</f>
        <v/>
      </c>
      <c r="O665" s="33">
        <f>IF($D665="","",IFERROR(IF(INDEX(RUNS!$H$6:$H$1005,MATCH($D665,RUNS!$A$6:$A$1005,0))="","",INDEX(RUNS!$H$6:$H$1005,MATCH($D665,RUNS!$A$6:$A$1005,0))),""))</f>
        <v/>
      </c>
      <c r="P665" s="33">
        <f>IF($D665="","",IFERROR(IF(INDEX(RUNS!$J$6:$J$1005,MATCH($D665,RUNS!$A$6:$A$1005,0))="","",INDEX(RUNS!$J$6:$J$1005,MATCH($D665,RUNS!$A$6:$A$1005,0))),""))</f>
        <v/>
      </c>
      <c r="Q665" s="33">
        <f>IF($D665="","",IFERROR(IF(INDEX(RUNS!$K$6:$K$1005,MATCH($D665,RUNS!$A$6:$A$1005,0))="","",INDEX(RUNS!$K$6:$K$1005,MATCH($D665,RUNS!$A$6:$A$1005,0))),""))</f>
        <v/>
      </c>
      <c r="R665" s="34">
        <f>IF(OR($L665="",$K665=""),"",IFERROR(IF(INDEX(PARAMETRES!$H$43:$H$342,MATCH($L665&amp;"|"&amp;$M665&amp;"|"&amp;$N665&amp;"|"&amp;$O665&amp;"|"&amp;$P665&amp;"|"&amp;$Q665&amp;"|"&amp;$K665,PARAMETRES!$J$43:$J$342,0))="","",INDEX(PARAMETRES!$H$43:$H$342,MATCH($L665&amp;"|"&amp;$M665&amp;"|"&amp;$N665&amp;"|"&amp;$O665&amp;"|"&amp;$P665&amp;"|"&amp;$Q665&amp;"|"&amp;$K665,PARAMETRES!$J$43:$J$342,0))),""))</f>
        <v/>
      </c>
      <c r="S665" s="35">
        <f>IF(OR($G665="",$X665&lt;&gt;"VALIDE"),"",IFERROR(LOOKUP(2,1/(($B$3:$B664=$B665)*($G$3:$G664=$G665)*($X$3:$X664="VALIDE")),$C$3:$C664),""))</f>
        <v/>
      </c>
      <c r="T665" s="36">
        <f>IF(OR($C665="",$S665=""),"",ROUND(($C665-$S665+IF($C665&lt;$S665,1,0))*1440,0))</f>
        <v/>
      </c>
      <c r="U665" s="22">
        <f>IF(OR($H665="",$T665="",$T665&lt;=0),"",$H665*60/$T665)</f>
        <v/>
      </c>
      <c r="V665" s="37">
        <f>IF(OR($U665="",$R665="",$R665=0),"",$U665/$R665)</f>
        <v/>
      </c>
      <c r="W665" s="20">
        <f>IF($G665="","",IF($X665="CONTEXTE INCOMPLET","CONTEXTE INCOMPLET",IF($X665="DOUBLON",StatutDoublon,IF($S665="",StatutInitial,IF($R665="",StatutStandardManquant,IF($V665="","DONNEES INSUFFISANTES",IF($V665&gt;=SeuilConforme,StatutConforme,IF($V665&gt;=SeuilSurveiller,StatutSurveiller,StatutSousStandard))))))))</f>
        <v/>
      </c>
      <c r="X665" s="33">
        <f>IF($G665="","",IF(OR($D665="",$E665="",$F665=""),"CONTEXTE INCOMPLET",IF(COUNTIFS($D$3:$D664,$D665,$E$3:$E664,$E665,$F$3:$F664,$F665,$G$3:$G664,$G665)&gt;0,"DOUBLON","VALIDE")))</f>
        <v/>
      </c>
    </row>
    <row r="666" ht="15" customHeight="1">
      <c r="A666" s="12">
        <f>IF(OR($B666="",$G666=""),"",TEXT($B666,"YYYYMMDD")&amp;"-"&amp;SUBSTITUTE($E666," ","")&amp;"-"&amp;$F666&amp;"-"&amp;$G666)</f>
        <v/>
      </c>
      <c r="B666" s="15" t="n"/>
      <c r="C666" s="16" t="n"/>
      <c r="D666" s="10" t="n"/>
      <c r="E666" s="9" t="n"/>
      <c r="F666" s="9" t="n"/>
      <c r="G666" s="13" t="n"/>
      <c r="H666" s="21" t="n"/>
      <c r="I666" s="21" t="n"/>
      <c r="J666" s="17">
        <f>IF($G666="","",IFERROR(INDEX(NomsEmployes,MATCH($G666,MatriculesEmployes,0)),"MATRICULE INCONNU"))</f>
        <v/>
      </c>
      <c r="K666" s="33">
        <f>IF(OR($D666="",$F666=""),"",IFERROR(IF(INDEX(RUNS!$L$6:$S$1005,MATCH($D666,RUNS!$A$6:$A$1005,0),MATCH("ACTIVITÉ "&amp;$F666,RUNS!$L$5:$S$5,0))="","",INDEX(RUNS!$L$6:$S$1005,MATCH($D666,RUNS!$A$6:$A$1005,0),MATCH("ACTIVITÉ "&amp;$F666,RUNS!$L$5:$S$5,0))),""))</f>
        <v/>
      </c>
      <c r="L666" s="33">
        <f>IF($D666="","",IFERROR(IF(INDEX(RUNS!$E$6:$E$1005,MATCH($D666,RUNS!$A$6:$A$1005,0))="","",INDEX(RUNS!$E$6:$E$1005,MATCH($D666,RUNS!$A$6:$A$1005,0))),""))</f>
        <v/>
      </c>
      <c r="M666" s="33">
        <f>IF($D666="","",IFERROR(IF(INDEX(RUNS!$F$6:$F$1005,MATCH($D666,RUNS!$A$6:$A$1005,0))="","",INDEX(RUNS!$F$6:$F$1005,MATCH($D666,RUNS!$A$6:$A$1005,0))),""))</f>
        <v/>
      </c>
      <c r="N666" s="33">
        <f>IF($D666="","",IFERROR(IF(INDEX(RUNS!$G$6:$G$1005,MATCH($D666,RUNS!$A$6:$A$1005,0))="","",INDEX(RUNS!$G$6:$G$1005,MATCH($D666,RUNS!$A$6:$A$1005,0))),""))</f>
        <v/>
      </c>
      <c r="O666" s="33">
        <f>IF($D666="","",IFERROR(IF(INDEX(RUNS!$H$6:$H$1005,MATCH($D666,RUNS!$A$6:$A$1005,0))="","",INDEX(RUNS!$H$6:$H$1005,MATCH($D666,RUNS!$A$6:$A$1005,0))),""))</f>
        <v/>
      </c>
      <c r="P666" s="33">
        <f>IF($D666="","",IFERROR(IF(INDEX(RUNS!$J$6:$J$1005,MATCH($D666,RUNS!$A$6:$A$1005,0))="","",INDEX(RUNS!$J$6:$J$1005,MATCH($D666,RUNS!$A$6:$A$1005,0))),""))</f>
        <v/>
      </c>
      <c r="Q666" s="33">
        <f>IF($D666="","",IFERROR(IF(INDEX(RUNS!$K$6:$K$1005,MATCH($D666,RUNS!$A$6:$A$1005,0))="","",INDEX(RUNS!$K$6:$K$1005,MATCH($D666,RUNS!$A$6:$A$1005,0))),""))</f>
        <v/>
      </c>
      <c r="R666" s="34">
        <f>IF(OR($L666="",$K666=""),"",IFERROR(IF(INDEX(PARAMETRES!$H$43:$H$342,MATCH($L666&amp;"|"&amp;$M666&amp;"|"&amp;$N666&amp;"|"&amp;$O666&amp;"|"&amp;$P666&amp;"|"&amp;$Q666&amp;"|"&amp;$K666,PARAMETRES!$J$43:$J$342,0))="","",INDEX(PARAMETRES!$H$43:$H$342,MATCH($L666&amp;"|"&amp;$M666&amp;"|"&amp;$N666&amp;"|"&amp;$O666&amp;"|"&amp;$P666&amp;"|"&amp;$Q666&amp;"|"&amp;$K666,PARAMETRES!$J$43:$J$342,0))),""))</f>
        <v/>
      </c>
      <c r="S666" s="35">
        <f>IF(OR($G666="",$X666&lt;&gt;"VALIDE"),"",IFERROR(LOOKUP(2,1/(($B$3:$B665=$B666)*($G$3:$G665=$G666)*($X$3:$X665="VALIDE")),$C$3:$C665),""))</f>
        <v/>
      </c>
      <c r="T666" s="36">
        <f>IF(OR($C666="",$S666=""),"",ROUND(($C666-$S666+IF($C666&lt;$S666,1,0))*1440,0))</f>
        <v/>
      </c>
      <c r="U666" s="22">
        <f>IF(OR($H666="",$T666="",$T666&lt;=0),"",$H666*60/$T666)</f>
        <v/>
      </c>
      <c r="V666" s="37">
        <f>IF(OR($U666="",$R666="",$R666=0),"",$U666/$R666)</f>
        <v/>
      </c>
      <c r="W666" s="20">
        <f>IF($G666="","",IF($X666="CONTEXTE INCOMPLET","CONTEXTE INCOMPLET",IF($X666="DOUBLON",StatutDoublon,IF($S666="",StatutInitial,IF($R666="",StatutStandardManquant,IF($V666="","DONNEES INSUFFISANTES",IF($V666&gt;=SeuilConforme,StatutConforme,IF($V666&gt;=SeuilSurveiller,StatutSurveiller,StatutSousStandard))))))))</f>
        <v/>
      </c>
      <c r="X666" s="33">
        <f>IF($G666="","",IF(OR($D666="",$E666="",$F666=""),"CONTEXTE INCOMPLET",IF(COUNTIFS($D$3:$D665,$D666,$E$3:$E665,$E666,$F$3:$F665,$F666,$G$3:$G665,$G666)&gt;0,"DOUBLON","VALIDE")))</f>
        <v/>
      </c>
    </row>
    <row r="667" ht="15" customHeight="1">
      <c r="A667" s="12">
        <f>IF(OR($B667="",$G667=""),"",TEXT($B667,"YYYYMMDD")&amp;"-"&amp;SUBSTITUTE($E667," ","")&amp;"-"&amp;$F667&amp;"-"&amp;$G667)</f>
        <v/>
      </c>
      <c r="B667" s="15" t="n"/>
      <c r="C667" s="16" t="n"/>
      <c r="D667" s="10" t="n"/>
      <c r="E667" s="9" t="n"/>
      <c r="F667" s="9" t="n"/>
      <c r="G667" s="13" t="n"/>
      <c r="H667" s="21" t="n"/>
      <c r="I667" s="21" t="n"/>
      <c r="J667" s="17">
        <f>IF($G667="","",IFERROR(INDEX(NomsEmployes,MATCH($G667,MatriculesEmployes,0)),"MATRICULE INCONNU"))</f>
        <v/>
      </c>
      <c r="K667" s="33">
        <f>IF(OR($D667="",$F667=""),"",IFERROR(IF(INDEX(RUNS!$L$6:$S$1005,MATCH($D667,RUNS!$A$6:$A$1005,0),MATCH("ACTIVITÉ "&amp;$F667,RUNS!$L$5:$S$5,0))="","",INDEX(RUNS!$L$6:$S$1005,MATCH($D667,RUNS!$A$6:$A$1005,0),MATCH("ACTIVITÉ "&amp;$F667,RUNS!$L$5:$S$5,0))),""))</f>
        <v/>
      </c>
      <c r="L667" s="33">
        <f>IF($D667="","",IFERROR(IF(INDEX(RUNS!$E$6:$E$1005,MATCH($D667,RUNS!$A$6:$A$1005,0))="","",INDEX(RUNS!$E$6:$E$1005,MATCH($D667,RUNS!$A$6:$A$1005,0))),""))</f>
        <v/>
      </c>
      <c r="M667" s="33">
        <f>IF($D667="","",IFERROR(IF(INDEX(RUNS!$F$6:$F$1005,MATCH($D667,RUNS!$A$6:$A$1005,0))="","",INDEX(RUNS!$F$6:$F$1005,MATCH($D667,RUNS!$A$6:$A$1005,0))),""))</f>
        <v/>
      </c>
      <c r="N667" s="33">
        <f>IF($D667="","",IFERROR(IF(INDEX(RUNS!$G$6:$G$1005,MATCH($D667,RUNS!$A$6:$A$1005,0))="","",INDEX(RUNS!$G$6:$G$1005,MATCH($D667,RUNS!$A$6:$A$1005,0))),""))</f>
        <v/>
      </c>
      <c r="O667" s="33">
        <f>IF($D667="","",IFERROR(IF(INDEX(RUNS!$H$6:$H$1005,MATCH($D667,RUNS!$A$6:$A$1005,0))="","",INDEX(RUNS!$H$6:$H$1005,MATCH($D667,RUNS!$A$6:$A$1005,0))),""))</f>
        <v/>
      </c>
      <c r="P667" s="33">
        <f>IF($D667="","",IFERROR(IF(INDEX(RUNS!$J$6:$J$1005,MATCH($D667,RUNS!$A$6:$A$1005,0))="","",INDEX(RUNS!$J$6:$J$1005,MATCH($D667,RUNS!$A$6:$A$1005,0))),""))</f>
        <v/>
      </c>
      <c r="Q667" s="33">
        <f>IF($D667="","",IFERROR(IF(INDEX(RUNS!$K$6:$K$1005,MATCH($D667,RUNS!$A$6:$A$1005,0))="","",INDEX(RUNS!$K$6:$K$1005,MATCH($D667,RUNS!$A$6:$A$1005,0))),""))</f>
        <v/>
      </c>
      <c r="R667" s="34">
        <f>IF(OR($L667="",$K667=""),"",IFERROR(IF(INDEX(PARAMETRES!$H$43:$H$342,MATCH($L667&amp;"|"&amp;$M667&amp;"|"&amp;$N667&amp;"|"&amp;$O667&amp;"|"&amp;$P667&amp;"|"&amp;$Q667&amp;"|"&amp;$K667,PARAMETRES!$J$43:$J$342,0))="","",INDEX(PARAMETRES!$H$43:$H$342,MATCH($L667&amp;"|"&amp;$M667&amp;"|"&amp;$N667&amp;"|"&amp;$O667&amp;"|"&amp;$P667&amp;"|"&amp;$Q667&amp;"|"&amp;$K667,PARAMETRES!$J$43:$J$342,0))),""))</f>
        <v/>
      </c>
      <c r="S667" s="35">
        <f>IF(OR($G667="",$X667&lt;&gt;"VALIDE"),"",IFERROR(LOOKUP(2,1/(($B$3:$B666=$B667)*($G$3:$G666=$G667)*($X$3:$X666="VALIDE")),$C$3:$C666),""))</f>
        <v/>
      </c>
      <c r="T667" s="36">
        <f>IF(OR($C667="",$S667=""),"",ROUND(($C667-$S667+IF($C667&lt;$S667,1,0))*1440,0))</f>
        <v/>
      </c>
      <c r="U667" s="22">
        <f>IF(OR($H667="",$T667="",$T667&lt;=0),"",$H667*60/$T667)</f>
        <v/>
      </c>
      <c r="V667" s="37">
        <f>IF(OR($U667="",$R667="",$R667=0),"",$U667/$R667)</f>
        <v/>
      </c>
      <c r="W667" s="20">
        <f>IF($G667="","",IF($X667="CONTEXTE INCOMPLET","CONTEXTE INCOMPLET",IF($X667="DOUBLON",StatutDoublon,IF($S667="",StatutInitial,IF($R667="",StatutStandardManquant,IF($V667="","DONNEES INSUFFISANTES",IF($V667&gt;=SeuilConforme,StatutConforme,IF($V667&gt;=SeuilSurveiller,StatutSurveiller,StatutSousStandard))))))))</f>
        <v/>
      </c>
      <c r="X667" s="33">
        <f>IF($G667="","",IF(OR($D667="",$E667="",$F667=""),"CONTEXTE INCOMPLET",IF(COUNTIFS($D$3:$D666,$D667,$E$3:$E666,$E667,$F$3:$F666,$F667,$G$3:$G666,$G667)&gt;0,"DOUBLON","VALIDE")))</f>
        <v/>
      </c>
    </row>
    <row r="668" ht="15" customHeight="1">
      <c r="A668" s="12">
        <f>IF(OR($B668="",$G668=""),"",TEXT($B668,"YYYYMMDD")&amp;"-"&amp;SUBSTITUTE($E668," ","")&amp;"-"&amp;$F668&amp;"-"&amp;$G668)</f>
        <v/>
      </c>
      <c r="B668" s="15" t="n"/>
      <c r="C668" s="16" t="n"/>
      <c r="D668" s="10" t="n"/>
      <c r="E668" s="9" t="n"/>
      <c r="F668" s="9" t="n"/>
      <c r="G668" s="13" t="n"/>
      <c r="H668" s="21" t="n"/>
      <c r="I668" s="21" t="n"/>
      <c r="J668" s="17">
        <f>IF($G668="","",IFERROR(INDEX(NomsEmployes,MATCH($G668,MatriculesEmployes,0)),"MATRICULE INCONNU"))</f>
        <v/>
      </c>
      <c r="K668" s="33">
        <f>IF(OR($D668="",$F668=""),"",IFERROR(IF(INDEX(RUNS!$L$6:$S$1005,MATCH($D668,RUNS!$A$6:$A$1005,0),MATCH("ACTIVITÉ "&amp;$F668,RUNS!$L$5:$S$5,0))="","",INDEX(RUNS!$L$6:$S$1005,MATCH($D668,RUNS!$A$6:$A$1005,0),MATCH("ACTIVITÉ "&amp;$F668,RUNS!$L$5:$S$5,0))),""))</f>
        <v/>
      </c>
      <c r="L668" s="33">
        <f>IF($D668="","",IFERROR(IF(INDEX(RUNS!$E$6:$E$1005,MATCH($D668,RUNS!$A$6:$A$1005,0))="","",INDEX(RUNS!$E$6:$E$1005,MATCH($D668,RUNS!$A$6:$A$1005,0))),""))</f>
        <v/>
      </c>
      <c r="M668" s="33">
        <f>IF($D668="","",IFERROR(IF(INDEX(RUNS!$F$6:$F$1005,MATCH($D668,RUNS!$A$6:$A$1005,0))="","",INDEX(RUNS!$F$6:$F$1005,MATCH($D668,RUNS!$A$6:$A$1005,0))),""))</f>
        <v/>
      </c>
      <c r="N668" s="33">
        <f>IF($D668="","",IFERROR(IF(INDEX(RUNS!$G$6:$G$1005,MATCH($D668,RUNS!$A$6:$A$1005,0))="","",INDEX(RUNS!$G$6:$G$1005,MATCH($D668,RUNS!$A$6:$A$1005,0))),""))</f>
        <v/>
      </c>
      <c r="O668" s="33">
        <f>IF($D668="","",IFERROR(IF(INDEX(RUNS!$H$6:$H$1005,MATCH($D668,RUNS!$A$6:$A$1005,0))="","",INDEX(RUNS!$H$6:$H$1005,MATCH($D668,RUNS!$A$6:$A$1005,0))),""))</f>
        <v/>
      </c>
      <c r="P668" s="33">
        <f>IF($D668="","",IFERROR(IF(INDEX(RUNS!$J$6:$J$1005,MATCH($D668,RUNS!$A$6:$A$1005,0))="","",INDEX(RUNS!$J$6:$J$1005,MATCH($D668,RUNS!$A$6:$A$1005,0))),""))</f>
        <v/>
      </c>
      <c r="Q668" s="33">
        <f>IF($D668="","",IFERROR(IF(INDEX(RUNS!$K$6:$K$1005,MATCH($D668,RUNS!$A$6:$A$1005,0))="","",INDEX(RUNS!$K$6:$K$1005,MATCH($D668,RUNS!$A$6:$A$1005,0))),""))</f>
        <v/>
      </c>
      <c r="R668" s="34">
        <f>IF(OR($L668="",$K668=""),"",IFERROR(IF(INDEX(PARAMETRES!$H$43:$H$342,MATCH($L668&amp;"|"&amp;$M668&amp;"|"&amp;$N668&amp;"|"&amp;$O668&amp;"|"&amp;$P668&amp;"|"&amp;$Q668&amp;"|"&amp;$K668,PARAMETRES!$J$43:$J$342,0))="","",INDEX(PARAMETRES!$H$43:$H$342,MATCH($L668&amp;"|"&amp;$M668&amp;"|"&amp;$N668&amp;"|"&amp;$O668&amp;"|"&amp;$P668&amp;"|"&amp;$Q668&amp;"|"&amp;$K668,PARAMETRES!$J$43:$J$342,0))),""))</f>
        <v/>
      </c>
      <c r="S668" s="35">
        <f>IF(OR($G668="",$X668&lt;&gt;"VALIDE"),"",IFERROR(LOOKUP(2,1/(($B$3:$B667=$B668)*($G$3:$G667=$G668)*($X$3:$X667="VALIDE")),$C$3:$C667),""))</f>
        <v/>
      </c>
      <c r="T668" s="36">
        <f>IF(OR($C668="",$S668=""),"",ROUND(($C668-$S668+IF($C668&lt;$S668,1,0))*1440,0))</f>
        <v/>
      </c>
      <c r="U668" s="22">
        <f>IF(OR($H668="",$T668="",$T668&lt;=0),"",$H668*60/$T668)</f>
        <v/>
      </c>
      <c r="V668" s="37">
        <f>IF(OR($U668="",$R668="",$R668=0),"",$U668/$R668)</f>
        <v/>
      </c>
      <c r="W668" s="20">
        <f>IF($G668="","",IF($X668="CONTEXTE INCOMPLET","CONTEXTE INCOMPLET",IF($X668="DOUBLON",StatutDoublon,IF($S668="",StatutInitial,IF($R668="",StatutStandardManquant,IF($V668="","DONNEES INSUFFISANTES",IF($V668&gt;=SeuilConforme,StatutConforme,IF($V668&gt;=SeuilSurveiller,StatutSurveiller,StatutSousStandard))))))))</f>
        <v/>
      </c>
      <c r="X668" s="33">
        <f>IF($G668="","",IF(OR($D668="",$E668="",$F668=""),"CONTEXTE INCOMPLET",IF(COUNTIFS($D$3:$D667,$D668,$E$3:$E667,$E668,$F$3:$F667,$F668,$G$3:$G667,$G668)&gt;0,"DOUBLON","VALIDE")))</f>
        <v/>
      </c>
    </row>
    <row r="669" ht="15" customHeight="1">
      <c r="A669" s="12">
        <f>IF(OR($B669="",$G669=""),"",TEXT($B669,"YYYYMMDD")&amp;"-"&amp;SUBSTITUTE($E669," ","")&amp;"-"&amp;$F669&amp;"-"&amp;$G669)</f>
        <v/>
      </c>
      <c r="B669" s="15" t="n"/>
      <c r="C669" s="16" t="n"/>
      <c r="D669" s="10" t="n"/>
      <c r="E669" s="9" t="n"/>
      <c r="F669" s="9" t="n"/>
      <c r="G669" s="13" t="n"/>
      <c r="H669" s="21" t="n"/>
      <c r="I669" s="21" t="n"/>
      <c r="J669" s="17">
        <f>IF($G669="","",IFERROR(INDEX(NomsEmployes,MATCH($G669,MatriculesEmployes,0)),"MATRICULE INCONNU"))</f>
        <v/>
      </c>
      <c r="K669" s="33">
        <f>IF(OR($D669="",$F669=""),"",IFERROR(IF(INDEX(RUNS!$L$6:$S$1005,MATCH($D669,RUNS!$A$6:$A$1005,0),MATCH("ACTIVITÉ "&amp;$F669,RUNS!$L$5:$S$5,0))="","",INDEX(RUNS!$L$6:$S$1005,MATCH($D669,RUNS!$A$6:$A$1005,0),MATCH("ACTIVITÉ "&amp;$F669,RUNS!$L$5:$S$5,0))),""))</f>
        <v/>
      </c>
      <c r="L669" s="33">
        <f>IF($D669="","",IFERROR(IF(INDEX(RUNS!$E$6:$E$1005,MATCH($D669,RUNS!$A$6:$A$1005,0))="","",INDEX(RUNS!$E$6:$E$1005,MATCH($D669,RUNS!$A$6:$A$1005,0))),""))</f>
        <v/>
      </c>
      <c r="M669" s="33">
        <f>IF($D669="","",IFERROR(IF(INDEX(RUNS!$F$6:$F$1005,MATCH($D669,RUNS!$A$6:$A$1005,0))="","",INDEX(RUNS!$F$6:$F$1005,MATCH($D669,RUNS!$A$6:$A$1005,0))),""))</f>
        <v/>
      </c>
      <c r="N669" s="33">
        <f>IF($D669="","",IFERROR(IF(INDEX(RUNS!$G$6:$G$1005,MATCH($D669,RUNS!$A$6:$A$1005,0))="","",INDEX(RUNS!$G$6:$G$1005,MATCH($D669,RUNS!$A$6:$A$1005,0))),""))</f>
        <v/>
      </c>
      <c r="O669" s="33">
        <f>IF($D669="","",IFERROR(IF(INDEX(RUNS!$H$6:$H$1005,MATCH($D669,RUNS!$A$6:$A$1005,0))="","",INDEX(RUNS!$H$6:$H$1005,MATCH($D669,RUNS!$A$6:$A$1005,0))),""))</f>
        <v/>
      </c>
      <c r="P669" s="33">
        <f>IF($D669="","",IFERROR(IF(INDEX(RUNS!$J$6:$J$1005,MATCH($D669,RUNS!$A$6:$A$1005,0))="","",INDEX(RUNS!$J$6:$J$1005,MATCH($D669,RUNS!$A$6:$A$1005,0))),""))</f>
        <v/>
      </c>
      <c r="Q669" s="33">
        <f>IF($D669="","",IFERROR(IF(INDEX(RUNS!$K$6:$K$1005,MATCH($D669,RUNS!$A$6:$A$1005,0))="","",INDEX(RUNS!$K$6:$K$1005,MATCH($D669,RUNS!$A$6:$A$1005,0))),""))</f>
        <v/>
      </c>
      <c r="R669" s="34">
        <f>IF(OR($L669="",$K669=""),"",IFERROR(IF(INDEX(PARAMETRES!$H$43:$H$342,MATCH($L669&amp;"|"&amp;$M669&amp;"|"&amp;$N669&amp;"|"&amp;$O669&amp;"|"&amp;$P669&amp;"|"&amp;$Q669&amp;"|"&amp;$K669,PARAMETRES!$J$43:$J$342,0))="","",INDEX(PARAMETRES!$H$43:$H$342,MATCH($L669&amp;"|"&amp;$M669&amp;"|"&amp;$N669&amp;"|"&amp;$O669&amp;"|"&amp;$P669&amp;"|"&amp;$Q669&amp;"|"&amp;$K669,PARAMETRES!$J$43:$J$342,0))),""))</f>
        <v/>
      </c>
      <c r="S669" s="35">
        <f>IF(OR($G669="",$X669&lt;&gt;"VALIDE"),"",IFERROR(LOOKUP(2,1/(($B$3:$B668=$B669)*($G$3:$G668=$G669)*($X$3:$X668="VALIDE")),$C$3:$C668),""))</f>
        <v/>
      </c>
      <c r="T669" s="36">
        <f>IF(OR($C669="",$S669=""),"",ROUND(($C669-$S669+IF($C669&lt;$S669,1,0))*1440,0))</f>
        <v/>
      </c>
      <c r="U669" s="22">
        <f>IF(OR($H669="",$T669="",$T669&lt;=0),"",$H669*60/$T669)</f>
        <v/>
      </c>
      <c r="V669" s="37">
        <f>IF(OR($U669="",$R669="",$R669=0),"",$U669/$R669)</f>
        <v/>
      </c>
      <c r="W669" s="20">
        <f>IF($G669="","",IF($X669="CONTEXTE INCOMPLET","CONTEXTE INCOMPLET",IF($X669="DOUBLON",StatutDoublon,IF($S669="",StatutInitial,IF($R669="",StatutStandardManquant,IF($V669="","DONNEES INSUFFISANTES",IF($V669&gt;=SeuilConforme,StatutConforme,IF($V669&gt;=SeuilSurveiller,StatutSurveiller,StatutSousStandard))))))))</f>
        <v/>
      </c>
      <c r="X669" s="33">
        <f>IF($G669="","",IF(OR($D669="",$E669="",$F669=""),"CONTEXTE INCOMPLET",IF(COUNTIFS($D$3:$D668,$D669,$E$3:$E668,$E669,$F$3:$F668,$F669,$G$3:$G668,$G669)&gt;0,"DOUBLON","VALIDE")))</f>
        <v/>
      </c>
    </row>
    <row r="670" ht="15" customHeight="1">
      <c r="A670" s="12">
        <f>IF(OR($B670="",$G670=""),"",TEXT($B670,"YYYYMMDD")&amp;"-"&amp;SUBSTITUTE($E670," ","")&amp;"-"&amp;$F670&amp;"-"&amp;$G670)</f>
        <v/>
      </c>
      <c r="B670" s="15" t="n"/>
      <c r="C670" s="16" t="n"/>
      <c r="D670" s="10" t="n"/>
      <c r="E670" s="9" t="n"/>
      <c r="F670" s="9" t="n"/>
      <c r="G670" s="13" t="n"/>
      <c r="H670" s="21" t="n"/>
      <c r="I670" s="21" t="n"/>
      <c r="J670" s="17">
        <f>IF($G670="","",IFERROR(INDEX(NomsEmployes,MATCH($G670,MatriculesEmployes,0)),"MATRICULE INCONNU"))</f>
        <v/>
      </c>
      <c r="K670" s="33">
        <f>IF(OR($D670="",$F670=""),"",IFERROR(IF(INDEX(RUNS!$L$6:$S$1005,MATCH($D670,RUNS!$A$6:$A$1005,0),MATCH("ACTIVITÉ "&amp;$F670,RUNS!$L$5:$S$5,0))="","",INDEX(RUNS!$L$6:$S$1005,MATCH($D670,RUNS!$A$6:$A$1005,0),MATCH("ACTIVITÉ "&amp;$F670,RUNS!$L$5:$S$5,0))),""))</f>
        <v/>
      </c>
      <c r="L670" s="33">
        <f>IF($D670="","",IFERROR(IF(INDEX(RUNS!$E$6:$E$1005,MATCH($D670,RUNS!$A$6:$A$1005,0))="","",INDEX(RUNS!$E$6:$E$1005,MATCH($D670,RUNS!$A$6:$A$1005,0))),""))</f>
        <v/>
      </c>
      <c r="M670" s="33">
        <f>IF($D670="","",IFERROR(IF(INDEX(RUNS!$F$6:$F$1005,MATCH($D670,RUNS!$A$6:$A$1005,0))="","",INDEX(RUNS!$F$6:$F$1005,MATCH($D670,RUNS!$A$6:$A$1005,0))),""))</f>
        <v/>
      </c>
      <c r="N670" s="33">
        <f>IF($D670="","",IFERROR(IF(INDEX(RUNS!$G$6:$G$1005,MATCH($D670,RUNS!$A$6:$A$1005,0))="","",INDEX(RUNS!$G$6:$G$1005,MATCH($D670,RUNS!$A$6:$A$1005,0))),""))</f>
        <v/>
      </c>
      <c r="O670" s="33">
        <f>IF($D670="","",IFERROR(IF(INDEX(RUNS!$H$6:$H$1005,MATCH($D670,RUNS!$A$6:$A$1005,0))="","",INDEX(RUNS!$H$6:$H$1005,MATCH($D670,RUNS!$A$6:$A$1005,0))),""))</f>
        <v/>
      </c>
      <c r="P670" s="33">
        <f>IF($D670="","",IFERROR(IF(INDEX(RUNS!$J$6:$J$1005,MATCH($D670,RUNS!$A$6:$A$1005,0))="","",INDEX(RUNS!$J$6:$J$1005,MATCH($D670,RUNS!$A$6:$A$1005,0))),""))</f>
        <v/>
      </c>
      <c r="Q670" s="33">
        <f>IF($D670="","",IFERROR(IF(INDEX(RUNS!$K$6:$K$1005,MATCH($D670,RUNS!$A$6:$A$1005,0))="","",INDEX(RUNS!$K$6:$K$1005,MATCH($D670,RUNS!$A$6:$A$1005,0))),""))</f>
        <v/>
      </c>
      <c r="R670" s="34">
        <f>IF(OR($L670="",$K670=""),"",IFERROR(IF(INDEX(PARAMETRES!$H$43:$H$342,MATCH($L670&amp;"|"&amp;$M670&amp;"|"&amp;$N670&amp;"|"&amp;$O670&amp;"|"&amp;$P670&amp;"|"&amp;$Q670&amp;"|"&amp;$K670,PARAMETRES!$J$43:$J$342,0))="","",INDEX(PARAMETRES!$H$43:$H$342,MATCH($L670&amp;"|"&amp;$M670&amp;"|"&amp;$N670&amp;"|"&amp;$O670&amp;"|"&amp;$P670&amp;"|"&amp;$Q670&amp;"|"&amp;$K670,PARAMETRES!$J$43:$J$342,0))),""))</f>
        <v/>
      </c>
      <c r="S670" s="35">
        <f>IF(OR($G670="",$X670&lt;&gt;"VALIDE"),"",IFERROR(LOOKUP(2,1/(($B$3:$B669=$B670)*($G$3:$G669=$G670)*($X$3:$X669="VALIDE")),$C$3:$C669),""))</f>
        <v/>
      </c>
      <c r="T670" s="36">
        <f>IF(OR($C670="",$S670=""),"",ROUND(($C670-$S670+IF($C670&lt;$S670,1,0))*1440,0))</f>
        <v/>
      </c>
      <c r="U670" s="22">
        <f>IF(OR($H670="",$T670="",$T670&lt;=0),"",$H670*60/$T670)</f>
        <v/>
      </c>
      <c r="V670" s="37">
        <f>IF(OR($U670="",$R670="",$R670=0),"",$U670/$R670)</f>
        <v/>
      </c>
      <c r="W670" s="20">
        <f>IF($G670="","",IF($X670="CONTEXTE INCOMPLET","CONTEXTE INCOMPLET",IF($X670="DOUBLON",StatutDoublon,IF($S670="",StatutInitial,IF($R670="",StatutStandardManquant,IF($V670="","DONNEES INSUFFISANTES",IF($V670&gt;=SeuilConforme,StatutConforme,IF($V670&gt;=SeuilSurveiller,StatutSurveiller,StatutSousStandard))))))))</f>
        <v/>
      </c>
      <c r="X670" s="33">
        <f>IF($G670="","",IF(OR($D670="",$E670="",$F670=""),"CONTEXTE INCOMPLET",IF(COUNTIFS($D$3:$D669,$D670,$E$3:$E669,$E670,$F$3:$F669,$F670,$G$3:$G669,$G670)&gt;0,"DOUBLON","VALIDE")))</f>
        <v/>
      </c>
    </row>
    <row r="671" ht="15" customHeight="1">
      <c r="A671" s="12">
        <f>IF(OR($B671="",$G671=""),"",TEXT($B671,"YYYYMMDD")&amp;"-"&amp;SUBSTITUTE($E671," ","")&amp;"-"&amp;$F671&amp;"-"&amp;$G671)</f>
        <v/>
      </c>
      <c r="B671" s="15" t="n"/>
      <c r="C671" s="16" t="n"/>
      <c r="D671" s="10" t="n"/>
      <c r="E671" s="9" t="n"/>
      <c r="F671" s="9" t="n"/>
      <c r="G671" s="13" t="n"/>
      <c r="H671" s="21" t="n"/>
      <c r="I671" s="21" t="n"/>
      <c r="J671" s="17">
        <f>IF($G671="","",IFERROR(INDEX(NomsEmployes,MATCH($G671,MatriculesEmployes,0)),"MATRICULE INCONNU"))</f>
        <v/>
      </c>
      <c r="K671" s="33">
        <f>IF(OR($D671="",$F671=""),"",IFERROR(IF(INDEX(RUNS!$L$6:$S$1005,MATCH($D671,RUNS!$A$6:$A$1005,0),MATCH("ACTIVITÉ "&amp;$F671,RUNS!$L$5:$S$5,0))="","",INDEX(RUNS!$L$6:$S$1005,MATCH($D671,RUNS!$A$6:$A$1005,0),MATCH("ACTIVITÉ "&amp;$F671,RUNS!$L$5:$S$5,0))),""))</f>
        <v/>
      </c>
      <c r="L671" s="33">
        <f>IF($D671="","",IFERROR(IF(INDEX(RUNS!$E$6:$E$1005,MATCH($D671,RUNS!$A$6:$A$1005,0))="","",INDEX(RUNS!$E$6:$E$1005,MATCH($D671,RUNS!$A$6:$A$1005,0))),""))</f>
        <v/>
      </c>
      <c r="M671" s="33">
        <f>IF($D671="","",IFERROR(IF(INDEX(RUNS!$F$6:$F$1005,MATCH($D671,RUNS!$A$6:$A$1005,0))="","",INDEX(RUNS!$F$6:$F$1005,MATCH($D671,RUNS!$A$6:$A$1005,0))),""))</f>
        <v/>
      </c>
      <c r="N671" s="33">
        <f>IF($D671="","",IFERROR(IF(INDEX(RUNS!$G$6:$G$1005,MATCH($D671,RUNS!$A$6:$A$1005,0))="","",INDEX(RUNS!$G$6:$G$1005,MATCH($D671,RUNS!$A$6:$A$1005,0))),""))</f>
        <v/>
      </c>
      <c r="O671" s="33">
        <f>IF($D671="","",IFERROR(IF(INDEX(RUNS!$H$6:$H$1005,MATCH($D671,RUNS!$A$6:$A$1005,0))="","",INDEX(RUNS!$H$6:$H$1005,MATCH($D671,RUNS!$A$6:$A$1005,0))),""))</f>
        <v/>
      </c>
      <c r="P671" s="33">
        <f>IF($D671="","",IFERROR(IF(INDEX(RUNS!$J$6:$J$1005,MATCH($D671,RUNS!$A$6:$A$1005,0))="","",INDEX(RUNS!$J$6:$J$1005,MATCH($D671,RUNS!$A$6:$A$1005,0))),""))</f>
        <v/>
      </c>
      <c r="Q671" s="33">
        <f>IF($D671="","",IFERROR(IF(INDEX(RUNS!$K$6:$K$1005,MATCH($D671,RUNS!$A$6:$A$1005,0))="","",INDEX(RUNS!$K$6:$K$1005,MATCH($D671,RUNS!$A$6:$A$1005,0))),""))</f>
        <v/>
      </c>
      <c r="R671" s="34">
        <f>IF(OR($L671="",$K671=""),"",IFERROR(IF(INDEX(PARAMETRES!$H$43:$H$342,MATCH($L671&amp;"|"&amp;$M671&amp;"|"&amp;$N671&amp;"|"&amp;$O671&amp;"|"&amp;$P671&amp;"|"&amp;$Q671&amp;"|"&amp;$K671,PARAMETRES!$J$43:$J$342,0))="","",INDEX(PARAMETRES!$H$43:$H$342,MATCH($L671&amp;"|"&amp;$M671&amp;"|"&amp;$N671&amp;"|"&amp;$O671&amp;"|"&amp;$P671&amp;"|"&amp;$Q671&amp;"|"&amp;$K671,PARAMETRES!$J$43:$J$342,0))),""))</f>
        <v/>
      </c>
      <c r="S671" s="35">
        <f>IF(OR($G671="",$X671&lt;&gt;"VALIDE"),"",IFERROR(LOOKUP(2,1/(($B$3:$B670=$B671)*($G$3:$G670=$G671)*($X$3:$X670="VALIDE")),$C$3:$C670),""))</f>
        <v/>
      </c>
      <c r="T671" s="36">
        <f>IF(OR($C671="",$S671=""),"",ROUND(($C671-$S671+IF($C671&lt;$S671,1,0))*1440,0))</f>
        <v/>
      </c>
      <c r="U671" s="22">
        <f>IF(OR($H671="",$T671="",$T671&lt;=0),"",$H671*60/$T671)</f>
        <v/>
      </c>
      <c r="V671" s="37">
        <f>IF(OR($U671="",$R671="",$R671=0),"",$U671/$R671)</f>
        <v/>
      </c>
      <c r="W671" s="20">
        <f>IF($G671="","",IF($X671="CONTEXTE INCOMPLET","CONTEXTE INCOMPLET",IF($X671="DOUBLON",StatutDoublon,IF($S671="",StatutInitial,IF($R671="",StatutStandardManquant,IF($V671="","DONNEES INSUFFISANTES",IF($V671&gt;=SeuilConforme,StatutConforme,IF($V671&gt;=SeuilSurveiller,StatutSurveiller,StatutSousStandard))))))))</f>
        <v/>
      </c>
      <c r="X671" s="33">
        <f>IF($G671="","",IF(OR($D671="",$E671="",$F671=""),"CONTEXTE INCOMPLET",IF(COUNTIFS($D$3:$D670,$D671,$E$3:$E670,$E671,$F$3:$F670,$F671,$G$3:$G670,$G671)&gt;0,"DOUBLON","VALIDE")))</f>
        <v/>
      </c>
    </row>
    <row r="672" ht="15" customHeight="1">
      <c r="A672" s="12">
        <f>IF(OR($B672="",$G672=""),"",TEXT($B672,"YYYYMMDD")&amp;"-"&amp;SUBSTITUTE($E672," ","")&amp;"-"&amp;$F672&amp;"-"&amp;$G672)</f>
        <v/>
      </c>
      <c r="B672" s="15" t="n"/>
      <c r="C672" s="16" t="n"/>
      <c r="D672" s="10" t="n"/>
      <c r="E672" s="9" t="n"/>
      <c r="F672" s="9" t="n"/>
      <c r="G672" s="13" t="n"/>
      <c r="H672" s="21" t="n"/>
      <c r="I672" s="21" t="n"/>
      <c r="J672" s="17">
        <f>IF($G672="","",IFERROR(INDEX(NomsEmployes,MATCH($G672,MatriculesEmployes,0)),"MATRICULE INCONNU"))</f>
        <v/>
      </c>
      <c r="K672" s="33">
        <f>IF(OR($D672="",$F672=""),"",IFERROR(IF(INDEX(RUNS!$L$6:$S$1005,MATCH($D672,RUNS!$A$6:$A$1005,0),MATCH("ACTIVITÉ "&amp;$F672,RUNS!$L$5:$S$5,0))="","",INDEX(RUNS!$L$6:$S$1005,MATCH($D672,RUNS!$A$6:$A$1005,0),MATCH("ACTIVITÉ "&amp;$F672,RUNS!$L$5:$S$5,0))),""))</f>
        <v/>
      </c>
      <c r="L672" s="33">
        <f>IF($D672="","",IFERROR(IF(INDEX(RUNS!$E$6:$E$1005,MATCH($D672,RUNS!$A$6:$A$1005,0))="","",INDEX(RUNS!$E$6:$E$1005,MATCH($D672,RUNS!$A$6:$A$1005,0))),""))</f>
        <v/>
      </c>
      <c r="M672" s="33">
        <f>IF($D672="","",IFERROR(IF(INDEX(RUNS!$F$6:$F$1005,MATCH($D672,RUNS!$A$6:$A$1005,0))="","",INDEX(RUNS!$F$6:$F$1005,MATCH($D672,RUNS!$A$6:$A$1005,0))),""))</f>
        <v/>
      </c>
      <c r="N672" s="33">
        <f>IF($D672="","",IFERROR(IF(INDEX(RUNS!$G$6:$G$1005,MATCH($D672,RUNS!$A$6:$A$1005,0))="","",INDEX(RUNS!$G$6:$G$1005,MATCH($D672,RUNS!$A$6:$A$1005,0))),""))</f>
        <v/>
      </c>
      <c r="O672" s="33">
        <f>IF($D672="","",IFERROR(IF(INDEX(RUNS!$H$6:$H$1005,MATCH($D672,RUNS!$A$6:$A$1005,0))="","",INDEX(RUNS!$H$6:$H$1005,MATCH($D672,RUNS!$A$6:$A$1005,0))),""))</f>
        <v/>
      </c>
      <c r="P672" s="33">
        <f>IF($D672="","",IFERROR(IF(INDEX(RUNS!$J$6:$J$1005,MATCH($D672,RUNS!$A$6:$A$1005,0))="","",INDEX(RUNS!$J$6:$J$1005,MATCH($D672,RUNS!$A$6:$A$1005,0))),""))</f>
        <v/>
      </c>
      <c r="Q672" s="33">
        <f>IF($D672="","",IFERROR(IF(INDEX(RUNS!$K$6:$K$1005,MATCH($D672,RUNS!$A$6:$A$1005,0))="","",INDEX(RUNS!$K$6:$K$1005,MATCH($D672,RUNS!$A$6:$A$1005,0))),""))</f>
        <v/>
      </c>
      <c r="R672" s="34">
        <f>IF(OR($L672="",$K672=""),"",IFERROR(IF(INDEX(PARAMETRES!$H$43:$H$342,MATCH($L672&amp;"|"&amp;$M672&amp;"|"&amp;$N672&amp;"|"&amp;$O672&amp;"|"&amp;$P672&amp;"|"&amp;$Q672&amp;"|"&amp;$K672,PARAMETRES!$J$43:$J$342,0))="","",INDEX(PARAMETRES!$H$43:$H$342,MATCH($L672&amp;"|"&amp;$M672&amp;"|"&amp;$N672&amp;"|"&amp;$O672&amp;"|"&amp;$P672&amp;"|"&amp;$Q672&amp;"|"&amp;$K672,PARAMETRES!$J$43:$J$342,0))),""))</f>
        <v/>
      </c>
      <c r="S672" s="35">
        <f>IF(OR($G672="",$X672&lt;&gt;"VALIDE"),"",IFERROR(LOOKUP(2,1/(($B$3:$B671=$B672)*($G$3:$G671=$G672)*($X$3:$X671="VALIDE")),$C$3:$C671),""))</f>
        <v/>
      </c>
      <c r="T672" s="36">
        <f>IF(OR($C672="",$S672=""),"",ROUND(($C672-$S672+IF($C672&lt;$S672,1,0))*1440,0))</f>
        <v/>
      </c>
      <c r="U672" s="22">
        <f>IF(OR($H672="",$T672="",$T672&lt;=0),"",$H672*60/$T672)</f>
        <v/>
      </c>
      <c r="V672" s="37">
        <f>IF(OR($U672="",$R672="",$R672=0),"",$U672/$R672)</f>
        <v/>
      </c>
      <c r="W672" s="20">
        <f>IF($G672="","",IF($X672="CONTEXTE INCOMPLET","CONTEXTE INCOMPLET",IF($X672="DOUBLON",StatutDoublon,IF($S672="",StatutInitial,IF($R672="",StatutStandardManquant,IF($V672="","DONNEES INSUFFISANTES",IF($V672&gt;=SeuilConforme,StatutConforme,IF($V672&gt;=SeuilSurveiller,StatutSurveiller,StatutSousStandard))))))))</f>
        <v/>
      </c>
      <c r="X672" s="33">
        <f>IF($G672="","",IF(OR($D672="",$E672="",$F672=""),"CONTEXTE INCOMPLET",IF(COUNTIFS($D$3:$D671,$D672,$E$3:$E671,$E672,$F$3:$F671,$F672,$G$3:$G671,$G672)&gt;0,"DOUBLON","VALIDE")))</f>
        <v/>
      </c>
    </row>
    <row r="673" ht="15" customHeight="1">
      <c r="A673" s="12">
        <f>IF(OR($B673="",$G673=""),"",TEXT($B673,"YYYYMMDD")&amp;"-"&amp;SUBSTITUTE($E673," ","")&amp;"-"&amp;$F673&amp;"-"&amp;$G673)</f>
        <v/>
      </c>
      <c r="B673" s="15" t="n"/>
      <c r="C673" s="16" t="n"/>
      <c r="D673" s="10" t="n"/>
      <c r="E673" s="9" t="n"/>
      <c r="F673" s="9" t="n"/>
      <c r="G673" s="13" t="n"/>
      <c r="H673" s="21" t="n"/>
      <c r="I673" s="21" t="n"/>
      <c r="J673" s="17">
        <f>IF($G673="","",IFERROR(INDEX(NomsEmployes,MATCH($G673,MatriculesEmployes,0)),"MATRICULE INCONNU"))</f>
        <v/>
      </c>
      <c r="K673" s="33">
        <f>IF(OR($D673="",$F673=""),"",IFERROR(IF(INDEX(RUNS!$L$6:$S$1005,MATCH($D673,RUNS!$A$6:$A$1005,0),MATCH("ACTIVITÉ "&amp;$F673,RUNS!$L$5:$S$5,0))="","",INDEX(RUNS!$L$6:$S$1005,MATCH($D673,RUNS!$A$6:$A$1005,0),MATCH("ACTIVITÉ "&amp;$F673,RUNS!$L$5:$S$5,0))),""))</f>
        <v/>
      </c>
      <c r="L673" s="33">
        <f>IF($D673="","",IFERROR(IF(INDEX(RUNS!$E$6:$E$1005,MATCH($D673,RUNS!$A$6:$A$1005,0))="","",INDEX(RUNS!$E$6:$E$1005,MATCH($D673,RUNS!$A$6:$A$1005,0))),""))</f>
        <v/>
      </c>
      <c r="M673" s="33">
        <f>IF($D673="","",IFERROR(IF(INDEX(RUNS!$F$6:$F$1005,MATCH($D673,RUNS!$A$6:$A$1005,0))="","",INDEX(RUNS!$F$6:$F$1005,MATCH($D673,RUNS!$A$6:$A$1005,0))),""))</f>
        <v/>
      </c>
      <c r="N673" s="33">
        <f>IF($D673="","",IFERROR(IF(INDEX(RUNS!$G$6:$G$1005,MATCH($D673,RUNS!$A$6:$A$1005,0))="","",INDEX(RUNS!$G$6:$G$1005,MATCH($D673,RUNS!$A$6:$A$1005,0))),""))</f>
        <v/>
      </c>
      <c r="O673" s="33">
        <f>IF($D673="","",IFERROR(IF(INDEX(RUNS!$H$6:$H$1005,MATCH($D673,RUNS!$A$6:$A$1005,0))="","",INDEX(RUNS!$H$6:$H$1005,MATCH($D673,RUNS!$A$6:$A$1005,0))),""))</f>
        <v/>
      </c>
      <c r="P673" s="33">
        <f>IF($D673="","",IFERROR(IF(INDEX(RUNS!$J$6:$J$1005,MATCH($D673,RUNS!$A$6:$A$1005,0))="","",INDEX(RUNS!$J$6:$J$1005,MATCH($D673,RUNS!$A$6:$A$1005,0))),""))</f>
        <v/>
      </c>
      <c r="Q673" s="33">
        <f>IF($D673="","",IFERROR(IF(INDEX(RUNS!$K$6:$K$1005,MATCH($D673,RUNS!$A$6:$A$1005,0))="","",INDEX(RUNS!$K$6:$K$1005,MATCH($D673,RUNS!$A$6:$A$1005,0))),""))</f>
        <v/>
      </c>
      <c r="R673" s="34">
        <f>IF(OR($L673="",$K673=""),"",IFERROR(IF(INDEX(PARAMETRES!$H$43:$H$342,MATCH($L673&amp;"|"&amp;$M673&amp;"|"&amp;$N673&amp;"|"&amp;$O673&amp;"|"&amp;$P673&amp;"|"&amp;$Q673&amp;"|"&amp;$K673,PARAMETRES!$J$43:$J$342,0))="","",INDEX(PARAMETRES!$H$43:$H$342,MATCH($L673&amp;"|"&amp;$M673&amp;"|"&amp;$N673&amp;"|"&amp;$O673&amp;"|"&amp;$P673&amp;"|"&amp;$Q673&amp;"|"&amp;$K673,PARAMETRES!$J$43:$J$342,0))),""))</f>
        <v/>
      </c>
      <c r="S673" s="35">
        <f>IF(OR($G673="",$X673&lt;&gt;"VALIDE"),"",IFERROR(LOOKUP(2,1/(($B$3:$B672=$B673)*($G$3:$G672=$G673)*($X$3:$X672="VALIDE")),$C$3:$C672),""))</f>
        <v/>
      </c>
      <c r="T673" s="36">
        <f>IF(OR($C673="",$S673=""),"",ROUND(($C673-$S673+IF($C673&lt;$S673,1,0))*1440,0))</f>
        <v/>
      </c>
      <c r="U673" s="22">
        <f>IF(OR($H673="",$T673="",$T673&lt;=0),"",$H673*60/$T673)</f>
        <v/>
      </c>
      <c r="V673" s="37">
        <f>IF(OR($U673="",$R673="",$R673=0),"",$U673/$R673)</f>
        <v/>
      </c>
      <c r="W673" s="20">
        <f>IF($G673="","",IF($X673="CONTEXTE INCOMPLET","CONTEXTE INCOMPLET",IF($X673="DOUBLON",StatutDoublon,IF($S673="",StatutInitial,IF($R673="",StatutStandardManquant,IF($V673="","DONNEES INSUFFISANTES",IF($V673&gt;=SeuilConforme,StatutConforme,IF($V673&gt;=SeuilSurveiller,StatutSurveiller,StatutSousStandard))))))))</f>
        <v/>
      </c>
      <c r="X673" s="33">
        <f>IF($G673="","",IF(OR($D673="",$E673="",$F673=""),"CONTEXTE INCOMPLET",IF(COUNTIFS($D$3:$D672,$D673,$E$3:$E672,$E673,$F$3:$F672,$F673,$G$3:$G672,$G673)&gt;0,"DOUBLON","VALIDE")))</f>
        <v/>
      </c>
    </row>
    <row r="674" ht="15" customHeight="1">
      <c r="A674" s="12">
        <f>IF(OR($B674="",$G674=""),"",TEXT($B674,"YYYYMMDD")&amp;"-"&amp;SUBSTITUTE($E674," ","")&amp;"-"&amp;$F674&amp;"-"&amp;$G674)</f>
        <v/>
      </c>
      <c r="B674" s="15" t="n"/>
      <c r="C674" s="16" t="n"/>
      <c r="D674" s="10" t="n"/>
      <c r="E674" s="9" t="n"/>
      <c r="F674" s="9" t="n"/>
      <c r="G674" s="13" t="n"/>
      <c r="H674" s="21" t="n"/>
      <c r="I674" s="21" t="n"/>
      <c r="J674" s="17">
        <f>IF($G674="","",IFERROR(INDEX(NomsEmployes,MATCH($G674,MatriculesEmployes,0)),"MATRICULE INCONNU"))</f>
        <v/>
      </c>
      <c r="K674" s="33">
        <f>IF(OR($D674="",$F674=""),"",IFERROR(IF(INDEX(RUNS!$L$6:$S$1005,MATCH($D674,RUNS!$A$6:$A$1005,0),MATCH("ACTIVITÉ "&amp;$F674,RUNS!$L$5:$S$5,0))="","",INDEX(RUNS!$L$6:$S$1005,MATCH($D674,RUNS!$A$6:$A$1005,0),MATCH("ACTIVITÉ "&amp;$F674,RUNS!$L$5:$S$5,0))),""))</f>
        <v/>
      </c>
      <c r="L674" s="33">
        <f>IF($D674="","",IFERROR(IF(INDEX(RUNS!$E$6:$E$1005,MATCH($D674,RUNS!$A$6:$A$1005,0))="","",INDEX(RUNS!$E$6:$E$1005,MATCH($D674,RUNS!$A$6:$A$1005,0))),""))</f>
        <v/>
      </c>
      <c r="M674" s="33">
        <f>IF($D674="","",IFERROR(IF(INDEX(RUNS!$F$6:$F$1005,MATCH($D674,RUNS!$A$6:$A$1005,0))="","",INDEX(RUNS!$F$6:$F$1005,MATCH($D674,RUNS!$A$6:$A$1005,0))),""))</f>
        <v/>
      </c>
      <c r="N674" s="33">
        <f>IF($D674="","",IFERROR(IF(INDEX(RUNS!$G$6:$G$1005,MATCH($D674,RUNS!$A$6:$A$1005,0))="","",INDEX(RUNS!$G$6:$G$1005,MATCH($D674,RUNS!$A$6:$A$1005,0))),""))</f>
        <v/>
      </c>
      <c r="O674" s="33">
        <f>IF($D674="","",IFERROR(IF(INDEX(RUNS!$H$6:$H$1005,MATCH($D674,RUNS!$A$6:$A$1005,0))="","",INDEX(RUNS!$H$6:$H$1005,MATCH($D674,RUNS!$A$6:$A$1005,0))),""))</f>
        <v/>
      </c>
      <c r="P674" s="33">
        <f>IF($D674="","",IFERROR(IF(INDEX(RUNS!$J$6:$J$1005,MATCH($D674,RUNS!$A$6:$A$1005,0))="","",INDEX(RUNS!$J$6:$J$1005,MATCH($D674,RUNS!$A$6:$A$1005,0))),""))</f>
        <v/>
      </c>
      <c r="Q674" s="33">
        <f>IF($D674="","",IFERROR(IF(INDEX(RUNS!$K$6:$K$1005,MATCH($D674,RUNS!$A$6:$A$1005,0))="","",INDEX(RUNS!$K$6:$K$1005,MATCH($D674,RUNS!$A$6:$A$1005,0))),""))</f>
        <v/>
      </c>
      <c r="R674" s="34">
        <f>IF(OR($L674="",$K674=""),"",IFERROR(IF(INDEX(PARAMETRES!$H$43:$H$342,MATCH($L674&amp;"|"&amp;$M674&amp;"|"&amp;$N674&amp;"|"&amp;$O674&amp;"|"&amp;$P674&amp;"|"&amp;$Q674&amp;"|"&amp;$K674,PARAMETRES!$J$43:$J$342,0))="","",INDEX(PARAMETRES!$H$43:$H$342,MATCH($L674&amp;"|"&amp;$M674&amp;"|"&amp;$N674&amp;"|"&amp;$O674&amp;"|"&amp;$P674&amp;"|"&amp;$Q674&amp;"|"&amp;$K674,PARAMETRES!$J$43:$J$342,0))),""))</f>
        <v/>
      </c>
      <c r="S674" s="35">
        <f>IF(OR($G674="",$X674&lt;&gt;"VALIDE"),"",IFERROR(LOOKUP(2,1/(($B$3:$B673=$B674)*($G$3:$G673=$G674)*($X$3:$X673="VALIDE")),$C$3:$C673),""))</f>
        <v/>
      </c>
      <c r="T674" s="36">
        <f>IF(OR($C674="",$S674=""),"",ROUND(($C674-$S674+IF($C674&lt;$S674,1,0))*1440,0))</f>
        <v/>
      </c>
      <c r="U674" s="22">
        <f>IF(OR($H674="",$T674="",$T674&lt;=0),"",$H674*60/$T674)</f>
        <v/>
      </c>
      <c r="V674" s="37">
        <f>IF(OR($U674="",$R674="",$R674=0),"",$U674/$R674)</f>
        <v/>
      </c>
      <c r="W674" s="20">
        <f>IF($G674="","",IF($X674="CONTEXTE INCOMPLET","CONTEXTE INCOMPLET",IF($X674="DOUBLON",StatutDoublon,IF($S674="",StatutInitial,IF($R674="",StatutStandardManquant,IF($V674="","DONNEES INSUFFISANTES",IF($V674&gt;=SeuilConforme,StatutConforme,IF($V674&gt;=SeuilSurveiller,StatutSurveiller,StatutSousStandard))))))))</f>
        <v/>
      </c>
      <c r="X674" s="33">
        <f>IF($G674="","",IF(OR($D674="",$E674="",$F674=""),"CONTEXTE INCOMPLET",IF(COUNTIFS($D$3:$D673,$D674,$E$3:$E673,$E674,$F$3:$F673,$F674,$G$3:$G673,$G674)&gt;0,"DOUBLON","VALIDE")))</f>
        <v/>
      </c>
    </row>
    <row r="675" ht="15" customHeight="1">
      <c r="A675" s="12">
        <f>IF(OR($B675="",$G675=""),"",TEXT($B675,"YYYYMMDD")&amp;"-"&amp;SUBSTITUTE($E675," ","")&amp;"-"&amp;$F675&amp;"-"&amp;$G675)</f>
        <v/>
      </c>
      <c r="B675" s="15" t="n"/>
      <c r="C675" s="16" t="n"/>
      <c r="D675" s="10" t="n"/>
      <c r="E675" s="9" t="n"/>
      <c r="F675" s="9" t="n"/>
      <c r="G675" s="13" t="n"/>
      <c r="H675" s="21" t="n"/>
      <c r="I675" s="21" t="n"/>
      <c r="J675" s="17">
        <f>IF($G675="","",IFERROR(INDEX(NomsEmployes,MATCH($G675,MatriculesEmployes,0)),"MATRICULE INCONNU"))</f>
        <v/>
      </c>
      <c r="K675" s="33">
        <f>IF(OR($D675="",$F675=""),"",IFERROR(IF(INDEX(RUNS!$L$6:$S$1005,MATCH($D675,RUNS!$A$6:$A$1005,0),MATCH("ACTIVITÉ "&amp;$F675,RUNS!$L$5:$S$5,0))="","",INDEX(RUNS!$L$6:$S$1005,MATCH($D675,RUNS!$A$6:$A$1005,0),MATCH("ACTIVITÉ "&amp;$F675,RUNS!$L$5:$S$5,0))),""))</f>
        <v/>
      </c>
      <c r="L675" s="33">
        <f>IF($D675="","",IFERROR(IF(INDEX(RUNS!$E$6:$E$1005,MATCH($D675,RUNS!$A$6:$A$1005,0))="","",INDEX(RUNS!$E$6:$E$1005,MATCH($D675,RUNS!$A$6:$A$1005,0))),""))</f>
        <v/>
      </c>
      <c r="M675" s="33">
        <f>IF($D675="","",IFERROR(IF(INDEX(RUNS!$F$6:$F$1005,MATCH($D675,RUNS!$A$6:$A$1005,0))="","",INDEX(RUNS!$F$6:$F$1005,MATCH($D675,RUNS!$A$6:$A$1005,0))),""))</f>
        <v/>
      </c>
      <c r="N675" s="33">
        <f>IF($D675="","",IFERROR(IF(INDEX(RUNS!$G$6:$G$1005,MATCH($D675,RUNS!$A$6:$A$1005,0))="","",INDEX(RUNS!$G$6:$G$1005,MATCH($D675,RUNS!$A$6:$A$1005,0))),""))</f>
        <v/>
      </c>
      <c r="O675" s="33">
        <f>IF($D675="","",IFERROR(IF(INDEX(RUNS!$H$6:$H$1005,MATCH($D675,RUNS!$A$6:$A$1005,0))="","",INDEX(RUNS!$H$6:$H$1005,MATCH($D675,RUNS!$A$6:$A$1005,0))),""))</f>
        <v/>
      </c>
      <c r="P675" s="33">
        <f>IF($D675="","",IFERROR(IF(INDEX(RUNS!$J$6:$J$1005,MATCH($D675,RUNS!$A$6:$A$1005,0))="","",INDEX(RUNS!$J$6:$J$1005,MATCH($D675,RUNS!$A$6:$A$1005,0))),""))</f>
        <v/>
      </c>
      <c r="Q675" s="33">
        <f>IF($D675="","",IFERROR(IF(INDEX(RUNS!$K$6:$K$1005,MATCH($D675,RUNS!$A$6:$A$1005,0))="","",INDEX(RUNS!$K$6:$K$1005,MATCH($D675,RUNS!$A$6:$A$1005,0))),""))</f>
        <v/>
      </c>
      <c r="R675" s="34">
        <f>IF(OR($L675="",$K675=""),"",IFERROR(IF(INDEX(PARAMETRES!$H$43:$H$342,MATCH($L675&amp;"|"&amp;$M675&amp;"|"&amp;$N675&amp;"|"&amp;$O675&amp;"|"&amp;$P675&amp;"|"&amp;$Q675&amp;"|"&amp;$K675,PARAMETRES!$J$43:$J$342,0))="","",INDEX(PARAMETRES!$H$43:$H$342,MATCH($L675&amp;"|"&amp;$M675&amp;"|"&amp;$N675&amp;"|"&amp;$O675&amp;"|"&amp;$P675&amp;"|"&amp;$Q675&amp;"|"&amp;$K675,PARAMETRES!$J$43:$J$342,0))),""))</f>
        <v/>
      </c>
      <c r="S675" s="35">
        <f>IF(OR($G675="",$X675&lt;&gt;"VALIDE"),"",IFERROR(LOOKUP(2,1/(($B$3:$B674=$B675)*($G$3:$G674=$G675)*($X$3:$X674="VALIDE")),$C$3:$C674),""))</f>
        <v/>
      </c>
      <c r="T675" s="36">
        <f>IF(OR($C675="",$S675=""),"",ROUND(($C675-$S675+IF($C675&lt;$S675,1,0))*1440,0))</f>
        <v/>
      </c>
      <c r="U675" s="22">
        <f>IF(OR($H675="",$T675="",$T675&lt;=0),"",$H675*60/$T675)</f>
        <v/>
      </c>
      <c r="V675" s="37">
        <f>IF(OR($U675="",$R675="",$R675=0),"",$U675/$R675)</f>
        <v/>
      </c>
      <c r="W675" s="20">
        <f>IF($G675="","",IF($X675="CONTEXTE INCOMPLET","CONTEXTE INCOMPLET",IF($X675="DOUBLON",StatutDoublon,IF($S675="",StatutInitial,IF($R675="",StatutStandardManquant,IF($V675="","DONNEES INSUFFISANTES",IF($V675&gt;=SeuilConforme,StatutConforme,IF($V675&gt;=SeuilSurveiller,StatutSurveiller,StatutSousStandard))))))))</f>
        <v/>
      </c>
      <c r="X675" s="33">
        <f>IF($G675="","",IF(OR($D675="",$E675="",$F675=""),"CONTEXTE INCOMPLET",IF(COUNTIFS($D$3:$D674,$D675,$E$3:$E674,$E675,$F$3:$F674,$F675,$G$3:$G674,$G675)&gt;0,"DOUBLON","VALIDE")))</f>
        <v/>
      </c>
    </row>
    <row r="676" ht="15" customHeight="1">
      <c r="A676" s="12">
        <f>IF(OR($B676="",$G676=""),"",TEXT($B676,"YYYYMMDD")&amp;"-"&amp;SUBSTITUTE($E676," ","")&amp;"-"&amp;$F676&amp;"-"&amp;$G676)</f>
        <v/>
      </c>
      <c r="B676" s="15" t="n"/>
      <c r="C676" s="16" t="n"/>
      <c r="D676" s="10" t="n"/>
      <c r="E676" s="9" t="n"/>
      <c r="F676" s="9" t="n"/>
      <c r="G676" s="13" t="n"/>
      <c r="H676" s="21" t="n"/>
      <c r="I676" s="21" t="n"/>
      <c r="J676" s="17">
        <f>IF($G676="","",IFERROR(INDEX(NomsEmployes,MATCH($G676,MatriculesEmployes,0)),"MATRICULE INCONNU"))</f>
        <v/>
      </c>
      <c r="K676" s="33">
        <f>IF(OR($D676="",$F676=""),"",IFERROR(IF(INDEX(RUNS!$L$6:$S$1005,MATCH($D676,RUNS!$A$6:$A$1005,0),MATCH("ACTIVITÉ "&amp;$F676,RUNS!$L$5:$S$5,0))="","",INDEX(RUNS!$L$6:$S$1005,MATCH($D676,RUNS!$A$6:$A$1005,0),MATCH("ACTIVITÉ "&amp;$F676,RUNS!$L$5:$S$5,0))),""))</f>
        <v/>
      </c>
      <c r="L676" s="33">
        <f>IF($D676="","",IFERROR(IF(INDEX(RUNS!$E$6:$E$1005,MATCH($D676,RUNS!$A$6:$A$1005,0))="","",INDEX(RUNS!$E$6:$E$1005,MATCH($D676,RUNS!$A$6:$A$1005,0))),""))</f>
        <v/>
      </c>
      <c r="M676" s="33">
        <f>IF($D676="","",IFERROR(IF(INDEX(RUNS!$F$6:$F$1005,MATCH($D676,RUNS!$A$6:$A$1005,0))="","",INDEX(RUNS!$F$6:$F$1005,MATCH($D676,RUNS!$A$6:$A$1005,0))),""))</f>
        <v/>
      </c>
      <c r="N676" s="33">
        <f>IF($D676="","",IFERROR(IF(INDEX(RUNS!$G$6:$G$1005,MATCH($D676,RUNS!$A$6:$A$1005,0))="","",INDEX(RUNS!$G$6:$G$1005,MATCH($D676,RUNS!$A$6:$A$1005,0))),""))</f>
        <v/>
      </c>
      <c r="O676" s="33">
        <f>IF($D676="","",IFERROR(IF(INDEX(RUNS!$H$6:$H$1005,MATCH($D676,RUNS!$A$6:$A$1005,0))="","",INDEX(RUNS!$H$6:$H$1005,MATCH($D676,RUNS!$A$6:$A$1005,0))),""))</f>
        <v/>
      </c>
      <c r="P676" s="33">
        <f>IF($D676="","",IFERROR(IF(INDEX(RUNS!$J$6:$J$1005,MATCH($D676,RUNS!$A$6:$A$1005,0))="","",INDEX(RUNS!$J$6:$J$1005,MATCH($D676,RUNS!$A$6:$A$1005,0))),""))</f>
        <v/>
      </c>
      <c r="Q676" s="33">
        <f>IF($D676="","",IFERROR(IF(INDEX(RUNS!$K$6:$K$1005,MATCH($D676,RUNS!$A$6:$A$1005,0))="","",INDEX(RUNS!$K$6:$K$1005,MATCH($D676,RUNS!$A$6:$A$1005,0))),""))</f>
        <v/>
      </c>
      <c r="R676" s="34">
        <f>IF(OR($L676="",$K676=""),"",IFERROR(IF(INDEX(PARAMETRES!$H$43:$H$342,MATCH($L676&amp;"|"&amp;$M676&amp;"|"&amp;$N676&amp;"|"&amp;$O676&amp;"|"&amp;$P676&amp;"|"&amp;$Q676&amp;"|"&amp;$K676,PARAMETRES!$J$43:$J$342,0))="","",INDEX(PARAMETRES!$H$43:$H$342,MATCH($L676&amp;"|"&amp;$M676&amp;"|"&amp;$N676&amp;"|"&amp;$O676&amp;"|"&amp;$P676&amp;"|"&amp;$Q676&amp;"|"&amp;$K676,PARAMETRES!$J$43:$J$342,0))),""))</f>
        <v/>
      </c>
      <c r="S676" s="35">
        <f>IF(OR($G676="",$X676&lt;&gt;"VALIDE"),"",IFERROR(LOOKUP(2,1/(($B$3:$B675=$B676)*($G$3:$G675=$G676)*($X$3:$X675="VALIDE")),$C$3:$C675),""))</f>
        <v/>
      </c>
      <c r="T676" s="36">
        <f>IF(OR($C676="",$S676=""),"",ROUND(($C676-$S676+IF($C676&lt;$S676,1,0))*1440,0))</f>
        <v/>
      </c>
      <c r="U676" s="22">
        <f>IF(OR($H676="",$T676="",$T676&lt;=0),"",$H676*60/$T676)</f>
        <v/>
      </c>
      <c r="V676" s="37">
        <f>IF(OR($U676="",$R676="",$R676=0),"",$U676/$R676)</f>
        <v/>
      </c>
      <c r="W676" s="20">
        <f>IF($G676="","",IF($X676="CONTEXTE INCOMPLET","CONTEXTE INCOMPLET",IF($X676="DOUBLON",StatutDoublon,IF($S676="",StatutInitial,IF($R676="",StatutStandardManquant,IF($V676="","DONNEES INSUFFISANTES",IF($V676&gt;=SeuilConforme,StatutConforme,IF($V676&gt;=SeuilSurveiller,StatutSurveiller,StatutSousStandard))))))))</f>
        <v/>
      </c>
      <c r="X676" s="33">
        <f>IF($G676="","",IF(OR($D676="",$E676="",$F676=""),"CONTEXTE INCOMPLET",IF(COUNTIFS($D$3:$D675,$D676,$E$3:$E675,$E676,$F$3:$F675,$F676,$G$3:$G675,$G676)&gt;0,"DOUBLON","VALIDE")))</f>
        <v/>
      </c>
    </row>
    <row r="677" ht="15" customHeight="1">
      <c r="A677" s="12">
        <f>IF(OR($B677="",$G677=""),"",TEXT($B677,"YYYYMMDD")&amp;"-"&amp;SUBSTITUTE($E677," ","")&amp;"-"&amp;$F677&amp;"-"&amp;$G677)</f>
        <v/>
      </c>
      <c r="B677" s="15" t="n"/>
      <c r="C677" s="16" t="n"/>
      <c r="D677" s="10" t="n"/>
      <c r="E677" s="9" t="n"/>
      <c r="F677" s="9" t="n"/>
      <c r="G677" s="13" t="n"/>
      <c r="H677" s="21" t="n"/>
      <c r="I677" s="21" t="n"/>
      <c r="J677" s="17">
        <f>IF($G677="","",IFERROR(INDEX(NomsEmployes,MATCH($G677,MatriculesEmployes,0)),"MATRICULE INCONNU"))</f>
        <v/>
      </c>
      <c r="K677" s="33">
        <f>IF(OR($D677="",$F677=""),"",IFERROR(IF(INDEX(RUNS!$L$6:$S$1005,MATCH($D677,RUNS!$A$6:$A$1005,0),MATCH("ACTIVITÉ "&amp;$F677,RUNS!$L$5:$S$5,0))="","",INDEX(RUNS!$L$6:$S$1005,MATCH($D677,RUNS!$A$6:$A$1005,0),MATCH("ACTIVITÉ "&amp;$F677,RUNS!$L$5:$S$5,0))),""))</f>
        <v/>
      </c>
      <c r="L677" s="33">
        <f>IF($D677="","",IFERROR(IF(INDEX(RUNS!$E$6:$E$1005,MATCH($D677,RUNS!$A$6:$A$1005,0))="","",INDEX(RUNS!$E$6:$E$1005,MATCH($D677,RUNS!$A$6:$A$1005,0))),""))</f>
        <v/>
      </c>
      <c r="M677" s="33">
        <f>IF($D677="","",IFERROR(IF(INDEX(RUNS!$F$6:$F$1005,MATCH($D677,RUNS!$A$6:$A$1005,0))="","",INDEX(RUNS!$F$6:$F$1005,MATCH($D677,RUNS!$A$6:$A$1005,0))),""))</f>
        <v/>
      </c>
      <c r="N677" s="33">
        <f>IF($D677="","",IFERROR(IF(INDEX(RUNS!$G$6:$G$1005,MATCH($D677,RUNS!$A$6:$A$1005,0))="","",INDEX(RUNS!$G$6:$G$1005,MATCH($D677,RUNS!$A$6:$A$1005,0))),""))</f>
        <v/>
      </c>
      <c r="O677" s="33">
        <f>IF($D677="","",IFERROR(IF(INDEX(RUNS!$H$6:$H$1005,MATCH($D677,RUNS!$A$6:$A$1005,0))="","",INDEX(RUNS!$H$6:$H$1005,MATCH($D677,RUNS!$A$6:$A$1005,0))),""))</f>
        <v/>
      </c>
      <c r="P677" s="33">
        <f>IF($D677="","",IFERROR(IF(INDEX(RUNS!$J$6:$J$1005,MATCH($D677,RUNS!$A$6:$A$1005,0))="","",INDEX(RUNS!$J$6:$J$1005,MATCH($D677,RUNS!$A$6:$A$1005,0))),""))</f>
        <v/>
      </c>
      <c r="Q677" s="33">
        <f>IF($D677="","",IFERROR(IF(INDEX(RUNS!$K$6:$K$1005,MATCH($D677,RUNS!$A$6:$A$1005,0))="","",INDEX(RUNS!$K$6:$K$1005,MATCH($D677,RUNS!$A$6:$A$1005,0))),""))</f>
        <v/>
      </c>
      <c r="R677" s="34">
        <f>IF(OR($L677="",$K677=""),"",IFERROR(IF(INDEX(PARAMETRES!$H$43:$H$342,MATCH($L677&amp;"|"&amp;$M677&amp;"|"&amp;$N677&amp;"|"&amp;$O677&amp;"|"&amp;$P677&amp;"|"&amp;$Q677&amp;"|"&amp;$K677,PARAMETRES!$J$43:$J$342,0))="","",INDEX(PARAMETRES!$H$43:$H$342,MATCH($L677&amp;"|"&amp;$M677&amp;"|"&amp;$N677&amp;"|"&amp;$O677&amp;"|"&amp;$P677&amp;"|"&amp;$Q677&amp;"|"&amp;$K677,PARAMETRES!$J$43:$J$342,0))),""))</f>
        <v/>
      </c>
      <c r="S677" s="35">
        <f>IF(OR($G677="",$X677&lt;&gt;"VALIDE"),"",IFERROR(LOOKUP(2,1/(($B$3:$B676=$B677)*($G$3:$G676=$G677)*($X$3:$X676="VALIDE")),$C$3:$C676),""))</f>
        <v/>
      </c>
      <c r="T677" s="36">
        <f>IF(OR($C677="",$S677=""),"",ROUND(($C677-$S677+IF($C677&lt;$S677,1,0))*1440,0))</f>
        <v/>
      </c>
      <c r="U677" s="22">
        <f>IF(OR($H677="",$T677="",$T677&lt;=0),"",$H677*60/$T677)</f>
        <v/>
      </c>
      <c r="V677" s="37">
        <f>IF(OR($U677="",$R677="",$R677=0),"",$U677/$R677)</f>
        <v/>
      </c>
      <c r="W677" s="20">
        <f>IF($G677="","",IF($X677="CONTEXTE INCOMPLET","CONTEXTE INCOMPLET",IF($X677="DOUBLON",StatutDoublon,IF($S677="",StatutInitial,IF($R677="",StatutStandardManquant,IF($V677="","DONNEES INSUFFISANTES",IF($V677&gt;=SeuilConforme,StatutConforme,IF($V677&gt;=SeuilSurveiller,StatutSurveiller,StatutSousStandard))))))))</f>
        <v/>
      </c>
      <c r="X677" s="33">
        <f>IF($G677="","",IF(OR($D677="",$E677="",$F677=""),"CONTEXTE INCOMPLET",IF(COUNTIFS($D$3:$D676,$D677,$E$3:$E676,$E677,$F$3:$F676,$F677,$G$3:$G676,$G677)&gt;0,"DOUBLON","VALIDE")))</f>
        <v/>
      </c>
    </row>
    <row r="678" ht="15" customHeight="1">
      <c r="A678" s="12">
        <f>IF(OR($B678="",$G678=""),"",TEXT($B678,"YYYYMMDD")&amp;"-"&amp;SUBSTITUTE($E678," ","")&amp;"-"&amp;$F678&amp;"-"&amp;$G678)</f>
        <v/>
      </c>
      <c r="B678" s="15" t="n"/>
      <c r="C678" s="16" t="n"/>
      <c r="D678" s="10" t="n"/>
      <c r="E678" s="9" t="n"/>
      <c r="F678" s="9" t="n"/>
      <c r="G678" s="13" t="n"/>
      <c r="H678" s="21" t="n"/>
      <c r="I678" s="21" t="n"/>
      <c r="J678" s="17">
        <f>IF($G678="","",IFERROR(INDEX(NomsEmployes,MATCH($G678,MatriculesEmployes,0)),"MATRICULE INCONNU"))</f>
        <v/>
      </c>
      <c r="K678" s="33">
        <f>IF(OR($D678="",$F678=""),"",IFERROR(IF(INDEX(RUNS!$L$6:$S$1005,MATCH($D678,RUNS!$A$6:$A$1005,0),MATCH("ACTIVITÉ "&amp;$F678,RUNS!$L$5:$S$5,0))="","",INDEX(RUNS!$L$6:$S$1005,MATCH($D678,RUNS!$A$6:$A$1005,0),MATCH("ACTIVITÉ "&amp;$F678,RUNS!$L$5:$S$5,0))),""))</f>
        <v/>
      </c>
      <c r="L678" s="33">
        <f>IF($D678="","",IFERROR(IF(INDEX(RUNS!$E$6:$E$1005,MATCH($D678,RUNS!$A$6:$A$1005,0))="","",INDEX(RUNS!$E$6:$E$1005,MATCH($D678,RUNS!$A$6:$A$1005,0))),""))</f>
        <v/>
      </c>
      <c r="M678" s="33">
        <f>IF($D678="","",IFERROR(IF(INDEX(RUNS!$F$6:$F$1005,MATCH($D678,RUNS!$A$6:$A$1005,0))="","",INDEX(RUNS!$F$6:$F$1005,MATCH($D678,RUNS!$A$6:$A$1005,0))),""))</f>
        <v/>
      </c>
      <c r="N678" s="33">
        <f>IF($D678="","",IFERROR(IF(INDEX(RUNS!$G$6:$G$1005,MATCH($D678,RUNS!$A$6:$A$1005,0))="","",INDEX(RUNS!$G$6:$G$1005,MATCH($D678,RUNS!$A$6:$A$1005,0))),""))</f>
        <v/>
      </c>
      <c r="O678" s="33">
        <f>IF($D678="","",IFERROR(IF(INDEX(RUNS!$H$6:$H$1005,MATCH($D678,RUNS!$A$6:$A$1005,0))="","",INDEX(RUNS!$H$6:$H$1005,MATCH($D678,RUNS!$A$6:$A$1005,0))),""))</f>
        <v/>
      </c>
      <c r="P678" s="33">
        <f>IF($D678="","",IFERROR(IF(INDEX(RUNS!$J$6:$J$1005,MATCH($D678,RUNS!$A$6:$A$1005,0))="","",INDEX(RUNS!$J$6:$J$1005,MATCH($D678,RUNS!$A$6:$A$1005,0))),""))</f>
        <v/>
      </c>
      <c r="Q678" s="33">
        <f>IF($D678="","",IFERROR(IF(INDEX(RUNS!$K$6:$K$1005,MATCH($D678,RUNS!$A$6:$A$1005,0))="","",INDEX(RUNS!$K$6:$K$1005,MATCH($D678,RUNS!$A$6:$A$1005,0))),""))</f>
        <v/>
      </c>
      <c r="R678" s="34">
        <f>IF(OR($L678="",$K678=""),"",IFERROR(IF(INDEX(PARAMETRES!$H$43:$H$342,MATCH($L678&amp;"|"&amp;$M678&amp;"|"&amp;$N678&amp;"|"&amp;$O678&amp;"|"&amp;$P678&amp;"|"&amp;$Q678&amp;"|"&amp;$K678,PARAMETRES!$J$43:$J$342,0))="","",INDEX(PARAMETRES!$H$43:$H$342,MATCH($L678&amp;"|"&amp;$M678&amp;"|"&amp;$N678&amp;"|"&amp;$O678&amp;"|"&amp;$P678&amp;"|"&amp;$Q678&amp;"|"&amp;$K678,PARAMETRES!$J$43:$J$342,0))),""))</f>
        <v/>
      </c>
      <c r="S678" s="35">
        <f>IF(OR($G678="",$X678&lt;&gt;"VALIDE"),"",IFERROR(LOOKUP(2,1/(($B$3:$B677=$B678)*($G$3:$G677=$G678)*($X$3:$X677="VALIDE")),$C$3:$C677),""))</f>
        <v/>
      </c>
      <c r="T678" s="36">
        <f>IF(OR($C678="",$S678=""),"",ROUND(($C678-$S678+IF($C678&lt;$S678,1,0))*1440,0))</f>
        <v/>
      </c>
      <c r="U678" s="22">
        <f>IF(OR($H678="",$T678="",$T678&lt;=0),"",$H678*60/$T678)</f>
        <v/>
      </c>
      <c r="V678" s="37">
        <f>IF(OR($U678="",$R678="",$R678=0),"",$U678/$R678)</f>
        <v/>
      </c>
      <c r="W678" s="20">
        <f>IF($G678="","",IF($X678="CONTEXTE INCOMPLET","CONTEXTE INCOMPLET",IF($X678="DOUBLON",StatutDoublon,IF($S678="",StatutInitial,IF($R678="",StatutStandardManquant,IF($V678="","DONNEES INSUFFISANTES",IF($V678&gt;=SeuilConforme,StatutConforme,IF($V678&gt;=SeuilSurveiller,StatutSurveiller,StatutSousStandard))))))))</f>
        <v/>
      </c>
      <c r="X678" s="33">
        <f>IF($G678="","",IF(OR($D678="",$E678="",$F678=""),"CONTEXTE INCOMPLET",IF(COUNTIFS($D$3:$D677,$D678,$E$3:$E677,$E678,$F$3:$F677,$F678,$G$3:$G677,$G678)&gt;0,"DOUBLON","VALIDE")))</f>
        <v/>
      </c>
    </row>
    <row r="679" ht="15" customHeight="1">
      <c r="A679" s="12">
        <f>IF(OR($B679="",$G679=""),"",TEXT($B679,"YYYYMMDD")&amp;"-"&amp;SUBSTITUTE($E679," ","")&amp;"-"&amp;$F679&amp;"-"&amp;$G679)</f>
        <v/>
      </c>
      <c r="B679" s="15" t="n"/>
      <c r="C679" s="16" t="n"/>
      <c r="D679" s="10" t="n"/>
      <c r="E679" s="9" t="n"/>
      <c r="F679" s="9" t="n"/>
      <c r="G679" s="13" t="n"/>
      <c r="H679" s="21" t="n"/>
      <c r="I679" s="21" t="n"/>
      <c r="J679" s="17">
        <f>IF($G679="","",IFERROR(INDEX(NomsEmployes,MATCH($G679,MatriculesEmployes,0)),"MATRICULE INCONNU"))</f>
        <v/>
      </c>
      <c r="K679" s="33">
        <f>IF(OR($D679="",$F679=""),"",IFERROR(IF(INDEX(RUNS!$L$6:$S$1005,MATCH($D679,RUNS!$A$6:$A$1005,0),MATCH("ACTIVITÉ "&amp;$F679,RUNS!$L$5:$S$5,0))="","",INDEX(RUNS!$L$6:$S$1005,MATCH($D679,RUNS!$A$6:$A$1005,0),MATCH("ACTIVITÉ "&amp;$F679,RUNS!$L$5:$S$5,0))),""))</f>
        <v/>
      </c>
      <c r="L679" s="33">
        <f>IF($D679="","",IFERROR(IF(INDEX(RUNS!$E$6:$E$1005,MATCH($D679,RUNS!$A$6:$A$1005,0))="","",INDEX(RUNS!$E$6:$E$1005,MATCH($D679,RUNS!$A$6:$A$1005,0))),""))</f>
        <v/>
      </c>
      <c r="M679" s="33">
        <f>IF($D679="","",IFERROR(IF(INDEX(RUNS!$F$6:$F$1005,MATCH($D679,RUNS!$A$6:$A$1005,0))="","",INDEX(RUNS!$F$6:$F$1005,MATCH($D679,RUNS!$A$6:$A$1005,0))),""))</f>
        <v/>
      </c>
      <c r="N679" s="33">
        <f>IF($D679="","",IFERROR(IF(INDEX(RUNS!$G$6:$G$1005,MATCH($D679,RUNS!$A$6:$A$1005,0))="","",INDEX(RUNS!$G$6:$G$1005,MATCH($D679,RUNS!$A$6:$A$1005,0))),""))</f>
        <v/>
      </c>
      <c r="O679" s="33">
        <f>IF($D679="","",IFERROR(IF(INDEX(RUNS!$H$6:$H$1005,MATCH($D679,RUNS!$A$6:$A$1005,0))="","",INDEX(RUNS!$H$6:$H$1005,MATCH($D679,RUNS!$A$6:$A$1005,0))),""))</f>
        <v/>
      </c>
      <c r="P679" s="33">
        <f>IF($D679="","",IFERROR(IF(INDEX(RUNS!$J$6:$J$1005,MATCH($D679,RUNS!$A$6:$A$1005,0))="","",INDEX(RUNS!$J$6:$J$1005,MATCH($D679,RUNS!$A$6:$A$1005,0))),""))</f>
        <v/>
      </c>
      <c r="Q679" s="33">
        <f>IF($D679="","",IFERROR(IF(INDEX(RUNS!$K$6:$K$1005,MATCH($D679,RUNS!$A$6:$A$1005,0))="","",INDEX(RUNS!$K$6:$K$1005,MATCH($D679,RUNS!$A$6:$A$1005,0))),""))</f>
        <v/>
      </c>
      <c r="R679" s="34">
        <f>IF(OR($L679="",$K679=""),"",IFERROR(IF(INDEX(PARAMETRES!$H$43:$H$342,MATCH($L679&amp;"|"&amp;$M679&amp;"|"&amp;$N679&amp;"|"&amp;$O679&amp;"|"&amp;$P679&amp;"|"&amp;$Q679&amp;"|"&amp;$K679,PARAMETRES!$J$43:$J$342,0))="","",INDEX(PARAMETRES!$H$43:$H$342,MATCH($L679&amp;"|"&amp;$M679&amp;"|"&amp;$N679&amp;"|"&amp;$O679&amp;"|"&amp;$P679&amp;"|"&amp;$Q679&amp;"|"&amp;$K679,PARAMETRES!$J$43:$J$342,0))),""))</f>
        <v/>
      </c>
      <c r="S679" s="35">
        <f>IF(OR($G679="",$X679&lt;&gt;"VALIDE"),"",IFERROR(LOOKUP(2,1/(($B$3:$B678=$B679)*($G$3:$G678=$G679)*($X$3:$X678="VALIDE")),$C$3:$C678),""))</f>
        <v/>
      </c>
      <c r="T679" s="36">
        <f>IF(OR($C679="",$S679=""),"",ROUND(($C679-$S679+IF($C679&lt;$S679,1,0))*1440,0))</f>
        <v/>
      </c>
      <c r="U679" s="22">
        <f>IF(OR($H679="",$T679="",$T679&lt;=0),"",$H679*60/$T679)</f>
        <v/>
      </c>
      <c r="V679" s="37">
        <f>IF(OR($U679="",$R679="",$R679=0),"",$U679/$R679)</f>
        <v/>
      </c>
      <c r="W679" s="20">
        <f>IF($G679="","",IF($X679="CONTEXTE INCOMPLET","CONTEXTE INCOMPLET",IF($X679="DOUBLON",StatutDoublon,IF($S679="",StatutInitial,IF($R679="",StatutStandardManquant,IF($V679="","DONNEES INSUFFISANTES",IF($V679&gt;=SeuilConforme,StatutConforme,IF($V679&gt;=SeuilSurveiller,StatutSurveiller,StatutSousStandard))))))))</f>
        <v/>
      </c>
      <c r="X679" s="33">
        <f>IF($G679="","",IF(OR($D679="",$E679="",$F679=""),"CONTEXTE INCOMPLET",IF(COUNTIFS($D$3:$D678,$D679,$E$3:$E678,$E679,$F$3:$F678,$F679,$G$3:$G678,$G679)&gt;0,"DOUBLON","VALIDE")))</f>
        <v/>
      </c>
    </row>
    <row r="680" ht="15" customHeight="1">
      <c r="A680" s="12">
        <f>IF(OR($B680="",$G680=""),"",TEXT($B680,"YYYYMMDD")&amp;"-"&amp;SUBSTITUTE($E680," ","")&amp;"-"&amp;$F680&amp;"-"&amp;$G680)</f>
        <v/>
      </c>
      <c r="B680" s="15" t="n"/>
      <c r="C680" s="16" t="n"/>
      <c r="D680" s="10" t="n"/>
      <c r="E680" s="9" t="n"/>
      <c r="F680" s="9" t="n"/>
      <c r="G680" s="13" t="n"/>
      <c r="H680" s="21" t="n"/>
      <c r="I680" s="21" t="n"/>
      <c r="J680" s="17">
        <f>IF($G680="","",IFERROR(INDEX(NomsEmployes,MATCH($G680,MatriculesEmployes,0)),"MATRICULE INCONNU"))</f>
        <v/>
      </c>
      <c r="K680" s="33">
        <f>IF(OR($D680="",$F680=""),"",IFERROR(IF(INDEX(RUNS!$L$6:$S$1005,MATCH($D680,RUNS!$A$6:$A$1005,0),MATCH("ACTIVITÉ "&amp;$F680,RUNS!$L$5:$S$5,0))="","",INDEX(RUNS!$L$6:$S$1005,MATCH($D680,RUNS!$A$6:$A$1005,0),MATCH("ACTIVITÉ "&amp;$F680,RUNS!$L$5:$S$5,0))),""))</f>
        <v/>
      </c>
      <c r="L680" s="33">
        <f>IF($D680="","",IFERROR(IF(INDEX(RUNS!$E$6:$E$1005,MATCH($D680,RUNS!$A$6:$A$1005,0))="","",INDEX(RUNS!$E$6:$E$1005,MATCH($D680,RUNS!$A$6:$A$1005,0))),""))</f>
        <v/>
      </c>
      <c r="M680" s="33">
        <f>IF($D680="","",IFERROR(IF(INDEX(RUNS!$F$6:$F$1005,MATCH($D680,RUNS!$A$6:$A$1005,0))="","",INDEX(RUNS!$F$6:$F$1005,MATCH($D680,RUNS!$A$6:$A$1005,0))),""))</f>
        <v/>
      </c>
      <c r="N680" s="33">
        <f>IF($D680="","",IFERROR(IF(INDEX(RUNS!$G$6:$G$1005,MATCH($D680,RUNS!$A$6:$A$1005,0))="","",INDEX(RUNS!$G$6:$G$1005,MATCH($D680,RUNS!$A$6:$A$1005,0))),""))</f>
        <v/>
      </c>
      <c r="O680" s="33">
        <f>IF($D680="","",IFERROR(IF(INDEX(RUNS!$H$6:$H$1005,MATCH($D680,RUNS!$A$6:$A$1005,0))="","",INDEX(RUNS!$H$6:$H$1005,MATCH($D680,RUNS!$A$6:$A$1005,0))),""))</f>
        <v/>
      </c>
      <c r="P680" s="33">
        <f>IF($D680="","",IFERROR(IF(INDEX(RUNS!$J$6:$J$1005,MATCH($D680,RUNS!$A$6:$A$1005,0))="","",INDEX(RUNS!$J$6:$J$1005,MATCH($D680,RUNS!$A$6:$A$1005,0))),""))</f>
        <v/>
      </c>
      <c r="Q680" s="33">
        <f>IF($D680="","",IFERROR(IF(INDEX(RUNS!$K$6:$K$1005,MATCH($D680,RUNS!$A$6:$A$1005,0))="","",INDEX(RUNS!$K$6:$K$1005,MATCH($D680,RUNS!$A$6:$A$1005,0))),""))</f>
        <v/>
      </c>
      <c r="R680" s="34">
        <f>IF(OR($L680="",$K680=""),"",IFERROR(IF(INDEX(PARAMETRES!$H$43:$H$342,MATCH($L680&amp;"|"&amp;$M680&amp;"|"&amp;$N680&amp;"|"&amp;$O680&amp;"|"&amp;$P680&amp;"|"&amp;$Q680&amp;"|"&amp;$K680,PARAMETRES!$J$43:$J$342,0))="","",INDEX(PARAMETRES!$H$43:$H$342,MATCH($L680&amp;"|"&amp;$M680&amp;"|"&amp;$N680&amp;"|"&amp;$O680&amp;"|"&amp;$P680&amp;"|"&amp;$Q680&amp;"|"&amp;$K680,PARAMETRES!$J$43:$J$342,0))),""))</f>
        <v/>
      </c>
      <c r="S680" s="35">
        <f>IF(OR($G680="",$X680&lt;&gt;"VALIDE"),"",IFERROR(LOOKUP(2,1/(($B$3:$B679=$B680)*($G$3:$G679=$G680)*($X$3:$X679="VALIDE")),$C$3:$C679),""))</f>
        <v/>
      </c>
      <c r="T680" s="36">
        <f>IF(OR($C680="",$S680=""),"",ROUND(($C680-$S680+IF($C680&lt;$S680,1,0))*1440,0))</f>
        <v/>
      </c>
      <c r="U680" s="22">
        <f>IF(OR($H680="",$T680="",$T680&lt;=0),"",$H680*60/$T680)</f>
        <v/>
      </c>
      <c r="V680" s="37">
        <f>IF(OR($U680="",$R680="",$R680=0),"",$U680/$R680)</f>
        <v/>
      </c>
      <c r="W680" s="20">
        <f>IF($G680="","",IF($X680="CONTEXTE INCOMPLET","CONTEXTE INCOMPLET",IF($X680="DOUBLON",StatutDoublon,IF($S680="",StatutInitial,IF($R680="",StatutStandardManquant,IF($V680="","DONNEES INSUFFISANTES",IF($V680&gt;=SeuilConforme,StatutConforme,IF($V680&gt;=SeuilSurveiller,StatutSurveiller,StatutSousStandard))))))))</f>
        <v/>
      </c>
      <c r="X680" s="33">
        <f>IF($G680="","",IF(OR($D680="",$E680="",$F680=""),"CONTEXTE INCOMPLET",IF(COUNTIFS($D$3:$D679,$D680,$E$3:$E679,$E680,$F$3:$F679,$F680,$G$3:$G679,$G680)&gt;0,"DOUBLON","VALIDE")))</f>
        <v/>
      </c>
    </row>
    <row r="681" ht="15" customHeight="1">
      <c r="A681" s="12">
        <f>IF(OR($B681="",$G681=""),"",TEXT($B681,"YYYYMMDD")&amp;"-"&amp;SUBSTITUTE($E681," ","")&amp;"-"&amp;$F681&amp;"-"&amp;$G681)</f>
        <v/>
      </c>
      <c r="B681" s="15" t="n"/>
      <c r="C681" s="16" t="n"/>
      <c r="D681" s="10" t="n"/>
      <c r="E681" s="9" t="n"/>
      <c r="F681" s="9" t="n"/>
      <c r="G681" s="13" t="n"/>
      <c r="H681" s="21" t="n"/>
      <c r="I681" s="21" t="n"/>
      <c r="J681" s="17">
        <f>IF($G681="","",IFERROR(INDEX(NomsEmployes,MATCH($G681,MatriculesEmployes,0)),"MATRICULE INCONNU"))</f>
        <v/>
      </c>
      <c r="K681" s="33">
        <f>IF(OR($D681="",$F681=""),"",IFERROR(IF(INDEX(RUNS!$L$6:$S$1005,MATCH($D681,RUNS!$A$6:$A$1005,0),MATCH("ACTIVITÉ "&amp;$F681,RUNS!$L$5:$S$5,0))="","",INDEX(RUNS!$L$6:$S$1005,MATCH($D681,RUNS!$A$6:$A$1005,0),MATCH("ACTIVITÉ "&amp;$F681,RUNS!$L$5:$S$5,0))),""))</f>
        <v/>
      </c>
      <c r="L681" s="33">
        <f>IF($D681="","",IFERROR(IF(INDEX(RUNS!$E$6:$E$1005,MATCH($D681,RUNS!$A$6:$A$1005,0))="","",INDEX(RUNS!$E$6:$E$1005,MATCH($D681,RUNS!$A$6:$A$1005,0))),""))</f>
        <v/>
      </c>
      <c r="M681" s="33">
        <f>IF($D681="","",IFERROR(IF(INDEX(RUNS!$F$6:$F$1005,MATCH($D681,RUNS!$A$6:$A$1005,0))="","",INDEX(RUNS!$F$6:$F$1005,MATCH($D681,RUNS!$A$6:$A$1005,0))),""))</f>
        <v/>
      </c>
      <c r="N681" s="33">
        <f>IF($D681="","",IFERROR(IF(INDEX(RUNS!$G$6:$G$1005,MATCH($D681,RUNS!$A$6:$A$1005,0))="","",INDEX(RUNS!$G$6:$G$1005,MATCH($D681,RUNS!$A$6:$A$1005,0))),""))</f>
        <v/>
      </c>
      <c r="O681" s="33">
        <f>IF($D681="","",IFERROR(IF(INDEX(RUNS!$H$6:$H$1005,MATCH($D681,RUNS!$A$6:$A$1005,0))="","",INDEX(RUNS!$H$6:$H$1005,MATCH($D681,RUNS!$A$6:$A$1005,0))),""))</f>
        <v/>
      </c>
      <c r="P681" s="33">
        <f>IF($D681="","",IFERROR(IF(INDEX(RUNS!$J$6:$J$1005,MATCH($D681,RUNS!$A$6:$A$1005,0))="","",INDEX(RUNS!$J$6:$J$1005,MATCH($D681,RUNS!$A$6:$A$1005,0))),""))</f>
        <v/>
      </c>
      <c r="Q681" s="33">
        <f>IF($D681="","",IFERROR(IF(INDEX(RUNS!$K$6:$K$1005,MATCH($D681,RUNS!$A$6:$A$1005,0))="","",INDEX(RUNS!$K$6:$K$1005,MATCH($D681,RUNS!$A$6:$A$1005,0))),""))</f>
        <v/>
      </c>
      <c r="R681" s="34">
        <f>IF(OR($L681="",$K681=""),"",IFERROR(IF(INDEX(PARAMETRES!$H$43:$H$342,MATCH($L681&amp;"|"&amp;$M681&amp;"|"&amp;$N681&amp;"|"&amp;$O681&amp;"|"&amp;$P681&amp;"|"&amp;$Q681&amp;"|"&amp;$K681,PARAMETRES!$J$43:$J$342,0))="","",INDEX(PARAMETRES!$H$43:$H$342,MATCH($L681&amp;"|"&amp;$M681&amp;"|"&amp;$N681&amp;"|"&amp;$O681&amp;"|"&amp;$P681&amp;"|"&amp;$Q681&amp;"|"&amp;$K681,PARAMETRES!$J$43:$J$342,0))),""))</f>
        <v/>
      </c>
      <c r="S681" s="35">
        <f>IF(OR($G681="",$X681&lt;&gt;"VALIDE"),"",IFERROR(LOOKUP(2,1/(($B$3:$B680=$B681)*($G$3:$G680=$G681)*($X$3:$X680="VALIDE")),$C$3:$C680),""))</f>
        <v/>
      </c>
      <c r="T681" s="36">
        <f>IF(OR($C681="",$S681=""),"",ROUND(($C681-$S681+IF($C681&lt;$S681,1,0))*1440,0))</f>
        <v/>
      </c>
      <c r="U681" s="22">
        <f>IF(OR($H681="",$T681="",$T681&lt;=0),"",$H681*60/$T681)</f>
        <v/>
      </c>
      <c r="V681" s="37">
        <f>IF(OR($U681="",$R681="",$R681=0),"",$U681/$R681)</f>
        <v/>
      </c>
      <c r="W681" s="20">
        <f>IF($G681="","",IF($X681="CONTEXTE INCOMPLET","CONTEXTE INCOMPLET",IF($X681="DOUBLON",StatutDoublon,IF($S681="",StatutInitial,IF($R681="",StatutStandardManquant,IF($V681="","DONNEES INSUFFISANTES",IF($V681&gt;=SeuilConforme,StatutConforme,IF($V681&gt;=SeuilSurveiller,StatutSurveiller,StatutSousStandard))))))))</f>
        <v/>
      </c>
      <c r="X681" s="33">
        <f>IF($G681="","",IF(OR($D681="",$E681="",$F681=""),"CONTEXTE INCOMPLET",IF(COUNTIFS($D$3:$D680,$D681,$E$3:$E680,$E681,$F$3:$F680,$F681,$G$3:$G680,$G681)&gt;0,"DOUBLON","VALIDE")))</f>
        <v/>
      </c>
    </row>
    <row r="682" ht="15" customHeight="1">
      <c r="A682" s="12">
        <f>IF(OR($B682="",$G682=""),"",TEXT($B682,"YYYYMMDD")&amp;"-"&amp;SUBSTITUTE($E682," ","")&amp;"-"&amp;$F682&amp;"-"&amp;$G682)</f>
        <v/>
      </c>
      <c r="B682" s="15" t="n"/>
      <c r="C682" s="16" t="n"/>
      <c r="D682" s="10" t="n"/>
      <c r="E682" s="9" t="n"/>
      <c r="F682" s="9" t="n"/>
      <c r="G682" s="13" t="n"/>
      <c r="H682" s="21" t="n"/>
      <c r="I682" s="21" t="n"/>
      <c r="J682" s="17">
        <f>IF($G682="","",IFERROR(INDEX(NomsEmployes,MATCH($G682,MatriculesEmployes,0)),"MATRICULE INCONNU"))</f>
        <v/>
      </c>
      <c r="K682" s="33">
        <f>IF(OR($D682="",$F682=""),"",IFERROR(IF(INDEX(RUNS!$L$6:$S$1005,MATCH($D682,RUNS!$A$6:$A$1005,0),MATCH("ACTIVITÉ "&amp;$F682,RUNS!$L$5:$S$5,0))="","",INDEX(RUNS!$L$6:$S$1005,MATCH($D682,RUNS!$A$6:$A$1005,0),MATCH("ACTIVITÉ "&amp;$F682,RUNS!$L$5:$S$5,0))),""))</f>
        <v/>
      </c>
      <c r="L682" s="33">
        <f>IF($D682="","",IFERROR(IF(INDEX(RUNS!$E$6:$E$1005,MATCH($D682,RUNS!$A$6:$A$1005,0))="","",INDEX(RUNS!$E$6:$E$1005,MATCH($D682,RUNS!$A$6:$A$1005,0))),""))</f>
        <v/>
      </c>
      <c r="M682" s="33">
        <f>IF($D682="","",IFERROR(IF(INDEX(RUNS!$F$6:$F$1005,MATCH($D682,RUNS!$A$6:$A$1005,0))="","",INDEX(RUNS!$F$6:$F$1005,MATCH($D682,RUNS!$A$6:$A$1005,0))),""))</f>
        <v/>
      </c>
      <c r="N682" s="33">
        <f>IF($D682="","",IFERROR(IF(INDEX(RUNS!$G$6:$G$1005,MATCH($D682,RUNS!$A$6:$A$1005,0))="","",INDEX(RUNS!$G$6:$G$1005,MATCH($D682,RUNS!$A$6:$A$1005,0))),""))</f>
        <v/>
      </c>
      <c r="O682" s="33">
        <f>IF($D682="","",IFERROR(IF(INDEX(RUNS!$H$6:$H$1005,MATCH($D682,RUNS!$A$6:$A$1005,0))="","",INDEX(RUNS!$H$6:$H$1005,MATCH($D682,RUNS!$A$6:$A$1005,0))),""))</f>
        <v/>
      </c>
      <c r="P682" s="33">
        <f>IF($D682="","",IFERROR(IF(INDEX(RUNS!$J$6:$J$1005,MATCH($D682,RUNS!$A$6:$A$1005,0))="","",INDEX(RUNS!$J$6:$J$1005,MATCH($D682,RUNS!$A$6:$A$1005,0))),""))</f>
        <v/>
      </c>
      <c r="Q682" s="33">
        <f>IF($D682="","",IFERROR(IF(INDEX(RUNS!$K$6:$K$1005,MATCH($D682,RUNS!$A$6:$A$1005,0))="","",INDEX(RUNS!$K$6:$K$1005,MATCH($D682,RUNS!$A$6:$A$1005,0))),""))</f>
        <v/>
      </c>
      <c r="R682" s="34">
        <f>IF(OR($L682="",$K682=""),"",IFERROR(IF(INDEX(PARAMETRES!$H$43:$H$342,MATCH($L682&amp;"|"&amp;$M682&amp;"|"&amp;$N682&amp;"|"&amp;$O682&amp;"|"&amp;$P682&amp;"|"&amp;$Q682&amp;"|"&amp;$K682,PARAMETRES!$J$43:$J$342,0))="","",INDEX(PARAMETRES!$H$43:$H$342,MATCH($L682&amp;"|"&amp;$M682&amp;"|"&amp;$N682&amp;"|"&amp;$O682&amp;"|"&amp;$P682&amp;"|"&amp;$Q682&amp;"|"&amp;$K682,PARAMETRES!$J$43:$J$342,0))),""))</f>
        <v/>
      </c>
      <c r="S682" s="35">
        <f>IF(OR($G682="",$X682&lt;&gt;"VALIDE"),"",IFERROR(LOOKUP(2,1/(($B$3:$B681=$B682)*($G$3:$G681=$G682)*($X$3:$X681="VALIDE")),$C$3:$C681),""))</f>
        <v/>
      </c>
      <c r="T682" s="36">
        <f>IF(OR($C682="",$S682=""),"",ROUND(($C682-$S682+IF($C682&lt;$S682,1,0))*1440,0))</f>
        <v/>
      </c>
      <c r="U682" s="22">
        <f>IF(OR($H682="",$T682="",$T682&lt;=0),"",$H682*60/$T682)</f>
        <v/>
      </c>
      <c r="V682" s="37">
        <f>IF(OR($U682="",$R682="",$R682=0),"",$U682/$R682)</f>
        <v/>
      </c>
      <c r="W682" s="20">
        <f>IF($G682="","",IF($X682="CONTEXTE INCOMPLET","CONTEXTE INCOMPLET",IF($X682="DOUBLON",StatutDoublon,IF($S682="",StatutInitial,IF($R682="",StatutStandardManquant,IF($V682="","DONNEES INSUFFISANTES",IF($V682&gt;=SeuilConforme,StatutConforme,IF($V682&gt;=SeuilSurveiller,StatutSurveiller,StatutSousStandard))))))))</f>
        <v/>
      </c>
      <c r="X682" s="33">
        <f>IF($G682="","",IF(OR($D682="",$E682="",$F682=""),"CONTEXTE INCOMPLET",IF(COUNTIFS($D$3:$D681,$D682,$E$3:$E681,$E682,$F$3:$F681,$F682,$G$3:$G681,$G682)&gt;0,"DOUBLON","VALIDE")))</f>
        <v/>
      </c>
    </row>
    <row r="683" ht="15" customHeight="1">
      <c r="A683" s="12">
        <f>IF(OR($B683="",$G683=""),"",TEXT($B683,"YYYYMMDD")&amp;"-"&amp;SUBSTITUTE($E683," ","")&amp;"-"&amp;$F683&amp;"-"&amp;$G683)</f>
        <v/>
      </c>
      <c r="B683" s="15" t="n"/>
      <c r="C683" s="16" t="n"/>
      <c r="D683" s="10" t="n"/>
      <c r="E683" s="9" t="n"/>
      <c r="F683" s="9" t="n"/>
      <c r="G683" s="13" t="n"/>
      <c r="H683" s="21" t="n"/>
      <c r="I683" s="21" t="n"/>
      <c r="J683" s="17">
        <f>IF($G683="","",IFERROR(INDEX(NomsEmployes,MATCH($G683,MatriculesEmployes,0)),"MATRICULE INCONNU"))</f>
        <v/>
      </c>
      <c r="K683" s="33">
        <f>IF(OR($D683="",$F683=""),"",IFERROR(IF(INDEX(RUNS!$L$6:$S$1005,MATCH($D683,RUNS!$A$6:$A$1005,0),MATCH("ACTIVITÉ "&amp;$F683,RUNS!$L$5:$S$5,0))="","",INDEX(RUNS!$L$6:$S$1005,MATCH($D683,RUNS!$A$6:$A$1005,0),MATCH("ACTIVITÉ "&amp;$F683,RUNS!$L$5:$S$5,0))),""))</f>
        <v/>
      </c>
      <c r="L683" s="33">
        <f>IF($D683="","",IFERROR(IF(INDEX(RUNS!$E$6:$E$1005,MATCH($D683,RUNS!$A$6:$A$1005,0))="","",INDEX(RUNS!$E$6:$E$1005,MATCH($D683,RUNS!$A$6:$A$1005,0))),""))</f>
        <v/>
      </c>
      <c r="M683" s="33">
        <f>IF($D683="","",IFERROR(IF(INDEX(RUNS!$F$6:$F$1005,MATCH($D683,RUNS!$A$6:$A$1005,0))="","",INDEX(RUNS!$F$6:$F$1005,MATCH($D683,RUNS!$A$6:$A$1005,0))),""))</f>
        <v/>
      </c>
      <c r="N683" s="33">
        <f>IF($D683="","",IFERROR(IF(INDEX(RUNS!$G$6:$G$1005,MATCH($D683,RUNS!$A$6:$A$1005,0))="","",INDEX(RUNS!$G$6:$G$1005,MATCH($D683,RUNS!$A$6:$A$1005,0))),""))</f>
        <v/>
      </c>
      <c r="O683" s="33">
        <f>IF($D683="","",IFERROR(IF(INDEX(RUNS!$H$6:$H$1005,MATCH($D683,RUNS!$A$6:$A$1005,0))="","",INDEX(RUNS!$H$6:$H$1005,MATCH($D683,RUNS!$A$6:$A$1005,0))),""))</f>
        <v/>
      </c>
      <c r="P683" s="33">
        <f>IF($D683="","",IFERROR(IF(INDEX(RUNS!$J$6:$J$1005,MATCH($D683,RUNS!$A$6:$A$1005,0))="","",INDEX(RUNS!$J$6:$J$1005,MATCH($D683,RUNS!$A$6:$A$1005,0))),""))</f>
        <v/>
      </c>
      <c r="Q683" s="33">
        <f>IF($D683="","",IFERROR(IF(INDEX(RUNS!$K$6:$K$1005,MATCH($D683,RUNS!$A$6:$A$1005,0))="","",INDEX(RUNS!$K$6:$K$1005,MATCH($D683,RUNS!$A$6:$A$1005,0))),""))</f>
        <v/>
      </c>
      <c r="R683" s="34">
        <f>IF(OR($L683="",$K683=""),"",IFERROR(IF(INDEX(PARAMETRES!$H$43:$H$342,MATCH($L683&amp;"|"&amp;$M683&amp;"|"&amp;$N683&amp;"|"&amp;$O683&amp;"|"&amp;$P683&amp;"|"&amp;$Q683&amp;"|"&amp;$K683,PARAMETRES!$J$43:$J$342,0))="","",INDEX(PARAMETRES!$H$43:$H$342,MATCH($L683&amp;"|"&amp;$M683&amp;"|"&amp;$N683&amp;"|"&amp;$O683&amp;"|"&amp;$P683&amp;"|"&amp;$Q683&amp;"|"&amp;$K683,PARAMETRES!$J$43:$J$342,0))),""))</f>
        <v/>
      </c>
      <c r="S683" s="35">
        <f>IF(OR($G683="",$X683&lt;&gt;"VALIDE"),"",IFERROR(LOOKUP(2,1/(($B$3:$B682=$B683)*($G$3:$G682=$G683)*($X$3:$X682="VALIDE")),$C$3:$C682),""))</f>
        <v/>
      </c>
      <c r="T683" s="36">
        <f>IF(OR($C683="",$S683=""),"",ROUND(($C683-$S683+IF($C683&lt;$S683,1,0))*1440,0))</f>
        <v/>
      </c>
      <c r="U683" s="22">
        <f>IF(OR($H683="",$T683="",$T683&lt;=0),"",$H683*60/$T683)</f>
        <v/>
      </c>
      <c r="V683" s="37">
        <f>IF(OR($U683="",$R683="",$R683=0),"",$U683/$R683)</f>
        <v/>
      </c>
      <c r="W683" s="20">
        <f>IF($G683="","",IF($X683="CONTEXTE INCOMPLET","CONTEXTE INCOMPLET",IF($X683="DOUBLON",StatutDoublon,IF($S683="",StatutInitial,IF($R683="",StatutStandardManquant,IF($V683="","DONNEES INSUFFISANTES",IF($V683&gt;=SeuilConforme,StatutConforme,IF($V683&gt;=SeuilSurveiller,StatutSurveiller,StatutSousStandard))))))))</f>
        <v/>
      </c>
      <c r="X683" s="33">
        <f>IF($G683="","",IF(OR($D683="",$E683="",$F683=""),"CONTEXTE INCOMPLET",IF(COUNTIFS($D$3:$D682,$D683,$E$3:$E682,$E683,$F$3:$F682,$F683,$G$3:$G682,$G683)&gt;0,"DOUBLON","VALIDE")))</f>
        <v/>
      </c>
    </row>
    <row r="684" ht="15" customHeight="1">
      <c r="A684" s="12">
        <f>IF(OR($B684="",$G684=""),"",TEXT($B684,"YYYYMMDD")&amp;"-"&amp;SUBSTITUTE($E684," ","")&amp;"-"&amp;$F684&amp;"-"&amp;$G684)</f>
        <v/>
      </c>
      <c r="B684" s="15" t="n"/>
      <c r="C684" s="16" t="n"/>
      <c r="D684" s="10" t="n"/>
      <c r="E684" s="9" t="n"/>
      <c r="F684" s="9" t="n"/>
      <c r="G684" s="13" t="n"/>
      <c r="H684" s="21" t="n"/>
      <c r="I684" s="21" t="n"/>
      <c r="J684" s="17">
        <f>IF($G684="","",IFERROR(INDEX(NomsEmployes,MATCH($G684,MatriculesEmployes,0)),"MATRICULE INCONNU"))</f>
        <v/>
      </c>
      <c r="K684" s="33">
        <f>IF(OR($D684="",$F684=""),"",IFERROR(IF(INDEX(RUNS!$L$6:$S$1005,MATCH($D684,RUNS!$A$6:$A$1005,0),MATCH("ACTIVITÉ "&amp;$F684,RUNS!$L$5:$S$5,0))="","",INDEX(RUNS!$L$6:$S$1005,MATCH($D684,RUNS!$A$6:$A$1005,0),MATCH("ACTIVITÉ "&amp;$F684,RUNS!$L$5:$S$5,0))),""))</f>
        <v/>
      </c>
      <c r="L684" s="33">
        <f>IF($D684="","",IFERROR(IF(INDEX(RUNS!$E$6:$E$1005,MATCH($D684,RUNS!$A$6:$A$1005,0))="","",INDEX(RUNS!$E$6:$E$1005,MATCH($D684,RUNS!$A$6:$A$1005,0))),""))</f>
        <v/>
      </c>
      <c r="M684" s="33">
        <f>IF($D684="","",IFERROR(IF(INDEX(RUNS!$F$6:$F$1005,MATCH($D684,RUNS!$A$6:$A$1005,0))="","",INDEX(RUNS!$F$6:$F$1005,MATCH($D684,RUNS!$A$6:$A$1005,0))),""))</f>
        <v/>
      </c>
      <c r="N684" s="33">
        <f>IF($D684="","",IFERROR(IF(INDEX(RUNS!$G$6:$G$1005,MATCH($D684,RUNS!$A$6:$A$1005,0))="","",INDEX(RUNS!$G$6:$G$1005,MATCH($D684,RUNS!$A$6:$A$1005,0))),""))</f>
        <v/>
      </c>
      <c r="O684" s="33">
        <f>IF($D684="","",IFERROR(IF(INDEX(RUNS!$H$6:$H$1005,MATCH($D684,RUNS!$A$6:$A$1005,0))="","",INDEX(RUNS!$H$6:$H$1005,MATCH($D684,RUNS!$A$6:$A$1005,0))),""))</f>
        <v/>
      </c>
      <c r="P684" s="33">
        <f>IF($D684="","",IFERROR(IF(INDEX(RUNS!$J$6:$J$1005,MATCH($D684,RUNS!$A$6:$A$1005,0))="","",INDEX(RUNS!$J$6:$J$1005,MATCH($D684,RUNS!$A$6:$A$1005,0))),""))</f>
        <v/>
      </c>
      <c r="Q684" s="33">
        <f>IF($D684="","",IFERROR(IF(INDEX(RUNS!$K$6:$K$1005,MATCH($D684,RUNS!$A$6:$A$1005,0))="","",INDEX(RUNS!$K$6:$K$1005,MATCH($D684,RUNS!$A$6:$A$1005,0))),""))</f>
        <v/>
      </c>
      <c r="R684" s="34">
        <f>IF(OR($L684="",$K684=""),"",IFERROR(IF(INDEX(PARAMETRES!$H$43:$H$342,MATCH($L684&amp;"|"&amp;$M684&amp;"|"&amp;$N684&amp;"|"&amp;$O684&amp;"|"&amp;$P684&amp;"|"&amp;$Q684&amp;"|"&amp;$K684,PARAMETRES!$J$43:$J$342,0))="","",INDEX(PARAMETRES!$H$43:$H$342,MATCH($L684&amp;"|"&amp;$M684&amp;"|"&amp;$N684&amp;"|"&amp;$O684&amp;"|"&amp;$P684&amp;"|"&amp;$Q684&amp;"|"&amp;$K684,PARAMETRES!$J$43:$J$342,0))),""))</f>
        <v/>
      </c>
      <c r="S684" s="35">
        <f>IF(OR($G684="",$X684&lt;&gt;"VALIDE"),"",IFERROR(LOOKUP(2,1/(($B$3:$B683=$B684)*($G$3:$G683=$G684)*($X$3:$X683="VALIDE")),$C$3:$C683),""))</f>
        <v/>
      </c>
      <c r="T684" s="36">
        <f>IF(OR($C684="",$S684=""),"",ROUND(($C684-$S684+IF($C684&lt;$S684,1,0))*1440,0))</f>
        <v/>
      </c>
      <c r="U684" s="22">
        <f>IF(OR($H684="",$T684="",$T684&lt;=0),"",$H684*60/$T684)</f>
        <v/>
      </c>
      <c r="V684" s="37">
        <f>IF(OR($U684="",$R684="",$R684=0),"",$U684/$R684)</f>
        <v/>
      </c>
      <c r="W684" s="20">
        <f>IF($G684="","",IF($X684="CONTEXTE INCOMPLET","CONTEXTE INCOMPLET",IF($X684="DOUBLON",StatutDoublon,IF($S684="",StatutInitial,IF($R684="",StatutStandardManquant,IF($V684="","DONNEES INSUFFISANTES",IF($V684&gt;=SeuilConforme,StatutConforme,IF($V684&gt;=SeuilSurveiller,StatutSurveiller,StatutSousStandard))))))))</f>
        <v/>
      </c>
      <c r="X684" s="33">
        <f>IF($G684="","",IF(OR($D684="",$E684="",$F684=""),"CONTEXTE INCOMPLET",IF(COUNTIFS($D$3:$D683,$D684,$E$3:$E683,$E684,$F$3:$F683,$F684,$G$3:$G683,$G684)&gt;0,"DOUBLON","VALIDE")))</f>
        <v/>
      </c>
    </row>
    <row r="685" ht="15" customHeight="1">
      <c r="A685" s="12">
        <f>IF(OR($B685="",$G685=""),"",TEXT($B685,"YYYYMMDD")&amp;"-"&amp;SUBSTITUTE($E685," ","")&amp;"-"&amp;$F685&amp;"-"&amp;$G685)</f>
        <v/>
      </c>
      <c r="B685" s="15" t="n"/>
      <c r="C685" s="16" t="n"/>
      <c r="D685" s="10" t="n"/>
      <c r="E685" s="9" t="n"/>
      <c r="F685" s="9" t="n"/>
      <c r="G685" s="13" t="n"/>
      <c r="H685" s="21" t="n"/>
      <c r="I685" s="21" t="n"/>
      <c r="J685" s="17">
        <f>IF($G685="","",IFERROR(INDEX(NomsEmployes,MATCH($G685,MatriculesEmployes,0)),"MATRICULE INCONNU"))</f>
        <v/>
      </c>
      <c r="K685" s="33">
        <f>IF(OR($D685="",$F685=""),"",IFERROR(IF(INDEX(RUNS!$L$6:$S$1005,MATCH($D685,RUNS!$A$6:$A$1005,0),MATCH("ACTIVITÉ "&amp;$F685,RUNS!$L$5:$S$5,0))="","",INDEX(RUNS!$L$6:$S$1005,MATCH($D685,RUNS!$A$6:$A$1005,0),MATCH("ACTIVITÉ "&amp;$F685,RUNS!$L$5:$S$5,0))),""))</f>
        <v/>
      </c>
      <c r="L685" s="33">
        <f>IF($D685="","",IFERROR(IF(INDEX(RUNS!$E$6:$E$1005,MATCH($D685,RUNS!$A$6:$A$1005,0))="","",INDEX(RUNS!$E$6:$E$1005,MATCH($D685,RUNS!$A$6:$A$1005,0))),""))</f>
        <v/>
      </c>
      <c r="M685" s="33">
        <f>IF($D685="","",IFERROR(IF(INDEX(RUNS!$F$6:$F$1005,MATCH($D685,RUNS!$A$6:$A$1005,0))="","",INDEX(RUNS!$F$6:$F$1005,MATCH($D685,RUNS!$A$6:$A$1005,0))),""))</f>
        <v/>
      </c>
      <c r="N685" s="33">
        <f>IF($D685="","",IFERROR(IF(INDEX(RUNS!$G$6:$G$1005,MATCH($D685,RUNS!$A$6:$A$1005,0))="","",INDEX(RUNS!$G$6:$G$1005,MATCH($D685,RUNS!$A$6:$A$1005,0))),""))</f>
        <v/>
      </c>
      <c r="O685" s="33">
        <f>IF($D685="","",IFERROR(IF(INDEX(RUNS!$H$6:$H$1005,MATCH($D685,RUNS!$A$6:$A$1005,0))="","",INDEX(RUNS!$H$6:$H$1005,MATCH($D685,RUNS!$A$6:$A$1005,0))),""))</f>
        <v/>
      </c>
      <c r="P685" s="33">
        <f>IF($D685="","",IFERROR(IF(INDEX(RUNS!$J$6:$J$1005,MATCH($D685,RUNS!$A$6:$A$1005,0))="","",INDEX(RUNS!$J$6:$J$1005,MATCH($D685,RUNS!$A$6:$A$1005,0))),""))</f>
        <v/>
      </c>
      <c r="Q685" s="33">
        <f>IF($D685="","",IFERROR(IF(INDEX(RUNS!$K$6:$K$1005,MATCH($D685,RUNS!$A$6:$A$1005,0))="","",INDEX(RUNS!$K$6:$K$1005,MATCH($D685,RUNS!$A$6:$A$1005,0))),""))</f>
        <v/>
      </c>
      <c r="R685" s="34">
        <f>IF(OR($L685="",$K685=""),"",IFERROR(IF(INDEX(PARAMETRES!$H$43:$H$342,MATCH($L685&amp;"|"&amp;$M685&amp;"|"&amp;$N685&amp;"|"&amp;$O685&amp;"|"&amp;$P685&amp;"|"&amp;$Q685&amp;"|"&amp;$K685,PARAMETRES!$J$43:$J$342,0))="","",INDEX(PARAMETRES!$H$43:$H$342,MATCH($L685&amp;"|"&amp;$M685&amp;"|"&amp;$N685&amp;"|"&amp;$O685&amp;"|"&amp;$P685&amp;"|"&amp;$Q685&amp;"|"&amp;$K685,PARAMETRES!$J$43:$J$342,0))),""))</f>
        <v/>
      </c>
      <c r="S685" s="35">
        <f>IF(OR($G685="",$X685&lt;&gt;"VALIDE"),"",IFERROR(LOOKUP(2,1/(($B$3:$B684=$B685)*($G$3:$G684=$G685)*($X$3:$X684="VALIDE")),$C$3:$C684),""))</f>
        <v/>
      </c>
      <c r="T685" s="36">
        <f>IF(OR($C685="",$S685=""),"",ROUND(($C685-$S685+IF($C685&lt;$S685,1,0))*1440,0))</f>
        <v/>
      </c>
      <c r="U685" s="22">
        <f>IF(OR($H685="",$T685="",$T685&lt;=0),"",$H685*60/$T685)</f>
        <v/>
      </c>
      <c r="V685" s="37">
        <f>IF(OR($U685="",$R685="",$R685=0),"",$U685/$R685)</f>
        <v/>
      </c>
      <c r="W685" s="20">
        <f>IF($G685="","",IF($X685="CONTEXTE INCOMPLET","CONTEXTE INCOMPLET",IF($X685="DOUBLON",StatutDoublon,IF($S685="",StatutInitial,IF($R685="",StatutStandardManquant,IF($V685="","DONNEES INSUFFISANTES",IF($V685&gt;=SeuilConforme,StatutConforme,IF($V685&gt;=SeuilSurveiller,StatutSurveiller,StatutSousStandard))))))))</f>
        <v/>
      </c>
      <c r="X685" s="33">
        <f>IF($G685="","",IF(OR($D685="",$E685="",$F685=""),"CONTEXTE INCOMPLET",IF(COUNTIFS($D$3:$D684,$D685,$E$3:$E684,$E685,$F$3:$F684,$F685,$G$3:$G684,$G685)&gt;0,"DOUBLON","VALIDE")))</f>
        <v/>
      </c>
    </row>
    <row r="686" ht="15" customHeight="1">
      <c r="A686" s="12">
        <f>IF(OR($B686="",$G686=""),"",TEXT($B686,"YYYYMMDD")&amp;"-"&amp;SUBSTITUTE($E686," ","")&amp;"-"&amp;$F686&amp;"-"&amp;$G686)</f>
        <v/>
      </c>
      <c r="B686" s="15" t="n"/>
      <c r="C686" s="16" t="n"/>
      <c r="D686" s="10" t="n"/>
      <c r="E686" s="9" t="n"/>
      <c r="F686" s="9" t="n"/>
      <c r="G686" s="13" t="n"/>
      <c r="H686" s="21" t="n"/>
      <c r="I686" s="21" t="n"/>
      <c r="J686" s="17">
        <f>IF($G686="","",IFERROR(INDEX(NomsEmployes,MATCH($G686,MatriculesEmployes,0)),"MATRICULE INCONNU"))</f>
        <v/>
      </c>
      <c r="K686" s="33">
        <f>IF(OR($D686="",$F686=""),"",IFERROR(IF(INDEX(RUNS!$L$6:$S$1005,MATCH($D686,RUNS!$A$6:$A$1005,0),MATCH("ACTIVITÉ "&amp;$F686,RUNS!$L$5:$S$5,0))="","",INDEX(RUNS!$L$6:$S$1005,MATCH($D686,RUNS!$A$6:$A$1005,0),MATCH("ACTIVITÉ "&amp;$F686,RUNS!$L$5:$S$5,0))),""))</f>
        <v/>
      </c>
      <c r="L686" s="33">
        <f>IF($D686="","",IFERROR(IF(INDEX(RUNS!$E$6:$E$1005,MATCH($D686,RUNS!$A$6:$A$1005,0))="","",INDEX(RUNS!$E$6:$E$1005,MATCH($D686,RUNS!$A$6:$A$1005,0))),""))</f>
        <v/>
      </c>
      <c r="M686" s="33">
        <f>IF($D686="","",IFERROR(IF(INDEX(RUNS!$F$6:$F$1005,MATCH($D686,RUNS!$A$6:$A$1005,0))="","",INDEX(RUNS!$F$6:$F$1005,MATCH($D686,RUNS!$A$6:$A$1005,0))),""))</f>
        <v/>
      </c>
      <c r="N686" s="33">
        <f>IF($D686="","",IFERROR(IF(INDEX(RUNS!$G$6:$G$1005,MATCH($D686,RUNS!$A$6:$A$1005,0))="","",INDEX(RUNS!$G$6:$G$1005,MATCH($D686,RUNS!$A$6:$A$1005,0))),""))</f>
        <v/>
      </c>
      <c r="O686" s="33">
        <f>IF($D686="","",IFERROR(IF(INDEX(RUNS!$H$6:$H$1005,MATCH($D686,RUNS!$A$6:$A$1005,0))="","",INDEX(RUNS!$H$6:$H$1005,MATCH($D686,RUNS!$A$6:$A$1005,0))),""))</f>
        <v/>
      </c>
      <c r="P686" s="33">
        <f>IF($D686="","",IFERROR(IF(INDEX(RUNS!$J$6:$J$1005,MATCH($D686,RUNS!$A$6:$A$1005,0))="","",INDEX(RUNS!$J$6:$J$1005,MATCH($D686,RUNS!$A$6:$A$1005,0))),""))</f>
        <v/>
      </c>
      <c r="Q686" s="33">
        <f>IF($D686="","",IFERROR(IF(INDEX(RUNS!$K$6:$K$1005,MATCH($D686,RUNS!$A$6:$A$1005,0))="","",INDEX(RUNS!$K$6:$K$1005,MATCH($D686,RUNS!$A$6:$A$1005,0))),""))</f>
        <v/>
      </c>
      <c r="R686" s="34">
        <f>IF(OR($L686="",$K686=""),"",IFERROR(IF(INDEX(PARAMETRES!$H$43:$H$342,MATCH($L686&amp;"|"&amp;$M686&amp;"|"&amp;$N686&amp;"|"&amp;$O686&amp;"|"&amp;$P686&amp;"|"&amp;$Q686&amp;"|"&amp;$K686,PARAMETRES!$J$43:$J$342,0))="","",INDEX(PARAMETRES!$H$43:$H$342,MATCH($L686&amp;"|"&amp;$M686&amp;"|"&amp;$N686&amp;"|"&amp;$O686&amp;"|"&amp;$P686&amp;"|"&amp;$Q686&amp;"|"&amp;$K686,PARAMETRES!$J$43:$J$342,0))),""))</f>
        <v/>
      </c>
      <c r="S686" s="35">
        <f>IF(OR($G686="",$X686&lt;&gt;"VALIDE"),"",IFERROR(LOOKUP(2,1/(($B$3:$B685=$B686)*($G$3:$G685=$G686)*($X$3:$X685="VALIDE")),$C$3:$C685),""))</f>
        <v/>
      </c>
      <c r="T686" s="36">
        <f>IF(OR($C686="",$S686=""),"",ROUND(($C686-$S686+IF($C686&lt;$S686,1,0))*1440,0))</f>
        <v/>
      </c>
      <c r="U686" s="22">
        <f>IF(OR($H686="",$T686="",$T686&lt;=0),"",$H686*60/$T686)</f>
        <v/>
      </c>
      <c r="V686" s="37">
        <f>IF(OR($U686="",$R686="",$R686=0),"",$U686/$R686)</f>
        <v/>
      </c>
      <c r="W686" s="20">
        <f>IF($G686="","",IF($X686="CONTEXTE INCOMPLET","CONTEXTE INCOMPLET",IF($X686="DOUBLON",StatutDoublon,IF($S686="",StatutInitial,IF($R686="",StatutStandardManquant,IF($V686="","DONNEES INSUFFISANTES",IF($V686&gt;=SeuilConforme,StatutConforme,IF($V686&gt;=SeuilSurveiller,StatutSurveiller,StatutSousStandard))))))))</f>
        <v/>
      </c>
      <c r="X686" s="33">
        <f>IF($G686="","",IF(OR($D686="",$E686="",$F686=""),"CONTEXTE INCOMPLET",IF(COUNTIFS($D$3:$D685,$D686,$E$3:$E685,$E686,$F$3:$F685,$F686,$G$3:$G685,$G686)&gt;0,"DOUBLON","VALIDE")))</f>
        <v/>
      </c>
    </row>
    <row r="687" ht="15" customHeight="1">
      <c r="A687" s="12">
        <f>IF(OR($B687="",$G687=""),"",TEXT($B687,"YYYYMMDD")&amp;"-"&amp;SUBSTITUTE($E687," ","")&amp;"-"&amp;$F687&amp;"-"&amp;$G687)</f>
        <v/>
      </c>
      <c r="B687" s="15" t="n"/>
      <c r="C687" s="16" t="n"/>
      <c r="D687" s="10" t="n"/>
      <c r="E687" s="9" t="n"/>
      <c r="F687" s="9" t="n"/>
      <c r="G687" s="13" t="n"/>
      <c r="H687" s="21" t="n"/>
      <c r="I687" s="21" t="n"/>
      <c r="J687" s="17">
        <f>IF($G687="","",IFERROR(INDEX(NomsEmployes,MATCH($G687,MatriculesEmployes,0)),"MATRICULE INCONNU"))</f>
        <v/>
      </c>
      <c r="K687" s="33">
        <f>IF(OR($D687="",$F687=""),"",IFERROR(IF(INDEX(RUNS!$L$6:$S$1005,MATCH($D687,RUNS!$A$6:$A$1005,0),MATCH("ACTIVITÉ "&amp;$F687,RUNS!$L$5:$S$5,0))="","",INDEX(RUNS!$L$6:$S$1005,MATCH($D687,RUNS!$A$6:$A$1005,0),MATCH("ACTIVITÉ "&amp;$F687,RUNS!$L$5:$S$5,0))),""))</f>
        <v/>
      </c>
      <c r="L687" s="33">
        <f>IF($D687="","",IFERROR(IF(INDEX(RUNS!$E$6:$E$1005,MATCH($D687,RUNS!$A$6:$A$1005,0))="","",INDEX(RUNS!$E$6:$E$1005,MATCH($D687,RUNS!$A$6:$A$1005,0))),""))</f>
        <v/>
      </c>
      <c r="M687" s="33">
        <f>IF($D687="","",IFERROR(IF(INDEX(RUNS!$F$6:$F$1005,MATCH($D687,RUNS!$A$6:$A$1005,0))="","",INDEX(RUNS!$F$6:$F$1005,MATCH($D687,RUNS!$A$6:$A$1005,0))),""))</f>
        <v/>
      </c>
      <c r="N687" s="33">
        <f>IF($D687="","",IFERROR(IF(INDEX(RUNS!$G$6:$G$1005,MATCH($D687,RUNS!$A$6:$A$1005,0))="","",INDEX(RUNS!$G$6:$G$1005,MATCH($D687,RUNS!$A$6:$A$1005,0))),""))</f>
        <v/>
      </c>
      <c r="O687" s="33">
        <f>IF($D687="","",IFERROR(IF(INDEX(RUNS!$H$6:$H$1005,MATCH($D687,RUNS!$A$6:$A$1005,0))="","",INDEX(RUNS!$H$6:$H$1005,MATCH($D687,RUNS!$A$6:$A$1005,0))),""))</f>
        <v/>
      </c>
      <c r="P687" s="33">
        <f>IF($D687="","",IFERROR(IF(INDEX(RUNS!$J$6:$J$1005,MATCH($D687,RUNS!$A$6:$A$1005,0))="","",INDEX(RUNS!$J$6:$J$1005,MATCH($D687,RUNS!$A$6:$A$1005,0))),""))</f>
        <v/>
      </c>
      <c r="Q687" s="33">
        <f>IF($D687="","",IFERROR(IF(INDEX(RUNS!$K$6:$K$1005,MATCH($D687,RUNS!$A$6:$A$1005,0))="","",INDEX(RUNS!$K$6:$K$1005,MATCH($D687,RUNS!$A$6:$A$1005,0))),""))</f>
        <v/>
      </c>
      <c r="R687" s="34">
        <f>IF(OR($L687="",$K687=""),"",IFERROR(IF(INDEX(PARAMETRES!$H$43:$H$342,MATCH($L687&amp;"|"&amp;$M687&amp;"|"&amp;$N687&amp;"|"&amp;$O687&amp;"|"&amp;$P687&amp;"|"&amp;$Q687&amp;"|"&amp;$K687,PARAMETRES!$J$43:$J$342,0))="","",INDEX(PARAMETRES!$H$43:$H$342,MATCH($L687&amp;"|"&amp;$M687&amp;"|"&amp;$N687&amp;"|"&amp;$O687&amp;"|"&amp;$P687&amp;"|"&amp;$Q687&amp;"|"&amp;$K687,PARAMETRES!$J$43:$J$342,0))),""))</f>
        <v/>
      </c>
      <c r="S687" s="35">
        <f>IF(OR($G687="",$X687&lt;&gt;"VALIDE"),"",IFERROR(LOOKUP(2,1/(($B$3:$B686=$B687)*($G$3:$G686=$G687)*($X$3:$X686="VALIDE")),$C$3:$C686),""))</f>
        <v/>
      </c>
      <c r="T687" s="36">
        <f>IF(OR($C687="",$S687=""),"",ROUND(($C687-$S687+IF($C687&lt;$S687,1,0))*1440,0))</f>
        <v/>
      </c>
      <c r="U687" s="22">
        <f>IF(OR($H687="",$T687="",$T687&lt;=0),"",$H687*60/$T687)</f>
        <v/>
      </c>
      <c r="V687" s="37">
        <f>IF(OR($U687="",$R687="",$R687=0),"",$U687/$R687)</f>
        <v/>
      </c>
      <c r="W687" s="20">
        <f>IF($G687="","",IF($X687="CONTEXTE INCOMPLET","CONTEXTE INCOMPLET",IF($X687="DOUBLON",StatutDoublon,IF($S687="",StatutInitial,IF($R687="",StatutStandardManquant,IF($V687="","DONNEES INSUFFISANTES",IF($V687&gt;=SeuilConforme,StatutConforme,IF($V687&gt;=SeuilSurveiller,StatutSurveiller,StatutSousStandard))))))))</f>
        <v/>
      </c>
      <c r="X687" s="33">
        <f>IF($G687="","",IF(OR($D687="",$E687="",$F687=""),"CONTEXTE INCOMPLET",IF(COUNTIFS($D$3:$D686,$D687,$E$3:$E686,$E687,$F$3:$F686,$F687,$G$3:$G686,$G687)&gt;0,"DOUBLON","VALIDE")))</f>
        <v/>
      </c>
    </row>
    <row r="688" ht="15" customHeight="1">
      <c r="A688" s="12">
        <f>IF(OR($B688="",$G688=""),"",TEXT($B688,"YYYYMMDD")&amp;"-"&amp;SUBSTITUTE($E688," ","")&amp;"-"&amp;$F688&amp;"-"&amp;$G688)</f>
        <v/>
      </c>
      <c r="B688" s="15" t="n"/>
      <c r="C688" s="16" t="n"/>
      <c r="D688" s="10" t="n"/>
      <c r="E688" s="9" t="n"/>
      <c r="F688" s="9" t="n"/>
      <c r="G688" s="13" t="n"/>
      <c r="H688" s="21" t="n"/>
      <c r="I688" s="21" t="n"/>
      <c r="J688" s="17">
        <f>IF($G688="","",IFERROR(INDEX(NomsEmployes,MATCH($G688,MatriculesEmployes,0)),"MATRICULE INCONNU"))</f>
        <v/>
      </c>
      <c r="K688" s="33">
        <f>IF(OR($D688="",$F688=""),"",IFERROR(IF(INDEX(RUNS!$L$6:$S$1005,MATCH($D688,RUNS!$A$6:$A$1005,0),MATCH("ACTIVITÉ "&amp;$F688,RUNS!$L$5:$S$5,0))="","",INDEX(RUNS!$L$6:$S$1005,MATCH($D688,RUNS!$A$6:$A$1005,0),MATCH("ACTIVITÉ "&amp;$F688,RUNS!$L$5:$S$5,0))),""))</f>
        <v/>
      </c>
      <c r="L688" s="33">
        <f>IF($D688="","",IFERROR(IF(INDEX(RUNS!$E$6:$E$1005,MATCH($D688,RUNS!$A$6:$A$1005,0))="","",INDEX(RUNS!$E$6:$E$1005,MATCH($D688,RUNS!$A$6:$A$1005,0))),""))</f>
        <v/>
      </c>
      <c r="M688" s="33">
        <f>IF($D688="","",IFERROR(IF(INDEX(RUNS!$F$6:$F$1005,MATCH($D688,RUNS!$A$6:$A$1005,0))="","",INDEX(RUNS!$F$6:$F$1005,MATCH($D688,RUNS!$A$6:$A$1005,0))),""))</f>
        <v/>
      </c>
      <c r="N688" s="33">
        <f>IF($D688="","",IFERROR(IF(INDEX(RUNS!$G$6:$G$1005,MATCH($D688,RUNS!$A$6:$A$1005,0))="","",INDEX(RUNS!$G$6:$G$1005,MATCH($D688,RUNS!$A$6:$A$1005,0))),""))</f>
        <v/>
      </c>
      <c r="O688" s="33">
        <f>IF($D688="","",IFERROR(IF(INDEX(RUNS!$H$6:$H$1005,MATCH($D688,RUNS!$A$6:$A$1005,0))="","",INDEX(RUNS!$H$6:$H$1005,MATCH($D688,RUNS!$A$6:$A$1005,0))),""))</f>
        <v/>
      </c>
      <c r="P688" s="33">
        <f>IF($D688="","",IFERROR(IF(INDEX(RUNS!$J$6:$J$1005,MATCH($D688,RUNS!$A$6:$A$1005,0))="","",INDEX(RUNS!$J$6:$J$1005,MATCH($D688,RUNS!$A$6:$A$1005,0))),""))</f>
        <v/>
      </c>
      <c r="Q688" s="33">
        <f>IF($D688="","",IFERROR(IF(INDEX(RUNS!$K$6:$K$1005,MATCH($D688,RUNS!$A$6:$A$1005,0))="","",INDEX(RUNS!$K$6:$K$1005,MATCH($D688,RUNS!$A$6:$A$1005,0))),""))</f>
        <v/>
      </c>
      <c r="R688" s="34">
        <f>IF(OR($L688="",$K688=""),"",IFERROR(IF(INDEX(PARAMETRES!$H$43:$H$342,MATCH($L688&amp;"|"&amp;$M688&amp;"|"&amp;$N688&amp;"|"&amp;$O688&amp;"|"&amp;$P688&amp;"|"&amp;$Q688&amp;"|"&amp;$K688,PARAMETRES!$J$43:$J$342,0))="","",INDEX(PARAMETRES!$H$43:$H$342,MATCH($L688&amp;"|"&amp;$M688&amp;"|"&amp;$N688&amp;"|"&amp;$O688&amp;"|"&amp;$P688&amp;"|"&amp;$Q688&amp;"|"&amp;$K688,PARAMETRES!$J$43:$J$342,0))),""))</f>
        <v/>
      </c>
      <c r="S688" s="35">
        <f>IF(OR($G688="",$X688&lt;&gt;"VALIDE"),"",IFERROR(LOOKUP(2,1/(($B$3:$B687=$B688)*($G$3:$G687=$G688)*($X$3:$X687="VALIDE")),$C$3:$C687),""))</f>
        <v/>
      </c>
      <c r="T688" s="36">
        <f>IF(OR($C688="",$S688=""),"",ROUND(($C688-$S688+IF($C688&lt;$S688,1,0))*1440,0))</f>
        <v/>
      </c>
      <c r="U688" s="22">
        <f>IF(OR($H688="",$T688="",$T688&lt;=0),"",$H688*60/$T688)</f>
        <v/>
      </c>
      <c r="V688" s="37">
        <f>IF(OR($U688="",$R688="",$R688=0),"",$U688/$R688)</f>
        <v/>
      </c>
      <c r="W688" s="20">
        <f>IF($G688="","",IF($X688="CONTEXTE INCOMPLET","CONTEXTE INCOMPLET",IF($X688="DOUBLON",StatutDoublon,IF($S688="",StatutInitial,IF($R688="",StatutStandardManquant,IF($V688="","DONNEES INSUFFISANTES",IF($V688&gt;=SeuilConforme,StatutConforme,IF($V688&gt;=SeuilSurveiller,StatutSurveiller,StatutSousStandard))))))))</f>
        <v/>
      </c>
      <c r="X688" s="33">
        <f>IF($G688="","",IF(OR($D688="",$E688="",$F688=""),"CONTEXTE INCOMPLET",IF(COUNTIFS($D$3:$D687,$D688,$E$3:$E687,$E688,$F$3:$F687,$F688,$G$3:$G687,$G688)&gt;0,"DOUBLON","VALIDE")))</f>
        <v/>
      </c>
    </row>
    <row r="689" ht="15" customHeight="1">
      <c r="A689" s="12">
        <f>IF(OR($B689="",$G689=""),"",TEXT($B689,"YYYYMMDD")&amp;"-"&amp;SUBSTITUTE($E689," ","")&amp;"-"&amp;$F689&amp;"-"&amp;$G689)</f>
        <v/>
      </c>
      <c r="B689" s="15" t="n"/>
      <c r="C689" s="16" t="n"/>
      <c r="D689" s="10" t="n"/>
      <c r="E689" s="9" t="n"/>
      <c r="F689" s="9" t="n"/>
      <c r="G689" s="13" t="n"/>
      <c r="H689" s="21" t="n"/>
      <c r="I689" s="21" t="n"/>
      <c r="J689" s="17">
        <f>IF($G689="","",IFERROR(INDEX(NomsEmployes,MATCH($G689,MatriculesEmployes,0)),"MATRICULE INCONNU"))</f>
        <v/>
      </c>
      <c r="K689" s="33">
        <f>IF(OR($D689="",$F689=""),"",IFERROR(IF(INDEX(RUNS!$L$6:$S$1005,MATCH($D689,RUNS!$A$6:$A$1005,0),MATCH("ACTIVITÉ "&amp;$F689,RUNS!$L$5:$S$5,0))="","",INDEX(RUNS!$L$6:$S$1005,MATCH($D689,RUNS!$A$6:$A$1005,0),MATCH("ACTIVITÉ "&amp;$F689,RUNS!$L$5:$S$5,0))),""))</f>
        <v/>
      </c>
      <c r="L689" s="33">
        <f>IF($D689="","",IFERROR(IF(INDEX(RUNS!$E$6:$E$1005,MATCH($D689,RUNS!$A$6:$A$1005,0))="","",INDEX(RUNS!$E$6:$E$1005,MATCH($D689,RUNS!$A$6:$A$1005,0))),""))</f>
        <v/>
      </c>
      <c r="M689" s="33">
        <f>IF($D689="","",IFERROR(IF(INDEX(RUNS!$F$6:$F$1005,MATCH($D689,RUNS!$A$6:$A$1005,0))="","",INDEX(RUNS!$F$6:$F$1005,MATCH($D689,RUNS!$A$6:$A$1005,0))),""))</f>
        <v/>
      </c>
      <c r="N689" s="33">
        <f>IF($D689="","",IFERROR(IF(INDEX(RUNS!$G$6:$G$1005,MATCH($D689,RUNS!$A$6:$A$1005,0))="","",INDEX(RUNS!$G$6:$G$1005,MATCH($D689,RUNS!$A$6:$A$1005,0))),""))</f>
        <v/>
      </c>
      <c r="O689" s="33">
        <f>IF($D689="","",IFERROR(IF(INDEX(RUNS!$H$6:$H$1005,MATCH($D689,RUNS!$A$6:$A$1005,0))="","",INDEX(RUNS!$H$6:$H$1005,MATCH($D689,RUNS!$A$6:$A$1005,0))),""))</f>
        <v/>
      </c>
      <c r="P689" s="33">
        <f>IF($D689="","",IFERROR(IF(INDEX(RUNS!$J$6:$J$1005,MATCH($D689,RUNS!$A$6:$A$1005,0))="","",INDEX(RUNS!$J$6:$J$1005,MATCH($D689,RUNS!$A$6:$A$1005,0))),""))</f>
        <v/>
      </c>
      <c r="Q689" s="33">
        <f>IF($D689="","",IFERROR(IF(INDEX(RUNS!$K$6:$K$1005,MATCH($D689,RUNS!$A$6:$A$1005,0))="","",INDEX(RUNS!$K$6:$K$1005,MATCH($D689,RUNS!$A$6:$A$1005,0))),""))</f>
        <v/>
      </c>
      <c r="R689" s="34">
        <f>IF(OR($L689="",$K689=""),"",IFERROR(IF(INDEX(PARAMETRES!$H$43:$H$342,MATCH($L689&amp;"|"&amp;$M689&amp;"|"&amp;$N689&amp;"|"&amp;$O689&amp;"|"&amp;$P689&amp;"|"&amp;$Q689&amp;"|"&amp;$K689,PARAMETRES!$J$43:$J$342,0))="","",INDEX(PARAMETRES!$H$43:$H$342,MATCH($L689&amp;"|"&amp;$M689&amp;"|"&amp;$N689&amp;"|"&amp;$O689&amp;"|"&amp;$P689&amp;"|"&amp;$Q689&amp;"|"&amp;$K689,PARAMETRES!$J$43:$J$342,0))),""))</f>
        <v/>
      </c>
      <c r="S689" s="35">
        <f>IF(OR($G689="",$X689&lt;&gt;"VALIDE"),"",IFERROR(LOOKUP(2,1/(($B$3:$B688=$B689)*($G$3:$G688=$G689)*($X$3:$X688="VALIDE")),$C$3:$C688),""))</f>
        <v/>
      </c>
      <c r="T689" s="36">
        <f>IF(OR($C689="",$S689=""),"",ROUND(($C689-$S689+IF($C689&lt;$S689,1,0))*1440,0))</f>
        <v/>
      </c>
      <c r="U689" s="22">
        <f>IF(OR($H689="",$T689="",$T689&lt;=0),"",$H689*60/$T689)</f>
        <v/>
      </c>
      <c r="V689" s="37">
        <f>IF(OR($U689="",$R689="",$R689=0),"",$U689/$R689)</f>
        <v/>
      </c>
      <c r="W689" s="20">
        <f>IF($G689="","",IF($X689="CONTEXTE INCOMPLET","CONTEXTE INCOMPLET",IF($X689="DOUBLON",StatutDoublon,IF($S689="",StatutInitial,IF($R689="",StatutStandardManquant,IF($V689="","DONNEES INSUFFISANTES",IF($V689&gt;=SeuilConforme,StatutConforme,IF($V689&gt;=SeuilSurveiller,StatutSurveiller,StatutSousStandard))))))))</f>
        <v/>
      </c>
      <c r="X689" s="33">
        <f>IF($G689="","",IF(OR($D689="",$E689="",$F689=""),"CONTEXTE INCOMPLET",IF(COUNTIFS($D$3:$D688,$D689,$E$3:$E688,$E689,$F$3:$F688,$F689,$G$3:$G688,$G689)&gt;0,"DOUBLON","VALIDE")))</f>
        <v/>
      </c>
    </row>
    <row r="690" ht="15" customHeight="1">
      <c r="A690" s="12">
        <f>IF(OR($B690="",$G690=""),"",TEXT($B690,"YYYYMMDD")&amp;"-"&amp;SUBSTITUTE($E690," ","")&amp;"-"&amp;$F690&amp;"-"&amp;$G690)</f>
        <v/>
      </c>
      <c r="B690" s="15" t="n"/>
      <c r="C690" s="16" t="n"/>
      <c r="D690" s="10" t="n"/>
      <c r="E690" s="9" t="n"/>
      <c r="F690" s="9" t="n"/>
      <c r="G690" s="13" t="n"/>
      <c r="H690" s="21" t="n"/>
      <c r="I690" s="21" t="n"/>
      <c r="J690" s="17">
        <f>IF($G690="","",IFERROR(INDEX(NomsEmployes,MATCH($G690,MatriculesEmployes,0)),"MATRICULE INCONNU"))</f>
        <v/>
      </c>
      <c r="K690" s="33">
        <f>IF(OR($D690="",$F690=""),"",IFERROR(IF(INDEX(RUNS!$L$6:$S$1005,MATCH($D690,RUNS!$A$6:$A$1005,0),MATCH("ACTIVITÉ "&amp;$F690,RUNS!$L$5:$S$5,0))="","",INDEX(RUNS!$L$6:$S$1005,MATCH($D690,RUNS!$A$6:$A$1005,0),MATCH("ACTIVITÉ "&amp;$F690,RUNS!$L$5:$S$5,0))),""))</f>
        <v/>
      </c>
      <c r="L690" s="33">
        <f>IF($D690="","",IFERROR(IF(INDEX(RUNS!$E$6:$E$1005,MATCH($D690,RUNS!$A$6:$A$1005,0))="","",INDEX(RUNS!$E$6:$E$1005,MATCH($D690,RUNS!$A$6:$A$1005,0))),""))</f>
        <v/>
      </c>
      <c r="M690" s="33">
        <f>IF($D690="","",IFERROR(IF(INDEX(RUNS!$F$6:$F$1005,MATCH($D690,RUNS!$A$6:$A$1005,0))="","",INDEX(RUNS!$F$6:$F$1005,MATCH($D690,RUNS!$A$6:$A$1005,0))),""))</f>
        <v/>
      </c>
      <c r="N690" s="33">
        <f>IF($D690="","",IFERROR(IF(INDEX(RUNS!$G$6:$G$1005,MATCH($D690,RUNS!$A$6:$A$1005,0))="","",INDEX(RUNS!$G$6:$G$1005,MATCH($D690,RUNS!$A$6:$A$1005,0))),""))</f>
        <v/>
      </c>
      <c r="O690" s="33">
        <f>IF($D690="","",IFERROR(IF(INDEX(RUNS!$H$6:$H$1005,MATCH($D690,RUNS!$A$6:$A$1005,0))="","",INDEX(RUNS!$H$6:$H$1005,MATCH($D690,RUNS!$A$6:$A$1005,0))),""))</f>
        <v/>
      </c>
      <c r="P690" s="33">
        <f>IF($D690="","",IFERROR(IF(INDEX(RUNS!$J$6:$J$1005,MATCH($D690,RUNS!$A$6:$A$1005,0))="","",INDEX(RUNS!$J$6:$J$1005,MATCH($D690,RUNS!$A$6:$A$1005,0))),""))</f>
        <v/>
      </c>
      <c r="Q690" s="33">
        <f>IF($D690="","",IFERROR(IF(INDEX(RUNS!$K$6:$K$1005,MATCH($D690,RUNS!$A$6:$A$1005,0))="","",INDEX(RUNS!$K$6:$K$1005,MATCH($D690,RUNS!$A$6:$A$1005,0))),""))</f>
        <v/>
      </c>
      <c r="R690" s="34">
        <f>IF(OR($L690="",$K690=""),"",IFERROR(IF(INDEX(PARAMETRES!$H$43:$H$342,MATCH($L690&amp;"|"&amp;$M690&amp;"|"&amp;$N690&amp;"|"&amp;$O690&amp;"|"&amp;$P690&amp;"|"&amp;$Q690&amp;"|"&amp;$K690,PARAMETRES!$J$43:$J$342,0))="","",INDEX(PARAMETRES!$H$43:$H$342,MATCH($L690&amp;"|"&amp;$M690&amp;"|"&amp;$N690&amp;"|"&amp;$O690&amp;"|"&amp;$P690&amp;"|"&amp;$Q690&amp;"|"&amp;$K690,PARAMETRES!$J$43:$J$342,0))),""))</f>
        <v/>
      </c>
      <c r="S690" s="35">
        <f>IF(OR($G690="",$X690&lt;&gt;"VALIDE"),"",IFERROR(LOOKUP(2,1/(($B$3:$B689=$B690)*($G$3:$G689=$G690)*($X$3:$X689="VALIDE")),$C$3:$C689),""))</f>
        <v/>
      </c>
      <c r="T690" s="36">
        <f>IF(OR($C690="",$S690=""),"",ROUND(($C690-$S690+IF($C690&lt;$S690,1,0))*1440,0))</f>
        <v/>
      </c>
      <c r="U690" s="22">
        <f>IF(OR($H690="",$T690="",$T690&lt;=0),"",$H690*60/$T690)</f>
        <v/>
      </c>
      <c r="V690" s="37">
        <f>IF(OR($U690="",$R690="",$R690=0),"",$U690/$R690)</f>
        <v/>
      </c>
      <c r="W690" s="20">
        <f>IF($G690="","",IF($X690="CONTEXTE INCOMPLET","CONTEXTE INCOMPLET",IF($X690="DOUBLON",StatutDoublon,IF($S690="",StatutInitial,IF($R690="",StatutStandardManquant,IF($V690="","DONNEES INSUFFISANTES",IF($V690&gt;=SeuilConforme,StatutConforme,IF($V690&gt;=SeuilSurveiller,StatutSurveiller,StatutSousStandard))))))))</f>
        <v/>
      </c>
      <c r="X690" s="33">
        <f>IF($G690="","",IF(OR($D690="",$E690="",$F690=""),"CONTEXTE INCOMPLET",IF(COUNTIFS($D$3:$D689,$D690,$E$3:$E689,$E690,$F$3:$F689,$F690,$G$3:$G689,$G690)&gt;0,"DOUBLON","VALIDE")))</f>
        <v/>
      </c>
    </row>
    <row r="691" ht="15" customHeight="1">
      <c r="A691" s="12">
        <f>IF(OR($B691="",$G691=""),"",TEXT($B691,"YYYYMMDD")&amp;"-"&amp;SUBSTITUTE($E691," ","")&amp;"-"&amp;$F691&amp;"-"&amp;$G691)</f>
        <v/>
      </c>
      <c r="B691" s="15" t="n"/>
      <c r="C691" s="16" t="n"/>
      <c r="D691" s="10" t="n"/>
      <c r="E691" s="9" t="n"/>
      <c r="F691" s="9" t="n"/>
      <c r="G691" s="13" t="n"/>
      <c r="H691" s="21" t="n"/>
      <c r="I691" s="21" t="n"/>
      <c r="J691" s="17">
        <f>IF($G691="","",IFERROR(INDEX(NomsEmployes,MATCH($G691,MatriculesEmployes,0)),"MATRICULE INCONNU"))</f>
        <v/>
      </c>
      <c r="K691" s="33">
        <f>IF(OR($D691="",$F691=""),"",IFERROR(IF(INDEX(RUNS!$L$6:$S$1005,MATCH($D691,RUNS!$A$6:$A$1005,0),MATCH("ACTIVITÉ "&amp;$F691,RUNS!$L$5:$S$5,0))="","",INDEX(RUNS!$L$6:$S$1005,MATCH($D691,RUNS!$A$6:$A$1005,0),MATCH("ACTIVITÉ "&amp;$F691,RUNS!$L$5:$S$5,0))),""))</f>
        <v/>
      </c>
      <c r="L691" s="33">
        <f>IF($D691="","",IFERROR(IF(INDEX(RUNS!$E$6:$E$1005,MATCH($D691,RUNS!$A$6:$A$1005,0))="","",INDEX(RUNS!$E$6:$E$1005,MATCH($D691,RUNS!$A$6:$A$1005,0))),""))</f>
        <v/>
      </c>
      <c r="M691" s="33">
        <f>IF($D691="","",IFERROR(IF(INDEX(RUNS!$F$6:$F$1005,MATCH($D691,RUNS!$A$6:$A$1005,0))="","",INDEX(RUNS!$F$6:$F$1005,MATCH($D691,RUNS!$A$6:$A$1005,0))),""))</f>
        <v/>
      </c>
      <c r="N691" s="33">
        <f>IF($D691="","",IFERROR(IF(INDEX(RUNS!$G$6:$G$1005,MATCH($D691,RUNS!$A$6:$A$1005,0))="","",INDEX(RUNS!$G$6:$G$1005,MATCH($D691,RUNS!$A$6:$A$1005,0))),""))</f>
        <v/>
      </c>
      <c r="O691" s="33">
        <f>IF($D691="","",IFERROR(IF(INDEX(RUNS!$H$6:$H$1005,MATCH($D691,RUNS!$A$6:$A$1005,0))="","",INDEX(RUNS!$H$6:$H$1005,MATCH($D691,RUNS!$A$6:$A$1005,0))),""))</f>
        <v/>
      </c>
      <c r="P691" s="33">
        <f>IF($D691="","",IFERROR(IF(INDEX(RUNS!$J$6:$J$1005,MATCH($D691,RUNS!$A$6:$A$1005,0))="","",INDEX(RUNS!$J$6:$J$1005,MATCH($D691,RUNS!$A$6:$A$1005,0))),""))</f>
        <v/>
      </c>
      <c r="Q691" s="33">
        <f>IF($D691="","",IFERROR(IF(INDEX(RUNS!$K$6:$K$1005,MATCH($D691,RUNS!$A$6:$A$1005,0))="","",INDEX(RUNS!$K$6:$K$1005,MATCH($D691,RUNS!$A$6:$A$1005,0))),""))</f>
        <v/>
      </c>
      <c r="R691" s="34">
        <f>IF(OR($L691="",$K691=""),"",IFERROR(IF(INDEX(PARAMETRES!$H$43:$H$342,MATCH($L691&amp;"|"&amp;$M691&amp;"|"&amp;$N691&amp;"|"&amp;$O691&amp;"|"&amp;$P691&amp;"|"&amp;$Q691&amp;"|"&amp;$K691,PARAMETRES!$J$43:$J$342,0))="","",INDEX(PARAMETRES!$H$43:$H$342,MATCH($L691&amp;"|"&amp;$M691&amp;"|"&amp;$N691&amp;"|"&amp;$O691&amp;"|"&amp;$P691&amp;"|"&amp;$Q691&amp;"|"&amp;$K691,PARAMETRES!$J$43:$J$342,0))),""))</f>
        <v/>
      </c>
      <c r="S691" s="35">
        <f>IF(OR($G691="",$X691&lt;&gt;"VALIDE"),"",IFERROR(LOOKUP(2,1/(($B$3:$B690=$B691)*($G$3:$G690=$G691)*($X$3:$X690="VALIDE")),$C$3:$C690),""))</f>
        <v/>
      </c>
      <c r="T691" s="36">
        <f>IF(OR($C691="",$S691=""),"",ROUND(($C691-$S691+IF($C691&lt;$S691,1,0))*1440,0))</f>
        <v/>
      </c>
      <c r="U691" s="22">
        <f>IF(OR($H691="",$T691="",$T691&lt;=0),"",$H691*60/$T691)</f>
        <v/>
      </c>
      <c r="V691" s="37">
        <f>IF(OR($U691="",$R691="",$R691=0),"",$U691/$R691)</f>
        <v/>
      </c>
      <c r="W691" s="20">
        <f>IF($G691="","",IF($X691="CONTEXTE INCOMPLET","CONTEXTE INCOMPLET",IF($X691="DOUBLON",StatutDoublon,IF($S691="",StatutInitial,IF($R691="",StatutStandardManquant,IF($V691="","DONNEES INSUFFISANTES",IF($V691&gt;=SeuilConforme,StatutConforme,IF($V691&gt;=SeuilSurveiller,StatutSurveiller,StatutSousStandard))))))))</f>
        <v/>
      </c>
      <c r="X691" s="33">
        <f>IF($G691="","",IF(OR($D691="",$E691="",$F691=""),"CONTEXTE INCOMPLET",IF(COUNTIFS($D$3:$D690,$D691,$E$3:$E690,$E691,$F$3:$F690,$F691,$G$3:$G690,$G691)&gt;0,"DOUBLON","VALIDE")))</f>
        <v/>
      </c>
    </row>
    <row r="692" ht="15" customHeight="1">
      <c r="A692" s="12">
        <f>IF(OR($B692="",$G692=""),"",TEXT($B692,"YYYYMMDD")&amp;"-"&amp;SUBSTITUTE($E692," ","")&amp;"-"&amp;$F692&amp;"-"&amp;$G692)</f>
        <v/>
      </c>
      <c r="B692" s="15" t="n"/>
      <c r="C692" s="16" t="n"/>
      <c r="D692" s="10" t="n"/>
      <c r="E692" s="9" t="n"/>
      <c r="F692" s="9" t="n"/>
      <c r="G692" s="13" t="n"/>
      <c r="H692" s="21" t="n"/>
      <c r="I692" s="21" t="n"/>
      <c r="J692" s="17">
        <f>IF($G692="","",IFERROR(INDEX(NomsEmployes,MATCH($G692,MatriculesEmployes,0)),"MATRICULE INCONNU"))</f>
        <v/>
      </c>
      <c r="K692" s="33">
        <f>IF(OR($D692="",$F692=""),"",IFERROR(IF(INDEX(RUNS!$L$6:$S$1005,MATCH($D692,RUNS!$A$6:$A$1005,0),MATCH("ACTIVITÉ "&amp;$F692,RUNS!$L$5:$S$5,0))="","",INDEX(RUNS!$L$6:$S$1005,MATCH($D692,RUNS!$A$6:$A$1005,0),MATCH("ACTIVITÉ "&amp;$F692,RUNS!$L$5:$S$5,0))),""))</f>
        <v/>
      </c>
      <c r="L692" s="33">
        <f>IF($D692="","",IFERROR(IF(INDEX(RUNS!$E$6:$E$1005,MATCH($D692,RUNS!$A$6:$A$1005,0))="","",INDEX(RUNS!$E$6:$E$1005,MATCH($D692,RUNS!$A$6:$A$1005,0))),""))</f>
        <v/>
      </c>
      <c r="M692" s="33">
        <f>IF($D692="","",IFERROR(IF(INDEX(RUNS!$F$6:$F$1005,MATCH($D692,RUNS!$A$6:$A$1005,0))="","",INDEX(RUNS!$F$6:$F$1005,MATCH($D692,RUNS!$A$6:$A$1005,0))),""))</f>
        <v/>
      </c>
      <c r="N692" s="33">
        <f>IF($D692="","",IFERROR(IF(INDEX(RUNS!$G$6:$G$1005,MATCH($D692,RUNS!$A$6:$A$1005,0))="","",INDEX(RUNS!$G$6:$G$1005,MATCH($D692,RUNS!$A$6:$A$1005,0))),""))</f>
        <v/>
      </c>
      <c r="O692" s="33">
        <f>IF($D692="","",IFERROR(IF(INDEX(RUNS!$H$6:$H$1005,MATCH($D692,RUNS!$A$6:$A$1005,0))="","",INDEX(RUNS!$H$6:$H$1005,MATCH($D692,RUNS!$A$6:$A$1005,0))),""))</f>
        <v/>
      </c>
      <c r="P692" s="33">
        <f>IF($D692="","",IFERROR(IF(INDEX(RUNS!$J$6:$J$1005,MATCH($D692,RUNS!$A$6:$A$1005,0))="","",INDEX(RUNS!$J$6:$J$1005,MATCH($D692,RUNS!$A$6:$A$1005,0))),""))</f>
        <v/>
      </c>
      <c r="Q692" s="33">
        <f>IF($D692="","",IFERROR(IF(INDEX(RUNS!$K$6:$K$1005,MATCH($D692,RUNS!$A$6:$A$1005,0))="","",INDEX(RUNS!$K$6:$K$1005,MATCH($D692,RUNS!$A$6:$A$1005,0))),""))</f>
        <v/>
      </c>
      <c r="R692" s="34">
        <f>IF(OR($L692="",$K692=""),"",IFERROR(IF(INDEX(PARAMETRES!$H$43:$H$342,MATCH($L692&amp;"|"&amp;$M692&amp;"|"&amp;$N692&amp;"|"&amp;$O692&amp;"|"&amp;$P692&amp;"|"&amp;$Q692&amp;"|"&amp;$K692,PARAMETRES!$J$43:$J$342,0))="","",INDEX(PARAMETRES!$H$43:$H$342,MATCH($L692&amp;"|"&amp;$M692&amp;"|"&amp;$N692&amp;"|"&amp;$O692&amp;"|"&amp;$P692&amp;"|"&amp;$Q692&amp;"|"&amp;$K692,PARAMETRES!$J$43:$J$342,0))),""))</f>
        <v/>
      </c>
      <c r="S692" s="35">
        <f>IF(OR($G692="",$X692&lt;&gt;"VALIDE"),"",IFERROR(LOOKUP(2,1/(($B$3:$B691=$B692)*($G$3:$G691=$G692)*($X$3:$X691="VALIDE")),$C$3:$C691),""))</f>
        <v/>
      </c>
      <c r="T692" s="36">
        <f>IF(OR($C692="",$S692=""),"",ROUND(($C692-$S692+IF($C692&lt;$S692,1,0))*1440,0))</f>
        <v/>
      </c>
      <c r="U692" s="22">
        <f>IF(OR($H692="",$T692="",$T692&lt;=0),"",$H692*60/$T692)</f>
        <v/>
      </c>
      <c r="V692" s="37">
        <f>IF(OR($U692="",$R692="",$R692=0),"",$U692/$R692)</f>
        <v/>
      </c>
      <c r="W692" s="20">
        <f>IF($G692="","",IF($X692="CONTEXTE INCOMPLET","CONTEXTE INCOMPLET",IF($X692="DOUBLON",StatutDoublon,IF($S692="",StatutInitial,IF($R692="",StatutStandardManquant,IF($V692="","DONNEES INSUFFISANTES",IF($V692&gt;=SeuilConforme,StatutConforme,IF($V692&gt;=SeuilSurveiller,StatutSurveiller,StatutSousStandard))))))))</f>
        <v/>
      </c>
      <c r="X692" s="33">
        <f>IF($G692="","",IF(OR($D692="",$E692="",$F692=""),"CONTEXTE INCOMPLET",IF(COUNTIFS($D$3:$D691,$D692,$E$3:$E691,$E692,$F$3:$F691,$F692,$G$3:$G691,$G692)&gt;0,"DOUBLON","VALIDE")))</f>
        <v/>
      </c>
    </row>
    <row r="693" ht="15" customHeight="1">
      <c r="A693" s="12">
        <f>IF(OR($B693="",$G693=""),"",TEXT($B693,"YYYYMMDD")&amp;"-"&amp;SUBSTITUTE($E693," ","")&amp;"-"&amp;$F693&amp;"-"&amp;$G693)</f>
        <v/>
      </c>
      <c r="B693" s="15" t="n"/>
      <c r="C693" s="16" t="n"/>
      <c r="D693" s="10" t="n"/>
      <c r="E693" s="9" t="n"/>
      <c r="F693" s="9" t="n"/>
      <c r="G693" s="13" t="n"/>
      <c r="H693" s="21" t="n"/>
      <c r="I693" s="21" t="n"/>
      <c r="J693" s="17">
        <f>IF($G693="","",IFERROR(INDEX(NomsEmployes,MATCH($G693,MatriculesEmployes,0)),"MATRICULE INCONNU"))</f>
        <v/>
      </c>
      <c r="K693" s="33">
        <f>IF(OR($D693="",$F693=""),"",IFERROR(IF(INDEX(RUNS!$L$6:$S$1005,MATCH($D693,RUNS!$A$6:$A$1005,0),MATCH("ACTIVITÉ "&amp;$F693,RUNS!$L$5:$S$5,0))="","",INDEX(RUNS!$L$6:$S$1005,MATCH($D693,RUNS!$A$6:$A$1005,0),MATCH("ACTIVITÉ "&amp;$F693,RUNS!$L$5:$S$5,0))),""))</f>
        <v/>
      </c>
      <c r="L693" s="33">
        <f>IF($D693="","",IFERROR(IF(INDEX(RUNS!$E$6:$E$1005,MATCH($D693,RUNS!$A$6:$A$1005,0))="","",INDEX(RUNS!$E$6:$E$1005,MATCH($D693,RUNS!$A$6:$A$1005,0))),""))</f>
        <v/>
      </c>
      <c r="M693" s="33">
        <f>IF($D693="","",IFERROR(IF(INDEX(RUNS!$F$6:$F$1005,MATCH($D693,RUNS!$A$6:$A$1005,0))="","",INDEX(RUNS!$F$6:$F$1005,MATCH($D693,RUNS!$A$6:$A$1005,0))),""))</f>
        <v/>
      </c>
      <c r="N693" s="33">
        <f>IF($D693="","",IFERROR(IF(INDEX(RUNS!$G$6:$G$1005,MATCH($D693,RUNS!$A$6:$A$1005,0))="","",INDEX(RUNS!$G$6:$G$1005,MATCH($D693,RUNS!$A$6:$A$1005,0))),""))</f>
        <v/>
      </c>
      <c r="O693" s="33">
        <f>IF($D693="","",IFERROR(IF(INDEX(RUNS!$H$6:$H$1005,MATCH($D693,RUNS!$A$6:$A$1005,0))="","",INDEX(RUNS!$H$6:$H$1005,MATCH($D693,RUNS!$A$6:$A$1005,0))),""))</f>
        <v/>
      </c>
      <c r="P693" s="33">
        <f>IF($D693="","",IFERROR(IF(INDEX(RUNS!$J$6:$J$1005,MATCH($D693,RUNS!$A$6:$A$1005,0))="","",INDEX(RUNS!$J$6:$J$1005,MATCH($D693,RUNS!$A$6:$A$1005,0))),""))</f>
        <v/>
      </c>
      <c r="Q693" s="33">
        <f>IF($D693="","",IFERROR(IF(INDEX(RUNS!$K$6:$K$1005,MATCH($D693,RUNS!$A$6:$A$1005,0))="","",INDEX(RUNS!$K$6:$K$1005,MATCH($D693,RUNS!$A$6:$A$1005,0))),""))</f>
        <v/>
      </c>
      <c r="R693" s="34">
        <f>IF(OR($L693="",$K693=""),"",IFERROR(IF(INDEX(PARAMETRES!$H$43:$H$342,MATCH($L693&amp;"|"&amp;$M693&amp;"|"&amp;$N693&amp;"|"&amp;$O693&amp;"|"&amp;$P693&amp;"|"&amp;$Q693&amp;"|"&amp;$K693,PARAMETRES!$J$43:$J$342,0))="","",INDEX(PARAMETRES!$H$43:$H$342,MATCH($L693&amp;"|"&amp;$M693&amp;"|"&amp;$N693&amp;"|"&amp;$O693&amp;"|"&amp;$P693&amp;"|"&amp;$Q693&amp;"|"&amp;$K693,PARAMETRES!$J$43:$J$342,0))),""))</f>
        <v/>
      </c>
      <c r="S693" s="35">
        <f>IF(OR($G693="",$X693&lt;&gt;"VALIDE"),"",IFERROR(LOOKUP(2,1/(($B$3:$B692=$B693)*($G$3:$G692=$G693)*($X$3:$X692="VALIDE")),$C$3:$C692),""))</f>
        <v/>
      </c>
      <c r="T693" s="36">
        <f>IF(OR($C693="",$S693=""),"",ROUND(($C693-$S693+IF($C693&lt;$S693,1,0))*1440,0))</f>
        <v/>
      </c>
      <c r="U693" s="22">
        <f>IF(OR($H693="",$T693="",$T693&lt;=0),"",$H693*60/$T693)</f>
        <v/>
      </c>
      <c r="V693" s="37">
        <f>IF(OR($U693="",$R693="",$R693=0),"",$U693/$R693)</f>
        <v/>
      </c>
      <c r="W693" s="20">
        <f>IF($G693="","",IF($X693="CONTEXTE INCOMPLET","CONTEXTE INCOMPLET",IF($X693="DOUBLON",StatutDoublon,IF($S693="",StatutInitial,IF($R693="",StatutStandardManquant,IF($V693="","DONNEES INSUFFISANTES",IF($V693&gt;=SeuilConforme,StatutConforme,IF($V693&gt;=SeuilSurveiller,StatutSurveiller,StatutSousStandard))))))))</f>
        <v/>
      </c>
      <c r="X693" s="33">
        <f>IF($G693="","",IF(OR($D693="",$E693="",$F693=""),"CONTEXTE INCOMPLET",IF(COUNTIFS($D$3:$D692,$D693,$E$3:$E692,$E693,$F$3:$F692,$F693,$G$3:$G692,$G693)&gt;0,"DOUBLON","VALIDE")))</f>
        <v/>
      </c>
    </row>
    <row r="694" ht="15" customHeight="1">
      <c r="A694" s="12">
        <f>IF(OR($B694="",$G694=""),"",TEXT($B694,"YYYYMMDD")&amp;"-"&amp;SUBSTITUTE($E694," ","")&amp;"-"&amp;$F694&amp;"-"&amp;$G694)</f>
        <v/>
      </c>
      <c r="B694" s="15" t="n"/>
      <c r="C694" s="16" t="n"/>
      <c r="D694" s="10" t="n"/>
      <c r="E694" s="9" t="n"/>
      <c r="F694" s="9" t="n"/>
      <c r="G694" s="13" t="n"/>
      <c r="H694" s="21" t="n"/>
      <c r="I694" s="21" t="n"/>
      <c r="J694" s="17">
        <f>IF($G694="","",IFERROR(INDEX(NomsEmployes,MATCH($G694,MatriculesEmployes,0)),"MATRICULE INCONNU"))</f>
        <v/>
      </c>
      <c r="K694" s="33">
        <f>IF(OR($D694="",$F694=""),"",IFERROR(IF(INDEX(RUNS!$L$6:$S$1005,MATCH($D694,RUNS!$A$6:$A$1005,0),MATCH("ACTIVITÉ "&amp;$F694,RUNS!$L$5:$S$5,0))="","",INDEX(RUNS!$L$6:$S$1005,MATCH($D694,RUNS!$A$6:$A$1005,0),MATCH("ACTIVITÉ "&amp;$F694,RUNS!$L$5:$S$5,0))),""))</f>
        <v/>
      </c>
      <c r="L694" s="33">
        <f>IF($D694="","",IFERROR(IF(INDEX(RUNS!$E$6:$E$1005,MATCH($D694,RUNS!$A$6:$A$1005,0))="","",INDEX(RUNS!$E$6:$E$1005,MATCH($D694,RUNS!$A$6:$A$1005,0))),""))</f>
        <v/>
      </c>
      <c r="M694" s="33">
        <f>IF($D694="","",IFERROR(IF(INDEX(RUNS!$F$6:$F$1005,MATCH($D694,RUNS!$A$6:$A$1005,0))="","",INDEX(RUNS!$F$6:$F$1005,MATCH($D694,RUNS!$A$6:$A$1005,0))),""))</f>
        <v/>
      </c>
      <c r="N694" s="33">
        <f>IF($D694="","",IFERROR(IF(INDEX(RUNS!$G$6:$G$1005,MATCH($D694,RUNS!$A$6:$A$1005,0))="","",INDEX(RUNS!$G$6:$G$1005,MATCH($D694,RUNS!$A$6:$A$1005,0))),""))</f>
        <v/>
      </c>
      <c r="O694" s="33">
        <f>IF($D694="","",IFERROR(IF(INDEX(RUNS!$H$6:$H$1005,MATCH($D694,RUNS!$A$6:$A$1005,0))="","",INDEX(RUNS!$H$6:$H$1005,MATCH($D694,RUNS!$A$6:$A$1005,0))),""))</f>
        <v/>
      </c>
      <c r="P694" s="33">
        <f>IF($D694="","",IFERROR(IF(INDEX(RUNS!$J$6:$J$1005,MATCH($D694,RUNS!$A$6:$A$1005,0))="","",INDEX(RUNS!$J$6:$J$1005,MATCH($D694,RUNS!$A$6:$A$1005,0))),""))</f>
        <v/>
      </c>
      <c r="Q694" s="33">
        <f>IF($D694="","",IFERROR(IF(INDEX(RUNS!$K$6:$K$1005,MATCH($D694,RUNS!$A$6:$A$1005,0))="","",INDEX(RUNS!$K$6:$K$1005,MATCH($D694,RUNS!$A$6:$A$1005,0))),""))</f>
        <v/>
      </c>
      <c r="R694" s="34">
        <f>IF(OR($L694="",$K694=""),"",IFERROR(IF(INDEX(PARAMETRES!$H$43:$H$342,MATCH($L694&amp;"|"&amp;$M694&amp;"|"&amp;$N694&amp;"|"&amp;$O694&amp;"|"&amp;$P694&amp;"|"&amp;$Q694&amp;"|"&amp;$K694,PARAMETRES!$J$43:$J$342,0))="","",INDEX(PARAMETRES!$H$43:$H$342,MATCH($L694&amp;"|"&amp;$M694&amp;"|"&amp;$N694&amp;"|"&amp;$O694&amp;"|"&amp;$P694&amp;"|"&amp;$Q694&amp;"|"&amp;$K694,PARAMETRES!$J$43:$J$342,0))),""))</f>
        <v/>
      </c>
      <c r="S694" s="35">
        <f>IF(OR($G694="",$X694&lt;&gt;"VALIDE"),"",IFERROR(LOOKUP(2,1/(($B$3:$B693=$B694)*($G$3:$G693=$G694)*($X$3:$X693="VALIDE")),$C$3:$C693),""))</f>
        <v/>
      </c>
      <c r="T694" s="36">
        <f>IF(OR($C694="",$S694=""),"",ROUND(($C694-$S694+IF($C694&lt;$S694,1,0))*1440,0))</f>
        <v/>
      </c>
      <c r="U694" s="22">
        <f>IF(OR($H694="",$T694="",$T694&lt;=0),"",$H694*60/$T694)</f>
        <v/>
      </c>
      <c r="V694" s="37">
        <f>IF(OR($U694="",$R694="",$R694=0),"",$U694/$R694)</f>
        <v/>
      </c>
      <c r="W694" s="20">
        <f>IF($G694="","",IF($X694="CONTEXTE INCOMPLET","CONTEXTE INCOMPLET",IF($X694="DOUBLON",StatutDoublon,IF($S694="",StatutInitial,IF($R694="",StatutStandardManquant,IF($V694="","DONNEES INSUFFISANTES",IF($V694&gt;=SeuilConforme,StatutConforme,IF($V694&gt;=SeuilSurveiller,StatutSurveiller,StatutSousStandard))))))))</f>
        <v/>
      </c>
      <c r="X694" s="33">
        <f>IF($G694="","",IF(OR($D694="",$E694="",$F694=""),"CONTEXTE INCOMPLET",IF(COUNTIFS($D$3:$D693,$D694,$E$3:$E693,$E694,$F$3:$F693,$F694,$G$3:$G693,$G694)&gt;0,"DOUBLON","VALIDE")))</f>
        <v/>
      </c>
    </row>
    <row r="695" ht="15" customHeight="1">
      <c r="A695" s="12">
        <f>IF(OR($B695="",$G695=""),"",TEXT($B695,"YYYYMMDD")&amp;"-"&amp;SUBSTITUTE($E695," ","")&amp;"-"&amp;$F695&amp;"-"&amp;$G695)</f>
        <v/>
      </c>
      <c r="B695" s="15" t="n"/>
      <c r="C695" s="16" t="n"/>
      <c r="D695" s="10" t="n"/>
      <c r="E695" s="9" t="n"/>
      <c r="F695" s="9" t="n"/>
      <c r="G695" s="13" t="n"/>
      <c r="H695" s="21" t="n"/>
      <c r="I695" s="21" t="n"/>
      <c r="J695" s="17">
        <f>IF($G695="","",IFERROR(INDEX(NomsEmployes,MATCH($G695,MatriculesEmployes,0)),"MATRICULE INCONNU"))</f>
        <v/>
      </c>
      <c r="K695" s="33">
        <f>IF(OR($D695="",$F695=""),"",IFERROR(IF(INDEX(RUNS!$L$6:$S$1005,MATCH($D695,RUNS!$A$6:$A$1005,0),MATCH("ACTIVITÉ "&amp;$F695,RUNS!$L$5:$S$5,0))="","",INDEX(RUNS!$L$6:$S$1005,MATCH($D695,RUNS!$A$6:$A$1005,0),MATCH("ACTIVITÉ "&amp;$F695,RUNS!$L$5:$S$5,0))),""))</f>
        <v/>
      </c>
      <c r="L695" s="33">
        <f>IF($D695="","",IFERROR(IF(INDEX(RUNS!$E$6:$E$1005,MATCH($D695,RUNS!$A$6:$A$1005,0))="","",INDEX(RUNS!$E$6:$E$1005,MATCH($D695,RUNS!$A$6:$A$1005,0))),""))</f>
        <v/>
      </c>
      <c r="M695" s="33">
        <f>IF($D695="","",IFERROR(IF(INDEX(RUNS!$F$6:$F$1005,MATCH($D695,RUNS!$A$6:$A$1005,0))="","",INDEX(RUNS!$F$6:$F$1005,MATCH($D695,RUNS!$A$6:$A$1005,0))),""))</f>
        <v/>
      </c>
      <c r="N695" s="33">
        <f>IF($D695="","",IFERROR(IF(INDEX(RUNS!$G$6:$G$1005,MATCH($D695,RUNS!$A$6:$A$1005,0))="","",INDEX(RUNS!$G$6:$G$1005,MATCH($D695,RUNS!$A$6:$A$1005,0))),""))</f>
        <v/>
      </c>
      <c r="O695" s="33">
        <f>IF($D695="","",IFERROR(IF(INDEX(RUNS!$H$6:$H$1005,MATCH($D695,RUNS!$A$6:$A$1005,0))="","",INDEX(RUNS!$H$6:$H$1005,MATCH($D695,RUNS!$A$6:$A$1005,0))),""))</f>
        <v/>
      </c>
      <c r="P695" s="33">
        <f>IF($D695="","",IFERROR(IF(INDEX(RUNS!$J$6:$J$1005,MATCH($D695,RUNS!$A$6:$A$1005,0))="","",INDEX(RUNS!$J$6:$J$1005,MATCH($D695,RUNS!$A$6:$A$1005,0))),""))</f>
        <v/>
      </c>
      <c r="Q695" s="33">
        <f>IF($D695="","",IFERROR(IF(INDEX(RUNS!$K$6:$K$1005,MATCH($D695,RUNS!$A$6:$A$1005,0))="","",INDEX(RUNS!$K$6:$K$1005,MATCH($D695,RUNS!$A$6:$A$1005,0))),""))</f>
        <v/>
      </c>
      <c r="R695" s="34">
        <f>IF(OR($L695="",$K695=""),"",IFERROR(IF(INDEX(PARAMETRES!$H$43:$H$342,MATCH($L695&amp;"|"&amp;$M695&amp;"|"&amp;$N695&amp;"|"&amp;$O695&amp;"|"&amp;$P695&amp;"|"&amp;$Q695&amp;"|"&amp;$K695,PARAMETRES!$J$43:$J$342,0))="","",INDEX(PARAMETRES!$H$43:$H$342,MATCH($L695&amp;"|"&amp;$M695&amp;"|"&amp;$N695&amp;"|"&amp;$O695&amp;"|"&amp;$P695&amp;"|"&amp;$Q695&amp;"|"&amp;$K695,PARAMETRES!$J$43:$J$342,0))),""))</f>
        <v/>
      </c>
      <c r="S695" s="35">
        <f>IF(OR($G695="",$X695&lt;&gt;"VALIDE"),"",IFERROR(LOOKUP(2,1/(($B$3:$B694=$B695)*($G$3:$G694=$G695)*($X$3:$X694="VALIDE")),$C$3:$C694),""))</f>
        <v/>
      </c>
      <c r="T695" s="36">
        <f>IF(OR($C695="",$S695=""),"",ROUND(($C695-$S695+IF($C695&lt;$S695,1,0))*1440,0))</f>
        <v/>
      </c>
      <c r="U695" s="22">
        <f>IF(OR($H695="",$T695="",$T695&lt;=0),"",$H695*60/$T695)</f>
        <v/>
      </c>
      <c r="V695" s="37">
        <f>IF(OR($U695="",$R695="",$R695=0),"",$U695/$R695)</f>
        <v/>
      </c>
      <c r="W695" s="20">
        <f>IF($G695="","",IF($X695="CONTEXTE INCOMPLET","CONTEXTE INCOMPLET",IF($X695="DOUBLON",StatutDoublon,IF($S695="",StatutInitial,IF($R695="",StatutStandardManquant,IF($V695="","DONNEES INSUFFISANTES",IF($V695&gt;=SeuilConforme,StatutConforme,IF($V695&gt;=SeuilSurveiller,StatutSurveiller,StatutSousStandard))))))))</f>
        <v/>
      </c>
      <c r="X695" s="33">
        <f>IF($G695="","",IF(OR($D695="",$E695="",$F695=""),"CONTEXTE INCOMPLET",IF(COUNTIFS($D$3:$D694,$D695,$E$3:$E694,$E695,$F$3:$F694,$F695,$G$3:$G694,$G695)&gt;0,"DOUBLON","VALIDE")))</f>
        <v/>
      </c>
    </row>
    <row r="696" ht="15" customHeight="1">
      <c r="A696" s="12">
        <f>IF(OR($B696="",$G696=""),"",TEXT($B696,"YYYYMMDD")&amp;"-"&amp;SUBSTITUTE($E696," ","")&amp;"-"&amp;$F696&amp;"-"&amp;$G696)</f>
        <v/>
      </c>
      <c r="B696" s="15" t="n"/>
      <c r="C696" s="16" t="n"/>
      <c r="D696" s="10" t="n"/>
      <c r="E696" s="9" t="n"/>
      <c r="F696" s="9" t="n"/>
      <c r="G696" s="13" t="n"/>
      <c r="H696" s="21" t="n"/>
      <c r="I696" s="21" t="n"/>
      <c r="J696" s="17">
        <f>IF($G696="","",IFERROR(INDEX(NomsEmployes,MATCH($G696,MatriculesEmployes,0)),"MATRICULE INCONNU"))</f>
        <v/>
      </c>
      <c r="K696" s="33">
        <f>IF(OR($D696="",$F696=""),"",IFERROR(IF(INDEX(RUNS!$L$6:$S$1005,MATCH($D696,RUNS!$A$6:$A$1005,0),MATCH("ACTIVITÉ "&amp;$F696,RUNS!$L$5:$S$5,0))="","",INDEX(RUNS!$L$6:$S$1005,MATCH($D696,RUNS!$A$6:$A$1005,0),MATCH("ACTIVITÉ "&amp;$F696,RUNS!$L$5:$S$5,0))),""))</f>
        <v/>
      </c>
      <c r="L696" s="33">
        <f>IF($D696="","",IFERROR(IF(INDEX(RUNS!$E$6:$E$1005,MATCH($D696,RUNS!$A$6:$A$1005,0))="","",INDEX(RUNS!$E$6:$E$1005,MATCH($D696,RUNS!$A$6:$A$1005,0))),""))</f>
        <v/>
      </c>
      <c r="M696" s="33">
        <f>IF($D696="","",IFERROR(IF(INDEX(RUNS!$F$6:$F$1005,MATCH($D696,RUNS!$A$6:$A$1005,0))="","",INDEX(RUNS!$F$6:$F$1005,MATCH($D696,RUNS!$A$6:$A$1005,0))),""))</f>
        <v/>
      </c>
      <c r="N696" s="33">
        <f>IF($D696="","",IFERROR(IF(INDEX(RUNS!$G$6:$G$1005,MATCH($D696,RUNS!$A$6:$A$1005,0))="","",INDEX(RUNS!$G$6:$G$1005,MATCH($D696,RUNS!$A$6:$A$1005,0))),""))</f>
        <v/>
      </c>
      <c r="O696" s="33">
        <f>IF($D696="","",IFERROR(IF(INDEX(RUNS!$H$6:$H$1005,MATCH($D696,RUNS!$A$6:$A$1005,0))="","",INDEX(RUNS!$H$6:$H$1005,MATCH($D696,RUNS!$A$6:$A$1005,0))),""))</f>
        <v/>
      </c>
      <c r="P696" s="33">
        <f>IF($D696="","",IFERROR(IF(INDEX(RUNS!$J$6:$J$1005,MATCH($D696,RUNS!$A$6:$A$1005,0))="","",INDEX(RUNS!$J$6:$J$1005,MATCH($D696,RUNS!$A$6:$A$1005,0))),""))</f>
        <v/>
      </c>
      <c r="Q696" s="33">
        <f>IF($D696="","",IFERROR(IF(INDEX(RUNS!$K$6:$K$1005,MATCH($D696,RUNS!$A$6:$A$1005,0))="","",INDEX(RUNS!$K$6:$K$1005,MATCH($D696,RUNS!$A$6:$A$1005,0))),""))</f>
        <v/>
      </c>
      <c r="R696" s="34">
        <f>IF(OR($L696="",$K696=""),"",IFERROR(IF(INDEX(PARAMETRES!$H$43:$H$342,MATCH($L696&amp;"|"&amp;$M696&amp;"|"&amp;$N696&amp;"|"&amp;$O696&amp;"|"&amp;$P696&amp;"|"&amp;$Q696&amp;"|"&amp;$K696,PARAMETRES!$J$43:$J$342,0))="","",INDEX(PARAMETRES!$H$43:$H$342,MATCH($L696&amp;"|"&amp;$M696&amp;"|"&amp;$N696&amp;"|"&amp;$O696&amp;"|"&amp;$P696&amp;"|"&amp;$Q696&amp;"|"&amp;$K696,PARAMETRES!$J$43:$J$342,0))),""))</f>
        <v/>
      </c>
      <c r="S696" s="35">
        <f>IF(OR($G696="",$X696&lt;&gt;"VALIDE"),"",IFERROR(LOOKUP(2,1/(($B$3:$B695=$B696)*($G$3:$G695=$G696)*($X$3:$X695="VALIDE")),$C$3:$C695),""))</f>
        <v/>
      </c>
      <c r="T696" s="36">
        <f>IF(OR($C696="",$S696=""),"",ROUND(($C696-$S696+IF($C696&lt;$S696,1,0))*1440,0))</f>
        <v/>
      </c>
      <c r="U696" s="22">
        <f>IF(OR($H696="",$T696="",$T696&lt;=0),"",$H696*60/$T696)</f>
        <v/>
      </c>
      <c r="V696" s="37">
        <f>IF(OR($U696="",$R696="",$R696=0),"",$U696/$R696)</f>
        <v/>
      </c>
      <c r="W696" s="20">
        <f>IF($G696="","",IF($X696="CONTEXTE INCOMPLET","CONTEXTE INCOMPLET",IF($X696="DOUBLON",StatutDoublon,IF($S696="",StatutInitial,IF($R696="",StatutStandardManquant,IF($V696="","DONNEES INSUFFISANTES",IF($V696&gt;=SeuilConforme,StatutConforme,IF($V696&gt;=SeuilSurveiller,StatutSurveiller,StatutSousStandard))))))))</f>
        <v/>
      </c>
      <c r="X696" s="33">
        <f>IF($G696="","",IF(OR($D696="",$E696="",$F696=""),"CONTEXTE INCOMPLET",IF(COUNTIFS($D$3:$D695,$D696,$E$3:$E695,$E696,$F$3:$F695,$F696,$G$3:$G695,$G696)&gt;0,"DOUBLON","VALIDE")))</f>
        <v/>
      </c>
    </row>
    <row r="697" ht="15" customHeight="1">
      <c r="A697" s="12">
        <f>IF(OR($B697="",$G697=""),"",TEXT($B697,"YYYYMMDD")&amp;"-"&amp;SUBSTITUTE($E697," ","")&amp;"-"&amp;$F697&amp;"-"&amp;$G697)</f>
        <v/>
      </c>
      <c r="B697" s="15" t="n"/>
      <c r="C697" s="16" t="n"/>
      <c r="D697" s="10" t="n"/>
      <c r="E697" s="9" t="n"/>
      <c r="F697" s="9" t="n"/>
      <c r="G697" s="13" t="n"/>
      <c r="H697" s="21" t="n"/>
      <c r="I697" s="21" t="n"/>
      <c r="J697" s="17">
        <f>IF($G697="","",IFERROR(INDEX(NomsEmployes,MATCH($G697,MatriculesEmployes,0)),"MATRICULE INCONNU"))</f>
        <v/>
      </c>
      <c r="K697" s="33">
        <f>IF(OR($D697="",$F697=""),"",IFERROR(IF(INDEX(RUNS!$L$6:$S$1005,MATCH($D697,RUNS!$A$6:$A$1005,0),MATCH("ACTIVITÉ "&amp;$F697,RUNS!$L$5:$S$5,0))="","",INDEX(RUNS!$L$6:$S$1005,MATCH($D697,RUNS!$A$6:$A$1005,0),MATCH("ACTIVITÉ "&amp;$F697,RUNS!$L$5:$S$5,0))),""))</f>
        <v/>
      </c>
      <c r="L697" s="33">
        <f>IF($D697="","",IFERROR(IF(INDEX(RUNS!$E$6:$E$1005,MATCH($D697,RUNS!$A$6:$A$1005,0))="","",INDEX(RUNS!$E$6:$E$1005,MATCH($D697,RUNS!$A$6:$A$1005,0))),""))</f>
        <v/>
      </c>
      <c r="M697" s="33">
        <f>IF($D697="","",IFERROR(IF(INDEX(RUNS!$F$6:$F$1005,MATCH($D697,RUNS!$A$6:$A$1005,0))="","",INDEX(RUNS!$F$6:$F$1005,MATCH($D697,RUNS!$A$6:$A$1005,0))),""))</f>
        <v/>
      </c>
      <c r="N697" s="33">
        <f>IF($D697="","",IFERROR(IF(INDEX(RUNS!$G$6:$G$1005,MATCH($D697,RUNS!$A$6:$A$1005,0))="","",INDEX(RUNS!$G$6:$G$1005,MATCH($D697,RUNS!$A$6:$A$1005,0))),""))</f>
        <v/>
      </c>
      <c r="O697" s="33">
        <f>IF($D697="","",IFERROR(IF(INDEX(RUNS!$H$6:$H$1005,MATCH($D697,RUNS!$A$6:$A$1005,0))="","",INDEX(RUNS!$H$6:$H$1005,MATCH($D697,RUNS!$A$6:$A$1005,0))),""))</f>
        <v/>
      </c>
      <c r="P697" s="33">
        <f>IF($D697="","",IFERROR(IF(INDEX(RUNS!$J$6:$J$1005,MATCH($D697,RUNS!$A$6:$A$1005,0))="","",INDEX(RUNS!$J$6:$J$1005,MATCH($D697,RUNS!$A$6:$A$1005,0))),""))</f>
        <v/>
      </c>
      <c r="Q697" s="33">
        <f>IF($D697="","",IFERROR(IF(INDEX(RUNS!$K$6:$K$1005,MATCH($D697,RUNS!$A$6:$A$1005,0))="","",INDEX(RUNS!$K$6:$K$1005,MATCH($D697,RUNS!$A$6:$A$1005,0))),""))</f>
        <v/>
      </c>
      <c r="R697" s="34">
        <f>IF(OR($L697="",$K697=""),"",IFERROR(IF(INDEX(PARAMETRES!$H$43:$H$342,MATCH($L697&amp;"|"&amp;$M697&amp;"|"&amp;$N697&amp;"|"&amp;$O697&amp;"|"&amp;$P697&amp;"|"&amp;$Q697&amp;"|"&amp;$K697,PARAMETRES!$J$43:$J$342,0))="","",INDEX(PARAMETRES!$H$43:$H$342,MATCH($L697&amp;"|"&amp;$M697&amp;"|"&amp;$N697&amp;"|"&amp;$O697&amp;"|"&amp;$P697&amp;"|"&amp;$Q697&amp;"|"&amp;$K697,PARAMETRES!$J$43:$J$342,0))),""))</f>
        <v/>
      </c>
      <c r="S697" s="35">
        <f>IF(OR($G697="",$X697&lt;&gt;"VALIDE"),"",IFERROR(LOOKUP(2,1/(($B$3:$B696=$B697)*($G$3:$G696=$G697)*($X$3:$X696="VALIDE")),$C$3:$C696),""))</f>
        <v/>
      </c>
      <c r="T697" s="36">
        <f>IF(OR($C697="",$S697=""),"",ROUND(($C697-$S697+IF($C697&lt;$S697,1,0))*1440,0))</f>
        <v/>
      </c>
      <c r="U697" s="22">
        <f>IF(OR($H697="",$T697="",$T697&lt;=0),"",$H697*60/$T697)</f>
        <v/>
      </c>
      <c r="V697" s="37">
        <f>IF(OR($U697="",$R697="",$R697=0),"",$U697/$R697)</f>
        <v/>
      </c>
      <c r="W697" s="20">
        <f>IF($G697="","",IF($X697="CONTEXTE INCOMPLET","CONTEXTE INCOMPLET",IF($X697="DOUBLON",StatutDoublon,IF($S697="",StatutInitial,IF($R697="",StatutStandardManquant,IF($V697="","DONNEES INSUFFISANTES",IF($V697&gt;=SeuilConforme,StatutConforme,IF($V697&gt;=SeuilSurveiller,StatutSurveiller,StatutSousStandard))))))))</f>
        <v/>
      </c>
      <c r="X697" s="33">
        <f>IF($G697="","",IF(OR($D697="",$E697="",$F697=""),"CONTEXTE INCOMPLET",IF(COUNTIFS($D$3:$D696,$D697,$E$3:$E696,$E697,$F$3:$F696,$F697,$G$3:$G696,$G697)&gt;0,"DOUBLON","VALIDE")))</f>
        <v/>
      </c>
    </row>
    <row r="698" ht="15" customHeight="1">
      <c r="A698" s="12">
        <f>IF(OR($B698="",$G698=""),"",TEXT($B698,"YYYYMMDD")&amp;"-"&amp;SUBSTITUTE($E698," ","")&amp;"-"&amp;$F698&amp;"-"&amp;$G698)</f>
        <v/>
      </c>
      <c r="B698" s="15" t="n"/>
      <c r="C698" s="16" t="n"/>
      <c r="D698" s="10" t="n"/>
      <c r="E698" s="9" t="n"/>
      <c r="F698" s="9" t="n"/>
      <c r="G698" s="13" t="n"/>
      <c r="H698" s="21" t="n"/>
      <c r="I698" s="21" t="n"/>
      <c r="J698" s="17">
        <f>IF($G698="","",IFERROR(INDEX(NomsEmployes,MATCH($G698,MatriculesEmployes,0)),"MATRICULE INCONNU"))</f>
        <v/>
      </c>
      <c r="K698" s="33">
        <f>IF(OR($D698="",$F698=""),"",IFERROR(IF(INDEX(RUNS!$L$6:$S$1005,MATCH($D698,RUNS!$A$6:$A$1005,0),MATCH("ACTIVITÉ "&amp;$F698,RUNS!$L$5:$S$5,0))="","",INDEX(RUNS!$L$6:$S$1005,MATCH($D698,RUNS!$A$6:$A$1005,0),MATCH("ACTIVITÉ "&amp;$F698,RUNS!$L$5:$S$5,0))),""))</f>
        <v/>
      </c>
      <c r="L698" s="33">
        <f>IF($D698="","",IFERROR(IF(INDEX(RUNS!$E$6:$E$1005,MATCH($D698,RUNS!$A$6:$A$1005,0))="","",INDEX(RUNS!$E$6:$E$1005,MATCH($D698,RUNS!$A$6:$A$1005,0))),""))</f>
        <v/>
      </c>
      <c r="M698" s="33">
        <f>IF($D698="","",IFERROR(IF(INDEX(RUNS!$F$6:$F$1005,MATCH($D698,RUNS!$A$6:$A$1005,0))="","",INDEX(RUNS!$F$6:$F$1005,MATCH($D698,RUNS!$A$6:$A$1005,0))),""))</f>
        <v/>
      </c>
      <c r="N698" s="33">
        <f>IF($D698="","",IFERROR(IF(INDEX(RUNS!$G$6:$G$1005,MATCH($D698,RUNS!$A$6:$A$1005,0))="","",INDEX(RUNS!$G$6:$G$1005,MATCH($D698,RUNS!$A$6:$A$1005,0))),""))</f>
        <v/>
      </c>
      <c r="O698" s="33">
        <f>IF($D698="","",IFERROR(IF(INDEX(RUNS!$H$6:$H$1005,MATCH($D698,RUNS!$A$6:$A$1005,0))="","",INDEX(RUNS!$H$6:$H$1005,MATCH($D698,RUNS!$A$6:$A$1005,0))),""))</f>
        <v/>
      </c>
      <c r="P698" s="33">
        <f>IF($D698="","",IFERROR(IF(INDEX(RUNS!$J$6:$J$1005,MATCH($D698,RUNS!$A$6:$A$1005,0))="","",INDEX(RUNS!$J$6:$J$1005,MATCH($D698,RUNS!$A$6:$A$1005,0))),""))</f>
        <v/>
      </c>
      <c r="Q698" s="33">
        <f>IF($D698="","",IFERROR(IF(INDEX(RUNS!$K$6:$K$1005,MATCH($D698,RUNS!$A$6:$A$1005,0))="","",INDEX(RUNS!$K$6:$K$1005,MATCH($D698,RUNS!$A$6:$A$1005,0))),""))</f>
        <v/>
      </c>
      <c r="R698" s="34">
        <f>IF(OR($L698="",$K698=""),"",IFERROR(IF(INDEX(PARAMETRES!$H$43:$H$342,MATCH($L698&amp;"|"&amp;$M698&amp;"|"&amp;$N698&amp;"|"&amp;$O698&amp;"|"&amp;$P698&amp;"|"&amp;$Q698&amp;"|"&amp;$K698,PARAMETRES!$J$43:$J$342,0))="","",INDEX(PARAMETRES!$H$43:$H$342,MATCH($L698&amp;"|"&amp;$M698&amp;"|"&amp;$N698&amp;"|"&amp;$O698&amp;"|"&amp;$P698&amp;"|"&amp;$Q698&amp;"|"&amp;$K698,PARAMETRES!$J$43:$J$342,0))),""))</f>
        <v/>
      </c>
      <c r="S698" s="35">
        <f>IF(OR($G698="",$X698&lt;&gt;"VALIDE"),"",IFERROR(LOOKUP(2,1/(($B$3:$B697=$B698)*($G$3:$G697=$G698)*($X$3:$X697="VALIDE")),$C$3:$C697),""))</f>
        <v/>
      </c>
      <c r="T698" s="36">
        <f>IF(OR($C698="",$S698=""),"",ROUND(($C698-$S698+IF($C698&lt;$S698,1,0))*1440,0))</f>
        <v/>
      </c>
      <c r="U698" s="22">
        <f>IF(OR($H698="",$T698="",$T698&lt;=0),"",$H698*60/$T698)</f>
        <v/>
      </c>
      <c r="V698" s="37">
        <f>IF(OR($U698="",$R698="",$R698=0),"",$U698/$R698)</f>
        <v/>
      </c>
      <c r="W698" s="20">
        <f>IF($G698="","",IF($X698="CONTEXTE INCOMPLET","CONTEXTE INCOMPLET",IF($X698="DOUBLON",StatutDoublon,IF($S698="",StatutInitial,IF($R698="",StatutStandardManquant,IF($V698="","DONNEES INSUFFISANTES",IF($V698&gt;=SeuilConforme,StatutConforme,IF($V698&gt;=SeuilSurveiller,StatutSurveiller,StatutSousStandard))))))))</f>
        <v/>
      </c>
      <c r="X698" s="33">
        <f>IF($G698="","",IF(OR($D698="",$E698="",$F698=""),"CONTEXTE INCOMPLET",IF(COUNTIFS($D$3:$D697,$D698,$E$3:$E697,$E698,$F$3:$F697,$F698,$G$3:$G697,$G698)&gt;0,"DOUBLON","VALIDE")))</f>
        <v/>
      </c>
    </row>
    <row r="699" ht="15" customHeight="1">
      <c r="A699" s="12">
        <f>IF(OR($B699="",$G699=""),"",TEXT($B699,"YYYYMMDD")&amp;"-"&amp;SUBSTITUTE($E699," ","")&amp;"-"&amp;$F699&amp;"-"&amp;$G699)</f>
        <v/>
      </c>
      <c r="B699" s="15" t="n"/>
      <c r="C699" s="16" t="n"/>
      <c r="D699" s="10" t="n"/>
      <c r="E699" s="9" t="n"/>
      <c r="F699" s="9" t="n"/>
      <c r="G699" s="13" t="n"/>
      <c r="H699" s="21" t="n"/>
      <c r="I699" s="21" t="n"/>
      <c r="J699" s="17">
        <f>IF($G699="","",IFERROR(INDEX(NomsEmployes,MATCH($G699,MatriculesEmployes,0)),"MATRICULE INCONNU"))</f>
        <v/>
      </c>
      <c r="K699" s="33">
        <f>IF(OR($D699="",$F699=""),"",IFERROR(IF(INDEX(RUNS!$L$6:$S$1005,MATCH($D699,RUNS!$A$6:$A$1005,0),MATCH("ACTIVITÉ "&amp;$F699,RUNS!$L$5:$S$5,0))="","",INDEX(RUNS!$L$6:$S$1005,MATCH($D699,RUNS!$A$6:$A$1005,0),MATCH("ACTIVITÉ "&amp;$F699,RUNS!$L$5:$S$5,0))),""))</f>
        <v/>
      </c>
      <c r="L699" s="33">
        <f>IF($D699="","",IFERROR(IF(INDEX(RUNS!$E$6:$E$1005,MATCH($D699,RUNS!$A$6:$A$1005,0))="","",INDEX(RUNS!$E$6:$E$1005,MATCH($D699,RUNS!$A$6:$A$1005,0))),""))</f>
        <v/>
      </c>
      <c r="M699" s="33">
        <f>IF($D699="","",IFERROR(IF(INDEX(RUNS!$F$6:$F$1005,MATCH($D699,RUNS!$A$6:$A$1005,0))="","",INDEX(RUNS!$F$6:$F$1005,MATCH($D699,RUNS!$A$6:$A$1005,0))),""))</f>
        <v/>
      </c>
      <c r="N699" s="33">
        <f>IF($D699="","",IFERROR(IF(INDEX(RUNS!$G$6:$G$1005,MATCH($D699,RUNS!$A$6:$A$1005,0))="","",INDEX(RUNS!$G$6:$G$1005,MATCH($D699,RUNS!$A$6:$A$1005,0))),""))</f>
        <v/>
      </c>
      <c r="O699" s="33">
        <f>IF($D699="","",IFERROR(IF(INDEX(RUNS!$H$6:$H$1005,MATCH($D699,RUNS!$A$6:$A$1005,0))="","",INDEX(RUNS!$H$6:$H$1005,MATCH($D699,RUNS!$A$6:$A$1005,0))),""))</f>
        <v/>
      </c>
      <c r="P699" s="33">
        <f>IF($D699="","",IFERROR(IF(INDEX(RUNS!$J$6:$J$1005,MATCH($D699,RUNS!$A$6:$A$1005,0))="","",INDEX(RUNS!$J$6:$J$1005,MATCH($D699,RUNS!$A$6:$A$1005,0))),""))</f>
        <v/>
      </c>
      <c r="Q699" s="33">
        <f>IF($D699="","",IFERROR(IF(INDEX(RUNS!$K$6:$K$1005,MATCH($D699,RUNS!$A$6:$A$1005,0))="","",INDEX(RUNS!$K$6:$K$1005,MATCH($D699,RUNS!$A$6:$A$1005,0))),""))</f>
        <v/>
      </c>
      <c r="R699" s="34">
        <f>IF(OR($L699="",$K699=""),"",IFERROR(IF(INDEX(PARAMETRES!$H$43:$H$342,MATCH($L699&amp;"|"&amp;$M699&amp;"|"&amp;$N699&amp;"|"&amp;$O699&amp;"|"&amp;$P699&amp;"|"&amp;$Q699&amp;"|"&amp;$K699,PARAMETRES!$J$43:$J$342,0))="","",INDEX(PARAMETRES!$H$43:$H$342,MATCH($L699&amp;"|"&amp;$M699&amp;"|"&amp;$N699&amp;"|"&amp;$O699&amp;"|"&amp;$P699&amp;"|"&amp;$Q699&amp;"|"&amp;$K699,PARAMETRES!$J$43:$J$342,0))),""))</f>
        <v/>
      </c>
      <c r="S699" s="35">
        <f>IF(OR($G699="",$X699&lt;&gt;"VALIDE"),"",IFERROR(LOOKUP(2,1/(($B$3:$B698=$B699)*($G$3:$G698=$G699)*($X$3:$X698="VALIDE")),$C$3:$C698),""))</f>
        <v/>
      </c>
      <c r="T699" s="36">
        <f>IF(OR($C699="",$S699=""),"",ROUND(($C699-$S699+IF($C699&lt;$S699,1,0))*1440,0))</f>
        <v/>
      </c>
      <c r="U699" s="22">
        <f>IF(OR($H699="",$T699="",$T699&lt;=0),"",$H699*60/$T699)</f>
        <v/>
      </c>
      <c r="V699" s="37">
        <f>IF(OR($U699="",$R699="",$R699=0),"",$U699/$R699)</f>
        <v/>
      </c>
      <c r="W699" s="20">
        <f>IF($G699="","",IF($X699="CONTEXTE INCOMPLET","CONTEXTE INCOMPLET",IF($X699="DOUBLON",StatutDoublon,IF($S699="",StatutInitial,IF($R699="",StatutStandardManquant,IF($V699="","DONNEES INSUFFISANTES",IF($V699&gt;=SeuilConforme,StatutConforme,IF($V699&gt;=SeuilSurveiller,StatutSurveiller,StatutSousStandard))))))))</f>
        <v/>
      </c>
      <c r="X699" s="33">
        <f>IF($G699="","",IF(OR($D699="",$E699="",$F699=""),"CONTEXTE INCOMPLET",IF(COUNTIFS($D$3:$D698,$D699,$E$3:$E698,$E699,$F$3:$F698,$F699,$G$3:$G698,$G699)&gt;0,"DOUBLON","VALIDE")))</f>
        <v/>
      </c>
    </row>
    <row r="700" ht="15" customHeight="1">
      <c r="A700" s="12">
        <f>IF(OR($B700="",$G700=""),"",TEXT($B700,"YYYYMMDD")&amp;"-"&amp;SUBSTITUTE($E700," ","")&amp;"-"&amp;$F700&amp;"-"&amp;$G700)</f>
        <v/>
      </c>
      <c r="B700" s="15" t="n"/>
      <c r="C700" s="16" t="n"/>
      <c r="D700" s="10" t="n"/>
      <c r="E700" s="9" t="n"/>
      <c r="F700" s="9" t="n"/>
      <c r="G700" s="13" t="n"/>
      <c r="H700" s="21" t="n"/>
      <c r="I700" s="21" t="n"/>
      <c r="J700" s="17">
        <f>IF($G700="","",IFERROR(INDEX(NomsEmployes,MATCH($G700,MatriculesEmployes,0)),"MATRICULE INCONNU"))</f>
        <v/>
      </c>
      <c r="K700" s="33">
        <f>IF(OR($D700="",$F700=""),"",IFERROR(IF(INDEX(RUNS!$L$6:$S$1005,MATCH($D700,RUNS!$A$6:$A$1005,0),MATCH("ACTIVITÉ "&amp;$F700,RUNS!$L$5:$S$5,0))="","",INDEX(RUNS!$L$6:$S$1005,MATCH($D700,RUNS!$A$6:$A$1005,0),MATCH("ACTIVITÉ "&amp;$F700,RUNS!$L$5:$S$5,0))),""))</f>
        <v/>
      </c>
      <c r="L700" s="33">
        <f>IF($D700="","",IFERROR(IF(INDEX(RUNS!$E$6:$E$1005,MATCH($D700,RUNS!$A$6:$A$1005,0))="","",INDEX(RUNS!$E$6:$E$1005,MATCH($D700,RUNS!$A$6:$A$1005,0))),""))</f>
        <v/>
      </c>
      <c r="M700" s="33">
        <f>IF($D700="","",IFERROR(IF(INDEX(RUNS!$F$6:$F$1005,MATCH($D700,RUNS!$A$6:$A$1005,0))="","",INDEX(RUNS!$F$6:$F$1005,MATCH($D700,RUNS!$A$6:$A$1005,0))),""))</f>
        <v/>
      </c>
      <c r="N700" s="33">
        <f>IF($D700="","",IFERROR(IF(INDEX(RUNS!$G$6:$G$1005,MATCH($D700,RUNS!$A$6:$A$1005,0))="","",INDEX(RUNS!$G$6:$G$1005,MATCH($D700,RUNS!$A$6:$A$1005,0))),""))</f>
        <v/>
      </c>
      <c r="O700" s="33">
        <f>IF($D700="","",IFERROR(IF(INDEX(RUNS!$H$6:$H$1005,MATCH($D700,RUNS!$A$6:$A$1005,0))="","",INDEX(RUNS!$H$6:$H$1005,MATCH($D700,RUNS!$A$6:$A$1005,0))),""))</f>
        <v/>
      </c>
      <c r="P700" s="33">
        <f>IF($D700="","",IFERROR(IF(INDEX(RUNS!$J$6:$J$1005,MATCH($D700,RUNS!$A$6:$A$1005,0))="","",INDEX(RUNS!$J$6:$J$1005,MATCH($D700,RUNS!$A$6:$A$1005,0))),""))</f>
        <v/>
      </c>
      <c r="Q700" s="33">
        <f>IF($D700="","",IFERROR(IF(INDEX(RUNS!$K$6:$K$1005,MATCH($D700,RUNS!$A$6:$A$1005,0))="","",INDEX(RUNS!$K$6:$K$1005,MATCH($D700,RUNS!$A$6:$A$1005,0))),""))</f>
        <v/>
      </c>
      <c r="R700" s="34">
        <f>IF(OR($L700="",$K700=""),"",IFERROR(IF(INDEX(PARAMETRES!$H$43:$H$342,MATCH($L700&amp;"|"&amp;$M700&amp;"|"&amp;$N700&amp;"|"&amp;$O700&amp;"|"&amp;$P700&amp;"|"&amp;$Q700&amp;"|"&amp;$K700,PARAMETRES!$J$43:$J$342,0))="","",INDEX(PARAMETRES!$H$43:$H$342,MATCH($L700&amp;"|"&amp;$M700&amp;"|"&amp;$N700&amp;"|"&amp;$O700&amp;"|"&amp;$P700&amp;"|"&amp;$Q700&amp;"|"&amp;$K700,PARAMETRES!$J$43:$J$342,0))),""))</f>
        <v/>
      </c>
      <c r="S700" s="35">
        <f>IF(OR($G700="",$X700&lt;&gt;"VALIDE"),"",IFERROR(LOOKUP(2,1/(($B$3:$B699=$B700)*($G$3:$G699=$G700)*($X$3:$X699="VALIDE")),$C$3:$C699),""))</f>
        <v/>
      </c>
      <c r="T700" s="36">
        <f>IF(OR($C700="",$S700=""),"",ROUND(($C700-$S700+IF($C700&lt;$S700,1,0))*1440,0))</f>
        <v/>
      </c>
      <c r="U700" s="22">
        <f>IF(OR($H700="",$T700="",$T700&lt;=0),"",$H700*60/$T700)</f>
        <v/>
      </c>
      <c r="V700" s="37">
        <f>IF(OR($U700="",$R700="",$R700=0),"",$U700/$R700)</f>
        <v/>
      </c>
      <c r="W700" s="20">
        <f>IF($G700="","",IF($X700="CONTEXTE INCOMPLET","CONTEXTE INCOMPLET",IF($X700="DOUBLON",StatutDoublon,IF($S700="",StatutInitial,IF($R700="",StatutStandardManquant,IF($V700="","DONNEES INSUFFISANTES",IF($V700&gt;=SeuilConforme,StatutConforme,IF($V700&gt;=SeuilSurveiller,StatutSurveiller,StatutSousStandard))))))))</f>
        <v/>
      </c>
      <c r="X700" s="33">
        <f>IF($G700="","",IF(OR($D700="",$E700="",$F700=""),"CONTEXTE INCOMPLET",IF(COUNTIFS($D$3:$D699,$D700,$E$3:$E699,$E700,$F$3:$F699,$F700,$G$3:$G699,$G700)&gt;0,"DOUBLON","VALIDE")))</f>
        <v/>
      </c>
    </row>
    <row r="701" ht="15" customHeight="1">
      <c r="A701" s="12">
        <f>IF(OR($B701="",$G701=""),"",TEXT($B701,"YYYYMMDD")&amp;"-"&amp;SUBSTITUTE($E701," ","")&amp;"-"&amp;$F701&amp;"-"&amp;$G701)</f>
        <v/>
      </c>
      <c r="B701" s="15" t="n"/>
      <c r="C701" s="16" t="n"/>
      <c r="D701" s="10" t="n"/>
      <c r="E701" s="9" t="n"/>
      <c r="F701" s="9" t="n"/>
      <c r="G701" s="13" t="n"/>
      <c r="H701" s="21" t="n"/>
      <c r="I701" s="21" t="n"/>
      <c r="J701" s="17">
        <f>IF($G701="","",IFERROR(INDEX(NomsEmployes,MATCH($G701,MatriculesEmployes,0)),"MATRICULE INCONNU"))</f>
        <v/>
      </c>
      <c r="K701" s="33">
        <f>IF(OR($D701="",$F701=""),"",IFERROR(IF(INDEX(RUNS!$L$6:$S$1005,MATCH($D701,RUNS!$A$6:$A$1005,0),MATCH("ACTIVITÉ "&amp;$F701,RUNS!$L$5:$S$5,0))="","",INDEX(RUNS!$L$6:$S$1005,MATCH($D701,RUNS!$A$6:$A$1005,0),MATCH("ACTIVITÉ "&amp;$F701,RUNS!$L$5:$S$5,0))),""))</f>
        <v/>
      </c>
      <c r="L701" s="33">
        <f>IF($D701="","",IFERROR(IF(INDEX(RUNS!$E$6:$E$1005,MATCH($D701,RUNS!$A$6:$A$1005,0))="","",INDEX(RUNS!$E$6:$E$1005,MATCH($D701,RUNS!$A$6:$A$1005,0))),""))</f>
        <v/>
      </c>
      <c r="M701" s="33">
        <f>IF($D701="","",IFERROR(IF(INDEX(RUNS!$F$6:$F$1005,MATCH($D701,RUNS!$A$6:$A$1005,0))="","",INDEX(RUNS!$F$6:$F$1005,MATCH($D701,RUNS!$A$6:$A$1005,0))),""))</f>
        <v/>
      </c>
      <c r="N701" s="33">
        <f>IF($D701="","",IFERROR(IF(INDEX(RUNS!$G$6:$G$1005,MATCH($D701,RUNS!$A$6:$A$1005,0))="","",INDEX(RUNS!$G$6:$G$1005,MATCH($D701,RUNS!$A$6:$A$1005,0))),""))</f>
        <v/>
      </c>
      <c r="O701" s="33">
        <f>IF($D701="","",IFERROR(IF(INDEX(RUNS!$H$6:$H$1005,MATCH($D701,RUNS!$A$6:$A$1005,0))="","",INDEX(RUNS!$H$6:$H$1005,MATCH($D701,RUNS!$A$6:$A$1005,0))),""))</f>
        <v/>
      </c>
      <c r="P701" s="33">
        <f>IF($D701="","",IFERROR(IF(INDEX(RUNS!$J$6:$J$1005,MATCH($D701,RUNS!$A$6:$A$1005,0))="","",INDEX(RUNS!$J$6:$J$1005,MATCH($D701,RUNS!$A$6:$A$1005,0))),""))</f>
        <v/>
      </c>
      <c r="Q701" s="33">
        <f>IF($D701="","",IFERROR(IF(INDEX(RUNS!$K$6:$K$1005,MATCH($D701,RUNS!$A$6:$A$1005,0))="","",INDEX(RUNS!$K$6:$K$1005,MATCH($D701,RUNS!$A$6:$A$1005,0))),""))</f>
        <v/>
      </c>
      <c r="R701" s="34">
        <f>IF(OR($L701="",$K701=""),"",IFERROR(IF(INDEX(PARAMETRES!$H$43:$H$342,MATCH($L701&amp;"|"&amp;$M701&amp;"|"&amp;$N701&amp;"|"&amp;$O701&amp;"|"&amp;$P701&amp;"|"&amp;$Q701&amp;"|"&amp;$K701,PARAMETRES!$J$43:$J$342,0))="","",INDEX(PARAMETRES!$H$43:$H$342,MATCH($L701&amp;"|"&amp;$M701&amp;"|"&amp;$N701&amp;"|"&amp;$O701&amp;"|"&amp;$P701&amp;"|"&amp;$Q701&amp;"|"&amp;$K701,PARAMETRES!$J$43:$J$342,0))),""))</f>
        <v/>
      </c>
      <c r="S701" s="35">
        <f>IF(OR($G701="",$X701&lt;&gt;"VALIDE"),"",IFERROR(LOOKUP(2,1/(($B$3:$B700=$B701)*($G$3:$G700=$G701)*($X$3:$X700="VALIDE")),$C$3:$C700),""))</f>
        <v/>
      </c>
      <c r="T701" s="36">
        <f>IF(OR($C701="",$S701=""),"",ROUND(($C701-$S701+IF($C701&lt;$S701,1,0))*1440,0))</f>
        <v/>
      </c>
      <c r="U701" s="22">
        <f>IF(OR($H701="",$T701="",$T701&lt;=0),"",$H701*60/$T701)</f>
        <v/>
      </c>
      <c r="V701" s="37">
        <f>IF(OR($U701="",$R701="",$R701=0),"",$U701/$R701)</f>
        <v/>
      </c>
      <c r="W701" s="20">
        <f>IF($G701="","",IF($X701="CONTEXTE INCOMPLET","CONTEXTE INCOMPLET",IF($X701="DOUBLON",StatutDoublon,IF($S701="",StatutInitial,IF($R701="",StatutStandardManquant,IF($V701="","DONNEES INSUFFISANTES",IF($V701&gt;=SeuilConforme,StatutConforme,IF($V701&gt;=SeuilSurveiller,StatutSurveiller,StatutSousStandard))))))))</f>
        <v/>
      </c>
      <c r="X701" s="33">
        <f>IF($G701="","",IF(OR($D701="",$E701="",$F701=""),"CONTEXTE INCOMPLET",IF(COUNTIFS($D$3:$D700,$D701,$E$3:$E700,$E701,$F$3:$F700,$F701,$G$3:$G700,$G701)&gt;0,"DOUBLON","VALIDE")))</f>
        <v/>
      </c>
    </row>
    <row r="702" ht="15" customHeight="1">
      <c r="A702" s="12">
        <f>IF(OR($B702="",$G702=""),"",TEXT($B702,"YYYYMMDD")&amp;"-"&amp;SUBSTITUTE($E702," ","")&amp;"-"&amp;$F702&amp;"-"&amp;$G702)</f>
        <v/>
      </c>
      <c r="B702" s="15" t="n"/>
      <c r="C702" s="16" t="n"/>
      <c r="D702" s="10" t="n"/>
      <c r="E702" s="9" t="n"/>
      <c r="F702" s="9" t="n"/>
      <c r="G702" s="13" t="n"/>
      <c r="H702" s="21" t="n"/>
      <c r="I702" s="21" t="n"/>
      <c r="J702" s="17">
        <f>IF($G702="","",IFERROR(INDEX(NomsEmployes,MATCH($G702,MatriculesEmployes,0)),"MATRICULE INCONNU"))</f>
        <v/>
      </c>
      <c r="K702" s="33">
        <f>IF(OR($D702="",$F702=""),"",IFERROR(IF(INDEX(RUNS!$L$6:$S$1005,MATCH($D702,RUNS!$A$6:$A$1005,0),MATCH("ACTIVITÉ "&amp;$F702,RUNS!$L$5:$S$5,0))="","",INDEX(RUNS!$L$6:$S$1005,MATCH($D702,RUNS!$A$6:$A$1005,0),MATCH("ACTIVITÉ "&amp;$F702,RUNS!$L$5:$S$5,0))),""))</f>
        <v/>
      </c>
      <c r="L702" s="33">
        <f>IF($D702="","",IFERROR(IF(INDEX(RUNS!$E$6:$E$1005,MATCH($D702,RUNS!$A$6:$A$1005,0))="","",INDEX(RUNS!$E$6:$E$1005,MATCH($D702,RUNS!$A$6:$A$1005,0))),""))</f>
        <v/>
      </c>
      <c r="M702" s="33">
        <f>IF($D702="","",IFERROR(IF(INDEX(RUNS!$F$6:$F$1005,MATCH($D702,RUNS!$A$6:$A$1005,0))="","",INDEX(RUNS!$F$6:$F$1005,MATCH($D702,RUNS!$A$6:$A$1005,0))),""))</f>
        <v/>
      </c>
      <c r="N702" s="33">
        <f>IF($D702="","",IFERROR(IF(INDEX(RUNS!$G$6:$G$1005,MATCH($D702,RUNS!$A$6:$A$1005,0))="","",INDEX(RUNS!$G$6:$G$1005,MATCH($D702,RUNS!$A$6:$A$1005,0))),""))</f>
        <v/>
      </c>
      <c r="O702" s="33">
        <f>IF($D702="","",IFERROR(IF(INDEX(RUNS!$H$6:$H$1005,MATCH($D702,RUNS!$A$6:$A$1005,0))="","",INDEX(RUNS!$H$6:$H$1005,MATCH($D702,RUNS!$A$6:$A$1005,0))),""))</f>
        <v/>
      </c>
      <c r="P702" s="33">
        <f>IF($D702="","",IFERROR(IF(INDEX(RUNS!$J$6:$J$1005,MATCH($D702,RUNS!$A$6:$A$1005,0))="","",INDEX(RUNS!$J$6:$J$1005,MATCH($D702,RUNS!$A$6:$A$1005,0))),""))</f>
        <v/>
      </c>
      <c r="Q702" s="33">
        <f>IF($D702="","",IFERROR(IF(INDEX(RUNS!$K$6:$K$1005,MATCH($D702,RUNS!$A$6:$A$1005,0))="","",INDEX(RUNS!$K$6:$K$1005,MATCH($D702,RUNS!$A$6:$A$1005,0))),""))</f>
        <v/>
      </c>
      <c r="R702" s="34">
        <f>IF(OR($L702="",$K702=""),"",IFERROR(IF(INDEX(PARAMETRES!$H$43:$H$342,MATCH($L702&amp;"|"&amp;$M702&amp;"|"&amp;$N702&amp;"|"&amp;$O702&amp;"|"&amp;$P702&amp;"|"&amp;$Q702&amp;"|"&amp;$K702,PARAMETRES!$J$43:$J$342,0))="","",INDEX(PARAMETRES!$H$43:$H$342,MATCH($L702&amp;"|"&amp;$M702&amp;"|"&amp;$N702&amp;"|"&amp;$O702&amp;"|"&amp;$P702&amp;"|"&amp;$Q702&amp;"|"&amp;$K702,PARAMETRES!$J$43:$J$342,0))),""))</f>
        <v/>
      </c>
      <c r="S702" s="35">
        <f>IF(OR($G702="",$X702&lt;&gt;"VALIDE"),"",IFERROR(LOOKUP(2,1/(($B$3:$B701=$B702)*($G$3:$G701=$G702)*($X$3:$X701="VALIDE")),$C$3:$C701),""))</f>
        <v/>
      </c>
      <c r="T702" s="36">
        <f>IF(OR($C702="",$S702=""),"",ROUND(($C702-$S702+IF($C702&lt;$S702,1,0))*1440,0))</f>
        <v/>
      </c>
      <c r="U702" s="22">
        <f>IF(OR($H702="",$T702="",$T702&lt;=0),"",$H702*60/$T702)</f>
        <v/>
      </c>
      <c r="V702" s="37">
        <f>IF(OR($U702="",$R702="",$R702=0),"",$U702/$R702)</f>
        <v/>
      </c>
      <c r="W702" s="20">
        <f>IF($G702="","",IF($X702="CONTEXTE INCOMPLET","CONTEXTE INCOMPLET",IF($X702="DOUBLON",StatutDoublon,IF($S702="",StatutInitial,IF($R702="",StatutStandardManquant,IF($V702="","DONNEES INSUFFISANTES",IF($V702&gt;=SeuilConforme,StatutConforme,IF($V702&gt;=SeuilSurveiller,StatutSurveiller,StatutSousStandard))))))))</f>
        <v/>
      </c>
      <c r="X702" s="33">
        <f>IF($G702="","",IF(OR($D702="",$E702="",$F702=""),"CONTEXTE INCOMPLET",IF(COUNTIFS($D$3:$D701,$D702,$E$3:$E701,$E702,$F$3:$F701,$F702,$G$3:$G701,$G702)&gt;0,"DOUBLON","VALIDE")))</f>
        <v/>
      </c>
    </row>
    <row r="703" ht="15" customHeight="1">
      <c r="A703" s="12">
        <f>IF(OR($B703="",$G703=""),"",TEXT($B703,"YYYYMMDD")&amp;"-"&amp;SUBSTITUTE($E703," ","")&amp;"-"&amp;$F703&amp;"-"&amp;$G703)</f>
        <v/>
      </c>
      <c r="B703" s="15" t="n"/>
      <c r="C703" s="16" t="n"/>
      <c r="D703" s="10" t="n"/>
      <c r="E703" s="9" t="n"/>
      <c r="F703" s="9" t="n"/>
      <c r="G703" s="13" t="n"/>
      <c r="H703" s="21" t="n"/>
      <c r="I703" s="21" t="n"/>
      <c r="J703" s="17">
        <f>IF($G703="","",IFERROR(INDEX(NomsEmployes,MATCH($G703,MatriculesEmployes,0)),"MATRICULE INCONNU"))</f>
        <v/>
      </c>
      <c r="K703" s="33">
        <f>IF(OR($D703="",$F703=""),"",IFERROR(IF(INDEX(RUNS!$L$6:$S$1005,MATCH($D703,RUNS!$A$6:$A$1005,0),MATCH("ACTIVITÉ "&amp;$F703,RUNS!$L$5:$S$5,0))="","",INDEX(RUNS!$L$6:$S$1005,MATCH($D703,RUNS!$A$6:$A$1005,0),MATCH("ACTIVITÉ "&amp;$F703,RUNS!$L$5:$S$5,0))),""))</f>
        <v/>
      </c>
      <c r="L703" s="33">
        <f>IF($D703="","",IFERROR(IF(INDEX(RUNS!$E$6:$E$1005,MATCH($D703,RUNS!$A$6:$A$1005,0))="","",INDEX(RUNS!$E$6:$E$1005,MATCH($D703,RUNS!$A$6:$A$1005,0))),""))</f>
        <v/>
      </c>
      <c r="M703" s="33">
        <f>IF($D703="","",IFERROR(IF(INDEX(RUNS!$F$6:$F$1005,MATCH($D703,RUNS!$A$6:$A$1005,0))="","",INDEX(RUNS!$F$6:$F$1005,MATCH($D703,RUNS!$A$6:$A$1005,0))),""))</f>
        <v/>
      </c>
      <c r="N703" s="33">
        <f>IF($D703="","",IFERROR(IF(INDEX(RUNS!$G$6:$G$1005,MATCH($D703,RUNS!$A$6:$A$1005,0))="","",INDEX(RUNS!$G$6:$G$1005,MATCH($D703,RUNS!$A$6:$A$1005,0))),""))</f>
        <v/>
      </c>
      <c r="O703" s="33">
        <f>IF($D703="","",IFERROR(IF(INDEX(RUNS!$H$6:$H$1005,MATCH($D703,RUNS!$A$6:$A$1005,0))="","",INDEX(RUNS!$H$6:$H$1005,MATCH($D703,RUNS!$A$6:$A$1005,0))),""))</f>
        <v/>
      </c>
      <c r="P703" s="33">
        <f>IF($D703="","",IFERROR(IF(INDEX(RUNS!$J$6:$J$1005,MATCH($D703,RUNS!$A$6:$A$1005,0))="","",INDEX(RUNS!$J$6:$J$1005,MATCH($D703,RUNS!$A$6:$A$1005,0))),""))</f>
        <v/>
      </c>
      <c r="Q703" s="33">
        <f>IF($D703="","",IFERROR(IF(INDEX(RUNS!$K$6:$K$1005,MATCH($D703,RUNS!$A$6:$A$1005,0))="","",INDEX(RUNS!$K$6:$K$1005,MATCH($D703,RUNS!$A$6:$A$1005,0))),""))</f>
        <v/>
      </c>
      <c r="R703" s="34">
        <f>IF(OR($L703="",$K703=""),"",IFERROR(IF(INDEX(PARAMETRES!$H$43:$H$342,MATCH($L703&amp;"|"&amp;$M703&amp;"|"&amp;$N703&amp;"|"&amp;$O703&amp;"|"&amp;$P703&amp;"|"&amp;$Q703&amp;"|"&amp;$K703,PARAMETRES!$J$43:$J$342,0))="","",INDEX(PARAMETRES!$H$43:$H$342,MATCH($L703&amp;"|"&amp;$M703&amp;"|"&amp;$N703&amp;"|"&amp;$O703&amp;"|"&amp;$P703&amp;"|"&amp;$Q703&amp;"|"&amp;$K703,PARAMETRES!$J$43:$J$342,0))),""))</f>
        <v/>
      </c>
      <c r="S703" s="35">
        <f>IF(OR($G703="",$X703&lt;&gt;"VALIDE"),"",IFERROR(LOOKUP(2,1/(($B$3:$B702=$B703)*($G$3:$G702=$G703)*($X$3:$X702="VALIDE")),$C$3:$C702),""))</f>
        <v/>
      </c>
      <c r="T703" s="36">
        <f>IF(OR($C703="",$S703=""),"",ROUND(($C703-$S703+IF($C703&lt;$S703,1,0))*1440,0))</f>
        <v/>
      </c>
      <c r="U703" s="22">
        <f>IF(OR($H703="",$T703="",$T703&lt;=0),"",$H703*60/$T703)</f>
        <v/>
      </c>
      <c r="V703" s="37">
        <f>IF(OR($U703="",$R703="",$R703=0),"",$U703/$R703)</f>
        <v/>
      </c>
      <c r="W703" s="20">
        <f>IF($G703="","",IF($X703="CONTEXTE INCOMPLET","CONTEXTE INCOMPLET",IF($X703="DOUBLON",StatutDoublon,IF($S703="",StatutInitial,IF($R703="",StatutStandardManquant,IF($V703="","DONNEES INSUFFISANTES",IF($V703&gt;=SeuilConforme,StatutConforme,IF($V703&gt;=SeuilSurveiller,StatutSurveiller,StatutSousStandard))))))))</f>
        <v/>
      </c>
      <c r="X703" s="33">
        <f>IF($G703="","",IF(OR($D703="",$E703="",$F703=""),"CONTEXTE INCOMPLET",IF(COUNTIFS($D$3:$D702,$D703,$E$3:$E702,$E703,$F$3:$F702,$F703,$G$3:$G702,$G703)&gt;0,"DOUBLON","VALIDE")))</f>
        <v/>
      </c>
    </row>
    <row r="704" ht="15" customHeight="1">
      <c r="A704" s="12">
        <f>IF(OR($B704="",$G704=""),"",TEXT($B704,"YYYYMMDD")&amp;"-"&amp;SUBSTITUTE($E704," ","")&amp;"-"&amp;$F704&amp;"-"&amp;$G704)</f>
        <v/>
      </c>
      <c r="B704" s="15" t="n"/>
      <c r="C704" s="16" t="n"/>
      <c r="D704" s="10" t="n"/>
      <c r="E704" s="9" t="n"/>
      <c r="F704" s="9" t="n"/>
      <c r="G704" s="13" t="n"/>
      <c r="H704" s="21" t="n"/>
      <c r="I704" s="21" t="n"/>
      <c r="J704" s="17">
        <f>IF($G704="","",IFERROR(INDEX(NomsEmployes,MATCH($G704,MatriculesEmployes,0)),"MATRICULE INCONNU"))</f>
        <v/>
      </c>
      <c r="K704" s="33">
        <f>IF(OR($D704="",$F704=""),"",IFERROR(IF(INDEX(RUNS!$L$6:$S$1005,MATCH($D704,RUNS!$A$6:$A$1005,0),MATCH("ACTIVITÉ "&amp;$F704,RUNS!$L$5:$S$5,0))="","",INDEX(RUNS!$L$6:$S$1005,MATCH($D704,RUNS!$A$6:$A$1005,0),MATCH("ACTIVITÉ "&amp;$F704,RUNS!$L$5:$S$5,0))),""))</f>
        <v/>
      </c>
      <c r="L704" s="33">
        <f>IF($D704="","",IFERROR(IF(INDEX(RUNS!$E$6:$E$1005,MATCH($D704,RUNS!$A$6:$A$1005,0))="","",INDEX(RUNS!$E$6:$E$1005,MATCH($D704,RUNS!$A$6:$A$1005,0))),""))</f>
        <v/>
      </c>
      <c r="M704" s="33">
        <f>IF($D704="","",IFERROR(IF(INDEX(RUNS!$F$6:$F$1005,MATCH($D704,RUNS!$A$6:$A$1005,0))="","",INDEX(RUNS!$F$6:$F$1005,MATCH($D704,RUNS!$A$6:$A$1005,0))),""))</f>
        <v/>
      </c>
      <c r="N704" s="33">
        <f>IF($D704="","",IFERROR(IF(INDEX(RUNS!$G$6:$G$1005,MATCH($D704,RUNS!$A$6:$A$1005,0))="","",INDEX(RUNS!$G$6:$G$1005,MATCH($D704,RUNS!$A$6:$A$1005,0))),""))</f>
        <v/>
      </c>
      <c r="O704" s="33">
        <f>IF($D704="","",IFERROR(IF(INDEX(RUNS!$H$6:$H$1005,MATCH($D704,RUNS!$A$6:$A$1005,0))="","",INDEX(RUNS!$H$6:$H$1005,MATCH($D704,RUNS!$A$6:$A$1005,0))),""))</f>
        <v/>
      </c>
      <c r="P704" s="33">
        <f>IF($D704="","",IFERROR(IF(INDEX(RUNS!$J$6:$J$1005,MATCH($D704,RUNS!$A$6:$A$1005,0))="","",INDEX(RUNS!$J$6:$J$1005,MATCH($D704,RUNS!$A$6:$A$1005,0))),""))</f>
        <v/>
      </c>
      <c r="Q704" s="33">
        <f>IF($D704="","",IFERROR(IF(INDEX(RUNS!$K$6:$K$1005,MATCH($D704,RUNS!$A$6:$A$1005,0))="","",INDEX(RUNS!$K$6:$K$1005,MATCH($D704,RUNS!$A$6:$A$1005,0))),""))</f>
        <v/>
      </c>
      <c r="R704" s="34">
        <f>IF(OR($L704="",$K704=""),"",IFERROR(IF(INDEX(PARAMETRES!$H$43:$H$342,MATCH($L704&amp;"|"&amp;$M704&amp;"|"&amp;$N704&amp;"|"&amp;$O704&amp;"|"&amp;$P704&amp;"|"&amp;$Q704&amp;"|"&amp;$K704,PARAMETRES!$J$43:$J$342,0))="","",INDEX(PARAMETRES!$H$43:$H$342,MATCH($L704&amp;"|"&amp;$M704&amp;"|"&amp;$N704&amp;"|"&amp;$O704&amp;"|"&amp;$P704&amp;"|"&amp;$Q704&amp;"|"&amp;$K704,PARAMETRES!$J$43:$J$342,0))),""))</f>
        <v/>
      </c>
      <c r="S704" s="35">
        <f>IF(OR($G704="",$X704&lt;&gt;"VALIDE"),"",IFERROR(LOOKUP(2,1/(($B$3:$B703=$B704)*($G$3:$G703=$G704)*($X$3:$X703="VALIDE")),$C$3:$C703),""))</f>
        <v/>
      </c>
      <c r="T704" s="36">
        <f>IF(OR($C704="",$S704=""),"",ROUND(($C704-$S704+IF($C704&lt;$S704,1,0))*1440,0))</f>
        <v/>
      </c>
      <c r="U704" s="22">
        <f>IF(OR($H704="",$T704="",$T704&lt;=0),"",$H704*60/$T704)</f>
        <v/>
      </c>
      <c r="V704" s="37">
        <f>IF(OR($U704="",$R704="",$R704=0),"",$U704/$R704)</f>
        <v/>
      </c>
      <c r="W704" s="20">
        <f>IF($G704="","",IF($X704="CONTEXTE INCOMPLET","CONTEXTE INCOMPLET",IF($X704="DOUBLON",StatutDoublon,IF($S704="",StatutInitial,IF($R704="",StatutStandardManquant,IF($V704="","DONNEES INSUFFISANTES",IF($V704&gt;=SeuilConforme,StatutConforme,IF($V704&gt;=SeuilSurveiller,StatutSurveiller,StatutSousStandard))))))))</f>
        <v/>
      </c>
      <c r="X704" s="33">
        <f>IF($G704="","",IF(OR($D704="",$E704="",$F704=""),"CONTEXTE INCOMPLET",IF(COUNTIFS($D$3:$D703,$D704,$E$3:$E703,$E704,$F$3:$F703,$F704,$G$3:$G703,$G704)&gt;0,"DOUBLON","VALIDE")))</f>
        <v/>
      </c>
    </row>
    <row r="705" ht="15" customHeight="1">
      <c r="A705" s="12">
        <f>IF(OR($B705="",$G705=""),"",TEXT($B705,"YYYYMMDD")&amp;"-"&amp;SUBSTITUTE($E705," ","")&amp;"-"&amp;$F705&amp;"-"&amp;$G705)</f>
        <v/>
      </c>
      <c r="B705" s="15" t="n"/>
      <c r="C705" s="16" t="n"/>
      <c r="D705" s="10" t="n"/>
      <c r="E705" s="9" t="n"/>
      <c r="F705" s="9" t="n"/>
      <c r="G705" s="13" t="n"/>
      <c r="H705" s="21" t="n"/>
      <c r="I705" s="21" t="n"/>
      <c r="J705" s="17">
        <f>IF($G705="","",IFERROR(INDEX(NomsEmployes,MATCH($G705,MatriculesEmployes,0)),"MATRICULE INCONNU"))</f>
        <v/>
      </c>
      <c r="K705" s="33">
        <f>IF(OR($D705="",$F705=""),"",IFERROR(IF(INDEX(RUNS!$L$6:$S$1005,MATCH($D705,RUNS!$A$6:$A$1005,0),MATCH("ACTIVITÉ "&amp;$F705,RUNS!$L$5:$S$5,0))="","",INDEX(RUNS!$L$6:$S$1005,MATCH($D705,RUNS!$A$6:$A$1005,0),MATCH("ACTIVITÉ "&amp;$F705,RUNS!$L$5:$S$5,0))),""))</f>
        <v/>
      </c>
      <c r="L705" s="33">
        <f>IF($D705="","",IFERROR(IF(INDEX(RUNS!$E$6:$E$1005,MATCH($D705,RUNS!$A$6:$A$1005,0))="","",INDEX(RUNS!$E$6:$E$1005,MATCH($D705,RUNS!$A$6:$A$1005,0))),""))</f>
        <v/>
      </c>
      <c r="M705" s="33">
        <f>IF($D705="","",IFERROR(IF(INDEX(RUNS!$F$6:$F$1005,MATCH($D705,RUNS!$A$6:$A$1005,0))="","",INDEX(RUNS!$F$6:$F$1005,MATCH($D705,RUNS!$A$6:$A$1005,0))),""))</f>
        <v/>
      </c>
      <c r="N705" s="33">
        <f>IF($D705="","",IFERROR(IF(INDEX(RUNS!$G$6:$G$1005,MATCH($D705,RUNS!$A$6:$A$1005,0))="","",INDEX(RUNS!$G$6:$G$1005,MATCH($D705,RUNS!$A$6:$A$1005,0))),""))</f>
        <v/>
      </c>
      <c r="O705" s="33">
        <f>IF($D705="","",IFERROR(IF(INDEX(RUNS!$H$6:$H$1005,MATCH($D705,RUNS!$A$6:$A$1005,0))="","",INDEX(RUNS!$H$6:$H$1005,MATCH($D705,RUNS!$A$6:$A$1005,0))),""))</f>
        <v/>
      </c>
      <c r="P705" s="33">
        <f>IF($D705="","",IFERROR(IF(INDEX(RUNS!$J$6:$J$1005,MATCH($D705,RUNS!$A$6:$A$1005,0))="","",INDEX(RUNS!$J$6:$J$1005,MATCH($D705,RUNS!$A$6:$A$1005,0))),""))</f>
        <v/>
      </c>
      <c r="Q705" s="33">
        <f>IF($D705="","",IFERROR(IF(INDEX(RUNS!$K$6:$K$1005,MATCH($D705,RUNS!$A$6:$A$1005,0))="","",INDEX(RUNS!$K$6:$K$1005,MATCH($D705,RUNS!$A$6:$A$1005,0))),""))</f>
        <v/>
      </c>
      <c r="R705" s="34">
        <f>IF(OR($L705="",$K705=""),"",IFERROR(IF(INDEX(PARAMETRES!$H$43:$H$342,MATCH($L705&amp;"|"&amp;$M705&amp;"|"&amp;$N705&amp;"|"&amp;$O705&amp;"|"&amp;$P705&amp;"|"&amp;$Q705&amp;"|"&amp;$K705,PARAMETRES!$J$43:$J$342,0))="","",INDEX(PARAMETRES!$H$43:$H$342,MATCH($L705&amp;"|"&amp;$M705&amp;"|"&amp;$N705&amp;"|"&amp;$O705&amp;"|"&amp;$P705&amp;"|"&amp;$Q705&amp;"|"&amp;$K705,PARAMETRES!$J$43:$J$342,0))),""))</f>
        <v/>
      </c>
      <c r="S705" s="35">
        <f>IF(OR($G705="",$X705&lt;&gt;"VALIDE"),"",IFERROR(LOOKUP(2,1/(($B$3:$B704=$B705)*($G$3:$G704=$G705)*($X$3:$X704="VALIDE")),$C$3:$C704),""))</f>
        <v/>
      </c>
      <c r="T705" s="36">
        <f>IF(OR($C705="",$S705=""),"",ROUND(($C705-$S705+IF($C705&lt;$S705,1,0))*1440,0))</f>
        <v/>
      </c>
      <c r="U705" s="22">
        <f>IF(OR($H705="",$T705="",$T705&lt;=0),"",$H705*60/$T705)</f>
        <v/>
      </c>
      <c r="V705" s="37">
        <f>IF(OR($U705="",$R705="",$R705=0),"",$U705/$R705)</f>
        <v/>
      </c>
      <c r="W705" s="20">
        <f>IF($G705="","",IF($X705="CONTEXTE INCOMPLET","CONTEXTE INCOMPLET",IF($X705="DOUBLON",StatutDoublon,IF($S705="",StatutInitial,IF($R705="",StatutStandardManquant,IF($V705="","DONNEES INSUFFISANTES",IF($V705&gt;=SeuilConforme,StatutConforme,IF($V705&gt;=SeuilSurveiller,StatutSurveiller,StatutSousStandard))))))))</f>
        <v/>
      </c>
      <c r="X705" s="33">
        <f>IF($G705="","",IF(OR($D705="",$E705="",$F705=""),"CONTEXTE INCOMPLET",IF(COUNTIFS($D$3:$D704,$D705,$E$3:$E704,$E705,$F$3:$F704,$F705,$G$3:$G704,$G705)&gt;0,"DOUBLON","VALIDE")))</f>
        <v/>
      </c>
    </row>
    <row r="706" ht="15" customHeight="1">
      <c r="A706" s="12">
        <f>IF(OR($B706="",$G706=""),"",TEXT($B706,"YYYYMMDD")&amp;"-"&amp;SUBSTITUTE($E706," ","")&amp;"-"&amp;$F706&amp;"-"&amp;$G706)</f>
        <v/>
      </c>
      <c r="B706" s="15" t="n"/>
      <c r="C706" s="16" t="n"/>
      <c r="D706" s="10" t="n"/>
      <c r="E706" s="9" t="n"/>
      <c r="F706" s="9" t="n"/>
      <c r="G706" s="13" t="n"/>
      <c r="H706" s="21" t="n"/>
      <c r="I706" s="21" t="n"/>
      <c r="J706" s="17">
        <f>IF($G706="","",IFERROR(INDEX(NomsEmployes,MATCH($G706,MatriculesEmployes,0)),"MATRICULE INCONNU"))</f>
        <v/>
      </c>
      <c r="K706" s="33">
        <f>IF(OR($D706="",$F706=""),"",IFERROR(IF(INDEX(RUNS!$L$6:$S$1005,MATCH($D706,RUNS!$A$6:$A$1005,0),MATCH("ACTIVITÉ "&amp;$F706,RUNS!$L$5:$S$5,0))="","",INDEX(RUNS!$L$6:$S$1005,MATCH($D706,RUNS!$A$6:$A$1005,0),MATCH("ACTIVITÉ "&amp;$F706,RUNS!$L$5:$S$5,0))),""))</f>
        <v/>
      </c>
      <c r="L706" s="33">
        <f>IF($D706="","",IFERROR(IF(INDEX(RUNS!$E$6:$E$1005,MATCH($D706,RUNS!$A$6:$A$1005,0))="","",INDEX(RUNS!$E$6:$E$1005,MATCH($D706,RUNS!$A$6:$A$1005,0))),""))</f>
        <v/>
      </c>
      <c r="M706" s="33">
        <f>IF($D706="","",IFERROR(IF(INDEX(RUNS!$F$6:$F$1005,MATCH($D706,RUNS!$A$6:$A$1005,0))="","",INDEX(RUNS!$F$6:$F$1005,MATCH($D706,RUNS!$A$6:$A$1005,0))),""))</f>
        <v/>
      </c>
      <c r="N706" s="33">
        <f>IF($D706="","",IFERROR(IF(INDEX(RUNS!$G$6:$G$1005,MATCH($D706,RUNS!$A$6:$A$1005,0))="","",INDEX(RUNS!$G$6:$G$1005,MATCH($D706,RUNS!$A$6:$A$1005,0))),""))</f>
        <v/>
      </c>
      <c r="O706" s="33">
        <f>IF($D706="","",IFERROR(IF(INDEX(RUNS!$H$6:$H$1005,MATCH($D706,RUNS!$A$6:$A$1005,0))="","",INDEX(RUNS!$H$6:$H$1005,MATCH($D706,RUNS!$A$6:$A$1005,0))),""))</f>
        <v/>
      </c>
      <c r="P706" s="33">
        <f>IF($D706="","",IFERROR(IF(INDEX(RUNS!$J$6:$J$1005,MATCH($D706,RUNS!$A$6:$A$1005,0))="","",INDEX(RUNS!$J$6:$J$1005,MATCH($D706,RUNS!$A$6:$A$1005,0))),""))</f>
        <v/>
      </c>
      <c r="Q706" s="33">
        <f>IF($D706="","",IFERROR(IF(INDEX(RUNS!$K$6:$K$1005,MATCH($D706,RUNS!$A$6:$A$1005,0))="","",INDEX(RUNS!$K$6:$K$1005,MATCH($D706,RUNS!$A$6:$A$1005,0))),""))</f>
        <v/>
      </c>
      <c r="R706" s="34">
        <f>IF(OR($L706="",$K706=""),"",IFERROR(IF(INDEX(PARAMETRES!$H$43:$H$342,MATCH($L706&amp;"|"&amp;$M706&amp;"|"&amp;$N706&amp;"|"&amp;$O706&amp;"|"&amp;$P706&amp;"|"&amp;$Q706&amp;"|"&amp;$K706,PARAMETRES!$J$43:$J$342,0))="","",INDEX(PARAMETRES!$H$43:$H$342,MATCH($L706&amp;"|"&amp;$M706&amp;"|"&amp;$N706&amp;"|"&amp;$O706&amp;"|"&amp;$P706&amp;"|"&amp;$Q706&amp;"|"&amp;$K706,PARAMETRES!$J$43:$J$342,0))),""))</f>
        <v/>
      </c>
      <c r="S706" s="35">
        <f>IF(OR($G706="",$X706&lt;&gt;"VALIDE"),"",IFERROR(LOOKUP(2,1/(($B$3:$B705=$B706)*($G$3:$G705=$G706)*($X$3:$X705="VALIDE")),$C$3:$C705),""))</f>
        <v/>
      </c>
      <c r="T706" s="36">
        <f>IF(OR($C706="",$S706=""),"",ROUND(($C706-$S706+IF($C706&lt;$S706,1,0))*1440,0))</f>
        <v/>
      </c>
      <c r="U706" s="22">
        <f>IF(OR($H706="",$T706="",$T706&lt;=0),"",$H706*60/$T706)</f>
        <v/>
      </c>
      <c r="V706" s="37">
        <f>IF(OR($U706="",$R706="",$R706=0),"",$U706/$R706)</f>
        <v/>
      </c>
      <c r="W706" s="20">
        <f>IF($G706="","",IF($X706="CONTEXTE INCOMPLET","CONTEXTE INCOMPLET",IF($X706="DOUBLON",StatutDoublon,IF($S706="",StatutInitial,IF($R706="",StatutStandardManquant,IF($V706="","DONNEES INSUFFISANTES",IF($V706&gt;=SeuilConforme,StatutConforme,IF($V706&gt;=SeuilSurveiller,StatutSurveiller,StatutSousStandard))))))))</f>
        <v/>
      </c>
      <c r="X706" s="33">
        <f>IF($G706="","",IF(OR($D706="",$E706="",$F706=""),"CONTEXTE INCOMPLET",IF(COUNTIFS($D$3:$D705,$D706,$E$3:$E705,$E706,$F$3:$F705,$F706,$G$3:$G705,$G706)&gt;0,"DOUBLON","VALIDE")))</f>
        <v/>
      </c>
    </row>
    <row r="707" ht="15" customHeight="1">
      <c r="A707" s="12">
        <f>IF(OR($B707="",$G707=""),"",TEXT($B707,"YYYYMMDD")&amp;"-"&amp;SUBSTITUTE($E707," ","")&amp;"-"&amp;$F707&amp;"-"&amp;$G707)</f>
        <v/>
      </c>
      <c r="B707" s="15" t="n"/>
      <c r="C707" s="16" t="n"/>
      <c r="D707" s="10" t="n"/>
      <c r="E707" s="9" t="n"/>
      <c r="F707" s="9" t="n"/>
      <c r="G707" s="13" t="n"/>
      <c r="H707" s="21" t="n"/>
      <c r="I707" s="21" t="n"/>
      <c r="J707" s="17">
        <f>IF($G707="","",IFERROR(INDEX(NomsEmployes,MATCH($G707,MatriculesEmployes,0)),"MATRICULE INCONNU"))</f>
        <v/>
      </c>
      <c r="K707" s="33">
        <f>IF(OR($D707="",$F707=""),"",IFERROR(IF(INDEX(RUNS!$L$6:$S$1005,MATCH($D707,RUNS!$A$6:$A$1005,0),MATCH("ACTIVITÉ "&amp;$F707,RUNS!$L$5:$S$5,0))="","",INDEX(RUNS!$L$6:$S$1005,MATCH($D707,RUNS!$A$6:$A$1005,0),MATCH("ACTIVITÉ "&amp;$F707,RUNS!$L$5:$S$5,0))),""))</f>
        <v/>
      </c>
      <c r="L707" s="33">
        <f>IF($D707="","",IFERROR(IF(INDEX(RUNS!$E$6:$E$1005,MATCH($D707,RUNS!$A$6:$A$1005,0))="","",INDEX(RUNS!$E$6:$E$1005,MATCH($D707,RUNS!$A$6:$A$1005,0))),""))</f>
        <v/>
      </c>
      <c r="M707" s="33">
        <f>IF($D707="","",IFERROR(IF(INDEX(RUNS!$F$6:$F$1005,MATCH($D707,RUNS!$A$6:$A$1005,0))="","",INDEX(RUNS!$F$6:$F$1005,MATCH($D707,RUNS!$A$6:$A$1005,0))),""))</f>
        <v/>
      </c>
      <c r="N707" s="33">
        <f>IF($D707="","",IFERROR(IF(INDEX(RUNS!$G$6:$G$1005,MATCH($D707,RUNS!$A$6:$A$1005,0))="","",INDEX(RUNS!$G$6:$G$1005,MATCH($D707,RUNS!$A$6:$A$1005,0))),""))</f>
        <v/>
      </c>
      <c r="O707" s="33">
        <f>IF($D707="","",IFERROR(IF(INDEX(RUNS!$H$6:$H$1005,MATCH($D707,RUNS!$A$6:$A$1005,0))="","",INDEX(RUNS!$H$6:$H$1005,MATCH($D707,RUNS!$A$6:$A$1005,0))),""))</f>
        <v/>
      </c>
      <c r="P707" s="33">
        <f>IF($D707="","",IFERROR(IF(INDEX(RUNS!$J$6:$J$1005,MATCH($D707,RUNS!$A$6:$A$1005,0))="","",INDEX(RUNS!$J$6:$J$1005,MATCH($D707,RUNS!$A$6:$A$1005,0))),""))</f>
        <v/>
      </c>
      <c r="Q707" s="33">
        <f>IF($D707="","",IFERROR(IF(INDEX(RUNS!$K$6:$K$1005,MATCH($D707,RUNS!$A$6:$A$1005,0))="","",INDEX(RUNS!$K$6:$K$1005,MATCH($D707,RUNS!$A$6:$A$1005,0))),""))</f>
        <v/>
      </c>
      <c r="R707" s="34">
        <f>IF(OR($L707="",$K707=""),"",IFERROR(IF(INDEX(PARAMETRES!$H$43:$H$342,MATCH($L707&amp;"|"&amp;$M707&amp;"|"&amp;$N707&amp;"|"&amp;$O707&amp;"|"&amp;$P707&amp;"|"&amp;$Q707&amp;"|"&amp;$K707,PARAMETRES!$J$43:$J$342,0))="","",INDEX(PARAMETRES!$H$43:$H$342,MATCH($L707&amp;"|"&amp;$M707&amp;"|"&amp;$N707&amp;"|"&amp;$O707&amp;"|"&amp;$P707&amp;"|"&amp;$Q707&amp;"|"&amp;$K707,PARAMETRES!$J$43:$J$342,0))),""))</f>
        <v/>
      </c>
      <c r="S707" s="35">
        <f>IF(OR($G707="",$X707&lt;&gt;"VALIDE"),"",IFERROR(LOOKUP(2,1/(($B$3:$B706=$B707)*($G$3:$G706=$G707)*($X$3:$X706="VALIDE")),$C$3:$C706),""))</f>
        <v/>
      </c>
      <c r="T707" s="36">
        <f>IF(OR($C707="",$S707=""),"",ROUND(($C707-$S707+IF($C707&lt;$S707,1,0))*1440,0))</f>
        <v/>
      </c>
      <c r="U707" s="22">
        <f>IF(OR($H707="",$T707="",$T707&lt;=0),"",$H707*60/$T707)</f>
        <v/>
      </c>
      <c r="V707" s="37">
        <f>IF(OR($U707="",$R707="",$R707=0),"",$U707/$R707)</f>
        <v/>
      </c>
      <c r="W707" s="20">
        <f>IF($G707="","",IF($X707="CONTEXTE INCOMPLET","CONTEXTE INCOMPLET",IF($X707="DOUBLON",StatutDoublon,IF($S707="",StatutInitial,IF($R707="",StatutStandardManquant,IF($V707="","DONNEES INSUFFISANTES",IF($V707&gt;=SeuilConforme,StatutConforme,IF($V707&gt;=SeuilSurveiller,StatutSurveiller,StatutSousStandard))))))))</f>
        <v/>
      </c>
      <c r="X707" s="33">
        <f>IF($G707="","",IF(OR($D707="",$E707="",$F707=""),"CONTEXTE INCOMPLET",IF(COUNTIFS($D$3:$D706,$D707,$E$3:$E706,$E707,$F$3:$F706,$F707,$G$3:$G706,$G707)&gt;0,"DOUBLON","VALIDE")))</f>
        <v/>
      </c>
    </row>
    <row r="708" ht="15" customHeight="1">
      <c r="A708" s="12">
        <f>IF(OR($B708="",$G708=""),"",TEXT($B708,"YYYYMMDD")&amp;"-"&amp;SUBSTITUTE($E708," ","")&amp;"-"&amp;$F708&amp;"-"&amp;$G708)</f>
        <v/>
      </c>
      <c r="B708" s="15" t="n"/>
      <c r="C708" s="16" t="n"/>
      <c r="D708" s="10" t="n"/>
      <c r="E708" s="9" t="n"/>
      <c r="F708" s="9" t="n"/>
      <c r="G708" s="13" t="n"/>
      <c r="H708" s="21" t="n"/>
      <c r="I708" s="21" t="n"/>
      <c r="J708" s="17">
        <f>IF($G708="","",IFERROR(INDEX(NomsEmployes,MATCH($G708,MatriculesEmployes,0)),"MATRICULE INCONNU"))</f>
        <v/>
      </c>
      <c r="K708" s="33">
        <f>IF(OR($D708="",$F708=""),"",IFERROR(IF(INDEX(RUNS!$L$6:$S$1005,MATCH($D708,RUNS!$A$6:$A$1005,0),MATCH("ACTIVITÉ "&amp;$F708,RUNS!$L$5:$S$5,0))="","",INDEX(RUNS!$L$6:$S$1005,MATCH($D708,RUNS!$A$6:$A$1005,0),MATCH("ACTIVITÉ "&amp;$F708,RUNS!$L$5:$S$5,0))),""))</f>
        <v/>
      </c>
      <c r="L708" s="33">
        <f>IF($D708="","",IFERROR(IF(INDEX(RUNS!$E$6:$E$1005,MATCH($D708,RUNS!$A$6:$A$1005,0))="","",INDEX(RUNS!$E$6:$E$1005,MATCH($D708,RUNS!$A$6:$A$1005,0))),""))</f>
        <v/>
      </c>
      <c r="M708" s="33">
        <f>IF($D708="","",IFERROR(IF(INDEX(RUNS!$F$6:$F$1005,MATCH($D708,RUNS!$A$6:$A$1005,0))="","",INDEX(RUNS!$F$6:$F$1005,MATCH($D708,RUNS!$A$6:$A$1005,0))),""))</f>
        <v/>
      </c>
      <c r="N708" s="33">
        <f>IF($D708="","",IFERROR(IF(INDEX(RUNS!$G$6:$G$1005,MATCH($D708,RUNS!$A$6:$A$1005,0))="","",INDEX(RUNS!$G$6:$G$1005,MATCH($D708,RUNS!$A$6:$A$1005,0))),""))</f>
        <v/>
      </c>
      <c r="O708" s="33">
        <f>IF($D708="","",IFERROR(IF(INDEX(RUNS!$H$6:$H$1005,MATCH($D708,RUNS!$A$6:$A$1005,0))="","",INDEX(RUNS!$H$6:$H$1005,MATCH($D708,RUNS!$A$6:$A$1005,0))),""))</f>
        <v/>
      </c>
      <c r="P708" s="33">
        <f>IF($D708="","",IFERROR(IF(INDEX(RUNS!$J$6:$J$1005,MATCH($D708,RUNS!$A$6:$A$1005,0))="","",INDEX(RUNS!$J$6:$J$1005,MATCH($D708,RUNS!$A$6:$A$1005,0))),""))</f>
        <v/>
      </c>
      <c r="Q708" s="33">
        <f>IF($D708="","",IFERROR(IF(INDEX(RUNS!$K$6:$K$1005,MATCH($D708,RUNS!$A$6:$A$1005,0))="","",INDEX(RUNS!$K$6:$K$1005,MATCH($D708,RUNS!$A$6:$A$1005,0))),""))</f>
        <v/>
      </c>
      <c r="R708" s="34">
        <f>IF(OR($L708="",$K708=""),"",IFERROR(IF(INDEX(PARAMETRES!$H$43:$H$342,MATCH($L708&amp;"|"&amp;$M708&amp;"|"&amp;$N708&amp;"|"&amp;$O708&amp;"|"&amp;$P708&amp;"|"&amp;$Q708&amp;"|"&amp;$K708,PARAMETRES!$J$43:$J$342,0))="","",INDEX(PARAMETRES!$H$43:$H$342,MATCH($L708&amp;"|"&amp;$M708&amp;"|"&amp;$N708&amp;"|"&amp;$O708&amp;"|"&amp;$P708&amp;"|"&amp;$Q708&amp;"|"&amp;$K708,PARAMETRES!$J$43:$J$342,0))),""))</f>
        <v/>
      </c>
      <c r="S708" s="35">
        <f>IF(OR($G708="",$X708&lt;&gt;"VALIDE"),"",IFERROR(LOOKUP(2,1/(($B$3:$B707=$B708)*($G$3:$G707=$G708)*($X$3:$X707="VALIDE")),$C$3:$C707),""))</f>
        <v/>
      </c>
      <c r="T708" s="36">
        <f>IF(OR($C708="",$S708=""),"",ROUND(($C708-$S708+IF($C708&lt;$S708,1,0))*1440,0))</f>
        <v/>
      </c>
      <c r="U708" s="22">
        <f>IF(OR($H708="",$T708="",$T708&lt;=0),"",$H708*60/$T708)</f>
        <v/>
      </c>
      <c r="V708" s="37">
        <f>IF(OR($U708="",$R708="",$R708=0),"",$U708/$R708)</f>
        <v/>
      </c>
      <c r="W708" s="20">
        <f>IF($G708="","",IF($X708="CONTEXTE INCOMPLET","CONTEXTE INCOMPLET",IF($X708="DOUBLON",StatutDoublon,IF($S708="",StatutInitial,IF($R708="",StatutStandardManquant,IF($V708="","DONNEES INSUFFISANTES",IF($V708&gt;=SeuilConforme,StatutConforme,IF($V708&gt;=SeuilSurveiller,StatutSurveiller,StatutSousStandard))))))))</f>
        <v/>
      </c>
      <c r="X708" s="33">
        <f>IF($G708="","",IF(OR($D708="",$E708="",$F708=""),"CONTEXTE INCOMPLET",IF(COUNTIFS($D$3:$D707,$D708,$E$3:$E707,$E708,$F$3:$F707,$F708,$G$3:$G707,$G708)&gt;0,"DOUBLON","VALIDE")))</f>
        <v/>
      </c>
    </row>
    <row r="709" ht="15" customHeight="1">
      <c r="A709" s="12">
        <f>IF(OR($B709="",$G709=""),"",TEXT($B709,"YYYYMMDD")&amp;"-"&amp;SUBSTITUTE($E709," ","")&amp;"-"&amp;$F709&amp;"-"&amp;$G709)</f>
        <v/>
      </c>
      <c r="B709" s="15" t="n"/>
      <c r="C709" s="16" t="n"/>
      <c r="D709" s="10" t="n"/>
      <c r="E709" s="9" t="n"/>
      <c r="F709" s="9" t="n"/>
      <c r="G709" s="13" t="n"/>
      <c r="H709" s="21" t="n"/>
      <c r="I709" s="21" t="n"/>
      <c r="J709" s="17">
        <f>IF($G709="","",IFERROR(INDEX(NomsEmployes,MATCH($G709,MatriculesEmployes,0)),"MATRICULE INCONNU"))</f>
        <v/>
      </c>
      <c r="K709" s="33">
        <f>IF(OR($D709="",$F709=""),"",IFERROR(IF(INDEX(RUNS!$L$6:$S$1005,MATCH($D709,RUNS!$A$6:$A$1005,0),MATCH("ACTIVITÉ "&amp;$F709,RUNS!$L$5:$S$5,0))="","",INDEX(RUNS!$L$6:$S$1005,MATCH($D709,RUNS!$A$6:$A$1005,0),MATCH("ACTIVITÉ "&amp;$F709,RUNS!$L$5:$S$5,0))),""))</f>
        <v/>
      </c>
      <c r="L709" s="33">
        <f>IF($D709="","",IFERROR(IF(INDEX(RUNS!$E$6:$E$1005,MATCH($D709,RUNS!$A$6:$A$1005,0))="","",INDEX(RUNS!$E$6:$E$1005,MATCH($D709,RUNS!$A$6:$A$1005,0))),""))</f>
        <v/>
      </c>
      <c r="M709" s="33">
        <f>IF($D709="","",IFERROR(IF(INDEX(RUNS!$F$6:$F$1005,MATCH($D709,RUNS!$A$6:$A$1005,0))="","",INDEX(RUNS!$F$6:$F$1005,MATCH($D709,RUNS!$A$6:$A$1005,0))),""))</f>
        <v/>
      </c>
      <c r="N709" s="33">
        <f>IF($D709="","",IFERROR(IF(INDEX(RUNS!$G$6:$G$1005,MATCH($D709,RUNS!$A$6:$A$1005,0))="","",INDEX(RUNS!$G$6:$G$1005,MATCH($D709,RUNS!$A$6:$A$1005,0))),""))</f>
        <v/>
      </c>
      <c r="O709" s="33">
        <f>IF($D709="","",IFERROR(IF(INDEX(RUNS!$H$6:$H$1005,MATCH($D709,RUNS!$A$6:$A$1005,0))="","",INDEX(RUNS!$H$6:$H$1005,MATCH($D709,RUNS!$A$6:$A$1005,0))),""))</f>
        <v/>
      </c>
      <c r="P709" s="33">
        <f>IF($D709="","",IFERROR(IF(INDEX(RUNS!$J$6:$J$1005,MATCH($D709,RUNS!$A$6:$A$1005,0))="","",INDEX(RUNS!$J$6:$J$1005,MATCH($D709,RUNS!$A$6:$A$1005,0))),""))</f>
        <v/>
      </c>
      <c r="Q709" s="33">
        <f>IF($D709="","",IFERROR(IF(INDEX(RUNS!$K$6:$K$1005,MATCH($D709,RUNS!$A$6:$A$1005,0))="","",INDEX(RUNS!$K$6:$K$1005,MATCH($D709,RUNS!$A$6:$A$1005,0))),""))</f>
        <v/>
      </c>
      <c r="R709" s="34">
        <f>IF(OR($L709="",$K709=""),"",IFERROR(IF(INDEX(PARAMETRES!$H$43:$H$342,MATCH($L709&amp;"|"&amp;$M709&amp;"|"&amp;$N709&amp;"|"&amp;$O709&amp;"|"&amp;$P709&amp;"|"&amp;$Q709&amp;"|"&amp;$K709,PARAMETRES!$J$43:$J$342,0))="","",INDEX(PARAMETRES!$H$43:$H$342,MATCH($L709&amp;"|"&amp;$M709&amp;"|"&amp;$N709&amp;"|"&amp;$O709&amp;"|"&amp;$P709&amp;"|"&amp;$Q709&amp;"|"&amp;$K709,PARAMETRES!$J$43:$J$342,0))),""))</f>
        <v/>
      </c>
      <c r="S709" s="35">
        <f>IF(OR($G709="",$X709&lt;&gt;"VALIDE"),"",IFERROR(LOOKUP(2,1/(($B$3:$B708=$B709)*($G$3:$G708=$G709)*($X$3:$X708="VALIDE")),$C$3:$C708),""))</f>
        <v/>
      </c>
      <c r="T709" s="36">
        <f>IF(OR($C709="",$S709=""),"",ROUND(($C709-$S709+IF($C709&lt;$S709,1,0))*1440,0))</f>
        <v/>
      </c>
      <c r="U709" s="22">
        <f>IF(OR($H709="",$T709="",$T709&lt;=0),"",$H709*60/$T709)</f>
        <v/>
      </c>
      <c r="V709" s="37">
        <f>IF(OR($U709="",$R709="",$R709=0),"",$U709/$R709)</f>
        <v/>
      </c>
      <c r="W709" s="20">
        <f>IF($G709="","",IF($X709="CONTEXTE INCOMPLET","CONTEXTE INCOMPLET",IF($X709="DOUBLON",StatutDoublon,IF($S709="",StatutInitial,IF($R709="",StatutStandardManquant,IF($V709="","DONNEES INSUFFISANTES",IF($V709&gt;=SeuilConforme,StatutConforme,IF($V709&gt;=SeuilSurveiller,StatutSurveiller,StatutSousStandard))))))))</f>
        <v/>
      </c>
      <c r="X709" s="33">
        <f>IF($G709="","",IF(OR($D709="",$E709="",$F709=""),"CONTEXTE INCOMPLET",IF(COUNTIFS($D$3:$D708,$D709,$E$3:$E708,$E709,$F$3:$F708,$F709,$G$3:$G708,$G709)&gt;0,"DOUBLON","VALIDE")))</f>
        <v/>
      </c>
    </row>
    <row r="710" ht="15" customHeight="1">
      <c r="A710" s="12">
        <f>IF(OR($B710="",$G710=""),"",TEXT($B710,"YYYYMMDD")&amp;"-"&amp;SUBSTITUTE($E710," ","")&amp;"-"&amp;$F710&amp;"-"&amp;$G710)</f>
        <v/>
      </c>
      <c r="B710" s="15" t="n"/>
      <c r="C710" s="16" t="n"/>
      <c r="D710" s="10" t="n"/>
      <c r="E710" s="9" t="n"/>
      <c r="F710" s="9" t="n"/>
      <c r="G710" s="13" t="n"/>
      <c r="H710" s="21" t="n"/>
      <c r="I710" s="21" t="n"/>
      <c r="J710" s="17">
        <f>IF($G710="","",IFERROR(INDEX(NomsEmployes,MATCH($G710,MatriculesEmployes,0)),"MATRICULE INCONNU"))</f>
        <v/>
      </c>
      <c r="K710" s="33">
        <f>IF(OR($D710="",$F710=""),"",IFERROR(IF(INDEX(RUNS!$L$6:$S$1005,MATCH($D710,RUNS!$A$6:$A$1005,0),MATCH("ACTIVITÉ "&amp;$F710,RUNS!$L$5:$S$5,0))="","",INDEX(RUNS!$L$6:$S$1005,MATCH($D710,RUNS!$A$6:$A$1005,0),MATCH("ACTIVITÉ "&amp;$F710,RUNS!$L$5:$S$5,0))),""))</f>
        <v/>
      </c>
      <c r="L710" s="33">
        <f>IF($D710="","",IFERROR(IF(INDEX(RUNS!$E$6:$E$1005,MATCH($D710,RUNS!$A$6:$A$1005,0))="","",INDEX(RUNS!$E$6:$E$1005,MATCH($D710,RUNS!$A$6:$A$1005,0))),""))</f>
        <v/>
      </c>
      <c r="M710" s="33">
        <f>IF($D710="","",IFERROR(IF(INDEX(RUNS!$F$6:$F$1005,MATCH($D710,RUNS!$A$6:$A$1005,0))="","",INDEX(RUNS!$F$6:$F$1005,MATCH($D710,RUNS!$A$6:$A$1005,0))),""))</f>
        <v/>
      </c>
      <c r="N710" s="33">
        <f>IF($D710="","",IFERROR(IF(INDEX(RUNS!$G$6:$G$1005,MATCH($D710,RUNS!$A$6:$A$1005,0))="","",INDEX(RUNS!$G$6:$G$1005,MATCH($D710,RUNS!$A$6:$A$1005,0))),""))</f>
        <v/>
      </c>
      <c r="O710" s="33">
        <f>IF($D710="","",IFERROR(IF(INDEX(RUNS!$H$6:$H$1005,MATCH($D710,RUNS!$A$6:$A$1005,0))="","",INDEX(RUNS!$H$6:$H$1005,MATCH($D710,RUNS!$A$6:$A$1005,0))),""))</f>
        <v/>
      </c>
      <c r="P710" s="33">
        <f>IF($D710="","",IFERROR(IF(INDEX(RUNS!$J$6:$J$1005,MATCH($D710,RUNS!$A$6:$A$1005,0))="","",INDEX(RUNS!$J$6:$J$1005,MATCH($D710,RUNS!$A$6:$A$1005,0))),""))</f>
        <v/>
      </c>
      <c r="Q710" s="33">
        <f>IF($D710="","",IFERROR(IF(INDEX(RUNS!$K$6:$K$1005,MATCH($D710,RUNS!$A$6:$A$1005,0))="","",INDEX(RUNS!$K$6:$K$1005,MATCH($D710,RUNS!$A$6:$A$1005,0))),""))</f>
        <v/>
      </c>
      <c r="R710" s="34">
        <f>IF(OR($L710="",$K710=""),"",IFERROR(IF(INDEX(PARAMETRES!$H$43:$H$342,MATCH($L710&amp;"|"&amp;$M710&amp;"|"&amp;$N710&amp;"|"&amp;$O710&amp;"|"&amp;$P710&amp;"|"&amp;$Q710&amp;"|"&amp;$K710,PARAMETRES!$J$43:$J$342,0))="","",INDEX(PARAMETRES!$H$43:$H$342,MATCH($L710&amp;"|"&amp;$M710&amp;"|"&amp;$N710&amp;"|"&amp;$O710&amp;"|"&amp;$P710&amp;"|"&amp;$Q710&amp;"|"&amp;$K710,PARAMETRES!$J$43:$J$342,0))),""))</f>
        <v/>
      </c>
      <c r="S710" s="35">
        <f>IF(OR($G710="",$X710&lt;&gt;"VALIDE"),"",IFERROR(LOOKUP(2,1/(($B$3:$B709=$B710)*($G$3:$G709=$G710)*($X$3:$X709="VALIDE")),$C$3:$C709),""))</f>
        <v/>
      </c>
      <c r="T710" s="36">
        <f>IF(OR($C710="",$S710=""),"",ROUND(($C710-$S710+IF($C710&lt;$S710,1,0))*1440,0))</f>
        <v/>
      </c>
      <c r="U710" s="22">
        <f>IF(OR($H710="",$T710="",$T710&lt;=0),"",$H710*60/$T710)</f>
        <v/>
      </c>
      <c r="V710" s="37">
        <f>IF(OR($U710="",$R710="",$R710=0),"",$U710/$R710)</f>
        <v/>
      </c>
      <c r="W710" s="20">
        <f>IF($G710="","",IF($X710="CONTEXTE INCOMPLET","CONTEXTE INCOMPLET",IF($X710="DOUBLON",StatutDoublon,IF($S710="",StatutInitial,IF($R710="",StatutStandardManquant,IF($V710="","DONNEES INSUFFISANTES",IF($V710&gt;=SeuilConforme,StatutConforme,IF($V710&gt;=SeuilSurveiller,StatutSurveiller,StatutSousStandard))))))))</f>
        <v/>
      </c>
      <c r="X710" s="33">
        <f>IF($G710="","",IF(OR($D710="",$E710="",$F710=""),"CONTEXTE INCOMPLET",IF(COUNTIFS($D$3:$D709,$D710,$E$3:$E709,$E710,$F$3:$F709,$F710,$G$3:$G709,$G710)&gt;0,"DOUBLON","VALIDE")))</f>
        <v/>
      </c>
    </row>
    <row r="711" ht="15" customHeight="1">
      <c r="A711" s="12">
        <f>IF(OR($B711="",$G711=""),"",TEXT($B711,"YYYYMMDD")&amp;"-"&amp;SUBSTITUTE($E711," ","")&amp;"-"&amp;$F711&amp;"-"&amp;$G711)</f>
        <v/>
      </c>
      <c r="B711" s="15" t="n"/>
      <c r="C711" s="16" t="n"/>
      <c r="D711" s="10" t="n"/>
      <c r="E711" s="9" t="n"/>
      <c r="F711" s="9" t="n"/>
      <c r="G711" s="13" t="n"/>
      <c r="H711" s="21" t="n"/>
      <c r="I711" s="21" t="n"/>
      <c r="J711" s="17">
        <f>IF($G711="","",IFERROR(INDEX(NomsEmployes,MATCH($G711,MatriculesEmployes,0)),"MATRICULE INCONNU"))</f>
        <v/>
      </c>
      <c r="K711" s="33">
        <f>IF(OR($D711="",$F711=""),"",IFERROR(IF(INDEX(RUNS!$L$6:$S$1005,MATCH($D711,RUNS!$A$6:$A$1005,0),MATCH("ACTIVITÉ "&amp;$F711,RUNS!$L$5:$S$5,0))="","",INDEX(RUNS!$L$6:$S$1005,MATCH($D711,RUNS!$A$6:$A$1005,0),MATCH("ACTIVITÉ "&amp;$F711,RUNS!$L$5:$S$5,0))),""))</f>
        <v/>
      </c>
      <c r="L711" s="33">
        <f>IF($D711="","",IFERROR(IF(INDEX(RUNS!$E$6:$E$1005,MATCH($D711,RUNS!$A$6:$A$1005,0))="","",INDEX(RUNS!$E$6:$E$1005,MATCH($D711,RUNS!$A$6:$A$1005,0))),""))</f>
        <v/>
      </c>
      <c r="M711" s="33">
        <f>IF($D711="","",IFERROR(IF(INDEX(RUNS!$F$6:$F$1005,MATCH($D711,RUNS!$A$6:$A$1005,0))="","",INDEX(RUNS!$F$6:$F$1005,MATCH($D711,RUNS!$A$6:$A$1005,0))),""))</f>
        <v/>
      </c>
      <c r="N711" s="33">
        <f>IF($D711="","",IFERROR(IF(INDEX(RUNS!$G$6:$G$1005,MATCH($D711,RUNS!$A$6:$A$1005,0))="","",INDEX(RUNS!$G$6:$G$1005,MATCH($D711,RUNS!$A$6:$A$1005,0))),""))</f>
        <v/>
      </c>
      <c r="O711" s="33">
        <f>IF($D711="","",IFERROR(IF(INDEX(RUNS!$H$6:$H$1005,MATCH($D711,RUNS!$A$6:$A$1005,0))="","",INDEX(RUNS!$H$6:$H$1005,MATCH($D711,RUNS!$A$6:$A$1005,0))),""))</f>
        <v/>
      </c>
      <c r="P711" s="33">
        <f>IF($D711="","",IFERROR(IF(INDEX(RUNS!$J$6:$J$1005,MATCH($D711,RUNS!$A$6:$A$1005,0))="","",INDEX(RUNS!$J$6:$J$1005,MATCH($D711,RUNS!$A$6:$A$1005,0))),""))</f>
        <v/>
      </c>
      <c r="Q711" s="33">
        <f>IF($D711="","",IFERROR(IF(INDEX(RUNS!$K$6:$K$1005,MATCH($D711,RUNS!$A$6:$A$1005,0))="","",INDEX(RUNS!$K$6:$K$1005,MATCH($D711,RUNS!$A$6:$A$1005,0))),""))</f>
        <v/>
      </c>
      <c r="R711" s="34">
        <f>IF(OR($L711="",$K711=""),"",IFERROR(IF(INDEX(PARAMETRES!$H$43:$H$342,MATCH($L711&amp;"|"&amp;$M711&amp;"|"&amp;$N711&amp;"|"&amp;$O711&amp;"|"&amp;$P711&amp;"|"&amp;$Q711&amp;"|"&amp;$K711,PARAMETRES!$J$43:$J$342,0))="","",INDEX(PARAMETRES!$H$43:$H$342,MATCH($L711&amp;"|"&amp;$M711&amp;"|"&amp;$N711&amp;"|"&amp;$O711&amp;"|"&amp;$P711&amp;"|"&amp;$Q711&amp;"|"&amp;$K711,PARAMETRES!$J$43:$J$342,0))),""))</f>
        <v/>
      </c>
      <c r="S711" s="35">
        <f>IF(OR($G711="",$X711&lt;&gt;"VALIDE"),"",IFERROR(LOOKUP(2,1/(($B$3:$B710=$B711)*($G$3:$G710=$G711)*($X$3:$X710="VALIDE")),$C$3:$C710),""))</f>
        <v/>
      </c>
      <c r="T711" s="36">
        <f>IF(OR($C711="",$S711=""),"",ROUND(($C711-$S711+IF($C711&lt;$S711,1,0))*1440,0))</f>
        <v/>
      </c>
      <c r="U711" s="22">
        <f>IF(OR($H711="",$T711="",$T711&lt;=0),"",$H711*60/$T711)</f>
        <v/>
      </c>
      <c r="V711" s="37">
        <f>IF(OR($U711="",$R711="",$R711=0),"",$U711/$R711)</f>
        <v/>
      </c>
      <c r="W711" s="20">
        <f>IF($G711="","",IF($X711="CONTEXTE INCOMPLET","CONTEXTE INCOMPLET",IF($X711="DOUBLON",StatutDoublon,IF($S711="",StatutInitial,IF($R711="",StatutStandardManquant,IF($V711="","DONNEES INSUFFISANTES",IF($V711&gt;=SeuilConforme,StatutConforme,IF($V711&gt;=SeuilSurveiller,StatutSurveiller,StatutSousStandard))))))))</f>
        <v/>
      </c>
      <c r="X711" s="33">
        <f>IF($G711="","",IF(OR($D711="",$E711="",$F711=""),"CONTEXTE INCOMPLET",IF(COUNTIFS($D$3:$D710,$D711,$E$3:$E710,$E711,$F$3:$F710,$F711,$G$3:$G710,$G711)&gt;0,"DOUBLON","VALIDE")))</f>
        <v/>
      </c>
    </row>
    <row r="712" ht="15" customHeight="1">
      <c r="A712" s="12">
        <f>IF(OR($B712="",$G712=""),"",TEXT($B712,"YYYYMMDD")&amp;"-"&amp;SUBSTITUTE($E712," ","")&amp;"-"&amp;$F712&amp;"-"&amp;$G712)</f>
        <v/>
      </c>
      <c r="B712" s="15" t="n"/>
      <c r="C712" s="16" t="n"/>
      <c r="D712" s="10" t="n"/>
      <c r="E712" s="9" t="n"/>
      <c r="F712" s="9" t="n"/>
      <c r="G712" s="13" t="n"/>
      <c r="H712" s="21" t="n"/>
      <c r="I712" s="21" t="n"/>
      <c r="J712" s="17">
        <f>IF($G712="","",IFERROR(INDEX(NomsEmployes,MATCH($G712,MatriculesEmployes,0)),"MATRICULE INCONNU"))</f>
        <v/>
      </c>
      <c r="K712" s="33">
        <f>IF(OR($D712="",$F712=""),"",IFERROR(IF(INDEX(RUNS!$L$6:$S$1005,MATCH($D712,RUNS!$A$6:$A$1005,0),MATCH("ACTIVITÉ "&amp;$F712,RUNS!$L$5:$S$5,0))="","",INDEX(RUNS!$L$6:$S$1005,MATCH($D712,RUNS!$A$6:$A$1005,0),MATCH("ACTIVITÉ "&amp;$F712,RUNS!$L$5:$S$5,0))),""))</f>
        <v/>
      </c>
      <c r="L712" s="33">
        <f>IF($D712="","",IFERROR(IF(INDEX(RUNS!$E$6:$E$1005,MATCH($D712,RUNS!$A$6:$A$1005,0))="","",INDEX(RUNS!$E$6:$E$1005,MATCH($D712,RUNS!$A$6:$A$1005,0))),""))</f>
        <v/>
      </c>
      <c r="M712" s="33">
        <f>IF($D712="","",IFERROR(IF(INDEX(RUNS!$F$6:$F$1005,MATCH($D712,RUNS!$A$6:$A$1005,0))="","",INDEX(RUNS!$F$6:$F$1005,MATCH($D712,RUNS!$A$6:$A$1005,0))),""))</f>
        <v/>
      </c>
      <c r="N712" s="33">
        <f>IF($D712="","",IFERROR(IF(INDEX(RUNS!$G$6:$G$1005,MATCH($D712,RUNS!$A$6:$A$1005,0))="","",INDEX(RUNS!$G$6:$G$1005,MATCH($D712,RUNS!$A$6:$A$1005,0))),""))</f>
        <v/>
      </c>
      <c r="O712" s="33">
        <f>IF($D712="","",IFERROR(IF(INDEX(RUNS!$H$6:$H$1005,MATCH($D712,RUNS!$A$6:$A$1005,0))="","",INDEX(RUNS!$H$6:$H$1005,MATCH($D712,RUNS!$A$6:$A$1005,0))),""))</f>
        <v/>
      </c>
      <c r="P712" s="33">
        <f>IF($D712="","",IFERROR(IF(INDEX(RUNS!$J$6:$J$1005,MATCH($D712,RUNS!$A$6:$A$1005,0))="","",INDEX(RUNS!$J$6:$J$1005,MATCH($D712,RUNS!$A$6:$A$1005,0))),""))</f>
        <v/>
      </c>
      <c r="Q712" s="33">
        <f>IF($D712="","",IFERROR(IF(INDEX(RUNS!$K$6:$K$1005,MATCH($D712,RUNS!$A$6:$A$1005,0))="","",INDEX(RUNS!$K$6:$K$1005,MATCH($D712,RUNS!$A$6:$A$1005,0))),""))</f>
        <v/>
      </c>
      <c r="R712" s="34">
        <f>IF(OR($L712="",$K712=""),"",IFERROR(IF(INDEX(PARAMETRES!$H$43:$H$342,MATCH($L712&amp;"|"&amp;$M712&amp;"|"&amp;$N712&amp;"|"&amp;$O712&amp;"|"&amp;$P712&amp;"|"&amp;$Q712&amp;"|"&amp;$K712,PARAMETRES!$J$43:$J$342,0))="","",INDEX(PARAMETRES!$H$43:$H$342,MATCH($L712&amp;"|"&amp;$M712&amp;"|"&amp;$N712&amp;"|"&amp;$O712&amp;"|"&amp;$P712&amp;"|"&amp;$Q712&amp;"|"&amp;$K712,PARAMETRES!$J$43:$J$342,0))),""))</f>
        <v/>
      </c>
      <c r="S712" s="35">
        <f>IF(OR($G712="",$X712&lt;&gt;"VALIDE"),"",IFERROR(LOOKUP(2,1/(($B$3:$B711=$B712)*($G$3:$G711=$G712)*($X$3:$X711="VALIDE")),$C$3:$C711),""))</f>
        <v/>
      </c>
      <c r="T712" s="36">
        <f>IF(OR($C712="",$S712=""),"",ROUND(($C712-$S712+IF($C712&lt;$S712,1,0))*1440,0))</f>
        <v/>
      </c>
      <c r="U712" s="22">
        <f>IF(OR($H712="",$T712="",$T712&lt;=0),"",$H712*60/$T712)</f>
        <v/>
      </c>
      <c r="V712" s="37">
        <f>IF(OR($U712="",$R712="",$R712=0),"",$U712/$R712)</f>
        <v/>
      </c>
      <c r="W712" s="20">
        <f>IF($G712="","",IF($X712="CONTEXTE INCOMPLET","CONTEXTE INCOMPLET",IF($X712="DOUBLON",StatutDoublon,IF($S712="",StatutInitial,IF($R712="",StatutStandardManquant,IF($V712="","DONNEES INSUFFISANTES",IF($V712&gt;=SeuilConforme,StatutConforme,IF($V712&gt;=SeuilSurveiller,StatutSurveiller,StatutSousStandard))))))))</f>
        <v/>
      </c>
      <c r="X712" s="33">
        <f>IF($G712="","",IF(OR($D712="",$E712="",$F712=""),"CONTEXTE INCOMPLET",IF(COUNTIFS($D$3:$D711,$D712,$E$3:$E711,$E712,$F$3:$F711,$F712,$G$3:$G711,$G712)&gt;0,"DOUBLON","VALIDE")))</f>
        <v/>
      </c>
    </row>
    <row r="713" ht="15" customHeight="1">
      <c r="A713" s="12">
        <f>IF(OR($B713="",$G713=""),"",TEXT($B713,"YYYYMMDD")&amp;"-"&amp;SUBSTITUTE($E713," ","")&amp;"-"&amp;$F713&amp;"-"&amp;$G713)</f>
        <v/>
      </c>
      <c r="B713" s="15" t="n"/>
      <c r="C713" s="16" t="n"/>
      <c r="D713" s="10" t="n"/>
      <c r="E713" s="9" t="n"/>
      <c r="F713" s="9" t="n"/>
      <c r="G713" s="13" t="n"/>
      <c r="H713" s="21" t="n"/>
      <c r="I713" s="21" t="n"/>
      <c r="J713" s="17">
        <f>IF($G713="","",IFERROR(INDEX(NomsEmployes,MATCH($G713,MatriculesEmployes,0)),"MATRICULE INCONNU"))</f>
        <v/>
      </c>
      <c r="K713" s="33">
        <f>IF(OR($D713="",$F713=""),"",IFERROR(IF(INDEX(RUNS!$L$6:$S$1005,MATCH($D713,RUNS!$A$6:$A$1005,0),MATCH("ACTIVITÉ "&amp;$F713,RUNS!$L$5:$S$5,0))="","",INDEX(RUNS!$L$6:$S$1005,MATCH($D713,RUNS!$A$6:$A$1005,0),MATCH("ACTIVITÉ "&amp;$F713,RUNS!$L$5:$S$5,0))),""))</f>
        <v/>
      </c>
      <c r="L713" s="33">
        <f>IF($D713="","",IFERROR(IF(INDEX(RUNS!$E$6:$E$1005,MATCH($D713,RUNS!$A$6:$A$1005,0))="","",INDEX(RUNS!$E$6:$E$1005,MATCH($D713,RUNS!$A$6:$A$1005,0))),""))</f>
        <v/>
      </c>
      <c r="M713" s="33">
        <f>IF($D713="","",IFERROR(IF(INDEX(RUNS!$F$6:$F$1005,MATCH($D713,RUNS!$A$6:$A$1005,0))="","",INDEX(RUNS!$F$6:$F$1005,MATCH($D713,RUNS!$A$6:$A$1005,0))),""))</f>
        <v/>
      </c>
      <c r="N713" s="33">
        <f>IF($D713="","",IFERROR(IF(INDEX(RUNS!$G$6:$G$1005,MATCH($D713,RUNS!$A$6:$A$1005,0))="","",INDEX(RUNS!$G$6:$G$1005,MATCH($D713,RUNS!$A$6:$A$1005,0))),""))</f>
        <v/>
      </c>
      <c r="O713" s="33">
        <f>IF($D713="","",IFERROR(IF(INDEX(RUNS!$H$6:$H$1005,MATCH($D713,RUNS!$A$6:$A$1005,0))="","",INDEX(RUNS!$H$6:$H$1005,MATCH($D713,RUNS!$A$6:$A$1005,0))),""))</f>
        <v/>
      </c>
      <c r="P713" s="33">
        <f>IF($D713="","",IFERROR(IF(INDEX(RUNS!$J$6:$J$1005,MATCH($D713,RUNS!$A$6:$A$1005,0))="","",INDEX(RUNS!$J$6:$J$1005,MATCH($D713,RUNS!$A$6:$A$1005,0))),""))</f>
        <v/>
      </c>
      <c r="Q713" s="33">
        <f>IF($D713="","",IFERROR(IF(INDEX(RUNS!$K$6:$K$1005,MATCH($D713,RUNS!$A$6:$A$1005,0))="","",INDEX(RUNS!$K$6:$K$1005,MATCH($D713,RUNS!$A$6:$A$1005,0))),""))</f>
        <v/>
      </c>
      <c r="R713" s="34">
        <f>IF(OR($L713="",$K713=""),"",IFERROR(IF(INDEX(PARAMETRES!$H$43:$H$342,MATCH($L713&amp;"|"&amp;$M713&amp;"|"&amp;$N713&amp;"|"&amp;$O713&amp;"|"&amp;$P713&amp;"|"&amp;$Q713&amp;"|"&amp;$K713,PARAMETRES!$J$43:$J$342,0))="","",INDEX(PARAMETRES!$H$43:$H$342,MATCH($L713&amp;"|"&amp;$M713&amp;"|"&amp;$N713&amp;"|"&amp;$O713&amp;"|"&amp;$P713&amp;"|"&amp;$Q713&amp;"|"&amp;$K713,PARAMETRES!$J$43:$J$342,0))),""))</f>
        <v/>
      </c>
      <c r="S713" s="35">
        <f>IF(OR($G713="",$X713&lt;&gt;"VALIDE"),"",IFERROR(LOOKUP(2,1/(($B$3:$B712=$B713)*($G$3:$G712=$G713)*($X$3:$X712="VALIDE")),$C$3:$C712),""))</f>
        <v/>
      </c>
      <c r="T713" s="36">
        <f>IF(OR($C713="",$S713=""),"",ROUND(($C713-$S713+IF($C713&lt;$S713,1,0))*1440,0))</f>
        <v/>
      </c>
      <c r="U713" s="22">
        <f>IF(OR($H713="",$T713="",$T713&lt;=0),"",$H713*60/$T713)</f>
        <v/>
      </c>
      <c r="V713" s="37">
        <f>IF(OR($U713="",$R713="",$R713=0),"",$U713/$R713)</f>
        <v/>
      </c>
      <c r="W713" s="20">
        <f>IF($G713="","",IF($X713="CONTEXTE INCOMPLET","CONTEXTE INCOMPLET",IF($X713="DOUBLON",StatutDoublon,IF($S713="",StatutInitial,IF($R713="",StatutStandardManquant,IF($V713="","DONNEES INSUFFISANTES",IF($V713&gt;=SeuilConforme,StatutConforme,IF($V713&gt;=SeuilSurveiller,StatutSurveiller,StatutSousStandard))))))))</f>
        <v/>
      </c>
      <c r="X713" s="33">
        <f>IF($G713="","",IF(OR($D713="",$E713="",$F713=""),"CONTEXTE INCOMPLET",IF(COUNTIFS($D$3:$D712,$D713,$E$3:$E712,$E713,$F$3:$F712,$F713,$G$3:$G712,$G713)&gt;0,"DOUBLON","VALIDE")))</f>
        <v/>
      </c>
    </row>
    <row r="714" ht="15" customHeight="1">
      <c r="A714" s="12">
        <f>IF(OR($B714="",$G714=""),"",TEXT($B714,"YYYYMMDD")&amp;"-"&amp;SUBSTITUTE($E714," ","")&amp;"-"&amp;$F714&amp;"-"&amp;$G714)</f>
        <v/>
      </c>
      <c r="B714" s="15" t="n"/>
      <c r="C714" s="16" t="n"/>
      <c r="D714" s="10" t="n"/>
      <c r="E714" s="9" t="n"/>
      <c r="F714" s="9" t="n"/>
      <c r="G714" s="13" t="n"/>
      <c r="H714" s="21" t="n"/>
      <c r="I714" s="21" t="n"/>
      <c r="J714" s="17">
        <f>IF($G714="","",IFERROR(INDEX(NomsEmployes,MATCH($G714,MatriculesEmployes,0)),"MATRICULE INCONNU"))</f>
        <v/>
      </c>
      <c r="K714" s="33">
        <f>IF(OR($D714="",$F714=""),"",IFERROR(IF(INDEX(RUNS!$L$6:$S$1005,MATCH($D714,RUNS!$A$6:$A$1005,0),MATCH("ACTIVITÉ "&amp;$F714,RUNS!$L$5:$S$5,0))="","",INDEX(RUNS!$L$6:$S$1005,MATCH($D714,RUNS!$A$6:$A$1005,0),MATCH("ACTIVITÉ "&amp;$F714,RUNS!$L$5:$S$5,0))),""))</f>
        <v/>
      </c>
      <c r="L714" s="33">
        <f>IF($D714="","",IFERROR(IF(INDEX(RUNS!$E$6:$E$1005,MATCH($D714,RUNS!$A$6:$A$1005,0))="","",INDEX(RUNS!$E$6:$E$1005,MATCH($D714,RUNS!$A$6:$A$1005,0))),""))</f>
        <v/>
      </c>
      <c r="M714" s="33">
        <f>IF($D714="","",IFERROR(IF(INDEX(RUNS!$F$6:$F$1005,MATCH($D714,RUNS!$A$6:$A$1005,0))="","",INDEX(RUNS!$F$6:$F$1005,MATCH($D714,RUNS!$A$6:$A$1005,0))),""))</f>
        <v/>
      </c>
      <c r="N714" s="33">
        <f>IF($D714="","",IFERROR(IF(INDEX(RUNS!$G$6:$G$1005,MATCH($D714,RUNS!$A$6:$A$1005,0))="","",INDEX(RUNS!$G$6:$G$1005,MATCH($D714,RUNS!$A$6:$A$1005,0))),""))</f>
        <v/>
      </c>
      <c r="O714" s="33">
        <f>IF($D714="","",IFERROR(IF(INDEX(RUNS!$H$6:$H$1005,MATCH($D714,RUNS!$A$6:$A$1005,0))="","",INDEX(RUNS!$H$6:$H$1005,MATCH($D714,RUNS!$A$6:$A$1005,0))),""))</f>
        <v/>
      </c>
      <c r="P714" s="33">
        <f>IF($D714="","",IFERROR(IF(INDEX(RUNS!$J$6:$J$1005,MATCH($D714,RUNS!$A$6:$A$1005,0))="","",INDEX(RUNS!$J$6:$J$1005,MATCH($D714,RUNS!$A$6:$A$1005,0))),""))</f>
        <v/>
      </c>
      <c r="Q714" s="33">
        <f>IF($D714="","",IFERROR(IF(INDEX(RUNS!$K$6:$K$1005,MATCH($D714,RUNS!$A$6:$A$1005,0))="","",INDEX(RUNS!$K$6:$K$1005,MATCH($D714,RUNS!$A$6:$A$1005,0))),""))</f>
        <v/>
      </c>
      <c r="R714" s="34">
        <f>IF(OR($L714="",$K714=""),"",IFERROR(IF(INDEX(PARAMETRES!$H$43:$H$342,MATCH($L714&amp;"|"&amp;$M714&amp;"|"&amp;$N714&amp;"|"&amp;$O714&amp;"|"&amp;$P714&amp;"|"&amp;$Q714&amp;"|"&amp;$K714,PARAMETRES!$J$43:$J$342,0))="","",INDEX(PARAMETRES!$H$43:$H$342,MATCH($L714&amp;"|"&amp;$M714&amp;"|"&amp;$N714&amp;"|"&amp;$O714&amp;"|"&amp;$P714&amp;"|"&amp;$Q714&amp;"|"&amp;$K714,PARAMETRES!$J$43:$J$342,0))),""))</f>
        <v/>
      </c>
      <c r="S714" s="35">
        <f>IF(OR($G714="",$X714&lt;&gt;"VALIDE"),"",IFERROR(LOOKUP(2,1/(($B$3:$B713=$B714)*($G$3:$G713=$G714)*($X$3:$X713="VALIDE")),$C$3:$C713),""))</f>
        <v/>
      </c>
      <c r="T714" s="36">
        <f>IF(OR($C714="",$S714=""),"",ROUND(($C714-$S714+IF($C714&lt;$S714,1,0))*1440,0))</f>
        <v/>
      </c>
      <c r="U714" s="22">
        <f>IF(OR($H714="",$T714="",$T714&lt;=0),"",$H714*60/$T714)</f>
        <v/>
      </c>
      <c r="V714" s="37">
        <f>IF(OR($U714="",$R714="",$R714=0),"",$U714/$R714)</f>
        <v/>
      </c>
      <c r="W714" s="20">
        <f>IF($G714="","",IF($X714="CONTEXTE INCOMPLET","CONTEXTE INCOMPLET",IF($X714="DOUBLON",StatutDoublon,IF($S714="",StatutInitial,IF($R714="",StatutStandardManquant,IF($V714="","DONNEES INSUFFISANTES",IF($V714&gt;=SeuilConforme,StatutConforme,IF($V714&gt;=SeuilSurveiller,StatutSurveiller,StatutSousStandard))))))))</f>
        <v/>
      </c>
      <c r="X714" s="33">
        <f>IF($G714="","",IF(OR($D714="",$E714="",$F714=""),"CONTEXTE INCOMPLET",IF(COUNTIFS($D$3:$D713,$D714,$E$3:$E713,$E714,$F$3:$F713,$F714,$G$3:$G713,$G714)&gt;0,"DOUBLON","VALIDE")))</f>
        <v/>
      </c>
    </row>
    <row r="715" ht="15" customHeight="1">
      <c r="A715" s="12">
        <f>IF(OR($B715="",$G715=""),"",TEXT($B715,"YYYYMMDD")&amp;"-"&amp;SUBSTITUTE($E715," ","")&amp;"-"&amp;$F715&amp;"-"&amp;$G715)</f>
        <v/>
      </c>
      <c r="B715" s="15" t="n"/>
      <c r="C715" s="16" t="n"/>
      <c r="D715" s="10" t="n"/>
      <c r="E715" s="9" t="n"/>
      <c r="F715" s="9" t="n"/>
      <c r="G715" s="13" t="n"/>
      <c r="H715" s="21" t="n"/>
      <c r="I715" s="21" t="n"/>
      <c r="J715" s="17">
        <f>IF($G715="","",IFERROR(INDEX(NomsEmployes,MATCH($G715,MatriculesEmployes,0)),"MATRICULE INCONNU"))</f>
        <v/>
      </c>
      <c r="K715" s="33">
        <f>IF(OR($D715="",$F715=""),"",IFERROR(IF(INDEX(RUNS!$L$6:$S$1005,MATCH($D715,RUNS!$A$6:$A$1005,0),MATCH("ACTIVITÉ "&amp;$F715,RUNS!$L$5:$S$5,0))="","",INDEX(RUNS!$L$6:$S$1005,MATCH($D715,RUNS!$A$6:$A$1005,0),MATCH("ACTIVITÉ "&amp;$F715,RUNS!$L$5:$S$5,0))),""))</f>
        <v/>
      </c>
      <c r="L715" s="33">
        <f>IF($D715="","",IFERROR(IF(INDEX(RUNS!$E$6:$E$1005,MATCH($D715,RUNS!$A$6:$A$1005,0))="","",INDEX(RUNS!$E$6:$E$1005,MATCH($D715,RUNS!$A$6:$A$1005,0))),""))</f>
        <v/>
      </c>
      <c r="M715" s="33">
        <f>IF($D715="","",IFERROR(IF(INDEX(RUNS!$F$6:$F$1005,MATCH($D715,RUNS!$A$6:$A$1005,0))="","",INDEX(RUNS!$F$6:$F$1005,MATCH($D715,RUNS!$A$6:$A$1005,0))),""))</f>
        <v/>
      </c>
      <c r="N715" s="33">
        <f>IF($D715="","",IFERROR(IF(INDEX(RUNS!$G$6:$G$1005,MATCH($D715,RUNS!$A$6:$A$1005,0))="","",INDEX(RUNS!$G$6:$G$1005,MATCH($D715,RUNS!$A$6:$A$1005,0))),""))</f>
        <v/>
      </c>
      <c r="O715" s="33">
        <f>IF($D715="","",IFERROR(IF(INDEX(RUNS!$H$6:$H$1005,MATCH($D715,RUNS!$A$6:$A$1005,0))="","",INDEX(RUNS!$H$6:$H$1005,MATCH($D715,RUNS!$A$6:$A$1005,0))),""))</f>
        <v/>
      </c>
      <c r="P715" s="33">
        <f>IF($D715="","",IFERROR(IF(INDEX(RUNS!$J$6:$J$1005,MATCH($D715,RUNS!$A$6:$A$1005,0))="","",INDEX(RUNS!$J$6:$J$1005,MATCH($D715,RUNS!$A$6:$A$1005,0))),""))</f>
        <v/>
      </c>
      <c r="Q715" s="33">
        <f>IF($D715="","",IFERROR(IF(INDEX(RUNS!$K$6:$K$1005,MATCH($D715,RUNS!$A$6:$A$1005,0))="","",INDEX(RUNS!$K$6:$K$1005,MATCH($D715,RUNS!$A$6:$A$1005,0))),""))</f>
        <v/>
      </c>
      <c r="R715" s="34">
        <f>IF(OR($L715="",$K715=""),"",IFERROR(IF(INDEX(PARAMETRES!$H$43:$H$342,MATCH($L715&amp;"|"&amp;$M715&amp;"|"&amp;$N715&amp;"|"&amp;$O715&amp;"|"&amp;$P715&amp;"|"&amp;$Q715&amp;"|"&amp;$K715,PARAMETRES!$J$43:$J$342,0))="","",INDEX(PARAMETRES!$H$43:$H$342,MATCH($L715&amp;"|"&amp;$M715&amp;"|"&amp;$N715&amp;"|"&amp;$O715&amp;"|"&amp;$P715&amp;"|"&amp;$Q715&amp;"|"&amp;$K715,PARAMETRES!$J$43:$J$342,0))),""))</f>
        <v/>
      </c>
      <c r="S715" s="35">
        <f>IF(OR($G715="",$X715&lt;&gt;"VALIDE"),"",IFERROR(LOOKUP(2,1/(($B$3:$B714=$B715)*($G$3:$G714=$G715)*($X$3:$X714="VALIDE")),$C$3:$C714),""))</f>
        <v/>
      </c>
      <c r="T715" s="36">
        <f>IF(OR($C715="",$S715=""),"",ROUND(($C715-$S715+IF($C715&lt;$S715,1,0))*1440,0))</f>
        <v/>
      </c>
      <c r="U715" s="22">
        <f>IF(OR($H715="",$T715="",$T715&lt;=0),"",$H715*60/$T715)</f>
        <v/>
      </c>
      <c r="V715" s="37">
        <f>IF(OR($U715="",$R715="",$R715=0),"",$U715/$R715)</f>
        <v/>
      </c>
      <c r="W715" s="20">
        <f>IF($G715="","",IF($X715="CONTEXTE INCOMPLET","CONTEXTE INCOMPLET",IF($X715="DOUBLON",StatutDoublon,IF($S715="",StatutInitial,IF($R715="",StatutStandardManquant,IF($V715="","DONNEES INSUFFISANTES",IF($V715&gt;=SeuilConforme,StatutConforme,IF($V715&gt;=SeuilSurveiller,StatutSurveiller,StatutSousStandard))))))))</f>
        <v/>
      </c>
      <c r="X715" s="33">
        <f>IF($G715="","",IF(OR($D715="",$E715="",$F715=""),"CONTEXTE INCOMPLET",IF(COUNTIFS($D$3:$D714,$D715,$E$3:$E714,$E715,$F$3:$F714,$F715,$G$3:$G714,$G715)&gt;0,"DOUBLON","VALIDE")))</f>
        <v/>
      </c>
    </row>
    <row r="716" ht="15" customHeight="1">
      <c r="A716" s="12">
        <f>IF(OR($B716="",$G716=""),"",TEXT($B716,"YYYYMMDD")&amp;"-"&amp;SUBSTITUTE($E716," ","")&amp;"-"&amp;$F716&amp;"-"&amp;$G716)</f>
        <v/>
      </c>
      <c r="B716" s="15" t="n"/>
      <c r="C716" s="16" t="n"/>
      <c r="D716" s="10" t="n"/>
      <c r="E716" s="9" t="n"/>
      <c r="F716" s="9" t="n"/>
      <c r="G716" s="13" t="n"/>
      <c r="H716" s="21" t="n"/>
      <c r="I716" s="21" t="n"/>
      <c r="J716" s="17">
        <f>IF($G716="","",IFERROR(INDEX(NomsEmployes,MATCH($G716,MatriculesEmployes,0)),"MATRICULE INCONNU"))</f>
        <v/>
      </c>
      <c r="K716" s="33">
        <f>IF(OR($D716="",$F716=""),"",IFERROR(IF(INDEX(RUNS!$L$6:$S$1005,MATCH($D716,RUNS!$A$6:$A$1005,0),MATCH("ACTIVITÉ "&amp;$F716,RUNS!$L$5:$S$5,0))="","",INDEX(RUNS!$L$6:$S$1005,MATCH($D716,RUNS!$A$6:$A$1005,0),MATCH("ACTIVITÉ "&amp;$F716,RUNS!$L$5:$S$5,0))),""))</f>
        <v/>
      </c>
      <c r="L716" s="33">
        <f>IF($D716="","",IFERROR(IF(INDEX(RUNS!$E$6:$E$1005,MATCH($D716,RUNS!$A$6:$A$1005,0))="","",INDEX(RUNS!$E$6:$E$1005,MATCH($D716,RUNS!$A$6:$A$1005,0))),""))</f>
        <v/>
      </c>
      <c r="M716" s="33">
        <f>IF($D716="","",IFERROR(IF(INDEX(RUNS!$F$6:$F$1005,MATCH($D716,RUNS!$A$6:$A$1005,0))="","",INDEX(RUNS!$F$6:$F$1005,MATCH($D716,RUNS!$A$6:$A$1005,0))),""))</f>
        <v/>
      </c>
      <c r="N716" s="33">
        <f>IF($D716="","",IFERROR(IF(INDEX(RUNS!$G$6:$G$1005,MATCH($D716,RUNS!$A$6:$A$1005,0))="","",INDEX(RUNS!$G$6:$G$1005,MATCH($D716,RUNS!$A$6:$A$1005,0))),""))</f>
        <v/>
      </c>
      <c r="O716" s="33">
        <f>IF($D716="","",IFERROR(IF(INDEX(RUNS!$H$6:$H$1005,MATCH($D716,RUNS!$A$6:$A$1005,0))="","",INDEX(RUNS!$H$6:$H$1005,MATCH($D716,RUNS!$A$6:$A$1005,0))),""))</f>
        <v/>
      </c>
      <c r="P716" s="33">
        <f>IF($D716="","",IFERROR(IF(INDEX(RUNS!$J$6:$J$1005,MATCH($D716,RUNS!$A$6:$A$1005,0))="","",INDEX(RUNS!$J$6:$J$1005,MATCH($D716,RUNS!$A$6:$A$1005,0))),""))</f>
        <v/>
      </c>
      <c r="Q716" s="33">
        <f>IF($D716="","",IFERROR(IF(INDEX(RUNS!$K$6:$K$1005,MATCH($D716,RUNS!$A$6:$A$1005,0))="","",INDEX(RUNS!$K$6:$K$1005,MATCH($D716,RUNS!$A$6:$A$1005,0))),""))</f>
        <v/>
      </c>
      <c r="R716" s="34">
        <f>IF(OR($L716="",$K716=""),"",IFERROR(IF(INDEX(PARAMETRES!$H$43:$H$342,MATCH($L716&amp;"|"&amp;$M716&amp;"|"&amp;$N716&amp;"|"&amp;$O716&amp;"|"&amp;$P716&amp;"|"&amp;$Q716&amp;"|"&amp;$K716,PARAMETRES!$J$43:$J$342,0))="","",INDEX(PARAMETRES!$H$43:$H$342,MATCH($L716&amp;"|"&amp;$M716&amp;"|"&amp;$N716&amp;"|"&amp;$O716&amp;"|"&amp;$P716&amp;"|"&amp;$Q716&amp;"|"&amp;$K716,PARAMETRES!$J$43:$J$342,0))),""))</f>
        <v/>
      </c>
      <c r="S716" s="35">
        <f>IF(OR($G716="",$X716&lt;&gt;"VALIDE"),"",IFERROR(LOOKUP(2,1/(($B$3:$B715=$B716)*($G$3:$G715=$G716)*($X$3:$X715="VALIDE")),$C$3:$C715),""))</f>
        <v/>
      </c>
      <c r="T716" s="36">
        <f>IF(OR($C716="",$S716=""),"",ROUND(($C716-$S716+IF($C716&lt;$S716,1,0))*1440,0))</f>
        <v/>
      </c>
      <c r="U716" s="22">
        <f>IF(OR($H716="",$T716="",$T716&lt;=0),"",$H716*60/$T716)</f>
        <v/>
      </c>
      <c r="V716" s="37">
        <f>IF(OR($U716="",$R716="",$R716=0),"",$U716/$R716)</f>
        <v/>
      </c>
      <c r="W716" s="20">
        <f>IF($G716="","",IF($X716="CONTEXTE INCOMPLET","CONTEXTE INCOMPLET",IF($X716="DOUBLON",StatutDoublon,IF($S716="",StatutInitial,IF($R716="",StatutStandardManquant,IF($V716="","DONNEES INSUFFISANTES",IF($V716&gt;=SeuilConforme,StatutConforme,IF($V716&gt;=SeuilSurveiller,StatutSurveiller,StatutSousStandard))))))))</f>
        <v/>
      </c>
      <c r="X716" s="33">
        <f>IF($G716="","",IF(OR($D716="",$E716="",$F716=""),"CONTEXTE INCOMPLET",IF(COUNTIFS($D$3:$D715,$D716,$E$3:$E715,$E716,$F$3:$F715,$F716,$G$3:$G715,$G716)&gt;0,"DOUBLON","VALIDE")))</f>
        <v/>
      </c>
    </row>
    <row r="717" ht="15" customHeight="1">
      <c r="A717" s="12">
        <f>IF(OR($B717="",$G717=""),"",TEXT($B717,"YYYYMMDD")&amp;"-"&amp;SUBSTITUTE($E717," ","")&amp;"-"&amp;$F717&amp;"-"&amp;$G717)</f>
        <v/>
      </c>
      <c r="B717" s="15" t="n"/>
      <c r="C717" s="16" t="n"/>
      <c r="D717" s="10" t="n"/>
      <c r="E717" s="9" t="n"/>
      <c r="F717" s="9" t="n"/>
      <c r="G717" s="13" t="n"/>
      <c r="H717" s="21" t="n"/>
      <c r="I717" s="21" t="n"/>
      <c r="J717" s="17">
        <f>IF($G717="","",IFERROR(INDEX(NomsEmployes,MATCH($G717,MatriculesEmployes,0)),"MATRICULE INCONNU"))</f>
        <v/>
      </c>
      <c r="K717" s="33">
        <f>IF(OR($D717="",$F717=""),"",IFERROR(IF(INDEX(RUNS!$L$6:$S$1005,MATCH($D717,RUNS!$A$6:$A$1005,0),MATCH("ACTIVITÉ "&amp;$F717,RUNS!$L$5:$S$5,0))="","",INDEX(RUNS!$L$6:$S$1005,MATCH($D717,RUNS!$A$6:$A$1005,0),MATCH("ACTIVITÉ "&amp;$F717,RUNS!$L$5:$S$5,0))),""))</f>
        <v/>
      </c>
      <c r="L717" s="33">
        <f>IF($D717="","",IFERROR(IF(INDEX(RUNS!$E$6:$E$1005,MATCH($D717,RUNS!$A$6:$A$1005,0))="","",INDEX(RUNS!$E$6:$E$1005,MATCH($D717,RUNS!$A$6:$A$1005,0))),""))</f>
        <v/>
      </c>
      <c r="M717" s="33">
        <f>IF($D717="","",IFERROR(IF(INDEX(RUNS!$F$6:$F$1005,MATCH($D717,RUNS!$A$6:$A$1005,0))="","",INDEX(RUNS!$F$6:$F$1005,MATCH($D717,RUNS!$A$6:$A$1005,0))),""))</f>
        <v/>
      </c>
      <c r="N717" s="33">
        <f>IF($D717="","",IFERROR(IF(INDEX(RUNS!$G$6:$G$1005,MATCH($D717,RUNS!$A$6:$A$1005,0))="","",INDEX(RUNS!$G$6:$G$1005,MATCH($D717,RUNS!$A$6:$A$1005,0))),""))</f>
        <v/>
      </c>
      <c r="O717" s="33">
        <f>IF($D717="","",IFERROR(IF(INDEX(RUNS!$H$6:$H$1005,MATCH($D717,RUNS!$A$6:$A$1005,0))="","",INDEX(RUNS!$H$6:$H$1005,MATCH($D717,RUNS!$A$6:$A$1005,0))),""))</f>
        <v/>
      </c>
      <c r="P717" s="33">
        <f>IF($D717="","",IFERROR(IF(INDEX(RUNS!$J$6:$J$1005,MATCH($D717,RUNS!$A$6:$A$1005,0))="","",INDEX(RUNS!$J$6:$J$1005,MATCH($D717,RUNS!$A$6:$A$1005,0))),""))</f>
        <v/>
      </c>
      <c r="Q717" s="33">
        <f>IF($D717="","",IFERROR(IF(INDEX(RUNS!$K$6:$K$1005,MATCH($D717,RUNS!$A$6:$A$1005,0))="","",INDEX(RUNS!$K$6:$K$1005,MATCH($D717,RUNS!$A$6:$A$1005,0))),""))</f>
        <v/>
      </c>
      <c r="R717" s="34">
        <f>IF(OR($L717="",$K717=""),"",IFERROR(IF(INDEX(PARAMETRES!$H$43:$H$342,MATCH($L717&amp;"|"&amp;$M717&amp;"|"&amp;$N717&amp;"|"&amp;$O717&amp;"|"&amp;$P717&amp;"|"&amp;$Q717&amp;"|"&amp;$K717,PARAMETRES!$J$43:$J$342,0))="","",INDEX(PARAMETRES!$H$43:$H$342,MATCH($L717&amp;"|"&amp;$M717&amp;"|"&amp;$N717&amp;"|"&amp;$O717&amp;"|"&amp;$P717&amp;"|"&amp;$Q717&amp;"|"&amp;$K717,PARAMETRES!$J$43:$J$342,0))),""))</f>
        <v/>
      </c>
      <c r="S717" s="35">
        <f>IF(OR($G717="",$X717&lt;&gt;"VALIDE"),"",IFERROR(LOOKUP(2,1/(($B$3:$B716=$B717)*($G$3:$G716=$G717)*($X$3:$X716="VALIDE")),$C$3:$C716),""))</f>
        <v/>
      </c>
      <c r="T717" s="36">
        <f>IF(OR($C717="",$S717=""),"",ROUND(($C717-$S717+IF($C717&lt;$S717,1,0))*1440,0))</f>
        <v/>
      </c>
      <c r="U717" s="22">
        <f>IF(OR($H717="",$T717="",$T717&lt;=0),"",$H717*60/$T717)</f>
        <v/>
      </c>
      <c r="V717" s="37">
        <f>IF(OR($U717="",$R717="",$R717=0),"",$U717/$R717)</f>
        <v/>
      </c>
      <c r="W717" s="20">
        <f>IF($G717="","",IF($X717="CONTEXTE INCOMPLET","CONTEXTE INCOMPLET",IF($X717="DOUBLON",StatutDoublon,IF($S717="",StatutInitial,IF($R717="",StatutStandardManquant,IF($V717="","DONNEES INSUFFISANTES",IF($V717&gt;=SeuilConforme,StatutConforme,IF($V717&gt;=SeuilSurveiller,StatutSurveiller,StatutSousStandard))))))))</f>
        <v/>
      </c>
      <c r="X717" s="33">
        <f>IF($G717="","",IF(OR($D717="",$E717="",$F717=""),"CONTEXTE INCOMPLET",IF(COUNTIFS($D$3:$D716,$D717,$E$3:$E716,$E717,$F$3:$F716,$F717,$G$3:$G716,$G717)&gt;0,"DOUBLON","VALIDE")))</f>
        <v/>
      </c>
    </row>
    <row r="718" ht="15" customHeight="1">
      <c r="A718" s="12">
        <f>IF(OR($B718="",$G718=""),"",TEXT($B718,"YYYYMMDD")&amp;"-"&amp;SUBSTITUTE($E718," ","")&amp;"-"&amp;$F718&amp;"-"&amp;$G718)</f>
        <v/>
      </c>
      <c r="B718" s="15" t="n"/>
      <c r="C718" s="16" t="n"/>
      <c r="D718" s="10" t="n"/>
      <c r="E718" s="9" t="n"/>
      <c r="F718" s="9" t="n"/>
      <c r="G718" s="13" t="n"/>
      <c r="H718" s="21" t="n"/>
      <c r="I718" s="21" t="n"/>
      <c r="J718" s="17">
        <f>IF($G718="","",IFERROR(INDEX(NomsEmployes,MATCH($G718,MatriculesEmployes,0)),"MATRICULE INCONNU"))</f>
        <v/>
      </c>
      <c r="K718" s="33">
        <f>IF(OR($D718="",$F718=""),"",IFERROR(IF(INDEX(RUNS!$L$6:$S$1005,MATCH($D718,RUNS!$A$6:$A$1005,0),MATCH("ACTIVITÉ "&amp;$F718,RUNS!$L$5:$S$5,0))="","",INDEX(RUNS!$L$6:$S$1005,MATCH($D718,RUNS!$A$6:$A$1005,0),MATCH("ACTIVITÉ "&amp;$F718,RUNS!$L$5:$S$5,0))),""))</f>
        <v/>
      </c>
      <c r="L718" s="33">
        <f>IF($D718="","",IFERROR(IF(INDEX(RUNS!$E$6:$E$1005,MATCH($D718,RUNS!$A$6:$A$1005,0))="","",INDEX(RUNS!$E$6:$E$1005,MATCH($D718,RUNS!$A$6:$A$1005,0))),""))</f>
        <v/>
      </c>
      <c r="M718" s="33">
        <f>IF($D718="","",IFERROR(IF(INDEX(RUNS!$F$6:$F$1005,MATCH($D718,RUNS!$A$6:$A$1005,0))="","",INDEX(RUNS!$F$6:$F$1005,MATCH($D718,RUNS!$A$6:$A$1005,0))),""))</f>
        <v/>
      </c>
      <c r="N718" s="33">
        <f>IF($D718="","",IFERROR(IF(INDEX(RUNS!$G$6:$G$1005,MATCH($D718,RUNS!$A$6:$A$1005,0))="","",INDEX(RUNS!$G$6:$G$1005,MATCH($D718,RUNS!$A$6:$A$1005,0))),""))</f>
        <v/>
      </c>
      <c r="O718" s="33">
        <f>IF($D718="","",IFERROR(IF(INDEX(RUNS!$H$6:$H$1005,MATCH($D718,RUNS!$A$6:$A$1005,0))="","",INDEX(RUNS!$H$6:$H$1005,MATCH($D718,RUNS!$A$6:$A$1005,0))),""))</f>
        <v/>
      </c>
      <c r="P718" s="33">
        <f>IF($D718="","",IFERROR(IF(INDEX(RUNS!$J$6:$J$1005,MATCH($D718,RUNS!$A$6:$A$1005,0))="","",INDEX(RUNS!$J$6:$J$1005,MATCH($D718,RUNS!$A$6:$A$1005,0))),""))</f>
        <v/>
      </c>
      <c r="Q718" s="33">
        <f>IF($D718="","",IFERROR(IF(INDEX(RUNS!$K$6:$K$1005,MATCH($D718,RUNS!$A$6:$A$1005,0))="","",INDEX(RUNS!$K$6:$K$1005,MATCH($D718,RUNS!$A$6:$A$1005,0))),""))</f>
        <v/>
      </c>
      <c r="R718" s="34">
        <f>IF(OR($L718="",$K718=""),"",IFERROR(IF(INDEX(PARAMETRES!$H$43:$H$342,MATCH($L718&amp;"|"&amp;$M718&amp;"|"&amp;$N718&amp;"|"&amp;$O718&amp;"|"&amp;$P718&amp;"|"&amp;$Q718&amp;"|"&amp;$K718,PARAMETRES!$J$43:$J$342,0))="","",INDEX(PARAMETRES!$H$43:$H$342,MATCH($L718&amp;"|"&amp;$M718&amp;"|"&amp;$N718&amp;"|"&amp;$O718&amp;"|"&amp;$P718&amp;"|"&amp;$Q718&amp;"|"&amp;$K718,PARAMETRES!$J$43:$J$342,0))),""))</f>
        <v/>
      </c>
      <c r="S718" s="35">
        <f>IF(OR($G718="",$X718&lt;&gt;"VALIDE"),"",IFERROR(LOOKUP(2,1/(($B$3:$B717=$B718)*($G$3:$G717=$G718)*($X$3:$X717="VALIDE")),$C$3:$C717),""))</f>
        <v/>
      </c>
      <c r="T718" s="36">
        <f>IF(OR($C718="",$S718=""),"",ROUND(($C718-$S718+IF($C718&lt;$S718,1,0))*1440,0))</f>
        <v/>
      </c>
      <c r="U718" s="22">
        <f>IF(OR($H718="",$T718="",$T718&lt;=0),"",$H718*60/$T718)</f>
        <v/>
      </c>
      <c r="V718" s="37">
        <f>IF(OR($U718="",$R718="",$R718=0),"",$U718/$R718)</f>
        <v/>
      </c>
      <c r="W718" s="20">
        <f>IF($G718="","",IF($X718="CONTEXTE INCOMPLET","CONTEXTE INCOMPLET",IF($X718="DOUBLON",StatutDoublon,IF($S718="",StatutInitial,IF($R718="",StatutStandardManquant,IF($V718="","DONNEES INSUFFISANTES",IF($V718&gt;=SeuilConforme,StatutConforme,IF($V718&gt;=SeuilSurveiller,StatutSurveiller,StatutSousStandard))))))))</f>
        <v/>
      </c>
      <c r="X718" s="33">
        <f>IF($G718="","",IF(OR($D718="",$E718="",$F718=""),"CONTEXTE INCOMPLET",IF(COUNTIFS($D$3:$D717,$D718,$E$3:$E717,$E718,$F$3:$F717,$F718,$G$3:$G717,$G718)&gt;0,"DOUBLON","VALIDE")))</f>
        <v/>
      </c>
    </row>
    <row r="719" ht="15" customHeight="1">
      <c r="A719" s="12">
        <f>IF(OR($B719="",$G719=""),"",TEXT($B719,"YYYYMMDD")&amp;"-"&amp;SUBSTITUTE($E719," ","")&amp;"-"&amp;$F719&amp;"-"&amp;$G719)</f>
        <v/>
      </c>
      <c r="B719" s="15" t="n"/>
      <c r="C719" s="16" t="n"/>
      <c r="D719" s="10" t="n"/>
      <c r="E719" s="9" t="n"/>
      <c r="F719" s="9" t="n"/>
      <c r="G719" s="13" t="n"/>
      <c r="H719" s="21" t="n"/>
      <c r="I719" s="21" t="n"/>
      <c r="J719" s="17">
        <f>IF($G719="","",IFERROR(INDEX(NomsEmployes,MATCH($G719,MatriculesEmployes,0)),"MATRICULE INCONNU"))</f>
        <v/>
      </c>
      <c r="K719" s="33">
        <f>IF(OR($D719="",$F719=""),"",IFERROR(IF(INDEX(RUNS!$L$6:$S$1005,MATCH($D719,RUNS!$A$6:$A$1005,0),MATCH("ACTIVITÉ "&amp;$F719,RUNS!$L$5:$S$5,0))="","",INDEX(RUNS!$L$6:$S$1005,MATCH($D719,RUNS!$A$6:$A$1005,0),MATCH("ACTIVITÉ "&amp;$F719,RUNS!$L$5:$S$5,0))),""))</f>
        <v/>
      </c>
      <c r="L719" s="33">
        <f>IF($D719="","",IFERROR(IF(INDEX(RUNS!$E$6:$E$1005,MATCH($D719,RUNS!$A$6:$A$1005,0))="","",INDEX(RUNS!$E$6:$E$1005,MATCH($D719,RUNS!$A$6:$A$1005,0))),""))</f>
        <v/>
      </c>
      <c r="M719" s="33">
        <f>IF($D719="","",IFERROR(IF(INDEX(RUNS!$F$6:$F$1005,MATCH($D719,RUNS!$A$6:$A$1005,0))="","",INDEX(RUNS!$F$6:$F$1005,MATCH($D719,RUNS!$A$6:$A$1005,0))),""))</f>
        <v/>
      </c>
      <c r="N719" s="33">
        <f>IF($D719="","",IFERROR(IF(INDEX(RUNS!$G$6:$G$1005,MATCH($D719,RUNS!$A$6:$A$1005,0))="","",INDEX(RUNS!$G$6:$G$1005,MATCH($D719,RUNS!$A$6:$A$1005,0))),""))</f>
        <v/>
      </c>
      <c r="O719" s="33">
        <f>IF($D719="","",IFERROR(IF(INDEX(RUNS!$H$6:$H$1005,MATCH($D719,RUNS!$A$6:$A$1005,0))="","",INDEX(RUNS!$H$6:$H$1005,MATCH($D719,RUNS!$A$6:$A$1005,0))),""))</f>
        <v/>
      </c>
      <c r="P719" s="33">
        <f>IF($D719="","",IFERROR(IF(INDEX(RUNS!$J$6:$J$1005,MATCH($D719,RUNS!$A$6:$A$1005,0))="","",INDEX(RUNS!$J$6:$J$1005,MATCH($D719,RUNS!$A$6:$A$1005,0))),""))</f>
        <v/>
      </c>
      <c r="Q719" s="33">
        <f>IF($D719="","",IFERROR(IF(INDEX(RUNS!$K$6:$K$1005,MATCH($D719,RUNS!$A$6:$A$1005,0))="","",INDEX(RUNS!$K$6:$K$1005,MATCH($D719,RUNS!$A$6:$A$1005,0))),""))</f>
        <v/>
      </c>
      <c r="R719" s="34">
        <f>IF(OR($L719="",$K719=""),"",IFERROR(IF(INDEX(PARAMETRES!$H$43:$H$342,MATCH($L719&amp;"|"&amp;$M719&amp;"|"&amp;$N719&amp;"|"&amp;$O719&amp;"|"&amp;$P719&amp;"|"&amp;$Q719&amp;"|"&amp;$K719,PARAMETRES!$J$43:$J$342,0))="","",INDEX(PARAMETRES!$H$43:$H$342,MATCH($L719&amp;"|"&amp;$M719&amp;"|"&amp;$N719&amp;"|"&amp;$O719&amp;"|"&amp;$P719&amp;"|"&amp;$Q719&amp;"|"&amp;$K719,PARAMETRES!$J$43:$J$342,0))),""))</f>
        <v/>
      </c>
      <c r="S719" s="35">
        <f>IF(OR($G719="",$X719&lt;&gt;"VALIDE"),"",IFERROR(LOOKUP(2,1/(($B$3:$B718=$B719)*($G$3:$G718=$G719)*($X$3:$X718="VALIDE")),$C$3:$C718),""))</f>
        <v/>
      </c>
      <c r="T719" s="36">
        <f>IF(OR($C719="",$S719=""),"",ROUND(($C719-$S719+IF($C719&lt;$S719,1,0))*1440,0))</f>
        <v/>
      </c>
      <c r="U719" s="22">
        <f>IF(OR($H719="",$T719="",$T719&lt;=0),"",$H719*60/$T719)</f>
        <v/>
      </c>
      <c r="V719" s="37">
        <f>IF(OR($U719="",$R719="",$R719=0),"",$U719/$R719)</f>
        <v/>
      </c>
      <c r="W719" s="20">
        <f>IF($G719="","",IF($X719="CONTEXTE INCOMPLET","CONTEXTE INCOMPLET",IF($X719="DOUBLON",StatutDoublon,IF($S719="",StatutInitial,IF($R719="",StatutStandardManquant,IF($V719="","DONNEES INSUFFISANTES",IF($V719&gt;=SeuilConforme,StatutConforme,IF($V719&gt;=SeuilSurveiller,StatutSurveiller,StatutSousStandard))))))))</f>
        <v/>
      </c>
      <c r="X719" s="33">
        <f>IF($G719="","",IF(OR($D719="",$E719="",$F719=""),"CONTEXTE INCOMPLET",IF(COUNTIFS($D$3:$D718,$D719,$E$3:$E718,$E719,$F$3:$F718,$F719,$G$3:$G718,$G719)&gt;0,"DOUBLON","VALIDE")))</f>
        <v/>
      </c>
    </row>
    <row r="720" ht="15" customHeight="1">
      <c r="A720" s="12">
        <f>IF(OR($B720="",$G720=""),"",TEXT($B720,"YYYYMMDD")&amp;"-"&amp;SUBSTITUTE($E720," ","")&amp;"-"&amp;$F720&amp;"-"&amp;$G720)</f>
        <v/>
      </c>
      <c r="B720" s="15" t="n"/>
      <c r="C720" s="16" t="n"/>
      <c r="D720" s="10" t="n"/>
      <c r="E720" s="9" t="n"/>
      <c r="F720" s="9" t="n"/>
      <c r="G720" s="13" t="n"/>
      <c r="H720" s="21" t="n"/>
      <c r="I720" s="21" t="n"/>
      <c r="J720" s="17">
        <f>IF($G720="","",IFERROR(INDEX(NomsEmployes,MATCH($G720,MatriculesEmployes,0)),"MATRICULE INCONNU"))</f>
        <v/>
      </c>
      <c r="K720" s="33">
        <f>IF(OR($D720="",$F720=""),"",IFERROR(IF(INDEX(RUNS!$L$6:$S$1005,MATCH($D720,RUNS!$A$6:$A$1005,0),MATCH("ACTIVITÉ "&amp;$F720,RUNS!$L$5:$S$5,0))="","",INDEX(RUNS!$L$6:$S$1005,MATCH($D720,RUNS!$A$6:$A$1005,0),MATCH("ACTIVITÉ "&amp;$F720,RUNS!$L$5:$S$5,0))),""))</f>
        <v/>
      </c>
      <c r="L720" s="33">
        <f>IF($D720="","",IFERROR(IF(INDEX(RUNS!$E$6:$E$1005,MATCH($D720,RUNS!$A$6:$A$1005,0))="","",INDEX(RUNS!$E$6:$E$1005,MATCH($D720,RUNS!$A$6:$A$1005,0))),""))</f>
        <v/>
      </c>
      <c r="M720" s="33">
        <f>IF($D720="","",IFERROR(IF(INDEX(RUNS!$F$6:$F$1005,MATCH($D720,RUNS!$A$6:$A$1005,0))="","",INDEX(RUNS!$F$6:$F$1005,MATCH($D720,RUNS!$A$6:$A$1005,0))),""))</f>
        <v/>
      </c>
      <c r="N720" s="33">
        <f>IF($D720="","",IFERROR(IF(INDEX(RUNS!$G$6:$G$1005,MATCH($D720,RUNS!$A$6:$A$1005,0))="","",INDEX(RUNS!$G$6:$G$1005,MATCH($D720,RUNS!$A$6:$A$1005,0))),""))</f>
        <v/>
      </c>
      <c r="O720" s="33">
        <f>IF($D720="","",IFERROR(IF(INDEX(RUNS!$H$6:$H$1005,MATCH($D720,RUNS!$A$6:$A$1005,0))="","",INDEX(RUNS!$H$6:$H$1005,MATCH($D720,RUNS!$A$6:$A$1005,0))),""))</f>
        <v/>
      </c>
      <c r="P720" s="33">
        <f>IF($D720="","",IFERROR(IF(INDEX(RUNS!$J$6:$J$1005,MATCH($D720,RUNS!$A$6:$A$1005,0))="","",INDEX(RUNS!$J$6:$J$1005,MATCH($D720,RUNS!$A$6:$A$1005,0))),""))</f>
        <v/>
      </c>
      <c r="Q720" s="33">
        <f>IF($D720="","",IFERROR(IF(INDEX(RUNS!$K$6:$K$1005,MATCH($D720,RUNS!$A$6:$A$1005,0))="","",INDEX(RUNS!$K$6:$K$1005,MATCH($D720,RUNS!$A$6:$A$1005,0))),""))</f>
        <v/>
      </c>
      <c r="R720" s="34">
        <f>IF(OR($L720="",$K720=""),"",IFERROR(IF(INDEX(PARAMETRES!$H$43:$H$342,MATCH($L720&amp;"|"&amp;$M720&amp;"|"&amp;$N720&amp;"|"&amp;$O720&amp;"|"&amp;$P720&amp;"|"&amp;$Q720&amp;"|"&amp;$K720,PARAMETRES!$J$43:$J$342,0))="","",INDEX(PARAMETRES!$H$43:$H$342,MATCH($L720&amp;"|"&amp;$M720&amp;"|"&amp;$N720&amp;"|"&amp;$O720&amp;"|"&amp;$P720&amp;"|"&amp;$Q720&amp;"|"&amp;$K720,PARAMETRES!$J$43:$J$342,0))),""))</f>
        <v/>
      </c>
      <c r="S720" s="35">
        <f>IF(OR($G720="",$X720&lt;&gt;"VALIDE"),"",IFERROR(LOOKUP(2,1/(($B$3:$B719=$B720)*($G$3:$G719=$G720)*($X$3:$X719="VALIDE")),$C$3:$C719),""))</f>
        <v/>
      </c>
      <c r="T720" s="36">
        <f>IF(OR($C720="",$S720=""),"",ROUND(($C720-$S720+IF($C720&lt;$S720,1,0))*1440,0))</f>
        <v/>
      </c>
      <c r="U720" s="22">
        <f>IF(OR($H720="",$T720="",$T720&lt;=0),"",$H720*60/$T720)</f>
        <v/>
      </c>
      <c r="V720" s="37">
        <f>IF(OR($U720="",$R720="",$R720=0),"",$U720/$R720)</f>
        <v/>
      </c>
      <c r="W720" s="20">
        <f>IF($G720="","",IF($X720="CONTEXTE INCOMPLET","CONTEXTE INCOMPLET",IF($X720="DOUBLON",StatutDoublon,IF($S720="",StatutInitial,IF($R720="",StatutStandardManquant,IF($V720="","DONNEES INSUFFISANTES",IF($V720&gt;=SeuilConforme,StatutConforme,IF($V720&gt;=SeuilSurveiller,StatutSurveiller,StatutSousStandard))))))))</f>
        <v/>
      </c>
      <c r="X720" s="33">
        <f>IF($G720="","",IF(OR($D720="",$E720="",$F720=""),"CONTEXTE INCOMPLET",IF(COUNTIFS($D$3:$D719,$D720,$E$3:$E719,$E720,$F$3:$F719,$F720,$G$3:$G719,$G720)&gt;0,"DOUBLON","VALIDE")))</f>
        <v/>
      </c>
    </row>
    <row r="721" ht="15" customHeight="1">
      <c r="A721" s="12">
        <f>IF(OR($B721="",$G721=""),"",TEXT($B721,"YYYYMMDD")&amp;"-"&amp;SUBSTITUTE($E721," ","")&amp;"-"&amp;$F721&amp;"-"&amp;$G721)</f>
        <v/>
      </c>
      <c r="B721" s="15" t="n"/>
      <c r="C721" s="16" t="n"/>
      <c r="D721" s="10" t="n"/>
      <c r="E721" s="9" t="n"/>
      <c r="F721" s="9" t="n"/>
      <c r="G721" s="13" t="n"/>
      <c r="H721" s="21" t="n"/>
      <c r="I721" s="21" t="n"/>
      <c r="J721" s="17">
        <f>IF($G721="","",IFERROR(INDEX(NomsEmployes,MATCH($G721,MatriculesEmployes,0)),"MATRICULE INCONNU"))</f>
        <v/>
      </c>
      <c r="K721" s="33">
        <f>IF(OR($D721="",$F721=""),"",IFERROR(IF(INDEX(RUNS!$L$6:$S$1005,MATCH($D721,RUNS!$A$6:$A$1005,0),MATCH("ACTIVITÉ "&amp;$F721,RUNS!$L$5:$S$5,0))="","",INDEX(RUNS!$L$6:$S$1005,MATCH($D721,RUNS!$A$6:$A$1005,0),MATCH("ACTIVITÉ "&amp;$F721,RUNS!$L$5:$S$5,0))),""))</f>
        <v/>
      </c>
      <c r="L721" s="33">
        <f>IF($D721="","",IFERROR(IF(INDEX(RUNS!$E$6:$E$1005,MATCH($D721,RUNS!$A$6:$A$1005,0))="","",INDEX(RUNS!$E$6:$E$1005,MATCH($D721,RUNS!$A$6:$A$1005,0))),""))</f>
        <v/>
      </c>
      <c r="M721" s="33">
        <f>IF($D721="","",IFERROR(IF(INDEX(RUNS!$F$6:$F$1005,MATCH($D721,RUNS!$A$6:$A$1005,0))="","",INDEX(RUNS!$F$6:$F$1005,MATCH($D721,RUNS!$A$6:$A$1005,0))),""))</f>
        <v/>
      </c>
      <c r="N721" s="33">
        <f>IF($D721="","",IFERROR(IF(INDEX(RUNS!$G$6:$G$1005,MATCH($D721,RUNS!$A$6:$A$1005,0))="","",INDEX(RUNS!$G$6:$G$1005,MATCH($D721,RUNS!$A$6:$A$1005,0))),""))</f>
        <v/>
      </c>
      <c r="O721" s="33">
        <f>IF($D721="","",IFERROR(IF(INDEX(RUNS!$H$6:$H$1005,MATCH($D721,RUNS!$A$6:$A$1005,0))="","",INDEX(RUNS!$H$6:$H$1005,MATCH($D721,RUNS!$A$6:$A$1005,0))),""))</f>
        <v/>
      </c>
      <c r="P721" s="33">
        <f>IF($D721="","",IFERROR(IF(INDEX(RUNS!$J$6:$J$1005,MATCH($D721,RUNS!$A$6:$A$1005,0))="","",INDEX(RUNS!$J$6:$J$1005,MATCH($D721,RUNS!$A$6:$A$1005,0))),""))</f>
        <v/>
      </c>
      <c r="Q721" s="33">
        <f>IF($D721="","",IFERROR(IF(INDEX(RUNS!$K$6:$K$1005,MATCH($D721,RUNS!$A$6:$A$1005,0))="","",INDEX(RUNS!$K$6:$K$1005,MATCH($D721,RUNS!$A$6:$A$1005,0))),""))</f>
        <v/>
      </c>
      <c r="R721" s="34">
        <f>IF(OR($L721="",$K721=""),"",IFERROR(IF(INDEX(PARAMETRES!$H$43:$H$342,MATCH($L721&amp;"|"&amp;$M721&amp;"|"&amp;$N721&amp;"|"&amp;$O721&amp;"|"&amp;$P721&amp;"|"&amp;$Q721&amp;"|"&amp;$K721,PARAMETRES!$J$43:$J$342,0))="","",INDEX(PARAMETRES!$H$43:$H$342,MATCH($L721&amp;"|"&amp;$M721&amp;"|"&amp;$N721&amp;"|"&amp;$O721&amp;"|"&amp;$P721&amp;"|"&amp;$Q721&amp;"|"&amp;$K721,PARAMETRES!$J$43:$J$342,0))),""))</f>
        <v/>
      </c>
      <c r="S721" s="35">
        <f>IF(OR($G721="",$X721&lt;&gt;"VALIDE"),"",IFERROR(LOOKUP(2,1/(($B$3:$B720=$B721)*($G$3:$G720=$G721)*($X$3:$X720="VALIDE")),$C$3:$C720),""))</f>
        <v/>
      </c>
      <c r="T721" s="36">
        <f>IF(OR($C721="",$S721=""),"",ROUND(($C721-$S721+IF($C721&lt;$S721,1,0))*1440,0))</f>
        <v/>
      </c>
      <c r="U721" s="22">
        <f>IF(OR($H721="",$T721="",$T721&lt;=0),"",$H721*60/$T721)</f>
        <v/>
      </c>
      <c r="V721" s="37">
        <f>IF(OR($U721="",$R721="",$R721=0),"",$U721/$R721)</f>
        <v/>
      </c>
      <c r="W721" s="20">
        <f>IF($G721="","",IF($X721="CONTEXTE INCOMPLET","CONTEXTE INCOMPLET",IF($X721="DOUBLON",StatutDoublon,IF($S721="",StatutInitial,IF($R721="",StatutStandardManquant,IF($V721="","DONNEES INSUFFISANTES",IF($V721&gt;=SeuilConforme,StatutConforme,IF($V721&gt;=SeuilSurveiller,StatutSurveiller,StatutSousStandard))))))))</f>
        <v/>
      </c>
      <c r="X721" s="33">
        <f>IF($G721="","",IF(OR($D721="",$E721="",$F721=""),"CONTEXTE INCOMPLET",IF(COUNTIFS($D$3:$D720,$D721,$E$3:$E720,$E721,$F$3:$F720,$F721,$G$3:$G720,$G721)&gt;0,"DOUBLON","VALIDE")))</f>
        <v/>
      </c>
    </row>
    <row r="722" ht="15" customHeight="1">
      <c r="A722" s="12">
        <f>IF(OR($B722="",$G722=""),"",TEXT($B722,"YYYYMMDD")&amp;"-"&amp;SUBSTITUTE($E722," ","")&amp;"-"&amp;$F722&amp;"-"&amp;$G722)</f>
        <v/>
      </c>
      <c r="B722" s="15" t="n"/>
      <c r="C722" s="16" t="n"/>
      <c r="D722" s="10" t="n"/>
      <c r="E722" s="9" t="n"/>
      <c r="F722" s="9" t="n"/>
      <c r="G722" s="13" t="n"/>
      <c r="H722" s="21" t="n"/>
      <c r="I722" s="21" t="n"/>
      <c r="J722" s="17">
        <f>IF($G722="","",IFERROR(INDEX(NomsEmployes,MATCH($G722,MatriculesEmployes,0)),"MATRICULE INCONNU"))</f>
        <v/>
      </c>
      <c r="K722" s="33">
        <f>IF(OR($D722="",$F722=""),"",IFERROR(IF(INDEX(RUNS!$L$6:$S$1005,MATCH($D722,RUNS!$A$6:$A$1005,0),MATCH("ACTIVITÉ "&amp;$F722,RUNS!$L$5:$S$5,0))="","",INDEX(RUNS!$L$6:$S$1005,MATCH($D722,RUNS!$A$6:$A$1005,0),MATCH("ACTIVITÉ "&amp;$F722,RUNS!$L$5:$S$5,0))),""))</f>
        <v/>
      </c>
      <c r="L722" s="33">
        <f>IF($D722="","",IFERROR(IF(INDEX(RUNS!$E$6:$E$1005,MATCH($D722,RUNS!$A$6:$A$1005,0))="","",INDEX(RUNS!$E$6:$E$1005,MATCH($D722,RUNS!$A$6:$A$1005,0))),""))</f>
        <v/>
      </c>
      <c r="M722" s="33">
        <f>IF($D722="","",IFERROR(IF(INDEX(RUNS!$F$6:$F$1005,MATCH($D722,RUNS!$A$6:$A$1005,0))="","",INDEX(RUNS!$F$6:$F$1005,MATCH($D722,RUNS!$A$6:$A$1005,0))),""))</f>
        <v/>
      </c>
      <c r="N722" s="33">
        <f>IF($D722="","",IFERROR(IF(INDEX(RUNS!$G$6:$G$1005,MATCH($D722,RUNS!$A$6:$A$1005,0))="","",INDEX(RUNS!$G$6:$G$1005,MATCH($D722,RUNS!$A$6:$A$1005,0))),""))</f>
        <v/>
      </c>
      <c r="O722" s="33">
        <f>IF($D722="","",IFERROR(IF(INDEX(RUNS!$H$6:$H$1005,MATCH($D722,RUNS!$A$6:$A$1005,0))="","",INDEX(RUNS!$H$6:$H$1005,MATCH($D722,RUNS!$A$6:$A$1005,0))),""))</f>
        <v/>
      </c>
      <c r="P722" s="33">
        <f>IF($D722="","",IFERROR(IF(INDEX(RUNS!$J$6:$J$1005,MATCH($D722,RUNS!$A$6:$A$1005,0))="","",INDEX(RUNS!$J$6:$J$1005,MATCH($D722,RUNS!$A$6:$A$1005,0))),""))</f>
        <v/>
      </c>
      <c r="Q722" s="33">
        <f>IF($D722="","",IFERROR(IF(INDEX(RUNS!$K$6:$K$1005,MATCH($D722,RUNS!$A$6:$A$1005,0))="","",INDEX(RUNS!$K$6:$K$1005,MATCH($D722,RUNS!$A$6:$A$1005,0))),""))</f>
        <v/>
      </c>
      <c r="R722" s="34">
        <f>IF(OR($L722="",$K722=""),"",IFERROR(IF(INDEX(PARAMETRES!$H$43:$H$342,MATCH($L722&amp;"|"&amp;$M722&amp;"|"&amp;$N722&amp;"|"&amp;$O722&amp;"|"&amp;$P722&amp;"|"&amp;$Q722&amp;"|"&amp;$K722,PARAMETRES!$J$43:$J$342,0))="","",INDEX(PARAMETRES!$H$43:$H$342,MATCH($L722&amp;"|"&amp;$M722&amp;"|"&amp;$N722&amp;"|"&amp;$O722&amp;"|"&amp;$P722&amp;"|"&amp;$Q722&amp;"|"&amp;$K722,PARAMETRES!$J$43:$J$342,0))),""))</f>
        <v/>
      </c>
      <c r="S722" s="35">
        <f>IF(OR($G722="",$X722&lt;&gt;"VALIDE"),"",IFERROR(LOOKUP(2,1/(($B$3:$B721=$B722)*($G$3:$G721=$G722)*($X$3:$X721="VALIDE")),$C$3:$C721),""))</f>
        <v/>
      </c>
      <c r="T722" s="36">
        <f>IF(OR($C722="",$S722=""),"",ROUND(($C722-$S722+IF($C722&lt;$S722,1,0))*1440,0))</f>
        <v/>
      </c>
      <c r="U722" s="22">
        <f>IF(OR($H722="",$T722="",$T722&lt;=0),"",$H722*60/$T722)</f>
        <v/>
      </c>
      <c r="V722" s="37">
        <f>IF(OR($U722="",$R722="",$R722=0),"",$U722/$R722)</f>
        <v/>
      </c>
      <c r="W722" s="20">
        <f>IF($G722="","",IF($X722="CONTEXTE INCOMPLET","CONTEXTE INCOMPLET",IF($X722="DOUBLON",StatutDoublon,IF($S722="",StatutInitial,IF($R722="",StatutStandardManquant,IF($V722="","DONNEES INSUFFISANTES",IF($V722&gt;=SeuilConforme,StatutConforme,IF($V722&gt;=SeuilSurveiller,StatutSurveiller,StatutSousStandard))))))))</f>
        <v/>
      </c>
      <c r="X722" s="33">
        <f>IF($G722="","",IF(OR($D722="",$E722="",$F722=""),"CONTEXTE INCOMPLET",IF(COUNTIFS($D$3:$D721,$D722,$E$3:$E721,$E722,$F$3:$F721,$F722,$G$3:$G721,$G722)&gt;0,"DOUBLON","VALIDE")))</f>
        <v/>
      </c>
    </row>
    <row r="723" ht="15" customHeight="1">
      <c r="A723" s="12">
        <f>IF(OR($B723="",$G723=""),"",TEXT($B723,"YYYYMMDD")&amp;"-"&amp;SUBSTITUTE($E723," ","")&amp;"-"&amp;$F723&amp;"-"&amp;$G723)</f>
        <v/>
      </c>
      <c r="B723" s="15" t="n"/>
      <c r="C723" s="16" t="n"/>
      <c r="D723" s="10" t="n"/>
      <c r="E723" s="9" t="n"/>
      <c r="F723" s="9" t="n"/>
      <c r="G723" s="13" t="n"/>
      <c r="H723" s="21" t="n"/>
      <c r="I723" s="21" t="n"/>
      <c r="J723" s="17">
        <f>IF($G723="","",IFERROR(INDEX(NomsEmployes,MATCH($G723,MatriculesEmployes,0)),"MATRICULE INCONNU"))</f>
        <v/>
      </c>
      <c r="K723" s="33">
        <f>IF(OR($D723="",$F723=""),"",IFERROR(IF(INDEX(RUNS!$L$6:$S$1005,MATCH($D723,RUNS!$A$6:$A$1005,0),MATCH("ACTIVITÉ "&amp;$F723,RUNS!$L$5:$S$5,0))="","",INDEX(RUNS!$L$6:$S$1005,MATCH($D723,RUNS!$A$6:$A$1005,0),MATCH("ACTIVITÉ "&amp;$F723,RUNS!$L$5:$S$5,0))),""))</f>
        <v/>
      </c>
      <c r="L723" s="33">
        <f>IF($D723="","",IFERROR(IF(INDEX(RUNS!$E$6:$E$1005,MATCH($D723,RUNS!$A$6:$A$1005,0))="","",INDEX(RUNS!$E$6:$E$1005,MATCH($D723,RUNS!$A$6:$A$1005,0))),""))</f>
        <v/>
      </c>
      <c r="M723" s="33">
        <f>IF($D723="","",IFERROR(IF(INDEX(RUNS!$F$6:$F$1005,MATCH($D723,RUNS!$A$6:$A$1005,0))="","",INDEX(RUNS!$F$6:$F$1005,MATCH($D723,RUNS!$A$6:$A$1005,0))),""))</f>
        <v/>
      </c>
      <c r="N723" s="33">
        <f>IF($D723="","",IFERROR(IF(INDEX(RUNS!$G$6:$G$1005,MATCH($D723,RUNS!$A$6:$A$1005,0))="","",INDEX(RUNS!$G$6:$G$1005,MATCH($D723,RUNS!$A$6:$A$1005,0))),""))</f>
        <v/>
      </c>
      <c r="O723" s="33">
        <f>IF($D723="","",IFERROR(IF(INDEX(RUNS!$H$6:$H$1005,MATCH($D723,RUNS!$A$6:$A$1005,0))="","",INDEX(RUNS!$H$6:$H$1005,MATCH($D723,RUNS!$A$6:$A$1005,0))),""))</f>
        <v/>
      </c>
      <c r="P723" s="33">
        <f>IF($D723="","",IFERROR(IF(INDEX(RUNS!$J$6:$J$1005,MATCH($D723,RUNS!$A$6:$A$1005,0))="","",INDEX(RUNS!$J$6:$J$1005,MATCH($D723,RUNS!$A$6:$A$1005,0))),""))</f>
        <v/>
      </c>
      <c r="Q723" s="33">
        <f>IF($D723="","",IFERROR(IF(INDEX(RUNS!$K$6:$K$1005,MATCH($D723,RUNS!$A$6:$A$1005,0))="","",INDEX(RUNS!$K$6:$K$1005,MATCH($D723,RUNS!$A$6:$A$1005,0))),""))</f>
        <v/>
      </c>
      <c r="R723" s="34">
        <f>IF(OR($L723="",$K723=""),"",IFERROR(IF(INDEX(PARAMETRES!$H$43:$H$342,MATCH($L723&amp;"|"&amp;$M723&amp;"|"&amp;$N723&amp;"|"&amp;$O723&amp;"|"&amp;$P723&amp;"|"&amp;$Q723&amp;"|"&amp;$K723,PARAMETRES!$J$43:$J$342,0))="","",INDEX(PARAMETRES!$H$43:$H$342,MATCH($L723&amp;"|"&amp;$M723&amp;"|"&amp;$N723&amp;"|"&amp;$O723&amp;"|"&amp;$P723&amp;"|"&amp;$Q723&amp;"|"&amp;$K723,PARAMETRES!$J$43:$J$342,0))),""))</f>
        <v/>
      </c>
      <c r="S723" s="35">
        <f>IF(OR($G723="",$X723&lt;&gt;"VALIDE"),"",IFERROR(LOOKUP(2,1/(($B$3:$B722=$B723)*($G$3:$G722=$G723)*($X$3:$X722="VALIDE")),$C$3:$C722),""))</f>
        <v/>
      </c>
      <c r="T723" s="36">
        <f>IF(OR($C723="",$S723=""),"",ROUND(($C723-$S723+IF($C723&lt;$S723,1,0))*1440,0))</f>
        <v/>
      </c>
      <c r="U723" s="22">
        <f>IF(OR($H723="",$T723="",$T723&lt;=0),"",$H723*60/$T723)</f>
        <v/>
      </c>
      <c r="V723" s="37">
        <f>IF(OR($U723="",$R723="",$R723=0),"",$U723/$R723)</f>
        <v/>
      </c>
      <c r="W723" s="20">
        <f>IF($G723="","",IF($X723="CONTEXTE INCOMPLET","CONTEXTE INCOMPLET",IF($X723="DOUBLON",StatutDoublon,IF($S723="",StatutInitial,IF($R723="",StatutStandardManquant,IF($V723="","DONNEES INSUFFISANTES",IF($V723&gt;=SeuilConforme,StatutConforme,IF($V723&gt;=SeuilSurveiller,StatutSurveiller,StatutSousStandard))))))))</f>
        <v/>
      </c>
      <c r="X723" s="33">
        <f>IF($G723="","",IF(OR($D723="",$E723="",$F723=""),"CONTEXTE INCOMPLET",IF(COUNTIFS($D$3:$D722,$D723,$E$3:$E722,$E723,$F$3:$F722,$F723,$G$3:$G722,$G723)&gt;0,"DOUBLON","VALIDE")))</f>
        <v/>
      </c>
    </row>
    <row r="724" ht="15" customHeight="1">
      <c r="A724" s="12">
        <f>IF(OR($B724="",$G724=""),"",TEXT($B724,"YYYYMMDD")&amp;"-"&amp;SUBSTITUTE($E724," ","")&amp;"-"&amp;$F724&amp;"-"&amp;$G724)</f>
        <v/>
      </c>
      <c r="B724" s="15" t="n"/>
      <c r="C724" s="16" t="n"/>
      <c r="D724" s="10" t="n"/>
      <c r="E724" s="9" t="n"/>
      <c r="F724" s="9" t="n"/>
      <c r="G724" s="13" t="n"/>
      <c r="H724" s="21" t="n"/>
      <c r="I724" s="21" t="n"/>
      <c r="J724" s="17">
        <f>IF($G724="","",IFERROR(INDEX(NomsEmployes,MATCH($G724,MatriculesEmployes,0)),"MATRICULE INCONNU"))</f>
        <v/>
      </c>
      <c r="K724" s="33">
        <f>IF(OR($D724="",$F724=""),"",IFERROR(IF(INDEX(RUNS!$L$6:$S$1005,MATCH($D724,RUNS!$A$6:$A$1005,0),MATCH("ACTIVITÉ "&amp;$F724,RUNS!$L$5:$S$5,0))="","",INDEX(RUNS!$L$6:$S$1005,MATCH($D724,RUNS!$A$6:$A$1005,0),MATCH("ACTIVITÉ "&amp;$F724,RUNS!$L$5:$S$5,0))),""))</f>
        <v/>
      </c>
      <c r="L724" s="33">
        <f>IF($D724="","",IFERROR(IF(INDEX(RUNS!$E$6:$E$1005,MATCH($D724,RUNS!$A$6:$A$1005,0))="","",INDEX(RUNS!$E$6:$E$1005,MATCH($D724,RUNS!$A$6:$A$1005,0))),""))</f>
        <v/>
      </c>
      <c r="M724" s="33">
        <f>IF($D724="","",IFERROR(IF(INDEX(RUNS!$F$6:$F$1005,MATCH($D724,RUNS!$A$6:$A$1005,0))="","",INDEX(RUNS!$F$6:$F$1005,MATCH($D724,RUNS!$A$6:$A$1005,0))),""))</f>
        <v/>
      </c>
      <c r="N724" s="33">
        <f>IF($D724="","",IFERROR(IF(INDEX(RUNS!$G$6:$G$1005,MATCH($D724,RUNS!$A$6:$A$1005,0))="","",INDEX(RUNS!$G$6:$G$1005,MATCH($D724,RUNS!$A$6:$A$1005,0))),""))</f>
        <v/>
      </c>
      <c r="O724" s="33">
        <f>IF($D724="","",IFERROR(IF(INDEX(RUNS!$H$6:$H$1005,MATCH($D724,RUNS!$A$6:$A$1005,0))="","",INDEX(RUNS!$H$6:$H$1005,MATCH($D724,RUNS!$A$6:$A$1005,0))),""))</f>
        <v/>
      </c>
      <c r="P724" s="33">
        <f>IF($D724="","",IFERROR(IF(INDEX(RUNS!$J$6:$J$1005,MATCH($D724,RUNS!$A$6:$A$1005,0))="","",INDEX(RUNS!$J$6:$J$1005,MATCH($D724,RUNS!$A$6:$A$1005,0))),""))</f>
        <v/>
      </c>
      <c r="Q724" s="33">
        <f>IF($D724="","",IFERROR(IF(INDEX(RUNS!$K$6:$K$1005,MATCH($D724,RUNS!$A$6:$A$1005,0))="","",INDEX(RUNS!$K$6:$K$1005,MATCH($D724,RUNS!$A$6:$A$1005,0))),""))</f>
        <v/>
      </c>
      <c r="R724" s="34">
        <f>IF(OR($L724="",$K724=""),"",IFERROR(IF(INDEX(PARAMETRES!$H$43:$H$342,MATCH($L724&amp;"|"&amp;$M724&amp;"|"&amp;$N724&amp;"|"&amp;$O724&amp;"|"&amp;$P724&amp;"|"&amp;$Q724&amp;"|"&amp;$K724,PARAMETRES!$J$43:$J$342,0))="","",INDEX(PARAMETRES!$H$43:$H$342,MATCH($L724&amp;"|"&amp;$M724&amp;"|"&amp;$N724&amp;"|"&amp;$O724&amp;"|"&amp;$P724&amp;"|"&amp;$Q724&amp;"|"&amp;$K724,PARAMETRES!$J$43:$J$342,0))),""))</f>
        <v/>
      </c>
      <c r="S724" s="35">
        <f>IF(OR($G724="",$X724&lt;&gt;"VALIDE"),"",IFERROR(LOOKUP(2,1/(($B$3:$B723=$B724)*($G$3:$G723=$G724)*($X$3:$X723="VALIDE")),$C$3:$C723),""))</f>
        <v/>
      </c>
      <c r="T724" s="36">
        <f>IF(OR($C724="",$S724=""),"",ROUND(($C724-$S724+IF($C724&lt;$S724,1,0))*1440,0))</f>
        <v/>
      </c>
      <c r="U724" s="22">
        <f>IF(OR($H724="",$T724="",$T724&lt;=0),"",$H724*60/$T724)</f>
        <v/>
      </c>
      <c r="V724" s="37">
        <f>IF(OR($U724="",$R724="",$R724=0),"",$U724/$R724)</f>
        <v/>
      </c>
      <c r="W724" s="20">
        <f>IF($G724="","",IF($X724="CONTEXTE INCOMPLET","CONTEXTE INCOMPLET",IF($X724="DOUBLON",StatutDoublon,IF($S724="",StatutInitial,IF($R724="",StatutStandardManquant,IF($V724="","DONNEES INSUFFISANTES",IF($V724&gt;=SeuilConforme,StatutConforme,IF($V724&gt;=SeuilSurveiller,StatutSurveiller,StatutSousStandard))))))))</f>
        <v/>
      </c>
      <c r="X724" s="33">
        <f>IF($G724="","",IF(OR($D724="",$E724="",$F724=""),"CONTEXTE INCOMPLET",IF(COUNTIFS($D$3:$D723,$D724,$E$3:$E723,$E724,$F$3:$F723,$F724,$G$3:$G723,$G724)&gt;0,"DOUBLON","VALIDE")))</f>
        <v/>
      </c>
    </row>
    <row r="725" ht="15" customHeight="1">
      <c r="A725" s="12">
        <f>IF(OR($B725="",$G725=""),"",TEXT($B725,"YYYYMMDD")&amp;"-"&amp;SUBSTITUTE($E725," ","")&amp;"-"&amp;$F725&amp;"-"&amp;$G725)</f>
        <v/>
      </c>
      <c r="B725" s="15" t="n"/>
      <c r="C725" s="16" t="n"/>
      <c r="D725" s="10" t="n"/>
      <c r="E725" s="9" t="n"/>
      <c r="F725" s="9" t="n"/>
      <c r="G725" s="13" t="n"/>
      <c r="H725" s="21" t="n"/>
      <c r="I725" s="21" t="n"/>
      <c r="J725" s="17">
        <f>IF($G725="","",IFERROR(INDEX(NomsEmployes,MATCH($G725,MatriculesEmployes,0)),"MATRICULE INCONNU"))</f>
        <v/>
      </c>
      <c r="K725" s="33">
        <f>IF(OR($D725="",$F725=""),"",IFERROR(IF(INDEX(RUNS!$L$6:$S$1005,MATCH($D725,RUNS!$A$6:$A$1005,0),MATCH("ACTIVITÉ "&amp;$F725,RUNS!$L$5:$S$5,0))="","",INDEX(RUNS!$L$6:$S$1005,MATCH($D725,RUNS!$A$6:$A$1005,0),MATCH("ACTIVITÉ "&amp;$F725,RUNS!$L$5:$S$5,0))),""))</f>
        <v/>
      </c>
      <c r="L725" s="33">
        <f>IF($D725="","",IFERROR(IF(INDEX(RUNS!$E$6:$E$1005,MATCH($D725,RUNS!$A$6:$A$1005,0))="","",INDEX(RUNS!$E$6:$E$1005,MATCH($D725,RUNS!$A$6:$A$1005,0))),""))</f>
        <v/>
      </c>
      <c r="M725" s="33">
        <f>IF($D725="","",IFERROR(IF(INDEX(RUNS!$F$6:$F$1005,MATCH($D725,RUNS!$A$6:$A$1005,0))="","",INDEX(RUNS!$F$6:$F$1005,MATCH($D725,RUNS!$A$6:$A$1005,0))),""))</f>
        <v/>
      </c>
      <c r="N725" s="33">
        <f>IF($D725="","",IFERROR(IF(INDEX(RUNS!$G$6:$G$1005,MATCH($D725,RUNS!$A$6:$A$1005,0))="","",INDEX(RUNS!$G$6:$G$1005,MATCH($D725,RUNS!$A$6:$A$1005,0))),""))</f>
        <v/>
      </c>
      <c r="O725" s="33">
        <f>IF($D725="","",IFERROR(IF(INDEX(RUNS!$H$6:$H$1005,MATCH($D725,RUNS!$A$6:$A$1005,0))="","",INDEX(RUNS!$H$6:$H$1005,MATCH($D725,RUNS!$A$6:$A$1005,0))),""))</f>
        <v/>
      </c>
      <c r="P725" s="33">
        <f>IF($D725="","",IFERROR(IF(INDEX(RUNS!$J$6:$J$1005,MATCH($D725,RUNS!$A$6:$A$1005,0))="","",INDEX(RUNS!$J$6:$J$1005,MATCH($D725,RUNS!$A$6:$A$1005,0))),""))</f>
        <v/>
      </c>
      <c r="Q725" s="33">
        <f>IF($D725="","",IFERROR(IF(INDEX(RUNS!$K$6:$K$1005,MATCH($D725,RUNS!$A$6:$A$1005,0))="","",INDEX(RUNS!$K$6:$K$1005,MATCH($D725,RUNS!$A$6:$A$1005,0))),""))</f>
        <v/>
      </c>
      <c r="R725" s="34">
        <f>IF(OR($L725="",$K725=""),"",IFERROR(IF(INDEX(PARAMETRES!$H$43:$H$342,MATCH($L725&amp;"|"&amp;$M725&amp;"|"&amp;$N725&amp;"|"&amp;$O725&amp;"|"&amp;$P725&amp;"|"&amp;$Q725&amp;"|"&amp;$K725,PARAMETRES!$J$43:$J$342,0))="","",INDEX(PARAMETRES!$H$43:$H$342,MATCH($L725&amp;"|"&amp;$M725&amp;"|"&amp;$N725&amp;"|"&amp;$O725&amp;"|"&amp;$P725&amp;"|"&amp;$Q725&amp;"|"&amp;$K725,PARAMETRES!$J$43:$J$342,0))),""))</f>
        <v/>
      </c>
      <c r="S725" s="35">
        <f>IF(OR($G725="",$X725&lt;&gt;"VALIDE"),"",IFERROR(LOOKUP(2,1/(($B$3:$B724=$B725)*($G$3:$G724=$G725)*($X$3:$X724="VALIDE")),$C$3:$C724),""))</f>
        <v/>
      </c>
      <c r="T725" s="36">
        <f>IF(OR($C725="",$S725=""),"",ROUND(($C725-$S725+IF($C725&lt;$S725,1,0))*1440,0))</f>
        <v/>
      </c>
      <c r="U725" s="22">
        <f>IF(OR($H725="",$T725="",$T725&lt;=0),"",$H725*60/$T725)</f>
        <v/>
      </c>
      <c r="V725" s="37">
        <f>IF(OR($U725="",$R725="",$R725=0),"",$U725/$R725)</f>
        <v/>
      </c>
      <c r="W725" s="20">
        <f>IF($G725="","",IF($X725="CONTEXTE INCOMPLET","CONTEXTE INCOMPLET",IF($X725="DOUBLON",StatutDoublon,IF($S725="",StatutInitial,IF($R725="",StatutStandardManquant,IF($V725="","DONNEES INSUFFISANTES",IF($V725&gt;=SeuilConforme,StatutConforme,IF($V725&gt;=SeuilSurveiller,StatutSurveiller,StatutSousStandard))))))))</f>
        <v/>
      </c>
      <c r="X725" s="33">
        <f>IF($G725="","",IF(OR($D725="",$E725="",$F725=""),"CONTEXTE INCOMPLET",IF(COUNTIFS($D$3:$D724,$D725,$E$3:$E724,$E725,$F$3:$F724,$F725,$G$3:$G724,$G725)&gt;0,"DOUBLON","VALIDE")))</f>
        <v/>
      </c>
    </row>
    <row r="726" ht="15" customHeight="1">
      <c r="A726" s="12">
        <f>IF(OR($B726="",$G726=""),"",TEXT($B726,"YYYYMMDD")&amp;"-"&amp;SUBSTITUTE($E726," ","")&amp;"-"&amp;$F726&amp;"-"&amp;$G726)</f>
        <v/>
      </c>
      <c r="B726" s="15" t="n"/>
      <c r="C726" s="16" t="n"/>
      <c r="D726" s="10" t="n"/>
      <c r="E726" s="9" t="n"/>
      <c r="F726" s="9" t="n"/>
      <c r="G726" s="13" t="n"/>
      <c r="H726" s="21" t="n"/>
      <c r="I726" s="21" t="n"/>
      <c r="J726" s="17">
        <f>IF($G726="","",IFERROR(INDEX(NomsEmployes,MATCH($G726,MatriculesEmployes,0)),"MATRICULE INCONNU"))</f>
        <v/>
      </c>
      <c r="K726" s="33">
        <f>IF(OR($D726="",$F726=""),"",IFERROR(IF(INDEX(RUNS!$L$6:$S$1005,MATCH($D726,RUNS!$A$6:$A$1005,0),MATCH("ACTIVITÉ "&amp;$F726,RUNS!$L$5:$S$5,0))="","",INDEX(RUNS!$L$6:$S$1005,MATCH($D726,RUNS!$A$6:$A$1005,0),MATCH("ACTIVITÉ "&amp;$F726,RUNS!$L$5:$S$5,0))),""))</f>
        <v/>
      </c>
      <c r="L726" s="33">
        <f>IF($D726="","",IFERROR(IF(INDEX(RUNS!$E$6:$E$1005,MATCH($D726,RUNS!$A$6:$A$1005,0))="","",INDEX(RUNS!$E$6:$E$1005,MATCH($D726,RUNS!$A$6:$A$1005,0))),""))</f>
        <v/>
      </c>
      <c r="M726" s="33">
        <f>IF($D726="","",IFERROR(IF(INDEX(RUNS!$F$6:$F$1005,MATCH($D726,RUNS!$A$6:$A$1005,0))="","",INDEX(RUNS!$F$6:$F$1005,MATCH($D726,RUNS!$A$6:$A$1005,0))),""))</f>
        <v/>
      </c>
      <c r="N726" s="33">
        <f>IF($D726="","",IFERROR(IF(INDEX(RUNS!$G$6:$G$1005,MATCH($D726,RUNS!$A$6:$A$1005,0))="","",INDEX(RUNS!$G$6:$G$1005,MATCH($D726,RUNS!$A$6:$A$1005,0))),""))</f>
        <v/>
      </c>
      <c r="O726" s="33">
        <f>IF($D726="","",IFERROR(IF(INDEX(RUNS!$H$6:$H$1005,MATCH($D726,RUNS!$A$6:$A$1005,0))="","",INDEX(RUNS!$H$6:$H$1005,MATCH($D726,RUNS!$A$6:$A$1005,0))),""))</f>
        <v/>
      </c>
      <c r="P726" s="33">
        <f>IF($D726="","",IFERROR(IF(INDEX(RUNS!$J$6:$J$1005,MATCH($D726,RUNS!$A$6:$A$1005,0))="","",INDEX(RUNS!$J$6:$J$1005,MATCH($D726,RUNS!$A$6:$A$1005,0))),""))</f>
        <v/>
      </c>
      <c r="Q726" s="33">
        <f>IF($D726="","",IFERROR(IF(INDEX(RUNS!$K$6:$K$1005,MATCH($D726,RUNS!$A$6:$A$1005,0))="","",INDEX(RUNS!$K$6:$K$1005,MATCH($D726,RUNS!$A$6:$A$1005,0))),""))</f>
        <v/>
      </c>
      <c r="R726" s="34">
        <f>IF(OR($L726="",$K726=""),"",IFERROR(IF(INDEX(PARAMETRES!$H$43:$H$342,MATCH($L726&amp;"|"&amp;$M726&amp;"|"&amp;$N726&amp;"|"&amp;$O726&amp;"|"&amp;$P726&amp;"|"&amp;$Q726&amp;"|"&amp;$K726,PARAMETRES!$J$43:$J$342,0))="","",INDEX(PARAMETRES!$H$43:$H$342,MATCH($L726&amp;"|"&amp;$M726&amp;"|"&amp;$N726&amp;"|"&amp;$O726&amp;"|"&amp;$P726&amp;"|"&amp;$Q726&amp;"|"&amp;$K726,PARAMETRES!$J$43:$J$342,0))),""))</f>
        <v/>
      </c>
      <c r="S726" s="35">
        <f>IF(OR($G726="",$X726&lt;&gt;"VALIDE"),"",IFERROR(LOOKUP(2,1/(($B$3:$B725=$B726)*($G$3:$G725=$G726)*($X$3:$X725="VALIDE")),$C$3:$C725),""))</f>
        <v/>
      </c>
      <c r="T726" s="36">
        <f>IF(OR($C726="",$S726=""),"",ROUND(($C726-$S726+IF($C726&lt;$S726,1,0))*1440,0))</f>
        <v/>
      </c>
      <c r="U726" s="22">
        <f>IF(OR($H726="",$T726="",$T726&lt;=0),"",$H726*60/$T726)</f>
        <v/>
      </c>
      <c r="V726" s="37">
        <f>IF(OR($U726="",$R726="",$R726=0),"",$U726/$R726)</f>
        <v/>
      </c>
      <c r="W726" s="20">
        <f>IF($G726="","",IF($X726="CONTEXTE INCOMPLET","CONTEXTE INCOMPLET",IF($X726="DOUBLON",StatutDoublon,IF($S726="",StatutInitial,IF($R726="",StatutStandardManquant,IF($V726="","DONNEES INSUFFISANTES",IF($V726&gt;=SeuilConforme,StatutConforme,IF($V726&gt;=SeuilSurveiller,StatutSurveiller,StatutSousStandard))))))))</f>
        <v/>
      </c>
      <c r="X726" s="33">
        <f>IF($G726="","",IF(OR($D726="",$E726="",$F726=""),"CONTEXTE INCOMPLET",IF(COUNTIFS($D$3:$D725,$D726,$E$3:$E725,$E726,$F$3:$F725,$F726,$G$3:$G725,$G726)&gt;0,"DOUBLON","VALIDE")))</f>
        <v/>
      </c>
    </row>
    <row r="727" ht="15" customHeight="1">
      <c r="A727" s="12">
        <f>IF(OR($B727="",$G727=""),"",TEXT($B727,"YYYYMMDD")&amp;"-"&amp;SUBSTITUTE($E727," ","")&amp;"-"&amp;$F727&amp;"-"&amp;$G727)</f>
        <v/>
      </c>
      <c r="B727" s="15" t="n"/>
      <c r="C727" s="16" t="n"/>
      <c r="D727" s="10" t="n"/>
      <c r="E727" s="9" t="n"/>
      <c r="F727" s="9" t="n"/>
      <c r="G727" s="13" t="n"/>
      <c r="H727" s="21" t="n"/>
      <c r="I727" s="21" t="n"/>
      <c r="J727" s="17">
        <f>IF($G727="","",IFERROR(INDEX(NomsEmployes,MATCH($G727,MatriculesEmployes,0)),"MATRICULE INCONNU"))</f>
        <v/>
      </c>
      <c r="K727" s="33">
        <f>IF(OR($D727="",$F727=""),"",IFERROR(IF(INDEX(RUNS!$L$6:$S$1005,MATCH($D727,RUNS!$A$6:$A$1005,0),MATCH("ACTIVITÉ "&amp;$F727,RUNS!$L$5:$S$5,0))="","",INDEX(RUNS!$L$6:$S$1005,MATCH($D727,RUNS!$A$6:$A$1005,0),MATCH("ACTIVITÉ "&amp;$F727,RUNS!$L$5:$S$5,0))),""))</f>
        <v/>
      </c>
      <c r="L727" s="33">
        <f>IF($D727="","",IFERROR(IF(INDEX(RUNS!$E$6:$E$1005,MATCH($D727,RUNS!$A$6:$A$1005,0))="","",INDEX(RUNS!$E$6:$E$1005,MATCH($D727,RUNS!$A$6:$A$1005,0))),""))</f>
        <v/>
      </c>
      <c r="M727" s="33">
        <f>IF($D727="","",IFERROR(IF(INDEX(RUNS!$F$6:$F$1005,MATCH($D727,RUNS!$A$6:$A$1005,0))="","",INDEX(RUNS!$F$6:$F$1005,MATCH($D727,RUNS!$A$6:$A$1005,0))),""))</f>
        <v/>
      </c>
      <c r="N727" s="33">
        <f>IF($D727="","",IFERROR(IF(INDEX(RUNS!$G$6:$G$1005,MATCH($D727,RUNS!$A$6:$A$1005,0))="","",INDEX(RUNS!$G$6:$G$1005,MATCH($D727,RUNS!$A$6:$A$1005,0))),""))</f>
        <v/>
      </c>
      <c r="O727" s="33">
        <f>IF($D727="","",IFERROR(IF(INDEX(RUNS!$H$6:$H$1005,MATCH($D727,RUNS!$A$6:$A$1005,0))="","",INDEX(RUNS!$H$6:$H$1005,MATCH($D727,RUNS!$A$6:$A$1005,0))),""))</f>
        <v/>
      </c>
      <c r="P727" s="33">
        <f>IF($D727="","",IFERROR(IF(INDEX(RUNS!$J$6:$J$1005,MATCH($D727,RUNS!$A$6:$A$1005,0))="","",INDEX(RUNS!$J$6:$J$1005,MATCH($D727,RUNS!$A$6:$A$1005,0))),""))</f>
        <v/>
      </c>
      <c r="Q727" s="33">
        <f>IF($D727="","",IFERROR(IF(INDEX(RUNS!$K$6:$K$1005,MATCH($D727,RUNS!$A$6:$A$1005,0))="","",INDEX(RUNS!$K$6:$K$1005,MATCH($D727,RUNS!$A$6:$A$1005,0))),""))</f>
        <v/>
      </c>
      <c r="R727" s="34">
        <f>IF(OR($L727="",$K727=""),"",IFERROR(IF(INDEX(PARAMETRES!$H$43:$H$342,MATCH($L727&amp;"|"&amp;$M727&amp;"|"&amp;$N727&amp;"|"&amp;$O727&amp;"|"&amp;$P727&amp;"|"&amp;$Q727&amp;"|"&amp;$K727,PARAMETRES!$J$43:$J$342,0))="","",INDEX(PARAMETRES!$H$43:$H$342,MATCH($L727&amp;"|"&amp;$M727&amp;"|"&amp;$N727&amp;"|"&amp;$O727&amp;"|"&amp;$P727&amp;"|"&amp;$Q727&amp;"|"&amp;$K727,PARAMETRES!$J$43:$J$342,0))),""))</f>
        <v/>
      </c>
      <c r="S727" s="35">
        <f>IF(OR($G727="",$X727&lt;&gt;"VALIDE"),"",IFERROR(LOOKUP(2,1/(($B$3:$B726=$B727)*($G$3:$G726=$G727)*($X$3:$X726="VALIDE")),$C$3:$C726),""))</f>
        <v/>
      </c>
      <c r="T727" s="36">
        <f>IF(OR($C727="",$S727=""),"",ROUND(($C727-$S727+IF($C727&lt;$S727,1,0))*1440,0))</f>
        <v/>
      </c>
      <c r="U727" s="22">
        <f>IF(OR($H727="",$T727="",$T727&lt;=0),"",$H727*60/$T727)</f>
        <v/>
      </c>
      <c r="V727" s="37">
        <f>IF(OR($U727="",$R727="",$R727=0),"",$U727/$R727)</f>
        <v/>
      </c>
      <c r="W727" s="20">
        <f>IF($G727="","",IF($X727="CONTEXTE INCOMPLET","CONTEXTE INCOMPLET",IF($X727="DOUBLON",StatutDoublon,IF($S727="",StatutInitial,IF($R727="",StatutStandardManquant,IF($V727="","DONNEES INSUFFISANTES",IF($V727&gt;=SeuilConforme,StatutConforme,IF($V727&gt;=SeuilSurveiller,StatutSurveiller,StatutSousStandard))))))))</f>
        <v/>
      </c>
      <c r="X727" s="33">
        <f>IF($G727="","",IF(OR($D727="",$E727="",$F727=""),"CONTEXTE INCOMPLET",IF(COUNTIFS($D$3:$D726,$D727,$E$3:$E726,$E727,$F$3:$F726,$F727,$G$3:$G726,$G727)&gt;0,"DOUBLON","VALIDE")))</f>
        <v/>
      </c>
    </row>
    <row r="728" ht="15" customHeight="1">
      <c r="A728" s="12">
        <f>IF(OR($B728="",$G728=""),"",TEXT($B728,"YYYYMMDD")&amp;"-"&amp;SUBSTITUTE($E728," ","")&amp;"-"&amp;$F728&amp;"-"&amp;$G728)</f>
        <v/>
      </c>
      <c r="B728" s="15" t="n"/>
      <c r="C728" s="16" t="n"/>
      <c r="D728" s="10" t="n"/>
      <c r="E728" s="9" t="n"/>
      <c r="F728" s="9" t="n"/>
      <c r="G728" s="13" t="n"/>
      <c r="H728" s="21" t="n"/>
      <c r="I728" s="21" t="n"/>
      <c r="J728" s="17">
        <f>IF($G728="","",IFERROR(INDEX(NomsEmployes,MATCH($G728,MatriculesEmployes,0)),"MATRICULE INCONNU"))</f>
        <v/>
      </c>
      <c r="K728" s="33">
        <f>IF(OR($D728="",$F728=""),"",IFERROR(IF(INDEX(RUNS!$L$6:$S$1005,MATCH($D728,RUNS!$A$6:$A$1005,0),MATCH("ACTIVITÉ "&amp;$F728,RUNS!$L$5:$S$5,0))="","",INDEX(RUNS!$L$6:$S$1005,MATCH($D728,RUNS!$A$6:$A$1005,0),MATCH("ACTIVITÉ "&amp;$F728,RUNS!$L$5:$S$5,0))),""))</f>
        <v/>
      </c>
      <c r="L728" s="33">
        <f>IF($D728="","",IFERROR(IF(INDEX(RUNS!$E$6:$E$1005,MATCH($D728,RUNS!$A$6:$A$1005,0))="","",INDEX(RUNS!$E$6:$E$1005,MATCH($D728,RUNS!$A$6:$A$1005,0))),""))</f>
        <v/>
      </c>
      <c r="M728" s="33">
        <f>IF($D728="","",IFERROR(IF(INDEX(RUNS!$F$6:$F$1005,MATCH($D728,RUNS!$A$6:$A$1005,0))="","",INDEX(RUNS!$F$6:$F$1005,MATCH($D728,RUNS!$A$6:$A$1005,0))),""))</f>
        <v/>
      </c>
      <c r="N728" s="33">
        <f>IF($D728="","",IFERROR(IF(INDEX(RUNS!$G$6:$G$1005,MATCH($D728,RUNS!$A$6:$A$1005,0))="","",INDEX(RUNS!$G$6:$G$1005,MATCH($D728,RUNS!$A$6:$A$1005,0))),""))</f>
        <v/>
      </c>
      <c r="O728" s="33">
        <f>IF($D728="","",IFERROR(IF(INDEX(RUNS!$H$6:$H$1005,MATCH($D728,RUNS!$A$6:$A$1005,0))="","",INDEX(RUNS!$H$6:$H$1005,MATCH($D728,RUNS!$A$6:$A$1005,0))),""))</f>
        <v/>
      </c>
      <c r="P728" s="33">
        <f>IF($D728="","",IFERROR(IF(INDEX(RUNS!$J$6:$J$1005,MATCH($D728,RUNS!$A$6:$A$1005,0))="","",INDEX(RUNS!$J$6:$J$1005,MATCH($D728,RUNS!$A$6:$A$1005,0))),""))</f>
        <v/>
      </c>
      <c r="Q728" s="33">
        <f>IF($D728="","",IFERROR(IF(INDEX(RUNS!$K$6:$K$1005,MATCH($D728,RUNS!$A$6:$A$1005,0))="","",INDEX(RUNS!$K$6:$K$1005,MATCH($D728,RUNS!$A$6:$A$1005,0))),""))</f>
        <v/>
      </c>
      <c r="R728" s="34">
        <f>IF(OR($L728="",$K728=""),"",IFERROR(IF(INDEX(PARAMETRES!$H$43:$H$342,MATCH($L728&amp;"|"&amp;$M728&amp;"|"&amp;$N728&amp;"|"&amp;$O728&amp;"|"&amp;$P728&amp;"|"&amp;$Q728&amp;"|"&amp;$K728,PARAMETRES!$J$43:$J$342,0))="","",INDEX(PARAMETRES!$H$43:$H$342,MATCH($L728&amp;"|"&amp;$M728&amp;"|"&amp;$N728&amp;"|"&amp;$O728&amp;"|"&amp;$P728&amp;"|"&amp;$Q728&amp;"|"&amp;$K728,PARAMETRES!$J$43:$J$342,0))),""))</f>
        <v/>
      </c>
      <c r="S728" s="35">
        <f>IF(OR($G728="",$X728&lt;&gt;"VALIDE"),"",IFERROR(LOOKUP(2,1/(($B$3:$B727=$B728)*($G$3:$G727=$G728)*($X$3:$X727="VALIDE")),$C$3:$C727),""))</f>
        <v/>
      </c>
      <c r="T728" s="36">
        <f>IF(OR($C728="",$S728=""),"",ROUND(($C728-$S728+IF($C728&lt;$S728,1,0))*1440,0))</f>
        <v/>
      </c>
      <c r="U728" s="22">
        <f>IF(OR($H728="",$T728="",$T728&lt;=0),"",$H728*60/$T728)</f>
        <v/>
      </c>
      <c r="V728" s="37">
        <f>IF(OR($U728="",$R728="",$R728=0),"",$U728/$R728)</f>
        <v/>
      </c>
      <c r="W728" s="20">
        <f>IF($G728="","",IF($X728="CONTEXTE INCOMPLET","CONTEXTE INCOMPLET",IF($X728="DOUBLON",StatutDoublon,IF($S728="",StatutInitial,IF($R728="",StatutStandardManquant,IF($V728="","DONNEES INSUFFISANTES",IF($V728&gt;=SeuilConforme,StatutConforme,IF($V728&gt;=SeuilSurveiller,StatutSurveiller,StatutSousStandard))))))))</f>
        <v/>
      </c>
      <c r="X728" s="33">
        <f>IF($G728="","",IF(OR($D728="",$E728="",$F728=""),"CONTEXTE INCOMPLET",IF(COUNTIFS($D$3:$D727,$D728,$E$3:$E727,$E728,$F$3:$F727,$F728,$G$3:$G727,$G728)&gt;0,"DOUBLON","VALIDE")))</f>
        <v/>
      </c>
    </row>
    <row r="729" ht="15" customHeight="1">
      <c r="A729" s="12">
        <f>IF(OR($B729="",$G729=""),"",TEXT($B729,"YYYYMMDD")&amp;"-"&amp;SUBSTITUTE($E729," ","")&amp;"-"&amp;$F729&amp;"-"&amp;$G729)</f>
        <v/>
      </c>
      <c r="B729" s="15" t="n"/>
      <c r="C729" s="16" t="n"/>
      <c r="D729" s="10" t="n"/>
      <c r="E729" s="9" t="n"/>
      <c r="F729" s="9" t="n"/>
      <c r="G729" s="13" t="n"/>
      <c r="H729" s="21" t="n"/>
      <c r="I729" s="21" t="n"/>
      <c r="J729" s="17">
        <f>IF($G729="","",IFERROR(INDEX(NomsEmployes,MATCH($G729,MatriculesEmployes,0)),"MATRICULE INCONNU"))</f>
        <v/>
      </c>
      <c r="K729" s="33">
        <f>IF(OR($D729="",$F729=""),"",IFERROR(IF(INDEX(RUNS!$L$6:$S$1005,MATCH($D729,RUNS!$A$6:$A$1005,0),MATCH("ACTIVITÉ "&amp;$F729,RUNS!$L$5:$S$5,0))="","",INDEX(RUNS!$L$6:$S$1005,MATCH($D729,RUNS!$A$6:$A$1005,0),MATCH("ACTIVITÉ "&amp;$F729,RUNS!$L$5:$S$5,0))),""))</f>
        <v/>
      </c>
      <c r="L729" s="33">
        <f>IF($D729="","",IFERROR(IF(INDEX(RUNS!$E$6:$E$1005,MATCH($D729,RUNS!$A$6:$A$1005,0))="","",INDEX(RUNS!$E$6:$E$1005,MATCH($D729,RUNS!$A$6:$A$1005,0))),""))</f>
        <v/>
      </c>
      <c r="M729" s="33">
        <f>IF($D729="","",IFERROR(IF(INDEX(RUNS!$F$6:$F$1005,MATCH($D729,RUNS!$A$6:$A$1005,0))="","",INDEX(RUNS!$F$6:$F$1005,MATCH($D729,RUNS!$A$6:$A$1005,0))),""))</f>
        <v/>
      </c>
      <c r="N729" s="33">
        <f>IF($D729="","",IFERROR(IF(INDEX(RUNS!$G$6:$G$1005,MATCH($D729,RUNS!$A$6:$A$1005,0))="","",INDEX(RUNS!$G$6:$G$1005,MATCH($D729,RUNS!$A$6:$A$1005,0))),""))</f>
        <v/>
      </c>
      <c r="O729" s="33">
        <f>IF($D729="","",IFERROR(IF(INDEX(RUNS!$H$6:$H$1005,MATCH($D729,RUNS!$A$6:$A$1005,0))="","",INDEX(RUNS!$H$6:$H$1005,MATCH($D729,RUNS!$A$6:$A$1005,0))),""))</f>
        <v/>
      </c>
      <c r="P729" s="33">
        <f>IF($D729="","",IFERROR(IF(INDEX(RUNS!$J$6:$J$1005,MATCH($D729,RUNS!$A$6:$A$1005,0))="","",INDEX(RUNS!$J$6:$J$1005,MATCH($D729,RUNS!$A$6:$A$1005,0))),""))</f>
        <v/>
      </c>
      <c r="Q729" s="33">
        <f>IF($D729="","",IFERROR(IF(INDEX(RUNS!$K$6:$K$1005,MATCH($D729,RUNS!$A$6:$A$1005,0))="","",INDEX(RUNS!$K$6:$K$1005,MATCH($D729,RUNS!$A$6:$A$1005,0))),""))</f>
        <v/>
      </c>
      <c r="R729" s="34">
        <f>IF(OR($L729="",$K729=""),"",IFERROR(IF(INDEX(PARAMETRES!$H$43:$H$342,MATCH($L729&amp;"|"&amp;$M729&amp;"|"&amp;$N729&amp;"|"&amp;$O729&amp;"|"&amp;$P729&amp;"|"&amp;$Q729&amp;"|"&amp;$K729,PARAMETRES!$J$43:$J$342,0))="","",INDEX(PARAMETRES!$H$43:$H$342,MATCH($L729&amp;"|"&amp;$M729&amp;"|"&amp;$N729&amp;"|"&amp;$O729&amp;"|"&amp;$P729&amp;"|"&amp;$Q729&amp;"|"&amp;$K729,PARAMETRES!$J$43:$J$342,0))),""))</f>
        <v/>
      </c>
      <c r="S729" s="35">
        <f>IF(OR($G729="",$X729&lt;&gt;"VALIDE"),"",IFERROR(LOOKUP(2,1/(($B$3:$B728=$B729)*($G$3:$G728=$G729)*($X$3:$X728="VALIDE")),$C$3:$C728),""))</f>
        <v/>
      </c>
      <c r="T729" s="36">
        <f>IF(OR($C729="",$S729=""),"",ROUND(($C729-$S729+IF($C729&lt;$S729,1,0))*1440,0))</f>
        <v/>
      </c>
      <c r="U729" s="22">
        <f>IF(OR($H729="",$T729="",$T729&lt;=0),"",$H729*60/$T729)</f>
        <v/>
      </c>
      <c r="V729" s="37">
        <f>IF(OR($U729="",$R729="",$R729=0),"",$U729/$R729)</f>
        <v/>
      </c>
      <c r="W729" s="20">
        <f>IF($G729="","",IF($X729="CONTEXTE INCOMPLET","CONTEXTE INCOMPLET",IF($X729="DOUBLON",StatutDoublon,IF($S729="",StatutInitial,IF($R729="",StatutStandardManquant,IF($V729="","DONNEES INSUFFISANTES",IF($V729&gt;=SeuilConforme,StatutConforme,IF($V729&gt;=SeuilSurveiller,StatutSurveiller,StatutSousStandard))))))))</f>
        <v/>
      </c>
      <c r="X729" s="33">
        <f>IF($G729="","",IF(OR($D729="",$E729="",$F729=""),"CONTEXTE INCOMPLET",IF(COUNTIFS($D$3:$D728,$D729,$E$3:$E728,$E729,$F$3:$F728,$F729,$G$3:$G728,$G729)&gt;0,"DOUBLON","VALIDE")))</f>
        <v/>
      </c>
    </row>
    <row r="730" ht="15" customHeight="1">
      <c r="A730" s="12">
        <f>IF(OR($B730="",$G730=""),"",TEXT($B730,"YYYYMMDD")&amp;"-"&amp;SUBSTITUTE($E730," ","")&amp;"-"&amp;$F730&amp;"-"&amp;$G730)</f>
        <v/>
      </c>
      <c r="B730" s="15" t="n"/>
      <c r="C730" s="16" t="n"/>
      <c r="D730" s="10" t="n"/>
      <c r="E730" s="9" t="n"/>
      <c r="F730" s="9" t="n"/>
      <c r="G730" s="13" t="n"/>
      <c r="H730" s="21" t="n"/>
      <c r="I730" s="21" t="n"/>
      <c r="J730" s="17">
        <f>IF($G730="","",IFERROR(INDEX(NomsEmployes,MATCH($G730,MatriculesEmployes,0)),"MATRICULE INCONNU"))</f>
        <v/>
      </c>
      <c r="K730" s="33">
        <f>IF(OR($D730="",$F730=""),"",IFERROR(IF(INDEX(RUNS!$L$6:$S$1005,MATCH($D730,RUNS!$A$6:$A$1005,0),MATCH("ACTIVITÉ "&amp;$F730,RUNS!$L$5:$S$5,0))="","",INDEX(RUNS!$L$6:$S$1005,MATCH($D730,RUNS!$A$6:$A$1005,0),MATCH("ACTIVITÉ "&amp;$F730,RUNS!$L$5:$S$5,0))),""))</f>
        <v/>
      </c>
      <c r="L730" s="33">
        <f>IF($D730="","",IFERROR(IF(INDEX(RUNS!$E$6:$E$1005,MATCH($D730,RUNS!$A$6:$A$1005,0))="","",INDEX(RUNS!$E$6:$E$1005,MATCH($D730,RUNS!$A$6:$A$1005,0))),""))</f>
        <v/>
      </c>
      <c r="M730" s="33">
        <f>IF($D730="","",IFERROR(IF(INDEX(RUNS!$F$6:$F$1005,MATCH($D730,RUNS!$A$6:$A$1005,0))="","",INDEX(RUNS!$F$6:$F$1005,MATCH($D730,RUNS!$A$6:$A$1005,0))),""))</f>
        <v/>
      </c>
      <c r="N730" s="33">
        <f>IF($D730="","",IFERROR(IF(INDEX(RUNS!$G$6:$G$1005,MATCH($D730,RUNS!$A$6:$A$1005,0))="","",INDEX(RUNS!$G$6:$G$1005,MATCH($D730,RUNS!$A$6:$A$1005,0))),""))</f>
        <v/>
      </c>
      <c r="O730" s="33">
        <f>IF($D730="","",IFERROR(IF(INDEX(RUNS!$H$6:$H$1005,MATCH($D730,RUNS!$A$6:$A$1005,0))="","",INDEX(RUNS!$H$6:$H$1005,MATCH($D730,RUNS!$A$6:$A$1005,0))),""))</f>
        <v/>
      </c>
      <c r="P730" s="33">
        <f>IF($D730="","",IFERROR(IF(INDEX(RUNS!$J$6:$J$1005,MATCH($D730,RUNS!$A$6:$A$1005,0))="","",INDEX(RUNS!$J$6:$J$1005,MATCH($D730,RUNS!$A$6:$A$1005,0))),""))</f>
        <v/>
      </c>
      <c r="Q730" s="33">
        <f>IF($D730="","",IFERROR(IF(INDEX(RUNS!$K$6:$K$1005,MATCH($D730,RUNS!$A$6:$A$1005,0))="","",INDEX(RUNS!$K$6:$K$1005,MATCH($D730,RUNS!$A$6:$A$1005,0))),""))</f>
        <v/>
      </c>
      <c r="R730" s="34">
        <f>IF(OR($L730="",$K730=""),"",IFERROR(IF(INDEX(PARAMETRES!$H$43:$H$342,MATCH($L730&amp;"|"&amp;$M730&amp;"|"&amp;$N730&amp;"|"&amp;$O730&amp;"|"&amp;$P730&amp;"|"&amp;$Q730&amp;"|"&amp;$K730,PARAMETRES!$J$43:$J$342,0))="","",INDEX(PARAMETRES!$H$43:$H$342,MATCH($L730&amp;"|"&amp;$M730&amp;"|"&amp;$N730&amp;"|"&amp;$O730&amp;"|"&amp;$P730&amp;"|"&amp;$Q730&amp;"|"&amp;$K730,PARAMETRES!$J$43:$J$342,0))),""))</f>
        <v/>
      </c>
      <c r="S730" s="35">
        <f>IF(OR($G730="",$X730&lt;&gt;"VALIDE"),"",IFERROR(LOOKUP(2,1/(($B$3:$B729=$B730)*($G$3:$G729=$G730)*($X$3:$X729="VALIDE")),$C$3:$C729),""))</f>
        <v/>
      </c>
      <c r="T730" s="36">
        <f>IF(OR($C730="",$S730=""),"",ROUND(($C730-$S730+IF($C730&lt;$S730,1,0))*1440,0))</f>
        <v/>
      </c>
      <c r="U730" s="22">
        <f>IF(OR($H730="",$T730="",$T730&lt;=0),"",$H730*60/$T730)</f>
        <v/>
      </c>
      <c r="V730" s="37">
        <f>IF(OR($U730="",$R730="",$R730=0),"",$U730/$R730)</f>
        <v/>
      </c>
      <c r="W730" s="20">
        <f>IF($G730="","",IF($X730="CONTEXTE INCOMPLET","CONTEXTE INCOMPLET",IF($X730="DOUBLON",StatutDoublon,IF($S730="",StatutInitial,IF($R730="",StatutStandardManquant,IF($V730="","DONNEES INSUFFISANTES",IF($V730&gt;=SeuilConforme,StatutConforme,IF($V730&gt;=SeuilSurveiller,StatutSurveiller,StatutSousStandard))))))))</f>
        <v/>
      </c>
      <c r="X730" s="33">
        <f>IF($G730="","",IF(OR($D730="",$E730="",$F730=""),"CONTEXTE INCOMPLET",IF(COUNTIFS($D$3:$D729,$D730,$E$3:$E729,$E730,$F$3:$F729,$F730,$G$3:$G729,$G730)&gt;0,"DOUBLON","VALIDE")))</f>
        <v/>
      </c>
    </row>
    <row r="731" ht="15" customHeight="1">
      <c r="A731" s="12">
        <f>IF(OR($B731="",$G731=""),"",TEXT($B731,"YYYYMMDD")&amp;"-"&amp;SUBSTITUTE($E731," ","")&amp;"-"&amp;$F731&amp;"-"&amp;$G731)</f>
        <v/>
      </c>
      <c r="B731" s="15" t="n"/>
      <c r="C731" s="16" t="n"/>
      <c r="D731" s="10" t="n"/>
      <c r="E731" s="9" t="n"/>
      <c r="F731" s="9" t="n"/>
      <c r="G731" s="13" t="n"/>
      <c r="H731" s="21" t="n"/>
      <c r="I731" s="21" t="n"/>
      <c r="J731" s="17">
        <f>IF($G731="","",IFERROR(INDEX(NomsEmployes,MATCH($G731,MatriculesEmployes,0)),"MATRICULE INCONNU"))</f>
        <v/>
      </c>
      <c r="K731" s="33">
        <f>IF(OR($D731="",$F731=""),"",IFERROR(IF(INDEX(RUNS!$L$6:$S$1005,MATCH($D731,RUNS!$A$6:$A$1005,0),MATCH("ACTIVITÉ "&amp;$F731,RUNS!$L$5:$S$5,0))="","",INDEX(RUNS!$L$6:$S$1005,MATCH($D731,RUNS!$A$6:$A$1005,0),MATCH("ACTIVITÉ "&amp;$F731,RUNS!$L$5:$S$5,0))),""))</f>
        <v/>
      </c>
      <c r="L731" s="33">
        <f>IF($D731="","",IFERROR(IF(INDEX(RUNS!$E$6:$E$1005,MATCH($D731,RUNS!$A$6:$A$1005,0))="","",INDEX(RUNS!$E$6:$E$1005,MATCH($D731,RUNS!$A$6:$A$1005,0))),""))</f>
        <v/>
      </c>
      <c r="M731" s="33">
        <f>IF($D731="","",IFERROR(IF(INDEX(RUNS!$F$6:$F$1005,MATCH($D731,RUNS!$A$6:$A$1005,0))="","",INDEX(RUNS!$F$6:$F$1005,MATCH($D731,RUNS!$A$6:$A$1005,0))),""))</f>
        <v/>
      </c>
      <c r="N731" s="33">
        <f>IF($D731="","",IFERROR(IF(INDEX(RUNS!$G$6:$G$1005,MATCH($D731,RUNS!$A$6:$A$1005,0))="","",INDEX(RUNS!$G$6:$G$1005,MATCH($D731,RUNS!$A$6:$A$1005,0))),""))</f>
        <v/>
      </c>
      <c r="O731" s="33">
        <f>IF($D731="","",IFERROR(IF(INDEX(RUNS!$H$6:$H$1005,MATCH($D731,RUNS!$A$6:$A$1005,0))="","",INDEX(RUNS!$H$6:$H$1005,MATCH($D731,RUNS!$A$6:$A$1005,0))),""))</f>
        <v/>
      </c>
      <c r="P731" s="33">
        <f>IF($D731="","",IFERROR(IF(INDEX(RUNS!$J$6:$J$1005,MATCH($D731,RUNS!$A$6:$A$1005,0))="","",INDEX(RUNS!$J$6:$J$1005,MATCH($D731,RUNS!$A$6:$A$1005,0))),""))</f>
        <v/>
      </c>
      <c r="Q731" s="33">
        <f>IF($D731="","",IFERROR(IF(INDEX(RUNS!$K$6:$K$1005,MATCH($D731,RUNS!$A$6:$A$1005,0))="","",INDEX(RUNS!$K$6:$K$1005,MATCH($D731,RUNS!$A$6:$A$1005,0))),""))</f>
        <v/>
      </c>
      <c r="R731" s="34">
        <f>IF(OR($L731="",$K731=""),"",IFERROR(IF(INDEX(PARAMETRES!$H$43:$H$342,MATCH($L731&amp;"|"&amp;$M731&amp;"|"&amp;$N731&amp;"|"&amp;$O731&amp;"|"&amp;$P731&amp;"|"&amp;$Q731&amp;"|"&amp;$K731,PARAMETRES!$J$43:$J$342,0))="","",INDEX(PARAMETRES!$H$43:$H$342,MATCH($L731&amp;"|"&amp;$M731&amp;"|"&amp;$N731&amp;"|"&amp;$O731&amp;"|"&amp;$P731&amp;"|"&amp;$Q731&amp;"|"&amp;$K731,PARAMETRES!$J$43:$J$342,0))),""))</f>
        <v/>
      </c>
      <c r="S731" s="35">
        <f>IF(OR($G731="",$X731&lt;&gt;"VALIDE"),"",IFERROR(LOOKUP(2,1/(($B$3:$B730=$B731)*($G$3:$G730=$G731)*($X$3:$X730="VALIDE")),$C$3:$C730),""))</f>
        <v/>
      </c>
      <c r="T731" s="36">
        <f>IF(OR($C731="",$S731=""),"",ROUND(($C731-$S731+IF($C731&lt;$S731,1,0))*1440,0))</f>
        <v/>
      </c>
      <c r="U731" s="22">
        <f>IF(OR($H731="",$T731="",$T731&lt;=0),"",$H731*60/$T731)</f>
        <v/>
      </c>
      <c r="V731" s="37">
        <f>IF(OR($U731="",$R731="",$R731=0),"",$U731/$R731)</f>
        <v/>
      </c>
      <c r="W731" s="20">
        <f>IF($G731="","",IF($X731="CONTEXTE INCOMPLET","CONTEXTE INCOMPLET",IF($X731="DOUBLON",StatutDoublon,IF($S731="",StatutInitial,IF($R731="",StatutStandardManquant,IF($V731="","DONNEES INSUFFISANTES",IF($V731&gt;=SeuilConforme,StatutConforme,IF($V731&gt;=SeuilSurveiller,StatutSurveiller,StatutSousStandard))))))))</f>
        <v/>
      </c>
      <c r="X731" s="33">
        <f>IF($G731="","",IF(OR($D731="",$E731="",$F731=""),"CONTEXTE INCOMPLET",IF(COUNTIFS($D$3:$D730,$D731,$E$3:$E730,$E731,$F$3:$F730,$F731,$G$3:$G730,$G731)&gt;0,"DOUBLON","VALIDE")))</f>
        <v/>
      </c>
    </row>
    <row r="732" ht="15" customHeight="1">
      <c r="A732" s="12">
        <f>IF(OR($B732="",$G732=""),"",TEXT($B732,"YYYYMMDD")&amp;"-"&amp;SUBSTITUTE($E732," ","")&amp;"-"&amp;$F732&amp;"-"&amp;$G732)</f>
        <v/>
      </c>
      <c r="B732" s="15" t="n"/>
      <c r="C732" s="16" t="n"/>
      <c r="D732" s="10" t="n"/>
      <c r="E732" s="9" t="n"/>
      <c r="F732" s="9" t="n"/>
      <c r="G732" s="13" t="n"/>
      <c r="H732" s="21" t="n"/>
      <c r="I732" s="21" t="n"/>
      <c r="J732" s="17">
        <f>IF($G732="","",IFERROR(INDEX(NomsEmployes,MATCH($G732,MatriculesEmployes,0)),"MATRICULE INCONNU"))</f>
        <v/>
      </c>
      <c r="K732" s="33">
        <f>IF(OR($D732="",$F732=""),"",IFERROR(IF(INDEX(RUNS!$L$6:$S$1005,MATCH($D732,RUNS!$A$6:$A$1005,0),MATCH("ACTIVITÉ "&amp;$F732,RUNS!$L$5:$S$5,0))="","",INDEX(RUNS!$L$6:$S$1005,MATCH($D732,RUNS!$A$6:$A$1005,0),MATCH("ACTIVITÉ "&amp;$F732,RUNS!$L$5:$S$5,0))),""))</f>
        <v/>
      </c>
      <c r="L732" s="33">
        <f>IF($D732="","",IFERROR(IF(INDEX(RUNS!$E$6:$E$1005,MATCH($D732,RUNS!$A$6:$A$1005,0))="","",INDEX(RUNS!$E$6:$E$1005,MATCH($D732,RUNS!$A$6:$A$1005,0))),""))</f>
        <v/>
      </c>
      <c r="M732" s="33">
        <f>IF($D732="","",IFERROR(IF(INDEX(RUNS!$F$6:$F$1005,MATCH($D732,RUNS!$A$6:$A$1005,0))="","",INDEX(RUNS!$F$6:$F$1005,MATCH($D732,RUNS!$A$6:$A$1005,0))),""))</f>
        <v/>
      </c>
      <c r="N732" s="33">
        <f>IF($D732="","",IFERROR(IF(INDEX(RUNS!$G$6:$G$1005,MATCH($D732,RUNS!$A$6:$A$1005,0))="","",INDEX(RUNS!$G$6:$G$1005,MATCH($D732,RUNS!$A$6:$A$1005,0))),""))</f>
        <v/>
      </c>
      <c r="O732" s="33">
        <f>IF($D732="","",IFERROR(IF(INDEX(RUNS!$H$6:$H$1005,MATCH($D732,RUNS!$A$6:$A$1005,0))="","",INDEX(RUNS!$H$6:$H$1005,MATCH($D732,RUNS!$A$6:$A$1005,0))),""))</f>
        <v/>
      </c>
      <c r="P732" s="33">
        <f>IF($D732="","",IFERROR(IF(INDEX(RUNS!$J$6:$J$1005,MATCH($D732,RUNS!$A$6:$A$1005,0))="","",INDEX(RUNS!$J$6:$J$1005,MATCH($D732,RUNS!$A$6:$A$1005,0))),""))</f>
        <v/>
      </c>
      <c r="Q732" s="33">
        <f>IF($D732="","",IFERROR(IF(INDEX(RUNS!$K$6:$K$1005,MATCH($D732,RUNS!$A$6:$A$1005,0))="","",INDEX(RUNS!$K$6:$K$1005,MATCH($D732,RUNS!$A$6:$A$1005,0))),""))</f>
        <v/>
      </c>
      <c r="R732" s="34">
        <f>IF(OR($L732="",$K732=""),"",IFERROR(IF(INDEX(PARAMETRES!$H$43:$H$342,MATCH($L732&amp;"|"&amp;$M732&amp;"|"&amp;$N732&amp;"|"&amp;$O732&amp;"|"&amp;$P732&amp;"|"&amp;$Q732&amp;"|"&amp;$K732,PARAMETRES!$J$43:$J$342,0))="","",INDEX(PARAMETRES!$H$43:$H$342,MATCH($L732&amp;"|"&amp;$M732&amp;"|"&amp;$N732&amp;"|"&amp;$O732&amp;"|"&amp;$P732&amp;"|"&amp;$Q732&amp;"|"&amp;$K732,PARAMETRES!$J$43:$J$342,0))),""))</f>
        <v/>
      </c>
      <c r="S732" s="35">
        <f>IF(OR($G732="",$X732&lt;&gt;"VALIDE"),"",IFERROR(LOOKUP(2,1/(($B$3:$B731=$B732)*($G$3:$G731=$G732)*($X$3:$X731="VALIDE")),$C$3:$C731),""))</f>
        <v/>
      </c>
      <c r="T732" s="36">
        <f>IF(OR($C732="",$S732=""),"",ROUND(($C732-$S732+IF($C732&lt;$S732,1,0))*1440,0))</f>
        <v/>
      </c>
      <c r="U732" s="22">
        <f>IF(OR($H732="",$T732="",$T732&lt;=0),"",$H732*60/$T732)</f>
        <v/>
      </c>
      <c r="V732" s="37">
        <f>IF(OR($U732="",$R732="",$R732=0),"",$U732/$R732)</f>
        <v/>
      </c>
      <c r="W732" s="20">
        <f>IF($G732="","",IF($X732="CONTEXTE INCOMPLET","CONTEXTE INCOMPLET",IF($X732="DOUBLON",StatutDoublon,IF($S732="",StatutInitial,IF($R732="",StatutStandardManquant,IF($V732="","DONNEES INSUFFISANTES",IF($V732&gt;=SeuilConforme,StatutConforme,IF($V732&gt;=SeuilSurveiller,StatutSurveiller,StatutSousStandard))))))))</f>
        <v/>
      </c>
      <c r="X732" s="33">
        <f>IF($G732="","",IF(OR($D732="",$E732="",$F732=""),"CONTEXTE INCOMPLET",IF(COUNTIFS($D$3:$D731,$D732,$E$3:$E731,$E732,$F$3:$F731,$F732,$G$3:$G731,$G732)&gt;0,"DOUBLON","VALIDE")))</f>
        <v/>
      </c>
    </row>
    <row r="733" ht="15" customHeight="1">
      <c r="A733" s="12">
        <f>IF(OR($B733="",$G733=""),"",TEXT($B733,"YYYYMMDD")&amp;"-"&amp;SUBSTITUTE($E733," ","")&amp;"-"&amp;$F733&amp;"-"&amp;$G733)</f>
        <v/>
      </c>
      <c r="B733" s="15" t="n"/>
      <c r="C733" s="16" t="n"/>
      <c r="D733" s="10" t="n"/>
      <c r="E733" s="9" t="n"/>
      <c r="F733" s="9" t="n"/>
      <c r="G733" s="13" t="n"/>
      <c r="H733" s="21" t="n"/>
      <c r="I733" s="21" t="n"/>
      <c r="J733" s="17">
        <f>IF($G733="","",IFERROR(INDEX(NomsEmployes,MATCH($G733,MatriculesEmployes,0)),"MATRICULE INCONNU"))</f>
        <v/>
      </c>
      <c r="K733" s="33">
        <f>IF(OR($D733="",$F733=""),"",IFERROR(IF(INDEX(RUNS!$L$6:$S$1005,MATCH($D733,RUNS!$A$6:$A$1005,0),MATCH("ACTIVITÉ "&amp;$F733,RUNS!$L$5:$S$5,0))="","",INDEX(RUNS!$L$6:$S$1005,MATCH($D733,RUNS!$A$6:$A$1005,0),MATCH("ACTIVITÉ "&amp;$F733,RUNS!$L$5:$S$5,0))),""))</f>
        <v/>
      </c>
      <c r="L733" s="33">
        <f>IF($D733="","",IFERROR(IF(INDEX(RUNS!$E$6:$E$1005,MATCH($D733,RUNS!$A$6:$A$1005,0))="","",INDEX(RUNS!$E$6:$E$1005,MATCH($D733,RUNS!$A$6:$A$1005,0))),""))</f>
        <v/>
      </c>
      <c r="M733" s="33">
        <f>IF($D733="","",IFERROR(IF(INDEX(RUNS!$F$6:$F$1005,MATCH($D733,RUNS!$A$6:$A$1005,0))="","",INDEX(RUNS!$F$6:$F$1005,MATCH($D733,RUNS!$A$6:$A$1005,0))),""))</f>
        <v/>
      </c>
      <c r="N733" s="33">
        <f>IF($D733="","",IFERROR(IF(INDEX(RUNS!$G$6:$G$1005,MATCH($D733,RUNS!$A$6:$A$1005,0))="","",INDEX(RUNS!$G$6:$G$1005,MATCH($D733,RUNS!$A$6:$A$1005,0))),""))</f>
        <v/>
      </c>
      <c r="O733" s="33">
        <f>IF($D733="","",IFERROR(IF(INDEX(RUNS!$H$6:$H$1005,MATCH($D733,RUNS!$A$6:$A$1005,0))="","",INDEX(RUNS!$H$6:$H$1005,MATCH($D733,RUNS!$A$6:$A$1005,0))),""))</f>
        <v/>
      </c>
      <c r="P733" s="33">
        <f>IF($D733="","",IFERROR(IF(INDEX(RUNS!$J$6:$J$1005,MATCH($D733,RUNS!$A$6:$A$1005,0))="","",INDEX(RUNS!$J$6:$J$1005,MATCH($D733,RUNS!$A$6:$A$1005,0))),""))</f>
        <v/>
      </c>
      <c r="Q733" s="33">
        <f>IF($D733="","",IFERROR(IF(INDEX(RUNS!$K$6:$K$1005,MATCH($D733,RUNS!$A$6:$A$1005,0))="","",INDEX(RUNS!$K$6:$K$1005,MATCH($D733,RUNS!$A$6:$A$1005,0))),""))</f>
        <v/>
      </c>
      <c r="R733" s="34">
        <f>IF(OR($L733="",$K733=""),"",IFERROR(IF(INDEX(PARAMETRES!$H$43:$H$342,MATCH($L733&amp;"|"&amp;$M733&amp;"|"&amp;$N733&amp;"|"&amp;$O733&amp;"|"&amp;$P733&amp;"|"&amp;$Q733&amp;"|"&amp;$K733,PARAMETRES!$J$43:$J$342,0))="","",INDEX(PARAMETRES!$H$43:$H$342,MATCH($L733&amp;"|"&amp;$M733&amp;"|"&amp;$N733&amp;"|"&amp;$O733&amp;"|"&amp;$P733&amp;"|"&amp;$Q733&amp;"|"&amp;$K733,PARAMETRES!$J$43:$J$342,0))),""))</f>
        <v/>
      </c>
      <c r="S733" s="35">
        <f>IF(OR($G733="",$X733&lt;&gt;"VALIDE"),"",IFERROR(LOOKUP(2,1/(($B$3:$B732=$B733)*($G$3:$G732=$G733)*($X$3:$X732="VALIDE")),$C$3:$C732),""))</f>
        <v/>
      </c>
      <c r="T733" s="36">
        <f>IF(OR($C733="",$S733=""),"",ROUND(($C733-$S733+IF($C733&lt;$S733,1,0))*1440,0))</f>
        <v/>
      </c>
      <c r="U733" s="22">
        <f>IF(OR($H733="",$T733="",$T733&lt;=0),"",$H733*60/$T733)</f>
        <v/>
      </c>
      <c r="V733" s="37">
        <f>IF(OR($U733="",$R733="",$R733=0),"",$U733/$R733)</f>
        <v/>
      </c>
      <c r="W733" s="20">
        <f>IF($G733="","",IF($X733="CONTEXTE INCOMPLET","CONTEXTE INCOMPLET",IF($X733="DOUBLON",StatutDoublon,IF($S733="",StatutInitial,IF($R733="",StatutStandardManquant,IF($V733="","DONNEES INSUFFISANTES",IF($V733&gt;=SeuilConforme,StatutConforme,IF($V733&gt;=SeuilSurveiller,StatutSurveiller,StatutSousStandard))))))))</f>
        <v/>
      </c>
      <c r="X733" s="33">
        <f>IF($G733="","",IF(OR($D733="",$E733="",$F733=""),"CONTEXTE INCOMPLET",IF(COUNTIFS($D$3:$D732,$D733,$E$3:$E732,$E733,$F$3:$F732,$F733,$G$3:$G732,$G733)&gt;0,"DOUBLON","VALIDE")))</f>
        <v/>
      </c>
    </row>
    <row r="734" ht="15" customHeight="1">
      <c r="A734" s="12">
        <f>IF(OR($B734="",$G734=""),"",TEXT($B734,"YYYYMMDD")&amp;"-"&amp;SUBSTITUTE($E734," ","")&amp;"-"&amp;$F734&amp;"-"&amp;$G734)</f>
        <v/>
      </c>
      <c r="B734" s="15" t="n"/>
      <c r="C734" s="16" t="n"/>
      <c r="D734" s="10" t="n"/>
      <c r="E734" s="9" t="n"/>
      <c r="F734" s="9" t="n"/>
      <c r="G734" s="13" t="n"/>
      <c r="H734" s="21" t="n"/>
      <c r="I734" s="21" t="n"/>
      <c r="J734" s="17">
        <f>IF($G734="","",IFERROR(INDEX(NomsEmployes,MATCH($G734,MatriculesEmployes,0)),"MATRICULE INCONNU"))</f>
        <v/>
      </c>
      <c r="K734" s="33">
        <f>IF(OR($D734="",$F734=""),"",IFERROR(IF(INDEX(RUNS!$L$6:$S$1005,MATCH($D734,RUNS!$A$6:$A$1005,0),MATCH("ACTIVITÉ "&amp;$F734,RUNS!$L$5:$S$5,0))="","",INDEX(RUNS!$L$6:$S$1005,MATCH($D734,RUNS!$A$6:$A$1005,0),MATCH("ACTIVITÉ "&amp;$F734,RUNS!$L$5:$S$5,0))),""))</f>
        <v/>
      </c>
      <c r="L734" s="33">
        <f>IF($D734="","",IFERROR(IF(INDEX(RUNS!$E$6:$E$1005,MATCH($D734,RUNS!$A$6:$A$1005,0))="","",INDEX(RUNS!$E$6:$E$1005,MATCH($D734,RUNS!$A$6:$A$1005,0))),""))</f>
        <v/>
      </c>
      <c r="M734" s="33">
        <f>IF($D734="","",IFERROR(IF(INDEX(RUNS!$F$6:$F$1005,MATCH($D734,RUNS!$A$6:$A$1005,0))="","",INDEX(RUNS!$F$6:$F$1005,MATCH($D734,RUNS!$A$6:$A$1005,0))),""))</f>
        <v/>
      </c>
      <c r="N734" s="33">
        <f>IF($D734="","",IFERROR(IF(INDEX(RUNS!$G$6:$G$1005,MATCH($D734,RUNS!$A$6:$A$1005,0))="","",INDEX(RUNS!$G$6:$G$1005,MATCH($D734,RUNS!$A$6:$A$1005,0))),""))</f>
        <v/>
      </c>
      <c r="O734" s="33">
        <f>IF($D734="","",IFERROR(IF(INDEX(RUNS!$H$6:$H$1005,MATCH($D734,RUNS!$A$6:$A$1005,0))="","",INDEX(RUNS!$H$6:$H$1005,MATCH($D734,RUNS!$A$6:$A$1005,0))),""))</f>
        <v/>
      </c>
      <c r="P734" s="33">
        <f>IF($D734="","",IFERROR(IF(INDEX(RUNS!$J$6:$J$1005,MATCH($D734,RUNS!$A$6:$A$1005,0))="","",INDEX(RUNS!$J$6:$J$1005,MATCH($D734,RUNS!$A$6:$A$1005,0))),""))</f>
        <v/>
      </c>
      <c r="Q734" s="33">
        <f>IF($D734="","",IFERROR(IF(INDEX(RUNS!$K$6:$K$1005,MATCH($D734,RUNS!$A$6:$A$1005,0))="","",INDEX(RUNS!$K$6:$K$1005,MATCH($D734,RUNS!$A$6:$A$1005,0))),""))</f>
        <v/>
      </c>
      <c r="R734" s="34">
        <f>IF(OR($L734="",$K734=""),"",IFERROR(IF(INDEX(PARAMETRES!$H$43:$H$342,MATCH($L734&amp;"|"&amp;$M734&amp;"|"&amp;$N734&amp;"|"&amp;$O734&amp;"|"&amp;$P734&amp;"|"&amp;$Q734&amp;"|"&amp;$K734,PARAMETRES!$J$43:$J$342,0))="","",INDEX(PARAMETRES!$H$43:$H$342,MATCH($L734&amp;"|"&amp;$M734&amp;"|"&amp;$N734&amp;"|"&amp;$O734&amp;"|"&amp;$P734&amp;"|"&amp;$Q734&amp;"|"&amp;$K734,PARAMETRES!$J$43:$J$342,0))),""))</f>
        <v/>
      </c>
      <c r="S734" s="35">
        <f>IF(OR($G734="",$X734&lt;&gt;"VALIDE"),"",IFERROR(LOOKUP(2,1/(($B$3:$B733=$B734)*($G$3:$G733=$G734)*($X$3:$X733="VALIDE")),$C$3:$C733),""))</f>
        <v/>
      </c>
      <c r="T734" s="36">
        <f>IF(OR($C734="",$S734=""),"",ROUND(($C734-$S734+IF($C734&lt;$S734,1,0))*1440,0))</f>
        <v/>
      </c>
      <c r="U734" s="22">
        <f>IF(OR($H734="",$T734="",$T734&lt;=0),"",$H734*60/$T734)</f>
        <v/>
      </c>
      <c r="V734" s="37">
        <f>IF(OR($U734="",$R734="",$R734=0),"",$U734/$R734)</f>
        <v/>
      </c>
      <c r="W734" s="20">
        <f>IF($G734="","",IF($X734="CONTEXTE INCOMPLET","CONTEXTE INCOMPLET",IF($X734="DOUBLON",StatutDoublon,IF($S734="",StatutInitial,IF($R734="",StatutStandardManquant,IF($V734="","DONNEES INSUFFISANTES",IF($V734&gt;=SeuilConforme,StatutConforme,IF($V734&gt;=SeuilSurveiller,StatutSurveiller,StatutSousStandard))))))))</f>
        <v/>
      </c>
      <c r="X734" s="33">
        <f>IF($G734="","",IF(OR($D734="",$E734="",$F734=""),"CONTEXTE INCOMPLET",IF(COUNTIFS($D$3:$D733,$D734,$E$3:$E733,$E734,$F$3:$F733,$F734,$G$3:$G733,$G734)&gt;0,"DOUBLON","VALIDE")))</f>
        <v/>
      </c>
    </row>
    <row r="735" ht="15" customHeight="1">
      <c r="A735" s="12">
        <f>IF(OR($B735="",$G735=""),"",TEXT($B735,"YYYYMMDD")&amp;"-"&amp;SUBSTITUTE($E735," ","")&amp;"-"&amp;$F735&amp;"-"&amp;$G735)</f>
        <v/>
      </c>
      <c r="B735" s="15" t="n"/>
      <c r="C735" s="16" t="n"/>
      <c r="D735" s="10" t="n"/>
      <c r="E735" s="9" t="n"/>
      <c r="F735" s="9" t="n"/>
      <c r="G735" s="13" t="n"/>
      <c r="H735" s="21" t="n"/>
      <c r="I735" s="21" t="n"/>
      <c r="J735" s="17">
        <f>IF($G735="","",IFERROR(INDEX(NomsEmployes,MATCH($G735,MatriculesEmployes,0)),"MATRICULE INCONNU"))</f>
        <v/>
      </c>
      <c r="K735" s="33">
        <f>IF(OR($D735="",$F735=""),"",IFERROR(IF(INDEX(RUNS!$L$6:$S$1005,MATCH($D735,RUNS!$A$6:$A$1005,0),MATCH("ACTIVITÉ "&amp;$F735,RUNS!$L$5:$S$5,0))="","",INDEX(RUNS!$L$6:$S$1005,MATCH($D735,RUNS!$A$6:$A$1005,0),MATCH("ACTIVITÉ "&amp;$F735,RUNS!$L$5:$S$5,0))),""))</f>
        <v/>
      </c>
      <c r="L735" s="33">
        <f>IF($D735="","",IFERROR(IF(INDEX(RUNS!$E$6:$E$1005,MATCH($D735,RUNS!$A$6:$A$1005,0))="","",INDEX(RUNS!$E$6:$E$1005,MATCH($D735,RUNS!$A$6:$A$1005,0))),""))</f>
        <v/>
      </c>
      <c r="M735" s="33">
        <f>IF($D735="","",IFERROR(IF(INDEX(RUNS!$F$6:$F$1005,MATCH($D735,RUNS!$A$6:$A$1005,0))="","",INDEX(RUNS!$F$6:$F$1005,MATCH($D735,RUNS!$A$6:$A$1005,0))),""))</f>
        <v/>
      </c>
      <c r="N735" s="33">
        <f>IF($D735="","",IFERROR(IF(INDEX(RUNS!$G$6:$G$1005,MATCH($D735,RUNS!$A$6:$A$1005,0))="","",INDEX(RUNS!$G$6:$G$1005,MATCH($D735,RUNS!$A$6:$A$1005,0))),""))</f>
        <v/>
      </c>
      <c r="O735" s="33">
        <f>IF($D735="","",IFERROR(IF(INDEX(RUNS!$H$6:$H$1005,MATCH($D735,RUNS!$A$6:$A$1005,0))="","",INDEX(RUNS!$H$6:$H$1005,MATCH($D735,RUNS!$A$6:$A$1005,0))),""))</f>
        <v/>
      </c>
      <c r="P735" s="33">
        <f>IF($D735="","",IFERROR(IF(INDEX(RUNS!$J$6:$J$1005,MATCH($D735,RUNS!$A$6:$A$1005,0))="","",INDEX(RUNS!$J$6:$J$1005,MATCH($D735,RUNS!$A$6:$A$1005,0))),""))</f>
        <v/>
      </c>
      <c r="Q735" s="33">
        <f>IF($D735="","",IFERROR(IF(INDEX(RUNS!$K$6:$K$1005,MATCH($D735,RUNS!$A$6:$A$1005,0))="","",INDEX(RUNS!$K$6:$K$1005,MATCH($D735,RUNS!$A$6:$A$1005,0))),""))</f>
        <v/>
      </c>
      <c r="R735" s="34">
        <f>IF(OR($L735="",$K735=""),"",IFERROR(IF(INDEX(PARAMETRES!$H$43:$H$342,MATCH($L735&amp;"|"&amp;$M735&amp;"|"&amp;$N735&amp;"|"&amp;$O735&amp;"|"&amp;$P735&amp;"|"&amp;$Q735&amp;"|"&amp;$K735,PARAMETRES!$J$43:$J$342,0))="","",INDEX(PARAMETRES!$H$43:$H$342,MATCH($L735&amp;"|"&amp;$M735&amp;"|"&amp;$N735&amp;"|"&amp;$O735&amp;"|"&amp;$P735&amp;"|"&amp;$Q735&amp;"|"&amp;$K735,PARAMETRES!$J$43:$J$342,0))),""))</f>
        <v/>
      </c>
      <c r="S735" s="35">
        <f>IF(OR($G735="",$X735&lt;&gt;"VALIDE"),"",IFERROR(LOOKUP(2,1/(($B$3:$B734=$B735)*($G$3:$G734=$G735)*($X$3:$X734="VALIDE")),$C$3:$C734),""))</f>
        <v/>
      </c>
      <c r="T735" s="36">
        <f>IF(OR($C735="",$S735=""),"",ROUND(($C735-$S735+IF($C735&lt;$S735,1,0))*1440,0))</f>
        <v/>
      </c>
      <c r="U735" s="22">
        <f>IF(OR($H735="",$T735="",$T735&lt;=0),"",$H735*60/$T735)</f>
        <v/>
      </c>
      <c r="V735" s="37">
        <f>IF(OR($U735="",$R735="",$R735=0),"",$U735/$R735)</f>
        <v/>
      </c>
      <c r="W735" s="20">
        <f>IF($G735="","",IF($X735="CONTEXTE INCOMPLET","CONTEXTE INCOMPLET",IF($X735="DOUBLON",StatutDoublon,IF($S735="",StatutInitial,IF($R735="",StatutStandardManquant,IF($V735="","DONNEES INSUFFISANTES",IF($V735&gt;=SeuilConforme,StatutConforme,IF($V735&gt;=SeuilSurveiller,StatutSurveiller,StatutSousStandard))))))))</f>
        <v/>
      </c>
      <c r="X735" s="33">
        <f>IF($G735="","",IF(OR($D735="",$E735="",$F735=""),"CONTEXTE INCOMPLET",IF(COUNTIFS($D$3:$D734,$D735,$E$3:$E734,$E735,$F$3:$F734,$F735,$G$3:$G734,$G735)&gt;0,"DOUBLON","VALIDE")))</f>
        <v/>
      </c>
    </row>
    <row r="736" ht="15" customHeight="1">
      <c r="A736" s="12">
        <f>IF(OR($B736="",$G736=""),"",TEXT($B736,"YYYYMMDD")&amp;"-"&amp;SUBSTITUTE($E736," ","")&amp;"-"&amp;$F736&amp;"-"&amp;$G736)</f>
        <v/>
      </c>
      <c r="B736" s="15" t="n"/>
      <c r="C736" s="16" t="n"/>
      <c r="D736" s="10" t="n"/>
      <c r="E736" s="9" t="n"/>
      <c r="F736" s="9" t="n"/>
      <c r="G736" s="13" t="n"/>
      <c r="H736" s="21" t="n"/>
      <c r="I736" s="21" t="n"/>
      <c r="J736" s="17">
        <f>IF($G736="","",IFERROR(INDEX(NomsEmployes,MATCH($G736,MatriculesEmployes,0)),"MATRICULE INCONNU"))</f>
        <v/>
      </c>
      <c r="K736" s="33">
        <f>IF(OR($D736="",$F736=""),"",IFERROR(IF(INDEX(RUNS!$L$6:$S$1005,MATCH($D736,RUNS!$A$6:$A$1005,0),MATCH("ACTIVITÉ "&amp;$F736,RUNS!$L$5:$S$5,0))="","",INDEX(RUNS!$L$6:$S$1005,MATCH($D736,RUNS!$A$6:$A$1005,0),MATCH("ACTIVITÉ "&amp;$F736,RUNS!$L$5:$S$5,0))),""))</f>
        <v/>
      </c>
      <c r="L736" s="33">
        <f>IF($D736="","",IFERROR(IF(INDEX(RUNS!$E$6:$E$1005,MATCH($D736,RUNS!$A$6:$A$1005,0))="","",INDEX(RUNS!$E$6:$E$1005,MATCH($D736,RUNS!$A$6:$A$1005,0))),""))</f>
        <v/>
      </c>
      <c r="M736" s="33">
        <f>IF($D736="","",IFERROR(IF(INDEX(RUNS!$F$6:$F$1005,MATCH($D736,RUNS!$A$6:$A$1005,0))="","",INDEX(RUNS!$F$6:$F$1005,MATCH($D736,RUNS!$A$6:$A$1005,0))),""))</f>
        <v/>
      </c>
      <c r="N736" s="33">
        <f>IF($D736="","",IFERROR(IF(INDEX(RUNS!$G$6:$G$1005,MATCH($D736,RUNS!$A$6:$A$1005,0))="","",INDEX(RUNS!$G$6:$G$1005,MATCH($D736,RUNS!$A$6:$A$1005,0))),""))</f>
        <v/>
      </c>
      <c r="O736" s="33">
        <f>IF($D736="","",IFERROR(IF(INDEX(RUNS!$H$6:$H$1005,MATCH($D736,RUNS!$A$6:$A$1005,0))="","",INDEX(RUNS!$H$6:$H$1005,MATCH($D736,RUNS!$A$6:$A$1005,0))),""))</f>
        <v/>
      </c>
      <c r="P736" s="33">
        <f>IF($D736="","",IFERROR(IF(INDEX(RUNS!$J$6:$J$1005,MATCH($D736,RUNS!$A$6:$A$1005,0))="","",INDEX(RUNS!$J$6:$J$1005,MATCH($D736,RUNS!$A$6:$A$1005,0))),""))</f>
        <v/>
      </c>
      <c r="Q736" s="33">
        <f>IF($D736="","",IFERROR(IF(INDEX(RUNS!$K$6:$K$1005,MATCH($D736,RUNS!$A$6:$A$1005,0))="","",INDEX(RUNS!$K$6:$K$1005,MATCH($D736,RUNS!$A$6:$A$1005,0))),""))</f>
        <v/>
      </c>
      <c r="R736" s="34">
        <f>IF(OR($L736="",$K736=""),"",IFERROR(IF(INDEX(PARAMETRES!$H$43:$H$342,MATCH($L736&amp;"|"&amp;$M736&amp;"|"&amp;$N736&amp;"|"&amp;$O736&amp;"|"&amp;$P736&amp;"|"&amp;$Q736&amp;"|"&amp;$K736,PARAMETRES!$J$43:$J$342,0))="","",INDEX(PARAMETRES!$H$43:$H$342,MATCH($L736&amp;"|"&amp;$M736&amp;"|"&amp;$N736&amp;"|"&amp;$O736&amp;"|"&amp;$P736&amp;"|"&amp;$Q736&amp;"|"&amp;$K736,PARAMETRES!$J$43:$J$342,0))),""))</f>
        <v/>
      </c>
      <c r="S736" s="35">
        <f>IF(OR($G736="",$X736&lt;&gt;"VALIDE"),"",IFERROR(LOOKUP(2,1/(($B$3:$B735=$B736)*($G$3:$G735=$G736)*($X$3:$X735="VALIDE")),$C$3:$C735),""))</f>
        <v/>
      </c>
      <c r="T736" s="36">
        <f>IF(OR($C736="",$S736=""),"",ROUND(($C736-$S736+IF($C736&lt;$S736,1,0))*1440,0))</f>
        <v/>
      </c>
      <c r="U736" s="22">
        <f>IF(OR($H736="",$T736="",$T736&lt;=0),"",$H736*60/$T736)</f>
        <v/>
      </c>
      <c r="V736" s="37">
        <f>IF(OR($U736="",$R736="",$R736=0),"",$U736/$R736)</f>
        <v/>
      </c>
      <c r="W736" s="20">
        <f>IF($G736="","",IF($X736="CONTEXTE INCOMPLET","CONTEXTE INCOMPLET",IF($X736="DOUBLON",StatutDoublon,IF($S736="",StatutInitial,IF($R736="",StatutStandardManquant,IF($V736="","DONNEES INSUFFISANTES",IF($V736&gt;=SeuilConforme,StatutConforme,IF($V736&gt;=SeuilSurveiller,StatutSurveiller,StatutSousStandard))))))))</f>
        <v/>
      </c>
      <c r="X736" s="33">
        <f>IF($G736="","",IF(OR($D736="",$E736="",$F736=""),"CONTEXTE INCOMPLET",IF(COUNTIFS($D$3:$D735,$D736,$E$3:$E735,$E736,$F$3:$F735,$F736,$G$3:$G735,$G736)&gt;0,"DOUBLON","VALIDE")))</f>
        <v/>
      </c>
    </row>
    <row r="737" ht="15" customHeight="1">
      <c r="A737" s="12">
        <f>IF(OR($B737="",$G737=""),"",TEXT($B737,"YYYYMMDD")&amp;"-"&amp;SUBSTITUTE($E737," ","")&amp;"-"&amp;$F737&amp;"-"&amp;$G737)</f>
        <v/>
      </c>
      <c r="B737" s="15" t="n"/>
      <c r="C737" s="16" t="n"/>
      <c r="D737" s="10" t="n"/>
      <c r="E737" s="9" t="n"/>
      <c r="F737" s="9" t="n"/>
      <c r="G737" s="13" t="n"/>
      <c r="H737" s="21" t="n"/>
      <c r="I737" s="21" t="n"/>
      <c r="J737" s="17">
        <f>IF($G737="","",IFERROR(INDEX(NomsEmployes,MATCH($G737,MatriculesEmployes,0)),"MATRICULE INCONNU"))</f>
        <v/>
      </c>
      <c r="K737" s="33">
        <f>IF(OR($D737="",$F737=""),"",IFERROR(IF(INDEX(RUNS!$L$6:$S$1005,MATCH($D737,RUNS!$A$6:$A$1005,0),MATCH("ACTIVITÉ "&amp;$F737,RUNS!$L$5:$S$5,0))="","",INDEX(RUNS!$L$6:$S$1005,MATCH($D737,RUNS!$A$6:$A$1005,0),MATCH("ACTIVITÉ "&amp;$F737,RUNS!$L$5:$S$5,0))),""))</f>
        <v/>
      </c>
      <c r="L737" s="33">
        <f>IF($D737="","",IFERROR(IF(INDEX(RUNS!$E$6:$E$1005,MATCH($D737,RUNS!$A$6:$A$1005,0))="","",INDEX(RUNS!$E$6:$E$1005,MATCH($D737,RUNS!$A$6:$A$1005,0))),""))</f>
        <v/>
      </c>
      <c r="M737" s="33">
        <f>IF($D737="","",IFERROR(IF(INDEX(RUNS!$F$6:$F$1005,MATCH($D737,RUNS!$A$6:$A$1005,0))="","",INDEX(RUNS!$F$6:$F$1005,MATCH($D737,RUNS!$A$6:$A$1005,0))),""))</f>
        <v/>
      </c>
      <c r="N737" s="33">
        <f>IF($D737="","",IFERROR(IF(INDEX(RUNS!$G$6:$G$1005,MATCH($D737,RUNS!$A$6:$A$1005,0))="","",INDEX(RUNS!$G$6:$G$1005,MATCH($D737,RUNS!$A$6:$A$1005,0))),""))</f>
        <v/>
      </c>
      <c r="O737" s="33">
        <f>IF($D737="","",IFERROR(IF(INDEX(RUNS!$H$6:$H$1005,MATCH($D737,RUNS!$A$6:$A$1005,0))="","",INDEX(RUNS!$H$6:$H$1005,MATCH($D737,RUNS!$A$6:$A$1005,0))),""))</f>
        <v/>
      </c>
      <c r="P737" s="33">
        <f>IF($D737="","",IFERROR(IF(INDEX(RUNS!$J$6:$J$1005,MATCH($D737,RUNS!$A$6:$A$1005,0))="","",INDEX(RUNS!$J$6:$J$1005,MATCH($D737,RUNS!$A$6:$A$1005,0))),""))</f>
        <v/>
      </c>
      <c r="Q737" s="33">
        <f>IF($D737="","",IFERROR(IF(INDEX(RUNS!$K$6:$K$1005,MATCH($D737,RUNS!$A$6:$A$1005,0))="","",INDEX(RUNS!$K$6:$K$1005,MATCH($D737,RUNS!$A$6:$A$1005,0))),""))</f>
        <v/>
      </c>
      <c r="R737" s="34">
        <f>IF(OR($L737="",$K737=""),"",IFERROR(IF(INDEX(PARAMETRES!$H$43:$H$342,MATCH($L737&amp;"|"&amp;$M737&amp;"|"&amp;$N737&amp;"|"&amp;$O737&amp;"|"&amp;$P737&amp;"|"&amp;$Q737&amp;"|"&amp;$K737,PARAMETRES!$J$43:$J$342,0))="","",INDEX(PARAMETRES!$H$43:$H$342,MATCH($L737&amp;"|"&amp;$M737&amp;"|"&amp;$N737&amp;"|"&amp;$O737&amp;"|"&amp;$P737&amp;"|"&amp;$Q737&amp;"|"&amp;$K737,PARAMETRES!$J$43:$J$342,0))),""))</f>
        <v/>
      </c>
      <c r="S737" s="35">
        <f>IF(OR($G737="",$X737&lt;&gt;"VALIDE"),"",IFERROR(LOOKUP(2,1/(($B$3:$B736=$B737)*($G$3:$G736=$G737)*($X$3:$X736="VALIDE")),$C$3:$C736),""))</f>
        <v/>
      </c>
      <c r="T737" s="36">
        <f>IF(OR($C737="",$S737=""),"",ROUND(($C737-$S737+IF($C737&lt;$S737,1,0))*1440,0))</f>
        <v/>
      </c>
      <c r="U737" s="22">
        <f>IF(OR($H737="",$T737="",$T737&lt;=0),"",$H737*60/$T737)</f>
        <v/>
      </c>
      <c r="V737" s="37">
        <f>IF(OR($U737="",$R737="",$R737=0),"",$U737/$R737)</f>
        <v/>
      </c>
      <c r="W737" s="20">
        <f>IF($G737="","",IF($X737="CONTEXTE INCOMPLET","CONTEXTE INCOMPLET",IF($X737="DOUBLON",StatutDoublon,IF($S737="",StatutInitial,IF($R737="",StatutStandardManquant,IF($V737="","DONNEES INSUFFISANTES",IF($V737&gt;=SeuilConforme,StatutConforme,IF($V737&gt;=SeuilSurveiller,StatutSurveiller,StatutSousStandard))))))))</f>
        <v/>
      </c>
      <c r="X737" s="33">
        <f>IF($G737="","",IF(OR($D737="",$E737="",$F737=""),"CONTEXTE INCOMPLET",IF(COUNTIFS($D$3:$D736,$D737,$E$3:$E736,$E737,$F$3:$F736,$F737,$G$3:$G736,$G737)&gt;0,"DOUBLON","VALIDE")))</f>
        <v/>
      </c>
    </row>
    <row r="738" ht="15" customHeight="1">
      <c r="A738" s="12">
        <f>IF(OR($B738="",$G738=""),"",TEXT($B738,"YYYYMMDD")&amp;"-"&amp;SUBSTITUTE($E738," ","")&amp;"-"&amp;$F738&amp;"-"&amp;$G738)</f>
        <v/>
      </c>
      <c r="B738" s="15" t="n"/>
      <c r="C738" s="16" t="n"/>
      <c r="D738" s="10" t="n"/>
      <c r="E738" s="9" t="n"/>
      <c r="F738" s="9" t="n"/>
      <c r="G738" s="13" t="n"/>
      <c r="H738" s="21" t="n"/>
      <c r="I738" s="21" t="n"/>
      <c r="J738" s="17">
        <f>IF($G738="","",IFERROR(INDEX(NomsEmployes,MATCH($G738,MatriculesEmployes,0)),"MATRICULE INCONNU"))</f>
        <v/>
      </c>
      <c r="K738" s="33">
        <f>IF(OR($D738="",$F738=""),"",IFERROR(IF(INDEX(RUNS!$L$6:$S$1005,MATCH($D738,RUNS!$A$6:$A$1005,0),MATCH("ACTIVITÉ "&amp;$F738,RUNS!$L$5:$S$5,0))="","",INDEX(RUNS!$L$6:$S$1005,MATCH($D738,RUNS!$A$6:$A$1005,0),MATCH("ACTIVITÉ "&amp;$F738,RUNS!$L$5:$S$5,0))),""))</f>
        <v/>
      </c>
      <c r="L738" s="33">
        <f>IF($D738="","",IFERROR(IF(INDEX(RUNS!$E$6:$E$1005,MATCH($D738,RUNS!$A$6:$A$1005,0))="","",INDEX(RUNS!$E$6:$E$1005,MATCH($D738,RUNS!$A$6:$A$1005,0))),""))</f>
        <v/>
      </c>
      <c r="M738" s="33">
        <f>IF($D738="","",IFERROR(IF(INDEX(RUNS!$F$6:$F$1005,MATCH($D738,RUNS!$A$6:$A$1005,0))="","",INDEX(RUNS!$F$6:$F$1005,MATCH($D738,RUNS!$A$6:$A$1005,0))),""))</f>
        <v/>
      </c>
      <c r="N738" s="33">
        <f>IF($D738="","",IFERROR(IF(INDEX(RUNS!$G$6:$G$1005,MATCH($D738,RUNS!$A$6:$A$1005,0))="","",INDEX(RUNS!$G$6:$G$1005,MATCH($D738,RUNS!$A$6:$A$1005,0))),""))</f>
        <v/>
      </c>
      <c r="O738" s="33">
        <f>IF($D738="","",IFERROR(IF(INDEX(RUNS!$H$6:$H$1005,MATCH($D738,RUNS!$A$6:$A$1005,0))="","",INDEX(RUNS!$H$6:$H$1005,MATCH($D738,RUNS!$A$6:$A$1005,0))),""))</f>
        <v/>
      </c>
      <c r="P738" s="33">
        <f>IF($D738="","",IFERROR(IF(INDEX(RUNS!$J$6:$J$1005,MATCH($D738,RUNS!$A$6:$A$1005,0))="","",INDEX(RUNS!$J$6:$J$1005,MATCH($D738,RUNS!$A$6:$A$1005,0))),""))</f>
        <v/>
      </c>
      <c r="Q738" s="33">
        <f>IF($D738="","",IFERROR(IF(INDEX(RUNS!$K$6:$K$1005,MATCH($D738,RUNS!$A$6:$A$1005,0))="","",INDEX(RUNS!$K$6:$K$1005,MATCH($D738,RUNS!$A$6:$A$1005,0))),""))</f>
        <v/>
      </c>
      <c r="R738" s="34">
        <f>IF(OR($L738="",$K738=""),"",IFERROR(IF(INDEX(PARAMETRES!$H$43:$H$342,MATCH($L738&amp;"|"&amp;$M738&amp;"|"&amp;$N738&amp;"|"&amp;$O738&amp;"|"&amp;$P738&amp;"|"&amp;$Q738&amp;"|"&amp;$K738,PARAMETRES!$J$43:$J$342,0))="","",INDEX(PARAMETRES!$H$43:$H$342,MATCH($L738&amp;"|"&amp;$M738&amp;"|"&amp;$N738&amp;"|"&amp;$O738&amp;"|"&amp;$P738&amp;"|"&amp;$Q738&amp;"|"&amp;$K738,PARAMETRES!$J$43:$J$342,0))),""))</f>
        <v/>
      </c>
      <c r="S738" s="35">
        <f>IF(OR($G738="",$X738&lt;&gt;"VALIDE"),"",IFERROR(LOOKUP(2,1/(($B$3:$B737=$B738)*($G$3:$G737=$G738)*($X$3:$X737="VALIDE")),$C$3:$C737),""))</f>
        <v/>
      </c>
      <c r="T738" s="36">
        <f>IF(OR($C738="",$S738=""),"",ROUND(($C738-$S738+IF($C738&lt;$S738,1,0))*1440,0))</f>
        <v/>
      </c>
      <c r="U738" s="22">
        <f>IF(OR($H738="",$T738="",$T738&lt;=0),"",$H738*60/$T738)</f>
        <v/>
      </c>
      <c r="V738" s="37">
        <f>IF(OR($U738="",$R738="",$R738=0),"",$U738/$R738)</f>
        <v/>
      </c>
      <c r="W738" s="20">
        <f>IF($G738="","",IF($X738="CONTEXTE INCOMPLET","CONTEXTE INCOMPLET",IF($X738="DOUBLON",StatutDoublon,IF($S738="",StatutInitial,IF($R738="",StatutStandardManquant,IF($V738="","DONNEES INSUFFISANTES",IF($V738&gt;=SeuilConforme,StatutConforme,IF($V738&gt;=SeuilSurveiller,StatutSurveiller,StatutSousStandard))))))))</f>
        <v/>
      </c>
      <c r="X738" s="33">
        <f>IF($G738="","",IF(OR($D738="",$E738="",$F738=""),"CONTEXTE INCOMPLET",IF(COUNTIFS($D$3:$D737,$D738,$E$3:$E737,$E738,$F$3:$F737,$F738,$G$3:$G737,$G738)&gt;0,"DOUBLON","VALIDE")))</f>
        <v/>
      </c>
    </row>
    <row r="739" ht="15" customHeight="1">
      <c r="A739" s="12">
        <f>IF(OR($B739="",$G739=""),"",TEXT($B739,"YYYYMMDD")&amp;"-"&amp;SUBSTITUTE($E739," ","")&amp;"-"&amp;$F739&amp;"-"&amp;$G739)</f>
        <v/>
      </c>
      <c r="B739" s="15" t="n"/>
      <c r="C739" s="16" t="n"/>
      <c r="D739" s="10" t="n"/>
      <c r="E739" s="9" t="n"/>
      <c r="F739" s="9" t="n"/>
      <c r="G739" s="13" t="n"/>
      <c r="H739" s="21" t="n"/>
      <c r="I739" s="21" t="n"/>
      <c r="J739" s="17">
        <f>IF($G739="","",IFERROR(INDEX(NomsEmployes,MATCH($G739,MatriculesEmployes,0)),"MATRICULE INCONNU"))</f>
        <v/>
      </c>
      <c r="K739" s="33">
        <f>IF(OR($D739="",$F739=""),"",IFERROR(IF(INDEX(RUNS!$L$6:$S$1005,MATCH($D739,RUNS!$A$6:$A$1005,0),MATCH("ACTIVITÉ "&amp;$F739,RUNS!$L$5:$S$5,0))="","",INDEX(RUNS!$L$6:$S$1005,MATCH($D739,RUNS!$A$6:$A$1005,0),MATCH("ACTIVITÉ "&amp;$F739,RUNS!$L$5:$S$5,0))),""))</f>
        <v/>
      </c>
      <c r="L739" s="33">
        <f>IF($D739="","",IFERROR(IF(INDEX(RUNS!$E$6:$E$1005,MATCH($D739,RUNS!$A$6:$A$1005,0))="","",INDEX(RUNS!$E$6:$E$1005,MATCH($D739,RUNS!$A$6:$A$1005,0))),""))</f>
        <v/>
      </c>
      <c r="M739" s="33">
        <f>IF($D739="","",IFERROR(IF(INDEX(RUNS!$F$6:$F$1005,MATCH($D739,RUNS!$A$6:$A$1005,0))="","",INDEX(RUNS!$F$6:$F$1005,MATCH($D739,RUNS!$A$6:$A$1005,0))),""))</f>
        <v/>
      </c>
      <c r="N739" s="33">
        <f>IF($D739="","",IFERROR(IF(INDEX(RUNS!$G$6:$G$1005,MATCH($D739,RUNS!$A$6:$A$1005,0))="","",INDEX(RUNS!$G$6:$G$1005,MATCH($D739,RUNS!$A$6:$A$1005,0))),""))</f>
        <v/>
      </c>
      <c r="O739" s="33">
        <f>IF($D739="","",IFERROR(IF(INDEX(RUNS!$H$6:$H$1005,MATCH($D739,RUNS!$A$6:$A$1005,0))="","",INDEX(RUNS!$H$6:$H$1005,MATCH($D739,RUNS!$A$6:$A$1005,0))),""))</f>
        <v/>
      </c>
      <c r="P739" s="33">
        <f>IF($D739="","",IFERROR(IF(INDEX(RUNS!$J$6:$J$1005,MATCH($D739,RUNS!$A$6:$A$1005,0))="","",INDEX(RUNS!$J$6:$J$1005,MATCH($D739,RUNS!$A$6:$A$1005,0))),""))</f>
        <v/>
      </c>
      <c r="Q739" s="33">
        <f>IF($D739="","",IFERROR(IF(INDEX(RUNS!$K$6:$K$1005,MATCH($D739,RUNS!$A$6:$A$1005,0))="","",INDEX(RUNS!$K$6:$K$1005,MATCH($D739,RUNS!$A$6:$A$1005,0))),""))</f>
        <v/>
      </c>
      <c r="R739" s="34">
        <f>IF(OR($L739="",$K739=""),"",IFERROR(IF(INDEX(PARAMETRES!$H$43:$H$342,MATCH($L739&amp;"|"&amp;$M739&amp;"|"&amp;$N739&amp;"|"&amp;$O739&amp;"|"&amp;$P739&amp;"|"&amp;$Q739&amp;"|"&amp;$K739,PARAMETRES!$J$43:$J$342,0))="","",INDEX(PARAMETRES!$H$43:$H$342,MATCH($L739&amp;"|"&amp;$M739&amp;"|"&amp;$N739&amp;"|"&amp;$O739&amp;"|"&amp;$P739&amp;"|"&amp;$Q739&amp;"|"&amp;$K739,PARAMETRES!$J$43:$J$342,0))),""))</f>
        <v/>
      </c>
      <c r="S739" s="35">
        <f>IF(OR($G739="",$X739&lt;&gt;"VALIDE"),"",IFERROR(LOOKUP(2,1/(($B$3:$B738=$B739)*($G$3:$G738=$G739)*($X$3:$X738="VALIDE")),$C$3:$C738),""))</f>
        <v/>
      </c>
      <c r="T739" s="36">
        <f>IF(OR($C739="",$S739=""),"",ROUND(($C739-$S739+IF($C739&lt;$S739,1,0))*1440,0))</f>
        <v/>
      </c>
      <c r="U739" s="22">
        <f>IF(OR($H739="",$T739="",$T739&lt;=0),"",$H739*60/$T739)</f>
        <v/>
      </c>
      <c r="V739" s="37">
        <f>IF(OR($U739="",$R739="",$R739=0),"",$U739/$R739)</f>
        <v/>
      </c>
      <c r="W739" s="20">
        <f>IF($G739="","",IF($X739="CONTEXTE INCOMPLET","CONTEXTE INCOMPLET",IF($X739="DOUBLON",StatutDoublon,IF($S739="",StatutInitial,IF($R739="",StatutStandardManquant,IF($V739="","DONNEES INSUFFISANTES",IF($V739&gt;=SeuilConforme,StatutConforme,IF($V739&gt;=SeuilSurveiller,StatutSurveiller,StatutSousStandard))))))))</f>
        <v/>
      </c>
      <c r="X739" s="33">
        <f>IF($G739="","",IF(OR($D739="",$E739="",$F739=""),"CONTEXTE INCOMPLET",IF(COUNTIFS($D$3:$D738,$D739,$E$3:$E738,$E739,$F$3:$F738,$F739,$G$3:$G738,$G739)&gt;0,"DOUBLON","VALIDE")))</f>
        <v/>
      </c>
    </row>
    <row r="740" ht="15" customHeight="1">
      <c r="A740" s="12">
        <f>IF(OR($B740="",$G740=""),"",TEXT($B740,"YYYYMMDD")&amp;"-"&amp;SUBSTITUTE($E740," ","")&amp;"-"&amp;$F740&amp;"-"&amp;$G740)</f>
        <v/>
      </c>
      <c r="B740" s="15" t="n"/>
      <c r="C740" s="16" t="n"/>
      <c r="D740" s="10" t="n"/>
      <c r="E740" s="9" t="n"/>
      <c r="F740" s="9" t="n"/>
      <c r="G740" s="13" t="n"/>
      <c r="H740" s="21" t="n"/>
      <c r="I740" s="21" t="n"/>
      <c r="J740" s="17">
        <f>IF($G740="","",IFERROR(INDEX(NomsEmployes,MATCH($G740,MatriculesEmployes,0)),"MATRICULE INCONNU"))</f>
        <v/>
      </c>
      <c r="K740" s="33">
        <f>IF(OR($D740="",$F740=""),"",IFERROR(IF(INDEX(RUNS!$L$6:$S$1005,MATCH($D740,RUNS!$A$6:$A$1005,0),MATCH("ACTIVITÉ "&amp;$F740,RUNS!$L$5:$S$5,0))="","",INDEX(RUNS!$L$6:$S$1005,MATCH($D740,RUNS!$A$6:$A$1005,0),MATCH("ACTIVITÉ "&amp;$F740,RUNS!$L$5:$S$5,0))),""))</f>
        <v/>
      </c>
      <c r="L740" s="33">
        <f>IF($D740="","",IFERROR(IF(INDEX(RUNS!$E$6:$E$1005,MATCH($D740,RUNS!$A$6:$A$1005,0))="","",INDEX(RUNS!$E$6:$E$1005,MATCH($D740,RUNS!$A$6:$A$1005,0))),""))</f>
        <v/>
      </c>
      <c r="M740" s="33">
        <f>IF($D740="","",IFERROR(IF(INDEX(RUNS!$F$6:$F$1005,MATCH($D740,RUNS!$A$6:$A$1005,0))="","",INDEX(RUNS!$F$6:$F$1005,MATCH($D740,RUNS!$A$6:$A$1005,0))),""))</f>
        <v/>
      </c>
      <c r="N740" s="33">
        <f>IF($D740="","",IFERROR(IF(INDEX(RUNS!$G$6:$G$1005,MATCH($D740,RUNS!$A$6:$A$1005,0))="","",INDEX(RUNS!$G$6:$G$1005,MATCH($D740,RUNS!$A$6:$A$1005,0))),""))</f>
        <v/>
      </c>
      <c r="O740" s="33">
        <f>IF($D740="","",IFERROR(IF(INDEX(RUNS!$H$6:$H$1005,MATCH($D740,RUNS!$A$6:$A$1005,0))="","",INDEX(RUNS!$H$6:$H$1005,MATCH($D740,RUNS!$A$6:$A$1005,0))),""))</f>
        <v/>
      </c>
      <c r="P740" s="33">
        <f>IF($D740="","",IFERROR(IF(INDEX(RUNS!$J$6:$J$1005,MATCH($D740,RUNS!$A$6:$A$1005,0))="","",INDEX(RUNS!$J$6:$J$1005,MATCH($D740,RUNS!$A$6:$A$1005,0))),""))</f>
        <v/>
      </c>
      <c r="Q740" s="33">
        <f>IF($D740="","",IFERROR(IF(INDEX(RUNS!$K$6:$K$1005,MATCH($D740,RUNS!$A$6:$A$1005,0))="","",INDEX(RUNS!$K$6:$K$1005,MATCH($D740,RUNS!$A$6:$A$1005,0))),""))</f>
        <v/>
      </c>
      <c r="R740" s="34">
        <f>IF(OR($L740="",$K740=""),"",IFERROR(IF(INDEX(PARAMETRES!$H$43:$H$342,MATCH($L740&amp;"|"&amp;$M740&amp;"|"&amp;$N740&amp;"|"&amp;$O740&amp;"|"&amp;$P740&amp;"|"&amp;$Q740&amp;"|"&amp;$K740,PARAMETRES!$J$43:$J$342,0))="","",INDEX(PARAMETRES!$H$43:$H$342,MATCH($L740&amp;"|"&amp;$M740&amp;"|"&amp;$N740&amp;"|"&amp;$O740&amp;"|"&amp;$P740&amp;"|"&amp;$Q740&amp;"|"&amp;$K740,PARAMETRES!$J$43:$J$342,0))),""))</f>
        <v/>
      </c>
      <c r="S740" s="35">
        <f>IF(OR($G740="",$X740&lt;&gt;"VALIDE"),"",IFERROR(LOOKUP(2,1/(($B$3:$B739=$B740)*($G$3:$G739=$G740)*($X$3:$X739="VALIDE")),$C$3:$C739),""))</f>
        <v/>
      </c>
      <c r="T740" s="36">
        <f>IF(OR($C740="",$S740=""),"",ROUND(($C740-$S740+IF($C740&lt;$S740,1,0))*1440,0))</f>
        <v/>
      </c>
      <c r="U740" s="22">
        <f>IF(OR($H740="",$T740="",$T740&lt;=0),"",$H740*60/$T740)</f>
        <v/>
      </c>
      <c r="V740" s="37">
        <f>IF(OR($U740="",$R740="",$R740=0),"",$U740/$R740)</f>
        <v/>
      </c>
      <c r="W740" s="20">
        <f>IF($G740="","",IF($X740="CONTEXTE INCOMPLET","CONTEXTE INCOMPLET",IF($X740="DOUBLON",StatutDoublon,IF($S740="",StatutInitial,IF($R740="",StatutStandardManquant,IF($V740="","DONNEES INSUFFISANTES",IF($V740&gt;=SeuilConforme,StatutConforme,IF($V740&gt;=SeuilSurveiller,StatutSurveiller,StatutSousStandard))))))))</f>
        <v/>
      </c>
      <c r="X740" s="33">
        <f>IF($G740="","",IF(OR($D740="",$E740="",$F740=""),"CONTEXTE INCOMPLET",IF(COUNTIFS($D$3:$D739,$D740,$E$3:$E739,$E740,$F$3:$F739,$F740,$G$3:$G739,$G740)&gt;0,"DOUBLON","VALIDE")))</f>
        <v/>
      </c>
    </row>
    <row r="741" ht="15" customHeight="1">
      <c r="A741" s="12">
        <f>IF(OR($B741="",$G741=""),"",TEXT($B741,"YYYYMMDD")&amp;"-"&amp;SUBSTITUTE($E741," ","")&amp;"-"&amp;$F741&amp;"-"&amp;$G741)</f>
        <v/>
      </c>
      <c r="B741" s="15" t="n"/>
      <c r="C741" s="16" t="n"/>
      <c r="D741" s="10" t="n"/>
      <c r="E741" s="9" t="n"/>
      <c r="F741" s="9" t="n"/>
      <c r="G741" s="13" t="n"/>
      <c r="H741" s="21" t="n"/>
      <c r="I741" s="21" t="n"/>
      <c r="J741" s="17">
        <f>IF($G741="","",IFERROR(INDEX(NomsEmployes,MATCH($G741,MatriculesEmployes,0)),"MATRICULE INCONNU"))</f>
        <v/>
      </c>
      <c r="K741" s="33">
        <f>IF(OR($D741="",$F741=""),"",IFERROR(IF(INDEX(RUNS!$L$6:$S$1005,MATCH($D741,RUNS!$A$6:$A$1005,0),MATCH("ACTIVITÉ "&amp;$F741,RUNS!$L$5:$S$5,0))="","",INDEX(RUNS!$L$6:$S$1005,MATCH($D741,RUNS!$A$6:$A$1005,0),MATCH("ACTIVITÉ "&amp;$F741,RUNS!$L$5:$S$5,0))),""))</f>
        <v/>
      </c>
      <c r="L741" s="33">
        <f>IF($D741="","",IFERROR(IF(INDEX(RUNS!$E$6:$E$1005,MATCH($D741,RUNS!$A$6:$A$1005,0))="","",INDEX(RUNS!$E$6:$E$1005,MATCH($D741,RUNS!$A$6:$A$1005,0))),""))</f>
        <v/>
      </c>
      <c r="M741" s="33">
        <f>IF($D741="","",IFERROR(IF(INDEX(RUNS!$F$6:$F$1005,MATCH($D741,RUNS!$A$6:$A$1005,0))="","",INDEX(RUNS!$F$6:$F$1005,MATCH($D741,RUNS!$A$6:$A$1005,0))),""))</f>
        <v/>
      </c>
      <c r="N741" s="33">
        <f>IF($D741="","",IFERROR(IF(INDEX(RUNS!$G$6:$G$1005,MATCH($D741,RUNS!$A$6:$A$1005,0))="","",INDEX(RUNS!$G$6:$G$1005,MATCH($D741,RUNS!$A$6:$A$1005,0))),""))</f>
        <v/>
      </c>
      <c r="O741" s="33">
        <f>IF($D741="","",IFERROR(IF(INDEX(RUNS!$H$6:$H$1005,MATCH($D741,RUNS!$A$6:$A$1005,0))="","",INDEX(RUNS!$H$6:$H$1005,MATCH($D741,RUNS!$A$6:$A$1005,0))),""))</f>
        <v/>
      </c>
      <c r="P741" s="33">
        <f>IF($D741="","",IFERROR(IF(INDEX(RUNS!$J$6:$J$1005,MATCH($D741,RUNS!$A$6:$A$1005,0))="","",INDEX(RUNS!$J$6:$J$1005,MATCH($D741,RUNS!$A$6:$A$1005,0))),""))</f>
        <v/>
      </c>
      <c r="Q741" s="33">
        <f>IF($D741="","",IFERROR(IF(INDEX(RUNS!$K$6:$K$1005,MATCH($D741,RUNS!$A$6:$A$1005,0))="","",INDEX(RUNS!$K$6:$K$1005,MATCH($D741,RUNS!$A$6:$A$1005,0))),""))</f>
        <v/>
      </c>
      <c r="R741" s="34">
        <f>IF(OR($L741="",$K741=""),"",IFERROR(IF(INDEX(PARAMETRES!$H$43:$H$342,MATCH($L741&amp;"|"&amp;$M741&amp;"|"&amp;$N741&amp;"|"&amp;$O741&amp;"|"&amp;$P741&amp;"|"&amp;$Q741&amp;"|"&amp;$K741,PARAMETRES!$J$43:$J$342,0))="","",INDEX(PARAMETRES!$H$43:$H$342,MATCH($L741&amp;"|"&amp;$M741&amp;"|"&amp;$N741&amp;"|"&amp;$O741&amp;"|"&amp;$P741&amp;"|"&amp;$Q741&amp;"|"&amp;$K741,PARAMETRES!$J$43:$J$342,0))),""))</f>
        <v/>
      </c>
      <c r="S741" s="35">
        <f>IF(OR($G741="",$X741&lt;&gt;"VALIDE"),"",IFERROR(LOOKUP(2,1/(($B$3:$B740=$B741)*($G$3:$G740=$G741)*($X$3:$X740="VALIDE")),$C$3:$C740),""))</f>
        <v/>
      </c>
      <c r="T741" s="36">
        <f>IF(OR($C741="",$S741=""),"",ROUND(($C741-$S741+IF($C741&lt;$S741,1,0))*1440,0))</f>
        <v/>
      </c>
      <c r="U741" s="22">
        <f>IF(OR($H741="",$T741="",$T741&lt;=0),"",$H741*60/$T741)</f>
        <v/>
      </c>
      <c r="V741" s="37">
        <f>IF(OR($U741="",$R741="",$R741=0),"",$U741/$R741)</f>
        <v/>
      </c>
      <c r="W741" s="20">
        <f>IF($G741="","",IF($X741="CONTEXTE INCOMPLET","CONTEXTE INCOMPLET",IF($X741="DOUBLON",StatutDoublon,IF($S741="",StatutInitial,IF($R741="",StatutStandardManquant,IF($V741="","DONNEES INSUFFISANTES",IF($V741&gt;=SeuilConforme,StatutConforme,IF($V741&gt;=SeuilSurveiller,StatutSurveiller,StatutSousStandard))))))))</f>
        <v/>
      </c>
      <c r="X741" s="33">
        <f>IF($G741="","",IF(OR($D741="",$E741="",$F741=""),"CONTEXTE INCOMPLET",IF(COUNTIFS($D$3:$D740,$D741,$E$3:$E740,$E741,$F$3:$F740,$F741,$G$3:$G740,$G741)&gt;0,"DOUBLON","VALIDE")))</f>
        <v/>
      </c>
    </row>
    <row r="742" ht="15" customHeight="1">
      <c r="A742" s="12">
        <f>IF(OR($B742="",$G742=""),"",TEXT($B742,"YYYYMMDD")&amp;"-"&amp;SUBSTITUTE($E742," ","")&amp;"-"&amp;$F742&amp;"-"&amp;$G742)</f>
        <v/>
      </c>
      <c r="B742" s="15" t="n"/>
      <c r="C742" s="16" t="n"/>
      <c r="D742" s="10" t="n"/>
      <c r="E742" s="9" t="n"/>
      <c r="F742" s="9" t="n"/>
      <c r="G742" s="13" t="n"/>
      <c r="H742" s="21" t="n"/>
      <c r="I742" s="21" t="n"/>
      <c r="J742" s="17">
        <f>IF($G742="","",IFERROR(INDEX(NomsEmployes,MATCH($G742,MatriculesEmployes,0)),"MATRICULE INCONNU"))</f>
        <v/>
      </c>
      <c r="K742" s="33">
        <f>IF(OR($D742="",$F742=""),"",IFERROR(IF(INDEX(RUNS!$L$6:$S$1005,MATCH($D742,RUNS!$A$6:$A$1005,0),MATCH("ACTIVITÉ "&amp;$F742,RUNS!$L$5:$S$5,0))="","",INDEX(RUNS!$L$6:$S$1005,MATCH($D742,RUNS!$A$6:$A$1005,0),MATCH("ACTIVITÉ "&amp;$F742,RUNS!$L$5:$S$5,0))),""))</f>
        <v/>
      </c>
      <c r="L742" s="33">
        <f>IF($D742="","",IFERROR(IF(INDEX(RUNS!$E$6:$E$1005,MATCH($D742,RUNS!$A$6:$A$1005,0))="","",INDEX(RUNS!$E$6:$E$1005,MATCH($D742,RUNS!$A$6:$A$1005,0))),""))</f>
        <v/>
      </c>
      <c r="M742" s="33">
        <f>IF($D742="","",IFERROR(IF(INDEX(RUNS!$F$6:$F$1005,MATCH($D742,RUNS!$A$6:$A$1005,0))="","",INDEX(RUNS!$F$6:$F$1005,MATCH($D742,RUNS!$A$6:$A$1005,0))),""))</f>
        <v/>
      </c>
      <c r="N742" s="33">
        <f>IF($D742="","",IFERROR(IF(INDEX(RUNS!$G$6:$G$1005,MATCH($D742,RUNS!$A$6:$A$1005,0))="","",INDEX(RUNS!$G$6:$G$1005,MATCH($D742,RUNS!$A$6:$A$1005,0))),""))</f>
        <v/>
      </c>
      <c r="O742" s="33">
        <f>IF($D742="","",IFERROR(IF(INDEX(RUNS!$H$6:$H$1005,MATCH($D742,RUNS!$A$6:$A$1005,0))="","",INDEX(RUNS!$H$6:$H$1005,MATCH($D742,RUNS!$A$6:$A$1005,0))),""))</f>
        <v/>
      </c>
      <c r="P742" s="33">
        <f>IF($D742="","",IFERROR(IF(INDEX(RUNS!$J$6:$J$1005,MATCH($D742,RUNS!$A$6:$A$1005,0))="","",INDEX(RUNS!$J$6:$J$1005,MATCH($D742,RUNS!$A$6:$A$1005,0))),""))</f>
        <v/>
      </c>
      <c r="Q742" s="33">
        <f>IF($D742="","",IFERROR(IF(INDEX(RUNS!$K$6:$K$1005,MATCH($D742,RUNS!$A$6:$A$1005,0))="","",INDEX(RUNS!$K$6:$K$1005,MATCH($D742,RUNS!$A$6:$A$1005,0))),""))</f>
        <v/>
      </c>
      <c r="R742" s="34">
        <f>IF(OR($L742="",$K742=""),"",IFERROR(IF(INDEX(PARAMETRES!$H$43:$H$342,MATCH($L742&amp;"|"&amp;$M742&amp;"|"&amp;$N742&amp;"|"&amp;$O742&amp;"|"&amp;$P742&amp;"|"&amp;$Q742&amp;"|"&amp;$K742,PARAMETRES!$J$43:$J$342,0))="","",INDEX(PARAMETRES!$H$43:$H$342,MATCH($L742&amp;"|"&amp;$M742&amp;"|"&amp;$N742&amp;"|"&amp;$O742&amp;"|"&amp;$P742&amp;"|"&amp;$Q742&amp;"|"&amp;$K742,PARAMETRES!$J$43:$J$342,0))),""))</f>
        <v/>
      </c>
      <c r="S742" s="35">
        <f>IF(OR($G742="",$X742&lt;&gt;"VALIDE"),"",IFERROR(LOOKUP(2,1/(($B$3:$B741=$B742)*($G$3:$G741=$G742)*($X$3:$X741="VALIDE")),$C$3:$C741),""))</f>
        <v/>
      </c>
      <c r="T742" s="36">
        <f>IF(OR($C742="",$S742=""),"",ROUND(($C742-$S742+IF($C742&lt;$S742,1,0))*1440,0))</f>
        <v/>
      </c>
      <c r="U742" s="22">
        <f>IF(OR($H742="",$T742="",$T742&lt;=0),"",$H742*60/$T742)</f>
        <v/>
      </c>
      <c r="V742" s="37">
        <f>IF(OR($U742="",$R742="",$R742=0),"",$U742/$R742)</f>
        <v/>
      </c>
      <c r="W742" s="20">
        <f>IF($G742="","",IF($X742="CONTEXTE INCOMPLET","CONTEXTE INCOMPLET",IF($X742="DOUBLON",StatutDoublon,IF($S742="",StatutInitial,IF($R742="",StatutStandardManquant,IF($V742="","DONNEES INSUFFISANTES",IF($V742&gt;=SeuilConforme,StatutConforme,IF($V742&gt;=SeuilSurveiller,StatutSurveiller,StatutSousStandard))))))))</f>
        <v/>
      </c>
      <c r="X742" s="33">
        <f>IF($G742="","",IF(OR($D742="",$E742="",$F742=""),"CONTEXTE INCOMPLET",IF(COUNTIFS($D$3:$D741,$D742,$E$3:$E741,$E742,$F$3:$F741,$F742,$G$3:$G741,$G742)&gt;0,"DOUBLON","VALIDE")))</f>
        <v/>
      </c>
    </row>
    <row r="743" ht="15" customHeight="1">
      <c r="A743" s="12">
        <f>IF(OR($B743="",$G743=""),"",TEXT($B743,"YYYYMMDD")&amp;"-"&amp;SUBSTITUTE($E743," ","")&amp;"-"&amp;$F743&amp;"-"&amp;$G743)</f>
        <v/>
      </c>
      <c r="B743" s="15" t="n"/>
      <c r="C743" s="16" t="n"/>
      <c r="D743" s="10" t="n"/>
      <c r="E743" s="9" t="n"/>
      <c r="F743" s="9" t="n"/>
      <c r="G743" s="13" t="n"/>
      <c r="H743" s="21" t="n"/>
      <c r="I743" s="21" t="n"/>
      <c r="J743" s="17">
        <f>IF($G743="","",IFERROR(INDEX(NomsEmployes,MATCH($G743,MatriculesEmployes,0)),"MATRICULE INCONNU"))</f>
        <v/>
      </c>
      <c r="K743" s="33">
        <f>IF(OR($D743="",$F743=""),"",IFERROR(IF(INDEX(RUNS!$L$6:$S$1005,MATCH($D743,RUNS!$A$6:$A$1005,0),MATCH("ACTIVITÉ "&amp;$F743,RUNS!$L$5:$S$5,0))="","",INDEX(RUNS!$L$6:$S$1005,MATCH($D743,RUNS!$A$6:$A$1005,0),MATCH("ACTIVITÉ "&amp;$F743,RUNS!$L$5:$S$5,0))),""))</f>
        <v/>
      </c>
      <c r="L743" s="33">
        <f>IF($D743="","",IFERROR(IF(INDEX(RUNS!$E$6:$E$1005,MATCH($D743,RUNS!$A$6:$A$1005,0))="","",INDEX(RUNS!$E$6:$E$1005,MATCH($D743,RUNS!$A$6:$A$1005,0))),""))</f>
        <v/>
      </c>
      <c r="M743" s="33">
        <f>IF($D743="","",IFERROR(IF(INDEX(RUNS!$F$6:$F$1005,MATCH($D743,RUNS!$A$6:$A$1005,0))="","",INDEX(RUNS!$F$6:$F$1005,MATCH($D743,RUNS!$A$6:$A$1005,0))),""))</f>
        <v/>
      </c>
      <c r="N743" s="33">
        <f>IF($D743="","",IFERROR(IF(INDEX(RUNS!$G$6:$G$1005,MATCH($D743,RUNS!$A$6:$A$1005,0))="","",INDEX(RUNS!$G$6:$G$1005,MATCH($D743,RUNS!$A$6:$A$1005,0))),""))</f>
        <v/>
      </c>
      <c r="O743" s="33">
        <f>IF($D743="","",IFERROR(IF(INDEX(RUNS!$H$6:$H$1005,MATCH($D743,RUNS!$A$6:$A$1005,0))="","",INDEX(RUNS!$H$6:$H$1005,MATCH($D743,RUNS!$A$6:$A$1005,0))),""))</f>
        <v/>
      </c>
      <c r="P743" s="33">
        <f>IF($D743="","",IFERROR(IF(INDEX(RUNS!$J$6:$J$1005,MATCH($D743,RUNS!$A$6:$A$1005,0))="","",INDEX(RUNS!$J$6:$J$1005,MATCH($D743,RUNS!$A$6:$A$1005,0))),""))</f>
        <v/>
      </c>
      <c r="Q743" s="33">
        <f>IF($D743="","",IFERROR(IF(INDEX(RUNS!$K$6:$K$1005,MATCH($D743,RUNS!$A$6:$A$1005,0))="","",INDEX(RUNS!$K$6:$K$1005,MATCH($D743,RUNS!$A$6:$A$1005,0))),""))</f>
        <v/>
      </c>
      <c r="R743" s="34">
        <f>IF(OR($L743="",$K743=""),"",IFERROR(IF(INDEX(PARAMETRES!$H$43:$H$342,MATCH($L743&amp;"|"&amp;$M743&amp;"|"&amp;$N743&amp;"|"&amp;$O743&amp;"|"&amp;$P743&amp;"|"&amp;$Q743&amp;"|"&amp;$K743,PARAMETRES!$J$43:$J$342,0))="","",INDEX(PARAMETRES!$H$43:$H$342,MATCH($L743&amp;"|"&amp;$M743&amp;"|"&amp;$N743&amp;"|"&amp;$O743&amp;"|"&amp;$P743&amp;"|"&amp;$Q743&amp;"|"&amp;$K743,PARAMETRES!$J$43:$J$342,0))),""))</f>
        <v/>
      </c>
      <c r="S743" s="35">
        <f>IF(OR($G743="",$X743&lt;&gt;"VALIDE"),"",IFERROR(LOOKUP(2,1/(($B$3:$B742=$B743)*($G$3:$G742=$G743)*($X$3:$X742="VALIDE")),$C$3:$C742),""))</f>
        <v/>
      </c>
      <c r="T743" s="36">
        <f>IF(OR($C743="",$S743=""),"",ROUND(($C743-$S743+IF($C743&lt;$S743,1,0))*1440,0))</f>
        <v/>
      </c>
      <c r="U743" s="22">
        <f>IF(OR($H743="",$T743="",$T743&lt;=0),"",$H743*60/$T743)</f>
        <v/>
      </c>
      <c r="V743" s="37">
        <f>IF(OR($U743="",$R743="",$R743=0),"",$U743/$R743)</f>
        <v/>
      </c>
      <c r="W743" s="20">
        <f>IF($G743="","",IF($X743="CONTEXTE INCOMPLET","CONTEXTE INCOMPLET",IF($X743="DOUBLON",StatutDoublon,IF($S743="",StatutInitial,IF($R743="",StatutStandardManquant,IF($V743="","DONNEES INSUFFISANTES",IF($V743&gt;=SeuilConforme,StatutConforme,IF($V743&gt;=SeuilSurveiller,StatutSurveiller,StatutSousStandard))))))))</f>
        <v/>
      </c>
      <c r="X743" s="33">
        <f>IF($G743="","",IF(OR($D743="",$E743="",$F743=""),"CONTEXTE INCOMPLET",IF(COUNTIFS($D$3:$D742,$D743,$E$3:$E742,$E743,$F$3:$F742,$F743,$G$3:$G742,$G743)&gt;0,"DOUBLON","VALIDE")))</f>
        <v/>
      </c>
    </row>
    <row r="744" ht="15" customHeight="1">
      <c r="A744" s="12">
        <f>IF(OR($B744="",$G744=""),"",TEXT($B744,"YYYYMMDD")&amp;"-"&amp;SUBSTITUTE($E744," ","")&amp;"-"&amp;$F744&amp;"-"&amp;$G744)</f>
        <v/>
      </c>
      <c r="B744" s="15" t="n"/>
      <c r="C744" s="16" t="n"/>
      <c r="D744" s="10" t="n"/>
      <c r="E744" s="9" t="n"/>
      <c r="F744" s="9" t="n"/>
      <c r="G744" s="13" t="n"/>
      <c r="H744" s="21" t="n"/>
      <c r="I744" s="21" t="n"/>
      <c r="J744" s="17">
        <f>IF($G744="","",IFERROR(INDEX(NomsEmployes,MATCH($G744,MatriculesEmployes,0)),"MATRICULE INCONNU"))</f>
        <v/>
      </c>
      <c r="K744" s="33">
        <f>IF(OR($D744="",$F744=""),"",IFERROR(IF(INDEX(RUNS!$L$6:$S$1005,MATCH($D744,RUNS!$A$6:$A$1005,0),MATCH("ACTIVITÉ "&amp;$F744,RUNS!$L$5:$S$5,0))="","",INDEX(RUNS!$L$6:$S$1005,MATCH($D744,RUNS!$A$6:$A$1005,0),MATCH("ACTIVITÉ "&amp;$F744,RUNS!$L$5:$S$5,0))),""))</f>
        <v/>
      </c>
      <c r="L744" s="33">
        <f>IF($D744="","",IFERROR(IF(INDEX(RUNS!$E$6:$E$1005,MATCH($D744,RUNS!$A$6:$A$1005,0))="","",INDEX(RUNS!$E$6:$E$1005,MATCH($D744,RUNS!$A$6:$A$1005,0))),""))</f>
        <v/>
      </c>
      <c r="M744" s="33">
        <f>IF($D744="","",IFERROR(IF(INDEX(RUNS!$F$6:$F$1005,MATCH($D744,RUNS!$A$6:$A$1005,0))="","",INDEX(RUNS!$F$6:$F$1005,MATCH($D744,RUNS!$A$6:$A$1005,0))),""))</f>
        <v/>
      </c>
      <c r="N744" s="33">
        <f>IF($D744="","",IFERROR(IF(INDEX(RUNS!$G$6:$G$1005,MATCH($D744,RUNS!$A$6:$A$1005,0))="","",INDEX(RUNS!$G$6:$G$1005,MATCH($D744,RUNS!$A$6:$A$1005,0))),""))</f>
        <v/>
      </c>
      <c r="O744" s="33">
        <f>IF($D744="","",IFERROR(IF(INDEX(RUNS!$H$6:$H$1005,MATCH($D744,RUNS!$A$6:$A$1005,0))="","",INDEX(RUNS!$H$6:$H$1005,MATCH($D744,RUNS!$A$6:$A$1005,0))),""))</f>
        <v/>
      </c>
      <c r="P744" s="33">
        <f>IF($D744="","",IFERROR(IF(INDEX(RUNS!$J$6:$J$1005,MATCH($D744,RUNS!$A$6:$A$1005,0))="","",INDEX(RUNS!$J$6:$J$1005,MATCH($D744,RUNS!$A$6:$A$1005,0))),""))</f>
        <v/>
      </c>
      <c r="Q744" s="33">
        <f>IF($D744="","",IFERROR(IF(INDEX(RUNS!$K$6:$K$1005,MATCH($D744,RUNS!$A$6:$A$1005,0))="","",INDEX(RUNS!$K$6:$K$1005,MATCH($D744,RUNS!$A$6:$A$1005,0))),""))</f>
        <v/>
      </c>
      <c r="R744" s="34">
        <f>IF(OR($L744="",$K744=""),"",IFERROR(IF(INDEX(PARAMETRES!$H$43:$H$342,MATCH($L744&amp;"|"&amp;$M744&amp;"|"&amp;$N744&amp;"|"&amp;$O744&amp;"|"&amp;$P744&amp;"|"&amp;$Q744&amp;"|"&amp;$K744,PARAMETRES!$J$43:$J$342,0))="","",INDEX(PARAMETRES!$H$43:$H$342,MATCH($L744&amp;"|"&amp;$M744&amp;"|"&amp;$N744&amp;"|"&amp;$O744&amp;"|"&amp;$P744&amp;"|"&amp;$Q744&amp;"|"&amp;$K744,PARAMETRES!$J$43:$J$342,0))),""))</f>
        <v/>
      </c>
      <c r="S744" s="35">
        <f>IF(OR($G744="",$X744&lt;&gt;"VALIDE"),"",IFERROR(LOOKUP(2,1/(($B$3:$B743=$B744)*($G$3:$G743=$G744)*($X$3:$X743="VALIDE")),$C$3:$C743),""))</f>
        <v/>
      </c>
      <c r="T744" s="36">
        <f>IF(OR($C744="",$S744=""),"",ROUND(($C744-$S744+IF($C744&lt;$S744,1,0))*1440,0))</f>
        <v/>
      </c>
      <c r="U744" s="22">
        <f>IF(OR($H744="",$T744="",$T744&lt;=0),"",$H744*60/$T744)</f>
        <v/>
      </c>
      <c r="V744" s="37">
        <f>IF(OR($U744="",$R744="",$R744=0),"",$U744/$R744)</f>
        <v/>
      </c>
      <c r="W744" s="20">
        <f>IF($G744="","",IF($X744="CONTEXTE INCOMPLET","CONTEXTE INCOMPLET",IF($X744="DOUBLON",StatutDoublon,IF($S744="",StatutInitial,IF($R744="",StatutStandardManquant,IF($V744="","DONNEES INSUFFISANTES",IF($V744&gt;=SeuilConforme,StatutConforme,IF($V744&gt;=SeuilSurveiller,StatutSurveiller,StatutSousStandard))))))))</f>
        <v/>
      </c>
      <c r="X744" s="33">
        <f>IF($G744="","",IF(OR($D744="",$E744="",$F744=""),"CONTEXTE INCOMPLET",IF(COUNTIFS($D$3:$D743,$D744,$E$3:$E743,$E744,$F$3:$F743,$F744,$G$3:$G743,$G744)&gt;0,"DOUBLON","VALIDE")))</f>
        <v/>
      </c>
    </row>
    <row r="745" ht="15" customHeight="1">
      <c r="A745" s="12">
        <f>IF(OR($B745="",$G745=""),"",TEXT($B745,"YYYYMMDD")&amp;"-"&amp;SUBSTITUTE($E745," ","")&amp;"-"&amp;$F745&amp;"-"&amp;$G745)</f>
        <v/>
      </c>
      <c r="B745" s="15" t="n"/>
      <c r="C745" s="16" t="n"/>
      <c r="D745" s="10" t="n"/>
      <c r="E745" s="9" t="n"/>
      <c r="F745" s="9" t="n"/>
      <c r="G745" s="13" t="n"/>
      <c r="H745" s="21" t="n"/>
      <c r="I745" s="21" t="n"/>
      <c r="J745" s="17">
        <f>IF($G745="","",IFERROR(INDEX(NomsEmployes,MATCH($G745,MatriculesEmployes,0)),"MATRICULE INCONNU"))</f>
        <v/>
      </c>
      <c r="K745" s="33">
        <f>IF(OR($D745="",$F745=""),"",IFERROR(IF(INDEX(RUNS!$L$6:$S$1005,MATCH($D745,RUNS!$A$6:$A$1005,0),MATCH("ACTIVITÉ "&amp;$F745,RUNS!$L$5:$S$5,0))="","",INDEX(RUNS!$L$6:$S$1005,MATCH($D745,RUNS!$A$6:$A$1005,0),MATCH("ACTIVITÉ "&amp;$F745,RUNS!$L$5:$S$5,0))),""))</f>
        <v/>
      </c>
      <c r="L745" s="33">
        <f>IF($D745="","",IFERROR(IF(INDEX(RUNS!$E$6:$E$1005,MATCH($D745,RUNS!$A$6:$A$1005,0))="","",INDEX(RUNS!$E$6:$E$1005,MATCH($D745,RUNS!$A$6:$A$1005,0))),""))</f>
        <v/>
      </c>
      <c r="M745" s="33">
        <f>IF($D745="","",IFERROR(IF(INDEX(RUNS!$F$6:$F$1005,MATCH($D745,RUNS!$A$6:$A$1005,0))="","",INDEX(RUNS!$F$6:$F$1005,MATCH($D745,RUNS!$A$6:$A$1005,0))),""))</f>
        <v/>
      </c>
      <c r="N745" s="33">
        <f>IF($D745="","",IFERROR(IF(INDEX(RUNS!$G$6:$G$1005,MATCH($D745,RUNS!$A$6:$A$1005,0))="","",INDEX(RUNS!$G$6:$G$1005,MATCH($D745,RUNS!$A$6:$A$1005,0))),""))</f>
        <v/>
      </c>
      <c r="O745" s="33">
        <f>IF($D745="","",IFERROR(IF(INDEX(RUNS!$H$6:$H$1005,MATCH($D745,RUNS!$A$6:$A$1005,0))="","",INDEX(RUNS!$H$6:$H$1005,MATCH($D745,RUNS!$A$6:$A$1005,0))),""))</f>
        <v/>
      </c>
      <c r="P745" s="33">
        <f>IF($D745="","",IFERROR(IF(INDEX(RUNS!$J$6:$J$1005,MATCH($D745,RUNS!$A$6:$A$1005,0))="","",INDEX(RUNS!$J$6:$J$1005,MATCH($D745,RUNS!$A$6:$A$1005,0))),""))</f>
        <v/>
      </c>
      <c r="Q745" s="33">
        <f>IF($D745="","",IFERROR(IF(INDEX(RUNS!$K$6:$K$1005,MATCH($D745,RUNS!$A$6:$A$1005,0))="","",INDEX(RUNS!$K$6:$K$1005,MATCH($D745,RUNS!$A$6:$A$1005,0))),""))</f>
        <v/>
      </c>
      <c r="R745" s="34">
        <f>IF(OR($L745="",$K745=""),"",IFERROR(IF(INDEX(PARAMETRES!$H$43:$H$342,MATCH($L745&amp;"|"&amp;$M745&amp;"|"&amp;$N745&amp;"|"&amp;$O745&amp;"|"&amp;$P745&amp;"|"&amp;$Q745&amp;"|"&amp;$K745,PARAMETRES!$J$43:$J$342,0))="","",INDEX(PARAMETRES!$H$43:$H$342,MATCH($L745&amp;"|"&amp;$M745&amp;"|"&amp;$N745&amp;"|"&amp;$O745&amp;"|"&amp;$P745&amp;"|"&amp;$Q745&amp;"|"&amp;$K745,PARAMETRES!$J$43:$J$342,0))),""))</f>
        <v/>
      </c>
      <c r="S745" s="35">
        <f>IF(OR($G745="",$X745&lt;&gt;"VALIDE"),"",IFERROR(LOOKUP(2,1/(($B$3:$B744=$B745)*($G$3:$G744=$G745)*($X$3:$X744="VALIDE")),$C$3:$C744),""))</f>
        <v/>
      </c>
      <c r="T745" s="36">
        <f>IF(OR($C745="",$S745=""),"",ROUND(($C745-$S745+IF($C745&lt;$S745,1,0))*1440,0))</f>
        <v/>
      </c>
      <c r="U745" s="22">
        <f>IF(OR($H745="",$T745="",$T745&lt;=0),"",$H745*60/$T745)</f>
        <v/>
      </c>
      <c r="V745" s="37">
        <f>IF(OR($U745="",$R745="",$R745=0),"",$U745/$R745)</f>
        <v/>
      </c>
      <c r="W745" s="20">
        <f>IF($G745="","",IF($X745="CONTEXTE INCOMPLET","CONTEXTE INCOMPLET",IF($X745="DOUBLON",StatutDoublon,IF($S745="",StatutInitial,IF($R745="",StatutStandardManquant,IF($V745="","DONNEES INSUFFISANTES",IF($V745&gt;=SeuilConforme,StatutConforme,IF($V745&gt;=SeuilSurveiller,StatutSurveiller,StatutSousStandard))))))))</f>
        <v/>
      </c>
      <c r="X745" s="33">
        <f>IF($G745="","",IF(OR($D745="",$E745="",$F745=""),"CONTEXTE INCOMPLET",IF(COUNTIFS($D$3:$D744,$D745,$E$3:$E744,$E745,$F$3:$F744,$F745,$G$3:$G744,$G745)&gt;0,"DOUBLON","VALIDE")))</f>
        <v/>
      </c>
    </row>
    <row r="746" ht="15" customHeight="1">
      <c r="A746" s="12">
        <f>IF(OR($B746="",$G746=""),"",TEXT($B746,"YYYYMMDD")&amp;"-"&amp;SUBSTITUTE($E746," ","")&amp;"-"&amp;$F746&amp;"-"&amp;$G746)</f>
        <v/>
      </c>
      <c r="B746" s="15" t="n"/>
      <c r="C746" s="16" t="n"/>
      <c r="D746" s="10" t="n"/>
      <c r="E746" s="9" t="n"/>
      <c r="F746" s="9" t="n"/>
      <c r="G746" s="13" t="n"/>
      <c r="H746" s="21" t="n"/>
      <c r="I746" s="21" t="n"/>
      <c r="J746" s="17">
        <f>IF($G746="","",IFERROR(INDEX(NomsEmployes,MATCH($G746,MatriculesEmployes,0)),"MATRICULE INCONNU"))</f>
        <v/>
      </c>
      <c r="K746" s="33">
        <f>IF(OR($D746="",$F746=""),"",IFERROR(IF(INDEX(RUNS!$L$6:$S$1005,MATCH($D746,RUNS!$A$6:$A$1005,0),MATCH("ACTIVITÉ "&amp;$F746,RUNS!$L$5:$S$5,0))="","",INDEX(RUNS!$L$6:$S$1005,MATCH($D746,RUNS!$A$6:$A$1005,0),MATCH("ACTIVITÉ "&amp;$F746,RUNS!$L$5:$S$5,0))),""))</f>
        <v/>
      </c>
      <c r="L746" s="33">
        <f>IF($D746="","",IFERROR(IF(INDEX(RUNS!$E$6:$E$1005,MATCH($D746,RUNS!$A$6:$A$1005,0))="","",INDEX(RUNS!$E$6:$E$1005,MATCH($D746,RUNS!$A$6:$A$1005,0))),""))</f>
        <v/>
      </c>
      <c r="M746" s="33">
        <f>IF($D746="","",IFERROR(IF(INDEX(RUNS!$F$6:$F$1005,MATCH($D746,RUNS!$A$6:$A$1005,0))="","",INDEX(RUNS!$F$6:$F$1005,MATCH($D746,RUNS!$A$6:$A$1005,0))),""))</f>
        <v/>
      </c>
      <c r="N746" s="33">
        <f>IF($D746="","",IFERROR(IF(INDEX(RUNS!$G$6:$G$1005,MATCH($D746,RUNS!$A$6:$A$1005,0))="","",INDEX(RUNS!$G$6:$G$1005,MATCH($D746,RUNS!$A$6:$A$1005,0))),""))</f>
        <v/>
      </c>
      <c r="O746" s="33">
        <f>IF($D746="","",IFERROR(IF(INDEX(RUNS!$H$6:$H$1005,MATCH($D746,RUNS!$A$6:$A$1005,0))="","",INDEX(RUNS!$H$6:$H$1005,MATCH($D746,RUNS!$A$6:$A$1005,0))),""))</f>
        <v/>
      </c>
      <c r="P746" s="33">
        <f>IF($D746="","",IFERROR(IF(INDEX(RUNS!$J$6:$J$1005,MATCH($D746,RUNS!$A$6:$A$1005,0))="","",INDEX(RUNS!$J$6:$J$1005,MATCH($D746,RUNS!$A$6:$A$1005,0))),""))</f>
        <v/>
      </c>
      <c r="Q746" s="33">
        <f>IF($D746="","",IFERROR(IF(INDEX(RUNS!$K$6:$K$1005,MATCH($D746,RUNS!$A$6:$A$1005,0))="","",INDEX(RUNS!$K$6:$K$1005,MATCH($D746,RUNS!$A$6:$A$1005,0))),""))</f>
        <v/>
      </c>
      <c r="R746" s="34">
        <f>IF(OR($L746="",$K746=""),"",IFERROR(IF(INDEX(PARAMETRES!$H$43:$H$342,MATCH($L746&amp;"|"&amp;$M746&amp;"|"&amp;$N746&amp;"|"&amp;$O746&amp;"|"&amp;$P746&amp;"|"&amp;$Q746&amp;"|"&amp;$K746,PARAMETRES!$J$43:$J$342,0))="","",INDEX(PARAMETRES!$H$43:$H$342,MATCH($L746&amp;"|"&amp;$M746&amp;"|"&amp;$N746&amp;"|"&amp;$O746&amp;"|"&amp;$P746&amp;"|"&amp;$Q746&amp;"|"&amp;$K746,PARAMETRES!$J$43:$J$342,0))),""))</f>
        <v/>
      </c>
      <c r="S746" s="35">
        <f>IF(OR($G746="",$X746&lt;&gt;"VALIDE"),"",IFERROR(LOOKUP(2,1/(($B$3:$B745=$B746)*($G$3:$G745=$G746)*($X$3:$X745="VALIDE")),$C$3:$C745),""))</f>
        <v/>
      </c>
      <c r="T746" s="36">
        <f>IF(OR($C746="",$S746=""),"",ROUND(($C746-$S746+IF($C746&lt;$S746,1,0))*1440,0))</f>
        <v/>
      </c>
      <c r="U746" s="22">
        <f>IF(OR($H746="",$T746="",$T746&lt;=0),"",$H746*60/$T746)</f>
        <v/>
      </c>
      <c r="V746" s="37">
        <f>IF(OR($U746="",$R746="",$R746=0),"",$U746/$R746)</f>
        <v/>
      </c>
      <c r="W746" s="20">
        <f>IF($G746="","",IF($X746="CONTEXTE INCOMPLET","CONTEXTE INCOMPLET",IF($X746="DOUBLON",StatutDoublon,IF($S746="",StatutInitial,IF($R746="",StatutStandardManquant,IF($V746="","DONNEES INSUFFISANTES",IF($V746&gt;=SeuilConforme,StatutConforme,IF($V746&gt;=SeuilSurveiller,StatutSurveiller,StatutSousStandard))))))))</f>
        <v/>
      </c>
      <c r="X746" s="33">
        <f>IF($G746="","",IF(OR($D746="",$E746="",$F746=""),"CONTEXTE INCOMPLET",IF(COUNTIFS($D$3:$D745,$D746,$E$3:$E745,$E746,$F$3:$F745,$F746,$G$3:$G745,$G746)&gt;0,"DOUBLON","VALIDE")))</f>
        <v/>
      </c>
    </row>
    <row r="747" ht="15" customHeight="1">
      <c r="A747" s="12">
        <f>IF(OR($B747="",$G747=""),"",TEXT($B747,"YYYYMMDD")&amp;"-"&amp;SUBSTITUTE($E747," ","")&amp;"-"&amp;$F747&amp;"-"&amp;$G747)</f>
        <v/>
      </c>
      <c r="B747" s="15" t="n"/>
      <c r="C747" s="16" t="n"/>
      <c r="D747" s="10" t="n"/>
      <c r="E747" s="9" t="n"/>
      <c r="F747" s="9" t="n"/>
      <c r="G747" s="13" t="n"/>
      <c r="H747" s="21" t="n"/>
      <c r="I747" s="21" t="n"/>
      <c r="J747" s="17">
        <f>IF($G747="","",IFERROR(INDEX(NomsEmployes,MATCH($G747,MatriculesEmployes,0)),"MATRICULE INCONNU"))</f>
        <v/>
      </c>
      <c r="K747" s="33">
        <f>IF(OR($D747="",$F747=""),"",IFERROR(IF(INDEX(RUNS!$L$6:$S$1005,MATCH($D747,RUNS!$A$6:$A$1005,0),MATCH("ACTIVITÉ "&amp;$F747,RUNS!$L$5:$S$5,0))="","",INDEX(RUNS!$L$6:$S$1005,MATCH($D747,RUNS!$A$6:$A$1005,0),MATCH("ACTIVITÉ "&amp;$F747,RUNS!$L$5:$S$5,0))),""))</f>
        <v/>
      </c>
      <c r="L747" s="33">
        <f>IF($D747="","",IFERROR(IF(INDEX(RUNS!$E$6:$E$1005,MATCH($D747,RUNS!$A$6:$A$1005,0))="","",INDEX(RUNS!$E$6:$E$1005,MATCH($D747,RUNS!$A$6:$A$1005,0))),""))</f>
        <v/>
      </c>
      <c r="M747" s="33">
        <f>IF($D747="","",IFERROR(IF(INDEX(RUNS!$F$6:$F$1005,MATCH($D747,RUNS!$A$6:$A$1005,0))="","",INDEX(RUNS!$F$6:$F$1005,MATCH($D747,RUNS!$A$6:$A$1005,0))),""))</f>
        <v/>
      </c>
      <c r="N747" s="33">
        <f>IF($D747="","",IFERROR(IF(INDEX(RUNS!$G$6:$G$1005,MATCH($D747,RUNS!$A$6:$A$1005,0))="","",INDEX(RUNS!$G$6:$G$1005,MATCH($D747,RUNS!$A$6:$A$1005,0))),""))</f>
        <v/>
      </c>
      <c r="O747" s="33">
        <f>IF($D747="","",IFERROR(IF(INDEX(RUNS!$H$6:$H$1005,MATCH($D747,RUNS!$A$6:$A$1005,0))="","",INDEX(RUNS!$H$6:$H$1005,MATCH($D747,RUNS!$A$6:$A$1005,0))),""))</f>
        <v/>
      </c>
      <c r="P747" s="33">
        <f>IF($D747="","",IFERROR(IF(INDEX(RUNS!$J$6:$J$1005,MATCH($D747,RUNS!$A$6:$A$1005,0))="","",INDEX(RUNS!$J$6:$J$1005,MATCH($D747,RUNS!$A$6:$A$1005,0))),""))</f>
        <v/>
      </c>
      <c r="Q747" s="33">
        <f>IF($D747="","",IFERROR(IF(INDEX(RUNS!$K$6:$K$1005,MATCH($D747,RUNS!$A$6:$A$1005,0))="","",INDEX(RUNS!$K$6:$K$1005,MATCH($D747,RUNS!$A$6:$A$1005,0))),""))</f>
        <v/>
      </c>
      <c r="R747" s="34">
        <f>IF(OR($L747="",$K747=""),"",IFERROR(IF(INDEX(PARAMETRES!$H$43:$H$342,MATCH($L747&amp;"|"&amp;$M747&amp;"|"&amp;$N747&amp;"|"&amp;$O747&amp;"|"&amp;$P747&amp;"|"&amp;$Q747&amp;"|"&amp;$K747,PARAMETRES!$J$43:$J$342,0))="","",INDEX(PARAMETRES!$H$43:$H$342,MATCH($L747&amp;"|"&amp;$M747&amp;"|"&amp;$N747&amp;"|"&amp;$O747&amp;"|"&amp;$P747&amp;"|"&amp;$Q747&amp;"|"&amp;$K747,PARAMETRES!$J$43:$J$342,0))),""))</f>
        <v/>
      </c>
      <c r="S747" s="35">
        <f>IF(OR($G747="",$X747&lt;&gt;"VALIDE"),"",IFERROR(LOOKUP(2,1/(($B$3:$B746=$B747)*($G$3:$G746=$G747)*($X$3:$X746="VALIDE")),$C$3:$C746),""))</f>
        <v/>
      </c>
      <c r="T747" s="36">
        <f>IF(OR($C747="",$S747=""),"",ROUND(($C747-$S747+IF($C747&lt;$S747,1,0))*1440,0))</f>
        <v/>
      </c>
      <c r="U747" s="22">
        <f>IF(OR($H747="",$T747="",$T747&lt;=0),"",$H747*60/$T747)</f>
        <v/>
      </c>
      <c r="V747" s="37">
        <f>IF(OR($U747="",$R747="",$R747=0),"",$U747/$R747)</f>
        <v/>
      </c>
      <c r="W747" s="20">
        <f>IF($G747="","",IF($X747="CONTEXTE INCOMPLET","CONTEXTE INCOMPLET",IF($X747="DOUBLON",StatutDoublon,IF($S747="",StatutInitial,IF($R747="",StatutStandardManquant,IF($V747="","DONNEES INSUFFISANTES",IF($V747&gt;=SeuilConforme,StatutConforme,IF($V747&gt;=SeuilSurveiller,StatutSurveiller,StatutSousStandard))))))))</f>
        <v/>
      </c>
      <c r="X747" s="33">
        <f>IF($G747="","",IF(OR($D747="",$E747="",$F747=""),"CONTEXTE INCOMPLET",IF(COUNTIFS($D$3:$D746,$D747,$E$3:$E746,$E747,$F$3:$F746,$F747,$G$3:$G746,$G747)&gt;0,"DOUBLON","VALIDE")))</f>
        <v/>
      </c>
    </row>
    <row r="748" ht="15" customHeight="1">
      <c r="A748" s="12">
        <f>IF(OR($B748="",$G748=""),"",TEXT($B748,"YYYYMMDD")&amp;"-"&amp;SUBSTITUTE($E748," ","")&amp;"-"&amp;$F748&amp;"-"&amp;$G748)</f>
        <v/>
      </c>
      <c r="B748" s="15" t="n"/>
      <c r="C748" s="16" t="n"/>
      <c r="D748" s="10" t="n"/>
      <c r="E748" s="9" t="n"/>
      <c r="F748" s="9" t="n"/>
      <c r="G748" s="13" t="n"/>
      <c r="H748" s="21" t="n"/>
      <c r="I748" s="21" t="n"/>
      <c r="J748" s="17">
        <f>IF($G748="","",IFERROR(INDEX(NomsEmployes,MATCH($G748,MatriculesEmployes,0)),"MATRICULE INCONNU"))</f>
        <v/>
      </c>
      <c r="K748" s="33">
        <f>IF(OR($D748="",$F748=""),"",IFERROR(IF(INDEX(RUNS!$L$6:$S$1005,MATCH($D748,RUNS!$A$6:$A$1005,0),MATCH("ACTIVITÉ "&amp;$F748,RUNS!$L$5:$S$5,0))="","",INDEX(RUNS!$L$6:$S$1005,MATCH($D748,RUNS!$A$6:$A$1005,0),MATCH("ACTIVITÉ "&amp;$F748,RUNS!$L$5:$S$5,0))),""))</f>
        <v/>
      </c>
      <c r="L748" s="33">
        <f>IF($D748="","",IFERROR(IF(INDEX(RUNS!$E$6:$E$1005,MATCH($D748,RUNS!$A$6:$A$1005,0))="","",INDEX(RUNS!$E$6:$E$1005,MATCH($D748,RUNS!$A$6:$A$1005,0))),""))</f>
        <v/>
      </c>
      <c r="M748" s="33">
        <f>IF($D748="","",IFERROR(IF(INDEX(RUNS!$F$6:$F$1005,MATCH($D748,RUNS!$A$6:$A$1005,0))="","",INDEX(RUNS!$F$6:$F$1005,MATCH($D748,RUNS!$A$6:$A$1005,0))),""))</f>
        <v/>
      </c>
      <c r="N748" s="33">
        <f>IF($D748="","",IFERROR(IF(INDEX(RUNS!$G$6:$G$1005,MATCH($D748,RUNS!$A$6:$A$1005,0))="","",INDEX(RUNS!$G$6:$G$1005,MATCH($D748,RUNS!$A$6:$A$1005,0))),""))</f>
        <v/>
      </c>
      <c r="O748" s="33">
        <f>IF($D748="","",IFERROR(IF(INDEX(RUNS!$H$6:$H$1005,MATCH($D748,RUNS!$A$6:$A$1005,0))="","",INDEX(RUNS!$H$6:$H$1005,MATCH($D748,RUNS!$A$6:$A$1005,0))),""))</f>
        <v/>
      </c>
      <c r="P748" s="33">
        <f>IF($D748="","",IFERROR(IF(INDEX(RUNS!$J$6:$J$1005,MATCH($D748,RUNS!$A$6:$A$1005,0))="","",INDEX(RUNS!$J$6:$J$1005,MATCH($D748,RUNS!$A$6:$A$1005,0))),""))</f>
        <v/>
      </c>
      <c r="Q748" s="33">
        <f>IF($D748="","",IFERROR(IF(INDEX(RUNS!$K$6:$K$1005,MATCH($D748,RUNS!$A$6:$A$1005,0))="","",INDEX(RUNS!$K$6:$K$1005,MATCH($D748,RUNS!$A$6:$A$1005,0))),""))</f>
        <v/>
      </c>
      <c r="R748" s="34">
        <f>IF(OR($L748="",$K748=""),"",IFERROR(IF(INDEX(PARAMETRES!$H$43:$H$342,MATCH($L748&amp;"|"&amp;$M748&amp;"|"&amp;$N748&amp;"|"&amp;$O748&amp;"|"&amp;$P748&amp;"|"&amp;$Q748&amp;"|"&amp;$K748,PARAMETRES!$J$43:$J$342,0))="","",INDEX(PARAMETRES!$H$43:$H$342,MATCH($L748&amp;"|"&amp;$M748&amp;"|"&amp;$N748&amp;"|"&amp;$O748&amp;"|"&amp;$P748&amp;"|"&amp;$Q748&amp;"|"&amp;$K748,PARAMETRES!$J$43:$J$342,0))),""))</f>
        <v/>
      </c>
      <c r="S748" s="35">
        <f>IF(OR($G748="",$X748&lt;&gt;"VALIDE"),"",IFERROR(LOOKUP(2,1/(($B$3:$B747=$B748)*($G$3:$G747=$G748)*($X$3:$X747="VALIDE")),$C$3:$C747),""))</f>
        <v/>
      </c>
      <c r="T748" s="36">
        <f>IF(OR($C748="",$S748=""),"",ROUND(($C748-$S748+IF($C748&lt;$S748,1,0))*1440,0))</f>
        <v/>
      </c>
      <c r="U748" s="22">
        <f>IF(OR($H748="",$T748="",$T748&lt;=0),"",$H748*60/$T748)</f>
        <v/>
      </c>
      <c r="V748" s="37">
        <f>IF(OR($U748="",$R748="",$R748=0),"",$U748/$R748)</f>
        <v/>
      </c>
      <c r="W748" s="20">
        <f>IF($G748="","",IF($X748="CONTEXTE INCOMPLET","CONTEXTE INCOMPLET",IF($X748="DOUBLON",StatutDoublon,IF($S748="",StatutInitial,IF($R748="",StatutStandardManquant,IF($V748="","DONNEES INSUFFISANTES",IF($V748&gt;=SeuilConforme,StatutConforme,IF($V748&gt;=SeuilSurveiller,StatutSurveiller,StatutSousStandard))))))))</f>
        <v/>
      </c>
      <c r="X748" s="33">
        <f>IF($G748="","",IF(OR($D748="",$E748="",$F748=""),"CONTEXTE INCOMPLET",IF(COUNTIFS($D$3:$D747,$D748,$E$3:$E747,$E748,$F$3:$F747,$F748,$G$3:$G747,$G748)&gt;0,"DOUBLON","VALIDE")))</f>
        <v/>
      </c>
    </row>
    <row r="749" ht="15" customHeight="1">
      <c r="A749" s="12">
        <f>IF(OR($B749="",$G749=""),"",TEXT($B749,"YYYYMMDD")&amp;"-"&amp;SUBSTITUTE($E749," ","")&amp;"-"&amp;$F749&amp;"-"&amp;$G749)</f>
        <v/>
      </c>
      <c r="B749" s="15" t="n"/>
      <c r="C749" s="16" t="n"/>
      <c r="D749" s="10" t="n"/>
      <c r="E749" s="9" t="n"/>
      <c r="F749" s="9" t="n"/>
      <c r="G749" s="13" t="n"/>
      <c r="H749" s="21" t="n"/>
      <c r="I749" s="21" t="n"/>
      <c r="J749" s="17">
        <f>IF($G749="","",IFERROR(INDEX(NomsEmployes,MATCH($G749,MatriculesEmployes,0)),"MATRICULE INCONNU"))</f>
        <v/>
      </c>
      <c r="K749" s="33">
        <f>IF(OR($D749="",$F749=""),"",IFERROR(IF(INDEX(RUNS!$L$6:$S$1005,MATCH($D749,RUNS!$A$6:$A$1005,0),MATCH("ACTIVITÉ "&amp;$F749,RUNS!$L$5:$S$5,0))="","",INDEX(RUNS!$L$6:$S$1005,MATCH($D749,RUNS!$A$6:$A$1005,0),MATCH("ACTIVITÉ "&amp;$F749,RUNS!$L$5:$S$5,0))),""))</f>
        <v/>
      </c>
      <c r="L749" s="33">
        <f>IF($D749="","",IFERROR(IF(INDEX(RUNS!$E$6:$E$1005,MATCH($D749,RUNS!$A$6:$A$1005,0))="","",INDEX(RUNS!$E$6:$E$1005,MATCH($D749,RUNS!$A$6:$A$1005,0))),""))</f>
        <v/>
      </c>
      <c r="M749" s="33">
        <f>IF($D749="","",IFERROR(IF(INDEX(RUNS!$F$6:$F$1005,MATCH($D749,RUNS!$A$6:$A$1005,0))="","",INDEX(RUNS!$F$6:$F$1005,MATCH($D749,RUNS!$A$6:$A$1005,0))),""))</f>
        <v/>
      </c>
      <c r="N749" s="33">
        <f>IF($D749="","",IFERROR(IF(INDEX(RUNS!$G$6:$G$1005,MATCH($D749,RUNS!$A$6:$A$1005,0))="","",INDEX(RUNS!$G$6:$G$1005,MATCH($D749,RUNS!$A$6:$A$1005,0))),""))</f>
        <v/>
      </c>
      <c r="O749" s="33">
        <f>IF($D749="","",IFERROR(IF(INDEX(RUNS!$H$6:$H$1005,MATCH($D749,RUNS!$A$6:$A$1005,0))="","",INDEX(RUNS!$H$6:$H$1005,MATCH($D749,RUNS!$A$6:$A$1005,0))),""))</f>
        <v/>
      </c>
      <c r="P749" s="33">
        <f>IF($D749="","",IFERROR(IF(INDEX(RUNS!$J$6:$J$1005,MATCH($D749,RUNS!$A$6:$A$1005,0))="","",INDEX(RUNS!$J$6:$J$1005,MATCH($D749,RUNS!$A$6:$A$1005,0))),""))</f>
        <v/>
      </c>
      <c r="Q749" s="33">
        <f>IF($D749="","",IFERROR(IF(INDEX(RUNS!$K$6:$K$1005,MATCH($D749,RUNS!$A$6:$A$1005,0))="","",INDEX(RUNS!$K$6:$K$1005,MATCH($D749,RUNS!$A$6:$A$1005,0))),""))</f>
        <v/>
      </c>
      <c r="R749" s="34">
        <f>IF(OR($L749="",$K749=""),"",IFERROR(IF(INDEX(PARAMETRES!$H$43:$H$342,MATCH($L749&amp;"|"&amp;$M749&amp;"|"&amp;$N749&amp;"|"&amp;$O749&amp;"|"&amp;$P749&amp;"|"&amp;$Q749&amp;"|"&amp;$K749,PARAMETRES!$J$43:$J$342,0))="","",INDEX(PARAMETRES!$H$43:$H$342,MATCH($L749&amp;"|"&amp;$M749&amp;"|"&amp;$N749&amp;"|"&amp;$O749&amp;"|"&amp;$P749&amp;"|"&amp;$Q749&amp;"|"&amp;$K749,PARAMETRES!$J$43:$J$342,0))),""))</f>
        <v/>
      </c>
      <c r="S749" s="35">
        <f>IF(OR($G749="",$X749&lt;&gt;"VALIDE"),"",IFERROR(LOOKUP(2,1/(($B$3:$B748=$B749)*($G$3:$G748=$G749)*($X$3:$X748="VALIDE")),$C$3:$C748),""))</f>
        <v/>
      </c>
      <c r="T749" s="36">
        <f>IF(OR($C749="",$S749=""),"",ROUND(($C749-$S749+IF($C749&lt;$S749,1,0))*1440,0))</f>
        <v/>
      </c>
      <c r="U749" s="22">
        <f>IF(OR($H749="",$T749="",$T749&lt;=0),"",$H749*60/$T749)</f>
        <v/>
      </c>
      <c r="V749" s="37">
        <f>IF(OR($U749="",$R749="",$R749=0),"",$U749/$R749)</f>
        <v/>
      </c>
      <c r="W749" s="20">
        <f>IF($G749="","",IF($X749="CONTEXTE INCOMPLET","CONTEXTE INCOMPLET",IF($X749="DOUBLON",StatutDoublon,IF($S749="",StatutInitial,IF($R749="",StatutStandardManquant,IF($V749="","DONNEES INSUFFISANTES",IF($V749&gt;=SeuilConforme,StatutConforme,IF($V749&gt;=SeuilSurveiller,StatutSurveiller,StatutSousStandard))))))))</f>
        <v/>
      </c>
      <c r="X749" s="33">
        <f>IF($G749="","",IF(OR($D749="",$E749="",$F749=""),"CONTEXTE INCOMPLET",IF(COUNTIFS($D$3:$D748,$D749,$E$3:$E748,$E749,$F$3:$F748,$F749,$G$3:$G748,$G749)&gt;0,"DOUBLON","VALIDE")))</f>
        <v/>
      </c>
    </row>
    <row r="750" ht="15" customHeight="1">
      <c r="A750" s="12">
        <f>IF(OR($B750="",$G750=""),"",TEXT($B750,"YYYYMMDD")&amp;"-"&amp;SUBSTITUTE($E750," ","")&amp;"-"&amp;$F750&amp;"-"&amp;$G750)</f>
        <v/>
      </c>
      <c r="B750" s="15" t="n"/>
      <c r="C750" s="16" t="n"/>
      <c r="D750" s="10" t="n"/>
      <c r="E750" s="9" t="n"/>
      <c r="F750" s="9" t="n"/>
      <c r="G750" s="13" t="n"/>
      <c r="H750" s="21" t="n"/>
      <c r="I750" s="21" t="n"/>
      <c r="J750" s="17">
        <f>IF($G750="","",IFERROR(INDEX(NomsEmployes,MATCH($G750,MatriculesEmployes,0)),"MATRICULE INCONNU"))</f>
        <v/>
      </c>
      <c r="K750" s="33">
        <f>IF(OR($D750="",$F750=""),"",IFERROR(IF(INDEX(RUNS!$L$6:$S$1005,MATCH($D750,RUNS!$A$6:$A$1005,0),MATCH("ACTIVITÉ "&amp;$F750,RUNS!$L$5:$S$5,0))="","",INDEX(RUNS!$L$6:$S$1005,MATCH($D750,RUNS!$A$6:$A$1005,0),MATCH("ACTIVITÉ "&amp;$F750,RUNS!$L$5:$S$5,0))),""))</f>
        <v/>
      </c>
      <c r="L750" s="33">
        <f>IF($D750="","",IFERROR(IF(INDEX(RUNS!$E$6:$E$1005,MATCH($D750,RUNS!$A$6:$A$1005,0))="","",INDEX(RUNS!$E$6:$E$1005,MATCH($D750,RUNS!$A$6:$A$1005,0))),""))</f>
        <v/>
      </c>
      <c r="M750" s="33">
        <f>IF($D750="","",IFERROR(IF(INDEX(RUNS!$F$6:$F$1005,MATCH($D750,RUNS!$A$6:$A$1005,0))="","",INDEX(RUNS!$F$6:$F$1005,MATCH($D750,RUNS!$A$6:$A$1005,0))),""))</f>
        <v/>
      </c>
      <c r="N750" s="33">
        <f>IF($D750="","",IFERROR(IF(INDEX(RUNS!$G$6:$G$1005,MATCH($D750,RUNS!$A$6:$A$1005,0))="","",INDEX(RUNS!$G$6:$G$1005,MATCH($D750,RUNS!$A$6:$A$1005,0))),""))</f>
        <v/>
      </c>
      <c r="O750" s="33">
        <f>IF($D750="","",IFERROR(IF(INDEX(RUNS!$H$6:$H$1005,MATCH($D750,RUNS!$A$6:$A$1005,0))="","",INDEX(RUNS!$H$6:$H$1005,MATCH($D750,RUNS!$A$6:$A$1005,0))),""))</f>
        <v/>
      </c>
      <c r="P750" s="33">
        <f>IF($D750="","",IFERROR(IF(INDEX(RUNS!$J$6:$J$1005,MATCH($D750,RUNS!$A$6:$A$1005,0))="","",INDEX(RUNS!$J$6:$J$1005,MATCH($D750,RUNS!$A$6:$A$1005,0))),""))</f>
        <v/>
      </c>
      <c r="Q750" s="33">
        <f>IF($D750="","",IFERROR(IF(INDEX(RUNS!$K$6:$K$1005,MATCH($D750,RUNS!$A$6:$A$1005,0))="","",INDEX(RUNS!$K$6:$K$1005,MATCH($D750,RUNS!$A$6:$A$1005,0))),""))</f>
        <v/>
      </c>
      <c r="R750" s="34">
        <f>IF(OR($L750="",$K750=""),"",IFERROR(IF(INDEX(PARAMETRES!$H$43:$H$342,MATCH($L750&amp;"|"&amp;$M750&amp;"|"&amp;$N750&amp;"|"&amp;$O750&amp;"|"&amp;$P750&amp;"|"&amp;$Q750&amp;"|"&amp;$K750,PARAMETRES!$J$43:$J$342,0))="","",INDEX(PARAMETRES!$H$43:$H$342,MATCH($L750&amp;"|"&amp;$M750&amp;"|"&amp;$N750&amp;"|"&amp;$O750&amp;"|"&amp;$P750&amp;"|"&amp;$Q750&amp;"|"&amp;$K750,PARAMETRES!$J$43:$J$342,0))),""))</f>
        <v/>
      </c>
      <c r="S750" s="35">
        <f>IF(OR($G750="",$X750&lt;&gt;"VALIDE"),"",IFERROR(LOOKUP(2,1/(($B$3:$B749=$B750)*($G$3:$G749=$G750)*($X$3:$X749="VALIDE")),$C$3:$C749),""))</f>
        <v/>
      </c>
      <c r="T750" s="36">
        <f>IF(OR($C750="",$S750=""),"",ROUND(($C750-$S750+IF($C750&lt;$S750,1,0))*1440,0))</f>
        <v/>
      </c>
      <c r="U750" s="22">
        <f>IF(OR($H750="",$T750="",$T750&lt;=0),"",$H750*60/$T750)</f>
        <v/>
      </c>
      <c r="V750" s="37">
        <f>IF(OR($U750="",$R750="",$R750=0),"",$U750/$R750)</f>
        <v/>
      </c>
      <c r="W750" s="20">
        <f>IF($G750="","",IF($X750="CONTEXTE INCOMPLET","CONTEXTE INCOMPLET",IF($X750="DOUBLON",StatutDoublon,IF($S750="",StatutInitial,IF($R750="",StatutStandardManquant,IF($V750="","DONNEES INSUFFISANTES",IF($V750&gt;=SeuilConforme,StatutConforme,IF($V750&gt;=SeuilSurveiller,StatutSurveiller,StatutSousStandard))))))))</f>
        <v/>
      </c>
      <c r="X750" s="33">
        <f>IF($G750="","",IF(OR($D750="",$E750="",$F750=""),"CONTEXTE INCOMPLET",IF(COUNTIFS($D$3:$D749,$D750,$E$3:$E749,$E750,$F$3:$F749,$F750,$G$3:$G749,$G750)&gt;0,"DOUBLON","VALIDE")))</f>
        <v/>
      </c>
    </row>
    <row r="751" ht="15" customHeight="1">
      <c r="A751" s="12">
        <f>IF(OR($B751="",$G751=""),"",TEXT($B751,"YYYYMMDD")&amp;"-"&amp;SUBSTITUTE($E751," ","")&amp;"-"&amp;$F751&amp;"-"&amp;$G751)</f>
        <v/>
      </c>
      <c r="B751" s="15" t="n"/>
      <c r="C751" s="16" t="n"/>
      <c r="D751" s="10" t="n"/>
      <c r="E751" s="9" t="n"/>
      <c r="F751" s="9" t="n"/>
      <c r="G751" s="13" t="n"/>
      <c r="H751" s="21" t="n"/>
      <c r="I751" s="21" t="n"/>
      <c r="J751" s="17">
        <f>IF($G751="","",IFERROR(INDEX(NomsEmployes,MATCH($G751,MatriculesEmployes,0)),"MATRICULE INCONNU"))</f>
        <v/>
      </c>
      <c r="K751" s="33">
        <f>IF(OR($D751="",$F751=""),"",IFERROR(IF(INDEX(RUNS!$L$6:$S$1005,MATCH($D751,RUNS!$A$6:$A$1005,0),MATCH("ACTIVITÉ "&amp;$F751,RUNS!$L$5:$S$5,0))="","",INDEX(RUNS!$L$6:$S$1005,MATCH($D751,RUNS!$A$6:$A$1005,0),MATCH("ACTIVITÉ "&amp;$F751,RUNS!$L$5:$S$5,0))),""))</f>
        <v/>
      </c>
      <c r="L751" s="33">
        <f>IF($D751="","",IFERROR(IF(INDEX(RUNS!$E$6:$E$1005,MATCH($D751,RUNS!$A$6:$A$1005,0))="","",INDEX(RUNS!$E$6:$E$1005,MATCH($D751,RUNS!$A$6:$A$1005,0))),""))</f>
        <v/>
      </c>
      <c r="M751" s="33">
        <f>IF($D751="","",IFERROR(IF(INDEX(RUNS!$F$6:$F$1005,MATCH($D751,RUNS!$A$6:$A$1005,0))="","",INDEX(RUNS!$F$6:$F$1005,MATCH($D751,RUNS!$A$6:$A$1005,0))),""))</f>
        <v/>
      </c>
      <c r="N751" s="33">
        <f>IF($D751="","",IFERROR(IF(INDEX(RUNS!$G$6:$G$1005,MATCH($D751,RUNS!$A$6:$A$1005,0))="","",INDEX(RUNS!$G$6:$G$1005,MATCH($D751,RUNS!$A$6:$A$1005,0))),""))</f>
        <v/>
      </c>
      <c r="O751" s="33">
        <f>IF($D751="","",IFERROR(IF(INDEX(RUNS!$H$6:$H$1005,MATCH($D751,RUNS!$A$6:$A$1005,0))="","",INDEX(RUNS!$H$6:$H$1005,MATCH($D751,RUNS!$A$6:$A$1005,0))),""))</f>
        <v/>
      </c>
      <c r="P751" s="33">
        <f>IF($D751="","",IFERROR(IF(INDEX(RUNS!$J$6:$J$1005,MATCH($D751,RUNS!$A$6:$A$1005,0))="","",INDEX(RUNS!$J$6:$J$1005,MATCH($D751,RUNS!$A$6:$A$1005,0))),""))</f>
        <v/>
      </c>
      <c r="Q751" s="33">
        <f>IF($D751="","",IFERROR(IF(INDEX(RUNS!$K$6:$K$1005,MATCH($D751,RUNS!$A$6:$A$1005,0))="","",INDEX(RUNS!$K$6:$K$1005,MATCH($D751,RUNS!$A$6:$A$1005,0))),""))</f>
        <v/>
      </c>
      <c r="R751" s="34">
        <f>IF(OR($L751="",$K751=""),"",IFERROR(IF(INDEX(PARAMETRES!$H$43:$H$342,MATCH($L751&amp;"|"&amp;$M751&amp;"|"&amp;$N751&amp;"|"&amp;$O751&amp;"|"&amp;$P751&amp;"|"&amp;$Q751&amp;"|"&amp;$K751,PARAMETRES!$J$43:$J$342,0))="","",INDEX(PARAMETRES!$H$43:$H$342,MATCH($L751&amp;"|"&amp;$M751&amp;"|"&amp;$N751&amp;"|"&amp;$O751&amp;"|"&amp;$P751&amp;"|"&amp;$Q751&amp;"|"&amp;$K751,PARAMETRES!$J$43:$J$342,0))),""))</f>
        <v/>
      </c>
      <c r="S751" s="35">
        <f>IF(OR($G751="",$X751&lt;&gt;"VALIDE"),"",IFERROR(LOOKUP(2,1/(($B$3:$B750=$B751)*($G$3:$G750=$G751)*($X$3:$X750="VALIDE")),$C$3:$C750),""))</f>
        <v/>
      </c>
      <c r="T751" s="36">
        <f>IF(OR($C751="",$S751=""),"",ROUND(($C751-$S751+IF($C751&lt;$S751,1,0))*1440,0))</f>
        <v/>
      </c>
      <c r="U751" s="22">
        <f>IF(OR($H751="",$T751="",$T751&lt;=0),"",$H751*60/$T751)</f>
        <v/>
      </c>
      <c r="V751" s="37">
        <f>IF(OR($U751="",$R751="",$R751=0),"",$U751/$R751)</f>
        <v/>
      </c>
      <c r="W751" s="20">
        <f>IF($G751="","",IF($X751="CONTEXTE INCOMPLET","CONTEXTE INCOMPLET",IF($X751="DOUBLON",StatutDoublon,IF($S751="",StatutInitial,IF($R751="",StatutStandardManquant,IF($V751="","DONNEES INSUFFISANTES",IF($V751&gt;=SeuilConforme,StatutConforme,IF($V751&gt;=SeuilSurveiller,StatutSurveiller,StatutSousStandard))))))))</f>
        <v/>
      </c>
      <c r="X751" s="33">
        <f>IF($G751="","",IF(OR($D751="",$E751="",$F751=""),"CONTEXTE INCOMPLET",IF(COUNTIFS($D$3:$D750,$D751,$E$3:$E750,$E751,$F$3:$F750,$F751,$G$3:$G750,$G751)&gt;0,"DOUBLON","VALIDE")))</f>
        <v/>
      </c>
    </row>
    <row r="752" ht="15" customHeight="1">
      <c r="A752" s="12">
        <f>IF(OR($B752="",$G752=""),"",TEXT($B752,"YYYYMMDD")&amp;"-"&amp;SUBSTITUTE($E752," ","")&amp;"-"&amp;$F752&amp;"-"&amp;$G752)</f>
        <v/>
      </c>
      <c r="B752" s="15" t="n"/>
      <c r="C752" s="16" t="n"/>
      <c r="D752" s="10" t="n"/>
      <c r="E752" s="9" t="n"/>
      <c r="F752" s="9" t="n"/>
      <c r="G752" s="13" t="n"/>
      <c r="H752" s="21" t="n"/>
      <c r="I752" s="21" t="n"/>
      <c r="J752" s="17">
        <f>IF($G752="","",IFERROR(INDEX(NomsEmployes,MATCH($G752,MatriculesEmployes,0)),"MATRICULE INCONNU"))</f>
        <v/>
      </c>
      <c r="K752" s="33">
        <f>IF(OR($D752="",$F752=""),"",IFERROR(IF(INDEX(RUNS!$L$6:$S$1005,MATCH($D752,RUNS!$A$6:$A$1005,0),MATCH("ACTIVITÉ "&amp;$F752,RUNS!$L$5:$S$5,0))="","",INDEX(RUNS!$L$6:$S$1005,MATCH($D752,RUNS!$A$6:$A$1005,0),MATCH("ACTIVITÉ "&amp;$F752,RUNS!$L$5:$S$5,0))),""))</f>
        <v/>
      </c>
      <c r="L752" s="33">
        <f>IF($D752="","",IFERROR(IF(INDEX(RUNS!$E$6:$E$1005,MATCH($D752,RUNS!$A$6:$A$1005,0))="","",INDEX(RUNS!$E$6:$E$1005,MATCH($D752,RUNS!$A$6:$A$1005,0))),""))</f>
        <v/>
      </c>
      <c r="M752" s="33">
        <f>IF($D752="","",IFERROR(IF(INDEX(RUNS!$F$6:$F$1005,MATCH($D752,RUNS!$A$6:$A$1005,0))="","",INDEX(RUNS!$F$6:$F$1005,MATCH($D752,RUNS!$A$6:$A$1005,0))),""))</f>
        <v/>
      </c>
      <c r="N752" s="33">
        <f>IF($D752="","",IFERROR(IF(INDEX(RUNS!$G$6:$G$1005,MATCH($D752,RUNS!$A$6:$A$1005,0))="","",INDEX(RUNS!$G$6:$G$1005,MATCH($D752,RUNS!$A$6:$A$1005,0))),""))</f>
        <v/>
      </c>
      <c r="O752" s="33">
        <f>IF($D752="","",IFERROR(IF(INDEX(RUNS!$H$6:$H$1005,MATCH($D752,RUNS!$A$6:$A$1005,0))="","",INDEX(RUNS!$H$6:$H$1005,MATCH($D752,RUNS!$A$6:$A$1005,0))),""))</f>
        <v/>
      </c>
      <c r="P752" s="33">
        <f>IF($D752="","",IFERROR(IF(INDEX(RUNS!$J$6:$J$1005,MATCH($D752,RUNS!$A$6:$A$1005,0))="","",INDEX(RUNS!$J$6:$J$1005,MATCH($D752,RUNS!$A$6:$A$1005,0))),""))</f>
        <v/>
      </c>
      <c r="Q752" s="33">
        <f>IF($D752="","",IFERROR(IF(INDEX(RUNS!$K$6:$K$1005,MATCH($D752,RUNS!$A$6:$A$1005,0))="","",INDEX(RUNS!$K$6:$K$1005,MATCH($D752,RUNS!$A$6:$A$1005,0))),""))</f>
        <v/>
      </c>
      <c r="R752" s="34">
        <f>IF(OR($L752="",$K752=""),"",IFERROR(IF(INDEX(PARAMETRES!$H$43:$H$342,MATCH($L752&amp;"|"&amp;$M752&amp;"|"&amp;$N752&amp;"|"&amp;$O752&amp;"|"&amp;$P752&amp;"|"&amp;$Q752&amp;"|"&amp;$K752,PARAMETRES!$J$43:$J$342,0))="","",INDEX(PARAMETRES!$H$43:$H$342,MATCH($L752&amp;"|"&amp;$M752&amp;"|"&amp;$N752&amp;"|"&amp;$O752&amp;"|"&amp;$P752&amp;"|"&amp;$Q752&amp;"|"&amp;$K752,PARAMETRES!$J$43:$J$342,0))),""))</f>
        <v/>
      </c>
      <c r="S752" s="35">
        <f>IF(OR($G752="",$X752&lt;&gt;"VALIDE"),"",IFERROR(LOOKUP(2,1/(($B$3:$B751=$B752)*($G$3:$G751=$G752)*($X$3:$X751="VALIDE")),$C$3:$C751),""))</f>
        <v/>
      </c>
      <c r="T752" s="36">
        <f>IF(OR($C752="",$S752=""),"",ROUND(($C752-$S752+IF($C752&lt;$S752,1,0))*1440,0))</f>
        <v/>
      </c>
      <c r="U752" s="22">
        <f>IF(OR($H752="",$T752="",$T752&lt;=0),"",$H752*60/$T752)</f>
        <v/>
      </c>
      <c r="V752" s="37">
        <f>IF(OR($U752="",$R752="",$R752=0),"",$U752/$R752)</f>
        <v/>
      </c>
      <c r="W752" s="20">
        <f>IF($G752="","",IF($X752="CONTEXTE INCOMPLET","CONTEXTE INCOMPLET",IF($X752="DOUBLON",StatutDoublon,IF($S752="",StatutInitial,IF($R752="",StatutStandardManquant,IF($V752="","DONNEES INSUFFISANTES",IF($V752&gt;=SeuilConforme,StatutConforme,IF($V752&gt;=SeuilSurveiller,StatutSurveiller,StatutSousStandard))))))))</f>
        <v/>
      </c>
      <c r="X752" s="33">
        <f>IF($G752="","",IF(OR($D752="",$E752="",$F752=""),"CONTEXTE INCOMPLET",IF(COUNTIFS($D$3:$D751,$D752,$E$3:$E751,$E752,$F$3:$F751,$F752,$G$3:$G751,$G752)&gt;0,"DOUBLON","VALIDE")))</f>
        <v/>
      </c>
    </row>
    <row r="753" ht="15" customHeight="1">
      <c r="A753" s="12">
        <f>IF(OR($B753="",$G753=""),"",TEXT($B753,"YYYYMMDD")&amp;"-"&amp;SUBSTITUTE($E753," ","")&amp;"-"&amp;$F753&amp;"-"&amp;$G753)</f>
        <v/>
      </c>
      <c r="B753" s="15" t="n"/>
      <c r="C753" s="16" t="n"/>
      <c r="D753" s="10" t="n"/>
      <c r="E753" s="9" t="n"/>
      <c r="F753" s="9" t="n"/>
      <c r="G753" s="13" t="n"/>
      <c r="H753" s="21" t="n"/>
      <c r="I753" s="21" t="n"/>
      <c r="J753" s="17">
        <f>IF($G753="","",IFERROR(INDEX(NomsEmployes,MATCH($G753,MatriculesEmployes,0)),"MATRICULE INCONNU"))</f>
        <v/>
      </c>
      <c r="K753" s="33">
        <f>IF(OR($D753="",$F753=""),"",IFERROR(IF(INDEX(RUNS!$L$6:$S$1005,MATCH($D753,RUNS!$A$6:$A$1005,0),MATCH("ACTIVITÉ "&amp;$F753,RUNS!$L$5:$S$5,0))="","",INDEX(RUNS!$L$6:$S$1005,MATCH($D753,RUNS!$A$6:$A$1005,0),MATCH("ACTIVITÉ "&amp;$F753,RUNS!$L$5:$S$5,0))),""))</f>
        <v/>
      </c>
      <c r="L753" s="33">
        <f>IF($D753="","",IFERROR(IF(INDEX(RUNS!$E$6:$E$1005,MATCH($D753,RUNS!$A$6:$A$1005,0))="","",INDEX(RUNS!$E$6:$E$1005,MATCH($D753,RUNS!$A$6:$A$1005,0))),""))</f>
        <v/>
      </c>
      <c r="M753" s="33">
        <f>IF($D753="","",IFERROR(IF(INDEX(RUNS!$F$6:$F$1005,MATCH($D753,RUNS!$A$6:$A$1005,0))="","",INDEX(RUNS!$F$6:$F$1005,MATCH($D753,RUNS!$A$6:$A$1005,0))),""))</f>
        <v/>
      </c>
      <c r="N753" s="33">
        <f>IF($D753="","",IFERROR(IF(INDEX(RUNS!$G$6:$G$1005,MATCH($D753,RUNS!$A$6:$A$1005,0))="","",INDEX(RUNS!$G$6:$G$1005,MATCH($D753,RUNS!$A$6:$A$1005,0))),""))</f>
        <v/>
      </c>
      <c r="O753" s="33">
        <f>IF($D753="","",IFERROR(IF(INDEX(RUNS!$H$6:$H$1005,MATCH($D753,RUNS!$A$6:$A$1005,0))="","",INDEX(RUNS!$H$6:$H$1005,MATCH($D753,RUNS!$A$6:$A$1005,0))),""))</f>
        <v/>
      </c>
      <c r="P753" s="33">
        <f>IF($D753="","",IFERROR(IF(INDEX(RUNS!$J$6:$J$1005,MATCH($D753,RUNS!$A$6:$A$1005,0))="","",INDEX(RUNS!$J$6:$J$1005,MATCH($D753,RUNS!$A$6:$A$1005,0))),""))</f>
        <v/>
      </c>
      <c r="Q753" s="33">
        <f>IF($D753="","",IFERROR(IF(INDEX(RUNS!$K$6:$K$1005,MATCH($D753,RUNS!$A$6:$A$1005,0))="","",INDEX(RUNS!$K$6:$K$1005,MATCH($D753,RUNS!$A$6:$A$1005,0))),""))</f>
        <v/>
      </c>
      <c r="R753" s="34">
        <f>IF(OR($L753="",$K753=""),"",IFERROR(IF(INDEX(PARAMETRES!$H$43:$H$342,MATCH($L753&amp;"|"&amp;$M753&amp;"|"&amp;$N753&amp;"|"&amp;$O753&amp;"|"&amp;$P753&amp;"|"&amp;$Q753&amp;"|"&amp;$K753,PARAMETRES!$J$43:$J$342,0))="","",INDEX(PARAMETRES!$H$43:$H$342,MATCH($L753&amp;"|"&amp;$M753&amp;"|"&amp;$N753&amp;"|"&amp;$O753&amp;"|"&amp;$P753&amp;"|"&amp;$Q753&amp;"|"&amp;$K753,PARAMETRES!$J$43:$J$342,0))),""))</f>
        <v/>
      </c>
      <c r="S753" s="35">
        <f>IF(OR($G753="",$X753&lt;&gt;"VALIDE"),"",IFERROR(LOOKUP(2,1/(($B$3:$B752=$B753)*($G$3:$G752=$G753)*($X$3:$X752="VALIDE")),$C$3:$C752),""))</f>
        <v/>
      </c>
      <c r="T753" s="36">
        <f>IF(OR($C753="",$S753=""),"",ROUND(($C753-$S753+IF($C753&lt;$S753,1,0))*1440,0))</f>
        <v/>
      </c>
      <c r="U753" s="22">
        <f>IF(OR($H753="",$T753="",$T753&lt;=0),"",$H753*60/$T753)</f>
        <v/>
      </c>
      <c r="V753" s="37">
        <f>IF(OR($U753="",$R753="",$R753=0),"",$U753/$R753)</f>
        <v/>
      </c>
      <c r="W753" s="20">
        <f>IF($G753="","",IF($X753="CONTEXTE INCOMPLET","CONTEXTE INCOMPLET",IF($X753="DOUBLON",StatutDoublon,IF($S753="",StatutInitial,IF($R753="",StatutStandardManquant,IF($V753="","DONNEES INSUFFISANTES",IF($V753&gt;=SeuilConforme,StatutConforme,IF($V753&gt;=SeuilSurveiller,StatutSurveiller,StatutSousStandard))))))))</f>
        <v/>
      </c>
      <c r="X753" s="33">
        <f>IF($G753="","",IF(OR($D753="",$E753="",$F753=""),"CONTEXTE INCOMPLET",IF(COUNTIFS($D$3:$D752,$D753,$E$3:$E752,$E753,$F$3:$F752,$F753,$G$3:$G752,$G753)&gt;0,"DOUBLON","VALIDE")))</f>
        <v/>
      </c>
    </row>
    <row r="754" ht="15" customHeight="1">
      <c r="A754" s="12">
        <f>IF(OR($B754="",$G754=""),"",TEXT($B754,"YYYYMMDD")&amp;"-"&amp;SUBSTITUTE($E754," ","")&amp;"-"&amp;$F754&amp;"-"&amp;$G754)</f>
        <v/>
      </c>
      <c r="B754" s="15" t="n"/>
      <c r="C754" s="16" t="n"/>
      <c r="D754" s="10" t="n"/>
      <c r="E754" s="9" t="n"/>
      <c r="F754" s="9" t="n"/>
      <c r="G754" s="13" t="n"/>
      <c r="H754" s="21" t="n"/>
      <c r="I754" s="21" t="n"/>
      <c r="J754" s="17">
        <f>IF($G754="","",IFERROR(INDEX(NomsEmployes,MATCH($G754,MatriculesEmployes,0)),"MATRICULE INCONNU"))</f>
        <v/>
      </c>
      <c r="K754" s="33">
        <f>IF(OR($D754="",$F754=""),"",IFERROR(IF(INDEX(RUNS!$L$6:$S$1005,MATCH($D754,RUNS!$A$6:$A$1005,0),MATCH("ACTIVITÉ "&amp;$F754,RUNS!$L$5:$S$5,0))="","",INDEX(RUNS!$L$6:$S$1005,MATCH($D754,RUNS!$A$6:$A$1005,0),MATCH("ACTIVITÉ "&amp;$F754,RUNS!$L$5:$S$5,0))),""))</f>
        <v/>
      </c>
      <c r="L754" s="33">
        <f>IF($D754="","",IFERROR(IF(INDEX(RUNS!$E$6:$E$1005,MATCH($D754,RUNS!$A$6:$A$1005,0))="","",INDEX(RUNS!$E$6:$E$1005,MATCH($D754,RUNS!$A$6:$A$1005,0))),""))</f>
        <v/>
      </c>
      <c r="M754" s="33">
        <f>IF($D754="","",IFERROR(IF(INDEX(RUNS!$F$6:$F$1005,MATCH($D754,RUNS!$A$6:$A$1005,0))="","",INDEX(RUNS!$F$6:$F$1005,MATCH($D754,RUNS!$A$6:$A$1005,0))),""))</f>
        <v/>
      </c>
      <c r="N754" s="33">
        <f>IF($D754="","",IFERROR(IF(INDEX(RUNS!$G$6:$G$1005,MATCH($D754,RUNS!$A$6:$A$1005,0))="","",INDEX(RUNS!$G$6:$G$1005,MATCH($D754,RUNS!$A$6:$A$1005,0))),""))</f>
        <v/>
      </c>
      <c r="O754" s="33">
        <f>IF($D754="","",IFERROR(IF(INDEX(RUNS!$H$6:$H$1005,MATCH($D754,RUNS!$A$6:$A$1005,0))="","",INDEX(RUNS!$H$6:$H$1005,MATCH($D754,RUNS!$A$6:$A$1005,0))),""))</f>
        <v/>
      </c>
      <c r="P754" s="33">
        <f>IF($D754="","",IFERROR(IF(INDEX(RUNS!$J$6:$J$1005,MATCH($D754,RUNS!$A$6:$A$1005,0))="","",INDEX(RUNS!$J$6:$J$1005,MATCH($D754,RUNS!$A$6:$A$1005,0))),""))</f>
        <v/>
      </c>
      <c r="Q754" s="33">
        <f>IF($D754="","",IFERROR(IF(INDEX(RUNS!$K$6:$K$1005,MATCH($D754,RUNS!$A$6:$A$1005,0))="","",INDEX(RUNS!$K$6:$K$1005,MATCH($D754,RUNS!$A$6:$A$1005,0))),""))</f>
        <v/>
      </c>
      <c r="R754" s="34">
        <f>IF(OR($L754="",$K754=""),"",IFERROR(IF(INDEX(PARAMETRES!$H$43:$H$342,MATCH($L754&amp;"|"&amp;$M754&amp;"|"&amp;$N754&amp;"|"&amp;$O754&amp;"|"&amp;$P754&amp;"|"&amp;$Q754&amp;"|"&amp;$K754,PARAMETRES!$J$43:$J$342,0))="","",INDEX(PARAMETRES!$H$43:$H$342,MATCH($L754&amp;"|"&amp;$M754&amp;"|"&amp;$N754&amp;"|"&amp;$O754&amp;"|"&amp;$P754&amp;"|"&amp;$Q754&amp;"|"&amp;$K754,PARAMETRES!$J$43:$J$342,0))),""))</f>
        <v/>
      </c>
      <c r="S754" s="35">
        <f>IF(OR($G754="",$X754&lt;&gt;"VALIDE"),"",IFERROR(LOOKUP(2,1/(($B$3:$B753=$B754)*($G$3:$G753=$G754)*($X$3:$X753="VALIDE")),$C$3:$C753),""))</f>
        <v/>
      </c>
      <c r="T754" s="36">
        <f>IF(OR($C754="",$S754=""),"",ROUND(($C754-$S754+IF($C754&lt;$S754,1,0))*1440,0))</f>
        <v/>
      </c>
      <c r="U754" s="22">
        <f>IF(OR($H754="",$T754="",$T754&lt;=0),"",$H754*60/$T754)</f>
        <v/>
      </c>
      <c r="V754" s="37">
        <f>IF(OR($U754="",$R754="",$R754=0),"",$U754/$R754)</f>
        <v/>
      </c>
      <c r="W754" s="20">
        <f>IF($G754="","",IF($X754="CONTEXTE INCOMPLET","CONTEXTE INCOMPLET",IF($X754="DOUBLON",StatutDoublon,IF($S754="",StatutInitial,IF($R754="",StatutStandardManquant,IF($V754="","DONNEES INSUFFISANTES",IF($V754&gt;=SeuilConforme,StatutConforme,IF($V754&gt;=SeuilSurveiller,StatutSurveiller,StatutSousStandard))))))))</f>
        <v/>
      </c>
      <c r="X754" s="33">
        <f>IF($G754="","",IF(OR($D754="",$E754="",$F754=""),"CONTEXTE INCOMPLET",IF(COUNTIFS($D$3:$D753,$D754,$E$3:$E753,$E754,$F$3:$F753,$F754,$G$3:$G753,$G754)&gt;0,"DOUBLON","VALIDE")))</f>
        <v/>
      </c>
    </row>
    <row r="755" ht="15" customHeight="1">
      <c r="A755" s="12">
        <f>IF(OR($B755="",$G755=""),"",TEXT($B755,"YYYYMMDD")&amp;"-"&amp;SUBSTITUTE($E755," ","")&amp;"-"&amp;$F755&amp;"-"&amp;$G755)</f>
        <v/>
      </c>
      <c r="B755" s="15" t="n"/>
      <c r="C755" s="16" t="n"/>
      <c r="D755" s="10" t="n"/>
      <c r="E755" s="9" t="n"/>
      <c r="F755" s="9" t="n"/>
      <c r="G755" s="13" t="n"/>
      <c r="H755" s="21" t="n"/>
      <c r="I755" s="21" t="n"/>
      <c r="J755" s="17">
        <f>IF($G755="","",IFERROR(INDEX(NomsEmployes,MATCH($G755,MatriculesEmployes,0)),"MATRICULE INCONNU"))</f>
        <v/>
      </c>
      <c r="K755" s="33">
        <f>IF(OR($D755="",$F755=""),"",IFERROR(IF(INDEX(RUNS!$L$6:$S$1005,MATCH($D755,RUNS!$A$6:$A$1005,0),MATCH("ACTIVITÉ "&amp;$F755,RUNS!$L$5:$S$5,0))="","",INDEX(RUNS!$L$6:$S$1005,MATCH($D755,RUNS!$A$6:$A$1005,0),MATCH("ACTIVITÉ "&amp;$F755,RUNS!$L$5:$S$5,0))),""))</f>
        <v/>
      </c>
      <c r="L755" s="33">
        <f>IF($D755="","",IFERROR(IF(INDEX(RUNS!$E$6:$E$1005,MATCH($D755,RUNS!$A$6:$A$1005,0))="","",INDEX(RUNS!$E$6:$E$1005,MATCH($D755,RUNS!$A$6:$A$1005,0))),""))</f>
        <v/>
      </c>
      <c r="M755" s="33">
        <f>IF($D755="","",IFERROR(IF(INDEX(RUNS!$F$6:$F$1005,MATCH($D755,RUNS!$A$6:$A$1005,0))="","",INDEX(RUNS!$F$6:$F$1005,MATCH($D755,RUNS!$A$6:$A$1005,0))),""))</f>
        <v/>
      </c>
      <c r="N755" s="33">
        <f>IF($D755="","",IFERROR(IF(INDEX(RUNS!$G$6:$G$1005,MATCH($D755,RUNS!$A$6:$A$1005,0))="","",INDEX(RUNS!$G$6:$G$1005,MATCH($D755,RUNS!$A$6:$A$1005,0))),""))</f>
        <v/>
      </c>
      <c r="O755" s="33">
        <f>IF($D755="","",IFERROR(IF(INDEX(RUNS!$H$6:$H$1005,MATCH($D755,RUNS!$A$6:$A$1005,0))="","",INDEX(RUNS!$H$6:$H$1005,MATCH($D755,RUNS!$A$6:$A$1005,0))),""))</f>
        <v/>
      </c>
      <c r="P755" s="33">
        <f>IF($D755="","",IFERROR(IF(INDEX(RUNS!$J$6:$J$1005,MATCH($D755,RUNS!$A$6:$A$1005,0))="","",INDEX(RUNS!$J$6:$J$1005,MATCH($D755,RUNS!$A$6:$A$1005,0))),""))</f>
        <v/>
      </c>
      <c r="Q755" s="33">
        <f>IF($D755="","",IFERROR(IF(INDEX(RUNS!$K$6:$K$1005,MATCH($D755,RUNS!$A$6:$A$1005,0))="","",INDEX(RUNS!$K$6:$K$1005,MATCH($D755,RUNS!$A$6:$A$1005,0))),""))</f>
        <v/>
      </c>
      <c r="R755" s="34">
        <f>IF(OR($L755="",$K755=""),"",IFERROR(IF(INDEX(PARAMETRES!$H$43:$H$342,MATCH($L755&amp;"|"&amp;$M755&amp;"|"&amp;$N755&amp;"|"&amp;$O755&amp;"|"&amp;$P755&amp;"|"&amp;$Q755&amp;"|"&amp;$K755,PARAMETRES!$J$43:$J$342,0))="","",INDEX(PARAMETRES!$H$43:$H$342,MATCH($L755&amp;"|"&amp;$M755&amp;"|"&amp;$N755&amp;"|"&amp;$O755&amp;"|"&amp;$P755&amp;"|"&amp;$Q755&amp;"|"&amp;$K755,PARAMETRES!$J$43:$J$342,0))),""))</f>
        <v/>
      </c>
      <c r="S755" s="35">
        <f>IF(OR($G755="",$X755&lt;&gt;"VALIDE"),"",IFERROR(LOOKUP(2,1/(($B$3:$B754=$B755)*($G$3:$G754=$G755)*($X$3:$X754="VALIDE")),$C$3:$C754),""))</f>
        <v/>
      </c>
      <c r="T755" s="36">
        <f>IF(OR($C755="",$S755=""),"",ROUND(($C755-$S755+IF($C755&lt;$S755,1,0))*1440,0))</f>
        <v/>
      </c>
      <c r="U755" s="22">
        <f>IF(OR($H755="",$T755="",$T755&lt;=0),"",$H755*60/$T755)</f>
        <v/>
      </c>
      <c r="V755" s="37">
        <f>IF(OR($U755="",$R755="",$R755=0),"",$U755/$R755)</f>
        <v/>
      </c>
      <c r="W755" s="20">
        <f>IF($G755="","",IF($X755="CONTEXTE INCOMPLET","CONTEXTE INCOMPLET",IF($X755="DOUBLON",StatutDoublon,IF($S755="",StatutInitial,IF($R755="",StatutStandardManquant,IF($V755="","DONNEES INSUFFISANTES",IF($V755&gt;=SeuilConforme,StatutConforme,IF($V755&gt;=SeuilSurveiller,StatutSurveiller,StatutSousStandard))))))))</f>
        <v/>
      </c>
      <c r="X755" s="33">
        <f>IF($G755="","",IF(OR($D755="",$E755="",$F755=""),"CONTEXTE INCOMPLET",IF(COUNTIFS($D$3:$D754,$D755,$E$3:$E754,$E755,$F$3:$F754,$F755,$G$3:$G754,$G755)&gt;0,"DOUBLON","VALIDE")))</f>
        <v/>
      </c>
    </row>
    <row r="756" ht="15" customHeight="1">
      <c r="A756" s="12">
        <f>IF(OR($B756="",$G756=""),"",TEXT($B756,"YYYYMMDD")&amp;"-"&amp;SUBSTITUTE($E756," ","")&amp;"-"&amp;$F756&amp;"-"&amp;$G756)</f>
        <v/>
      </c>
      <c r="B756" s="15" t="n"/>
      <c r="C756" s="16" t="n"/>
      <c r="D756" s="10" t="n"/>
      <c r="E756" s="9" t="n"/>
      <c r="F756" s="9" t="n"/>
      <c r="G756" s="13" t="n"/>
      <c r="H756" s="21" t="n"/>
      <c r="I756" s="21" t="n"/>
      <c r="J756" s="17">
        <f>IF($G756="","",IFERROR(INDEX(NomsEmployes,MATCH($G756,MatriculesEmployes,0)),"MATRICULE INCONNU"))</f>
        <v/>
      </c>
      <c r="K756" s="33">
        <f>IF(OR($D756="",$F756=""),"",IFERROR(IF(INDEX(RUNS!$L$6:$S$1005,MATCH($D756,RUNS!$A$6:$A$1005,0),MATCH("ACTIVITÉ "&amp;$F756,RUNS!$L$5:$S$5,0))="","",INDEX(RUNS!$L$6:$S$1005,MATCH($D756,RUNS!$A$6:$A$1005,0),MATCH("ACTIVITÉ "&amp;$F756,RUNS!$L$5:$S$5,0))),""))</f>
        <v/>
      </c>
      <c r="L756" s="33">
        <f>IF($D756="","",IFERROR(IF(INDEX(RUNS!$E$6:$E$1005,MATCH($D756,RUNS!$A$6:$A$1005,0))="","",INDEX(RUNS!$E$6:$E$1005,MATCH($D756,RUNS!$A$6:$A$1005,0))),""))</f>
        <v/>
      </c>
      <c r="M756" s="33">
        <f>IF($D756="","",IFERROR(IF(INDEX(RUNS!$F$6:$F$1005,MATCH($D756,RUNS!$A$6:$A$1005,0))="","",INDEX(RUNS!$F$6:$F$1005,MATCH($D756,RUNS!$A$6:$A$1005,0))),""))</f>
        <v/>
      </c>
      <c r="N756" s="33">
        <f>IF($D756="","",IFERROR(IF(INDEX(RUNS!$G$6:$G$1005,MATCH($D756,RUNS!$A$6:$A$1005,0))="","",INDEX(RUNS!$G$6:$G$1005,MATCH($D756,RUNS!$A$6:$A$1005,0))),""))</f>
        <v/>
      </c>
      <c r="O756" s="33">
        <f>IF($D756="","",IFERROR(IF(INDEX(RUNS!$H$6:$H$1005,MATCH($D756,RUNS!$A$6:$A$1005,0))="","",INDEX(RUNS!$H$6:$H$1005,MATCH($D756,RUNS!$A$6:$A$1005,0))),""))</f>
        <v/>
      </c>
      <c r="P756" s="33">
        <f>IF($D756="","",IFERROR(IF(INDEX(RUNS!$J$6:$J$1005,MATCH($D756,RUNS!$A$6:$A$1005,0))="","",INDEX(RUNS!$J$6:$J$1005,MATCH($D756,RUNS!$A$6:$A$1005,0))),""))</f>
        <v/>
      </c>
      <c r="Q756" s="33">
        <f>IF($D756="","",IFERROR(IF(INDEX(RUNS!$K$6:$K$1005,MATCH($D756,RUNS!$A$6:$A$1005,0))="","",INDEX(RUNS!$K$6:$K$1005,MATCH($D756,RUNS!$A$6:$A$1005,0))),""))</f>
        <v/>
      </c>
      <c r="R756" s="34">
        <f>IF(OR($L756="",$K756=""),"",IFERROR(IF(INDEX(PARAMETRES!$H$43:$H$342,MATCH($L756&amp;"|"&amp;$M756&amp;"|"&amp;$N756&amp;"|"&amp;$O756&amp;"|"&amp;$P756&amp;"|"&amp;$Q756&amp;"|"&amp;$K756,PARAMETRES!$J$43:$J$342,0))="","",INDEX(PARAMETRES!$H$43:$H$342,MATCH($L756&amp;"|"&amp;$M756&amp;"|"&amp;$N756&amp;"|"&amp;$O756&amp;"|"&amp;$P756&amp;"|"&amp;$Q756&amp;"|"&amp;$K756,PARAMETRES!$J$43:$J$342,0))),""))</f>
        <v/>
      </c>
      <c r="S756" s="35">
        <f>IF(OR($G756="",$X756&lt;&gt;"VALIDE"),"",IFERROR(LOOKUP(2,1/(($B$3:$B755=$B756)*($G$3:$G755=$G756)*($X$3:$X755="VALIDE")),$C$3:$C755),""))</f>
        <v/>
      </c>
      <c r="T756" s="36">
        <f>IF(OR($C756="",$S756=""),"",ROUND(($C756-$S756+IF($C756&lt;$S756,1,0))*1440,0))</f>
        <v/>
      </c>
      <c r="U756" s="22">
        <f>IF(OR($H756="",$T756="",$T756&lt;=0),"",$H756*60/$T756)</f>
        <v/>
      </c>
      <c r="V756" s="37">
        <f>IF(OR($U756="",$R756="",$R756=0),"",$U756/$R756)</f>
        <v/>
      </c>
      <c r="W756" s="20">
        <f>IF($G756="","",IF($X756="CONTEXTE INCOMPLET","CONTEXTE INCOMPLET",IF($X756="DOUBLON",StatutDoublon,IF($S756="",StatutInitial,IF($R756="",StatutStandardManquant,IF($V756="","DONNEES INSUFFISANTES",IF($V756&gt;=SeuilConforme,StatutConforme,IF($V756&gt;=SeuilSurveiller,StatutSurveiller,StatutSousStandard))))))))</f>
        <v/>
      </c>
      <c r="X756" s="33">
        <f>IF($G756="","",IF(OR($D756="",$E756="",$F756=""),"CONTEXTE INCOMPLET",IF(COUNTIFS($D$3:$D755,$D756,$E$3:$E755,$E756,$F$3:$F755,$F756,$G$3:$G755,$G756)&gt;0,"DOUBLON","VALIDE")))</f>
        <v/>
      </c>
    </row>
    <row r="757" ht="15" customHeight="1">
      <c r="A757" s="12">
        <f>IF(OR($B757="",$G757=""),"",TEXT($B757,"YYYYMMDD")&amp;"-"&amp;SUBSTITUTE($E757," ","")&amp;"-"&amp;$F757&amp;"-"&amp;$G757)</f>
        <v/>
      </c>
      <c r="B757" s="15" t="n"/>
      <c r="C757" s="16" t="n"/>
      <c r="D757" s="10" t="n"/>
      <c r="E757" s="9" t="n"/>
      <c r="F757" s="9" t="n"/>
      <c r="G757" s="13" t="n"/>
      <c r="H757" s="21" t="n"/>
      <c r="I757" s="21" t="n"/>
      <c r="J757" s="17">
        <f>IF($G757="","",IFERROR(INDEX(NomsEmployes,MATCH($G757,MatriculesEmployes,0)),"MATRICULE INCONNU"))</f>
        <v/>
      </c>
      <c r="K757" s="33">
        <f>IF(OR($D757="",$F757=""),"",IFERROR(IF(INDEX(RUNS!$L$6:$S$1005,MATCH($D757,RUNS!$A$6:$A$1005,0),MATCH("ACTIVITÉ "&amp;$F757,RUNS!$L$5:$S$5,0))="","",INDEX(RUNS!$L$6:$S$1005,MATCH($D757,RUNS!$A$6:$A$1005,0),MATCH("ACTIVITÉ "&amp;$F757,RUNS!$L$5:$S$5,0))),""))</f>
        <v/>
      </c>
      <c r="L757" s="33">
        <f>IF($D757="","",IFERROR(IF(INDEX(RUNS!$E$6:$E$1005,MATCH($D757,RUNS!$A$6:$A$1005,0))="","",INDEX(RUNS!$E$6:$E$1005,MATCH($D757,RUNS!$A$6:$A$1005,0))),""))</f>
        <v/>
      </c>
      <c r="M757" s="33">
        <f>IF($D757="","",IFERROR(IF(INDEX(RUNS!$F$6:$F$1005,MATCH($D757,RUNS!$A$6:$A$1005,0))="","",INDEX(RUNS!$F$6:$F$1005,MATCH($D757,RUNS!$A$6:$A$1005,0))),""))</f>
        <v/>
      </c>
      <c r="N757" s="33">
        <f>IF($D757="","",IFERROR(IF(INDEX(RUNS!$G$6:$G$1005,MATCH($D757,RUNS!$A$6:$A$1005,0))="","",INDEX(RUNS!$G$6:$G$1005,MATCH($D757,RUNS!$A$6:$A$1005,0))),""))</f>
        <v/>
      </c>
      <c r="O757" s="33">
        <f>IF($D757="","",IFERROR(IF(INDEX(RUNS!$H$6:$H$1005,MATCH($D757,RUNS!$A$6:$A$1005,0))="","",INDEX(RUNS!$H$6:$H$1005,MATCH($D757,RUNS!$A$6:$A$1005,0))),""))</f>
        <v/>
      </c>
      <c r="P757" s="33">
        <f>IF($D757="","",IFERROR(IF(INDEX(RUNS!$J$6:$J$1005,MATCH($D757,RUNS!$A$6:$A$1005,0))="","",INDEX(RUNS!$J$6:$J$1005,MATCH($D757,RUNS!$A$6:$A$1005,0))),""))</f>
        <v/>
      </c>
      <c r="Q757" s="33">
        <f>IF($D757="","",IFERROR(IF(INDEX(RUNS!$K$6:$K$1005,MATCH($D757,RUNS!$A$6:$A$1005,0))="","",INDEX(RUNS!$K$6:$K$1005,MATCH($D757,RUNS!$A$6:$A$1005,0))),""))</f>
        <v/>
      </c>
      <c r="R757" s="34">
        <f>IF(OR($L757="",$K757=""),"",IFERROR(IF(INDEX(PARAMETRES!$H$43:$H$342,MATCH($L757&amp;"|"&amp;$M757&amp;"|"&amp;$N757&amp;"|"&amp;$O757&amp;"|"&amp;$P757&amp;"|"&amp;$Q757&amp;"|"&amp;$K757,PARAMETRES!$J$43:$J$342,0))="","",INDEX(PARAMETRES!$H$43:$H$342,MATCH($L757&amp;"|"&amp;$M757&amp;"|"&amp;$N757&amp;"|"&amp;$O757&amp;"|"&amp;$P757&amp;"|"&amp;$Q757&amp;"|"&amp;$K757,PARAMETRES!$J$43:$J$342,0))),""))</f>
        <v/>
      </c>
      <c r="S757" s="35">
        <f>IF(OR($G757="",$X757&lt;&gt;"VALIDE"),"",IFERROR(LOOKUP(2,1/(($B$3:$B756=$B757)*($G$3:$G756=$G757)*($X$3:$X756="VALIDE")),$C$3:$C756),""))</f>
        <v/>
      </c>
      <c r="T757" s="36">
        <f>IF(OR($C757="",$S757=""),"",ROUND(($C757-$S757+IF($C757&lt;$S757,1,0))*1440,0))</f>
        <v/>
      </c>
      <c r="U757" s="22">
        <f>IF(OR($H757="",$T757="",$T757&lt;=0),"",$H757*60/$T757)</f>
        <v/>
      </c>
      <c r="V757" s="37">
        <f>IF(OR($U757="",$R757="",$R757=0),"",$U757/$R757)</f>
        <v/>
      </c>
      <c r="W757" s="20">
        <f>IF($G757="","",IF($X757="CONTEXTE INCOMPLET","CONTEXTE INCOMPLET",IF($X757="DOUBLON",StatutDoublon,IF($S757="",StatutInitial,IF($R757="",StatutStandardManquant,IF($V757="","DONNEES INSUFFISANTES",IF($V757&gt;=SeuilConforme,StatutConforme,IF($V757&gt;=SeuilSurveiller,StatutSurveiller,StatutSousStandard))))))))</f>
        <v/>
      </c>
      <c r="X757" s="33">
        <f>IF($G757="","",IF(OR($D757="",$E757="",$F757=""),"CONTEXTE INCOMPLET",IF(COUNTIFS($D$3:$D756,$D757,$E$3:$E756,$E757,$F$3:$F756,$F757,$G$3:$G756,$G757)&gt;0,"DOUBLON","VALIDE")))</f>
        <v/>
      </c>
    </row>
    <row r="758" ht="15" customHeight="1">
      <c r="A758" s="12">
        <f>IF(OR($B758="",$G758=""),"",TEXT($B758,"YYYYMMDD")&amp;"-"&amp;SUBSTITUTE($E758," ","")&amp;"-"&amp;$F758&amp;"-"&amp;$G758)</f>
        <v/>
      </c>
      <c r="B758" s="15" t="n"/>
      <c r="C758" s="16" t="n"/>
      <c r="D758" s="10" t="n"/>
      <c r="E758" s="9" t="n"/>
      <c r="F758" s="9" t="n"/>
      <c r="G758" s="13" t="n"/>
      <c r="H758" s="21" t="n"/>
      <c r="I758" s="21" t="n"/>
      <c r="J758" s="17">
        <f>IF($G758="","",IFERROR(INDEX(NomsEmployes,MATCH($G758,MatriculesEmployes,0)),"MATRICULE INCONNU"))</f>
        <v/>
      </c>
      <c r="K758" s="33">
        <f>IF(OR($D758="",$F758=""),"",IFERROR(IF(INDEX(RUNS!$L$6:$S$1005,MATCH($D758,RUNS!$A$6:$A$1005,0),MATCH("ACTIVITÉ "&amp;$F758,RUNS!$L$5:$S$5,0))="","",INDEX(RUNS!$L$6:$S$1005,MATCH($D758,RUNS!$A$6:$A$1005,0),MATCH("ACTIVITÉ "&amp;$F758,RUNS!$L$5:$S$5,0))),""))</f>
        <v/>
      </c>
      <c r="L758" s="33">
        <f>IF($D758="","",IFERROR(IF(INDEX(RUNS!$E$6:$E$1005,MATCH($D758,RUNS!$A$6:$A$1005,0))="","",INDEX(RUNS!$E$6:$E$1005,MATCH($D758,RUNS!$A$6:$A$1005,0))),""))</f>
        <v/>
      </c>
      <c r="M758" s="33">
        <f>IF($D758="","",IFERROR(IF(INDEX(RUNS!$F$6:$F$1005,MATCH($D758,RUNS!$A$6:$A$1005,0))="","",INDEX(RUNS!$F$6:$F$1005,MATCH($D758,RUNS!$A$6:$A$1005,0))),""))</f>
        <v/>
      </c>
      <c r="N758" s="33">
        <f>IF($D758="","",IFERROR(IF(INDEX(RUNS!$G$6:$G$1005,MATCH($D758,RUNS!$A$6:$A$1005,0))="","",INDEX(RUNS!$G$6:$G$1005,MATCH($D758,RUNS!$A$6:$A$1005,0))),""))</f>
        <v/>
      </c>
      <c r="O758" s="33">
        <f>IF($D758="","",IFERROR(IF(INDEX(RUNS!$H$6:$H$1005,MATCH($D758,RUNS!$A$6:$A$1005,0))="","",INDEX(RUNS!$H$6:$H$1005,MATCH($D758,RUNS!$A$6:$A$1005,0))),""))</f>
        <v/>
      </c>
      <c r="P758" s="33">
        <f>IF($D758="","",IFERROR(IF(INDEX(RUNS!$J$6:$J$1005,MATCH($D758,RUNS!$A$6:$A$1005,0))="","",INDEX(RUNS!$J$6:$J$1005,MATCH($D758,RUNS!$A$6:$A$1005,0))),""))</f>
        <v/>
      </c>
      <c r="Q758" s="33">
        <f>IF($D758="","",IFERROR(IF(INDEX(RUNS!$K$6:$K$1005,MATCH($D758,RUNS!$A$6:$A$1005,0))="","",INDEX(RUNS!$K$6:$K$1005,MATCH($D758,RUNS!$A$6:$A$1005,0))),""))</f>
        <v/>
      </c>
      <c r="R758" s="34">
        <f>IF(OR($L758="",$K758=""),"",IFERROR(IF(INDEX(PARAMETRES!$H$43:$H$342,MATCH($L758&amp;"|"&amp;$M758&amp;"|"&amp;$N758&amp;"|"&amp;$O758&amp;"|"&amp;$P758&amp;"|"&amp;$Q758&amp;"|"&amp;$K758,PARAMETRES!$J$43:$J$342,0))="","",INDEX(PARAMETRES!$H$43:$H$342,MATCH($L758&amp;"|"&amp;$M758&amp;"|"&amp;$N758&amp;"|"&amp;$O758&amp;"|"&amp;$P758&amp;"|"&amp;$Q758&amp;"|"&amp;$K758,PARAMETRES!$J$43:$J$342,0))),""))</f>
        <v/>
      </c>
      <c r="S758" s="35">
        <f>IF(OR($G758="",$X758&lt;&gt;"VALIDE"),"",IFERROR(LOOKUP(2,1/(($B$3:$B757=$B758)*($G$3:$G757=$G758)*($X$3:$X757="VALIDE")),$C$3:$C757),""))</f>
        <v/>
      </c>
      <c r="T758" s="36">
        <f>IF(OR($C758="",$S758=""),"",ROUND(($C758-$S758+IF($C758&lt;$S758,1,0))*1440,0))</f>
        <v/>
      </c>
      <c r="U758" s="22">
        <f>IF(OR($H758="",$T758="",$T758&lt;=0),"",$H758*60/$T758)</f>
        <v/>
      </c>
      <c r="V758" s="37">
        <f>IF(OR($U758="",$R758="",$R758=0),"",$U758/$R758)</f>
        <v/>
      </c>
      <c r="W758" s="20">
        <f>IF($G758="","",IF($X758="CONTEXTE INCOMPLET","CONTEXTE INCOMPLET",IF($X758="DOUBLON",StatutDoublon,IF($S758="",StatutInitial,IF($R758="",StatutStandardManquant,IF($V758="","DONNEES INSUFFISANTES",IF($V758&gt;=SeuilConforme,StatutConforme,IF($V758&gt;=SeuilSurveiller,StatutSurveiller,StatutSousStandard))))))))</f>
        <v/>
      </c>
      <c r="X758" s="33">
        <f>IF($G758="","",IF(OR($D758="",$E758="",$F758=""),"CONTEXTE INCOMPLET",IF(COUNTIFS($D$3:$D757,$D758,$E$3:$E757,$E758,$F$3:$F757,$F758,$G$3:$G757,$G758)&gt;0,"DOUBLON","VALIDE")))</f>
        <v/>
      </c>
    </row>
    <row r="759" ht="15" customHeight="1">
      <c r="A759" s="12">
        <f>IF(OR($B759="",$G759=""),"",TEXT($B759,"YYYYMMDD")&amp;"-"&amp;SUBSTITUTE($E759," ","")&amp;"-"&amp;$F759&amp;"-"&amp;$G759)</f>
        <v/>
      </c>
      <c r="B759" s="15" t="n"/>
      <c r="C759" s="16" t="n"/>
      <c r="D759" s="10" t="n"/>
      <c r="E759" s="9" t="n"/>
      <c r="F759" s="9" t="n"/>
      <c r="G759" s="13" t="n"/>
      <c r="H759" s="21" t="n"/>
      <c r="I759" s="21" t="n"/>
      <c r="J759" s="17">
        <f>IF($G759="","",IFERROR(INDEX(NomsEmployes,MATCH($G759,MatriculesEmployes,0)),"MATRICULE INCONNU"))</f>
        <v/>
      </c>
      <c r="K759" s="33">
        <f>IF(OR($D759="",$F759=""),"",IFERROR(IF(INDEX(RUNS!$L$6:$S$1005,MATCH($D759,RUNS!$A$6:$A$1005,0),MATCH("ACTIVITÉ "&amp;$F759,RUNS!$L$5:$S$5,0))="","",INDEX(RUNS!$L$6:$S$1005,MATCH($D759,RUNS!$A$6:$A$1005,0),MATCH("ACTIVITÉ "&amp;$F759,RUNS!$L$5:$S$5,0))),""))</f>
        <v/>
      </c>
      <c r="L759" s="33">
        <f>IF($D759="","",IFERROR(IF(INDEX(RUNS!$E$6:$E$1005,MATCH($D759,RUNS!$A$6:$A$1005,0))="","",INDEX(RUNS!$E$6:$E$1005,MATCH($D759,RUNS!$A$6:$A$1005,0))),""))</f>
        <v/>
      </c>
      <c r="M759" s="33">
        <f>IF($D759="","",IFERROR(IF(INDEX(RUNS!$F$6:$F$1005,MATCH($D759,RUNS!$A$6:$A$1005,0))="","",INDEX(RUNS!$F$6:$F$1005,MATCH($D759,RUNS!$A$6:$A$1005,0))),""))</f>
        <v/>
      </c>
      <c r="N759" s="33">
        <f>IF($D759="","",IFERROR(IF(INDEX(RUNS!$G$6:$G$1005,MATCH($D759,RUNS!$A$6:$A$1005,0))="","",INDEX(RUNS!$G$6:$G$1005,MATCH($D759,RUNS!$A$6:$A$1005,0))),""))</f>
        <v/>
      </c>
      <c r="O759" s="33">
        <f>IF($D759="","",IFERROR(IF(INDEX(RUNS!$H$6:$H$1005,MATCH($D759,RUNS!$A$6:$A$1005,0))="","",INDEX(RUNS!$H$6:$H$1005,MATCH($D759,RUNS!$A$6:$A$1005,0))),""))</f>
        <v/>
      </c>
      <c r="P759" s="33">
        <f>IF($D759="","",IFERROR(IF(INDEX(RUNS!$J$6:$J$1005,MATCH($D759,RUNS!$A$6:$A$1005,0))="","",INDEX(RUNS!$J$6:$J$1005,MATCH($D759,RUNS!$A$6:$A$1005,0))),""))</f>
        <v/>
      </c>
      <c r="Q759" s="33">
        <f>IF($D759="","",IFERROR(IF(INDEX(RUNS!$K$6:$K$1005,MATCH($D759,RUNS!$A$6:$A$1005,0))="","",INDEX(RUNS!$K$6:$K$1005,MATCH($D759,RUNS!$A$6:$A$1005,0))),""))</f>
        <v/>
      </c>
      <c r="R759" s="34">
        <f>IF(OR($L759="",$K759=""),"",IFERROR(IF(INDEX(PARAMETRES!$H$43:$H$342,MATCH($L759&amp;"|"&amp;$M759&amp;"|"&amp;$N759&amp;"|"&amp;$O759&amp;"|"&amp;$P759&amp;"|"&amp;$Q759&amp;"|"&amp;$K759,PARAMETRES!$J$43:$J$342,0))="","",INDEX(PARAMETRES!$H$43:$H$342,MATCH($L759&amp;"|"&amp;$M759&amp;"|"&amp;$N759&amp;"|"&amp;$O759&amp;"|"&amp;$P759&amp;"|"&amp;$Q759&amp;"|"&amp;$K759,PARAMETRES!$J$43:$J$342,0))),""))</f>
        <v/>
      </c>
      <c r="S759" s="35">
        <f>IF(OR($G759="",$X759&lt;&gt;"VALIDE"),"",IFERROR(LOOKUP(2,1/(($B$3:$B758=$B759)*($G$3:$G758=$G759)*($X$3:$X758="VALIDE")),$C$3:$C758),""))</f>
        <v/>
      </c>
      <c r="T759" s="36">
        <f>IF(OR($C759="",$S759=""),"",ROUND(($C759-$S759+IF($C759&lt;$S759,1,0))*1440,0))</f>
        <v/>
      </c>
      <c r="U759" s="22">
        <f>IF(OR($H759="",$T759="",$T759&lt;=0),"",$H759*60/$T759)</f>
        <v/>
      </c>
      <c r="V759" s="37">
        <f>IF(OR($U759="",$R759="",$R759=0),"",$U759/$R759)</f>
        <v/>
      </c>
      <c r="W759" s="20">
        <f>IF($G759="","",IF($X759="CONTEXTE INCOMPLET","CONTEXTE INCOMPLET",IF($X759="DOUBLON",StatutDoublon,IF($S759="",StatutInitial,IF($R759="",StatutStandardManquant,IF($V759="","DONNEES INSUFFISANTES",IF($V759&gt;=SeuilConforme,StatutConforme,IF($V759&gt;=SeuilSurveiller,StatutSurveiller,StatutSousStandard))))))))</f>
        <v/>
      </c>
      <c r="X759" s="33">
        <f>IF($G759="","",IF(OR($D759="",$E759="",$F759=""),"CONTEXTE INCOMPLET",IF(COUNTIFS($D$3:$D758,$D759,$E$3:$E758,$E759,$F$3:$F758,$F759,$G$3:$G758,$G759)&gt;0,"DOUBLON","VALIDE")))</f>
        <v/>
      </c>
    </row>
    <row r="760" ht="15" customHeight="1">
      <c r="A760" s="12">
        <f>IF(OR($B760="",$G760=""),"",TEXT($B760,"YYYYMMDD")&amp;"-"&amp;SUBSTITUTE($E760," ","")&amp;"-"&amp;$F760&amp;"-"&amp;$G760)</f>
        <v/>
      </c>
      <c r="B760" s="15" t="n"/>
      <c r="C760" s="16" t="n"/>
      <c r="D760" s="10" t="n"/>
      <c r="E760" s="9" t="n"/>
      <c r="F760" s="9" t="n"/>
      <c r="G760" s="13" t="n"/>
      <c r="H760" s="21" t="n"/>
      <c r="I760" s="21" t="n"/>
      <c r="J760" s="17">
        <f>IF($G760="","",IFERROR(INDEX(NomsEmployes,MATCH($G760,MatriculesEmployes,0)),"MATRICULE INCONNU"))</f>
        <v/>
      </c>
      <c r="K760" s="33">
        <f>IF(OR($D760="",$F760=""),"",IFERROR(IF(INDEX(RUNS!$L$6:$S$1005,MATCH($D760,RUNS!$A$6:$A$1005,0),MATCH("ACTIVITÉ "&amp;$F760,RUNS!$L$5:$S$5,0))="","",INDEX(RUNS!$L$6:$S$1005,MATCH($D760,RUNS!$A$6:$A$1005,0),MATCH("ACTIVITÉ "&amp;$F760,RUNS!$L$5:$S$5,0))),""))</f>
        <v/>
      </c>
      <c r="L760" s="33">
        <f>IF($D760="","",IFERROR(IF(INDEX(RUNS!$E$6:$E$1005,MATCH($D760,RUNS!$A$6:$A$1005,0))="","",INDEX(RUNS!$E$6:$E$1005,MATCH($D760,RUNS!$A$6:$A$1005,0))),""))</f>
        <v/>
      </c>
      <c r="M760" s="33">
        <f>IF($D760="","",IFERROR(IF(INDEX(RUNS!$F$6:$F$1005,MATCH($D760,RUNS!$A$6:$A$1005,0))="","",INDEX(RUNS!$F$6:$F$1005,MATCH($D760,RUNS!$A$6:$A$1005,0))),""))</f>
        <v/>
      </c>
      <c r="N760" s="33">
        <f>IF($D760="","",IFERROR(IF(INDEX(RUNS!$G$6:$G$1005,MATCH($D760,RUNS!$A$6:$A$1005,0))="","",INDEX(RUNS!$G$6:$G$1005,MATCH($D760,RUNS!$A$6:$A$1005,0))),""))</f>
        <v/>
      </c>
      <c r="O760" s="33">
        <f>IF($D760="","",IFERROR(IF(INDEX(RUNS!$H$6:$H$1005,MATCH($D760,RUNS!$A$6:$A$1005,0))="","",INDEX(RUNS!$H$6:$H$1005,MATCH($D760,RUNS!$A$6:$A$1005,0))),""))</f>
        <v/>
      </c>
      <c r="P760" s="33">
        <f>IF($D760="","",IFERROR(IF(INDEX(RUNS!$J$6:$J$1005,MATCH($D760,RUNS!$A$6:$A$1005,0))="","",INDEX(RUNS!$J$6:$J$1005,MATCH($D760,RUNS!$A$6:$A$1005,0))),""))</f>
        <v/>
      </c>
      <c r="Q760" s="33">
        <f>IF($D760="","",IFERROR(IF(INDEX(RUNS!$K$6:$K$1005,MATCH($D760,RUNS!$A$6:$A$1005,0))="","",INDEX(RUNS!$K$6:$K$1005,MATCH($D760,RUNS!$A$6:$A$1005,0))),""))</f>
        <v/>
      </c>
      <c r="R760" s="34">
        <f>IF(OR($L760="",$K760=""),"",IFERROR(IF(INDEX(PARAMETRES!$H$43:$H$342,MATCH($L760&amp;"|"&amp;$M760&amp;"|"&amp;$N760&amp;"|"&amp;$O760&amp;"|"&amp;$P760&amp;"|"&amp;$Q760&amp;"|"&amp;$K760,PARAMETRES!$J$43:$J$342,0))="","",INDEX(PARAMETRES!$H$43:$H$342,MATCH($L760&amp;"|"&amp;$M760&amp;"|"&amp;$N760&amp;"|"&amp;$O760&amp;"|"&amp;$P760&amp;"|"&amp;$Q760&amp;"|"&amp;$K760,PARAMETRES!$J$43:$J$342,0))),""))</f>
        <v/>
      </c>
      <c r="S760" s="35">
        <f>IF(OR($G760="",$X760&lt;&gt;"VALIDE"),"",IFERROR(LOOKUP(2,1/(($B$3:$B759=$B760)*($G$3:$G759=$G760)*($X$3:$X759="VALIDE")),$C$3:$C759),""))</f>
        <v/>
      </c>
      <c r="T760" s="36">
        <f>IF(OR($C760="",$S760=""),"",ROUND(($C760-$S760+IF($C760&lt;$S760,1,0))*1440,0))</f>
        <v/>
      </c>
      <c r="U760" s="22">
        <f>IF(OR($H760="",$T760="",$T760&lt;=0),"",$H760*60/$T760)</f>
        <v/>
      </c>
      <c r="V760" s="37">
        <f>IF(OR($U760="",$R760="",$R760=0),"",$U760/$R760)</f>
        <v/>
      </c>
      <c r="W760" s="20">
        <f>IF($G760="","",IF($X760="CONTEXTE INCOMPLET","CONTEXTE INCOMPLET",IF($X760="DOUBLON",StatutDoublon,IF($S760="",StatutInitial,IF($R760="",StatutStandardManquant,IF($V760="","DONNEES INSUFFISANTES",IF($V760&gt;=SeuilConforme,StatutConforme,IF($V760&gt;=SeuilSurveiller,StatutSurveiller,StatutSousStandard))))))))</f>
        <v/>
      </c>
      <c r="X760" s="33">
        <f>IF($G760="","",IF(OR($D760="",$E760="",$F760=""),"CONTEXTE INCOMPLET",IF(COUNTIFS($D$3:$D759,$D760,$E$3:$E759,$E760,$F$3:$F759,$F760,$G$3:$G759,$G760)&gt;0,"DOUBLON","VALIDE")))</f>
        <v/>
      </c>
    </row>
    <row r="761" ht="15" customHeight="1">
      <c r="A761" s="12">
        <f>IF(OR($B761="",$G761=""),"",TEXT($B761,"YYYYMMDD")&amp;"-"&amp;SUBSTITUTE($E761," ","")&amp;"-"&amp;$F761&amp;"-"&amp;$G761)</f>
        <v/>
      </c>
      <c r="B761" s="15" t="n"/>
      <c r="C761" s="16" t="n"/>
      <c r="D761" s="10" t="n"/>
      <c r="E761" s="9" t="n"/>
      <c r="F761" s="9" t="n"/>
      <c r="G761" s="13" t="n"/>
      <c r="H761" s="21" t="n"/>
      <c r="I761" s="21" t="n"/>
      <c r="J761" s="17">
        <f>IF($G761="","",IFERROR(INDEX(NomsEmployes,MATCH($G761,MatriculesEmployes,0)),"MATRICULE INCONNU"))</f>
        <v/>
      </c>
      <c r="K761" s="33">
        <f>IF(OR($D761="",$F761=""),"",IFERROR(IF(INDEX(RUNS!$L$6:$S$1005,MATCH($D761,RUNS!$A$6:$A$1005,0),MATCH("ACTIVITÉ "&amp;$F761,RUNS!$L$5:$S$5,0))="","",INDEX(RUNS!$L$6:$S$1005,MATCH($D761,RUNS!$A$6:$A$1005,0),MATCH("ACTIVITÉ "&amp;$F761,RUNS!$L$5:$S$5,0))),""))</f>
        <v/>
      </c>
      <c r="L761" s="33">
        <f>IF($D761="","",IFERROR(IF(INDEX(RUNS!$E$6:$E$1005,MATCH($D761,RUNS!$A$6:$A$1005,0))="","",INDEX(RUNS!$E$6:$E$1005,MATCH($D761,RUNS!$A$6:$A$1005,0))),""))</f>
        <v/>
      </c>
      <c r="M761" s="33">
        <f>IF($D761="","",IFERROR(IF(INDEX(RUNS!$F$6:$F$1005,MATCH($D761,RUNS!$A$6:$A$1005,0))="","",INDEX(RUNS!$F$6:$F$1005,MATCH($D761,RUNS!$A$6:$A$1005,0))),""))</f>
        <v/>
      </c>
      <c r="N761" s="33">
        <f>IF($D761="","",IFERROR(IF(INDEX(RUNS!$G$6:$G$1005,MATCH($D761,RUNS!$A$6:$A$1005,0))="","",INDEX(RUNS!$G$6:$G$1005,MATCH($D761,RUNS!$A$6:$A$1005,0))),""))</f>
        <v/>
      </c>
      <c r="O761" s="33">
        <f>IF($D761="","",IFERROR(IF(INDEX(RUNS!$H$6:$H$1005,MATCH($D761,RUNS!$A$6:$A$1005,0))="","",INDEX(RUNS!$H$6:$H$1005,MATCH($D761,RUNS!$A$6:$A$1005,0))),""))</f>
        <v/>
      </c>
      <c r="P761" s="33">
        <f>IF($D761="","",IFERROR(IF(INDEX(RUNS!$J$6:$J$1005,MATCH($D761,RUNS!$A$6:$A$1005,0))="","",INDEX(RUNS!$J$6:$J$1005,MATCH($D761,RUNS!$A$6:$A$1005,0))),""))</f>
        <v/>
      </c>
      <c r="Q761" s="33">
        <f>IF($D761="","",IFERROR(IF(INDEX(RUNS!$K$6:$K$1005,MATCH($D761,RUNS!$A$6:$A$1005,0))="","",INDEX(RUNS!$K$6:$K$1005,MATCH($D761,RUNS!$A$6:$A$1005,0))),""))</f>
        <v/>
      </c>
      <c r="R761" s="34">
        <f>IF(OR($L761="",$K761=""),"",IFERROR(IF(INDEX(PARAMETRES!$H$43:$H$342,MATCH($L761&amp;"|"&amp;$M761&amp;"|"&amp;$N761&amp;"|"&amp;$O761&amp;"|"&amp;$P761&amp;"|"&amp;$Q761&amp;"|"&amp;$K761,PARAMETRES!$J$43:$J$342,0))="","",INDEX(PARAMETRES!$H$43:$H$342,MATCH($L761&amp;"|"&amp;$M761&amp;"|"&amp;$N761&amp;"|"&amp;$O761&amp;"|"&amp;$P761&amp;"|"&amp;$Q761&amp;"|"&amp;$K761,PARAMETRES!$J$43:$J$342,0))),""))</f>
        <v/>
      </c>
      <c r="S761" s="35">
        <f>IF(OR($G761="",$X761&lt;&gt;"VALIDE"),"",IFERROR(LOOKUP(2,1/(($B$3:$B760=$B761)*($G$3:$G760=$G761)*($X$3:$X760="VALIDE")),$C$3:$C760),""))</f>
        <v/>
      </c>
      <c r="T761" s="36">
        <f>IF(OR($C761="",$S761=""),"",ROUND(($C761-$S761+IF($C761&lt;$S761,1,0))*1440,0))</f>
        <v/>
      </c>
      <c r="U761" s="22">
        <f>IF(OR($H761="",$T761="",$T761&lt;=0),"",$H761*60/$T761)</f>
        <v/>
      </c>
      <c r="V761" s="37">
        <f>IF(OR($U761="",$R761="",$R761=0),"",$U761/$R761)</f>
        <v/>
      </c>
      <c r="W761" s="20">
        <f>IF($G761="","",IF($X761="CONTEXTE INCOMPLET","CONTEXTE INCOMPLET",IF($X761="DOUBLON",StatutDoublon,IF($S761="",StatutInitial,IF($R761="",StatutStandardManquant,IF($V761="","DONNEES INSUFFISANTES",IF($V761&gt;=SeuilConforme,StatutConforme,IF($V761&gt;=SeuilSurveiller,StatutSurveiller,StatutSousStandard))))))))</f>
        <v/>
      </c>
      <c r="X761" s="33">
        <f>IF($G761="","",IF(OR($D761="",$E761="",$F761=""),"CONTEXTE INCOMPLET",IF(COUNTIFS($D$3:$D760,$D761,$E$3:$E760,$E761,$F$3:$F760,$F761,$G$3:$G760,$G761)&gt;0,"DOUBLON","VALIDE")))</f>
        <v/>
      </c>
    </row>
    <row r="762" ht="15" customHeight="1">
      <c r="A762" s="12">
        <f>IF(OR($B762="",$G762=""),"",TEXT($B762,"YYYYMMDD")&amp;"-"&amp;SUBSTITUTE($E762," ","")&amp;"-"&amp;$F762&amp;"-"&amp;$G762)</f>
        <v/>
      </c>
      <c r="B762" s="15" t="n"/>
      <c r="C762" s="16" t="n"/>
      <c r="D762" s="10" t="n"/>
      <c r="E762" s="9" t="n"/>
      <c r="F762" s="9" t="n"/>
      <c r="G762" s="13" t="n"/>
      <c r="H762" s="21" t="n"/>
      <c r="I762" s="21" t="n"/>
      <c r="J762" s="17">
        <f>IF($G762="","",IFERROR(INDEX(NomsEmployes,MATCH($G762,MatriculesEmployes,0)),"MATRICULE INCONNU"))</f>
        <v/>
      </c>
      <c r="K762" s="33">
        <f>IF(OR($D762="",$F762=""),"",IFERROR(IF(INDEX(RUNS!$L$6:$S$1005,MATCH($D762,RUNS!$A$6:$A$1005,0),MATCH("ACTIVITÉ "&amp;$F762,RUNS!$L$5:$S$5,0))="","",INDEX(RUNS!$L$6:$S$1005,MATCH($D762,RUNS!$A$6:$A$1005,0),MATCH("ACTIVITÉ "&amp;$F762,RUNS!$L$5:$S$5,0))),""))</f>
        <v/>
      </c>
      <c r="L762" s="33">
        <f>IF($D762="","",IFERROR(IF(INDEX(RUNS!$E$6:$E$1005,MATCH($D762,RUNS!$A$6:$A$1005,0))="","",INDEX(RUNS!$E$6:$E$1005,MATCH($D762,RUNS!$A$6:$A$1005,0))),""))</f>
        <v/>
      </c>
      <c r="M762" s="33">
        <f>IF($D762="","",IFERROR(IF(INDEX(RUNS!$F$6:$F$1005,MATCH($D762,RUNS!$A$6:$A$1005,0))="","",INDEX(RUNS!$F$6:$F$1005,MATCH($D762,RUNS!$A$6:$A$1005,0))),""))</f>
        <v/>
      </c>
      <c r="N762" s="33">
        <f>IF($D762="","",IFERROR(IF(INDEX(RUNS!$G$6:$G$1005,MATCH($D762,RUNS!$A$6:$A$1005,0))="","",INDEX(RUNS!$G$6:$G$1005,MATCH($D762,RUNS!$A$6:$A$1005,0))),""))</f>
        <v/>
      </c>
      <c r="O762" s="33">
        <f>IF($D762="","",IFERROR(IF(INDEX(RUNS!$H$6:$H$1005,MATCH($D762,RUNS!$A$6:$A$1005,0))="","",INDEX(RUNS!$H$6:$H$1005,MATCH($D762,RUNS!$A$6:$A$1005,0))),""))</f>
        <v/>
      </c>
      <c r="P762" s="33">
        <f>IF($D762="","",IFERROR(IF(INDEX(RUNS!$J$6:$J$1005,MATCH($D762,RUNS!$A$6:$A$1005,0))="","",INDEX(RUNS!$J$6:$J$1005,MATCH($D762,RUNS!$A$6:$A$1005,0))),""))</f>
        <v/>
      </c>
      <c r="Q762" s="33">
        <f>IF($D762="","",IFERROR(IF(INDEX(RUNS!$K$6:$K$1005,MATCH($D762,RUNS!$A$6:$A$1005,0))="","",INDEX(RUNS!$K$6:$K$1005,MATCH($D762,RUNS!$A$6:$A$1005,0))),""))</f>
        <v/>
      </c>
      <c r="R762" s="34">
        <f>IF(OR($L762="",$K762=""),"",IFERROR(IF(INDEX(PARAMETRES!$H$43:$H$342,MATCH($L762&amp;"|"&amp;$M762&amp;"|"&amp;$N762&amp;"|"&amp;$O762&amp;"|"&amp;$P762&amp;"|"&amp;$Q762&amp;"|"&amp;$K762,PARAMETRES!$J$43:$J$342,0))="","",INDEX(PARAMETRES!$H$43:$H$342,MATCH($L762&amp;"|"&amp;$M762&amp;"|"&amp;$N762&amp;"|"&amp;$O762&amp;"|"&amp;$P762&amp;"|"&amp;$Q762&amp;"|"&amp;$K762,PARAMETRES!$J$43:$J$342,0))),""))</f>
        <v/>
      </c>
      <c r="S762" s="35">
        <f>IF(OR($G762="",$X762&lt;&gt;"VALIDE"),"",IFERROR(LOOKUP(2,1/(($B$3:$B761=$B762)*($G$3:$G761=$G762)*($X$3:$X761="VALIDE")),$C$3:$C761),""))</f>
        <v/>
      </c>
      <c r="T762" s="36">
        <f>IF(OR($C762="",$S762=""),"",ROUND(($C762-$S762+IF($C762&lt;$S762,1,0))*1440,0))</f>
        <v/>
      </c>
      <c r="U762" s="22">
        <f>IF(OR($H762="",$T762="",$T762&lt;=0),"",$H762*60/$T762)</f>
        <v/>
      </c>
      <c r="V762" s="37">
        <f>IF(OR($U762="",$R762="",$R762=0),"",$U762/$R762)</f>
        <v/>
      </c>
      <c r="W762" s="20">
        <f>IF($G762="","",IF($X762="CONTEXTE INCOMPLET","CONTEXTE INCOMPLET",IF($X762="DOUBLON",StatutDoublon,IF($S762="",StatutInitial,IF($R762="",StatutStandardManquant,IF($V762="","DONNEES INSUFFISANTES",IF($V762&gt;=SeuilConforme,StatutConforme,IF($V762&gt;=SeuilSurveiller,StatutSurveiller,StatutSousStandard))))))))</f>
        <v/>
      </c>
      <c r="X762" s="33">
        <f>IF($G762="","",IF(OR($D762="",$E762="",$F762=""),"CONTEXTE INCOMPLET",IF(COUNTIFS($D$3:$D761,$D762,$E$3:$E761,$E762,$F$3:$F761,$F762,$G$3:$G761,$G762)&gt;0,"DOUBLON","VALIDE")))</f>
        <v/>
      </c>
    </row>
    <row r="763" ht="15" customHeight="1">
      <c r="A763" s="12">
        <f>IF(OR($B763="",$G763=""),"",TEXT($B763,"YYYYMMDD")&amp;"-"&amp;SUBSTITUTE($E763," ","")&amp;"-"&amp;$F763&amp;"-"&amp;$G763)</f>
        <v/>
      </c>
      <c r="B763" s="15" t="n"/>
      <c r="C763" s="16" t="n"/>
      <c r="D763" s="10" t="n"/>
      <c r="E763" s="9" t="n"/>
      <c r="F763" s="9" t="n"/>
      <c r="G763" s="13" t="n"/>
      <c r="H763" s="21" t="n"/>
      <c r="I763" s="21" t="n"/>
      <c r="J763" s="17">
        <f>IF($G763="","",IFERROR(INDEX(NomsEmployes,MATCH($G763,MatriculesEmployes,0)),"MATRICULE INCONNU"))</f>
        <v/>
      </c>
      <c r="K763" s="33">
        <f>IF(OR($D763="",$F763=""),"",IFERROR(IF(INDEX(RUNS!$L$6:$S$1005,MATCH($D763,RUNS!$A$6:$A$1005,0),MATCH("ACTIVITÉ "&amp;$F763,RUNS!$L$5:$S$5,0))="","",INDEX(RUNS!$L$6:$S$1005,MATCH($D763,RUNS!$A$6:$A$1005,0),MATCH("ACTIVITÉ "&amp;$F763,RUNS!$L$5:$S$5,0))),""))</f>
        <v/>
      </c>
      <c r="L763" s="33">
        <f>IF($D763="","",IFERROR(IF(INDEX(RUNS!$E$6:$E$1005,MATCH($D763,RUNS!$A$6:$A$1005,0))="","",INDEX(RUNS!$E$6:$E$1005,MATCH($D763,RUNS!$A$6:$A$1005,0))),""))</f>
        <v/>
      </c>
      <c r="M763" s="33">
        <f>IF($D763="","",IFERROR(IF(INDEX(RUNS!$F$6:$F$1005,MATCH($D763,RUNS!$A$6:$A$1005,0))="","",INDEX(RUNS!$F$6:$F$1005,MATCH($D763,RUNS!$A$6:$A$1005,0))),""))</f>
        <v/>
      </c>
      <c r="N763" s="33">
        <f>IF($D763="","",IFERROR(IF(INDEX(RUNS!$G$6:$G$1005,MATCH($D763,RUNS!$A$6:$A$1005,0))="","",INDEX(RUNS!$G$6:$G$1005,MATCH($D763,RUNS!$A$6:$A$1005,0))),""))</f>
        <v/>
      </c>
      <c r="O763" s="33">
        <f>IF($D763="","",IFERROR(IF(INDEX(RUNS!$H$6:$H$1005,MATCH($D763,RUNS!$A$6:$A$1005,0))="","",INDEX(RUNS!$H$6:$H$1005,MATCH($D763,RUNS!$A$6:$A$1005,0))),""))</f>
        <v/>
      </c>
      <c r="P763" s="33">
        <f>IF($D763="","",IFERROR(IF(INDEX(RUNS!$J$6:$J$1005,MATCH($D763,RUNS!$A$6:$A$1005,0))="","",INDEX(RUNS!$J$6:$J$1005,MATCH($D763,RUNS!$A$6:$A$1005,0))),""))</f>
        <v/>
      </c>
      <c r="Q763" s="33">
        <f>IF($D763="","",IFERROR(IF(INDEX(RUNS!$K$6:$K$1005,MATCH($D763,RUNS!$A$6:$A$1005,0))="","",INDEX(RUNS!$K$6:$K$1005,MATCH($D763,RUNS!$A$6:$A$1005,0))),""))</f>
        <v/>
      </c>
      <c r="R763" s="34">
        <f>IF(OR($L763="",$K763=""),"",IFERROR(IF(INDEX(PARAMETRES!$H$43:$H$342,MATCH($L763&amp;"|"&amp;$M763&amp;"|"&amp;$N763&amp;"|"&amp;$O763&amp;"|"&amp;$P763&amp;"|"&amp;$Q763&amp;"|"&amp;$K763,PARAMETRES!$J$43:$J$342,0))="","",INDEX(PARAMETRES!$H$43:$H$342,MATCH($L763&amp;"|"&amp;$M763&amp;"|"&amp;$N763&amp;"|"&amp;$O763&amp;"|"&amp;$P763&amp;"|"&amp;$Q763&amp;"|"&amp;$K763,PARAMETRES!$J$43:$J$342,0))),""))</f>
        <v/>
      </c>
      <c r="S763" s="35">
        <f>IF(OR($G763="",$X763&lt;&gt;"VALIDE"),"",IFERROR(LOOKUP(2,1/(($B$3:$B762=$B763)*($G$3:$G762=$G763)*($X$3:$X762="VALIDE")),$C$3:$C762),""))</f>
        <v/>
      </c>
      <c r="T763" s="36">
        <f>IF(OR($C763="",$S763=""),"",ROUND(($C763-$S763+IF($C763&lt;$S763,1,0))*1440,0))</f>
        <v/>
      </c>
      <c r="U763" s="22">
        <f>IF(OR($H763="",$T763="",$T763&lt;=0),"",$H763*60/$T763)</f>
        <v/>
      </c>
      <c r="V763" s="37">
        <f>IF(OR($U763="",$R763="",$R763=0),"",$U763/$R763)</f>
        <v/>
      </c>
      <c r="W763" s="20">
        <f>IF($G763="","",IF($X763="CONTEXTE INCOMPLET","CONTEXTE INCOMPLET",IF($X763="DOUBLON",StatutDoublon,IF($S763="",StatutInitial,IF($R763="",StatutStandardManquant,IF($V763="","DONNEES INSUFFISANTES",IF($V763&gt;=SeuilConforme,StatutConforme,IF($V763&gt;=SeuilSurveiller,StatutSurveiller,StatutSousStandard))))))))</f>
        <v/>
      </c>
      <c r="X763" s="33">
        <f>IF($G763="","",IF(OR($D763="",$E763="",$F763=""),"CONTEXTE INCOMPLET",IF(COUNTIFS($D$3:$D762,$D763,$E$3:$E762,$E763,$F$3:$F762,$F763,$G$3:$G762,$G763)&gt;0,"DOUBLON","VALIDE")))</f>
        <v/>
      </c>
    </row>
    <row r="764" ht="15" customHeight="1">
      <c r="A764" s="12">
        <f>IF(OR($B764="",$G764=""),"",TEXT($B764,"YYYYMMDD")&amp;"-"&amp;SUBSTITUTE($E764," ","")&amp;"-"&amp;$F764&amp;"-"&amp;$G764)</f>
        <v/>
      </c>
      <c r="B764" s="15" t="n"/>
      <c r="C764" s="16" t="n"/>
      <c r="D764" s="10" t="n"/>
      <c r="E764" s="9" t="n"/>
      <c r="F764" s="9" t="n"/>
      <c r="G764" s="13" t="n"/>
      <c r="H764" s="21" t="n"/>
      <c r="I764" s="21" t="n"/>
      <c r="J764" s="17">
        <f>IF($G764="","",IFERROR(INDEX(NomsEmployes,MATCH($G764,MatriculesEmployes,0)),"MATRICULE INCONNU"))</f>
        <v/>
      </c>
      <c r="K764" s="33">
        <f>IF(OR($D764="",$F764=""),"",IFERROR(IF(INDEX(RUNS!$L$6:$S$1005,MATCH($D764,RUNS!$A$6:$A$1005,0),MATCH("ACTIVITÉ "&amp;$F764,RUNS!$L$5:$S$5,0))="","",INDEX(RUNS!$L$6:$S$1005,MATCH($D764,RUNS!$A$6:$A$1005,0),MATCH("ACTIVITÉ "&amp;$F764,RUNS!$L$5:$S$5,0))),""))</f>
        <v/>
      </c>
      <c r="L764" s="33">
        <f>IF($D764="","",IFERROR(IF(INDEX(RUNS!$E$6:$E$1005,MATCH($D764,RUNS!$A$6:$A$1005,0))="","",INDEX(RUNS!$E$6:$E$1005,MATCH($D764,RUNS!$A$6:$A$1005,0))),""))</f>
        <v/>
      </c>
      <c r="M764" s="33">
        <f>IF($D764="","",IFERROR(IF(INDEX(RUNS!$F$6:$F$1005,MATCH($D764,RUNS!$A$6:$A$1005,0))="","",INDEX(RUNS!$F$6:$F$1005,MATCH($D764,RUNS!$A$6:$A$1005,0))),""))</f>
        <v/>
      </c>
      <c r="N764" s="33">
        <f>IF($D764="","",IFERROR(IF(INDEX(RUNS!$G$6:$G$1005,MATCH($D764,RUNS!$A$6:$A$1005,0))="","",INDEX(RUNS!$G$6:$G$1005,MATCH($D764,RUNS!$A$6:$A$1005,0))),""))</f>
        <v/>
      </c>
      <c r="O764" s="33">
        <f>IF($D764="","",IFERROR(IF(INDEX(RUNS!$H$6:$H$1005,MATCH($D764,RUNS!$A$6:$A$1005,0))="","",INDEX(RUNS!$H$6:$H$1005,MATCH($D764,RUNS!$A$6:$A$1005,0))),""))</f>
        <v/>
      </c>
      <c r="P764" s="33">
        <f>IF($D764="","",IFERROR(IF(INDEX(RUNS!$J$6:$J$1005,MATCH($D764,RUNS!$A$6:$A$1005,0))="","",INDEX(RUNS!$J$6:$J$1005,MATCH($D764,RUNS!$A$6:$A$1005,0))),""))</f>
        <v/>
      </c>
      <c r="Q764" s="33">
        <f>IF($D764="","",IFERROR(IF(INDEX(RUNS!$K$6:$K$1005,MATCH($D764,RUNS!$A$6:$A$1005,0))="","",INDEX(RUNS!$K$6:$K$1005,MATCH($D764,RUNS!$A$6:$A$1005,0))),""))</f>
        <v/>
      </c>
      <c r="R764" s="34">
        <f>IF(OR($L764="",$K764=""),"",IFERROR(IF(INDEX(PARAMETRES!$H$43:$H$342,MATCH($L764&amp;"|"&amp;$M764&amp;"|"&amp;$N764&amp;"|"&amp;$O764&amp;"|"&amp;$P764&amp;"|"&amp;$Q764&amp;"|"&amp;$K764,PARAMETRES!$J$43:$J$342,0))="","",INDEX(PARAMETRES!$H$43:$H$342,MATCH($L764&amp;"|"&amp;$M764&amp;"|"&amp;$N764&amp;"|"&amp;$O764&amp;"|"&amp;$P764&amp;"|"&amp;$Q764&amp;"|"&amp;$K764,PARAMETRES!$J$43:$J$342,0))),""))</f>
        <v/>
      </c>
      <c r="S764" s="35">
        <f>IF(OR($G764="",$X764&lt;&gt;"VALIDE"),"",IFERROR(LOOKUP(2,1/(($B$3:$B763=$B764)*($G$3:$G763=$G764)*($X$3:$X763="VALIDE")),$C$3:$C763),""))</f>
        <v/>
      </c>
      <c r="T764" s="36">
        <f>IF(OR($C764="",$S764=""),"",ROUND(($C764-$S764+IF($C764&lt;$S764,1,0))*1440,0))</f>
        <v/>
      </c>
      <c r="U764" s="22">
        <f>IF(OR($H764="",$T764="",$T764&lt;=0),"",$H764*60/$T764)</f>
        <v/>
      </c>
      <c r="V764" s="37">
        <f>IF(OR($U764="",$R764="",$R764=0),"",$U764/$R764)</f>
        <v/>
      </c>
      <c r="W764" s="20">
        <f>IF($G764="","",IF($X764="CONTEXTE INCOMPLET","CONTEXTE INCOMPLET",IF($X764="DOUBLON",StatutDoublon,IF($S764="",StatutInitial,IF($R764="",StatutStandardManquant,IF($V764="","DONNEES INSUFFISANTES",IF($V764&gt;=SeuilConforme,StatutConforme,IF($V764&gt;=SeuilSurveiller,StatutSurveiller,StatutSousStandard))))))))</f>
        <v/>
      </c>
      <c r="X764" s="33">
        <f>IF($G764="","",IF(OR($D764="",$E764="",$F764=""),"CONTEXTE INCOMPLET",IF(COUNTIFS($D$3:$D763,$D764,$E$3:$E763,$E764,$F$3:$F763,$F764,$G$3:$G763,$G764)&gt;0,"DOUBLON","VALIDE")))</f>
        <v/>
      </c>
    </row>
    <row r="765" ht="15" customHeight="1">
      <c r="A765" s="12">
        <f>IF(OR($B765="",$G765=""),"",TEXT($B765,"YYYYMMDD")&amp;"-"&amp;SUBSTITUTE($E765," ","")&amp;"-"&amp;$F765&amp;"-"&amp;$G765)</f>
        <v/>
      </c>
      <c r="B765" s="15" t="n"/>
      <c r="C765" s="16" t="n"/>
      <c r="D765" s="10" t="n"/>
      <c r="E765" s="9" t="n"/>
      <c r="F765" s="9" t="n"/>
      <c r="G765" s="13" t="n"/>
      <c r="H765" s="21" t="n"/>
      <c r="I765" s="21" t="n"/>
      <c r="J765" s="17">
        <f>IF($G765="","",IFERROR(INDEX(NomsEmployes,MATCH($G765,MatriculesEmployes,0)),"MATRICULE INCONNU"))</f>
        <v/>
      </c>
      <c r="K765" s="33">
        <f>IF(OR($D765="",$F765=""),"",IFERROR(IF(INDEX(RUNS!$L$6:$S$1005,MATCH($D765,RUNS!$A$6:$A$1005,0),MATCH("ACTIVITÉ "&amp;$F765,RUNS!$L$5:$S$5,0))="","",INDEX(RUNS!$L$6:$S$1005,MATCH($D765,RUNS!$A$6:$A$1005,0),MATCH("ACTIVITÉ "&amp;$F765,RUNS!$L$5:$S$5,0))),""))</f>
        <v/>
      </c>
      <c r="L765" s="33">
        <f>IF($D765="","",IFERROR(IF(INDEX(RUNS!$E$6:$E$1005,MATCH($D765,RUNS!$A$6:$A$1005,0))="","",INDEX(RUNS!$E$6:$E$1005,MATCH($D765,RUNS!$A$6:$A$1005,0))),""))</f>
        <v/>
      </c>
      <c r="M765" s="33">
        <f>IF($D765="","",IFERROR(IF(INDEX(RUNS!$F$6:$F$1005,MATCH($D765,RUNS!$A$6:$A$1005,0))="","",INDEX(RUNS!$F$6:$F$1005,MATCH($D765,RUNS!$A$6:$A$1005,0))),""))</f>
        <v/>
      </c>
      <c r="N765" s="33">
        <f>IF($D765="","",IFERROR(IF(INDEX(RUNS!$G$6:$G$1005,MATCH($D765,RUNS!$A$6:$A$1005,0))="","",INDEX(RUNS!$G$6:$G$1005,MATCH($D765,RUNS!$A$6:$A$1005,0))),""))</f>
        <v/>
      </c>
      <c r="O765" s="33">
        <f>IF($D765="","",IFERROR(IF(INDEX(RUNS!$H$6:$H$1005,MATCH($D765,RUNS!$A$6:$A$1005,0))="","",INDEX(RUNS!$H$6:$H$1005,MATCH($D765,RUNS!$A$6:$A$1005,0))),""))</f>
        <v/>
      </c>
      <c r="P765" s="33">
        <f>IF($D765="","",IFERROR(IF(INDEX(RUNS!$J$6:$J$1005,MATCH($D765,RUNS!$A$6:$A$1005,0))="","",INDEX(RUNS!$J$6:$J$1005,MATCH($D765,RUNS!$A$6:$A$1005,0))),""))</f>
        <v/>
      </c>
      <c r="Q765" s="33">
        <f>IF($D765="","",IFERROR(IF(INDEX(RUNS!$K$6:$K$1005,MATCH($D765,RUNS!$A$6:$A$1005,0))="","",INDEX(RUNS!$K$6:$K$1005,MATCH($D765,RUNS!$A$6:$A$1005,0))),""))</f>
        <v/>
      </c>
      <c r="R765" s="34">
        <f>IF(OR($L765="",$K765=""),"",IFERROR(IF(INDEX(PARAMETRES!$H$43:$H$342,MATCH($L765&amp;"|"&amp;$M765&amp;"|"&amp;$N765&amp;"|"&amp;$O765&amp;"|"&amp;$P765&amp;"|"&amp;$Q765&amp;"|"&amp;$K765,PARAMETRES!$J$43:$J$342,0))="","",INDEX(PARAMETRES!$H$43:$H$342,MATCH($L765&amp;"|"&amp;$M765&amp;"|"&amp;$N765&amp;"|"&amp;$O765&amp;"|"&amp;$P765&amp;"|"&amp;$Q765&amp;"|"&amp;$K765,PARAMETRES!$J$43:$J$342,0))),""))</f>
        <v/>
      </c>
      <c r="S765" s="35">
        <f>IF(OR($G765="",$X765&lt;&gt;"VALIDE"),"",IFERROR(LOOKUP(2,1/(($B$3:$B764=$B765)*($G$3:$G764=$G765)*($X$3:$X764="VALIDE")),$C$3:$C764),""))</f>
        <v/>
      </c>
      <c r="T765" s="36">
        <f>IF(OR($C765="",$S765=""),"",ROUND(($C765-$S765+IF($C765&lt;$S765,1,0))*1440,0))</f>
        <v/>
      </c>
      <c r="U765" s="22">
        <f>IF(OR($H765="",$T765="",$T765&lt;=0),"",$H765*60/$T765)</f>
        <v/>
      </c>
      <c r="V765" s="37">
        <f>IF(OR($U765="",$R765="",$R765=0),"",$U765/$R765)</f>
        <v/>
      </c>
      <c r="W765" s="20">
        <f>IF($G765="","",IF($X765="CONTEXTE INCOMPLET","CONTEXTE INCOMPLET",IF($X765="DOUBLON",StatutDoublon,IF($S765="",StatutInitial,IF($R765="",StatutStandardManquant,IF($V765="","DONNEES INSUFFISANTES",IF($V765&gt;=SeuilConforme,StatutConforme,IF($V765&gt;=SeuilSurveiller,StatutSurveiller,StatutSousStandard))))))))</f>
        <v/>
      </c>
      <c r="X765" s="33">
        <f>IF($G765="","",IF(OR($D765="",$E765="",$F765=""),"CONTEXTE INCOMPLET",IF(COUNTIFS($D$3:$D764,$D765,$E$3:$E764,$E765,$F$3:$F764,$F765,$G$3:$G764,$G765)&gt;0,"DOUBLON","VALIDE")))</f>
        <v/>
      </c>
    </row>
    <row r="766" ht="15" customHeight="1">
      <c r="A766" s="12">
        <f>IF(OR($B766="",$G766=""),"",TEXT($B766,"YYYYMMDD")&amp;"-"&amp;SUBSTITUTE($E766," ","")&amp;"-"&amp;$F766&amp;"-"&amp;$G766)</f>
        <v/>
      </c>
      <c r="B766" s="15" t="n"/>
      <c r="C766" s="16" t="n"/>
      <c r="D766" s="10" t="n"/>
      <c r="E766" s="9" t="n"/>
      <c r="F766" s="9" t="n"/>
      <c r="G766" s="13" t="n"/>
      <c r="H766" s="21" t="n"/>
      <c r="I766" s="21" t="n"/>
      <c r="J766" s="17">
        <f>IF($G766="","",IFERROR(INDEX(NomsEmployes,MATCH($G766,MatriculesEmployes,0)),"MATRICULE INCONNU"))</f>
        <v/>
      </c>
      <c r="K766" s="33">
        <f>IF(OR($D766="",$F766=""),"",IFERROR(IF(INDEX(RUNS!$L$6:$S$1005,MATCH($D766,RUNS!$A$6:$A$1005,0),MATCH("ACTIVITÉ "&amp;$F766,RUNS!$L$5:$S$5,0))="","",INDEX(RUNS!$L$6:$S$1005,MATCH($D766,RUNS!$A$6:$A$1005,0),MATCH("ACTIVITÉ "&amp;$F766,RUNS!$L$5:$S$5,0))),""))</f>
        <v/>
      </c>
      <c r="L766" s="33">
        <f>IF($D766="","",IFERROR(IF(INDEX(RUNS!$E$6:$E$1005,MATCH($D766,RUNS!$A$6:$A$1005,0))="","",INDEX(RUNS!$E$6:$E$1005,MATCH($D766,RUNS!$A$6:$A$1005,0))),""))</f>
        <v/>
      </c>
      <c r="M766" s="33">
        <f>IF($D766="","",IFERROR(IF(INDEX(RUNS!$F$6:$F$1005,MATCH($D766,RUNS!$A$6:$A$1005,0))="","",INDEX(RUNS!$F$6:$F$1005,MATCH($D766,RUNS!$A$6:$A$1005,0))),""))</f>
        <v/>
      </c>
      <c r="N766" s="33">
        <f>IF($D766="","",IFERROR(IF(INDEX(RUNS!$G$6:$G$1005,MATCH($D766,RUNS!$A$6:$A$1005,0))="","",INDEX(RUNS!$G$6:$G$1005,MATCH($D766,RUNS!$A$6:$A$1005,0))),""))</f>
        <v/>
      </c>
      <c r="O766" s="33">
        <f>IF($D766="","",IFERROR(IF(INDEX(RUNS!$H$6:$H$1005,MATCH($D766,RUNS!$A$6:$A$1005,0))="","",INDEX(RUNS!$H$6:$H$1005,MATCH($D766,RUNS!$A$6:$A$1005,0))),""))</f>
        <v/>
      </c>
      <c r="P766" s="33">
        <f>IF($D766="","",IFERROR(IF(INDEX(RUNS!$J$6:$J$1005,MATCH($D766,RUNS!$A$6:$A$1005,0))="","",INDEX(RUNS!$J$6:$J$1005,MATCH($D766,RUNS!$A$6:$A$1005,0))),""))</f>
        <v/>
      </c>
      <c r="Q766" s="33">
        <f>IF($D766="","",IFERROR(IF(INDEX(RUNS!$K$6:$K$1005,MATCH($D766,RUNS!$A$6:$A$1005,0))="","",INDEX(RUNS!$K$6:$K$1005,MATCH($D766,RUNS!$A$6:$A$1005,0))),""))</f>
        <v/>
      </c>
      <c r="R766" s="34">
        <f>IF(OR($L766="",$K766=""),"",IFERROR(IF(INDEX(PARAMETRES!$H$43:$H$342,MATCH($L766&amp;"|"&amp;$M766&amp;"|"&amp;$N766&amp;"|"&amp;$O766&amp;"|"&amp;$P766&amp;"|"&amp;$Q766&amp;"|"&amp;$K766,PARAMETRES!$J$43:$J$342,0))="","",INDEX(PARAMETRES!$H$43:$H$342,MATCH($L766&amp;"|"&amp;$M766&amp;"|"&amp;$N766&amp;"|"&amp;$O766&amp;"|"&amp;$P766&amp;"|"&amp;$Q766&amp;"|"&amp;$K766,PARAMETRES!$J$43:$J$342,0))),""))</f>
        <v/>
      </c>
      <c r="S766" s="35">
        <f>IF(OR($G766="",$X766&lt;&gt;"VALIDE"),"",IFERROR(LOOKUP(2,1/(($B$3:$B765=$B766)*($G$3:$G765=$G766)*($X$3:$X765="VALIDE")),$C$3:$C765),""))</f>
        <v/>
      </c>
      <c r="T766" s="36">
        <f>IF(OR($C766="",$S766=""),"",ROUND(($C766-$S766+IF($C766&lt;$S766,1,0))*1440,0))</f>
        <v/>
      </c>
      <c r="U766" s="22">
        <f>IF(OR($H766="",$T766="",$T766&lt;=0),"",$H766*60/$T766)</f>
        <v/>
      </c>
      <c r="V766" s="37">
        <f>IF(OR($U766="",$R766="",$R766=0),"",$U766/$R766)</f>
        <v/>
      </c>
      <c r="W766" s="20">
        <f>IF($G766="","",IF($X766="CONTEXTE INCOMPLET","CONTEXTE INCOMPLET",IF($X766="DOUBLON",StatutDoublon,IF($S766="",StatutInitial,IF($R766="",StatutStandardManquant,IF($V766="","DONNEES INSUFFISANTES",IF($V766&gt;=SeuilConforme,StatutConforme,IF($V766&gt;=SeuilSurveiller,StatutSurveiller,StatutSousStandard))))))))</f>
        <v/>
      </c>
      <c r="X766" s="33">
        <f>IF($G766="","",IF(OR($D766="",$E766="",$F766=""),"CONTEXTE INCOMPLET",IF(COUNTIFS($D$3:$D765,$D766,$E$3:$E765,$E766,$F$3:$F765,$F766,$G$3:$G765,$G766)&gt;0,"DOUBLON","VALIDE")))</f>
        <v/>
      </c>
    </row>
    <row r="767" ht="15" customHeight="1">
      <c r="A767" s="12">
        <f>IF(OR($B767="",$G767=""),"",TEXT($B767,"YYYYMMDD")&amp;"-"&amp;SUBSTITUTE($E767," ","")&amp;"-"&amp;$F767&amp;"-"&amp;$G767)</f>
        <v/>
      </c>
      <c r="B767" s="15" t="n"/>
      <c r="C767" s="16" t="n"/>
      <c r="D767" s="10" t="n"/>
      <c r="E767" s="9" t="n"/>
      <c r="F767" s="9" t="n"/>
      <c r="G767" s="13" t="n"/>
      <c r="H767" s="21" t="n"/>
      <c r="I767" s="21" t="n"/>
      <c r="J767" s="17">
        <f>IF($G767="","",IFERROR(INDEX(NomsEmployes,MATCH($G767,MatriculesEmployes,0)),"MATRICULE INCONNU"))</f>
        <v/>
      </c>
      <c r="K767" s="33">
        <f>IF(OR($D767="",$F767=""),"",IFERROR(IF(INDEX(RUNS!$L$6:$S$1005,MATCH($D767,RUNS!$A$6:$A$1005,0),MATCH("ACTIVITÉ "&amp;$F767,RUNS!$L$5:$S$5,0))="","",INDEX(RUNS!$L$6:$S$1005,MATCH($D767,RUNS!$A$6:$A$1005,0),MATCH("ACTIVITÉ "&amp;$F767,RUNS!$L$5:$S$5,0))),""))</f>
        <v/>
      </c>
      <c r="L767" s="33">
        <f>IF($D767="","",IFERROR(IF(INDEX(RUNS!$E$6:$E$1005,MATCH($D767,RUNS!$A$6:$A$1005,0))="","",INDEX(RUNS!$E$6:$E$1005,MATCH($D767,RUNS!$A$6:$A$1005,0))),""))</f>
        <v/>
      </c>
      <c r="M767" s="33">
        <f>IF($D767="","",IFERROR(IF(INDEX(RUNS!$F$6:$F$1005,MATCH($D767,RUNS!$A$6:$A$1005,0))="","",INDEX(RUNS!$F$6:$F$1005,MATCH($D767,RUNS!$A$6:$A$1005,0))),""))</f>
        <v/>
      </c>
      <c r="N767" s="33">
        <f>IF($D767="","",IFERROR(IF(INDEX(RUNS!$G$6:$G$1005,MATCH($D767,RUNS!$A$6:$A$1005,0))="","",INDEX(RUNS!$G$6:$G$1005,MATCH($D767,RUNS!$A$6:$A$1005,0))),""))</f>
        <v/>
      </c>
      <c r="O767" s="33">
        <f>IF($D767="","",IFERROR(IF(INDEX(RUNS!$H$6:$H$1005,MATCH($D767,RUNS!$A$6:$A$1005,0))="","",INDEX(RUNS!$H$6:$H$1005,MATCH($D767,RUNS!$A$6:$A$1005,0))),""))</f>
        <v/>
      </c>
      <c r="P767" s="33">
        <f>IF($D767="","",IFERROR(IF(INDEX(RUNS!$J$6:$J$1005,MATCH($D767,RUNS!$A$6:$A$1005,0))="","",INDEX(RUNS!$J$6:$J$1005,MATCH($D767,RUNS!$A$6:$A$1005,0))),""))</f>
        <v/>
      </c>
      <c r="Q767" s="33">
        <f>IF($D767="","",IFERROR(IF(INDEX(RUNS!$K$6:$K$1005,MATCH($D767,RUNS!$A$6:$A$1005,0))="","",INDEX(RUNS!$K$6:$K$1005,MATCH($D767,RUNS!$A$6:$A$1005,0))),""))</f>
        <v/>
      </c>
      <c r="R767" s="34">
        <f>IF(OR($L767="",$K767=""),"",IFERROR(IF(INDEX(PARAMETRES!$H$43:$H$342,MATCH($L767&amp;"|"&amp;$M767&amp;"|"&amp;$N767&amp;"|"&amp;$O767&amp;"|"&amp;$P767&amp;"|"&amp;$Q767&amp;"|"&amp;$K767,PARAMETRES!$J$43:$J$342,0))="","",INDEX(PARAMETRES!$H$43:$H$342,MATCH($L767&amp;"|"&amp;$M767&amp;"|"&amp;$N767&amp;"|"&amp;$O767&amp;"|"&amp;$P767&amp;"|"&amp;$Q767&amp;"|"&amp;$K767,PARAMETRES!$J$43:$J$342,0))),""))</f>
        <v/>
      </c>
      <c r="S767" s="35">
        <f>IF(OR($G767="",$X767&lt;&gt;"VALIDE"),"",IFERROR(LOOKUP(2,1/(($B$3:$B766=$B767)*($G$3:$G766=$G767)*($X$3:$X766="VALIDE")),$C$3:$C766),""))</f>
        <v/>
      </c>
      <c r="T767" s="36">
        <f>IF(OR($C767="",$S767=""),"",ROUND(($C767-$S767+IF($C767&lt;$S767,1,0))*1440,0))</f>
        <v/>
      </c>
      <c r="U767" s="22">
        <f>IF(OR($H767="",$T767="",$T767&lt;=0),"",$H767*60/$T767)</f>
        <v/>
      </c>
      <c r="V767" s="37">
        <f>IF(OR($U767="",$R767="",$R767=0),"",$U767/$R767)</f>
        <v/>
      </c>
      <c r="W767" s="20">
        <f>IF($G767="","",IF($X767="CONTEXTE INCOMPLET","CONTEXTE INCOMPLET",IF($X767="DOUBLON",StatutDoublon,IF($S767="",StatutInitial,IF($R767="",StatutStandardManquant,IF($V767="","DONNEES INSUFFISANTES",IF($V767&gt;=SeuilConforme,StatutConforme,IF($V767&gt;=SeuilSurveiller,StatutSurveiller,StatutSousStandard))))))))</f>
        <v/>
      </c>
      <c r="X767" s="33">
        <f>IF($G767="","",IF(OR($D767="",$E767="",$F767=""),"CONTEXTE INCOMPLET",IF(COUNTIFS($D$3:$D766,$D767,$E$3:$E766,$E767,$F$3:$F766,$F767,$G$3:$G766,$G767)&gt;0,"DOUBLON","VALIDE")))</f>
        <v/>
      </c>
    </row>
    <row r="768" ht="15" customHeight="1">
      <c r="A768" s="12">
        <f>IF(OR($B768="",$G768=""),"",TEXT($B768,"YYYYMMDD")&amp;"-"&amp;SUBSTITUTE($E768," ","")&amp;"-"&amp;$F768&amp;"-"&amp;$G768)</f>
        <v/>
      </c>
      <c r="B768" s="15" t="n"/>
      <c r="C768" s="16" t="n"/>
      <c r="D768" s="10" t="n"/>
      <c r="E768" s="9" t="n"/>
      <c r="F768" s="9" t="n"/>
      <c r="G768" s="13" t="n"/>
      <c r="H768" s="21" t="n"/>
      <c r="I768" s="21" t="n"/>
      <c r="J768" s="17">
        <f>IF($G768="","",IFERROR(INDEX(NomsEmployes,MATCH($G768,MatriculesEmployes,0)),"MATRICULE INCONNU"))</f>
        <v/>
      </c>
      <c r="K768" s="33">
        <f>IF(OR($D768="",$F768=""),"",IFERROR(IF(INDEX(RUNS!$L$6:$S$1005,MATCH($D768,RUNS!$A$6:$A$1005,0),MATCH("ACTIVITÉ "&amp;$F768,RUNS!$L$5:$S$5,0))="","",INDEX(RUNS!$L$6:$S$1005,MATCH($D768,RUNS!$A$6:$A$1005,0),MATCH("ACTIVITÉ "&amp;$F768,RUNS!$L$5:$S$5,0))),""))</f>
        <v/>
      </c>
      <c r="L768" s="33">
        <f>IF($D768="","",IFERROR(IF(INDEX(RUNS!$E$6:$E$1005,MATCH($D768,RUNS!$A$6:$A$1005,0))="","",INDEX(RUNS!$E$6:$E$1005,MATCH($D768,RUNS!$A$6:$A$1005,0))),""))</f>
        <v/>
      </c>
      <c r="M768" s="33">
        <f>IF($D768="","",IFERROR(IF(INDEX(RUNS!$F$6:$F$1005,MATCH($D768,RUNS!$A$6:$A$1005,0))="","",INDEX(RUNS!$F$6:$F$1005,MATCH($D768,RUNS!$A$6:$A$1005,0))),""))</f>
        <v/>
      </c>
      <c r="N768" s="33">
        <f>IF($D768="","",IFERROR(IF(INDEX(RUNS!$G$6:$G$1005,MATCH($D768,RUNS!$A$6:$A$1005,0))="","",INDEX(RUNS!$G$6:$G$1005,MATCH($D768,RUNS!$A$6:$A$1005,0))),""))</f>
        <v/>
      </c>
      <c r="O768" s="33">
        <f>IF($D768="","",IFERROR(IF(INDEX(RUNS!$H$6:$H$1005,MATCH($D768,RUNS!$A$6:$A$1005,0))="","",INDEX(RUNS!$H$6:$H$1005,MATCH($D768,RUNS!$A$6:$A$1005,0))),""))</f>
        <v/>
      </c>
      <c r="P768" s="33">
        <f>IF($D768="","",IFERROR(IF(INDEX(RUNS!$J$6:$J$1005,MATCH($D768,RUNS!$A$6:$A$1005,0))="","",INDEX(RUNS!$J$6:$J$1005,MATCH($D768,RUNS!$A$6:$A$1005,0))),""))</f>
        <v/>
      </c>
      <c r="Q768" s="33">
        <f>IF($D768="","",IFERROR(IF(INDEX(RUNS!$K$6:$K$1005,MATCH($D768,RUNS!$A$6:$A$1005,0))="","",INDEX(RUNS!$K$6:$K$1005,MATCH($D768,RUNS!$A$6:$A$1005,0))),""))</f>
        <v/>
      </c>
      <c r="R768" s="34">
        <f>IF(OR($L768="",$K768=""),"",IFERROR(IF(INDEX(PARAMETRES!$H$43:$H$342,MATCH($L768&amp;"|"&amp;$M768&amp;"|"&amp;$N768&amp;"|"&amp;$O768&amp;"|"&amp;$P768&amp;"|"&amp;$Q768&amp;"|"&amp;$K768,PARAMETRES!$J$43:$J$342,0))="","",INDEX(PARAMETRES!$H$43:$H$342,MATCH($L768&amp;"|"&amp;$M768&amp;"|"&amp;$N768&amp;"|"&amp;$O768&amp;"|"&amp;$P768&amp;"|"&amp;$Q768&amp;"|"&amp;$K768,PARAMETRES!$J$43:$J$342,0))),""))</f>
        <v/>
      </c>
      <c r="S768" s="35">
        <f>IF(OR($G768="",$X768&lt;&gt;"VALIDE"),"",IFERROR(LOOKUP(2,1/(($B$3:$B767=$B768)*($G$3:$G767=$G768)*($X$3:$X767="VALIDE")),$C$3:$C767),""))</f>
        <v/>
      </c>
      <c r="T768" s="36">
        <f>IF(OR($C768="",$S768=""),"",ROUND(($C768-$S768+IF($C768&lt;$S768,1,0))*1440,0))</f>
        <v/>
      </c>
      <c r="U768" s="22">
        <f>IF(OR($H768="",$T768="",$T768&lt;=0),"",$H768*60/$T768)</f>
        <v/>
      </c>
      <c r="V768" s="37">
        <f>IF(OR($U768="",$R768="",$R768=0),"",$U768/$R768)</f>
        <v/>
      </c>
      <c r="W768" s="20">
        <f>IF($G768="","",IF($X768="CONTEXTE INCOMPLET","CONTEXTE INCOMPLET",IF($X768="DOUBLON",StatutDoublon,IF($S768="",StatutInitial,IF($R768="",StatutStandardManquant,IF($V768="","DONNEES INSUFFISANTES",IF($V768&gt;=SeuilConforme,StatutConforme,IF($V768&gt;=SeuilSurveiller,StatutSurveiller,StatutSousStandard))))))))</f>
        <v/>
      </c>
      <c r="X768" s="33">
        <f>IF($G768="","",IF(OR($D768="",$E768="",$F768=""),"CONTEXTE INCOMPLET",IF(COUNTIFS($D$3:$D767,$D768,$E$3:$E767,$E768,$F$3:$F767,$F768,$G$3:$G767,$G768)&gt;0,"DOUBLON","VALIDE")))</f>
        <v/>
      </c>
    </row>
    <row r="769" ht="15" customHeight="1">
      <c r="A769" s="12">
        <f>IF(OR($B769="",$G769=""),"",TEXT($B769,"YYYYMMDD")&amp;"-"&amp;SUBSTITUTE($E769," ","")&amp;"-"&amp;$F769&amp;"-"&amp;$G769)</f>
        <v/>
      </c>
      <c r="B769" s="15" t="n"/>
      <c r="C769" s="16" t="n"/>
      <c r="D769" s="10" t="n"/>
      <c r="E769" s="9" t="n"/>
      <c r="F769" s="9" t="n"/>
      <c r="G769" s="13" t="n"/>
      <c r="H769" s="21" t="n"/>
      <c r="I769" s="21" t="n"/>
      <c r="J769" s="17">
        <f>IF($G769="","",IFERROR(INDEX(NomsEmployes,MATCH($G769,MatriculesEmployes,0)),"MATRICULE INCONNU"))</f>
        <v/>
      </c>
      <c r="K769" s="33">
        <f>IF(OR($D769="",$F769=""),"",IFERROR(IF(INDEX(RUNS!$L$6:$S$1005,MATCH($D769,RUNS!$A$6:$A$1005,0),MATCH("ACTIVITÉ "&amp;$F769,RUNS!$L$5:$S$5,0))="","",INDEX(RUNS!$L$6:$S$1005,MATCH($D769,RUNS!$A$6:$A$1005,0),MATCH("ACTIVITÉ "&amp;$F769,RUNS!$L$5:$S$5,0))),""))</f>
        <v/>
      </c>
      <c r="L769" s="33">
        <f>IF($D769="","",IFERROR(IF(INDEX(RUNS!$E$6:$E$1005,MATCH($D769,RUNS!$A$6:$A$1005,0))="","",INDEX(RUNS!$E$6:$E$1005,MATCH($D769,RUNS!$A$6:$A$1005,0))),""))</f>
        <v/>
      </c>
      <c r="M769" s="33">
        <f>IF($D769="","",IFERROR(IF(INDEX(RUNS!$F$6:$F$1005,MATCH($D769,RUNS!$A$6:$A$1005,0))="","",INDEX(RUNS!$F$6:$F$1005,MATCH($D769,RUNS!$A$6:$A$1005,0))),""))</f>
        <v/>
      </c>
      <c r="N769" s="33">
        <f>IF($D769="","",IFERROR(IF(INDEX(RUNS!$G$6:$G$1005,MATCH($D769,RUNS!$A$6:$A$1005,0))="","",INDEX(RUNS!$G$6:$G$1005,MATCH($D769,RUNS!$A$6:$A$1005,0))),""))</f>
        <v/>
      </c>
      <c r="O769" s="33">
        <f>IF($D769="","",IFERROR(IF(INDEX(RUNS!$H$6:$H$1005,MATCH($D769,RUNS!$A$6:$A$1005,0))="","",INDEX(RUNS!$H$6:$H$1005,MATCH($D769,RUNS!$A$6:$A$1005,0))),""))</f>
        <v/>
      </c>
      <c r="P769" s="33">
        <f>IF($D769="","",IFERROR(IF(INDEX(RUNS!$J$6:$J$1005,MATCH($D769,RUNS!$A$6:$A$1005,0))="","",INDEX(RUNS!$J$6:$J$1005,MATCH($D769,RUNS!$A$6:$A$1005,0))),""))</f>
        <v/>
      </c>
      <c r="Q769" s="33">
        <f>IF($D769="","",IFERROR(IF(INDEX(RUNS!$K$6:$K$1005,MATCH($D769,RUNS!$A$6:$A$1005,0))="","",INDEX(RUNS!$K$6:$K$1005,MATCH($D769,RUNS!$A$6:$A$1005,0))),""))</f>
        <v/>
      </c>
      <c r="R769" s="34">
        <f>IF(OR($L769="",$K769=""),"",IFERROR(IF(INDEX(PARAMETRES!$H$43:$H$342,MATCH($L769&amp;"|"&amp;$M769&amp;"|"&amp;$N769&amp;"|"&amp;$O769&amp;"|"&amp;$P769&amp;"|"&amp;$Q769&amp;"|"&amp;$K769,PARAMETRES!$J$43:$J$342,0))="","",INDEX(PARAMETRES!$H$43:$H$342,MATCH($L769&amp;"|"&amp;$M769&amp;"|"&amp;$N769&amp;"|"&amp;$O769&amp;"|"&amp;$P769&amp;"|"&amp;$Q769&amp;"|"&amp;$K769,PARAMETRES!$J$43:$J$342,0))),""))</f>
        <v/>
      </c>
      <c r="S769" s="35">
        <f>IF(OR($G769="",$X769&lt;&gt;"VALIDE"),"",IFERROR(LOOKUP(2,1/(($B$3:$B768=$B769)*($G$3:$G768=$G769)*($X$3:$X768="VALIDE")),$C$3:$C768),""))</f>
        <v/>
      </c>
      <c r="T769" s="36">
        <f>IF(OR($C769="",$S769=""),"",ROUND(($C769-$S769+IF($C769&lt;$S769,1,0))*1440,0))</f>
        <v/>
      </c>
      <c r="U769" s="22">
        <f>IF(OR($H769="",$T769="",$T769&lt;=0),"",$H769*60/$T769)</f>
        <v/>
      </c>
      <c r="V769" s="37">
        <f>IF(OR($U769="",$R769="",$R769=0),"",$U769/$R769)</f>
        <v/>
      </c>
      <c r="W769" s="20">
        <f>IF($G769="","",IF($X769="CONTEXTE INCOMPLET","CONTEXTE INCOMPLET",IF($X769="DOUBLON",StatutDoublon,IF($S769="",StatutInitial,IF($R769="",StatutStandardManquant,IF($V769="","DONNEES INSUFFISANTES",IF($V769&gt;=SeuilConforme,StatutConforme,IF($V769&gt;=SeuilSurveiller,StatutSurveiller,StatutSousStandard))))))))</f>
        <v/>
      </c>
      <c r="X769" s="33">
        <f>IF($G769="","",IF(OR($D769="",$E769="",$F769=""),"CONTEXTE INCOMPLET",IF(COUNTIFS($D$3:$D768,$D769,$E$3:$E768,$E769,$F$3:$F768,$F769,$G$3:$G768,$G769)&gt;0,"DOUBLON","VALIDE")))</f>
        <v/>
      </c>
    </row>
    <row r="770" ht="15" customHeight="1">
      <c r="A770" s="12">
        <f>IF(OR($B770="",$G770=""),"",TEXT($B770,"YYYYMMDD")&amp;"-"&amp;SUBSTITUTE($E770," ","")&amp;"-"&amp;$F770&amp;"-"&amp;$G770)</f>
        <v/>
      </c>
      <c r="B770" s="15" t="n"/>
      <c r="C770" s="16" t="n"/>
      <c r="D770" s="10" t="n"/>
      <c r="E770" s="9" t="n"/>
      <c r="F770" s="9" t="n"/>
      <c r="G770" s="13" t="n"/>
      <c r="H770" s="21" t="n"/>
      <c r="I770" s="21" t="n"/>
      <c r="J770" s="17">
        <f>IF($G770="","",IFERROR(INDEX(NomsEmployes,MATCH($G770,MatriculesEmployes,0)),"MATRICULE INCONNU"))</f>
        <v/>
      </c>
      <c r="K770" s="33">
        <f>IF(OR($D770="",$F770=""),"",IFERROR(IF(INDEX(RUNS!$L$6:$S$1005,MATCH($D770,RUNS!$A$6:$A$1005,0),MATCH("ACTIVITÉ "&amp;$F770,RUNS!$L$5:$S$5,0))="","",INDEX(RUNS!$L$6:$S$1005,MATCH($D770,RUNS!$A$6:$A$1005,0),MATCH("ACTIVITÉ "&amp;$F770,RUNS!$L$5:$S$5,0))),""))</f>
        <v/>
      </c>
      <c r="L770" s="33">
        <f>IF($D770="","",IFERROR(IF(INDEX(RUNS!$E$6:$E$1005,MATCH($D770,RUNS!$A$6:$A$1005,0))="","",INDEX(RUNS!$E$6:$E$1005,MATCH($D770,RUNS!$A$6:$A$1005,0))),""))</f>
        <v/>
      </c>
      <c r="M770" s="33">
        <f>IF($D770="","",IFERROR(IF(INDEX(RUNS!$F$6:$F$1005,MATCH($D770,RUNS!$A$6:$A$1005,0))="","",INDEX(RUNS!$F$6:$F$1005,MATCH($D770,RUNS!$A$6:$A$1005,0))),""))</f>
        <v/>
      </c>
      <c r="N770" s="33">
        <f>IF($D770="","",IFERROR(IF(INDEX(RUNS!$G$6:$G$1005,MATCH($D770,RUNS!$A$6:$A$1005,0))="","",INDEX(RUNS!$G$6:$G$1005,MATCH($D770,RUNS!$A$6:$A$1005,0))),""))</f>
        <v/>
      </c>
      <c r="O770" s="33">
        <f>IF($D770="","",IFERROR(IF(INDEX(RUNS!$H$6:$H$1005,MATCH($D770,RUNS!$A$6:$A$1005,0))="","",INDEX(RUNS!$H$6:$H$1005,MATCH($D770,RUNS!$A$6:$A$1005,0))),""))</f>
        <v/>
      </c>
      <c r="P770" s="33">
        <f>IF($D770="","",IFERROR(IF(INDEX(RUNS!$J$6:$J$1005,MATCH($D770,RUNS!$A$6:$A$1005,0))="","",INDEX(RUNS!$J$6:$J$1005,MATCH($D770,RUNS!$A$6:$A$1005,0))),""))</f>
        <v/>
      </c>
      <c r="Q770" s="33">
        <f>IF($D770="","",IFERROR(IF(INDEX(RUNS!$K$6:$K$1005,MATCH($D770,RUNS!$A$6:$A$1005,0))="","",INDEX(RUNS!$K$6:$K$1005,MATCH($D770,RUNS!$A$6:$A$1005,0))),""))</f>
        <v/>
      </c>
      <c r="R770" s="34">
        <f>IF(OR($L770="",$K770=""),"",IFERROR(IF(INDEX(PARAMETRES!$H$43:$H$342,MATCH($L770&amp;"|"&amp;$M770&amp;"|"&amp;$N770&amp;"|"&amp;$O770&amp;"|"&amp;$P770&amp;"|"&amp;$Q770&amp;"|"&amp;$K770,PARAMETRES!$J$43:$J$342,0))="","",INDEX(PARAMETRES!$H$43:$H$342,MATCH($L770&amp;"|"&amp;$M770&amp;"|"&amp;$N770&amp;"|"&amp;$O770&amp;"|"&amp;$P770&amp;"|"&amp;$Q770&amp;"|"&amp;$K770,PARAMETRES!$J$43:$J$342,0))),""))</f>
        <v/>
      </c>
      <c r="S770" s="35">
        <f>IF(OR($G770="",$X770&lt;&gt;"VALIDE"),"",IFERROR(LOOKUP(2,1/(($B$3:$B769=$B770)*($G$3:$G769=$G770)*($X$3:$X769="VALIDE")),$C$3:$C769),""))</f>
        <v/>
      </c>
      <c r="T770" s="36">
        <f>IF(OR($C770="",$S770=""),"",ROUND(($C770-$S770+IF($C770&lt;$S770,1,0))*1440,0))</f>
        <v/>
      </c>
      <c r="U770" s="22">
        <f>IF(OR($H770="",$T770="",$T770&lt;=0),"",$H770*60/$T770)</f>
        <v/>
      </c>
      <c r="V770" s="37">
        <f>IF(OR($U770="",$R770="",$R770=0),"",$U770/$R770)</f>
        <v/>
      </c>
      <c r="W770" s="20">
        <f>IF($G770="","",IF($X770="CONTEXTE INCOMPLET","CONTEXTE INCOMPLET",IF($X770="DOUBLON",StatutDoublon,IF($S770="",StatutInitial,IF($R770="",StatutStandardManquant,IF($V770="","DONNEES INSUFFISANTES",IF($V770&gt;=SeuilConforme,StatutConforme,IF($V770&gt;=SeuilSurveiller,StatutSurveiller,StatutSousStandard))))))))</f>
        <v/>
      </c>
      <c r="X770" s="33">
        <f>IF($G770="","",IF(OR($D770="",$E770="",$F770=""),"CONTEXTE INCOMPLET",IF(COUNTIFS($D$3:$D769,$D770,$E$3:$E769,$E770,$F$3:$F769,$F770,$G$3:$G769,$G770)&gt;0,"DOUBLON","VALIDE")))</f>
        <v/>
      </c>
    </row>
    <row r="771" ht="15" customHeight="1">
      <c r="A771" s="12">
        <f>IF(OR($B771="",$G771=""),"",TEXT($B771,"YYYYMMDD")&amp;"-"&amp;SUBSTITUTE($E771," ","")&amp;"-"&amp;$F771&amp;"-"&amp;$G771)</f>
        <v/>
      </c>
      <c r="B771" s="15" t="n"/>
      <c r="C771" s="16" t="n"/>
      <c r="D771" s="10" t="n"/>
      <c r="E771" s="9" t="n"/>
      <c r="F771" s="9" t="n"/>
      <c r="G771" s="13" t="n"/>
      <c r="H771" s="21" t="n"/>
      <c r="I771" s="21" t="n"/>
      <c r="J771" s="17">
        <f>IF($G771="","",IFERROR(INDEX(NomsEmployes,MATCH($G771,MatriculesEmployes,0)),"MATRICULE INCONNU"))</f>
        <v/>
      </c>
      <c r="K771" s="33">
        <f>IF(OR($D771="",$F771=""),"",IFERROR(IF(INDEX(RUNS!$L$6:$S$1005,MATCH($D771,RUNS!$A$6:$A$1005,0),MATCH("ACTIVITÉ "&amp;$F771,RUNS!$L$5:$S$5,0))="","",INDEX(RUNS!$L$6:$S$1005,MATCH($D771,RUNS!$A$6:$A$1005,0),MATCH("ACTIVITÉ "&amp;$F771,RUNS!$L$5:$S$5,0))),""))</f>
        <v/>
      </c>
      <c r="L771" s="33">
        <f>IF($D771="","",IFERROR(IF(INDEX(RUNS!$E$6:$E$1005,MATCH($D771,RUNS!$A$6:$A$1005,0))="","",INDEX(RUNS!$E$6:$E$1005,MATCH($D771,RUNS!$A$6:$A$1005,0))),""))</f>
        <v/>
      </c>
      <c r="M771" s="33">
        <f>IF($D771="","",IFERROR(IF(INDEX(RUNS!$F$6:$F$1005,MATCH($D771,RUNS!$A$6:$A$1005,0))="","",INDEX(RUNS!$F$6:$F$1005,MATCH($D771,RUNS!$A$6:$A$1005,0))),""))</f>
        <v/>
      </c>
      <c r="N771" s="33">
        <f>IF($D771="","",IFERROR(IF(INDEX(RUNS!$G$6:$G$1005,MATCH($D771,RUNS!$A$6:$A$1005,0))="","",INDEX(RUNS!$G$6:$G$1005,MATCH($D771,RUNS!$A$6:$A$1005,0))),""))</f>
        <v/>
      </c>
      <c r="O771" s="33">
        <f>IF($D771="","",IFERROR(IF(INDEX(RUNS!$H$6:$H$1005,MATCH($D771,RUNS!$A$6:$A$1005,0))="","",INDEX(RUNS!$H$6:$H$1005,MATCH($D771,RUNS!$A$6:$A$1005,0))),""))</f>
        <v/>
      </c>
      <c r="P771" s="33">
        <f>IF($D771="","",IFERROR(IF(INDEX(RUNS!$J$6:$J$1005,MATCH($D771,RUNS!$A$6:$A$1005,0))="","",INDEX(RUNS!$J$6:$J$1005,MATCH($D771,RUNS!$A$6:$A$1005,0))),""))</f>
        <v/>
      </c>
      <c r="Q771" s="33">
        <f>IF($D771="","",IFERROR(IF(INDEX(RUNS!$K$6:$K$1005,MATCH($D771,RUNS!$A$6:$A$1005,0))="","",INDEX(RUNS!$K$6:$K$1005,MATCH($D771,RUNS!$A$6:$A$1005,0))),""))</f>
        <v/>
      </c>
      <c r="R771" s="34">
        <f>IF(OR($L771="",$K771=""),"",IFERROR(IF(INDEX(PARAMETRES!$H$43:$H$342,MATCH($L771&amp;"|"&amp;$M771&amp;"|"&amp;$N771&amp;"|"&amp;$O771&amp;"|"&amp;$P771&amp;"|"&amp;$Q771&amp;"|"&amp;$K771,PARAMETRES!$J$43:$J$342,0))="","",INDEX(PARAMETRES!$H$43:$H$342,MATCH($L771&amp;"|"&amp;$M771&amp;"|"&amp;$N771&amp;"|"&amp;$O771&amp;"|"&amp;$P771&amp;"|"&amp;$Q771&amp;"|"&amp;$K771,PARAMETRES!$J$43:$J$342,0))),""))</f>
        <v/>
      </c>
      <c r="S771" s="35">
        <f>IF(OR($G771="",$X771&lt;&gt;"VALIDE"),"",IFERROR(LOOKUP(2,1/(($B$3:$B770=$B771)*($G$3:$G770=$G771)*($X$3:$X770="VALIDE")),$C$3:$C770),""))</f>
        <v/>
      </c>
      <c r="T771" s="36">
        <f>IF(OR($C771="",$S771=""),"",ROUND(($C771-$S771+IF($C771&lt;$S771,1,0))*1440,0))</f>
        <v/>
      </c>
      <c r="U771" s="22">
        <f>IF(OR($H771="",$T771="",$T771&lt;=0),"",$H771*60/$T771)</f>
        <v/>
      </c>
      <c r="V771" s="37">
        <f>IF(OR($U771="",$R771="",$R771=0),"",$U771/$R771)</f>
        <v/>
      </c>
      <c r="W771" s="20">
        <f>IF($G771="","",IF($X771="CONTEXTE INCOMPLET","CONTEXTE INCOMPLET",IF($X771="DOUBLON",StatutDoublon,IF($S771="",StatutInitial,IF($R771="",StatutStandardManquant,IF($V771="","DONNEES INSUFFISANTES",IF($V771&gt;=SeuilConforme,StatutConforme,IF($V771&gt;=SeuilSurveiller,StatutSurveiller,StatutSousStandard))))))))</f>
        <v/>
      </c>
      <c r="X771" s="33">
        <f>IF($G771="","",IF(OR($D771="",$E771="",$F771=""),"CONTEXTE INCOMPLET",IF(COUNTIFS($D$3:$D770,$D771,$E$3:$E770,$E771,$F$3:$F770,$F771,$G$3:$G770,$G771)&gt;0,"DOUBLON","VALIDE")))</f>
        <v/>
      </c>
    </row>
    <row r="772" ht="15" customHeight="1">
      <c r="A772" s="12">
        <f>IF(OR($B772="",$G772=""),"",TEXT($B772,"YYYYMMDD")&amp;"-"&amp;SUBSTITUTE($E772," ","")&amp;"-"&amp;$F772&amp;"-"&amp;$G772)</f>
        <v/>
      </c>
      <c r="B772" s="15" t="n"/>
      <c r="C772" s="16" t="n"/>
      <c r="D772" s="10" t="n"/>
      <c r="E772" s="9" t="n"/>
      <c r="F772" s="9" t="n"/>
      <c r="G772" s="13" t="n"/>
      <c r="H772" s="21" t="n"/>
      <c r="I772" s="21" t="n"/>
      <c r="J772" s="17">
        <f>IF($G772="","",IFERROR(INDEX(NomsEmployes,MATCH($G772,MatriculesEmployes,0)),"MATRICULE INCONNU"))</f>
        <v/>
      </c>
      <c r="K772" s="33">
        <f>IF(OR($D772="",$F772=""),"",IFERROR(IF(INDEX(RUNS!$L$6:$S$1005,MATCH($D772,RUNS!$A$6:$A$1005,0),MATCH("ACTIVITÉ "&amp;$F772,RUNS!$L$5:$S$5,0))="","",INDEX(RUNS!$L$6:$S$1005,MATCH($D772,RUNS!$A$6:$A$1005,0),MATCH("ACTIVITÉ "&amp;$F772,RUNS!$L$5:$S$5,0))),""))</f>
        <v/>
      </c>
      <c r="L772" s="33">
        <f>IF($D772="","",IFERROR(IF(INDEX(RUNS!$E$6:$E$1005,MATCH($D772,RUNS!$A$6:$A$1005,0))="","",INDEX(RUNS!$E$6:$E$1005,MATCH($D772,RUNS!$A$6:$A$1005,0))),""))</f>
        <v/>
      </c>
      <c r="M772" s="33">
        <f>IF($D772="","",IFERROR(IF(INDEX(RUNS!$F$6:$F$1005,MATCH($D772,RUNS!$A$6:$A$1005,0))="","",INDEX(RUNS!$F$6:$F$1005,MATCH($D772,RUNS!$A$6:$A$1005,0))),""))</f>
        <v/>
      </c>
      <c r="N772" s="33">
        <f>IF($D772="","",IFERROR(IF(INDEX(RUNS!$G$6:$G$1005,MATCH($D772,RUNS!$A$6:$A$1005,0))="","",INDEX(RUNS!$G$6:$G$1005,MATCH($D772,RUNS!$A$6:$A$1005,0))),""))</f>
        <v/>
      </c>
      <c r="O772" s="33">
        <f>IF($D772="","",IFERROR(IF(INDEX(RUNS!$H$6:$H$1005,MATCH($D772,RUNS!$A$6:$A$1005,0))="","",INDEX(RUNS!$H$6:$H$1005,MATCH($D772,RUNS!$A$6:$A$1005,0))),""))</f>
        <v/>
      </c>
      <c r="P772" s="33">
        <f>IF($D772="","",IFERROR(IF(INDEX(RUNS!$J$6:$J$1005,MATCH($D772,RUNS!$A$6:$A$1005,0))="","",INDEX(RUNS!$J$6:$J$1005,MATCH($D772,RUNS!$A$6:$A$1005,0))),""))</f>
        <v/>
      </c>
      <c r="Q772" s="33">
        <f>IF($D772="","",IFERROR(IF(INDEX(RUNS!$K$6:$K$1005,MATCH($D772,RUNS!$A$6:$A$1005,0))="","",INDEX(RUNS!$K$6:$K$1005,MATCH($D772,RUNS!$A$6:$A$1005,0))),""))</f>
        <v/>
      </c>
      <c r="R772" s="34">
        <f>IF(OR($L772="",$K772=""),"",IFERROR(IF(INDEX(PARAMETRES!$H$43:$H$342,MATCH($L772&amp;"|"&amp;$M772&amp;"|"&amp;$N772&amp;"|"&amp;$O772&amp;"|"&amp;$P772&amp;"|"&amp;$Q772&amp;"|"&amp;$K772,PARAMETRES!$J$43:$J$342,0))="","",INDEX(PARAMETRES!$H$43:$H$342,MATCH($L772&amp;"|"&amp;$M772&amp;"|"&amp;$N772&amp;"|"&amp;$O772&amp;"|"&amp;$P772&amp;"|"&amp;$Q772&amp;"|"&amp;$K772,PARAMETRES!$J$43:$J$342,0))),""))</f>
        <v/>
      </c>
      <c r="S772" s="35">
        <f>IF(OR($G772="",$X772&lt;&gt;"VALIDE"),"",IFERROR(LOOKUP(2,1/(($B$3:$B771=$B772)*($G$3:$G771=$G772)*($X$3:$X771="VALIDE")),$C$3:$C771),""))</f>
        <v/>
      </c>
      <c r="T772" s="36">
        <f>IF(OR($C772="",$S772=""),"",ROUND(($C772-$S772+IF($C772&lt;$S772,1,0))*1440,0))</f>
        <v/>
      </c>
      <c r="U772" s="22">
        <f>IF(OR($H772="",$T772="",$T772&lt;=0),"",$H772*60/$T772)</f>
        <v/>
      </c>
      <c r="V772" s="37">
        <f>IF(OR($U772="",$R772="",$R772=0),"",$U772/$R772)</f>
        <v/>
      </c>
      <c r="W772" s="20">
        <f>IF($G772="","",IF($X772="CONTEXTE INCOMPLET","CONTEXTE INCOMPLET",IF($X772="DOUBLON",StatutDoublon,IF($S772="",StatutInitial,IF($R772="",StatutStandardManquant,IF($V772="","DONNEES INSUFFISANTES",IF($V772&gt;=SeuilConforme,StatutConforme,IF($V772&gt;=SeuilSurveiller,StatutSurveiller,StatutSousStandard))))))))</f>
        <v/>
      </c>
      <c r="X772" s="33">
        <f>IF($G772="","",IF(OR($D772="",$E772="",$F772=""),"CONTEXTE INCOMPLET",IF(COUNTIFS($D$3:$D771,$D772,$E$3:$E771,$E772,$F$3:$F771,$F772,$G$3:$G771,$G772)&gt;0,"DOUBLON","VALIDE")))</f>
        <v/>
      </c>
    </row>
    <row r="773" ht="15" customHeight="1">
      <c r="A773" s="12">
        <f>IF(OR($B773="",$G773=""),"",TEXT($B773,"YYYYMMDD")&amp;"-"&amp;SUBSTITUTE($E773," ","")&amp;"-"&amp;$F773&amp;"-"&amp;$G773)</f>
        <v/>
      </c>
      <c r="B773" s="15" t="n"/>
      <c r="C773" s="16" t="n"/>
      <c r="D773" s="10" t="n"/>
      <c r="E773" s="9" t="n"/>
      <c r="F773" s="9" t="n"/>
      <c r="G773" s="13" t="n"/>
      <c r="H773" s="21" t="n"/>
      <c r="I773" s="21" t="n"/>
      <c r="J773" s="17">
        <f>IF($G773="","",IFERROR(INDEX(NomsEmployes,MATCH($G773,MatriculesEmployes,0)),"MATRICULE INCONNU"))</f>
        <v/>
      </c>
      <c r="K773" s="33">
        <f>IF(OR($D773="",$F773=""),"",IFERROR(IF(INDEX(RUNS!$L$6:$S$1005,MATCH($D773,RUNS!$A$6:$A$1005,0),MATCH("ACTIVITÉ "&amp;$F773,RUNS!$L$5:$S$5,0))="","",INDEX(RUNS!$L$6:$S$1005,MATCH($D773,RUNS!$A$6:$A$1005,0),MATCH("ACTIVITÉ "&amp;$F773,RUNS!$L$5:$S$5,0))),""))</f>
        <v/>
      </c>
      <c r="L773" s="33">
        <f>IF($D773="","",IFERROR(IF(INDEX(RUNS!$E$6:$E$1005,MATCH($D773,RUNS!$A$6:$A$1005,0))="","",INDEX(RUNS!$E$6:$E$1005,MATCH($D773,RUNS!$A$6:$A$1005,0))),""))</f>
        <v/>
      </c>
      <c r="M773" s="33">
        <f>IF($D773="","",IFERROR(IF(INDEX(RUNS!$F$6:$F$1005,MATCH($D773,RUNS!$A$6:$A$1005,0))="","",INDEX(RUNS!$F$6:$F$1005,MATCH($D773,RUNS!$A$6:$A$1005,0))),""))</f>
        <v/>
      </c>
      <c r="N773" s="33">
        <f>IF($D773="","",IFERROR(IF(INDEX(RUNS!$G$6:$G$1005,MATCH($D773,RUNS!$A$6:$A$1005,0))="","",INDEX(RUNS!$G$6:$G$1005,MATCH($D773,RUNS!$A$6:$A$1005,0))),""))</f>
        <v/>
      </c>
      <c r="O773" s="33">
        <f>IF($D773="","",IFERROR(IF(INDEX(RUNS!$H$6:$H$1005,MATCH($D773,RUNS!$A$6:$A$1005,0))="","",INDEX(RUNS!$H$6:$H$1005,MATCH($D773,RUNS!$A$6:$A$1005,0))),""))</f>
        <v/>
      </c>
      <c r="P773" s="33">
        <f>IF($D773="","",IFERROR(IF(INDEX(RUNS!$J$6:$J$1005,MATCH($D773,RUNS!$A$6:$A$1005,0))="","",INDEX(RUNS!$J$6:$J$1005,MATCH($D773,RUNS!$A$6:$A$1005,0))),""))</f>
        <v/>
      </c>
      <c r="Q773" s="33">
        <f>IF($D773="","",IFERROR(IF(INDEX(RUNS!$K$6:$K$1005,MATCH($D773,RUNS!$A$6:$A$1005,0))="","",INDEX(RUNS!$K$6:$K$1005,MATCH($D773,RUNS!$A$6:$A$1005,0))),""))</f>
        <v/>
      </c>
      <c r="R773" s="34">
        <f>IF(OR($L773="",$K773=""),"",IFERROR(IF(INDEX(PARAMETRES!$H$43:$H$342,MATCH($L773&amp;"|"&amp;$M773&amp;"|"&amp;$N773&amp;"|"&amp;$O773&amp;"|"&amp;$P773&amp;"|"&amp;$Q773&amp;"|"&amp;$K773,PARAMETRES!$J$43:$J$342,0))="","",INDEX(PARAMETRES!$H$43:$H$342,MATCH($L773&amp;"|"&amp;$M773&amp;"|"&amp;$N773&amp;"|"&amp;$O773&amp;"|"&amp;$P773&amp;"|"&amp;$Q773&amp;"|"&amp;$K773,PARAMETRES!$J$43:$J$342,0))),""))</f>
        <v/>
      </c>
      <c r="S773" s="35">
        <f>IF(OR($G773="",$X773&lt;&gt;"VALIDE"),"",IFERROR(LOOKUP(2,1/(($B$3:$B772=$B773)*($G$3:$G772=$G773)*($X$3:$X772="VALIDE")),$C$3:$C772),""))</f>
        <v/>
      </c>
      <c r="T773" s="36">
        <f>IF(OR($C773="",$S773=""),"",ROUND(($C773-$S773+IF($C773&lt;$S773,1,0))*1440,0))</f>
        <v/>
      </c>
      <c r="U773" s="22">
        <f>IF(OR($H773="",$T773="",$T773&lt;=0),"",$H773*60/$T773)</f>
        <v/>
      </c>
      <c r="V773" s="37">
        <f>IF(OR($U773="",$R773="",$R773=0),"",$U773/$R773)</f>
        <v/>
      </c>
      <c r="W773" s="20">
        <f>IF($G773="","",IF($X773="CONTEXTE INCOMPLET","CONTEXTE INCOMPLET",IF($X773="DOUBLON",StatutDoublon,IF($S773="",StatutInitial,IF($R773="",StatutStandardManquant,IF($V773="","DONNEES INSUFFISANTES",IF($V773&gt;=SeuilConforme,StatutConforme,IF($V773&gt;=SeuilSurveiller,StatutSurveiller,StatutSousStandard))))))))</f>
        <v/>
      </c>
      <c r="X773" s="33">
        <f>IF($G773="","",IF(OR($D773="",$E773="",$F773=""),"CONTEXTE INCOMPLET",IF(COUNTIFS($D$3:$D772,$D773,$E$3:$E772,$E773,$F$3:$F772,$F773,$G$3:$G772,$G773)&gt;0,"DOUBLON","VALIDE")))</f>
        <v/>
      </c>
    </row>
    <row r="774" ht="15" customHeight="1">
      <c r="A774" s="12">
        <f>IF(OR($B774="",$G774=""),"",TEXT($B774,"YYYYMMDD")&amp;"-"&amp;SUBSTITUTE($E774," ","")&amp;"-"&amp;$F774&amp;"-"&amp;$G774)</f>
        <v/>
      </c>
      <c r="B774" s="15" t="n"/>
      <c r="C774" s="16" t="n"/>
      <c r="D774" s="10" t="n"/>
      <c r="E774" s="9" t="n"/>
      <c r="F774" s="9" t="n"/>
      <c r="G774" s="13" t="n"/>
      <c r="H774" s="21" t="n"/>
      <c r="I774" s="21" t="n"/>
      <c r="J774" s="17">
        <f>IF($G774="","",IFERROR(INDEX(NomsEmployes,MATCH($G774,MatriculesEmployes,0)),"MATRICULE INCONNU"))</f>
        <v/>
      </c>
      <c r="K774" s="33">
        <f>IF(OR($D774="",$F774=""),"",IFERROR(IF(INDEX(RUNS!$L$6:$S$1005,MATCH($D774,RUNS!$A$6:$A$1005,0),MATCH("ACTIVITÉ "&amp;$F774,RUNS!$L$5:$S$5,0))="","",INDEX(RUNS!$L$6:$S$1005,MATCH($D774,RUNS!$A$6:$A$1005,0),MATCH("ACTIVITÉ "&amp;$F774,RUNS!$L$5:$S$5,0))),""))</f>
        <v/>
      </c>
      <c r="L774" s="33">
        <f>IF($D774="","",IFERROR(IF(INDEX(RUNS!$E$6:$E$1005,MATCH($D774,RUNS!$A$6:$A$1005,0))="","",INDEX(RUNS!$E$6:$E$1005,MATCH($D774,RUNS!$A$6:$A$1005,0))),""))</f>
        <v/>
      </c>
      <c r="M774" s="33">
        <f>IF($D774="","",IFERROR(IF(INDEX(RUNS!$F$6:$F$1005,MATCH($D774,RUNS!$A$6:$A$1005,0))="","",INDEX(RUNS!$F$6:$F$1005,MATCH($D774,RUNS!$A$6:$A$1005,0))),""))</f>
        <v/>
      </c>
      <c r="N774" s="33">
        <f>IF($D774="","",IFERROR(IF(INDEX(RUNS!$G$6:$G$1005,MATCH($D774,RUNS!$A$6:$A$1005,0))="","",INDEX(RUNS!$G$6:$G$1005,MATCH($D774,RUNS!$A$6:$A$1005,0))),""))</f>
        <v/>
      </c>
      <c r="O774" s="33">
        <f>IF($D774="","",IFERROR(IF(INDEX(RUNS!$H$6:$H$1005,MATCH($D774,RUNS!$A$6:$A$1005,0))="","",INDEX(RUNS!$H$6:$H$1005,MATCH($D774,RUNS!$A$6:$A$1005,0))),""))</f>
        <v/>
      </c>
      <c r="P774" s="33">
        <f>IF($D774="","",IFERROR(IF(INDEX(RUNS!$J$6:$J$1005,MATCH($D774,RUNS!$A$6:$A$1005,0))="","",INDEX(RUNS!$J$6:$J$1005,MATCH($D774,RUNS!$A$6:$A$1005,0))),""))</f>
        <v/>
      </c>
      <c r="Q774" s="33">
        <f>IF($D774="","",IFERROR(IF(INDEX(RUNS!$K$6:$K$1005,MATCH($D774,RUNS!$A$6:$A$1005,0))="","",INDEX(RUNS!$K$6:$K$1005,MATCH($D774,RUNS!$A$6:$A$1005,0))),""))</f>
        <v/>
      </c>
      <c r="R774" s="34">
        <f>IF(OR($L774="",$K774=""),"",IFERROR(IF(INDEX(PARAMETRES!$H$43:$H$342,MATCH($L774&amp;"|"&amp;$M774&amp;"|"&amp;$N774&amp;"|"&amp;$O774&amp;"|"&amp;$P774&amp;"|"&amp;$Q774&amp;"|"&amp;$K774,PARAMETRES!$J$43:$J$342,0))="","",INDEX(PARAMETRES!$H$43:$H$342,MATCH($L774&amp;"|"&amp;$M774&amp;"|"&amp;$N774&amp;"|"&amp;$O774&amp;"|"&amp;$P774&amp;"|"&amp;$Q774&amp;"|"&amp;$K774,PARAMETRES!$J$43:$J$342,0))),""))</f>
        <v/>
      </c>
      <c r="S774" s="35">
        <f>IF(OR($G774="",$X774&lt;&gt;"VALIDE"),"",IFERROR(LOOKUP(2,1/(($B$3:$B773=$B774)*($G$3:$G773=$G774)*($X$3:$X773="VALIDE")),$C$3:$C773),""))</f>
        <v/>
      </c>
      <c r="T774" s="36">
        <f>IF(OR($C774="",$S774=""),"",ROUND(($C774-$S774+IF($C774&lt;$S774,1,0))*1440,0))</f>
        <v/>
      </c>
      <c r="U774" s="22">
        <f>IF(OR($H774="",$T774="",$T774&lt;=0),"",$H774*60/$T774)</f>
        <v/>
      </c>
      <c r="V774" s="37">
        <f>IF(OR($U774="",$R774="",$R774=0),"",$U774/$R774)</f>
        <v/>
      </c>
      <c r="W774" s="20">
        <f>IF($G774="","",IF($X774="CONTEXTE INCOMPLET","CONTEXTE INCOMPLET",IF($X774="DOUBLON",StatutDoublon,IF($S774="",StatutInitial,IF($R774="",StatutStandardManquant,IF($V774="","DONNEES INSUFFISANTES",IF($V774&gt;=SeuilConforme,StatutConforme,IF($V774&gt;=SeuilSurveiller,StatutSurveiller,StatutSousStandard))))))))</f>
        <v/>
      </c>
      <c r="X774" s="33">
        <f>IF($G774="","",IF(OR($D774="",$E774="",$F774=""),"CONTEXTE INCOMPLET",IF(COUNTIFS($D$3:$D773,$D774,$E$3:$E773,$E774,$F$3:$F773,$F774,$G$3:$G773,$G774)&gt;0,"DOUBLON","VALIDE")))</f>
        <v/>
      </c>
    </row>
    <row r="775" ht="15" customHeight="1">
      <c r="A775" s="12">
        <f>IF(OR($B775="",$G775=""),"",TEXT($B775,"YYYYMMDD")&amp;"-"&amp;SUBSTITUTE($E775," ","")&amp;"-"&amp;$F775&amp;"-"&amp;$G775)</f>
        <v/>
      </c>
      <c r="B775" s="15" t="n"/>
      <c r="C775" s="16" t="n"/>
      <c r="D775" s="10" t="n"/>
      <c r="E775" s="9" t="n"/>
      <c r="F775" s="9" t="n"/>
      <c r="G775" s="13" t="n"/>
      <c r="H775" s="21" t="n"/>
      <c r="I775" s="21" t="n"/>
      <c r="J775" s="17">
        <f>IF($G775="","",IFERROR(INDEX(NomsEmployes,MATCH($G775,MatriculesEmployes,0)),"MATRICULE INCONNU"))</f>
        <v/>
      </c>
      <c r="K775" s="33">
        <f>IF(OR($D775="",$F775=""),"",IFERROR(IF(INDEX(RUNS!$L$6:$S$1005,MATCH($D775,RUNS!$A$6:$A$1005,0),MATCH("ACTIVITÉ "&amp;$F775,RUNS!$L$5:$S$5,0))="","",INDEX(RUNS!$L$6:$S$1005,MATCH($D775,RUNS!$A$6:$A$1005,0),MATCH("ACTIVITÉ "&amp;$F775,RUNS!$L$5:$S$5,0))),""))</f>
        <v/>
      </c>
      <c r="L775" s="33">
        <f>IF($D775="","",IFERROR(IF(INDEX(RUNS!$E$6:$E$1005,MATCH($D775,RUNS!$A$6:$A$1005,0))="","",INDEX(RUNS!$E$6:$E$1005,MATCH($D775,RUNS!$A$6:$A$1005,0))),""))</f>
        <v/>
      </c>
      <c r="M775" s="33">
        <f>IF($D775="","",IFERROR(IF(INDEX(RUNS!$F$6:$F$1005,MATCH($D775,RUNS!$A$6:$A$1005,0))="","",INDEX(RUNS!$F$6:$F$1005,MATCH($D775,RUNS!$A$6:$A$1005,0))),""))</f>
        <v/>
      </c>
      <c r="N775" s="33">
        <f>IF($D775="","",IFERROR(IF(INDEX(RUNS!$G$6:$G$1005,MATCH($D775,RUNS!$A$6:$A$1005,0))="","",INDEX(RUNS!$G$6:$G$1005,MATCH($D775,RUNS!$A$6:$A$1005,0))),""))</f>
        <v/>
      </c>
      <c r="O775" s="33">
        <f>IF($D775="","",IFERROR(IF(INDEX(RUNS!$H$6:$H$1005,MATCH($D775,RUNS!$A$6:$A$1005,0))="","",INDEX(RUNS!$H$6:$H$1005,MATCH($D775,RUNS!$A$6:$A$1005,0))),""))</f>
        <v/>
      </c>
      <c r="P775" s="33">
        <f>IF($D775="","",IFERROR(IF(INDEX(RUNS!$J$6:$J$1005,MATCH($D775,RUNS!$A$6:$A$1005,0))="","",INDEX(RUNS!$J$6:$J$1005,MATCH($D775,RUNS!$A$6:$A$1005,0))),""))</f>
        <v/>
      </c>
      <c r="Q775" s="33">
        <f>IF($D775="","",IFERROR(IF(INDEX(RUNS!$K$6:$K$1005,MATCH($D775,RUNS!$A$6:$A$1005,0))="","",INDEX(RUNS!$K$6:$K$1005,MATCH($D775,RUNS!$A$6:$A$1005,0))),""))</f>
        <v/>
      </c>
      <c r="R775" s="34">
        <f>IF(OR($L775="",$K775=""),"",IFERROR(IF(INDEX(PARAMETRES!$H$43:$H$342,MATCH($L775&amp;"|"&amp;$M775&amp;"|"&amp;$N775&amp;"|"&amp;$O775&amp;"|"&amp;$P775&amp;"|"&amp;$Q775&amp;"|"&amp;$K775,PARAMETRES!$J$43:$J$342,0))="","",INDEX(PARAMETRES!$H$43:$H$342,MATCH($L775&amp;"|"&amp;$M775&amp;"|"&amp;$N775&amp;"|"&amp;$O775&amp;"|"&amp;$P775&amp;"|"&amp;$Q775&amp;"|"&amp;$K775,PARAMETRES!$J$43:$J$342,0))),""))</f>
        <v/>
      </c>
      <c r="S775" s="35">
        <f>IF(OR($G775="",$X775&lt;&gt;"VALIDE"),"",IFERROR(LOOKUP(2,1/(($B$3:$B774=$B775)*($G$3:$G774=$G775)*($X$3:$X774="VALIDE")),$C$3:$C774),""))</f>
        <v/>
      </c>
      <c r="T775" s="36">
        <f>IF(OR($C775="",$S775=""),"",ROUND(($C775-$S775+IF($C775&lt;$S775,1,0))*1440,0))</f>
        <v/>
      </c>
      <c r="U775" s="22">
        <f>IF(OR($H775="",$T775="",$T775&lt;=0),"",$H775*60/$T775)</f>
        <v/>
      </c>
      <c r="V775" s="37">
        <f>IF(OR($U775="",$R775="",$R775=0),"",$U775/$R775)</f>
        <v/>
      </c>
      <c r="W775" s="20">
        <f>IF($G775="","",IF($X775="CONTEXTE INCOMPLET","CONTEXTE INCOMPLET",IF($X775="DOUBLON",StatutDoublon,IF($S775="",StatutInitial,IF($R775="",StatutStandardManquant,IF($V775="","DONNEES INSUFFISANTES",IF($V775&gt;=SeuilConforme,StatutConforme,IF($V775&gt;=SeuilSurveiller,StatutSurveiller,StatutSousStandard))))))))</f>
        <v/>
      </c>
      <c r="X775" s="33">
        <f>IF($G775="","",IF(OR($D775="",$E775="",$F775=""),"CONTEXTE INCOMPLET",IF(COUNTIFS($D$3:$D774,$D775,$E$3:$E774,$E775,$F$3:$F774,$F775,$G$3:$G774,$G775)&gt;0,"DOUBLON","VALIDE")))</f>
        <v/>
      </c>
    </row>
    <row r="776" ht="15" customHeight="1">
      <c r="A776" s="12">
        <f>IF(OR($B776="",$G776=""),"",TEXT($B776,"YYYYMMDD")&amp;"-"&amp;SUBSTITUTE($E776," ","")&amp;"-"&amp;$F776&amp;"-"&amp;$G776)</f>
        <v/>
      </c>
      <c r="B776" s="15" t="n"/>
      <c r="C776" s="16" t="n"/>
      <c r="D776" s="10" t="n"/>
      <c r="E776" s="9" t="n"/>
      <c r="F776" s="9" t="n"/>
      <c r="G776" s="13" t="n"/>
      <c r="H776" s="21" t="n"/>
      <c r="I776" s="21" t="n"/>
      <c r="J776" s="17">
        <f>IF($G776="","",IFERROR(INDEX(NomsEmployes,MATCH($G776,MatriculesEmployes,0)),"MATRICULE INCONNU"))</f>
        <v/>
      </c>
      <c r="K776" s="33">
        <f>IF(OR($D776="",$F776=""),"",IFERROR(IF(INDEX(RUNS!$L$6:$S$1005,MATCH($D776,RUNS!$A$6:$A$1005,0),MATCH("ACTIVITÉ "&amp;$F776,RUNS!$L$5:$S$5,0))="","",INDEX(RUNS!$L$6:$S$1005,MATCH($D776,RUNS!$A$6:$A$1005,0),MATCH("ACTIVITÉ "&amp;$F776,RUNS!$L$5:$S$5,0))),""))</f>
        <v/>
      </c>
      <c r="L776" s="33">
        <f>IF($D776="","",IFERROR(IF(INDEX(RUNS!$E$6:$E$1005,MATCH($D776,RUNS!$A$6:$A$1005,0))="","",INDEX(RUNS!$E$6:$E$1005,MATCH($D776,RUNS!$A$6:$A$1005,0))),""))</f>
        <v/>
      </c>
      <c r="M776" s="33">
        <f>IF($D776="","",IFERROR(IF(INDEX(RUNS!$F$6:$F$1005,MATCH($D776,RUNS!$A$6:$A$1005,0))="","",INDEX(RUNS!$F$6:$F$1005,MATCH($D776,RUNS!$A$6:$A$1005,0))),""))</f>
        <v/>
      </c>
      <c r="N776" s="33">
        <f>IF($D776="","",IFERROR(IF(INDEX(RUNS!$G$6:$G$1005,MATCH($D776,RUNS!$A$6:$A$1005,0))="","",INDEX(RUNS!$G$6:$G$1005,MATCH($D776,RUNS!$A$6:$A$1005,0))),""))</f>
        <v/>
      </c>
      <c r="O776" s="33">
        <f>IF($D776="","",IFERROR(IF(INDEX(RUNS!$H$6:$H$1005,MATCH($D776,RUNS!$A$6:$A$1005,0))="","",INDEX(RUNS!$H$6:$H$1005,MATCH($D776,RUNS!$A$6:$A$1005,0))),""))</f>
        <v/>
      </c>
      <c r="P776" s="33">
        <f>IF($D776="","",IFERROR(IF(INDEX(RUNS!$J$6:$J$1005,MATCH($D776,RUNS!$A$6:$A$1005,0))="","",INDEX(RUNS!$J$6:$J$1005,MATCH($D776,RUNS!$A$6:$A$1005,0))),""))</f>
        <v/>
      </c>
      <c r="Q776" s="33">
        <f>IF($D776="","",IFERROR(IF(INDEX(RUNS!$K$6:$K$1005,MATCH($D776,RUNS!$A$6:$A$1005,0))="","",INDEX(RUNS!$K$6:$K$1005,MATCH($D776,RUNS!$A$6:$A$1005,0))),""))</f>
        <v/>
      </c>
      <c r="R776" s="34">
        <f>IF(OR($L776="",$K776=""),"",IFERROR(IF(INDEX(PARAMETRES!$H$43:$H$342,MATCH($L776&amp;"|"&amp;$M776&amp;"|"&amp;$N776&amp;"|"&amp;$O776&amp;"|"&amp;$P776&amp;"|"&amp;$Q776&amp;"|"&amp;$K776,PARAMETRES!$J$43:$J$342,0))="","",INDEX(PARAMETRES!$H$43:$H$342,MATCH($L776&amp;"|"&amp;$M776&amp;"|"&amp;$N776&amp;"|"&amp;$O776&amp;"|"&amp;$P776&amp;"|"&amp;$Q776&amp;"|"&amp;$K776,PARAMETRES!$J$43:$J$342,0))),""))</f>
        <v/>
      </c>
      <c r="S776" s="35">
        <f>IF(OR($G776="",$X776&lt;&gt;"VALIDE"),"",IFERROR(LOOKUP(2,1/(($B$3:$B775=$B776)*($G$3:$G775=$G776)*($X$3:$X775="VALIDE")),$C$3:$C775),""))</f>
        <v/>
      </c>
      <c r="T776" s="36">
        <f>IF(OR($C776="",$S776=""),"",ROUND(($C776-$S776+IF($C776&lt;$S776,1,0))*1440,0))</f>
        <v/>
      </c>
      <c r="U776" s="22">
        <f>IF(OR($H776="",$T776="",$T776&lt;=0),"",$H776*60/$T776)</f>
        <v/>
      </c>
      <c r="V776" s="37">
        <f>IF(OR($U776="",$R776="",$R776=0),"",$U776/$R776)</f>
        <v/>
      </c>
      <c r="W776" s="20">
        <f>IF($G776="","",IF($X776="CONTEXTE INCOMPLET","CONTEXTE INCOMPLET",IF($X776="DOUBLON",StatutDoublon,IF($S776="",StatutInitial,IF($R776="",StatutStandardManquant,IF($V776="","DONNEES INSUFFISANTES",IF($V776&gt;=SeuilConforme,StatutConforme,IF($V776&gt;=SeuilSurveiller,StatutSurveiller,StatutSousStandard))))))))</f>
        <v/>
      </c>
      <c r="X776" s="33">
        <f>IF($G776="","",IF(OR($D776="",$E776="",$F776=""),"CONTEXTE INCOMPLET",IF(COUNTIFS($D$3:$D775,$D776,$E$3:$E775,$E776,$F$3:$F775,$F776,$G$3:$G775,$G776)&gt;0,"DOUBLON","VALIDE")))</f>
        <v/>
      </c>
    </row>
    <row r="777" ht="15" customHeight="1">
      <c r="A777" s="12">
        <f>IF(OR($B777="",$G777=""),"",TEXT($B777,"YYYYMMDD")&amp;"-"&amp;SUBSTITUTE($E777," ","")&amp;"-"&amp;$F777&amp;"-"&amp;$G777)</f>
        <v/>
      </c>
      <c r="B777" s="15" t="n"/>
      <c r="C777" s="16" t="n"/>
      <c r="D777" s="10" t="n"/>
      <c r="E777" s="9" t="n"/>
      <c r="F777" s="9" t="n"/>
      <c r="G777" s="13" t="n"/>
      <c r="H777" s="21" t="n"/>
      <c r="I777" s="21" t="n"/>
      <c r="J777" s="17">
        <f>IF($G777="","",IFERROR(INDEX(NomsEmployes,MATCH($G777,MatriculesEmployes,0)),"MATRICULE INCONNU"))</f>
        <v/>
      </c>
      <c r="K777" s="33">
        <f>IF(OR($D777="",$F777=""),"",IFERROR(IF(INDEX(RUNS!$L$6:$S$1005,MATCH($D777,RUNS!$A$6:$A$1005,0),MATCH("ACTIVITÉ "&amp;$F777,RUNS!$L$5:$S$5,0))="","",INDEX(RUNS!$L$6:$S$1005,MATCH($D777,RUNS!$A$6:$A$1005,0),MATCH("ACTIVITÉ "&amp;$F777,RUNS!$L$5:$S$5,0))),""))</f>
        <v/>
      </c>
      <c r="L777" s="33">
        <f>IF($D777="","",IFERROR(IF(INDEX(RUNS!$E$6:$E$1005,MATCH($D777,RUNS!$A$6:$A$1005,0))="","",INDEX(RUNS!$E$6:$E$1005,MATCH($D777,RUNS!$A$6:$A$1005,0))),""))</f>
        <v/>
      </c>
      <c r="M777" s="33">
        <f>IF($D777="","",IFERROR(IF(INDEX(RUNS!$F$6:$F$1005,MATCH($D777,RUNS!$A$6:$A$1005,0))="","",INDEX(RUNS!$F$6:$F$1005,MATCH($D777,RUNS!$A$6:$A$1005,0))),""))</f>
        <v/>
      </c>
      <c r="N777" s="33">
        <f>IF($D777="","",IFERROR(IF(INDEX(RUNS!$G$6:$G$1005,MATCH($D777,RUNS!$A$6:$A$1005,0))="","",INDEX(RUNS!$G$6:$G$1005,MATCH($D777,RUNS!$A$6:$A$1005,0))),""))</f>
        <v/>
      </c>
      <c r="O777" s="33">
        <f>IF($D777="","",IFERROR(IF(INDEX(RUNS!$H$6:$H$1005,MATCH($D777,RUNS!$A$6:$A$1005,0))="","",INDEX(RUNS!$H$6:$H$1005,MATCH($D777,RUNS!$A$6:$A$1005,0))),""))</f>
        <v/>
      </c>
      <c r="P777" s="33">
        <f>IF($D777="","",IFERROR(IF(INDEX(RUNS!$J$6:$J$1005,MATCH($D777,RUNS!$A$6:$A$1005,0))="","",INDEX(RUNS!$J$6:$J$1005,MATCH($D777,RUNS!$A$6:$A$1005,0))),""))</f>
        <v/>
      </c>
      <c r="Q777" s="33">
        <f>IF($D777="","",IFERROR(IF(INDEX(RUNS!$K$6:$K$1005,MATCH($D777,RUNS!$A$6:$A$1005,0))="","",INDEX(RUNS!$K$6:$K$1005,MATCH($D777,RUNS!$A$6:$A$1005,0))),""))</f>
        <v/>
      </c>
      <c r="R777" s="34">
        <f>IF(OR($L777="",$K777=""),"",IFERROR(IF(INDEX(PARAMETRES!$H$43:$H$342,MATCH($L777&amp;"|"&amp;$M777&amp;"|"&amp;$N777&amp;"|"&amp;$O777&amp;"|"&amp;$P777&amp;"|"&amp;$Q777&amp;"|"&amp;$K777,PARAMETRES!$J$43:$J$342,0))="","",INDEX(PARAMETRES!$H$43:$H$342,MATCH($L777&amp;"|"&amp;$M777&amp;"|"&amp;$N777&amp;"|"&amp;$O777&amp;"|"&amp;$P777&amp;"|"&amp;$Q777&amp;"|"&amp;$K777,PARAMETRES!$J$43:$J$342,0))),""))</f>
        <v/>
      </c>
      <c r="S777" s="35">
        <f>IF(OR($G777="",$X777&lt;&gt;"VALIDE"),"",IFERROR(LOOKUP(2,1/(($B$3:$B776=$B777)*($G$3:$G776=$G777)*($X$3:$X776="VALIDE")),$C$3:$C776),""))</f>
        <v/>
      </c>
      <c r="T777" s="36">
        <f>IF(OR($C777="",$S777=""),"",ROUND(($C777-$S777+IF($C777&lt;$S777,1,0))*1440,0))</f>
        <v/>
      </c>
      <c r="U777" s="22">
        <f>IF(OR($H777="",$T777="",$T777&lt;=0),"",$H777*60/$T777)</f>
        <v/>
      </c>
      <c r="V777" s="37">
        <f>IF(OR($U777="",$R777="",$R777=0),"",$U777/$R777)</f>
        <v/>
      </c>
      <c r="W777" s="20">
        <f>IF($G777="","",IF($X777="CONTEXTE INCOMPLET","CONTEXTE INCOMPLET",IF($X777="DOUBLON",StatutDoublon,IF($S777="",StatutInitial,IF($R777="",StatutStandardManquant,IF($V777="","DONNEES INSUFFISANTES",IF($V777&gt;=SeuilConforme,StatutConforme,IF($V777&gt;=SeuilSurveiller,StatutSurveiller,StatutSousStandard))))))))</f>
        <v/>
      </c>
      <c r="X777" s="33">
        <f>IF($G777="","",IF(OR($D777="",$E777="",$F777=""),"CONTEXTE INCOMPLET",IF(COUNTIFS($D$3:$D776,$D777,$E$3:$E776,$E777,$F$3:$F776,$F777,$G$3:$G776,$G777)&gt;0,"DOUBLON","VALIDE")))</f>
        <v/>
      </c>
    </row>
    <row r="778" ht="15" customHeight="1">
      <c r="A778" s="12">
        <f>IF(OR($B778="",$G778=""),"",TEXT($B778,"YYYYMMDD")&amp;"-"&amp;SUBSTITUTE($E778," ","")&amp;"-"&amp;$F778&amp;"-"&amp;$G778)</f>
        <v/>
      </c>
      <c r="B778" s="15" t="n"/>
      <c r="C778" s="16" t="n"/>
      <c r="D778" s="10" t="n"/>
      <c r="E778" s="9" t="n"/>
      <c r="F778" s="9" t="n"/>
      <c r="G778" s="13" t="n"/>
      <c r="H778" s="21" t="n"/>
      <c r="I778" s="21" t="n"/>
      <c r="J778" s="17">
        <f>IF($G778="","",IFERROR(INDEX(NomsEmployes,MATCH($G778,MatriculesEmployes,0)),"MATRICULE INCONNU"))</f>
        <v/>
      </c>
      <c r="K778" s="33">
        <f>IF(OR($D778="",$F778=""),"",IFERROR(IF(INDEX(RUNS!$L$6:$S$1005,MATCH($D778,RUNS!$A$6:$A$1005,0),MATCH("ACTIVITÉ "&amp;$F778,RUNS!$L$5:$S$5,0))="","",INDEX(RUNS!$L$6:$S$1005,MATCH($D778,RUNS!$A$6:$A$1005,0),MATCH("ACTIVITÉ "&amp;$F778,RUNS!$L$5:$S$5,0))),""))</f>
        <v/>
      </c>
      <c r="L778" s="33">
        <f>IF($D778="","",IFERROR(IF(INDEX(RUNS!$E$6:$E$1005,MATCH($D778,RUNS!$A$6:$A$1005,0))="","",INDEX(RUNS!$E$6:$E$1005,MATCH($D778,RUNS!$A$6:$A$1005,0))),""))</f>
        <v/>
      </c>
      <c r="M778" s="33">
        <f>IF($D778="","",IFERROR(IF(INDEX(RUNS!$F$6:$F$1005,MATCH($D778,RUNS!$A$6:$A$1005,0))="","",INDEX(RUNS!$F$6:$F$1005,MATCH($D778,RUNS!$A$6:$A$1005,0))),""))</f>
        <v/>
      </c>
      <c r="N778" s="33">
        <f>IF($D778="","",IFERROR(IF(INDEX(RUNS!$G$6:$G$1005,MATCH($D778,RUNS!$A$6:$A$1005,0))="","",INDEX(RUNS!$G$6:$G$1005,MATCH($D778,RUNS!$A$6:$A$1005,0))),""))</f>
        <v/>
      </c>
      <c r="O778" s="33">
        <f>IF($D778="","",IFERROR(IF(INDEX(RUNS!$H$6:$H$1005,MATCH($D778,RUNS!$A$6:$A$1005,0))="","",INDEX(RUNS!$H$6:$H$1005,MATCH($D778,RUNS!$A$6:$A$1005,0))),""))</f>
        <v/>
      </c>
      <c r="P778" s="33">
        <f>IF($D778="","",IFERROR(IF(INDEX(RUNS!$J$6:$J$1005,MATCH($D778,RUNS!$A$6:$A$1005,0))="","",INDEX(RUNS!$J$6:$J$1005,MATCH($D778,RUNS!$A$6:$A$1005,0))),""))</f>
        <v/>
      </c>
      <c r="Q778" s="33">
        <f>IF($D778="","",IFERROR(IF(INDEX(RUNS!$K$6:$K$1005,MATCH($D778,RUNS!$A$6:$A$1005,0))="","",INDEX(RUNS!$K$6:$K$1005,MATCH($D778,RUNS!$A$6:$A$1005,0))),""))</f>
        <v/>
      </c>
      <c r="R778" s="34">
        <f>IF(OR($L778="",$K778=""),"",IFERROR(IF(INDEX(PARAMETRES!$H$43:$H$342,MATCH($L778&amp;"|"&amp;$M778&amp;"|"&amp;$N778&amp;"|"&amp;$O778&amp;"|"&amp;$P778&amp;"|"&amp;$Q778&amp;"|"&amp;$K778,PARAMETRES!$J$43:$J$342,0))="","",INDEX(PARAMETRES!$H$43:$H$342,MATCH($L778&amp;"|"&amp;$M778&amp;"|"&amp;$N778&amp;"|"&amp;$O778&amp;"|"&amp;$P778&amp;"|"&amp;$Q778&amp;"|"&amp;$K778,PARAMETRES!$J$43:$J$342,0))),""))</f>
        <v/>
      </c>
      <c r="S778" s="35">
        <f>IF(OR($G778="",$X778&lt;&gt;"VALIDE"),"",IFERROR(LOOKUP(2,1/(($B$3:$B777=$B778)*($G$3:$G777=$G778)*($X$3:$X777="VALIDE")),$C$3:$C777),""))</f>
        <v/>
      </c>
      <c r="T778" s="36">
        <f>IF(OR($C778="",$S778=""),"",ROUND(($C778-$S778+IF($C778&lt;$S778,1,0))*1440,0))</f>
        <v/>
      </c>
      <c r="U778" s="22">
        <f>IF(OR($H778="",$T778="",$T778&lt;=0),"",$H778*60/$T778)</f>
        <v/>
      </c>
      <c r="V778" s="37">
        <f>IF(OR($U778="",$R778="",$R778=0),"",$U778/$R778)</f>
        <v/>
      </c>
      <c r="W778" s="20">
        <f>IF($G778="","",IF($X778="CONTEXTE INCOMPLET","CONTEXTE INCOMPLET",IF($X778="DOUBLON",StatutDoublon,IF($S778="",StatutInitial,IF($R778="",StatutStandardManquant,IF($V778="","DONNEES INSUFFISANTES",IF($V778&gt;=SeuilConforme,StatutConforme,IF($V778&gt;=SeuilSurveiller,StatutSurveiller,StatutSousStandard))))))))</f>
        <v/>
      </c>
      <c r="X778" s="33">
        <f>IF($G778="","",IF(OR($D778="",$E778="",$F778=""),"CONTEXTE INCOMPLET",IF(COUNTIFS($D$3:$D777,$D778,$E$3:$E777,$E778,$F$3:$F777,$F778,$G$3:$G777,$G778)&gt;0,"DOUBLON","VALIDE")))</f>
        <v/>
      </c>
    </row>
    <row r="779" ht="15" customHeight="1">
      <c r="A779" s="12">
        <f>IF(OR($B779="",$G779=""),"",TEXT($B779,"YYYYMMDD")&amp;"-"&amp;SUBSTITUTE($E779," ","")&amp;"-"&amp;$F779&amp;"-"&amp;$G779)</f>
        <v/>
      </c>
      <c r="B779" s="15" t="n"/>
      <c r="C779" s="16" t="n"/>
      <c r="D779" s="10" t="n"/>
      <c r="E779" s="9" t="n"/>
      <c r="F779" s="9" t="n"/>
      <c r="G779" s="13" t="n"/>
      <c r="H779" s="21" t="n"/>
      <c r="I779" s="21" t="n"/>
      <c r="J779" s="17">
        <f>IF($G779="","",IFERROR(INDEX(NomsEmployes,MATCH($G779,MatriculesEmployes,0)),"MATRICULE INCONNU"))</f>
        <v/>
      </c>
      <c r="K779" s="33">
        <f>IF(OR($D779="",$F779=""),"",IFERROR(IF(INDEX(RUNS!$L$6:$S$1005,MATCH($D779,RUNS!$A$6:$A$1005,0),MATCH("ACTIVITÉ "&amp;$F779,RUNS!$L$5:$S$5,0))="","",INDEX(RUNS!$L$6:$S$1005,MATCH($D779,RUNS!$A$6:$A$1005,0),MATCH("ACTIVITÉ "&amp;$F779,RUNS!$L$5:$S$5,0))),""))</f>
        <v/>
      </c>
      <c r="L779" s="33">
        <f>IF($D779="","",IFERROR(IF(INDEX(RUNS!$E$6:$E$1005,MATCH($D779,RUNS!$A$6:$A$1005,0))="","",INDEX(RUNS!$E$6:$E$1005,MATCH($D779,RUNS!$A$6:$A$1005,0))),""))</f>
        <v/>
      </c>
      <c r="M779" s="33">
        <f>IF($D779="","",IFERROR(IF(INDEX(RUNS!$F$6:$F$1005,MATCH($D779,RUNS!$A$6:$A$1005,0))="","",INDEX(RUNS!$F$6:$F$1005,MATCH($D779,RUNS!$A$6:$A$1005,0))),""))</f>
        <v/>
      </c>
      <c r="N779" s="33">
        <f>IF($D779="","",IFERROR(IF(INDEX(RUNS!$G$6:$G$1005,MATCH($D779,RUNS!$A$6:$A$1005,0))="","",INDEX(RUNS!$G$6:$G$1005,MATCH($D779,RUNS!$A$6:$A$1005,0))),""))</f>
        <v/>
      </c>
      <c r="O779" s="33">
        <f>IF($D779="","",IFERROR(IF(INDEX(RUNS!$H$6:$H$1005,MATCH($D779,RUNS!$A$6:$A$1005,0))="","",INDEX(RUNS!$H$6:$H$1005,MATCH($D779,RUNS!$A$6:$A$1005,0))),""))</f>
        <v/>
      </c>
      <c r="P779" s="33">
        <f>IF($D779="","",IFERROR(IF(INDEX(RUNS!$J$6:$J$1005,MATCH($D779,RUNS!$A$6:$A$1005,0))="","",INDEX(RUNS!$J$6:$J$1005,MATCH($D779,RUNS!$A$6:$A$1005,0))),""))</f>
        <v/>
      </c>
      <c r="Q779" s="33">
        <f>IF($D779="","",IFERROR(IF(INDEX(RUNS!$K$6:$K$1005,MATCH($D779,RUNS!$A$6:$A$1005,0))="","",INDEX(RUNS!$K$6:$K$1005,MATCH($D779,RUNS!$A$6:$A$1005,0))),""))</f>
        <v/>
      </c>
      <c r="R779" s="34">
        <f>IF(OR($L779="",$K779=""),"",IFERROR(IF(INDEX(PARAMETRES!$H$43:$H$342,MATCH($L779&amp;"|"&amp;$M779&amp;"|"&amp;$N779&amp;"|"&amp;$O779&amp;"|"&amp;$P779&amp;"|"&amp;$Q779&amp;"|"&amp;$K779,PARAMETRES!$J$43:$J$342,0))="","",INDEX(PARAMETRES!$H$43:$H$342,MATCH($L779&amp;"|"&amp;$M779&amp;"|"&amp;$N779&amp;"|"&amp;$O779&amp;"|"&amp;$P779&amp;"|"&amp;$Q779&amp;"|"&amp;$K779,PARAMETRES!$J$43:$J$342,0))),""))</f>
        <v/>
      </c>
      <c r="S779" s="35">
        <f>IF(OR($G779="",$X779&lt;&gt;"VALIDE"),"",IFERROR(LOOKUP(2,1/(($B$3:$B778=$B779)*($G$3:$G778=$G779)*($X$3:$X778="VALIDE")),$C$3:$C778),""))</f>
        <v/>
      </c>
      <c r="T779" s="36">
        <f>IF(OR($C779="",$S779=""),"",ROUND(($C779-$S779+IF($C779&lt;$S779,1,0))*1440,0))</f>
        <v/>
      </c>
      <c r="U779" s="22">
        <f>IF(OR($H779="",$T779="",$T779&lt;=0),"",$H779*60/$T779)</f>
        <v/>
      </c>
      <c r="V779" s="37">
        <f>IF(OR($U779="",$R779="",$R779=0),"",$U779/$R779)</f>
        <v/>
      </c>
      <c r="W779" s="20">
        <f>IF($G779="","",IF($X779="CONTEXTE INCOMPLET","CONTEXTE INCOMPLET",IF($X779="DOUBLON",StatutDoublon,IF($S779="",StatutInitial,IF($R779="",StatutStandardManquant,IF($V779="","DONNEES INSUFFISANTES",IF($V779&gt;=SeuilConforme,StatutConforme,IF($V779&gt;=SeuilSurveiller,StatutSurveiller,StatutSousStandard))))))))</f>
        <v/>
      </c>
      <c r="X779" s="33">
        <f>IF($G779="","",IF(OR($D779="",$E779="",$F779=""),"CONTEXTE INCOMPLET",IF(COUNTIFS($D$3:$D778,$D779,$E$3:$E778,$E779,$F$3:$F778,$F779,$G$3:$G778,$G779)&gt;0,"DOUBLON","VALIDE")))</f>
        <v/>
      </c>
    </row>
    <row r="780" ht="15" customHeight="1">
      <c r="A780" s="12">
        <f>IF(OR($B780="",$G780=""),"",TEXT($B780,"YYYYMMDD")&amp;"-"&amp;SUBSTITUTE($E780," ","")&amp;"-"&amp;$F780&amp;"-"&amp;$G780)</f>
        <v/>
      </c>
      <c r="B780" s="15" t="n"/>
      <c r="C780" s="16" t="n"/>
      <c r="D780" s="10" t="n"/>
      <c r="E780" s="9" t="n"/>
      <c r="F780" s="9" t="n"/>
      <c r="G780" s="13" t="n"/>
      <c r="H780" s="21" t="n"/>
      <c r="I780" s="21" t="n"/>
      <c r="J780" s="17">
        <f>IF($G780="","",IFERROR(INDEX(NomsEmployes,MATCH($G780,MatriculesEmployes,0)),"MATRICULE INCONNU"))</f>
        <v/>
      </c>
      <c r="K780" s="33">
        <f>IF(OR($D780="",$F780=""),"",IFERROR(IF(INDEX(RUNS!$L$6:$S$1005,MATCH($D780,RUNS!$A$6:$A$1005,0),MATCH("ACTIVITÉ "&amp;$F780,RUNS!$L$5:$S$5,0))="","",INDEX(RUNS!$L$6:$S$1005,MATCH($D780,RUNS!$A$6:$A$1005,0),MATCH("ACTIVITÉ "&amp;$F780,RUNS!$L$5:$S$5,0))),""))</f>
        <v/>
      </c>
      <c r="L780" s="33">
        <f>IF($D780="","",IFERROR(IF(INDEX(RUNS!$E$6:$E$1005,MATCH($D780,RUNS!$A$6:$A$1005,0))="","",INDEX(RUNS!$E$6:$E$1005,MATCH($D780,RUNS!$A$6:$A$1005,0))),""))</f>
        <v/>
      </c>
      <c r="M780" s="33">
        <f>IF($D780="","",IFERROR(IF(INDEX(RUNS!$F$6:$F$1005,MATCH($D780,RUNS!$A$6:$A$1005,0))="","",INDEX(RUNS!$F$6:$F$1005,MATCH($D780,RUNS!$A$6:$A$1005,0))),""))</f>
        <v/>
      </c>
      <c r="N780" s="33">
        <f>IF($D780="","",IFERROR(IF(INDEX(RUNS!$G$6:$G$1005,MATCH($D780,RUNS!$A$6:$A$1005,0))="","",INDEX(RUNS!$G$6:$G$1005,MATCH($D780,RUNS!$A$6:$A$1005,0))),""))</f>
        <v/>
      </c>
      <c r="O780" s="33">
        <f>IF($D780="","",IFERROR(IF(INDEX(RUNS!$H$6:$H$1005,MATCH($D780,RUNS!$A$6:$A$1005,0))="","",INDEX(RUNS!$H$6:$H$1005,MATCH($D780,RUNS!$A$6:$A$1005,0))),""))</f>
        <v/>
      </c>
      <c r="P780" s="33">
        <f>IF($D780="","",IFERROR(IF(INDEX(RUNS!$J$6:$J$1005,MATCH($D780,RUNS!$A$6:$A$1005,0))="","",INDEX(RUNS!$J$6:$J$1005,MATCH($D780,RUNS!$A$6:$A$1005,0))),""))</f>
        <v/>
      </c>
      <c r="Q780" s="33">
        <f>IF($D780="","",IFERROR(IF(INDEX(RUNS!$K$6:$K$1005,MATCH($D780,RUNS!$A$6:$A$1005,0))="","",INDEX(RUNS!$K$6:$K$1005,MATCH($D780,RUNS!$A$6:$A$1005,0))),""))</f>
        <v/>
      </c>
      <c r="R780" s="34">
        <f>IF(OR($L780="",$K780=""),"",IFERROR(IF(INDEX(PARAMETRES!$H$43:$H$342,MATCH($L780&amp;"|"&amp;$M780&amp;"|"&amp;$N780&amp;"|"&amp;$O780&amp;"|"&amp;$P780&amp;"|"&amp;$Q780&amp;"|"&amp;$K780,PARAMETRES!$J$43:$J$342,0))="","",INDEX(PARAMETRES!$H$43:$H$342,MATCH($L780&amp;"|"&amp;$M780&amp;"|"&amp;$N780&amp;"|"&amp;$O780&amp;"|"&amp;$P780&amp;"|"&amp;$Q780&amp;"|"&amp;$K780,PARAMETRES!$J$43:$J$342,0))),""))</f>
        <v/>
      </c>
      <c r="S780" s="35">
        <f>IF(OR($G780="",$X780&lt;&gt;"VALIDE"),"",IFERROR(LOOKUP(2,1/(($B$3:$B779=$B780)*($G$3:$G779=$G780)*($X$3:$X779="VALIDE")),$C$3:$C779),""))</f>
        <v/>
      </c>
      <c r="T780" s="36">
        <f>IF(OR($C780="",$S780=""),"",ROUND(($C780-$S780+IF($C780&lt;$S780,1,0))*1440,0))</f>
        <v/>
      </c>
      <c r="U780" s="22">
        <f>IF(OR($H780="",$T780="",$T780&lt;=0),"",$H780*60/$T780)</f>
        <v/>
      </c>
      <c r="V780" s="37">
        <f>IF(OR($U780="",$R780="",$R780=0),"",$U780/$R780)</f>
        <v/>
      </c>
      <c r="W780" s="20">
        <f>IF($G780="","",IF($X780="CONTEXTE INCOMPLET","CONTEXTE INCOMPLET",IF($X780="DOUBLON",StatutDoublon,IF($S780="",StatutInitial,IF($R780="",StatutStandardManquant,IF($V780="","DONNEES INSUFFISANTES",IF($V780&gt;=SeuilConforme,StatutConforme,IF($V780&gt;=SeuilSurveiller,StatutSurveiller,StatutSousStandard))))))))</f>
        <v/>
      </c>
      <c r="X780" s="33">
        <f>IF($G780="","",IF(OR($D780="",$E780="",$F780=""),"CONTEXTE INCOMPLET",IF(COUNTIFS($D$3:$D779,$D780,$E$3:$E779,$E780,$F$3:$F779,$F780,$G$3:$G779,$G780)&gt;0,"DOUBLON","VALIDE")))</f>
        <v/>
      </c>
    </row>
    <row r="781" ht="15" customHeight="1">
      <c r="A781" s="12">
        <f>IF(OR($B781="",$G781=""),"",TEXT($B781,"YYYYMMDD")&amp;"-"&amp;SUBSTITUTE($E781," ","")&amp;"-"&amp;$F781&amp;"-"&amp;$G781)</f>
        <v/>
      </c>
      <c r="B781" s="15" t="n"/>
      <c r="C781" s="16" t="n"/>
      <c r="D781" s="10" t="n"/>
      <c r="E781" s="9" t="n"/>
      <c r="F781" s="9" t="n"/>
      <c r="G781" s="13" t="n"/>
      <c r="H781" s="21" t="n"/>
      <c r="I781" s="21" t="n"/>
      <c r="J781" s="17">
        <f>IF($G781="","",IFERROR(INDEX(NomsEmployes,MATCH($G781,MatriculesEmployes,0)),"MATRICULE INCONNU"))</f>
        <v/>
      </c>
      <c r="K781" s="33">
        <f>IF(OR($D781="",$F781=""),"",IFERROR(IF(INDEX(RUNS!$L$6:$S$1005,MATCH($D781,RUNS!$A$6:$A$1005,0),MATCH("ACTIVITÉ "&amp;$F781,RUNS!$L$5:$S$5,0))="","",INDEX(RUNS!$L$6:$S$1005,MATCH($D781,RUNS!$A$6:$A$1005,0),MATCH("ACTIVITÉ "&amp;$F781,RUNS!$L$5:$S$5,0))),""))</f>
        <v/>
      </c>
      <c r="L781" s="33">
        <f>IF($D781="","",IFERROR(IF(INDEX(RUNS!$E$6:$E$1005,MATCH($D781,RUNS!$A$6:$A$1005,0))="","",INDEX(RUNS!$E$6:$E$1005,MATCH($D781,RUNS!$A$6:$A$1005,0))),""))</f>
        <v/>
      </c>
      <c r="M781" s="33">
        <f>IF($D781="","",IFERROR(IF(INDEX(RUNS!$F$6:$F$1005,MATCH($D781,RUNS!$A$6:$A$1005,0))="","",INDEX(RUNS!$F$6:$F$1005,MATCH($D781,RUNS!$A$6:$A$1005,0))),""))</f>
        <v/>
      </c>
      <c r="N781" s="33">
        <f>IF($D781="","",IFERROR(IF(INDEX(RUNS!$G$6:$G$1005,MATCH($D781,RUNS!$A$6:$A$1005,0))="","",INDEX(RUNS!$G$6:$G$1005,MATCH($D781,RUNS!$A$6:$A$1005,0))),""))</f>
        <v/>
      </c>
      <c r="O781" s="33">
        <f>IF($D781="","",IFERROR(IF(INDEX(RUNS!$H$6:$H$1005,MATCH($D781,RUNS!$A$6:$A$1005,0))="","",INDEX(RUNS!$H$6:$H$1005,MATCH($D781,RUNS!$A$6:$A$1005,0))),""))</f>
        <v/>
      </c>
      <c r="P781" s="33">
        <f>IF($D781="","",IFERROR(IF(INDEX(RUNS!$J$6:$J$1005,MATCH($D781,RUNS!$A$6:$A$1005,0))="","",INDEX(RUNS!$J$6:$J$1005,MATCH($D781,RUNS!$A$6:$A$1005,0))),""))</f>
        <v/>
      </c>
      <c r="Q781" s="33">
        <f>IF($D781="","",IFERROR(IF(INDEX(RUNS!$K$6:$K$1005,MATCH($D781,RUNS!$A$6:$A$1005,0))="","",INDEX(RUNS!$K$6:$K$1005,MATCH($D781,RUNS!$A$6:$A$1005,0))),""))</f>
        <v/>
      </c>
      <c r="R781" s="34">
        <f>IF(OR($L781="",$K781=""),"",IFERROR(IF(INDEX(PARAMETRES!$H$43:$H$342,MATCH($L781&amp;"|"&amp;$M781&amp;"|"&amp;$N781&amp;"|"&amp;$O781&amp;"|"&amp;$P781&amp;"|"&amp;$Q781&amp;"|"&amp;$K781,PARAMETRES!$J$43:$J$342,0))="","",INDEX(PARAMETRES!$H$43:$H$342,MATCH($L781&amp;"|"&amp;$M781&amp;"|"&amp;$N781&amp;"|"&amp;$O781&amp;"|"&amp;$P781&amp;"|"&amp;$Q781&amp;"|"&amp;$K781,PARAMETRES!$J$43:$J$342,0))),""))</f>
        <v/>
      </c>
      <c r="S781" s="35">
        <f>IF(OR($G781="",$X781&lt;&gt;"VALIDE"),"",IFERROR(LOOKUP(2,1/(($B$3:$B780=$B781)*($G$3:$G780=$G781)*($X$3:$X780="VALIDE")),$C$3:$C780),""))</f>
        <v/>
      </c>
      <c r="T781" s="36">
        <f>IF(OR($C781="",$S781=""),"",ROUND(($C781-$S781+IF($C781&lt;$S781,1,0))*1440,0))</f>
        <v/>
      </c>
      <c r="U781" s="22">
        <f>IF(OR($H781="",$T781="",$T781&lt;=0),"",$H781*60/$T781)</f>
        <v/>
      </c>
      <c r="V781" s="37">
        <f>IF(OR($U781="",$R781="",$R781=0),"",$U781/$R781)</f>
        <v/>
      </c>
      <c r="W781" s="20">
        <f>IF($G781="","",IF($X781="CONTEXTE INCOMPLET","CONTEXTE INCOMPLET",IF($X781="DOUBLON",StatutDoublon,IF($S781="",StatutInitial,IF($R781="",StatutStandardManquant,IF($V781="","DONNEES INSUFFISANTES",IF($V781&gt;=SeuilConforme,StatutConforme,IF($V781&gt;=SeuilSurveiller,StatutSurveiller,StatutSousStandard))))))))</f>
        <v/>
      </c>
      <c r="X781" s="33">
        <f>IF($G781="","",IF(OR($D781="",$E781="",$F781=""),"CONTEXTE INCOMPLET",IF(COUNTIFS($D$3:$D780,$D781,$E$3:$E780,$E781,$F$3:$F780,$F781,$G$3:$G780,$G781)&gt;0,"DOUBLON","VALIDE")))</f>
        <v/>
      </c>
    </row>
    <row r="782" ht="15" customHeight="1">
      <c r="A782" s="12">
        <f>IF(OR($B782="",$G782=""),"",TEXT($B782,"YYYYMMDD")&amp;"-"&amp;SUBSTITUTE($E782," ","")&amp;"-"&amp;$F782&amp;"-"&amp;$G782)</f>
        <v/>
      </c>
      <c r="B782" s="15" t="n"/>
      <c r="C782" s="16" t="n"/>
      <c r="D782" s="10" t="n"/>
      <c r="E782" s="9" t="n"/>
      <c r="F782" s="9" t="n"/>
      <c r="G782" s="13" t="n"/>
      <c r="H782" s="21" t="n"/>
      <c r="I782" s="21" t="n"/>
      <c r="J782" s="17">
        <f>IF($G782="","",IFERROR(INDEX(NomsEmployes,MATCH($G782,MatriculesEmployes,0)),"MATRICULE INCONNU"))</f>
        <v/>
      </c>
      <c r="K782" s="33">
        <f>IF(OR($D782="",$F782=""),"",IFERROR(IF(INDEX(RUNS!$L$6:$S$1005,MATCH($D782,RUNS!$A$6:$A$1005,0),MATCH("ACTIVITÉ "&amp;$F782,RUNS!$L$5:$S$5,0))="","",INDEX(RUNS!$L$6:$S$1005,MATCH($D782,RUNS!$A$6:$A$1005,0),MATCH("ACTIVITÉ "&amp;$F782,RUNS!$L$5:$S$5,0))),""))</f>
        <v/>
      </c>
      <c r="L782" s="33">
        <f>IF($D782="","",IFERROR(IF(INDEX(RUNS!$E$6:$E$1005,MATCH($D782,RUNS!$A$6:$A$1005,0))="","",INDEX(RUNS!$E$6:$E$1005,MATCH($D782,RUNS!$A$6:$A$1005,0))),""))</f>
        <v/>
      </c>
      <c r="M782" s="33">
        <f>IF($D782="","",IFERROR(IF(INDEX(RUNS!$F$6:$F$1005,MATCH($D782,RUNS!$A$6:$A$1005,0))="","",INDEX(RUNS!$F$6:$F$1005,MATCH($D782,RUNS!$A$6:$A$1005,0))),""))</f>
        <v/>
      </c>
      <c r="N782" s="33">
        <f>IF($D782="","",IFERROR(IF(INDEX(RUNS!$G$6:$G$1005,MATCH($D782,RUNS!$A$6:$A$1005,0))="","",INDEX(RUNS!$G$6:$G$1005,MATCH($D782,RUNS!$A$6:$A$1005,0))),""))</f>
        <v/>
      </c>
      <c r="O782" s="33">
        <f>IF($D782="","",IFERROR(IF(INDEX(RUNS!$H$6:$H$1005,MATCH($D782,RUNS!$A$6:$A$1005,0))="","",INDEX(RUNS!$H$6:$H$1005,MATCH($D782,RUNS!$A$6:$A$1005,0))),""))</f>
        <v/>
      </c>
      <c r="P782" s="33">
        <f>IF($D782="","",IFERROR(IF(INDEX(RUNS!$J$6:$J$1005,MATCH($D782,RUNS!$A$6:$A$1005,0))="","",INDEX(RUNS!$J$6:$J$1005,MATCH($D782,RUNS!$A$6:$A$1005,0))),""))</f>
        <v/>
      </c>
      <c r="Q782" s="33">
        <f>IF($D782="","",IFERROR(IF(INDEX(RUNS!$K$6:$K$1005,MATCH($D782,RUNS!$A$6:$A$1005,0))="","",INDEX(RUNS!$K$6:$K$1005,MATCH($D782,RUNS!$A$6:$A$1005,0))),""))</f>
        <v/>
      </c>
      <c r="R782" s="34">
        <f>IF(OR($L782="",$K782=""),"",IFERROR(IF(INDEX(PARAMETRES!$H$43:$H$342,MATCH($L782&amp;"|"&amp;$M782&amp;"|"&amp;$N782&amp;"|"&amp;$O782&amp;"|"&amp;$P782&amp;"|"&amp;$Q782&amp;"|"&amp;$K782,PARAMETRES!$J$43:$J$342,0))="","",INDEX(PARAMETRES!$H$43:$H$342,MATCH($L782&amp;"|"&amp;$M782&amp;"|"&amp;$N782&amp;"|"&amp;$O782&amp;"|"&amp;$P782&amp;"|"&amp;$Q782&amp;"|"&amp;$K782,PARAMETRES!$J$43:$J$342,0))),""))</f>
        <v/>
      </c>
      <c r="S782" s="35">
        <f>IF(OR($G782="",$X782&lt;&gt;"VALIDE"),"",IFERROR(LOOKUP(2,1/(($B$3:$B781=$B782)*($G$3:$G781=$G782)*($X$3:$X781="VALIDE")),$C$3:$C781),""))</f>
        <v/>
      </c>
      <c r="T782" s="36">
        <f>IF(OR($C782="",$S782=""),"",ROUND(($C782-$S782+IF($C782&lt;$S782,1,0))*1440,0))</f>
        <v/>
      </c>
      <c r="U782" s="22">
        <f>IF(OR($H782="",$T782="",$T782&lt;=0),"",$H782*60/$T782)</f>
        <v/>
      </c>
      <c r="V782" s="37">
        <f>IF(OR($U782="",$R782="",$R782=0),"",$U782/$R782)</f>
        <v/>
      </c>
      <c r="W782" s="20">
        <f>IF($G782="","",IF($X782="CONTEXTE INCOMPLET","CONTEXTE INCOMPLET",IF($X782="DOUBLON",StatutDoublon,IF($S782="",StatutInitial,IF($R782="",StatutStandardManquant,IF($V782="","DONNEES INSUFFISANTES",IF($V782&gt;=SeuilConforme,StatutConforme,IF($V782&gt;=SeuilSurveiller,StatutSurveiller,StatutSousStandard))))))))</f>
        <v/>
      </c>
      <c r="X782" s="33">
        <f>IF($G782="","",IF(OR($D782="",$E782="",$F782=""),"CONTEXTE INCOMPLET",IF(COUNTIFS($D$3:$D781,$D782,$E$3:$E781,$E782,$F$3:$F781,$F782,$G$3:$G781,$G782)&gt;0,"DOUBLON","VALIDE")))</f>
        <v/>
      </c>
    </row>
    <row r="783" ht="15" customHeight="1">
      <c r="A783" s="12">
        <f>IF(OR($B783="",$G783=""),"",TEXT($B783,"YYYYMMDD")&amp;"-"&amp;SUBSTITUTE($E783," ","")&amp;"-"&amp;$F783&amp;"-"&amp;$G783)</f>
        <v/>
      </c>
      <c r="B783" s="15" t="n"/>
      <c r="C783" s="16" t="n"/>
      <c r="D783" s="10" t="n"/>
      <c r="E783" s="9" t="n"/>
      <c r="F783" s="9" t="n"/>
      <c r="G783" s="13" t="n"/>
      <c r="H783" s="21" t="n"/>
      <c r="I783" s="21" t="n"/>
      <c r="J783" s="17">
        <f>IF($G783="","",IFERROR(INDEX(NomsEmployes,MATCH($G783,MatriculesEmployes,0)),"MATRICULE INCONNU"))</f>
        <v/>
      </c>
      <c r="K783" s="33">
        <f>IF(OR($D783="",$F783=""),"",IFERROR(IF(INDEX(RUNS!$L$6:$S$1005,MATCH($D783,RUNS!$A$6:$A$1005,0),MATCH("ACTIVITÉ "&amp;$F783,RUNS!$L$5:$S$5,0))="","",INDEX(RUNS!$L$6:$S$1005,MATCH($D783,RUNS!$A$6:$A$1005,0),MATCH("ACTIVITÉ "&amp;$F783,RUNS!$L$5:$S$5,0))),""))</f>
        <v/>
      </c>
      <c r="L783" s="33">
        <f>IF($D783="","",IFERROR(IF(INDEX(RUNS!$E$6:$E$1005,MATCH($D783,RUNS!$A$6:$A$1005,0))="","",INDEX(RUNS!$E$6:$E$1005,MATCH($D783,RUNS!$A$6:$A$1005,0))),""))</f>
        <v/>
      </c>
      <c r="M783" s="33">
        <f>IF($D783="","",IFERROR(IF(INDEX(RUNS!$F$6:$F$1005,MATCH($D783,RUNS!$A$6:$A$1005,0))="","",INDEX(RUNS!$F$6:$F$1005,MATCH($D783,RUNS!$A$6:$A$1005,0))),""))</f>
        <v/>
      </c>
      <c r="N783" s="33">
        <f>IF($D783="","",IFERROR(IF(INDEX(RUNS!$G$6:$G$1005,MATCH($D783,RUNS!$A$6:$A$1005,0))="","",INDEX(RUNS!$G$6:$G$1005,MATCH($D783,RUNS!$A$6:$A$1005,0))),""))</f>
        <v/>
      </c>
      <c r="O783" s="33">
        <f>IF($D783="","",IFERROR(IF(INDEX(RUNS!$H$6:$H$1005,MATCH($D783,RUNS!$A$6:$A$1005,0))="","",INDEX(RUNS!$H$6:$H$1005,MATCH($D783,RUNS!$A$6:$A$1005,0))),""))</f>
        <v/>
      </c>
      <c r="P783" s="33">
        <f>IF($D783="","",IFERROR(IF(INDEX(RUNS!$J$6:$J$1005,MATCH($D783,RUNS!$A$6:$A$1005,0))="","",INDEX(RUNS!$J$6:$J$1005,MATCH($D783,RUNS!$A$6:$A$1005,0))),""))</f>
        <v/>
      </c>
      <c r="Q783" s="33">
        <f>IF($D783="","",IFERROR(IF(INDEX(RUNS!$K$6:$K$1005,MATCH($D783,RUNS!$A$6:$A$1005,0))="","",INDEX(RUNS!$K$6:$K$1005,MATCH($D783,RUNS!$A$6:$A$1005,0))),""))</f>
        <v/>
      </c>
      <c r="R783" s="34">
        <f>IF(OR($L783="",$K783=""),"",IFERROR(IF(INDEX(PARAMETRES!$H$43:$H$342,MATCH($L783&amp;"|"&amp;$M783&amp;"|"&amp;$N783&amp;"|"&amp;$O783&amp;"|"&amp;$P783&amp;"|"&amp;$Q783&amp;"|"&amp;$K783,PARAMETRES!$J$43:$J$342,0))="","",INDEX(PARAMETRES!$H$43:$H$342,MATCH($L783&amp;"|"&amp;$M783&amp;"|"&amp;$N783&amp;"|"&amp;$O783&amp;"|"&amp;$P783&amp;"|"&amp;$Q783&amp;"|"&amp;$K783,PARAMETRES!$J$43:$J$342,0))),""))</f>
        <v/>
      </c>
      <c r="S783" s="35">
        <f>IF(OR($G783="",$X783&lt;&gt;"VALIDE"),"",IFERROR(LOOKUP(2,1/(($B$3:$B782=$B783)*($G$3:$G782=$G783)*($X$3:$X782="VALIDE")),$C$3:$C782),""))</f>
        <v/>
      </c>
      <c r="T783" s="36">
        <f>IF(OR($C783="",$S783=""),"",ROUND(($C783-$S783+IF($C783&lt;$S783,1,0))*1440,0))</f>
        <v/>
      </c>
      <c r="U783" s="22">
        <f>IF(OR($H783="",$T783="",$T783&lt;=0),"",$H783*60/$T783)</f>
        <v/>
      </c>
      <c r="V783" s="37">
        <f>IF(OR($U783="",$R783="",$R783=0),"",$U783/$R783)</f>
        <v/>
      </c>
      <c r="W783" s="20">
        <f>IF($G783="","",IF($X783="CONTEXTE INCOMPLET","CONTEXTE INCOMPLET",IF($X783="DOUBLON",StatutDoublon,IF($S783="",StatutInitial,IF($R783="",StatutStandardManquant,IF($V783="","DONNEES INSUFFISANTES",IF($V783&gt;=SeuilConforme,StatutConforme,IF($V783&gt;=SeuilSurveiller,StatutSurveiller,StatutSousStandard))))))))</f>
        <v/>
      </c>
      <c r="X783" s="33">
        <f>IF($G783="","",IF(OR($D783="",$E783="",$F783=""),"CONTEXTE INCOMPLET",IF(COUNTIFS($D$3:$D782,$D783,$E$3:$E782,$E783,$F$3:$F782,$F783,$G$3:$G782,$G783)&gt;0,"DOUBLON","VALIDE")))</f>
        <v/>
      </c>
    </row>
    <row r="784" ht="15" customHeight="1">
      <c r="A784" s="12">
        <f>IF(OR($B784="",$G784=""),"",TEXT($B784,"YYYYMMDD")&amp;"-"&amp;SUBSTITUTE($E784," ","")&amp;"-"&amp;$F784&amp;"-"&amp;$G784)</f>
        <v/>
      </c>
      <c r="B784" s="15" t="n"/>
      <c r="C784" s="16" t="n"/>
      <c r="D784" s="10" t="n"/>
      <c r="E784" s="9" t="n"/>
      <c r="F784" s="9" t="n"/>
      <c r="G784" s="13" t="n"/>
      <c r="H784" s="21" t="n"/>
      <c r="I784" s="21" t="n"/>
      <c r="J784" s="17">
        <f>IF($G784="","",IFERROR(INDEX(NomsEmployes,MATCH($G784,MatriculesEmployes,0)),"MATRICULE INCONNU"))</f>
        <v/>
      </c>
      <c r="K784" s="33">
        <f>IF(OR($D784="",$F784=""),"",IFERROR(IF(INDEX(RUNS!$L$6:$S$1005,MATCH($D784,RUNS!$A$6:$A$1005,0),MATCH("ACTIVITÉ "&amp;$F784,RUNS!$L$5:$S$5,0))="","",INDEX(RUNS!$L$6:$S$1005,MATCH($D784,RUNS!$A$6:$A$1005,0),MATCH("ACTIVITÉ "&amp;$F784,RUNS!$L$5:$S$5,0))),""))</f>
        <v/>
      </c>
      <c r="L784" s="33">
        <f>IF($D784="","",IFERROR(IF(INDEX(RUNS!$E$6:$E$1005,MATCH($D784,RUNS!$A$6:$A$1005,0))="","",INDEX(RUNS!$E$6:$E$1005,MATCH($D784,RUNS!$A$6:$A$1005,0))),""))</f>
        <v/>
      </c>
      <c r="M784" s="33">
        <f>IF($D784="","",IFERROR(IF(INDEX(RUNS!$F$6:$F$1005,MATCH($D784,RUNS!$A$6:$A$1005,0))="","",INDEX(RUNS!$F$6:$F$1005,MATCH($D784,RUNS!$A$6:$A$1005,0))),""))</f>
        <v/>
      </c>
      <c r="N784" s="33">
        <f>IF($D784="","",IFERROR(IF(INDEX(RUNS!$G$6:$G$1005,MATCH($D784,RUNS!$A$6:$A$1005,0))="","",INDEX(RUNS!$G$6:$G$1005,MATCH($D784,RUNS!$A$6:$A$1005,0))),""))</f>
        <v/>
      </c>
      <c r="O784" s="33">
        <f>IF($D784="","",IFERROR(IF(INDEX(RUNS!$H$6:$H$1005,MATCH($D784,RUNS!$A$6:$A$1005,0))="","",INDEX(RUNS!$H$6:$H$1005,MATCH($D784,RUNS!$A$6:$A$1005,0))),""))</f>
        <v/>
      </c>
      <c r="P784" s="33">
        <f>IF($D784="","",IFERROR(IF(INDEX(RUNS!$J$6:$J$1005,MATCH($D784,RUNS!$A$6:$A$1005,0))="","",INDEX(RUNS!$J$6:$J$1005,MATCH($D784,RUNS!$A$6:$A$1005,0))),""))</f>
        <v/>
      </c>
      <c r="Q784" s="33">
        <f>IF($D784="","",IFERROR(IF(INDEX(RUNS!$K$6:$K$1005,MATCH($D784,RUNS!$A$6:$A$1005,0))="","",INDEX(RUNS!$K$6:$K$1005,MATCH($D784,RUNS!$A$6:$A$1005,0))),""))</f>
        <v/>
      </c>
      <c r="R784" s="34">
        <f>IF(OR($L784="",$K784=""),"",IFERROR(IF(INDEX(PARAMETRES!$H$43:$H$342,MATCH($L784&amp;"|"&amp;$M784&amp;"|"&amp;$N784&amp;"|"&amp;$O784&amp;"|"&amp;$P784&amp;"|"&amp;$Q784&amp;"|"&amp;$K784,PARAMETRES!$J$43:$J$342,0))="","",INDEX(PARAMETRES!$H$43:$H$342,MATCH($L784&amp;"|"&amp;$M784&amp;"|"&amp;$N784&amp;"|"&amp;$O784&amp;"|"&amp;$P784&amp;"|"&amp;$Q784&amp;"|"&amp;$K784,PARAMETRES!$J$43:$J$342,0))),""))</f>
        <v/>
      </c>
      <c r="S784" s="35">
        <f>IF(OR($G784="",$X784&lt;&gt;"VALIDE"),"",IFERROR(LOOKUP(2,1/(($B$3:$B783=$B784)*($G$3:$G783=$G784)*($X$3:$X783="VALIDE")),$C$3:$C783),""))</f>
        <v/>
      </c>
      <c r="T784" s="36">
        <f>IF(OR($C784="",$S784=""),"",ROUND(($C784-$S784+IF($C784&lt;$S784,1,0))*1440,0))</f>
        <v/>
      </c>
      <c r="U784" s="22">
        <f>IF(OR($H784="",$T784="",$T784&lt;=0),"",$H784*60/$T784)</f>
        <v/>
      </c>
      <c r="V784" s="37">
        <f>IF(OR($U784="",$R784="",$R784=0),"",$U784/$R784)</f>
        <v/>
      </c>
      <c r="W784" s="20">
        <f>IF($G784="","",IF($X784="CONTEXTE INCOMPLET","CONTEXTE INCOMPLET",IF($X784="DOUBLON",StatutDoublon,IF($S784="",StatutInitial,IF($R784="",StatutStandardManquant,IF($V784="","DONNEES INSUFFISANTES",IF($V784&gt;=SeuilConforme,StatutConforme,IF($V784&gt;=SeuilSurveiller,StatutSurveiller,StatutSousStandard))))))))</f>
        <v/>
      </c>
      <c r="X784" s="33">
        <f>IF($G784="","",IF(OR($D784="",$E784="",$F784=""),"CONTEXTE INCOMPLET",IF(COUNTIFS($D$3:$D783,$D784,$E$3:$E783,$E784,$F$3:$F783,$F784,$G$3:$G783,$G784)&gt;0,"DOUBLON","VALIDE")))</f>
        <v/>
      </c>
    </row>
    <row r="785" ht="15" customHeight="1">
      <c r="A785" s="12">
        <f>IF(OR($B785="",$G785=""),"",TEXT($B785,"YYYYMMDD")&amp;"-"&amp;SUBSTITUTE($E785," ","")&amp;"-"&amp;$F785&amp;"-"&amp;$G785)</f>
        <v/>
      </c>
      <c r="B785" s="15" t="n"/>
      <c r="C785" s="16" t="n"/>
      <c r="D785" s="10" t="n"/>
      <c r="E785" s="9" t="n"/>
      <c r="F785" s="9" t="n"/>
      <c r="G785" s="13" t="n"/>
      <c r="H785" s="21" t="n"/>
      <c r="I785" s="21" t="n"/>
      <c r="J785" s="17">
        <f>IF($G785="","",IFERROR(INDEX(NomsEmployes,MATCH($G785,MatriculesEmployes,0)),"MATRICULE INCONNU"))</f>
        <v/>
      </c>
      <c r="K785" s="33">
        <f>IF(OR($D785="",$F785=""),"",IFERROR(IF(INDEX(RUNS!$L$6:$S$1005,MATCH($D785,RUNS!$A$6:$A$1005,0),MATCH("ACTIVITÉ "&amp;$F785,RUNS!$L$5:$S$5,0))="","",INDEX(RUNS!$L$6:$S$1005,MATCH($D785,RUNS!$A$6:$A$1005,0),MATCH("ACTIVITÉ "&amp;$F785,RUNS!$L$5:$S$5,0))),""))</f>
        <v/>
      </c>
      <c r="L785" s="33">
        <f>IF($D785="","",IFERROR(IF(INDEX(RUNS!$E$6:$E$1005,MATCH($D785,RUNS!$A$6:$A$1005,0))="","",INDEX(RUNS!$E$6:$E$1005,MATCH($D785,RUNS!$A$6:$A$1005,0))),""))</f>
        <v/>
      </c>
      <c r="M785" s="33">
        <f>IF($D785="","",IFERROR(IF(INDEX(RUNS!$F$6:$F$1005,MATCH($D785,RUNS!$A$6:$A$1005,0))="","",INDEX(RUNS!$F$6:$F$1005,MATCH($D785,RUNS!$A$6:$A$1005,0))),""))</f>
        <v/>
      </c>
      <c r="N785" s="33">
        <f>IF($D785="","",IFERROR(IF(INDEX(RUNS!$G$6:$G$1005,MATCH($D785,RUNS!$A$6:$A$1005,0))="","",INDEX(RUNS!$G$6:$G$1005,MATCH($D785,RUNS!$A$6:$A$1005,0))),""))</f>
        <v/>
      </c>
      <c r="O785" s="33">
        <f>IF($D785="","",IFERROR(IF(INDEX(RUNS!$H$6:$H$1005,MATCH($D785,RUNS!$A$6:$A$1005,0))="","",INDEX(RUNS!$H$6:$H$1005,MATCH($D785,RUNS!$A$6:$A$1005,0))),""))</f>
        <v/>
      </c>
      <c r="P785" s="33">
        <f>IF($D785="","",IFERROR(IF(INDEX(RUNS!$J$6:$J$1005,MATCH($D785,RUNS!$A$6:$A$1005,0))="","",INDEX(RUNS!$J$6:$J$1005,MATCH($D785,RUNS!$A$6:$A$1005,0))),""))</f>
        <v/>
      </c>
      <c r="Q785" s="33">
        <f>IF($D785="","",IFERROR(IF(INDEX(RUNS!$K$6:$K$1005,MATCH($D785,RUNS!$A$6:$A$1005,0))="","",INDEX(RUNS!$K$6:$K$1005,MATCH($D785,RUNS!$A$6:$A$1005,0))),""))</f>
        <v/>
      </c>
      <c r="R785" s="34">
        <f>IF(OR($L785="",$K785=""),"",IFERROR(IF(INDEX(PARAMETRES!$H$43:$H$342,MATCH($L785&amp;"|"&amp;$M785&amp;"|"&amp;$N785&amp;"|"&amp;$O785&amp;"|"&amp;$P785&amp;"|"&amp;$Q785&amp;"|"&amp;$K785,PARAMETRES!$J$43:$J$342,0))="","",INDEX(PARAMETRES!$H$43:$H$342,MATCH($L785&amp;"|"&amp;$M785&amp;"|"&amp;$N785&amp;"|"&amp;$O785&amp;"|"&amp;$P785&amp;"|"&amp;$Q785&amp;"|"&amp;$K785,PARAMETRES!$J$43:$J$342,0))),""))</f>
        <v/>
      </c>
      <c r="S785" s="35">
        <f>IF(OR($G785="",$X785&lt;&gt;"VALIDE"),"",IFERROR(LOOKUP(2,1/(($B$3:$B784=$B785)*($G$3:$G784=$G785)*($X$3:$X784="VALIDE")),$C$3:$C784),""))</f>
        <v/>
      </c>
      <c r="T785" s="36">
        <f>IF(OR($C785="",$S785=""),"",ROUND(($C785-$S785+IF($C785&lt;$S785,1,0))*1440,0))</f>
        <v/>
      </c>
      <c r="U785" s="22">
        <f>IF(OR($H785="",$T785="",$T785&lt;=0),"",$H785*60/$T785)</f>
        <v/>
      </c>
      <c r="V785" s="37">
        <f>IF(OR($U785="",$R785="",$R785=0),"",$U785/$R785)</f>
        <v/>
      </c>
      <c r="W785" s="20">
        <f>IF($G785="","",IF($X785="CONTEXTE INCOMPLET","CONTEXTE INCOMPLET",IF($X785="DOUBLON",StatutDoublon,IF($S785="",StatutInitial,IF($R785="",StatutStandardManquant,IF($V785="","DONNEES INSUFFISANTES",IF($V785&gt;=SeuilConforme,StatutConforme,IF($V785&gt;=SeuilSurveiller,StatutSurveiller,StatutSousStandard))))))))</f>
        <v/>
      </c>
      <c r="X785" s="33">
        <f>IF($G785="","",IF(OR($D785="",$E785="",$F785=""),"CONTEXTE INCOMPLET",IF(COUNTIFS($D$3:$D784,$D785,$E$3:$E784,$E785,$F$3:$F784,$F785,$G$3:$G784,$G785)&gt;0,"DOUBLON","VALIDE")))</f>
        <v/>
      </c>
    </row>
    <row r="786" ht="15" customHeight="1">
      <c r="A786" s="12">
        <f>IF(OR($B786="",$G786=""),"",TEXT($B786,"YYYYMMDD")&amp;"-"&amp;SUBSTITUTE($E786," ","")&amp;"-"&amp;$F786&amp;"-"&amp;$G786)</f>
        <v/>
      </c>
      <c r="B786" s="15" t="n"/>
      <c r="C786" s="16" t="n"/>
      <c r="D786" s="10" t="n"/>
      <c r="E786" s="9" t="n"/>
      <c r="F786" s="9" t="n"/>
      <c r="G786" s="13" t="n"/>
      <c r="H786" s="21" t="n"/>
      <c r="I786" s="21" t="n"/>
      <c r="J786" s="17">
        <f>IF($G786="","",IFERROR(INDEX(NomsEmployes,MATCH($G786,MatriculesEmployes,0)),"MATRICULE INCONNU"))</f>
        <v/>
      </c>
      <c r="K786" s="33">
        <f>IF(OR($D786="",$F786=""),"",IFERROR(IF(INDEX(RUNS!$L$6:$S$1005,MATCH($D786,RUNS!$A$6:$A$1005,0),MATCH("ACTIVITÉ "&amp;$F786,RUNS!$L$5:$S$5,0))="","",INDEX(RUNS!$L$6:$S$1005,MATCH($D786,RUNS!$A$6:$A$1005,0),MATCH("ACTIVITÉ "&amp;$F786,RUNS!$L$5:$S$5,0))),""))</f>
        <v/>
      </c>
      <c r="L786" s="33">
        <f>IF($D786="","",IFERROR(IF(INDEX(RUNS!$E$6:$E$1005,MATCH($D786,RUNS!$A$6:$A$1005,0))="","",INDEX(RUNS!$E$6:$E$1005,MATCH($D786,RUNS!$A$6:$A$1005,0))),""))</f>
        <v/>
      </c>
      <c r="M786" s="33">
        <f>IF($D786="","",IFERROR(IF(INDEX(RUNS!$F$6:$F$1005,MATCH($D786,RUNS!$A$6:$A$1005,0))="","",INDEX(RUNS!$F$6:$F$1005,MATCH($D786,RUNS!$A$6:$A$1005,0))),""))</f>
        <v/>
      </c>
      <c r="N786" s="33">
        <f>IF($D786="","",IFERROR(IF(INDEX(RUNS!$G$6:$G$1005,MATCH($D786,RUNS!$A$6:$A$1005,0))="","",INDEX(RUNS!$G$6:$G$1005,MATCH($D786,RUNS!$A$6:$A$1005,0))),""))</f>
        <v/>
      </c>
      <c r="O786" s="33">
        <f>IF($D786="","",IFERROR(IF(INDEX(RUNS!$H$6:$H$1005,MATCH($D786,RUNS!$A$6:$A$1005,0))="","",INDEX(RUNS!$H$6:$H$1005,MATCH($D786,RUNS!$A$6:$A$1005,0))),""))</f>
        <v/>
      </c>
      <c r="P786" s="33">
        <f>IF($D786="","",IFERROR(IF(INDEX(RUNS!$J$6:$J$1005,MATCH($D786,RUNS!$A$6:$A$1005,0))="","",INDEX(RUNS!$J$6:$J$1005,MATCH($D786,RUNS!$A$6:$A$1005,0))),""))</f>
        <v/>
      </c>
      <c r="Q786" s="33">
        <f>IF($D786="","",IFERROR(IF(INDEX(RUNS!$K$6:$K$1005,MATCH($D786,RUNS!$A$6:$A$1005,0))="","",INDEX(RUNS!$K$6:$K$1005,MATCH($D786,RUNS!$A$6:$A$1005,0))),""))</f>
        <v/>
      </c>
      <c r="R786" s="34">
        <f>IF(OR($L786="",$K786=""),"",IFERROR(IF(INDEX(PARAMETRES!$H$43:$H$342,MATCH($L786&amp;"|"&amp;$M786&amp;"|"&amp;$N786&amp;"|"&amp;$O786&amp;"|"&amp;$P786&amp;"|"&amp;$Q786&amp;"|"&amp;$K786,PARAMETRES!$J$43:$J$342,0))="","",INDEX(PARAMETRES!$H$43:$H$342,MATCH($L786&amp;"|"&amp;$M786&amp;"|"&amp;$N786&amp;"|"&amp;$O786&amp;"|"&amp;$P786&amp;"|"&amp;$Q786&amp;"|"&amp;$K786,PARAMETRES!$J$43:$J$342,0))),""))</f>
        <v/>
      </c>
      <c r="S786" s="35">
        <f>IF(OR($G786="",$X786&lt;&gt;"VALIDE"),"",IFERROR(LOOKUP(2,1/(($B$3:$B785=$B786)*($G$3:$G785=$G786)*($X$3:$X785="VALIDE")),$C$3:$C785),""))</f>
        <v/>
      </c>
      <c r="T786" s="36">
        <f>IF(OR($C786="",$S786=""),"",ROUND(($C786-$S786+IF($C786&lt;$S786,1,0))*1440,0))</f>
        <v/>
      </c>
      <c r="U786" s="22">
        <f>IF(OR($H786="",$T786="",$T786&lt;=0),"",$H786*60/$T786)</f>
        <v/>
      </c>
      <c r="V786" s="37">
        <f>IF(OR($U786="",$R786="",$R786=0),"",$U786/$R786)</f>
        <v/>
      </c>
      <c r="W786" s="20">
        <f>IF($G786="","",IF($X786="CONTEXTE INCOMPLET","CONTEXTE INCOMPLET",IF($X786="DOUBLON",StatutDoublon,IF($S786="",StatutInitial,IF($R786="",StatutStandardManquant,IF($V786="","DONNEES INSUFFISANTES",IF($V786&gt;=SeuilConforme,StatutConforme,IF($V786&gt;=SeuilSurveiller,StatutSurveiller,StatutSousStandard))))))))</f>
        <v/>
      </c>
      <c r="X786" s="33">
        <f>IF($G786="","",IF(OR($D786="",$E786="",$F786=""),"CONTEXTE INCOMPLET",IF(COUNTIFS($D$3:$D785,$D786,$E$3:$E785,$E786,$F$3:$F785,$F786,$G$3:$G785,$G786)&gt;0,"DOUBLON","VALIDE")))</f>
        <v/>
      </c>
    </row>
    <row r="787" ht="15" customHeight="1">
      <c r="A787" s="12">
        <f>IF(OR($B787="",$G787=""),"",TEXT($B787,"YYYYMMDD")&amp;"-"&amp;SUBSTITUTE($E787," ","")&amp;"-"&amp;$F787&amp;"-"&amp;$G787)</f>
        <v/>
      </c>
      <c r="B787" s="15" t="n"/>
      <c r="C787" s="16" t="n"/>
      <c r="D787" s="10" t="n"/>
      <c r="E787" s="9" t="n"/>
      <c r="F787" s="9" t="n"/>
      <c r="G787" s="13" t="n"/>
      <c r="H787" s="21" t="n"/>
      <c r="I787" s="21" t="n"/>
      <c r="J787" s="17">
        <f>IF($G787="","",IFERROR(INDEX(NomsEmployes,MATCH($G787,MatriculesEmployes,0)),"MATRICULE INCONNU"))</f>
        <v/>
      </c>
      <c r="K787" s="33">
        <f>IF(OR($D787="",$F787=""),"",IFERROR(IF(INDEX(RUNS!$L$6:$S$1005,MATCH($D787,RUNS!$A$6:$A$1005,0),MATCH("ACTIVITÉ "&amp;$F787,RUNS!$L$5:$S$5,0))="","",INDEX(RUNS!$L$6:$S$1005,MATCH($D787,RUNS!$A$6:$A$1005,0),MATCH("ACTIVITÉ "&amp;$F787,RUNS!$L$5:$S$5,0))),""))</f>
        <v/>
      </c>
      <c r="L787" s="33">
        <f>IF($D787="","",IFERROR(IF(INDEX(RUNS!$E$6:$E$1005,MATCH($D787,RUNS!$A$6:$A$1005,0))="","",INDEX(RUNS!$E$6:$E$1005,MATCH($D787,RUNS!$A$6:$A$1005,0))),""))</f>
        <v/>
      </c>
      <c r="M787" s="33">
        <f>IF($D787="","",IFERROR(IF(INDEX(RUNS!$F$6:$F$1005,MATCH($D787,RUNS!$A$6:$A$1005,0))="","",INDEX(RUNS!$F$6:$F$1005,MATCH($D787,RUNS!$A$6:$A$1005,0))),""))</f>
        <v/>
      </c>
      <c r="N787" s="33">
        <f>IF($D787="","",IFERROR(IF(INDEX(RUNS!$G$6:$G$1005,MATCH($D787,RUNS!$A$6:$A$1005,0))="","",INDEX(RUNS!$G$6:$G$1005,MATCH($D787,RUNS!$A$6:$A$1005,0))),""))</f>
        <v/>
      </c>
      <c r="O787" s="33">
        <f>IF($D787="","",IFERROR(IF(INDEX(RUNS!$H$6:$H$1005,MATCH($D787,RUNS!$A$6:$A$1005,0))="","",INDEX(RUNS!$H$6:$H$1005,MATCH($D787,RUNS!$A$6:$A$1005,0))),""))</f>
        <v/>
      </c>
      <c r="P787" s="33">
        <f>IF($D787="","",IFERROR(IF(INDEX(RUNS!$J$6:$J$1005,MATCH($D787,RUNS!$A$6:$A$1005,0))="","",INDEX(RUNS!$J$6:$J$1005,MATCH($D787,RUNS!$A$6:$A$1005,0))),""))</f>
        <v/>
      </c>
      <c r="Q787" s="33">
        <f>IF($D787="","",IFERROR(IF(INDEX(RUNS!$K$6:$K$1005,MATCH($D787,RUNS!$A$6:$A$1005,0))="","",INDEX(RUNS!$K$6:$K$1005,MATCH($D787,RUNS!$A$6:$A$1005,0))),""))</f>
        <v/>
      </c>
      <c r="R787" s="34">
        <f>IF(OR($L787="",$K787=""),"",IFERROR(IF(INDEX(PARAMETRES!$H$43:$H$342,MATCH($L787&amp;"|"&amp;$M787&amp;"|"&amp;$N787&amp;"|"&amp;$O787&amp;"|"&amp;$P787&amp;"|"&amp;$Q787&amp;"|"&amp;$K787,PARAMETRES!$J$43:$J$342,0))="","",INDEX(PARAMETRES!$H$43:$H$342,MATCH($L787&amp;"|"&amp;$M787&amp;"|"&amp;$N787&amp;"|"&amp;$O787&amp;"|"&amp;$P787&amp;"|"&amp;$Q787&amp;"|"&amp;$K787,PARAMETRES!$J$43:$J$342,0))),""))</f>
        <v/>
      </c>
      <c r="S787" s="35">
        <f>IF(OR($G787="",$X787&lt;&gt;"VALIDE"),"",IFERROR(LOOKUP(2,1/(($B$3:$B786=$B787)*($G$3:$G786=$G787)*($X$3:$X786="VALIDE")),$C$3:$C786),""))</f>
        <v/>
      </c>
      <c r="T787" s="36">
        <f>IF(OR($C787="",$S787=""),"",ROUND(($C787-$S787+IF($C787&lt;$S787,1,0))*1440,0))</f>
        <v/>
      </c>
      <c r="U787" s="22">
        <f>IF(OR($H787="",$T787="",$T787&lt;=0),"",$H787*60/$T787)</f>
        <v/>
      </c>
      <c r="V787" s="37">
        <f>IF(OR($U787="",$R787="",$R787=0),"",$U787/$R787)</f>
        <v/>
      </c>
      <c r="W787" s="20">
        <f>IF($G787="","",IF($X787="CONTEXTE INCOMPLET","CONTEXTE INCOMPLET",IF($X787="DOUBLON",StatutDoublon,IF($S787="",StatutInitial,IF($R787="",StatutStandardManquant,IF($V787="","DONNEES INSUFFISANTES",IF($V787&gt;=SeuilConforme,StatutConforme,IF($V787&gt;=SeuilSurveiller,StatutSurveiller,StatutSousStandard))))))))</f>
        <v/>
      </c>
      <c r="X787" s="33">
        <f>IF($G787="","",IF(OR($D787="",$E787="",$F787=""),"CONTEXTE INCOMPLET",IF(COUNTIFS($D$3:$D786,$D787,$E$3:$E786,$E787,$F$3:$F786,$F787,$G$3:$G786,$G787)&gt;0,"DOUBLON","VALIDE")))</f>
        <v/>
      </c>
    </row>
    <row r="788" ht="15" customHeight="1">
      <c r="A788" s="12">
        <f>IF(OR($B788="",$G788=""),"",TEXT($B788,"YYYYMMDD")&amp;"-"&amp;SUBSTITUTE($E788," ","")&amp;"-"&amp;$F788&amp;"-"&amp;$G788)</f>
        <v/>
      </c>
      <c r="B788" s="15" t="n"/>
      <c r="C788" s="16" t="n"/>
      <c r="D788" s="10" t="n"/>
      <c r="E788" s="9" t="n"/>
      <c r="F788" s="9" t="n"/>
      <c r="G788" s="13" t="n"/>
      <c r="H788" s="21" t="n"/>
      <c r="I788" s="21" t="n"/>
      <c r="J788" s="17">
        <f>IF($G788="","",IFERROR(INDEX(NomsEmployes,MATCH($G788,MatriculesEmployes,0)),"MATRICULE INCONNU"))</f>
        <v/>
      </c>
      <c r="K788" s="33">
        <f>IF(OR($D788="",$F788=""),"",IFERROR(IF(INDEX(RUNS!$L$6:$S$1005,MATCH($D788,RUNS!$A$6:$A$1005,0),MATCH("ACTIVITÉ "&amp;$F788,RUNS!$L$5:$S$5,0))="","",INDEX(RUNS!$L$6:$S$1005,MATCH($D788,RUNS!$A$6:$A$1005,0),MATCH("ACTIVITÉ "&amp;$F788,RUNS!$L$5:$S$5,0))),""))</f>
        <v/>
      </c>
      <c r="L788" s="33">
        <f>IF($D788="","",IFERROR(IF(INDEX(RUNS!$E$6:$E$1005,MATCH($D788,RUNS!$A$6:$A$1005,0))="","",INDEX(RUNS!$E$6:$E$1005,MATCH($D788,RUNS!$A$6:$A$1005,0))),""))</f>
        <v/>
      </c>
      <c r="M788" s="33">
        <f>IF($D788="","",IFERROR(IF(INDEX(RUNS!$F$6:$F$1005,MATCH($D788,RUNS!$A$6:$A$1005,0))="","",INDEX(RUNS!$F$6:$F$1005,MATCH($D788,RUNS!$A$6:$A$1005,0))),""))</f>
        <v/>
      </c>
      <c r="N788" s="33">
        <f>IF($D788="","",IFERROR(IF(INDEX(RUNS!$G$6:$G$1005,MATCH($D788,RUNS!$A$6:$A$1005,0))="","",INDEX(RUNS!$G$6:$G$1005,MATCH($D788,RUNS!$A$6:$A$1005,0))),""))</f>
        <v/>
      </c>
      <c r="O788" s="33">
        <f>IF($D788="","",IFERROR(IF(INDEX(RUNS!$H$6:$H$1005,MATCH($D788,RUNS!$A$6:$A$1005,0))="","",INDEX(RUNS!$H$6:$H$1005,MATCH($D788,RUNS!$A$6:$A$1005,0))),""))</f>
        <v/>
      </c>
      <c r="P788" s="33">
        <f>IF($D788="","",IFERROR(IF(INDEX(RUNS!$J$6:$J$1005,MATCH($D788,RUNS!$A$6:$A$1005,0))="","",INDEX(RUNS!$J$6:$J$1005,MATCH($D788,RUNS!$A$6:$A$1005,0))),""))</f>
        <v/>
      </c>
      <c r="Q788" s="33">
        <f>IF($D788="","",IFERROR(IF(INDEX(RUNS!$K$6:$K$1005,MATCH($D788,RUNS!$A$6:$A$1005,0))="","",INDEX(RUNS!$K$6:$K$1005,MATCH($D788,RUNS!$A$6:$A$1005,0))),""))</f>
        <v/>
      </c>
      <c r="R788" s="34">
        <f>IF(OR($L788="",$K788=""),"",IFERROR(IF(INDEX(PARAMETRES!$H$43:$H$342,MATCH($L788&amp;"|"&amp;$M788&amp;"|"&amp;$N788&amp;"|"&amp;$O788&amp;"|"&amp;$P788&amp;"|"&amp;$Q788&amp;"|"&amp;$K788,PARAMETRES!$J$43:$J$342,0))="","",INDEX(PARAMETRES!$H$43:$H$342,MATCH($L788&amp;"|"&amp;$M788&amp;"|"&amp;$N788&amp;"|"&amp;$O788&amp;"|"&amp;$P788&amp;"|"&amp;$Q788&amp;"|"&amp;$K788,PARAMETRES!$J$43:$J$342,0))),""))</f>
        <v/>
      </c>
      <c r="S788" s="35">
        <f>IF(OR($G788="",$X788&lt;&gt;"VALIDE"),"",IFERROR(LOOKUP(2,1/(($B$3:$B787=$B788)*($G$3:$G787=$G788)*($X$3:$X787="VALIDE")),$C$3:$C787),""))</f>
        <v/>
      </c>
      <c r="T788" s="36">
        <f>IF(OR($C788="",$S788=""),"",ROUND(($C788-$S788+IF($C788&lt;$S788,1,0))*1440,0))</f>
        <v/>
      </c>
      <c r="U788" s="22">
        <f>IF(OR($H788="",$T788="",$T788&lt;=0),"",$H788*60/$T788)</f>
        <v/>
      </c>
      <c r="V788" s="37">
        <f>IF(OR($U788="",$R788="",$R788=0),"",$U788/$R788)</f>
        <v/>
      </c>
      <c r="W788" s="20">
        <f>IF($G788="","",IF($X788="CONTEXTE INCOMPLET","CONTEXTE INCOMPLET",IF($X788="DOUBLON",StatutDoublon,IF($S788="",StatutInitial,IF($R788="",StatutStandardManquant,IF($V788="","DONNEES INSUFFISANTES",IF($V788&gt;=SeuilConforme,StatutConforme,IF($V788&gt;=SeuilSurveiller,StatutSurveiller,StatutSousStandard))))))))</f>
        <v/>
      </c>
      <c r="X788" s="33">
        <f>IF($G788="","",IF(OR($D788="",$E788="",$F788=""),"CONTEXTE INCOMPLET",IF(COUNTIFS($D$3:$D787,$D788,$E$3:$E787,$E788,$F$3:$F787,$F788,$G$3:$G787,$G788)&gt;0,"DOUBLON","VALIDE")))</f>
        <v/>
      </c>
    </row>
    <row r="789" ht="15" customHeight="1">
      <c r="A789" s="12">
        <f>IF(OR($B789="",$G789=""),"",TEXT($B789,"YYYYMMDD")&amp;"-"&amp;SUBSTITUTE($E789," ","")&amp;"-"&amp;$F789&amp;"-"&amp;$G789)</f>
        <v/>
      </c>
      <c r="B789" s="15" t="n"/>
      <c r="C789" s="16" t="n"/>
      <c r="D789" s="10" t="n"/>
      <c r="E789" s="9" t="n"/>
      <c r="F789" s="9" t="n"/>
      <c r="G789" s="13" t="n"/>
      <c r="H789" s="21" t="n"/>
      <c r="I789" s="21" t="n"/>
      <c r="J789" s="17">
        <f>IF($G789="","",IFERROR(INDEX(NomsEmployes,MATCH($G789,MatriculesEmployes,0)),"MATRICULE INCONNU"))</f>
        <v/>
      </c>
      <c r="K789" s="33">
        <f>IF(OR($D789="",$F789=""),"",IFERROR(IF(INDEX(RUNS!$L$6:$S$1005,MATCH($D789,RUNS!$A$6:$A$1005,0),MATCH("ACTIVITÉ "&amp;$F789,RUNS!$L$5:$S$5,0))="","",INDEX(RUNS!$L$6:$S$1005,MATCH($D789,RUNS!$A$6:$A$1005,0),MATCH("ACTIVITÉ "&amp;$F789,RUNS!$L$5:$S$5,0))),""))</f>
        <v/>
      </c>
      <c r="L789" s="33">
        <f>IF($D789="","",IFERROR(IF(INDEX(RUNS!$E$6:$E$1005,MATCH($D789,RUNS!$A$6:$A$1005,0))="","",INDEX(RUNS!$E$6:$E$1005,MATCH($D789,RUNS!$A$6:$A$1005,0))),""))</f>
        <v/>
      </c>
      <c r="M789" s="33">
        <f>IF($D789="","",IFERROR(IF(INDEX(RUNS!$F$6:$F$1005,MATCH($D789,RUNS!$A$6:$A$1005,0))="","",INDEX(RUNS!$F$6:$F$1005,MATCH($D789,RUNS!$A$6:$A$1005,0))),""))</f>
        <v/>
      </c>
      <c r="N789" s="33">
        <f>IF($D789="","",IFERROR(IF(INDEX(RUNS!$G$6:$G$1005,MATCH($D789,RUNS!$A$6:$A$1005,0))="","",INDEX(RUNS!$G$6:$G$1005,MATCH($D789,RUNS!$A$6:$A$1005,0))),""))</f>
        <v/>
      </c>
      <c r="O789" s="33">
        <f>IF($D789="","",IFERROR(IF(INDEX(RUNS!$H$6:$H$1005,MATCH($D789,RUNS!$A$6:$A$1005,0))="","",INDEX(RUNS!$H$6:$H$1005,MATCH($D789,RUNS!$A$6:$A$1005,0))),""))</f>
        <v/>
      </c>
      <c r="P789" s="33">
        <f>IF($D789="","",IFERROR(IF(INDEX(RUNS!$J$6:$J$1005,MATCH($D789,RUNS!$A$6:$A$1005,0))="","",INDEX(RUNS!$J$6:$J$1005,MATCH($D789,RUNS!$A$6:$A$1005,0))),""))</f>
        <v/>
      </c>
      <c r="Q789" s="33">
        <f>IF($D789="","",IFERROR(IF(INDEX(RUNS!$K$6:$K$1005,MATCH($D789,RUNS!$A$6:$A$1005,0))="","",INDEX(RUNS!$K$6:$K$1005,MATCH($D789,RUNS!$A$6:$A$1005,0))),""))</f>
        <v/>
      </c>
      <c r="R789" s="34">
        <f>IF(OR($L789="",$K789=""),"",IFERROR(IF(INDEX(PARAMETRES!$H$43:$H$342,MATCH($L789&amp;"|"&amp;$M789&amp;"|"&amp;$N789&amp;"|"&amp;$O789&amp;"|"&amp;$P789&amp;"|"&amp;$Q789&amp;"|"&amp;$K789,PARAMETRES!$J$43:$J$342,0))="","",INDEX(PARAMETRES!$H$43:$H$342,MATCH($L789&amp;"|"&amp;$M789&amp;"|"&amp;$N789&amp;"|"&amp;$O789&amp;"|"&amp;$P789&amp;"|"&amp;$Q789&amp;"|"&amp;$K789,PARAMETRES!$J$43:$J$342,0))),""))</f>
        <v/>
      </c>
      <c r="S789" s="35">
        <f>IF(OR($G789="",$X789&lt;&gt;"VALIDE"),"",IFERROR(LOOKUP(2,1/(($B$3:$B788=$B789)*($G$3:$G788=$G789)*($X$3:$X788="VALIDE")),$C$3:$C788),""))</f>
        <v/>
      </c>
      <c r="T789" s="36">
        <f>IF(OR($C789="",$S789=""),"",ROUND(($C789-$S789+IF($C789&lt;$S789,1,0))*1440,0))</f>
        <v/>
      </c>
      <c r="U789" s="22">
        <f>IF(OR($H789="",$T789="",$T789&lt;=0),"",$H789*60/$T789)</f>
        <v/>
      </c>
      <c r="V789" s="37">
        <f>IF(OR($U789="",$R789="",$R789=0),"",$U789/$R789)</f>
        <v/>
      </c>
      <c r="W789" s="20">
        <f>IF($G789="","",IF($X789="CONTEXTE INCOMPLET","CONTEXTE INCOMPLET",IF($X789="DOUBLON",StatutDoublon,IF($S789="",StatutInitial,IF($R789="",StatutStandardManquant,IF($V789="","DONNEES INSUFFISANTES",IF($V789&gt;=SeuilConforme,StatutConforme,IF($V789&gt;=SeuilSurveiller,StatutSurveiller,StatutSousStandard))))))))</f>
        <v/>
      </c>
      <c r="X789" s="33">
        <f>IF($G789="","",IF(OR($D789="",$E789="",$F789=""),"CONTEXTE INCOMPLET",IF(COUNTIFS($D$3:$D788,$D789,$E$3:$E788,$E789,$F$3:$F788,$F789,$G$3:$G788,$G789)&gt;0,"DOUBLON","VALIDE")))</f>
        <v/>
      </c>
    </row>
    <row r="790" ht="15" customHeight="1">
      <c r="A790" s="12">
        <f>IF(OR($B790="",$G790=""),"",TEXT($B790,"YYYYMMDD")&amp;"-"&amp;SUBSTITUTE($E790," ","")&amp;"-"&amp;$F790&amp;"-"&amp;$G790)</f>
        <v/>
      </c>
      <c r="B790" s="15" t="n"/>
      <c r="C790" s="16" t="n"/>
      <c r="D790" s="10" t="n"/>
      <c r="E790" s="9" t="n"/>
      <c r="F790" s="9" t="n"/>
      <c r="G790" s="13" t="n"/>
      <c r="H790" s="21" t="n"/>
      <c r="I790" s="21" t="n"/>
      <c r="J790" s="17">
        <f>IF($G790="","",IFERROR(INDEX(NomsEmployes,MATCH($G790,MatriculesEmployes,0)),"MATRICULE INCONNU"))</f>
        <v/>
      </c>
      <c r="K790" s="33">
        <f>IF(OR($D790="",$F790=""),"",IFERROR(IF(INDEX(RUNS!$L$6:$S$1005,MATCH($D790,RUNS!$A$6:$A$1005,0),MATCH("ACTIVITÉ "&amp;$F790,RUNS!$L$5:$S$5,0))="","",INDEX(RUNS!$L$6:$S$1005,MATCH($D790,RUNS!$A$6:$A$1005,0),MATCH("ACTIVITÉ "&amp;$F790,RUNS!$L$5:$S$5,0))),""))</f>
        <v/>
      </c>
      <c r="L790" s="33">
        <f>IF($D790="","",IFERROR(IF(INDEX(RUNS!$E$6:$E$1005,MATCH($D790,RUNS!$A$6:$A$1005,0))="","",INDEX(RUNS!$E$6:$E$1005,MATCH($D790,RUNS!$A$6:$A$1005,0))),""))</f>
        <v/>
      </c>
      <c r="M790" s="33">
        <f>IF($D790="","",IFERROR(IF(INDEX(RUNS!$F$6:$F$1005,MATCH($D790,RUNS!$A$6:$A$1005,0))="","",INDEX(RUNS!$F$6:$F$1005,MATCH($D790,RUNS!$A$6:$A$1005,0))),""))</f>
        <v/>
      </c>
      <c r="N790" s="33">
        <f>IF($D790="","",IFERROR(IF(INDEX(RUNS!$G$6:$G$1005,MATCH($D790,RUNS!$A$6:$A$1005,0))="","",INDEX(RUNS!$G$6:$G$1005,MATCH($D790,RUNS!$A$6:$A$1005,0))),""))</f>
        <v/>
      </c>
      <c r="O790" s="33">
        <f>IF($D790="","",IFERROR(IF(INDEX(RUNS!$H$6:$H$1005,MATCH($D790,RUNS!$A$6:$A$1005,0))="","",INDEX(RUNS!$H$6:$H$1005,MATCH($D790,RUNS!$A$6:$A$1005,0))),""))</f>
        <v/>
      </c>
      <c r="P790" s="33">
        <f>IF($D790="","",IFERROR(IF(INDEX(RUNS!$J$6:$J$1005,MATCH($D790,RUNS!$A$6:$A$1005,0))="","",INDEX(RUNS!$J$6:$J$1005,MATCH($D790,RUNS!$A$6:$A$1005,0))),""))</f>
        <v/>
      </c>
      <c r="Q790" s="33">
        <f>IF($D790="","",IFERROR(IF(INDEX(RUNS!$K$6:$K$1005,MATCH($D790,RUNS!$A$6:$A$1005,0))="","",INDEX(RUNS!$K$6:$K$1005,MATCH($D790,RUNS!$A$6:$A$1005,0))),""))</f>
        <v/>
      </c>
      <c r="R790" s="34">
        <f>IF(OR($L790="",$K790=""),"",IFERROR(IF(INDEX(PARAMETRES!$H$43:$H$342,MATCH($L790&amp;"|"&amp;$M790&amp;"|"&amp;$N790&amp;"|"&amp;$O790&amp;"|"&amp;$P790&amp;"|"&amp;$Q790&amp;"|"&amp;$K790,PARAMETRES!$J$43:$J$342,0))="","",INDEX(PARAMETRES!$H$43:$H$342,MATCH($L790&amp;"|"&amp;$M790&amp;"|"&amp;$N790&amp;"|"&amp;$O790&amp;"|"&amp;$P790&amp;"|"&amp;$Q790&amp;"|"&amp;$K790,PARAMETRES!$J$43:$J$342,0))),""))</f>
        <v/>
      </c>
      <c r="S790" s="35">
        <f>IF(OR($G790="",$X790&lt;&gt;"VALIDE"),"",IFERROR(LOOKUP(2,1/(($B$3:$B789=$B790)*($G$3:$G789=$G790)*($X$3:$X789="VALIDE")),$C$3:$C789),""))</f>
        <v/>
      </c>
      <c r="T790" s="36">
        <f>IF(OR($C790="",$S790=""),"",ROUND(($C790-$S790+IF($C790&lt;$S790,1,0))*1440,0))</f>
        <v/>
      </c>
      <c r="U790" s="22">
        <f>IF(OR($H790="",$T790="",$T790&lt;=0),"",$H790*60/$T790)</f>
        <v/>
      </c>
      <c r="V790" s="37">
        <f>IF(OR($U790="",$R790="",$R790=0),"",$U790/$R790)</f>
        <v/>
      </c>
      <c r="W790" s="20">
        <f>IF($G790="","",IF($X790="CONTEXTE INCOMPLET","CONTEXTE INCOMPLET",IF($X790="DOUBLON",StatutDoublon,IF($S790="",StatutInitial,IF($R790="",StatutStandardManquant,IF($V790="","DONNEES INSUFFISANTES",IF($V790&gt;=SeuilConforme,StatutConforme,IF($V790&gt;=SeuilSurveiller,StatutSurveiller,StatutSousStandard))))))))</f>
        <v/>
      </c>
      <c r="X790" s="33">
        <f>IF($G790="","",IF(OR($D790="",$E790="",$F790=""),"CONTEXTE INCOMPLET",IF(COUNTIFS($D$3:$D789,$D790,$E$3:$E789,$E790,$F$3:$F789,$F790,$G$3:$G789,$G790)&gt;0,"DOUBLON","VALIDE")))</f>
        <v/>
      </c>
    </row>
    <row r="791" ht="15" customHeight="1">
      <c r="A791" s="12">
        <f>IF(OR($B791="",$G791=""),"",TEXT($B791,"YYYYMMDD")&amp;"-"&amp;SUBSTITUTE($E791," ","")&amp;"-"&amp;$F791&amp;"-"&amp;$G791)</f>
        <v/>
      </c>
      <c r="B791" s="15" t="n"/>
      <c r="C791" s="16" t="n"/>
      <c r="D791" s="10" t="n"/>
      <c r="E791" s="9" t="n"/>
      <c r="F791" s="9" t="n"/>
      <c r="G791" s="13" t="n"/>
      <c r="H791" s="21" t="n"/>
      <c r="I791" s="21" t="n"/>
      <c r="J791" s="17">
        <f>IF($G791="","",IFERROR(INDEX(NomsEmployes,MATCH($G791,MatriculesEmployes,0)),"MATRICULE INCONNU"))</f>
        <v/>
      </c>
      <c r="K791" s="33">
        <f>IF(OR($D791="",$F791=""),"",IFERROR(IF(INDEX(RUNS!$L$6:$S$1005,MATCH($D791,RUNS!$A$6:$A$1005,0),MATCH("ACTIVITÉ "&amp;$F791,RUNS!$L$5:$S$5,0))="","",INDEX(RUNS!$L$6:$S$1005,MATCH($D791,RUNS!$A$6:$A$1005,0),MATCH("ACTIVITÉ "&amp;$F791,RUNS!$L$5:$S$5,0))),""))</f>
        <v/>
      </c>
      <c r="L791" s="33">
        <f>IF($D791="","",IFERROR(IF(INDEX(RUNS!$E$6:$E$1005,MATCH($D791,RUNS!$A$6:$A$1005,0))="","",INDEX(RUNS!$E$6:$E$1005,MATCH($D791,RUNS!$A$6:$A$1005,0))),""))</f>
        <v/>
      </c>
      <c r="M791" s="33">
        <f>IF($D791="","",IFERROR(IF(INDEX(RUNS!$F$6:$F$1005,MATCH($D791,RUNS!$A$6:$A$1005,0))="","",INDEX(RUNS!$F$6:$F$1005,MATCH($D791,RUNS!$A$6:$A$1005,0))),""))</f>
        <v/>
      </c>
      <c r="N791" s="33">
        <f>IF($D791="","",IFERROR(IF(INDEX(RUNS!$G$6:$G$1005,MATCH($D791,RUNS!$A$6:$A$1005,0))="","",INDEX(RUNS!$G$6:$G$1005,MATCH($D791,RUNS!$A$6:$A$1005,0))),""))</f>
        <v/>
      </c>
      <c r="O791" s="33">
        <f>IF($D791="","",IFERROR(IF(INDEX(RUNS!$H$6:$H$1005,MATCH($D791,RUNS!$A$6:$A$1005,0))="","",INDEX(RUNS!$H$6:$H$1005,MATCH($D791,RUNS!$A$6:$A$1005,0))),""))</f>
        <v/>
      </c>
      <c r="P791" s="33">
        <f>IF($D791="","",IFERROR(IF(INDEX(RUNS!$J$6:$J$1005,MATCH($D791,RUNS!$A$6:$A$1005,0))="","",INDEX(RUNS!$J$6:$J$1005,MATCH($D791,RUNS!$A$6:$A$1005,0))),""))</f>
        <v/>
      </c>
      <c r="Q791" s="33">
        <f>IF($D791="","",IFERROR(IF(INDEX(RUNS!$K$6:$K$1005,MATCH($D791,RUNS!$A$6:$A$1005,0))="","",INDEX(RUNS!$K$6:$K$1005,MATCH($D791,RUNS!$A$6:$A$1005,0))),""))</f>
        <v/>
      </c>
      <c r="R791" s="34">
        <f>IF(OR($L791="",$K791=""),"",IFERROR(IF(INDEX(PARAMETRES!$H$43:$H$342,MATCH($L791&amp;"|"&amp;$M791&amp;"|"&amp;$N791&amp;"|"&amp;$O791&amp;"|"&amp;$P791&amp;"|"&amp;$Q791&amp;"|"&amp;$K791,PARAMETRES!$J$43:$J$342,0))="","",INDEX(PARAMETRES!$H$43:$H$342,MATCH($L791&amp;"|"&amp;$M791&amp;"|"&amp;$N791&amp;"|"&amp;$O791&amp;"|"&amp;$P791&amp;"|"&amp;$Q791&amp;"|"&amp;$K791,PARAMETRES!$J$43:$J$342,0))),""))</f>
        <v/>
      </c>
      <c r="S791" s="35">
        <f>IF(OR($G791="",$X791&lt;&gt;"VALIDE"),"",IFERROR(LOOKUP(2,1/(($B$3:$B790=$B791)*($G$3:$G790=$G791)*($X$3:$X790="VALIDE")),$C$3:$C790),""))</f>
        <v/>
      </c>
      <c r="T791" s="36">
        <f>IF(OR($C791="",$S791=""),"",ROUND(($C791-$S791+IF($C791&lt;$S791,1,0))*1440,0))</f>
        <v/>
      </c>
      <c r="U791" s="22">
        <f>IF(OR($H791="",$T791="",$T791&lt;=0),"",$H791*60/$T791)</f>
        <v/>
      </c>
      <c r="V791" s="37">
        <f>IF(OR($U791="",$R791="",$R791=0),"",$U791/$R791)</f>
        <v/>
      </c>
      <c r="W791" s="20">
        <f>IF($G791="","",IF($X791="CONTEXTE INCOMPLET","CONTEXTE INCOMPLET",IF($X791="DOUBLON",StatutDoublon,IF($S791="",StatutInitial,IF($R791="",StatutStandardManquant,IF($V791="","DONNEES INSUFFISANTES",IF($V791&gt;=SeuilConforme,StatutConforme,IF($V791&gt;=SeuilSurveiller,StatutSurveiller,StatutSousStandard))))))))</f>
        <v/>
      </c>
      <c r="X791" s="33">
        <f>IF($G791="","",IF(OR($D791="",$E791="",$F791=""),"CONTEXTE INCOMPLET",IF(COUNTIFS($D$3:$D790,$D791,$E$3:$E790,$E791,$F$3:$F790,$F791,$G$3:$G790,$G791)&gt;0,"DOUBLON","VALIDE")))</f>
        <v/>
      </c>
    </row>
    <row r="792" ht="15" customHeight="1">
      <c r="A792" s="12">
        <f>IF(OR($B792="",$G792=""),"",TEXT($B792,"YYYYMMDD")&amp;"-"&amp;SUBSTITUTE($E792," ","")&amp;"-"&amp;$F792&amp;"-"&amp;$G792)</f>
        <v/>
      </c>
      <c r="B792" s="15" t="n"/>
      <c r="C792" s="16" t="n"/>
      <c r="D792" s="10" t="n"/>
      <c r="E792" s="9" t="n"/>
      <c r="F792" s="9" t="n"/>
      <c r="G792" s="13" t="n"/>
      <c r="H792" s="21" t="n"/>
      <c r="I792" s="21" t="n"/>
      <c r="J792" s="17">
        <f>IF($G792="","",IFERROR(INDEX(NomsEmployes,MATCH($G792,MatriculesEmployes,0)),"MATRICULE INCONNU"))</f>
        <v/>
      </c>
      <c r="K792" s="33">
        <f>IF(OR($D792="",$F792=""),"",IFERROR(IF(INDEX(RUNS!$L$6:$S$1005,MATCH($D792,RUNS!$A$6:$A$1005,0),MATCH("ACTIVITÉ "&amp;$F792,RUNS!$L$5:$S$5,0))="","",INDEX(RUNS!$L$6:$S$1005,MATCH($D792,RUNS!$A$6:$A$1005,0),MATCH("ACTIVITÉ "&amp;$F792,RUNS!$L$5:$S$5,0))),""))</f>
        <v/>
      </c>
      <c r="L792" s="33">
        <f>IF($D792="","",IFERROR(IF(INDEX(RUNS!$E$6:$E$1005,MATCH($D792,RUNS!$A$6:$A$1005,0))="","",INDEX(RUNS!$E$6:$E$1005,MATCH($D792,RUNS!$A$6:$A$1005,0))),""))</f>
        <v/>
      </c>
      <c r="M792" s="33">
        <f>IF($D792="","",IFERROR(IF(INDEX(RUNS!$F$6:$F$1005,MATCH($D792,RUNS!$A$6:$A$1005,0))="","",INDEX(RUNS!$F$6:$F$1005,MATCH($D792,RUNS!$A$6:$A$1005,0))),""))</f>
        <v/>
      </c>
      <c r="N792" s="33">
        <f>IF($D792="","",IFERROR(IF(INDEX(RUNS!$G$6:$G$1005,MATCH($D792,RUNS!$A$6:$A$1005,0))="","",INDEX(RUNS!$G$6:$G$1005,MATCH($D792,RUNS!$A$6:$A$1005,0))),""))</f>
        <v/>
      </c>
      <c r="O792" s="33">
        <f>IF($D792="","",IFERROR(IF(INDEX(RUNS!$H$6:$H$1005,MATCH($D792,RUNS!$A$6:$A$1005,0))="","",INDEX(RUNS!$H$6:$H$1005,MATCH($D792,RUNS!$A$6:$A$1005,0))),""))</f>
        <v/>
      </c>
      <c r="P792" s="33">
        <f>IF($D792="","",IFERROR(IF(INDEX(RUNS!$J$6:$J$1005,MATCH($D792,RUNS!$A$6:$A$1005,0))="","",INDEX(RUNS!$J$6:$J$1005,MATCH($D792,RUNS!$A$6:$A$1005,0))),""))</f>
        <v/>
      </c>
      <c r="Q792" s="33">
        <f>IF($D792="","",IFERROR(IF(INDEX(RUNS!$K$6:$K$1005,MATCH($D792,RUNS!$A$6:$A$1005,0))="","",INDEX(RUNS!$K$6:$K$1005,MATCH($D792,RUNS!$A$6:$A$1005,0))),""))</f>
        <v/>
      </c>
      <c r="R792" s="34">
        <f>IF(OR($L792="",$K792=""),"",IFERROR(IF(INDEX(PARAMETRES!$H$43:$H$342,MATCH($L792&amp;"|"&amp;$M792&amp;"|"&amp;$N792&amp;"|"&amp;$O792&amp;"|"&amp;$P792&amp;"|"&amp;$Q792&amp;"|"&amp;$K792,PARAMETRES!$J$43:$J$342,0))="","",INDEX(PARAMETRES!$H$43:$H$342,MATCH($L792&amp;"|"&amp;$M792&amp;"|"&amp;$N792&amp;"|"&amp;$O792&amp;"|"&amp;$P792&amp;"|"&amp;$Q792&amp;"|"&amp;$K792,PARAMETRES!$J$43:$J$342,0))),""))</f>
        <v/>
      </c>
      <c r="S792" s="35">
        <f>IF(OR($G792="",$X792&lt;&gt;"VALIDE"),"",IFERROR(LOOKUP(2,1/(($B$3:$B791=$B792)*($G$3:$G791=$G792)*($X$3:$X791="VALIDE")),$C$3:$C791),""))</f>
        <v/>
      </c>
      <c r="T792" s="36">
        <f>IF(OR($C792="",$S792=""),"",ROUND(($C792-$S792+IF($C792&lt;$S792,1,0))*1440,0))</f>
        <v/>
      </c>
      <c r="U792" s="22">
        <f>IF(OR($H792="",$T792="",$T792&lt;=0),"",$H792*60/$T792)</f>
        <v/>
      </c>
      <c r="V792" s="37">
        <f>IF(OR($U792="",$R792="",$R792=0),"",$U792/$R792)</f>
        <v/>
      </c>
      <c r="W792" s="20">
        <f>IF($G792="","",IF($X792="CONTEXTE INCOMPLET","CONTEXTE INCOMPLET",IF($X792="DOUBLON",StatutDoublon,IF($S792="",StatutInitial,IF($R792="",StatutStandardManquant,IF($V792="","DONNEES INSUFFISANTES",IF($V792&gt;=SeuilConforme,StatutConforme,IF($V792&gt;=SeuilSurveiller,StatutSurveiller,StatutSousStandard))))))))</f>
        <v/>
      </c>
      <c r="X792" s="33">
        <f>IF($G792="","",IF(OR($D792="",$E792="",$F792=""),"CONTEXTE INCOMPLET",IF(COUNTIFS($D$3:$D791,$D792,$E$3:$E791,$E792,$F$3:$F791,$F792,$G$3:$G791,$G792)&gt;0,"DOUBLON","VALIDE")))</f>
        <v/>
      </c>
    </row>
    <row r="793" ht="15" customHeight="1">
      <c r="A793" s="12">
        <f>IF(OR($B793="",$G793=""),"",TEXT($B793,"YYYYMMDD")&amp;"-"&amp;SUBSTITUTE($E793," ","")&amp;"-"&amp;$F793&amp;"-"&amp;$G793)</f>
        <v/>
      </c>
      <c r="B793" s="15" t="n"/>
      <c r="C793" s="16" t="n"/>
      <c r="D793" s="10" t="n"/>
      <c r="E793" s="9" t="n"/>
      <c r="F793" s="9" t="n"/>
      <c r="G793" s="13" t="n"/>
      <c r="H793" s="21" t="n"/>
      <c r="I793" s="21" t="n"/>
      <c r="J793" s="17">
        <f>IF($G793="","",IFERROR(INDEX(NomsEmployes,MATCH($G793,MatriculesEmployes,0)),"MATRICULE INCONNU"))</f>
        <v/>
      </c>
      <c r="K793" s="33">
        <f>IF(OR($D793="",$F793=""),"",IFERROR(IF(INDEX(RUNS!$L$6:$S$1005,MATCH($D793,RUNS!$A$6:$A$1005,0),MATCH("ACTIVITÉ "&amp;$F793,RUNS!$L$5:$S$5,0))="","",INDEX(RUNS!$L$6:$S$1005,MATCH($D793,RUNS!$A$6:$A$1005,0),MATCH("ACTIVITÉ "&amp;$F793,RUNS!$L$5:$S$5,0))),""))</f>
        <v/>
      </c>
      <c r="L793" s="33">
        <f>IF($D793="","",IFERROR(IF(INDEX(RUNS!$E$6:$E$1005,MATCH($D793,RUNS!$A$6:$A$1005,0))="","",INDEX(RUNS!$E$6:$E$1005,MATCH($D793,RUNS!$A$6:$A$1005,0))),""))</f>
        <v/>
      </c>
      <c r="M793" s="33">
        <f>IF($D793="","",IFERROR(IF(INDEX(RUNS!$F$6:$F$1005,MATCH($D793,RUNS!$A$6:$A$1005,0))="","",INDEX(RUNS!$F$6:$F$1005,MATCH($D793,RUNS!$A$6:$A$1005,0))),""))</f>
        <v/>
      </c>
      <c r="N793" s="33">
        <f>IF($D793="","",IFERROR(IF(INDEX(RUNS!$G$6:$G$1005,MATCH($D793,RUNS!$A$6:$A$1005,0))="","",INDEX(RUNS!$G$6:$G$1005,MATCH($D793,RUNS!$A$6:$A$1005,0))),""))</f>
        <v/>
      </c>
      <c r="O793" s="33">
        <f>IF($D793="","",IFERROR(IF(INDEX(RUNS!$H$6:$H$1005,MATCH($D793,RUNS!$A$6:$A$1005,0))="","",INDEX(RUNS!$H$6:$H$1005,MATCH($D793,RUNS!$A$6:$A$1005,0))),""))</f>
        <v/>
      </c>
      <c r="P793" s="33">
        <f>IF($D793="","",IFERROR(IF(INDEX(RUNS!$J$6:$J$1005,MATCH($D793,RUNS!$A$6:$A$1005,0))="","",INDEX(RUNS!$J$6:$J$1005,MATCH($D793,RUNS!$A$6:$A$1005,0))),""))</f>
        <v/>
      </c>
      <c r="Q793" s="33">
        <f>IF($D793="","",IFERROR(IF(INDEX(RUNS!$K$6:$K$1005,MATCH($D793,RUNS!$A$6:$A$1005,0))="","",INDEX(RUNS!$K$6:$K$1005,MATCH($D793,RUNS!$A$6:$A$1005,0))),""))</f>
        <v/>
      </c>
      <c r="R793" s="34">
        <f>IF(OR($L793="",$K793=""),"",IFERROR(IF(INDEX(PARAMETRES!$H$43:$H$342,MATCH($L793&amp;"|"&amp;$M793&amp;"|"&amp;$N793&amp;"|"&amp;$O793&amp;"|"&amp;$P793&amp;"|"&amp;$Q793&amp;"|"&amp;$K793,PARAMETRES!$J$43:$J$342,0))="","",INDEX(PARAMETRES!$H$43:$H$342,MATCH($L793&amp;"|"&amp;$M793&amp;"|"&amp;$N793&amp;"|"&amp;$O793&amp;"|"&amp;$P793&amp;"|"&amp;$Q793&amp;"|"&amp;$K793,PARAMETRES!$J$43:$J$342,0))),""))</f>
        <v/>
      </c>
      <c r="S793" s="35">
        <f>IF(OR($G793="",$X793&lt;&gt;"VALIDE"),"",IFERROR(LOOKUP(2,1/(($B$3:$B792=$B793)*($G$3:$G792=$G793)*($X$3:$X792="VALIDE")),$C$3:$C792),""))</f>
        <v/>
      </c>
      <c r="T793" s="36">
        <f>IF(OR($C793="",$S793=""),"",ROUND(($C793-$S793+IF($C793&lt;$S793,1,0))*1440,0))</f>
        <v/>
      </c>
      <c r="U793" s="22">
        <f>IF(OR($H793="",$T793="",$T793&lt;=0),"",$H793*60/$T793)</f>
        <v/>
      </c>
      <c r="V793" s="37">
        <f>IF(OR($U793="",$R793="",$R793=0),"",$U793/$R793)</f>
        <v/>
      </c>
      <c r="W793" s="20">
        <f>IF($G793="","",IF($X793="CONTEXTE INCOMPLET","CONTEXTE INCOMPLET",IF($X793="DOUBLON",StatutDoublon,IF($S793="",StatutInitial,IF($R793="",StatutStandardManquant,IF($V793="","DONNEES INSUFFISANTES",IF($V793&gt;=SeuilConforme,StatutConforme,IF($V793&gt;=SeuilSurveiller,StatutSurveiller,StatutSousStandard))))))))</f>
        <v/>
      </c>
      <c r="X793" s="33">
        <f>IF($G793="","",IF(OR($D793="",$E793="",$F793=""),"CONTEXTE INCOMPLET",IF(COUNTIFS($D$3:$D792,$D793,$E$3:$E792,$E793,$F$3:$F792,$F793,$G$3:$G792,$G793)&gt;0,"DOUBLON","VALIDE")))</f>
        <v/>
      </c>
    </row>
    <row r="794" ht="15" customHeight="1">
      <c r="A794" s="12">
        <f>IF(OR($B794="",$G794=""),"",TEXT($B794,"YYYYMMDD")&amp;"-"&amp;SUBSTITUTE($E794," ","")&amp;"-"&amp;$F794&amp;"-"&amp;$G794)</f>
        <v/>
      </c>
      <c r="B794" s="15" t="n"/>
      <c r="C794" s="16" t="n"/>
      <c r="D794" s="10" t="n"/>
      <c r="E794" s="9" t="n"/>
      <c r="F794" s="9" t="n"/>
      <c r="G794" s="13" t="n"/>
      <c r="H794" s="21" t="n"/>
      <c r="I794" s="21" t="n"/>
      <c r="J794" s="17">
        <f>IF($G794="","",IFERROR(INDEX(NomsEmployes,MATCH($G794,MatriculesEmployes,0)),"MATRICULE INCONNU"))</f>
        <v/>
      </c>
      <c r="K794" s="33">
        <f>IF(OR($D794="",$F794=""),"",IFERROR(IF(INDEX(RUNS!$L$6:$S$1005,MATCH($D794,RUNS!$A$6:$A$1005,0),MATCH("ACTIVITÉ "&amp;$F794,RUNS!$L$5:$S$5,0))="","",INDEX(RUNS!$L$6:$S$1005,MATCH($D794,RUNS!$A$6:$A$1005,0),MATCH("ACTIVITÉ "&amp;$F794,RUNS!$L$5:$S$5,0))),""))</f>
        <v/>
      </c>
      <c r="L794" s="33">
        <f>IF($D794="","",IFERROR(IF(INDEX(RUNS!$E$6:$E$1005,MATCH($D794,RUNS!$A$6:$A$1005,0))="","",INDEX(RUNS!$E$6:$E$1005,MATCH($D794,RUNS!$A$6:$A$1005,0))),""))</f>
        <v/>
      </c>
      <c r="M794" s="33">
        <f>IF($D794="","",IFERROR(IF(INDEX(RUNS!$F$6:$F$1005,MATCH($D794,RUNS!$A$6:$A$1005,0))="","",INDEX(RUNS!$F$6:$F$1005,MATCH($D794,RUNS!$A$6:$A$1005,0))),""))</f>
        <v/>
      </c>
      <c r="N794" s="33">
        <f>IF($D794="","",IFERROR(IF(INDEX(RUNS!$G$6:$G$1005,MATCH($D794,RUNS!$A$6:$A$1005,0))="","",INDEX(RUNS!$G$6:$G$1005,MATCH($D794,RUNS!$A$6:$A$1005,0))),""))</f>
        <v/>
      </c>
      <c r="O794" s="33">
        <f>IF($D794="","",IFERROR(IF(INDEX(RUNS!$H$6:$H$1005,MATCH($D794,RUNS!$A$6:$A$1005,0))="","",INDEX(RUNS!$H$6:$H$1005,MATCH($D794,RUNS!$A$6:$A$1005,0))),""))</f>
        <v/>
      </c>
      <c r="P794" s="33">
        <f>IF($D794="","",IFERROR(IF(INDEX(RUNS!$J$6:$J$1005,MATCH($D794,RUNS!$A$6:$A$1005,0))="","",INDEX(RUNS!$J$6:$J$1005,MATCH($D794,RUNS!$A$6:$A$1005,0))),""))</f>
        <v/>
      </c>
      <c r="Q794" s="33">
        <f>IF($D794="","",IFERROR(IF(INDEX(RUNS!$K$6:$K$1005,MATCH($D794,RUNS!$A$6:$A$1005,0))="","",INDEX(RUNS!$K$6:$K$1005,MATCH($D794,RUNS!$A$6:$A$1005,0))),""))</f>
        <v/>
      </c>
      <c r="R794" s="34">
        <f>IF(OR($L794="",$K794=""),"",IFERROR(IF(INDEX(PARAMETRES!$H$43:$H$342,MATCH($L794&amp;"|"&amp;$M794&amp;"|"&amp;$N794&amp;"|"&amp;$O794&amp;"|"&amp;$P794&amp;"|"&amp;$Q794&amp;"|"&amp;$K794,PARAMETRES!$J$43:$J$342,0))="","",INDEX(PARAMETRES!$H$43:$H$342,MATCH($L794&amp;"|"&amp;$M794&amp;"|"&amp;$N794&amp;"|"&amp;$O794&amp;"|"&amp;$P794&amp;"|"&amp;$Q794&amp;"|"&amp;$K794,PARAMETRES!$J$43:$J$342,0))),""))</f>
        <v/>
      </c>
      <c r="S794" s="35">
        <f>IF(OR($G794="",$X794&lt;&gt;"VALIDE"),"",IFERROR(LOOKUP(2,1/(($B$3:$B793=$B794)*($G$3:$G793=$G794)*($X$3:$X793="VALIDE")),$C$3:$C793),""))</f>
        <v/>
      </c>
      <c r="T794" s="36">
        <f>IF(OR($C794="",$S794=""),"",ROUND(($C794-$S794+IF($C794&lt;$S794,1,0))*1440,0))</f>
        <v/>
      </c>
      <c r="U794" s="22">
        <f>IF(OR($H794="",$T794="",$T794&lt;=0),"",$H794*60/$T794)</f>
        <v/>
      </c>
      <c r="V794" s="37">
        <f>IF(OR($U794="",$R794="",$R794=0),"",$U794/$R794)</f>
        <v/>
      </c>
      <c r="W794" s="20">
        <f>IF($G794="","",IF($X794="CONTEXTE INCOMPLET","CONTEXTE INCOMPLET",IF($X794="DOUBLON",StatutDoublon,IF($S794="",StatutInitial,IF($R794="",StatutStandardManquant,IF($V794="","DONNEES INSUFFISANTES",IF($V794&gt;=SeuilConforme,StatutConforme,IF($V794&gt;=SeuilSurveiller,StatutSurveiller,StatutSousStandard))))))))</f>
        <v/>
      </c>
      <c r="X794" s="33">
        <f>IF($G794="","",IF(OR($D794="",$E794="",$F794=""),"CONTEXTE INCOMPLET",IF(COUNTIFS($D$3:$D793,$D794,$E$3:$E793,$E794,$F$3:$F793,$F794,$G$3:$G793,$G794)&gt;0,"DOUBLON","VALIDE")))</f>
        <v/>
      </c>
    </row>
    <row r="795" ht="15" customHeight="1">
      <c r="A795" s="12">
        <f>IF(OR($B795="",$G795=""),"",TEXT($B795,"YYYYMMDD")&amp;"-"&amp;SUBSTITUTE($E795," ","")&amp;"-"&amp;$F795&amp;"-"&amp;$G795)</f>
        <v/>
      </c>
      <c r="B795" s="15" t="n"/>
      <c r="C795" s="16" t="n"/>
      <c r="D795" s="10" t="n"/>
      <c r="E795" s="9" t="n"/>
      <c r="F795" s="9" t="n"/>
      <c r="G795" s="13" t="n"/>
      <c r="H795" s="21" t="n"/>
      <c r="I795" s="21" t="n"/>
      <c r="J795" s="17">
        <f>IF($G795="","",IFERROR(INDEX(NomsEmployes,MATCH($G795,MatriculesEmployes,0)),"MATRICULE INCONNU"))</f>
        <v/>
      </c>
      <c r="K795" s="33">
        <f>IF(OR($D795="",$F795=""),"",IFERROR(IF(INDEX(RUNS!$L$6:$S$1005,MATCH($D795,RUNS!$A$6:$A$1005,0),MATCH("ACTIVITÉ "&amp;$F795,RUNS!$L$5:$S$5,0))="","",INDEX(RUNS!$L$6:$S$1005,MATCH($D795,RUNS!$A$6:$A$1005,0),MATCH("ACTIVITÉ "&amp;$F795,RUNS!$L$5:$S$5,0))),""))</f>
        <v/>
      </c>
      <c r="L795" s="33">
        <f>IF($D795="","",IFERROR(IF(INDEX(RUNS!$E$6:$E$1005,MATCH($D795,RUNS!$A$6:$A$1005,0))="","",INDEX(RUNS!$E$6:$E$1005,MATCH($D795,RUNS!$A$6:$A$1005,0))),""))</f>
        <v/>
      </c>
      <c r="M795" s="33">
        <f>IF($D795="","",IFERROR(IF(INDEX(RUNS!$F$6:$F$1005,MATCH($D795,RUNS!$A$6:$A$1005,0))="","",INDEX(RUNS!$F$6:$F$1005,MATCH($D795,RUNS!$A$6:$A$1005,0))),""))</f>
        <v/>
      </c>
      <c r="N795" s="33">
        <f>IF($D795="","",IFERROR(IF(INDEX(RUNS!$G$6:$G$1005,MATCH($D795,RUNS!$A$6:$A$1005,0))="","",INDEX(RUNS!$G$6:$G$1005,MATCH($D795,RUNS!$A$6:$A$1005,0))),""))</f>
        <v/>
      </c>
      <c r="O795" s="33">
        <f>IF($D795="","",IFERROR(IF(INDEX(RUNS!$H$6:$H$1005,MATCH($D795,RUNS!$A$6:$A$1005,0))="","",INDEX(RUNS!$H$6:$H$1005,MATCH($D795,RUNS!$A$6:$A$1005,0))),""))</f>
        <v/>
      </c>
      <c r="P795" s="33">
        <f>IF($D795="","",IFERROR(IF(INDEX(RUNS!$J$6:$J$1005,MATCH($D795,RUNS!$A$6:$A$1005,0))="","",INDEX(RUNS!$J$6:$J$1005,MATCH($D795,RUNS!$A$6:$A$1005,0))),""))</f>
        <v/>
      </c>
      <c r="Q795" s="33">
        <f>IF($D795="","",IFERROR(IF(INDEX(RUNS!$K$6:$K$1005,MATCH($D795,RUNS!$A$6:$A$1005,0))="","",INDEX(RUNS!$K$6:$K$1005,MATCH($D795,RUNS!$A$6:$A$1005,0))),""))</f>
        <v/>
      </c>
      <c r="R795" s="34">
        <f>IF(OR($L795="",$K795=""),"",IFERROR(IF(INDEX(PARAMETRES!$H$43:$H$342,MATCH($L795&amp;"|"&amp;$M795&amp;"|"&amp;$N795&amp;"|"&amp;$O795&amp;"|"&amp;$P795&amp;"|"&amp;$Q795&amp;"|"&amp;$K795,PARAMETRES!$J$43:$J$342,0))="","",INDEX(PARAMETRES!$H$43:$H$342,MATCH($L795&amp;"|"&amp;$M795&amp;"|"&amp;$N795&amp;"|"&amp;$O795&amp;"|"&amp;$P795&amp;"|"&amp;$Q795&amp;"|"&amp;$K795,PARAMETRES!$J$43:$J$342,0))),""))</f>
        <v/>
      </c>
      <c r="S795" s="35">
        <f>IF(OR($G795="",$X795&lt;&gt;"VALIDE"),"",IFERROR(LOOKUP(2,1/(($B$3:$B794=$B795)*($G$3:$G794=$G795)*($X$3:$X794="VALIDE")),$C$3:$C794),""))</f>
        <v/>
      </c>
      <c r="T795" s="36">
        <f>IF(OR($C795="",$S795=""),"",ROUND(($C795-$S795+IF($C795&lt;$S795,1,0))*1440,0))</f>
        <v/>
      </c>
      <c r="U795" s="22">
        <f>IF(OR($H795="",$T795="",$T795&lt;=0),"",$H795*60/$T795)</f>
        <v/>
      </c>
      <c r="V795" s="37">
        <f>IF(OR($U795="",$R795="",$R795=0),"",$U795/$R795)</f>
        <v/>
      </c>
      <c r="W795" s="20">
        <f>IF($G795="","",IF($X795="CONTEXTE INCOMPLET","CONTEXTE INCOMPLET",IF($X795="DOUBLON",StatutDoublon,IF($S795="",StatutInitial,IF($R795="",StatutStandardManquant,IF($V795="","DONNEES INSUFFISANTES",IF($V795&gt;=SeuilConforme,StatutConforme,IF($V795&gt;=SeuilSurveiller,StatutSurveiller,StatutSousStandard))))))))</f>
        <v/>
      </c>
      <c r="X795" s="33">
        <f>IF($G795="","",IF(OR($D795="",$E795="",$F795=""),"CONTEXTE INCOMPLET",IF(COUNTIFS($D$3:$D794,$D795,$E$3:$E794,$E795,$F$3:$F794,$F795,$G$3:$G794,$G795)&gt;0,"DOUBLON","VALIDE")))</f>
        <v/>
      </c>
    </row>
    <row r="796" ht="15" customHeight="1">
      <c r="A796" s="12">
        <f>IF(OR($B796="",$G796=""),"",TEXT($B796,"YYYYMMDD")&amp;"-"&amp;SUBSTITUTE($E796," ","")&amp;"-"&amp;$F796&amp;"-"&amp;$G796)</f>
        <v/>
      </c>
      <c r="B796" s="15" t="n"/>
      <c r="C796" s="16" t="n"/>
      <c r="D796" s="10" t="n"/>
      <c r="E796" s="9" t="n"/>
      <c r="F796" s="9" t="n"/>
      <c r="G796" s="13" t="n"/>
      <c r="H796" s="21" t="n"/>
      <c r="I796" s="21" t="n"/>
      <c r="J796" s="17">
        <f>IF($G796="","",IFERROR(INDEX(NomsEmployes,MATCH($G796,MatriculesEmployes,0)),"MATRICULE INCONNU"))</f>
        <v/>
      </c>
      <c r="K796" s="33">
        <f>IF(OR($D796="",$F796=""),"",IFERROR(IF(INDEX(RUNS!$L$6:$S$1005,MATCH($D796,RUNS!$A$6:$A$1005,0),MATCH("ACTIVITÉ "&amp;$F796,RUNS!$L$5:$S$5,0))="","",INDEX(RUNS!$L$6:$S$1005,MATCH($D796,RUNS!$A$6:$A$1005,0),MATCH("ACTIVITÉ "&amp;$F796,RUNS!$L$5:$S$5,0))),""))</f>
        <v/>
      </c>
      <c r="L796" s="33">
        <f>IF($D796="","",IFERROR(IF(INDEX(RUNS!$E$6:$E$1005,MATCH($D796,RUNS!$A$6:$A$1005,0))="","",INDEX(RUNS!$E$6:$E$1005,MATCH($D796,RUNS!$A$6:$A$1005,0))),""))</f>
        <v/>
      </c>
      <c r="M796" s="33">
        <f>IF($D796="","",IFERROR(IF(INDEX(RUNS!$F$6:$F$1005,MATCH($D796,RUNS!$A$6:$A$1005,0))="","",INDEX(RUNS!$F$6:$F$1005,MATCH($D796,RUNS!$A$6:$A$1005,0))),""))</f>
        <v/>
      </c>
      <c r="N796" s="33">
        <f>IF($D796="","",IFERROR(IF(INDEX(RUNS!$G$6:$G$1005,MATCH($D796,RUNS!$A$6:$A$1005,0))="","",INDEX(RUNS!$G$6:$G$1005,MATCH($D796,RUNS!$A$6:$A$1005,0))),""))</f>
        <v/>
      </c>
      <c r="O796" s="33">
        <f>IF($D796="","",IFERROR(IF(INDEX(RUNS!$H$6:$H$1005,MATCH($D796,RUNS!$A$6:$A$1005,0))="","",INDEX(RUNS!$H$6:$H$1005,MATCH($D796,RUNS!$A$6:$A$1005,0))),""))</f>
        <v/>
      </c>
      <c r="P796" s="33">
        <f>IF($D796="","",IFERROR(IF(INDEX(RUNS!$J$6:$J$1005,MATCH($D796,RUNS!$A$6:$A$1005,0))="","",INDEX(RUNS!$J$6:$J$1005,MATCH($D796,RUNS!$A$6:$A$1005,0))),""))</f>
        <v/>
      </c>
      <c r="Q796" s="33">
        <f>IF($D796="","",IFERROR(IF(INDEX(RUNS!$K$6:$K$1005,MATCH($D796,RUNS!$A$6:$A$1005,0))="","",INDEX(RUNS!$K$6:$K$1005,MATCH($D796,RUNS!$A$6:$A$1005,0))),""))</f>
        <v/>
      </c>
      <c r="R796" s="34">
        <f>IF(OR($L796="",$K796=""),"",IFERROR(IF(INDEX(PARAMETRES!$H$43:$H$342,MATCH($L796&amp;"|"&amp;$M796&amp;"|"&amp;$N796&amp;"|"&amp;$O796&amp;"|"&amp;$P796&amp;"|"&amp;$Q796&amp;"|"&amp;$K796,PARAMETRES!$J$43:$J$342,0))="","",INDEX(PARAMETRES!$H$43:$H$342,MATCH($L796&amp;"|"&amp;$M796&amp;"|"&amp;$N796&amp;"|"&amp;$O796&amp;"|"&amp;$P796&amp;"|"&amp;$Q796&amp;"|"&amp;$K796,PARAMETRES!$J$43:$J$342,0))),""))</f>
        <v/>
      </c>
      <c r="S796" s="35">
        <f>IF(OR($G796="",$X796&lt;&gt;"VALIDE"),"",IFERROR(LOOKUP(2,1/(($B$3:$B795=$B796)*($G$3:$G795=$G796)*($X$3:$X795="VALIDE")),$C$3:$C795),""))</f>
        <v/>
      </c>
      <c r="T796" s="36">
        <f>IF(OR($C796="",$S796=""),"",ROUND(($C796-$S796+IF($C796&lt;$S796,1,0))*1440,0))</f>
        <v/>
      </c>
      <c r="U796" s="22">
        <f>IF(OR($H796="",$T796="",$T796&lt;=0),"",$H796*60/$T796)</f>
        <v/>
      </c>
      <c r="V796" s="37">
        <f>IF(OR($U796="",$R796="",$R796=0),"",$U796/$R796)</f>
        <v/>
      </c>
      <c r="W796" s="20">
        <f>IF($G796="","",IF($X796="CONTEXTE INCOMPLET","CONTEXTE INCOMPLET",IF($X796="DOUBLON",StatutDoublon,IF($S796="",StatutInitial,IF($R796="",StatutStandardManquant,IF($V796="","DONNEES INSUFFISANTES",IF($V796&gt;=SeuilConforme,StatutConforme,IF($V796&gt;=SeuilSurveiller,StatutSurveiller,StatutSousStandard))))))))</f>
        <v/>
      </c>
      <c r="X796" s="33">
        <f>IF($G796="","",IF(OR($D796="",$E796="",$F796=""),"CONTEXTE INCOMPLET",IF(COUNTIFS($D$3:$D795,$D796,$E$3:$E795,$E796,$F$3:$F795,$F796,$G$3:$G795,$G796)&gt;0,"DOUBLON","VALIDE")))</f>
        <v/>
      </c>
    </row>
    <row r="797" ht="15" customHeight="1">
      <c r="A797" s="12">
        <f>IF(OR($B797="",$G797=""),"",TEXT($B797,"YYYYMMDD")&amp;"-"&amp;SUBSTITUTE($E797," ","")&amp;"-"&amp;$F797&amp;"-"&amp;$G797)</f>
        <v/>
      </c>
      <c r="B797" s="15" t="n"/>
      <c r="C797" s="16" t="n"/>
      <c r="D797" s="10" t="n"/>
      <c r="E797" s="9" t="n"/>
      <c r="F797" s="9" t="n"/>
      <c r="G797" s="13" t="n"/>
      <c r="H797" s="21" t="n"/>
      <c r="I797" s="21" t="n"/>
      <c r="J797" s="17">
        <f>IF($G797="","",IFERROR(INDEX(NomsEmployes,MATCH($G797,MatriculesEmployes,0)),"MATRICULE INCONNU"))</f>
        <v/>
      </c>
      <c r="K797" s="33">
        <f>IF(OR($D797="",$F797=""),"",IFERROR(IF(INDEX(RUNS!$L$6:$S$1005,MATCH($D797,RUNS!$A$6:$A$1005,0),MATCH("ACTIVITÉ "&amp;$F797,RUNS!$L$5:$S$5,0))="","",INDEX(RUNS!$L$6:$S$1005,MATCH($D797,RUNS!$A$6:$A$1005,0),MATCH("ACTIVITÉ "&amp;$F797,RUNS!$L$5:$S$5,0))),""))</f>
        <v/>
      </c>
      <c r="L797" s="33">
        <f>IF($D797="","",IFERROR(IF(INDEX(RUNS!$E$6:$E$1005,MATCH($D797,RUNS!$A$6:$A$1005,0))="","",INDEX(RUNS!$E$6:$E$1005,MATCH($D797,RUNS!$A$6:$A$1005,0))),""))</f>
        <v/>
      </c>
      <c r="M797" s="33">
        <f>IF($D797="","",IFERROR(IF(INDEX(RUNS!$F$6:$F$1005,MATCH($D797,RUNS!$A$6:$A$1005,0))="","",INDEX(RUNS!$F$6:$F$1005,MATCH($D797,RUNS!$A$6:$A$1005,0))),""))</f>
        <v/>
      </c>
      <c r="N797" s="33">
        <f>IF($D797="","",IFERROR(IF(INDEX(RUNS!$G$6:$G$1005,MATCH($D797,RUNS!$A$6:$A$1005,0))="","",INDEX(RUNS!$G$6:$G$1005,MATCH($D797,RUNS!$A$6:$A$1005,0))),""))</f>
        <v/>
      </c>
      <c r="O797" s="33">
        <f>IF($D797="","",IFERROR(IF(INDEX(RUNS!$H$6:$H$1005,MATCH($D797,RUNS!$A$6:$A$1005,0))="","",INDEX(RUNS!$H$6:$H$1005,MATCH($D797,RUNS!$A$6:$A$1005,0))),""))</f>
        <v/>
      </c>
      <c r="P797" s="33">
        <f>IF($D797="","",IFERROR(IF(INDEX(RUNS!$J$6:$J$1005,MATCH($D797,RUNS!$A$6:$A$1005,0))="","",INDEX(RUNS!$J$6:$J$1005,MATCH($D797,RUNS!$A$6:$A$1005,0))),""))</f>
        <v/>
      </c>
      <c r="Q797" s="33">
        <f>IF($D797="","",IFERROR(IF(INDEX(RUNS!$K$6:$K$1005,MATCH($D797,RUNS!$A$6:$A$1005,0))="","",INDEX(RUNS!$K$6:$K$1005,MATCH($D797,RUNS!$A$6:$A$1005,0))),""))</f>
        <v/>
      </c>
      <c r="R797" s="34">
        <f>IF(OR($L797="",$K797=""),"",IFERROR(IF(INDEX(PARAMETRES!$H$43:$H$342,MATCH($L797&amp;"|"&amp;$M797&amp;"|"&amp;$N797&amp;"|"&amp;$O797&amp;"|"&amp;$P797&amp;"|"&amp;$Q797&amp;"|"&amp;$K797,PARAMETRES!$J$43:$J$342,0))="","",INDEX(PARAMETRES!$H$43:$H$342,MATCH($L797&amp;"|"&amp;$M797&amp;"|"&amp;$N797&amp;"|"&amp;$O797&amp;"|"&amp;$P797&amp;"|"&amp;$Q797&amp;"|"&amp;$K797,PARAMETRES!$J$43:$J$342,0))),""))</f>
        <v/>
      </c>
      <c r="S797" s="35">
        <f>IF(OR($G797="",$X797&lt;&gt;"VALIDE"),"",IFERROR(LOOKUP(2,1/(($B$3:$B796=$B797)*($G$3:$G796=$G797)*($X$3:$X796="VALIDE")),$C$3:$C796),""))</f>
        <v/>
      </c>
      <c r="T797" s="36">
        <f>IF(OR($C797="",$S797=""),"",ROUND(($C797-$S797+IF($C797&lt;$S797,1,0))*1440,0))</f>
        <v/>
      </c>
      <c r="U797" s="22">
        <f>IF(OR($H797="",$T797="",$T797&lt;=0),"",$H797*60/$T797)</f>
        <v/>
      </c>
      <c r="V797" s="37">
        <f>IF(OR($U797="",$R797="",$R797=0),"",$U797/$R797)</f>
        <v/>
      </c>
      <c r="W797" s="20">
        <f>IF($G797="","",IF($X797="CONTEXTE INCOMPLET","CONTEXTE INCOMPLET",IF($X797="DOUBLON",StatutDoublon,IF($S797="",StatutInitial,IF($R797="",StatutStandardManquant,IF($V797="","DONNEES INSUFFISANTES",IF($V797&gt;=SeuilConforme,StatutConforme,IF($V797&gt;=SeuilSurveiller,StatutSurveiller,StatutSousStandard))))))))</f>
        <v/>
      </c>
      <c r="X797" s="33">
        <f>IF($G797="","",IF(OR($D797="",$E797="",$F797=""),"CONTEXTE INCOMPLET",IF(COUNTIFS($D$3:$D796,$D797,$E$3:$E796,$E797,$F$3:$F796,$F797,$G$3:$G796,$G797)&gt;0,"DOUBLON","VALIDE")))</f>
        <v/>
      </c>
    </row>
    <row r="798" ht="15" customHeight="1">
      <c r="A798" s="12">
        <f>IF(OR($B798="",$G798=""),"",TEXT($B798,"YYYYMMDD")&amp;"-"&amp;SUBSTITUTE($E798," ","")&amp;"-"&amp;$F798&amp;"-"&amp;$G798)</f>
        <v/>
      </c>
      <c r="B798" s="15" t="n"/>
      <c r="C798" s="16" t="n"/>
      <c r="D798" s="10" t="n"/>
      <c r="E798" s="9" t="n"/>
      <c r="F798" s="9" t="n"/>
      <c r="G798" s="13" t="n"/>
      <c r="H798" s="21" t="n"/>
      <c r="I798" s="21" t="n"/>
      <c r="J798" s="17">
        <f>IF($G798="","",IFERROR(INDEX(NomsEmployes,MATCH($G798,MatriculesEmployes,0)),"MATRICULE INCONNU"))</f>
        <v/>
      </c>
      <c r="K798" s="33">
        <f>IF(OR($D798="",$F798=""),"",IFERROR(IF(INDEX(RUNS!$L$6:$S$1005,MATCH($D798,RUNS!$A$6:$A$1005,0),MATCH("ACTIVITÉ "&amp;$F798,RUNS!$L$5:$S$5,0))="","",INDEX(RUNS!$L$6:$S$1005,MATCH($D798,RUNS!$A$6:$A$1005,0),MATCH("ACTIVITÉ "&amp;$F798,RUNS!$L$5:$S$5,0))),""))</f>
        <v/>
      </c>
      <c r="L798" s="33">
        <f>IF($D798="","",IFERROR(IF(INDEX(RUNS!$E$6:$E$1005,MATCH($D798,RUNS!$A$6:$A$1005,0))="","",INDEX(RUNS!$E$6:$E$1005,MATCH($D798,RUNS!$A$6:$A$1005,0))),""))</f>
        <v/>
      </c>
      <c r="M798" s="33">
        <f>IF($D798="","",IFERROR(IF(INDEX(RUNS!$F$6:$F$1005,MATCH($D798,RUNS!$A$6:$A$1005,0))="","",INDEX(RUNS!$F$6:$F$1005,MATCH($D798,RUNS!$A$6:$A$1005,0))),""))</f>
        <v/>
      </c>
      <c r="N798" s="33">
        <f>IF($D798="","",IFERROR(IF(INDEX(RUNS!$G$6:$G$1005,MATCH($D798,RUNS!$A$6:$A$1005,0))="","",INDEX(RUNS!$G$6:$G$1005,MATCH($D798,RUNS!$A$6:$A$1005,0))),""))</f>
        <v/>
      </c>
      <c r="O798" s="33">
        <f>IF($D798="","",IFERROR(IF(INDEX(RUNS!$H$6:$H$1005,MATCH($D798,RUNS!$A$6:$A$1005,0))="","",INDEX(RUNS!$H$6:$H$1005,MATCH($D798,RUNS!$A$6:$A$1005,0))),""))</f>
        <v/>
      </c>
      <c r="P798" s="33">
        <f>IF($D798="","",IFERROR(IF(INDEX(RUNS!$J$6:$J$1005,MATCH($D798,RUNS!$A$6:$A$1005,0))="","",INDEX(RUNS!$J$6:$J$1005,MATCH($D798,RUNS!$A$6:$A$1005,0))),""))</f>
        <v/>
      </c>
      <c r="Q798" s="33">
        <f>IF($D798="","",IFERROR(IF(INDEX(RUNS!$K$6:$K$1005,MATCH($D798,RUNS!$A$6:$A$1005,0))="","",INDEX(RUNS!$K$6:$K$1005,MATCH($D798,RUNS!$A$6:$A$1005,0))),""))</f>
        <v/>
      </c>
      <c r="R798" s="34">
        <f>IF(OR($L798="",$K798=""),"",IFERROR(IF(INDEX(PARAMETRES!$H$43:$H$342,MATCH($L798&amp;"|"&amp;$M798&amp;"|"&amp;$N798&amp;"|"&amp;$O798&amp;"|"&amp;$P798&amp;"|"&amp;$Q798&amp;"|"&amp;$K798,PARAMETRES!$J$43:$J$342,0))="","",INDEX(PARAMETRES!$H$43:$H$342,MATCH($L798&amp;"|"&amp;$M798&amp;"|"&amp;$N798&amp;"|"&amp;$O798&amp;"|"&amp;$P798&amp;"|"&amp;$Q798&amp;"|"&amp;$K798,PARAMETRES!$J$43:$J$342,0))),""))</f>
        <v/>
      </c>
      <c r="S798" s="35">
        <f>IF(OR($G798="",$X798&lt;&gt;"VALIDE"),"",IFERROR(LOOKUP(2,1/(($B$3:$B797=$B798)*($G$3:$G797=$G798)*($X$3:$X797="VALIDE")),$C$3:$C797),""))</f>
        <v/>
      </c>
      <c r="T798" s="36">
        <f>IF(OR($C798="",$S798=""),"",ROUND(($C798-$S798+IF($C798&lt;$S798,1,0))*1440,0))</f>
        <v/>
      </c>
      <c r="U798" s="22">
        <f>IF(OR($H798="",$T798="",$T798&lt;=0),"",$H798*60/$T798)</f>
        <v/>
      </c>
      <c r="V798" s="37">
        <f>IF(OR($U798="",$R798="",$R798=0),"",$U798/$R798)</f>
        <v/>
      </c>
      <c r="W798" s="20">
        <f>IF($G798="","",IF($X798="CONTEXTE INCOMPLET","CONTEXTE INCOMPLET",IF($X798="DOUBLON",StatutDoublon,IF($S798="",StatutInitial,IF($R798="",StatutStandardManquant,IF($V798="","DONNEES INSUFFISANTES",IF($V798&gt;=SeuilConforme,StatutConforme,IF($V798&gt;=SeuilSurveiller,StatutSurveiller,StatutSousStandard))))))))</f>
        <v/>
      </c>
      <c r="X798" s="33">
        <f>IF($G798="","",IF(OR($D798="",$E798="",$F798=""),"CONTEXTE INCOMPLET",IF(COUNTIFS($D$3:$D797,$D798,$E$3:$E797,$E798,$F$3:$F797,$F798,$G$3:$G797,$G798)&gt;0,"DOUBLON","VALIDE")))</f>
        <v/>
      </c>
    </row>
    <row r="799" ht="15" customHeight="1">
      <c r="A799" s="12">
        <f>IF(OR($B799="",$G799=""),"",TEXT($B799,"YYYYMMDD")&amp;"-"&amp;SUBSTITUTE($E799," ","")&amp;"-"&amp;$F799&amp;"-"&amp;$G799)</f>
        <v/>
      </c>
      <c r="B799" s="15" t="n"/>
      <c r="C799" s="16" t="n"/>
      <c r="D799" s="10" t="n"/>
      <c r="E799" s="9" t="n"/>
      <c r="F799" s="9" t="n"/>
      <c r="G799" s="13" t="n"/>
      <c r="H799" s="21" t="n"/>
      <c r="I799" s="21" t="n"/>
      <c r="J799" s="17">
        <f>IF($G799="","",IFERROR(INDEX(NomsEmployes,MATCH($G799,MatriculesEmployes,0)),"MATRICULE INCONNU"))</f>
        <v/>
      </c>
      <c r="K799" s="33">
        <f>IF(OR($D799="",$F799=""),"",IFERROR(IF(INDEX(RUNS!$L$6:$S$1005,MATCH($D799,RUNS!$A$6:$A$1005,0),MATCH("ACTIVITÉ "&amp;$F799,RUNS!$L$5:$S$5,0))="","",INDEX(RUNS!$L$6:$S$1005,MATCH($D799,RUNS!$A$6:$A$1005,0),MATCH("ACTIVITÉ "&amp;$F799,RUNS!$L$5:$S$5,0))),""))</f>
        <v/>
      </c>
      <c r="L799" s="33">
        <f>IF($D799="","",IFERROR(IF(INDEX(RUNS!$E$6:$E$1005,MATCH($D799,RUNS!$A$6:$A$1005,0))="","",INDEX(RUNS!$E$6:$E$1005,MATCH($D799,RUNS!$A$6:$A$1005,0))),""))</f>
        <v/>
      </c>
      <c r="M799" s="33">
        <f>IF($D799="","",IFERROR(IF(INDEX(RUNS!$F$6:$F$1005,MATCH($D799,RUNS!$A$6:$A$1005,0))="","",INDEX(RUNS!$F$6:$F$1005,MATCH($D799,RUNS!$A$6:$A$1005,0))),""))</f>
        <v/>
      </c>
      <c r="N799" s="33">
        <f>IF($D799="","",IFERROR(IF(INDEX(RUNS!$G$6:$G$1005,MATCH($D799,RUNS!$A$6:$A$1005,0))="","",INDEX(RUNS!$G$6:$G$1005,MATCH($D799,RUNS!$A$6:$A$1005,0))),""))</f>
        <v/>
      </c>
      <c r="O799" s="33">
        <f>IF($D799="","",IFERROR(IF(INDEX(RUNS!$H$6:$H$1005,MATCH($D799,RUNS!$A$6:$A$1005,0))="","",INDEX(RUNS!$H$6:$H$1005,MATCH($D799,RUNS!$A$6:$A$1005,0))),""))</f>
        <v/>
      </c>
      <c r="P799" s="33">
        <f>IF($D799="","",IFERROR(IF(INDEX(RUNS!$J$6:$J$1005,MATCH($D799,RUNS!$A$6:$A$1005,0))="","",INDEX(RUNS!$J$6:$J$1005,MATCH($D799,RUNS!$A$6:$A$1005,0))),""))</f>
        <v/>
      </c>
      <c r="Q799" s="33">
        <f>IF($D799="","",IFERROR(IF(INDEX(RUNS!$K$6:$K$1005,MATCH($D799,RUNS!$A$6:$A$1005,0))="","",INDEX(RUNS!$K$6:$K$1005,MATCH($D799,RUNS!$A$6:$A$1005,0))),""))</f>
        <v/>
      </c>
      <c r="R799" s="34">
        <f>IF(OR($L799="",$K799=""),"",IFERROR(IF(INDEX(PARAMETRES!$H$43:$H$342,MATCH($L799&amp;"|"&amp;$M799&amp;"|"&amp;$N799&amp;"|"&amp;$O799&amp;"|"&amp;$P799&amp;"|"&amp;$Q799&amp;"|"&amp;$K799,PARAMETRES!$J$43:$J$342,0))="","",INDEX(PARAMETRES!$H$43:$H$342,MATCH($L799&amp;"|"&amp;$M799&amp;"|"&amp;$N799&amp;"|"&amp;$O799&amp;"|"&amp;$P799&amp;"|"&amp;$Q799&amp;"|"&amp;$K799,PARAMETRES!$J$43:$J$342,0))),""))</f>
        <v/>
      </c>
      <c r="S799" s="35">
        <f>IF(OR($G799="",$X799&lt;&gt;"VALIDE"),"",IFERROR(LOOKUP(2,1/(($B$3:$B798=$B799)*($G$3:$G798=$G799)*($X$3:$X798="VALIDE")),$C$3:$C798),""))</f>
        <v/>
      </c>
      <c r="T799" s="36">
        <f>IF(OR($C799="",$S799=""),"",ROUND(($C799-$S799+IF($C799&lt;$S799,1,0))*1440,0))</f>
        <v/>
      </c>
      <c r="U799" s="22">
        <f>IF(OR($H799="",$T799="",$T799&lt;=0),"",$H799*60/$T799)</f>
        <v/>
      </c>
      <c r="V799" s="37">
        <f>IF(OR($U799="",$R799="",$R799=0),"",$U799/$R799)</f>
        <v/>
      </c>
      <c r="W799" s="20">
        <f>IF($G799="","",IF($X799="CONTEXTE INCOMPLET","CONTEXTE INCOMPLET",IF($X799="DOUBLON",StatutDoublon,IF($S799="",StatutInitial,IF($R799="",StatutStandardManquant,IF($V799="","DONNEES INSUFFISANTES",IF($V799&gt;=SeuilConforme,StatutConforme,IF($V799&gt;=SeuilSurveiller,StatutSurveiller,StatutSousStandard))))))))</f>
        <v/>
      </c>
      <c r="X799" s="33">
        <f>IF($G799="","",IF(OR($D799="",$E799="",$F799=""),"CONTEXTE INCOMPLET",IF(COUNTIFS($D$3:$D798,$D799,$E$3:$E798,$E799,$F$3:$F798,$F799,$G$3:$G798,$G799)&gt;0,"DOUBLON","VALIDE")))</f>
        <v/>
      </c>
    </row>
    <row r="800" ht="15" customHeight="1">
      <c r="A800" s="12">
        <f>IF(OR($B800="",$G800=""),"",TEXT($B800,"YYYYMMDD")&amp;"-"&amp;SUBSTITUTE($E800," ","")&amp;"-"&amp;$F800&amp;"-"&amp;$G800)</f>
        <v/>
      </c>
      <c r="B800" s="15" t="n"/>
      <c r="C800" s="16" t="n"/>
      <c r="D800" s="10" t="n"/>
      <c r="E800" s="9" t="n"/>
      <c r="F800" s="9" t="n"/>
      <c r="G800" s="13" t="n"/>
      <c r="H800" s="21" t="n"/>
      <c r="I800" s="21" t="n"/>
      <c r="J800" s="17">
        <f>IF($G800="","",IFERROR(INDEX(NomsEmployes,MATCH($G800,MatriculesEmployes,0)),"MATRICULE INCONNU"))</f>
        <v/>
      </c>
      <c r="K800" s="33">
        <f>IF(OR($D800="",$F800=""),"",IFERROR(IF(INDEX(RUNS!$L$6:$S$1005,MATCH($D800,RUNS!$A$6:$A$1005,0),MATCH("ACTIVITÉ "&amp;$F800,RUNS!$L$5:$S$5,0))="","",INDEX(RUNS!$L$6:$S$1005,MATCH($D800,RUNS!$A$6:$A$1005,0),MATCH("ACTIVITÉ "&amp;$F800,RUNS!$L$5:$S$5,0))),""))</f>
        <v/>
      </c>
      <c r="L800" s="33">
        <f>IF($D800="","",IFERROR(IF(INDEX(RUNS!$E$6:$E$1005,MATCH($D800,RUNS!$A$6:$A$1005,0))="","",INDEX(RUNS!$E$6:$E$1005,MATCH($D800,RUNS!$A$6:$A$1005,0))),""))</f>
        <v/>
      </c>
      <c r="M800" s="33">
        <f>IF($D800="","",IFERROR(IF(INDEX(RUNS!$F$6:$F$1005,MATCH($D800,RUNS!$A$6:$A$1005,0))="","",INDEX(RUNS!$F$6:$F$1005,MATCH($D800,RUNS!$A$6:$A$1005,0))),""))</f>
        <v/>
      </c>
      <c r="N800" s="33">
        <f>IF($D800="","",IFERROR(IF(INDEX(RUNS!$G$6:$G$1005,MATCH($D800,RUNS!$A$6:$A$1005,0))="","",INDEX(RUNS!$G$6:$G$1005,MATCH($D800,RUNS!$A$6:$A$1005,0))),""))</f>
        <v/>
      </c>
      <c r="O800" s="33">
        <f>IF($D800="","",IFERROR(IF(INDEX(RUNS!$H$6:$H$1005,MATCH($D800,RUNS!$A$6:$A$1005,0))="","",INDEX(RUNS!$H$6:$H$1005,MATCH($D800,RUNS!$A$6:$A$1005,0))),""))</f>
        <v/>
      </c>
      <c r="P800" s="33">
        <f>IF($D800="","",IFERROR(IF(INDEX(RUNS!$J$6:$J$1005,MATCH($D800,RUNS!$A$6:$A$1005,0))="","",INDEX(RUNS!$J$6:$J$1005,MATCH($D800,RUNS!$A$6:$A$1005,0))),""))</f>
        <v/>
      </c>
      <c r="Q800" s="33">
        <f>IF($D800="","",IFERROR(IF(INDEX(RUNS!$K$6:$K$1005,MATCH($D800,RUNS!$A$6:$A$1005,0))="","",INDEX(RUNS!$K$6:$K$1005,MATCH($D800,RUNS!$A$6:$A$1005,0))),""))</f>
        <v/>
      </c>
      <c r="R800" s="34">
        <f>IF(OR($L800="",$K800=""),"",IFERROR(IF(INDEX(PARAMETRES!$H$43:$H$342,MATCH($L800&amp;"|"&amp;$M800&amp;"|"&amp;$N800&amp;"|"&amp;$O800&amp;"|"&amp;$P800&amp;"|"&amp;$Q800&amp;"|"&amp;$K800,PARAMETRES!$J$43:$J$342,0))="","",INDEX(PARAMETRES!$H$43:$H$342,MATCH($L800&amp;"|"&amp;$M800&amp;"|"&amp;$N800&amp;"|"&amp;$O800&amp;"|"&amp;$P800&amp;"|"&amp;$Q800&amp;"|"&amp;$K800,PARAMETRES!$J$43:$J$342,0))),""))</f>
        <v/>
      </c>
      <c r="S800" s="35">
        <f>IF(OR($G800="",$X800&lt;&gt;"VALIDE"),"",IFERROR(LOOKUP(2,1/(($B$3:$B799=$B800)*($G$3:$G799=$G800)*($X$3:$X799="VALIDE")),$C$3:$C799),""))</f>
        <v/>
      </c>
      <c r="T800" s="36">
        <f>IF(OR($C800="",$S800=""),"",ROUND(($C800-$S800+IF($C800&lt;$S800,1,0))*1440,0))</f>
        <v/>
      </c>
      <c r="U800" s="22">
        <f>IF(OR($H800="",$T800="",$T800&lt;=0),"",$H800*60/$T800)</f>
        <v/>
      </c>
      <c r="V800" s="37">
        <f>IF(OR($U800="",$R800="",$R800=0),"",$U800/$R800)</f>
        <v/>
      </c>
      <c r="W800" s="20">
        <f>IF($G800="","",IF($X800="CONTEXTE INCOMPLET","CONTEXTE INCOMPLET",IF($X800="DOUBLON",StatutDoublon,IF($S800="",StatutInitial,IF($R800="",StatutStandardManquant,IF($V800="","DONNEES INSUFFISANTES",IF($V800&gt;=SeuilConforme,StatutConforme,IF($V800&gt;=SeuilSurveiller,StatutSurveiller,StatutSousStandard))))))))</f>
        <v/>
      </c>
      <c r="X800" s="33">
        <f>IF($G800="","",IF(OR($D800="",$E800="",$F800=""),"CONTEXTE INCOMPLET",IF(COUNTIFS($D$3:$D799,$D800,$E$3:$E799,$E800,$F$3:$F799,$F800,$G$3:$G799,$G800)&gt;0,"DOUBLON","VALIDE")))</f>
        <v/>
      </c>
    </row>
    <row r="801" ht="15" customHeight="1">
      <c r="A801" s="12">
        <f>IF(OR($B801="",$G801=""),"",TEXT($B801,"YYYYMMDD")&amp;"-"&amp;SUBSTITUTE($E801," ","")&amp;"-"&amp;$F801&amp;"-"&amp;$G801)</f>
        <v/>
      </c>
      <c r="B801" s="15" t="n"/>
      <c r="C801" s="16" t="n"/>
      <c r="D801" s="10" t="n"/>
      <c r="E801" s="9" t="n"/>
      <c r="F801" s="9" t="n"/>
      <c r="G801" s="13" t="n"/>
      <c r="H801" s="21" t="n"/>
      <c r="I801" s="21" t="n"/>
      <c r="J801" s="17">
        <f>IF($G801="","",IFERROR(INDEX(NomsEmployes,MATCH($G801,MatriculesEmployes,0)),"MATRICULE INCONNU"))</f>
        <v/>
      </c>
      <c r="K801" s="33">
        <f>IF(OR($D801="",$F801=""),"",IFERROR(IF(INDEX(RUNS!$L$6:$S$1005,MATCH($D801,RUNS!$A$6:$A$1005,0),MATCH("ACTIVITÉ "&amp;$F801,RUNS!$L$5:$S$5,0))="","",INDEX(RUNS!$L$6:$S$1005,MATCH($D801,RUNS!$A$6:$A$1005,0),MATCH("ACTIVITÉ "&amp;$F801,RUNS!$L$5:$S$5,0))),""))</f>
        <v/>
      </c>
      <c r="L801" s="33">
        <f>IF($D801="","",IFERROR(IF(INDEX(RUNS!$E$6:$E$1005,MATCH($D801,RUNS!$A$6:$A$1005,0))="","",INDEX(RUNS!$E$6:$E$1005,MATCH($D801,RUNS!$A$6:$A$1005,0))),""))</f>
        <v/>
      </c>
      <c r="M801" s="33">
        <f>IF($D801="","",IFERROR(IF(INDEX(RUNS!$F$6:$F$1005,MATCH($D801,RUNS!$A$6:$A$1005,0))="","",INDEX(RUNS!$F$6:$F$1005,MATCH($D801,RUNS!$A$6:$A$1005,0))),""))</f>
        <v/>
      </c>
      <c r="N801" s="33">
        <f>IF($D801="","",IFERROR(IF(INDEX(RUNS!$G$6:$G$1005,MATCH($D801,RUNS!$A$6:$A$1005,0))="","",INDEX(RUNS!$G$6:$G$1005,MATCH($D801,RUNS!$A$6:$A$1005,0))),""))</f>
        <v/>
      </c>
      <c r="O801" s="33">
        <f>IF($D801="","",IFERROR(IF(INDEX(RUNS!$H$6:$H$1005,MATCH($D801,RUNS!$A$6:$A$1005,0))="","",INDEX(RUNS!$H$6:$H$1005,MATCH($D801,RUNS!$A$6:$A$1005,0))),""))</f>
        <v/>
      </c>
      <c r="P801" s="33">
        <f>IF($D801="","",IFERROR(IF(INDEX(RUNS!$J$6:$J$1005,MATCH($D801,RUNS!$A$6:$A$1005,0))="","",INDEX(RUNS!$J$6:$J$1005,MATCH($D801,RUNS!$A$6:$A$1005,0))),""))</f>
        <v/>
      </c>
      <c r="Q801" s="33">
        <f>IF($D801="","",IFERROR(IF(INDEX(RUNS!$K$6:$K$1005,MATCH($D801,RUNS!$A$6:$A$1005,0))="","",INDEX(RUNS!$K$6:$K$1005,MATCH($D801,RUNS!$A$6:$A$1005,0))),""))</f>
        <v/>
      </c>
      <c r="R801" s="34">
        <f>IF(OR($L801="",$K801=""),"",IFERROR(IF(INDEX(PARAMETRES!$H$43:$H$342,MATCH($L801&amp;"|"&amp;$M801&amp;"|"&amp;$N801&amp;"|"&amp;$O801&amp;"|"&amp;$P801&amp;"|"&amp;$Q801&amp;"|"&amp;$K801,PARAMETRES!$J$43:$J$342,0))="","",INDEX(PARAMETRES!$H$43:$H$342,MATCH($L801&amp;"|"&amp;$M801&amp;"|"&amp;$N801&amp;"|"&amp;$O801&amp;"|"&amp;$P801&amp;"|"&amp;$Q801&amp;"|"&amp;$K801,PARAMETRES!$J$43:$J$342,0))),""))</f>
        <v/>
      </c>
      <c r="S801" s="35">
        <f>IF(OR($G801="",$X801&lt;&gt;"VALIDE"),"",IFERROR(LOOKUP(2,1/(($B$3:$B800=$B801)*($G$3:$G800=$G801)*($X$3:$X800="VALIDE")),$C$3:$C800),""))</f>
        <v/>
      </c>
      <c r="T801" s="36">
        <f>IF(OR($C801="",$S801=""),"",ROUND(($C801-$S801+IF($C801&lt;$S801,1,0))*1440,0))</f>
        <v/>
      </c>
      <c r="U801" s="22">
        <f>IF(OR($H801="",$T801="",$T801&lt;=0),"",$H801*60/$T801)</f>
        <v/>
      </c>
      <c r="V801" s="37">
        <f>IF(OR($U801="",$R801="",$R801=0),"",$U801/$R801)</f>
        <v/>
      </c>
      <c r="W801" s="20">
        <f>IF($G801="","",IF($X801="CONTEXTE INCOMPLET","CONTEXTE INCOMPLET",IF($X801="DOUBLON",StatutDoublon,IF($S801="",StatutInitial,IF($R801="",StatutStandardManquant,IF($V801="","DONNEES INSUFFISANTES",IF($V801&gt;=SeuilConforme,StatutConforme,IF($V801&gt;=SeuilSurveiller,StatutSurveiller,StatutSousStandard))))))))</f>
        <v/>
      </c>
      <c r="X801" s="33">
        <f>IF($G801="","",IF(OR($D801="",$E801="",$F801=""),"CONTEXTE INCOMPLET",IF(COUNTIFS($D$3:$D800,$D801,$E$3:$E800,$E801,$F$3:$F800,$F801,$G$3:$G800,$G801)&gt;0,"DOUBLON","VALIDE")))</f>
        <v/>
      </c>
    </row>
    <row r="802" ht="15" customHeight="1">
      <c r="A802" s="12">
        <f>IF(OR($B802="",$G802=""),"",TEXT($B802,"YYYYMMDD")&amp;"-"&amp;SUBSTITUTE($E802," ","")&amp;"-"&amp;$F802&amp;"-"&amp;$G802)</f>
        <v/>
      </c>
      <c r="B802" s="15" t="n"/>
      <c r="C802" s="16" t="n"/>
      <c r="D802" s="10" t="n"/>
      <c r="E802" s="9" t="n"/>
      <c r="F802" s="9" t="n"/>
      <c r="G802" s="13" t="n"/>
      <c r="H802" s="21" t="n"/>
      <c r="I802" s="21" t="n"/>
      <c r="J802" s="17">
        <f>IF($G802="","",IFERROR(INDEX(NomsEmployes,MATCH($G802,MatriculesEmployes,0)),"MATRICULE INCONNU"))</f>
        <v/>
      </c>
      <c r="K802" s="33">
        <f>IF(OR($D802="",$F802=""),"",IFERROR(IF(INDEX(RUNS!$L$6:$S$1005,MATCH($D802,RUNS!$A$6:$A$1005,0),MATCH("ACTIVITÉ "&amp;$F802,RUNS!$L$5:$S$5,0))="","",INDEX(RUNS!$L$6:$S$1005,MATCH($D802,RUNS!$A$6:$A$1005,0),MATCH("ACTIVITÉ "&amp;$F802,RUNS!$L$5:$S$5,0))),""))</f>
        <v/>
      </c>
      <c r="L802" s="33">
        <f>IF($D802="","",IFERROR(IF(INDEX(RUNS!$E$6:$E$1005,MATCH($D802,RUNS!$A$6:$A$1005,0))="","",INDEX(RUNS!$E$6:$E$1005,MATCH($D802,RUNS!$A$6:$A$1005,0))),""))</f>
        <v/>
      </c>
      <c r="M802" s="33">
        <f>IF($D802="","",IFERROR(IF(INDEX(RUNS!$F$6:$F$1005,MATCH($D802,RUNS!$A$6:$A$1005,0))="","",INDEX(RUNS!$F$6:$F$1005,MATCH($D802,RUNS!$A$6:$A$1005,0))),""))</f>
        <v/>
      </c>
      <c r="N802" s="33">
        <f>IF($D802="","",IFERROR(IF(INDEX(RUNS!$G$6:$G$1005,MATCH($D802,RUNS!$A$6:$A$1005,0))="","",INDEX(RUNS!$G$6:$G$1005,MATCH($D802,RUNS!$A$6:$A$1005,0))),""))</f>
        <v/>
      </c>
      <c r="O802" s="33">
        <f>IF($D802="","",IFERROR(IF(INDEX(RUNS!$H$6:$H$1005,MATCH($D802,RUNS!$A$6:$A$1005,0))="","",INDEX(RUNS!$H$6:$H$1005,MATCH($D802,RUNS!$A$6:$A$1005,0))),""))</f>
        <v/>
      </c>
      <c r="P802" s="33">
        <f>IF($D802="","",IFERROR(IF(INDEX(RUNS!$J$6:$J$1005,MATCH($D802,RUNS!$A$6:$A$1005,0))="","",INDEX(RUNS!$J$6:$J$1005,MATCH($D802,RUNS!$A$6:$A$1005,0))),""))</f>
        <v/>
      </c>
      <c r="Q802" s="33">
        <f>IF($D802="","",IFERROR(IF(INDEX(RUNS!$K$6:$K$1005,MATCH($D802,RUNS!$A$6:$A$1005,0))="","",INDEX(RUNS!$K$6:$K$1005,MATCH($D802,RUNS!$A$6:$A$1005,0))),""))</f>
        <v/>
      </c>
      <c r="R802" s="34">
        <f>IF(OR($L802="",$K802=""),"",IFERROR(IF(INDEX(PARAMETRES!$H$43:$H$342,MATCH($L802&amp;"|"&amp;$M802&amp;"|"&amp;$N802&amp;"|"&amp;$O802&amp;"|"&amp;$P802&amp;"|"&amp;$Q802&amp;"|"&amp;$K802,PARAMETRES!$J$43:$J$342,0))="","",INDEX(PARAMETRES!$H$43:$H$342,MATCH($L802&amp;"|"&amp;$M802&amp;"|"&amp;$N802&amp;"|"&amp;$O802&amp;"|"&amp;$P802&amp;"|"&amp;$Q802&amp;"|"&amp;$K802,PARAMETRES!$J$43:$J$342,0))),""))</f>
        <v/>
      </c>
      <c r="S802" s="35">
        <f>IF(OR($G802="",$X802&lt;&gt;"VALIDE"),"",IFERROR(LOOKUP(2,1/(($B$3:$B801=$B802)*($G$3:$G801=$G802)*($X$3:$X801="VALIDE")),$C$3:$C801),""))</f>
        <v/>
      </c>
      <c r="T802" s="36">
        <f>IF(OR($C802="",$S802=""),"",ROUND(($C802-$S802+IF($C802&lt;$S802,1,0))*1440,0))</f>
        <v/>
      </c>
      <c r="U802" s="22">
        <f>IF(OR($H802="",$T802="",$T802&lt;=0),"",$H802*60/$T802)</f>
        <v/>
      </c>
      <c r="V802" s="37">
        <f>IF(OR($U802="",$R802="",$R802=0),"",$U802/$R802)</f>
        <v/>
      </c>
      <c r="W802" s="20">
        <f>IF($G802="","",IF($X802="CONTEXTE INCOMPLET","CONTEXTE INCOMPLET",IF($X802="DOUBLON",StatutDoublon,IF($S802="",StatutInitial,IF($R802="",StatutStandardManquant,IF($V802="","DONNEES INSUFFISANTES",IF($V802&gt;=SeuilConforme,StatutConforme,IF($V802&gt;=SeuilSurveiller,StatutSurveiller,StatutSousStandard))))))))</f>
        <v/>
      </c>
      <c r="X802" s="33">
        <f>IF($G802="","",IF(OR($D802="",$E802="",$F802=""),"CONTEXTE INCOMPLET",IF(COUNTIFS($D$3:$D801,$D802,$E$3:$E801,$E802,$F$3:$F801,$F802,$G$3:$G801,$G802)&gt;0,"DOUBLON","VALIDE")))</f>
        <v/>
      </c>
    </row>
    <row r="803" ht="15" customHeight="1">
      <c r="A803" s="12">
        <f>IF(OR($B803="",$G803=""),"",TEXT($B803,"YYYYMMDD")&amp;"-"&amp;SUBSTITUTE($E803," ","")&amp;"-"&amp;$F803&amp;"-"&amp;$G803)</f>
        <v/>
      </c>
      <c r="B803" s="15" t="n"/>
      <c r="C803" s="16" t="n"/>
      <c r="D803" s="10" t="n"/>
      <c r="E803" s="9" t="n"/>
      <c r="F803" s="9" t="n"/>
      <c r="G803" s="13" t="n"/>
      <c r="H803" s="21" t="n"/>
      <c r="I803" s="21" t="n"/>
      <c r="J803" s="17">
        <f>IF($G803="","",IFERROR(INDEX(NomsEmployes,MATCH($G803,MatriculesEmployes,0)),"MATRICULE INCONNU"))</f>
        <v/>
      </c>
      <c r="K803" s="33">
        <f>IF(OR($D803="",$F803=""),"",IFERROR(IF(INDEX(RUNS!$L$6:$S$1005,MATCH($D803,RUNS!$A$6:$A$1005,0),MATCH("ACTIVITÉ "&amp;$F803,RUNS!$L$5:$S$5,0))="","",INDEX(RUNS!$L$6:$S$1005,MATCH($D803,RUNS!$A$6:$A$1005,0),MATCH("ACTIVITÉ "&amp;$F803,RUNS!$L$5:$S$5,0))),""))</f>
        <v/>
      </c>
      <c r="L803" s="33">
        <f>IF($D803="","",IFERROR(IF(INDEX(RUNS!$E$6:$E$1005,MATCH($D803,RUNS!$A$6:$A$1005,0))="","",INDEX(RUNS!$E$6:$E$1005,MATCH($D803,RUNS!$A$6:$A$1005,0))),""))</f>
        <v/>
      </c>
      <c r="M803" s="33">
        <f>IF($D803="","",IFERROR(IF(INDEX(RUNS!$F$6:$F$1005,MATCH($D803,RUNS!$A$6:$A$1005,0))="","",INDEX(RUNS!$F$6:$F$1005,MATCH($D803,RUNS!$A$6:$A$1005,0))),""))</f>
        <v/>
      </c>
      <c r="N803" s="33">
        <f>IF($D803="","",IFERROR(IF(INDEX(RUNS!$G$6:$G$1005,MATCH($D803,RUNS!$A$6:$A$1005,0))="","",INDEX(RUNS!$G$6:$G$1005,MATCH($D803,RUNS!$A$6:$A$1005,0))),""))</f>
        <v/>
      </c>
      <c r="O803" s="33">
        <f>IF($D803="","",IFERROR(IF(INDEX(RUNS!$H$6:$H$1005,MATCH($D803,RUNS!$A$6:$A$1005,0))="","",INDEX(RUNS!$H$6:$H$1005,MATCH($D803,RUNS!$A$6:$A$1005,0))),""))</f>
        <v/>
      </c>
      <c r="P803" s="33">
        <f>IF($D803="","",IFERROR(IF(INDEX(RUNS!$J$6:$J$1005,MATCH($D803,RUNS!$A$6:$A$1005,0))="","",INDEX(RUNS!$J$6:$J$1005,MATCH($D803,RUNS!$A$6:$A$1005,0))),""))</f>
        <v/>
      </c>
      <c r="Q803" s="33">
        <f>IF($D803="","",IFERROR(IF(INDEX(RUNS!$K$6:$K$1005,MATCH($D803,RUNS!$A$6:$A$1005,0))="","",INDEX(RUNS!$K$6:$K$1005,MATCH($D803,RUNS!$A$6:$A$1005,0))),""))</f>
        <v/>
      </c>
      <c r="R803" s="34">
        <f>IF(OR($L803="",$K803=""),"",IFERROR(IF(INDEX(PARAMETRES!$H$43:$H$342,MATCH($L803&amp;"|"&amp;$M803&amp;"|"&amp;$N803&amp;"|"&amp;$O803&amp;"|"&amp;$P803&amp;"|"&amp;$Q803&amp;"|"&amp;$K803,PARAMETRES!$J$43:$J$342,0))="","",INDEX(PARAMETRES!$H$43:$H$342,MATCH($L803&amp;"|"&amp;$M803&amp;"|"&amp;$N803&amp;"|"&amp;$O803&amp;"|"&amp;$P803&amp;"|"&amp;$Q803&amp;"|"&amp;$K803,PARAMETRES!$J$43:$J$342,0))),""))</f>
        <v/>
      </c>
      <c r="S803" s="35">
        <f>IF(OR($G803="",$X803&lt;&gt;"VALIDE"),"",IFERROR(LOOKUP(2,1/(($B$3:$B802=$B803)*($G$3:$G802=$G803)*($X$3:$X802="VALIDE")),$C$3:$C802),""))</f>
        <v/>
      </c>
      <c r="T803" s="36">
        <f>IF(OR($C803="",$S803=""),"",ROUND(($C803-$S803+IF($C803&lt;$S803,1,0))*1440,0))</f>
        <v/>
      </c>
      <c r="U803" s="22">
        <f>IF(OR($H803="",$T803="",$T803&lt;=0),"",$H803*60/$T803)</f>
        <v/>
      </c>
      <c r="V803" s="37">
        <f>IF(OR($U803="",$R803="",$R803=0),"",$U803/$R803)</f>
        <v/>
      </c>
      <c r="W803" s="20">
        <f>IF($G803="","",IF($X803="CONTEXTE INCOMPLET","CONTEXTE INCOMPLET",IF($X803="DOUBLON",StatutDoublon,IF($S803="",StatutInitial,IF($R803="",StatutStandardManquant,IF($V803="","DONNEES INSUFFISANTES",IF($V803&gt;=SeuilConforme,StatutConforme,IF($V803&gt;=SeuilSurveiller,StatutSurveiller,StatutSousStandard))))))))</f>
        <v/>
      </c>
      <c r="X803" s="33">
        <f>IF($G803="","",IF(OR($D803="",$E803="",$F803=""),"CONTEXTE INCOMPLET",IF(COUNTIFS($D$3:$D802,$D803,$E$3:$E802,$E803,$F$3:$F802,$F803,$G$3:$G802,$G803)&gt;0,"DOUBLON","VALIDE")))</f>
        <v/>
      </c>
    </row>
    <row r="804" ht="15" customHeight="1">
      <c r="A804" s="12">
        <f>IF(OR($B804="",$G804=""),"",TEXT($B804,"YYYYMMDD")&amp;"-"&amp;SUBSTITUTE($E804," ","")&amp;"-"&amp;$F804&amp;"-"&amp;$G804)</f>
        <v/>
      </c>
      <c r="B804" s="15" t="n"/>
      <c r="C804" s="16" t="n"/>
      <c r="D804" s="10" t="n"/>
      <c r="E804" s="9" t="n"/>
      <c r="F804" s="9" t="n"/>
      <c r="G804" s="13" t="n"/>
      <c r="H804" s="21" t="n"/>
      <c r="I804" s="21" t="n"/>
      <c r="J804" s="17">
        <f>IF($G804="","",IFERROR(INDEX(NomsEmployes,MATCH($G804,MatriculesEmployes,0)),"MATRICULE INCONNU"))</f>
        <v/>
      </c>
      <c r="K804" s="33">
        <f>IF(OR($D804="",$F804=""),"",IFERROR(IF(INDEX(RUNS!$L$6:$S$1005,MATCH($D804,RUNS!$A$6:$A$1005,0),MATCH("ACTIVITÉ "&amp;$F804,RUNS!$L$5:$S$5,0))="","",INDEX(RUNS!$L$6:$S$1005,MATCH($D804,RUNS!$A$6:$A$1005,0),MATCH("ACTIVITÉ "&amp;$F804,RUNS!$L$5:$S$5,0))),""))</f>
        <v/>
      </c>
      <c r="L804" s="33">
        <f>IF($D804="","",IFERROR(IF(INDEX(RUNS!$E$6:$E$1005,MATCH($D804,RUNS!$A$6:$A$1005,0))="","",INDEX(RUNS!$E$6:$E$1005,MATCH($D804,RUNS!$A$6:$A$1005,0))),""))</f>
        <v/>
      </c>
      <c r="M804" s="33">
        <f>IF($D804="","",IFERROR(IF(INDEX(RUNS!$F$6:$F$1005,MATCH($D804,RUNS!$A$6:$A$1005,0))="","",INDEX(RUNS!$F$6:$F$1005,MATCH($D804,RUNS!$A$6:$A$1005,0))),""))</f>
        <v/>
      </c>
      <c r="N804" s="33">
        <f>IF($D804="","",IFERROR(IF(INDEX(RUNS!$G$6:$G$1005,MATCH($D804,RUNS!$A$6:$A$1005,0))="","",INDEX(RUNS!$G$6:$G$1005,MATCH($D804,RUNS!$A$6:$A$1005,0))),""))</f>
        <v/>
      </c>
      <c r="O804" s="33">
        <f>IF($D804="","",IFERROR(IF(INDEX(RUNS!$H$6:$H$1005,MATCH($D804,RUNS!$A$6:$A$1005,0))="","",INDEX(RUNS!$H$6:$H$1005,MATCH($D804,RUNS!$A$6:$A$1005,0))),""))</f>
        <v/>
      </c>
      <c r="P804" s="33">
        <f>IF($D804="","",IFERROR(IF(INDEX(RUNS!$J$6:$J$1005,MATCH($D804,RUNS!$A$6:$A$1005,0))="","",INDEX(RUNS!$J$6:$J$1005,MATCH($D804,RUNS!$A$6:$A$1005,0))),""))</f>
        <v/>
      </c>
      <c r="Q804" s="33">
        <f>IF($D804="","",IFERROR(IF(INDEX(RUNS!$K$6:$K$1005,MATCH($D804,RUNS!$A$6:$A$1005,0))="","",INDEX(RUNS!$K$6:$K$1005,MATCH($D804,RUNS!$A$6:$A$1005,0))),""))</f>
        <v/>
      </c>
      <c r="R804" s="34">
        <f>IF(OR($L804="",$K804=""),"",IFERROR(IF(INDEX(PARAMETRES!$H$43:$H$342,MATCH($L804&amp;"|"&amp;$M804&amp;"|"&amp;$N804&amp;"|"&amp;$O804&amp;"|"&amp;$P804&amp;"|"&amp;$Q804&amp;"|"&amp;$K804,PARAMETRES!$J$43:$J$342,0))="","",INDEX(PARAMETRES!$H$43:$H$342,MATCH($L804&amp;"|"&amp;$M804&amp;"|"&amp;$N804&amp;"|"&amp;$O804&amp;"|"&amp;$P804&amp;"|"&amp;$Q804&amp;"|"&amp;$K804,PARAMETRES!$J$43:$J$342,0))),""))</f>
        <v/>
      </c>
      <c r="S804" s="35">
        <f>IF(OR($G804="",$X804&lt;&gt;"VALIDE"),"",IFERROR(LOOKUP(2,1/(($B$3:$B803=$B804)*($G$3:$G803=$G804)*($X$3:$X803="VALIDE")),$C$3:$C803),""))</f>
        <v/>
      </c>
      <c r="T804" s="36">
        <f>IF(OR($C804="",$S804=""),"",ROUND(($C804-$S804+IF($C804&lt;$S804,1,0))*1440,0))</f>
        <v/>
      </c>
      <c r="U804" s="22">
        <f>IF(OR($H804="",$T804="",$T804&lt;=0),"",$H804*60/$T804)</f>
        <v/>
      </c>
      <c r="V804" s="37">
        <f>IF(OR($U804="",$R804="",$R804=0),"",$U804/$R804)</f>
        <v/>
      </c>
      <c r="W804" s="20">
        <f>IF($G804="","",IF($X804="CONTEXTE INCOMPLET","CONTEXTE INCOMPLET",IF($X804="DOUBLON",StatutDoublon,IF($S804="",StatutInitial,IF($R804="",StatutStandardManquant,IF($V804="","DONNEES INSUFFISANTES",IF($V804&gt;=SeuilConforme,StatutConforme,IF($V804&gt;=SeuilSurveiller,StatutSurveiller,StatutSousStandard))))))))</f>
        <v/>
      </c>
      <c r="X804" s="33">
        <f>IF($G804="","",IF(OR($D804="",$E804="",$F804=""),"CONTEXTE INCOMPLET",IF(COUNTIFS($D$3:$D803,$D804,$E$3:$E803,$E804,$F$3:$F803,$F804,$G$3:$G803,$G804)&gt;0,"DOUBLON","VALIDE")))</f>
        <v/>
      </c>
    </row>
    <row r="805" ht="15" customHeight="1">
      <c r="A805" s="12">
        <f>IF(OR($B805="",$G805=""),"",TEXT($B805,"YYYYMMDD")&amp;"-"&amp;SUBSTITUTE($E805," ","")&amp;"-"&amp;$F805&amp;"-"&amp;$G805)</f>
        <v/>
      </c>
      <c r="B805" s="15" t="n"/>
      <c r="C805" s="16" t="n"/>
      <c r="D805" s="10" t="n"/>
      <c r="E805" s="9" t="n"/>
      <c r="F805" s="9" t="n"/>
      <c r="G805" s="13" t="n"/>
      <c r="H805" s="21" t="n"/>
      <c r="I805" s="21" t="n"/>
      <c r="J805" s="17">
        <f>IF($G805="","",IFERROR(INDEX(NomsEmployes,MATCH($G805,MatriculesEmployes,0)),"MATRICULE INCONNU"))</f>
        <v/>
      </c>
      <c r="K805" s="33">
        <f>IF(OR($D805="",$F805=""),"",IFERROR(IF(INDEX(RUNS!$L$6:$S$1005,MATCH($D805,RUNS!$A$6:$A$1005,0),MATCH("ACTIVITÉ "&amp;$F805,RUNS!$L$5:$S$5,0))="","",INDEX(RUNS!$L$6:$S$1005,MATCH($D805,RUNS!$A$6:$A$1005,0),MATCH("ACTIVITÉ "&amp;$F805,RUNS!$L$5:$S$5,0))),""))</f>
        <v/>
      </c>
      <c r="L805" s="33">
        <f>IF($D805="","",IFERROR(IF(INDEX(RUNS!$E$6:$E$1005,MATCH($D805,RUNS!$A$6:$A$1005,0))="","",INDEX(RUNS!$E$6:$E$1005,MATCH($D805,RUNS!$A$6:$A$1005,0))),""))</f>
        <v/>
      </c>
      <c r="M805" s="33">
        <f>IF($D805="","",IFERROR(IF(INDEX(RUNS!$F$6:$F$1005,MATCH($D805,RUNS!$A$6:$A$1005,0))="","",INDEX(RUNS!$F$6:$F$1005,MATCH($D805,RUNS!$A$6:$A$1005,0))),""))</f>
        <v/>
      </c>
      <c r="N805" s="33">
        <f>IF($D805="","",IFERROR(IF(INDEX(RUNS!$G$6:$G$1005,MATCH($D805,RUNS!$A$6:$A$1005,0))="","",INDEX(RUNS!$G$6:$G$1005,MATCH($D805,RUNS!$A$6:$A$1005,0))),""))</f>
        <v/>
      </c>
      <c r="O805" s="33">
        <f>IF($D805="","",IFERROR(IF(INDEX(RUNS!$H$6:$H$1005,MATCH($D805,RUNS!$A$6:$A$1005,0))="","",INDEX(RUNS!$H$6:$H$1005,MATCH($D805,RUNS!$A$6:$A$1005,0))),""))</f>
        <v/>
      </c>
      <c r="P805" s="33">
        <f>IF($D805="","",IFERROR(IF(INDEX(RUNS!$J$6:$J$1005,MATCH($D805,RUNS!$A$6:$A$1005,0))="","",INDEX(RUNS!$J$6:$J$1005,MATCH($D805,RUNS!$A$6:$A$1005,0))),""))</f>
        <v/>
      </c>
      <c r="Q805" s="33">
        <f>IF($D805="","",IFERROR(IF(INDEX(RUNS!$K$6:$K$1005,MATCH($D805,RUNS!$A$6:$A$1005,0))="","",INDEX(RUNS!$K$6:$K$1005,MATCH($D805,RUNS!$A$6:$A$1005,0))),""))</f>
        <v/>
      </c>
      <c r="R805" s="34">
        <f>IF(OR($L805="",$K805=""),"",IFERROR(IF(INDEX(PARAMETRES!$H$43:$H$342,MATCH($L805&amp;"|"&amp;$M805&amp;"|"&amp;$N805&amp;"|"&amp;$O805&amp;"|"&amp;$P805&amp;"|"&amp;$Q805&amp;"|"&amp;$K805,PARAMETRES!$J$43:$J$342,0))="","",INDEX(PARAMETRES!$H$43:$H$342,MATCH($L805&amp;"|"&amp;$M805&amp;"|"&amp;$N805&amp;"|"&amp;$O805&amp;"|"&amp;$P805&amp;"|"&amp;$Q805&amp;"|"&amp;$K805,PARAMETRES!$J$43:$J$342,0))),""))</f>
        <v/>
      </c>
      <c r="S805" s="35">
        <f>IF(OR($G805="",$X805&lt;&gt;"VALIDE"),"",IFERROR(LOOKUP(2,1/(($B$3:$B804=$B805)*($G$3:$G804=$G805)*($X$3:$X804="VALIDE")),$C$3:$C804),""))</f>
        <v/>
      </c>
      <c r="T805" s="36">
        <f>IF(OR($C805="",$S805=""),"",ROUND(($C805-$S805+IF($C805&lt;$S805,1,0))*1440,0))</f>
        <v/>
      </c>
      <c r="U805" s="22">
        <f>IF(OR($H805="",$T805="",$T805&lt;=0),"",$H805*60/$T805)</f>
        <v/>
      </c>
      <c r="V805" s="37">
        <f>IF(OR($U805="",$R805="",$R805=0),"",$U805/$R805)</f>
        <v/>
      </c>
      <c r="W805" s="20">
        <f>IF($G805="","",IF($X805="CONTEXTE INCOMPLET","CONTEXTE INCOMPLET",IF($X805="DOUBLON",StatutDoublon,IF($S805="",StatutInitial,IF($R805="",StatutStandardManquant,IF($V805="","DONNEES INSUFFISANTES",IF($V805&gt;=SeuilConforme,StatutConforme,IF($V805&gt;=SeuilSurveiller,StatutSurveiller,StatutSousStandard))))))))</f>
        <v/>
      </c>
      <c r="X805" s="33">
        <f>IF($G805="","",IF(OR($D805="",$E805="",$F805=""),"CONTEXTE INCOMPLET",IF(COUNTIFS($D$3:$D804,$D805,$E$3:$E804,$E805,$F$3:$F804,$F805,$G$3:$G804,$G805)&gt;0,"DOUBLON","VALIDE")))</f>
        <v/>
      </c>
    </row>
    <row r="806" ht="15" customHeight="1">
      <c r="A806" s="12">
        <f>IF(OR($B806="",$G806=""),"",TEXT($B806,"YYYYMMDD")&amp;"-"&amp;SUBSTITUTE($E806," ","")&amp;"-"&amp;$F806&amp;"-"&amp;$G806)</f>
        <v/>
      </c>
      <c r="B806" s="15" t="n"/>
      <c r="C806" s="16" t="n"/>
      <c r="D806" s="10" t="n"/>
      <c r="E806" s="9" t="n"/>
      <c r="F806" s="9" t="n"/>
      <c r="G806" s="13" t="n"/>
      <c r="H806" s="21" t="n"/>
      <c r="I806" s="21" t="n"/>
      <c r="J806" s="17">
        <f>IF($G806="","",IFERROR(INDEX(NomsEmployes,MATCH($G806,MatriculesEmployes,0)),"MATRICULE INCONNU"))</f>
        <v/>
      </c>
      <c r="K806" s="33">
        <f>IF(OR($D806="",$F806=""),"",IFERROR(IF(INDEX(RUNS!$L$6:$S$1005,MATCH($D806,RUNS!$A$6:$A$1005,0),MATCH("ACTIVITÉ "&amp;$F806,RUNS!$L$5:$S$5,0))="","",INDEX(RUNS!$L$6:$S$1005,MATCH($D806,RUNS!$A$6:$A$1005,0),MATCH("ACTIVITÉ "&amp;$F806,RUNS!$L$5:$S$5,0))),""))</f>
        <v/>
      </c>
      <c r="L806" s="33">
        <f>IF($D806="","",IFERROR(IF(INDEX(RUNS!$E$6:$E$1005,MATCH($D806,RUNS!$A$6:$A$1005,0))="","",INDEX(RUNS!$E$6:$E$1005,MATCH($D806,RUNS!$A$6:$A$1005,0))),""))</f>
        <v/>
      </c>
      <c r="M806" s="33">
        <f>IF($D806="","",IFERROR(IF(INDEX(RUNS!$F$6:$F$1005,MATCH($D806,RUNS!$A$6:$A$1005,0))="","",INDEX(RUNS!$F$6:$F$1005,MATCH($D806,RUNS!$A$6:$A$1005,0))),""))</f>
        <v/>
      </c>
      <c r="N806" s="33">
        <f>IF($D806="","",IFERROR(IF(INDEX(RUNS!$G$6:$G$1005,MATCH($D806,RUNS!$A$6:$A$1005,0))="","",INDEX(RUNS!$G$6:$G$1005,MATCH($D806,RUNS!$A$6:$A$1005,0))),""))</f>
        <v/>
      </c>
      <c r="O806" s="33">
        <f>IF($D806="","",IFERROR(IF(INDEX(RUNS!$H$6:$H$1005,MATCH($D806,RUNS!$A$6:$A$1005,0))="","",INDEX(RUNS!$H$6:$H$1005,MATCH($D806,RUNS!$A$6:$A$1005,0))),""))</f>
        <v/>
      </c>
      <c r="P806" s="33">
        <f>IF($D806="","",IFERROR(IF(INDEX(RUNS!$J$6:$J$1005,MATCH($D806,RUNS!$A$6:$A$1005,0))="","",INDEX(RUNS!$J$6:$J$1005,MATCH($D806,RUNS!$A$6:$A$1005,0))),""))</f>
        <v/>
      </c>
      <c r="Q806" s="33">
        <f>IF($D806="","",IFERROR(IF(INDEX(RUNS!$K$6:$K$1005,MATCH($D806,RUNS!$A$6:$A$1005,0))="","",INDEX(RUNS!$K$6:$K$1005,MATCH($D806,RUNS!$A$6:$A$1005,0))),""))</f>
        <v/>
      </c>
      <c r="R806" s="34">
        <f>IF(OR($L806="",$K806=""),"",IFERROR(IF(INDEX(PARAMETRES!$H$43:$H$342,MATCH($L806&amp;"|"&amp;$M806&amp;"|"&amp;$N806&amp;"|"&amp;$O806&amp;"|"&amp;$P806&amp;"|"&amp;$Q806&amp;"|"&amp;$K806,PARAMETRES!$J$43:$J$342,0))="","",INDEX(PARAMETRES!$H$43:$H$342,MATCH($L806&amp;"|"&amp;$M806&amp;"|"&amp;$N806&amp;"|"&amp;$O806&amp;"|"&amp;$P806&amp;"|"&amp;$Q806&amp;"|"&amp;$K806,PARAMETRES!$J$43:$J$342,0))),""))</f>
        <v/>
      </c>
      <c r="S806" s="35">
        <f>IF(OR($G806="",$X806&lt;&gt;"VALIDE"),"",IFERROR(LOOKUP(2,1/(($B$3:$B805=$B806)*($G$3:$G805=$G806)*($X$3:$X805="VALIDE")),$C$3:$C805),""))</f>
        <v/>
      </c>
      <c r="T806" s="36">
        <f>IF(OR($C806="",$S806=""),"",ROUND(($C806-$S806+IF($C806&lt;$S806,1,0))*1440,0))</f>
        <v/>
      </c>
      <c r="U806" s="22">
        <f>IF(OR($H806="",$T806="",$T806&lt;=0),"",$H806*60/$T806)</f>
        <v/>
      </c>
      <c r="V806" s="37">
        <f>IF(OR($U806="",$R806="",$R806=0),"",$U806/$R806)</f>
        <v/>
      </c>
      <c r="W806" s="20">
        <f>IF($G806="","",IF($X806="CONTEXTE INCOMPLET","CONTEXTE INCOMPLET",IF($X806="DOUBLON",StatutDoublon,IF($S806="",StatutInitial,IF($R806="",StatutStandardManquant,IF($V806="","DONNEES INSUFFISANTES",IF($V806&gt;=SeuilConforme,StatutConforme,IF($V806&gt;=SeuilSurveiller,StatutSurveiller,StatutSousStandard))))))))</f>
        <v/>
      </c>
      <c r="X806" s="33">
        <f>IF($G806="","",IF(OR($D806="",$E806="",$F806=""),"CONTEXTE INCOMPLET",IF(COUNTIFS($D$3:$D805,$D806,$E$3:$E805,$E806,$F$3:$F805,$F806,$G$3:$G805,$G806)&gt;0,"DOUBLON","VALIDE")))</f>
        <v/>
      </c>
    </row>
    <row r="807" ht="15" customHeight="1">
      <c r="A807" s="12">
        <f>IF(OR($B807="",$G807=""),"",TEXT($B807,"YYYYMMDD")&amp;"-"&amp;SUBSTITUTE($E807," ","")&amp;"-"&amp;$F807&amp;"-"&amp;$G807)</f>
        <v/>
      </c>
      <c r="B807" s="15" t="n"/>
      <c r="C807" s="16" t="n"/>
      <c r="D807" s="10" t="n"/>
      <c r="E807" s="9" t="n"/>
      <c r="F807" s="9" t="n"/>
      <c r="G807" s="13" t="n"/>
      <c r="H807" s="21" t="n"/>
      <c r="I807" s="21" t="n"/>
      <c r="J807" s="17">
        <f>IF($G807="","",IFERROR(INDEX(NomsEmployes,MATCH($G807,MatriculesEmployes,0)),"MATRICULE INCONNU"))</f>
        <v/>
      </c>
      <c r="K807" s="33">
        <f>IF(OR($D807="",$F807=""),"",IFERROR(IF(INDEX(RUNS!$L$6:$S$1005,MATCH($D807,RUNS!$A$6:$A$1005,0),MATCH("ACTIVITÉ "&amp;$F807,RUNS!$L$5:$S$5,0))="","",INDEX(RUNS!$L$6:$S$1005,MATCH($D807,RUNS!$A$6:$A$1005,0),MATCH("ACTIVITÉ "&amp;$F807,RUNS!$L$5:$S$5,0))),""))</f>
        <v/>
      </c>
      <c r="L807" s="33">
        <f>IF($D807="","",IFERROR(IF(INDEX(RUNS!$E$6:$E$1005,MATCH($D807,RUNS!$A$6:$A$1005,0))="","",INDEX(RUNS!$E$6:$E$1005,MATCH($D807,RUNS!$A$6:$A$1005,0))),""))</f>
        <v/>
      </c>
      <c r="M807" s="33">
        <f>IF($D807="","",IFERROR(IF(INDEX(RUNS!$F$6:$F$1005,MATCH($D807,RUNS!$A$6:$A$1005,0))="","",INDEX(RUNS!$F$6:$F$1005,MATCH($D807,RUNS!$A$6:$A$1005,0))),""))</f>
        <v/>
      </c>
      <c r="N807" s="33">
        <f>IF($D807="","",IFERROR(IF(INDEX(RUNS!$G$6:$G$1005,MATCH($D807,RUNS!$A$6:$A$1005,0))="","",INDEX(RUNS!$G$6:$G$1005,MATCH($D807,RUNS!$A$6:$A$1005,0))),""))</f>
        <v/>
      </c>
      <c r="O807" s="33">
        <f>IF($D807="","",IFERROR(IF(INDEX(RUNS!$H$6:$H$1005,MATCH($D807,RUNS!$A$6:$A$1005,0))="","",INDEX(RUNS!$H$6:$H$1005,MATCH($D807,RUNS!$A$6:$A$1005,0))),""))</f>
        <v/>
      </c>
      <c r="P807" s="33">
        <f>IF($D807="","",IFERROR(IF(INDEX(RUNS!$J$6:$J$1005,MATCH($D807,RUNS!$A$6:$A$1005,0))="","",INDEX(RUNS!$J$6:$J$1005,MATCH($D807,RUNS!$A$6:$A$1005,0))),""))</f>
        <v/>
      </c>
      <c r="Q807" s="33">
        <f>IF($D807="","",IFERROR(IF(INDEX(RUNS!$K$6:$K$1005,MATCH($D807,RUNS!$A$6:$A$1005,0))="","",INDEX(RUNS!$K$6:$K$1005,MATCH($D807,RUNS!$A$6:$A$1005,0))),""))</f>
        <v/>
      </c>
      <c r="R807" s="34">
        <f>IF(OR($L807="",$K807=""),"",IFERROR(IF(INDEX(PARAMETRES!$H$43:$H$342,MATCH($L807&amp;"|"&amp;$M807&amp;"|"&amp;$N807&amp;"|"&amp;$O807&amp;"|"&amp;$P807&amp;"|"&amp;$Q807&amp;"|"&amp;$K807,PARAMETRES!$J$43:$J$342,0))="","",INDEX(PARAMETRES!$H$43:$H$342,MATCH($L807&amp;"|"&amp;$M807&amp;"|"&amp;$N807&amp;"|"&amp;$O807&amp;"|"&amp;$P807&amp;"|"&amp;$Q807&amp;"|"&amp;$K807,PARAMETRES!$J$43:$J$342,0))),""))</f>
        <v/>
      </c>
      <c r="S807" s="35">
        <f>IF(OR($G807="",$X807&lt;&gt;"VALIDE"),"",IFERROR(LOOKUP(2,1/(($B$3:$B806=$B807)*($G$3:$G806=$G807)*($X$3:$X806="VALIDE")),$C$3:$C806),""))</f>
        <v/>
      </c>
      <c r="T807" s="36">
        <f>IF(OR($C807="",$S807=""),"",ROUND(($C807-$S807+IF($C807&lt;$S807,1,0))*1440,0))</f>
        <v/>
      </c>
      <c r="U807" s="22">
        <f>IF(OR($H807="",$T807="",$T807&lt;=0),"",$H807*60/$T807)</f>
        <v/>
      </c>
      <c r="V807" s="37">
        <f>IF(OR($U807="",$R807="",$R807=0),"",$U807/$R807)</f>
        <v/>
      </c>
      <c r="W807" s="20">
        <f>IF($G807="","",IF($X807="CONTEXTE INCOMPLET","CONTEXTE INCOMPLET",IF($X807="DOUBLON",StatutDoublon,IF($S807="",StatutInitial,IF($R807="",StatutStandardManquant,IF($V807="","DONNEES INSUFFISANTES",IF($V807&gt;=SeuilConforme,StatutConforme,IF($V807&gt;=SeuilSurveiller,StatutSurveiller,StatutSousStandard))))))))</f>
        <v/>
      </c>
      <c r="X807" s="33">
        <f>IF($G807="","",IF(OR($D807="",$E807="",$F807=""),"CONTEXTE INCOMPLET",IF(COUNTIFS($D$3:$D806,$D807,$E$3:$E806,$E807,$F$3:$F806,$F807,$G$3:$G806,$G807)&gt;0,"DOUBLON","VALIDE")))</f>
        <v/>
      </c>
    </row>
    <row r="808" ht="15" customHeight="1">
      <c r="A808" s="12">
        <f>IF(OR($B808="",$G808=""),"",TEXT($B808,"YYYYMMDD")&amp;"-"&amp;SUBSTITUTE($E808," ","")&amp;"-"&amp;$F808&amp;"-"&amp;$G808)</f>
        <v/>
      </c>
      <c r="B808" s="15" t="n"/>
      <c r="C808" s="16" t="n"/>
      <c r="D808" s="10" t="n"/>
      <c r="E808" s="9" t="n"/>
      <c r="F808" s="9" t="n"/>
      <c r="G808" s="13" t="n"/>
      <c r="H808" s="21" t="n"/>
      <c r="I808" s="21" t="n"/>
      <c r="J808" s="17">
        <f>IF($G808="","",IFERROR(INDEX(NomsEmployes,MATCH($G808,MatriculesEmployes,0)),"MATRICULE INCONNU"))</f>
        <v/>
      </c>
      <c r="K808" s="33">
        <f>IF(OR($D808="",$F808=""),"",IFERROR(IF(INDEX(RUNS!$L$6:$S$1005,MATCH($D808,RUNS!$A$6:$A$1005,0),MATCH("ACTIVITÉ "&amp;$F808,RUNS!$L$5:$S$5,0))="","",INDEX(RUNS!$L$6:$S$1005,MATCH($D808,RUNS!$A$6:$A$1005,0),MATCH("ACTIVITÉ "&amp;$F808,RUNS!$L$5:$S$5,0))),""))</f>
        <v/>
      </c>
      <c r="L808" s="33">
        <f>IF($D808="","",IFERROR(IF(INDEX(RUNS!$E$6:$E$1005,MATCH($D808,RUNS!$A$6:$A$1005,0))="","",INDEX(RUNS!$E$6:$E$1005,MATCH($D808,RUNS!$A$6:$A$1005,0))),""))</f>
        <v/>
      </c>
      <c r="M808" s="33">
        <f>IF($D808="","",IFERROR(IF(INDEX(RUNS!$F$6:$F$1005,MATCH($D808,RUNS!$A$6:$A$1005,0))="","",INDEX(RUNS!$F$6:$F$1005,MATCH($D808,RUNS!$A$6:$A$1005,0))),""))</f>
        <v/>
      </c>
      <c r="N808" s="33">
        <f>IF($D808="","",IFERROR(IF(INDEX(RUNS!$G$6:$G$1005,MATCH($D808,RUNS!$A$6:$A$1005,0))="","",INDEX(RUNS!$G$6:$G$1005,MATCH($D808,RUNS!$A$6:$A$1005,0))),""))</f>
        <v/>
      </c>
      <c r="O808" s="33">
        <f>IF($D808="","",IFERROR(IF(INDEX(RUNS!$H$6:$H$1005,MATCH($D808,RUNS!$A$6:$A$1005,0))="","",INDEX(RUNS!$H$6:$H$1005,MATCH($D808,RUNS!$A$6:$A$1005,0))),""))</f>
        <v/>
      </c>
      <c r="P808" s="33">
        <f>IF($D808="","",IFERROR(IF(INDEX(RUNS!$J$6:$J$1005,MATCH($D808,RUNS!$A$6:$A$1005,0))="","",INDEX(RUNS!$J$6:$J$1005,MATCH($D808,RUNS!$A$6:$A$1005,0))),""))</f>
        <v/>
      </c>
      <c r="Q808" s="33">
        <f>IF($D808="","",IFERROR(IF(INDEX(RUNS!$K$6:$K$1005,MATCH($D808,RUNS!$A$6:$A$1005,0))="","",INDEX(RUNS!$K$6:$K$1005,MATCH($D808,RUNS!$A$6:$A$1005,0))),""))</f>
        <v/>
      </c>
      <c r="R808" s="34">
        <f>IF(OR($L808="",$K808=""),"",IFERROR(IF(INDEX(PARAMETRES!$H$43:$H$342,MATCH($L808&amp;"|"&amp;$M808&amp;"|"&amp;$N808&amp;"|"&amp;$O808&amp;"|"&amp;$P808&amp;"|"&amp;$Q808&amp;"|"&amp;$K808,PARAMETRES!$J$43:$J$342,0))="","",INDEX(PARAMETRES!$H$43:$H$342,MATCH($L808&amp;"|"&amp;$M808&amp;"|"&amp;$N808&amp;"|"&amp;$O808&amp;"|"&amp;$P808&amp;"|"&amp;$Q808&amp;"|"&amp;$K808,PARAMETRES!$J$43:$J$342,0))),""))</f>
        <v/>
      </c>
      <c r="S808" s="35">
        <f>IF(OR($G808="",$X808&lt;&gt;"VALIDE"),"",IFERROR(LOOKUP(2,1/(($B$3:$B807=$B808)*($G$3:$G807=$G808)*($X$3:$X807="VALIDE")),$C$3:$C807),""))</f>
        <v/>
      </c>
      <c r="T808" s="36">
        <f>IF(OR($C808="",$S808=""),"",ROUND(($C808-$S808+IF($C808&lt;$S808,1,0))*1440,0))</f>
        <v/>
      </c>
      <c r="U808" s="22">
        <f>IF(OR($H808="",$T808="",$T808&lt;=0),"",$H808*60/$T808)</f>
        <v/>
      </c>
      <c r="V808" s="37">
        <f>IF(OR($U808="",$R808="",$R808=0),"",$U808/$R808)</f>
        <v/>
      </c>
      <c r="W808" s="20">
        <f>IF($G808="","",IF($X808="CONTEXTE INCOMPLET","CONTEXTE INCOMPLET",IF($X808="DOUBLON",StatutDoublon,IF($S808="",StatutInitial,IF($R808="",StatutStandardManquant,IF($V808="","DONNEES INSUFFISANTES",IF($V808&gt;=SeuilConforme,StatutConforme,IF($V808&gt;=SeuilSurveiller,StatutSurveiller,StatutSousStandard))))))))</f>
        <v/>
      </c>
      <c r="X808" s="33">
        <f>IF($G808="","",IF(OR($D808="",$E808="",$F808=""),"CONTEXTE INCOMPLET",IF(COUNTIFS($D$3:$D807,$D808,$E$3:$E807,$E808,$F$3:$F807,$F808,$G$3:$G807,$G808)&gt;0,"DOUBLON","VALIDE")))</f>
        <v/>
      </c>
    </row>
    <row r="809" ht="15" customHeight="1">
      <c r="A809" s="12">
        <f>IF(OR($B809="",$G809=""),"",TEXT($B809,"YYYYMMDD")&amp;"-"&amp;SUBSTITUTE($E809," ","")&amp;"-"&amp;$F809&amp;"-"&amp;$G809)</f>
        <v/>
      </c>
      <c r="B809" s="15" t="n"/>
      <c r="C809" s="16" t="n"/>
      <c r="D809" s="10" t="n"/>
      <c r="E809" s="9" t="n"/>
      <c r="F809" s="9" t="n"/>
      <c r="G809" s="13" t="n"/>
      <c r="H809" s="21" t="n"/>
      <c r="I809" s="21" t="n"/>
      <c r="J809" s="17">
        <f>IF($G809="","",IFERROR(INDEX(NomsEmployes,MATCH($G809,MatriculesEmployes,0)),"MATRICULE INCONNU"))</f>
        <v/>
      </c>
      <c r="K809" s="33">
        <f>IF(OR($D809="",$F809=""),"",IFERROR(IF(INDEX(RUNS!$L$6:$S$1005,MATCH($D809,RUNS!$A$6:$A$1005,0),MATCH("ACTIVITÉ "&amp;$F809,RUNS!$L$5:$S$5,0))="","",INDEX(RUNS!$L$6:$S$1005,MATCH($D809,RUNS!$A$6:$A$1005,0),MATCH("ACTIVITÉ "&amp;$F809,RUNS!$L$5:$S$5,0))),""))</f>
        <v/>
      </c>
      <c r="L809" s="33">
        <f>IF($D809="","",IFERROR(IF(INDEX(RUNS!$E$6:$E$1005,MATCH($D809,RUNS!$A$6:$A$1005,0))="","",INDEX(RUNS!$E$6:$E$1005,MATCH($D809,RUNS!$A$6:$A$1005,0))),""))</f>
        <v/>
      </c>
      <c r="M809" s="33">
        <f>IF($D809="","",IFERROR(IF(INDEX(RUNS!$F$6:$F$1005,MATCH($D809,RUNS!$A$6:$A$1005,0))="","",INDEX(RUNS!$F$6:$F$1005,MATCH($D809,RUNS!$A$6:$A$1005,0))),""))</f>
        <v/>
      </c>
      <c r="N809" s="33">
        <f>IF($D809="","",IFERROR(IF(INDEX(RUNS!$G$6:$G$1005,MATCH($D809,RUNS!$A$6:$A$1005,0))="","",INDEX(RUNS!$G$6:$G$1005,MATCH($D809,RUNS!$A$6:$A$1005,0))),""))</f>
        <v/>
      </c>
      <c r="O809" s="33">
        <f>IF($D809="","",IFERROR(IF(INDEX(RUNS!$H$6:$H$1005,MATCH($D809,RUNS!$A$6:$A$1005,0))="","",INDEX(RUNS!$H$6:$H$1005,MATCH($D809,RUNS!$A$6:$A$1005,0))),""))</f>
        <v/>
      </c>
      <c r="P809" s="33">
        <f>IF($D809="","",IFERROR(IF(INDEX(RUNS!$J$6:$J$1005,MATCH($D809,RUNS!$A$6:$A$1005,0))="","",INDEX(RUNS!$J$6:$J$1005,MATCH($D809,RUNS!$A$6:$A$1005,0))),""))</f>
        <v/>
      </c>
      <c r="Q809" s="33">
        <f>IF($D809="","",IFERROR(IF(INDEX(RUNS!$K$6:$K$1005,MATCH($D809,RUNS!$A$6:$A$1005,0))="","",INDEX(RUNS!$K$6:$K$1005,MATCH($D809,RUNS!$A$6:$A$1005,0))),""))</f>
        <v/>
      </c>
      <c r="R809" s="34">
        <f>IF(OR($L809="",$K809=""),"",IFERROR(IF(INDEX(PARAMETRES!$H$43:$H$342,MATCH($L809&amp;"|"&amp;$M809&amp;"|"&amp;$N809&amp;"|"&amp;$O809&amp;"|"&amp;$P809&amp;"|"&amp;$Q809&amp;"|"&amp;$K809,PARAMETRES!$J$43:$J$342,0))="","",INDEX(PARAMETRES!$H$43:$H$342,MATCH($L809&amp;"|"&amp;$M809&amp;"|"&amp;$N809&amp;"|"&amp;$O809&amp;"|"&amp;$P809&amp;"|"&amp;$Q809&amp;"|"&amp;$K809,PARAMETRES!$J$43:$J$342,0))),""))</f>
        <v/>
      </c>
      <c r="S809" s="35">
        <f>IF(OR($G809="",$X809&lt;&gt;"VALIDE"),"",IFERROR(LOOKUP(2,1/(($B$3:$B808=$B809)*($G$3:$G808=$G809)*($X$3:$X808="VALIDE")),$C$3:$C808),""))</f>
        <v/>
      </c>
      <c r="T809" s="36">
        <f>IF(OR($C809="",$S809=""),"",ROUND(($C809-$S809+IF($C809&lt;$S809,1,0))*1440,0))</f>
        <v/>
      </c>
      <c r="U809" s="22">
        <f>IF(OR($H809="",$T809="",$T809&lt;=0),"",$H809*60/$T809)</f>
        <v/>
      </c>
      <c r="V809" s="37">
        <f>IF(OR($U809="",$R809="",$R809=0),"",$U809/$R809)</f>
        <v/>
      </c>
      <c r="W809" s="20">
        <f>IF($G809="","",IF($X809="CONTEXTE INCOMPLET","CONTEXTE INCOMPLET",IF($X809="DOUBLON",StatutDoublon,IF($S809="",StatutInitial,IF($R809="",StatutStandardManquant,IF($V809="","DONNEES INSUFFISANTES",IF($V809&gt;=SeuilConforme,StatutConforme,IF($V809&gt;=SeuilSurveiller,StatutSurveiller,StatutSousStandard))))))))</f>
        <v/>
      </c>
      <c r="X809" s="33">
        <f>IF($G809="","",IF(OR($D809="",$E809="",$F809=""),"CONTEXTE INCOMPLET",IF(COUNTIFS($D$3:$D808,$D809,$E$3:$E808,$E809,$F$3:$F808,$F809,$G$3:$G808,$G809)&gt;0,"DOUBLON","VALIDE")))</f>
        <v/>
      </c>
    </row>
    <row r="810" ht="15" customHeight="1">
      <c r="A810" s="12">
        <f>IF(OR($B810="",$G810=""),"",TEXT($B810,"YYYYMMDD")&amp;"-"&amp;SUBSTITUTE($E810," ","")&amp;"-"&amp;$F810&amp;"-"&amp;$G810)</f>
        <v/>
      </c>
      <c r="B810" s="15" t="n"/>
      <c r="C810" s="16" t="n"/>
      <c r="D810" s="10" t="n"/>
      <c r="E810" s="9" t="n"/>
      <c r="F810" s="9" t="n"/>
      <c r="G810" s="13" t="n"/>
      <c r="H810" s="21" t="n"/>
      <c r="I810" s="21" t="n"/>
      <c r="J810" s="17">
        <f>IF($G810="","",IFERROR(INDEX(NomsEmployes,MATCH($G810,MatriculesEmployes,0)),"MATRICULE INCONNU"))</f>
        <v/>
      </c>
      <c r="K810" s="33">
        <f>IF(OR($D810="",$F810=""),"",IFERROR(IF(INDEX(RUNS!$L$6:$S$1005,MATCH($D810,RUNS!$A$6:$A$1005,0),MATCH("ACTIVITÉ "&amp;$F810,RUNS!$L$5:$S$5,0))="","",INDEX(RUNS!$L$6:$S$1005,MATCH($D810,RUNS!$A$6:$A$1005,0),MATCH("ACTIVITÉ "&amp;$F810,RUNS!$L$5:$S$5,0))),""))</f>
        <v/>
      </c>
      <c r="L810" s="33">
        <f>IF($D810="","",IFERROR(IF(INDEX(RUNS!$E$6:$E$1005,MATCH($D810,RUNS!$A$6:$A$1005,0))="","",INDEX(RUNS!$E$6:$E$1005,MATCH($D810,RUNS!$A$6:$A$1005,0))),""))</f>
        <v/>
      </c>
      <c r="M810" s="33">
        <f>IF($D810="","",IFERROR(IF(INDEX(RUNS!$F$6:$F$1005,MATCH($D810,RUNS!$A$6:$A$1005,0))="","",INDEX(RUNS!$F$6:$F$1005,MATCH($D810,RUNS!$A$6:$A$1005,0))),""))</f>
        <v/>
      </c>
      <c r="N810" s="33">
        <f>IF($D810="","",IFERROR(IF(INDEX(RUNS!$G$6:$G$1005,MATCH($D810,RUNS!$A$6:$A$1005,0))="","",INDEX(RUNS!$G$6:$G$1005,MATCH($D810,RUNS!$A$6:$A$1005,0))),""))</f>
        <v/>
      </c>
      <c r="O810" s="33">
        <f>IF($D810="","",IFERROR(IF(INDEX(RUNS!$H$6:$H$1005,MATCH($D810,RUNS!$A$6:$A$1005,0))="","",INDEX(RUNS!$H$6:$H$1005,MATCH($D810,RUNS!$A$6:$A$1005,0))),""))</f>
        <v/>
      </c>
      <c r="P810" s="33">
        <f>IF($D810="","",IFERROR(IF(INDEX(RUNS!$J$6:$J$1005,MATCH($D810,RUNS!$A$6:$A$1005,0))="","",INDEX(RUNS!$J$6:$J$1005,MATCH($D810,RUNS!$A$6:$A$1005,0))),""))</f>
        <v/>
      </c>
      <c r="Q810" s="33">
        <f>IF($D810="","",IFERROR(IF(INDEX(RUNS!$K$6:$K$1005,MATCH($D810,RUNS!$A$6:$A$1005,0))="","",INDEX(RUNS!$K$6:$K$1005,MATCH($D810,RUNS!$A$6:$A$1005,0))),""))</f>
        <v/>
      </c>
      <c r="R810" s="34">
        <f>IF(OR($L810="",$K810=""),"",IFERROR(IF(INDEX(PARAMETRES!$H$43:$H$342,MATCH($L810&amp;"|"&amp;$M810&amp;"|"&amp;$N810&amp;"|"&amp;$O810&amp;"|"&amp;$P810&amp;"|"&amp;$Q810&amp;"|"&amp;$K810,PARAMETRES!$J$43:$J$342,0))="","",INDEX(PARAMETRES!$H$43:$H$342,MATCH($L810&amp;"|"&amp;$M810&amp;"|"&amp;$N810&amp;"|"&amp;$O810&amp;"|"&amp;$P810&amp;"|"&amp;$Q810&amp;"|"&amp;$K810,PARAMETRES!$J$43:$J$342,0))),""))</f>
        <v/>
      </c>
      <c r="S810" s="35">
        <f>IF(OR($G810="",$X810&lt;&gt;"VALIDE"),"",IFERROR(LOOKUP(2,1/(($B$3:$B809=$B810)*($G$3:$G809=$G810)*($X$3:$X809="VALIDE")),$C$3:$C809),""))</f>
        <v/>
      </c>
      <c r="T810" s="36">
        <f>IF(OR($C810="",$S810=""),"",ROUND(($C810-$S810+IF($C810&lt;$S810,1,0))*1440,0))</f>
        <v/>
      </c>
      <c r="U810" s="22">
        <f>IF(OR($H810="",$T810="",$T810&lt;=0),"",$H810*60/$T810)</f>
        <v/>
      </c>
      <c r="V810" s="37">
        <f>IF(OR($U810="",$R810="",$R810=0),"",$U810/$R810)</f>
        <v/>
      </c>
      <c r="W810" s="20">
        <f>IF($G810="","",IF($X810="CONTEXTE INCOMPLET","CONTEXTE INCOMPLET",IF($X810="DOUBLON",StatutDoublon,IF($S810="",StatutInitial,IF($R810="",StatutStandardManquant,IF($V810="","DONNEES INSUFFISANTES",IF($V810&gt;=SeuilConforme,StatutConforme,IF($V810&gt;=SeuilSurveiller,StatutSurveiller,StatutSousStandard))))))))</f>
        <v/>
      </c>
      <c r="X810" s="33">
        <f>IF($G810="","",IF(OR($D810="",$E810="",$F810=""),"CONTEXTE INCOMPLET",IF(COUNTIFS($D$3:$D809,$D810,$E$3:$E809,$E810,$F$3:$F809,$F810,$G$3:$G809,$G810)&gt;0,"DOUBLON","VALIDE")))</f>
        <v/>
      </c>
    </row>
    <row r="811" ht="15" customHeight="1">
      <c r="A811" s="12">
        <f>IF(OR($B811="",$G811=""),"",TEXT($B811,"YYYYMMDD")&amp;"-"&amp;SUBSTITUTE($E811," ","")&amp;"-"&amp;$F811&amp;"-"&amp;$G811)</f>
        <v/>
      </c>
      <c r="B811" s="15" t="n"/>
      <c r="C811" s="16" t="n"/>
      <c r="D811" s="10" t="n"/>
      <c r="E811" s="9" t="n"/>
      <c r="F811" s="9" t="n"/>
      <c r="G811" s="13" t="n"/>
      <c r="H811" s="21" t="n"/>
      <c r="I811" s="21" t="n"/>
      <c r="J811" s="17">
        <f>IF($G811="","",IFERROR(INDEX(NomsEmployes,MATCH($G811,MatriculesEmployes,0)),"MATRICULE INCONNU"))</f>
        <v/>
      </c>
      <c r="K811" s="33">
        <f>IF(OR($D811="",$F811=""),"",IFERROR(IF(INDEX(RUNS!$L$6:$S$1005,MATCH($D811,RUNS!$A$6:$A$1005,0),MATCH("ACTIVITÉ "&amp;$F811,RUNS!$L$5:$S$5,0))="","",INDEX(RUNS!$L$6:$S$1005,MATCH($D811,RUNS!$A$6:$A$1005,0),MATCH("ACTIVITÉ "&amp;$F811,RUNS!$L$5:$S$5,0))),""))</f>
        <v/>
      </c>
      <c r="L811" s="33">
        <f>IF($D811="","",IFERROR(IF(INDEX(RUNS!$E$6:$E$1005,MATCH($D811,RUNS!$A$6:$A$1005,0))="","",INDEX(RUNS!$E$6:$E$1005,MATCH($D811,RUNS!$A$6:$A$1005,0))),""))</f>
        <v/>
      </c>
      <c r="M811" s="33">
        <f>IF($D811="","",IFERROR(IF(INDEX(RUNS!$F$6:$F$1005,MATCH($D811,RUNS!$A$6:$A$1005,0))="","",INDEX(RUNS!$F$6:$F$1005,MATCH($D811,RUNS!$A$6:$A$1005,0))),""))</f>
        <v/>
      </c>
      <c r="N811" s="33">
        <f>IF($D811="","",IFERROR(IF(INDEX(RUNS!$G$6:$G$1005,MATCH($D811,RUNS!$A$6:$A$1005,0))="","",INDEX(RUNS!$G$6:$G$1005,MATCH($D811,RUNS!$A$6:$A$1005,0))),""))</f>
        <v/>
      </c>
      <c r="O811" s="33">
        <f>IF($D811="","",IFERROR(IF(INDEX(RUNS!$H$6:$H$1005,MATCH($D811,RUNS!$A$6:$A$1005,0))="","",INDEX(RUNS!$H$6:$H$1005,MATCH($D811,RUNS!$A$6:$A$1005,0))),""))</f>
        <v/>
      </c>
      <c r="P811" s="33">
        <f>IF($D811="","",IFERROR(IF(INDEX(RUNS!$J$6:$J$1005,MATCH($D811,RUNS!$A$6:$A$1005,0))="","",INDEX(RUNS!$J$6:$J$1005,MATCH($D811,RUNS!$A$6:$A$1005,0))),""))</f>
        <v/>
      </c>
      <c r="Q811" s="33">
        <f>IF($D811="","",IFERROR(IF(INDEX(RUNS!$K$6:$K$1005,MATCH($D811,RUNS!$A$6:$A$1005,0))="","",INDEX(RUNS!$K$6:$K$1005,MATCH($D811,RUNS!$A$6:$A$1005,0))),""))</f>
        <v/>
      </c>
      <c r="R811" s="34">
        <f>IF(OR($L811="",$K811=""),"",IFERROR(IF(INDEX(PARAMETRES!$H$43:$H$342,MATCH($L811&amp;"|"&amp;$M811&amp;"|"&amp;$N811&amp;"|"&amp;$O811&amp;"|"&amp;$P811&amp;"|"&amp;$Q811&amp;"|"&amp;$K811,PARAMETRES!$J$43:$J$342,0))="","",INDEX(PARAMETRES!$H$43:$H$342,MATCH($L811&amp;"|"&amp;$M811&amp;"|"&amp;$N811&amp;"|"&amp;$O811&amp;"|"&amp;$P811&amp;"|"&amp;$Q811&amp;"|"&amp;$K811,PARAMETRES!$J$43:$J$342,0))),""))</f>
        <v/>
      </c>
      <c r="S811" s="35">
        <f>IF(OR($G811="",$X811&lt;&gt;"VALIDE"),"",IFERROR(LOOKUP(2,1/(($B$3:$B810=$B811)*($G$3:$G810=$G811)*($X$3:$X810="VALIDE")),$C$3:$C810),""))</f>
        <v/>
      </c>
      <c r="T811" s="36">
        <f>IF(OR($C811="",$S811=""),"",ROUND(($C811-$S811+IF($C811&lt;$S811,1,0))*1440,0))</f>
        <v/>
      </c>
      <c r="U811" s="22">
        <f>IF(OR($H811="",$T811="",$T811&lt;=0),"",$H811*60/$T811)</f>
        <v/>
      </c>
      <c r="V811" s="37">
        <f>IF(OR($U811="",$R811="",$R811=0),"",$U811/$R811)</f>
        <v/>
      </c>
      <c r="W811" s="20">
        <f>IF($G811="","",IF($X811="CONTEXTE INCOMPLET","CONTEXTE INCOMPLET",IF($X811="DOUBLON",StatutDoublon,IF($S811="",StatutInitial,IF($R811="",StatutStandardManquant,IF($V811="","DONNEES INSUFFISANTES",IF($V811&gt;=SeuilConforme,StatutConforme,IF($V811&gt;=SeuilSurveiller,StatutSurveiller,StatutSousStandard))))))))</f>
        <v/>
      </c>
      <c r="X811" s="33">
        <f>IF($G811="","",IF(OR($D811="",$E811="",$F811=""),"CONTEXTE INCOMPLET",IF(COUNTIFS($D$3:$D810,$D811,$E$3:$E810,$E811,$F$3:$F810,$F811,$G$3:$G810,$G811)&gt;0,"DOUBLON","VALIDE")))</f>
        <v/>
      </c>
    </row>
    <row r="812" ht="15" customHeight="1">
      <c r="A812" s="12">
        <f>IF(OR($B812="",$G812=""),"",TEXT($B812,"YYYYMMDD")&amp;"-"&amp;SUBSTITUTE($E812," ","")&amp;"-"&amp;$F812&amp;"-"&amp;$G812)</f>
        <v/>
      </c>
      <c r="B812" s="15" t="n"/>
      <c r="C812" s="16" t="n"/>
      <c r="D812" s="10" t="n"/>
      <c r="E812" s="9" t="n"/>
      <c r="F812" s="9" t="n"/>
      <c r="G812" s="13" t="n"/>
      <c r="H812" s="21" t="n"/>
      <c r="I812" s="21" t="n"/>
      <c r="J812" s="17">
        <f>IF($G812="","",IFERROR(INDEX(NomsEmployes,MATCH($G812,MatriculesEmployes,0)),"MATRICULE INCONNU"))</f>
        <v/>
      </c>
      <c r="K812" s="33">
        <f>IF(OR($D812="",$F812=""),"",IFERROR(IF(INDEX(RUNS!$L$6:$S$1005,MATCH($D812,RUNS!$A$6:$A$1005,0),MATCH("ACTIVITÉ "&amp;$F812,RUNS!$L$5:$S$5,0))="","",INDEX(RUNS!$L$6:$S$1005,MATCH($D812,RUNS!$A$6:$A$1005,0),MATCH("ACTIVITÉ "&amp;$F812,RUNS!$L$5:$S$5,0))),""))</f>
        <v/>
      </c>
      <c r="L812" s="33">
        <f>IF($D812="","",IFERROR(IF(INDEX(RUNS!$E$6:$E$1005,MATCH($D812,RUNS!$A$6:$A$1005,0))="","",INDEX(RUNS!$E$6:$E$1005,MATCH($D812,RUNS!$A$6:$A$1005,0))),""))</f>
        <v/>
      </c>
      <c r="M812" s="33">
        <f>IF($D812="","",IFERROR(IF(INDEX(RUNS!$F$6:$F$1005,MATCH($D812,RUNS!$A$6:$A$1005,0))="","",INDEX(RUNS!$F$6:$F$1005,MATCH($D812,RUNS!$A$6:$A$1005,0))),""))</f>
        <v/>
      </c>
      <c r="N812" s="33">
        <f>IF($D812="","",IFERROR(IF(INDEX(RUNS!$G$6:$G$1005,MATCH($D812,RUNS!$A$6:$A$1005,0))="","",INDEX(RUNS!$G$6:$G$1005,MATCH($D812,RUNS!$A$6:$A$1005,0))),""))</f>
        <v/>
      </c>
      <c r="O812" s="33">
        <f>IF($D812="","",IFERROR(IF(INDEX(RUNS!$H$6:$H$1005,MATCH($D812,RUNS!$A$6:$A$1005,0))="","",INDEX(RUNS!$H$6:$H$1005,MATCH($D812,RUNS!$A$6:$A$1005,0))),""))</f>
        <v/>
      </c>
      <c r="P812" s="33">
        <f>IF($D812="","",IFERROR(IF(INDEX(RUNS!$J$6:$J$1005,MATCH($D812,RUNS!$A$6:$A$1005,0))="","",INDEX(RUNS!$J$6:$J$1005,MATCH($D812,RUNS!$A$6:$A$1005,0))),""))</f>
        <v/>
      </c>
      <c r="Q812" s="33">
        <f>IF($D812="","",IFERROR(IF(INDEX(RUNS!$K$6:$K$1005,MATCH($D812,RUNS!$A$6:$A$1005,0))="","",INDEX(RUNS!$K$6:$K$1005,MATCH($D812,RUNS!$A$6:$A$1005,0))),""))</f>
        <v/>
      </c>
      <c r="R812" s="34">
        <f>IF(OR($L812="",$K812=""),"",IFERROR(IF(INDEX(PARAMETRES!$H$43:$H$342,MATCH($L812&amp;"|"&amp;$M812&amp;"|"&amp;$N812&amp;"|"&amp;$O812&amp;"|"&amp;$P812&amp;"|"&amp;$Q812&amp;"|"&amp;$K812,PARAMETRES!$J$43:$J$342,0))="","",INDEX(PARAMETRES!$H$43:$H$342,MATCH($L812&amp;"|"&amp;$M812&amp;"|"&amp;$N812&amp;"|"&amp;$O812&amp;"|"&amp;$P812&amp;"|"&amp;$Q812&amp;"|"&amp;$K812,PARAMETRES!$J$43:$J$342,0))),""))</f>
        <v/>
      </c>
      <c r="S812" s="35">
        <f>IF(OR($G812="",$X812&lt;&gt;"VALIDE"),"",IFERROR(LOOKUP(2,1/(($B$3:$B811=$B812)*($G$3:$G811=$G812)*($X$3:$X811="VALIDE")),$C$3:$C811),""))</f>
        <v/>
      </c>
      <c r="T812" s="36">
        <f>IF(OR($C812="",$S812=""),"",ROUND(($C812-$S812+IF($C812&lt;$S812,1,0))*1440,0))</f>
        <v/>
      </c>
      <c r="U812" s="22">
        <f>IF(OR($H812="",$T812="",$T812&lt;=0),"",$H812*60/$T812)</f>
        <v/>
      </c>
      <c r="V812" s="37">
        <f>IF(OR($U812="",$R812="",$R812=0),"",$U812/$R812)</f>
        <v/>
      </c>
      <c r="W812" s="20">
        <f>IF($G812="","",IF($X812="CONTEXTE INCOMPLET","CONTEXTE INCOMPLET",IF($X812="DOUBLON",StatutDoublon,IF($S812="",StatutInitial,IF($R812="",StatutStandardManquant,IF($V812="","DONNEES INSUFFISANTES",IF($V812&gt;=SeuilConforme,StatutConforme,IF($V812&gt;=SeuilSurveiller,StatutSurveiller,StatutSousStandard))))))))</f>
        <v/>
      </c>
      <c r="X812" s="33">
        <f>IF($G812="","",IF(OR($D812="",$E812="",$F812=""),"CONTEXTE INCOMPLET",IF(COUNTIFS($D$3:$D811,$D812,$E$3:$E811,$E812,$F$3:$F811,$F812,$G$3:$G811,$G812)&gt;0,"DOUBLON","VALIDE")))</f>
        <v/>
      </c>
    </row>
    <row r="813" ht="15" customHeight="1">
      <c r="A813" s="12">
        <f>IF(OR($B813="",$G813=""),"",TEXT($B813,"YYYYMMDD")&amp;"-"&amp;SUBSTITUTE($E813," ","")&amp;"-"&amp;$F813&amp;"-"&amp;$G813)</f>
        <v/>
      </c>
      <c r="B813" s="15" t="n"/>
      <c r="C813" s="16" t="n"/>
      <c r="D813" s="10" t="n"/>
      <c r="E813" s="9" t="n"/>
      <c r="F813" s="9" t="n"/>
      <c r="G813" s="13" t="n"/>
      <c r="H813" s="21" t="n"/>
      <c r="I813" s="21" t="n"/>
      <c r="J813" s="17">
        <f>IF($G813="","",IFERROR(INDEX(NomsEmployes,MATCH($G813,MatriculesEmployes,0)),"MATRICULE INCONNU"))</f>
        <v/>
      </c>
      <c r="K813" s="33">
        <f>IF(OR($D813="",$F813=""),"",IFERROR(IF(INDEX(RUNS!$L$6:$S$1005,MATCH($D813,RUNS!$A$6:$A$1005,0),MATCH("ACTIVITÉ "&amp;$F813,RUNS!$L$5:$S$5,0))="","",INDEX(RUNS!$L$6:$S$1005,MATCH($D813,RUNS!$A$6:$A$1005,0),MATCH("ACTIVITÉ "&amp;$F813,RUNS!$L$5:$S$5,0))),""))</f>
        <v/>
      </c>
      <c r="L813" s="33">
        <f>IF($D813="","",IFERROR(IF(INDEX(RUNS!$E$6:$E$1005,MATCH($D813,RUNS!$A$6:$A$1005,0))="","",INDEX(RUNS!$E$6:$E$1005,MATCH($D813,RUNS!$A$6:$A$1005,0))),""))</f>
        <v/>
      </c>
      <c r="M813" s="33">
        <f>IF($D813="","",IFERROR(IF(INDEX(RUNS!$F$6:$F$1005,MATCH($D813,RUNS!$A$6:$A$1005,0))="","",INDEX(RUNS!$F$6:$F$1005,MATCH($D813,RUNS!$A$6:$A$1005,0))),""))</f>
        <v/>
      </c>
      <c r="N813" s="33">
        <f>IF($D813="","",IFERROR(IF(INDEX(RUNS!$G$6:$G$1005,MATCH($D813,RUNS!$A$6:$A$1005,0))="","",INDEX(RUNS!$G$6:$G$1005,MATCH($D813,RUNS!$A$6:$A$1005,0))),""))</f>
        <v/>
      </c>
      <c r="O813" s="33">
        <f>IF($D813="","",IFERROR(IF(INDEX(RUNS!$H$6:$H$1005,MATCH($D813,RUNS!$A$6:$A$1005,0))="","",INDEX(RUNS!$H$6:$H$1005,MATCH($D813,RUNS!$A$6:$A$1005,0))),""))</f>
        <v/>
      </c>
      <c r="P813" s="33">
        <f>IF($D813="","",IFERROR(IF(INDEX(RUNS!$J$6:$J$1005,MATCH($D813,RUNS!$A$6:$A$1005,0))="","",INDEX(RUNS!$J$6:$J$1005,MATCH($D813,RUNS!$A$6:$A$1005,0))),""))</f>
        <v/>
      </c>
      <c r="Q813" s="33">
        <f>IF($D813="","",IFERROR(IF(INDEX(RUNS!$K$6:$K$1005,MATCH($D813,RUNS!$A$6:$A$1005,0))="","",INDEX(RUNS!$K$6:$K$1005,MATCH($D813,RUNS!$A$6:$A$1005,0))),""))</f>
        <v/>
      </c>
      <c r="R813" s="34">
        <f>IF(OR($L813="",$K813=""),"",IFERROR(IF(INDEX(PARAMETRES!$H$43:$H$342,MATCH($L813&amp;"|"&amp;$M813&amp;"|"&amp;$N813&amp;"|"&amp;$O813&amp;"|"&amp;$P813&amp;"|"&amp;$Q813&amp;"|"&amp;$K813,PARAMETRES!$J$43:$J$342,0))="","",INDEX(PARAMETRES!$H$43:$H$342,MATCH($L813&amp;"|"&amp;$M813&amp;"|"&amp;$N813&amp;"|"&amp;$O813&amp;"|"&amp;$P813&amp;"|"&amp;$Q813&amp;"|"&amp;$K813,PARAMETRES!$J$43:$J$342,0))),""))</f>
        <v/>
      </c>
      <c r="S813" s="35">
        <f>IF(OR($G813="",$X813&lt;&gt;"VALIDE"),"",IFERROR(LOOKUP(2,1/(($B$3:$B812=$B813)*($G$3:$G812=$G813)*($X$3:$X812="VALIDE")),$C$3:$C812),""))</f>
        <v/>
      </c>
      <c r="T813" s="36">
        <f>IF(OR($C813="",$S813=""),"",ROUND(($C813-$S813+IF($C813&lt;$S813,1,0))*1440,0))</f>
        <v/>
      </c>
      <c r="U813" s="22">
        <f>IF(OR($H813="",$T813="",$T813&lt;=0),"",$H813*60/$T813)</f>
        <v/>
      </c>
      <c r="V813" s="37">
        <f>IF(OR($U813="",$R813="",$R813=0),"",$U813/$R813)</f>
        <v/>
      </c>
      <c r="W813" s="20">
        <f>IF($G813="","",IF($X813="CONTEXTE INCOMPLET","CONTEXTE INCOMPLET",IF($X813="DOUBLON",StatutDoublon,IF($S813="",StatutInitial,IF($R813="",StatutStandardManquant,IF($V813="","DONNEES INSUFFISANTES",IF($V813&gt;=SeuilConforme,StatutConforme,IF($V813&gt;=SeuilSurveiller,StatutSurveiller,StatutSousStandard))))))))</f>
        <v/>
      </c>
      <c r="X813" s="33">
        <f>IF($G813="","",IF(OR($D813="",$E813="",$F813=""),"CONTEXTE INCOMPLET",IF(COUNTIFS($D$3:$D812,$D813,$E$3:$E812,$E813,$F$3:$F812,$F813,$G$3:$G812,$G813)&gt;0,"DOUBLON","VALIDE")))</f>
        <v/>
      </c>
    </row>
    <row r="814" ht="15" customHeight="1">
      <c r="A814" s="12">
        <f>IF(OR($B814="",$G814=""),"",TEXT($B814,"YYYYMMDD")&amp;"-"&amp;SUBSTITUTE($E814," ","")&amp;"-"&amp;$F814&amp;"-"&amp;$G814)</f>
        <v/>
      </c>
      <c r="B814" s="15" t="n"/>
      <c r="C814" s="16" t="n"/>
      <c r="D814" s="10" t="n"/>
      <c r="E814" s="9" t="n"/>
      <c r="F814" s="9" t="n"/>
      <c r="G814" s="13" t="n"/>
      <c r="H814" s="21" t="n"/>
      <c r="I814" s="21" t="n"/>
      <c r="J814" s="17">
        <f>IF($G814="","",IFERROR(INDEX(NomsEmployes,MATCH($G814,MatriculesEmployes,0)),"MATRICULE INCONNU"))</f>
        <v/>
      </c>
      <c r="K814" s="33">
        <f>IF(OR($D814="",$F814=""),"",IFERROR(IF(INDEX(RUNS!$L$6:$S$1005,MATCH($D814,RUNS!$A$6:$A$1005,0),MATCH("ACTIVITÉ "&amp;$F814,RUNS!$L$5:$S$5,0))="","",INDEX(RUNS!$L$6:$S$1005,MATCH($D814,RUNS!$A$6:$A$1005,0),MATCH("ACTIVITÉ "&amp;$F814,RUNS!$L$5:$S$5,0))),""))</f>
        <v/>
      </c>
      <c r="L814" s="33">
        <f>IF($D814="","",IFERROR(IF(INDEX(RUNS!$E$6:$E$1005,MATCH($D814,RUNS!$A$6:$A$1005,0))="","",INDEX(RUNS!$E$6:$E$1005,MATCH($D814,RUNS!$A$6:$A$1005,0))),""))</f>
        <v/>
      </c>
      <c r="M814" s="33">
        <f>IF($D814="","",IFERROR(IF(INDEX(RUNS!$F$6:$F$1005,MATCH($D814,RUNS!$A$6:$A$1005,0))="","",INDEX(RUNS!$F$6:$F$1005,MATCH($D814,RUNS!$A$6:$A$1005,0))),""))</f>
        <v/>
      </c>
      <c r="N814" s="33">
        <f>IF($D814="","",IFERROR(IF(INDEX(RUNS!$G$6:$G$1005,MATCH($D814,RUNS!$A$6:$A$1005,0))="","",INDEX(RUNS!$G$6:$G$1005,MATCH($D814,RUNS!$A$6:$A$1005,0))),""))</f>
        <v/>
      </c>
      <c r="O814" s="33">
        <f>IF($D814="","",IFERROR(IF(INDEX(RUNS!$H$6:$H$1005,MATCH($D814,RUNS!$A$6:$A$1005,0))="","",INDEX(RUNS!$H$6:$H$1005,MATCH($D814,RUNS!$A$6:$A$1005,0))),""))</f>
        <v/>
      </c>
      <c r="P814" s="33">
        <f>IF($D814="","",IFERROR(IF(INDEX(RUNS!$J$6:$J$1005,MATCH($D814,RUNS!$A$6:$A$1005,0))="","",INDEX(RUNS!$J$6:$J$1005,MATCH($D814,RUNS!$A$6:$A$1005,0))),""))</f>
        <v/>
      </c>
      <c r="Q814" s="33">
        <f>IF($D814="","",IFERROR(IF(INDEX(RUNS!$K$6:$K$1005,MATCH($D814,RUNS!$A$6:$A$1005,0))="","",INDEX(RUNS!$K$6:$K$1005,MATCH($D814,RUNS!$A$6:$A$1005,0))),""))</f>
        <v/>
      </c>
      <c r="R814" s="34">
        <f>IF(OR($L814="",$K814=""),"",IFERROR(IF(INDEX(PARAMETRES!$H$43:$H$342,MATCH($L814&amp;"|"&amp;$M814&amp;"|"&amp;$N814&amp;"|"&amp;$O814&amp;"|"&amp;$P814&amp;"|"&amp;$Q814&amp;"|"&amp;$K814,PARAMETRES!$J$43:$J$342,0))="","",INDEX(PARAMETRES!$H$43:$H$342,MATCH($L814&amp;"|"&amp;$M814&amp;"|"&amp;$N814&amp;"|"&amp;$O814&amp;"|"&amp;$P814&amp;"|"&amp;$Q814&amp;"|"&amp;$K814,PARAMETRES!$J$43:$J$342,0))),""))</f>
        <v/>
      </c>
      <c r="S814" s="35">
        <f>IF(OR($G814="",$X814&lt;&gt;"VALIDE"),"",IFERROR(LOOKUP(2,1/(($B$3:$B813=$B814)*($G$3:$G813=$G814)*($X$3:$X813="VALIDE")),$C$3:$C813),""))</f>
        <v/>
      </c>
      <c r="T814" s="36">
        <f>IF(OR($C814="",$S814=""),"",ROUND(($C814-$S814+IF($C814&lt;$S814,1,0))*1440,0))</f>
        <v/>
      </c>
      <c r="U814" s="22">
        <f>IF(OR($H814="",$T814="",$T814&lt;=0),"",$H814*60/$T814)</f>
        <v/>
      </c>
      <c r="V814" s="37">
        <f>IF(OR($U814="",$R814="",$R814=0),"",$U814/$R814)</f>
        <v/>
      </c>
      <c r="W814" s="20">
        <f>IF($G814="","",IF($X814="CONTEXTE INCOMPLET","CONTEXTE INCOMPLET",IF($X814="DOUBLON",StatutDoublon,IF($S814="",StatutInitial,IF($R814="",StatutStandardManquant,IF($V814="","DONNEES INSUFFISANTES",IF($V814&gt;=SeuilConforme,StatutConforme,IF($V814&gt;=SeuilSurveiller,StatutSurveiller,StatutSousStandard))))))))</f>
        <v/>
      </c>
      <c r="X814" s="33">
        <f>IF($G814="","",IF(OR($D814="",$E814="",$F814=""),"CONTEXTE INCOMPLET",IF(COUNTIFS($D$3:$D813,$D814,$E$3:$E813,$E814,$F$3:$F813,$F814,$G$3:$G813,$G814)&gt;0,"DOUBLON","VALIDE")))</f>
        <v/>
      </c>
    </row>
    <row r="815" ht="15" customHeight="1">
      <c r="A815" s="12">
        <f>IF(OR($B815="",$G815=""),"",TEXT($B815,"YYYYMMDD")&amp;"-"&amp;SUBSTITUTE($E815," ","")&amp;"-"&amp;$F815&amp;"-"&amp;$G815)</f>
        <v/>
      </c>
      <c r="B815" s="15" t="n"/>
      <c r="C815" s="16" t="n"/>
      <c r="D815" s="10" t="n"/>
      <c r="E815" s="9" t="n"/>
      <c r="F815" s="9" t="n"/>
      <c r="G815" s="13" t="n"/>
      <c r="H815" s="21" t="n"/>
      <c r="I815" s="21" t="n"/>
      <c r="J815" s="17">
        <f>IF($G815="","",IFERROR(INDEX(NomsEmployes,MATCH($G815,MatriculesEmployes,0)),"MATRICULE INCONNU"))</f>
        <v/>
      </c>
      <c r="K815" s="33">
        <f>IF(OR($D815="",$F815=""),"",IFERROR(IF(INDEX(RUNS!$L$6:$S$1005,MATCH($D815,RUNS!$A$6:$A$1005,0),MATCH("ACTIVITÉ "&amp;$F815,RUNS!$L$5:$S$5,0))="","",INDEX(RUNS!$L$6:$S$1005,MATCH($D815,RUNS!$A$6:$A$1005,0),MATCH("ACTIVITÉ "&amp;$F815,RUNS!$L$5:$S$5,0))),""))</f>
        <v/>
      </c>
      <c r="L815" s="33">
        <f>IF($D815="","",IFERROR(IF(INDEX(RUNS!$E$6:$E$1005,MATCH($D815,RUNS!$A$6:$A$1005,0))="","",INDEX(RUNS!$E$6:$E$1005,MATCH($D815,RUNS!$A$6:$A$1005,0))),""))</f>
        <v/>
      </c>
      <c r="M815" s="33">
        <f>IF($D815="","",IFERROR(IF(INDEX(RUNS!$F$6:$F$1005,MATCH($D815,RUNS!$A$6:$A$1005,0))="","",INDEX(RUNS!$F$6:$F$1005,MATCH($D815,RUNS!$A$6:$A$1005,0))),""))</f>
        <v/>
      </c>
      <c r="N815" s="33">
        <f>IF($D815="","",IFERROR(IF(INDEX(RUNS!$G$6:$G$1005,MATCH($D815,RUNS!$A$6:$A$1005,0))="","",INDEX(RUNS!$G$6:$G$1005,MATCH($D815,RUNS!$A$6:$A$1005,0))),""))</f>
        <v/>
      </c>
      <c r="O815" s="33">
        <f>IF($D815="","",IFERROR(IF(INDEX(RUNS!$H$6:$H$1005,MATCH($D815,RUNS!$A$6:$A$1005,0))="","",INDEX(RUNS!$H$6:$H$1005,MATCH($D815,RUNS!$A$6:$A$1005,0))),""))</f>
        <v/>
      </c>
      <c r="P815" s="33">
        <f>IF($D815="","",IFERROR(IF(INDEX(RUNS!$J$6:$J$1005,MATCH($D815,RUNS!$A$6:$A$1005,0))="","",INDEX(RUNS!$J$6:$J$1005,MATCH($D815,RUNS!$A$6:$A$1005,0))),""))</f>
        <v/>
      </c>
      <c r="Q815" s="33">
        <f>IF($D815="","",IFERROR(IF(INDEX(RUNS!$K$6:$K$1005,MATCH($D815,RUNS!$A$6:$A$1005,0))="","",INDEX(RUNS!$K$6:$K$1005,MATCH($D815,RUNS!$A$6:$A$1005,0))),""))</f>
        <v/>
      </c>
      <c r="R815" s="34">
        <f>IF(OR($L815="",$K815=""),"",IFERROR(IF(INDEX(PARAMETRES!$H$43:$H$342,MATCH($L815&amp;"|"&amp;$M815&amp;"|"&amp;$N815&amp;"|"&amp;$O815&amp;"|"&amp;$P815&amp;"|"&amp;$Q815&amp;"|"&amp;$K815,PARAMETRES!$J$43:$J$342,0))="","",INDEX(PARAMETRES!$H$43:$H$342,MATCH($L815&amp;"|"&amp;$M815&amp;"|"&amp;$N815&amp;"|"&amp;$O815&amp;"|"&amp;$P815&amp;"|"&amp;$Q815&amp;"|"&amp;$K815,PARAMETRES!$J$43:$J$342,0))),""))</f>
        <v/>
      </c>
      <c r="S815" s="35">
        <f>IF(OR($G815="",$X815&lt;&gt;"VALIDE"),"",IFERROR(LOOKUP(2,1/(($B$3:$B814=$B815)*($G$3:$G814=$G815)*($X$3:$X814="VALIDE")),$C$3:$C814),""))</f>
        <v/>
      </c>
      <c r="T815" s="36">
        <f>IF(OR($C815="",$S815=""),"",ROUND(($C815-$S815+IF($C815&lt;$S815,1,0))*1440,0))</f>
        <v/>
      </c>
      <c r="U815" s="22">
        <f>IF(OR($H815="",$T815="",$T815&lt;=0),"",$H815*60/$T815)</f>
        <v/>
      </c>
      <c r="V815" s="37">
        <f>IF(OR($U815="",$R815="",$R815=0),"",$U815/$R815)</f>
        <v/>
      </c>
      <c r="W815" s="20">
        <f>IF($G815="","",IF($X815="CONTEXTE INCOMPLET","CONTEXTE INCOMPLET",IF($X815="DOUBLON",StatutDoublon,IF($S815="",StatutInitial,IF($R815="",StatutStandardManquant,IF($V815="","DONNEES INSUFFISANTES",IF($V815&gt;=SeuilConforme,StatutConforme,IF($V815&gt;=SeuilSurveiller,StatutSurveiller,StatutSousStandard))))))))</f>
        <v/>
      </c>
      <c r="X815" s="33">
        <f>IF($G815="","",IF(OR($D815="",$E815="",$F815=""),"CONTEXTE INCOMPLET",IF(COUNTIFS($D$3:$D814,$D815,$E$3:$E814,$E815,$F$3:$F814,$F815,$G$3:$G814,$G815)&gt;0,"DOUBLON","VALIDE")))</f>
        <v/>
      </c>
    </row>
    <row r="816" ht="15" customHeight="1">
      <c r="A816" s="12">
        <f>IF(OR($B816="",$G816=""),"",TEXT($B816,"YYYYMMDD")&amp;"-"&amp;SUBSTITUTE($E816," ","")&amp;"-"&amp;$F816&amp;"-"&amp;$G816)</f>
        <v/>
      </c>
      <c r="B816" s="15" t="n"/>
      <c r="C816" s="16" t="n"/>
      <c r="D816" s="10" t="n"/>
      <c r="E816" s="9" t="n"/>
      <c r="F816" s="9" t="n"/>
      <c r="G816" s="13" t="n"/>
      <c r="H816" s="21" t="n"/>
      <c r="I816" s="21" t="n"/>
      <c r="J816" s="17">
        <f>IF($G816="","",IFERROR(INDEX(NomsEmployes,MATCH($G816,MatriculesEmployes,0)),"MATRICULE INCONNU"))</f>
        <v/>
      </c>
      <c r="K816" s="33">
        <f>IF(OR($D816="",$F816=""),"",IFERROR(IF(INDEX(RUNS!$L$6:$S$1005,MATCH($D816,RUNS!$A$6:$A$1005,0),MATCH("ACTIVITÉ "&amp;$F816,RUNS!$L$5:$S$5,0))="","",INDEX(RUNS!$L$6:$S$1005,MATCH($D816,RUNS!$A$6:$A$1005,0),MATCH("ACTIVITÉ "&amp;$F816,RUNS!$L$5:$S$5,0))),""))</f>
        <v/>
      </c>
      <c r="L816" s="33">
        <f>IF($D816="","",IFERROR(IF(INDEX(RUNS!$E$6:$E$1005,MATCH($D816,RUNS!$A$6:$A$1005,0))="","",INDEX(RUNS!$E$6:$E$1005,MATCH($D816,RUNS!$A$6:$A$1005,0))),""))</f>
        <v/>
      </c>
      <c r="M816" s="33">
        <f>IF($D816="","",IFERROR(IF(INDEX(RUNS!$F$6:$F$1005,MATCH($D816,RUNS!$A$6:$A$1005,0))="","",INDEX(RUNS!$F$6:$F$1005,MATCH($D816,RUNS!$A$6:$A$1005,0))),""))</f>
        <v/>
      </c>
      <c r="N816" s="33">
        <f>IF($D816="","",IFERROR(IF(INDEX(RUNS!$G$6:$G$1005,MATCH($D816,RUNS!$A$6:$A$1005,0))="","",INDEX(RUNS!$G$6:$G$1005,MATCH($D816,RUNS!$A$6:$A$1005,0))),""))</f>
        <v/>
      </c>
      <c r="O816" s="33">
        <f>IF($D816="","",IFERROR(IF(INDEX(RUNS!$H$6:$H$1005,MATCH($D816,RUNS!$A$6:$A$1005,0))="","",INDEX(RUNS!$H$6:$H$1005,MATCH($D816,RUNS!$A$6:$A$1005,0))),""))</f>
        <v/>
      </c>
      <c r="P816" s="33">
        <f>IF($D816="","",IFERROR(IF(INDEX(RUNS!$J$6:$J$1005,MATCH($D816,RUNS!$A$6:$A$1005,0))="","",INDEX(RUNS!$J$6:$J$1005,MATCH($D816,RUNS!$A$6:$A$1005,0))),""))</f>
        <v/>
      </c>
      <c r="Q816" s="33">
        <f>IF($D816="","",IFERROR(IF(INDEX(RUNS!$K$6:$K$1005,MATCH($D816,RUNS!$A$6:$A$1005,0))="","",INDEX(RUNS!$K$6:$K$1005,MATCH($D816,RUNS!$A$6:$A$1005,0))),""))</f>
        <v/>
      </c>
      <c r="R816" s="34">
        <f>IF(OR($L816="",$K816=""),"",IFERROR(IF(INDEX(PARAMETRES!$H$43:$H$342,MATCH($L816&amp;"|"&amp;$M816&amp;"|"&amp;$N816&amp;"|"&amp;$O816&amp;"|"&amp;$P816&amp;"|"&amp;$Q816&amp;"|"&amp;$K816,PARAMETRES!$J$43:$J$342,0))="","",INDEX(PARAMETRES!$H$43:$H$342,MATCH($L816&amp;"|"&amp;$M816&amp;"|"&amp;$N816&amp;"|"&amp;$O816&amp;"|"&amp;$P816&amp;"|"&amp;$Q816&amp;"|"&amp;$K816,PARAMETRES!$J$43:$J$342,0))),""))</f>
        <v/>
      </c>
      <c r="S816" s="35">
        <f>IF(OR($G816="",$X816&lt;&gt;"VALIDE"),"",IFERROR(LOOKUP(2,1/(($B$3:$B815=$B816)*($G$3:$G815=$G816)*($X$3:$X815="VALIDE")),$C$3:$C815),""))</f>
        <v/>
      </c>
      <c r="T816" s="36">
        <f>IF(OR($C816="",$S816=""),"",ROUND(($C816-$S816+IF($C816&lt;$S816,1,0))*1440,0))</f>
        <v/>
      </c>
      <c r="U816" s="22">
        <f>IF(OR($H816="",$T816="",$T816&lt;=0),"",$H816*60/$T816)</f>
        <v/>
      </c>
      <c r="V816" s="37">
        <f>IF(OR($U816="",$R816="",$R816=0),"",$U816/$R816)</f>
        <v/>
      </c>
      <c r="W816" s="20">
        <f>IF($G816="","",IF($X816="CONTEXTE INCOMPLET","CONTEXTE INCOMPLET",IF($X816="DOUBLON",StatutDoublon,IF($S816="",StatutInitial,IF($R816="",StatutStandardManquant,IF($V816="","DONNEES INSUFFISANTES",IF($V816&gt;=SeuilConforme,StatutConforme,IF($V816&gt;=SeuilSurveiller,StatutSurveiller,StatutSousStandard))))))))</f>
        <v/>
      </c>
      <c r="X816" s="33">
        <f>IF($G816="","",IF(OR($D816="",$E816="",$F816=""),"CONTEXTE INCOMPLET",IF(COUNTIFS($D$3:$D815,$D816,$E$3:$E815,$E816,$F$3:$F815,$F816,$G$3:$G815,$G816)&gt;0,"DOUBLON","VALIDE")))</f>
        <v/>
      </c>
    </row>
    <row r="817" ht="15" customHeight="1">
      <c r="A817" s="12">
        <f>IF(OR($B817="",$G817=""),"",TEXT($B817,"YYYYMMDD")&amp;"-"&amp;SUBSTITUTE($E817," ","")&amp;"-"&amp;$F817&amp;"-"&amp;$G817)</f>
        <v/>
      </c>
      <c r="B817" s="15" t="n"/>
      <c r="C817" s="16" t="n"/>
      <c r="D817" s="10" t="n"/>
      <c r="E817" s="9" t="n"/>
      <c r="F817" s="9" t="n"/>
      <c r="G817" s="13" t="n"/>
      <c r="H817" s="21" t="n"/>
      <c r="I817" s="21" t="n"/>
      <c r="J817" s="17">
        <f>IF($G817="","",IFERROR(INDEX(NomsEmployes,MATCH($G817,MatriculesEmployes,0)),"MATRICULE INCONNU"))</f>
        <v/>
      </c>
      <c r="K817" s="33">
        <f>IF(OR($D817="",$F817=""),"",IFERROR(IF(INDEX(RUNS!$L$6:$S$1005,MATCH($D817,RUNS!$A$6:$A$1005,0),MATCH("ACTIVITÉ "&amp;$F817,RUNS!$L$5:$S$5,0))="","",INDEX(RUNS!$L$6:$S$1005,MATCH($D817,RUNS!$A$6:$A$1005,0),MATCH("ACTIVITÉ "&amp;$F817,RUNS!$L$5:$S$5,0))),""))</f>
        <v/>
      </c>
      <c r="L817" s="33">
        <f>IF($D817="","",IFERROR(IF(INDEX(RUNS!$E$6:$E$1005,MATCH($D817,RUNS!$A$6:$A$1005,0))="","",INDEX(RUNS!$E$6:$E$1005,MATCH($D817,RUNS!$A$6:$A$1005,0))),""))</f>
        <v/>
      </c>
      <c r="M817" s="33">
        <f>IF($D817="","",IFERROR(IF(INDEX(RUNS!$F$6:$F$1005,MATCH($D817,RUNS!$A$6:$A$1005,0))="","",INDEX(RUNS!$F$6:$F$1005,MATCH($D817,RUNS!$A$6:$A$1005,0))),""))</f>
        <v/>
      </c>
      <c r="N817" s="33">
        <f>IF($D817="","",IFERROR(IF(INDEX(RUNS!$G$6:$G$1005,MATCH($D817,RUNS!$A$6:$A$1005,0))="","",INDEX(RUNS!$G$6:$G$1005,MATCH($D817,RUNS!$A$6:$A$1005,0))),""))</f>
        <v/>
      </c>
      <c r="O817" s="33">
        <f>IF($D817="","",IFERROR(IF(INDEX(RUNS!$H$6:$H$1005,MATCH($D817,RUNS!$A$6:$A$1005,0))="","",INDEX(RUNS!$H$6:$H$1005,MATCH($D817,RUNS!$A$6:$A$1005,0))),""))</f>
        <v/>
      </c>
      <c r="P817" s="33">
        <f>IF($D817="","",IFERROR(IF(INDEX(RUNS!$J$6:$J$1005,MATCH($D817,RUNS!$A$6:$A$1005,0))="","",INDEX(RUNS!$J$6:$J$1005,MATCH($D817,RUNS!$A$6:$A$1005,0))),""))</f>
        <v/>
      </c>
      <c r="Q817" s="33">
        <f>IF($D817="","",IFERROR(IF(INDEX(RUNS!$K$6:$K$1005,MATCH($D817,RUNS!$A$6:$A$1005,0))="","",INDEX(RUNS!$K$6:$K$1005,MATCH($D817,RUNS!$A$6:$A$1005,0))),""))</f>
        <v/>
      </c>
      <c r="R817" s="34">
        <f>IF(OR($L817="",$K817=""),"",IFERROR(IF(INDEX(PARAMETRES!$H$43:$H$342,MATCH($L817&amp;"|"&amp;$M817&amp;"|"&amp;$N817&amp;"|"&amp;$O817&amp;"|"&amp;$P817&amp;"|"&amp;$Q817&amp;"|"&amp;$K817,PARAMETRES!$J$43:$J$342,0))="","",INDEX(PARAMETRES!$H$43:$H$342,MATCH($L817&amp;"|"&amp;$M817&amp;"|"&amp;$N817&amp;"|"&amp;$O817&amp;"|"&amp;$P817&amp;"|"&amp;$Q817&amp;"|"&amp;$K817,PARAMETRES!$J$43:$J$342,0))),""))</f>
        <v/>
      </c>
      <c r="S817" s="35">
        <f>IF(OR($G817="",$X817&lt;&gt;"VALIDE"),"",IFERROR(LOOKUP(2,1/(($B$3:$B816=$B817)*($G$3:$G816=$G817)*($X$3:$X816="VALIDE")),$C$3:$C816),""))</f>
        <v/>
      </c>
      <c r="T817" s="36">
        <f>IF(OR($C817="",$S817=""),"",ROUND(($C817-$S817+IF($C817&lt;$S817,1,0))*1440,0))</f>
        <v/>
      </c>
      <c r="U817" s="22">
        <f>IF(OR($H817="",$T817="",$T817&lt;=0),"",$H817*60/$T817)</f>
        <v/>
      </c>
      <c r="V817" s="37">
        <f>IF(OR($U817="",$R817="",$R817=0),"",$U817/$R817)</f>
        <v/>
      </c>
      <c r="W817" s="20">
        <f>IF($G817="","",IF($X817="CONTEXTE INCOMPLET","CONTEXTE INCOMPLET",IF($X817="DOUBLON",StatutDoublon,IF($S817="",StatutInitial,IF($R817="",StatutStandardManquant,IF($V817="","DONNEES INSUFFISANTES",IF($V817&gt;=SeuilConforme,StatutConforme,IF($V817&gt;=SeuilSurveiller,StatutSurveiller,StatutSousStandard))))))))</f>
        <v/>
      </c>
      <c r="X817" s="33">
        <f>IF($G817="","",IF(OR($D817="",$E817="",$F817=""),"CONTEXTE INCOMPLET",IF(COUNTIFS($D$3:$D816,$D817,$E$3:$E816,$E817,$F$3:$F816,$F817,$G$3:$G816,$G817)&gt;0,"DOUBLON","VALIDE")))</f>
        <v/>
      </c>
    </row>
    <row r="818" ht="15" customHeight="1">
      <c r="A818" s="12">
        <f>IF(OR($B818="",$G818=""),"",TEXT($B818,"YYYYMMDD")&amp;"-"&amp;SUBSTITUTE($E818," ","")&amp;"-"&amp;$F818&amp;"-"&amp;$G818)</f>
        <v/>
      </c>
      <c r="B818" s="15" t="n"/>
      <c r="C818" s="16" t="n"/>
      <c r="D818" s="10" t="n"/>
      <c r="E818" s="9" t="n"/>
      <c r="F818" s="9" t="n"/>
      <c r="G818" s="13" t="n"/>
      <c r="H818" s="21" t="n"/>
      <c r="I818" s="21" t="n"/>
      <c r="J818" s="17">
        <f>IF($G818="","",IFERROR(INDEX(NomsEmployes,MATCH($G818,MatriculesEmployes,0)),"MATRICULE INCONNU"))</f>
        <v/>
      </c>
      <c r="K818" s="33">
        <f>IF(OR($D818="",$F818=""),"",IFERROR(IF(INDEX(RUNS!$L$6:$S$1005,MATCH($D818,RUNS!$A$6:$A$1005,0),MATCH("ACTIVITÉ "&amp;$F818,RUNS!$L$5:$S$5,0))="","",INDEX(RUNS!$L$6:$S$1005,MATCH($D818,RUNS!$A$6:$A$1005,0),MATCH("ACTIVITÉ "&amp;$F818,RUNS!$L$5:$S$5,0))),""))</f>
        <v/>
      </c>
      <c r="L818" s="33">
        <f>IF($D818="","",IFERROR(IF(INDEX(RUNS!$E$6:$E$1005,MATCH($D818,RUNS!$A$6:$A$1005,0))="","",INDEX(RUNS!$E$6:$E$1005,MATCH($D818,RUNS!$A$6:$A$1005,0))),""))</f>
        <v/>
      </c>
      <c r="M818" s="33">
        <f>IF($D818="","",IFERROR(IF(INDEX(RUNS!$F$6:$F$1005,MATCH($D818,RUNS!$A$6:$A$1005,0))="","",INDEX(RUNS!$F$6:$F$1005,MATCH($D818,RUNS!$A$6:$A$1005,0))),""))</f>
        <v/>
      </c>
      <c r="N818" s="33">
        <f>IF($D818="","",IFERROR(IF(INDEX(RUNS!$G$6:$G$1005,MATCH($D818,RUNS!$A$6:$A$1005,0))="","",INDEX(RUNS!$G$6:$G$1005,MATCH($D818,RUNS!$A$6:$A$1005,0))),""))</f>
        <v/>
      </c>
      <c r="O818" s="33">
        <f>IF($D818="","",IFERROR(IF(INDEX(RUNS!$H$6:$H$1005,MATCH($D818,RUNS!$A$6:$A$1005,0))="","",INDEX(RUNS!$H$6:$H$1005,MATCH($D818,RUNS!$A$6:$A$1005,0))),""))</f>
        <v/>
      </c>
      <c r="P818" s="33">
        <f>IF($D818="","",IFERROR(IF(INDEX(RUNS!$J$6:$J$1005,MATCH($D818,RUNS!$A$6:$A$1005,0))="","",INDEX(RUNS!$J$6:$J$1005,MATCH($D818,RUNS!$A$6:$A$1005,0))),""))</f>
        <v/>
      </c>
      <c r="Q818" s="33">
        <f>IF($D818="","",IFERROR(IF(INDEX(RUNS!$K$6:$K$1005,MATCH($D818,RUNS!$A$6:$A$1005,0))="","",INDEX(RUNS!$K$6:$K$1005,MATCH($D818,RUNS!$A$6:$A$1005,0))),""))</f>
        <v/>
      </c>
      <c r="R818" s="34">
        <f>IF(OR($L818="",$K818=""),"",IFERROR(IF(INDEX(PARAMETRES!$H$43:$H$342,MATCH($L818&amp;"|"&amp;$M818&amp;"|"&amp;$N818&amp;"|"&amp;$O818&amp;"|"&amp;$P818&amp;"|"&amp;$Q818&amp;"|"&amp;$K818,PARAMETRES!$J$43:$J$342,0))="","",INDEX(PARAMETRES!$H$43:$H$342,MATCH($L818&amp;"|"&amp;$M818&amp;"|"&amp;$N818&amp;"|"&amp;$O818&amp;"|"&amp;$P818&amp;"|"&amp;$Q818&amp;"|"&amp;$K818,PARAMETRES!$J$43:$J$342,0))),""))</f>
        <v/>
      </c>
      <c r="S818" s="35">
        <f>IF(OR($G818="",$X818&lt;&gt;"VALIDE"),"",IFERROR(LOOKUP(2,1/(($B$3:$B817=$B818)*($G$3:$G817=$G818)*($X$3:$X817="VALIDE")),$C$3:$C817),""))</f>
        <v/>
      </c>
      <c r="T818" s="36">
        <f>IF(OR($C818="",$S818=""),"",ROUND(($C818-$S818+IF($C818&lt;$S818,1,0))*1440,0))</f>
        <v/>
      </c>
      <c r="U818" s="22">
        <f>IF(OR($H818="",$T818="",$T818&lt;=0),"",$H818*60/$T818)</f>
        <v/>
      </c>
      <c r="V818" s="37">
        <f>IF(OR($U818="",$R818="",$R818=0),"",$U818/$R818)</f>
        <v/>
      </c>
      <c r="W818" s="20">
        <f>IF($G818="","",IF($X818="CONTEXTE INCOMPLET","CONTEXTE INCOMPLET",IF($X818="DOUBLON",StatutDoublon,IF($S818="",StatutInitial,IF($R818="",StatutStandardManquant,IF($V818="","DONNEES INSUFFISANTES",IF($V818&gt;=SeuilConforme,StatutConforme,IF($V818&gt;=SeuilSurveiller,StatutSurveiller,StatutSousStandard))))))))</f>
        <v/>
      </c>
      <c r="X818" s="33">
        <f>IF($G818="","",IF(OR($D818="",$E818="",$F818=""),"CONTEXTE INCOMPLET",IF(COUNTIFS($D$3:$D817,$D818,$E$3:$E817,$E818,$F$3:$F817,$F818,$G$3:$G817,$G818)&gt;0,"DOUBLON","VALIDE")))</f>
        <v/>
      </c>
    </row>
    <row r="819" ht="15" customHeight="1">
      <c r="A819" s="12">
        <f>IF(OR($B819="",$G819=""),"",TEXT($B819,"YYYYMMDD")&amp;"-"&amp;SUBSTITUTE($E819," ","")&amp;"-"&amp;$F819&amp;"-"&amp;$G819)</f>
        <v/>
      </c>
      <c r="B819" s="15" t="n"/>
      <c r="C819" s="16" t="n"/>
      <c r="D819" s="10" t="n"/>
      <c r="E819" s="9" t="n"/>
      <c r="F819" s="9" t="n"/>
      <c r="G819" s="13" t="n"/>
      <c r="H819" s="21" t="n"/>
      <c r="I819" s="21" t="n"/>
      <c r="J819" s="17">
        <f>IF($G819="","",IFERROR(INDEX(NomsEmployes,MATCH($G819,MatriculesEmployes,0)),"MATRICULE INCONNU"))</f>
        <v/>
      </c>
      <c r="K819" s="33">
        <f>IF(OR($D819="",$F819=""),"",IFERROR(IF(INDEX(RUNS!$L$6:$S$1005,MATCH($D819,RUNS!$A$6:$A$1005,0),MATCH("ACTIVITÉ "&amp;$F819,RUNS!$L$5:$S$5,0))="","",INDEX(RUNS!$L$6:$S$1005,MATCH($D819,RUNS!$A$6:$A$1005,0),MATCH("ACTIVITÉ "&amp;$F819,RUNS!$L$5:$S$5,0))),""))</f>
        <v/>
      </c>
      <c r="L819" s="33">
        <f>IF($D819="","",IFERROR(IF(INDEX(RUNS!$E$6:$E$1005,MATCH($D819,RUNS!$A$6:$A$1005,0))="","",INDEX(RUNS!$E$6:$E$1005,MATCH($D819,RUNS!$A$6:$A$1005,0))),""))</f>
        <v/>
      </c>
      <c r="M819" s="33">
        <f>IF($D819="","",IFERROR(IF(INDEX(RUNS!$F$6:$F$1005,MATCH($D819,RUNS!$A$6:$A$1005,0))="","",INDEX(RUNS!$F$6:$F$1005,MATCH($D819,RUNS!$A$6:$A$1005,0))),""))</f>
        <v/>
      </c>
      <c r="N819" s="33">
        <f>IF($D819="","",IFERROR(IF(INDEX(RUNS!$G$6:$G$1005,MATCH($D819,RUNS!$A$6:$A$1005,0))="","",INDEX(RUNS!$G$6:$G$1005,MATCH($D819,RUNS!$A$6:$A$1005,0))),""))</f>
        <v/>
      </c>
      <c r="O819" s="33">
        <f>IF($D819="","",IFERROR(IF(INDEX(RUNS!$H$6:$H$1005,MATCH($D819,RUNS!$A$6:$A$1005,0))="","",INDEX(RUNS!$H$6:$H$1005,MATCH($D819,RUNS!$A$6:$A$1005,0))),""))</f>
        <v/>
      </c>
      <c r="P819" s="33">
        <f>IF($D819="","",IFERROR(IF(INDEX(RUNS!$J$6:$J$1005,MATCH($D819,RUNS!$A$6:$A$1005,0))="","",INDEX(RUNS!$J$6:$J$1005,MATCH($D819,RUNS!$A$6:$A$1005,0))),""))</f>
        <v/>
      </c>
      <c r="Q819" s="33">
        <f>IF($D819="","",IFERROR(IF(INDEX(RUNS!$K$6:$K$1005,MATCH($D819,RUNS!$A$6:$A$1005,0))="","",INDEX(RUNS!$K$6:$K$1005,MATCH($D819,RUNS!$A$6:$A$1005,0))),""))</f>
        <v/>
      </c>
      <c r="R819" s="34">
        <f>IF(OR($L819="",$K819=""),"",IFERROR(IF(INDEX(PARAMETRES!$H$43:$H$342,MATCH($L819&amp;"|"&amp;$M819&amp;"|"&amp;$N819&amp;"|"&amp;$O819&amp;"|"&amp;$P819&amp;"|"&amp;$Q819&amp;"|"&amp;$K819,PARAMETRES!$J$43:$J$342,0))="","",INDEX(PARAMETRES!$H$43:$H$342,MATCH($L819&amp;"|"&amp;$M819&amp;"|"&amp;$N819&amp;"|"&amp;$O819&amp;"|"&amp;$P819&amp;"|"&amp;$Q819&amp;"|"&amp;$K819,PARAMETRES!$J$43:$J$342,0))),""))</f>
        <v/>
      </c>
      <c r="S819" s="35">
        <f>IF(OR($G819="",$X819&lt;&gt;"VALIDE"),"",IFERROR(LOOKUP(2,1/(($B$3:$B818=$B819)*($G$3:$G818=$G819)*($X$3:$X818="VALIDE")),$C$3:$C818),""))</f>
        <v/>
      </c>
      <c r="T819" s="36">
        <f>IF(OR($C819="",$S819=""),"",ROUND(($C819-$S819+IF($C819&lt;$S819,1,0))*1440,0))</f>
        <v/>
      </c>
      <c r="U819" s="22">
        <f>IF(OR($H819="",$T819="",$T819&lt;=0),"",$H819*60/$T819)</f>
        <v/>
      </c>
      <c r="V819" s="37">
        <f>IF(OR($U819="",$R819="",$R819=0),"",$U819/$R819)</f>
        <v/>
      </c>
      <c r="W819" s="20">
        <f>IF($G819="","",IF($X819="CONTEXTE INCOMPLET","CONTEXTE INCOMPLET",IF($X819="DOUBLON",StatutDoublon,IF($S819="",StatutInitial,IF($R819="",StatutStandardManquant,IF($V819="","DONNEES INSUFFISANTES",IF($V819&gt;=SeuilConforme,StatutConforme,IF($V819&gt;=SeuilSurveiller,StatutSurveiller,StatutSousStandard))))))))</f>
        <v/>
      </c>
      <c r="X819" s="33">
        <f>IF($G819="","",IF(OR($D819="",$E819="",$F819=""),"CONTEXTE INCOMPLET",IF(COUNTIFS($D$3:$D818,$D819,$E$3:$E818,$E819,$F$3:$F818,$F819,$G$3:$G818,$G819)&gt;0,"DOUBLON","VALIDE")))</f>
        <v/>
      </c>
    </row>
    <row r="820" ht="15" customHeight="1">
      <c r="A820" s="12">
        <f>IF(OR($B820="",$G820=""),"",TEXT($B820,"YYYYMMDD")&amp;"-"&amp;SUBSTITUTE($E820," ","")&amp;"-"&amp;$F820&amp;"-"&amp;$G820)</f>
        <v/>
      </c>
      <c r="B820" s="15" t="n"/>
      <c r="C820" s="16" t="n"/>
      <c r="D820" s="10" t="n"/>
      <c r="E820" s="9" t="n"/>
      <c r="F820" s="9" t="n"/>
      <c r="G820" s="13" t="n"/>
      <c r="H820" s="21" t="n"/>
      <c r="I820" s="21" t="n"/>
      <c r="J820" s="17">
        <f>IF($G820="","",IFERROR(INDEX(NomsEmployes,MATCH($G820,MatriculesEmployes,0)),"MATRICULE INCONNU"))</f>
        <v/>
      </c>
      <c r="K820" s="33">
        <f>IF(OR($D820="",$F820=""),"",IFERROR(IF(INDEX(RUNS!$L$6:$S$1005,MATCH($D820,RUNS!$A$6:$A$1005,0),MATCH("ACTIVITÉ "&amp;$F820,RUNS!$L$5:$S$5,0))="","",INDEX(RUNS!$L$6:$S$1005,MATCH($D820,RUNS!$A$6:$A$1005,0),MATCH("ACTIVITÉ "&amp;$F820,RUNS!$L$5:$S$5,0))),""))</f>
        <v/>
      </c>
      <c r="L820" s="33">
        <f>IF($D820="","",IFERROR(IF(INDEX(RUNS!$E$6:$E$1005,MATCH($D820,RUNS!$A$6:$A$1005,0))="","",INDEX(RUNS!$E$6:$E$1005,MATCH($D820,RUNS!$A$6:$A$1005,0))),""))</f>
        <v/>
      </c>
      <c r="M820" s="33">
        <f>IF($D820="","",IFERROR(IF(INDEX(RUNS!$F$6:$F$1005,MATCH($D820,RUNS!$A$6:$A$1005,0))="","",INDEX(RUNS!$F$6:$F$1005,MATCH($D820,RUNS!$A$6:$A$1005,0))),""))</f>
        <v/>
      </c>
      <c r="N820" s="33">
        <f>IF($D820="","",IFERROR(IF(INDEX(RUNS!$G$6:$G$1005,MATCH($D820,RUNS!$A$6:$A$1005,0))="","",INDEX(RUNS!$G$6:$G$1005,MATCH($D820,RUNS!$A$6:$A$1005,0))),""))</f>
        <v/>
      </c>
      <c r="O820" s="33">
        <f>IF($D820="","",IFERROR(IF(INDEX(RUNS!$H$6:$H$1005,MATCH($D820,RUNS!$A$6:$A$1005,0))="","",INDEX(RUNS!$H$6:$H$1005,MATCH($D820,RUNS!$A$6:$A$1005,0))),""))</f>
        <v/>
      </c>
      <c r="P820" s="33">
        <f>IF($D820="","",IFERROR(IF(INDEX(RUNS!$J$6:$J$1005,MATCH($D820,RUNS!$A$6:$A$1005,0))="","",INDEX(RUNS!$J$6:$J$1005,MATCH($D820,RUNS!$A$6:$A$1005,0))),""))</f>
        <v/>
      </c>
      <c r="Q820" s="33">
        <f>IF($D820="","",IFERROR(IF(INDEX(RUNS!$K$6:$K$1005,MATCH($D820,RUNS!$A$6:$A$1005,0))="","",INDEX(RUNS!$K$6:$K$1005,MATCH($D820,RUNS!$A$6:$A$1005,0))),""))</f>
        <v/>
      </c>
      <c r="R820" s="34">
        <f>IF(OR($L820="",$K820=""),"",IFERROR(IF(INDEX(PARAMETRES!$H$43:$H$342,MATCH($L820&amp;"|"&amp;$M820&amp;"|"&amp;$N820&amp;"|"&amp;$O820&amp;"|"&amp;$P820&amp;"|"&amp;$Q820&amp;"|"&amp;$K820,PARAMETRES!$J$43:$J$342,0))="","",INDEX(PARAMETRES!$H$43:$H$342,MATCH($L820&amp;"|"&amp;$M820&amp;"|"&amp;$N820&amp;"|"&amp;$O820&amp;"|"&amp;$P820&amp;"|"&amp;$Q820&amp;"|"&amp;$K820,PARAMETRES!$J$43:$J$342,0))),""))</f>
        <v/>
      </c>
      <c r="S820" s="35">
        <f>IF(OR($G820="",$X820&lt;&gt;"VALIDE"),"",IFERROR(LOOKUP(2,1/(($B$3:$B819=$B820)*($G$3:$G819=$G820)*($X$3:$X819="VALIDE")),$C$3:$C819),""))</f>
        <v/>
      </c>
      <c r="T820" s="36">
        <f>IF(OR($C820="",$S820=""),"",ROUND(($C820-$S820+IF($C820&lt;$S820,1,0))*1440,0))</f>
        <v/>
      </c>
      <c r="U820" s="22">
        <f>IF(OR($H820="",$T820="",$T820&lt;=0),"",$H820*60/$T820)</f>
        <v/>
      </c>
      <c r="V820" s="37">
        <f>IF(OR($U820="",$R820="",$R820=0),"",$U820/$R820)</f>
        <v/>
      </c>
      <c r="W820" s="20">
        <f>IF($G820="","",IF($X820="CONTEXTE INCOMPLET","CONTEXTE INCOMPLET",IF($X820="DOUBLON",StatutDoublon,IF($S820="",StatutInitial,IF($R820="",StatutStandardManquant,IF($V820="","DONNEES INSUFFISANTES",IF($V820&gt;=SeuilConforme,StatutConforme,IF($V820&gt;=SeuilSurveiller,StatutSurveiller,StatutSousStandard))))))))</f>
        <v/>
      </c>
      <c r="X820" s="33">
        <f>IF($G820="","",IF(OR($D820="",$E820="",$F820=""),"CONTEXTE INCOMPLET",IF(COUNTIFS($D$3:$D819,$D820,$E$3:$E819,$E820,$F$3:$F819,$F820,$G$3:$G819,$G820)&gt;0,"DOUBLON","VALIDE")))</f>
        <v/>
      </c>
    </row>
    <row r="821" ht="15" customHeight="1">
      <c r="A821" s="12">
        <f>IF(OR($B821="",$G821=""),"",TEXT($B821,"YYYYMMDD")&amp;"-"&amp;SUBSTITUTE($E821," ","")&amp;"-"&amp;$F821&amp;"-"&amp;$G821)</f>
        <v/>
      </c>
      <c r="B821" s="15" t="n"/>
      <c r="C821" s="16" t="n"/>
      <c r="D821" s="10" t="n"/>
      <c r="E821" s="9" t="n"/>
      <c r="F821" s="9" t="n"/>
      <c r="G821" s="13" t="n"/>
      <c r="H821" s="21" t="n"/>
      <c r="I821" s="21" t="n"/>
      <c r="J821" s="17">
        <f>IF($G821="","",IFERROR(INDEX(NomsEmployes,MATCH($G821,MatriculesEmployes,0)),"MATRICULE INCONNU"))</f>
        <v/>
      </c>
      <c r="K821" s="33">
        <f>IF(OR($D821="",$F821=""),"",IFERROR(IF(INDEX(RUNS!$L$6:$S$1005,MATCH($D821,RUNS!$A$6:$A$1005,0),MATCH("ACTIVITÉ "&amp;$F821,RUNS!$L$5:$S$5,0))="","",INDEX(RUNS!$L$6:$S$1005,MATCH($D821,RUNS!$A$6:$A$1005,0),MATCH("ACTIVITÉ "&amp;$F821,RUNS!$L$5:$S$5,0))),""))</f>
        <v/>
      </c>
      <c r="L821" s="33">
        <f>IF($D821="","",IFERROR(IF(INDEX(RUNS!$E$6:$E$1005,MATCH($D821,RUNS!$A$6:$A$1005,0))="","",INDEX(RUNS!$E$6:$E$1005,MATCH($D821,RUNS!$A$6:$A$1005,0))),""))</f>
        <v/>
      </c>
      <c r="M821" s="33">
        <f>IF($D821="","",IFERROR(IF(INDEX(RUNS!$F$6:$F$1005,MATCH($D821,RUNS!$A$6:$A$1005,0))="","",INDEX(RUNS!$F$6:$F$1005,MATCH($D821,RUNS!$A$6:$A$1005,0))),""))</f>
        <v/>
      </c>
      <c r="N821" s="33">
        <f>IF($D821="","",IFERROR(IF(INDEX(RUNS!$G$6:$G$1005,MATCH($D821,RUNS!$A$6:$A$1005,0))="","",INDEX(RUNS!$G$6:$G$1005,MATCH($D821,RUNS!$A$6:$A$1005,0))),""))</f>
        <v/>
      </c>
      <c r="O821" s="33">
        <f>IF($D821="","",IFERROR(IF(INDEX(RUNS!$H$6:$H$1005,MATCH($D821,RUNS!$A$6:$A$1005,0))="","",INDEX(RUNS!$H$6:$H$1005,MATCH($D821,RUNS!$A$6:$A$1005,0))),""))</f>
        <v/>
      </c>
      <c r="P821" s="33">
        <f>IF($D821="","",IFERROR(IF(INDEX(RUNS!$J$6:$J$1005,MATCH($D821,RUNS!$A$6:$A$1005,0))="","",INDEX(RUNS!$J$6:$J$1005,MATCH($D821,RUNS!$A$6:$A$1005,0))),""))</f>
        <v/>
      </c>
      <c r="Q821" s="33">
        <f>IF($D821="","",IFERROR(IF(INDEX(RUNS!$K$6:$K$1005,MATCH($D821,RUNS!$A$6:$A$1005,0))="","",INDEX(RUNS!$K$6:$K$1005,MATCH($D821,RUNS!$A$6:$A$1005,0))),""))</f>
        <v/>
      </c>
      <c r="R821" s="34">
        <f>IF(OR($L821="",$K821=""),"",IFERROR(IF(INDEX(PARAMETRES!$H$43:$H$342,MATCH($L821&amp;"|"&amp;$M821&amp;"|"&amp;$N821&amp;"|"&amp;$O821&amp;"|"&amp;$P821&amp;"|"&amp;$Q821&amp;"|"&amp;$K821,PARAMETRES!$J$43:$J$342,0))="","",INDEX(PARAMETRES!$H$43:$H$342,MATCH($L821&amp;"|"&amp;$M821&amp;"|"&amp;$N821&amp;"|"&amp;$O821&amp;"|"&amp;$P821&amp;"|"&amp;$Q821&amp;"|"&amp;$K821,PARAMETRES!$J$43:$J$342,0))),""))</f>
        <v/>
      </c>
      <c r="S821" s="35">
        <f>IF(OR($G821="",$X821&lt;&gt;"VALIDE"),"",IFERROR(LOOKUP(2,1/(($B$3:$B820=$B821)*($G$3:$G820=$G821)*($X$3:$X820="VALIDE")),$C$3:$C820),""))</f>
        <v/>
      </c>
      <c r="T821" s="36">
        <f>IF(OR($C821="",$S821=""),"",ROUND(($C821-$S821+IF($C821&lt;$S821,1,0))*1440,0))</f>
        <v/>
      </c>
      <c r="U821" s="22">
        <f>IF(OR($H821="",$T821="",$T821&lt;=0),"",$H821*60/$T821)</f>
        <v/>
      </c>
      <c r="V821" s="37">
        <f>IF(OR($U821="",$R821="",$R821=0),"",$U821/$R821)</f>
        <v/>
      </c>
      <c r="W821" s="20">
        <f>IF($G821="","",IF($X821="CONTEXTE INCOMPLET","CONTEXTE INCOMPLET",IF($X821="DOUBLON",StatutDoublon,IF($S821="",StatutInitial,IF($R821="",StatutStandardManquant,IF($V821="","DONNEES INSUFFISANTES",IF($V821&gt;=SeuilConforme,StatutConforme,IF($V821&gt;=SeuilSurveiller,StatutSurveiller,StatutSousStandard))))))))</f>
        <v/>
      </c>
      <c r="X821" s="33">
        <f>IF($G821="","",IF(OR($D821="",$E821="",$F821=""),"CONTEXTE INCOMPLET",IF(COUNTIFS($D$3:$D820,$D821,$E$3:$E820,$E821,$F$3:$F820,$F821,$G$3:$G820,$G821)&gt;0,"DOUBLON","VALIDE")))</f>
        <v/>
      </c>
    </row>
    <row r="822" ht="15" customHeight="1">
      <c r="A822" s="12">
        <f>IF(OR($B822="",$G822=""),"",TEXT($B822,"YYYYMMDD")&amp;"-"&amp;SUBSTITUTE($E822," ","")&amp;"-"&amp;$F822&amp;"-"&amp;$G822)</f>
        <v/>
      </c>
      <c r="B822" s="15" t="n"/>
      <c r="C822" s="16" t="n"/>
      <c r="D822" s="10" t="n"/>
      <c r="E822" s="9" t="n"/>
      <c r="F822" s="9" t="n"/>
      <c r="G822" s="13" t="n"/>
      <c r="H822" s="21" t="n"/>
      <c r="I822" s="21" t="n"/>
      <c r="J822" s="17">
        <f>IF($G822="","",IFERROR(INDEX(NomsEmployes,MATCH($G822,MatriculesEmployes,0)),"MATRICULE INCONNU"))</f>
        <v/>
      </c>
      <c r="K822" s="33">
        <f>IF(OR($D822="",$F822=""),"",IFERROR(IF(INDEX(RUNS!$L$6:$S$1005,MATCH($D822,RUNS!$A$6:$A$1005,0),MATCH("ACTIVITÉ "&amp;$F822,RUNS!$L$5:$S$5,0))="","",INDEX(RUNS!$L$6:$S$1005,MATCH($D822,RUNS!$A$6:$A$1005,0),MATCH("ACTIVITÉ "&amp;$F822,RUNS!$L$5:$S$5,0))),""))</f>
        <v/>
      </c>
      <c r="L822" s="33">
        <f>IF($D822="","",IFERROR(IF(INDEX(RUNS!$E$6:$E$1005,MATCH($D822,RUNS!$A$6:$A$1005,0))="","",INDEX(RUNS!$E$6:$E$1005,MATCH($D822,RUNS!$A$6:$A$1005,0))),""))</f>
        <v/>
      </c>
      <c r="M822" s="33">
        <f>IF($D822="","",IFERROR(IF(INDEX(RUNS!$F$6:$F$1005,MATCH($D822,RUNS!$A$6:$A$1005,0))="","",INDEX(RUNS!$F$6:$F$1005,MATCH($D822,RUNS!$A$6:$A$1005,0))),""))</f>
        <v/>
      </c>
      <c r="N822" s="33">
        <f>IF($D822="","",IFERROR(IF(INDEX(RUNS!$G$6:$G$1005,MATCH($D822,RUNS!$A$6:$A$1005,0))="","",INDEX(RUNS!$G$6:$G$1005,MATCH($D822,RUNS!$A$6:$A$1005,0))),""))</f>
        <v/>
      </c>
      <c r="O822" s="33">
        <f>IF($D822="","",IFERROR(IF(INDEX(RUNS!$H$6:$H$1005,MATCH($D822,RUNS!$A$6:$A$1005,0))="","",INDEX(RUNS!$H$6:$H$1005,MATCH($D822,RUNS!$A$6:$A$1005,0))),""))</f>
        <v/>
      </c>
      <c r="P822" s="33">
        <f>IF($D822="","",IFERROR(IF(INDEX(RUNS!$J$6:$J$1005,MATCH($D822,RUNS!$A$6:$A$1005,0))="","",INDEX(RUNS!$J$6:$J$1005,MATCH($D822,RUNS!$A$6:$A$1005,0))),""))</f>
        <v/>
      </c>
      <c r="Q822" s="33">
        <f>IF($D822="","",IFERROR(IF(INDEX(RUNS!$K$6:$K$1005,MATCH($D822,RUNS!$A$6:$A$1005,0))="","",INDEX(RUNS!$K$6:$K$1005,MATCH($D822,RUNS!$A$6:$A$1005,0))),""))</f>
        <v/>
      </c>
      <c r="R822" s="34">
        <f>IF(OR($L822="",$K822=""),"",IFERROR(IF(INDEX(PARAMETRES!$H$43:$H$342,MATCH($L822&amp;"|"&amp;$M822&amp;"|"&amp;$N822&amp;"|"&amp;$O822&amp;"|"&amp;$P822&amp;"|"&amp;$Q822&amp;"|"&amp;$K822,PARAMETRES!$J$43:$J$342,0))="","",INDEX(PARAMETRES!$H$43:$H$342,MATCH($L822&amp;"|"&amp;$M822&amp;"|"&amp;$N822&amp;"|"&amp;$O822&amp;"|"&amp;$P822&amp;"|"&amp;$Q822&amp;"|"&amp;$K822,PARAMETRES!$J$43:$J$342,0))),""))</f>
        <v/>
      </c>
      <c r="S822" s="35">
        <f>IF(OR($G822="",$X822&lt;&gt;"VALIDE"),"",IFERROR(LOOKUP(2,1/(($B$3:$B821=$B822)*($G$3:$G821=$G822)*($X$3:$X821="VALIDE")),$C$3:$C821),""))</f>
        <v/>
      </c>
      <c r="T822" s="36">
        <f>IF(OR($C822="",$S822=""),"",ROUND(($C822-$S822+IF($C822&lt;$S822,1,0))*1440,0))</f>
        <v/>
      </c>
      <c r="U822" s="22">
        <f>IF(OR($H822="",$T822="",$T822&lt;=0),"",$H822*60/$T822)</f>
        <v/>
      </c>
      <c r="V822" s="37">
        <f>IF(OR($U822="",$R822="",$R822=0),"",$U822/$R822)</f>
        <v/>
      </c>
      <c r="W822" s="20">
        <f>IF($G822="","",IF($X822="CONTEXTE INCOMPLET","CONTEXTE INCOMPLET",IF($X822="DOUBLON",StatutDoublon,IF($S822="",StatutInitial,IF($R822="",StatutStandardManquant,IF($V822="","DONNEES INSUFFISANTES",IF($V822&gt;=SeuilConforme,StatutConforme,IF($V822&gt;=SeuilSurveiller,StatutSurveiller,StatutSousStandard))))))))</f>
        <v/>
      </c>
      <c r="X822" s="33">
        <f>IF($G822="","",IF(OR($D822="",$E822="",$F822=""),"CONTEXTE INCOMPLET",IF(COUNTIFS($D$3:$D821,$D822,$E$3:$E821,$E822,$F$3:$F821,$F822,$G$3:$G821,$G822)&gt;0,"DOUBLON","VALIDE")))</f>
        <v/>
      </c>
    </row>
    <row r="823" ht="15" customHeight="1">
      <c r="A823" s="12">
        <f>IF(OR($B823="",$G823=""),"",TEXT($B823,"YYYYMMDD")&amp;"-"&amp;SUBSTITUTE($E823," ","")&amp;"-"&amp;$F823&amp;"-"&amp;$G823)</f>
        <v/>
      </c>
      <c r="B823" s="15" t="n"/>
      <c r="C823" s="16" t="n"/>
      <c r="D823" s="10" t="n"/>
      <c r="E823" s="9" t="n"/>
      <c r="F823" s="9" t="n"/>
      <c r="G823" s="13" t="n"/>
      <c r="H823" s="21" t="n"/>
      <c r="I823" s="21" t="n"/>
      <c r="J823" s="17">
        <f>IF($G823="","",IFERROR(INDEX(NomsEmployes,MATCH($G823,MatriculesEmployes,0)),"MATRICULE INCONNU"))</f>
        <v/>
      </c>
      <c r="K823" s="33">
        <f>IF(OR($D823="",$F823=""),"",IFERROR(IF(INDEX(RUNS!$L$6:$S$1005,MATCH($D823,RUNS!$A$6:$A$1005,0),MATCH("ACTIVITÉ "&amp;$F823,RUNS!$L$5:$S$5,0))="","",INDEX(RUNS!$L$6:$S$1005,MATCH($D823,RUNS!$A$6:$A$1005,0),MATCH("ACTIVITÉ "&amp;$F823,RUNS!$L$5:$S$5,0))),""))</f>
        <v/>
      </c>
      <c r="L823" s="33">
        <f>IF($D823="","",IFERROR(IF(INDEX(RUNS!$E$6:$E$1005,MATCH($D823,RUNS!$A$6:$A$1005,0))="","",INDEX(RUNS!$E$6:$E$1005,MATCH($D823,RUNS!$A$6:$A$1005,0))),""))</f>
        <v/>
      </c>
      <c r="M823" s="33">
        <f>IF($D823="","",IFERROR(IF(INDEX(RUNS!$F$6:$F$1005,MATCH($D823,RUNS!$A$6:$A$1005,0))="","",INDEX(RUNS!$F$6:$F$1005,MATCH($D823,RUNS!$A$6:$A$1005,0))),""))</f>
        <v/>
      </c>
      <c r="N823" s="33">
        <f>IF($D823="","",IFERROR(IF(INDEX(RUNS!$G$6:$G$1005,MATCH($D823,RUNS!$A$6:$A$1005,0))="","",INDEX(RUNS!$G$6:$G$1005,MATCH($D823,RUNS!$A$6:$A$1005,0))),""))</f>
        <v/>
      </c>
      <c r="O823" s="33">
        <f>IF($D823="","",IFERROR(IF(INDEX(RUNS!$H$6:$H$1005,MATCH($D823,RUNS!$A$6:$A$1005,0))="","",INDEX(RUNS!$H$6:$H$1005,MATCH($D823,RUNS!$A$6:$A$1005,0))),""))</f>
        <v/>
      </c>
      <c r="P823" s="33">
        <f>IF($D823="","",IFERROR(IF(INDEX(RUNS!$J$6:$J$1005,MATCH($D823,RUNS!$A$6:$A$1005,0))="","",INDEX(RUNS!$J$6:$J$1005,MATCH($D823,RUNS!$A$6:$A$1005,0))),""))</f>
        <v/>
      </c>
      <c r="Q823" s="33">
        <f>IF($D823="","",IFERROR(IF(INDEX(RUNS!$K$6:$K$1005,MATCH($D823,RUNS!$A$6:$A$1005,0))="","",INDEX(RUNS!$K$6:$K$1005,MATCH($D823,RUNS!$A$6:$A$1005,0))),""))</f>
        <v/>
      </c>
      <c r="R823" s="34">
        <f>IF(OR($L823="",$K823=""),"",IFERROR(IF(INDEX(PARAMETRES!$H$43:$H$342,MATCH($L823&amp;"|"&amp;$M823&amp;"|"&amp;$N823&amp;"|"&amp;$O823&amp;"|"&amp;$P823&amp;"|"&amp;$Q823&amp;"|"&amp;$K823,PARAMETRES!$J$43:$J$342,0))="","",INDEX(PARAMETRES!$H$43:$H$342,MATCH($L823&amp;"|"&amp;$M823&amp;"|"&amp;$N823&amp;"|"&amp;$O823&amp;"|"&amp;$P823&amp;"|"&amp;$Q823&amp;"|"&amp;$K823,PARAMETRES!$J$43:$J$342,0))),""))</f>
        <v/>
      </c>
      <c r="S823" s="35">
        <f>IF(OR($G823="",$X823&lt;&gt;"VALIDE"),"",IFERROR(LOOKUP(2,1/(($B$3:$B822=$B823)*($G$3:$G822=$G823)*($X$3:$X822="VALIDE")),$C$3:$C822),""))</f>
        <v/>
      </c>
      <c r="T823" s="36">
        <f>IF(OR($C823="",$S823=""),"",ROUND(($C823-$S823+IF($C823&lt;$S823,1,0))*1440,0))</f>
        <v/>
      </c>
      <c r="U823" s="22">
        <f>IF(OR($H823="",$T823="",$T823&lt;=0),"",$H823*60/$T823)</f>
        <v/>
      </c>
      <c r="V823" s="37">
        <f>IF(OR($U823="",$R823="",$R823=0),"",$U823/$R823)</f>
        <v/>
      </c>
      <c r="W823" s="20">
        <f>IF($G823="","",IF($X823="CONTEXTE INCOMPLET","CONTEXTE INCOMPLET",IF($X823="DOUBLON",StatutDoublon,IF($S823="",StatutInitial,IF($R823="",StatutStandardManquant,IF($V823="","DONNEES INSUFFISANTES",IF($V823&gt;=SeuilConforme,StatutConforme,IF($V823&gt;=SeuilSurveiller,StatutSurveiller,StatutSousStandard))))))))</f>
        <v/>
      </c>
      <c r="X823" s="33">
        <f>IF($G823="","",IF(OR($D823="",$E823="",$F823=""),"CONTEXTE INCOMPLET",IF(COUNTIFS($D$3:$D822,$D823,$E$3:$E822,$E823,$F$3:$F822,$F823,$G$3:$G822,$G823)&gt;0,"DOUBLON","VALIDE")))</f>
        <v/>
      </c>
    </row>
    <row r="824" ht="15" customHeight="1">
      <c r="A824" s="12">
        <f>IF(OR($B824="",$G824=""),"",TEXT($B824,"YYYYMMDD")&amp;"-"&amp;SUBSTITUTE($E824," ","")&amp;"-"&amp;$F824&amp;"-"&amp;$G824)</f>
        <v/>
      </c>
      <c r="B824" s="15" t="n"/>
      <c r="C824" s="16" t="n"/>
      <c r="D824" s="10" t="n"/>
      <c r="E824" s="9" t="n"/>
      <c r="F824" s="9" t="n"/>
      <c r="G824" s="13" t="n"/>
      <c r="H824" s="21" t="n"/>
      <c r="I824" s="21" t="n"/>
      <c r="J824" s="17">
        <f>IF($G824="","",IFERROR(INDEX(NomsEmployes,MATCH($G824,MatriculesEmployes,0)),"MATRICULE INCONNU"))</f>
        <v/>
      </c>
      <c r="K824" s="33">
        <f>IF(OR($D824="",$F824=""),"",IFERROR(IF(INDEX(RUNS!$L$6:$S$1005,MATCH($D824,RUNS!$A$6:$A$1005,0),MATCH("ACTIVITÉ "&amp;$F824,RUNS!$L$5:$S$5,0))="","",INDEX(RUNS!$L$6:$S$1005,MATCH($D824,RUNS!$A$6:$A$1005,0),MATCH("ACTIVITÉ "&amp;$F824,RUNS!$L$5:$S$5,0))),""))</f>
        <v/>
      </c>
      <c r="L824" s="33">
        <f>IF($D824="","",IFERROR(IF(INDEX(RUNS!$E$6:$E$1005,MATCH($D824,RUNS!$A$6:$A$1005,0))="","",INDEX(RUNS!$E$6:$E$1005,MATCH($D824,RUNS!$A$6:$A$1005,0))),""))</f>
        <v/>
      </c>
      <c r="M824" s="33">
        <f>IF($D824="","",IFERROR(IF(INDEX(RUNS!$F$6:$F$1005,MATCH($D824,RUNS!$A$6:$A$1005,0))="","",INDEX(RUNS!$F$6:$F$1005,MATCH($D824,RUNS!$A$6:$A$1005,0))),""))</f>
        <v/>
      </c>
      <c r="N824" s="33">
        <f>IF($D824="","",IFERROR(IF(INDEX(RUNS!$G$6:$G$1005,MATCH($D824,RUNS!$A$6:$A$1005,0))="","",INDEX(RUNS!$G$6:$G$1005,MATCH($D824,RUNS!$A$6:$A$1005,0))),""))</f>
        <v/>
      </c>
      <c r="O824" s="33">
        <f>IF($D824="","",IFERROR(IF(INDEX(RUNS!$H$6:$H$1005,MATCH($D824,RUNS!$A$6:$A$1005,0))="","",INDEX(RUNS!$H$6:$H$1005,MATCH($D824,RUNS!$A$6:$A$1005,0))),""))</f>
        <v/>
      </c>
      <c r="P824" s="33">
        <f>IF($D824="","",IFERROR(IF(INDEX(RUNS!$J$6:$J$1005,MATCH($D824,RUNS!$A$6:$A$1005,0))="","",INDEX(RUNS!$J$6:$J$1005,MATCH($D824,RUNS!$A$6:$A$1005,0))),""))</f>
        <v/>
      </c>
      <c r="Q824" s="33">
        <f>IF($D824="","",IFERROR(IF(INDEX(RUNS!$K$6:$K$1005,MATCH($D824,RUNS!$A$6:$A$1005,0))="","",INDEX(RUNS!$K$6:$K$1005,MATCH($D824,RUNS!$A$6:$A$1005,0))),""))</f>
        <v/>
      </c>
      <c r="R824" s="34">
        <f>IF(OR($L824="",$K824=""),"",IFERROR(IF(INDEX(PARAMETRES!$H$43:$H$342,MATCH($L824&amp;"|"&amp;$M824&amp;"|"&amp;$N824&amp;"|"&amp;$O824&amp;"|"&amp;$P824&amp;"|"&amp;$Q824&amp;"|"&amp;$K824,PARAMETRES!$J$43:$J$342,0))="","",INDEX(PARAMETRES!$H$43:$H$342,MATCH($L824&amp;"|"&amp;$M824&amp;"|"&amp;$N824&amp;"|"&amp;$O824&amp;"|"&amp;$P824&amp;"|"&amp;$Q824&amp;"|"&amp;$K824,PARAMETRES!$J$43:$J$342,0))),""))</f>
        <v/>
      </c>
      <c r="S824" s="35">
        <f>IF(OR($G824="",$X824&lt;&gt;"VALIDE"),"",IFERROR(LOOKUP(2,1/(($B$3:$B823=$B824)*($G$3:$G823=$G824)*($X$3:$X823="VALIDE")),$C$3:$C823),""))</f>
        <v/>
      </c>
      <c r="T824" s="36">
        <f>IF(OR($C824="",$S824=""),"",ROUND(($C824-$S824+IF($C824&lt;$S824,1,0))*1440,0))</f>
        <v/>
      </c>
      <c r="U824" s="22">
        <f>IF(OR($H824="",$T824="",$T824&lt;=0),"",$H824*60/$T824)</f>
        <v/>
      </c>
      <c r="V824" s="37">
        <f>IF(OR($U824="",$R824="",$R824=0),"",$U824/$R824)</f>
        <v/>
      </c>
      <c r="W824" s="20">
        <f>IF($G824="","",IF($X824="CONTEXTE INCOMPLET","CONTEXTE INCOMPLET",IF($X824="DOUBLON",StatutDoublon,IF($S824="",StatutInitial,IF($R824="",StatutStandardManquant,IF($V824="","DONNEES INSUFFISANTES",IF($V824&gt;=SeuilConforme,StatutConforme,IF($V824&gt;=SeuilSurveiller,StatutSurveiller,StatutSousStandard))))))))</f>
        <v/>
      </c>
      <c r="X824" s="33">
        <f>IF($G824="","",IF(OR($D824="",$E824="",$F824=""),"CONTEXTE INCOMPLET",IF(COUNTIFS($D$3:$D823,$D824,$E$3:$E823,$E824,$F$3:$F823,$F824,$G$3:$G823,$G824)&gt;0,"DOUBLON","VALIDE")))</f>
        <v/>
      </c>
    </row>
    <row r="825" ht="15" customHeight="1">
      <c r="A825" s="12">
        <f>IF(OR($B825="",$G825=""),"",TEXT($B825,"YYYYMMDD")&amp;"-"&amp;SUBSTITUTE($E825," ","")&amp;"-"&amp;$F825&amp;"-"&amp;$G825)</f>
        <v/>
      </c>
      <c r="B825" s="15" t="n"/>
      <c r="C825" s="16" t="n"/>
      <c r="D825" s="10" t="n"/>
      <c r="E825" s="9" t="n"/>
      <c r="F825" s="9" t="n"/>
      <c r="G825" s="13" t="n"/>
      <c r="H825" s="21" t="n"/>
      <c r="I825" s="21" t="n"/>
      <c r="J825" s="17">
        <f>IF($G825="","",IFERROR(INDEX(NomsEmployes,MATCH($G825,MatriculesEmployes,0)),"MATRICULE INCONNU"))</f>
        <v/>
      </c>
      <c r="K825" s="33">
        <f>IF(OR($D825="",$F825=""),"",IFERROR(IF(INDEX(RUNS!$L$6:$S$1005,MATCH($D825,RUNS!$A$6:$A$1005,0),MATCH("ACTIVITÉ "&amp;$F825,RUNS!$L$5:$S$5,0))="","",INDEX(RUNS!$L$6:$S$1005,MATCH($D825,RUNS!$A$6:$A$1005,0),MATCH("ACTIVITÉ "&amp;$F825,RUNS!$L$5:$S$5,0))),""))</f>
        <v/>
      </c>
      <c r="L825" s="33">
        <f>IF($D825="","",IFERROR(IF(INDEX(RUNS!$E$6:$E$1005,MATCH($D825,RUNS!$A$6:$A$1005,0))="","",INDEX(RUNS!$E$6:$E$1005,MATCH($D825,RUNS!$A$6:$A$1005,0))),""))</f>
        <v/>
      </c>
      <c r="M825" s="33">
        <f>IF($D825="","",IFERROR(IF(INDEX(RUNS!$F$6:$F$1005,MATCH($D825,RUNS!$A$6:$A$1005,0))="","",INDEX(RUNS!$F$6:$F$1005,MATCH($D825,RUNS!$A$6:$A$1005,0))),""))</f>
        <v/>
      </c>
      <c r="N825" s="33">
        <f>IF($D825="","",IFERROR(IF(INDEX(RUNS!$G$6:$G$1005,MATCH($D825,RUNS!$A$6:$A$1005,0))="","",INDEX(RUNS!$G$6:$G$1005,MATCH($D825,RUNS!$A$6:$A$1005,0))),""))</f>
        <v/>
      </c>
      <c r="O825" s="33">
        <f>IF($D825="","",IFERROR(IF(INDEX(RUNS!$H$6:$H$1005,MATCH($D825,RUNS!$A$6:$A$1005,0))="","",INDEX(RUNS!$H$6:$H$1005,MATCH($D825,RUNS!$A$6:$A$1005,0))),""))</f>
        <v/>
      </c>
      <c r="P825" s="33">
        <f>IF($D825="","",IFERROR(IF(INDEX(RUNS!$J$6:$J$1005,MATCH($D825,RUNS!$A$6:$A$1005,0))="","",INDEX(RUNS!$J$6:$J$1005,MATCH($D825,RUNS!$A$6:$A$1005,0))),""))</f>
        <v/>
      </c>
      <c r="Q825" s="33">
        <f>IF($D825="","",IFERROR(IF(INDEX(RUNS!$K$6:$K$1005,MATCH($D825,RUNS!$A$6:$A$1005,0))="","",INDEX(RUNS!$K$6:$K$1005,MATCH($D825,RUNS!$A$6:$A$1005,0))),""))</f>
        <v/>
      </c>
      <c r="R825" s="34">
        <f>IF(OR($L825="",$K825=""),"",IFERROR(IF(INDEX(PARAMETRES!$H$43:$H$342,MATCH($L825&amp;"|"&amp;$M825&amp;"|"&amp;$N825&amp;"|"&amp;$O825&amp;"|"&amp;$P825&amp;"|"&amp;$Q825&amp;"|"&amp;$K825,PARAMETRES!$J$43:$J$342,0))="","",INDEX(PARAMETRES!$H$43:$H$342,MATCH($L825&amp;"|"&amp;$M825&amp;"|"&amp;$N825&amp;"|"&amp;$O825&amp;"|"&amp;$P825&amp;"|"&amp;$Q825&amp;"|"&amp;$K825,PARAMETRES!$J$43:$J$342,0))),""))</f>
        <v/>
      </c>
      <c r="S825" s="35">
        <f>IF(OR($G825="",$X825&lt;&gt;"VALIDE"),"",IFERROR(LOOKUP(2,1/(($B$3:$B824=$B825)*($G$3:$G824=$G825)*($X$3:$X824="VALIDE")),$C$3:$C824),""))</f>
        <v/>
      </c>
      <c r="T825" s="36">
        <f>IF(OR($C825="",$S825=""),"",ROUND(($C825-$S825+IF($C825&lt;$S825,1,0))*1440,0))</f>
        <v/>
      </c>
      <c r="U825" s="22">
        <f>IF(OR($H825="",$T825="",$T825&lt;=0),"",$H825*60/$T825)</f>
        <v/>
      </c>
      <c r="V825" s="37">
        <f>IF(OR($U825="",$R825="",$R825=0),"",$U825/$R825)</f>
        <v/>
      </c>
      <c r="W825" s="20">
        <f>IF($G825="","",IF($X825="CONTEXTE INCOMPLET","CONTEXTE INCOMPLET",IF($X825="DOUBLON",StatutDoublon,IF($S825="",StatutInitial,IF($R825="",StatutStandardManquant,IF($V825="","DONNEES INSUFFISANTES",IF($V825&gt;=SeuilConforme,StatutConforme,IF($V825&gt;=SeuilSurveiller,StatutSurveiller,StatutSousStandard))))))))</f>
        <v/>
      </c>
      <c r="X825" s="33">
        <f>IF($G825="","",IF(OR($D825="",$E825="",$F825=""),"CONTEXTE INCOMPLET",IF(COUNTIFS($D$3:$D824,$D825,$E$3:$E824,$E825,$F$3:$F824,$F825,$G$3:$G824,$G825)&gt;0,"DOUBLON","VALIDE")))</f>
        <v/>
      </c>
    </row>
    <row r="826" ht="15" customHeight="1">
      <c r="A826" s="12">
        <f>IF(OR($B826="",$G826=""),"",TEXT($B826,"YYYYMMDD")&amp;"-"&amp;SUBSTITUTE($E826," ","")&amp;"-"&amp;$F826&amp;"-"&amp;$G826)</f>
        <v/>
      </c>
      <c r="B826" s="15" t="n"/>
      <c r="C826" s="16" t="n"/>
      <c r="D826" s="10" t="n"/>
      <c r="E826" s="9" t="n"/>
      <c r="F826" s="9" t="n"/>
      <c r="G826" s="13" t="n"/>
      <c r="H826" s="21" t="n"/>
      <c r="I826" s="21" t="n"/>
      <c r="J826" s="17">
        <f>IF($G826="","",IFERROR(INDEX(NomsEmployes,MATCH($G826,MatriculesEmployes,0)),"MATRICULE INCONNU"))</f>
        <v/>
      </c>
      <c r="K826" s="33">
        <f>IF(OR($D826="",$F826=""),"",IFERROR(IF(INDEX(RUNS!$L$6:$S$1005,MATCH($D826,RUNS!$A$6:$A$1005,0),MATCH("ACTIVITÉ "&amp;$F826,RUNS!$L$5:$S$5,0))="","",INDEX(RUNS!$L$6:$S$1005,MATCH($D826,RUNS!$A$6:$A$1005,0),MATCH("ACTIVITÉ "&amp;$F826,RUNS!$L$5:$S$5,0))),""))</f>
        <v/>
      </c>
      <c r="L826" s="33">
        <f>IF($D826="","",IFERROR(IF(INDEX(RUNS!$E$6:$E$1005,MATCH($D826,RUNS!$A$6:$A$1005,0))="","",INDEX(RUNS!$E$6:$E$1005,MATCH($D826,RUNS!$A$6:$A$1005,0))),""))</f>
        <v/>
      </c>
      <c r="M826" s="33">
        <f>IF($D826="","",IFERROR(IF(INDEX(RUNS!$F$6:$F$1005,MATCH($D826,RUNS!$A$6:$A$1005,0))="","",INDEX(RUNS!$F$6:$F$1005,MATCH($D826,RUNS!$A$6:$A$1005,0))),""))</f>
        <v/>
      </c>
      <c r="N826" s="33">
        <f>IF($D826="","",IFERROR(IF(INDEX(RUNS!$G$6:$G$1005,MATCH($D826,RUNS!$A$6:$A$1005,0))="","",INDEX(RUNS!$G$6:$G$1005,MATCH($D826,RUNS!$A$6:$A$1005,0))),""))</f>
        <v/>
      </c>
      <c r="O826" s="33">
        <f>IF($D826="","",IFERROR(IF(INDEX(RUNS!$H$6:$H$1005,MATCH($D826,RUNS!$A$6:$A$1005,0))="","",INDEX(RUNS!$H$6:$H$1005,MATCH($D826,RUNS!$A$6:$A$1005,0))),""))</f>
        <v/>
      </c>
      <c r="P826" s="33">
        <f>IF($D826="","",IFERROR(IF(INDEX(RUNS!$J$6:$J$1005,MATCH($D826,RUNS!$A$6:$A$1005,0))="","",INDEX(RUNS!$J$6:$J$1005,MATCH($D826,RUNS!$A$6:$A$1005,0))),""))</f>
        <v/>
      </c>
      <c r="Q826" s="33">
        <f>IF($D826="","",IFERROR(IF(INDEX(RUNS!$K$6:$K$1005,MATCH($D826,RUNS!$A$6:$A$1005,0))="","",INDEX(RUNS!$K$6:$K$1005,MATCH($D826,RUNS!$A$6:$A$1005,0))),""))</f>
        <v/>
      </c>
      <c r="R826" s="34">
        <f>IF(OR($L826="",$K826=""),"",IFERROR(IF(INDEX(PARAMETRES!$H$43:$H$342,MATCH($L826&amp;"|"&amp;$M826&amp;"|"&amp;$N826&amp;"|"&amp;$O826&amp;"|"&amp;$P826&amp;"|"&amp;$Q826&amp;"|"&amp;$K826,PARAMETRES!$J$43:$J$342,0))="","",INDEX(PARAMETRES!$H$43:$H$342,MATCH($L826&amp;"|"&amp;$M826&amp;"|"&amp;$N826&amp;"|"&amp;$O826&amp;"|"&amp;$P826&amp;"|"&amp;$Q826&amp;"|"&amp;$K826,PARAMETRES!$J$43:$J$342,0))),""))</f>
        <v/>
      </c>
      <c r="S826" s="35">
        <f>IF(OR($G826="",$X826&lt;&gt;"VALIDE"),"",IFERROR(LOOKUP(2,1/(($B$3:$B825=$B826)*($G$3:$G825=$G826)*($X$3:$X825="VALIDE")),$C$3:$C825),""))</f>
        <v/>
      </c>
      <c r="T826" s="36">
        <f>IF(OR($C826="",$S826=""),"",ROUND(($C826-$S826+IF($C826&lt;$S826,1,0))*1440,0))</f>
        <v/>
      </c>
      <c r="U826" s="22">
        <f>IF(OR($H826="",$T826="",$T826&lt;=0),"",$H826*60/$T826)</f>
        <v/>
      </c>
      <c r="V826" s="37">
        <f>IF(OR($U826="",$R826="",$R826=0),"",$U826/$R826)</f>
        <v/>
      </c>
      <c r="W826" s="20">
        <f>IF($G826="","",IF($X826="CONTEXTE INCOMPLET","CONTEXTE INCOMPLET",IF($X826="DOUBLON",StatutDoublon,IF($S826="",StatutInitial,IF($R826="",StatutStandardManquant,IF($V826="","DONNEES INSUFFISANTES",IF($V826&gt;=SeuilConforme,StatutConforme,IF($V826&gt;=SeuilSurveiller,StatutSurveiller,StatutSousStandard))))))))</f>
        <v/>
      </c>
      <c r="X826" s="33">
        <f>IF($G826="","",IF(OR($D826="",$E826="",$F826=""),"CONTEXTE INCOMPLET",IF(COUNTIFS($D$3:$D825,$D826,$E$3:$E825,$E826,$F$3:$F825,$F826,$G$3:$G825,$G826)&gt;0,"DOUBLON","VALIDE")))</f>
        <v/>
      </c>
    </row>
    <row r="827" ht="15" customHeight="1">
      <c r="A827" s="12">
        <f>IF(OR($B827="",$G827=""),"",TEXT($B827,"YYYYMMDD")&amp;"-"&amp;SUBSTITUTE($E827," ","")&amp;"-"&amp;$F827&amp;"-"&amp;$G827)</f>
        <v/>
      </c>
      <c r="B827" s="15" t="n"/>
      <c r="C827" s="16" t="n"/>
      <c r="D827" s="10" t="n"/>
      <c r="E827" s="9" t="n"/>
      <c r="F827" s="9" t="n"/>
      <c r="G827" s="13" t="n"/>
      <c r="H827" s="21" t="n"/>
      <c r="I827" s="21" t="n"/>
      <c r="J827" s="17">
        <f>IF($G827="","",IFERROR(INDEX(NomsEmployes,MATCH($G827,MatriculesEmployes,0)),"MATRICULE INCONNU"))</f>
        <v/>
      </c>
      <c r="K827" s="33">
        <f>IF(OR($D827="",$F827=""),"",IFERROR(IF(INDEX(RUNS!$L$6:$S$1005,MATCH($D827,RUNS!$A$6:$A$1005,0),MATCH("ACTIVITÉ "&amp;$F827,RUNS!$L$5:$S$5,0))="","",INDEX(RUNS!$L$6:$S$1005,MATCH($D827,RUNS!$A$6:$A$1005,0),MATCH("ACTIVITÉ "&amp;$F827,RUNS!$L$5:$S$5,0))),""))</f>
        <v/>
      </c>
      <c r="L827" s="33">
        <f>IF($D827="","",IFERROR(IF(INDEX(RUNS!$E$6:$E$1005,MATCH($D827,RUNS!$A$6:$A$1005,0))="","",INDEX(RUNS!$E$6:$E$1005,MATCH($D827,RUNS!$A$6:$A$1005,0))),""))</f>
        <v/>
      </c>
      <c r="M827" s="33">
        <f>IF($D827="","",IFERROR(IF(INDEX(RUNS!$F$6:$F$1005,MATCH($D827,RUNS!$A$6:$A$1005,0))="","",INDEX(RUNS!$F$6:$F$1005,MATCH($D827,RUNS!$A$6:$A$1005,0))),""))</f>
        <v/>
      </c>
      <c r="N827" s="33">
        <f>IF($D827="","",IFERROR(IF(INDEX(RUNS!$G$6:$G$1005,MATCH($D827,RUNS!$A$6:$A$1005,0))="","",INDEX(RUNS!$G$6:$G$1005,MATCH($D827,RUNS!$A$6:$A$1005,0))),""))</f>
        <v/>
      </c>
      <c r="O827" s="33">
        <f>IF($D827="","",IFERROR(IF(INDEX(RUNS!$H$6:$H$1005,MATCH($D827,RUNS!$A$6:$A$1005,0))="","",INDEX(RUNS!$H$6:$H$1005,MATCH($D827,RUNS!$A$6:$A$1005,0))),""))</f>
        <v/>
      </c>
      <c r="P827" s="33">
        <f>IF($D827="","",IFERROR(IF(INDEX(RUNS!$J$6:$J$1005,MATCH($D827,RUNS!$A$6:$A$1005,0))="","",INDEX(RUNS!$J$6:$J$1005,MATCH($D827,RUNS!$A$6:$A$1005,0))),""))</f>
        <v/>
      </c>
      <c r="Q827" s="33">
        <f>IF($D827="","",IFERROR(IF(INDEX(RUNS!$K$6:$K$1005,MATCH($D827,RUNS!$A$6:$A$1005,0))="","",INDEX(RUNS!$K$6:$K$1005,MATCH($D827,RUNS!$A$6:$A$1005,0))),""))</f>
        <v/>
      </c>
      <c r="R827" s="34">
        <f>IF(OR($L827="",$K827=""),"",IFERROR(IF(INDEX(PARAMETRES!$H$43:$H$342,MATCH($L827&amp;"|"&amp;$M827&amp;"|"&amp;$N827&amp;"|"&amp;$O827&amp;"|"&amp;$P827&amp;"|"&amp;$Q827&amp;"|"&amp;$K827,PARAMETRES!$J$43:$J$342,0))="","",INDEX(PARAMETRES!$H$43:$H$342,MATCH($L827&amp;"|"&amp;$M827&amp;"|"&amp;$N827&amp;"|"&amp;$O827&amp;"|"&amp;$P827&amp;"|"&amp;$Q827&amp;"|"&amp;$K827,PARAMETRES!$J$43:$J$342,0))),""))</f>
        <v/>
      </c>
      <c r="S827" s="35">
        <f>IF(OR($G827="",$X827&lt;&gt;"VALIDE"),"",IFERROR(LOOKUP(2,1/(($B$3:$B826=$B827)*($G$3:$G826=$G827)*($X$3:$X826="VALIDE")),$C$3:$C826),""))</f>
        <v/>
      </c>
      <c r="T827" s="36">
        <f>IF(OR($C827="",$S827=""),"",ROUND(($C827-$S827+IF($C827&lt;$S827,1,0))*1440,0))</f>
        <v/>
      </c>
      <c r="U827" s="22">
        <f>IF(OR($H827="",$T827="",$T827&lt;=0),"",$H827*60/$T827)</f>
        <v/>
      </c>
      <c r="V827" s="37">
        <f>IF(OR($U827="",$R827="",$R827=0),"",$U827/$R827)</f>
        <v/>
      </c>
      <c r="W827" s="20">
        <f>IF($G827="","",IF($X827="CONTEXTE INCOMPLET","CONTEXTE INCOMPLET",IF($X827="DOUBLON",StatutDoublon,IF($S827="",StatutInitial,IF($R827="",StatutStandardManquant,IF($V827="","DONNEES INSUFFISANTES",IF($V827&gt;=SeuilConforme,StatutConforme,IF($V827&gt;=SeuilSurveiller,StatutSurveiller,StatutSousStandard))))))))</f>
        <v/>
      </c>
      <c r="X827" s="33">
        <f>IF($G827="","",IF(OR($D827="",$E827="",$F827=""),"CONTEXTE INCOMPLET",IF(COUNTIFS($D$3:$D826,$D827,$E$3:$E826,$E827,$F$3:$F826,$F827,$G$3:$G826,$G827)&gt;0,"DOUBLON","VALIDE")))</f>
        <v/>
      </c>
    </row>
    <row r="828" ht="15" customHeight="1">
      <c r="A828" s="12">
        <f>IF(OR($B828="",$G828=""),"",TEXT($B828,"YYYYMMDD")&amp;"-"&amp;SUBSTITUTE($E828," ","")&amp;"-"&amp;$F828&amp;"-"&amp;$G828)</f>
        <v/>
      </c>
      <c r="B828" s="15" t="n"/>
      <c r="C828" s="16" t="n"/>
      <c r="D828" s="10" t="n"/>
      <c r="E828" s="9" t="n"/>
      <c r="F828" s="9" t="n"/>
      <c r="G828" s="13" t="n"/>
      <c r="H828" s="21" t="n"/>
      <c r="I828" s="21" t="n"/>
      <c r="J828" s="17">
        <f>IF($G828="","",IFERROR(INDEX(NomsEmployes,MATCH($G828,MatriculesEmployes,0)),"MATRICULE INCONNU"))</f>
        <v/>
      </c>
      <c r="K828" s="33">
        <f>IF(OR($D828="",$F828=""),"",IFERROR(IF(INDEX(RUNS!$L$6:$S$1005,MATCH($D828,RUNS!$A$6:$A$1005,0),MATCH("ACTIVITÉ "&amp;$F828,RUNS!$L$5:$S$5,0))="","",INDEX(RUNS!$L$6:$S$1005,MATCH($D828,RUNS!$A$6:$A$1005,0),MATCH("ACTIVITÉ "&amp;$F828,RUNS!$L$5:$S$5,0))),""))</f>
        <v/>
      </c>
      <c r="L828" s="33">
        <f>IF($D828="","",IFERROR(IF(INDEX(RUNS!$E$6:$E$1005,MATCH($D828,RUNS!$A$6:$A$1005,0))="","",INDEX(RUNS!$E$6:$E$1005,MATCH($D828,RUNS!$A$6:$A$1005,0))),""))</f>
        <v/>
      </c>
      <c r="M828" s="33">
        <f>IF($D828="","",IFERROR(IF(INDEX(RUNS!$F$6:$F$1005,MATCH($D828,RUNS!$A$6:$A$1005,0))="","",INDEX(RUNS!$F$6:$F$1005,MATCH($D828,RUNS!$A$6:$A$1005,0))),""))</f>
        <v/>
      </c>
      <c r="N828" s="33">
        <f>IF($D828="","",IFERROR(IF(INDEX(RUNS!$G$6:$G$1005,MATCH($D828,RUNS!$A$6:$A$1005,0))="","",INDEX(RUNS!$G$6:$G$1005,MATCH($D828,RUNS!$A$6:$A$1005,0))),""))</f>
        <v/>
      </c>
      <c r="O828" s="33">
        <f>IF($D828="","",IFERROR(IF(INDEX(RUNS!$H$6:$H$1005,MATCH($D828,RUNS!$A$6:$A$1005,0))="","",INDEX(RUNS!$H$6:$H$1005,MATCH($D828,RUNS!$A$6:$A$1005,0))),""))</f>
        <v/>
      </c>
      <c r="P828" s="33">
        <f>IF($D828="","",IFERROR(IF(INDEX(RUNS!$J$6:$J$1005,MATCH($D828,RUNS!$A$6:$A$1005,0))="","",INDEX(RUNS!$J$6:$J$1005,MATCH($D828,RUNS!$A$6:$A$1005,0))),""))</f>
        <v/>
      </c>
      <c r="Q828" s="33">
        <f>IF($D828="","",IFERROR(IF(INDEX(RUNS!$K$6:$K$1005,MATCH($D828,RUNS!$A$6:$A$1005,0))="","",INDEX(RUNS!$K$6:$K$1005,MATCH($D828,RUNS!$A$6:$A$1005,0))),""))</f>
        <v/>
      </c>
      <c r="R828" s="34">
        <f>IF(OR($L828="",$K828=""),"",IFERROR(IF(INDEX(PARAMETRES!$H$43:$H$342,MATCH($L828&amp;"|"&amp;$M828&amp;"|"&amp;$N828&amp;"|"&amp;$O828&amp;"|"&amp;$P828&amp;"|"&amp;$Q828&amp;"|"&amp;$K828,PARAMETRES!$J$43:$J$342,0))="","",INDEX(PARAMETRES!$H$43:$H$342,MATCH($L828&amp;"|"&amp;$M828&amp;"|"&amp;$N828&amp;"|"&amp;$O828&amp;"|"&amp;$P828&amp;"|"&amp;$Q828&amp;"|"&amp;$K828,PARAMETRES!$J$43:$J$342,0))),""))</f>
        <v/>
      </c>
      <c r="S828" s="35">
        <f>IF(OR($G828="",$X828&lt;&gt;"VALIDE"),"",IFERROR(LOOKUP(2,1/(($B$3:$B827=$B828)*($G$3:$G827=$G828)*($X$3:$X827="VALIDE")),$C$3:$C827),""))</f>
        <v/>
      </c>
      <c r="T828" s="36">
        <f>IF(OR($C828="",$S828=""),"",ROUND(($C828-$S828+IF($C828&lt;$S828,1,0))*1440,0))</f>
        <v/>
      </c>
      <c r="U828" s="22">
        <f>IF(OR($H828="",$T828="",$T828&lt;=0),"",$H828*60/$T828)</f>
        <v/>
      </c>
      <c r="V828" s="37">
        <f>IF(OR($U828="",$R828="",$R828=0),"",$U828/$R828)</f>
        <v/>
      </c>
      <c r="W828" s="20">
        <f>IF($G828="","",IF($X828="CONTEXTE INCOMPLET","CONTEXTE INCOMPLET",IF($X828="DOUBLON",StatutDoublon,IF($S828="",StatutInitial,IF($R828="",StatutStandardManquant,IF($V828="","DONNEES INSUFFISANTES",IF($V828&gt;=SeuilConforme,StatutConforme,IF($V828&gt;=SeuilSurveiller,StatutSurveiller,StatutSousStandard))))))))</f>
        <v/>
      </c>
      <c r="X828" s="33">
        <f>IF($G828="","",IF(OR($D828="",$E828="",$F828=""),"CONTEXTE INCOMPLET",IF(COUNTIFS($D$3:$D827,$D828,$E$3:$E827,$E828,$F$3:$F827,$F828,$G$3:$G827,$G828)&gt;0,"DOUBLON","VALIDE")))</f>
        <v/>
      </c>
    </row>
    <row r="829" ht="15" customHeight="1">
      <c r="A829" s="12">
        <f>IF(OR($B829="",$G829=""),"",TEXT($B829,"YYYYMMDD")&amp;"-"&amp;SUBSTITUTE($E829," ","")&amp;"-"&amp;$F829&amp;"-"&amp;$G829)</f>
        <v/>
      </c>
      <c r="B829" s="15" t="n"/>
      <c r="C829" s="16" t="n"/>
      <c r="D829" s="10" t="n"/>
      <c r="E829" s="9" t="n"/>
      <c r="F829" s="9" t="n"/>
      <c r="G829" s="13" t="n"/>
      <c r="H829" s="21" t="n"/>
      <c r="I829" s="21" t="n"/>
      <c r="J829" s="17">
        <f>IF($G829="","",IFERROR(INDEX(NomsEmployes,MATCH($G829,MatriculesEmployes,0)),"MATRICULE INCONNU"))</f>
        <v/>
      </c>
      <c r="K829" s="33">
        <f>IF(OR($D829="",$F829=""),"",IFERROR(IF(INDEX(RUNS!$L$6:$S$1005,MATCH($D829,RUNS!$A$6:$A$1005,0),MATCH("ACTIVITÉ "&amp;$F829,RUNS!$L$5:$S$5,0))="","",INDEX(RUNS!$L$6:$S$1005,MATCH($D829,RUNS!$A$6:$A$1005,0),MATCH("ACTIVITÉ "&amp;$F829,RUNS!$L$5:$S$5,0))),""))</f>
        <v/>
      </c>
      <c r="L829" s="33">
        <f>IF($D829="","",IFERROR(IF(INDEX(RUNS!$E$6:$E$1005,MATCH($D829,RUNS!$A$6:$A$1005,0))="","",INDEX(RUNS!$E$6:$E$1005,MATCH($D829,RUNS!$A$6:$A$1005,0))),""))</f>
        <v/>
      </c>
      <c r="M829" s="33">
        <f>IF($D829="","",IFERROR(IF(INDEX(RUNS!$F$6:$F$1005,MATCH($D829,RUNS!$A$6:$A$1005,0))="","",INDEX(RUNS!$F$6:$F$1005,MATCH($D829,RUNS!$A$6:$A$1005,0))),""))</f>
        <v/>
      </c>
      <c r="N829" s="33">
        <f>IF($D829="","",IFERROR(IF(INDEX(RUNS!$G$6:$G$1005,MATCH($D829,RUNS!$A$6:$A$1005,0))="","",INDEX(RUNS!$G$6:$G$1005,MATCH($D829,RUNS!$A$6:$A$1005,0))),""))</f>
        <v/>
      </c>
      <c r="O829" s="33">
        <f>IF($D829="","",IFERROR(IF(INDEX(RUNS!$H$6:$H$1005,MATCH($D829,RUNS!$A$6:$A$1005,0))="","",INDEX(RUNS!$H$6:$H$1005,MATCH($D829,RUNS!$A$6:$A$1005,0))),""))</f>
        <v/>
      </c>
      <c r="P829" s="33">
        <f>IF($D829="","",IFERROR(IF(INDEX(RUNS!$J$6:$J$1005,MATCH($D829,RUNS!$A$6:$A$1005,0))="","",INDEX(RUNS!$J$6:$J$1005,MATCH($D829,RUNS!$A$6:$A$1005,0))),""))</f>
        <v/>
      </c>
      <c r="Q829" s="33">
        <f>IF($D829="","",IFERROR(IF(INDEX(RUNS!$K$6:$K$1005,MATCH($D829,RUNS!$A$6:$A$1005,0))="","",INDEX(RUNS!$K$6:$K$1005,MATCH($D829,RUNS!$A$6:$A$1005,0))),""))</f>
        <v/>
      </c>
      <c r="R829" s="34">
        <f>IF(OR($L829="",$K829=""),"",IFERROR(IF(INDEX(PARAMETRES!$H$43:$H$342,MATCH($L829&amp;"|"&amp;$M829&amp;"|"&amp;$N829&amp;"|"&amp;$O829&amp;"|"&amp;$P829&amp;"|"&amp;$Q829&amp;"|"&amp;$K829,PARAMETRES!$J$43:$J$342,0))="","",INDEX(PARAMETRES!$H$43:$H$342,MATCH($L829&amp;"|"&amp;$M829&amp;"|"&amp;$N829&amp;"|"&amp;$O829&amp;"|"&amp;$P829&amp;"|"&amp;$Q829&amp;"|"&amp;$K829,PARAMETRES!$J$43:$J$342,0))),""))</f>
        <v/>
      </c>
      <c r="S829" s="35">
        <f>IF(OR($G829="",$X829&lt;&gt;"VALIDE"),"",IFERROR(LOOKUP(2,1/(($B$3:$B828=$B829)*($G$3:$G828=$G829)*($X$3:$X828="VALIDE")),$C$3:$C828),""))</f>
        <v/>
      </c>
      <c r="T829" s="36">
        <f>IF(OR($C829="",$S829=""),"",ROUND(($C829-$S829+IF($C829&lt;$S829,1,0))*1440,0))</f>
        <v/>
      </c>
      <c r="U829" s="22">
        <f>IF(OR($H829="",$T829="",$T829&lt;=0),"",$H829*60/$T829)</f>
        <v/>
      </c>
      <c r="V829" s="37">
        <f>IF(OR($U829="",$R829="",$R829=0),"",$U829/$R829)</f>
        <v/>
      </c>
      <c r="W829" s="20">
        <f>IF($G829="","",IF($X829="CONTEXTE INCOMPLET","CONTEXTE INCOMPLET",IF($X829="DOUBLON",StatutDoublon,IF($S829="",StatutInitial,IF($R829="",StatutStandardManquant,IF($V829="","DONNEES INSUFFISANTES",IF($V829&gt;=SeuilConforme,StatutConforme,IF($V829&gt;=SeuilSurveiller,StatutSurveiller,StatutSousStandard))))))))</f>
        <v/>
      </c>
      <c r="X829" s="33">
        <f>IF($G829="","",IF(OR($D829="",$E829="",$F829=""),"CONTEXTE INCOMPLET",IF(COUNTIFS($D$3:$D828,$D829,$E$3:$E828,$E829,$F$3:$F828,$F829,$G$3:$G828,$G829)&gt;0,"DOUBLON","VALIDE")))</f>
        <v/>
      </c>
    </row>
    <row r="830" ht="15" customHeight="1">
      <c r="A830" s="12">
        <f>IF(OR($B830="",$G830=""),"",TEXT($B830,"YYYYMMDD")&amp;"-"&amp;SUBSTITUTE($E830," ","")&amp;"-"&amp;$F830&amp;"-"&amp;$G830)</f>
        <v/>
      </c>
      <c r="B830" s="15" t="n"/>
      <c r="C830" s="16" t="n"/>
      <c r="D830" s="10" t="n"/>
      <c r="E830" s="9" t="n"/>
      <c r="F830" s="9" t="n"/>
      <c r="G830" s="13" t="n"/>
      <c r="H830" s="21" t="n"/>
      <c r="I830" s="21" t="n"/>
      <c r="J830" s="17">
        <f>IF($G830="","",IFERROR(INDEX(NomsEmployes,MATCH($G830,MatriculesEmployes,0)),"MATRICULE INCONNU"))</f>
        <v/>
      </c>
      <c r="K830" s="33">
        <f>IF(OR($D830="",$F830=""),"",IFERROR(IF(INDEX(RUNS!$L$6:$S$1005,MATCH($D830,RUNS!$A$6:$A$1005,0),MATCH("ACTIVITÉ "&amp;$F830,RUNS!$L$5:$S$5,0))="","",INDEX(RUNS!$L$6:$S$1005,MATCH($D830,RUNS!$A$6:$A$1005,0),MATCH("ACTIVITÉ "&amp;$F830,RUNS!$L$5:$S$5,0))),""))</f>
        <v/>
      </c>
      <c r="L830" s="33">
        <f>IF($D830="","",IFERROR(IF(INDEX(RUNS!$E$6:$E$1005,MATCH($D830,RUNS!$A$6:$A$1005,0))="","",INDEX(RUNS!$E$6:$E$1005,MATCH($D830,RUNS!$A$6:$A$1005,0))),""))</f>
        <v/>
      </c>
      <c r="M830" s="33">
        <f>IF($D830="","",IFERROR(IF(INDEX(RUNS!$F$6:$F$1005,MATCH($D830,RUNS!$A$6:$A$1005,0))="","",INDEX(RUNS!$F$6:$F$1005,MATCH($D830,RUNS!$A$6:$A$1005,0))),""))</f>
        <v/>
      </c>
      <c r="N830" s="33">
        <f>IF($D830="","",IFERROR(IF(INDEX(RUNS!$G$6:$G$1005,MATCH($D830,RUNS!$A$6:$A$1005,0))="","",INDEX(RUNS!$G$6:$G$1005,MATCH($D830,RUNS!$A$6:$A$1005,0))),""))</f>
        <v/>
      </c>
      <c r="O830" s="33">
        <f>IF($D830="","",IFERROR(IF(INDEX(RUNS!$H$6:$H$1005,MATCH($D830,RUNS!$A$6:$A$1005,0))="","",INDEX(RUNS!$H$6:$H$1005,MATCH($D830,RUNS!$A$6:$A$1005,0))),""))</f>
        <v/>
      </c>
      <c r="P830" s="33">
        <f>IF($D830="","",IFERROR(IF(INDEX(RUNS!$J$6:$J$1005,MATCH($D830,RUNS!$A$6:$A$1005,0))="","",INDEX(RUNS!$J$6:$J$1005,MATCH($D830,RUNS!$A$6:$A$1005,0))),""))</f>
        <v/>
      </c>
      <c r="Q830" s="33">
        <f>IF($D830="","",IFERROR(IF(INDEX(RUNS!$K$6:$K$1005,MATCH($D830,RUNS!$A$6:$A$1005,0))="","",INDEX(RUNS!$K$6:$K$1005,MATCH($D830,RUNS!$A$6:$A$1005,0))),""))</f>
        <v/>
      </c>
      <c r="R830" s="34">
        <f>IF(OR($L830="",$K830=""),"",IFERROR(IF(INDEX(PARAMETRES!$H$43:$H$342,MATCH($L830&amp;"|"&amp;$M830&amp;"|"&amp;$N830&amp;"|"&amp;$O830&amp;"|"&amp;$P830&amp;"|"&amp;$Q830&amp;"|"&amp;$K830,PARAMETRES!$J$43:$J$342,0))="","",INDEX(PARAMETRES!$H$43:$H$342,MATCH($L830&amp;"|"&amp;$M830&amp;"|"&amp;$N830&amp;"|"&amp;$O830&amp;"|"&amp;$P830&amp;"|"&amp;$Q830&amp;"|"&amp;$K830,PARAMETRES!$J$43:$J$342,0))),""))</f>
        <v/>
      </c>
      <c r="S830" s="35">
        <f>IF(OR($G830="",$X830&lt;&gt;"VALIDE"),"",IFERROR(LOOKUP(2,1/(($B$3:$B829=$B830)*($G$3:$G829=$G830)*($X$3:$X829="VALIDE")),$C$3:$C829),""))</f>
        <v/>
      </c>
      <c r="T830" s="36">
        <f>IF(OR($C830="",$S830=""),"",ROUND(($C830-$S830+IF($C830&lt;$S830,1,0))*1440,0))</f>
        <v/>
      </c>
      <c r="U830" s="22">
        <f>IF(OR($H830="",$T830="",$T830&lt;=0),"",$H830*60/$T830)</f>
        <v/>
      </c>
      <c r="V830" s="37">
        <f>IF(OR($U830="",$R830="",$R830=0),"",$U830/$R830)</f>
        <v/>
      </c>
      <c r="W830" s="20">
        <f>IF($G830="","",IF($X830="CONTEXTE INCOMPLET","CONTEXTE INCOMPLET",IF($X830="DOUBLON",StatutDoublon,IF($S830="",StatutInitial,IF($R830="",StatutStandardManquant,IF($V830="","DONNEES INSUFFISANTES",IF($V830&gt;=SeuilConforme,StatutConforme,IF($V830&gt;=SeuilSurveiller,StatutSurveiller,StatutSousStandard))))))))</f>
        <v/>
      </c>
      <c r="X830" s="33">
        <f>IF($G830="","",IF(OR($D830="",$E830="",$F830=""),"CONTEXTE INCOMPLET",IF(COUNTIFS($D$3:$D829,$D830,$E$3:$E829,$E830,$F$3:$F829,$F830,$G$3:$G829,$G830)&gt;0,"DOUBLON","VALIDE")))</f>
        <v/>
      </c>
    </row>
    <row r="831" ht="15" customHeight="1">
      <c r="A831" s="12">
        <f>IF(OR($B831="",$G831=""),"",TEXT($B831,"YYYYMMDD")&amp;"-"&amp;SUBSTITUTE($E831," ","")&amp;"-"&amp;$F831&amp;"-"&amp;$G831)</f>
        <v/>
      </c>
      <c r="B831" s="15" t="n"/>
      <c r="C831" s="16" t="n"/>
      <c r="D831" s="10" t="n"/>
      <c r="E831" s="9" t="n"/>
      <c r="F831" s="9" t="n"/>
      <c r="G831" s="13" t="n"/>
      <c r="H831" s="21" t="n"/>
      <c r="I831" s="21" t="n"/>
      <c r="J831" s="17">
        <f>IF($G831="","",IFERROR(INDEX(NomsEmployes,MATCH($G831,MatriculesEmployes,0)),"MATRICULE INCONNU"))</f>
        <v/>
      </c>
      <c r="K831" s="33">
        <f>IF(OR($D831="",$F831=""),"",IFERROR(IF(INDEX(RUNS!$L$6:$S$1005,MATCH($D831,RUNS!$A$6:$A$1005,0),MATCH("ACTIVITÉ "&amp;$F831,RUNS!$L$5:$S$5,0))="","",INDEX(RUNS!$L$6:$S$1005,MATCH($D831,RUNS!$A$6:$A$1005,0),MATCH("ACTIVITÉ "&amp;$F831,RUNS!$L$5:$S$5,0))),""))</f>
        <v/>
      </c>
      <c r="L831" s="33">
        <f>IF($D831="","",IFERROR(IF(INDEX(RUNS!$E$6:$E$1005,MATCH($D831,RUNS!$A$6:$A$1005,0))="","",INDEX(RUNS!$E$6:$E$1005,MATCH($D831,RUNS!$A$6:$A$1005,0))),""))</f>
        <v/>
      </c>
      <c r="M831" s="33">
        <f>IF($D831="","",IFERROR(IF(INDEX(RUNS!$F$6:$F$1005,MATCH($D831,RUNS!$A$6:$A$1005,0))="","",INDEX(RUNS!$F$6:$F$1005,MATCH($D831,RUNS!$A$6:$A$1005,0))),""))</f>
        <v/>
      </c>
      <c r="N831" s="33">
        <f>IF($D831="","",IFERROR(IF(INDEX(RUNS!$G$6:$G$1005,MATCH($D831,RUNS!$A$6:$A$1005,0))="","",INDEX(RUNS!$G$6:$G$1005,MATCH($D831,RUNS!$A$6:$A$1005,0))),""))</f>
        <v/>
      </c>
      <c r="O831" s="33">
        <f>IF($D831="","",IFERROR(IF(INDEX(RUNS!$H$6:$H$1005,MATCH($D831,RUNS!$A$6:$A$1005,0))="","",INDEX(RUNS!$H$6:$H$1005,MATCH($D831,RUNS!$A$6:$A$1005,0))),""))</f>
        <v/>
      </c>
      <c r="P831" s="33">
        <f>IF($D831="","",IFERROR(IF(INDEX(RUNS!$J$6:$J$1005,MATCH($D831,RUNS!$A$6:$A$1005,0))="","",INDEX(RUNS!$J$6:$J$1005,MATCH($D831,RUNS!$A$6:$A$1005,0))),""))</f>
        <v/>
      </c>
      <c r="Q831" s="33">
        <f>IF($D831="","",IFERROR(IF(INDEX(RUNS!$K$6:$K$1005,MATCH($D831,RUNS!$A$6:$A$1005,0))="","",INDEX(RUNS!$K$6:$K$1005,MATCH($D831,RUNS!$A$6:$A$1005,0))),""))</f>
        <v/>
      </c>
      <c r="R831" s="34">
        <f>IF(OR($L831="",$K831=""),"",IFERROR(IF(INDEX(PARAMETRES!$H$43:$H$342,MATCH($L831&amp;"|"&amp;$M831&amp;"|"&amp;$N831&amp;"|"&amp;$O831&amp;"|"&amp;$P831&amp;"|"&amp;$Q831&amp;"|"&amp;$K831,PARAMETRES!$J$43:$J$342,0))="","",INDEX(PARAMETRES!$H$43:$H$342,MATCH($L831&amp;"|"&amp;$M831&amp;"|"&amp;$N831&amp;"|"&amp;$O831&amp;"|"&amp;$P831&amp;"|"&amp;$Q831&amp;"|"&amp;$K831,PARAMETRES!$J$43:$J$342,0))),""))</f>
        <v/>
      </c>
      <c r="S831" s="35">
        <f>IF(OR($G831="",$X831&lt;&gt;"VALIDE"),"",IFERROR(LOOKUP(2,1/(($B$3:$B830=$B831)*($G$3:$G830=$G831)*($X$3:$X830="VALIDE")),$C$3:$C830),""))</f>
        <v/>
      </c>
      <c r="T831" s="36">
        <f>IF(OR($C831="",$S831=""),"",ROUND(($C831-$S831+IF($C831&lt;$S831,1,0))*1440,0))</f>
        <v/>
      </c>
      <c r="U831" s="22">
        <f>IF(OR($H831="",$T831="",$T831&lt;=0),"",$H831*60/$T831)</f>
        <v/>
      </c>
      <c r="V831" s="37">
        <f>IF(OR($U831="",$R831="",$R831=0),"",$U831/$R831)</f>
        <v/>
      </c>
      <c r="W831" s="20">
        <f>IF($G831="","",IF($X831="CONTEXTE INCOMPLET","CONTEXTE INCOMPLET",IF($X831="DOUBLON",StatutDoublon,IF($S831="",StatutInitial,IF($R831="",StatutStandardManquant,IF($V831="","DONNEES INSUFFISANTES",IF($V831&gt;=SeuilConforme,StatutConforme,IF($V831&gt;=SeuilSurveiller,StatutSurveiller,StatutSousStandard))))))))</f>
        <v/>
      </c>
      <c r="X831" s="33">
        <f>IF($G831="","",IF(OR($D831="",$E831="",$F831=""),"CONTEXTE INCOMPLET",IF(COUNTIFS($D$3:$D830,$D831,$E$3:$E830,$E831,$F$3:$F830,$F831,$G$3:$G830,$G831)&gt;0,"DOUBLON","VALIDE")))</f>
        <v/>
      </c>
    </row>
    <row r="832" ht="15" customHeight="1">
      <c r="A832" s="12">
        <f>IF(OR($B832="",$G832=""),"",TEXT($B832,"YYYYMMDD")&amp;"-"&amp;SUBSTITUTE($E832," ","")&amp;"-"&amp;$F832&amp;"-"&amp;$G832)</f>
        <v/>
      </c>
      <c r="B832" s="15" t="n"/>
      <c r="C832" s="16" t="n"/>
      <c r="D832" s="10" t="n"/>
      <c r="E832" s="9" t="n"/>
      <c r="F832" s="9" t="n"/>
      <c r="G832" s="13" t="n"/>
      <c r="H832" s="21" t="n"/>
      <c r="I832" s="21" t="n"/>
      <c r="J832" s="17">
        <f>IF($G832="","",IFERROR(INDEX(NomsEmployes,MATCH($G832,MatriculesEmployes,0)),"MATRICULE INCONNU"))</f>
        <v/>
      </c>
      <c r="K832" s="33">
        <f>IF(OR($D832="",$F832=""),"",IFERROR(IF(INDEX(RUNS!$L$6:$S$1005,MATCH($D832,RUNS!$A$6:$A$1005,0),MATCH("ACTIVITÉ "&amp;$F832,RUNS!$L$5:$S$5,0))="","",INDEX(RUNS!$L$6:$S$1005,MATCH($D832,RUNS!$A$6:$A$1005,0),MATCH("ACTIVITÉ "&amp;$F832,RUNS!$L$5:$S$5,0))),""))</f>
        <v/>
      </c>
      <c r="L832" s="33">
        <f>IF($D832="","",IFERROR(IF(INDEX(RUNS!$E$6:$E$1005,MATCH($D832,RUNS!$A$6:$A$1005,0))="","",INDEX(RUNS!$E$6:$E$1005,MATCH($D832,RUNS!$A$6:$A$1005,0))),""))</f>
        <v/>
      </c>
      <c r="M832" s="33">
        <f>IF($D832="","",IFERROR(IF(INDEX(RUNS!$F$6:$F$1005,MATCH($D832,RUNS!$A$6:$A$1005,0))="","",INDEX(RUNS!$F$6:$F$1005,MATCH($D832,RUNS!$A$6:$A$1005,0))),""))</f>
        <v/>
      </c>
      <c r="N832" s="33">
        <f>IF($D832="","",IFERROR(IF(INDEX(RUNS!$G$6:$G$1005,MATCH($D832,RUNS!$A$6:$A$1005,0))="","",INDEX(RUNS!$G$6:$G$1005,MATCH($D832,RUNS!$A$6:$A$1005,0))),""))</f>
        <v/>
      </c>
      <c r="O832" s="33">
        <f>IF($D832="","",IFERROR(IF(INDEX(RUNS!$H$6:$H$1005,MATCH($D832,RUNS!$A$6:$A$1005,0))="","",INDEX(RUNS!$H$6:$H$1005,MATCH($D832,RUNS!$A$6:$A$1005,0))),""))</f>
        <v/>
      </c>
      <c r="P832" s="33">
        <f>IF($D832="","",IFERROR(IF(INDEX(RUNS!$J$6:$J$1005,MATCH($D832,RUNS!$A$6:$A$1005,0))="","",INDEX(RUNS!$J$6:$J$1005,MATCH($D832,RUNS!$A$6:$A$1005,0))),""))</f>
        <v/>
      </c>
      <c r="Q832" s="33">
        <f>IF($D832="","",IFERROR(IF(INDEX(RUNS!$K$6:$K$1005,MATCH($D832,RUNS!$A$6:$A$1005,0))="","",INDEX(RUNS!$K$6:$K$1005,MATCH($D832,RUNS!$A$6:$A$1005,0))),""))</f>
        <v/>
      </c>
      <c r="R832" s="34">
        <f>IF(OR($L832="",$K832=""),"",IFERROR(IF(INDEX(PARAMETRES!$H$43:$H$342,MATCH($L832&amp;"|"&amp;$M832&amp;"|"&amp;$N832&amp;"|"&amp;$O832&amp;"|"&amp;$P832&amp;"|"&amp;$Q832&amp;"|"&amp;$K832,PARAMETRES!$J$43:$J$342,0))="","",INDEX(PARAMETRES!$H$43:$H$342,MATCH($L832&amp;"|"&amp;$M832&amp;"|"&amp;$N832&amp;"|"&amp;$O832&amp;"|"&amp;$P832&amp;"|"&amp;$Q832&amp;"|"&amp;$K832,PARAMETRES!$J$43:$J$342,0))),""))</f>
        <v/>
      </c>
      <c r="S832" s="35">
        <f>IF(OR($G832="",$X832&lt;&gt;"VALIDE"),"",IFERROR(LOOKUP(2,1/(($B$3:$B831=$B832)*($G$3:$G831=$G832)*($X$3:$X831="VALIDE")),$C$3:$C831),""))</f>
        <v/>
      </c>
      <c r="T832" s="36">
        <f>IF(OR($C832="",$S832=""),"",ROUND(($C832-$S832+IF($C832&lt;$S832,1,0))*1440,0))</f>
        <v/>
      </c>
      <c r="U832" s="22">
        <f>IF(OR($H832="",$T832="",$T832&lt;=0),"",$H832*60/$T832)</f>
        <v/>
      </c>
      <c r="V832" s="37">
        <f>IF(OR($U832="",$R832="",$R832=0),"",$U832/$R832)</f>
        <v/>
      </c>
      <c r="W832" s="20">
        <f>IF($G832="","",IF($X832="CONTEXTE INCOMPLET","CONTEXTE INCOMPLET",IF($X832="DOUBLON",StatutDoublon,IF($S832="",StatutInitial,IF($R832="",StatutStandardManquant,IF($V832="","DONNEES INSUFFISANTES",IF($V832&gt;=SeuilConforme,StatutConforme,IF($V832&gt;=SeuilSurveiller,StatutSurveiller,StatutSousStandard))))))))</f>
        <v/>
      </c>
      <c r="X832" s="33">
        <f>IF($G832="","",IF(OR($D832="",$E832="",$F832=""),"CONTEXTE INCOMPLET",IF(COUNTIFS($D$3:$D831,$D832,$E$3:$E831,$E832,$F$3:$F831,$F832,$G$3:$G831,$G832)&gt;0,"DOUBLON","VALIDE")))</f>
        <v/>
      </c>
    </row>
    <row r="833" ht="15" customHeight="1">
      <c r="A833" s="12">
        <f>IF(OR($B833="",$G833=""),"",TEXT($B833,"YYYYMMDD")&amp;"-"&amp;SUBSTITUTE($E833," ","")&amp;"-"&amp;$F833&amp;"-"&amp;$G833)</f>
        <v/>
      </c>
      <c r="B833" s="15" t="n"/>
      <c r="C833" s="16" t="n"/>
      <c r="D833" s="10" t="n"/>
      <c r="E833" s="9" t="n"/>
      <c r="F833" s="9" t="n"/>
      <c r="G833" s="13" t="n"/>
      <c r="H833" s="21" t="n"/>
      <c r="I833" s="21" t="n"/>
      <c r="J833" s="17">
        <f>IF($G833="","",IFERROR(INDEX(NomsEmployes,MATCH($G833,MatriculesEmployes,0)),"MATRICULE INCONNU"))</f>
        <v/>
      </c>
      <c r="K833" s="33">
        <f>IF(OR($D833="",$F833=""),"",IFERROR(IF(INDEX(RUNS!$L$6:$S$1005,MATCH($D833,RUNS!$A$6:$A$1005,0),MATCH("ACTIVITÉ "&amp;$F833,RUNS!$L$5:$S$5,0))="","",INDEX(RUNS!$L$6:$S$1005,MATCH($D833,RUNS!$A$6:$A$1005,0),MATCH("ACTIVITÉ "&amp;$F833,RUNS!$L$5:$S$5,0))),""))</f>
        <v/>
      </c>
      <c r="L833" s="33">
        <f>IF($D833="","",IFERROR(IF(INDEX(RUNS!$E$6:$E$1005,MATCH($D833,RUNS!$A$6:$A$1005,0))="","",INDEX(RUNS!$E$6:$E$1005,MATCH($D833,RUNS!$A$6:$A$1005,0))),""))</f>
        <v/>
      </c>
      <c r="M833" s="33">
        <f>IF($D833="","",IFERROR(IF(INDEX(RUNS!$F$6:$F$1005,MATCH($D833,RUNS!$A$6:$A$1005,0))="","",INDEX(RUNS!$F$6:$F$1005,MATCH($D833,RUNS!$A$6:$A$1005,0))),""))</f>
        <v/>
      </c>
      <c r="N833" s="33">
        <f>IF($D833="","",IFERROR(IF(INDEX(RUNS!$G$6:$G$1005,MATCH($D833,RUNS!$A$6:$A$1005,0))="","",INDEX(RUNS!$G$6:$G$1005,MATCH($D833,RUNS!$A$6:$A$1005,0))),""))</f>
        <v/>
      </c>
      <c r="O833" s="33">
        <f>IF($D833="","",IFERROR(IF(INDEX(RUNS!$H$6:$H$1005,MATCH($D833,RUNS!$A$6:$A$1005,0))="","",INDEX(RUNS!$H$6:$H$1005,MATCH($D833,RUNS!$A$6:$A$1005,0))),""))</f>
        <v/>
      </c>
      <c r="P833" s="33">
        <f>IF($D833="","",IFERROR(IF(INDEX(RUNS!$J$6:$J$1005,MATCH($D833,RUNS!$A$6:$A$1005,0))="","",INDEX(RUNS!$J$6:$J$1005,MATCH($D833,RUNS!$A$6:$A$1005,0))),""))</f>
        <v/>
      </c>
      <c r="Q833" s="33">
        <f>IF($D833="","",IFERROR(IF(INDEX(RUNS!$K$6:$K$1005,MATCH($D833,RUNS!$A$6:$A$1005,0))="","",INDEX(RUNS!$K$6:$K$1005,MATCH($D833,RUNS!$A$6:$A$1005,0))),""))</f>
        <v/>
      </c>
      <c r="R833" s="34">
        <f>IF(OR($L833="",$K833=""),"",IFERROR(IF(INDEX(PARAMETRES!$H$43:$H$342,MATCH($L833&amp;"|"&amp;$M833&amp;"|"&amp;$N833&amp;"|"&amp;$O833&amp;"|"&amp;$P833&amp;"|"&amp;$Q833&amp;"|"&amp;$K833,PARAMETRES!$J$43:$J$342,0))="","",INDEX(PARAMETRES!$H$43:$H$342,MATCH($L833&amp;"|"&amp;$M833&amp;"|"&amp;$N833&amp;"|"&amp;$O833&amp;"|"&amp;$P833&amp;"|"&amp;$Q833&amp;"|"&amp;$K833,PARAMETRES!$J$43:$J$342,0))),""))</f>
        <v/>
      </c>
      <c r="S833" s="35">
        <f>IF(OR($G833="",$X833&lt;&gt;"VALIDE"),"",IFERROR(LOOKUP(2,1/(($B$3:$B832=$B833)*($G$3:$G832=$G833)*($X$3:$X832="VALIDE")),$C$3:$C832),""))</f>
        <v/>
      </c>
      <c r="T833" s="36">
        <f>IF(OR($C833="",$S833=""),"",ROUND(($C833-$S833+IF($C833&lt;$S833,1,0))*1440,0))</f>
        <v/>
      </c>
      <c r="U833" s="22">
        <f>IF(OR($H833="",$T833="",$T833&lt;=0),"",$H833*60/$T833)</f>
        <v/>
      </c>
      <c r="V833" s="37">
        <f>IF(OR($U833="",$R833="",$R833=0),"",$U833/$R833)</f>
        <v/>
      </c>
      <c r="W833" s="20">
        <f>IF($G833="","",IF($X833="CONTEXTE INCOMPLET","CONTEXTE INCOMPLET",IF($X833="DOUBLON",StatutDoublon,IF($S833="",StatutInitial,IF($R833="",StatutStandardManquant,IF($V833="","DONNEES INSUFFISANTES",IF($V833&gt;=SeuilConforme,StatutConforme,IF($V833&gt;=SeuilSurveiller,StatutSurveiller,StatutSousStandard))))))))</f>
        <v/>
      </c>
      <c r="X833" s="33">
        <f>IF($G833="","",IF(OR($D833="",$E833="",$F833=""),"CONTEXTE INCOMPLET",IF(COUNTIFS($D$3:$D832,$D833,$E$3:$E832,$E833,$F$3:$F832,$F833,$G$3:$G832,$G833)&gt;0,"DOUBLON","VALIDE")))</f>
        <v/>
      </c>
    </row>
    <row r="834" ht="15" customHeight="1">
      <c r="A834" s="12">
        <f>IF(OR($B834="",$G834=""),"",TEXT($B834,"YYYYMMDD")&amp;"-"&amp;SUBSTITUTE($E834," ","")&amp;"-"&amp;$F834&amp;"-"&amp;$G834)</f>
        <v/>
      </c>
      <c r="B834" s="15" t="n"/>
      <c r="C834" s="16" t="n"/>
      <c r="D834" s="10" t="n"/>
      <c r="E834" s="9" t="n"/>
      <c r="F834" s="9" t="n"/>
      <c r="G834" s="13" t="n"/>
      <c r="H834" s="21" t="n"/>
      <c r="I834" s="21" t="n"/>
      <c r="J834" s="17">
        <f>IF($G834="","",IFERROR(INDEX(NomsEmployes,MATCH($G834,MatriculesEmployes,0)),"MATRICULE INCONNU"))</f>
        <v/>
      </c>
      <c r="K834" s="33">
        <f>IF(OR($D834="",$F834=""),"",IFERROR(IF(INDEX(RUNS!$L$6:$S$1005,MATCH($D834,RUNS!$A$6:$A$1005,0),MATCH("ACTIVITÉ "&amp;$F834,RUNS!$L$5:$S$5,0))="","",INDEX(RUNS!$L$6:$S$1005,MATCH($D834,RUNS!$A$6:$A$1005,0),MATCH("ACTIVITÉ "&amp;$F834,RUNS!$L$5:$S$5,0))),""))</f>
        <v/>
      </c>
      <c r="L834" s="33">
        <f>IF($D834="","",IFERROR(IF(INDEX(RUNS!$E$6:$E$1005,MATCH($D834,RUNS!$A$6:$A$1005,0))="","",INDEX(RUNS!$E$6:$E$1005,MATCH($D834,RUNS!$A$6:$A$1005,0))),""))</f>
        <v/>
      </c>
      <c r="M834" s="33">
        <f>IF($D834="","",IFERROR(IF(INDEX(RUNS!$F$6:$F$1005,MATCH($D834,RUNS!$A$6:$A$1005,0))="","",INDEX(RUNS!$F$6:$F$1005,MATCH($D834,RUNS!$A$6:$A$1005,0))),""))</f>
        <v/>
      </c>
      <c r="N834" s="33">
        <f>IF($D834="","",IFERROR(IF(INDEX(RUNS!$G$6:$G$1005,MATCH($D834,RUNS!$A$6:$A$1005,0))="","",INDEX(RUNS!$G$6:$G$1005,MATCH($D834,RUNS!$A$6:$A$1005,0))),""))</f>
        <v/>
      </c>
      <c r="O834" s="33">
        <f>IF($D834="","",IFERROR(IF(INDEX(RUNS!$H$6:$H$1005,MATCH($D834,RUNS!$A$6:$A$1005,0))="","",INDEX(RUNS!$H$6:$H$1005,MATCH($D834,RUNS!$A$6:$A$1005,0))),""))</f>
        <v/>
      </c>
      <c r="P834" s="33">
        <f>IF($D834="","",IFERROR(IF(INDEX(RUNS!$J$6:$J$1005,MATCH($D834,RUNS!$A$6:$A$1005,0))="","",INDEX(RUNS!$J$6:$J$1005,MATCH($D834,RUNS!$A$6:$A$1005,0))),""))</f>
        <v/>
      </c>
      <c r="Q834" s="33">
        <f>IF($D834="","",IFERROR(IF(INDEX(RUNS!$K$6:$K$1005,MATCH($D834,RUNS!$A$6:$A$1005,0))="","",INDEX(RUNS!$K$6:$K$1005,MATCH($D834,RUNS!$A$6:$A$1005,0))),""))</f>
        <v/>
      </c>
      <c r="R834" s="34">
        <f>IF(OR($L834="",$K834=""),"",IFERROR(IF(INDEX(PARAMETRES!$H$43:$H$342,MATCH($L834&amp;"|"&amp;$M834&amp;"|"&amp;$N834&amp;"|"&amp;$O834&amp;"|"&amp;$P834&amp;"|"&amp;$Q834&amp;"|"&amp;$K834,PARAMETRES!$J$43:$J$342,0))="","",INDEX(PARAMETRES!$H$43:$H$342,MATCH($L834&amp;"|"&amp;$M834&amp;"|"&amp;$N834&amp;"|"&amp;$O834&amp;"|"&amp;$P834&amp;"|"&amp;$Q834&amp;"|"&amp;$K834,PARAMETRES!$J$43:$J$342,0))),""))</f>
        <v/>
      </c>
      <c r="S834" s="35">
        <f>IF(OR($G834="",$X834&lt;&gt;"VALIDE"),"",IFERROR(LOOKUP(2,1/(($B$3:$B833=$B834)*($G$3:$G833=$G834)*($X$3:$X833="VALIDE")),$C$3:$C833),""))</f>
        <v/>
      </c>
      <c r="T834" s="36">
        <f>IF(OR($C834="",$S834=""),"",ROUND(($C834-$S834+IF($C834&lt;$S834,1,0))*1440,0))</f>
        <v/>
      </c>
      <c r="U834" s="22">
        <f>IF(OR($H834="",$T834="",$T834&lt;=0),"",$H834*60/$T834)</f>
        <v/>
      </c>
      <c r="V834" s="37">
        <f>IF(OR($U834="",$R834="",$R834=0),"",$U834/$R834)</f>
        <v/>
      </c>
      <c r="W834" s="20">
        <f>IF($G834="","",IF($X834="CONTEXTE INCOMPLET","CONTEXTE INCOMPLET",IF($X834="DOUBLON",StatutDoublon,IF($S834="",StatutInitial,IF($R834="",StatutStandardManquant,IF($V834="","DONNEES INSUFFISANTES",IF($V834&gt;=SeuilConforme,StatutConforme,IF($V834&gt;=SeuilSurveiller,StatutSurveiller,StatutSousStandard))))))))</f>
        <v/>
      </c>
      <c r="X834" s="33">
        <f>IF($G834="","",IF(OR($D834="",$E834="",$F834=""),"CONTEXTE INCOMPLET",IF(COUNTIFS($D$3:$D833,$D834,$E$3:$E833,$E834,$F$3:$F833,$F834,$G$3:$G833,$G834)&gt;0,"DOUBLON","VALIDE")))</f>
        <v/>
      </c>
    </row>
    <row r="835" ht="15" customHeight="1">
      <c r="A835" s="12">
        <f>IF(OR($B835="",$G835=""),"",TEXT($B835,"YYYYMMDD")&amp;"-"&amp;SUBSTITUTE($E835," ","")&amp;"-"&amp;$F835&amp;"-"&amp;$G835)</f>
        <v/>
      </c>
      <c r="B835" s="15" t="n"/>
      <c r="C835" s="16" t="n"/>
      <c r="D835" s="10" t="n"/>
      <c r="E835" s="9" t="n"/>
      <c r="F835" s="9" t="n"/>
      <c r="G835" s="13" t="n"/>
      <c r="H835" s="21" t="n"/>
      <c r="I835" s="21" t="n"/>
      <c r="J835" s="17">
        <f>IF($G835="","",IFERROR(INDEX(NomsEmployes,MATCH($G835,MatriculesEmployes,0)),"MATRICULE INCONNU"))</f>
        <v/>
      </c>
      <c r="K835" s="33">
        <f>IF(OR($D835="",$F835=""),"",IFERROR(IF(INDEX(RUNS!$L$6:$S$1005,MATCH($D835,RUNS!$A$6:$A$1005,0),MATCH("ACTIVITÉ "&amp;$F835,RUNS!$L$5:$S$5,0))="","",INDEX(RUNS!$L$6:$S$1005,MATCH($D835,RUNS!$A$6:$A$1005,0),MATCH("ACTIVITÉ "&amp;$F835,RUNS!$L$5:$S$5,0))),""))</f>
        <v/>
      </c>
      <c r="L835" s="33">
        <f>IF($D835="","",IFERROR(IF(INDEX(RUNS!$E$6:$E$1005,MATCH($D835,RUNS!$A$6:$A$1005,0))="","",INDEX(RUNS!$E$6:$E$1005,MATCH($D835,RUNS!$A$6:$A$1005,0))),""))</f>
        <v/>
      </c>
      <c r="M835" s="33">
        <f>IF($D835="","",IFERROR(IF(INDEX(RUNS!$F$6:$F$1005,MATCH($D835,RUNS!$A$6:$A$1005,0))="","",INDEX(RUNS!$F$6:$F$1005,MATCH($D835,RUNS!$A$6:$A$1005,0))),""))</f>
        <v/>
      </c>
      <c r="N835" s="33">
        <f>IF($D835="","",IFERROR(IF(INDEX(RUNS!$G$6:$G$1005,MATCH($D835,RUNS!$A$6:$A$1005,0))="","",INDEX(RUNS!$G$6:$G$1005,MATCH($D835,RUNS!$A$6:$A$1005,0))),""))</f>
        <v/>
      </c>
      <c r="O835" s="33">
        <f>IF($D835="","",IFERROR(IF(INDEX(RUNS!$H$6:$H$1005,MATCH($D835,RUNS!$A$6:$A$1005,0))="","",INDEX(RUNS!$H$6:$H$1005,MATCH($D835,RUNS!$A$6:$A$1005,0))),""))</f>
        <v/>
      </c>
      <c r="P835" s="33">
        <f>IF($D835="","",IFERROR(IF(INDEX(RUNS!$J$6:$J$1005,MATCH($D835,RUNS!$A$6:$A$1005,0))="","",INDEX(RUNS!$J$6:$J$1005,MATCH($D835,RUNS!$A$6:$A$1005,0))),""))</f>
        <v/>
      </c>
      <c r="Q835" s="33">
        <f>IF($D835="","",IFERROR(IF(INDEX(RUNS!$K$6:$K$1005,MATCH($D835,RUNS!$A$6:$A$1005,0))="","",INDEX(RUNS!$K$6:$K$1005,MATCH($D835,RUNS!$A$6:$A$1005,0))),""))</f>
        <v/>
      </c>
      <c r="R835" s="34">
        <f>IF(OR($L835="",$K835=""),"",IFERROR(IF(INDEX(PARAMETRES!$H$43:$H$342,MATCH($L835&amp;"|"&amp;$M835&amp;"|"&amp;$N835&amp;"|"&amp;$O835&amp;"|"&amp;$P835&amp;"|"&amp;$Q835&amp;"|"&amp;$K835,PARAMETRES!$J$43:$J$342,0))="","",INDEX(PARAMETRES!$H$43:$H$342,MATCH($L835&amp;"|"&amp;$M835&amp;"|"&amp;$N835&amp;"|"&amp;$O835&amp;"|"&amp;$P835&amp;"|"&amp;$Q835&amp;"|"&amp;$K835,PARAMETRES!$J$43:$J$342,0))),""))</f>
        <v/>
      </c>
      <c r="S835" s="35">
        <f>IF(OR($G835="",$X835&lt;&gt;"VALIDE"),"",IFERROR(LOOKUP(2,1/(($B$3:$B834=$B835)*($G$3:$G834=$G835)*($X$3:$X834="VALIDE")),$C$3:$C834),""))</f>
        <v/>
      </c>
      <c r="T835" s="36">
        <f>IF(OR($C835="",$S835=""),"",ROUND(($C835-$S835+IF($C835&lt;$S835,1,0))*1440,0))</f>
        <v/>
      </c>
      <c r="U835" s="22">
        <f>IF(OR($H835="",$T835="",$T835&lt;=0),"",$H835*60/$T835)</f>
        <v/>
      </c>
      <c r="V835" s="37">
        <f>IF(OR($U835="",$R835="",$R835=0),"",$U835/$R835)</f>
        <v/>
      </c>
      <c r="W835" s="20">
        <f>IF($G835="","",IF($X835="CONTEXTE INCOMPLET","CONTEXTE INCOMPLET",IF($X835="DOUBLON",StatutDoublon,IF($S835="",StatutInitial,IF($R835="",StatutStandardManquant,IF($V835="","DONNEES INSUFFISANTES",IF($V835&gt;=SeuilConforme,StatutConforme,IF($V835&gt;=SeuilSurveiller,StatutSurveiller,StatutSousStandard))))))))</f>
        <v/>
      </c>
      <c r="X835" s="33">
        <f>IF($G835="","",IF(OR($D835="",$E835="",$F835=""),"CONTEXTE INCOMPLET",IF(COUNTIFS($D$3:$D834,$D835,$E$3:$E834,$E835,$F$3:$F834,$F835,$G$3:$G834,$G835)&gt;0,"DOUBLON","VALIDE")))</f>
        <v/>
      </c>
    </row>
    <row r="836" ht="15" customHeight="1">
      <c r="A836" s="12">
        <f>IF(OR($B836="",$G836=""),"",TEXT($B836,"YYYYMMDD")&amp;"-"&amp;SUBSTITUTE($E836," ","")&amp;"-"&amp;$F836&amp;"-"&amp;$G836)</f>
        <v/>
      </c>
      <c r="B836" s="15" t="n"/>
      <c r="C836" s="16" t="n"/>
      <c r="D836" s="10" t="n"/>
      <c r="E836" s="9" t="n"/>
      <c r="F836" s="9" t="n"/>
      <c r="G836" s="13" t="n"/>
      <c r="H836" s="21" t="n"/>
      <c r="I836" s="21" t="n"/>
      <c r="J836" s="17">
        <f>IF($G836="","",IFERROR(INDEX(NomsEmployes,MATCH($G836,MatriculesEmployes,0)),"MATRICULE INCONNU"))</f>
        <v/>
      </c>
      <c r="K836" s="33">
        <f>IF(OR($D836="",$F836=""),"",IFERROR(IF(INDEX(RUNS!$L$6:$S$1005,MATCH($D836,RUNS!$A$6:$A$1005,0),MATCH("ACTIVITÉ "&amp;$F836,RUNS!$L$5:$S$5,0))="","",INDEX(RUNS!$L$6:$S$1005,MATCH($D836,RUNS!$A$6:$A$1005,0),MATCH("ACTIVITÉ "&amp;$F836,RUNS!$L$5:$S$5,0))),""))</f>
        <v/>
      </c>
      <c r="L836" s="33">
        <f>IF($D836="","",IFERROR(IF(INDEX(RUNS!$E$6:$E$1005,MATCH($D836,RUNS!$A$6:$A$1005,0))="","",INDEX(RUNS!$E$6:$E$1005,MATCH($D836,RUNS!$A$6:$A$1005,0))),""))</f>
        <v/>
      </c>
      <c r="M836" s="33">
        <f>IF($D836="","",IFERROR(IF(INDEX(RUNS!$F$6:$F$1005,MATCH($D836,RUNS!$A$6:$A$1005,0))="","",INDEX(RUNS!$F$6:$F$1005,MATCH($D836,RUNS!$A$6:$A$1005,0))),""))</f>
        <v/>
      </c>
      <c r="N836" s="33">
        <f>IF($D836="","",IFERROR(IF(INDEX(RUNS!$G$6:$G$1005,MATCH($D836,RUNS!$A$6:$A$1005,0))="","",INDEX(RUNS!$G$6:$G$1005,MATCH($D836,RUNS!$A$6:$A$1005,0))),""))</f>
        <v/>
      </c>
      <c r="O836" s="33">
        <f>IF($D836="","",IFERROR(IF(INDEX(RUNS!$H$6:$H$1005,MATCH($D836,RUNS!$A$6:$A$1005,0))="","",INDEX(RUNS!$H$6:$H$1005,MATCH($D836,RUNS!$A$6:$A$1005,0))),""))</f>
        <v/>
      </c>
      <c r="P836" s="33">
        <f>IF($D836="","",IFERROR(IF(INDEX(RUNS!$J$6:$J$1005,MATCH($D836,RUNS!$A$6:$A$1005,0))="","",INDEX(RUNS!$J$6:$J$1005,MATCH($D836,RUNS!$A$6:$A$1005,0))),""))</f>
        <v/>
      </c>
      <c r="Q836" s="33">
        <f>IF($D836="","",IFERROR(IF(INDEX(RUNS!$K$6:$K$1005,MATCH($D836,RUNS!$A$6:$A$1005,0))="","",INDEX(RUNS!$K$6:$K$1005,MATCH($D836,RUNS!$A$6:$A$1005,0))),""))</f>
        <v/>
      </c>
      <c r="R836" s="34">
        <f>IF(OR($L836="",$K836=""),"",IFERROR(IF(INDEX(PARAMETRES!$H$43:$H$342,MATCH($L836&amp;"|"&amp;$M836&amp;"|"&amp;$N836&amp;"|"&amp;$O836&amp;"|"&amp;$P836&amp;"|"&amp;$Q836&amp;"|"&amp;$K836,PARAMETRES!$J$43:$J$342,0))="","",INDEX(PARAMETRES!$H$43:$H$342,MATCH($L836&amp;"|"&amp;$M836&amp;"|"&amp;$N836&amp;"|"&amp;$O836&amp;"|"&amp;$P836&amp;"|"&amp;$Q836&amp;"|"&amp;$K836,PARAMETRES!$J$43:$J$342,0))),""))</f>
        <v/>
      </c>
      <c r="S836" s="35">
        <f>IF(OR($G836="",$X836&lt;&gt;"VALIDE"),"",IFERROR(LOOKUP(2,1/(($B$3:$B835=$B836)*($G$3:$G835=$G836)*($X$3:$X835="VALIDE")),$C$3:$C835),""))</f>
        <v/>
      </c>
      <c r="T836" s="36">
        <f>IF(OR($C836="",$S836=""),"",ROUND(($C836-$S836+IF($C836&lt;$S836,1,0))*1440,0))</f>
        <v/>
      </c>
      <c r="U836" s="22">
        <f>IF(OR($H836="",$T836="",$T836&lt;=0),"",$H836*60/$T836)</f>
        <v/>
      </c>
      <c r="V836" s="37">
        <f>IF(OR($U836="",$R836="",$R836=0),"",$U836/$R836)</f>
        <v/>
      </c>
      <c r="W836" s="20">
        <f>IF($G836="","",IF($X836="CONTEXTE INCOMPLET","CONTEXTE INCOMPLET",IF($X836="DOUBLON",StatutDoublon,IF($S836="",StatutInitial,IF($R836="",StatutStandardManquant,IF($V836="","DONNEES INSUFFISANTES",IF($V836&gt;=SeuilConforme,StatutConforme,IF($V836&gt;=SeuilSurveiller,StatutSurveiller,StatutSousStandard))))))))</f>
        <v/>
      </c>
      <c r="X836" s="33">
        <f>IF($G836="","",IF(OR($D836="",$E836="",$F836=""),"CONTEXTE INCOMPLET",IF(COUNTIFS($D$3:$D835,$D836,$E$3:$E835,$E836,$F$3:$F835,$F836,$G$3:$G835,$G836)&gt;0,"DOUBLON","VALIDE")))</f>
        <v/>
      </c>
    </row>
    <row r="837" ht="15" customHeight="1">
      <c r="A837" s="12">
        <f>IF(OR($B837="",$G837=""),"",TEXT($B837,"YYYYMMDD")&amp;"-"&amp;SUBSTITUTE($E837," ","")&amp;"-"&amp;$F837&amp;"-"&amp;$G837)</f>
        <v/>
      </c>
      <c r="B837" s="15" t="n"/>
      <c r="C837" s="16" t="n"/>
      <c r="D837" s="10" t="n"/>
      <c r="E837" s="9" t="n"/>
      <c r="F837" s="9" t="n"/>
      <c r="G837" s="13" t="n"/>
      <c r="H837" s="21" t="n"/>
      <c r="I837" s="21" t="n"/>
      <c r="J837" s="17">
        <f>IF($G837="","",IFERROR(INDEX(NomsEmployes,MATCH($G837,MatriculesEmployes,0)),"MATRICULE INCONNU"))</f>
        <v/>
      </c>
      <c r="K837" s="33">
        <f>IF(OR($D837="",$F837=""),"",IFERROR(IF(INDEX(RUNS!$L$6:$S$1005,MATCH($D837,RUNS!$A$6:$A$1005,0),MATCH("ACTIVITÉ "&amp;$F837,RUNS!$L$5:$S$5,0))="","",INDEX(RUNS!$L$6:$S$1005,MATCH($D837,RUNS!$A$6:$A$1005,0),MATCH("ACTIVITÉ "&amp;$F837,RUNS!$L$5:$S$5,0))),""))</f>
        <v/>
      </c>
      <c r="L837" s="33">
        <f>IF($D837="","",IFERROR(IF(INDEX(RUNS!$E$6:$E$1005,MATCH($D837,RUNS!$A$6:$A$1005,0))="","",INDEX(RUNS!$E$6:$E$1005,MATCH($D837,RUNS!$A$6:$A$1005,0))),""))</f>
        <v/>
      </c>
      <c r="M837" s="33">
        <f>IF($D837="","",IFERROR(IF(INDEX(RUNS!$F$6:$F$1005,MATCH($D837,RUNS!$A$6:$A$1005,0))="","",INDEX(RUNS!$F$6:$F$1005,MATCH($D837,RUNS!$A$6:$A$1005,0))),""))</f>
        <v/>
      </c>
      <c r="N837" s="33">
        <f>IF($D837="","",IFERROR(IF(INDEX(RUNS!$G$6:$G$1005,MATCH($D837,RUNS!$A$6:$A$1005,0))="","",INDEX(RUNS!$G$6:$G$1005,MATCH($D837,RUNS!$A$6:$A$1005,0))),""))</f>
        <v/>
      </c>
      <c r="O837" s="33">
        <f>IF($D837="","",IFERROR(IF(INDEX(RUNS!$H$6:$H$1005,MATCH($D837,RUNS!$A$6:$A$1005,0))="","",INDEX(RUNS!$H$6:$H$1005,MATCH($D837,RUNS!$A$6:$A$1005,0))),""))</f>
        <v/>
      </c>
      <c r="P837" s="33">
        <f>IF($D837="","",IFERROR(IF(INDEX(RUNS!$J$6:$J$1005,MATCH($D837,RUNS!$A$6:$A$1005,0))="","",INDEX(RUNS!$J$6:$J$1005,MATCH($D837,RUNS!$A$6:$A$1005,0))),""))</f>
        <v/>
      </c>
      <c r="Q837" s="33">
        <f>IF($D837="","",IFERROR(IF(INDEX(RUNS!$K$6:$K$1005,MATCH($D837,RUNS!$A$6:$A$1005,0))="","",INDEX(RUNS!$K$6:$K$1005,MATCH($D837,RUNS!$A$6:$A$1005,0))),""))</f>
        <v/>
      </c>
      <c r="R837" s="34">
        <f>IF(OR($L837="",$K837=""),"",IFERROR(IF(INDEX(PARAMETRES!$H$43:$H$342,MATCH($L837&amp;"|"&amp;$M837&amp;"|"&amp;$N837&amp;"|"&amp;$O837&amp;"|"&amp;$P837&amp;"|"&amp;$Q837&amp;"|"&amp;$K837,PARAMETRES!$J$43:$J$342,0))="","",INDEX(PARAMETRES!$H$43:$H$342,MATCH($L837&amp;"|"&amp;$M837&amp;"|"&amp;$N837&amp;"|"&amp;$O837&amp;"|"&amp;$P837&amp;"|"&amp;$Q837&amp;"|"&amp;$K837,PARAMETRES!$J$43:$J$342,0))),""))</f>
        <v/>
      </c>
      <c r="S837" s="35">
        <f>IF(OR($G837="",$X837&lt;&gt;"VALIDE"),"",IFERROR(LOOKUP(2,1/(($B$3:$B836=$B837)*($G$3:$G836=$G837)*($X$3:$X836="VALIDE")),$C$3:$C836),""))</f>
        <v/>
      </c>
      <c r="T837" s="36">
        <f>IF(OR($C837="",$S837=""),"",ROUND(($C837-$S837+IF($C837&lt;$S837,1,0))*1440,0))</f>
        <v/>
      </c>
      <c r="U837" s="22">
        <f>IF(OR($H837="",$T837="",$T837&lt;=0),"",$H837*60/$T837)</f>
        <v/>
      </c>
      <c r="V837" s="37">
        <f>IF(OR($U837="",$R837="",$R837=0),"",$U837/$R837)</f>
        <v/>
      </c>
      <c r="W837" s="20">
        <f>IF($G837="","",IF($X837="CONTEXTE INCOMPLET","CONTEXTE INCOMPLET",IF($X837="DOUBLON",StatutDoublon,IF($S837="",StatutInitial,IF($R837="",StatutStandardManquant,IF($V837="","DONNEES INSUFFISANTES",IF($V837&gt;=SeuilConforme,StatutConforme,IF($V837&gt;=SeuilSurveiller,StatutSurveiller,StatutSousStandard))))))))</f>
        <v/>
      </c>
      <c r="X837" s="33">
        <f>IF($G837="","",IF(OR($D837="",$E837="",$F837=""),"CONTEXTE INCOMPLET",IF(COUNTIFS($D$3:$D836,$D837,$E$3:$E836,$E837,$F$3:$F836,$F837,$G$3:$G836,$G837)&gt;0,"DOUBLON","VALIDE")))</f>
        <v/>
      </c>
    </row>
    <row r="838" ht="15" customHeight="1">
      <c r="A838" s="12">
        <f>IF(OR($B838="",$G838=""),"",TEXT($B838,"YYYYMMDD")&amp;"-"&amp;SUBSTITUTE($E838," ","")&amp;"-"&amp;$F838&amp;"-"&amp;$G838)</f>
        <v/>
      </c>
      <c r="B838" s="15" t="n"/>
      <c r="C838" s="16" t="n"/>
      <c r="D838" s="10" t="n"/>
      <c r="E838" s="9" t="n"/>
      <c r="F838" s="9" t="n"/>
      <c r="G838" s="13" t="n"/>
      <c r="H838" s="21" t="n"/>
      <c r="I838" s="21" t="n"/>
      <c r="J838" s="17">
        <f>IF($G838="","",IFERROR(INDEX(NomsEmployes,MATCH($G838,MatriculesEmployes,0)),"MATRICULE INCONNU"))</f>
        <v/>
      </c>
      <c r="K838" s="33">
        <f>IF(OR($D838="",$F838=""),"",IFERROR(IF(INDEX(RUNS!$L$6:$S$1005,MATCH($D838,RUNS!$A$6:$A$1005,0),MATCH("ACTIVITÉ "&amp;$F838,RUNS!$L$5:$S$5,0))="","",INDEX(RUNS!$L$6:$S$1005,MATCH($D838,RUNS!$A$6:$A$1005,0),MATCH("ACTIVITÉ "&amp;$F838,RUNS!$L$5:$S$5,0))),""))</f>
        <v/>
      </c>
      <c r="L838" s="33">
        <f>IF($D838="","",IFERROR(IF(INDEX(RUNS!$E$6:$E$1005,MATCH($D838,RUNS!$A$6:$A$1005,0))="","",INDEX(RUNS!$E$6:$E$1005,MATCH($D838,RUNS!$A$6:$A$1005,0))),""))</f>
        <v/>
      </c>
      <c r="M838" s="33">
        <f>IF($D838="","",IFERROR(IF(INDEX(RUNS!$F$6:$F$1005,MATCH($D838,RUNS!$A$6:$A$1005,0))="","",INDEX(RUNS!$F$6:$F$1005,MATCH($D838,RUNS!$A$6:$A$1005,0))),""))</f>
        <v/>
      </c>
      <c r="N838" s="33">
        <f>IF($D838="","",IFERROR(IF(INDEX(RUNS!$G$6:$G$1005,MATCH($D838,RUNS!$A$6:$A$1005,0))="","",INDEX(RUNS!$G$6:$G$1005,MATCH($D838,RUNS!$A$6:$A$1005,0))),""))</f>
        <v/>
      </c>
      <c r="O838" s="33">
        <f>IF($D838="","",IFERROR(IF(INDEX(RUNS!$H$6:$H$1005,MATCH($D838,RUNS!$A$6:$A$1005,0))="","",INDEX(RUNS!$H$6:$H$1005,MATCH($D838,RUNS!$A$6:$A$1005,0))),""))</f>
        <v/>
      </c>
      <c r="P838" s="33">
        <f>IF($D838="","",IFERROR(IF(INDEX(RUNS!$J$6:$J$1005,MATCH($D838,RUNS!$A$6:$A$1005,0))="","",INDEX(RUNS!$J$6:$J$1005,MATCH($D838,RUNS!$A$6:$A$1005,0))),""))</f>
        <v/>
      </c>
      <c r="Q838" s="33">
        <f>IF($D838="","",IFERROR(IF(INDEX(RUNS!$K$6:$K$1005,MATCH($D838,RUNS!$A$6:$A$1005,0))="","",INDEX(RUNS!$K$6:$K$1005,MATCH($D838,RUNS!$A$6:$A$1005,0))),""))</f>
        <v/>
      </c>
      <c r="R838" s="34">
        <f>IF(OR($L838="",$K838=""),"",IFERROR(IF(INDEX(PARAMETRES!$H$43:$H$342,MATCH($L838&amp;"|"&amp;$M838&amp;"|"&amp;$N838&amp;"|"&amp;$O838&amp;"|"&amp;$P838&amp;"|"&amp;$Q838&amp;"|"&amp;$K838,PARAMETRES!$J$43:$J$342,0))="","",INDEX(PARAMETRES!$H$43:$H$342,MATCH($L838&amp;"|"&amp;$M838&amp;"|"&amp;$N838&amp;"|"&amp;$O838&amp;"|"&amp;$P838&amp;"|"&amp;$Q838&amp;"|"&amp;$K838,PARAMETRES!$J$43:$J$342,0))),""))</f>
        <v/>
      </c>
      <c r="S838" s="35">
        <f>IF(OR($G838="",$X838&lt;&gt;"VALIDE"),"",IFERROR(LOOKUP(2,1/(($B$3:$B837=$B838)*($G$3:$G837=$G838)*($X$3:$X837="VALIDE")),$C$3:$C837),""))</f>
        <v/>
      </c>
      <c r="T838" s="36">
        <f>IF(OR($C838="",$S838=""),"",ROUND(($C838-$S838+IF($C838&lt;$S838,1,0))*1440,0))</f>
        <v/>
      </c>
      <c r="U838" s="22">
        <f>IF(OR($H838="",$T838="",$T838&lt;=0),"",$H838*60/$T838)</f>
        <v/>
      </c>
      <c r="V838" s="37">
        <f>IF(OR($U838="",$R838="",$R838=0),"",$U838/$R838)</f>
        <v/>
      </c>
      <c r="W838" s="20">
        <f>IF($G838="","",IF($X838="CONTEXTE INCOMPLET","CONTEXTE INCOMPLET",IF($X838="DOUBLON",StatutDoublon,IF($S838="",StatutInitial,IF($R838="",StatutStandardManquant,IF($V838="","DONNEES INSUFFISANTES",IF($V838&gt;=SeuilConforme,StatutConforme,IF($V838&gt;=SeuilSurveiller,StatutSurveiller,StatutSousStandard))))))))</f>
        <v/>
      </c>
      <c r="X838" s="33">
        <f>IF($G838="","",IF(OR($D838="",$E838="",$F838=""),"CONTEXTE INCOMPLET",IF(COUNTIFS($D$3:$D837,$D838,$E$3:$E837,$E838,$F$3:$F837,$F838,$G$3:$G837,$G838)&gt;0,"DOUBLON","VALIDE")))</f>
        <v/>
      </c>
    </row>
    <row r="839" ht="15" customHeight="1">
      <c r="A839" s="12">
        <f>IF(OR($B839="",$G839=""),"",TEXT($B839,"YYYYMMDD")&amp;"-"&amp;SUBSTITUTE($E839," ","")&amp;"-"&amp;$F839&amp;"-"&amp;$G839)</f>
        <v/>
      </c>
      <c r="B839" s="15" t="n"/>
      <c r="C839" s="16" t="n"/>
      <c r="D839" s="10" t="n"/>
      <c r="E839" s="9" t="n"/>
      <c r="F839" s="9" t="n"/>
      <c r="G839" s="13" t="n"/>
      <c r="H839" s="21" t="n"/>
      <c r="I839" s="21" t="n"/>
      <c r="J839" s="17">
        <f>IF($G839="","",IFERROR(INDEX(NomsEmployes,MATCH($G839,MatriculesEmployes,0)),"MATRICULE INCONNU"))</f>
        <v/>
      </c>
      <c r="K839" s="33">
        <f>IF(OR($D839="",$F839=""),"",IFERROR(IF(INDEX(RUNS!$L$6:$S$1005,MATCH($D839,RUNS!$A$6:$A$1005,0),MATCH("ACTIVITÉ "&amp;$F839,RUNS!$L$5:$S$5,0))="","",INDEX(RUNS!$L$6:$S$1005,MATCH($D839,RUNS!$A$6:$A$1005,0),MATCH("ACTIVITÉ "&amp;$F839,RUNS!$L$5:$S$5,0))),""))</f>
        <v/>
      </c>
      <c r="L839" s="33">
        <f>IF($D839="","",IFERROR(IF(INDEX(RUNS!$E$6:$E$1005,MATCH($D839,RUNS!$A$6:$A$1005,0))="","",INDEX(RUNS!$E$6:$E$1005,MATCH($D839,RUNS!$A$6:$A$1005,0))),""))</f>
        <v/>
      </c>
      <c r="M839" s="33">
        <f>IF($D839="","",IFERROR(IF(INDEX(RUNS!$F$6:$F$1005,MATCH($D839,RUNS!$A$6:$A$1005,0))="","",INDEX(RUNS!$F$6:$F$1005,MATCH($D839,RUNS!$A$6:$A$1005,0))),""))</f>
        <v/>
      </c>
      <c r="N839" s="33">
        <f>IF($D839="","",IFERROR(IF(INDEX(RUNS!$G$6:$G$1005,MATCH($D839,RUNS!$A$6:$A$1005,0))="","",INDEX(RUNS!$G$6:$G$1005,MATCH($D839,RUNS!$A$6:$A$1005,0))),""))</f>
        <v/>
      </c>
      <c r="O839" s="33">
        <f>IF($D839="","",IFERROR(IF(INDEX(RUNS!$H$6:$H$1005,MATCH($D839,RUNS!$A$6:$A$1005,0))="","",INDEX(RUNS!$H$6:$H$1005,MATCH($D839,RUNS!$A$6:$A$1005,0))),""))</f>
        <v/>
      </c>
      <c r="P839" s="33">
        <f>IF($D839="","",IFERROR(IF(INDEX(RUNS!$J$6:$J$1005,MATCH($D839,RUNS!$A$6:$A$1005,0))="","",INDEX(RUNS!$J$6:$J$1005,MATCH($D839,RUNS!$A$6:$A$1005,0))),""))</f>
        <v/>
      </c>
      <c r="Q839" s="33">
        <f>IF($D839="","",IFERROR(IF(INDEX(RUNS!$K$6:$K$1005,MATCH($D839,RUNS!$A$6:$A$1005,0))="","",INDEX(RUNS!$K$6:$K$1005,MATCH($D839,RUNS!$A$6:$A$1005,0))),""))</f>
        <v/>
      </c>
      <c r="R839" s="34">
        <f>IF(OR($L839="",$K839=""),"",IFERROR(IF(INDEX(PARAMETRES!$H$43:$H$342,MATCH($L839&amp;"|"&amp;$M839&amp;"|"&amp;$N839&amp;"|"&amp;$O839&amp;"|"&amp;$P839&amp;"|"&amp;$Q839&amp;"|"&amp;$K839,PARAMETRES!$J$43:$J$342,0))="","",INDEX(PARAMETRES!$H$43:$H$342,MATCH($L839&amp;"|"&amp;$M839&amp;"|"&amp;$N839&amp;"|"&amp;$O839&amp;"|"&amp;$P839&amp;"|"&amp;$Q839&amp;"|"&amp;$K839,PARAMETRES!$J$43:$J$342,0))),""))</f>
        <v/>
      </c>
      <c r="S839" s="35">
        <f>IF(OR($G839="",$X839&lt;&gt;"VALIDE"),"",IFERROR(LOOKUP(2,1/(($B$3:$B838=$B839)*($G$3:$G838=$G839)*($X$3:$X838="VALIDE")),$C$3:$C838),""))</f>
        <v/>
      </c>
      <c r="T839" s="36">
        <f>IF(OR($C839="",$S839=""),"",ROUND(($C839-$S839+IF($C839&lt;$S839,1,0))*1440,0))</f>
        <v/>
      </c>
      <c r="U839" s="22">
        <f>IF(OR($H839="",$T839="",$T839&lt;=0),"",$H839*60/$T839)</f>
        <v/>
      </c>
      <c r="V839" s="37">
        <f>IF(OR($U839="",$R839="",$R839=0),"",$U839/$R839)</f>
        <v/>
      </c>
      <c r="W839" s="20">
        <f>IF($G839="","",IF($X839="CONTEXTE INCOMPLET","CONTEXTE INCOMPLET",IF($X839="DOUBLON",StatutDoublon,IF($S839="",StatutInitial,IF($R839="",StatutStandardManquant,IF($V839="","DONNEES INSUFFISANTES",IF($V839&gt;=SeuilConforme,StatutConforme,IF($V839&gt;=SeuilSurveiller,StatutSurveiller,StatutSousStandard))))))))</f>
        <v/>
      </c>
      <c r="X839" s="33">
        <f>IF($G839="","",IF(OR($D839="",$E839="",$F839=""),"CONTEXTE INCOMPLET",IF(COUNTIFS($D$3:$D838,$D839,$E$3:$E838,$E839,$F$3:$F838,$F839,$G$3:$G838,$G839)&gt;0,"DOUBLON","VALIDE")))</f>
        <v/>
      </c>
    </row>
    <row r="840" ht="15" customHeight="1">
      <c r="A840" s="12">
        <f>IF(OR($B840="",$G840=""),"",TEXT($B840,"YYYYMMDD")&amp;"-"&amp;SUBSTITUTE($E840," ","")&amp;"-"&amp;$F840&amp;"-"&amp;$G840)</f>
        <v/>
      </c>
      <c r="B840" s="15" t="n"/>
      <c r="C840" s="16" t="n"/>
      <c r="D840" s="10" t="n"/>
      <c r="E840" s="9" t="n"/>
      <c r="F840" s="9" t="n"/>
      <c r="G840" s="13" t="n"/>
      <c r="H840" s="21" t="n"/>
      <c r="I840" s="21" t="n"/>
      <c r="J840" s="17">
        <f>IF($G840="","",IFERROR(INDEX(NomsEmployes,MATCH($G840,MatriculesEmployes,0)),"MATRICULE INCONNU"))</f>
        <v/>
      </c>
      <c r="K840" s="33">
        <f>IF(OR($D840="",$F840=""),"",IFERROR(IF(INDEX(RUNS!$L$6:$S$1005,MATCH($D840,RUNS!$A$6:$A$1005,0),MATCH("ACTIVITÉ "&amp;$F840,RUNS!$L$5:$S$5,0))="","",INDEX(RUNS!$L$6:$S$1005,MATCH($D840,RUNS!$A$6:$A$1005,0),MATCH("ACTIVITÉ "&amp;$F840,RUNS!$L$5:$S$5,0))),""))</f>
        <v/>
      </c>
      <c r="L840" s="33">
        <f>IF($D840="","",IFERROR(IF(INDEX(RUNS!$E$6:$E$1005,MATCH($D840,RUNS!$A$6:$A$1005,0))="","",INDEX(RUNS!$E$6:$E$1005,MATCH($D840,RUNS!$A$6:$A$1005,0))),""))</f>
        <v/>
      </c>
      <c r="M840" s="33">
        <f>IF($D840="","",IFERROR(IF(INDEX(RUNS!$F$6:$F$1005,MATCH($D840,RUNS!$A$6:$A$1005,0))="","",INDEX(RUNS!$F$6:$F$1005,MATCH($D840,RUNS!$A$6:$A$1005,0))),""))</f>
        <v/>
      </c>
      <c r="N840" s="33">
        <f>IF($D840="","",IFERROR(IF(INDEX(RUNS!$G$6:$G$1005,MATCH($D840,RUNS!$A$6:$A$1005,0))="","",INDEX(RUNS!$G$6:$G$1005,MATCH($D840,RUNS!$A$6:$A$1005,0))),""))</f>
        <v/>
      </c>
      <c r="O840" s="33">
        <f>IF($D840="","",IFERROR(IF(INDEX(RUNS!$H$6:$H$1005,MATCH($D840,RUNS!$A$6:$A$1005,0))="","",INDEX(RUNS!$H$6:$H$1005,MATCH($D840,RUNS!$A$6:$A$1005,0))),""))</f>
        <v/>
      </c>
      <c r="P840" s="33">
        <f>IF($D840="","",IFERROR(IF(INDEX(RUNS!$J$6:$J$1005,MATCH($D840,RUNS!$A$6:$A$1005,0))="","",INDEX(RUNS!$J$6:$J$1005,MATCH($D840,RUNS!$A$6:$A$1005,0))),""))</f>
        <v/>
      </c>
      <c r="Q840" s="33">
        <f>IF($D840="","",IFERROR(IF(INDEX(RUNS!$K$6:$K$1005,MATCH($D840,RUNS!$A$6:$A$1005,0))="","",INDEX(RUNS!$K$6:$K$1005,MATCH($D840,RUNS!$A$6:$A$1005,0))),""))</f>
        <v/>
      </c>
      <c r="R840" s="34">
        <f>IF(OR($L840="",$K840=""),"",IFERROR(IF(INDEX(PARAMETRES!$H$43:$H$342,MATCH($L840&amp;"|"&amp;$M840&amp;"|"&amp;$N840&amp;"|"&amp;$O840&amp;"|"&amp;$P840&amp;"|"&amp;$Q840&amp;"|"&amp;$K840,PARAMETRES!$J$43:$J$342,0))="","",INDEX(PARAMETRES!$H$43:$H$342,MATCH($L840&amp;"|"&amp;$M840&amp;"|"&amp;$N840&amp;"|"&amp;$O840&amp;"|"&amp;$P840&amp;"|"&amp;$Q840&amp;"|"&amp;$K840,PARAMETRES!$J$43:$J$342,0))),""))</f>
        <v/>
      </c>
      <c r="S840" s="35">
        <f>IF(OR($G840="",$X840&lt;&gt;"VALIDE"),"",IFERROR(LOOKUP(2,1/(($B$3:$B839=$B840)*($G$3:$G839=$G840)*($X$3:$X839="VALIDE")),$C$3:$C839),""))</f>
        <v/>
      </c>
      <c r="T840" s="36">
        <f>IF(OR($C840="",$S840=""),"",ROUND(($C840-$S840+IF($C840&lt;$S840,1,0))*1440,0))</f>
        <v/>
      </c>
      <c r="U840" s="22">
        <f>IF(OR($H840="",$T840="",$T840&lt;=0),"",$H840*60/$T840)</f>
        <v/>
      </c>
      <c r="V840" s="37">
        <f>IF(OR($U840="",$R840="",$R840=0),"",$U840/$R840)</f>
        <v/>
      </c>
      <c r="W840" s="20">
        <f>IF($G840="","",IF($X840="CONTEXTE INCOMPLET","CONTEXTE INCOMPLET",IF($X840="DOUBLON",StatutDoublon,IF($S840="",StatutInitial,IF($R840="",StatutStandardManquant,IF($V840="","DONNEES INSUFFISANTES",IF($V840&gt;=SeuilConforme,StatutConforme,IF($V840&gt;=SeuilSurveiller,StatutSurveiller,StatutSousStandard))))))))</f>
        <v/>
      </c>
      <c r="X840" s="33">
        <f>IF($G840="","",IF(OR($D840="",$E840="",$F840=""),"CONTEXTE INCOMPLET",IF(COUNTIFS($D$3:$D839,$D840,$E$3:$E839,$E840,$F$3:$F839,$F840,$G$3:$G839,$G840)&gt;0,"DOUBLON","VALIDE")))</f>
        <v/>
      </c>
    </row>
    <row r="841" ht="15" customHeight="1">
      <c r="A841" s="12">
        <f>IF(OR($B841="",$G841=""),"",TEXT($B841,"YYYYMMDD")&amp;"-"&amp;SUBSTITUTE($E841," ","")&amp;"-"&amp;$F841&amp;"-"&amp;$G841)</f>
        <v/>
      </c>
      <c r="B841" s="15" t="n"/>
      <c r="C841" s="16" t="n"/>
      <c r="D841" s="10" t="n"/>
      <c r="E841" s="9" t="n"/>
      <c r="F841" s="9" t="n"/>
      <c r="G841" s="13" t="n"/>
      <c r="H841" s="21" t="n"/>
      <c r="I841" s="21" t="n"/>
      <c r="J841" s="17">
        <f>IF($G841="","",IFERROR(INDEX(NomsEmployes,MATCH($G841,MatriculesEmployes,0)),"MATRICULE INCONNU"))</f>
        <v/>
      </c>
      <c r="K841" s="33">
        <f>IF(OR($D841="",$F841=""),"",IFERROR(IF(INDEX(RUNS!$L$6:$S$1005,MATCH($D841,RUNS!$A$6:$A$1005,0),MATCH("ACTIVITÉ "&amp;$F841,RUNS!$L$5:$S$5,0))="","",INDEX(RUNS!$L$6:$S$1005,MATCH($D841,RUNS!$A$6:$A$1005,0),MATCH("ACTIVITÉ "&amp;$F841,RUNS!$L$5:$S$5,0))),""))</f>
        <v/>
      </c>
      <c r="L841" s="33">
        <f>IF($D841="","",IFERROR(IF(INDEX(RUNS!$E$6:$E$1005,MATCH($D841,RUNS!$A$6:$A$1005,0))="","",INDEX(RUNS!$E$6:$E$1005,MATCH($D841,RUNS!$A$6:$A$1005,0))),""))</f>
        <v/>
      </c>
      <c r="M841" s="33">
        <f>IF($D841="","",IFERROR(IF(INDEX(RUNS!$F$6:$F$1005,MATCH($D841,RUNS!$A$6:$A$1005,0))="","",INDEX(RUNS!$F$6:$F$1005,MATCH($D841,RUNS!$A$6:$A$1005,0))),""))</f>
        <v/>
      </c>
      <c r="N841" s="33">
        <f>IF($D841="","",IFERROR(IF(INDEX(RUNS!$G$6:$G$1005,MATCH($D841,RUNS!$A$6:$A$1005,0))="","",INDEX(RUNS!$G$6:$G$1005,MATCH($D841,RUNS!$A$6:$A$1005,0))),""))</f>
        <v/>
      </c>
      <c r="O841" s="33">
        <f>IF($D841="","",IFERROR(IF(INDEX(RUNS!$H$6:$H$1005,MATCH($D841,RUNS!$A$6:$A$1005,0))="","",INDEX(RUNS!$H$6:$H$1005,MATCH($D841,RUNS!$A$6:$A$1005,0))),""))</f>
        <v/>
      </c>
      <c r="P841" s="33">
        <f>IF($D841="","",IFERROR(IF(INDEX(RUNS!$J$6:$J$1005,MATCH($D841,RUNS!$A$6:$A$1005,0))="","",INDEX(RUNS!$J$6:$J$1005,MATCH($D841,RUNS!$A$6:$A$1005,0))),""))</f>
        <v/>
      </c>
      <c r="Q841" s="33">
        <f>IF($D841="","",IFERROR(IF(INDEX(RUNS!$K$6:$K$1005,MATCH($D841,RUNS!$A$6:$A$1005,0))="","",INDEX(RUNS!$K$6:$K$1005,MATCH($D841,RUNS!$A$6:$A$1005,0))),""))</f>
        <v/>
      </c>
      <c r="R841" s="34">
        <f>IF(OR($L841="",$K841=""),"",IFERROR(IF(INDEX(PARAMETRES!$H$43:$H$342,MATCH($L841&amp;"|"&amp;$M841&amp;"|"&amp;$N841&amp;"|"&amp;$O841&amp;"|"&amp;$P841&amp;"|"&amp;$Q841&amp;"|"&amp;$K841,PARAMETRES!$J$43:$J$342,0))="","",INDEX(PARAMETRES!$H$43:$H$342,MATCH($L841&amp;"|"&amp;$M841&amp;"|"&amp;$N841&amp;"|"&amp;$O841&amp;"|"&amp;$P841&amp;"|"&amp;$Q841&amp;"|"&amp;$K841,PARAMETRES!$J$43:$J$342,0))),""))</f>
        <v/>
      </c>
      <c r="S841" s="35">
        <f>IF(OR($G841="",$X841&lt;&gt;"VALIDE"),"",IFERROR(LOOKUP(2,1/(($B$3:$B840=$B841)*($G$3:$G840=$G841)*($X$3:$X840="VALIDE")),$C$3:$C840),""))</f>
        <v/>
      </c>
      <c r="T841" s="36">
        <f>IF(OR($C841="",$S841=""),"",ROUND(($C841-$S841+IF($C841&lt;$S841,1,0))*1440,0))</f>
        <v/>
      </c>
      <c r="U841" s="22">
        <f>IF(OR($H841="",$T841="",$T841&lt;=0),"",$H841*60/$T841)</f>
        <v/>
      </c>
      <c r="V841" s="37">
        <f>IF(OR($U841="",$R841="",$R841=0),"",$U841/$R841)</f>
        <v/>
      </c>
      <c r="W841" s="20">
        <f>IF($G841="","",IF($X841="CONTEXTE INCOMPLET","CONTEXTE INCOMPLET",IF($X841="DOUBLON",StatutDoublon,IF($S841="",StatutInitial,IF($R841="",StatutStandardManquant,IF($V841="","DONNEES INSUFFISANTES",IF($V841&gt;=SeuilConforme,StatutConforme,IF($V841&gt;=SeuilSurveiller,StatutSurveiller,StatutSousStandard))))))))</f>
        <v/>
      </c>
      <c r="X841" s="33">
        <f>IF($G841="","",IF(OR($D841="",$E841="",$F841=""),"CONTEXTE INCOMPLET",IF(COUNTIFS($D$3:$D840,$D841,$E$3:$E840,$E841,$F$3:$F840,$F841,$G$3:$G840,$G841)&gt;0,"DOUBLON","VALIDE")))</f>
        <v/>
      </c>
    </row>
    <row r="842" ht="15" customHeight="1">
      <c r="A842" s="12">
        <f>IF(OR($B842="",$G842=""),"",TEXT($B842,"YYYYMMDD")&amp;"-"&amp;SUBSTITUTE($E842," ","")&amp;"-"&amp;$F842&amp;"-"&amp;$G842)</f>
        <v/>
      </c>
      <c r="B842" s="15" t="n"/>
      <c r="C842" s="16" t="n"/>
      <c r="D842" s="10" t="n"/>
      <c r="E842" s="9" t="n"/>
      <c r="F842" s="9" t="n"/>
      <c r="G842" s="13" t="n"/>
      <c r="H842" s="21" t="n"/>
      <c r="I842" s="21" t="n"/>
      <c r="J842" s="17">
        <f>IF($G842="","",IFERROR(INDEX(NomsEmployes,MATCH($G842,MatriculesEmployes,0)),"MATRICULE INCONNU"))</f>
        <v/>
      </c>
      <c r="K842" s="33">
        <f>IF(OR($D842="",$F842=""),"",IFERROR(IF(INDEX(RUNS!$L$6:$S$1005,MATCH($D842,RUNS!$A$6:$A$1005,0),MATCH("ACTIVITÉ "&amp;$F842,RUNS!$L$5:$S$5,0))="","",INDEX(RUNS!$L$6:$S$1005,MATCH($D842,RUNS!$A$6:$A$1005,0),MATCH("ACTIVITÉ "&amp;$F842,RUNS!$L$5:$S$5,0))),""))</f>
        <v/>
      </c>
      <c r="L842" s="33">
        <f>IF($D842="","",IFERROR(IF(INDEX(RUNS!$E$6:$E$1005,MATCH($D842,RUNS!$A$6:$A$1005,0))="","",INDEX(RUNS!$E$6:$E$1005,MATCH($D842,RUNS!$A$6:$A$1005,0))),""))</f>
        <v/>
      </c>
      <c r="M842" s="33">
        <f>IF($D842="","",IFERROR(IF(INDEX(RUNS!$F$6:$F$1005,MATCH($D842,RUNS!$A$6:$A$1005,0))="","",INDEX(RUNS!$F$6:$F$1005,MATCH($D842,RUNS!$A$6:$A$1005,0))),""))</f>
        <v/>
      </c>
      <c r="N842" s="33">
        <f>IF($D842="","",IFERROR(IF(INDEX(RUNS!$G$6:$G$1005,MATCH($D842,RUNS!$A$6:$A$1005,0))="","",INDEX(RUNS!$G$6:$G$1005,MATCH($D842,RUNS!$A$6:$A$1005,0))),""))</f>
        <v/>
      </c>
      <c r="O842" s="33">
        <f>IF($D842="","",IFERROR(IF(INDEX(RUNS!$H$6:$H$1005,MATCH($D842,RUNS!$A$6:$A$1005,0))="","",INDEX(RUNS!$H$6:$H$1005,MATCH($D842,RUNS!$A$6:$A$1005,0))),""))</f>
        <v/>
      </c>
      <c r="P842" s="33">
        <f>IF($D842="","",IFERROR(IF(INDEX(RUNS!$J$6:$J$1005,MATCH($D842,RUNS!$A$6:$A$1005,0))="","",INDEX(RUNS!$J$6:$J$1005,MATCH($D842,RUNS!$A$6:$A$1005,0))),""))</f>
        <v/>
      </c>
      <c r="Q842" s="33">
        <f>IF($D842="","",IFERROR(IF(INDEX(RUNS!$K$6:$K$1005,MATCH($D842,RUNS!$A$6:$A$1005,0))="","",INDEX(RUNS!$K$6:$K$1005,MATCH($D842,RUNS!$A$6:$A$1005,0))),""))</f>
        <v/>
      </c>
      <c r="R842" s="34">
        <f>IF(OR($L842="",$K842=""),"",IFERROR(IF(INDEX(PARAMETRES!$H$43:$H$342,MATCH($L842&amp;"|"&amp;$M842&amp;"|"&amp;$N842&amp;"|"&amp;$O842&amp;"|"&amp;$P842&amp;"|"&amp;$Q842&amp;"|"&amp;$K842,PARAMETRES!$J$43:$J$342,0))="","",INDEX(PARAMETRES!$H$43:$H$342,MATCH($L842&amp;"|"&amp;$M842&amp;"|"&amp;$N842&amp;"|"&amp;$O842&amp;"|"&amp;$P842&amp;"|"&amp;$Q842&amp;"|"&amp;$K842,PARAMETRES!$J$43:$J$342,0))),""))</f>
        <v/>
      </c>
      <c r="S842" s="35">
        <f>IF(OR($G842="",$X842&lt;&gt;"VALIDE"),"",IFERROR(LOOKUP(2,1/(($B$3:$B841=$B842)*($G$3:$G841=$G842)*($X$3:$X841="VALIDE")),$C$3:$C841),""))</f>
        <v/>
      </c>
      <c r="T842" s="36">
        <f>IF(OR($C842="",$S842=""),"",ROUND(($C842-$S842+IF($C842&lt;$S842,1,0))*1440,0))</f>
        <v/>
      </c>
      <c r="U842" s="22">
        <f>IF(OR($H842="",$T842="",$T842&lt;=0),"",$H842*60/$T842)</f>
        <v/>
      </c>
      <c r="V842" s="37">
        <f>IF(OR($U842="",$R842="",$R842=0),"",$U842/$R842)</f>
        <v/>
      </c>
      <c r="W842" s="20">
        <f>IF($G842="","",IF($X842="CONTEXTE INCOMPLET","CONTEXTE INCOMPLET",IF($X842="DOUBLON",StatutDoublon,IF($S842="",StatutInitial,IF($R842="",StatutStandardManquant,IF($V842="","DONNEES INSUFFISANTES",IF($V842&gt;=SeuilConforme,StatutConforme,IF($V842&gt;=SeuilSurveiller,StatutSurveiller,StatutSousStandard))))))))</f>
        <v/>
      </c>
      <c r="X842" s="33">
        <f>IF($G842="","",IF(OR($D842="",$E842="",$F842=""),"CONTEXTE INCOMPLET",IF(COUNTIFS($D$3:$D841,$D842,$E$3:$E841,$E842,$F$3:$F841,$F842,$G$3:$G841,$G842)&gt;0,"DOUBLON","VALIDE")))</f>
        <v/>
      </c>
    </row>
    <row r="843" ht="15" customHeight="1">
      <c r="A843" s="12">
        <f>IF(OR($B843="",$G843=""),"",TEXT($B843,"YYYYMMDD")&amp;"-"&amp;SUBSTITUTE($E843," ","")&amp;"-"&amp;$F843&amp;"-"&amp;$G843)</f>
        <v/>
      </c>
      <c r="B843" s="15" t="n"/>
      <c r="C843" s="16" t="n"/>
      <c r="D843" s="10" t="n"/>
      <c r="E843" s="9" t="n"/>
      <c r="F843" s="9" t="n"/>
      <c r="G843" s="13" t="n"/>
      <c r="H843" s="21" t="n"/>
      <c r="I843" s="21" t="n"/>
      <c r="J843" s="17">
        <f>IF($G843="","",IFERROR(INDEX(NomsEmployes,MATCH($G843,MatriculesEmployes,0)),"MATRICULE INCONNU"))</f>
        <v/>
      </c>
      <c r="K843" s="33">
        <f>IF(OR($D843="",$F843=""),"",IFERROR(IF(INDEX(RUNS!$L$6:$S$1005,MATCH($D843,RUNS!$A$6:$A$1005,0),MATCH("ACTIVITÉ "&amp;$F843,RUNS!$L$5:$S$5,0))="","",INDEX(RUNS!$L$6:$S$1005,MATCH($D843,RUNS!$A$6:$A$1005,0),MATCH("ACTIVITÉ "&amp;$F843,RUNS!$L$5:$S$5,0))),""))</f>
        <v/>
      </c>
      <c r="L843" s="33">
        <f>IF($D843="","",IFERROR(IF(INDEX(RUNS!$E$6:$E$1005,MATCH($D843,RUNS!$A$6:$A$1005,0))="","",INDEX(RUNS!$E$6:$E$1005,MATCH($D843,RUNS!$A$6:$A$1005,0))),""))</f>
        <v/>
      </c>
      <c r="M843" s="33">
        <f>IF($D843="","",IFERROR(IF(INDEX(RUNS!$F$6:$F$1005,MATCH($D843,RUNS!$A$6:$A$1005,0))="","",INDEX(RUNS!$F$6:$F$1005,MATCH($D843,RUNS!$A$6:$A$1005,0))),""))</f>
        <v/>
      </c>
      <c r="N843" s="33">
        <f>IF($D843="","",IFERROR(IF(INDEX(RUNS!$G$6:$G$1005,MATCH($D843,RUNS!$A$6:$A$1005,0))="","",INDEX(RUNS!$G$6:$G$1005,MATCH($D843,RUNS!$A$6:$A$1005,0))),""))</f>
        <v/>
      </c>
      <c r="O843" s="33">
        <f>IF($D843="","",IFERROR(IF(INDEX(RUNS!$H$6:$H$1005,MATCH($D843,RUNS!$A$6:$A$1005,0))="","",INDEX(RUNS!$H$6:$H$1005,MATCH($D843,RUNS!$A$6:$A$1005,0))),""))</f>
        <v/>
      </c>
      <c r="P843" s="33">
        <f>IF($D843="","",IFERROR(IF(INDEX(RUNS!$J$6:$J$1005,MATCH($D843,RUNS!$A$6:$A$1005,0))="","",INDEX(RUNS!$J$6:$J$1005,MATCH($D843,RUNS!$A$6:$A$1005,0))),""))</f>
        <v/>
      </c>
      <c r="Q843" s="33">
        <f>IF($D843="","",IFERROR(IF(INDEX(RUNS!$K$6:$K$1005,MATCH($D843,RUNS!$A$6:$A$1005,0))="","",INDEX(RUNS!$K$6:$K$1005,MATCH($D843,RUNS!$A$6:$A$1005,0))),""))</f>
        <v/>
      </c>
      <c r="R843" s="34">
        <f>IF(OR($L843="",$K843=""),"",IFERROR(IF(INDEX(PARAMETRES!$H$43:$H$342,MATCH($L843&amp;"|"&amp;$M843&amp;"|"&amp;$N843&amp;"|"&amp;$O843&amp;"|"&amp;$P843&amp;"|"&amp;$Q843&amp;"|"&amp;$K843,PARAMETRES!$J$43:$J$342,0))="","",INDEX(PARAMETRES!$H$43:$H$342,MATCH($L843&amp;"|"&amp;$M843&amp;"|"&amp;$N843&amp;"|"&amp;$O843&amp;"|"&amp;$P843&amp;"|"&amp;$Q843&amp;"|"&amp;$K843,PARAMETRES!$J$43:$J$342,0))),""))</f>
        <v/>
      </c>
      <c r="S843" s="35">
        <f>IF(OR($G843="",$X843&lt;&gt;"VALIDE"),"",IFERROR(LOOKUP(2,1/(($B$3:$B842=$B843)*($G$3:$G842=$G843)*($X$3:$X842="VALIDE")),$C$3:$C842),""))</f>
        <v/>
      </c>
      <c r="T843" s="36">
        <f>IF(OR($C843="",$S843=""),"",ROUND(($C843-$S843+IF($C843&lt;$S843,1,0))*1440,0))</f>
        <v/>
      </c>
      <c r="U843" s="22">
        <f>IF(OR($H843="",$T843="",$T843&lt;=0),"",$H843*60/$T843)</f>
        <v/>
      </c>
      <c r="V843" s="37">
        <f>IF(OR($U843="",$R843="",$R843=0),"",$U843/$R843)</f>
        <v/>
      </c>
      <c r="W843" s="20">
        <f>IF($G843="","",IF($X843="CONTEXTE INCOMPLET","CONTEXTE INCOMPLET",IF($X843="DOUBLON",StatutDoublon,IF($S843="",StatutInitial,IF($R843="",StatutStandardManquant,IF($V843="","DONNEES INSUFFISANTES",IF($V843&gt;=SeuilConforme,StatutConforme,IF($V843&gt;=SeuilSurveiller,StatutSurveiller,StatutSousStandard))))))))</f>
        <v/>
      </c>
      <c r="X843" s="33">
        <f>IF($G843="","",IF(OR($D843="",$E843="",$F843=""),"CONTEXTE INCOMPLET",IF(COUNTIFS($D$3:$D842,$D843,$E$3:$E842,$E843,$F$3:$F842,$F843,$G$3:$G842,$G843)&gt;0,"DOUBLON","VALIDE")))</f>
        <v/>
      </c>
    </row>
    <row r="844" ht="15" customHeight="1">
      <c r="A844" s="12">
        <f>IF(OR($B844="",$G844=""),"",TEXT($B844,"YYYYMMDD")&amp;"-"&amp;SUBSTITUTE($E844," ","")&amp;"-"&amp;$F844&amp;"-"&amp;$G844)</f>
        <v/>
      </c>
      <c r="B844" s="15" t="n"/>
      <c r="C844" s="16" t="n"/>
      <c r="D844" s="10" t="n"/>
      <c r="E844" s="9" t="n"/>
      <c r="F844" s="9" t="n"/>
      <c r="G844" s="13" t="n"/>
      <c r="H844" s="21" t="n"/>
      <c r="I844" s="21" t="n"/>
      <c r="J844" s="17">
        <f>IF($G844="","",IFERROR(INDEX(NomsEmployes,MATCH($G844,MatriculesEmployes,0)),"MATRICULE INCONNU"))</f>
        <v/>
      </c>
      <c r="K844" s="33">
        <f>IF(OR($D844="",$F844=""),"",IFERROR(IF(INDEX(RUNS!$L$6:$S$1005,MATCH($D844,RUNS!$A$6:$A$1005,0),MATCH("ACTIVITÉ "&amp;$F844,RUNS!$L$5:$S$5,0))="","",INDEX(RUNS!$L$6:$S$1005,MATCH($D844,RUNS!$A$6:$A$1005,0),MATCH("ACTIVITÉ "&amp;$F844,RUNS!$L$5:$S$5,0))),""))</f>
        <v/>
      </c>
      <c r="L844" s="33">
        <f>IF($D844="","",IFERROR(IF(INDEX(RUNS!$E$6:$E$1005,MATCH($D844,RUNS!$A$6:$A$1005,0))="","",INDEX(RUNS!$E$6:$E$1005,MATCH($D844,RUNS!$A$6:$A$1005,0))),""))</f>
        <v/>
      </c>
      <c r="M844" s="33">
        <f>IF($D844="","",IFERROR(IF(INDEX(RUNS!$F$6:$F$1005,MATCH($D844,RUNS!$A$6:$A$1005,0))="","",INDEX(RUNS!$F$6:$F$1005,MATCH($D844,RUNS!$A$6:$A$1005,0))),""))</f>
        <v/>
      </c>
      <c r="N844" s="33">
        <f>IF($D844="","",IFERROR(IF(INDEX(RUNS!$G$6:$G$1005,MATCH($D844,RUNS!$A$6:$A$1005,0))="","",INDEX(RUNS!$G$6:$G$1005,MATCH($D844,RUNS!$A$6:$A$1005,0))),""))</f>
        <v/>
      </c>
      <c r="O844" s="33">
        <f>IF($D844="","",IFERROR(IF(INDEX(RUNS!$H$6:$H$1005,MATCH($D844,RUNS!$A$6:$A$1005,0))="","",INDEX(RUNS!$H$6:$H$1005,MATCH($D844,RUNS!$A$6:$A$1005,0))),""))</f>
        <v/>
      </c>
      <c r="P844" s="33">
        <f>IF($D844="","",IFERROR(IF(INDEX(RUNS!$J$6:$J$1005,MATCH($D844,RUNS!$A$6:$A$1005,0))="","",INDEX(RUNS!$J$6:$J$1005,MATCH($D844,RUNS!$A$6:$A$1005,0))),""))</f>
        <v/>
      </c>
      <c r="Q844" s="33">
        <f>IF($D844="","",IFERROR(IF(INDEX(RUNS!$K$6:$K$1005,MATCH($D844,RUNS!$A$6:$A$1005,0))="","",INDEX(RUNS!$K$6:$K$1005,MATCH($D844,RUNS!$A$6:$A$1005,0))),""))</f>
        <v/>
      </c>
      <c r="R844" s="34">
        <f>IF(OR($L844="",$K844=""),"",IFERROR(IF(INDEX(PARAMETRES!$H$43:$H$342,MATCH($L844&amp;"|"&amp;$M844&amp;"|"&amp;$N844&amp;"|"&amp;$O844&amp;"|"&amp;$P844&amp;"|"&amp;$Q844&amp;"|"&amp;$K844,PARAMETRES!$J$43:$J$342,0))="","",INDEX(PARAMETRES!$H$43:$H$342,MATCH($L844&amp;"|"&amp;$M844&amp;"|"&amp;$N844&amp;"|"&amp;$O844&amp;"|"&amp;$P844&amp;"|"&amp;$Q844&amp;"|"&amp;$K844,PARAMETRES!$J$43:$J$342,0))),""))</f>
        <v/>
      </c>
      <c r="S844" s="35">
        <f>IF(OR($G844="",$X844&lt;&gt;"VALIDE"),"",IFERROR(LOOKUP(2,1/(($B$3:$B843=$B844)*($G$3:$G843=$G844)*($X$3:$X843="VALIDE")),$C$3:$C843),""))</f>
        <v/>
      </c>
      <c r="T844" s="36">
        <f>IF(OR($C844="",$S844=""),"",ROUND(($C844-$S844+IF($C844&lt;$S844,1,0))*1440,0))</f>
        <v/>
      </c>
      <c r="U844" s="22">
        <f>IF(OR($H844="",$T844="",$T844&lt;=0),"",$H844*60/$T844)</f>
        <v/>
      </c>
      <c r="V844" s="37">
        <f>IF(OR($U844="",$R844="",$R844=0),"",$U844/$R844)</f>
        <v/>
      </c>
      <c r="W844" s="20">
        <f>IF($G844="","",IF($X844="CONTEXTE INCOMPLET","CONTEXTE INCOMPLET",IF($X844="DOUBLON",StatutDoublon,IF($S844="",StatutInitial,IF($R844="",StatutStandardManquant,IF($V844="","DONNEES INSUFFISANTES",IF($V844&gt;=SeuilConforme,StatutConforme,IF($V844&gt;=SeuilSurveiller,StatutSurveiller,StatutSousStandard))))))))</f>
        <v/>
      </c>
      <c r="X844" s="33">
        <f>IF($G844="","",IF(OR($D844="",$E844="",$F844=""),"CONTEXTE INCOMPLET",IF(COUNTIFS($D$3:$D843,$D844,$E$3:$E843,$E844,$F$3:$F843,$F844,$G$3:$G843,$G844)&gt;0,"DOUBLON","VALIDE")))</f>
        <v/>
      </c>
    </row>
    <row r="845" ht="15" customHeight="1">
      <c r="A845" s="12">
        <f>IF(OR($B845="",$G845=""),"",TEXT($B845,"YYYYMMDD")&amp;"-"&amp;SUBSTITUTE($E845," ","")&amp;"-"&amp;$F845&amp;"-"&amp;$G845)</f>
        <v/>
      </c>
      <c r="B845" s="15" t="n"/>
      <c r="C845" s="16" t="n"/>
      <c r="D845" s="10" t="n"/>
      <c r="E845" s="9" t="n"/>
      <c r="F845" s="9" t="n"/>
      <c r="G845" s="13" t="n"/>
      <c r="H845" s="21" t="n"/>
      <c r="I845" s="21" t="n"/>
      <c r="J845" s="17">
        <f>IF($G845="","",IFERROR(INDEX(NomsEmployes,MATCH($G845,MatriculesEmployes,0)),"MATRICULE INCONNU"))</f>
        <v/>
      </c>
      <c r="K845" s="33">
        <f>IF(OR($D845="",$F845=""),"",IFERROR(IF(INDEX(RUNS!$L$6:$S$1005,MATCH($D845,RUNS!$A$6:$A$1005,0),MATCH("ACTIVITÉ "&amp;$F845,RUNS!$L$5:$S$5,0))="","",INDEX(RUNS!$L$6:$S$1005,MATCH($D845,RUNS!$A$6:$A$1005,0),MATCH("ACTIVITÉ "&amp;$F845,RUNS!$L$5:$S$5,0))),""))</f>
        <v/>
      </c>
      <c r="L845" s="33">
        <f>IF($D845="","",IFERROR(IF(INDEX(RUNS!$E$6:$E$1005,MATCH($D845,RUNS!$A$6:$A$1005,0))="","",INDEX(RUNS!$E$6:$E$1005,MATCH($D845,RUNS!$A$6:$A$1005,0))),""))</f>
        <v/>
      </c>
      <c r="M845" s="33">
        <f>IF($D845="","",IFERROR(IF(INDEX(RUNS!$F$6:$F$1005,MATCH($D845,RUNS!$A$6:$A$1005,0))="","",INDEX(RUNS!$F$6:$F$1005,MATCH($D845,RUNS!$A$6:$A$1005,0))),""))</f>
        <v/>
      </c>
      <c r="N845" s="33">
        <f>IF($D845="","",IFERROR(IF(INDEX(RUNS!$G$6:$G$1005,MATCH($D845,RUNS!$A$6:$A$1005,0))="","",INDEX(RUNS!$G$6:$G$1005,MATCH($D845,RUNS!$A$6:$A$1005,0))),""))</f>
        <v/>
      </c>
      <c r="O845" s="33">
        <f>IF($D845="","",IFERROR(IF(INDEX(RUNS!$H$6:$H$1005,MATCH($D845,RUNS!$A$6:$A$1005,0))="","",INDEX(RUNS!$H$6:$H$1005,MATCH($D845,RUNS!$A$6:$A$1005,0))),""))</f>
        <v/>
      </c>
      <c r="P845" s="33">
        <f>IF($D845="","",IFERROR(IF(INDEX(RUNS!$J$6:$J$1005,MATCH($D845,RUNS!$A$6:$A$1005,0))="","",INDEX(RUNS!$J$6:$J$1005,MATCH($D845,RUNS!$A$6:$A$1005,0))),""))</f>
        <v/>
      </c>
      <c r="Q845" s="33">
        <f>IF($D845="","",IFERROR(IF(INDEX(RUNS!$K$6:$K$1005,MATCH($D845,RUNS!$A$6:$A$1005,0))="","",INDEX(RUNS!$K$6:$K$1005,MATCH($D845,RUNS!$A$6:$A$1005,0))),""))</f>
        <v/>
      </c>
      <c r="R845" s="34">
        <f>IF(OR($L845="",$K845=""),"",IFERROR(IF(INDEX(PARAMETRES!$H$43:$H$342,MATCH($L845&amp;"|"&amp;$M845&amp;"|"&amp;$N845&amp;"|"&amp;$O845&amp;"|"&amp;$P845&amp;"|"&amp;$Q845&amp;"|"&amp;$K845,PARAMETRES!$J$43:$J$342,0))="","",INDEX(PARAMETRES!$H$43:$H$342,MATCH($L845&amp;"|"&amp;$M845&amp;"|"&amp;$N845&amp;"|"&amp;$O845&amp;"|"&amp;$P845&amp;"|"&amp;$Q845&amp;"|"&amp;$K845,PARAMETRES!$J$43:$J$342,0))),""))</f>
        <v/>
      </c>
      <c r="S845" s="35">
        <f>IF(OR($G845="",$X845&lt;&gt;"VALIDE"),"",IFERROR(LOOKUP(2,1/(($B$3:$B844=$B845)*($G$3:$G844=$G845)*($X$3:$X844="VALIDE")),$C$3:$C844),""))</f>
        <v/>
      </c>
      <c r="T845" s="36">
        <f>IF(OR($C845="",$S845=""),"",ROUND(($C845-$S845+IF($C845&lt;$S845,1,0))*1440,0))</f>
        <v/>
      </c>
      <c r="U845" s="22">
        <f>IF(OR($H845="",$T845="",$T845&lt;=0),"",$H845*60/$T845)</f>
        <v/>
      </c>
      <c r="V845" s="37">
        <f>IF(OR($U845="",$R845="",$R845=0),"",$U845/$R845)</f>
        <v/>
      </c>
      <c r="W845" s="20">
        <f>IF($G845="","",IF($X845="CONTEXTE INCOMPLET","CONTEXTE INCOMPLET",IF($X845="DOUBLON",StatutDoublon,IF($S845="",StatutInitial,IF($R845="",StatutStandardManquant,IF($V845="","DONNEES INSUFFISANTES",IF($V845&gt;=SeuilConforme,StatutConforme,IF($V845&gt;=SeuilSurveiller,StatutSurveiller,StatutSousStandard))))))))</f>
        <v/>
      </c>
      <c r="X845" s="33">
        <f>IF($G845="","",IF(OR($D845="",$E845="",$F845=""),"CONTEXTE INCOMPLET",IF(COUNTIFS($D$3:$D844,$D845,$E$3:$E844,$E845,$F$3:$F844,$F845,$G$3:$G844,$G845)&gt;0,"DOUBLON","VALIDE")))</f>
        <v/>
      </c>
    </row>
    <row r="846" ht="15" customHeight="1">
      <c r="A846" s="12">
        <f>IF(OR($B846="",$G846=""),"",TEXT($B846,"YYYYMMDD")&amp;"-"&amp;SUBSTITUTE($E846," ","")&amp;"-"&amp;$F846&amp;"-"&amp;$G846)</f>
        <v/>
      </c>
      <c r="B846" s="15" t="n"/>
      <c r="C846" s="16" t="n"/>
      <c r="D846" s="10" t="n"/>
      <c r="E846" s="9" t="n"/>
      <c r="F846" s="9" t="n"/>
      <c r="G846" s="13" t="n"/>
      <c r="H846" s="21" t="n"/>
      <c r="I846" s="21" t="n"/>
      <c r="J846" s="17">
        <f>IF($G846="","",IFERROR(INDEX(NomsEmployes,MATCH($G846,MatriculesEmployes,0)),"MATRICULE INCONNU"))</f>
        <v/>
      </c>
      <c r="K846" s="33">
        <f>IF(OR($D846="",$F846=""),"",IFERROR(IF(INDEX(RUNS!$L$6:$S$1005,MATCH($D846,RUNS!$A$6:$A$1005,0),MATCH("ACTIVITÉ "&amp;$F846,RUNS!$L$5:$S$5,0))="","",INDEX(RUNS!$L$6:$S$1005,MATCH($D846,RUNS!$A$6:$A$1005,0),MATCH("ACTIVITÉ "&amp;$F846,RUNS!$L$5:$S$5,0))),""))</f>
        <v/>
      </c>
      <c r="L846" s="33">
        <f>IF($D846="","",IFERROR(IF(INDEX(RUNS!$E$6:$E$1005,MATCH($D846,RUNS!$A$6:$A$1005,0))="","",INDEX(RUNS!$E$6:$E$1005,MATCH($D846,RUNS!$A$6:$A$1005,0))),""))</f>
        <v/>
      </c>
      <c r="M846" s="33">
        <f>IF($D846="","",IFERROR(IF(INDEX(RUNS!$F$6:$F$1005,MATCH($D846,RUNS!$A$6:$A$1005,0))="","",INDEX(RUNS!$F$6:$F$1005,MATCH($D846,RUNS!$A$6:$A$1005,0))),""))</f>
        <v/>
      </c>
      <c r="N846" s="33">
        <f>IF($D846="","",IFERROR(IF(INDEX(RUNS!$G$6:$G$1005,MATCH($D846,RUNS!$A$6:$A$1005,0))="","",INDEX(RUNS!$G$6:$G$1005,MATCH($D846,RUNS!$A$6:$A$1005,0))),""))</f>
        <v/>
      </c>
      <c r="O846" s="33">
        <f>IF($D846="","",IFERROR(IF(INDEX(RUNS!$H$6:$H$1005,MATCH($D846,RUNS!$A$6:$A$1005,0))="","",INDEX(RUNS!$H$6:$H$1005,MATCH($D846,RUNS!$A$6:$A$1005,0))),""))</f>
        <v/>
      </c>
      <c r="P846" s="33">
        <f>IF($D846="","",IFERROR(IF(INDEX(RUNS!$J$6:$J$1005,MATCH($D846,RUNS!$A$6:$A$1005,0))="","",INDEX(RUNS!$J$6:$J$1005,MATCH($D846,RUNS!$A$6:$A$1005,0))),""))</f>
        <v/>
      </c>
      <c r="Q846" s="33">
        <f>IF($D846="","",IFERROR(IF(INDEX(RUNS!$K$6:$K$1005,MATCH($D846,RUNS!$A$6:$A$1005,0))="","",INDEX(RUNS!$K$6:$K$1005,MATCH($D846,RUNS!$A$6:$A$1005,0))),""))</f>
        <v/>
      </c>
      <c r="R846" s="34">
        <f>IF(OR($L846="",$K846=""),"",IFERROR(IF(INDEX(PARAMETRES!$H$43:$H$342,MATCH($L846&amp;"|"&amp;$M846&amp;"|"&amp;$N846&amp;"|"&amp;$O846&amp;"|"&amp;$P846&amp;"|"&amp;$Q846&amp;"|"&amp;$K846,PARAMETRES!$J$43:$J$342,0))="","",INDEX(PARAMETRES!$H$43:$H$342,MATCH($L846&amp;"|"&amp;$M846&amp;"|"&amp;$N846&amp;"|"&amp;$O846&amp;"|"&amp;$P846&amp;"|"&amp;$Q846&amp;"|"&amp;$K846,PARAMETRES!$J$43:$J$342,0))),""))</f>
        <v/>
      </c>
      <c r="S846" s="35">
        <f>IF(OR($G846="",$X846&lt;&gt;"VALIDE"),"",IFERROR(LOOKUP(2,1/(($B$3:$B845=$B846)*($G$3:$G845=$G846)*($X$3:$X845="VALIDE")),$C$3:$C845),""))</f>
        <v/>
      </c>
      <c r="T846" s="36">
        <f>IF(OR($C846="",$S846=""),"",ROUND(($C846-$S846+IF($C846&lt;$S846,1,0))*1440,0))</f>
        <v/>
      </c>
      <c r="U846" s="22">
        <f>IF(OR($H846="",$T846="",$T846&lt;=0),"",$H846*60/$T846)</f>
        <v/>
      </c>
      <c r="V846" s="37">
        <f>IF(OR($U846="",$R846="",$R846=0),"",$U846/$R846)</f>
        <v/>
      </c>
      <c r="W846" s="20">
        <f>IF($G846="","",IF($X846="CONTEXTE INCOMPLET","CONTEXTE INCOMPLET",IF($X846="DOUBLON",StatutDoublon,IF($S846="",StatutInitial,IF($R846="",StatutStandardManquant,IF($V846="","DONNEES INSUFFISANTES",IF($V846&gt;=SeuilConforme,StatutConforme,IF($V846&gt;=SeuilSurveiller,StatutSurveiller,StatutSousStandard))))))))</f>
        <v/>
      </c>
      <c r="X846" s="33">
        <f>IF($G846="","",IF(OR($D846="",$E846="",$F846=""),"CONTEXTE INCOMPLET",IF(COUNTIFS($D$3:$D845,$D846,$E$3:$E845,$E846,$F$3:$F845,$F846,$G$3:$G845,$G846)&gt;0,"DOUBLON","VALIDE")))</f>
        <v/>
      </c>
    </row>
    <row r="847" ht="15" customHeight="1">
      <c r="A847" s="12">
        <f>IF(OR($B847="",$G847=""),"",TEXT($B847,"YYYYMMDD")&amp;"-"&amp;SUBSTITUTE($E847," ","")&amp;"-"&amp;$F847&amp;"-"&amp;$G847)</f>
        <v/>
      </c>
      <c r="B847" s="15" t="n"/>
      <c r="C847" s="16" t="n"/>
      <c r="D847" s="10" t="n"/>
      <c r="E847" s="9" t="n"/>
      <c r="F847" s="9" t="n"/>
      <c r="G847" s="13" t="n"/>
      <c r="H847" s="21" t="n"/>
      <c r="I847" s="21" t="n"/>
      <c r="J847" s="17">
        <f>IF($G847="","",IFERROR(INDEX(NomsEmployes,MATCH($G847,MatriculesEmployes,0)),"MATRICULE INCONNU"))</f>
        <v/>
      </c>
      <c r="K847" s="33">
        <f>IF(OR($D847="",$F847=""),"",IFERROR(IF(INDEX(RUNS!$L$6:$S$1005,MATCH($D847,RUNS!$A$6:$A$1005,0),MATCH("ACTIVITÉ "&amp;$F847,RUNS!$L$5:$S$5,0))="","",INDEX(RUNS!$L$6:$S$1005,MATCH($D847,RUNS!$A$6:$A$1005,0),MATCH("ACTIVITÉ "&amp;$F847,RUNS!$L$5:$S$5,0))),""))</f>
        <v/>
      </c>
      <c r="L847" s="33">
        <f>IF($D847="","",IFERROR(IF(INDEX(RUNS!$E$6:$E$1005,MATCH($D847,RUNS!$A$6:$A$1005,0))="","",INDEX(RUNS!$E$6:$E$1005,MATCH($D847,RUNS!$A$6:$A$1005,0))),""))</f>
        <v/>
      </c>
      <c r="M847" s="33">
        <f>IF($D847="","",IFERROR(IF(INDEX(RUNS!$F$6:$F$1005,MATCH($D847,RUNS!$A$6:$A$1005,0))="","",INDEX(RUNS!$F$6:$F$1005,MATCH($D847,RUNS!$A$6:$A$1005,0))),""))</f>
        <v/>
      </c>
      <c r="N847" s="33">
        <f>IF($D847="","",IFERROR(IF(INDEX(RUNS!$G$6:$G$1005,MATCH($D847,RUNS!$A$6:$A$1005,0))="","",INDEX(RUNS!$G$6:$G$1005,MATCH($D847,RUNS!$A$6:$A$1005,0))),""))</f>
        <v/>
      </c>
      <c r="O847" s="33">
        <f>IF($D847="","",IFERROR(IF(INDEX(RUNS!$H$6:$H$1005,MATCH($D847,RUNS!$A$6:$A$1005,0))="","",INDEX(RUNS!$H$6:$H$1005,MATCH($D847,RUNS!$A$6:$A$1005,0))),""))</f>
        <v/>
      </c>
      <c r="P847" s="33">
        <f>IF($D847="","",IFERROR(IF(INDEX(RUNS!$J$6:$J$1005,MATCH($D847,RUNS!$A$6:$A$1005,0))="","",INDEX(RUNS!$J$6:$J$1005,MATCH($D847,RUNS!$A$6:$A$1005,0))),""))</f>
        <v/>
      </c>
      <c r="Q847" s="33">
        <f>IF($D847="","",IFERROR(IF(INDEX(RUNS!$K$6:$K$1005,MATCH($D847,RUNS!$A$6:$A$1005,0))="","",INDEX(RUNS!$K$6:$K$1005,MATCH($D847,RUNS!$A$6:$A$1005,0))),""))</f>
        <v/>
      </c>
      <c r="R847" s="34">
        <f>IF(OR($L847="",$K847=""),"",IFERROR(IF(INDEX(PARAMETRES!$H$43:$H$342,MATCH($L847&amp;"|"&amp;$M847&amp;"|"&amp;$N847&amp;"|"&amp;$O847&amp;"|"&amp;$P847&amp;"|"&amp;$Q847&amp;"|"&amp;$K847,PARAMETRES!$J$43:$J$342,0))="","",INDEX(PARAMETRES!$H$43:$H$342,MATCH($L847&amp;"|"&amp;$M847&amp;"|"&amp;$N847&amp;"|"&amp;$O847&amp;"|"&amp;$P847&amp;"|"&amp;$Q847&amp;"|"&amp;$K847,PARAMETRES!$J$43:$J$342,0))),""))</f>
        <v/>
      </c>
      <c r="S847" s="35">
        <f>IF(OR($G847="",$X847&lt;&gt;"VALIDE"),"",IFERROR(LOOKUP(2,1/(($B$3:$B846=$B847)*($G$3:$G846=$G847)*($X$3:$X846="VALIDE")),$C$3:$C846),""))</f>
        <v/>
      </c>
      <c r="T847" s="36">
        <f>IF(OR($C847="",$S847=""),"",ROUND(($C847-$S847+IF($C847&lt;$S847,1,0))*1440,0))</f>
        <v/>
      </c>
      <c r="U847" s="22">
        <f>IF(OR($H847="",$T847="",$T847&lt;=0),"",$H847*60/$T847)</f>
        <v/>
      </c>
      <c r="V847" s="37">
        <f>IF(OR($U847="",$R847="",$R847=0),"",$U847/$R847)</f>
        <v/>
      </c>
      <c r="W847" s="20">
        <f>IF($G847="","",IF($X847="CONTEXTE INCOMPLET","CONTEXTE INCOMPLET",IF($X847="DOUBLON",StatutDoublon,IF($S847="",StatutInitial,IF($R847="",StatutStandardManquant,IF($V847="","DONNEES INSUFFISANTES",IF($V847&gt;=SeuilConforme,StatutConforme,IF($V847&gt;=SeuilSurveiller,StatutSurveiller,StatutSousStandard))))))))</f>
        <v/>
      </c>
      <c r="X847" s="33">
        <f>IF($G847="","",IF(OR($D847="",$E847="",$F847=""),"CONTEXTE INCOMPLET",IF(COUNTIFS($D$3:$D846,$D847,$E$3:$E846,$E847,$F$3:$F846,$F847,$G$3:$G846,$G847)&gt;0,"DOUBLON","VALIDE")))</f>
        <v/>
      </c>
    </row>
    <row r="848" ht="15" customHeight="1">
      <c r="A848" s="12">
        <f>IF(OR($B848="",$G848=""),"",TEXT($B848,"YYYYMMDD")&amp;"-"&amp;SUBSTITUTE($E848," ","")&amp;"-"&amp;$F848&amp;"-"&amp;$G848)</f>
        <v/>
      </c>
      <c r="B848" s="15" t="n"/>
      <c r="C848" s="16" t="n"/>
      <c r="D848" s="10" t="n"/>
      <c r="E848" s="9" t="n"/>
      <c r="F848" s="9" t="n"/>
      <c r="G848" s="13" t="n"/>
      <c r="H848" s="21" t="n"/>
      <c r="I848" s="21" t="n"/>
      <c r="J848" s="17">
        <f>IF($G848="","",IFERROR(INDEX(NomsEmployes,MATCH($G848,MatriculesEmployes,0)),"MATRICULE INCONNU"))</f>
        <v/>
      </c>
      <c r="K848" s="33">
        <f>IF(OR($D848="",$F848=""),"",IFERROR(IF(INDEX(RUNS!$L$6:$S$1005,MATCH($D848,RUNS!$A$6:$A$1005,0),MATCH("ACTIVITÉ "&amp;$F848,RUNS!$L$5:$S$5,0))="","",INDEX(RUNS!$L$6:$S$1005,MATCH($D848,RUNS!$A$6:$A$1005,0),MATCH("ACTIVITÉ "&amp;$F848,RUNS!$L$5:$S$5,0))),""))</f>
        <v/>
      </c>
      <c r="L848" s="33">
        <f>IF($D848="","",IFERROR(IF(INDEX(RUNS!$E$6:$E$1005,MATCH($D848,RUNS!$A$6:$A$1005,0))="","",INDEX(RUNS!$E$6:$E$1005,MATCH($D848,RUNS!$A$6:$A$1005,0))),""))</f>
        <v/>
      </c>
      <c r="M848" s="33">
        <f>IF($D848="","",IFERROR(IF(INDEX(RUNS!$F$6:$F$1005,MATCH($D848,RUNS!$A$6:$A$1005,0))="","",INDEX(RUNS!$F$6:$F$1005,MATCH($D848,RUNS!$A$6:$A$1005,0))),""))</f>
        <v/>
      </c>
      <c r="N848" s="33">
        <f>IF($D848="","",IFERROR(IF(INDEX(RUNS!$G$6:$G$1005,MATCH($D848,RUNS!$A$6:$A$1005,0))="","",INDEX(RUNS!$G$6:$G$1005,MATCH($D848,RUNS!$A$6:$A$1005,0))),""))</f>
        <v/>
      </c>
      <c r="O848" s="33">
        <f>IF($D848="","",IFERROR(IF(INDEX(RUNS!$H$6:$H$1005,MATCH($D848,RUNS!$A$6:$A$1005,0))="","",INDEX(RUNS!$H$6:$H$1005,MATCH($D848,RUNS!$A$6:$A$1005,0))),""))</f>
        <v/>
      </c>
      <c r="P848" s="33">
        <f>IF($D848="","",IFERROR(IF(INDEX(RUNS!$J$6:$J$1005,MATCH($D848,RUNS!$A$6:$A$1005,0))="","",INDEX(RUNS!$J$6:$J$1005,MATCH($D848,RUNS!$A$6:$A$1005,0))),""))</f>
        <v/>
      </c>
      <c r="Q848" s="33">
        <f>IF($D848="","",IFERROR(IF(INDEX(RUNS!$K$6:$K$1005,MATCH($D848,RUNS!$A$6:$A$1005,0))="","",INDEX(RUNS!$K$6:$K$1005,MATCH($D848,RUNS!$A$6:$A$1005,0))),""))</f>
        <v/>
      </c>
      <c r="R848" s="34">
        <f>IF(OR($L848="",$K848=""),"",IFERROR(IF(INDEX(PARAMETRES!$H$43:$H$342,MATCH($L848&amp;"|"&amp;$M848&amp;"|"&amp;$N848&amp;"|"&amp;$O848&amp;"|"&amp;$P848&amp;"|"&amp;$Q848&amp;"|"&amp;$K848,PARAMETRES!$J$43:$J$342,0))="","",INDEX(PARAMETRES!$H$43:$H$342,MATCH($L848&amp;"|"&amp;$M848&amp;"|"&amp;$N848&amp;"|"&amp;$O848&amp;"|"&amp;$P848&amp;"|"&amp;$Q848&amp;"|"&amp;$K848,PARAMETRES!$J$43:$J$342,0))),""))</f>
        <v/>
      </c>
      <c r="S848" s="35">
        <f>IF(OR($G848="",$X848&lt;&gt;"VALIDE"),"",IFERROR(LOOKUP(2,1/(($B$3:$B847=$B848)*($G$3:$G847=$G848)*($X$3:$X847="VALIDE")),$C$3:$C847),""))</f>
        <v/>
      </c>
      <c r="T848" s="36">
        <f>IF(OR($C848="",$S848=""),"",ROUND(($C848-$S848+IF($C848&lt;$S848,1,0))*1440,0))</f>
        <v/>
      </c>
      <c r="U848" s="22">
        <f>IF(OR($H848="",$T848="",$T848&lt;=0),"",$H848*60/$T848)</f>
        <v/>
      </c>
      <c r="V848" s="37">
        <f>IF(OR($U848="",$R848="",$R848=0),"",$U848/$R848)</f>
        <v/>
      </c>
      <c r="W848" s="20">
        <f>IF($G848="","",IF($X848="CONTEXTE INCOMPLET","CONTEXTE INCOMPLET",IF($X848="DOUBLON",StatutDoublon,IF($S848="",StatutInitial,IF($R848="",StatutStandardManquant,IF($V848="","DONNEES INSUFFISANTES",IF($V848&gt;=SeuilConforme,StatutConforme,IF($V848&gt;=SeuilSurveiller,StatutSurveiller,StatutSousStandard))))))))</f>
        <v/>
      </c>
      <c r="X848" s="33">
        <f>IF($G848="","",IF(OR($D848="",$E848="",$F848=""),"CONTEXTE INCOMPLET",IF(COUNTIFS($D$3:$D847,$D848,$E$3:$E847,$E848,$F$3:$F847,$F848,$G$3:$G847,$G848)&gt;0,"DOUBLON","VALIDE")))</f>
        <v/>
      </c>
    </row>
    <row r="849" ht="15" customHeight="1">
      <c r="A849" s="12">
        <f>IF(OR($B849="",$G849=""),"",TEXT($B849,"YYYYMMDD")&amp;"-"&amp;SUBSTITUTE($E849," ","")&amp;"-"&amp;$F849&amp;"-"&amp;$G849)</f>
        <v/>
      </c>
      <c r="B849" s="15" t="n"/>
      <c r="C849" s="16" t="n"/>
      <c r="D849" s="10" t="n"/>
      <c r="E849" s="9" t="n"/>
      <c r="F849" s="9" t="n"/>
      <c r="G849" s="13" t="n"/>
      <c r="H849" s="21" t="n"/>
      <c r="I849" s="21" t="n"/>
      <c r="J849" s="17">
        <f>IF($G849="","",IFERROR(INDEX(NomsEmployes,MATCH($G849,MatriculesEmployes,0)),"MATRICULE INCONNU"))</f>
        <v/>
      </c>
      <c r="K849" s="33">
        <f>IF(OR($D849="",$F849=""),"",IFERROR(IF(INDEX(RUNS!$L$6:$S$1005,MATCH($D849,RUNS!$A$6:$A$1005,0),MATCH("ACTIVITÉ "&amp;$F849,RUNS!$L$5:$S$5,0))="","",INDEX(RUNS!$L$6:$S$1005,MATCH($D849,RUNS!$A$6:$A$1005,0),MATCH("ACTIVITÉ "&amp;$F849,RUNS!$L$5:$S$5,0))),""))</f>
        <v/>
      </c>
      <c r="L849" s="33">
        <f>IF($D849="","",IFERROR(IF(INDEX(RUNS!$E$6:$E$1005,MATCH($D849,RUNS!$A$6:$A$1005,0))="","",INDEX(RUNS!$E$6:$E$1005,MATCH($D849,RUNS!$A$6:$A$1005,0))),""))</f>
        <v/>
      </c>
      <c r="M849" s="33">
        <f>IF($D849="","",IFERROR(IF(INDEX(RUNS!$F$6:$F$1005,MATCH($D849,RUNS!$A$6:$A$1005,0))="","",INDEX(RUNS!$F$6:$F$1005,MATCH($D849,RUNS!$A$6:$A$1005,0))),""))</f>
        <v/>
      </c>
      <c r="N849" s="33">
        <f>IF($D849="","",IFERROR(IF(INDEX(RUNS!$G$6:$G$1005,MATCH($D849,RUNS!$A$6:$A$1005,0))="","",INDEX(RUNS!$G$6:$G$1005,MATCH($D849,RUNS!$A$6:$A$1005,0))),""))</f>
        <v/>
      </c>
      <c r="O849" s="33">
        <f>IF($D849="","",IFERROR(IF(INDEX(RUNS!$H$6:$H$1005,MATCH($D849,RUNS!$A$6:$A$1005,0))="","",INDEX(RUNS!$H$6:$H$1005,MATCH($D849,RUNS!$A$6:$A$1005,0))),""))</f>
        <v/>
      </c>
      <c r="P849" s="33">
        <f>IF($D849="","",IFERROR(IF(INDEX(RUNS!$J$6:$J$1005,MATCH($D849,RUNS!$A$6:$A$1005,0))="","",INDEX(RUNS!$J$6:$J$1005,MATCH($D849,RUNS!$A$6:$A$1005,0))),""))</f>
        <v/>
      </c>
      <c r="Q849" s="33">
        <f>IF($D849="","",IFERROR(IF(INDEX(RUNS!$K$6:$K$1005,MATCH($D849,RUNS!$A$6:$A$1005,0))="","",INDEX(RUNS!$K$6:$K$1005,MATCH($D849,RUNS!$A$6:$A$1005,0))),""))</f>
        <v/>
      </c>
      <c r="R849" s="34">
        <f>IF(OR($L849="",$K849=""),"",IFERROR(IF(INDEX(PARAMETRES!$H$43:$H$342,MATCH($L849&amp;"|"&amp;$M849&amp;"|"&amp;$N849&amp;"|"&amp;$O849&amp;"|"&amp;$P849&amp;"|"&amp;$Q849&amp;"|"&amp;$K849,PARAMETRES!$J$43:$J$342,0))="","",INDEX(PARAMETRES!$H$43:$H$342,MATCH($L849&amp;"|"&amp;$M849&amp;"|"&amp;$N849&amp;"|"&amp;$O849&amp;"|"&amp;$P849&amp;"|"&amp;$Q849&amp;"|"&amp;$K849,PARAMETRES!$J$43:$J$342,0))),""))</f>
        <v/>
      </c>
      <c r="S849" s="35">
        <f>IF(OR($G849="",$X849&lt;&gt;"VALIDE"),"",IFERROR(LOOKUP(2,1/(($B$3:$B848=$B849)*($G$3:$G848=$G849)*($X$3:$X848="VALIDE")),$C$3:$C848),""))</f>
        <v/>
      </c>
      <c r="T849" s="36">
        <f>IF(OR($C849="",$S849=""),"",ROUND(($C849-$S849+IF($C849&lt;$S849,1,0))*1440,0))</f>
        <v/>
      </c>
      <c r="U849" s="22">
        <f>IF(OR($H849="",$T849="",$T849&lt;=0),"",$H849*60/$T849)</f>
        <v/>
      </c>
      <c r="V849" s="37">
        <f>IF(OR($U849="",$R849="",$R849=0),"",$U849/$R849)</f>
        <v/>
      </c>
      <c r="W849" s="20">
        <f>IF($G849="","",IF($X849="CONTEXTE INCOMPLET","CONTEXTE INCOMPLET",IF($X849="DOUBLON",StatutDoublon,IF($S849="",StatutInitial,IF($R849="",StatutStandardManquant,IF($V849="","DONNEES INSUFFISANTES",IF($V849&gt;=SeuilConforme,StatutConforme,IF($V849&gt;=SeuilSurveiller,StatutSurveiller,StatutSousStandard))))))))</f>
        <v/>
      </c>
      <c r="X849" s="33">
        <f>IF($G849="","",IF(OR($D849="",$E849="",$F849=""),"CONTEXTE INCOMPLET",IF(COUNTIFS($D$3:$D848,$D849,$E$3:$E848,$E849,$F$3:$F848,$F849,$G$3:$G848,$G849)&gt;0,"DOUBLON","VALIDE")))</f>
        <v/>
      </c>
    </row>
    <row r="850" ht="15" customHeight="1">
      <c r="A850" s="12">
        <f>IF(OR($B850="",$G850=""),"",TEXT($B850,"YYYYMMDD")&amp;"-"&amp;SUBSTITUTE($E850," ","")&amp;"-"&amp;$F850&amp;"-"&amp;$G850)</f>
        <v/>
      </c>
      <c r="B850" s="15" t="n"/>
      <c r="C850" s="16" t="n"/>
      <c r="D850" s="10" t="n"/>
      <c r="E850" s="9" t="n"/>
      <c r="F850" s="9" t="n"/>
      <c r="G850" s="13" t="n"/>
      <c r="H850" s="21" t="n"/>
      <c r="I850" s="21" t="n"/>
      <c r="J850" s="17">
        <f>IF($G850="","",IFERROR(INDEX(NomsEmployes,MATCH($G850,MatriculesEmployes,0)),"MATRICULE INCONNU"))</f>
        <v/>
      </c>
      <c r="K850" s="33">
        <f>IF(OR($D850="",$F850=""),"",IFERROR(IF(INDEX(RUNS!$L$6:$S$1005,MATCH($D850,RUNS!$A$6:$A$1005,0),MATCH("ACTIVITÉ "&amp;$F850,RUNS!$L$5:$S$5,0))="","",INDEX(RUNS!$L$6:$S$1005,MATCH($D850,RUNS!$A$6:$A$1005,0),MATCH("ACTIVITÉ "&amp;$F850,RUNS!$L$5:$S$5,0))),""))</f>
        <v/>
      </c>
      <c r="L850" s="33">
        <f>IF($D850="","",IFERROR(IF(INDEX(RUNS!$E$6:$E$1005,MATCH($D850,RUNS!$A$6:$A$1005,0))="","",INDEX(RUNS!$E$6:$E$1005,MATCH($D850,RUNS!$A$6:$A$1005,0))),""))</f>
        <v/>
      </c>
      <c r="M850" s="33">
        <f>IF($D850="","",IFERROR(IF(INDEX(RUNS!$F$6:$F$1005,MATCH($D850,RUNS!$A$6:$A$1005,0))="","",INDEX(RUNS!$F$6:$F$1005,MATCH($D850,RUNS!$A$6:$A$1005,0))),""))</f>
        <v/>
      </c>
      <c r="N850" s="33">
        <f>IF($D850="","",IFERROR(IF(INDEX(RUNS!$G$6:$G$1005,MATCH($D850,RUNS!$A$6:$A$1005,0))="","",INDEX(RUNS!$G$6:$G$1005,MATCH($D850,RUNS!$A$6:$A$1005,0))),""))</f>
        <v/>
      </c>
      <c r="O850" s="33">
        <f>IF($D850="","",IFERROR(IF(INDEX(RUNS!$H$6:$H$1005,MATCH($D850,RUNS!$A$6:$A$1005,0))="","",INDEX(RUNS!$H$6:$H$1005,MATCH($D850,RUNS!$A$6:$A$1005,0))),""))</f>
        <v/>
      </c>
      <c r="P850" s="33">
        <f>IF($D850="","",IFERROR(IF(INDEX(RUNS!$J$6:$J$1005,MATCH($D850,RUNS!$A$6:$A$1005,0))="","",INDEX(RUNS!$J$6:$J$1005,MATCH($D850,RUNS!$A$6:$A$1005,0))),""))</f>
        <v/>
      </c>
      <c r="Q850" s="33">
        <f>IF($D850="","",IFERROR(IF(INDEX(RUNS!$K$6:$K$1005,MATCH($D850,RUNS!$A$6:$A$1005,0))="","",INDEX(RUNS!$K$6:$K$1005,MATCH($D850,RUNS!$A$6:$A$1005,0))),""))</f>
        <v/>
      </c>
      <c r="R850" s="34">
        <f>IF(OR($L850="",$K850=""),"",IFERROR(IF(INDEX(PARAMETRES!$H$43:$H$342,MATCH($L850&amp;"|"&amp;$M850&amp;"|"&amp;$N850&amp;"|"&amp;$O850&amp;"|"&amp;$P850&amp;"|"&amp;$Q850&amp;"|"&amp;$K850,PARAMETRES!$J$43:$J$342,0))="","",INDEX(PARAMETRES!$H$43:$H$342,MATCH($L850&amp;"|"&amp;$M850&amp;"|"&amp;$N850&amp;"|"&amp;$O850&amp;"|"&amp;$P850&amp;"|"&amp;$Q850&amp;"|"&amp;$K850,PARAMETRES!$J$43:$J$342,0))),""))</f>
        <v/>
      </c>
      <c r="S850" s="35">
        <f>IF(OR($G850="",$X850&lt;&gt;"VALIDE"),"",IFERROR(LOOKUP(2,1/(($B$3:$B849=$B850)*($G$3:$G849=$G850)*($X$3:$X849="VALIDE")),$C$3:$C849),""))</f>
        <v/>
      </c>
      <c r="T850" s="36">
        <f>IF(OR($C850="",$S850=""),"",ROUND(($C850-$S850+IF($C850&lt;$S850,1,0))*1440,0))</f>
        <v/>
      </c>
      <c r="U850" s="22">
        <f>IF(OR($H850="",$T850="",$T850&lt;=0),"",$H850*60/$T850)</f>
        <v/>
      </c>
      <c r="V850" s="37">
        <f>IF(OR($U850="",$R850="",$R850=0),"",$U850/$R850)</f>
        <v/>
      </c>
      <c r="W850" s="20">
        <f>IF($G850="","",IF($X850="CONTEXTE INCOMPLET","CONTEXTE INCOMPLET",IF($X850="DOUBLON",StatutDoublon,IF($S850="",StatutInitial,IF($R850="",StatutStandardManquant,IF($V850="","DONNEES INSUFFISANTES",IF($V850&gt;=SeuilConforme,StatutConforme,IF($V850&gt;=SeuilSurveiller,StatutSurveiller,StatutSousStandard))))))))</f>
        <v/>
      </c>
      <c r="X850" s="33">
        <f>IF($G850="","",IF(OR($D850="",$E850="",$F850=""),"CONTEXTE INCOMPLET",IF(COUNTIFS($D$3:$D849,$D850,$E$3:$E849,$E850,$F$3:$F849,$F850,$G$3:$G849,$G850)&gt;0,"DOUBLON","VALIDE")))</f>
        <v/>
      </c>
    </row>
    <row r="851" ht="15" customHeight="1">
      <c r="A851" s="12">
        <f>IF(OR($B851="",$G851=""),"",TEXT($B851,"YYYYMMDD")&amp;"-"&amp;SUBSTITUTE($E851," ","")&amp;"-"&amp;$F851&amp;"-"&amp;$G851)</f>
        <v/>
      </c>
      <c r="B851" s="15" t="n"/>
      <c r="C851" s="16" t="n"/>
      <c r="D851" s="10" t="n"/>
      <c r="E851" s="9" t="n"/>
      <c r="F851" s="9" t="n"/>
      <c r="G851" s="13" t="n"/>
      <c r="H851" s="21" t="n"/>
      <c r="I851" s="21" t="n"/>
      <c r="J851" s="17">
        <f>IF($G851="","",IFERROR(INDEX(NomsEmployes,MATCH($G851,MatriculesEmployes,0)),"MATRICULE INCONNU"))</f>
        <v/>
      </c>
      <c r="K851" s="33">
        <f>IF(OR($D851="",$F851=""),"",IFERROR(IF(INDEX(RUNS!$L$6:$S$1005,MATCH($D851,RUNS!$A$6:$A$1005,0),MATCH("ACTIVITÉ "&amp;$F851,RUNS!$L$5:$S$5,0))="","",INDEX(RUNS!$L$6:$S$1005,MATCH($D851,RUNS!$A$6:$A$1005,0),MATCH("ACTIVITÉ "&amp;$F851,RUNS!$L$5:$S$5,0))),""))</f>
        <v/>
      </c>
      <c r="L851" s="33">
        <f>IF($D851="","",IFERROR(IF(INDEX(RUNS!$E$6:$E$1005,MATCH($D851,RUNS!$A$6:$A$1005,0))="","",INDEX(RUNS!$E$6:$E$1005,MATCH($D851,RUNS!$A$6:$A$1005,0))),""))</f>
        <v/>
      </c>
      <c r="M851" s="33">
        <f>IF($D851="","",IFERROR(IF(INDEX(RUNS!$F$6:$F$1005,MATCH($D851,RUNS!$A$6:$A$1005,0))="","",INDEX(RUNS!$F$6:$F$1005,MATCH($D851,RUNS!$A$6:$A$1005,0))),""))</f>
        <v/>
      </c>
      <c r="N851" s="33">
        <f>IF($D851="","",IFERROR(IF(INDEX(RUNS!$G$6:$G$1005,MATCH($D851,RUNS!$A$6:$A$1005,0))="","",INDEX(RUNS!$G$6:$G$1005,MATCH($D851,RUNS!$A$6:$A$1005,0))),""))</f>
        <v/>
      </c>
      <c r="O851" s="33">
        <f>IF($D851="","",IFERROR(IF(INDEX(RUNS!$H$6:$H$1005,MATCH($D851,RUNS!$A$6:$A$1005,0))="","",INDEX(RUNS!$H$6:$H$1005,MATCH($D851,RUNS!$A$6:$A$1005,0))),""))</f>
        <v/>
      </c>
      <c r="P851" s="33">
        <f>IF($D851="","",IFERROR(IF(INDEX(RUNS!$J$6:$J$1005,MATCH($D851,RUNS!$A$6:$A$1005,0))="","",INDEX(RUNS!$J$6:$J$1005,MATCH($D851,RUNS!$A$6:$A$1005,0))),""))</f>
        <v/>
      </c>
      <c r="Q851" s="33">
        <f>IF($D851="","",IFERROR(IF(INDEX(RUNS!$K$6:$K$1005,MATCH($D851,RUNS!$A$6:$A$1005,0))="","",INDEX(RUNS!$K$6:$K$1005,MATCH($D851,RUNS!$A$6:$A$1005,0))),""))</f>
        <v/>
      </c>
      <c r="R851" s="34">
        <f>IF(OR($L851="",$K851=""),"",IFERROR(IF(INDEX(PARAMETRES!$H$43:$H$342,MATCH($L851&amp;"|"&amp;$M851&amp;"|"&amp;$N851&amp;"|"&amp;$O851&amp;"|"&amp;$P851&amp;"|"&amp;$Q851&amp;"|"&amp;$K851,PARAMETRES!$J$43:$J$342,0))="","",INDEX(PARAMETRES!$H$43:$H$342,MATCH($L851&amp;"|"&amp;$M851&amp;"|"&amp;$N851&amp;"|"&amp;$O851&amp;"|"&amp;$P851&amp;"|"&amp;$Q851&amp;"|"&amp;$K851,PARAMETRES!$J$43:$J$342,0))),""))</f>
        <v/>
      </c>
      <c r="S851" s="35">
        <f>IF(OR($G851="",$X851&lt;&gt;"VALIDE"),"",IFERROR(LOOKUP(2,1/(($B$3:$B850=$B851)*($G$3:$G850=$G851)*($X$3:$X850="VALIDE")),$C$3:$C850),""))</f>
        <v/>
      </c>
      <c r="T851" s="36">
        <f>IF(OR($C851="",$S851=""),"",ROUND(($C851-$S851+IF($C851&lt;$S851,1,0))*1440,0))</f>
        <v/>
      </c>
      <c r="U851" s="22">
        <f>IF(OR($H851="",$T851="",$T851&lt;=0),"",$H851*60/$T851)</f>
        <v/>
      </c>
      <c r="V851" s="37">
        <f>IF(OR($U851="",$R851="",$R851=0),"",$U851/$R851)</f>
        <v/>
      </c>
      <c r="W851" s="20">
        <f>IF($G851="","",IF($X851="CONTEXTE INCOMPLET","CONTEXTE INCOMPLET",IF($X851="DOUBLON",StatutDoublon,IF($S851="",StatutInitial,IF($R851="",StatutStandardManquant,IF($V851="","DONNEES INSUFFISANTES",IF($V851&gt;=SeuilConforme,StatutConforme,IF($V851&gt;=SeuilSurveiller,StatutSurveiller,StatutSousStandard))))))))</f>
        <v/>
      </c>
      <c r="X851" s="33">
        <f>IF($G851="","",IF(OR($D851="",$E851="",$F851=""),"CONTEXTE INCOMPLET",IF(COUNTIFS($D$3:$D850,$D851,$E$3:$E850,$E851,$F$3:$F850,$F851,$G$3:$G850,$G851)&gt;0,"DOUBLON","VALIDE")))</f>
        <v/>
      </c>
    </row>
    <row r="852" ht="15" customHeight="1">
      <c r="A852" s="12">
        <f>IF(OR($B852="",$G852=""),"",TEXT($B852,"YYYYMMDD")&amp;"-"&amp;SUBSTITUTE($E852," ","")&amp;"-"&amp;$F852&amp;"-"&amp;$G852)</f>
        <v/>
      </c>
      <c r="B852" s="15" t="n"/>
      <c r="C852" s="16" t="n"/>
      <c r="D852" s="10" t="n"/>
      <c r="E852" s="9" t="n"/>
      <c r="F852" s="9" t="n"/>
      <c r="G852" s="13" t="n"/>
      <c r="H852" s="21" t="n"/>
      <c r="I852" s="21" t="n"/>
      <c r="J852" s="17">
        <f>IF($G852="","",IFERROR(INDEX(NomsEmployes,MATCH($G852,MatriculesEmployes,0)),"MATRICULE INCONNU"))</f>
        <v/>
      </c>
      <c r="K852" s="33">
        <f>IF(OR($D852="",$F852=""),"",IFERROR(IF(INDEX(RUNS!$L$6:$S$1005,MATCH($D852,RUNS!$A$6:$A$1005,0),MATCH("ACTIVITÉ "&amp;$F852,RUNS!$L$5:$S$5,0))="","",INDEX(RUNS!$L$6:$S$1005,MATCH($D852,RUNS!$A$6:$A$1005,0),MATCH("ACTIVITÉ "&amp;$F852,RUNS!$L$5:$S$5,0))),""))</f>
        <v/>
      </c>
      <c r="L852" s="33">
        <f>IF($D852="","",IFERROR(IF(INDEX(RUNS!$E$6:$E$1005,MATCH($D852,RUNS!$A$6:$A$1005,0))="","",INDEX(RUNS!$E$6:$E$1005,MATCH($D852,RUNS!$A$6:$A$1005,0))),""))</f>
        <v/>
      </c>
      <c r="M852" s="33">
        <f>IF($D852="","",IFERROR(IF(INDEX(RUNS!$F$6:$F$1005,MATCH($D852,RUNS!$A$6:$A$1005,0))="","",INDEX(RUNS!$F$6:$F$1005,MATCH($D852,RUNS!$A$6:$A$1005,0))),""))</f>
        <v/>
      </c>
      <c r="N852" s="33">
        <f>IF($D852="","",IFERROR(IF(INDEX(RUNS!$G$6:$G$1005,MATCH($D852,RUNS!$A$6:$A$1005,0))="","",INDEX(RUNS!$G$6:$G$1005,MATCH($D852,RUNS!$A$6:$A$1005,0))),""))</f>
        <v/>
      </c>
      <c r="O852" s="33">
        <f>IF($D852="","",IFERROR(IF(INDEX(RUNS!$H$6:$H$1005,MATCH($D852,RUNS!$A$6:$A$1005,0))="","",INDEX(RUNS!$H$6:$H$1005,MATCH($D852,RUNS!$A$6:$A$1005,0))),""))</f>
        <v/>
      </c>
      <c r="P852" s="33">
        <f>IF($D852="","",IFERROR(IF(INDEX(RUNS!$J$6:$J$1005,MATCH($D852,RUNS!$A$6:$A$1005,0))="","",INDEX(RUNS!$J$6:$J$1005,MATCH($D852,RUNS!$A$6:$A$1005,0))),""))</f>
        <v/>
      </c>
      <c r="Q852" s="33">
        <f>IF($D852="","",IFERROR(IF(INDEX(RUNS!$K$6:$K$1005,MATCH($D852,RUNS!$A$6:$A$1005,0))="","",INDEX(RUNS!$K$6:$K$1005,MATCH($D852,RUNS!$A$6:$A$1005,0))),""))</f>
        <v/>
      </c>
      <c r="R852" s="34">
        <f>IF(OR($L852="",$K852=""),"",IFERROR(IF(INDEX(PARAMETRES!$H$43:$H$342,MATCH($L852&amp;"|"&amp;$M852&amp;"|"&amp;$N852&amp;"|"&amp;$O852&amp;"|"&amp;$P852&amp;"|"&amp;$Q852&amp;"|"&amp;$K852,PARAMETRES!$J$43:$J$342,0))="","",INDEX(PARAMETRES!$H$43:$H$342,MATCH($L852&amp;"|"&amp;$M852&amp;"|"&amp;$N852&amp;"|"&amp;$O852&amp;"|"&amp;$P852&amp;"|"&amp;$Q852&amp;"|"&amp;$K852,PARAMETRES!$J$43:$J$342,0))),""))</f>
        <v/>
      </c>
      <c r="S852" s="35">
        <f>IF(OR($G852="",$X852&lt;&gt;"VALIDE"),"",IFERROR(LOOKUP(2,1/(($B$3:$B851=$B852)*($G$3:$G851=$G852)*($X$3:$X851="VALIDE")),$C$3:$C851),""))</f>
        <v/>
      </c>
      <c r="T852" s="36">
        <f>IF(OR($C852="",$S852=""),"",ROUND(($C852-$S852+IF($C852&lt;$S852,1,0))*1440,0))</f>
        <v/>
      </c>
      <c r="U852" s="22">
        <f>IF(OR($H852="",$T852="",$T852&lt;=0),"",$H852*60/$T852)</f>
        <v/>
      </c>
      <c r="V852" s="37">
        <f>IF(OR($U852="",$R852="",$R852=0),"",$U852/$R852)</f>
        <v/>
      </c>
      <c r="W852" s="20">
        <f>IF($G852="","",IF($X852="CONTEXTE INCOMPLET","CONTEXTE INCOMPLET",IF($X852="DOUBLON",StatutDoublon,IF($S852="",StatutInitial,IF($R852="",StatutStandardManquant,IF($V852="","DONNEES INSUFFISANTES",IF($V852&gt;=SeuilConforme,StatutConforme,IF($V852&gt;=SeuilSurveiller,StatutSurveiller,StatutSousStandard))))))))</f>
        <v/>
      </c>
      <c r="X852" s="33">
        <f>IF($G852="","",IF(OR($D852="",$E852="",$F852=""),"CONTEXTE INCOMPLET",IF(COUNTIFS($D$3:$D851,$D852,$E$3:$E851,$E852,$F$3:$F851,$F852,$G$3:$G851,$G852)&gt;0,"DOUBLON","VALIDE")))</f>
        <v/>
      </c>
    </row>
    <row r="853" ht="15" customHeight="1">
      <c r="A853" s="12">
        <f>IF(OR($B853="",$G853=""),"",TEXT($B853,"YYYYMMDD")&amp;"-"&amp;SUBSTITUTE($E853," ","")&amp;"-"&amp;$F853&amp;"-"&amp;$G853)</f>
        <v/>
      </c>
      <c r="B853" s="15" t="n"/>
      <c r="C853" s="16" t="n"/>
      <c r="D853" s="10" t="n"/>
      <c r="E853" s="9" t="n"/>
      <c r="F853" s="9" t="n"/>
      <c r="G853" s="13" t="n"/>
      <c r="H853" s="21" t="n"/>
      <c r="I853" s="21" t="n"/>
      <c r="J853" s="17">
        <f>IF($G853="","",IFERROR(INDEX(NomsEmployes,MATCH($G853,MatriculesEmployes,0)),"MATRICULE INCONNU"))</f>
        <v/>
      </c>
      <c r="K853" s="33">
        <f>IF(OR($D853="",$F853=""),"",IFERROR(IF(INDEX(RUNS!$L$6:$S$1005,MATCH($D853,RUNS!$A$6:$A$1005,0),MATCH("ACTIVITÉ "&amp;$F853,RUNS!$L$5:$S$5,0))="","",INDEX(RUNS!$L$6:$S$1005,MATCH($D853,RUNS!$A$6:$A$1005,0),MATCH("ACTIVITÉ "&amp;$F853,RUNS!$L$5:$S$5,0))),""))</f>
        <v/>
      </c>
      <c r="L853" s="33">
        <f>IF($D853="","",IFERROR(IF(INDEX(RUNS!$E$6:$E$1005,MATCH($D853,RUNS!$A$6:$A$1005,0))="","",INDEX(RUNS!$E$6:$E$1005,MATCH($D853,RUNS!$A$6:$A$1005,0))),""))</f>
        <v/>
      </c>
      <c r="M853" s="33">
        <f>IF($D853="","",IFERROR(IF(INDEX(RUNS!$F$6:$F$1005,MATCH($D853,RUNS!$A$6:$A$1005,0))="","",INDEX(RUNS!$F$6:$F$1005,MATCH($D853,RUNS!$A$6:$A$1005,0))),""))</f>
        <v/>
      </c>
      <c r="N853" s="33">
        <f>IF($D853="","",IFERROR(IF(INDEX(RUNS!$G$6:$G$1005,MATCH($D853,RUNS!$A$6:$A$1005,0))="","",INDEX(RUNS!$G$6:$G$1005,MATCH($D853,RUNS!$A$6:$A$1005,0))),""))</f>
        <v/>
      </c>
      <c r="O853" s="33">
        <f>IF($D853="","",IFERROR(IF(INDEX(RUNS!$H$6:$H$1005,MATCH($D853,RUNS!$A$6:$A$1005,0))="","",INDEX(RUNS!$H$6:$H$1005,MATCH($D853,RUNS!$A$6:$A$1005,0))),""))</f>
        <v/>
      </c>
      <c r="P853" s="33">
        <f>IF($D853="","",IFERROR(IF(INDEX(RUNS!$J$6:$J$1005,MATCH($D853,RUNS!$A$6:$A$1005,0))="","",INDEX(RUNS!$J$6:$J$1005,MATCH($D853,RUNS!$A$6:$A$1005,0))),""))</f>
        <v/>
      </c>
      <c r="Q853" s="33">
        <f>IF($D853="","",IFERROR(IF(INDEX(RUNS!$K$6:$K$1005,MATCH($D853,RUNS!$A$6:$A$1005,0))="","",INDEX(RUNS!$K$6:$K$1005,MATCH($D853,RUNS!$A$6:$A$1005,0))),""))</f>
        <v/>
      </c>
      <c r="R853" s="34">
        <f>IF(OR($L853="",$K853=""),"",IFERROR(IF(INDEX(PARAMETRES!$H$43:$H$342,MATCH($L853&amp;"|"&amp;$M853&amp;"|"&amp;$N853&amp;"|"&amp;$O853&amp;"|"&amp;$P853&amp;"|"&amp;$Q853&amp;"|"&amp;$K853,PARAMETRES!$J$43:$J$342,0))="","",INDEX(PARAMETRES!$H$43:$H$342,MATCH($L853&amp;"|"&amp;$M853&amp;"|"&amp;$N853&amp;"|"&amp;$O853&amp;"|"&amp;$P853&amp;"|"&amp;$Q853&amp;"|"&amp;$K853,PARAMETRES!$J$43:$J$342,0))),""))</f>
        <v/>
      </c>
      <c r="S853" s="35">
        <f>IF(OR($G853="",$X853&lt;&gt;"VALIDE"),"",IFERROR(LOOKUP(2,1/(($B$3:$B852=$B853)*($G$3:$G852=$G853)*($X$3:$X852="VALIDE")),$C$3:$C852),""))</f>
        <v/>
      </c>
      <c r="T853" s="36">
        <f>IF(OR($C853="",$S853=""),"",ROUND(($C853-$S853+IF($C853&lt;$S853,1,0))*1440,0))</f>
        <v/>
      </c>
      <c r="U853" s="22">
        <f>IF(OR($H853="",$T853="",$T853&lt;=0),"",$H853*60/$T853)</f>
        <v/>
      </c>
      <c r="V853" s="37">
        <f>IF(OR($U853="",$R853="",$R853=0),"",$U853/$R853)</f>
        <v/>
      </c>
      <c r="W853" s="20">
        <f>IF($G853="","",IF($X853="CONTEXTE INCOMPLET","CONTEXTE INCOMPLET",IF($X853="DOUBLON",StatutDoublon,IF($S853="",StatutInitial,IF($R853="",StatutStandardManquant,IF($V853="","DONNEES INSUFFISANTES",IF($V853&gt;=SeuilConforme,StatutConforme,IF($V853&gt;=SeuilSurveiller,StatutSurveiller,StatutSousStandard))))))))</f>
        <v/>
      </c>
      <c r="X853" s="33">
        <f>IF($G853="","",IF(OR($D853="",$E853="",$F853=""),"CONTEXTE INCOMPLET",IF(COUNTIFS($D$3:$D852,$D853,$E$3:$E852,$E853,$F$3:$F852,$F853,$G$3:$G852,$G853)&gt;0,"DOUBLON","VALIDE")))</f>
        <v/>
      </c>
    </row>
    <row r="854" ht="15" customHeight="1">
      <c r="A854" s="12">
        <f>IF(OR($B854="",$G854=""),"",TEXT($B854,"YYYYMMDD")&amp;"-"&amp;SUBSTITUTE($E854," ","")&amp;"-"&amp;$F854&amp;"-"&amp;$G854)</f>
        <v/>
      </c>
      <c r="B854" s="15" t="n"/>
      <c r="C854" s="16" t="n"/>
      <c r="D854" s="10" t="n"/>
      <c r="E854" s="9" t="n"/>
      <c r="F854" s="9" t="n"/>
      <c r="G854" s="13" t="n"/>
      <c r="H854" s="21" t="n"/>
      <c r="I854" s="21" t="n"/>
      <c r="J854" s="17">
        <f>IF($G854="","",IFERROR(INDEX(NomsEmployes,MATCH($G854,MatriculesEmployes,0)),"MATRICULE INCONNU"))</f>
        <v/>
      </c>
      <c r="K854" s="33">
        <f>IF(OR($D854="",$F854=""),"",IFERROR(IF(INDEX(RUNS!$L$6:$S$1005,MATCH($D854,RUNS!$A$6:$A$1005,0),MATCH("ACTIVITÉ "&amp;$F854,RUNS!$L$5:$S$5,0))="","",INDEX(RUNS!$L$6:$S$1005,MATCH($D854,RUNS!$A$6:$A$1005,0),MATCH("ACTIVITÉ "&amp;$F854,RUNS!$L$5:$S$5,0))),""))</f>
        <v/>
      </c>
      <c r="L854" s="33">
        <f>IF($D854="","",IFERROR(IF(INDEX(RUNS!$E$6:$E$1005,MATCH($D854,RUNS!$A$6:$A$1005,0))="","",INDEX(RUNS!$E$6:$E$1005,MATCH($D854,RUNS!$A$6:$A$1005,0))),""))</f>
        <v/>
      </c>
      <c r="M854" s="33">
        <f>IF($D854="","",IFERROR(IF(INDEX(RUNS!$F$6:$F$1005,MATCH($D854,RUNS!$A$6:$A$1005,0))="","",INDEX(RUNS!$F$6:$F$1005,MATCH($D854,RUNS!$A$6:$A$1005,0))),""))</f>
        <v/>
      </c>
      <c r="N854" s="33">
        <f>IF($D854="","",IFERROR(IF(INDEX(RUNS!$G$6:$G$1005,MATCH($D854,RUNS!$A$6:$A$1005,0))="","",INDEX(RUNS!$G$6:$G$1005,MATCH($D854,RUNS!$A$6:$A$1005,0))),""))</f>
        <v/>
      </c>
      <c r="O854" s="33">
        <f>IF($D854="","",IFERROR(IF(INDEX(RUNS!$H$6:$H$1005,MATCH($D854,RUNS!$A$6:$A$1005,0))="","",INDEX(RUNS!$H$6:$H$1005,MATCH($D854,RUNS!$A$6:$A$1005,0))),""))</f>
        <v/>
      </c>
      <c r="P854" s="33">
        <f>IF($D854="","",IFERROR(IF(INDEX(RUNS!$J$6:$J$1005,MATCH($D854,RUNS!$A$6:$A$1005,0))="","",INDEX(RUNS!$J$6:$J$1005,MATCH($D854,RUNS!$A$6:$A$1005,0))),""))</f>
        <v/>
      </c>
      <c r="Q854" s="33">
        <f>IF($D854="","",IFERROR(IF(INDEX(RUNS!$K$6:$K$1005,MATCH($D854,RUNS!$A$6:$A$1005,0))="","",INDEX(RUNS!$K$6:$K$1005,MATCH($D854,RUNS!$A$6:$A$1005,0))),""))</f>
        <v/>
      </c>
      <c r="R854" s="34">
        <f>IF(OR($L854="",$K854=""),"",IFERROR(IF(INDEX(PARAMETRES!$H$43:$H$342,MATCH($L854&amp;"|"&amp;$M854&amp;"|"&amp;$N854&amp;"|"&amp;$O854&amp;"|"&amp;$P854&amp;"|"&amp;$Q854&amp;"|"&amp;$K854,PARAMETRES!$J$43:$J$342,0))="","",INDEX(PARAMETRES!$H$43:$H$342,MATCH($L854&amp;"|"&amp;$M854&amp;"|"&amp;$N854&amp;"|"&amp;$O854&amp;"|"&amp;$P854&amp;"|"&amp;$Q854&amp;"|"&amp;$K854,PARAMETRES!$J$43:$J$342,0))),""))</f>
        <v/>
      </c>
      <c r="S854" s="35">
        <f>IF(OR($G854="",$X854&lt;&gt;"VALIDE"),"",IFERROR(LOOKUP(2,1/(($B$3:$B853=$B854)*($G$3:$G853=$G854)*($X$3:$X853="VALIDE")),$C$3:$C853),""))</f>
        <v/>
      </c>
      <c r="T854" s="36">
        <f>IF(OR($C854="",$S854=""),"",ROUND(($C854-$S854+IF($C854&lt;$S854,1,0))*1440,0))</f>
        <v/>
      </c>
      <c r="U854" s="22">
        <f>IF(OR($H854="",$T854="",$T854&lt;=0),"",$H854*60/$T854)</f>
        <v/>
      </c>
      <c r="V854" s="37">
        <f>IF(OR($U854="",$R854="",$R854=0),"",$U854/$R854)</f>
        <v/>
      </c>
      <c r="W854" s="20">
        <f>IF($G854="","",IF($X854="CONTEXTE INCOMPLET","CONTEXTE INCOMPLET",IF($X854="DOUBLON",StatutDoublon,IF($S854="",StatutInitial,IF($R854="",StatutStandardManquant,IF($V854="","DONNEES INSUFFISANTES",IF($V854&gt;=SeuilConforme,StatutConforme,IF($V854&gt;=SeuilSurveiller,StatutSurveiller,StatutSousStandard))))))))</f>
        <v/>
      </c>
      <c r="X854" s="33">
        <f>IF($G854="","",IF(OR($D854="",$E854="",$F854=""),"CONTEXTE INCOMPLET",IF(COUNTIFS($D$3:$D853,$D854,$E$3:$E853,$E854,$F$3:$F853,$F854,$G$3:$G853,$G854)&gt;0,"DOUBLON","VALIDE")))</f>
        <v/>
      </c>
    </row>
    <row r="855" ht="15" customHeight="1">
      <c r="A855" s="12">
        <f>IF(OR($B855="",$G855=""),"",TEXT($B855,"YYYYMMDD")&amp;"-"&amp;SUBSTITUTE($E855," ","")&amp;"-"&amp;$F855&amp;"-"&amp;$G855)</f>
        <v/>
      </c>
      <c r="B855" s="15" t="n"/>
      <c r="C855" s="16" t="n"/>
      <c r="D855" s="10" t="n"/>
      <c r="E855" s="9" t="n"/>
      <c r="F855" s="9" t="n"/>
      <c r="G855" s="13" t="n"/>
      <c r="H855" s="21" t="n"/>
      <c r="I855" s="21" t="n"/>
      <c r="J855" s="17">
        <f>IF($G855="","",IFERROR(INDEX(NomsEmployes,MATCH($G855,MatriculesEmployes,0)),"MATRICULE INCONNU"))</f>
        <v/>
      </c>
      <c r="K855" s="33">
        <f>IF(OR($D855="",$F855=""),"",IFERROR(IF(INDEX(RUNS!$L$6:$S$1005,MATCH($D855,RUNS!$A$6:$A$1005,0),MATCH("ACTIVITÉ "&amp;$F855,RUNS!$L$5:$S$5,0))="","",INDEX(RUNS!$L$6:$S$1005,MATCH($D855,RUNS!$A$6:$A$1005,0),MATCH("ACTIVITÉ "&amp;$F855,RUNS!$L$5:$S$5,0))),""))</f>
        <v/>
      </c>
      <c r="L855" s="33">
        <f>IF($D855="","",IFERROR(IF(INDEX(RUNS!$E$6:$E$1005,MATCH($D855,RUNS!$A$6:$A$1005,0))="","",INDEX(RUNS!$E$6:$E$1005,MATCH($D855,RUNS!$A$6:$A$1005,0))),""))</f>
        <v/>
      </c>
      <c r="M855" s="33">
        <f>IF($D855="","",IFERROR(IF(INDEX(RUNS!$F$6:$F$1005,MATCH($D855,RUNS!$A$6:$A$1005,0))="","",INDEX(RUNS!$F$6:$F$1005,MATCH($D855,RUNS!$A$6:$A$1005,0))),""))</f>
        <v/>
      </c>
      <c r="N855" s="33">
        <f>IF($D855="","",IFERROR(IF(INDEX(RUNS!$G$6:$G$1005,MATCH($D855,RUNS!$A$6:$A$1005,0))="","",INDEX(RUNS!$G$6:$G$1005,MATCH($D855,RUNS!$A$6:$A$1005,0))),""))</f>
        <v/>
      </c>
      <c r="O855" s="33">
        <f>IF($D855="","",IFERROR(IF(INDEX(RUNS!$H$6:$H$1005,MATCH($D855,RUNS!$A$6:$A$1005,0))="","",INDEX(RUNS!$H$6:$H$1005,MATCH($D855,RUNS!$A$6:$A$1005,0))),""))</f>
        <v/>
      </c>
      <c r="P855" s="33">
        <f>IF($D855="","",IFERROR(IF(INDEX(RUNS!$J$6:$J$1005,MATCH($D855,RUNS!$A$6:$A$1005,0))="","",INDEX(RUNS!$J$6:$J$1005,MATCH($D855,RUNS!$A$6:$A$1005,0))),""))</f>
        <v/>
      </c>
      <c r="Q855" s="33">
        <f>IF($D855="","",IFERROR(IF(INDEX(RUNS!$K$6:$K$1005,MATCH($D855,RUNS!$A$6:$A$1005,0))="","",INDEX(RUNS!$K$6:$K$1005,MATCH($D855,RUNS!$A$6:$A$1005,0))),""))</f>
        <v/>
      </c>
      <c r="R855" s="34">
        <f>IF(OR($L855="",$K855=""),"",IFERROR(IF(INDEX(PARAMETRES!$H$43:$H$342,MATCH($L855&amp;"|"&amp;$M855&amp;"|"&amp;$N855&amp;"|"&amp;$O855&amp;"|"&amp;$P855&amp;"|"&amp;$Q855&amp;"|"&amp;$K855,PARAMETRES!$J$43:$J$342,0))="","",INDEX(PARAMETRES!$H$43:$H$342,MATCH($L855&amp;"|"&amp;$M855&amp;"|"&amp;$N855&amp;"|"&amp;$O855&amp;"|"&amp;$P855&amp;"|"&amp;$Q855&amp;"|"&amp;$K855,PARAMETRES!$J$43:$J$342,0))),""))</f>
        <v/>
      </c>
      <c r="S855" s="35">
        <f>IF(OR($G855="",$X855&lt;&gt;"VALIDE"),"",IFERROR(LOOKUP(2,1/(($B$3:$B854=$B855)*($G$3:$G854=$G855)*($X$3:$X854="VALIDE")),$C$3:$C854),""))</f>
        <v/>
      </c>
      <c r="T855" s="36">
        <f>IF(OR($C855="",$S855=""),"",ROUND(($C855-$S855+IF($C855&lt;$S855,1,0))*1440,0))</f>
        <v/>
      </c>
      <c r="U855" s="22">
        <f>IF(OR($H855="",$T855="",$T855&lt;=0),"",$H855*60/$T855)</f>
        <v/>
      </c>
      <c r="V855" s="37">
        <f>IF(OR($U855="",$R855="",$R855=0),"",$U855/$R855)</f>
        <v/>
      </c>
      <c r="W855" s="20">
        <f>IF($G855="","",IF($X855="CONTEXTE INCOMPLET","CONTEXTE INCOMPLET",IF($X855="DOUBLON",StatutDoublon,IF($S855="",StatutInitial,IF($R855="",StatutStandardManquant,IF($V855="","DONNEES INSUFFISANTES",IF($V855&gt;=SeuilConforme,StatutConforme,IF($V855&gt;=SeuilSurveiller,StatutSurveiller,StatutSousStandard))))))))</f>
        <v/>
      </c>
      <c r="X855" s="33">
        <f>IF($G855="","",IF(OR($D855="",$E855="",$F855=""),"CONTEXTE INCOMPLET",IF(COUNTIFS($D$3:$D854,$D855,$E$3:$E854,$E855,$F$3:$F854,$F855,$G$3:$G854,$G855)&gt;0,"DOUBLON","VALIDE")))</f>
        <v/>
      </c>
    </row>
    <row r="856" ht="15" customHeight="1">
      <c r="A856" s="12">
        <f>IF(OR($B856="",$G856=""),"",TEXT($B856,"YYYYMMDD")&amp;"-"&amp;SUBSTITUTE($E856," ","")&amp;"-"&amp;$F856&amp;"-"&amp;$G856)</f>
        <v/>
      </c>
      <c r="B856" s="15" t="n"/>
      <c r="C856" s="16" t="n"/>
      <c r="D856" s="10" t="n"/>
      <c r="E856" s="9" t="n"/>
      <c r="F856" s="9" t="n"/>
      <c r="G856" s="13" t="n"/>
      <c r="H856" s="21" t="n"/>
      <c r="I856" s="21" t="n"/>
      <c r="J856" s="17">
        <f>IF($G856="","",IFERROR(INDEX(NomsEmployes,MATCH($G856,MatriculesEmployes,0)),"MATRICULE INCONNU"))</f>
        <v/>
      </c>
      <c r="K856" s="33">
        <f>IF(OR($D856="",$F856=""),"",IFERROR(IF(INDEX(RUNS!$L$6:$S$1005,MATCH($D856,RUNS!$A$6:$A$1005,0),MATCH("ACTIVITÉ "&amp;$F856,RUNS!$L$5:$S$5,0))="","",INDEX(RUNS!$L$6:$S$1005,MATCH($D856,RUNS!$A$6:$A$1005,0),MATCH("ACTIVITÉ "&amp;$F856,RUNS!$L$5:$S$5,0))),""))</f>
        <v/>
      </c>
      <c r="L856" s="33">
        <f>IF($D856="","",IFERROR(IF(INDEX(RUNS!$E$6:$E$1005,MATCH($D856,RUNS!$A$6:$A$1005,0))="","",INDEX(RUNS!$E$6:$E$1005,MATCH($D856,RUNS!$A$6:$A$1005,0))),""))</f>
        <v/>
      </c>
      <c r="M856" s="33">
        <f>IF($D856="","",IFERROR(IF(INDEX(RUNS!$F$6:$F$1005,MATCH($D856,RUNS!$A$6:$A$1005,0))="","",INDEX(RUNS!$F$6:$F$1005,MATCH($D856,RUNS!$A$6:$A$1005,0))),""))</f>
        <v/>
      </c>
      <c r="N856" s="33">
        <f>IF($D856="","",IFERROR(IF(INDEX(RUNS!$G$6:$G$1005,MATCH($D856,RUNS!$A$6:$A$1005,0))="","",INDEX(RUNS!$G$6:$G$1005,MATCH($D856,RUNS!$A$6:$A$1005,0))),""))</f>
        <v/>
      </c>
      <c r="O856" s="33">
        <f>IF($D856="","",IFERROR(IF(INDEX(RUNS!$H$6:$H$1005,MATCH($D856,RUNS!$A$6:$A$1005,0))="","",INDEX(RUNS!$H$6:$H$1005,MATCH($D856,RUNS!$A$6:$A$1005,0))),""))</f>
        <v/>
      </c>
      <c r="P856" s="33">
        <f>IF($D856="","",IFERROR(IF(INDEX(RUNS!$J$6:$J$1005,MATCH($D856,RUNS!$A$6:$A$1005,0))="","",INDEX(RUNS!$J$6:$J$1005,MATCH($D856,RUNS!$A$6:$A$1005,0))),""))</f>
        <v/>
      </c>
      <c r="Q856" s="33">
        <f>IF($D856="","",IFERROR(IF(INDEX(RUNS!$K$6:$K$1005,MATCH($D856,RUNS!$A$6:$A$1005,0))="","",INDEX(RUNS!$K$6:$K$1005,MATCH($D856,RUNS!$A$6:$A$1005,0))),""))</f>
        <v/>
      </c>
      <c r="R856" s="34">
        <f>IF(OR($L856="",$K856=""),"",IFERROR(IF(INDEX(PARAMETRES!$H$43:$H$342,MATCH($L856&amp;"|"&amp;$M856&amp;"|"&amp;$N856&amp;"|"&amp;$O856&amp;"|"&amp;$P856&amp;"|"&amp;$Q856&amp;"|"&amp;$K856,PARAMETRES!$J$43:$J$342,0))="","",INDEX(PARAMETRES!$H$43:$H$342,MATCH($L856&amp;"|"&amp;$M856&amp;"|"&amp;$N856&amp;"|"&amp;$O856&amp;"|"&amp;$P856&amp;"|"&amp;$Q856&amp;"|"&amp;$K856,PARAMETRES!$J$43:$J$342,0))),""))</f>
        <v/>
      </c>
      <c r="S856" s="35">
        <f>IF(OR($G856="",$X856&lt;&gt;"VALIDE"),"",IFERROR(LOOKUP(2,1/(($B$3:$B855=$B856)*($G$3:$G855=$G856)*($X$3:$X855="VALIDE")),$C$3:$C855),""))</f>
        <v/>
      </c>
      <c r="T856" s="36">
        <f>IF(OR($C856="",$S856=""),"",ROUND(($C856-$S856+IF($C856&lt;$S856,1,0))*1440,0))</f>
        <v/>
      </c>
      <c r="U856" s="22">
        <f>IF(OR($H856="",$T856="",$T856&lt;=0),"",$H856*60/$T856)</f>
        <v/>
      </c>
      <c r="V856" s="37">
        <f>IF(OR($U856="",$R856="",$R856=0),"",$U856/$R856)</f>
        <v/>
      </c>
      <c r="W856" s="20">
        <f>IF($G856="","",IF($X856="CONTEXTE INCOMPLET","CONTEXTE INCOMPLET",IF($X856="DOUBLON",StatutDoublon,IF($S856="",StatutInitial,IF($R856="",StatutStandardManquant,IF($V856="","DONNEES INSUFFISANTES",IF($V856&gt;=SeuilConforme,StatutConforme,IF($V856&gt;=SeuilSurveiller,StatutSurveiller,StatutSousStandard))))))))</f>
        <v/>
      </c>
      <c r="X856" s="33">
        <f>IF($G856="","",IF(OR($D856="",$E856="",$F856=""),"CONTEXTE INCOMPLET",IF(COUNTIFS($D$3:$D855,$D856,$E$3:$E855,$E856,$F$3:$F855,$F856,$G$3:$G855,$G856)&gt;0,"DOUBLON","VALIDE")))</f>
        <v/>
      </c>
    </row>
    <row r="857" ht="15" customHeight="1">
      <c r="A857" s="12">
        <f>IF(OR($B857="",$G857=""),"",TEXT($B857,"YYYYMMDD")&amp;"-"&amp;SUBSTITUTE($E857," ","")&amp;"-"&amp;$F857&amp;"-"&amp;$G857)</f>
        <v/>
      </c>
      <c r="B857" s="15" t="n"/>
      <c r="C857" s="16" t="n"/>
      <c r="D857" s="10" t="n"/>
      <c r="E857" s="9" t="n"/>
      <c r="F857" s="9" t="n"/>
      <c r="G857" s="13" t="n"/>
      <c r="H857" s="21" t="n"/>
      <c r="I857" s="21" t="n"/>
      <c r="J857" s="17">
        <f>IF($G857="","",IFERROR(INDEX(NomsEmployes,MATCH($G857,MatriculesEmployes,0)),"MATRICULE INCONNU"))</f>
        <v/>
      </c>
      <c r="K857" s="33">
        <f>IF(OR($D857="",$F857=""),"",IFERROR(IF(INDEX(RUNS!$L$6:$S$1005,MATCH($D857,RUNS!$A$6:$A$1005,0),MATCH("ACTIVITÉ "&amp;$F857,RUNS!$L$5:$S$5,0))="","",INDEX(RUNS!$L$6:$S$1005,MATCH($D857,RUNS!$A$6:$A$1005,0),MATCH("ACTIVITÉ "&amp;$F857,RUNS!$L$5:$S$5,0))),""))</f>
        <v/>
      </c>
      <c r="L857" s="33">
        <f>IF($D857="","",IFERROR(IF(INDEX(RUNS!$E$6:$E$1005,MATCH($D857,RUNS!$A$6:$A$1005,0))="","",INDEX(RUNS!$E$6:$E$1005,MATCH($D857,RUNS!$A$6:$A$1005,0))),""))</f>
        <v/>
      </c>
      <c r="M857" s="33">
        <f>IF($D857="","",IFERROR(IF(INDEX(RUNS!$F$6:$F$1005,MATCH($D857,RUNS!$A$6:$A$1005,0))="","",INDEX(RUNS!$F$6:$F$1005,MATCH($D857,RUNS!$A$6:$A$1005,0))),""))</f>
        <v/>
      </c>
      <c r="N857" s="33">
        <f>IF($D857="","",IFERROR(IF(INDEX(RUNS!$G$6:$G$1005,MATCH($D857,RUNS!$A$6:$A$1005,0))="","",INDEX(RUNS!$G$6:$G$1005,MATCH($D857,RUNS!$A$6:$A$1005,0))),""))</f>
        <v/>
      </c>
      <c r="O857" s="33">
        <f>IF($D857="","",IFERROR(IF(INDEX(RUNS!$H$6:$H$1005,MATCH($D857,RUNS!$A$6:$A$1005,0))="","",INDEX(RUNS!$H$6:$H$1005,MATCH($D857,RUNS!$A$6:$A$1005,0))),""))</f>
        <v/>
      </c>
      <c r="P857" s="33">
        <f>IF($D857="","",IFERROR(IF(INDEX(RUNS!$J$6:$J$1005,MATCH($D857,RUNS!$A$6:$A$1005,0))="","",INDEX(RUNS!$J$6:$J$1005,MATCH($D857,RUNS!$A$6:$A$1005,0))),""))</f>
        <v/>
      </c>
      <c r="Q857" s="33">
        <f>IF($D857="","",IFERROR(IF(INDEX(RUNS!$K$6:$K$1005,MATCH($D857,RUNS!$A$6:$A$1005,0))="","",INDEX(RUNS!$K$6:$K$1005,MATCH($D857,RUNS!$A$6:$A$1005,0))),""))</f>
        <v/>
      </c>
      <c r="R857" s="34">
        <f>IF(OR($L857="",$K857=""),"",IFERROR(IF(INDEX(PARAMETRES!$H$43:$H$342,MATCH($L857&amp;"|"&amp;$M857&amp;"|"&amp;$N857&amp;"|"&amp;$O857&amp;"|"&amp;$P857&amp;"|"&amp;$Q857&amp;"|"&amp;$K857,PARAMETRES!$J$43:$J$342,0))="","",INDEX(PARAMETRES!$H$43:$H$342,MATCH($L857&amp;"|"&amp;$M857&amp;"|"&amp;$N857&amp;"|"&amp;$O857&amp;"|"&amp;$P857&amp;"|"&amp;$Q857&amp;"|"&amp;$K857,PARAMETRES!$J$43:$J$342,0))),""))</f>
        <v/>
      </c>
      <c r="S857" s="35">
        <f>IF(OR($G857="",$X857&lt;&gt;"VALIDE"),"",IFERROR(LOOKUP(2,1/(($B$3:$B856=$B857)*($G$3:$G856=$G857)*($X$3:$X856="VALIDE")),$C$3:$C856),""))</f>
        <v/>
      </c>
      <c r="T857" s="36">
        <f>IF(OR($C857="",$S857=""),"",ROUND(($C857-$S857+IF($C857&lt;$S857,1,0))*1440,0))</f>
        <v/>
      </c>
      <c r="U857" s="22">
        <f>IF(OR($H857="",$T857="",$T857&lt;=0),"",$H857*60/$T857)</f>
        <v/>
      </c>
      <c r="V857" s="37">
        <f>IF(OR($U857="",$R857="",$R857=0),"",$U857/$R857)</f>
        <v/>
      </c>
      <c r="W857" s="20">
        <f>IF($G857="","",IF($X857="CONTEXTE INCOMPLET","CONTEXTE INCOMPLET",IF($X857="DOUBLON",StatutDoublon,IF($S857="",StatutInitial,IF($R857="",StatutStandardManquant,IF($V857="","DONNEES INSUFFISANTES",IF($V857&gt;=SeuilConforme,StatutConforme,IF($V857&gt;=SeuilSurveiller,StatutSurveiller,StatutSousStandard))))))))</f>
        <v/>
      </c>
      <c r="X857" s="33">
        <f>IF($G857="","",IF(OR($D857="",$E857="",$F857=""),"CONTEXTE INCOMPLET",IF(COUNTIFS($D$3:$D856,$D857,$E$3:$E856,$E857,$F$3:$F856,$F857,$G$3:$G856,$G857)&gt;0,"DOUBLON","VALIDE")))</f>
        <v/>
      </c>
    </row>
    <row r="858" ht="15" customHeight="1">
      <c r="A858" s="12">
        <f>IF(OR($B858="",$G858=""),"",TEXT($B858,"YYYYMMDD")&amp;"-"&amp;SUBSTITUTE($E858," ","")&amp;"-"&amp;$F858&amp;"-"&amp;$G858)</f>
        <v/>
      </c>
      <c r="B858" s="15" t="n"/>
      <c r="C858" s="16" t="n"/>
      <c r="D858" s="10" t="n"/>
      <c r="E858" s="9" t="n"/>
      <c r="F858" s="9" t="n"/>
      <c r="G858" s="13" t="n"/>
      <c r="H858" s="21" t="n"/>
      <c r="I858" s="21" t="n"/>
      <c r="J858" s="17">
        <f>IF($G858="","",IFERROR(INDEX(NomsEmployes,MATCH($G858,MatriculesEmployes,0)),"MATRICULE INCONNU"))</f>
        <v/>
      </c>
      <c r="K858" s="33">
        <f>IF(OR($D858="",$F858=""),"",IFERROR(IF(INDEX(RUNS!$L$6:$S$1005,MATCH($D858,RUNS!$A$6:$A$1005,0),MATCH("ACTIVITÉ "&amp;$F858,RUNS!$L$5:$S$5,0))="","",INDEX(RUNS!$L$6:$S$1005,MATCH($D858,RUNS!$A$6:$A$1005,0),MATCH("ACTIVITÉ "&amp;$F858,RUNS!$L$5:$S$5,0))),""))</f>
        <v/>
      </c>
      <c r="L858" s="33">
        <f>IF($D858="","",IFERROR(IF(INDEX(RUNS!$E$6:$E$1005,MATCH($D858,RUNS!$A$6:$A$1005,0))="","",INDEX(RUNS!$E$6:$E$1005,MATCH($D858,RUNS!$A$6:$A$1005,0))),""))</f>
        <v/>
      </c>
      <c r="M858" s="33">
        <f>IF($D858="","",IFERROR(IF(INDEX(RUNS!$F$6:$F$1005,MATCH($D858,RUNS!$A$6:$A$1005,0))="","",INDEX(RUNS!$F$6:$F$1005,MATCH($D858,RUNS!$A$6:$A$1005,0))),""))</f>
        <v/>
      </c>
      <c r="N858" s="33">
        <f>IF($D858="","",IFERROR(IF(INDEX(RUNS!$G$6:$G$1005,MATCH($D858,RUNS!$A$6:$A$1005,0))="","",INDEX(RUNS!$G$6:$G$1005,MATCH($D858,RUNS!$A$6:$A$1005,0))),""))</f>
        <v/>
      </c>
      <c r="O858" s="33">
        <f>IF($D858="","",IFERROR(IF(INDEX(RUNS!$H$6:$H$1005,MATCH($D858,RUNS!$A$6:$A$1005,0))="","",INDEX(RUNS!$H$6:$H$1005,MATCH($D858,RUNS!$A$6:$A$1005,0))),""))</f>
        <v/>
      </c>
      <c r="P858" s="33">
        <f>IF($D858="","",IFERROR(IF(INDEX(RUNS!$J$6:$J$1005,MATCH($D858,RUNS!$A$6:$A$1005,0))="","",INDEX(RUNS!$J$6:$J$1005,MATCH($D858,RUNS!$A$6:$A$1005,0))),""))</f>
        <v/>
      </c>
      <c r="Q858" s="33">
        <f>IF($D858="","",IFERROR(IF(INDEX(RUNS!$K$6:$K$1005,MATCH($D858,RUNS!$A$6:$A$1005,0))="","",INDEX(RUNS!$K$6:$K$1005,MATCH($D858,RUNS!$A$6:$A$1005,0))),""))</f>
        <v/>
      </c>
      <c r="R858" s="34">
        <f>IF(OR($L858="",$K858=""),"",IFERROR(IF(INDEX(PARAMETRES!$H$43:$H$342,MATCH($L858&amp;"|"&amp;$M858&amp;"|"&amp;$N858&amp;"|"&amp;$O858&amp;"|"&amp;$P858&amp;"|"&amp;$Q858&amp;"|"&amp;$K858,PARAMETRES!$J$43:$J$342,0))="","",INDEX(PARAMETRES!$H$43:$H$342,MATCH($L858&amp;"|"&amp;$M858&amp;"|"&amp;$N858&amp;"|"&amp;$O858&amp;"|"&amp;$P858&amp;"|"&amp;$Q858&amp;"|"&amp;$K858,PARAMETRES!$J$43:$J$342,0))),""))</f>
        <v/>
      </c>
      <c r="S858" s="35">
        <f>IF(OR($G858="",$X858&lt;&gt;"VALIDE"),"",IFERROR(LOOKUP(2,1/(($B$3:$B857=$B858)*($G$3:$G857=$G858)*($X$3:$X857="VALIDE")),$C$3:$C857),""))</f>
        <v/>
      </c>
      <c r="T858" s="36">
        <f>IF(OR($C858="",$S858=""),"",ROUND(($C858-$S858+IF($C858&lt;$S858,1,0))*1440,0))</f>
        <v/>
      </c>
      <c r="U858" s="22">
        <f>IF(OR($H858="",$T858="",$T858&lt;=0),"",$H858*60/$T858)</f>
        <v/>
      </c>
      <c r="V858" s="37">
        <f>IF(OR($U858="",$R858="",$R858=0),"",$U858/$R858)</f>
        <v/>
      </c>
      <c r="W858" s="20">
        <f>IF($G858="","",IF($X858="CONTEXTE INCOMPLET","CONTEXTE INCOMPLET",IF($X858="DOUBLON",StatutDoublon,IF($S858="",StatutInitial,IF($R858="",StatutStandardManquant,IF($V858="","DONNEES INSUFFISANTES",IF($V858&gt;=SeuilConforme,StatutConforme,IF($V858&gt;=SeuilSurveiller,StatutSurveiller,StatutSousStandard))))))))</f>
        <v/>
      </c>
      <c r="X858" s="33">
        <f>IF($G858="","",IF(OR($D858="",$E858="",$F858=""),"CONTEXTE INCOMPLET",IF(COUNTIFS($D$3:$D857,$D858,$E$3:$E857,$E858,$F$3:$F857,$F858,$G$3:$G857,$G858)&gt;0,"DOUBLON","VALIDE")))</f>
        <v/>
      </c>
    </row>
    <row r="859" ht="15" customHeight="1">
      <c r="A859" s="12">
        <f>IF(OR($B859="",$G859=""),"",TEXT($B859,"YYYYMMDD")&amp;"-"&amp;SUBSTITUTE($E859," ","")&amp;"-"&amp;$F859&amp;"-"&amp;$G859)</f>
        <v/>
      </c>
      <c r="B859" s="15" t="n"/>
      <c r="C859" s="16" t="n"/>
      <c r="D859" s="10" t="n"/>
      <c r="E859" s="9" t="n"/>
      <c r="F859" s="9" t="n"/>
      <c r="G859" s="13" t="n"/>
      <c r="H859" s="21" t="n"/>
      <c r="I859" s="21" t="n"/>
      <c r="J859" s="17">
        <f>IF($G859="","",IFERROR(INDEX(NomsEmployes,MATCH($G859,MatriculesEmployes,0)),"MATRICULE INCONNU"))</f>
        <v/>
      </c>
      <c r="K859" s="33">
        <f>IF(OR($D859="",$F859=""),"",IFERROR(IF(INDEX(RUNS!$L$6:$S$1005,MATCH($D859,RUNS!$A$6:$A$1005,0),MATCH("ACTIVITÉ "&amp;$F859,RUNS!$L$5:$S$5,0))="","",INDEX(RUNS!$L$6:$S$1005,MATCH($D859,RUNS!$A$6:$A$1005,0),MATCH("ACTIVITÉ "&amp;$F859,RUNS!$L$5:$S$5,0))),""))</f>
        <v/>
      </c>
      <c r="L859" s="33">
        <f>IF($D859="","",IFERROR(IF(INDEX(RUNS!$E$6:$E$1005,MATCH($D859,RUNS!$A$6:$A$1005,0))="","",INDEX(RUNS!$E$6:$E$1005,MATCH($D859,RUNS!$A$6:$A$1005,0))),""))</f>
        <v/>
      </c>
      <c r="M859" s="33">
        <f>IF($D859="","",IFERROR(IF(INDEX(RUNS!$F$6:$F$1005,MATCH($D859,RUNS!$A$6:$A$1005,0))="","",INDEX(RUNS!$F$6:$F$1005,MATCH($D859,RUNS!$A$6:$A$1005,0))),""))</f>
        <v/>
      </c>
      <c r="N859" s="33">
        <f>IF($D859="","",IFERROR(IF(INDEX(RUNS!$G$6:$G$1005,MATCH($D859,RUNS!$A$6:$A$1005,0))="","",INDEX(RUNS!$G$6:$G$1005,MATCH($D859,RUNS!$A$6:$A$1005,0))),""))</f>
        <v/>
      </c>
      <c r="O859" s="33">
        <f>IF($D859="","",IFERROR(IF(INDEX(RUNS!$H$6:$H$1005,MATCH($D859,RUNS!$A$6:$A$1005,0))="","",INDEX(RUNS!$H$6:$H$1005,MATCH($D859,RUNS!$A$6:$A$1005,0))),""))</f>
        <v/>
      </c>
      <c r="P859" s="33">
        <f>IF($D859="","",IFERROR(IF(INDEX(RUNS!$J$6:$J$1005,MATCH($D859,RUNS!$A$6:$A$1005,0))="","",INDEX(RUNS!$J$6:$J$1005,MATCH($D859,RUNS!$A$6:$A$1005,0))),""))</f>
        <v/>
      </c>
      <c r="Q859" s="33">
        <f>IF($D859="","",IFERROR(IF(INDEX(RUNS!$K$6:$K$1005,MATCH($D859,RUNS!$A$6:$A$1005,0))="","",INDEX(RUNS!$K$6:$K$1005,MATCH($D859,RUNS!$A$6:$A$1005,0))),""))</f>
        <v/>
      </c>
      <c r="R859" s="34">
        <f>IF(OR($L859="",$K859=""),"",IFERROR(IF(INDEX(PARAMETRES!$H$43:$H$342,MATCH($L859&amp;"|"&amp;$M859&amp;"|"&amp;$N859&amp;"|"&amp;$O859&amp;"|"&amp;$P859&amp;"|"&amp;$Q859&amp;"|"&amp;$K859,PARAMETRES!$J$43:$J$342,0))="","",INDEX(PARAMETRES!$H$43:$H$342,MATCH($L859&amp;"|"&amp;$M859&amp;"|"&amp;$N859&amp;"|"&amp;$O859&amp;"|"&amp;$P859&amp;"|"&amp;$Q859&amp;"|"&amp;$K859,PARAMETRES!$J$43:$J$342,0))),""))</f>
        <v/>
      </c>
      <c r="S859" s="35">
        <f>IF(OR($G859="",$X859&lt;&gt;"VALIDE"),"",IFERROR(LOOKUP(2,1/(($B$3:$B858=$B859)*($G$3:$G858=$G859)*($X$3:$X858="VALIDE")),$C$3:$C858),""))</f>
        <v/>
      </c>
      <c r="T859" s="36">
        <f>IF(OR($C859="",$S859=""),"",ROUND(($C859-$S859+IF($C859&lt;$S859,1,0))*1440,0))</f>
        <v/>
      </c>
      <c r="U859" s="22">
        <f>IF(OR($H859="",$T859="",$T859&lt;=0),"",$H859*60/$T859)</f>
        <v/>
      </c>
      <c r="V859" s="37">
        <f>IF(OR($U859="",$R859="",$R859=0),"",$U859/$R859)</f>
        <v/>
      </c>
      <c r="W859" s="20">
        <f>IF($G859="","",IF($X859="CONTEXTE INCOMPLET","CONTEXTE INCOMPLET",IF($X859="DOUBLON",StatutDoublon,IF($S859="",StatutInitial,IF($R859="",StatutStandardManquant,IF($V859="","DONNEES INSUFFISANTES",IF($V859&gt;=SeuilConforme,StatutConforme,IF($V859&gt;=SeuilSurveiller,StatutSurveiller,StatutSousStandard))))))))</f>
        <v/>
      </c>
      <c r="X859" s="33">
        <f>IF($G859="","",IF(OR($D859="",$E859="",$F859=""),"CONTEXTE INCOMPLET",IF(COUNTIFS($D$3:$D858,$D859,$E$3:$E858,$E859,$F$3:$F858,$F859,$G$3:$G858,$G859)&gt;0,"DOUBLON","VALIDE")))</f>
        <v/>
      </c>
    </row>
    <row r="860" ht="15" customHeight="1">
      <c r="A860" s="12">
        <f>IF(OR($B860="",$G860=""),"",TEXT($B860,"YYYYMMDD")&amp;"-"&amp;SUBSTITUTE($E860," ","")&amp;"-"&amp;$F860&amp;"-"&amp;$G860)</f>
        <v/>
      </c>
      <c r="B860" s="15" t="n"/>
      <c r="C860" s="16" t="n"/>
      <c r="D860" s="10" t="n"/>
      <c r="E860" s="9" t="n"/>
      <c r="F860" s="9" t="n"/>
      <c r="G860" s="13" t="n"/>
      <c r="H860" s="21" t="n"/>
      <c r="I860" s="21" t="n"/>
      <c r="J860" s="17">
        <f>IF($G860="","",IFERROR(INDEX(NomsEmployes,MATCH($G860,MatriculesEmployes,0)),"MATRICULE INCONNU"))</f>
        <v/>
      </c>
      <c r="K860" s="33">
        <f>IF(OR($D860="",$F860=""),"",IFERROR(IF(INDEX(RUNS!$L$6:$S$1005,MATCH($D860,RUNS!$A$6:$A$1005,0),MATCH("ACTIVITÉ "&amp;$F860,RUNS!$L$5:$S$5,0))="","",INDEX(RUNS!$L$6:$S$1005,MATCH($D860,RUNS!$A$6:$A$1005,0),MATCH("ACTIVITÉ "&amp;$F860,RUNS!$L$5:$S$5,0))),""))</f>
        <v/>
      </c>
      <c r="L860" s="33">
        <f>IF($D860="","",IFERROR(IF(INDEX(RUNS!$E$6:$E$1005,MATCH($D860,RUNS!$A$6:$A$1005,0))="","",INDEX(RUNS!$E$6:$E$1005,MATCH($D860,RUNS!$A$6:$A$1005,0))),""))</f>
        <v/>
      </c>
      <c r="M860" s="33">
        <f>IF($D860="","",IFERROR(IF(INDEX(RUNS!$F$6:$F$1005,MATCH($D860,RUNS!$A$6:$A$1005,0))="","",INDEX(RUNS!$F$6:$F$1005,MATCH($D860,RUNS!$A$6:$A$1005,0))),""))</f>
        <v/>
      </c>
      <c r="N860" s="33">
        <f>IF($D860="","",IFERROR(IF(INDEX(RUNS!$G$6:$G$1005,MATCH($D860,RUNS!$A$6:$A$1005,0))="","",INDEX(RUNS!$G$6:$G$1005,MATCH($D860,RUNS!$A$6:$A$1005,0))),""))</f>
        <v/>
      </c>
      <c r="O860" s="33">
        <f>IF($D860="","",IFERROR(IF(INDEX(RUNS!$H$6:$H$1005,MATCH($D860,RUNS!$A$6:$A$1005,0))="","",INDEX(RUNS!$H$6:$H$1005,MATCH($D860,RUNS!$A$6:$A$1005,0))),""))</f>
        <v/>
      </c>
      <c r="P860" s="33">
        <f>IF($D860="","",IFERROR(IF(INDEX(RUNS!$J$6:$J$1005,MATCH($D860,RUNS!$A$6:$A$1005,0))="","",INDEX(RUNS!$J$6:$J$1005,MATCH($D860,RUNS!$A$6:$A$1005,0))),""))</f>
        <v/>
      </c>
      <c r="Q860" s="33">
        <f>IF($D860="","",IFERROR(IF(INDEX(RUNS!$K$6:$K$1005,MATCH($D860,RUNS!$A$6:$A$1005,0))="","",INDEX(RUNS!$K$6:$K$1005,MATCH($D860,RUNS!$A$6:$A$1005,0))),""))</f>
        <v/>
      </c>
      <c r="R860" s="34">
        <f>IF(OR($L860="",$K860=""),"",IFERROR(IF(INDEX(PARAMETRES!$H$43:$H$342,MATCH($L860&amp;"|"&amp;$M860&amp;"|"&amp;$N860&amp;"|"&amp;$O860&amp;"|"&amp;$P860&amp;"|"&amp;$Q860&amp;"|"&amp;$K860,PARAMETRES!$J$43:$J$342,0))="","",INDEX(PARAMETRES!$H$43:$H$342,MATCH($L860&amp;"|"&amp;$M860&amp;"|"&amp;$N860&amp;"|"&amp;$O860&amp;"|"&amp;$P860&amp;"|"&amp;$Q860&amp;"|"&amp;$K860,PARAMETRES!$J$43:$J$342,0))),""))</f>
        <v/>
      </c>
      <c r="S860" s="35">
        <f>IF(OR($G860="",$X860&lt;&gt;"VALIDE"),"",IFERROR(LOOKUP(2,1/(($B$3:$B859=$B860)*($G$3:$G859=$G860)*($X$3:$X859="VALIDE")),$C$3:$C859),""))</f>
        <v/>
      </c>
      <c r="T860" s="36">
        <f>IF(OR($C860="",$S860=""),"",ROUND(($C860-$S860+IF($C860&lt;$S860,1,0))*1440,0))</f>
        <v/>
      </c>
      <c r="U860" s="22">
        <f>IF(OR($H860="",$T860="",$T860&lt;=0),"",$H860*60/$T860)</f>
        <v/>
      </c>
      <c r="V860" s="37">
        <f>IF(OR($U860="",$R860="",$R860=0),"",$U860/$R860)</f>
        <v/>
      </c>
      <c r="W860" s="20">
        <f>IF($G860="","",IF($X860="CONTEXTE INCOMPLET","CONTEXTE INCOMPLET",IF($X860="DOUBLON",StatutDoublon,IF($S860="",StatutInitial,IF($R860="",StatutStandardManquant,IF($V860="","DONNEES INSUFFISANTES",IF($V860&gt;=SeuilConforme,StatutConforme,IF($V860&gt;=SeuilSurveiller,StatutSurveiller,StatutSousStandard))))))))</f>
        <v/>
      </c>
      <c r="X860" s="33">
        <f>IF($G860="","",IF(OR($D860="",$E860="",$F860=""),"CONTEXTE INCOMPLET",IF(COUNTIFS($D$3:$D859,$D860,$E$3:$E859,$E860,$F$3:$F859,$F860,$G$3:$G859,$G860)&gt;0,"DOUBLON","VALIDE")))</f>
        <v/>
      </c>
    </row>
    <row r="861" ht="15" customHeight="1">
      <c r="A861" s="12">
        <f>IF(OR($B861="",$G861=""),"",TEXT($B861,"YYYYMMDD")&amp;"-"&amp;SUBSTITUTE($E861," ","")&amp;"-"&amp;$F861&amp;"-"&amp;$G861)</f>
        <v/>
      </c>
      <c r="B861" s="15" t="n"/>
      <c r="C861" s="16" t="n"/>
      <c r="D861" s="10" t="n"/>
      <c r="E861" s="9" t="n"/>
      <c r="F861" s="9" t="n"/>
      <c r="G861" s="13" t="n"/>
      <c r="H861" s="21" t="n"/>
      <c r="I861" s="21" t="n"/>
      <c r="J861" s="17">
        <f>IF($G861="","",IFERROR(INDEX(NomsEmployes,MATCH($G861,MatriculesEmployes,0)),"MATRICULE INCONNU"))</f>
        <v/>
      </c>
      <c r="K861" s="33">
        <f>IF(OR($D861="",$F861=""),"",IFERROR(IF(INDEX(RUNS!$L$6:$S$1005,MATCH($D861,RUNS!$A$6:$A$1005,0),MATCH("ACTIVITÉ "&amp;$F861,RUNS!$L$5:$S$5,0))="","",INDEX(RUNS!$L$6:$S$1005,MATCH($D861,RUNS!$A$6:$A$1005,0),MATCH("ACTIVITÉ "&amp;$F861,RUNS!$L$5:$S$5,0))),""))</f>
        <v/>
      </c>
      <c r="L861" s="33">
        <f>IF($D861="","",IFERROR(IF(INDEX(RUNS!$E$6:$E$1005,MATCH($D861,RUNS!$A$6:$A$1005,0))="","",INDEX(RUNS!$E$6:$E$1005,MATCH($D861,RUNS!$A$6:$A$1005,0))),""))</f>
        <v/>
      </c>
      <c r="M861" s="33">
        <f>IF($D861="","",IFERROR(IF(INDEX(RUNS!$F$6:$F$1005,MATCH($D861,RUNS!$A$6:$A$1005,0))="","",INDEX(RUNS!$F$6:$F$1005,MATCH($D861,RUNS!$A$6:$A$1005,0))),""))</f>
        <v/>
      </c>
      <c r="N861" s="33">
        <f>IF($D861="","",IFERROR(IF(INDEX(RUNS!$G$6:$G$1005,MATCH($D861,RUNS!$A$6:$A$1005,0))="","",INDEX(RUNS!$G$6:$G$1005,MATCH($D861,RUNS!$A$6:$A$1005,0))),""))</f>
        <v/>
      </c>
      <c r="O861" s="33">
        <f>IF($D861="","",IFERROR(IF(INDEX(RUNS!$H$6:$H$1005,MATCH($D861,RUNS!$A$6:$A$1005,0))="","",INDEX(RUNS!$H$6:$H$1005,MATCH($D861,RUNS!$A$6:$A$1005,0))),""))</f>
        <v/>
      </c>
      <c r="P861" s="33">
        <f>IF($D861="","",IFERROR(IF(INDEX(RUNS!$J$6:$J$1005,MATCH($D861,RUNS!$A$6:$A$1005,0))="","",INDEX(RUNS!$J$6:$J$1005,MATCH($D861,RUNS!$A$6:$A$1005,0))),""))</f>
        <v/>
      </c>
      <c r="Q861" s="33">
        <f>IF($D861="","",IFERROR(IF(INDEX(RUNS!$K$6:$K$1005,MATCH($D861,RUNS!$A$6:$A$1005,0))="","",INDEX(RUNS!$K$6:$K$1005,MATCH($D861,RUNS!$A$6:$A$1005,0))),""))</f>
        <v/>
      </c>
      <c r="R861" s="34">
        <f>IF(OR($L861="",$K861=""),"",IFERROR(IF(INDEX(PARAMETRES!$H$43:$H$342,MATCH($L861&amp;"|"&amp;$M861&amp;"|"&amp;$N861&amp;"|"&amp;$O861&amp;"|"&amp;$P861&amp;"|"&amp;$Q861&amp;"|"&amp;$K861,PARAMETRES!$J$43:$J$342,0))="","",INDEX(PARAMETRES!$H$43:$H$342,MATCH($L861&amp;"|"&amp;$M861&amp;"|"&amp;$N861&amp;"|"&amp;$O861&amp;"|"&amp;$P861&amp;"|"&amp;$Q861&amp;"|"&amp;$K861,PARAMETRES!$J$43:$J$342,0))),""))</f>
        <v/>
      </c>
      <c r="S861" s="35">
        <f>IF(OR($G861="",$X861&lt;&gt;"VALIDE"),"",IFERROR(LOOKUP(2,1/(($B$3:$B860=$B861)*($G$3:$G860=$G861)*($X$3:$X860="VALIDE")),$C$3:$C860),""))</f>
        <v/>
      </c>
      <c r="T861" s="36">
        <f>IF(OR($C861="",$S861=""),"",ROUND(($C861-$S861+IF($C861&lt;$S861,1,0))*1440,0))</f>
        <v/>
      </c>
      <c r="U861" s="22">
        <f>IF(OR($H861="",$T861="",$T861&lt;=0),"",$H861*60/$T861)</f>
        <v/>
      </c>
      <c r="V861" s="37">
        <f>IF(OR($U861="",$R861="",$R861=0),"",$U861/$R861)</f>
        <v/>
      </c>
      <c r="W861" s="20">
        <f>IF($G861="","",IF($X861="CONTEXTE INCOMPLET","CONTEXTE INCOMPLET",IF($X861="DOUBLON",StatutDoublon,IF($S861="",StatutInitial,IF($R861="",StatutStandardManquant,IF($V861="","DONNEES INSUFFISANTES",IF($V861&gt;=SeuilConforme,StatutConforme,IF($V861&gt;=SeuilSurveiller,StatutSurveiller,StatutSousStandard))))))))</f>
        <v/>
      </c>
      <c r="X861" s="33">
        <f>IF($G861="","",IF(OR($D861="",$E861="",$F861=""),"CONTEXTE INCOMPLET",IF(COUNTIFS($D$3:$D860,$D861,$E$3:$E860,$E861,$F$3:$F860,$F861,$G$3:$G860,$G861)&gt;0,"DOUBLON","VALIDE")))</f>
        <v/>
      </c>
    </row>
    <row r="862" ht="15" customHeight="1">
      <c r="A862" s="12">
        <f>IF(OR($B862="",$G862=""),"",TEXT($B862,"YYYYMMDD")&amp;"-"&amp;SUBSTITUTE($E862," ","")&amp;"-"&amp;$F862&amp;"-"&amp;$G862)</f>
        <v/>
      </c>
      <c r="B862" s="15" t="n"/>
      <c r="C862" s="16" t="n"/>
      <c r="D862" s="10" t="n"/>
      <c r="E862" s="9" t="n"/>
      <c r="F862" s="9" t="n"/>
      <c r="G862" s="13" t="n"/>
      <c r="H862" s="21" t="n"/>
      <c r="I862" s="21" t="n"/>
      <c r="J862" s="17">
        <f>IF($G862="","",IFERROR(INDEX(NomsEmployes,MATCH($G862,MatriculesEmployes,0)),"MATRICULE INCONNU"))</f>
        <v/>
      </c>
      <c r="K862" s="33">
        <f>IF(OR($D862="",$F862=""),"",IFERROR(IF(INDEX(RUNS!$L$6:$S$1005,MATCH($D862,RUNS!$A$6:$A$1005,0),MATCH("ACTIVITÉ "&amp;$F862,RUNS!$L$5:$S$5,0))="","",INDEX(RUNS!$L$6:$S$1005,MATCH($D862,RUNS!$A$6:$A$1005,0),MATCH("ACTIVITÉ "&amp;$F862,RUNS!$L$5:$S$5,0))),""))</f>
        <v/>
      </c>
      <c r="L862" s="33">
        <f>IF($D862="","",IFERROR(IF(INDEX(RUNS!$E$6:$E$1005,MATCH($D862,RUNS!$A$6:$A$1005,0))="","",INDEX(RUNS!$E$6:$E$1005,MATCH($D862,RUNS!$A$6:$A$1005,0))),""))</f>
        <v/>
      </c>
      <c r="M862" s="33">
        <f>IF($D862="","",IFERROR(IF(INDEX(RUNS!$F$6:$F$1005,MATCH($D862,RUNS!$A$6:$A$1005,0))="","",INDEX(RUNS!$F$6:$F$1005,MATCH($D862,RUNS!$A$6:$A$1005,0))),""))</f>
        <v/>
      </c>
      <c r="N862" s="33">
        <f>IF($D862="","",IFERROR(IF(INDEX(RUNS!$G$6:$G$1005,MATCH($D862,RUNS!$A$6:$A$1005,0))="","",INDEX(RUNS!$G$6:$G$1005,MATCH($D862,RUNS!$A$6:$A$1005,0))),""))</f>
        <v/>
      </c>
      <c r="O862" s="33">
        <f>IF($D862="","",IFERROR(IF(INDEX(RUNS!$H$6:$H$1005,MATCH($D862,RUNS!$A$6:$A$1005,0))="","",INDEX(RUNS!$H$6:$H$1005,MATCH($D862,RUNS!$A$6:$A$1005,0))),""))</f>
        <v/>
      </c>
      <c r="P862" s="33">
        <f>IF($D862="","",IFERROR(IF(INDEX(RUNS!$J$6:$J$1005,MATCH($D862,RUNS!$A$6:$A$1005,0))="","",INDEX(RUNS!$J$6:$J$1005,MATCH($D862,RUNS!$A$6:$A$1005,0))),""))</f>
        <v/>
      </c>
      <c r="Q862" s="33">
        <f>IF($D862="","",IFERROR(IF(INDEX(RUNS!$K$6:$K$1005,MATCH($D862,RUNS!$A$6:$A$1005,0))="","",INDEX(RUNS!$K$6:$K$1005,MATCH($D862,RUNS!$A$6:$A$1005,0))),""))</f>
        <v/>
      </c>
      <c r="R862" s="34">
        <f>IF(OR($L862="",$K862=""),"",IFERROR(IF(INDEX(PARAMETRES!$H$43:$H$342,MATCH($L862&amp;"|"&amp;$M862&amp;"|"&amp;$N862&amp;"|"&amp;$O862&amp;"|"&amp;$P862&amp;"|"&amp;$Q862&amp;"|"&amp;$K862,PARAMETRES!$J$43:$J$342,0))="","",INDEX(PARAMETRES!$H$43:$H$342,MATCH($L862&amp;"|"&amp;$M862&amp;"|"&amp;$N862&amp;"|"&amp;$O862&amp;"|"&amp;$P862&amp;"|"&amp;$Q862&amp;"|"&amp;$K862,PARAMETRES!$J$43:$J$342,0))),""))</f>
        <v/>
      </c>
      <c r="S862" s="35">
        <f>IF(OR($G862="",$X862&lt;&gt;"VALIDE"),"",IFERROR(LOOKUP(2,1/(($B$3:$B861=$B862)*($G$3:$G861=$G862)*($X$3:$X861="VALIDE")),$C$3:$C861),""))</f>
        <v/>
      </c>
      <c r="T862" s="36">
        <f>IF(OR($C862="",$S862=""),"",ROUND(($C862-$S862+IF($C862&lt;$S862,1,0))*1440,0))</f>
        <v/>
      </c>
      <c r="U862" s="22">
        <f>IF(OR($H862="",$T862="",$T862&lt;=0),"",$H862*60/$T862)</f>
        <v/>
      </c>
      <c r="V862" s="37">
        <f>IF(OR($U862="",$R862="",$R862=0),"",$U862/$R862)</f>
        <v/>
      </c>
      <c r="W862" s="20">
        <f>IF($G862="","",IF($X862="CONTEXTE INCOMPLET","CONTEXTE INCOMPLET",IF($X862="DOUBLON",StatutDoublon,IF($S862="",StatutInitial,IF($R862="",StatutStandardManquant,IF($V862="","DONNEES INSUFFISANTES",IF($V862&gt;=SeuilConforme,StatutConforme,IF($V862&gt;=SeuilSurveiller,StatutSurveiller,StatutSousStandard))))))))</f>
        <v/>
      </c>
      <c r="X862" s="33">
        <f>IF($G862="","",IF(OR($D862="",$E862="",$F862=""),"CONTEXTE INCOMPLET",IF(COUNTIFS($D$3:$D861,$D862,$E$3:$E861,$E862,$F$3:$F861,$F862,$G$3:$G861,$G862)&gt;0,"DOUBLON","VALIDE")))</f>
        <v/>
      </c>
    </row>
    <row r="863" ht="15" customHeight="1">
      <c r="A863" s="12">
        <f>IF(OR($B863="",$G863=""),"",TEXT($B863,"YYYYMMDD")&amp;"-"&amp;SUBSTITUTE($E863," ","")&amp;"-"&amp;$F863&amp;"-"&amp;$G863)</f>
        <v/>
      </c>
      <c r="B863" s="15" t="n"/>
      <c r="C863" s="16" t="n"/>
      <c r="D863" s="10" t="n"/>
      <c r="E863" s="9" t="n"/>
      <c r="F863" s="9" t="n"/>
      <c r="G863" s="13" t="n"/>
      <c r="H863" s="21" t="n"/>
      <c r="I863" s="21" t="n"/>
      <c r="J863" s="17">
        <f>IF($G863="","",IFERROR(INDEX(NomsEmployes,MATCH($G863,MatriculesEmployes,0)),"MATRICULE INCONNU"))</f>
        <v/>
      </c>
      <c r="K863" s="33">
        <f>IF(OR($D863="",$F863=""),"",IFERROR(IF(INDEX(RUNS!$L$6:$S$1005,MATCH($D863,RUNS!$A$6:$A$1005,0),MATCH("ACTIVITÉ "&amp;$F863,RUNS!$L$5:$S$5,0))="","",INDEX(RUNS!$L$6:$S$1005,MATCH($D863,RUNS!$A$6:$A$1005,0),MATCH("ACTIVITÉ "&amp;$F863,RUNS!$L$5:$S$5,0))),""))</f>
        <v/>
      </c>
      <c r="L863" s="33">
        <f>IF($D863="","",IFERROR(IF(INDEX(RUNS!$E$6:$E$1005,MATCH($D863,RUNS!$A$6:$A$1005,0))="","",INDEX(RUNS!$E$6:$E$1005,MATCH($D863,RUNS!$A$6:$A$1005,0))),""))</f>
        <v/>
      </c>
      <c r="M863" s="33">
        <f>IF($D863="","",IFERROR(IF(INDEX(RUNS!$F$6:$F$1005,MATCH($D863,RUNS!$A$6:$A$1005,0))="","",INDEX(RUNS!$F$6:$F$1005,MATCH($D863,RUNS!$A$6:$A$1005,0))),""))</f>
        <v/>
      </c>
      <c r="N863" s="33">
        <f>IF($D863="","",IFERROR(IF(INDEX(RUNS!$G$6:$G$1005,MATCH($D863,RUNS!$A$6:$A$1005,0))="","",INDEX(RUNS!$G$6:$G$1005,MATCH($D863,RUNS!$A$6:$A$1005,0))),""))</f>
        <v/>
      </c>
      <c r="O863" s="33">
        <f>IF($D863="","",IFERROR(IF(INDEX(RUNS!$H$6:$H$1005,MATCH($D863,RUNS!$A$6:$A$1005,0))="","",INDEX(RUNS!$H$6:$H$1005,MATCH($D863,RUNS!$A$6:$A$1005,0))),""))</f>
        <v/>
      </c>
      <c r="P863" s="33">
        <f>IF($D863="","",IFERROR(IF(INDEX(RUNS!$J$6:$J$1005,MATCH($D863,RUNS!$A$6:$A$1005,0))="","",INDEX(RUNS!$J$6:$J$1005,MATCH($D863,RUNS!$A$6:$A$1005,0))),""))</f>
        <v/>
      </c>
      <c r="Q863" s="33">
        <f>IF($D863="","",IFERROR(IF(INDEX(RUNS!$K$6:$K$1005,MATCH($D863,RUNS!$A$6:$A$1005,0))="","",INDEX(RUNS!$K$6:$K$1005,MATCH($D863,RUNS!$A$6:$A$1005,0))),""))</f>
        <v/>
      </c>
      <c r="R863" s="34">
        <f>IF(OR($L863="",$K863=""),"",IFERROR(IF(INDEX(PARAMETRES!$H$43:$H$342,MATCH($L863&amp;"|"&amp;$M863&amp;"|"&amp;$N863&amp;"|"&amp;$O863&amp;"|"&amp;$P863&amp;"|"&amp;$Q863&amp;"|"&amp;$K863,PARAMETRES!$J$43:$J$342,0))="","",INDEX(PARAMETRES!$H$43:$H$342,MATCH($L863&amp;"|"&amp;$M863&amp;"|"&amp;$N863&amp;"|"&amp;$O863&amp;"|"&amp;$P863&amp;"|"&amp;$Q863&amp;"|"&amp;$K863,PARAMETRES!$J$43:$J$342,0))),""))</f>
        <v/>
      </c>
      <c r="S863" s="35">
        <f>IF(OR($G863="",$X863&lt;&gt;"VALIDE"),"",IFERROR(LOOKUP(2,1/(($B$3:$B862=$B863)*($G$3:$G862=$G863)*($X$3:$X862="VALIDE")),$C$3:$C862),""))</f>
        <v/>
      </c>
      <c r="T863" s="36">
        <f>IF(OR($C863="",$S863=""),"",ROUND(($C863-$S863+IF($C863&lt;$S863,1,0))*1440,0))</f>
        <v/>
      </c>
      <c r="U863" s="22">
        <f>IF(OR($H863="",$T863="",$T863&lt;=0),"",$H863*60/$T863)</f>
        <v/>
      </c>
      <c r="V863" s="37">
        <f>IF(OR($U863="",$R863="",$R863=0),"",$U863/$R863)</f>
        <v/>
      </c>
      <c r="W863" s="20">
        <f>IF($G863="","",IF($X863="CONTEXTE INCOMPLET","CONTEXTE INCOMPLET",IF($X863="DOUBLON",StatutDoublon,IF($S863="",StatutInitial,IF($R863="",StatutStandardManquant,IF($V863="","DONNEES INSUFFISANTES",IF($V863&gt;=SeuilConforme,StatutConforme,IF($V863&gt;=SeuilSurveiller,StatutSurveiller,StatutSousStandard))))))))</f>
        <v/>
      </c>
      <c r="X863" s="33">
        <f>IF($G863="","",IF(OR($D863="",$E863="",$F863=""),"CONTEXTE INCOMPLET",IF(COUNTIFS($D$3:$D862,$D863,$E$3:$E862,$E863,$F$3:$F862,$F863,$G$3:$G862,$G863)&gt;0,"DOUBLON","VALIDE")))</f>
        <v/>
      </c>
    </row>
    <row r="864" ht="15" customHeight="1">
      <c r="A864" s="12">
        <f>IF(OR($B864="",$G864=""),"",TEXT($B864,"YYYYMMDD")&amp;"-"&amp;SUBSTITUTE($E864," ","")&amp;"-"&amp;$F864&amp;"-"&amp;$G864)</f>
        <v/>
      </c>
      <c r="B864" s="15" t="n"/>
      <c r="C864" s="16" t="n"/>
      <c r="D864" s="10" t="n"/>
      <c r="E864" s="9" t="n"/>
      <c r="F864" s="9" t="n"/>
      <c r="G864" s="13" t="n"/>
      <c r="H864" s="21" t="n"/>
      <c r="I864" s="21" t="n"/>
      <c r="J864" s="17">
        <f>IF($G864="","",IFERROR(INDEX(NomsEmployes,MATCH($G864,MatriculesEmployes,0)),"MATRICULE INCONNU"))</f>
        <v/>
      </c>
      <c r="K864" s="33">
        <f>IF(OR($D864="",$F864=""),"",IFERROR(IF(INDEX(RUNS!$L$6:$S$1005,MATCH($D864,RUNS!$A$6:$A$1005,0),MATCH("ACTIVITÉ "&amp;$F864,RUNS!$L$5:$S$5,0))="","",INDEX(RUNS!$L$6:$S$1005,MATCH($D864,RUNS!$A$6:$A$1005,0),MATCH("ACTIVITÉ "&amp;$F864,RUNS!$L$5:$S$5,0))),""))</f>
        <v/>
      </c>
      <c r="L864" s="33">
        <f>IF($D864="","",IFERROR(IF(INDEX(RUNS!$E$6:$E$1005,MATCH($D864,RUNS!$A$6:$A$1005,0))="","",INDEX(RUNS!$E$6:$E$1005,MATCH($D864,RUNS!$A$6:$A$1005,0))),""))</f>
        <v/>
      </c>
      <c r="M864" s="33">
        <f>IF($D864="","",IFERROR(IF(INDEX(RUNS!$F$6:$F$1005,MATCH($D864,RUNS!$A$6:$A$1005,0))="","",INDEX(RUNS!$F$6:$F$1005,MATCH($D864,RUNS!$A$6:$A$1005,0))),""))</f>
        <v/>
      </c>
      <c r="N864" s="33">
        <f>IF($D864="","",IFERROR(IF(INDEX(RUNS!$G$6:$G$1005,MATCH($D864,RUNS!$A$6:$A$1005,0))="","",INDEX(RUNS!$G$6:$G$1005,MATCH($D864,RUNS!$A$6:$A$1005,0))),""))</f>
        <v/>
      </c>
      <c r="O864" s="33">
        <f>IF($D864="","",IFERROR(IF(INDEX(RUNS!$H$6:$H$1005,MATCH($D864,RUNS!$A$6:$A$1005,0))="","",INDEX(RUNS!$H$6:$H$1005,MATCH($D864,RUNS!$A$6:$A$1005,0))),""))</f>
        <v/>
      </c>
      <c r="P864" s="33">
        <f>IF($D864="","",IFERROR(IF(INDEX(RUNS!$J$6:$J$1005,MATCH($D864,RUNS!$A$6:$A$1005,0))="","",INDEX(RUNS!$J$6:$J$1005,MATCH($D864,RUNS!$A$6:$A$1005,0))),""))</f>
        <v/>
      </c>
      <c r="Q864" s="33">
        <f>IF($D864="","",IFERROR(IF(INDEX(RUNS!$K$6:$K$1005,MATCH($D864,RUNS!$A$6:$A$1005,0))="","",INDEX(RUNS!$K$6:$K$1005,MATCH($D864,RUNS!$A$6:$A$1005,0))),""))</f>
        <v/>
      </c>
      <c r="R864" s="34">
        <f>IF(OR($L864="",$K864=""),"",IFERROR(IF(INDEX(PARAMETRES!$H$43:$H$342,MATCH($L864&amp;"|"&amp;$M864&amp;"|"&amp;$N864&amp;"|"&amp;$O864&amp;"|"&amp;$P864&amp;"|"&amp;$Q864&amp;"|"&amp;$K864,PARAMETRES!$J$43:$J$342,0))="","",INDEX(PARAMETRES!$H$43:$H$342,MATCH($L864&amp;"|"&amp;$M864&amp;"|"&amp;$N864&amp;"|"&amp;$O864&amp;"|"&amp;$P864&amp;"|"&amp;$Q864&amp;"|"&amp;$K864,PARAMETRES!$J$43:$J$342,0))),""))</f>
        <v/>
      </c>
      <c r="S864" s="35">
        <f>IF(OR($G864="",$X864&lt;&gt;"VALIDE"),"",IFERROR(LOOKUP(2,1/(($B$3:$B863=$B864)*($G$3:$G863=$G864)*($X$3:$X863="VALIDE")),$C$3:$C863),""))</f>
        <v/>
      </c>
      <c r="T864" s="36">
        <f>IF(OR($C864="",$S864=""),"",ROUND(($C864-$S864+IF($C864&lt;$S864,1,0))*1440,0))</f>
        <v/>
      </c>
      <c r="U864" s="22">
        <f>IF(OR($H864="",$T864="",$T864&lt;=0),"",$H864*60/$T864)</f>
        <v/>
      </c>
      <c r="V864" s="37">
        <f>IF(OR($U864="",$R864="",$R864=0),"",$U864/$R864)</f>
        <v/>
      </c>
      <c r="W864" s="20">
        <f>IF($G864="","",IF($X864="CONTEXTE INCOMPLET","CONTEXTE INCOMPLET",IF($X864="DOUBLON",StatutDoublon,IF($S864="",StatutInitial,IF($R864="",StatutStandardManquant,IF($V864="","DONNEES INSUFFISANTES",IF($V864&gt;=SeuilConforme,StatutConforme,IF($V864&gt;=SeuilSurveiller,StatutSurveiller,StatutSousStandard))))))))</f>
        <v/>
      </c>
      <c r="X864" s="33">
        <f>IF($G864="","",IF(OR($D864="",$E864="",$F864=""),"CONTEXTE INCOMPLET",IF(COUNTIFS($D$3:$D863,$D864,$E$3:$E863,$E864,$F$3:$F863,$F864,$G$3:$G863,$G864)&gt;0,"DOUBLON","VALIDE")))</f>
        <v/>
      </c>
    </row>
    <row r="865" ht="15" customHeight="1">
      <c r="A865" s="12">
        <f>IF(OR($B865="",$G865=""),"",TEXT($B865,"YYYYMMDD")&amp;"-"&amp;SUBSTITUTE($E865," ","")&amp;"-"&amp;$F865&amp;"-"&amp;$G865)</f>
        <v/>
      </c>
      <c r="B865" s="15" t="n"/>
      <c r="C865" s="16" t="n"/>
      <c r="D865" s="10" t="n"/>
      <c r="E865" s="9" t="n"/>
      <c r="F865" s="9" t="n"/>
      <c r="G865" s="13" t="n"/>
      <c r="H865" s="21" t="n"/>
      <c r="I865" s="21" t="n"/>
      <c r="J865" s="17">
        <f>IF($G865="","",IFERROR(INDEX(NomsEmployes,MATCH($G865,MatriculesEmployes,0)),"MATRICULE INCONNU"))</f>
        <v/>
      </c>
      <c r="K865" s="33">
        <f>IF(OR($D865="",$F865=""),"",IFERROR(IF(INDEX(RUNS!$L$6:$S$1005,MATCH($D865,RUNS!$A$6:$A$1005,0),MATCH("ACTIVITÉ "&amp;$F865,RUNS!$L$5:$S$5,0))="","",INDEX(RUNS!$L$6:$S$1005,MATCH($D865,RUNS!$A$6:$A$1005,0),MATCH("ACTIVITÉ "&amp;$F865,RUNS!$L$5:$S$5,0))),""))</f>
        <v/>
      </c>
      <c r="L865" s="33">
        <f>IF($D865="","",IFERROR(IF(INDEX(RUNS!$E$6:$E$1005,MATCH($D865,RUNS!$A$6:$A$1005,0))="","",INDEX(RUNS!$E$6:$E$1005,MATCH($D865,RUNS!$A$6:$A$1005,0))),""))</f>
        <v/>
      </c>
      <c r="M865" s="33">
        <f>IF($D865="","",IFERROR(IF(INDEX(RUNS!$F$6:$F$1005,MATCH($D865,RUNS!$A$6:$A$1005,0))="","",INDEX(RUNS!$F$6:$F$1005,MATCH($D865,RUNS!$A$6:$A$1005,0))),""))</f>
        <v/>
      </c>
      <c r="N865" s="33">
        <f>IF($D865="","",IFERROR(IF(INDEX(RUNS!$G$6:$G$1005,MATCH($D865,RUNS!$A$6:$A$1005,0))="","",INDEX(RUNS!$G$6:$G$1005,MATCH($D865,RUNS!$A$6:$A$1005,0))),""))</f>
        <v/>
      </c>
      <c r="O865" s="33">
        <f>IF($D865="","",IFERROR(IF(INDEX(RUNS!$H$6:$H$1005,MATCH($D865,RUNS!$A$6:$A$1005,0))="","",INDEX(RUNS!$H$6:$H$1005,MATCH($D865,RUNS!$A$6:$A$1005,0))),""))</f>
        <v/>
      </c>
      <c r="P865" s="33">
        <f>IF($D865="","",IFERROR(IF(INDEX(RUNS!$J$6:$J$1005,MATCH($D865,RUNS!$A$6:$A$1005,0))="","",INDEX(RUNS!$J$6:$J$1005,MATCH($D865,RUNS!$A$6:$A$1005,0))),""))</f>
        <v/>
      </c>
      <c r="Q865" s="33">
        <f>IF($D865="","",IFERROR(IF(INDEX(RUNS!$K$6:$K$1005,MATCH($D865,RUNS!$A$6:$A$1005,0))="","",INDEX(RUNS!$K$6:$K$1005,MATCH($D865,RUNS!$A$6:$A$1005,0))),""))</f>
        <v/>
      </c>
      <c r="R865" s="34">
        <f>IF(OR($L865="",$K865=""),"",IFERROR(IF(INDEX(PARAMETRES!$H$43:$H$342,MATCH($L865&amp;"|"&amp;$M865&amp;"|"&amp;$N865&amp;"|"&amp;$O865&amp;"|"&amp;$P865&amp;"|"&amp;$Q865&amp;"|"&amp;$K865,PARAMETRES!$J$43:$J$342,0))="","",INDEX(PARAMETRES!$H$43:$H$342,MATCH($L865&amp;"|"&amp;$M865&amp;"|"&amp;$N865&amp;"|"&amp;$O865&amp;"|"&amp;$P865&amp;"|"&amp;$Q865&amp;"|"&amp;$K865,PARAMETRES!$J$43:$J$342,0))),""))</f>
        <v/>
      </c>
      <c r="S865" s="35">
        <f>IF(OR($G865="",$X865&lt;&gt;"VALIDE"),"",IFERROR(LOOKUP(2,1/(($B$3:$B864=$B865)*($G$3:$G864=$G865)*($X$3:$X864="VALIDE")),$C$3:$C864),""))</f>
        <v/>
      </c>
      <c r="T865" s="36">
        <f>IF(OR($C865="",$S865=""),"",ROUND(($C865-$S865+IF($C865&lt;$S865,1,0))*1440,0))</f>
        <v/>
      </c>
      <c r="U865" s="22">
        <f>IF(OR($H865="",$T865="",$T865&lt;=0),"",$H865*60/$T865)</f>
        <v/>
      </c>
      <c r="V865" s="37">
        <f>IF(OR($U865="",$R865="",$R865=0),"",$U865/$R865)</f>
        <v/>
      </c>
      <c r="W865" s="20">
        <f>IF($G865="","",IF($X865="CONTEXTE INCOMPLET","CONTEXTE INCOMPLET",IF($X865="DOUBLON",StatutDoublon,IF($S865="",StatutInitial,IF($R865="",StatutStandardManquant,IF($V865="","DONNEES INSUFFISANTES",IF($V865&gt;=SeuilConforme,StatutConforme,IF($V865&gt;=SeuilSurveiller,StatutSurveiller,StatutSousStandard))))))))</f>
        <v/>
      </c>
      <c r="X865" s="33">
        <f>IF($G865="","",IF(OR($D865="",$E865="",$F865=""),"CONTEXTE INCOMPLET",IF(COUNTIFS($D$3:$D864,$D865,$E$3:$E864,$E865,$F$3:$F864,$F865,$G$3:$G864,$G865)&gt;0,"DOUBLON","VALIDE")))</f>
        <v/>
      </c>
    </row>
    <row r="866" ht="15" customHeight="1">
      <c r="A866" s="12">
        <f>IF(OR($B866="",$G866=""),"",TEXT($B866,"YYYYMMDD")&amp;"-"&amp;SUBSTITUTE($E866," ","")&amp;"-"&amp;$F866&amp;"-"&amp;$G866)</f>
        <v/>
      </c>
      <c r="B866" s="15" t="n"/>
      <c r="C866" s="16" t="n"/>
      <c r="D866" s="10" t="n"/>
      <c r="E866" s="9" t="n"/>
      <c r="F866" s="9" t="n"/>
      <c r="G866" s="13" t="n"/>
      <c r="H866" s="21" t="n"/>
      <c r="I866" s="21" t="n"/>
      <c r="J866" s="17">
        <f>IF($G866="","",IFERROR(INDEX(NomsEmployes,MATCH($G866,MatriculesEmployes,0)),"MATRICULE INCONNU"))</f>
        <v/>
      </c>
      <c r="K866" s="33">
        <f>IF(OR($D866="",$F866=""),"",IFERROR(IF(INDEX(RUNS!$L$6:$S$1005,MATCH($D866,RUNS!$A$6:$A$1005,0),MATCH("ACTIVITÉ "&amp;$F866,RUNS!$L$5:$S$5,0))="","",INDEX(RUNS!$L$6:$S$1005,MATCH($D866,RUNS!$A$6:$A$1005,0),MATCH("ACTIVITÉ "&amp;$F866,RUNS!$L$5:$S$5,0))),""))</f>
        <v/>
      </c>
      <c r="L866" s="33">
        <f>IF($D866="","",IFERROR(IF(INDEX(RUNS!$E$6:$E$1005,MATCH($D866,RUNS!$A$6:$A$1005,0))="","",INDEX(RUNS!$E$6:$E$1005,MATCH($D866,RUNS!$A$6:$A$1005,0))),""))</f>
        <v/>
      </c>
      <c r="M866" s="33">
        <f>IF($D866="","",IFERROR(IF(INDEX(RUNS!$F$6:$F$1005,MATCH($D866,RUNS!$A$6:$A$1005,0))="","",INDEX(RUNS!$F$6:$F$1005,MATCH($D866,RUNS!$A$6:$A$1005,0))),""))</f>
        <v/>
      </c>
      <c r="N866" s="33">
        <f>IF($D866="","",IFERROR(IF(INDEX(RUNS!$G$6:$G$1005,MATCH($D866,RUNS!$A$6:$A$1005,0))="","",INDEX(RUNS!$G$6:$G$1005,MATCH($D866,RUNS!$A$6:$A$1005,0))),""))</f>
        <v/>
      </c>
      <c r="O866" s="33">
        <f>IF($D866="","",IFERROR(IF(INDEX(RUNS!$H$6:$H$1005,MATCH($D866,RUNS!$A$6:$A$1005,0))="","",INDEX(RUNS!$H$6:$H$1005,MATCH($D866,RUNS!$A$6:$A$1005,0))),""))</f>
        <v/>
      </c>
      <c r="P866" s="33">
        <f>IF($D866="","",IFERROR(IF(INDEX(RUNS!$J$6:$J$1005,MATCH($D866,RUNS!$A$6:$A$1005,0))="","",INDEX(RUNS!$J$6:$J$1005,MATCH($D866,RUNS!$A$6:$A$1005,0))),""))</f>
        <v/>
      </c>
      <c r="Q866" s="33">
        <f>IF($D866="","",IFERROR(IF(INDEX(RUNS!$K$6:$K$1005,MATCH($D866,RUNS!$A$6:$A$1005,0))="","",INDEX(RUNS!$K$6:$K$1005,MATCH($D866,RUNS!$A$6:$A$1005,0))),""))</f>
        <v/>
      </c>
      <c r="R866" s="34">
        <f>IF(OR($L866="",$K866=""),"",IFERROR(IF(INDEX(PARAMETRES!$H$43:$H$342,MATCH($L866&amp;"|"&amp;$M866&amp;"|"&amp;$N866&amp;"|"&amp;$O866&amp;"|"&amp;$P866&amp;"|"&amp;$Q866&amp;"|"&amp;$K866,PARAMETRES!$J$43:$J$342,0))="","",INDEX(PARAMETRES!$H$43:$H$342,MATCH($L866&amp;"|"&amp;$M866&amp;"|"&amp;$N866&amp;"|"&amp;$O866&amp;"|"&amp;$P866&amp;"|"&amp;$Q866&amp;"|"&amp;$K866,PARAMETRES!$J$43:$J$342,0))),""))</f>
        <v/>
      </c>
      <c r="S866" s="35">
        <f>IF(OR($G866="",$X866&lt;&gt;"VALIDE"),"",IFERROR(LOOKUP(2,1/(($B$3:$B865=$B866)*($G$3:$G865=$G866)*($X$3:$X865="VALIDE")),$C$3:$C865),""))</f>
        <v/>
      </c>
      <c r="T866" s="36">
        <f>IF(OR($C866="",$S866=""),"",ROUND(($C866-$S866+IF($C866&lt;$S866,1,0))*1440,0))</f>
        <v/>
      </c>
      <c r="U866" s="22">
        <f>IF(OR($H866="",$T866="",$T866&lt;=0),"",$H866*60/$T866)</f>
        <v/>
      </c>
      <c r="V866" s="37">
        <f>IF(OR($U866="",$R866="",$R866=0),"",$U866/$R866)</f>
        <v/>
      </c>
      <c r="W866" s="20">
        <f>IF($G866="","",IF($X866="CONTEXTE INCOMPLET","CONTEXTE INCOMPLET",IF($X866="DOUBLON",StatutDoublon,IF($S866="",StatutInitial,IF($R866="",StatutStandardManquant,IF($V866="","DONNEES INSUFFISANTES",IF($V866&gt;=SeuilConforme,StatutConforme,IF($V866&gt;=SeuilSurveiller,StatutSurveiller,StatutSousStandard))))))))</f>
        <v/>
      </c>
      <c r="X866" s="33">
        <f>IF($G866="","",IF(OR($D866="",$E866="",$F866=""),"CONTEXTE INCOMPLET",IF(COUNTIFS($D$3:$D865,$D866,$E$3:$E865,$E866,$F$3:$F865,$F866,$G$3:$G865,$G866)&gt;0,"DOUBLON","VALIDE")))</f>
        <v/>
      </c>
    </row>
    <row r="867" ht="15" customHeight="1">
      <c r="A867" s="12">
        <f>IF(OR($B867="",$G867=""),"",TEXT($B867,"YYYYMMDD")&amp;"-"&amp;SUBSTITUTE($E867," ","")&amp;"-"&amp;$F867&amp;"-"&amp;$G867)</f>
        <v/>
      </c>
      <c r="B867" s="15" t="n"/>
      <c r="C867" s="16" t="n"/>
      <c r="D867" s="10" t="n"/>
      <c r="E867" s="9" t="n"/>
      <c r="F867" s="9" t="n"/>
      <c r="G867" s="13" t="n"/>
      <c r="H867" s="21" t="n"/>
      <c r="I867" s="21" t="n"/>
      <c r="J867" s="17">
        <f>IF($G867="","",IFERROR(INDEX(NomsEmployes,MATCH($G867,MatriculesEmployes,0)),"MATRICULE INCONNU"))</f>
        <v/>
      </c>
      <c r="K867" s="33">
        <f>IF(OR($D867="",$F867=""),"",IFERROR(IF(INDEX(RUNS!$L$6:$S$1005,MATCH($D867,RUNS!$A$6:$A$1005,0),MATCH("ACTIVITÉ "&amp;$F867,RUNS!$L$5:$S$5,0))="","",INDEX(RUNS!$L$6:$S$1005,MATCH($D867,RUNS!$A$6:$A$1005,0),MATCH("ACTIVITÉ "&amp;$F867,RUNS!$L$5:$S$5,0))),""))</f>
        <v/>
      </c>
      <c r="L867" s="33">
        <f>IF($D867="","",IFERROR(IF(INDEX(RUNS!$E$6:$E$1005,MATCH($D867,RUNS!$A$6:$A$1005,0))="","",INDEX(RUNS!$E$6:$E$1005,MATCH($D867,RUNS!$A$6:$A$1005,0))),""))</f>
        <v/>
      </c>
      <c r="M867" s="33">
        <f>IF($D867="","",IFERROR(IF(INDEX(RUNS!$F$6:$F$1005,MATCH($D867,RUNS!$A$6:$A$1005,0))="","",INDEX(RUNS!$F$6:$F$1005,MATCH($D867,RUNS!$A$6:$A$1005,0))),""))</f>
        <v/>
      </c>
      <c r="N867" s="33">
        <f>IF($D867="","",IFERROR(IF(INDEX(RUNS!$G$6:$G$1005,MATCH($D867,RUNS!$A$6:$A$1005,0))="","",INDEX(RUNS!$G$6:$G$1005,MATCH($D867,RUNS!$A$6:$A$1005,0))),""))</f>
        <v/>
      </c>
      <c r="O867" s="33">
        <f>IF($D867="","",IFERROR(IF(INDEX(RUNS!$H$6:$H$1005,MATCH($D867,RUNS!$A$6:$A$1005,0))="","",INDEX(RUNS!$H$6:$H$1005,MATCH($D867,RUNS!$A$6:$A$1005,0))),""))</f>
        <v/>
      </c>
      <c r="P867" s="33">
        <f>IF($D867="","",IFERROR(IF(INDEX(RUNS!$J$6:$J$1005,MATCH($D867,RUNS!$A$6:$A$1005,0))="","",INDEX(RUNS!$J$6:$J$1005,MATCH($D867,RUNS!$A$6:$A$1005,0))),""))</f>
        <v/>
      </c>
      <c r="Q867" s="33">
        <f>IF($D867="","",IFERROR(IF(INDEX(RUNS!$K$6:$K$1005,MATCH($D867,RUNS!$A$6:$A$1005,0))="","",INDEX(RUNS!$K$6:$K$1005,MATCH($D867,RUNS!$A$6:$A$1005,0))),""))</f>
        <v/>
      </c>
      <c r="R867" s="34">
        <f>IF(OR($L867="",$K867=""),"",IFERROR(IF(INDEX(PARAMETRES!$H$43:$H$342,MATCH($L867&amp;"|"&amp;$M867&amp;"|"&amp;$N867&amp;"|"&amp;$O867&amp;"|"&amp;$P867&amp;"|"&amp;$Q867&amp;"|"&amp;$K867,PARAMETRES!$J$43:$J$342,0))="","",INDEX(PARAMETRES!$H$43:$H$342,MATCH($L867&amp;"|"&amp;$M867&amp;"|"&amp;$N867&amp;"|"&amp;$O867&amp;"|"&amp;$P867&amp;"|"&amp;$Q867&amp;"|"&amp;$K867,PARAMETRES!$J$43:$J$342,0))),""))</f>
        <v/>
      </c>
      <c r="S867" s="35">
        <f>IF(OR($G867="",$X867&lt;&gt;"VALIDE"),"",IFERROR(LOOKUP(2,1/(($B$3:$B866=$B867)*($G$3:$G866=$G867)*($X$3:$X866="VALIDE")),$C$3:$C866),""))</f>
        <v/>
      </c>
      <c r="T867" s="36">
        <f>IF(OR($C867="",$S867=""),"",ROUND(($C867-$S867+IF($C867&lt;$S867,1,0))*1440,0))</f>
        <v/>
      </c>
      <c r="U867" s="22">
        <f>IF(OR($H867="",$T867="",$T867&lt;=0),"",$H867*60/$T867)</f>
        <v/>
      </c>
      <c r="V867" s="37">
        <f>IF(OR($U867="",$R867="",$R867=0),"",$U867/$R867)</f>
        <v/>
      </c>
      <c r="W867" s="20">
        <f>IF($G867="","",IF($X867="CONTEXTE INCOMPLET","CONTEXTE INCOMPLET",IF($X867="DOUBLON",StatutDoublon,IF($S867="",StatutInitial,IF($R867="",StatutStandardManquant,IF($V867="","DONNEES INSUFFISANTES",IF($V867&gt;=SeuilConforme,StatutConforme,IF($V867&gt;=SeuilSurveiller,StatutSurveiller,StatutSousStandard))))))))</f>
        <v/>
      </c>
      <c r="X867" s="33">
        <f>IF($G867="","",IF(OR($D867="",$E867="",$F867=""),"CONTEXTE INCOMPLET",IF(COUNTIFS($D$3:$D866,$D867,$E$3:$E866,$E867,$F$3:$F866,$F867,$G$3:$G866,$G867)&gt;0,"DOUBLON","VALIDE")))</f>
        <v/>
      </c>
    </row>
    <row r="868" ht="15" customHeight="1">
      <c r="A868" s="12">
        <f>IF(OR($B868="",$G868=""),"",TEXT($B868,"YYYYMMDD")&amp;"-"&amp;SUBSTITUTE($E868," ","")&amp;"-"&amp;$F868&amp;"-"&amp;$G868)</f>
        <v/>
      </c>
      <c r="B868" s="15" t="n"/>
      <c r="C868" s="16" t="n"/>
      <c r="D868" s="10" t="n"/>
      <c r="E868" s="9" t="n"/>
      <c r="F868" s="9" t="n"/>
      <c r="G868" s="13" t="n"/>
      <c r="H868" s="21" t="n"/>
      <c r="I868" s="21" t="n"/>
      <c r="J868" s="17">
        <f>IF($G868="","",IFERROR(INDEX(NomsEmployes,MATCH($G868,MatriculesEmployes,0)),"MATRICULE INCONNU"))</f>
        <v/>
      </c>
      <c r="K868" s="33">
        <f>IF(OR($D868="",$F868=""),"",IFERROR(IF(INDEX(RUNS!$L$6:$S$1005,MATCH($D868,RUNS!$A$6:$A$1005,0),MATCH("ACTIVITÉ "&amp;$F868,RUNS!$L$5:$S$5,0))="","",INDEX(RUNS!$L$6:$S$1005,MATCH($D868,RUNS!$A$6:$A$1005,0),MATCH("ACTIVITÉ "&amp;$F868,RUNS!$L$5:$S$5,0))),""))</f>
        <v/>
      </c>
      <c r="L868" s="33">
        <f>IF($D868="","",IFERROR(IF(INDEX(RUNS!$E$6:$E$1005,MATCH($D868,RUNS!$A$6:$A$1005,0))="","",INDEX(RUNS!$E$6:$E$1005,MATCH($D868,RUNS!$A$6:$A$1005,0))),""))</f>
        <v/>
      </c>
      <c r="M868" s="33">
        <f>IF($D868="","",IFERROR(IF(INDEX(RUNS!$F$6:$F$1005,MATCH($D868,RUNS!$A$6:$A$1005,0))="","",INDEX(RUNS!$F$6:$F$1005,MATCH($D868,RUNS!$A$6:$A$1005,0))),""))</f>
        <v/>
      </c>
      <c r="N868" s="33">
        <f>IF($D868="","",IFERROR(IF(INDEX(RUNS!$G$6:$G$1005,MATCH($D868,RUNS!$A$6:$A$1005,0))="","",INDEX(RUNS!$G$6:$G$1005,MATCH($D868,RUNS!$A$6:$A$1005,0))),""))</f>
        <v/>
      </c>
      <c r="O868" s="33">
        <f>IF($D868="","",IFERROR(IF(INDEX(RUNS!$H$6:$H$1005,MATCH($D868,RUNS!$A$6:$A$1005,0))="","",INDEX(RUNS!$H$6:$H$1005,MATCH($D868,RUNS!$A$6:$A$1005,0))),""))</f>
        <v/>
      </c>
      <c r="P868" s="33">
        <f>IF($D868="","",IFERROR(IF(INDEX(RUNS!$J$6:$J$1005,MATCH($D868,RUNS!$A$6:$A$1005,0))="","",INDEX(RUNS!$J$6:$J$1005,MATCH($D868,RUNS!$A$6:$A$1005,0))),""))</f>
        <v/>
      </c>
      <c r="Q868" s="33">
        <f>IF($D868="","",IFERROR(IF(INDEX(RUNS!$K$6:$K$1005,MATCH($D868,RUNS!$A$6:$A$1005,0))="","",INDEX(RUNS!$K$6:$K$1005,MATCH($D868,RUNS!$A$6:$A$1005,0))),""))</f>
        <v/>
      </c>
      <c r="R868" s="34">
        <f>IF(OR($L868="",$K868=""),"",IFERROR(IF(INDEX(PARAMETRES!$H$43:$H$342,MATCH($L868&amp;"|"&amp;$M868&amp;"|"&amp;$N868&amp;"|"&amp;$O868&amp;"|"&amp;$P868&amp;"|"&amp;$Q868&amp;"|"&amp;$K868,PARAMETRES!$J$43:$J$342,0))="","",INDEX(PARAMETRES!$H$43:$H$342,MATCH($L868&amp;"|"&amp;$M868&amp;"|"&amp;$N868&amp;"|"&amp;$O868&amp;"|"&amp;$P868&amp;"|"&amp;$Q868&amp;"|"&amp;$K868,PARAMETRES!$J$43:$J$342,0))),""))</f>
        <v/>
      </c>
      <c r="S868" s="35">
        <f>IF(OR($G868="",$X868&lt;&gt;"VALIDE"),"",IFERROR(LOOKUP(2,1/(($B$3:$B867=$B868)*($G$3:$G867=$G868)*($X$3:$X867="VALIDE")),$C$3:$C867),""))</f>
        <v/>
      </c>
      <c r="T868" s="36">
        <f>IF(OR($C868="",$S868=""),"",ROUND(($C868-$S868+IF($C868&lt;$S868,1,0))*1440,0))</f>
        <v/>
      </c>
      <c r="U868" s="22">
        <f>IF(OR($H868="",$T868="",$T868&lt;=0),"",$H868*60/$T868)</f>
        <v/>
      </c>
      <c r="V868" s="37">
        <f>IF(OR($U868="",$R868="",$R868=0),"",$U868/$R868)</f>
        <v/>
      </c>
      <c r="W868" s="20">
        <f>IF($G868="","",IF($X868="CONTEXTE INCOMPLET","CONTEXTE INCOMPLET",IF($X868="DOUBLON",StatutDoublon,IF($S868="",StatutInitial,IF($R868="",StatutStandardManquant,IF($V868="","DONNEES INSUFFISANTES",IF($V868&gt;=SeuilConforme,StatutConforme,IF($V868&gt;=SeuilSurveiller,StatutSurveiller,StatutSousStandard))))))))</f>
        <v/>
      </c>
      <c r="X868" s="33">
        <f>IF($G868="","",IF(OR($D868="",$E868="",$F868=""),"CONTEXTE INCOMPLET",IF(COUNTIFS($D$3:$D867,$D868,$E$3:$E867,$E868,$F$3:$F867,$F868,$G$3:$G867,$G868)&gt;0,"DOUBLON","VALIDE")))</f>
        <v/>
      </c>
    </row>
    <row r="869" ht="15" customHeight="1">
      <c r="A869" s="12">
        <f>IF(OR($B869="",$G869=""),"",TEXT($B869,"YYYYMMDD")&amp;"-"&amp;SUBSTITUTE($E869," ","")&amp;"-"&amp;$F869&amp;"-"&amp;$G869)</f>
        <v/>
      </c>
      <c r="B869" s="15" t="n"/>
      <c r="C869" s="16" t="n"/>
      <c r="D869" s="10" t="n"/>
      <c r="E869" s="9" t="n"/>
      <c r="F869" s="9" t="n"/>
      <c r="G869" s="13" t="n"/>
      <c r="H869" s="21" t="n"/>
      <c r="I869" s="21" t="n"/>
      <c r="J869" s="17">
        <f>IF($G869="","",IFERROR(INDEX(NomsEmployes,MATCH($G869,MatriculesEmployes,0)),"MATRICULE INCONNU"))</f>
        <v/>
      </c>
      <c r="K869" s="33">
        <f>IF(OR($D869="",$F869=""),"",IFERROR(IF(INDEX(RUNS!$L$6:$S$1005,MATCH($D869,RUNS!$A$6:$A$1005,0),MATCH("ACTIVITÉ "&amp;$F869,RUNS!$L$5:$S$5,0))="","",INDEX(RUNS!$L$6:$S$1005,MATCH($D869,RUNS!$A$6:$A$1005,0),MATCH("ACTIVITÉ "&amp;$F869,RUNS!$L$5:$S$5,0))),""))</f>
        <v/>
      </c>
      <c r="L869" s="33">
        <f>IF($D869="","",IFERROR(IF(INDEX(RUNS!$E$6:$E$1005,MATCH($D869,RUNS!$A$6:$A$1005,0))="","",INDEX(RUNS!$E$6:$E$1005,MATCH($D869,RUNS!$A$6:$A$1005,0))),""))</f>
        <v/>
      </c>
      <c r="M869" s="33">
        <f>IF($D869="","",IFERROR(IF(INDEX(RUNS!$F$6:$F$1005,MATCH($D869,RUNS!$A$6:$A$1005,0))="","",INDEX(RUNS!$F$6:$F$1005,MATCH($D869,RUNS!$A$6:$A$1005,0))),""))</f>
        <v/>
      </c>
      <c r="N869" s="33">
        <f>IF($D869="","",IFERROR(IF(INDEX(RUNS!$G$6:$G$1005,MATCH($D869,RUNS!$A$6:$A$1005,0))="","",INDEX(RUNS!$G$6:$G$1005,MATCH($D869,RUNS!$A$6:$A$1005,0))),""))</f>
        <v/>
      </c>
      <c r="O869" s="33">
        <f>IF($D869="","",IFERROR(IF(INDEX(RUNS!$H$6:$H$1005,MATCH($D869,RUNS!$A$6:$A$1005,0))="","",INDEX(RUNS!$H$6:$H$1005,MATCH($D869,RUNS!$A$6:$A$1005,0))),""))</f>
        <v/>
      </c>
      <c r="P869" s="33">
        <f>IF($D869="","",IFERROR(IF(INDEX(RUNS!$J$6:$J$1005,MATCH($D869,RUNS!$A$6:$A$1005,0))="","",INDEX(RUNS!$J$6:$J$1005,MATCH($D869,RUNS!$A$6:$A$1005,0))),""))</f>
        <v/>
      </c>
      <c r="Q869" s="33">
        <f>IF($D869="","",IFERROR(IF(INDEX(RUNS!$K$6:$K$1005,MATCH($D869,RUNS!$A$6:$A$1005,0))="","",INDEX(RUNS!$K$6:$K$1005,MATCH($D869,RUNS!$A$6:$A$1005,0))),""))</f>
        <v/>
      </c>
      <c r="R869" s="34">
        <f>IF(OR($L869="",$K869=""),"",IFERROR(IF(INDEX(PARAMETRES!$H$43:$H$342,MATCH($L869&amp;"|"&amp;$M869&amp;"|"&amp;$N869&amp;"|"&amp;$O869&amp;"|"&amp;$P869&amp;"|"&amp;$Q869&amp;"|"&amp;$K869,PARAMETRES!$J$43:$J$342,0))="","",INDEX(PARAMETRES!$H$43:$H$342,MATCH($L869&amp;"|"&amp;$M869&amp;"|"&amp;$N869&amp;"|"&amp;$O869&amp;"|"&amp;$P869&amp;"|"&amp;$Q869&amp;"|"&amp;$K869,PARAMETRES!$J$43:$J$342,0))),""))</f>
        <v/>
      </c>
      <c r="S869" s="35">
        <f>IF(OR($G869="",$X869&lt;&gt;"VALIDE"),"",IFERROR(LOOKUP(2,1/(($B$3:$B868=$B869)*($G$3:$G868=$G869)*($X$3:$X868="VALIDE")),$C$3:$C868),""))</f>
        <v/>
      </c>
      <c r="T869" s="36">
        <f>IF(OR($C869="",$S869=""),"",ROUND(($C869-$S869+IF($C869&lt;$S869,1,0))*1440,0))</f>
        <v/>
      </c>
      <c r="U869" s="22">
        <f>IF(OR($H869="",$T869="",$T869&lt;=0),"",$H869*60/$T869)</f>
        <v/>
      </c>
      <c r="V869" s="37">
        <f>IF(OR($U869="",$R869="",$R869=0),"",$U869/$R869)</f>
        <v/>
      </c>
      <c r="W869" s="20">
        <f>IF($G869="","",IF($X869="CONTEXTE INCOMPLET","CONTEXTE INCOMPLET",IF($X869="DOUBLON",StatutDoublon,IF($S869="",StatutInitial,IF($R869="",StatutStandardManquant,IF($V869="","DONNEES INSUFFISANTES",IF($V869&gt;=SeuilConforme,StatutConforme,IF($V869&gt;=SeuilSurveiller,StatutSurveiller,StatutSousStandard))))))))</f>
        <v/>
      </c>
      <c r="X869" s="33">
        <f>IF($G869="","",IF(OR($D869="",$E869="",$F869=""),"CONTEXTE INCOMPLET",IF(COUNTIFS($D$3:$D868,$D869,$E$3:$E868,$E869,$F$3:$F868,$F869,$G$3:$G868,$G869)&gt;0,"DOUBLON","VALIDE")))</f>
        <v/>
      </c>
    </row>
    <row r="870" ht="15" customHeight="1">
      <c r="A870" s="12">
        <f>IF(OR($B870="",$G870=""),"",TEXT($B870,"YYYYMMDD")&amp;"-"&amp;SUBSTITUTE($E870," ","")&amp;"-"&amp;$F870&amp;"-"&amp;$G870)</f>
        <v/>
      </c>
      <c r="B870" s="15" t="n"/>
      <c r="C870" s="16" t="n"/>
      <c r="D870" s="10" t="n"/>
      <c r="E870" s="9" t="n"/>
      <c r="F870" s="9" t="n"/>
      <c r="G870" s="13" t="n"/>
      <c r="H870" s="21" t="n"/>
      <c r="I870" s="21" t="n"/>
      <c r="J870" s="17">
        <f>IF($G870="","",IFERROR(INDEX(NomsEmployes,MATCH($G870,MatriculesEmployes,0)),"MATRICULE INCONNU"))</f>
        <v/>
      </c>
      <c r="K870" s="33">
        <f>IF(OR($D870="",$F870=""),"",IFERROR(IF(INDEX(RUNS!$L$6:$S$1005,MATCH($D870,RUNS!$A$6:$A$1005,0),MATCH("ACTIVITÉ "&amp;$F870,RUNS!$L$5:$S$5,0))="","",INDEX(RUNS!$L$6:$S$1005,MATCH($D870,RUNS!$A$6:$A$1005,0),MATCH("ACTIVITÉ "&amp;$F870,RUNS!$L$5:$S$5,0))),""))</f>
        <v/>
      </c>
      <c r="L870" s="33">
        <f>IF($D870="","",IFERROR(IF(INDEX(RUNS!$E$6:$E$1005,MATCH($D870,RUNS!$A$6:$A$1005,0))="","",INDEX(RUNS!$E$6:$E$1005,MATCH($D870,RUNS!$A$6:$A$1005,0))),""))</f>
        <v/>
      </c>
      <c r="M870" s="33">
        <f>IF($D870="","",IFERROR(IF(INDEX(RUNS!$F$6:$F$1005,MATCH($D870,RUNS!$A$6:$A$1005,0))="","",INDEX(RUNS!$F$6:$F$1005,MATCH($D870,RUNS!$A$6:$A$1005,0))),""))</f>
        <v/>
      </c>
      <c r="N870" s="33">
        <f>IF($D870="","",IFERROR(IF(INDEX(RUNS!$G$6:$G$1005,MATCH($D870,RUNS!$A$6:$A$1005,0))="","",INDEX(RUNS!$G$6:$G$1005,MATCH($D870,RUNS!$A$6:$A$1005,0))),""))</f>
        <v/>
      </c>
      <c r="O870" s="33">
        <f>IF($D870="","",IFERROR(IF(INDEX(RUNS!$H$6:$H$1005,MATCH($D870,RUNS!$A$6:$A$1005,0))="","",INDEX(RUNS!$H$6:$H$1005,MATCH($D870,RUNS!$A$6:$A$1005,0))),""))</f>
        <v/>
      </c>
      <c r="P870" s="33">
        <f>IF($D870="","",IFERROR(IF(INDEX(RUNS!$J$6:$J$1005,MATCH($D870,RUNS!$A$6:$A$1005,0))="","",INDEX(RUNS!$J$6:$J$1005,MATCH($D870,RUNS!$A$6:$A$1005,0))),""))</f>
        <v/>
      </c>
      <c r="Q870" s="33">
        <f>IF($D870="","",IFERROR(IF(INDEX(RUNS!$K$6:$K$1005,MATCH($D870,RUNS!$A$6:$A$1005,0))="","",INDEX(RUNS!$K$6:$K$1005,MATCH($D870,RUNS!$A$6:$A$1005,0))),""))</f>
        <v/>
      </c>
      <c r="R870" s="34">
        <f>IF(OR($L870="",$K870=""),"",IFERROR(IF(INDEX(PARAMETRES!$H$43:$H$342,MATCH($L870&amp;"|"&amp;$M870&amp;"|"&amp;$N870&amp;"|"&amp;$O870&amp;"|"&amp;$P870&amp;"|"&amp;$Q870&amp;"|"&amp;$K870,PARAMETRES!$J$43:$J$342,0))="","",INDEX(PARAMETRES!$H$43:$H$342,MATCH($L870&amp;"|"&amp;$M870&amp;"|"&amp;$N870&amp;"|"&amp;$O870&amp;"|"&amp;$P870&amp;"|"&amp;$Q870&amp;"|"&amp;$K870,PARAMETRES!$J$43:$J$342,0))),""))</f>
        <v/>
      </c>
      <c r="S870" s="35">
        <f>IF(OR($G870="",$X870&lt;&gt;"VALIDE"),"",IFERROR(LOOKUP(2,1/(($B$3:$B869=$B870)*($G$3:$G869=$G870)*($X$3:$X869="VALIDE")),$C$3:$C869),""))</f>
        <v/>
      </c>
      <c r="T870" s="36">
        <f>IF(OR($C870="",$S870=""),"",ROUND(($C870-$S870+IF($C870&lt;$S870,1,0))*1440,0))</f>
        <v/>
      </c>
      <c r="U870" s="22">
        <f>IF(OR($H870="",$T870="",$T870&lt;=0),"",$H870*60/$T870)</f>
        <v/>
      </c>
      <c r="V870" s="37">
        <f>IF(OR($U870="",$R870="",$R870=0),"",$U870/$R870)</f>
        <v/>
      </c>
      <c r="W870" s="20">
        <f>IF($G870="","",IF($X870="CONTEXTE INCOMPLET","CONTEXTE INCOMPLET",IF($X870="DOUBLON",StatutDoublon,IF($S870="",StatutInitial,IF($R870="",StatutStandardManquant,IF($V870="","DONNEES INSUFFISANTES",IF($V870&gt;=SeuilConforme,StatutConforme,IF($V870&gt;=SeuilSurveiller,StatutSurveiller,StatutSousStandard))))))))</f>
        <v/>
      </c>
      <c r="X870" s="33">
        <f>IF($G870="","",IF(OR($D870="",$E870="",$F870=""),"CONTEXTE INCOMPLET",IF(COUNTIFS($D$3:$D869,$D870,$E$3:$E869,$E870,$F$3:$F869,$F870,$G$3:$G869,$G870)&gt;0,"DOUBLON","VALIDE")))</f>
        <v/>
      </c>
    </row>
    <row r="871" ht="15" customHeight="1">
      <c r="A871" s="12">
        <f>IF(OR($B871="",$G871=""),"",TEXT($B871,"YYYYMMDD")&amp;"-"&amp;SUBSTITUTE($E871," ","")&amp;"-"&amp;$F871&amp;"-"&amp;$G871)</f>
        <v/>
      </c>
      <c r="B871" s="15" t="n"/>
      <c r="C871" s="16" t="n"/>
      <c r="D871" s="10" t="n"/>
      <c r="E871" s="9" t="n"/>
      <c r="F871" s="9" t="n"/>
      <c r="G871" s="13" t="n"/>
      <c r="H871" s="21" t="n"/>
      <c r="I871" s="21" t="n"/>
      <c r="J871" s="17">
        <f>IF($G871="","",IFERROR(INDEX(NomsEmployes,MATCH($G871,MatriculesEmployes,0)),"MATRICULE INCONNU"))</f>
        <v/>
      </c>
      <c r="K871" s="33">
        <f>IF(OR($D871="",$F871=""),"",IFERROR(IF(INDEX(RUNS!$L$6:$S$1005,MATCH($D871,RUNS!$A$6:$A$1005,0),MATCH("ACTIVITÉ "&amp;$F871,RUNS!$L$5:$S$5,0))="","",INDEX(RUNS!$L$6:$S$1005,MATCH($D871,RUNS!$A$6:$A$1005,0),MATCH("ACTIVITÉ "&amp;$F871,RUNS!$L$5:$S$5,0))),""))</f>
        <v/>
      </c>
      <c r="L871" s="33">
        <f>IF($D871="","",IFERROR(IF(INDEX(RUNS!$E$6:$E$1005,MATCH($D871,RUNS!$A$6:$A$1005,0))="","",INDEX(RUNS!$E$6:$E$1005,MATCH($D871,RUNS!$A$6:$A$1005,0))),""))</f>
        <v/>
      </c>
      <c r="M871" s="33">
        <f>IF($D871="","",IFERROR(IF(INDEX(RUNS!$F$6:$F$1005,MATCH($D871,RUNS!$A$6:$A$1005,0))="","",INDEX(RUNS!$F$6:$F$1005,MATCH($D871,RUNS!$A$6:$A$1005,0))),""))</f>
        <v/>
      </c>
      <c r="N871" s="33">
        <f>IF($D871="","",IFERROR(IF(INDEX(RUNS!$G$6:$G$1005,MATCH($D871,RUNS!$A$6:$A$1005,0))="","",INDEX(RUNS!$G$6:$G$1005,MATCH($D871,RUNS!$A$6:$A$1005,0))),""))</f>
        <v/>
      </c>
      <c r="O871" s="33">
        <f>IF($D871="","",IFERROR(IF(INDEX(RUNS!$H$6:$H$1005,MATCH($D871,RUNS!$A$6:$A$1005,0))="","",INDEX(RUNS!$H$6:$H$1005,MATCH($D871,RUNS!$A$6:$A$1005,0))),""))</f>
        <v/>
      </c>
      <c r="P871" s="33">
        <f>IF($D871="","",IFERROR(IF(INDEX(RUNS!$J$6:$J$1005,MATCH($D871,RUNS!$A$6:$A$1005,0))="","",INDEX(RUNS!$J$6:$J$1005,MATCH($D871,RUNS!$A$6:$A$1005,0))),""))</f>
        <v/>
      </c>
      <c r="Q871" s="33">
        <f>IF($D871="","",IFERROR(IF(INDEX(RUNS!$K$6:$K$1005,MATCH($D871,RUNS!$A$6:$A$1005,0))="","",INDEX(RUNS!$K$6:$K$1005,MATCH($D871,RUNS!$A$6:$A$1005,0))),""))</f>
        <v/>
      </c>
      <c r="R871" s="34">
        <f>IF(OR($L871="",$K871=""),"",IFERROR(IF(INDEX(PARAMETRES!$H$43:$H$342,MATCH($L871&amp;"|"&amp;$M871&amp;"|"&amp;$N871&amp;"|"&amp;$O871&amp;"|"&amp;$P871&amp;"|"&amp;$Q871&amp;"|"&amp;$K871,PARAMETRES!$J$43:$J$342,0))="","",INDEX(PARAMETRES!$H$43:$H$342,MATCH($L871&amp;"|"&amp;$M871&amp;"|"&amp;$N871&amp;"|"&amp;$O871&amp;"|"&amp;$P871&amp;"|"&amp;$Q871&amp;"|"&amp;$K871,PARAMETRES!$J$43:$J$342,0))),""))</f>
        <v/>
      </c>
      <c r="S871" s="35">
        <f>IF(OR($G871="",$X871&lt;&gt;"VALIDE"),"",IFERROR(LOOKUP(2,1/(($B$3:$B870=$B871)*($G$3:$G870=$G871)*($X$3:$X870="VALIDE")),$C$3:$C870),""))</f>
        <v/>
      </c>
      <c r="T871" s="36">
        <f>IF(OR($C871="",$S871=""),"",ROUND(($C871-$S871+IF($C871&lt;$S871,1,0))*1440,0))</f>
        <v/>
      </c>
      <c r="U871" s="22">
        <f>IF(OR($H871="",$T871="",$T871&lt;=0),"",$H871*60/$T871)</f>
        <v/>
      </c>
      <c r="V871" s="37">
        <f>IF(OR($U871="",$R871="",$R871=0),"",$U871/$R871)</f>
        <v/>
      </c>
      <c r="W871" s="20">
        <f>IF($G871="","",IF($X871="CONTEXTE INCOMPLET","CONTEXTE INCOMPLET",IF($X871="DOUBLON",StatutDoublon,IF($S871="",StatutInitial,IF($R871="",StatutStandardManquant,IF($V871="","DONNEES INSUFFISANTES",IF($V871&gt;=SeuilConforme,StatutConforme,IF($V871&gt;=SeuilSurveiller,StatutSurveiller,StatutSousStandard))))))))</f>
        <v/>
      </c>
      <c r="X871" s="33">
        <f>IF($G871="","",IF(OR($D871="",$E871="",$F871=""),"CONTEXTE INCOMPLET",IF(COUNTIFS($D$3:$D870,$D871,$E$3:$E870,$E871,$F$3:$F870,$F871,$G$3:$G870,$G871)&gt;0,"DOUBLON","VALIDE")))</f>
        <v/>
      </c>
    </row>
    <row r="872" ht="15" customHeight="1">
      <c r="A872" s="12">
        <f>IF(OR($B872="",$G872=""),"",TEXT($B872,"YYYYMMDD")&amp;"-"&amp;SUBSTITUTE($E872," ","")&amp;"-"&amp;$F872&amp;"-"&amp;$G872)</f>
        <v/>
      </c>
      <c r="B872" s="15" t="n"/>
      <c r="C872" s="16" t="n"/>
      <c r="D872" s="10" t="n"/>
      <c r="E872" s="9" t="n"/>
      <c r="F872" s="9" t="n"/>
      <c r="G872" s="13" t="n"/>
      <c r="H872" s="21" t="n"/>
      <c r="I872" s="21" t="n"/>
      <c r="J872" s="17">
        <f>IF($G872="","",IFERROR(INDEX(NomsEmployes,MATCH($G872,MatriculesEmployes,0)),"MATRICULE INCONNU"))</f>
        <v/>
      </c>
      <c r="K872" s="33">
        <f>IF(OR($D872="",$F872=""),"",IFERROR(IF(INDEX(RUNS!$L$6:$S$1005,MATCH($D872,RUNS!$A$6:$A$1005,0),MATCH("ACTIVITÉ "&amp;$F872,RUNS!$L$5:$S$5,0))="","",INDEX(RUNS!$L$6:$S$1005,MATCH($D872,RUNS!$A$6:$A$1005,0),MATCH("ACTIVITÉ "&amp;$F872,RUNS!$L$5:$S$5,0))),""))</f>
        <v/>
      </c>
      <c r="L872" s="33">
        <f>IF($D872="","",IFERROR(IF(INDEX(RUNS!$E$6:$E$1005,MATCH($D872,RUNS!$A$6:$A$1005,0))="","",INDEX(RUNS!$E$6:$E$1005,MATCH($D872,RUNS!$A$6:$A$1005,0))),""))</f>
        <v/>
      </c>
      <c r="M872" s="33">
        <f>IF($D872="","",IFERROR(IF(INDEX(RUNS!$F$6:$F$1005,MATCH($D872,RUNS!$A$6:$A$1005,0))="","",INDEX(RUNS!$F$6:$F$1005,MATCH($D872,RUNS!$A$6:$A$1005,0))),""))</f>
        <v/>
      </c>
      <c r="N872" s="33">
        <f>IF($D872="","",IFERROR(IF(INDEX(RUNS!$G$6:$G$1005,MATCH($D872,RUNS!$A$6:$A$1005,0))="","",INDEX(RUNS!$G$6:$G$1005,MATCH($D872,RUNS!$A$6:$A$1005,0))),""))</f>
        <v/>
      </c>
      <c r="O872" s="33">
        <f>IF($D872="","",IFERROR(IF(INDEX(RUNS!$H$6:$H$1005,MATCH($D872,RUNS!$A$6:$A$1005,0))="","",INDEX(RUNS!$H$6:$H$1005,MATCH($D872,RUNS!$A$6:$A$1005,0))),""))</f>
        <v/>
      </c>
      <c r="P872" s="33">
        <f>IF($D872="","",IFERROR(IF(INDEX(RUNS!$J$6:$J$1005,MATCH($D872,RUNS!$A$6:$A$1005,0))="","",INDEX(RUNS!$J$6:$J$1005,MATCH($D872,RUNS!$A$6:$A$1005,0))),""))</f>
        <v/>
      </c>
      <c r="Q872" s="33">
        <f>IF($D872="","",IFERROR(IF(INDEX(RUNS!$K$6:$K$1005,MATCH($D872,RUNS!$A$6:$A$1005,0))="","",INDEX(RUNS!$K$6:$K$1005,MATCH($D872,RUNS!$A$6:$A$1005,0))),""))</f>
        <v/>
      </c>
      <c r="R872" s="34">
        <f>IF(OR($L872="",$K872=""),"",IFERROR(IF(INDEX(PARAMETRES!$H$43:$H$342,MATCH($L872&amp;"|"&amp;$M872&amp;"|"&amp;$N872&amp;"|"&amp;$O872&amp;"|"&amp;$P872&amp;"|"&amp;$Q872&amp;"|"&amp;$K872,PARAMETRES!$J$43:$J$342,0))="","",INDEX(PARAMETRES!$H$43:$H$342,MATCH($L872&amp;"|"&amp;$M872&amp;"|"&amp;$N872&amp;"|"&amp;$O872&amp;"|"&amp;$P872&amp;"|"&amp;$Q872&amp;"|"&amp;$K872,PARAMETRES!$J$43:$J$342,0))),""))</f>
        <v/>
      </c>
      <c r="S872" s="35">
        <f>IF(OR($G872="",$X872&lt;&gt;"VALIDE"),"",IFERROR(LOOKUP(2,1/(($B$3:$B871=$B872)*($G$3:$G871=$G872)*($X$3:$X871="VALIDE")),$C$3:$C871),""))</f>
        <v/>
      </c>
      <c r="T872" s="36">
        <f>IF(OR($C872="",$S872=""),"",ROUND(($C872-$S872+IF($C872&lt;$S872,1,0))*1440,0))</f>
        <v/>
      </c>
      <c r="U872" s="22">
        <f>IF(OR($H872="",$T872="",$T872&lt;=0),"",$H872*60/$T872)</f>
        <v/>
      </c>
      <c r="V872" s="37">
        <f>IF(OR($U872="",$R872="",$R872=0),"",$U872/$R872)</f>
        <v/>
      </c>
      <c r="W872" s="20">
        <f>IF($G872="","",IF($X872="CONTEXTE INCOMPLET","CONTEXTE INCOMPLET",IF($X872="DOUBLON",StatutDoublon,IF($S872="",StatutInitial,IF($R872="",StatutStandardManquant,IF($V872="","DONNEES INSUFFISANTES",IF($V872&gt;=SeuilConforme,StatutConforme,IF($V872&gt;=SeuilSurveiller,StatutSurveiller,StatutSousStandard))))))))</f>
        <v/>
      </c>
      <c r="X872" s="33">
        <f>IF($G872="","",IF(OR($D872="",$E872="",$F872=""),"CONTEXTE INCOMPLET",IF(COUNTIFS($D$3:$D871,$D872,$E$3:$E871,$E872,$F$3:$F871,$F872,$G$3:$G871,$G872)&gt;0,"DOUBLON","VALIDE")))</f>
        <v/>
      </c>
    </row>
    <row r="873" ht="15" customHeight="1">
      <c r="A873" s="12">
        <f>IF(OR($B873="",$G873=""),"",TEXT($B873,"YYYYMMDD")&amp;"-"&amp;SUBSTITUTE($E873," ","")&amp;"-"&amp;$F873&amp;"-"&amp;$G873)</f>
        <v/>
      </c>
      <c r="B873" s="15" t="n"/>
      <c r="C873" s="16" t="n"/>
      <c r="D873" s="10" t="n"/>
      <c r="E873" s="9" t="n"/>
      <c r="F873" s="9" t="n"/>
      <c r="G873" s="13" t="n"/>
      <c r="H873" s="21" t="n"/>
      <c r="I873" s="21" t="n"/>
      <c r="J873" s="17">
        <f>IF($G873="","",IFERROR(INDEX(NomsEmployes,MATCH($G873,MatriculesEmployes,0)),"MATRICULE INCONNU"))</f>
        <v/>
      </c>
      <c r="K873" s="33">
        <f>IF(OR($D873="",$F873=""),"",IFERROR(IF(INDEX(RUNS!$L$6:$S$1005,MATCH($D873,RUNS!$A$6:$A$1005,0),MATCH("ACTIVITÉ "&amp;$F873,RUNS!$L$5:$S$5,0))="","",INDEX(RUNS!$L$6:$S$1005,MATCH($D873,RUNS!$A$6:$A$1005,0),MATCH("ACTIVITÉ "&amp;$F873,RUNS!$L$5:$S$5,0))),""))</f>
        <v/>
      </c>
      <c r="L873" s="33">
        <f>IF($D873="","",IFERROR(IF(INDEX(RUNS!$E$6:$E$1005,MATCH($D873,RUNS!$A$6:$A$1005,0))="","",INDEX(RUNS!$E$6:$E$1005,MATCH($D873,RUNS!$A$6:$A$1005,0))),""))</f>
        <v/>
      </c>
      <c r="M873" s="33">
        <f>IF($D873="","",IFERROR(IF(INDEX(RUNS!$F$6:$F$1005,MATCH($D873,RUNS!$A$6:$A$1005,0))="","",INDEX(RUNS!$F$6:$F$1005,MATCH($D873,RUNS!$A$6:$A$1005,0))),""))</f>
        <v/>
      </c>
      <c r="N873" s="33">
        <f>IF($D873="","",IFERROR(IF(INDEX(RUNS!$G$6:$G$1005,MATCH($D873,RUNS!$A$6:$A$1005,0))="","",INDEX(RUNS!$G$6:$G$1005,MATCH($D873,RUNS!$A$6:$A$1005,0))),""))</f>
        <v/>
      </c>
      <c r="O873" s="33">
        <f>IF($D873="","",IFERROR(IF(INDEX(RUNS!$H$6:$H$1005,MATCH($D873,RUNS!$A$6:$A$1005,0))="","",INDEX(RUNS!$H$6:$H$1005,MATCH($D873,RUNS!$A$6:$A$1005,0))),""))</f>
        <v/>
      </c>
      <c r="P873" s="33">
        <f>IF($D873="","",IFERROR(IF(INDEX(RUNS!$J$6:$J$1005,MATCH($D873,RUNS!$A$6:$A$1005,0))="","",INDEX(RUNS!$J$6:$J$1005,MATCH($D873,RUNS!$A$6:$A$1005,0))),""))</f>
        <v/>
      </c>
      <c r="Q873" s="33">
        <f>IF($D873="","",IFERROR(IF(INDEX(RUNS!$K$6:$K$1005,MATCH($D873,RUNS!$A$6:$A$1005,0))="","",INDEX(RUNS!$K$6:$K$1005,MATCH($D873,RUNS!$A$6:$A$1005,0))),""))</f>
        <v/>
      </c>
      <c r="R873" s="34">
        <f>IF(OR($L873="",$K873=""),"",IFERROR(IF(INDEX(PARAMETRES!$H$43:$H$342,MATCH($L873&amp;"|"&amp;$M873&amp;"|"&amp;$N873&amp;"|"&amp;$O873&amp;"|"&amp;$P873&amp;"|"&amp;$Q873&amp;"|"&amp;$K873,PARAMETRES!$J$43:$J$342,0))="","",INDEX(PARAMETRES!$H$43:$H$342,MATCH($L873&amp;"|"&amp;$M873&amp;"|"&amp;$N873&amp;"|"&amp;$O873&amp;"|"&amp;$P873&amp;"|"&amp;$Q873&amp;"|"&amp;$K873,PARAMETRES!$J$43:$J$342,0))),""))</f>
        <v/>
      </c>
      <c r="S873" s="35">
        <f>IF(OR($G873="",$X873&lt;&gt;"VALIDE"),"",IFERROR(LOOKUP(2,1/(($B$3:$B872=$B873)*($G$3:$G872=$G873)*($X$3:$X872="VALIDE")),$C$3:$C872),""))</f>
        <v/>
      </c>
      <c r="T873" s="36">
        <f>IF(OR($C873="",$S873=""),"",ROUND(($C873-$S873+IF($C873&lt;$S873,1,0))*1440,0))</f>
        <v/>
      </c>
      <c r="U873" s="22">
        <f>IF(OR($H873="",$T873="",$T873&lt;=0),"",$H873*60/$T873)</f>
        <v/>
      </c>
      <c r="V873" s="37">
        <f>IF(OR($U873="",$R873="",$R873=0),"",$U873/$R873)</f>
        <v/>
      </c>
      <c r="W873" s="20">
        <f>IF($G873="","",IF($X873="CONTEXTE INCOMPLET","CONTEXTE INCOMPLET",IF($X873="DOUBLON",StatutDoublon,IF($S873="",StatutInitial,IF($R873="",StatutStandardManquant,IF($V873="","DONNEES INSUFFISANTES",IF($V873&gt;=SeuilConforme,StatutConforme,IF($V873&gt;=SeuilSurveiller,StatutSurveiller,StatutSousStandard))))))))</f>
        <v/>
      </c>
      <c r="X873" s="33">
        <f>IF($G873="","",IF(OR($D873="",$E873="",$F873=""),"CONTEXTE INCOMPLET",IF(COUNTIFS($D$3:$D872,$D873,$E$3:$E872,$E873,$F$3:$F872,$F873,$G$3:$G872,$G873)&gt;0,"DOUBLON","VALIDE")))</f>
        <v/>
      </c>
    </row>
    <row r="874" ht="15" customHeight="1">
      <c r="A874" s="12">
        <f>IF(OR($B874="",$G874=""),"",TEXT($B874,"YYYYMMDD")&amp;"-"&amp;SUBSTITUTE($E874," ","")&amp;"-"&amp;$F874&amp;"-"&amp;$G874)</f>
        <v/>
      </c>
      <c r="B874" s="15" t="n"/>
      <c r="C874" s="16" t="n"/>
      <c r="D874" s="10" t="n"/>
      <c r="E874" s="9" t="n"/>
      <c r="F874" s="9" t="n"/>
      <c r="G874" s="13" t="n"/>
      <c r="H874" s="21" t="n"/>
      <c r="I874" s="21" t="n"/>
      <c r="J874" s="17">
        <f>IF($G874="","",IFERROR(INDEX(NomsEmployes,MATCH($G874,MatriculesEmployes,0)),"MATRICULE INCONNU"))</f>
        <v/>
      </c>
      <c r="K874" s="33">
        <f>IF(OR($D874="",$F874=""),"",IFERROR(IF(INDEX(RUNS!$L$6:$S$1005,MATCH($D874,RUNS!$A$6:$A$1005,0),MATCH("ACTIVITÉ "&amp;$F874,RUNS!$L$5:$S$5,0))="","",INDEX(RUNS!$L$6:$S$1005,MATCH($D874,RUNS!$A$6:$A$1005,0),MATCH("ACTIVITÉ "&amp;$F874,RUNS!$L$5:$S$5,0))),""))</f>
        <v/>
      </c>
      <c r="L874" s="33">
        <f>IF($D874="","",IFERROR(IF(INDEX(RUNS!$E$6:$E$1005,MATCH($D874,RUNS!$A$6:$A$1005,0))="","",INDEX(RUNS!$E$6:$E$1005,MATCH($D874,RUNS!$A$6:$A$1005,0))),""))</f>
        <v/>
      </c>
      <c r="M874" s="33">
        <f>IF($D874="","",IFERROR(IF(INDEX(RUNS!$F$6:$F$1005,MATCH($D874,RUNS!$A$6:$A$1005,0))="","",INDEX(RUNS!$F$6:$F$1005,MATCH($D874,RUNS!$A$6:$A$1005,0))),""))</f>
        <v/>
      </c>
      <c r="N874" s="33">
        <f>IF($D874="","",IFERROR(IF(INDEX(RUNS!$G$6:$G$1005,MATCH($D874,RUNS!$A$6:$A$1005,0))="","",INDEX(RUNS!$G$6:$G$1005,MATCH($D874,RUNS!$A$6:$A$1005,0))),""))</f>
        <v/>
      </c>
      <c r="O874" s="33">
        <f>IF($D874="","",IFERROR(IF(INDEX(RUNS!$H$6:$H$1005,MATCH($D874,RUNS!$A$6:$A$1005,0))="","",INDEX(RUNS!$H$6:$H$1005,MATCH($D874,RUNS!$A$6:$A$1005,0))),""))</f>
        <v/>
      </c>
      <c r="P874" s="33">
        <f>IF($D874="","",IFERROR(IF(INDEX(RUNS!$J$6:$J$1005,MATCH($D874,RUNS!$A$6:$A$1005,0))="","",INDEX(RUNS!$J$6:$J$1005,MATCH($D874,RUNS!$A$6:$A$1005,0))),""))</f>
        <v/>
      </c>
      <c r="Q874" s="33">
        <f>IF($D874="","",IFERROR(IF(INDEX(RUNS!$K$6:$K$1005,MATCH($D874,RUNS!$A$6:$A$1005,0))="","",INDEX(RUNS!$K$6:$K$1005,MATCH($D874,RUNS!$A$6:$A$1005,0))),""))</f>
        <v/>
      </c>
      <c r="R874" s="34">
        <f>IF(OR($L874="",$K874=""),"",IFERROR(IF(INDEX(PARAMETRES!$H$43:$H$342,MATCH($L874&amp;"|"&amp;$M874&amp;"|"&amp;$N874&amp;"|"&amp;$O874&amp;"|"&amp;$P874&amp;"|"&amp;$Q874&amp;"|"&amp;$K874,PARAMETRES!$J$43:$J$342,0))="","",INDEX(PARAMETRES!$H$43:$H$342,MATCH($L874&amp;"|"&amp;$M874&amp;"|"&amp;$N874&amp;"|"&amp;$O874&amp;"|"&amp;$P874&amp;"|"&amp;$Q874&amp;"|"&amp;$K874,PARAMETRES!$J$43:$J$342,0))),""))</f>
        <v/>
      </c>
      <c r="S874" s="35">
        <f>IF(OR($G874="",$X874&lt;&gt;"VALIDE"),"",IFERROR(LOOKUP(2,1/(($B$3:$B873=$B874)*($G$3:$G873=$G874)*($X$3:$X873="VALIDE")),$C$3:$C873),""))</f>
        <v/>
      </c>
      <c r="T874" s="36">
        <f>IF(OR($C874="",$S874=""),"",ROUND(($C874-$S874+IF($C874&lt;$S874,1,0))*1440,0))</f>
        <v/>
      </c>
      <c r="U874" s="22">
        <f>IF(OR($H874="",$T874="",$T874&lt;=0),"",$H874*60/$T874)</f>
        <v/>
      </c>
      <c r="V874" s="37">
        <f>IF(OR($U874="",$R874="",$R874=0),"",$U874/$R874)</f>
        <v/>
      </c>
      <c r="W874" s="20">
        <f>IF($G874="","",IF($X874="CONTEXTE INCOMPLET","CONTEXTE INCOMPLET",IF($X874="DOUBLON",StatutDoublon,IF($S874="",StatutInitial,IF($R874="",StatutStandardManquant,IF($V874="","DONNEES INSUFFISANTES",IF($V874&gt;=SeuilConforme,StatutConforme,IF($V874&gt;=SeuilSurveiller,StatutSurveiller,StatutSousStandard))))))))</f>
        <v/>
      </c>
      <c r="X874" s="33">
        <f>IF($G874="","",IF(OR($D874="",$E874="",$F874=""),"CONTEXTE INCOMPLET",IF(COUNTIFS($D$3:$D873,$D874,$E$3:$E873,$E874,$F$3:$F873,$F874,$G$3:$G873,$G874)&gt;0,"DOUBLON","VALIDE")))</f>
        <v/>
      </c>
    </row>
    <row r="875" ht="15" customHeight="1">
      <c r="A875" s="12">
        <f>IF(OR($B875="",$G875=""),"",TEXT($B875,"YYYYMMDD")&amp;"-"&amp;SUBSTITUTE($E875," ","")&amp;"-"&amp;$F875&amp;"-"&amp;$G875)</f>
        <v/>
      </c>
      <c r="B875" s="15" t="n"/>
      <c r="C875" s="16" t="n"/>
      <c r="D875" s="10" t="n"/>
      <c r="E875" s="9" t="n"/>
      <c r="F875" s="9" t="n"/>
      <c r="G875" s="13" t="n"/>
      <c r="H875" s="21" t="n"/>
      <c r="I875" s="21" t="n"/>
      <c r="J875" s="17">
        <f>IF($G875="","",IFERROR(INDEX(NomsEmployes,MATCH($G875,MatriculesEmployes,0)),"MATRICULE INCONNU"))</f>
        <v/>
      </c>
      <c r="K875" s="33">
        <f>IF(OR($D875="",$F875=""),"",IFERROR(IF(INDEX(RUNS!$L$6:$S$1005,MATCH($D875,RUNS!$A$6:$A$1005,0),MATCH("ACTIVITÉ "&amp;$F875,RUNS!$L$5:$S$5,0))="","",INDEX(RUNS!$L$6:$S$1005,MATCH($D875,RUNS!$A$6:$A$1005,0),MATCH("ACTIVITÉ "&amp;$F875,RUNS!$L$5:$S$5,0))),""))</f>
        <v/>
      </c>
      <c r="L875" s="33">
        <f>IF($D875="","",IFERROR(IF(INDEX(RUNS!$E$6:$E$1005,MATCH($D875,RUNS!$A$6:$A$1005,0))="","",INDEX(RUNS!$E$6:$E$1005,MATCH($D875,RUNS!$A$6:$A$1005,0))),""))</f>
        <v/>
      </c>
      <c r="M875" s="33">
        <f>IF($D875="","",IFERROR(IF(INDEX(RUNS!$F$6:$F$1005,MATCH($D875,RUNS!$A$6:$A$1005,0))="","",INDEX(RUNS!$F$6:$F$1005,MATCH($D875,RUNS!$A$6:$A$1005,0))),""))</f>
        <v/>
      </c>
      <c r="N875" s="33">
        <f>IF($D875="","",IFERROR(IF(INDEX(RUNS!$G$6:$G$1005,MATCH($D875,RUNS!$A$6:$A$1005,0))="","",INDEX(RUNS!$G$6:$G$1005,MATCH($D875,RUNS!$A$6:$A$1005,0))),""))</f>
        <v/>
      </c>
      <c r="O875" s="33">
        <f>IF($D875="","",IFERROR(IF(INDEX(RUNS!$H$6:$H$1005,MATCH($D875,RUNS!$A$6:$A$1005,0))="","",INDEX(RUNS!$H$6:$H$1005,MATCH($D875,RUNS!$A$6:$A$1005,0))),""))</f>
        <v/>
      </c>
      <c r="P875" s="33">
        <f>IF($D875="","",IFERROR(IF(INDEX(RUNS!$J$6:$J$1005,MATCH($D875,RUNS!$A$6:$A$1005,0))="","",INDEX(RUNS!$J$6:$J$1005,MATCH($D875,RUNS!$A$6:$A$1005,0))),""))</f>
        <v/>
      </c>
      <c r="Q875" s="33">
        <f>IF($D875="","",IFERROR(IF(INDEX(RUNS!$K$6:$K$1005,MATCH($D875,RUNS!$A$6:$A$1005,0))="","",INDEX(RUNS!$K$6:$K$1005,MATCH($D875,RUNS!$A$6:$A$1005,0))),""))</f>
        <v/>
      </c>
      <c r="R875" s="34">
        <f>IF(OR($L875="",$K875=""),"",IFERROR(IF(INDEX(PARAMETRES!$H$43:$H$342,MATCH($L875&amp;"|"&amp;$M875&amp;"|"&amp;$N875&amp;"|"&amp;$O875&amp;"|"&amp;$P875&amp;"|"&amp;$Q875&amp;"|"&amp;$K875,PARAMETRES!$J$43:$J$342,0))="","",INDEX(PARAMETRES!$H$43:$H$342,MATCH($L875&amp;"|"&amp;$M875&amp;"|"&amp;$N875&amp;"|"&amp;$O875&amp;"|"&amp;$P875&amp;"|"&amp;$Q875&amp;"|"&amp;$K875,PARAMETRES!$J$43:$J$342,0))),""))</f>
        <v/>
      </c>
      <c r="S875" s="35">
        <f>IF(OR($G875="",$X875&lt;&gt;"VALIDE"),"",IFERROR(LOOKUP(2,1/(($B$3:$B874=$B875)*($G$3:$G874=$G875)*($X$3:$X874="VALIDE")),$C$3:$C874),""))</f>
        <v/>
      </c>
      <c r="T875" s="36">
        <f>IF(OR($C875="",$S875=""),"",ROUND(($C875-$S875+IF($C875&lt;$S875,1,0))*1440,0))</f>
        <v/>
      </c>
      <c r="U875" s="22">
        <f>IF(OR($H875="",$T875="",$T875&lt;=0),"",$H875*60/$T875)</f>
        <v/>
      </c>
      <c r="V875" s="37">
        <f>IF(OR($U875="",$R875="",$R875=0),"",$U875/$R875)</f>
        <v/>
      </c>
      <c r="W875" s="20">
        <f>IF($G875="","",IF($X875="CONTEXTE INCOMPLET","CONTEXTE INCOMPLET",IF($X875="DOUBLON",StatutDoublon,IF($S875="",StatutInitial,IF($R875="",StatutStandardManquant,IF($V875="","DONNEES INSUFFISANTES",IF($V875&gt;=SeuilConforme,StatutConforme,IF($V875&gt;=SeuilSurveiller,StatutSurveiller,StatutSousStandard))))))))</f>
        <v/>
      </c>
      <c r="X875" s="33">
        <f>IF($G875="","",IF(OR($D875="",$E875="",$F875=""),"CONTEXTE INCOMPLET",IF(COUNTIFS($D$3:$D874,$D875,$E$3:$E874,$E875,$F$3:$F874,$F875,$G$3:$G874,$G875)&gt;0,"DOUBLON","VALIDE")))</f>
        <v/>
      </c>
    </row>
    <row r="876" ht="15" customHeight="1">
      <c r="A876" s="12">
        <f>IF(OR($B876="",$G876=""),"",TEXT($B876,"YYYYMMDD")&amp;"-"&amp;SUBSTITUTE($E876," ","")&amp;"-"&amp;$F876&amp;"-"&amp;$G876)</f>
        <v/>
      </c>
      <c r="B876" s="15" t="n"/>
      <c r="C876" s="16" t="n"/>
      <c r="D876" s="10" t="n"/>
      <c r="E876" s="9" t="n"/>
      <c r="F876" s="9" t="n"/>
      <c r="G876" s="13" t="n"/>
      <c r="H876" s="21" t="n"/>
      <c r="I876" s="21" t="n"/>
      <c r="J876" s="17">
        <f>IF($G876="","",IFERROR(INDEX(NomsEmployes,MATCH($G876,MatriculesEmployes,0)),"MATRICULE INCONNU"))</f>
        <v/>
      </c>
      <c r="K876" s="33">
        <f>IF(OR($D876="",$F876=""),"",IFERROR(IF(INDEX(RUNS!$L$6:$S$1005,MATCH($D876,RUNS!$A$6:$A$1005,0),MATCH("ACTIVITÉ "&amp;$F876,RUNS!$L$5:$S$5,0))="","",INDEX(RUNS!$L$6:$S$1005,MATCH($D876,RUNS!$A$6:$A$1005,0),MATCH("ACTIVITÉ "&amp;$F876,RUNS!$L$5:$S$5,0))),""))</f>
        <v/>
      </c>
      <c r="L876" s="33">
        <f>IF($D876="","",IFERROR(IF(INDEX(RUNS!$E$6:$E$1005,MATCH($D876,RUNS!$A$6:$A$1005,0))="","",INDEX(RUNS!$E$6:$E$1005,MATCH($D876,RUNS!$A$6:$A$1005,0))),""))</f>
        <v/>
      </c>
      <c r="M876" s="33">
        <f>IF($D876="","",IFERROR(IF(INDEX(RUNS!$F$6:$F$1005,MATCH($D876,RUNS!$A$6:$A$1005,0))="","",INDEX(RUNS!$F$6:$F$1005,MATCH($D876,RUNS!$A$6:$A$1005,0))),""))</f>
        <v/>
      </c>
      <c r="N876" s="33">
        <f>IF($D876="","",IFERROR(IF(INDEX(RUNS!$G$6:$G$1005,MATCH($D876,RUNS!$A$6:$A$1005,0))="","",INDEX(RUNS!$G$6:$G$1005,MATCH($D876,RUNS!$A$6:$A$1005,0))),""))</f>
        <v/>
      </c>
      <c r="O876" s="33">
        <f>IF($D876="","",IFERROR(IF(INDEX(RUNS!$H$6:$H$1005,MATCH($D876,RUNS!$A$6:$A$1005,0))="","",INDEX(RUNS!$H$6:$H$1005,MATCH($D876,RUNS!$A$6:$A$1005,0))),""))</f>
        <v/>
      </c>
      <c r="P876" s="33">
        <f>IF($D876="","",IFERROR(IF(INDEX(RUNS!$J$6:$J$1005,MATCH($D876,RUNS!$A$6:$A$1005,0))="","",INDEX(RUNS!$J$6:$J$1005,MATCH($D876,RUNS!$A$6:$A$1005,0))),""))</f>
        <v/>
      </c>
      <c r="Q876" s="33">
        <f>IF($D876="","",IFERROR(IF(INDEX(RUNS!$K$6:$K$1005,MATCH($D876,RUNS!$A$6:$A$1005,0))="","",INDEX(RUNS!$K$6:$K$1005,MATCH($D876,RUNS!$A$6:$A$1005,0))),""))</f>
        <v/>
      </c>
      <c r="R876" s="34">
        <f>IF(OR($L876="",$K876=""),"",IFERROR(IF(INDEX(PARAMETRES!$H$43:$H$342,MATCH($L876&amp;"|"&amp;$M876&amp;"|"&amp;$N876&amp;"|"&amp;$O876&amp;"|"&amp;$P876&amp;"|"&amp;$Q876&amp;"|"&amp;$K876,PARAMETRES!$J$43:$J$342,0))="","",INDEX(PARAMETRES!$H$43:$H$342,MATCH($L876&amp;"|"&amp;$M876&amp;"|"&amp;$N876&amp;"|"&amp;$O876&amp;"|"&amp;$P876&amp;"|"&amp;$Q876&amp;"|"&amp;$K876,PARAMETRES!$J$43:$J$342,0))),""))</f>
        <v/>
      </c>
      <c r="S876" s="35">
        <f>IF(OR($G876="",$X876&lt;&gt;"VALIDE"),"",IFERROR(LOOKUP(2,1/(($B$3:$B875=$B876)*($G$3:$G875=$G876)*($X$3:$X875="VALIDE")),$C$3:$C875),""))</f>
        <v/>
      </c>
      <c r="T876" s="36">
        <f>IF(OR($C876="",$S876=""),"",ROUND(($C876-$S876+IF($C876&lt;$S876,1,0))*1440,0))</f>
        <v/>
      </c>
      <c r="U876" s="22">
        <f>IF(OR($H876="",$T876="",$T876&lt;=0),"",$H876*60/$T876)</f>
        <v/>
      </c>
      <c r="V876" s="37">
        <f>IF(OR($U876="",$R876="",$R876=0),"",$U876/$R876)</f>
        <v/>
      </c>
      <c r="W876" s="20">
        <f>IF($G876="","",IF($X876="CONTEXTE INCOMPLET","CONTEXTE INCOMPLET",IF($X876="DOUBLON",StatutDoublon,IF($S876="",StatutInitial,IF($R876="",StatutStandardManquant,IF($V876="","DONNEES INSUFFISANTES",IF($V876&gt;=SeuilConforme,StatutConforme,IF($V876&gt;=SeuilSurveiller,StatutSurveiller,StatutSousStandard))))))))</f>
        <v/>
      </c>
      <c r="X876" s="33">
        <f>IF($G876="","",IF(OR($D876="",$E876="",$F876=""),"CONTEXTE INCOMPLET",IF(COUNTIFS($D$3:$D875,$D876,$E$3:$E875,$E876,$F$3:$F875,$F876,$G$3:$G875,$G876)&gt;0,"DOUBLON","VALIDE")))</f>
        <v/>
      </c>
    </row>
    <row r="877" ht="15" customHeight="1">
      <c r="A877" s="12">
        <f>IF(OR($B877="",$G877=""),"",TEXT($B877,"YYYYMMDD")&amp;"-"&amp;SUBSTITUTE($E877," ","")&amp;"-"&amp;$F877&amp;"-"&amp;$G877)</f>
        <v/>
      </c>
      <c r="B877" s="15" t="n"/>
      <c r="C877" s="16" t="n"/>
      <c r="D877" s="10" t="n"/>
      <c r="E877" s="9" t="n"/>
      <c r="F877" s="9" t="n"/>
      <c r="G877" s="13" t="n"/>
      <c r="H877" s="21" t="n"/>
      <c r="I877" s="21" t="n"/>
      <c r="J877" s="17">
        <f>IF($G877="","",IFERROR(INDEX(NomsEmployes,MATCH($G877,MatriculesEmployes,0)),"MATRICULE INCONNU"))</f>
        <v/>
      </c>
      <c r="K877" s="33">
        <f>IF(OR($D877="",$F877=""),"",IFERROR(IF(INDEX(RUNS!$L$6:$S$1005,MATCH($D877,RUNS!$A$6:$A$1005,0),MATCH("ACTIVITÉ "&amp;$F877,RUNS!$L$5:$S$5,0))="","",INDEX(RUNS!$L$6:$S$1005,MATCH($D877,RUNS!$A$6:$A$1005,0),MATCH("ACTIVITÉ "&amp;$F877,RUNS!$L$5:$S$5,0))),""))</f>
        <v/>
      </c>
      <c r="L877" s="33">
        <f>IF($D877="","",IFERROR(IF(INDEX(RUNS!$E$6:$E$1005,MATCH($D877,RUNS!$A$6:$A$1005,0))="","",INDEX(RUNS!$E$6:$E$1005,MATCH($D877,RUNS!$A$6:$A$1005,0))),""))</f>
        <v/>
      </c>
      <c r="M877" s="33">
        <f>IF($D877="","",IFERROR(IF(INDEX(RUNS!$F$6:$F$1005,MATCH($D877,RUNS!$A$6:$A$1005,0))="","",INDEX(RUNS!$F$6:$F$1005,MATCH($D877,RUNS!$A$6:$A$1005,0))),""))</f>
        <v/>
      </c>
      <c r="N877" s="33">
        <f>IF($D877="","",IFERROR(IF(INDEX(RUNS!$G$6:$G$1005,MATCH($D877,RUNS!$A$6:$A$1005,0))="","",INDEX(RUNS!$G$6:$G$1005,MATCH($D877,RUNS!$A$6:$A$1005,0))),""))</f>
        <v/>
      </c>
      <c r="O877" s="33">
        <f>IF($D877="","",IFERROR(IF(INDEX(RUNS!$H$6:$H$1005,MATCH($D877,RUNS!$A$6:$A$1005,0))="","",INDEX(RUNS!$H$6:$H$1005,MATCH($D877,RUNS!$A$6:$A$1005,0))),""))</f>
        <v/>
      </c>
      <c r="P877" s="33">
        <f>IF($D877="","",IFERROR(IF(INDEX(RUNS!$J$6:$J$1005,MATCH($D877,RUNS!$A$6:$A$1005,0))="","",INDEX(RUNS!$J$6:$J$1005,MATCH($D877,RUNS!$A$6:$A$1005,0))),""))</f>
        <v/>
      </c>
      <c r="Q877" s="33">
        <f>IF($D877="","",IFERROR(IF(INDEX(RUNS!$K$6:$K$1005,MATCH($D877,RUNS!$A$6:$A$1005,0))="","",INDEX(RUNS!$K$6:$K$1005,MATCH($D877,RUNS!$A$6:$A$1005,0))),""))</f>
        <v/>
      </c>
      <c r="R877" s="34">
        <f>IF(OR($L877="",$K877=""),"",IFERROR(IF(INDEX(PARAMETRES!$H$43:$H$342,MATCH($L877&amp;"|"&amp;$M877&amp;"|"&amp;$N877&amp;"|"&amp;$O877&amp;"|"&amp;$P877&amp;"|"&amp;$Q877&amp;"|"&amp;$K877,PARAMETRES!$J$43:$J$342,0))="","",INDEX(PARAMETRES!$H$43:$H$342,MATCH($L877&amp;"|"&amp;$M877&amp;"|"&amp;$N877&amp;"|"&amp;$O877&amp;"|"&amp;$P877&amp;"|"&amp;$Q877&amp;"|"&amp;$K877,PARAMETRES!$J$43:$J$342,0))),""))</f>
        <v/>
      </c>
      <c r="S877" s="35">
        <f>IF(OR($G877="",$X877&lt;&gt;"VALIDE"),"",IFERROR(LOOKUP(2,1/(($B$3:$B876=$B877)*($G$3:$G876=$G877)*($X$3:$X876="VALIDE")),$C$3:$C876),""))</f>
        <v/>
      </c>
      <c r="T877" s="36">
        <f>IF(OR($C877="",$S877=""),"",ROUND(($C877-$S877+IF($C877&lt;$S877,1,0))*1440,0))</f>
        <v/>
      </c>
      <c r="U877" s="22">
        <f>IF(OR($H877="",$T877="",$T877&lt;=0),"",$H877*60/$T877)</f>
        <v/>
      </c>
      <c r="V877" s="37">
        <f>IF(OR($U877="",$R877="",$R877=0),"",$U877/$R877)</f>
        <v/>
      </c>
      <c r="W877" s="20">
        <f>IF($G877="","",IF($X877="CONTEXTE INCOMPLET","CONTEXTE INCOMPLET",IF($X877="DOUBLON",StatutDoublon,IF($S877="",StatutInitial,IF($R877="",StatutStandardManquant,IF($V877="","DONNEES INSUFFISANTES",IF($V877&gt;=SeuilConforme,StatutConforme,IF($V877&gt;=SeuilSurveiller,StatutSurveiller,StatutSousStandard))))))))</f>
        <v/>
      </c>
      <c r="X877" s="33">
        <f>IF($G877="","",IF(OR($D877="",$E877="",$F877=""),"CONTEXTE INCOMPLET",IF(COUNTIFS($D$3:$D876,$D877,$E$3:$E876,$E877,$F$3:$F876,$F877,$G$3:$G876,$G877)&gt;0,"DOUBLON","VALIDE")))</f>
        <v/>
      </c>
    </row>
    <row r="878" ht="15" customHeight="1">
      <c r="A878" s="12">
        <f>IF(OR($B878="",$G878=""),"",TEXT($B878,"YYYYMMDD")&amp;"-"&amp;SUBSTITUTE($E878," ","")&amp;"-"&amp;$F878&amp;"-"&amp;$G878)</f>
        <v/>
      </c>
      <c r="B878" s="15" t="n"/>
      <c r="C878" s="16" t="n"/>
      <c r="D878" s="10" t="n"/>
      <c r="E878" s="9" t="n"/>
      <c r="F878" s="9" t="n"/>
      <c r="G878" s="13" t="n"/>
      <c r="H878" s="21" t="n"/>
      <c r="I878" s="21" t="n"/>
      <c r="J878" s="17">
        <f>IF($G878="","",IFERROR(INDEX(NomsEmployes,MATCH($G878,MatriculesEmployes,0)),"MATRICULE INCONNU"))</f>
        <v/>
      </c>
      <c r="K878" s="33">
        <f>IF(OR($D878="",$F878=""),"",IFERROR(IF(INDEX(RUNS!$L$6:$S$1005,MATCH($D878,RUNS!$A$6:$A$1005,0),MATCH("ACTIVITÉ "&amp;$F878,RUNS!$L$5:$S$5,0))="","",INDEX(RUNS!$L$6:$S$1005,MATCH($D878,RUNS!$A$6:$A$1005,0),MATCH("ACTIVITÉ "&amp;$F878,RUNS!$L$5:$S$5,0))),""))</f>
        <v/>
      </c>
      <c r="L878" s="33">
        <f>IF($D878="","",IFERROR(IF(INDEX(RUNS!$E$6:$E$1005,MATCH($D878,RUNS!$A$6:$A$1005,0))="","",INDEX(RUNS!$E$6:$E$1005,MATCH($D878,RUNS!$A$6:$A$1005,0))),""))</f>
        <v/>
      </c>
      <c r="M878" s="33">
        <f>IF($D878="","",IFERROR(IF(INDEX(RUNS!$F$6:$F$1005,MATCH($D878,RUNS!$A$6:$A$1005,0))="","",INDEX(RUNS!$F$6:$F$1005,MATCH($D878,RUNS!$A$6:$A$1005,0))),""))</f>
        <v/>
      </c>
      <c r="N878" s="33">
        <f>IF($D878="","",IFERROR(IF(INDEX(RUNS!$G$6:$G$1005,MATCH($D878,RUNS!$A$6:$A$1005,0))="","",INDEX(RUNS!$G$6:$G$1005,MATCH($D878,RUNS!$A$6:$A$1005,0))),""))</f>
        <v/>
      </c>
      <c r="O878" s="33">
        <f>IF($D878="","",IFERROR(IF(INDEX(RUNS!$H$6:$H$1005,MATCH($D878,RUNS!$A$6:$A$1005,0))="","",INDEX(RUNS!$H$6:$H$1005,MATCH($D878,RUNS!$A$6:$A$1005,0))),""))</f>
        <v/>
      </c>
      <c r="P878" s="33">
        <f>IF($D878="","",IFERROR(IF(INDEX(RUNS!$J$6:$J$1005,MATCH($D878,RUNS!$A$6:$A$1005,0))="","",INDEX(RUNS!$J$6:$J$1005,MATCH($D878,RUNS!$A$6:$A$1005,0))),""))</f>
        <v/>
      </c>
      <c r="Q878" s="33">
        <f>IF($D878="","",IFERROR(IF(INDEX(RUNS!$K$6:$K$1005,MATCH($D878,RUNS!$A$6:$A$1005,0))="","",INDEX(RUNS!$K$6:$K$1005,MATCH($D878,RUNS!$A$6:$A$1005,0))),""))</f>
        <v/>
      </c>
      <c r="R878" s="34">
        <f>IF(OR($L878="",$K878=""),"",IFERROR(IF(INDEX(PARAMETRES!$H$43:$H$342,MATCH($L878&amp;"|"&amp;$M878&amp;"|"&amp;$N878&amp;"|"&amp;$O878&amp;"|"&amp;$P878&amp;"|"&amp;$Q878&amp;"|"&amp;$K878,PARAMETRES!$J$43:$J$342,0))="","",INDEX(PARAMETRES!$H$43:$H$342,MATCH($L878&amp;"|"&amp;$M878&amp;"|"&amp;$N878&amp;"|"&amp;$O878&amp;"|"&amp;$P878&amp;"|"&amp;$Q878&amp;"|"&amp;$K878,PARAMETRES!$J$43:$J$342,0))),""))</f>
        <v/>
      </c>
      <c r="S878" s="35">
        <f>IF(OR($G878="",$X878&lt;&gt;"VALIDE"),"",IFERROR(LOOKUP(2,1/(($B$3:$B877=$B878)*($G$3:$G877=$G878)*($X$3:$X877="VALIDE")),$C$3:$C877),""))</f>
        <v/>
      </c>
      <c r="T878" s="36">
        <f>IF(OR($C878="",$S878=""),"",ROUND(($C878-$S878+IF($C878&lt;$S878,1,0))*1440,0))</f>
        <v/>
      </c>
      <c r="U878" s="22">
        <f>IF(OR($H878="",$T878="",$T878&lt;=0),"",$H878*60/$T878)</f>
        <v/>
      </c>
      <c r="V878" s="37">
        <f>IF(OR($U878="",$R878="",$R878=0),"",$U878/$R878)</f>
        <v/>
      </c>
      <c r="W878" s="20">
        <f>IF($G878="","",IF($X878="CONTEXTE INCOMPLET","CONTEXTE INCOMPLET",IF($X878="DOUBLON",StatutDoublon,IF($S878="",StatutInitial,IF($R878="",StatutStandardManquant,IF($V878="","DONNEES INSUFFISANTES",IF($V878&gt;=SeuilConforme,StatutConforme,IF($V878&gt;=SeuilSurveiller,StatutSurveiller,StatutSousStandard))))))))</f>
        <v/>
      </c>
      <c r="X878" s="33">
        <f>IF($G878="","",IF(OR($D878="",$E878="",$F878=""),"CONTEXTE INCOMPLET",IF(COUNTIFS($D$3:$D877,$D878,$E$3:$E877,$E878,$F$3:$F877,$F878,$G$3:$G877,$G878)&gt;0,"DOUBLON","VALIDE")))</f>
        <v/>
      </c>
    </row>
    <row r="879" ht="15" customHeight="1">
      <c r="A879" s="12">
        <f>IF(OR($B879="",$G879=""),"",TEXT($B879,"YYYYMMDD")&amp;"-"&amp;SUBSTITUTE($E879," ","")&amp;"-"&amp;$F879&amp;"-"&amp;$G879)</f>
        <v/>
      </c>
      <c r="B879" s="15" t="n"/>
      <c r="C879" s="16" t="n"/>
      <c r="D879" s="10" t="n"/>
      <c r="E879" s="9" t="n"/>
      <c r="F879" s="9" t="n"/>
      <c r="G879" s="13" t="n"/>
      <c r="H879" s="21" t="n"/>
      <c r="I879" s="21" t="n"/>
      <c r="J879" s="17">
        <f>IF($G879="","",IFERROR(INDEX(NomsEmployes,MATCH($G879,MatriculesEmployes,0)),"MATRICULE INCONNU"))</f>
        <v/>
      </c>
      <c r="K879" s="33">
        <f>IF(OR($D879="",$F879=""),"",IFERROR(IF(INDEX(RUNS!$L$6:$S$1005,MATCH($D879,RUNS!$A$6:$A$1005,0),MATCH("ACTIVITÉ "&amp;$F879,RUNS!$L$5:$S$5,0))="","",INDEX(RUNS!$L$6:$S$1005,MATCH($D879,RUNS!$A$6:$A$1005,0),MATCH("ACTIVITÉ "&amp;$F879,RUNS!$L$5:$S$5,0))),""))</f>
        <v/>
      </c>
      <c r="L879" s="33">
        <f>IF($D879="","",IFERROR(IF(INDEX(RUNS!$E$6:$E$1005,MATCH($D879,RUNS!$A$6:$A$1005,0))="","",INDEX(RUNS!$E$6:$E$1005,MATCH($D879,RUNS!$A$6:$A$1005,0))),""))</f>
        <v/>
      </c>
      <c r="M879" s="33">
        <f>IF($D879="","",IFERROR(IF(INDEX(RUNS!$F$6:$F$1005,MATCH($D879,RUNS!$A$6:$A$1005,0))="","",INDEX(RUNS!$F$6:$F$1005,MATCH($D879,RUNS!$A$6:$A$1005,0))),""))</f>
        <v/>
      </c>
      <c r="N879" s="33">
        <f>IF($D879="","",IFERROR(IF(INDEX(RUNS!$G$6:$G$1005,MATCH($D879,RUNS!$A$6:$A$1005,0))="","",INDEX(RUNS!$G$6:$G$1005,MATCH($D879,RUNS!$A$6:$A$1005,0))),""))</f>
        <v/>
      </c>
      <c r="O879" s="33">
        <f>IF($D879="","",IFERROR(IF(INDEX(RUNS!$H$6:$H$1005,MATCH($D879,RUNS!$A$6:$A$1005,0))="","",INDEX(RUNS!$H$6:$H$1005,MATCH($D879,RUNS!$A$6:$A$1005,0))),""))</f>
        <v/>
      </c>
      <c r="P879" s="33">
        <f>IF($D879="","",IFERROR(IF(INDEX(RUNS!$J$6:$J$1005,MATCH($D879,RUNS!$A$6:$A$1005,0))="","",INDEX(RUNS!$J$6:$J$1005,MATCH($D879,RUNS!$A$6:$A$1005,0))),""))</f>
        <v/>
      </c>
      <c r="Q879" s="33">
        <f>IF($D879="","",IFERROR(IF(INDEX(RUNS!$K$6:$K$1005,MATCH($D879,RUNS!$A$6:$A$1005,0))="","",INDEX(RUNS!$K$6:$K$1005,MATCH($D879,RUNS!$A$6:$A$1005,0))),""))</f>
        <v/>
      </c>
      <c r="R879" s="34">
        <f>IF(OR($L879="",$K879=""),"",IFERROR(IF(INDEX(PARAMETRES!$H$43:$H$342,MATCH($L879&amp;"|"&amp;$M879&amp;"|"&amp;$N879&amp;"|"&amp;$O879&amp;"|"&amp;$P879&amp;"|"&amp;$Q879&amp;"|"&amp;$K879,PARAMETRES!$J$43:$J$342,0))="","",INDEX(PARAMETRES!$H$43:$H$342,MATCH($L879&amp;"|"&amp;$M879&amp;"|"&amp;$N879&amp;"|"&amp;$O879&amp;"|"&amp;$P879&amp;"|"&amp;$Q879&amp;"|"&amp;$K879,PARAMETRES!$J$43:$J$342,0))),""))</f>
        <v/>
      </c>
      <c r="S879" s="35">
        <f>IF(OR($G879="",$X879&lt;&gt;"VALIDE"),"",IFERROR(LOOKUP(2,1/(($B$3:$B878=$B879)*($G$3:$G878=$G879)*($X$3:$X878="VALIDE")),$C$3:$C878),""))</f>
        <v/>
      </c>
      <c r="T879" s="36">
        <f>IF(OR($C879="",$S879=""),"",ROUND(($C879-$S879+IF($C879&lt;$S879,1,0))*1440,0))</f>
        <v/>
      </c>
      <c r="U879" s="22">
        <f>IF(OR($H879="",$T879="",$T879&lt;=0),"",$H879*60/$T879)</f>
        <v/>
      </c>
      <c r="V879" s="37">
        <f>IF(OR($U879="",$R879="",$R879=0),"",$U879/$R879)</f>
        <v/>
      </c>
      <c r="W879" s="20">
        <f>IF($G879="","",IF($X879="CONTEXTE INCOMPLET","CONTEXTE INCOMPLET",IF($X879="DOUBLON",StatutDoublon,IF($S879="",StatutInitial,IF($R879="",StatutStandardManquant,IF($V879="","DONNEES INSUFFISANTES",IF($V879&gt;=SeuilConforme,StatutConforme,IF($V879&gt;=SeuilSurveiller,StatutSurveiller,StatutSousStandard))))))))</f>
        <v/>
      </c>
      <c r="X879" s="33">
        <f>IF($G879="","",IF(OR($D879="",$E879="",$F879=""),"CONTEXTE INCOMPLET",IF(COUNTIFS($D$3:$D878,$D879,$E$3:$E878,$E879,$F$3:$F878,$F879,$G$3:$G878,$G879)&gt;0,"DOUBLON","VALIDE")))</f>
        <v/>
      </c>
    </row>
    <row r="880" ht="15" customHeight="1">
      <c r="A880" s="12">
        <f>IF(OR($B880="",$G880=""),"",TEXT($B880,"YYYYMMDD")&amp;"-"&amp;SUBSTITUTE($E880," ","")&amp;"-"&amp;$F880&amp;"-"&amp;$G880)</f>
        <v/>
      </c>
      <c r="B880" s="15" t="n"/>
      <c r="C880" s="16" t="n"/>
      <c r="D880" s="10" t="n"/>
      <c r="E880" s="9" t="n"/>
      <c r="F880" s="9" t="n"/>
      <c r="G880" s="13" t="n"/>
      <c r="H880" s="21" t="n"/>
      <c r="I880" s="21" t="n"/>
      <c r="J880" s="17">
        <f>IF($G880="","",IFERROR(INDEX(NomsEmployes,MATCH($G880,MatriculesEmployes,0)),"MATRICULE INCONNU"))</f>
        <v/>
      </c>
      <c r="K880" s="33">
        <f>IF(OR($D880="",$F880=""),"",IFERROR(IF(INDEX(RUNS!$L$6:$S$1005,MATCH($D880,RUNS!$A$6:$A$1005,0),MATCH("ACTIVITÉ "&amp;$F880,RUNS!$L$5:$S$5,0))="","",INDEX(RUNS!$L$6:$S$1005,MATCH($D880,RUNS!$A$6:$A$1005,0),MATCH("ACTIVITÉ "&amp;$F880,RUNS!$L$5:$S$5,0))),""))</f>
        <v/>
      </c>
      <c r="L880" s="33">
        <f>IF($D880="","",IFERROR(IF(INDEX(RUNS!$E$6:$E$1005,MATCH($D880,RUNS!$A$6:$A$1005,0))="","",INDEX(RUNS!$E$6:$E$1005,MATCH($D880,RUNS!$A$6:$A$1005,0))),""))</f>
        <v/>
      </c>
      <c r="M880" s="33">
        <f>IF($D880="","",IFERROR(IF(INDEX(RUNS!$F$6:$F$1005,MATCH($D880,RUNS!$A$6:$A$1005,0))="","",INDEX(RUNS!$F$6:$F$1005,MATCH($D880,RUNS!$A$6:$A$1005,0))),""))</f>
        <v/>
      </c>
      <c r="N880" s="33">
        <f>IF($D880="","",IFERROR(IF(INDEX(RUNS!$G$6:$G$1005,MATCH($D880,RUNS!$A$6:$A$1005,0))="","",INDEX(RUNS!$G$6:$G$1005,MATCH($D880,RUNS!$A$6:$A$1005,0))),""))</f>
        <v/>
      </c>
      <c r="O880" s="33">
        <f>IF($D880="","",IFERROR(IF(INDEX(RUNS!$H$6:$H$1005,MATCH($D880,RUNS!$A$6:$A$1005,0))="","",INDEX(RUNS!$H$6:$H$1005,MATCH($D880,RUNS!$A$6:$A$1005,0))),""))</f>
        <v/>
      </c>
      <c r="P880" s="33">
        <f>IF($D880="","",IFERROR(IF(INDEX(RUNS!$J$6:$J$1005,MATCH($D880,RUNS!$A$6:$A$1005,0))="","",INDEX(RUNS!$J$6:$J$1005,MATCH($D880,RUNS!$A$6:$A$1005,0))),""))</f>
        <v/>
      </c>
      <c r="Q880" s="33">
        <f>IF($D880="","",IFERROR(IF(INDEX(RUNS!$K$6:$K$1005,MATCH($D880,RUNS!$A$6:$A$1005,0))="","",INDEX(RUNS!$K$6:$K$1005,MATCH($D880,RUNS!$A$6:$A$1005,0))),""))</f>
        <v/>
      </c>
      <c r="R880" s="34">
        <f>IF(OR($L880="",$K880=""),"",IFERROR(IF(INDEX(PARAMETRES!$H$43:$H$342,MATCH($L880&amp;"|"&amp;$M880&amp;"|"&amp;$N880&amp;"|"&amp;$O880&amp;"|"&amp;$P880&amp;"|"&amp;$Q880&amp;"|"&amp;$K880,PARAMETRES!$J$43:$J$342,0))="","",INDEX(PARAMETRES!$H$43:$H$342,MATCH($L880&amp;"|"&amp;$M880&amp;"|"&amp;$N880&amp;"|"&amp;$O880&amp;"|"&amp;$P880&amp;"|"&amp;$Q880&amp;"|"&amp;$K880,PARAMETRES!$J$43:$J$342,0))),""))</f>
        <v/>
      </c>
      <c r="S880" s="35">
        <f>IF(OR($G880="",$X880&lt;&gt;"VALIDE"),"",IFERROR(LOOKUP(2,1/(($B$3:$B879=$B880)*($G$3:$G879=$G880)*($X$3:$X879="VALIDE")),$C$3:$C879),""))</f>
        <v/>
      </c>
      <c r="T880" s="36">
        <f>IF(OR($C880="",$S880=""),"",ROUND(($C880-$S880+IF($C880&lt;$S880,1,0))*1440,0))</f>
        <v/>
      </c>
      <c r="U880" s="22">
        <f>IF(OR($H880="",$T880="",$T880&lt;=0),"",$H880*60/$T880)</f>
        <v/>
      </c>
      <c r="V880" s="37">
        <f>IF(OR($U880="",$R880="",$R880=0),"",$U880/$R880)</f>
        <v/>
      </c>
      <c r="W880" s="20">
        <f>IF($G880="","",IF($X880="CONTEXTE INCOMPLET","CONTEXTE INCOMPLET",IF($X880="DOUBLON",StatutDoublon,IF($S880="",StatutInitial,IF($R880="",StatutStandardManquant,IF($V880="","DONNEES INSUFFISANTES",IF($V880&gt;=SeuilConforme,StatutConforme,IF($V880&gt;=SeuilSurveiller,StatutSurveiller,StatutSousStandard))))))))</f>
        <v/>
      </c>
      <c r="X880" s="33">
        <f>IF($G880="","",IF(OR($D880="",$E880="",$F880=""),"CONTEXTE INCOMPLET",IF(COUNTIFS($D$3:$D879,$D880,$E$3:$E879,$E880,$F$3:$F879,$F880,$G$3:$G879,$G880)&gt;0,"DOUBLON","VALIDE")))</f>
        <v/>
      </c>
    </row>
    <row r="881" ht="15" customHeight="1">
      <c r="A881" s="12">
        <f>IF(OR($B881="",$G881=""),"",TEXT($B881,"YYYYMMDD")&amp;"-"&amp;SUBSTITUTE($E881," ","")&amp;"-"&amp;$F881&amp;"-"&amp;$G881)</f>
        <v/>
      </c>
      <c r="B881" s="15" t="n"/>
      <c r="C881" s="16" t="n"/>
      <c r="D881" s="10" t="n"/>
      <c r="E881" s="9" t="n"/>
      <c r="F881" s="9" t="n"/>
      <c r="G881" s="13" t="n"/>
      <c r="H881" s="21" t="n"/>
      <c r="I881" s="21" t="n"/>
      <c r="J881" s="17">
        <f>IF($G881="","",IFERROR(INDEX(NomsEmployes,MATCH($G881,MatriculesEmployes,0)),"MATRICULE INCONNU"))</f>
        <v/>
      </c>
      <c r="K881" s="33">
        <f>IF(OR($D881="",$F881=""),"",IFERROR(IF(INDEX(RUNS!$L$6:$S$1005,MATCH($D881,RUNS!$A$6:$A$1005,0),MATCH("ACTIVITÉ "&amp;$F881,RUNS!$L$5:$S$5,0))="","",INDEX(RUNS!$L$6:$S$1005,MATCH($D881,RUNS!$A$6:$A$1005,0),MATCH("ACTIVITÉ "&amp;$F881,RUNS!$L$5:$S$5,0))),""))</f>
        <v/>
      </c>
      <c r="L881" s="33">
        <f>IF($D881="","",IFERROR(IF(INDEX(RUNS!$E$6:$E$1005,MATCH($D881,RUNS!$A$6:$A$1005,0))="","",INDEX(RUNS!$E$6:$E$1005,MATCH($D881,RUNS!$A$6:$A$1005,0))),""))</f>
        <v/>
      </c>
      <c r="M881" s="33">
        <f>IF($D881="","",IFERROR(IF(INDEX(RUNS!$F$6:$F$1005,MATCH($D881,RUNS!$A$6:$A$1005,0))="","",INDEX(RUNS!$F$6:$F$1005,MATCH($D881,RUNS!$A$6:$A$1005,0))),""))</f>
        <v/>
      </c>
      <c r="N881" s="33">
        <f>IF($D881="","",IFERROR(IF(INDEX(RUNS!$G$6:$G$1005,MATCH($D881,RUNS!$A$6:$A$1005,0))="","",INDEX(RUNS!$G$6:$G$1005,MATCH($D881,RUNS!$A$6:$A$1005,0))),""))</f>
        <v/>
      </c>
      <c r="O881" s="33">
        <f>IF($D881="","",IFERROR(IF(INDEX(RUNS!$H$6:$H$1005,MATCH($D881,RUNS!$A$6:$A$1005,0))="","",INDEX(RUNS!$H$6:$H$1005,MATCH($D881,RUNS!$A$6:$A$1005,0))),""))</f>
        <v/>
      </c>
      <c r="P881" s="33">
        <f>IF($D881="","",IFERROR(IF(INDEX(RUNS!$J$6:$J$1005,MATCH($D881,RUNS!$A$6:$A$1005,0))="","",INDEX(RUNS!$J$6:$J$1005,MATCH($D881,RUNS!$A$6:$A$1005,0))),""))</f>
        <v/>
      </c>
      <c r="Q881" s="33">
        <f>IF($D881="","",IFERROR(IF(INDEX(RUNS!$K$6:$K$1005,MATCH($D881,RUNS!$A$6:$A$1005,0))="","",INDEX(RUNS!$K$6:$K$1005,MATCH($D881,RUNS!$A$6:$A$1005,0))),""))</f>
        <v/>
      </c>
      <c r="R881" s="34">
        <f>IF(OR($L881="",$K881=""),"",IFERROR(IF(INDEX(PARAMETRES!$H$43:$H$342,MATCH($L881&amp;"|"&amp;$M881&amp;"|"&amp;$N881&amp;"|"&amp;$O881&amp;"|"&amp;$P881&amp;"|"&amp;$Q881&amp;"|"&amp;$K881,PARAMETRES!$J$43:$J$342,0))="","",INDEX(PARAMETRES!$H$43:$H$342,MATCH($L881&amp;"|"&amp;$M881&amp;"|"&amp;$N881&amp;"|"&amp;$O881&amp;"|"&amp;$P881&amp;"|"&amp;$Q881&amp;"|"&amp;$K881,PARAMETRES!$J$43:$J$342,0))),""))</f>
        <v/>
      </c>
      <c r="S881" s="35">
        <f>IF(OR($G881="",$X881&lt;&gt;"VALIDE"),"",IFERROR(LOOKUP(2,1/(($B$3:$B880=$B881)*($G$3:$G880=$G881)*($X$3:$X880="VALIDE")),$C$3:$C880),""))</f>
        <v/>
      </c>
      <c r="T881" s="36">
        <f>IF(OR($C881="",$S881=""),"",ROUND(($C881-$S881+IF($C881&lt;$S881,1,0))*1440,0))</f>
        <v/>
      </c>
      <c r="U881" s="22">
        <f>IF(OR($H881="",$T881="",$T881&lt;=0),"",$H881*60/$T881)</f>
        <v/>
      </c>
      <c r="V881" s="37">
        <f>IF(OR($U881="",$R881="",$R881=0),"",$U881/$R881)</f>
        <v/>
      </c>
      <c r="W881" s="20">
        <f>IF($G881="","",IF($X881="CONTEXTE INCOMPLET","CONTEXTE INCOMPLET",IF($X881="DOUBLON",StatutDoublon,IF($S881="",StatutInitial,IF($R881="",StatutStandardManquant,IF($V881="","DONNEES INSUFFISANTES",IF($V881&gt;=SeuilConforme,StatutConforme,IF($V881&gt;=SeuilSurveiller,StatutSurveiller,StatutSousStandard))))))))</f>
        <v/>
      </c>
      <c r="X881" s="33">
        <f>IF($G881="","",IF(OR($D881="",$E881="",$F881=""),"CONTEXTE INCOMPLET",IF(COUNTIFS($D$3:$D880,$D881,$E$3:$E880,$E881,$F$3:$F880,$F881,$G$3:$G880,$G881)&gt;0,"DOUBLON","VALIDE")))</f>
        <v/>
      </c>
    </row>
    <row r="882" ht="15" customHeight="1">
      <c r="A882" s="12">
        <f>IF(OR($B882="",$G882=""),"",TEXT($B882,"YYYYMMDD")&amp;"-"&amp;SUBSTITUTE($E882," ","")&amp;"-"&amp;$F882&amp;"-"&amp;$G882)</f>
        <v/>
      </c>
      <c r="B882" s="15" t="n"/>
      <c r="C882" s="16" t="n"/>
      <c r="D882" s="10" t="n"/>
      <c r="E882" s="9" t="n"/>
      <c r="F882" s="9" t="n"/>
      <c r="G882" s="13" t="n"/>
      <c r="H882" s="21" t="n"/>
      <c r="I882" s="21" t="n"/>
      <c r="J882" s="17">
        <f>IF($G882="","",IFERROR(INDEX(NomsEmployes,MATCH($G882,MatriculesEmployes,0)),"MATRICULE INCONNU"))</f>
        <v/>
      </c>
      <c r="K882" s="33">
        <f>IF(OR($D882="",$F882=""),"",IFERROR(IF(INDEX(RUNS!$L$6:$S$1005,MATCH($D882,RUNS!$A$6:$A$1005,0),MATCH("ACTIVITÉ "&amp;$F882,RUNS!$L$5:$S$5,0))="","",INDEX(RUNS!$L$6:$S$1005,MATCH($D882,RUNS!$A$6:$A$1005,0),MATCH("ACTIVITÉ "&amp;$F882,RUNS!$L$5:$S$5,0))),""))</f>
        <v/>
      </c>
      <c r="L882" s="33">
        <f>IF($D882="","",IFERROR(IF(INDEX(RUNS!$E$6:$E$1005,MATCH($D882,RUNS!$A$6:$A$1005,0))="","",INDEX(RUNS!$E$6:$E$1005,MATCH($D882,RUNS!$A$6:$A$1005,0))),""))</f>
        <v/>
      </c>
      <c r="M882" s="33">
        <f>IF($D882="","",IFERROR(IF(INDEX(RUNS!$F$6:$F$1005,MATCH($D882,RUNS!$A$6:$A$1005,0))="","",INDEX(RUNS!$F$6:$F$1005,MATCH($D882,RUNS!$A$6:$A$1005,0))),""))</f>
        <v/>
      </c>
      <c r="N882" s="33">
        <f>IF($D882="","",IFERROR(IF(INDEX(RUNS!$G$6:$G$1005,MATCH($D882,RUNS!$A$6:$A$1005,0))="","",INDEX(RUNS!$G$6:$G$1005,MATCH($D882,RUNS!$A$6:$A$1005,0))),""))</f>
        <v/>
      </c>
      <c r="O882" s="33">
        <f>IF($D882="","",IFERROR(IF(INDEX(RUNS!$H$6:$H$1005,MATCH($D882,RUNS!$A$6:$A$1005,0))="","",INDEX(RUNS!$H$6:$H$1005,MATCH($D882,RUNS!$A$6:$A$1005,0))),""))</f>
        <v/>
      </c>
      <c r="P882" s="33">
        <f>IF($D882="","",IFERROR(IF(INDEX(RUNS!$J$6:$J$1005,MATCH($D882,RUNS!$A$6:$A$1005,0))="","",INDEX(RUNS!$J$6:$J$1005,MATCH($D882,RUNS!$A$6:$A$1005,0))),""))</f>
        <v/>
      </c>
      <c r="Q882" s="33">
        <f>IF($D882="","",IFERROR(IF(INDEX(RUNS!$K$6:$K$1005,MATCH($D882,RUNS!$A$6:$A$1005,0))="","",INDEX(RUNS!$K$6:$K$1005,MATCH($D882,RUNS!$A$6:$A$1005,0))),""))</f>
        <v/>
      </c>
      <c r="R882" s="34">
        <f>IF(OR($L882="",$K882=""),"",IFERROR(IF(INDEX(PARAMETRES!$H$43:$H$342,MATCH($L882&amp;"|"&amp;$M882&amp;"|"&amp;$N882&amp;"|"&amp;$O882&amp;"|"&amp;$P882&amp;"|"&amp;$Q882&amp;"|"&amp;$K882,PARAMETRES!$J$43:$J$342,0))="","",INDEX(PARAMETRES!$H$43:$H$342,MATCH($L882&amp;"|"&amp;$M882&amp;"|"&amp;$N882&amp;"|"&amp;$O882&amp;"|"&amp;$P882&amp;"|"&amp;$Q882&amp;"|"&amp;$K882,PARAMETRES!$J$43:$J$342,0))),""))</f>
        <v/>
      </c>
      <c r="S882" s="35">
        <f>IF(OR($G882="",$X882&lt;&gt;"VALIDE"),"",IFERROR(LOOKUP(2,1/(($B$3:$B881=$B882)*($G$3:$G881=$G882)*($X$3:$X881="VALIDE")),$C$3:$C881),""))</f>
        <v/>
      </c>
      <c r="T882" s="36">
        <f>IF(OR($C882="",$S882=""),"",ROUND(($C882-$S882+IF($C882&lt;$S882,1,0))*1440,0))</f>
        <v/>
      </c>
      <c r="U882" s="22">
        <f>IF(OR($H882="",$T882="",$T882&lt;=0),"",$H882*60/$T882)</f>
        <v/>
      </c>
      <c r="V882" s="37">
        <f>IF(OR($U882="",$R882="",$R882=0),"",$U882/$R882)</f>
        <v/>
      </c>
      <c r="W882" s="20">
        <f>IF($G882="","",IF($X882="CONTEXTE INCOMPLET","CONTEXTE INCOMPLET",IF($X882="DOUBLON",StatutDoublon,IF($S882="",StatutInitial,IF($R882="",StatutStandardManquant,IF($V882="","DONNEES INSUFFISANTES",IF($V882&gt;=SeuilConforme,StatutConforme,IF($V882&gt;=SeuilSurveiller,StatutSurveiller,StatutSousStandard))))))))</f>
        <v/>
      </c>
      <c r="X882" s="33">
        <f>IF($G882="","",IF(OR($D882="",$E882="",$F882=""),"CONTEXTE INCOMPLET",IF(COUNTIFS($D$3:$D881,$D882,$E$3:$E881,$E882,$F$3:$F881,$F882,$G$3:$G881,$G882)&gt;0,"DOUBLON","VALIDE")))</f>
        <v/>
      </c>
    </row>
    <row r="883" ht="15" customHeight="1">
      <c r="A883" s="12">
        <f>IF(OR($B883="",$G883=""),"",TEXT($B883,"YYYYMMDD")&amp;"-"&amp;SUBSTITUTE($E883," ","")&amp;"-"&amp;$F883&amp;"-"&amp;$G883)</f>
        <v/>
      </c>
      <c r="B883" s="15" t="n"/>
      <c r="C883" s="16" t="n"/>
      <c r="D883" s="10" t="n"/>
      <c r="E883" s="9" t="n"/>
      <c r="F883" s="9" t="n"/>
      <c r="G883" s="13" t="n"/>
      <c r="H883" s="21" t="n"/>
      <c r="I883" s="21" t="n"/>
      <c r="J883" s="17">
        <f>IF($G883="","",IFERROR(INDEX(NomsEmployes,MATCH($G883,MatriculesEmployes,0)),"MATRICULE INCONNU"))</f>
        <v/>
      </c>
      <c r="K883" s="33">
        <f>IF(OR($D883="",$F883=""),"",IFERROR(IF(INDEX(RUNS!$L$6:$S$1005,MATCH($D883,RUNS!$A$6:$A$1005,0),MATCH("ACTIVITÉ "&amp;$F883,RUNS!$L$5:$S$5,0))="","",INDEX(RUNS!$L$6:$S$1005,MATCH($D883,RUNS!$A$6:$A$1005,0),MATCH("ACTIVITÉ "&amp;$F883,RUNS!$L$5:$S$5,0))),""))</f>
        <v/>
      </c>
      <c r="L883" s="33">
        <f>IF($D883="","",IFERROR(IF(INDEX(RUNS!$E$6:$E$1005,MATCH($D883,RUNS!$A$6:$A$1005,0))="","",INDEX(RUNS!$E$6:$E$1005,MATCH($D883,RUNS!$A$6:$A$1005,0))),""))</f>
        <v/>
      </c>
      <c r="M883" s="33">
        <f>IF($D883="","",IFERROR(IF(INDEX(RUNS!$F$6:$F$1005,MATCH($D883,RUNS!$A$6:$A$1005,0))="","",INDEX(RUNS!$F$6:$F$1005,MATCH($D883,RUNS!$A$6:$A$1005,0))),""))</f>
        <v/>
      </c>
      <c r="N883" s="33">
        <f>IF($D883="","",IFERROR(IF(INDEX(RUNS!$G$6:$G$1005,MATCH($D883,RUNS!$A$6:$A$1005,0))="","",INDEX(RUNS!$G$6:$G$1005,MATCH($D883,RUNS!$A$6:$A$1005,0))),""))</f>
        <v/>
      </c>
      <c r="O883" s="33">
        <f>IF($D883="","",IFERROR(IF(INDEX(RUNS!$H$6:$H$1005,MATCH($D883,RUNS!$A$6:$A$1005,0))="","",INDEX(RUNS!$H$6:$H$1005,MATCH($D883,RUNS!$A$6:$A$1005,0))),""))</f>
        <v/>
      </c>
      <c r="P883" s="33">
        <f>IF($D883="","",IFERROR(IF(INDEX(RUNS!$J$6:$J$1005,MATCH($D883,RUNS!$A$6:$A$1005,0))="","",INDEX(RUNS!$J$6:$J$1005,MATCH($D883,RUNS!$A$6:$A$1005,0))),""))</f>
        <v/>
      </c>
      <c r="Q883" s="33">
        <f>IF($D883="","",IFERROR(IF(INDEX(RUNS!$K$6:$K$1005,MATCH($D883,RUNS!$A$6:$A$1005,0))="","",INDEX(RUNS!$K$6:$K$1005,MATCH($D883,RUNS!$A$6:$A$1005,0))),""))</f>
        <v/>
      </c>
      <c r="R883" s="34">
        <f>IF(OR($L883="",$K883=""),"",IFERROR(IF(INDEX(PARAMETRES!$H$43:$H$342,MATCH($L883&amp;"|"&amp;$M883&amp;"|"&amp;$N883&amp;"|"&amp;$O883&amp;"|"&amp;$P883&amp;"|"&amp;$Q883&amp;"|"&amp;$K883,PARAMETRES!$J$43:$J$342,0))="","",INDEX(PARAMETRES!$H$43:$H$342,MATCH($L883&amp;"|"&amp;$M883&amp;"|"&amp;$N883&amp;"|"&amp;$O883&amp;"|"&amp;$P883&amp;"|"&amp;$Q883&amp;"|"&amp;$K883,PARAMETRES!$J$43:$J$342,0))),""))</f>
        <v/>
      </c>
      <c r="S883" s="35">
        <f>IF(OR($G883="",$X883&lt;&gt;"VALIDE"),"",IFERROR(LOOKUP(2,1/(($B$3:$B882=$B883)*($G$3:$G882=$G883)*($X$3:$X882="VALIDE")),$C$3:$C882),""))</f>
        <v/>
      </c>
      <c r="T883" s="36">
        <f>IF(OR($C883="",$S883=""),"",ROUND(($C883-$S883+IF($C883&lt;$S883,1,0))*1440,0))</f>
        <v/>
      </c>
      <c r="U883" s="22">
        <f>IF(OR($H883="",$T883="",$T883&lt;=0),"",$H883*60/$T883)</f>
        <v/>
      </c>
      <c r="V883" s="37">
        <f>IF(OR($U883="",$R883="",$R883=0),"",$U883/$R883)</f>
        <v/>
      </c>
      <c r="W883" s="20">
        <f>IF($G883="","",IF($X883="CONTEXTE INCOMPLET","CONTEXTE INCOMPLET",IF($X883="DOUBLON",StatutDoublon,IF($S883="",StatutInitial,IF($R883="",StatutStandardManquant,IF($V883="","DONNEES INSUFFISANTES",IF($V883&gt;=SeuilConforme,StatutConforme,IF($V883&gt;=SeuilSurveiller,StatutSurveiller,StatutSousStandard))))))))</f>
        <v/>
      </c>
      <c r="X883" s="33">
        <f>IF($G883="","",IF(OR($D883="",$E883="",$F883=""),"CONTEXTE INCOMPLET",IF(COUNTIFS($D$3:$D882,$D883,$E$3:$E882,$E883,$F$3:$F882,$F883,$G$3:$G882,$G883)&gt;0,"DOUBLON","VALIDE")))</f>
        <v/>
      </c>
    </row>
    <row r="884" ht="15" customHeight="1">
      <c r="A884" s="12">
        <f>IF(OR($B884="",$G884=""),"",TEXT($B884,"YYYYMMDD")&amp;"-"&amp;SUBSTITUTE($E884," ","")&amp;"-"&amp;$F884&amp;"-"&amp;$G884)</f>
        <v/>
      </c>
      <c r="B884" s="15" t="n"/>
      <c r="C884" s="16" t="n"/>
      <c r="D884" s="10" t="n"/>
      <c r="E884" s="9" t="n"/>
      <c r="F884" s="9" t="n"/>
      <c r="G884" s="13" t="n"/>
      <c r="H884" s="21" t="n"/>
      <c r="I884" s="21" t="n"/>
      <c r="J884" s="17">
        <f>IF($G884="","",IFERROR(INDEX(NomsEmployes,MATCH($G884,MatriculesEmployes,0)),"MATRICULE INCONNU"))</f>
        <v/>
      </c>
      <c r="K884" s="33">
        <f>IF(OR($D884="",$F884=""),"",IFERROR(IF(INDEX(RUNS!$L$6:$S$1005,MATCH($D884,RUNS!$A$6:$A$1005,0),MATCH("ACTIVITÉ "&amp;$F884,RUNS!$L$5:$S$5,0))="","",INDEX(RUNS!$L$6:$S$1005,MATCH($D884,RUNS!$A$6:$A$1005,0),MATCH("ACTIVITÉ "&amp;$F884,RUNS!$L$5:$S$5,0))),""))</f>
        <v/>
      </c>
      <c r="L884" s="33">
        <f>IF($D884="","",IFERROR(IF(INDEX(RUNS!$E$6:$E$1005,MATCH($D884,RUNS!$A$6:$A$1005,0))="","",INDEX(RUNS!$E$6:$E$1005,MATCH($D884,RUNS!$A$6:$A$1005,0))),""))</f>
        <v/>
      </c>
      <c r="M884" s="33">
        <f>IF($D884="","",IFERROR(IF(INDEX(RUNS!$F$6:$F$1005,MATCH($D884,RUNS!$A$6:$A$1005,0))="","",INDEX(RUNS!$F$6:$F$1005,MATCH($D884,RUNS!$A$6:$A$1005,0))),""))</f>
        <v/>
      </c>
      <c r="N884" s="33">
        <f>IF($D884="","",IFERROR(IF(INDEX(RUNS!$G$6:$G$1005,MATCH($D884,RUNS!$A$6:$A$1005,0))="","",INDEX(RUNS!$G$6:$G$1005,MATCH($D884,RUNS!$A$6:$A$1005,0))),""))</f>
        <v/>
      </c>
      <c r="O884" s="33">
        <f>IF($D884="","",IFERROR(IF(INDEX(RUNS!$H$6:$H$1005,MATCH($D884,RUNS!$A$6:$A$1005,0))="","",INDEX(RUNS!$H$6:$H$1005,MATCH($D884,RUNS!$A$6:$A$1005,0))),""))</f>
        <v/>
      </c>
      <c r="P884" s="33">
        <f>IF($D884="","",IFERROR(IF(INDEX(RUNS!$J$6:$J$1005,MATCH($D884,RUNS!$A$6:$A$1005,0))="","",INDEX(RUNS!$J$6:$J$1005,MATCH($D884,RUNS!$A$6:$A$1005,0))),""))</f>
        <v/>
      </c>
      <c r="Q884" s="33">
        <f>IF($D884="","",IFERROR(IF(INDEX(RUNS!$K$6:$K$1005,MATCH($D884,RUNS!$A$6:$A$1005,0))="","",INDEX(RUNS!$K$6:$K$1005,MATCH($D884,RUNS!$A$6:$A$1005,0))),""))</f>
        <v/>
      </c>
      <c r="R884" s="34">
        <f>IF(OR($L884="",$K884=""),"",IFERROR(IF(INDEX(PARAMETRES!$H$43:$H$342,MATCH($L884&amp;"|"&amp;$M884&amp;"|"&amp;$N884&amp;"|"&amp;$O884&amp;"|"&amp;$P884&amp;"|"&amp;$Q884&amp;"|"&amp;$K884,PARAMETRES!$J$43:$J$342,0))="","",INDEX(PARAMETRES!$H$43:$H$342,MATCH($L884&amp;"|"&amp;$M884&amp;"|"&amp;$N884&amp;"|"&amp;$O884&amp;"|"&amp;$P884&amp;"|"&amp;$Q884&amp;"|"&amp;$K884,PARAMETRES!$J$43:$J$342,0))),""))</f>
        <v/>
      </c>
      <c r="S884" s="35">
        <f>IF(OR($G884="",$X884&lt;&gt;"VALIDE"),"",IFERROR(LOOKUP(2,1/(($B$3:$B883=$B884)*($G$3:$G883=$G884)*($X$3:$X883="VALIDE")),$C$3:$C883),""))</f>
        <v/>
      </c>
      <c r="T884" s="36">
        <f>IF(OR($C884="",$S884=""),"",ROUND(($C884-$S884+IF($C884&lt;$S884,1,0))*1440,0))</f>
        <v/>
      </c>
      <c r="U884" s="22">
        <f>IF(OR($H884="",$T884="",$T884&lt;=0),"",$H884*60/$T884)</f>
        <v/>
      </c>
      <c r="V884" s="37">
        <f>IF(OR($U884="",$R884="",$R884=0),"",$U884/$R884)</f>
        <v/>
      </c>
      <c r="W884" s="20">
        <f>IF($G884="","",IF($X884="CONTEXTE INCOMPLET","CONTEXTE INCOMPLET",IF($X884="DOUBLON",StatutDoublon,IF($S884="",StatutInitial,IF($R884="",StatutStandardManquant,IF($V884="","DONNEES INSUFFISANTES",IF($V884&gt;=SeuilConforme,StatutConforme,IF($V884&gt;=SeuilSurveiller,StatutSurveiller,StatutSousStandard))))))))</f>
        <v/>
      </c>
      <c r="X884" s="33">
        <f>IF($G884="","",IF(OR($D884="",$E884="",$F884=""),"CONTEXTE INCOMPLET",IF(COUNTIFS($D$3:$D883,$D884,$E$3:$E883,$E884,$F$3:$F883,$F884,$G$3:$G883,$G884)&gt;0,"DOUBLON","VALIDE")))</f>
        <v/>
      </c>
    </row>
    <row r="885" ht="15" customHeight="1">
      <c r="A885" s="12">
        <f>IF(OR($B885="",$G885=""),"",TEXT($B885,"YYYYMMDD")&amp;"-"&amp;SUBSTITUTE($E885," ","")&amp;"-"&amp;$F885&amp;"-"&amp;$G885)</f>
        <v/>
      </c>
      <c r="B885" s="15" t="n"/>
      <c r="C885" s="16" t="n"/>
      <c r="D885" s="10" t="n"/>
      <c r="E885" s="9" t="n"/>
      <c r="F885" s="9" t="n"/>
      <c r="G885" s="13" t="n"/>
      <c r="H885" s="21" t="n"/>
      <c r="I885" s="21" t="n"/>
      <c r="J885" s="17">
        <f>IF($G885="","",IFERROR(INDEX(NomsEmployes,MATCH($G885,MatriculesEmployes,0)),"MATRICULE INCONNU"))</f>
        <v/>
      </c>
      <c r="K885" s="33">
        <f>IF(OR($D885="",$F885=""),"",IFERROR(IF(INDEX(RUNS!$L$6:$S$1005,MATCH($D885,RUNS!$A$6:$A$1005,0),MATCH("ACTIVITÉ "&amp;$F885,RUNS!$L$5:$S$5,0))="","",INDEX(RUNS!$L$6:$S$1005,MATCH($D885,RUNS!$A$6:$A$1005,0),MATCH("ACTIVITÉ "&amp;$F885,RUNS!$L$5:$S$5,0))),""))</f>
        <v/>
      </c>
      <c r="L885" s="33">
        <f>IF($D885="","",IFERROR(IF(INDEX(RUNS!$E$6:$E$1005,MATCH($D885,RUNS!$A$6:$A$1005,0))="","",INDEX(RUNS!$E$6:$E$1005,MATCH($D885,RUNS!$A$6:$A$1005,0))),""))</f>
        <v/>
      </c>
      <c r="M885" s="33">
        <f>IF($D885="","",IFERROR(IF(INDEX(RUNS!$F$6:$F$1005,MATCH($D885,RUNS!$A$6:$A$1005,0))="","",INDEX(RUNS!$F$6:$F$1005,MATCH($D885,RUNS!$A$6:$A$1005,0))),""))</f>
        <v/>
      </c>
      <c r="N885" s="33">
        <f>IF($D885="","",IFERROR(IF(INDEX(RUNS!$G$6:$G$1005,MATCH($D885,RUNS!$A$6:$A$1005,0))="","",INDEX(RUNS!$G$6:$G$1005,MATCH($D885,RUNS!$A$6:$A$1005,0))),""))</f>
        <v/>
      </c>
      <c r="O885" s="33">
        <f>IF($D885="","",IFERROR(IF(INDEX(RUNS!$H$6:$H$1005,MATCH($D885,RUNS!$A$6:$A$1005,0))="","",INDEX(RUNS!$H$6:$H$1005,MATCH($D885,RUNS!$A$6:$A$1005,0))),""))</f>
        <v/>
      </c>
      <c r="P885" s="33">
        <f>IF($D885="","",IFERROR(IF(INDEX(RUNS!$J$6:$J$1005,MATCH($D885,RUNS!$A$6:$A$1005,0))="","",INDEX(RUNS!$J$6:$J$1005,MATCH($D885,RUNS!$A$6:$A$1005,0))),""))</f>
        <v/>
      </c>
      <c r="Q885" s="33">
        <f>IF($D885="","",IFERROR(IF(INDEX(RUNS!$K$6:$K$1005,MATCH($D885,RUNS!$A$6:$A$1005,0))="","",INDEX(RUNS!$K$6:$K$1005,MATCH($D885,RUNS!$A$6:$A$1005,0))),""))</f>
        <v/>
      </c>
      <c r="R885" s="34">
        <f>IF(OR($L885="",$K885=""),"",IFERROR(IF(INDEX(PARAMETRES!$H$43:$H$342,MATCH($L885&amp;"|"&amp;$M885&amp;"|"&amp;$N885&amp;"|"&amp;$O885&amp;"|"&amp;$P885&amp;"|"&amp;$Q885&amp;"|"&amp;$K885,PARAMETRES!$J$43:$J$342,0))="","",INDEX(PARAMETRES!$H$43:$H$342,MATCH($L885&amp;"|"&amp;$M885&amp;"|"&amp;$N885&amp;"|"&amp;$O885&amp;"|"&amp;$P885&amp;"|"&amp;$Q885&amp;"|"&amp;$K885,PARAMETRES!$J$43:$J$342,0))),""))</f>
        <v/>
      </c>
      <c r="S885" s="35">
        <f>IF(OR($G885="",$X885&lt;&gt;"VALIDE"),"",IFERROR(LOOKUP(2,1/(($B$3:$B884=$B885)*($G$3:$G884=$G885)*($X$3:$X884="VALIDE")),$C$3:$C884),""))</f>
        <v/>
      </c>
      <c r="T885" s="36">
        <f>IF(OR($C885="",$S885=""),"",ROUND(($C885-$S885+IF($C885&lt;$S885,1,0))*1440,0))</f>
        <v/>
      </c>
      <c r="U885" s="22">
        <f>IF(OR($H885="",$T885="",$T885&lt;=0),"",$H885*60/$T885)</f>
        <v/>
      </c>
      <c r="V885" s="37">
        <f>IF(OR($U885="",$R885="",$R885=0),"",$U885/$R885)</f>
        <v/>
      </c>
      <c r="W885" s="20">
        <f>IF($G885="","",IF($X885="CONTEXTE INCOMPLET","CONTEXTE INCOMPLET",IF($X885="DOUBLON",StatutDoublon,IF($S885="",StatutInitial,IF($R885="",StatutStandardManquant,IF($V885="","DONNEES INSUFFISANTES",IF($V885&gt;=SeuilConforme,StatutConforme,IF($V885&gt;=SeuilSurveiller,StatutSurveiller,StatutSousStandard))))))))</f>
        <v/>
      </c>
      <c r="X885" s="33">
        <f>IF($G885="","",IF(OR($D885="",$E885="",$F885=""),"CONTEXTE INCOMPLET",IF(COUNTIFS($D$3:$D884,$D885,$E$3:$E884,$E885,$F$3:$F884,$F885,$G$3:$G884,$G885)&gt;0,"DOUBLON","VALIDE")))</f>
        <v/>
      </c>
    </row>
    <row r="886" ht="15" customHeight="1">
      <c r="A886" s="12">
        <f>IF(OR($B886="",$G886=""),"",TEXT($B886,"YYYYMMDD")&amp;"-"&amp;SUBSTITUTE($E886," ","")&amp;"-"&amp;$F886&amp;"-"&amp;$G886)</f>
        <v/>
      </c>
      <c r="B886" s="15" t="n"/>
      <c r="C886" s="16" t="n"/>
      <c r="D886" s="10" t="n"/>
      <c r="E886" s="9" t="n"/>
      <c r="F886" s="9" t="n"/>
      <c r="G886" s="13" t="n"/>
      <c r="H886" s="21" t="n"/>
      <c r="I886" s="21" t="n"/>
      <c r="J886" s="17">
        <f>IF($G886="","",IFERROR(INDEX(NomsEmployes,MATCH($G886,MatriculesEmployes,0)),"MATRICULE INCONNU"))</f>
        <v/>
      </c>
      <c r="K886" s="33">
        <f>IF(OR($D886="",$F886=""),"",IFERROR(IF(INDEX(RUNS!$L$6:$S$1005,MATCH($D886,RUNS!$A$6:$A$1005,0),MATCH("ACTIVITÉ "&amp;$F886,RUNS!$L$5:$S$5,0))="","",INDEX(RUNS!$L$6:$S$1005,MATCH($D886,RUNS!$A$6:$A$1005,0),MATCH("ACTIVITÉ "&amp;$F886,RUNS!$L$5:$S$5,0))),""))</f>
        <v/>
      </c>
      <c r="L886" s="33">
        <f>IF($D886="","",IFERROR(IF(INDEX(RUNS!$E$6:$E$1005,MATCH($D886,RUNS!$A$6:$A$1005,0))="","",INDEX(RUNS!$E$6:$E$1005,MATCH($D886,RUNS!$A$6:$A$1005,0))),""))</f>
        <v/>
      </c>
      <c r="M886" s="33">
        <f>IF($D886="","",IFERROR(IF(INDEX(RUNS!$F$6:$F$1005,MATCH($D886,RUNS!$A$6:$A$1005,0))="","",INDEX(RUNS!$F$6:$F$1005,MATCH($D886,RUNS!$A$6:$A$1005,0))),""))</f>
        <v/>
      </c>
      <c r="N886" s="33">
        <f>IF($D886="","",IFERROR(IF(INDEX(RUNS!$G$6:$G$1005,MATCH($D886,RUNS!$A$6:$A$1005,0))="","",INDEX(RUNS!$G$6:$G$1005,MATCH($D886,RUNS!$A$6:$A$1005,0))),""))</f>
        <v/>
      </c>
      <c r="O886" s="33">
        <f>IF($D886="","",IFERROR(IF(INDEX(RUNS!$H$6:$H$1005,MATCH($D886,RUNS!$A$6:$A$1005,0))="","",INDEX(RUNS!$H$6:$H$1005,MATCH($D886,RUNS!$A$6:$A$1005,0))),""))</f>
        <v/>
      </c>
      <c r="P886" s="33">
        <f>IF($D886="","",IFERROR(IF(INDEX(RUNS!$J$6:$J$1005,MATCH($D886,RUNS!$A$6:$A$1005,0))="","",INDEX(RUNS!$J$6:$J$1005,MATCH($D886,RUNS!$A$6:$A$1005,0))),""))</f>
        <v/>
      </c>
      <c r="Q886" s="33">
        <f>IF($D886="","",IFERROR(IF(INDEX(RUNS!$K$6:$K$1005,MATCH($D886,RUNS!$A$6:$A$1005,0))="","",INDEX(RUNS!$K$6:$K$1005,MATCH($D886,RUNS!$A$6:$A$1005,0))),""))</f>
        <v/>
      </c>
      <c r="R886" s="34">
        <f>IF(OR($L886="",$K886=""),"",IFERROR(IF(INDEX(PARAMETRES!$H$43:$H$342,MATCH($L886&amp;"|"&amp;$M886&amp;"|"&amp;$N886&amp;"|"&amp;$O886&amp;"|"&amp;$P886&amp;"|"&amp;$Q886&amp;"|"&amp;$K886,PARAMETRES!$J$43:$J$342,0))="","",INDEX(PARAMETRES!$H$43:$H$342,MATCH($L886&amp;"|"&amp;$M886&amp;"|"&amp;$N886&amp;"|"&amp;$O886&amp;"|"&amp;$P886&amp;"|"&amp;$Q886&amp;"|"&amp;$K886,PARAMETRES!$J$43:$J$342,0))),""))</f>
        <v/>
      </c>
      <c r="S886" s="35">
        <f>IF(OR($G886="",$X886&lt;&gt;"VALIDE"),"",IFERROR(LOOKUP(2,1/(($B$3:$B885=$B886)*($G$3:$G885=$G886)*($X$3:$X885="VALIDE")),$C$3:$C885),""))</f>
        <v/>
      </c>
      <c r="T886" s="36">
        <f>IF(OR($C886="",$S886=""),"",ROUND(($C886-$S886+IF($C886&lt;$S886,1,0))*1440,0))</f>
        <v/>
      </c>
      <c r="U886" s="22">
        <f>IF(OR($H886="",$T886="",$T886&lt;=0),"",$H886*60/$T886)</f>
        <v/>
      </c>
      <c r="V886" s="37">
        <f>IF(OR($U886="",$R886="",$R886=0),"",$U886/$R886)</f>
        <v/>
      </c>
      <c r="W886" s="20">
        <f>IF($G886="","",IF($X886="CONTEXTE INCOMPLET","CONTEXTE INCOMPLET",IF($X886="DOUBLON",StatutDoublon,IF($S886="",StatutInitial,IF($R886="",StatutStandardManquant,IF($V886="","DONNEES INSUFFISANTES",IF($V886&gt;=SeuilConforme,StatutConforme,IF($V886&gt;=SeuilSurveiller,StatutSurveiller,StatutSousStandard))))))))</f>
        <v/>
      </c>
      <c r="X886" s="33">
        <f>IF($G886="","",IF(OR($D886="",$E886="",$F886=""),"CONTEXTE INCOMPLET",IF(COUNTIFS($D$3:$D885,$D886,$E$3:$E885,$E886,$F$3:$F885,$F886,$G$3:$G885,$G886)&gt;0,"DOUBLON","VALIDE")))</f>
        <v/>
      </c>
    </row>
    <row r="887" ht="15" customHeight="1">
      <c r="A887" s="12">
        <f>IF(OR($B887="",$G887=""),"",TEXT($B887,"YYYYMMDD")&amp;"-"&amp;SUBSTITUTE($E887," ","")&amp;"-"&amp;$F887&amp;"-"&amp;$G887)</f>
        <v/>
      </c>
      <c r="B887" s="15" t="n"/>
      <c r="C887" s="16" t="n"/>
      <c r="D887" s="10" t="n"/>
      <c r="E887" s="9" t="n"/>
      <c r="F887" s="9" t="n"/>
      <c r="G887" s="13" t="n"/>
      <c r="H887" s="21" t="n"/>
      <c r="I887" s="21" t="n"/>
      <c r="J887" s="17">
        <f>IF($G887="","",IFERROR(INDEX(NomsEmployes,MATCH($G887,MatriculesEmployes,0)),"MATRICULE INCONNU"))</f>
        <v/>
      </c>
      <c r="K887" s="33">
        <f>IF(OR($D887="",$F887=""),"",IFERROR(IF(INDEX(RUNS!$L$6:$S$1005,MATCH($D887,RUNS!$A$6:$A$1005,0),MATCH("ACTIVITÉ "&amp;$F887,RUNS!$L$5:$S$5,0))="","",INDEX(RUNS!$L$6:$S$1005,MATCH($D887,RUNS!$A$6:$A$1005,0),MATCH("ACTIVITÉ "&amp;$F887,RUNS!$L$5:$S$5,0))),""))</f>
        <v/>
      </c>
      <c r="L887" s="33">
        <f>IF($D887="","",IFERROR(IF(INDEX(RUNS!$E$6:$E$1005,MATCH($D887,RUNS!$A$6:$A$1005,0))="","",INDEX(RUNS!$E$6:$E$1005,MATCH($D887,RUNS!$A$6:$A$1005,0))),""))</f>
        <v/>
      </c>
      <c r="M887" s="33">
        <f>IF($D887="","",IFERROR(IF(INDEX(RUNS!$F$6:$F$1005,MATCH($D887,RUNS!$A$6:$A$1005,0))="","",INDEX(RUNS!$F$6:$F$1005,MATCH($D887,RUNS!$A$6:$A$1005,0))),""))</f>
        <v/>
      </c>
      <c r="N887" s="33">
        <f>IF($D887="","",IFERROR(IF(INDEX(RUNS!$G$6:$G$1005,MATCH($D887,RUNS!$A$6:$A$1005,0))="","",INDEX(RUNS!$G$6:$G$1005,MATCH($D887,RUNS!$A$6:$A$1005,0))),""))</f>
        <v/>
      </c>
      <c r="O887" s="33">
        <f>IF($D887="","",IFERROR(IF(INDEX(RUNS!$H$6:$H$1005,MATCH($D887,RUNS!$A$6:$A$1005,0))="","",INDEX(RUNS!$H$6:$H$1005,MATCH($D887,RUNS!$A$6:$A$1005,0))),""))</f>
        <v/>
      </c>
      <c r="P887" s="33">
        <f>IF($D887="","",IFERROR(IF(INDEX(RUNS!$J$6:$J$1005,MATCH($D887,RUNS!$A$6:$A$1005,0))="","",INDEX(RUNS!$J$6:$J$1005,MATCH($D887,RUNS!$A$6:$A$1005,0))),""))</f>
        <v/>
      </c>
      <c r="Q887" s="33">
        <f>IF($D887="","",IFERROR(IF(INDEX(RUNS!$K$6:$K$1005,MATCH($D887,RUNS!$A$6:$A$1005,0))="","",INDEX(RUNS!$K$6:$K$1005,MATCH($D887,RUNS!$A$6:$A$1005,0))),""))</f>
        <v/>
      </c>
      <c r="R887" s="34">
        <f>IF(OR($L887="",$K887=""),"",IFERROR(IF(INDEX(PARAMETRES!$H$43:$H$342,MATCH($L887&amp;"|"&amp;$M887&amp;"|"&amp;$N887&amp;"|"&amp;$O887&amp;"|"&amp;$P887&amp;"|"&amp;$Q887&amp;"|"&amp;$K887,PARAMETRES!$J$43:$J$342,0))="","",INDEX(PARAMETRES!$H$43:$H$342,MATCH($L887&amp;"|"&amp;$M887&amp;"|"&amp;$N887&amp;"|"&amp;$O887&amp;"|"&amp;$P887&amp;"|"&amp;$Q887&amp;"|"&amp;$K887,PARAMETRES!$J$43:$J$342,0))),""))</f>
        <v/>
      </c>
      <c r="S887" s="35">
        <f>IF(OR($G887="",$X887&lt;&gt;"VALIDE"),"",IFERROR(LOOKUP(2,1/(($B$3:$B886=$B887)*($G$3:$G886=$G887)*($X$3:$X886="VALIDE")),$C$3:$C886),""))</f>
        <v/>
      </c>
      <c r="T887" s="36">
        <f>IF(OR($C887="",$S887=""),"",ROUND(($C887-$S887+IF($C887&lt;$S887,1,0))*1440,0))</f>
        <v/>
      </c>
      <c r="U887" s="22">
        <f>IF(OR($H887="",$T887="",$T887&lt;=0),"",$H887*60/$T887)</f>
        <v/>
      </c>
      <c r="V887" s="37">
        <f>IF(OR($U887="",$R887="",$R887=0),"",$U887/$R887)</f>
        <v/>
      </c>
      <c r="W887" s="20">
        <f>IF($G887="","",IF($X887="CONTEXTE INCOMPLET","CONTEXTE INCOMPLET",IF($X887="DOUBLON",StatutDoublon,IF($S887="",StatutInitial,IF($R887="",StatutStandardManquant,IF($V887="","DONNEES INSUFFISANTES",IF($V887&gt;=SeuilConforme,StatutConforme,IF($V887&gt;=SeuilSurveiller,StatutSurveiller,StatutSousStandard))))))))</f>
        <v/>
      </c>
      <c r="X887" s="33">
        <f>IF($G887="","",IF(OR($D887="",$E887="",$F887=""),"CONTEXTE INCOMPLET",IF(COUNTIFS($D$3:$D886,$D887,$E$3:$E886,$E887,$F$3:$F886,$F887,$G$3:$G886,$G887)&gt;0,"DOUBLON","VALIDE")))</f>
        <v/>
      </c>
    </row>
    <row r="888" ht="15" customHeight="1">
      <c r="A888" s="12">
        <f>IF(OR($B888="",$G888=""),"",TEXT($B888,"YYYYMMDD")&amp;"-"&amp;SUBSTITUTE($E888," ","")&amp;"-"&amp;$F888&amp;"-"&amp;$G888)</f>
        <v/>
      </c>
      <c r="B888" s="15" t="n"/>
      <c r="C888" s="16" t="n"/>
      <c r="D888" s="10" t="n"/>
      <c r="E888" s="9" t="n"/>
      <c r="F888" s="9" t="n"/>
      <c r="G888" s="13" t="n"/>
      <c r="H888" s="21" t="n"/>
      <c r="I888" s="21" t="n"/>
      <c r="J888" s="17">
        <f>IF($G888="","",IFERROR(INDEX(NomsEmployes,MATCH($G888,MatriculesEmployes,0)),"MATRICULE INCONNU"))</f>
        <v/>
      </c>
      <c r="K888" s="33">
        <f>IF(OR($D888="",$F888=""),"",IFERROR(IF(INDEX(RUNS!$L$6:$S$1005,MATCH($D888,RUNS!$A$6:$A$1005,0),MATCH("ACTIVITÉ "&amp;$F888,RUNS!$L$5:$S$5,0))="","",INDEX(RUNS!$L$6:$S$1005,MATCH($D888,RUNS!$A$6:$A$1005,0),MATCH("ACTIVITÉ "&amp;$F888,RUNS!$L$5:$S$5,0))),""))</f>
        <v/>
      </c>
      <c r="L888" s="33">
        <f>IF($D888="","",IFERROR(IF(INDEX(RUNS!$E$6:$E$1005,MATCH($D888,RUNS!$A$6:$A$1005,0))="","",INDEX(RUNS!$E$6:$E$1005,MATCH($D888,RUNS!$A$6:$A$1005,0))),""))</f>
        <v/>
      </c>
      <c r="M888" s="33">
        <f>IF($D888="","",IFERROR(IF(INDEX(RUNS!$F$6:$F$1005,MATCH($D888,RUNS!$A$6:$A$1005,0))="","",INDEX(RUNS!$F$6:$F$1005,MATCH($D888,RUNS!$A$6:$A$1005,0))),""))</f>
        <v/>
      </c>
      <c r="N888" s="33">
        <f>IF($D888="","",IFERROR(IF(INDEX(RUNS!$G$6:$G$1005,MATCH($D888,RUNS!$A$6:$A$1005,0))="","",INDEX(RUNS!$G$6:$G$1005,MATCH($D888,RUNS!$A$6:$A$1005,0))),""))</f>
        <v/>
      </c>
      <c r="O888" s="33">
        <f>IF($D888="","",IFERROR(IF(INDEX(RUNS!$H$6:$H$1005,MATCH($D888,RUNS!$A$6:$A$1005,0))="","",INDEX(RUNS!$H$6:$H$1005,MATCH($D888,RUNS!$A$6:$A$1005,0))),""))</f>
        <v/>
      </c>
      <c r="P888" s="33">
        <f>IF($D888="","",IFERROR(IF(INDEX(RUNS!$J$6:$J$1005,MATCH($D888,RUNS!$A$6:$A$1005,0))="","",INDEX(RUNS!$J$6:$J$1005,MATCH($D888,RUNS!$A$6:$A$1005,0))),""))</f>
        <v/>
      </c>
      <c r="Q888" s="33">
        <f>IF($D888="","",IFERROR(IF(INDEX(RUNS!$K$6:$K$1005,MATCH($D888,RUNS!$A$6:$A$1005,0))="","",INDEX(RUNS!$K$6:$K$1005,MATCH($D888,RUNS!$A$6:$A$1005,0))),""))</f>
        <v/>
      </c>
      <c r="R888" s="34">
        <f>IF(OR($L888="",$K888=""),"",IFERROR(IF(INDEX(PARAMETRES!$H$43:$H$342,MATCH($L888&amp;"|"&amp;$M888&amp;"|"&amp;$N888&amp;"|"&amp;$O888&amp;"|"&amp;$P888&amp;"|"&amp;$Q888&amp;"|"&amp;$K888,PARAMETRES!$J$43:$J$342,0))="","",INDEX(PARAMETRES!$H$43:$H$342,MATCH($L888&amp;"|"&amp;$M888&amp;"|"&amp;$N888&amp;"|"&amp;$O888&amp;"|"&amp;$P888&amp;"|"&amp;$Q888&amp;"|"&amp;$K888,PARAMETRES!$J$43:$J$342,0))),""))</f>
        <v/>
      </c>
      <c r="S888" s="35">
        <f>IF(OR($G888="",$X888&lt;&gt;"VALIDE"),"",IFERROR(LOOKUP(2,1/(($B$3:$B887=$B888)*($G$3:$G887=$G888)*($X$3:$X887="VALIDE")),$C$3:$C887),""))</f>
        <v/>
      </c>
      <c r="T888" s="36">
        <f>IF(OR($C888="",$S888=""),"",ROUND(($C888-$S888+IF($C888&lt;$S888,1,0))*1440,0))</f>
        <v/>
      </c>
      <c r="U888" s="22">
        <f>IF(OR($H888="",$T888="",$T888&lt;=0),"",$H888*60/$T888)</f>
        <v/>
      </c>
      <c r="V888" s="37">
        <f>IF(OR($U888="",$R888="",$R888=0),"",$U888/$R888)</f>
        <v/>
      </c>
      <c r="W888" s="20">
        <f>IF($G888="","",IF($X888="CONTEXTE INCOMPLET","CONTEXTE INCOMPLET",IF($X888="DOUBLON",StatutDoublon,IF($S888="",StatutInitial,IF($R888="",StatutStandardManquant,IF($V888="","DONNEES INSUFFISANTES",IF($V888&gt;=SeuilConforme,StatutConforme,IF($V888&gt;=SeuilSurveiller,StatutSurveiller,StatutSousStandard))))))))</f>
        <v/>
      </c>
      <c r="X888" s="33">
        <f>IF($G888="","",IF(OR($D888="",$E888="",$F888=""),"CONTEXTE INCOMPLET",IF(COUNTIFS($D$3:$D887,$D888,$E$3:$E887,$E888,$F$3:$F887,$F888,$G$3:$G887,$G888)&gt;0,"DOUBLON","VALIDE")))</f>
        <v/>
      </c>
    </row>
    <row r="889" ht="15" customHeight="1">
      <c r="A889" s="12">
        <f>IF(OR($B889="",$G889=""),"",TEXT($B889,"YYYYMMDD")&amp;"-"&amp;SUBSTITUTE($E889," ","")&amp;"-"&amp;$F889&amp;"-"&amp;$G889)</f>
        <v/>
      </c>
      <c r="B889" s="15" t="n"/>
      <c r="C889" s="16" t="n"/>
      <c r="D889" s="10" t="n"/>
      <c r="E889" s="9" t="n"/>
      <c r="F889" s="9" t="n"/>
      <c r="G889" s="13" t="n"/>
      <c r="H889" s="21" t="n"/>
      <c r="I889" s="21" t="n"/>
      <c r="J889" s="17">
        <f>IF($G889="","",IFERROR(INDEX(NomsEmployes,MATCH($G889,MatriculesEmployes,0)),"MATRICULE INCONNU"))</f>
        <v/>
      </c>
      <c r="K889" s="33">
        <f>IF(OR($D889="",$F889=""),"",IFERROR(IF(INDEX(RUNS!$L$6:$S$1005,MATCH($D889,RUNS!$A$6:$A$1005,0),MATCH("ACTIVITÉ "&amp;$F889,RUNS!$L$5:$S$5,0))="","",INDEX(RUNS!$L$6:$S$1005,MATCH($D889,RUNS!$A$6:$A$1005,0),MATCH("ACTIVITÉ "&amp;$F889,RUNS!$L$5:$S$5,0))),""))</f>
        <v/>
      </c>
      <c r="L889" s="33">
        <f>IF($D889="","",IFERROR(IF(INDEX(RUNS!$E$6:$E$1005,MATCH($D889,RUNS!$A$6:$A$1005,0))="","",INDEX(RUNS!$E$6:$E$1005,MATCH($D889,RUNS!$A$6:$A$1005,0))),""))</f>
        <v/>
      </c>
      <c r="M889" s="33">
        <f>IF($D889="","",IFERROR(IF(INDEX(RUNS!$F$6:$F$1005,MATCH($D889,RUNS!$A$6:$A$1005,0))="","",INDEX(RUNS!$F$6:$F$1005,MATCH($D889,RUNS!$A$6:$A$1005,0))),""))</f>
        <v/>
      </c>
      <c r="N889" s="33">
        <f>IF($D889="","",IFERROR(IF(INDEX(RUNS!$G$6:$G$1005,MATCH($D889,RUNS!$A$6:$A$1005,0))="","",INDEX(RUNS!$G$6:$G$1005,MATCH($D889,RUNS!$A$6:$A$1005,0))),""))</f>
        <v/>
      </c>
      <c r="O889" s="33">
        <f>IF($D889="","",IFERROR(IF(INDEX(RUNS!$H$6:$H$1005,MATCH($D889,RUNS!$A$6:$A$1005,0))="","",INDEX(RUNS!$H$6:$H$1005,MATCH($D889,RUNS!$A$6:$A$1005,0))),""))</f>
        <v/>
      </c>
      <c r="P889" s="33">
        <f>IF($D889="","",IFERROR(IF(INDEX(RUNS!$J$6:$J$1005,MATCH($D889,RUNS!$A$6:$A$1005,0))="","",INDEX(RUNS!$J$6:$J$1005,MATCH($D889,RUNS!$A$6:$A$1005,0))),""))</f>
        <v/>
      </c>
      <c r="Q889" s="33">
        <f>IF($D889="","",IFERROR(IF(INDEX(RUNS!$K$6:$K$1005,MATCH($D889,RUNS!$A$6:$A$1005,0))="","",INDEX(RUNS!$K$6:$K$1005,MATCH($D889,RUNS!$A$6:$A$1005,0))),""))</f>
        <v/>
      </c>
      <c r="R889" s="34">
        <f>IF(OR($L889="",$K889=""),"",IFERROR(IF(INDEX(PARAMETRES!$H$43:$H$342,MATCH($L889&amp;"|"&amp;$M889&amp;"|"&amp;$N889&amp;"|"&amp;$O889&amp;"|"&amp;$P889&amp;"|"&amp;$Q889&amp;"|"&amp;$K889,PARAMETRES!$J$43:$J$342,0))="","",INDEX(PARAMETRES!$H$43:$H$342,MATCH($L889&amp;"|"&amp;$M889&amp;"|"&amp;$N889&amp;"|"&amp;$O889&amp;"|"&amp;$P889&amp;"|"&amp;$Q889&amp;"|"&amp;$K889,PARAMETRES!$J$43:$J$342,0))),""))</f>
        <v/>
      </c>
      <c r="S889" s="35">
        <f>IF(OR($G889="",$X889&lt;&gt;"VALIDE"),"",IFERROR(LOOKUP(2,1/(($B$3:$B888=$B889)*($G$3:$G888=$G889)*($X$3:$X888="VALIDE")),$C$3:$C888),""))</f>
        <v/>
      </c>
      <c r="T889" s="36">
        <f>IF(OR($C889="",$S889=""),"",ROUND(($C889-$S889+IF($C889&lt;$S889,1,0))*1440,0))</f>
        <v/>
      </c>
      <c r="U889" s="22">
        <f>IF(OR($H889="",$T889="",$T889&lt;=0),"",$H889*60/$T889)</f>
        <v/>
      </c>
      <c r="V889" s="37">
        <f>IF(OR($U889="",$R889="",$R889=0),"",$U889/$R889)</f>
        <v/>
      </c>
      <c r="W889" s="20">
        <f>IF($G889="","",IF($X889="CONTEXTE INCOMPLET","CONTEXTE INCOMPLET",IF($X889="DOUBLON",StatutDoublon,IF($S889="",StatutInitial,IF($R889="",StatutStandardManquant,IF($V889="","DONNEES INSUFFISANTES",IF($V889&gt;=SeuilConforme,StatutConforme,IF($V889&gt;=SeuilSurveiller,StatutSurveiller,StatutSousStandard))))))))</f>
        <v/>
      </c>
      <c r="X889" s="33">
        <f>IF($G889="","",IF(OR($D889="",$E889="",$F889=""),"CONTEXTE INCOMPLET",IF(COUNTIFS($D$3:$D888,$D889,$E$3:$E888,$E889,$F$3:$F888,$F889,$G$3:$G888,$G889)&gt;0,"DOUBLON","VALIDE")))</f>
        <v/>
      </c>
    </row>
    <row r="890" ht="15" customHeight="1">
      <c r="A890" s="12">
        <f>IF(OR($B890="",$G890=""),"",TEXT($B890,"YYYYMMDD")&amp;"-"&amp;SUBSTITUTE($E890," ","")&amp;"-"&amp;$F890&amp;"-"&amp;$G890)</f>
        <v/>
      </c>
      <c r="B890" s="15" t="n"/>
      <c r="C890" s="16" t="n"/>
      <c r="D890" s="10" t="n"/>
      <c r="E890" s="9" t="n"/>
      <c r="F890" s="9" t="n"/>
      <c r="G890" s="13" t="n"/>
      <c r="H890" s="21" t="n"/>
      <c r="I890" s="21" t="n"/>
      <c r="J890" s="17">
        <f>IF($G890="","",IFERROR(INDEX(NomsEmployes,MATCH($G890,MatriculesEmployes,0)),"MATRICULE INCONNU"))</f>
        <v/>
      </c>
      <c r="K890" s="33">
        <f>IF(OR($D890="",$F890=""),"",IFERROR(IF(INDEX(RUNS!$L$6:$S$1005,MATCH($D890,RUNS!$A$6:$A$1005,0),MATCH("ACTIVITÉ "&amp;$F890,RUNS!$L$5:$S$5,0))="","",INDEX(RUNS!$L$6:$S$1005,MATCH($D890,RUNS!$A$6:$A$1005,0),MATCH("ACTIVITÉ "&amp;$F890,RUNS!$L$5:$S$5,0))),""))</f>
        <v/>
      </c>
      <c r="L890" s="33">
        <f>IF($D890="","",IFERROR(IF(INDEX(RUNS!$E$6:$E$1005,MATCH($D890,RUNS!$A$6:$A$1005,0))="","",INDEX(RUNS!$E$6:$E$1005,MATCH($D890,RUNS!$A$6:$A$1005,0))),""))</f>
        <v/>
      </c>
      <c r="M890" s="33">
        <f>IF($D890="","",IFERROR(IF(INDEX(RUNS!$F$6:$F$1005,MATCH($D890,RUNS!$A$6:$A$1005,0))="","",INDEX(RUNS!$F$6:$F$1005,MATCH($D890,RUNS!$A$6:$A$1005,0))),""))</f>
        <v/>
      </c>
      <c r="N890" s="33">
        <f>IF($D890="","",IFERROR(IF(INDEX(RUNS!$G$6:$G$1005,MATCH($D890,RUNS!$A$6:$A$1005,0))="","",INDEX(RUNS!$G$6:$G$1005,MATCH($D890,RUNS!$A$6:$A$1005,0))),""))</f>
        <v/>
      </c>
      <c r="O890" s="33">
        <f>IF($D890="","",IFERROR(IF(INDEX(RUNS!$H$6:$H$1005,MATCH($D890,RUNS!$A$6:$A$1005,0))="","",INDEX(RUNS!$H$6:$H$1005,MATCH($D890,RUNS!$A$6:$A$1005,0))),""))</f>
        <v/>
      </c>
      <c r="P890" s="33">
        <f>IF($D890="","",IFERROR(IF(INDEX(RUNS!$J$6:$J$1005,MATCH($D890,RUNS!$A$6:$A$1005,0))="","",INDEX(RUNS!$J$6:$J$1005,MATCH($D890,RUNS!$A$6:$A$1005,0))),""))</f>
        <v/>
      </c>
      <c r="Q890" s="33">
        <f>IF($D890="","",IFERROR(IF(INDEX(RUNS!$K$6:$K$1005,MATCH($D890,RUNS!$A$6:$A$1005,0))="","",INDEX(RUNS!$K$6:$K$1005,MATCH($D890,RUNS!$A$6:$A$1005,0))),""))</f>
        <v/>
      </c>
      <c r="R890" s="34">
        <f>IF(OR($L890="",$K890=""),"",IFERROR(IF(INDEX(PARAMETRES!$H$43:$H$342,MATCH($L890&amp;"|"&amp;$M890&amp;"|"&amp;$N890&amp;"|"&amp;$O890&amp;"|"&amp;$P890&amp;"|"&amp;$Q890&amp;"|"&amp;$K890,PARAMETRES!$J$43:$J$342,0))="","",INDEX(PARAMETRES!$H$43:$H$342,MATCH($L890&amp;"|"&amp;$M890&amp;"|"&amp;$N890&amp;"|"&amp;$O890&amp;"|"&amp;$P890&amp;"|"&amp;$Q890&amp;"|"&amp;$K890,PARAMETRES!$J$43:$J$342,0))),""))</f>
        <v/>
      </c>
      <c r="S890" s="35">
        <f>IF(OR($G890="",$X890&lt;&gt;"VALIDE"),"",IFERROR(LOOKUP(2,1/(($B$3:$B889=$B890)*($G$3:$G889=$G890)*($X$3:$X889="VALIDE")),$C$3:$C889),""))</f>
        <v/>
      </c>
      <c r="T890" s="36">
        <f>IF(OR($C890="",$S890=""),"",ROUND(($C890-$S890+IF($C890&lt;$S890,1,0))*1440,0))</f>
        <v/>
      </c>
      <c r="U890" s="22">
        <f>IF(OR($H890="",$T890="",$T890&lt;=0),"",$H890*60/$T890)</f>
        <v/>
      </c>
      <c r="V890" s="37">
        <f>IF(OR($U890="",$R890="",$R890=0),"",$U890/$R890)</f>
        <v/>
      </c>
      <c r="W890" s="20">
        <f>IF($G890="","",IF($X890="CONTEXTE INCOMPLET","CONTEXTE INCOMPLET",IF($X890="DOUBLON",StatutDoublon,IF($S890="",StatutInitial,IF($R890="",StatutStandardManquant,IF($V890="","DONNEES INSUFFISANTES",IF($V890&gt;=SeuilConforme,StatutConforme,IF($V890&gt;=SeuilSurveiller,StatutSurveiller,StatutSousStandard))))))))</f>
        <v/>
      </c>
      <c r="X890" s="33">
        <f>IF($G890="","",IF(OR($D890="",$E890="",$F890=""),"CONTEXTE INCOMPLET",IF(COUNTIFS($D$3:$D889,$D890,$E$3:$E889,$E890,$F$3:$F889,$F890,$G$3:$G889,$G890)&gt;0,"DOUBLON","VALIDE")))</f>
        <v/>
      </c>
    </row>
    <row r="891" ht="15" customHeight="1">
      <c r="A891" s="12">
        <f>IF(OR($B891="",$G891=""),"",TEXT($B891,"YYYYMMDD")&amp;"-"&amp;SUBSTITUTE($E891," ","")&amp;"-"&amp;$F891&amp;"-"&amp;$G891)</f>
        <v/>
      </c>
      <c r="B891" s="15" t="n"/>
      <c r="C891" s="16" t="n"/>
      <c r="D891" s="10" t="n"/>
      <c r="E891" s="9" t="n"/>
      <c r="F891" s="9" t="n"/>
      <c r="G891" s="13" t="n"/>
      <c r="H891" s="21" t="n"/>
      <c r="I891" s="21" t="n"/>
      <c r="J891" s="17">
        <f>IF($G891="","",IFERROR(INDEX(NomsEmployes,MATCH($G891,MatriculesEmployes,0)),"MATRICULE INCONNU"))</f>
        <v/>
      </c>
      <c r="K891" s="33">
        <f>IF(OR($D891="",$F891=""),"",IFERROR(IF(INDEX(RUNS!$L$6:$S$1005,MATCH($D891,RUNS!$A$6:$A$1005,0),MATCH("ACTIVITÉ "&amp;$F891,RUNS!$L$5:$S$5,0))="","",INDEX(RUNS!$L$6:$S$1005,MATCH($D891,RUNS!$A$6:$A$1005,0),MATCH("ACTIVITÉ "&amp;$F891,RUNS!$L$5:$S$5,0))),""))</f>
        <v/>
      </c>
      <c r="L891" s="33">
        <f>IF($D891="","",IFERROR(IF(INDEX(RUNS!$E$6:$E$1005,MATCH($D891,RUNS!$A$6:$A$1005,0))="","",INDEX(RUNS!$E$6:$E$1005,MATCH($D891,RUNS!$A$6:$A$1005,0))),""))</f>
        <v/>
      </c>
      <c r="M891" s="33">
        <f>IF($D891="","",IFERROR(IF(INDEX(RUNS!$F$6:$F$1005,MATCH($D891,RUNS!$A$6:$A$1005,0))="","",INDEX(RUNS!$F$6:$F$1005,MATCH($D891,RUNS!$A$6:$A$1005,0))),""))</f>
        <v/>
      </c>
      <c r="N891" s="33">
        <f>IF($D891="","",IFERROR(IF(INDEX(RUNS!$G$6:$G$1005,MATCH($D891,RUNS!$A$6:$A$1005,0))="","",INDEX(RUNS!$G$6:$G$1005,MATCH($D891,RUNS!$A$6:$A$1005,0))),""))</f>
        <v/>
      </c>
      <c r="O891" s="33">
        <f>IF($D891="","",IFERROR(IF(INDEX(RUNS!$H$6:$H$1005,MATCH($D891,RUNS!$A$6:$A$1005,0))="","",INDEX(RUNS!$H$6:$H$1005,MATCH($D891,RUNS!$A$6:$A$1005,0))),""))</f>
        <v/>
      </c>
      <c r="P891" s="33">
        <f>IF($D891="","",IFERROR(IF(INDEX(RUNS!$J$6:$J$1005,MATCH($D891,RUNS!$A$6:$A$1005,0))="","",INDEX(RUNS!$J$6:$J$1005,MATCH($D891,RUNS!$A$6:$A$1005,0))),""))</f>
        <v/>
      </c>
      <c r="Q891" s="33">
        <f>IF($D891="","",IFERROR(IF(INDEX(RUNS!$K$6:$K$1005,MATCH($D891,RUNS!$A$6:$A$1005,0))="","",INDEX(RUNS!$K$6:$K$1005,MATCH($D891,RUNS!$A$6:$A$1005,0))),""))</f>
        <v/>
      </c>
      <c r="R891" s="34">
        <f>IF(OR($L891="",$K891=""),"",IFERROR(IF(INDEX(PARAMETRES!$H$43:$H$342,MATCH($L891&amp;"|"&amp;$M891&amp;"|"&amp;$N891&amp;"|"&amp;$O891&amp;"|"&amp;$P891&amp;"|"&amp;$Q891&amp;"|"&amp;$K891,PARAMETRES!$J$43:$J$342,0))="","",INDEX(PARAMETRES!$H$43:$H$342,MATCH($L891&amp;"|"&amp;$M891&amp;"|"&amp;$N891&amp;"|"&amp;$O891&amp;"|"&amp;$P891&amp;"|"&amp;$Q891&amp;"|"&amp;$K891,PARAMETRES!$J$43:$J$342,0))),""))</f>
        <v/>
      </c>
      <c r="S891" s="35">
        <f>IF(OR($G891="",$X891&lt;&gt;"VALIDE"),"",IFERROR(LOOKUP(2,1/(($B$3:$B890=$B891)*($G$3:$G890=$G891)*($X$3:$X890="VALIDE")),$C$3:$C890),""))</f>
        <v/>
      </c>
      <c r="T891" s="36">
        <f>IF(OR($C891="",$S891=""),"",ROUND(($C891-$S891+IF($C891&lt;$S891,1,0))*1440,0))</f>
        <v/>
      </c>
      <c r="U891" s="22">
        <f>IF(OR($H891="",$T891="",$T891&lt;=0),"",$H891*60/$T891)</f>
        <v/>
      </c>
      <c r="V891" s="37">
        <f>IF(OR($U891="",$R891="",$R891=0),"",$U891/$R891)</f>
        <v/>
      </c>
      <c r="W891" s="20">
        <f>IF($G891="","",IF($X891="CONTEXTE INCOMPLET","CONTEXTE INCOMPLET",IF($X891="DOUBLON",StatutDoublon,IF($S891="",StatutInitial,IF($R891="",StatutStandardManquant,IF($V891="","DONNEES INSUFFISANTES",IF($V891&gt;=SeuilConforme,StatutConforme,IF($V891&gt;=SeuilSurveiller,StatutSurveiller,StatutSousStandard))))))))</f>
        <v/>
      </c>
      <c r="X891" s="33">
        <f>IF($G891="","",IF(OR($D891="",$E891="",$F891=""),"CONTEXTE INCOMPLET",IF(COUNTIFS($D$3:$D890,$D891,$E$3:$E890,$E891,$F$3:$F890,$F891,$G$3:$G890,$G891)&gt;0,"DOUBLON","VALIDE")))</f>
        <v/>
      </c>
    </row>
    <row r="892" ht="15" customHeight="1">
      <c r="A892" s="12">
        <f>IF(OR($B892="",$G892=""),"",TEXT($B892,"YYYYMMDD")&amp;"-"&amp;SUBSTITUTE($E892," ","")&amp;"-"&amp;$F892&amp;"-"&amp;$G892)</f>
        <v/>
      </c>
      <c r="B892" s="15" t="n"/>
      <c r="C892" s="16" t="n"/>
      <c r="D892" s="10" t="n"/>
      <c r="E892" s="9" t="n"/>
      <c r="F892" s="9" t="n"/>
      <c r="G892" s="13" t="n"/>
      <c r="H892" s="21" t="n"/>
      <c r="I892" s="21" t="n"/>
      <c r="J892" s="17">
        <f>IF($G892="","",IFERROR(INDEX(NomsEmployes,MATCH($G892,MatriculesEmployes,0)),"MATRICULE INCONNU"))</f>
        <v/>
      </c>
      <c r="K892" s="33">
        <f>IF(OR($D892="",$F892=""),"",IFERROR(IF(INDEX(RUNS!$L$6:$S$1005,MATCH($D892,RUNS!$A$6:$A$1005,0),MATCH("ACTIVITÉ "&amp;$F892,RUNS!$L$5:$S$5,0))="","",INDEX(RUNS!$L$6:$S$1005,MATCH($D892,RUNS!$A$6:$A$1005,0),MATCH("ACTIVITÉ "&amp;$F892,RUNS!$L$5:$S$5,0))),""))</f>
        <v/>
      </c>
      <c r="L892" s="33">
        <f>IF($D892="","",IFERROR(IF(INDEX(RUNS!$E$6:$E$1005,MATCH($D892,RUNS!$A$6:$A$1005,0))="","",INDEX(RUNS!$E$6:$E$1005,MATCH($D892,RUNS!$A$6:$A$1005,0))),""))</f>
        <v/>
      </c>
      <c r="M892" s="33">
        <f>IF($D892="","",IFERROR(IF(INDEX(RUNS!$F$6:$F$1005,MATCH($D892,RUNS!$A$6:$A$1005,0))="","",INDEX(RUNS!$F$6:$F$1005,MATCH($D892,RUNS!$A$6:$A$1005,0))),""))</f>
        <v/>
      </c>
      <c r="N892" s="33">
        <f>IF($D892="","",IFERROR(IF(INDEX(RUNS!$G$6:$G$1005,MATCH($D892,RUNS!$A$6:$A$1005,0))="","",INDEX(RUNS!$G$6:$G$1005,MATCH($D892,RUNS!$A$6:$A$1005,0))),""))</f>
        <v/>
      </c>
      <c r="O892" s="33">
        <f>IF($D892="","",IFERROR(IF(INDEX(RUNS!$H$6:$H$1005,MATCH($D892,RUNS!$A$6:$A$1005,0))="","",INDEX(RUNS!$H$6:$H$1005,MATCH($D892,RUNS!$A$6:$A$1005,0))),""))</f>
        <v/>
      </c>
      <c r="P892" s="33">
        <f>IF($D892="","",IFERROR(IF(INDEX(RUNS!$J$6:$J$1005,MATCH($D892,RUNS!$A$6:$A$1005,0))="","",INDEX(RUNS!$J$6:$J$1005,MATCH($D892,RUNS!$A$6:$A$1005,0))),""))</f>
        <v/>
      </c>
      <c r="Q892" s="33">
        <f>IF($D892="","",IFERROR(IF(INDEX(RUNS!$K$6:$K$1005,MATCH($D892,RUNS!$A$6:$A$1005,0))="","",INDEX(RUNS!$K$6:$K$1005,MATCH($D892,RUNS!$A$6:$A$1005,0))),""))</f>
        <v/>
      </c>
      <c r="R892" s="34">
        <f>IF(OR($L892="",$K892=""),"",IFERROR(IF(INDEX(PARAMETRES!$H$43:$H$342,MATCH($L892&amp;"|"&amp;$M892&amp;"|"&amp;$N892&amp;"|"&amp;$O892&amp;"|"&amp;$P892&amp;"|"&amp;$Q892&amp;"|"&amp;$K892,PARAMETRES!$J$43:$J$342,0))="","",INDEX(PARAMETRES!$H$43:$H$342,MATCH($L892&amp;"|"&amp;$M892&amp;"|"&amp;$N892&amp;"|"&amp;$O892&amp;"|"&amp;$P892&amp;"|"&amp;$Q892&amp;"|"&amp;$K892,PARAMETRES!$J$43:$J$342,0))),""))</f>
        <v/>
      </c>
      <c r="S892" s="35">
        <f>IF(OR($G892="",$X892&lt;&gt;"VALIDE"),"",IFERROR(LOOKUP(2,1/(($B$3:$B891=$B892)*($G$3:$G891=$G892)*($X$3:$X891="VALIDE")),$C$3:$C891),""))</f>
        <v/>
      </c>
      <c r="T892" s="36">
        <f>IF(OR($C892="",$S892=""),"",ROUND(($C892-$S892+IF($C892&lt;$S892,1,0))*1440,0))</f>
        <v/>
      </c>
      <c r="U892" s="22">
        <f>IF(OR($H892="",$T892="",$T892&lt;=0),"",$H892*60/$T892)</f>
        <v/>
      </c>
      <c r="V892" s="37">
        <f>IF(OR($U892="",$R892="",$R892=0),"",$U892/$R892)</f>
        <v/>
      </c>
      <c r="W892" s="20">
        <f>IF($G892="","",IF($X892="CONTEXTE INCOMPLET","CONTEXTE INCOMPLET",IF($X892="DOUBLON",StatutDoublon,IF($S892="",StatutInitial,IF($R892="",StatutStandardManquant,IF($V892="","DONNEES INSUFFISANTES",IF($V892&gt;=SeuilConforme,StatutConforme,IF($V892&gt;=SeuilSurveiller,StatutSurveiller,StatutSousStandard))))))))</f>
        <v/>
      </c>
      <c r="X892" s="33">
        <f>IF($G892="","",IF(OR($D892="",$E892="",$F892=""),"CONTEXTE INCOMPLET",IF(COUNTIFS($D$3:$D891,$D892,$E$3:$E891,$E892,$F$3:$F891,$F892,$G$3:$G891,$G892)&gt;0,"DOUBLON","VALIDE")))</f>
        <v/>
      </c>
    </row>
    <row r="893" ht="15" customHeight="1">
      <c r="A893" s="12">
        <f>IF(OR($B893="",$G893=""),"",TEXT($B893,"YYYYMMDD")&amp;"-"&amp;SUBSTITUTE($E893," ","")&amp;"-"&amp;$F893&amp;"-"&amp;$G893)</f>
        <v/>
      </c>
      <c r="B893" s="15" t="n"/>
      <c r="C893" s="16" t="n"/>
      <c r="D893" s="10" t="n"/>
      <c r="E893" s="9" t="n"/>
      <c r="F893" s="9" t="n"/>
      <c r="G893" s="13" t="n"/>
      <c r="H893" s="21" t="n"/>
      <c r="I893" s="21" t="n"/>
      <c r="J893" s="17">
        <f>IF($G893="","",IFERROR(INDEX(NomsEmployes,MATCH($G893,MatriculesEmployes,0)),"MATRICULE INCONNU"))</f>
        <v/>
      </c>
      <c r="K893" s="33">
        <f>IF(OR($D893="",$F893=""),"",IFERROR(IF(INDEX(RUNS!$L$6:$S$1005,MATCH($D893,RUNS!$A$6:$A$1005,0),MATCH("ACTIVITÉ "&amp;$F893,RUNS!$L$5:$S$5,0))="","",INDEX(RUNS!$L$6:$S$1005,MATCH($D893,RUNS!$A$6:$A$1005,0),MATCH("ACTIVITÉ "&amp;$F893,RUNS!$L$5:$S$5,0))),""))</f>
        <v/>
      </c>
      <c r="L893" s="33">
        <f>IF($D893="","",IFERROR(IF(INDEX(RUNS!$E$6:$E$1005,MATCH($D893,RUNS!$A$6:$A$1005,0))="","",INDEX(RUNS!$E$6:$E$1005,MATCH($D893,RUNS!$A$6:$A$1005,0))),""))</f>
        <v/>
      </c>
      <c r="M893" s="33">
        <f>IF($D893="","",IFERROR(IF(INDEX(RUNS!$F$6:$F$1005,MATCH($D893,RUNS!$A$6:$A$1005,0))="","",INDEX(RUNS!$F$6:$F$1005,MATCH($D893,RUNS!$A$6:$A$1005,0))),""))</f>
        <v/>
      </c>
      <c r="N893" s="33">
        <f>IF($D893="","",IFERROR(IF(INDEX(RUNS!$G$6:$G$1005,MATCH($D893,RUNS!$A$6:$A$1005,0))="","",INDEX(RUNS!$G$6:$G$1005,MATCH($D893,RUNS!$A$6:$A$1005,0))),""))</f>
        <v/>
      </c>
      <c r="O893" s="33">
        <f>IF($D893="","",IFERROR(IF(INDEX(RUNS!$H$6:$H$1005,MATCH($D893,RUNS!$A$6:$A$1005,0))="","",INDEX(RUNS!$H$6:$H$1005,MATCH($D893,RUNS!$A$6:$A$1005,0))),""))</f>
        <v/>
      </c>
      <c r="P893" s="33">
        <f>IF($D893="","",IFERROR(IF(INDEX(RUNS!$J$6:$J$1005,MATCH($D893,RUNS!$A$6:$A$1005,0))="","",INDEX(RUNS!$J$6:$J$1005,MATCH($D893,RUNS!$A$6:$A$1005,0))),""))</f>
        <v/>
      </c>
      <c r="Q893" s="33">
        <f>IF($D893="","",IFERROR(IF(INDEX(RUNS!$K$6:$K$1005,MATCH($D893,RUNS!$A$6:$A$1005,0))="","",INDEX(RUNS!$K$6:$K$1005,MATCH($D893,RUNS!$A$6:$A$1005,0))),""))</f>
        <v/>
      </c>
      <c r="R893" s="34">
        <f>IF(OR($L893="",$K893=""),"",IFERROR(IF(INDEX(PARAMETRES!$H$43:$H$342,MATCH($L893&amp;"|"&amp;$M893&amp;"|"&amp;$N893&amp;"|"&amp;$O893&amp;"|"&amp;$P893&amp;"|"&amp;$Q893&amp;"|"&amp;$K893,PARAMETRES!$J$43:$J$342,0))="","",INDEX(PARAMETRES!$H$43:$H$342,MATCH($L893&amp;"|"&amp;$M893&amp;"|"&amp;$N893&amp;"|"&amp;$O893&amp;"|"&amp;$P893&amp;"|"&amp;$Q893&amp;"|"&amp;$K893,PARAMETRES!$J$43:$J$342,0))),""))</f>
        <v/>
      </c>
      <c r="S893" s="35">
        <f>IF(OR($G893="",$X893&lt;&gt;"VALIDE"),"",IFERROR(LOOKUP(2,1/(($B$3:$B892=$B893)*($G$3:$G892=$G893)*($X$3:$X892="VALIDE")),$C$3:$C892),""))</f>
        <v/>
      </c>
      <c r="T893" s="36">
        <f>IF(OR($C893="",$S893=""),"",ROUND(($C893-$S893+IF($C893&lt;$S893,1,0))*1440,0))</f>
        <v/>
      </c>
      <c r="U893" s="22">
        <f>IF(OR($H893="",$T893="",$T893&lt;=0),"",$H893*60/$T893)</f>
        <v/>
      </c>
      <c r="V893" s="37">
        <f>IF(OR($U893="",$R893="",$R893=0),"",$U893/$R893)</f>
        <v/>
      </c>
      <c r="W893" s="20">
        <f>IF($G893="","",IF($X893="CONTEXTE INCOMPLET","CONTEXTE INCOMPLET",IF($X893="DOUBLON",StatutDoublon,IF($S893="",StatutInitial,IF($R893="",StatutStandardManquant,IF($V893="","DONNEES INSUFFISANTES",IF($V893&gt;=SeuilConforme,StatutConforme,IF($V893&gt;=SeuilSurveiller,StatutSurveiller,StatutSousStandard))))))))</f>
        <v/>
      </c>
      <c r="X893" s="33">
        <f>IF($G893="","",IF(OR($D893="",$E893="",$F893=""),"CONTEXTE INCOMPLET",IF(COUNTIFS($D$3:$D892,$D893,$E$3:$E892,$E893,$F$3:$F892,$F893,$G$3:$G892,$G893)&gt;0,"DOUBLON","VALIDE")))</f>
        <v/>
      </c>
    </row>
    <row r="894" ht="15" customHeight="1">
      <c r="A894" s="12">
        <f>IF(OR($B894="",$G894=""),"",TEXT($B894,"YYYYMMDD")&amp;"-"&amp;SUBSTITUTE($E894," ","")&amp;"-"&amp;$F894&amp;"-"&amp;$G894)</f>
        <v/>
      </c>
      <c r="B894" s="15" t="n"/>
      <c r="C894" s="16" t="n"/>
      <c r="D894" s="10" t="n"/>
      <c r="E894" s="9" t="n"/>
      <c r="F894" s="9" t="n"/>
      <c r="G894" s="13" t="n"/>
      <c r="H894" s="21" t="n"/>
      <c r="I894" s="21" t="n"/>
      <c r="J894" s="17">
        <f>IF($G894="","",IFERROR(INDEX(NomsEmployes,MATCH($G894,MatriculesEmployes,0)),"MATRICULE INCONNU"))</f>
        <v/>
      </c>
      <c r="K894" s="33">
        <f>IF(OR($D894="",$F894=""),"",IFERROR(IF(INDEX(RUNS!$L$6:$S$1005,MATCH($D894,RUNS!$A$6:$A$1005,0),MATCH("ACTIVITÉ "&amp;$F894,RUNS!$L$5:$S$5,0))="","",INDEX(RUNS!$L$6:$S$1005,MATCH($D894,RUNS!$A$6:$A$1005,0),MATCH("ACTIVITÉ "&amp;$F894,RUNS!$L$5:$S$5,0))),""))</f>
        <v/>
      </c>
      <c r="L894" s="33">
        <f>IF($D894="","",IFERROR(IF(INDEX(RUNS!$E$6:$E$1005,MATCH($D894,RUNS!$A$6:$A$1005,0))="","",INDEX(RUNS!$E$6:$E$1005,MATCH($D894,RUNS!$A$6:$A$1005,0))),""))</f>
        <v/>
      </c>
      <c r="M894" s="33">
        <f>IF($D894="","",IFERROR(IF(INDEX(RUNS!$F$6:$F$1005,MATCH($D894,RUNS!$A$6:$A$1005,0))="","",INDEX(RUNS!$F$6:$F$1005,MATCH($D894,RUNS!$A$6:$A$1005,0))),""))</f>
        <v/>
      </c>
      <c r="N894" s="33">
        <f>IF($D894="","",IFERROR(IF(INDEX(RUNS!$G$6:$G$1005,MATCH($D894,RUNS!$A$6:$A$1005,0))="","",INDEX(RUNS!$G$6:$G$1005,MATCH($D894,RUNS!$A$6:$A$1005,0))),""))</f>
        <v/>
      </c>
      <c r="O894" s="33">
        <f>IF($D894="","",IFERROR(IF(INDEX(RUNS!$H$6:$H$1005,MATCH($D894,RUNS!$A$6:$A$1005,0))="","",INDEX(RUNS!$H$6:$H$1005,MATCH($D894,RUNS!$A$6:$A$1005,0))),""))</f>
        <v/>
      </c>
      <c r="P894" s="33">
        <f>IF($D894="","",IFERROR(IF(INDEX(RUNS!$J$6:$J$1005,MATCH($D894,RUNS!$A$6:$A$1005,0))="","",INDEX(RUNS!$J$6:$J$1005,MATCH($D894,RUNS!$A$6:$A$1005,0))),""))</f>
        <v/>
      </c>
      <c r="Q894" s="33">
        <f>IF($D894="","",IFERROR(IF(INDEX(RUNS!$K$6:$K$1005,MATCH($D894,RUNS!$A$6:$A$1005,0))="","",INDEX(RUNS!$K$6:$K$1005,MATCH($D894,RUNS!$A$6:$A$1005,0))),""))</f>
        <v/>
      </c>
      <c r="R894" s="34">
        <f>IF(OR($L894="",$K894=""),"",IFERROR(IF(INDEX(PARAMETRES!$H$43:$H$342,MATCH($L894&amp;"|"&amp;$M894&amp;"|"&amp;$N894&amp;"|"&amp;$O894&amp;"|"&amp;$P894&amp;"|"&amp;$Q894&amp;"|"&amp;$K894,PARAMETRES!$J$43:$J$342,0))="","",INDEX(PARAMETRES!$H$43:$H$342,MATCH($L894&amp;"|"&amp;$M894&amp;"|"&amp;$N894&amp;"|"&amp;$O894&amp;"|"&amp;$P894&amp;"|"&amp;$Q894&amp;"|"&amp;$K894,PARAMETRES!$J$43:$J$342,0))),""))</f>
        <v/>
      </c>
      <c r="S894" s="35">
        <f>IF(OR($G894="",$X894&lt;&gt;"VALIDE"),"",IFERROR(LOOKUP(2,1/(($B$3:$B893=$B894)*($G$3:$G893=$G894)*($X$3:$X893="VALIDE")),$C$3:$C893),""))</f>
        <v/>
      </c>
      <c r="T894" s="36">
        <f>IF(OR($C894="",$S894=""),"",ROUND(($C894-$S894+IF($C894&lt;$S894,1,0))*1440,0))</f>
        <v/>
      </c>
      <c r="U894" s="22">
        <f>IF(OR($H894="",$T894="",$T894&lt;=0),"",$H894*60/$T894)</f>
        <v/>
      </c>
      <c r="V894" s="37">
        <f>IF(OR($U894="",$R894="",$R894=0),"",$U894/$R894)</f>
        <v/>
      </c>
      <c r="W894" s="20">
        <f>IF($G894="","",IF($X894="CONTEXTE INCOMPLET","CONTEXTE INCOMPLET",IF($X894="DOUBLON",StatutDoublon,IF($S894="",StatutInitial,IF($R894="",StatutStandardManquant,IF($V894="","DONNEES INSUFFISANTES",IF($V894&gt;=SeuilConforme,StatutConforme,IF($V894&gt;=SeuilSurveiller,StatutSurveiller,StatutSousStandard))))))))</f>
        <v/>
      </c>
      <c r="X894" s="33">
        <f>IF($G894="","",IF(OR($D894="",$E894="",$F894=""),"CONTEXTE INCOMPLET",IF(COUNTIFS($D$3:$D893,$D894,$E$3:$E893,$E894,$F$3:$F893,$F894,$G$3:$G893,$G894)&gt;0,"DOUBLON","VALIDE")))</f>
        <v/>
      </c>
    </row>
    <row r="895" ht="15" customHeight="1">
      <c r="A895" s="12">
        <f>IF(OR($B895="",$G895=""),"",TEXT($B895,"YYYYMMDD")&amp;"-"&amp;SUBSTITUTE($E895," ","")&amp;"-"&amp;$F895&amp;"-"&amp;$G895)</f>
        <v/>
      </c>
      <c r="B895" s="15" t="n"/>
      <c r="C895" s="16" t="n"/>
      <c r="D895" s="10" t="n"/>
      <c r="E895" s="9" t="n"/>
      <c r="F895" s="9" t="n"/>
      <c r="G895" s="13" t="n"/>
      <c r="H895" s="21" t="n"/>
      <c r="I895" s="21" t="n"/>
      <c r="J895" s="17">
        <f>IF($G895="","",IFERROR(INDEX(NomsEmployes,MATCH($G895,MatriculesEmployes,0)),"MATRICULE INCONNU"))</f>
        <v/>
      </c>
      <c r="K895" s="33">
        <f>IF(OR($D895="",$F895=""),"",IFERROR(IF(INDEX(RUNS!$L$6:$S$1005,MATCH($D895,RUNS!$A$6:$A$1005,0),MATCH("ACTIVITÉ "&amp;$F895,RUNS!$L$5:$S$5,0))="","",INDEX(RUNS!$L$6:$S$1005,MATCH($D895,RUNS!$A$6:$A$1005,0),MATCH("ACTIVITÉ "&amp;$F895,RUNS!$L$5:$S$5,0))),""))</f>
        <v/>
      </c>
      <c r="L895" s="33">
        <f>IF($D895="","",IFERROR(IF(INDEX(RUNS!$E$6:$E$1005,MATCH($D895,RUNS!$A$6:$A$1005,0))="","",INDEX(RUNS!$E$6:$E$1005,MATCH($D895,RUNS!$A$6:$A$1005,0))),""))</f>
        <v/>
      </c>
      <c r="M895" s="33">
        <f>IF($D895="","",IFERROR(IF(INDEX(RUNS!$F$6:$F$1005,MATCH($D895,RUNS!$A$6:$A$1005,0))="","",INDEX(RUNS!$F$6:$F$1005,MATCH($D895,RUNS!$A$6:$A$1005,0))),""))</f>
        <v/>
      </c>
      <c r="N895" s="33">
        <f>IF($D895="","",IFERROR(IF(INDEX(RUNS!$G$6:$G$1005,MATCH($D895,RUNS!$A$6:$A$1005,0))="","",INDEX(RUNS!$G$6:$G$1005,MATCH($D895,RUNS!$A$6:$A$1005,0))),""))</f>
        <v/>
      </c>
      <c r="O895" s="33">
        <f>IF($D895="","",IFERROR(IF(INDEX(RUNS!$H$6:$H$1005,MATCH($D895,RUNS!$A$6:$A$1005,0))="","",INDEX(RUNS!$H$6:$H$1005,MATCH($D895,RUNS!$A$6:$A$1005,0))),""))</f>
        <v/>
      </c>
      <c r="P895" s="33">
        <f>IF($D895="","",IFERROR(IF(INDEX(RUNS!$J$6:$J$1005,MATCH($D895,RUNS!$A$6:$A$1005,0))="","",INDEX(RUNS!$J$6:$J$1005,MATCH($D895,RUNS!$A$6:$A$1005,0))),""))</f>
        <v/>
      </c>
      <c r="Q895" s="33">
        <f>IF($D895="","",IFERROR(IF(INDEX(RUNS!$K$6:$K$1005,MATCH($D895,RUNS!$A$6:$A$1005,0))="","",INDEX(RUNS!$K$6:$K$1005,MATCH($D895,RUNS!$A$6:$A$1005,0))),""))</f>
        <v/>
      </c>
      <c r="R895" s="34">
        <f>IF(OR($L895="",$K895=""),"",IFERROR(IF(INDEX(PARAMETRES!$H$43:$H$342,MATCH($L895&amp;"|"&amp;$M895&amp;"|"&amp;$N895&amp;"|"&amp;$O895&amp;"|"&amp;$P895&amp;"|"&amp;$Q895&amp;"|"&amp;$K895,PARAMETRES!$J$43:$J$342,0))="","",INDEX(PARAMETRES!$H$43:$H$342,MATCH($L895&amp;"|"&amp;$M895&amp;"|"&amp;$N895&amp;"|"&amp;$O895&amp;"|"&amp;$P895&amp;"|"&amp;$Q895&amp;"|"&amp;$K895,PARAMETRES!$J$43:$J$342,0))),""))</f>
        <v/>
      </c>
      <c r="S895" s="35">
        <f>IF(OR($G895="",$X895&lt;&gt;"VALIDE"),"",IFERROR(LOOKUP(2,1/(($B$3:$B894=$B895)*($G$3:$G894=$G895)*($X$3:$X894="VALIDE")),$C$3:$C894),""))</f>
        <v/>
      </c>
      <c r="T895" s="36">
        <f>IF(OR($C895="",$S895=""),"",ROUND(($C895-$S895+IF($C895&lt;$S895,1,0))*1440,0))</f>
        <v/>
      </c>
      <c r="U895" s="22">
        <f>IF(OR($H895="",$T895="",$T895&lt;=0),"",$H895*60/$T895)</f>
        <v/>
      </c>
      <c r="V895" s="37">
        <f>IF(OR($U895="",$R895="",$R895=0),"",$U895/$R895)</f>
        <v/>
      </c>
      <c r="W895" s="20">
        <f>IF($G895="","",IF($X895="CONTEXTE INCOMPLET","CONTEXTE INCOMPLET",IF($X895="DOUBLON",StatutDoublon,IF($S895="",StatutInitial,IF($R895="",StatutStandardManquant,IF($V895="","DONNEES INSUFFISANTES",IF($V895&gt;=SeuilConforme,StatutConforme,IF($V895&gt;=SeuilSurveiller,StatutSurveiller,StatutSousStandard))))))))</f>
        <v/>
      </c>
      <c r="X895" s="33">
        <f>IF($G895="","",IF(OR($D895="",$E895="",$F895=""),"CONTEXTE INCOMPLET",IF(COUNTIFS($D$3:$D894,$D895,$E$3:$E894,$E895,$F$3:$F894,$F895,$G$3:$G894,$G895)&gt;0,"DOUBLON","VALIDE")))</f>
        <v/>
      </c>
    </row>
    <row r="896" ht="15" customHeight="1">
      <c r="A896" s="12">
        <f>IF(OR($B896="",$G896=""),"",TEXT($B896,"YYYYMMDD")&amp;"-"&amp;SUBSTITUTE($E896," ","")&amp;"-"&amp;$F896&amp;"-"&amp;$G896)</f>
        <v/>
      </c>
      <c r="B896" s="15" t="n"/>
      <c r="C896" s="16" t="n"/>
      <c r="D896" s="10" t="n"/>
      <c r="E896" s="9" t="n"/>
      <c r="F896" s="9" t="n"/>
      <c r="G896" s="13" t="n"/>
      <c r="H896" s="21" t="n"/>
      <c r="I896" s="21" t="n"/>
      <c r="J896" s="17">
        <f>IF($G896="","",IFERROR(INDEX(NomsEmployes,MATCH($G896,MatriculesEmployes,0)),"MATRICULE INCONNU"))</f>
        <v/>
      </c>
      <c r="K896" s="33">
        <f>IF(OR($D896="",$F896=""),"",IFERROR(IF(INDEX(RUNS!$L$6:$S$1005,MATCH($D896,RUNS!$A$6:$A$1005,0),MATCH("ACTIVITÉ "&amp;$F896,RUNS!$L$5:$S$5,0))="","",INDEX(RUNS!$L$6:$S$1005,MATCH($D896,RUNS!$A$6:$A$1005,0),MATCH("ACTIVITÉ "&amp;$F896,RUNS!$L$5:$S$5,0))),""))</f>
        <v/>
      </c>
      <c r="L896" s="33">
        <f>IF($D896="","",IFERROR(IF(INDEX(RUNS!$E$6:$E$1005,MATCH($D896,RUNS!$A$6:$A$1005,0))="","",INDEX(RUNS!$E$6:$E$1005,MATCH($D896,RUNS!$A$6:$A$1005,0))),""))</f>
        <v/>
      </c>
      <c r="M896" s="33">
        <f>IF($D896="","",IFERROR(IF(INDEX(RUNS!$F$6:$F$1005,MATCH($D896,RUNS!$A$6:$A$1005,0))="","",INDEX(RUNS!$F$6:$F$1005,MATCH($D896,RUNS!$A$6:$A$1005,0))),""))</f>
        <v/>
      </c>
      <c r="N896" s="33">
        <f>IF($D896="","",IFERROR(IF(INDEX(RUNS!$G$6:$G$1005,MATCH($D896,RUNS!$A$6:$A$1005,0))="","",INDEX(RUNS!$G$6:$G$1005,MATCH($D896,RUNS!$A$6:$A$1005,0))),""))</f>
        <v/>
      </c>
      <c r="O896" s="33">
        <f>IF($D896="","",IFERROR(IF(INDEX(RUNS!$H$6:$H$1005,MATCH($D896,RUNS!$A$6:$A$1005,0))="","",INDEX(RUNS!$H$6:$H$1005,MATCH($D896,RUNS!$A$6:$A$1005,0))),""))</f>
        <v/>
      </c>
      <c r="P896" s="33">
        <f>IF($D896="","",IFERROR(IF(INDEX(RUNS!$J$6:$J$1005,MATCH($D896,RUNS!$A$6:$A$1005,0))="","",INDEX(RUNS!$J$6:$J$1005,MATCH($D896,RUNS!$A$6:$A$1005,0))),""))</f>
        <v/>
      </c>
      <c r="Q896" s="33">
        <f>IF($D896="","",IFERROR(IF(INDEX(RUNS!$K$6:$K$1005,MATCH($D896,RUNS!$A$6:$A$1005,0))="","",INDEX(RUNS!$K$6:$K$1005,MATCH($D896,RUNS!$A$6:$A$1005,0))),""))</f>
        <v/>
      </c>
      <c r="R896" s="34">
        <f>IF(OR($L896="",$K896=""),"",IFERROR(IF(INDEX(PARAMETRES!$H$43:$H$342,MATCH($L896&amp;"|"&amp;$M896&amp;"|"&amp;$N896&amp;"|"&amp;$O896&amp;"|"&amp;$P896&amp;"|"&amp;$Q896&amp;"|"&amp;$K896,PARAMETRES!$J$43:$J$342,0))="","",INDEX(PARAMETRES!$H$43:$H$342,MATCH($L896&amp;"|"&amp;$M896&amp;"|"&amp;$N896&amp;"|"&amp;$O896&amp;"|"&amp;$P896&amp;"|"&amp;$Q896&amp;"|"&amp;$K896,PARAMETRES!$J$43:$J$342,0))),""))</f>
        <v/>
      </c>
      <c r="S896" s="35">
        <f>IF(OR($G896="",$X896&lt;&gt;"VALIDE"),"",IFERROR(LOOKUP(2,1/(($B$3:$B895=$B896)*($G$3:$G895=$G896)*($X$3:$X895="VALIDE")),$C$3:$C895),""))</f>
        <v/>
      </c>
      <c r="T896" s="36">
        <f>IF(OR($C896="",$S896=""),"",ROUND(($C896-$S896+IF($C896&lt;$S896,1,0))*1440,0))</f>
        <v/>
      </c>
      <c r="U896" s="22">
        <f>IF(OR($H896="",$T896="",$T896&lt;=0),"",$H896*60/$T896)</f>
        <v/>
      </c>
      <c r="V896" s="37">
        <f>IF(OR($U896="",$R896="",$R896=0),"",$U896/$R896)</f>
        <v/>
      </c>
      <c r="W896" s="20">
        <f>IF($G896="","",IF($X896="CONTEXTE INCOMPLET","CONTEXTE INCOMPLET",IF($X896="DOUBLON",StatutDoublon,IF($S896="",StatutInitial,IF($R896="",StatutStandardManquant,IF($V896="","DONNEES INSUFFISANTES",IF($V896&gt;=SeuilConforme,StatutConforme,IF($V896&gt;=SeuilSurveiller,StatutSurveiller,StatutSousStandard))))))))</f>
        <v/>
      </c>
      <c r="X896" s="33">
        <f>IF($G896="","",IF(OR($D896="",$E896="",$F896=""),"CONTEXTE INCOMPLET",IF(COUNTIFS($D$3:$D895,$D896,$E$3:$E895,$E896,$F$3:$F895,$F896,$G$3:$G895,$G896)&gt;0,"DOUBLON","VALIDE")))</f>
        <v/>
      </c>
    </row>
    <row r="897" ht="15" customHeight="1">
      <c r="A897" s="12">
        <f>IF(OR($B897="",$G897=""),"",TEXT($B897,"YYYYMMDD")&amp;"-"&amp;SUBSTITUTE($E897," ","")&amp;"-"&amp;$F897&amp;"-"&amp;$G897)</f>
        <v/>
      </c>
      <c r="B897" s="15" t="n"/>
      <c r="C897" s="16" t="n"/>
      <c r="D897" s="10" t="n"/>
      <c r="E897" s="9" t="n"/>
      <c r="F897" s="9" t="n"/>
      <c r="G897" s="13" t="n"/>
      <c r="H897" s="21" t="n"/>
      <c r="I897" s="21" t="n"/>
      <c r="J897" s="17">
        <f>IF($G897="","",IFERROR(INDEX(NomsEmployes,MATCH($G897,MatriculesEmployes,0)),"MATRICULE INCONNU"))</f>
        <v/>
      </c>
      <c r="K897" s="33">
        <f>IF(OR($D897="",$F897=""),"",IFERROR(IF(INDEX(RUNS!$L$6:$S$1005,MATCH($D897,RUNS!$A$6:$A$1005,0),MATCH("ACTIVITÉ "&amp;$F897,RUNS!$L$5:$S$5,0))="","",INDEX(RUNS!$L$6:$S$1005,MATCH($D897,RUNS!$A$6:$A$1005,0),MATCH("ACTIVITÉ "&amp;$F897,RUNS!$L$5:$S$5,0))),""))</f>
        <v/>
      </c>
      <c r="L897" s="33">
        <f>IF($D897="","",IFERROR(IF(INDEX(RUNS!$E$6:$E$1005,MATCH($D897,RUNS!$A$6:$A$1005,0))="","",INDEX(RUNS!$E$6:$E$1005,MATCH($D897,RUNS!$A$6:$A$1005,0))),""))</f>
        <v/>
      </c>
      <c r="M897" s="33">
        <f>IF($D897="","",IFERROR(IF(INDEX(RUNS!$F$6:$F$1005,MATCH($D897,RUNS!$A$6:$A$1005,0))="","",INDEX(RUNS!$F$6:$F$1005,MATCH($D897,RUNS!$A$6:$A$1005,0))),""))</f>
        <v/>
      </c>
      <c r="N897" s="33">
        <f>IF($D897="","",IFERROR(IF(INDEX(RUNS!$G$6:$G$1005,MATCH($D897,RUNS!$A$6:$A$1005,0))="","",INDEX(RUNS!$G$6:$G$1005,MATCH($D897,RUNS!$A$6:$A$1005,0))),""))</f>
        <v/>
      </c>
      <c r="O897" s="33">
        <f>IF($D897="","",IFERROR(IF(INDEX(RUNS!$H$6:$H$1005,MATCH($D897,RUNS!$A$6:$A$1005,0))="","",INDEX(RUNS!$H$6:$H$1005,MATCH($D897,RUNS!$A$6:$A$1005,0))),""))</f>
        <v/>
      </c>
      <c r="P897" s="33">
        <f>IF($D897="","",IFERROR(IF(INDEX(RUNS!$J$6:$J$1005,MATCH($D897,RUNS!$A$6:$A$1005,0))="","",INDEX(RUNS!$J$6:$J$1005,MATCH($D897,RUNS!$A$6:$A$1005,0))),""))</f>
        <v/>
      </c>
      <c r="Q897" s="33">
        <f>IF($D897="","",IFERROR(IF(INDEX(RUNS!$K$6:$K$1005,MATCH($D897,RUNS!$A$6:$A$1005,0))="","",INDEX(RUNS!$K$6:$K$1005,MATCH($D897,RUNS!$A$6:$A$1005,0))),""))</f>
        <v/>
      </c>
      <c r="R897" s="34">
        <f>IF(OR($L897="",$K897=""),"",IFERROR(IF(INDEX(PARAMETRES!$H$43:$H$342,MATCH($L897&amp;"|"&amp;$M897&amp;"|"&amp;$N897&amp;"|"&amp;$O897&amp;"|"&amp;$P897&amp;"|"&amp;$Q897&amp;"|"&amp;$K897,PARAMETRES!$J$43:$J$342,0))="","",INDEX(PARAMETRES!$H$43:$H$342,MATCH($L897&amp;"|"&amp;$M897&amp;"|"&amp;$N897&amp;"|"&amp;$O897&amp;"|"&amp;$P897&amp;"|"&amp;$Q897&amp;"|"&amp;$K897,PARAMETRES!$J$43:$J$342,0))),""))</f>
        <v/>
      </c>
      <c r="S897" s="35">
        <f>IF(OR($G897="",$X897&lt;&gt;"VALIDE"),"",IFERROR(LOOKUP(2,1/(($B$3:$B896=$B897)*($G$3:$G896=$G897)*($X$3:$X896="VALIDE")),$C$3:$C896),""))</f>
        <v/>
      </c>
      <c r="T897" s="36">
        <f>IF(OR($C897="",$S897=""),"",ROUND(($C897-$S897+IF($C897&lt;$S897,1,0))*1440,0))</f>
        <v/>
      </c>
      <c r="U897" s="22">
        <f>IF(OR($H897="",$T897="",$T897&lt;=0),"",$H897*60/$T897)</f>
        <v/>
      </c>
      <c r="V897" s="37">
        <f>IF(OR($U897="",$R897="",$R897=0),"",$U897/$R897)</f>
        <v/>
      </c>
      <c r="W897" s="20">
        <f>IF($G897="","",IF($X897="CONTEXTE INCOMPLET","CONTEXTE INCOMPLET",IF($X897="DOUBLON",StatutDoublon,IF($S897="",StatutInitial,IF($R897="",StatutStandardManquant,IF($V897="","DONNEES INSUFFISANTES",IF($V897&gt;=SeuilConforme,StatutConforme,IF($V897&gt;=SeuilSurveiller,StatutSurveiller,StatutSousStandard))))))))</f>
        <v/>
      </c>
      <c r="X897" s="33">
        <f>IF($G897="","",IF(OR($D897="",$E897="",$F897=""),"CONTEXTE INCOMPLET",IF(COUNTIFS($D$3:$D896,$D897,$E$3:$E896,$E897,$F$3:$F896,$F897,$G$3:$G896,$G897)&gt;0,"DOUBLON","VALIDE")))</f>
        <v/>
      </c>
    </row>
    <row r="898" ht="15" customHeight="1">
      <c r="A898" s="12">
        <f>IF(OR($B898="",$G898=""),"",TEXT($B898,"YYYYMMDD")&amp;"-"&amp;SUBSTITUTE($E898," ","")&amp;"-"&amp;$F898&amp;"-"&amp;$G898)</f>
        <v/>
      </c>
      <c r="B898" s="15" t="n"/>
      <c r="C898" s="16" t="n"/>
      <c r="D898" s="10" t="n"/>
      <c r="E898" s="9" t="n"/>
      <c r="F898" s="9" t="n"/>
      <c r="G898" s="13" t="n"/>
      <c r="H898" s="21" t="n"/>
      <c r="I898" s="21" t="n"/>
      <c r="J898" s="17">
        <f>IF($G898="","",IFERROR(INDEX(NomsEmployes,MATCH($G898,MatriculesEmployes,0)),"MATRICULE INCONNU"))</f>
        <v/>
      </c>
      <c r="K898" s="33">
        <f>IF(OR($D898="",$F898=""),"",IFERROR(IF(INDEX(RUNS!$L$6:$S$1005,MATCH($D898,RUNS!$A$6:$A$1005,0),MATCH("ACTIVITÉ "&amp;$F898,RUNS!$L$5:$S$5,0))="","",INDEX(RUNS!$L$6:$S$1005,MATCH($D898,RUNS!$A$6:$A$1005,0),MATCH("ACTIVITÉ "&amp;$F898,RUNS!$L$5:$S$5,0))),""))</f>
        <v/>
      </c>
      <c r="L898" s="33">
        <f>IF($D898="","",IFERROR(IF(INDEX(RUNS!$E$6:$E$1005,MATCH($D898,RUNS!$A$6:$A$1005,0))="","",INDEX(RUNS!$E$6:$E$1005,MATCH($D898,RUNS!$A$6:$A$1005,0))),""))</f>
        <v/>
      </c>
      <c r="M898" s="33">
        <f>IF($D898="","",IFERROR(IF(INDEX(RUNS!$F$6:$F$1005,MATCH($D898,RUNS!$A$6:$A$1005,0))="","",INDEX(RUNS!$F$6:$F$1005,MATCH($D898,RUNS!$A$6:$A$1005,0))),""))</f>
        <v/>
      </c>
      <c r="N898" s="33">
        <f>IF($D898="","",IFERROR(IF(INDEX(RUNS!$G$6:$G$1005,MATCH($D898,RUNS!$A$6:$A$1005,0))="","",INDEX(RUNS!$G$6:$G$1005,MATCH($D898,RUNS!$A$6:$A$1005,0))),""))</f>
        <v/>
      </c>
      <c r="O898" s="33">
        <f>IF($D898="","",IFERROR(IF(INDEX(RUNS!$H$6:$H$1005,MATCH($D898,RUNS!$A$6:$A$1005,0))="","",INDEX(RUNS!$H$6:$H$1005,MATCH($D898,RUNS!$A$6:$A$1005,0))),""))</f>
        <v/>
      </c>
      <c r="P898" s="33">
        <f>IF($D898="","",IFERROR(IF(INDEX(RUNS!$J$6:$J$1005,MATCH($D898,RUNS!$A$6:$A$1005,0))="","",INDEX(RUNS!$J$6:$J$1005,MATCH($D898,RUNS!$A$6:$A$1005,0))),""))</f>
        <v/>
      </c>
      <c r="Q898" s="33">
        <f>IF($D898="","",IFERROR(IF(INDEX(RUNS!$K$6:$K$1005,MATCH($D898,RUNS!$A$6:$A$1005,0))="","",INDEX(RUNS!$K$6:$K$1005,MATCH($D898,RUNS!$A$6:$A$1005,0))),""))</f>
        <v/>
      </c>
      <c r="R898" s="34">
        <f>IF(OR($L898="",$K898=""),"",IFERROR(IF(INDEX(PARAMETRES!$H$43:$H$342,MATCH($L898&amp;"|"&amp;$M898&amp;"|"&amp;$N898&amp;"|"&amp;$O898&amp;"|"&amp;$P898&amp;"|"&amp;$Q898&amp;"|"&amp;$K898,PARAMETRES!$J$43:$J$342,0))="","",INDEX(PARAMETRES!$H$43:$H$342,MATCH($L898&amp;"|"&amp;$M898&amp;"|"&amp;$N898&amp;"|"&amp;$O898&amp;"|"&amp;$P898&amp;"|"&amp;$Q898&amp;"|"&amp;$K898,PARAMETRES!$J$43:$J$342,0))),""))</f>
        <v/>
      </c>
      <c r="S898" s="35">
        <f>IF(OR($G898="",$X898&lt;&gt;"VALIDE"),"",IFERROR(LOOKUP(2,1/(($B$3:$B897=$B898)*($G$3:$G897=$G898)*($X$3:$X897="VALIDE")),$C$3:$C897),""))</f>
        <v/>
      </c>
      <c r="T898" s="36">
        <f>IF(OR($C898="",$S898=""),"",ROUND(($C898-$S898+IF($C898&lt;$S898,1,0))*1440,0))</f>
        <v/>
      </c>
      <c r="U898" s="22">
        <f>IF(OR($H898="",$T898="",$T898&lt;=0),"",$H898*60/$T898)</f>
        <v/>
      </c>
      <c r="V898" s="37">
        <f>IF(OR($U898="",$R898="",$R898=0),"",$U898/$R898)</f>
        <v/>
      </c>
      <c r="W898" s="20">
        <f>IF($G898="","",IF($X898="CONTEXTE INCOMPLET","CONTEXTE INCOMPLET",IF($X898="DOUBLON",StatutDoublon,IF($S898="",StatutInitial,IF($R898="",StatutStandardManquant,IF($V898="","DONNEES INSUFFISANTES",IF($V898&gt;=SeuilConforme,StatutConforme,IF($V898&gt;=SeuilSurveiller,StatutSurveiller,StatutSousStandard))))))))</f>
        <v/>
      </c>
      <c r="X898" s="33">
        <f>IF($G898="","",IF(OR($D898="",$E898="",$F898=""),"CONTEXTE INCOMPLET",IF(COUNTIFS($D$3:$D897,$D898,$E$3:$E897,$E898,$F$3:$F897,$F898,$G$3:$G897,$G898)&gt;0,"DOUBLON","VALIDE")))</f>
        <v/>
      </c>
    </row>
    <row r="899" ht="15" customHeight="1">
      <c r="A899" s="12">
        <f>IF(OR($B899="",$G899=""),"",TEXT($B899,"YYYYMMDD")&amp;"-"&amp;SUBSTITUTE($E899," ","")&amp;"-"&amp;$F899&amp;"-"&amp;$G899)</f>
        <v/>
      </c>
      <c r="B899" s="15" t="n"/>
      <c r="C899" s="16" t="n"/>
      <c r="D899" s="10" t="n"/>
      <c r="E899" s="9" t="n"/>
      <c r="F899" s="9" t="n"/>
      <c r="G899" s="13" t="n"/>
      <c r="H899" s="21" t="n"/>
      <c r="I899" s="21" t="n"/>
      <c r="J899" s="17">
        <f>IF($G899="","",IFERROR(INDEX(NomsEmployes,MATCH($G899,MatriculesEmployes,0)),"MATRICULE INCONNU"))</f>
        <v/>
      </c>
      <c r="K899" s="33">
        <f>IF(OR($D899="",$F899=""),"",IFERROR(IF(INDEX(RUNS!$L$6:$S$1005,MATCH($D899,RUNS!$A$6:$A$1005,0),MATCH("ACTIVITÉ "&amp;$F899,RUNS!$L$5:$S$5,0))="","",INDEX(RUNS!$L$6:$S$1005,MATCH($D899,RUNS!$A$6:$A$1005,0),MATCH("ACTIVITÉ "&amp;$F899,RUNS!$L$5:$S$5,0))),""))</f>
        <v/>
      </c>
      <c r="L899" s="33">
        <f>IF($D899="","",IFERROR(IF(INDEX(RUNS!$E$6:$E$1005,MATCH($D899,RUNS!$A$6:$A$1005,0))="","",INDEX(RUNS!$E$6:$E$1005,MATCH($D899,RUNS!$A$6:$A$1005,0))),""))</f>
        <v/>
      </c>
      <c r="M899" s="33">
        <f>IF($D899="","",IFERROR(IF(INDEX(RUNS!$F$6:$F$1005,MATCH($D899,RUNS!$A$6:$A$1005,0))="","",INDEX(RUNS!$F$6:$F$1005,MATCH($D899,RUNS!$A$6:$A$1005,0))),""))</f>
        <v/>
      </c>
      <c r="N899" s="33">
        <f>IF($D899="","",IFERROR(IF(INDEX(RUNS!$G$6:$G$1005,MATCH($D899,RUNS!$A$6:$A$1005,0))="","",INDEX(RUNS!$G$6:$G$1005,MATCH($D899,RUNS!$A$6:$A$1005,0))),""))</f>
        <v/>
      </c>
      <c r="O899" s="33">
        <f>IF($D899="","",IFERROR(IF(INDEX(RUNS!$H$6:$H$1005,MATCH($D899,RUNS!$A$6:$A$1005,0))="","",INDEX(RUNS!$H$6:$H$1005,MATCH($D899,RUNS!$A$6:$A$1005,0))),""))</f>
        <v/>
      </c>
      <c r="P899" s="33">
        <f>IF($D899="","",IFERROR(IF(INDEX(RUNS!$J$6:$J$1005,MATCH($D899,RUNS!$A$6:$A$1005,0))="","",INDEX(RUNS!$J$6:$J$1005,MATCH($D899,RUNS!$A$6:$A$1005,0))),""))</f>
        <v/>
      </c>
      <c r="Q899" s="33">
        <f>IF($D899="","",IFERROR(IF(INDEX(RUNS!$K$6:$K$1005,MATCH($D899,RUNS!$A$6:$A$1005,0))="","",INDEX(RUNS!$K$6:$K$1005,MATCH($D899,RUNS!$A$6:$A$1005,0))),""))</f>
        <v/>
      </c>
      <c r="R899" s="34">
        <f>IF(OR($L899="",$K899=""),"",IFERROR(IF(INDEX(PARAMETRES!$H$43:$H$342,MATCH($L899&amp;"|"&amp;$M899&amp;"|"&amp;$N899&amp;"|"&amp;$O899&amp;"|"&amp;$P899&amp;"|"&amp;$Q899&amp;"|"&amp;$K899,PARAMETRES!$J$43:$J$342,0))="","",INDEX(PARAMETRES!$H$43:$H$342,MATCH($L899&amp;"|"&amp;$M899&amp;"|"&amp;$N899&amp;"|"&amp;$O899&amp;"|"&amp;$P899&amp;"|"&amp;$Q899&amp;"|"&amp;$K899,PARAMETRES!$J$43:$J$342,0))),""))</f>
        <v/>
      </c>
      <c r="S899" s="35">
        <f>IF(OR($G899="",$X899&lt;&gt;"VALIDE"),"",IFERROR(LOOKUP(2,1/(($B$3:$B898=$B899)*($G$3:$G898=$G899)*($X$3:$X898="VALIDE")),$C$3:$C898),""))</f>
        <v/>
      </c>
      <c r="T899" s="36">
        <f>IF(OR($C899="",$S899=""),"",ROUND(($C899-$S899+IF($C899&lt;$S899,1,0))*1440,0))</f>
        <v/>
      </c>
      <c r="U899" s="22">
        <f>IF(OR($H899="",$T899="",$T899&lt;=0),"",$H899*60/$T899)</f>
        <v/>
      </c>
      <c r="V899" s="37">
        <f>IF(OR($U899="",$R899="",$R899=0),"",$U899/$R899)</f>
        <v/>
      </c>
      <c r="W899" s="20">
        <f>IF($G899="","",IF($X899="CONTEXTE INCOMPLET","CONTEXTE INCOMPLET",IF($X899="DOUBLON",StatutDoublon,IF($S899="",StatutInitial,IF($R899="",StatutStandardManquant,IF($V899="","DONNEES INSUFFISANTES",IF($V899&gt;=SeuilConforme,StatutConforme,IF($V899&gt;=SeuilSurveiller,StatutSurveiller,StatutSousStandard))))))))</f>
        <v/>
      </c>
      <c r="X899" s="33">
        <f>IF($G899="","",IF(OR($D899="",$E899="",$F899=""),"CONTEXTE INCOMPLET",IF(COUNTIFS($D$3:$D898,$D899,$E$3:$E898,$E899,$F$3:$F898,$F899,$G$3:$G898,$G899)&gt;0,"DOUBLON","VALIDE")))</f>
        <v/>
      </c>
    </row>
    <row r="900" ht="15" customHeight="1">
      <c r="A900" s="12">
        <f>IF(OR($B900="",$G900=""),"",TEXT($B900,"YYYYMMDD")&amp;"-"&amp;SUBSTITUTE($E900," ","")&amp;"-"&amp;$F900&amp;"-"&amp;$G900)</f>
        <v/>
      </c>
      <c r="B900" s="15" t="n"/>
      <c r="C900" s="16" t="n"/>
      <c r="D900" s="10" t="n"/>
      <c r="E900" s="9" t="n"/>
      <c r="F900" s="9" t="n"/>
      <c r="G900" s="13" t="n"/>
      <c r="H900" s="21" t="n"/>
      <c r="I900" s="21" t="n"/>
      <c r="J900" s="17">
        <f>IF($G900="","",IFERROR(INDEX(NomsEmployes,MATCH($G900,MatriculesEmployes,0)),"MATRICULE INCONNU"))</f>
        <v/>
      </c>
      <c r="K900" s="33">
        <f>IF(OR($D900="",$F900=""),"",IFERROR(IF(INDEX(RUNS!$L$6:$S$1005,MATCH($D900,RUNS!$A$6:$A$1005,0),MATCH("ACTIVITÉ "&amp;$F900,RUNS!$L$5:$S$5,0))="","",INDEX(RUNS!$L$6:$S$1005,MATCH($D900,RUNS!$A$6:$A$1005,0),MATCH("ACTIVITÉ "&amp;$F900,RUNS!$L$5:$S$5,0))),""))</f>
        <v/>
      </c>
      <c r="L900" s="33">
        <f>IF($D900="","",IFERROR(IF(INDEX(RUNS!$E$6:$E$1005,MATCH($D900,RUNS!$A$6:$A$1005,0))="","",INDEX(RUNS!$E$6:$E$1005,MATCH($D900,RUNS!$A$6:$A$1005,0))),""))</f>
        <v/>
      </c>
      <c r="M900" s="33">
        <f>IF($D900="","",IFERROR(IF(INDEX(RUNS!$F$6:$F$1005,MATCH($D900,RUNS!$A$6:$A$1005,0))="","",INDEX(RUNS!$F$6:$F$1005,MATCH($D900,RUNS!$A$6:$A$1005,0))),""))</f>
        <v/>
      </c>
      <c r="N900" s="33">
        <f>IF($D900="","",IFERROR(IF(INDEX(RUNS!$G$6:$G$1005,MATCH($D900,RUNS!$A$6:$A$1005,0))="","",INDEX(RUNS!$G$6:$G$1005,MATCH($D900,RUNS!$A$6:$A$1005,0))),""))</f>
        <v/>
      </c>
      <c r="O900" s="33">
        <f>IF($D900="","",IFERROR(IF(INDEX(RUNS!$H$6:$H$1005,MATCH($D900,RUNS!$A$6:$A$1005,0))="","",INDEX(RUNS!$H$6:$H$1005,MATCH($D900,RUNS!$A$6:$A$1005,0))),""))</f>
        <v/>
      </c>
      <c r="P900" s="33">
        <f>IF($D900="","",IFERROR(IF(INDEX(RUNS!$J$6:$J$1005,MATCH($D900,RUNS!$A$6:$A$1005,0))="","",INDEX(RUNS!$J$6:$J$1005,MATCH($D900,RUNS!$A$6:$A$1005,0))),""))</f>
        <v/>
      </c>
      <c r="Q900" s="33">
        <f>IF($D900="","",IFERROR(IF(INDEX(RUNS!$K$6:$K$1005,MATCH($D900,RUNS!$A$6:$A$1005,0))="","",INDEX(RUNS!$K$6:$K$1005,MATCH($D900,RUNS!$A$6:$A$1005,0))),""))</f>
        <v/>
      </c>
      <c r="R900" s="34">
        <f>IF(OR($L900="",$K900=""),"",IFERROR(IF(INDEX(PARAMETRES!$H$43:$H$342,MATCH($L900&amp;"|"&amp;$M900&amp;"|"&amp;$N900&amp;"|"&amp;$O900&amp;"|"&amp;$P900&amp;"|"&amp;$Q900&amp;"|"&amp;$K900,PARAMETRES!$J$43:$J$342,0))="","",INDEX(PARAMETRES!$H$43:$H$342,MATCH($L900&amp;"|"&amp;$M900&amp;"|"&amp;$N900&amp;"|"&amp;$O900&amp;"|"&amp;$P900&amp;"|"&amp;$Q900&amp;"|"&amp;$K900,PARAMETRES!$J$43:$J$342,0))),""))</f>
        <v/>
      </c>
      <c r="S900" s="35">
        <f>IF(OR($G900="",$X900&lt;&gt;"VALIDE"),"",IFERROR(LOOKUP(2,1/(($B$3:$B899=$B900)*($G$3:$G899=$G900)*($X$3:$X899="VALIDE")),$C$3:$C899),""))</f>
        <v/>
      </c>
      <c r="T900" s="36">
        <f>IF(OR($C900="",$S900=""),"",ROUND(($C900-$S900+IF($C900&lt;$S900,1,0))*1440,0))</f>
        <v/>
      </c>
      <c r="U900" s="22">
        <f>IF(OR($H900="",$T900="",$T900&lt;=0),"",$H900*60/$T900)</f>
        <v/>
      </c>
      <c r="V900" s="37">
        <f>IF(OR($U900="",$R900="",$R900=0),"",$U900/$R900)</f>
        <v/>
      </c>
      <c r="W900" s="20">
        <f>IF($G900="","",IF($X900="CONTEXTE INCOMPLET","CONTEXTE INCOMPLET",IF($X900="DOUBLON",StatutDoublon,IF($S900="",StatutInitial,IF($R900="",StatutStandardManquant,IF($V900="","DONNEES INSUFFISANTES",IF($V900&gt;=SeuilConforme,StatutConforme,IF($V900&gt;=SeuilSurveiller,StatutSurveiller,StatutSousStandard))))))))</f>
        <v/>
      </c>
      <c r="X900" s="33">
        <f>IF($G900="","",IF(OR($D900="",$E900="",$F900=""),"CONTEXTE INCOMPLET",IF(COUNTIFS($D$3:$D899,$D900,$E$3:$E899,$E900,$F$3:$F899,$F900,$G$3:$G899,$G900)&gt;0,"DOUBLON","VALIDE")))</f>
        <v/>
      </c>
    </row>
    <row r="901" ht="15" customHeight="1">
      <c r="A901" s="12">
        <f>IF(OR($B901="",$G901=""),"",TEXT($B901,"YYYYMMDD")&amp;"-"&amp;SUBSTITUTE($E901," ","")&amp;"-"&amp;$F901&amp;"-"&amp;$G901)</f>
        <v/>
      </c>
      <c r="B901" s="15" t="n"/>
      <c r="C901" s="16" t="n"/>
      <c r="D901" s="10" t="n"/>
      <c r="E901" s="9" t="n"/>
      <c r="F901" s="9" t="n"/>
      <c r="G901" s="13" t="n"/>
      <c r="H901" s="21" t="n"/>
      <c r="I901" s="21" t="n"/>
      <c r="J901" s="17">
        <f>IF($G901="","",IFERROR(INDEX(NomsEmployes,MATCH($G901,MatriculesEmployes,0)),"MATRICULE INCONNU"))</f>
        <v/>
      </c>
      <c r="K901" s="33">
        <f>IF(OR($D901="",$F901=""),"",IFERROR(IF(INDEX(RUNS!$L$6:$S$1005,MATCH($D901,RUNS!$A$6:$A$1005,0),MATCH("ACTIVITÉ "&amp;$F901,RUNS!$L$5:$S$5,0))="","",INDEX(RUNS!$L$6:$S$1005,MATCH($D901,RUNS!$A$6:$A$1005,0),MATCH("ACTIVITÉ "&amp;$F901,RUNS!$L$5:$S$5,0))),""))</f>
        <v/>
      </c>
      <c r="L901" s="33">
        <f>IF($D901="","",IFERROR(IF(INDEX(RUNS!$E$6:$E$1005,MATCH($D901,RUNS!$A$6:$A$1005,0))="","",INDEX(RUNS!$E$6:$E$1005,MATCH($D901,RUNS!$A$6:$A$1005,0))),""))</f>
        <v/>
      </c>
      <c r="M901" s="33">
        <f>IF($D901="","",IFERROR(IF(INDEX(RUNS!$F$6:$F$1005,MATCH($D901,RUNS!$A$6:$A$1005,0))="","",INDEX(RUNS!$F$6:$F$1005,MATCH($D901,RUNS!$A$6:$A$1005,0))),""))</f>
        <v/>
      </c>
      <c r="N901" s="33">
        <f>IF($D901="","",IFERROR(IF(INDEX(RUNS!$G$6:$G$1005,MATCH($D901,RUNS!$A$6:$A$1005,0))="","",INDEX(RUNS!$G$6:$G$1005,MATCH($D901,RUNS!$A$6:$A$1005,0))),""))</f>
        <v/>
      </c>
      <c r="O901" s="33">
        <f>IF($D901="","",IFERROR(IF(INDEX(RUNS!$H$6:$H$1005,MATCH($D901,RUNS!$A$6:$A$1005,0))="","",INDEX(RUNS!$H$6:$H$1005,MATCH($D901,RUNS!$A$6:$A$1005,0))),""))</f>
        <v/>
      </c>
      <c r="P901" s="33">
        <f>IF($D901="","",IFERROR(IF(INDEX(RUNS!$J$6:$J$1005,MATCH($D901,RUNS!$A$6:$A$1005,0))="","",INDEX(RUNS!$J$6:$J$1005,MATCH($D901,RUNS!$A$6:$A$1005,0))),""))</f>
        <v/>
      </c>
      <c r="Q901" s="33">
        <f>IF($D901="","",IFERROR(IF(INDEX(RUNS!$K$6:$K$1005,MATCH($D901,RUNS!$A$6:$A$1005,0))="","",INDEX(RUNS!$K$6:$K$1005,MATCH($D901,RUNS!$A$6:$A$1005,0))),""))</f>
        <v/>
      </c>
      <c r="R901" s="34">
        <f>IF(OR($L901="",$K901=""),"",IFERROR(IF(INDEX(PARAMETRES!$H$43:$H$342,MATCH($L901&amp;"|"&amp;$M901&amp;"|"&amp;$N901&amp;"|"&amp;$O901&amp;"|"&amp;$P901&amp;"|"&amp;$Q901&amp;"|"&amp;$K901,PARAMETRES!$J$43:$J$342,0))="","",INDEX(PARAMETRES!$H$43:$H$342,MATCH($L901&amp;"|"&amp;$M901&amp;"|"&amp;$N901&amp;"|"&amp;$O901&amp;"|"&amp;$P901&amp;"|"&amp;$Q901&amp;"|"&amp;$K901,PARAMETRES!$J$43:$J$342,0))),""))</f>
        <v/>
      </c>
      <c r="S901" s="35">
        <f>IF(OR($G901="",$X901&lt;&gt;"VALIDE"),"",IFERROR(LOOKUP(2,1/(($B$3:$B900=$B901)*($G$3:$G900=$G901)*($X$3:$X900="VALIDE")),$C$3:$C900),""))</f>
        <v/>
      </c>
      <c r="T901" s="36">
        <f>IF(OR($C901="",$S901=""),"",ROUND(($C901-$S901+IF($C901&lt;$S901,1,0))*1440,0))</f>
        <v/>
      </c>
      <c r="U901" s="22">
        <f>IF(OR($H901="",$T901="",$T901&lt;=0),"",$H901*60/$T901)</f>
        <v/>
      </c>
      <c r="V901" s="37">
        <f>IF(OR($U901="",$R901="",$R901=0),"",$U901/$R901)</f>
        <v/>
      </c>
      <c r="W901" s="20">
        <f>IF($G901="","",IF($X901="CONTEXTE INCOMPLET","CONTEXTE INCOMPLET",IF($X901="DOUBLON",StatutDoublon,IF($S901="",StatutInitial,IF($R901="",StatutStandardManquant,IF($V901="","DONNEES INSUFFISANTES",IF($V901&gt;=SeuilConforme,StatutConforme,IF($V901&gt;=SeuilSurveiller,StatutSurveiller,StatutSousStandard))))))))</f>
        <v/>
      </c>
      <c r="X901" s="33">
        <f>IF($G901="","",IF(OR($D901="",$E901="",$F901=""),"CONTEXTE INCOMPLET",IF(COUNTIFS($D$3:$D900,$D901,$E$3:$E900,$E901,$F$3:$F900,$F901,$G$3:$G900,$G901)&gt;0,"DOUBLON","VALIDE")))</f>
        <v/>
      </c>
    </row>
    <row r="902" ht="15" customHeight="1">
      <c r="A902" s="12">
        <f>IF(OR($B902="",$G902=""),"",TEXT($B902,"YYYYMMDD")&amp;"-"&amp;SUBSTITUTE($E902," ","")&amp;"-"&amp;$F902&amp;"-"&amp;$G902)</f>
        <v/>
      </c>
      <c r="B902" s="15" t="n"/>
      <c r="C902" s="16" t="n"/>
      <c r="D902" s="10" t="n"/>
      <c r="E902" s="9" t="n"/>
      <c r="F902" s="9" t="n"/>
      <c r="G902" s="13" t="n"/>
      <c r="H902" s="21" t="n"/>
      <c r="I902" s="21" t="n"/>
      <c r="J902" s="17">
        <f>IF($G902="","",IFERROR(INDEX(NomsEmployes,MATCH($G902,MatriculesEmployes,0)),"MATRICULE INCONNU"))</f>
        <v/>
      </c>
      <c r="K902" s="33">
        <f>IF(OR($D902="",$F902=""),"",IFERROR(IF(INDEX(RUNS!$L$6:$S$1005,MATCH($D902,RUNS!$A$6:$A$1005,0),MATCH("ACTIVITÉ "&amp;$F902,RUNS!$L$5:$S$5,0))="","",INDEX(RUNS!$L$6:$S$1005,MATCH($D902,RUNS!$A$6:$A$1005,0),MATCH("ACTIVITÉ "&amp;$F902,RUNS!$L$5:$S$5,0))),""))</f>
        <v/>
      </c>
      <c r="L902" s="33">
        <f>IF($D902="","",IFERROR(IF(INDEX(RUNS!$E$6:$E$1005,MATCH($D902,RUNS!$A$6:$A$1005,0))="","",INDEX(RUNS!$E$6:$E$1005,MATCH($D902,RUNS!$A$6:$A$1005,0))),""))</f>
        <v/>
      </c>
      <c r="M902" s="33">
        <f>IF($D902="","",IFERROR(IF(INDEX(RUNS!$F$6:$F$1005,MATCH($D902,RUNS!$A$6:$A$1005,0))="","",INDEX(RUNS!$F$6:$F$1005,MATCH($D902,RUNS!$A$6:$A$1005,0))),""))</f>
        <v/>
      </c>
      <c r="N902" s="33">
        <f>IF($D902="","",IFERROR(IF(INDEX(RUNS!$G$6:$G$1005,MATCH($D902,RUNS!$A$6:$A$1005,0))="","",INDEX(RUNS!$G$6:$G$1005,MATCH($D902,RUNS!$A$6:$A$1005,0))),""))</f>
        <v/>
      </c>
      <c r="O902" s="33">
        <f>IF($D902="","",IFERROR(IF(INDEX(RUNS!$H$6:$H$1005,MATCH($D902,RUNS!$A$6:$A$1005,0))="","",INDEX(RUNS!$H$6:$H$1005,MATCH($D902,RUNS!$A$6:$A$1005,0))),""))</f>
        <v/>
      </c>
      <c r="P902" s="33">
        <f>IF($D902="","",IFERROR(IF(INDEX(RUNS!$J$6:$J$1005,MATCH($D902,RUNS!$A$6:$A$1005,0))="","",INDEX(RUNS!$J$6:$J$1005,MATCH($D902,RUNS!$A$6:$A$1005,0))),""))</f>
        <v/>
      </c>
      <c r="Q902" s="33">
        <f>IF($D902="","",IFERROR(IF(INDEX(RUNS!$K$6:$K$1005,MATCH($D902,RUNS!$A$6:$A$1005,0))="","",INDEX(RUNS!$K$6:$K$1005,MATCH($D902,RUNS!$A$6:$A$1005,0))),""))</f>
        <v/>
      </c>
      <c r="R902" s="34">
        <f>IF(OR($L902="",$K902=""),"",IFERROR(IF(INDEX(PARAMETRES!$H$43:$H$342,MATCH($L902&amp;"|"&amp;$M902&amp;"|"&amp;$N902&amp;"|"&amp;$O902&amp;"|"&amp;$P902&amp;"|"&amp;$Q902&amp;"|"&amp;$K902,PARAMETRES!$J$43:$J$342,0))="","",INDEX(PARAMETRES!$H$43:$H$342,MATCH($L902&amp;"|"&amp;$M902&amp;"|"&amp;$N902&amp;"|"&amp;$O902&amp;"|"&amp;$P902&amp;"|"&amp;$Q902&amp;"|"&amp;$K902,PARAMETRES!$J$43:$J$342,0))),""))</f>
        <v/>
      </c>
      <c r="S902" s="35">
        <f>IF(OR($G902="",$X902&lt;&gt;"VALIDE"),"",IFERROR(LOOKUP(2,1/(($B$3:$B901=$B902)*($G$3:$G901=$G902)*($X$3:$X901="VALIDE")),$C$3:$C901),""))</f>
        <v/>
      </c>
      <c r="T902" s="36">
        <f>IF(OR($C902="",$S902=""),"",ROUND(($C902-$S902+IF($C902&lt;$S902,1,0))*1440,0))</f>
        <v/>
      </c>
      <c r="U902" s="22">
        <f>IF(OR($H902="",$T902="",$T902&lt;=0),"",$H902*60/$T902)</f>
        <v/>
      </c>
      <c r="V902" s="37">
        <f>IF(OR($U902="",$R902="",$R902=0),"",$U902/$R902)</f>
        <v/>
      </c>
      <c r="W902" s="20">
        <f>IF($G902="","",IF($X902="CONTEXTE INCOMPLET","CONTEXTE INCOMPLET",IF($X902="DOUBLON",StatutDoublon,IF($S902="",StatutInitial,IF($R902="",StatutStandardManquant,IF($V902="","DONNEES INSUFFISANTES",IF($V902&gt;=SeuilConforme,StatutConforme,IF($V902&gt;=SeuilSurveiller,StatutSurveiller,StatutSousStandard))))))))</f>
        <v/>
      </c>
      <c r="X902" s="33">
        <f>IF($G902="","",IF(OR($D902="",$E902="",$F902=""),"CONTEXTE INCOMPLET",IF(COUNTIFS($D$3:$D901,$D902,$E$3:$E901,$E902,$F$3:$F901,$F902,$G$3:$G901,$G902)&gt;0,"DOUBLON","VALIDE")))</f>
        <v/>
      </c>
    </row>
    <row r="903" ht="15" customHeight="1">
      <c r="A903" s="12">
        <f>IF(OR($B903="",$G903=""),"",TEXT($B903,"YYYYMMDD")&amp;"-"&amp;SUBSTITUTE($E903," ","")&amp;"-"&amp;$F903&amp;"-"&amp;$G903)</f>
        <v/>
      </c>
      <c r="B903" s="15" t="n"/>
      <c r="C903" s="16" t="n"/>
      <c r="D903" s="10" t="n"/>
      <c r="E903" s="9" t="n"/>
      <c r="F903" s="9" t="n"/>
      <c r="G903" s="13" t="n"/>
      <c r="H903" s="21" t="n"/>
      <c r="I903" s="21" t="n"/>
      <c r="J903" s="17">
        <f>IF($G903="","",IFERROR(INDEX(NomsEmployes,MATCH($G903,MatriculesEmployes,0)),"MATRICULE INCONNU"))</f>
        <v/>
      </c>
      <c r="K903" s="33">
        <f>IF(OR($D903="",$F903=""),"",IFERROR(IF(INDEX(RUNS!$L$6:$S$1005,MATCH($D903,RUNS!$A$6:$A$1005,0),MATCH("ACTIVITÉ "&amp;$F903,RUNS!$L$5:$S$5,0))="","",INDEX(RUNS!$L$6:$S$1005,MATCH($D903,RUNS!$A$6:$A$1005,0),MATCH("ACTIVITÉ "&amp;$F903,RUNS!$L$5:$S$5,0))),""))</f>
        <v/>
      </c>
      <c r="L903" s="33">
        <f>IF($D903="","",IFERROR(IF(INDEX(RUNS!$E$6:$E$1005,MATCH($D903,RUNS!$A$6:$A$1005,0))="","",INDEX(RUNS!$E$6:$E$1005,MATCH($D903,RUNS!$A$6:$A$1005,0))),""))</f>
        <v/>
      </c>
      <c r="M903" s="33">
        <f>IF($D903="","",IFERROR(IF(INDEX(RUNS!$F$6:$F$1005,MATCH($D903,RUNS!$A$6:$A$1005,0))="","",INDEX(RUNS!$F$6:$F$1005,MATCH($D903,RUNS!$A$6:$A$1005,0))),""))</f>
        <v/>
      </c>
      <c r="N903" s="33">
        <f>IF($D903="","",IFERROR(IF(INDEX(RUNS!$G$6:$G$1005,MATCH($D903,RUNS!$A$6:$A$1005,0))="","",INDEX(RUNS!$G$6:$G$1005,MATCH($D903,RUNS!$A$6:$A$1005,0))),""))</f>
        <v/>
      </c>
      <c r="O903" s="33">
        <f>IF($D903="","",IFERROR(IF(INDEX(RUNS!$H$6:$H$1005,MATCH($D903,RUNS!$A$6:$A$1005,0))="","",INDEX(RUNS!$H$6:$H$1005,MATCH($D903,RUNS!$A$6:$A$1005,0))),""))</f>
        <v/>
      </c>
      <c r="P903" s="33">
        <f>IF($D903="","",IFERROR(IF(INDEX(RUNS!$J$6:$J$1005,MATCH($D903,RUNS!$A$6:$A$1005,0))="","",INDEX(RUNS!$J$6:$J$1005,MATCH($D903,RUNS!$A$6:$A$1005,0))),""))</f>
        <v/>
      </c>
      <c r="Q903" s="33">
        <f>IF($D903="","",IFERROR(IF(INDEX(RUNS!$K$6:$K$1005,MATCH($D903,RUNS!$A$6:$A$1005,0))="","",INDEX(RUNS!$K$6:$K$1005,MATCH($D903,RUNS!$A$6:$A$1005,0))),""))</f>
        <v/>
      </c>
      <c r="R903" s="34">
        <f>IF(OR($L903="",$K903=""),"",IFERROR(IF(INDEX(PARAMETRES!$H$43:$H$342,MATCH($L903&amp;"|"&amp;$M903&amp;"|"&amp;$N903&amp;"|"&amp;$O903&amp;"|"&amp;$P903&amp;"|"&amp;$Q903&amp;"|"&amp;$K903,PARAMETRES!$J$43:$J$342,0))="","",INDEX(PARAMETRES!$H$43:$H$342,MATCH($L903&amp;"|"&amp;$M903&amp;"|"&amp;$N903&amp;"|"&amp;$O903&amp;"|"&amp;$P903&amp;"|"&amp;$Q903&amp;"|"&amp;$K903,PARAMETRES!$J$43:$J$342,0))),""))</f>
        <v/>
      </c>
      <c r="S903" s="35">
        <f>IF(OR($G903="",$X903&lt;&gt;"VALIDE"),"",IFERROR(LOOKUP(2,1/(($B$3:$B902=$B903)*($G$3:$G902=$G903)*($X$3:$X902="VALIDE")),$C$3:$C902),""))</f>
        <v/>
      </c>
      <c r="T903" s="36">
        <f>IF(OR($C903="",$S903=""),"",ROUND(($C903-$S903+IF($C903&lt;$S903,1,0))*1440,0))</f>
        <v/>
      </c>
      <c r="U903" s="22">
        <f>IF(OR($H903="",$T903="",$T903&lt;=0),"",$H903*60/$T903)</f>
        <v/>
      </c>
      <c r="V903" s="37">
        <f>IF(OR($U903="",$R903="",$R903=0),"",$U903/$R903)</f>
        <v/>
      </c>
      <c r="W903" s="20">
        <f>IF($G903="","",IF($X903="CONTEXTE INCOMPLET","CONTEXTE INCOMPLET",IF($X903="DOUBLON",StatutDoublon,IF($S903="",StatutInitial,IF($R903="",StatutStandardManquant,IF($V903="","DONNEES INSUFFISANTES",IF($V903&gt;=SeuilConforme,StatutConforme,IF($V903&gt;=SeuilSurveiller,StatutSurveiller,StatutSousStandard))))))))</f>
        <v/>
      </c>
      <c r="X903" s="33">
        <f>IF($G903="","",IF(OR($D903="",$E903="",$F903=""),"CONTEXTE INCOMPLET",IF(COUNTIFS($D$3:$D902,$D903,$E$3:$E902,$E903,$F$3:$F902,$F903,$G$3:$G902,$G903)&gt;0,"DOUBLON","VALIDE")))</f>
        <v/>
      </c>
    </row>
    <row r="904" ht="15" customHeight="1">
      <c r="A904" s="12">
        <f>IF(OR($B904="",$G904=""),"",TEXT($B904,"YYYYMMDD")&amp;"-"&amp;SUBSTITUTE($E904," ","")&amp;"-"&amp;$F904&amp;"-"&amp;$G904)</f>
        <v/>
      </c>
      <c r="B904" s="15" t="n"/>
      <c r="C904" s="16" t="n"/>
      <c r="D904" s="10" t="n"/>
      <c r="E904" s="9" t="n"/>
      <c r="F904" s="9" t="n"/>
      <c r="G904" s="13" t="n"/>
      <c r="H904" s="21" t="n"/>
      <c r="I904" s="21" t="n"/>
      <c r="J904" s="17">
        <f>IF($G904="","",IFERROR(INDEX(NomsEmployes,MATCH($G904,MatriculesEmployes,0)),"MATRICULE INCONNU"))</f>
        <v/>
      </c>
      <c r="K904" s="33">
        <f>IF(OR($D904="",$F904=""),"",IFERROR(IF(INDEX(RUNS!$L$6:$S$1005,MATCH($D904,RUNS!$A$6:$A$1005,0),MATCH("ACTIVITÉ "&amp;$F904,RUNS!$L$5:$S$5,0))="","",INDEX(RUNS!$L$6:$S$1005,MATCH($D904,RUNS!$A$6:$A$1005,0),MATCH("ACTIVITÉ "&amp;$F904,RUNS!$L$5:$S$5,0))),""))</f>
        <v/>
      </c>
      <c r="L904" s="33">
        <f>IF($D904="","",IFERROR(IF(INDEX(RUNS!$E$6:$E$1005,MATCH($D904,RUNS!$A$6:$A$1005,0))="","",INDEX(RUNS!$E$6:$E$1005,MATCH($D904,RUNS!$A$6:$A$1005,0))),""))</f>
        <v/>
      </c>
      <c r="M904" s="33">
        <f>IF($D904="","",IFERROR(IF(INDEX(RUNS!$F$6:$F$1005,MATCH($D904,RUNS!$A$6:$A$1005,0))="","",INDEX(RUNS!$F$6:$F$1005,MATCH($D904,RUNS!$A$6:$A$1005,0))),""))</f>
        <v/>
      </c>
      <c r="N904" s="33">
        <f>IF($D904="","",IFERROR(IF(INDEX(RUNS!$G$6:$G$1005,MATCH($D904,RUNS!$A$6:$A$1005,0))="","",INDEX(RUNS!$G$6:$G$1005,MATCH($D904,RUNS!$A$6:$A$1005,0))),""))</f>
        <v/>
      </c>
      <c r="O904" s="33">
        <f>IF($D904="","",IFERROR(IF(INDEX(RUNS!$H$6:$H$1005,MATCH($D904,RUNS!$A$6:$A$1005,0))="","",INDEX(RUNS!$H$6:$H$1005,MATCH($D904,RUNS!$A$6:$A$1005,0))),""))</f>
        <v/>
      </c>
      <c r="P904" s="33">
        <f>IF($D904="","",IFERROR(IF(INDEX(RUNS!$J$6:$J$1005,MATCH($D904,RUNS!$A$6:$A$1005,0))="","",INDEX(RUNS!$J$6:$J$1005,MATCH($D904,RUNS!$A$6:$A$1005,0))),""))</f>
        <v/>
      </c>
      <c r="Q904" s="33">
        <f>IF($D904="","",IFERROR(IF(INDEX(RUNS!$K$6:$K$1005,MATCH($D904,RUNS!$A$6:$A$1005,0))="","",INDEX(RUNS!$K$6:$K$1005,MATCH($D904,RUNS!$A$6:$A$1005,0))),""))</f>
        <v/>
      </c>
      <c r="R904" s="34">
        <f>IF(OR($L904="",$K904=""),"",IFERROR(IF(INDEX(PARAMETRES!$H$43:$H$342,MATCH($L904&amp;"|"&amp;$M904&amp;"|"&amp;$N904&amp;"|"&amp;$O904&amp;"|"&amp;$P904&amp;"|"&amp;$Q904&amp;"|"&amp;$K904,PARAMETRES!$J$43:$J$342,0))="","",INDEX(PARAMETRES!$H$43:$H$342,MATCH($L904&amp;"|"&amp;$M904&amp;"|"&amp;$N904&amp;"|"&amp;$O904&amp;"|"&amp;$P904&amp;"|"&amp;$Q904&amp;"|"&amp;$K904,PARAMETRES!$J$43:$J$342,0))),""))</f>
        <v/>
      </c>
      <c r="S904" s="35">
        <f>IF(OR($G904="",$X904&lt;&gt;"VALIDE"),"",IFERROR(LOOKUP(2,1/(($B4:$B903=$B904)*($G4:$G903=$G904)*($X4:$X903="VALIDE")),$C4:$C903),""))</f>
        <v/>
      </c>
      <c r="T904" s="36">
        <f>IF(OR($C904="",$S904=""),"",ROUND(($C904-$S904+IF($C904&lt;$S904,1,0))*1440,0))</f>
        <v/>
      </c>
      <c r="U904" s="22">
        <f>IF(OR($H904="",$T904="",$T904&lt;=0),"",$H904*60/$T904)</f>
        <v/>
      </c>
      <c r="V904" s="37">
        <f>IF(OR($U904="",$R904="",$R904=0),"",$U904/$R904)</f>
        <v/>
      </c>
      <c r="W904" s="20">
        <f>IF($G904="","",IF($X904="CONTEXTE INCOMPLET","CONTEXTE INCOMPLET",IF($X904="DOUBLON",StatutDoublon,IF($S904="",StatutInitial,IF($R904="",StatutStandardManquant,IF($V904="","DONNEES INSUFFISANTES",IF($V904&gt;=SeuilConforme,StatutConforme,IF($V904&gt;=SeuilSurveiller,StatutSurveiller,StatutSousStandard))))))))</f>
        <v/>
      </c>
      <c r="X904" s="33">
        <f>IF($G904="","",IF(OR($D904="",$E904="",$F904=""),"CONTEXTE INCOMPLET",IF(COUNTIFS($D4:$D903,$D904,$E4:$E903,$E904,$F4:$F903,$F904,$G4:$G903,$G904)&gt;0,"DOUBLON","VALIDE")))</f>
        <v/>
      </c>
    </row>
    <row r="905" ht="15" customHeight="1">
      <c r="A905" s="12">
        <f>IF(OR($B905="",$G905=""),"",TEXT($B905,"YYYYMMDD")&amp;"-"&amp;SUBSTITUTE($E905," ","")&amp;"-"&amp;$F905&amp;"-"&amp;$G905)</f>
        <v/>
      </c>
      <c r="B905" s="15" t="n"/>
      <c r="C905" s="16" t="n"/>
      <c r="D905" s="10" t="n"/>
      <c r="E905" s="9" t="n"/>
      <c r="F905" s="9" t="n"/>
      <c r="G905" s="13" t="n"/>
      <c r="H905" s="21" t="n"/>
      <c r="I905" s="21" t="n"/>
      <c r="J905" s="17">
        <f>IF($G905="","",IFERROR(INDEX(NomsEmployes,MATCH($G905,MatriculesEmployes,0)),"MATRICULE INCONNU"))</f>
        <v/>
      </c>
      <c r="K905" s="33">
        <f>IF(OR($D905="",$F905=""),"",IFERROR(IF(INDEX(RUNS!$L$6:$S$1005,MATCH($D905,RUNS!$A$6:$A$1005,0),MATCH("ACTIVITÉ "&amp;$F905,RUNS!$L$5:$S$5,0))="","",INDEX(RUNS!$L$6:$S$1005,MATCH($D905,RUNS!$A$6:$A$1005,0),MATCH("ACTIVITÉ "&amp;$F905,RUNS!$L$5:$S$5,0))),""))</f>
        <v/>
      </c>
      <c r="L905" s="33">
        <f>IF($D905="","",IFERROR(IF(INDEX(RUNS!$E$6:$E$1005,MATCH($D905,RUNS!$A$6:$A$1005,0))="","",INDEX(RUNS!$E$6:$E$1005,MATCH($D905,RUNS!$A$6:$A$1005,0))),""))</f>
        <v/>
      </c>
      <c r="M905" s="33">
        <f>IF($D905="","",IFERROR(IF(INDEX(RUNS!$F$6:$F$1005,MATCH($D905,RUNS!$A$6:$A$1005,0))="","",INDEX(RUNS!$F$6:$F$1005,MATCH($D905,RUNS!$A$6:$A$1005,0))),""))</f>
        <v/>
      </c>
      <c r="N905" s="33">
        <f>IF($D905="","",IFERROR(IF(INDEX(RUNS!$G$6:$G$1005,MATCH($D905,RUNS!$A$6:$A$1005,0))="","",INDEX(RUNS!$G$6:$G$1005,MATCH($D905,RUNS!$A$6:$A$1005,0))),""))</f>
        <v/>
      </c>
      <c r="O905" s="33">
        <f>IF($D905="","",IFERROR(IF(INDEX(RUNS!$H$6:$H$1005,MATCH($D905,RUNS!$A$6:$A$1005,0))="","",INDEX(RUNS!$H$6:$H$1005,MATCH($D905,RUNS!$A$6:$A$1005,0))),""))</f>
        <v/>
      </c>
      <c r="P905" s="33">
        <f>IF($D905="","",IFERROR(IF(INDEX(RUNS!$J$6:$J$1005,MATCH($D905,RUNS!$A$6:$A$1005,0))="","",INDEX(RUNS!$J$6:$J$1005,MATCH($D905,RUNS!$A$6:$A$1005,0))),""))</f>
        <v/>
      </c>
      <c r="Q905" s="33">
        <f>IF($D905="","",IFERROR(IF(INDEX(RUNS!$K$6:$K$1005,MATCH($D905,RUNS!$A$6:$A$1005,0))="","",INDEX(RUNS!$K$6:$K$1005,MATCH($D905,RUNS!$A$6:$A$1005,0))),""))</f>
        <v/>
      </c>
      <c r="R905" s="34">
        <f>IF(OR($L905="",$K905=""),"",IFERROR(IF(INDEX(PARAMETRES!$H$43:$H$342,MATCH($L905&amp;"|"&amp;$M905&amp;"|"&amp;$N905&amp;"|"&amp;$O905&amp;"|"&amp;$P905&amp;"|"&amp;$Q905&amp;"|"&amp;$K905,PARAMETRES!$J$43:$J$342,0))="","",INDEX(PARAMETRES!$H$43:$H$342,MATCH($L905&amp;"|"&amp;$M905&amp;"|"&amp;$N905&amp;"|"&amp;$O905&amp;"|"&amp;$P905&amp;"|"&amp;$Q905&amp;"|"&amp;$K905,PARAMETRES!$J$43:$J$342,0))),""))</f>
        <v/>
      </c>
      <c r="S905" s="35">
        <f>IF(OR($G905="",$X905&lt;&gt;"VALIDE"),"",IFERROR(LOOKUP(2,1/(($B5:$B904=$B905)*($G5:$G904=$G905)*($X5:$X904="VALIDE")),$C5:$C904),""))</f>
        <v/>
      </c>
      <c r="T905" s="36">
        <f>IF(OR($C905="",$S905=""),"",ROUND(($C905-$S905+IF($C905&lt;$S905,1,0))*1440,0))</f>
        <v/>
      </c>
      <c r="U905" s="22">
        <f>IF(OR($H905="",$T905="",$T905&lt;=0),"",$H905*60/$T905)</f>
        <v/>
      </c>
      <c r="V905" s="37">
        <f>IF(OR($U905="",$R905="",$R905=0),"",$U905/$R905)</f>
        <v/>
      </c>
      <c r="W905" s="20">
        <f>IF($G905="","",IF($X905="CONTEXTE INCOMPLET","CONTEXTE INCOMPLET",IF($X905="DOUBLON",StatutDoublon,IF($S905="",StatutInitial,IF($R905="",StatutStandardManquant,IF($V905="","DONNEES INSUFFISANTES",IF($V905&gt;=SeuilConforme,StatutConforme,IF($V905&gt;=SeuilSurveiller,StatutSurveiller,StatutSousStandard))))))))</f>
        <v/>
      </c>
      <c r="X905" s="33">
        <f>IF($G905="","",IF(OR($D905="",$E905="",$F905=""),"CONTEXTE INCOMPLET",IF(COUNTIFS($D5:$D904,$D905,$E5:$E904,$E905,$F5:$F904,$F905,$G5:$G904,$G905)&gt;0,"DOUBLON","VALIDE")))</f>
        <v/>
      </c>
    </row>
    <row r="906" ht="15" customHeight="1">
      <c r="A906" s="12">
        <f>IF(OR($B906="",$G906=""),"",TEXT($B906,"YYYYMMDD")&amp;"-"&amp;SUBSTITUTE($E906," ","")&amp;"-"&amp;$F906&amp;"-"&amp;$G906)</f>
        <v/>
      </c>
      <c r="B906" s="15" t="n"/>
      <c r="C906" s="16" t="n"/>
      <c r="D906" s="10" t="n"/>
      <c r="E906" s="9" t="n"/>
      <c r="F906" s="9" t="n"/>
      <c r="G906" s="13" t="n"/>
      <c r="H906" s="21" t="n"/>
      <c r="I906" s="21" t="n"/>
      <c r="J906" s="17">
        <f>IF($G906="","",IFERROR(INDEX(NomsEmployes,MATCH($G906,MatriculesEmployes,0)),"MATRICULE INCONNU"))</f>
        <v/>
      </c>
      <c r="K906" s="33">
        <f>IF(OR($D906="",$F906=""),"",IFERROR(IF(INDEX(RUNS!$L$6:$S$1005,MATCH($D906,RUNS!$A$6:$A$1005,0),MATCH("ACTIVITÉ "&amp;$F906,RUNS!$L$5:$S$5,0))="","",INDEX(RUNS!$L$6:$S$1005,MATCH($D906,RUNS!$A$6:$A$1005,0),MATCH("ACTIVITÉ "&amp;$F906,RUNS!$L$5:$S$5,0))),""))</f>
        <v/>
      </c>
      <c r="L906" s="33">
        <f>IF($D906="","",IFERROR(IF(INDEX(RUNS!$E$6:$E$1005,MATCH($D906,RUNS!$A$6:$A$1005,0))="","",INDEX(RUNS!$E$6:$E$1005,MATCH($D906,RUNS!$A$6:$A$1005,0))),""))</f>
        <v/>
      </c>
      <c r="M906" s="33">
        <f>IF($D906="","",IFERROR(IF(INDEX(RUNS!$F$6:$F$1005,MATCH($D906,RUNS!$A$6:$A$1005,0))="","",INDEX(RUNS!$F$6:$F$1005,MATCH($D906,RUNS!$A$6:$A$1005,0))),""))</f>
        <v/>
      </c>
      <c r="N906" s="33">
        <f>IF($D906="","",IFERROR(IF(INDEX(RUNS!$G$6:$G$1005,MATCH($D906,RUNS!$A$6:$A$1005,0))="","",INDEX(RUNS!$G$6:$G$1005,MATCH($D906,RUNS!$A$6:$A$1005,0))),""))</f>
        <v/>
      </c>
      <c r="O906" s="33">
        <f>IF($D906="","",IFERROR(IF(INDEX(RUNS!$H$6:$H$1005,MATCH($D906,RUNS!$A$6:$A$1005,0))="","",INDEX(RUNS!$H$6:$H$1005,MATCH($D906,RUNS!$A$6:$A$1005,0))),""))</f>
        <v/>
      </c>
      <c r="P906" s="33">
        <f>IF($D906="","",IFERROR(IF(INDEX(RUNS!$J$6:$J$1005,MATCH($D906,RUNS!$A$6:$A$1005,0))="","",INDEX(RUNS!$J$6:$J$1005,MATCH($D906,RUNS!$A$6:$A$1005,0))),""))</f>
        <v/>
      </c>
      <c r="Q906" s="33">
        <f>IF($D906="","",IFERROR(IF(INDEX(RUNS!$K$6:$K$1005,MATCH($D906,RUNS!$A$6:$A$1005,0))="","",INDEX(RUNS!$K$6:$K$1005,MATCH($D906,RUNS!$A$6:$A$1005,0))),""))</f>
        <v/>
      </c>
      <c r="R906" s="34">
        <f>IF(OR($L906="",$K906=""),"",IFERROR(IF(INDEX(PARAMETRES!$H$43:$H$342,MATCH($L906&amp;"|"&amp;$M906&amp;"|"&amp;$N906&amp;"|"&amp;$O906&amp;"|"&amp;$P906&amp;"|"&amp;$Q906&amp;"|"&amp;$K906,PARAMETRES!$J$43:$J$342,0))="","",INDEX(PARAMETRES!$H$43:$H$342,MATCH($L906&amp;"|"&amp;$M906&amp;"|"&amp;$N906&amp;"|"&amp;$O906&amp;"|"&amp;$P906&amp;"|"&amp;$Q906&amp;"|"&amp;$K906,PARAMETRES!$J$43:$J$342,0))),""))</f>
        <v/>
      </c>
      <c r="S906" s="35">
        <f>IF(OR($G906="",$X906&lt;&gt;"VALIDE"),"",IFERROR(LOOKUP(2,1/(($B6:$B905=$B906)*($G6:$G905=$G906)*($X6:$X905="VALIDE")),$C6:$C905),""))</f>
        <v/>
      </c>
      <c r="T906" s="36">
        <f>IF(OR($C906="",$S906=""),"",ROUND(($C906-$S906+IF($C906&lt;$S906,1,0))*1440,0))</f>
        <v/>
      </c>
      <c r="U906" s="22">
        <f>IF(OR($H906="",$T906="",$T906&lt;=0),"",$H906*60/$T906)</f>
        <v/>
      </c>
      <c r="V906" s="37">
        <f>IF(OR($U906="",$R906="",$R906=0),"",$U906/$R906)</f>
        <v/>
      </c>
      <c r="W906" s="20">
        <f>IF($G906="","",IF($X906="CONTEXTE INCOMPLET","CONTEXTE INCOMPLET",IF($X906="DOUBLON",StatutDoublon,IF($S906="",StatutInitial,IF($R906="",StatutStandardManquant,IF($V906="","DONNEES INSUFFISANTES",IF($V906&gt;=SeuilConforme,StatutConforme,IF($V906&gt;=SeuilSurveiller,StatutSurveiller,StatutSousStandard))))))))</f>
        <v/>
      </c>
      <c r="X906" s="33">
        <f>IF($G906="","",IF(OR($D906="",$E906="",$F906=""),"CONTEXTE INCOMPLET",IF(COUNTIFS($D6:$D905,$D906,$E6:$E905,$E906,$F6:$F905,$F906,$G6:$G905,$G906)&gt;0,"DOUBLON","VALIDE")))</f>
        <v/>
      </c>
    </row>
    <row r="907" ht="15" customHeight="1">
      <c r="A907" s="12">
        <f>IF(OR($B907="",$G907=""),"",TEXT($B907,"YYYYMMDD")&amp;"-"&amp;SUBSTITUTE($E907," ","")&amp;"-"&amp;$F907&amp;"-"&amp;$G907)</f>
        <v/>
      </c>
      <c r="B907" s="15" t="n"/>
      <c r="C907" s="16" t="n"/>
      <c r="D907" s="10" t="n"/>
      <c r="E907" s="9" t="n"/>
      <c r="F907" s="9" t="n"/>
      <c r="G907" s="13" t="n"/>
      <c r="H907" s="21" t="n"/>
      <c r="I907" s="21" t="n"/>
      <c r="J907" s="17">
        <f>IF($G907="","",IFERROR(INDEX(NomsEmployes,MATCH($G907,MatriculesEmployes,0)),"MATRICULE INCONNU"))</f>
        <v/>
      </c>
      <c r="K907" s="33">
        <f>IF(OR($D907="",$F907=""),"",IFERROR(IF(INDEX(RUNS!$L$6:$S$1005,MATCH($D907,RUNS!$A$6:$A$1005,0),MATCH("ACTIVITÉ "&amp;$F907,RUNS!$L$5:$S$5,0))="","",INDEX(RUNS!$L$6:$S$1005,MATCH($D907,RUNS!$A$6:$A$1005,0),MATCH("ACTIVITÉ "&amp;$F907,RUNS!$L$5:$S$5,0))),""))</f>
        <v/>
      </c>
      <c r="L907" s="33">
        <f>IF($D907="","",IFERROR(IF(INDEX(RUNS!$E$6:$E$1005,MATCH($D907,RUNS!$A$6:$A$1005,0))="","",INDEX(RUNS!$E$6:$E$1005,MATCH($D907,RUNS!$A$6:$A$1005,0))),""))</f>
        <v/>
      </c>
      <c r="M907" s="33">
        <f>IF($D907="","",IFERROR(IF(INDEX(RUNS!$F$6:$F$1005,MATCH($D907,RUNS!$A$6:$A$1005,0))="","",INDEX(RUNS!$F$6:$F$1005,MATCH($D907,RUNS!$A$6:$A$1005,0))),""))</f>
        <v/>
      </c>
      <c r="N907" s="33">
        <f>IF($D907="","",IFERROR(IF(INDEX(RUNS!$G$6:$G$1005,MATCH($D907,RUNS!$A$6:$A$1005,0))="","",INDEX(RUNS!$G$6:$G$1005,MATCH($D907,RUNS!$A$6:$A$1005,0))),""))</f>
        <v/>
      </c>
      <c r="O907" s="33">
        <f>IF($D907="","",IFERROR(IF(INDEX(RUNS!$H$6:$H$1005,MATCH($D907,RUNS!$A$6:$A$1005,0))="","",INDEX(RUNS!$H$6:$H$1005,MATCH($D907,RUNS!$A$6:$A$1005,0))),""))</f>
        <v/>
      </c>
      <c r="P907" s="33">
        <f>IF($D907="","",IFERROR(IF(INDEX(RUNS!$J$6:$J$1005,MATCH($D907,RUNS!$A$6:$A$1005,0))="","",INDEX(RUNS!$J$6:$J$1005,MATCH($D907,RUNS!$A$6:$A$1005,0))),""))</f>
        <v/>
      </c>
      <c r="Q907" s="33">
        <f>IF($D907="","",IFERROR(IF(INDEX(RUNS!$K$6:$K$1005,MATCH($D907,RUNS!$A$6:$A$1005,0))="","",INDEX(RUNS!$K$6:$K$1005,MATCH($D907,RUNS!$A$6:$A$1005,0))),""))</f>
        <v/>
      </c>
      <c r="R907" s="34">
        <f>IF(OR($L907="",$K907=""),"",IFERROR(IF(INDEX(PARAMETRES!$H$43:$H$342,MATCH($L907&amp;"|"&amp;$M907&amp;"|"&amp;$N907&amp;"|"&amp;$O907&amp;"|"&amp;$P907&amp;"|"&amp;$Q907&amp;"|"&amp;$K907,PARAMETRES!$J$43:$J$342,0))="","",INDEX(PARAMETRES!$H$43:$H$342,MATCH($L907&amp;"|"&amp;$M907&amp;"|"&amp;$N907&amp;"|"&amp;$O907&amp;"|"&amp;$P907&amp;"|"&amp;$Q907&amp;"|"&amp;$K907,PARAMETRES!$J$43:$J$342,0))),""))</f>
        <v/>
      </c>
      <c r="S907" s="35">
        <f>IF(OR($G907="",$X907&lt;&gt;"VALIDE"),"",IFERROR(LOOKUP(2,1/(($B7:$B906=$B907)*($G7:$G906=$G907)*($X7:$X906="VALIDE")),$C7:$C906),""))</f>
        <v/>
      </c>
      <c r="T907" s="36">
        <f>IF(OR($C907="",$S907=""),"",ROUND(($C907-$S907+IF($C907&lt;$S907,1,0))*1440,0))</f>
        <v/>
      </c>
      <c r="U907" s="22">
        <f>IF(OR($H907="",$T907="",$T907&lt;=0),"",$H907*60/$T907)</f>
        <v/>
      </c>
      <c r="V907" s="37">
        <f>IF(OR($U907="",$R907="",$R907=0),"",$U907/$R907)</f>
        <v/>
      </c>
      <c r="W907" s="20">
        <f>IF($G907="","",IF($X907="CONTEXTE INCOMPLET","CONTEXTE INCOMPLET",IF($X907="DOUBLON",StatutDoublon,IF($S907="",StatutInitial,IF($R907="",StatutStandardManquant,IF($V907="","DONNEES INSUFFISANTES",IF($V907&gt;=SeuilConforme,StatutConforme,IF($V907&gt;=SeuilSurveiller,StatutSurveiller,StatutSousStandard))))))))</f>
        <v/>
      </c>
      <c r="X907" s="33">
        <f>IF($G907="","",IF(OR($D907="",$E907="",$F907=""),"CONTEXTE INCOMPLET",IF(COUNTIFS($D7:$D906,$D907,$E7:$E906,$E907,$F7:$F906,$F907,$G7:$G906,$G907)&gt;0,"DOUBLON","VALIDE")))</f>
        <v/>
      </c>
    </row>
    <row r="908" ht="15" customHeight="1">
      <c r="A908" s="12">
        <f>IF(OR($B908="",$G908=""),"",TEXT($B908,"YYYYMMDD")&amp;"-"&amp;SUBSTITUTE($E908," ","")&amp;"-"&amp;$F908&amp;"-"&amp;$G908)</f>
        <v/>
      </c>
      <c r="B908" s="15" t="n"/>
      <c r="C908" s="16" t="n"/>
      <c r="D908" s="10" t="n"/>
      <c r="E908" s="9" t="n"/>
      <c r="F908" s="9" t="n"/>
      <c r="G908" s="13" t="n"/>
      <c r="H908" s="21" t="n"/>
      <c r="I908" s="21" t="n"/>
      <c r="J908" s="17">
        <f>IF($G908="","",IFERROR(INDEX(NomsEmployes,MATCH($G908,MatriculesEmployes,0)),"MATRICULE INCONNU"))</f>
        <v/>
      </c>
      <c r="K908" s="33">
        <f>IF(OR($D908="",$F908=""),"",IFERROR(IF(INDEX(RUNS!$L$6:$S$1005,MATCH($D908,RUNS!$A$6:$A$1005,0),MATCH("ACTIVITÉ "&amp;$F908,RUNS!$L$5:$S$5,0))="","",INDEX(RUNS!$L$6:$S$1005,MATCH($D908,RUNS!$A$6:$A$1005,0),MATCH("ACTIVITÉ "&amp;$F908,RUNS!$L$5:$S$5,0))),""))</f>
        <v/>
      </c>
      <c r="L908" s="33">
        <f>IF($D908="","",IFERROR(IF(INDEX(RUNS!$E$6:$E$1005,MATCH($D908,RUNS!$A$6:$A$1005,0))="","",INDEX(RUNS!$E$6:$E$1005,MATCH($D908,RUNS!$A$6:$A$1005,0))),""))</f>
        <v/>
      </c>
      <c r="M908" s="33">
        <f>IF($D908="","",IFERROR(IF(INDEX(RUNS!$F$6:$F$1005,MATCH($D908,RUNS!$A$6:$A$1005,0))="","",INDEX(RUNS!$F$6:$F$1005,MATCH($D908,RUNS!$A$6:$A$1005,0))),""))</f>
        <v/>
      </c>
      <c r="N908" s="33">
        <f>IF($D908="","",IFERROR(IF(INDEX(RUNS!$G$6:$G$1005,MATCH($D908,RUNS!$A$6:$A$1005,0))="","",INDEX(RUNS!$G$6:$G$1005,MATCH($D908,RUNS!$A$6:$A$1005,0))),""))</f>
        <v/>
      </c>
      <c r="O908" s="33">
        <f>IF($D908="","",IFERROR(IF(INDEX(RUNS!$H$6:$H$1005,MATCH($D908,RUNS!$A$6:$A$1005,0))="","",INDEX(RUNS!$H$6:$H$1005,MATCH($D908,RUNS!$A$6:$A$1005,0))),""))</f>
        <v/>
      </c>
      <c r="P908" s="33">
        <f>IF($D908="","",IFERROR(IF(INDEX(RUNS!$J$6:$J$1005,MATCH($D908,RUNS!$A$6:$A$1005,0))="","",INDEX(RUNS!$J$6:$J$1005,MATCH($D908,RUNS!$A$6:$A$1005,0))),""))</f>
        <v/>
      </c>
      <c r="Q908" s="33">
        <f>IF($D908="","",IFERROR(IF(INDEX(RUNS!$K$6:$K$1005,MATCH($D908,RUNS!$A$6:$A$1005,0))="","",INDEX(RUNS!$K$6:$K$1005,MATCH($D908,RUNS!$A$6:$A$1005,0))),""))</f>
        <v/>
      </c>
      <c r="R908" s="34">
        <f>IF(OR($L908="",$K908=""),"",IFERROR(IF(INDEX(PARAMETRES!$H$43:$H$342,MATCH($L908&amp;"|"&amp;$M908&amp;"|"&amp;$N908&amp;"|"&amp;$O908&amp;"|"&amp;$P908&amp;"|"&amp;$Q908&amp;"|"&amp;$K908,PARAMETRES!$J$43:$J$342,0))="","",INDEX(PARAMETRES!$H$43:$H$342,MATCH($L908&amp;"|"&amp;$M908&amp;"|"&amp;$N908&amp;"|"&amp;$O908&amp;"|"&amp;$P908&amp;"|"&amp;$Q908&amp;"|"&amp;$K908,PARAMETRES!$J$43:$J$342,0))),""))</f>
        <v/>
      </c>
      <c r="S908" s="35">
        <f>IF(OR($G908="",$X908&lt;&gt;"VALIDE"),"",IFERROR(LOOKUP(2,1/(($B8:$B907=$B908)*($G8:$G907=$G908)*($X8:$X907="VALIDE")),$C8:$C907),""))</f>
        <v/>
      </c>
      <c r="T908" s="36">
        <f>IF(OR($C908="",$S908=""),"",ROUND(($C908-$S908+IF($C908&lt;$S908,1,0))*1440,0))</f>
        <v/>
      </c>
      <c r="U908" s="22">
        <f>IF(OR($H908="",$T908="",$T908&lt;=0),"",$H908*60/$T908)</f>
        <v/>
      </c>
      <c r="V908" s="37">
        <f>IF(OR($U908="",$R908="",$R908=0),"",$U908/$R908)</f>
        <v/>
      </c>
      <c r="W908" s="20">
        <f>IF($G908="","",IF($X908="CONTEXTE INCOMPLET","CONTEXTE INCOMPLET",IF($X908="DOUBLON",StatutDoublon,IF($S908="",StatutInitial,IF($R908="",StatutStandardManquant,IF($V908="","DONNEES INSUFFISANTES",IF($V908&gt;=SeuilConforme,StatutConforme,IF($V908&gt;=SeuilSurveiller,StatutSurveiller,StatutSousStandard))))))))</f>
        <v/>
      </c>
      <c r="X908" s="33">
        <f>IF($G908="","",IF(OR($D908="",$E908="",$F908=""),"CONTEXTE INCOMPLET",IF(COUNTIFS($D8:$D907,$D908,$E8:$E907,$E908,$F8:$F907,$F908,$G8:$G907,$G908)&gt;0,"DOUBLON","VALIDE")))</f>
        <v/>
      </c>
    </row>
    <row r="909" ht="15" customHeight="1">
      <c r="A909" s="12">
        <f>IF(OR($B909="",$G909=""),"",TEXT($B909,"YYYYMMDD")&amp;"-"&amp;SUBSTITUTE($E909," ","")&amp;"-"&amp;$F909&amp;"-"&amp;$G909)</f>
        <v/>
      </c>
      <c r="B909" s="15" t="n"/>
      <c r="C909" s="16" t="n"/>
      <c r="D909" s="10" t="n"/>
      <c r="E909" s="9" t="n"/>
      <c r="F909" s="9" t="n"/>
      <c r="G909" s="13" t="n"/>
      <c r="H909" s="21" t="n"/>
      <c r="I909" s="21" t="n"/>
      <c r="J909" s="17">
        <f>IF($G909="","",IFERROR(INDEX(NomsEmployes,MATCH($G909,MatriculesEmployes,0)),"MATRICULE INCONNU"))</f>
        <v/>
      </c>
      <c r="K909" s="33">
        <f>IF(OR($D909="",$F909=""),"",IFERROR(IF(INDEX(RUNS!$L$6:$S$1005,MATCH($D909,RUNS!$A$6:$A$1005,0),MATCH("ACTIVITÉ "&amp;$F909,RUNS!$L$5:$S$5,0))="","",INDEX(RUNS!$L$6:$S$1005,MATCH($D909,RUNS!$A$6:$A$1005,0),MATCH("ACTIVITÉ "&amp;$F909,RUNS!$L$5:$S$5,0))),""))</f>
        <v/>
      </c>
      <c r="L909" s="33">
        <f>IF($D909="","",IFERROR(IF(INDEX(RUNS!$E$6:$E$1005,MATCH($D909,RUNS!$A$6:$A$1005,0))="","",INDEX(RUNS!$E$6:$E$1005,MATCH($D909,RUNS!$A$6:$A$1005,0))),""))</f>
        <v/>
      </c>
      <c r="M909" s="33">
        <f>IF($D909="","",IFERROR(IF(INDEX(RUNS!$F$6:$F$1005,MATCH($D909,RUNS!$A$6:$A$1005,0))="","",INDEX(RUNS!$F$6:$F$1005,MATCH($D909,RUNS!$A$6:$A$1005,0))),""))</f>
        <v/>
      </c>
      <c r="N909" s="33">
        <f>IF($D909="","",IFERROR(IF(INDEX(RUNS!$G$6:$G$1005,MATCH($D909,RUNS!$A$6:$A$1005,0))="","",INDEX(RUNS!$G$6:$G$1005,MATCH($D909,RUNS!$A$6:$A$1005,0))),""))</f>
        <v/>
      </c>
      <c r="O909" s="33">
        <f>IF($D909="","",IFERROR(IF(INDEX(RUNS!$H$6:$H$1005,MATCH($D909,RUNS!$A$6:$A$1005,0))="","",INDEX(RUNS!$H$6:$H$1005,MATCH($D909,RUNS!$A$6:$A$1005,0))),""))</f>
        <v/>
      </c>
      <c r="P909" s="33">
        <f>IF($D909="","",IFERROR(IF(INDEX(RUNS!$J$6:$J$1005,MATCH($D909,RUNS!$A$6:$A$1005,0))="","",INDEX(RUNS!$J$6:$J$1005,MATCH($D909,RUNS!$A$6:$A$1005,0))),""))</f>
        <v/>
      </c>
      <c r="Q909" s="33">
        <f>IF($D909="","",IFERROR(IF(INDEX(RUNS!$K$6:$K$1005,MATCH($D909,RUNS!$A$6:$A$1005,0))="","",INDEX(RUNS!$K$6:$K$1005,MATCH($D909,RUNS!$A$6:$A$1005,0))),""))</f>
        <v/>
      </c>
      <c r="R909" s="34">
        <f>IF(OR($L909="",$K909=""),"",IFERROR(IF(INDEX(PARAMETRES!$H$43:$H$342,MATCH($L909&amp;"|"&amp;$M909&amp;"|"&amp;$N909&amp;"|"&amp;$O909&amp;"|"&amp;$P909&amp;"|"&amp;$Q909&amp;"|"&amp;$K909,PARAMETRES!$J$43:$J$342,0))="","",INDEX(PARAMETRES!$H$43:$H$342,MATCH($L909&amp;"|"&amp;$M909&amp;"|"&amp;$N909&amp;"|"&amp;$O909&amp;"|"&amp;$P909&amp;"|"&amp;$Q909&amp;"|"&amp;$K909,PARAMETRES!$J$43:$J$342,0))),""))</f>
        <v/>
      </c>
      <c r="S909" s="35">
        <f>IF(OR($G909="",$X909&lt;&gt;"VALIDE"),"",IFERROR(LOOKUP(2,1/(($B9:$B908=$B909)*($G9:$G908=$G909)*($X9:$X908="VALIDE")),$C9:$C908),""))</f>
        <v/>
      </c>
      <c r="T909" s="36">
        <f>IF(OR($C909="",$S909=""),"",ROUND(($C909-$S909+IF($C909&lt;$S909,1,0))*1440,0))</f>
        <v/>
      </c>
      <c r="U909" s="22">
        <f>IF(OR($H909="",$T909="",$T909&lt;=0),"",$H909*60/$T909)</f>
        <v/>
      </c>
      <c r="V909" s="37">
        <f>IF(OR($U909="",$R909="",$R909=0),"",$U909/$R909)</f>
        <v/>
      </c>
      <c r="W909" s="20">
        <f>IF($G909="","",IF($X909="CONTEXTE INCOMPLET","CONTEXTE INCOMPLET",IF($X909="DOUBLON",StatutDoublon,IF($S909="",StatutInitial,IF($R909="",StatutStandardManquant,IF($V909="","DONNEES INSUFFISANTES",IF($V909&gt;=SeuilConforme,StatutConforme,IF($V909&gt;=SeuilSurveiller,StatutSurveiller,StatutSousStandard))))))))</f>
        <v/>
      </c>
      <c r="X909" s="33">
        <f>IF($G909="","",IF(OR($D909="",$E909="",$F909=""),"CONTEXTE INCOMPLET",IF(COUNTIFS($D9:$D908,$D909,$E9:$E908,$E909,$F9:$F908,$F909,$G9:$G908,$G909)&gt;0,"DOUBLON","VALIDE")))</f>
        <v/>
      </c>
    </row>
    <row r="910" ht="15" customHeight="1">
      <c r="A910" s="12">
        <f>IF(OR($B910="",$G910=""),"",TEXT($B910,"YYYYMMDD")&amp;"-"&amp;SUBSTITUTE($E910," ","")&amp;"-"&amp;$F910&amp;"-"&amp;$G910)</f>
        <v/>
      </c>
      <c r="B910" s="15" t="n"/>
      <c r="C910" s="16" t="n"/>
      <c r="D910" s="10" t="n"/>
      <c r="E910" s="9" t="n"/>
      <c r="F910" s="9" t="n"/>
      <c r="G910" s="13" t="n"/>
      <c r="H910" s="21" t="n"/>
      <c r="I910" s="21" t="n"/>
      <c r="J910" s="17">
        <f>IF($G910="","",IFERROR(INDEX(NomsEmployes,MATCH($G910,MatriculesEmployes,0)),"MATRICULE INCONNU"))</f>
        <v/>
      </c>
      <c r="K910" s="33">
        <f>IF(OR($D910="",$F910=""),"",IFERROR(IF(INDEX(RUNS!$L$6:$S$1005,MATCH($D910,RUNS!$A$6:$A$1005,0),MATCH("ACTIVITÉ "&amp;$F910,RUNS!$L$5:$S$5,0))="","",INDEX(RUNS!$L$6:$S$1005,MATCH($D910,RUNS!$A$6:$A$1005,0),MATCH("ACTIVITÉ "&amp;$F910,RUNS!$L$5:$S$5,0))),""))</f>
        <v/>
      </c>
      <c r="L910" s="33">
        <f>IF($D910="","",IFERROR(IF(INDEX(RUNS!$E$6:$E$1005,MATCH($D910,RUNS!$A$6:$A$1005,0))="","",INDEX(RUNS!$E$6:$E$1005,MATCH($D910,RUNS!$A$6:$A$1005,0))),""))</f>
        <v/>
      </c>
      <c r="M910" s="33">
        <f>IF($D910="","",IFERROR(IF(INDEX(RUNS!$F$6:$F$1005,MATCH($D910,RUNS!$A$6:$A$1005,0))="","",INDEX(RUNS!$F$6:$F$1005,MATCH($D910,RUNS!$A$6:$A$1005,0))),""))</f>
        <v/>
      </c>
      <c r="N910" s="33">
        <f>IF($D910="","",IFERROR(IF(INDEX(RUNS!$G$6:$G$1005,MATCH($D910,RUNS!$A$6:$A$1005,0))="","",INDEX(RUNS!$G$6:$G$1005,MATCH($D910,RUNS!$A$6:$A$1005,0))),""))</f>
        <v/>
      </c>
      <c r="O910" s="33">
        <f>IF($D910="","",IFERROR(IF(INDEX(RUNS!$H$6:$H$1005,MATCH($D910,RUNS!$A$6:$A$1005,0))="","",INDEX(RUNS!$H$6:$H$1005,MATCH($D910,RUNS!$A$6:$A$1005,0))),""))</f>
        <v/>
      </c>
      <c r="P910" s="33">
        <f>IF($D910="","",IFERROR(IF(INDEX(RUNS!$J$6:$J$1005,MATCH($D910,RUNS!$A$6:$A$1005,0))="","",INDEX(RUNS!$J$6:$J$1005,MATCH($D910,RUNS!$A$6:$A$1005,0))),""))</f>
        <v/>
      </c>
      <c r="Q910" s="33">
        <f>IF($D910="","",IFERROR(IF(INDEX(RUNS!$K$6:$K$1005,MATCH($D910,RUNS!$A$6:$A$1005,0))="","",INDEX(RUNS!$K$6:$K$1005,MATCH($D910,RUNS!$A$6:$A$1005,0))),""))</f>
        <v/>
      </c>
      <c r="R910" s="34">
        <f>IF(OR($L910="",$K910=""),"",IFERROR(IF(INDEX(PARAMETRES!$H$43:$H$342,MATCH($L910&amp;"|"&amp;$M910&amp;"|"&amp;$N910&amp;"|"&amp;$O910&amp;"|"&amp;$P910&amp;"|"&amp;$Q910&amp;"|"&amp;$K910,PARAMETRES!$J$43:$J$342,0))="","",INDEX(PARAMETRES!$H$43:$H$342,MATCH($L910&amp;"|"&amp;$M910&amp;"|"&amp;$N910&amp;"|"&amp;$O910&amp;"|"&amp;$P910&amp;"|"&amp;$Q910&amp;"|"&amp;$K910,PARAMETRES!$J$43:$J$342,0))),""))</f>
        <v/>
      </c>
      <c r="S910" s="35">
        <f>IF(OR($G910="",$X910&lt;&gt;"VALIDE"),"",IFERROR(LOOKUP(2,1/(($B10:$B909=$B910)*($G10:$G909=$G910)*($X10:$X909="VALIDE")),$C10:$C909),""))</f>
        <v/>
      </c>
      <c r="T910" s="36">
        <f>IF(OR($C910="",$S910=""),"",ROUND(($C910-$S910+IF($C910&lt;$S910,1,0))*1440,0))</f>
        <v/>
      </c>
      <c r="U910" s="22">
        <f>IF(OR($H910="",$T910="",$T910&lt;=0),"",$H910*60/$T910)</f>
        <v/>
      </c>
      <c r="V910" s="37">
        <f>IF(OR($U910="",$R910="",$R910=0),"",$U910/$R910)</f>
        <v/>
      </c>
      <c r="W910" s="20">
        <f>IF($G910="","",IF($X910="CONTEXTE INCOMPLET","CONTEXTE INCOMPLET",IF($X910="DOUBLON",StatutDoublon,IF($S910="",StatutInitial,IF($R910="",StatutStandardManquant,IF($V910="","DONNEES INSUFFISANTES",IF($V910&gt;=SeuilConforme,StatutConforme,IF($V910&gt;=SeuilSurveiller,StatutSurveiller,StatutSousStandard))))))))</f>
        <v/>
      </c>
      <c r="X910" s="33">
        <f>IF($G910="","",IF(OR($D910="",$E910="",$F910=""),"CONTEXTE INCOMPLET",IF(COUNTIFS($D10:$D909,$D910,$E10:$E909,$E910,$F10:$F909,$F910,$G10:$G909,$G910)&gt;0,"DOUBLON","VALIDE")))</f>
        <v/>
      </c>
    </row>
    <row r="911" ht="15" customHeight="1">
      <c r="A911" s="12">
        <f>IF(OR($B911="",$G911=""),"",TEXT($B911,"YYYYMMDD")&amp;"-"&amp;SUBSTITUTE($E911," ","")&amp;"-"&amp;$F911&amp;"-"&amp;$G911)</f>
        <v/>
      </c>
      <c r="B911" s="15" t="n"/>
      <c r="C911" s="16" t="n"/>
      <c r="D911" s="10" t="n"/>
      <c r="E911" s="9" t="n"/>
      <c r="F911" s="9" t="n"/>
      <c r="G911" s="13" t="n"/>
      <c r="H911" s="21" t="n"/>
      <c r="I911" s="21" t="n"/>
      <c r="J911" s="17">
        <f>IF($G911="","",IFERROR(INDEX(NomsEmployes,MATCH($G911,MatriculesEmployes,0)),"MATRICULE INCONNU"))</f>
        <v/>
      </c>
      <c r="K911" s="33">
        <f>IF(OR($D911="",$F911=""),"",IFERROR(IF(INDEX(RUNS!$L$6:$S$1005,MATCH($D911,RUNS!$A$6:$A$1005,0),MATCH("ACTIVITÉ "&amp;$F911,RUNS!$L$5:$S$5,0))="","",INDEX(RUNS!$L$6:$S$1005,MATCH($D911,RUNS!$A$6:$A$1005,0),MATCH("ACTIVITÉ "&amp;$F911,RUNS!$L$5:$S$5,0))),""))</f>
        <v/>
      </c>
      <c r="L911" s="33">
        <f>IF($D911="","",IFERROR(IF(INDEX(RUNS!$E$6:$E$1005,MATCH($D911,RUNS!$A$6:$A$1005,0))="","",INDEX(RUNS!$E$6:$E$1005,MATCH($D911,RUNS!$A$6:$A$1005,0))),""))</f>
        <v/>
      </c>
      <c r="M911" s="33">
        <f>IF($D911="","",IFERROR(IF(INDEX(RUNS!$F$6:$F$1005,MATCH($D911,RUNS!$A$6:$A$1005,0))="","",INDEX(RUNS!$F$6:$F$1005,MATCH($D911,RUNS!$A$6:$A$1005,0))),""))</f>
        <v/>
      </c>
      <c r="N911" s="33">
        <f>IF($D911="","",IFERROR(IF(INDEX(RUNS!$G$6:$G$1005,MATCH($D911,RUNS!$A$6:$A$1005,0))="","",INDEX(RUNS!$G$6:$G$1005,MATCH($D911,RUNS!$A$6:$A$1005,0))),""))</f>
        <v/>
      </c>
      <c r="O911" s="33">
        <f>IF($D911="","",IFERROR(IF(INDEX(RUNS!$H$6:$H$1005,MATCH($D911,RUNS!$A$6:$A$1005,0))="","",INDEX(RUNS!$H$6:$H$1005,MATCH($D911,RUNS!$A$6:$A$1005,0))),""))</f>
        <v/>
      </c>
      <c r="P911" s="33">
        <f>IF($D911="","",IFERROR(IF(INDEX(RUNS!$J$6:$J$1005,MATCH($D911,RUNS!$A$6:$A$1005,0))="","",INDEX(RUNS!$J$6:$J$1005,MATCH($D911,RUNS!$A$6:$A$1005,0))),""))</f>
        <v/>
      </c>
      <c r="Q911" s="33">
        <f>IF($D911="","",IFERROR(IF(INDEX(RUNS!$K$6:$K$1005,MATCH($D911,RUNS!$A$6:$A$1005,0))="","",INDEX(RUNS!$K$6:$K$1005,MATCH($D911,RUNS!$A$6:$A$1005,0))),""))</f>
        <v/>
      </c>
      <c r="R911" s="34">
        <f>IF(OR($L911="",$K911=""),"",IFERROR(IF(INDEX(PARAMETRES!$H$43:$H$342,MATCH($L911&amp;"|"&amp;$M911&amp;"|"&amp;$N911&amp;"|"&amp;$O911&amp;"|"&amp;$P911&amp;"|"&amp;$Q911&amp;"|"&amp;$K911,PARAMETRES!$J$43:$J$342,0))="","",INDEX(PARAMETRES!$H$43:$H$342,MATCH($L911&amp;"|"&amp;$M911&amp;"|"&amp;$N911&amp;"|"&amp;$O911&amp;"|"&amp;$P911&amp;"|"&amp;$Q911&amp;"|"&amp;$K911,PARAMETRES!$J$43:$J$342,0))),""))</f>
        <v/>
      </c>
      <c r="S911" s="35">
        <f>IF(OR($G911="",$X911&lt;&gt;"VALIDE"),"",IFERROR(LOOKUP(2,1/(($B11:$B910=$B911)*($G11:$G910=$G911)*($X11:$X910="VALIDE")),$C11:$C910),""))</f>
        <v/>
      </c>
      <c r="T911" s="36">
        <f>IF(OR($C911="",$S911=""),"",ROUND(($C911-$S911+IF($C911&lt;$S911,1,0))*1440,0))</f>
        <v/>
      </c>
      <c r="U911" s="22">
        <f>IF(OR($H911="",$T911="",$T911&lt;=0),"",$H911*60/$T911)</f>
        <v/>
      </c>
      <c r="V911" s="37">
        <f>IF(OR($U911="",$R911="",$R911=0),"",$U911/$R911)</f>
        <v/>
      </c>
      <c r="W911" s="20">
        <f>IF($G911="","",IF($X911="CONTEXTE INCOMPLET","CONTEXTE INCOMPLET",IF($X911="DOUBLON",StatutDoublon,IF($S911="",StatutInitial,IF($R911="",StatutStandardManquant,IF($V911="","DONNEES INSUFFISANTES",IF($V911&gt;=SeuilConforme,StatutConforme,IF($V911&gt;=SeuilSurveiller,StatutSurveiller,StatutSousStandard))))))))</f>
        <v/>
      </c>
      <c r="X911" s="33">
        <f>IF($G911="","",IF(OR($D911="",$E911="",$F911=""),"CONTEXTE INCOMPLET",IF(COUNTIFS($D11:$D910,$D911,$E11:$E910,$E911,$F11:$F910,$F911,$G11:$G910,$G911)&gt;0,"DOUBLON","VALIDE")))</f>
        <v/>
      </c>
    </row>
    <row r="912" ht="15" customHeight="1">
      <c r="A912" s="12">
        <f>IF(OR($B912="",$G912=""),"",TEXT($B912,"YYYYMMDD")&amp;"-"&amp;SUBSTITUTE($E912," ","")&amp;"-"&amp;$F912&amp;"-"&amp;$G912)</f>
        <v/>
      </c>
      <c r="B912" s="15" t="n"/>
      <c r="C912" s="16" t="n"/>
      <c r="D912" s="10" t="n"/>
      <c r="E912" s="9" t="n"/>
      <c r="F912" s="9" t="n"/>
      <c r="G912" s="13" t="n"/>
      <c r="H912" s="21" t="n"/>
      <c r="I912" s="21" t="n"/>
      <c r="J912" s="17">
        <f>IF($G912="","",IFERROR(INDEX(NomsEmployes,MATCH($G912,MatriculesEmployes,0)),"MATRICULE INCONNU"))</f>
        <v/>
      </c>
      <c r="K912" s="33">
        <f>IF(OR($D912="",$F912=""),"",IFERROR(IF(INDEX(RUNS!$L$6:$S$1005,MATCH($D912,RUNS!$A$6:$A$1005,0),MATCH("ACTIVITÉ "&amp;$F912,RUNS!$L$5:$S$5,0))="","",INDEX(RUNS!$L$6:$S$1005,MATCH($D912,RUNS!$A$6:$A$1005,0),MATCH("ACTIVITÉ "&amp;$F912,RUNS!$L$5:$S$5,0))),""))</f>
        <v/>
      </c>
      <c r="L912" s="33">
        <f>IF($D912="","",IFERROR(IF(INDEX(RUNS!$E$6:$E$1005,MATCH($D912,RUNS!$A$6:$A$1005,0))="","",INDEX(RUNS!$E$6:$E$1005,MATCH($D912,RUNS!$A$6:$A$1005,0))),""))</f>
        <v/>
      </c>
      <c r="M912" s="33">
        <f>IF($D912="","",IFERROR(IF(INDEX(RUNS!$F$6:$F$1005,MATCH($D912,RUNS!$A$6:$A$1005,0))="","",INDEX(RUNS!$F$6:$F$1005,MATCH($D912,RUNS!$A$6:$A$1005,0))),""))</f>
        <v/>
      </c>
      <c r="N912" s="33">
        <f>IF($D912="","",IFERROR(IF(INDEX(RUNS!$G$6:$G$1005,MATCH($D912,RUNS!$A$6:$A$1005,0))="","",INDEX(RUNS!$G$6:$G$1005,MATCH($D912,RUNS!$A$6:$A$1005,0))),""))</f>
        <v/>
      </c>
      <c r="O912" s="33">
        <f>IF($D912="","",IFERROR(IF(INDEX(RUNS!$H$6:$H$1005,MATCH($D912,RUNS!$A$6:$A$1005,0))="","",INDEX(RUNS!$H$6:$H$1005,MATCH($D912,RUNS!$A$6:$A$1005,0))),""))</f>
        <v/>
      </c>
      <c r="P912" s="33">
        <f>IF($D912="","",IFERROR(IF(INDEX(RUNS!$J$6:$J$1005,MATCH($D912,RUNS!$A$6:$A$1005,0))="","",INDEX(RUNS!$J$6:$J$1005,MATCH($D912,RUNS!$A$6:$A$1005,0))),""))</f>
        <v/>
      </c>
      <c r="Q912" s="33">
        <f>IF($D912="","",IFERROR(IF(INDEX(RUNS!$K$6:$K$1005,MATCH($D912,RUNS!$A$6:$A$1005,0))="","",INDEX(RUNS!$K$6:$K$1005,MATCH($D912,RUNS!$A$6:$A$1005,0))),""))</f>
        <v/>
      </c>
      <c r="R912" s="34">
        <f>IF(OR($L912="",$K912=""),"",IFERROR(IF(INDEX(PARAMETRES!$H$43:$H$342,MATCH($L912&amp;"|"&amp;$M912&amp;"|"&amp;$N912&amp;"|"&amp;$O912&amp;"|"&amp;$P912&amp;"|"&amp;$Q912&amp;"|"&amp;$K912,PARAMETRES!$J$43:$J$342,0))="","",INDEX(PARAMETRES!$H$43:$H$342,MATCH($L912&amp;"|"&amp;$M912&amp;"|"&amp;$N912&amp;"|"&amp;$O912&amp;"|"&amp;$P912&amp;"|"&amp;$Q912&amp;"|"&amp;$K912,PARAMETRES!$J$43:$J$342,0))),""))</f>
        <v/>
      </c>
      <c r="S912" s="35">
        <f>IF(OR($G912="",$X912&lt;&gt;"VALIDE"),"",IFERROR(LOOKUP(2,1/(($B12:$B911=$B912)*($G12:$G911=$G912)*($X12:$X911="VALIDE")),$C12:$C911),""))</f>
        <v/>
      </c>
      <c r="T912" s="36">
        <f>IF(OR($C912="",$S912=""),"",ROUND(($C912-$S912+IF($C912&lt;$S912,1,0))*1440,0))</f>
        <v/>
      </c>
      <c r="U912" s="22">
        <f>IF(OR($H912="",$T912="",$T912&lt;=0),"",$H912*60/$T912)</f>
        <v/>
      </c>
      <c r="V912" s="37">
        <f>IF(OR($U912="",$R912="",$R912=0),"",$U912/$R912)</f>
        <v/>
      </c>
      <c r="W912" s="20">
        <f>IF($G912="","",IF($X912="CONTEXTE INCOMPLET","CONTEXTE INCOMPLET",IF($X912="DOUBLON",StatutDoublon,IF($S912="",StatutInitial,IF($R912="",StatutStandardManquant,IF($V912="","DONNEES INSUFFISANTES",IF($V912&gt;=SeuilConforme,StatutConforme,IF($V912&gt;=SeuilSurveiller,StatutSurveiller,StatutSousStandard))))))))</f>
        <v/>
      </c>
      <c r="X912" s="33">
        <f>IF($G912="","",IF(OR($D912="",$E912="",$F912=""),"CONTEXTE INCOMPLET",IF(COUNTIFS($D12:$D911,$D912,$E12:$E911,$E912,$F12:$F911,$F912,$G12:$G911,$G912)&gt;0,"DOUBLON","VALIDE")))</f>
        <v/>
      </c>
    </row>
    <row r="913" ht="15" customHeight="1">
      <c r="A913" s="12">
        <f>IF(OR($B913="",$G913=""),"",TEXT($B913,"YYYYMMDD")&amp;"-"&amp;SUBSTITUTE($E913," ","")&amp;"-"&amp;$F913&amp;"-"&amp;$G913)</f>
        <v/>
      </c>
      <c r="B913" s="15" t="n"/>
      <c r="C913" s="16" t="n"/>
      <c r="D913" s="10" t="n"/>
      <c r="E913" s="9" t="n"/>
      <c r="F913" s="9" t="n"/>
      <c r="G913" s="13" t="n"/>
      <c r="H913" s="21" t="n"/>
      <c r="I913" s="21" t="n"/>
      <c r="J913" s="17">
        <f>IF($G913="","",IFERROR(INDEX(NomsEmployes,MATCH($G913,MatriculesEmployes,0)),"MATRICULE INCONNU"))</f>
        <v/>
      </c>
      <c r="K913" s="33">
        <f>IF(OR($D913="",$F913=""),"",IFERROR(IF(INDEX(RUNS!$L$6:$S$1005,MATCH($D913,RUNS!$A$6:$A$1005,0),MATCH("ACTIVITÉ "&amp;$F913,RUNS!$L$5:$S$5,0))="","",INDEX(RUNS!$L$6:$S$1005,MATCH($D913,RUNS!$A$6:$A$1005,0),MATCH("ACTIVITÉ "&amp;$F913,RUNS!$L$5:$S$5,0))),""))</f>
        <v/>
      </c>
      <c r="L913" s="33">
        <f>IF($D913="","",IFERROR(IF(INDEX(RUNS!$E$6:$E$1005,MATCH($D913,RUNS!$A$6:$A$1005,0))="","",INDEX(RUNS!$E$6:$E$1005,MATCH($D913,RUNS!$A$6:$A$1005,0))),""))</f>
        <v/>
      </c>
      <c r="M913" s="33">
        <f>IF($D913="","",IFERROR(IF(INDEX(RUNS!$F$6:$F$1005,MATCH($D913,RUNS!$A$6:$A$1005,0))="","",INDEX(RUNS!$F$6:$F$1005,MATCH($D913,RUNS!$A$6:$A$1005,0))),""))</f>
        <v/>
      </c>
      <c r="N913" s="33">
        <f>IF($D913="","",IFERROR(IF(INDEX(RUNS!$G$6:$G$1005,MATCH($D913,RUNS!$A$6:$A$1005,0))="","",INDEX(RUNS!$G$6:$G$1005,MATCH($D913,RUNS!$A$6:$A$1005,0))),""))</f>
        <v/>
      </c>
      <c r="O913" s="33">
        <f>IF($D913="","",IFERROR(IF(INDEX(RUNS!$H$6:$H$1005,MATCH($D913,RUNS!$A$6:$A$1005,0))="","",INDEX(RUNS!$H$6:$H$1005,MATCH($D913,RUNS!$A$6:$A$1005,0))),""))</f>
        <v/>
      </c>
      <c r="P913" s="33">
        <f>IF($D913="","",IFERROR(IF(INDEX(RUNS!$J$6:$J$1005,MATCH($D913,RUNS!$A$6:$A$1005,0))="","",INDEX(RUNS!$J$6:$J$1005,MATCH($D913,RUNS!$A$6:$A$1005,0))),""))</f>
        <v/>
      </c>
      <c r="Q913" s="33">
        <f>IF($D913="","",IFERROR(IF(INDEX(RUNS!$K$6:$K$1005,MATCH($D913,RUNS!$A$6:$A$1005,0))="","",INDEX(RUNS!$K$6:$K$1005,MATCH($D913,RUNS!$A$6:$A$1005,0))),""))</f>
        <v/>
      </c>
      <c r="R913" s="34">
        <f>IF(OR($L913="",$K913=""),"",IFERROR(IF(INDEX(PARAMETRES!$H$43:$H$342,MATCH($L913&amp;"|"&amp;$M913&amp;"|"&amp;$N913&amp;"|"&amp;$O913&amp;"|"&amp;$P913&amp;"|"&amp;$Q913&amp;"|"&amp;$K913,PARAMETRES!$J$43:$J$342,0))="","",INDEX(PARAMETRES!$H$43:$H$342,MATCH($L913&amp;"|"&amp;$M913&amp;"|"&amp;$N913&amp;"|"&amp;$O913&amp;"|"&amp;$P913&amp;"|"&amp;$Q913&amp;"|"&amp;$K913,PARAMETRES!$J$43:$J$342,0))),""))</f>
        <v/>
      </c>
      <c r="S913" s="35">
        <f>IF(OR($G913="",$X913&lt;&gt;"VALIDE"),"",IFERROR(LOOKUP(2,1/(($B13:$B912=$B913)*($G13:$G912=$G913)*($X13:$X912="VALIDE")),$C13:$C912),""))</f>
        <v/>
      </c>
      <c r="T913" s="36">
        <f>IF(OR($C913="",$S913=""),"",ROUND(($C913-$S913+IF($C913&lt;$S913,1,0))*1440,0))</f>
        <v/>
      </c>
      <c r="U913" s="22">
        <f>IF(OR($H913="",$T913="",$T913&lt;=0),"",$H913*60/$T913)</f>
        <v/>
      </c>
      <c r="V913" s="37">
        <f>IF(OR($U913="",$R913="",$R913=0),"",$U913/$R913)</f>
        <v/>
      </c>
      <c r="W913" s="20">
        <f>IF($G913="","",IF($X913="CONTEXTE INCOMPLET","CONTEXTE INCOMPLET",IF($X913="DOUBLON",StatutDoublon,IF($S913="",StatutInitial,IF($R913="",StatutStandardManquant,IF($V913="","DONNEES INSUFFISANTES",IF($V913&gt;=SeuilConforme,StatutConforme,IF($V913&gt;=SeuilSurveiller,StatutSurveiller,StatutSousStandard))))))))</f>
        <v/>
      </c>
      <c r="X913" s="33">
        <f>IF($G913="","",IF(OR($D913="",$E913="",$F913=""),"CONTEXTE INCOMPLET",IF(COUNTIFS($D13:$D912,$D913,$E13:$E912,$E913,$F13:$F912,$F913,$G13:$G912,$G913)&gt;0,"DOUBLON","VALIDE")))</f>
        <v/>
      </c>
    </row>
    <row r="914" ht="15" customHeight="1">
      <c r="A914" s="12">
        <f>IF(OR($B914="",$G914=""),"",TEXT($B914,"YYYYMMDD")&amp;"-"&amp;SUBSTITUTE($E914," ","")&amp;"-"&amp;$F914&amp;"-"&amp;$G914)</f>
        <v/>
      </c>
      <c r="B914" s="15" t="n"/>
      <c r="C914" s="16" t="n"/>
      <c r="D914" s="10" t="n"/>
      <c r="E914" s="9" t="n"/>
      <c r="F914" s="9" t="n"/>
      <c r="G914" s="13" t="n"/>
      <c r="H914" s="21" t="n"/>
      <c r="I914" s="21" t="n"/>
      <c r="J914" s="17">
        <f>IF($G914="","",IFERROR(INDEX(NomsEmployes,MATCH($G914,MatriculesEmployes,0)),"MATRICULE INCONNU"))</f>
        <v/>
      </c>
      <c r="K914" s="33">
        <f>IF(OR($D914="",$F914=""),"",IFERROR(IF(INDEX(RUNS!$L$6:$S$1005,MATCH($D914,RUNS!$A$6:$A$1005,0),MATCH("ACTIVITÉ "&amp;$F914,RUNS!$L$5:$S$5,0))="","",INDEX(RUNS!$L$6:$S$1005,MATCH($D914,RUNS!$A$6:$A$1005,0),MATCH("ACTIVITÉ "&amp;$F914,RUNS!$L$5:$S$5,0))),""))</f>
        <v/>
      </c>
      <c r="L914" s="33">
        <f>IF($D914="","",IFERROR(IF(INDEX(RUNS!$E$6:$E$1005,MATCH($D914,RUNS!$A$6:$A$1005,0))="","",INDEX(RUNS!$E$6:$E$1005,MATCH($D914,RUNS!$A$6:$A$1005,0))),""))</f>
        <v/>
      </c>
      <c r="M914" s="33">
        <f>IF($D914="","",IFERROR(IF(INDEX(RUNS!$F$6:$F$1005,MATCH($D914,RUNS!$A$6:$A$1005,0))="","",INDEX(RUNS!$F$6:$F$1005,MATCH($D914,RUNS!$A$6:$A$1005,0))),""))</f>
        <v/>
      </c>
      <c r="N914" s="33">
        <f>IF($D914="","",IFERROR(IF(INDEX(RUNS!$G$6:$G$1005,MATCH($D914,RUNS!$A$6:$A$1005,0))="","",INDEX(RUNS!$G$6:$G$1005,MATCH($D914,RUNS!$A$6:$A$1005,0))),""))</f>
        <v/>
      </c>
      <c r="O914" s="33">
        <f>IF($D914="","",IFERROR(IF(INDEX(RUNS!$H$6:$H$1005,MATCH($D914,RUNS!$A$6:$A$1005,0))="","",INDEX(RUNS!$H$6:$H$1005,MATCH($D914,RUNS!$A$6:$A$1005,0))),""))</f>
        <v/>
      </c>
      <c r="P914" s="33">
        <f>IF($D914="","",IFERROR(IF(INDEX(RUNS!$J$6:$J$1005,MATCH($D914,RUNS!$A$6:$A$1005,0))="","",INDEX(RUNS!$J$6:$J$1005,MATCH($D914,RUNS!$A$6:$A$1005,0))),""))</f>
        <v/>
      </c>
      <c r="Q914" s="33">
        <f>IF($D914="","",IFERROR(IF(INDEX(RUNS!$K$6:$K$1005,MATCH($D914,RUNS!$A$6:$A$1005,0))="","",INDEX(RUNS!$K$6:$K$1005,MATCH($D914,RUNS!$A$6:$A$1005,0))),""))</f>
        <v/>
      </c>
      <c r="R914" s="34">
        <f>IF(OR($L914="",$K914=""),"",IFERROR(IF(INDEX(PARAMETRES!$H$43:$H$342,MATCH($L914&amp;"|"&amp;$M914&amp;"|"&amp;$N914&amp;"|"&amp;$O914&amp;"|"&amp;$P914&amp;"|"&amp;$Q914&amp;"|"&amp;$K914,PARAMETRES!$J$43:$J$342,0))="","",INDEX(PARAMETRES!$H$43:$H$342,MATCH($L914&amp;"|"&amp;$M914&amp;"|"&amp;$N914&amp;"|"&amp;$O914&amp;"|"&amp;$P914&amp;"|"&amp;$Q914&amp;"|"&amp;$K914,PARAMETRES!$J$43:$J$342,0))),""))</f>
        <v/>
      </c>
      <c r="S914" s="35">
        <f>IF(OR($G914="",$X914&lt;&gt;"VALIDE"),"",IFERROR(LOOKUP(2,1/(($B14:$B913=$B914)*($G14:$G913=$G914)*($X14:$X913="VALIDE")),$C14:$C913),""))</f>
        <v/>
      </c>
      <c r="T914" s="36">
        <f>IF(OR($C914="",$S914=""),"",ROUND(($C914-$S914+IF($C914&lt;$S914,1,0))*1440,0))</f>
        <v/>
      </c>
      <c r="U914" s="22">
        <f>IF(OR($H914="",$T914="",$T914&lt;=0),"",$H914*60/$T914)</f>
        <v/>
      </c>
      <c r="V914" s="37">
        <f>IF(OR($U914="",$R914="",$R914=0),"",$U914/$R914)</f>
        <v/>
      </c>
      <c r="W914" s="20">
        <f>IF($G914="","",IF($X914="CONTEXTE INCOMPLET","CONTEXTE INCOMPLET",IF($X914="DOUBLON",StatutDoublon,IF($S914="",StatutInitial,IF($R914="",StatutStandardManquant,IF($V914="","DONNEES INSUFFISANTES",IF($V914&gt;=SeuilConforme,StatutConforme,IF($V914&gt;=SeuilSurveiller,StatutSurveiller,StatutSousStandard))))))))</f>
        <v/>
      </c>
      <c r="X914" s="33">
        <f>IF($G914="","",IF(OR($D914="",$E914="",$F914=""),"CONTEXTE INCOMPLET",IF(COUNTIFS($D14:$D913,$D914,$E14:$E913,$E914,$F14:$F913,$F914,$G14:$G913,$G914)&gt;0,"DOUBLON","VALIDE")))</f>
        <v/>
      </c>
    </row>
    <row r="915" ht="15" customHeight="1">
      <c r="A915" s="12">
        <f>IF(OR($B915="",$G915=""),"",TEXT($B915,"YYYYMMDD")&amp;"-"&amp;SUBSTITUTE($E915," ","")&amp;"-"&amp;$F915&amp;"-"&amp;$G915)</f>
        <v/>
      </c>
      <c r="B915" s="15" t="n"/>
      <c r="C915" s="16" t="n"/>
      <c r="D915" s="10" t="n"/>
      <c r="E915" s="9" t="n"/>
      <c r="F915" s="9" t="n"/>
      <c r="G915" s="13" t="n"/>
      <c r="H915" s="21" t="n"/>
      <c r="I915" s="21" t="n"/>
      <c r="J915" s="17">
        <f>IF($G915="","",IFERROR(INDEX(NomsEmployes,MATCH($G915,MatriculesEmployes,0)),"MATRICULE INCONNU"))</f>
        <v/>
      </c>
      <c r="K915" s="33">
        <f>IF(OR($D915="",$F915=""),"",IFERROR(IF(INDEX(RUNS!$L$6:$S$1005,MATCH($D915,RUNS!$A$6:$A$1005,0),MATCH("ACTIVITÉ "&amp;$F915,RUNS!$L$5:$S$5,0))="","",INDEX(RUNS!$L$6:$S$1005,MATCH($D915,RUNS!$A$6:$A$1005,0),MATCH("ACTIVITÉ "&amp;$F915,RUNS!$L$5:$S$5,0))),""))</f>
        <v/>
      </c>
      <c r="L915" s="33">
        <f>IF($D915="","",IFERROR(IF(INDEX(RUNS!$E$6:$E$1005,MATCH($D915,RUNS!$A$6:$A$1005,0))="","",INDEX(RUNS!$E$6:$E$1005,MATCH($D915,RUNS!$A$6:$A$1005,0))),""))</f>
        <v/>
      </c>
      <c r="M915" s="33">
        <f>IF($D915="","",IFERROR(IF(INDEX(RUNS!$F$6:$F$1005,MATCH($D915,RUNS!$A$6:$A$1005,0))="","",INDEX(RUNS!$F$6:$F$1005,MATCH($D915,RUNS!$A$6:$A$1005,0))),""))</f>
        <v/>
      </c>
      <c r="N915" s="33">
        <f>IF($D915="","",IFERROR(IF(INDEX(RUNS!$G$6:$G$1005,MATCH($D915,RUNS!$A$6:$A$1005,0))="","",INDEX(RUNS!$G$6:$G$1005,MATCH($D915,RUNS!$A$6:$A$1005,0))),""))</f>
        <v/>
      </c>
      <c r="O915" s="33">
        <f>IF($D915="","",IFERROR(IF(INDEX(RUNS!$H$6:$H$1005,MATCH($D915,RUNS!$A$6:$A$1005,0))="","",INDEX(RUNS!$H$6:$H$1005,MATCH($D915,RUNS!$A$6:$A$1005,0))),""))</f>
        <v/>
      </c>
      <c r="P915" s="33">
        <f>IF($D915="","",IFERROR(IF(INDEX(RUNS!$J$6:$J$1005,MATCH($D915,RUNS!$A$6:$A$1005,0))="","",INDEX(RUNS!$J$6:$J$1005,MATCH($D915,RUNS!$A$6:$A$1005,0))),""))</f>
        <v/>
      </c>
      <c r="Q915" s="33">
        <f>IF($D915="","",IFERROR(IF(INDEX(RUNS!$K$6:$K$1005,MATCH($D915,RUNS!$A$6:$A$1005,0))="","",INDEX(RUNS!$K$6:$K$1005,MATCH($D915,RUNS!$A$6:$A$1005,0))),""))</f>
        <v/>
      </c>
      <c r="R915" s="34">
        <f>IF(OR($L915="",$K915=""),"",IFERROR(IF(INDEX(PARAMETRES!$H$43:$H$342,MATCH($L915&amp;"|"&amp;$M915&amp;"|"&amp;$N915&amp;"|"&amp;$O915&amp;"|"&amp;$P915&amp;"|"&amp;$Q915&amp;"|"&amp;$K915,PARAMETRES!$J$43:$J$342,0))="","",INDEX(PARAMETRES!$H$43:$H$342,MATCH($L915&amp;"|"&amp;$M915&amp;"|"&amp;$N915&amp;"|"&amp;$O915&amp;"|"&amp;$P915&amp;"|"&amp;$Q915&amp;"|"&amp;$K915,PARAMETRES!$J$43:$J$342,0))),""))</f>
        <v/>
      </c>
      <c r="S915" s="35">
        <f>IF(OR($G915="",$X915&lt;&gt;"VALIDE"),"",IFERROR(LOOKUP(2,1/(($B15:$B914=$B915)*($G15:$G914=$G915)*($X15:$X914="VALIDE")),$C15:$C914),""))</f>
        <v/>
      </c>
      <c r="T915" s="36">
        <f>IF(OR($C915="",$S915=""),"",ROUND(($C915-$S915+IF($C915&lt;$S915,1,0))*1440,0))</f>
        <v/>
      </c>
      <c r="U915" s="22">
        <f>IF(OR($H915="",$T915="",$T915&lt;=0),"",$H915*60/$T915)</f>
        <v/>
      </c>
      <c r="V915" s="37">
        <f>IF(OR($U915="",$R915="",$R915=0),"",$U915/$R915)</f>
        <v/>
      </c>
      <c r="W915" s="20">
        <f>IF($G915="","",IF($X915="CONTEXTE INCOMPLET","CONTEXTE INCOMPLET",IF($X915="DOUBLON",StatutDoublon,IF($S915="",StatutInitial,IF($R915="",StatutStandardManquant,IF($V915="","DONNEES INSUFFISANTES",IF($V915&gt;=SeuilConforme,StatutConforme,IF($V915&gt;=SeuilSurveiller,StatutSurveiller,StatutSousStandard))))))))</f>
        <v/>
      </c>
      <c r="X915" s="33">
        <f>IF($G915="","",IF(OR($D915="",$E915="",$F915=""),"CONTEXTE INCOMPLET",IF(COUNTIFS($D15:$D914,$D915,$E15:$E914,$E915,$F15:$F914,$F915,$G15:$G914,$G915)&gt;0,"DOUBLON","VALIDE")))</f>
        <v/>
      </c>
    </row>
    <row r="916" ht="15" customHeight="1">
      <c r="A916" s="12">
        <f>IF(OR($B916="",$G916=""),"",TEXT($B916,"YYYYMMDD")&amp;"-"&amp;SUBSTITUTE($E916," ","")&amp;"-"&amp;$F916&amp;"-"&amp;$G916)</f>
        <v/>
      </c>
      <c r="B916" s="15" t="n"/>
      <c r="C916" s="16" t="n"/>
      <c r="D916" s="10" t="n"/>
      <c r="E916" s="9" t="n"/>
      <c r="F916" s="9" t="n"/>
      <c r="G916" s="13" t="n"/>
      <c r="H916" s="21" t="n"/>
      <c r="I916" s="21" t="n"/>
      <c r="J916" s="17">
        <f>IF($G916="","",IFERROR(INDEX(NomsEmployes,MATCH($G916,MatriculesEmployes,0)),"MATRICULE INCONNU"))</f>
        <v/>
      </c>
      <c r="K916" s="33">
        <f>IF(OR($D916="",$F916=""),"",IFERROR(IF(INDEX(RUNS!$L$6:$S$1005,MATCH($D916,RUNS!$A$6:$A$1005,0),MATCH("ACTIVITÉ "&amp;$F916,RUNS!$L$5:$S$5,0))="","",INDEX(RUNS!$L$6:$S$1005,MATCH($D916,RUNS!$A$6:$A$1005,0),MATCH("ACTIVITÉ "&amp;$F916,RUNS!$L$5:$S$5,0))),""))</f>
        <v/>
      </c>
      <c r="L916" s="33">
        <f>IF($D916="","",IFERROR(IF(INDEX(RUNS!$E$6:$E$1005,MATCH($D916,RUNS!$A$6:$A$1005,0))="","",INDEX(RUNS!$E$6:$E$1005,MATCH($D916,RUNS!$A$6:$A$1005,0))),""))</f>
        <v/>
      </c>
      <c r="M916" s="33">
        <f>IF($D916="","",IFERROR(IF(INDEX(RUNS!$F$6:$F$1005,MATCH($D916,RUNS!$A$6:$A$1005,0))="","",INDEX(RUNS!$F$6:$F$1005,MATCH($D916,RUNS!$A$6:$A$1005,0))),""))</f>
        <v/>
      </c>
      <c r="N916" s="33">
        <f>IF($D916="","",IFERROR(IF(INDEX(RUNS!$G$6:$G$1005,MATCH($D916,RUNS!$A$6:$A$1005,0))="","",INDEX(RUNS!$G$6:$G$1005,MATCH($D916,RUNS!$A$6:$A$1005,0))),""))</f>
        <v/>
      </c>
      <c r="O916" s="33">
        <f>IF($D916="","",IFERROR(IF(INDEX(RUNS!$H$6:$H$1005,MATCH($D916,RUNS!$A$6:$A$1005,0))="","",INDEX(RUNS!$H$6:$H$1005,MATCH($D916,RUNS!$A$6:$A$1005,0))),""))</f>
        <v/>
      </c>
      <c r="P916" s="33">
        <f>IF($D916="","",IFERROR(IF(INDEX(RUNS!$J$6:$J$1005,MATCH($D916,RUNS!$A$6:$A$1005,0))="","",INDEX(RUNS!$J$6:$J$1005,MATCH($D916,RUNS!$A$6:$A$1005,0))),""))</f>
        <v/>
      </c>
      <c r="Q916" s="33">
        <f>IF($D916="","",IFERROR(IF(INDEX(RUNS!$K$6:$K$1005,MATCH($D916,RUNS!$A$6:$A$1005,0))="","",INDEX(RUNS!$K$6:$K$1005,MATCH($D916,RUNS!$A$6:$A$1005,0))),""))</f>
        <v/>
      </c>
      <c r="R916" s="34">
        <f>IF(OR($L916="",$K916=""),"",IFERROR(IF(INDEX(PARAMETRES!$H$43:$H$342,MATCH($L916&amp;"|"&amp;$M916&amp;"|"&amp;$N916&amp;"|"&amp;$O916&amp;"|"&amp;$P916&amp;"|"&amp;$Q916&amp;"|"&amp;$K916,PARAMETRES!$J$43:$J$342,0))="","",INDEX(PARAMETRES!$H$43:$H$342,MATCH($L916&amp;"|"&amp;$M916&amp;"|"&amp;$N916&amp;"|"&amp;$O916&amp;"|"&amp;$P916&amp;"|"&amp;$Q916&amp;"|"&amp;$K916,PARAMETRES!$J$43:$J$342,0))),""))</f>
        <v/>
      </c>
      <c r="S916" s="35">
        <f>IF(OR($G916="",$X916&lt;&gt;"VALIDE"),"",IFERROR(LOOKUP(2,1/(($B16:$B915=$B916)*($G16:$G915=$G916)*($X16:$X915="VALIDE")),$C16:$C915),""))</f>
        <v/>
      </c>
      <c r="T916" s="36">
        <f>IF(OR($C916="",$S916=""),"",ROUND(($C916-$S916+IF($C916&lt;$S916,1,0))*1440,0))</f>
        <v/>
      </c>
      <c r="U916" s="22">
        <f>IF(OR($H916="",$T916="",$T916&lt;=0),"",$H916*60/$T916)</f>
        <v/>
      </c>
      <c r="V916" s="37">
        <f>IF(OR($U916="",$R916="",$R916=0),"",$U916/$R916)</f>
        <v/>
      </c>
      <c r="W916" s="20">
        <f>IF($G916="","",IF($X916="CONTEXTE INCOMPLET","CONTEXTE INCOMPLET",IF($X916="DOUBLON",StatutDoublon,IF($S916="",StatutInitial,IF($R916="",StatutStandardManquant,IF($V916="","DONNEES INSUFFISANTES",IF($V916&gt;=SeuilConforme,StatutConforme,IF($V916&gt;=SeuilSurveiller,StatutSurveiller,StatutSousStandard))))))))</f>
        <v/>
      </c>
      <c r="X916" s="33">
        <f>IF($G916="","",IF(OR($D916="",$E916="",$F916=""),"CONTEXTE INCOMPLET",IF(COUNTIFS($D16:$D915,$D916,$E16:$E915,$E916,$F16:$F915,$F916,$G16:$G915,$G916)&gt;0,"DOUBLON","VALIDE")))</f>
        <v/>
      </c>
    </row>
    <row r="917" ht="15" customHeight="1">
      <c r="A917" s="12">
        <f>IF(OR($B917="",$G917=""),"",TEXT($B917,"YYYYMMDD")&amp;"-"&amp;SUBSTITUTE($E917," ","")&amp;"-"&amp;$F917&amp;"-"&amp;$G917)</f>
        <v/>
      </c>
      <c r="B917" s="15" t="n"/>
      <c r="C917" s="16" t="n"/>
      <c r="D917" s="10" t="n"/>
      <c r="E917" s="9" t="n"/>
      <c r="F917" s="9" t="n"/>
      <c r="G917" s="13" t="n"/>
      <c r="H917" s="21" t="n"/>
      <c r="I917" s="21" t="n"/>
      <c r="J917" s="17">
        <f>IF($G917="","",IFERROR(INDEX(NomsEmployes,MATCH($G917,MatriculesEmployes,0)),"MATRICULE INCONNU"))</f>
        <v/>
      </c>
      <c r="K917" s="33">
        <f>IF(OR($D917="",$F917=""),"",IFERROR(IF(INDEX(RUNS!$L$6:$S$1005,MATCH($D917,RUNS!$A$6:$A$1005,0),MATCH("ACTIVITÉ "&amp;$F917,RUNS!$L$5:$S$5,0))="","",INDEX(RUNS!$L$6:$S$1005,MATCH($D917,RUNS!$A$6:$A$1005,0),MATCH("ACTIVITÉ "&amp;$F917,RUNS!$L$5:$S$5,0))),""))</f>
        <v/>
      </c>
      <c r="L917" s="33">
        <f>IF($D917="","",IFERROR(IF(INDEX(RUNS!$E$6:$E$1005,MATCH($D917,RUNS!$A$6:$A$1005,0))="","",INDEX(RUNS!$E$6:$E$1005,MATCH($D917,RUNS!$A$6:$A$1005,0))),""))</f>
        <v/>
      </c>
      <c r="M917" s="33">
        <f>IF($D917="","",IFERROR(IF(INDEX(RUNS!$F$6:$F$1005,MATCH($D917,RUNS!$A$6:$A$1005,0))="","",INDEX(RUNS!$F$6:$F$1005,MATCH($D917,RUNS!$A$6:$A$1005,0))),""))</f>
        <v/>
      </c>
      <c r="N917" s="33">
        <f>IF($D917="","",IFERROR(IF(INDEX(RUNS!$G$6:$G$1005,MATCH($D917,RUNS!$A$6:$A$1005,0))="","",INDEX(RUNS!$G$6:$G$1005,MATCH($D917,RUNS!$A$6:$A$1005,0))),""))</f>
        <v/>
      </c>
      <c r="O917" s="33">
        <f>IF($D917="","",IFERROR(IF(INDEX(RUNS!$H$6:$H$1005,MATCH($D917,RUNS!$A$6:$A$1005,0))="","",INDEX(RUNS!$H$6:$H$1005,MATCH($D917,RUNS!$A$6:$A$1005,0))),""))</f>
        <v/>
      </c>
      <c r="P917" s="33">
        <f>IF($D917="","",IFERROR(IF(INDEX(RUNS!$J$6:$J$1005,MATCH($D917,RUNS!$A$6:$A$1005,0))="","",INDEX(RUNS!$J$6:$J$1005,MATCH($D917,RUNS!$A$6:$A$1005,0))),""))</f>
        <v/>
      </c>
      <c r="Q917" s="33">
        <f>IF($D917="","",IFERROR(IF(INDEX(RUNS!$K$6:$K$1005,MATCH($D917,RUNS!$A$6:$A$1005,0))="","",INDEX(RUNS!$K$6:$K$1005,MATCH($D917,RUNS!$A$6:$A$1005,0))),""))</f>
        <v/>
      </c>
      <c r="R917" s="34">
        <f>IF(OR($L917="",$K917=""),"",IFERROR(IF(INDEX(PARAMETRES!$H$43:$H$342,MATCH($L917&amp;"|"&amp;$M917&amp;"|"&amp;$N917&amp;"|"&amp;$O917&amp;"|"&amp;$P917&amp;"|"&amp;$Q917&amp;"|"&amp;$K917,PARAMETRES!$J$43:$J$342,0))="","",INDEX(PARAMETRES!$H$43:$H$342,MATCH($L917&amp;"|"&amp;$M917&amp;"|"&amp;$N917&amp;"|"&amp;$O917&amp;"|"&amp;$P917&amp;"|"&amp;$Q917&amp;"|"&amp;$K917,PARAMETRES!$J$43:$J$342,0))),""))</f>
        <v/>
      </c>
      <c r="S917" s="35">
        <f>IF(OR($G917="",$X917&lt;&gt;"VALIDE"),"",IFERROR(LOOKUP(2,1/(($B17:$B916=$B917)*($G17:$G916=$G917)*($X17:$X916="VALIDE")),$C17:$C916),""))</f>
        <v/>
      </c>
      <c r="T917" s="36">
        <f>IF(OR($C917="",$S917=""),"",ROUND(($C917-$S917+IF($C917&lt;$S917,1,0))*1440,0))</f>
        <v/>
      </c>
      <c r="U917" s="22">
        <f>IF(OR($H917="",$T917="",$T917&lt;=0),"",$H917*60/$T917)</f>
        <v/>
      </c>
      <c r="V917" s="37">
        <f>IF(OR($U917="",$R917="",$R917=0),"",$U917/$R917)</f>
        <v/>
      </c>
      <c r="W917" s="20">
        <f>IF($G917="","",IF($X917="CONTEXTE INCOMPLET","CONTEXTE INCOMPLET",IF($X917="DOUBLON",StatutDoublon,IF($S917="",StatutInitial,IF($R917="",StatutStandardManquant,IF($V917="","DONNEES INSUFFISANTES",IF($V917&gt;=SeuilConforme,StatutConforme,IF($V917&gt;=SeuilSurveiller,StatutSurveiller,StatutSousStandard))))))))</f>
        <v/>
      </c>
      <c r="X917" s="33">
        <f>IF($G917="","",IF(OR($D917="",$E917="",$F917=""),"CONTEXTE INCOMPLET",IF(COUNTIFS($D17:$D916,$D917,$E17:$E916,$E917,$F17:$F916,$F917,$G17:$G916,$G917)&gt;0,"DOUBLON","VALIDE")))</f>
        <v/>
      </c>
    </row>
    <row r="918" ht="15" customHeight="1">
      <c r="A918" s="12">
        <f>IF(OR($B918="",$G918=""),"",TEXT($B918,"YYYYMMDD")&amp;"-"&amp;SUBSTITUTE($E918," ","")&amp;"-"&amp;$F918&amp;"-"&amp;$G918)</f>
        <v/>
      </c>
      <c r="B918" s="15" t="n"/>
      <c r="C918" s="16" t="n"/>
      <c r="D918" s="10" t="n"/>
      <c r="E918" s="9" t="n"/>
      <c r="F918" s="9" t="n"/>
      <c r="G918" s="13" t="n"/>
      <c r="H918" s="21" t="n"/>
      <c r="I918" s="21" t="n"/>
      <c r="J918" s="17">
        <f>IF($G918="","",IFERROR(INDEX(NomsEmployes,MATCH($G918,MatriculesEmployes,0)),"MATRICULE INCONNU"))</f>
        <v/>
      </c>
      <c r="K918" s="33">
        <f>IF(OR($D918="",$F918=""),"",IFERROR(IF(INDEX(RUNS!$L$6:$S$1005,MATCH($D918,RUNS!$A$6:$A$1005,0),MATCH("ACTIVITÉ "&amp;$F918,RUNS!$L$5:$S$5,0))="","",INDEX(RUNS!$L$6:$S$1005,MATCH($D918,RUNS!$A$6:$A$1005,0),MATCH("ACTIVITÉ "&amp;$F918,RUNS!$L$5:$S$5,0))),""))</f>
        <v/>
      </c>
      <c r="L918" s="33">
        <f>IF($D918="","",IFERROR(IF(INDEX(RUNS!$E$6:$E$1005,MATCH($D918,RUNS!$A$6:$A$1005,0))="","",INDEX(RUNS!$E$6:$E$1005,MATCH($D918,RUNS!$A$6:$A$1005,0))),""))</f>
        <v/>
      </c>
      <c r="M918" s="33">
        <f>IF($D918="","",IFERROR(IF(INDEX(RUNS!$F$6:$F$1005,MATCH($D918,RUNS!$A$6:$A$1005,0))="","",INDEX(RUNS!$F$6:$F$1005,MATCH($D918,RUNS!$A$6:$A$1005,0))),""))</f>
        <v/>
      </c>
      <c r="N918" s="33">
        <f>IF($D918="","",IFERROR(IF(INDEX(RUNS!$G$6:$G$1005,MATCH($D918,RUNS!$A$6:$A$1005,0))="","",INDEX(RUNS!$G$6:$G$1005,MATCH($D918,RUNS!$A$6:$A$1005,0))),""))</f>
        <v/>
      </c>
      <c r="O918" s="33">
        <f>IF($D918="","",IFERROR(IF(INDEX(RUNS!$H$6:$H$1005,MATCH($D918,RUNS!$A$6:$A$1005,0))="","",INDEX(RUNS!$H$6:$H$1005,MATCH($D918,RUNS!$A$6:$A$1005,0))),""))</f>
        <v/>
      </c>
      <c r="P918" s="33">
        <f>IF($D918="","",IFERROR(IF(INDEX(RUNS!$J$6:$J$1005,MATCH($D918,RUNS!$A$6:$A$1005,0))="","",INDEX(RUNS!$J$6:$J$1005,MATCH($D918,RUNS!$A$6:$A$1005,0))),""))</f>
        <v/>
      </c>
      <c r="Q918" s="33">
        <f>IF($D918="","",IFERROR(IF(INDEX(RUNS!$K$6:$K$1005,MATCH($D918,RUNS!$A$6:$A$1005,0))="","",INDEX(RUNS!$K$6:$K$1005,MATCH($D918,RUNS!$A$6:$A$1005,0))),""))</f>
        <v/>
      </c>
      <c r="R918" s="34">
        <f>IF(OR($L918="",$K918=""),"",IFERROR(IF(INDEX(PARAMETRES!$H$43:$H$342,MATCH($L918&amp;"|"&amp;$M918&amp;"|"&amp;$N918&amp;"|"&amp;$O918&amp;"|"&amp;$P918&amp;"|"&amp;$Q918&amp;"|"&amp;$K918,PARAMETRES!$J$43:$J$342,0))="","",INDEX(PARAMETRES!$H$43:$H$342,MATCH($L918&amp;"|"&amp;$M918&amp;"|"&amp;$N918&amp;"|"&amp;$O918&amp;"|"&amp;$P918&amp;"|"&amp;$Q918&amp;"|"&amp;$K918,PARAMETRES!$J$43:$J$342,0))),""))</f>
        <v/>
      </c>
      <c r="S918" s="35">
        <f>IF(OR($G918="",$X918&lt;&gt;"VALIDE"),"",IFERROR(LOOKUP(2,1/(($B18:$B917=$B918)*($G18:$G917=$G918)*($X18:$X917="VALIDE")),$C18:$C917),""))</f>
        <v/>
      </c>
      <c r="T918" s="36">
        <f>IF(OR($C918="",$S918=""),"",ROUND(($C918-$S918+IF($C918&lt;$S918,1,0))*1440,0))</f>
        <v/>
      </c>
      <c r="U918" s="22">
        <f>IF(OR($H918="",$T918="",$T918&lt;=0),"",$H918*60/$T918)</f>
        <v/>
      </c>
      <c r="V918" s="37">
        <f>IF(OR($U918="",$R918="",$R918=0),"",$U918/$R918)</f>
        <v/>
      </c>
      <c r="W918" s="20">
        <f>IF($G918="","",IF($X918="CONTEXTE INCOMPLET","CONTEXTE INCOMPLET",IF($X918="DOUBLON",StatutDoublon,IF($S918="",StatutInitial,IF($R918="",StatutStandardManquant,IF($V918="","DONNEES INSUFFISANTES",IF($V918&gt;=SeuilConforme,StatutConforme,IF($V918&gt;=SeuilSurveiller,StatutSurveiller,StatutSousStandard))))))))</f>
        <v/>
      </c>
      <c r="X918" s="33">
        <f>IF($G918="","",IF(OR($D918="",$E918="",$F918=""),"CONTEXTE INCOMPLET",IF(COUNTIFS($D18:$D917,$D918,$E18:$E917,$E918,$F18:$F917,$F918,$G18:$G917,$G918)&gt;0,"DOUBLON","VALIDE")))</f>
        <v/>
      </c>
    </row>
    <row r="919" ht="15" customHeight="1">
      <c r="A919" s="12">
        <f>IF(OR($B919="",$G919=""),"",TEXT($B919,"YYYYMMDD")&amp;"-"&amp;SUBSTITUTE($E919," ","")&amp;"-"&amp;$F919&amp;"-"&amp;$G919)</f>
        <v/>
      </c>
      <c r="B919" s="15" t="n"/>
      <c r="C919" s="16" t="n"/>
      <c r="D919" s="10" t="n"/>
      <c r="E919" s="9" t="n"/>
      <c r="F919" s="9" t="n"/>
      <c r="G919" s="13" t="n"/>
      <c r="H919" s="21" t="n"/>
      <c r="I919" s="21" t="n"/>
      <c r="J919" s="17">
        <f>IF($G919="","",IFERROR(INDEX(NomsEmployes,MATCH($G919,MatriculesEmployes,0)),"MATRICULE INCONNU"))</f>
        <v/>
      </c>
      <c r="K919" s="33">
        <f>IF(OR($D919="",$F919=""),"",IFERROR(IF(INDEX(RUNS!$L$6:$S$1005,MATCH($D919,RUNS!$A$6:$A$1005,0),MATCH("ACTIVITÉ "&amp;$F919,RUNS!$L$5:$S$5,0))="","",INDEX(RUNS!$L$6:$S$1005,MATCH($D919,RUNS!$A$6:$A$1005,0),MATCH("ACTIVITÉ "&amp;$F919,RUNS!$L$5:$S$5,0))),""))</f>
        <v/>
      </c>
      <c r="L919" s="33">
        <f>IF($D919="","",IFERROR(IF(INDEX(RUNS!$E$6:$E$1005,MATCH($D919,RUNS!$A$6:$A$1005,0))="","",INDEX(RUNS!$E$6:$E$1005,MATCH($D919,RUNS!$A$6:$A$1005,0))),""))</f>
        <v/>
      </c>
      <c r="M919" s="33">
        <f>IF($D919="","",IFERROR(IF(INDEX(RUNS!$F$6:$F$1005,MATCH($D919,RUNS!$A$6:$A$1005,0))="","",INDEX(RUNS!$F$6:$F$1005,MATCH($D919,RUNS!$A$6:$A$1005,0))),""))</f>
        <v/>
      </c>
      <c r="N919" s="33">
        <f>IF($D919="","",IFERROR(IF(INDEX(RUNS!$G$6:$G$1005,MATCH($D919,RUNS!$A$6:$A$1005,0))="","",INDEX(RUNS!$G$6:$G$1005,MATCH($D919,RUNS!$A$6:$A$1005,0))),""))</f>
        <v/>
      </c>
      <c r="O919" s="33">
        <f>IF($D919="","",IFERROR(IF(INDEX(RUNS!$H$6:$H$1005,MATCH($D919,RUNS!$A$6:$A$1005,0))="","",INDEX(RUNS!$H$6:$H$1005,MATCH($D919,RUNS!$A$6:$A$1005,0))),""))</f>
        <v/>
      </c>
      <c r="P919" s="33">
        <f>IF($D919="","",IFERROR(IF(INDEX(RUNS!$J$6:$J$1005,MATCH($D919,RUNS!$A$6:$A$1005,0))="","",INDEX(RUNS!$J$6:$J$1005,MATCH($D919,RUNS!$A$6:$A$1005,0))),""))</f>
        <v/>
      </c>
      <c r="Q919" s="33">
        <f>IF($D919="","",IFERROR(IF(INDEX(RUNS!$K$6:$K$1005,MATCH($D919,RUNS!$A$6:$A$1005,0))="","",INDEX(RUNS!$K$6:$K$1005,MATCH($D919,RUNS!$A$6:$A$1005,0))),""))</f>
        <v/>
      </c>
      <c r="R919" s="34">
        <f>IF(OR($L919="",$K919=""),"",IFERROR(IF(INDEX(PARAMETRES!$H$43:$H$342,MATCH($L919&amp;"|"&amp;$M919&amp;"|"&amp;$N919&amp;"|"&amp;$O919&amp;"|"&amp;$P919&amp;"|"&amp;$Q919&amp;"|"&amp;$K919,PARAMETRES!$J$43:$J$342,0))="","",INDEX(PARAMETRES!$H$43:$H$342,MATCH($L919&amp;"|"&amp;$M919&amp;"|"&amp;$N919&amp;"|"&amp;$O919&amp;"|"&amp;$P919&amp;"|"&amp;$Q919&amp;"|"&amp;$K919,PARAMETRES!$J$43:$J$342,0))),""))</f>
        <v/>
      </c>
      <c r="S919" s="35">
        <f>IF(OR($G919="",$X919&lt;&gt;"VALIDE"),"",IFERROR(LOOKUP(2,1/(($B19:$B918=$B919)*($G19:$G918=$G919)*($X19:$X918="VALIDE")),$C19:$C918),""))</f>
        <v/>
      </c>
      <c r="T919" s="36">
        <f>IF(OR($C919="",$S919=""),"",ROUND(($C919-$S919+IF($C919&lt;$S919,1,0))*1440,0))</f>
        <v/>
      </c>
      <c r="U919" s="22">
        <f>IF(OR($H919="",$T919="",$T919&lt;=0),"",$H919*60/$T919)</f>
        <v/>
      </c>
      <c r="V919" s="37">
        <f>IF(OR($U919="",$R919="",$R919=0),"",$U919/$R919)</f>
        <v/>
      </c>
      <c r="W919" s="20">
        <f>IF($G919="","",IF($X919="CONTEXTE INCOMPLET","CONTEXTE INCOMPLET",IF($X919="DOUBLON",StatutDoublon,IF($S919="",StatutInitial,IF($R919="",StatutStandardManquant,IF($V919="","DONNEES INSUFFISANTES",IF($V919&gt;=SeuilConforme,StatutConforme,IF($V919&gt;=SeuilSurveiller,StatutSurveiller,StatutSousStandard))))))))</f>
        <v/>
      </c>
      <c r="X919" s="33">
        <f>IF($G919="","",IF(OR($D919="",$E919="",$F919=""),"CONTEXTE INCOMPLET",IF(COUNTIFS($D19:$D918,$D919,$E19:$E918,$E919,$F19:$F918,$F919,$G19:$G918,$G919)&gt;0,"DOUBLON","VALIDE")))</f>
        <v/>
      </c>
    </row>
    <row r="920" ht="15" customHeight="1">
      <c r="A920" s="12">
        <f>IF(OR($B920="",$G920=""),"",TEXT($B920,"YYYYMMDD")&amp;"-"&amp;SUBSTITUTE($E920," ","")&amp;"-"&amp;$F920&amp;"-"&amp;$G920)</f>
        <v/>
      </c>
      <c r="B920" s="15" t="n"/>
      <c r="C920" s="16" t="n"/>
      <c r="D920" s="10" t="n"/>
      <c r="E920" s="9" t="n"/>
      <c r="F920" s="9" t="n"/>
      <c r="G920" s="13" t="n"/>
      <c r="H920" s="21" t="n"/>
      <c r="I920" s="21" t="n"/>
      <c r="J920" s="17">
        <f>IF($G920="","",IFERROR(INDEX(NomsEmployes,MATCH($G920,MatriculesEmployes,0)),"MATRICULE INCONNU"))</f>
        <v/>
      </c>
      <c r="K920" s="33">
        <f>IF(OR($D920="",$F920=""),"",IFERROR(IF(INDEX(RUNS!$L$6:$S$1005,MATCH($D920,RUNS!$A$6:$A$1005,0),MATCH("ACTIVITÉ "&amp;$F920,RUNS!$L$5:$S$5,0))="","",INDEX(RUNS!$L$6:$S$1005,MATCH($D920,RUNS!$A$6:$A$1005,0),MATCH("ACTIVITÉ "&amp;$F920,RUNS!$L$5:$S$5,0))),""))</f>
        <v/>
      </c>
      <c r="L920" s="33">
        <f>IF($D920="","",IFERROR(IF(INDEX(RUNS!$E$6:$E$1005,MATCH($D920,RUNS!$A$6:$A$1005,0))="","",INDEX(RUNS!$E$6:$E$1005,MATCH($D920,RUNS!$A$6:$A$1005,0))),""))</f>
        <v/>
      </c>
      <c r="M920" s="33">
        <f>IF($D920="","",IFERROR(IF(INDEX(RUNS!$F$6:$F$1005,MATCH($D920,RUNS!$A$6:$A$1005,0))="","",INDEX(RUNS!$F$6:$F$1005,MATCH($D920,RUNS!$A$6:$A$1005,0))),""))</f>
        <v/>
      </c>
      <c r="N920" s="33">
        <f>IF($D920="","",IFERROR(IF(INDEX(RUNS!$G$6:$G$1005,MATCH($D920,RUNS!$A$6:$A$1005,0))="","",INDEX(RUNS!$G$6:$G$1005,MATCH($D920,RUNS!$A$6:$A$1005,0))),""))</f>
        <v/>
      </c>
      <c r="O920" s="33">
        <f>IF($D920="","",IFERROR(IF(INDEX(RUNS!$H$6:$H$1005,MATCH($D920,RUNS!$A$6:$A$1005,0))="","",INDEX(RUNS!$H$6:$H$1005,MATCH($D920,RUNS!$A$6:$A$1005,0))),""))</f>
        <v/>
      </c>
      <c r="P920" s="33">
        <f>IF($D920="","",IFERROR(IF(INDEX(RUNS!$J$6:$J$1005,MATCH($D920,RUNS!$A$6:$A$1005,0))="","",INDEX(RUNS!$J$6:$J$1005,MATCH($D920,RUNS!$A$6:$A$1005,0))),""))</f>
        <v/>
      </c>
      <c r="Q920" s="33">
        <f>IF($D920="","",IFERROR(IF(INDEX(RUNS!$K$6:$K$1005,MATCH($D920,RUNS!$A$6:$A$1005,0))="","",INDEX(RUNS!$K$6:$K$1005,MATCH($D920,RUNS!$A$6:$A$1005,0))),""))</f>
        <v/>
      </c>
      <c r="R920" s="34">
        <f>IF(OR($L920="",$K920=""),"",IFERROR(IF(INDEX(PARAMETRES!$H$43:$H$342,MATCH($L920&amp;"|"&amp;$M920&amp;"|"&amp;$N920&amp;"|"&amp;$O920&amp;"|"&amp;$P920&amp;"|"&amp;$Q920&amp;"|"&amp;$K920,PARAMETRES!$J$43:$J$342,0))="","",INDEX(PARAMETRES!$H$43:$H$342,MATCH($L920&amp;"|"&amp;$M920&amp;"|"&amp;$N920&amp;"|"&amp;$O920&amp;"|"&amp;$P920&amp;"|"&amp;$Q920&amp;"|"&amp;$K920,PARAMETRES!$J$43:$J$342,0))),""))</f>
        <v/>
      </c>
      <c r="S920" s="35">
        <f>IF(OR($G920="",$X920&lt;&gt;"VALIDE"),"",IFERROR(LOOKUP(2,1/(($B20:$B919=$B920)*($G20:$G919=$G920)*($X20:$X919="VALIDE")),$C20:$C919),""))</f>
        <v/>
      </c>
      <c r="T920" s="36">
        <f>IF(OR($C920="",$S920=""),"",ROUND(($C920-$S920+IF($C920&lt;$S920,1,0))*1440,0))</f>
        <v/>
      </c>
      <c r="U920" s="22">
        <f>IF(OR($H920="",$T920="",$T920&lt;=0),"",$H920*60/$T920)</f>
        <v/>
      </c>
      <c r="V920" s="37">
        <f>IF(OR($U920="",$R920="",$R920=0),"",$U920/$R920)</f>
        <v/>
      </c>
      <c r="W920" s="20">
        <f>IF($G920="","",IF($X920="CONTEXTE INCOMPLET","CONTEXTE INCOMPLET",IF($X920="DOUBLON",StatutDoublon,IF($S920="",StatutInitial,IF($R920="",StatutStandardManquant,IF($V920="","DONNEES INSUFFISANTES",IF($V920&gt;=SeuilConforme,StatutConforme,IF($V920&gt;=SeuilSurveiller,StatutSurveiller,StatutSousStandard))))))))</f>
        <v/>
      </c>
      <c r="X920" s="33">
        <f>IF($G920="","",IF(OR($D920="",$E920="",$F920=""),"CONTEXTE INCOMPLET",IF(COUNTIFS($D20:$D919,$D920,$E20:$E919,$E920,$F20:$F919,$F920,$G20:$G919,$G920)&gt;0,"DOUBLON","VALIDE")))</f>
        <v/>
      </c>
    </row>
    <row r="921" ht="15" customHeight="1">
      <c r="A921" s="12">
        <f>IF(OR($B921="",$G921=""),"",TEXT($B921,"YYYYMMDD")&amp;"-"&amp;SUBSTITUTE($E921," ","")&amp;"-"&amp;$F921&amp;"-"&amp;$G921)</f>
        <v/>
      </c>
      <c r="B921" s="15" t="n"/>
      <c r="C921" s="16" t="n"/>
      <c r="D921" s="10" t="n"/>
      <c r="E921" s="9" t="n"/>
      <c r="F921" s="9" t="n"/>
      <c r="G921" s="13" t="n"/>
      <c r="H921" s="21" t="n"/>
      <c r="I921" s="21" t="n"/>
      <c r="J921" s="17">
        <f>IF($G921="","",IFERROR(INDEX(NomsEmployes,MATCH($G921,MatriculesEmployes,0)),"MATRICULE INCONNU"))</f>
        <v/>
      </c>
      <c r="K921" s="33">
        <f>IF(OR($D921="",$F921=""),"",IFERROR(IF(INDEX(RUNS!$L$6:$S$1005,MATCH($D921,RUNS!$A$6:$A$1005,0),MATCH("ACTIVITÉ "&amp;$F921,RUNS!$L$5:$S$5,0))="","",INDEX(RUNS!$L$6:$S$1005,MATCH($D921,RUNS!$A$6:$A$1005,0),MATCH("ACTIVITÉ "&amp;$F921,RUNS!$L$5:$S$5,0))),""))</f>
        <v/>
      </c>
      <c r="L921" s="33">
        <f>IF($D921="","",IFERROR(IF(INDEX(RUNS!$E$6:$E$1005,MATCH($D921,RUNS!$A$6:$A$1005,0))="","",INDEX(RUNS!$E$6:$E$1005,MATCH($D921,RUNS!$A$6:$A$1005,0))),""))</f>
        <v/>
      </c>
      <c r="M921" s="33">
        <f>IF($D921="","",IFERROR(IF(INDEX(RUNS!$F$6:$F$1005,MATCH($D921,RUNS!$A$6:$A$1005,0))="","",INDEX(RUNS!$F$6:$F$1005,MATCH($D921,RUNS!$A$6:$A$1005,0))),""))</f>
        <v/>
      </c>
      <c r="N921" s="33">
        <f>IF($D921="","",IFERROR(IF(INDEX(RUNS!$G$6:$G$1005,MATCH($D921,RUNS!$A$6:$A$1005,0))="","",INDEX(RUNS!$G$6:$G$1005,MATCH($D921,RUNS!$A$6:$A$1005,0))),""))</f>
        <v/>
      </c>
      <c r="O921" s="33">
        <f>IF($D921="","",IFERROR(IF(INDEX(RUNS!$H$6:$H$1005,MATCH($D921,RUNS!$A$6:$A$1005,0))="","",INDEX(RUNS!$H$6:$H$1005,MATCH($D921,RUNS!$A$6:$A$1005,0))),""))</f>
        <v/>
      </c>
      <c r="P921" s="33">
        <f>IF($D921="","",IFERROR(IF(INDEX(RUNS!$J$6:$J$1005,MATCH($D921,RUNS!$A$6:$A$1005,0))="","",INDEX(RUNS!$J$6:$J$1005,MATCH($D921,RUNS!$A$6:$A$1005,0))),""))</f>
        <v/>
      </c>
      <c r="Q921" s="33">
        <f>IF($D921="","",IFERROR(IF(INDEX(RUNS!$K$6:$K$1005,MATCH($D921,RUNS!$A$6:$A$1005,0))="","",INDEX(RUNS!$K$6:$K$1005,MATCH($D921,RUNS!$A$6:$A$1005,0))),""))</f>
        <v/>
      </c>
      <c r="R921" s="34">
        <f>IF(OR($L921="",$K921=""),"",IFERROR(IF(INDEX(PARAMETRES!$H$43:$H$342,MATCH($L921&amp;"|"&amp;$M921&amp;"|"&amp;$N921&amp;"|"&amp;$O921&amp;"|"&amp;$P921&amp;"|"&amp;$Q921&amp;"|"&amp;$K921,PARAMETRES!$J$43:$J$342,0))="","",INDEX(PARAMETRES!$H$43:$H$342,MATCH($L921&amp;"|"&amp;$M921&amp;"|"&amp;$N921&amp;"|"&amp;$O921&amp;"|"&amp;$P921&amp;"|"&amp;$Q921&amp;"|"&amp;$K921,PARAMETRES!$J$43:$J$342,0))),""))</f>
        <v/>
      </c>
      <c r="S921" s="35">
        <f>IF(OR($G921="",$X921&lt;&gt;"VALIDE"),"",IFERROR(LOOKUP(2,1/(($B21:$B920=$B921)*($G21:$G920=$G921)*($X21:$X920="VALIDE")),$C21:$C920),""))</f>
        <v/>
      </c>
      <c r="T921" s="36">
        <f>IF(OR($C921="",$S921=""),"",ROUND(($C921-$S921+IF($C921&lt;$S921,1,0))*1440,0))</f>
        <v/>
      </c>
      <c r="U921" s="22">
        <f>IF(OR($H921="",$T921="",$T921&lt;=0),"",$H921*60/$T921)</f>
        <v/>
      </c>
      <c r="V921" s="37">
        <f>IF(OR($U921="",$R921="",$R921=0),"",$U921/$R921)</f>
        <v/>
      </c>
      <c r="W921" s="20">
        <f>IF($G921="","",IF($X921="CONTEXTE INCOMPLET","CONTEXTE INCOMPLET",IF($X921="DOUBLON",StatutDoublon,IF($S921="",StatutInitial,IF($R921="",StatutStandardManquant,IF($V921="","DONNEES INSUFFISANTES",IF($V921&gt;=SeuilConforme,StatutConforme,IF($V921&gt;=SeuilSurveiller,StatutSurveiller,StatutSousStandard))))))))</f>
        <v/>
      </c>
      <c r="X921" s="33">
        <f>IF($G921="","",IF(OR($D921="",$E921="",$F921=""),"CONTEXTE INCOMPLET",IF(COUNTIFS($D21:$D920,$D921,$E21:$E920,$E921,$F21:$F920,$F921,$G21:$G920,$G921)&gt;0,"DOUBLON","VALIDE")))</f>
        <v/>
      </c>
    </row>
    <row r="922" ht="15" customHeight="1">
      <c r="A922" s="12">
        <f>IF(OR($B922="",$G922=""),"",TEXT($B922,"YYYYMMDD")&amp;"-"&amp;SUBSTITUTE($E922," ","")&amp;"-"&amp;$F922&amp;"-"&amp;$G922)</f>
        <v/>
      </c>
      <c r="B922" s="15" t="n"/>
      <c r="C922" s="16" t="n"/>
      <c r="D922" s="10" t="n"/>
      <c r="E922" s="9" t="n"/>
      <c r="F922" s="9" t="n"/>
      <c r="G922" s="13" t="n"/>
      <c r="H922" s="21" t="n"/>
      <c r="I922" s="21" t="n"/>
      <c r="J922" s="17">
        <f>IF($G922="","",IFERROR(INDEX(NomsEmployes,MATCH($G922,MatriculesEmployes,0)),"MATRICULE INCONNU"))</f>
        <v/>
      </c>
      <c r="K922" s="33">
        <f>IF(OR($D922="",$F922=""),"",IFERROR(IF(INDEX(RUNS!$L$6:$S$1005,MATCH($D922,RUNS!$A$6:$A$1005,0),MATCH("ACTIVITÉ "&amp;$F922,RUNS!$L$5:$S$5,0))="","",INDEX(RUNS!$L$6:$S$1005,MATCH($D922,RUNS!$A$6:$A$1005,0),MATCH("ACTIVITÉ "&amp;$F922,RUNS!$L$5:$S$5,0))),""))</f>
        <v/>
      </c>
      <c r="L922" s="33">
        <f>IF($D922="","",IFERROR(IF(INDEX(RUNS!$E$6:$E$1005,MATCH($D922,RUNS!$A$6:$A$1005,0))="","",INDEX(RUNS!$E$6:$E$1005,MATCH($D922,RUNS!$A$6:$A$1005,0))),""))</f>
        <v/>
      </c>
      <c r="M922" s="33">
        <f>IF($D922="","",IFERROR(IF(INDEX(RUNS!$F$6:$F$1005,MATCH($D922,RUNS!$A$6:$A$1005,0))="","",INDEX(RUNS!$F$6:$F$1005,MATCH($D922,RUNS!$A$6:$A$1005,0))),""))</f>
        <v/>
      </c>
      <c r="N922" s="33">
        <f>IF($D922="","",IFERROR(IF(INDEX(RUNS!$G$6:$G$1005,MATCH($D922,RUNS!$A$6:$A$1005,0))="","",INDEX(RUNS!$G$6:$G$1005,MATCH($D922,RUNS!$A$6:$A$1005,0))),""))</f>
        <v/>
      </c>
      <c r="O922" s="33">
        <f>IF($D922="","",IFERROR(IF(INDEX(RUNS!$H$6:$H$1005,MATCH($D922,RUNS!$A$6:$A$1005,0))="","",INDEX(RUNS!$H$6:$H$1005,MATCH($D922,RUNS!$A$6:$A$1005,0))),""))</f>
        <v/>
      </c>
      <c r="P922" s="33">
        <f>IF($D922="","",IFERROR(IF(INDEX(RUNS!$J$6:$J$1005,MATCH($D922,RUNS!$A$6:$A$1005,0))="","",INDEX(RUNS!$J$6:$J$1005,MATCH($D922,RUNS!$A$6:$A$1005,0))),""))</f>
        <v/>
      </c>
      <c r="Q922" s="33">
        <f>IF($D922="","",IFERROR(IF(INDEX(RUNS!$K$6:$K$1005,MATCH($D922,RUNS!$A$6:$A$1005,0))="","",INDEX(RUNS!$K$6:$K$1005,MATCH($D922,RUNS!$A$6:$A$1005,0))),""))</f>
        <v/>
      </c>
      <c r="R922" s="34">
        <f>IF(OR($L922="",$K922=""),"",IFERROR(IF(INDEX(PARAMETRES!$H$43:$H$342,MATCH($L922&amp;"|"&amp;$M922&amp;"|"&amp;$N922&amp;"|"&amp;$O922&amp;"|"&amp;$P922&amp;"|"&amp;$Q922&amp;"|"&amp;$K922,PARAMETRES!$J$43:$J$342,0))="","",INDEX(PARAMETRES!$H$43:$H$342,MATCH($L922&amp;"|"&amp;$M922&amp;"|"&amp;$N922&amp;"|"&amp;$O922&amp;"|"&amp;$P922&amp;"|"&amp;$Q922&amp;"|"&amp;$K922,PARAMETRES!$J$43:$J$342,0))),""))</f>
        <v/>
      </c>
      <c r="S922" s="35">
        <f>IF(OR($G922="",$X922&lt;&gt;"VALIDE"),"",IFERROR(LOOKUP(2,1/(($B22:$B921=$B922)*($G22:$G921=$G922)*($X22:$X921="VALIDE")),$C22:$C921),""))</f>
        <v/>
      </c>
      <c r="T922" s="36">
        <f>IF(OR($C922="",$S922=""),"",ROUND(($C922-$S922+IF($C922&lt;$S922,1,0))*1440,0))</f>
        <v/>
      </c>
      <c r="U922" s="22">
        <f>IF(OR($H922="",$T922="",$T922&lt;=0),"",$H922*60/$T922)</f>
        <v/>
      </c>
      <c r="V922" s="37">
        <f>IF(OR($U922="",$R922="",$R922=0),"",$U922/$R922)</f>
        <v/>
      </c>
      <c r="W922" s="20">
        <f>IF($G922="","",IF($X922="CONTEXTE INCOMPLET","CONTEXTE INCOMPLET",IF($X922="DOUBLON",StatutDoublon,IF($S922="",StatutInitial,IF($R922="",StatutStandardManquant,IF($V922="","DONNEES INSUFFISANTES",IF($V922&gt;=SeuilConforme,StatutConforme,IF($V922&gt;=SeuilSurveiller,StatutSurveiller,StatutSousStandard))))))))</f>
        <v/>
      </c>
      <c r="X922" s="33">
        <f>IF($G922="","",IF(OR($D922="",$E922="",$F922=""),"CONTEXTE INCOMPLET",IF(COUNTIFS($D22:$D921,$D922,$E22:$E921,$E922,$F22:$F921,$F922,$G22:$G921,$G922)&gt;0,"DOUBLON","VALIDE")))</f>
        <v/>
      </c>
    </row>
    <row r="923" ht="15" customHeight="1">
      <c r="A923" s="12">
        <f>IF(OR($B923="",$G923=""),"",TEXT($B923,"YYYYMMDD")&amp;"-"&amp;SUBSTITUTE($E923," ","")&amp;"-"&amp;$F923&amp;"-"&amp;$G923)</f>
        <v/>
      </c>
      <c r="B923" s="15" t="n"/>
      <c r="C923" s="16" t="n"/>
      <c r="D923" s="10" t="n"/>
      <c r="E923" s="9" t="n"/>
      <c r="F923" s="9" t="n"/>
      <c r="G923" s="13" t="n"/>
      <c r="H923" s="21" t="n"/>
      <c r="I923" s="21" t="n"/>
      <c r="J923" s="17">
        <f>IF($G923="","",IFERROR(INDEX(NomsEmployes,MATCH($G923,MatriculesEmployes,0)),"MATRICULE INCONNU"))</f>
        <v/>
      </c>
      <c r="K923" s="33">
        <f>IF(OR($D923="",$F923=""),"",IFERROR(IF(INDEX(RUNS!$L$6:$S$1005,MATCH($D923,RUNS!$A$6:$A$1005,0),MATCH("ACTIVITÉ "&amp;$F923,RUNS!$L$5:$S$5,0))="","",INDEX(RUNS!$L$6:$S$1005,MATCH($D923,RUNS!$A$6:$A$1005,0),MATCH("ACTIVITÉ "&amp;$F923,RUNS!$L$5:$S$5,0))),""))</f>
        <v/>
      </c>
      <c r="L923" s="33">
        <f>IF($D923="","",IFERROR(IF(INDEX(RUNS!$E$6:$E$1005,MATCH($D923,RUNS!$A$6:$A$1005,0))="","",INDEX(RUNS!$E$6:$E$1005,MATCH($D923,RUNS!$A$6:$A$1005,0))),""))</f>
        <v/>
      </c>
      <c r="M923" s="33">
        <f>IF($D923="","",IFERROR(IF(INDEX(RUNS!$F$6:$F$1005,MATCH($D923,RUNS!$A$6:$A$1005,0))="","",INDEX(RUNS!$F$6:$F$1005,MATCH($D923,RUNS!$A$6:$A$1005,0))),""))</f>
        <v/>
      </c>
      <c r="N923" s="33">
        <f>IF($D923="","",IFERROR(IF(INDEX(RUNS!$G$6:$G$1005,MATCH($D923,RUNS!$A$6:$A$1005,0))="","",INDEX(RUNS!$G$6:$G$1005,MATCH($D923,RUNS!$A$6:$A$1005,0))),""))</f>
        <v/>
      </c>
      <c r="O923" s="33">
        <f>IF($D923="","",IFERROR(IF(INDEX(RUNS!$H$6:$H$1005,MATCH($D923,RUNS!$A$6:$A$1005,0))="","",INDEX(RUNS!$H$6:$H$1005,MATCH($D923,RUNS!$A$6:$A$1005,0))),""))</f>
        <v/>
      </c>
      <c r="P923" s="33">
        <f>IF($D923="","",IFERROR(IF(INDEX(RUNS!$J$6:$J$1005,MATCH($D923,RUNS!$A$6:$A$1005,0))="","",INDEX(RUNS!$J$6:$J$1005,MATCH($D923,RUNS!$A$6:$A$1005,0))),""))</f>
        <v/>
      </c>
      <c r="Q923" s="33">
        <f>IF($D923="","",IFERROR(IF(INDEX(RUNS!$K$6:$K$1005,MATCH($D923,RUNS!$A$6:$A$1005,0))="","",INDEX(RUNS!$K$6:$K$1005,MATCH($D923,RUNS!$A$6:$A$1005,0))),""))</f>
        <v/>
      </c>
      <c r="R923" s="34">
        <f>IF(OR($L923="",$K923=""),"",IFERROR(IF(INDEX(PARAMETRES!$H$43:$H$342,MATCH($L923&amp;"|"&amp;$M923&amp;"|"&amp;$N923&amp;"|"&amp;$O923&amp;"|"&amp;$P923&amp;"|"&amp;$Q923&amp;"|"&amp;$K923,PARAMETRES!$J$43:$J$342,0))="","",INDEX(PARAMETRES!$H$43:$H$342,MATCH($L923&amp;"|"&amp;$M923&amp;"|"&amp;$N923&amp;"|"&amp;$O923&amp;"|"&amp;$P923&amp;"|"&amp;$Q923&amp;"|"&amp;$K923,PARAMETRES!$J$43:$J$342,0))),""))</f>
        <v/>
      </c>
      <c r="S923" s="35">
        <f>IF(OR($G923="",$X923&lt;&gt;"VALIDE"),"",IFERROR(LOOKUP(2,1/(($B23:$B922=$B923)*($G23:$G922=$G923)*($X23:$X922="VALIDE")),$C23:$C922),""))</f>
        <v/>
      </c>
      <c r="T923" s="36">
        <f>IF(OR($C923="",$S923=""),"",ROUND(($C923-$S923+IF($C923&lt;$S923,1,0))*1440,0))</f>
        <v/>
      </c>
      <c r="U923" s="22">
        <f>IF(OR($H923="",$T923="",$T923&lt;=0),"",$H923*60/$T923)</f>
        <v/>
      </c>
      <c r="V923" s="37">
        <f>IF(OR($U923="",$R923="",$R923=0),"",$U923/$R923)</f>
        <v/>
      </c>
      <c r="W923" s="20">
        <f>IF($G923="","",IF($X923="CONTEXTE INCOMPLET","CONTEXTE INCOMPLET",IF($X923="DOUBLON",StatutDoublon,IF($S923="",StatutInitial,IF($R923="",StatutStandardManquant,IF($V923="","DONNEES INSUFFISANTES",IF($V923&gt;=SeuilConforme,StatutConforme,IF($V923&gt;=SeuilSurveiller,StatutSurveiller,StatutSousStandard))))))))</f>
        <v/>
      </c>
      <c r="X923" s="33">
        <f>IF($G923="","",IF(OR($D923="",$E923="",$F923=""),"CONTEXTE INCOMPLET",IF(COUNTIFS($D23:$D922,$D923,$E23:$E922,$E923,$F23:$F922,$F923,$G23:$G922,$G923)&gt;0,"DOUBLON","VALIDE")))</f>
        <v/>
      </c>
    </row>
    <row r="924" ht="15" customHeight="1">
      <c r="A924" s="12">
        <f>IF(OR($B924="",$G924=""),"",TEXT($B924,"YYYYMMDD")&amp;"-"&amp;SUBSTITUTE($E924," ","")&amp;"-"&amp;$F924&amp;"-"&amp;$G924)</f>
        <v/>
      </c>
      <c r="B924" s="15" t="n"/>
      <c r="C924" s="16" t="n"/>
      <c r="D924" s="10" t="n"/>
      <c r="E924" s="9" t="n"/>
      <c r="F924" s="9" t="n"/>
      <c r="G924" s="13" t="n"/>
      <c r="H924" s="21" t="n"/>
      <c r="I924" s="21" t="n"/>
      <c r="J924" s="17">
        <f>IF($G924="","",IFERROR(INDEX(NomsEmployes,MATCH($G924,MatriculesEmployes,0)),"MATRICULE INCONNU"))</f>
        <v/>
      </c>
      <c r="K924" s="33">
        <f>IF(OR($D924="",$F924=""),"",IFERROR(IF(INDEX(RUNS!$L$6:$S$1005,MATCH($D924,RUNS!$A$6:$A$1005,0),MATCH("ACTIVITÉ "&amp;$F924,RUNS!$L$5:$S$5,0))="","",INDEX(RUNS!$L$6:$S$1005,MATCH($D924,RUNS!$A$6:$A$1005,0),MATCH("ACTIVITÉ "&amp;$F924,RUNS!$L$5:$S$5,0))),""))</f>
        <v/>
      </c>
      <c r="L924" s="33">
        <f>IF($D924="","",IFERROR(IF(INDEX(RUNS!$E$6:$E$1005,MATCH($D924,RUNS!$A$6:$A$1005,0))="","",INDEX(RUNS!$E$6:$E$1005,MATCH($D924,RUNS!$A$6:$A$1005,0))),""))</f>
        <v/>
      </c>
      <c r="M924" s="33">
        <f>IF($D924="","",IFERROR(IF(INDEX(RUNS!$F$6:$F$1005,MATCH($D924,RUNS!$A$6:$A$1005,0))="","",INDEX(RUNS!$F$6:$F$1005,MATCH($D924,RUNS!$A$6:$A$1005,0))),""))</f>
        <v/>
      </c>
      <c r="N924" s="33">
        <f>IF($D924="","",IFERROR(IF(INDEX(RUNS!$G$6:$G$1005,MATCH($D924,RUNS!$A$6:$A$1005,0))="","",INDEX(RUNS!$G$6:$G$1005,MATCH($D924,RUNS!$A$6:$A$1005,0))),""))</f>
        <v/>
      </c>
      <c r="O924" s="33">
        <f>IF($D924="","",IFERROR(IF(INDEX(RUNS!$H$6:$H$1005,MATCH($D924,RUNS!$A$6:$A$1005,0))="","",INDEX(RUNS!$H$6:$H$1005,MATCH($D924,RUNS!$A$6:$A$1005,0))),""))</f>
        <v/>
      </c>
      <c r="P924" s="33">
        <f>IF($D924="","",IFERROR(IF(INDEX(RUNS!$J$6:$J$1005,MATCH($D924,RUNS!$A$6:$A$1005,0))="","",INDEX(RUNS!$J$6:$J$1005,MATCH($D924,RUNS!$A$6:$A$1005,0))),""))</f>
        <v/>
      </c>
      <c r="Q924" s="33">
        <f>IF($D924="","",IFERROR(IF(INDEX(RUNS!$K$6:$K$1005,MATCH($D924,RUNS!$A$6:$A$1005,0))="","",INDEX(RUNS!$K$6:$K$1005,MATCH($D924,RUNS!$A$6:$A$1005,0))),""))</f>
        <v/>
      </c>
      <c r="R924" s="34">
        <f>IF(OR($L924="",$K924=""),"",IFERROR(IF(INDEX(PARAMETRES!$H$43:$H$342,MATCH($L924&amp;"|"&amp;$M924&amp;"|"&amp;$N924&amp;"|"&amp;$O924&amp;"|"&amp;$P924&amp;"|"&amp;$Q924&amp;"|"&amp;$K924,PARAMETRES!$J$43:$J$342,0))="","",INDEX(PARAMETRES!$H$43:$H$342,MATCH($L924&amp;"|"&amp;$M924&amp;"|"&amp;$N924&amp;"|"&amp;$O924&amp;"|"&amp;$P924&amp;"|"&amp;$Q924&amp;"|"&amp;$K924,PARAMETRES!$J$43:$J$342,0))),""))</f>
        <v/>
      </c>
      <c r="S924" s="35">
        <f>IF(OR($G924="",$X924&lt;&gt;"VALIDE"),"",IFERROR(LOOKUP(2,1/(($B24:$B923=$B924)*($G24:$G923=$G924)*($X24:$X923="VALIDE")),$C24:$C923),""))</f>
        <v/>
      </c>
      <c r="T924" s="36">
        <f>IF(OR($C924="",$S924=""),"",ROUND(($C924-$S924+IF($C924&lt;$S924,1,0))*1440,0))</f>
        <v/>
      </c>
      <c r="U924" s="22">
        <f>IF(OR($H924="",$T924="",$T924&lt;=0),"",$H924*60/$T924)</f>
        <v/>
      </c>
      <c r="V924" s="37">
        <f>IF(OR($U924="",$R924="",$R924=0),"",$U924/$R924)</f>
        <v/>
      </c>
      <c r="W924" s="20">
        <f>IF($G924="","",IF($X924="CONTEXTE INCOMPLET","CONTEXTE INCOMPLET",IF($X924="DOUBLON",StatutDoublon,IF($S924="",StatutInitial,IF($R924="",StatutStandardManquant,IF($V924="","DONNEES INSUFFISANTES",IF($V924&gt;=SeuilConforme,StatutConforme,IF($V924&gt;=SeuilSurveiller,StatutSurveiller,StatutSousStandard))))))))</f>
        <v/>
      </c>
      <c r="X924" s="33">
        <f>IF($G924="","",IF(OR($D924="",$E924="",$F924=""),"CONTEXTE INCOMPLET",IF(COUNTIFS($D24:$D923,$D924,$E24:$E923,$E924,$F24:$F923,$F924,$G24:$G923,$G924)&gt;0,"DOUBLON","VALIDE")))</f>
        <v/>
      </c>
    </row>
    <row r="925" ht="15" customHeight="1">
      <c r="A925" s="12">
        <f>IF(OR($B925="",$G925=""),"",TEXT($B925,"YYYYMMDD")&amp;"-"&amp;SUBSTITUTE($E925," ","")&amp;"-"&amp;$F925&amp;"-"&amp;$G925)</f>
        <v/>
      </c>
      <c r="B925" s="15" t="n"/>
      <c r="C925" s="16" t="n"/>
      <c r="D925" s="10" t="n"/>
      <c r="E925" s="9" t="n"/>
      <c r="F925" s="9" t="n"/>
      <c r="G925" s="13" t="n"/>
      <c r="H925" s="21" t="n"/>
      <c r="I925" s="21" t="n"/>
      <c r="J925" s="17">
        <f>IF($G925="","",IFERROR(INDEX(NomsEmployes,MATCH($G925,MatriculesEmployes,0)),"MATRICULE INCONNU"))</f>
        <v/>
      </c>
      <c r="K925" s="33">
        <f>IF(OR($D925="",$F925=""),"",IFERROR(IF(INDEX(RUNS!$L$6:$S$1005,MATCH($D925,RUNS!$A$6:$A$1005,0),MATCH("ACTIVITÉ "&amp;$F925,RUNS!$L$5:$S$5,0))="","",INDEX(RUNS!$L$6:$S$1005,MATCH($D925,RUNS!$A$6:$A$1005,0),MATCH("ACTIVITÉ "&amp;$F925,RUNS!$L$5:$S$5,0))),""))</f>
        <v/>
      </c>
      <c r="L925" s="33">
        <f>IF($D925="","",IFERROR(IF(INDEX(RUNS!$E$6:$E$1005,MATCH($D925,RUNS!$A$6:$A$1005,0))="","",INDEX(RUNS!$E$6:$E$1005,MATCH($D925,RUNS!$A$6:$A$1005,0))),""))</f>
        <v/>
      </c>
      <c r="M925" s="33">
        <f>IF($D925="","",IFERROR(IF(INDEX(RUNS!$F$6:$F$1005,MATCH($D925,RUNS!$A$6:$A$1005,0))="","",INDEX(RUNS!$F$6:$F$1005,MATCH($D925,RUNS!$A$6:$A$1005,0))),""))</f>
        <v/>
      </c>
      <c r="N925" s="33">
        <f>IF($D925="","",IFERROR(IF(INDEX(RUNS!$G$6:$G$1005,MATCH($D925,RUNS!$A$6:$A$1005,0))="","",INDEX(RUNS!$G$6:$G$1005,MATCH($D925,RUNS!$A$6:$A$1005,0))),""))</f>
        <v/>
      </c>
      <c r="O925" s="33">
        <f>IF($D925="","",IFERROR(IF(INDEX(RUNS!$H$6:$H$1005,MATCH($D925,RUNS!$A$6:$A$1005,0))="","",INDEX(RUNS!$H$6:$H$1005,MATCH($D925,RUNS!$A$6:$A$1005,0))),""))</f>
        <v/>
      </c>
      <c r="P925" s="33">
        <f>IF($D925="","",IFERROR(IF(INDEX(RUNS!$J$6:$J$1005,MATCH($D925,RUNS!$A$6:$A$1005,0))="","",INDEX(RUNS!$J$6:$J$1005,MATCH($D925,RUNS!$A$6:$A$1005,0))),""))</f>
        <v/>
      </c>
      <c r="Q925" s="33">
        <f>IF($D925="","",IFERROR(IF(INDEX(RUNS!$K$6:$K$1005,MATCH($D925,RUNS!$A$6:$A$1005,0))="","",INDEX(RUNS!$K$6:$K$1005,MATCH($D925,RUNS!$A$6:$A$1005,0))),""))</f>
        <v/>
      </c>
      <c r="R925" s="34">
        <f>IF(OR($L925="",$K925=""),"",IFERROR(IF(INDEX(PARAMETRES!$H$43:$H$342,MATCH($L925&amp;"|"&amp;$M925&amp;"|"&amp;$N925&amp;"|"&amp;$O925&amp;"|"&amp;$P925&amp;"|"&amp;$Q925&amp;"|"&amp;$K925,PARAMETRES!$J$43:$J$342,0))="","",INDEX(PARAMETRES!$H$43:$H$342,MATCH($L925&amp;"|"&amp;$M925&amp;"|"&amp;$N925&amp;"|"&amp;$O925&amp;"|"&amp;$P925&amp;"|"&amp;$Q925&amp;"|"&amp;$K925,PARAMETRES!$J$43:$J$342,0))),""))</f>
        <v/>
      </c>
      <c r="S925" s="35">
        <f>IF(OR($G925="",$X925&lt;&gt;"VALIDE"),"",IFERROR(LOOKUP(2,1/(($B25:$B924=$B925)*($G25:$G924=$G925)*($X25:$X924="VALIDE")),$C25:$C924),""))</f>
        <v/>
      </c>
      <c r="T925" s="36">
        <f>IF(OR($C925="",$S925=""),"",ROUND(($C925-$S925+IF($C925&lt;$S925,1,0))*1440,0))</f>
        <v/>
      </c>
      <c r="U925" s="22">
        <f>IF(OR($H925="",$T925="",$T925&lt;=0),"",$H925*60/$T925)</f>
        <v/>
      </c>
      <c r="V925" s="37">
        <f>IF(OR($U925="",$R925="",$R925=0),"",$U925/$R925)</f>
        <v/>
      </c>
      <c r="W925" s="20">
        <f>IF($G925="","",IF($X925="CONTEXTE INCOMPLET","CONTEXTE INCOMPLET",IF($X925="DOUBLON",StatutDoublon,IF($S925="",StatutInitial,IF($R925="",StatutStandardManquant,IF($V925="","DONNEES INSUFFISANTES",IF($V925&gt;=SeuilConforme,StatutConforme,IF($V925&gt;=SeuilSurveiller,StatutSurveiller,StatutSousStandard))))))))</f>
        <v/>
      </c>
      <c r="X925" s="33">
        <f>IF($G925="","",IF(OR($D925="",$E925="",$F925=""),"CONTEXTE INCOMPLET",IF(COUNTIFS($D25:$D924,$D925,$E25:$E924,$E925,$F25:$F924,$F925,$G25:$G924,$G925)&gt;0,"DOUBLON","VALIDE")))</f>
        <v/>
      </c>
    </row>
    <row r="926" ht="15" customHeight="1">
      <c r="A926" s="12">
        <f>IF(OR($B926="",$G926=""),"",TEXT($B926,"YYYYMMDD")&amp;"-"&amp;SUBSTITUTE($E926," ","")&amp;"-"&amp;$F926&amp;"-"&amp;$G926)</f>
        <v/>
      </c>
      <c r="B926" s="15" t="n"/>
      <c r="C926" s="16" t="n"/>
      <c r="D926" s="10" t="n"/>
      <c r="E926" s="9" t="n"/>
      <c r="F926" s="9" t="n"/>
      <c r="G926" s="13" t="n"/>
      <c r="H926" s="21" t="n"/>
      <c r="I926" s="21" t="n"/>
      <c r="J926" s="17">
        <f>IF($G926="","",IFERROR(INDEX(NomsEmployes,MATCH($G926,MatriculesEmployes,0)),"MATRICULE INCONNU"))</f>
        <v/>
      </c>
      <c r="K926" s="33">
        <f>IF(OR($D926="",$F926=""),"",IFERROR(IF(INDEX(RUNS!$L$6:$S$1005,MATCH($D926,RUNS!$A$6:$A$1005,0),MATCH("ACTIVITÉ "&amp;$F926,RUNS!$L$5:$S$5,0))="","",INDEX(RUNS!$L$6:$S$1005,MATCH($D926,RUNS!$A$6:$A$1005,0),MATCH("ACTIVITÉ "&amp;$F926,RUNS!$L$5:$S$5,0))),""))</f>
        <v/>
      </c>
      <c r="L926" s="33">
        <f>IF($D926="","",IFERROR(IF(INDEX(RUNS!$E$6:$E$1005,MATCH($D926,RUNS!$A$6:$A$1005,0))="","",INDEX(RUNS!$E$6:$E$1005,MATCH($D926,RUNS!$A$6:$A$1005,0))),""))</f>
        <v/>
      </c>
      <c r="M926" s="33">
        <f>IF($D926="","",IFERROR(IF(INDEX(RUNS!$F$6:$F$1005,MATCH($D926,RUNS!$A$6:$A$1005,0))="","",INDEX(RUNS!$F$6:$F$1005,MATCH($D926,RUNS!$A$6:$A$1005,0))),""))</f>
        <v/>
      </c>
      <c r="N926" s="33">
        <f>IF($D926="","",IFERROR(IF(INDEX(RUNS!$G$6:$G$1005,MATCH($D926,RUNS!$A$6:$A$1005,0))="","",INDEX(RUNS!$G$6:$G$1005,MATCH($D926,RUNS!$A$6:$A$1005,0))),""))</f>
        <v/>
      </c>
      <c r="O926" s="33">
        <f>IF($D926="","",IFERROR(IF(INDEX(RUNS!$H$6:$H$1005,MATCH($D926,RUNS!$A$6:$A$1005,0))="","",INDEX(RUNS!$H$6:$H$1005,MATCH($D926,RUNS!$A$6:$A$1005,0))),""))</f>
        <v/>
      </c>
      <c r="P926" s="33">
        <f>IF($D926="","",IFERROR(IF(INDEX(RUNS!$J$6:$J$1005,MATCH($D926,RUNS!$A$6:$A$1005,0))="","",INDEX(RUNS!$J$6:$J$1005,MATCH($D926,RUNS!$A$6:$A$1005,0))),""))</f>
        <v/>
      </c>
      <c r="Q926" s="33">
        <f>IF($D926="","",IFERROR(IF(INDEX(RUNS!$K$6:$K$1005,MATCH($D926,RUNS!$A$6:$A$1005,0))="","",INDEX(RUNS!$K$6:$K$1005,MATCH($D926,RUNS!$A$6:$A$1005,0))),""))</f>
        <v/>
      </c>
      <c r="R926" s="34">
        <f>IF(OR($L926="",$K926=""),"",IFERROR(IF(INDEX(PARAMETRES!$H$43:$H$342,MATCH($L926&amp;"|"&amp;$M926&amp;"|"&amp;$N926&amp;"|"&amp;$O926&amp;"|"&amp;$P926&amp;"|"&amp;$Q926&amp;"|"&amp;$K926,PARAMETRES!$J$43:$J$342,0))="","",INDEX(PARAMETRES!$H$43:$H$342,MATCH($L926&amp;"|"&amp;$M926&amp;"|"&amp;$N926&amp;"|"&amp;$O926&amp;"|"&amp;$P926&amp;"|"&amp;$Q926&amp;"|"&amp;$K926,PARAMETRES!$J$43:$J$342,0))),""))</f>
        <v/>
      </c>
      <c r="S926" s="35">
        <f>IF(OR($G926="",$X926&lt;&gt;"VALIDE"),"",IFERROR(LOOKUP(2,1/(($B26:$B925=$B926)*($G26:$G925=$G926)*($X26:$X925="VALIDE")),$C26:$C925),""))</f>
        <v/>
      </c>
      <c r="T926" s="36">
        <f>IF(OR($C926="",$S926=""),"",ROUND(($C926-$S926+IF($C926&lt;$S926,1,0))*1440,0))</f>
        <v/>
      </c>
      <c r="U926" s="22">
        <f>IF(OR($H926="",$T926="",$T926&lt;=0),"",$H926*60/$T926)</f>
        <v/>
      </c>
      <c r="V926" s="37">
        <f>IF(OR($U926="",$R926="",$R926=0),"",$U926/$R926)</f>
        <v/>
      </c>
      <c r="W926" s="20">
        <f>IF($G926="","",IF($X926="CONTEXTE INCOMPLET","CONTEXTE INCOMPLET",IF($X926="DOUBLON",StatutDoublon,IF($S926="",StatutInitial,IF($R926="",StatutStandardManquant,IF($V926="","DONNEES INSUFFISANTES",IF($V926&gt;=SeuilConforme,StatutConforme,IF($V926&gt;=SeuilSurveiller,StatutSurveiller,StatutSousStandard))))))))</f>
        <v/>
      </c>
      <c r="X926" s="33">
        <f>IF($G926="","",IF(OR($D926="",$E926="",$F926=""),"CONTEXTE INCOMPLET",IF(COUNTIFS($D26:$D925,$D926,$E26:$E925,$E926,$F26:$F925,$F926,$G26:$G925,$G926)&gt;0,"DOUBLON","VALIDE")))</f>
        <v/>
      </c>
    </row>
    <row r="927" ht="15" customHeight="1">
      <c r="A927" s="12">
        <f>IF(OR($B927="",$G927=""),"",TEXT($B927,"YYYYMMDD")&amp;"-"&amp;SUBSTITUTE($E927," ","")&amp;"-"&amp;$F927&amp;"-"&amp;$G927)</f>
        <v/>
      </c>
      <c r="B927" s="15" t="n"/>
      <c r="C927" s="16" t="n"/>
      <c r="D927" s="10" t="n"/>
      <c r="E927" s="9" t="n"/>
      <c r="F927" s="9" t="n"/>
      <c r="G927" s="13" t="n"/>
      <c r="H927" s="21" t="n"/>
      <c r="I927" s="21" t="n"/>
      <c r="J927" s="17">
        <f>IF($G927="","",IFERROR(INDEX(NomsEmployes,MATCH($G927,MatriculesEmployes,0)),"MATRICULE INCONNU"))</f>
        <v/>
      </c>
      <c r="K927" s="33">
        <f>IF(OR($D927="",$F927=""),"",IFERROR(IF(INDEX(RUNS!$L$6:$S$1005,MATCH($D927,RUNS!$A$6:$A$1005,0),MATCH("ACTIVITÉ "&amp;$F927,RUNS!$L$5:$S$5,0))="","",INDEX(RUNS!$L$6:$S$1005,MATCH($D927,RUNS!$A$6:$A$1005,0),MATCH("ACTIVITÉ "&amp;$F927,RUNS!$L$5:$S$5,0))),""))</f>
        <v/>
      </c>
      <c r="L927" s="33">
        <f>IF($D927="","",IFERROR(IF(INDEX(RUNS!$E$6:$E$1005,MATCH($D927,RUNS!$A$6:$A$1005,0))="","",INDEX(RUNS!$E$6:$E$1005,MATCH($D927,RUNS!$A$6:$A$1005,0))),""))</f>
        <v/>
      </c>
      <c r="M927" s="33">
        <f>IF($D927="","",IFERROR(IF(INDEX(RUNS!$F$6:$F$1005,MATCH($D927,RUNS!$A$6:$A$1005,0))="","",INDEX(RUNS!$F$6:$F$1005,MATCH($D927,RUNS!$A$6:$A$1005,0))),""))</f>
        <v/>
      </c>
      <c r="N927" s="33">
        <f>IF($D927="","",IFERROR(IF(INDEX(RUNS!$G$6:$G$1005,MATCH($D927,RUNS!$A$6:$A$1005,0))="","",INDEX(RUNS!$G$6:$G$1005,MATCH($D927,RUNS!$A$6:$A$1005,0))),""))</f>
        <v/>
      </c>
      <c r="O927" s="33">
        <f>IF($D927="","",IFERROR(IF(INDEX(RUNS!$H$6:$H$1005,MATCH($D927,RUNS!$A$6:$A$1005,0))="","",INDEX(RUNS!$H$6:$H$1005,MATCH($D927,RUNS!$A$6:$A$1005,0))),""))</f>
        <v/>
      </c>
      <c r="P927" s="33">
        <f>IF($D927="","",IFERROR(IF(INDEX(RUNS!$J$6:$J$1005,MATCH($D927,RUNS!$A$6:$A$1005,0))="","",INDEX(RUNS!$J$6:$J$1005,MATCH($D927,RUNS!$A$6:$A$1005,0))),""))</f>
        <v/>
      </c>
      <c r="Q927" s="33">
        <f>IF($D927="","",IFERROR(IF(INDEX(RUNS!$K$6:$K$1005,MATCH($D927,RUNS!$A$6:$A$1005,0))="","",INDEX(RUNS!$K$6:$K$1005,MATCH($D927,RUNS!$A$6:$A$1005,0))),""))</f>
        <v/>
      </c>
      <c r="R927" s="34">
        <f>IF(OR($L927="",$K927=""),"",IFERROR(IF(INDEX(PARAMETRES!$H$43:$H$342,MATCH($L927&amp;"|"&amp;$M927&amp;"|"&amp;$N927&amp;"|"&amp;$O927&amp;"|"&amp;$P927&amp;"|"&amp;$Q927&amp;"|"&amp;$K927,PARAMETRES!$J$43:$J$342,0))="","",INDEX(PARAMETRES!$H$43:$H$342,MATCH($L927&amp;"|"&amp;$M927&amp;"|"&amp;$N927&amp;"|"&amp;$O927&amp;"|"&amp;$P927&amp;"|"&amp;$Q927&amp;"|"&amp;$K927,PARAMETRES!$J$43:$J$342,0))),""))</f>
        <v/>
      </c>
      <c r="S927" s="35">
        <f>IF(OR($G927="",$X927&lt;&gt;"VALIDE"),"",IFERROR(LOOKUP(2,1/(($B27:$B926=$B927)*($G27:$G926=$G927)*($X27:$X926="VALIDE")),$C27:$C926),""))</f>
        <v/>
      </c>
      <c r="T927" s="36">
        <f>IF(OR($C927="",$S927=""),"",ROUND(($C927-$S927+IF($C927&lt;$S927,1,0))*1440,0))</f>
        <v/>
      </c>
      <c r="U927" s="22">
        <f>IF(OR($H927="",$T927="",$T927&lt;=0),"",$H927*60/$T927)</f>
        <v/>
      </c>
      <c r="V927" s="37">
        <f>IF(OR($U927="",$R927="",$R927=0),"",$U927/$R927)</f>
        <v/>
      </c>
      <c r="W927" s="20">
        <f>IF($G927="","",IF($X927="CONTEXTE INCOMPLET","CONTEXTE INCOMPLET",IF($X927="DOUBLON",StatutDoublon,IF($S927="",StatutInitial,IF($R927="",StatutStandardManquant,IF($V927="","DONNEES INSUFFISANTES",IF($V927&gt;=SeuilConforme,StatutConforme,IF($V927&gt;=SeuilSurveiller,StatutSurveiller,StatutSousStandard))))))))</f>
        <v/>
      </c>
      <c r="X927" s="33">
        <f>IF($G927="","",IF(OR($D927="",$E927="",$F927=""),"CONTEXTE INCOMPLET",IF(COUNTIFS($D27:$D926,$D927,$E27:$E926,$E927,$F27:$F926,$F927,$G27:$G926,$G927)&gt;0,"DOUBLON","VALIDE")))</f>
        <v/>
      </c>
    </row>
    <row r="928" ht="15" customHeight="1">
      <c r="A928" s="12">
        <f>IF(OR($B928="",$G928=""),"",TEXT($B928,"YYYYMMDD")&amp;"-"&amp;SUBSTITUTE($E928," ","")&amp;"-"&amp;$F928&amp;"-"&amp;$G928)</f>
        <v/>
      </c>
      <c r="B928" s="15" t="n"/>
      <c r="C928" s="16" t="n"/>
      <c r="D928" s="10" t="n"/>
      <c r="E928" s="9" t="n"/>
      <c r="F928" s="9" t="n"/>
      <c r="G928" s="13" t="n"/>
      <c r="H928" s="21" t="n"/>
      <c r="I928" s="21" t="n"/>
      <c r="J928" s="17">
        <f>IF($G928="","",IFERROR(INDEX(NomsEmployes,MATCH($G928,MatriculesEmployes,0)),"MATRICULE INCONNU"))</f>
        <v/>
      </c>
      <c r="K928" s="33">
        <f>IF(OR($D928="",$F928=""),"",IFERROR(IF(INDEX(RUNS!$L$6:$S$1005,MATCH($D928,RUNS!$A$6:$A$1005,0),MATCH("ACTIVITÉ "&amp;$F928,RUNS!$L$5:$S$5,0))="","",INDEX(RUNS!$L$6:$S$1005,MATCH($D928,RUNS!$A$6:$A$1005,0),MATCH("ACTIVITÉ "&amp;$F928,RUNS!$L$5:$S$5,0))),""))</f>
        <v/>
      </c>
      <c r="L928" s="33">
        <f>IF($D928="","",IFERROR(IF(INDEX(RUNS!$E$6:$E$1005,MATCH($D928,RUNS!$A$6:$A$1005,0))="","",INDEX(RUNS!$E$6:$E$1005,MATCH($D928,RUNS!$A$6:$A$1005,0))),""))</f>
        <v/>
      </c>
      <c r="M928" s="33">
        <f>IF($D928="","",IFERROR(IF(INDEX(RUNS!$F$6:$F$1005,MATCH($D928,RUNS!$A$6:$A$1005,0))="","",INDEX(RUNS!$F$6:$F$1005,MATCH($D928,RUNS!$A$6:$A$1005,0))),""))</f>
        <v/>
      </c>
      <c r="N928" s="33">
        <f>IF($D928="","",IFERROR(IF(INDEX(RUNS!$G$6:$G$1005,MATCH($D928,RUNS!$A$6:$A$1005,0))="","",INDEX(RUNS!$G$6:$G$1005,MATCH($D928,RUNS!$A$6:$A$1005,0))),""))</f>
        <v/>
      </c>
      <c r="O928" s="33">
        <f>IF($D928="","",IFERROR(IF(INDEX(RUNS!$H$6:$H$1005,MATCH($D928,RUNS!$A$6:$A$1005,0))="","",INDEX(RUNS!$H$6:$H$1005,MATCH($D928,RUNS!$A$6:$A$1005,0))),""))</f>
        <v/>
      </c>
      <c r="P928" s="33">
        <f>IF($D928="","",IFERROR(IF(INDEX(RUNS!$J$6:$J$1005,MATCH($D928,RUNS!$A$6:$A$1005,0))="","",INDEX(RUNS!$J$6:$J$1005,MATCH($D928,RUNS!$A$6:$A$1005,0))),""))</f>
        <v/>
      </c>
      <c r="Q928" s="33">
        <f>IF($D928="","",IFERROR(IF(INDEX(RUNS!$K$6:$K$1005,MATCH($D928,RUNS!$A$6:$A$1005,0))="","",INDEX(RUNS!$K$6:$K$1005,MATCH($D928,RUNS!$A$6:$A$1005,0))),""))</f>
        <v/>
      </c>
      <c r="R928" s="34">
        <f>IF(OR($L928="",$K928=""),"",IFERROR(IF(INDEX(PARAMETRES!$H$43:$H$342,MATCH($L928&amp;"|"&amp;$M928&amp;"|"&amp;$N928&amp;"|"&amp;$O928&amp;"|"&amp;$P928&amp;"|"&amp;$Q928&amp;"|"&amp;$K928,PARAMETRES!$J$43:$J$342,0))="","",INDEX(PARAMETRES!$H$43:$H$342,MATCH($L928&amp;"|"&amp;$M928&amp;"|"&amp;$N928&amp;"|"&amp;$O928&amp;"|"&amp;$P928&amp;"|"&amp;$Q928&amp;"|"&amp;$K928,PARAMETRES!$J$43:$J$342,0))),""))</f>
        <v/>
      </c>
      <c r="S928" s="35">
        <f>IF(OR($G928="",$X928&lt;&gt;"VALIDE"),"",IFERROR(LOOKUP(2,1/(($B28:$B927=$B928)*($G28:$G927=$G928)*($X28:$X927="VALIDE")),$C28:$C927),""))</f>
        <v/>
      </c>
      <c r="T928" s="36">
        <f>IF(OR($C928="",$S928=""),"",ROUND(($C928-$S928+IF($C928&lt;$S928,1,0))*1440,0))</f>
        <v/>
      </c>
      <c r="U928" s="22">
        <f>IF(OR($H928="",$T928="",$T928&lt;=0),"",$H928*60/$T928)</f>
        <v/>
      </c>
      <c r="V928" s="37">
        <f>IF(OR($U928="",$R928="",$R928=0),"",$U928/$R928)</f>
        <v/>
      </c>
      <c r="W928" s="20">
        <f>IF($G928="","",IF($X928="CONTEXTE INCOMPLET","CONTEXTE INCOMPLET",IF($X928="DOUBLON",StatutDoublon,IF($S928="",StatutInitial,IF($R928="",StatutStandardManquant,IF($V928="","DONNEES INSUFFISANTES",IF($V928&gt;=SeuilConforme,StatutConforme,IF($V928&gt;=SeuilSurveiller,StatutSurveiller,StatutSousStandard))))))))</f>
        <v/>
      </c>
      <c r="X928" s="33">
        <f>IF($G928="","",IF(OR($D928="",$E928="",$F928=""),"CONTEXTE INCOMPLET",IF(COUNTIFS($D28:$D927,$D928,$E28:$E927,$E928,$F28:$F927,$F928,$G28:$G927,$G928)&gt;0,"DOUBLON","VALIDE")))</f>
        <v/>
      </c>
    </row>
    <row r="929" ht="15" customHeight="1">
      <c r="A929" s="12">
        <f>IF(OR($B929="",$G929=""),"",TEXT($B929,"YYYYMMDD")&amp;"-"&amp;SUBSTITUTE($E929," ","")&amp;"-"&amp;$F929&amp;"-"&amp;$G929)</f>
        <v/>
      </c>
      <c r="B929" s="15" t="n"/>
      <c r="C929" s="16" t="n"/>
      <c r="D929" s="10" t="n"/>
      <c r="E929" s="9" t="n"/>
      <c r="F929" s="9" t="n"/>
      <c r="G929" s="13" t="n"/>
      <c r="H929" s="21" t="n"/>
      <c r="I929" s="21" t="n"/>
      <c r="J929" s="17">
        <f>IF($G929="","",IFERROR(INDEX(NomsEmployes,MATCH($G929,MatriculesEmployes,0)),"MATRICULE INCONNU"))</f>
        <v/>
      </c>
      <c r="K929" s="33">
        <f>IF(OR($D929="",$F929=""),"",IFERROR(IF(INDEX(RUNS!$L$6:$S$1005,MATCH($D929,RUNS!$A$6:$A$1005,0),MATCH("ACTIVITÉ "&amp;$F929,RUNS!$L$5:$S$5,0))="","",INDEX(RUNS!$L$6:$S$1005,MATCH($D929,RUNS!$A$6:$A$1005,0),MATCH("ACTIVITÉ "&amp;$F929,RUNS!$L$5:$S$5,0))),""))</f>
        <v/>
      </c>
      <c r="L929" s="33">
        <f>IF($D929="","",IFERROR(IF(INDEX(RUNS!$E$6:$E$1005,MATCH($D929,RUNS!$A$6:$A$1005,0))="","",INDEX(RUNS!$E$6:$E$1005,MATCH($D929,RUNS!$A$6:$A$1005,0))),""))</f>
        <v/>
      </c>
      <c r="M929" s="33">
        <f>IF($D929="","",IFERROR(IF(INDEX(RUNS!$F$6:$F$1005,MATCH($D929,RUNS!$A$6:$A$1005,0))="","",INDEX(RUNS!$F$6:$F$1005,MATCH($D929,RUNS!$A$6:$A$1005,0))),""))</f>
        <v/>
      </c>
      <c r="N929" s="33">
        <f>IF($D929="","",IFERROR(IF(INDEX(RUNS!$G$6:$G$1005,MATCH($D929,RUNS!$A$6:$A$1005,0))="","",INDEX(RUNS!$G$6:$G$1005,MATCH($D929,RUNS!$A$6:$A$1005,0))),""))</f>
        <v/>
      </c>
      <c r="O929" s="33">
        <f>IF($D929="","",IFERROR(IF(INDEX(RUNS!$H$6:$H$1005,MATCH($D929,RUNS!$A$6:$A$1005,0))="","",INDEX(RUNS!$H$6:$H$1005,MATCH($D929,RUNS!$A$6:$A$1005,0))),""))</f>
        <v/>
      </c>
      <c r="P929" s="33">
        <f>IF($D929="","",IFERROR(IF(INDEX(RUNS!$J$6:$J$1005,MATCH($D929,RUNS!$A$6:$A$1005,0))="","",INDEX(RUNS!$J$6:$J$1005,MATCH($D929,RUNS!$A$6:$A$1005,0))),""))</f>
        <v/>
      </c>
      <c r="Q929" s="33">
        <f>IF($D929="","",IFERROR(IF(INDEX(RUNS!$K$6:$K$1005,MATCH($D929,RUNS!$A$6:$A$1005,0))="","",INDEX(RUNS!$K$6:$K$1005,MATCH($D929,RUNS!$A$6:$A$1005,0))),""))</f>
        <v/>
      </c>
      <c r="R929" s="34">
        <f>IF(OR($L929="",$K929=""),"",IFERROR(IF(INDEX(PARAMETRES!$H$43:$H$342,MATCH($L929&amp;"|"&amp;$M929&amp;"|"&amp;$N929&amp;"|"&amp;$O929&amp;"|"&amp;$P929&amp;"|"&amp;$Q929&amp;"|"&amp;$K929,PARAMETRES!$J$43:$J$342,0))="","",INDEX(PARAMETRES!$H$43:$H$342,MATCH($L929&amp;"|"&amp;$M929&amp;"|"&amp;$N929&amp;"|"&amp;$O929&amp;"|"&amp;$P929&amp;"|"&amp;$Q929&amp;"|"&amp;$K929,PARAMETRES!$J$43:$J$342,0))),""))</f>
        <v/>
      </c>
      <c r="S929" s="35">
        <f>IF(OR($G929="",$X929&lt;&gt;"VALIDE"),"",IFERROR(LOOKUP(2,1/(($B29:$B928=$B929)*($G29:$G928=$G929)*($X29:$X928="VALIDE")),$C29:$C928),""))</f>
        <v/>
      </c>
      <c r="T929" s="36">
        <f>IF(OR($C929="",$S929=""),"",ROUND(($C929-$S929+IF($C929&lt;$S929,1,0))*1440,0))</f>
        <v/>
      </c>
      <c r="U929" s="22">
        <f>IF(OR($H929="",$T929="",$T929&lt;=0),"",$H929*60/$T929)</f>
        <v/>
      </c>
      <c r="V929" s="37">
        <f>IF(OR($U929="",$R929="",$R929=0),"",$U929/$R929)</f>
        <v/>
      </c>
      <c r="W929" s="20">
        <f>IF($G929="","",IF($X929="CONTEXTE INCOMPLET","CONTEXTE INCOMPLET",IF($X929="DOUBLON",StatutDoublon,IF($S929="",StatutInitial,IF($R929="",StatutStandardManquant,IF($V929="","DONNEES INSUFFISANTES",IF($V929&gt;=SeuilConforme,StatutConforme,IF($V929&gt;=SeuilSurveiller,StatutSurveiller,StatutSousStandard))))))))</f>
        <v/>
      </c>
      <c r="X929" s="33">
        <f>IF($G929="","",IF(OR($D929="",$E929="",$F929=""),"CONTEXTE INCOMPLET",IF(COUNTIFS($D29:$D928,$D929,$E29:$E928,$E929,$F29:$F928,$F929,$G29:$G928,$G929)&gt;0,"DOUBLON","VALIDE")))</f>
        <v/>
      </c>
    </row>
    <row r="930" ht="15" customHeight="1">
      <c r="A930" s="12">
        <f>IF(OR($B930="",$G930=""),"",TEXT($B930,"YYYYMMDD")&amp;"-"&amp;SUBSTITUTE($E930," ","")&amp;"-"&amp;$F930&amp;"-"&amp;$G930)</f>
        <v/>
      </c>
      <c r="B930" s="15" t="n"/>
      <c r="C930" s="16" t="n"/>
      <c r="D930" s="10" t="n"/>
      <c r="E930" s="9" t="n"/>
      <c r="F930" s="9" t="n"/>
      <c r="G930" s="13" t="n"/>
      <c r="H930" s="21" t="n"/>
      <c r="I930" s="21" t="n"/>
      <c r="J930" s="17">
        <f>IF($G930="","",IFERROR(INDEX(NomsEmployes,MATCH($G930,MatriculesEmployes,0)),"MATRICULE INCONNU"))</f>
        <v/>
      </c>
      <c r="K930" s="33">
        <f>IF(OR($D930="",$F930=""),"",IFERROR(IF(INDEX(RUNS!$L$6:$S$1005,MATCH($D930,RUNS!$A$6:$A$1005,0),MATCH("ACTIVITÉ "&amp;$F930,RUNS!$L$5:$S$5,0))="","",INDEX(RUNS!$L$6:$S$1005,MATCH($D930,RUNS!$A$6:$A$1005,0),MATCH("ACTIVITÉ "&amp;$F930,RUNS!$L$5:$S$5,0))),""))</f>
        <v/>
      </c>
      <c r="L930" s="33">
        <f>IF($D930="","",IFERROR(IF(INDEX(RUNS!$E$6:$E$1005,MATCH($D930,RUNS!$A$6:$A$1005,0))="","",INDEX(RUNS!$E$6:$E$1005,MATCH($D930,RUNS!$A$6:$A$1005,0))),""))</f>
        <v/>
      </c>
      <c r="M930" s="33">
        <f>IF($D930="","",IFERROR(IF(INDEX(RUNS!$F$6:$F$1005,MATCH($D930,RUNS!$A$6:$A$1005,0))="","",INDEX(RUNS!$F$6:$F$1005,MATCH($D930,RUNS!$A$6:$A$1005,0))),""))</f>
        <v/>
      </c>
      <c r="N930" s="33">
        <f>IF($D930="","",IFERROR(IF(INDEX(RUNS!$G$6:$G$1005,MATCH($D930,RUNS!$A$6:$A$1005,0))="","",INDEX(RUNS!$G$6:$G$1005,MATCH($D930,RUNS!$A$6:$A$1005,0))),""))</f>
        <v/>
      </c>
      <c r="O930" s="33">
        <f>IF($D930="","",IFERROR(IF(INDEX(RUNS!$H$6:$H$1005,MATCH($D930,RUNS!$A$6:$A$1005,0))="","",INDEX(RUNS!$H$6:$H$1005,MATCH($D930,RUNS!$A$6:$A$1005,0))),""))</f>
        <v/>
      </c>
      <c r="P930" s="33">
        <f>IF($D930="","",IFERROR(IF(INDEX(RUNS!$J$6:$J$1005,MATCH($D930,RUNS!$A$6:$A$1005,0))="","",INDEX(RUNS!$J$6:$J$1005,MATCH($D930,RUNS!$A$6:$A$1005,0))),""))</f>
        <v/>
      </c>
      <c r="Q930" s="33">
        <f>IF($D930="","",IFERROR(IF(INDEX(RUNS!$K$6:$K$1005,MATCH($D930,RUNS!$A$6:$A$1005,0))="","",INDEX(RUNS!$K$6:$K$1005,MATCH($D930,RUNS!$A$6:$A$1005,0))),""))</f>
        <v/>
      </c>
      <c r="R930" s="34">
        <f>IF(OR($L930="",$K930=""),"",IFERROR(IF(INDEX(PARAMETRES!$H$43:$H$342,MATCH($L930&amp;"|"&amp;$M930&amp;"|"&amp;$N930&amp;"|"&amp;$O930&amp;"|"&amp;$P930&amp;"|"&amp;$Q930&amp;"|"&amp;$K930,PARAMETRES!$J$43:$J$342,0))="","",INDEX(PARAMETRES!$H$43:$H$342,MATCH($L930&amp;"|"&amp;$M930&amp;"|"&amp;$N930&amp;"|"&amp;$O930&amp;"|"&amp;$P930&amp;"|"&amp;$Q930&amp;"|"&amp;$K930,PARAMETRES!$J$43:$J$342,0))),""))</f>
        <v/>
      </c>
      <c r="S930" s="35">
        <f>IF(OR($G930="",$X930&lt;&gt;"VALIDE"),"",IFERROR(LOOKUP(2,1/(($B30:$B929=$B930)*($G30:$G929=$G930)*($X30:$X929="VALIDE")),$C30:$C929),""))</f>
        <v/>
      </c>
      <c r="T930" s="36">
        <f>IF(OR($C930="",$S930=""),"",ROUND(($C930-$S930+IF($C930&lt;$S930,1,0))*1440,0))</f>
        <v/>
      </c>
      <c r="U930" s="22">
        <f>IF(OR($H930="",$T930="",$T930&lt;=0),"",$H930*60/$T930)</f>
        <v/>
      </c>
      <c r="V930" s="37">
        <f>IF(OR($U930="",$R930="",$R930=0),"",$U930/$R930)</f>
        <v/>
      </c>
      <c r="W930" s="20">
        <f>IF($G930="","",IF($X930="CONTEXTE INCOMPLET","CONTEXTE INCOMPLET",IF($X930="DOUBLON",StatutDoublon,IF($S930="",StatutInitial,IF($R930="",StatutStandardManquant,IF($V930="","DONNEES INSUFFISANTES",IF($V930&gt;=SeuilConforme,StatutConforme,IF($V930&gt;=SeuilSurveiller,StatutSurveiller,StatutSousStandard))))))))</f>
        <v/>
      </c>
      <c r="X930" s="33">
        <f>IF($G930="","",IF(OR($D930="",$E930="",$F930=""),"CONTEXTE INCOMPLET",IF(COUNTIFS($D30:$D929,$D930,$E30:$E929,$E930,$F30:$F929,$F930,$G30:$G929,$G930)&gt;0,"DOUBLON","VALIDE")))</f>
        <v/>
      </c>
    </row>
    <row r="931" ht="15" customHeight="1">
      <c r="A931" s="12">
        <f>IF(OR($B931="",$G931=""),"",TEXT($B931,"YYYYMMDD")&amp;"-"&amp;SUBSTITUTE($E931," ","")&amp;"-"&amp;$F931&amp;"-"&amp;$G931)</f>
        <v/>
      </c>
      <c r="B931" s="15" t="n"/>
      <c r="C931" s="16" t="n"/>
      <c r="D931" s="10" t="n"/>
      <c r="E931" s="9" t="n"/>
      <c r="F931" s="9" t="n"/>
      <c r="G931" s="13" t="n"/>
      <c r="H931" s="21" t="n"/>
      <c r="I931" s="21" t="n"/>
      <c r="J931" s="17">
        <f>IF($G931="","",IFERROR(INDEX(NomsEmployes,MATCH($G931,MatriculesEmployes,0)),"MATRICULE INCONNU"))</f>
        <v/>
      </c>
      <c r="K931" s="33">
        <f>IF(OR($D931="",$F931=""),"",IFERROR(IF(INDEX(RUNS!$L$6:$S$1005,MATCH($D931,RUNS!$A$6:$A$1005,0),MATCH("ACTIVITÉ "&amp;$F931,RUNS!$L$5:$S$5,0))="","",INDEX(RUNS!$L$6:$S$1005,MATCH($D931,RUNS!$A$6:$A$1005,0),MATCH("ACTIVITÉ "&amp;$F931,RUNS!$L$5:$S$5,0))),""))</f>
        <v/>
      </c>
      <c r="L931" s="33">
        <f>IF($D931="","",IFERROR(IF(INDEX(RUNS!$E$6:$E$1005,MATCH($D931,RUNS!$A$6:$A$1005,0))="","",INDEX(RUNS!$E$6:$E$1005,MATCH($D931,RUNS!$A$6:$A$1005,0))),""))</f>
        <v/>
      </c>
      <c r="M931" s="33">
        <f>IF($D931="","",IFERROR(IF(INDEX(RUNS!$F$6:$F$1005,MATCH($D931,RUNS!$A$6:$A$1005,0))="","",INDEX(RUNS!$F$6:$F$1005,MATCH($D931,RUNS!$A$6:$A$1005,0))),""))</f>
        <v/>
      </c>
      <c r="N931" s="33">
        <f>IF($D931="","",IFERROR(IF(INDEX(RUNS!$G$6:$G$1005,MATCH($D931,RUNS!$A$6:$A$1005,0))="","",INDEX(RUNS!$G$6:$G$1005,MATCH($D931,RUNS!$A$6:$A$1005,0))),""))</f>
        <v/>
      </c>
      <c r="O931" s="33">
        <f>IF($D931="","",IFERROR(IF(INDEX(RUNS!$H$6:$H$1005,MATCH($D931,RUNS!$A$6:$A$1005,0))="","",INDEX(RUNS!$H$6:$H$1005,MATCH($D931,RUNS!$A$6:$A$1005,0))),""))</f>
        <v/>
      </c>
      <c r="P931" s="33">
        <f>IF($D931="","",IFERROR(IF(INDEX(RUNS!$J$6:$J$1005,MATCH($D931,RUNS!$A$6:$A$1005,0))="","",INDEX(RUNS!$J$6:$J$1005,MATCH($D931,RUNS!$A$6:$A$1005,0))),""))</f>
        <v/>
      </c>
      <c r="Q931" s="33">
        <f>IF($D931="","",IFERROR(IF(INDEX(RUNS!$K$6:$K$1005,MATCH($D931,RUNS!$A$6:$A$1005,0))="","",INDEX(RUNS!$K$6:$K$1005,MATCH($D931,RUNS!$A$6:$A$1005,0))),""))</f>
        <v/>
      </c>
      <c r="R931" s="34">
        <f>IF(OR($L931="",$K931=""),"",IFERROR(IF(INDEX(PARAMETRES!$H$43:$H$342,MATCH($L931&amp;"|"&amp;$M931&amp;"|"&amp;$N931&amp;"|"&amp;$O931&amp;"|"&amp;$P931&amp;"|"&amp;$Q931&amp;"|"&amp;$K931,PARAMETRES!$J$43:$J$342,0))="","",INDEX(PARAMETRES!$H$43:$H$342,MATCH($L931&amp;"|"&amp;$M931&amp;"|"&amp;$N931&amp;"|"&amp;$O931&amp;"|"&amp;$P931&amp;"|"&amp;$Q931&amp;"|"&amp;$K931,PARAMETRES!$J$43:$J$342,0))),""))</f>
        <v/>
      </c>
      <c r="S931" s="35">
        <f>IF(OR($G931="",$X931&lt;&gt;"VALIDE"),"",IFERROR(LOOKUP(2,1/(($B31:$B930=$B931)*($G31:$G930=$G931)*($X31:$X930="VALIDE")),$C31:$C930),""))</f>
        <v/>
      </c>
      <c r="T931" s="36">
        <f>IF(OR($C931="",$S931=""),"",ROUND(($C931-$S931+IF($C931&lt;$S931,1,0))*1440,0))</f>
        <v/>
      </c>
      <c r="U931" s="22">
        <f>IF(OR($H931="",$T931="",$T931&lt;=0),"",$H931*60/$T931)</f>
        <v/>
      </c>
      <c r="V931" s="37">
        <f>IF(OR($U931="",$R931="",$R931=0),"",$U931/$R931)</f>
        <v/>
      </c>
      <c r="W931" s="20">
        <f>IF($G931="","",IF($X931="CONTEXTE INCOMPLET","CONTEXTE INCOMPLET",IF($X931="DOUBLON",StatutDoublon,IF($S931="",StatutInitial,IF($R931="",StatutStandardManquant,IF($V931="","DONNEES INSUFFISANTES",IF($V931&gt;=SeuilConforme,StatutConforme,IF($V931&gt;=SeuilSurveiller,StatutSurveiller,StatutSousStandard))))))))</f>
        <v/>
      </c>
      <c r="X931" s="33">
        <f>IF($G931="","",IF(OR($D931="",$E931="",$F931=""),"CONTEXTE INCOMPLET",IF(COUNTIFS($D31:$D930,$D931,$E31:$E930,$E931,$F31:$F930,$F931,$G31:$G930,$G931)&gt;0,"DOUBLON","VALIDE")))</f>
        <v/>
      </c>
    </row>
    <row r="932" ht="15" customHeight="1">
      <c r="A932" s="12">
        <f>IF(OR($B932="",$G932=""),"",TEXT($B932,"YYYYMMDD")&amp;"-"&amp;SUBSTITUTE($E932," ","")&amp;"-"&amp;$F932&amp;"-"&amp;$G932)</f>
        <v/>
      </c>
      <c r="B932" s="15" t="n"/>
      <c r="C932" s="16" t="n"/>
      <c r="D932" s="10" t="n"/>
      <c r="E932" s="9" t="n"/>
      <c r="F932" s="9" t="n"/>
      <c r="G932" s="13" t="n"/>
      <c r="H932" s="21" t="n"/>
      <c r="I932" s="21" t="n"/>
      <c r="J932" s="17">
        <f>IF($G932="","",IFERROR(INDEX(NomsEmployes,MATCH($G932,MatriculesEmployes,0)),"MATRICULE INCONNU"))</f>
        <v/>
      </c>
      <c r="K932" s="33">
        <f>IF(OR($D932="",$F932=""),"",IFERROR(IF(INDEX(RUNS!$L$6:$S$1005,MATCH($D932,RUNS!$A$6:$A$1005,0),MATCH("ACTIVITÉ "&amp;$F932,RUNS!$L$5:$S$5,0))="","",INDEX(RUNS!$L$6:$S$1005,MATCH($D932,RUNS!$A$6:$A$1005,0),MATCH("ACTIVITÉ "&amp;$F932,RUNS!$L$5:$S$5,0))),""))</f>
        <v/>
      </c>
      <c r="L932" s="33">
        <f>IF($D932="","",IFERROR(IF(INDEX(RUNS!$E$6:$E$1005,MATCH($D932,RUNS!$A$6:$A$1005,0))="","",INDEX(RUNS!$E$6:$E$1005,MATCH($D932,RUNS!$A$6:$A$1005,0))),""))</f>
        <v/>
      </c>
      <c r="M932" s="33">
        <f>IF($D932="","",IFERROR(IF(INDEX(RUNS!$F$6:$F$1005,MATCH($D932,RUNS!$A$6:$A$1005,0))="","",INDEX(RUNS!$F$6:$F$1005,MATCH($D932,RUNS!$A$6:$A$1005,0))),""))</f>
        <v/>
      </c>
      <c r="N932" s="33">
        <f>IF($D932="","",IFERROR(IF(INDEX(RUNS!$G$6:$G$1005,MATCH($D932,RUNS!$A$6:$A$1005,0))="","",INDEX(RUNS!$G$6:$G$1005,MATCH($D932,RUNS!$A$6:$A$1005,0))),""))</f>
        <v/>
      </c>
      <c r="O932" s="33">
        <f>IF($D932="","",IFERROR(IF(INDEX(RUNS!$H$6:$H$1005,MATCH($D932,RUNS!$A$6:$A$1005,0))="","",INDEX(RUNS!$H$6:$H$1005,MATCH($D932,RUNS!$A$6:$A$1005,0))),""))</f>
        <v/>
      </c>
      <c r="P932" s="33">
        <f>IF($D932="","",IFERROR(IF(INDEX(RUNS!$J$6:$J$1005,MATCH($D932,RUNS!$A$6:$A$1005,0))="","",INDEX(RUNS!$J$6:$J$1005,MATCH($D932,RUNS!$A$6:$A$1005,0))),""))</f>
        <v/>
      </c>
      <c r="Q932" s="33">
        <f>IF($D932="","",IFERROR(IF(INDEX(RUNS!$K$6:$K$1005,MATCH($D932,RUNS!$A$6:$A$1005,0))="","",INDEX(RUNS!$K$6:$K$1005,MATCH($D932,RUNS!$A$6:$A$1005,0))),""))</f>
        <v/>
      </c>
      <c r="R932" s="34">
        <f>IF(OR($L932="",$K932=""),"",IFERROR(IF(INDEX(PARAMETRES!$H$43:$H$342,MATCH($L932&amp;"|"&amp;$M932&amp;"|"&amp;$N932&amp;"|"&amp;$O932&amp;"|"&amp;$P932&amp;"|"&amp;$Q932&amp;"|"&amp;$K932,PARAMETRES!$J$43:$J$342,0))="","",INDEX(PARAMETRES!$H$43:$H$342,MATCH($L932&amp;"|"&amp;$M932&amp;"|"&amp;$N932&amp;"|"&amp;$O932&amp;"|"&amp;$P932&amp;"|"&amp;$Q932&amp;"|"&amp;$K932,PARAMETRES!$J$43:$J$342,0))),""))</f>
        <v/>
      </c>
      <c r="S932" s="35">
        <f>IF(OR($G932="",$X932&lt;&gt;"VALIDE"),"",IFERROR(LOOKUP(2,1/(($B32:$B931=$B932)*($G32:$G931=$G932)*($X32:$X931="VALIDE")),$C32:$C931),""))</f>
        <v/>
      </c>
      <c r="T932" s="36">
        <f>IF(OR($C932="",$S932=""),"",ROUND(($C932-$S932+IF($C932&lt;$S932,1,0))*1440,0))</f>
        <v/>
      </c>
      <c r="U932" s="22">
        <f>IF(OR($H932="",$T932="",$T932&lt;=0),"",$H932*60/$T932)</f>
        <v/>
      </c>
      <c r="V932" s="37">
        <f>IF(OR($U932="",$R932="",$R932=0),"",$U932/$R932)</f>
        <v/>
      </c>
      <c r="W932" s="20">
        <f>IF($G932="","",IF($X932="CONTEXTE INCOMPLET","CONTEXTE INCOMPLET",IF($X932="DOUBLON",StatutDoublon,IF($S932="",StatutInitial,IF($R932="",StatutStandardManquant,IF($V932="","DONNEES INSUFFISANTES",IF($V932&gt;=SeuilConforme,StatutConforme,IF($V932&gt;=SeuilSurveiller,StatutSurveiller,StatutSousStandard))))))))</f>
        <v/>
      </c>
      <c r="X932" s="33">
        <f>IF($G932="","",IF(OR($D932="",$E932="",$F932=""),"CONTEXTE INCOMPLET",IF(COUNTIFS($D32:$D931,$D932,$E32:$E931,$E932,$F32:$F931,$F932,$G32:$G931,$G932)&gt;0,"DOUBLON","VALIDE")))</f>
        <v/>
      </c>
    </row>
    <row r="933" ht="15" customHeight="1">
      <c r="A933" s="12">
        <f>IF(OR($B933="",$G933=""),"",TEXT($B933,"YYYYMMDD")&amp;"-"&amp;SUBSTITUTE($E933," ","")&amp;"-"&amp;$F933&amp;"-"&amp;$G933)</f>
        <v/>
      </c>
      <c r="B933" s="15" t="n"/>
      <c r="C933" s="16" t="n"/>
      <c r="D933" s="10" t="n"/>
      <c r="E933" s="9" t="n"/>
      <c r="F933" s="9" t="n"/>
      <c r="G933" s="13" t="n"/>
      <c r="H933" s="21" t="n"/>
      <c r="I933" s="21" t="n"/>
      <c r="J933" s="17">
        <f>IF($G933="","",IFERROR(INDEX(NomsEmployes,MATCH($G933,MatriculesEmployes,0)),"MATRICULE INCONNU"))</f>
        <v/>
      </c>
      <c r="K933" s="33">
        <f>IF(OR($D933="",$F933=""),"",IFERROR(IF(INDEX(RUNS!$L$6:$S$1005,MATCH($D933,RUNS!$A$6:$A$1005,0),MATCH("ACTIVITÉ "&amp;$F933,RUNS!$L$5:$S$5,0))="","",INDEX(RUNS!$L$6:$S$1005,MATCH($D933,RUNS!$A$6:$A$1005,0),MATCH("ACTIVITÉ "&amp;$F933,RUNS!$L$5:$S$5,0))),""))</f>
        <v/>
      </c>
      <c r="L933" s="33">
        <f>IF($D933="","",IFERROR(IF(INDEX(RUNS!$E$6:$E$1005,MATCH($D933,RUNS!$A$6:$A$1005,0))="","",INDEX(RUNS!$E$6:$E$1005,MATCH($D933,RUNS!$A$6:$A$1005,0))),""))</f>
        <v/>
      </c>
      <c r="M933" s="33">
        <f>IF($D933="","",IFERROR(IF(INDEX(RUNS!$F$6:$F$1005,MATCH($D933,RUNS!$A$6:$A$1005,0))="","",INDEX(RUNS!$F$6:$F$1005,MATCH($D933,RUNS!$A$6:$A$1005,0))),""))</f>
        <v/>
      </c>
      <c r="N933" s="33">
        <f>IF($D933="","",IFERROR(IF(INDEX(RUNS!$G$6:$G$1005,MATCH($D933,RUNS!$A$6:$A$1005,0))="","",INDEX(RUNS!$G$6:$G$1005,MATCH($D933,RUNS!$A$6:$A$1005,0))),""))</f>
        <v/>
      </c>
      <c r="O933" s="33">
        <f>IF($D933="","",IFERROR(IF(INDEX(RUNS!$H$6:$H$1005,MATCH($D933,RUNS!$A$6:$A$1005,0))="","",INDEX(RUNS!$H$6:$H$1005,MATCH($D933,RUNS!$A$6:$A$1005,0))),""))</f>
        <v/>
      </c>
      <c r="P933" s="33">
        <f>IF($D933="","",IFERROR(IF(INDEX(RUNS!$J$6:$J$1005,MATCH($D933,RUNS!$A$6:$A$1005,0))="","",INDEX(RUNS!$J$6:$J$1005,MATCH($D933,RUNS!$A$6:$A$1005,0))),""))</f>
        <v/>
      </c>
      <c r="Q933" s="33">
        <f>IF($D933="","",IFERROR(IF(INDEX(RUNS!$K$6:$K$1005,MATCH($D933,RUNS!$A$6:$A$1005,0))="","",INDEX(RUNS!$K$6:$K$1005,MATCH($D933,RUNS!$A$6:$A$1005,0))),""))</f>
        <v/>
      </c>
      <c r="R933" s="34">
        <f>IF(OR($L933="",$K933=""),"",IFERROR(IF(INDEX(PARAMETRES!$H$43:$H$342,MATCH($L933&amp;"|"&amp;$M933&amp;"|"&amp;$N933&amp;"|"&amp;$O933&amp;"|"&amp;$P933&amp;"|"&amp;$Q933&amp;"|"&amp;$K933,PARAMETRES!$J$43:$J$342,0))="","",INDEX(PARAMETRES!$H$43:$H$342,MATCH($L933&amp;"|"&amp;$M933&amp;"|"&amp;$N933&amp;"|"&amp;$O933&amp;"|"&amp;$P933&amp;"|"&amp;$Q933&amp;"|"&amp;$K933,PARAMETRES!$J$43:$J$342,0))),""))</f>
        <v/>
      </c>
      <c r="S933" s="35">
        <f>IF(OR($G933="",$X933&lt;&gt;"VALIDE"),"",IFERROR(LOOKUP(2,1/(($B33:$B932=$B933)*($G33:$G932=$G933)*($X33:$X932="VALIDE")),$C33:$C932),""))</f>
        <v/>
      </c>
      <c r="T933" s="36">
        <f>IF(OR($C933="",$S933=""),"",ROUND(($C933-$S933+IF($C933&lt;$S933,1,0))*1440,0))</f>
        <v/>
      </c>
      <c r="U933" s="22">
        <f>IF(OR($H933="",$T933="",$T933&lt;=0),"",$H933*60/$T933)</f>
        <v/>
      </c>
      <c r="V933" s="37">
        <f>IF(OR($U933="",$R933="",$R933=0),"",$U933/$R933)</f>
        <v/>
      </c>
      <c r="W933" s="20">
        <f>IF($G933="","",IF($X933="CONTEXTE INCOMPLET","CONTEXTE INCOMPLET",IF($X933="DOUBLON",StatutDoublon,IF($S933="",StatutInitial,IF($R933="",StatutStandardManquant,IF($V933="","DONNEES INSUFFISANTES",IF($V933&gt;=SeuilConforme,StatutConforme,IF($V933&gt;=SeuilSurveiller,StatutSurveiller,StatutSousStandard))))))))</f>
        <v/>
      </c>
      <c r="X933" s="33">
        <f>IF($G933="","",IF(OR($D933="",$E933="",$F933=""),"CONTEXTE INCOMPLET",IF(COUNTIFS($D33:$D932,$D933,$E33:$E932,$E933,$F33:$F932,$F933,$G33:$G932,$G933)&gt;0,"DOUBLON","VALIDE")))</f>
        <v/>
      </c>
    </row>
    <row r="934" ht="15" customHeight="1">
      <c r="A934" s="12">
        <f>IF(OR($B934="",$G934=""),"",TEXT($B934,"YYYYMMDD")&amp;"-"&amp;SUBSTITUTE($E934," ","")&amp;"-"&amp;$F934&amp;"-"&amp;$G934)</f>
        <v/>
      </c>
      <c r="B934" s="15" t="n"/>
      <c r="C934" s="16" t="n"/>
      <c r="D934" s="10" t="n"/>
      <c r="E934" s="9" t="n"/>
      <c r="F934" s="9" t="n"/>
      <c r="G934" s="13" t="n"/>
      <c r="H934" s="21" t="n"/>
      <c r="I934" s="21" t="n"/>
      <c r="J934" s="17">
        <f>IF($G934="","",IFERROR(INDEX(NomsEmployes,MATCH($G934,MatriculesEmployes,0)),"MATRICULE INCONNU"))</f>
        <v/>
      </c>
      <c r="K934" s="33">
        <f>IF(OR($D934="",$F934=""),"",IFERROR(IF(INDEX(RUNS!$L$6:$S$1005,MATCH($D934,RUNS!$A$6:$A$1005,0),MATCH("ACTIVITÉ "&amp;$F934,RUNS!$L$5:$S$5,0))="","",INDEX(RUNS!$L$6:$S$1005,MATCH($D934,RUNS!$A$6:$A$1005,0),MATCH("ACTIVITÉ "&amp;$F934,RUNS!$L$5:$S$5,0))),""))</f>
        <v/>
      </c>
      <c r="L934" s="33">
        <f>IF($D934="","",IFERROR(IF(INDEX(RUNS!$E$6:$E$1005,MATCH($D934,RUNS!$A$6:$A$1005,0))="","",INDEX(RUNS!$E$6:$E$1005,MATCH($D934,RUNS!$A$6:$A$1005,0))),""))</f>
        <v/>
      </c>
      <c r="M934" s="33">
        <f>IF($D934="","",IFERROR(IF(INDEX(RUNS!$F$6:$F$1005,MATCH($D934,RUNS!$A$6:$A$1005,0))="","",INDEX(RUNS!$F$6:$F$1005,MATCH($D934,RUNS!$A$6:$A$1005,0))),""))</f>
        <v/>
      </c>
      <c r="N934" s="33">
        <f>IF($D934="","",IFERROR(IF(INDEX(RUNS!$G$6:$G$1005,MATCH($D934,RUNS!$A$6:$A$1005,0))="","",INDEX(RUNS!$G$6:$G$1005,MATCH($D934,RUNS!$A$6:$A$1005,0))),""))</f>
        <v/>
      </c>
      <c r="O934" s="33">
        <f>IF($D934="","",IFERROR(IF(INDEX(RUNS!$H$6:$H$1005,MATCH($D934,RUNS!$A$6:$A$1005,0))="","",INDEX(RUNS!$H$6:$H$1005,MATCH($D934,RUNS!$A$6:$A$1005,0))),""))</f>
        <v/>
      </c>
      <c r="P934" s="33">
        <f>IF($D934="","",IFERROR(IF(INDEX(RUNS!$J$6:$J$1005,MATCH($D934,RUNS!$A$6:$A$1005,0))="","",INDEX(RUNS!$J$6:$J$1005,MATCH($D934,RUNS!$A$6:$A$1005,0))),""))</f>
        <v/>
      </c>
      <c r="Q934" s="33">
        <f>IF($D934="","",IFERROR(IF(INDEX(RUNS!$K$6:$K$1005,MATCH($D934,RUNS!$A$6:$A$1005,0))="","",INDEX(RUNS!$K$6:$K$1005,MATCH($D934,RUNS!$A$6:$A$1005,0))),""))</f>
        <v/>
      </c>
      <c r="R934" s="34">
        <f>IF(OR($L934="",$K934=""),"",IFERROR(IF(INDEX(PARAMETRES!$H$43:$H$342,MATCH($L934&amp;"|"&amp;$M934&amp;"|"&amp;$N934&amp;"|"&amp;$O934&amp;"|"&amp;$P934&amp;"|"&amp;$Q934&amp;"|"&amp;$K934,PARAMETRES!$J$43:$J$342,0))="","",INDEX(PARAMETRES!$H$43:$H$342,MATCH($L934&amp;"|"&amp;$M934&amp;"|"&amp;$N934&amp;"|"&amp;$O934&amp;"|"&amp;$P934&amp;"|"&amp;$Q934&amp;"|"&amp;$K934,PARAMETRES!$J$43:$J$342,0))),""))</f>
        <v/>
      </c>
      <c r="S934" s="35">
        <f>IF(OR($G934="",$X934&lt;&gt;"VALIDE"),"",IFERROR(LOOKUP(2,1/(($B34:$B933=$B934)*($G34:$G933=$G934)*($X34:$X933="VALIDE")),$C34:$C933),""))</f>
        <v/>
      </c>
      <c r="T934" s="36">
        <f>IF(OR($C934="",$S934=""),"",ROUND(($C934-$S934+IF($C934&lt;$S934,1,0))*1440,0))</f>
        <v/>
      </c>
      <c r="U934" s="22">
        <f>IF(OR($H934="",$T934="",$T934&lt;=0),"",$H934*60/$T934)</f>
        <v/>
      </c>
      <c r="V934" s="37">
        <f>IF(OR($U934="",$R934="",$R934=0),"",$U934/$R934)</f>
        <v/>
      </c>
      <c r="W934" s="20">
        <f>IF($G934="","",IF($X934="CONTEXTE INCOMPLET","CONTEXTE INCOMPLET",IF($X934="DOUBLON",StatutDoublon,IF($S934="",StatutInitial,IF($R934="",StatutStandardManquant,IF($V934="","DONNEES INSUFFISANTES",IF($V934&gt;=SeuilConforme,StatutConforme,IF($V934&gt;=SeuilSurveiller,StatutSurveiller,StatutSousStandard))))))))</f>
        <v/>
      </c>
      <c r="X934" s="33">
        <f>IF($G934="","",IF(OR($D934="",$E934="",$F934=""),"CONTEXTE INCOMPLET",IF(COUNTIFS($D34:$D933,$D934,$E34:$E933,$E934,$F34:$F933,$F934,$G34:$G933,$G934)&gt;0,"DOUBLON","VALIDE")))</f>
        <v/>
      </c>
    </row>
    <row r="935" ht="15" customHeight="1">
      <c r="A935" s="12">
        <f>IF(OR($B935="",$G935=""),"",TEXT($B935,"YYYYMMDD")&amp;"-"&amp;SUBSTITUTE($E935," ","")&amp;"-"&amp;$F935&amp;"-"&amp;$G935)</f>
        <v/>
      </c>
      <c r="B935" s="15" t="n"/>
      <c r="C935" s="16" t="n"/>
      <c r="D935" s="10" t="n"/>
      <c r="E935" s="9" t="n"/>
      <c r="F935" s="9" t="n"/>
      <c r="G935" s="13" t="n"/>
      <c r="H935" s="21" t="n"/>
      <c r="I935" s="21" t="n"/>
      <c r="J935" s="17">
        <f>IF($G935="","",IFERROR(INDEX(NomsEmployes,MATCH($G935,MatriculesEmployes,0)),"MATRICULE INCONNU"))</f>
        <v/>
      </c>
      <c r="K935" s="33">
        <f>IF(OR($D935="",$F935=""),"",IFERROR(IF(INDEX(RUNS!$L$6:$S$1005,MATCH($D935,RUNS!$A$6:$A$1005,0),MATCH("ACTIVITÉ "&amp;$F935,RUNS!$L$5:$S$5,0))="","",INDEX(RUNS!$L$6:$S$1005,MATCH($D935,RUNS!$A$6:$A$1005,0),MATCH("ACTIVITÉ "&amp;$F935,RUNS!$L$5:$S$5,0))),""))</f>
        <v/>
      </c>
      <c r="L935" s="33">
        <f>IF($D935="","",IFERROR(IF(INDEX(RUNS!$E$6:$E$1005,MATCH($D935,RUNS!$A$6:$A$1005,0))="","",INDEX(RUNS!$E$6:$E$1005,MATCH($D935,RUNS!$A$6:$A$1005,0))),""))</f>
        <v/>
      </c>
      <c r="M935" s="33">
        <f>IF($D935="","",IFERROR(IF(INDEX(RUNS!$F$6:$F$1005,MATCH($D935,RUNS!$A$6:$A$1005,0))="","",INDEX(RUNS!$F$6:$F$1005,MATCH($D935,RUNS!$A$6:$A$1005,0))),""))</f>
        <v/>
      </c>
      <c r="N935" s="33">
        <f>IF($D935="","",IFERROR(IF(INDEX(RUNS!$G$6:$G$1005,MATCH($D935,RUNS!$A$6:$A$1005,0))="","",INDEX(RUNS!$G$6:$G$1005,MATCH($D935,RUNS!$A$6:$A$1005,0))),""))</f>
        <v/>
      </c>
      <c r="O935" s="33">
        <f>IF($D935="","",IFERROR(IF(INDEX(RUNS!$H$6:$H$1005,MATCH($D935,RUNS!$A$6:$A$1005,0))="","",INDEX(RUNS!$H$6:$H$1005,MATCH($D935,RUNS!$A$6:$A$1005,0))),""))</f>
        <v/>
      </c>
      <c r="P935" s="33">
        <f>IF($D935="","",IFERROR(IF(INDEX(RUNS!$J$6:$J$1005,MATCH($D935,RUNS!$A$6:$A$1005,0))="","",INDEX(RUNS!$J$6:$J$1005,MATCH($D935,RUNS!$A$6:$A$1005,0))),""))</f>
        <v/>
      </c>
      <c r="Q935" s="33">
        <f>IF($D935="","",IFERROR(IF(INDEX(RUNS!$K$6:$K$1005,MATCH($D935,RUNS!$A$6:$A$1005,0))="","",INDEX(RUNS!$K$6:$K$1005,MATCH($D935,RUNS!$A$6:$A$1005,0))),""))</f>
        <v/>
      </c>
      <c r="R935" s="34">
        <f>IF(OR($L935="",$K935=""),"",IFERROR(IF(INDEX(PARAMETRES!$H$43:$H$342,MATCH($L935&amp;"|"&amp;$M935&amp;"|"&amp;$N935&amp;"|"&amp;$O935&amp;"|"&amp;$P935&amp;"|"&amp;$Q935&amp;"|"&amp;$K935,PARAMETRES!$J$43:$J$342,0))="","",INDEX(PARAMETRES!$H$43:$H$342,MATCH($L935&amp;"|"&amp;$M935&amp;"|"&amp;$N935&amp;"|"&amp;$O935&amp;"|"&amp;$P935&amp;"|"&amp;$Q935&amp;"|"&amp;$K935,PARAMETRES!$J$43:$J$342,0))),""))</f>
        <v/>
      </c>
      <c r="S935" s="35">
        <f>IF(OR($G935="",$X935&lt;&gt;"VALIDE"),"",IFERROR(LOOKUP(2,1/(($B35:$B934=$B935)*($G35:$G934=$G935)*($X35:$X934="VALIDE")),$C35:$C934),""))</f>
        <v/>
      </c>
      <c r="T935" s="36">
        <f>IF(OR($C935="",$S935=""),"",ROUND(($C935-$S935+IF($C935&lt;$S935,1,0))*1440,0))</f>
        <v/>
      </c>
      <c r="U935" s="22">
        <f>IF(OR($H935="",$T935="",$T935&lt;=0),"",$H935*60/$T935)</f>
        <v/>
      </c>
      <c r="V935" s="37">
        <f>IF(OR($U935="",$R935="",$R935=0),"",$U935/$R935)</f>
        <v/>
      </c>
      <c r="W935" s="20">
        <f>IF($G935="","",IF($X935="CONTEXTE INCOMPLET","CONTEXTE INCOMPLET",IF($X935="DOUBLON",StatutDoublon,IF($S935="",StatutInitial,IF($R935="",StatutStandardManquant,IF($V935="","DONNEES INSUFFISANTES",IF($V935&gt;=SeuilConforme,StatutConforme,IF($V935&gt;=SeuilSurveiller,StatutSurveiller,StatutSousStandard))))))))</f>
        <v/>
      </c>
      <c r="X935" s="33">
        <f>IF($G935="","",IF(OR($D935="",$E935="",$F935=""),"CONTEXTE INCOMPLET",IF(COUNTIFS($D35:$D934,$D935,$E35:$E934,$E935,$F35:$F934,$F935,$G35:$G934,$G935)&gt;0,"DOUBLON","VALIDE")))</f>
        <v/>
      </c>
    </row>
    <row r="936" ht="15" customHeight="1">
      <c r="A936" s="12">
        <f>IF(OR($B936="",$G936=""),"",TEXT($B936,"YYYYMMDD")&amp;"-"&amp;SUBSTITUTE($E936," ","")&amp;"-"&amp;$F936&amp;"-"&amp;$G936)</f>
        <v/>
      </c>
      <c r="B936" s="15" t="n"/>
      <c r="C936" s="16" t="n"/>
      <c r="D936" s="10" t="n"/>
      <c r="E936" s="9" t="n"/>
      <c r="F936" s="9" t="n"/>
      <c r="G936" s="13" t="n"/>
      <c r="H936" s="21" t="n"/>
      <c r="I936" s="21" t="n"/>
      <c r="J936" s="17">
        <f>IF($G936="","",IFERROR(INDEX(NomsEmployes,MATCH($G936,MatriculesEmployes,0)),"MATRICULE INCONNU"))</f>
        <v/>
      </c>
      <c r="K936" s="33">
        <f>IF(OR($D936="",$F936=""),"",IFERROR(IF(INDEX(RUNS!$L$6:$S$1005,MATCH($D936,RUNS!$A$6:$A$1005,0),MATCH("ACTIVITÉ "&amp;$F936,RUNS!$L$5:$S$5,0))="","",INDEX(RUNS!$L$6:$S$1005,MATCH($D936,RUNS!$A$6:$A$1005,0),MATCH("ACTIVITÉ "&amp;$F936,RUNS!$L$5:$S$5,0))),""))</f>
        <v/>
      </c>
      <c r="L936" s="33">
        <f>IF($D936="","",IFERROR(IF(INDEX(RUNS!$E$6:$E$1005,MATCH($D936,RUNS!$A$6:$A$1005,0))="","",INDEX(RUNS!$E$6:$E$1005,MATCH($D936,RUNS!$A$6:$A$1005,0))),""))</f>
        <v/>
      </c>
      <c r="M936" s="33">
        <f>IF($D936="","",IFERROR(IF(INDEX(RUNS!$F$6:$F$1005,MATCH($D936,RUNS!$A$6:$A$1005,0))="","",INDEX(RUNS!$F$6:$F$1005,MATCH($D936,RUNS!$A$6:$A$1005,0))),""))</f>
        <v/>
      </c>
      <c r="N936" s="33">
        <f>IF($D936="","",IFERROR(IF(INDEX(RUNS!$G$6:$G$1005,MATCH($D936,RUNS!$A$6:$A$1005,0))="","",INDEX(RUNS!$G$6:$G$1005,MATCH($D936,RUNS!$A$6:$A$1005,0))),""))</f>
        <v/>
      </c>
      <c r="O936" s="33">
        <f>IF($D936="","",IFERROR(IF(INDEX(RUNS!$H$6:$H$1005,MATCH($D936,RUNS!$A$6:$A$1005,0))="","",INDEX(RUNS!$H$6:$H$1005,MATCH($D936,RUNS!$A$6:$A$1005,0))),""))</f>
        <v/>
      </c>
      <c r="P936" s="33">
        <f>IF($D936="","",IFERROR(IF(INDEX(RUNS!$J$6:$J$1005,MATCH($D936,RUNS!$A$6:$A$1005,0))="","",INDEX(RUNS!$J$6:$J$1005,MATCH($D936,RUNS!$A$6:$A$1005,0))),""))</f>
        <v/>
      </c>
      <c r="Q936" s="33">
        <f>IF($D936="","",IFERROR(IF(INDEX(RUNS!$K$6:$K$1005,MATCH($D936,RUNS!$A$6:$A$1005,0))="","",INDEX(RUNS!$K$6:$K$1005,MATCH($D936,RUNS!$A$6:$A$1005,0))),""))</f>
        <v/>
      </c>
      <c r="R936" s="34">
        <f>IF(OR($L936="",$K936=""),"",IFERROR(IF(INDEX(PARAMETRES!$H$43:$H$342,MATCH($L936&amp;"|"&amp;$M936&amp;"|"&amp;$N936&amp;"|"&amp;$O936&amp;"|"&amp;$P936&amp;"|"&amp;$Q936&amp;"|"&amp;$K936,PARAMETRES!$J$43:$J$342,0))="","",INDEX(PARAMETRES!$H$43:$H$342,MATCH($L936&amp;"|"&amp;$M936&amp;"|"&amp;$N936&amp;"|"&amp;$O936&amp;"|"&amp;$P936&amp;"|"&amp;$Q936&amp;"|"&amp;$K936,PARAMETRES!$J$43:$J$342,0))),""))</f>
        <v/>
      </c>
      <c r="S936" s="35">
        <f>IF(OR($G936="",$X936&lt;&gt;"VALIDE"),"",IFERROR(LOOKUP(2,1/(($B36:$B935=$B936)*($G36:$G935=$G936)*($X36:$X935="VALIDE")),$C36:$C935),""))</f>
        <v/>
      </c>
      <c r="T936" s="36">
        <f>IF(OR($C936="",$S936=""),"",ROUND(($C936-$S936+IF($C936&lt;$S936,1,0))*1440,0))</f>
        <v/>
      </c>
      <c r="U936" s="22">
        <f>IF(OR($H936="",$T936="",$T936&lt;=0),"",$H936*60/$T936)</f>
        <v/>
      </c>
      <c r="V936" s="37">
        <f>IF(OR($U936="",$R936="",$R936=0),"",$U936/$R936)</f>
        <v/>
      </c>
      <c r="W936" s="20">
        <f>IF($G936="","",IF($X936="CONTEXTE INCOMPLET","CONTEXTE INCOMPLET",IF($X936="DOUBLON",StatutDoublon,IF($S936="",StatutInitial,IF($R936="",StatutStandardManquant,IF($V936="","DONNEES INSUFFISANTES",IF($V936&gt;=SeuilConforme,StatutConforme,IF($V936&gt;=SeuilSurveiller,StatutSurveiller,StatutSousStandard))))))))</f>
        <v/>
      </c>
      <c r="X936" s="33">
        <f>IF($G936="","",IF(OR($D936="",$E936="",$F936=""),"CONTEXTE INCOMPLET",IF(COUNTIFS($D36:$D935,$D936,$E36:$E935,$E936,$F36:$F935,$F936,$G36:$G935,$G936)&gt;0,"DOUBLON","VALIDE")))</f>
        <v/>
      </c>
    </row>
    <row r="937" ht="15" customHeight="1">
      <c r="A937" s="12">
        <f>IF(OR($B937="",$G937=""),"",TEXT($B937,"YYYYMMDD")&amp;"-"&amp;SUBSTITUTE($E937," ","")&amp;"-"&amp;$F937&amp;"-"&amp;$G937)</f>
        <v/>
      </c>
      <c r="B937" s="15" t="n"/>
      <c r="C937" s="16" t="n"/>
      <c r="D937" s="10" t="n"/>
      <c r="E937" s="9" t="n"/>
      <c r="F937" s="9" t="n"/>
      <c r="G937" s="13" t="n"/>
      <c r="H937" s="21" t="n"/>
      <c r="I937" s="21" t="n"/>
      <c r="J937" s="17">
        <f>IF($G937="","",IFERROR(INDEX(NomsEmployes,MATCH($G937,MatriculesEmployes,0)),"MATRICULE INCONNU"))</f>
        <v/>
      </c>
      <c r="K937" s="33">
        <f>IF(OR($D937="",$F937=""),"",IFERROR(IF(INDEX(RUNS!$L$6:$S$1005,MATCH($D937,RUNS!$A$6:$A$1005,0),MATCH("ACTIVITÉ "&amp;$F937,RUNS!$L$5:$S$5,0))="","",INDEX(RUNS!$L$6:$S$1005,MATCH($D937,RUNS!$A$6:$A$1005,0),MATCH("ACTIVITÉ "&amp;$F937,RUNS!$L$5:$S$5,0))),""))</f>
        <v/>
      </c>
      <c r="L937" s="33">
        <f>IF($D937="","",IFERROR(IF(INDEX(RUNS!$E$6:$E$1005,MATCH($D937,RUNS!$A$6:$A$1005,0))="","",INDEX(RUNS!$E$6:$E$1005,MATCH($D937,RUNS!$A$6:$A$1005,0))),""))</f>
        <v/>
      </c>
      <c r="M937" s="33">
        <f>IF($D937="","",IFERROR(IF(INDEX(RUNS!$F$6:$F$1005,MATCH($D937,RUNS!$A$6:$A$1005,0))="","",INDEX(RUNS!$F$6:$F$1005,MATCH($D937,RUNS!$A$6:$A$1005,0))),""))</f>
        <v/>
      </c>
      <c r="N937" s="33">
        <f>IF($D937="","",IFERROR(IF(INDEX(RUNS!$G$6:$G$1005,MATCH($D937,RUNS!$A$6:$A$1005,0))="","",INDEX(RUNS!$G$6:$G$1005,MATCH($D937,RUNS!$A$6:$A$1005,0))),""))</f>
        <v/>
      </c>
      <c r="O937" s="33">
        <f>IF($D937="","",IFERROR(IF(INDEX(RUNS!$H$6:$H$1005,MATCH($D937,RUNS!$A$6:$A$1005,0))="","",INDEX(RUNS!$H$6:$H$1005,MATCH($D937,RUNS!$A$6:$A$1005,0))),""))</f>
        <v/>
      </c>
      <c r="P937" s="33">
        <f>IF($D937="","",IFERROR(IF(INDEX(RUNS!$J$6:$J$1005,MATCH($D937,RUNS!$A$6:$A$1005,0))="","",INDEX(RUNS!$J$6:$J$1005,MATCH($D937,RUNS!$A$6:$A$1005,0))),""))</f>
        <v/>
      </c>
      <c r="Q937" s="33">
        <f>IF($D937="","",IFERROR(IF(INDEX(RUNS!$K$6:$K$1005,MATCH($D937,RUNS!$A$6:$A$1005,0))="","",INDEX(RUNS!$K$6:$K$1005,MATCH($D937,RUNS!$A$6:$A$1005,0))),""))</f>
        <v/>
      </c>
      <c r="R937" s="34">
        <f>IF(OR($L937="",$K937=""),"",IFERROR(IF(INDEX(PARAMETRES!$H$43:$H$342,MATCH($L937&amp;"|"&amp;$M937&amp;"|"&amp;$N937&amp;"|"&amp;$O937&amp;"|"&amp;$P937&amp;"|"&amp;$Q937&amp;"|"&amp;$K937,PARAMETRES!$J$43:$J$342,0))="","",INDEX(PARAMETRES!$H$43:$H$342,MATCH($L937&amp;"|"&amp;$M937&amp;"|"&amp;$N937&amp;"|"&amp;$O937&amp;"|"&amp;$P937&amp;"|"&amp;$Q937&amp;"|"&amp;$K937,PARAMETRES!$J$43:$J$342,0))),""))</f>
        <v/>
      </c>
      <c r="S937" s="35">
        <f>IF(OR($G937="",$X937&lt;&gt;"VALIDE"),"",IFERROR(LOOKUP(2,1/(($B37:$B936=$B937)*($G37:$G936=$G937)*($X37:$X936="VALIDE")),$C37:$C936),""))</f>
        <v/>
      </c>
      <c r="T937" s="36">
        <f>IF(OR($C937="",$S937=""),"",ROUND(($C937-$S937+IF($C937&lt;$S937,1,0))*1440,0))</f>
        <v/>
      </c>
      <c r="U937" s="22">
        <f>IF(OR($H937="",$T937="",$T937&lt;=0),"",$H937*60/$T937)</f>
        <v/>
      </c>
      <c r="V937" s="37">
        <f>IF(OR($U937="",$R937="",$R937=0),"",$U937/$R937)</f>
        <v/>
      </c>
      <c r="W937" s="20">
        <f>IF($G937="","",IF($X937="CONTEXTE INCOMPLET","CONTEXTE INCOMPLET",IF($X937="DOUBLON",StatutDoublon,IF($S937="",StatutInitial,IF($R937="",StatutStandardManquant,IF($V937="","DONNEES INSUFFISANTES",IF($V937&gt;=SeuilConforme,StatutConforme,IF($V937&gt;=SeuilSurveiller,StatutSurveiller,StatutSousStandard))))))))</f>
        <v/>
      </c>
      <c r="X937" s="33">
        <f>IF($G937="","",IF(OR($D937="",$E937="",$F937=""),"CONTEXTE INCOMPLET",IF(COUNTIFS($D37:$D936,$D937,$E37:$E936,$E937,$F37:$F936,$F937,$G37:$G936,$G937)&gt;0,"DOUBLON","VALIDE")))</f>
        <v/>
      </c>
    </row>
    <row r="938" ht="15" customHeight="1">
      <c r="A938" s="12">
        <f>IF(OR($B938="",$G938=""),"",TEXT($B938,"YYYYMMDD")&amp;"-"&amp;SUBSTITUTE($E938," ","")&amp;"-"&amp;$F938&amp;"-"&amp;$G938)</f>
        <v/>
      </c>
      <c r="B938" s="15" t="n"/>
      <c r="C938" s="16" t="n"/>
      <c r="D938" s="10" t="n"/>
      <c r="E938" s="9" t="n"/>
      <c r="F938" s="9" t="n"/>
      <c r="G938" s="13" t="n"/>
      <c r="H938" s="21" t="n"/>
      <c r="I938" s="21" t="n"/>
      <c r="J938" s="17">
        <f>IF($G938="","",IFERROR(INDEX(NomsEmployes,MATCH($G938,MatriculesEmployes,0)),"MATRICULE INCONNU"))</f>
        <v/>
      </c>
      <c r="K938" s="33">
        <f>IF(OR($D938="",$F938=""),"",IFERROR(IF(INDEX(RUNS!$L$6:$S$1005,MATCH($D938,RUNS!$A$6:$A$1005,0),MATCH("ACTIVITÉ "&amp;$F938,RUNS!$L$5:$S$5,0))="","",INDEX(RUNS!$L$6:$S$1005,MATCH($D938,RUNS!$A$6:$A$1005,0),MATCH("ACTIVITÉ "&amp;$F938,RUNS!$L$5:$S$5,0))),""))</f>
        <v/>
      </c>
      <c r="L938" s="33">
        <f>IF($D938="","",IFERROR(IF(INDEX(RUNS!$E$6:$E$1005,MATCH($D938,RUNS!$A$6:$A$1005,0))="","",INDEX(RUNS!$E$6:$E$1005,MATCH($D938,RUNS!$A$6:$A$1005,0))),""))</f>
        <v/>
      </c>
      <c r="M938" s="33">
        <f>IF($D938="","",IFERROR(IF(INDEX(RUNS!$F$6:$F$1005,MATCH($D938,RUNS!$A$6:$A$1005,0))="","",INDEX(RUNS!$F$6:$F$1005,MATCH($D938,RUNS!$A$6:$A$1005,0))),""))</f>
        <v/>
      </c>
      <c r="N938" s="33">
        <f>IF($D938="","",IFERROR(IF(INDEX(RUNS!$G$6:$G$1005,MATCH($D938,RUNS!$A$6:$A$1005,0))="","",INDEX(RUNS!$G$6:$G$1005,MATCH($D938,RUNS!$A$6:$A$1005,0))),""))</f>
        <v/>
      </c>
      <c r="O938" s="33">
        <f>IF($D938="","",IFERROR(IF(INDEX(RUNS!$H$6:$H$1005,MATCH($D938,RUNS!$A$6:$A$1005,0))="","",INDEX(RUNS!$H$6:$H$1005,MATCH($D938,RUNS!$A$6:$A$1005,0))),""))</f>
        <v/>
      </c>
      <c r="P938" s="33">
        <f>IF($D938="","",IFERROR(IF(INDEX(RUNS!$J$6:$J$1005,MATCH($D938,RUNS!$A$6:$A$1005,0))="","",INDEX(RUNS!$J$6:$J$1005,MATCH($D938,RUNS!$A$6:$A$1005,0))),""))</f>
        <v/>
      </c>
      <c r="Q938" s="33">
        <f>IF($D938="","",IFERROR(IF(INDEX(RUNS!$K$6:$K$1005,MATCH($D938,RUNS!$A$6:$A$1005,0))="","",INDEX(RUNS!$K$6:$K$1005,MATCH($D938,RUNS!$A$6:$A$1005,0))),""))</f>
        <v/>
      </c>
      <c r="R938" s="34">
        <f>IF(OR($L938="",$K938=""),"",IFERROR(IF(INDEX(PARAMETRES!$H$43:$H$342,MATCH($L938&amp;"|"&amp;$M938&amp;"|"&amp;$N938&amp;"|"&amp;$O938&amp;"|"&amp;$P938&amp;"|"&amp;$Q938&amp;"|"&amp;$K938,PARAMETRES!$J$43:$J$342,0))="","",INDEX(PARAMETRES!$H$43:$H$342,MATCH($L938&amp;"|"&amp;$M938&amp;"|"&amp;$N938&amp;"|"&amp;$O938&amp;"|"&amp;$P938&amp;"|"&amp;$Q938&amp;"|"&amp;$K938,PARAMETRES!$J$43:$J$342,0))),""))</f>
        <v/>
      </c>
      <c r="S938" s="35">
        <f>IF(OR($G938="",$X938&lt;&gt;"VALIDE"),"",IFERROR(LOOKUP(2,1/(($B38:$B937=$B938)*($G38:$G937=$G938)*($X38:$X937="VALIDE")),$C38:$C937),""))</f>
        <v/>
      </c>
      <c r="T938" s="36">
        <f>IF(OR($C938="",$S938=""),"",ROUND(($C938-$S938+IF($C938&lt;$S938,1,0))*1440,0))</f>
        <v/>
      </c>
      <c r="U938" s="22">
        <f>IF(OR($H938="",$T938="",$T938&lt;=0),"",$H938*60/$T938)</f>
        <v/>
      </c>
      <c r="V938" s="37">
        <f>IF(OR($U938="",$R938="",$R938=0),"",$U938/$R938)</f>
        <v/>
      </c>
      <c r="W938" s="20">
        <f>IF($G938="","",IF($X938="CONTEXTE INCOMPLET","CONTEXTE INCOMPLET",IF($X938="DOUBLON",StatutDoublon,IF($S938="",StatutInitial,IF($R938="",StatutStandardManquant,IF($V938="","DONNEES INSUFFISANTES",IF($V938&gt;=SeuilConforme,StatutConforme,IF($V938&gt;=SeuilSurveiller,StatutSurveiller,StatutSousStandard))))))))</f>
        <v/>
      </c>
      <c r="X938" s="33">
        <f>IF($G938="","",IF(OR($D938="",$E938="",$F938=""),"CONTEXTE INCOMPLET",IF(COUNTIFS($D38:$D937,$D938,$E38:$E937,$E938,$F38:$F937,$F938,$G38:$G937,$G938)&gt;0,"DOUBLON","VALIDE")))</f>
        <v/>
      </c>
    </row>
    <row r="939" ht="15" customHeight="1">
      <c r="A939" s="12">
        <f>IF(OR($B939="",$G939=""),"",TEXT($B939,"YYYYMMDD")&amp;"-"&amp;SUBSTITUTE($E939," ","")&amp;"-"&amp;$F939&amp;"-"&amp;$G939)</f>
        <v/>
      </c>
      <c r="B939" s="15" t="n"/>
      <c r="C939" s="16" t="n"/>
      <c r="D939" s="10" t="n"/>
      <c r="E939" s="9" t="n"/>
      <c r="F939" s="9" t="n"/>
      <c r="G939" s="13" t="n"/>
      <c r="H939" s="21" t="n"/>
      <c r="I939" s="21" t="n"/>
      <c r="J939" s="17">
        <f>IF($G939="","",IFERROR(INDEX(NomsEmployes,MATCH($G939,MatriculesEmployes,0)),"MATRICULE INCONNU"))</f>
        <v/>
      </c>
      <c r="K939" s="33">
        <f>IF(OR($D939="",$F939=""),"",IFERROR(IF(INDEX(RUNS!$L$6:$S$1005,MATCH($D939,RUNS!$A$6:$A$1005,0),MATCH("ACTIVITÉ "&amp;$F939,RUNS!$L$5:$S$5,0))="","",INDEX(RUNS!$L$6:$S$1005,MATCH($D939,RUNS!$A$6:$A$1005,0),MATCH("ACTIVITÉ "&amp;$F939,RUNS!$L$5:$S$5,0))),""))</f>
        <v/>
      </c>
      <c r="L939" s="33">
        <f>IF($D939="","",IFERROR(IF(INDEX(RUNS!$E$6:$E$1005,MATCH($D939,RUNS!$A$6:$A$1005,0))="","",INDEX(RUNS!$E$6:$E$1005,MATCH($D939,RUNS!$A$6:$A$1005,0))),""))</f>
        <v/>
      </c>
      <c r="M939" s="33">
        <f>IF($D939="","",IFERROR(IF(INDEX(RUNS!$F$6:$F$1005,MATCH($D939,RUNS!$A$6:$A$1005,0))="","",INDEX(RUNS!$F$6:$F$1005,MATCH($D939,RUNS!$A$6:$A$1005,0))),""))</f>
        <v/>
      </c>
      <c r="N939" s="33">
        <f>IF($D939="","",IFERROR(IF(INDEX(RUNS!$G$6:$G$1005,MATCH($D939,RUNS!$A$6:$A$1005,0))="","",INDEX(RUNS!$G$6:$G$1005,MATCH($D939,RUNS!$A$6:$A$1005,0))),""))</f>
        <v/>
      </c>
      <c r="O939" s="33">
        <f>IF($D939="","",IFERROR(IF(INDEX(RUNS!$H$6:$H$1005,MATCH($D939,RUNS!$A$6:$A$1005,0))="","",INDEX(RUNS!$H$6:$H$1005,MATCH($D939,RUNS!$A$6:$A$1005,0))),""))</f>
        <v/>
      </c>
      <c r="P939" s="33">
        <f>IF($D939="","",IFERROR(IF(INDEX(RUNS!$J$6:$J$1005,MATCH($D939,RUNS!$A$6:$A$1005,0))="","",INDEX(RUNS!$J$6:$J$1005,MATCH($D939,RUNS!$A$6:$A$1005,0))),""))</f>
        <v/>
      </c>
      <c r="Q939" s="33">
        <f>IF($D939="","",IFERROR(IF(INDEX(RUNS!$K$6:$K$1005,MATCH($D939,RUNS!$A$6:$A$1005,0))="","",INDEX(RUNS!$K$6:$K$1005,MATCH($D939,RUNS!$A$6:$A$1005,0))),""))</f>
        <v/>
      </c>
      <c r="R939" s="34">
        <f>IF(OR($L939="",$K939=""),"",IFERROR(IF(INDEX(PARAMETRES!$H$43:$H$342,MATCH($L939&amp;"|"&amp;$M939&amp;"|"&amp;$N939&amp;"|"&amp;$O939&amp;"|"&amp;$P939&amp;"|"&amp;$Q939&amp;"|"&amp;$K939,PARAMETRES!$J$43:$J$342,0))="","",INDEX(PARAMETRES!$H$43:$H$342,MATCH($L939&amp;"|"&amp;$M939&amp;"|"&amp;$N939&amp;"|"&amp;$O939&amp;"|"&amp;$P939&amp;"|"&amp;$Q939&amp;"|"&amp;$K939,PARAMETRES!$J$43:$J$342,0))),""))</f>
        <v/>
      </c>
      <c r="S939" s="35">
        <f>IF(OR($G939="",$X939&lt;&gt;"VALIDE"),"",IFERROR(LOOKUP(2,1/(($B39:$B938=$B939)*($G39:$G938=$G939)*($X39:$X938="VALIDE")),$C39:$C938),""))</f>
        <v/>
      </c>
      <c r="T939" s="36">
        <f>IF(OR($C939="",$S939=""),"",ROUND(($C939-$S939+IF($C939&lt;$S939,1,0))*1440,0))</f>
        <v/>
      </c>
      <c r="U939" s="22">
        <f>IF(OR($H939="",$T939="",$T939&lt;=0),"",$H939*60/$T939)</f>
        <v/>
      </c>
      <c r="V939" s="37">
        <f>IF(OR($U939="",$R939="",$R939=0),"",$U939/$R939)</f>
        <v/>
      </c>
      <c r="W939" s="20">
        <f>IF($G939="","",IF($X939="CONTEXTE INCOMPLET","CONTEXTE INCOMPLET",IF($X939="DOUBLON",StatutDoublon,IF($S939="",StatutInitial,IF($R939="",StatutStandardManquant,IF($V939="","DONNEES INSUFFISANTES",IF($V939&gt;=SeuilConforme,StatutConforme,IF($V939&gt;=SeuilSurveiller,StatutSurveiller,StatutSousStandard))))))))</f>
        <v/>
      </c>
      <c r="X939" s="33">
        <f>IF($G939="","",IF(OR($D939="",$E939="",$F939=""),"CONTEXTE INCOMPLET",IF(COUNTIFS($D39:$D938,$D939,$E39:$E938,$E939,$F39:$F938,$F939,$G39:$G938,$G939)&gt;0,"DOUBLON","VALIDE")))</f>
        <v/>
      </c>
    </row>
    <row r="940" ht="15" customHeight="1">
      <c r="A940" s="12">
        <f>IF(OR($B940="",$G940=""),"",TEXT($B940,"YYYYMMDD")&amp;"-"&amp;SUBSTITUTE($E940," ","")&amp;"-"&amp;$F940&amp;"-"&amp;$G940)</f>
        <v/>
      </c>
      <c r="B940" s="15" t="n"/>
      <c r="C940" s="16" t="n"/>
      <c r="D940" s="10" t="n"/>
      <c r="E940" s="9" t="n"/>
      <c r="F940" s="9" t="n"/>
      <c r="G940" s="13" t="n"/>
      <c r="H940" s="21" t="n"/>
      <c r="I940" s="21" t="n"/>
      <c r="J940" s="17">
        <f>IF($G940="","",IFERROR(INDEX(NomsEmployes,MATCH($G940,MatriculesEmployes,0)),"MATRICULE INCONNU"))</f>
        <v/>
      </c>
      <c r="K940" s="33">
        <f>IF(OR($D940="",$F940=""),"",IFERROR(IF(INDEX(RUNS!$L$6:$S$1005,MATCH($D940,RUNS!$A$6:$A$1005,0),MATCH("ACTIVITÉ "&amp;$F940,RUNS!$L$5:$S$5,0))="","",INDEX(RUNS!$L$6:$S$1005,MATCH($D940,RUNS!$A$6:$A$1005,0),MATCH("ACTIVITÉ "&amp;$F940,RUNS!$L$5:$S$5,0))),""))</f>
        <v/>
      </c>
      <c r="L940" s="33">
        <f>IF($D940="","",IFERROR(IF(INDEX(RUNS!$E$6:$E$1005,MATCH($D940,RUNS!$A$6:$A$1005,0))="","",INDEX(RUNS!$E$6:$E$1005,MATCH($D940,RUNS!$A$6:$A$1005,0))),""))</f>
        <v/>
      </c>
      <c r="M940" s="33">
        <f>IF($D940="","",IFERROR(IF(INDEX(RUNS!$F$6:$F$1005,MATCH($D940,RUNS!$A$6:$A$1005,0))="","",INDEX(RUNS!$F$6:$F$1005,MATCH($D940,RUNS!$A$6:$A$1005,0))),""))</f>
        <v/>
      </c>
      <c r="N940" s="33">
        <f>IF($D940="","",IFERROR(IF(INDEX(RUNS!$G$6:$G$1005,MATCH($D940,RUNS!$A$6:$A$1005,0))="","",INDEX(RUNS!$G$6:$G$1005,MATCH($D940,RUNS!$A$6:$A$1005,0))),""))</f>
        <v/>
      </c>
      <c r="O940" s="33">
        <f>IF($D940="","",IFERROR(IF(INDEX(RUNS!$H$6:$H$1005,MATCH($D940,RUNS!$A$6:$A$1005,0))="","",INDEX(RUNS!$H$6:$H$1005,MATCH($D940,RUNS!$A$6:$A$1005,0))),""))</f>
        <v/>
      </c>
      <c r="P940" s="33">
        <f>IF($D940="","",IFERROR(IF(INDEX(RUNS!$J$6:$J$1005,MATCH($D940,RUNS!$A$6:$A$1005,0))="","",INDEX(RUNS!$J$6:$J$1005,MATCH($D940,RUNS!$A$6:$A$1005,0))),""))</f>
        <v/>
      </c>
      <c r="Q940" s="33">
        <f>IF($D940="","",IFERROR(IF(INDEX(RUNS!$K$6:$K$1005,MATCH($D940,RUNS!$A$6:$A$1005,0))="","",INDEX(RUNS!$K$6:$K$1005,MATCH($D940,RUNS!$A$6:$A$1005,0))),""))</f>
        <v/>
      </c>
      <c r="R940" s="34">
        <f>IF(OR($L940="",$K940=""),"",IFERROR(IF(INDEX(PARAMETRES!$H$43:$H$342,MATCH($L940&amp;"|"&amp;$M940&amp;"|"&amp;$N940&amp;"|"&amp;$O940&amp;"|"&amp;$P940&amp;"|"&amp;$Q940&amp;"|"&amp;$K940,PARAMETRES!$J$43:$J$342,0))="","",INDEX(PARAMETRES!$H$43:$H$342,MATCH($L940&amp;"|"&amp;$M940&amp;"|"&amp;$N940&amp;"|"&amp;$O940&amp;"|"&amp;$P940&amp;"|"&amp;$Q940&amp;"|"&amp;$K940,PARAMETRES!$J$43:$J$342,0))),""))</f>
        <v/>
      </c>
      <c r="S940" s="35">
        <f>IF(OR($G940="",$X940&lt;&gt;"VALIDE"),"",IFERROR(LOOKUP(2,1/(($B40:$B939=$B940)*($G40:$G939=$G940)*($X40:$X939="VALIDE")),$C40:$C939),""))</f>
        <v/>
      </c>
      <c r="T940" s="36">
        <f>IF(OR($C940="",$S940=""),"",ROUND(($C940-$S940+IF($C940&lt;$S940,1,0))*1440,0))</f>
        <v/>
      </c>
      <c r="U940" s="22">
        <f>IF(OR($H940="",$T940="",$T940&lt;=0),"",$H940*60/$T940)</f>
        <v/>
      </c>
      <c r="V940" s="37">
        <f>IF(OR($U940="",$R940="",$R940=0),"",$U940/$R940)</f>
        <v/>
      </c>
      <c r="W940" s="20">
        <f>IF($G940="","",IF($X940="CONTEXTE INCOMPLET","CONTEXTE INCOMPLET",IF($X940="DOUBLON",StatutDoublon,IF($S940="",StatutInitial,IF($R940="",StatutStandardManquant,IF($V940="","DONNEES INSUFFISANTES",IF($V940&gt;=SeuilConforme,StatutConforme,IF($V940&gt;=SeuilSurveiller,StatutSurveiller,StatutSousStandard))))))))</f>
        <v/>
      </c>
      <c r="X940" s="33">
        <f>IF($G940="","",IF(OR($D940="",$E940="",$F940=""),"CONTEXTE INCOMPLET",IF(COUNTIFS($D40:$D939,$D940,$E40:$E939,$E940,$F40:$F939,$F940,$G40:$G939,$G940)&gt;0,"DOUBLON","VALIDE")))</f>
        <v/>
      </c>
    </row>
    <row r="941" ht="15" customHeight="1">
      <c r="A941" s="12">
        <f>IF(OR($B941="",$G941=""),"",TEXT($B941,"YYYYMMDD")&amp;"-"&amp;SUBSTITUTE($E941," ","")&amp;"-"&amp;$F941&amp;"-"&amp;$G941)</f>
        <v/>
      </c>
      <c r="B941" s="15" t="n"/>
      <c r="C941" s="16" t="n"/>
      <c r="D941" s="10" t="n"/>
      <c r="E941" s="9" t="n"/>
      <c r="F941" s="9" t="n"/>
      <c r="G941" s="13" t="n"/>
      <c r="H941" s="21" t="n"/>
      <c r="I941" s="21" t="n"/>
      <c r="J941" s="17">
        <f>IF($G941="","",IFERROR(INDEX(NomsEmployes,MATCH($G941,MatriculesEmployes,0)),"MATRICULE INCONNU"))</f>
        <v/>
      </c>
      <c r="K941" s="33">
        <f>IF(OR($D941="",$F941=""),"",IFERROR(IF(INDEX(RUNS!$L$6:$S$1005,MATCH($D941,RUNS!$A$6:$A$1005,0),MATCH("ACTIVITÉ "&amp;$F941,RUNS!$L$5:$S$5,0))="","",INDEX(RUNS!$L$6:$S$1005,MATCH($D941,RUNS!$A$6:$A$1005,0),MATCH("ACTIVITÉ "&amp;$F941,RUNS!$L$5:$S$5,0))),""))</f>
        <v/>
      </c>
      <c r="L941" s="33">
        <f>IF($D941="","",IFERROR(IF(INDEX(RUNS!$E$6:$E$1005,MATCH($D941,RUNS!$A$6:$A$1005,0))="","",INDEX(RUNS!$E$6:$E$1005,MATCH($D941,RUNS!$A$6:$A$1005,0))),""))</f>
        <v/>
      </c>
      <c r="M941" s="33">
        <f>IF($D941="","",IFERROR(IF(INDEX(RUNS!$F$6:$F$1005,MATCH($D941,RUNS!$A$6:$A$1005,0))="","",INDEX(RUNS!$F$6:$F$1005,MATCH($D941,RUNS!$A$6:$A$1005,0))),""))</f>
        <v/>
      </c>
      <c r="N941" s="33">
        <f>IF($D941="","",IFERROR(IF(INDEX(RUNS!$G$6:$G$1005,MATCH($D941,RUNS!$A$6:$A$1005,0))="","",INDEX(RUNS!$G$6:$G$1005,MATCH($D941,RUNS!$A$6:$A$1005,0))),""))</f>
        <v/>
      </c>
      <c r="O941" s="33">
        <f>IF($D941="","",IFERROR(IF(INDEX(RUNS!$H$6:$H$1005,MATCH($D941,RUNS!$A$6:$A$1005,0))="","",INDEX(RUNS!$H$6:$H$1005,MATCH($D941,RUNS!$A$6:$A$1005,0))),""))</f>
        <v/>
      </c>
      <c r="P941" s="33">
        <f>IF($D941="","",IFERROR(IF(INDEX(RUNS!$J$6:$J$1005,MATCH($D941,RUNS!$A$6:$A$1005,0))="","",INDEX(RUNS!$J$6:$J$1005,MATCH($D941,RUNS!$A$6:$A$1005,0))),""))</f>
        <v/>
      </c>
      <c r="Q941" s="33">
        <f>IF($D941="","",IFERROR(IF(INDEX(RUNS!$K$6:$K$1005,MATCH($D941,RUNS!$A$6:$A$1005,0))="","",INDEX(RUNS!$K$6:$K$1005,MATCH($D941,RUNS!$A$6:$A$1005,0))),""))</f>
        <v/>
      </c>
      <c r="R941" s="34">
        <f>IF(OR($L941="",$K941=""),"",IFERROR(IF(INDEX(PARAMETRES!$H$43:$H$342,MATCH($L941&amp;"|"&amp;$M941&amp;"|"&amp;$N941&amp;"|"&amp;$O941&amp;"|"&amp;$P941&amp;"|"&amp;$Q941&amp;"|"&amp;$K941,PARAMETRES!$J$43:$J$342,0))="","",INDEX(PARAMETRES!$H$43:$H$342,MATCH($L941&amp;"|"&amp;$M941&amp;"|"&amp;$N941&amp;"|"&amp;$O941&amp;"|"&amp;$P941&amp;"|"&amp;$Q941&amp;"|"&amp;$K941,PARAMETRES!$J$43:$J$342,0))),""))</f>
        <v/>
      </c>
      <c r="S941" s="35">
        <f>IF(OR($G941="",$X941&lt;&gt;"VALIDE"),"",IFERROR(LOOKUP(2,1/(($B41:$B940=$B941)*($G41:$G940=$G941)*($X41:$X940="VALIDE")),$C41:$C940),""))</f>
        <v/>
      </c>
      <c r="T941" s="36">
        <f>IF(OR($C941="",$S941=""),"",ROUND(($C941-$S941+IF($C941&lt;$S941,1,0))*1440,0))</f>
        <v/>
      </c>
      <c r="U941" s="22">
        <f>IF(OR($H941="",$T941="",$T941&lt;=0),"",$H941*60/$T941)</f>
        <v/>
      </c>
      <c r="V941" s="37">
        <f>IF(OR($U941="",$R941="",$R941=0),"",$U941/$R941)</f>
        <v/>
      </c>
      <c r="W941" s="20">
        <f>IF($G941="","",IF($X941="CONTEXTE INCOMPLET","CONTEXTE INCOMPLET",IF($X941="DOUBLON",StatutDoublon,IF($S941="",StatutInitial,IF($R941="",StatutStandardManquant,IF($V941="","DONNEES INSUFFISANTES",IF($V941&gt;=SeuilConforme,StatutConforme,IF($V941&gt;=SeuilSurveiller,StatutSurveiller,StatutSousStandard))))))))</f>
        <v/>
      </c>
      <c r="X941" s="33">
        <f>IF($G941="","",IF(OR($D941="",$E941="",$F941=""),"CONTEXTE INCOMPLET",IF(COUNTIFS($D41:$D940,$D941,$E41:$E940,$E941,$F41:$F940,$F941,$G41:$G940,$G941)&gt;0,"DOUBLON","VALIDE")))</f>
        <v/>
      </c>
    </row>
    <row r="942" ht="15" customHeight="1">
      <c r="A942" s="12">
        <f>IF(OR($B942="",$G942=""),"",TEXT($B942,"YYYYMMDD")&amp;"-"&amp;SUBSTITUTE($E942," ","")&amp;"-"&amp;$F942&amp;"-"&amp;$G942)</f>
        <v/>
      </c>
      <c r="B942" s="15" t="n"/>
      <c r="C942" s="16" t="n"/>
      <c r="D942" s="10" t="n"/>
      <c r="E942" s="9" t="n"/>
      <c r="F942" s="9" t="n"/>
      <c r="G942" s="13" t="n"/>
      <c r="H942" s="21" t="n"/>
      <c r="I942" s="21" t="n"/>
      <c r="J942" s="17">
        <f>IF($G942="","",IFERROR(INDEX(NomsEmployes,MATCH($G942,MatriculesEmployes,0)),"MATRICULE INCONNU"))</f>
        <v/>
      </c>
      <c r="K942" s="33">
        <f>IF(OR($D942="",$F942=""),"",IFERROR(IF(INDEX(RUNS!$L$6:$S$1005,MATCH($D942,RUNS!$A$6:$A$1005,0),MATCH("ACTIVITÉ "&amp;$F942,RUNS!$L$5:$S$5,0))="","",INDEX(RUNS!$L$6:$S$1005,MATCH($D942,RUNS!$A$6:$A$1005,0),MATCH("ACTIVITÉ "&amp;$F942,RUNS!$L$5:$S$5,0))),""))</f>
        <v/>
      </c>
      <c r="L942" s="33">
        <f>IF($D942="","",IFERROR(IF(INDEX(RUNS!$E$6:$E$1005,MATCH($D942,RUNS!$A$6:$A$1005,0))="","",INDEX(RUNS!$E$6:$E$1005,MATCH($D942,RUNS!$A$6:$A$1005,0))),""))</f>
        <v/>
      </c>
      <c r="M942" s="33">
        <f>IF($D942="","",IFERROR(IF(INDEX(RUNS!$F$6:$F$1005,MATCH($D942,RUNS!$A$6:$A$1005,0))="","",INDEX(RUNS!$F$6:$F$1005,MATCH($D942,RUNS!$A$6:$A$1005,0))),""))</f>
        <v/>
      </c>
      <c r="N942" s="33">
        <f>IF($D942="","",IFERROR(IF(INDEX(RUNS!$G$6:$G$1005,MATCH($D942,RUNS!$A$6:$A$1005,0))="","",INDEX(RUNS!$G$6:$G$1005,MATCH($D942,RUNS!$A$6:$A$1005,0))),""))</f>
        <v/>
      </c>
      <c r="O942" s="33">
        <f>IF($D942="","",IFERROR(IF(INDEX(RUNS!$H$6:$H$1005,MATCH($D942,RUNS!$A$6:$A$1005,0))="","",INDEX(RUNS!$H$6:$H$1005,MATCH($D942,RUNS!$A$6:$A$1005,0))),""))</f>
        <v/>
      </c>
      <c r="P942" s="33">
        <f>IF($D942="","",IFERROR(IF(INDEX(RUNS!$J$6:$J$1005,MATCH($D942,RUNS!$A$6:$A$1005,0))="","",INDEX(RUNS!$J$6:$J$1005,MATCH($D942,RUNS!$A$6:$A$1005,0))),""))</f>
        <v/>
      </c>
      <c r="Q942" s="33">
        <f>IF($D942="","",IFERROR(IF(INDEX(RUNS!$K$6:$K$1005,MATCH($D942,RUNS!$A$6:$A$1005,0))="","",INDEX(RUNS!$K$6:$K$1005,MATCH($D942,RUNS!$A$6:$A$1005,0))),""))</f>
        <v/>
      </c>
      <c r="R942" s="34">
        <f>IF(OR($L942="",$K942=""),"",IFERROR(IF(INDEX(PARAMETRES!$H$43:$H$342,MATCH($L942&amp;"|"&amp;$M942&amp;"|"&amp;$N942&amp;"|"&amp;$O942&amp;"|"&amp;$P942&amp;"|"&amp;$Q942&amp;"|"&amp;$K942,PARAMETRES!$J$43:$J$342,0))="","",INDEX(PARAMETRES!$H$43:$H$342,MATCH($L942&amp;"|"&amp;$M942&amp;"|"&amp;$N942&amp;"|"&amp;$O942&amp;"|"&amp;$P942&amp;"|"&amp;$Q942&amp;"|"&amp;$K942,PARAMETRES!$J$43:$J$342,0))),""))</f>
        <v/>
      </c>
      <c r="S942" s="35">
        <f>IF(OR($G942="",$X942&lt;&gt;"VALIDE"),"",IFERROR(LOOKUP(2,1/(($B42:$B941=$B942)*($G42:$G941=$G942)*($X42:$X941="VALIDE")),$C42:$C941),""))</f>
        <v/>
      </c>
      <c r="T942" s="36">
        <f>IF(OR($C942="",$S942=""),"",ROUND(($C942-$S942+IF($C942&lt;$S942,1,0))*1440,0))</f>
        <v/>
      </c>
      <c r="U942" s="22">
        <f>IF(OR($H942="",$T942="",$T942&lt;=0),"",$H942*60/$T942)</f>
        <v/>
      </c>
      <c r="V942" s="37">
        <f>IF(OR($U942="",$R942="",$R942=0),"",$U942/$R942)</f>
        <v/>
      </c>
      <c r="W942" s="20">
        <f>IF($G942="","",IF($X942="CONTEXTE INCOMPLET","CONTEXTE INCOMPLET",IF($X942="DOUBLON",StatutDoublon,IF($S942="",StatutInitial,IF($R942="",StatutStandardManquant,IF($V942="","DONNEES INSUFFISANTES",IF($V942&gt;=SeuilConforme,StatutConforme,IF($V942&gt;=SeuilSurveiller,StatutSurveiller,StatutSousStandard))))))))</f>
        <v/>
      </c>
      <c r="X942" s="33">
        <f>IF($G942="","",IF(OR($D942="",$E942="",$F942=""),"CONTEXTE INCOMPLET",IF(COUNTIFS($D42:$D941,$D942,$E42:$E941,$E942,$F42:$F941,$F942,$G42:$G941,$G942)&gt;0,"DOUBLON","VALIDE")))</f>
        <v/>
      </c>
    </row>
    <row r="943" ht="15" customHeight="1">
      <c r="A943" s="12">
        <f>IF(OR($B943="",$G943=""),"",TEXT($B943,"YYYYMMDD")&amp;"-"&amp;SUBSTITUTE($E943," ","")&amp;"-"&amp;$F943&amp;"-"&amp;$G943)</f>
        <v/>
      </c>
      <c r="B943" s="15" t="n"/>
      <c r="C943" s="16" t="n"/>
      <c r="D943" s="10" t="n"/>
      <c r="E943" s="9" t="n"/>
      <c r="F943" s="9" t="n"/>
      <c r="G943" s="13" t="n"/>
      <c r="H943" s="21" t="n"/>
      <c r="I943" s="21" t="n"/>
      <c r="J943" s="17">
        <f>IF($G943="","",IFERROR(INDEX(NomsEmployes,MATCH($G943,MatriculesEmployes,0)),"MATRICULE INCONNU"))</f>
        <v/>
      </c>
      <c r="K943" s="33">
        <f>IF(OR($D943="",$F943=""),"",IFERROR(IF(INDEX(RUNS!$L$6:$S$1005,MATCH($D943,RUNS!$A$6:$A$1005,0),MATCH("ACTIVITÉ "&amp;$F943,RUNS!$L$5:$S$5,0))="","",INDEX(RUNS!$L$6:$S$1005,MATCH($D943,RUNS!$A$6:$A$1005,0),MATCH("ACTIVITÉ "&amp;$F943,RUNS!$L$5:$S$5,0))),""))</f>
        <v/>
      </c>
      <c r="L943" s="33">
        <f>IF($D943="","",IFERROR(IF(INDEX(RUNS!$E$6:$E$1005,MATCH($D943,RUNS!$A$6:$A$1005,0))="","",INDEX(RUNS!$E$6:$E$1005,MATCH($D943,RUNS!$A$6:$A$1005,0))),""))</f>
        <v/>
      </c>
      <c r="M943" s="33">
        <f>IF($D943="","",IFERROR(IF(INDEX(RUNS!$F$6:$F$1005,MATCH($D943,RUNS!$A$6:$A$1005,0))="","",INDEX(RUNS!$F$6:$F$1005,MATCH($D943,RUNS!$A$6:$A$1005,0))),""))</f>
        <v/>
      </c>
      <c r="N943" s="33">
        <f>IF($D943="","",IFERROR(IF(INDEX(RUNS!$G$6:$G$1005,MATCH($D943,RUNS!$A$6:$A$1005,0))="","",INDEX(RUNS!$G$6:$G$1005,MATCH($D943,RUNS!$A$6:$A$1005,0))),""))</f>
        <v/>
      </c>
      <c r="O943" s="33">
        <f>IF($D943="","",IFERROR(IF(INDEX(RUNS!$H$6:$H$1005,MATCH($D943,RUNS!$A$6:$A$1005,0))="","",INDEX(RUNS!$H$6:$H$1005,MATCH($D943,RUNS!$A$6:$A$1005,0))),""))</f>
        <v/>
      </c>
      <c r="P943" s="33">
        <f>IF($D943="","",IFERROR(IF(INDEX(RUNS!$J$6:$J$1005,MATCH($D943,RUNS!$A$6:$A$1005,0))="","",INDEX(RUNS!$J$6:$J$1005,MATCH($D943,RUNS!$A$6:$A$1005,0))),""))</f>
        <v/>
      </c>
      <c r="Q943" s="33">
        <f>IF($D943="","",IFERROR(IF(INDEX(RUNS!$K$6:$K$1005,MATCH($D943,RUNS!$A$6:$A$1005,0))="","",INDEX(RUNS!$K$6:$K$1005,MATCH($D943,RUNS!$A$6:$A$1005,0))),""))</f>
        <v/>
      </c>
      <c r="R943" s="34">
        <f>IF(OR($L943="",$K943=""),"",IFERROR(IF(INDEX(PARAMETRES!$H$43:$H$342,MATCH($L943&amp;"|"&amp;$M943&amp;"|"&amp;$N943&amp;"|"&amp;$O943&amp;"|"&amp;$P943&amp;"|"&amp;$Q943&amp;"|"&amp;$K943,PARAMETRES!$J$43:$J$342,0))="","",INDEX(PARAMETRES!$H$43:$H$342,MATCH($L943&amp;"|"&amp;$M943&amp;"|"&amp;$N943&amp;"|"&amp;$O943&amp;"|"&amp;$P943&amp;"|"&amp;$Q943&amp;"|"&amp;$K943,PARAMETRES!$J$43:$J$342,0))),""))</f>
        <v/>
      </c>
      <c r="S943" s="35">
        <f>IF(OR($G943="",$X943&lt;&gt;"VALIDE"),"",IFERROR(LOOKUP(2,1/(($B43:$B942=$B943)*($G43:$G942=$G943)*($X43:$X942="VALIDE")),$C43:$C942),""))</f>
        <v/>
      </c>
      <c r="T943" s="36">
        <f>IF(OR($C943="",$S943=""),"",ROUND(($C943-$S943+IF($C943&lt;$S943,1,0))*1440,0))</f>
        <v/>
      </c>
      <c r="U943" s="22">
        <f>IF(OR($H943="",$T943="",$T943&lt;=0),"",$H943*60/$T943)</f>
        <v/>
      </c>
      <c r="V943" s="37">
        <f>IF(OR($U943="",$R943="",$R943=0),"",$U943/$R943)</f>
        <v/>
      </c>
      <c r="W943" s="20">
        <f>IF($G943="","",IF($X943="CONTEXTE INCOMPLET","CONTEXTE INCOMPLET",IF($X943="DOUBLON",StatutDoublon,IF($S943="",StatutInitial,IF($R943="",StatutStandardManquant,IF($V943="","DONNEES INSUFFISANTES",IF($V943&gt;=SeuilConforme,StatutConforme,IF($V943&gt;=SeuilSurveiller,StatutSurveiller,StatutSousStandard))))))))</f>
        <v/>
      </c>
      <c r="X943" s="33">
        <f>IF($G943="","",IF(OR($D943="",$E943="",$F943=""),"CONTEXTE INCOMPLET",IF(COUNTIFS($D43:$D942,$D943,$E43:$E942,$E943,$F43:$F942,$F943,$G43:$G942,$G943)&gt;0,"DOUBLON","VALIDE")))</f>
        <v/>
      </c>
    </row>
    <row r="944" ht="15" customHeight="1">
      <c r="A944" s="12">
        <f>IF(OR($B944="",$G944=""),"",TEXT($B944,"YYYYMMDD")&amp;"-"&amp;SUBSTITUTE($E944," ","")&amp;"-"&amp;$F944&amp;"-"&amp;$G944)</f>
        <v/>
      </c>
      <c r="B944" s="15" t="n"/>
      <c r="C944" s="16" t="n"/>
      <c r="D944" s="10" t="n"/>
      <c r="E944" s="9" t="n"/>
      <c r="F944" s="9" t="n"/>
      <c r="G944" s="13" t="n"/>
      <c r="H944" s="21" t="n"/>
      <c r="I944" s="21" t="n"/>
      <c r="J944" s="17">
        <f>IF($G944="","",IFERROR(INDEX(NomsEmployes,MATCH($G944,MatriculesEmployes,0)),"MATRICULE INCONNU"))</f>
        <v/>
      </c>
      <c r="K944" s="33">
        <f>IF(OR($D944="",$F944=""),"",IFERROR(IF(INDEX(RUNS!$L$6:$S$1005,MATCH($D944,RUNS!$A$6:$A$1005,0),MATCH("ACTIVITÉ "&amp;$F944,RUNS!$L$5:$S$5,0))="","",INDEX(RUNS!$L$6:$S$1005,MATCH($D944,RUNS!$A$6:$A$1005,0),MATCH("ACTIVITÉ "&amp;$F944,RUNS!$L$5:$S$5,0))),""))</f>
        <v/>
      </c>
      <c r="L944" s="33">
        <f>IF($D944="","",IFERROR(IF(INDEX(RUNS!$E$6:$E$1005,MATCH($D944,RUNS!$A$6:$A$1005,0))="","",INDEX(RUNS!$E$6:$E$1005,MATCH($D944,RUNS!$A$6:$A$1005,0))),""))</f>
        <v/>
      </c>
      <c r="M944" s="33">
        <f>IF($D944="","",IFERROR(IF(INDEX(RUNS!$F$6:$F$1005,MATCH($D944,RUNS!$A$6:$A$1005,0))="","",INDEX(RUNS!$F$6:$F$1005,MATCH($D944,RUNS!$A$6:$A$1005,0))),""))</f>
        <v/>
      </c>
      <c r="N944" s="33">
        <f>IF($D944="","",IFERROR(IF(INDEX(RUNS!$G$6:$G$1005,MATCH($D944,RUNS!$A$6:$A$1005,0))="","",INDEX(RUNS!$G$6:$G$1005,MATCH($D944,RUNS!$A$6:$A$1005,0))),""))</f>
        <v/>
      </c>
      <c r="O944" s="33">
        <f>IF($D944="","",IFERROR(IF(INDEX(RUNS!$H$6:$H$1005,MATCH($D944,RUNS!$A$6:$A$1005,0))="","",INDEX(RUNS!$H$6:$H$1005,MATCH($D944,RUNS!$A$6:$A$1005,0))),""))</f>
        <v/>
      </c>
      <c r="P944" s="33">
        <f>IF($D944="","",IFERROR(IF(INDEX(RUNS!$J$6:$J$1005,MATCH($D944,RUNS!$A$6:$A$1005,0))="","",INDEX(RUNS!$J$6:$J$1005,MATCH($D944,RUNS!$A$6:$A$1005,0))),""))</f>
        <v/>
      </c>
      <c r="Q944" s="33">
        <f>IF($D944="","",IFERROR(IF(INDEX(RUNS!$K$6:$K$1005,MATCH($D944,RUNS!$A$6:$A$1005,0))="","",INDEX(RUNS!$K$6:$K$1005,MATCH($D944,RUNS!$A$6:$A$1005,0))),""))</f>
        <v/>
      </c>
      <c r="R944" s="34">
        <f>IF(OR($L944="",$K944=""),"",IFERROR(IF(INDEX(PARAMETRES!$H$43:$H$342,MATCH($L944&amp;"|"&amp;$M944&amp;"|"&amp;$N944&amp;"|"&amp;$O944&amp;"|"&amp;$P944&amp;"|"&amp;$Q944&amp;"|"&amp;$K944,PARAMETRES!$J$43:$J$342,0))="","",INDEX(PARAMETRES!$H$43:$H$342,MATCH($L944&amp;"|"&amp;$M944&amp;"|"&amp;$N944&amp;"|"&amp;$O944&amp;"|"&amp;$P944&amp;"|"&amp;$Q944&amp;"|"&amp;$K944,PARAMETRES!$J$43:$J$342,0))),""))</f>
        <v/>
      </c>
      <c r="S944" s="35">
        <f>IF(OR($G944="",$X944&lt;&gt;"VALIDE"),"",IFERROR(LOOKUP(2,1/(($B44:$B943=$B944)*($G44:$G943=$G944)*($X44:$X943="VALIDE")),$C44:$C943),""))</f>
        <v/>
      </c>
      <c r="T944" s="36">
        <f>IF(OR($C944="",$S944=""),"",ROUND(($C944-$S944+IF($C944&lt;$S944,1,0))*1440,0))</f>
        <v/>
      </c>
      <c r="U944" s="22">
        <f>IF(OR($H944="",$T944="",$T944&lt;=0),"",$H944*60/$T944)</f>
        <v/>
      </c>
      <c r="V944" s="37">
        <f>IF(OR($U944="",$R944="",$R944=0),"",$U944/$R944)</f>
        <v/>
      </c>
      <c r="W944" s="20">
        <f>IF($G944="","",IF($X944="CONTEXTE INCOMPLET","CONTEXTE INCOMPLET",IF($X944="DOUBLON",StatutDoublon,IF($S944="",StatutInitial,IF($R944="",StatutStandardManquant,IF($V944="","DONNEES INSUFFISANTES",IF($V944&gt;=SeuilConforme,StatutConforme,IF($V944&gt;=SeuilSurveiller,StatutSurveiller,StatutSousStandard))))))))</f>
        <v/>
      </c>
      <c r="X944" s="33">
        <f>IF($G944="","",IF(OR($D944="",$E944="",$F944=""),"CONTEXTE INCOMPLET",IF(COUNTIFS($D44:$D943,$D944,$E44:$E943,$E944,$F44:$F943,$F944,$G44:$G943,$G944)&gt;0,"DOUBLON","VALIDE")))</f>
        <v/>
      </c>
    </row>
    <row r="945" ht="15" customHeight="1">
      <c r="A945" s="12">
        <f>IF(OR($B945="",$G945=""),"",TEXT($B945,"YYYYMMDD")&amp;"-"&amp;SUBSTITUTE($E945," ","")&amp;"-"&amp;$F945&amp;"-"&amp;$G945)</f>
        <v/>
      </c>
      <c r="B945" s="15" t="n"/>
      <c r="C945" s="16" t="n"/>
      <c r="D945" s="10" t="n"/>
      <c r="E945" s="9" t="n"/>
      <c r="F945" s="9" t="n"/>
      <c r="G945" s="13" t="n"/>
      <c r="H945" s="21" t="n"/>
      <c r="I945" s="21" t="n"/>
      <c r="J945" s="17">
        <f>IF($G945="","",IFERROR(INDEX(NomsEmployes,MATCH($G945,MatriculesEmployes,0)),"MATRICULE INCONNU"))</f>
        <v/>
      </c>
      <c r="K945" s="33">
        <f>IF(OR($D945="",$F945=""),"",IFERROR(IF(INDEX(RUNS!$L$6:$S$1005,MATCH($D945,RUNS!$A$6:$A$1005,0),MATCH("ACTIVITÉ "&amp;$F945,RUNS!$L$5:$S$5,0))="","",INDEX(RUNS!$L$6:$S$1005,MATCH($D945,RUNS!$A$6:$A$1005,0),MATCH("ACTIVITÉ "&amp;$F945,RUNS!$L$5:$S$5,0))),""))</f>
        <v/>
      </c>
      <c r="L945" s="33">
        <f>IF($D945="","",IFERROR(IF(INDEX(RUNS!$E$6:$E$1005,MATCH($D945,RUNS!$A$6:$A$1005,0))="","",INDEX(RUNS!$E$6:$E$1005,MATCH($D945,RUNS!$A$6:$A$1005,0))),""))</f>
        <v/>
      </c>
      <c r="M945" s="33">
        <f>IF($D945="","",IFERROR(IF(INDEX(RUNS!$F$6:$F$1005,MATCH($D945,RUNS!$A$6:$A$1005,0))="","",INDEX(RUNS!$F$6:$F$1005,MATCH($D945,RUNS!$A$6:$A$1005,0))),""))</f>
        <v/>
      </c>
      <c r="N945" s="33">
        <f>IF($D945="","",IFERROR(IF(INDEX(RUNS!$G$6:$G$1005,MATCH($D945,RUNS!$A$6:$A$1005,0))="","",INDEX(RUNS!$G$6:$G$1005,MATCH($D945,RUNS!$A$6:$A$1005,0))),""))</f>
        <v/>
      </c>
      <c r="O945" s="33">
        <f>IF($D945="","",IFERROR(IF(INDEX(RUNS!$H$6:$H$1005,MATCH($D945,RUNS!$A$6:$A$1005,0))="","",INDEX(RUNS!$H$6:$H$1005,MATCH($D945,RUNS!$A$6:$A$1005,0))),""))</f>
        <v/>
      </c>
      <c r="P945" s="33">
        <f>IF($D945="","",IFERROR(IF(INDEX(RUNS!$J$6:$J$1005,MATCH($D945,RUNS!$A$6:$A$1005,0))="","",INDEX(RUNS!$J$6:$J$1005,MATCH($D945,RUNS!$A$6:$A$1005,0))),""))</f>
        <v/>
      </c>
      <c r="Q945" s="33">
        <f>IF($D945="","",IFERROR(IF(INDEX(RUNS!$K$6:$K$1005,MATCH($D945,RUNS!$A$6:$A$1005,0))="","",INDEX(RUNS!$K$6:$K$1005,MATCH($D945,RUNS!$A$6:$A$1005,0))),""))</f>
        <v/>
      </c>
      <c r="R945" s="34">
        <f>IF(OR($L945="",$K945=""),"",IFERROR(IF(INDEX(PARAMETRES!$H$43:$H$342,MATCH($L945&amp;"|"&amp;$M945&amp;"|"&amp;$N945&amp;"|"&amp;$O945&amp;"|"&amp;$P945&amp;"|"&amp;$Q945&amp;"|"&amp;$K945,PARAMETRES!$J$43:$J$342,0))="","",INDEX(PARAMETRES!$H$43:$H$342,MATCH($L945&amp;"|"&amp;$M945&amp;"|"&amp;$N945&amp;"|"&amp;$O945&amp;"|"&amp;$P945&amp;"|"&amp;$Q945&amp;"|"&amp;$K945,PARAMETRES!$J$43:$J$342,0))),""))</f>
        <v/>
      </c>
      <c r="S945" s="35">
        <f>IF(OR($G945="",$X945&lt;&gt;"VALIDE"),"",IFERROR(LOOKUP(2,1/(($B45:$B944=$B945)*($G45:$G944=$G945)*($X45:$X944="VALIDE")),$C45:$C944),""))</f>
        <v/>
      </c>
      <c r="T945" s="36">
        <f>IF(OR($C945="",$S945=""),"",ROUND(($C945-$S945+IF($C945&lt;$S945,1,0))*1440,0))</f>
        <v/>
      </c>
      <c r="U945" s="22">
        <f>IF(OR($H945="",$T945="",$T945&lt;=0),"",$H945*60/$T945)</f>
        <v/>
      </c>
      <c r="V945" s="37">
        <f>IF(OR($U945="",$R945="",$R945=0),"",$U945/$R945)</f>
        <v/>
      </c>
      <c r="W945" s="20">
        <f>IF($G945="","",IF($X945="CONTEXTE INCOMPLET","CONTEXTE INCOMPLET",IF($X945="DOUBLON",StatutDoublon,IF($S945="",StatutInitial,IF($R945="",StatutStandardManquant,IF($V945="","DONNEES INSUFFISANTES",IF($V945&gt;=SeuilConforme,StatutConforme,IF($V945&gt;=SeuilSurveiller,StatutSurveiller,StatutSousStandard))))))))</f>
        <v/>
      </c>
      <c r="X945" s="33">
        <f>IF($G945="","",IF(OR($D945="",$E945="",$F945=""),"CONTEXTE INCOMPLET",IF(COUNTIFS($D45:$D944,$D945,$E45:$E944,$E945,$F45:$F944,$F945,$G45:$G944,$G945)&gt;0,"DOUBLON","VALIDE")))</f>
        <v/>
      </c>
    </row>
    <row r="946" ht="15" customHeight="1">
      <c r="A946" s="12">
        <f>IF(OR($B946="",$G946=""),"",TEXT($B946,"YYYYMMDD")&amp;"-"&amp;SUBSTITUTE($E946," ","")&amp;"-"&amp;$F946&amp;"-"&amp;$G946)</f>
        <v/>
      </c>
      <c r="B946" s="15" t="n"/>
      <c r="C946" s="16" t="n"/>
      <c r="D946" s="10" t="n"/>
      <c r="E946" s="9" t="n"/>
      <c r="F946" s="9" t="n"/>
      <c r="G946" s="13" t="n"/>
      <c r="H946" s="21" t="n"/>
      <c r="I946" s="21" t="n"/>
      <c r="J946" s="17">
        <f>IF($G946="","",IFERROR(INDEX(NomsEmployes,MATCH($G946,MatriculesEmployes,0)),"MATRICULE INCONNU"))</f>
        <v/>
      </c>
      <c r="K946" s="33">
        <f>IF(OR($D946="",$F946=""),"",IFERROR(IF(INDEX(RUNS!$L$6:$S$1005,MATCH($D946,RUNS!$A$6:$A$1005,0),MATCH("ACTIVITÉ "&amp;$F946,RUNS!$L$5:$S$5,0))="","",INDEX(RUNS!$L$6:$S$1005,MATCH($D946,RUNS!$A$6:$A$1005,0),MATCH("ACTIVITÉ "&amp;$F946,RUNS!$L$5:$S$5,0))),""))</f>
        <v/>
      </c>
      <c r="L946" s="33">
        <f>IF($D946="","",IFERROR(IF(INDEX(RUNS!$E$6:$E$1005,MATCH($D946,RUNS!$A$6:$A$1005,0))="","",INDEX(RUNS!$E$6:$E$1005,MATCH($D946,RUNS!$A$6:$A$1005,0))),""))</f>
        <v/>
      </c>
      <c r="M946" s="33">
        <f>IF($D946="","",IFERROR(IF(INDEX(RUNS!$F$6:$F$1005,MATCH($D946,RUNS!$A$6:$A$1005,0))="","",INDEX(RUNS!$F$6:$F$1005,MATCH($D946,RUNS!$A$6:$A$1005,0))),""))</f>
        <v/>
      </c>
      <c r="N946" s="33">
        <f>IF($D946="","",IFERROR(IF(INDEX(RUNS!$G$6:$G$1005,MATCH($D946,RUNS!$A$6:$A$1005,0))="","",INDEX(RUNS!$G$6:$G$1005,MATCH($D946,RUNS!$A$6:$A$1005,0))),""))</f>
        <v/>
      </c>
      <c r="O946" s="33">
        <f>IF($D946="","",IFERROR(IF(INDEX(RUNS!$H$6:$H$1005,MATCH($D946,RUNS!$A$6:$A$1005,0))="","",INDEX(RUNS!$H$6:$H$1005,MATCH($D946,RUNS!$A$6:$A$1005,0))),""))</f>
        <v/>
      </c>
      <c r="P946" s="33">
        <f>IF($D946="","",IFERROR(IF(INDEX(RUNS!$J$6:$J$1005,MATCH($D946,RUNS!$A$6:$A$1005,0))="","",INDEX(RUNS!$J$6:$J$1005,MATCH($D946,RUNS!$A$6:$A$1005,0))),""))</f>
        <v/>
      </c>
      <c r="Q946" s="33">
        <f>IF($D946="","",IFERROR(IF(INDEX(RUNS!$K$6:$K$1005,MATCH($D946,RUNS!$A$6:$A$1005,0))="","",INDEX(RUNS!$K$6:$K$1005,MATCH($D946,RUNS!$A$6:$A$1005,0))),""))</f>
        <v/>
      </c>
      <c r="R946" s="34">
        <f>IF(OR($L946="",$K946=""),"",IFERROR(IF(INDEX(PARAMETRES!$H$43:$H$342,MATCH($L946&amp;"|"&amp;$M946&amp;"|"&amp;$N946&amp;"|"&amp;$O946&amp;"|"&amp;$P946&amp;"|"&amp;$Q946&amp;"|"&amp;$K946,PARAMETRES!$J$43:$J$342,0))="","",INDEX(PARAMETRES!$H$43:$H$342,MATCH($L946&amp;"|"&amp;$M946&amp;"|"&amp;$N946&amp;"|"&amp;$O946&amp;"|"&amp;$P946&amp;"|"&amp;$Q946&amp;"|"&amp;$K946,PARAMETRES!$J$43:$J$342,0))),""))</f>
        <v/>
      </c>
      <c r="S946" s="35">
        <f>IF(OR($G946="",$X946&lt;&gt;"VALIDE"),"",IFERROR(LOOKUP(2,1/(($B46:$B945=$B946)*($G46:$G945=$G946)*($X46:$X945="VALIDE")),$C46:$C945),""))</f>
        <v/>
      </c>
      <c r="T946" s="36">
        <f>IF(OR($C946="",$S946=""),"",ROUND(($C946-$S946+IF($C946&lt;$S946,1,0))*1440,0))</f>
        <v/>
      </c>
      <c r="U946" s="22">
        <f>IF(OR($H946="",$T946="",$T946&lt;=0),"",$H946*60/$T946)</f>
        <v/>
      </c>
      <c r="V946" s="37">
        <f>IF(OR($U946="",$R946="",$R946=0),"",$U946/$R946)</f>
        <v/>
      </c>
      <c r="W946" s="20">
        <f>IF($G946="","",IF($X946="CONTEXTE INCOMPLET","CONTEXTE INCOMPLET",IF($X946="DOUBLON",StatutDoublon,IF($S946="",StatutInitial,IF($R946="",StatutStandardManquant,IF($V946="","DONNEES INSUFFISANTES",IF($V946&gt;=SeuilConforme,StatutConforme,IF($V946&gt;=SeuilSurveiller,StatutSurveiller,StatutSousStandard))))))))</f>
        <v/>
      </c>
      <c r="X946" s="33">
        <f>IF($G946="","",IF(OR($D946="",$E946="",$F946=""),"CONTEXTE INCOMPLET",IF(COUNTIFS($D46:$D945,$D946,$E46:$E945,$E946,$F46:$F945,$F946,$G46:$G945,$G946)&gt;0,"DOUBLON","VALIDE")))</f>
        <v/>
      </c>
    </row>
    <row r="947" ht="15" customHeight="1">
      <c r="A947" s="12">
        <f>IF(OR($B947="",$G947=""),"",TEXT($B947,"YYYYMMDD")&amp;"-"&amp;SUBSTITUTE($E947," ","")&amp;"-"&amp;$F947&amp;"-"&amp;$G947)</f>
        <v/>
      </c>
      <c r="B947" s="15" t="n"/>
      <c r="C947" s="16" t="n"/>
      <c r="D947" s="10" t="n"/>
      <c r="E947" s="9" t="n"/>
      <c r="F947" s="9" t="n"/>
      <c r="G947" s="13" t="n"/>
      <c r="H947" s="21" t="n"/>
      <c r="I947" s="21" t="n"/>
      <c r="J947" s="17">
        <f>IF($G947="","",IFERROR(INDEX(NomsEmployes,MATCH($G947,MatriculesEmployes,0)),"MATRICULE INCONNU"))</f>
        <v/>
      </c>
      <c r="K947" s="33">
        <f>IF(OR($D947="",$F947=""),"",IFERROR(IF(INDEX(RUNS!$L$6:$S$1005,MATCH($D947,RUNS!$A$6:$A$1005,0),MATCH("ACTIVITÉ "&amp;$F947,RUNS!$L$5:$S$5,0))="","",INDEX(RUNS!$L$6:$S$1005,MATCH($D947,RUNS!$A$6:$A$1005,0),MATCH("ACTIVITÉ "&amp;$F947,RUNS!$L$5:$S$5,0))),""))</f>
        <v/>
      </c>
      <c r="L947" s="33">
        <f>IF($D947="","",IFERROR(IF(INDEX(RUNS!$E$6:$E$1005,MATCH($D947,RUNS!$A$6:$A$1005,0))="","",INDEX(RUNS!$E$6:$E$1005,MATCH($D947,RUNS!$A$6:$A$1005,0))),""))</f>
        <v/>
      </c>
      <c r="M947" s="33">
        <f>IF($D947="","",IFERROR(IF(INDEX(RUNS!$F$6:$F$1005,MATCH($D947,RUNS!$A$6:$A$1005,0))="","",INDEX(RUNS!$F$6:$F$1005,MATCH($D947,RUNS!$A$6:$A$1005,0))),""))</f>
        <v/>
      </c>
      <c r="N947" s="33">
        <f>IF($D947="","",IFERROR(IF(INDEX(RUNS!$G$6:$G$1005,MATCH($D947,RUNS!$A$6:$A$1005,0))="","",INDEX(RUNS!$G$6:$G$1005,MATCH($D947,RUNS!$A$6:$A$1005,0))),""))</f>
        <v/>
      </c>
      <c r="O947" s="33">
        <f>IF($D947="","",IFERROR(IF(INDEX(RUNS!$H$6:$H$1005,MATCH($D947,RUNS!$A$6:$A$1005,0))="","",INDEX(RUNS!$H$6:$H$1005,MATCH($D947,RUNS!$A$6:$A$1005,0))),""))</f>
        <v/>
      </c>
      <c r="P947" s="33">
        <f>IF($D947="","",IFERROR(IF(INDEX(RUNS!$J$6:$J$1005,MATCH($D947,RUNS!$A$6:$A$1005,0))="","",INDEX(RUNS!$J$6:$J$1005,MATCH($D947,RUNS!$A$6:$A$1005,0))),""))</f>
        <v/>
      </c>
      <c r="Q947" s="33">
        <f>IF($D947="","",IFERROR(IF(INDEX(RUNS!$K$6:$K$1005,MATCH($D947,RUNS!$A$6:$A$1005,0))="","",INDEX(RUNS!$K$6:$K$1005,MATCH($D947,RUNS!$A$6:$A$1005,0))),""))</f>
        <v/>
      </c>
      <c r="R947" s="34">
        <f>IF(OR($L947="",$K947=""),"",IFERROR(IF(INDEX(PARAMETRES!$H$43:$H$342,MATCH($L947&amp;"|"&amp;$M947&amp;"|"&amp;$N947&amp;"|"&amp;$O947&amp;"|"&amp;$P947&amp;"|"&amp;$Q947&amp;"|"&amp;$K947,PARAMETRES!$J$43:$J$342,0))="","",INDEX(PARAMETRES!$H$43:$H$342,MATCH($L947&amp;"|"&amp;$M947&amp;"|"&amp;$N947&amp;"|"&amp;$O947&amp;"|"&amp;$P947&amp;"|"&amp;$Q947&amp;"|"&amp;$K947,PARAMETRES!$J$43:$J$342,0))),""))</f>
        <v/>
      </c>
      <c r="S947" s="35">
        <f>IF(OR($G947="",$X947&lt;&gt;"VALIDE"),"",IFERROR(LOOKUP(2,1/(($B47:$B946=$B947)*($G47:$G946=$G947)*($X47:$X946="VALIDE")),$C47:$C946),""))</f>
        <v/>
      </c>
      <c r="T947" s="36">
        <f>IF(OR($C947="",$S947=""),"",ROUND(($C947-$S947+IF($C947&lt;$S947,1,0))*1440,0))</f>
        <v/>
      </c>
      <c r="U947" s="22">
        <f>IF(OR($H947="",$T947="",$T947&lt;=0),"",$H947*60/$T947)</f>
        <v/>
      </c>
      <c r="V947" s="37">
        <f>IF(OR($U947="",$R947="",$R947=0),"",$U947/$R947)</f>
        <v/>
      </c>
      <c r="W947" s="20">
        <f>IF($G947="","",IF($X947="CONTEXTE INCOMPLET","CONTEXTE INCOMPLET",IF($X947="DOUBLON",StatutDoublon,IF($S947="",StatutInitial,IF($R947="",StatutStandardManquant,IF($V947="","DONNEES INSUFFISANTES",IF($V947&gt;=SeuilConforme,StatutConforme,IF($V947&gt;=SeuilSurveiller,StatutSurveiller,StatutSousStandard))))))))</f>
        <v/>
      </c>
      <c r="X947" s="33">
        <f>IF($G947="","",IF(OR($D947="",$E947="",$F947=""),"CONTEXTE INCOMPLET",IF(COUNTIFS($D47:$D946,$D947,$E47:$E946,$E947,$F47:$F946,$F947,$G47:$G946,$G947)&gt;0,"DOUBLON","VALIDE")))</f>
        <v/>
      </c>
    </row>
    <row r="948" ht="15" customHeight="1">
      <c r="A948" s="12">
        <f>IF(OR($B948="",$G948=""),"",TEXT($B948,"YYYYMMDD")&amp;"-"&amp;SUBSTITUTE($E948," ","")&amp;"-"&amp;$F948&amp;"-"&amp;$G948)</f>
        <v/>
      </c>
      <c r="B948" s="15" t="n"/>
      <c r="C948" s="16" t="n"/>
      <c r="D948" s="10" t="n"/>
      <c r="E948" s="9" t="n"/>
      <c r="F948" s="9" t="n"/>
      <c r="G948" s="13" t="n"/>
      <c r="H948" s="21" t="n"/>
      <c r="I948" s="21" t="n"/>
      <c r="J948" s="17">
        <f>IF($G948="","",IFERROR(INDEX(NomsEmployes,MATCH($G948,MatriculesEmployes,0)),"MATRICULE INCONNU"))</f>
        <v/>
      </c>
      <c r="K948" s="33">
        <f>IF(OR($D948="",$F948=""),"",IFERROR(IF(INDEX(RUNS!$L$6:$S$1005,MATCH($D948,RUNS!$A$6:$A$1005,0),MATCH("ACTIVITÉ "&amp;$F948,RUNS!$L$5:$S$5,0))="","",INDEX(RUNS!$L$6:$S$1005,MATCH($D948,RUNS!$A$6:$A$1005,0),MATCH("ACTIVITÉ "&amp;$F948,RUNS!$L$5:$S$5,0))),""))</f>
        <v/>
      </c>
      <c r="L948" s="33">
        <f>IF($D948="","",IFERROR(IF(INDEX(RUNS!$E$6:$E$1005,MATCH($D948,RUNS!$A$6:$A$1005,0))="","",INDEX(RUNS!$E$6:$E$1005,MATCH($D948,RUNS!$A$6:$A$1005,0))),""))</f>
        <v/>
      </c>
      <c r="M948" s="33">
        <f>IF($D948="","",IFERROR(IF(INDEX(RUNS!$F$6:$F$1005,MATCH($D948,RUNS!$A$6:$A$1005,0))="","",INDEX(RUNS!$F$6:$F$1005,MATCH($D948,RUNS!$A$6:$A$1005,0))),""))</f>
        <v/>
      </c>
      <c r="N948" s="33">
        <f>IF($D948="","",IFERROR(IF(INDEX(RUNS!$G$6:$G$1005,MATCH($D948,RUNS!$A$6:$A$1005,0))="","",INDEX(RUNS!$G$6:$G$1005,MATCH($D948,RUNS!$A$6:$A$1005,0))),""))</f>
        <v/>
      </c>
      <c r="O948" s="33">
        <f>IF($D948="","",IFERROR(IF(INDEX(RUNS!$H$6:$H$1005,MATCH($D948,RUNS!$A$6:$A$1005,0))="","",INDEX(RUNS!$H$6:$H$1005,MATCH($D948,RUNS!$A$6:$A$1005,0))),""))</f>
        <v/>
      </c>
      <c r="P948" s="33">
        <f>IF($D948="","",IFERROR(IF(INDEX(RUNS!$J$6:$J$1005,MATCH($D948,RUNS!$A$6:$A$1005,0))="","",INDEX(RUNS!$J$6:$J$1005,MATCH($D948,RUNS!$A$6:$A$1005,0))),""))</f>
        <v/>
      </c>
      <c r="Q948" s="33">
        <f>IF($D948="","",IFERROR(IF(INDEX(RUNS!$K$6:$K$1005,MATCH($D948,RUNS!$A$6:$A$1005,0))="","",INDEX(RUNS!$K$6:$K$1005,MATCH($D948,RUNS!$A$6:$A$1005,0))),""))</f>
        <v/>
      </c>
      <c r="R948" s="34">
        <f>IF(OR($L948="",$K948=""),"",IFERROR(IF(INDEX(PARAMETRES!$H$43:$H$342,MATCH($L948&amp;"|"&amp;$M948&amp;"|"&amp;$N948&amp;"|"&amp;$O948&amp;"|"&amp;$P948&amp;"|"&amp;$Q948&amp;"|"&amp;$K948,PARAMETRES!$J$43:$J$342,0))="","",INDEX(PARAMETRES!$H$43:$H$342,MATCH($L948&amp;"|"&amp;$M948&amp;"|"&amp;$N948&amp;"|"&amp;$O948&amp;"|"&amp;$P948&amp;"|"&amp;$Q948&amp;"|"&amp;$K948,PARAMETRES!$J$43:$J$342,0))),""))</f>
        <v/>
      </c>
      <c r="S948" s="35">
        <f>IF(OR($G948="",$X948&lt;&gt;"VALIDE"),"",IFERROR(LOOKUP(2,1/(($B48:$B947=$B948)*($G48:$G947=$G948)*($X48:$X947="VALIDE")),$C48:$C947),""))</f>
        <v/>
      </c>
      <c r="T948" s="36">
        <f>IF(OR($C948="",$S948=""),"",ROUND(($C948-$S948+IF($C948&lt;$S948,1,0))*1440,0))</f>
        <v/>
      </c>
      <c r="U948" s="22">
        <f>IF(OR($H948="",$T948="",$T948&lt;=0),"",$H948*60/$T948)</f>
        <v/>
      </c>
      <c r="V948" s="37">
        <f>IF(OR($U948="",$R948="",$R948=0),"",$U948/$R948)</f>
        <v/>
      </c>
      <c r="W948" s="20">
        <f>IF($G948="","",IF($X948="CONTEXTE INCOMPLET","CONTEXTE INCOMPLET",IF($X948="DOUBLON",StatutDoublon,IF($S948="",StatutInitial,IF($R948="",StatutStandardManquant,IF($V948="","DONNEES INSUFFISANTES",IF($V948&gt;=SeuilConforme,StatutConforme,IF($V948&gt;=SeuilSurveiller,StatutSurveiller,StatutSousStandard))))))))</f>
        <v/>
      </c>
      <c r="X948" s="33">
        <f>IF($G948="","",IF(OR($D948="",$E948="",$F948=""),"CONTEXTE INCOMPLET",IF(COUNTIFS($D48:$D947,$D948,$E48:$E947,$E948,$F48:$F947,$F948,$G48:$G947,$G948)&gt;0,"DOUBLON","VALIDE")))</f>
        <v/>
      </c>
    </row>
    <row r="949" ht="15" customHeight="1">
      <c r="A949" s="12">
        <f>IF(OR($B949="",$G949=""),"",TEXT($B949,"YYYYMMDD")&amp;"-"&amp;SUBSTITUTE($E949," ","")&amp;"-"&amp;$F949&amp;"-"&amp;$G949)</f>
        <v/>
      </c>
      <c r="B949" s="15" t="n"/>
      <c r="C949" s="16" t="n"/>
      <c r="D949" s="10" t="n"/>
      <c r="E949" s="9" t="n"/>
      <c r="F949" s="9" t="n"/>
      <c r="G949" s="13" t="n"/>
      <c r="H949" s="21" t="n"/>
      <c r="I949" s="21" t="n"/>
      <c r="J949" s="17">
        <f>IF($G949="","",IFERROR(INDEX(NomsEmployes,MATCH($G949,MatriculesEmployes,0)),"MATRICULE INCONNU"))</f>
        <v/>
      </c>
      <c r="K949" s="33">
        <f>IF(OR($D949="",$F949=""),"",IFERROR(IF(INDEX(RUNS!$L$6:$S$1005,MATCH($D949,RUNS!$A$6:$A$1005,0),MATCH("ACTIVITÉ "&amp;$F949,RUNS!$L$5:$S$5,0))="","",INDEX(RUNS!$L$6:$S$1005,MATCH($D949,RUNS!$A$6:$A$1005,0),MATCH("ACTIVITÉ "&amp;$F949,RUNS!$L$5:$S$5,0))),""))</f>
        <v/>
      </c>
      <c r="L949" s="33">
        <f>IF($D949="","",IFERROR(IF(INDEX(RUNS!$E$6:$E$1005,MATCH($D949,RUNS!$A$6:$A$1005,0))="","",INDEX(RUNS!$E$6:$E$1005,MATCH($D949,RUNS!$A$6:$A$1005,0))),""))</f>
        <v/>
      </c>
      <c r="M949" s="33">
        <f>IF($D949="","",IFERROR(IF(INDEX(RUNS!$F$6:$F$1005,MATCH($D949,RUNS!$A$6:$A$1005,0))="","",INDEX(RUNS!$F$6:$F$1005,MATCH($D949,RUNS!$A$6:$A$1005,0))),""))</f>
        <v/>
      </c>
      <c r="N949" s="33">
        <f>IF($D949="","",IFERROR(IF(INDEX(RUNS!$G$6:$G$1005,MATCH($D949,RUNS!$A$6:$A$1005,0))="","",INDEX(RUNS!$G$6:$G$1005,MATCH($D949,RUNS!$A$6:$A$1005,0))),""))</f>
        <v/>
      </c>
      <c r="O949" s="33">
        <f>IF($D949="","",IFERROR(IF(INDEX(RUNS!$H$6:$H$1005,MATCH($D949,RUNS!$A$6:$A$1005,0))="","",INDEX(RUNS!$H$6:$H$1005,MATCH($D949,RUNS!$A$6:$A$1005,0))),""))</f>
        <v/>
      </c>
      <c r="P949" s="33">
        <f>IF($D949="","",IFERROR(IF(INDEX(RUNS!$J$6:$J$1005,MATCH($D949,RUNS!$A$6:$A$1005,0))="","",INDEX(RUNS!$J$6:$J$1005,MATCH($D949,RUNS!$A$6:$A$1005,0))),""))</f>
        <v/>
      </c>
      <c r="Q949" s="33">
        <f>IF($D949="","",IFERROR(IF(INDEX(RUNS!$K$6:$K$1005,MATCH($D949,RUNS!$A$6:$A$1005,0))="","",INDEX(RUNS!$K$6:$K$1005,MATCH($D949,RUNS!$A$6:$A$1005,0))),""))</f>
        <v/>
      </c>
      <c r="R949" s="34">
        <f>IF(OR($L949="",$K949=""),"",IFERROR(IF(INDEX(PARAMETRES!$H$43:$H$342,MATCH($L949&amp;"|"&amp;$M949&amp;"|"&amp;$N949&amp;"|"&amp;$O949&amp;"|"&amp;$P949&amp;"|"&amp;$Q949&amp;"|"&amp;$K949,PARAMETRES!$J$43:$J$342,0))="","",INDEX(PARAMETRES!$H$43:$H$342,MATCH($L949&amp;"|"&amp;$M949&amp;"|"&amp;$N949&amp;"|"&amp;$O949&amp;"|"&amp;$P949&amp;"|"&amp;$Q949&amp;"|"&amp;$K949,PARAMETRES!$J$43:$J$342,0))),""))</f>
        <v/>
      </c>
      <c r="S949" s="35">
        <f>IF(OR($G949="",$X949&lt;&gt;"VALIDE"),"",IFERROR(LOOKUP(2,1/(($B49:$B948=$B949)*($G49:$G948=$G949)*($X49:$X948="VALIDE")),$C49:$C948),""))</f>
        <v/>
      </c>
      <c r="T949" s="36">
        <f>IF(OR($C949="",$S949=""),"",ROUND(($C949-$S949+IF($C949&lt;$S949,1,0))*1440,0))</f>
        <v/>
      </c>
      <c r="U949" s="22">
        <f>IF(OR($H949="",$T949="",$T949&lt;=0),"",$H949*60/$T949)</f>
        <v/>
      </c>
      <c r="V949" s="37">
        <f>IF(OR($U949="",$R949="",$R949=0),"",$U949/$R949)</f>
        <v/>
      </c>
      <c r="W949" s="20">
        <f>IF($G949="","",IF($X949="CONTEXTE INCOMPLET","CONTEXTE INCOMPLET",IF($X949="DOUBLON",StatutDoublon,IF($S949="",StatutInitial,IF($R949="",StatutStandardManquant,IF($V949="","DONNEES INSUFFISANTES",IF($V949&gt;=SeuilConforme,StatutConforme,IF($V949&gt;=SeuilSurveiller,StatutSurveiller,StatutSousStandard))))))))</f>
        <v/>
      </c>
      <c r="X949" s="33">
        <f>IF($G949="","",IF(OR($D949="",$E949="",$F949=""),"CONTEXTE INCOMPLET",IF(COUNTIFS($D49:$D948,$D949,$E49:$E948,$E949,$F49:$F948,$F949,$G49:$G948,$G949)&gt;0,"DOUBLON","VALIDE")))</f>
        <v/>
      </c>
    </row>
    <row r="950" ht="15" customHeight="1">
      <c r="A950" s="12">
        <f>IF(OR($B950="",$G950=""),"",TEXT($B950,"YYYYMMDD")&amp;"-"&amp;SUBSTITUTE($E950," ","")&amp;"-"&amp;$F950&amp;"-"&amp;$G950)</f>
        <v/>
      </c>
      <c r="B950" s="15" t="n"/>
      <c r="C950" s="16" t="n"/>
      <c r="D950" s="10" t="n"/>
      <c r="E950" s="9" t="n"/>
      <c r="F950" s="9" t="n"/>
      <c r="G950" s="13" t="n"/>
      <c r="H950" s="21" t="n"/>
      <c r="I950" s="21" t="n"/>
      <c r="J950" s="17">
        <f>IF($G950="","",IFERROR(INDEX(NomsEmployes,MATCH($G950,MatriculesEmployes,0)),"MATRICULE INCONNU"))</f>
        <v/>
      </c>
      <c r="K950" s="33">
        <f>IF(OR($D950="",$F950=""),"",IFERROR(IF(INDEX(RUNS!$L$6:$S$1005,MATCH($D950,RUNS!$A$6:$A$1005,0),MATCH("ACTIVITÉ "&amp;$F950,RUNS!$L$5:$S$5,0))="","",INDEX(RUNS!$L$6:$S$1005,MATCH($D950,RUNS!$A$6:$A$1005,0),MATCH("ACTIVITÉ "&amp;$F950,RUNS!$L$5:$S$5,0))),""))</f>
        <v/>
      </c>
      <c r="L950" s="33">
        <f>IF($D950="","",IFERROR(IF(INDEX(RUNS!$E$6:$E$1005,MATCH($D950,RUNS!$A$6:$A$1005,0))="","",INDEX(RUNS!$E$6:$E$1005,MATCH($D950,RUNS!$A$6:$A$1005,0))),""))</f>
        <v/>
      </c>
      <c r="M950" s="33">
        <f>IF($D950="","",IFERROR(IF(INDEX(RUNS!$F$6:$F$1005,MATCH($D950,RUNS!$A$6:$A$1005,0))="","",INDEX(RUNS!$F$6:$F$1005,MATCH($D950,RUNS!$A$6:$A$1005,0))),""))</f>
        <v/>
      </c>
      <c r="N950" s="33">
        <f>IF($D950="","",IFERROR(IF(INDEX(RUNS!$G$6:$G$1005,MATCH($D950,RUNS!$A$6:$A$1005,0))="","",INDEX(RUNS!$G$6:$G$1005,MATCH($D950,RUNS!$A$6:$A$1005,0))),""))</f>
        <v/>
      </c>
      <c r="O950" s="33">
        <f>IF($D950="","",IFERROR(IF(INDEX(RUNS!$H$6:$H$1005,MATCH($D950,RUNS!$A$6:$A$1005,0))="","",INDEX(RUNS!$H$6:$H$1005,MATCH($D950,RUNS!$A$6:$A$1005,0))),""))</f>
        <v/>
      </c>
      <c r="P950" s="33">
        <f>IF($D950="","",IFERROR(IF(INDEX(RUNS!$J$6:$J$1005,MATCH($D950,RUNS!$A$6:$A$1005,0))="","",INDEX(RUNS!$J$6:$J$1005,MATCH($D950,RUNS!$A$6:$A$1005,0))),""))</f>
        <v/>
      </c>
      <c r="Q950" s="33">
        <f>IF($D950="","",IFERROR(IF(INDEX(RUNS!$K$6:$K$1005,MATCH($D950,RUNS!$A$6:$A$1005,0))="","",INDEX(RUNS!$K$6:$K$1005,MATCH($D950,RUNS!$A$6:$A$1005,0))),""))</f>
        <v/>
      </c>
      <c r="R950" s="34">
        <f>IF(OR($L950="",$K950=""),"",IFERROR(IF(INDEX(PARAMETRES!$H$43:$H$342,MATCH($L950&amp;"|"&amp;$M950&amp;"|"&amp;$N950&amp;"|"&amp;$O950&amp;"|"&amp;$P950&amp;"|"&amp;$Q950&amp;"|"&amp;$K950,PARAMETRES!$J$43:$J$342,0))="","",INDEX(PARAMETRES!$H$43:$H$342,MATCH($L950&amp;"|"&amp;$M950&amp;"|"&amp;$N950&amp;"|"&amp;$O950&amp;"|"&amp;$P950&amp;"|"&amp;$Q950&amp;"|"&amp;$K950,PARAMETRES!$J$43:$J$342,0))),""))</f>
        <v/>
      </c>
      <c r="S950" s="35">
        <f>IF(OR($G950="",$X950&lt;&gt;"VALIDE"),"",IFERROR(LOOKUP(2,1/(($B50:$B949=$B950)*($G50:$G949=$G950)*($X50:$X949="VALIDE")),$C50:$C949),""))</f>
        <v/>
      </c>
      <c r="T950" s="36">
        <f>IF(OR($C950="",$S950=""),"",ROUND(($C950-$S950+IF($C950&lt;$S950,1,0))*1440,0))</f>
        <v/>
      </c>
      <c r="U950" s="22">
        <f>IF(OR($H950="",$T950="",$T950&lt;=0),"",$H950*60/$T950)</f>
        <v/>
      </c>
      <c r="V950" s="37">
        <f>IF(OR($U950="",$R950="",$R950=0),"",$U950/$R950)</f>
        <v/>
      </c>
      <c r="W950" s="20">
        <f>IF($G950="","",IF($X950="CONTEXTE INCOMPLET","CONTEXTE INCOMPLET",IF($X950="DOUBLON",StatutDoublon,IF($S950="",StatutInitial,IF($R950="",StatutStandardManquant,IF($V950="","DONNEES INSUFFISANTES",IF($V950&gt;=SeuilConforme,StatutConforme,IF($V950&gt;=SeuilSurveiller,StatutSurveiller,StatutSousStandard))))))))</f>
        <v/>
      </c>
      <c r="X950" s="33">
        <f>IF($G950="","",IF(OR($D950="",$E950="",$F950=""),"CONTEXTE INCOMPLET",IF(COUNTIFS($D50:$D949,$D950,$E50:$E949,$E950,$F50:$F949,$F950,$G50:$G949,$G950)&gt;0,"DOUBLON","VALIDE")))</f>
        <v/>
      </c>
    </row>
    <row r="951" ht="15" customHeight="1">
      <c r="A951" s="12">
        <f>IF(OR($B951="",$G951=""),"",TEXT($B951,"YYYYMMDD")&amp;"-"&amp;SUBSTITUTE($E951," ","")&amp;"-"&amp;$F951&amp;"-"&amp;$G951)</f>
        <v/>
      </c>
      <c r="B951" s="15" t="n"/>
      <c r="C951" s="16" t="n"/>
      <c r="D951" s="10" t="n"/>
      <c r="E951" s="9" t="n"/>
      <c r="F951" s="9" t="n"/>
      <c r="G951" s="13" t="n"/>
      <c r="H951" s="21" t="n"/>
      <c r="I951" s="21" t="n"/>
      <c r="J951" s="17">
        <f>IF($G951="","",IFERROR(INDEX(NomsEmployes,MATCH($G951,MatriculesEmployes,0)),"MATRICULE INCONNU"))</f>
        <v/>
      </c>
      <c r="K951" s="33">
        <f>IF(OR($D951="",$F951=""),"",IFERROR(IF(INDEX(RUNS!$L$6:$S$1005,MATCH($D951,RUNS!$A$6:$A$1005,0),MATCH("ACTIVITÉ "&amp;$F951,RUNS!$L$5:$S$5,0))="","",INDEX(RUNS!$L$6:$S$1005,MATCH($D951,RUNS!$A$6:$A$1005,0),MATCH("ACTIVITÉ "&amp;$F951,RUNS!$L$5:$S$5,0))),""))</f>
        <v/>
      </c>
      <c r="L951" s="33">
        <f>IF($D951="","",IFERROR(IF(INDEX(RUNS!$E$6:$E$1005,MATCH($D951,RUNS!$A$6:$A$1005,0))="","",INDEX(RUNS!$E$6:$E$1005,MATCH($D951,RUNS!$A$6:$A$1005,0))),""))</f>
        <v/>
      </c>
      <c r="M951" s="33">
        <f>IF($D951="","",IFERROR(IF(INDEX(RUNS!$F$6:$F$1005,MATCH($D951,RUNS!$A$6:$A$1005,0))="","",INDEX(RUNS!$F$6:$F$1005,MATCH($D951,RUNS!$A$6:$A$1005,0))),""))</f>
        <v/>
      </c>
      <c r="N951" s="33">
        <f>IF($D951="","",IFERROR(IF(INDEX(RUNS!$G$6:$G$1005,MATCH($D951,RUNS!$A$6:$A$1005,0))="","",INDEX(RUNS!$G$6:$G$1005,MATCH($D951,RUNS!$A$6:$A$1005,0))),""))</f>
        <v/>
      </c>
      <c r="O951" s="33">
        <f>IF($D951="","",IFERROR(IF(INDEX(RUNS!$H$6:$H$1005,MATCH($D951,RUNS!$A$6:$A$1005,0))="","",INDEX(RUNS!$H$6:$H$1005,MATCH($D951,RUNS!$A$6:$A$1005,0))),""))</f>
        <v/>
      </c>
      <c r="P951" s="33">
        <f>IF($D951="","",IFERROR(IF(INDEX(RUNS!$J$6:$J$1005,MATCH($D951,RUNS!$A$6:$A$1005,0))="","",INDEX(RUNS!$J$6:$J$1005,MATCH($D951,RUNS!$A$6:$A$1005,0))),""))</f>
        <v/>
      </c>
      <c r="Q951" s="33">
        <f>IF($D951="","",IFERROR(IF(INDEX(RUNS!$K$6:$K$1005,MATCH($D951,RUNS!$A$6:$A$1005,0))="","",INDEX(RUNS!$K$6:$K$1005,MATCH($D951,RUNS!$A$6:$A$1005,0))),""))</f>
        <v/>
      </c>
      <c r="R951" s="34">
        <f>IF(OR($L951="",$K951=""),"",IFERROR(IF(INDEX(PARAMETRES!$H$43:$H$342,MATCH($L951&amp;"|"&amp;$M951&amp;"|"&amp;$N951&amp;"|"&amp;$O951&amp;"|"&amp;$P951&amp;"|"&amp;$Q951&amp;"|"&amp;$K951,PARAMETRES!$J$43:$J$342,0))="","",INDEX(PARAMETRES!$H$43:$H$342,MATCH($L951&amp;"|"&amp;$M951&amp;"|"&amp;$N951&amp;"|"&amp;$O951&amp;"|"&amp;$P951&amp;"|"&amp;$Q951&amp;"|"&amp;$K951,PARAMETRES!$J$43:$J$342,0))),""))</f>
        <v/>
      </c>
      <c r="S951" s="35">
        <f>IF(OR($G951="",$X951&lt;&gt;"VALIDE"),"",IFERROR(LOOKUP(2,1/(($B51:$B950=$B951)*($G51:$G950=$G951)*($X51:$X950="VALIDE")),$C51:$C950),""))</f>
        <v/>
      </c>
      <c r="T951" s="36">
        <f>IF(OR($C951="",$S951=""),"",ROUND(($C951-$S951+IF($C951&lt;$S951,1,0))*1440,0))</f>
        <v/>
      </c>
      <c r="U951" s="22">
        <f>IF(OR($H951="",$T951="",$T951&lt;=0),"",$H951*60/$T951)</f>
        <v/>
      </c>
      <c r="V951" s="37">
        <f>IF(OR($U951="",$R951="",$R951=0),"",$U951/$R951)</f>
        <v/>
      </c>
      <c r="W951" s="20">
        <f>IF($G951="","",IF($X951="CONTEXTE INCOMPLET","CONTEXTE INCOMPLET",IF($X951="DOUBLON",StatutDoublon,IF($S951="",StatutInitial,IF($R951="",StatutStandardManquant,IF($V951="","DONNEES INSUFFISANTES",IF($V951&gt;=SeuilConforme,StatutConforme,IF($V951&gt;=SeuilSurveiller,StatutSurveiller,StatutSousStandard))))))))</f>
        <v/>
      </c>
      <c r="X951" s="33">
        <f>IF($G951="","",IF(OR($D951="",$E951="",$F951=""),"CONTEXTE INCOMPLET",IF(COUNTIFS($D51:$D950,$D951,$E51:$E950,$E951,$F51:$F950,$F951,$G51:$G950,$G951)&gt;0,"DOUBLON","VALIDE")))</f>
        <v/>
      </c>
    </row>
    <row r="952" ht="15" customHeight="1">
      <c r="A952" s="12">
        <f>IF(OR($B952="",$G952=""),"",TEXT($B952,"YYYYMMDD")&amp;"-"&amp;SUBSTITUTE($E952," ","")&amp;"-"&amp;$F952&amp;"-"&amp;$G952)</f>
        <v/>
      </c>
      <c r="B952" s="15" t="n"/>
      <c r="C952" s="16" t="n"/>
      <c r="D952" s="10" t="n"/>
      <c r="E952" s="9" t="n"/>
      <c r="F952" s="9" t="n"/>
      <c r="G952" s="13" t="n"/>
      <c r="H952" s="21" t="n"/>
      <c r="I952" s="21" t="n"/>
      <c r="J952" s="17">
        <f>IF($G952="","",IFERROR(INDEX(NomsEmployes,MATCH($G952,MatriculesEmployes,0)),"MATRICULE INCONNU"))</f>
        <v/>
      </c>
      <c r="K952" s="33">
        <f>IF(OR($D952="",$F952=""),"",IFERROR(IF(INDEX(RUNS!$L$6:$S$1005,MATCH($D952,RUNS!$A$6:$A$1005,0),MATCH("ACTIVITÉ "&amp;$F952,RUNS!$L$5:$S$5,0))="","",INDEX(RUNS!$L$6:$S$1005,MATCH($D952,RUNS!$A$6:$A$1005,0),MATCH("ACTIVITÉ "&amp;$F952,RUNS!$L$5:$S$5,0))),""))</f>
        <v/>
      </c>
      <c r="L952" s="33">
        <f>IF($D952="","",IFERROR(IF(INDEX(RUNS!$E$6:$E$1005,MATCH($D952,RUNS!$A$6:$A$1005,0))="","",INDEX(RUNS!$E$6:$E$1005,MATCH($D952,RUNS!$A$6:$A$1005,0))),""))</f>
        <v/>
      </c>
      <c r="M952" s="33">
        <f>IF($D952="","",IFERROR(IF(INDEX(RUNS!$F$6:$F$1005,MATCH($D952,RUNS!$A$6:$A$1005,0))="","",INDEX(RUNS!$F$6:$F$1005,MATCH($D952,RUNS!$A$6:$A$1005,0))),""))</f>
        <v/>
      </c>
      <c r="N952" s="33">
        <f>IF($D952="","",IFERROR(IF(INDEX(RUNS!$G$6:$G$1005,MATCH($D952,RUNS!$A$6:$A$1005,0))="","",INDEX(RUNS!$G$6:$G$1005,MATCH($D952,RUNS!$A$6:$A$1005,0))),""))</f>
        <v/>
      </c>
      <c r="O952" s="33">
        <f>IF($D952="","",IFERROR(IF(INDEX(RUNS!$H$6:$H$1005,MATCH($D952,RUNS!$A$6:$A$1005,0))="","",INDEX(RUNS!$H$6:$H$1005,MATCH($D952,RUNS!$A$6:$A$1005,0))),""))</f>
        <v/>
      </c>
      <c r="P952" s="33">
        <f>IF($D952="","",IFERROR(IF(INDEX(RUNS!$J$6:$J$1005,MATCH($D952,RUNS!$A$6:$A$1005,0))="","",INDEX(RUNS!$J$6:$J$1005,MATCH($D952,RUNS!$A$6:$A$1005,0))),""))</f>
        <v/>
      </c>
      <c r="Q952" s="33">
        <f>IF($D952="","",IFERROR(IF(INDEX(RUNS!$K$6:$K$1005,MATCH($D952,RUNS!$A$6:$A$1005,0))="","",INDEX(RUNS!$K$6:$K$1005,MATCH($D952,RUNS!$A$6:$A$1005,0))),""))</f>
        <v/>
      </c>
      <c r="R952" s="34">
        <f>IF(OR($L952="",$K952=""),"",IFERROR(IF(INDEX(PARAMETRES!$H$43:$H$342,MATCH($L952&amp;"|"&amp;$M952&amp;"|"&amp;$N952&amp;"|"&amp;$O952&amp;"|"&amp;$P952&amp;"|"&amp;$Q952&amp;"|"&amp;$K952,PARAMETRES!$J$43:$J$342,0))="","",INDEX(PARAMETRES!$H$43:$H$342,MATCH($L952&amp;"|"&amp;$M952&amp;"|"&amp;$N952&amp;"|"&amp;$O952&amp;"|"&amp;$P952&amp;"|"&amp;$Q952&amp;"|"&amp;$K952,PARAMETRES!$J$43:$J$342,0))),""))</f>
        <v/>
      </c>
      <c r="S952" s="35">
        <f>IF(OR($G952="",$X952&lt;&gt;"VALIDE"),"",IFERROR(LOOKUP(2,1/(($B52:$B951=$B952)*($G52:$G951=$G952)*($X52:$X951="VALIDE")),$C52:$C951),""))</f>
        <v/>
      </c>
      <c r="T952" s="36">
        <f>IF(OR($C952="",$S952=""),"",ROUND(($C952-$S952+IF($C952&lt;$S952,1,0))*1440,0))</f>
        <v/>
      </c>
      <c r="U952" s="22">
        <f>IF(OR($H952="",$T952="",$T952&lt;=0),"",$H952*60/$T952)</f>
        <v/>
      </c>
      <c r="V952" s="37">
        <f>IF(OR($U952="",$R952="",$R952=0),"",$U952/$R952)</f>
        <v/>
      </c>
      <c r="W952" s="20">
        <f>IF($G952="","",IF($X952="CONTEXTE INCOMPLET","CONTEXTE INCOMPLET",IF($X952="DOUBLON",StatutDoublon,IF($S952="",StatutInitial,IF($R952="",StatutStandardManquant,IF($V952="","DONNEES INSUFFISANTES",IF($V952&gt;=SeuilConforme,StatutConforme,IF($V952&gt;=SeuilSurveiller,StatutSurveiller,StatutSousStandard))))))))</f>
        <v/>
      </c>
      <c r="X952" s="33">
        <f>IF($G952="","",IF(OR($D952="",$E952="",$F952=""),"CONTEXTE INCOMPLET",IF(COUNTIFS($D52:$D951,$D952,$E52:$E951,$E952,$F52:$F951,$F952,$G52:$G951,$G952)&gt;0,"DOUBLON","VALIDE")))</f>
        <v/>
      </c>
    </row>
    <row r="953" ht="15" customHeight="1">
      <c r="A953" s="12">
        <f>IF(OR($B953="",$G953=""),"",TEXT($B953,"YYYYMMDD")&amp;"-"&amp;SUBSTITUTE($E953," ","")&amp;"-"&amp;$F953&amp;"-"&amp;$G953)</f>
        <v/>
      </c>
      <c r="B953" s="15" t="n"/>
      <c r="C953" s="16" t="n"/>
      <c r="D953" s="10" t="n"/>
      <c r="E953" s="9" t="n"/>
      <c r="F953" s="9" t="n"/>
      <c r="G953" s="13" t="n"/>
      <c r="H953" s="21" t="n"/>
      <c r="I953" s="21" t="n"/>
      <c r="J953" s="17">
        <f>IF($G953="","",IFERROR(INDEX(NomsEmployes,MATCH($G953,MatriculesEmployes,0)),"MATRICULE INCONNU"))</f>
        <v/>
      </c>
      <c r="K953" s="33">
        <f>IF(OR($D953="",$F953=""),"",IFERROR(IF(INDEX(RUNS!$L$6:$S$1005,MATCH($D953,RUNS!$A$6:$A$1005,0),MATCH("ACTIVITÉ "&amp;$F953,RUNS!$L$5:$S$5,0))="","",INDEX(RUNS!$L$6:$S$1005,MATCH($D953,RUNS!$A$6:$A$1005,0),MATCH("ACTIVITÉ "&amp;$F953,RUNS!$L$5:$S$5,0))),""))</f>
        <v/>
      </c>
      <c r="L953" s="33">
        <f>IF($D953="","",IFERROR(IF(INDEX(RUNS!$E$6:$E$1005,MATCH($D953,RUNS!$A$6:$A$1005,0))="","",INDEX(RUNS!$E$6:$E$1005,MATCH($D953,RUNS!$A$6:$A$1005,0))),""))</f>
        <v/>
      </c>
      <c r="M953" s="33">
        <f>IF($D953="","",IFERROR(IF(INDEX(RUNS!$F$6:$F$1005,MATCH($D953,RUNS!$A$6:$A$1005,0))="","",INDEX(RUNS!$F$6:$F$1005,MATCH($D953,RUNS!$A$6:$A$1005,0))),""))</f>
        <v/>
      </c>
      <c r="N953" s="33">
        <f>IF($D953="","",IFERROR(IF(INDEX(RUNS!$G$6:$G$1005,MATCH($D953,RUNS!$A$6:$A$1005,0))="","",INDEX(RUNS!$G$6:$G$1005,MATCH($D953,RUNS!$A$6:$A$1005,0))),""))</f>
        <v/>
      </c>
      <c r="O953" s="33">
        <f>IF($D953="","",IFERROR(IF(INDEX(RUNS!$H$6:$H$1005,MATCH($D953,RUNS!$A$6:$A$1005,0))="","",INDEX(RUNS!$H$6:$H$1005,MATCH($D953,RUNS!$A$6:$A$1005,0))),""))</f>
        <v/>
      </c>
      <c r="P953" s="33">
        <f>IF($D953="","",IFERROR(IF(INDEX(RUNS!$J$6:$J$1005,MATCH($D953,RUNS!$A$6:$A$1005,0))="","",INDEX(RUNS!$J$6:$J$1005,MATCH($D953,RUNS!$A$6:$A$1005,0))),""))</f>
        <v/>
      </c>
      <c r="Q953" s="33">
        <f>IF($D953="","",IFERROR(IF(INDEX(RUNS!$K$6:$K$1005,MATCH($D953,RUNS!$A$6:$A$1005,0))="","",INDEX(RUNS!$K$6:$K$1005,MATCH($D953,RUNS!$A$6:$A$1005,0))),""))</f>
        <v/>
      </c>
      <c r="R953" s="34">
        <f>IF(OR($L953="",$K953=""),"",IFERROR(IF(INDEX(PARAMETRES!$H$43:$H$342,MATCH($L953&amp;"|"&amp;$M953&amp;"|"&amp;$N953&amp;"|"&amp;$O953&amp;"|"&amp;$P953&amp;"|"&amp;$Q953&amp;"|"&amp;$K953,PARAMETRES!$J$43:$J$342,0))="","",INDEX(PARAMETRES!$H$43:$H$342,MATCH($L953&amp;"|"&amp;$M953&amp;"|"&amp;$N953&amp;"|"&amp;$O953&amp;"|"&amp;$P953&amp;"|"&amp;$Q953&amp;"|"&amp;$K953,PARAMETRES!$J$43:$J$342,0))),""))</f>
        <v/>
      </c>
      <c r="S953" s="35">
        <f>IF(OR($G953="",$X953&lt;&gt;"VALIDE"),"",IFERROR(LOOKUP(2,1/(($B53:$B952=$B953)*($G53:$G952=$G953)*($X53:$X952="VALIDE")),$C53:$C952),""))</f>
        <v/>
      </c>
      <c r="T953" s="36">
        <f>IF(OR($C953="",$S953=""),"",ROUND(($C953-$S953+IF($C953&lt;$S953,1,0))*1440,0))</f>
        <v/>
      </c>
      <c r="U953" s="22">
        <f>IF(OR($H953="",$T953="",$T953&lt;=0),"",$H953*60/$T953)</f>
        <v/>
      </c>
      <c r="V953" s="37">
        <f>IF(OR($U953="",$R953="",$R953=0),"",$U953/$R953)</f>
        <v/>
      </c>
      <c r="W953" s="20">
        <f>IF($G953="","",IF($X953="CONTEXTE INCOMPLET","CONTEXTE INCOMPLET",IF($X953="DOUBLON",StatutDoublon,IF($S953="",StatutInitial,IF($R953="",StatutStandardManquant,IF($V953="","DONNEES INSUFFISANTES",IF($V953&gt;=SeuilConforme,StatutConforme,IF($V953&gt;=SeuilSurveiller,StatutSurveiller,StatutSousStandard))))))))</f>
        <v/>
      </c>
      <c r="X953" s="33">
        <f>IF($G953="","",IF(OR($D953="",$E953="",$F953=""),"CONTEXTE INCOMPLET",IF(COUNTIFS($D53:$D952,$D953,$E53:$E952,$E953,$F53:$F952,$F953,$G53:$G952,$G953)&gt;0,"DOUBLON","VALIDE")))</f>
        <v/>
      </c>
    </row>
    <row r="954" ht="15" customHeight="1">
      <c r="A954" s="12">
        <f>IF(OR($B954="",$G954=""),"",TEXT($B954,"YYYYMMDD")&amp;"-"&amp;SUBSTITUTE($E954," ","")&amp;"-"&amp;$F954&amp;"-"&amp;$G954)</f>
        <v/>
      </c>
      <c r="B954" s="15" t="n"/>
      <c r="C954" s="16" t="n"/>
      <c r="D954" s="10" t="n"/>
      <c r="E954" s="9" t="n"/>
      <c r="F954" s="9" t="n"/>
      <c r="G954" s="13" t="n"/>
      <c r="H954" s="21" t="n"/>
      <c r="I954" s="21" t="n"/>
      <c r="J954" s="17">
        <f>IF($G954="","",IFERROR(INDEX(NomsEmployes,MATCH($G954,MatriculesEmployes,0)),"MATRICULE INCONNU"))</f>
        <v/>
      </c>
      <c r="K954" s="33">
        <f>IF(OR($D954="",$F954=""),"",IFERROR(IF(INDEX(RUNS!$L$6:$S$1005,MATCH($D954,RUNS!$A$6:$A$1005,0),MATCH("ACTIVITÉ "&amp;$F954,RUNS!$L$5:$S$5,0))="","",INDEX(RUNS!$L$6:$S$1005,MATCH($D954,RUNS!$A$6:$A$1005,0),MATCH("ACTIVITÉ "&amp;$F954,RUNS!$L$5:$S$5,0))),""))</f>
        <v/>
      </c>
      <c r="L954" s="33">
        <f>IF($D954="","",IFERROR(IF(INDEX(RUNS!$E$6:$E$1005,MATCH($D954,RUNS!$A$6:$A$1005,0))="","",INDEX(RUNS!$E$6:$E$1005,MATCH($D954,RUNS!$A$6:$A$1005,0))),""))</f>
        <v/>
      </c>
      <c r="M954" s="33">
        <f>IF($D954="","",IFERROR(IF(INDEX(RUNS!$F$6:$F$1005,MATCH($D954,RUNS!$A$6:$A$1005,0))="","",INDEX(RUNS!$F$6:$F$1005,MATCH($D954,RUNS!$A$6:$A$1005,0))),""))</f>
        <v/>
      </c>
      <c r="N954" s="33">
        <f>IF($D954="","",IFERROR(IF(INDEX(RUNS!$G$6:$G$1005,MATCH($D954,RUNS!$A$6:$A$1005,0))="","",INDEX(RUNS!$G$6:$G$1005,MATCH($D954,RUNS!$A$6:$A$1005,0))),""))</f>
        <v/>
      </c>
      <c r="O954" s="33">
        <f>IF($D954="","",IFERROR(IF(INDEX(RUNS!$H$6:$H$1005,MATCH($D954,RUNS!$A$6:$A$1005,0))="","",INDEX(RUNS!$H$6:$H$1005,MATCH($D954,RUNS!$A$6:$A$1005,0))),""))</f>
        <v/>
      </c>
      <c r="P954" s="33">
        <f>IF($D954="","",IFERROR(IF(INDEX(RUNS!$J$6:$J$1005,MATCH($D954,RUNS!$A$6:$A$1005,0))="","",INDEX(RUNS!$J$6:$J$1005,MATCH($D954,RUNS!$A$6:$A$1005,0))),""))</f>
        <v/>
      </c>
      <c r="Q954" s="33">
        <f>IF($D954="","",IFERROR(IF(INDEX(RUNS!$K$6:$K$1005,MATCH($D954,RUNS!$A$6:$A$1005,0))="","",INDEX(RUNS!$K$6:$K$1005,MATCH($D954,RUNS!$A$6:$A$1005,0))),""))</f>
        <v/>
      </c>
      <c r="R954" s="34">
        <f>IF(OR($L954="",$K954=""),"",IFERROR(IF(INDEX(PARAMETRES!$H$43:$H$342,MATCH($L954&amp;"|"&amp;$M954&amp;"|"&amp;$N954&amp;"|"&amp;$O954&amp;"|"&amp;$P954&amp;"|"&amp;$Q954&amp;"|"&amp;$K954,PARAMETRES!$J$43:$J$342,0))="","",INDEX(PARAMETRES!$H$43:$H$342,MATCH($L954&amp;"|"&amp;$M954&amp;"|"&amp;$N954&amp;"|"&amp;$O954&amp;"|"&amp;$P954&amp;"|"&amp;$Q954&amp;"|"&amp;$K954,PARAMETRES!$J$43:$J$342,0))),""))</f>
        <v/>
      </c>
      <c r="S954" s="35">
        <f>IF(OR($G954="",$X954&lt;&gt;"VALIDE"),"",IFERROR(LOOKUP(2,1/(($B54:$B953=$B954)*($G54:$G953=$G954)*($X54:$X953="VALIDE")),$C54:$C953),""))</f>
        <v/>
      </c>
      <c r="T954" s="36">
        <f>IF(OR($C954="",$S954=""),"",ROUND(($C954-$S954+IF($C954&lt;$S954,1,0))*1440,0))</f>
        <v/>
      </c>
      <c r="U954" s="22">
        <f>IF(OR($H954="",$T954="",$T954&lt;=0),"",$H954*60/$T954)</f>
        <v/>
      </c>
      <c r="V954" s="37">
        <f>IF(OR($U954="",$R954="",$R954=0),"",$U954/$R954)</f>
        <v/>
      </c>
      <c r="W954" s="20">
        <f>IF($G954="","",IF($X954="CONTEXTE INCOMPLET","CONTEXTE INCOMPLET",IF($X954="DOUBLON",StatutDoublon,IF($S954="",StatutInitial,IF($R954="",StatutStandardManquant,IF($V954="","DONNEES INSUFFISANTES",IF($V954&gt;=SeuilConforme,StatutConforme,IF($V954&gt;=SeuilSurveiller,StatutSurveiller,StatutSousStandard))))))))</f>
        <v/>
      </c>
      <c r="X954" s="33">
        <f>IF($G954="","",IF(OR($D954="",$E954="",$F954=""),"CONTEXTE INCOMPLET",IF(COUNTIFS($D54:$D953,$D954,$E54:$E953,$E954,$F54:$F953,$F954,$G54:$G953,$G954)&gt;0,"DOUBLON","VALIDE")))</f>
        <v/>
      </c>
    </row>
    <row r="955" ht="15" customHeight="1">
      <c r="A955" s="12">
        <f>IF(OR($B955="",$G955=""),"",TEXT($B955,"YYYYMMDD")&amp;"-"&amp;SUBSTITUTE($E955," ","")&amp;"-"&amp;$F955&amp;"-"&amp;$G955)</f>
        <v/>
      </c>
      <c r="B955" s="15" t="n"/>
      <c r="C955" s="16" t="n"/>
      <c r="D955" s="10" t="n"/>
      <c r="E955" s="9" t="n"/>
      <c r="F955" s="9" t="n"/>
      <c r="G955" s="13" t="n"/>
      <c r="H955" s="21" t="n"/>
      <c r="I955" s="21" t="n"/>
      <c r="J955" s="17">
        <f>IF($G955="","",IFERROR(INDEX(NomsEmployes,MATCH($G955,MatriculesEmployes,0)),"MATRICULE INCONNU"))</f>
        <v/>
      </c>
      <c r="K955" s="33">
        <f>IF(OR($D955="",$F955=""),"",IFERROR(IF(INDEX(RUNS!$L$6:$S$1005,MATCH($D955,RUNS!$A$6:$A$1005,0),MATCH("ACTIVITÉ "&amp;$F955,RUNS!$L$5:$S$5,0))="","",INDEX(RUNS!$L$6:$S$1005,MATCH($D955,RUNS!$A$6:$A$1005,0),MATCH("ACTIVITÉ "&amp;$F955,RUNS!$L$5:$S$5,0))),""))</f>
        <v/>
      </c>
      <c r="L955" s="33">
        <f>IF($D955="","",IFERROR(IF(INDEX(RUNS!$E$6:$E$1005,MATCH($D955,RUNS!$A$6:$A$1005,0))="","",INDEX(RUNS!$E$6:$E$1005,MATCH($D955,RUNS!$A$6:$A$1005,0))),""))</f>
        <v/>
      </c>
      <c r="M955" s="33">
        <f>IF($D955="","",IFERROR(IF(INDEX(RUNS!$F$6:$F$1005,MATCH($D955,RUNS!$A$6:$A$1005,0))="","",INDEX(RUNS!$F$6:$F$1005,MATCH($D955,RUNS!$A$6:$A$1005,0))),""))</f>
        <v/>
      </c>
      <c r="N955" s="33">
        <f>IF($D955="","",IFERROR(IF(INDEX(RUNS!$G$6:$G$1005,MATCH($D955,RUNS!$A$6:$A$1005,0))="","",INDEX(RUNS!$G$6:$G$1005,MATCH($D955,RUNS!$A$6:$A$1005,0))),""))</f>
        <v/>
      </c>
      <c r="O955" s="33">
        <f>IF($D955="","",IFERROR(IF(INDEX(RUNS!$H$6:$H$1005,MATCH($D955,RUNS!$A$6:$A$1005,0))="","",INDEX(RUNS!$H$6:$H$1005,MATCH($D955,RUNS!$A$6:$A$1005,0))),""))</f>
        <v/>
      </c>
      <c r="P955" s="33">
        <f>IF($D955="","",IFERROR(IF(INDEX(RUNS!$J$6:$J$1005,MATCH($D955,RUNS!$A$6:$A$1005,0))="","",INDEX(RUNS!$J$6:$J$1005,MATCH($D955,RUNS!$A$6:$A$1005,0))),""))</f>
        <v/>
      </c>
      <c r="Q955" s="33">
        <f>IF($D955="","",IFERROR(IF(INDEX(RUNS!$K$6:$K$1005,MATCH($D955,RUNS!$A$6:$A$1005,0))="","",INDEX(RUNS!$K$6:$K$1005,MATCH($D955,RUNS!$A$6:$A$1005,0))),""))</f>
        <v/>
      </c>
      <c r="R955" s="34">
        <f>IF(OR($L955="",$K955=""),"",IFERROR(IF(INDEX(PARAMETRES!$H$43:$H$342,MATCH($L955&amp;"|"&amp;$M955&amp;"|"&amp;$N955&amp;"|"&amp;$O955&amp;"|"&amp;$P955&amp;"|"&amp;$Q955&amp;"|"&amp;$K955,PARAMETRES!$J$43:$J$342,0))="","",INDEX(PARAMETRES!$H$43:$H$342,MATCH($L955&amp;"|"&amp;$M955&amp;"|"&amp;$N955&amp;"|"&amp;$O955&amp;"|"&amp;$P955&amp;"|"&amp;$Q955&amp;"|"&amp;$K955,PARAMETRES!$J$43:$J$342,0))),""))</f>
        <v/>
      </c>
      <c r="S955" s="35">
        <f>IF(OR($G955="",$X955&lt;&gt;"VALIDE"),"",IFERROR(LOOKUP(2,1/(($B55:$B954=$B955)*($G55:$G954=$G955)*($X55:$X954="VALIDE")),$C55:$C954),""))</f>
        <v/>
      </c>
      <c r="T955" s="36">
        <f>IF(OR($C955="",$S955=""),"",ROUND(($C955-$S955+IF($C955&lt;$S955,1,0))*1440,0))</f>
        <v/>
      </c>
      <c r="U955" s="22">
        <f>IF(OR($H955="",$T955="",$T955&lt;=0),"",$H955*60/$T955)</f>
        <v/>
      </c>
      <c r="V955" s="37">
        <f>IF(OR($U955="",$R955="",$R955=0),"",$U955/$R955)</f>
        <v/>
      </c>
      <c r="W955" s="20">
        <f>IF($G955="","",IF($X955="CONTEXTE INCOMPLET","CONTEXTE INCOMPLET",IF($X955="DOUBLON",StatutDoublon,IF($S955="",StatutInitial,IF($R955="",StatutStandardManquant,IF($V955="","DONNEES INSUFFISANTES",IF($V955&gt;=SeuilConforme,StatutConforme,IF($V955&gt;=SeuilSurveiller,StatutSurveiller,StatutSousStandard))))))))</f>
        <v/>
      </c>
      <c r="X955" s="33">
        <f>IF($G955="","",IF(OR($D955="",$E955="",$F955=""),"CONTEXTE INCOMPLET",IF(COUNTIFS($D55:$D954,$D955,$E55:$E954,$E955,$F55:$F954,$F955,$G55:$G954,$G955)&gt;0,"DOUBLON","VALIDE")))</f>
        <v/>
      </c>
    </row>
    <row r="956" ht="15" customHeight="1">
      <c r="A956" s="12">
        <f>IF(OR($B956="",$G956=""),"",TEXT($B956,"YYYYMMDD")&amp;"-"&amp;SUBSTITUTE($E956," ","")&amp;"-"&amp;$F956&amp;"-"&amp;$G956)</f>
        <v/>
      </c>
      <c r="B956" s="15" t="n"/>
      <c r="C956" s="16" t="n"/>
      <c r="D956" s="10" t="n"/>
      <c r="E956" s="9" t="n"/>
      <c r="F956" s="9" t="n"/>
      <c r="G956" s="13" t="n"/>
      <c r="H956" s="21" t="n"/>
      <c r="I956" s="21" t="n"/>
      <c r="J956" s="17">
        <f>IF($G956="","",IFERROR(INDEX(NomsEmployes,MATCH($G956,MatriculesEmployes,0)),"MATRICULE INCONNU"))</f>
        <v/>
      </c>
      <c r="K956" s="33">
        <f>IF(OR($D956="",$F956=""),"",IFERROR(IF(INDEX(RUNS!$L$6:$S$1005,MATCH($D956,RUNS!$A$6:$A$1005,0),MATCH("ACTIVITÉ "&amp;$F956,RUNS!$L$5:$S$5,0))="","",INDEX(RUNS!$L$6:$S$1005,MATCH($D956,RUNS!$A$6:$A$1005,0),MATCH("ACTIVITÉ "&amp;$F956,RUNS!$L$5:$S$5,0))),""))</f>
        <v/>
      </c>
      <c r="L956" s="33">
        <f>IF($D956="","",IFERROR(IF(INDEX(RUNS!$E$6:$E$1005,MATCH($D956,RUNS!$A$6:$A$1005,0))="","",INDEX(RUNS!$E$6:$E$1005,MATCH($D956,RUNS!$A$6:$A$1005,0))),""))</f>
        <v/>
      </c>
      <c r="M956" s="33">
        <f>IF($D956="","",IFERROR(IF(INDEX(RUNS!$F$6:$F$1005,MATCH($D956,RUNS!$A$6:$A$1005,0))="","",INDEX(RUNS!$F$6:$F$1005,MATCH($D956,RUNS!$A$6:$A$1005,0))),""))</f>
        <v/>
      </c>
      <c r="N956" s="33">
        <f>IF($D956="","",IFERROR(IF(INDEX(RUNS!$G$6:$G$1005,MATCH($D956,RUNS!$A$6:$A$1005,0))="","",INDEX(RUNS!$G$6:$G$1005,MATCH($D956,RUNS!$A$6:$A$1005,0))),""))</f>
        <v/>
      </c>
      <c r="O956" s="33">
        <f>IF($D956="","",IFERROR(IF(INDEX(RUNS!$H$6:$H$1005,MATCH($D956,RUNS!$A$6:$A$1005,0))="","",INDEX(RUNS!$H$6:$H$1005,MATCH($D956,RUNS!$A$6:$A$1005,0))),""))</f>
        <v/>
      </c>
      <c r="P956" s="33">
        <f>IF($D956="","",IFERROR(IF(INDEX(RUNS!$J$6:$J$1005,MATCH($D956,RUNS!$A$6:$A$1005,0))="","",INDEX(RUNS!$J$6:$J$1005,MATCH($D956,RUNS!$A$6:$A$1005,0))),""))</f>
        <v/>
      </c>
      <c r="Q956" s="33">
        <f>IF($D956="","",IFERROR(IF(INDEX(RUNS!$K$6:$K$1005,MATCH($D956,RUNS!$A$6:$A$1005,0))="","",INDEX(RUNS!$K$6:$K$1005,MATCH($D956,RUNS!$A$6:$A$1005,0))),""))</f>
        <v/>
      </c>
      <c r="R956" s="34">
        <f>IF(OR($L956="",$K956=""),"",IFERROR(IF(INDEX(PARAMETRES!$H$43:$H$342,MATCH($L956&amp;"|"&amp;$M956&amp;"|"&amp;$N956&amp;"|"&amp;$O956&amp;"|"&amp;$P956&amp;"|"&amp;$Q956&amp;"|"&amp;$K956,PARAMETRES!$J$43:$J$342,0))="","",INDEX(PARAMETRES!$H$43:$H$342,MATCH($L956&amp;"|"&amp;$M956&amp;"|"&amp;$N956&amp;"|"&amp;$O956&amp;"|"&amp;$P956&amp;"|"&amp;$Q956&amp;"|"&amp;$K956,PARAMETRES!$J$43:$J$342,0))),""))</f>
        <v/>
      </c>
      <c r="S956" s="35">
        <f>IF(OR($G956="",$X956&lt;&gt;"VALIDE"),"",IFERROR(LOOKUP(2,1/(($B56:$B955=$B956)*($G56:$G955=$G956)*($X56:$X955="VALIDE")),$C56:$C955),""))</f>
        <v/>
      </c>
      <c r="T956" s="36">
        <f>IF(OR($C956="",$S956=""),"",ROUND(($C956-$S956+IF($C956&lt;$S956,1,0))*1440,0))</f>
        <v/>
      </c>
      <c r="U956" s="22">
        <f>IF(OR($H956="",$T956="",$T956&lt;=0),"",$H956*60/$T956)</f>
        <v/>
      </c>
      <c r="V956" s="37">
        <f>IF(OR($U956="",$R956="",$R956=0),"",$U956/$R956)</f>
        <v/>
      </c>
      <c r="W956" s="20">
        <f>IF($G956="","",IF($X956="CONTEXTE INCOMPLET","CONTEXTE INCOMPLET",IF($X956="DOUBLON",StatutDoublon,IF($S956="",StatutInitial,IF($R956="",StatutStandardManquant,IF($V956="","DONNEES INSUFFISANTES",IF($V956&gt;=SeuilConforme,StatutConforme,IF($V956&gt;=SeuilSurveiller,StatutSurveiller,StatutSousStandard))))))))</f>
        <v/>
      </c>
      <c r="X956" s="33">
        <f>IF($G956="","",IF(OR($D956="",$E956="",$F956=""),"CONTEXTE INCOMPLET",IF(COUNTIFS($D56:$D955,$D956,$E56:$E955,$E956,$F56:$F955,$F956,$G56:$G955,$G956)&gt;0,"DOUBLON","VALIDE")))</f>
        <v/>
      </c>
    </row>
    <row r="957" ht="15" customHeight="1">
      <c r="A957" s="12">
        <f>IF(OR($B957="",$G957=""),"",TEXT($B957,"YYYYMMDD")&amp;"-"&amp;SUBSTITUTE($E957," ","")&amp;"-"&amp;$F957&amp;"-"&amp;$G957)</f>
        <v/>
      </c>
      <c r="B957" s="15" t="n"/>
      <c r="C957" s="16" t="n"/>
      <c r="D957" s="10" t="n"/>
      <c r="E957" s="9" t="n"/>
      <c r="F957" s="9" t="n"/>
      <c r="G957" s="13" t="n"/>
      <c r="H957" s="21" t="n"/>
      <c r="I957" s="21" t="n"/>
      <c r="J957" s="17">
        <f>IF($G957="","",IFERROR(INDEX(NomsEmployes,MATCH($G957,MatriculesEmployes,0)),"MATRICULE INCONNU"))</f>
        <v/>
      </c>
      <c r="K957" s="33">
        <f>IF(OR($D957="",$F957=""),"",IFERROR(IF(INDEX(RUNS!$L$6:$S$1005,MATCH($D957,RUNS!$A$6:$A$1005,0),MATCH("ACTIVITÉ "&amp;$F957,RUNS!$L$5:$S$5,0))="","",INDEX(RUNS!$L$6:$S$1005,MATCH($D957,RUNS!$A$6:$A$1005,0),MATCH("ACTIVITÉ "&amp;$F957,RUNS!$L$5:$S$5,0))),""))</f>
        <v/>
      </c>
      <c r="L957" s="33">
        <f>IF($D957="","",IFERROR(IF(INDEX(RUNS!$E$6:$E$1005,MATCH($D957,RUNS!$A$6:$A$1005,0))="","",INDEX(RUNS!$E$6:$E$1005,MATCH($D957,RUNS!$A$6:$A$1005,0))),""))</f>
        <v/>
      </c>
      <c r="M957" s="33">
        <f>IF($D957="","",IFERROR(IF(INDEX(RUNS!$F$6:$F$1005,MATCH($D957,RUNS!$A$6:$A$1005,0))="","",INDEX(RUNS!$F$6:$F$1005,MATCH($D957,RUNS!$A$6:$A$1005,0))),""))</f>
        <v/>
      </c>
      <c r="N957" s="33">
        <f>IF($D957="","",IFERROR(IF(INDEX(RUNS!$G$6:$G$1005,MATCH($D957,RUNS!$A$6:$A$1005,0))="","",INDEX(RUNS!$G$6:$G$1005,MATCH($D957,RUNS!$A$6:$A$1005,0))),""))</f>
        <v/>
      </c>
      <c r="O957" s="33">
        <f>IF($D957="","",IFERROR(IF(INDEX(RUNS!$H$6:$H$1005,MATCH($D957,RUNS!$A$6:$A$1005,0))="","",INDEX(RUNS!$H$6:$H$1005,MATCH($D957,RUNS!$A$6:$A$1005,0))),""))</f>
        <v/>
      </c>
      <c r="P957" s="33">
        <f>IF($D957="","",IFERROR(IF(INDEX(RUNS!$J$6:$J$1005,MATCH($D957,RUNS!$A$6:$A$1005,0))="","",INDEX(RUNS!$J$6:$J$1005,MATCH($D957,RUNS!$A$6:$A$1005,0))),""))</f>
        <v/>
      </c>
      <c r="Q957" s="33">
        <f>IF($D957="","",IFERROR(IF(INDEX(RUNS!$K$6:$K$1005,MATCH($D957,RUNS!$A$6:$A$1005,0))="","",INDEX(RUNS!$K$6:$K$1005,MATCH($D957,RUNS!$A$6:$A$1005,0))),""))</f>
        <v/>
      </c>
      <c r="R957" s="34">
        <f>IF(OR($L957="",$K957=""),"",IFERROR(IF(INDEX(PARAMETRES!$H$43:$H$342,MATCH($L957&amp;"|"&amp;$M957&amp;"|"&amp;$N957&amp;"|"&amp;$O957&amp;"|"&amp;$P957&amp;"|"&amp;$Q957&amp;"|"&amp;$K957,PARAMETRES!$J$43:$J$342,0))="","",INDEX(PARAMETRES!$H$43:$H$342,MATCH($L957&amp;"|"&amp;$M957&amp;"|"&amp;$N957&amp;"|"&amp;$O957&amp;"|"&amp;$P957&amp;"|"&amp;$Q957&amp;"|"&amp;$K957,PARAMETRES!$J$43:$J$342,0))),""))</f>
        <v/>
      </c>
      <c r="S957" s="35">
        <f>IF(OR($G957="",$X957&lt;&gt;"VALIDE"),"",IFERROR(LOOKUP(2,1/(($B57:$B956=$B957)*($G57:$G956=$G957)*($X57:$X956="VALIDE")),$C57:$C956),""))</f>
        <v/>
      </c>
      <c r="T957" s="36">
        <f>IF(OR($C957="",$S957=""),"",ROUND(($C957-$S957+IF($C957&lt;$S957,1,0))*1440,0))</f>
        <v/>
      </c>
      <c r="U957" s="22">
        <f>IF(OR($H957="",$T957="",$T957&lt;=0),"",$H957*60/$T957)</f>
        <v/>
      </c>
      <c r="V957" s="37">
        <f>IF(OR($U957="",$R957="",$R957=0),"",$U957/$R957)</f>
        <v/>
      </c>
      <c r="W957" s="20">
        <f>IF($G957="","",IF($X957="CONTEXTE INCOMPLET","CONTEXTE INCOMPLET",IF($X957="DOUBLON",StatutDoublon,IF($S957="",StatutInitial,IF($R957="",StatutStandardManquant,IF($V957="","DONNEES INSUFFISANTES",IF($V957&gt;=SeuilConforme,StatutConforme,IF($V957&gt;=SeuilSurveiller,StatutSurveiller,StatutSousStandard))))))))</f>
        <v/>
      </c>
      <c r="X957" s="33">
        <f>IF($G957="","",IF(OR($D957="",$E957="",$F957=""),"CONTEXTE INCOMPLET",IF(COUNTIFS($D57:$D956,$D957,$E57:$E956,$E957,$F57:$F956,$F957,$G57:$G956,$G957)&gt;0,"DOUBLON","VALIDE")))</f>
        <v/>
      </c>
    </row>
    <row r="958" ht="15" customHeight="1">
      <c r="A958" s="12">
        <f>IF(OR($B958="",$G958=""),"",TEXT($B958,"YYYYMMDD")&amp;"-"&amp;SUBSTITUTE($E958," ","")&amp;"-"&amp;$F958&amp;"-"&amp;$G958)</f>
        <v/>
      </c>
      <c r="B958" s="15" t="n"/>
      <c r="C958" s="16" t="n"/>
      <c r="D958" s="10" t="n"/>
      <c r="E958" s="9" t="n"/>
      <c r="F958" s="9" t="n"/>
      <c r="G958" s="13" t="n"/>
      <c r="H958" s="21" t="n"/>
      <c r="I958" s="21" t="n"/>
      <c r="J958" s="17">
        <f>IF($G958="","",IFERROR(INDEX(NomsEmployes,MATCH($G958,MatriculesEmployes,0)),"MATRICULE INCONNU"))</f>
        <v/>
      </c>
      <c r="K958" s="33">
        <f>IF(OR($D958="",$F958=""),"",IFERROR(IF(INDEX(RUNS!$L$6:$S$1005,MATCH($D958,RUNS!$A$6:$A$1005,0),MATCH("ACTIVITÉ "&amp;$F958,RUNS!$L$5:$S$5,0))="","",INDEX(RUNS!$L$6:$S$1005,MATCH($D958,RUNS!$A$6:$A$1005,0),MATCH("ACTIVITÉ "&amp;$F958,RUNS!$L$5:$S$5,0))),""))</f>
        <v/>
      </c>
      <c r="L958" s="33">
        <f>IF($D958="","",IFERROR(IF(INDEX(RUNS!$E$6:$E$1005,MATCH($D958,RUNS!$A$6:$A$1005,0))="","",INDEX(RUNS!$E$6:$E$1005,MATCH($D958,RUNS!$A$6:$A$1005,0))),""))</f>
        <v/>
      </c>
      <c r="M958" s="33">
        <f>IF($D958="","",IFERROR(IF(INDEX(RUNS!$F$6:$F$1005,MATCH($D958,RUNS!$A$6:$A$1005,0))="","",INDEX(RUNS!$F$6:$F$1005,MATCH($D958,RUNS!$A$6:$A$1005,0))),""))</f>
        <v/>
      </c>
      <c r="N958" s="33">
        <f>IF($D958="","",IFERROR(IF(INDEX(RUNS!$G$6:$G$1005,MATCH($D958,RUNS!$A$6:$A$1005,0))="","",INDEX(RUNS!$G$6:$G$1005,MATCH($D958,RUNS!$A$6:$A$1005,0))),""))</f>
        <v/>
      </c>
      <c r="O958" s="33">
        <f>IF($D958="","",IFERROR(IF(INDEX(RUNS!$H$6:$H$1005,MATCH($D958,RUNS!$A$6:$A$1005,0))="","",INDEX(RUNS!$H$6:$H$1005,MATCH($D958,RUNS!$A$6:$A$1005,0))),""))</f>
        <v/>
      </c>
      <c r="P958" s="33">
        <f>IF($D958="","",IFERROR(IF(INDEX(RUNS!$J$6:$J$1005,MATCH($D958,RUNS!$A$6:$A$1005,0))="","",INDEX(RUNS!$J$6:$J$1005,MATCH($D958,RUNS!$A$6:$A$1005,0))),""))</f>
        <v/>
      </c>
      <c r="Q958" s="33">
        <f>IF($D958="","",IFERROR(IF(INDEX(RUNS!$K$6:$K$1005,MATCH($D958,RUNS!$A$6:$A$1005,0))="","",INDEX(RUNS!$K$6:$K$1005,MATCH($D958,RUNS!$A$6:$A$1005,0))),""))</f>
        <v/>
      </c>
      <c r="R958" s="34">
        <f>IF(OR($L958="",$K958=""),"",IFERROR(IF(INDEX(PARAMETRES!$H$43:$H$342,MATCH($L958&amp;"|"&amp;$M958&amp;"|"&amp;$N958&amp;"|"&amp;$O958&amp;"|"&amp;$P958&amp;"|"&amp;$Q958&amp;"|"&amp;$K958,PARAMETRES!$J$43:$J$342,0))="","",INDEX(PARAMETRES!$H$43:$H$342,MATCH($L958&amp;"|"&amp;$M958&amp;"|"&amp;$N958&amp;"|"&amp;$O958&amp;"|"&amp;$P958&amp;"|"&amp;$Q958&amp;"|"&amp;$K958,PARAMETRES!$J$43:$J$342,0))),""))</f>
        <v/>
      </c>
      <c r="S958" s="35">
        <f>IF(OR($G958="",$X958&lt;&gt;"VALIDE"),"",IFERROR(LOOKUP(2,1/(($B58:$B957=$B958)*($G58:$G957=$G958)*($X58:$X957="VALIDE")),$C58:$C957),""))</f>
        <v/>
      </c>
      <c r="T958" s="36">
        <f>IF(OR($C958="",$S958=""),"",ROUND(($C958-$S958+IF($C958&lt;$S958,1,0))*1440,0))</f>
        <v/>
      </c>
      <c r="U958" s="22">
        <f>IF(OR($H958="",$T958="",$T958&lt;=0),"",$H958*60/$T958)</f>
        <v/>
      </c>
      <c r="V958" s="37">
        <f>IF(OR($U958="",$R958="",$R958=0),"",$U958/$R958)</f>
        <v/>
      </c>
      <c r="W958" s="20">
        <f>IF($G958="","",IF($X958="CONTEXTE INCOMPLET","CONTEXTE INCOMPLET",IF($X958="DOUBLON",StatutDoublon,IF($S958="",StatutInitial,IF($R958="",StatutStandardManquant,IF($V958="","DONNEES INSUFFISANTES",IF($V958&gt;=SeuilConforme,StatutConforme,IF($V958&gt;=SeuilSurveiller,StatutSurveiller,StatutSousStandard))))))))</f>
        <v/>
      </c>
      <c r="X958" s="33">
        <f>IF($G958="","",IF(OR($D958="",$E958="",$F958=""),"CONTEXTE INCOMPLET",IF(COUNTIFS($D58:$D957,$D958,$E58:$E957,$E958,$F58:$F957,$F958,$G58:$G957,$G958)&gt;0,"DOUBLON","VALIDE")))</f>
        <v/>
      </c>
    </row>
    <row r="959" ht="15" customHeight="1">
      <c r="A959" s="12">
        <f>IF(OR($B959="",$G959=""),"",TEXT($B959,"YYYYMMDD")&amp;"-"&amp;SUBSTITUTE($E959," ","")&amp;"-"&amp;$F959&amp;"-"&amp;$G959)</f>
        <v/>
      </c>
      <c r="B959" s="15" t="n"/>
      <c r="C959" s="16" t="n"/>
      <c r="D959" s="10" t="n"/>
      <c r="E959" s="9" t="n"/>
      <c r="F959" s="9" t="n"/>
      <c r="G959" s="13" t="n"/>
      <c r="H959" s="21" t="n"/>
      <c r="I959" s="21" t="n"/>
      <c r="J959" s="17">
        <f>IF($G959="","",IFERROR(INDEX(NomsEmployes,MATCH($G959,MatriculesEmployes,0)),"MATRICULE INCONNU"))</f>
        <v/>
      </c>
      <c r="K959" s="33">
        <f>IF(OR($D959="",$F959=""),"",IFERROR(IF(INDEX(RUNS!$L$6:$S$1005,MATCH($D959,RUNS!$A$6:$A$1005,0),MATCH("ACTIVITÉ "&amp;$F959,RUNS!$L$5:$S$5,0))="","",INDEX(RUNS!$L$6:$S$1005,MATCH($D959,RUNS!$A$6:$A$1005,0),MATCH("ACTIVITÉ "&amp;$F959,RUNS!$L$5:$S$5,0))),""))</f>
        <v/>
      </c>
      <c r="L959" s="33">
        <f>IF($D959="","",IFERROR(IF(INDEX(RUNS!$E$6:$E$1005,MATCH($D959,RUNS!$A$6:$A$1005,0))="","",INDEX(RUNS!$E$6:$E$1005,MATCH($D959,RUNS!$A$6:$A$1005,0))),""))</f>
        <v/>
      </c>
      <c r="M959" s="33">
        <f>IF($D959="","",IFERROR(IF(INDEX(RUNS!$F$6:$F$1005,MATCH($D959,RUNS!$A$6:$A$1005,0))="","",INDEX(RUNS!$F$6:$F$1005,MATCH($D959,RUNS!$A$6:$A$1005,0))),""))</f>
        <v/>
      </c>
      <c r="N959" s="33">
        <f>IF($D959="","",IFERROR(IF(INDEX(RUNS!$G$6:$G$1005,MATCH($D959,RUNS!$A$6:$A$1005,0))="","",INDEX(RUNS!$G$6:$G$1005,MATCH($D959,RUNS!$A$6:$A$1005,0))),""))</f>
        <v/>
      </c>
      <c r="O959" s="33">
        <f>IF($D959="","",IFERROR(IF(INDEX(RUNS!$H$6:$H$1005,MATCH($D959,RUNS!$A$6:$A$1005,0))="","",INDEX(RUNS!$H$6:$H$1005,MATCH($D959,RUNS!$A$6:$A$1005,0))),""))</f>
        <v/>
      </c>
      <c r="P959" s="33">
        <f>IF($D959="","",IFERROR(IF(INDEX(RUNS!$J$6:$J$1005,MATCH($D959,RUNS!$A$6:$A$1005,0))="","",INDEX(RUNS!$J$6:$J$1005,MATCH($D959,RUNS!$A$6:$A$1005,0))),""))</f>
        <v/>
      </c>
      <c r="Q959" s="33">
        <f>IF($D959="","",IFERROR(IF(INDEX(RUNS!$K$6:$K$1005,MATCH($D959,RUNS!$A$6:$A$1005,0))="","",INDEX(RUNS!$K$6:$K$1005,MATCH($D959,RUNS!$A$6:$A$1005,0))),""))</f>
        <v/>
      </c>
      <c r="R959" s="34">
        <f>IF(OR($L959="",$K959=""),"",IFERROR(IF(INDEX(PARAMETRES!$H$43:$H$342,MATCH($L959&amp;"|"&amp;$M959&amp;"|"&amp;$N959&amp;"|"&amp;$O959&amp;"|"&amp;$P959&amp;"|"&amp;$Q959&amp;"|"&amp;$K959,PARAMETRES!$J$43:$J$342,0))="","",INDEX(PARAMETRES!$H$43:$H$342,MATCH($L959&amp;"|"&amp;$M959&amp;"|"&amp;$N959&amp;"|"&amp;$O959&amp;"|"&amp;$P959&amp;"|"&amp;$Q959&amp;"|"&amp;$K959,PARAMETRES!$J$43:$J$342,0))),""))</f>
        <v/>
      </c>
      <c r="S959" s="35">
        <f>IF(OR($G959="",$X959&lt;&gt;"VALIDE"),"",IFERROR(LOOKUP(2,1/(($B59:$B958=$B959)*($G59:$G958=$G959)*($X59:$X958="VALIDE")),$C59:$C958),""))</f>
        <v/>
      </c>
      <c r="T959" s="36">
        <f>IF(OR($C959="",$S959=""),"",ROUND(($C959-$S959+IF($C959&lt;$S959,1,0))*1440,0))</f>
        <v/>
      </c>
      <c r="U959" s="22">
        <f>IF(OR($H959="",$T959="",$T959&lt;=0),"",$H959*60/$T959)</f>
        <v/>
      </c>
      <c r="V959" s="37">
        <f>IF(OR($U959="",$R959="",$R959=0),"",$U959/$R959)</f>
        <v/>
      </c>
      <c r="W959" s="20">
        <f>IF($G959="","",IF($X959="CONTEXTE INCOMPLET","CONTEXTE INCOMPLET",IF($X959="DOUBLON",StatutDoublon,IF($S959="",StatutInitial,IF($R959="",StatutStandardManquant,IF($V959="","DONNEES INSUFFISANTES",IF($V959&gt;=SeuilConforme,StatutConforme,IF($V959&gt;=SeuilSurveiller,StatutSurveiller,StatutSousStandard))))))))</f>
        <v/>
      </c>
      <c r="X959" s="33">
        <f>IF($G959="","",IF(OR($D959="",$E959="",$F959=""),"CONTEXTE INCOMPLET",IF(COUNTIFS($D59:$D958,$D959,$E59:$E958,$E959,$F59:$F958,$F959,$G59:$G958,$G959)&gt;0,"DOUBLON","VALIDE")))</f>
        <v/>
      </c>
    </row>
    <row r="960" ht="15" customHeight="1">
      <c r="A960" s="12">
        <f>IF(OR($B960="",$G960=""),"",TEXT($B960,"YYYYMMDD")&amp;"-"&amp;SUBSTITUTE($E960," ","")&amp;"-"&amp;$F960&amp;"-"&amp;$G960)</f>
        <v/>
      </c>
      <c r="B960" s="15" t="n"/>
      <c r="C960" s="16" t="n"/>
      <c r="D960" s="10" t="n"/>
      <c r="E960" s="9" t="n"/>
      <c r="F960" s="9" t="n"/>
      <c r="G960" s="13" t="n"/>
      <c r="H960" s="21" t="n"/>
      <c r="I960" s="21" t="n"/>
      <c r="J960" s="17">
        <f>IF($G960="","",IFERROR(INDEX(NomsEmployes,MATCH($G960,MatriculesEmployes,0)),"MATRICULE INCONNU"))</f>
        <v/>
      </c>
      <c r="K960" s="33">
        <f>IF(OR($D960="",$F960=""),"",IFERROR(IF(INDEX(RUNS!$L$6:$S$1005,MATCH($D960,RUNS!$A$6:$A$1005,0),MATCH("ACTIVITÉ "&amp;$F960,RUNS!$L$5:$S$5,0))="","",INDEX(RUNS!$L$6:$S$1005,MATCH($D960,RUNS!$A$6:$A$1005,0),MATCH("ACTIVITÉ "&amp;$F960,RUNS!$L$5:$S$5,0))),""))</f>
        <v/>
      </c>
      <c r="L960" s="33">
        <f>IF($D960="","",IFERROR(IF(INDEX(RUNS!$E$6:$E$1005,MATCH($D960,RUNS!$A$6:$A$1005,0))="","",INDEX(RUNS!$E$6:$E$1005,MATCH($D960,RUNS!$A$6:$A$1005,0))),""))</f>
        <v/>
      </c>
      <c r="M960" s="33">
        <f>IF($D960="","",IFERROR(IF(INDEX(RUNS!$F$6:$F$1005,MATCH($D960,RUNS!$A$6:$A$1005,0))="","",INDEX(RUNS!$F$6:$F$1005,MATCH($D960,RUNS!$A$6:$A$1005,0))),""))</f>
        <v/>
      </c>
      <c r="N960" s="33">
        <f>IF($D960="","",IFERROR(IF(INDEX(RUNS!$G$6:$G$1005,MATCH($D960,RUNS!$A$6:$A$1005,0))="","",INDEX(RUNS!$G$6:$G$1005,MATCH($D960,RUNS!$A$6:$A$1005,0))),""))</f>
        <v/>
      </c>
      <c r="O960" s="33">
        <f>IF($D960="","",IFERROR(IF(INDEX(RUNS!$H$6:$H$1005,MATCH($D960,RUNS!$A$6:$A$1005,0))="","",INDEX(RUNS!$H$6:$H$1005,MATCH($D960,RUNS!$A$6:$A$1005,0))),""))</f>
        <v/>
      </c>
      <c r="P960" s="33">
        <f>IF($D960="","",IFERROR(IF(INDEX(RUNS!$J$6:$J$1005,MATCH($D960,RUNS!$A$6:$A$1005,0))="","",INDEX(RUNS!$J$6:$J$1005,MATCH($D960,RUNS!$A$6:$A$1005,0))),""))</f>
        <v/>
      </c>
      <c r="Q960" s="33">
        <f>IF($D960="","",IFERROR(IF(INDEX(RUNS!$K$6:$K$1005,MATCH($D960,RUNS!$A$6:$A$1005,0))="","",INDEX(RUNS!$K$6:$K$1005,MATCH($D960,RUNS!$A$6:$A$1005,0))),""))</f>
        <v/>
      </c>
      <c r="R960" s="34">
        <f>IF(OR($L960="",$K960=""),"",IFERROR(IF(INDEX(PARAMETRES!$H$43:$H$342,MATCH($L960&amp;"|"&amp;$M960&amp;"|"&amp;$N960&amp;"|"&amp;$O960&amp;"|"&amp;$P960&amp;"|"&amp;$Q960&amp;"|"&amp;$K960,PARAMETRES!$J$43:$J$342,0))="","",INDEX(PARAMETRES!$H$43:$H$342,MATCH($L960&amp;"|"&amp;$M960&amp;"|"&amp;$N960&amp;"|"&amp;$O960&amp;"|"&amp;$P960&amp;"|"&amp;$Q960&amp;"|"&amp;$K960,PARAMETRES!$J$43:$J$342,0))),""))</f>
        <v/>
      </c>
      <c r="S960" s="35">
        <f>IF(OR($G960="",$X960&lt;&gt;"VALIDE"),"",IFERROR(LOOKUP(2,1/(($B60:$B959=$B960)*($G60:$G959=$G960)*($X60:$X959="VALIDE")),$C60:$C959),""))</f>
        <v/>
      </c>
      <c r="T960" s="36">
        <f>IF(OR($C960="",$S960=""),"",ROUND(($C960-$S960+IF($C960&lt;$S960,1,0))*1440,0))</f>
        <v/>
      </c>
      <c r="U960" s="22">
        <f>IF(OR($H960="",$T960="",$T960&lt;=0),"",$H960*60/$T960)</f>
        <v/>
      </c>
      <c r="V960" s="37">
        <f>IF(OR($U960="",$R960="",$R960=0),"",$U960/$R960)</f>
        <v/>
      </c>
      <c r="W960" s="20">
        <f>IF($G960="","",IF($X960="CONTEXTE INCOMPLET","CONTEXTE INCOMPLET",IF($X960="DOUBLON",StatutDoublon,IF($S960="",StatutInitial,IF($R960="",StatutStandardManquant,IF($V960="","DONNEES INSUFFISANTES",IF($V960&gt;=SeuilConforme,StatutConforme,IF($V960&gt;=SeuilSurveiller,StatutSurveiller,StatutSousStandard))))))))</f>
        <v/>
      </c>
      <c r="X960" s="33">
        <f>IF($G960="","",IF(OR($D960="",$E960="",$F960=""),"CONTEXTE INCOMPLET",IF(COUNTIFS($D60:$D959,$D960,$E60:$E959,$E960,$F60:$F959,$F960,$G60:$G959,$G960)&gt;0,"DOUBLON","VALIDE")))</f>
        <v/>
      </c>
    </row>
    <row r="961" ht="15" customHeight="1">
      <c r="A961" s="12">
        <f>IF(OR($B961="",$G961=""),"",TEXT($B961,"YYYYMMDD")&amp;"-"&amp;SUBSTITUTE($E961," ","")&amp;"-"&amp;$F961&amp;"-"&amp;$G961)</f>
        <v/>
      </c>
      <c r="B961" s="15" t="n"/>
      <c r="C961" s="16" t="n"/>
      <c r="D961" s="10" t="n"/>
      <c r="E961" s="9" t="n"/>
      <c r="F961" s="9" t="n"/>
      <c r="G961" s="13" t="n"/>
      <c r="H961" s="21" t="n"/>
      <c r="I961" s="21" t="n"/>
      <c r="J961" s="17">
        <f>IF($G961="","",IFERROR(INDEX(NomsEmployes,MATCH($G961,MatriculesEmployes,0)),"MATRICULE INCONNU"))</f>
        <v/>
      </c>
      <c r="K961" s="33">
        <f>IF(OR($D961="",$F961=""),"",IFERROR(IF(INDEX(RUNS!$L$6:$S$1005,MATCH($D961,RUNS!$A$6:$A$1005,0),MATCH("ACTIVITÉ "&amp;$F961,RUNS!$L$5:$S$5,0))="","",INDEX(RUNS!$L$6:$S$1005,MATCH($D961,RUNS!$A$6:$A$1005,0),MATCH("ACTIVITÉ "&amp;$F961,RUNS!$L$5:$S$5,0))),""))</f>
        <v/>
      </c>
      <c r="L961" s="33">
        <f>IF($D961="","",IFERROR(IF(INDEX(RUNS!$E$6:$E$1005,MATCH($D961,RUNS!$A$6:$A$1005,0))="","",INDEX(RUNS!$E$6:$E$1005,MATCH($D961,RUNS!$A$6:$A$1005,0))),""))</f>
        <v/>
      </c>
      <c r="M961" s="33">
        <f>IF($D961="","",IFERROR(IF(INDEX(RUNS!$F$6:$F$1005,MATCH($D961,RUNS!$A$6:$A$1005,0))="","",INDEX(RUNS!$F$6:$F$1005,MATCH($D961,RUNS!$A$6:$A$1005,0))),""))</f>
        <v/>
      </c>
      <c r="N961" s="33">
        <f>IF($D961="","",IFERROR(IF(INDEX(RUNS!$G$6:$G$1005,MATCH($D961,RUNS!$A$6:$A$1005,0))="","",INDEX(RUNS!$G$6:$G$1005,MATCH($D961,RUNS!$A$6:$A$1005,0))),""))</f>
        <v/>
      </c>
      <c r="O961" s="33">
        <f>IF($D961="","",IFERROR(IF(INDEX(RUNS!$H$6:$H$1005,MATCH($D961,RUNS!$A$6:$A$1005,0))="","",INDEX(RUNS!$H$6:$H$1005,MATCH($D961,RUNS!$A$6:$A$1005,0))),""))</f>
        <v/>
      </c>
      <c r="P961" s="33">
        <f>IF($D961="","",IFERROR(IF(INDEX(RUNS!$J$6:$J$1005,MATCH($D961,RUNS!$A$6:$A$1005,0))="","",INDEX(RUNS!$J$6:$J$1005,MATCH($D961,RUNS!$A$6:$A$1005,0))),""))</f>
        <v/>
      </c>
      <c r="Q961" s="33">
        <f>IF($D961="","",IFERROR(IF(INDEX(RUNS!$K$6:$K$1005,MATCH($D961,RUNS!$A$6:$A$1005,0))="","",INDEX(RUNS!$K$6:$K$1005,MATCH($D961,RUNS!$A$6:$A$1005,0))),""))</f>
        <v/>
      </c>
      <c r="R961" s="34">
        <f>IF(OR($L961="",$K961=""),"",IFERROR(IF(INDEX(PARAMETRES!$H$43:$H$342,MATCH($L961&amp;"|"&amp;$M961&amp;"|"&amp;$N961&amp;"|"&amp;$O961&amp;"|"&amp;$P961&amp;"|"&amp;$Q961&amp;"|"&amp;$K961,PARAMETRES!$J$43:$J$342,0))="","",INDEX(PARAMETRES!$H$43:$H$342,MATCH($L961&amp;"|"&amp;$M961&amp;"|"&amp;$N961&amp;"|"&amp;$O961&amp;"|"&amp;$P961&amp;"|"&amp;$Q961&amp;"|"&amp;$K961,PARAMETRES!$J$43:$J$342,0))),""))</f>
        <v/>
      </c>
      <c r="S961" s="35">
        <f>IF(OR($G961="",$X961&lt;&gt;"VALIDE"),"",IFERROR(LOOKUP(2,1/(($B61:$B960=$B961)*($G61:$G960=$G961)*($X61:$X960="VALIDE")),$C61:$C960),""))</f>
        <v/>
      </c>
      <c r="T961" s="36">
        <f>IF(OR($C961="",$S961=""),"",ROUND(($C961-$S961+IF($C961&lt;$S961,1,0))*1440,0))</f>
        <v/>
      </c>
      <c r="U961" s="22">
        <f>IF(OR($H961="",$T961="",$T961&lt;=0),"",$H961*60/$T961)</f>
        <v/>
      </c>
      <c r="V961" s="37">
        <f>IF(OR($U961="",$R961="",$R961=0),"",$U961/$R961)</f>
        <v/>
      </c>
      <c r="W961" s="20">
        <f>IF($G961="","",IF($X961="CONTEXTE INCOMPLET","CONTEXTE INCOMPLET",IF($X961="DOUBLON",StatutDoublon,IF($S961="",StatutInitial,IF($R961="",StatutStandardManquant,IF($V961="","DONNEES INSUFFISANTES",IF($V961&gt;=SeuilConforme,StatutConforme,IF($V961&gt;=SeuilSurveiller,StatutSurveiller,StatutSousStandard))))))))</f>
        <v/>
      </c>
      <c r="X961" s="33">
        <f>IF($G961="","",IF(OR($D961="",$E961="",$F961=""),"CONTEXTE INCOMPLET",IF(COUNTIFS($D61:$D960,$D961,$E61:$E960,$E961,$F61:$F960,$F961,$G61:$G960,$G961)&gt;0,"DOUBLON","VALIDE")))</f>
        <v/>
      </c>
    </row>
    <row r="962" ht="15" customHeight="1">
      <c r="A962" s="12">
        <f>IF(OR($B962="",$G962=""),"",TEXT($B962,"YYYYMMDD")&amp;"-"&amp;SUBSTITUTE($E962," ","")&amp;"-"&amp;$F962&amp;"-"&amp;$G962)</f>
        <v/>
      </c>
      <c r="B962" s="15" t="n"/>
      <c r="C962" s="16" t="n"/>
      <c r="D962" s="10" t="n"/>
      <c r="E962" s="9" t="n"/>
      <c r="F962" s="9" t="n"/>
      <c r="G962" s="13" t="n"/>
      <c r="H962" s="21" t="n"/>
      <c r="I962" s="21" t="n"/>
      <c r="J962" s="17">
        <f>IF($G962="","",IFERROR(INDEX(NomsEmployes,MATCH($G962,MatriculesEmployes,0)),"MATRICULE INCONNU"))</f>
        <v/>
      </c>
      <c r="K962" s="33">
        <f>IF(OR($D962="",$F962=""),"",IFERROR(IF(INDEX(RUNS!$L$6:$S$1005,MATCH($D962,RUNS!$A$6:$A$1005,0),MATCH("ACTIVITÉ "&amp;$F962,RUNS!$L$5:$S$5,0))="","",INDEX(RUNS!$L$6:$S$1005,MATCH($D962,RUNS!$A$6:$A$1005,0),MATCH("ACTIVITÉ "&amp;$F962,RUNS!$L$5:$S$5,0))),""))</f>
        <v/>
      </c>
      <c r="L962" s="33">
        <f>IF($D962="","",IFERROR(IF(INDEX(RUNS!$E$6:$E$1005,MATCH($D962,RUNS!$A$6:$A$1005,0))="","",INDEX(RUNS!$E$6:$E$1005,MATCH($D962,RUNS!$A$6:$A$1005,0))),""))</f>
        <v/>
      </c>
      <c r="M962" s="33">
        <f>IF($D962="","",IFERROR(IF(INDEX(RUNS!$F$6:$F$1005,MATCH($D962,RUNS!$A$6:$A$1005,0))="","",INDEX(RUNS!$F$6:$F$1005,MATCH($D962,RUNS!$A$6:$A$1005,0))),""))</f>
        <v/>
      </c>
      <c r="N962" s="33">
        <f>IF($D962="","",IFERROR(IF(INDEX(RUNS!$G$6:$G$1005,MATCH($D962,RUNS!$A$6:$A$1005,0))="","",INDEX(RUNS!$G$6:$G$1005,MATCH($D962,RUNS!$A$6:$A$1005,0))),""))</f>
        <v/>
      </c>
      <c r="O962" s="33">
        <f>IF($D962="","",IFERROR(IF(INDEX(RUNS!$H$6:$H$1005,MATCH($D962,RUNS!$A$6:$A$1005,0))="","",INDEX(RUNS!$H$6:$H$1005,MATCH($D962,RUNS!$A$6:$A$1005,0))),""))</f>
        <v/>
      </c>
      <c r="P962" s="33">
        <f>IF($D962="","",IFERROR(IF(INDEX(RUNS!$J$6:$J$1005,MATCH($D962,RUNS!$A$6:$A$1005,0))="","",INDEX(RUNS!$J$6:$J$1005,MATCH($D962,RUNS!$A$6:$A$1005,0))),""))</f>
        <v/>
      </c>
      <c r="Q962" s="33">
        <f>IF($D962="","",IFERROR(IF(INDEX(RUNS!$K$6:$K$1005,MATCH($D962,RUNS!$A$6:$A$1005,0))="","",INDEX(RUNS!$K$6:$K$1005,MATCH($D962,RUNS!$A$6:$A$1005,0))),""))</f>
        <v/>
      </c>
      <c r="R962" s="34">
        <f>IF(OR($L962="",$K962=""),"",IFERROR(IF(INDEX(PARAMETRES!$H$43:$H$342,MATCH($L962&amp;"|"&amp;$M962&amp;"|"&amp;$N962&amp;"|"&amp;$O962&amp;"|"&amp;$P962&amp;"|"&amp;$Q962&amp;"|"&amp;$K962,PARAMETRES!$J$43:$J$342,0))="","",INDEX(PARAMETRES!$H$43:$H$342,MATCH($L962&amp;"|"&amp;$M962&amp;"|"&amp;$N962&amp;"|"&amp;$O962&amp;"|"&amp;$P962&amp;"|"&amp;$Q962&amp;"|"&amp;$K962,PARAMETRES!$J$43:$J$342,0))),""))</f>
        <v/>
      </c>
      <c r="S962" s="35">
        <f>IF(OR($G962="",$X962&lt;&gt;"VALIDE"),"",IFERROR(LOOKUP(2,1/(($B62:$B961=$B962)*($G62:$G961=$G962)*($X62:$X961="VALIDE")),$C62:$C961),""))</f>
        <v/>
      </c>
      <c r="T962" s="36">
        <f>IF(OR($C962="",$S962=""),"",ROUND(($C962-$S962+IF($C962&lt;$S962,1,0))*1440,0))</f>
        <v/>
      </c>
      <c r="U962" s="22">
        <f>IF(OR($H962="",$T962="",$T962&lt;=0),"",$H962*60/$T962)</f>
        <v/>
      </c>
      <c r="V962" s="37">
        <f>IF(OR($U962="",$R962="",$R962=0),"",$U962/$R962)</f>
        <v/>
      </c>
      <c r="W962" s="20">
        <f>IF($G962="","",IF($X962="CONTEXTE INCOMPLET","CONTEXTE INCOMPLET",IF($X962="DOUBLON",StatutDoublon,IF($S962="",StatutInitial,IF($R962="",StatutStandardManquant,IF($V962="","DONNEES INSUFFISANTES",IF($V962&gt;=SeuilConforme,StatutConforme,IF($V962&gt;=SeuilSurveiller,StatutSurveiller,StatutSousStandard))))))))</f>
        <v/>
      </c>
      <c r="X962" s="33">
        <f>IF($G962="","",IF(OR($D962="",$E962="",$F962=""),"CONTEXTE INCOMPLET",IF(COUNTIFS($D62:$D961,$D962,$E62:$E961,$E962,$F62:$F961,$F962,$G62:$G961,$G962)&gt;0,"DOUBLON","VALIDE")))</f>
        <v/>
      </c>
    </row>
    <row r="963" ht="15" customHeight="1">
      <c r="A963" s="12">
        <f>IF(OR($B963="",$G963=""),"",TEXT($B963,"YYYYMMDD")&amp;"-"&amp;SUBSTITUTE($E963," ","")&amp;"-"&amp;$F963&amp;"-"&amp;$G963)</f>
        <v/>
      </c>
      <c r="B963" s="15" t="n"/>
      <c r="C963" s="16" t="n"/>
      <c r="D963" s="10" t="n"/>
      <c r="E963" s="9" t="n"/>
      <c r="F963" s="9" t="n"/>
      <c r="G963" s="13" t="n"/>
      <c r="H963" s="21" t="n"/>
      <c r="I963" s="21" t="n"/>
      <c r="J963" s="17">
        <f>IF($G963="","",IFERROR(INDEX(NomsEmployes,MATCH($G963,MatriculesEmployes,0)),"MATRICULE INCONNU"))</f>
        <v/>
      </c>
      <c r="K963" s="33">
        <f>IF(OR($D963="",$F963=""),"",IFERROR(IF(INDEX(RUNS!$L$6:$S$1005,MATCH($D963,RUNS!$A$6:$A$1005,0),MATCH("ACTIVITÉ "&amp;$F963,RUNS!$L$5:$S$5,0))="","",INDEX(RUNS!$L$6:$S$1005,MATCH($D963,RUNS!$A$6:$A$1005,0),MATCH("ACTIVITÉ "&amp;$F963,RUNS!$L$5:$S$5,0))),""))</f>
        <v/>
      </c>
      <c r="L963" s="33">
        <f>IF($D963="","",IFERROR(IF(INDEX(RUNS!$E$6:$E$1005,MATCH($D963,RUNS!$A$6:$A$1005,0))="","",INDEX(RUNS!$E$6:$E$1005,MATCH($D963,RUNS!$A$6:$A$1005,0))),""))</f>
        <v/>
      </c>
      <c r="M963" s="33">
        <f>IF($D963="","",IFERROR(IF(INDEX(RUNS!$F$6:$F$1005,MATCH($D963,RUNS!$A$6:$A$1005,0))="","",INDEX(RUNS!$F$6:$F$1005,MATCH($D963,RUNS!$A$6:$A$1005,0))),""))</f>
        <v/>
      </c>
      <c r="N963" s="33">
        <f>IF($D963="","",IFERROR(IF(INDEX(RUNS!$G$6:$G$1005,MATCH($D963,RUNS!$A$6:$A$1005,0))="","",INDEX(RUNS!$G$6:$G$1005,MATCH($D963,RUNS!$A$6:$A$1005,0))),""))</f>
        <v/>
      </c>
      <c r="O963" s="33">
        <f>IF($D963="","",IFERROR(IF(INDEX(RUNS!$H$6:$H$1005,MATCH($D963,RUNS!$A$6:$A$1005,0))="","",INDEX(RUNS!$H$6:$H$1005,MATCH($D963,RUNS!$A$6:$A$1005,0))),""))</f>
        <v/>
      </c>
      <c r="P963" s="33">
        <f>IF($D963="","",IFERROR(IF(INDEX(RUNS!$J$6:$J$1005,MATCH($D963,RUNS!$A$6:$A$1005,0))="","",INDEX(RUNS!$J$6:$J$1005,MATCH($D963,RUNS!$A$6:$A$1005,0))),""))</f>
        <v/>
      </c>
      <c r="Q963" s="33">
        <f>IF($D963="","",IFERROR(IF(INDEX(RUNS!$K$6:$K$1005,MATCH($D963,RUNS!$A$6:$A$1005,0))="","",INDEX(RUNS!$K$6:$K$1005,MATCH($D963,RUNS!$A$6:$A$1005,0))),""))</f>
        <v/>
      </c>
      <c r="R963" s="34">
        <f>IF(OR($L963="",$K963=""),"",IFERROR(IF(INDEX(PARAMETRES!$H$43:$H$342,MATCH($L963&amp;"|"&amp;$M963&amp;"|"&amp;$N963&amp;"|"&amp;$O963&amp;"|"&amp;$P963&amp;"|"&amp;$Q963&amp;"|"&amp;$K963,PARAMETRES!$J$43:$J$342,0))="","",INDEX(PARAMETRES!$H$43:$H$342,MATCH($L963&amp;"|"&amp;$M963&amp;"|"&amp;$N963&amp;"|"&amp;$O963&amp;"|"&amp;$P963&amp;"|"&amp;$Q963&amp;"|"&amp;$K963,PARAMETRES!$J$43:$J$342,0))),""))</f>
        <v/>
      </c>
      <c r="S963" s="35">
        <f>IF(OR($G963="",$X963&lt;&gt;"VALIDE"),"",IFERROR(LOOKUP(2,1/(($B63:$B962=$B963)*($G63:$G962=$G963)*($X63:$X962="VALIDE")),$C63:$C962),""))</f>
        <v/>
      </c>
      <c r="T963" s="36">
        <f>IF(OR($C963="",$S963=""),"",ROUND(($C963-$S963+IF($C963&lt;$S963,1,0))*1440,0))</f>
        <v/>
      </c>
      <c r="U963" s="22">
        <f>IF(OR($H963="",$T963="",$T963&lt;=0),"",$H963*60/$T963)</f>
        <v/>
      </c>
      <c r="V963" s="37">
        <f>IF(OR($U963="",$R963="",$R963=0),"",$U963/$R963)</f>
        <v/>
      </c>
      <c r="W963" s="20">
        <f>IF($G963="","",IF($X963="CONTEXTE INCOMPLET","CONTEXTE INCOMPLET",IF($X963="DOUBLON",StatutDoublon,IF($S963="",StatutInitial,IF($R963="",StatutStandardManquant,IF($V963="","DONNEES INSUFFISANTES",IF($V963&gt;=SeuilConforme,StatutConforme,IF($V963&gt;=SeuilSurveiller,StatutSurveiller,StatutSousStandard))))))))</f>
        <v/>
      </c>
      <c r="X963" s="33">
        <f>IF($G963="","",IF(OR($D963="",$E963="",$F963=""),"CONTEXTE INCOMPLET",IF(COUNTIFS($D63:$D962,$D963,$E63:$E962,$E963,$F63:$F962,$F963,$G63:$G962,$G963)&gt;0,"DOUBLON","VALIDE")))</f>
        <v/>
      </c>
    </row>
    <row r="964" ht="15" customHeight="1">
      <c r="A964" s="12">
        <f>IF(OR($B964="",$G964=""),"",TEXT($B964,"YYYYMMDD")&amp;"-"&amp;SUBSTITUTE($E964," ","")&amp;"-"&amp;$F964&amp;"-"&amp;$G964)</f>
        <v/>
      </c>
      <c r="B964" s="15" t="n"/>
      <c r="C964" s="16" t="n"/>
      <c r="D964" s="10" t="n"/>
      <c r="E964" s="9" t="n"/>
      <c r="F964" s="9" t="n"/>
      <c r="G964" s="13" t="n"/>
      <c r="H964" s="21" t="n"/>
      <c r="I964" s="21" t="n"/>
      <c r="J964" s="17">
        <f>IF($G964="","",IFERROR(INDEX(NomsEmployes,MATCH($G964,MatriculesEmployes,0)),"MATRICULE INCONNU"))</f>
        <v/>
      </c>
      <c r="K964" s="33">
        <f>IF(OR($D964="",$F964=""),"",IFERROR(IF(INDEX(RUNS!$L$6:$S$1005,MATCH($D964,RUNS!$A$6:$A$1005,0),MATCH("ACTIVITÉ "&amp;$F964,RUNS!$L$5:$S$5,0))="","",INDEX(RUNS!$L$6:$S$1005,MATCH($D964,RUNS!$A$6:$A$1005,0),MATCH("ACTIVITÉ "&amp;$F964,RUNS!$L$5:$S$5,0))),""))</f>
        <v/>
      </c>
      <c r="L964" s="33">
        <f>IF($D964="","",IFERROR(IF(INDEX(RUNS!$E$6:$E$1005,MATCH($D964,RUNS!$A$6:$A$1005,0))="","",INDEX(RUNS!$E$6:$E$1005,MATCH($D964,RUNS!$A$6:$A$1005,0))),""))</f>
        <v/>
      </c>
      <c r="M964" s="33">
        <f>IF($D964="","",IFERROR(IF(INDEX(RUNS!$F$6:$F$1005,MATCH($D964,RUNS!$A$6:$A$1005,0))="","",INDEX(RUNS!$F$6:$F$1005,MATCH($D964,RUNS!$A$6:$A$1005,0))),""))</f>
        <v/>
      </c>
      <c r="N964" s="33">
        <f>IF($D964="","",IFERROR(IF(INDEX(RUNS!$G$6:$G$1005,MATCH($D964,RUNS!$A$6:$A$1005,0))="","",INDEX(RUNS!$G$6:$G$1005,MATCH($D964,RUNS!$A$6:$A$1005,0))),""))</f>
        <v/>
      </c>
      <c r="O964" s="33">
        <f>IF($D964="","",IFERROR(IF(INDEX(RUNS!$H$6:$H$1005,MATCH($D964,RUNS!$A$6:$A$1005,0))="","",INDEX(RUNS!$H$6:$H$1005,MATCH($D964,RUNS!$A$6:$A$1005,0))),""))</f>
        <v/>
      </c>
      <c r="P964" s="33">
        <f>IF($D964="","",IFERROR(IF(INDEX(RUNS!$J$6:$J$1005,MATCH($D964,RUNS!$A$6:$A$1005,0))="","",INDEX(RUNS!$J$6:$J$1005,MATCH($D964,RUNS!$A$6:$A$1005,0))),""))</f>
        <v/>
      </c>
      <c r="Q964" s="33">
        <f>IF($D964="","",IFERROR(IF(INDEX(RUNS!$K$6:$K$1005,MATCH($D964,RUNS!$A$6:$A$1005,0))="","",INDEX(RUNS!$K$6:$K$1005,MATCH($D964,RUNS!$A$6:$A$1005,0))),""))</f>
        <v/>
      </c>
      <c r="R964" s="34">
        <f>IF(OR($L964="",$K964=""),"",IFERROR(IF(INDEX(PARAMETRES!$H$43:$H$342,MATCH($L964&amp;"|"&amp;$M964&amp;"|"&amp;$N964&amp;"|"&amp;$O964&amp;"|"&amp;$P964&amp;"|"&amp;$Q964&amp;"|"&amp;$K964,PARAMETRES!$J$43:$J$342,0))="","",INDEX(PARAMETRES!$H$43:$H$342,MATCH($L964&amp;"|"&amp;$M964&amp;"|"&amp;$N964&amp;"|"&amp;$O964&amp;"|"&amp;$P964&amp;"|"&amp;$Q964&amp;"|"&amp;$K964,PARAMETRES!$J$43:$J$342,0))),""))</f>
        <v/>
      </c>
      <c r="S964" s="35">
        <f>IF(OR($G964="",$X964&lt;&gt;"VALIDE"),"",IFERROR(LOOKUP(2,1/(($B64:$B963=$B964)*($G64:$G963=$G964)*($X64:$X963="VALIDE")),$C64:$C963),""))</f>
        <v/>
      </c>
      <c r="T964" s="36">
        <f>IF(OR($C964="",$S964=""),"",ROUND(($C964-$S964+IF($C964&lt;$S964,1,0))*1440,0))</f>
        <v/>
      </c>
      <c r="U964" s="22">
        <f>IF(OR($H964="",$T964="",$T964&lt;=0),"",$H964*60/$T964)</f>
        <v/>
      </c>
      <c r="V964" s="37">
        <f>IF(OR($U964="",$R964="",$R964=0),"",$U964/$R964)</f>
        <v/>
      </c>
      <c r="W964" s="20">
        <f>IF($G964="","",IF($X964="CONTEXTE INCOMPLET","CONTEXTE INCOMPLET",IF($X964="DOUBLON",StatutDoublon,IF($S964="",StatutInitial,IF($R964="",StatutStandardManquant,IF($V964="","DONNEES INSUFFISANTES",IF($V964&gt;=SeuilConforme,StatutConforme,IF($V964&gt;=SeuilSurveiller,StatutSurveiller,StatutSousStandard))))))))</f>
        <v/>
      </c>
      <c r="X964" s="33">
        <f>IF($G964="","",IF(OR($D964="",$E964="",$F964=""),"CONTEXTE INCOMPLET",IF(COUNTIFS($D64:$D963,$D964,$E64:$E963,$E964,$F64:$F963,$F964,$G64:$G963,$G964)&gt;0,"DOUBLON","VALIDE")))</f>
        <v/>
      </c>
    </row>
    <row r="965" ht="15" customHeight="1">
      <c r="A965" s="12">
        <f>IF(OR($B965="",$G965=""),"",TEXT($B965,"YYYYMMDD")&amp;"-"&amp;SUBSTITUTE($E965," ","")&amp;"-"&amp;$F965&amp;"-"&amp;$G965)</f>
        <v/>
      </c>
      <c r="B965" s="15" t="n"/>
      <c r="C965" s="16" t="n"/>
      <c r="D965" s="10" t="n"/>
      <c r="E965" s="9" t="n"/>
      <c r="F965" s="9" t="n"/>
      <c r="G965" s="13" t="n"/>
      <c r="H965" s="21" t="n"/>
      <c r="I965" s="21" t="n"/>
      <c r="J965" s="17">
        <f>IF($G965="","",IFERROR(INDEX(NomsEmployes,MATCH($G965,MatriculesEmployes,0)),"MATRICULE INCONNU"))</f>
        <v/>
      </c>
      <c r="K965" s="33">
        <f>IF(OR($D965="",$F965=""),"",IFERROR(IF(INDEX(RUNS!$L$6:$S$1005,MATCH($D965,RUNS!$A$6:$A$1005,0),MATCH("ACTIVITÉ "&amp;$F965,RUNS!$L$5:$S$5,0))="","",INDEX(RUNS!$L$6:$S$1005,MATCH($D965,RUNS!$A$6:$A$1005,0),MATCH("ACTIVITÉ "&amp;$F965,RUNS!$L$5:$S$5,0))),""))</f>
        <v/>
      </c>
      <c r="L965" s="33">
        <f>IF($D965="","",IFERROR(IF(INDEX(RUNS!$E$6:$E$1005,MATCH($D965,RUNS!$A$6:$A$1005,0))="","",INDEX(RUNS!$E$6:$E$1005,MATCH($D965,RUNS!$A$6:$A$1005,0))),""))</f>
        <v/>
      </c>
      <c r="M965" s="33">
        <f>IF($D965="","",IFERROR(IF(INDEX(RUNS!$F$6:$F$1005,MATCH($D965,RUNS!$A$6:$A$1005,0))="","",INDEX(RUNS!$F$6:$F$1005,MATCH($D965,RUNS!$A$6:$A$1005,0))),""))</f>
        <v/>
      </c>
      <c r="N965" s="33">
        <f>IF($D965="","",IFERROR(IF(INDEX(RUNS!$G$6:$G$1005,MATCH($D965,RUNS!$A$6:$A$1005,0))="","",INDEX(RUNS!$G$6:$G$1005,MATCH($D965,RUNS!$A$6:$A$1005,0))),""))</f>
        <v/>
      </c>
      <c r="O965" s="33">
        <f>IF($D965="","",IFERROR(IF(INDEX(RUNS!$H$6:$H$1005,MATCH($D965,RUNS!$A$6:$A$1005,0))="","",INDEX(RUNS!$H$6:$H$1005,MATCH($D965,RUNS!$A$6:$A$1005,0))),""))</f>
        <v/>
      </c>
      <c r="P965" s="33">
        <f>IF($D965="","",IFERROR(IF(INDEX(RUNS!$J$6:$J$1005,MATCH($D965,RUNS!$A$6:$A$1005,0))="","",INDEX(RUNS!$J$6:$J$1005,MATCH($D965,RUNS!$A$6:$A$1005,0))),""))</f>
        <v/>
      </c>
      <c r="Q965" s="33">
        <f>IF($D965="","",IFERROR(IF(INDEX(RUNS!$K$6:$K$1005,MATCH($D965,RUNS!$A$6:$A$1005,0))="","",INDEX(RUNS!$K$6:$K$1005,MATCH($D965,RUNS!$A$6:$A$1005,0))),""))</f>
        <v/>
      </c>
      <c r="R965" s="34">
        <f>IF(OR($L965="",$K965=""),"",IFERROR(IF(INDEX(PARAMETRES!$H$43:$H$342,MATCH($L965&amp;"|"&amp;$M965&amp;"|"&amp;$N965&amp;"|"&amp;$O965&amp;"|"&amp;$P965&amp;"|"&amp;$Q965&amp;"|"&amp;$K965,PARAMETRES!$J$43:$J$342,0))="","",INDEX(PARAMETRES!$H$43:$H$342,MATCH($L965&amp;"|"&amp;$M965&amp;"|"&amp;$N965&amp;"|"&amp;$O965&amp;"|"&amp;$P965&amp;"|"&amp;$Q965&amp;"|"&amp;$K965,PARAMETRES!$J$43:$J$342,0))),""))</f>
        <v/>
      </c>
      <c r="S965" s="35">
        <f>IF(OR($G965="",$X965&lt;&gt;"VALIDE"),"",IFERROR(LOOKUP(2,1/(($B65:$B964=$B965)*($G65:$G964=$G965)*($X65:$X964="VALIDE")),$C65:$C964),""))</f>
        <v/>
      </c>
      <c r="T965" s="36">
        <f>IF(OR($C965="",$S965=""),"",ROUND(($C965-$S965+IF($C965&lt;$S965,1,0))*1440,0))</f>
        <v/>
      </c>
      <c r="U965" s="22">
        <f>IF(OR($H965="",$T965="",$T965&lt;=0),"",$H965*60/$T965)</f>
        <v/>
      </c>
      <c r="V965" s="37">
        <f>IF(OR($U965="",$R965="",$R965=0),"",$U965/$R965)</f>
        <v/>
      </c>
      <c r="W965" s="20">
        <f>IF($G965="","",IF($X965="CONTEXTE INCOMPLET","CONTEXTE INCOMPLET",IF($X965="DOUBLON",StatutDoublon,IF($S965="",StatutInitial,IF($R965="",StatutStandardManquant,IF($V965="","DONNEES INSUFFISANTES",IF($V965&gt;=SeuilConforme,StatutConforme,IF($V965&gt;=SeuilSurveiller,StatutSurveiller,StatutSousStandard))))))))</f>
        <v/>
      </c>
      <c r="X965" s="33">
        <f>IF($G965="","",IF(OR($D965="",$E965="",$F965=""),"CONTEXTE INCOMPLET",IF(COUNTIFS($D65:$D964,$D965,$E65:$E964,$E965,$F65:$F964,$F965,$G65:$G964,$G965)&gt;0,"DOUBLON","VALIDE")))</f>
        <v/>
      </c>
    </row>
    <row r="966" ht="15" customHeight="1">
      <c r="A966" s="12">
        <f>IF(OR($B966="",$G966=""),"",TEXT($B966,"YYYYMMDD")&amp;"-"&amp;SUBSTITUTE($E966," ","")&amp;"-"&amp;$F966&amp;"-"&amp;$G966)</f>
        <v/>
      </c>
      <c r="B966" s="15" t="n"/>
      <c r="C966" s="16" t="n"/>
      <c r="D966" s="10" t="n"/>
      <c r="E966" s="9" t="n"/>
      <c r="F966" s="9" t="n"/>
      <c r="G966" s="13" t="n"/>
      <c r="H966" s="21" t="n"/>
      <c r="I966" s="21" t="n"/>
      <c r="J966" s="17">
        <f>IF($G966="","",IFERROR(INDEX(NomsEmployes,MATCH($G966,MatriculesEmployes,0)),"MATRICULE INCONNU"))</f>
        <v/>
      </c>
      <c r="K966" s="33">
        <f>IF(OR($D966="",$F966=""),"",IFERROR(IF(INDEX(RUNS!$L$6:$S$1005,MATCH($D966,RUNS!$A$6:$A$1005,0),MATCH("ACTIVITÉ "&amp;$F966,RUNS!$L$5:$S$5,0))="","",INDEX(RUNS!$L$6:$S$1005,MATCH($D966,RUNS!$A$6:$A$1005,0),MATCH("ACTIVITÉ "&amp;$F966,RUNS!$L$5:$S$5,0))),""))</f>
        <v/>
      </c>
      <c r="L966" s="33">
        <f>IF($D966="","",IFERROR(IF(INDEX(RUNS!$E$6:$E$1005,MATCH($D966,RUNS!$A$6:$A$1005,0))="","",INDEX(RUNS!$E$6:$E$1005,MATCH($D966,RUNS!$A$6:$A$1005,0))),""))</f>
        <v/>
      </c>
      <c r="M966" s="33">
        <f>IF($D966="","",IFERROR(IF(INDEX(RUNS!$F$6:$F$1005,MATCH($D966,RUNS!$A$6:$A$1005,0))="","",INDEX(RUNS!$F$6:$F$1005,MATCH($D966,RUNS!$A$6:$A$1005,0))),""))</f>
        <v/>
      </c>
      <c r="N966" s="33">
        <f>IF($D966="","",IFERROR(IF(INDEX(RUNS!$G$6:$G$1005,MATCH($D966,RUNS!$A$6:$A$1005,0))="","",INDEX(RUNS!$G$6:$G$1005,MATCH($D966,RUNS!$A$6:$A$1005,0))),""))</f>
        <v/>
      </c>
      <c r="O966" s="33">
        <f>IF($D966="","",IFERROR(IF(INDEX(RUNS!$H$6:$H$1005,MATCH($D966,RUNS!$A$6:$A$1005,0))="","",INDEX(RUNS!$H$6:$H$1005,MATCH($D966,RUNS!$A$6:$A$1005,0))),""))</f>
        <v/>
      </c>
      <c r="P966" s="33">
        <f>IF($D966="","",IFERROR(IF(INDEX(RUNS!$J$6:$J$1005,MATCH($D966,RUNS!$A$6:$A$1005,0))="","",INDEX(RUNS!$J$6:$J$1005,MATCH($D966,RUNS!$A$6:$A$1005,0))),""))</f>
        <v/>
      </c>
      <c r="Q966" s="33">
        <f>IF($D966="","",IFERROR(IF(INDEX(RUNS!$K$6:$K$1005,MATCH($D966,RUNS!$A$6:$A$1005,0))="","",INDEX(RUNS!$K$6:$K$1005,MATCH($D966,RUNS!$A$6:$A$1005,0))),""))</f>
        <v/>
      </c>
      <c r="R966" s="34">
        <f>IF(OR($L966="",$K966=""),"",IFERROR(IF(INDEX(PARAMETRES!$H$43:$H$342,MATCH($L966&amp;"|"&amp;$M966&amp;"|"&amp;$N966&amp;"|"&amp;$O966&amp;"|"&amp;$P966&amp;"|"&amp;$Q966&amp;"|"&amp;$K966,PARAMETRES!$J$43:$J$342,0))="","",INDEX(PARAMETRES!$H$43:$H$342,MATCH($L966&amp;"|"&amp;$M966&amp;"|"&amp;$N966&amp;"|"&amp;$O966&amp;"|"&amp;$P966&amp;"|"&amp;$Q966&amp;"|"&amp;$K966,PARAMETRES!$J$43:$J$342,0))),""))</f>
        <v/>
      </c>
      <c r="S966" s="35">
        <f>IF(OR($G966="",$X966&lt;&gt;"VALIDE"),"",IFERROR(LOOKUP(2,1/(($B66:$B965=$B966)*($G66:$G965=$G966)*($X66:$X965="VALIDE")),$C66:$C965),""))</f>
        <v/>
      </c>
      <c r="T966" s="36">
        <f>IF(OR($C966="",$S966=""),"",ROUND(($C966-$S966+IF($C966&lt;$S966,1,0))*1440,0))</f>
        <v/>
      </c>
      <c r="U966" s="22">
        <f>IF(OR($H966="",$T966="",$T966&lt;=0),"",$H966*60/$T966)</f>
        <v/>
      </c>
      <c r="V966" s="37">
        <f>IF(OR($U966="",$R966="",$R966=0),"",$U966/$R966)</f>
        <v/>
      </c>
      <c r="W966" s="20">
        <f>IF($G966="","",IF($X966="CONTEXTE INCOMPLET","CONTEXTE INCOMPLET",IF($X966="DOUBLON",StatutDoublon,IF($S966="",StatutInitial,IF($R966="",StatutStandardManquant,IF($V966="","DONNEES INSUFFISANTES",IF($V966&gt;=SeuilConforme,StatutConforme,IF($V966&gt;=SeuilSurveiller,StatutSurveiller,StatutSousStandard))))))))</f>
        <v/>
      </c>
      <c r="X966" s="33">
        <f>IF($G966="","",IF(OR($D966="",$E966="",$F966=""),"CONTEXTE INCOMPLET",IF(COUNTIFS($D66:$D965,$D966,$E66:$E965,$E966,$F66:$F965,$F966,$G66:$G965,$G966)&gt;0,"DOUBLON","VALIDE")))</f>
        <v/>
      </c>
    </row>
    <row r="967" ht="15" customHeight="1">
      <c r="A967" s="12">
        <f>IF(OR($B967="",$G967=""),"",TEXT($B967,"YYYYMMDD")&amp;"-"&amp;SUBSTITUTE($E967," ","")&amp;"-"&amp;$F967&amp;"-"&amp;$G967)</f>
        <v/>
      </c>
      <c r="B967" s="15" t="n"/>
      <c r="C967" s="16" t="n"/>
      <c r="D967" s="10" t="n"/>
      <c r="E967" s="9" t="n"/>
      <c r="F967" s="9" t="n"/>
      <c r="G967" s="13" t="n"/>
      <c r="H967" s="21" t="n"/>
      <c r="I967" s="21" t="n"/>
      <c r="J967" s="17">
        <f>IF($G967="","",IFERROR(INDEX(NomsEmployes,MATCH($G967,MatriculesEmployes,0)),"MATRICULE INCONNU"))</f>
        <v/>
      </c>
      <c r="K967" s="33">
        <f>IF(OR($D967="",$F967=""),"",IFERROR(IF(INDEX(RUNS!$L$6:$S$1005,MATCH($D967,RUNS!$A$6:$A$1005,0),MATCH("ACTIVITÉ "&amp;$F967,RUNS!$L$5:$S$5,0))="","",INDEX(RUNS!$L$6:$S$1005,MATCH($D967,RUNS!$A$6:$A$1005,0),MATCH("ACTIVITÉ "&amp;$F967,RUNS!$L$5:$S$5,0))),""))</f>
        <v/>
      </c>
      <c r="L967" s="33">
        <f>IF($D967="","",IFERROR(IF(INDEX(RUNS!$E$6:$E$1005,MATCH($D967,RUNS!$A$6:$A$1005,0))="","",INDEX(RUNS!$E$6:$E$1005,MATCH($D967,RUNS!$A$6:$A$1005,0))),""))</f>
        <v/>
      </c>
      <c r="M967" s="33">
        <f>IF($D967="","",IFERROR(IF(INDEX(RUNS!$F$6:$F$1005,MATCH($D967,RUNS!$A$6:$A$1005,0))="","",INDEX(RUNS!$F$6:$F$1005,MATCH($D967,RUNS!$A$6:$A$1005,0))),""))</f>
        <v/>
      </c>
      <c r="N967" s="33">
        <f>IF($D967="","",IFERROR(IF(INDEX(RUNS!$G$6:$G$1005,MATCH($D967,RUNS!$A$6:$A$1005,0))="","",INDEX(RUNS!$G$6:$G$1005,MATCH($D967,RUNS!$A$6:$A$1005,0))),""))</f>
        <v/>
      </c>
      <c r="O967" s="33">
        <f>IF($D967="","",IFERROR(IF(INDEX(RUNS!$H$6:$H$1005,MATCH($D967,RUNS!$A$6:$A$1005,0))="","",INDEX(RUNS!$H$6:$H$1005,MATCH($D967,RUNS!$A$6:$A$1005,0))),""))</f>
        <v/>
      </c>
      <c r="P967" s="33">
        <f>IF($D967="","",IFERROR(IF(INDEX(RUNS!$J$6:$J$1005,MATCH($D967,RUNS!$A$6:$A$1005,0))="","",INDEX(RUNS!$J$6:$J$1005,MATCH($D967,RUNS!$A$6:$A$1005,0))),""))</f>
        <v/>
      </c>
      <c r="Q967" s="33">
        <f>IF($D967="","",IFERROR(IF(INDEX(RUNS!$K$6:$K$1005,MATCH($D967,RUNS!$A$6:$A$1005,0))="","",INDEX(RUNS!$K$6:$K$1005,MATCH($D967,RUNS!$A$6:$A$1005,0))),""))</f>
        <v/>
      </c>
      <c r="R967" s="34">
        <f>IF(OR($L967="",$K967=""),"",IFERROR(IF(INDEX(PARAMETRES!$H$43:$H$342,MATCH($L967&amp;"|"&amp;$M967&amp;"|"&amp;$N967&amp;"|"&amp;$O967&amp;"|"&amp;$P967&amp;"|"&amp;$Q967&amp;"|"&amp;$K967,PARAMETRES!$J$43:$J$342,0))="","",INDEX(PARAMETRES!$H$43:$H$342,MATCH($L967&amp;"|"&amp;$M967&amp;"|"&amp;$N967&amp;"|"&amp;$O967&amp;"|"&amp;$P967&amp;"|"&amp;$Q967&amp;"|"&amp;$K967,PARAMETRES!$J$43:$J$342,0))),""))</f>
        <v/>
      </c>
      <c r="S967" s="35">
        <f>IF(OR($G967="",$X967&lt;&gt;"VALIDE"),"",IFERROR(LOOKUP(2,1/(($B67:$B966=$B967)*($G67:$G966=$G967)*($X67:$X966="VALIDE")),$C67:$C966),""))</f>
        <v/>
      </c>
      <c r="T967" s="36">
        <f>IF(OR($C967="",$S967=""),"",ROUND(($C967-$S967+IF($C967&lt;$S967,1,0))*1440,0))</f>
        <v/>
      </c>
      <c r="U967" s="22">
        <f>IF(OR($H967="",$T967="",$T967&lt;=0),"",$H967*60/$T967)</f>
        <v/>
      </c>
      <c r="V967" s="37">
        <f>IF(OR($U967="",$R967="",$R967=0),"",$U967/$R967)</f>
        <v/>
      </c>
      <c r="W967" s="20">
        <f>IF($G967="","",IF($X967="CONTEXTE INCOMPLET","CONTEXTE INCOMPLET",IF($X967="DOUBLON",StatutDoublon,IF($S967="",StatutInitial,IF($R967="",StatutStandardManquant,IF($V967="","DONNEES INSUFFISANTES",IF($V967&gt;=SeuilConforme,StatutConforme,IF($V967&gt;=SeuilSurveiller,StatutSurveiller,StatutSousStandard))))))))</f>
        <v/>
      </c>
      <c r="X967" s="33">
        <f>IF($G967="","",IF(OR($D967="",$E967="",$F967=""),"CONTEXTE INCOMPLET",IF(COUNTIFS($D67:$D966,$D967,$E67:$E966,$E967,$F67:$F966,$F967,$G67:$G966,$G967)&gt;0,"DOUBLON","VALIDE")))</f>
        <v/>
      </c>
    </row>
    <row r="968" ht="15" customHeight="1">
      <c r="A968" s="12">
        <f>IF(OR($B968="",$G968=""),"",TEXT($B968,"YYYYMMDD")&amp;"-"&amp;SUBSTITUTE($E968," ","")&amp;"-"&amp;$F968&amp;"-"&amp;$G968)</f>
        <v/>
      </c>
      <c r="B968" s="15" t="n"/>
      <c r="C968" s="16" t="n"/>
      <c r="D968" s="10" t="n"/>
      <c r="E968" s="9" t="n"/>
      <c r="F968" s="9" t="n"/>
      <c r="G968" s="13" t="n"/>
      <c r="H968" s="21" t="n"/>
      <c r="I968" s="21" t="n"/>
      <c r="J968" s="17">
        <f>IF($G968="","",IFERROR(INDEX(NomsEmployes,MATCH($G968,MatriculesEmployes,0)),"MATRICULE INCONNU"))</f>
        <v/>
      </c>
      <c r="K968" s="33">
        <f>IF(OR($D968="",$F968=""),"",IFERROR(IF(INDEX(RUNS!$L$6:$S$1005,MATCH($D968,RUNS!$A$6:$A$1005,0),MATCH("ACTIVITÉ "&amp;$F968,RUNS!$L$5:$S$5,0))="","",INDEX(RUNS!$L$6:$S$1005,MATCH($D968,RUNS!$A$6:$A$1005,0),MATCH("ACTIVITÉ "&amp;$F968,RUNS!$L$5:$S$5,0))),""))</f>
        <v/>
      </c>
      <c r="L968" s="33">
        <f>IF($D968="","",IFERROR(IF(INDEX(RUNS!$E$6:$E$1005,MATCH($D968,RUNS!$A$6:$A$1005,0))="","",INDEX(RUNS!$E$6:$E$1005,MATCH($D968,RUNS!$A$6:$A$1005,0))),""))</f>
        <v/>
      </c>
      <c r="M968" s="33">
        <f>IF($D968="","",IFERROR(IF(INDEX(RUNS!$F$6:$F$1005,MATCH($D968,RUNS!$A$6:$A$1005,0))="","",INDEX(RUNS!$F$6:$F$1005,MATCH($D968,RUNS!$A$6:$A$1005,0))),""))</f>
        <v/>
      </c>
      <c r="N968" s="33">
        <f>IF($D968="","",IFERROR(IF(INDEX(RUNS!$G$6:$G$1005,MATCH($D968,RUNS!$A$6:$A$1005,0))="","",INDEX(RUNS!$G$6:$G$1005,MATCH($D968,RUNS!$A$6:$A$1005,0))),""))</f>
        <v/>
      </c>
      <c r="O968" s="33">
        <f>IF($D968="","",IFERROR(IF(INDEX(RUNS!$H$6:$H$1005,MATCH($D968,RUNS!$A$6:$A$1005,0))="","",INDEX(RUNS!$H$6:$H$1005,MATCH($D968,RUNS!$A$6:$A$1005,0))),""))</f>
        <v/>
      </c>
      <c r="P968" s="33">
        <f>IF($D968="","",IFERROR(IF(INDEX(RUNS!$J$6:$J$1005,MATCH($D968,RUNS!$A$6:$A$1005,0))="","",INDEX(RUNS!$J$6:$J$1005,MATCH($D968,RUNS!$A$6:$A$1005,0))),""))</f>
        <v/>
      </c>
      <c r="Q968" s="33">
        <f>IF($D968="","",IFERROR(IF(INDEX(RUNS!$K$6:$K$1005,MATCH($D968,RUNS!$A$6:$A$1005,0))="","",INDEX(RUNS!$K$6:$K$1005,MATCH($D968,RUNS!$A$6:$A$1005,0))),""))</f>
        <v/>
      </c>
      <c r="R968" s="34">
        <f>IF(OR($L968="",$K968=""),"",IFERROR(IF(INDEX(PARAMETRES!$H$43:$H$342,MATCH($L968&amp;"|"&amp;$M968&amp;"|"&amp;$N968&amp;"|"&amp;$O968&amp;"|"&amp;$P968&amp;"|"&amp;$Q968&amp;"|"&amp;$K968,PARAMETRES!$J$43:$J$342,0))="","",INDEX(PARAMETRES!$H$43:$H$342,MATCH($L968&amp;"|"&amp;$M968&amp;"|"&amp;$N968&amp;"|"&amp;$O968&amp;"|"&amp;$P968&amp;"|"&amp;$Q968&amp;"|"&amp;$K968,PARAMETRES!$J$43:$J$342,0))),""))</f>
        <v/>
      </c>
      <c r="S968" s="35">
        <f>IF(OR($G968="",$X968&lt;&gt;"VALIDE"),"",IFERROR(LOOKUP(2,1/(($B68:$B967=$B968)*($G68:$G967=$G968)*($X68:$X967="VALIDE")),$C68:$C967),""))</f>
        <v/>
      </c>
      <c r="T968" s="36">
        <f>IF(OR($C968="",$S968=""),"",ROUND(($C968-$S968+IF($C968&lt;$S968,1,0))*1440,0))</f>
        <v/>
      </c>
      <c r="U968" s="22">
        <f>IF(OR($H968="",$T968="",$T968&lt;=0),"",$H968*60/$T968)</f>
        <v/>
      </c>
      <c r="V968" s="37">
        <f>IF(OR($U968="",$R968="",$R968=0),"",$U968/$R968)</f>
        <v/>
      </c>
      <c r="W968" s="20">
        <f>IF($G968="","",IF($X968="CONTEXTE INCOMPLET","CONTEXTE INCOMPLET",IF($X968="DOUBLON",StatutDoublon,IF($S968="",StatutInitial,IF($R968="",StatutStandardManquant,IF($V968="","DONNEES INSUFFISANTES",IF($V968&gt;=SeuilConforme,StatutConforme,IF($V968&gt;=SeuilSurveiller,StatutSurveiller,StatutSousStandard))))))))</f>
        <v/>
      </c>
      <c r="X968" s="33">
        <f>IF($G968="","",IF(OR($D968="",$E968="",$F968=""),"CONTEXTE INCOMPLET",IF(COUNTIFS($D68:$D967,$D968,$E68:$E967,$E968,$F68:$F967,$F968,$G68:$G967,$G968)&gt;0,"DOUBLON","VALIDE")))</f>
        <v/>
      </c>
    </row>
    <row r="969" ht="15" customHeight="1">
      <c r="A969" s="12">
        <f>IF(OR($B969="",$G969=""),"",TEXT($B969,"YYYYMMDD")&amp;"-"&amp;SUBSTITUTE($E969," ","")&amp;"-"&amp;$F969&amp;"-"&amp;$G969)</f>
        <v/>
      </c>
      <c r="B969" s="15" t="n"/>
      <c r="C969" s="16" t="n"/>
      <c r="D969" s="10" t="n"/>
      <c r="E969" s="9" t="n"/>
      <c r="F969" s="9" t="n"/>
      <c r="G969" s="13" t="n"/>
      <c r="H969" s="21" t="n"/>
      <c r="I969" s="21" t="n"/>
      <c r="J969" s="17">
        <f>IF($G969="","",IFERROR(INDEX(NomsEmployes,MATCH($G969,MatriculesEmployes,0)),"MATRICULE INCONNU"))</f>
        <v/>
      </c>
      <c r="K969" s="33">
        <f>IF(OR($D969="",$F969=""),"",IFERROR(IF(INDEX(RUNS!$L$6:$S$1005,MATCH($D969,RUNS!$A$6:$A$1005,0),MATCH("ACTIVITÉ "&amp;$F969,RUNS!$L$5:$S$5,0))="","",INDEX(RUNS!$L$6:$S$1005,MATCH($D969,RUNS!$A$6:$A$1005,0),MATCH("ACTIVITÉ "&amp;$F969,RUNS!$L$5:$S$5,0))),""))</f>
        <v/>
      </c>
      <c r="L969" s="33">
        <f>IF($D969="","",IFERROR(IF(INDEX(RUNS!$E$6:$E$1005,MATCH($D969,RUNS!$A$6:$A$1005,0))="","",INDEX(RUNS!$E$6:$E$1005,MATCH($D969,RUNS!$A$6:$A$1005,0))),""))</f>
        <v/>
      </c>
      <c r="M969" s="33">
        <f>IF($D969="","",IFERROR(IF(INDEX(RUNS!$F$6:$F$1005,MATCH($D969,RUNS!$A$6:$A$1005,0))="","",INDEX(RUNS!$F$6:$F$1005,MATCH($D969,RUNS!$A$6:$A$1005,0))),""))</f>
        <v/>
      </c>
      <c r="N969" s="33">
        <f>IF($D969="","",IFERROR(IF(INDEX(RUNS!$G$6:$G$1005,MATCH($D969,RUNS!$A$6:$A$1005,0))="","",INDEX(RUNS!$G$6:$G$1005,MATCH($D969,RUNS!$A$6:$A$1005,0))),""))</f>
        <v/>
      </c>
      <c r="O969" s="33">
        <f>IF($D969="","",IFERROR(IF(INDEX(RUNS!$H$6:$H$1005,MATCH($D969,RUNS!$A$6:$A$1005,0))="","",INDEX(RUNS!$H$6:$H$1005,MATCH($D969,RUNS!$A$6:$A$1005,0))),""))</f>
        <v/>
      </c>
      <c r="P969" s="33">
        <f>IF($D969="","",IFERROR(IF(INDEX(RUNS!$J$6:$J$1005,MATCH($D969,RUNS!$A$6:$A$1005,0))="","",INDEX(RUNS!$J$6:$J$1005,MATCH($D969,RUNS!$A$6:$A$1005,0))),""))</f>
        <v/>
      </c>
      <c r="Q969" s="33">
        <f>IF($D969="","",IFERROR(IF(INDEX(RUNS!$K$6:$K$1005,MATCH($D969,RUNS!$A$6:$A$1005,0))="","",INDEX(RUNS!$K$6:$K$1005,MATCH($D969,RUNS!$A$6:$A$1005,0))),""))</f>
        <v/>
      </c>
      <c r="R969" s="34">
        <f>IF(OR($L969="",$K969=""),"",IFERROR(IF(INDEX(PARAMETRES!$H$43:$H$342,MATCH($L969&amp;"|"&amp;$M969&amp;"|"&amp;$N969&amp;"|"&amp;$O969&amp;"|"&amp;$P969&amp;"|"&amp;$Q969&amp;"|"&amp;$K969,PARAMETRES!$J$43:$J$342,0))="","",INDEX(PARAMETRES!$H$43:$H$342,MATCH($L969&amp;"|"&amp;$M969&amp;"|"&amp;$N969&amp;"|"&amp;$O969&amp;"|"&amp;$P969&amp;"|"&amp;$Q969&amp;"|"&amp;$K969,PARAMETRES!$J$43:$J$342,0))),""))</f>
        <v/>
      </c>
      <c r="S969" s="35">
        <f>IF(OR($G969="",$X969&lt;&gt;"VALIDE"),"",IFERROR(LOOKUP(2,1/(($B69:$B968=$B969)*($G69:$G968=$G969)*($X69:$X968="VALIDE")),$C69:$C968),""))</f>
        <v/>
      </c>
      <c r="T969" s="36">
        <f>IF(OR($C969="",$S969=""),"",ROUND(($C969-$S969+IF($C969&lt;$S969,1,0))*1440,0))</f>
        <v/>
      </c>
      <c r="U969" s="22">
        <f>IF(OR($H969="",$T969="",$T969&lt;=0),"",$H969*60/$T969)</f>
        <v/>
      </c>
      <c r="V969" s="37">
        <f>IF(OR($U969="",$R969="",$R969=0),"",$U969/$R969)</f>
        <v/>
      </c>
      <c r="W969" s="20">
        <f>IF($G969="","",IF($X969="CONTEXTE INCOMPLET","CONTEXTE INCOMPLET",IF($X969="DOUBLON",StatutDoublon,IF($S969="",StatutInitial,IF($R969="",StatutStandardManquant,IF($V969="","DONNEES INSUFFISANTES",IF($V969&gt;=SeuilConforme,StatutConforme,IF($V969&gt;=SeuilSurveiller,StatutSurveiller,StatutSousStandard))))))))</f>
        <v/>
      </c>
      <c r="X969" s="33">
        <f>IF($G969="","",IF(OR($D969="",$E969="",$F969=""),"CONTEXTE INCOMPLET",IF(COUNTIFS($D69:$D968,$D969,$E69:$E968,$E969,$F69:$F968,$F969,$G69:$G968,$G969)&gt;0,"DOUBLON","VALIDE")))</f>
        <v/>
      </c>
    </row>
    <row r="970" ht="15" customHeight="1">
      <c r="A970" s="12">
        <f>IF(OR($B970="",$G970=""),"",TEXT($B970,"YYYYMMDD")&amp;"-"&amp;SUBSTITUTE($E970," ","")&amp;"-"&amp;$F970&amp;"-"&amp;$G970)</f>
        <v/>
      </c>
      <c r="B970" s="15" t="n"/>
      <c r="C970" s="16" t="n"/>
      <c r="D970" s="10" t="n"/>
      <c r="E970" s="9" t="n"/>
      <c r="F970" s="9" t="n"/>
      <c r="G970" s="13" t="n"/>
      <c r="H970" s="21" t="n"/>
      <c r="I970" s="21" t="n"/>
      <c r="J970" s="17">
        <f>IF($G970="","",IFERROR(INDEX(NomsEmployes,MATCH($G970,MatriculesEmployes,0)),"MATRICULE INCONNU"))</f>
        <v/>
      </c>
      <c r="K970" s="33">
        <f>IF(OR($D970="",$F970=""),"",IFERROR(IF(INDEX(RUNS!$L$6:$S$1005,MATCH($D970,RUNS!$A$6:$A$1005,0),MATCH("ACTIVITÉ "&amp;$F970,RUNS!$L$5:$S$5,0))="","",INDEX(RUNS!$L$6:$S$1005,MATCH($D970,RUNS!$A$6:$A$1005,0),MATCH("ACTIVITÉ "&amp;$F970,RUNS!$L$5:$S$5,0))),""))</f>
        <v/>
      </c>
      <c r="L970" s="33">
        <f>IF($D970="","",IFERROR(IF(INDEX(RUNS!$E$6:$E$1005,MATCH($D970,RUNS!$A$6:$A$1005,0))="","",INDEX(RUNS!$E$6:$E$1005,MATCH($D970,RUNS!$A$6:$A$1005,0))),""))</f>
        <v/>
      </c>
      <c r="M970" s="33">
        <f>IF($D970="","",IFERROR(IF(INDEX(RUNS!$F$6:$F$1005,MATCH($D970,RUNS!$A$6:$A$1005,0))="","",INDEX(RUNS!$F$6:$F$1005,MATCH($D970,RUNS!$A$6:$A$1005,0))),""))</f>
        <v/>
      </c>
      <c r="N970" s="33">
        <f>IF($D970="","",IFERROR(IF(INDEX(RUNS!$G$6:$G$1005,MATCH($D970,RUNS!$A$6:$A$1005,0))="","",INDEX(RUNS!$G$6:$G$1005,MATCH($D970,RUNS!$A$6:$A$1005,0))),""))</f>
        <v/>
      </c>
      <c r="O970" s="33">
        <f>IF($D970="","",IFERROR(IF(INDEX(RUNS!$H$6:$H$1005,MATCH($D970,RUNS!$A$6:$A$1005,0))="","",INDEX(RUNS!$H$6:$H$1005,MATCH($D970,RUNS!$A$6:$A$1005,0))),""))</f>
        <v/>
      </c>
      <c r="P970" s="33">
        <f>IF($D970="","",IFERROR(IF(INDEX(RUNS!$J$6:$J$1005,MATCH($D970,RUNS!$A$6:$A$1005,0))="","",INDEX(RUNS!$J$6:$J$1005,MATCH($D970,RUNS!$A$6:$A$1005,0))),""))</f>
        <v/>
      </c>
      <c r="Q970" s="33">
        <f>IF($D970="","",IFERROR(IF(INDEX(RUNS!$K$6:$K$1005,MATCH($D970,RUNS!$A$6:$A$1005,0))="","",INDEX(RUNS!$K$6:$K$1005,MATCH($D970,RUNS!$A$6:$A$1005,0))),""))</f>
        <v/>
      </c>
      <c r="R970" s="34">
        <f>IF(OR($L970="",$K970=""),"",IFERROR(IF(INDEX(PARAMETRES!$H$43:$H$342,MATCH($L970&amp;"|"&amp;$M970&amp;"|"&amp;$N970&amp;"|"&amp;$O970&amp;"|"&amp;$P970&amp;"|"&amp;$Q970&amp;"|"&amp;$K970,PARAMETRES!$J$43:$J$342,0))="","",INDEX(PARAMETRES!$H$43:$H$342,MATCH($L970&amp;"|"&amp;$M970&amp;"|"&amp;$N970&amp;"|"&amp;$O970&amp;"|"&amp;$P970&amp;"|"&amp;$Q970&amp;"|"&amp;$K970,PARAMETRES!$J$43:$J$342,0))),""))</f>
        <v/>
      </c>
      <c r="S970" s="35">
        <f>IF(OR($G970="",$X970&lt;&gt;"VALIDE"),"",IFERROR(LOOKUP(2,1/(($B70:$B969=$B970)*($G70:$G969=$G970)*($X70:$X969="VALIDE")),$C70:$C969),""))</f>
        <v/>
      </c>
      <c r="T970" s="36">
        <f>IF(OR($C970="",$S970=""),"",ROUND(($C970-$S970+IF($C970&lt;$S970,1,0))*1440,0))</f>
        <v/>
      </c>
      <c r="U970" s="22">
        <f>IF(OR($H970="",$T970="",$T970&lt;=0),"",$H970*60/$T970)</f>
        <v/>
      </c>
      <c r="V970" s="37">
        <f>IF(OR($U970="",$R970="",$R970=0),"",$U970/$R970)</f>
        <v/>
      </c>
      <c r="W970" s="20">
        <f>IF($G970="","",IF($X970="CONTEXTE INCOMPLET","CONTEXTE INCOMPLET",IF($X970="DOUBLON",StatutDoublon,IF($S970="",StatutInitial,IF($R970="",StatutStandardManquant,IF($V970="","DONNEES INSUFFISANTES",IF($V970&gt;=SeuilConforme,StatutConforme,IF($V970&gt;=SeuilSurveiller,StatutSurveiller,StatutSousStandard))))))))</f>
        <v/>
      </c>
      <c r="X970" s="33">
        <f>IF($G970="","",IF(OR($D970="",$E970="",$F970=""),"CONTEXTE INCOMPLET",IF(COUNTIFS($D70:$D969,$D970,$E70:$E969,$E970,$F70:$F969,$F970,$G70:$G969,$G970)&gt;0,"DOUBLON","VALIDE")))</f>
        <v/>
      </c>
    </row>
    <row r="971" ht="15" customHeight="1">
      <c r="A971" s="12">
        <f>IF(OR($B971="",$G971=""),"",TEXT($B971,"YYYYMMDD")&amp;"-"&amp;SUBSTITUTE($E971," ","")&amp;"-"&amp;$F971&amp;"-"&amp;$G971)</f>
        <v/>
      </c>
      <c r="B971" s="15" t="n"/>
      <c r="C971" s="16" t="n"/>
      <c r="D971" s="10" t="n"/>
      <c r="E971" s="9" t="n"/>
      <c r="F971" s="9" t="n"/>
      <c r="G971" s="13" t="n"/>
      <c r="H971" s="21" t="n"/>
      <c r="I971" s="21" t="n"/>
      <c r="J971" s="17">
        <f>IF($G971="","",IFERROR(INDEX(NomsEmployes,MATCH($G971,MatriculesEmployes,0)),"MATRICULE INCONNU"))</f>
        <v/>
      </c>
      <c r="K971" s="33">
        <f>IF(OR($D971="",$F971=""),"",IFERROR(IF(INDEX(RUNS!$L$6:$S$1005,MATCH($D971,RUNS!$A$6:$A$1005,0),MATCH("ACTIVITÉ "&amp;$F971,RUNS!$L$5:$S$5,0))="","",INDEX(RUNS!$L$6:$S$1005,MATCH($D971,RUNS!$A$6:$A$1005,0),MATCH("ACTIVITÉ "&amp;$F971,RUNS!$L$5:$S$5,0))),""))</f>
        <v/>
      </c>
      <c r="L971" s="33">
        <f>IF($D971="","",IFERROR(IF(INDEX(RUNS!$E$6:$E$1005,MATCH($D971,RUNS!$A$6:$A$1005,0))="","",INDEX(RUNS!$E$6:$E$1005,MATCH($D971,RUNS!$A$6:$A$1005,0))),""))</f>
        <v/>
      </c>
      <c r="M971" s="33">
        <f>IF($D971="","",IFERROR(IF(INDEX(RUNS!$F$6:$F$1005,MATCH($D971,RUNS!$A$6:$A$1005,0))="","",INDEX(RUNS!$F$6:$F$1005,MATCH($D971,RUNS!$A$6:$A$1005,0))),""))</f>
        <v/>
      </c>
      <c r="N971" s="33">
        <f>IF($D971="","",IFERROR(IF(INDEX(RUNS!$G$6:$G$1005,MATCH($D971,RUNS!$A$6:$A$1005,0))="","",INDEX(RUNS!$G$6:$G$1005,MATCH($D971,RUNS!$A$6:$A$1005,0))),""))</f>
        <v/>
      </c>
      <c r="O971" s="33">
        <f>IF($D971="","",IFERROR(IF(INDEX(RUNS!$H$6:$H$1005,MATCH($D971,RUNS!$A$6:$A$1005,0))="","",INDEX(RUNS!$H$6:$H$1005,MATCH($D971,RUNS!$A$6:$A$1005,0))),""))</f>
        <v/>
      </c>
      <c r="P971" s="33">
        <f>IF($D971="","",IFERROR(IF(INDEX(RUNS!$J$6:$J$1005,MATCH($D971,RUNS!$A$6:$A$1005,0))="","",INDEX(RUNS!$J$6:$J$1005,MATCH($D971,RUNS!$A$6:$A$1005,0))),""))</f>
        <v/>
      </c>
      <c r="Q971" s="33">
        <f>IF($D971="","",IFERROR(IF(INDEX(RUNS!$K$6:$K$1005,MATCH($D971,RUNS!$A$6:$A$1005,0))="","",INDEX(RUNS!$K$6:$K$1005,MATCH($D971,RUNS!$A$6:$A$1005,0))),""))</f>
        <v/>
      </c>
      <c r="R971" s="34">
        <f>IF(OR($L971="",$K971=""),"",IFERROR(IF(INDEX(PARAMETRES!$H$43:$H$342,MATCH($L971&amp;"|"&amp;$M971&amp;"|"&amp;$N971&amp;"|"&amp;$O971&amp;"|"&amp;$P971&amp;"|"&amp;$Q971&amp;"|"&amp;$K971,PARAMETRES!$J$43:$J$342,0))="","",INDEX(PARAMETRES!$H$43:$H$342,MATCH($L971&amp;"|"&amp;$M971&amp;"|"&amp;$N971&amp;"|"&amp;$O971&amp;"|"&amp;$P971&amp;"|"&amp;$Q971&amp;"|"&amp;$K971,PARAMETRES!$J$43:$J$342,0))),""))</f>
        <v/>
      </c>
      <c r="S971" s="35">
        <f>IF(OR($G971="",$X971&lt;&gt;"VALIDE"),"",IFERROR(LOOKUP(2,1/(($B71:$B970=$B971)*($G71:$G970=$G971)*($X71:$X970="VALIDE")),$C71:$C970),""))</f>
        <v/>
      </c>
      <c r="T971" s="36">
        <f>IF(OR($C971="",$S971=""),"",ROUND(($C971-$S971+IF($C971&lt;$S971,1,0))*1440,0))</f>
        <v/>
      </c>
      <c r="U971" s="22">
        <f>IF(OR($H971="",$T971="",$T971&lt;=0),"",$H971*60/$T971)</f>
        <v/>
      </c>
      <c r="V971" s="37">
        <f>IF(OR($U971="",$R971="",$R971=0),"",$U971/$R971)</f>
        <v/>
      </c>
      <c r="W971" s="20">
        <f>IF($G971="","",IF($X971="CONTEXTE INCOMPLET","CONTEXTE INCOMPLET",IF($X971="DOUBLON",StatutDoublon,IF($S971="",StatutInitial,IF($R971="",StatutStandardManquant,IF($V971="","DONNEES INSUFFISANTES",IF($V971&gt;=SeuilConforme,StatutConforme,IF($V971&gt;=SeuilSurveiller,StatutSurveiller,StatutSousStandard))))))))</f>
        <v/>
      </c>
      <c r="X971" s="33">
        <f>IF($G971="","",IF(OR($D971="",$E971="",$F971=""),"CONTEXTE INCOMPLET",IF(COUNTIFS($D71:$D970,$D971,$E71:$E970,$E971,$F71:$F970,$F971,$G71:$G970,$G971)&gt;0,"DOUBLON","VALIDE")))</f>
        <v/>
      </c>
    </row>
    <row r="972" ht="15" customHeight="1">
      <c r="A972" s="12">
        <f>IF(OR($B972="",$G972=""),"",TEXT($B972,"YYYYMMDD")&amp;"-"&amp;SUBSTITUTE($E972," ","")&amp;"-"&amp;$F972&amp;"-"&amp;$G972)</f>
        <v/>
      </c>
      <c r="B972" s="15" t="n"/>
      <c r="C972" s="16" t="n"/>
      <c r="D972" s="10" t="n"/>
      <c r="E972" s="9" t="n"/>
      <c r="F972" s="9" t="n"/>
      <c r="G972" s="13" t="n"/>
      <c r="H972" s="21" t="n"/>
      <c r="I972" s="21" t="n"/>
      <c r="J972" s="17">
        <f>IF($G972="","",IFERROR(INDEX(NomsEmployes,MATCH($G972,MatriculesEmployes,0)),"MATRICULE INCONNU"))</f>
        <v/>
      </c>
      <c r="K972" s="33">
        <f>IF(OR($D972="",$F972=""),"",IFERROR(IF(INDEX(RUNS!$L$6:$S$1005,MATCH($D972,RUNS!$A$6:$A$1005,0),MATCH("ACTIVITÉ "&amp;$F972,RUNS!$L$5:$S$5,0))="","",INDEX(RUNS!$L$6:$S$1005,MATCH($D972,RUNS!$A$6:$A$1005,0),MATCH("ACTIVITÉ "&amp;$F972,RUNS!$L$5:$S$5,0))),""))</f>
        <v/>
      </c>
      <c r="L972" s="33">
        <f>IF($D972="","",IFERROR(IF(INDEX(RUNS!$E$6:$E$1005,MATCH($D972,RUNS!$A$6:$A$1005,0))="","",INDEX(RUNS!$E$6:$E$1005,MATCH($D972,RUNS!$A$6:$A$1005,0))),""))</f>
        <v/>
      </c>
      <c r="M972" s="33">
        <f>IF($D972="","",IFERROR(IF(INDEX(RUNS!$F$6:$F$1005,MATCH($D972,RUNS!$A$6:$A$1005,0))="","",INDEX(RUNS!$F$6:$F$1005,MATCH($D972,RUNS!$A$6:$A$1005,0))),""))</f>
        <v/>
      </c>
      <c r="N972" s="33">
        <f>IF($D972="","",IFERROR(IF(INDEX(RUNS!$G$6:$G$1005,MATCH($D972,RUNS!$A$6:$A$1005,0))="","",INDEX(RUNS!$G$6:$G$1005,MATCH($D972,RUNS!$A$6:$A$1005,0))),""))</f>
        <v/>
      </c>
      <c r="O972" s="33">
        <f>IF($D972="","",IFERROR(IF(INDEX(RUNS!$H$6:$H$1005,MATCH($D972,RUNS!$A$6:$A$1005,0))="","",INDEX(RUNS!$H$6:$H$1005,MATCH($D972,RUNS!$A$6:$A$1005,0))),""))</f>
        <v/>
      </c>
      <c r="P972" s="33">
        <f>IF($D972="","",IFERROR(IF(INDEX(RUNS!$J$6:$J$1005,MATCH($D972,RUNS!$A$6:$A$1005,0))="","",INDEX(RUNS!$J$6:$J$1005,MATCH($D972,RUNS!$A$6:$A$1005,0))),""))</f>
        <v/>
      </c>
      <c r="Q972" s="33">
        <f>IF($D972="","",IFERROR(IF(INDEX(RUNS!$K$6:$K$1005,MATCH($D972,RUNS!$A$6:$A$1005,0))="","",INDEX(RUNS!$K$6:$K$1005,MATCH($D972,RUNS!$A$6:$A$1005,0))),""))</f>
        <v/>
      </c>
      <c r="R972" s="34">
        <f>IF(OR($L972="",$K972=""),"",IFERROR(IF(INDEX(PARAMETRES!$H$43:$H$342,MATCH($L972&amp;"|"&amp;$M972&amp;"|"&amp;$N972&amp;"|"&amp;$O972&amp;"|"&amp;$P972&amp;"|"&amp;$Q972&amp;"|"&amp;$K972,PARAMETRES!$J$43:$J$342,0))="","",INDEX(PARAMETRES!$H$43:$H$342,MATCH($L972&amp;"|"&amp;$M972&amp;"|"&amp;$N972&amp;"|"&amp;$O972&amp;"|"&amp;$P972&amp;"|"&amp;$Q972&amp;"|"&amp;$K972,PARAMETRES!$J$43:$J$342,0))),""))</f>
        <v/>
      </c>
      <c r="S972" s="35">
        <f>IF(OR($G972="",$X972&lt;&gt;"VALIDE"),"",IFERROR(LOOKUP(2,1/(($B72:$B971=$B972)*($G72:$G971=$G972)*($X72:$X971="VALIDE")),$C72:$C971),""))</f>
        <v/>
      </c>
      <c r="T972" s="36">
        <f>IF(OR($C972="",$S972=""),"",ROUND(($C972-$S972+IF($C972&lt;$S972,1,0))*1440,0))</f>
        <v/>
      </c>
      <c r="U972" s="22">
        <f>IF(OR($H972="",$T972="",$T972&lt;=0),"",$H972*60/$T972)</f>
        <v/>
      </c>
      <c r="V972" s="37">
        <f>IF(OR($U972="",$R972="",$R972=0),"",$U972/$R972)</f>
        <v/>
      </c>
      <c r="W972" s="20">
        <f>IF($G972="","",IF($X972="CONTEXTE INCOMPLET","CONTEXTE INCOMPLET",IF($X972="DOUBLON",StatutDoublon,IF($S972="",StatutInitial,IF($R972="",StatutStandardManquant,IF($V972="","DONNEES INSUFFISANTES",IF($V972&gt;=SeuilConforme,StatutConforme,IF($V972&gt;=SeuilSurveiller,StatutSurveiller,StatutSousStandard))))))))</f>
        <v/>
      </c>
      <c r="X972" s="33">
        <f>IF($G972="","",IF(OR($D972="",$E972="",$F972=""),"CONTEXTE INCOMPLET",IF(COUNTIFS($D72:$D971,$D972,$E72:$E971,$E972,$F72:$F971,$F972,$G72:$G971,$G972)&gt;0,"DOUBLON","VALIDE")))</f>
        <v/>
      </c>
    </row>
    <row r="973" ht="15" customHeight="1">
      <c r="A973" s="12">
        <f>IF(OR($B973="",$G973=""),"",TEXT($B973,"YYYYMMDD")&amp;"-"&amp;SUBSTITUTE($E973," ","")&amp;"-"&amp;$F973&amp;"-"&amp;$G973)</f>
        <v/>
      </c>
      <c r="B973" s="15" t="n"/>
      <c r="C973" s="16" t="n"/>
      <c r="D973" s="10" t="n"/>
      <c r="E973" s="9" t="n"/>
      <c r="F973" s="9" t="n"/>
      <c r="G973" s="13" t="n"/>
      <c r="H973" s="21" t="n"/>
      <c r="I973" s="21" t="n"/>
      <c r="J973" s="17">
        <f>IF($G973="","",IFERROR(INDEX(NomsEmployes,MATCH($G973,MatriculesEmployes,0)),"MATRICULE INCONNU"))</f>
        <v/>
      </c>
      <c r="K973" s="33">
        <f>IF(OR($D973="",$F973=""),"",IFERROR(IF(INDEX(RUNS!$L$6:$S$1005,MATCH($D973,RUNS!$A$6:$A$1005,0),MATCH("ACTIVITÉ "&amp;$F973,RUNS!$L$5:$S$5,0))="","",INDEX(RUNS!$L$6:$S$1005,MATCH($D973,RUNS!$A$6:$A$1005,0),MATCH("ACTIVITÉ "&amp;$F973,RUNS!$L$5:$S$5,0))),""))</f>
        <v/>
      </c>
      <c r="L973" s="33">
        <f>IF($D973="","",IFERROR(IF(INDEX(RUNS!$E$6:$E$1005,MATCH($D973,RUNS!$A$6:$A$1005,0))="","",INDEX(RUNS!$E$6:$E$1005,MATCH($D973,RUNS!$A$6:$A$1005,0))),""))</f>
        <v/>
      </c>
      <c r="M973" s="33">
        <f>IF($D973="","",IFERROR(IF(INDEX(RUNS!$F$6:$F$1005,MATCH($D973,RUNS!$A$6:$A$1005,0))="","",INDEX(RUNS!$F$6:$F$1005,MATCH($D973,RUNS!$A$6:$A$1005,0))),""))</f>
        <v/>
      </c>
      <c r="N973" s="33">
        <f>IF($D973="","",IFERROR(IF(INDEX(RUNS!$G$6:$G$1005,MATCH($D973,RUNS!$A$6:$A$1005,0))="","",INDEX(RUNS!$G$6:$G$1005,MATCH($D973,RUNS!$A$6:$A$1005,0))),""))</f>
        <v/>
      </c>
      <c r="O973" s="33">
        <f>IF($D973="","",IFERROR(IF(INDEX(RUNS!$H$6:$H$1005,MATCH($D973,RUNS!$A$6:$A$1005,0))="","",INDEX(RUNS!$H$6:$H$1005,MATCH($D973,RUNS!$A$6:$A$1005,0))),""))</f>
        <v/>
      </c>
      <c r="P973" s="33">
        <f>IF($D973="","",IFERROR(IF(INDEX(RUNS!$J$6:$J$1005,MATCH($D973,RUNS!$A$6:$A$1005,0))="","",INDEX(RUNS!$J$6:$J$1005,MATCH($D973,RUNS!$A$6:$A$1005,0))),""))</f>
        <v/>
      </c>
      <c r="Q973" s="33">
        <f>IF($D973="","",IFERROR(IF(INDEX(RUNS!$K$6:$K$1005,MATCH($D973,RUNS!$A$6:$A$1005,0))="","",INDEX(RUNS!$K$6:$K$1005,MATCH($D973,RUNS!$A$6:$A$1005,0))),""))</f>
        <v/>
      </c>
      <c r="R973" s="34">
        <f>IF(OR($L973="",$K973=""),"",IFERROR(IF(INDEX(PARAMETRES!$H$43:$H$342,MATCH($L973&amp;"|"&amp;$M973&amp;"|"&amp;$N973&amp;"|"&amp;$O973&amp;"|"&amp;$P973&amp;"|"&amp;$Q973&amp;"|"&amp;$K973,PARAMETRES!$J$43:$J$342,0))="","",INDEX(PARAMETRES!$H$43:$H$342,MATCH($L973&amp;"|"&amp;$M973&amp;"|"&amp;$N973&amp;"|"&amp;$O973&amp;"|"&amp;$P973&amp;"|"&amp;$Q973&amp;"|"&amp;$K973,PARAMETRES!$J$43:$J$342,0))),""))</f>
        <v/>
      </c>
      <c r="S973" s="35">
        <f>IF(OR($G973="",$X973&lt;&gt;"VALIDE"),"",IFERROR(LOOKUP(2,1/(($B73:$B972=$B973)*($G73:$G972=$G973)*($X73:$X972="VALIDE")),$C73:$C972),""))</f>
        <v/>
      </c>
      <c r="T973" s="36">
        <f>IF(OR($C973="",$S973=""),"",ROUND(($C973-$S973+IF($C973&lt;$S973,1,0))*1440,0))</f>
        <v/>
      </c>
      <c r="U973" s="22">
        <f>IF(OR($H973="",$T973="",$T973&lt;=0),"",$H973*60/$T973)</f>
        <v/>
      </c>
      <c r="V973" s="37">
        <f>IF(OR($U973="",$R973="",$R973=0),"",$U973/$R973)</f>
        <v/>
      </c>
      <c r="W973" s="20">
        <f>IF($G973="","",IF($X973="CONTEXTE INCOMPLET","CONTEXTE INCOMPLET",IF($X973="DOUBLON",StatutDoublon,IF($S973="",StatutInitial,IF($R973="",StatutStandardManquant,IF($V973="","DONNEES INSUFFISANTES",IF($V973&gt;=SeuilConforme,StatutConforme,IF($V973&gt;=SeuilSurveiller,StatutSurveiller,StatutSousStandard))))))))</f>
        <v/>
      </c>
      <c r="X973" s="33">
        <f>IF($G973="","",IF(OR($D973="",$E973="",$F973=""),"CONTEXTE INCOMPLET",IF(COUNTIFS($D73:$D972,$D973,$E73:$E972,$E973,$F73:$F972,$F973,$G73:$G972,$G973)&gt;0,"DOUBLON","VALIDE")))</f>
        <v/>
      </c>
    </row>
    <row r="974" ht="15" customHeight="1">
      <c r="A974" s="12">
        <f>IF(OR($B974="",$G974=""),"",TEXT($B974,"YYYYMMDD")&amp;"-"&amp;SUBSTITUTE($E974," ","")&amp;"-"&amp;$F974&amp;"-"&amp;$G974)</f>
        <v/>
      </c>
      <c r="B974" s="15" t="n"/>
      <c r="C974" s="16" t="n"/>
      <c r="D974" s="10" t="n"/>
      <c r="E974" s="9" t="n"/>
      <c r="F974" s="9" t="n"/>
      <c r="G974" s="13" t="n"/>
      <c r="H974" s="21" t="n"/>
      <c r="I974" s="21" t="n"/>
      <c r="J974" s="17">
        <f>IF($G974="","",IFERROR(INDEX(NomsEmployes,MATCH($G974,MatriculesEmployes,0)),"MATRICULE INCONNU"))</f>
        <v/>
      </c>
      <c r="K974" s="33">
        <f>IF(OR($D974="",$F974=""),"",IFERROR(IF(INDEX(RUNS!$L$6:$S$1005,MATCH($D974,RUNS!$A$6:$A$1005,0),MATCH("ACTIVITÉ "&amp;$F974,RUNS!$L$5:$S$5,0))="","",INDEX(RUNS!$L$6:$S$1005,MATCH($D974,RUNS!$A$6:$A$1005,0),MATCH("ACTIVITÉ "&amp;$F974,RUNS!$L$5:$S$5,0))),""))</f>
        <v/>
      </c>
      <c r="L974" s="33">
        <f>IF($D974="","",IFERROR(IF(INDEX(RUNS!$E$6:$E$1005,MATCH($D974,RUNS!$A$6:$A$1005,0))="","",INDEX(RUNS!$E$6:$E$1005,MATCH($D974,RUNS!$A$6:$A$1005,0))),""))</f>
        <v/>
      </c>
      <c r="M974" s="33">
        <f>IF($D974="","",IFERROR(IF(INDEX(RUNS!$F$6:$F$1005,MATCH($D974,RUNS!$A$6:$A$1005,0))="","",INDEX(RUNS!$F$6:$F$1005,MATCH($D974,RUNS!$A$6:$A$1005,0))),""))</f>
        <v/>
      </c>
      <c r="N974" s="33">
        <f>IF($D974="","",IFERROR(IF(INDEX(RUNS!$G$6:$G$1005,MATCH($D974,RUNS!$A$6:$A$1005,0))="","",INDEX(RUNS!$G$6:$G$1005,MATCH($D974,RUNS!$A$6:$A$1005,0))),""))</f>
        <v/>
      </c>
      <c r="O974" s="33">
        <f>IF($D974="","",IFERROR(IF(INDEX(RUNS!$H$6:$H$1005,MATCH($D974,RUNS!$A$6:$A$1005,0))="","",INDEX(RUNS!$H$6:$H$1005,MATCH($D974,RUNS!$A$6:$A$1005,0))),""))</f>
        <v/>
      </c>
      <c r="P974" s="33">
        <f>IF($D974="","",IFERROR(IF(INDEX(RUNS!$J$6:$J$1005,MATCH($D974,RUNS!$A$6:$A$1005,0))="","",INDEX(RUNS!$J$6:$J$1005,MATCH($D974,RUNS!$A$6:$A$1005,0))),""))</f>
        <v/>
      </c>
      <c r="Q974" s="33">
        <f>IF($D974="","",IFERROR(IF(INDEX(RUNS!$K$6:$K$1005,MATCH($D974,RUNS!$A$6:$A$1005,0))="","",INDEX(RUNS!$K$6:$K$1005,MATCH($D974,RUNS!$A$6:$A$1005,0))),""))</f>
        <v/>
      </c>
      <c r="R974" s="34">
        <f>IF(OR($L974="",$K974=""),"",IFERROR(IF(INDEX(PARAMETRES!$H$43:$H$342,MATCH($L974&amp;"|"&amp;$M974&amp;"|"&amp;$N974&amp;"|"&amp;$O974&amp;"|"&amp;$P974&amp;"|"&amp;$Q974&amp;"|"&amp;$K974,PARAMETRES!$J$43:$J$342,0))="","",INDEX(PARAMETRES!$H$43:$H$342,MATCH($L974&amp;"|"&amp;$M974&amp;"|"&amp;$N974&amp;"|"&amp;$O974&amp;"|"&amp;$P974&amp;"|"&amp;$Q974&amp;"|"&amp;$K974,PARAMETRES!$J$43:$J$342,0))),""))</f>
        <v/>
      </c>
      <c r="S974" s="35">
        <f>IF(OR($G974="",$X974&lt;&gt;"VALIDE"),"",IFERROR(LOOKUP(2,1/(($B74:$B973=$B974)*($G74:$G973=$G974)*($X74:$X973="VALIDE")),$C74:$C973),""))</f>
        <v/>
      </c>
      <c r="T974" s="36">
        <f>IF(OR($C974="",$S974=""),"",ROUND(($C974-$S974+IF($C974&lt;$S974,1,0))*1440,0))</f>
        <v/>
      </c>
      <c r="U974" s="22">
        <f>IF(OR($H974="",$T974="",$T974&lt;=0),"",$H974*60/$T974)</f>
        <v/>
      </c>
      <c r="V974" s="37">
        <f>IF(OR($U974="",$R974="",$R974=0),"",$U974/$R974)</f>
        <v/>
      </c>
      <c r="W974" s="20">
        <f>IF($G974="","",IF($X974="CONTEXTE INCOMPLET","CONTEXTE INCOMPLET",IF($X974="DOUBLON",StatutDoublon,IF($S974="",StatutInitial,IF($R974="",StatutStandardManquant,IF($V974="","DONNEES INSUFFISANTES",IF($V974&gt;=SeuilConforme,StatutConforme,IF($V974&gt;=SeuilSurveiller,StatutSurveiller,StatutSousStandard))))))))</f>
        <v/>
      </c>
      <c r="X974" s="33">
        <f>IF($G974="","",IF(OR($D974="",$E974="",$F974=""),"CONTEXTE INCOMPLET",IF(COUNTIFS($D74:$D973,$D974,$E74:$E973,$E974,$F74:$F973,$F974,$G74:$G973,$G974)&gt;0,"DOUBLON","VALIDE")))</f>
        <v/>
      </c>
    </row>
    <row r="975" ht="15" customHeight="1">
      <c r="A975" s="12">
        <f>IF(OR($B975="",$G975=""),"",TEXT($B975,"YYYYMMDD")&amp;"-"&amp;SUBSTITUTE($E975," ","")&amp;"-"&amp;$F975&amp;"-"&amp;$G975)</f>
        <v/>
      </c>
      <c r="B975" s="15" t="n"/>
      <c r="C975" s="16" t="n"/>
      <c r="D975" s="10" t="n"/>
      <c r="E975" s="9" t="n"/>
      <c r="F975" s="9" t="n"/>
      <c r="G975" s="13" t="n"/>
      <c r="H975" s="21" t="n"/>
      <c r="I975" s="21" t="n"/>
      <c r="J975" s="17">
        <f>IF($G975="","",IFERROR(INDEX(NomsEmployes,MATCH($G975,MatriculesEmployes,0)),"MATRICULE INCONNU"))</f>
        <v/>
      </c>
      <c r="K975" s="33">
        <f>IF(OR($D975="",$F975=""),"",IFERROR(IF(INDEX(RUNS!$L$6:$S$1005,MATCH($D975,RUNS!$A$6:$A$1005,0),MATCH("ACTIVITÉ "&amp;$F975,RUNS!$L$5:$S$5,0))="","",INDEX(RUNS!$L$6:$S$1005,MATCH($D975,RUNS!$A$6:$A$1005,0),MATCH("ACTIVITÉ "&amp;$F975,RUNS!$L$5:$S$5,0))),""))</f>
        <v/>
      </c>
      <c r="L975" s="33">
        <f>IF($D975="","",IFERROR(IF(INDEX(RUNS!$E$6:$E$1005,MATCH($D975,RUNS!$A$6:$A$1005,0))="","",INDEX(RUNS!$E$6:$E$1005,MATCH($D975,RUNS!$A$6:$A$1005,0))),""))</f>
        <v/>
      </c>
      <c r="M975" s="33">
        <f>IF($D975="","",IFERROR(IF(INDEX(RUNS!$F$6:$F$1005,MATCH($D975,RUNS!$A$6:$A$1005,0))="","",INDEX(RUNS!$F$6:$F$1005,MATCH($D975,RUNS!$A$6:$A$1005,0))),""))</f>
        <v/>
      </c>
      <c r="N975" s="33">
        <f>IF($D975="","",IFERROR(IF(INDEX(RUNS!$G$6:$G$1005,MATCH($D975,RUNS!$A$6:$A$1005,0))="","",INDEX(RUNS!$G$6:$G$1005,MATCH($D975,RUNS!$A$6:$A$1005,0))),""))</f>
        <v/>
      </c>
      <c r="O975" s="33">
        <f>IF($D975="","",IFERROR(IF(INDEX(RUNS!$H$6:$H$1005,MATCH($D975,RUNS!$A$6:$A$1005,0))="","",INDEX(RUNS!$H$6:$H$1005,MATCH($D975,RUNS!$A$6:$A$1005,0))),""))</f>
        <v/>
      </c>
      <c r="P975" s="33">
        <f>IF($D975="","",IFERROR(IF(INDEX(RUNS!$J$6:$J$1005,MATCH($D975,RUNS!$A$6:$A$1005,0))="","",INDEX(RUNS!$J$6:$J$1005,MATCH($D975,RUNS!$A$6:$A$1005,0))),""))</f>
        <v/>
      </c>
      <c r="Q975" s="33">
        <f>IF($D975="","",IFERROR(IF(INDEX(RUNS!$K$6:$K$1005,MATCH($D975,RUNS!$A$6:$A$1005,0))="","",INDEX(RUNS!$K$6:$K$1005,MATCH($D975,RUNS!$A$6:$A$1005,0))),""))</f>
        <v/>
      </c>
      <c r="R975" s="34">
        <f>IF(OR($L975="",$K975=""),"",IFERROR(IF(INDEX(PARAMETRES!$H$43:$H$342,MATCH($L975&amp;"|"&amp;$M975&amp;"|"&amp;$N975&amp;"|"&amp;$O975&amp;"|"&amp;$P975&amp;"|"&amp;$Q975&amp;"|"&amp;$K975,PARAMETRES!$J$43:$J$342,0))="","",INDEX(PARAMETRES!$H$43:$H$342,MATCH($L975&amp;"|"&amp;$M975&amp;"|"&amp;$N975&amp;"|"&amp;$O975&amp;"|"&amp;$P975&amp;"|"&amp;$Q975&amp;"|"&amp;$K975,PARAMETRES!$J$43:$J$342,0))),""))</f>
        <v/>
      </c>
      <c r="S975" s="35">
        <f>IF(OR($G975="",$X975&lt;&gt;"VALIDE"),"",IFERROR(LOOKUP(2,1/(($B75:$B974=$B975)*($G75:$G974=$G975)*($X75:$X974="VALIDE")),$C75:$C974),""))</f>
        <v/>
      </c>
      <c r="T975" s="36">
        <f>IF(OR($C975="",$S975=""),"",ROUND(($C975-$S975+IF($C975&lt;$S975,1,0))*1440,0))</f>
        <v/>
      </c>
      <c r="U975" s="22">
        <f>IF(OR($H975="",$T975="",$T975&lt;=0),"",$H975*60/$T975)</f>
        <v/>
      </c>
      <c r="V975" s="37">
        <f>IF(OR($U975="",$R975="",$R975=0),"",$U975/$R975)</f>
        <v/>
      </c>
      <c r="W975" s="20">
        <f>IF($G975="","",IF($X975="CONTEXTE INCOMPLET","CONTEXTE INCOMPLET",IF($X975="DOUBLON",StatutDoublon,IF($S975="",StatutInitial,IF($R975="",StatutStandardManquant,IF($V975="","DONNEES INSUFFISANTES",IF($V975&gt;=SeuilConforme,StatutConforme,IF($V975&gt;=SeuilSurveiller,StatutSurveiller,StatutSousStandard))))))))</f>
        <v/>
      </c>
      <c r="X975" s="33">
        <f>IF($G975="","",IF(OR($D975="",$E975="",$F975=""),"CONTEXTE INCOMPLET",IF(COUNTIFS($D75:$D974,$D975,$E75:$E974,$E975,$F75:$F974,$F975,$G75:$G974,$G975)&gt;0,"DOUBLON","VALIDE")))</f>
        <v/>
      </c>
    </row>
    <row r="976" ht="15" customHeight="1">
      <c r="A976" s="12">
        <f>IF(OR($B976="",$G976=""),"",TEXT($B976,"YYYYMMDD")&amp;"-"&amp;SUBSTITUTE($E976," ","")&amp;"-"&amp;$F976&amp;"-"&amp;$G976)</f>
        <v/>
      </c>
      <c r="B976" s="15" t="n"/>
      <c r="C976" s="16" t="n"/>
      <c r="D976" s="10" t="n"/>
      <c r="E976" s="9" t="n"/>
      <c r="F976" s="9" t="n"/>
      <c r="G976" s="13" t="n"/>
      <c r="H976" s="21" t="n"/>
      <c r="I976" s="21" t="n"/>
      <c r="J976" s="17">
        <f>IF($G976="","",IFERROR(INDEX(NomsEmployes,MATCH($G976,MatriculesEmployes,0)),"MATRICULE INCONNU"))</f>
        <v/>
      </c>
      <c r="K976" s="33">
        <f>IF(OR($D976="",$F976=""),"",IFERROR(IF(INDEX(RUNS!$L$6:$S$1005,MATCH($D976,RUNS!$A$6:$A$1005,0),MATCH("ACTIVITÉ "&amp;$F976,RUNS!$L$5:$S$5,0))="","",INDEX(RUNS!$L$6:$S$1005,MATCH($D976,RUNS!$A$6:$A$1005,0),MATCH("ACTIVITÉ "&amp;$F976,RUNS!$L$5:$S$5,0))),""))</f>
        <v/>
      </c>
      <c r="L976" s="33">
        <f>IF($D976="","",IFERROR(IF(INDEX(RUNS!$E$6:$E$1005,MATCH($D976,RUNS!$A$6:$A$1005,0))="","",INDEX(RUNS!$E$6:$E$1005,MATCH($D976,RUNS!$A$6:$A$1005,0))),""))</f>
        <v/>
      </c>
      <c r="M976" s="33">
        <f>IF($D976="","",IFERROR(IF(INDEX(RUNS!$F$6:$F$1005,MATCH($D976,RUNS!$A$6:$A$1005,0))="","",INDEX(RUNS!$F$6:$F$1005,MATCH($D976,RUNS!$A$6:$A$1005,0))),""))</f>
        <v/>
      </c>
      <c r="N976" s="33">
        <f>IF($D976="","",IFERROR(IF(INDEX(RUNS!$G$6:$G$1005,MATCH($D976,RUNS!$A$6:$A$1005,0))="","",INDEX(RUNS!$G$6:$G$1005,MATCH($D976,RUNS!$A$6:$A$1005,0))),""))</f>
        <v/>
      </c>
      <c r="O976" s="33">
        <f>IF($D976="","",IFERROR(IF(INDEX(RUNS!$H$6:$H$1005,MATCH($D976,RUNS!$A$6:$A$1005,0))="","",INDEX(RUNS!$H$6:$H$1005,MATCH($D976,RUNS!$A$6:$A$1005,0))),""))</f>
        <v/>
      </c>
      <c r="P976" s="33">
        <f>IF($D976="","",IFERROR(IF(INDEX(RUNS!$J$6:$J$1005,MATCH($D976,RUNS!$A$6:$A$1005,0))="","",INDEX(RUNS!$J$6:$J$1005,MATCH($D976,RUNS!$A$6:$A$1005,0))),""))</f>
        <v/>
      </c>
      <c r="Q976" s="33">
        <f>IF($D976="","",IFERROR(IF(INDEX(RUNS!$K$6:$K$1005,MATCH($D976,RUNS!$A$6:$A$1005,0))="","",INDEX(RUNS!$K$6:$K$1005,MATCH($D976,RUNS!$A$6:$A$1005,0))),""))</f>
        <v/>
      </c>
      <c r="R976" s="34">
        <f>IF(OR($L976="",$K976=""),"",IFERROR(IF(INDEX(PARAMETRES!$H$43:$H$342,MATCH($L976&amp;"|"&amp;$M976&amp;"|"&amp;$N976&amp;"|"&amp;$O976&amp;"|"&amp;$P976&amp;"|"&amp;$Q976&amp;"|"&amp;$K976,PARAMETRES!$J$43:$J$342,0))="","",INDEX(PARAMETRES!$H$43:$H$342,MATCH($L976&amp;"|"&amp;$M976&amp;"|"&amp;$N976&amp;"|"&amp;$O976&amp;"|"&amp;$P976&amp;"|"&amp;$Q976&amp;"|"&amp;$K976,PARAMETRES!$J$43:$J$342,0))),""))</f>
        <v/>
      </c>
      <c r="S976" s="35">
        <f>IF(OR($G976="",$X976&lt;&gt;"VALIDE"),"",IFERROR(LOOKUP(2,1/(($B76:$B975=$B976)*($G76:$G975=$G976)*($X76:$X975="VALIDE")),$C76:$C975),""))</f>
        <v/>
      </c>
      <c r="T976" s="36">
        <f>IF(OR($C976="",$S976=""),"",ROUND(($C976-$S976+IF($C976&lt;$S976,1,0))*1440,0))</f>
        <v/>
      </c>
      <c r="U976" s="22">
        <f>IF(OR($H976="",$T976="",$T976&lt;=0),"",$H976*60/$T976)</f>
        <v/>
      </c>
      <c r="V976" s="37">
        <f>IF(OR($U976="",$R976="",$R976=0),"",$U976/$R976)</f>
        <v/>
      </c>
      <c r="W976" s="20">
        <f>IF($G976="","",IF($X976="CONTEXTE INCOMPLET","CONTEXTE INCOMPLET",IF($X976="DOUBLON",StatutDoublon,IF($S976="",StatutInitial,IF($R976="",StatutStandardManquant,IF($V976="","DONNEES INSUFFISANTES",IF($V976&gt;=SeuilConforme,StatutConforme,IF($V976&gt;=SeuilSurveiller,StatutSurveiller,StatutSousStandard))))))))</f>
        <v/>
      </c>
      <c r="X976" s="33">
        <f>IF($G976="","",IF(OR($D976="",$E976="",$F976=""),"CONTEXTE INCOMPLET",IF(COUNTIFS($D76:$D975,$D976,$E76:$E975,$E976,$F76:$F975,$F976,$G76:$G975,$G976)&gt;0,"DOUBLON","VALIDE")))</f>
        <v/>
      </c>
    </row>
    <row r="977" ht="15" customHeight="1">
      <c r="A977" s="12">
        <f>IF(OR($B977="",$G977=""),"",TEXT($B977,"YYYYMMDD")&amp;"-"&amp;SUBSTITUTE($E977," ","")&amp;"-"&amp;$F977&amp;"-"&amp;$G977)</f>
        <v/>
      </c>
      <c r="B977" s="15" t="n"/>
      <c r="C977" s="16" t="n"/>
      <c r="D977" s="10" t="n"/>
      <c r="E977" s="9" t="n"/>
      <c r="F977" s="9" t="n"/>
      <c r="G977" s="13" t="n"/>
      <c r="H977" s="21" t="n"/>
      <c r="I977" s="21" t="n"/>
      <c r="J977" s="17">
        <f>IF($G977="","",IFERROR(INDEX(NomsEmployes,MATCH($G977,MatriculesEmployes,0)),"MATRICULE INCONNU"))</f>
        <v/>
      </c>
      <c r="K977" s="33">
        <f>IF(OR($D977="",$F977=""),"",IFERROR(IF(INDEX(RUNS!$L$6:$S$1005,MATCH($D977,RUNS!$A$6:$A$1005,0),MATCH("ACTIVITÉ "&amp;$F977,RUNS!$L$5:$S$5,0))="","",INDEX(RUNS!$L$6:$S$1005,MATCH($D977,RUNS!$A$6:$A$1005,0),MATCH("ACTIVITÉ "&amp;$F977,RUNS!$L$5:$S$5,0))),""))</f>
        <v/>
      </c>
      <c r="L977" s="33">
        <f>IF($D977="","",IFERROR(IF(INDEX(RUNS!$E$6:$E$1005,MATCH($D977,RUNS!$A$6:$A$1005,0))="","",INDEX(RUNS!$E$6:$E$1005,MATCH($D977,RUNS!$A$6:$A$1005,0))),""))</f>
        <v/>
      </c>
      <c r="M977" s="33">
        <f>IF($D977="","",IFERROR(IF(INDEX(RUNS!$F$6:$F$1005,MATCH($D977,RUNS!$A$6:$A$1005,0))="","",INDEX(RUNS!$F$6:$F$1005,MATCH($D977,RUNS!$A$6:$A$1005,0))),""))</f>
        <v/>
      </c>
      <c r="N977" s="33">
        <f>IF($D977="","",IFERROR(IF(INDEX(RUNS!$G$6:$G$1005,MATCH($D977,RUNS!$A$6:$A$1005,0))="","",INDEX(RUNS!$G$6:$G$1005,MATCH($D977,RUNS!$A$6:$A$1005,0))),""))</f>
        <v/>
      </c>
      <c r="O977" s="33">
        <f>IF($D977="","",IFERROR(IF(INDEX(RUNS!$H$6:$H$1005,MATCH($D977,RUNS!$A$6:$A$1005,0))="","",INDEX(RUNS!$H$6:$H$1005,MATCH($D977,RUNS!$A$6:$A$1005,0))),""))</f>
        <v/>
      </c>
      <c r="P977" s="33">
        <f>IF($D977="","",IFERROR(IF(INDEX(RUNS!$J$6:$J$1005,MATCH($D977,RUNS!$A$6:$A$1005,0))="","",INDEX(RUNS!$J$6:$J$1005,MATCH($D977,RUNS!$A$6:$A$1005,0))),""))</f>
        <v/>
      </c>
      <c r="Q977" s="33">
        <f>IF($D977="","",IFERROR(IF(INDEX(RUNS!$K$6:$K$1005,MATCH($D977,RUNS!$A$6:$A$1005,0))="","",INDEX(RUNS!$K$6:$K$1005,MATCH($D977,RUNS!$A$6:$A$1005,0))),""))</f>
        <v/>
      </c>
      <c r="R977" s="34">
        <f>IF(OR($L977="",$K977=""),"",IFERROR(IF(INDEX(PARAMETRES!$H$43:$H$342,MATCH($L977&amp;"|"&amp;$M977&amp;"|"&amp;$N977&amp;"|"&amp;$O977&amp;"|"&amp;$P977&amp;"|"&amp;$Q977&amp;"|"&amp;$K977,PARAMETRES!$J$43:$J$342,0))="","",INDEX(PARAMETRES!$H$43:$H$342,MATCH($L977&amp;"|"&amp;$M977&amp;"|"&amp;$N977&amp;"|"&amp;$O977&amp;"|"&amp;$P977&amp;"|"&amp;$Q977&amp;"|"&amp;$K977,PARAMETRES!$J$43:$J$342,0))),""))</f>
        <v/>
      </c>
      <c r="S977" s="35">
        <f>IF(OR($G977="",$X977&lt;&gt;"VALIDE"),"",IFERROR(LOOKUP(2,1/(($B77:$B976=$B977)*($G77:$G976=$G977)*($X77:$X976="VALIDE")),$C77:$C976),""))</f>
        <v/>
      </c>
      <c r="T977" s="36">
        <f>IF(OR($C977="",$S977=""),"",ROUND(($C977-$S977+IF($C977&lt;$S977,1,0))*1440,0))</f>
        <v/>
      </c>
      <c r="U977" s="22">
        <f>IF(OR($H977="",$T977="",$T977&lt;=0),"",$H977*60/$T977)</f>
        <v/>
      </c>
      <c r="V977" s="37">
        <f>IF(OR($U977="",$R977="",$R977=0),"",$U977/$R977)</f>
        <v/>
      </c>
      <c r="W977" s="20">
        <f>IF($G977="","",IF($X977="CONTEXTE INCOMPLET","CONTEXTE INCOMPLET",IF($X977="DOUBLON",StatutDoublon,IF($S977="",StatutInitial,IF($R977="",StatutStandardManquant,IF($V977="","DONNEES INSUFFISANTES",IF($V977&gt;=SeuilConforme,StatutConforme,IF($V977&gt;=SeuilSurveiller,StatutSurveiller,StatutSousStandard))))))))</f>
        <v/>
      </c>
      <c r="X977" s="33">
        <f>IF($G977="","",IF(OR($D977="",$E977="",$F977=""),"CONTEXTE INCOMPLET",IF(COUNTIFS($D77:$D976,$D977,$E77:$E976,$E977,$F77:$F976,$F977,$G77:$G976,$G977)&gt;0,"DOUBLON","VALIDE")))</f>
        <v/>
      </c>
    </row>
    <row r="978" ht="15" customHeight="1">
      <c r="A978" s="12">
        <f>IF(OR($B978="",$G978=""),"",TEXT($B978,"YYYYMMDD")&amp;"-"&amp;SUBSTITUTE($E978," ","")&amp;"-"&amp;$F978&amp;"-"&amp;$G978)</f>
        <v/>
      </c>
      <c r="B978" s="15" t="n"/>
      <c r="C978" s="16" t="n"/>
      <c r="D978" s="10" t="n"/>
      <c r="E978" s="9" t="n"/>
      <c r="F978" s="9" t="n"/>
      <c r="G978" s="13" t="n"/>
      <c r="H978" s="21" t="n"/>
      <c r="I978" s="21" t="n"/>
      <c r="J978" s="17">
        <f>IF($G978="","",IFERROR(INDEX(NomsEmployes,MATCH($G978,MatriculesEmployes,0)),"MATRICULE INCONNU"))</f>
        <v/>
      </c>
      <c r="K978" s="33">
        <f>IF(OR($D978="",$F978=""),"",IFERROR(IF(INDEX(RUNS!$L$6:$S$1005,MATCH($D978,RUNS!$A$6:$A$1005,0),MATCH("ACTIVITÉ "&amp;$F978,RUNS!$L$5:$S$5,0))="","",INDEX(RUNS!$L$6:$S$1005,MATCH($D978,RUNS!$A$6:$A$1005,0),MATCH("ACTIVITÉ "&amp;$F978,RUNS!$L$5:$S$5,0))),""))</f>
        <v/>
      </c>
      <c r="L978" s="33">
        <f>IF($D978="","",IFERROR(IF(INDEX(RUNS!$E$6:$E$1005,MATCH($D978,RUNS!$A$6:$A$1005,0))="","",INDEX(RUNS!$E$6:$E$1005,MATCH($D978,RUNS!$A$6:$A$1005,0))),""))</f>
        <v/>
      </c>
      <c r="M978" s="33">
        <f>IF($D978="","",IFERROR(IF(INDEX(RUNS!$F$6:$F$1005,MATCH($D978,RUNS!$A$6:$A$1005,0))="","",INDEX(RUNS!$F$6:$F$1005,MATCH($D978,RUNS!$A$6:$A$1005,0))),""))</f>
        <v/>
      </c>
      <c r="N978" s="33">
        <f>IF($D978="","",IFERROR(IF(INDEX(RUNS!$G$6:$G$1005,MATCH($D978,RUNS!$A$6:$A$1005,0))="","",INDEX(RUNS!$G$6:$G$1005,MATCH($D978,RUNS!$A$6:$A$1005,0))),""))</f>
        <v/>
      </c>
      <c r="O978" s="33">
        <f>IF($D978="","",IFERROR(IF(INDEX(RUNS!$H$6:$H$1005,MATCH($D978,RUNS!$A$6:$A$1005,0))="","",INDEX(RUNS!$H$6:$H$1005,MATCH($D978,RUNS!$A$6:$A$1005,0))),""))</f>
        <v/>
      </c>
      <c r="P978" s="33">
        <f>IF($D978="","",IFERROR(IF(INDEX(RUNS!$J$6:$J$1005,MATCH($D978,RUNS!$A$6:$A$1005,0))="","",INDEX(RUNS!$J$6:$J$1005,MATCH($D978,RUNS!$A$6:$A$1005,0))),""))</f>
        <v/>
      </c>
      <c r="Q978" s="33">
        <f>IF($D978="","",IFERROR(IF(INDEX(RUNS!$K$6:$K$1005,MATCH($D978,RUNS!$A$6:$A$1005,0))="","",INDEX(RUNS!$K$6:$K$1005,MATCH($D978,RUNS!$A$6:$A$1005,0))),""))</f>
        <v/>
      </c>
      <c r="R978" s="34">
        <f>IF(OR($L978="",$K978=""),"",IFERROR(IF(INDEX(PARAMETRES!$H$43:$H$342,MATCH($L978&amp;"|"&amp;$M978&amp;"|"&amp;$N978&amp;"|"&amp;$O978&amp;"|"&amp;$P978&amp;"|"&amp;$Q978&amp;"|"&amp;$K978,PARAMETRES!$J$43:$J$342,0))="","",INDEX(PARAMETRES!$H$43:$H$342,MATCH($L978&amp;"|"&amp;$M978&amp;"|"&amp;$N978&amp;"|"&amp;$O978&amp;"|"&amp;$P978&amp;"|"&amp;$Q978&amp;"|"&amp;$K978,PARAMETRES!$J$43:$J$342,0))),""))</f>
        <v/>
      </c>
      <c r="S978" s="35">
        <f>IF(OR($G978="",$X978&lt;&gt;"VALIDE"),"",IFERROR(LOOKUP(2,1/(($B78:$B977=$B978)*($G78:$G977=$G978)*($X78:$X977="VALIDE")),$C78:$C977),""))</f>
        <v/>
      </c>
      <c r="T978" s="36">
        <f>IF(OR($C978="",$S978=""),"",ROUND(($C978-$S978+IF($C978&lt;$S978,1,0))*1440,0))</f>
        <v/>
      </c>
      <c r="U978" s="22">
        <f>IF(OR($H978="",$T978="",$T978&lt;=0),"",$H978*60/$T978)</f>
        <v/>
      </c>
      <c r="V978" s="37">
        <f>IF(OR($U978="",$R978="",$R978=0),"",$U978/$R978)</f>
        <v/>
      </c>
      <c r="W978" s="20">
        <f>IF($G978="","",IF($X978="CONTEXTE INCOMPLET","CONTEXTE INCOMPLET",IF($X978="DOUBLON",StatutDoublon,IF($S978="",StatutInitial,IF($R978="",StatutStandardManquant,IF($V978="","DONNEES INSUFFISANTES",IF($V978&gt;=SeuilConforme,StatutConforme,IF($V978&gt;=SeuilSurveiller,StatutSurveiller,StatutSousStandard))))))))</f>
        <v/>
      </c>
      <c r="X978" s="33">
        <f>IF($G978="","",IF(OR($D978="",$E978="",$F978=""),"CONTEXTE INCOMPLET",IF(COUNTIFS($D78:$D977,$D978,$E78:$E977,$E978,$F78:$F977,$F978,$G78:$G977,$G978)&gt;0,"DOUBLON","VALIDE")))</f>
        <v/>
      </c>
    </row>
    <row r="979" ht="15" customHeight="1">
      <c r="A979" s="12">
        <f>IF(OR($B979="",$G979=""),"",TEXT($B979,"YYYYMMDD")&amp;"-"&amp;SUBSTITUTE($E979," ","")&amp;"-"&amp;$F979&amp;"-"&amp;$G979)</f>
        <v/>
      </c>
      <c r="B979" s="15" t="n"/>
      <c r="C979" s="16" t="n"/>
      <c r="D979" s="10" t="n"/>
      <c r="E979" s="9" t="n"/>
      <c r="F979" s="9" t="n"/>
      <c r="G979" s="13" t="n"/>
      <c r="H979" s="21" t="n"/>
      <c r="I979" s="21" t="n"/>
      <c r="J979" s="17">
        <f>IF($G979="","",IFERROR(INDEX(NomsEmployes,MATCH($G979,MatriculesEmployes,0)),"MATRICULE INCONNU"))</f>
        <v/>
      </c>
      <c r="K979" s="33">
        <f>IF(OR($D979="",$F979=""),"",IFERROR(IF(INDEX(RUNS!$L$6:$S$1005,MATCH($D979,RUNS!$A$6:$A$1005,0),MATCH("ACTIVITÉ "&amp;$F979,RUNS!$L$5:$S$5,0))="","",INDEX(RUNS!$L$6:$S$1005,MATCH($D979,RUNS!$A$6:$A$1005,0),MATCH("ACTIVITÉ "&amp;$F979,RUNS!$L$5:$S$5,0))),""))</f>
        <v/>
      </c>
      <c r="L979" s="33">
        <f>IF($D979="","",IFERROR(IF(INDEX(RUNS!$E$6:$E$1005,MATCH($D979,RUNS!$A$6:$A$1005,0))="","",INDEX(RUNS!$E$6:$E$1005,MATCH($D979,RUNS!$A$6:$A$1005,0))),""))</f>
        <v/>
      </c>
      <c r="M979" s="33">
        <f>IF($D979="","",IFERROR(IF(INDEX(RUNS!$F$6:$F$1005,MATCH($D979,RUNS!$A$6:$A$1005,0))="","",INDEX(RUNS!$F$6:$F$1005,MATCH($D979,RUNS!$A$6:$A$1005,0))),""))</f>
        <v/>
      </c>
      <c r="N979" s="33">
        <f>IF($D979="","",IFERROR(IF(INDEX(RUNS!$G$6:$G$1005,MATCH($D979,RUNS!$A$6:$A$1005,0))="","",INDEX(RUNS!$G$6:$G$1005,MATCH($D979,RUNS!$A$6:$A$1005,0))),""))</f>
        <v/>
      </c>
      <c r="O979" s="33">
        <f>IF($D979="","",IFERROR(IF(INDEX(RUNS!$H$6:$H$1005,MATCH($D979,RUNS!$A$6:$A$1005,0))="","",INDEX(RUNS!$H$6:$H$1005,MATCH($D979,RUNS!$A$6:$A$1005,0))),""))</f>
        <v/>
      </c>
      <c r="P979" s="33">
        <f>IF($D979="","",IFERROR(IF(INDEX(RUNS!$J$6:$J$1005,MATCH($D979,RUNS!$A$6:$A$1005,0))="","",INDEX(RUNS!$J$6:$J$1005,MATCH($D979,RUNS!$A$6:$A$1005,0))),""))</f>
        <v/>
      </c>
      <c r="Q979" s="33">
        <f>IF($D979="","",IFERROR(IF(INDEX(RUNS!$K$6:$K$1005,MATCH($D979,RUNS!$A$6:$A$1005,0))="","",INDEX(RUNS!$K$6:$K$1005,MATCH($D979,RUNS!$A$6:$A$1005,0))),""))</f>
        <v/>
      </c>
      <c r="R979" s="34">
        <f>IF(OR($L979="",$K979=""),"",IFERROR(IF(INDEX(PARAMETRES!$H$43:$H$342,MATCH($L979&amp;"|"&amp;$M979&amp;"|"&amp;$N979&amp;"|"&amp;$O979&amp;"|"&amp;$P979&amp;"|"&amp;$Q979&amp;"|"&amp;$K979,PARAMETRES!$J$43:$J$342,0))="","",INDEX(PARAMETRES!$H$43:$H$342,MATCH($L979&amp;"|"&amp;$M979&amp;"|"&amp;$N979&amp;"|"&amp;$O979&amp;"|"&amp;$P979&amp;"|"&amp;$Q979&amp;"|"&amp;$K979,PARAMETRES!$J$43:$J$342,0))),""))</f>
        <v/>
      </c>
      <c r="S979" s="35">
        <f>IF(OR($G979="",$X979&lt;&gt;"VALIDE"),"",IFERROR(LOOKUP(2,1/(($B79:$B978=$B979)*($G79:$G978=$G979)*($X79:$X978="VALIDE")),$C79:$C978),""))</f>
        <v/>
      </c>
      <c r="T979" s="36">
        <f>IF(OR($C979="",$S979=""),"",ROUND(($C979-$S979+IF($C979&lt;$S979,1,0))*1440,0))</f>
        <v/>
      </c>
      <c r="U979" s="22">
        <f>IF(OR($H979="",$T979="",$T979&lt;=0),"",$H979*60/$T979)</f>
        <v/>
      </c>
      <c r="V979" s="37">
        <f>IF(OR($U979="",$R979="",$R979=0),"",$U979/$R979)</f>
        <v/>
      </c>
      <c r="W979" s="20">
        <f>IF($G979="","",IF($X979="CONTEXTE INCOMPLET","CONTEXTE INCOMPLET",IF($X979="DOUBLON",StatutDoublon,IF($S979="",StatutInitial,IF($R979="",StatutStandardManquant,IF($V979="","DONNEES INSUFFISANTES",IF($V979&gt;=SeuilConforme,StatutConforme,IF($V979&gt;=SeuilSurveiller,StatutSurveiller,StatutSousStandard))))))))</f>
        <v/>
      </c>
      <c r="X979" s="33">
        <f>IF($G979="","",IF(OR($D979="",$E979="",$F979=""),"CONTEXTE INCOMPLET",IF(COUNTIFS($D79:$D978,$D979,$E79:$E978,$E979,$F79:$F978,$F979,$G79:$G978,$G979)&gt;0,"DOUBLON","VALIDE")))</f>
        <v/>
      </c>
    </row>
    <row r="980" ht="15" customHeight="1">
      <c r="A980" s="12">
        <f>IF(OR($B980="",$G980=""),"",TEXT($B980,"YYYYMMDD")&amp;"-"&amp;SUBSTITUTE($E980," ","")&amp;"-"&amp;$F980&amp;"-"&amp;$G980)</f>
        <v/>
      </c>
      <c r="B980" s="15" t="n"/>
      <c r="C980" s="16" t="n"/>
      <c r="D980" s="10" t="n"/>
      <c r="E980" s="9" t="n"/>
      <c r="F980" s="9" t="n"/>
      <c r="G980" s="13" t="n"/>
      <c r="H980" s="21" t="n"/>
      <c r="I980" s="21" t="n"/>
      <c r="J980" s="17">
        <f>IF($G980="","",IFERROR(INDEX(NomsEmployes,MATCH($G980,MatriculesEmployes,0)),"MATRICULE INCONNU"))</f>
        <v/>
      </c>
      <c r="K980" s="33">
        <f>IF(OR($D980="",$F980=""),"",IFERROR(IF(INDEX(RUNS!$L$6:$S$1005,MATCH($D980,RUNS!$A$6:$A$1005,0),MATCH("ACTIVITÉ "&amp;$F980,RUNS!$L$5:$S$5,0))="","",INDEX(RUNS!$L$6:$S$1005,MATCH($D980,RUNS!$A$6:$A$1005,0),MATCH("ACTIVITÉ "&amp;$F980,RUNS!$L$5:$S$5,0))),""))</f>
        <v/>
      </c>
      <c r="L980" s="33">
        <f>IF($D980="","",IFERROR(IF(INDEX(RUNS!$E$6:$E$1005,MATCH($D980,RUNS!$A$6:$A$1005,0))="","",INDEX(RUNS!$E$6:$E$1005,MATCH($D980,RUNS!$A$6:$A$1005,0))),""))</f>
        <v/>
      </c>
      <c r="M980" s="33">
        <f>IF($D980="","",IFERROR(IF(INDEX(RUNS!$F$6:$F$1005,MATCH($D980,RUNS!$A$6:$A$1005,0))="","",INDEX(RUNS!$F$6:$F$1005,MATCH($D980,RUNS!$A$6:$A$1005,0))),""))</f>
        <v/>
      </c>
      <c r="N980" s="33">
        <f>IF($D980="","",IFERROR(IF(INDEX(RUNS!$G$6:$G$1005,MATCH($D980,RUNS!$A$6:$A$1005,0))="","",INDEX(RUNS!$G$6:$G$1005,MATCH($D980,RUNS!$A$6:$A$1005,0))),""))</f>
        <v/>
      </c>
      <c r="O980" s="33">
        <f>IF($D980="","",IFERROR(IF(INDEX(RUNS!$H$6:$H$1005,MATCH($D980,RUNS!$A$6:$A$1005,0))="","",INDEX(RUNS!$H$6:$H$1005,MATCH($D980,RUNS!$A$6:$A$1005,0))),""))</f>
        <v/>
      </c>
      <c r="P980" s="33">
        <f>IF($D980="","",IFERROR(IF(INDEX(RUNS!$J$6:$J$1005,MATCH($D980,RUNS!$A$6:$A$1005,0))="","",INDEX(RUNS!$J$6:$J$1005,MATCH($D980,RUNS!$A$6:$A$1005,0))),""))</f>
        <v/>
      </c>
      <c r="Q980" s="33">
        <f>IF($D980="","",IFERROR(IF(INDEX(RUNS!$K$6:$K$1005,MATCH($D980,RUNS!$A$6:$A$1005,0))="","",INDEX(RUNS!$K$6:$K$1005,MATCH($D980,RUNS!$A$6:$A$1005,0))),""))</f>
        <v/>
      </c>
      <c r="R980" s="34">
        <f>IF(OR($L980="",$K980=""),"",IFERROR(IF(INDEX(PARAMETRES!$H$43:$H$342,MATCH($L980&amp;"|"&amp;$M980&amp;"|"&amp;$N980&amp;"|"&amp;$O980&amp;"|"&amp;$P980&amp;"|"&amp;$Q980&amp;"|"&amp;$K980,PARAMETRES!$J$43:$J$342,0))="","",INDEX(PARAMETRES!$H$43:$H$342,MATCH($L980&amp;"|"&amp;$M980&amp;"|"&amp;$N980&amp;"|"&amp;$O980&amp;"|"&amp;$P980&amp;"|"&amp;$Q980&amp;"|"&amp;$K980,PARAMETRES!$J$43:$J$342,0))),""))</f>
        <v/>
      </c>
      <c r="S980" s="35">
        <f>IF(OR($G980="",$X980&lt;&gt;"VALIDE"),"",IFERROR(LOOKUP(2,1/(($B80:$B979=$B980)*($G80:$G979=$G980)*($X80:$X979="VALIDE")),$C80:$C979),""))</f>
        <v/>
      </c>
      <c r="T980" s="36">
        <f>IF(OR($C980="",$S980=""),"",ROUND(($C980-$S980+IF($C980&lt;$S980,1,0))*1440,0))</f>
        <v/>
      </c>
      <c r="U980" s="22">
        <f>IF(OR($H980="",$T980="",$T980&lt;=0),"",$H980*60/$T980)</f>
        <v/>
      </c>
      <c r="V980" s="37">
        <f>IF(OR($U980="",$R980="",$R980=0),"",$U980/$R980)</f>
        <v/>
      </c>
      <c r="W980" s="20">
        <f>IF($G980="","",IF($X980="CONTEXTE INCOMPLET","CONTEXTE INCOMPLET",IF($X980="DOUBLON",StatutDoublon,IF($S980="",StatutInitial,IF($R980="",StatutStandardManquant,IF($V980="","DONNEES INSUFFISANTES",IF($V980&gt;=SeuilConforme,StatutConforme,IF($V980&gt;=SeuilSurveiller,StatutSurveiller,StatutSousStandard))))))))</f>
        <v/>
      </c>
      <c r="X980" s="33">
        <f>IF($G980="","",IF(OR($D980="",$E980="",$F980=""),"CONTEXTE INCOMPLET",IF(COUNTIFS($D80:$D979,$D980,$E80:$E979,$E980,$F80:$F979,$F980,$G80:$G979,$G980)&gt;0,"DOUBLON","VALIDE")))</f>
        <v/>
      </c>
    </row>
    <row r="981" ht="15" customHeight="1">
      <c r="A981" s="12">
        <f>IF(OR($B981="",$G981=""),"",TEXT($B981,"YYYYMMDD")&amp;"-"&amp;SUBSTITUTE($E981," ","")&amp;"-"&amp;$F981&amp;"-"&amp;$G981)</f>
        <v/>
      </c>
      <c r="B981" s="15" t="n"/>
      <c r="C981" s="16" t="n"/>
      <c r="D981" s="10" t="n"/>
      <c r="E981" s="9" t="n"/>
      <c r="F981" s="9" t="n"/>
      <c r="G981" s="13" t="n"/>
      <c r="H981" s="21" t="n"/>
      <c r="I981" s="21" t="n"/>
      <c r="J981" s="17">
        <f>IF($G981="","",IFERROR(INDEX(NomsEmployes,MATCH($G981,MatriculesEmployes,0)),"MATRICULE INCONNU"))</f>
        <v/>
      </c>
      <c r="K981" s="33">
        <f>IF(OR($D981="",$F981=""),"",IFERROR(IF(INDEX(RUNS!$L$6:$S$1005,MATCH($D981,RUNS!$A$6:$A$1005,0),MATCH("ACTIVITÉ "&amp;$F981,RUNS!$L$5:$S$5,0))="","",INDEX(RUNS!$L$6:$S$1005,MATCH($D981,RUNS!$A$6:$A$1005,0),MATCH("ACTIVITÉ "&amp;$F981,RUNS!$L$5:$S$5,0))),""))</f>
        <v/>
      </c>
      <c r="L981" s="33">
        <f>IF($D981="","",IFERROR(IF(INDEX(RUNS!$E$6:$E$1005,MATCH($D981,RUNS!$A$6:$A$1005,0))="","",INDEX(RUNS!$E$6:$E$1005,MATCH($D981,RUNS!$A$6:$A$1005,0))),""))</f>
        <v/>
      </c>
      <c r="M981" s="33">
        <f>IF($D981="","",IFERROR(IF(INDEX(RUNS!$F$6:$F$1005,MATCH($D981,RUNS!$A$6:$A$1005,0))="","",INDEX(RUNS!$F$6:$F$1005,MATCH($D981,RUNS!$A$6:$A$1005,0))),""))</f>
        <v/>
      </c>
      <c r="N981" s="33">
        <f>IF($D981="","",IFERROR(IF(INDEX(RUNS!$G$6:$G$1005,MATCH($D981,RUNS!$A$6:$A$1005,0))="","",INDEX(RUNS!$G$6:$G$1005,MATCH($D981,RUNS!$A$6:$A$1005,0))),""))</f>
        <v/>
      </c>
      <c r="O981" s="33">
        <f>IF($D981="","",IFERROR(IF(INDEX(RUNS!$H$6:$H$1005,MATCH($D981,RUNS!$A$6:$A$1005,0))="","",INDEX(RUNS!$H$6:$H$1005,MATCH($D981,RUNS!$A$6:$A$1005,0))),""))</f>
        <v/>
      </c>
      <c r="P981" s="33">
        <f>IF($D981="","",IFERROR(IF(INDEX(RUNS!$J$6:$J$1005,MATCH($D981,RUNS!$A$6:$A$1005,0))="","",INDEX(RUNS!$J$6:$J$1005,MATCH($D981,RUNS!$A$6:$A$1005,0))),""))</f>
        <v/>
      </c>
      <c r="Q981" s="33">
        <f>IF($D981="","",IFERROR(IF(INDEX(RUNS!$K$6:$K$1005,MATCH($D981,RUNS!$A$6:$A$1005,0))="","",INDEX(RUNS!$K$6:$K$1005,MATCH($D981,RUNS!$A$6:$A$1005,0))),""))</f>
        <v/>
      </c>
      <c r="R981" s="34">
        <f>IF(OR($L981="",$K981=""),"",IFERROR(IF(INDEX(PARAMETRES!$H$43:$H$342,MATCH($L981&amp;"|"&amp;$M981&amp;"|"&amp;$N981&amp;"|"&amp;$O981&amp;"|"&amp;$P981&amp;"|"&amp;$Q981&amp;"|"&amp;$K981,PARAMETRES!$J$43:$J$342,0))="","",INDEX(PARAMETRES!$H$43:$H$342,MATCH($L981&amp;"|"&amp;$M981&amp;"|"&amp;$N981&amp;"|"&amp;$O981&amp;"|"&amp;$P981&amp;"|"&amp;$Q981&amp;"|"&amp;$K981,PARAMETRES!$J$43:$J$342,0))),""))</f>
        <v/>
      </c>
      <c r="S981" s="35">
        <f>IF(OR($G981="",$X981&lt;&gt;"VALIDE"),"",IFERROR(LOOKUP(2,1/(($B81:$B980=$B981)*($G81:$G980=$G981)*($X81:$X980="VALIDE")),$C81:$C980),""))</f>
        <v/>
      </c>
      <c r="T981" s="36">
        <f>IF(OR($C981="",$S981=""),"",ROUND(($C981-$S981+IF($C981&lt;$S981,1,0))*1440,0))</f>
        <v/>
      </c>
      <c r="U981" s="22">
        <f>IF(OR($H981="",$T981="",$T981&lt;=0),"",$H981*60/$T981)</f>
        <v/>
      </c>
      <c r="V981" s="37">
        <f>IF(OR($U981="",$R981="",$R981=0),"",$U981/$R981)</f>
        <v/>
      </c>
      <c r="W981" s="20">
        <f>IF($G981="","",IF($X981="CONTEXTE INCOMPLET","CONTEXTE INCOMPLET",IF($X981="DOUBLON",StatutDoublon,IF($S981="",StatutInitial,IF($R981="",StatutStandardManquant,IF($V981="","DONNEES INSUFFISANTES",IF($V981&gt;=SeuilConforme,StatutConforme,IF($V981&gt;=SeuilSurveiller,StatutSurveiller,StatutSousStandard))))))))</f>
        <v/>
      </c>
      <c r="X981" s="33">
        <f>IF($G981="","",IF(OR($D981="",$E981="",$F981=""),"CONTEXTE INCOMPLET",IF(COUNTIFS($D81:$D980,$D981,$E81:$E980,$E981,$F81:$F980,$F981,$G81:$G980,$G981)&gt;0,"DOUBLON","VALIDE")))</f>
        <v/>
      </c>
    </row>
    <row r="982" ht="15" customHeight="1">
      <c r="A982" s="12">
        <f>IF(OR($B982="",$G982=""),"",TEXT($B982,"YYYYMMDD")&amp;"-"&amp;SUBSTITUTE($E982," ","")&amp;"-"&amp;$F982&amp;"-"&amp;$G982)</f>
        <v/>
      </c>
      <c r="B982" s="15" t="n"/>
      <c r="C982" s="16" t="n"/>
      <c r="D982" s="10" t="n"/>
      <c r="E982" s="9" t="n"/>
      <c r="F982" s="9" t="n"/>
      <c r="G982" s="13" t="n"/>
      <c r="H982" s="21" t="n"/>
      <c r="I982" s="21" t="n"/>
      <c r="J982" s="17">
        <f>IF($G982="","",IFERROR(INDEX(NomsEmployes,MATCH($G982,MatriculesEmployes,0)),"MATRICULE INCONNU"))</f>
        <v/>
      </c>
      <c r="K982" s="33">
        <f>IF(OR($D982="",$F982=""),"",IFERROR(IF(INDEX(RUNS!$L$6:$S$1005,MATCH($D982,RUNS!$A$6:$A$1005,0),MATCH("ACTIVITÉ "&amp;$F982,RUNS!$L$5:$S$5,0))="","",INDEX(RUNS!$L$6:$S$1005,MATCH($D982,RUNS!$A$6:$A$1005,0),MATCH("ACTIVITÉ "&amp;$F982,RUNS!$L$5:$S$5,0))),""))</f>
        <v/>
      </c>
      <c r="L982" s="33">
        <f>IF($D982="","",IFERROR(IF(INDEX(RUNS!$E$6:$E$1005,MATCH($D982,RUNS!$A$6:$A$1005,0))="","",INDEX(RUNS!$E$6:$E$1005,MATCH($D982,RUNS!$A$6:$A$1005,0))),""))</f>
        <v/>
      </c>
      <c r="M982" s="33">
        <f>IF($D982="","",IFERROR(IF(INDEX(RUNS!$F$6:$F$1005,MATCH($D982,RUNS!$A$6:$A$1005,0))="","",INDEX(RUNS!$F$6:$F$1005,MATCH($D982,RUNS!$A$6:$A$1005,0))),""))</f>
        <v/>
      </c>
      <c r="N982" s="33">
        <f>IF($D982="","",IFERROR(IF(INDEX(RUNS!$G$6:$G$1005,MATCH($D982,RUNS!$A$6:$A$1005,0))="","",INDEX(RUNS!$G$6:$G$1005,MATCH($D982,RUNS!$A$6:$A$1005,0))),""))</f>
        <v/>
      </c>
      <c r="O982" s="33">
        <f>IF($D982="","",IFERROR(IF(INDEX(RUNS!$H$6:$H$1005,MATCH($D982,RUNS!$A$6:$A$1005,0))="","",INDEX(RUNS!$H$6:$H$1005,MATCH($D982,RUNS!$A$6:$A$1005,0))),""))</f>
        <v/>
      </c>
      <c r="P982" s="33">
        <f>IF($D982="","",IFERROR(IF(INDEX(RUNS!$J$6:$J$1005,MATCH($D982,RUNS!$A$6:$A$1005,0))="","",INDEX(RUNS!$J$6:$J$1005,MATCH($D982,RUNS!$A$6:$A$1005,0))),""))</f>
        <v/>
      </c>
      <c r="Q982" s="33">
        <f>IF($D982="","",IFERROR(IF(INDEX(RUNS!$K$6:$K$1005,MATCH($D982,RUNS!$A$6:$A$1005,0))="","",INDEX(RUNS!$K$6:$K$1005,MATCH($D982,RUNS!$A$6:$A$1005,0))),""))</f>
        <v/>
      </c>
      <c r="R982" s="34">
        <f>IF(OR($L982="",$K982=""),"",IFERROR(IF(INDEX(PARAMETRES!$H$43:$H$342,MATCH($L982&amp;"|"&amp;$M982&amp;"|"&amp;$N982&amp;"|"&amp;$O982&amp;"|"&amp;$P982&amp;"|"&amp;$Q982&amp;"|"&amp;$K982,PARAMETRES!$J$43:$J$342,0))="","",INDEX(PARAMETRES!$H$43:$H$342,MATCH($L982&amp;"|"&amp;$M982&amp;"|"&amp;$N982&amp;"|"&amp;$O982&amp;"|"&amp;$P982&amp;"|"&amp;$Q982&amp;"|"&amp;$K982,PARAMETRES!$J$43:$J$342,0))),""))</f>
        <v/>
      </c>
      <c r="S982" s="35">
        <f>IF(OR($G982="",$X982&lt;&gt;"VALIDE"),"",IFERROR(LOOKUP(2,1/(($B82:$B981=$B982)*($G82:$G981=$G982)*($X82:$X981="VALIDE")),$C82:$C981),""))</f>
        <v/>
      </c>
      <c r="T982" s="36">
        <f>IF(OR($C982="",$S982=""),"",ROUND(($C982-$S982+IF($C982&lt;$S982,1,0))*1440,0))</f>
        <v/>
      </c>
      <c r="U982" s="22">
        <f>IF(OR($H982="",$T982="",$T982&lt;=0),"",$H982*60/$T982)</f>
        <v/>
      </c>
      <c r="V982" s="37">
        <f>IF(OR($U982="",$R982="",$R982=0),"",$U982/$R982)</f>
        <v/>
      </c>
      <c r="W982" s="20">
        <f>IF($G982="","",IF($X982="CONTEXTE INCOMPLET","CONTEXTE INCOMPLET",IF($X982="DOUBLON",StatutDoublon,IF($S982="",StatutInitial,IF($R982="",StatutStandardManquant,IF($V982="","DONNEES INSUFFISANTES",IF($V982&gt;=SeuilConforme,StatutConforme,IF($V982&gt;=SeuilSurveiller,StatutSurveiller,StatutSousStandard))))))))</f>
        <v/>
      </c>
      <c r="X982" s="33">
        <f>IF($G982="","",IF(OR($D982="",$E982="",$F982=""),"CONTEXTE INCOMPLET",IF(COUNTIFS($D82:$D981,$D982,$E82:$E981,$E982,$F82:$F981,$F982,$G82:$G981,$G982)&gt;0,"DOUBLON","VALIDE")))</f>
        <v/>
      </c>
    </row>
    <row r="983" ht="15" customHeight="1">
      <c r="A983" s="12">
        <f>IF(OR($B983="",$G983=""),"",TEXT($B983,"YYYYMMDD")&amp;"-"&amp;SUBSTITUTE($E983," ","")&amp;"-"&amp;$F983&amp;"-"&amp;$G983)</f>
        <v/>
      </c>
      <c r="B983" s="15" t="n"/>
      <c r="C983" s="16" t="n"/>
      <c r="D983" s="10" t="n"/>
      <c r="E983" s="9" t="n"/>
      <c r="F983" s="9" t="n"/>
      <c r="G983" s="13" t="n"/>
      <c r="H983" s="21" t="n"/>
      <c r="I983" s="21" t="n"/>
      <c r="J983" s="17">
        <f>IF($G983="","",IFERROR(INDEX(NomsEmployes,MATCH($G983,MatriculesEmployes,0)),"MATRICULE INCONNU"))</f>
        <v/>
      </c>
      <c r="K983" s="33">
        <f>IF(OR($D983="",$F983=""),"",IFERROR(IF(INDEX(RUNS!$L$6:$S$1005,MATCH($D983,RUNS!$A$6:$A$1005,0),MATCH("ACTIVITÉ "&amp;$F983,RUNS!$L$5:$S$5,0))="","",INDEX(RUNS!$L$6:$S$1005,MATCH($D983,RUNS!$A$6:$A$1005,0),MATCH("ACTIVITÉ "&amp;$F983,RUNS!$L$5:$S$5,0))),""))</f>
        <v/>
      </c>
      <c r="L983" s="33">
        <f>IF($D983="","",IFERROR(IF(INDEX(RUNS!$E$6:$E$1005,MATCH($D983,RUNS!$A$6:$A$1005,0))="","",INDEX(RUNS!$E$6:$E$1005,MATCH($D983,RUNS!$A$6:$A$1005,0))),""))</f>
        <v/>
      </c>
      <c r="M983" s="33">
        <f>IF($D983="","",IFERROR(IF(INDEX(RUNS!$F$6:$F$1005,MATCH($D983,RUNS!$A$6:$A$1005,0))="","",INDEX(RUNS!$F$6:$F$1005,MATCH($D983,RUNS!$A$6:$A$1005,0))),""))</f>
        <v/>
      </c>
      <c r="N983" s="33">
        <f>IF($D983="","",IFERROR(IF(INDEX(RUNS!$G$6:$G$1005,MATCH($D983,RUNS!$A$6:$A$1005,0))="","",INDEX(RUNS!$G$6:$G$1005,MATCH($D983,RUNS!$A$6:$A$1005,0))),""))</f>
        <v/>
      </c>
      <c r="O983" s="33">
        <f>IF($D983="","",IFERROR(IF(INDEX(RUNS!$H$6:$H$1005,MATCH($D983,RUNS!$A$6:$A$1005,0))="","",INDEX(RUNS!$H$6:$H$1005,MATCH($D983,RUNS!$A$6:$A$1005,0))),""))</f>
        <v/>
      </c>
      <c r="P983" s="33">
        <f>IF($D983="","",IFERROR(IF(INDEX(RUNS!$J$6:$J$1005,MATCH($D983,RUNS!$A$6:$A$1005,0))="","",INDEX(RUNS!$J$6:$J$1005,MATCH($D983,RUNS!$A$6:$A$1005,0))),""))</f>
        <v/>
      </c>
      <c r="Q983" s="33">
        <f>IF($D983="","",IFERROR(IF(INDEX(RUNS!$K$6:$K$1005,MATCH($D983,RUNS!$A$6:$A$1005,0))="","",INDEX(RUNS!$K$6:$K$1005,MATCH($D983,RUNS!$A$6:$A$1005,0))),""))</f>
        <v/>
      </c>
      <c r="R983" s="34">
        <f>IF(OR($L983="",$K983=""),"",IFERROR(IF(INDEX(PARAMETRES!$H$43:$H$342,MATCH($L983&amp;"|"&amp;$M983&amp;"|"&amp;$N983&amp;"|"&amp;$O983&amp;"|"&amp;$P983&amp;"|"&amp;$Q983&amp;"|"&amp;$K983,PARAMETRES!$J$43:$J$342,0))="","",INDEX(PARAMETRES!$H$43:$H$342,MATCH($L983&amp;"|"&amp;$M983&amp;"|"&amp;$N983&amp;"|"&amp;$O983&amp;"|"&amp;$P983&amp;"|"&amp;$Q983&amp;"|"&amp;$K983,PARAMETRES!$J$43:$J$342,0))),""))</f>
        <v/>
      </c>
      <c r="S983" s="35">
        <f>IF(OR($G983="",$X983&lt;&gt;"VALIDE"),"",IFERROR(LOOKUP(2,1/(($B83:$B982=$B983)*($G83:$G982=$G983)*($X83:$X982="VALIDE")),$C83:$C982),""))</f>
        <v/>
      </c>
      <c r="T983" s="36">
        <f>IF(OR($C983="",$S983=""),"",ROUND(($C983-$S983+IF($C983&lt;$S983,1,0))*1440,0))</f>
        <v/>
      </c>
      <c r="U983" s="22">
        <f>IF(OR($H983="",$T983="",$T983&lt;=0),"",$H983*60/$T983)</f>
        <v/>
      </c>
      <c r="V983" s="37">
        <f>IF(OR($U983="",$R983="",$R983=0),"",$U983/$R983)</f>
        <v/>
      </c>
      <c r="W983" s="20">
        <f>IF($G983="","",IF($X983="CONTEXTE INCOMPLET","CONTEXTE INCOMPLET",IF($X983="DOUBLON",StatutDoublon,IF($S983="",StatutInitial,IF($R983="",StatutStandardManquant,IF($V983="","DONNEES INSUFFISANTES",IF($V983&gt;=SeuilConforme,StatutConforme,IF($V983&gt;=SeuilSurveiller,StatutSurveiller,StatutSousStandard))))))))</f>
        <v/>
      </c>
      <c r="X983" s="33">
        <f>IF($G983="","",IF(OR($D983="",$E983="",$F983=""),"CONTEXTE INCOMPLET",IF(COUNTIFS($D83:$D982,$D983,$E83:$E982,$E983,$F83:$F982,$F983,$G83:$G982,$G983)&gt;0,"DOUBLON","VALIDE")))</f>
        <v/>
      </c>
    </row>
    <row r="984" ht="15" customHeight="1">
      <c r="A984" s="12">
        <f>IF(OR($B984="",$G984=""),"",TEXT($B984,"YYYYMMDD")&amp;"-"&amp;SUBSTITUTE($E984," ","")&amp;"-"&amp;$F984&amp;"-"&amp;$G984)</f>
        <v/>
      </c>
      <c r="B984" s="15" t="n"/>
      <c r="C984" s="16" t="n"/>
      <c r="D984" s="10" t="n"/>
      <c r="E984" s="9" t="n"/>
      <c r="F984" s="9" t="n"/>
      <c r="G984" s="13" t="n"/>
      <c r="H984" s="21" t="n"/>
      <c r="I984" s="21" t="n"/>
      <c r="J984" s="17">
        <f>IF($G984="","",IFERROR(INDEX(NomsEmployes,MATCH($G984,MatriculesEmployes,0)),"MATRICULE INCONNU"))</f>
        <v/>
      </c>
      <c r="K984" s="33">
        <f>IF(OR($D984="",$F984=""),"",IFERROR(IF(INDEX(RUNS!$L$6:$S$1005,MATCH($D984,RUNS!$A$6:$A$1005,0),MATCH("ACTIVITÉ "&amp;$F984,RUNS!$L$5:$S$5,0))="","",INDEX(RUNS!$L$6:$S$1005,MATCH($D984,RUNS!$A$6:$A$1005,0),MATCH("ACTIVITÉ "&amp;$F984,RUNS!$L$5:$S$5,0))),""))</f>
        <v/>
      </c>
      <c r="L984" s="33">
        <f>IF($D984="","",IFERROR(IF(INDEX(RUNS!$E$6:$E$1005,MATCH($D984,RUNS!$A$6:$A$1005,0))="","",INDEX(RUNS!$E$6:$E$1005,MATCH($D984,RUNS!$A$6:$A$1005,0))),""))</f>
        <v/>
      </c>
      <c r="M984" s="33">
        <f>IF($D984="","",IFERROR(IF(INDEX(RUNS!$F$6:$F$1005,MATCH($D984,RUNS!$A$6:$A$1005,0))="","",INDEX(RUNS!$F$6:$F$1005,MATCH($D984,RUNS!$A$6:$A$1005,0))),""))</f>
        <v/>
      </c>
      <c r="N984" s="33">
        <f>IF($D984="","",IFERROR(IF(INDEX(RUNS!$G$6:$G$1005,MATCH($D984,RUNS!$A$6:$A$1005,0))="","",INDEX(RUNS!$G$6:$G$1005,MATCH($D984,RUNS!$A$6:$A$1005,0))),""))</f>
        <v/>
      </c>
      <c r="O984" s="33">
        <f>IF($D984="","",IFERROR(IF(INDEX(RUNS!$H$6:$H$1005,MATCH($D984,RUNS!$A$6:$A$1005,0))="","",INDEX(RUNS!$H$6:$H$1005,MATCH($D984,RUNS!$A$6:$A$1005,0))),""))</f>
        <v/>
      </c>
      <c r="P984" s="33">
        <f>IF($D984="","",IFERROR(IF(INDEX(RUNS!$J$6:$J$1005,MATCH($D984,RUNS!$A$6:$A$1005,0))="","",INDEX(RUNS!$J$6:$J$1005,MATCH($D984,RUNS!$A$6:$A$1005,0))),""))</f>
        <v/>
      </c>
      <c r="Q984" s="33">
        <f>IF($D984="","",IFERROR(IF(INDEX(RUNS!$K$6:$K$1005,MATCH($D984,RUNS!$A$6:$A$1005,0))="","",INDEX(RUNS!$K$6:$K$1005,MATCH($D984,RUNS!$A$6:$A$1005,0))),""))</f>
        <v/>
      </c>
      <c r="R984" s="34">
        <f>IF(OR($L984="",$K984=""),"",IFERROR(IF(INDEX(PARAMETRES!$H$43:$H$342,MATCH($L984&amp;"|"&amp;$M984&amp;"|"&amp;$N984&amp;"|"&amp;$O984&amp;"|"&amp;$P984&amp;"|"&amp;$Q984&amp;"|"&amp;$K984,PARAMETRES!$J$43:$J$342,0))="","",INDEX(PARAMETRES!$H$43:$H$342,MATCH($L984&amp;"|"&amp;$M984&amp;"|"&amp;$N984&amp;"|"&amp;$O984&amp;"|"&amp;$P984&amp;"|"&amp;$Q984&amp;"|"&amp;$K984,PARAMETRES!$J$43:$J$342,0))),""))</f>
        <v/>
      </c>
      <c r="S984" s="35">
        <f>IF(OR($G984="",$X984&lt;&gt;"VALIDE"),"",IFERROR(LOOKUP(2,1/(($B84:$B983=$B984)*($G84:$G983=$G984)*($X84:$X983="VALIDE")),$C84:$C983),""))</f>
        <v/>
      </c>
      <c r="T984" s="36">
        <f>IF(OR($C984="",$S984=""),"",ROUND(($C984-$S984+IF($C984&lt;$S984,1,0))*1440,0))</f>
        <v/>
      </c>
      <c r="U984" s="22">
        <f>IF(OR($H984="",$T984="",$T984&lt;=0),"",$H984*60/$T984)</f>
        <v/>
      </c>
      <c r="V984" s="37">
        <f>IF(OR($U984="",$R984="",$R984=0),"",$U984/$R984)</f>
        <v/>
      </c>
      <c r="W984" s="20">
        <f>IF($G984="","",IF($X984="CONTEXTE INCOMPLET","CONTEXTE INCOMPLET",IF($X984="DOUBLON",StatutDoublon,IF($S984="",StatutInitial,IF($R984="",StatutStandardManquant,IF($V984="","DONNEES INSUFFISANTES",IF($V984&gt;=SeuilConforme,StatutConforme,IF($V984&gt;=SeuilSurveiller,StatutSurveiller,StatutSousStandard))))))))</f>
        <v/>
      </c>
      <c r="X984" s="33">
        <f>IF($G984="","",IF(OR($D984="",$E984="",$F984=""),"CONTEXTE INCOMPLET",IF(COUNTIFS($D84:$D983,$D984,$E84:$E983,$E984,$F84:$F983,$F984,$G84:$G983,$G984)&gt;0,"DOUBLON","VALIDE")))</f>
        <v/>
      </c>
    </row>
    <row r="985" ht="15" customHeight="1">
      <c r="A985" s="12">
        <f>IF(OR($B985="",$G985=""),"",TEXT($B985,"YYYYMMDD")&amp;"-"&amp;SUBSTITUTE($E985," ","")&amp;"-"&amp;$F985&amp;"-"&amp;$G985)</f>
        <v/>
      </c>
      <c r="B985" s="15" t="n"/>
      <c r="C985" s="16" t="n"/>
      <c r="D985" s="10" t="n"/>
      <c r="E985" s="9" t="n"/>
      <c r="F985" s="9" t="n"/>
      <c r="G985" s="13" t="n"/>
      <c r="H985" s="21" t="n"/>
      <c r="I985" s="21" t="n"/>
      <c r="J985" s="17">
        <f>IF($G985="","",IFERROR(INDEX(NomsEmployes,MATCH($G985,MatriculesEmployes,0)),"MATRICULE INCONNU"))</f>
        <v/>
      </c>
      <c r="K985" s="33">
        <f>IF(OR($D985="",$F985=""),"",IFERROR(IF(INDEX(RUNS!$L$6:$S$1005,MATCH($D985,RUNS!$A$6:$A$1005,0),MATCH("ACTIVITÉ "&amp;$F985,RUNS!$L$5:$S$5,0))="","",INDEX(RUNS!$L$6:$S$1005,MATCH($D985,RUNS!$A$6:$A$1005,0),MATCH("ACTIVITÉ "&amp;$F985,RUNS!$L$5:$S$5,0))),""))</f>
        <v/>
      </c>
      <c r="L985" s="33">
        <f>IF($D985="","",IFERROR(IF(INDEX(RUNS!$E$6:$E$1005,MATCH($D985,RUNS!$A$6:$A$1005,0))="","",INDEX(RUNS!$E$6:$E$1005,MATCH($D985,RUNS!$A$6:$A$1005,0))),""))</f>
        <v/>
      </c>
      <c r="M985" s="33">
        <f>IF($D985="","",IFERROR(IF(INDEX(RUNS!$F$6:$F$1005,MATCH($D985,RUNS!$A$6:$A$1005,0))="","",INDEX(RUNS!$F$6:$F$1005,MATCH($D985,RUNS!$A$6:$A$1005,0))),""))</f>
        <v/>
      </c>
      <c r="N985" s="33">
        <f>IF($D985="","",IFERROR(IF(INDEX(RUNS!$G$6:$G$1005,MATCH($D985,RUNS!$A$6:$A$1005,0))="","",INDEX(RUNS!$G$6:$G$1005,MATCH($D985,RUNS!$A$6:$A$1005,0))),""))</f>
        <v/>
      </c>
      <c r="O985" s="33">
        <f>IF($D985="","",IFERROR(IF(INDEX(RUNS!$H$6:$H$1005,MATCH($D985,RUNS!$A$6:$A$1005,0))="","",INDEX(RUNS!$H$6:$H$1005,MATCH($D985,RUNS!$A$6:$A$1005,0))),""))</f>
        <v/>
      </c>
      <c r="P985" s="33">
        <f>IF($D985="","",IFERROR(IF(INDEX(RUNS!$J$6:$J$1005,MATCH($D985,RUNS!$A$6:$A$1005,0))="","",INDEX(RUNS!$J$6:$J$1005,MATCH($D985,RUNS!$A$6:$A$1005,0))),""))</f>
        <v/>
      </c>
      <c r="Q985" s="33">
        <f>IF($D985="","",IFERROR(IF(INDEX(RUNS!$K$6:$K$1005,MATCH($D985,RUNS!$A$6:$A$1005,0))="","",INDEX(RUNS!$K$6:$K$1005,MATCH($D985,RUNS!$A$6:$A$1005,0))),""))</f>
        <v/>
      </c>
      <c r="R985" s="34">
        <f>IF(OR($L985="",$K985=""),"",IFERROR(IF(INDEX(PARAMETRES!$H$43:$H$342,MATCH($L985&amp;"|"&amp;$M985&amp;"|"&amp;$N985&amp;"|"&amp;$O985&amp;"|"&amp;$P985&amp;"|"&amp;$Q985&amp;"|"&amp;$K985,PARAMETRES!$J$43:$J$342,0))="","",INDEX(PARAMETRES!$H$43:$H$342,MATCH($L985&amp;"|"&amp;$M985&amp;"|"&amp;$N985&amp;"|"&amp;$O985&amp;"|"&amp;$P985&amp;"|"&amp;$Q985&amp;"|"&amp;$K985,PARAMETRES!$J$43:$J$342,0))),""))</f>
        <v/>
      </c>
      <c r="S985" s="35">
        <f>IF(OR($G985="",$X985&lt;&gt;"VALIDE"),"",IFERROR(LOOKUP(2,1/(($B85:$B984=$B985)*($G85:$G984=$G985)*($X85:$X984="VALIDE")),$C85:$C984),""))</f>
        <v/>
      </c>
      <c r="T985" s="36">
        <f>IF(OR($C985="",$S985=""),"",ROUND(($C985-$S985+IF($C985&lt;$S985,1,0))*1440,0))</f>
        <v/>
      </c>
      <c r="U985" s="22">
        <f>IF(OR($H985="",$T985="",$T985&lt;=0),"",$H985*60/$T985)</f>
        <v/>
      </c>
      <c r="V985" s="37">
        <f>IF(OR($U985="",$R985="",$R985=0),"",$U985/$R985)</f>
        <v/>
      </c>
      <c r="W985" s="20">
        <f>IF($G985="","",IF($X985="CONTEXTE INCOMPLET","CONTEXTE INCOMPLET",IF($X985="DOUBLON",StatutDoublon,IF($S985="",StatutInitial,IF($R985="",StatutStandardManquant,IF($V985="","DONNEES INSUFFISANTES",IF($V985&gt;=SeuilConforme,StatutConforme,IF($V985&gt;=SeuilSurveiller,StatutSurveiller,StatutSousStandard))))))))</f>
        <v/>
      </c>
      <c r="X985" s="33">
        <f>IF($G985="","",IF(OR($D985="",$E985="",$F985=""),"CONTEXTE INCOMPLET",IF(COUNTIFS($D85:$D984,$D985,$E85:$E984,$E985,$F85:$F984,$F985,$G85:$G984,$G985)&gt;0,"DOUBLON","VALIDE")))</f>
        <v/>
      </c>
    </row>
    <row r="986" ht="15" customHeight="1">
      <c r="A986" s="12">
        <f>IF(OR($B986="",$G986=""),"",TEXT($B986,"YYYYMMDD")&amp;"-"&amp;SUBSTITUTE($E986," ","")&amp;"-"&amp;$F986&amp;"-"&amp;$G986)</f>
        <v/>
      </c>
      <c r="B986" s="15" t="n"/>
      <c r="C986" s="16" t="n"/>
      <c r="D986" s="10" t="n"/>
      <c r="E986" s="9" t="n"/>
      <c r="F986" s="9" t="n"/>
      <c r="G986" s="13" t="n"/>
      <c r="H986" s="21" t="n"/>
      <c r="I986" s="21" t="n"/>
      <c r="J986" s="17">
        <f>IF($G986="","",IFERROR(INDEX(NomsEmployes,MATCH($G986,MatriculesEmployes,0)),"MATRICULE INCONNU"))</f>
        <v/>
      </c>
      <c r="K986" s="33">
        <f>IF(OR($D986="",$F986=""),"",IFERROR(IF(INDEX(RUNS!$L$6:$S$1005,MATCH($D986,RUNS!$A$6:$A$1005,0),MATCH("ACTIVITÉ "&amp;$F986,RUNS!$L$5:$S$5,0))="","",INDEX(RUNS!$L$6:$S$1005,MATCH($D986,RUNS!$A$6:$A$1005,0),MATCH("ACTIVITÉ "&amp;$F986,RUNS!$L$5:$S$5,0))),""))</f>
        <v/>
      </c>
      <c r="L986" s="33">
        <f>IF($D986="","",IFERROR(IF(INDEX(RUNS!$E$6:$E$1005,MATCH($D986,RUNS!$A$6:$A$1005,0))="","",INDEX(RUNS!$E$6:$E$1005,MATCH($D986,RUNS!$A$6:$A$1005,0))),""))</f>
        <v/>
      </c>
      <c r="M986" s="33">
        <f>IF($D986="","",IFERROR(IF(INDEX(RUNS!$F$6:$F$1005,MATCH($D986,RUNS!$A$6:$A$1005,0))="","",INDEX(RUNS!$F$6:$F$1005,MATCH($D986,RUNS!$A$6:$A$1005,0))),""))</f>
        <v/>
      </c>
      <c r="N986" s="33">
        <f>IF($D986="","",IFERROR(IF(INDEX(RUNS!$G$6:$G$1005,MATCH($D986,RUNS!$A$6:$A$1005,0))="","",INDEX(RUNS!$G$6:$G$1005,MATCH($D986,RUNS!$A$6:$A$1005,0))),""))</f>
        <v/>
      </c>
      <c r="O986" s="33">
        <f>IF($D986="","",IFERROR(IF(INDEX(RUNS!$H$6:$H$1005,MATCH($D986,RUNS!$A$6:$A$1005,0))="","",INDEX(RUNS!$H$6:$H$1005,MATCH($D986,RUNS!$A$6:$A$1005,0))),""))</f>
        <v/>
      </c>
      <c r="P986" s="33">
        <f>IF($D986="","",IFERROR(IF(INDEX(RUNS!$J$6:$J$1005,MATCH($D986,RUNS!$A$6:$A$1005,0))="","",INDEX(RUNS!$J$6:$J$1005,MATCH($D986,RUNS!$A$6:$A$1005,0))),""))</f>
        <v/>
      </c>
      <c r="Q986" s="33">
        <f>IF($D986="","",IFERROR(IF(INDEX(RUNS!$K$6:$K$1005,MATCH($D986,RUNS!$A$6:$A$1005,0))="","",INDEX(RUNS!$K$6:$K$1005,MATCH($D986,RUNS!$A$6:$A$1005,0))),""))</f>
        <v/>
      </c>
      <c r="R986" s="34">
        <f>IF(OR($L986="",$K986=""),"",IFERROR(IF(INDEX(PARAMETRES!$H$43:$H$342,MATCH($L986&amp;"|"&amp;$M986&amp;"|"&amp;$N986&amp;"|"&amp;$O986&amp;"|"&amp;$P986&amp;"|"&amp;$Q986&amp;"|"&amp;$K986,PARAMETRES!$J$43:$J$342,0))="","",INDEX(PARAMETRES!$H$43:$H$342,MATCH($L986&amp;"|"&amp;$M986&amp;"|"&amp;$N986&amp;"|"&amp;$O986&amp;"|"&amp;$P986&amp;"|"&amp;$Q986&amp;"|"&amp;$K986,PARAMETRES!$J$43:$J$342,0))),""))</f>
        <v/>
      </c>
      <c r="S986" s="35">
        <f>IF(OR($G986="",$X986&lt;&gt;"VALIDE"),"",IFERROR(LOOKUP(2,1/(($B86:$B985=$B986)*($G86:$G985=$G986)*($X86:$X985="VALIDE")),$C86:$C985),""))</f>
        <v/>
      </c>
      <c r="T986" s="36">
        <f>IF(OR($C986="",$S986=""),"",ROUND(($C986-$S986+IF($C986&lt;$S986,1,0))*1440,0))</f>
        <v/>
      </c>
      <c r="U986" s="22">
        <f>IF(OR($H986="",$T986="",$T986&lt;=0),"",$H986*60/$T986)</f>
        <v/>
      </c>
      <c r="V986" s="37">
        <f>IF(OR($U986="",$R986="",$R986=0),"",$U986/$R986)</f>
        <v/>
      </c>
      <c r="W986" s="20">
        <f>IF($G986="","",IF($X986="CONTEXTE INCOMPLET","CONTEXTE INCOMPLET",IF($X986="DOUBLON",StatutDoublon,IF($S986="",StatutInitial,IF($R986="",StatutStandardManquant,IF($V986="","DONNEES INSUFFISANTES",IF($V986&gt;=SeuilConforme,StatutConforme,IF($V986&gt;=SeuilSurveiller,StatutSurveiller,StatutSousStandard))))))))</f>
        <v/>
      </c>
      <c r="X986" s="33">
        <f>IF($G986="","",IF(OR($D986="",$E986="",$F986=""),"CONTEXTE INCOMPLET",IF(COUNTIFS($D86:$D985,$D986,$E86:$E985,$E986,$F86:$F985,$F986,$G86:$G985,$G986)&gt;0,"DOUBLON","VALIDE")))</f>
        <v/>
      </c>
    </row>
    <row r="987" ht="15" customHeight="1">
      <c r="A987" s="12">
        <f>IF(OR($B987="",$G987=""),"",TEXT($B987,"YYYYMMDD")&amp;"-"&amp;SUBSTITUTE($E987," ","")&amp;"-"&amp;$F987&amp;"-"&amp;$G987)</f>
        <v/>
      </c>
      <c r="B987" s="15" t="n"/>
      <c r="C987" s="16" t="n"/>
      <c r="D987" s="10" t="n"/>
      <c r="E987" s="9" t="n"/>
      <c r="F987" s="9" t="n"/>
      <c r="G987" s="13" t="n"/>
      <c r="H987" s="21" t="n"/>
      <c r="I987" s="21" t="n"/>
      <c r="J987" s="17">
        <f>IF($G987="","",IFERROR(INDEX(NomsEmployes,MATCH($G987,MatriculesEmployes,0)),"MATRICULE INCONNU"))</f>
        <v/>
      </c>
      <c r="K987" s="33">
        <f>IF(OR($D987="",$F987=""),"",IFERROR(IF(INDEX(RUNS!$L$6:$S$1005,MATCH($D987,RUNS!$A$6:$A$1005,0),MATCH("ACTIVITÉ "&amp;$F987,RUNS!$L$5:$S$5,0))="","",INDEX(RUNS!$L$6:$S$1005,MATCH($D987,RUNS!$A$6:$A$1005,0),MATCH("ACTIVITÉ "&amp;$F987,RUNS!$L$5:$S$5,0))),""))</f>
        <v/>
      </c>
      <c r="L987" s="33">
        <f>IF($D987="","",IFERROR(IF(INDEX(RUNS!$E$6:$E$1005,MATCH($D987,RUNS!$A$6:$A$1005,0))="","",INDEX(RUNS!$E$6:$E$1005,MATCH($D987,RUNS!$A$6:$A$1005,0))),""))</f>
        <v/>
      </c>
      <c r="M987" s="33">
        <f>IF($D987="","",IFERROR(IF(INDEX(RUNS!$F$6:$F$1005,MATCH($D987,RUNS!$A$6:$A$1005,0))="","",INDEX(RUNS!$F$6:$F$1005,MATCH($D987,RUNS!$A$6:$A$1005,0))),""))</f>
        <v/>
      </c>
      <c r="N987" s="33">
        <f>IF($D987="","",IFERROR(IF(INDEX(RUNS!$G$6:$G$1005,MATCH($D987,RUNS!$A$6:$A$1005,0))="","",INDEX(RUNS!$G$6:$G$1005,MATCH($D987,RUNS!$A$6:$A$1005,0))),""))</f>
        <v/>
      </c>
      <c r="O987" s="33">
        <f>IF($D987="","",IFERROR(IF(INDEX(RUNS!$H$6:$H$1005,MATCH($D987,RUNS!$A$6:$A$1005,0))="","",INDEX(RUNS!$H$6:$H$1005,MATCH($D987,RUNS!$A$6:$A$1005,0))),""))</f>
        <v/>
      </c>
      <c r="P987" s="33">
        <f>IF($D987="","",IFERROR(IF(INDEX(RUNS!$J$6:$J$1005,MATCH($D987,RUNS!$A$6:$A$1005,0))="","",INDEX(RUNS!$J$6:$J$1005,MATCH($D987,RUNS!$A$6:$A$1005,0))),""))</f>
        <v/>
      </c>
      <c r="Q987" s="33">
        <f>IF($D987="","",IFERROR(IF(INDEX(RUNS!$K$6:$K$1005,MATCH($D987,RUNS!$A$6:$A$1005,0))="","",INDEX(RUNS!$K$6:$K$1005,MATCH($D987,RUNS!$A$6:$A$1005,0))),""))</f>
        <v/>
      </c>
      <c r="R987" s="34">
        <f>IF(OR($L987="",$K987=""),"",IFERROR(IF(INDEX(PARAMETRES!$H$43:$H$342,MATCH($L987&amp;"|"&amp;$M987&amp;"|"&amp;$N987&amp;"|"&amp;$O987&amp;"|"&amp;$P987&amp;"|"&amp;$Q987&amp;"|"&amp;$K987,PARAMETRES!$J$43:$J$342,0))="","",INDEX(PARAMETRES!$H$43:$H$342,MATCH($L987&amp;"|"&amp;$M987&amp;"|"&amp;$N987&amp;"|"&amp;$O987&amp;"|"&amp;$P987&amp;"|"&amp;$Q987&amp;"|"&amp;$K987,PARAMETRES!$J$43:$J$342,0))),""))</f>
        <v/>
      </c>
      <c r="S987" s="35">
        <f>IF(OR($G987="",$X987&lt;&gt;"VALIDE"),"",IFERROR(LOOKUP(2,1/(($B87:$B986=$B987)*($G87:$G986=$G987)*($X87:$X986="VALIDE")),$C87:$C986),""))</f>
        <v/>
      </c>
      <c r="T987" s="36">
        <f>IF(OR($C987="",$S987=""),"",ROUND(($C987-$S987+IF($C987&lt;$S987,1,0))*1440,0))</f>
        <v/>
      </c>
      <c r="U987" s="22">
        <f>IF(OR($H987="",$T987="",$T987&lt;=0),"",$H987*60/$T987)</f>
        <v/>
      </c>
      <c r="V987" s="37">
        <f>IF(OR($U987="",$R987="",$R987=0),"",$U987/$R987)</f>
        <v/>
      </c>
      <c r="W987" s="20">
        <f>IF($G987="","",IF($X987="CONTEXTE INCOMPLET","CONTEXTE INCOMPLET",IF($X987="DOUBLON",StatutDoublon,IF($S987="",StatutInitial,IF($R987="",StatutStandardManquant,IF($V987="","DONNEES INSUFFISANTES",IF($V987&gt;=SeuilConforme,StatutConforme,IF($V987&gt;=SeuilSurveiller,StatutSurveiller,StatutSousStandard))))))))</f>
        <v/>
      </c>
      <c r="X987" s="33">
        <f>IF($G987="","",IF(OR($D987="",$E987="",$F987=""),"CONTEXTE INCOMPLET",IF(COUNTIFS($D87:$D986,$D987,$E87:$E986,$E987,$F87:$F986,$F987,$G87:$G986,$G987)&gt;0,"DOUBLON","VALIDE")))</f>
        <v/>
      </c>
    </row>
    <row r="988" ht="15" customHeight="1">
      <c r="A988" s="12">
        <f>IF(OR($B988="",$G988=""),"",TEXT($B988,"YYYYMMDD")&amp;"-"&amp;SUBSTITUTE($E988," ","")&amp;"-"&amp;$F988&amp;"-"&amp;$G988)</f>
        <v/>
      </c>
      <c r="B988" s="15" t="n"/>
      <c r="C988" s="16" t="n"/>
      <c r="D988" s="10" t="n"/>
      <c r="E988" s="9" t="n"/>
      <c r="F988" s="9" t="n"/>
      <c r="G988" s="13" t="n"/>
      <c r="H988" s="21" t="n"/>
      <c r="I988" s="21" t="n"/>
      <c r="J988" s="17">
        <f>IF($G988="","",IFERROR(INDEX(NomsEmployes,MATCH($G988,MatriculesEmployes,0)),"MATRICULE INCONNU"))</f>
        <v/>
      </c>
      <c r="K988" s="33">
        <f>IF(OR($D988="",$F988=""),"",IFERROR(IF(INDEX(RUNS!$L$6:$S$1005,MATCH($D988,RUNS!$A$6:$A$1005,0),MATCH("ACTIVITÉ "&amp;$F988,RUNS!$L$5:$S$5,0))="","",INDEX(RUNS!$L$6:$S$1005,MATCH($D988,RUNS!$A$6:$A$1005,0),MATCH("ACTIVITÉ "&amp;$F988,RUNS!$L$5:$S$5,0))),""))</f>
        <v/>
      </c>
      <c r="L988" s="33">
        <f>IF($D988="","",IFERROR(IF(INDEX(RUNS!$E$6:$E$1005,MATCH($D988,RUNS!$A$6:$A$1005,0))="","",INDEX(RUNS!$E$6:$E$1005,MATCH($D988,RUNS!$A$6:$A$1005,0))),""))</f>
        <v/>
      </c>
      <c r="M988" s="33">
        <f>IF($D988="","",IFERROR(IF(INDEX(RUNS!$F$6:$F$1005,MATCH($D988,RUNS!$A$6:$A$1005,0))="","",INDEX(RUNS!$F$6:$F$1005,MATCH($D988,RUNS!$A$6:$A$1005,0))),""))</f>
        <v/>
      </c>
      <c r="N988" s="33">
        <f>IF($D988="","",IFERROR(IF(INDEX(RUNS!$G$6:$G$1005,MATCH($D988,RUNS!$A$6:$A$1005,0))="","",INDEX(RUNS!$G$6:$G$1005,MATCH($D988,RUNS!$A$6:$A$1005,0))),""))</f>
        <v/>
      </c>
      <c r="O988" s="33">
        <f>IF($D988="","",IFERROR(IF(INDEX(RUNS!$H$6:$H$1005,MATCH($D988,RUNS!$A$6:$A$1005,0))="","",INDEX(RUNS!$H$6:$H$1005,MATCH($D988,RUNS!$A$6:$A$1005,0))),""))</f>
        <v/>
      </c>
      <c r="P988" s="33">
        <f>IF($D988="","",IFERROR(IF(INDEX(RUNS!$J$6:$J$1005,MATCH($D988,RUNS!$A$6:$A$1005,0))="","",INDEX(RUNS!$J$6:$J$1005,MATCH($D988,RUNS!$A$6:$A$1005,0))),""))</f>
        <v/>
      </c>
      <c r="Q988" s="33">
        <f>IF($D988="","",IFERROR(IF(INDEX(RUNS!$K$6:$K$1005,MATCH($D988,RUNS!$A$6:$A$1005,0))="","",INDEX(RUNS!$K$6:$K$1005,MATCH($D988,RUNS!$A$6:$A$1005,0))),""))</f>
        <v/>
      </c>
      <c r="R988" s="34">
        <f>IF(OR($L988="",$K988=""),"",IFERROR(IF(INDEX(PARAMETRES!$H$43:$H$342,MATCH($L988&amp;"|"&amp;$M988&amp;"|"&amp;$N988&amp;"|"&amp;$O988&amp;"|"&amp;$P988&amp;"|"&amp;$Q988&amp;"|"&amp;$K988,PARAMETRES!$J$43:$J$342,0))="","",INDEX(PARAMETRES!$H$43:$H$342,MATCH($L988&amp;"|"&amp;$M988&amp;"|"&amp;$N988&amp;"|"&amp;$O988&amp;"|"&amp;$P988&amp;"|"&amp;$Q988&amp;"|"&amp;$K988,PARAMETRES!$J$43:$J$342,0))),""))</f>
        <v/>
      </c>
      <c r="S988" s="35">
        <f>IF(OR($G988="",$X988&lt;&gt;"VALIDE"),"",IFERROR(LOOKUP(2,1/(($B88:$B987=$B988)*($G88:$G987=$G988)*($X88:$X987="VALIDE")),$C88:$C987),""))</f>
        <v/>
      </c>
      <c r="T988" s="36">
        <f>IF(OR($C988="",$S988=""),"",ROUND(($C988-$S988+IF($C988&lt;$S988,1,0))*1440,0))</f>
        <v/>
      </c>
      <c r="U988" s="22">
        <f>IF(OR($H988="",$T988="",$T988&lt;=0),"",$H988*60/$T988)</f>
        <v/>
      </c>
      <c r="V988" s="37">
        <f>IF(OR($U988="",$R988="",$R988=0),"",$U988/$R988)</f>
        <v/>
      </c>
      <c r="W988" s="20">
        <f>IF($G988="","",IF($X988="CONTEXTE INCOMPLET","CONTEXTE INCOMPLET",IF($X988="DOUBLON",StatutDoublon,IF($S988="",StatutInitial,IF($R988="",StatutStandardManquant,IF($V988="","DONNEES INSUFFISANTES",IF($V988&gt;=SeuilConforme,StatutConforme,IF($V988&gt;=SeuilSurveiller,StatutSurveiller,StatutSousStandard))))))))</f>
        <v/>
      </c>
      <c r="X988" s="33">
        <f>IF($G988="","",IF(OR($D988="",$E988="",$F988=""),"CONTEXTE INCOMPLET",IF(COUNTIFS($D88:$D987,$D988,$E88:$E987,$E988,$F88:$F987,$F988,$G88:$G987,$G988)&gt;0,"DOUBLON","VALIDE")))</f>
        <v/>
      </c>
    </row>
    <row r="989" ht="15" customHeight="1">
      <c r="A989" s="12">
        <f>IF(OR($B989="",$G989=""),"",TEXT($B989,"YYYYMMDD")&amp;"-"&amp;SUBSTITUTE($E989," ","")&amp;"-"&amp;$F989&amp;"-"&amp;$G989)</f>
        <v/>
      </c>
      <c r="B989" s="15" t="n"/>
      <c r="C989" s="16" t="n"/>
      <c r="D989" s="10" t="n"/>
      <c r="E989" s="9" t="n"/>
      <c r="F989" s="9" t="n"/>
      <c r="G989" s="13" t="n"/>
      <c r="H989" s="21" t="n"/>
      <c r="I989" s="21" t="n"/>
      <c r="J989" s="17">
        <f>IF($G989="","",IFERROR(INDEX(NomsEmployes,MATCH($G989,MatriculesEmployes,0)),"MATRICULE INCONNU"))</f>
        <v/>
      </c>
      <c r="K989" s="33">
        <f>IF(OR($D989="",$F989=""),"",IFERROR(IF(INDEX(RUNS!$L$6:$S$1005,MATCH($D989,RUNS!$A$6:$A$1005,0),MATCH("ACTIVITÉ "&amp;$F989,RUNS!$L$5:$S$5,0))="","",INDEX(RUNS!$L$6:$S$1005,MATCH($D989,RUNS!$A$6:$A$1005,0),MATCH("ACTIVITÉ "&amp;$F989,RUNS!$L$5:$S$5,0))),""))</f>
        <v/>
      </c>
      <c r="L989" s="33">
        <f>IF($D989="","",IFERROR(IF(INDEX(RUNS!$E$6:$E$1005,MATCH($D989,RUNS!$A$6:$A$1005,0))="","",INDEX(RUNS!$E$6:$E$1005,MATCH($D989,RUNS!$A$6:$A$1005,0))),""))</f>
        <v/>
      </c>
      <c r="M989" s="33">
        <f>IF($D989="","",IFERROR(IF(INDEX(RUNS!$F$6:$F$1005,MATCH($D989,RUNS!$A$6:$A$1005,0))="","",INDEX(RUNS!$F$6:$F$1005,MATCH($D989,RUNS!$A$6:$A$1005,0))),""))</f>
        <v/>
      </c>
      <c r="N989" s="33">
        <f>IF($D989="","",IFERROR(IF(INDEX(RUNS!$G$6:$G$1005,MATCH($D989,RUNS!$A$6:$A$1005,0))="","",INDEX(RUNS!$G$6:$G$1005,MATCH($D989,RUNS!$A$6:$A$1005,0))),""))</f>
        <v/>
      </c>
      <c r="O989" s="33">
        <f>IF($D989="","",IFERROR(IF(INDEX(RUNS!$H$6:$H$1005,MATCH($D989,RUNS!$A$6:$A$1005,0))="","",INDEX(RUNS!$H$6:$H$1005,MATCH($D989,RUNS!$A$6:$A$1005,0))),""))</f>
        <v/>
      </c>
      <c r="P989" s="33">
        <f>IF($D989="","",IFERROR(IF(INDEX(RUNS!$J$6:$J$1005,MATCH($D989,RUNS!$A$6:$A$1005,0))="","",INDEX(RUNS!$J$6:$J$1005,MATCH($D989,RUNS!$A$6:$A$1005,0))),""))</f>
        <v/>
      </c>
      <c r="Q989" s="33">
        <f>IF($D989="","",IFERROR(IF(INDEX(RUNS!$K$6:$K$1005,MATCH($D989,RUNS!$A$6:$A$1005,0))="","",INDEX(RUNS!$K$6:$K$1005,MATCH($D989,RUNS!$A$6:$A$1005,0))),""))</f>
        <v/>
      </c>
      <c r="R989" s="34">
        <f>IF(OR($L989="",$K989=""),"",IFERROR(IF(INDEX(PARAMETRES!$H$43:$H$342,MATCH($L989&amp;"|"&amp;$M989&amp;"|"&amp;$N989&amp;"|"&amp;$O989&amp;"|"&amp;$P989&amp;"|"&amp;$Q989&amp;"|"&amp;$K989,PARAMETRES!$J$43:$J$342,0))="","",INDEX(PARAMETRES!$H$43:$H$342,MATCH($L989&amp;"|"&amp;$M989&amp;"|"&amp;$N989&amp;"|"&amp;$O989&amp;"|"&amp;$P989&amp;"|"&amp;$Q989&amp;"|"&amp;$K989,PARAMETRES!$J$43:$J$342,0))),""))</f>
        <v/>
      </c>
      <c r="S989" s="35">
        <f>IF(OR($G989="",$X989&lt;&gt;"VALIDE"),"",IFERROR(LOOKUP(2,1/(($B89:$B988=$B989)*($G89:$G988=$G989)*($X89:$X988="VALIDE")),$C89:$C988),""))</f>
        <v/>
      </c>
      <c r="T989" s="36">
        <f>IF(OR($C989="",$S989=""),"",ROUND(($C989-$S989+IF($C989&lt;$S989,1,0))*1440,0))</f>
        <v/>
      </c>
      <c r="U989" s="22">
        <f>IF(OR($H989="",$T989="",$T989&lt;=0),"",$H989*60/$T989)</f>
        <v/>
      </c>
      <c r="V989" s="37">
        <f>IF(OR($U989="",$R989="",$R989=0),"",$U989/$R989)</f>
        <v/>
      </c>
      <c r="W989" s="20">
        <f>IF($G989="","",IF($X989="CONTEXTE INCOMPLET","CONTEXTE INCOMPLET",IF($X989="DOUBLON",StatutDoublon,IF($S989="",StatutInitial,IF($R989="",StatutStandardManquant,IF($V989="","DONNEES INSUFFISANTES",IF($V989&gt;=SeuilConforme,StatutConforme,IF($V989&gt;=SeuilSurveiller,StatutSurveiller,StatutSousStandard))))))))</f>
        <v/>
      </c>
      <c r="X989" s="33">
        <f>IF($G989="","",IF(OR($D989="",$E989="",$F989=""),"CONTEXTE INCOMPLET",IF(COUNTIFS($D89:$D988,$D989,$E89:$E988,$E989,$F89:$F988,$F989,$G89:$G988,$G989)&gt;0,"DOUBLON","VALIDE")))</f>
        <v/>
      </c>
    </row>
    <row r="990" ht="15" customHeight="1">
      <c r="A990" s="12">
        <f>IF(OR($B990="",$G990=""),"",TEXT($B990,"YYYYMMDD")&amp;"-"&amp;SUBSTITUTE($E990," ","")&amp;"-"&amp;$F990&amp;"-"&amp;$G990)</f>
        <v/>
      </c>
      <c r="B990" s="15" t="n"/>
      <c r="C990" s="16" t="n"/>
      <c r="D990" s="10" t="n"/>
      <c r="E990" s="9" t="n"/>
      <c r="F990" s="9" t="n"/>
      <c r="G990" s="13" t="n"/>
      <c r="H990" s="21" t="n"/>
      <c r="I990" s="21" t="n"/>
      <c r="J990" s="17">
        <f>IF($G990="","",IFERROR(INDEX(NomsEmployes,MATCH($G990,MatriculesEmployes,0)),"MATRICULE INCONNU"))</f>
        <v/>
      </c>
      <c r="K990" s="33">
        <f>IF(OR($D990="",$F990=""),"",IFERROR(IF(INDEX(RUNS!$L$6:$S$1005,MATCH($D990,RUNS!$A$6:$A$1005,0),MATCH("ACTIVITÉ "&amp;$F990,RUNS!$L$5:$S$5,0))="","",INDEX(RUNS!$L$6:$S$1005,MATCH($D990,RUNS!$A$6:$A$1005,0),MATCH("ACTIVITÉ "&amp;$F990,RUNS!$L$5:$S$5,0))),""))</f>
        <v/>
      </c>
      <c r="L990" s="33">
        <f>IF($D990="","",IFERROR(IF(INDEX(RUNS!$E$6:$E$1005,MATCH($D990,RUNS!$A$6:$A$1005,0))="","",INDEX(RUNS!$E$6:$E$1005,MATCH($D990,RUNS!$A$6:$A$1005,0))),""))</f>
        <v/>
      </c>
      <c r="M990" s="33">
        <f>IF($D990="","",IFERROR(IF(INDEX(RUNS!$F$6:$F$1005,MATCH($D990,RUNS!$A$6:$A$1005,0))="","",INDEX(RUNS!$F$6:$F$1005,MATCH($D990,RUNS!$A$6:$A$1005,0))),""))</f>
        <v/>
      </c>
      <c r="N990" s="33">
        <f>IF($D990="","",IFERROR(IF(INDEX(RUNS!$G$6:$G$1005,MATCH($D990,RUNS!$A$6:$A$1005,0))="","",INDEX(RUNS!$G$6:$G$1005,MATCH($D990,RUNS!$A$6:$A$1005,0))),""))</f>
        <v/>
      </c>
      <c r="O990" s="33">
        <f>IF($D990="","",IFERROR(IF(INDEX(RUNS!$H$6:$H$1005,MATCH($D990,RUNS!$A$6:$A$1005,0))="","",INDEX(RUNS!$H$6:$H$1005,MATCH($D990,RUNS!$A$6:$A$1005,0))),""))</f>
        <v/>
      </c>
      <c r="P990" s="33">
        <f>IF($D990="","",IFERROR(IF(INDEX(RUNS!$J$6:$J$1005,MATCH($D990,RUNS!$A$6:$A$1005,0))="","",INDEX(RUNS!$J$6:$J$1005,MATCH($D990,RUNS!$A$6:$A$1005,0))),""))</f>
        <v/>
      </c>
      <c r="Q990" s="33">
        <f>IF($D990="","",IFERROR(IF(INDEX(RUNS!$K$6:$K$1005,MATCH($D990,RUNS!$A$6:$A$1005,0))="","",INDEX(RUNS!$K$6:$K$1005,MATCH($D990,RUNS!$A$6:$A$1005,0))),""))</f>
        <v/>
      </c>
      <c r="R990" s="34">
        <f>IF(OR($L990="",$K990=""),"",IFERROR(IF(INDEX(PARAMETRES!$H$43:$H$342,MATCH($L990&amp;"|"&amp;$M990&amp;"|"&amp;$N990&amp;"|"&amp;$O990&amp;"|"&amp;$P990&amp;"|"&amp;$Q990&amp;"|"&amp;$K990,PARAMETRES!$J$43:$J$342,0))="","",INDEX(PARAMETRES!$H$43:$H$342,MATCH($L990&amp;"|"&amp;$M990&amp;"|"&amp;$N990&amp;"|"&amp;$O990&amp;"|"&amp;$P990&amp;"|"&amp;$Q990&amp;"|"&amp;$K990,PARAMETRES!$J$43:$J$342,0))),""))</f>
        <v/>
      </c>
      <c r="S990" s="35">
        <f>IF(OR($G990="",$X990&lt;&gt;"VALIDE"),"",IFERROR(LOOKUP(2,1/(($B90:$B989=$B990)*($G90:$G989=$G990)*($X90:$X989="VALIDE")),$C90:$C989),""))</f>
        <v/>
      </c>
      <c r="T990" s="36">
        <f>IF(OR($C990="",$S990=""),"",ROUND(($C990-$S990+IF($C990&lt;$S990,1,0))*1440,0))</f>
        <v/>
      </c>
      <c r="U990" s="22">
        <f>IF(OR($H990="",$T990="",$T990&lt;=0),"",$H990*60/$T990)</f>
        <v/>
      </c>
      <c r="V990" s="37">
        <f>IF(OR($U990="",$R990="",$R990=0),"",$U990/$R990)</f>
        <v/>
      </c>
      <c r="W990" s="20">
        <f>IF($G990="","",IF($X990="CONTEXTE INCOMPLET","CONTEXTE INCOMPLET",IF($X990="DOUBLON",StatutDoublon,IF($S990="",StatutInitial,IF($R990="",StatutStandardManquant,IF($V990="","DONNEES INSUFFISANTES",IF($V990&gt;=SeuilConforme,StatutConforme,IF($V990&gt;=SeuilSurveiller,StatutSurveiller,StatutSousStandard))))))))</f>
        <v/>
      </c>
      <c r="X990" s="33">
        <f>IF($G990="","",IF(OR($D990="",$E990="",$F990=""),"CONTEXTE INCOMPLET",IF(COUNTIFS($D90:$D989,$D990,$E90:$E989,$E990,$F90:$F989,$F990,$G90:$G989,$G990)&gt;0,"DOUBLON","VALIDE")))</f>
        <v/>
      </c>
    </row>
    <row r="991" ht="15" customHeight="1">
      <c r="A991" s="12">
        <f>IF(OR($B991="",$G991=""),"",TEXT($B991,"YYYYMMDD")&amp;"-"&amp;SUBSTITUTE($E991," ","")&amp;"-"&amp;$F991&amp;"-"&amp;$G991)</f>
        <v/>
      </c>
      <c r="B991" s="15" t="n"/>
      <c r="C991" s="16" t="n"/>
      <c r="D991" s="10" t="n"/>
      <c r="E991" s="9" t="n"/>
      <c r="F991" s="9" t="n"/>
      <c r="G991" s="13" t="n"/>
      <c r="H991" s="21" t="n"/>
      <c r="I991" s="21" t="n"/>
      <c r="J991" s="17">
        <f>IF($G991="","",IFERROR(INDEX(NomsEmployes,MATCH($G991,MatriculesEmployes,0)),"MATRICULE INCONNU"))</f>
        <v/>
      </c>
      <c r="K991" s="33">
        <f>IF(OR($D991="",$F991=""),"",IFERROR(IF(INDEX(RUNS!$L$6:$S$1005,MATCH($D991,RUNS!$A$6:$A$1005,0),MATCH("ACTIVITÉ "&amp;$F991,RUNS!$L$5:$S$5,0))="","",INDEX(RUNS!$L$6:$S$1005,MATCH($D991,RUNS!$A$6:$A$1005,0),MATCH("ACTIVITÉ "&amp;$F991,RUNS!$L$5:$S$5,0))),""))</f>
        <v/>
      </c>
      <c r="L991" s="33">
        <f>IF($D991="","",IFERROR(IF(INDEX(RUNS!$E$6:$E$1005,MATCH($D991,RUNS!$A$6:$A$1005,0))="","",INDEX(RUNS!$E$6:$E$1005,MATCH($D991,RUNS!$A$6:$A$1005,0))),""))</f>
        <v/>
      </c>
      <c r="M991" s="33">
        <f>IF($D991="","",IFERROR(IF(INDEX(RUNS!$F$6:$F$1005,MATCH($D991,RUNS!$A$6:$A$1005,0))="","",INDEX(RUNS!$F$6:$F$1005,MATCH($D991,RUNS!$A$6:$A$1005,0))),""))</f>
        <v/>
      </c>
      <c r="N991" s="33">
        <f>IF($D991="","",IFERROR(IF(INDEX(RUNS!$G$6:$G$1005,MATCH($D991,RUNS!$A$6:$A$1005,0))="","",INDEX(RUNS!$G$6:$G$1005,MATCH($D991,RUNS!$A$6:$A$1005,0))),""))</f>
        <v/>
      </c>
      <c r="O991" s="33">
        <f>IF($D991="","",IFERROR(IF(INDEX(RUNS!$H$6:$H$1005,MATCH($D991,RUNS!$A$6:$A$1005,0))="","",INDEX(RUNS!$H$6:$H$1005,MATCH($D991,RUNS!$A$6:$A$1005,0))),""))</f>
        <v/>
      </c>
      <c r="P991" s="33">
        <f>IF($D991="","",IFERROR(IF(INDEX(RUNS!$J$6:$J$1005,MATCH($D991,RUNS!$A$6:$A$1005,0))="","",INDEX(RUNS!$J$6:$J$1005,MATCH($D991,RUNS!$A$6:$A$1005,0))),""))</f>
        <v/>
      </c>
      <c r="Q991" s="33">
        <f>IF($D991="","",IFERROR(IF(INDEX(RUNS!$K$6:$K$1005,MATCH($D991,RUNS!$A$6:$A$1005,0))="","",INDEX(RUNS!$K$6:$K$1005,MATCH($D991,RUNS!$A$6:$A$1005,0))),""))</f>
        <v/>
      </c>
      <c r="R991" s="34">
        <f>IF(OR($L991="",$K991=""),"",IFERROR(IF(INDEX(PARAMETRES!$H$43:$H$342,MATCH($L991&amp;"|"&amp;$M991&amp;"|"&amp;$N991&amp;"|"&amp;$O991&amp;"|"&amp;$P991&amp;"|"&amp;$Q991&amp;"|"&amp;$K991,PARAMETRES!$J$43:$J$342,0))="","",INDEX(PARAMETRES!$H$43:$H$342,MATCH($L991&amp;"|"&amp;$M991&amp;"|"&amp;$N991&amp;"|"&amp;$O991&amp;"|"&amp;$P991&amp;"|"&amp;$Q991&amp;"|"&amp;$K991,PARAMETRES!$J$43:$J$342,0))),""))</f>
        <v/>
      </c>
      <c r="S991" s="35">
        <f>IF(OR($G991="",$X991&lt;&gt;"VALIDE"),"",IFERROR(LOOKUP(2,1/(($B91:$B990=$B991)*($G91:$G990=$G991)*($X91:$X990="VALIDE")),$C91:$C990),""))</f>
        <v/>
      </c>
      <c r="T991" s="36">
        <f>IF(OR($C991="",$S991=""),"",ROUND(($C991-$S991+IF($C991&lt;$S991,1,0))*1440,0))</f>
        <v/>
      </c>
      <c r="U991" s="22">
        <f>IF(OR($H991="",$T991="",$T991&lt;=0),"",$H991*60/$T991)</f>
        <v/>
      </c>
      <c r="V991" s="37">
        <f>IF(OR($U991="",$R991="",$R991=0),"",$U991/$R991)</f>
        <v/>
      </c>
      <c r="W991" s="20">
        <f>IF($G991="","",IF($X991="CONTEXTE INCOMPLET","CONTEXTE INCOMPLET",IF($X991="DOUBLON",StatutDoublon,IF($S991="",StatutInitial,IF($R991="",StatutStandardManquant,IF($V991="","DONNEES INSUFFISANTES",IF($V991&gt;=SeuilConforme,StatutConforme,IF($V991&gt;=SeuilSurveiller,StatutSurveiller,StatutSousStandard))))))))</f>
        <v/>
      </c>
      <c r="X991" s="33">
        <f>IF($G991="","",IF(OR($D991="",$E991="",$F991=""),"CONTEXTE INCOMPLET",IF(COUNTIFS($D91:$D990,$D991,$E91:$E990,$E991,$F91:$F990,$F991,$G91:$G990,$G991)&gt;0,"DOUBLON","VALIDE")))</f>
        <v/>
      </c>
    </row>
    <row r="992" ht="15" customHeight="1">
      <c r="A992" s="12">
        <f>IF(OR($B992="",$G992=""),"",TEXT($B992,"YYYYMMDD")&amp;"-"&amp;SUBSTITUTE($E992," ","")&amp;"-"&amp;$F992&amp;"-"&amp;$G992)</f>
        <v/>
      </c>
      <c r="B992" s="15" t="n"/>
      <c r="C992" s="16" t="n"/>
      <c r="D992" s="10" t="n"/>
      <c r="E992" s="9" t="n"/>
      <c r="F992" s="9" t="n"/>
      <c r="G992" s="13" t="n"/>
      <c r="H992" s="21" t="n"/>
      <c r="I992" s="21" t="n"/>
      <c r="J992" s="17">
        <f>IF($G992="","",IFERROR(INDEX(NomsEmployes,MATCH($G992,MatriculesEmployes,0)),"MATRICULE INCONNU"))</f>
        <v/>
      </c>
      <c r="K992" s="33">
        <f>IF(OR($D992="",$F992=""),"",IFERROR(IF(INDEX(RUNS!$L$6:$S$1005,MATCH($D992,RUNS!$A$6:$A$1005,0),MATCH("ACTIVITÉ "&amp;$F992,RUNS!$L$5:$S$5,0))="","",INDEX(RUNS!$L$6:$S$1005,MATCH($D992,RUNS!$A$6:$A$1005,0),MATCH("ACTIVITÉ "&amp;$F992,RUNS!$L$5:$S$5,0))),""))</f>
        <v/>
      </c>
      <c r="L992" s="33">
        <f>IF($D992="","",IFERROR(IF(INDEX(RUNS!$E$6:$E$1005,MATCH($D992,RUNS!$A$6:$A$1005,0))="","",INDEX(RUNS!$E$6:$E$1005,MATCH($D992,RUNS!$A$6:$A$1005,0))),""))</f>
        <v/>
      </c>
      <c r="M992" s="33">
        <f>IF($D992="","",IFERROR(IF(INDEX(RUNS!$F$6:$F$1005,MATCH($D992,RUNS!$A$6:$A$1005,0))="","",INDEX(RUNS!$F$6:$F$1005,MATCH($D992,RUNS!$A$6:$A$1005,0))),""))</f>
        <v/>
      </c>
      <c r="N992" s="33">
        <f>IF($D992="","",IFERROR(IF(INDEX(RUNS!$G$6:$G$1005,MATCH($D992,RUNS!$A$6:$A$1005,0))="","",INDEX(RUNS!$G$6:$G$1005,MATCH($D992,RUNS!$A$6:$A$1005,0))),""))</f>
        <v/>
      </c>
      <c r="O992" s="33">
        <f>IF($D992="","",IFERROR(IF(INDEX(RUNS!$H$6:$H$1005,MATCH($D992,RUNS!$A$6:$A$1005,0))="","",INDEX(RUNS!$H$6:$H$1005,MATCH($D992,RUNS!$A$6:$A$1005,0))),""))</f>
        <v/>
      </c>
      <c r="P992" s="33">
        <f>IF($D992="","",IFERROR(IF(INDEX(RUNS!$J$6:$J$1005,MATCH($D992,RUNS!$A$6:$A$1005,0))="","",INDEX(RUNS!$J$6:$J$1005,MATCH($D992,RUNS!$A$6:$A$1005,0))),""))</f>
        <v/>
      </c>
      <c r="Q992" s="33">
        <f>IF($D992="","",IFERROR(IF(INDEX(RUNS!$K$6:$K$1005,MATCH($D992,RUNS!$A$6:$A$1005,0))="","",INDEX(RUNS!$K$6:$K$1005,MATCH($D992,RUNS!$A$6:$A$1005,0))),""))</f>
        <v/>
      </c>
      <c r="R992" s="34">
        <f>IF(OR($L992="",$K992=""),"",IFERROR(IF(INDEX(PARAMETRES!$H$43:$H$342,MATCH($L992&amp;"|"&amp;$M992&amp;"|"&amp;$N992&amp;"|"&amp;$O992&amp;"|"&amp;$P992&amp;"|"&amp;$Q992&amp;"|"&amp;$K992,PARAMETRES!$J$43:$J$342,0))="","",INDEX(PARAMETRES!$H$43:$H$342,MATCH($L992&amp;"|"&amp;$M992&amp;"|"&amp;$N992&amp;"|"&amp;$O992&amp;"|"&amp;$P992&amp;"|"&amp;$Q992&amp;"|"&amp;$K992,PARAMETRES!$J$43:$J$342,0))),""))</f>
        <v/>
      </c>
      <c r="S992" s="35">
        <f>IF(OR($G992="",$X992&lt;&gt;"VALIDE"),"",IFERROR(LOOKUP(2,1/(($B92:$B991=$B992)*($G92:$G991=$G992)*($X92:$X991="VALIDE")),$C92:$C991),""))</f>
        <v/>
      </c>
      <c r="T992" s="36">
        <f>IF(OR($C992="",$S992=""),"",ROUND(($C992-$S992+IF($C992&lt;$S992,1,0))*1440,0))</f>
        <v/>
      </c>
      <c r="U992" s="22">
        <f>IF(OR($H992="",$T992="",$T992&lt;=0),"",$H992*60/$T992)</f>
        <v/>
      </c>
      <c r="V992" s="37">
        <f>IF(OR($U992="",$R992="",$R992=0),"",$U992/$R992)</f>
        <v/>
      </c>
      <c r="W992" s="20">
        <f>IF($G992="","",IF($X992="CONTEXTE INCOMPLET","CONTEXTE INCOMPLET",IF($X992="DOUBLON",StatutDoublon,IF($S992="",StatutInitial,IF($R992="",StatutStandardManquant,IF($V992="","DONNEES INSUFFISANTES",IF($V992&gt;=SeuilConforme,StatutConforme,IF($V992&gt;=SeuilSurveiller,StatutSurveiller,StatutSousStandard))))))))</f>
        <v/>
      </c>
      <c r="X992" s="33">
        <f>IF($G992="","",IF(OR($D992="",$E992="",$F992=""),"CONTEXTE INCOMPLET",IF(COUNTIFS($D92:$D991,$D992,$E92:$E991,$E992,$F92:$F991,$F992,$G92:$G991,$G992)&gt;0,"DOUBLON","VALIDE")))</f>
        <v/>
      </c>
    </row>
    <row r="993" ht="15" customHeight="1">
      <c r="A993" s="12">
        <f>IF(OR($B993="",$G993=""),"",TEXT($B993,"YYYYMMDD")&amp;"-"&amp;SUBSTITUTE($E993," ","")&amp;"-"&amp;$F993&amp;"-"&amp;$G993)</f>
        <v/>
      </c>
      <c r="B993" s="15" t="n"/>
      <c r="C993" s="16" t="n"/>
      <c r="D993" s="10" t="n"/>
      <c r="E993" s="9" t="n"/>
      <c r="F993" s="9" t="n"/>
      <c r="G993" s="13" t="n"/>
      <c r="H993" s="21" t="n"/>
      <c r="I993" s="21" t="n"/>
      <c r="J993" s="17">
        <f>IF($G993="","",IFERROR(INDEX(NomsEmployes,MATCH($G993,MatriculesEmployes,0)),"MATRICULE INCONNU"))</f>
        <v/>
      </c>
      <c r="K993" s="33">
        <f>IF(OR($D993="",$F993=""),"",IFERROR(IF(INDEX(RUNS!$L$6:$S$1005,MATCH($D993,RUNS!$A$6:$A$1005,0),MATCH("ACTIVITÉ "&amp;$F993,RUNS!$L$5:$S$5,0))="","",INDEX(RUNS!$L$6:$S$1005,MATCH($D993,RUNS!$A$6:$A$1005,0),MATCH("ACTIVITÉ "&amp;$F993,RUNS!$L$5:$S$5,0))),""))</f>
        <v/>
      </c>
      <c r="L993" s="33">
        <f>IF($D993="","",IFERROR(IF(INDEX(RUNS!$E$6:$E$1005,MATCH($D993,RUNS!$A$6:$A$1005,0))="","",INDEX(RUNS!$E$6:$E$1005,MATCH($D993,RUNS!$A$6:$A$1005,0))),""))</f>
        <v/>
      </c>
      <c r="M993" s="33">
        <f>IF($D993="","",IFERROR(IF(INDEX(RUNS!$F$6:$F$1005,MATCH($D993,RUNS!$A$6:$A$1005,0))="","",INDEX(RUNS!$F$6:$F$1005,MATCH($D993,RUNS!$A$6:$A$1005,0))),""))</f>
        <v/>
      </c>
      <c r="N993" s="33">
        <f>IF($D993="","",IFERROR(IF(INDEX(RUNS!$G$6:$G$1005,MATCH($D993,RUNS!$A$6:$A$1005,0))="","",INDEX(RUNS!$G$6:$G$1005,MATCH($D993,RUNS!$A$6:$A$1005,0))),""))</f>
        <v/>
      </c>
      <c r="O993" s="33">
        <f>IF($D993="","",IFERROR(IF(INDEX(RUNS!$H$6:$H$1005,MATCH($D993,RUNS!$A$6:$A$1005,0))="","",INDEX(RUNS!$H$6:$H$1005,MATCH($D993,RUNS!$A$6:$A$1005,0))),""))</f>
        <v/>
      </c>
      <c r="P993" s="33">
        <f>IF($D993="","",IFERROR(IF(INDEX(RUNS!$J$6:$J$1005,MATCH($D993,RUNS!$A$6:$A$1005,0))="","",INDEX(RUNS!$J$6:$J$1005,MATCH($D993,RUNS!$A$6:$A$1005,0))),""))</f>
        <v/>
      </c>
      <c r="Q993" s="33">
        <f>IF($D993="","",IFERROR(IF(INDEX(RUNS!$K$6:$K$1005,MATCH($D993,RUNS!$A$6:$A$1005,0))="","",INDEX(RUNS!$K$6:$K$1005,MATCH($D993,RUNS!$A$6:$A$1005,0))),""))</f>
        <v/>
      </c>
      <c r="R993" s="34">
        <f>IF(OR($L993="",$K993=""),"",IFERROR(IF(INDEX(PARAMETRES!$H$43:$H$342,MATCH($L993&amp;"|"&amp;$M993&amp;"|"&amp;$N993&amp;"|"&amp;$O993&amp;"|"&amp;$P993&amp;"|"&amp;$Q993&amp;"|"&amp;$K993,PARAMETRES!$J$43:$J$342,0))="","",INDEX(PARAMETRES!$H$43:$H$342,MATCH($L993&amp;"|"&amp;$M993&amp;"|"&amp;$N993&amp;"|"&amp;$O993&amp;"|"&amp;$P993&amp;"|"&amp;$Q993&amp;"|"&amp;$K993,PARAMETRES!$J$43:$J$342,0))),""))</f>
        <v/>
      </c>
      <c r="S993" s="35">
        <f>IF(OR($G993="",$X993&lt;&gt;"VALIDE"),"",IFERROR(LOOKUP(2,1/(($B93:$B992=$B993)*($G93:$G992=$G993)*($X93:$X992="VALIDE")),$C93:$C992),""))</f>
        <v/>
      </c>
      <c r="T993" s="36">
        <f>IF(OR($C993="",$S993=""),"",ROUND(($C993-$S993+IF($C993&lt;$S993,1,0))*1440,0))</f>
        <v/>
      </c>
      <c r="U993" s="22">
        <f>IF(OR($H993="",$T993="",$T993&lt;=0),"",$H993*60/$T993)</f>
        <v/>
      </c>
      <c r="V993" s="37">
        <f>IF(OR($U993="",$R993="",$R993=0),"",$U993/$R993)</f>
        <v/>
      </c>
      <c r="W993" s="20">
        <f>IF($G993="","",IF($X993="CONTEXTE INCOMPLET","CONTEXTE INCOMPLET",IF($X993="DOUBLON",StatutDoublon,IF($S993="",StatutInitial,IF($R993="",StatutStandardManquant,IF($V993="","DONNEES INSUFFISANTES",IF($V993&gt;=SeuilConforme,StatutConforme,IF($V993&gt;=SeuilSurveiller,StatutSurveiller,StatutSousStandard))))))))</f>
        <v/>
      </c>
      <c r="X993" s="33">
        <f>IF($G993="","",IF(OR($D993="",$E993="",$F993=""),"CONTEXTE INCOMPLET",IF(COUNTIFS($D93:$D992,$D993,$E93:$E992,$E993,$F93:$F992,$F993,$G93:$G992,$G993)&gt;0,"DOUBLON","VALIDE")))</f>
        <v/>
      </c>
    </row>
    <row r="994" ht="15" customHeight="1">
      <c r="A994" s="12">
        <f>IF(OR($B994="",$G994=""),"",TEXT($B994,"YYYYMMDD")&amp;"-"&amp;SUBSTITUTE($E994," ","")&amp;"-"&amp;$F994&amp;"-"&amp;$G994)</f>
        <v/>
      </c>
      <c r="B994" s="15" t="n"/>
      <c r="C994" s="16" t="n"/>
      <c r="D994" s="10" t="n"/>
      <c r="E994" s="9" t="n"/>
      <c r="F994" s="9" t="n"/>
      <c r="G994" s="13" t="n"/>
      <c r="H994" s="21" t="n"/>
      <c r="I994" s="21" t="n"/>
      <c r="J994" s="17">
        <f>IF($G994="","",IFERROR(INDEX(NomsEmployes,MATCH($G994,MatriculesEmployes,0)),"MATRICULE INCONNU"))</f>
        <v/>
      </c>
      <c r="K994" s="33">
        <f>IF(OR($D994="",$F994=""),"",IFERROR(IF(INDEX(RUNS!$L$6:$S$1005,MATCH($D994,RUNS!$A$6:$A$1005,0),MATCH("ACTIVITÉ "&amp;$F994,RUNS!$L$5:$S$5,0))="","",INDEX(RUNS!$L$6:$S$1005,MATCH($D994,RUNS!$A$6:$A$1005,0),MATCH("ACTIVITÉ "&amp;$F994,RUNS!$L$5:$S$5,0))),""))</f>
        <v/>
      </c>
      <c r="L994" s="33">
        <f>IF($D994="","",IFERROR(IF(INDEX(RUNS!$E$6:$E$1005,MATCH($D994,RUNS!$A$6:$A$1005,0))="","",INDEX(RUNS!$E$6:$E$1005,MATCH($D994,RUNS!$A$6:$A$1005,0))),""))</f>
        <v/>
      </c>
      <c r="M994" s="33">
        <f>IF($D994="","",IFERROR(IF(INDEX(RUNS!$F$6:$F$1005,MATCH($D994,RUNS!$A$6:$A$1005,0))="","",INDEX(RUNS!$F$6:$F$1005,MATCH($D994,RUNS!$A$6:$A$1005,0))),""))</f>
        <v/>
      </c>
      <c r="N994" s="33">
        <f>IF($D994="","",IFERROR(IF(INDEX(RUNS!$G$6:$G$1005,MATCH($D994,RUNS!$A$6:$A$1005,0))="","",INDEX(RUNS!$G$6:$G$1005,MATCH($D994,RUNS!$A$6:$A$1005,0))),""))</f>
        <v/>
      </c>
      <c r="O994" s="33">
        <f>IF($D994="","",IFERROR(IF(INDEX(RUNS!$H$6:$H$1005,MATCH($D994,RUNS!$A$6:$A$1005,0))="","",INDEX(RUNS!$H$6:$H$1005,MATCH($D994,RUNS!$A$6:$A$1005,0))),""))</f>
        <v/>
      </c>
      <c r="P994" s="33">
        <f>IF($D994="","",IFERROR(IF(INDEX(RUNS!$J$6:$J$1005,MATCH($D994,RUNS!$A$6:$A$1005,0))="","",INDEX(RUNS!$J$6:$J$1005,MATCH($D994,RUNS!$A$6:$A$1005,0))),""))</f>
        <v/>
      </c>
      <c r="Q994" s="33">
        <f>IF($D994="","",IFERROR(IF(INDEX(RUNS!$K$6:$K$1005,MATCH($D994,RUNS!$A$6:$A$1005,0))="","",INDEX(RUNS!$K$6:$K$1005,MATCH($D994,RUNS!$A$6:$A$1005,0))),""))</f>
        <v/>
      </c>
      <c r="R994" s="34">
        <f>IF(OR($L994="",$K994=""),"",IFERROR(IF(INDEX(PARAMETRES!$H$43:$H$342,MATCH($L994&amp;"|"&amp;$M994&amp;"|"&amp;$N994&amp;"|"&amp;$O994&amp;"|"&amp;$P994&amp;"|"&amp;$Q994&amp;"|"&amp;$K994,PARAMETRES!$J$43:$J$342,0))="","",INDEX(PARAMETRES!$H$43:$H$342,MATCH($L994&amp;"|"&amp;$M994&amp;"|"&amp;$N994&amp;"|"&amp;$O994&amp;"|"&amp;$P994&amp;"|"&amp;$Q994&amp;"|"&amp;$K994,PARAMETRES!$J$43:$J$342,0))),""))</f>
        <v/>
      </c>
      <c r="S994" s="35">
        <f>IF(OR($G994="",$X994&lt;&gt;"VALIDE"),"",IFERROR(LOOKUP(2,1/(($B94:$B993=$B994)*($G94:$G993=$G994)*($X94:$X993="VALIDE")),$C94:$C993),""))</f>
        <v/>
      </c>
      <c r="T994" s="36">
        <f>IF(OR($C994="",$S994=""),"",ROUND(($C994-$S994+IF($C994&lt;$S994,1,0))*1440,0))</f>
        <v/>
      </c>
      <c r="U994" s="22">
        <f>IF(OR($H994="",$T994="",$T994&lt;=0),"",$H994*60/$T994)</f>
        <v/>
      </c>
      <c r="V994" s="37">
        <f>IF(OR($U994="",$R994="",$R994=0),"",$U994/$R994)</f>
        <v/>
      </c>
      <c r="W994" s="20">
        <f>IF($G994="","",IF($X994="CONTEXTE INCOMPLET","CONTEXTE INCOMPLET",IF($X994="DOUBLON",StatutDoublon,IF($S994="",StatutInitial,IF($R994="",StatutStandardManquant,IF($V994="","DONNEES INSUFFISANTES",IF($V994&gt;=SeuilConforme,StatutConforme,IF($V994&gt;=SeuilSurveiller,StatutSurveiller,StatutSousStandard))))))))</f>
        <v/>
      </c>
      <c r="X994" s="33">
        <f>IF($G994="","",IF(OR($D994="",$E994="",$F994=""),"CONTEXTE INCOMPLET",IF(COUNTIFS($D94:$D993,$D994,$E94:$E993,$E994,$F94:$F993,$F994,$G94:$G993,$G994)&gt;0,"DOUBLON","VALIDE")))</f>
        <v/>
      </c>
    </row>
    <row r="995" ht="15" customHeight="1">
      <c r="A995" s="12">
        <f>IF(OR($B995="",$G995=""),"",TEXT($B995,"YYYYMMDD")&amp;"-"&amp;SUBSTITUTE($E995," ","")&amp;"-"&amp;$F995&amp;"-"&amp;$G995)</f>
        <v/>
      </c>
      <c r="B995" s="15" t="n"/>
      <c r="C995" s="16" t="n"/>
      <c r="D995" s="10" t="n"/>
      <c r="E995" s="9" t="n"/>
      <c r="F995" s="9" t="n"/>
      <c r="G995" s="13" t="n"/>
      <c r="H995" s="21" t="n"/>
      <c r="I995" s="21" t="n"/>
      <c r="J995" s="17">
        <f>IF($G995="","",IFERROR(INDEX(NomsEmployes,MATCH($G995,MatriculesEmployes,0)),"MATRICULE INCONNU"))</f>
        <v/>
      </c>
      <c r="K995" s="33">
        <f>IF(OR($D995="",$F995=""),"",IFERROR(IF(INDEX(RUNS!$L$6:$S$1005,MATCH($D995,RUNS!$A$6:$A$1005,0),MATCH("ACTIVITÉ "&amp;$F995,RUNS!$L$5:$S$5,0))="","",INDEX(RUNS!$L$6:$S$1005,MATCH($D995,RUNS!$A$6:$A$1005,0),MATCH("ACTIVITÉ "&amp;$F995,RUNS!$L$5:$S$5,0))),""))</f>
        <v/>
      </c>
      <c r="L995" s="33">
        <f>IF($D995="","",IFERROR(IF(INDEX(RUNS!$E$6:$E$1005,MATCH($D995,RUNS!$A$6:$A$1005,0))="","",INDEX(RUNS!$E$6:$E$1005,MATCH($D995,RUNS!$A$6:$A$1005,0))),""))</f>
        <v/>
      </c>
      <c r="M995" s="33">
        <f>IF($D995="","",IFERROR(IF(INDEX(RUNS!$F$6:$F$1005,MATCH($D995,RUNS!$A$6:$A$1005,0))="","",INDEX(RUNS!$F$6:$F$1005,MATCH($D995,RUNS!$A$6:$A$1005,0))),""))</f>
        <v/>
      </c>
      <c r="N995" s="33">
        <f>IF($D995="","",IFERROR(IF(INDEX(RUNS!$G$6:$G$1005,MATCH($D995,RUNS!$A$6:$A$1005,0))="","",INDEX(RUNS!$G$6:$G$1005,MATCH($D995,RUNS!$A$6:$A$1005,0))),""))</f>
        <v/>
      </c>
      <c r="O995" s="33">
        <f>IF($D995="","",IFERROR(IF(INDEX(RUNS!$H$6:$H$1005,MATCH($D995,RUNS!$A$6:$A$1005,0))="","",INDEX(RUNS!$H$6:$H$1005,MATCH($D995,RUNS!$A$6:$A$1005,0))),""))</f>
        <v/>
      </c>
      <c r="P995" s="33">
        <f>IF($D995="","",IFERROR(IF(INDEX(RUNS!$J$6:$J$1005,MATCH($D995,RUNS!$A$6:$A$1005,0))="","",INDEX(RUNS!$J$6:$J$1005,MATCH($D995,RUNS!$A$6:$A$1005,0))),""))</f>
        <v/>
      </c>
      <c r="Q995" s="33">
        <f>IF($D995="","",IFERROR(IF(INDEX(RUNS!$K$6:$K$1005,MATCH($D995,RUNS!$A$6:$A$1005,0))="","",INDEX(RUNS!$K$6:$K$1005,MATCH($D995,RUNS!$A$6:$A$1005,0))),""))</f>
        <v/>
      </c>
      <c r="R995" s="34">
        <f>IF(OR($L995="",$K995=""),"",IFERROR(IF(INDEX(PARAMETRES!$H$43:$H$342,MATCH($L995&amp;"|"&amp;$M995&amp;"|"&amp;$N995&amp;"|"&amp;$O995&amp;"|"&amp;$P995&amp;"|"&amp;$Q995&amp;"|"&amp;$K995,PARAMETRES!$J$43:$J$342,0))="","",INDEX(PARAMETRES!$H$43:$H$342,MATCH($L995&amp;"|"&amp;$M995&amp;"|"&amp;$N995&amp;"|"&amp;$O995&amp;"|"&amp;$P995&amp;"|"&amp;$Q995&amp;"|"&amp;$K995,PARAMETRES!$J$43:$J$342,0))),""))</f>
        <v/>
      </c>
      <c r="S995" s="35">
        <f>IF(OR($G995="",$X995&lt;&gt;"VALIDE"),"",IFERROR(LOOKUP(2,1/(($B95:$B994=$B995)*($G95:$G994=$G995)*($X95:$X994="VALIDE")),$C95:$C994),""))</f>
        <v/>
      </c>
      <c r="T995" s="36">
        <f>IF(OR($C995="",$S995=""),"",ROUND(($C995-$S995+IF($C995&lt;$S995,1,0))*1440,0))</f>
        <v/>
      </c>
      <c r="U995" s="22">
        <f>IF(OR($H995="",$T995="",$T995&lt;=0),"",$H995*60/$T995)</f>
        <v/>
      </c>
      <c r="V995" s="37">
        <f>IF(OR($U995="",$R995="",$R995=0),"",$U995/$R995)</f>
        <v/>
      </c>
      <c r="W995" s="20">
        <f>IF($G995="","",IF($X995="CONTEXTE INCOMPLET","CONTEXTE INCOMPLET",IF($X995="DOUBLON",StatutDoublon,IF($S995="",StatutInitial,IF($R995="",StatutStandardManquant,IF($V995="","DONNEES INSUFFISANTES",IF($V995&gt;=SeuilConforme,StatutConforme,IF($V995&gt;=SeuilSurveiller,StatutSurveiller,StatutSousStandard))))))))</f>
        <v/>
      </c>
      <c r="X995" s="33">
        <f>IF($G995="","",IF(OR($D995="",$E995="",$F995=""),"CONTEXTE INCOMPLET",IF(COUNTIFS($D95:$D994,$D995,$E95:$E994,$E995,$F95:$F994,$F995,$G95:$G994,$G995)&gt;0,"DOUBLON","VALIDE")))</f>
        <v/>
      </c>
    </row>
    <row r="996" ht="15" customHeight="1">
      <c r="A996" s="12">
        <f>IF(OR($B996="",$G996=""),"",TEXT($B996,"YYYYMMDD")&amp;"-"&amp;SUBSTITUTE($E996," ","")&amp;"-"&amp;$F996&amp;"-"&amp;$G996)</f>
        <v/>
      </c>
      <c r="B996" s="15" t="n"/>
      <c r="C996" s="16" t="n"/>
      <c r="D996" s="10" t="n"/>
      <c r="E996" s="9" t="n"/>
      <c r="F996" s="9" t="n"/>
      <c r="G996" s="13" t="n"/>
      <c r="H996" s="21" t="n"/>
      <c r="I996" s="21" t="n"/>
      <c r="J996" s="17">
        <f>IF($G996="","",IFERROR(INDEX(NomsEmployes,MATCH($G996,MatriculesEmployes,0)),"MATRICULE INCONNU"))</f>
        <v/>
      </c>
      <c r="K996" s="33">
        <f>IF(OR($D996="",$F996=""),"",IFERROR(IF(INDEX(RUNS!$L$6:$S$1005,MATCH($D996,RUNS!$A$6:$A$1005,0),MATCH("ACTIVITÉ "&amp;$F996,RUNS!$L$5:$S$5,0))="","",INDEX(RUNS!$L$6:$S$1005,MATCH($D996,RUNS!$A$6:$A$1005,0),MATCH("ACTIVITÉ "&amp;$F996,RUNS!$L$5:$S$5,0))),""))</f>
        <v/>
      </c>
      <c r="L996" s="33">
        <f>IF($D996="","",IFERROR(IF(INDEX(RUNS!$E$6:$E$1005,MATCH($D996,RUNS!$A$6:$A$1005,0))="","",INDEX(RUNS!$E$6:$E$1005,MATCH($D996,RUNS!$A$6:$A$1005,0))),""))</f>
        <v/>
      </c>
      <c r="M996" s="33">
        <f>IF($D996="","",IFERROR(IF(INDEX(RUNS!$F$6:$F$1005,MATCH($D996,RUNS!$A$6:$A$1005,0))="","",INDEX(RUNS!$F$6:$F$1005,MATCH($D996,RUNS!$A$6:$A$1005,0))),""))</f>
        <v/>
      </c>
      <c r="N996" s="33">
        <f>IF($D996="","",IFERROR(IF(INDEX(RUNS!$G$6:$G$1005,MATCH($D996,RUNS!$A$6:$A$1005,0))="","",INDEX(RUNS!$G$6:$G$1005,MATCH($D996,RUNS!$A$6:$A$1005,0))),""))</f>
        <v/>
      </c>
      <c r="O996" s="33">
        <f>IF($D996="","",IFERROR(IF(INDEX(RUNS!$H$6:$H$1005,MATCH($D996,RUNS!$A$6:$A$1005,0))="","",INDEX(RUNS!$H$6:$H$1005,MATCH($D996,RUNS!$A$6:$A$1005,0))),""))</f>
        <v/>
      </c>
      <c r="P996" s="33">
        <f>IF($D996="","",IFERROR(IF(INDEX(RUNS!$J$6:$J$1005,MATCH($D996,RUNS!$A$6:$A$1005,0))="","",INDEX(RUNS!$J$6:$J$1005,MATCH($D996,RUNS!$A$6:$A$1005,0))),""))</f>
        <v/>
      </c>
      <c r="Q996" s="33">
        <f>IF($D996="","",IFERROR(IF(INDEX(RUNS!$K$6:$K$1005,MATCH($D996,RUNS!$A$6:$A$1005,0))="","",INDEX(RUNS!$K$6:$K$1005,MATCH($D996,RUNS!$A$6:$A$1005,0))),""))</f>
        <v/>
      </c>
      <c r="R996" s="34">
        <f>IF(OR($L996="",$K996=""),"",IFERROR(IF(INDEX(PARAMETRES!$H$43:$H$342,MATCH($L996&amp;"|"&amp;$M996&amp;"|"&amp;$N996&amp;"|"&amp;$O996&amp;"|"&amp;$P996&amp;"|"&amp;$Q996&amp;"|"&amp;$K996,PARAMETRES!$J$43:$J$342,0))="","",INDEX(PARAMETRES!$H$43:$H$342,MATCH($L996&amp;"|"&amp;$M996&amp;"|"&amp;$N996&amp;"|"&amp;$O996&amp;"|"&amp;$P996&amp;"|"&amp;$Q996&amp;"|"&amp;$K996,PARAMETRES!$J$43:$J$342,0))),""))</f>
        <v/>
      </c>
      <c r="S996" s="35">
        <f>IF(OR($G996="",$X996&lt;&gt;"VALIDE"),"",IFERROR(LOOKUP(2,1/(($B96:$B995=$B996)*($G96:$G995=$G996)*($X96:$X995="VALIDE")),$C96:$C995),""))</f>
        <v/>
      </c>
      <c r="T996" s="36">
        <f>IF(OR($C996="",$S996=""),"",ROUND(($C996-$S996+IF($C996&lt;$S996,1,0))*1440,0))</f>
        <v/>
      </c>
      <c r="U996" s="22">
        <f>IF(OR($H996="",$T996="",$T996&lt;=0),"",$H996*60/$T996)</f>
        <v/>
      </c>
      <c r="V996" s="37">
        <f>IF(OR($U996="",$R996="",$R996=0),"",$U996/$R996)</f>
        <v/>
      </c>
      <c r="W996" s="20">
        <f>IF($G996="","",IF($X996="CONTEXTE INCOMPLET","CONTEXTE INCOMPLET",IF($X996="DOUBLON",StatutDoublon,IF($S996="",StatutInitial,IF($R996="",StatutStandardManquant,IF($V996="","DONNEES INSUFFISANTES",IF($V996&gt;=SeuilConforme,StatutConforme,IF($V996&gt;=SeuilSurveiller,StatutSurveiller,StatutSousStandard))))))))</f>
        <v/>
      </c>
      <c r="X996" s="33">
        <f>IF($G996="","",IF(OR($D996="",$E996="",$F996=""),"CONTEXTE INCOMPLET",IF(COUNTIFS($D96:$D995,$D996,$E96:$E995,$E996,$F96:$F995,$F996,$G96:$G995,$G996)&gt;0,"DOUBLON","VALIDE")))</f>
        <v/>
      </c>
    </row>
    <row r="997" ht="15" customHeight="1">
      <c r="A997" s="12">
        <f>IF(OR($B997="",$G997=""),"",TEXT($B997,"YYYYMMDD")&amp;"-"&amp;SUBSTITUTE($E997," ","")&amp;"-"&amp;$F997&amp;"-"&amp;$G997)</f>
        <v/>
      </c>
      <c r="B997" s="15" t="n"/>
      <c r="C997" s="16" t="n"/>
      <c r="D997" s="10" t="n"/>
      <c r="E997" s="9" t="n"/>
      <c r="F997" s="9" t="n"/>
      <c r="G997" s="13" t="n"/>
      <c r="H997" s="21" t="n"/>
      <c r="I997" s="21" t="n"/>
      <c r="J997" s="17">
        <f>IF($G997="","",IFERROR(INDEX(NomsEmployes,MATCH($G997,MatriculesEmployes,0)),"MATRICULE INCONNU"))</f>
        <v/>
      </c>
      <c r="K997" s="33">
        <f>IF(OR($D997="",$F997=""),"",IFERROR(IF(INDEX(RUNS!$L$6:$S$1005,MATCH($D997,RUNS!$A$6:$A$1005,0),MATCH("ACTIVITÉ "&amp;$F997,RUNS!$L$5:$S$5,0))="","",INDEX(RUNS!$L$6:$S$1005,MATCH($D997,RUNS!$A$6:$A$1005,0),MATCH("ACTIVITÉ "&amp;$F997,RUNS!$L$5:$S$5,0))),""))</f>
        <v/>
      </c>
      <c r="L997" s="33">
        <f>IF($D997="","",IFERROR(IF(INDEX(RUNS!$E$6:$E$1005,MATCH($D997,RUNS!$A$6:$A$1005,0))="","",INDEX(RUNS!$E$6:$E$1005,MATCH($D997,RUNS!$A$6:$A$1005,0))),""))</f>
        <v/>
      </c>
      <c r="M997" s="33">
        <f>IF($D997="","",IFERROR(IF(INDEX(RUNS!$F$6:$F$1005,MATCH($D997,RUNS!$A$6:$A$1005,0))="","",INDEX(RUNS!$F$6:$F$1005,MATCH($D997,RUNS!$A$6:$A$1005,0))),""))</f>
        <v/>
      </c>
      <c r="N997" s="33">
        <f>IF($D997="","",IFERROR(IF(INDEX(RUNS!$G$6:$G$1005,MATCH($D997,RUNS!$A$6:$A$1005,0))="","",INDEX(RUNS!$G$6:$G$1005,MATCH($D997,RUNS!$A$6:$A$1005,0))),""))</f>
        <v/>
      </c>
      <c r="O997" s="33">
        <f>IF($D997="","",IFERROR(IF(INDEX(RUNS!$H$6:$H$1005,MATCH($D997,RUNS!$A$6:$A$1005,0))="","",INDEX(RUNS!$H$6:$H$1005,MATCH($D997,RUNS!$A$6:$A$1005,0))),""))</f>
        <v/>
      </c>
      <c r="P997" s="33">
        <f>IF($D997="","",IFERROR(IF(INDEX(RUNS!$J$6:$J$1005,MATCH($D997,RUNS!$A$6:$A$1005,0))="","",INDEX(RUNS!$J$6:$J$1005,MATCH($D997,RUNS!$A$6:$A$1005,0))),""))</f>
        <v/>
      </c>
      <c r="Q997" s="33">
        <f>IF($D997="","",IFERROR(IF(INDEX(RUNS!$K$6:$K$1005,MATCH($D997,RUNS!$A$6:$A$1005,0))="","",INDEX(RUNS!$K$6:$K$1005,MATCH($D997,RUNS!$A$6:$A$1005,0))),""))</f>
        <v/>
      </c>
      <c r="R997" s="34">
        <f>IF(OR($L997="",$K997=""),"",IFERROR(IF(INDEX(PARAMETRES!$H$43:$H$342,MATCH($L997&amp;"|"&amp;$M997&amp;"|"&amp;$N997&amp;"|"&amp;$O997&amp;"|"&amp;$P997&amp;"|"&amp;$Q997&amp;"|"&amp;$K997,PARAMETRES!$J$43:$J$342,0))="","",INDEX(PARAMETRES!$H$43:$H$342,MATCH($L997&amp;"|"&amp;$M997&amp;"|"&amp;$N997&amp;"|"&amp;$O997&amp;"|"&amp;$P997&amp;"|"&amp;$Q997&amp;"|"&amp;$K997,PARAMETRES!$J$43:$J$342,0))),""))</f>
        <v/>
      </c>
      <c r="S997" s="35">
        <f>IF(OR($G997="",$X997&lt;&gt;"VALIDE"),"",IFERROR(LOOKUP(2,1/(($B97:$B996=$B997)*($G97:$G996=$G997)*($X97:$X996="VALIDE")),$C97:$C996),""))</f>
        <v/>
      </c>
      <c r="T997" s="36">
        <f>IF(OR($C997="",$S997=""),"",ROUND(($C997-$S997+IF($C997&lt;$S997,1,0))*1440,0))</f>
        <v/>
      </c>
      <c r="U997" s="22">
        <f>IF(OR($H997="",$T997="",$T997&lt;=0),"",$H997*60/$T997)</f>
        <v/>
      </c>
      <c r="V997" s="37">
        <f>IF(OR($U997="",$R997="",$R997=0),"",$U997/$R997)</f>
        <v/>
      </c>
      <c r="W997" s="20">
        <f>IF($G997="","",IF($X997="CONTEXTE INCOMPLET","CONTEXTE INCOMPLET",IF($X997="DOUBLON",StatutDoublon,IF($S997="",StatutInitial,IF($R997="",StatutStandardManquant,IF($V997="","DONNEES INSUFFISANTES",IF($V997&gt;=SeuilConforme,StatutConforme,IF($V997&gt;=SeuilSurveiller,StatutSurveiller,StatutSousStandard))))))))</f>
        <v/>
      </c>
      <c r="X997" s="33">
        <f>IF($G997="","",IF(OR($D997="",$E997="",$F997=""),"CONTEXTE INCOMPLET",IF(COUNTIFS($D97:$D996,$D997,$E97:$E996,$E997,$F97:$F996,$F997,$G97:$G996,$G997)&gt;0,"DOUBLON","VALIDE")))</f>
        <v/>
      </c>
    </row>
    <row r="998" ht="15" customHeight="1">
      <c r="A998" s="12">
        <f>IF(OR($B998="",$G998=""),"",TEXT($B998,"YYYYMMDD")&amp;"-"&amp;SUBSTITUTE($E998," ","")&amp;"-"&amp;$F998&amp;"-"&amp;$G998)</f>
        <v/>
      </c>
      <c r="B998" s="15" t="n"/>
      <c r="C998" s="16" t="n"/>
      <c r="D998" s="10" t="n"/>
      <c r="E998" s="9" t="n"/>
      <c r="F998" s="9" t="n"/>
      <c r="G998" s="13" t="n"/>
      <c r="H998" s="21" t="n"/>
      <c r="I998" s="21" t="n"/>
      <c r="J998" s="17">
        <f>IF($G998="","",IFERROR(INDEX(NomsEmployes,MATCH($G998,MatriculesEmployes,0)),"MATRICULE INCONNU"))</f>
        <v/>
      </c>
      <c r="K998" s="33">
        <f>IF(OR($D998="",$F998=""),"",IFERROR(IF(INDEX(RUNS!$L$6:$S$1005,MATCH($D998,RUNS!$A$6:$A$1005,0),MATCH("ACTIVITÉ "&amp;$F998,RUNS!$L$5:$S$5,0))="","",INDEX(RUNS!$L$6:$S$1005,MATCH($D998,RUNS!$A$6:$A$1005,0),MATCH("ACTIVITÉ "&amp;$F998,RUNS!$L$5:$S$5,0))),""))</f>
        <v/>
      </c>
      <c r="L998" s="33">
        <f>IF($D998="","",IFERROR(IF(INDEX(RUNS!$E$6:$E$1005,MATCH($D998,RUNS!$A$6:$A$1005,0))="","",INDEX(RUNS!$E$6:$E$1005,MATCH($D998,RUNS!$A$6:$A$1005,0))),""))</f>
        <v/>
      </c>
      <c r="M998" s="33">
        <f>IF($D998="","",IFERROR(IF(INDEX(RUNS!$F$6:$F$1005,MATCH($D998,RUNS!$A$6:$A$1005,0))="","",INDEX(RUNS!$F$6:$F$1005,MATCH($D998,RUNS!$A$6:$A$1005,0))),""))</f>
        <v/>
      </c>
      <c r="N998" s="33">
        <f>IF($D998="","",IFERROR(IF(INDEX(RUNS!$G$6:$G$1005,MATCH($D998,RUNS!$A$6:$A$1005,0))="","",INDEX(RUNS!$G$6:$G$1005,MATCH($D998,RUNS!$A$6:$A$1005,0))),""))</f>
        <v/>
      </c>
      <c r="O998" s="33">
        <f>IF($D998="","",IFERROR(IF(INDEX(RUNS!$H$6:$H$1005,MATCH($D998,RUNS!$A$6:$A$1005,0))="","",INDEX(RUNS!$H$6:$H$1005,MATCH($D998,RUNS!$A$6:$A$1005,0))),""))</f>
        <v/>
      </c>
      <c r="P998" s="33">
        <f>IF($D998="","",IFERROR(IF(INDEX(RUNS!$J$6:$J$1005,MATCH($D998,RUNS!$A$6:$A$1005,0))="","",INDEX(RUNS!$J$6:$J$1005,MATCH($D998,RUNS!$A$6:$A$1005,0))),""))</f>
        <v/>
      </c>
      <c r="Q998" s="33">
        <f>IF($D998="","",IFERROR(IF(INDEX(RUNS!$K$6:$K$1005,MATCH($D998,RUNS!$A$6:$A$1005,0))="","",INDEX(RUNS!$K$6:$K$1005,MATCH($D998,RUNS!$A$6:$A$1005,0))),""))</f>
        <v/>
      </c>
      <c r="R998" s="34">
        <f>IF(OR($L998="",$K998=""),"",IFERROR(IF(INDEX(PARAMETRES!$H$43:$H$342,MATCH($L998&amp;"|"&amp;$M998&amp;"|"&amp;$N998&amp;"|"&amp;$O998&amp;"|"&amp;$P998&amp;"|"&amp;$Q998&amp;"|"&amp;$K998,PARAMETRES!$J$43:$J$342,0))="","",INDEX(PARAMETRES!$H$43:$H$342,MATCH($L998&amp;"|"&amp;$M998&amp;"|"&amp;$N998&amp;"|"&amp;$O998&amp;"|"&amp;$P998&amp;"|"&amp;$Q998&amp;"|"&amp;$K998,PARAMETRES!$J$43:$J$342,0))),""))</f>
        <v/>
      </c>
      <c r="S998" s="35">
        <f>IF(OR($G998="",$X998&lt;&gt;"VALIDE"),"",IFERROR(LOOKUP(2,1/(($B98:$B997=$B998)*($G98:$G997=$G998)*($X98:$X997="VALIDE")),$C98:$C997),""))</f>
        <v/>
      </c>
      <c r="T998" s="36">
        <f>IF(OR($C998="",$S998=""),"",ROUND(($C998-$S998+IF($C998&lt;$S998,1,0))*1440,0))</f>
        <v/>
      </c>
      <c r="U998" s="22">
        <f>IF(OR($H998="",$T998="",$T998&lt;=0),"",$H998*60/$T998)</f>
        <v/>
      </c>
      <c r="V998" s="37">
        <f>IF(OR($U998="",$R998="",$R998=0),"",$U998/$R998)</f>
        <v/>
      </c>
      <c r="W998" s="20">
        <f>IF($G998="","",IF($X998="CONTEXTE INCOMPLET","CONTEXTE INCOMPLET",IF($X998="DOUBLON",StatutDoublon,IF($S998="",StatutInitial,IF($R998="",StatutStandardManquant,IF($V998="","DONNEES INSUFFISANTES",IF($V998&gt;=SeuilConforme,StatutConforme,IF($V998&gt;=SeuilSurveiller,StatutSurveiller,StatutSousStandard))))))))</f>
        <v/>
      </c>
      <c r="X998" s="33">
        <f>IF($G998="","",IF(OR($D998="",$E998="",$F998=""),"CONTEXTE INCOMPLET",IF(COUNTIFS($D98:$D997,$D998,$E98:$E997,$E998,$F98:$F997,$F998,$G98:$G997,$G998)&gt;0,"DOUBLON","VALIDE")))</f>
        <v/>
      </c>
    </row>
    <row r="999" ht="15" customHeight="1">
      <c r="A999" s="12">
        <f>IF(OR($B999="",$G999=""),"",TEXT($B999,"YYYYMMDD")&amp;"-"&amp;SUBSTITUTE($E999," ","")&amp;"-"&amp;$F999&amp;"-"&amp;$G999)</f>
        <v/>
      </c>
      <c r="B999" s="15" t="n"/>
      <c r="C999" s="16" t="n"/>
      <c r="D999" s="10" t="n"/>
      <c r="E999" s="9" t="n"/>
      <c r="F999" s="9" t="n"/>
      <c r="G999" s="13" t="n"/>
      <c r="H999" s="21" t="n"/>
      <c r="I999" s="21" t="n"/>
      <c r="J999" s="17">
        <f>IF($G999="","",IFERROR(INDEX(NomsEmployes,MATCH($G999,MatriculesEmployes,0)),"MATRICULE INCONNU"))</f>
        <v/>
      </c>
      <c r="K999" s="33">
        <f>IF(OR($D999="",$F999=""),"",IFERROR(IF(INDEX(RUNS!$L$6:$S$1005,MATCH($D999,RUNS!$A$6:$A$1005,0),MATCH("ACTIVITÉ "&amp;$F999,RUNS!$L$5:$S$5,0))="","",INDEX(RUNS!$L$6:$S$1005,MATCH($D999,RUNS!$A$6:$A$1005,0),MATCH("ACTIVITÉ "&amp;$F999,RUNS!$L$5:$S$5,0))),""))</f>
        <v/>
      </c>
      <c r="L999" s="33">
        <f>IF($D999="","",IFERROR(IF(INDEX(RUNS!$E$6:$E$1005,MATCH($D999,RUNS!$A$6:$A$1005,0))="","",INDEX(RUNS!$E$6:$E$1005,MATCH($D999,RUNS!$A$6:$A$1005,0))),""))</f>
        <v/>
      </c>
      <c r="M999" s="33">
        <f>IF($D999="","",IFERROR(IF(INDEX(RUNS!$F$6:$F$1005,MATCH($D999,RUNS!$A$6:$A$1005,0))="","",INDEX(RUNS!$F$6:$F$1005,MATCH($D999,RUNS!$A$6:$A$1005,0))),""))</f>
        <v/>
      </c>
      <c r="N999" s="33">
        <f>IF($D999="","",IFERROR(IF(INDEX(RUNS!$G$6:$G$1005,MATCH($D999,RUNS!$A$6:$A$1005,0))="","",INDEX(RUNS!$G$6:$G$1005,MATCH($D999,RUNS!$A$6:$A$1005,0))),""))</f>
        <v/>
      </c>
      <c r="O999" s="33">
        <f>IF($D999="","",IFERROR(IF(INDEX(RUNS!$H$6:$H$1005,MATCH($D999,RUNS!$A$6:$A$1005,0))="","",INDEX(RUNS!$H$6:$H$1005,MATCH($D999,RUNS!$A$6:$A$1005,0))),""))</f>
        <v/>
      </c>
      <c r="P999" s="33">
        <f>IF($D999="","",IFERROR(IF(INDEX(RUNS!$J$6:$J$1005,MATCH($D999,RUNS!$A$6:$A$1005,0))="","",INDEX(RUNS!$J$6:$J$1005,MATCH($D999,RUNS!$A$6:$A$1005,0))),""))</f>
        <v/>
      </c>
      <c r="Q999" s="33">
        <f>IF($D999="","",IFERROR(IF(INDEX(RUNS!$K$6:$K$1005,MATCH($D999,RUNS!$A$6:$A$1005,0))="","",INDEX(RUNS!$K$6:$K$1005,MATCH($D999,RUNS!$A$6:$A$1005,0))),""))</f>
        <v/>
      </c>
      <c r="R999" s="34">
        <f>IF(OR($L999="",$K999=""),"",IFERROR(IF(INDEX(PARAMETRES!$H$43:$H$342,MATCH($L999&amp;"|"&amp;$M999&amp;"|"&amp;$N999&amp;"|"&amp;$O999&amp;"|"&amp;$P999&amp;"|"&amp;$Q999&amp;"|"&amp;$K999,PARAMETRES!$J$43:$J$342,0))="","",INDEX(PARAMETRES!$H$43:$H$342,MATCH($L999&amp;"|"&amp;$M999&amp;"|"&amp;$N999&amp;"|"&amp;$O999&amp;"|"&amp;$P999&amp;"|"&amp;$Q999&amp;"|"&amp;$K999,PARAMETRES!$J$43:$J$342,0))),""))</f>
        <v/>
      </c>
      <c r="S999" s="35">
        <f>IF(OR($G999="",$X999&lt;&gt;"VALIDE"),"",IFERROR(LOOKUP(2,1/(($B99:$B998=$B999)*($G99:$G998=$G999)*($X99:$X998="VALIDE")),$C99:$C998),""))</f>
        <v/>
      </c>
      <c r="T999" s="36">
        <f>IF(OR($C999="",$S999=""),"",ROUND(($C999-$S999+IF($C999&lt;$S999,1,0))*1440,0))</f>
        <v/>
      </c>
      <c r="U999" s="22">
        <f>IF(OR($H999="",$T999="",$T999&lt;=0),"",$H999*60/$T999)</f>
        <v/>
      </c>
      <c r="V999" s="37">
        <f>IF(OR($U999="",$R999="",$R999=0),"",$U999/$R999)</f>
        <v/>
      </c>
      <c r="W999" s="20">
        <f>IF($G999="","",IF($X999="CONTEXTE INCOMPLET","CONTEXTE INCOMPLET",IF($X999="DOUBLON",StatutDoublon,IF($S999="",StatutInitial,IF($R999="",StatutStandardManquant,IF($V999="","DONNEES INSUFFISANTES",IF($V999&gt;=SeuilConforme,StatutConforme,IF($V999&gt;=SeuilSurveiller,StatutSurveiller,StatutSousStandard))))))))</f>
        <v/>
      </c>
      <c r="X999" s="33">
        <f>IF($G999="","",IF(OR($D999="",$E999="",$F999=""),"CONTEXTE INCOMPLET",IF(COUNTIFS($D99:$D998,$D999,$E99:$E998,$E999,$F99:$F998,$F999,$G99:$G998,$G999)&gt;0,"DOUBLON","VALIDE")))</f>
        <v/>
      </c>
    </row>
    <row r="1000" ht="15" customHeight="1">
      <c r="A1000" s="12">
        <f>IF(OR($B1000="",$G1000=""),"",TEXT($B1000,"YYYYMMDD")&amp;"-"&amp;SUBSTITUTE($E1000," ","")&amp;"-"&amp;$F1000&amp;"-"&amp;$G1000)</f>
        <v/>
      </c>
      <c r="B1000" s="15" t="n"/>
      <c r="C1000" s="16" t="n"/>
      <c r="D1000" s="10" t="n"/>
      <c r="E1000" s="9" t="n"/>
      <c r="F1000" s="9" t="n"/>
      <c r="G1000" s="13" t="n"/>
      <c r="H1000" s="21" t="n"/>
      <c r="I1000" s="21" t="n"/>
      <c r="J1000" s="17">
        <f>IF($G1000="","",IFERROR(INDEX(NomsEmployes,MATCH($G1000,MatriculesEmployes,0)),"MATRICULE INCONNU"))</f>
        <v/>
      </c>
      <c r="K1000" s="33">
        <f>IF(OR($D1000="",$F1000=""),"",IFERROR(IF(INDEX(RUNS!$L$6:$S$1005,MATCH($D1000,RUNS!$A$6:$A$1005,0),MATCH("ACTIVITÉ "&amp;$F1000,RUNS!$L$5:$S$5,0))="","",INDEX(RUNS!$L$6:$S$1005,MATCH($D1000,RUNS!$A$6:$A$1005,0),MATCH("ACTIVITÉ "&amp;$F1000,RUNS!$L$5:$S$5,0))),""))</f>
        <v/>
      </c>
      <c r="L1000" s="33">
        <f>IF($D1000="","",IFERROR(IF(INDEX(RUNS!$E$6:$E$1005,MATCH($D1000,RUNS!$A$6:$A$1005,0))="","",INDEX(RUNS!$E$6:$E$1005,MATCH($D1000,RUNS!$A$6:$A$1005,0))),""))</f>
        <v/>
      </c>
      <c r="M1000" s="33">
        <f>IF($D1000="","",IFERROR(IF(INDEX(RUNS!$F$6:$F$1005,MATCH($D1000,RUNS!$A$6:$A$1005,0))="","",INDEX(RUNS!$F$6:$F$1005,MATCH($D1000,RUNS!$A$6:$A$1005,0))),""))</f>
        <v/>
      </c>
      <c r="N1000" s="33">
        <f>IF($D1000="","",IFERROR(IF(INDEX(RUNS!$G$6:$G$1005,MATCH($D1000,RUNS!$A$6:$A$1005,0))="","",INDEX(RUNS!$G$6:$G$1005,MATCH($D1000,RUNS!$A$6:$A$1005,0))),""))</f>
        <v/>
      </c>
      <c r="O1000" s="33">
        <f>IF($D1000="","",IFERROR(IF(INDEX(RUNS!$H$6:$H$1005,MATCH($D1000,RUNS!$A$6:$A$1005,0))="","",INDEX(RUNS!$H$6:$H$1005,MATCH($D1000,RUNS!$A$6:$A$1005,0))),""))</f>
        <v/>
      </c>
      <c r="P1000" s="33">
        <f>IF($D1000="","",IFERROR(IF(INDEX(RUNS!$J$6:$J$1005,MATCH($D1000,RUNS!$A$6:$A$1005,0))="","",INDEX(RUNS!$J$6:$J$1005,MATCH($D1000,RUNS!$A$6:$A$1005,0))),""))</f>
        <v/>
      </c>
      <c r="Q1000" s="33">
        <f>IF($D1000="","",IFERROR(IF(INDEX(RUNS!$K$6:$K$1005,MATCH($D1000,RUNS!$A$6:$A$1005,0))="","",INDEX(RUNS!$K$6:$K$1005,MATCH($D1000,RUNS!$A$6:$A$1005,0))),""))</f>
        <v/>
      </c>
      <c r="R1000" s="34">
        <f>IF(OR($L1000="",$K1000=""),"",IFERROR(IF(INDEX(PARAMETRES!$H$43:$H$342,MATCH($L1000&amp;"|"&amp;$M1000&amp;"|"&amp;$N1000&amp;"|"&amp;$O1000&amp;"|"&amp;$P1000&amp;"|"&amp;$Q1000&amp;"|"&amp;$K1000,PARAMETRES!$J$43:$J$342,0))="","",INDEX(PARAMETRES!$H$43:$H$342,MATCH($L1000&amp;"|"&amp;$M1000&amp;"|"&amp;$N1000&amp;"|"&amp;$O1000&amp;"|"&amp;$P1000&amp;"|"&amp;$Q1000&amp;"|"&amp;$K1000,PARAMETRES!$J$43:$J$342,0))),""))</f>
        <v/>
      </c>
      <c r="S1000" s="35">
        <f>IF(OR($G1000="",$X1000&lt;&gt;"VALIDE"),"",IFERROR(LOOKUP(2,1/(($B100:$B999=$B1000)*($G100:$G999=$G1000)*($X100:$X999="VALIDE")),$C100:$C999),""))</f>
        <v/>
      </c>
      <c r="T1000" s="36">
        <f>IF(OR($C1000="",$S1000=""),"",ROUND(($C1000-$S1000+IF($C1000&lt;$S1000,1,0))*1440,0))</f>
        <v/>
      </c>
      <c r="U1000" s="22">
        <f>IF(OR($H1000="",$T1000="",$T1000&lt;=0),"",$H1000*60/$T1000)</f>
        <v/>
      </c>
      <c r="V1000" s="37">
        <f>IF(OR($U1000="",$R1000="",$R1000=0),"",$U1000/$R1000)</f>
        <v/>
      </c>
      <c r="W1000" s="20">
        <f>IF($G1000="","",IF($X1000="CONTEXTE INCOMPLET","CONTEXTE INCOMPLET",IF($X1000="DOUBLON",StatutDoublon,IF($S1000="",StatutInitial,IF($R1000="",StatutStandardManquant,IF($V1000="","DONNEES INSUFFISANTES",IF($V1000&gt;=SeuilConforme,StatutConforme,IF($V1000&gt;=SeuilSurveiller,StatutSurveiller,StatutSousStandard))))))))</f>
        <v/>
      </c>
      <c r="X1000" s="33">
        <f>IF($G1000="","",IF(OR($D1000="",$E1000="",$F1000=""),"CONTEXTE INCOMPLET",IF(COUNTIFS($D100:$D999,$D1000,$E100:$E999,$E1000,$F100:$F999,$F1000,$G100:$G999,$G1000)&gt;0,"DOUBLON","VALIDE")))</f>
        <v/>
      </c>
    </row>
    <row r="1001" ht="15" customHeight="1">
      <c r="A1001" s="12">
        <f>IF(OR($B1001="",$G1001=""),"",TEXT($B1001,"YYYYMMDD")&amp;"-"&amp;SUBSTITUTE($E1001," ","")&amp;"-"&amp;$F1001&amp;"-"&amp;$G1001)</f>
        <v/>
      </c>
      <c r="B1001" s="15" t="n"/>
      <c r="C1001" s="16" t="n"/>
      <c r="D1001" s="10" t="n"/>
      <c r="E1001" s="9" t="n"/>
      <c r="F1001" s="9" t="n"/>
      <c r="G1001" s="13" t="n"/>
      <c r="H1001" s="21" t="n"/>
      <c r="I1001" s="21" t="n"/>
      <c r="J1001" s="17">
        <f>IF($G1001="","",IFERROR(INDEX(NomsEmployes,MATCH($G1001,MatriculesEmployes,0)),"MATRICULE INCONNU"))</f>
        <v/>
      </c>
      <c r="K1001" s="33">
        <f>IF(OR($D1001="",$F1001=""),"",IFERROR(IF(INDEX(RUNS!$L$6:$S$1005,MATCH($D1001,RUNS!$A$6:$A$1005,0),MATCH("ACTIVITÉ "&amp;$F1001,RUNS!$L$5:$S$5,0))="","",INDEX(RUNS!$L$6:$S$1005,MATCH($D1001,RUNS!$A$6:$A$1005,0),MATCH("ACTIVITÉ "&amp;$F1001,RUNS!$L$5:$S$5,0))),""))</f>
        <v/>
      </c>
      <c r="L1001" s="33">
        <f>IF($D1001="","",IFERROR(IF(INDEX(RUNS!$E$6:$E$1005,MATCH($D1001,RUNS!$A$6:$A$1005,0))="","",INDEX(RUNS!$E$6:$E$1005,MATCH($D1001,RUNS!$A$6:$A$1005,0))),""))</f>
        <v/>
      </c>
      <c r="M1001" s="33">
        <f>IF($D1001="","",IFERROR(IF(INDEX(RUNS!$F$6:$F$1005,MATCH($D1001,RUNS!$A$6:$A$1005,0))="","",INDEX(RUNS!$F$6:$F$1005,MATCH($D1001,RUNS!$A$6:$A$1005,0))),""))</f>
        <v/>
      </c>
      <c r="N1001" s="33">
        <f>IF($D1001="","",IFERROR(IF(INDEX(RUNS!$G$6:$G$1005,MATCH($D1001,RUNS!$A$6:$A$1005,0))="","",INDEX(RUNS!$G$6:$G$1005,MATCH($D1001,RUNS!$A$6:$A$1005,0))),""))</f>
        <v/>
      </c>
      <c r="O1001" s="33">
        <f>IF($D1001="","",IFERROR(IF(INDEX(RUNS!$H$6:$H$1005,MATCH($D1001,RUNS!$A$6:$A$1005,0))="","",INDEX(RUNS!$H$6:$H$1005,MATCH($D1001,RUNS!$A$6:$A$1005,0))),""))</f>
        <v/>
      </c>
      <c r="P1001" s="33">
        <f>IF($D1001="","",IFERROR(IF(INDEX(RUNS!$J$6:$J$1005,MATCH($D1001,RUNS!$A$6:$A$1005,0))="","",INDEX(RUNS!$J$6:$J$1005,MATCH($D1001,RUNS!$A$6:$A$1005,0))),""))</f>
        <v/>
      </c>
      <c r="Q1001" s="33">
        <f>IF($D1001="","",IFERROR(IF(INDEX(RUNS!$K$6:$K$1005,MATCH($D1001,RUNS!$A$6:$A$1005,0))="","",INDEX(RUNS!$K$6:$K$1005,MATCH($D1001,RUNS!$A$6:$A$1005,0))),""))</f>
        <v/>
      </c>
      <c r="R1001" s="34">
        <f>IF(OR($L1001="",$K1001=""),"",IFERROR(IF(INDEX(PARAMETRES!$H$43:$H$342,MATCH($L1001&amp;"|"&amp;$M1001&amp;"|"&amp;$N1001&amp;"|"&amp;$O1001&amp;"|"&amp;$P1001&amp;"|"&amp;$Q1001&amp;"|"&amp;$K1001,PARAMETRES!$J$43:$J$342,0))="","",INDEX(PARAMETRES!$H$43:$H$342,MATCH($L1001&amp;"|"&amp;$M1001&amp;"|"&amp;$N1001&amp;"|"&amp;$O1001&amp;"|"&amp;$P1001&amp;"|"&amp;$Q1001&amp;"|"&amp;$K1001,PARAMETRES!$J$43:$J$342,0))),""))</f>
        <v/>
      </c>
      <c r="S1001" s="35">
        <f>IF(OR($G1001="",$X1001&lt;&gt;"VALIDE"),"",IFERROR(LOOKUP(2,1/(($B101:$B1000=$B1001)*($G101:$G1000=$G1001)*($X101:$X1000="VALIDE")),$C101:$C1000),""))</f>
        <v/>
      </c>
      <c r="T1001" s="36">
        <f>IF(OR($C1001="",$S1001=""),"",ROUND(($C1001-$S1001+IF($C1001&lt;$S1001,1,0))*1440,0))</f>
        <v/>
      </c>
      <c r="U1001" s="22">
        <f>IF(OR($H1001="",$T1001="",$T1001&lt;=0),"",$H1001*60/$T1001)</f>
        <v/>
      </c>
      <c r="V1001" s="37">
        <f>IF(OR($U1001="",$R1001="",$R1001=0),"",$U1001/$R1001)</f>
        <v/>
      </c>
      <c r="W1001" s="20">
        <f>IF($G1001="","",IF($X1001="CONTEXTE INCOMPLET","CONTEXTE INCOMPLET",IF($X1001="DOUBLON",StatutDoublon,IF($S1001="",StatutInitial,IF($R1001="",StatutStandardManquant,IF($V1001="","DONNEES INSUFFISANTES",IF($V1001&gt;=SeuilConforme,StatutConforme,IF($V1001&gt;=SeuilSurveiller,StatutSurveiller,StatutSousStandard))))))))</f>
        <v/>
      </c>
      <c r="X1001" s="33">
        <f>IF($G1001="","",IF(OR($D1001="",$E1001="",$F1001=""),"CONTEXTE INCOMPLET",IF(COUNTIFS($D101:$D1000,$D1001,$E101:$E1000,$E1001,$F101:$F1000,$F1001,$G101:$G1000,$G1001)&gt;0,"DOUBLON","VALIDE")))</f>
        <v/>
      </c>
    </row>
    <row r="1002" ht="15" customHeight="1">
      <c r="A1002" s="12">
        <f>IF(OR($B1002="",$G1002=""),"",TEXT($B1002,"YYYYMMDD")&amp;"-"&amp;SUBSTITUTE($E1002," ","")&amp;"-"&amp;$F1002&amp;"-"&amp;$G1002)</f>
        <v/>
      </c>
      <c r="B1002" s="15" t="n"/>
      <c r="C1002" s="16" t="n"/>
      <c r="D1002" s="10" t="n"/>
      <c r="E1002" s="9" t="n"/>
      <c r="F1002" s="9" t="n"/>
      <c r="G1002" s="13" t="n"/>
      <c r="H1002" s="21" t="n"/>
      <c r="I1002" s="21" t="n"/>
      <c r="J1002" s="17">
        <f>IF($G1002="","",IFERROR(INDEX(NomsEmployes,MATCH($G1002,MatriculesEmployes,0)),"MATRICULE INCONNU"))</f>
        <v/>
      </c>
      <c r="K1002" s="33">
        <f>IF(OR($D1002="",$F1002=""),"",IFERROR(IF(INDEX(RUNS!$L$6:$S$1005,MATCH($D1002,RUNS!$A$6:$A$1005,0),MATCH("ACTIVITÉ "&amp;$F1002,RUNS!$L$5:$S$5,0))="","",INDEX(RUNS!$L$6:$S$1005,MATCH($D1002,RUNS!$A$6:$A$1005,0),MATCH("ACTIVITÉ "&amp;$F1002,RUNS!$L$5:$S$5,0))),""))</f>
        <v/>
      </c>
      <c r="L1002" s="33">
        <f>IF($D1002="","",IFERROR(IF(INDEX(RUNS!$E$6:$E$1005,MATCH($D1002,RUNS!$A$6:$A$1005,0))="","",INDEX(RUNS!$E$6:$E$1005,MATCH($D1002,RUNS!$A$6:$A$1005,0))),""))</f>
        <v/>
      </c>
      <c r="M1002" s="33">
        <f>IF($D1002="","",IFERROR(IF(INDEX(RUNS!$F$6:$F$1005,MATCH($D1002,RUNS!$A$6:$A$1005,0))="","",INDEX(RUNS!$F$6:$F$1005,MATCH($D1002,RUNS!$A$6:$A$1005,0))),""))</f>
        <v/>
      </c>
      <c r="N1002" s="33">
        <f>IF($D1002="","",IFERROR(IF(INDEX(RUNS!$G$6:$G$1005,MATCH($D1002,RUNS!$A$6:$A$1005,0))="","",INDEX(RUNS!$G$6:$G$1005,MATCH($D1002,RUNS!$A$6:$A$1005,0))),""))</f>
        <v/>
      </c>
      <c r="O1002" s="33">
        <f>IF($D1002="","",IFERROR(IF(INDEX(RUNS!$H$6:$H$1005,MATCH($D1002,RUNS!$A$6:$A$1005,0))="","",INDEX(RUNS!$H$6:$H$1005,MATCH($D1002,RUNS!$A$6:$A$1005,0))),""))</f>
        <v/>
      </c>
      <c r="P1002" s="33">
        <f>IF($D1002="","",IFERROR(IF(INDEX(RUNS!$J$6:$J$1005,MATCH($D1002,RUNS!$A$6:$A$1005,0))="","",INDEX(RUNS!$J$6:$J$1005,MATCH($D1002,RUNS!$A$6:$A$1005,0))),""))</f>
        <v/>
      </c>
      <c r="Q1002" s="33">
        <f>IF($D1002="","",IFERROR(IF(INDEX(RUNS!$K$6:$K$1005,MATCH($D1002,RUNS!$A$6:$A$1005,0))="","",INDEX(RUNS!$K$6:$K$1005,MATCH($D1002,RUNS!$A$6:$A$1005,0))),""))</f>
        <v/>
      </c>
      <c r="R1002" s="34">
        <f>IF(OR($L1002="",$K1002=""),"",IFERROR(IF(INDEX(PARAMETRES!$H$43:$H$342,MATCH($L1002&amp;"|"&amp;$M1002&amp;"|"&amp;$N1002&amp;"|"&amp;$O1002&amp;"|"&amp;$P1002&amp;"|"&amp;$Q1002&amp;"|"&amp;$K1002,PARAMETRES!$J$43:$J$342,0))="","",INDEX(PARAMETRES!$H$43:$H$342,MATCH($L1002&amp;"|"&amp;$M1002&amp;"|"&amp;$N1002&amp;"|"&amp;$O1002&amp;"|"&amp;$P1002&amp;"|"&amp;$Q1002&amp;"|"&amp;$K1002,PARAMETRES!$J$43:$J$342,0))),""))</f>
        <v/>
      </c>
      <c r="S1002" s="35">
        <f>IF(OR($G1002="",$X1002&lt;&gt;"VALIDE"),"",IFERROR(LOOKUP(2,1/(($B102:$B1001=$B1002)*($G102:$G1001=$G1002)*($X102:$X1001="VALIDE")),$C102:$C1001),""))</f>
        <v/>
      </c>
      <c r="T1002" s="36">
        <f>IF(OR($C1002="",$S1002=""),"",ROUND(($C1002-$S1002+IF($C1002&lt;$S1002,1,0))*1440,0))</f>
        <v/>
      </c>
      <c r="U1002" s="22">
        <f>IF(OR($H1002="",$T1002="",$T1002&lt;=0),"",$H1002*60/$T1002)</f>
        <v/>
      </c>
      <c r="V1002" s="37">
        <f>IF(OR($U1002="",$R1002="",$R1002=0),"",$U1002/$R1002)</f>
        <v/>
      </c>
      <c r="W1002" s="20">
        <f>IF($G1002="","",IF($X1002="CONTEXTE INCOMPLET","CONTEXTE INCOMPLET",IF($X1002="DOUBLON",StatutDoublon,IF($S1002="",StatutInitial,IF($R1002="",StatutStandardManquant,IF($V1002="","DONNEES INSUFFISANTES",IF($V1002&gt;=SeuilConforme,StatutConforme,IF($V1002&gt;=SeuilSurveiller,StatutSurveiller,StatutSousStandard))))))))</f>
        <v/>
      </c>
      <c r="X1002" s="33">
        <f>IF($G1002="","",IF(OR($D1002="",$E1002="",$F1002=""),"CONTEXTE INCOMPLET",IF(COUNTIFS($D102:$D1001,$D1002,$E102:$E1001,$E1002,$F102:$F1001,$F1002,$G102:$G1001,$G1002)&gt;0,"DOUBLON","VALIDE")))</f>
        <v/>
      </c>
    </row>
    <row r="1003" ht="15" customHeight="1">
      <c r="A1003" s="12">
        <f>IF(OR($B1003="",$G1003=""),"",TEXT($B1003,"YYYYMMDD")&amp;"-"&amp;SUBSTITUTE($E1003," ","")&amp;"-"&amp;$F1003&amp;"-"&amp;$G1003)</f>
        <v/>
      </c>
      <c r="B1003" s="15" t="n"/>
      <c r="C1003" s="16" t="n"/>
      <c r="D1003" s="10" t="n"/>
      <c r="E1003" s="9" t="n"/>
      <c r="F1003" s="9" t="n"/>
      <c r="G1003" s="13" t="n"/>
      <c r="H1003" s="21" t="n"/>
      <c r="I1003" s="21" t="n"/>
      <c r="J1003" s="17">
        <f>IF($G1003="","",IFERROR(INDEX(NomsEmployes,MATCH($G1003,MatriculesEmployes,0)),"MATRICULE INCONNU"))</f>
        <v/>
      </c>
      <c r="K1003" s="33">
        <f>IF(OR($D1003="",$F1003=""),"",IFERROR(IF(INDEX(RUNS!$L$6:$S$1005,MATCH($D1003,RUNS!$A$6:$A$1005,0),MATCH("ACTIVITÉ "&amp;$F1003,RUNS!$L$5:$S$5,0))="","",INDEX(RUNS!$L$6:$S$1005,MATCH($D1003,RUNS!$A$6:$A$1005,0),MATCH("ACTIVITÉ "&amp;$F1003,RUNS!$L$5:$S$5,0))),""))</f>
        <v/>
      </c>
      <c r="L1003" s="33">
        <f>IF($D1003="","",IFERROR(IF(INDEX(RUNS!$E$6:$E$1005,MATCH($D1003,RUNS!$A$6:$A$1005,0))="","",INDEX(RUNS!$E$6:$E$1005,MATCH($D1003,RUNS!$A$6:$A$1005,0))),""))</f>
        <v/>
      </c>
      <c r="M1003" s="33">
        <f>IF($D1003="","",IFERROR(IF(INDEX(RUNS!$F$6:$F$1005,MATCH($D1003,RUNS!$A$6:$A$1005,0))="","",INDEX(RUNS!$F$6:$F$1005,MATCH($D1003,RUNS!$A$6:$A$1005,0))),""))</f>
        <v/>
      </c>
      <c r="N1003" s="33">
        <f>IF($D1003="","",IFERROR(IF(INDEX(RUNS!$G$6:$G$1005,MATCH($D1003,RUNS!$A$6:$A$1005,0))="","",INDEX(RUNS!$G$6:$G$1005,MATCH($D1003,RUNS!$A$6:$A$1005,0))),""))</f>
        <v/>
      </c>
      <c r="O1003" s="33">
        <f>IF($D1003="","",IFERROR(IF(INDEX(RUNS!$H$6:$H$1005,MATCH($D1003,RUNS!$A$6:$A$1005,0))="","",INDEX(RUNS!$H$6:$H$1005,MATCH($D1003,RUNS!$A$6:$A$1005,0))),""))</f>
        <v/>
      </c>
      <c r="P1003" s="33">
        <f>IF($D1003="","",IFERROR(IF(INDEX(RUNS!$J$6:$J$1005,MATCH($D1003,RUNS!$A$6:$A$1005,0))="","",INDEX(RUNS!$J$6:$J$1005,MATCH($D1003,RUNS!$A$6:$A$1005,0))),""))</f>
        <v/>
      </c>
      <c r="Q1003" s="33">
        <f>IF($D1003="","",IFERROR(IF(INDEX(RUNS!$K$6:$K$1005,MATCH($D1003,RUNS!$A$6:$A$1005,0))="","",INDEX(RUNS!$K$6:$K$1005,MATCH($D1003,RUNS!$A$6:$A$1005,0))),""))</f>
        <v/>
      </c>
      <c r="R1003" s="34">
        <f>IF(OR($L1003="",$K1003=""),"",IFERROR(IF(INDEX(PARAMETRES!$H$43:$H$342,MATCH($L1003&amp;"|"&amp;$M1003&amp;"|"&amp;$N1003&amp;"|"&amp;$O1003&amp;"|"&amp;$P1003&amp;"|"&amp;$Q1003&amp;"|"&amp;$K1003,PARAMETRES!$J$43:$J$342,0))="","",INDEX(PARAMETRES!$H$43:$H$342,MATCH($L1003&amp;"|"&amp;$M1003&amp;"|"&amp;$N1003&amp;"|"&amp;$O1003&amp;"|"&amp;$P1003&amp;"|"&amp;$Q1003&amp;"|"&amp;$K1003,PARAMETRES!$J$43:$J$342,0))),""))</f>
        <v/>
      </c>
      <c r="S1003" s="35">
        <f>IF(OR($G1003="",$X1003&lt;&gt;"VALIDE"),"",IFERROR(LOOKUP(2,1/(($B103:$B1002=$B1003)*($G103:$G1002=$G1003)*($X103:$X1002="VALIDE")),$C103:$C1002),""))</f>
        <v/>
      </c>
      <c r="T1003" s="36">
        <f>IF(OR($C1003="",$S1003=""),"",ROUND(($C1003-$S1003+IF($C1003&lt;$S1003,1,0))*1440,0))</f>
        <v/>
      </c>
      <c r="U1003" s="22">
        <f>IF(OR($H1003="",$T1003="",$T1003&lt;=0),"",$H1003*60/$T1003)</f>
        <v/>
      </c>
      <c r="V1003" s="37">
        <f>IF(OR($U1003="",$R1003="",$R1003=0),"",$U1003/$R1003)</f>
        <v/>
      </c>
      <c r="W1003" s="20">
        <f>IF($G1003="","",IF($X1003="CONTEXTE INCOMPLET","CONTEXTE INCOMPLET",IF($X1003="DOUBLON",StatutDoublon,IF($S1003="",StatutInitial,IF($R1003="",StatutStandardManquant,IF($V1003="","DONNEES INSUFFISANTES",IF($V1003&gt;=SeuilConforme,StatutConforme,IF($V1003&gt;=SeuilSurveiller,StatutSurveiller,StatutSousStandard))))))))</f>
        <v/>
      </c>
      <c r="X1003" s="33">
        <f>IF($G1003="","",IF(OR($D1003="",$E1003="",$F1003=""),"CONTEXTE INCOMPLET",IF(COUNTIFS($D103:$D1002,$D1003,$E103:$E1002,$E1003,$F103:$F1002,$F1003,$G103:$G1002,$G1003)&gt;0,"DOUBLON","VALIDE")))</f>
        <v/>
      </c>
    </row>
    <row r="1004" ht="15" customHeight="1">
      <c r="A1004" s="12">
        <f>IF(OR($B1004="",$G1004=""),"",TEXT($B1004,"YYYYMMDD")&amp;"-"&amp;SUBSTITUTE($E1004," ","")&amp;"-"&amp;$F1004&amp;"-"&amp;$G1004)</f>
        <v/>
      </c>
      <c r="B1004" s="15" t="n"/>
      <c r="C1004" s="16" t="n"/>
      <c r="D1004" s="10" t="n"/>
      <c r="E1004" s="9" t="n"/>
      <c r="F1004" s="9" t="n"/>
      <c r="G1004" s="13" t="n"/>
      <c r="H1004" s="21" t="n"/>
      <c r="I1004" s="21" t="n"/>
      <c r="J1004" s="17">
        <f>IF($G1004="","",IFERROR(INDEX(NomsEmployes,MATCH($G1004,MatriculesEmployes,0)),"MATRICULE INCONNU"))</f>
        <v/>
      </c>
      <c r="K1004" s="33">
        <f>IF(OR($D1004="",$F1004=""),"",IFERROR(IF(INDEX(RUNS!$L$6:$S$1005,MATCH($D1004,RUNS!$A$6:$A$1005,0),MATCH("ACTIVITÉ "&amp;$F1004,RUNS!$L$5:$S$5,0))="","",INDEX(RUNS!$L$6:$S$1005,MATCH($D1004,RUNS!$A$6:$A$1005,0),MATCH("ACTIVITÉ "&amp;$F1004,RUNS!$L$5:$S$5,0))),""))</f>
        <v/>
      </c>
      <c r="L1004" s="33">
        <f>IF($D1004="","",IFERROR(IF(INDEX(RUNS!$E$6:$E$1005,MATCH($D1004,RUNS!$A$6:$A$1005,0))="","",INDEX(RUNS!$E$6:$E$1005,MATCH($D1004,RUNS!$A$6:$A$1005,0))),""))</f>
        <v/>
      </c>
      <c r="M1004" s="33">
        <f>IF($D1004="","",IFERROR(IF(INDEX(RUNS!$F$6:$F$1005,MATCH($D1004,RUNS!$A$6:$A$1005,0))="","",INDEX(RUNS!$F$6:$F$1005,MATCH($D1004,RUNS!$A$6:$A$1005,0))),""))</f>
        <v/>
      </c>
      <c r="N1004" s="33">
        <f>IF($D1004="","",IFERROR(IF(INDEX(RUNS!$G$6:$G$1005,MATCH($D1004,RUNS!$A$6:$A$1005,0))="","",INDEX(RUNS!$G$6:$G$1005,MATCH($D1004,RUNS!$A$6:$A$1005,0))),""))</f>
        <v/>
      </c>
      <c r="O1004" s="33">
        <f>IF($D1004="","",IFERROR(IF(INDEX(RUNS!$H$6:$H$1005,MATCH($D1004,RUNS!$A$6:$A$1005,0))="","",INDEX(RUNS!$H$6:$H$1005,MATCH($D1004,RUNS!$A$6:$A$1005,0))),""))</f>
        <v/>
      </c>
      <c r="P1004" s="33">
        <f>IF($D1004="","",IFERROR(IF(INDEX(RUNS!$J$6:$J$1005,MATCH($D1004,RUNS!$A$6:$A$1005,0))="","",INDEX(RUNS!$J$6:$J$1005,MATCH($D1004,RUNS!$A$6:$A$1005,0))),""))</f>
        <v/>
      </c>
      <c r="Q1004" s="33">
        <f>IF($D1004="","",IFERROR(IF(INDEX(RUNS!$K$6:$K$1005,MATCH($D1004,RUNS!$A$6:$A$1005,0))="","",INDEX(RUNS!$K$6:$K$1005,MATCH($D1004,RUNS!$A$6:$A$1005,0))),""))</f>
        <v/>
      </c>
      <c r="R1004" s="34">
        <f>IF(OR($L1004="",$K1004=""),"",IFERROR(IF(INDEX(PARAMETRES!$H$43:$H$342,MATCH($L1004&amp;"|"&amp;$M1004&amp;"|"&amp;$N1004&amp;"|"&amp;$O1004&amp;"|"&amp;$P1004&amp;"|"&amp;$Q1004&amp;"|"&amp;$K1004,PARAMETRES!$J$43:$J$342,0))="","",INDEX(PARAMETRES!$H$43:$H$342,MATCH($L1004&amp;"|"&amp;$M1004&amp;"|"&amp;$N1004&amp;"|"&amp;$O1004&amp;"|"&amp;$P1004&amp;"|"&amp;$Q1004&amp;"|"&amp;$K1004,PARAMETRES!$J$43:$J$342,0))),""))</f>
        <v/>
      </c>
      <c r="S1004" s="35">
        <f>IF(OR($G1004="",$X1004&lt;&gt;"VALIDE"),"",IFERROR(LOOKUP(2,1/(($B104:$B1003=$B1004)*($G104:$G1003=$G1004)*($X104:$X1003="VALIDE")),$C104:$C1003),""))</f>
        <v/>
      </c>
      <c r="T1004" s="36">
        <f>IF(OR($C1004="",$S1004=""),"",ROUND(($C1004-$S1004+IF($C1004&lt;$S1004,1,0))*1440,0))</f>
        <v/>
      </c>
      <c r="U1004" s="22">
        <f>IF(OR($H1004="",$T1004="",$T1004&lt;=0),"",$H1004*60/$T1004)</f>
        <v/>
      </c>
      <c r="V1004" s="37">
        <f>IF(OR($U1004="",$R1004="",$R1004=0),"",$U1004/$R1004)</f>
        <v/>
      </c>
      <c r="W1004" s="20">
        <f>IF($G1004="","",IF($X1004="CONTEXTE INCOMPLET","CONTEXTE INCOMPLET",IF($X1004="DOUBLON",StatutDoublon,IF($S1004="",StatutInitial,IF($R1004="",StatutStandardManquant,IF($V1004="","DONNEES INSUFFISANTES",IF($V1004&gt;=SeuilConforme,StatutConforme,IF($V1004&gt;=SeuilSurveiller,StatutSurveiller,StatutSousStandard))))))))</f>
        <v/>
      </c>
      <c r="X1004" s="33">
        <f>IF($G1004="","",IF(OR($D1004="",$E1004="",$F1004=""),"CONTEXTE INCOMPLET",IF(COUNTIFS($D104:$D1003,$D1004,$E104:$E1003,$E1004,$F104:$F1003,$F1004,$G104:$G1003,$G1004)&gt;0,"DOUBLON","VALIDE")))</f>
        <v/>
      </c>
    </row>
    <row r="1005" ht="15" customHeight="1">
      <c r="A1005" s="12">
        <f>IF(OR($B1005="",$G1005=""),"",TEXT($B1005,"YYYYMMDD")&amp;"-"&amp;SUBSTITUTE($E1005," ","")&amp;"-"&amp;$F1005&amp;"-"&amp;$G1005)</f>
        <v/>
      </c>
      <c r="B1005" s="15" t="n"/>
      <c r="C1005" s="16" t="n"/>
      <c r="D1005" s="10" t="n"/>
      <c r="E1005" s="9" t="n"/>
      <c r="F1005" s="9" t="n"/>
      <c r="G1005" s="13" t="n"/>
      <c r="H1005" s="21" t="n"/>
      <c r="I1005" s="21" t="n"/>
      <c r="J1005" s="17">
        <f>IF($G1005="","",IFERROR(INDEX(NomsEmployes,MATCH($G1005,MatriculesEmployes,0)),"MATRICULE INCONNU"))</f>
        <v/>
      </c>
      <c r="K1005" s="33">
        <f>IF(OR($D1005="",$F1005=""),"",IFERROR(IF(INDEX(RUNS!$L$6:$S$1005,MATCH($D1005,RUNS!$A$6:$A$1005,0),MATCH("ACTIVITÉ "&amp;$F1005,RUNS!$L$5:$S$5,0))="","",INDEX(RUNS!$L$6:$S$1005,MATCH($D1005,RUNS!$A$6:$A$1005,0),MATCH("ACTIVITÉ "&amp;$F1005,RUNS!$L$5:$S$5,0))),""))</f>
        <v/>
      </c>
      <c r="L1005" s="33">
        <f>IF($D1005="","",IFERROR(IF(INDEX(RUNS!$E$6:$E$1005,MATCH($D1005,RUNS!$A$6:$A$1005,0))="","",INDEX(RUNS!$E$6:$E$1005,MATCH($D1005,RUNS!$A$6:$A$1005,0))),""))</f>
        <v/>
      </c>
      <c r="M1005" s="33">
        <f>IF($D1005="","",IFERROR(IF(INDEX(RUNS!$F$6:$F$1005,MATCH($D1005,RUNS!$A$6:$A$1005,0))="","",INDEX(RUNS!$F$6:$F$1005,MATCH($D1005,RUNS!$A$6:$A$1005,0))),""))</f>
        <v/>
      </c>
      <c r="N1005" s="33">
        <f>IF($D1005="","",IFERROR(IF(INDEX(RUNS!$G$6:$G$1005,MATCH($D1005,RUNS!$A$6:$A$1005,0))="","",INDEX(RUNS!$G$6:$G$1005,MATCH($D1005,RUNS!$A$6:$A$1005,0))),""))</f>
        <v/>
      </c>
      <c r="O1005" s="33">
        <f>IF($D1005="","",IFERROR(IF(INDEX(RUNS!$H$6:$H$1005,MATCH($D1005,RUNS!$A$6:$A$1005,0))="","",INDEX(RUNS!$H$6:$H$1005,MATCH($D1005,RUNS!$A$6:$A$1005,0))),""))</f>
        <v/>
      </c>
      <c r="P1005" s="33">
        <f>IF($D1005="","",IFERROR(IF(INDEX(RUNS!$J$6:$J$1005,MATCH($D1005,RUNS!$A$6:$A$1005,0))="","",INDEX(RUNS!$J$6:$J$1005,MATCH($D1005,RUNS!$A$6:$A$1005,0))),""))</f>
        <v/>
      </c>
      <c r="Q1005" s="33">
        <f>IF($D1005="","",IFERROR(IF(INDEX(RUNS!$K$6:$K$1005,MATCH($D1005,RUNS!$A$6:$A$1005,0))="","",INDEX(RUNS!$K$6:$K$1005,MATCH($D1005,RUNS!$A$6:$A$1005,0))),""))</f>
        <v/>
      </c>
      <c r="R1005" s="34">
        <f>IF(OR($L1005="",$K1005=""),"",IFERROR(IF(INDEX(PARAMETRES!$H$43:$H$342,MATCH($L1005&amp;"|"&amp;$M1005&amp;"|"&amp;$N1005&amp;"|"&amp;$O1005&amp;"|"&amp;$P1005&amp;"|"&amp;$Q1005&amp;"|"&amp;$K1005,PARAMETRES!$J$43:$J$342,0))="","",INDEX(PARAMETRES!$H$43:$H$342,MATCH($L1005&amp;"|"&amp;$M1005&amp;"|"&amp;$N1005&amp;"|"&amp;$O1005&amp;"|"&amp;$P1005&amp;"|"&amp;$Q1005&amp;"|"&amp;$K1005,PARAMETRES!$J$43:$J$342,0))),""))</f>
        <v/>
      </c>
      <c r="S1005" s="35">
        <f>IF(OR($G1005="",$X1005&lt;&gt;"VALIDE"),"",IFERROR(LOOKUP(2,1/(($B105:$B1004=$B1005)*($G105:$G1004=$G1005)*($X105:$X1004="VALIDE")),$C105:$C1004),""))</f>
        <v/>
      </c>
      <c r="T1005" s="36">
        <f>IF(OR($C1005="",$S1005=""),"",ROUND(($C1005-$S1005+IF($C1005&lt;$S1005,1,0))*1440,0))</f>
        <v/>
      </c>
      <c r="U1005" s="22">
        <f>IF(OR($H1005="",$T1005="",$T1005&lt;=0),"",$H1005*60/$T1005)</f>
        <v/>
      </c>
      <c r="V1005" s="37">
        <f>IF(OR($U1005="",$R1005="",$R1005=0),"",$U1005/$R1005)</f>
        <v/>
      </c>
      <c r="W1005" s="20">
        <f>IF($G1005="","",IF($X1005="CONTEXTE INCOMPLET","CONTEXTE INCOMPLET",IF($X1005="DOUBLON",StatutDoublon,IF($S1005="",StatutInitial,IF($R1005="",StatutStandardManquant,IF($V1005="","DONNEES INSUFFISANTES",IF($V1005&gt;=SeuilConforme,StatutConforme,IF($V1005&gt;=SeuilSurveiller,StatutSurveiller,StatutSousStandard))))))))</f>
        <v/>
      </c>
      <c r="X1005" s="33">
        <f>IF($G1005="","",IF(OR($D1005="",$E1005="",$F1005=""),"CONTEXTE INCOMPLET",IF(COUNTIFS($D105:$D1004,$D1005,$E105:$E1004,$E1005,$F105:$F1004,$F1005,$G105:$G1004,$G1005)&gt;0,"DOUBLON","VALIDE")))</f>
        <v/>
      </c>
    </row>
    <row r="1006" ht="15" customHeight="1">
      <c r="A1006" s="12">
        <f>IF(OR($B1006="",$G1006=""),"",TEXT($B1006,"YYYYMMDD")&amp;"-"&amp;SUBSTITUTE($E1006," ","")&amp;"-"&amp;$F1006&amp;"-"&amp;$G1006)</f>
        <v/>
      </c>
      <c r="B1006" s="15" t="n"/>
      <c r="C1006" s="16" t="n"/>
      <c r="D1006" s="10" t="n"/>
      <c r="E1006" s="9" t="n"/>
      <c r="F1006" s="9" t="n"/>
      <c r="G1006" s="13" t="n"/>
      <c r="H1006" s="21" t="n"/>
      <c r="I1006" s="21" t="n"/>
      <c r="J1006" s="17">
        <f>IF($G1006="","",IFERROR(INDEX(NomsEmployes,MATCH($G1006,MatriculesEmployes,0)),"MATRICULE INCONNU"))</f>
        <v/>
      </c>
      <c r="K1006" s="33">
        <f>IF(OR($D1006="",$F1006=""),"",IFERROR(IF(INDEX(RUNS!$L$6:$S$1005,MATCH($D1006,RUNS!$A$6:$A$1005,0),MATCH("ACTIVITÉ "&amp;$F1006,RUNS!$L$5:$S$5,0))="","",INDEX(RUNS!$L$6:$S$1005,MATCH($D1006,RUNS!$A$6:$A$1005,0),MATCH("ACTIVITÉ "&amp;$F1006,RUNS!$L$5:$S$5,0))),""))</f>
        <v/>
      </c>
      <c r="L1006" s="33">
        <f>IF($D1006="","",IFERROR(IF(INDEX(RUNS!$E$6:$E$1005,MATCH($D1006,RUNS!$A$6:$A$1005,0))="","",INDEX(RUNS!$E$6:$E$1005,MATCH($D1006,RUNS!$A$6:$A$1005,0))),""))</f>
        <v/>
      </c>
      <c r="M1006" s="33">
        <f>IF($D1006="","",IFERROR(IF(INDEX(RUNS!$F$6:$F$1005,MATCH($D1006,RUNS!$A$6:$A$1005,0))="","",INDEX(RUNS!$F$6:$F$1005,MATCH($D1006,RUNS!$A$6:$A$1005,0))),""))</f>
        <v/>
      </c>
      <c r="N1006" s="33">
        <f>IF($D1006="","",IFERROR(IF(INDEX(RUNS!$G$6:$G$1005,MATCH($D1006,RUNS!$A$6:$A$1005,0))="","",INDEX(RUNS!$G$6:$G$1005,MATCH($D1006,RUNS!$A$6:$A$1005,0))),""))</f>
        <v/>
      </c>
      <c r="O1006" s="33">
        <f>IF($D1006="","",IFERROR(IF(INDEX(RUNS!$H$6:$H$1005,MATCH($D1006,RUNS!$A$6:$A$1005,0))="","",INDEX(RUNS!$H$6:$H$1005,MATCH($D1006,RUNS!$A$6:$A$1005,0))),""))</f>
        <v/>
      </c>
      <c r="P1006" s="33">
        <f>IF($D1006="","",IFERROR(IF(INDEX(RUNS!$J$6:$J$1005,MATCH($D1006,RUNS!$A$6:$A$1005,0))="","",INDEX(RUNS!$J$6:$J$1005,MATCH($D1006,RUNS!$A$6:$A$1005,0))),""))</f>
        <v/>
      </c>
      <c r="Q1006" s="33">
        <f>IF($D1006="","",IFERROR(IF(INDEX(RUNS!$K$6:$K$1005,MATCH($D1006,RUNS!$A$6:$A$1005,0))="","",INDEX(RUNS!$K$6:$K$1005,MATCH($D1006,RUNS!$A$6:$A$1005,0))),""))</f>
        <v/>
      </c>
      <c r="R1006" s="34">
        <f>IF(OR($L1006="",$K1006=""),"",IFERROR(IF(INDEX(PARAMETRES!$H$43:$H$342,MATCH($L1006&amp;"|"&amp;$M1006&amp;"|"&amp;$N1006&amp;"|"&amp;$O1006&amp;"|"&amp;$P1006&amp;"|"&amp;$Q1006&amp;"|"&amp;$K1006,PARAMETRES!$J$43:$J$342,0))="","",INDEX(PARAMETRES!$H$43:$H$342,MATCH($L1006&amp;"|"&amp;$M1006&amp;"|"&amp;$N1006&amp;"|"&amp;$O1006&amp;"|"&amp;$P1006&amp;"|"&amp;$Q1006&amp;"|"&amp;$K1006,PARAMETRES!$J$43:$J$342,0))),""))</f>
        <v/>
      </c>
      <c r="S1006" s="35">
        <f>IF(OR($G1006="",$X1006&lt;&gt;"VALIDE"),"",IFERROR(LOOKUP(2,1/(($B106:$B1005=$B1006)*($G106:$G1005=$G1006)*($X106:$X1005="VALIDE")),$C106:$C1005),""))</f>
        <v/>
      </c>
      <c r="T1006" s="36">
        <f>IF(OR($C1006="",$S1006=""),"",ROUND(($C1006-$S1006+IF($C1006&lt;$S1006,1,0))*1440,0))</f>
        <v/>
      </c>
      <c r="U1006" s="22">
        <f>IF(OR($H1006="",$T1006="",$T1006&lt;=0),"",$H1006*60/$T1006)</f>
        <v/>
      </c>
      <c r="V1006" s="37">
        <f>IF(OR($U1006="",$R1006="",$R1006=0),"",$U1006/$R1006)</f>
        <v/>
      </c>
      <c r="W1006" s="20">
        <f>IF($G1006="","",IF($X1006="CONTEXTE INCOMPLET","CONTEXTE INCOMPLET",IF($X1006="DOUBLON",StatutDoublon,IF($S1006="",StatutInitial,IF($R1006="",StatutStandardManquant,IF($V1006="","DONNEES INSUFFISANTES",IF($V1006&gt;=SeuilConforme,StatutConforme,IF($V1006&gt;=SeuilSurveiller,StatutSurveiller,StatutSousStandard))))))))</f>
        <v/>
      </c>
      <c r="X1006" s="33">
        <f>IF($G1006="","",IF(OR($D1006="",$E1006="",$F1006=""),"CONTEXTE INCOMPLET",IF(COUNTIFS($D106:$D1005,$D1006,$E106:$E1005,$E1006,$F106:$F1005,$F1006,$G106:$G1005,$G1006)&gt;0,"DOUBLON","VALIDE")))</f>
        <v/>
      </c>
    </row>
    <row r="1007" ht="15" customHeight="1">
      <c r="A1007" s="12">
        <f>IF(OR($B1007="",$G1007=""),"",TEXT($B1007,"YYYYMMDD")&amp;"-"&amp;SUBSTITUTE($E1007," ","")&amp;"-"&amp;$F1007&amp;"-"&amp;$G1007)</f>
        <v/>
      </c>
      <c r="B1007" s="15" t="n"/>
      <c r="C1007" s="16" t="n"/>
      <c r="D1007" s="10" t="n"/>
      <c r="E1007" s="9" t="n"/>
      <c r="F1007" s="9" t="n"/>
      <c r="G1007" s="13" t="n"/>
      <c r="H1007" s="21" t="n"/>
      <c r="I1007" s="21" t="n"/>
      <c r="J1007" s="17">
        <f>IF($G1007="","",IFERROR(INDEX(NomsEmployes,MATCH($G1007,MatriculesEmployes,0)),"MATRICULE INCONNU"))</f>
        <v/>
      </c>
      <c r="K1007" s="33">
        <f>IF(OR($D1007="",$F1007=""),"",IFERROR(IF(INDEX(RUNS!$L$6:$S$1005,MATCH($D1007,RUNS!$A$6:$A$1005,0),MATCH("ACTIVITÉ "&amp;$F1007,RUNS!$L$5:$S$5,0))="","",INDEX(RUNS!$L$6:$S$1005,MATCH($D1007,RUNS!$A$6:$A$1005,0),MATCH("ACTIVITÉ "&amp;$F1007,RUNS!$L$5:$S$5,0))),""))</f>
        <v/>
      </c>
      <c r="L1007" s="33">
        <f>IF($D1007="","",IFERROR(IF(INDEX(RUNS!$E$6:$E$1005,MATCH($D1007,RUNS!$A$6:$A$1005,0))="","",INDEX(RUNS!$E$6:$E$1005,MATCH($D1007,RUNS!$A$6:$A$1005,0))),""))</f>
        <v/>
      </c>
      <c r="M1007" s="33">
        <f>IF($D1007="","",IFERROR(IF(INDEX(RUNS!$F$6:$F$1005,MATCH($D1007,RUNS!$A$6:$A$1005,0))="","",INDEX(RUNS!$F$6:$F$1005,MATCH($D1007,RUNS!$A$6:$A$1005,0))),""))</f>
        <v/>
      </c>
      <c r="N1007" s="33">
        <f>IF($D1007="","",IFERROR(IF(INDEX(RUNS!$G$6:$G$1005,MATCH($D1007,RUNS!$A$6:$A$1005,0))="","",INDEX(RUNS!$G$6:$G$1005,MATCH($D1007,RUNS!$A$6:$A$1005,0))),""))</f>
        <v/>
      </c>
      <c r="O1007" s="33">
        <f>IF($D1007="","",IFERROR(IF(INDEX(RUNS!$H$6:$H$1005,MATCH($D1007,RUNS!$A$6:$A$1005,0))="","",INDEX(RUNS!$H$6:$H$1005,MATCH($D1007,RUNS!$A$6:$A$1005,0))),""))</f>
        <v/>
      </c>
      <c r="P1007" s="33">
        <f>IF($D1007="","",IFERROR(IF(INDEX(RUNS!$J$6:$J$1005,MATCH($D1007,RUNS!$A$6:$A$1005,0))="","",INDEX(RUNS!$J$6:$J$1005,MATCH($D1007,RUNS!$A$6:$A$1005,0))),""))</f>
        <v/>
      </c>
      <c r="Q1007" s="33">
        <f>IF($D1007="","",IFERROR(IF(INDEX(RUNS!$K$6:$K$1005,MATCH($D1007,RUNS!$A$6:$A$1005,0))="","",INDEX(RUNS!$K$6:$K$1005,MATCH($D1007,RUNS!$A$6:$A$1005,0))),""))</f>
        <v/>
      </c>
      <c r="R1007" s="34">
        <f>IF(OR($L1007="",$K1007=""),"",IFERROR(IF(INDEX(PARAMETRES!$H$43:$H$342,MATCH($L1007&amp;"|"&amp;$M1007&amp;"|"&amp;$N1007&amp;"|"&amp;$O1007&amp;"|"&amp;$P1007&amp;"|"&amp;$Q1007&amp;"|"&amp;$K1007,PARAMETRES!$J$43:$J$342,0))="","",INDEX(PARAMETRES!$H$43:$H$342,MATCH($L1007&amp;"|"&amp;$M1007&amp;"|"&amp;$N1007&amp;"|"&amp;$O1007&amp;"|"&amp;$P1007&amp;"|"&amp;$Q1007&amp;"|"&amp;$K1007,PARAMETRES!$J$43:$J$342,0))),""))</f>
        <v/>
      </c>
      <c r="S1007" s="35">
        <f>IF(OR($G1007="",$X1007&lt;&gt;"VALIDE"),"",IFERROR(LOOKUP(2,1/(($B107:$B1006=$B1007)*($G107:$G1006=$G1007)*($X107:$X1006="VALIDE")),$C107:$C1006),""))</f>
        <v/>
      </c>
      <c r="T1007" s="36">
        <f>IF(OR($C1007="",$S1007=""),"",ROUND(($C1007-$S1007+IF($C1007&lt;$S1007,1,0))*1440,0))</f>
        <v/>
      </c>
      <c r="U1007" s="22">
        <f>IF(OR($H1007="",$T1007="",$T1007&lt;=0),"",$H1007*60/$T1007)</f>
        <v/>
      </c>
      <c r="V1007" s="37">
        <f>IF(OR($U1007="",$R1007="",$R1007=0),"",$U1007/$R1007)</f>
        <v/>
      </c>
      <c r="W1007" s="20">
        <f>IF($G1007="","",IF($X1007="CONTEXTE INCOMPLET","CONTEXTE INCOMPLET",IF($X1007="DOUBLON",StatutDoublon,IF($S1007="",StatutInitial,IF($R1007="",StatutStandardManquant,IF($V1007="","DONNEES INSUFFISANTES",IF($V1007&gt;=SeuilConforme,StatutConforme,IF($V1007&gt;=SeuilSurveiller,StatutSurveiller,StatutSousStandard))))))))</f>
        <v/>
      </c>
      <c r="X1007" s="33">
        <f>IF($G1007="","",IF(OR($D1007="",$E1007="",$F1007=""),"CONTEXTE INCOMPLET",IF(COUNTIFS($D107:$D1006,$D1007,$E107:$E1006,$E1007,$F107:$F1006,$F1007,$G107:$G1006,$G1007)&gt;0,"DOUBLON","VALIDE")))</f>
        <v/>
      </c>
    </row>
    <row r="1008" ht="15" customHeight="1">
      <c r="A1008" s="12">
        <f>IF(OR($B1008="",$G1008=""),"",TEXT($B1008,"YYYYMMDD")&amp;"-"&amp;SUBSTITUTE($E1008," ","")&amp;"-"&amp;$F1008&amp;"-"&amp;$G1008)</f>
        <v/>
      </c>
      <c r="B1008" s="15" t="n"/>
      <c r="C1008" s="16" t="n"/>
      <c r="D1008" s="10" t="n"/>
      <c r="E1008" s="9" t="n"/>
      <c r="F1008" s="9" t="n"/>
      <c r="G1008" s="13" t="n"/>
      <c r="H1008" s="21" t="n"/>
      <c r="I1008" s="21" t="n"/>
      <c r="J1008" s="17">
        <f>IF($G1008="","",IFERROR(INDEX(NomsEmployes,MATCH($G1008,MatriculesEmployes,0)),"MATRICULE INCONNU"))</f>
        <v/>
      </c>
      <c r="K1008" s="33">
        <f>IF(OR($D1008="",$F1008=""),"",IFERROR(IF(INDEX(RUNS!$L$6:$S$1005,MATCH($D1008,RUNS!$A$6:$A$1005,0),MATCH("ACTIVITÉ "&amp;$F1008,RUNS!$L$5:$S$5,0))="","",INDEX(RUNS!$L$6:$S$1005,MATCH($D1008,RUNS!$A$6:$A$1005,0),MATCH("ACTIVITÉ "&amp;$F1008,RUNS!$L$5:$S$5,0))),""))</f>
        <v/>
      </c>
      <c r="L1008" s="33">
        <f>IF($D1008="","",IFERROR(IF(INDEX(RUNS!$E$6:$E$1005,MATCH($D1008,RUNS!$A$6:$A$1005,0))="","",INDEX(RUNS!$E$6:$E$1005,MATCH($D1008,RUNS!$A$6:$A$1005,0))),""))</f>
        <v/>
      </c>
      <c r="M1008" s="33">
        <f>IF($D1008="","",IFERROR(IF(INDEX(RUNS!$F$6:$F$1005,MATCH($D1008,RUNS!$A$6:$A$1005,0))="","",INDEX(RUNS!$F$6:$F$1005,MATCH($D1008,RUNS!$A$6:$A$1005,0))),""))</f>
        <v/>
      </c>
      <c r="N1008" s="33">
        <f>IF($D1008="","",IFERROR(IF(INDEX(RUNS!$G$6:$G$1005,MATCH($D1008,RUNS!$A$6:$A$1005,0))="","",INDEX(RUNS!$G$6:$G$1005,MATCH($D1008,RUNS!$A$6:$A$1005,0))),""))</f>
        <v/>
      </c>
      <c r="O1008" s="33">
        <f>IF($D1008="","",IFERROR(IF(INDEX(RUNS!$H$6:$H$1005,MATCH($D1008,RUNS!$A$6:$A$1005,0))="","",INDEX(RUNS!$H$6:$H$1005,MATCH($D1008,RUNS!$A$6:$A$1005,0))),""))</f>
        <v/>
      </c>
      <c r="P1008" s="33">
        <f>IF($D1008="","",IFERROR(IF(INDEX(RUNS!$J$6:$J$1005,MATCH($D1008,RUNS!$A$6:$A$1005,0))="","",INDEX(RUNS!$J$6:$J$1005,MATCH($D1008,RUNS!$A$6:$A$1005,0))),""))</f>
        <v/>
      </c>
      <c r="Q1008" s="33">
        <f>IF($D1008="","",IFERROR(IF(INDEX(RUNS!$K$6:$K$1005,MATCH($D1008,RUNS!$A$6:$A$1005,0))="","",INDEX(RUNS!$K$6:$K$1005,MATCH($D1008,RUNS!$A$6:$A$1005,0))),""))</f>
        <v/>
      </c>
      <c r="R1008" s="34">
        <f>IF(OR($L1008="",$K1008=""),"",IFERROR(IF(INDEX(PARAMETRES!$H$43:$H$342,MATCH($L1008&amp;"|"&amp;$M1008&amp;"|"&amp;$N1008&amp;"|"&amp;$O1008&amp;"|"&amp;$P1008&amp;"|"&amp;$Q1008&amp;"|"&amp;$K1008,PARAMETRES!$J$43:$J$342,0))="","",INDEX(PARAMETRES!$H$43:$H$342,MATCH($L1008&amp;"|"&amp;$M1008&amp;"|"&amp;$N1008&amp;"|"&amp;$O1008&amp;"|"&amp;$P1008&amp;"|"&amp;$Q1008&amp;"|"&amp;$K1008,PARAMETRES!$J$43:$J$342,0))),""))</f>
        <v/>
      </c>
      <c r="S1008" s="35">
        <f>IF(OR($G1008="",$X1008&lt;&gt;"VALIDE"),"",IFERROR(LOOKUP(2,1/(($B108:$B1007=$B1008)*($G108:$G1007=$G1008)*($X108:$X1007="VALIDE")),$C108:$C1007),""))</f>
        <v/>
      </c>
      <c r="T1008" s="36">
        <f>IF(OR($C1008="",$S1008=""),"",ROUND(($C1008-$S1008+IF($C1008&lt;$S1008,1,0))*1440,0))</f>
        <v/>
      </c>
      <c r="U1008" s="22">
        <f>IF(OR($H1008="",$T1008="",$T1008&lt;=0),"",$H1008*60/$T1008)</f>
        <v/>
      </c>
      <c r="V1008" s="37">
        <f>IF(OR($U1008="",$R1008="",$R1008=0),"",$U1008/$R1008)</f>
        <v/>
      </c>
      <c r="W1008" s="20">
        <f>IF($G1008="","",IF($X1008="CONTEXTE INCOMPLET","CONTEXTE INCOMPLET",IF($X1008="DOUBLON",StatutDoublon,IF($S1008="",StatutInitial,IF($R1008="",StatutStandardManquant,IF($V1008="","DONNEES INSUFFISANTES",IF($V1008&gt;=SeuilConforme,StatutConforme,IF($V1008&gt;=SeuilSurveiller,StatutSurveiller,StatutSousStandard))))))))</f>
        <v/>
      </c>
      <c r="X1008" s="33">
        <f>IF($G1008="","",IF(OR($D1008="",$E1008="",$F1008=""),"CONTEXTE INCOMPLET",IF(COUNTIFS($D108:$D1007,$D1008,$E108:$E1007,$E1008,$F108:$F1007,$F1008,$G108:$G1007,$G1008)&gt;0,"DOUBLON","VALIDE")))</f>
        <v/>
      </c>
    </row>
    <row r="1009" ht="15" customHeight="1">
      <c r="A1009" s="12">
        <f>IF(OR($B1009="",$G1009=""),"",TEXT($B1009,"YYYYMMDD")&amp;"-"&amp;SUBSTITUTE($E1009," ","")&amp;"-"&amp;$F1009&amp;"-"&amp;$G1009)</f>
        <v/>
      </c>
      <c r="B1009" s="15" t="n"/>
      <c r="C1009" s="16" t="n"/>
      <c r="D1009" s="10" t="n"/>
      <c r="E1009" s="9" t="n"/>
      <c r="F1009" s="9" t="n"/>
      <c r="G1009" s="13" t="n"/>
      <c r="H1009" s="21" t="n"/>
      <c r="I1009" s="21" t="n"/>
      <c r="J1009" s="17">
        <f>IF($G1009="","",IFERROR(INDEX(NomsEmployes,MATCH($G1009,MatriculesEmployes,0)),"MATRICULE INCONNU"))</f>
        <v/>
      </c>
      <c r="K1009" s="33">
        <f>IF(OR($D1009="",$F1009=""),"",IFERROR(IF(INDEX(RUNS!$L$6:$S$1005,MATCH($D1009,RUNS!$A$6:$A$1005,0),MATCH("ACTIVITÉ "&amp;$F1009,RUNS!$L$5:$S$5,0))="","",INDEX(RUNS!$L$6:$S$1005,MATCH($D1009,RUNS!$A$6:$A$1005,0),MATCH("ACTIVITÉ "&amp;$F1009,RUNS!$L$5:$S$5,0))),""))</f>
        <v/>
      </c>
      <c r="L1009" s="33">
        <f>IF($D1009="","",IFERROR(IF(INDEX(RUNS!$E$6:$E$1005,MATCH($D1009,RUNS!$A$6:$A$1005,0))="","",INDEX(RUNS!$E$6:$E$1005,MATCH($D1009,RUNS!$A$6:$A$1005,0))),""))</f>
        <v/>
      </c>
      <c r="M1009" s="33">
        <f>IF($D1009="","",IFERROR(IF(INDEX(RUNS!$F$6:$F$1005,MATCH($D1009,RUNS!$A$6:$A$1005,0))="","",INDEX(RUNS!$F$6:$F$1005,MATCH($D1009,RUNS!$A$6:$A$1005,0))),""))</f>
        <v/>
      </c>
      <c r="N1009" s="33">
        <f>IF($D1009="","",IFERROR(IF(INDEX(RUNS!$G$6:$G$1005,MATCH($D1009,RUNS!$A$6:$A$1005,0))="","",INDEX(RUNS!$G$6:$G$1005,MATCH($D1009,RUNS!$A$6:$A$1005,0))),""))</f>
        <v/>
      </c>
      <c r="O1009" s="33">
        <f>IF($D1009="","",IFERROR(IF(INDEX(RUNS!$H$6:$H$1005,MATCH($D1009,RUNS!$A$6:$A$1005,0))="","",INDEX(RUNS!$H$6:$H$1005,MATCH($D1009,RUNS!$A$6:$A$1005,0))),""))</f>
        <v/>
      </c>
      <c r="P1009" s="33">
        <f>IF($D1009="","",IFERROR(IF(INDEX(RUNS!$J$6:$J$1005,MATCH($D1009,RUNS!$A$6:$A$1005,0))="","",INDEX(RUNS!$J$6:$J$1005,MATCH($D1009,RUNS!$A$6:$A$1005,0))),""))</f>
        <v/>
      </c>
      <c r="Q1009" s="33">
        <f>IF($D1009="","",IFERROR(IF(INDEX(RUNS!$K$6:$K$1005,MATCH($D1009,RUNS!$A$6:$A$1005,0))="","",INDEX(RUNS!$K$6:$K$1005,MATCH($D1009,RUNS!$A$6:$A$1005,0))),""))</f>
        <v/>
      </c>
      <c r="R1009" s="34">
        <f>IF(OR($L1009="",$K1009=""),"",IFERROR(IF(INDEX(PARAMETRES!$H$43:$H$342,MATCH($L1009&amp;"|"&amp;$M1009&amp;"|"&amp;$N1009&amp;"|"&amp;$O1009&amp;"|"&amp;$P1009&amp;"|"&amp;$Q1009&amp;"|"&amp;$K1009,PARAMETRES!$J$43:$J$342,0))="","",INDEX(PARAMETRES!$H$43:$H$342,MATCH($L1009&amp;"|"&amp;$M1009&amp;"|"&amp;$N1009&amp;"|"&amp;$O1009&amp;"|"&amp;$P1009&amp;"|"&amp;$Q1009&amp;"|"&amp;$K1009,PARAMETRES!$J$43:$J$342,0))),""))</f>
        <v/>
      </c>
      <c r="S1009" s="35">
        <f>IF(OR($G1009="",$X1009&lt;&gt;"VALIDE"),"",IFERROR(LOOKUP(2,1/(($B109:$B1008=$B1009)*($G109:$G1008=$G1009)*($X109:$X1008="VALIDE")),$C109:$C1008),""))</f>
        <v/>
      </c>
      <c r="T1009" s="36">
        <f>IF(OR($C1009="",$S1009=""),"",ROUND(($C1009-$S1009+IF($C1009&lt;$S1009,1,0))*1440,0))</f>
        <v/>
      </c>
      <c r="U1009" s="22">
        <f>IF(OR($H1009="",$T1009="",$T1009&lt;=0),"",$H1009*60/$T1009)</f>
        <v/>
      </c>
      <c r="V1009" s="37">
        <f>IF(OR($U1009="",$R1009="",$R1009=0),"",$U1009/$R1009)</f>
        <v/>
      </c>
      <c r="W1009" s="20">
        <f>IF($G1009="","",IF($X1009="CONTEXTE INCOMPLET","CONTEXTE INCOMPLET",IF($X1009="DOUBLON",StatutDoublon,IF($S1009="",StatutInitial,IF($R1009="",StatutStandardManquant,IF($V1009="","DONNEES INSUFFISANTES",IF($V1009&gt;=SeuilConforme,StatutConforme,IF($V1009&gt;=SeuilSurveiller,StatutSurveiller,StatutSousStandard))))))))</f>
        <v/>
      </c>
      <c r="X1009" s="33">
        <f>IF($G1009="","",IF(OR($D1009="",$E1009="",$F1009=""),"CONTEXTE INCOMPLET",IF(COUNTIFS($D109:$D1008,$D1009,$E109:$E1008,$E1009,$F109:$F1008,$F1009,$G109:$G1008,$G1009)&gt;0,"DOUBLON","VALIDE")))</f>
        <v/>
      </c>
    </row>
    <row r="1010" ht="15" customHeight="1">
      <c r="A1010" s="12">
        <f>IF(OR($B1010="",$G1010=""),"",TEXT($B1010,"YYYYMMDD")&amp;"-"&amp;SUBSTITUTE($E1010," ","")&amp;"-"&amp;$F1010&amp;"-"&amp;$G1010)</f>
        <v/>
      </c>
      <c r="B1010" s="15" t="n"/>
      <c r="C1010" s="16" t="n"/>
      <c r="D1010" s="10" t="n"/>
      <c r="E1010" s="9" t="n"/>
      <c r="F1010" s="9" t="n"/>
      <c r="G1010" s="13" t="n"/>
      <c r="H1010" s="21" t="n"/>
      <c r="I1010" s="21" t="n"/>
      <c r="J1010" s="17">
        <f>IF($G1010="","",IFERROR(INDEX(NomsEmployes,MATCH($G1010,MatriculesEmployes,0)),"MATRICULE INCONNU"))</f>
        <v/>
      </c>
      <c r="K1010" s="33">
        <f>IF(OR($D1010="",$F1010=""),"",IFERROR(IF(INDEX(RUNS!$L$6:$S$1005,MATCH($D1010,RUNS!$A$6:$A$1005,0),MATCH("ACTIVITÉ "&amp;$F1010,RUNS!$L$5:$S$5,0))="","",INDEX(RUNS!$L$6:$S$1005,MATCH($D1010,RUNS!$A$6:$A$1005,0),MATCH("ACTIVITÉ "&amp;$F1010,RUNS!$L$5:$S$5,0))),""))</f>
        <v/>
      </c>
      <c r="L1010" s="33">
        <f>IF($D1010="","",IFERROR(IF(INDEX(RUNS!$E$6:$E$1005,MATCH($D1010,RUNS!$A$6:$A$1005,0))="","",INDEX(RUNS!$E$6:$E$1005,MATCH($D1010,RUNS!$A$6:$A$1005,0))),""))</f>
        <v/>
      </c>
      <c r="M1010" s="33">
        <f>IF($D1010="","",IFERROR(IF(INDEX(RUNS!$F$6:$F$1005,MATCH($D1010,RUNS!$A$6:$A$1005,0))="","",INDEX(RUNS!$F$6:$F$1005,MATCH($D1010,RUNS!$A$6:$A$1005,0))),""))</f>
        <v/>
      </c>
      <c r="N1010" s="33">
        <f>IF($D1010="","",IFERROR(IF(INDEX(RUNS!$G$6:$G$1005,MATCH($D1010,RUNS!$A$6:$A$1005,0))="","",INDEX(RUNS!$G$6:$G$1005,MATCH($D1010,RUNS!$A$6:$A$1005,0))),""))</f>
        <v/>
      </c>
      <c r="O1010" s="33">
        <f>IF($D1010="","",IFERROR(IF(INDEX(RUNS!$H$6:$H$1005,MATCH($D1010,RUNS!$A$6:$A$1005,0))="","",INDEX(RUNS!$H$6:$H$1005,MATCH($D1010,RUNS!$A$6:$A$1005,0))),""))</f>
        <v/>
      </c>
      <c r="P1010" s="33">
        <f>IF($D1010="","",IFERROR(IF(INDEX(RUNS!$J$6:$J$1005,MATCH($D1010,RUNS!$A$6:$A$1005,0))="","",INDEX(RUNS!$J$6:$J$1005,MATCH($D1010,RUNS!$A$6:$A$1005,0))),""))</f>
        <v/>
      </c>
      <c r="Q1010" s="33">
        <f>IF($D1010="","",IFERROR(IF(INDEX(RUNS!$K$6:$K$1005,MATCH($D1010,RUNS!$A$6:$A$1005,0))="","",INDEX(RUNS!$K$6:$K$1005,MATCH($D1010,RUNS!$A$6:$A$1005,0))),""))</f>
        <v/>
      </c>
      <c r="R1010" s="34">
        <f>IF(OR($L1010="",$K1010=""),"",IFERROR(IF(INDEX(PARAMETRES!$H$43:$H$342,MATCH($L1010&amp;"|"&amp;$M1010&amp;"|"&amp;$N1010&amp;"|"&amp;$O1010&amp;"|"&amp;$P1010&amp;"|"&amp;$Q1010&amp;"|"&amp;$K1010,PARAMETRES!$J$43:$J$342,0))="","",INDEX(PARAMETRES!$H$43:$H$342,MATCH($L1010&amp;"|"&amp;$M1010&amp;"|"&amp;$N1010&amp;"|"&amp;$O1010&amp;"|"&amp;$P1010&amp;"|"&amp;$Q1010&amp;"|"&amp;$K1010,PARAMETRES!$J$43:$J$342,0))),""))</f>
        <v/>
      </c>
      <c r="S1010" s="35">
        <f>IF(OR($G1010="",$X1010&lt;&gt;"VALIDE"),"",IFERROR(LOOKUP(2,1/(($B110:$B1009=$B1010)*($G110:$G1009=$G1010)*($X110:$X1009="VALIDE")),$C110:$C1009),""))</f>
        <v/>
      </c>
      <c r="T1010" s="36">
        <f>IF(OR($C1010="",$S1010=""),"",ROUND(($C1010-$S1010+IF($C1010&lt;$S1010,1,0))*1440,0))</f>
        <v/>
      </c>
      <c r="U1010" s="22">
        <f>IF(OR($H1010="",$T1010="",$T1010&lt;=0),"",$H1010*60/$T1010)</f>
        <v/>
      </c>
      <c r="V1010" s="37">
        <f>IF(OR($U1010="",$R1010="",$R1010=0),"",$U1010/$R1010)</f>
        <v/>
      </c>
      <c r="W1010" s="20">
        <f>IF($G1010="","",IF($X1010="CONTEXTE INCOMPLET","CONTEXTE INCOMPLET",IF($X1010="DOUBLON",StatutDoublon,IF($S1010="",StatutInitial,IF($R1010="",StatutStandardManquant,IF($V1010="","DONNEES INSUFFISANTES",IF($V1010&gt;=SeuilConforme,StatutConforme,IF($V1010&gt;=SeuilSurveiller,StatutSurveiller,StatutSousStandard))))))))</f>
        <v/>
      </c>
      <c r="X1010" s="33">
        <f>IF($G1010="","",IF(OR($D1010="",$E1010="",$F1010=""),"CONTEXTE INCOMPLET",IF(COUNTIFS($D110:$D1009,$D1010,$E110:$E1009,$E1010,$F110:$F1009,$F1010,$G110:$G1009,$G1010)&gt;0,"DOUBLON","VALIDE")))</f>
        <v/>
      </c>
    </row>
    <row r="1011" ht="15" customHeight="1">
      <c r="A1011" s="12">
        <f>IF(OR($B1011="",$G1011=""),"",TEXT($B1011,"YYYYMMDD")&amp;"-"&amp;SUBSTITUTE($E1011," ","")&amp;"-"&amp;$F1011&amp;"-"&amp;$G1011)</f>
        <v/>
      </c>
      <c r="B1011" s="15" t="n"/>
      <c r="C1011" s="16" t="n"/>
      <c r="D1011" s="10" t="n"/>
      <c r="E1011" s="9" t="n"/>
      <c r="F1011" s="9" t="n"/>
      <c r="G1011" s="13" t="n"/>
      <c r="H1011" s="21" t="n"/>
      <c r="I1011" s="21" t="n"/>
      <c r="J1011" s="17">
        <f>IF($G1011="","",IFERROR(INDEX(NomsEmployes,MATCH($G1011,MatriculesEmployes,0)),"MATRICULE INCONNU"))</f>
        <v/>
      </c>
      <c r="K1011" s="33">
        <f>IF(OR($D1011="",$F1011=""),"",IFERROR(IF(INDEX(RUNS!$L$6:$S$1005,MATCH($D1011,RUNS!$A$6:$A$1005,0),MATCH("ACTIVITÉ "&amp;$F1011,RUNS!$L$5:$S$5,0))="","",INDEX(RUNS!$L$6:$S$1005,MATCH($D1011,RUNS!$A$6:$A$1005,0),MATCH("ACTIVITÉ "&amp;$F1011,RUNS!$L$5:$S$5,0))),""))</f>
        <v/>
      </c>
      <c r="L1011" s="33">
        <f>IF($D1011="","",IFERROR(IF(INDEX(RUNS!$E$6:$E$1005,MATCH($D1011,RUNS!$A$6:$A$1005,0))="","",INDEX(RUNS!$E$6:$E$1005,MATCH($D1011,RUNS!$A$6:$A$1005,0))),""))</f>
        <v/>
      </c>
      <c r="M1011" s="33">
        <f>IF($D1011="","",IFERROR(IF(INDEX(RUNS!$F$6:$F$1005,MATCH($D1011,RUNS!$A$6:$A$1005,0))="","",INDEX(RUNS!$F$6:$F$1005,MATCH($D1011,RUNS!$A$6:$A$1005,0))),""))</f>
        <v/>
      </c>
      <c r="N1011" s="33">
        <f>IF($D1011="","",IFERROR(IF(INDEX(RUNS!$G$6:$G$1005,MATCH($D1011,RUNS!$A$6:$A$1005,0))="","",INDEX(RUNS!$G$6:$G$1005,MATCH($D1011,RUNS!$A$6:$A$1005,0))),""))</f>
        <v/>
      </c>
      <c r="O1011" s="33">
        <f>IF($D1011="","",IFERROR(IF(INDEX(RUNS!$H$6:$H$1005,MATCH($D1011,RUNS!$A$6:$A$1005,0))="","",INDEX(RUNS!$H$6:$H$1005,MATCH($D1011,RUNS!$A$6:$A$1005,0))),""))</f>
        <v/>
      </c>
      <c r="P1011" s="33">
        <f>IF($D1011="","",IFERROR(IF(INDEX(RUNS!$J$6:$J$1005,MATCH($D1011,RUNS!$A$6:$A$1005,0))="","",INDEX(RUNS!$J$6:$J$1005,MATCH($D1011,RUNS!$A$6:$A$1005,0))),""))</f>
        <v/>
      </c>
      <c r="Q1011" s="33">
        <f>IF($D1011="","",IFERROR(IF(INDEX(RUNS!$K$6:$K$1005,MATCH($D1011,RUNS!$A$6:$A$1005,0))="","",INDEX(RUNS!$K$6:$K$1005,MATCH($D1011,RUNS!$A$6:$A$1005,0))),""))</f>
        <v/>
      </c>
      <c r="R1011" s="34">
        <f>IF(OR($L1011="",$K1011=""),"",IFERROR(IF(INDEX(PARAMETRES!$H$43:$H$342,MATCH($L1011&amp;"|"&amp;$M1011&amp;"|"&amp;$N1011&amp;"|"&amp;$O1011&amp;"|"&amp;$P1011&amp;"|"&amp;$Q1011&amp;"|"&amp;$K1011,PARAMETRES!$J$43:$J$342,0))="","",INDEX(PARAMETRES!$H$43:$H$342,MATCH($L1011&amp;"|"&amp;$M1011&amp;"|"&amp;$N1011&amp;"|"&amp;$O1011&amp;"|"&amp;$P1011&amp;"|"&amp;$Q1011&amp;"|"&amp;$K1011,PARAMETRES!$J$43:$J$342,0))),""))</f>
        <v/>
      </c>
      <c r="S1011" s="35">
        <f>IF(OR($G1011="",$X1011&lt;&gt;"VALIDE"),"",IFERROR(LOOKUP(2,1/(($B111:$B1010=$B1011)*($G111:$G1010=$G1011)*($X111:$X1010="VALIDE")),$C111:$C1010),""))</f>
        <v/>
      </c>
      <c r="T1011" s="36">
        <f>IF(OR($C1011="",$S1011=""),"",ROUND(($C1011-$S1011+IF($C1011&lt;$S1011,1,0))*1440,0))</f>
        <v/>
      </c>
      <c r="U1011" s="22">
        <f>IF(OR($H1011="",$T1011="",$T1011&lt;=0),"",$H1011*60/$T1011)</f>
        <v/>
      </c>
      <c r="V1011" s="37">
        <f>IF(OR($U1011="",$R1011="",$R1011=0),"",$U1011/$R1011)</f>
        <v/>
      </c>
      <c r="W1011" s="20">
        <f>IF($G1011="","",IF($X1011="CONTEXTE INCOMPLET","CONTEXTE INCOMPLET",IF($X1011="DOUBLON",StatutDoublon,IF($S1011="",StatutInitial,IF($R1011="",StatutStandardManquant,IF($V1011="","DONNEES INSUFFISANTES",IF($V1011&gt;=SeuilConforme,StatutConforme,IF($V1011&gt;=SeuilSurveiller,StatutSurveiller,StatutSousStandard))))))))</f>
        <v/>
      </c>
      <c r="X1011" s="33">
        <f>IF($G1011="","",IF(OR($D1011="",$E1011="",$F1011=""),"CONTEXTE INCOMPLET",IF(COUNTIFS($D111:$D1010,$D1011,$E111:$E1010,$E1011,$F111:$F1010,$F1011,$G111:$G1010,$G1011)&gt;0,"DOUBLON","VALIDE")))</f>
        <v/>
      </c>
    </row>
    <row r="1012" ht="15" customHeight="1">
      <c r="A1012" s="12">
        <f>IF(OR($B1012="",$G1012=""),"",TEXT($B1012,"YYYYMMDD")&amp;"-"&amp;SUBSTITUTE($E1012," ","")&amp;"-"&amp;$F1012&amp;"-"&amp;$G1012)</f>
        <v/>
      </c>
      <c r="B1012" s="15" t="n"/>
      <c r="C1012" s="16" t="n"/>
      <c r="D1012" s="10" t="n"/>
      <c r="E1012" s="9" t="n"/>
      <c r="F1012" s="9" t="n"/>
      <c r="G1012" s="13" t="n"/>
      <c r="H1012" s="21" t="n"/>
      <c r="I1012" s="21" t="n"/>
      <c r="J1012" s="17">
        <f>IF($G1012="","",IFERROR(INDEX(NomsEmployes,MATCH($G1012,MatriculesEmployes,0)),"MATRICULE INCONNU"))</f>
        <v/>
      </c>
      <c r="K1012" s="33">
        <f>IF(OR($D1012="",$F1012=""),"",IFERROR(IF(INDEX(RUNS!$L$6:$S$1005,MATCH($D1012,RUNS!$A$6:$A$1005,0),MATCH("ACTIVITÉ "&amp;$F1012,RUNS!$L$5:$S$5,0))="","",INDEX(RUNS!$L$6:$S$1005,MATCH($D1012,RUNS!$A$6:$A$1005,0),MATCH("ACTIVITÉ "&amp;$F1012,RUNS!$L$5:$S$5,0))),""))</f>
        <v/>
      </c>
      <c r="L1012" s="33">
        <f>IF($D1012="","",IFERROR(IF(INDEX(RUNS!$E$6:$E$1005,MATCH($D1012,RUNS!$A$6:$A$1005,0))="","",INDEX(RUNS!$E$6:$E$1005,MATCH($D1012,RUNS!$A$6:$A$1005,0))),""))</f>
        <v/>
      </c>
      <c r="M1012" s="33">
        <f>IF($D1012="","",IFERROR(IF(INDEX(RUNS!$F$6:$F$1005,MATCH($D1012,RUNS!$A$6:$A$1005,0))="","",INDEX(RUNS!$F$6:$F$1005,MATCH($D1012,RUNS!$A$6:$A$1005,0))),""))</f>
        <v/>
      </c>
      <c r="N1012" s="33">
        <f>IF($D1012="","",IFERROR(IF(INDEX(RUNS!$G$6:$G$1005,MATCH($D1012,RUNS!$A$6:$A$1005,0))="","",INDEX(RUNS!$G$6:$G$1005,MATCH($D1012,RUNS!$A$6:$A$1005,0))),""))</f>
        <v/>
      </c>
      <c r="O1012" s="33">
        <f>IF($D1012="","",IFERROR(IF(INDEX(RUNS!$H$6:$H$1005,MATCH($D1012,RUNS!$A$6:$A$1005,0))="","",INDEX(RUNS!$H$6:$H$1005,MATCH($D1012,RUNS!$A$6:$A$1005,0))),""))</f>
        <v/>
      </c>
      <c r="P1012" s="33">
        <f>IF($D1012="","",IFERROR(IF(INDEX(RUNS!$J$6:$J$1005,MATCH($D1012,RUNS!$A$6:$A$1005,0))="","",INDEX(RUNS!$J$6:$J$1005,MATCH($D1012,RUNS!$A$6:$A$1005,0))),""))</f>
        <v/>
      </c>
      <c r="Q1012" s="33">
        <f>IF($D1012="","",IFERROR(IF(INDEX(RUNS!$K$6:$K$1005,MATCH($D1012,RUNS!$A$6:$A$1005,0))="","",INDEX(RUNS!$K$6:$K$1005,MATCH($D1012,RUNS!$A$6:$A$1005,0))),""))</f>
        <v/>
      </c>
      <c r="R1012" s="34">
        <f>IF(OR($L1012="",$K1012=""),"",IFERROR(IF(INDEX(PARAMETRES!$H$43:$H$342,MATCH($L1012&amp;"|"&amp;$M1012&amp;"|"&amp;$N1012&amp;"|"&amp;$O1012&amp;"|"&amp;$P1012&amp;"|"&amp;$Q1012&amp;"|"&amp;$K1012,PARAMETRES!$J$43:$J$342,0))="","",INDEX(PARAMETRES!$H$43:$H$342,MATCH($L1012&amp;"|"&amp;$M1012&amp;"|"&amp;$N1012&amp;"|"&amp;$O1012&amp;"|"&amp;$P1012&amp;"|"&amp;$Q1012&amp;"|"&amp;$K1012,PARAMETRES!$J$43:$J$342,0))),""))</f>
        <v/>
      </c>
      <c r="S1012" s="35">
        <f>IF(OR($G1012="",$X1012&lt;&gt;"VALIDE"),"",IFERROR(LOOKUP(2,1/(($B112:$B1011=$B1012)*($G112:$G1011=$G1012)*($X112:$X1011="VALIDE")),$C112:$C1011),""))</f>
        <v/>
      </c>
      <c r="T1012" s="36">
        <f>IF(OR($C1012="",$S1012=""),"",ROUND(($C1012-$S1012+IF($C1012&lt;$S1012,1,0))*1440,0))</f>
        <v/>
      </c>
      <c r="U1012" s="22">
        <f>IF(OR($H1012="",$T1012="",$T1012&lt;=0),"",$H1012*60/$T1012)</f>
        <v/>
      </c>
      <c r="V1012" s="37">
        <f>IF(OR($U1012="",$R1012="",$R1012=0),"",$U1012/$R1012)</f>
        <v/>
      </c>
      <c r="W1012" s="20">
        <f>IF($G1012="","",IF($X1012="CONTEXTE INCOMPLET","CONTEXTE INCOMPLET",IF($X1012="DOUBLON",StatutDoublon,IF($S1012="",StatutInitial,IF($R1012="",StatutStandardManquant,IF($V1012="","DONNEES INSUFFISANTES",IF($V1012&gt;=SeuilConforme,StatutConforme,IF($V1012&gt;=SeuilSurveiller,StatutSurveiller,StatutSousStandard))))))))</f>
        <v/>
      </c>
      <c r="X1012" s="33">
        <f>IF($G1012="","",IF(OR($D1012="",$E1012="",$F1012=""),"CONTEXTE INCOMPLET",IF(COUNTIFS($D112:$D1011,$D1012,$E112:$E1011,$E1012,$F112:$F1011,$F1012,$G112:$G1011,$G1012)&gt;0,"DOUBLON","VALIDE")))</f>
        <v/>
      </c>
    </row>
    <row r="1013" ht="15" customHeight="1">
      <c r="A1013" s="12">
        <f>IF(OR($B1013="",$G1013=""),"",TEXT($B1013,"YYYYMMDD")&amp;"-"&amp;SUBSTITUTE($E1013," ","")&amp;"-"&amp;$F1013&amp;"-"&amp;$G1013)</f>
        <v/>
      </c>
      <c r="B1013" s="15" t="n"/>
      <c r="C1013" s="16" t="n"/>
      <c r="D1013" s="10" t="n"/>
      <c r="E1013" s="9" t="n"/>
      <c r="F1013" s="9" t="n"/>
      <c r="G1013" s="13" t="n"/>
      <c r="H1013" s="21" t="n"/>
      <c r="I1013" s="21" t="n"/>
      <c r="J1013" s="17">
        <f>IF($G1013="","",IFERROR(INDEX(NomsEmployes,MATCH($G1013,MatriculesEmployes,0)),"MATRICULE INCONNU"))</f>
        <v/>
      </c>
      <c r="K1013" s="33">
        <f>IF(OR($D1013="",$F1013=""),"",IFERROR(IF(INDEX(RUNS!$L$6:$S$1005,MATCH($D1013,RUNS!$A$6:$A$1005,0),MATCH("ACTIVITÉ "&amp;$F1013,RUNS!$L$5:$S$5,0))="","",INDEX(RUNS!$L$6:$S$1005,MATCH($D1013,RUNS!$A$6:$A$1005,0),MATCH("ACTIVITÉ "&amp;$F1013,RUNS!$L$5:$S$5,0))),""))</f>
        <v/>
      </c>
      <c r="L1013" s="33">
        <f>IF($D1013="","",IFERROR(IF(INDEX(RUNS!$E$6:$E$1005,MATCH($D1013,RUNS!$A$6:$A$1005,0))="","",INDEX(RUNS!$E$6:$E$1005,MATCH($D1013,RUNS!$A$6:$A$1005,0))),""))</f>
        <v/>
      </c>
      <c r="M1013" s="33">
        <f>IF($D1013="","",IFERROR(IF(INDEX(RUNS!$F$6:$F$1005,MATCH($D1013,RUNS!$A$6:$A$1005,0))="","",INDEX(RUNS!$F$6:$F$1005,MATCH($D1013,RUNS!$A$6:$A$1005,0))),""))</f>
        <v/>
      </c>
      <c r="N1013" s="33">
        <f>IF($D1013="","",IFERROR(IF(INDEX(RUNS!$G$6:$G$1005,MATCH($D1013,RUNS!$A$6:$A$1005,0))="","",INDEX(RUNS!$G$6:$G$1005,MATCH($D1013,RUNS!$A$6:$A$1005,0))),""))</f>
        <v/>
      </c>
      <c r="O1013" s="33">
        <f>IF($D1013="","",IFERROR(IF(INDEX(RUNS!$H$6:$H$1005,MATCH($D1013,RUNS!$A$6:$A$1005,0))="","",INDEX(RUNS!$H$6:$H$1005,MATCH($D1013,RUNS!$A$6:$A$1005,0))),""))</f>
        <v/>
      </c>
      <c r="P1013" s="33">
        <f>IF($D1013="","",IFERROR(IF(INDEX(RUNS!$J$6:$J$1005,MATCH($D1013,RUNS!$A$6:$A$1005,0))="","",INDEX(RUNS!$J$6:$J$1005,MATCH($D1013,RUNS!$A$6:$A$1005,0))),""))</f>
        <v/>
      </c>
      <c r="Q1013" s="33">
        <f>IF($D1013="","",IFERROR(IF(INDEX(RUNS!$K$6:$K$1005,MATCH($D1013,RUNS!$A$6:$A$1005,0))="","",INDEX(RUNS!$K$6:$K$1005,MATCH($D1013,RUNS!$A$6:$A$1005,0))),""))</f>
        <v/>
      </c>
      <c r="R1013" s="34">
        <f>IF(OR($L1013="",$K1013=""),"",IFERROR(IF(INDEX(PARAMETRES!$H$43:$H$342,MATCH($L1013&amp;"|"&amp;$M1013&amp;"|"&amp;$N1013&amp;"|"&amp;$O1013&amp;"|"&amp;$P1013&amp;"|"&amp;$Q1013&amp;"|"&amp;$K1013,PARAMETRES!$J$43:$J$342,0))="","",INDEX(PARAMETRES!$H$43:$H$342,MATCH($L1013&amp;"|"&amp;$M1013&amp;"|"&amp;$N1013&amp;"|"&amp;$O1013&amp;"|"&amp;$P1013&amp;"|"&amp;$Q1013&amp;"|"&amp;$K1013,PARAMETRES!$J$43:$J$342,0))),""))</f>
        <v/>
      </c>
      <c r="S1013" s="35">
        <f>IF(OR($G1013="",$X1013&lt;&gt;"VALIDE"),"",IFERROR(LOOKUP(2,1/(($B113:$B1012=$B1013)*($G113:$G1012=$G1013)*($X113:$X1012="VALIDE")),$C113:$C1012),""))</f>
        <v/>
      </c>
      <c r="T1013" s="36">
        <f>IF(OR($C1013="",$S1013=""),"",ROUND(($C1013-$S1013+IF($C1013&lt;$S1013,1,0))*1440,0))</f>
        <v/>
      </c>
      <c r="U1013" s="22">
        <f>IF(OR($H1013="",$T1013="",$T1013&lt;=0),"",$H1013*60/$T1013)</f>
        <v/>
      </c>
      <c r="V1013" s="37">
        <f>IF(OR($U1013="",$R1013="",$R1013=0),"",$U1013/$R1013)</f>
        <v/>
      </c>
      <c r="W1013" s="20">
        <f>IF($G1013="","",IF($X1013="CONTEXTE INCOMPLET","CONTEXTE INCOMPLET",IF($X1013="DOUBLON",StatutDoublon,IF($S1013="",StatutInitial,IF($R1013="",StatutStandardManquant,IF($V1013="","DONNEES INSUFFISANTES",IF($V1013&gt;=SeuilConforme,StatutConforme,IF($V1013&gt;=SeuilSurveiller,StatutSurveiller,StatutSousStandard))))))))</f>
        <v/>
      </c>
      <c r="X1013" s="33">
        <f>IF($G1013="","",IF(OR($D1013="",$E1013="",$F1013=""),"CONTEXTE INCOMPLET",IF(COUNTIFS($D113:$D1012,$D1013,$E113:$E1012,$E1013,$F113:$F1012,$F1013,$G113:$G1012,$G1013)&gt;0,"DOUBLON","VALIDE")))</f>
        <v/>
      </c>
    </row>
    <row r="1014" ht="15" customHeight="1">
      <c r="A1014" s="12">
        <f>IF(OR($B1014="",$G1014=""),"",TEXT($B1014,"YYYYMMDD")&amp;"-"&amp;SUBSTITUTE($E1014," ","")&amp;"-"&amp;$F1014&amp;"-"&amp;$G1014)</f>
        <v/>
      </c>
      <c r="B1014" s="15" t="n"/>
      <c r="C1014" s="16" t="n"/>
      <c r="D1014" s="10" t="n"/>
      <c r="E1014" s="9" t="n"/>
      <c r="F1014" s="9" t="n"/>
      <c r="G1014" s="13" t="n"/>
      <c r="H1014" s="21" t="n"/>
      <c r="I1014" s="21" t="n"/>
      <c r="J1014" s="17">
        <f>IF($G1014="","",IFERROR(INDEX(NomsEmployes,MATCH($G1014,MatriculesEmployes,0)),"MATRICULE INCONNU"))</f>
        <v/>
      </c>
      <c r="K1014" s="33">
        <f>IF(OR($D1014="",$F1014=""),"",IFERROR(IF(INDEX(RUNS!$L$6:$S$1005,MATCH($D1014,RUNS!$A$6:$A$1005,0),MATCH("ACTIVITÉ "&amp;$F1014,RUNS!$L$5:$S$5,0))="","",INDEX(RUNS!$L$6:$S$1005,MATCH($D1014,RUNS!$A$6:$A$1005,0),MATCH("ACTIVITÉ "&amp;$F1014,RUNS!$L$5:$S$5,0))),""))</f>
        <v/>
      </c>
      <c r="L1014" s="33">
        <f>IF($D1014="","",IFERROR(IF(INDEX(RUNS!$E$6:$E$1005,MATCH($D1014,RUNS!$A$6:$A$1005,0))="","",INDEX(RUNS!$E$6:$E$1005,MATCH($D1014,RUNS!$A$6:$A$1005,0))),""))</f>
        <v/>
      </c>
      <c r="M1014" s="33">
        <f>IF($D1014="","",IFERROR(IF(INDEX(RUNS!$F$6:$F$1005,MATCH($D1014,RUNS!$A$6:$A$1005,0))="","",INDEX(RUNS!$F$6:$F$1005,MATCH($D1014,RUNS!$A$6:$A$1005,0))),""))</f>
        <v/>
      </c>
      <c r="N1014" s="33">
        <f>IF($D1014="","",IFERROR(IF(INDEX(RUNS!$G$6:$G$1005,MATCH($D1014,RUNS!$A$6:$A$1005,0))="","",INDEX(RUNS!$G$6:$G$1005,MATCH($D1014,RUNS!$A$6:$A$1005,0))),""))</f>
        <v/>
      </c>
      <c r="O1014" s="33">
        <f>IF($D1014="","",IFERROR(IF(INDEX(RUNS!$H$6:$H$1005,MATCH($D1014,RUNS!$A$6:$A$1005,0))="","",INDEX(RUNS!$H$6:$H$1005,MATCH($D1014,RUNS!$A$6:$A$1005,0))),""))</f>
        <v/>
      </c>
      <c r="P1014" s="33">
        <f>IF($D1014="","",IFERROR(IF(INDEX(RUNS!$J$6:$J$1005,MATCH($D1014,RUNS!$A$6:$A$1005,0))="","",INDEX(RUNS!$J$6:$J$1005,MATCH($D1014,RUNS!$A$6:$A$1005,0))),""))</f>
        <v/>
      </c>
      <c r="Q1014" s="33">
        <f>IF($D1014="","",IFERROR(IF(INDEX(RUNS!$K$6:$K$1005,MATCH($D1014,RUNS!$A$6:$A$1005,0))="","",INDEX(RUNS!$K$6:$K$1005,MATCH($D1014,RUNS!$A$6:$A$1005,0))),""))</f>
        <v/>
      </c>
      <c r="R1014" s="34">
        <f>IF(OR($L1014="",$K1014=""),"",IFERROR(IF(INDEX(PARAMETRES!$H$43:$H$342,MATCH($L1014&amp;"|"&amp;$M1014&amp;"|"&amp;$N1014&amp;"|"&amp;$O1014&amp;"|"&amp;$P1014&amp;"|"&amp;$Q1014&amp;"|"&amp;$K1014,PARAMETRES!$J$43:$J$342,0))="","",INDEX(PARAMETRES!$H$43:$H$342,MATCH($L1014&amp;"|"&amp;$M1014&amp;"|"&amp;$N1014&amp;"|"&amp;$O1014&amp;"|"&amp;$P1014&amp;"|"&amp;$Q1014&amp;"|"&amp;$K1014,PARAMETRES!$J$43:$J$342,0))),""))</f>
        <v/>
      </c>
      <c r="S1014" s="35">
        <f>IF(OR($G1014="",$X1014&lt;&gt;"VALIDE"),"",IFERROR(LOOKUP(2,1/(($B114:$B1013=$B1014)*($G114:$G1013=$G1014)*($X114:$X1013="VALIDE")),$C114:$C1013),""))</f>
        <v/>
      </c>
      <c r="T1014" s="36">
        <f>IF(OR($C1014="",$S1014=""),"",ROUND(($C1014-$S1014+IF($C1014&lt;$S1014,1,0))*1440,0))</f>
        <v/>
      </c>
      <c r="U1014" s="22">
        <f>IF(OR($H1014="",$T1014="",$T1014&lt;=0),"",$H1014*60/$T1014)</f>
        <v/>
      </c>
      <c r="V1014" s="37">
        <f>IF(OR($U1014="",$R1014="",$R1014=0),"",$U1014/$R1014)</f>
        <v/>
      </c>
      <c r="W1014" s="20">
        <f>IF($G1014="","",IF($X1014="CONTEXTE INCOMPLET","CONTEXTE INCOMPLET",IF($X1014="DOUBLON",StatutDoublon,IF($S1014="",StatutInitial,IF($R1014="",StatutStandardManquant,IF($V1014="","DONNEES INSUFFISANTES",IF($V1014&gt;=SeuilConforme,StatutConforme,IF($V1014&gt;=SeuilSurveiller,StatutSurveiller,StatutSousStandard))))))))</f>
        <v/>
      </c>
      <c r="X1014" s="33">
        <f>IF($G1014="","",IF(OR($D1014="",$E1014="",$F1014=""),"CONTEXTE INCOMPLET",IF(COUNTIFS($D114:$D1013,$D1014,$E114:$E1013,$E1014,$F114:$F1013,$F1014,$G114:$G1013,$G1014)&gt;0,"DOUBLON","VALIDE")))</f>
        <v/>
      </c>
    </row>
    <row r="1015" ht="15" customHeight="1">
      <c r="A1015" s="12">
        <f>IF(OR($B1015="",$G1015=""),"",TEXT($B1015,"YYYYMMDD")&amp;"-"&amp;SUBSTITUTE($E1015," ","")&amp;"-"&amp;$F1015&amp;"-"&amp;$G1015)</f>
        <v/>
      </c>
      <c r="B1015" s="15" t="n"/>
      <c r="C1015" s="16" t="n"/>
      <c r="D1015" s="10" t="n"/>
      <c r="E1015" s="9" t="n"/>
      <c r="F1015" s="9" t="n"/>
      <c r="G1015" s="13" t="n"/>
      <c r="H1015" s="21" t="n"/>
      <c r="I1015" s="21" t="n"/>
      <c r="J1015" s="17">
        <f>IF($G1015="","",IFERROR(INDEX(NomsEmployes,MATCH($G1015,MatriculesEmployes,0)),"MATRICULE INCONNU"))</f>
        <v/>
      </c>
      <c r="K1015" s="33">
        <f>IF(OR($D1015="",$F1015=""),"",IFERROR(IF(INDEX(RUNS!$L$6:$S$1005,MATCH($D1015,RUNS!$A$6:$A$1005,0),MATCH("ACTIVITÉ "&amp;$F1015,RUNS!$L$5:$S$5,0))="","",INDEX(RUNS!$L$6:$S$1005,MATCH($D1015,RUNS!$A$6:$A$1005,0),MATCH("ACTIVITÉ "&amp;$F1015,RUNS!$L$5:$S$5,0))),""))</f>
        <v/>
      </c>
      <c r="L1015" s="33">
        <f>IF($D1015="","",IFERROR(IF(INDEX(RUNS!$E$6:$E$1005,MATCH($D1015,RUNS!$A$6:$A$1005,0))="","",INDEX(RUNS!$E$6:$E$1005,MATCH($D1015,RUNS!$A$6:$A$1005,0))),""))</f>
        <v/>
      </c>
      <c r="M1015" s="33">
        <f>IF($D1015="","",IFERROR(IF(INDEX(RUNS!$F$6:$F$1005,MATCH($D1015,RUNS!$A$6:$A$1005,0))="","",INDEX(RUNS!$F$6:$F$1005,MATCH($D1015,RUNS!$A$6:$A$1005,0))),""))</f>
        <v/>
      </c>
      <c r="N1015" s="33">
        <f>IF($D1015="","",IFERROR(IF(INDEX(RUNS!$G$6:$G$1005,MATCH($D1015,RUNS!$A$6:$A$1005,0))="","",INDEX(RUNS!$G$6:$G$1005,MATCH($D1015,RUNS!$A$6:$A$1005,0))),""))</f>
        <v/>
      </c>
      <c r="O1015" s="33">
        <f>IF($D1015="","",IFERROR(IF(INDEX(RUNS!$H$6:$H$1005,MATCH($D1015,RUNS!$A$6:$A$1005,0))="","",INDEX(RUNS!$H$6:$H$1005,MATCH($D1015,RUNS!$A$6:$A$1005,0))),""))</f>
        <v/>
      </c>
      <c r="P1015" s="33">
        <f>IF($D1015="","",IFERROR(IF(INDEX(RUNS!$J$6:$J$1005,MATCH($D1015,RUNS!$A$6:$A$1005,0))="","",INDEX(RUNS!$J$6:$J$1005,MATCH($D1015,RUNS!$A$6:$A$1005,0))),""))</f>
        <v/>
      </c>
      <c r="Q1015" s="33">
        <f>IF($D1015="","",IFERROR(IF(INDEX(RUNS!$K$6:$K$1005,MATCH($D1015,RUNS!$A$6:$A$1005,0))="","",INDEX(RUNS!$K$6:$K$1005,MATCH($D1015,RUNS!$A$6:$A$1005,0))),""))</f>
        <v/>
      </c>
      <c r="R1015" s="34">
        <f>IF(OR($L1015="",$K1015=""),"",IFERROR(IF(INDEX(PARAMETRES!$H$43:$H$342,MATCH($L1015&amp;"|"&amp;$M1015&amp;"|"&amp;$N1015&amp;"|"&amp;$O1015&amp;"|"&amp;$P1015&amp;"|"&amp;$Q1015&amp;"|"&amp;$K1015,PARAMETRES!$J$43:$J$342,0))="","",INDEX(PARAMETRES!$H$43:$H$342,MATCH($L1015&amp;"|"&amp;$M1015&amp;"|"&amp;$N1015&amp;"|"&amp;$O1015&amp;"|"&amp;$P1015&amp;"|"&amp;$Q1015&amp;"|"&amp;$K1015,PARAMETRES!$J$43:$J$342,0))),""))</f>
        <v/>
      </c>
      <c r="S1015" s="35">
        <f>IF(OR($G1015="",$X1015&lt;&gt;"VALIDE"),"",IFERROR(LOOKUP(2,1/(($B115:$B1014=$B1015)*($G115:$G1014=$G1015)*($X115:$X1014="VALIDE")),$C115:$C1014),""))</f>
        <v/>
      </c>
      <c r="T1015" s="36">
        <f>IF(OR($C1015="",$S1015=""),"",ROUND(($C1015-$S1015+IF($C1015&lt;$S1015,1,0))*1440,0))</f>
        <v/>
      </c>
      <c r="U1015" s="22">
        <f>IF(OR($H1015="",$T1015="",$T1015&lt;=0),"",$H1015*60/$T1015)</f>
        <v/>
      </c>
      <c r="V1015" s="37">
        <f>IF(OR($U1015="",$R1015="",$R1015=0),"",$U1015/$R1015)</f>
        <v/>
      </c>
      <c r="W1015" s="20">
        <f>IF($G1015="","",IF($X1015="CONTEXTE INCOMPLET","CONTEXTE INCOMPLET",IF($X1015="DOUBLON",StatutDoublon,IF($S1015="",StatutInitial,IF($R1015="",StatutStandardManquant,IF($V1015="","DONNEES INSUFFISANTES",IF($V1015&gt;=SeuilConforme,StatutConforme,IF($V1015&gt;=SeuilSurveiller,StatutSurveiller,StatutSousStandard))))))))</f>
        <v/>
      </c>
      <c r="X1015" s="33">
        <f>IF($G1015="","",IF(OR($D1015="",$E1015="",$F1015=""),"CONTEXTE INCOMPLET",IF(COUNTIFS($D115:$D1014,$D1015,$E115:$E1014,$E1015,$F115:$F1014,$F1015,$G115:$G1014,$G1015)&gt;0,"DOUBLON","VALIDE")))</f>
        <v/>
      </c>
    </row>
    <row r="1016" ht="15" customHeight="1">
      <c r="A1016" s="12">
        <f>IF(OR($B1016="",$G1016=""),"",TEXT($B1016,"YYYYMMDD")&amp;"-"&amp;SUBSTITUTE($E1016," ","")&amp;"-"&amp;$F1016&amp;"-"&amp;$G1016)</f>
        <v/>
      </c>
      <c r="B1016" s="15" t="n"/>
      <c r="C1016" s="16" t="n"/>
      <c r="D1016" s="10" t="n"/>
      <c r="E1016" s="9" t="n"/>
      <c r="F1016" s="9" t="n"/>
      <c r="G1016" s="13" t="n"/>
      <c r="H1016" s="21" t="n"/>
      <c r="I1016" s="21" t="n"/>
      <c r="J1016" s="17">
        <f>IF($G1016="","",IFERROR(INDEX(NomsEmployes,MATCH($G1016,MatriculesEmployes,0)),"MATRICULE INCONNU"))</f>
        <v/>
      </c>
      <c r="K1016" s="33">
        <f>IF(OR($D1016="",$F1016=""),"",IFERROR(IF(INDEX(RUNS!$L$6:$S$1005,MATCH($D1016,RUNS!$A$6:$A$1005,0),MATCH("ACTIVITÉ "&amp;$F1016,RUNS!$L$5:$S$5,0))="","",INDEX(RUNS!$L$6:$S$1005,MATCH($D1016,RUNS!$A$6:$A$1005,0),MATCH("ACTIVITÉ "&amp;$F1016,RUNS!$L$5:$S$5,0))),""))</f>
        <v/>
      </c>
      <c r="L1016" s="33">
        <f>IF($D1016="","",IFERROR(IF(INDEX(RUNS!$E$6:$E$1005,MATCH($D1016,RUNS!$A$6:$A$1005,0))="","",INDEX(RUNS!$E$6:$E$1005,MATCH($D1016,RUNS!$A$6:$A$1005,0))),""))</f>
        <v/>
      </c>
      <c r="M1016" s="33">
        <f>IF($D1016="","",IFERROR(IF(INDEX(RUNS!$F$6:$F$1005,MATCH($D1016,RUNS!$A$6:$A$1005,0))="","",INDEX(RUNS!$F$6:$F$1005,MATCH($D1016,RUNS!$A$6:$A$1005,0))),""))</f>
        <v/>
      </c>
      <c r="N1016" s="33">
        <f>IF($D1016="","",IFERROR(IF(INDEX(RUNS!$G$6:$G$1005,MATCH($D1016,RUNS!$A$6:$A$1005,0))="","",INDEX(RUNS!$G$6:$G$1005,MATCH($D1016,RUNS!$A$6:$A$1005,0))),""))</f>
        <v/>
      </c>
      <c r="O1016" s="33">
        <f>IF($D1016="","",IFERROR(IF(INDEX(RUNS!$H$6:$H$1005,MATCH($D1016,RUNS!$A$6:$A$1005,0))="","",INDEX(RUNS!$H$6:$H$1005,MATCH($D1016,RUNS!$A$6:$A$1005,0))),""))</f>
        <v/>
      </c>
      <c r="P1016" s="33">
        <f>IF($D1016="","",IFERROR(IF(INDEX(RUNS!$J$6:$J$1005,MATCH($D1016,RUNS!$A$6:$A$1005,0))="","",INDEX(RUNS!$J$6:$J$1005,MATCH($D1016,RUNS!$A$6:$A$1005,0))),""))</f>
        <v/>
      </c>
      <c r="Q1016" s="33">
        <f>IF($D1016="","",IFERROR(IF(INDEX(RUNS!$K$6:$K$1005,MATCH($D1016,RUNS!$A$6:$A$1005,0))="","",INDEX(RUNS!$K$6:$K$1005,MATCH($D1016,RUNS!$A$6:$A$1005,0))),""))</f>
        <v/>
      </c>
      <c r="R1016" s="34">
        <f>IF(OR($L1016="",$K1016=""),"",IFERROR(IF(INDEX(PARAMETRES!$H$43:$H$342,MATCH($L1016&amp;"|"&amp;$M1016&amp;"|"&amp;$N1016&amp;"|"&amp;$O1016&amp;"|"&amp;$P1016&amp;"|"&amp;$Q1016&amp;"|"&amp;$K1016,PARAMETRES!$J$43:$J$342,0))="","",INDEX(PARAMETRES!$H$43:$H$342,MATCH($L1016&amp;"|"&amp;$M1016&amp;"|"&amp;$N1016&amp;"|"&amp;$O1016&amp;"|"&amp;$P1016&amp;"|"&amp;$Q1016&amp;"|"&amp;$K1016,PARAMETRES!$J$43:$J$342,0))),""))</f>
        <v/>
      </c>
      <c r="S1016" s="35">
        <f>IF(OR($G1016="",$X1016&lt;&gt;"VALIDE"),"",IFERROR(LOOKUP(2,1/(($B116:$B1015=$B1016)*($G116:$G1015=$G1016)*($X116:$X1015="VALIDE")),$C116:$C1015),""))</f>
        <v/>
      </c>
      <c r="T1016" s="36">
        <f>IF(OR($C1016="",$S1016=""),"",ROUND(($C1016-$S1016+IF($C1016&lt;$S1016,1,0))*1440,0))</f>
        <v/>
      </c>
      <c r="U1016" s="22">
        <f>IF(OR($H1016="",$T1016="",$T1016&lt;=0),"",$H1016*60/$T1016)</f>
        <v/>
      </c>
      <c r="V1016" s="37">
        <f>IF(OR($U1016="",$R1016="",$R1016=0),"",$U1016/$R1016)</f>
        <v/>
      </c>
      <c r="W1016" s="20">
        <f>IF($G1016="","",IF($X1016="CONTEXTE INCOMPLET","CONTEXTE INCOMPLET",IF($X1016="DOUBLON",StatutDoublon,IF($S1016="",StatutInitial,IF($R1016="",StatutStandardManquant,IF($V1016="","DONNEES INSUFFISANTES",IF($V1016&gt;=SeuilConforme,StatutConforme,IF($V1016&gt;=SeuilSurveiller,StatutSurveiller,StatutSousStandard))))))))</f>
        <v/>
      </c>
      <c r="X1016" s="33">
        <f>IF($G1016="","",IF(OR($D1016="",$E1016="",$F1016=""),"CONTEXTE INCOMPLET",IF(COUNTIFS($D116:$D1015,$D1016,$E116:$E1015,$E1016,$F116:$F1015,$F1016,$G116:$G1015,$G1016)&gt;0,"DOUBLON","VALIDE")))</f>
        <v/>
      </c>
    </row>
    <row r="1017" ht="15" customHeight="1">
      <c r="A1017" s="12">
        <f>IF(OR($B1017="",$G1017=""),"",TEXT($B1017,"YYYYMMDD")&amp;"-"&amp;SUBSTITUTE($E1017," ","")&amp;"-"&amp;$F1017&amp;"-"&amp;$G1017)</f>
        <v/>
      </c>
      <c r="B1017" s="15" t="n"/>
      <c r="C1017" s="16" t="n"/>
      <c r="D1017" s="10" t="n"/>
      <c r="E1017" s="9" t="n"/>
      <c r="F1017" s="9" t="n"/>
      <c r="G1017" s="13" t="n"/>
      <c r="H1017" s="21" t="n"/>
      <c r="I1017" s="21" t="n"/>
      <c r="J1017" s="17">
        <f>IF($G1017="","",IFERROR(INDEX(NomsEmployes,MATCH($G1017,MatriculesEmployes,0)),"MATRICULE INCONNU"))</f>
        <v/>
      </c>
      <c r="K1017" s="33">
        <f>IF(OR($D1017="",$F1017=""),"",IFERROR(IF(INDEX(RUNS!$L$6:$S$1005,MATCH($D1017,RUNS!$A$6:$A$1005,0),MATCH("ACTIVITÉ "&amp;$F1017,RUNS!$L$5:$S$5,0))="","",INDEX(RUNS!$L$6:$S$1005,MATCH($D1017,RUNS!$A$6:$A$1005,0),MATCH("ACTIVITÉ "&amp;$F1017,RUNS!$L$5:$S$5,0))),""))</f>
        <v/>
      </c>
      <c r="L1017" s="33">
        <f>IF($D1017="","",IFERROR(IF(INDEX(RUNS!$E$6:$E$1005,MATCH($D1017,RUNS!$A$6:$A$1005,0))="","",INDEX(RUNS!$E$6:$E$1005,MATCH($D1017,RUNS!$A$6:$A$1005,0))),""))</f>
        <v/>
      </c>
      <c r="M1017" s="33">
        <f>IF($D1017="","",IFERROR(IF(INDEX(RUNS!$F$6:$F$1005,MATCH($D1017,RUNS!$A$6:$A$1005,0))="","",INDEX(RUNS!$F$6:$F$1005,MATCH($D1017,RUNS!$A$6:$A$1005,0))),""))</f>
        <v/>
      </c>
      <c r="N1017" s="33">
        <f>IF($D1017="","",IFERROR(IF(INDEX(RUNS!$G$6:$G$1005,MATCH($D1017,RUNS!$A$6:$A$1005,0))="","",INDEX(RUNS!$G$6:$G$1005,MATCH($D1017,RUNS!$A$6:$A$1005,0))),""))</f>
        <v/>
      </c>
      <c r="O1017" s="33">
        <f>IF($D1017="","",IFERROR(IF(INDEX(RUNS!$H$6:$H$1005,MATCH($D1017,RUNS!$A$6:$A$1005,0))="","",INDEX(RUNS!$H$6:$H$1005,MATCH($D1017,RUNS!$A$6:$A$1005,0))),""))</f>
        <v/>
      </c>
      <c r="P1017" s="33">
        <f>IF($D1017="","",IFERROR(IF(INDEX(RUNS!$J$6:$J$1005,MATCH($D1017,RUNS!$A$6:$A$1005,0))="","",INDEX(RUNS!$J$6:$J$1005,MATCH($D1017,RUNS!$A$6:$A$1005,0))),""))</f>
        <v/>
      </c>
      <c r="Q1017" s="33">
        <f>IF($D1017="","",IFERROR(IF(INDEX(RUNS!$K$6:$K$1005,MATCH($D1017,RUNS!$A$6:$A$1005,0))="","",INDEX(RUNS!$K$6:$K$1005,MATCH($D1017,RUNS!$A$6:$A$1005,0))),""))</f>
        <v/>
      </c>
      <c r="R1017" s="34">
        <f>IF(OR($L1017="",$K1017=""),"",IFERROR(IF(INDEX(PARAMETRES!$H$43:$H$342,MATCH($L1017&amp;"|"&amp;$M1017&amp;"|"&amp;$N1017&amp;"|"&amp;$O1017&amp;"|"&amp;$P1017&amp;"|"&amp;$Q1017&amp;"|"&amp;$K1017,PARAMETRES!$J$43:$J$342,0))="","",INDEX(PARAMETRES!$H$43:$H$342,MATCH($L1017&amp;"|"&amp;$M1017&amp;"|"&amp;$N1017&amp;"|"&amp;$O1017&amp;"|"&amp;$P1017&amp;"|"&amp;$Q1017&amp;"|"&amp;$K1017,PARAMETRES!$J$43:$J$342,0))),""))</f>
        <v/>
      </c>
      <c r="S1017" s="35">
        <f>IF(OR($G1017="",$X1017&lt;&gt;"VALIDE"),"",IFERROR(LOOKUP(2,1/(($B117:$B1016=$B1017)*($G117:$G1016=$G1017)*($X117:$X1016="VALIDE")),$C117:$C1016),""))</f>
        <v/>
      </c>
      <c r="T1017" s="36">
        <f>IF(OR($C1017="",$S1017=""),"",ROUND(($C1017-$S1017+IF($C1017&lt;$S1017,1,0))*1440,0))</f>
        <v/>
      </c>
      <c r="U1017" s="22">
        <f>IF(OR($H1017="",$T1017="",$T1017&lt;=0),"",$H1017*60/$T1017)</f>
        <v/>
      </c>
      <c r="V1017" s="37">
        <f>IF(OR($U1017="",$R1017="",$R1017=0),"",$U1017/$R1017)</f>
        <v/>
      </c>
      <c r="W1017" s="20">
        <f>IF($G1017="","",IF($X1017="CONTEXTE INCOMPLET","CONTEXTE INCOMPLET",IF($X1017="DOUBLON",StatutDoublon,IF($S1017="",StatutInitial,IF($R1017="",StatutStandardManquant,IF($V1017="","DONNEES INSUFFISANTES",IF($V1017&gt;=SeuilConforme,StatutConforme,IF($V1017&gt;=SeuilSurveiller,StatutSurveiller,StatutSousStandard))))))))</f>
        <v/>
      </c>
      <c r="X1017" s="33">
        <f>IF($G1017="","",IF(OR($D1017="",$E1017="",$F1017=""),"CONTEXTE INCOMPLET",IF(COUNTIFS($D117:$D1016,$D1017,$E117:$E1016,$E1017,$F117:$F1016,$F1017,$G117:$G1016,$G1017)&gt;0,"DOUBLON","VALIDE")))</f>
        <v/>
      </c>
    </row>
    <row r="1018" ht="15" customHeight="1">
      <c r="A1018" s="12">
        <f>IF(OR($B1018="",$G1018=""),"",TEXT($B1018,"YYYYMMDD")&amp;"-"&amp;SUBSTITUTE($E1018," ","")&amp;"-"&amp;$F1018&amp;"-"&amp;$G1018)</f>
        <v/>
      </c>
      <c r="B1018" s="15" t="n"/>
      <c r="C1018" s="16" t="n"/>
      <c r="D1018" s="10" t="n"/>
      <c r="E1018" s="9" t="n"/>
      <c r="F1018" s="9" t="n"/>
      <c r="G1018" s="13" t="n"/>
      <c r="H1018" s="21" t="n"/>
      <c r="I1018" s="21" t="n"/>
      <c r="J1018" s="17">
        <f>IF($G1018="","",IFERROR(INDEX(NomsEmployes,MATCH($G1018,MatriculesEmployes,0)),"MATRICULE INCONNU"))</f>
        <v/>
      </c>
      <c r="K1018" s="33">
        <f>IF(OR($D1018="",$F1018=""),"",IFERROR(IF(INDEX(RUNS!$L$6:$S$1005,MATCH($D1018,RUNS!$A$6:$A$1005,0),MATCH("ACTIVITÉ "&amp;$F1018,RUNS!$L$5:$S$5,0))="","",INDEX(RUNS!$L$6:$S$1005,MATCH($D1018,RUNS!$A$6:$A$1005,0),MATCH("ACTIVITÉ "&amp;$F1018,RUNS!$L$5:$S$5,0))),""))</f>
        <v/>
      </c>
      <c r="L1018" s="33">
        <f>IF($D1018="","",IFERROR(IF(INDEX(RUNS!$E$6:$E$1005,MATCH($D1018,RUNS!$A$6:$A$1005,0))="","",INDEX(RUNS!$E$6:$E$1005,MATCH($D1018,RUNS!$A$6:$A$1005,0))),""))</f>
        <v/>
      </c>
      <c r="M1018" s="33">
        <f>IF($D1018="","",IFERROR(IF(INDEX(RUNS!$F$6:$F$1005,MATCH($D1018,RUNS!$A$6:$A$1005,0))="","",INDEX(RUNS!$F$6:$F$1005,MATCH($D1018,RUNS!$A$6:$A$1005,0))),""))</f>
        <v/>
      </c>
      <c r="N1018" s="33">
        <f>IF($D1018="","",IFERROR(IF(INDEX(RUNS!$G$6:$G$1005,MATCH($D1018,RUNS!$A$6:$A$1005,0))="","",INDEX(RUNS!$G$6:$G$1005,MATCH($D1018,RUNS!$A$6:$A$1005,0))),""))</f>
        <v/>
      </c>
      <c r="O1018" s="33">
        <f>IF($D1018="","",IFERROR(IF(INDEX(RUNS!$H$6:$H$1005,MATCH($D1018,RUNS!$A$6:$A$1005,0))="","",INDEX(RUNS!$H$6:$H$1005,MATCH($D1018,RUNS!$A$6:$A$1005,0))),""))</f>
        <v/>
      </c>
      <c r="P1018" s="33">
        <f>IF($D1018="","",IFERROR(IF(INDEX(RUNS!$J$6:$J$1005,MATCH($D1018,RUNS!$A$6:$A$1005,0))="","",INDEX(RUNS!$J$6:$J$1005,MATCH($D1018,RUNS!$A$6:$A$1005,0))),""))</f>
        <v/>
      </c>
      <c r="Q1018" s="33">
        <f>IF($D1018="","",IFERROR(IF(INDEX(RUNS!$K$6:$K$1005,MATCH($D1018,RUNS!$A$6:$A$1005,0))="","",INDEX(RUNS!$K$6:$K$1005,MATCH($D1018,RUNS!$A$6:$A$1005,0))),""))</f>
        <v/>
      </c>
      <c r="R1018" s="34">
        <f>IF(OR($L1018="",$K1018=""),"",IFERROR(IF(INDEX(PARAMETRES!$H$43:$H$342,MATCH($L1018&amp;"|"&amp;$M1018&amp;"|"&amp;$N1018&amp;"|"&amp;$O1018&amp;"|"&amp;$P1018&amp;"|"&amp;$Q1018&amp;"|"&amp;$K1018,PARAMETRES!$J$43:$J$342,0))="","",INDEX(PARAMETRES!$H$43:$H$342,MATCH($L1018&amp;"|"&amp;$M1018&amp;"|"&amp;$N1018&amp;"|"&amp;$O1018&amp;"|"&amp;$P1018&amp;"|"&amp;$Q1018&amp;"|"&amp;$K1018,PARAMETRES!$J$43:$J$342,0))),""))</f>
        <v/>
      </c>
      <c r="S1018" s="35">
        <f>IF(OR($G1018="",$X1018&lt;&gt;"VALIDE"),"",IFERROR(LOOKUP(2,1/(($B118:$B1017=$B1018)*($G118:$G1017=$G1018)*($X118:$X1017="VALIDE")),$C118:$C1017),""))</f>
        <v/>
      </c>
      <c r="T1018" s="36">
        <f>IF(OR($C1018="",$S1018=""),"",ROUND(($C1018-$S1018+IF($C1018&lt;$S1018,1,0))*1440,0))</f>
        <v/>
      </c>
      <c r="U1018" s="22">
        <f>IF(OR($H1018="",$T1018="",$T1018&lt;=0),"",$H1018*60/$T1018)</f>
        <v/>
      </c>
      <c r="V1018" s="37">
        <f>IF(OR($U1018="",$R1018="",$R1018=0),"",$U1018/$R1018)</f>
        <v/>
      </c>
      <c r="W1018" s="20">
        <f>IF($G1018="","",IF($X1018="CONTEXTE INCOMPLET","CONTEXTE INCOMPLET",IF($X1018="DOUBLON",StatutDoublon,IF($S1018="",StatutInitial,IF($R1018="",StatutStandardManquant,IF($V1018="","DONNEES INSUFFISANTES",IF($V1018&gt;=SeuilConforme,StatutConforme,IF($V1018&gt;=SeuilSurveiller,StatutSurveiller,StatutSousStandard))))))))</f>
        <v/>
      </c>
      <c r="X1018" s="33">
        <f>IF($G1018="","",IF(OR($D1018="",$E1018="",$F1018=""),"CONTEXTE INCOMPLET",IF(COUNTIFS($D118:$D1017,$D1018,$E118:$E1017,$E1018,$F118:$F1017,$F1018,$G118:$G1017,$G1018)&gt;0,"DOUBLON","VALIDE")))</f>
        <v/>
      </c>
    </row>
    <row r="1019" ht="15" customHeight="1">
      <c r="A1019" s="12">
        <f>IF(OR($B1019="",$G1019=""),"",TEXT($B1019,"YYYYMMDD")&amp;"-"&amp;SUBSTITUTE($E1019," ","")&amp;"-"&amp;$F1019&amp;"-"&amp;$G1019)</f>
        <v/>
      </c>
      <c r="B1019" s="15" t="n"/>
      <c r="C1019" s="16" t="n"/>
      <c r="D1019" s="10" t="n"/>
      <c r="E1019" s="9" t="n"/>
      <c r="F1019" s="9" t="n"/>
      <c r="G1019" s="13" t="n"/>
      <c r="H1019" s="21" t="n"/>
      <c r="I1019" s="21" t="n"/>
      <c r="J1019" s="17">
        <f>IF($G1019="","",IFERROR(INDEX(NomsEmployes,MATCH($G1019,MatriculesEmployes,0)),"MATRICULE INCONNU"))</f>
        <v/>
      </c>
      <c r="K1019" s="33">
        <f>IF(OR($D1019="",$F1019=""),"",IFERROR(IF(INDEX(RUNS!$L$6:$S$1005,MATCH($D1019,RUNS!$A$6:$A$1005,0),MATCH("ACTIVITÉ "&amp;$F1019,RUNS!$L$5:$S$5,0))="","",INDEX(RUNS!$L$6:$S$1005,MATCH($D1019,RUNS!$A$6:$A$1005,0),MATCH("ACTIVITÉ "&amp;$F1019,RUNS!$L$5:$S$5,0))),""))</f>
        <v/>
      </c>
      <c r="L1019" s="33">
        <f>IF($D1019="","",IFERROR(IF(INDEX(RUNS!$E$6:$E$1005,MATCH($D1019,RUNS!$A$6:$A$1005,0))="","",INDEX(RUNS!$E$6:$E$1005,MATCH($D1019,RUNS!$A$6:$A$1005,0))),""))</f>
        <v/>
      </c>
      <c r="M1019" s="33">
        <f>IF($D1019="","",IFERROR(IF(INDEX(RUNS!$F$6:$F$1005,MATCH($D1019,RUNS!$A$6:$A$1005,0))="","",INDEX(RUNS!$F$6:$F$1005,MATCH($D1019,RUNS!$A$6:$A$1005,0))),""))</f>
        <v/>
      </c>
      <c r="N1019" s="33">
        <f>IF($D1019="","",IFERROR(IF(INDEX(RUNS!$G$6:$G$1005,MATCH($D1019,RUNS!$A$6:$A$1005,0))="","",INDEX(RUNS!$G$6:$G$1005,MATCH($D1019,RUNS!$A$6:$A$1005,0))),""))</f>
        <v/>
      </c>
      <c r="O1019" s="33">
        <f>IF($D1019="","",IFERROR(IF(INDEX(RUNS!$H$6:$H$1005,MATCH($D1019,RUNS!$A$6:$A$1005,0))="","",INDEX(RUNS!$H$6:$H$1005,MATCH($D1019,RUNS!$A$6:$A$1005,0))),""))</f>
        <v/>
      </c>
      <c r="P1019" s="33">
        <f>IF($D1019="","",IFERROR(IF(INDEX(RUNS!$J$6:$J$1005,MATCH($D1019,RUNS!$A$6:$A$1005,0))="","",INDEX(RUNS!$J$6:$J$1005,MATCH($D1019,RUNS!$A$6:$A$1005,0))),""))</f>
        <v/>
      </c>
      <c r="Q1019" s="33">
        <f>IF($D1019="","",IFERROR(IF(INDEX(RUNS!$K$6:$K$1005,MATCH($D1019,RUNS!$A$6:$A$1005,0))="","",INDEX(RUNS!$K$6:$K$1005,MATCH($D1019,RUNS!$A$6:$A$1005,0))),""))</f>
        <v/>
      </c>
      <c r="R1019" s="34">
        <f>IF(OR($L1019="",$K1019=""),"",IFERROR(IF(INDEX(PARAMETRES!$H$43:$H$342,MATCH($L1019&amp;"|"&amp;$M1019&amp;"|"&amp;$N1019&amp;"|"&amp;$O1019&amp;"|"&amp;$P1019&amp;"|"&amp;$Q1019&amp;"|"&amp;$K1019,PARAMETRES!$J$43:$J$342,0))="","",INDEX(PARAMETRES!$H$43:$H$342,MATCH($L1019&amp;"|"&amp;$M1019&amp;"|"&amp;$N1019&amp;"|"&amp;$O1019&amp;"|"&amp;$P1019&amp;"|"&amp;$Q1019&amp;"|"&amp;$K1019,PARAMETRES!$J$43:$J$342,0))),""))</f>
        <v/>
      </c>
      <c r="S1019" s="35">
        <f>IF(OR($G1019="",$X1019&lt;&gt;"VALIDE"),"",IFERROR(LOOKUP(2,1/(($B119:$B1018=$B1019)*($G119:$G1018=$G1019)*($X119:$X1018="VALIDE")),$C119:$C1018),""))</f>
        <v/>
      </c>
      <c r="T1019" s="36">
        <f>IF(OR($C1019="",$S1019=""),"",ROUND(($C1019-$S1019+IF($C1019&lt;$S1019,1,0))*1440,0))</f>
        <v/>
      </c>
      <c r="U1019" s="22">
        <f>IF(OR($H1019="",$T1019="",$T1019&lt;=0),"",$H1019*60/$T1019)</f>
        <v/>
      </c>
      <c r="V1019" s="37">
        <f>IF(OR($U1019="",$R1019="",$R1019=0),"",$U1019/$R1019)</f>
        <v/>
      </c>
      <c r="W1019" s="20">
        <f>IF($G1019="","",IF($X1019="CONTEXTE INCOMPLET","CONTEXTE INCOMPLET",IF($X1019="DOUBLON",StatutDoublon,IF($S1019="",StatutInitial,IF($R1019="",StatutStandardManquant,IF($V1019="","DONNEES INSUFFISANTES",IF($V1019&gt;=SeuilConforme,StatutConforme,IF($V1019&gt;=SeuilSurveiller,StatutSurveiller,StatutSousStandard))))))))</f>
        <v/>
      </c>
      <c r="X1019" s="33">
        <f>IF($G1019="","",IF(OR($D1019="",$E1019="",$F1019=""),"CONTEXTE INCOMPLET",IF(COUNTIFS($D119:$D1018,$D1019,$E119:$E1018,$E1019,$F119:$F1018,$F1019,$G119:$G1018,$G1019)&gt;0,"DOUBLON","VALIDE")))</f>
        <v/>
      </c>
    </row>
    <row r="1020" ht="15" customHeight="1">
      <c r="A1020" s="12">
        <f>IF(OR($B1020="",$G1020=""),"",TEXT($B1020,"YYYYMMDD")&amp;"-"&amp;SUBSTITUTE($E1020," ","")&amp;"-"&amp;$F1020&amp;"-"&amp;$G1020)</f>
        <v/>
      </c>
      <c r="B1020" s="15" t="n"/>
      <c r="C1020" s="16" t="n"/>
      <c r="D1020" s="10" t="n"/>
      <c r="E1020" s="9" t="n"/>
      <c r="F1020" s="9" t="n"/>
      <c r="G1020" s="13" t="n"/>
      <c r="H1020" s="21" t="n"/>
      <c r="I1020" s="21" t="n"/>
      <c r="J1020" s="17">
        <f>IF($G1020="","",IFERROR(INDEX(NomsEmployes,MATCH($G1020,MatriculesEmployes,0)),"MATRICULE INCONNU"))</f>
        <v/>
      </c>
      <c r="K1020" s="33">
        <f>IF(OR($D1020="",$F1020=""),"",IFERROR(IF(INDEX(RUNS!$L$6:$S$1005,MATCH($D1020,RUNS!$A$6:$A$1005,0),MATCH("ACTIVITÉ "&amp;$F1020,RUNS!$L$5:$S$5,0))="","",INDEX(RUNS!$L$6:$S$1005,MATCH($D1020,RUNS!$A$6:$A$1005,0),MATCH("ACTIVITÉ "&amp;$F1020,RUNS!$L$5:$S$5,0))),""))</f>
        <v/>
      </c>
      <c r="L1020" s="33">
        <f>IF($D1020="","",IFERROR(IF(INDEX(RUNS!$E$6:$E$1005,MATCH($D1020,RUNS!$A$6:$A$1005,0))="","",INDEX(RUNS!$E$6:$E$1005,MATCH($D1020,RUNS!$A$6:$A$1005,0))),""))</f>
        <v/>
      </c>
      <c r="M1020" s="33">
        <f>IF($D1020="","",IFERROR(IF(INDEX(RUNS!$F$6:$F$1005,MATCH($D1020,RUNS!$A$6:$A$1005,0))="","",INDEX(RUNS!$F$6:$F$1005,MATCH($D1020,RUNS!$A$6:$A$1005,0))),""))</f>
        <v/>
      </c>
      <c r="N1020" s="33">
        <f>IF($D1020="","",IFERROR(IF(INDEX(RUNS!$G$6:$G$1005,MATCH($D1020,RUNS!$A$6:$A$1005,0))="","",INDEX(RUNS!$G$6:$G$1005,MATCH($D1020,RUNS!$A$6:$A$1005,0))),""))</f>
        <v/>
      </c>
      <c r="O1020" s="33">
        <f>IF($D1020="","",IFERROR(IF(INDEX(RUNS!$H$6:$H$1005,MATCH($D1020,RUNS!$A$6:$A$1005,0))="","",INDEX(RUNS!$H$6:$H$1005,MATCH($D1020,RUNS!$A$6:$A$1005,0))),""))</f>
        <v/>
      </c>
      <c r="P1020" s="33">
        <f>IF($D1020="","",IFERROR(IF(INDEX(RUNS!$J$6:$J$1005,MATCH($D1020,RUNS!$A$6:$A$1005,0))="","",INDEX(RUNS!$J$6:$J$1005,MATCH($D1020,RUNS!$A$6:$A$1005,0))),""))</f>
        <v/>
      </c>
      <c r="Q1020" s="33">
        <f>IF($D1020="","",IFERROR(IF(INDEX(RUNS!$K$6:$K$1005,MATCH($D1020,RUNS!$A$6:$A$1005,0))="","",INDEX(RUNS!$K$6:$K$1005,MATCH($D1020,RUNS!$A$6:$A$1005,0))),""))</f>
        <v/>
      </c>
      <c r="R1020" s="34">
        <f>IF(OR($L1020="",$K1020=""),"",IFERROR(IF(INDEX(PARAMETRES!$H$43:$H$342,MATCH($L1020&amp;"|"&amp;$M1020&amp;"|"&amp;$N1020&amp;"|"&amp;$O1020&amp;"|"&amp;$P1020&amp;"|"&amp;$Q1020&amp;"|"&amp;$K1020,PARAMETRES!$J$43:$J$342,0))="","",INDEX(PARAMETRES!$H$43:$H$342,MATCH($L1020&amp;"|"&amp;$M1020&amp;"|"&amp;$N1020&amp;"|"&amp;$O1020&amp;"|"&amp;$P1020&amp;"|"&amp;$Q1020&amp;"|"&amp;$K1020,PARAMETRES!$J$43:$J$342,0))),""))</f>
        <v/>
      </c>
      <c r="S1020" s="35">
        <f>IF(OR($G1020="",$X1020&lt;&gt;"VALIDE"),"",IFERROR(LOOKUP(2,1/(($B120:$B1019=$B1020)*($G120:$G1019=$G1020)*($X120:$X1019="VALIDE")),$C120:$C1019),""))</f>
        <v/>
      </c>
      <c r="T1020" s="36">
        <f>IF(OR($C1020="",$S1020=""),"",ROUND(($C1020-$S1020+IF($C1020&lt;$S1020,1,0))*1440,0))</f>
        <v/>
      </c>
      <c r="U1020" s="22">
        <f>IF(OR($H1020="",$T1020="",$T1020&lt;=0),"",$H1020*60/$T1020)</f>
        <v/>
      </c>
      <c r="V1020" s="37">
        <f>IF(OR($U1020="",$R1020="",$R1020=0),"",$U1020/$R1020)</f>
        <v/>
      </c>
      <c r="W1020" s="20">
        <f>IF($G1020="","",IF($X1020="CONTEXTE INCOMPLET","CONTEXTE INCOMPLET",IF($X1020="DOUBLON",StatutDoublon,IF($S1020="",StatutInitial,IF($R1020="",StatutStandardManquant,IF($V1020="","DONNEES INSUFFISANTES",IF($V1020&gt;=SeuilConforme,StatutConforme,IF($V1020&gt;=SeuilSurveiller,StatutSurveiller,StatutSousStandard))))))))</f>
        <v/>
      </c>
      <c r="X1020" s="33">
        <f>IF($G1020="","",IF(OR($D1020="",$E1020="",$F1020=""),"CONTEXTE INCOMPLET",IF(COUNTIFS($D120:$D1019,$D1020,$E120:$E1019,$E1020,$F120:$F1019,$F1020,$G120:$G1019,$G1020)&gt;0,"DOUBLON","VALIDE")))</f>
        <v/>
      </c>
    </row>
    <row r="1021" ht="15" customHeight="1">
      <c r="A1021" s="12">
        <f>IF(OR($B1021="",$G1021=""),"",TEXT($B1021,"YYYYMMDD")&amp;"-"&amp;SUBSTITUTE($E1021," ","")&amp;"-"&amp;$F1021&amp;"-"&amp;$G1021)</f>
        <v/>
      </c>
      <c r="B1021" s="15" t="n"/>
      <c r="C1021" s="16" t="n"/>
      <c r="D1021" s="10" t="n"/>
      <c r="E1021" s="9" t="n"/>
      <c r="F1021" s="9" t="n"/>
      <c r="G1021" s="13" t="n"/>
      <c r="H1021" s="21" t="n"/>
      <c r="I1021" s="21" t="n"/>
      <c r="J1021" s="17">
        <f>IF($G1021="","",IFERROR(INDEX(NomsEmployes,MATCH($G1021,MatriculesEmployes,0)),"MATRICULE INCONNU"))</f>
        <v/>
      </c>
      <c r="K1021" s="33">
        <f>IF(OR($D1021="",$F1021=""),"",IFERROR(IF(INDEX(RUNS!$L$6:$S$1005,MATCH($D1021,RUNS!$A$6:$A$1005,0),MATCH("ACTIVITÉ "&amp;$F1021,RUNS!$L$5:$S$5,0))="","",INDEX(RUNS!$L$6:$S$1005,MATCH($D1021,RUNS!$A$6:$A$1005,0),MATCH("ACTIVITÉ "&amp;$F1021,RUNS!$L$5:$S$5,0))),""))</f>
        <v/>
      </c>
      <c r="L1021" s="33">
        <f>IF($D1021="","",IFERROR(IF(INDEX(RUNS!$E$6:$E$1005,MATCH($D1021,RUNS!$A$6:$A$1005,0))="","",INDEX(RUNS!$E$6:$E$1005,MATCH($D1021,RUNS!$A$6:$A$1005,0))),""))</f>
        <v/>
      </c>
      <c r="M1021" s="33">
        <f>IF($D1021="","",IFERROR(IF(INDEX(RUNS!$F$6:$F$1005,MATCH($D1021,RUNS!$A$6:$A$1005,0))="","",INDEX(RUNS!$F$6:$F$1005,MATCH($D1021,RUNS!$A$6:$A$1005,0))),""))</f>
        <v/>
      </c>
      <c r="N1021" s="33">
        <f>IF($D1021="","",IFERROR(IF(INDEX(RUNS!$G$6:$G$1005,MATCH($D1021,RUNS!$A$6:$A$1005,0))="","",INDEX(RUNS!$G$6:$G$1005,MATCH($D1021,RUNS!$A$6:$A$1005,0))),""))</f>
        <v/>
      </c>
      <c r="O1021" s="33">
        <f>IF($D1021="","",IFERROR(IF(INDEX(RUNS!$H$6:$H$1005,MATCH($D1021,RUNS!$A$6:$A$1005,0))="","",INDEX(RUNS!$H$6:$H$1005,MATCH($D1021,RUNS!$A$6:$A$1005,0))),""))</f>
        <v/>
      </c>
      <c r="P1021" s="33">
        <f>IF($D1021="","",IFERROR(IF(INDEX(RUNS!$J$6:$J$1005,MATCH($D1021,RUNS!$A$6:$A$1005,0))="","",INDEX(RUNS!$J$6:$J$1005,MATCH($D1021,RUNS!$A$6:$A$1005,0))),""))</f>
        <v/>
      </c>
      <c r="Q1021" s="33">
        <f>IF($D1021="","",IFERROR(IF(INDEX(RUNS!$K$6:$K$1005,MATCH($D1021,RUNS!$A$6:$A$1005,0))="","",INDEX(RUNS!$K$6:$K$1005,MATCH($D1021,RUNS!$A$6:$A$1005,0))),""))</f>
        <v/>
      </c>
      <c r="R1021" s="34">
        <f>IF(OR($L1021="",$K1021=""),"",IFERROR(IF(INDEX(PARAMETRES!$H$43:$H$342,MATCH($L1021&amp;"|"&amp;$M1021&amp;"|"&amp;$N1021&amp;"|"&amp;$O1021&amp;"|"&amp;$P1021&amp;"|"&amp;$Q1021&amp;"|"&amp;$K1021,PARAMETRES!$J$43:$J$342,0))="","",INDEX(PARAMETRES!$H$43:$H$342,MATCH($L1021&amp;"|"&amp;$M1021&amp;"|"&amp;$N1021&amp;"|"&amp;$O1021&amp;"|"&amp;$P1021&amp;"|"&amp;$Q1021&amp;"|"&amp;$K1021,PARAMETRES!$J$43:$J$342,0))),""))</f>
        <v/>
      </c>
      <c r="S1021" s="35">
        <f>IF(OR($G1021="",$X1021&lt;&gt;"VALIDE"),"",IFERROR(LOOKUP(2,1/(($B121:$B1020=$B1021)*($G121:$G1020=$G1021)*($X121:$X1020="VALIDE")),$C121:$C1020),""))</f>
        <v/>
      </c>
      <c r="T1021" s="36">
        <f>IF(OR($C1021="",$S1021=""),"",ROUND(($C1021-$S1021+IF($C1021&lt;$S1021,1,0))*1440,0))</f>
        <v/>
      </c>
      <c r="U1021" s="22">
        <f>IF(OR($H1021="",$T1021="",$T1021&lt;=0),"",$H1021*60/$T1021)</f>
        <v/>
      </c>
      <c r="V1021" s="37">
        <f>IF(OR($U1021="",$R1021="",$R1021=0),"",$U1021/$R1021)</f>
        <v/>
      </c>
      <c r="W1021" s="20">
        <f>IF($G1021="","",IF($X1021="CONTEXTE INCOMPLET","CONTEXTE INCOMPLET",IF($X1021="DOUBLON",StatutDoublon,IF($S1021="",StatutInitial,IF($R1021="",StatutStandardManquant,IF($V1021="","DONNEES INSUFFISANTES",IF($V1021&gt;=SeuilConforme,StatutConforme,IF($V1021&gt;=SeuilSurveiller,StatutSurveiller,StatutSousStandard))))))))</f>
        <v/>
      </c>
      <c r="X1021" s="33">
        <f>IF($G1021="","",IF(OR($D1021="",$E1021="",$F1021=""),"CONTEXTE INCOMPLET",IF(COUNTIFS($D121:$D1020,$D1021,$E121:$E1020,$E1021,$F121:$F1020,$F1021,$G121:$G1020,$G1021)&gt;0,"DOUBLON","VALIDE")))</f>
        <v/>
      </c>
    </row>
    <row r="1022" ht="15" customHeight="1">
      <c r="A1022" s="12">
        <f>IF(OR($B1022="",$G1022=""),"",TEXT($B1022,"YYYYMMDD")&amp;"-"&amp;SUBSTITUTE($E1022," ","")&amp;"-"&amp;$F1022&amp;"-"&amp;$G1022)</f>
        <v/>
      </c>
      <c r="B1022" s="15" t="n"/>
      <c r="C1022" s="16" t="n"/>
      <c r="D1022" s="10" t="n"/>
      <c r="E1022" s="9" t="n"/>
      <c r="F1022" s="9" t="n"/>
      <c r="G1022" s="13" t="n"/>
      <c r="H1022" s="21" t="n"/>
      <c r="I1022" s="21" t="n"/>
      <c r="J1022" s="17">
        <f>IF($G1022="","",IFERROR(INDEX(NomsEmployes,MATCH($G1022,MatriculesEmployes,0)),"MATRICULE INCONNU"))</f>
        <v/>
      </c>
      <c r="K1022" s="33">
        <f>IF(OR($D1022="",$F1022=""),"",IFERROR(IF(INDEX(RUNS!$L$6:$S$1005,MATCH($D1022,RUNS!$A$6:$A$1005,0),MATCH("ACTIVITÉ "&amp;$F1022,RUNS!$L$5:$S$5,0))="","",INDEX(RUNS!$L$6:$S$1005,MATCH($D1022,RUNS!$A$6:$A$1005,0),MATCH("ACTIVITÉ "&amp;$F1022,RUNS!$L$5:$S$5,0))),""))</f>
        <v/>
      </c>
      <c r="L1022" s="33">
        <f>IF($D1022="","",IFERROR(IF(INDEX(RUNS!$E$6:$E$1005,MATCH($D1022,RUNS!$A$6:$A$1005,0))="","",INDEX(RUNS!$E$6:$E$1005,MATCH($D1022,RUNS!$A$6:$A$1005,0))),""))</f>
        <v/>
      </c>
      <c r="M1022" s="33">
        <f>IF($D1022="","",IFERROR(IF(INDEX(RUNS!$F$6:$F$1005,MATCH($D1022,RUNS!$A$6:$A$1005,0))="","",INDEX(RUNS!$F$6:$F$1005,MATCH($D1022,RUNS!$A$6:$A$1005,0))),""))</f>
        <v/>
      </c>
      <c r="N1022" s="33">
        <f>IF($D1022="","",IFERROR(IF(INDEX(RUNS!$G$6:$G$1005,MATCH($D1022,RUNS!$A$6:$A$1005,0))="","",INDEX(RUNS!$G$6:$G$1005,MATCH($D1022,RUNS!$A$6:$A$1005,0))),""))</f>
        <v/>
      </c>
      <c r="O1022" s="33">
        <f>IF($D1022="","",IFERROR(IF(INDEX(RUNS!$H$6:$H$1005,MATCH($D1022,RUNS!$A$6:$A$1005,0))="","",INDEX(RUNS!$H$6:$H$1005,MATCH($D1022,RUNS!$A$6:$A$1005,0))),""))</f>
        <v/>
      </c>
      <c r="P1022" s="33">
        <f>IF($D1022="","",IFERROR(IF(INDEX(RUNS!$J$6:$J$1005,MATCH($D1022,RUNS!$A$6:$A$1005,0))="","",INDEX(RUNS!$J$6:$J$1005,MATCH($D1022,RUNS!$A$6:$A$1005,0))),""))</f>
        <v/>
      </c>
      <c r="Q1022" s="33">
        <f>IF($D1022="","",IFERROR(IF(INDEX(RUNS!$K$6:$K$1005,MATCH($D1022,RUNS!$A$6:$A$1005,0))="","",INDEX(RUNS!$K$6:$K$1005,MATCH($D1022,RUNS!$A$6:$A$1005,0))),""))</f>
        <v/>
      </c>
      <c r="R1022" s="34">
        <f>IF(OR($L1022="",$K1022=""),"",IFERROR(IF(INDEX(PARAMETRES!$H$43:$H$342,MATCH($L1022&amp;"|"&amp;$M1022&amp;"|"&amp;$N1022&amp;"|"&amp;$O1022&amp;"|"&amp;$P1022&amp;"|"&amp;$Q1022&amp;"|"&amp;$K1022,PARAMETRES!$J$43:$J$342,0))="","",INDEX(PARAMETRES!$H$43:$H$342,MATCH($L1022&amp;"|"&amp;$M1022&amp;"|"&amp;$N1022&amp;"|"&amp;$O1022&amp;"|"&amp;$P1022&amp;"|"&amp;$Q1022&amp;"|"&amp;$K1022,PARAMETRES!$J$43:$J$342,0))),""))</f>
        <v/>
      </c>
      <c r="S1022" s="35">
        <f>IF(OR($G1022="",$X1022&lt;&gt;"VALIDE"),"",IFERROR(LOOKUP(2,1/(($B122:$B1021=$B1022)*($G122:$G1021=$G1022)*($X122:$X1021="VALIDE")),$C122:$C1021),""))</f>
        <v/>
      </c>
      <c r="T1022" s="36">
        <f>IF(OR($C1022="",$S1022=""),"",ROUND(($C1022-$S1022+IF($C1022&lt;$S1022,1,0))*1440,0))</f>
        <v/>
      </c>
      <c r="U1022" s="22">
        <f>IF(OR($H1022="",$T1022="",$T1022&lt;=0),"",$H1022*60/$T1022)</f>
        <v/>
      </c>
      <c r="V1022" s="37">
        <f>IF(OR($U1022="",$R1022="",$R1022=0),"",$U1022/$R1022)</f>
        <v/>
      </c>
      <c r="W1022" s="20">
        <f>IF($G1022="","",IF($X1022="CONTEXTE INCOMPLET","CONTEXTE INCOMPLET",IF($X1022="DOUBLON",StatutDoublon,IF($S1022="",StatutInitial,IF($R1022="",StatutStandardManquant,IF($V1022="","DONNEES INSUFFISANTES",IF($V1022&gt;=SeuilConforme,StatutConforme,IF($V1022&gt;=SeuilSurveiller,StatutSurveiller,StatutSousStandard))))))))</f>
        <v/>
      </c>
      <c r="X1022" s="33">
        <f>IF($G1022="","",IF(OR($D1022="",$E1022="",$F1022=""),"CONTEXTE INCOMPLET",IF(COUNTIFS($D122:$D1021,$D1022,$E122:$E1021,$E1022,$F122:$F1021,$F1022,$G122:$G1021,$G1022)&gt;0,"DOUBLON","VALIDE")))</f>
        <v/>
      </c>
    </row>
    <row r="1023" ht="15" customHeight="1">
      <c r="A1023" s="12">
        <f>IF(OR($B1023="",$G1023=""),"",TEXT($B1023,"YYYYMMDD")&amp;"-"&amp;SUBSTITUTE($E1023," ","")&amp;"-"&amp;$F1023&amp;"-"&amp;$G1023)</f>
        <v/>
      </c>
      <c r="B1023" s="15" t="n"/>
      <c r="C1023" s="16" t="n"/>
      <c r="D1023" s="10" t="n"/>
      <c r="E1023" s="9" t="n"/>
      <c r="F1023" s="9" t="n"/>
      <c r="G1023" s="13" t="n"/>
      <c r="H1023" s="21" t="n"/>
      <c r="I1023" s="21" t="n"/>
      <c r="J1023" s="17">
        <f>IF($G1023="","",IFERROR(INDEX(NomsEmployes,MATCH($G1023,MatriculesEmployes,0)),"MATRICULE INCONNU"))</f>
        <v/>
      </c>
      <c r="K1023" s="33">
        <f>IF(OR($D1023="",$F1023=""),"",IFERROR(IF(INDEX(RUNS!$L$6:$S$1005,MATCH($D1023,RUNS!$A$6:$A$1005,0),MATCH("ACTIVITÉ "&amp;$F1023,RUNS!$L$5:$S$5,0))="","",INDEX(RUNS!$L$6:$S$1005,MATCH($D1023,RUNS!$A$6:$A$1005,0),MATCH("ACTIVITÉ "&amp;$F1023,RUNS!$L$5:$S$5,0))),""))</f>
        <v/>
      </c>
      <c r="L1023" s="33">
        <f>IF($D1023="","",IFERROR(IF(INDEX(RUNS!$E$6:$E$1005,MATCH($D1023,RUNS!$A$6:$A$1005,0))="","",INDEX(RUNS!$E$6:$E$1005,MATCH($D1023,RUNS!$A$6:$A$1005,0))),""))</f>
        <v/>
      </c>
      <c r="M1023" s="33">
        <f>IF($D1023="","",IFERROR(IF(INDEX(RUNS!$F$6:$F$1005,MATCH($D1023,RUNS!$A$6:$A$1005,0))="","",INDEX(RUNS!$F$6:$F$1005,MATCH($D1023,RUNS!$A$6:$A$1005,0))),""))</f>
        <v/>
      </c>
      <c r="N1023" s="33">
        <f>IF($D1023="","",IFERROR(IF(INDEX(RUNS!$G$6:$G$1005,MATCH($D1023,RUNS!$A$6:$A$1005,0))="","",INDEX(RUNS!$G$6:$G$1005,MATCH($D1023,RUNS!$A$6:$A$1005,0))),""))</f>
        <v/>
      </c>
      <c r="O1023" s="33">
        <f>IF($D1023="","",IFERROR(IF(INDEX(RUNS!$H$6:$H$1005,MATCH($D1023,RUNS!$A$6:$A$1005,0))="","",INDEX(RUNS!$H$6:$H$1005,MATCH($D1023,RUNS!$A$6:$A$1005,0))),""))</f>
        <v/>
      </c>
      <c r="P1023" s="33">
        <f>IF($D1023="","",IFERROR(IF(INDEX(RUNS!$J$6:$J$1005,MATCH($D1023,RUNS!$A$6:$A$1005,0))="","",INDEX(RUNS!$J$6:$J$1005,MATCH($D1023,RUNS!$A$6:$A$1005,0))),""))</f>
        <v/>
      </c>
      <c r="Q1023" s="33">
        <f>IF($D1023="","",IFERROR(IF(INDEX(RUNS!$K$6:$K$1005,MATCH($D1023,RUNS!$A$6:$A$1005,0))="","",INDEX(RUNS!$K$6:$K$1005,MATCH($D1023,RUNS!$A$6:$A$1005,0))),""))</f>
        <v/>
      </c>
      <c r="R1023" s="34">
        <f>IF(OR($L1023="",$K1023=""),"",IFERROR(IF(INDEX(PARAMETRES!$H$43:$H$342,MATCH($L1023&amp;"|"&amp;$M1023&amp;"|"&amp;$N1023&amp;"|"&amp;$O1023&amp;"|"&amp;$P1023&amp;"|"&amp;$Q1023&amp;"|"&amp;$K1023,PARAMETRES!$J$43:$J$342,0))="","",INDEX(PARAMETRES!$H$43:$H$342,MATCH($L1023&amp;"|"&amp;$M1023&amp;"|"&amp;$N1023&amp;"|"&amp;$O1023&amp;"|"&amp;$P1023&amp;"|"&amp;$Q1023&amp;"|"&amp;$K1023,PARAMETRES!$J$43:$J$342,0))),""))</f>
        <v/>
      </c>
      <c r="S1023" s="35">
        <f>IF(OR($G1023="",$X1023&lt;&gt;"VALIDE"),"",IFERROR(LOOKUP(2,1/(($B123:$B1022=$B1023)*($G123:$G1022=$G1023)*($X123:$X1022="VALIDE")),$C123:$C1022),""))</f>
        <v/>
      </c>
      <c r="T1023" s="36">
        <f>IF(OR($C1023="",$S1023=""),"",ROUND(($C1023-$S1023+IF($C1023&lt;$S1023,1,0))*1440,0))</f>
        <v/>
      </c>
      <c r="U1023" s="22">
        <f>IF(OR($H1023="",$T1023="",$T1023&lt;=0),"",$H1023*60/$T1023)</f>
        <v/>
      </c>
      <c r="V1023" s="37">
        <f>IF(OR($U1023="",$R1023="",$R1023=0),"",$U1023/$R1023)</f>
        <v/>
      </c>
      <c r="W1023" s="20">
        <f>IF($G1023="","",IF($X1023="CONTEXTE INCOMPLET","CONTEXTE INCOMPLET",IF($X1023="DOUBLON",StatutDoublon,IF($S1023="",StatutInitial,IF($R1023="",StatutStandardManquant,IF($V1023="","DONNEES INSUFFISANTES",IF($V1023&gt;=SeuilConforme,StatutConforme,IF($V1023&gt;=SeuilSurveiller,StatutSurveiller,StatutSousStandard))))))))</f>
        <v/>
      </c>
      <c r="X1023" s="33">
        <f>IF($G1023="","",IF(OR($D1023="",$E1023="",$F1023=""),"CONTEXTE INCOMPLET",IF(COUNTIFS($D123:$D1022,$D1023,$E123:$E1022,$E1023,$F123:$F1022,$F1023,$G123:$G1022,$G1023)&gt;0,"DOUBLON","VALIDE")))</f>
        <v/>
      </c>
    </row>
    <row r="1024" ht="15" customHeight="1">
      <c r="A1024" s="12">
        <f>IF(OR($B1024="",$G1024=""),"",TEXT($B1024,"YYYYMMDD")&amp;"-"&amp;SUBSTITUTE($E1024," ","")&amp;"-"&amp;$F1024&amp;"-"&amp;$G1024)</f>
        <v/>
      </c>
      <c r="B1024" s="15" t="n"/>
      <c r="C1024" s="16" t="n"/>
      <c r="D1024" s="10" t="n"/>
      <c r="E1024" s="9" t="n"/>
      <c r="F1024" s="9" t="n"/>
      <c r="G1024" s="13" t="n"/>
      <c r="H1024" s="21" t="n"/>
      <c r="I1024" s="21" t="n"/>
      <c r="J1024" s="17">
        <f>IF($G1024="","",IFERROR(INDEX(NomsEmployes,MATCH($G1024,MatriculesEmployes,0)),"MATRICULE INCONNU"))</f>
        <v/>
      </c>
      <c r="K1024" s="33">
        <f>IF(OR($D1024="",$F1024=""),"",IFERROR(IF(INDEX(RUNS!$L$6:$S$1005,MATCH($D1024,RUNS!$A$6:$A$1005,0),MATCH("ACTIVITÉ "&amp;$F1024,RUNS!$L$5:$S$5,0))="","",INDEX(RUNS!$L$6:$S$1005,MATCH($D1024,RUNS!$A$6:$A$1005,0),MATCH("ACTIVITÉ "&amp;$F1024,RUNS!$L$5:$S$5,0))),""))</f>
        <v/>
      </c>
      <c r="L1024" s="33">
        <f>IF($D1024="","",IFERROR(IF(INDEX(RUNS!$E$6:$E$1005,MATCH($D1024,RUNS!$A$6:$A$1005,0))="","",INDEX(RUNS!$E$6:$E$1005,MATCH($D1024,RUNS!$A$6:$A$1005,0))),""))</f>
        <v/>
      </c>
      <c r="M1024" s="33">
        <f>IF($D1024="","",IFERROR(IF(INDEX(RUNS!$F$6:$F$1005,MATCH($D1024,RUNS!$A$6:$A$1005,0))="","",INDEX(RUNS!$F$6:$F$1005,MATCH($D1024,RUNS!$A$6:$A$1005,0))),""))</f>
        <v/>
      </c>
      <c r="N1024" s="33">
        <f>IF($D1024="","",IFERROR(IF(INDEX(RUNS!$G$6:$G$1005,MATCH($D1024,RUNS!$A$6:$A$1005,0))="","",INDEX(RUNS!$G$6:$G$1005,MATCH($D1024,RUNS!$A$6:$A$1005,0))),""))</f>
        <v/>
      </c>
      <c r="O1024" s="33">
        <f>IF($D1024="","",IFERROR(IF(INDEX(RUNS!$H$6:$H$1005,MATCH($D1024,RUNS!$A$6:$A$1005,0))="","",INDEX(RUNS!$H$6:$H$1005,MATCH($D1024,RUNS!$A$6:$A$1005,0))),""))</f>
        <v/>
      </c>
      <c r="P1024" s="33">
        <f>IF($D1024="","",IFERROR(IF(INDEX(RUNS!$J$6:$J$1005,MATCH($D1024,RUNS!$A$6:$A$1005,0))="","",INDEX(RUNS!$J$6:$J$1005,MATCH($D1024,RUNS!$A$6:$A$1005,0))),""))</f>
        <v/>
      </c>
      <c r="Q1024" s="33">
        <f>IF($D1024="","",IFERROR(IF(INDEX(RUNS!$K$6:$K$1005,MATCH($D1024,RUNS!$A$6:$A$1005,0))="","",INDEX(RUNS!$K$6:$K$1005,MATCH($D1024,RUNS!$A$6:$A$1005,0))),""))</f>
        <v/>
      </c>
      <c r="R1024" s="34">
        <f>IF(OR($L1024="",$K1024=""),"",IFERROR(IF(INDEX(PARAMETRES!$H$43:$H$342,MATCH($L1024&amp;"|"&amp;$M1024&amp;"|"&amp;$N1024&amp;"|"&amp;$O1024&amp;"|"&amp;$P1024&amp;"|"&amp;$Q1024&amp;"|"&amp;$K1024,PARAMETRES!$J$43:$J$342,0))="","",INDEX(PARAMETRES!$H$43:$H$342,MATCH($L1024&amp;"|"&amp;$M1024&amp;"|"&amp;$N1024&amp;"|"&amp;$O1024&amp;"|"&amp;$P1024&amp;"|"&amp;$Q1024&amp;"|"&amp;$K1024,PARAMETRES!$J$43:$J$342,0))),""))</f>
        <v/>
      </c>
      <c r="S1024" s="35">
        <f>IF(OR($G1024="",$X1024&lt;&gt;"VALIDE"),"",IFERROR(LOOKUP(2,1/(($B124:$B1023=$B1024)*($G124:$G1023=$G1024)*($X124:$X1023="VALIDE")),$C124:$C1023),""))</f>
        <v/>
      </c>
      <c r="T1024" s="36">
        <f>IF(OR($C1024="",$S1024=""),"",ROUND(($C1024-$S1024+IF($C1024&lt;$S1024,1,0))*1440,0))</f>
        <v/>
      </c>
      <c r="U1024" s="22">
        <f>IF(OR($H1024="",$T1024="",$T1024&lt;=0),"",$H1024*60/$T1024)</f>
        <v/>
      </c>
      <c r="V1024" s="37">
        <f>IF(OR($U1024="",$R1024="",$R1024=0),"",$U1024/$R1024)</f>
        <v/>
      </c>
      <c r="W1024" s="20">
        <f>IF($G1024="","",IF($X1024="CONTEXTE INCOMPLET","CONTEXTE INCOMPLET",IF($X1024="DOUBLON",StatutDoublon,IF($S1024="",StatutInitial,IF($R1024="",StatutStandardManquant,IF($V1024="","DONNEES INSUFFISANTES",IF($V1024&gt;=SeuilConforme,StatutConforme,IF($V1024&gt;=SeuilSurveiller,StatutSurveiller,StatutSousStandard))))))))</f>
        <v/>
      </c>
      <c r="X1024" s="33">
        <f>IF($G1024="","",IF(OR($D1024="",$E1024="",$F1024=""),"CONTEXTE INCOMPLET",IF(COUNTIFS($D124:$D1023,$D1024,$E124:$E1023,$E1024,$F124:$F1023,$F1024,$G124:$G1023,$G1024)&gt;0,"DOUBLON","VALIDE")))</f>
        <v/>
      </c>
    </row>
    <row r="1025" ht="15" customHeight="1">
      <c r="A1025" s="12">
        <f>IF(OR($B1025="",$G1025=""),"",TEXT($B1025,"YYYYMMDD")&amp;"-"&amp;SUBSTITUTE($E1025," ","")&amp;"-"&amp;$F1025&amp;"-"&amp;$G1025)</f>
        <v/>
      </c>
      <c r="B1025" s="15" t="n"/>
      <c r="C1025" s="16" t="n"/>
      <c r="D1025" s="10" t="n"/>
      <c r="E1025" s="9" t="n"/>
      <c r="F1025" s="9" t="n"/>
      <c r="G1025" s="13" t="n"/>
      <c r="H1025" s="21" t="n"/>
      <c r="I1025" s="21" t="n"/>
      <c r="J1025" s="17">
        <f>IF($G1025="","",IFERROR(INDEX(NomsEmployes,MATCH($G1025,MatriculesEmployes,0)),"MATRICULE INCONNU"))</f>
        <v/>
      </c>
      <c r="K1025" s="33">
        <f>IF(OR($D1025="",$F1025=""),"",IFERROR(IF(INDEX(RUNS!$L$6:$S$1005,MATCH($D1025,RUNS!$A$6:$A$1005,0),MATCH("ACTIVITÉ "&amp;$F1025,RUNS!$L$5:$S$5,0))="","",INDEX(RUNS!$L$6:$S$1005,MATCH($D1025,RUNS!$A$6:$A$1005,0),MATCH("ACTIVITÉ "&amp;$F1025,RUNS!$L$5:$S$5,0))),""))</f>
        <v/>
      </c>
      <c r="L1025" s="33">
        <f>IF($D1025="","",IFERROR(IF(INDEX(RUNS!$E$6:$E$1005,MATCH($D1025,RUNS!$A$6:$A$1005,0))="","",INDEX(RUNS!$E$6:$E$1005,MATCH($D1025,RUNS!$A$6:$A$1005,0))),""))</f>
        <v/>
      </c>
      <c r="M1025" s="33">
        <f>IF($D1025="","",IFERROR(IF(INDEX(RUNS!$F$6:$F$1005,MATCH($D1025,RUNS!$A$6:$A$1005,0))="","",INDEX(RUNS!$F$6:$F$1005,MATCH($D1025,RUNS!$A$6:$A$1005,0))),""))</f>
        <v/>
      </c>
      <c r="N1025" s="33">
        <f>IF($D1025="","",IFERROR(IF(INDEX(RUNS!$G$6:$G$1005,MATCH($D1025,RUNS!$A$6:$A$1005,0))="","",INDEX(RUNS!$G$6:$G$1005,MATCH($D1025,RUNS!$A$6:$A$1005,0))),""))</f>
        <v/>
      </c>
      <c r="O1025" s="33">
        <f>IF($D1025="","",IFERROR(IF(INDEX(RUNS!$H$6:$H$1005,MATCH($D1025,RUNS!$A$6:$A$1005,0))="","",INDEX(RUNS!$H$6:$H$1005,MATCH($D1025,RUNS!$A$6:$A$1005,0))),""))</f>
        <v/>
      </c>
      <c r="P1025" s="33">
        <f>IF($D1025="","",IFERROR(IF(INDEX(RUNS!$J$6:$J$1005,MATCH($D1025,RUNS!$A$6:$A$1005,0))="","",INDEX(RUNS!$J$6:$J$1005,MATCH($D1025,RUNS!$A$6:$A$1005,0))),""))</f>
        <v/>
      </c>
      <c r="Q1025" s="33">
        <f>IF($D1025="","",IFERROR(IF(INDEX(RUNS!$K$6:$K$1005,MATCH($D1025,RUNS!$A$6:$A$1005,0))="","",INDEX(RUNS!$K$6:$K$1005,MATCH($D1025,RUNS!$A$6:$A$1005,0))),""))</f>
        <v/>
      </c>
      <c r="R1025" s="34">
        <f>IF(OR($L1025="",$K1025=""),"",IFERROR(IF(INDEX(PARAMETRES!$H$43:$H$342,MATCH($L1025&amp;"|"&amp;$M1025&amp;"|"&amp;$N1025&amp;"|"&amp;$O1025&amp;"|"&amp;$P1025&amp;"|"&amp;$Q1025&amp;"|"&amp;$K1025,PARAMETRES!$J$43:$J$342,0))="","",INDEX(PARAMETRES!$H$43:$H$342,MATCH($L1025&amp;"|"&amp;$M1025&amp;"|"&amp;$N1025&amp;"|"&amp;$O1025&amp;"|"&amp;$P1025&amp;"|"&amp;$Q1025&amp;"|"&amp;$K1025,PARAMETRES!$J$43:$J$342,0))),""))</f>
        <v/>
      </c>
      <c r="S1025" s="35">
        <f>IF(OR($G1025="",$X1025&lt;&gt;"VALIDE"),"",IFERROR(LOOKUP(2,1/(($B125:$B1024=$B1025)*($G125:$G1024=$G1025)*($X125:$X1024="VALIDE")),$C125:$C1024),""))</f>
        <v/>
      </c>
      <c r="T1025" s="36">
        <f>IF(OR($C1025="",$S1025=""),"",ROUND(($C1025-$S1025+IF($C1025&lt;$S1025,1,0))*1440,0))</f>
        <v/>
      </c>
      <c r="U1025" s="22">
        <f>IF(OR($H1025="",$T1025="",$T1025&lt;=0),"",$H1025*60/$T1025)</f>
        <v/>
      </c>
      <c r="V1025" s="37">
        <f>IF(OR($U1025="",$R1025="",$R1025=0),"",$U1025/$R1025)</f>
        <v/>
      </c>
      <c r="W1025" s="20">
        <f>IF($G1025="","",IF($X1025="CONTEXTE INCOMPLET","CONTEXTE INCOMPLET",IF($X1025="DOUBLON",StatutDoublon,IF($S1025="",StatutInitial,IF($R1025="",StatutStandardManquant,IF($V1025="","DONNEES INSUFFISANTES",IF($V1025&gt;=SeuilConforme,StatutConforme,IF($V1025&gt;=SeuilSurveiller,StatutSurveiller,StatutSousStandard))))))))</f>
        <v/>
      </c>
      <c r="X1025" s="33">
        <f>IF($G1025="","",IF(OR($D1025="",$E1025="",$F1025=""),"CONTEXTE INCOMPLET",IF(COUNTIFS($D125:$D1024,$D1025,$E125:$E1024,$E1025,$F125:$F1024,$F1025,$G125:$G1024,$G1025)&gt;0,"DOUBLON","VALIDE")))</f>
        <v/>
      </c>
    </row>
    <row r="1026" ht="15" customHeight="1">
      <c r="A1026" s="12">
        <f>IF(OR($B1026="",$G1026=""),"",TEXT($B1026,"YYYYMMDD")&amp;"-"&amp;SUBSTITUTE($E1026," ","")&amp;"-"&amp;$F1026&amp;"-"&amp;$G1026)</f>
        <v/>
      </c>
      <c r="B1026" s="15" t="n"/>
      <c r="C1026" s="16" t="n"/>
      <c r="D1026" s="10" t="n"/>
      <c r="E1026" s="9" t="n"/>
      <c r="F1026" s="9" t="n"/>
      <c r="G1026" s="13" t="n"/>
      <c r="H1026" s="21" t="n"/>
      <c r="I1026" s="21" t="n"/>
      <c r="J1026" s="17">
        <f>IF($G1026="","",IFERROR(INDEX(NomsEmployes,MATCH($G1026,MatriculesEmployes,0)),"MATRICULE INCONNU"))</f>
        <v/>
      </c>
      <c r="K1026" s="33">
        <f>IF(OR($D1026="",$F1026=""),"",IFERROR(IF(INDEX(RUNS!$L$6:$S$1005,MATCH($D1026,RUNS!$A$6:$A$1005,0),MATCH("ACTIVITÉ "&amp;$F1026,RUNS!$L$5:$S$5,0))="","",INDEX(RUNS!$L$6:$S$1005,MATCH($D1026,RUNS!$A$6:$A$1005,0),MATCH("ACTIVITÉ "&amp;$F1026,RUNS!$L$5:$S$5,0))),""))</f>
        <v/>
      </c>
      <c r="L1026" s="33">
        <f>IF($D1026="","",IFERROR(IF(INDEX(RUNS!$E$6:$E$1005,MATCH($D1026,RUNS!$A$6:$A$1005,0))="","",INDEX(RUNS!$E$6:$E$1005,MATCH($D1026,RUNS!$A$6:$A$1005,0))),""))</f>
        <v/>
      </c>
      <c r="M1026" s="33">
        <f>IF($D1026="","",IFERROR(IF(INDEX(RUNS!$F$6:$F$1005,MATCH($D1026,RUNS!$A$6:$A$1005,0))="","",INDEX(RUNS!$F$6:$F$1005,MATCH($D1026,RUNS!$A$6:$A$1005,0))),""))</f>
        <v/>
      </c>
      <c r="N1026" s="33">
        <f>IF($D1026="","",IFERROR(IF(INDEX(RUNS!$G$6:$G$1005,MATCH($D1026,RUNS!$A$6:$A$1005,0))="","",INDEX(RUNS!$G$6:$G$1005,MATCH($D1026,RUNS!$A$6:$A$1005,0))),""))</f>
        <v/>
      </c>
      <c r="O1026" s="33">
        <f>IF($D1026="","",IFERROR(IF(INDEX(RUNS!$H$6:$H$1005,MATCH($D1026,RUNS!$A$6:$A$1005,0))="","",INDEX(RUNS!$H$6:$H$1005,MATCH($D1026,RUNS!$A$6:$A$1005,0))),""))</f>
        <v/>
      </c>
      <c r="P1026" s="33">
        <f>IF($D1026="","",IFERROR(IF(INDEX(RUNS!$J$6:$J$1005,MATCH($D1026,RUNS!$A$6:$A$1005,0))="","",INDEX(RUNS!$J$6:$J$1005,MATCH($D1026,RUNS!$A$6:$A$1005,0))),""))</f>
        <v/>
      </c>
      <c r="Q1026" s="33">
        <f>IF($D1026="","",IFERROR(IF(INDEX(RUNS!$K$6:$K$1005,MATCH($D1026,RUNS!$A$6:$A$1005,0))="","",INDEX(RUNS!$K$6:$K$1005,MATCH($D1026,RUNS!$A$6:$A$1005,0))),""))</f>
        <v/>
      </c>
      <c r="R1026" s="34">
        <f>IF(OR($L1026="",$K1026=""),"",IFERROR(IF(INDEX(PARAMETRES!$H$43:$H$342,MATCH($L1026&amp;"|"&amp;$M1026&amp;"|"&amp;$N1026&amp;"|"&amp;$O1026&amp;"|"&amp;$P1026&amp;"|"&amp;$Q1026&amp;"|"&amp;$K1026,PARAMETRES!$J$43:$J$342,0))="","",INDEX(PARAMETRES!$H$43:$H$342,MATCH($L1026&amp;"|"&amp;$M1026&amp;"|"&amp;$N1026&amp;"|"&amp;$O1026&amp;"|"&amp;$P1026&amp;"|"&amp;$Q1026&amp;"|"&amp;$K1026,PARAMETRES!$J$43:$J$342,0))),""))</f>
        <v/>
      </c>
      <c r="S1026" s="35">
        <f>IF(OR($G1026="",$X1026&lt;&gt;"VALIDE"),"",IFERROR(LOOKUP(2,1/(($B126:$B1025=$B1026)*($G126:$G1025=$G1026)*($X126:$X1025="VALIDE")),$C126:$C1025),""))</f>
        <v/>
      </c>
      <c r="T1026" s="36">
        <f>IF(OR($C1026="",$S1026=""),"",ROUND(($C1026-$S1026+IF($C1026&lt;$S1026,1,0))*1440,0))</f>
        <v/>
      </c>
      <c r="U1026" s="22">
        <f>IF(OR($H1026="",$T1026="",$T1026&lt;=0),"",$H1026*60/$T1026)</f>
        <v/>
      </c>
      <c r="V1026" s="37">
        <f>IF(OR($U1026="",$R1026="",$R1026=0),"",$U1026/$R1026)</f>
        <v/>
      </c>
      <c r="W1026" s="20">
        <f>IF($G1026="","",IF($X1026="CONTEXTE INCOMPLET","CONTEXTE INCOMPLET",IF($X1026="DOUBLON",StatutDoublon,IF($S1026="",StatutInitial,IF($R1026="",StatutStandardManquant,IF($V1026="","DONNEES INSUFFISANTES",IF($V1026&gt;=SeuilConforme,StatutConforme,IF($V1026&gt;=SeuilSurveiller,StatutSurveiller,StatutSousStandard))))))))</f>
        <v/>
      </c>
      <c r="X1026" s="33">
        <f>IF($G1026="","",IF(OR($D1026="",$E1026="",$F1026=""),"CONTEXTE INCOMPLET",IF(COUNTIFS($D126:$D1025,$D1026,$E126:$E1025,$E1026,$F126:$F1025,$F1026,$G126:$G1025,$G1026)&gt;0,"DOUBLON","VALIDE")))</f>
        <v/>
      </c>
    </row>
    <row r="1027" ht="15" customHeight="1">
      <c r="A1027" s="12">
        <f>IF(OR($B1027="",$G1027=""),"",TEXT($B1027,"YYYYMMDD")&amp;"-"&amp;SUBSTITUTE($E1027," ","")&amp;"-"&amp;$F1027&amp;"-"&amp;$G1027)</f>
        <v/>
      </c>
      <c r="B1027" s="15" t="n"/>
      <c r="C1027" s="16" t="n"/>
      <c r="D1027" s="10" t="n"/>
      <c r="E1027" s="9" t="n"/>
      <c r="F1027" s="9" t="n"/>
      <c r="G1027" s="13" t="n"/>
      <c r="H1027" s="21" t="n"/>
      <c r="I1027" s="21" t="n"/>
      <c r="J1027" s="17">
        <f>IF($G1027="","",IFERROR(INDEX(NomsEmployes,MATCH($G1027,MatriculesEmployes,0)),"MATRICULE INCONNU"))</f>
        <v/>
      </c>
      <c r="K1027" s="33">
        <f>IF(OR($D1027="",$F1027=""),"",IFERROR(IF(INDEX(RUNS!$L$6:$S$1005,MATCH($D1027,RUNS!$A$6:$A$1005,0),MATCH("ACTIVITÉ "&amp;$F1027,RUNS!$L$5:$S$5,0))="","",INDEX(RUNS!$L$6:$S$1005,MATCH($D1027,RUNS!$A$6:$A$1005,0),MATCH("ACTIVITÉ "&amp;$F1027,RUNS!$L$5:$S$5,0))),""))</f>
        <v/>
      </c>
      <c r="L1027" s="33">
        <f>IF($D1027="","",IFERROR(IF(INDEX(RUNS!$E$6:$E$1005,MATCH($D1027,RUNS!$A$6:$A$1005,0))="","",INDEX(RUNS!$E$6:$E$1005,MATCH($D1027,RUNS!$A$6:$A$1005,0))),""))</f>
        <v/>
      </c>
      <c r="M1027" s="33">
        <f>IF($D1027="","",IFERROR(IF(INDEX(RUNS!$F$6:$F$1005,MATCH($D1027,RUNS!$A$6:$A$1005,0))="","",INDEX(RUNS!$F$6:$F$1005,MATCH($D1027,RUNS!$A$6:$A$1005,0))),""))</f>
        <v/>
      </c>
      <c r="N1027" s="33">
        <f>IF($D1027="","",IFERROR(IF(INDEX(RUNS!$G$6:$G$1005,MATCH($D1027,RUNS!$A$6:$A$1005,0))="","",INDEX(RUNS!$G$6:$G$1005,MATCH($D1027,RUNS!$A$6:$A$1005,0))),""))</f>
        <v/>
      </c>
      <c r="O1027" s="33">
        <f>IF($D1027="","",IFERROR(IF(INDEX(RUNS!$H$6:$H$1005,MATCH($D1027,RUNS!$A$6:$A$1005,0))="","",INDEX(RUNS!$H$6:$H$1005,MATCH($D1027,RUNS!$A$6:$A$1005,0))),""))</f>
        <v/>
      </c>
      <c r="P1027" s="33">
        <f>IF($D1027="","",IFERROR(IF(INDEX(RUNS!$J$6:$J$1005,MATCH($D1027,RUNS!$A$6:$A$1005,0))="","",INDEX(RUNS!$J$6:$J$1005,MATCH($D1027,RUNS!$A$6:$A$1005,0))),""))</f>
        <v/>
      </c>
      <c r="Q1027" s="33">
        <f>IF($D1027="","",IFERROR(IF(INDEX(RUNS!$K$6:$K$1005,MATCH($D1027,RUNS!$A$6:$A$1005,0))="","",INDEX(RUNS!$K$6:$K$1005,MATCH($D1027,RUNS!$A$6:$A$1005,0))),""))</f>
        <v/>
      </c>
      <c r="R1027" s="34">
        <f>IF(OR($L1027="",$K1027=""),"",IFERROR(IF(INDEX(PARAMETRES!$H$43:$H$342,MATCH($L1027&amp;"|"&amp;$M1027&amp;"|"&amp;$N1027&amp;"|"&amp;$O1027&amp;"|"&amp;$P1027&amp;"|"&amp;$Q1027&amp;"|"&amp;$K1027,PARAMETRES!$J$43:$J$342,0))="","",INDEX(PARAMETRES!$H$43:$H$342,MATCH($L1027&amp;"|"&amp;$M1027&amp;"|"&amp;$N1027&amp;"|"&amp;$O1027&amp;"|"&amp;$P1027&amp;"|"&amp;$Q1027&amp;"|"&amp;$K1027,PARAMETRES!$J$43:$J$342,0))),""))</f>
        <v/>
      </c>
      <c r="S1027" s="35">
        <f>IF(OR($G1027="",$X1027&lt;&gt;"VALIDE"),"",IFERROR(LOOKUP(2,1/(($B127:$B1026=$B1027)*($G127:$G1026=$G1027)*($X127:$X1026="VALIDE")),$C127:$C1026),""))</f>
        <v/>
      </c>
      <c r="T1027" s="36">
        <f>IF(OR($C1027="",$S1027=""),"",ROUND(($C1027-$S1027+IF($C1027&lt;$S1027,1,0))*1440,0))</f>
        <v/>
      </c>
      <c r="U1027" s="22">
        <f>IF(OR($H1027="",$T1027="",$T1027&lt;=0),"",$H1027*60/$T1027)</f>
        <v/>
      </c>
      <c r="V1027" s="37">
        <f>IF(OR($U1027="",$R1027="",$R1027=0),"",$U1027/$R1027)</f>
        <v/>
      </c>
      <c r="W1027" s="20">
        <f>IF($G1027="","",IF($X1027="CONTEXTE INCOMPLET","CONTEXTE INCOMPLET",IF($X1027="DOUBLON",StatutDoublon,IF($S1027="",StatutInitial,IF($R1027="",StatutStandardManquant,IF($V1027="","DONNEES INSUFFISANTES",IF($V1027&gt;=SeuilConforme,StatutConforme,IF($V1027&gt;=SeuilSurveiller,StatutSurveiller,StatutSousStandard))))))))</f>
        <v/>
      </c>
      <c r="X1027" s="33">
        <f>IF($G1027="","",IF(OR($D1027="",$E1027="",$F1027=""),"CONTEXTE INCOMPLET",IF(COUNTIFS($D127:$D1026,$D1027,$E127:$E1026,$E1027,$F127:$F1026,$F1027,$G127:$G1026,$G1027)&gt;0,"DOUBLON","VALIDE")))</f>
        <v/>
      </c>
    </row>
    <row r="1028" ht="15" customHeight="1">
      <c r="A1028" s="12">
        <f>IF(OR($B1028="",$G1028=""),"",TEXT($B1028,"YYYYMMDD")&amp;"-"&amp;SUBSTITUTE($E1028," ","")&amp;"-"&amp;$F1028&amp;"-"&amp;$G1028)</f>
        <v/>
      </c>
      <c r="B1028" s="15" t="n"/>
      <c r="C1028" s="16" t="n"/>
      <c r="D1028" s="10" t="n"/>
      <c r="E1028" s="9" t="n"/>
      <c r="F1028" s="9" t="n"/>
      <c r="G1028" s="13" t="n"/>
      <c r="H1028" s="21" t="n"/>
      <c r="I1028" s="21" t="n"/>
      <c r="J1028" s="17">
        <f>IF($G1028="","",IFERROR(INDEX(NomsEmployes,MATCH($G1028,MatriculesEmployes,0)),"MATRICULE INCONNU"))</f>
        <v/>
      </c>
      <c r="K1028" s="33">
        <f>IF(OR($D1028="",$F1028=""),"",IFERROR(IF(INDEX(RUNS!$L$6:$S$1005,MATCH($D1028,RUNS!$A$6:$A$1005,0),MATCH("ACTIVITÉ "&amp;$F1028,RUNS!$L$5:$S$5,0))="","",INDEX(RUNS!$L$6:$S$1005,MATCH($D1028,RUNS!$A$6:$A$1005,0),MATCH("ACTIVITÉ "&amp;$F1028,RUNS!$L$5:$S$5,0))),""))</f>
        <v/>
      </c>
      <c r="L1028" s="33">
        <f>IF($D1028="","",IFERROR(IF(INDEX(RUNS!$E$6:$E$1005,MATCH($D1028,RUNS!$A$6:$A$1005,0))="","",INDEX(RUNS!$E$6:$E$1005,MATCH($D1028,RUNS!$A$6:$A$1005,0))),""))</f>
        <v/>
      </c>
      <c r="M1028" s="33">
        <f>IF($D1028="","",IFERROR(IF(INDEX(RUNS!$F$6:$F$1005,MATCH($D1028,RUNS!$A$6:$A$1005,0))="","",INDEX(RUNS!$F$6:$F$1005,MATCH($D1028,RUNS!$A$6:$A$1005,0))),""))</f>
        <v/>
      </c>
      <c r="N1028" s="33">
        <f>IF($D1028="","",IFERROR(IF(INDEX(RUNS!$G$6:$G$1005,MATCH($D1028,RUNS!$A$6:$A$1005,0))="","",INDEX(RUNS!$G$6:$G$1005,MATCH($D1028,RUNS!$A$6:$A$1005,0))),""))</f>
        <v/>
      </c>
      <c r="O1028" s="33">
        <f>IF($D1028="","",IFERROR(IF(INDEX(RUNS!$H$6:$H$1005,MATCH($D1028,RUNS!$A$6:$A$1005,0))="","",INDEX(RUNS!$H$6:$H$1005,MATCH($D1028,RUNS!$A$6:$A$1005,0))),""))</f>
        <v/>
      </c>
      <c r="P1028" s="33">
        <f>IF($D1028="","",IFERROR(IF(INDEX(RUNS!$J$6:$J$1005,MATCH($D1028,RUNS!$A$6:$A$1005,0))="","",INDEX(RUNS!$J$6:$J$1005,MATCH($D1028,RUNS!$A$6:$A$1005,0))),""))</f>
        <v/>
      </c>
      <c r="Q1028" s="33">
        <f>IF($D1028="","",IFERROR(IF(INDEX(RUNS!$K$6:$K$1005,MATCH($D1028,RUNS!$A$6:$A$1005,0))="","",INDEX(RUNS!$K$6:$K$1005,MATCH($D1028,RUNS!$A$6:$A$1005,0))),""))</f>
        <v/>
      </c>
      <c r="R1028" s="34">
        <f>IF(OR($L1028="",$K1028=""),"",IFERROR(IF(INDEX(PARAMETRES!$H$43:$H$342,MATCH($L1028&amp;"|"&amp;$M1028&amp;"|"&amp;$N1028&amp;"|"&amp;$O1028&amp;"|"&amp;$P1028&amp;"|"&amp;$Q1028&amp;"|"&amp;$K1028,PARAMETRES!$J$43:$J$342,0))="","",INDEX(PARAMETRES!$H$43:$H$342,MATCH($L1028&amp;"|"&amp;$M1028&amp;"|"&amp;$N1028&amp;"|"&amp;$O1028&amp;"|"&amp;$P1028&amp;"|"&amp;$Q1028&amp;"|"&amp;$K1028,PARAMETRES!$J$43:$J$342,0))),""))</f>
        <v/>
      </c>
      <c r="S1028" s="35">
        <f>IF(OR($G1028="",$X1028&lt;&gt;"VALIDE"),"",IFERROR(LOOKUP(2,1/(($B128:$B1027=$B1028)*($G128:$G1027=$G1028)*($X128:$X1027="VALIDE")),$C128:$C1027),""))</f>
        <v/>
      </c>
      <c r="T1028" s="36">
        <f>IF(OR($C1028="",$S1028=""),"",ROUND(($C1028-$S1028+IF($C1028&lt;$S1028,1,0))*1440,0))</f>
        <v/>
      </c>
      <c r="U1028" s="22">
        <f>IF(OR($H1028="",$T1028="",$T1028&lt;=0),"",$H1028*60/$T1028)</f>
        <v/>
      </c>
      <c r="V1028" s="37">
        <f>IF(OR($U1028="",$R1028="",$R1028=0),"",$U1028/$R1028)</f>
        <v/>
      </c>
      <c r="W1028" s="20">
        <f>IF($G1028="","",IF($X1028="CONTEXTE INCOMPLET","CONTEXTE INCOMPLET",IF($X1028="DOUBLON",StatutDoublon,IF($S1028="",StatutInitial,IF($R1028="",StatutStandardManquant,IF($V1028="","DONNEES INSUFFISANTES",IF($V1028&gt;=SeuilConforme,StatutConforme,IF($V1028&gt;=SeuilSurveiller,StatutSurveiller,StatutSousStandard))))))))</f>
        <v/>
      </c>
      <c r="X1028" s="33">
        <f>IF($G1028="","",IF(OR($D1028="",$E1028="",$F1028=""),"CONTEXTE INCOMPLET",IF(COUNTIFS($D128:$D1027,$D1028,$E128:$E1027,$E1028,$F128:$F1027,$F1028,$G128:$G1027,$G1028)&gt;0,"DOUBLON","VALIDE")))</f>
        <v/>
      </c>
    </row>
    <row r="1029" ht="15" customHeight="1">
      <c r="A1029" s="12">
        <f>IF(OR($B1029="",$G1029=""),"",TEXT($B1029,"YYYYMMDD")&amp;"-"&amp;SUBSTITUTE($E1029," ","")&amp;"-"&amp;$F1029&amp;"-"&amp;$G1029)</f>
        <v/>
      </c>
      <c r="B1029" s="15" t="n"/>
      <c r="C1029" s="16" t="n"/>
      <c r="D1029" s="10" t="n"/>
      <c r="E1029" s="9" t="n"/>
      <c r="F1029" s="9" t="n"/>
      <c r="G1029" s="13" t="n"/>
      <c r="H1029" s="21" t="n"/>
      <c r="I1029" s="21" t="n"/>
      <c r="J1029" s="17">
        <f>IF($G1029="","",IFERROR(INDEX(NomsEmployes,MATCH($G1029,MatriculesEmployes,0)),"MATRICULE INCONNU"))</f>
        <v/>
      </c>
      <c r="K1029" s="33">
        <f>IF(OR($D1029="",$F1029=""),"",IFERROR(IF(INDEX(RUNS!$L$6:$S$1005,MATCH($D1029,RUNS!$A$6:$A$1005,0),MATCH("ACTIVITÉ "&amp;$F1029,RUNS!$L$5:$S$5,0))="","",INDEX(RUNS!$L$6:$S$1005,MATCH($D1029,RUNS!$A$6:$A$1005,0),MATCH("ACTIVITÉ "&amp;$F1029,RUNS!$L$5:$S$5,0))),""))</f>
        <v/>
      </c>
      <c r="L1029" s="33">
        <f>IF($D1029="","",IFERROR(IF(INDEX(RUNS!$E$6:$E$1005,MATCH($D1029,RUNS!$A$6:$A$1005,0))="","",INDEX(RUNS!$E$6:$E$1005,MATCH($D1029,RUNS!$A$6:$A$1005,0))),""))</f>
        <v/>
      </c>
      <c r="M1029" s="33">
        <f>IF($D1029="","",IFERROR(IF(INDEX(RUNS!$F$6:$F$1005,MATCH($D1029,RUNS!$A$6:$A$1005,0))="","",INDEX(RUNS!$F$6:$F$1005,MATCH($D1029,RUNS!$A$6:$A$1005,0))),""))</f>
        <v/>
      </c>
      <c r="N1029" s="33">
        <f>IF($D1029="","",IFERROR(IF(INDEX(RUNS!$G$6:$G$1005,MATCH($D1029,RUNS!$A$6:$A$1005,0))="","",INDEX(RUNS!$G$6:$G$1005,MATCH($D1029,RUNS!$A$6:$A$1005,0))),""))</f>
        <v/>
      </c>
      <c r="O1029" s="33">
        <f>IF($D1029="","",IFERROR(IF(INDEX(RUNS!$H$6:$H$1005,MATCH($D1029,RUNS!$A$6:$A$1005,0))="","",INDEX(RUNS!$H$6:$H$1005,MATCH($D1029,RUNS!$A$6:$A$1005,0))),""))</f>
        <v/>
      </c>
      <c r="P1029" s="33">
        <f>IF($D1029="","",IFERROR(IF(INDEX(RUNS!$J$6:$J$1005,MATCH($D1029,RUNS!$A$6:$A$1005,0))="","",INDEX(RUNS!$J$6:$J$1005,MATCH($D1029,RUNS!$A$6:$A$1005,0))),""))</f>
        <v/>
      </c>
      <c r="Q1029" s="33">
        <f>IF($D1029="","",IFERROR(IF(INDEX(RUNS!$K$6:$K$1005,MATCH($D1029,RUNS!$A$6:$A$1005,0))="","",INDEX(RUNS!$K$6:$K$1005,MATCH($D1029,RUNS!$A$6:$A$1005,0))),""))</f>
        <v/>
      </c>
      <c r="R1029" s="34">
        <f>IF(OR($L1029="",$K1029=""),"",IFERROR(IF(INDEX(PARAMETRES!$H$43:$H$342,MATCH($L1029&amp;"|"&amp;$M1029&amp;"|"&amp;$N1029&amp;"|"&amp;$O1029&amp;"|"&amp;$P1029&amp;"|"&amp;$Q1029&amp;"|"&amp;$K1029,PARAMETRES!$J$43:$J$342,0))="","",INDEX(PARAMETRES!$H$43:$H$342,MATCH($L1029&amp;"|"&amp;$M1029&amp;"|"&amp;$N1029&amp;"|"&amp;$O1029&amp;"|"&amp;$P1029&amp;"|"&amp;$Q1029&amp;"|"&amp;$K1029,PARAMETRES!$J$43:$J$342,0))),""))</f>
        <v/>
      </c>
      <c r="S1029" s="35">
        <f>IF(OR($G1029="",$X1029&lt;&gt;"VALIDE"),"",IFERROR(LOOKUP(2,1/(($B129:$B1028=$B1029)*($G129:$G1028=$G1029)*($X129:$X1028="VALIDE")),$C129:$C1028),""))</f>
        <v/>
      </c>
      <c r="T1029" s="36">
        <f>IF(OR($C1029="",$S1029=""),"",ROUND(($C1029-$S1029+IF($C1029&lt;$S1029,1,0))*1440,0))</f>
        <v/>
      </c>
      <c r="U1029" s="22">
        <f>IF(OR($H1029="",$T1029="",$T1029&lt;=0),"",$H1029*60/$T1029)</f>
        <v/>
      </c>
      <c r="V1029" s="37">
        <f>IF(OR($U1029="",$R1029="",$R1029=0),"",$U1029/$R1029)</f>
        <v/>
      </c>
      <c r="W1029" s="20">
        <f>IF($G1029="","",IF($X1029="CONTEXTE INCOMPLET","CONTEXTE INCOMPLET",IF($X1029="DOUBLON",StatutDoublon,IF($S1029="",StatutInitial,IF($R1029="",StatutStandardManquant,IF($V1029="","DONNEES INSUFFISANTES",IF($V1029&gt;=SeuilConforme,StatutConforme,IF($V1029&gt;=SeuilSurveiller,StatutSurveiller,StatutSousStandard))))))))</f>
        <v/>
      </c>
      <c r="X1029" s="33">
        <f>IF($G1029="","",IF(OR($D1029="",$E1029="",$F1029=""),"CONTEXTE INCOMPLET",IF(COUNTIFS($D129:$D1028,$D1029,$E129:$E1028,$E1029,$F129:$F1028,$F1029,$G129:$G1028,$G1029)&gt;0,"DOUBLON","VALIDE")))</f>
        <v/>
      </c>
    </row>
    <row r="1030" ht="15" customHeight="1">
      <c r="A1030" s="12">
        <f>IF(OR($B1030="",$G1030=""),"",TEXT($B1030,"YYYYMMDD")&amp;"-"&amp;SUBSTITUTE($E1030," ","")&amp;"-"&amp;$F1030&amp;"-"&amp;$G1030)</f>
        <v/>
      </c>
      <c r="B1030" s="15" t="n"/>
      <c r="C1030" s="16" t="n"/>
      <c r="D1030" s="10" t="n"/>
      <c r="E1030" s="9" t="n"/>
      <c r="F1030" s="9" t="n"/>
      <c r="G1030" s="13" t="n"/>
      <c r="H1030" s="21" t="n"/>
      <c r="I1030" s="21" t="n"/>
      <c r="J1030" s="17">
        <f>IF($G1030="","",IFERROR(INDEX(NomsEmployes,MATCH($G1030,MatriculesEmployes,0)),"MATRICULE INCONNU"))</f>
        <v/>
      </c>
      <c r="K1030" s="33">
        <f>IF(OR($D1030="",$F1030=""),"",IFERROR(IF(INDEX(RUNS!$L$6:$S$1005,MATCH($D1030,RUNS!$A$6:$A$1005,0),MATCH("ACTIVITÉ "&amp;$F1030,RUNS!$L$5:$S$5,0))="","",INDEX(RUNS!$L$6:$S$1005,MATCH($D1030,RUNS!$A$6:$A$1005,0),MATCH("ACTIVITÉ "&amp;$F1030,RUNS!$L$5:$S$5,0))),""))</f>
        <v/>
      </c>
      <c r="L1030" s="33">
        <f>IF($D1030="","",IFERROR(IF(INDEX(RUNS!$E$6:$E$1005,MATCH($D1030,RUNS!$A$6:$A$1005,0))="","",INDEX(RUNS!$E$6:$E$1005,MATCH($D1030,RUNS!$A$6:$A$1005,0))),""))</f>
        <v/>
      </c>
      <c r="M1030" s="33">
        <f>IF($D1030="","",IFERROR(IF(INDEX(RUNS!$F$6:$F$1005,MATCH($D1030,RUNS!$A$6:$A$1005,0))="","",INDEX(RUNS!$F$6:$F$1005,MATCH($D1030,RUNS!$A$6:$A$1005,0))),""))</f>
        <v/>
      </c>
      <c r="N1030" s="33">
        <f>IF($D1030="","",IFERROR(IF(INDEX(RUNS!$G$6:$G$1005,MATCH($D1030,RUNS!$A$6:$A$1005,0))="","",INDEX(RUNS!$G$6:$G$1005,MATCH($D1030,RUNS!$A$6:$A$1005,0))),""))</f>
        <v/>
      </c>
      <c r="O1030" s="33">
        <f>IF($D1030="","",IFERROR(IF(INDEX(RUNS!$H$6:$H$1005,MATCH($D1030,RUNS!$A$6:$A$1005,0))="","",INDEX(RUNS!$H$6:$H$1005,MATCH($D1030,RUNS!$A$6:$A$1005,0))),""))</f>
        <v/>
      </c>
      <c r="P1030" s="33">
        <f>IF($D1030="","",IFERROR(IF(INDEX(RUNS!$J$6:$J$1005,MATCH($D1030,RUNS!$A$6:$A$1005,0))="","",INDEX(RUNS!$J$6:$J$1005,MATCH($D1030,RUNS!$A$6:$A$1005,0))),""))</f>
        <v/>
      </c>
      <c r="Q1030" s="33">
        <f>IF($D1030="","",IFERROR(IF(INDEX(RUNS!$K$6:$K$1005,MATCH($D1030,RUNS!$A$6:$A$1005,0))="","",INDEX(RUNS!$K$6:$K$1005,MATCH($D1030,RUNS!$A$6:$A$1005,0))),""))</f>
        <v/>
      </c>
      <c r="R1030" s="34">
        <f>IF(OR($L1030="",$K1030=""),"",IFERROR(IF(INDEX(PARAMETRES!$H$43:$H$342,MATCH($L1030&amp;"|"&amp;$M1030&amp;"|"&amp;$N1030&amp;"|"&amp;$O1030&amp;"|"&amp;$P1030&amp;"|"&amp;$Q1030&amp;"|"&amp;$K1030,PARAMETRES!$J$43:$J$342,0))="","",INDEX(PARAMETRES!$H$43:$H$342,MATCH($L1030&amp;"|"&amp;$M1030&amp;"|"&amp;$N1030&amp;"|"&amp;$O1030&amp;"|"&amp;$P1030&amp;"|"&amp;$Q1030&amp;"|"&amp;$K1030,PARAMETRES!$J$43:$J$342,0))),""))</f>
        <v/>
      </c>
      <c r="S1030" s="35">
        <f>IF(OR($G1030="",$X1030&lt;&gt;"VALIDE"),"",IFERROR(LOOKUP(2,1/(($B130:$B1029=$B1030)*($G130:$G1029=$G1030)*($X130:$X1029="VALIDE")),$C130:$C1029),""))</f>
        <v/>
      </c>
      <c r="T1030" s="36">
        <f>IF(OR($C1030="",$S1030=""),"",ROUND(($C1030-$S1030+IF($C1030&lt;$S1030,1,0))*1440,0))</f>
        <v/>
      </c>
      <c r="U1030" s="22">
        <f>IF(OR($H1030="",$T1030="",$T1030&lt;=0),"",$H1030*60/$T1030)</f>
        <v/>
      </c>
      <c r="V1030" s="37">
        <f>IF(OR($U1030="",$R1030="",$R1030=0),"",$U1030/$R1030)</f>
        <v/>
      </c>
      <c r="W1030" s="20">
        <f>IF($G1030="","",IF($X1030="CONTEXTE INCOMPLET","CONTEXTE INCOMPLET",IF($X1030="DOUBLON",StatutDoublon,IF($S1030="",StatutInitial,IF($R1030="",StatutStandardManquant,IF($V1030="","DONNEES INSUFFISANTES",IF($V1030&gt;=SeuilConforme,StatutConforme,IF($V1030&gt;=SeuilSurveiller,StatutSurveiller,StatutSousStandard))))))))</f>
        <v/>
      </c>
      <c r="X1030" s="33">
        <f>IF($G1030="","",IF(OR($D1030="",$E1030="",$F1030=""),"CONTEXTE INCOMPLET",IF(COUNTIFS($D130:$D1029,$D1030,$E130:$E1029,$E1030,$F130:$F1029,$F1030,$G130:$G1029,$G1030)&gt;0,"DOUBLON","VALIDE")))</f>
        <v/>
      </c>
    </row>
    <row r="1031" ht="15" customHeight="1">
      <c r="A1031" s="12">
        <f>IF(OR($B1031="",$G1031=""),"",TEXT($B1031,"YYYYMMDD")&amp;"-"&amp;SUBSTITUTE($E1031," ","")&amp;"-"&amp;$F1031&amp;"-"&amp;$G1031)</f>
        <v/>
      </c>
      <c r="B1031" s="15" t="n"/>
      <c r="C1031" s="16" t="n"/>
      <c r="D1031" s="10" t="n"/>
      <c r="E1031" s="9" t="n"/>
      <c r="F1031" s="9" t="n"/>
      <c r="G1031" s="13" t="n"/>
      <c r="H1031" s="21" t="n"/>
      <c r="I1031" s="21" t="n"/>
      <c r="J1031" s="17">
        <f>IF($G1031="","",IFERROR(INDEX(NomsEmployes,MATCH($G1031,MatriculesEmployes,0)),"MATRICULE INCONNU"))</f>
        <v/>
      </c>
      <c r="K1031" s="33">
        <f>IF(OR($D1031="",$F1031=""),"",IFERROR(IF(INDEX(RUNS!$L$6:$S$1005,MATCH($D1031,RUNS!$A$6:$A$1005,0),MATCH("ACTIVITÉ "&amp;$F1031,RUNS!$L$5:$S$5,0))="","",INDEX(RUNS!$L$6:$S$1005,MATCH($D1031,RUNS!$A$6:$A$1005,0),MATCH("ACTIVITÉ "&amp;$F1031,RUNS!$L$5:$S$5,0))),""))</f>
        <v/>
      </c>
      <c r="L1031" s="33">
        <f>IF($D1031="","",IFERROR(IF(INDEX(RUNS!$E$6:$E$1005,MATCH($D1031,RUNS!$A$6:$A$1005,0))="","",INDEX(RUNS!$E$6:$E$1005,MATCH($D1031,RUNS!$A$6:$A$1005,0))),""))</f>
        <v/>
      </c>
      <c r="M1031" s="33">
        <f>IF($D1031="","",IFERROR(IF(INDEX(RUNS!$F$6:$F$1005,MATCH($D1031,RUNS!$A$6:$A$1005,0))="","",INDEX(RUNS!$F$6:$F$1005,MATCH($D1031,RUNS!$A$6:$A$1005,0))),""))</f>
        <v/>
      </c>
      <c r="N1031" s="33">
        <f>IF($D1031="","",IFERROR(IF(INDEX(RUNS!$G$6:$G$1005,MATCH($D1031,RUNS!$A$6:$A$1005,0))="","",INDEX(RUNS!$G$6:$G$1005,MATCH($D1031,RUNS!$A$6:$A$1005,0))),""))</f>
        <v/>
      </c>
      <c r="O1031" s="33">
        <f>IF($D1031="","",IFERROR(IF(INDEX(RUNS!$H$6:$H$1005,MATCH($D1031,RUNS!$A$6:$A$1005,0))="","",INDEX(RUNS!$H$6:$H$1005,MATCH($D1031,RUNS!$A$6:$A$1005,0))),""))</f>
        <v/>
      </c>
      <c r="P1031" s="33">
        <f>IF($D1031="","",IFERROR(IF(INDEX(RUNS!$J$6:$J$1005,MATCH($D1031,RUNS!$A$6:$A$1005,0))="","",INDEX(RUNS!$J$6:$J$1005,MATCH($D1031,RUNS!$A$6:$A$1005,0))),""))</f>
        <v/>
      </c>
      <c r="Q1031" s="33">
        <f>IF($D1031="","",IFERROR(IF(INDEX(RUNS!$K$6:$K$1005,MATCH($D1031,RUNS!$A$6:$A$1005,0))="","",INDEX(RUNS!$K$6:$K$1005,MATCH($D1031,RUNS!$A$6:$A$1005,0))),""))</f>
        <v/>
      </c>
      <c r="R1031" s="34">
        <f>IF(OR($L1031="",$K1031=""),"",IFERROR(IF(INDEX(PARAMETRES!$H$43:$H$342,MATCH($L1031&amp;"|"&amp;$M1031&amp;"|"&amp;$N1031&amp;"|"&amp;$O1031&amp;"|"&amp;$P1031&amp;"|"&amp;$Q1031&amp;"|"&amp;$K1031,PARAMETRES!$J$43:$J$342,0))="","",INDEX(PARAMETRES!$H$43:$H$342,MATCH($L1031&amp;"|"&amp;$M1031&amp;"|"&amp;$N1031&amp;"|"&amp;$O1031&amp;"|"&amp;$P1031&amp;"|"&amp;$Q1031&amp;"|"&amp;$K1031,PARAMETRES!$J$43:$J$342,0))),""))</f>
        <v/>
      </c>
      <c r="S1031" s="35">
        <f>IF(OR($G1031="",$X1031&lt;&gt;"VALIDE"),"",IFERROR(LOOKUP(2,1/(($B131:$B1030=$B1031)*($G131:$G1030=$G1031)*($X131:$X1030="VALIDE")),$C131:$C1030),""))</f>
        <v/>
      </c>
      <c r="T1031" s="36">
        <f>IF(OR($C1031="",$S1031=""),"",ROUND(($C1031-$S1031+IF($C1031&lt;$S1031,1,0))*1440,0))</f>
        <v/>
      </c>
      <c r="U1031" s="22">
        <f>IF(OR($H1031="",$T1031="",$T1031&lt;=0),"",$H1031*60/$T1031)</f>
        <v/>
      </c>
      <c r="V1031" s="37">
        <f>IF(OR($U1031="",$R1031="",$R1031=0),"",$U1031/$R1031)</f>
        <v/>
      </c>
      <c r="W1031" s="20">
        <f>IF($G1031="","",IF($X1031="CONTEXTE INCOMPLET","CONTEXTE INCOMPLET",IF($X1031="DOUBLON",StatutDoublon,IF($S1031="",StatutInitial,IF($R1031="",StatutStandardManquant,IF($V1031="","DONNEES INSUFFISANTES",IF($V1031&gt;=SeuilConforme,StatutConforme,IF($V1031&gt;=SeuilSurveiller,StatutSurveiller,StatutSousStandard))))))))</f>
        <v/>
      </c>
      <c r="X1031" s="33">
        <f>IF($G1031="","",IF(OR($D1031="",$E1031="",$F1031=""),"CONTEXTE INCOMPLET",IF(COUNTIFS($D131:$D1030,$D1031,$E131:$E1030,$E1031,$F131:$F1030,$F1031,$G131:$G1030,$G1031)&gt;0,"DOUBLON","VALIDE")))</f>
        <v/>
      </c>
    </row>
    <row r="1032" ht="15" customHeight="1">
      <c r="A1032" s="12">
        <f>IF(OR($B1032="",$G1032=""),"",TEXT($B1032,"YYYYMMDD")&amp;"-"&amp;SUBSTITUTE($E1032," ","")&amp;"-"&amp;$F1032&amp;"-"&amp;$G1032)</f>
        <v/>
      </c>
      <c r="B1032" s="15" t="n"/>
      <c r="C1032" s="16" t="n"/>
      <c r="D1032" s="10" t="n"/>
      <c r="E1032" s="9" t="n"/>
      <c r="F1032" s="9" t="n"/>
      <c r="G1032" s="13" t="n"/>
      <c r="H1032" s="21" t="n"/>
      <c r="I1032" s="21" t="n"/>
      <c r="J1032" s="17">
        <f>IF($G1032="","",IFERROR(INDEX(NomsEmployes,MATCH($G1032,MatriculesEmployes,0)),"MATRICULE INCONNU"))</f>
        <v/>
      </c>
      <c r="K1032" s="33">
        <f>IF(OR($D1032="",$F1032=""),"",IFERROR(IF(INDEX(RUNS!$L$6:$S$1005,MATCH($D1032,RUNS!$A$6:$A$1005,0),MATCH("ACTIVITÉ "&amp;$F1032,RUNS!$L$5:$S$5,0))="","",INDEX(RUNS!$L$6:$S$1005,MATCH($D1032,RUNS!$A$6:$A$1005,0),MATCH("ACTIVITÉ "&amp;$F1032,RUNS!$L$5:$S$5,0))),""))</f>
        <v/>
      </c>
      <c r="L1032" s="33">
        <f>IF($D1032="","",IFERROR(IF(INDEX(RUNS!$E$6:$E$1005,MATCH($D1032,RUNS!$A$6:$A$1005,0))="","",INDEX(RUNS!$E$6:$E$1005,MATCH($D1032,RUNS!$A$6:$A$1005,0))),""))</f>
        <v/>
      </c>
      <c r="M1032" s="33">
        <f>IF($D1032="","",IFERROR(IF(INDEX(RUNS!$F$6:$F$1005,MATCH($D1032,RUNS!$A$6:$A$1005,0))="","",INDEX(RUNS!$F$6:$F$1005,MATCH($D1032,RUNS!$A$6:$A$1005,0))),""))</f>
        <v/>
      </c>
      <c r="N1032" s="33">
        <f>IF($D1032="","",IFERROR(IF(INDEX(RUNS!$G$6:$G$1005,MATCH($D1032,RUNS!$A$6:$A$1005,0))="","",INDEX(RUNS!$G$6:$G$1005,MATCH($D1032,RUNS!$A$6:$A$1005,0))),""))</f>
        <v/>
      </c>
      <c r="O1032" s="33">
        <f>IF($D1032="","",IFERROR(IF(INDEX(RUNS!$H$6:$H$1005,MATCH($D1032,RUNS!$A$6:$A$1005,0))="","",INDEX(RUNS!$H$6:$H$1005,MATCH($D1032,RUNS!$A$6:$A$1005,0))),""))</f>
        <v/>
      </c>
      <c r="P1032" s="33">
        <f>IF($D1032="","",IFERROR(IF(INDEX(RUNS!$J$6:$J$1005,MATCH($D1032,RUNS!$A$6:$A$1005,0))="","",INDEX(RUNS!$J$6:$J$1005,MATCH($D1032,RUNS!$A$6:$A$1005,0))),""))</f>
        <v/>
      </c>
      <c r="Q1032" s="33">
        <f>IF($D1032="","",IFERROR(IF(INDEX(RUNS!$K$6:$K$1005,MATCH($D1032,RUNS!$A$6:$A$1005,0))="","",INDEX(RUNS!$K$6:$K$1005,MATCH($D1032,RUNS!$A$6:$A$1005,0))),""))</f>
        <v/>
      </c>
      <c r="R1032" s="34">
        <f>IF(OR($L1032="",$K1032=""),"",IFERROR(IF(INDEX(PARAMETRES!$H$43:$H$342,MATCH($L1032&amp;"|"&amp;$M1032&amp;"|"&amp;$N1032&amp;"|"&amp;$O1032&amp;"|"&amp;$P1032&amp;"|"&amp;$Q1032&amp;"|"&amp;$K1032,PARAMETRES!$J$43:$J$342,0))="","",INDEX(PARAMETRES!$H$43:$H$342,MATCH($L1032&amp;"|"&amp;$M1032&amp;"|"&amp;$N1032&amp;"|"&amp;$O1032&amp;"|"&amp;$P1032&amp;"|"&amp;$Q1032&amp;"|"&amp;$K1032,PARAMETRES!$J$43:$J$342,0))),""))</f>
        <v/>
      </c>
      <c r="S1032" s="35">
        <f>IF(OR($G1032="",$X1032&lt;&gt;"VALIDE"),"",IFERROR(LOOKUP(2,1/(($B132:$B1031=$B1032)*($G132:$G1031=$G1032)*($X132:$X1031="VALIDE")),$C132:$C1031),""))</f>
        <v/>
      </c>
      <c r="T1032" s="36">
        <f>IF(OR($C1032="",$S1032=""),"",ROUND(($C1032-$S1032+IF($C1032&lt;$S1032,1,0))*1440,0))</f>
        <v/>
      </c>
      <c r="U1032" s="22">
        <f>IF(OR($H1032="",$T1032="",$T1032&lt;=0),"",$H1032*60/$T1032)</f>
        <v/>
      </c>
      <c r="V1032" s="37">
        <f>IF(OR($U1032="",$R1032="",$R1032=0),"",$U1032/$R1032)</f>
        <v/>
      </c>
      <c r="W1032" s="20">
        <f>IF($G1032="","",IF($X1032="CONTEXTE INCOMPLET","CONTEXTE INCOMPLET",IF($X1032="DOUBLON",StatutDoublon,IF($S1032="",StatutInitial,IF($R1032="",StatutStandardManquant,IF($V1032="","DONNEES INSUFFISANTES",IF($V1032&gt;=SeuilConforme,StatutConforme,IF($V1032&gt;=SeuilSurveiller,StatutSurveiller,StatutSousStandard))))))))</f>
        <v/>
      </c>
      <c r="X1032" s="33">
        <f>IF($G1032="","",IF(OR($D1032="",$E1032="",$F1032=""),"CONTEXTE INCOMPLET",IF(COUNTIFS($D132:$D1031,$D1032,$E132:$E1031,$E1032,$F132:$F1031,$F1032,$G132:$G1031,$G1032)&gt;0,"DOUBLON","VALIDE")))</f>
        <v/>
      </c>
    </row>
    <row r="1033" ht="15" customHeight="1">
      <c r="A1033" s="12">
        <f>IF(OR($B1033="",$G1033=""),"",TEXT($B1033,"YYYYMMDD")&amp;"-"&amp;SUBSTITUTE($E1033," ","")&amp;"-"&amp;$F1033&amp;"-"&amp;$G1033)</f>
        <v/>
      </c>
      <c r="B1033" s="15" t="n"/>
      <c r="C1033" s="16" t="n"/>
      <c r="D1033" s="10" t="n"/>
      <c r="E1033" s="9" t="n"/>
      <c r="F1033" s="9" t="n"/>
      <c r="G1033" s="13" t="n"/>
      <c r="H1033" s="21" t="n"/>
      <c r="I1033" s="21" t="n"/>
      <c r="J1033" s="17">
        <f>IF($G1033="","",IFERROR(INDEX(NomsEmployes,MATCH($G1033,MatriculesEmployes,0)),"MATRICULE INCONNU"))</f>
        <v/>
      </c>
      <c r="K1033" s="33">
        <f>IF(OR($D1033="",$F1033=""),"",IFERROR(IF(INDEX(RUNS!$L$6:$S$1005,MATCH($D1033,RUNS!$A$6:$A$1005,0),MATCH("ACTIVITÉ "&amp;$F1033,RUNS!$L$5:$S$5,0))="","",INDEX(RUNS!$L$6:$S$1005,MATCH($D1033,RUNS!$A$6:$A$1005,0),MATCH("ACTIVITÉ "&amp;$F1033,RUNS!$L$5:$S$5,0))),""))</f>
        <v/>
      </c>
      <c r="L1033" s="33">
        <f>IF($D1033="","",IFERROR(IF(INDEX(RUNS!$E$6:$E$1005,MATCH($D1033,RUNS!$A$6:$A$1005,0))="","",INDEX(RUNS!$E$6:$E$1005,MATCH($D1033,RUNS!$A$6:$A$1005,0))),""))</f>
        <v/>
      </c>
      <c r="M1033" s="33">
        <f>IF($D1033="","",IFERROR(IF(INDEX(RUNS!$F$6:$F$1005,MATCH($D1033,RUNS!$A$6:$A$1005,0))="","",INDEX(RUNS!$F$6:$F$1005,MATCH($D1033,RUNS!$A$6:$A$1005,0))),""))</f>
        <v/>
      </c>
      <c r="N1033" s="33">
        <f>IF($D1033="","",IFERROR(IF(INDEX(RUNS!$G$6:$G$1005,MATCH($D1033,RUNS!$A$6:$A$1005,0))="","",INDEX(RUNS!$G$6:$G$1005,MATCH($D1033,RUNS!$A$6:$A$1005,0))),""))</f>
        <v/>
      </c>
      <c r="O1033" s="33">
        <f>IF($D1033="","",IFERROR(IF(INDEX(RUNS!$H$6:$H$1005,MATCH($D1033,RUNS!$A$6:$A$1005,0))="","",INDEX(RUNS!$H$6:$H$1005,MATCH($D1033,RUNS!$A$6:$A$1005,0))),""))</f>
        <v/>
      </c>
      <c r="P1033" s="33">
        <f>IF($D1033="","",IFERROR(IF(INDEX(RUNS!$J$6:$J$1005,MATCH($D1033,RUNS!$A$6:$A$1005,0))="","",INDEX(RUNS!$J$6:$J$1005,MATCH($D1033,RUNS!$A$6:$A$1005,0))),""))</f>
        <v/>
      </c>
      <c r="Q1033" s="33">
        <f>IF($D1033="","",IFERROR(IF(INDEX(RUNS!$K$6:$K$1005,MATCH($D1033,RUNS!$A$6:$A$1005,0))="","",INDEX(RUNS!$K$6:$K$1005,MATCH($D1033,RUNS!$A$6:$A$1005,0))),""))</f>
        <v/>
      </c>
      <c r="R1033" s="34">
        <f>IF(OR($L1033="",$K1033=""),"",IFERROR(IF(INDEX(PARAMETRES!$H$43:$H$342,MATCH($L1033&amp;"|"&amp;$M1033&amp;"|"&amp;$N1033&amp;"|"&amp;$O1033&amp;"|"&amp;$P1033&amp;"|"&amp;$Q1033&amp;"|"&amp;$K1033,PARAMETRES!$J$43:$J$342,0))="","",INDEX(PARAMETRES!$H$43:$H$342,MATCH($L1033&amp;"|"&amp;$M1033&amp;"|"&amp;$N1033&amp;"|"&amp;$O1033&amp;"|"&amp;$P1033&amp;"|"&amp;$Q1033&amp;"|"&amp;$K1033,PARAMETRES!$J$43:$J$342,0))),""))</f>
        <v/>
      </c>
      <c r="S1033" s="35">
        <f>IF(OR($G1033="",$X1033&lt;&gt;"VALIDE"),"",IFERROR(LOOKUP(2,1/(($B133:$B1032=$B1033)*($G133:$G1032=$G1033)*($X133:$X1032="VALIDE")),$C133:$C1032),""))</f>
        <v/>
      </c>
      <c r="T1033" s="36">
        <f>IF(OR($C1033="",$S1033=""),"",ROUND(($C1033-$S1033+IF($C1033&lt;$S1033,1,0))*1440,0))</f>
        <v/>
      </c>
      <c r="U1033" s="22">
        <f>IF(OR($H1033="",$T1033="",$T1033&lt;=0),"",$H1033*60/$T1033)</f>
        <v/>
      </c>
      <c r="V1033" s="37">
        <f>IF(OR($U1033="",$R1033="",$R1033=0),"",$U1033/$R1033)</f>
        <v/>
      </c>
      <c r="W1033" s="20">
        <f>IF($G1033="","",IF($X1033="CONTEXTE INCOMPLET","CONTEXTE INCOMPLET",IF($X1033="DOUBLON",StatutDoublon,IF($S1033="",StatutInitial,IF($R1033="",StatutStandardManquant,IF($V1033="","DONNEES INSUFFISANTES",IF($V1033&gt;=SeuilConforme,StatutConforme,IF($V1033&gt;=SeuilSurveiller,StatutSurveiller,StatutSousStandard))))))))</f>
        <v/>
      </c>
      <c r="X1033" s="33">
        <f>IF($G1033="","",IF(OR($D1033="",$E1033="",$F1033=""),"CONTEXTE INCOMPLET",IF(COUNTIFS($D133:$D1032,$D1033,$E133:$E1032,$E1033,$F133:$F1032,$F1033,$G133:$G1032,$G1033)&gt;0,"DOUBLON","VALIDE")))</f>
        <v/>
      </c>
    </row>
    <row r="1034" ht="15" customHeight="1">
      <c r="A1034" s="12">
        <f>IF(OR($B1034="",$G1034=""),"",TEXT($B1034,"YYYYMMDD")&amp;"-"&amp;SUBSTITUTE($E1034," ","")&amp;"-"&amp;$F1034&amp;"-"&amp;$G1034)</f>
        <v/>
      </c>
      <c r="B1034" s="15" t="n"/>
      <c r="C1034" s="16" t="n"/>
      <c r="D1034" s="10" t="n"/>
      <c r="E1034" s="9" t="n"/>
      <c r="F1034" s="9" t="n"/>
      <c r="G1034" s="13" t="n"/>
      <c r="H1034" s="21" t="n"/>
      <c r="I1034" s="21" t="n"/>
      <c r="J1034" s="17">
        <f>IF($G1034="","",IFERROR(INDEX(NomsEmployes,MATCH($G1034,MatriculesEmployes,0)),"MATRICULE INCONNU"))</f>
        <v/>
      </c>
      <c r="K1034" s="33">
        <f>IF(OR($D1034="",$F1034=""),"",IFERROR(IF(INDEX(RUNS!$L$6:$S$1005,MATCH($D1034,RUNS!$A$6:$A$1005,0),MATCH("ACTIVITÉ "&amp;$F1034,RUNS!$L$5:$S$5,0))="","",INDEX(RUNS!$L$6:$S$1005,MATCH($D1034,RUNS!$A$6:$A$1005,0),MATCH("ACTIVITÉ "&amp;$F1034,RUNS!$L$5:$S$5,0))),""))</f>
        <v/>
      </c>
      <c r="L1034" s="33">
        <f>IF($D1034="","",IFERROR(IF(INDEX(RUNS!$E$6:$E$1005,MATCH($D1034,RUNS!$A$6:$A$1005,0))="","",INDEX(RUNS!$E$6:$E$1005,MATCH($D1034,RUNS!$A$6:$A$1005,0))),""))</f>
        <v/>
      </c>
      <c r="M1034" s="33">
        <f>IF($D1034="","",IFERROR(IF(INDEX(RUNS!$F$6:$F$1005,MATCH($D1034,RUNS!$A$6:$A$1005,0))="","",INDEX(RUNS!$F$6:$F$1005,MATCH($D1034,RUNS!$A$6:$A$1005,0))),""))</f>
        <v/>
      </c>
      <c r="N1034" s="33">
        <f>IF($D1034="","",IFERROR(IF(INDEX(RUNS!$G$6:$G$1005,MATCH($D1034,RUNS!$A$6:$A$1005,0))="","",INDEX(RUNS!$G$6:$G$1005,MATCH($D1034,RUNS!$A$6:$A$1005,0))),""))</f>
        <v/>
      </c>
      <c r="O1034" s="33">
        <f>IF($D1034="","",IFERROR(IF(INDEX(RUNS!$H$6:$H$1005,MATCH($D1034,RUNS!$A$6:$A$1005,0))="","",INDEX(RUNS!$H$6:$H$1005,MATCH($D1034,RUNS!$A$6:$A$1005,0))),""))</f>
        <v/>
      </c>
      <c r="P1034" s="33">
        <f>IF($D1034="","",IFERROR(IF(INDEX(RUNS!$J$6:$J$1005,MATCH($D1034,RUNS!$A$6:$A$1005,0))="","",INDEX(RUNS!$J$6:$J$1005,MATCH($D1034,RUNS!$A$6:$A$1005,0))),""))</f>
        <v/>
      </c>
      <c r="Q1034" s="33">
        <f>IF($D1034="","",IFERROR(IF(INDEX(RUNS!$K$6:$K$1005,MATCH($D1034,RUNS!$A$6:$A$1005,0))="","",INDEX(RUNS!$K$6:$K$1005,MATCH($D1034,RUNS!$A$6:$A$1005,0))),""))</f>
        <v/>
      </c>
      <c r="R1034" s="34">
        <f>IF(OR($L1034="",$K1034=""),"",IFERROR(IF(INDEX(PARAMETRES!$H$43:$H$342,MATCH($L1034&amp;"|"&amp;$M1034&amp;"|"&amp;$N1034&amp;"|"&amp;$O1034&amp;"|"&amp;$P1034&amp;"|"&amp;$Q1034&amp;"|"&amp;$K1034,PARAMETRES!$J$43:$J$342,0))="","",INDEX(PARAMETRES!$H$43:$H$342,MATCH($L1034&amp;"|"&amp;$M1034&amp;"|"&amp;$N1034&amp;"|"&amp;$O1034&amp;"|"&amp;$P1034&amp;"|"&amp;$Q1034&amp;"|"&amp;$K1034,PARAMETRES!$J$43:$J$342,0))),""))</f>
        <v/>
      </c>
      <c r="S1034" s="35">
        <f>IF(OR($G1034="",$X1034&lt;&gt;"VALIDE"),"",IFERROR(LOOKUP(2,1/(($B134:$B1033=$B1034)*($G134:$G1033=$G1034)*($X134:$X1033="VALIDE")),$C134:$C1033),""))</f>
        <v/>
      </c>
      <c r="T1034" s="36">
        <f>IF(OR($C1034="",$S1034=""),"",ROUND(($C1034-$S1034+IF($C1034&lt;$S1034,1,0))*1440,0))</f>
        <v/>
      </c>
      <c r="U1034" s="22">
        <f>IF(OR($H1034="",$T1034="",$T1034&lt;=0),"",$H1034*60/$T1034)</f>
        <v/>
      </c>
      <c r="V1034" s="37">
        <f>IF(OR($U1034="",$R1034="",$R1034=0),"",$U1034/$R1034)</f>
        <v/>
      </c>
      <c r="W1034" s="20">
        <f>IF($G1034="","",IF($X1034="CONTEXTE INCOMPLET","CONTEXTE INCOMPLET",IF($X1034="DOUBLON",StatutDoublon,IF($S1034="",StatutInitial,IF($R1034="",StatutStandardManquant,IF($V1034="","DONNEES INSUFFISANTES",IF($V1034&gt;=SeuilConforme,StatutConforme,IF($V1034&gt;=SeuilSurveiller,StatutSurveiller,StatutSousStandard))))))))</f>
        <v/>
      </c>
      <c r="X1034" s="33">
        <f>IF($G1034="","",IF(OR($D1034="",$E1034="",$F1034=""),"CONTEXTE INCOMPLET",IF(COUNTIFS($D134:$D1033,$D1034,$E134:$E1033,$E1034,$F134:$F1033,$F1034,$G134:$G1033,$G1034)&gt;0,"DOUBLON","VALIDE")))</f>
        <v/>
      </c>
    </row>
    <row r="1035" ht="15" customHeight="1">
      <c r="A1035" s="12">
        <f>IF(OR($B1035="",$G1035=""),"",TEXT($B1035,"YYYYMMDD")&amp;"-"&amp;SUBSTITUTE($E1035," ","")&amp;"-"&amp;$F1035&amp;"-"&amp;$G1035)</f>
        <v/>
      </c>
      <c r="B1035" s="15" t="n"/>
      <c r="C1035" s="16" t="n"/>
      <c r="D1035" s="10" t="n"/>
      <c r="E1035" s="9" t="n"/>
      <c r="F1035" s="9" t="n"/>
      <c r="G1035" s="13" t="n"/>
      <c r="H1035" s="21" t="n"/>
      <c r="I1035" s="21" t="n"/>
      <c r="J1035" s="17">
        <f>IF($G1035="","",IFERROR(INDEX(NomsEmployes,MATCH($G1035,MatriculesEmployes,0)),"MATRICULE INCONNU"))</f>
        <v/>
      </c>
      <c r="K1035" s="33">
        <f>IF(OR($D1035="",$F1035=""),"",IFERROR(IF(INDEX(RUNS!$L$6:$S$1005,MATCH($D1035,RUNS!$A$6:$A$1005,0),MATCH("ACTIVITÉ "&amp;$F1035,RUNS!$L$5:$S$5,0))="","",INDEX(RUNS!$L$6:$S$1005,MATCH($D1035,RUNS!$A$6:$A$1005,0),MATCH("ACTIVITÉ "&amp;$F1035,RUNS!$L$5:$S$5,0))),""))</f>
        <v/>
      </c>
      <c r="L1035" s="33">
        <f>IF($D1035="","",IFERROR(IF(INDEX(RUNS!$E$6:$E$1005,MATCH($D1035,RUNS!$A$6:$A$1005,0))="","",INDEX(RUNS!$E$6:$E$1005,MATCH($D1035,RUNS!$A$6:$A$1005,0))),""))</f>
        <v/>
      </c>
      <c r="M1035" s="33">
        <f>IF($D1035="","",IFERROR(IF(INDEX(RUNS!$F$6:$F$1005,MATCH($D1035,RUNS!$A$6:$A$1005,0))="","",INDEX(RUNS!$F$6:$F$1005,MATCH($D1035,RUNS!$A$6:$A$1005,0))),""))</f>
        <v/>
      </c>
      <c r="N1035" s="33">
        <f>IF($D1035="","",IFERROR(IF(INDEX(RUNS!$G$6:$G$1005,MATCH($D1035,RUNS!$A$6:$A$1005,0))="","",INDEX(RUNS!$G$6:$G$1005,MATCH($D1035,RUNS!$A$6:$A$1005,0))),""))</f>
        <v/>
      </c>
      <c r="O1035" s="33">
        <f>IF($D1035="","",IFERROR(IF(INDEX(RUNS!$H$6:$H$1005,MATCH($D1035,RUNS!$A$6:$A$1005,0))="","",INDEX(RUNS!$H$6:$H$1005,MATCH($D1035,RUNS!$A$6:$A$1005,0))),""))</f>
        <v/>
      </c>
      <c r="P1035" s="33">
        <f>IF($D1035="","",IFERROR(IF(INDEX(RUNS!$J$6:$J$1005,MATCH($D1035,RUNS!$A$6:$A$1005,0))="","",INDEX(RUNS!$J$6:$J$1005,MATCH($D1035,RUNS!$A$6:$A$1005,0))),""))</f>
        <v/>
      </c>
      <c r="Q1035" s="33">
        <f>IF($D1035="","",IFERROR(IF(INDEX(RUNS!$K$6:$K$1005,MATCH($D1035,RUNS!$A$6:$A$1005,0))="","",INDEX(RUNS!$K$6:$K$1005,MATCH($D1035,RUNS!$A$6:$A$1005,0))),""))</f>
        <v/>
      </c>
      <c r="R1035" s="34">
        <f>IF(OR($L1035="",$K1035=""),"",IFERROR(IF(INDEX(PARAMETRES!$H$43:$H$342,MATCH($L1035&amp;"|"&amp;$M1035&amp;"|"&amp;$N1035&amp;"|"&amp;$O1035&amp;"|"&amp;$P1035&amp;"|"&amp;$Q1035&amp;"|"&amp;$K1035,PARAMETRES!$J$43:$J$342,0))="","",INDEX(PARAMETRES!$H$43:$H$342,MATCH($L1035&amp;"|"&amp;$M1035&amp;"|"&amp;$N1035&amp;"|"&amp;$O1035&amp;"|"&amp;$P1035&amp;"|"&amp;$Q1035&amp;"|"&amp;$K1035,PARAMETRES!$J$43:$J$342,0))),""))</f>
        <v/>
      </c>
      <c r="S1035" s="35">
        <f>IF(OR($G1035="",$X1035&lt;&gt;"VALIDE"),"",IFERROR(LOOKUP(2,1/(($B135:$B1034=$B1035)*($G135:$G1034=$G1035)*($X135:$X1034="VALIDE")),$C135:$C1034),""))</f>
        <v/>
      </c>
      <c r="T1035" s="36">
        <f>IF(OR($C1035="",$S1035=""),"",ROUND(($C1035-$S1035+IF($C1035&lt;$S1035,1,0))*1440,0))</f>
        <v/>
      </c>
      <c r="U1035" s="22">
        <f>IF(OR($H1035="",$T1035="",$T1035&lt;=0),"",$H1035*60/$T1035)</f>
        <v/>
      </c>
      <c r="V1035" s="37">
        <f>IF(OR($U1035="",$R1035="",$R1035=0),"",$U1035/$R1035)</f>
        <v/>
      </c>
      <c r="W1035" s="20">
        <f>IF($G1035="","",IF($X1035="CONTEXTE INCOMPLET","CONTEXTE INCOMPLET",IF($X1035="DOUBLON",StatutDoublon,IF($S1035="",StatutInitial,IF($R1035="",StatutStandardManquant,IF($V1035="","DONNEES INSUFFISANTES",IF($V1035&gt;=SeuilConforme,StatutConforme,IF($V1035&gt;=SeuilSurveiller,StatutSurveiller,StatutSousStandard))))))))</f>
        <v/>
      </c>
      <c r="X1035" s="33">
        <f>IF($G1035="","",IF(OR($D1035="",$E1035="",$F1035=""),"CONTEXTE INCOMPLET",IF(COUNTIFS($D135:$D1034,$D1035,$E135:$E1034,$E1035,$F135:$F1034,$F1035,$G135:$G1034,$G1035)&gt;0,"DOUBLON","VALIDE")))</f>
        <v/>
      </c>
    </row>
    <row r="1036" ht="15" customHeight="1">
      <c r="A1036" s="12">
        <f>IF(OR($B1036="",$G1036=""),"",TEXT($B1036,"YYYYMMDD")&amp;"-"&amp;SUBSTITUTE($E1036," ","")&amp;"-"&amp;$F1036&amp;"-"&amp;$G1036)</f>
        <v/>
      </c>
      <c r="B1036" s="15" t="n"/>
      <c r="C1036" s="16" t="n"/>
      <c r="D1036" s="10" t="n"/>
      <c r="E1036" s="9" t="n"/>
      <c r="F1036" s="9" t="n"/>
      <c r="G1036" s="13" t="n"/>
      <c r="H1036" s="21" t="n"/>
      <c r="I1036" s="21" t="n"/>
      <c r="J1036" s="17">
        <f>IF($G1036="","",IFERROR(INDEX(NomsEmployes,MATCH($G1036,MatriculesEmployes,0)),"MATRICULE INCONNU"))</f>
        <v/>
      </c>
      <c r="K1036" s="33">
        <f>IF(OR($D1036="",$F1036=""),"",IFERROR(IF(INDEX(RUNS!$L$6:$S$1005,MATCH($D1036,RUNS!$A$6:$A$1005,0),MATCH("ACTIVITÉ "&amp;$F1036,RUNS!$L$5:$S$5,0))="","",INDEX(RUNS!$L$6:$S$1005,MATCH($D1036,RUNS!$A$6:$A$1005,0),MATCH("ACTIVITÉ "&amp;$F1036,RUNS!$L$5:$S$5,0))),""))</f>
        <v/>
      </c>
      <c r="L1036" s="33">
        <f>IF($D1036="","",IFERROR(IF(INDEX(RUNS!$E$6:$E$1005,MATCH($D1036,RUNS!$A$6:$A$1005,0))="","",INDEX(RUNS!$E$6:$E$1005,MATCH($D1036,RUNS!$A$6:$A$1005,0))),""))</f>
        <v/>
      </c>
      <c r="M1036" s="33">
        <f>IF($D1036="","",IFERROR(IF(INDEX(RUNS!$F$6:$F$1005,MATCH($D1036,RUNS!$A$6:$A$1005,0))="","",INDEX(RUNS!$F$6:$F$1005,MATCH($D1036,RUNS!$A$6:$A$1005,0))),""))</f>
        <v/>
      </c>
      <c r="N1036" s="33">
        <f>IF($D1036="","",IFERROR(IF(INDEX(RUNS!$G$6:$G$1005,MATCH($D1036,RUNS!$A$6:$A$1005,0))="","",INDEX(RUNS!$G$6:$G$1005,MATCH($D1036,RUNS!$A$6:$A$1005,0))),""))</f>
        <v/>
      </c>
      <c r="O1036" s="33">
        <f>IF($D1036="","",IFERROR(IF(INDEX(RUNS!$H$6:$H$1005,MATCH($D1036,RUNS!$A$6:$A$1005,0))="","",INDEX(RUNS!$H$6:$H$1005,MATCH($D1036,RUNS!$A$6:$A$1005,0))),""))</f>
        <v/>
      </c>
      <c r="P1036" s="33">
        <f>IF($D1036="","",IFERROR(IF(INDEX(RUNS!$J$6:$J$1005,MATCH($D1036,RUNS!$A$6:$A$1005,0))="","",INDEX(RUNS!$J$6:$J$1005,MATCH($D1036,RUNS!$A$6:$A$1005,0))),""))</f>
        <v/>
      </c>
      <c r="Q1036" s="33">
        <f>IF($D1036="","",IFERROR(IF(INDEX(RUNS!$K$6:$K$1005,MATCH($D1036,RUNS!$A$6:$A$1005,0))="","",INDEX(RUNS!$K$6:$K$1005,MATCH($D1036,RUNS!$A$6:$A$1005,0))),""))</f>
        <v/>
      </c>
      <c r="R1036" s="34">
        <f>IF(OR($L1036="",$K1036=""),"",IFERROR(IF(INDEX(PARAMETRES!$H$43:$H$342,MATCH($L1036&amp;"|"&amp;$M1036&amp;"|"&amp;$N1036&amp;"|"&amp;$O1036&amp;"|"&amp;$P1036&amp;"|"&amp;$Q1036&amp;"|"&amp;$K1036,PARAMETRES!$J$43:$J$342,0))="","",INDEX(PARAMETRES!$H$43:$H$342,MATCH($L1036&amp;"|"&amp;$M1036&amp;"|"&amp;$N1036&amp;"|"&amp;$O1036&amp;"|"&amp;$P1036&amp;"|"&amp;$Q1036&amp;"|"&amp;$K1036,PARAMETRES!$J$43:$J$342,0))),""))</f>
        <v/>
      </c>
      <c r="S1036" s="35">
        <f>IF(OR($G1036="",$X1036&lt;&gt;"VALIDE"),"",IFERROR(LOOKUP(2,1/(($B136:$B1035=$B1036)*($G136:$G1035=$G1036)*($X136:$X1035="VALIDE")),$C136:$C1035),""))</f>
        <v/>
      </c>
      <c r="T1036" s="36">
        <f>IF(OR($C1036="",$S1036=""),"",ROUND(($C1036-$S1036+IF($C1036&lt;$S1036,1,0))*1440,0))</f>
        <v/>
      </c>
      <c r="U1036" s="22">
        <f>IF(OR($H1036="",$T1036="",$T1036&lt;=0),"",$H1036*60/$T1036)</f>
        <v/>
      </c>
      <c r="V1036" s="37">
        <f>IF(OR($U1036="",$R1036="",$R1036=0),"",$U1036/$R1036)</f>
        <v/>
      </c>
      <c r="W1036" s="20">
        <f>IF($G1036="","",IF($X1036="CONTEXTE INCOMPLET","CONTEXTE INCOMPLET",IF($X1036="DOUBLON",StatutDoublon,IF($S1036="",StatutInitial,IF($R1036="",StatutStandardManquant,IF($V1036="","DONNEES INSUFFISANTES",IF($V1036&gt;=SeuilConforme,StatutConforme,IF($V1036&gt;=SeuilSurveiller,StatutSurveiller,StatutSousStandard))))))))</f>
        <v/>
      </c>
      <c r="X1036" s="33">
        <f>IF($G1036="","",IF(OR($D1036="",$E1036="",$F1036=""),"CONTEXTE INCOMPLET",IF(COUNTIFS($D136:$D1035,$D1036,$E136:$E1035,$E1036,$F136:$F1035,$F1036,$G136:$G1035,$G1036)&gt;0,"DOUBLON","VALIDE")))</f>
        <v/>
      </c>
    </row>
    <row r="1037" ht="15" customHeight="1">
      <c r="A1037" s="12">
        <f>IF(OR($B1037="",$G1037=""),"",TEXT($B1037,"YYYYMMDD")&amp;"-"&amp;SUBSTITUTE($E1037," ","")&amp;"-"&amp;$F1037&amp;"-"&amp;$G1037)</f>
        <v/>
      </c>
      <c r="B1037" s="15" t="n"/>
      <c r="C1037" s="16" t="n"/>
      <c r="D1037" s="10" t="n"/>
      <c r="E1037" s="9" t="n"/>
      <c r="F1037" s="9" t="n"/>
      <c r="G1037" s="13" t="n"/>
      <c r="H1037" s="21" t="n"/>
      <c r="I1037" s="21" t="n"/>
      <c r="J1037" s="17">
        <f>IF($G1037="","",IFERROR(INDEX(NomsEmployes,MATCH($G1037,MatriculesEmployes,0)),"MATRICULE INCONNU"))</f>
        <v/>
      </c>
      <c r="K1037" s="33">
        <f>IF(OR($D1037="",$F1037=""),"",IFERROR(IF(INDEX(RUNS!$L$6:$S$1005,MATCH($D1037,RUNS!$A$6:$A$1005,0),MATCH("ACTIVITÉ "&amp;$F1037,RUNS!$L$5:$S$5,0))="","",INDEX(RUNS!$L$6:$S$1005,MATCH($D1037,RUNS!$A$6:$A$1005,0),MATCH("ACTIVITÉ "&amp;$F1037,RUNS!$L$5:$S$5,0))),""))</f>
        <v/>
      </c>
      <c r="L1037" s="33">
        <f>IF($D1037="","",IFERROR(IF(INDEX(RUNS!$E$6:$E$1005,MATCH($D1037,RUNS!$A$6:$A$1005,0))="","",INDEX(RUNS!$E$6:$E$1005,MATCH($D1037,RUNS!$A$6:$A$1005,0))),""))</f>
        <v/>
      </c>
      <c r="M1037" s="33">
        <f>IF($D1037="","",IFERROR(IF(INDEX(RUNS!$F$6:$F$1005,MATCH($D1037,RUNS!$A$6:$A$1005,0))="","",INDEX(RUNS!$F$6:$F$1005,MATCH($D1037,RUNS!$A$6:$A$1005,0))),""))</f>
        <v/>
      </c>
      <c r="N1037" s="33">
        <f>IF($D1037="","",IFERROR(IF(INDEX(RUNS!$G$6:$G$1005,MATCH($D1037,RUNS!$A$6:$A$1005,0))="","",INDEX(RUNS!$G$6:$G$1005,MATCH($D1037,RUNS!$A$6:$A$1005,0))),""))</f>
        <v/>
      </c>
      <c r="O1037" s="33">
        <f>IF($D1037="","",IFERROR(IF(INDEX(RUNS!$H$6:$H$1005,MATCH($D1037,RUNS!$A$6:$A$1005,0))="","",INDEX(RUNS!$H$6:$H$1005,MATCH($D1037,RUNS!$A$6:$A$1005,0))),""))</f>
        <v/>
      </c>
      <c r="P1037" s="33">
        <f>IF($D1037="","",IFERROR(IF(INDEX(RUNS!$J$6:$J$1005,MATCH($D1037,RUNS!$A$6:$A$1005,0))="","",INDEX(RUNS!$J$6:$J$1005,MATCH($D1037,RUNS!$A$6:$A$1005,0))),""))</f>
        <v/>
      </c>
      <c r="Q1037" s="33">
        <f>IF($D1037="","",IFERROR(IF(INDEX(RUNS!$K$6:$K$1005,MATCH($D1037,RUNS!$A$6:$A$1005,0))="","",INDEX(RUNS!$K$6:$K$1005,MATCH($D1037,RUNS!$A$6:$A$1005,0))),""))</f>
        <v/>
      </c>
      <c r="R1037" s="34">
        <f>IF(OR($L1037="",$K1037=""),"",IFERROR(IF(INDEX(PARAMETRES!$H$43:$H$342,MATCH($L1037&amp;"|"&amp;$M1037&amp;"|"&amp;$N1037&amp;"|"&amp;$O1037&amp;"|"&amp;$P1037&amp;"|"&amp;$Q1037&amp;"|"&amp;$K1037,PARAMETRES!$J$43:$J$342,0))="","",INDEX(PARAMETRES!$H$43:$H$342,MATCH($L1037&amp;"|"&amp;$M1037&amp;"|"&amp;$N1037&amp;"|"&amp;$O1037&amp;"|"&amp;$P1037&amp;"|"&amp;$Q1037&amp;"|"&amp;$K1037,PARAMETRES!$J$43:$J$342,0))),""))</f>
        <v/>
      </c>
      <c r="S1037" s="35">
        <f>IF(OR($G1037="",$X1037&lt;&gt;"VALIDE"),"",IFERROR(LOOKUP(2,1/(($B137:$B1036=$B1037)*($G137:$G1036=$G1037)*($X137:$X1036="VALIDE")),$C137:$C1036),""))</f>
        <v/>
      </c>
      <c r="T1037" s="36">
        <f>IF(OR($C1037="",$S1037=""),"",ROUND(($C1037-$S1037+IF($C1037&lt;$S1037,1,0))*1440,0))</f>
        <v/>
      </c>
      <c r="U1037" s="22">
        <f>IF(OR($H1037="",$T1037="",$T1037&lt;=0),"",$H1037*60/$T1037)</f>
        <v/>
      </c>
      <c r="V1037" s="37">
        <f>IF(OR($U1037="",$R1037="",$R1037=0),"",$U1037/$R1037)</f>
        <v/>
      </c>
      <c r="W1037" s="20">
        <f>IF($G1037="","",IF($X1037="CONTEXTE INCOMPLET","CONTEXTE INCOMPLET",IF($X1037="DOUBLON",StatutDoublon,IF($S1037="",StatutInitial,IF($R1037="",StatutStandardManquant,IF($V1037="","DONNEES INSUFFISANTES",IF($V1037&gt;=SeuilConforme,StatutConforme,IF($V1037&gt;=SeuilSurveiller,StatutSurveiller,StatutSousStandard))))))))</f>
        <v/>
      </c>
      <c r="X1037" s="33">
        <f>IF($G1037="","",IF(OR($D1037="",$E1037="",$F1037=""),"CONTEXTE INCOMPLET",IF(COUNTIFS($D137:$D1036,$D1037,$E137:$E1036,$E1037,$F137:$F1036,$F1037,$G137:$G1036,$G1037)&gt;0,"DOUBLON","VALIDE")))</f>
        <v/>
      </c>
    </row>
    <row r="1038" ht="15" customHeight="1">
      <c r="A1038" s="12">
        <f>IF(OR($B1038="",$G1038=""),"",TEXT($B1038,"YYYYMMDD")&amp;"-"&amp;SUBSTITUTE($E1038," ","")&amp;"-"&amp;$F1038&amp;"-"&amp;$G1038)</f>
        <v/>
      </c>
      <c r="B1038" s="15" t="n"/>
      <c r="C1038" s="16" t="n"/>
      <c r="D1038" s="10" t="n"/>
      <c r="E1038" s="9" t="n"/>
      <c r="F1038" s="9" t="n"/>
      <c r="G1038" s="13" t="n"/>
      <c r="H1038" s="21" t="n"/>
      <c r="I1038" s="21" t="n"/>
      <c r="J1038" s="17">
        <f>IF($G1038="","",IFERROR(INDEX(NomsEmployes,MATCH($G1038,MatriculesEmployes,0)),"MATRICULE INCONNU"))</f>
        <v/>
      </c>
      <c r="K1038" s="33">
        <f>IF(OR($D1038="",$F1038=""),"",IFERROR(IF(INDEX(RUNS!$L$6:$S$1005,MATCH($D1038,RUNS!$A$6:$A$1005,0),MATCH("ACTIVITÉ "&amp;$F1038,RUNS!$L$5:$S$5,0))="","",INDEX(RUNS!$L$6:$S$1005,MATCH($D1038,RUNS!$A$6:$A$1005,0),MATCH("ACTIVITÉ "&amp;$F1038,RUNS!$L$5:$S$5,0))),""))</f>
        <v/>
      </c>
      <c r="L1038" s="33">
        <f>IF($D1038="","",IFERROR(IF(INDEX(RUNS!$E$6:$E$1005,MATCH($D1038,RUNS!$A$6:$A$1005,0))="","",INDEX(RUNS!$E$6:$E$1005,MATCH($D1038,RUNS!$A$6:$A$1005,0))),""))</f>
        <v/>
      </c>
      <c r="M1038" s="33">
        <f>IF($D1038="","",IFERROR(IF(INDEX(RUNS!$F$6:$F$1005,MATCH($D1038,RUNS!$A$6:$A$1005,0))="","",INDEX(RUNS!$F$6:$F$1005,MATCH($D1038,RUNS!$A$6:$A$1005,0))),""))</f>
        <v/>
      </c>
      <c r="N1038" s="33">
        <f>IF($D1038="","",IFERROR(IF(INDEX(RUNS!$G$6:$G$1005,MATCH($D1038,RUNS!$A$6:$A$1005,0))="","",INDEX(RUNS!$G$6:$G$1005,MATCH($D1038,RUNS!$A$6:$A$1005,0))),""))</f>
        <v/>
      </c>
      <c r="O1038" s="33">
        <f>IF($D1038="","",IFERROR(IF(INDEX(RUNS!$H$6:$H$1005,MATCH($D1038,RUNS!$A$6:$A$1005,0))="","",INDEX(RUNS!$H$6:$H$1005,MATCH($D1038,RUNS!$A$6:$A$1005,0))),""))</f>
        <v/>
      </c>
      <c r="P1038" s="33">
        <f>IF($D1038="","",IFERROR(IF(INDEX(RUNS!$J$6:$J$1005,MATCH($D1038,RUNS!$A$6:$A$1005,0))="","",INDEX(RUNS!$J$6:$J$1005,MATCH($D1038,RUNS!$A$6:$A$1005,0))),""))</f>
        <v/>
      </c>
      <c r="Q1038" s="33">
        <f>IF($D1038="","",IFERROR(IF(INDEX(RUNS!$K$6:$K$1005,MATCH($D1038,RUNS!$A$6:$A$1005,0))="","",INDEX(RUNS!$K$6:$K$1005,MATCH($D1038,RUNS!$A$6:$A$1005,0))),""))</f>
        <v/>
      </c>
      <c r="R1038" s="34">
        <f>IF(OR($L1038="",$K1038=""),"",IFERROR(IF(INDEX(PARAMETRES!$H$43:$H$342,MATCH($L1038&amp;"|"&amp;$M1038&amp;"|"&amp;$N1038&amp;"|"&amp;$O1038&amp;"|"&amp;$P1038&amp;"|"&amp;$Q1038&amp;"|"&amp;$K1038,PARAMETRES!$J$43:$J$342,0))="","",INDEX(PARAMETRES!$H$43:$H$342,MATCH($L1038&amp;"|"&amp;$M1038&amp;"|"&amp;$N1038&amp;"|"&amp;$O1038&amp;"|"&amp;$P1038&amp;"|"&amp;$Q1038&amp;"|"&amp;$K1038,PARAMETRES!$J$43:$J$342,0))),""))</f>
        <v/>
      </c>
      <c r="S1038" s="35">
        <f>IF(OR($G1038="",$X1038&lt;&gt;"VALIDE"),"",IFERROR(LOOKUP(2,1/(($B138:$B1037=$B1038)*($G138:$G1037=$G1038)*($X138:$X1037="VALIDE")),$C138:$C1037),""))</f>
        <v/>
      </c>
      <c r="T1038" s="36">
        <f>IF(OR($C1038="",$S1038=""),"",ROUND(($C1038-$S1038+IF($C1038&lt;$S1038,1,0))*1440,0))</f>
        <v/>
      </c>
      <c r="U1038" s="22">
        <f>IF(OR($H1038="",$T1038="",$T1038&lt;=0),"",$H1038*60/$T1038)</f>
        <v/>
      </c>
      <c r="V1038" s="37">
        <f>IF(OR($U1038="",$R1038="",$R1038=0),"",$U1038/$R1038)</f>
        <v/>
      </c>
      <c r="W1038" s="20">
        <f>IF($G1038="","",IF($X1038="CONTEXTE INCOMPLET","CONTEXTE INCOMPLET",IF($X1038="DOUBLON",StatutDoublon,IF($S1038="",StatutInitial,IF($R1038="",StatutStandardManquant,IF($V1038="","DONNEES INSUFFISANTES",IF($V1038&gt;=SeuilConforme,StatutConforme,IF($V1038&gt;=SeuilSurveiller,StatutSurveiller,StatutSousStandard))))))))</f>
        <v/>
      </c>
      <c r="X1038" s="33">
        <f>IF($G1038="","",IF(OR($D1038="",$E1038="",$F1038=""),"CONTEXTE INCOMPLET",IF(COUNTIFS($D138:$D1037,$D1038,$E138:$E1037,$E1038,$F138:$F1037,$F1038,$G138:$G1037,$G1038)&gt;0,"DOUBLON","VALIDE")))</f>
        <v/>
      </c>
    </row>
    <row r="1039" ht="15" customHeight="1">
      <c r="A1039" s="12">
        <f>IF(OR($B1039="",$G1039=""),"",TEXT($B1039,"YYYYMMDD")&amp;"-"&amp;SUBSTITUTE($E1039," ","")&amp;"-"&amp;$F1039&amp;"-"&amp;$G1039)</f>
        <v/>
      </c>
      <c r="B1039" s="15" t="n"/>
      <c r="C1039" s="16" t="n"/>
      <c r="D1039" s="10" t="n"/>
      <c r="E1039" s="9" t="n"/>
      <c r="F1039" s="9" t="n"/>
      <c r="G1039" s="13" t="n"/>
      <c r="H1039" s="21" t="n"/>
      <c r="I1039" s="21" t="n"/>
      <c r="J1039" s="17">
        <f>IF($G1039="","",IFERROR(INDEX(NomsEmployes,MATCH($G1039,MatriculesEmployes,0)),"MATRICULE INCONNU"))</f>
        <v/>
      </c>
      <c r="K1039" s="33">
        <f>IF(OR($D1039="",$F1039=""),"",IFERROR(IF(INDEX(RUNS!$L$6:$S$1005,MATCH($D1039,RUNS!$A$6:$A$1005,0),MATCH("ACTIVITÉ "&amp;$F1039,RUNS!$L$5:$S$5,0))="","",INDEX(RUNS!$L$6:$S$1005,MATCH($D1039,RUNS!$A$6:$A$1005,0),MATCH("ACTIVITÉ "&amp;$F1039,RUNS!$L$5:$S$5,0))),""))</f>
        <v/>
      </c>
      <c r="L1039" s="33">
        <f>IF($D1039="","",IFERROR(IF(INDEX(RUNS!$E$6:$E$1005,MATCH($D1039,RUNS!$A$6:$A$1005,0))="","",INDEX(RUNS!$E$6:$E$1005,MATCH($D1039,RUNS!$A$6:$A$1005,0))),""))</f>
        <v/>
      </c>
      <c r="M1039" s="33">
        <f>IF($D1039="","",IFERROR(IF(INDEX(RUNS!$F$6:$F$1005,MATCH($D1039,RUNS!$A$6:$A$1005,0))="","",INDEX(RUNS!$F$6:$F$1005,MATCH($D1039,RUNS!$A$6:$A$1005,0))),""))</f>
        <v/>
      </c>
      <c r="N1039" s="33">
        <f>IF($D1039="","",IFERROR(IF(INDEX(RUNS!$G$6:$G$1005,MATCH($D1039,RUNS!$A$6:$A$1005,0))="","",INDEX(RUNS!$G$6:$G$1005,MATCH($D1039,RUNS!$A$6:$A$1005,0))),""))</f>
        <v/>
      </c>
      <c r="O1039" s="33">
        <f>IF($D1039="","",IFERROR(IF(INDEX(RUNS!$H$6:$H$1005,MATCH($D1039,RUNS!$A$6:$A$1005,0))="","",INDEX(RUNS!$H$6:$H$1005,MATCH($D1039,RUNS!$A$6:$A$1005,0))),""))</f>
        <v/>
      </c>
      <c r="P1039" s="33">
        <f>IF($D1039="","",IFERROR(IF(INDEX(RUNS!$J$6:$J$1005,MATCH($D1039,RUNS!$A$6:$A$1005,0))="","",INDEX(RUNS!$J$6:$J$1005,MATCH($D1039,RUNS!$A$6:$A$1005,0))),""))</f>
        <v/>
      </c>
      <c r="Q1039" s="33">
        <f>IF($D1039="","",IFERROR(IF(INDEX(RUNS!$K$6:$K$1005,MATCH($D1039,RUNS!$A$6:$A$1005,0))="","",INDEX(RUNS!$K$6:$K$1005,MATCH($D1039,RUNS!$A$6:$A$1005,0))),""))</f>
        <v/>
      </c>
      <c r="R1039" s="34">
        <f>IF(OR($L1039="",$K1039=""),"",IFERROR(IF(INDEX(PARAMETRES!$H$43:$H$342,MATCH($L1039&amp;"|"&amp;$M1039&amp;"|"&amp;$N1039&amp;"|"&amp;$O1039&amp;"|"&amp;$P1039&amp;"|"&amp;$Q1039&amp;"|"&amp;$K1039,PARAMETRES!$J$43:$J$342,0))="","",INDEX(PARAMETRES!$H$43:$H$342,MATCH($L1039&amp;"|"&amp;$M1039&amp;"|"&amp;$N1039&amp;"|"&amp;$O1039&amp;"|"&amp;$P1039&amp;"|"&amp;$Q1039&amp;"|"&amp;$K1039,PARAMETRES!$J$43:$J$342,0))),""))</f>
        <v/>
      </c>
      <c r="S1039" s="35">
        <f>IF(OR($G1039="",$X1039&lt;&gt;"VALIDE"),"",IFERROR(LOOKUP(2,1/(($B139:$B1038=$B1039)*($G139:$G1038=$G1039)*($X139:$X1038="VALIDE")),$C139:$C1038),""))</f>
        <v/>
      </c>
      <c r="T1039" s="36">
        <f>IF(OR($C1039="",$S1039=""),"",ROUND(($C1039-$S1039+IF($C1039&lt;$S1039,1,0))*1440,0))</f>
        <v/>
      </c>
      <c r="U1039" s="22">
        <f>IF(OR($H1039="",$T1039="",$T1039&lt;=0),"",$H1039*60/$T1039)</f>
        <v/>
      </c>
      <c r="V1039" s="37">
        <f>IF(OR($U1039="",$R1039="",$R1039=0),"",$U1039/$R1039)</f>
        <v/>
      </c>
      <c r="W1039" s="20">
        <f>IF($G1039="","",IF($X1039="CONTEXTE INCOMPLET","CONTEXTE INCOMPLET",IF($X1039="DOUBLON",StatutDoublon,IF($S1039="",StatutInitial,IF($R1039="",StatutStandardManquant,IF($V1039="","DONNEES INSUFFISANTES",IF($V1039&gt;=SeuilConforme,StatutConforme,IF($V1039&gt;=SeuilSurveiller,StatutSurveiller,StatutSousStandard))))))))</f>
        <v/>
      </c>
      <c r="X1039" s="33">
        <f>IF($G1039="","",IF(OR($D1039="",$E1039="",$F1039=""),"CONTEXTE INCOMPLET",IF(COUNTIFS($D139:$D1038,$D1039,$E139:$E1038,$E1039,$F139:$F1038,$F1039,$G139:$G1038,$G1039)&gt;0,"DOUBLON","VALIDE")))</f>
        <v/>
      </c>
    </row>
    <row r="1040" ht="15" customHeight="1">
      <c r="A1040" s="12">
        <f>IF(OR($B1040="",$G1040=""),"",TEXT($B1040,"YYYYMMDD")&amp;"-"&amp;SUBSTITUTE($E1040," ","")&amp;"-"&amp;$F1040&amp;"-"&amp;$G1040)</f>
        <v/>
      </c>
      <c r="B1040" s="15" t="n"/>
      <c r="C1040" s="16" t="n"/>
      <c r="D1040" s="10" t="n"/>
      <c r="E1040" s="9" t="n"/>
      <c r="F1040" s="9" t="n"/>
      <c r="G1040" s="13" t="n"/>
      <c r="H1040" s="21" t="n"/>
      <c r="I1040" s="21" t="n"/>
      <c r="J1040" s="17">
        <f>IF($G1040="","",IFERROR(INDEX(NomsEmployes,MATCH($G1040,MatriculesEmployes,0)),"MATRICULE INCONNU"))</f>
        <v/>
      </c>
      <c r="K1040" s="33">
        <f>IF(OR($D1040="",$F1040=""),"",IFERROR(IF(INDEX(RUNS!$L$6:$S$1005,MATCH($D1040,RUNS!$A$6:$A$1005,0),MATCH("ACTIVITÉ "&amp;$F1040,RUNS!$L$5:$S$5,0))="","",INDEX(RUNS!$L$6:$S$1005,MATCH($D1040,RUNS!$A$6:$A$1005,0),MATCH("ACTIVITÉ "&amp;$F1040,RUNS!$L$5:$S$5,0))),""))</f>
        <v/>
      </c>
      <c r="L1040" s="33">
        <f>IF($D1040="","",IFERROR(IF(INDEX(RUNS!$E$6:$E$1005,MATCH($D1040,RUNS!$A$6:$A$1005,0))="","",INDEX(RUNS!$E$6:$E$1005,MATCH($D1040,RUNS!$A$6:$A$1005,0))),""))</f>
        <v/>
      </c>
      <c r="M1040" s="33">
        <f>IF($D1040="","",IFERROR(IF(INDEX(RUNS!$F$6:$F$1005,MATCH($D1040,RUNS!$A$6:$A$1005,0))="","",INDEX(RUNS!$F$6:$F$1005,MATCH($D1040,RUNS!$A$6:$A$1005,0))),""))</f>
        <v/>
      </c>
      <c r="N1040" s="33">
        <f>IF($D1040="","",IFERROR(IF(INDEX(RUNS!$G$6:$G$1005,MATCH($D1040,RUNS!$A$6:$A$1005,0))="","",INDEX(RUNS!$G$6:$G$1005,MATCH($D1040,RUNS!$A$6:$A$1005,0))),""))</f>
        <v/>
      </c>
      <c r="O1040" s="33">
        <f>IF($D1040="","",IFERROR(IF(INDEX(RUNS!$H$6:$H$1005,MATCH($D1040,RUNS!$A$6:$A$1005,0))="","",INDEX(RUNS!$H$6:$H$1005,MATCH($D1040,RUNS!$A$6:$A$1005,0))),""))</f>
        <v/>
      </c>
      <c r="P1040" s="33">
        <f>IF($D1040="","",IFERROR(IF(INDEX(RUNS!$J$6:$J$1005,MATCH($D1040,RUNS!$A$6:$A$1005,0))="","",INDEX(RUNS!$J$6:$J$1005,MATCH($D1040,RUNS!$A$6:$A$1005,0))),""))</f>
        <v/>
      </c>
      <c r="Q1040" s="33">
        <f>IF($D1040="","",IFERROR(IF(INDEX(RUNS!$K$6:$K$1005,MATCH($D1040,RUNS!$A$6:$A$1005,0))="","",INDEX(RUNS!$K$6:$K$1005,MATCH($D1040,RUNS!$A$6:$A$1005,0))),""))</f>
        <v/>
      </c>
      <c r="R1040" s="34">
        <f>IF(OR($L1040="",$K1040=""),"",IFERROR(IF(INDEX(PARAMETRES!$H$43:$H$342,MATCH($L1040&amp;"|"&amp;$M1040&amp;"|"&amp;$N1040&amp;"|"&amp;$O1040&amp;"|"&amp;$P1040&amp;"|"&amp;$Q1040&amp;"|"&amp;$K1040,PARAMETRES!$J$43:$J$342,0))="","",INDEX(PARAMETRES!$H$43:$H$342,MATCH($L1040&amp;"|"&amp;$M1040&amp;"|"&amp;$N1040&amp;"|"&amp;$O1040&amp;"|"&amp;$P1040&amp;"|"&amp;$Q1040&amp;"|"&amp;$K1040,PARAMETRES!$J$43:$J$342,0))),""))</f>
        <v/>
      </c>
      <c r="S1040" s="35">
        <f>IF(OR($G1040="",$X1040&lt;&gt;"VALIDE"),"",IFERROR(LOOKUP(2,1/(($B140:$B1039=$B1040)*($G140:$G1039=$G1040)*($X140:$X1039="VALIDE")),$C140:$C1039),""))</f>
        <v/>
      </c>
      <c r="T1040" s="36">
        <f>IF(OR($C1040="",$S1040=""),"",ROUND(($C1040-$S1040+IF($C1040&lt;$S1040,1,0))*1440,0))</f>
        <v/>
      </c>
      <c r="U1040" s="22">
        <f>IF(OR($H1040="",$T1040="",$T1040&lt;=0),"",$H1040*60/$T1040)</f>
        <v/>
      </c>
      <c r="V1040" s="37">
        <f>IF(OR($U1040="",$R1040="",$R1040=0),"",$U1040/$R1040)</f>
        <v/>
      </c>
      <c r="W1040" s="20">
        <f>IF($G1040="","",IF($X1040="CONTEXTE INCOMPLET","CONTEXTE INCOMPLET",IF($X1040="DOUBLON",StatutDoublon,IF($S1040="",StatutInitial,IF($R1040="",StatutStandardManquant,IF($V1040="","DONNEES INSUFFISANTES",IF($V1040&gt;=SeuilConforme,StatutConforme,IF($V1040&gt;=SeuilSurveiller,StatutSurveiller,StatutSousStandard))))))))</f>
        <v/>
      </c>
      <c r="X1040" s="33">
        <f>IF($G1040="","",IF(OR($D1040="",$E1040="",$F1040=""),"CONTEXTE INCOMPLET",IF(COUNTIFS($D140:$D1039,$D1040,$E140:$E1039,$E1040,$F140:$F1039,$F1040,$G140:$G1039,$G1040)&gt;0,"DOUBLON","VALIDE")))</f>
        <v/>
      </c>
    </row>
    <row r="1041" ht="15" customHeight="1">
      <c r="A1041" s="12">
        <f>IF(OR($B1041="",$G1041=""),"",TEXT($B1041,"YYYYMMDD")&amp;"-"&amp;SUBSTITUTE($E1041," ","")&amp;"-"&amp;$F1041&amp;"-"&amp;$G1041)</f>
        <v/>
      </c>
      <c r="B1041" s="15" t="n"/>
      <c r="C1041" s="16" t="n"/>
      <c r="D1041" s="10" t="n"/>
      <c r="E1041" s="9" t="n"/>
      <c r="F1041" s="9" t="n"/>
      <c r="G1041" s="13" t="n"/>
      <c r="H1041" s="21" t="n"/>
      <c r="I1041" s="21" t="n"/>
      <c r="J1041" s="17">
        <f>IF($G1041="","",IFERROR(INDEX(NomsEmployes,MATCH($G1041,MatriculesEmployes,0)),"MATRICULE INCONNU"))</f>
        <v/>
      </c>
      <c r="K1041" s="33">
        <f>IF(OR($D1041="",$F1041=""),"",IFERROR(IF(INDEX(RUNS!$L$6:$S$1005,MATCH($D1041,RUNS!$A$6:$A$1005,0),MATCH("ACTIVITÉ "&amp;$F1041,RUNS!$L$5:$S$5,0))="","",INDEX(RUNS!$L$6:$S$1005,MATCH($D1041,RUNS!$A$6:$A$1005,0),MATCH("ACTIVITÉ "&amp;$F1041,RUNS!$L$5:$S$5,0))),""))</f>
        <v/>
      </c>
      <c r="L1041" s="33">
        <f>IF($D1041="","",IFERROR(IF(INDEX(RUNS!$E$6:$E$1005,MATCH($D1041,RUNS!$A$6:$A$1005,0))="","",INDEX(RUNS!$E$6:$E$1005,MATCH($D1041,RUNS!$A$6:$A$1005,0))),""))</f>
        <v/>
      </c>
      <c r="M1041" s="33">
        <f>IF($D1041="","",IFERROR(IF(INDEX(RUNS!$F$6:$F$1005,MATCH($D1041,RUNS!$A$6:$A$1005,0))="","",INDEX(RUNS!$F$6:$F$1005,MATCH($D1041,RUNS!$A$6:$A$1005,0))),""))</f>
        <v/>
      </c>
      <c r="N1041" s="33">
        <f>IF($D1041="","",IFERROR(IF(INDEX(RUNS!$G$6:$G$1005,MATCH($D1041,RUNS!$A$6:$A$1005,0))="","",INDEX(RUNS!$G$6:$G$1005,MATCH($D1041,RUNS!$A$6:$A$1005,0))),""))</f>
        <v/>
      </c>
      <c r="O1041" s="33">
        <f>IF($D1041="","",IFERROR(IF(INDEX(RUNS!$H$6:$H$1005,MATCH($D1041,RUNS!$A$6:$A$1005,0))="","",INDEX(RUNS!$H$6:$H$1005,MATCH($D1041,RUNS!$A$6:$A$1005,0))),""))</f>
        <v/>
      </c>
      <c r="P1041" s="33">
        <f>IF($D1041="","",IFERROR(IF(INDEX(RUNS!$J$6:$J$1005,MATCH($D1041,RUNS!$A$6:$A$1005,0))="","",INDEX(RUNS!$J$6:$J$1005,MATCH($D1041,RUNS!$A$6:$A$1005,0))),""))</f>
        <v/>
      </c>
      <c r="Q1041" s="33">
        <f>IF($D1041="","",IFERROR(IF(INDEX(RUNS!$K$6:$K$1005,MATCH($D1041,RUNS!$A$6:$A$1005,0))="","",INDEX(RUNS!$K$6:$K$1005,MATCH($D1041,RUNS!$A$6:$A$1005,0))),""))</f>
        <v/>
      </c>
      <c r="R1041" s="34">
        <f>IF(OR($L1041="",$K1041=""),"",IFERROR(IF(INDEX(PARAMETRES!$H$43:$H$342,MATCH($L1041&amp;"|"&amp;$M1041&amp;"|"&amp;$N1041&amp;"|"&amp;$O1041&amp;"|"&amp;$P1041&amp;"|"&amp;$Q1041&amp;"|"&amp;$K1041,PARAMETRES!$J$43:$J$342,0))="","",INDEX(PARAMETRES!$H$43:$H$342,MATCH($L1041&amp;"|"&amp;$M1041&amp;"|"&amp;$N1041&amp;"|"&amp;$O1041&amp;"|"&amp;$P1041&amp;"|"&amp;$Q1041&amp;"|"&amp;$K1041,PARAMETRES!$J$43:$J$342,0))),""))</f>
        <v/>
      </c>
      <c r="S1041" s="35">
        <f>IF(OR($G1041="",$X1041&lt;&gt;"VALIDE"),"",IFERROR(LOOKUP(2,1/(($B141:$B1040=$B1041)*($G141:$G1040=$G1041)*($X141:$X1040="VALIDE")),$C141:$C1040),""))</f>
        <v/>
      </c>
      <c r="T1041" s="36">
        <f>IF(OR($C1041="",$S1041=""),"",ROUND(($C1041-$S1041+IF($C1041&lt;$S1041,1,0))*1440,0))</f>
        <v/>
      </c>
      <c r="U1041" s="22">
        <f>IF(OR($H1041="",$T1041="",$T1041&lt;=0),"",$H1041*60/$T1041)</f>
        <v/>
      </c>
      <c r="V1041" s="37">
        <f>IF(OR($U1041="",$R1041="",$R1041=0),"",$U1041/$R1041)</f>
        <v/>
      </c>
      <c r="W1041" s="20">
        <f>IF($G1041="","",IF($X1041="CONTEXTE INCOMPLET","CONTEXTE INCOMPLET",IF($X1041="DOUBLON",StatutDoublon,IF($S1041="",StatutInitial,IF($R1041="",StatutStandardManquant,IF($V1041="","DONNEES INSUFFISANTES",IF($V1041&gt;=SeuilConforme,StatutConforme,IF($V1041&gt;=SeuilSurveiller,StatutSurveiller,StatutSousStandard))))))))</f>
        <v/>
      </c>
      <c r="X1041" s="33">
        <f>IF($G1041="","",IF(OR($D1041="",$E1041="",$F1041=""),"CONTEXTE INCOMPLET",IF(COUNTIFS($D141:$D1040,$D1041,$E141:$E1040,$E1041,$F141:$F1040,$F1041,$G141:$G1040,$G1041)&gt;0,"DOUBLON","VALIDE")))</f>
        <v/>
      </c>
    </row>
    <row r="1042" ht="15" customHeight="1">
      <c r="A1042" s="12">
        <f>IF(OR($B1042="",$G1042=""),"",TEXT($B1042,"YYYYMMDD")&amp;"-"&amp;SUBSTITUTE($E1042," ","")&amp;"-"&amp;$F1042&amp;"-"&amp;$G1042)</f>
        <v/>
      </c>
      <c r="B1042" s="15" t="n"/>
      <c r="C1042" s="16" t="n"/>
      <c r="D1042" s="10" t="n"/>
      <c r="E1042" s="9" t="n"/>
      <c r="F1042" s="9" t="n"/>
      <c r="G1042" s="13" t="n"/>
      <c r="H1042" s="21" t="n"/>
      <c r="I1042" s="21" t="n"/>
      <c r="J1042" s="17">
        <f>IF($G1042="","",IFERROR(INDEX(NomsEmployes,MATCH($G1042,MatriculesEmployes,0)),"MATRICULE INCONNU"))</f>
        <v/>
      </c>
      <c r="K1042" s="33">
        <f>IF(OR($D1042="",$F1042=""),"",IFERROR(IF(INDEX(RUNS!$L$6:$S$1005,MATCH($D1042,RUNS!$A$6:$A$1005,0),MATCH("ACTIVITÉ "&amp;$F1042,RUNS!$L$5:$S$5,0))="","",INDEX(RUNS!$L$6:$S$1005,MATCH($D1042,RUNS!$A$6:$A$1005,0),MATCH("ACTIVITÉ "&amp;$F1042,RUNS!$L$5:$S$5,0))),""))</f>
        <v/>
      </c>
      <c r="L1042" s="33">
        <f>IF($D1042="","",IFERROR(IF(INDEX(RUNS!$E$6:$E$1005,MATCH($D1042,RUNS!$A$6:$A$1005,0))="","",INDEX(RUNS!$E$6:$E$1005,MATCH($D1042,RUNS!$A$6:$A$1005,0))),""))</f>
        <v/>
      </c>
      <c r="M1042" s="33">
        <f>IF($D1042="","",IFERROR(IF(INDEX(RUNS!$F$6:$F$1005,MATCH($D1042,RUNS!$A$6:$A$1005,0))="","",INDEX(RUNS!$F$6:$F$1005,MATCH($D1042,RUNS!$A$6:$A$1005,0))),""))</f>
        <v/>
      </c>
      <c r="N1042" s="33">
        <f>IF($D1042="","",IFERROR(IF(INDEX(RUNS!$G$6:$G$1005,MATCH($D1042,RUNS!$A$6:$A$1005,0))="","",INDEX(RUNS!$G$6:$G$1005,MATCH($D1042,RUNS!$A$6:$A$1005,0))),""))</f>
        <v/>
      </c>
      <c r="O1042" s="33">
        <f>IF($D1042="","",IFERROR(IF(INDEX(RUNS!$H$6:$H$1005,MATCH($D1042,RUNS!$A$6:$A$1005,0))="","",INDEX(RUNS!$H$6:$H$1005,MATCH($D1042,RUNS!$A$6:$A$1005,0))),""))</f>
        <v/>
      </c>
      <c r="P1042" s="33">
        <f>IF($D1042="","",IFERROR(IF(INDEX(RUNS!$J$6:$J$1005,MATCH($D1042,RUNS!$A$6:$A$1005,0))="","",INDEX(RUNS!$J$6:$J$1005,MATCH($D1042,RUNS!$A$6:$A$1005,0))),""))</f>
        <v/>
      </c>
      <c r="Q1042" s="33">
        <f>IF($D1042="","",IFERROR(IF(INDEX(RUNS!$K$6:$K$1005,MATCH($D1042,RUNS!$A$6:$A$1005,0))="","",INDEX(RUNS!$K$6:$K$1005,MATCH($D1042,RUNS!$A$6:$A$1005,0))),""))</f>
        <v/>
      </c>
      <c r="R1042" s="34">
        <f>IF(OR($L1042="",$K1042=""),"",IFERROR(IF(INDEX(PARAMETRES!$H$43:$H$342,MATCH($L1042&amp;"|"&amp;$M1042&amp;"|"&amp;$N1042&amp;"|"&amp;$O1042&amp;"|"&amp;$P1042&amp;"|"&amp;$Q1042&amp;"|"&amp;$K1042,PARAMETRES!$J$43:$J$342,0))="","",INDEX(PARAMETRES!$H$43:$H$342,MATCH($L1042&amp;"|"&amp;$M1042&amp;"|"&amp;$N1042&amp;"|"&amp;$O1042&amp;"|"&amp;$P1042&amp;"|"&amp;$Q1042&amp;"|"&amp;$K1042,PARAMETRES!$J$43:$J$342,0))),""))</f>
        <v/>
      </c>
      <c r="S1042" s="35">
        <f>IF(OR($G1042="",$X1042&lt;&gt;"VALIDE"),"",IFERROR(LOOKUP(2,1/(($B142:$B1041=$B1042)*($G142:$G1041=$G1042)*($X142:$X1041="VALIDE")),$C142:$C1041),""))</f>
        <v/>
      </c>
      <c r="T1042" s="36">
        <f>IF(OR($C1042="",$S1042=""),"",ROUND(($C1042-$S1042+IF($C1042&lt;$S1042,1,0))*1440,0))</f>
        <v/>
      </c>
      <c r="U1042" s="22">
        <f>IF(OR($H1042="",$T1042="",$T1042&lt;=0),"",$H1042*60/$T1042)</f>
        <v/>
      </c>
      <c r="V1042" s="37">
        <f>IF(OR($U1042="",$R1042="",$R1042=0),"",$U1042/$R1042)</f>
        <v/>
      </c>
      <c r="W1042" s="20">
        <f>IF($G1042="","",IF($X1042="CONTEXTE INCOMPLET","CONTEXTE INCOMPLET",IF($X1042="DOUBLON",StatutDoublon,IF($S1042="",StatutInitial,IF($R1042="",StatutStandardManquant,IF($V1042="","DONNEES INSUFFISANTES",IF($V1042&gt;=SeuilConforme,StatutConforme,IF($V1042&gt;=SeuilSurveiller,StatutSurveiller,StatutSousStandard))))))))</f>
        <v/>
      </c>
      <c r="X1042" s="33">
        <f>IF($G1042="","",IF(OR($D1042="",$E1042="",$F1042=""),"CONTEXTE INCOMPLET",IF(COUNTIFS($D142:$D1041,$D1042,$E142:$E1041,$E1042,$F142:$F1041,$F1042,$G142:$G1041,$G1042)&gt;0,"DOUBLON","VALIDE")))</f>
        <v/>
      </c>
    </row>
    <row r="1043" ht="15" customHeight="1">
      <c r="A1043" s="12">
        <f>IF(OR($B1043="",$G1043=""),"",TEXT($B1043,"YYYYMMDD")&amp;"-"&amp;SUBSTITUTE($E1043," ","")&amp;"-"&amp;$F1043&amp;"-"&amp;$G1043)</f>
        <v/>
      </c>
      <c r="B1043" s="15" t="n"/>
      <c r="C1043" s="16" t="n"/>
      <c r="D1043" s="10" t="n"/>
      <c r="E1043" s="9" t="n"/>
      <c r="F1043" s="9" t="n"/>
      <c r="G1043" s="13" t="n"/>
      <c r="H1043" s="21" t="n"/>
      <c r="I1043" s="21" t="n"/>
      <c r="J1043" s="17">
        <f>IF($G1043="","",IFERROR(INDEX(NomsEmployes,MATCH($G1043,MatriculesEmployes,0)),"MATRICULE INCONNU"))</f>
        <v/>
      </c>
      <c r="K1043" s="33">
        <f>IF(OR($D1043="",$F1043=""),"",IFERROR(IF(INDEX(RUNS!$L$6:$S$1005,MATCH($D1043,RUNS!$A$6:$A$1005,0),MATCH("ACTIVITÉ "&amp;$F1043,RUNS!$L$5:$S$5,0))="","",INDEX(RUNS!$L$6:$S$1005,MATCH($D1043,RUNS!$A$6:$A$1005,0),MATCH("ACTIVITÉ "&amp;$F1043,RUNS!$L$5:$S$5,0))),""))</f>
        <v/>
      </c>
      <c r="L1043" s="33">
        <f>IF($D1043="","",IFERROR(IF(INDEX(RUNS!$E$6:$E$1005,MATCH($D1043,RUNS!$A$6:$A$1005,0))="","",INDEX(RUNS!$E$6:$E$1005,MATCH($D1043,RUNS!$A$6:$A$1005,0))),""))</f>
        <v/>
      </c>
      <c r="M1043" s="33">
        <f>IF($D1043="","",IFERROR(IF(INDEX(RUNS!$F$6:$F$1005,MATCH($D1043,RUNS!$A$6:$A$1005,0))="","",INDEX(RUNS!$F$6:$F$1005,MATCH($D1043,RUNS!$A$6:$A$1005,0))),""))</f>
        <v/>
      </c>
      <c r="N1043" s="33">
        <f>IF($D1043="","",IFERROR(IF(INDEX(RUNS!$G$6:$G$1005,MATCH($D1043,RUNS!$A$6:$A$1005,0))="","",INDEX(RUNS!$G$6:$G$1005,MATCH($D1043,RUNS!$A$6:$A$1005,0))),""))</f>
        <v/>
      </c>
      <c r="O1043" s="33">
        <f>IF($D1043="","",IFERROR(IF(INDEX(RUNS!$H$6:$H$1005,MATCH($D1043,RUNS!$A$6:$A$1005,0))="","",INDEX(RUNS!$H$6:$H$1005,MATCH($D1043,RUNS!$A$6:$A$1005,0))),""))</f>
        <v/>
      </c>
      <c r="P1043" s="33">
        <f>IF($D1043="","",IFERROR(IF(INDEX(RUNS!$J$6:$J$1005,MATCH($D1043,RUNS!$A$6:$A$1005,0))="","",INDEX(RUNS!$J$6:$J$1005,MATCH($D1043,RUNS!$A$6:$A$1005,0))),""))</f>
        <v/>
      </c>
      <c r="Q1043" s="33">
        <f>IF($D1043="","",IFERROR(IF(INDEX(RUNS!$K$6:$K$1005,MATCH($D1043,RUNS!$A$6:$A$1005,0))="","",INDEX(RUNS!$K$6:$K$1005,MATCH($D1043,RUNS!$A$6:$A$1005,0))),""))</f>
        <v/>
      </c>
      <c r="R1043" s="34">
        <f>IF(OR($L1043="",$K1043=""),"",IFERROR(IF(INDEX(PARAMETRES!$H$43:$H$342,MATCH($L1043&amp;"|"&amp;$M1043&amp;"|"&amp;$N1043&amp;"|"&amp;$O1043&amp;"|"&amp;$P1043&amp;"|"&amp;$Q1043&amp;"|"&amp;$K1043,PARAMETRES!$J$43:$J$342,0))="","",INDEX(PARAMETRES!$H$43:$H$342,MATCH($L1043&amp;"|"&amp;$M1043&amp;"|"&amp;$N1043&amp;"|"&amp;$O1043&amp;"|"&amp;$P1043&amp;"|"&amp;$Q1043&amp;"|"&amp;$K1043,PARAMETRES!$J$43:$J$342,0))),""))</f>
        <v/>
      </c>
      <c r="S1043" s="35">
        <f>IF(OR($G1043="",$X1043&lt;&gt;"VALIDE"),"",IFERROR(LOOKUP(2,1/(($B143:$B1042=$B1043)*($G143:$G1042=$G1043)*($X143:$X1042="VALIDE")),$C143:$C1042),""))</f>
        <v/>
      </c>
      <c r="T1043" s="36">
        <f>IF(OR($C1043="",$S1043=""),"",ROUND(($C1043-$S1043+IF($C1043&lt;$S1043,1,0))*1440,0))</f>
        <v/>
      </c>
      <c r="U1043" s="22">
        <f>IF(OR($H1043="",$T1043="",$T1043&lt;=0),"",$H1043*60/$T1043)</f>
        <v/>
      </c>
      <c r="V1043" s="37">
        <f>IF(OR($U1043="",$R1043="",$R1043=0),"",$U1043/$R1043)</f>
        <v/>
      </c>
      <c r="W1043" s="20">
        <f>IF($G1043="","",IF($X1043="CONTEXTE INCOMPLET","CONTEXTE INCOMPLET",IF($X1043="DOUBLON",StatutDoublon,IF($S1043="",StatutInitial,IF($R1043="",StatutStandardManquant,IF($V1043="","DONNEES INSUFFISANTES",IF($V1043&gt;=SeuilConforme,StatutConforme,IF($V1043&gt;=SeuilSurveiller,StatutSurveiller,StatutSousStandard))))))))</f>
        <v/>
      </c>
      <c r="X1043" s="33">
        <f>IF($G1043="","",IF(OR($D1043="",$E1043="",$F1043=""),"CONTEXTE INCOMPLET",IF(COUNTIFS($D143:$D1042,$D1043,$E143:$E1042,$E1043,$F143:$F1042,$F1043,$G143:$G1042,$G1043)&gt;0,"DOUBLON","VALIDE")))</f>
        <v/>
      </c>
    </row>
    <row r="1044" ht="15" customHeight="1">
      <c r="A1044" s="12">
        <f>IF(OR($B1044="",$G1044=""),"",TEXT($B1044,"YYYYMMDD")&amp;"-"&amp;SUBSTITUTE($E1044," ","")&amp;"-"&amp;$F1044&amp;"-"&amp;$G1044)</f>
        <v/>
      </c>
      <c r="B1044" s="15" t="n"/>
      <c r="C1044" s="16" t="n"/>
      <c r="D1044" s="10" t="n"/>
      <c r="E1044" s="9" t="n"/>
      <c r="F1044" s="9" t="n"/>
      <c r="G1044" s="13" t="n"/>
      <c r="H1044" s="21" t="n"/>
      <c r="I1044" s="21" t="n"/>
      <c r="J1044" s="17">
        <f>IF($G1044="","",IFERROR(INDEX(NomsEmployes,MATCH($G1044,MatriculesEmployes,0)),"MATRICULE INCONNU"))</f>
        <v/>
      </c>
      <c r="K1044" s="33">
        <f>IF(OR($D1044="",$F1044=""),"",IFERROR(IF(INDEX(RUNS!$L$6:$S$1005,MATCH($D1044,RUNS!$A$6:$A$1005,0),MATCH("ACTIVITÉ "&amp;$F1044,RUNS!$L$5:$S$5,0))="","",INDEX(RUNS!$L$6:$S$1005,MATCH($D1044,RUNS!$A$6:$A$1005,0),MATCH("ACTIVITÉ "&amp;$F1044,RUNS!$L$5:$S$5,0))),""))</f>
        <v/>
      </c>
      <c r="L1044" s="33">
        <f>IF($D1044="","",IFERROR(IF(INDEX(RUNS!$E$6:$E$1005,MATCH($D1044,RUNS!$A$6:$A$1005,0))="","",INDEX(RUNS!$E$6:$E$1005,MATCH($D1044,RUNS!$A$6:$A$1005,0))),""))</f>
        <v/>
      </c>
      <c r="M1044" s="33">
        <f>IF($D1044="","",IFERROR(IF(INDEX(RUNS!$F$6:$F$1005,MATCH($D1044,RUNS!$A$6:$A$1005,0))="","",INDEX(RUNS!$F$6:$F$1005,MATCH($D1044,RUNS!$A$6:$A$1005,0))),""))</f>
        <v/>
      </c>
      <c r="N1044" s="33">
        <f>IF($D1044="","",IFERROR(IF(INDEX(RUNS!$G$6:$G$1005,MATCH($D1044,RUNS!$A$6:$A$1005,0))="","",INDEX(RUNS!$G$6:$G$1005,MATCH($D1044,RUNS!$A$6:$A$1005,0))),""))</f>
        <v/>
      </c>
      <c r="O1044" s="33">
        <f>IF($D1044="","",IFERROR(IF(INDEX(RUNS!$H$6:$H$1005,MATCH($D1044,RUNS!$A$6:$A$1005,0))="","",INDEX(RUNS!$H$6:$H$1005,MATCH($D1044,RUNS!$A$6:$A$1005,0))),""))</f>
        <v/>
      </c>
      <c r="P1044" s="33">
        <f>IF($D1044="","",IFERROR(IF(INDEX(RUNS!$J$6:$J$1005,MATCH($D1044,RUNS!$A$6:$A$1005,0))="","",INDEX(RUNS!$J$6:$J$1005,MATCH($D1044,RUNS!$A$6:$A$1005,0))),""))</f>
        <v/>
      </c>
      <c r="Q1044" s="33">
        <f>IF($D1044="","",IFERROR(IF(INDEX(RUNS!$K$6:$K$1005,MATCH($D1044,RUNS!$A$6:$A$1005,0))="","",INDEX(RUNS!$K$6:$K$1005,MATCH($D1044,RUNS!$A$6:$A$1005,0))),""))</f>
        <v/>
      </c>
      <c r="R1044" s="34">
        <f>IF(OR($L1044="",$K1044=""),"",IFERROR(IF(INDEX(PARAMETRES!$H$43:$H$342,MATCH($L1044&amp;"|"&amp;$M1044&amp;"|"&amp;$N1044&amp;"|"&amp;$O1044&amp;"|"&amp;$P1044&amp;"|"&amp;$Q1044&amp;"|"&amp;$K1044,PARAMETRES!$J$43:$J$342,0))="","",INDEX(PARAMETRES!$H$43:$H$342,MATCH($L1044&amp;"|"&amp;$M1044&amp;"|"&amp;$N1044&amp;"|"&amp;$O1044&amp;"|"&amp;$P1044&amp;"|"&amp;$Q1044&amp;"|"&amp;$K1044,PARAMETRES!$J$43:$J$342,0))),""))</f>
        <v/>
      </c>
      <c r="S1044" s="35">
        <f>IF(OR($G1044="",$X1044&lt;&gt;"VALIDE"),"",IFERROR(LOOKUP(2,1/(($B144:$B1043=$B1044)*($G144:$G1043=$G1044)*($X144:$X1043="VALIDE")),$C144:$C1043),""))</f>
        <v/>
      </c>
      <c r="T1044" s="36">
        <f>IF(OR($C1044="",$S1044=""),"",ROUND(($C1044-$S1044+IF($C1044&lt;$S1044,1,0))*1440,0))</f>
        <v/>
      </c>
      <c r="U1044" s="22">
        <f>IF(OR($H1044="",$T1044="",$T1044&lt;=0),"",$H1044*60/$T1044)</f>
        <v/>
      </c>
      <c r="V1044" s="37">
        <f>IF(OR($U1044="",$R1044="",$R1044=0),"",$U1044/$R1044)</f>
        <v/>
      </c>
      <c r="W1044" s="20">
        <f>IF($G1044="","",IF($X1044="CONTEXTE INCOMPLET","CONTEXTE INCOMPLET",IF($X1044="DOUBLON",StatutDoublon,IF($S1044="",StatutInitial,IF($R1044="",StatutStandardManquant,IF($V1044="","DONNEES INSUFFISANTES",IF($V1044&gt;=SeuilConforme,StatutConforme,IF($V1044&gt;=SeuilSurveiller,StatutSurveiller,StatutSousStandard))))))))</f>
        <v/>
      </c>
      <c r="X1044" s="33">
        <f>IF($G1044="","",IF(OR($D1044="",$E1044="",$F1044=""),"CONTEXTE INCOMPLET",IF(COUNTIFS($D144:$D1043,$D1044,$E144:$E1043,$E1044,$F144:$F1043,$F1044,$G144:$G1043,$G1044)&gt;0,"DOUBLON","VALIDE")))</f>
        <v/>
      </c>
    </row>
    <row r="1045" ht="15" customHeight="1">
      <c r="A1045" s="12">
        <f>IF(OR($B1045="",$G1045=""),"",TEXT($B1045,"YYYYMMDD")&amp;"-"&amp;SUBSTITUTE($E1045," ","")&amp;"-"&amp;$F1045&amp;"-"&amp;$G1045)</f>
        <v/>
      </c>
      <c r="B1045" s="15" t="n"/>
      <c r="C1045" s="16" t="n"/>
      <c r="D1045" s="10" t="n"/>
      <c r="E1045" s="9" t="n"/>
      <c r="F1045" s="9" t="n"/>
      <c r="G1045" s="13" t="n"/>
      <c r="H1045" s="21" t="n"/>
      <c r="I1045" s="21" t="n"/>
      <c r="J1045" s="17">
        <f>IF($G1045="","",IFERROR(INDEX(NomsEmployes,MATCH($G1045,MatriculesEmployes,0)),"MATRICULE INCONNU"))</f>
        <v/>
      </c>
      <c r="K1045" s="33">
        <f>IF(OR($D1045="",$F1045=""),"",IFERROR(IF(INDEX(RUNS!$L$6:$S$1005,MATCH($D1045,RUNS!$A$6:$A$1005,0),MATCH("ACTIVITÉ "&amp;$F1045,RUNS!$L$5:$S$5,0))="","",INDEX(RUNS!$L$6:$S$1005,MATCH($D1045,RUNS!$A$6:$A$1005,0),MATCH("ACTIVITÉ "&amp;$F1045,RUNS!$L$5:$S$5,0))),""))</f>
        <v/>
      </c>
      <c r="L1045" s="33">
        <f>IF($D1045="","",IFERROR(IF(INDEX(RUNS!$E$6:$E$1005,MATCH($D1045,RUNS!$A$6:$A$1005,0))="","",INDEX(RUNS!$E$6:$E$1005,MATCH($D1045,RUNS!$A$6:$A$1005,0))),""))</f>
        <v/>
      </c>
      <c r="M1045" s="33">
        <f>IF($D1045="","",IFERROR(IF(INDEX(RUNS!$F$6:$F$1005,MATCH($D1045,RUNS!$A$6:$A$1005,0))="","",INDEX(RUNS!$F$6:$F$1005,MATCH($D1045,RUNS!$A$6:$A$1005,0))),""))</f>
        <v/>
      </c>
      <c r="N1045" s="33">
        <f>IF($D1045="","",IFERROR(IF(INDEX(RUNS!$G$6:$G$1005,MATCH($D1045,RUNS!$A$6:$A$1005,0))="","",INDEX(RUNS!$G$6:$G$1005,MATCH($D1045,RUNS!$A$6:$A$1005,0))),""))</f>
        <v/>
      </c>
      <c r="O1045" s="33">
        <f>IF($D1045="","",IFERROR(IF(INDEX(RUNS!$H$6:$H$1005,MATCH($D1045,RUNS!$A$6:$A$1005,0))="","",INDEX(RUNS!$H$6:$H$1005,MATCH($D1045,RUNS!$A$6:$A$1005,0))),""))</f>
        <v/>
      </c>
      <c r="P1045" s="33">
        <f>IF($D1045="","",IFERROR(IF(INDEX(RUNS!$J$6:$J$1005,MATCH($D1045,RUNS!$A$6:$A$1005,0))="","",INDEX(RUNS!$J$6:$J$1005,MATCH($D1045,RUNS!$A$6:$A$1005,0))),""))</f>
        <v/>
      </c>
      <c r="Q1045" s="33">
        <f>IF($D1045="","",IFERROR(IF(INDEX(RUNS!$K$6:$K$1005,MATCH($D1045,RUNS!$A$6:$A$1005,0))="","",INDEX(RUNS!$K$6:$K$1005,MATCH($D1045,RUNS!$A$6:$A$1005,0))),""))</f>
        <v/>
      </c>
      <c r="R1045" s="34">
        <f>IF(OR($L1045="",$K1045=""),"",IFERROR(IF(INDEX(PARAMETRES!$H$43:$H$342,MATCH($L1045&amp;"|"&amp;$M1045&amp;"|"&amp;$N1045&amp;"|"&amp;$O1045&amp;"|"&amp;$P1045&amp;"|"&amp;$Q1045&amp;"|"&amp;$K1045,PARAMETRES!$J$43:$J$342,0))="","",INDEX(PARAMETRES!$H$43:$H$342,MATCH($L1045&amp;"|"&amp;$M1045&amp;"|"&amp;$N1045&amp;"|"&amp;$O1045&amp;"|"&amp;$P1045&amp;"|"&amp;$Q1045&amp;"|"&amp;$K1045,PARAMETRES!$J$43:$J$342,0))),""))</f>
        <v/>
      </c>
      <c r="S1045" s="35">
        <f>IF(OR($G1045="",$X1045&lt;&gt;"VALIDE"),"",IFERROR(LOOKUP(2,1/(($B145:$B1044=$B1045)*($G145:$G1044=$G1045)*($X145:$X1044="VALIDE")),$C145:$C1044),""))</f>
        <v/>
      </c>
      <c r="T1045" s="36">
        <f>IF(OR($C1045="",$S1045=""),"",ROUND(($C1045-$S1045+IF($C1045&lt;$S1045,1,0))*1440,0))</f>
        <v/>
      </c>
      <c r="U1045" s="22">
        <f>IF(OR($H1045="",$T1045="",$T1045&lt;=0),"",$H1045*60/$T1045)</f>
        <v/>
      </c>
      <c r="V1045" s="37">
        <f>IF(OR($U1045="",$R1045="",$R1045=0),"",$U1045/$R1045)</f>
        <v/>
      </c>
      <c r="W1045" s="20">
        <f>IF($G1045="","",IF($X1045="CONTEXTE INCOMPLET","CONTEXTE INCOMPLET",IF($X1045="DOUBLON",StatutDoublon,IF($S1045="",StatutInitial,IF($R1045="",StatutStandardManquant,IF($V1045="","DONNEES INSUFFISANTES",IF($V1045&gt;=SeuilConforme,StatutConforme,IF($V1045&gt;=SeuilSurveiller,StatutSurveiller,StatutSousStandard))))))))</f>
        <v/>
      </c>
      <c r="X1045" s="33">
        <f>IF($G1045="","",IF(OR($D1045="",$E1045="",$F1045=""),"CONTEXTE INCOMPLET",IF(COUNTIFS($D145:$D1044,$D1045,$E145:$E1044,$E1045,$F145:$F1044,$F1045,$G145:$G1044,$G1045)&gt;0,"DOUBLON","VALIDE")))</f>
        <v/>
      </c>
    </row>
    <row r="1046" ht="15" customHeight="1">
      <c r="A1046" s="12">
        <f>IF(OR($B1046="",$G1046=""),"",TEXT($B1046,"YYYYMMDD")&amp;"-"&amp;SUBSTITUTE($E1046," ","")&amp;"-"&amp;$F1046&amp;"-"&amp;$G1046)</f>
        <v/>
      </c>
      <c r="B1046" s="15" t="n"/>
      <c r="C1046" s="16" t="n"/>
      <c r="D1046" s="10" t="n"/>
      <c r="E1046" s="9" t="n"/>
      <c r="F1046" s="9" t="n"/>
      <c r="G1046" s="13" t="n"/>
      <c r="H1046" s="21" t="n"/>
      <c r="I1046" s="21" t="n"/>
      <c r="J1046" s="17">
        <f>IF($G1046="","",IFERROR(INDEX(NomsEmployes,MATCH($G1046,MatriculesEmployes,0)),"MATRICULE INCONNU"))</f>
        <v/>
      </c>
      <c r="K1046" s="33">
        <f>IF(OR($D1046="",$F1046=""),"",IFERROR(IF(INDEX(RUNS!$L$6:$S$1005,MATCH($D1046,RUNS!$A$6:$A$1005,0),MATCH("ACTIVITÉ "&amp;$F1046,RUNS!$L$5:$S$5,0))="","",INDEX(RUNS!$L$6:$S$1005,MATCH($D1046,RUNS!$A$6:$A$1005,0),MATCH("ACTIVITÉ "&amp;$F1046,RUNS!$L$5:$S$5,0))),""))</f>
        <v/>
      </c>
      <c r="L1046" s="33">
        <f>IF($D1046="","",IFERROR(IF(INDEX(RUNS!$E$6:$E$1005,MATCH($D1046,RUNS!$A$6:$A$1005,0))="","",INDEX(RUNS!$E$6:$E$1005,MATCH($D1046,RUNS!$A$6:$A$1005,0))),""))</f>
        <v/>
      </c>
      <c r="M1046" s="33">
        <f>IF($D1046="","",IFERROR(IF(INDEX(RUNS!$F$6:$F$1005,MATCH($D1046,RUNS!$A$6:$A$1005,0))="","",INDEX(RUNS!$F$6:$F$1005,MATCH($D1046,RUNS!$A$6:$A$1005,0))),""))</f>
        <v/>
      </c>
      <c r="N1046" s="33">
        <f>IF($D1046="","",IFERROR(IF(INDEX(RUNS!$G$6:$G$1005,MATCH($D1046,RUNS!$A$6:$A$1005,0))="","",INDEX(RUNS!$G$6:$G$1005,MATCH($D1046,RUNS!$A$6:$A$1005,0))),""))</f>
        <v/>
      </c>
      <c r="O1046" s="33">
        <f>IF($D1046="","",IFERROR(IF(INDEX(RUNS!$H$6:$H$1005,MATCH($D1046,RUNS!$A$6:$A$1005,0))="","",INDEX(RUNS!$H$6:$H$1005,MATCH($D1046,RUNS!$A$6:$A$1005,0))),""))</f>
        <v/>
      </c>
      <c r="P1046" s="33">
        <f>IF($D1046="","",IFERROR(IF(INDEX(RUNS!$J$6:$J$1005,MATCH($D1046,RUNS!$A$6:$A$1005,0))="","",INDEX(RUNS!$J$6:$J$1005,MATCH($D1046,RUNS!$A$6:$A$1005,0))),""))</f>
        <v/>
      </c>
      <c r="Q1046" s="33">
        <f>IF($D1046="","",IFERROR(IF(INDEX(RUNS!$K$6:$K$1005,MATCH($D1046,RUNS!$A$6:$A$1005,0))="","",INDEX(RUNS!$K$6:$K$1005,MATCH($D1046,RUNS!$A$6:$A$1005,0))),""))</f>
        <v/>
      </c>
      <c r="R1046" s="34">
        <f>IF(OR($L1046="",$K1046=""),"",IFERROR(IF(INDEX(PARAMETRES!$H$43:$H$342,MATCH($L1046&amp;"|"&amp;$M1046&amp;"|"&amp;$N1046&amp;"|"&amp;$O1046&amp;"|"&amp;$P1046&amp;"|"&amp;$Q1046&amp;"|"&amp;$K1046,PARAMETRES!$J$43:$J$342,0))="","",INDEX(PARAMETRES!$H$43:$H$342,MATCH($L1046&amp;"|"&amp;$M1046&amp;"|"&amp;$N1046&amp;"|"&amp;$O1046&amp;"|"&amp;$P1046&amp;"|"&amp;$Q1046&amp;"|"&amp;$K1046,PARAMETRES!$J$43:$J$342,0))),""))</f>
        <v/>
      </c>
      <c r="S1046" s="35">
        <f>IF(OR($G1046="",$X1046&lt;&gt;"VALIDE"),"",IFERROR(LOOKUP(2,1/(($B146:$B1045=$B1046)*($G146:$G1045=$G1046)*($X146:$X1045="VALIDE")),$C146:$C1045),""))</f>
        <v/>
      </c>
      <c r="T1046" s="36">
        <f>IF(OR($C1046="",$S1046=""),"",ROUND(($C1046-$S1046+IF($C1046&lt;$S1046,1,0))*1440,0))</f>
        <v/>
      </c>
      <c r="U1046" s="22">
        <f>IF(OR($H1046="",$T1046="",$T1046&lt;=0),"",$H1046*60/$T1046)</f>
        <v/>
      </c>
      <c r="V1046" s="37">
        <f>IF(OR($U1046="",$R1046="",$R1046=0),"",$U1046/$R1046)</f>
        <v/>
      </c>
      <c r="W1046" s="20">
        <f>IF($G1046="","",IF($X1046="CONTEXTE INCOMPLET","CONTEXTE INCOMPLET",IF($X1046="DOUBLON",StatutDoublon,IF($S1046="",StatutInitial,IF($R1046="",StatutStandardManquant,IF($V1046="","DONNEES INSUFFISANTES",IF($V1046&gt;=SeuilConforme,StatutConforme,IF($V1046&gt;=SeuilSurveiller,StatutSurveiller,StatutSousStandard))))))))</f>
        <v/>
      </c>
      <c r="X1046" s="33">
        <f>IF($G1046="","",IF(OR($D1046="",$E1046="",$F1046=""),"CONTEXTE INCOMPLET",IF(COUNTIFS($D146:$D1045,$D1046,$E146:$E1045,$E1046,$F146:$F1045,$F1046,$G146:$G1045,$G1046)&gt;0,"DOUBLON","VALIDE")))</f>
        <v/>
      </c>
    </row>
    <row r="1047" ht="15" customHeight="1">
      <c r="A1047" s="12">
        <f>IF(OR($B1047="",$G1047=""),"",TEXT($B1047,"YYYYMMDD")&amp;"-"&amp;SUBSTITUTE($E1047," ","")&amp;"-"&amp;$F1047&amp;"-"&amp;$G1047)</f>
        <v/>
      </c>
      <c r="B1047" s="15" t="n"/>
      <c r="C1047" s="16" t="n"/>
      <c r="D1047" s="10" t="n"/>
      <c r="E1047" s="9" t="n"/>
      <c r="F1047" s="9" t="n"/>
      <c r="G1047" s="13" t="n"/>
      <c r="H1047" s="21" t="n"/>
      <c r="I1047" s="21" t="n"/>
      <c r="J1047" s="17">
        <f>IF($G1047="","",IFERROR(INDEX(NomsEmployes,MATCH($G1047,MatriculesEmployes,0)),"MATRICULE INCONNU"))</f>
        <v/>
      </c>
      <c r="K1047" s="33">
        <f>IF(OR($D1047="",$F1047=""),"",IFERROR(IF(INDEX(RUNS!$L$6:$S$1005,MATCH($D1047,RUNS!$A$6:$A$1005,0),MATCH("ACTIVITÉ "&amp;$F1047,RUNS!$L$5:$S$5,0))="","",INDEX(RUNS!$L$6:$S$1005,MATCH($D1047,RUNS!$A$6:$A$1005,0),MATCH("ACTIVITÉ "&amp;$F1047,RUNS!$L$5:$S$5,0))),""))</f>
        <v/>
      </c>
      <c r="L1047" s="33">
        <f>IF($D1047="","",IFERROR(IF(INDEX(RUNS!$E$6:$E$1005,MATCH($D1047,RUNS!$A$6:$A$1005,0))="","",INDEX(RUNS!$E$6:$E$1005,MATCH($D1047,RUNS!$A$6:$A$1005,0))),""))</f>
        <v/>
      </c>
      <c r="M1047" s="33">
        <f>IF($D1047="","",IFERROR(IF(INDEX(RUNS!$F$6:$F$1005,MATCH($D1047,RUNS!$A$6:$A$1005,0))="","",INDEX(RUNS!$F$6:$F$1005,MATCH($D1047,RUNS!$A$6:$A$1005,0))),""))</f>
        <v/>
      </c>
      <c r="N1047" s="33">
        <f>IF($D1047="","",IFERROR(IF(INDEX(RUNS!$G$6:$G$1005,MATCH($D1047,RUNS!$A$6:$A$1005,0))="","",INDEX(RUNS!$G$6:$G$1005,MATCH($D1047,RUNS!$A$6:$A$1005,0))),""))</f>
        <v/>
      </c>
      <c r="O1047" s="33">
        <f>IF($D1047="","",IFERROR(IF(INDEX(RUNS!$H$6:$H$1005,MATCH($D1047,RUNS!$A$6:$A$1005,0))="","",INDEX(RUNS!$H$6:$H$1005,MATCH($D1047,RUNS!$A$6:$A$1005,0))),""))</f>
        <v/>
      </c>
      <c r="P1047" s="33">
        <f>IF($D1047="","",IFERROR(IF(INDEX(RUNS!$J$6:$J$1005,MATCH($D1047,RUNS!$A$6:$A$1005,0))="","",INDEX(RUNS!$J$6:$J$1005,MATCH($D1047,RUNS!$A$6:$A$1005,0))),""))</f>
        <v/>
      </c>
      <c r="Q1047" s="33">
        <f>IF($D1047="","",IFERROR(IF(INDEX(RUNS!$K$6:$K$1005,MATCH($D1047,RUNS!$A$6:$A$1005,0))="","",INDEX(RUNS!$K$6:$K$1005,MATCH($D1047,RUNS!$A$6:$A$1005,0))),""))</f>
        <v/>
      </c>
      <c r="R1047" s="34">
        <f>IF(OR($L1047="",$K1047=""),"",IFERROR(IF(INDEX(PARAMETRES!$H$43:$H$342,MATCH($L1047&amp;"|"&amp;$M1047&amp;"|"&amp;$N1047&amp;"|"&amp;$O1047&amp;"|"&amp;$P1047&amp;"|"&amp;$Q1047&amp;"|"&amp;$K1047,PARAMETRES!$J$43:$J$342,0))="","",INDEX(PARAMETRES!$H$43:$H$342,MATCH($L1047&amp;"|"&amp;$M1047&amp;"|"&amp;$N1047&amp;"|"&amp;$O1047&amp;"|"&amp;$P1047&amp;"|"&amp;$Q1047&amp;"|"&amp;$K1047,PARAMETRES!$J$43:$J$342,0))),""))</f>
        <v/>
      </c>
      <c r="S1047" s="35">
        <f>IF(OR($G1047="",$X1047&lt;&gt;"VALIDE"),"",IFERROR(LOOKUP(2,1/(($B147:$B1046=$B1047)*($G147:$G1046=$G1047)*($X147:$X1046="VALIDE")),$C147:$C1046),""))</f>
        <v/>
      </c>
      <c r="T1047" s="36">
        <f>IF(OR($C1047="",$S1047=""),"",ROUND(($C1047-$S1047+IF($C1047&lt;$S1047,1,0))*1440,0))</f>
        <v/>
      </c>
      <c r="U1047" s="22">
        <f>IF(OR($H1047="",$T1047="",$T1047&lt;=0),"",$H1047*60/$T1047)</f>
        <v/>
      </c>
      <c r="V1047" s="37">
        <f>IF(OR($U1047="",$R1047="",$R1047=0),"",$U1047/$R1047)</f>
        <v/>
      </c>
      <c r="W1047" s="20">
        <f>IF($G1047="","",IF($X1047="CONTEXTE INCOMPLET","CONTEXTE INCOMPLET",IF($X1047="DOUBLON",StatutDoublon,IF($S1047="",StatutInitial,IF($R1047="",StatutStandardManquant,IF($V1047="","DONNEES INSUFFISANTES",IF($V1047&gt;=SeuilConforme,StatutConforme,IF($V1047&gt;=SeuilSurveiller,StatutSurveiller,StatutSousStandard))))))))</f>
        <v/>
      </c>
      <c r="X1047" s="33">
        <f>IF($G1047="","",IF(OR($D1047="",$E1047="",$F1047=""),"CONTEXTE INCOMPLET",IF(COUNTIFS($D147:$D1046,$D1047,$E147:$E1046,$E1047,$F147:$F1046,$F1047,$G147:$G1046,$G1047)&gt;0,"DOUBLON","VALIDE")))</f>
        <v/>
      </c>
    </row>
    <row r="1048" ht="15" customHeight="1">
      <c r="A1048" s="12">
        <f>IF(OR($B1048="",$G1048=""),"",TEXT($B1048,"YYYYMMDD")&amp;"-"&amp;SUBSTITUTE($E1048," ","")&amp;"-"&amp;$F1048&amp;"-"&amp;$G1048)</f>
        <v/>
      </c>
      <c r="B1048" s="15" t="n"/>
      <c r="C1048" s="16" t="n"/>
      <c r="D1048" s="10" t="n"/>
      <c r="E1048" s="9" t="n"/>
      <c r="F1048" s="9" t="n"/>
      <c r="G1048" s="13" t="n"/>
      <c r="H1048" s="21" t="n"/>
      <c r="I1048" s="21" t="n"/>
      <c r="J1048" s="17">
        <f>IF($G1048="","",IFERROR(INDEX(NomsEmployes,MATCH($G1048,MatriculesEmployes,0)),"MATRICULE INCONNU"))</f>
        <v/>
      </c>
      <c r="K1048" s="33">
        <f>IF(OR($D1048="",$F1048=""),"",IFERROR(IF(INDEX(RUNS!$L$6:$S$1005,MATCH($D1048,RUNS!$A$6:$A$1005,0),MATCH("ACTIVITÉ "&amp;$F1048,RUNS!$L$5:$S$5,0))="","",INDEX(RUNS!$L$6:$S$1005,MATCH($D1048,RUNS!$A$6:$A$1005,0),MATCH("ACTIVITÉ "&amp;$F1048,RUNS!$L$5:$S$5,0))),""))</f>
        <v/>
      </c>
      <c r="L1048" s="33">
        <f>IF($D1048="","",IFERROR(IF(INDEX(RUNS!$E$6:$E$1005,MATCH($D1048,RUNS!$A$6:$A$1005,0))="","",INDEX(RUNS!$E$6:$E$1005,MATCH($D1048,RUNS!$A$6:$A$1005,0))),""))</f>
        <v/>
      </c>
      <c r="M1048" s="33">
        <f>IF($D1048="","",IFERROR(IF(INDEX(RUNS!$F$6:$F$1005,MATCH($D1048,RUNS!$A$6:$A$1005,0))="","",INDEX(RUNS!$F$6:$F$1005,MATCH($D1048,RUNS!$A$6:$A$1005,0))),""))</f>
        <v/>
      </c>
      <c r="N1048" s="33">
        <f>IF($D1048="","",IFERROR(IF(INDEX(RUNS!$G$6:$G$1005,MATCH($D1048,RUNS!$A$6:$A$1005,0))="","",INDEX(RUNS!$G$6:$G$1005,MATCH($D1048,RUNS!$A$6:$A$1005,0))),""))</f>
        <v/>
      </c>
      <c r="O1048" s="33">
        <f>IF($D1048="","",IFERROR(IF(INDEX(RUNS!$H$6:$H$1005,MATCH($D1048,RUNS!$A$6:$A$1005,0))="","",INDEX(RUNS!$H$6:$H$1005,MATCH($D1048,RUNS!$A$6:$A$1005,0))),""))</f>
        <v/>
      </c>
      <c r="P1048" s="33">
        <f>IF($D1048="","",IFERROR(IF(INDEX(RUNS!$J$6:$J$1005,MATCH($D1048,RUNS!$A$6:$A$1005,0))="","",INDEX(RUNS!$J$6:$J$1005,MATCH($D1048,RUNS!$A$6:$A$1005,0))),""))</f>
        <v/>
      </c>
      <c r="Q1048" s="33">
        <f>IF($D1048="","",IFERROR(IF(INDEX(RUNS!$K$6:$K$1005,MATCH($D1048,RUNS!$A$6:$A$1005,0))="","",INDEX(RUNS!$K$6:$K$1005,MATCH($D1048,RUNS!$A$6:$A$1005,0))),""))</f>
        <v/>
      </c>
      <c r="R1048" s="34">
        <f>IF(OR($L1048="",$K1048=""),"",IFERROR(IF(INDEX(PARAMETRES!$H$43:$H$342,MATCH($L1048&amp;"|"&amp;$M1048&amp;"|"&amp;$N1048&amp;"|"&amp;$O1048&amp;"|"&amp;$P1048&amp;"|"&amp;$Q1048&amp;"|"&amp;$K1048,PARAMETRES!$J$43:$J$342,0))="","",INDEX(PARAMETRES!$H$43:$H$342,MATCH($L1048&amp;"|"&amp;$M1048&amp;"|"&amp;$N1048&amp;"|"&amp;$O1048&amp;"|"&amp;$P1048&amp;"|"&amp;$Q1048&amp;"|"&amp;$K1048,PARAMETRES!$J$43:$J$342,0))),""))</f>
        <v/>
      </c>
      <c r="S1048" s="35">
        <f>IF(OR($G1048="",$X1048&lt;&gt;"VALIDE"),"",IFERROR(LOOKUP(2,1/(($B148:$B1047=$B1048)*($G148:$G1047=$G1048)*($X148:$X1047="VALIDE")),$C148:$C1047),""))</f>
        <v/>
      </c>
      <c r="T1048" s="36">
        <f>IF(OR($C1048="",$S1048=""),"",ROUND(($C1048-$S1048+IF($C1048&lt;$S1048,1,0))*1440,0))</f>
        <v/>
      </c>
      <c r="U1048" s="22">
        <f>IF(OR($H1048="",$T1048="",$T1048&lt;=0),"",$H1048*60/$T1048)</f>
        <v/>
      </c>
      <c r="V1048" s="37">
        <f>IF(OR($U1048="",$R1048="",$R1048=0),"",$U1048/$R1048)</f>
        <v/>
      </c>
      <c r="W1048" s="20">
        <f>IF($G1048="","",IF($X1048="CONTEXTE INCOMPLET","CONTEXTE INCOMPLET",IF($X1048="DOUBLON",StatutDoublon,IF($S1048="",StatutInitial,IF($R1048="",StatutStandardManquant,IF($V1048="","DONNEES INSUFFISANTES",IF($V1048&gt;=SeuilConforme,StatutConforme,IF($V1048&gt;=SeuilSurveiller,StatutSurveiller,StatutSousStandard))))))))</f>
        <v/>
      </c>
      <c r="X1048" s="33">
        <f>IF($G1048="","",IF(OR($D1048="",$E1048="",$F1048=""),"CONTEXTE INCOMPLET",IF(COUNTIFS($D148:$D1047,$D1048,$E148:$E1047,$E1048,$F148:$F1047,$F1048,$G148:$G1047,$G1048)&gt;0,"DOUBLON","VALIDE")))</f>
        <v/>
      </c>
    </row>
    <row r="1049" ht="15" customHeight="1">
      <c r="A1049" s="12">
        <f>IF(OR($B1049="",$G1049=""),"",TEXT($B1049,"YYYYMMDD")&amp;"-"&amp;SUBSTITUTE($E1049," ","")&amp;"-"&amp;$F1049&amp;"-"&amp;$G1049)</f>
        <v/>
      </c>
      <c r="B1049" s="15" t="n"/>
      <c r="C1049" s="16" t="n"/>
      <c r="D1049" s="10" t="n"/>
      <c r="E1049" s="9" t="n"/>
      <c r="F1049" s="9" t="n"/>
      <c r="G1049" s="13" t="n"/>
      <c r="H1049" s="21" t="n"/>
      <c r="I1049" s="21" t="n"/>
      <c r="J1049" s="17">
        <f>IF($G1049="","",IFERROR(INDEX(NomsEmployes,MATCH($G1049,MatriculesEmployes,0)),"MATRICULE INCONNU"))</f>
        <v/>
      </c>
      <c r="K1049" s="33">
        <f>IF(OR($D1049="",$F1049=""),"",IFERROR(IF(INDEX(RUNS!$L$6:$S$1005,MATCH($D1049,RUNS!$A$6:$A$1005,0),MATCH("ACTIVITÉ "&amp;$F1049,RUNS!$L$5:$S$5,0))="","",INDEX(RUNS!$L$6:$S$1005,MATCH($D1049,RUNS!$A$6:$A$1005,0),MATCH("ACTIVITÉ "&amp;$F1049,RUNS!$L$5:$S$5,0))),""))</f>
        <v/>
      </c>
      <c r="L1049" s="33">
        <f>IF($D1049="","",IFERROR(IF(INDEX(RUNS!$E$6:$E$1005,MATCH($D1049,RUNS!$A$6:$A$1005,0))="","",INDEX(RUNS!$E$6:$E$1005,MATCH($D1049,RUNS!$A$6:$A$1005,0))),""))</f>
        <v/>
      </c>
      <c r="M1049" s="33">
        <f>IF($D1049="","",IFERROR(IF(INDEX(RUNS!$F$6:$F$1005,MATCH($D1049,RUNS!$A$6:$A$1005,0))="","",INDEX(RUNS!$F$6:$F$1005,MATCH($D1049,RUNS!$A$6:$A$1005,0))),""))</f>
        <v/>
      </c>
      <c r="N1049" s="33">
        <f>IF($D1049="","",IFERROR(IF(INDEX(RUNS!$G$6:$G$1005,MATCH($D1049,RUNS!$A$6:$A$1005,0))="","",INDEX(RUNS!$G$6:$G$1005,MATCH($D1049,RUNS!$A$6:$A$1005,0))),""))</f>
        <v/>
      </c>
      <c r="O1049" s="33">
        <f>IF($D1049="","",IFERROR(IF(INDEX(RUNS!$H$6:$H$1005,MATCH($D1049,RUNS!$A$6:$A$1005,0))="","",INDEX(RUNS!$H$6:$H$1005,MATCH($D1049,RUNS!$A$6:$A$1005,0))),""))</f>
        <v/>
      </c>
      <c r="P1049" s="33">
        <f>IF($D1049="","",IFERROR(IF(INDEX(RUNS!$J$6:$J$1005,MATCH($D1049,RUNS!$A$6:$A$1005,0))="","",INDEX(RUNS!$J$6:$J$1005,MATCH($D1049,RUNS!$A$6:$A$1005,0))),""))</f>
        <v/>
      </c>
      <c r="Q1049" s="33">
        <f>IF($D1049="","",IFERROR(IF(INDEX(RUNS!$K$6:$K$1005,MATCH($D1049,RUNS!$A$6:$A$1005,0))="","",INDEX(RUNS!$K$6:$K$1005,MATCH($D1049,RUNS!$A$6:$A$1005,0))),""))</f>
        <v/>
      </c>
      <c r="R1049" s="34">
        <f>IF(OR($L1049="",$K1049=""),"",IFERROR(IF(INDEX(PARAMETRES!$H$43:$H$342,MATCH($L1049&amp;"|"&amp;$M1049&amp;"|"&amp;$N1049&amp;"|"&amp;$O1049&amp;"|"&amp;$P1049&amp;"|"&amp;$Q1049&amp;"|"&amp;$K1049,PARAMETRES!$J$43:$J$342,0))="","",INDEX(PARAMETRES!$H$43:$H$342,MATCH($L1049&amp;"|"&amp;$M1049&amp;"|"&amp;$N1049&amp;"|"&amp;$O1049&amp;"|"&amp;$P1049&amp;"|"&amp;$Q1049&amp;"|"&amp;$K1049,PARAMETRES!$J$43:$J$342,0))),""))</f>
        <v/>
      </c>
      <c r="S1049" s="35">
        <f>IF(OR($G1049="",$X1049&lt;&gt;"VALIDE"),"",IFERROR(LOOKUP(2,1/(($B149:$B1048=$B1049)*($G149:$G1048=$G1049)*($X149:$X1048="VALIDE")),$C149:$C1048),""))</f>
        <v/>
      </c>
      <c r="T1049" s="36">
        <f>IF(OR($C1049="",$S1049=""),"",ROUND(($C1049-$S1049+IF($C1049&lt;$S1049,1,0))*1440,0))</f>
        <v/>
      </c>
      <c r="U1049" s="22">
        <f>IF(OR($H1049="",$T1049="",$T1049&lt;=0),"",$H1049*60/$T1049)</f>
        <v/>
      </c>
      <c r="V1049" s="37">
        <f>IF(OR($U1049="",$R1049="",$R1049=0),"",$U1049/$R1049)</f>
        <v/>
      </c>
      <c r="W1049" s="20">
        <f>IF($G1049="","",IF($X1049="CONTEXTE INCOMPLET","CONTEXTE INCOMPLET",IF($X1049="DOUBLON",StatutDoublon,IF($S1049="",StatutInitial,IF($R1049="",StatutStandardManquant,IF($V1049="","DONNEES INSUFFISANTES",IF($V1049&gt;=SeuilConforme,StatutConforme,IF($V1049&gt;=SeuilSurveiller,StatutSurveiller,StatutSousStandard))))))))</f>
        <v/>
      </c>
      <c r="X1049" s="33">
        <f>IF($G1049="","",IF(OR($D1049="",$E1049="",$F1049=""),"CONTEXTE INCOMPLET",IF(COUNTIFS($D149:$D1048,$D1049,$E149:$E1048,$E1049,$F149:$F1048,$F1049,$G149:$G1048,$G1049)&gt;0,"DOUBLON","VALIDE")))</f>
        <v/>
      </c>
    </row>
    <row r="1050" ht="15" customHeight="1">
      <c r="A1050" s="12">
        <f>IF(OR($B1050="",$G1050=""),"",TEXT($B1050,"YYYYMMDD")&amp;"-"&amp;SUBSTITUTE($E1050," ","")&amp;"-"&amp;$F1050&amp;"-"&amp;$G1050)</f>
        <v/>
      </c>
      <c r="B1050" s="15" t="n"/>
      <c r="C1050" s="16" t="n"/>
      <c r="D1050" s="10" t="n"/>
      <c r="E1050" s="9" t="n"/>
      <c r="F1050" s="9" t="n"/>
      <c r="G1050" s="13" t="n"/>
      <c r="H1050" s="21" t="n"/>
      <c r="I1050" s="21" t="n"/>
      <c r="J1050" s="17">
        <f>IF($G1050="","",IFERROR(INDEX(NomsEmployes,MATCH($G1050,MatriculesEmployes,0)),"MATRICULE INCONNU"))</f>
        <v/>
      </c>
      <c r="K1050" s="33">
        <f>IF(OR($D1050="",$F1050=""),"",IFERROR(IF(INDEX(RUNS!$L$6:$S$1005,MATCH($D1050,RUNS!$A$6:$A$1005,0),MATCH("ACTIVITÉ "&amp;$F1050,RUNS!$L$5:$S$5,0))="","",INDEX(RUNS!$L$6:$S$1005,MATCH($D1050,RUNS!$A$6:$A$1005,0),MATCH("ACTIVITÉ "&amp;$F1050,RUNS!$L$5:$S$5,0))),""))</f>
        <v/>
      </c>
      <c r="L1050" s="33">
        <f>IF($D1050="","",IFERROR(IF(INDEX(RUNS!$E$6:$E$1005,MATCH($D1050,RUNS!$A$6:$A$1005,0))="","",INDEX(RUNS!$E$6:$E$1005,MATCH($D1050,RUNS!$A$6:$A$1005,0))),""))</f>
        <v/>
      </c>
      <c r="M1050" s="33">
        <f>IF($D1050="","",IFERROR(IF(INDEX(RUNS!$F$6:$F$1005,MATCH($D1050,RUNS!$A$6:$A$1005,0))="","",INDEX(RUNS!$F$6:$F$1005,MATCH($D1050,RUNS!$A$6:$A$1005,0))),""))</f>
        <v/>
      </c>
      <c r="N1050" s="33">
        <f>IF($D1050="","",IFERROR(IF(INDEX(RUNS!$G$6:$G$1005,MATCH($D1050,RUNS!$A$6:$A$1005,0))="","",INDEX(RUNS!$G$6:$G$1005,MATCH($D1050,RUNS!$A$6:$A$1005,0))),""))</f>
        <v/>
      </c>
      <c r="O1050" s="33">
        <f>IF($D1050="","",IFERROR(IF(INDEX(RUNS!$H$6:$H$1005,MATCH($D1050,RUNS!$A$6:$A$1005,0))="","",INDEX(RUNS!$H$6:$H$1005,MATCH($D1050,RUNS!$A$6:$A$1005,0))),""))</f>
        <v/>
      </c>
      <c r="P1050" s="33">
        <f>IF($D1050="","",IFERROR(IF(INDEX(RUNS!$J$6:$J$1005,MATCH($D1050,RUNS!$A$6:$A$1005,0))="","",INDEX(RUNS!$J$6:$J$1005,MATCH($D1050,RUNS!$A$6:$A$1005,0))),""))</f>
        <v/>
      </c>
      <c r="Q1050" s="33">
        <f>IF($D1050="","",IFERROR(IF(INDEX(RUNS!$K$6:$K$1005,MATCH($D1050,RUNS!$A$6:$A$1005,0))="","",INDEX(RUNS!$K$6:$K$1005,MATCH($D1050,RUNS!$A$6:$A$1005,0))),""))</f>
        <v/>
      </c>
      <c r="R1050" s="34">
        <f>IF(OR($L1050="",$K1050=""),"",IFERROR(IF(INDEX(PARAMETRES!$H$43:$H$342,MATCH($L1050&amp;"|"&amp;$M1050&amp;"|"&amp;$N1050&amp;"|"&amp;$O1050&amp;"|"&amp;$P1050&amp;"|"&amp;$Q1050&amp;"|"&amp;$K1050,PARAMETRES!$J$43:$J$342,0))="","",INDEX(PARAMETRES!$H$43:$H$342,MATCH($L1050&amp;"|"&amp;$M1050&amp;"|"&amp;$N1050&amp;"|"&amp;$O1050&amp;"|"&amp;$P1050&amp;"|"&amp;$Q1050&amp;"|"&amp;$K1050,PARAMETRES!$J$43:$J$342,0))),""))</f>
        <v/>
      </c>
      <c r="S1050" s="35">
        <f>IF(OR($G1050="",$X1050&lt;&gt;"VALIDE"),"",IFERROR(LOOKUP(2,1/(($B150:$B1049=$B1050)*($G150:$G1049=$G1050)*($X150:$X1049="VALIDE")),$C150:$C1049),""))</f>
        <v/>
      </c>
      <c r="T1050" s="36">
        <f>IF(OR($C1050="",$S1050=""),"",ROUND(($C1050-$S1050+IF($C1050&lt;$S1050,1,0))*1440,0))</f>
        <v/>
      </c>
      <c r="U1050" s="22">
        <f>IF(OR($H1050="",$T1050="",$T1050&lt;=0),"",$H1050*60/$T1050)</f>
        <v/>
      </c>
      <c r="V1050" s="37">
        <f>IF(OR($U1050="",$R1050="",$R1050=0),"",$U1050/$R1050)</f>
        <v/>
      </c>
      <c r="W1050" s="20">
        <f>IF($G1050="","",IF($X1050="CONTEXTE INCOMPLET","CONTEXTE INCOMPLET",IF($X1050="DOUBLON",StatutDoublon,IF($S1050="",StatutInitial,IF($R1050="",StatutStandardManquant,IF($V1050="","DONNEES INSUFFISANTES",IF($V1050&gt;=SeuilConforme,StatutConforme,IF($V1050&gt;=SeuilSurveiller,StatutSurveiller,StatutSousStandard))))))))</f>
        <v/>
      </c>
      <c r="X1050" s="33">
        <f>IF($G1050="","",IF(OR($D1050="",$E1050="",$F1050=""),"CONTEXTE INCOMPLET",IF(COUNTIFS($D150:$D1049,$D1050,$E150:$E1049,$E1050,$F150:$F1049,$F1050,$G150:$G1049,$G1050)&gt;0,"DOUBLON","VALIDE")))</f>
        <v/>
      </c>
    </row>
    <row r="1051" ht="15" customHeight="1">
      <c r="A1051" s="12">
        <f>IF(OR($B1051="",$G1051=""),"",TEXT($B1051,"YYYYMMDD")&amp;"-"&amp;SUBSTITUTE($E1051," ","")&amp;"-"&amp;$F1051&amp;"-"&amp;$G1051)</f>
        <v/>
      </c>
      <c r="B1051" s="15" t="n"/>
      <c r="C1051" s="16" t="n"/>
      <c r="D1051" s="10" t="n"/>
      <c r="E1051" s="9" t="n"/>
      <c r="F1051" s="9" t="n"/>
      <c r="G1051" s="13" t="n"/>
      <c r="H1051" s="21" t="n"/>
      <c r="I1051" s="21" t="n"/>
      <c r="J1051" s="17">
        <f>IF($G1051="","",IFERROR(INDEX(NomsEmployes,MATCH($G1051,MatriculesEmployes,0)),"MATRICULE INCONNU"))</f>
        <v/>
      </c>
      <c r="K1051" s="33">
        <f>IF(OR($D1051="",$F1051=""),"",IFERROR(IF(INDEX(RUNS!$L$6:$S$1005,MATCH($D1051,RUNS!$A$6:$A$1005,0),MATCH("ACTIVITÉ "&amp;$F1051,RUNS!$L$5:$S$5,0))="","",INDEX(RUNS!$L$6:$S$1005,MATCH($D1051,RUNS!$A$6:$A$1005,0),MATCH("ACTIVITÉ "&amp;$F1051,RUNS!$L$5:$S$5,0))),""))</f>
        <v/>
      </c>
      <c r="L1051" s="33">
        <f>IF($D1051="","",IFERROR(IF(INDEX(RUNS!$E$6:$E$1005,MATCH($D1051,RUNS!$A$6:$A$1005,0))="","",INDEX(RUNS!$E$6:$E$1005,MATCH($D1051,RUNS!$A$6:$A$1005,0))),""))</f>
        <v/>
      </c>
      <c r="M1051" s="33">
        <f>IF($D1051="","",IFERROR(IF(INDEX(RUNS!$F$6:$F$1005,MATCH($D1051,RUNS!$A$6:$A$1005,0))="","",INDEX(RUNS!$F$6:$F$1005,MATCH($D1051,RUNS!$A$6:$A$1005,0))),""))</f>
        <v/>
      </c>
      <c r="N1051" s="33">
        <f>IF($D1051="","",IFERROR(IF(INDEX(RUNS!$G$6:$G$1005,MATCH($D1051,RUNS!$A$6:$A$1005,0))="","",INDEX(RUNS!$G$6:$G$1005,MATCH($D1051,RUNS!$A$6:$A$1005,0))),""))</f>
        <v/>
      </c>
      <c r="O1051" s="33">
        <f>IF($D1051="","",IFERROR(IF(INDEX(RUNS!$H$6:$H$1005,MATCH($D1051,RUNS!$A$6:$A$1005,0))="","",INDEX(RUNS!$H$6:$H$1005,MATCH($D1051,RUNS!$A$6:$A$1005,0))),""))</f>
        <v/>
      </c>
      <c r="P1051" s="33">
        <f>IF($D1051="","",IFERROR(IF(INDEX(RUNS!$J$6:$J$1005,MATCH($D1051,RUNS!$A$6:$A$1005,0))="","",INDEX(RUNS!$J$6:$J$1005,MATCH($D1051,RUNS!$A$6:$A$1005,0))),""))</f>
        <v/>
      </c>
      <c r="Q1051" s="33">
        <f>IF($D1051="","",IFERROR(IF(INDEX(RUNS!$K$6:$K$1005,MATCH($D1051,RUNS!$A$6:$A$1005,0))="","",INDEX(RUNS!$K$6:$K$1005,MATCH($D1051,RUNS!$A$6:$A$1005,0))),""))</f>
        <v/>
      </c>
      <c r="R1051" s="34">
        <f>IF(OR($L1051="",$K1051=""),"",IFERROR(IF(INDEX(PARAMETRES!$H$43:$H$342,MATCH($L1051&amp;"|"&amp;$M1051&amp;"|"&amp;$N1051&amp;"|"&amp;$O1051&amp;"|"&amp;$P1051&amp;"|"&amp;$Q1051&amp;"|"&amp;$K1051,PARAMETRES!$J$43:$J$342,0))="","",INDEX(PARAMETRES!$H$43:$H$342,MATCH($L1051&amp;"|"&amp;$M1051&amp;"|"&amp;$N1051&amp;"|"&amp;$O1051&amp;"|"&amp;$P1051&amp;"|"&amp;$Q1051&amp;"|"&amp;$K1051,PARAMETRES!$J$43:$J$342,0))),""))</f>
        <v/>
      </c>
      <c r="S1051" s="35">
        <f>IF(OR($G1051="",$X1051&lt;&gt;"VALIDE"),"",IFERROR(LOOKUP(2,1/(($B151:$B1050=$B1051)*($G151:$G1050=$G1051)*($X151:$X1050="VALIDE")),$C151:$C1050),""))</f>
        <v/>
      </c>
      <c r="T1051" s="36">
        <f>IF(OR($C1051="",$S1051=""),"",ROUND(($C1051-$S1051+IF($C1051&lt;$S1051,1,0))*1440,0))</f>
        <v/>
      </c>
      <c r="U1051" s="22">
        <f>IF(OR($H1051="",$T1051="",$T1051&lt;=0),"",$H1051*60/$T1051)</f>
        <v/>
      </c>
      <c r="V1051" s="37">
        <f>IF(OR($U1051="",$R1051="",$R1051=0),"",$U1051/$R1051)</f>
        <v/>
      </c>
      <c r="W1051" s="20">
        <f>IF($G1051="","",IF($X1051="CONTEXTE INCOMPLET","CONTEXTE INCOMPLET",IF($X1051="DOUBLON",StatutDoublon,IF($S1051="",StatutInitial,IF($R1051="",StatutStandardManquant,IF($V1051="","DONNEES INSUFFISANTES",IF($V1051&gt;=SeuilConforme,StatutConforme,IF($V1051&gt;=SeuilSurveiller,StatutSurveiller,StatutSousStandard))))))))</f>
        <v/>
      </c>
      <c r="X1051" s="33">
        <f>IF($G1051="","",IF(OR($D1051="",$E1051="",$F1051=""),"CONTEXTE INCOMPLET",IF(COUNTIFS($D151:$D1050,$D1051,$E151:$E1050,$E1051,$F151:$F1050,$F1051,$G151:$G1050,$G1051)&gt;0,"DOUBLON","VALIDE")))</f>
        <v/>
      </c>
    </row>
    <row r="1052" ht="15" customHeight="1">
      <c r="A1052" s="12">
        <f>IF(OR($B1052="",$G1052=""),"",TEXT($B1052,"YYYYMMDD")&amp;"-"&amp;SUBSTITUTE($E1052," ","")&amp;"-"&amp;$F1052&amp;"-"&amp;$G1052)</f>
        <v/>
      </c>
      <c r="B1052" s="15" t="n"/>
      <c r="C1052" s="16" t="n"/>
      <c r="D1052" s="10" t="n"/>
      <c r="E1052" s="9" t="n"/>
      <c r="F1052" s="9" t="n"/>
      <c r="G1052" s="13" t="n"/>
      <c r="H1052" s="21" t="n"/>
      <c r="I1052" s="21" t="n"/>
      <c r="J1052" s="17">
        <f>IF($G1052="","",IFERROR(INDEX(NomsEmployes,MATCH($G1052,MatriculesEmployes,0)),"MATRICULE INCONNU"))</f>
        <v/>
      </c>
      <c r="K1052" s="33">
        <f>IF(OR($D1052="",$F1052=""),"",IFERROR(IF(INDEX(RUNS!$L$6:$S$1005,MATCH($D1052,RUNS!$A$6:$A$1005,0),MATCH("ACTIVITÉ "&amp;$F1052,RUNS!$L$5:$S$5,0))="","",INDEX(RUNS!$L$6:$S$1005,MATCH($D1052,RUNS!$A$6:$A$1005,0),MATCH("ACTIVITÉ "&amp;$F1052,RUNS!$L$5:$S$5,0))),""))</f>
        <v/>
      </c>
      <c r="L1052" s="33">
        <f>IF($D1052="","",IFERROR(IF(INDEX(RUNS!$E$6:$E$1005,MATCH($D1052,RUNS!$A$6:$A$1005,0))="","",INDEX(RUNS!$E$6:$E$1005,MATCH($D1052,RUNS!$A$6:$A$1005,0))),""))</f>
        <v/>
      </c>
      <c r="M1052" s="33">
        <f>IF($D1052="","",IFERROR(IF(INDEX(RUNS!$F$6:$F$1005,MATCH($D1052,RUNS!$A$6:$A$1005,0))="","",INDEX(RUNS!$F$6:$F$1005,MATCH($D1052,RUNS!$A$6:$A$1005,0))),""))</f>
        <v/>
      </c>
      <c r="N1052" s="33">
        <f>IF($D1052="","",IFERROR(IF(INDEX(RUNS!$G$6:$G$1005,MATCH($D1052,RUNS!$A$6:$A$1005,0))="","",INDEX(RUNS!$G$6:$G$1005,MATCH($D1052,RUNS!$A$6:$A$1005,0))),""))</f>
        <v/>
      </c>
      <c r="O1052" s="33">
        <f>IF($D1052="","",IFERROR(IF(INDEX(RUNS!$H$6:$H$1005,MATCH($D1052,RUNS!$A$6:$A$1005,0))="","",INDEX(RUNS!$H$6:$H$1005,MATCH($D1052,RUNS!$A$6:$A$1005,0))),""))</f>
        <v/>
      </c>
      <c r="P1052" s="33">
        <f>IF($D1052="","",IFERROR(IF(INDEX(RUNS!$J$6:$J$1005,MATCH($D1052,RUNS!$A$6:$A$1005,0))="","",INDEX(RUNS!$J$6:$J$1005,MATCH($D1052,RUNS!$A$6:$A$1005,0))),""))</f>
        <v/>
      </c>
      <c r="Q1052" s="33">
        <f>IF($D1052="","",IFERROR(IF(INDEX(RUNS!$K$6:$K$1005,MATCH($D1052,RUNS!$A$6:$A$1005,0))="","",INDEX(RUNS!$K$6:$K$1005,MATCH($D1052,RUNS!$A$6:$A$1005,0))),""))</f>
        <v/>
      </c>
      <c r="R1052" s="34">
        <f>IF(OR($L1052="",$K1052=""),"",IFERROR(IF(INDEX(PARAMETRES!$H$43:$H$342,MATCH($L1052&amp;"|"&amp;$M1052&amp;"|"&amp;$N1052&amp;"|"&amp;$O1052&amp;"|"&amp;$P1052&amp;"|"&amp;$Q1052&amp;"|"&amp;$K1052,PARAMETRES!$J$43:$J$342,0))="","",INDEX(PARAMETRES!$H$43:$H$342,MATCH($L1052&amp;"|"&amp;$M1052&amp;"|"&amp;$N1052&amp;"|"&amp;$O1052&amp;"|"&amp;$P1052&amp;"|"&amp;$Q1052&amp;"|"&amp;$K1052,PARAMETRES!$J$43:$J$342,0))),""))</f>
        <v/>
      </c>
      <c r="S1052" s="35">
        <f>IF(OR($G1052="",$X1052&lt;&gt;"VALIDE"),"",IFERROR(LOOKUP(2,1/(($B152:$B1051=$B1052)*($G152:$G1051=$G1052)*($X152:$X1051="VALIDE")),$C152:$C1051),""))</f>
        <v/>
      </c>
      <c r="T1052" s="36">
        <f>IF(OR($C1052="",$S1052=""),"",ROUND(($C1052-$S1052+IF($C1052&lt;$S1052,1,0))*1440,0))</f>
        <v/>
      </c>
      <c r="U1052" s="22">
        <f>IF(OR($H1052="",$T1052="",$T1052&lt;=0),"",$H1052*60/$T1052)</f>
        <v/>
      </c>
      <c r="V1052" s="37">
        <f>IF(OR($U1052="",$R1052="",$R1052=0),"",$U1052/$R1052)</f>
        <v/>
      </c>
      <c r="W1052" s="20">
        <f>IF($G1052="","",IF($X1052="CONTEXTE INCOMPLET","CONTEXTE INCOMPLET",IF($X1052="DOUBLON",StatutDoublon,IF($S1052="",StatutInitial,IF($R1052="",StatutStandardManquant,IF($V1052="","DONNEES INSUFFISANTES",IF($V1052&gt;=SeuilConforme,StatutConforme,IF($V1052&gt;=SeuilSurveiller,StatutSurveiller,StatutSousStandard))))))))</f>
        <v/>
      </c>
      <c r="X1052" s="33">
        <f>IF($G1052="","",IF(OR($D1052="",$E1052="",$F1052=""),"CONTEXTE INCOMPLET",IF(COUNTIFS($D152:$D1051,$D1052,$E152:$E1051,$E1052,$F152:$F1051,$F1052,$G152:$G1051,$G1052)&gt;0,"DOUBLON","VALIDE")))</f>
        <v/>
      </c>
    </row>
    <row r="1053" ht="15" customHeight="1">
      <c r="A1053" s="12">
        <f>IF(OR($B1053="",$G1053=""),"",TEXT($B1053,"YYYYMMDD")&amp;"-"&amp;SUBSTITUTE($E1053," ","")&amp;"-"&amp;$F1053&amp;"-"&amp;$G1053)</f>
        <v/>
      </c>
      <c r="B1053" s="15" t="n"/>
      <c r="C1053" s="16" t="n"/>
      <c r="D1053" s="10" t="n"/>
      <c r="E1053" s="9" t="n"/>
      <c r="F1053" s="9" t="n"/>
      <c r="G1053" s="13" t="n"/>
      <c r="H1053" s="21" t="n"/>
      <c r="I1053" s="21" t="n"/>
      <c r="J1053" s="17">
        <f>IF($G1053="","",IFERROR(INDEX(NomsEmployes,MATCH($G1053,MatriculesEmployes,0)),"MATRICULE INCONNU"))</f>
        <v/>
      </c>
      <c r="K1053" s="33">
        <f>IF(OR($D1053="",$F1053=""),"",IFERROR(IF(INDEX(RUNS!$L$6:$S$1005,MATCH($D1053,RUNS!$A$6:$A$1005,0),MATCH("ACTIVITÉ "&amp;$F1053,RUNS!$L$5:$S$5,0))="","",INDEX(RUNS!$L$6:$S$1005,MATCH($D1053,RUNS!$A$6:$A$1005,0),MATCH("ACTIVITÉ "&amp;$F1053,RUNS!$L$5:$S$5,0))),""))</f>
        <v/>
      </c>
      <c r="L1053" s="33">
        <f>IF($D1053="","",IFERROR(IF(INDEX(RUNS!$E$6:$E$1005,MATCH($D1053,RUNS!$A$6:$A$1005,0))="","",INDEX(RUNS!$E$6:$E$1005,MATCH($D1053,RUNS!$A$6:$A$1005,0))),""))</f>
        <v/>
      </c>
      <c r="M1053" s="33">
        <f>IF($D1053="","",IFERROR(IF(INDEX(RUNS!$F$6:$F$1005,MATCH($D1053,RUNS!$A$6:$A$1005,0))="","",INDEX(RUNS!$F$6:$F$1005,MATCH($D1053,RUNS!$A$6:$A$1005,0))),""))</f>
        <v/>
      </c>
      <c r="N1053" s="33">
        <f>IF($D1053="","",IFERROR(IF(INDEX(RUNS!$G$6:$G$1005,MATCH($D1053,RUNS!$A$6:$A$1005,0))="","",INDEX(RUNS!$G$6:$G$1005,MATCH($D1053,RUNS!$A$6:$A$1005,0))),""))</f>
        <v/>
      </c>
      <c r="O1053" s="33">
        <f>IF($D1053="","",IFERROR(IF(INDEX(RUNS!$H$6:$H$1005,MATCH($D1053,RUNS!$A$6:$A$1005,0))="","",INDEX(RUNS!$H$6:$H$1005,MATCH($D1053,RUNS!$A$6:$A$1005,0))),""))</f>
        <v/>
      </c>
      <c r="P1053" s="33">
        <f>IF($D1053="","",IFERROR(IF(INDEX(RUNS!$J$6:$J$1005,MATCH($D1053,RUNS!$A$6:$A$1005,0))="","",INDEX(RUNS!$J$6:$J$1005,MATCH($D1053,RUNS!$A$6:$A$1005,0))),""))</f>
        <v/>
      </c>
      <c r="Q1053" s="33">
        <f>IF($D1053="","",IFERROR(IF(INDEX(RUNS!$K$6:$K$1005,MATCH($D1053,RUNS!$A$6:$A$1005,0))="","",INDEX(RUNS!$K$6:$K$1005,MATCH($D1053,RUNS!$A$6:$A$1005,0))),""))</f>
        <v/>
      </c>
      <c r="R1053" s="34">
        <f>IF(OR($L1053="",$K1053=""),"",IFERROR(IF(INDEX(PARAMETRES!$H$43:$H$342,MATCH($L1053&amp;"|"&amp;$M1053&amp;"|"&amp;$N1053&amp;"|"&amp;$O1053&amp;"|"&amp;$P1053&amp;"|"&amp;$Q1053&amp;"|"&amp;$K1053,PARAMETRES!$J$43:$J$342,0))="","",INDEX(PARAMETRES!$H$43:$H$342,MATCH($L1053&amp;"|"&amp;$M1053&amp;"|"&amp;$N1053&amp;"|"&amp;$O1053&amp;"|"&amp;$P1053&amp;"|"&amp;$Q1053&amp;"|"&amp;$K1053,PARAMETRES!$J$43:$J$342,0))),""))</f>
        <v/>
      </c>
      <c r="S1053" s="35">
        <f>IF(OR($G1053="",$X1053&lt;&gt;"VALIDE"),"",IFERROR(LOOKUP(2,1/(($B153:$B1052=$B1053)*($G153:$G1052=$G1053)*($X153:$X1052="VALIDE")),$C153:$C1052),""))</f>
        <v/>
      </c>
      <c r="T1053" s="36">
        <f>IF(OR($C1053="",$S1053=""),"",ROUND(($C1053-$S1053+IF($C1053&lt;$S1053,1,0))*1440,0))</f>
        <v/>
      </c>
      <c r="U1053" s="22">
        <f>IF(OR($H1053="",$T1053="",$T1053&lt;=0),"",$H1053*60/$T1053)</f>
        <v/>
      </c>
      <c r="V1053" s="37">
        <f>IF(OR($U1053="",$R1053="",$R1053=0),"",$U1053/$R1053)</f>
        <v/>
      </c>
      <c r="W1053" s="20">
        <f>IF($G1053="","",IF($X1053="CONTEXTE INCOMPLET","CONTEXTE INCOMPLET",IF($X1053="DOUBLON",StatutDoublon,IF($S1053="",StatutInitial,IF($R1053="",StatutStandardManquant,IF($V1053="","DONNEES INSUFFISANTES",IF($V1053&gt;=SeuilConforme,StatutConforme,IF($V1053&gt;=SeuilSurveiller,StatutSurveiller,StatutSousStandard))))))))</f>
        <v/>
      </c>
      <c r="X1053" s="33">
        <f>IF($G1053="","",IF(OR($D1053="",$E1053="",$F1053=""),"CONTEXTE INCOMPLET",IF(COUNTIFS($D153:$D1052,$D1053,$E153:$E1052,$E1053,$F153:$F1052,$F1053,$G153:$G1052,$G1053)&gt;0,"DOUBLON","VALIDE")))</f>
        <v/>
      </c>
    </row>
    <row r="1054" ht="15" customHeight="1">
      <c r="A1054" s="12">
        <f>IF(OR($B1054="",$G1054=""),"",TEXT($B1054,"YYYYMMDD")&amp;"-"&amp;SUBSTITUTE($E1054," ","")&amp;"-"&amp;$F1054&amp;"-"&amp;$G1054)</f>
        <v/>
      </c>
      <c r="B1054" s="15" t="n"/>
      <c r="C1054" s="16" t="n"/>
      <c r="D1054" s="10" t="n"/>
      <c r="E1054" s="9" t="n"/>
      <c r="F1054" s="9" t="n"/>
      <c r="G1054" s="13" t="n"/>
      <c r="H1054" s="21" t="n"/>
      <c r="I1054" s="21" t="n"/>
      <c r="J1054" s="17">
        <f>IF($G1054="","",IFERROR(INDEX(NomsEmployes,MATCH($G1054,MatriculesEmployes,0)),"MATRICULE INCONNU"))</f>
        <v/>
      </c>
      <c r="K1054" s="33">
        <f>IF(OR($D1054="",$F1054=""),"",IFERROR(IF(INDEX(RUNS!$L$6:$S$1005,MATCH($D1054,RUNS!$A$6:$A$1005,0),MATCH("ACTIVITÉ "&amp;$F1054,RUNS!$L$5:$S$5,0))="","",INDEX(RUNS!$L$6:$S$1005,MATCH($D1054,RUNS!$A$6:$A$1005,0),MATCH("ACTIVITÉ "&amp;$F1054,RUNS!$L$5:$S$5,0))),""))</f>
        <v/>
      </c>
      <c r="L1054" s="33">
        <f>IF($D1054="","",IFERROR(IF(INDEX(RUNS!$E$6:$E$1005,MATCH($D1054,RUNS!$A$6:$A$1005,0))="","",INDEX(RUNS!$E$6:$E$1005,MATCH($D1054,RUNS!$A$6:$A$1005,0))),""))</f>
        <v/>
      </c>
      <c r="M1054" s="33">
        <f>IF($D1054="","",IFERROR(IF(INDEX(RUNS!$F$6:$F$1005,MATCH($D1054,RUNS!$A$6:$A$1005,0))="","",INDEX(RUNS!$F$6:$F$1005,MATCH($D1054,RUNS!$A$6:$A$1005,0))),""))</f>
        <v/>
      </c>
      <c r="N1054" s="33">
        <f>IF($D1054="","",IFERROR(IF(INDEX(RUNS!$G$6:$G$1005,MATCH($D1054,RUNS!$A$6:$A$1005,0))="","",INDEX(RUNS!$G$6:$G$1005,MATCH($D1054,RUNS!$A$6:$A$1005,0))),""))</f>
        <v/>
      </c>
      <c r="O1054" s="33">
        <f>IF($D1054="","",IFERROR(IF(INDEX(RUNS!$H$6:$H$1005,MATCH($D1054,RUNS!$A$6:$A$1005,0))="","",INDEX(RUNS!$H$6:$H$1005,MATCH($D1054,RUNS!$A$6:$A$1005,0))),""))</f>
        <v/>
      </c>
      <c r="P1054" s="33">
        <f>IF($D1054="","",IFERROR(IF(INDEX(RUNS!$J$6:$J$1005,MATCH($D1054,RUNS!$A$6:$A$1005,0))="","",INDEX(RUNS!$J$6:$J$1005,MATCH($D1054,RUNS!$A$6:$A$1005,0))),""))</f>
        <v/>
      </c>
      <c r="Q1054" s="33">
        <f>IF($D1054="","",IFERROR(IF(INDEX(RUNS!$K$6:$K$1005,MATCH($D1054,RUNS!$A$6:$A$1005,0))="","",INDEX(RUNS!$K$6:$K$1005,MATCH($D1054,RUNS!$A$6:$A$1005,0))),""))</f>
        <v/>
      </c>
      <c r="R1054" s="34">
        <f>IF(OR($L1054="",$K1054=""),"",IFERROR(IF(INDEX(PARAMETRES!$H$43:$H$342,MATCH($L1054&amp;"|"&amp;$M1054&amp;"|"&amp;$N1054&amp;"|"&amp;$O1054&amp;"|"&amp;$P1054&amp;"|"&amp;$Q1054&amp;"|"&amp;$K1054,PARAMETRES!$J$43:$J$342,0))="","",INDEX(PARAMETRES!$H$43:$H$342,MATCH($L1054&amp;"|"&amp;$M1054&amp;"|"&amp;$N1054&amp;"|"&amp;$O1054&amp;"|"&amp;$P1054&amp;"|"&amp;$Q1054&amp;"|"&amp;$K1054,PARAMETRES!$J$43:$J$342,0))),""))</f>
        <v/>
      </c>
      <c r="S1054" s="35">
        <f>IF(OR($G1054="",$X1054&lt;&gt;"VALIDE"),"",IFERROR(LOOKUP(2,1/(($B154:$B1053=$B1054)*($G154:$G1053=$G1054)*($X154:$X1053="VALIDE")),$C154:$C1053),""))</f>
        <v/>
      </c>
      <c r="T1054" s="36">
        <f>IF(OR($C1054="",$S1054=""),"",ROUND(($C1054-$S1054+IF($C1054&lt;$S1054,1,0))*1440,0))</f>
        <v/>
      </c>
      <c r="U1054" s="22">
        <f>IF(OR($H1054="",$T1054="",$T1054&lt;=0),"",$H1054*60/$T1054)</f>
        <v/>
      </c>
      <c r="V1054" s="37">
        <f>IF(OR($U1054="",$R1054="",$R1054=0),"",$U1054/$R1054)</f>
        <v/>
      </c>
      <c r="W1054" s="20">
        <f>IF($G1054="","",IF($X1054="CONTEXTE INCOMPLET","CONTEXTE INCOMPLET",IF($X1054="DOUBLON",StatutDoublon,IF($S1054="",StatutInitial,IF($R1054="",StatutStandardManquant,IF($V1054="","DONNEES INSUFFISANTES",IF($V1054&gt;=SeuilConforme,StatutConforme,IF($V1054&gt;=SeuilSurveiller,StatutSurveiller,StatutSousStandard))))))))</f>
        <v/>
      </c>
      <c r="X1054" s="33">
        <f>IF($G1054="","",IF(OR($D1054="",$E1054="",$F1054=""),"CONTEXTE INCOMPLET",IF(COUNTIFS($D154:$D1053,$D1054,$E154:$E1053,$E1054,$F154:$F1053,$F1054,$G154:$G1053,$G1054)&gt;0,"DOUBLON","VALIDE")))</f>
        <v/>
      </c>
    </row>
    <row r="1055" ht="15" customHeight="1">
      <c r="A1055" s="12">
        <f>IF(OR($B1055="",$G1055=""),"",TEXT($B1055,"YYYYMMDD")&amp;"-"&amp;SUBSTITUTE($E1055," ","")&amp;"-"&amp;$F1055&amp;"-"&amp;$G1055)</f>
        <v/>
      </c>
      <c r="B1055" s="15" t="n"/>
      <c r="C1055" s="16" t="n"/>
      <c r="D1055" s="10" t="n"/>
      <c r="E1055" s="9" t="n"/>
      <c r="F1055" s="9" t="n"/>
      <c r="G1055" s="13" t="n"/>
      <c r="H1055" s="21" t="n"/>
      <c r="I1055" s="21" t="n"/>
      <c r="J1055" s="17">
        <f>IF($G1055="","",IFERROR(INDEX(NomsEmployes,MATCH($G1055,MatriculesEmployes,0)),"MATRICULE INCONNU"))</f>
        <v/>
      </c>
      <c r="K1055" s="33">
        <f>IF(OR($D1055="",$F1055=""),"",IFERROR(IF(INDEX(RUNS!$L$6:$S$1005,MATCH($D1055,RUNS!$A$6:$A$1005,0),MATCH("ACTIVITÉ "&amp;$F1055,RUNS!$L$5:$S$5,0))="","",INDEX(RUNS!$L$6:$S$1005,MATCH($D1055,RUNS!$A$6:$A$1005,0),MATCH("ACTIVITÉ "&amp;$F1055,RUNS!$L$5:$S$5,0))),""))</f>
        <v/>
      </c>
      <c r="L1055" s="33">
        <f>IF($D1055="","",IFERROR(IF(INDEX(RUNS!$E$6:$E$1005,MATCH($D1055,RUNS!$A$6:$A$1005,0))="","",INDEX(RUNS!$E$6:$E$1005,MATCH($D1055,RUNS!$A$6:$A$1005,0))),""))</f>
        <v/>
      </c>
      <c r="M1055" s="33">
        <f>IF($D1055="","",IFERROR(IF(INDEX(RUNS!$F$6:$F$1005,MATCH($D1055,RUNS!$A$6:$A$1005,0))="","",INDEX(RUNS!$F$6:$F$1005,MATCH($D1055,RUNS!$A$6:$A$1005,0))),""))</f>
        <v/>
      </c>
      <c r="N1055" s="33">
        <f>IF($D1055="","",IFERROR(IF(INDEX(RUNS!$G$6:$G$1005,MATCH($D1055,RUNS!$A$6:$A$1005,0))="","",INDEX(RUNS!$G$6:$G$1005,MATCH($D1055,RUNS!$A$6:$A$1005,0))),""))</f>
        <v/>
      </c>
      <c r="O1055" s="33">
        <f>IF($D1055="","",IFERROR(IF(INDEX(RUNS!$H$6:$H$1005,MATCH($D1055,RUNS!$A$6:$A$1005,0))="","",INDEX(RUNS!$H$6:$H$1005,MATCH($D1055,RUNS!$A$6:$A$1005,0))),""))</f>
        <v/>
      </c>
      <c r="P1055" s="33">
        <f>IF($D1055="","",IFERROR(IF(INDEX(RUNS!$J$6:$J$1005,MATCH($D1055,RUNS!$A$6:$A$1005,0))="","",INDEX(RUNS!$J$6:$J$1005,MATCH($D1055,RUNS!$A$6:$A$1005,0))),""))</f>
        <v/>
      </c>
      <c r="Q1055" s="33">
        <f>IF($D1055="","",IFERROR(IF(INDEX(RUNS!$K$6:$K$1005,MATCH($D1055,RUNS!$A$6:$A$1005,0))="","",INDEX(RUNS!$K$6:$K$1005,MATCH($D1055,RUNS!$A$6:$A$1005,0))),""))</f>
        <v/>
      </c>
      <c r="R1055" s="34">
        <f>IF(OR($L1055="",$K1055=""),"",IFERROR(IF(INDEX(PARAMETRES!$H$43:$H$342,MATCH($L1055&amp;"|"&amp;$M1055&amp;"|"&amp;$N1055&amp;"|"&amp;$O1055&amp;"|"&amp;$P1055&amp;"|"&amp;$Q1055&amp;"|"&amp;$K1055,PARAMETRES!$J$43:$J$342,0))="","",INDEX(PARAMETRES!$H$43:$H$342,MATCH($L1055&amp;"|"&amp;$M1055&amp;"|"&amp;$N1055&amp;"|"&amp;$O1055&amp;"|"&amp;$P1055&amp;"|"&amp;$Q1055&amp;"|"&amp;$K1055,PARAMETRES!$J$43:$J$342,0))),""))</f>
        <v/>
      </c>
      <c r="S1055" s="35">
        <f>IF(OR($G1055="",$X1055&lt;&gt;"VALIDE"),"",IFERROR(LOOKUP(2,1/(($B155:$B1054=$B1055)*($G155:$G1054=$G1055)*($X155:$X1054="VALIDE")),$C155:$C1054),""))</f>
        <v/>
      </c>
      <c r="T1055" s="36">
        <f>IF(OR($C1055="",$S1055=""),"",ROUND(($C1055-$S1055+IF($C1055&lt;$S1055,1,0))*1440,0))</f>
        <v/>
      </c>
      <c r="U1055" s="22">
        <f>IF(OR($H1055="",$T1055="",$T1055&lt;=0),"",$H1055*60/$T1055)</f>
        <v/>
      </c>
      <c r="V1055" s="37">
        <f>IF(OR($U1055="",$R1055="",$R1055=0),"",$U1055/$R1055)</f>
        <v/>
      </c>
      <c r="W1055" s="20">
        <f>IF($G1055="","",IF($X1055="CONTEXTE INCOMPLET","CONTEXTE INCOMPLET",IF($X1055="DOUBLON",StatutDoublon,IF($S1055="",StatutInitial,IF($R1055="",StatutStandardManquant,IF($V1055="","DONNEES INSUFFISANTES",IF($V1055&gt;=SeuilConforme,StatutConforme,IF($V1055&gt;=SeuilSurveiller,StatutSurveiller,StatutSousStandard))))))))</f>
        <v/>
      </c>
      <c r="X1055" s="33">
        <f>IF($G1055="","",IF(OR($D1055="",$E1055="",$F1055=""),"CONTEXTE INCOMPLET",IF(COUNTIFS($D155:$D1054,$D1055,$E155:$E1054,$E1055,$F155:$F1054,$F1055,$G155:$G1054,$G1055)&gt;0,"DOUBLON","VALIDE")))</f>
        <v/>
      </c>
    </row>
    <row r="1056" ht="15" customHeight="1">
      <c r="A1056" s="12">
        <f>IF(OR($B1056="",$G1056=""),"",TEXT($B1056,"YYYYMMDD")&amp;"-"&amp;SUBSTITUTE($E1056," ","")&amp;"-"&amp;$F1056&amp;"-"&amp;$G1056)</f>
        <v/>
      </c>
      <c r="B1056" s="15" t="n"/>
      <c r="C1056" s="16" t="n"/>
      <c r="D1056" s="10" t="n"/>
      <c r="E1056" s="9" t="n"/>
      <c r="F1056" s="9" t="n"/>
      <c r="G1056" s="13" t="n"/>
      <c r="H1056" s="21" t="n"/>
      <c r="I1056" s="21" t="n"/>
      <c r="J1056" s="17">
        <f>IF($G1056="","",IFERROR(INDEX(NomsEmployes,MATCH($G1056,MatriculesEmployes,0)),"MATRICULE INCONNU"))</f>
        <v/>
      </c>
      <c r="K1056" s="33">
        <f>IF(OR($D1056="",$F1056=""),"",IFERROR(IF(INDEX(RUNS!$L$6:$S$1005,MATCH($D1056,RUNS!$A$6:$A$1005,0),MATCH("ACTIVITÉ "&amp;$F1056,RUNS!$L$5:$S$5,0))="","",INDEX(RUNS!$L$6:$S$1005,MATCH($D1056,RUNS!$A$6:$A$1005,0),MATCH("ACTIVITÉ "&amp;$F1056,RUNS!$L$5:$S$5,0))),""))</f>
        <v/>
      </c>
      <c r="L1056" s="33">
        <f>IF($D1056="","",IFERROR(IF(INDEX(RUNS!$E$6:$E$1005,MATCH($D1056,RUNS!$A$6:$A$1005,0))="","",INDEX(RUNS!$E$6:$E$1005,MATCH($D1056,RUNS!$A$6:$A$1005,0))),""))</f>
        <v/>
      </c>
      <c r="M1056" s="33">
        <f>IF($D1056="","",IFERROR(IF(INDEX(RUNS!$F$6:$F$1005,MATCH($D1056,RUNS!$A$6:$A$1005,0))="","",INDEX(RUNS!$F$6:$F$1005,MATCH($D1056,RUNS!$A$6:$A$1005,0))),""))</f>
        <v/>
      </c>
      <c r="N1056" s="33">
        <f>IF($D1056="","",IFERROR(IF(INDEX(RUNS!$G$6:$G$1005,MATCH($D1056,RUNS!$A$6:$A$1005,0))="","",INDEX(RUNS!$G$6:$G$1005,MATCH($D1056,RUNS!$A$6:$A$1005,0))),""))</f>
        <v/>
      </c>
      <c r="O1056" s="33">
        <f>IF($D1056="","",IFERROR(IF(INDEX(RUNS!$H$6:$H$1005,MATCH($D1056,RUNS!$A$6:$A$1005,0))="","",INDEX(RUNS!$H$6:$H$1005,MATCH($D1056,RUNS!$A$6:$A$1005,0))),""))</f>
        <v/>
      </c>
      <c r="P1056" s="33">
        <f>IF($D1056="","",IFERROR(IF(INDEX(RUNS!$J$6:$J$1005,MATCH($D1056,RUNS!$A$6:$A$1005,0))="","",INDEX(RUNS!$J$6:$J$1005,MATCH($D1056,RUNS!$A$6:$A$1005,0))),""))</f>
        <v/>
      </c>
      <c r="Q1056" s="33">
        <f>IF($D1056="","",IFERROR(IF(INDEX(RUNS!$K$6:$K$1005,MATCH($D1056,RUNS!$A$6:$A$1005,0))="","",INDEX(RUNS!$K$6:$K$1005,MATCH($D1056,RUNS!$A$6:$A$1005,0))),""))</f>
        <v/>
      </c>
      <c r="R1056" s="34">
        <f>IF(OR($L1056="",$K1056=""),"",IFERROR(IF(INDEX(PARAMETRES!$H$43:$H$342,MATCH($L1056&amp;"|"&amp;$M1056&amp;"|"&amp;$N1056&amp;"|"&amp;$O1056&amp;"|"&amp;$P1056&amp;"|"&amp;$Q1056&amp;"|"&amp;$K1056,PARAMETRES!$J$43:$J$342,0))="","",INDEX(PARAMETRES!$H$43:$H$342,MATCH($L1056&amp;"|"&amp;$M1056&amp;"|"&amp;$N1056&amp;"|"&amp;$O1056&amp;"|"&amp;$P1056&amp;"|"&amp;$Q1056&amp;"|"&amp;$K1056,PARAMETRES!$J$43:$J$342,0))),""))</f>
        <v/>
      </c>
      <c r="S1056" s="35">
        <f>IF(OR($G1056="",$X1056&lt;&gt;"VALIDE"),"",IFERROR(LOOKUP(2,1/(($B156:$B1055=$B1056)*($G156:$G1055=$G1056)*($X156:$X1055="VALIDE")),$C156:$C1055),""))</f>
        <v/>
      </c>
      <c r="T1056" s="36">
        <f>IF(OR($C1056="",$S1056=""),"",ROUND(($C1056-$S1056+IF($C1056&lt;$S1056,1,0))*1440,0))</f>
        <v/>
      </c>
      <c r="U1056" s="22">
        <f>IF(OR($H1056="",$T1056="",$T1056&lt;=0),"",$H1056*60/$T1056)</f>
        <v/>
      </c>
      <c r="V1056" s="37">
        <f>IF(OR($U1056="",$R1056="",$R1056=0),"",$U1056/$R1056)</f>
        <v/>
      </c>
      <c r="W1056" s="20">
        <f>IF($G1056="","",IF($X1056="CONTEXTE INCOMPLET","CONTEXTE INCOMPLET",IF($X1056="DOUBLON",StatutDoublon,IF($S1056="",StatutInitial,IF($R1056="",StatutStandardManquant,IF($V1056="","DONNEES INSUFFISANTES",IF($V1056&gt;=SeuilConforme,StatutConforme,IF($V1056&gt;=SeuilSurveiller,StatutSurveiller,StatutSousStandard))))))))</f>
        <v/>
      </c>
      <c r="X1056" s="33">
        <f>IF($G1056="","",IF(OR($D1056="",$E1056="",$F1056=""),"CONTEXTE INCOMPLET",IF(COUNTIFS($D156:$D1055,$D1056,$E156:$E1055,$E1056,$F156:$F1055,$F1056,$G156:$G1055,$G1056)&gt;0,"DOUBLON","VALIDE")))</f>
        <v/>
      </c>
    </row>
    <row r="1057" ht="15" customHeight="1">
      <c r="A1057" s="12">
        <f>IF(OR($B1057="",$G1057=""),"",TEXT($B1057,"YYYYMMDD")&amp;"-"&amp;SUBSTITUTE($E1057," ","")&amp;"-"&amp;$F1057&amp;"-"&amp;$G1057)</f>
        <v/>
      </c>
      <c r="B1057" s="15" t="n"/>
      <c r="C1057" s="16" t="n"/>
      <c r="D1057" s="10" t="n"/>
      <c r="E1057" s="9" t="n"/>
      <c r="F1057" s="9" t="n"/>
      <c r="G1057" s="13" t="n"/>
      <c r="H1057" s="21" t="n"/>
      <c r="I1057" s="21" t="n"/>
      <c r="J1057" s="17">
        <f>IF($G1057="","",IFERROR(INDEX(NomsEmployes,MATCH($G1057,MatriculesEmployes,0)),"MATRICULE INCONNU"))</f>
        <v/>
      </c>
      <c r="K1057" s="33">
        <f>IF(OR($D1057="",$F1057=""),"",IFERROR(IF(INDEX(RUNS!$L$6:$S$1005,MATCH($D1057,RUNS!$A$6:$A$1005,0),MATCH("ACTIVITÉ "&amp;$F1057,RUNS!$L$5:$S$5,0))="","",INDEX(RUNS!$L$6:$S$1005,MATCH($D1057,RUNS!$A$6:$A$1005,0),MATCH("ACTIVITÉ "&amp;$F1057,RUNS!$L$5:$S$5,0))),""))</f>
        <v/>
      </c>
      <c r="L1057" s="33">
        <f>IF($D1057="","",IFERROR(IF(INDEX(RUNS!$E$6:$E$1005,MATCH($D1057,RUNS!$A$6:$A$1005,0))="","",INDEX(RUNS!$E$6:$E$1005,MATCH($D1057,RUNS!$A$6:$A$1005,0))),""))</f>
        <v/>
      </c>
      <c r="M1057" s="33">
        <f>IF($D1057="","",IFERROR(IF(INDEX(RUNS!$F$6:$F$1005,MATCH($D1057,RUNS!$A$6:$A$1005,0))="","",INDEX(RUNS!$F$6:$F$1005,MATCH($D1057,RUNS!$A$6:$A$1005,0))),""))</f>
        <v/>
      </c>
      <c r="N1057" s="33">
        <f>IF($D1057="","",IFERROR(IF(INDEX(RUNS!$G$6:$G$1005,MATCH($D1057,RUNS!$A$6:$A$1005,0))="","",INDEX(RUNS!$G$6:$G$1005,MATCH($D1057,RUNS!$A$6:$A$1005,0))),""))</f>
        <v/>
      </c>
      <c r="O1057" s="33">
        <f>IF($D1057="","",IFERROR(IF(INDEX(RUNS!$H$6:$H$1005,MATCH($D1057,RUNS!$A$6:$A$1005,0))="","",INDEX(RUNS!$H$6:$H$1005,MATCH($D1057,RUNS!$A$6:$A$1005,0))),""))</f>
        <v/>
      </c>
      <c r="P1057" s="33">
        <f>IF($D1057="","",IFERROR(IF(INDEX(RUNS!$J$6:$J$1005,MATCH($D1057,RUNS!$A$6:$A$1005,0))="","",INDEX(RUNS!$J$6:$J$1005,MATCH($D1057,RUNS!$A$6:$A$1005,0))),""))</f>
        <v/>
      </c>
      <c r="Q1057" s="33">
        <f>IF($D1057="","",IFERROR(IF(INDEX(RUNS!$K$6:$K$1005,MATCH($D1057,RUNS!$A$6:$A$1005,0))="","",INDEX(RUNS!$K$6:$K$1005,MATCH($D1057,RUNS!$A$6:$A$1005,0))),""))</f>
        <v/>
      </c>
      <c r="R1057" s="34">
        <f>IF(OR($L1057="",$K1057=""),"",IFERROR(IF(INDEX(PARAMETRES!$H$43:$H$342,MATCH($L1057&amp;"|"&amp;$M1057&amp;"|"&amp;$N1057&amp;"|"&amp;$O1057&amp;"|"&amp;$P1057&amp;"|"&amp;$Q1057&amp;"|"&amp;$K1057,PARAMETRES!$J$43:$J$342,0))="","",INDEX(PARAMETRES!$H$43:$H$342,MATCH($L1057&amp;"|"&amp;$M1057&amp;"|"&amp;$N1057&amp;"|"&amp;$O1057&amp;"|"&amp;$P1057&amp;"|"&amp;$Q1057&amp;"|"&amp;$K1057,PARAMETRES!$J$43:$J$342,0))),""))</f>
        <v/>
      </c>
      <c r="S1057" s="35">
        <f>IF(OR($G1057="",$X1057&lt;&gt;"VALIDE"),"",IFERROR(LOOKUP(2,1/(($B157:$B1056=$B1057)*($G157:$G1056=$G1057)*($X157:$X1056="VALIDE")),$C157:$C1056),""))</f>
        <v/>
      </c>
      <c r="T1057" s="36">
        <f>IF(OR($C1057="",$S1057=""),"",ROUND(($C1057-$S1057+IF($C1057&lt;$S1057,1,0))*1440,0))</f>
        <v/>
      </c>
      <c r="U1057" s="22">
        <f>IF(OR($H1057="",$T1057="",$T1057&lt;=0),"",$H1057*60/$T1057)</f>
        <v/>
      </c>
      <c r="V1057" s="37">
        <f>IF(OR($U1057="",$R1057="",$R1057=0),"",$U1057/$R1057)</f>
        <v/>
      </c>
      <c r="W1057" s="20">
        <f>IF($G1057="","",IF($X1057="CONTEXTE INCOMPLET","CONTEXTE INCOMPLET",IF($X1057="DOUBLON",StatutDoublon,IF($S1057="",StatutInitial,IF($R1057="",StatutStandardManquant,IF($V1057="","DONNEES INSUFFISANTES",IF($V1057&gt;=SeuilConforme,StatutConforme,IF($V1057&gt;=SeuilSurveiller,StatutSurveiller,StatutSousStandard))))))))</f>
        <v/>
      </c>
      <c r="X1057" s="33">
        <f>IF($G1057="","",IF(OR($D1057="",$E1057="",$F1057=""),"CONTEXTE INCOMPLET",IF(COUNTIFS($D157:$D1056,$D1057,$E157:$E1056,$E1057,$F157:$F1056,$F1057,$G157:$G1056,$G1057)&gt;0,"DOUBLON","VALIDE")))</f>
        <v/>
      </c>
    </row>
    <row r="1058" ht="15" customHeight="1">
      <c r="A1058" s="12">
        <f>IF(OR($B1058="",$G1058=""),"",TEXT($B1058,"YYYYMMDD")&amp;"-"&amp;SUBSTITUTE($E1058," ","")&amp;"-"&amp;$F1058&amp;"-"&amp;$G1058)</f>
        <v/>
      </c>
      <c r="B1058" s="15" t="n"/>
      <c r="C1058" s="16" t="n"/>
      <c r="D1058" s="10" t="n"/>
      <c r="E1058" s="9" t="n"/>
      <c r="F1058" s="9" t="n"/>
      <c r="G1058" s="13" t="n"/>
      <c r="H1058" s="21" t="n"/>
      <c r="I1058" s="21" t="n"/>
      <c r="J1058" s="17">
        <f>IF($G1058="","",IFERROR(INDEX(NomsEmployes,MATCH($G1058,MatriculesEmployes,0)),"MATRICULE INCONNU"))</f>
        <v/>
      </c>
      <c r="K1058" s="33">
        <f>IF(OR($D1058="",$F1058=""),"",IFERROR(IF(INDEX(RUNS!$L$6:$S$1005,MATCH($D1058,RUNS!$A$6:$A$1005,0),MATCH("ACTIVITÉ "&amp;$F1058,RUNS!$L$5:$S$5,0))="","",INDEX(RUNS!$L$6:$S$1005,MATCH($D1058,RUNS!$A$6:$A$1005,0),MATCH("ACTIVITÉ "&amp;$F1058,RUNS!$L$5:$S$5,0))),""))</f>
        <v/>
      </c>
      <c r="L1058" s="33">
        <f>IF($D1058="","",IFERROR(IF(INDEX(RUNS!$E$6:$E$1005,MATCH($D1058,RUNS!$A$6:$A$1005,0))="","",INDEX(RUNS!$E$6:$E$1005,MATCH($D1058,RUNS!$A$6:$A$1005,0))),""))</f>
        <v/>
      </c>
      <c r="M1058" s="33">
        <f>IF($D1058="","",IFERROR(IF(INDEX(RUNS!$F$6:$F$1005,MATCH($D1058,RUNS!$A$6:$A$1005,0))="","",INDEX(RUNS!$F$6:$F$1005,MATCH($D1058,RUNS!$A$6:$A$1005,0))),""))</f>
        <v/>
      </c>
      <c r="N1058" s="33">
        <f>IF($D1058="","",IFERROR(IF(INDEX(RUNS!$G$6:$G$1005,MATCH($D1058,RUNS!$A$6:$A$1005,0))="","",INDEX(RUNS!$G$6:$G$1005,MATCH($D1058,RUNS!$A$6:$A$1005,0))),""))</f>
        <v/>
      </c>
      <c r="O1058" s="33">
        <f>IF($D1058="","",IFERROR(IF(INDEX(RUNS!$H$6:$H$1005,MATCH($D1058,RUNS!$A$6:$A$1005,0))="","",INDEX(RUNS!$H$6:$H$1005,MATCH($D1058,RUNS!$A$6:$A$1005,0))),""))</f>
        <v/>
      </c>
      <c r="P1058" s="33">
        <f>IF($D1058="","",IFERROR(IF(INDEX(RUNS!$J$6:$J$1005,MATCH($D1058,RUNS!$A$6:$A$1005,0))="","",INDEX(RUNS!$J$6:$J$1005,MATCH($D1058,RUNS!$A$6:$A$1005,0))),""))</f>
        <v/>
      </c>
      <c r="Q1058" s="33">
        <f>IF($D1058="","",IFERROR(IF(INDEX(RUNS!$K$6:$K$1005,MATCH($D1058,RUNS!$A$6:$A$1005,0))="","",INDEX(RUNS!$K$6:$K$1005,MATCH($D1058,RUNS!$A$6:$A$1005,0))),""))</f>
        <v/>
      </c>
      <c r="R1058" s="34">
        <f>IF(OR($L1058="",$K1058=""),"",IFERROR(IF(INDEX(PARAMETRES!$H$43:$H$342,MATCH($L1058&amp;"|"&amp;$M1058&amp;"|"&amp;$N1058&amp;"|"&amp;$O1058&amp;"|"&amp;$P1058&amp;"|"&amp;$Q1058&amp;"|"&amp;$K1058,PARAMETRES!$J$43:$J$342,0))="","",INDEX(PARAMETRES!$H$43:$H$342,MATCH($L1058&amp;"|"&amp;$M1058&amp;"|"&amp;$N1058&amp;"|"&amp;$O1058&amp;"|"&amp;$P1058&amp;"|"&amp;$Q1058&amp;"|"&amp;$K1058,PARAMETRES!$J$43:$J$342,0))),""))</f>
        <v/>
      </c>
      <c r="S1058" s="35">
        <f>IF(OR($G1058="",$X1058&lt;&gt;"VALIDE"),"",IFERROR(LOOKUP(2,1/(($B158:$B1057=$B1058)*($G158:$G1057=$G1058)*($X158:$X1057="VALIDE")),$C158:$C1057),""))</f>
        <v/>
      </c>
      <c r="T1058" s="36">
        <f>IF(OR($C1058="",$S1058=""),"",ROUND(($C1058-$S1058+IF($C1058&lt;$S1058,1,0))*1440,0))</f>
        <v/>
      </c>
      <c r="U1058" s="22">
        <f>IF(OR($H1058="",$T1058="",$T1058&lt;=0),"",$H1058*60/$T1058)</f>
        <v/>
      </c>
      <c r="V1058" s="37">
        <f>IF(OR($U1058="",$R1058="",$R1058=0),"",$U1058/$R1058)</f>
        <v/>
      </c>
      <c r="W1058" s="20">
        <f>IF($G1058="","",IF($X1058="CONTEXTE INCOMPLET","CONTEXTE INCOMPLET",IF($X1058="DOUBLON",StatutDoublon,IF($S1058="",StatutInitial,IF($R1058="",StatutStandardManquant,IF($V1058="","DONNEES INSUFFISANTES",IF($V1058&gt;=SeuilConforme,StatutConforme,IF($V1058&gt;=SeuilSurveiller,StatutSurveiller,StatutSousStandard))))))))</f>
        <v/>
      </c>
      <c r="X1058" s="33">
        <f>IF($G1058="","",IF(OR($D1058="",$E1058="",$F1058=""),"CONTEXTE INCOMPLET",IF(COUNTIFS($D158:$D1057,$D1058,$E158:$E1057,$E1058,$F158:$F1057,$F1058,$G158:$G1057,$G1058)&gt;0,"DOUBLON","VALIDE")))</f>
        <v/>
      </c>
    </row>
    <row r="1059" ht="15" customHeight="1">
      <c r="A1059" s="12">
        <f>IF(OR($B1059="",$G1059=""),"",TEXT($B1059,"YYYYMMDD")&amp;"-"&amp;SUBSTITUTE($E1059," ","")&amp;"-"&amp;$F1059&amp;"-"&amp;$G1059)</f>
        <v/>
      </c>
      <c r="B1059" s="15" t="n"/>
      <c r="C1059" s="16" t="n"/>
      <c r="D1059" s="10" t="n"/>
      <c r="E1059" s="9" t="n"/>
      <c r="F1059" s="9" t="n"/>
      <c r="G1059" s="13" t="n"/>
      <c r="H1059" s="21" t="n"/>
      <c r="I1059" s="21" t="n"/>
      <c r="J1059" s="17">
        <f>IF($G1059="","",IFERROR(INDEX(NomsEmployes,MATCH($G1059,MatriculesEmployes,0)),"MATRICULE INCONNU"))</f>
        <v/>
      </c>
      <c r="K1059" s="33">
        <f>IF(OR($D1059="",$F1059=""),"",IFERROR(IF(INDEX(RUNS!$L$6:$S$1005,MATCH($D1059,RUNS!$A$6:$A$1005,0),MATCH("ACTIVITÉ "&amp;$F1059,RUNS!$L$5:$S$5,0))="","",INDEX(RUNS!$L$6:$S$1005,MATCH($D1059,RUNS!$A$6:$A$1005,0),MATCH("ACTIVITÉ "&amp;$F1059,RUNS!$L$5:$S$5,0))),""))</f>
        <v/>
      </c>
      <c r="L1059" s="33">
        <f>IF($D1059="","",IFERROR(IF(INDEX(RUNS!$E$6:$E$1005,MATCH($D1059,RUNS!$A$6:$A$1005,0))="","",INDEX(RUNS!$E$6:$E$1005,MATCH($D1059,RUNS!$A$6:$A$1005,0))),""))</f>
        <v/>
      </c>
      <c r="M1059" s="33">
        <f>IF($D1059="","",IFERROR(IF(INDEX(RUNS!$F$6:$F$1005,MATCH($D1059,RUNS!$A$6:$A$1005,0))="","",INDEX(RUNS!$F$6:$F$1005,MATCH($D1059,RUNS!$A$6:$A$1005,0))),""))</f>
        <v/>
      </c>
      <c r="N1059" s="33">
        <f>IF($D1059="","",IFERROR(IF(INDEX(RUNS!$G$6:$G$1005,MATCH($D1059,RUNS!$A$6:$A$1005,0))="","",INDEX(RUNS!$G$6:$G$1005,MATCH($D1059,RUNS!$A$6:$A$1005,0))),""))</f>
        <v/>
      </c>
      <c r="O1059" s="33">
        <f>IF($D1059="","",IFERROR(IF(INDEX(RUNS!$H$6:$H$1005,MATCH($D1059,RUNS!$A$6:$A$1005,0))="","",INDEX(RUNS!$H$6:$H$1005,MATCH($D1059,RUNS!$A$6:$A$1005,0))),""))</f>
        <v/>
      </c>
      <c r="P1059" s="33">
        <f>IF($D1059="","",IFERROR(IF(INDEX(RUNS!$J$6:$J$1005,MATCH($D1059,RUNS!$A$6:$A$1005,0))="","",INDEX(RUNS!$J$6:$J$1005,MATCH($D1059,RUNS!$A$6:$A$1005,0))),""))</f>
        <v/>
      </c>
      <c r="Q1059" s="33">
        <f>IF($D1059="","",IFERROR(IF(INDEX(RUNS!$K$6:$K$1005,MATCH($D1059,RUNS!$A$6:$A$1005,0))="","",INDEX(RUNS!$K$6:$K$1005,MATCH($D1059,RUNS!$A$6:$A$1005,0))),""))</f>
        <v/>
      </c>
      <c r="R1059" s="34">
        <f>IF(OR($L1059="",$K1059=""),"",IFERROR(IF(INDEX(PARAMETRES!$H$43:$H$342,MATCH($L1059&amp;"|"&amp;$M1059&amp;"|"&amp;$N1059&amp;"|"&amp;$O1059&amp;"|"&amp;$P1059&amp;"|"&amp;$Q1059&amp;"|"&amp;$K1059,PARAMETRES!$J$43:$J$342,0))="","",INDEX(PARAMETRES!$H$43:$H$342,MATCH($L1059&amp;"|"&amp;$M1059&amp;"|"&amp;$N1059&amp;"|"&amp;$O1059&amp;"|"&amp;$P1059&amp;"|"&amp;$Q1059&amp;"|"&amp;$K1059,PARAMETRES!$J$43:$J$342,0))),""))</f>
        <v/>
      </c>
      <c r="S1059" s="35">
        <f>IF(OR($G1059="",$X1059&lt;&gt;"VALIDE"),"",IFERROR(LOOKUP(2,1/(($B159:$B1058=$B1059)*($G159:$G1058=$G1059)*($X159:$X1058="VALIDE")),$C159:$C1058),""))</f>
        <v/>
      </c>
      <c r="T1059" s="36">
        <f>IF(OR($C1059="",$S1059=""),"",ROUND(($C1059-$S1059+IF($C1059&lt;$S1059,1,0))*1440,0))</f>
        <v/>
      </c>
      <c r="U1059" s="22">
        <f>IF(OR($H1059="",$T1059="",$T1059&lt;=0),"",$H1059*60/$T1059)</f>
        <v/>
      </c>
      <c r="V1059" s="37">
        <f>IF(OR($U1059="",$R1059="",$R1059=0),"",$U1059/$R1059)</f>
        <v/>
      </c>
      <c r="W1059" s="20">
        <f>IF($G1059="","",IF($X1059="CONTEXTE INCOMPLET","CONTEXTE INCOMPLET",IF($X1059="DOUBLON",StatutDoublon,IF($S1059="",StatutInitial,IF($R1059="",StatutStandardManquant,IF($V1059="","DONNEES INSUFFISANTES",IF($V1059&gt;=SeuilConforme,StatutConforme,IF($V1059&gt;=SeuilSurveiller,StatutSurveiller,StatutSousStandard))))))))</f>
        <v/>
      </c>
      <c r="X1059" s="33">
        <f>IF($G1059="","",IF(OR($D1059="",$E1059="",$F1059=""),"CONTEXTE INCOMPLET",IF(COUNTIFS($D159:$D1058,$D1059,$E159:$E1058,$E1059,$F159:$F1058,$F1059,$G159:$G1058,$G1059)&gt;0,"DOUBLON","VALIDE")))</f>
        <v/>
      </c>
    </row>
    <row r="1060" ht="15" customHeight="1">
      <c r="A1060" s="12">
        <f>IF(OR($B1060="",$G1060=""),"",TEXT($B1060,"YYYYMMDD")&amp;"-"&amp;SUBSTITUTE($E1060," ","")&amp;"-"&amp;$F1060&amp;"-"&amp;$G1060)</f>
        <v/>
      </c>
      <c r="B1060" s="15" t="n"/>
      <c r="C1060" s="16" t="n"/>
      <c r="D1060" s="10" t="n"/>
      <c r="E1060" s="9" t="n"/>
      <c r="F1060" s="9" t="n"/>
      <c r="G1060" s="13" t="n"/>
      <c r="H1060" s="21" t="n"/>
      <c r="I1060" s="21" t="n"/>
      <c r="J1060" s="17">
        <f>IF($G1060="","",IFERROR(INDEX(NomsEmployes,MATCH($G1060,MatriculesEmployes,0)),"MATRICULE INCONNU"))</f>
        <v/>
      </c>
      <c r="K1060" s="33">
        <f>IF(OR($D1060="",$F1060=""),"",IFERROR(IF(INDEX(RUNS!$L$6:$S$1005,MATCH($D1060,RUNS!$A$6:$A$1005,0),MATCH("ACTIVITÉ "&amp;$F1060,RUNS!$L$5:$S$5,0))="","",INDEX(RUNS!$L$6:$S$1005,MATCH($D1060,RUNS!$A$6:$A$1005,0),MATCH("ACTIVITÉ "&amp;$F1060,RUNS!$L$5:$S$5,0))),""))</f>
        <v/>
      </c>
      <c r="L1060" s="33">
        <f>IF($D1060="","",IFERROR(IF(INDEX(RUNS!$E$6:$E$1005,MATCH($D1060,RUNS!$A$6:$A$1005,0))="","",INDEX(RUNS!$E$6:$E$1005,MATCH($D1060,RUNS!$A$6:$A$1005,0))),""))</f>
        <v/>
      </c>
      <c r="M1060" s="33">
        <f>IF($D1060="","",IFERROR(IF(INDEX(RUNS!$F$6:$F$1005,MATCH($D1060,RUNS!$A$6:$A$1005,0))="","",INDEX(RUNS!$F$6:$F$1005,MATCH($D1060,RUNS!$A$6:$A$1005,0))),""))</f>
        <v/>
      </c>
      <c r="N1060" s="33">
        <f>IF($D1060="","",IFERROR(IF(INDEX(RUNS!$G$6:$G$1005,MATCH($D1060,RUNS!$A$6:$A$1005,0))="","",INDEX(RUNS!$G$6:$G$1005,MATCH($D1060,RUNS!$A$6:$A$1005,0))),""))</f>
        <v/>
      </c>
      <c r="O1060" s="33">
        <f>IF($D1060="","",IFERROR(IF(INDEX(RUNS!$H$6:$H$1005,MATCH($D1060,RUNS!$A$6:$A$1005,0))="","",INDEX(RUNS!$H$6:$H$1005,MATCH($D1060,RUNS!$A$6:$A$1005,0))),""))</f>
        <v/>
      </c>
      <c r="P1060" s="33">
        <f>IF($D1060="","",IFERROR(IF(INDEX(RUNS!$J$6:$J$1005,MATCH($D1060,RUNS!$A$6:$A$1005,0))="","",INDEX(RUNS!$J$6:$J$1005,MATCH($D1060,RUNS!$A$6:$A$1005,0))),""))</f>
        <v/>
      </c>
      <c r="Q1060" s="33">
        <f>IF($D1060="","",IFERROR(IF(INDEX(RUNS!$K$6:$K$1005,MATCH($D1060,RUNS!$A$6:$A$1005,0))="","",INDEX(RUNS!$K$6:$K$1005,MATCH($D1060,RUNS!$A$6:$A$1005,0))),""))</f>
        <v/>
      </c>
      <c r="R1060" s="34">
        <f>IF(OR($L1060="",$K1060=""),"",IFERROR(IF(INDEX(PARAMETRES!$H$43:$H$342,MATCH($L1060&amp;"|"&amp;$M1060&amp;"|"&amp;$N1060&amp;"|"&amp;$O1060&amp;"|"&amp;$P1060&amp;"|"&amp;$Q1060&amp;"|"&amp;$K1060,PARAMETRES!$J$43:$J$342,0))="","",INDEX(PARAMETRES!$H$43:$H$342,MATCH($L1060&amp;"|"&amp;$M1060&amp;"|"&amp;$N1060&amp;"|"&amp;$O1060&amp;"|"&amp;$P1060&amp;"|"&amp;$Q1060&amp;"|"&amp;$K1060,PARAMETRES!$J$43:$J$342,0))),""))</f>
        <v/>
      </c>
      <c r="S1060" s="35">
        <f>IF(OR($G1060="",$X1060&lt;&gt;"VALIDE"),"",IFERROR(LOOKUP(2,1/(($B160:$B1059=$B1060)*($G160:$G1059=$G1060)*($X160:$X1059="VALIDE")),$C160:$C1059),""))</f>
        <v/>
      </c>
      <c r="T1060" s="36">
        <f>IF(OR($C1060="",$S1060=""),"",ROUND(($C1060-$S1060+IF($C1060&lt;$S1060,1,0))*1440,0))</f>
        <v/>
      </c>
      <c r="U1060" s="22">
        <f>IF(OR($H1060="",$T1060="",$T1060&lt;=0),"",$H1060*60/$T1060)</f>
        <v/>
      </c>
      <c r="V1060" s="37">
        <f>IF(OR($U1060="",$R1060="",$R1060=0),"",$U1060/$R1060)</f>
        <v/>
      </c>
      <c r="W1060" s="20">
        <f>IF($G1060="","",IF($X1060="CONTEXTE INCOMPLET","CONTEXTE INCOMPLET",IF($X1060="DOUBLON",StatutDoublon,IF($S1060="",StatutInitial,IF($R1060="",StatutStandardManquant,IF($V1060="","DONNEES INSUFFISANTES",IF($V1060&gt;=SeuilConforme,StatutConforme,IF($V1060&gt;=SeuilSurveiller,StatutSurveiller,StatutSousStandard))))))))</f>
        <v/>
      </c>
      <c r="X1060" s="33">
        <f>IF($G1060="","",IF(OR($D1060="",$E1060="",$F1060=""),"CONTEXTE INCOMPLET",IF(COUNTIFS($D160:$D1059,$D1060,$E160:$E1059,$E1060,$F160:$F1059,$F1060,$G160:$G1059,$G1060)&gt;0,"DOUBLON","VALIDE")))</f>
        <v/>
      </c>
    </row>
    <row r="1061" ht="15" customHeight="1">
      <c r="A1061" s="12">
        <f>IF(OR($B1061="",$G1061=""),"",TEXT($B1061,"YYYYMMDD")&amp;"-"&amp;SUBSTITUTE($E1061," ","")&amp;"-"&amp;$F1061&amp;"-"&amp;$G1061)</f>
        <v/>
      </c>
      <c r="B1061" s="15" t="n"/>
      <c r="C1061" s="16" t="n"/>
      <c r="D1061" s="10" t="n"/>
      <c r="E1061" s="9" t="n"/>
      <c r="F1061" s="9" t="n"/>
      <c r="G1061" s="13" t="n"/>
      <c r="H1061" s="21" t="n"/>
      <c r="I1061" s="21" t="n"/>
      <c r="J1061" s="17">
        <f>IF($G1061="","",IFERROR(INDEX(NomsEmployes,MATCH($G1061,MatriculesEmployes,0)),"MATRICULE INCONNU"))</f>
        <v/>
      </c>
      <c r="K1061" s="33">
        <f>IF(OR($D1061="",$F1061=""),"",IFERROR(IF(INDEX(RUNS!$L$6:$S$1005,MATCH($D1061,RUNS!$A$6:$A$1005,0),MATCH("ACTIVITÉ "&amp;$F1061,RUNS!$L$5:$S$5,0))="","",INDEX(RUNS!$L$6:$S$1005,MATCH($D1061,RUNS!$A$6:$A$1005,0),MATCH("ACTIVITÉ "&amp;$F1061,RUNS!$L$5:$S$5,0))),""))</f>
        <v/>
      </c>
      <c r="L1061" s="33">
        <f>IF($D1061="","",IFERROR(IF(INDEX(RUNS!$E$6:$E$1005,MATCH($D1061,RUNS!$A$6:$A$1005,0))="","",INDEX(RUNS!$E$6:$E$1005,MATCH($D1061,RUNS!$A$6:$A$1005,0))),""))</f>
        <v/>
      </c>
      <c r="M1061" s="33">
        <f>IF($D1061="","",IFERROR(IF(INDEX(RUNS!$F$6:$F$1005,MATCH($D1061,RUNS!$A$6:$A$1005,0))="","",INDEX(RUNS!$F$6:$F$1005,MATCH($D1061,RUNS!$A$6:$A$1005,0))),""))</f>
        <v/>
      </c>
      <c r="N1061" s="33">
        <f>IF($D1061="","",IFERROR(IF(INDEX(RUNS!$G$6:$G$1005,MATCH($D1061,RUNS!$A$6:$A$1005,0))="","",INDEX(RUNS!$G$6:$G$1005,MATCH($D1061,RUNS!$A$6:$A$1005,0))),""))</f>
        <v/>
      </c>
      <c r="O1061" s="33">
        <f>IF($D1061="","",IFERROR(IF(INDEX(RUNS!$H$6:$H$1005,MATCH($D1061,RUNS!$A$6:$A$1005,0))="","",INDEX(RUNS!$H$6:$H$1005,MATCH($D1061,RUNS!$A$6:$A$1005,0))),""))</f>
        <v/>
      </c>
      <c r="P1061" s="33">
        <f>IF($D1061="","",IFERROR(IF(INDEX(RUNS!$J$6:$J$1005,MATCH($D1061,RUNS!$A$6:$A$1005,0))="","",INDEX(RUNS!$J$6:$J$1005,MATCH($D1061,RUNS!$A$6:$A$1005,0))),""))</f>
        <v/>
      </c>
      <c r="Q1061" s="33">
        <f>IF($D1061="","",IFERROR(IF(INDEX(RUNS!$K$6:$K$1005,MATCH($D1061,RUNS!$A$6:$A$1005,0))="","",INDEX(RUNS!$K$6:$K$1005,MATCH($D1061,RUNS!$A$6:$A$1005,0))),""))</f>
        <v/>
      </c>
      <c r="R1061" s="34">
        <f>IF(OR($L1061="",$K1061=""),"",IFERROR(IF(INDEX(PARAMETRES!$H$43:$H$342,MATCH($L1061&amp;"|"&amp;$M1061&amp;"|"&amp;$N1061&amp;"|"&amp;$O1061&amp;"|"&amp;$P1061&amp;"|"&amp;$Q1061&amp;"|"&amp;$K1061,PARAMETRES!$J$43:$J$342,0))="","",INDEX(PARAMETRES!$H$43:$H$342,MATCH($L1061&amp;"|"&amp;$M1061&amp;"|"&amp;$N1061&amp;"|"&amp;$O1061&amp;"|"&amp;$P1061&amp;"|"&amp;$Q1061&amp;"|"&amp;$K1061,PARAMETRES!$J$43:$J$342,0))),""))</f>
        <v/>
      </c>
      <c r="S1061" s="35">
        <f>IF(OR($G1061="",$X1061&lt;&gt;"VALIDE"),"",IFERROR(LOOKUP(2,1/(($B161:$B1060=$B1061)*($G161:$G1060=$G1061)*($X161:$X1060="VALIDE")),$C161:$C1060),""))</f>
        <v/>
      </c>
      <c r="T1061" s="36">
        <f>IF(OR($C1061="",$S1061=""),"",ROUND(($C1061-$S1061+IF($C1061&lt;$S1061,1,0))*1440,0))</f>
        <v/>
      </c>
      <c r="U1061" s="22">
        <f>IF(OR($H1061="",$T1061="",$T1061&lt;=0),"",$H1061*60/$T1061)</f>
        <v/>
      </c>
      <c r="V1061" s="37">
        <f>IF(OR($U1061="",$R1061="",$R1061=0),"",$U1061/$R1061)</f>
        <v/>
      </c>
      <c r="W1061" s="20">
        <f>IF($G1061="","",IF($X1061="CONTEXTE INCOMPLET","CONTEXTE INCOMPLET",IF($X1061="DOUBLON",StatutDoublon,IF($S1061="",StatutInitial,IF($R1061="",StatutStandardManquant,IF($V1061="","DONNEES INSUFFISANTES",IF($V1061&gt;=SeuilConforme,StatutConforme,IF($V1061&gt;=SeuilSurveiller,StatutSurveiller,StatutSousStandard))))))))</f>
        <v/>
      </c>
      <c r="X1061" s="33">
        <f>IF($G1061="","",IF(OR($D1061="",$E1061="",$F1061=""),"CONTEXTE INCOMPLET",IF(COUNTIFS($D161:$D1060,$D1061,$E161:$E1060,$E1061,$F161:$F1060,$F1061,$G161:$G1060,$G1061)&gt;0,"DOUBLON","VALIDE")))</f>
        <v/>
      </c>
    </row>
    <row r="1062" ht="15" customHeight="1">
      <c r="A1062" s="12">
        <f>IF(OR($B1062="",$G1062=""),"",TEXT($B1062,"YYYYMMDD")&amp;"-"&amp;SUBSTITUTE($E1062," ","")&amp;"-"&amp;$F1062&amp;"-"&amp;$G1062)</f>
        <v/>
      </c>
      <c r="B1062" s="15" t="n"/>
      <c r="C1062" s="16" t="n"/>
      <c r="D1062" s="10" t="n"/>
      <c r="E1062" s="9" t="n"/>
      <c r="F1062" s="9" t="n"/>
      <c r="G1062" s="13" t="n"/>
      <c r="H1062" s="21" t="n"/>
      <c r="I1062" s="21" t="n"/>
      <c r="J1062" s="17">
        <f>IF($G1062="","",IFERROR(INDEX(NomsEmployes,MATCH($G1062,MatriculesEmployes,0)),"MATRICULE INCONNU"))</f>
        <v/>
      </c>
      <c r="K1062" s="33">
        <f>IF(OR($D1062="",$F1062=""),"",IFERROR(IF(INDEX(RUNS!$L$6:$S$1005,MATCH($D1062,RUNS!$A$6:$A$1005,0),MATCH("ACTIVITÉ "&amp;$F1062,RUNS!$L$5:$S$5,0))="","",INDEX(RUNS!$L$6:$S$1005,MATCH($D1062,RUNS!$A$6:$A$1005,0),MATCH("ACTIVITÉ "&amp;$F1062,RUNS!$L$5:$S$5,0))),""))</f>
        <v/>
      </c>
      <c r="L1062" s="33">
        <f>IF($D1062="","",IFERROR(IF(INDEX(RUNS!$E$6:$E$1005,MATCH($D1062,RUNS!$A$6:$A$1005,0))="","",INDEX(RUNS!$E$6:$E$1005,MATCH($D1062,RUNS!$A$6:$A$1005,0))),""))</f>
        <v/>
      </c>
      <c r="M1062" s="33">
        <f>IF($D1062="","",IFERROR(IF(INDEX(RUNS!$F$6:$F$1005,MATCH($D1062,RUNS!$A$6:$A$1005,0))="","",INDEX(RUNS!$F$6:$F$1005,MATCH($D1062,RUNS!$A$6:$A$1005,0))),""))</f>
        <v/>
      </c>
      <c r="N1062" s="33">
        <f>IF($D1062="","",IFERROR(IF(INDEX(RUNS!$G$6:$G$1005,MATCH($D1062,RUNS!$A$6:$A$1005,0))="","",INDEX(RUNS!$G$6:$G$1005,MATCH($D1062,RUNS!$A$6:$A$1005,0))),""))</f>
        <v/>
      </c>
      <c r="O1062" s="33">
        <f>IF($D1062="","",IFERROR(IF(INDEX(RUNS!$H$6:$H$1005,MATCH($D1062,RUNS!$A$6:$A$1005,0))="","",INDEX(RUNS!$H$6:$H$1005,MATCH($D1062,RUNS!$A$6:$A$1005,0))),""))</f>
        <v/>
      </c>
      <c r="P1062" s="33">
        <f>IF($D1062="","",IFERROR(IF(INDEX(RUNS!$J$6:$J$1005,MATCH($D1062,RUNS!$A$6:$A$1005,0))="","",INDEX(RUNS!$J$6:$J$1005,MATCH($D1062,RUNS!$A$6:$A$1005,0))),""))</f>
        <v/>
      </c>
      <c r="Q1062" s="33">
        <f>IF($D1062="","",IFERROR(IF(INDEX(RUNS!$K$6:$K$1005,MATCH($D1062,RUNS!$A$6:$A$1005,0))="","",INDEX(RUNS!$K$6:$K$1005,MATCH($D1062,RUNS!$A$6:$A$1005,0))),""))</f>
        <v/>
      </c>
      <c r="R1062" s="34">
        <f>IF(OR($L1062="",$K1062=""),"",IFERROR(IF(INDEX(PARAMETRES!$H$43:$H$342,MATCH($L1062&amp;"|"&amp;$M1062&amp;"|"&amp;$N1062&amp;"|"&amp;$O1062&amp;"|"&amp;$P1062&amp;"|"&amp;$Q1062&amp;"|"&amp;$K1062,PARAMETRES!$J$43:$J$342,0))="","",INDEX(PARAMETRES!$H$43:$H$342,MATCH($L1062&amp;"|"&amp;$M1062&amp;"|"&amp;$N1062&amp;"|"&amp;$O1062&amp;"|"&amp;$P1062&amp;"|"&amp;$Q1062&amp;"|"&amp;$K1062,PARAMETRES!$J$43:$J$342,0))),""))</f>
        <v/>
      </c>
      <c r="S1062" s="35">
        <f>IF(OR($G1062="",$X1062&lt;&gt;"VALIDE"),"",IFERROR(LOOKUP(2,1/(($B162:$B1061=$B1062)*($G162:$G1061=$G1062)*($X162:$X1061="VALIDE")),$C162:$C1061),""))</f>
        <v/>
      </c>
      <c r="T1062" s="36">
        <f>IF(OR($C1062="",$S1062=""),"",ROUND(($C1062-$S1062+IF($C1062&lt;$S1062,1,0))*1440,0))</f>
        <v/>
      </c>
      <c r="U1062" s="22">
        <f>IF(OR($H1062="",$T1062="",$T1062&lt;=0),"",$H1062*60/$T1062)</f>
        <v/>
      </c>
      <c r="V1062" s="37">
        <f>IF(OR($U1062="",$R1062="",$R1062=0),"",$U1062/$R1062)</f>
        <v/>
      </c>
      <c r="W1062" s="20">
        <f>IF($G1062="","",IF($X1062="CONTEXTE INCOMPLET","CONTEXTE INCOMPLET",IF($X1062="DOUBLON",StatutDoublon,IF($S1062="",StatutInitial,IF($R1062="",StatutStandardManquant,IF($V1062="","DONNEES INSUFFISANTES",IF($V1062&gt;=SeuilConforme,StatutConforme,IF($V1062&gt;=SeuilSurveiller,StatutSurveiller,StatutSousStandard))))))))</f>
        <v/>
      </c>
      <c r="X1062" s="33">
        <f>IF($G1062="","",IF(OR($D1062="",$E1062="",$F1062=""),"CONTEXTE INCOMPLET",IF(COUNTIFS($D162:$D1061,$D1062,$E162:$E1061,$E1062,$F162:$F1061,$F1062,$G162:$G1061,$G1062)&gt;0,"DOUBLON","VALIDE")))</f>
        <v/>
      </c>
    </row>
    <row r="1063" ht="15" customHeight="1">
      <c r="A1063" s="12">
        <f>IF(OR($B1063="",$G1063=""),"",TEXT($B1063,"YYYYMMDD")&amp;"-"&amp;SUBSTITUTE($E1063," ","")&amp;"-"&amp;$F1063&amp;"-"&amp;$G1063)</f>
        <v/>
      </c>
      <c r="B1063" s="15" t="n"/>
      <c r="C1063" s="16" t="n"/>
      <c r="D1063" s="10" t="n"/>
      <c r="E1063" s="9" t="n"/>
      <c r="F1063" s="9" t="n"/>
      <c r="G1063" s="13" t="n"/>
      <c r="H1063" s="21" t="n"/>
      <c r="I1063" s="21" t="n"/>
      <c r="J1063" s="17">
        <f>IF($G1063="","",IFERROR(INDEX(NomsEmployes,MATCH($G1063,MatriculesEmployes,0)),"MATRICULE INCONNU"))</f>
        <v/>
      </c>
      <c r="K1063" s="33">
        <f>IF(OR($D1063="",$F1063=""),"",IFERROR(IF(INDEX(RUNS!$L$6:$S$1005,MATCH($D1063,RUNS!$A$6:$A$1005,0),MATCH("ACTIVITÉ "&amp;$F1063,RUNS!$L$5:$S$5,0))="","",INDEX(RUNS!$L$6:$S$1005,MATCH($D1063,RUNS!$A$6:$A$1005,0),MATCH("ACTIVITÉ "&amp;$F1063,RUNS!$L$5:$S$5,0))),""))</f>
        <v/>
      </c>
      <c r="L1063" s="33">
        <f>IF($D1063="","",IFERROR(IF(INDEX(RUNS!$E$6:$E$1005,MATCH($D1063,RUNS!$A$6:$A$1005,0))="","",INDEX(RUNS!$E$6:$E$1005,MATCH($D1063,RUNS!$A$6:$A$1005,0))),""))</f>
        <v/>
      </c>
      <c r="M1063" s="33">
        <f>IF($D1063="","",IFERROR(IF(INDEX(RUNS!$F$6:$F$1005,MATCH($D1063,RUNS!$A$6:$A$1005,0))="","",INDEX(RUNS!$F$6:$F$1005,MATCH($D1063,RUNS!$A$6:$A$1005,0))),""))</f>
        <v/>
      </c>
      <c r="N1063" s="33">
        <f>IF($D1063="","",IFERROR(IF(INDEX(RUNS!$G$6:$G$1005,MATCH($D1063,RUNS!$A$6:$A$1005,0))="","",INDEX(RUNS!$G$6:$G$1005,MATCH($D1063,RUNS!$A$6:$A$1005,0))),""))</f>
        <v/>
      </c>
      <c r="O1063" s="33">
        <f>IF($D1063="","",IFERROR(IF(INDEX(RUNS!$H$6:$H$1005,MATCH($D1063,RUNS!$A$6:$A$1005,0))="","",INDEX(RUNS!$H$6:$H$1005,MATCH($D1063,RUNS!$A$6:$A$1005,0))),""))</f>
        <v/>
      </c>
      <c r="P1063" s="33">
        <f>IF($D1063="","",IFERROR(IF(INDEX(RUNS!$J$6:$J$1005,MATCH($D1063,RUNS!$A$6:$A$1005,0))="","",INDEX(RUNS!$J$6:$J$1005,MATCH($D1063,RUNS!$A$6:$A$1005,0))),""))</f>
        <v/>
      </c>
      <c r="Q1063" s="33">
        <f>IF($D1063="","",IFERROR(IF(INDEX(RUNS!$K$6:$K$1005,MATCH($D1063,RUNS!$A$6:$A$1005,0))="","",INDEX(RUNS!$K$6:$K$1005,MATCH($D1063,RUNS!$A$6:$A$1005,0))),""))</f>
        <v/>
      </c>
      <c r="R1063" s="34">
        <f>IF(OR($L1063="",$K1063=""),"",IFERROR(IF(INDEX(PARAMETRES!$H$43:$H$342,MATCH($L1063&amp;"|"&amp;$M1063&amp;"|"&amp;$N1063&amp;"|"&amp;$O1063&amp;"|"&amp;$P1063&amp;"|"&amp;$Q1063&amp;"|"&amp;$K1063,PARAMETRES!$J$43:$J$342,0))="","",INDEX(PARAMETRES!$H$43:$H$342,MATCH($L1063&amp;"|"&amp;$M1063&amp;"|"&amp;$N1063&amp;"|"&amp;$O1063&amp;"|"&amp;$P1063&amp;"|"&amp;$Q1063&amp;"|"&amp;$K1063,PARAMETRES!$J$43:$J$342,0))),""))</f>
        <v/>
      </c>
      <c r="S1063" s="35">
        <f>IF(OR($G1063="",$X1063&lt;&gt;"VALIDE"),"",IFERROR(LOOKUP(2,1/(($B163:$B1062=$B1063)*($G163:$G1062=$G1063)*($X163:$X1062="VALIDE")),$C163:$C1062),""))</f>
        <v/>
      </c>
      <c r="T1063" s="36">
        <f>IF(OR($C1063="",$S1063=""),"",ROUND(($C1063-$S1063+IF($C1063&lt;$S1063,1,0))*1440,0))</f>
        <v/>
      </c>
      <c r="U1063" s="22">
        <f>IF(OR($H1063="",$T1063="",$T1063&lt;=0),"",$H1063*60/$T1063)</f>
        <v/>
      </c>
      <c r="V1063" s="37">
        <f>IF(OR($U1063="",$R1063="",$R1063=0),"",$U1063/$R1063)</f>
        <v/>
      </c>
      <c r="W1063" s="20">
        <f>IF($G1063="","",IF($X1063="CONTEXTE INCOMPLET","CONTEXTE INCOMPLET",IF($X1063="DOUBLON",StatutDoublon,IF($S1063="",StatutInitial,IF($R1063="",StatutStandardManquant,IF($V1063="","DONNEES INSUFFISANTES",IF($V1063&gt;=SeuilConforme,StatutConforme,IF($V1063&gt;=SeuilSurveiller,StatutSurveiller,StatutSousStandard))))))))</f>
        <v/>
      </c>
      <c r="X1063" s="33">
        <f>IF($G1063="","",IF(OR($D1063="",$E1063="",$F1063=""),"CONTEXTE INCOMPLET",IF(COUNTIFS($D163:$D1062,$D1063,$E163:$E1062,$E1063,$F163:$F1062,$F1063,$G163:$G1062,$G1063)&gt;0,"DOUBLON","VALIDE")))</f>
        <v/>
      </c>
    </row>
    <row r="1064" ht="15" customHeight="1">
      <c r="A1064" s="12">
        <f>IF(OR($B1064="",$G1064=""),"",TEXT($B1064,"YYYYMMDD")&amp;"-"&amp;SUBSTITUTE($E1064," ","")&amp;"-"&amp;$F1064&amp;"-"&amp;$G1064)</f>
        <v/>
      </c>
      <c r="B1064" s="15" t="n"/>
      <c r="C1064" s="16" t="n"/>
      <c r="D1064" s="10" t="n"/>
      <c r="E1064" s="9" t="n"/>
      <c r="F1064" s="9" t="n"/>
      <c r="G1064" s="13" t="n"/>
      <c r="H1064" s="21" t="n"/>
      <c r="I1064" s="21" t="n"/>
      <c r="J1064" s="17">
        <f>IF($G1064="","",IFERROR(INDEX(NomsEmployes,MATCH($G1064,MatriculesEmployes,0)),"MATRICULE INCONNU"))</f>
        <v/>
      </c>
      <c r="K1064" s="33">
        <f>IF(OR($D1064="",$F1064=""),"",IFERROR(IF(INDEX(RUNS!$L$6:$S$1005,MATCH($D1064,RUNS!$A$6:$A$1005,0),MATCH("ACTIVITÉ "&amp;$F1064,RUNS!$L$5:$S$5,0))="","",INDEX(RUNS!$L$6:$S$1005,MATCH($D1064,RUNS!$A$6:$A$1005,0),MATCH("ACTIVITÉ "&amp;$F1064,RUNS!$L$5:$S$5,0))),""))</f>
        <v/>
      </c>
      <c r="L1064" s="33">
        <f>IF($D1064="","",IFERROR(IF(INDEX(RUNS!$E$6:$E$1005,MATCH($D1064,RUNS!$A$6:$A$1005,0))="","",INDEX(RUNS!$E$6:$E$1005,MATCH($D1064,RUNS!$A$6:$A$1005,0))),""))</f>
        <v/>
      </c>
      <c r="M1064" s="33">
        <f>IF($D1064="","",IFERROR(IF(INDEX(RUNS!$F$6:$F$1005,MATCH($D1064,RUNS!$A$6:$A$1005,0))="","",INDEX(RUNS!$F$6:$F$1005,MATCH($D1064,RUNS!$A$6:$A$1005,0))),""))</f>
        <v/>
      </c>
      <c r="N1064" s="33">
        <f>IF($D1064="","",IFERROR(IF(INDEX(RUNS!$G$6:$G$1005,MATCH($D1064,RUNS!$A$6:$A$1005,0))="","",INDEX(RUNS!$G$6:$G$1005,MATCH($D1064,RUNS!$A$6:$A$1005,0))),""))</f>
        <v/>
      </c>
      <c r="O1064" s="33">
        <f>IF($D1064="","",IFERROR(IF(INDEX(RUNS!$H$6:$H$1005,MATCH($D1064,RUNS!$A$6:$A$1005,0))="","",INDEX(RUNS!$H$6:$H$1005,MATCH($D1064,RUNS!$A$6:$A$1005,0))),""))</f>
        <v/>
      </c>
      <c r="P1064" s="33">
        <f>IF($D1064="","",IFERROR(IF(INDEX(RUNS!$J$6:$J$1005,MATCH($D1064,RUNS!$A$6:$A$1005,0))="","",INDEX(RUNS!$J$6:$J$1005,MATCH($D1064,RUNS!$A$6:$A$1005,0))),""))</f>
        <v/>
      </c>
      <c r="Q1064" s="33">
        <f>IF($D1064="","",IFERROR(IF(INDEX(RUNS!$K$6:$K$1005,MATCH($D1064,RUNS!$A$6:$A$1005,0))="","",INDEX(RUNS!$K$6:$K$1005,MATCH($D1064,RUNS!$A$6:$A$1005,0))),""))</f>
        <v/>
      </c>
      <c r="R1064" s="34">
        <f>IF(OR($L1064="",$K1064=""),"",IFERROR(IF(INDEX(PARAMETRES!$H$43:$H$342,MATCH($L1064&amp;"|"&amp;$M1064&amp;"|"&amp;$N1064&amp;"|"&amp;$O1064&amp;"|"&amp;$P1064&amp;"|"&amp;$Q1064&amp;"|"&amp;$K1064,PARAMETRES!$J$43:$J$342,0))="","",INDEX(PARAMETRES!$H$43:$H$342,MATCH($L1064&amp;"|"&amp;$M1064&amp;"|"&amp;$N1064&amp;"|"&amp;$O1064&amp;"|"&amp;$P1064&amp;"|"&amp;$Q1064&amp;"|"&amp;$K1064,PARAMETRES!$J$43:$J$342,0))),""))</f>
        <v/>
      </c>
      <c r="S1064" s="35">
        <f>IF(OR($G1064="",$X1064&lt;&gt;"VALIDE"),"",IFERROR(LOOKUP(2,1/(($B164:$B1063=$B1064)*($G164:$G1063=$G1064)*($X164:$X1063="VALIDE")),$C164:$C1063),""))</f>
        <v/>
      </c>
      <c r="T1064" s="36">
        <f>IF(OR($C1064="",$S1064=""),"",ROUND(($C1064-$S1064+IF($C1064&lt;$S1064,1,0))*1440,0))</f>
        <v/>
      </c>
      <c r="U1064" s="22">
        <f>IF(OR($H1064="",$T1064="",$T1064&lt;=0),"",$H1064*60/$T1064)</f>
        <v/>
      </c>
      <c r="V1064" s="37">
        <f>IF(OR($U1064="",$R1064="",$R1064=0),"",$U1064/$R1064)</f>
        <v/>
      </c>
      <c r="W1064" s="20">
        <f>IF($G1064="","",IF($X1064="CONTEXTE INCOMPLET","CONTEXTE INCOMPLET",IF($X1064="DOUBLON",StatutDoublon,IF($S1064="",StatutInitial,IF($R1064="",StatutStandardManquant,IF($V1064="","DONNEES INSUFFISANTES",IF($V1064&gt;=SeuilConforme,StatutConforme,IF($V1064&gt;=SeuilSurveiller,StatutSurveiller,StatutSousStandard))))))))</f>
        <v/>
      </c>
      <c r="X1064" s="33">
        <f>IF($G1064="","",IF(OR($D1064="",$E1064="",$F1064=""),"CONTEXTE INCOMPLET",IF(COUNTIFS($D164:$D1063,$D1064,$E164:$E1063,$E1064,$F164:$F1063,$F1064,$G164:$G1063,$G1064)&gt;0,"DOUBLON","VALIDE")))</f>
        <v/>
      </c>
    </row>
    <row r="1065" ht="15" customHeight="1">
      <c r="A1065" s="12">
        <f>IF(OR($B1065="",$G1065=""),"",TEXT($B1065,"YYYYMMDD")&amp;"-"&amp;SUBSTITUTE($E1065," ","")&amp;"-"&amp;$F1065&amp;"-"&amp;$G1065)</f>
        <v/>
      </c>
      <c r="B1065" s="15" t="n"/>
      <c r="C1065" s="16" t="n"/>
      <c r="D1065" s="10" t="n"/>
      <c r="E1065" s="9" t="n"/>
      <c r="F1065" s="9" t="n"/>
      <c r="G1065" s="13" t="n"/>
      <c r="H1065" s="21" t="n"/>
      <c r="I1065" s="21" t="n"/>
      <c r="J1065" s="17">
        <f>IF($G1065="","",IFERROR(INDEX(NomsEmployes,MATCH($G1065,MatriculesEmployes,0)),"MATRICULE INCONNU"))</f>
        <v/>
      </c>
      <c r="K1065" s="33">
        <f>IF(OR($D1065="",$F1065=""),"",IFERROR(IF(INDEX(RUNS!$L$6:$S$1005,MATCH($D1065,RUNS!$A$6:$A$1005,0),MATCH("ACTIVITÉ "&amp;$F1065,RUNS!$L$5:$S$5,0))="","",INDEX(RUNS!$L$6:$S$1005,MATCH($D1065,RUNS!$A$6:$A$1005,0),MATCH("ACTIVITÉ "&amp;$F1065,RUNS!$L$5:$S$5,0))),""))</f>
        <v/>
      </c>
      <c r="L1065" s="33">
        <f>IF($D1065="","",IFERROR(IF(INDEX(RUNS!$E$6:$E$1005,MATCH($D1065,RUNS!$A$6:$A$1005,0))="","",INDEX(RUNS!$E$6:$E$1005,MATCH($D1065,RUNS!$A$6:$A$1005,0))),""))</f>
        <v/>
      </c>
      <c r="M1065" s="33">
        <f>IF($D1065="","",IFERROR(IF(INDEX(RUNS!$F$6:$F$1005,MATCH($D1065,RUNS!$A$6:$A$1005,0))="","",INDEX(RUNS!$F$6:$F$1005,MATCH($D1065,RUNS!$A$6:$A$1005,0))),""))</f>
        <v/>
      </c>
      <c r="N1065" s="33">
        <f>IF($D1065="","",IFERROR(IF(INDEX(RUNS!$G$6:$G$1005,MATCH($D1065,RUNS!$A$6:$A$1005,0))="","",INDEX(RUNS!$G$6:$G$1005,MATCH($D1065,RUNS!$A$6:$A$1005,0))),""))</f>
        <v/>
      </c>
      <c r="O1065" s="33">
        <f>IF($D1065="","",IFERROR(IF(INDEX(RUNS!$H$6:$H$1005,MATCH($D1065,RUNS!$A$6:$A$1005,0))="","",INDEX(RUNS!$H$6:$H$1005,MATCH($D1065,RUNS!$A$6:$A$1005,0))),""))</f>
        <v/>
      </c>
      <c r="P1065" s="33">
        <f>IF($D1065="","",IFERROR(IF(INDEX(RUNS!$J$6:$J$1005,MATCH($D1065,RUNS!$A$6:$A$1005,0))="","",INDEX(RUNS!$J$6:$J$1005,MATCH($D1065,RUNS!$A$6:$A$1005,0))),""))</f>
        <v/>
      </c>
      <c r="Q1065" s="33">
        <f>IF($D1065="","",IFERROR(IF(INDEX(RUNS!$K$6:$K$1005,MATCH($D1065,RUNS!$A$6:$A$1005,0))="","",INDEX(RUNS!$K$6:$K$1005,MATCH($D1065,RUNS!$A$6:$A$1005,0))),""))</f>
        <v/>
      </c>
      <c r="R1065" s="34">
        <f>IF(OR($L1065="",$K1065=""),"",IFERROR(IF(INDEX(PARAMETRES!$H$43:$H$342,MATCH($L1065&amp;"|"&amp;$M1065&amp;"|"&amp;$N1065&amp;"|"&amp;$O1065&amp;"|"&amp;$P1065&amp;"|"&amp;$Q1065&amp;"|"&amp;$K1065,PARAMETRES!$J$43:$J$342,0))="","",INDEX(PARAMETRES!$H$43:$H$342,MATCH($L1065&amp;"|"&amp;$M1065&amp;"|"&amp;$N1065&amp;"|"&amp;$O1065&amp;"|"&amp;$P1065&amp;"|"&amp;$Q1065&amp;"|"&amp;$K1065,PARAMETRES!$J$43:$J$342,0))),""))</f>
        <v/>
      </c>
      <c r="S1065" s="35">
        <f>IF(OR($G1065="",$X1065&lt;&gt;"VALIDE"),"",IFERROR(LOOKUP(2,1/(($B165:$B1064=$B1065)*($G165:$G1064=$G1065)*($X165:$X1064="VALIDE")),$C165:$C1064),""))</f>
        <v/>
      </c>
      <c r="T1065" s="36">
        <f>IF(OR($C1065="",$S1065=""),"",ROUND(($C1065-$S1065+IF($C1065&lt;$S1065,1,0))*1440,0))</f>
        <v/>
      </c>
      <c r="U1065" s="22">
        <f>IF(OR($H1065="",$T1065="",$T1065&lt;=0),"",$H1065*60/$T1065)</f>
        <v/>
      </c>
      <c r="V1065" s="37">
        <f>IF(OR($U1065="",$R1065="",$R1065=0),"",$U1065/$R1065)</f>
        <v/>
      </c>
      <c r="W1065" s="20">
        <f>IF($G1065="","",IF($X1065="CONTEXTE INCOMPLET","CONTEXTE INCOMPLET",IF($X1065="DOUBLON",StatutDoublon,IF($S1065="",StatutInitial,IF($R1065="",StatutStandardManquant,IF($V1065="","DONNEES INSUFFISANTES",IF($V1065&gt;=SeuilConforme,StatutConforme,IF($V1065&gt;=SeuilSurveiller,StatutSurveiller,StatutSousStandard))))))))</f>
        <v/>
      </c>
      <c r="X1065" s="33">
        <f>IF($G1065="","",IF(OR($D1065="",$E1065="",$F1065=""),"CONTEXTE INCOMPLET",IF(COUNTIFS($D165:$D1064,$D1065,$E165:$E1064,$E1065,$F165:$F1064,$F1065,$G165:$G1064,$G1065)&gt;0,"DOUBLON","VALIDE")))</f>
        <v/>
      </c>
    </row>
    <row r="1066" ht="15" customHeight="1">
      <c r="A1066" s="12">
        <f>IF(OR($B1066="",$G1066=""),"",TEXT($B1066,"YYYYMMDD")&amp;"-"&amp;SUBSTITUTE($E1066," ","")&amp;"-"&amp;$F1066&amp;"-"&amp;$G1066)</f>
        <v/>
      </c>
      <c r="B1066" s="15" t="n"/>
      <c r="C1066" s="16" t="n"/>
      <c r="D1066" s="10" t="n"/>
      <c r="E1066" s="9" t="n"/>
      <c r="F1066" s="9" t="n"/>
      <c r="G1066" s="13" t="n"/>
      <c r="H1066" s="21" t="n"/>
      <c r="I1066" s="21" t="n"/>
      <c r="J1066" s="17">
        <f>IF($G1066="","",IFERROR(INDEX(NomsEmployes,MATCH($G1066,MatriculesEmployes,0)),"MATRICULE INCONNU"))</f>
        <v/>
      </c>
      <c r="K1066" s="33">
        <f>IF(OR($D1066="",$F1066=""),"",IFERROR(IF(INDEX(RUNS!$L$6:$S$1005,MATCH($D1066,RUNS!$A$6:$A$1005,0),MATCH("ACTIVITÉ "&amp;$F1066,RUNS!$L$5:$S$5,0))="","",INDEX(RUNS!$L$6:$S$1005,MATCH($D1066,RUNS!$A$6:$A$1005,0),MATCH("ACTIVITÉ "&amp;$F1066,RUNS!$L$5:$S$5,0))),""))</f>
        <v/>
      </c>
      <c r="L1066" s="33">
        <f>IF($D1066="","",IFERROR(IF(INDEX(RUNS!$E$6:$E$1005,MATCH($D1066,RUNS!$A$6:$A$1005,0))="","",INDEX(RUNS!$E$6:$E$1005,MATCH($D1066,RUNS!$A$6:$A$1005,0))),""))</f>
        <v/>
      </c>
      <c r="M1066" s="33">
        <f>IF($D1066="","",IFERROR(IF(INDEX(RUNS!$F$6:$F$1005,MATCH($D1066,RUNS!$A$6:$A$1005,0))="","",INDEX(RUNS!$F$6:$F$1005,MATCH($D1066,RUNS!$A$6:$A$1005,0))),""))</f>
        <v/>
      </c>
      <c r="N1066" s="33">
        <f>IF($D1066="","",IFERROR(IF(INDEX(RUNS!$G$6:$G$1005,MATCH($D1066,RUNS!$A$6:$A$1005,0))="","",INDEX(RUNS!$G$6:$G$1005,MATCH($D1066,RUNS!$A$6:$A$1005,0))),""))</f>
        <v/>
      </c>
      <c r="O1066" s="33">
        <f>IF($D1066="","",IFERROR(IF(INDEX(RUNS!$H$6:$H$1005,MATCH($D1066,RUNS!$A$6:$A$1005,0))="","",INDEX(RUNS!$H$6:$H$1005,MATCH($D1066,RUNS!$A$6:$A$1005,0))),""))</f>
        <v/>
      </c>
      <c r="P1066" s="33">
        <f>IF($D1066="","",IFERROR(IF(INDEX(RUNS!$J$6:$J$1005,MATCH($D1066,RUNS!$A$6:$A$1005,0))="","",INDEX(RUNS!$J$6:$J$1005,MATCH($D1066,RUNS!$A$6:$A$1005,0))),""))</f>
        <v/>
      </c>
      <c r="Q1066" s="33">
        <f>IF($D1066="","",IFERROR(IF(INDEX(RUNS!$K$6:$K$1005,MATCH($D1066,RUNS!$A$6:$A$1005,0))="","",INDEX(RUNS!$K$6:$K$1005,MATCH($D1066,RUNS!$A$6:$A$1005,0))),""))</f>
        <v/>
      </c>
      <c r="R1066" s="34">
        <f>IF(OR($L1066="",$K1066=""),"",IFERROR(IF(INDEX(PARAMETRES!$H$43:$H$342,MATCH($L1066&amp;"|"&amp;$M1066&amp;"|"&amp;$N1066&amp;"|"&amp;$O1066&amp;"|"&amp;$P1066&amp;"|"&amp;$Q1066&amp;"|"&amp;$K1066,PARAMETRES!$J$43:$J$342,0))="","",INDEX(PARAMETRES!$H$43:$H$342,MATCH($L1066&amp;"|"&amp;$M1066&amp;"|"&amp;$N1066&amp;"|"&amp;$O1066&amp;"|"&amp;$P1066&amp;"|"&amp;$Q1066&amp;"|"&amp;$K1066,PARAMETRES!$J$43:$J$342,0))),""))</f>
        <v/>
      </c>
      <c r="S1066" s="35">
        <f>IF(OR($G1066="",$X1066&lt;&gt;"VALIDE"),"",IFERROR(LOOKUP(2,1/(($B166:$B1065=$B1066)*($G166:$G1065=$G1066)*($X166:$X1065="VALIDE")),$C166:$C1065),""))</f>
        <v/>
      </c>
      <c r="T1066" s="36">
        <f>IF(OR($C1066="",$S1066=""),"",ROUND(($C1066-$S1066+IF($C1066&lt;$S1066,1,0))*1440,0))</f>
        <v/>
      </c>
      <c r="U1066" s="22">
        <f>IF(OR($H1066="",$T1066="",$T1066&lt;=0),"",$H1066*60/$T1066)</f>
        <v/>
      </c>
      <c r="V1066" s="37">
        <f>IF(OR($U1066="",$R1066="",$R1066=0),"",$U1066/$R1066)</f>
        <v/>
      </c>
      <c r="W1066" s="20">
        <f>IF($G1066="","",IF($X1066="CONTEXTE INCOMPLET","CONTEXTE INCOMPLET",IF($X1066="DOUBLON",StatutDoublon,IF($S1066="",StatutInitial,IF($R1066="",StatutStandardManquant,IF($V1066="","DONNEES INSUFFISANTES",IF($V1066&gt;=SeuilConforme,StatutConforme,IF($V1066&gt;=SeuilSurveiller,StatutSurveiller,StatutSousStandard))))))))</f>
        <v/>
      </c>
      <c r="X1066" s="33">
        <f>IF($G1066="","",IF(OR($D1066="",$E1066="",$F1066=""),"CONTEXTE INCOMPLET",IF(COUNTIFS($D166:$D1065,$D1066,$E166:$E1065,$E1066,$F166:$F1065,$F1066,$G166:$G1065,$G1066)&gt;0,"DOUBLON","VALIDE")))</f>
        <v/>
      </c>
    </row>
    <row r="1067" ht="15" customHeight="1">
      <c r="A1067" s="12">
        <f>IF(OR($B1067="",$G1067=""),"",TEXT($B1067,"YYYYMMDD")&amp;"-"&amp;SUBSTITUTE($E1067," ","")&amp;"-"&amp;$F1067&amp;"-"&amp;$G1067)</f>
        <v/>
      </c>
      <c r="B1067" s="15" t="n"/>
      <c r="C1067" s="16" t="n"/>
      <c r="D1067" s="10" t="n"/>
      <c r="E1067" s="9" t="n"/>
      <c r="F1067" s="9" t="n"/>
      <c r="G1067" s="13" t="n"/>
      <c r="H1067" s="21" t="n"/>
      <c r="I1067" s="21" t="n"/>
      <c r="J1067" s="17">
        <f>IF($G1067="","",IFERROR(INDEX(NomsEmployes,MATCH($G1067,MatriculesEmployes,0)),"MATRICULE INCONNU"))</f>
        <v/>
      </c>
      <c r="K1067" s="33">
        <f>IF(OR($D1067="",$F1067=""),"",IFERROR(IF(INDEX(RUNS!$L$6:$S$1005,MATCH($D1067,RUNS!$A$6:$A$1005,0),MATCH("ACTIVITÉ "&amp;$F1067,RUNS!$L$5:$S$5,0))="","",INDEX(RUNS!$L$6:$S$1005,MATCH($D1067,RUNS!$A$6:$A$1005,0),MATCH("ACTIVITÉ "&amp;$F1067,RUNS!$L$5:$S$5,0))),""))</f>
        <v/>
      </c>
      <c r="L1067" s="33">
        <f>IF($D1067="","",IFERROR(IF(INDEX(RUNS!$E$6:$E$1005,MATCH($D1067,RUNS!$A$6:$A$1005,0))="","",INDEX(RUNS!$E$6:$E$1005,MATCH($D1067,RUNS!$A$6:$A$1005,0))),""))</f>
        <v/>
      </c>
      <c r="M1067" s="33">
        <f>IF($D1067="","",IFERROR(IF(INDEX(RUNS!$F$6:$F$1005,MATCH($D1067,RUNS!$A$6:$A$1005,0))="","",INDEX(RUNS!$F$6:$F$1005,MATCH($D1067,RUNS!$A$6:$A$1005,0))),""))</f>
        <v/>
      </c>
      <c r="N1067" s="33">
        <f>IF($D1067="","",IFERROR(IF(INDEX(RUNS!$G$6:$G$1005,MATCH($D1067,RUNS!$A$6:$A$1005,0))="","",INDEX(RUNS!$G$6:$G$1005,MATCH($D1067,RUNS!$A$6:$A$1005,0))),""))</f>
        <v/>
      </c>
      <c r="O1067" s="33">
        <f>IF($D1067="","",IFERROR(IF(INDEX(RUNS!$H$6:$H$1005,MATCH($D1067,RUNS!$A$6:$A$1005,0))="","",INDEX(RUNS!$H$6:$H$1005,MATCH($D1067,RUNS!$A$6:$A$1005,0))),""))</f>
        <v/>
      </c>
      <c r="P1067" s="33">
        <f>IF($D1067="","",IFERROR(IF(INDEX(RUNS!$J$6:$J$1005,MATCH($D1067,RUNS!$A$6:$A$1005,0))="","",INDEX(RUNS!$J$6:$J$1005,MATCH($D1067,RUNS!$A$6:$A$1005,0))),""))</f>
        <v/>
      </c>
      <c r="Q1067" s="33">
        <f>IF($D1067="","",IFERROR(IF(INDEX(RUNS!$K$6:$K$1005,MATCH($D1067,RUNS!$A$6:$A$1005,0))="","",INDEX(RUNS!$K$6:$K$1005,MATCH($D1067,RUNS!$A$6:$A$1005,0))),""))</f>
        <v/>
      </c>
      <c r="R1067" s="34">
        <f>IF(OR($L1067="",$K1067=""),"",IFERROR(IF(INDEX(PARAMETRES!$H$43:$H$342,MATCH($L1067&amp;"|"&amp;$M1067&amp;"|"&amp;$N1067&amp;"|"&amp;$O1067&amp;"|"&amp;$P1067&amp;"|"&amp;$Q1067&amp;"|"&amp;$K1067,PARAMETRES!$J$43:$J$342,0))="","",INDEX(PARAMETRES!$H$43:$H$342,MATCH($L1067&amp;"|"&amp;$M1067&amp;"|"&amp;$N1067&amp;"|"&amp;$O1067&amp;"|"&amp;$P1067&amp;"|"&amp;$Q1067&amp;"|"&amp;$K1067,PARAMETRES!$J$43:$J$342,0))),""))</f>
        <v/>
      </c>
      <c r="S1067" s="35">
        <f>IF(OR($G1067="",$X1067&lt;&gt;"VALIDE"),"",IFERROR(LOOKUP(2,1/(($B167:$B1066=$B1067)*($G167:$G1066=$G1067)*($X167:$X1066="VALIDE")),$C167:$C1066),""))</f>
        <v/>
      </c>
      <c r="T1067" s="36">
        <f>IF(OR($C1067="",$S1067=""),"",ROUND(($C1067-$S1067+IF($C1067&lt;$S1067,1,0))*1440,0))</f>
        <v/>
      </c>
      <c r="U1067" s="22">
        <f>IF(OR($H1067="",$T1067="",$T1067&lt;=0),"",$H1067*60/$T1067)</f>
        <v/>
      </c>
      <c r="V1067" s="37">
        <f>IF(OR($U1067="",$R1067="",$R1067=0),"",$U1067/$R1067)</f>
        <v/>
      </c>
      <c r="W1067" s="20">
        <f>IF($G1067="","",IF($X1067="CONTEXTE INCOMPLET","CONTEXTE INCOMPLET",IF($X1067="DOUBLON",StatutDoublon,IF($S1067="",StatutInitial,IF($R1067="",StatutStandardManquant,IF($V1067="","DONNEES INSUFFISANTES",IF($V1067&gt;=SeuilConforme,StatutConforme,IF($V1067&gt;=SeuilSurveiller,StatutSurveiller,StatutSousStandard))))))))</f>
        <v/>
      </c>
      <c r="X1067" s="33">
        <f>IF($G1067="","",IF(OR($D1067="",$E1067="",$F1067=""),"CONTEXTE INCOMPLET",IF(COUNTIFS($D167:$D1066,$D1067,$E167:$E1066,$E1067,$F167:$F1066,$F1067,$G167:$G1066,$G1067)&gt;0,"DOUBLON","VALIDE")))</f>
        <v/>
      </c>
    </row>
    <row r="1068" ht="15" customHeight="1">
      <c r="A1068" s="12">
        <f>IF(OR($B1068="",$G1068=""),"",TEXT($B1068,"YYYYMMDD")&amp;"-"&amp;SUBSTITUTE($E1068," ","")&amp;"-"&amp;$F1068&amp;"-"&amp;$G1068)</f>
        <v/>
      </c>
      <c r="B1068" s="15" t="n"/>
      <c r="C1068" s="16" t="n"/>
      <c r="D1068" s="10" t="n"/>
      <c r="E1068" s="9" t="n"/>
      <c r="F1068" s="9" t="n"/>
      <c r="G1068" s="13" t="n"/>
      <c r="H1068" s="21" t="n"/>
      <c r="I1068" s="21" t="n"/>
      <c r="J1068" s="17">
        <f>IF($G1068="","",IFERROR(INDEX(NomsEmployes,MATCH($G1068,MatriculesEmployes,0)),"MATRICULE INCONNU"))</f>
        <v/>
      </c>
      <c r="K1068" s="33">
        <f>IF(OR($D1068="",$F1068=""),"",IFERROR(IF(INDEX(RUNS!$L$6:$S$1005,MATCH($D1068,RUNS!$A$6:$A$1005,0),MATCH("ACTIVITÉ "&amp;$F1068,RUNS!$L$5:$S$5,0))="","",INDEX(RUNS!$L$6:$S$1005,MATCH($D1068,RUNS!$A$6:$A$1005,0),MATCH("ACTIVITÉ "&amp;$F1068,RUNS!$L$5:$S$5,0))),""))</f>
        <v/>
      </c>
      <c r="L1068" s="33">
        <f>IF($D1068="","",IFERROR(IF(INDEX(RUNS!$E$6:$E$1005,MATCH($D1068,RUNS!$A$6:$A$1005,0))="","",INDEX(RUNS!$E$6:$E$1005,MATCH($D1068,RUNS!$A$6:$A$1005,0))),""))</f>
        <v/>
      </c>
      <c r="M1068" s="33">
        <f>IF($D1068="","",IFERROR(IF(INDEX(RUNS!$F$6:$F$1005,MATCH($D1068,RUNS!$A$6:$A$1005,0))="","",INDEX(RUNS!$F$6:$F$1005,MATCH($D1068,RUNS!$A$6:$A$1005,0))),""))</f>
        <v/>
      </c>
      <c r="N1068" s="33">
        <f>IF($D1068="","",IFERROR(IF(INDEX(RUNS!$G$6:$G$1005,MATCH($D1068,RUNS!$A$6:$A$1005,0))="","",INDEX(RUNS!$G$6:$G$1005,MATCH($D1068,RUNS!$A$6:$A$1005,0))),""))</f>
        <v/>
      </c>
      <c r="O1068" s="33">
        <f>IF($D1068="","",IFERROR(IF(INDEX(RUNS!$H$6:$H$1005,MATCH($D1068,RUNS!$A$6:$A$1005,0))="","",INDEX(RUNS!$H$6:$H$1005,MATCH($D1068,RUNS!$A$6:$A$1005,0))),""))</f>
        <v/>
      </c>
      <c r="P1068" s="33">
        <f>IF($D1068="","",IFERROR(IF(INDEX(RUNS!$J$6:$J$1005,MATCH($D1068,RUNS!$A$6:$A$1005,0))="","",INDEX(RUNS!$J$6:$J$1005,MATCH($D1068,RUNS!$A$6:$A$1005,0))),""))</f>
        <v/>
      </c>
      <c r="Q1068" s="33">
        <f>IF($D1068="","",IFERROR(IF(INDEX(RUNS!$K$6:$K$1005,MATCH($D1068,RUNS!$A$6:$A$1005,0))="","",INDEX(RUNS!$K$6:$K$1005,MATCH($D1068,RUNS!$A$6:$A$1005,0))),""))</f>
        <v/>
      </c>
      <c r="R1068" s="34">
        <f>IF(OR($L1068="",$K1068=""),"",IFERROR(IF(INDEX(PARAMETRES!$H$43:$H$342,MATCH($L1068&amp;"|"&amp;$M1068&amp;"|"&amp;$N1068&amp;"|"&amp;$O1068&amp;"|"&amp;$P1068&amp;"|"&amp;$Q1068&amp;"|"&amp;$K1068,PARAMETRES!$J$43:$J$342,0))="","",INDEX(PARAMETRES!$H$43:$H$342,MATCH($L1068&amp;"|"&amp;$M1068&amp;"|"&amp;$N1068&amp;"|"&amp;$O1068&amp;"|"&amp;$P1068&amp;"|"&amp;$Q1068&amp;"|"&amp;$K1068,PARAMETRES!$J$43:$J$342,0))),""))</f>
        <v/>
      </c>
      <c r="S1068" s="35">
        <f>IF(OR($G1068="",$X1068&lt;&gt;"VALIDE"),"",IFERROR(LOOKUP(2,1/(($B168:$B1067=$B1068)*($G168:$G1067=$G1068)*($X168:$X1067="VALIDE")),$C168:$C1067),""))</f>
        <v/>
      </c>
      <c r="T1068" s="36">
        <f>IF(OR($C1068="",$S1068=""),"",ROUND(($C1068-$S1068+IF($C1068&lt;$S1068,1,0))*1440,0))</f>
        <v/>
      </c>
      <c r="U1068" s="22">
        <f>IF(OR($H1068="",$T1068="",$T1068&lt;=0),"",$H1068*60/$T1068)</f>
        <v/>
      </c>
      <c r="V1068" s="37">
        <f>IF(OR($U1068="",$R1068="",$R1068=0),"",$U1068/$R1068)</f>
        <v/>
      </c>
      <c r="W1068" s="20">
        <f>IF($G1068="","",IF($X1068="CONTEXTE INCOMPLET","CONTEXTE INCOMPLET",IF($X1068="DOUBLON",StatutDoublon,IF($S1068="",StatutInitial,IF($R1068="",StatutStandardManquant,IF($V1068="","DONNEES INSUFFISANTES",IF($V1068&gt;=SeuilConforme,StatutConforme,IF($V1068&gt;=SeuilSurveiller,StatutSurveiller,StatutSousStandard))))))))</f>
        <v/>
      </c>
      <c r="X1068" s="33">
        <f>IF($G1068="","",IF(OR($D1068="",$E1068="",$F1068=""),"CONTEXTE INCOMPLET",IF(COUNTIFS($D168:$D1067,$D1068,$E168:$E1067,$E1068,$F168:$F1067,$F1068,$G168:$G1067,$G1068)&gt;0,"DOUBLON","VALIDE")))</f>
        <v/>
      </c>
    </row>
    <row r="1069" ht="15" customHeight="1">
      <c r="A1069" s="12">
        <f>IF(OR($B1069="",$G1069=""),"",TEXT($B1069,"YYYYMMDD")&amp;"-"&amp;SUBSTITUTE($E1069," ","")&amp;"-"&amp;$F1069&amp;"-"&amp;$G1069)</f>
        <v/>
      </c>
      <c r="B1069" s="15" t="n"/>
      <c r="C1069" s="16" t="n"/>
      <c r="D1069" s="10" t="n"/>
      <c r="E1069" s="9" t="n"/>
      <c r="F1069" s="9" t="n"/>
      <c r="G1069" s="13" t="n"/>
      <c r="H1069" s="21" t="n"/>
      <c r="I1069" s="21" t="n"/>
      <c r="J1069" s="17">
        <f>IF($G1069="","",IFERROR(INDEX(NomsEmployes,MATCH($G1069,MatriculesEmployes,0)),"MATRICULE INCONNU"))</f>
        <v/>
      </c>
      <c r="K1069" s="33">
        <f>IF(OR($D1069="",$F1069=""),"",IFERROR(IF(INDEX(RUNS!$L$6:$S$1005,MATCH($D1069,RUNS!$A$6:$A$1005,0),MATCH("ACTIVITÉ "&amp;$F1069,RUNS!$L$5:$S$5,0))="","",INDEX(RUNS!$L$6:$S$1005,MATCH($D1069,RUNS!$A$6:$A$1005,0),MATCH("ACTIVITÉ "&amp;$F1069,RUNS!$L$5:$S$5,0))),""))</f>
        <v/>
      </c>
      <c r="L1069" s="33">
        <f>IF($D1069="","",IFERROR(IF(INDEX(RUNS!$E$6:$E$1005,MATCH($D1069,RUNS!$A$6:$A$1005,0))="","",INDEX(RUNS!$E$6:$E$1005,MATCH($D1069,RUNS!$A$6:$A$1005,0))),""))</f>
        <v/>
      </c>
      <c r="M1069" s="33">
        <f>IF($D1069="","",IFERROR(IF(INDEX(RUNS!$F$6:$F$1005,MATCH($D1069,RUNS!$A$6:$A$1005,0))="","",INDEX(RUNS!$F$6:$F$1005,MATCH($D1069,RUNS!$A$6:$A$1005,0))),""))</f>
        <v/>
      </c>
      <c r="N1069" s="33">
        <f>IF($D1069="","",IFERROR(IF(INDEX(RUNS!$G$6:$G$1005,MATCH($D1069,RUNS!$A$6:$A$1005,0))="","",INDEX(RUNS!$G$6:$G$1005,MATCH($D1069,RUNS!$A$6:$A$1005,0))),""))</f>
        <v/>
      </c>
      <c r="O1069" s="33">
        <f>IF($D1069="","",IFERROR(IF(INDEX(RUNS!$H$6:$H$1005,MATCH($D1069,RUNS!$A$6:$A$1005,0))="","",INDEX(RUNS!$H$6:$H$1005,MATCH($D1069,RUNS!$A$6:$A$1005,0))),""))</f>
        <v/>
      </c>
      <c r="P1069" s="33">
        <f>IF($D1069="","",IFERROR(IF(INDEX(RUNS!$J$6:$J$1005,MATCH($D1069,RUNS!$A$6:$A$1005,0))="","",INDEX(RUNS!$J$6:$J$1005,MATCH($D1069,RUNS!$A$6:$A$1005,0))),""))</f>
        <v/>
      </c>
      <c r="Q1069" s="33">
        <f>IF($D1069="","",IFERROR(IF(INDEX(RUNS!$K$6:$K$1005,MATCH($D1069,RUNS!$A$6:$A$1005,0))="","",INDEX(RUNS!$K$6:$K$1005,MATCH($D1069,RUNS!$A$6:$A$1005,0))),""))</f>
        <v/>
      </c>
      <c r="R1069" s="34">
        <f>IF(OR($L1069="",$K1069=""),"",IFERROR(IF(INDEX(PARAMETRES!$H$43:$H$342,MATCH($L1069&amp;"|"&amp;$M1069&amp;"|"&amp;$N1069&amp;"|"&amp;$O1069&amp;"|"&amp;$P1069&amp;"|"&amp;$Q1069&amp;"|"&amp;$K1069,PARAMETRES!$J$43:$J$342,0))="","",INDEX(PARAMETRES!$H$43:$H$342,MATCH($L1069&amp;"|"&amp;$M1069&amp;"|"&amp;$N1069&amp;"|"&amp;$O1069&amp;"|"&amp;$P1069&amp;"|"&amp;$Q1069&amp;"|"&amp;$K1069,PARAMETRES!$J$43:$J$342,0))),""))</f>
        <v/>
      </c>
      <c r="S1069" s="35">
        <f>IF(OR($G1069="",$X1069&lt;&gt;"VALIDE"),"",IFERROR(LOOKUP(2,1/(($B169:$B1068=$B1069)*($G169:$G1068=$G1069)*($X169:$X1068="VALIDE")),$C169:$C1068),""))</f>
        <v/>
      </c>
      <c r="T1069" s="36">
        <f>IF(OR($C1069="",$S1069=""),"",ROUND(($C1069-$S1069+IF($C1069&lt;$S1069,1,0))*1440,0))</f>
        <v/>
      </c>
      <c r="U1069" s="22">
        <f>IF(OR($H1069="",$T1069="",$T1069&lt;=0),"",$H1069*60/$T1069)</f>
        <v/>
      </c>
      <c r="V1069" s="37">
        <f>IF(OR($U1069="",$R1069="",$R1069=0),"",$U1069/$R1069)</f>
        <v/>
      </c>
      <c r="W1069" s="20">
        <f>IF($G1069="","",IF($X1069="CONTEXTE INCOMPLET","CONTEXTE INCOMPLET",IF($X1069="DOUBLON",StatutDoublon,IF($S1069="",StatutInitial,IF($R1069="",StatutStandardManquant,IF($V1069="","DONNEES INSUFFISANTES",IF($V1069&gt;=SeuilConforme,StatutConforme,IF($V1069&gt;=SeuilSurveiller,StatutSurveiller,StatutSousStandard))))))))</f>
        <v/>
      </c>
      <c r="X1069" s="33">
        <f>IF($G1069="","",IF(OR($D1069="",$E1069="",$F1069=""),"CONTEXTE INCOMPLET",IF(COUNTIFS($D169:$D1068,$D1069,$E169:$E1068,$E1069,$F169:$F1068,$F1069,$G169:$G1068,$G1069)&gt;0,"DOUBLON","VALIDE")))</f>
        <v/>
      </c>
    </row>
    <row r="1070" ht="15" customHeight="1">
      <c r="A1070" s="12">
        <f>IF(OR($B1070="",$G1070=""),"",TEXT($B1070,"YYYYMMDD")&amp;"-"&amp;SUBSTITUTE($E1070," ","")&amp;"-"&amp;$F1070&amp;"-"&amp;$G1070)</f>
        <v/>
      </c>
      <c r="B1070" s="15" t="n"/>
      <c r="C1070" s="16" t="n"/>
      <c r="D1070" s="10" t="n"/>
      <c r="E1070" s="9" t="n"/>
      <c r="F1070" s="9" t="n"/>
      <c r="G1070" s="13" t="n"/>
      <c r="H1070" s="21" t="n"/>
      <c r="I1070" s="21" t="n"/>
      <c r="J1070" s="17">
        <f>IF($G1070="","",IFERROR(INDEX(NomsEmployes,MATCH($G1070,MatriculesEmployes,0)),"MATRICULE INCONNU"))</f>
        <v/>
      </c>
      <c r="K1070" s="33">
        <f>IF(OR($D1070="",$F1070=""),"",IFERROR(IF(INDEX(RUNS!$L$6:$S$1005,MATCH($D1070,RUNS!$A$6:$A$1005,0),MATCH("ACTIVITÉ "&amp;$F1070,RUNS!$L$5:$S$5,0))="","",INDEX(RUNS!$L$6:$S$1005,MATCH($D1070,RUNS!$A$6:$A$1005,0),MATCH("ACTIVITÉ "&amp;$F1070,RUNS!$L$5:$S$5,0))),""))</f>
        <v/>
      </c>
      <c r="L1070" s="33">
        <f>IF($D1070="","",IFERROR(IF(INDEX(RUNS!$E$6:$E$1005,MATCH($D1070,RUNS!$A$6:$A$1005,0))="","",INDEX(RUNS!$E$6:$E$1005,MATCH($D1070,RUNS!$A$6:$A$1005,0))),""))</f>
        <v/>
      </c>
      <c r="M1070" s="33">
        <f>IF($D1070="","",IFERROR(IF(INDEX(RUNS!$F$6:$F$1005,MATCH($D1070,RUNS!$A$6:$A$1005,0))="","",INDEX(RUNS!$F$6:$F$1005,MATCH($D1070,RUNS!$A$6:$A$1005,0))),""))</f>
        <v/>
      </c>
      <c r="N1070" s="33">
        <f>IF($D1070="","",IFERROR(IF(INDEX(RUNS!$G$6:$G$1005,MATCH($D1070,RUNS!$A$6:$A$1005,0))="","",INDEX(RUNS!$G$6:$G$1005,MATCH($D1070,RUNS!$A$6:$A$1005,0))),""))</f>
        <v/>
      </c>
      <c r="O1070" s="33">
        <f>IF($D1070="","",IFERROR(IF(INDEX(RUNS!$H$6:$H$1005,MATCH($D1070,RUNS!$A$6:$A$1005,0))="","",INDEX(RUNS!$H$6:$H$1005,MATCH($D1070,RUNS!$A$6:$A$1005,0))),""))</f>
        <v/>
      </c>
      <c r="P1070" s="33">
        <f>IF($D1070="","",IFERROR(IF(INDEX(RUNS!$J$6:$J$1005,MATCH($D1070,RUNS!$A$6:$A$1005,0))="","",INDEX(RUNS!$J$6:$J$1005,MATCH($D1070,RUNS!$A$6:$A$1005,0))),""))</f>
        <v/>
      </c>
      <c r="Q1070" s="33">
        <f>IF($D1070="","",IFERROR(IF(INDEX(RUNS!$K$6:$K$1005,MATCH($D1070,RUNS!$A$6:$A$1005,0))="","",INDEX(RUNS!$K$6:$K$1005,MATCH($D1070,RUNS!$A$6:$A$1005,0))),""))</f>
        <v/>
      </c>
      <c r="R1070" s="34">
        <f>IF(OR($L1070="",$K1070=""),"",IFERROR(IF(INDEX(PARAMETRES!$H$43:$H$342,MATCH($L1070&amp;"|"&amp;$M1070&amp;"|"&amp;$N1070&amp;"|"&amp;$O1070&amp;"|"&amp;$P1070&amp;"|"&amp;$Q1070&amp;"|"&amp;$K1070,PARAMETRES!$J$43:$J$342,0))="","",INDEX(PARAMETRES!$H$43:$H$342,MATCH($L1070&amp;"|"&amp;$M1070&amp;"|"&amp;$N1070&amp;"|"&amp;$O1070&amp;"|"&amp;$P1070&amp;"|"&amp;$Q1070&amp;"|"&amp;$K1070,PARAMETRES!$J$43:$J$342,0))),""))</f>
        <v/>
      </c>
      <c r="S1070" s="35">
        <f>IF(OR($G1070="",$X1070&lt;&gt;"VALIDE"),"",IFERROR(LOOKUP(2,1/(($B170:$B1069=$B1070)*($G170:$G1069=$G1070)*($X170:$X1069="VALIDE")),$C170:$C1069),""))</f>
        <v/>
      </c>
      <c r="T1070" s="36">
        <f>IF(OR($C1070="",$S1070=""),"",ROUND(($C1070-$S1070+IF($C1070&lt;$S1070,1,0))*1440,0))</f>
        <v/>
      </c>
      <c r="U1070" s="22">
        <f>IF(OR($H1070="",$T1070="",$T1070&lt;=0),"",$H1070*60/$T1070)</f>
        <v/>
      </c>
      <c r="V1070" s="37">
        <f>IF(OR($U1070="",$R1070="",$R1070=0),"",$U1070/$R1070)</f>
        <v/>
      </c>
      <c r="W1070" s="20">
        <f>IF($G1070="","",IF($X1070="CONTEXTE INCOMPLET","CONTEXTE INCOMPLET",IF($X1070="DOUBLON",StatutDoublon,IF($S1070="",StatutInitial,IF($R1070="",StatutStandardManquant,IF($V1070="","DONNEES INSUFFISANTES",IF($V1070&gt;=SeuilConforme,StatutConforme,IF($V1070&gt;=SeuilSurveiller,StatutSurveiller,StatutSousStandard))))))))</f>
        <v/>
      </c>
      <c r="X1070" s="33">
        <f>IF($G1070="","",IF(OR($D1070="",$E1070="",$F1070=""),"CONTEXTE INCOMPLET",IF(COUNTIFS($D170:$D1069,$D1070,$E170:$E1069,$E1070,$F170:$F1069,$F1070,$G170:$G1069,$G1070)&gt;0,"DOUBLON","VALIDE")))</f>
        <v/>
      </c>
    </row>
    <row r="1071" ht="15" customHeight="1">
      <c r="A1071" s="12">
        <f>IF(OR($B1071="",$G1071=""),"",TEXT($B1071,"YYYYMMDD")&amp;"-"&amp;SUBSTITUTE($E1071," ","")&amp;"-"&amp;$F1071&amp;"-"&amp;$G1071)</f>
        <v/>
      </c>
      <c r="B1071" s="15" t="n"/>
      <c r="C1071" s="16" t="n"/>
      <c r="D1071" s="10" t="n"/>
      <c r="E1071" s="9" t="n"/>
      <c r="F1071" s="9" t="n"/>
      <c r="G1071" s="13" t="n"/>
      <c r="H1071" s="21" t="n"/>
      <c r="I1071" s="21" t="n"/>
      <c r="J1071" s="17">
        <f>IF($G1071="","",IFERROR(INDEX(NomsEmployes,MATCH($G1071,MatriculesEmployes,0)),"MATRICULE INCONNU"))</f>
        <v/>
      </c>
      <c r="K1071" s="33">
        <f>IF(OR($D1071="",$F1071=""),"",IFERROR(IF(INDEX(RUNS!$L$6:$S$1005,MATCH($D1071,RUNS!$A$6:$A$1005,0),MATCH("ACTIVITÉ "&amp;$F1071,RUNS!$L$5:$S$5,0))="","",INDEX(RUNS!$L$6:$S$1005,MATCH($D1071,RUNS!$A$6:$A$1005,0),MATCH("ACTIVITÉ "&amp;$F1071,RUNS!$L$5:$S$5,0))),""))</f>
        <v/>
      </c>
      <c r="L1071" s="33">
        <f>IF($D1071="","",IFERROR(IF(INDEX(RUNS!$E$6:$E$1005,MATCH($D1071,RUNS!$A$6:$A$1005,0))="","",INDEX(RUNS!$E$6:$E$1005,MATCH($D1071,RUNS!$A$6:$A$1005,0))),""))</f>
        <v/>
      </c>
      <c r="M1071" s="33">
        <f>IF($D1071="","",IFERROR(IF(INDEX(RUNS!$F$6:$F$1005,MATCH($D1071,RUNS!$A$6:$A$1005,0))="","",INDEX(RUNS!$F$6:$F$1005,MATCH($D1071,RUNS!$A$6:$A$1005,0))),""))</f>
        <v/>
      </c>
      <c r="N1071" s="33">
        <f>IF($D1071="","",IFERROR(IF(INDEX(RUNS!$G$6:$G$1005,MATCH($D1071,RUNS!$A$6:$A$1005,0))="","",INDEX(RUNS!$G$6:$G$1005,MATCH($D1071,RUNS!$A$6:$A$1005,0))),""))</f>
        <v/>
      </c>
      <c r="O1071" s="33">
        <f>IF($D1071="","",IFERROR(IF(INDEX(RUNS!$H$6:$H$1005,MATCH($D1071,RUNS!$A$6:$A$1005,0))="","",INDEX(RUNS!$H$6:$H$1005,MATCH($D1071,RUNS!$A$6:$A$1005,0))),""))</f>
        <v/>
      </c>
      <c r="P1071" s="33">
        <f>IF($D1071="","",IFERROR(IF(INDEX(RUNS!$J$6:$J$1005,MATCH($D1071,RUNS!$A$6:$A$1005,0))="","",INDEX(RUNS!$J$6:$J$1005,MATCH($D1071,RUNS!$A$6:$A$1005,0))),""))</f>
        <v/>
      </c>
      <c r="Q1071" s="33">
        <f>IF($D1071="","",IFERROR(IF(INDEX(RUNS!$K$6:$K$1005,MATCH($D1071,RUNS!$A$6:$A$1005,0))="","",INDEX(RUNS!$K$6:$K$1005,MATCH($D1071,RUNS!$A$6:$A$1005,0))),""))</f>
        <v/>
      </c>
      <c r="R1071" s="34">
        <f>IF(OR($L1071="",$K1071=""),"",IFERROR(IF(INDEX(PARAMETRES!$H$43:$H$342,MATCH($L1071&amp;"|"&amp;$M1071&amp;"|"&amp;$N1071&amp;"|"&amp;$O1071&amp;"|"&amp;$P1071&amp;"|"&amp;$Q1071&amp;"|"&amp;$K1071,PARAMETRES!$J$43:$J$342,0))="","",INDEX(PARAMETRES!$H$43:$H$342,MATCH($L1071&amp;"|"&amp;$M1071&amp;"|"&amp;$N1071&amp;"|"&amp;$O1071&amp;"|"&amp;$P1071&amp;"|"&amp;$Q1071&amp;"|"&amp;$K1071,PARAMETRES!$J$43:$J$342,0))),""))</f>
        <v/>
      </c>
      <c r="S1071" s="35">
        <f>IF(OR($G1071="",$X1071&lt;&gt;"VALIDE"),"",IFERROR(LOOKUP(2,1/(($B171:$B1070=$B1071)*($G171:$G1070=$G1071)*($X171:$X1070="VALIDE")),$C171:$C1070),""))</f>
        <v/>
      </c>
      <c r="T1071" s="36">
        <f>IF(OR($C1071="",$S1071=""),"",ROUND(($C1071-$S1071+IF($C1071&lt;$S1071,1,0))*1440,0))</f>
        <v/>
      </c>
      <c r="U1071" s="22">
        <f>IF(OR($H1071="",$T1071="",$T1071&lt;=0),"",$H1071*60/$T1071)</f>
        <v/>
      </c>
      <c r="V1071" s="37">
        <f>IF(OR($U1071="",$R1071="",$R1071=0),"",$U1071/$R1071)</f>
        <v/>
      </c>
      <c r="W1071" s="20">
        <f>IF($G1071="","",IF($X1071="CONTEXTE INCOMPLET","CONTEXTE INCOMPLET",IF($X1071="DOUBLON",StatutDoublon,IF($S1071="",StatutInitial,IF($R1071="",StatutStandardManquant,IF($V1071="","DONNEES INSUFFISANTES",IF($V1071&gt;=SeuilConforme,StatutConforme,IF($V1071&gt;=SeuilSurveiller,StatutSurveiller,StatutSousStandard))))))))</f>
        <v/>
      </c>
      <c r="X1071" s="33">
        <f>IF($G1071="","",IF(OR($D1071="",$E1071="",$F1071=""),"CONTEXTE INCOMPLET",IF(COUNTIFS($D171:$D1070,$D1071,$E171:$E1070,$E1071,$F171:$F1070,$F1071,$G171:$G1070,$G1071)&gt;0,"DOUBLON","VALIDE")))</f>
        <v/>
      </c>
    </row>
    <row r="1072" ht="15" customHeight="1">
      <c r="A1072" s="12">
        <f>IF(OR($B1072="",$G1072=""),"",TEXT($B1072,"YYYYMMDD")&amp;"-"&amp;SUBSTITUTE($E1072," ","")&amp;"-"&amp;$F1072&amp;"-"&amp;$G1072)</f>
        <v/>
      </c>
      <c r="B1072" s="15" t="n"/>
      <c r="C1072" s="16" t="n"/>
      <c r="D1072" s="10" t="n"/>
      <c r="E1072" s="9" t="n"/>
      <c r="F1072" s="9" t="n"/>
      <c r="G1072" s="13" t="n"/>
      <c r="H1072" s="21" t="n"/>
      <c r="I1072" s="21" t="n"/>
      <c r="J1072" s="17">
        <f>IF($G1072="","",IFERROR(INDEX(NomsEmployes,MATCH($G1072,MatriculesEmployes,0)),"MATRICULE INCONNU"))</f>
        <v/>
      </c>
      <c r="K1072" s="33">
        <f>IF(OR($D1072="",$F1072=""),"",IFERROR(IF(INDEX(RUNS!$L$6:$S$1005,MATCH($D1072,RUNS!$A$6:$A$1005,0),MATCH("ACTIVITÉ "&amp;$F1072,RUNS!$L$5:$S$5,0))="","",INDEX(RUNS!$L$6:$S$1005,MATCH($D1072,RUNS!$A$6:$A$1005,0),MATCH("ACTIVITÉ "&amp;$F1072,RUNS!$L$5:$S$5,0))),""))</f>
        <v/>
      </c>
      <c r="L1072" s="33">
        <f>IF($D1072="","",IFERROR(IF(INDEX(RUNS!$E$6:$E$1005,MATCH($D1072,RUNS!$A$6:$A$1005,0))="","",INDEX(RUNS!$E$6:$E$1005,MATCH($D1072,RUNS!$A$6:$A$1005,0))),""))</f>
        <v/>
      </c>
      <c r="M1072" s="33">
        <f>IF($D1072="","",IFERROR(IF(INDEX(RUNS!$F$6:$F$1005,MATCH($D1072,RUNS!$A$6:$A$1005,0))="","",INDEX(RUNS!$F$6:$F$1005,MATCH($D1072,RUNS!$A$6:$A$1005,0))),""))</f>
        <v/>
      </c>
      <c r="N1072" s="33">
        <f>IF($D1072="","",IFERROR(IF(INDEX(RUNS!$G$6:$G$1005,MATCH($D1072,RUNS!$A$6:$A$1005,0))="","",INDEX(RUNS!$G$6:$G$1005,MATCH($D1072,RUNS!$A$6:$A$1005,0))),""))</f>
        <v/>
      </c>
      <c r="O1072" s="33">
        <f>IF($D1072="","",IFERROR(IF(INDEX(RUNS!$H$6:$H$1005,MATCH($D1072,RUNS!$A$6:$A$1005,0))="","",INDEX(RUNS!$H$6:$H$1005,MATCH($D1072,RUNS!$A$6:$A$1005,0))),""))</f>
        <v/>
      </c>
      <c r="P1072" s="33">
        <f>IF($D1072="","",IFERROR(IF(INDEX(RUNS!$J$6:$J$1005,MATCH($D1072,RUNS!$A$6:$A$1005,0))="","",INDEX(RUNS!$J$6:$J$1005,MATCH($D1072,RUNS!$A$6:$A$1005,0))),""))</f>
        <v/>
      </c>
      <c r="Q1072" s="33">
        <f>IF($D1072="","",IFERROR(IF(INDEX(RUNS!$K$6:$K$1005,MATCH($D1072,RUNS!$A$6:$A$1005,0))="","",INDEX(RUNS!$K$6:$K$1005,MATCH($D1072,RUNS!$A$6:$A$1005,0))),""))</f>
        <v/>
      </c>
      <c r="R1072" s="34">
        <f>IF(OR($L1072="",$K1072=""),"",IFERROR(IF(INDEX(PARAMETRES!$H$43:$H$342,MATCH($L1072&amp;"|"&amp;$M1072&amp;"|"&amp;$N1072&amp;"|"&amp;$O1072&amp;"|"&amp;$P1072&amp;"|"&amp;$Q1072&amp;"|"&amp;$K1072,PARAMETRES!$J$43:$J$342,0))="","",INDEX(PARAMETRES!$H$43:$H$342,MATCH($L1072&amp;"|"&amp;$M1072&amp;"|"&amp;$N1072&amp;"|"&amp;$O1072&amp;"|"&amp;$P1072&amp;"|"&amp;$Q1072&amp;"|"&amp;$K1072,PARAMETRES!$J$43:$J$342,0))),""))</f>
        <v/>
      </c>
      <c r="S1072" s="35">
        <f>IF(OR($G1072="",$X1072&lt;&gt;"VALIDE"),"",IFERROR(LOOKUP(2,1/(($B172:$B1071=$B1072)*($G172:$G1071=$G1072)*($X172:$X1071="VALIDE")),$C172:$C1071),""))</f>
        <v/>
      </c>
      <c r="T1072" s="36">
        <f>IF(OR($C1072="",$S1072=""),"",ROUND(($C1072-$S1072+IF($C1072&lt;$S1072,1,0))*1440,0))</f>
        <v/>
      </c>
      <c r="U1072" s="22">
        <f>IF(OR($H1072="",$T1072="",$T1072&lt;=0),"",$H1072*60/$T1072)</f>
        <v/>
      </c>
      <c r="V1072" s="37">
        <f>IF(OR($U1072="",$R1072="",$R1072=0),"",$U1072/$R1072)</f>
        <v/>
      </c>
      <c r="W1072" s="20">
        <f>IF($G1072="","",IF($X1072="CONTEXTE INCOMPLET","CONTEXTE INCOMPLET",IF($X1072="DOUBLON",StatutDoublon,IF($S1072="",StatutInitial,IF($R1072="",StatutStandardManquant,IF($V1072="","DONNEES INSUFFISANTES",IF($V1072&gt;=SeuilConforme,StatutConforme,IF($V1072&gt;=SeuilSurveiller,StatutSurveiller,StatutSousStandard))))))))</f>
        <v/>
      </c>
      <c r="X1072" s="33">
        <f>IF($G1072="","",IF(OR($D1072="",$E1072="",$F1072=""),"CONTEXTE INCOMPLET",IF(COUNTIFS($D172:$D1071,$D1072,$E172:$E1071,$E1072,$F172:$F1071,$F1072,$G172:$G1071,$G1072)&gt;0,"DOUBLON","VALIDE")))</f>
        <v/>
      </c>
    </row>
    <row r="1073" ht="15" customHeight="1">
      <c r="A1073" s="12">
        <f>IF(OR($B1073="",$G1073=""),"",TEXT($B1073,"YYYYMMDD")&amp;"-"&amp;SUBSTITUTE($E1073," ","")&amp;"-"&amp;$F1073&amp;"-"&amp;$G1073)</f>
        <v/>
      </c>
      <c r="B1073" s="15" t="n"/>
      <c r="C1073" s="16" t="n"/>
      <c r="D1073" s="10" t="n"/>
      <c r="E1073" s="9" t="n"/>
      <c r="F1073" s="9" t="n"/>
      <c r="G1073" s="13" t="n"/>
      <c r="H1073" s="21" t="n"/>
      <c r="I1073" s="21" t="n"/>
      <c r="J1073" s="17">
        <f>IF($G1073="","",IFERROR(INDEX(NomsEmployes,MATCH($G1073,MatriculesEmployes,0)),"MATRICULE INCONNU"))</f>
        <v/>
      </c>
      <c r="K1073" s="33">
        <f>IF(OR($D1073="",$F1073=""),"",IFERROR(IF(INDEX(RUNS!$L$6:$S$1005,MATCH($D1073,RUNS!$A$6:$A$1005,0),MATCH("ACTIVITÉ "&amp;$F1073,RUNS!$L$5:$S$5,0))="","",INDEX(RUNS!$L$6:$S$1005,MATCH($D1073,RUNS!$A$6:$A$1005,0),MATCH("ACTIVITÉ "&amp;$F1073,RUNS!$L$5:$S$5,0))),""))</f>
        <v/>
      </c>
      <c r="L1073" s="33">
        <f>IF($D1073="","",IFERROR(IF(INDEX(RUNS!$E$6:$E$1005,MATCH($D1073,RUNS!$A$6:$A$1005,0))="","",INDEX(RUNS!$E$6:$E$1005,MATCH($D1073,RUNS!$A$6:$A$1005,0))),""))</f>
        <v/>
      </c>
      <c r="M1073" s="33">
        <f>IF($D1073="","",IFERROR(IF(INDEX(RUNS!$F$6:$F$1005,MATCH($D1073,RUNS!$A$6:$A$1005,0))="","",INDEX(RUNS!$F$6:$F$1005,MATCH($D1073,RUNS!$A$6:$A$1005,0))),""))</f>
        <v/>
      </c>
      <c r="N1073" s="33">
        <f>IF($D1073="","",IFERROR(IF(INDEX(RUNS!$G$6:$G$1005,MATCH($D1073,RUNS!$A$6:$A$1005,0))="","",INDEX(RUNS!$G$6:$G$1005,MATCH($D1073,RUNS!$A$6:$A$1005,0))),""))</f>
        <v/>
      </c>
      <c r="O1073" s="33">
        <f>IF($D1073="","",IFERROR(IF(INDEX(RUNS!$H$6:$H$1005,MATCH($D1073,RUNS!$A$6:$A$1005,0))="","",INDEX(RUNS!$H$6:$H$1005,MATCH($D1073,RUNS!$A$6:$A$1005,0))),""))</f>
        <v/>
      </c>
      <c r="P1073" s="33">
        <f>IF($D1073="","",IFERROR(IF(INDEX(RUNS!$J$6:$J$1005,MATCH($D1073,RUNS!$A$6:$A$1005,0))="","",INDEX(RUNS!$J$6:$J$1005,MATCH($D1073,RUNS!$A$6:$A$1005,0))),""))</f>
        <v/>
      </c>
      <c r="Q1073" s="33">
        <f>IF($D1073="","",IFERROR(IF(INDEX(RUNS!$K$6:$K$1005,MATCH($D1073,RUNS!$A$6:$A$1005,0))="","",INDEX(RUNS!$K$6:$K$1005,MATCH($D1073,RUNS!$A$6:$A$1005,0))),""))</f>
        <v/>
      </c>
      <c r="R1073" s="34">
        <f>IF(OR($L1073="",$K1073=""),"",IFERROR(IF(INDEX(PARAMETRES!$H$43:$H$342,MATCH($L1073&amp;"|"&amp;$M1073&amp;"|"&amp;$N1073&amp;"|"&amp;$O1073&amp;"|"&amp;$P1073&amp;"|"&amp;$Q1073&amp;"|"&amp;$K1073,PARAMETRES!$J$43:$J$342,0))="","",INDEX(PARAMETRES!$H$43:$H$342,MATCH($L1073&amp;"|"&amp;$M1073&amp;"|"&amp;$N1073&amp;"|"&amp;$O1073&amp;"|"&amp;$P1073&amp;"|"&amp;$Q1073&amp;"|"&amp;$K1073,PARAMETRES!$J$43:$J$342,0))),""))</f>
        <v/>
      </c>
      <c r="S1073" s="35">
        <f>IF(OR($G1073="",$X1073&lt;&gt;"VALIDE"),"",IFERROR(LOOKUP(2,1/(($B173:$B1072=$B1073)*($G173:$G1072=$G1073)*($X173:$X1072="VALIDE")),$C173:$C1072),""))</f>
        <v/>
      </c>
      <c r="T1073" s="36">
        <f>IF(OR($C1073="",$S1073=""),"",ROUND(($C1073-$S1073+IF($C1073&lt;$S1073,1,0))*1440,0))</f>
        <v/>
      </c>
      <c r="U1073" s="22">
        <f>IF(OR($H1073="",$T1073="",$T1073&lt;=0),"",$H1073*60/$T1073)</f>
        <v/>
      </c>
      <c r="V1073" s="37">
        <f>IF(OR($U1073="",$R1073="",$R1073=0),"",$U1073/$R1073)</f>
        <v/>
      </c>
      <c r="W1073" s="20">
        <f>IF($G1073="","",IF($X1073="CONTEXTE INCOMPLET","CONTEXTE INCOMPLET",IF($X1073="DOUBLON",StatutDoublon,IF($S1073="",StatutInitial,IF($R1073="",StatutStandardManquant,IF($V1073="","DONNEES INSUFFISANTES",IF($V1073&gt;=SeuilConforme,StatutConforme,IF($V1073&gt;=SeuilSurveiller,StatutSurveiller,StatutSousStandard))))))))</f>
        <v/>
      </c>
      <c r="X1073" s="33">
        <f>IF($G1073="","",IF(OR($D1073="",$E1073="",$F1073=""),"CONTEXTE INCOMPLET",IF(COUNTIFS($D173:$D1072,$D1073,$E173:$E1072,$E1073,$F173:$F1072,$F1073,$G173:$G1072,$G1073)&gt;0,"DOUBLON","VALIDE")))</f>
        <v/>
      </c>
    </row>
    <row r="1074" ht="15" customHeight="1">
      <c r="A1074" s="12">
        <f>IF(OR($B1074="",$G1074=""),"",TEXT($B1074,"YYYYMMDD")&amp;"-"&amp;SUBSTITUTE($E1074," ","")&amp;"-"&amp;$F1074&amp;"-"&amp;$G1074)</f>
        <v/>
      </c>
      <c r="B1074" s="15" t="n"/>
      <c r="C1074" s="16" t="n"/>
      <c r="D1074" s="10" t="n"/>
      <c r="E1074" s="9" t="n"/>
      <c r="F1074" s="9" t="n"/>
      <c r="G1074" s="13" t="n"/>
      <c r="H1074" s="21" t="n"/>
      <c r="I1074" s="21" t="n"/>
      <c r="J1074" s="17">
        <f>IF($G1074="","",IFERROR(INDEX(NomsEmployes,MATCH($G1074,MatriculesEmployes,0)),"MATRICULE INCONNU"))</f>
        <v/>
      </c>
      <c r="K1074" s="33">
        <f>IF(OR($D1074="",$F1074=""),"",IFERROR(IF(INDEX(RUNS!$L$6:$S$1005,MATCH($D1074,RUNS!$A$6:$A$1005,0),MATCH("ACTIVITÉ "&amp;$F1074,RUNS!$L$5:$S$5,0))="","",INDEX(RUNS!$L$6:$S$1005,MATCH($D1074,RUNS!$A$6:$A$1005,0),MATCH("ACTIVITÉ "&amp;$F1074,RUNS!$L$5:$S$5,0))),""))</f>
        <v/>
      </c>
      <c r="L1074" s="33">
        <f>IF($D1074="","",IFERROR(IF(INDEX(RUNS!$E$6:$E$1005,MATCH($D1074,RUNS!$A$6:$A$1005,0))="","",INDEX(RUNS!$E$6:$E$1005,MATCH($D1074,RUNS!$A$6:$A$1005,0))),""))</f>
        <v/>
      </c>
      <c r="M1074" s="33">
        <f>IF($D1074="","",IFERROR(IF(INDEX(RUNS!$F$6:$F$1005,MATCH($D1074,RUNS!$A$6:$A$1005,0))="","",INDEX(RUNS!$F$6:$F$1005,MATCH($D1074,RUNS!$A$6:$A$1005,0))),""))</f>
        <v/>
      </c>
      <c r="N1074" s="33">
        <f>IF($D1074="","",IFERROR(IF(INDEX(RUNS!$G$6:$G$1005,MATCH($D1074,RUNS!$A$6:$A$1005,0))="","",INDEX(RUNS!$G$6:$G$1005,MATCH($D1074,RUNS!$A$6:$A$1005,0))),""))</f>
        <v/>
      </c>
      <c r="O1074" s="33">
        <f>IF($D1074="","",IFERROR(IF(INDEX(RUNS!$H$6:$H$1005,MATCH($D1074,RUNS!$A$6:$A$1005,0))="","",INDEX(RUNS!$H$6:$H$1005,MATCH($D1074,RUNS!$A$6:$A$1005,0))),""))</f>
        <v/>
      </c>
      <c r="P1074" s="33">
        <f>IF($D1074="","",IFERROR(IF(INDEX(RUNS!$J$6:$J$1005,MATCH($D1074,RUNS!$A$6:$A$1005,0))="","",INDEX(RUNS!$J$6:$J$1005,MATCH($D1074,RUNS!$A$6:$A$1005,0))),""))</f>
        <v/>
      </c>
      <c r="Q1074" s="33">
        <f>IF($D1074="","",IFERROR(IF(INDEX(RUNS!$K$6:$K$1005,MATCH($D1074,RUNS!$A$6:$A$1005,0))="","",INDEX(RUNS!$K$6:$K$1005,MATCH($D1074,RUNS!$A$6:$A$1005,0))),""))</f>
        <v/>
      </c>
      <c r="R1074" s="34">
        <f>IF(OR($L1074="",$K1074=""),"",IFERROR(IF(INDEX(PARAMETRES!$H$43:$H$342,MATCH($L1074&amp;"|"&amp;$M1074&amp;"|"&amp;$N1074&amp;"|"&amp;$O1074&amp;"|"&amp;$P1074&amp;"|"&amp;$Q1074&amp;"|"&amp;$K1074,PARAMETRES!$J$43:$J$342,0))="","",INDEX(PARAMETRES!$H$43:$H$342,MATCH($L1074&amp;"|"&amp;$M1074&amp;"|"&amp;$N1074&amp;"|"&amp;$O1074&amp;"|"&amp;$P1074&amp;"|"&amp;$Q1074&amp;"|"&amp;$K1074,PARAMETRES!$J$43:$J$342,0))),""))</f>
        <v/>
      </c>
      <c r="S1074" s="35">
        <f>IF(OR($G1074="",$X1074&lt;&gt;"VALIDE"),"",IFERROR(LOOKUP(2,1/(($B174:$B1073=$B1074)*($G174:$G1073=$G1074)*($X174:$X1073="VALIDE")),$C174:$C1073),""))</f>
        <v/>
      </c>
      <c r="T1074" s="36">
        <f>IF(OR($C1074="",$S1074=""),"",ROUND(($C1074-$S1074+IF($C1074&lt;$S1074,1,0))*1440,0))</f>
        <v/>
      </c>
      <c r="U1074" s="22">
        <f>IF(OR($H1074="",$T1074="",$T1074&lt;=0),"",$H1074*60/$T1074)</f>
        <v/>
      </c>
      <c r="V1074" s="37">
        <f>IF(OR($U1074="",$R1074="",$R1074=0),"",$U1074/$R1074)</f>
        <v/>
      </c>
      <c r="W1074" s="20">
        <f>IF($G1074="","",IF($X1074="CONTEXTE INCOMPLET","CONTEXTE INCOMPLET",IF($X1074="DOUBLON",StatutDoublon,IF($S1074="",StatutInitial,IF($R1074="",StatutStandardManquant,IF($V1074="","DONNEES INSUFFISANTES",IF($V1074&gt;=SeuilConforme,StatutConforme,IF($V1074&gt;=SeuilSurveiller,StatutSurveiller,StatutSousStandard))))))))</f>
        <v/>
      </c>
      <c r="X1074" s="33">
        <f>IF($G1074="","",IF(OR($D1074="",$E1074="",$F1074=""),"CONTEXTE INCOMPLET",IF(COUNTIFS($D174:$D1073,$D1074,$E174:$E1073,$E1074,$F174:$F1073,$F1074,$G174:$G1073,$G1074)&gt;0,"DOUBLON","VALIDE")))</f>
        <v/>
      </c>
    </row>
    <row r="1075" ht="15" customHeight="1">
      <c r="A1075" s="12">
        <f>IF(OR($B1075="",$G1075=""),"",TEXT($B1075,"YYYYMMDD")&amp;"-"&amp;SUBSTITUTE($E1075," ","")&amp;"-"&amp;$F1075&amp;"-"&amp;$G1075)</f>
        <v/>
      </c>
      <c r="B1075" s="15" t="n"/>
      <c r="C1075" s="16" t="n"/>
      <c r="D1075" s="10" t="n"/>
      <c r="E1075" s="9" t="n"/>
      <c r="F1075" s="9" t="n"/>
      <c r="G1075" s="13" t="n"/>
      <c r="H1075" s="21" t="n"/>
      <c r="I1075" s="21" t="n"/>
      <c r="J1075" s="17">
        <f>IF($G1075="","",IFERROR(INDEX(NomsEmployes,MATCH($G1075,MatriculesEmployes,0)),"MATRICULE INCONNU"))</f>
        <v/>
      </c>
      <c r="K1075" s="33">
        <f>IF(OR($D1075="",$F1075=""),"",IFERROR(IF(INDEX(RUNS!$L$6:$S$1005,MATCH($D1075,RUNS!$A$6:$A$1005,0),MATCH("ACTIVITÉ "&amp;$F1075,RUNS!$L$5:$S$5,0))="","",INDEX(RUNS!$L$6:$S$1005,MATCH($D1075,RUNS!$A$6:$A$1005,0),MATCH("ACTIVITÉ "&amp;$F1075,RUNS!$L$5:$S$5,0))),""))</f>
        <v/>
      </c>
      <c r="L1075" s="33">
        <f>IF($D1075="","",IFERROR(IF(INDEX(RUNS!$E$6:$E$1005,MATCH($D1075,RUNS!$A$6:$A$1005,0))="","",INDEX(RUNS!$E$6:$E$1005,MATCH($D1075,RUNS!$A$6:$A$1005,0))),""))</f>
        <v/>
      </c>
      <c r="M1075" s="33">
        <f>IF($D1075="","",IFERROR(IF(INDEX(RUNS!$F$6:$F$1005,MATCH($D1075,RUNS!$A$6:$A$1005,0))="","",INDEX(RUNS!$F$6:$F$1005,MATCH($D1075,RUNS!$A$6:$A$1005,0))),""))</f>
        <v/>
      </c>
      <c r="N1075" s="33">
        <f>IF($D1075="","",IFERROR(IF(INDEX(RUNS!$G$6:$G$1005,MATCH($D1075,RUNS!$A$6:$A$1005,0))="","",INDEX(RUNS!$G$6:$G$1005,MATCH($D1075,RUNS!$A$6:$A$1005,0))),""))</f>
        <v/>
      </c>
      <c r="O1075" s="33">
        <f>IF($D1075="","",IFERROR(IF(INDEX(RUNS!$H$6:$H$1005,MATCH($D1075,RUNS!$A$6:$A$1005,0))="","",INDEX(RUNS!$H$6:$H$1005,MATCH($D1075,RUNS!$A$6:$A$1005,0))),""))</f>
        <v/>
      </c>
      <c r="P1075" s="33">
        <f>IF($D1075="","",IFERROR(IF(INDEX(RUNS!$J$6:$J$1005,MATCH($D1075,RUNS!$A$6:$A$1005,0))="","",INDEX(RUNS!$J$6:$J$1005,MATCH($D1075,RUNS!$A$6:$A$1005,0))),""))</f>
        <v/>
      </c>
      <c r="Q1075" s="33">
        <f>IF($D1075="","",IFERROR(IF(INDEX(RUNS!$K$6:$K$1005,MATCH($D1075,RUNS!$A$6:$A$1005,0))="","",INDEX(RUNS!$K$6:$K$1005,MATCH($D1075,RUNS!$A$6:$A$1005,0))),""))</f>
        <v/>
      </c>
      <c r="R1075" s="34">
        <f>IF(OR($L1075="",$K1075=""),"",IFERROR(IF(INDEX(PARAMETRES!$H$43:$H$342,MATCH($L1075&amp;"|"&amp;$M1075&amp;"|"&amp;$N1075&amp;"|"&amp;$O1075&amp;"|"&amp;$P1075&amp;"|"&amp;$Q1075&amp;"|"&amp;$K1075,PARAMETRES!$J$43:$J$342,0))="","",INDEX(PARAMETRES!$H$43:$H$342,MATCH($L1075&amp;"|"&amp;$M1075&amp;"|"&amp;$N1075&amp;"|"&amp;$O1075&amp;"|"&amp;$P1075&amp;"|"&amp;$Q1075&amp;"|"&amp;$K1075,PARAMETRES!$J$43:$J$342,0))),""))</f>
        <v/>
      </c>
      <c r="S1075" s="35">
        <f>IF(OR($G1075="",$X1075&lt;&gt;"VALIDE"),"",IFERROR(LOOKUP(2,1/(($B175:$B1074=$B1075)*($G175:$G1074=$G1075)*($X175:$X1074="VALIDE")),$C175:$C1074),""))</f>
        <v/>
      </c>
      <c r="T1075" s="36">
        <f>IF(OR($C1075="",$S1075=""),"",ROUND(($C1075-$S1075+IF($C1075&lt;$S1075,1,0))*1440,0))</f>
        <v/>
      </c>
      <c r="U1075" s="22">
        <f>IF(OR($H1075="",$T1075="",$T1075&lt;=0),"",$H1075*60/$T1075)</f>
        <v/>
      </c>
      <c r="V1075" s="37">
        <f>IF(OR($U1075="",$R1075="",$R1075=0),"",$U1075/$R1075)</f>
        <v/>
      </c>
      <c r="W1075" s="20">
        <f>IF($G1075="","",IF($X1075="CONTEXTE INCOMPLET","CONTEXTE INCOMPLET",IF($X1075="DOUBLON",StatutDoublon,IF($S1075="",StatutInitial,IF($R1075="",StatutStandardManquant,IF($V1075="","DONNEES INSUFFISANTES",IF($V1075&gt;=SeuilConforme,StatutConforme,IF($V1075&gt;=SeuilSurveiller,StatutSurveiller,StatutSousStandard))))))))</f>
        <v/>
      </c>
      <c r="X1075" s="33">
        <f>IF($G1075="","",IF(OR($D1075="",$E1075="",$F1075=""),"CONTEXTE INCOMPLET",IF(COUNTIFS($D175:$D1074,$D1075,$E175:$E1074,$E1075,$F175:$F1074,$F1075,$G175:$G1074,$G1075)&gt;0,"DOUBLON","VALIDE")))</f>
        <v/>
      </c>
    </row>
    <row r="1076" ht="15" customHeight="1">
      <c r="A1076" s="12">
        <f>IF(OR($B1076="",$G1076=""),"",TEXT($B1076,"YYYYMMDD")&amp;"-"&amp;SUBSTITUTE($E1076," ","")&amp;"-"&amp;$F1076&amp;"-"&amp;$G1076)</f>
        <v/>
      </c>
      <c r="B1076" s="15" t="n"/>
      <c r="C1076" s="16" t="n"/>
      <c r="D1076" s="10" t="n"/>
      <c r="E1076" s="9" t="n"/>
      <c r="F1076" s="9" t="n"/>
      <c r="G1076" s="13" t="n"/>
      <c r="H1076" s="21" t="n"/>
      <c r="I1076" s="21" t="n"/>
      <c r="J1076" s="17">
        <f>IF($G1076="","",IFERROR(INDEX(NomsEmployes,MATCH($G1076,MatriculesEmployes,0)),"MATRICULE INCONNU"))</f>
        <v/>
      </c>
      <c r="K1076" s="33">
        <f>IF(OR($D1076="",$F1076=""),"",IFERROR(IF(INDEX(RUNS!$L$6:$S$1005,MATCH($D1076,RUNS!$A$6:$A$1005,0),MATCH("ACTIVITÉ "&amp;$F1076,RUNS!$L$5:$S$5,0))="","",INDEX(RUNS!$L$6:$S$1005,MATCH($D1076,RUNS!$A$6:$A$1005,0),MATCH("ACTIVITÉ "&amp;$F1076,RUNS!$L$5:$S$5,0))),""))</f>
        <v/>
      </c>
      <c r="L1076" s="33">
        <f>IF($D1076="","",IFERROR(IF(INDEX(RUNS!$E$6:$E$1005,MATCH($D1076,RUNS!$A$6:$A$1005,0))="","",INDEX(RUNS!$E$6:$E$1005,MATCH($D1076,RUNS!$A$6:$A$1005,0))),""))</f>
        <v/>
      </c>
      <c r="M1076" s="33">
        <f>IF($D1076="","",IFERROR(IF(INDEX(RUNS!$F$6:$F$1005,MATCH($D1076,RUNS!$A$6:$A$1005,0))="","",INDEX(RUNS!$F$6:$F$1005,MATCH($D1076,RUNS!$A$6:$A$1005,0))),""))</f>
        <v/>
      </c>
      <c r="N1076" s="33">
        <f>IF($D1076="","",IFERROR(IF(INDEX(RUNS!$G$6:$G$1005,MATCH($D1076,RUNS!$A$6:$A$1005,0))="","",INDEX(RUNS!$G$6:$G$1005,MATCH($D1076,RUNS!$A$6:$A$1005,0))),""))</f>
        <v/>
      </c>
      <c r="O1076" s="33">
        <f>IF($D1076="","",IFERROR(IF(INDEX(RUNS!$H$6:$H$1005,MATCH($D1076,RUNS!$A$6:$A$1005,0))="","",INDEX(RUNS!$H$6:$H$1005,MATCH($D1076,RUNS!$A$6:$A$1005,0))),""))</f>
        <v/>
      </c>
      <c r="P1076" s="33">
        <f>IF($D1076="","",IFERROR(IF(INDEX(RUNS!$J$6:$J$1005,MATCH($D1076,RUNS!$A$6:$A$1005,0))="","",INDEX(RUNS!$J$6:$J$1005,MATCH($D1076,RUNS!$A$6:$A$1005,0))),""))</f>
        <v/>
      </c>
      <c r="Q1076" s="33">
        <f>IF($D1076="","",IFERROR(IF(INDEX(RUNS!$K$6:$K$1005,MATCH($D1076,RUNS!$A$6:$A$1005,0))="","",INDEX(RUNS!$K$6:$K$1005,MATCH($D1076,RUNS!$A$6:$A$1005,0))),""))</f>
        <v/>
      </c>
      <c r="R1076" s="34">
        <f>IF(OR($L1076="",$K1076=""),"",IFERROR(IF(INDEX(PARAMETRES!$H$43:$H$342,MATCH($L1076&amp;"|"&amp;$M1076&amp;"|"&amp;$N1076&amp;"|"&amp;$O1076&amp;"|"&amp;$P1076&amp;"|"&amp;$Q1076&amp;"|"&amp;$K1076,PARAMETRES!$J$43:$J$342,0))="","",INDEX(PARAMETRES!$H$43:$H$342,MATCH($L1076&amp;"|"&amp;$M1076&amp;"|"&amp;$N1076&amp;"|"&amp;$O1076&amp;"|"&amp;$P1076&amp;"|"&amp;$Q1076&amp;"|"&amp;$K1076,PARAMETRES!$J$43:$J$342,0))),""))</f>
        <v/>
      </c>
      <c r="S1076" s="35">
        <f>IF(OR($G1076="",$X1076&lt;&gt;"VALIDE"),"",IFERROR(LOOKUP(2,1/(($B176:$B1075=$B1076)*($G176:$G1075=$G1076)*($X176:$X1075="VALIDE")),$C176:$C1075),""))</f>
        <v/>
      </c>
      <c r="T1076" s="36">
        <f>IF(OR($C1076="",$S1076=""),"",ROUND(($C1076-$S1076+IF($C1076&lt;$S1076,1,0))*1440,0))</f>
        <v/>
      </c>
      <c r="U1076" s="22">
        <f>IF(OR($H1076="",$T1076="",$T1076&lt;=0),"",$H1076*60/$T1076)</f>
        <v/>
      </c>
      <c r="V1076" s="37">
        <f>IF(OR($U1076="",$R1076="",$R1076=0),"",$U1076/$R1076)</f>
        <v/>
      </c>
      <c r="W1076" s="20">
        <f>IF($G1076="","",IF($X1076="CONTEXTE INCOMPLET","CONTEXTE INCOMPLET",IF($X1076="DOUBLON",StatutDoublon,IF($S1076="",StatutInitial,IF($R1076="",StatutStandardManquant,IF($V1076="","DONNEES INSUFFISANTES",IF($V1076&gt;=SeuilConforme,StatutConforme,IF($V1076&gt;=SeuilSurveiller,StatutSurveiller,StatutSousStandard))))))))</f>
        <v/>
      </c>
      <c r="X1076" s="33">
        <f>IF($G1076="","",IF(OR($D1076="",$E1076="",$F1076=""),"CONTEXTE INCOMPLET",IF(COUNTIFS($D176:$D1075,$D1076,$E176:$E1075,$E1076,$F176:$F1075,$F1076,$G176:$G1075,$G1076)&gt;0,"DOUBLON","VALIDE")))</f>
        <v/>
      </c>
    </row>
    <row r="1077" ht="15" customHeight="1">
      <c r="A1077" s="12">
        <f>IF(OR($B1077="",$G1077=""),"",TEXT($B1077,"YYYYMMDD")&amp;"-"&amp;SUBSTITUTE($E1077," ","")&amp;"-"&amp;$F1077&amp;"-"&amp;$G1077)</f>
        <v/>
      </c>
      <c r="B1077" s="15" t="n"/>
      <c r="C1077" s="16" t="n"/>
      <c r="D1077" s="10" t="n"/>
      <c r="E1077" s="9" t="n"/>
      <c r="F1077" s="9" t="n"/>
      <c r="G1077" s="13" t="n"/>
      <c r="H1077" s="21" t="n"/>
      <c r="I1077" s="21" t="n"/>
      <c r="J1077" s="17">
        <f>IF($G1077="","",IFERROR(INDEX(NomsEmployes,MATCH($G1077,MatriculesEmployes,0)),"MATRICULE INCONNU"))</f>
        <v/>
      </c>
      <c r="K1077" s="33">
        <f>IF(OR($D1077="",$F1077=""),"",IFERROR(IF(INDEX(RUNS!$L$6:$S$1005,MATCH($D1077,RUNS!$A$6:$A$1005,0),MATCH("ACTIVITÉ "&amp;$F1077,RUNS!$L$5:$S$5,0))="","",INDEX(RUNS!$L$6:$S$1005,MATCH($D1077,RUNS!$A$6:$A$1005,0),MATCH("ACTIVITÉ "&amp;$F1077,RUNS!$L$5:$S$5,0))),""))</f>
        <v/>
      </c>
      <c r="L1077" s="33">
        <f>IF($D1077="","",IFERROR(IF(INDEX(RUNS!$E$6:$E$1005,MATCH($D1077,RUNS!$A$6:$A$1005,0))="","",INDEX(RUNS!$E$6:$E$1005,MATCH($D1077,RUNS!$A$6:$A$1005,0))),""))</f>
        <v/>
      </c>
      <c r="M1077" s="33">
        <f>IF($D1077="","",IFERROR(IF(INDEX(RUNS!$F$6:$F$1005,MATCH($D1077,RUNS!$A$6:$A$1005,0))="","",INDEX(RUNS!$F$6:$F$1005,MATCH($D1077,RUNS!$A$6:$A$1005,0))),""))</f>
        <v/>
      </c>
      <c r="N1077" s="33">
        <f>IF($D1077="","",IFERROR(IF(INDEX(RUNS!$G$6:$G$1005,MATCH($D1077,RUNS!$A$6:$A$1005,0))="","",INDEX(RUNS!$G$6:$G$1005,MATCH($D1077,RUNS!$A$6:$A$1005,0))),""))</f>
        <v/>
      </c>
      <c r="O1077" s="33">
        <f>IF($D1077="","",IFERROR(IF(INDEX(RUNS!$H$6:$H$1005,MATCH($D1077,RUNS!$A$6:$A$1005,0))="","",INDEX(RUNS!$H$6:$H$1005,MATCH($D1077,RUNS!$A$6:$A$1005,0))),""))</f>
        <v/>
      </c>
      <c r="P1077" s="33">
        <f>IF($D1077="","",IFERROR(IF(INDEX(RUNS!$J$6:$J$1005,MATCH($D1077,RUNS!$A$6:$A$1005,0))="","",INDEX(RUNS!$J$6:$J$1005,MATCH($D1077,RUNS!$A$6:$A$1005,0))),""))</f>
        <v/>
      </c>
      <c r="Q1077" s="33">
        <f>IF($D1077="","",IFERROR(IF(INDEX(RUNS!$K$6:$K$1005,MATCH($D1077,RUNS!$A$6:$A$1005,0))="","",INDEX(RUNS!$K$6:$K$1005,MATCH($D1077,RUNS!$A$6:$A$1005,0))),""))</f>
        <v/>
      </c>
      <c r="R1077" s="34">
        <f>IF(OR($L1077="",$K1077=""),"",IFERROR(IF(INDEX(PARAMETRES!$H$43:$H$342,MATCH($L1077&amp;"|"&amp;$M1077&amp;"|"&amp;$N1077&amp;"|"&amp;$O1077&amp;"|"&amp;$P1077&amp;"|"&amp;$Q1077&amp;"|"&amp;$K1077,PARAMETRES!$J$43:$J$342,0))="","",INDEX(PARAMETRES!$H$43:$H$342,MATCH($L1077&amp;"|"&amp;$M1077&amp;"|"&amp;$N1077&amp;"|"&amp;$O1077&amp;"|"&amp;$P1077&amp;"|"&amp;$Q1077&amp;"|"&amp;$K1077,PARAMETRES!$J$43:$J$342,0))),""))</f>
        <v/>
      </c>
      <c r="S1077" s="35">
        <f>IF(OR($G1077="",$X1077&lt;&gt;"VALIDE"),"",IFERROR(LOOKUP(2,1/(($B177:$B1076=$B1077)*($G177:$G1076=$G1077)*($X177:$X1076="VALIDE")),$C177:$C1076),""))</f>
        <v/>
      </c>
      <c r="T1077" s="36">
        <f>IF(OR($C1077="",$S1077=""),"",ROUND(($C1077-$S1077+IF($C1077&lt;$S1077,1,0))*1440,0))</f>
        <v/>
      </c>
      <c r="U1077" s="22">
        <f>IF(OR($H1077="",$T1077="",$T1077&lt;=0),"",$H1077*60/$T1077)</f>
        <v/>
      </c>
      <c r="V1077" s="37">
        <f>IF(OR($U1077="",$R1077="",$R1077=0),"",$U1077/$R1077)</f>
        <v/>
      </c>
      <c r="W1077" s="20">
        <f>IF($G1077="","",IF($X1077="CONTEXTE INCOMPLET","CONTEXTE INCOMPLET",IF($X1077="DOUBLON",StatutDoublon,IF($S1077="",StatutInitial,IF($R1077="",StatutStandardManquant,IF($V1077="","DONNEES INSUFFISANTES",IF($V1077&gt;=SeuilConforme,StatutConforme,IF($V1077&gt;=SeuilSurveiller,StatutSurveiller,StatutSousStandard))))))))</f>
        <v/>
      </c>
      <c r="X1077" s="33">
        <f>IF($G1077="","",IF(OR($D1077="",$E1077="",$F1077=""),"CONTEXTE INCOMPLET",IF(COUNTIFS($D177:$D1076,$D1077,$E177:$E1076,$E1077,$F177:$F1076,$F1077,$G177:$G1076,$G1077)&gt;0,"DOUBLON","VALIDE")))</f>
        <v/>
      </c>
    </row>
    <row r="1078" ht="15" customHeight="1">
      <c r="A1078" s="12">
        <f>IF(OR($B1078="",$G1078=""),"",TEXT($B1078,"YYYYMMDD")&amp;"-"&amp;SUBSTITUTE($E1078," ","")&amp;"-"&amp;$F1078&amp;"-"&amp;$G1078)</f>
        <v/>
      </c>
      <c r="B1078" s="15" t="n"/>
      <c r="C1078" s="16" t="n"/>
      <c r="D1078" s="10" t="n"/>
      <c r="E1078" s="9" t="n"/>
      <c r="F1078" s="9" t="n"/>
      <c r="G1078" s="13" t="n"/>
      <c r="H1078" s="21" t="n"/>
      <c r="I1078" s="21" t="n"/>
      <c r="J1078" s="17">
        <f>IF($G1078="","",IFERROR(INDEX(NomsEmployes,MATCH($G1078,MatriculesEmployes,0)),"MATRICULE INCONNU"))</f>
        <v/>
      </c>
      <c r="K1078" s="33">
        <f>IF(OR($D1078="",$F1078=""),"",IFERROR(IF(INDEX(RUNS!$L$6:$S$1005,MATCH($D1078,RUNS!$A$6:$A$1005,0),MATCH("ACTIVITÉ "&amp;$F1078,RUNS!$L$5:$S$5,0))="","",INDEX(RUNS!$L$6:$S$1005,MATCH($D1078,RUNS!$A$6:$A$1005,0),MATCH("ACTIVITÉ "&amp;$F1078,RUNS!$L$5:$S$5,0))),""))</f>
        <v/>
      </c>
      <c r="L1078" s="33">
        <f>IF($D1078="","",IFERROR(IF(INDEX(RUNS!$E$6:$E$1005,MATCH($D1078,RUNS!$A$6:$A$1005,0))="","",INDEX(RUNS!$E$6:$E$1005,MATCH($D1078,RUNS!$A$6:$A$1005,0))),""))</f>
        <v/>
      </c>
      <c r="M1078" s="33">
        <f>IF($D1078="","",IFERROR(IF(INDEX(RUNS!$F$6:$F$1005,MATCH($D1078,RUNS!$A$6:$A$1005,0))="","",INDEX(RUNS!$F$6:$F$1005,MATCH($D1078,RUNS!$A$6:$A$1005,0))),""))</f>
        <v/>
      </c>
      <c r="N1078" s="33">
        <f>IF($D1078="","",IFERROR(IF(INDEX(RUNS!$G$6:$G$1005,MATCH($D1078,RUNS!$A$6:$A$1005,0))="","",INDEX(RUNS!$G$6:$G$1005,MATCH($D1078,RUNS!$A$6:$A$1005,0))),""))</f>
        <v/>
      </c>
      <c r="O1078" s="33">
        <f>IF($D1078="","",IFERROR(IF(INDEX(RUNS!$H$6:$H$1005,MATCH($D1078,RUNS!$A$6:$A$1005,0))="","",INDEX(RUNS!$H$6:$H$1005,MATCH($D1078,RUNS!$A$6:$A$1005,0))),""))</f>
        <v/>
      </c>
      <c r="P1078" s="33">
        <f>IF($D1078="","",IFERROR(IF(INDEX(RUNS!$J$6:$J$1005,MATCH($D1078,RUNS!$A$6:$A$1005,0))="","",INDEX(RUNS!$J$6:$J$1005,MATCH($D1078,RUNS!$A$6:$A$1005,0))),""))</f>
        <v/>
      </c>
      <c r="Q1078" s="33">
        <f>IF($D1078="","",IFERROR(IF(INDEX(RUNS!$K$6:$K$1005,MATCH($D1078,RUNS!$A$6:$A$1005,0))="","",INDEX(RUNS!$K$6:$K$1005,MATCH($D1078,RUNS!$A$6:$A$1005,0))),""))</f>
        <v/>
      </c>
      <c r="R1078" s="34">
        <f>IF(OR($L1078="",$K1078=""),"",IFERROR(IF(INDEX(PARAMETRES!$H$43:$H$342,MATCH($L1078&amp;"|"&amp;$M1078&amp;"|"&amp;$N1078&amp;"|"&amp;$O1078&amp;"|"&amp;$P1078&amp;"|"&amp;$Q1078&amp;"|"&amp;$K1078,PARAMETRES!$J$43:$J$342,0))="","",INDEX(PARAMETRES!$H$43:$H$342,MATCH($L1078&amp;"|"&amp;$M1078&amp;"|"&amp;$N1078&amp;"|"&amp;$O1078&amp;"|"&amp;$P1078&amp;"|"&amp;$Q1078&amp;"|"&amp;$K1078,PARAMETRES!$J$43:$J$342,0))),""))</f>
        <v/>
      </c>
      <c r="S1078" s="35">
        <f>IF(OR($G1078="",$X1078&lt;&gt;"VALIDE"),"",IFERROR(LOOKUP(2,1/(($B178:$B1077=$B1078)*($G178:$G1077=$G1078)*($X178:$X1077="VALIDE")),$C178:$C1077),""))</f>
        <v/>
      </c>
      <c r="T1078" s="36">
        <f>IF(OR($C1078="",$S1078=""),"",ROUND(($C1078-$S1078+IF($C1078&lt;$S1078,1,0))*1440,0))</f>
        <v/>
      </c>
      <c r="U1078" s="22">
        <f>IF(OR($H1078="",$T1078="",$T1078&lt;=0),"",$H1078*60/$T1078)</f>
        <v/>
      </c>
      <c r="V1078" s="37">
        <f>IF(OR($U1078="",$R1078="",$R1078=0),"",$U1078/$R1078)</f>
        <v/>
      </c>
      <c r="W1078" s="20">
        <f>IF($G1078="","",IF($X1078="CONTEXTE INCOMPLET","CONTEXTE INCOMPLET",IF($X1078="DOUBLON",StatutDoublon,IF($S1078="",StatutInitial,IF($R1078="",StatutStandardManquant,IF($V1078="","DONNEES INSUFFISANTES",IF($V1078&gt;=SeuilConforme,StatutConforme,IF($V1078&gt;=SeuilSurveiller,StatutSurveiller,StatutSousStandard))))))))</f>
        <v/>
      </c>
      <c r="X1078" s="33">
        <f>IF($G1078="","",IF(OR($D1078="",$E1078="",$F1078=""),"CONTEXTE INCOMPLET",IF(COUNTIFS($D178:$D1077,$D1078,$E178:$E1077,$E1078,$F178:$F1077,$F1078,$G178:$G1077,$G1078)&gt;0,"DOUBLON","VALIDE")))</f>
        <v/>
      </c>
    </row>
    <row r="1079" ht="15" customHeight="1">
      <c r="A1079" s="12">
        <f>IF(OR($B1079="",$G1079=""),"",TEXT($B1079,"YYYYMMDD")&amp;"-"&amp;SUBSTITUTE($E1079," ","")&amp;"-"&amp;$F1079&amp;"-"&amp;$G1079)</f>
        <v/>
      </c>
      <c r="B1079" s="15" t="n"/>
      <c r="C1079" s="16" t="n"/>
      <c r="D1079" s="10" t="n"/>
      <c r="E1079" s="9" t="n"/>
      <c r="F1079" s="9" t="n"/>
      <c r="G1079" s="13" t="n"/>
      <c r="H1079" s="21" t="n"/>
      <c r="I1079" s="21" t="n"/>
      <c r="J1079" s="17">
        <f>IF($G1079="","",IFERROR(INDEX(NomsEmployes,MATCH($G1079,MatriculesEmployes,0)),"MATRICULE INCONNU"))</f>
        <v/>
      </c>
      <c r="K1079" s="33">
        <f>IF(OR($D1079="",$F1079=""),"",IFERROR(IF(INDEX(RUNS!$L$6:$S$1005,MATCH($D1079,RUNS!$A$6:$A$1005,0),MATCH("ACTIVITÉ "&amp;$F1079,RUNS!$L$5:$S$5,0))="","",INDEX(RUNS!$L$6:$S$1005,MATCH($D1079,RUNS!$A$6:$A$1005,0),MATCH("ACTIVITÉ "&amp;$F1079,RUNS!$L$5:$S$5,0))),""))</f>
        <v/>
      </c>
      <c r="L1079" s="33">
        <f>IF($D1079="","",IFERROR(IF(INDEX(RUNS!$E$6:$E$1005,MATCH($D1079,RUNS!$A$6:$A$1005,0))="","",INDEX(RUNS!$E$6:$E$1005,MATCH($D1079,RUNS!$A$6:$A$1005,0))),""))</f>
        <v/>
      </c>
      <c r="M1079" s="33">
        <f>IF($D1079="","",IFERROR(IF(INDEX(RUNS!$F$6:$F$1005,MATCH($D1079,RUNS!$A$6:$A$1005,0))="","",INDEX(RUNS!$F$6:$F$1005,MATCH($D1079,RUNS!$A$6:$A$1005,0))),""))</f>
        <v/>
      </c>
      <c r="N1079" s="33">
        <f>IF($D1079="","",IFERROR(IF(INDEX(RUNS!$G$6:$G$1005,MATCH($D1079,RUNS!$A$6:$A$1005,0))="","",INDEX(RUNS!$G$6:$G$1005,MATCH($D1079,RUNS!$A$6:$A$1005,0))),""))</f>
        <v/>
      </c>
      <c r="O1079" s="33">
        <f>IF($D1079="","",IFERROR(IF(INDEX(RUNS!$H$6:$H$1005,MATCH($D1079,RUNS!$A$6:$A$1005,0))="","",INDEX(RUNS!$H$6:$H$1005,MATCH($D1079,RUNS!$A$6:$A$1005,0))),""))</f>
        <v/>
      </c>
      <c r="P1079" s="33">
        <f>IF($D1079="","",IFERROR(IF(INDEX(RUNS!$J$6:$J$1005,MATCH($D1079,RUNS!$A$6:$A$1005,0))="","",INDEX(RUNS!$J$6:$J$1005,MATCH($D1079,RUNS!$A$6:$A$1005,0))),""))</f>
        <v/>
      </c>
      <c r="Q1079" s="33">
        <f>IF($D1079="","",IFERROR(IF(INDEX(RUNS!$K$6:$K$1005,MATCH($D1079,RUNS!$A$6:$A$1005,0))="","",INDEX(RUNS!$K$6:$K$1005,MATCH($D1079,RUNS!$A$6:$A$1005,0))),""))</f>
        <v/>
      </c>
      <c r="R1079" s="34">
        <f>IF(OR($L1079="",$K1079=""),"",IFERROR(IF(INDEX(PARAMETRES!$H$43:$H$342,MATCH($L1079&amp;"|"&amp;$M1079&amp;"|"&amp;$N1079&amp;"|"&amp;$O1079&amp;"|"&amp;$P1079&amp;"|"&amp;$Q1079&amp;"|"&amp;$K1079,PARAMETRES!$J$43:$J$342,0))="","",INDEX(PARAMETRES!$H$43:$H$342,MATCH($L1079&amp;"|"&amp;$M1079&amp;"|"&amp;$N1079&amp;"|"&amp;$O1079&amp;"|"&amp;$P1079&amp;"|"&amp;$Q1079&amp;"|"&amp;$K1079,PARAMETRES!$J$43:$J$342,0))),""))</f>
        <v/>
      </c>
      <c r="S1079" s="35">
        <f>IF(OR($G1079="",$X1079&lt;&gt;"VALIDE"),"",IFERROR(LOOKUP(2,1/(($B179:$B1078=$B1079)*($G179:$G1078=$G1079)*($X179:$X1078="VALIDE")),$C179:$C1078),""))</f>
        <v/>
      </c>
      <c r="T1079" s="36">
        <f>IF(OR($C1079="",$S1079=""),"",ROUND(($C1079-$S1079+IF($C1079&lt;$S1079,1,0))*1440,0))</f>
        <v/>
      </c>
      <c r="U1079" s="22">
        <f>IF(OR($H1079="",$T1079="",$T1079&lt;=0),"",$H1079*60/$T1079)</f>
        <v/>
      </c>
      <c r="V1079" s="37">
        <f>IF(OR($U1079="",$R1079="",$R1079=0),"",$U1079/$R1079)</f>
        <v/>
      </c>
      <c r="W1079" s="20">
        <f>IF($G1079="","",IF($X1079="CONTEXTE INCOMPLET","CONTEXTE INCOMPLET",IF($X1079="DOUBLON",StatutDoublon,IF($S1079="",StatutInitial,IF($R1079="",StatutStandardManquant,IF($V1079="","DONNEES INSUFFISANTES",IF($V1079&gt;=SeuilConforme,StatutConforme,IF($V1079&gt;=SeuilSurveiller,StatutSurveiller,StatutSousStandard))))))))</f>
        <v/>
      </c>
      <c r="X1079" s="33">
        <f>IF($G1079="","",IF(OR($D1079="",$E1079="",$F1079=""),"CONTEXTE INCOMPLET",IF(COUNTIFS($D179:$D1078,$D1079,$E179:$E1078,$E1079,$F179:$F1078,$F1079,$G179:$G1078,$G1079)&gt;0,"DOUBLON","VALIDE")))</f>
        <v/>
      </c>
    </row>
    <row r="1080" ht="15" customHeight="1">
      <c r="A1080" s="12">
        <f>IF(OR($B1080="",$G1080=""),"",TEXT($B1080,"YYYYMMDD")&amp;"-"&amp;SUBSTITUTE($E1080," ","")&amp;"-"&amp;$F1080&amp;"-"&amp;$G1080)</f>
        <v/>
      </c>
      <c r="B1080" s="15" t="n"/>
      <c r="C1080" s="16" t="n"/>
      <c r="D1080" s="10" t="n"/>
      <c r="E1080" s="9" t="n"/>
      <c r="F1080" s="9" t="n"/>
      <c r="G1080" s="13" t="n"/>
      <c r="H1080" s="21" t="n"/>
      <c r="I1080" s="21" t="n"/>
      <c r="J1080" s="17">
        <f>IF($G1080="","",IFERROR(INDEX(NomsEmployes,MATCH($G1080,MatriculesEmployes,0)),"MATRICULE INCONNU"))</f>
        <v/>
      </c>
      <c r="K1080" s="33">
        <f>IF(OR($D1080="",$F1080=""),"",IFERROR(IF(INDEX(RUNS!$L$6:$S$1005,MATCH($D1080,RUNS!$A$6:$A$1005,0),MATCH("ACTIVITÉ "&amp;$F1080,RUNS!$L$5:$S$5,0))="","",INDEX(RUNS!$L$6:$S$1005,MATCH($D1080,RUNS!$A$6:$A$1005,0),MATCH("ACTIVITÉ "&amp;$F1080,RUNS!$L$5:$S$5,0))),""))</f>
        <v/>
      </c>
      <c r="L1080" s="33">
        <f>IF($D1080="","",IFERROR(IF(INDEX(RUNS!$E$6:$E$1005,MATCH($D1080,RUNS!$A$6:$A$1005,0))="","",INDEX(RUNS!$E$6:$E$1005,MATCH($D1080,RUNS!$A$6:$A$1005,0))),""))</f>
        <v/>
      </c>
      <c r="M1080" s="33">
        <f>IF($D1080="","",IFERROR(IF(INDEX(RUNS!$F$6:$F$1005,MATCH($D1080,RUNS!$A$6:$A$1005,0))="","",INDEX(RUNS!$F$6:$F$1005,MATCH($D1080,RUNS!$A$6:$A$1005,0))),""))</f>
        <v/>
      </c>
      <c r="N1080" s="33">
        <f>IF($D1080="","",IFERROR(IF(INDEX(RUNS!$G$6:$G$1005,MATCH($D1080,RUNS!$A$6:$A$1005,0))="","",INDEX(RUNS!$G$6:$G$1005,MATCH($D1080,RUNS!$A$6:$A$1005,0))),""))</f>
        <v/>
      </c>
      <c r="O1080" s="33">
        <f>IF($D1080="","",IFERROR(IF(INDEX(RUNS!$H$6:$H$1005,MATCH($D1080,RUNS!$A$6:$A$1005,0))="","",INDEX(RUNS!$H$6:$H$1005,MATCH($D1080,RUNS!$A$6:$A$1005,0))),""))</f>
        <v/>
      </c>
      <c r="P1080" s="33">
        <f>IF($D1080="","",IFERROR(IF(INDEX(RUNS!$J$6:$J$1005,MATCH($D1080,RUNS!$A$6:$A$1005,0))="","",INDEX(RUNS!$J$6:$J$1005,MATCH($D1080,RUNS!$A$6:$A$1005,0))),""))</f>
        <v/>
      </c>
      <c r="Q1080" s="33">
        <f>IF($D1080="","",IFERROR(IF(INDEX(RUNS!$K$6:$K$1005,MATCH($D1080,RUNS!$A$6:$A$1005,0))="","",INDEX(RUNS!$K$6:$K$1005,MATCH($D1080,RUNS!$A$6:$A$1005,0))),""))</f>
        <v/>
      </c>
      <c r="R1080" s="34">
        <f>IF(OR($L1080="",$K1080=""),"",IFERROR(IF(INDEX(PARAMETRES!$H$43:$H$342,MATCH($L1080&amp;"|"&amp;$M1080&amp;"|"&amp;$N1080&amp;"|"&amp;$O1080&amp;"|"&amp;$P1080&amp;"|"&amp;$Q1080&amp;"|"&amp;$K1080,PARAMETRES!$J$43:$J$342,0))="","",INDEX(PARAMETRES!$H$43:$H$342,MATCH($L1080&amp;"|"&amp;$M1080&amp;"|"&amp;$N1080&amp;"|"&amp;$O1080&amp;"|"&amp;$P1080&amp;"|"&amp;$Q1080&amp;"|"&amp;$K1080,PARAMETRES!$J$43:$J$342,0))),""))</f>
        <v/>
      </c>
      <c r="S1080" s="35">
        <f>IF(OR($G1080="",$X1080&lt;&gt;"VALIDE"),"",IFERROR(LOOKUP(2,1/(($B180:$B1079=$B1080)*($G180:$G1079=$G1080)*($X180:$X1079="VALIDE")),$C180:$C1079),""))</f>
        <v/>
      </c>
      <c r="T1080" s="36">
        <f>IF(OR($C1080="",$S1080=""),"",ROUND(($C1080-$S1080+IF($C1080&lt;$S1080,1,0))*1440,0))</f>
        <v/>
      </c>
      <c r="U1080" s="22">
        <f>IF(OR($H1080="",$T1080="",$T1080&lt;=0),"",$H1080*60/$T1080)</f>
        <v/>
      </c>
      <c r="V1080" s="37">
        <f>IF(OR($U1080="",$R1080="",$R1080=0),"",$U1080/$R1080)</f>
        <v/>
      </c>
      <c r="W1080" s="20">
        <f>IF($G1080="","",IF($X1080="CONTEXTE INCOMPLET","CONTEXTE INCOMPLET",IF($X1080="DOUBLON",StatutDoublon,IF($S1080="",StatutInitial,IF($R1080="",StatutStandardManquant,IF($V1080="","DONNEES INSUFFISANTES",IF($V1080&gt;=SeuilConforme,StatutConforme,IF($V1080&gt;=SeuilSurveiller,StatutSurveiller,StatutSousStandard))))))))</f>
        <v/>
      </c>
      <c r="X1080" s="33">
        <f>IF($G1080="","",IF(OR($D1080="",$E1080="",$F1080=""),"CONTEXTE INCOMPLET",IF(COUNTIFS($D180:$D1079,$D1080,$E180:$E1079,$E1080,$F180:$F1079,$F1080,$G180:$G1079,$G1080)&gt;0,"DOUBLON","VALIDE")))</f>
        <v/>
      </c>
    </row>
    <row r="1081" ht="15" customHeight="1">
      <c r="A1081" s="12">
        <f>IF(OR($B1081="",$G1081=""),"",TEXT($B1081,"YYYYMMDD")&amp;"-"&amp;SUBSTITUTE($E1081," ","")&amp;"-"&amp;$F1081&amp;"-"&amp;$G1081)</f>
        <v/>
      </c>
      <c r="B1081" s="15" t="n"/>
      <c r="C1081" s="16" t="n"/>
      <c r="D1081" s="10" t="n"/>
      <c r="E1081" s="9" t="n"/>
      <c r="F1081" s="9" t="n"/>
      <c r="G1081" s="13" t="n"/>
      <c r="H1081" s="21" t="n"/>
      <c r="I1081" s="21" t="n"/>
      <c r="J1081" s="17">
        <f>IF($G1081="","",IFERROR(INDEX(NomsEmployes,MATCH($G1081,MatriculesEmployes,0)),"MATRICULE INCONNU"))</f>
        <v/>
      </c>
      <c r="K1081" s="33">
        <f>IF(OR($D1081="",$F1081=""),"",IFERROR(IF(INDEX(RUNS!$L$6:$S$1005,MATCH($D1081,RUNS!$A$6:$A$1005,0),MATCH("ACTIVITÉ "&amp;$F1081,RUNS!$L$5:$S$5,0))="","",INDEX(RUNS!$L$6:$S$1005,MATCH($D1081,RUNS!$A$6:$A$1005,0),MATCH("ACTIVITÉ "&amp;$F1081,RUNS!$L$5:$S$5,0))),""))</f>
        <v/>
      </c>
      <c r="L1081" s="33">
        <f>IF($D1081="","",IFERROR(IF(INDEX(RUNS!$E$6:$E$1005,MATCH($D1081,RUNS!$A$6:$A$1005,0))="","",INDEX(RUNS!$E$6:$E$1005,MATCH($D1081,RUNS!$A$6:$A$1005,0))),""))</f>
        <v/>
      </c>
      <c r="M1081" s="33">
        <f>IF($D1081="","",IFERROR(IF(INDEX(RUNS!$F$6:$F$1005,MATCH($D1081,RUNS!$A$6:$A$1005,0))="","",INDEX(RUNS!$F$6:$F$1005,MATCH($D1081,RUNS!$A$6:$A$1005,0))),""))</f>
        <v/>
      </c>
      <c r="N1081" s="33">
        <f>IF($D1081="","",IFERROR(IF(INDEX(RUNS!$G$6:$G$1005,MATCH($D1081,RUNS!$A$6:$A$1005,0))="","",INDEX(RUNS!$G$6:$G$1005,MATCH($D1081,RUNS!$A$6:$A$1005,0))),""))</f>
        <v/>
      </c>
      <c r="O1081" s="33">
        <f>IF($D1081="","",IFERROR(IF(INDEX(RUNS!$H$6:$H$1005,MATCH($D1081,RUNS!$A$6:$A$1005,0))="","",INDEX(RUNS!$H$6:$H$1005,MATCH($D1081,RUNS!$A$6:$A$1005,0))),""))</f>
        <v/>
      </c>
      <c r="P1081" s="33">
        <f>IF($D1081="","",IFERROR(IF(INDEX(RUNS!$J$6:$J$1005,MATCH($D1081,RUNS!$A$6:$A$1005,0))="","",INDEX(RUNS!$J$6:$J$1005,MATCH($D1081,RUNS!$A$6:$A$1005,0))),""))</f>
        <v/>
      </c>
      <c r="Q1081" s="33">
        <f>IF($D1081="","",IFERROR(IF(INDEX(RUNS!$K$6:$K$1005,MATCH($D1081,RUNS!$A$6:$A$1005,0))="","",INDEX(RUNS!$K$6:$K$1005,MATCH($D1081,RUNS!$A$6:$A$1005,0))),""))</f>
        <v/>
      </c>
      <c r="R1081" s="34">
        <f>IF(OR($L1081="",$K1081=""),"",IFERROR(IF(INDEX(PARAMETRES!$H$43:$H$342,MATCH($L1081&amp;"|"&amp;$M1081&amp;"|"&amp;$N1081&amp;"|"&amp;$O1081&amp;"|"&amp;$P1081&amp;"|"&amp;$Q1081&amp;"|"&amp;$K1081,PARAMETRES!$J$43:$J$342,0))="","",INDEX(PARAMETRES!$H$43:$H$342,MATCH($L1081&amp;"|"&amp;$M1081&amp;"|"&amp;$N1081&amp;"|"&amp;$O1081&amp;"|"&amp;$P1081&amp;"|"&amp;$Q1081&amp;"|"&amp;$K1081,PARAMETRES!$J$43:$J$342,0))),""))</f>
        <v/>
      </c>
      <c r="S1081" s="35">
        <f>IF(OR($G1081="",$X1081&lt;&gt;"VALIDE"),"",IFERROR(LOOKUP(2,1/(($B181:$B1080=$B1081)*($G181:$G1080=$G1081)*($X181:$X1080="VALIDE")),$C181:$C1080),""))</f>
        <v/>
      </c>
      <c r="T1081" s="36">
        <f>IF(OR($C1081="",$S1081=""),"",ROUND(($C1081-$S1081+IF($C1081&lt;$S1081,1,0))*1440,0))</f>
        <v/>
      </c>
      <c r="U1081" s="22">
        <f>IF(OR($H1081="",$T1081="",$T1081&lt;=0),"",$H1081*60/$T1081)</f>
        <v/>
      </c>
      <c r="V1081" s="37">
        <f>IF(OR($U1081="",$R1081="",$R1081=0),"",$U1081/$R1081)</f>
        <v/>
      </c>
      <c r="W1081" s="20">
        <f>IF($G1081="","",IF($X1081="CONTEXTE INCOMPLET","CONTEXTE INCOMPLET",IF($X1081="DOUBLON",StatutDoublon,IF($S1081="",StatutInitial,IF($R1081="",StatutStandardManquant,IF($V1081="","DONNEES INSUFFISANTES",IF($V1081&gt;=SeuilConforme,StatutConforme,IF($V1081&gt;=SeuilSurveiller,StatutSurveiller,StatutSousStandard))))))))</f>
        <v/>
      </c>
      <c r="X1081" s="33">
        <f>IF($G1081="","",IF(OR($D1081="",$E1081="",$F1081=""),"CONTEXTE INCOMPLET",IF(COUNTIFS($D181:$D1080,$D1081,$E181:$E1080,$E1081,$F181:$F1080,$F1081,$G181:$G1080,$G1081)&gt;0,"DOUBLON","VALIDE")))</f>
        <v/>
      </c>
    </row>
    <row r="1082" ht="15" customHeight="1">
      <c r="A1082" s="12">
        <f>IF(OR($B1082="",$G1082=""),"",TEXT($B1082,"YYYYMMDD")&amp;"-"&amp;SUBSTITUTE($E1082," ","")&amp;"-"&amp;$F1082&amp;"-"&amp;$G1082)</f>
        <v/>
      </c>
      <c r="B1082" s="15" t="n"/>
      <c r="C1082" s="16" t="n"/>
      <c r="D1082" s="10" t="n"/>
      <c r="E1082" s="9" t="n"/>
      <c r="F1082" s="9" t="n"/>
      <c r="G1082" s="13" t="n"/>
      <c r="H1082" s="21" t="n"/>
      <c r="I1082" s="21" t="n"/>
      <c r="J1082" s="17">
        <f>IF($G1082="","",IFERROR(INDEX(NomsEmployes,MATCH($G1082,MatriculesEmployes,0)),"MATRICULE INCONNU"))</f>
        <v/>
      </c>
      <c r="K1082" s="33">
        <f>IF(OR($D1082="",$F1082=""),"",IFERROR(IF(INDEX(RUNS!$L$6:$S$1005,MATCH($D1082,RUNS!$A$6:$A$1005,0),MATCH("ACTIVITÉ "&amp;$F1082,RUNS!$L$5:$S$5,0))="","",INDEX(RUNS!$L$6:$S$1005,MATCH($D1082,RUNS!$A$6:$A$1005,0),MATCH("ACTIVITÉ "&amp;$F1082,RUNS!$L$5:$S$5,0))),""))</f>
        <v/>
      </c>
      <c r="L1082" s="33">
        <f>IF($D1082="","",IFERROR(IF(INDEX(RUNS!$E$6:$E$1005,MATCH($D1082,RUNS!$A$6:$A$1005,0))="","",INDEX(RUNS!$E$6:$E$1005,MATCH($D1082,RUNS!$A$6:$A$1005,0))),""))</f>
        <v/>
      </c>
      <c r="M1082" s="33">
        <f>IF($D1082="","",IFERROR(IF(INDEX(RUNS!$F$6:$F$1005,MATCH($D1082,RUNS!$A$6:$A$1005,0))="","",INDEX(RUNS!$F$6:$F$1005,MATCH($D1082,RUNS!$A$6:$A$1005,0))),""))</f>
        <v/>
      </c>
      <c r="N1082" s="33">
        <f>IF($D1082="","",IFERROR(IF(INDEX(RUNS!$G$6:$G$1005,MATCH($D1082,RUNS!$A$6:$A$1005,0))="","",INDEX(RUNS!$G$6:$G$1005,MATCH($D1082,RUNS!$A$6:$A$1005,0))),""))</f>
        <v/>
      </c>
      <c r="O1082" s="33">
        <f>IF($D1082="","",IFERROR(IF(INDEX(RUNS!$H$6:$H$1005,MATCH($D1082,RUNS!$A$6:$A$1005,0))="","",INDEX(RUNS!$H$6:$H$1005,MATCH($D1082,RUNS!$A$6:$A$1005,0))),""))</f>
        <v/>
      </c>
      <c r="P1082" s="33">
        <f>IF($D1082="","",IFERROR(IF(INDEX(RUNS!$J$6:$J$1005,MATCH($D1082,RUNS!$A$6:$A$1005,0))="","",INDEX(RUNS!$J$6:$J$1005,MATCH($D1082,RUNS!$A$6:$A$1005,0))),""))</f>
        <v/>
      </c>
      <c r="Q1082" s="33">
        <f>IF($D1082="","",IFERROR(IF(INDEX(RUNS!$K$6:$K$1005,MATCH($D1082,RUNS!$A$6:$A$1005,0))="","",INDEX(RUNS!$K$6:$K$1005,MATCH($D1082,RUNS!$A$6:$A$1005,0))),""))</f>
        <v/>
      </c>
      <c r="R1082" s="34">
        <f>IF(OR($L1082="",$K1082=""),"",IFERROR(IF(INDEX(PARAMETRES!$H$43:$H$342,MATCH($L1082&amp;"|"&amp;$M1082&amp;"|"&amp;$N1082&amp;"|"&amp;$O1082&amp;"|"&amp;$P1082&amp;"|"&amp;$Q1082&amp;"|"&amp;$K1082,PARAMETRES!$J$43:$J$342,0))="","",INDEX(PARAMETRES!$H$43:$H$342,MATCH($L1082&amp;"|"&amp;$M1082&amp;"|"&amp;$N1082&amp;"|"&amp;$O1082&amp;"|"&amp;$P1082&amp;"|"&amp;$Q1082&amp;"|"&amp;$K1082,PARAMETRES!$J$43:$J$342,0))),""))</f>
        <v/>
      </c>
      <c r="S1082" s="35">
        <f>IF(OR($G1082="",$X1082&lt;&gt;"VALIDE"),"",IFERROR(LOOKUP(2,1/(($B182:$B1081=$B1082)*($G182:$G1081=$G1082)*($X182:$X1081="VALIDE")),$C182:$C1081),""))</f>
        <v/>
      </c>
      <c r="T1082" s="36">
        <f>IF(OR($C1082="",$S1082=""),"",ROUND(($C1082-$S1082+IF($C1082&lt;$S1082,1,0))*1440,0))</f>
        <v/>
      </c>
      <c r="U1082" s="22">
        <f>IF(OR($H1082="",$T1082="",$T1082&lt;=0),"",$H1082*60/$T1082)</f>
        <v/>
      </c>
      <c r="V1082" s="37">
        <f>IF(OR($U1082="",$R1082="",$R1082=0),"",$U1082/$R1082)</f>
        <v/>
      </c>
      <c r="W1082" s="20">
        <f>IF($G1082="","",IF($X1082="CONTEXTE INCOMPLET","CONTEXTE INCOMPLET",IF($X1082="DOUBLON",StatutDoublon,IF($S1082="",StatutInitial,IF($R1082="",StatutStandardManquant,IF($V1082="","DONNEES INSUFFISANTES",IF($V1082&gt;=SeuilConforme,StatutConforme,IF($V1082&gt;=SeuilSurveiller,StatutSurveiller,StatutSousStandard))))))))</f>
        <v/>
      </c>
      <c r="X1082" s="33">
        <f>IF($G1082="","",IF(OR($D1082="",$E1082="",$F1082=""),"CONTEXTE INCOMPLET",IF(COUNTIFS($D182:$D1081,$D1082,$E182:$E1081,$E1082,$F182:$F1081,$F1082,$G182:$G1081,$G1082)&gt;0,"DOUBLON","VALIDE")))</f>
        <v/>
      </c>
    </row>
    <row r="1083" ht="15" customHeight="1">
      <c r="A1083" s="12">
        <f>IF(OR($B1083="",$G1083=""),"",TEXT($B1083,"YYYYMMDD")&amp;"-"&amp;SUBSTITUTE($E1083," ","")&amp;"-"&amp;$F1083&amp;"-"&amp;$G1083)</f>
        <v/>
      </c>
      <c r="B1083" s="15" t="n"/>
      <c r="C1083" s="16" t="n"/>
      <c r="D1083" s="10" t="n"/>
      <c r="E1083" s="9" t="n"/>
      <c r="F1083" s="9" t="n"/>
      <c r="G1083" s="13" t="n"/>
      <c r="H1083" s="21" t="n"/>
      <c r="I1083" s="21" t="n"/>
      <c r="J1083" s="17">
        <f>IF($G1083="","",IFERROR(INDEX(NomsEmployes,MATCH($G1083,MatriculesEmployes,0)),"MATRICULE INCONNU"))</f>
        <v/>
      </c>
      <c r="K1083" s="33">
        <f>IF(OR($D1083="",$F1083=""),"",IFERROR(IF(INDEX(RUNS!$L$6:$S$1005,MATCH($D1083,RUNS!$A$6:$A$1005,0),MATCH("ACTIVITÉ "&amp;$F1083,RUNS!$L$5:$S$5,0))="","",INDEX(RUNS!$L$6:$S$1005,MATCH($D1083,RUNS!$A$6:$A$1005,0),MATCH("ACTIVITÉ "&amp;$F1083,RUNS!$L$5:$S$5,0))),""))</f>
        <v/>
      </c>
      <c r="L1083" s="33">
        <f>IF($D1083="","",IFERROR(IF(INDEX(RUNS!$E$6:$E$1005,MATCH($D1083,RUNS!$A$6:$A$1005,0))="","",INDEX(RUNS!$E$6:$E$1005,MATCH($D1083,RUNS!$A$6:$A$1005,0))),""))</f>
        <v/>
      </c>
      <c r="M1083" s="33">
        <f>IF($D1083="","",IFERROR(IF(INDEX(RUNS!$F$6:$F$1005,MATCH($D1083,RUNS!$A$6:$A$1005,0))="","",INDEX(RUNS!$F$6:$F$1005,MATCH($D1083,RUNS!$A$6:$A$1005,0))),""))</f>
        <v/>
      </c>
      <c r="N1083" s="33">
        <f>IF($D1083="","",IFERROR(IF(INDEX(RUNS!$G$6:$G$1005,MATCH($D1083,RUNS!$A$6:$A$1005,0))="","",INDEX(RUNS!$G$6:$G$1005,MATCH($D1083,RUNS!$A$6:$A$1005,0))),""))</f>
        <v/>
      </c>
      <c r="O1083" s="33">
        <f>IF($D1083="","",IFERROR(IF(INDEX(RUNS!$H$6:$H$1005,MATCH($D1083,RUNS!$A$6:$A$1005,0))="","",INDEX(RUNS!$H$6:$H$1005,MATCH($D1083,RUNS!$A$6:$A$1005,0))),""))</f>
        <v/>
      </c>
      <c r="P1083" s="33">
        <f>IF($D1083="","",IFERROR(IF(INDEX(RUNS!$J$6:$J$1005,MATCH($D1083,RUNS!$A$6:$A$1005,0))="","",INDEX(RUNS!$J$6:$J$1005,MATCH($D1083,RUNS!$A$6:$A$1005,0))),""))</f>
        <v/>
      </c>
      <c r="Q1083" s="33">
        <f>IF($D1083="","",IFERROR(IF(INDEX(RUNS!$K$6:$K$1005,MATCH($D1083,RUNS!$A$6:$A$1005,0))="","",INDEX(RUNS!$K$6:$K$1005,MATCH($D1083,RUNS!$A$6:$A$1005,0))),""))</f>
        <v/>
      </c>
      <c r="R1083" s="34">
        <f>IF(OR($L1083="",$K1083=""),"",IFERROR(IF(INDEX(PARAMETRES!$H$43:$H$342,MATCH($L1083&amp;"|"&amp;$M1083&amp;"|"&amp;$N1083&amp;"|"&amp;$O1083&amp;"|"&amp;$P1083&amp;"|"&amp;$Q1083&amp;"|"&amp;$K1083,PARAMETRES!$J$43:$J$342,0))="","",INDEX(PARAMETRES!$H$43:$H$342,MATCH($L1083&amp;"|"&amp;$M1083&amp;"|"&amp;$N1083&amp;"|"&amp;$O1083&amp;"|"&amp;$P1083&amp;"|"&amp;$Q1083&amp;"|"&amp;$K1083,PARAMETRES!$J$43:$J$342,0))),""))</f>
        <v/>
      </c>
      <c r="S1083" s="35">
        <f>IF(OR($G1083="",$X1083&lt;&gt;"VALIDE"),"",IFERROR(LOOKUP(2,1/(($B183:$B1082=$B1083)*($G183:$G1082=$G1083)*($X183:$X1082="VALIDE")),$C183:$C1082),""))</f>
        <v/>
      </c>
      <c r="T1083" s="36">
        <f>IF(OR($C1083="",$S1083=""),"",ROUND(($C1083-$S1083+IF($C1083&lt;$S1083,1,0))*1440,0))</f>
        <v/>
      </c>
      <c r="U1083" s="22">
        <f>IF(OR($H1083="",$T1083="",$T1083&lt;=0),"",$H1083*60/$T1083)</f>
        <v/>
      </c>
      <c r="V1083" s="37">
        <f>IF(OR($U1083="",$R1083="",$R1083=0),"",$U1083/$R1083)</f>
        <v/>
      </c>
      <c r="W1083" s="20">
        <f>IF($G1083="","",IF($X1083="CONTEXTE INCOMPLET","CONTEXTE INCOMPLET",IF($X1083="DOUBLON",StatutDoublon,IF($S1083="",StatutInitial,IF($R1083="",StatutStandardManquant,IF($V1083="","DONNEES INSUFFISANTES",IF($V1083&gt;=SeuilConforme,StatutConforme,IF($V1083&gt;=SeuilSurveiller,StatutSurveiller,StatutSousStandard))))))))</f>
        <v/>
      </c>
      <c r="X1083" s="33">
        <f>IF($G1083="","",IF(OR($D1083="",$E1083="",$F1083=""),"CONTEXTE INCOMPLET",IF(COUNTIFS($D183:$D1082,$D1083,$E183:$E1082,$E1083,$F183:$F1082,$F1083,$G183:$G1082,$G1083)&gt;0,"DOUBLON","VALIDE")))</f>
        <v/>
      </c>
    </row>
    <row r="1084" ht="15" customHeight="1">
      <c r="A1084" s="12">
        <f>IF(OR($B1084="",$G1084=""),"",TEXT($B1084,"YYYYMMDD")&amp;"-"&amp;SUBSTITUTE($E1084," ","")&amp;"-"&amp;$F1084&amp;"-"&amp;$G1084)</f>
        <v/>
      </c>
      <c r="B1084" s="15" t="n"/>
      <c r="C1084" s="16" t="n"/>
      <c r="D1084" s="10" t="n"/>
      <c r="E1084" s="9" t="n"/>
      <c r="F1084" s="9" t="n"/>
      <c r="G1084" s="13" t="n"/>
      <c r="H1084" s="21" t="n"/>
      <c r="I1084" s="21" t="n"/>
      <c r="J1084" s="17">
        <f>IF($G1084="","",IFERROR(INDEX(NomsEmployes,MATCH($G1084,MatriculesEmployes,0)),"MATRICULE INCONNU"))</f>
        <v/>
      </c>
      <c r="K1084" s="33">
        <f>IF(OR($D1084="",$F1084=""),"",IFERROR(IF(INDEX(RUNS!$L$6:$S$1005,MATCH($D1084,RUNS!$A$6:$A$1005,0),MATCH("ACTIVITÉ "&amp;$F1084,RUNS!$L$5:$S$5,0))="","",INDEX(RUNS!$L$6:$S$1005,MATCH($D1084,RUNS!$A$6:$A$1005,0),MATCH("ACTIVITÉ "&amp;$F1084,RUNS!$L$5:$S$5,0))),""))</f>
        <v/>
      </c>
      <c r="L1084" s="33">
        <f>IF($D1084="","",IFERROR(IF(INDEX(RUNS!$E$6:$E$1005,MATCH($D1084,RUNS!$A$6:$A$1005,0))="","",INDEX(RUNS!$E$6:$E$1005,MATCH($D1084,RUNS!$A$6:$A$1005,0))),""))</f>
        <v/>
      </c>
      <c r="M1084" s="33">
        <f>IF($D1084="","",IFERROR(IF(INDEX(RUNS!$F$6:$F$1005,MATCH($D1084,RUNS!$A$6:$A$1005,0))="","",INDEX(RUNS!$F$6:$F$1005,MATCH($D1084,RUNS!$A$6:$A$1005,0))),""))</f>
        <v/>
      </c>
      <c r="N1084" s="33">
        <f>IF($D1084="","",IFERROR(IF(INDEX(RUNS!$G$6:$G$1005,MATCH($D1084,RUNS!$A$6:$A$1005,0))="","",INDEX(RUNS!$G$6:$G$1005,MATCH($D1084,RUNS!$A$6:$A$1005,0))),""))</f>
        <v/>
      </c>
      <c r="O1084" s="33">
        <f>IF($D1084="","",IFERROR(IF(INDEX(RUNS!$H$6:$H$1005,MATCH($D1084,RUNS!$A$6:$A$1005,0))="","",INDEX(RUNS!$H$6:$H$1005,MATCH($D1084,RUNS!$A$6:$A$1005,0))),""))</f>
        <v/>
      </c>
      <c r="P1084" s="33">
        <f>IF($D1084="","",IFERROR(IF(INDEX(RUNS!$J$6:$J$1005,MATCH($D1084,RUNS!$A$6:$A$1005,0))="","",INDEX(RUNS!$J$6:$J$1005,MATCH($D1084,RUNS!$A$6:$A$1005,0))),""))</f>
        <v/>
      </c>
      <c r="Q1084" s="33">
        <f>IF($D1084="","",IFERROR(IF(INDEX(RUNS!$K$6:$K$1005,MATCH($D1084,RUNS!$A$6:$A$1005,0))="","",INDEX(RUNS!$K$6:$K$1005,MATCH($D1084,RUNS!$A$6:$A$1005,0))),""))</f>
        <v/>
      </c>
      <c r="R1084" s="34">
        <f>IF(OR($L1084="",$K1084=""),"",IFERROR(IF(INDEX(PARAMETRES!$H$43:$H$342,MATCH($L1084&amp;"|"&amp;$M1084&amp;"|"&amp;$N1084&amp;"|"&amp;$O1084&amp;"|"&amp;$P1084&amp;"|"&amp;$Q1084&amp;"|"&amp;$K1084,PARAMETRES!$J$43:$J$342,0))="","",INDEX(PARAMETRES!$H$43:$H$342,MATCH($L1084&amp;"|"&amp;$M1084&amp;"|"&amp;$N1084&amp;"|"&amp;$O1084&amp;"|"&amp;$P1084&amp;"|"&amp;$Q1084&amp;"|"&amp;$K1084,PARAMETRES!$J$43:$J$342,0))),""))</f>
        <v/>
      </c>
      <c r="S1084" s="35">
        <f>IF(OR($G1084="",$X1084&lt;&gt;"VALIDE"),"",IFERROR(LOOKUP(2,1/(($B184:$B1083=$B1084)*($G184:$G1083=$G1084)*($X184:$X1083="VALIDE")),$C184:$C1083),""))</f>
        <v/>
      </c>
      <c r="T1084" s="36">
        <f>IF(OR($C1084="",$S1084=""),"",ROUND(($C1084-$S1084+IF($C1084&lt;$S1084,1,0))*1440,0))</f>
        <v/>
      </c>
      <c r="U1084" s="22">
        <f>IF(OR($H1084="",$T1084="",$T1084&lt;=0),"",$H1084*60/$T1084)</f>
        <v/>
      </c>
      <c r="V1084" s="37">
        <f>IF(OR($U1084="",$R1084="",$R1084=0),"",$U1084/$R1084)</f>
        <v/>
      </c>
      <c r="W1084" s="20">
        <f>IF($G1084="","",IF($X1084="CONTEXTE INCOMPLET","CONTEXTE INCOMPLET",IF($X1084="DOUBLON",StatutDoublon,IF($S1084="",StatutInitial,IF($R1084="",StatutStandardManquant,IF($V1084="","DONNEES INSUFFISANTES",IF($V1084&gt;=SeuilConforme,StatutConforme,IF($V1084&gt;=SeuilSurveiller,StatutSurveiller,StatutSousStandard))))))))</f>
        <v/>
      </c>
      <c r="X1084" s="33">
        <f>IF($G1084="","",IF(OR($D1084="",$E1084="",$F1084=""),"CONTEXTE INCOMPLET",IF(COUNTIFS($D184:$D1083,$D1084,$E184:$E1083,$E1084,$F184:$F1083,$F1084,$G184:$G1083,$G1084)&gt;0,"DOUBLON","VALIDE")))</f>
        <v/>
      </c>
    </row>
    <row r="1085" ht="15" customHeight="1">
      <c r="A1085" s="12">
        <f>IF(OR($B1085="",$G1085=""),"",TEXT($B1085,"YYYYMMDD")&amp;"-"&amp;SUBSTITUTE($E1085," ","")&amp;"-"&amp;$F1085&amp;"-"&amp;$G1085)</f>
        <v/>
      </c>
      <c r="B1085" s="15" t="n"/>
      <c r="C1085" s="16" t="n"/>
      <c r="D1085" s="10" t="n"/>
      <c r="E1085" s="9" t="n"/>
      <c r="F1085" s="9" t="n"/>
      <c r="G1085" s="13" t="n"/>
      <c r="H1085" s="21" t="n"/>
      <c r="I1085" s="21" t="n"/>
      <c r="J1085" s="17">
        <f>IF($G1085="","",IFERROR(INDEX(NomsEmployes,MATCH($G1085,MatriculesEmployes,0)),"MATRICULE INCONNU"))</f>
        <v/>
      </c>
      <c r="K1085" s="33">
        <f>IF(OR($D1085="",$F1085=""),"",IFERROR(IF(INDEX(RUNS!$L$6:$S$1005,MATCH($D1085,RUNS!$A$6:$A$1005,0),MATCH("ACTIVITÉ "&amp;$F1085,RUNS!$L$5:$S$5,0))="","",INDEX(RUNS!$L$6:$S$1005,MATCH($D1085,RUNS!$A$6:$A$1005,0),MATCH("ACTIVITÉ "&amp;$F1085,RUNS!$L$5:$S$5,0))),""))</f>
        <v/>
      </c>
      <c r="L1085" s="33">
        <f>IF($D1085="","",IFERROR(IF(INDEX(RUNS!$E$6:$E$1005,MATCH($D1085,RUNS!$A$6:$A$1005,0))="","",INDEX(RUNS!$E$6:$E$1005,MATCH($D1085,RUNS!$A$6:$A$1005,0))),""))</f>
        <v/>
      </c>
      <c r="M1085" s="33">
        <f>IF($D1085="","",IFERROR(IF(INDEX(RUNS!$F$6:$F$1005,MATCH($D1085,RUNS!$A$6:$A$1005,0))="","",INDEX(RUNS!$F$6:$F$1005,MATCH($D1085,RUNS!$A$6:$A$1005,0))),""))</f>
        <v/>
      </c>
      <c r="N1085" s="33">
        <f>IF($D1085="","",IFERROR(IF(INDEX(RUNS!$G$6:$G$1005,MATCH($D1085,RUNS!$A$6:$A$1005,0))="","",INDEX(RUNS!$G$6:$G$1005,MATCH($D1085,RUNS!$A$6:$A$1005,0))),""))</f>
        <v/>
      </c>
      <c r="O1085" s="33">
        <f>IF($D1085="","",IFERROR(IF(INDEX(RUNS!$H$6:$H$1005,MATCH($D1085,RUNS!$A$6:$A$1005,0))="","",INDEX(RUNS!$H$6:$H$1005,MATCH($D1085,RUNS!$A$6:$A$1005,0))),""))</f>
        <v/>
      </c>
      <c r="P1085" s="33">
        <f>IF($D1085="","",IFERROR(IF(INDEX(RUNS!$J$6:$J$1005,MATCH($D1085,RUNS!$A$6:$A$1005,0))="","",INDEX(RUNS!$J$6:$J$1005,MATCH($D1085,RUNS!$A$6:$A$1005,0))),""))</f>
        <v/>
      </c>
      <c r="Q1085" s="33">
        <f>IF($D1085="","",IFERROR(IF(INDEX(RUNS!$K$6:$K$1005,MATCH($D1085,RUNS!$A$6:$A$1005,0))="","",INDEX(RUNS!$K$6:$K$1005,MATCH($D1085,RUNS!$A$6:$A$1005,0))),""))</f>
        <v/>
      </c>
      <c r="R1085" s="34">
        <f>IF(OR($L1085="",$K1085=""),"",IFERROR(IF(INDEX(PARAMETRES!$H$43:$H$342,MATCH($L1085&amp;"|"&amp;$M1085&amp;"|"&amp;$N1085&amp;"|"&amp;$O1085&amp;"|"&amp;$P1085&amp;"|"&amp;$Q1085&amp;"|"&amp;$K1085,PARAMETRES!$J$43:$J$342,0))="","",INDEX(PARAMETRES!$H$43:$H$342,MATCH($L1085&amp;"|"&amp;$M1085&amp;"|"&amp;$N1085&amp;"|"&amp;$O1085&amp;"|"&amp;$P1085&amp;"|"&amp;$Q1085&amp;"|"&amp;$K1085,PARAMETRES!$J$43:$J$342,0))),""))</f>
        <v/>
      </c>
      <c r="S1085" s="35">
        <f>IF(OR($G1085="",$X1085&lt;&gt;"VALIDE"),"",IFERROR(LOOKUP(2,1/(($B185:$B1084=$B1085)*($G185:$G1084=$G1085)*($X185:$X1084="VALIDE")),$C185:$C1084),""))</f>
        <v/>
      </c>
      <c r="T1085" s="36">
        <f>IF(OR($C1085="",$S1085=""),"",ROUND(($C1085-$S1085+IF($C1085&lt;$S1085,1,0))*1440,0))</f>
        <v/>
      </c>
      <c r="U1085" s="22">
        <f>IF(OR($H1085="",$T1085="",$T1085&lt;=0),"",$H1085*60/$T1085)</f>
        <v/>
      </c>
      <c r="V1085" s="37">
        <f>IF(OR($U1085="",$R1085="",$R1085=0),"",$U1085/$R1085)</f>
        <v/>
      </c>
      <c r="W1085" s="20">
        <f>IF($G1085="","",IF($X1085="CONTEXTE INCOMPLET","CONTEXTE INCOMPLET",IF($X1085="DOUBLON",StatutDoublon,IF($S1085="",StatutInitial,IF($R1085="",StatutStandardManquant,IF($V1085="","DONNEES INSUFFISANTES",IF($V1085&gt;=SeuilConforme,StatutConforme,IF($V1085&gt;=SeuilSurveiller,StatutSurveiller,StatutSousStandard))))))))</f>
        <v/>
      </c>
      <c r="X1085" s="33">
        <f>IF($G1085="","",IF(OR($D1085="",$E1085="",$F1085=""),"CONTEXTE INCOMPLET",IF(COUNTIFS($D185:$D1084,$D1085,$E185:$E1084,$E1085,$F185:$F1084,$F1085,$G185:$G1084,$G1085)&gt;0,"DOUBLON","VALIDE")))</f>
        <v/>
      </c>
    </row>
    <row r="1086" ht="15" customHeight="1">
      <c r="A1086" s="12">
        <f>IF(OR($B1086="",$G1086=""),"",TEXT($B1086,"YYYYMMDD")&amp;"-"&amp;SUBSTITUTE($E1086," ","")&amp;"-"&amp;$F1086&amp;"-"&amp;$G1086)</f>
        <v/>
      </c>
      <c r="B1086" s="15" t="n"/>
      <c r="C1086" s="16" t="n"/>
      <c r="D1086" s="10" t="n"/>
      <c r="E1086" s="9" t="n"/>
      <c r="F1086" s="9" t="n"/>
      <c r="G1086" s="13" t="n"/>
      <c r="H1086" s="21" t="n"/>
      <c r="I1086" s="21" t="n"/>
      <c r="J1086" s="17">
        <f>IF($G1086="","",IFERROR(INDEX(NomsEmployes,MATCH($G1086,MatriculesEmployes,0)),"MATRICULE INCONNU"))</f>
        <v/>
      </c>
      <c r="K1086" s="33">
        <f>IF(OR($D1086="",$F1086=""),"",IFERROR(IF(INDEX(RUNS!$L$6:$S$1005,MATCH($D1086,RUNS!$A$6:$A$1005,0),MATCH("ACTIVITÉ "&amp;$F1086,RUNS!$L$5:$S$5,0))="","",INDEX(RUNS!$L$6:$S$1005,MATCH($D1086,RUNS!$A$6:$A$1005,0),MATCH("ACTIVITÉ "&amp;$F1086,RUNS!$L$5:$S$5,0))),""))</f>
        <v/>
      </c>
      <c r="L1086" s="33">
        <f>IF($D1086="","",IFERROR(IF(INDEX(RUNS!$E$6:$E$1005,MATCH($D1086,RUNS!$A$6:$A$1005,0))="","",INDEX(RUNS!$E$6:$E$1005,MATCH($D1086,RUNS!$A$6:$A$1005,0))),""))</f>
        <v/>
      </c>
      <c r="M1086" s="33">
        <f>IF($D1086="","",IFERROR(IF(INDEX(RUNS!$F$6:$F$1005,MATCH($D1086,RUNS!$A$6:$A$1005,0))="","",INDEX(RUNS!$F$6:$F$1005,MATCH($D1086,RUNS!$A$6:$A$1005,0))),""))</f>
        <v/>
      </c>
      <c r="N1086" s="33">
        <f>IF($D1086="","",IFERROR(IF(INDEX(RUNS!$G$6:$G$1005,MATCH($D1086,RUNS!$A$6:$A$1005,0))="","",INDEX(RUNS!$G$6:$G$1005,MATCH($D1086,RUNS!$A$6:$A$1005,0))),""))</f>
        <v/>
      </c>
      <c r="O1086" s="33">
        <f>IF($D1086="","",IFERROR(IF(INDEX(RUNS!$H$6:$H$1005,MATCH($D1086,RUNS!$A$6:$A$1005,0))="","",INDEX(RUNS!$H$6:$H$1005,MATCH($D1086,RUNS!$A$6:$A$1005,0))),""))</f>
        <v/>
      </c>
      <c r="P1086" s="33">
        <f>IF($D1086="","",IFERROR(IF(INDEX(RUNS!$J$6:$J$1005,MATCH($D1086,RUNS!$A$6:$A$1005,0))="","",INDEX(RUNS!$J$6:$J$1005,MATCH($D1086,RUNS!$A$6:$A$1005,0))),""))</f>
        <v/>
      </c>
      <c r="Q1086" s="33">
        <f>IF($D1086="","",IFERROR(IF(INDEX(RUNS!$K$6:$K$1005,MATCH($D1086,RUNS!$A$6:$A$1005,0))="","",INDEX(RUNS!$K$6:$K$1005,MATCH($D1086,RUNS!$A$6:$A$1005,0))),""))</f>
        <v/>
      </c>
      <c r="R1086" s="34">
        <f>IF(OR($L1086="",$K1086=""),"",IFERROR(IF(INDEX(PARAMETRES!$H$43:$H$342,MATCH($L1086&amp;"|"&amp;$M1086&amp;"|"&amp;$N1086&amp;"|"&amp;$O1086&amp;"|"&amp;$P1086&amp;"|"&amp;$Q1086&amp;"|"&amp;$K1086,PARAMETRES!$J$43:$J$342,0))="","",INDEX(PARAMETRES!$H$43:$H$342,MATCH($L1086&amp;"|"&amp;$M1086&amp;"|"&amp;$N1086&amp;"|"&amp;$O1086&amp;"|"&amp;$P1086&amp;"|"&amp;$Q1086&amp;"|"&amp;$K1086,PARAMETRES!$J$43:$J$342,0))),""))</f>
        <v/>
      </c>
      <c r="S1086" s="35">
        <f>IF(OR($G1086="",$X1086&lt;&gt;"VALIDE"),"",IFERROR(LOOKUP(2,1/(($B186:$B1085=$B1086)*($G186:$G1085=$G1086)*($X186:$X1085="VALIDE")),$C186:$C1085),""))</f>
        <v/>
      </c>
      <c r="T1086" s="36">
        <f>IF(OR($C1086="",$S1086=""),"",ROUND(($C1086-$S1086+IF($C1086&lt;$S1086,1,0))*1440,0))</f>
        <v/>
      </c>
      <c r="U1086" s="22">
        <f>IF(OR($H1086="",$T1086="",$T1086&lt;=0),"",$H1086*60/$T1086)</f>
        <v/>
      </c>
      <c r="V1086" s="37">
        <f>IF(OR($U1086="",$R1086="",$R1086=0),"",$U1086/$R1086)</f>
        <v/>
      </c>
      <c r="W1086" s="20">
        <f>IF($G1086="","",IF($X1086="CONTEXTE INCOMPLET","CONTEXTE INCOMPLET",IF($X1086="DOUBLON",StatutDoublon,IF($S1086="",StatutInitial,IF($R1086="",StatutStandardManquant,IF($V1086="","DONNEES INSUFFISANTES",IF($V1086&gt;=SeuilConforme,StatutConforme,IF($V1086&gt;=SeuilSurveiller,StatutSurveiller,StatutSousStandard))))))))</f>
        <v/>
      </c>
      <c r="X1086" s="33">
        <f>IF($G1086="","",IF(OR($D1086="",$E1086="",$F1086=""),"CONTEXTE INCOMPLET",IF(COUNTIFS($D186:$D1085,$D1086,$E186:$E1085,$E1086,$F186:$F1085,$F1086,$G186:$G1085,$G1086)&gt;0,"DOUBLON","VALIDE")))</f>
        <v/>
      </c>
    </row>
    <row r="1087" ht="15" customHeight="1">
      <c r="A1087" s="12">
        <f>IF(OR($B1087="",$G1087=""),"",TEXT($B1087,"YYYYMMDD")&amp;"-"&amp;SUBSTITUTE($E1087," ","")&amp;"-"&amp;$F1087&amp;"-"&amp;$G1087)</f>
        <v/>
      </c>
      <c r="B1087" s="15" t="n"/>
      <c r="C1087" s="16" t="n"/>
      <c r="D1087" s="10" t="n"/>
      <c r="E1087" s="9" t="n"/>
      <c r="F1087" s="9" t="n"/>
      <c r="G1087" s="13" t="n"/>
      <c r="H1087" s="21" t="n"/>
      <c r="I1087" s="21" t="n"/>
      <c r="J1087" s="17">
        <f>IF($G1087="","",IFERROR(INDEX(NomsEmployes,MATCH($G1087,MatriculesEmployes,0)),"MATRICULE INCONNU"))</f>
        <v/>
      </c>
      <c r="K1087" s="33">
        <f>IF(OR($D1087="",$F1087=""),"",IFERROR(IF(INDEX(RUNS!$L$6:$S$1005,MATCH($D1087,RUNS!$A$6:$A$1005,0),MATCH("ACTIVITÉ "&amp;$F1087,RUNS!$L$5:$S$5,0))="","",INDEX(RUNS!$L$6:$S$1005,MATCH($D1087,RUNS!$A$6:$A$1005,0),MATCH("ACTIVITÉ "&amp;$F1087,RUNS!$L$5:$S$5,0))),""))</f>
        <v/>
      </c>
      <c r="L1087" s="33">
        <f>IF($D1087="","",IFERROR(IF(INDEX(RUNS!$E$6:$E$1005,MATCH($D1087,RUNS!$A$6:$A$1005,0))="","",INDEX(RUNS!$E$6:$E$1005,MATCH($D1087,RUNS!$A$6:$A$1005,0))),""))</f>
        <v/>
      </c>
      <c r="M1087" s="33">
        <f>IF($D1087="","",IFERROR(IF(INDEX(RUNS!$F$6:$F$1005,MATCH($D1087,RUNS!$A$6:$A$1005,0))="","",INDEX(RUNS!$F$6:$F$1005,MATCH($D1087,RUNS!$A$6:$A$1005,0))),""))</f>
        <v/>
      </c>
      <c r="N1087" s="33">
        <f>IF($D1087="","",IFERROR(IF(INDEX(RUNS!$G$6:$G$1005,MATCH($D1087,RUNS!$A$6:$A$1005,0))="","",INDEX(RUNS!$G$6:$G$1005,MATCH($D1087,RUNS!$A$6:$A$1005,0))),""))</f>
        <v/>
      </c>
      <c r="O1087" s="33">
        <f>IF($D1087="","",IFERROR(IF(INDEX(RUNS!$H$6:$H$1005,MATCH($D1087,RUNS!$A$6:$A$1005,0))="","",INDEX(RUNS!$H$6:$H$1005,MATCH($D1087,RUNS!$A$6:$A$1005,0))),""))</f>
        <v/>
      </c>
      <c r="P1087" s="33">
        <f>IF($D1087="","",IFERROR(IF(INDEX(RUNS!$J$6:$J$1005,MATCH($D1087,RUNS!$A$6:$A$1005,0))="","",INDEX(RUNS!$J$6:$J$1005,MATCH($D1087,RUNS!$A$6:$A$1005,0))),""))</f>
        <v/>
      </c>
      <c r="Q1087" s="33">
        <f>IF($D1087="","",IFERROR(IF(INDEX(RUNS!$K$6:$K$1005,MATCH($D1087,RUNS!$A$6:$A$1005,0))="","",INDEX(RUNS!$K$6:$K$1005,MATCH($D1087,RUNS!$A$6:$A$1005,0))),""))</f>
        <v/>
      </c>
      <c r="R1087" s="34">
        <f>IF(OR($L1087="",$K1087=""),"",IFERROR(IF(INDEX(PARAMETRES!$H$43:$H$342,MATCH($L1087&amp;"|"&amp;$M1087&amp;"|"&amp;$N1087&amp;"|"&amp;$O1087&amp;"|"&amp;$P1087&amp;"|"&amp;$Q1087&amp;"|"&amp;$K1087,PARAMETRES!$J$43:$J$342,0))="","",INDEX(PARAMETRES!$H$43:$H$342,MATCH($L1087&amp;"|"&amp;$M1087&amp;"|"&amp;$N1087&amp;"|"&amp;$O1087&amp;"|"&amp;$P1087&amp;"|"&amp;$Q1087&amp;"|"&amp;$K1087,PARAMETRES!$J$43:$J$342,0))),""))</f>
        <v/>
      </c>
      <c r="S1087" s="35">
        <f>IF(OR($G1087="",$X1087&lt;&gt;"VALIDE"),"",IFERROR(LOOKUP(2,1/(($B187:$B1086=$B1087)*($G187:$G1086=$G1087)*($X187:$X1086="VALIDE")),$C187:$C1086),""))</f>
        <v/>
      </c>
      <c r="T1087" s="36">
        <f>IF(OR($C1087="",$S1087=""),"",ROUND(($C1087-$S1087+IF($C1087&lt;$S1087,1,0))*1440,0))</f>
        <v/>
      </c>
      <c r="U1087" s="22">
        <f>IF(OR($H1087="",$T1087="",$T1087&lt;=0),"",$H1087*60/$T1087)</f>
        <v/>
      </c>
      <c r="V1087" s="37">
        <f>IF(OR($U1087="",$R1087="",$R1087=0),"",$U1087/$R1087)</f>
        <v/>
      </c>
      <c r="W1087" s="20">
        <f>IF($G1087="","",IF($X1087="CONTEXTE INCOMPLET","CONTEXTE INCOMPLET",IF($X1087="DOUBLON",StatutDoublon,IF($S1087="",StatutInitial,IF($R1087="",StatutStandardManquant,IF($V1087="","DONNEES INSUFFISANTES",IF($V1087&gt;=SeuilConforme,StatutConforme,IF($V1087&gt;=SeuilSurveiller,StatutSurveiller,StatutSousStandard))))))))</f>
        <v/>
      </c>
      <c r="X1087" s="33">
        <f>IF($G1087="","",IF(OR($D1087="",$E1087="",$F1087=""),"CONTEXTE INCOMPLET",IF(COUNTIFS($D187:$D1086,$D1087,$E187:$E1086,$E1087,$F187:$F1086,$F1087,$G187:$G1086,$G1087)&gt;0,"DOUBLON","VALIDE")))</f>
        <v/>
      </c>
    </row>
    <row r="1088" ht="15" customHeight="1">
      <c r="A1088" s="12">
        <f>IF(OR($B1088="",$G1088=""),"",TEXT($B1088,"YYYYMMDD")&amp;"-"&amp;SUBSTITUTE($E1088," ","")&amp;"-"&amp;$F1088&amp;"-"&amp;$G1088)</f>
        <v/>
      </c>
      <c r="B1088" s="15" t="n"/>
      <c r="C1088" s="16" t="n"/>
      <c r="D1088" s="10" t="n"/>
      <c r="E1088" s="9" t="n"/>
      <c r="F1088" s="9" t="n"/>
      <c r="G1088" s="13" t="n"/>
      <c r="H1088" s="21" t="n"/>
      <c r="I1088" s="21" t="n"/>
      <c r="J1088" s="17">
        <f>IF($G1088="","",IFERROR(INDEX(NomsEmployes,MATCH($G1088,MatriculesEmployes,0)),"MATRICULE INCONNU"))</f>
        <v/>
      </c>
      <c r="K1088" s="33">
        <f>IF(OR($D1088="",$F1088=""),"",IFERROR(IF(INDEX(RUNS!$L$6:$S$1005,MATCH($D1088,RUNS!$A$6:$A$1005,0),MATCH("ACTIVITÉ "&amp;$F1088,RUNS!$L$5:$S$5,0))="","",INDEX(RUNS!$L$6:$S$1005,MATCH($D1088,RUNS!$A$6:$A$1005,0),MATCH("ACTIVITÉ "&amp;$F1088,RUNS!$L$5:$S$5,0))),""))</f>
        <v/>
      </c>
      <c r="L1088" s="33">
        <f>IF($D1088="","",IFERROR(IF(INDEX(RUNS!$E$6:$E$1005,MATCH($D1088,RUNS!$A$6:$A$1005,0))="","",INDEX(RUNS!$E$6:$E$1005,MATCH($D1088,RUNS!$A$6:$A$1005,0))),""))</f>
        <v/>
      </c>
      <c r="M1088" s="33">
        <f>IF($D1088="","",IFERROR(IF(INDEX(RUNS!$F$6:$F$1005,MATCH($D1088,RUNS!$A$6:$A$1005,0))="","",INDEX(RUNS!$F$6:$F$1005,MATCH($D1088,RUNS!$A$6:$A$1005,0))),""))</f>
        <v/>
      </c>
      <c r="N1088" s="33">
        <f>IF($D1088="","",IFERROR(IF(INDEX(RUNS!$G$6:$G$1005,MATCH($D1088,RUNS!$A$6:$A$1005,0))="","",INDEX(RUNS!$G$6:$G$1005,MATCH($D1088,RUNS!$A$6:$A$1005,0))),""))</f>
        <v/>
      </c>
      <c r="O1088" s="33">
        <f>IF($D1088="","",IFERROR(IF(INDEX(RUNS!$H$6:$H$1005,MATCH($D1088,RUNS!$A$6:$A$1005,0))="","",INDEX(RUNS!$H$6:$H$1005,MATCH($D1088,RUNS!$A$6:$A$1005,0))),""))</f>
        <v/>
      </c>
      <c r="P1088" s="33">
        <f>IF($D1088="","",IFERROR(IF(INDEX(RUNS!$J$6:$J$1005,MATCH($D1088,RUNS!$A$6:$A$1005,0))="","",INDEX(RUNS!$J$6:$J$1005,MATCH($D1088,RUNS!$A$6:$A$1005,0))),""))</f>
        <v/>
      </c>
      <c r="Q1088" s="33">
        <f>IF($D1088="","",IFERROR(IF(INDEX(RUNS!$K$6:$K$1005,MATCH($D1088,RUNS!$A$6:$A$1005,0))="","",INDEX(RUNS!$K$6:$K$1005,MATCH($D1088,RUNS!$A$6:$A$1005,0))),""))</f>
        <v/>
      </c>
      <c r="R1088" s="34">
        <f>IF(OR($L1088="",$K1088=""),"",IFERROR(IF(INDEX(PARAMETRES!$H$43:$H$342,MATCH($L1088&amp;"|"&amp;$M1088&amp;"|"&amp;$N1088&amp;"|"&amp;$O1088&amp;"|"&amp;$P1088&amp;"|"&amp;$Q1088&amp;"|"&amp;$K1088,PARAMETRES!$J$43:$J$342,0))="","",INDEX(PARAMETRES!$H$43:$H$342,MATCH($L1088&amp;"|"&amp;$M1088&amp;"|"&amp;$N1088&amp;"|"&amp;$O1088&amp;"|"&amp;$P1088&amp;"|"&amp;$Q1088&amp;"|"&amp;$K1088,PARAMETRES!$J$43:$J$342,0))),""))</f>
        <v/>
      </c>
      <c r="S1088" s="35">
        <f>IF(OR($G1088="",$X1088&lt;&gt;"VALIDE"),"",IFERROR(LOOKUP(2,1/(($B188:$B1087=$B1088)*($G188:$G1087=$G1088)*($X188:$X1087="VALIDE")),$C188:$C1087),""))</f>
        <v/>
      </c>
      <c r="T1088" s="36">
        <f>IF(OR($C1088="",$S1088=""),"",ROUND(($C1088-$S1088+IF($C1088&lt;$S1088,1,0))*1440,0))</f>
        <v/>
      </c>
      <c r="U1088" s="22">
        <f>IF(OR($H1088="",$T1088="",$T1088&lt;=0),"",$H1088*60/$T1088)</f>
        <v/>
      </c>
      <c r="V1088" s="37">
        <f>IF(OR($U1088="",$R1088="",$R1088=0),"",$U1088/$R1088)</f>
        <v/>
      </c>
      <c r="W1088" s="20">
        <f>IF($G1088="","",IF($X1088="CONTEXTE INCOMPLET","CONTEXTE INCOMPLET",IF($X1088="DOUBLON",StatutDoublon,IF($S1088="",StatutInitial,IF($R1088="",StatutStandardManquant,IF($V1088="","DONNEES INSUFFISANTES",IF($V1088&gt;=SeuilConforme,StatutConforme,IF($V1088&gt;=SeuilSurveiller,StatutSurveiller,StatutSousStandard))))))))</f>
        <v/>
      </c>
      <c r="X1088" s="33">
        <f>IF($G1088="","",IF(OR($D1088="",$E1088="",$F1088=""),"CONTEXTE INCOMPLET",IF(COUNTIFS($D188:$D1087,$D1088,$E188:$E1087,$E1088,$F188:$F1087,$F1088,$G188:$G1087,$G1088)&gt;0,"DOUBLON","VALIDE")))</f>
        <v/>
      </c>
    </row>
    <row r="1089" ht="15" customHeight="1">
      <c r="A1089" s="12">
        <f>IF(OR($B1089="",$G1089=""),"",TEXT($B1089,"YYYYMMDD")&amp;"-"&amp;SUBSTITUTE($E1089," ","")&amp;"-"&amp;$F1089&amp;"-"&amp;$G1089)</f>
        <v/>
      </c>
      <c r="B1089" s="15" t="n"/>
      <c r="C1089" s="16" t="n"/>
      <c r="D1089" s="10" t="n"/>
      <c r="E1089" s="9" t="n"/>
      <c r="F1089" s="9" t="n"/>
      <c r="G1089" s="13" t="n"/>
      <c r="H1089" s="21" t="n"/>
      <c r="I1089" s="21" t="n"/>
      <c r="J1089" s="17">
        <f>IF($G1089="","",IFERROR(INDEX(NomsEmployes,MATCH($G1089,MatriculesEmployes,0)),"MATRICULE INCONNU"))</f>
        <v/>
      </c>
      <c r="K1089" s="33">
        <f>IF(OR($D1089="",$F1089=""),"",IFERROR(IF(INDEX(RUNS!$L$6:$S$1005,MATCH($D1089,RUNS!$A$6:$A$1005,0),MATCH("ACTIVITÉ "&amp;$F1089,RUNS!$L$5:$S$5,0))="","",INDEX(RUNS!$L$6:$S$1005,MATCH($D1089,RUNS!$A$6:$A$1005,0),MATCH("ACTIVITÉ "&amp;$F1089,RUNS!$L$5:$S$5,0))),""))</f>
        <v/>
      </c>
      <c r="L1089" s="33">
        <f>IF($D1089="","",IFERROR(IF(INDEX(RUNS!$E$6:$E$1005,MATCH($D1089,RUNS!$A$6:$A$1005,0))="","",INDEX(RUNS!$E$6:$E$1005,MATCH($D1089,RUNS!$A$6:$A$1005,0))),""))</f>
        <v/>
      </c>
      <c r="M1089" s="33">
        <f>IF($D1089="","",IFERROR(IF(INDEX(RUNS!$F$6:$F$1005,MATCH($D1089,RUNS!$A$6:$A$1005,0))="","",INDEX(RUNS!$F$6:$F$1005,MATCH($D1089,RUNS!$A$6:$A$1005,0))),""))</f>
        <v/>
      </c>
      <c r="N1089" s="33">
        <f>IF($D1089="","",IFERROR(IF(INDEX(RUNS!$G$6:$G$1005,MATCH($D1089,RUNS!$A$6:$A$1005,0))="","",INDEX(RUNS!$G$6:$G$1005,MATCH($D1089,RUNS!$A$6:$A$1005,0))),""))</f>
        <v/>
      </c>
      <c r="O1089" s="33">
        <f>IF($D1089="","",IFERROR(IF(INDEX(RUNS!$H$6:$H$1005,MATCH($D1089,RUNS!$A$6:$A$1005,0))="","",INDEX(RUNS!$H$6:$H$1005,MATCH($D1089,RUNS!$A$6:$A$1005,0))),""))</f>
        <v/>
      </c>
      <c r="P1089" s="33">
        <f>IF($D1089="","",IFERROR(IF(INDEX(RUNS!$J$6:$J$1005,MATCH($D1089,RUNS!$A$6:$A$1005,0))="","",INDEX(RUNS!$J$6:$J$1005,MATCH($D1089,RUNS!$A$6:$A$1005,0))),""))</f>
        <v/>
      </c>
      <c r="Q1089" s="33">
        <f>IF($D1089="","",IFERROR(IF(INDEX(RUNS!$K$6:$K$1005,MATCH($D1089,RUNS!$A$6:$A$1005,0))="","",INDEX(RUNS!$K$6:$K$1005,MATCH($D1089,RUNS!$A$6:$A$1005,0))),""))</f>
        <v/>
      </c>
      <c r="R1089" s="34">
        <f>IF(OR($L1089="",$K1089=""),"",IFERROR(IF(INDEX(PARAMETRES!$H$43:$H$342,MATCH($L1089&amp;"|"&amp;$M1089&amp;"|"&amp;$N1089&amp;"|"&amp;$O1089&amp;"|"&amp;$P1089&amp;"|"&amp;$Q1089&amp;"|"&amp;$K1089,PARAMETRES!$J$43:$J$342,0))="","",INDEX(PARAMETRES!$H$43:$H$342,MATCH($L1089&amp;"|"&amp;$M1089&amp;"|"&amp;$N1089&amp;"|"&amp;$O1089&amp;"|"&amp;$P1089&amp;"|"&amp;$Q1089&amp;"|"&amp;$K1089,PARAMETRES!$J$43:$J$342,0))),""))</f>
        <v/>
      </c>
      <c r="S1089" s="35">
        <f>IF(OR($G1089="",$X1089&lt;&gt;"VALIDE"),"",IFERROR(LOOKUP(2,1/(($B189:$B1088=$B1089)*($G189:$G1088=$G1089)*($X189:$X1088="VALIDE")),$C189:$C1088),""))</f>
        <v/>
      </c>
      <c r="T1089" s="36">
        <f>IF(OR($C1089="",$S1089=""),"",ROUND(($C1089-$S1089+IF($C1089&lt;$S1089,1,0))*1440,0))</f>
        <v/>
      </c>
      <c r="U1089" s="22">
        <f>IF(OR($H1089="",$T1089="",$T1089&lt;=0),"",$H1089*60/$T1089)</f>
        <v/>
      </c>
      <c r="V1089" s="37">
        <f>IF(OR($U1089="",$R1089="",$R1089=0),"",$U1089/$R1089)</f>
        <v/>
      </c>
      <c r="W1089" s="20">
        <f>IF($G1089="","",IF($X1089="CONTEXTE INCOMPLET","CONTEXTE INCOMPLET",IF($X1089="DOUBLON",StatutDoublon,IF($S1089="",StatutInitial,IF($R1089="",StatutStandardManquant,IF($V1089="","DONNEES INSUFFISANTES",IF($V1089&gt;=SeuilConforme,StatutConforme,IF($V1089&gt;=SeuilSurveiller,StatutSurveiller,StatutSousStandard))))))))</f>
        <v/>
      </c>
      <c r="X1089" s="33">
        <f>IF($G1089="","",IF(OR($D1089="",$E1089="",$F1089=""),"CONTEXTE INCOMPLET",IF(COUNTIFS($D189:$D1088,$D1089,$E189:$E1088,$E1089,$F189:$F1088,$F1089,$G189:$G1088,$G1089)&gt;0,"DOUBLON","VALIDE")))</f>
        <v/>
      </c>
    </row>
    <row r="1090" ht="15" customHeight="1">
      <c r="A1090" s="12">
        <f>IF(OR($B1090="",$G1090=""),"",TEXT($B1090,"YYYYMMDD")&amp;"-"&amp;SUBSTITUTE($E1090," ","")&amp;"-"&amp;$F1090&amp;"-"&amp;$G1090)</f>
        <v/>
      </c>
      <c r="B1090" s="15" t="n"/>
      <c r="C1090" s="16" t="n"/>
      <c r="D1090" s="10" t="n"/>
      <c r="E1090" s="9" t="n"/>
      <c r="F1090" s="9" t="n"/>
      <c r="G1090" s="13" t="n"/>
      <c r="H1090" s="21" t="n"/>
      <c r="I1090" s="21" t="n"/>
      <c r="J1090" s="17">
        <f>IF($G1090="","",IFERROR(INDEX(NomsEmployes,MATCH($G1090,MatriculesEmployes,0)),"MATRICULE INCONNU"))</f>
        <v/>
      </c>
      <c r="K1090" s="33">
        <f>IF(OR($D1090="",$F1090=""),"",IFERROR(IF(INDEX(RUNS!$L$6:$S$1005,MATCH($D1090,RUNS!$A$6:$A$1005,0),MATCH("ACTIVITÉ "&amp;$F1090,RUNS!$L$5:$S$5,0))="","",INDEX(RUNS!$L$6:$S$1005,MATCH($D1090,RUNS!$A$6:$A$1005,0),MATCH("ACTIVITÉ "&amp;$F1090,RUNS!$L$5:$S$5,0))),""))</f>
        <v/>
      </c>
      <c r="L1090" s="33">
        <f>IF($D1090="","",IFERROR(IF(INDEX(RUNS!$E$6:$E$1005,MATCH($D1090,RUNS!$A$6:$A$1005,0))="","",INDEX(RUNS!$E$6:$E$1005,MATCH($D1090,RUNS!$A$6:$A$1005,0))),""))</f>
        <v/>
      </c>
      <c r="M1090" s="33">
        <f>IF($D1090="","",IFERROR(IF(INDEX(RUNS!$F$6:$F$1005,MATCH($D1090,RUNS!$A$6:$A$1005,0))="","",INDEX(RUNS!$F$6:$F$1005,MATCH($D1090,RUNS!$A$6:$A$1005,0))),""))</f>
        <v/>
      </c>
      <c r="N1090" s="33">
        <f>IF($D1090="","",IFERROR(IF(INDEX(RUNS!$G$6:$G$1005,MATCH($D1090,RUNS!$A$6:$A$1005,0))="","",INDEX(RUNS!$G$6:$G$1005,MATCH($D1090,RUNS!$A$6:$A$1005,0))),""))</f>
        <v/>
      </c>
      <c r="O1090" s="33">
        <f>IF($D1090="","",IFERROR(IF(INDEX(RUNS!$H$6:$H$1005,MATCH($D1090,RUNS!$A$6:$A$1005,0))="","",INDEX(RUNS!$H$6:$H$1005,MATCH($D1090,RUNS!$A$6:$A$1005,0))),""))</f>
        <v/>
      </c>
      <c r="P1090" s="33">
        <f>IF($D1090="","",IFERROR(IF(INDEX(RUNS!$J$6:$J$1005,MATCH($D1090,RUNS!$A$6:$A$1005,0))="","",INDEX(RUNS!$J$6:$J$1005,MATCH($D1090,RUNS!$A$6:$A$1005,0))),""))</f>
        <v/>
      </c>
      <c r="Q1090" s="33">
        <f>IF($D1090="","",IFERROR(IF(INDEX(RUNS!$K$6:$K$1005,MATCH($D1090,RUNS!$A$6:$A$1005,0))="","",INDEX(RUNS!$K$6:$K$1005,MATCH($D1090,RUNS!$A$6:$A$1005,0))),""))</f>
        <v/>
      </c>
      <c r="R1090" s="34">
        <f>IF(OR($L1090="",$K1090=""),"",IFERROR(IF(INDEX(PARAMETRES!$H$43:$H$342,MATCH($L1090&amp;"|"&amp;$M1090&amp;"|"&amp;$N1090&amp;"|"&amp;$O1090&amp;"|"&amp;$P1090&amp;"|"&amp;$Q1090&amp;"|"&amp;$K1090,PARAMETRES!$J$43:$J$342,0))="","",INDEX(PARAMETRES!$H$43:$H$342,MATCH($L1090&amp;"|"&amp;$M1090&amp;"|"&amp;$N1090&amp;"|"&amp;$O1090&amp;"|"&amp;$P1090&amp;"|"&amp;$Q1090&amp;"|"&amp;$K1090,PARAMETRES!$J$43:$J$342,0))),""))</f>
        <v/>
      </c>
      <c r="S1090" s="35">
        <f>IF(OR($G1090="",$X1090&lt;&gt;"VALIDE"),"",IFERROR(LOOKUP(2,1/(($B190:$B1089=$B1090)*($G190:$G1089=$G1090)*($X190:$X1089="VALIDE")),$C190:$C1089),""))</f>
        <v/>
      </c>
      <c r="T1090" s="36">
        <f>IF(OR($C1090="",$S1090=""),"",ROUND(($C1090-$S1090+IF($C1090&lt;$S1090,1,0))*1440,0))</f>
        <v/>
      </c>
      <c r="U1090" s="22">
        <f>IF(OR($H1090="",$T1090="",$T1090&lt;=0),"",$H1090*60/$T1090)</f>
        <v/>
      </c>
      <c r="V1090" s="37">
        <f>IF(OR($U1090="",$R1090="",$R1090=0),"",$U1090/$R1090)</f>
        <v/>
      </c>
      <c r="W1090" s="20">
        <f>IF($G1090="","",IF($X1090="CONTEXTE INCOMPLET","CONTEXTE INCOMPLET",IF($X1090="DOUBLON",StatutDoublon,IF($S1090="",StatutInitial,IF($R1090="",StatutStandardManquant,IF($V1090="","DONNEES INSUFFISANTES",IF($V1090&gt;=SeuilConforme,StatutConforme,IF($V1090&gt;=SeuilSurveiller,StatutSurveiller,StatutSousStandard))))))))</f>
        <v/>
      </c>
      <c r="X1090" s="33">
        <f>IF($G1090="","",IF(OR($D1090="",$E1090="",$F1090=""),"CONTEXTE INCOMPLET",IF(COUNTIFS($D190:$D1089,$D1090,$E190:$E1089,$E1090,$F190:$F1089,$F1090,$G190:$G1089,$G1090)&gt;0,"DOUBLON","VALIDE")))</f>
        <v/>
      </c>
    </row>
    <row r="1091" ht="15" customHeight="1">
      <c r="A1091" s="12">
        <f>IF(OR($B1091="",$G1091=""),"",TEXT($B1091,"YYYYMMDD")&amp;"-"&amp;SUBSTITUTE($E1091," ","")&amp;"-"&amp;$F1091&amp;"-"&amp;$G1091)</f>
        <v/>
      </c>
      <c r="B1091" s="15" t="n"/>
      <c r="C1091" s="16" t="n"/>
      <c r="D1091" s="10" t="n"/>
      <c r="E1091" s="9" t="n"/>
      <c r="F1091" s="9" t="n"/>
      <c r="G1091" s="13" t="n"/>
      <c r="H1091" s="21" t="n"/>
      <c r="I1091" s="21" t="n"/>
      <c r="J1091" s="17">
        <f>IF($G1091="","",IFERROR(INDEX(NomsEmployes,MATCH($G1091,MatriculesEmployes,0)),"MATRICULE INCONNU"))</f>
        <v/>
      </c>
      <c r="K1091" s="33">
        <f>IF(OR($D1091="",$F1091=""),"",IFERROR(IF(INDEX(RUNS!$L$6:$S$1005,MATCH($D1091,RUNS!$A$6:$A$1005,0),MATCH("ACTIVITÉ "&amp;$F1091,RUNS!$L$5:$S$5,0))="","",INDEX(RUNS!$L$6:$S$1005,MATCH($D1091,RUNS!$A$6:$A$1005,0),MATCH("ACTIVITÉ "&amp;$F1091,RUNS!$L$5:$S$5,0))),""))</f>
        <v/>
      </c>
      <c r="L1091" s="33">
        <f>IF($D1091="","",IFERROR(IF(INDEX(RUNS!$E$6:$E$1005,MATCH($D1091,RUNS!$A$6:$A$1005,0))="","",INDEX(RUNS!$E$6:$E$1005,MATCH($D1091,RUNS!$A$6:$A$1005,0))),""))</f>
        <v/>
      </c>
      <c r="M1091" s="33">
        <f>IF($D1091="","",IFERROR(IF(INDEX(RUNS!$F$6:$F$1005,MATCH($D1091,RUNS!$A$6:$A$1005,0))="","",INDEX(RUNS!$F$6:$F$1005,MATCH($D1091,RUNS!$A$6:$A$1005,0))),""))</f>
        <v/>
      </c>
      <c r="N1091" s="33">
        <f>IF($D1091="","",IFERROR(IF(INDEX(RUNS!$G$6:$G$1005,MATCH($D1091,RUNS!$A$6:$A$1005,0))="","",INDEX(RUNS!$G$6:$G$1005,MATCH($D1091,RUNS!$A$6:$A$1005,0))),""))</f>
        <v/>
      </c>
      <c r="O1091" s="33">
        <f>IF($D1091="","",IFERROR(IF(INDEX(RUNS!$H$6:$H$1005,MATCH($D1091,RUNS!$A$6:$A$1005,0))="","",INDEX(RUNS!$H$6:$H$1005,MATCH($D1091,RUNS!$A$6:$A$1005,0))),""))</f>
        <v/>
      </c>
      <c r="P1091" s="33">
        <f>IF($D1091="","",IFERROR(IF(INDEX(RUNS!$J$6:$J$1005,MATCH($D1091,RUNS!$A$6:$A$1005,0))="","",INDEX(RUNS!$J$6:$J$1005,MATCH($D1091,RUNS!$A$6:$A$1005,0))),""))</f>
        <v/>
      </c>
      <c r="Q1091" s="33">
        <f>IF($D1091="","",IFERROR(IF(INDEX(RUNS!$K$6:$K$1005,MATCH($D1091,RUNS!$A$6:$A$1005,0))="","",INDEX(RUNS!$K$6:$K$1005,MATCH($D1091,RUNS!$A$6:$A$1005,0))),""))</f>
        <v/>
      </c>
      <c r="R1091" s="34">
        <f>IF(OR($L1091="",$K1091=""),"",IFERROR(IF(INDEX(PARAMETRES!$H$43:$H$342,MATCH($L1091&amp;"|"&amp;$M1091&amp;"|"&amp;$N1091&amp;"|"&amp;$O1091&amp;"|"&amp;$P1091&amp;"|"&amp;$Q1091&amp;"|"&amp;$K1091,PARAMETRES!$J$43:$J$342,0))="","",INDEX(PARAMETRES!$H$43:$H$342,MATCH($L1091&amp;"|"&amp;$M1091&amp;"|"&amp;$N1091&amp;"|"&amp;$O1091&amp;"|"&amp;$P1091&amp;"|"&amp;$Q1091&amp;"|"&amp;$K1091,PARAMETRES!$J$43:$J$342,0))),""))</f>
        <v/>
      </c>
      <c r="S1091" s="35">
        <f>IF(OR($G1091="",$X1091&lt;&gt;"VALIDE"),"",IFERROR(LOOKUP(2,1/(($B191:$B1090=$B1091)*($G191:$G1090=$G1091)*($X191:$X1090="VALIDE")),$C191:$C1090),""))</f>
        <v/>
      </c>
      <c r="T1091" s="36">
        <f>IF(OR($C1091="",$S1091=""),"",ROUND(($C1091-$S1091+IF($C1091&lt;$S1091,1,0))*1440,0))</f>
        <v/>
      </c>
      <c r="U1091" s="22">
        <f>IF(OR($H1091="",$T1091="",$T1091&lt;=0),"",$H1091*60/$T1091)</f>
        <v/>
      </c>
      <c r="V1091" s="37">
        <f>IF(OR($U1091="",$R1091="",$R1091=0),"",$U1091/$R1091)</f>
        <v/>
      </c>
      <c r="W1091" s="20">
        <f>IF($G1091="","",IF($X1091="CONTEXTE INCOMPLET","CONTEXTE INCOMPLET",IF($X1091="DOUBLON",StatutDoublon,IF($S1091="",StatutInitial,IF($R1091="",StatutStandardManquant,IF($V1091="","DONNEES INSUFFISANTES",IF($V1091&gt;=SeuilConforme,StatutConforme,IF($V1091&gt;=SeuilSurveiller,StatutSurveiller,StatutSousStandard))))))))</f>
        <v/>
      </c>
      <c r="X1091" s="33">
        <f>IF($G1091="","",IF(OR($D1091="",$E1091="",$F1091=""),"CONTEXTE INCOMPLET",IF(COUNTIFS($D191:$D1090,$D1091,$E191:$E1090,$E1091,$F191:$F1090,$F1091,$G191:$G1090,$G1091)&gt;0,"DOUBLON","VALIDE")))</f>
        <v/>
      </c>
    </row>
    <row r="1092" ht="15" customHeight="1">
      <c r="A1092" s="12">
        <f>IF(OR($B1092="",$G1092=""),"",TEXT($B1092,"YYYYMMDD")&amp;"-"&amp;SUBSTITUTE($E1092," ","")&amp;"-"&amp;$F1092&amp;"-"&amp;$G1092)</f>
        <v/>
      </c>
      <c r="B1092" s="15" t="n"/>
      <c r="C1092" s="16" t="n"/>
      <c r="D1092" s="10" t="n"/>
      <c r="E1092" s="9" t="n"/>
      <c r="F1092" s="9" t="n"/>
      <c r="G1092" s="13" t="n"/>
      <c r="H1092" s="21" t="n"/>
      <c r="I1092" s="21" t="n"/>
      <c r="J1092" s="17">
        <f>IF($G1092="","",IFERROR(INDEX(NomsEmployes,MATCH($G1092,MatriculesEmployes,0)),"MATRICULE INCONNU"))</f>
        <v/>
      </c>
      <c r="K1092" s="33">
        <f>IF(OR($D1092="",$F1092=""),"",IFERROR(IF(INDEX(RUNS!$L$6:$S$1005,MATCH($D1092,RUNS!$A$6:$A$1005,0),MATCH("ACTIVITÉ "&amp;$F1092,RUNS!$L$5:$S$5,0))="","",INDEX(RUNS!$L$6:$S$1005,MATCH($D1092,RUNS!$A$6:$A$1005,0),MATCH("ACTIVITÉ "&amp;$F1092,RUNS!$L$5:$S$5,0))),""))</f>
        <v/>
      </c>
      <c r="L1092" s="33">
        <f>IF($D1092="","",IFERROR(IF(INDEX(RUNS!$E$6:$E$1005,MATCH($D1092,RUNS!$A$6:$A$1005,0))="","",INDEX(RUNS!$E$6:$E$1005,MATCH($D1092,RUNS!$A$6:$A$1005,0))),""))</f>
        <v/>
      </c>
      <c r="M1092" s="33">
        <f>IF($D1092="","",IFERROR(IF(INDEX(RUNS!$F$6:$F$1005,MATCH($D1092,RUNS!$A$6:$A$1005,0))="","",INDEX(RUNS!$F$6:$F$1005,MATCH($D1092,RUNS!$A$6:$A$1005,0))),""))</f>
        <v/>
      </c>
      <c r="N1092" s="33">
        <f>IF($D1092="","",IFERROR(IF(INDEX(RUNS!$G$6:$G$1005,MATCH($D1092,RUNS!$A$6:$A$1005,0))="","",INDEX(RUNS!$G$6:$G$1005,MATCH($D1092,RUNS!$A$6:$A$1005,0))),""))</f>
        <v/>
      </c>
      <c r="O1092" s="33">
        <f>IF($D1092="","",IFERROR(IF(INDEX(RUNS!$H$6:$H$1005,MATCH($D1092,RUNS!$A$6:$A$1005,0))="","",INDEX(RUNS!$H$6:$H$1005,MATCH($D1092,RUNS!$A$6:$A$1005,0))),""))</f>
        <v/>
      </c>
      <c r="P1092" s="33">
        <f>IF($D1092="","",IFERROR(IF(INDEX(RUNS!$J$6:$J$1005,MATCH($D1092,RUNS!$A$6:$A$1005,0))="","",INDEX(RUNS!$J$6:$J$1005,MATCH($D1092,RUNS!$A$6:$A$1005,0))),""))</f>
        <v/>
      </c>
      <c r="Q1092" s="33">
        <f>IF($D1092="","",IFERROR(IF(INDEX(RUNS!$K$6:$K$1005,MATCH($D1092,RUNS!$A$6:$A$1005,0))="","",INDEX(RUNS!$K$6:$K$1005,MATCH($D1092,RUNS!$A$6:$A$1005,0))),""))</f>
        <v/>
      </c>
      <c r="R1092" s="34">
        <f>IF(OR($L1092="",$K1092=""),"",IFERROR(IF(INDEX(PARAMETRES!$H$43:$H$342,MATCH($L1092&amp;"|"&amp;$M1092&amp;"|"&amp;$N1092&amp;"|"&amp;$O1092&amp;"|"&amp;$P1092&amp;"|"&amp;$Q1092&amp;"|"&amp;$K1092,PARAMETRES!$J$43:$J$342,0))="","",INDEX(PARAMETRES!$H$43:$H$342,MATCH($L1092&amp;"|"&amp;$M1092&amp;"|"&amp;$N1092&amp;"|"&amp;$O1092&amp;"|"&amp;$P1092&amp;"|"&amp;$Q1092&amp;"|"&amp;$K1092,PARAMETRES!$J$43:$J$342,0))),""))</f>
        <v/>
      </c>
      <c r="S1092" s="35">
        <f>IF(OR($G1092="",$X1092&lt;&gt;"VALIDE"),"",IFERROR(LOOKUP(2,1/(($B192:$B1091=$B1092)*($G192:$G1091=$G1092)*($X192:$X1091="VALIDE")),$C192:$C1091),""))</f>
        <v/>
      </c>
      <c r="T1092" s="36">
        <f>IF(OR($C1092="",$S1092=""),"",ROUND(($C1092-$S1092+IF($C1092&lt;$S1092,1,0))*1440,0))</f>
        <v/>
      </c>
      <c r="U1092" s="22">
        <f>IF(OR($H1092="",$T1092="",$T1092&lt;=0),"",$H1092*60/$T1092)</f>
        <v/>
      </c>
      <c r="V1092" s="37">
        <f>IF(OR($U1092="",$R1092="",$R1092=0),"",$U1092/$R1092)</f>
        <v/>
      </c>
      <c r="W1092" s="20">
        <f>IF($G1092="","",IF($X1092="CONTEXTE INCOMPLET","CONTEXTE INCOMPLET",IF($X1092="DOUBLON",StatutDoublon,IF($S1092="",StatutInitial,IF($R1092="",StatutStandardManquant,IF($V1092="","DONNEES INSUFFISANTES",IF($V1092&gt;=SeuilConforme,StatutConforme,IF($V1092&gt;=SeuilSurveiller,StatutSurveiller,StatutSousStandard))))))))</f>
        <v/>
      </c>
      <c r="X1092" s="33">
        <f>IF($G1092="","",IF(OR($D1092="",$E1092="",$F1092=""),"CONTEXTE INCOMPLET",IF(COUNTIFS($D192:$D1091,$D1092,$E192:$E1091,$E1092,$F192:$F1091,$F1092,$G192:$G1091,$G1092)&gt;0,"DOUBLON","VALIDE")))</f>
        <v/>
      </c>
    </row>
    <row r="1093" ht="15" customHeight="1">
      <c r="A1093" s="12">
        <f>IF(OR($B1093="",$G1093=""),"",TEXT($B1093,"YYYYMMDD")&amp;"-"&amp;SUBSTITUTE($E1093," ","")&amp;"-"&amp;$F1093&amp;"-"&amp;$G1093)</f>
        <v/>
      </c>
      <c r="B1093" s="15" t="n"/>
      <c r="C1093" s="16" t="n"/>
      <c r="D1093" s="10" t="n"/>
      <c r="E1093" s="9" t="n"/>
      <c r="F1093" s="9" t="n"/>
      <c r="G1093" s="13" t="n"/>
      <c r="H1093" s="21" t="n"/>
      <c r="I1093" s="21" t="n"/>
      <c r="J1093" s="17">
        <f>IF($G1093="","",IFERROR(INDEX(NomsEmployes,MATCH($G1093,MatriculesEmployes,0)),"MATRICULE INCONNU"))</f>
        <v/>
      </c>
      <c r="K1093" s="33">
        <f>IF(OR($D1093="",$F1093=""),"",IFERROR(IF(INDEX(RUNS!$L$6:$S$1005,MATCH($D1093,RUNS!$A$6:$A$1005,0),MATCH("ACTIVITÉ "&amp;$F1093,RUNS!$L$5:$S$5,0))="","",INDEX(RUNS!$L$6:$S$1005,MATCH($D1093,RUNS!$A$6:$A$1005,0),MATCH("ACTIVITÉ "&amp;$F1093,RUNS!$L$5:$S$5,0))),""))</f>
        <v/>
      </c>
      <c r="L1093" s="33">
        <f>IF($D1093="","",IFERROR(IF(INDEX(RUNS!$E$6:$E$1005,MATCH($D1093,RUNS!$A$6:$A$1005,0))="","",INDEX(RUNS!$E$6:$E$1005,MATCH($D1093,RUNS!$A$6:$A$1005,0))),""))</f>
        <v/>
      </c>
      <c r="M1093" s="33">
        <f>IF($D1093="","",IFERROR(IF(INDEX(RUNS!$F$6:$F$1005,MATCH($D1093,RUNS!$A$6:$A$1005,0))="","",INDEX(RUNS!$F$6:$F$1005,MATCH($D1093,RUNS!$A$6:$A$1005,0))),""))</f>
        <v/>
      </c>
      <c r="N1093" s="33">
        <f>IF($D1093="","",IFERROR(IF(INDEX(RUNS!$G$6:$G$1005,MATCH($D1093,RUNS!$A$6:$A$1005,0))="","",INDEX(RUNS!$G$6:$G$1005,MATCH($D1093,RUNS!$A$6:$A$1005,0))),""))</f>
        <v/>
      </c>
      <c r="O1093" s="33">
        <f>IF($D1093="","",IFERROR(IF(INDEX(RUNS!$H$6:$H$1005,MATCH($D1093,RUNS!$A$6:$A$1005,0))="","",INDEX(RUNS!$H$6:$H$1005,MATCH($D1093,RUNS!$A$6:$A$1005,0))),""))</f>
        <v/>
      </c>
      <c r="P1093" s="33">
        <f>IF($D1093="","",IFERROR(IF(INDEX(RUNS!$J$6:$J$1005,MATCH($D1093,RUNS!$A$6:$A$1005,0))="","",INDEX(RUNS!$J$6:$J$1005,MATCH($D1093,RUNS!$A$6:$A$1005,0))),""))</f>
        <v/>
      </c>
      <c r="Q1093" s="33">
        <f>IF($D1093="","",IFERROR(IF(INDEX(RUNS!$K$6:$K$1005,MATCH($D1093,RUNS!$A$6:$A$1005,0))="","",INDEX(RUNS!$K$6:$K$1005,MATCH($D1093,RUNS!$A$6:$A$1005,0))),""))</f>
        <v/>
      </c>
      <c r="R1093" s="34">
        <f>IF(OR($L1093="",$K1093=""),"",IFERROR(IF(INDEX(PARAMETRES!$H$43:$H$342,MATCH($L1093&amp;"|"&amp;$M1093&amp;"|"&amp;$N1093&amp;"|"&amp;$O1093&amp;"|"&amp;$P1093&amp;"|"&amp;$Q1093&amp;"|"&amp;$K1093,PARAMETRES!$J$43:$J$342,0))="","",INDEX(PARAMETRES!$H$43:$H$342,MATCH($L1093&amp;"|"&amp;$M1093&amp;"|"&amp;$N1093&amp;"|"&amp;$O1093&amp;"|"&amp;$P1093&amp;"|"&amp;$Q1093&amp;"|"&amp;$K1093,PARAMETRES!$J$43:$J$342,0))),""))</f>
        <v/>
      </c>
      <c r="S1093" s="35">
        <f>IF(OR($G1093="",$X1093&lt;&gt;"VALIDE"),"",IFERROR(LOOKUP(2,1/(($B193:$B1092=$B1093)*($G193:$G1092=$G1093)*($X193:$X1092="VALIDE")),$C193:$C1092),""))</f>
        <v/>
      </c>
      <c r="T1093" s="36">
        <f>IF(OR($C1093="",$S1093=""),"",ROUND(($C1093-$S1093+IF($C1093&lt;$S1093,1,0))*1440,0))</f>
        <v/>
      </c>
      <c r="U1093" s="22">
        <f>IF(OR($H1093="",$T1093="",$T1093&lt;=0),"",$H1093*60/$T1093)</f>
        <v/>
      </c>
      <c r="V1093" s="37">
        <f>IF(OR($U1093="",$R1093="",$R1093=0),"",$U1093/$R1093)</f>
        <v/>
      </c>
      <c r="W1093" s="20">
        <f>IF($G1093="","",IF($X1093="CONTEXTE INCOMPLET","CONTEXTE INCOMPLET",IF($X1093="DOUBLON",StatutDoublon,IF($S1093="",StatutInitial,IF($R1093="",StatutStandardManquant,IF($V1093="","DONNEES INSUFFISANTES",IF($V1093&gt;=SeuilConforme,StatutConforme,IF($V1093&gt;=SeuilSurveiller,StatutSurveiller,StatutSousStandard))))))))</f>
        <v/>
      </c>
      <c r="X1093" s="33">
        <f>IF($G1093="","",IF(OR($D1093="",$E1093="",$F1093=""),"CONTEXTE INCOMPLET",IF(COUNTIFS($D193:$D1092,$D1093,$E193:$E1092,$E1093,$F193:$F1092,$F1093,$G193:$G1092,$G1093)&gt;0,"DOUBLON","VALIDE")))</f>
        <v/>
      </c>
    </row>
    <row r="1094" ht="15" customHeight="1">
      <c r="A1094" s="12">
        <f>IF(OR($B1094="",$G1094=""),"",TEXT($B1094,"YYYYMMDD")&amp;"-"&amp;SUBSTITUTE($E1094," ","")&amp;"-"&amp;$F1094&amp;"-"&amp;$G1094)</f>
        <v/>
      </c>
      <c r="B1094" s="15" t="n"/>
      <c r="C1094" s="16" t="n"/>
      <c r="D1094" s="10" t="n"/>
      <c r="E1094" s="9" t="n"/>
      <c r="F1094" s="9" t="n"/>
      <c r="G1094" s="13" t="n"/>
      <c r="H1094" s="21" t="n"/>
      <c r="I1094" s="21" t="n"/>
      <c r="J1094" s="17">
        <f>IF($G1094="","",IFERROR(INDEX(NomsEmployes,MATCH($G1094,MatriculesEmployes,0)),"MATRICULE INCONNU"))</f>
        <v/>
      </c>
      <c r="K1094" s="33">
        <f>IF(OR($D1094="",$F1094=""),"",IFERROR(IF(INDEX(RUNS!$L$6:$S$1005,MATCH($D1094,RUNS!$A$6:$A$1005,0),MATCH("ACTIVITÉ "&amp;$F1094,RUNS!$L$5:$S$5,0))="","",INDEX(RUNS!$L$6:$S$1005,MATCH($D1094,RUNS!$A$6:$A$1005,0),MATCH("ACTIVITÉ "&amp;$F1094,RUNS!$L$5:$S$5,0))),""))</f>
        <v/>
      </c>
      <c r="L1094" s="33">
        <f>IF($D1094="","",IFERROR(IF(INDEX(RUNS!$E$6:$E$1005,MATCH($D1094,RUNS!$A$6:$A$1005,0))="","",INDEX(RUNS!$E$6:$E$1005,MATCH($D1094,RUNS!$A$6:$A$1005,0))),""))</f>
        <v/>
      </c>
      <c r="M1094" s="33">
        <f>IF($D1094="","",IFERROR(IF(INDEX(RUNS!$F$6:$F$1005,MATCH($D1094,RUNS!$A$6:$A$1005,0))="","",INDEX(RUNS!$F$6:$F$1005,MATCH($D1094,RUNS!$A$6:$A$1005,0))),""))</f>
        <v/>
      </c>
      <c r="N1094" s="33">
        <f>IF($D1094="","",IFERROR(IF(INDEX(RUNS!$G$6:$G$1005,MATCH($D1094,RUNS!$A$6:$A$1005,0))="","",INDEX(RUNS!$G$6:$G$1005,MATCH($D1094,RUNS!$A$6:$A$1005,0))),""))</f>
        <v/>
      </c>
      <c r="O1094" s="33">
        <f>IF($D1094="","",IFERROR(IF(INDEX(RUNS!$H$6:$H$1005,MATCH($D1094,RUNS!$A$6:$A$1005,0))="","",INDEX(RUNS!$H$6:$H$1005,MATCH($D1094,RUNS!$A$6:$A$1005,0))),""))</f>
        <v/>
      </c>
      <c r="P1094" s="33">
        <f>IF($D1094="","",IFERROR(IF(INDEX(RUNS!$J$6:$J$1005,MATCH($D1094,RUNS!$A$6:$A$1005,0))="","",INDEX(RUNS!$J$6:$J$1005,MATCH($D1094,RUNS!$A$6:$A$1005,0))),""))</f>
        <v/>
      </c>
      <c r="Q1094" s="33">
        <f>IF($D1094="","",IFERROR(IF(INDEX(RUNS!$K$6:$K$1005,MATCH($D1094,RUNS!$A$6:$A$1005,0))="","",INDEX(RUNS!$K$6:$K$1005,MATCH($D1094,RUNS!$A$6:$A$1005,0))),""))</f>
        <v/>
      </c>
      <c r="R1094" s="34">
        <f>IF(OR($L1094="",$K1094=""),"",IFERROR(IF(INDEX(PARAMETRES!$H$43:$H$342,MATCH($L1094&amp;"|"&amp;$M1094&amp;"|"&amp;$N1094&amp;"|"&amp;$O1094&amp;"|"&amp;$P1094&amp;"|"&amp;$Q1094&amp;"|"&amp;$K1094,PARAMETRES!$J$43:$J$342,0))="","",INDEX(PARAMETRES!$H$43:$H$342,MATCH($L1094&amp;"|"&amp;$M1094&amp;"|"&amp;$N1094&amp;"|"&amp;$O1094&amp;"|"&amp;$P1094&amp;"|"&amp;$Q1094&amp;"|"&amp;$K1094,PARAMETRES!$J$43:$J$342,0))),""))</f>
        <v/>
      </c>
      <c r="S1094" s="35">
        <f>IF(OR($G1094="",$X1094&lt;&gt;"VALIDE"),"",IFERROR(LOOKUP(2,1/(($B194:$B1093=$B1094)*($G194:$G1093=$G1094)*($X194:$X1093="VALIDE")),$C194:$C1093),""))</f>
        <v/>
      </c>
      <c r="T1094" s="36">
        <f>IF(OR($C1094="",$S1094=""),"",ROUND(($C1094-$S1094+IF($C1094&lt;$S1094,1,0))*1440,0))</f>
        <v/>
      </c>
      <c r="U1094" s="22">
        <f>IF(OR($H1094="",$T1094="",$T1094&lt;=0),"",$H1094*60/$T1094)</f>
        <v/>
      </c>
      <c r="V1094" s="37">
        <f>IF(OR($U1094="",$R1094="",$R1094=0),"",$U1094/$R1094)</f>
        <v/>
      </c>
      <c r="W1094" s="20">
        <f>IF($G1094="","",IF($X1094="CONTEXTE INCOMPLET","CONTEXTE INCOMPLET",IF($X1094="DOUBLON",StatutDoublon,IF($S1094="",StatutInitial,IF($R1094="",StatutStandardManquant,IF($V1094="","DONNEES INSUFFISANTES",IF($V1094&gt;=SeuilConforme,StatutConforme,IF($V1094&gt;=SeuilSurveiller,StatutSurveiller,StatutSousStandard))))))))</f>
        <v/>
      </c>
      <c r="X1094" s="33">
        <f>IF($G1094="","",IF(OR($D1094="",$E1094="",$F1094=""),"CONTEXTE INCOMPLET",IF(COUNTIFS($D194:$D1093,$D1094,$E194:$E1093,$E1094,$F194:$F1093,$F1094,$G194:$G1093,$G1094)&gt;0,"DOUBLON","VALIDE")))</f>
        <v/>
      </c>
    </row>
    <row r="1095" ht="15" customHeight="1">
      <c r="A1095" s="12">
        <f>IF(OR($B1095="",$G1095=""),"",TEXT($B1095,"YYYYMMDD")&amp;"-"&amp;SUBSTITUTE($E1095," ","")&amp;"-"&amp;$F1095&amp;"-"&amp;$G1095)</f>
        <v/>
      </c>
      <c r="B1095" s="15" t="n"/>
      <c r="C1095" s="16" t="n"/>
      <c r="D1095" s="10" t="n"/>
      <c r="E1095" s="9" t="n"/>
      <c r="F1095" s="9" t="n"/>
      <c r="G1095" s="13" t="n"/>
      <c r="H1095" s="21" t="n"/>
      <c r="I1095" s="21" t="n"/>
      <c r="J1095" s="17">
        <f>IF($G1095="","",IFERROR(INDEX(NomsEmployes,MATCH($G1095,MatriculesEmployes,0)),"MATRICULE INCONNU"))</f>
        <v/>
      </c>
      <c r="K1095" s="33">
        <f>IF(OR($D1095="",$F1095=""),"",IFERROR(IF(INDEX(RUNS!$L$6:$S$1005,MATCH($D1095,RUNS!$A$6:$A$1005,0),MATCH("ACTIVITÉ "&amp;$F1095,RUNS!$L$5:$S$5,0))="","",INDEX(RUNS!$L$6:$S$1005,MATCH($D1095,RUNS!$A$6:$A$1005,0),MATCH("ACTIVITÉ "&amp;$F1095,RUNS!$L$5:$S$5,0))),""))</f>
        <v/>
      </c>
      <c r="L1095" s="33">
        <f>IF($D1095="","",IFERROR(IF(INDEX(RUNS!$E$6:$E$1005,MATCH($D1095,RUNS!$A$6:$A$1005,0))="","",INDEX(RUNS!$E$6:$E$1005,MATCH($D1095,RUNS!$A$6:$A$1005,0))),""))</f>
        <v/>
      </c>
      <c r="M1095" s="33">
        <f>IF($D1095="","",IFERROR(IF(INDEX(RUNS!$F$6:$F$1005,MATCH($D1095,RUNS!$A$6:$A$1005,0))="","",INDEX(RUNS!$F$6:$F$1005,MATCH($D1095,RUNS!$A$6:$A$1005,0))),""))</f>
        <v/>
      </c>
      <c r="N1095" s="33">
        <f>IF($D1095="","",IFERROR(IF(INDEX(RUNS!$G$6:$G$1005,MATCH($D1095,RUNS!$A$6:$A$1005,0))="","",INDEX(RUNS!$G$6:$G$1005,MATCH($D1095,RUNS!$A$6:$A$1005,0))),""))</f>
        <v/>
      </c>
      <c r="O1095" s="33">
        <f>IF($D1095="","",IFERROR(IF(INDEX(RUNS!$H$6:$H$1005,MATCH($D1095,RUNS!$A$6:$A$1005,0))="","",INDEX(RUNS!$H$6:$H$1005,MATCH($D1095,RUNS!$A$6:$A$1005,0))),""))</f>
        <v/>
      </c>
      <c r="P1095" s="33">
        <f>IF($D1095="","",IFERROR(IF(INDEX(RUNS!$J$6:$J$1005,MATCH($D1095,RUNS!$A$6:$A$1005,0))="","",INDEX(RUNS!$J$6:$J$1005,MATCH($D1095,RUNS!$A$6:$A$1005,0))),""))</f>
        <v/>
      </c>
      <c r="Q1095" s="33">
        <f>IF($D1095="","",IFERROR(IF(INDEX(RUNS!$K$6:$K$1005,MATCH($D1095,RUNS!$A$6:$A$1005,0))="","",INDEX(RUNS!$K$6:$K$1005,MATCH($D1095,RUNS!$A$6:$A$1005,0))),""))</f>
        <v/>
      </c>
      <c r="R1095" s="34">
        <f>IF(OR($L1095="",$K1095=""),"",IFERROR(IF(INDEX(PARAMETRES!$H$43:$H$342,MATCH($L1095&amp;"|"&amp;$M1095&amp;"|"&amp;$N1095&amp;"|"&amp;$O1095&amp;"|"&amp;$P1095&amp;"|"&amp;$Q1095&amp;"|"&amp;$K1095,PARAMETRES!$J$43:$J$342,0))="","",INDEX(PARAMETRES!$H$43:$H$342,MATCH($L1095&amp;"|"&amp;$M1095&amp;"|"&amp;$N1095&amp;"|"&amp;$O1095&amp;"|"&amp;$P1095&amp;"|"&amp;$Q1095&amp;"|"&amp;$K1095,PARAMETRES!$J$43:$J$342,0))),""))</f>
        <v/>
      </c>
      <c r="S1095" s="35">
        <f>IF(OR($G1095="",$X1095&lt;&gt;"VALIDE"),"",IFERROR(LOOKUP(2,1/(($B195:$B1094=$B1095)*($G195:$G1094=$G1095)*($X195:$X1094="VALIDE")),$C195:$C1094),""))</f>
        <v/>
      </c>
      <c r="T1095" s="36">
        <f>IF(OR($C1095="",$S1095=""),"",ROUND(($C1095-$S1095+IF($C1095&lt;$S1095,1,0))*1440,0))</f>
        <v/>
      </c>
      <c r="U1095" s="22">
        <f>IF(OR($H1095="",$T1095="",$T1095&lt;=0),"",$H1095*60/$T1095)</f>
        <v/>
      </c>
      <c r="V1095" s="37">
        <f>IF(OR($U1095="",$R1095="",$R1095=0),"",$U1095/$R1095)</f>
        <v/>
      </c>
      <c r="W1095" s="20">
        <f>IF($G1095="","",IF($X1095="CONTEXTE INCOMPLET","CONTEXTE INCOMPLET",IF($X1095="DOUBLON",StatutDoublon,IF($S1095="",StatutInitial,IF($R1095="",StatutStandardManquant,IF($V1095="","DONNEES INSUFFISANTES",IF($V1095&gt;=SeuilConforme,StatutConforme,IF($V1095&gt;=SeuilSurveiller,StatutSurveiller,StatutSousStandard))))))))</f>
        <v/>
      </c>
      <c r="X1095" s="33">
        <f>IF($G1095="","",IF(OR($D1095="",$E1095="",$F1095=""),"CONTEXTE INCOMPLET",IF(COUNTIFS($D195:$D1094,$D1095,$E195:$E1094,$E1095,$F195:$F1094,$F1095,$G195:$G1094,$G1095)&gt;0,"DOUBLON","VALIDE")))</f>
        <v/>
      </c>
    </row>
    <row r="1096" ht="15" customHeight="1">
      <c r="A1096" s="12">
        <f>IF(OR($B1096="",$G1096=""),"",TEXT($B1096,"YYYYMMDD")&amp;"-"&amp;SUBSTITUTE($E1096," ","")&amp;"-"&amp;$F1096&amp;"-"&amp;$G1096)</f>
        <v/>
      </c>
      <c r="B1096" s="15" t="n"/>
      <c r="C1096" s="16" t="n"/>
      <c r="D1096" s="10" t="n"/>
      <c r="E1096" s="9" t="n"/>
      <c r="F1096" s="9" t="n"/>
      <c r="G1096" s="13" t="n"/>
      <c r="H1096" s="21" t="n"/>
      <c r="I1096" s="21" t="n"/>
      <c r="J1096" s="17">
        <f>IF($G1096="","",IFERROR(INDEX(NomsEmployes,MATCH($G1096,MatriculesEmployes,0)),"MATRICULE INCONNU"))</f>
        <v/>
      </c>
      <c r="K1096" s="33">
        <f>IF(OR($D1096="",$F1096=""),"",IFERROR(IF(INDEX(RUNS!$L$6:$S$1005,MATCH($D1096,RUNS!$A$6:$A$1005,0),MATCH("ACTIVITÉ "&amp;$F1096,RUNS!$L$5:$S$5,0))="","",INDEX(RUNS!$L$6:$S$1005,MATCH($D1096,RUNS!$A$6:$A$1005,0),MATCH("ACTIVITÉ "&amp;$F1096,RUNS!$L$5:$S$5,0))),""))</f>
        <v/>
      </c>
      <c r="L1096" s="33">
        <f>IF($D1096="","",IFERROR(IF(INDEX(RUNS!$E$6:$E$1005,MATCH($D1096,RUNS!$A$6:$A$1005,0))="","",INDEX(RUNS!$E$6:$E$1005,MATCH($D1096,RUNS!$A$6:$A$1005,0))),""))</f>
        <v/>
      </c>
      <c r="M1096" s="33">
        <f>IF($D1096="","",IFERROR(IF(INDEX(RUNS!$F$6:$F$1005,MATCH($D1096,RUNS!$A$6:$A$1005,0))="","",INDEX(RUNS!$F$6:$F$1005,MATCH($D1096,RUNS!$A$6:$A$1005,0))),""))</f>
        <v/>
      </c>
      <c r="N1096" s="33">
        <f>IF($D1096="","",IFERROR(IF(INDEX(RUNS!$G$6:$G$1005,MATCH($D1096,RUNS!$A$6:$A$1005,0))="","",INDEX(RUNS!$G$6:$G$1005,MATCH($D1096,RUNS!$A$6:$A$1005,0))),""))</f>
        <v/>
      </c>
      <c r="O1096" s="33">
        <f>IF($D1096="","",IFERROR(IF(INDEX(RUNS!$H$6:$H$1005,MATCH($D1096,RUNS!$A$6:$A$1005,0))="","",INDEX(RUNS!$H$6:$H$1005,MATCH($D1096,RUNS!$A$6:$A$1005,0))),""))</f>
        <v/>
      </c>
      <c r="P1096" s="33">
        <f>IF($D1096="","",IFERROR(IF(INDEX(RUNS!$J$6:$J$1005,MATCH($D1096,RUNS!$A$6:$A$1005,0))="","",INDEX(RUNS!$J$6:$J$1005,MATCH($D1096,RUNS!$A$6:$A$1005,0))),""))</f>
        <v/>
      </c>
      <c r="Q1096" s="33">
        <f>IF($D1096="","",IFERROR(IF(INDEX(RUNS!$K$6:$K$1005,MATCH($D1096,RUNS!$A$6:$A$1005,0))="","",INDEX(RUNS!$K$6:$K$1005,MATCH($D1096,RUNS!$A$6:$A$1005,0))),""))</f>
        <v/>
      </c>
      <c r="R1096" s="34">
        <f>IF(OR($L1096="",$K1096=""),"",IFERROR(IF(INDEX(PARAMETRES!$H$43:$H$342,MATCH($L1096&amp;"|"&amp;$M1096&amp;"|"&amp;$N1096&amp;"|"&amp;$O1096&amp;"|"&amp;$P1096&amp;"|"&amp;$Q1096&amp;"|"&amp;$K1096,PARAMETRES!$J$43:$J$342,0))="","",INDEX(PARAMETRES!$H$43:$H$342,MATCH($L1096&amp;"|"&amp;$M1096&amp;"|"&amp;$N1096&amp;"|"&amp;$O1096&amp;"|"&amp;$P1096&amp;"|"&amp;$Q1096&amp;"|"&amp;$K1096,PARAMETRES!$J$43:$J$342,0))),""))</f>
        <v/>
      </c>
      <c r="S1096" s="35">
        <f>IF(OR($G1096="",$X1096&lt;&gt;"VALIDE"),"",IFERROR(LOOKUP(2,1/(($B196:$B1095=$B1096)*($G196:$G1095=$G1096)*($X196:$X1095="VALIDE")),$C196:$C1095),""))</f>
        <v/>
      </c>
      <c r="T1096" s="36">
        <f>IF(OR($C1096="",$S1096=""),"",ROUND(($C1096-$S1096+IF($C1096&lt;$S1096,1,0))*1440,0))</f>
        <v/>
      </c>
      <c r="U1096" s="22">
        <f>IF(OR($H1096="",$T1096="",$T1096&lt;=0),"",$H1096*60/$T1096)</f>
        <v/>
      </c>
      <c r="V1096" s="37">
        <f>IF(OR($U1096="",$R1096="",$R1096=0),"",$U1096/$R1096)</f>
        <v/>
      </c>
      <c r="W1096" s="20">
        <f>IF($G1096="","",IF($X1096="CONTEXTE INCOMPLET","CONTEXTE INCOMPLET",IF($X1096="DOUBLON",StatutDoublon,IF($S1096="",StatutInitial,IF($R1096="",StatutStandardManquant,IF($V1096="","DONNEES INSUFFISANTES",IF($V1096&gt;=SeuilConforme,StatutConforme,IF($V1096&gt;=SeuilSurveiller,StatutSurveiller,StatutSousStandard))))))))</f>
        <v/>
      </c>
      <c r="X1096" s="33">
        <f>IF($G1096="","",IF(OR($D1096="",$E1096="",$F1096=""),"CONTEXTE INCOMPLET",IF(COUNTIFS($D196:$D1095,$D1096,$E196:$E1095,$E1096,$F196:$F1095,$F1096,$G196:$G1095,$G1096)&gt;0,"DOUBLON","VALIDE")))</f>
        <v/>
      </c>
    </row>
    <row r="1097" ht="15" customHeight="1">
      <c r="A1097" s="12">
        <f>IF(OR($B1097="",$G1097=""),"",TEXT($B1097,"YYYYMMDD")&amp;"-"&amp;SUBSTITUTE($E1097," ","")&amp;"-"&amp;$F1097&amp;"-"&amp;$G1097)</f>
        <v/>
      </c>
      <c r="B1097" s="15" t="n"/>
      <c r="C1097" s="16" t="n"/>
      <c r="D1097" s="10" t="n"/>
      <c r="E1097" s="9" t="n"/>
      <c r="F1097" s="9" t="n"/>
      <c r="G1097" s="13" t="n"/>
      <c r="H1097" s="21" t="n"/>
      <c r="I1097" s="21" t="n"/>
      <c r="J1097" s="17">
        <f>IF($G1097="","",IFERROR(INDEX(NomsEmployes,MATCH($G1097,MatriculesEmployes,0)),"MATRICULE INCONNU"))</f>
        <v/>
      </c>
      <c r="K1097" s="33">
        <f>IF(OR($D1097="",$F1097=""),"",IFERROR(IF(INDEX(RUNS!$L$6:$S$1005,MATCH($D1097,RUNS!$A$6:$A$1005,0),MATCH("ACTIVITÉ "&amp;$F1097,RUNS!$L$5:$S$5,0))="","",INDEX(RUNS!$L$6:$S$1005,MATCH($D1097,RUNS!$A$6:$A$1005,0),MATCH("ACTIVITÉ "&amp;$F1097,RUNS!$L$5:$S$5,0))),""))</f>
        <v/>
      </c>
      <c r="L1097" s="33">
        <f>IF($D1097="","",IFERROR(IF(INDEX(RUNS!$E$6:$E$1005,MATCH($D1097,RUNS!$A$6:$A$1005,0))="","",INDEX(RUNS!$E$6:$E$1005,MATCH($D1097,RUNS!$A$6:$A$1005,0))),""))</f>
        <v/>
      </c>
      <c r="M1097" s="33">
        <f>IF($D1097="","",IFERROR(IF(INDEX(RUNS!$F$6:$F$1005,MATCH($D1097,RUNS!$A$6:$A$1005,0))="","",INDEX(RUNS!$F$6:$F$1005,MATCH($D1097,RUNS!$A$6:$A$1005,0))),""))</f>
        <v/>
      </c>
      <c r="N1097" s="33">
        <f>IF($D1097="","",IFERROR(IF(INDEX(RUNS!$G$6:$G$1005,MATCH($D1097,RUNS!$A$6:$A$1005,0))="","",INDEX(RUNS!$G$6:$G$1005,MATCH($D1097,RUNS!$A$6:$A$1005,0))),""))</f>
        <v/>
      </c>
      <c r="O1097" s="33">
        <f>IF($D1097="","",IFERROR(IF(INDEX(RUNS!$H$6:$H$1005,MATCH($D1097,RUNS!$A$6:$A$1005,0))="","",INDEX(RUNS!$H$6:$H$1005,MATCH($D1097,RUNS!$A$6:$A$1005,0))),""))</f>
        <v/>
      </c>
      <c r="P1097" s="33">
        <f>IF($D1097="","",IFERROR(IF(INDEX(RUNS!$J$6:$J$1005,MATCH($D1097,RUNS!$A$6:$A$1005,0))="","",INDEX(RUNS!$J$6:$J$1005,MATCH($D1097,RUNS!$A$6:$A$1005,0))),""))</f>
        <v/>
      </c>
      <c r="Q1097" s="33">
        <f>IF($D1097="","",IFERROR(IF(INDEX(RUNS!$K$6:$K$1005,MATCH($D1097,RUNS!$A$6:$A$1005,0))="","",INDEX(RUNS!$K$6:$K$1005,MATCH($D1097,RUNS!$A$6:$A$1005,0))),""))</f>
        <v/>
      </c>
      <c r="R1097" s="34">
        <f>IF(OR($L1097="",$K1097=""),"",IFERROR(IF(INDEX(PARAMETRES!$H$43:$H$342,MATCH($L1097&amp;"|"&amp;$M1097&amp;"|"&amp;$N1097&amp;"|"&amp;$O1097&amp;"|"&amp;$P1097&amp;"|"&amp;$Q1097&amp;"|"&amp;$K1097,PARAMETRES!$J$43:$J$342,0))="","",INDEX(PARAMETRES!$H$43:$H$342,MATCH($L1097&amp;"|"&amp;$M1097&amp;"|"&amp;$N1097&amp;"|"&amp;$O1097&amp;"|"&amp;$P1097&amp;"|"&amp;$Q1097&amp;"|"&amp;$K1097,PARAMETRES!$J$43:$J$342,0))),""))</f>
        <v/>
      </c>
      <c r="S1097" s="35">
        <f>IF(OR($G1097="",$X1097&lt;&gt;"VALIDE"),"",IFERROR(LOOKUP(2,1/(($B197:$B1096=$B1097)*($G197:$G1096=$G1097)*($X197:$X1096="VALIDE")),$C197:$C1096),""))</f>
        <v/>
      </c>
      <c r="T1097" s="36">
        <f>IF(OR($C1097="",$S1097=""),"",ROUND(($C1097-$S1097+IF($C1097&lt;$S1097,1,0))*1440,0))</f>
        <v/>
      </c>
      <c r="U1097" s="22">
        <f>IF(OR($H1097="",$T1097="",$T1097&lt;=0),"",$H1097*60/$T1097)</f>
        <v/>
      </c>
      <c r="V1097" s="37">
        <f>IF(OR($U1097="",$R1097="",$R1097=0),"",$U1097/$R1097)</f>
        <v/>
      </c>
      <c r="W1097" s="20">
        <f>IF($G1097="","",IF($X1097="CONTEXTE INCOMPLET","CONTEXTE INCOMPLET",IF($X1097="DOUBLON",StatutDoublon,IF($S1097="",StatutInitial,IF($R1097="",StatutStandardManquant,IF($V1097="","DONNEES INSUFFISANTES",IF($V1097&gt;=SeuilConforme,StatutConforme,IF($V1097&gt;=SeuilSurveiller,StatutSurveiller,StatutSousStandard))))))))</f>
        <v/>
      </c>
      <c r="X1097" s="33">
        <f>IF($G1097="","",IF(OR($D1097="",$E1097="",$F1097=""),"CONTEXTE INCOMPLET",IF(COUNTIFS($D197:$D1096,$D1097,$E197:$E1096,$E1097,$F197:$F1096,$F1097,$G197:$G1096,$G1097)&gt;0,"DOUBLON","VALIDE")))</f>
        <v/>
      </c>
    </row>
    <row r="1098" ht="15" customHeight="1">
      <c r="A1098" s="12">
        <f>IF(OR($B1098="",$G1098=""),"",TEXT($B1098,"YYYYMMDD")&amp;"-"&amp;SUBSTITUTE($E1098," ","")&amp;"-"&amp;$F1098&amp;"-"&amp;$G1098)</f>
        <v/>
      </c>
      <c r="B1098" s="15" t="n"/>
      <c r="C1098" s="16" t="n"/>
      <c r="D1098" s="10" t="n"/>
      <c r="E1098" s="9" t="n"/>
      <c r="F1098" s="9" t="n"/>
      <c r="G1098" s="13" t="n"/>
      <c r="H1098" s="21" t="n"/>
      <c r="I1098" s="21" t="n"/>
      <c r="J1098" s="17">
        <f>IF($G1098="","",IFERROR(INDEX(NomsEmployes,MATCH($G1098,MatriculesEmployes,0)),"MATRICULE INCONNU"))</f>
        <v/>
      </c>
      <c r="K1098" s="33">
        <f>IF(OR($D1098="",$F1098=""),"",IFERROR(IF(INDEX(RUNS!$L$6:$S$1005,MATCH($D1098,RUNS!$A$6:$A$1005,0),MATCH("ACTIVITÉ "&amp;$F1098,RUNS!$L$5:$S$5,0))="","",INDEX(RUNS!$L$6:$S$1005,MATCH($D1098,RUNS!$A$6:$A$1005,0),MATCH("ACTIVITÉ "&amp;$F1098,RUNS!$L$5:$S$5,0))),""))</f>
        <v/>
      </c>
      <c r="L1098" s="33">
        <f>IF($D1098="","",IFERROR(IF(INDEX(RUNS!$E$6:$E$1005,MATCH($D1098,RUNS!$A$6:$A$1005,0))="","",INDEX(RUNS!$E$6:$E$1005,MATCH($D1098,RUNS!$A$6:$A$1005,0))),""))</f>
        <v/>
      </c>
      <c r="M1098" s="33">
        <f>IF($D1098="","",IFERROR(IF(INDEX(RUNS!$F$6:$F$1005,MATCH($D1098,RUNS!$A$6:$A$1005,0))="","",INDEX(RUNS!$F$6:$F$1005,MATCH($D1098,RUNS!$A$6:$A$1005,0))),""))</f>
        <v/>
      </c>
      <c r="N1098" s="33">
        <f>IF($D1098="","",IFERROR(IF(INDEX(RUNS!$G$6:$G$1005,MATCH($D1098,RUNS!$A$6:$A$1005,0))="","",INDEX(RUNS!$G$6:$G$1005,MATCH($D1098,RUNS!$A$6:$A$1005,0))),""))</f>
        <v/>
      </c>
      <c r="O1098" s="33">
        <f>IF($D1098="","",IFERROR(IF(INDEX(RUNS!$H$6:$H$1005,MATCH($D1098,RUNS!$A$6:$A$1005,0))="","",INDEX(RUNS!$H$6:$H$1005,MATCH($D1098,RUNS!$A$6:$A$1005,0))),""))</f>
        <v/>
      </c>
      <c r="P1098" s="33">
        <f>IF($D1098="","",IFERROR(IF(INDEX(RUNS!$J$6:$J$1005,MATCH($D1098,RUNS!$A$6:$A$1005,0))="","",INDEX(RUNS!$J$6:$J$1005,MATCH($D1098,RUNS!$A$6:$A$1005,0))),""))</f>
        <v/>
      </c>
      <c r="Q1098" s="33">
        <f>IF($D1098="","",IFERROR(IF(INDEX(RUNS!$K$6:$K$1005,MATCH($D1098,RUNS!$A$6:$A$1005,0))="","",INDEX(RUNS!$K$6:$K$1005,MATCH($D1098,RUNS!$A$6:$A$1005,0))),""))</f>
        <v/>
      </c>
      <c r="R1098" s="34">
        <f>IF(OR($L1098="",$K1098=""),"",IFERROR(IF(INDEX(PARAMETRES!$H$43:$H$342,MATCH($L1098&amp;"|"&amp;$M1098&amp;"|"&amp;$N1098&amp;"|"&amp;$O1098&amp;"|"&amp;$P1098&amp;"|"&amp;$Q1098&amp;"|"&amp;$K1098,PARAMETRES!$J$43:$J$342,0))="","",INDEX(PARAMETRES!$H$43:$H$342,MATCH($L1098&amp;"|"&amp;$M1098&amp;"|"&amp;$N1098&amp;"|"&amp;$O1098&amp;"|"&amp;$P1098&amp;"|"&amp;$Q1098&amp;"|"&amp;$K1098,PARAMETRES!$J$43:$J$342,0))),""))</f>
        <v/>
      </c>
      <c r="S1098" s="35">
        <f>IF(OR($G1098="",$X1098&lt;&gt;"VALIDE"),"",IFERROR(LOOKUP(2,1/(($B198:$B1097=$B1098)*($G198:$G1097=$G1098)*($X198:$X1097="VALIDE")),$C198:$C1097),""))</f>
        <v/>
      </c>
      <c r="T1098" s="36">
        <f>IF(OR($C1098="",$S1098=""),"",ROUND(($C1098-$S1098+IF($C1098&lt;$S1098,1,0))*1440,0))</f>
        <v/>
      </c>
      <c r="U1098" s="22">
        <f>IF(OR($H1098="",$T1098="",$T1098&lt;=0),"",$H1098*60/$T1098)</f>
        <v/>
      </c>
      <c r="V1098" s="37">
        <f>IF(OR($U1098="",$R1098="",$R1098=0),"",$U1098/$R1098)</f>
        <v/>
      </c>
      <c r="W1098" s="20">
        <f>IF($G1098="","",IF($X1098="CONTEXTE INCOMPLET","CONTEXTE INCOMPLET",IF($X1098="DOUBLON",StatutDoublon,IF($S1098="",StatutInitial,IF($R1098="",StatutStandardManquant,IF($V1098="","DONNEES INSUFFISANTES",IF($V1098&gt;=SeuilConforme,StatutConforme,IF($V1098&gt;=SeuilSurveiller,StatutSurveiller,StatutSousStandard))))))))</f>
        <v/>
      </c>
      <c r="X1098" s="33">
        <f>IF($G1098="","",IF(OR($D1098="",$E1098="",$F1098=""),"CONTEXTE INCOMPLET",IF(COUNTIFS($D198:$D1097,$D1098,$E198:$E1097,$E1098,$F198:$F1097,$F1098,$G198:$G1097,$G1098)&gt;0,"DOUBLON","VALIDE")))</f>
        <v/>
      </c>
    </row>
    <row r="1099" ht="15" customHeight="1">
      <c r="A1099" s="12">
        <f>IF(OR($B1099="",$G1099=""),"",TEXT($B1099,"YYYYMMDD")&amp;"-"&amp;SUBSTITUTE($E1099," ","")&amp;"-"&amp;$F1099&amp;"-"&amp;$G1099)</f>
        <v/>
      </c>
      <c r="B1099" s="15" t="n"/>
      <c r="C1099" s="16" t="n"/>
      <c r="D1099" s="10" t="n"/>
      <c r="E1099" s="9" t="n"/>
      <c r="F1099" s="9" t="n"/>
      <c r="G1099" s="13" t="n"/>
      <c r="H1099" s="21" t="n"/>
      <c r="I1099" s="21" t="n"/>
      <c r="J1099" s="17">
        <f>IF($G1099="","",IFERROR(INDEX(NomsEmployes,MATCH($G1099,MatriculesEmployes,0)),"MATRICULE INCONNU"))</f>
        <v/>
      </c>
      <c r="K1099" s="33">
        <f>IF(OR($D1099="",$F1099=""),"",IFERROR(IF(INDEX(RUNS!$L$6:$S$1005,MATCH($D1099,RUNS!$A$6:$A$1005,0),MATCH("ACTIVITÉ "&amp;$F1099,RUNS!$L$5:$S$5,0))="","",INDEX(RUNS!$L$6:$S$1005,MATCH($D1099,RUNS!$A$6:$A$1005,0),MATCH("ACTIVITÉ "&amp;$F1099,RUNS!$L$5:$S$5,0))),""))</f>
        <v/>
      </c>
      <c r="L1099" s="33">
        <f>IF($D1099="","",IFERROR(IF(INDEX(RUNS!$E$6:$E$1005,MATCH($D1099,RUNS!$A$6:$A$1005,0))="","",INDEX(RUNS!$E$6:$E$1005,MATCH($D1099,RUNS!$A$6:$A$1005,0))),""))</f>
        <v/>
      </c>
      <c r="M1099" s="33">
        <f>IF($D1099="","",IFERROR(IF(INDEX(RUNS!$F$6:$F$1005,MATCH($D1099,RUNS!$A$6:$A$1005,0))="","",INDEX(RUNS!$F$6:$F$1005,MATCH($D1099,RUNS!$A$6:$A$1005,0))),""))</f>
        <v/>
      </c>
      <c r="N1099" s="33">
        <f>IF($D1099="","",IFERROR(IF(INDEX(RUNS!$G$6:$G$1005,MATCH($D1099,RUNS!$A$6:$A$1005,0))="","",INDEX(RUNS!$G$6:$G$1005,MATCH($D1099,RUNS!$A$6:$A$1005,0))),""))</f>
        <v/>
      </c>
      <c r="O1099" s="33">
        <f>IF($D1099="","",IFERROR(IF(INDEX(RUNS!$H$6:$H$1005,MATCH($D1099,RUNS!$A$6:$A$1005,0))="","",INDEX(RUNS!$H$6:$H$1005,MATCH($D1099,RUNS!$A$6:$A$1005,0))),""))</f>
        <v/>
      </c>
      <c r="P1099" s="33">
        <f>IF($D1099="","",IFERROR(IF(INDEX(RUNS!$J$6:$J$1005,MATCH($D1099,RUNS!$A$6:$A$1005,0))="","",INDEX(RUNS!$J$6:$J$1005,MATCH($D1099,RUNS!$A$6:$A$1005,0))),""))</f>
        <v/>
      </c>
      <c r="Q1099" s="33">
        <f>IF($D1099="","",IFERROR(IF(INDEX(RUNS!$K$6:$K$1005,MATCH($D1099,RUNS!$A$6:$A$1005,0))="","",INDEX(RUNS!$K$6:$K$1005,MATCH($D1099,RUNS!$A$6:$A$1005,0))),""))</f>
        <v/>
      </c>
      <c r="R1099" s="34">
        <f>IF(OR($L1099="",$K1099=""),"",IFERROR(IF(INDEX(PARAMETRES!$H$43:$H$342,MATCH($L1099&amp;"|"&amp;$M1099&amp;"|"&amp;$N1099&amp;"|"&amp;$O1099&amp;"|"&amp;$P1099&amp;"|"&amp;$Q1099&amp;"|"&amp;$K1099,PARAMETRES!$J$43:$J$342,0))="","",INDEX(PARAMETRES!$H$43:$H$342,MATCH($L1099&amp;"|"&amp;$M1099&amp;"|"&amp;$N1099&amp;"|"&amp;$O1099&amp;"|"&amp;$P1099&amp;"|"&amp;$Q1099&amp;"|"&amp;$K1099,PARAMETRES!$J$43:$J$342,0))),""))</f>
        <v/>
      </c>
      <c r="S1099" s="35">
        <f>IF(OR($G1099="",$X1099&lt;&gt;"VALIDE"),"",IFERROR(LOOKUP(2,1/(($B199:$B1098=$B1099)*($G199:$G1098=$G1099)*($X199:$X1098="VALIDE")),$C199:$C1098),""))</f>
        <v/>
      </c>
      <c r="T1099" s="36">
        <f>IF(OR($C1099="",$S1099=""),"",ROUND(($C1099-$S1099+IF($C1099&lt;$S1099,1,0))*1440,0))</f>
        <v/>
      </c>
      <c r="U1099" s="22">
        <f>IF(OR($H1099="",$T1099="",$T1099&lt;=0),"",$H1099*60/$T1099)</f>
        <v/>
      </c>
      <c r="V1099" s="37">
        <f>IF(OR($U1099="",$R1099="",$R1099=0),"",$U1099/$R1099)</f>
        <v/>
      </c>
      <c r="W1099" s="20">
        <f>IF($G1099="","",IF($X1099="CONTEXTE INCOMPLET","CONTEXTE INCOMPLET",IF($X1099="DOUBLON",StatutDoublon,IF($S1099="",StatutInitial,IF($R1099="",StatutStandardManquant,IF($V1099="","DONNEES INSUFFISANTES",IF($V1099&gt;=SeuilConforme,StatutConforme,IF($V1099&gt;=SeuilSurveiller,StatutSurveiller,StatutSousStandard))))))))</f>
        <v/>
      </c>
      <c r="X1099" s="33">
        <f>IF($G1099="","",IF(OR($D1099="",$E1099="",$F1099=""),"CONTEXTE INCOMPLET",IF(COUNTIFS($D199:$D1098,$D1099,$E199:$E1098,$E1099,$F199:$F1098,$F1099,$G199:$G1098,$G1099)&gt;0,"DOUBLON","VALIDE")))</f>
        <v/>
      </c>
    </row>
    <row r="1100" ht="15" customHeight="1">
      <c r="A1100" s="12">
        <f>IF(OR($B1100="",$G1100=""),"",TEXT($B1100,"YYYYMMDD")&amp;"-"&amp;SUBSTITUTE($E1100," ","")&amp;"-"&amp;$F1100&amp;"-"&amp;$G1100)</f>
        <v/>
      </c>
      <c r="B1100" s="15" t="n"/>
      <c r="C1100" s="16" t="n"/>
      <c r="D1100" s="10" t="n"/>
      <c r="E1100" s="9" t="n"/>
      <c r="F1100" s="9" t="n"/>
      <c r="G1100" s="13" t="n"/>
      <c r="H1100" s="21" t="n"/>
      <c r="I1100" s="21" t="n"/>
      <c r="J1100" s="17">
        <f>IF($G1100="","",IFERROR(INDEX(NomsEmployes,MATCH($G1100,MatriculesEmployes,0)),"MATRICULE INCONNU"))</f>
        <v/>
      </c>
      <c r="K1100" s="33">
        <f>IF(OR($D1100="",$F1100=""),"",IFERROR(IF(INDEX(RUNS!$L$6:$S$1005,MATCH($D1100,RUNS!$A$6:$A$1005,0),MATCH("ACTIVITÉ "&amp;$F1100,RUNS!$L$5:$S$5,0))="","",INDEX(RUNS!$L$6:$S$1005,MATCH($D1100,RUNS!$A$6:$A$1005,0),MATCH("ACTIVITÉ "&amp;$F1100,RUNS!$L$5:$S$5,0))),""))</f>
        <v/>
      </c>
      <c r="L1100" s="33">
        <f>IF($D1100="","",IFERROR(IF(INDEX(RUNS!$E$6:$E$1005,MATCH($D1100,RUNS!$A$6:$A$1005,0))="","",INDEX(RUNS!$E$6:$E$1005,MATCH($D1100,RUNS!$A$6:$A$1005,0))),""))</f>
        <v/>
      </c>
      <c r="M1100" s="33">
        <f>IF($D1100="","",IFERROR(IF(INDEX(RUNS!$F$6:$F$1005,MATCH($D1100,RUNS!$A$6:$A$1005,0))="","",INDEX(RUNS!$F$6:$F$1005,MATCH($D1100,RUNS!$A$6:$A$1005,0))),""))</f>
        <v/>
      </c>
      <c r="N1100" s="33">
        <f>IF($D1100="","",IFERROR(IF(INDEX(RUNS!$G$6:$G$1005,MATCH($D1100,RUNS!$A$6:$A$1005,0))="","",INDEX(RUNS!$G$6:$G$1005,MATCH($D1100,RUNS!$A$6:$A$1005,0))),""))</f>
        <v/>
      </c>
      <c r="O1100" s="33">
        <f>IF($D1100="","",IFERROR(IF(INDEX(RUNS!$H$6:$H$1005,MATCH($D1100,RUNS!$A$6:$A$1005,0))="","",INDEX(RUNS!$H$6:$H$1005,MATCH($D1100,RUNS!$A$6:$A$1005,0))),""))</f>
        <v/>
      </c>
      <c r="P1100" s="33">
        <f>IF($D1100="","",IFERROR(IF(INDEX(RUNS!$J$6:$J$1005,MATCH($D1100,RUNS!$A$6:$A$1005,0))="","",INDEX(RUNS!$J$6:$J$1005,MATCH($D1100,RUNS!$A$6:$A$1005,0))),""))</f>
        <v/>
      </c>
      <c r="Q1100" s="33">
        <f>IF($D1100="","",IFERROR(IF(INDEX(RUNS!$K$6:$K$1005,MATCH($D1100,RUNS!$A$6:$A$1005,0))="","",INDEX(RUNS!$K$6:$K$1005,MATCH($D1100,RUNS!$A$6:$A$1005,0))),""))</f>
        <v/>
      </c>
      <c r="R1100" s="34">
        <f>IF(OR($L1100="",$K1100=""),"",IFERROR(IF(INDEX(PARAMETRES!$H$43:$H$342,MATCH($L1100&amp;"|"&amp;$M1100&amp;"|"&amp;$N1100&amp;"|"&amp;$O1100&amp;"|"&amp;$P1100&amp;"|"&amp;$Q1100&amp;"|"&amp;$K1100,PARAMETRES!$J$43:$J$342,0))="","",INDEX(PARAMETRES!$H$43:$H$342,MATCH($L1100&amp;"|"&amp;$M1100&amp;"|"&amp;$N1100&amp;"|"&amp;$O1100&amp;"|"&amp;$P1100&amp;"|"&amp;$Q1100&amp;"|"&amp;$K1100,PARAMETRES!$J$43:$J$342,0))),""))</f>
        <v/>
      </c>
      <c r="S1100" s="35">
        <f>IF(OR($G1100="",$X1100&lt;&gt;"VALIDE"),"",IFERROR(LOOKUP(2,1/(($B200:$B1099=$B1100)*($G200:$G1099=$G1100)*($X200:$X1099="VALIDE")),$C200:$C1099),""))</f>
        <v/>
      </c>
      <c r="T1100" s="36">
        <f>IF(OR($C1100="",$S1100=""),"",ROUND(($C1100-$S1100+IF($C1100&lt;$S1100,1,0))*1440,0))</f>
        <v/>
      </c>
      <c r="U1100" s="22">
        <f>IF(OR($H1100="",$T1100="",$T1100&lt;=0),"",$H1100*60/$T1100)</f>
        <v/>
      </c>
      <c r="V1100" s="37">
        <f>IF(OR($U1100="",$R1100="",$R1100=0),"",$U1100/$R1100)</f>
        <v/>
      </c>
      <c r="W1100" s="20">
        <f>IF($G1100="","",IF($X1100="CONTEXTE INCOMPLET","CONTEXTE INCOMPLET",IF($X1100="DOUBLON",StatutDoublon,IF($S1100="",StatutInitial,IF($R1100="",StatutStandardManquant,IF($V1100="","DONNEES INSUFFISANTES",IF($V1100&gt;=SeuilConforme,StatutConforme,IF($V1100&gt;=SeuilSurveiller,StatutSurveiller,StatutSousStandard))))))))</f>
        <v/>
      </c>
      <c r="X1100" s="33">
        <f>IF($G1100="","",IF(OR($D1100="",$E1100="",$F1100=""),"CONTEXTE INCOMPLET",IF(COUNTIFS($D200:$D1099,$D1100,$E200:$E1099,$E1100,$F200:$F1099,$F1100,$G200:$G1099,$G1100)&gt;0,"DOUBLON","VALIDE")))</f>
        <v/>
      </c>
    </row>
    <row r="1101" ht="15" customHeight="1">
      <c r="A1101" s="12">
        <f>IF(OR($B1101="",$G1101=""),"",TEXT($B1101,"YYYYMMDD")&amp;"-"&amp;SUBSTITUTE($E1101," ","")&amp;"-"&amp;$F1101&amp;"-"&amp;$G1101)</f>
        <v/>
      </c>
      <c r="B1101" s="15" t="n"/>
      <c r="C1101" s="16" t="n"/>
      <c r="D1101" s="10" t="n"/>
      <c r="E1101" s="9" t="n"/>
      <c r="F1101" s="9" t="n"/>
      <c r="G1101" s="13" t="n"/>
      <c r="H1101" s="21" t="n"/>
      <c r="I1101" s="21" t="n"/>
      <c r="J1101" s="17">
        <f>IF($G1101="","",IFERROR(INDEX(NomsEmployes,MATCH($G1101,MatriculesEmployes,0)),"MATRICULE INCONNU"))</f>
        <v/>
      </c>
      <c r="K1101" s="33">
        <f>IF(OR($D1101="",$F1101=""),"",IFERROR(IF(INDEX(RUNS!$L$6:$S$1005,MATCH($D1101,RUNS!$A$6:$A$1005,0),MATCH("ACTIVITÉ "&amp;$F1101,RUNS!$L$5:$S$5,0))="","",INDEX(RUNS!$L$6:$S$1005,MATCH($D1101,RUNS!$A$6:$A$1005,0),MATCH("ACTIVITÉ "&amp;$F1101,RUNS!$L$5:$S$5,0))),""))</f>
        <v/>
      </c>
      <c r="L1101" s="33">
        <f>IF($D1101="","",IFERROR(IF(INDEX(RUNS!$E$6:$E$1005,MATCH($D1101,RUNS!$A$6:$A$1005,0))="","",INDEX(RUNS!$E$6:$E$1005,MATCH($D1101,RUNS!$A$6:$A$1005,0))),""))</f>
        <v/>
      </c>
      <c r="M1101" s="33">
        <f>IF($D1101="","",IFERROR(IF(INDEX(RUNS!$F$6:$F$1005,MATCH($D1101,RUNS!$A$6:$A$1005,0))="","",INDEX(RUNS!$F$6:$F$1005,MATCH($D1101,RUNS!$A$6:$A$1005,0))),""))</f>
        <v/>
      </c>
      <c r="N1101" s="33">
        <f>IF($D1101="","",IFERROR(IF(INDEX(RUNS!$G$6:$G$1005,MATCH($D1101,RUNS!$A$6:$A$1005,0))="","",INDEX(RUNS!$G$6:$G$1005,MATCH($D1101,RUNS!$A$6:$A$1005,0))),""))</f>
        <v/>
      </c>
      <c r="O1101" s="33">
        <f>IF($D1101="","",IFERROR(IF(INDEX(RUNS!$H$6:$H$1005,MATCH($D1101,RUNS!$A$6:$A$1005,0))="","",INDEX(RUNS!$H$6:$H$1005,MATCH($D1101,RUNS!$A$6:$A$1005,0))),""))</f>
        <v/>
      </c>
      <c r="P1101" s="33">
        <f>IF($D1101="","",IFERROR(IF(INDEX(RUNS!$J$6:$J$1005,MATCH($D1101,RUNS!$A$6:$A$1005,0))="","",INDEX(RUNS!$J$6:$J$1005,MATCH($D1101,RUNS!$A$6:$A$1005,0))),""))</f>
        <v/>
      </c>
      <c r="Q1101" s="33">
        <f>IF($D1101="","",IFERROR(IF(INDEX(RUNS!$K$6:$K$1005,MATCH($D1101,RUNS!$A$6:$A$1005,0))="","",INDEX(RUNS!$K$6:$K$1005,MATCH($D1101,RUNS!$A$6:$A$1005,0))),""))</f>
        <v/>
      </c>
      <c r="R1101" s="34">
        <f>IF(OR($L1101="",$K1101=""),"",IFERROR(IF(INDEX(PARAMETRES!$H$43:$H$342,MATCH($L1101&amp;"|"&amp;$M1101&amp;"|"&amp;$N1101&amp;"|"&amp;$O1101&amp;"|"&amp;$P1101&amp;"|"&amp;$Q1101&amp;"|"&amp;$K1101,PARAMETRES!$J$43:$J$342,0))="","",INDEX(PARAMETRES!$H$43:$H$342,MATCH($L1101&amp;"|"&amp;$M1101&amp;"|"&amp;$N1101&amp;"|"&amp;$O1101&amp;"|"&amp;$P1101&amp;"|"&amp;$Q1101&amp;"|"&amp;$K1101,PARAMETRES!$J$43:$J$342,0))),""))</f>
        <v/>
      </c>
      <c r="S1101" s="35">
        <f>IF(OR($G1101="",$X1101&lt;&gt;"VALIDE"),"",IFERROR(LOOKUP(2,1/(($B201:$B1100=$B1101)*($G201:$G1100=$G1101)*($X201:$X1100="VALIDE")),$C201:$C1100),""))</f>
        <v/>
      </c>
      <c r="T1101" s="36">
        <f>IF(OR($C1101="",$S1101=""),"",ROUND(($C1101-$S1101+IF($C1101&lt;$S1101,1,0))*1440,0))</f>
        <v/>
      </c>
      <c r="U1101" s="22">
        <f>IF(OR($H1101="",$T1101="",$T1101&lt;=0),"",$H1101*60/$T1101)</f>
        <v/>
      </c>
      <c r="V1101" s="37">
        <f>IF(OR($U1101="",$R1101="",$R1101=0),"",$U1101/$R1101)</f>
        <v/>
      </c>
      <c r="W1101" s="20">
        <f>IF($G1101="","",IF($X1101="CONTEXTE INCOMPLET","CONTEXTE INCOMPLET",IF($X1101="DOUBLON",StatutDoublon,IF($S1101="",StatutInitial,IF($R1101="",StatutStandardManquant,IF($V1101="","DONNEES INSUFFISANTES",IF($V1101&gt;=SeuilConforme,StatutConforme,IF($V1101&gt;=SeuilSurveiller,StatutSurveiller,StatutSousStandard))))))))</f>
        <v/>
      </c>
      <c r="X1101" s="33">
        <f>IF($G1101="","",IF(OR($D1101="",$E1101="",$F1101=""),"CONTEXTE INCOMPLET",IF(COUNTIFS($D201:$D1100,$D1101,$E201:$E1100,$E1101,$F201:$F1100,$F1101,$G201:$G1100,$G1101)&gt;0,"DOUBLON","VALIDE")))</f>
        <v/>
      </c>
    </row>
    <row r="1102" ht="15" customHeight="1">
      <c r="A1102" s="12">
        <f>IF(OR($B1102="",$G1102=""),"",TEXT($B1102,"YYYYMMDD")&amp;"-"&amp;SUBSTITUTE($E1102," ","")&amp;"-"&amp;$F1102&amp;"-"&amp;$G1102)</f>
        <v/>
      </c>
      <c r="B1102" s="15" t="n"/>
      <c r="C1102" s="16" t="n"/>
      <c r="D1102" s="10" t="n"/>
      <c r="E1102" s="9" t="n"/>
      <c r="F1102" s="9" t="n"/>
      <c r="G1102" s="13" t="n"/>
      <c r="H1102" s="21" t="n"/>
      <c r="I1102" s="21" t="n"/>
      <c r="J1102" s="17">
        <f>IF($G1102="","",IFERROR(INDEX(NomsEmployes,MATCH($G1102,MatriculesEmployes,0)),"MATRICULE INCONNU"))</f>
        <v/>
      </c>
      <c r="K1102" s="33">
        <f>IF(OR($D1102="",$F1102=""),"",IFERROR(IF(INDEX(RUNS!$L$6:$S$1005,MATCH($D1102,RUNS!$A$6:$A$1005,0),MATCH("ACTIVITÉ "&amp;$F1102,RUNS!$L$5:$S$5,0))="","",INDEX(RUNS!$L$6:$S$1005,MATCH($D1102,RUNS!$A$6:$A$1005,0),MATCH("ACTIVITÉ "&amp;$F1102,RUNS!$L$5:$S$5,0))),""))</f>
        <v/>
      </c>
      <c r="L1102" s="33">
        <f>IF($D1102="","",IFERROR(IF(INDEX(RUNS!$E$6:$E$1005,MATCH($D1102,RUNS!$A$6:$A$1005,0))="","",INDEX(RUNS!$E$6:$E$1005,MATCH($D1102,RUNS!$A$6:$A$1005,0))),""))</f>
        <v/>
      </c>
      <c r="M1102" s="33">
        <f>IF($D1102="","",IFERROR(IF(INDEX(RUNS!$F$6:$F$1005,MATCH($D1102,RUNS!$A$6:$A$1005,0))="","",INDEX(RUNS!$F$6:$F$1005,MATCH($D1102,RUNS!$A$6:$A$1005,0))),""))</f>
        <v/>
      </c>
      <c r="N1102" s="33">
        <f>IF($D1102="","",IFERROR(IF(INDEX(RUNS!$G$6:$G$1005,MATCH($D1102,RUNS!$A$6:$A$1005,0))="","",INDEX(RUNS!$G$6:$G$1005,MATCH($D1102,RUNS!$A$6:$A$1005,0))),""))</f>
        <v/>
      </c>
      <c r="O1102" s="33">
        <f>IF($D1102="","",IFERROR(IF(INDEX(RUNS!$H$6:$H$1005,MATCH($D1102,RUNS!$A$6:$A$1005,0))="","",INDEX(RUNS!$H$6:$H$1005,MATCH($D1102,RUNS!$A$6:$A$1005,0))),""))</f>
        <v/>
      </c>
      <c r="P1102" s="33">
        <f>IF($D1102="","",IFERROR(IF(INDEX(RUNS!$J$6:$J$1005,MATCH($D1102,RUNS!$A$6:$A$1005,0))="","",INDEX(RUNS!$J$6:$J$1005,MATCH($D1102,RUNS!$A$6:$A$1005,0))),""))</f>
        <v/>
      </c>
      <c r="Q1102" s="33">
        <f>IF($D1102="","",IFERROR(IF(INDEX(RUNS!$K$6:$K$1005,MATCH($D1102,RUNS!$A$6:$A$1005,0))="","",INDEX(RUNS!$K$6:$K$1005,MATCH($D1102,RUNS!$A$6:$A$1005,0))),""))</f>
        <v/>
      </c>
      <c r="R1102" s="34">
        <f>IF(OR($L1102="",$K1102=""),"",IFERROR(IF(INDEX(PARAMETRES!$H$43:$H$342,MATCH($L1102&amp;"|"&amp;$M1102&amp;"|"&amp;$N1102&amp;"|"&amp;$O1102&amp;"|"&amp;$P1102&amp;"|"&amp;$Q1102&amp;"|"&amp;$K1102,PARAMETRES!$J$43:$J$342,0))="","",INDEX(PARAMETRES!$H$43:$H$342,MATCH($L1102&amp;"|"&amp;$M1102&amp;"|"&amp;$N1102&amp;"|"&amp;$O1102&amp;"|"&amp;$P1102&amp;"|"&amp;$Q1102&amp;"|"&amp;$K1102,PARAMETRES!$J$43:$J$342,0))),""))</f>
        <v/>
      </c>
      <c r="S1102" s="35">
        <f>IF(OR($G1102="",$X1102&lt;&gt;"VALIDE"),"",IFERROR(LOOKUP(2,1/(($B202:$B1101=$B1102)*($G202:$G1101=$G1102)*($X202:$X1101="VALIDE")),$C202:$C1101),""))</f>
        <v/>
      </c>
      <c r="T1102" s="36">
        <f>IF(OR($C1102="",$S1102=""),"",ROUND(($C1102-$S1102+IF($C1102&lt;$S1102,1,0))*1440,0))</f>
        <v/>
      </c>
      <c r="U1102" s="22">
        <f>IF(OR($H1102="",$T1102="",$T1102&lt;=0),"",$H1102*60/$T1102)</f>
        <v/>
      </c>
      <c r="V1102" s="37">
        <f>IF(OR($U1102="",$R1102="",$R1102=0),"",$U1102/$R1102)</f>
        <v/>
      </c>
      <c r="W1102" s="20">
        <f>IF($G1102="","",IF($X1102="CONTEXTE INCOMPLET","CONTEXTE INCOMPLET",IF($X1102="DOUBLON",StatutDoublon,IF($S1102="",StatutInitial,IF($R1102="",StatutStandardManquant,IF($V1102="","DONNEES INSUFFISANTES",IF($V1102&gt;=SeuilConforme,StatutConforme,IF($V1102&gt;=SeuilSurveiller,StatutSurveiller,StatutSousStandard))))))))</f>
        <v/>
      </c>
      <c r="X1102" s="33">
        <f>IF($G1102="","",IF(OR($D1102="",$E1102="",$F1102=""),"CONTEXTE INCOMPLET",IF(COUNTIFS($D202:$D1101,$D1102,$E202:$E1101,$E1102,$F202:$F1101,$F1102,$G202:$G1101,$G1102)&gt;0,"DOUBLON","VALIDE")))</f>
        <v/>
      </c>
    </row>
    <row r="1103" ht="15" customHeight="1">
      <c r="A1103" s="12">
        <f>IF(OR($B1103="",$G1103=""),"",TEXT($B1103,"YYYYMMDD")&amp;"-"&amp;SUBSTITUTE($E1103," ","")&amp;"-"&amp;$F1103&amp;"-"&amp;$G1103)</f>
        <v/>
      </c>
      <c r="B1103" s="15" t="n"/>
      <c r="C1103" s="16" t="n"/>
      <c r="D1103" s="10" t="n"/>
      <c r="E1103" s="9" t="n"/>
      <c r="F1103" s="9" t="n"/>
      <c r="G1103" s="13" t="n"/>
      <c r="H1103" s="21" t="n"/>
      <c r="I1103" s="21" t="n"/>
      <c r="J1103" s="17">
        <f>IF($G1103="","",IFERROR(INDEX(NomsEmployes,MATCH($G1103,MatriculesEmployes,0)),"MATRICULE INCONNU"))</f>
        <v/>
      </c>
      <c r="K1103" s="33">
        <f>IF(OR($D1103="",$F1103=""),"",IFERROR(IF(INDEX(RUNS!$L$6:$S$1005,MATCH($D1103,RUNS!$A$6:$A$1005,0),MATCH("ACTIVITÉ "&amp;$F1103,RUNS!$L$5:$S$5,0))="","",INDEX(RUNS!$L$6:$S$1005,MATCH($D1103,RUNS!$A$6:$A$1005,0),MATCH("ACTIVITÉ "&amp;$F1103,RUNS!$L$5:$S$5,0))),""))</f>
        <v/>
      </c>
      <c r="L1103" s="33">
        <f>IF($D1103="","",IFERROR(IF(INDEX(RUNS!$E$6:$E$1005,MATCH($D1103,RUNS!$A$6:$A$1005,0))="","",INDEX(RUNS!$E$6:$E$1005,MATCH($D1103,RUNS!$A$6:$A$1005,0))),""))</f>
        <v/>
      </c>
      <c r="M1103" s="33">
        <f>IF($D1103="","",IFERROR(IF(INDEX(RUNS!$F$6:$F$1005,MATCH($D1103,RUNS!$A$6:$A$1005,0))="","",INDEX(RUNS!$F$6:$F$1005,MATCH($D1103,RUNS!$A$6:$A$1005,0))),""))</f>
        <v/>
      </c>
      <c r="N1103" s="33">
        <f>IF($D1103="","",IFERROR(IF(INDEX(RUNS!$G$6:$G$1005,MATCH($D1103,RUNS!$A$6:$A$1005,0))="","",INDEX(RUNS!$G$6:$G$1005,MATCH($D1103,RUNS!$A$6:$A$1005,0))),""))</f>
        <v/>
      </c>
      <c r="O1103" s="33">
        <f>IF($D1103="","",IFERROR(IF(INDEX(RUNS!$H$6:$H$1005,MATCH($D1103,RUNS!$A$6:$A$1005,0))="","",INDEX(RUNS!$H$6:$H$1005,MATCH($D1103,RUNS!$A$6:$A$1005,0))),""))</f>
        <v/>
      </c>
      <c r="P1103" s="33">
        <f>IF($D1103="","",IFERROR(IF(INDEX(RUNS!$J$6:$J$1005,MATCH($D1103,RUNS!$A$6:$A$1005,0))="","",INDEX(RUNS!$J$6:$J$1005,MATCH($D1103,RUNS!$A$6:$A$1005,0))),""))</f>
        <v/>
      </c>
      <c r="Q1103" s="33">
        <f>IF($D1103="","",IFERROR(IF(INDEX(RUNS!$K$6:$K$1005,MATCH($D1103,RUNS!$A$6:$A$1005,0))="","",INDEX(RUNS!$K$6:$K$1005,MATCH($D1103,RUNS!$A$6:$A$1005,0))),""))</f>
        <v/>
      </c>
      <c r="R1103" s="34">
        <f>IF(OR($L1103="",$K1103=""),"",IFERROR(IF(INDEX(PARAMETRES!$H$43:$H$342,MATCH($L1103&amp;"|"&amp;$M1103&amp;"|"&amp;$N1103&amp;"|"&amp;$O1103&amp;"|"&amp;$P1103&amp;"|"&amp;$Q1103&amp;"|"&amp;$K1103,PARAMETRES!$J$43:$J$342,0))="","",INDEX(PARAMETRES!$H$43:$H$342,MATCH($L1103&amp;"|"&amp;$M1103&amp;"|"&amp;$N1103&amp;"|"&amp;$O1103&amp;"|"&amp;$P1103&amp;"|"&amp;$Q1103&amp;"|"&amp;$K1103,PARAMETRES!$J$43:$J$342,0))),""))</f>
        <v/>
      </c>
      <c r="S1103" s="35">
        <f>IF(OR($G1103="",$X1103&lt;&gt;"VALIDE"),"",IFERROR(LOOKUP(2,1/(($B203:$B1102=$B1103)*($G203:$G1102=$G1103)*($X203:$X1102="VALIDE")),$C203:$C1102),""))</f>
        <v/>
      </c>
      <c r="T1103" s="36">
        <f>IF(OR($C1103="",$S1103=""),"",ROUND(($C1103-$S1103+IF($C1103&lt;$S1103,1,0))*1440,0))</f>
        <v/>
      </c>
      <c r="U1103" s="22">
        <f>IF(OR($H1103="",$T1103="",$T1103&lt;=0),"",$H1103*60/$T1103)</f>
        <v/>
      </c>
      <c r="V1103" s="37">
        <f>IF(OR($U1103="",$R1103="",$R1103=0),"",$U1103/$R1103)</f>
        <v/>
      </c>
      <c r="W1103" s="20">
        <f>IF($G1103="","",IF($X1103="CONTEXTE INCOMPLET","CONTEXTE INCOMPLET",IF($X1103="DOUBLON",StatutDoublon,IF($S1103="",StatutInitial,IF($R1103="",StatutStandardManquant,IF($V1103="","DONNEES INSUFFISANTES",IF($V1103&gt;=SeuilConforme,StatutConforme,IF($V1103&gt;=SeuilSurveiller,StatutSurveiller,StatutSousStandard))))))))</f>
        <v/>
      </c>
      <c r="X1103" s="33">
        <f>IF($G1103="","",IF(OR($D1103="",$E1103="",$F1103=""),"CONTEXTE INCOMPLET",IF(COUNTIFS($D203:$D1102,$D1103,$E203:$E1102,$E1103,$F203:$F1102,$F1103,$G203:$G1102,$G1103)&gt;0,"DOUBLON","VALIDE")))</f>
        <v/>
      </c>
    </row>
    <row r="1104" ht="15" customHeight="1">
      <c r="A1104" s="12">
        <f>IF(OR($B1104="",$G1104=""),"",TEXT($B1104,"YYYYMMDD")&amp;"-"&amp;SUBSTITUTE($E1104," ","")&amp;"-"&amp;$F1104&amp;"-"&amp;$G1104)</f>
        <v/>
      </c>
      <c r="B1104" s="15" t="n"/>
      <c r="C1104" s="16" t="n"/>
      <c r="D1104" s="10" t="n"/>
      <c r="E1104" s="9" t="n"/>
      <c r="F1104" s="9" t="n"/>
      <c r="G1104" s="13" t="n"/>
      <c r="H1104" s="21" t="n"/>
      <c r="I1104" s="21" t="n"/>
      <c r="J1104" s="17">
        <f>IF($G1104="","",IFERROR(INDEX(NomsEmployes,MATCH($G1104,MatriculesEmployes,0)),"MATRICULE INCONNU"))</f>
        <v/>
      </c>
      <c r="K1104" s="33">
        <f>IF(OR($D1104="",$F1104=""),"",IFERROR(IF(INDEX(RUNS!$L$6:$S$1005,MATCH($D1104,RUNS!$A$6:$A$1005,0),MATCH("ACTIVITÉ "&amp;$F1104,RUNS!$L$5:$S$5,0))="","",INDEX(RUNS!$L$6:$S$1005,MATCH($D1104,RUNS!$A$6:$A$1005,0),MATCH("ACTIVITÉ "&amp;$F1104,RUNS!$L$5:$S$5,0))),""))</f>
        <v/>
      </c>
      <c r="L1104" s="33">
        <f>IF($D1104="","",IFERROR(IF(INDEX(RUNS!$E$6:$E$1005,MATCH($D1104,RUNS!$A$6:$A$1005,0))="","",INDEX(RUNS!$E$6:$E$1005,MATCH($D1104,RUNS!$A$6:$A$1005,0))),""))</f>
        <v/>
      </c>
      <c r="M1104" s="33">
        <f>IF($D1104="","",IFERROR(IF(INDEX(RUNS!$F$6:$F$1005,MATCH($D1104,RUNS!$A$6:$A$1005,0))="","",INDEX(RUNS!$F$6:$F$1005,MATCH($D1104,RUNS!$A$6:$A$1005,0))),""))</f>
        <v/>
      </c>
      <c r="N1104" s="33">
        <f>IF($D1104="","",IFERROR(IF(INDEX(RUNS!$G$6:$G$1005,MATCH($D1104,RUNS!$A$6:$A$1005,0))="","",INDEX(RUNS!$G$6:$G$1005,MATCH($D1104,RUNS!$A$6:$A$1005,0))),""))</f>
        <v/>
      </c>
      <c r="O1104" s="33">
        <f>IF($D1104="","",IFERROR(IF(INDEX(RUNS!$H$6:$H$1005,MATCH($D1104,RUNS!$A$6:$A$1005,0))="","",INDEX(RUNS!$H$6:$H$1005,MATCH($D1104,RUNS!$A$6:$A$1005,0))),""))</f>
        <v/>
      </c>
      <c r="P1104" s="33">
        <f>IF($D1104="","",IFERROR(IF(INDEX(RUNS!$J$6:$J$1005,MATCH($D1104,RUNS!$A$6:$A$1005,0))="","",INDEX(RUNS!$J$6:$J$1005,MATCH($D1104,RUNS!$A$6:$A$1005,0))),""))</f>
        <v/>
      </c>
      <c r="Q1104" s="33">
        <f>IF($D1104="","",IFERROR(IF(INDEX(RUNS!$K$6:$K$1005,MATCH($D1104,RUNS!$A$6:$A$1005,0))="","",INDEX(RUNS!$K$6:$K$1005,MATCH($D1104,RUNS!$A$6:$A$1005,0))),""))</f>
        <v/>
      </c>
      <c r="R1104" s="34">
        <f>IF(OR($L1104="",$K1104=""),"",IFERROR(IF(INDEX(PARAMETRES!$H$43:$H$342,MATCH($L1104&amp;"|"&amp;$M1104&amp;"|"&amp;$N1104&amp;"|"&amp;$O1104&amp;"|"&amp;$P1104&amp;"|"&amp;$Q1104&amp;"|"&amp;$K1104,PARAMETRES!$J$43:$J$342,0))="","",INDEX(PARAMETRES!$H$43:$H$342,MATCH($L1104&amp;"|"&amp;$M1104&amp;"|"&amp;$N1104&amp;"|"&amp;$O1104&amp;"|"&amp;$P1104&amp;"|"&amp;$Q1104&amp;"|"&amp;$K1104,PARAMETRES!$J$43:$J$342,0))),""))</f>
        <v/>
      </c>
      <c r="S1104" s="35">
        <f>IF(OR($G1104="",$X1104&lt;&gt;"VALIDE"),"",IFERROR(LOOKUP(2,1/(($B204:$B1103=$B1104)*($G204:$G1103=$G1104)*($X204:$X1103="VALIDE")),$C204:$C1103),""))</f>
        <v/>
      </c>
      <c r="T1104" s="36">
        <f>IF(OR($C1104="",$S1104=""),"",ROUND(($C1104-$S1104+IF($C1104&lt;$S1104,1,0))*1440,0))</f>
        <v/>
      </c>
      <c r="U1104" s="22">
        <f>IF(OR($H1104="",$T1104="",$T1104&lt;=0),"",$H1104*60/$T1104)</f>
        <v/>
      </c>
      <c r="V1104" s="37">
        <f>IF(OR($U1104="",$R1104="",$R1104=0),"",$U1104/$R1104)</f>
        <v/>
      </c>
      <c r="W1104" s="20">
        <f>IF($G1104="","",IF($X1104="CONTEXTE INCOMPLET","CONTEXTE INCOMPLET",IF($X1104="DOUBLON",StatutDoublon,IF($S1104="",StatutInitial,IF($R1104="",StatutStandardManquant,IF($V1104="","DONNEES INSUFFISANTES",IF($V1104&gt;=SeuilConforme,StatutConforme,IF($V1104&gt;=SeuilSurveiller,StatutSurveiller,StatutSousStandard))))))))</f>
        <v/>
      </c>
      <c r="X1104" s="33">
        <f>IF($G1104="","",IF(OR($D1104="",$E1104="",$F1104=""),"CONTEXTE INCOMPLET",IF(COUNTIFS($D204:$D1103,$D1104,$E204:$E1103,$E1104,$F204:$F1103,$F1104,$G204:$G1103,$G1104)&gt;0,"DOUBLON","VALIDE")))</f>
        <v/>
      </c>
    </row>
    <row r="1105" ht="15" customHeight="1">
      <c r="A1105" s="12">
        <f>IF(OR($B1105="",$G1105=""),"",TEXT($B1105,"YYYYMMDD")&amp;"-"&amp;SUBSTITUTE($E1105," ","")&amp;"-"&amp;$F1105&amp;"-"&amp;$G1105)</f>
        <v/>
      </c>
      <c r="B1105" s="15" t="n"/>
      <c r="C1105" s="16" t="n"/>
      <c r="D1105" s="10" t="n"/>
      <c r="E1105" s="9" t="n"/>
      <c r="F1105" s="9" t="n"/>
      <c r="G1105" s="13" t="n"/>
      <c r="H1105" s="21" t="n"/>
      <c r="I1105" s="21" t="n"/>
      <c r="J1105" s="17">
        <f>IF($G1105="","",IFERROR(INDEX(NomsEmployes,MATCH($G1105,MatriculesEmployes,0)),"MATRICULE INCONNU"))</f>
        <v/>
      </c>
      <c r="K1105" s="33">
        <f>IF(OR($D1105="",$F1105=""),"",IFERROR(IF(INDEX(RUNS!$L$6:$S$1005,MATCH($D1105,RUNS!$A$6:$A$1005,0),MATCH("ACTIVITÉ "&amp;$F1105,RUNS!$L$5:$S$5,0))="","",INDEX(RUNS!$L$6:$S$1005,MATCH($D1105,RUNS!$A$6:$A$1005,0),MATCH("ACTIVITÉ "&amp;$F1105,RUNS!$L$5:$S$5,0))),""))</f>
        <v/>
      </c>
      <c r="L1105" s="33">
        <f>IF($D1105="","",IFERROR(IF(INDEX(RUNS!$E$6:$E$1005,MATCH($D1105,RUNS!$A$6:$A$1005,0))="","",INDEX(RUNS!$E$6:$E$1005,MATCH($D1105,RUNS!$A$6:$A$1005,0))),""))</f>
        <v/>
      </c>
      <c r="M1105" s="33">
        <f>IF($D1105="","",IFERROR(IF(INDEX(RUNS!$F$6:$F$1005,MATCH($D1105,RUNS!$A$6:$A$1005,0))="","",INDEX(RUNS!$F$6:$F$1005,MATCH($D1105,RUNS!$A$6:$A$1005,0))),""))</f>
        <v/>
      </c>
      <c r="N1105" s="33">
        <f>IF($D1105="","",IFERROR(IF(INDEX(RUNS!$G$6:$G$1005,MATCH($D1105,RUNS!$A$6:$A$1005,0))="","",INDEX(RUNS!$G$6:$G$1005,MATCH($D1105,RUNS!$A$6:$A$1005,0))),""))</f>
        <v/>
      </c>
      <c r="O1105" s="33">
        <f>IF($D1105="","",IFERROR(IF(INDEX(RUNS!$H$6:$H$1005,MATCH($D1105,RUNS!$A$6:$A$1005,0))="","",INDEX(RUNS!$H$6:$H$1005,MATCH($D1105,RUNS!$A$6:$A$1005,0))),""))</f>
        <v/>
      </c>
      <c r="P1105" s="33">
        <f>IF($D1105="","",IFERROR(IF(INDEX(RUNS!$J$6:$J$1005,MATCH($D1105,RUNS!$A$6:$A$1005,0))="","",INDEX(RUNS!$J$6:$J$1005,MATCH($D1105,RUNS!$A$6:$A$1005,0))),""))</f>
        <v/>
      </c>
      <c r="Q1105" s="33">
        <f>IF($D1105="","",IFERROR(IF(INDEX(RUNS!$K$6:$K$1005,MATCH($D1105,RUNS!$A$6:$A$1005,0))="","",INDEX(RUNS!$K$6:$K$1005,MATCH($D1105,RUNS!$A$6:$A$1005,0))),""))</f>
        <v/>
      </c>
      <c r="R1105" s="34">
        <f>IF(OR($L1105="",$K1105=""),"",IFERROR(IF(INDEX(PARAMETRES!$H$43:$H$342,MATCH($L1105&amp;"|"&amp;$M1105&amp;"|"&amp;$N1105&amp;"|"&amp;$O1105&amp;"|"&amp;$P1105&amp;"|"&amp;$Q1105&amp;"|"&amp;$K1105,PARAMETRES!$J$43:$J$342,0))="","",INDEX(PARAMETRES!$H$43:$H$342,MATCH($L1105&amp;"|"&amp;$M1105&amp;"|"&amp;$N1105&amp;"|"&amp;$O1105&amp;"|"&amp;$P1105&amp;"|"&amp;$Q1105&amp;"|"&amp;$K1105,PARAMETRES!$J$43:$J$342,0))),""))</f>
        <v/>
      </c>
      <c r="S1105" s="35">
        <f>IF(OR($G1105="",$X1105&lt;&gt;"VALIDE"),"",IFERROR(LOOKUP(2,1/(($B205:$B1104=$B1105)*($G205:$G1104=$G1105)*($X205:$X1104="VALIDE")),$C205:$C1104),""))</f>
        <v/>
      </c>
      <c r="T1105" s="36">
        <f>IF(OR($C1105="",$S1105=""),"",ROUND(($C1105-$S1105+IF($C1105&lt;$S1105,1,0))*1440,0))</f>
        <v/>
      </c>
      <c r="U1105" s="22">
        <f>IF(OR($H1105="",$T1105="",$T1105&lt;=0),"",$H1105*60/$T1105)</f>
        <v/>
      </c>
      <c r="V1105" s="37">
        <f>IF(OR($U1105="",$R1105="",$R1105=0),"",$U1105/$R1105)</f>
        <v/>
      </c>
      <c r="W1105" s="20">
        <f>IF($G1105="","",IF($X1105="CONTEXTE INCOMPLET","CONTEXTE INCOMPLET",IF($X1105="DOUBLON",StatutDoublon,IF($S1105="",StatutInitial,IF($R1105="",StatutStandardManquant,IF($V1105="","DONNEES INSUFFISANTES",IF($V1105&gt;=SeuilConforme,StatutConforme,IF($V1105&gt;=SeuilSurveiller,StatutSurveiller,StatutSousStandard))))))))</f>
        <v/>
      </c>
      <c r="X1105" s="33">
        <f>IF($G1105="","",IF(OR($D1105="",$E1105="",$F1105=""),"CONTEXTE INCOMPLET",IF(COUNTIFS($D205:$D1104,$D1105,$E205:$E1104,$E1105,$F205:$F1104,$F1105,$G205:$G1104,$G1105)&gt;0,"DOUBLON","VALIDE")))</f>
        <v/>
      </c>
    </row>
    <row r="1106" ht="15" customHeight="1">
      <c r="A1106" s="12">
        <f>IF(OR($B1106="",$G1106=""),"",TEXT($B1106,"YYYYMMDD")&amp;"-"&amp;SUBSTITUTE($E1106," ","")&amp;"-"&amp;$F1106&amp;"-"&amp;$G1106)</f>
        <v/>
      </c>
      <c r="B1106" s="15" t="n"/>
      <c r="C1106" s="16" t="n"/>
      <c r="D1106" s="10" t="n"/>
      <c r="E1106" s="9" t="n"/>
      <c r="F1106" s="9" t="n"/>
      <c r="G1106" s="13" t="n"/>
      <c r="H1106" s="21" t="n"/>
      <c r="I1106" s="21" t="n"/>
      <c r="J1106" s="17">
        <f>IF($G1106="","",IFERROR(INDEX(NomsEmployes,MATCH($G1106,MatriculesEmployes,0)),"MATRICULE INCONNU"))</f>
        <v/>
      </c>
      <c r="K1106" s="33">
        <f>IF(OR($D1106="",$F1106=""),"",IFERROR(IF(INDEX(RUNS!$L$6:$S$1005,MATCH($D1106,RUNS!$A$6:$A$1005,0),MATCH("ACTIVITÉ "&amp;$F1106,RUNS!$L$5:$S$5,0))="","",INDEX(RUNS!$L$6:$S$1005,MATCH($D1106,RUNS!$A$6:$A$1005,0),MATCH("ACTIVITÉ "&amp;$F1106,RUNS!$L$5:$S$5,0))),""))</f>
        <v/>
      </c>
      <c r="L1106" s="33">
        <f>IF($D1106="","",IFERROR(IF(INDEX(RUNS!$E$6:$E$1005,MATCH($D1106,RUNS!$A$6:$A$1005,0))="","",INDEX(RUNS!$E$6:$E$1005,MATCH($D1106,RUNS!$A$6:$A$1005,0))),""))</f>
        <v/>
      </c>
      <c r="M1106" s="33">
        <f>IF($D1106="","",IFERROR(IF(INDEX(RUNS!$F$6:$F$1005,MATCH($D1106,RUNS!$A$6:$A$1005,0))="","",INDEX(RUNS!$F$6:$F$1005,MATCH($D1106,RUNS!$A$6:$A$1005,0))),""))</f>
        <v/>
      </c>
      <c r="N1106" s="33">
        <f>IF($D1106="","",IFERROR(IF(INDEX(RUNS!$G$6:$G$1005,MATCH($D1106,RUNS!$A$6:$A$1005,0))="","",INDEX(RUNS!$G$6:$G$1005,MATCH($D1106,RUNS!$A$6:$A$1005,0))),""))</f>
        <v/>
      </c>
      <c r="O1106" s="33">
        <f>IF($D1106="","",IFERROR(IF(INDEX(RUNS!$H$6:$H$1005,MATCH($D1106,RUNS!$A$6:$A$1005,0))="","",INDEX(RUNS!$H$6:$H$1005,MATCH($D1106,RUNS!$A$6:$A$1005,0))),""))</f>
        <v/>
      </c>
      <c r="P1106" s="33">
        <f>IF($D1106="","",IFERROR(IF(INDEX(RUNS!$J$6:$J$1005,MATCH($D1106,RUNS!$A$6:$A$1005,0))="","",INDEX(RUNS!$J$6:$J$1005,MATCH($D1106,RUNS!$A$6:$A$1005,0))),""))</f>
        <v/>
      </c>
      <c r="Q1106" s="33">
        <f>IF($D1106="","",IFERROR(IF(INDEX(RUNS!$K$6:$K$1005,MATCH($D1106,RUNS!$A$6:$A$1005,0))="","",INDEX(RUNS!$K$6:$K$1005,MATCH($D1106,RUNS!$A$6:$A$1005,0))),""))</f>
        <v/>
      </c>
      <c r="R1106" s="34">
        <f>IF(OR($L1106="",$K1106=""),"",IFERROR(IF(INDEX(PARAMETRES!$H$43:$H$342,MATCH($L1106&amp;"|"&amp;$M1106&amp;"|"&amp;$N1106&amp;"|"&amp;$O1106&amp;"|"&amp;$P1106&amp;"|"&amp;$Q1106&amp;"|"&amp;$K1106,PARAMETRES!$J$43:$J$342,0))="","",INDEX(PARAMETRES!$H$43:$H$342,MATCH($L1106&amp;"|"&amp;$M1106&amp;"|"&amp;$N1106&amp;"|"&amp;$O1106&amp;"|"&amp;$P1106&amp;"|"&amp;$Q1106&amp;"|"&amp;$K1106,PARAMETRES!$J$43:$J$342,0))),""))</f>
        <v/>
      </c>
      <c r="S1106" s="35">
        <f>IF(OR($G1106="",$X1106&lt;&gt;"VALIDE"),"",IFERROR(LOOKUP(2,1/(($B206:$B1105=$B1106)*($G206:$G1105=$G1106)*($X206:$X1105="VALIDE")),$C206:$C1105),""))</f>
        <v/>
      </c>
      <c r="T1106" s="36">
        <f>IF(OR($C1106="",$S1106=""),"",ROUND(($C1106-$S1106+IF($C1106&lt;$S1106,1,0))*1440,0))</f>
        <v/>
      </c>
      <c r="U1106" s="22">
        <f>IF(OR($H1106="",$T1106="",$T1106&lt;=0),"",$H1106*60/$T1106)</f>
        <v/>
      </c>
      <c r="V1106" s="37">
        <f>IF(OR($U1106="",$R1106="",$R1106=0),"",$U1106/$R1106)</f>
        <v/>
      </c>
      <c r="W1106" s="20">
        <f>IF($G1106="","",IF($X1106="CONTEXTE INCOMPLET","CONTEXTE INCOMPLET",IF($X1106="DOUBLON",StatutDoublon,IF($S1106="",StatutInitial,IF($R1106="",StatutStandardManquant,IF($V1106="","DONNEES INSUFFISANTES",IF($V1106&gt;=SeuilConforme,StatutConforme,IF($V1106&gt;=SeuilSurveiller,StatutSurveiller,StatutSousStandard))))))))</f>
        <v/>
      </c>
      <c r="X1106" s="33">
        <f>IF($G1106="","",IF(OR($D1106="",$E1106="",$F1106=""),"CONTEXTE INCOMPLET",IF(COUNTIFS($D206:$D1105,$D1106,$E206:$E1105,$E1106,$F206:$F1105,$F1106,$G206:$G1105,$G1106)&gt;0,"DOUBLON","VALIDE")))</f>
        <v/>
      </c>
    </row>
    <row r="1107" ht="15" customHeight="1">
      <c r="A1107" s="12">
        <f>IF(OR($B1107="",$G1107=""),"",TEXT($B1107,"YYYYMMDD")&amp;"-"&amp;SUBSTITUTE($E1107," ","")&amp;"-"&amp;$F1107&amp;"-"&amp;$G1107)</f>
        <v/>
      </c>
      <c r="B1107" s="15" t="n"/>
      <c r="C1107" s="16" t="n"/>
      <c r="D1107" s="10" t="n"/>
      <c r="E1107" s="9" t="n"/>
      <c r="F1107" s="9" t="n"/>
      <c r="G1107" s="13" t="n"/>
      <c r="H1107" s="21" t="n"/>
      <c r="I1107" s="21" t="n"/>
      <c r="J1107" s="17">
        <f>IF($G1107="","",IFERROR(INDEX(NomsEmployes,MATCH($G1107,MatriculesEmployes,0)),"MATRICULE INCONNU"))</f>
        <v/>
      </c>
      <c r="K1107" s="33">
        <f>IF(OR($D1107="",$F1107=""),"",IFERROR(IF(INDEX(RUNS!$L$6:$S$1005,MATCH($D1107,RUNS!$A$6:$A$1005,0),MATCH("ACTIVITÉ "&amp;$F1107,RUNS!$L$5:$S$5,0))="","",INDEX(RUNS!$L$6:$S$1005,MATCH($D1107,RUNS!$A$6:$A$1005,0),MATCH("ACTIVITÉ "&amp;$F1107,RUNS!$L$5:$S$5,0))),""))</f>
        <v/>
      </c>
      <c r="L1107" s="33">
        <f>IF($D1107="","",IFERROR(IF(INDEX(RUNS!$E$6:$E$1005,MATCH($D1107,RUNS!$A$6:$A$1005,0))="","",INDEX(RUNS!$E$6:$E$1005,MATCH($D1107,RUNS!$A$6:$A$1005,0))),""))</f>
        <v/>
      </c>
      <c r="M1107" s="33">
        <f>IF($D1107="","",IFERROR(IF(INDEX(RUNS!$F$6:$F$1005,MATCH($D1107,RUNS!$A$6:$A$1005,0))="","",INDEX(RUNS!$F$6:$F$1005,MATCH($D1107,RUNS!$A$6:$A$1005,0))),""))</f>
        <v/>
      </c>
      <c r="N1107" s="33">
        <f>IF($D1107="","",IFERROR(IF(INDEX(RUNS!$G$6:$G$1005,MATCH($D1107,RUNS!$A$6:$A$1005,0))="","",INDEX(RUNS!$G$6:$G$1005,MATCH($D1107,RUNS!$A$6:$A$1005,0))),""))</f>
        <v/>
      </c>
      <c r="O1107" s="33">
        <f>IF($D1107="","",IFERROR(IF(INDEX(RUNS!$H$6:$H$1005,MATCH($D1107,RUNS!$A$6:$A$1005,0))="","",INDEX(RUNS!$H$6:$H$1005,MATCH($D1107,RUNS!$A$6:$A$1005,0))),""))</f>
        <v/>
      </c>
      <c r="P1107" s="33">
        <f>IF($D1107="","",IFERROR(IF(INDEX(RUNS!$J$6:$J$1005,MATCH($D1107,RUNS!$A$6:$A$1005,0))="","",INDEX(RUNS!$J$6:$J$1005,MATCH($D1107,RUNS!$A$6:$A$1005,0))),""))</f>
        <v/>
      </c>
      <c r="Q1107" s="33">
        <f>IF($D1107="","",IFERROR(IF(INDEX(RUNS!$K$6:$K$1005,MATCH($D1107,RUNS!$A$6:$A$1005,0))="","",INDEX(RUNS!$K$6:$K$1005,MATCH($D1107,RUNS!$A$6:$A$1005,0))),""))</f>
        <v/>
      </c>
      <c r="R1107" s="34">
        <f>IF(OR($L1107="",$K1107=""),"",IFERROR(IF(INDEX(PARAMETRES!$H$43:$H$342,MATCH($L1107&amp;"|"&amp;$M1107&amp;"|"&amp;$N1107&amp;"|"&amp;$O1107&amp;"|"&amp;$P1107&amp;"|"&amp;$Q1107&amp;"|"&amp;$K1107,PARAMETRES!$J$43:$J$342,0))="","",INDEX(PARAMETRES!$H$43:$H$342,MATCH($L1107&amp;"|"&amp;$M1107&amp;"|"&amp;$N1107&amp;"|"&amp;$O1107&amp;"|"&amp;$P1107&amp;"|"&amp;$Q1107&amp;"|"&amp;$K1107,PARAMETRES!$J$43:$J$342,0))),""))</f>
        <v/>
      </c>
      <c r="S1107" s="35">
        <f>IF(OR($G1107="",$X1107&lt;&gt;"VALIDE"),"",IFERROR(LOOKUP(2,1/(($B207:$B1106=$B1107)*($G207:$G1106=$G1107)*($X207:$X1106="VALIDE")),$C207:$C1106),""))</f>
        <v/>
      </c>
      <c r="T1107" s="36">
        <f>IF(OR($C1107="",$S1107=""),"",ROUND(($C1107-$S1107+IF($C1107&lt;$S1107,1,0))*1440,0))</f>
        <v/>
      </c>
      <c r="U1107" s="22">
        <f>IF(OR($H1107="",$T1107="",$T1107&lt;=0),"",$H1107*60/$T1107)</f>
        <v/>
      </c>
      <c r="V1107" s="37">
        <f>IF(OR($U1107="",$R1107="",$R1107=0),"",$U1107/$R1107)</f>
        <v/>
      </c>
      <c r="W1107" s="20">
        <f>IF($G1107="","",IF($X1107="CONTEXTE INCOMPLET","CONTEXTE INCOMPLET",IF($X1107="DOUBLON",StatutDoublon,IF($S1107="",StatutInitial,IF($R1107="",StatutStandardManquant,IF($V1107="","DONNEES INSUFFISANTES",IF($V1107&gt;=SeuilConforme,StatutConforme,IF($V1107&gt;=SeuilSurveiller,StatutSurveiller,StatutSousStandard))))))))</f>
        <v/>
      </c>
      <c r="X1107" s="33">
        <f>IF($G1107="","",IF(OR($D1107="",$E1107="",$F1107=""),"CONTEXTE INCOMPLET",IF(COUNTIFS($D207:$D1106,$D1107,$E207:$E1106,$E1107,$F207:$F1106,$F1107,$G207:$G1106,$G1107)&gt;0,"DOUBLON","VALIDE")))</f>
        <v/>
      </c>
    </row>
    <row r="1108" ht="15" customHeight="1">
      <c r="A1108" s="12">
        <f>IF(OR($B1108="",$G1108=""),"",TEXT($B1108,"YYYYMMDD")&amp;"-"&amp;SUBSTITUTE($E1108," ","")&amp;"-"&amp;$F1108&amp;"-"&amp;$G1108)</f>
        <v/>
      </c>
      <c r="B1108" s="15" t="n"/>
      <c r="C1108" s="16" t="n"/>
      <c r="D1108" s="10" t="n"/>
      <c r="E1108" s="9" t="n"/>
      <c r="F1108" s="9" t="n"/>
      <c r="G1108" s="13" t="n"/>
      <c r="H1108" s="21" t="n"/>
      <c r="I1108" s="21" t="n"/>
      <c r="J1108" s="17">
        <f>IF($G1108="","",IFERROR(INDEX(NomsEmployes,MATCH($G1108,MatriculesEmployes,0)),"MATRICULE INCONNU"))</f>
        <v/>
      </c>
      <c r="K1108" s="33">
        <f>IF(OR($D1108="",$F1108=""),"",IFERROR(IF(INDEX(RUNS!$L$6:$S$1005,MATCH($D1108,RUNS!$A$6:$A$1005,0),MATCH("ACTIVITÉ "&amp;$F1108,RUNS!$L$5:$S$5,0))="","",INDEX(RUNS!$L$6:$S$1005,MATCH($D1108,RUNS!$A$6:$A$1005,0),MATCH("ACTIVITÉ "&amp;$F1108,RUNS!$L$5:$S$5,0))),""))</f>
        <v/>
      </c>
      <c r="L1108" s="33">
        <f>IF($D1108="","",IFERROR(IF(INDEX(RUNS!$E$6:$E$1005,MATCH($D1108,RUNS!$A$6:$A$1005,0))="","",INDEX(RUNS!$E$6:$E$1005,MATCH($D1108,RUNS!$A$6:$A$1005,0))),""))</f>
        <v/>
      </c>
      <c r="M1108" s="33">
        <f>IF($D1108="","",IFERROR(IF(INDEX(RUNS!$F$6:$F$1005,MATCH($D1108,RUNS!$A$6:$A$1005,0))="","",INDEX(RUNS!$F$6:$F$1005,MATCH($D1108,RUNS!$A$6:$A$1005,0))),""))</f>
        <v/>
      </c>
      <c r="N1108" s="33">
        <f>IF($D1108="","",IFERROR(IF(INDEX(RUNS!$G$6:$G$1005,MATCH($D1108,RUNS!$A$6:$A$1005,0))="","",INDEX(RUNS!$G$6:$G$1005,MATCH($D1108,RUNS!$A$6:$A$1005,0))),""))</f>
        <v/>
      </c>
      <c r="O1108" s="33">
        <f>IF($D1108="","",IFERROR(IF(INDEX(RUNS!$H$6:$H$1005,MATCH($D1108,RUNS!$A$6:$A$1005,0))="","",INDEX(RUNS!$H$6:$H$1005,MATCH($D1108,RUNS!$A$6:$A$1005,0))),""))</f>
        <v/>
      </c>
      <c r="P1108" s="33">
        <f>IF($D1108="","",IFERROR(IF(INDEX(RUNS!$J$6:$J$1005,MATCH($D1108,RUNS!$A$6:$A$1005,0))="","",INDEX(RUNS!$J$6:$J$1005,MATCH($D1108,RUNS!$A$6:$A$1005,0))),""))</f>
        <v/>
      </c>
      <c r="Q1108" s="33">
        <f>IF($D1108="","",IFERROR(IF(INDEX(RUNS!$K$6:$K$1005,MATCH($D1108,RUNS!$A$6:$A$1005,0))="","",INDEX(RUNS!$K$6:$K$1005,MATCH($D1108,RUNS!$A$6:$A$1005,0))),""))</f>
        <v/>
      </c>
      <c r="R1108" s="34">
        <f>IF(OR($L1108="",$K1108=""),"",IFERROR(IF(INDEX(PARAMETRES!$H$43:$H$342,MATCH($L1108&amp;"|"&amp;$M1108&amp;"|"&amp;$N1108&amp;"|"&amp;$O1108&amp;"|"&amp;$P1108&amp;"|"&amp;$Q1108&amp;"|"&amp;$K1108,PARAMETRES!$J$43:$J$342,0))="","",INDEX(PARAMETRES!$H$43:$H$342,MATCH($L1108&amp;"|"&amp;$M1108&amp;"|"&amp;$N1108&amp;"|"&amp;$O1108&amp;"|"&amp;$P1108&amp;"|"&amp;$Q1108&amp;"|"&amp;$K1108,PARAMETRES!$J$43:$J$342,0))),""))</f>
        <v/>
      </c>
      <c r="S1108" s="35">
        <f>IF(OR($G1108="",$X1108&lt;&gt;"VALIDE"),"",IFERROR(LOOKUP(2,1/(($B208:$B1107=$B1108)*($G208:$G1107=$G1108)*($X208:$X1107="VALIDE")),$C208:$C1107),""))</f>
        <v/>
      </c>
      <c r="T1108" s="36">
        <f>IF(OR($C1108="",$S1108=""),"",ROUND(($C1108-$S1108+IF($C1108&lt;$S1108,1,0))*1440,0))</f>
        <v/>
      </c>
      <c r="U1108" s="22">
        <f>IF(OR($H1108="",$T1108="",$T1108&lt;=0),"",$H1108*60/$T1108)</f>
        <v/>
      </c>
      <c r="V1108" s="37">
        <f>IF(OR($U1108="",$R1108="",$R1108=0),"",$U1108/$R1108)</f>
        <v/>
      </c>
      <c r="W1108" s="20">
        <f>IF($G1108="","",IF($X1108="CONTEXTE INCOMPLET","CONTEXTE INCOMPLET",IF($X1108="DOUBLON",StatutDoublon,IF($S1108="",StatutInitial,IF($R1108="",StatutStandardManquant,IF($V1108="","DONNEES INSUFFISANTES",IF($V1108&gt;=SeuilConforme,StatutConforme,IF($V1108&gt;=SeuilSurveiller,StatutSurveiller,StatutSousStandard))))))))</f>
        <v/>
      </c>
      <c r="X1108" s="33">
        <f>IF($G1108="","",IF(OR($D1108="",$E1108="",$F1108=""),"CONTEXTE INCOMPLET",IF(COUNTIFS($D208:$D1107,$D1108,$E208:$E1107,$E1108,$F208:$F1107,$F1108,$G208:$G1107,$G1108)&gt;0,"DOUBLON","VALIDE")))</f>
        <v/>
      </c>
    </row>
    <row r="1109" ht="15" customHeight="1">
      <c r="A1109" s="12">
        <f>IF(OR($B1109="",$G1109=""),"",TEXT($B1109,"YYYYMMDD")&amp;"-"&amp;SUBSTITUTE($E1109," ","")&amp;"-"&amp;$F1109&amp;"-"&amp;$G1109)</f>
        <v/>
      </c>
      <c r="B1109" s="15" t="n"/>
      <c r="C1109" s="16" t="n"/>
      <c r="D1109" s="10" t="n"/>
      <c r="E1109" s="9" t="n"/>
      <c r="F1109" s="9" t="n"/>
      <c r="G1109" s="13" t="n"/>
      <c r="H1109" s="21" t="n"/>
      <c r="I1109" s="21" t="n"/>
      <c r="J1109" s="17">
        <f>IF($G1109="","",IFERROR(INDEX(NomsEmployes,MATCH($G1109,MatriculesEmployes,0)),"MATRICULE INCONNU"))</f>
        <v/>
      </c>
      <c r="K1109" s="33">
        <f>IF(OR($D1109="",$F1109=""),"",IFERROR(IF(INDEX(RUNS!$L$6:$S$1005,MATCH($D1109,RUNS!$A$6:$A$1005,0),MATCH("ACTIVITÉ "&amp;$F1109,RUNS!$L$5:$S$5,0))="","",INDEX(RUNS!$L$6:$S$1005,MATCH($D1109,RUNS!$A$6:$A$1005,0),MATCH("ACTIVITÉ "&amp;$F1109,RUNS!$L$5:$S$5,0))),""))</f>
        <v/>
      </c>
      <c r="L1109" s="33">
        <f>IF($D1109="","",IFERROR(IF(INDEX(RUNS!$E$6:$E$1005,MATCH($D1109,RUNS!$A$6:$A$1005,0))="","",INDEX(RUNS!$E$6:$E$1005,MATCH($D1109,RUNS!$A$6:$A$1005,0))),""))</f>
        <v/>
      </c>
      <c r="M1109" s="33">
        <f>IF($D1109="","",IFERROR(IF(INDEX(RUNS!$F$6:$F$1005,MATCH($D1109,RUNS!$A$6:$A$1005,0))="","",INDEX(RUNS!$F$6:$F$1005,MATCH($D1109,RUNS!$A$6:$A$1005,0))),""))</f>
        <v/>
      </c>
      <c r="N1109" s="33">
        <f>IF($D1109="","",IFERROR(IF(INDEX(RUNS!$G$6:$G$1005,MATCH($D1109,RUNS!$A$6:$A$1005,0))="","",INDEX(RUNS!$G$6:$G$1005,MATCH($D1109,RUNS!$A$6:$A$1005,0))),""))</f>
        <v/>
      </c>
      <c r="O1109" s="33">
        <f>IF($D1109="","",IFERROR(IF(INDEX(RUNS!$H$6:$H$1005,MATCH($D1109,RUNS!$A$6:$A$1005,0))="","",INDEX(RUNS!$H$6:$H$1005,MATCH($D1109,RUNS!$A$6:$A$1005,0))),""))</f>
        <v/>
      </c>
      <c r="P1109" s="33">
        <f>IF($D1109="","",IFERROR(IF(INDEX(RUNS!$J$6:$J$1005,MATCH($D1109,RUNS!$A$6:$A$1005,0))="","",INDEX(RUNS!$J$6:$J$1005,MATCH($D1109,RUNS!$A$6:$A$1005,0))),""))</f>
        <v/>
      </c>
      <c r="Q1109" s="33">
        <f>IF($D1109="","",IFERROR(IF(INDEX(RUNS!$K$6:$K$1005,MATCH($D1109,RUNS!$A$6:$A$1005,0))="","",INDEX(RUNS!$K$6:$K$1005,MATCH($D1109,RUNS!$A$6:$A$1005,0))),""))</f>
        <v/>
      </c>
      <c r="R1109" s="34">
        <f>IF(OR($L1109="",$K1109=""),"",IFERROR(IF(INDEX(PARAMETRES!$H$43:$H$342,MATCH($L1109&amp;"|"&amp;$M1109&amp;"|"&amp;$N1109&amp;"|"&amp;$O1109&amp;"|"&amp;$P1109&amp;"|"&amp;$Q1109&amp;"|"&amp;$K1109,PARAMETRES!$J$43:$J$342,0))="","",INDEX(PARAMETRES!$H$43:$H$342,MATCH($L1109&amp;"|"&amp;$M1109&amp;"|"&amp;$N1109&amp;"|"&amp;$O1109&amp;"|"&amp;$P1109&amp;"|"&amp;$Q1109&amp;"|"&amp;$K1109,PARAMETRES!$J$43:$J$342,0))),""))</f>
        <v/>
      </c>
      <c r="S1109" s="35">
        <f>IF(OR($G1109="",$X1109&lt;&gt;"VALIDE"),"",IFERROR(LOOKUP(2,1/(($B209:$B1108=$B1109)*($G209:$G1108=$G1109)*($X209:$X1108="VALIDE")),$C209:$C1108),""))</f>
        <v/>
      </c>
      <c r="T1109" s="36">
        <f>IF(OR($C1109="",$S1109=""),"",ROUND(($C1109-$S1109+IF($C1109&lt;$S1109,1,0))*1440,0))</f>
        <v/>
      </c>
      <c r="U1109" s="22">
        <f>IF(OR($H1109="",$T1109="",$T1109&lt;=0),"",$H1109*60/$T1109)</f>
        <v/>
      </c>
      <c r="V1109" s="37">
        <f>IF(OR($U1109="",$R1109="",$R1109=0),"",$U1109/$R1109)</f>
        <v/>
      </c>
      <c r="W1109" s="20">
        <f>IF($G1109="","",IF($X1109="CONTEXTE INCOMPLET","CONTEXTE INCOMPLET",IF($X1109="DOUBLON",StatutDoublon,IF($S1109="",StatutInitial,IF($R1109="",StatutStandardManquant,IF($V1109="","DONNEES INSUFFISANTES",IF($V1109&gt;=SeuilConforme,StatutConforme,IF($V1109&gt;=SeuilSurveiller,StatutSurveiller,StatutSousStandard))))))))</f>
        <v/>
      </c>
      <c r="X1109" s="33">
        <f>IF($G1109="","",IF(OR($D1109="",$E1109="",$F1109=""),"CONTEXTE INCOMPLET",IF(COUNTIFS($D209:$D1108,$D1109,$E209:$E1108,$E1109,$F209:$F1108,$F1109,$G209:$G1108,$G1109)&gt;0,"DOUBLON","VALIDE")))</f>
        <v/>
      </c>
    </row>
    <row r="1110" ht="15" customHeight="1">
      <c r="A1110" s="12">
        <f>IF(OR($B1110="",$G1110=""),"",TEXT($B1110,"YYYYMMDD")&amp;"-"&amp;SUBSTITUTE($E1110," ","")&amp;"-"&amp;$F1110&amp;"-"&amp;$G1110)</f>
        <v/>
      </c>
      <c r="B1110" s="15" t="n"/>
      <c r="C1110" s="16" t="n"/>
      <c r="D1110" s="10" t="n"/>
      <c r="E1110" s="9" t="n"/>
      <c r="F1110" s="9" t="n"/>
      <c r="G1110" s="13" t="n"/>
      <c r="H1110" s="21" t="n"/>
      <c r="I1110" s="21" t="n"/>
      <c r="J1110" s="17">
        <f>IF($G1110="","",IFERROR(INDEX(NomsEmployes,MATCH($G1110,MatriculesEmployes,0)),"MATRICULE INCONNU"))</f>
        <v/>
      </c>
      <c r="K1110" s="33">
        <f>IF(OR($D1110="",$F1110=""),"",IFERROR(IF(INDEX(RUNS!$L$6:$S$1005,MATCH($D1110,RUNS!$A$6:$A$1005,0),MATCH("ACTIVITÉ "&amp;$F1110,RUNS!$L$5:$S$5,0))="","",INDEX(RUNS!$L$6:$S$1005,MATCH($D1110,RUNS!$A$6:$A$1005,0),MATCH("ACTIVITÉ "&amp;$F1110,RUNS!$L$5:$S$5,0))),""))</f>
        <v/>
      </c>
      <c r="L1110" s="33">
        <f>IF($D1110="","",IFERROR(IF(INDEX(RUNS!$E$6:$E$1005,MATCH($D1110,RUNS!$A$6:$A$1005,0))="","",INDEX(RUNS!$E$6:$E$1005,MATCH($D1110,RUNS!$A$6:$A$1005,0))),""))</f>
        <v/>
      </c>
      <c r="M1110" s="33">
        <f>IF($D1110="","",IFERROR(IF(INDEX(RUNS!$F$6:$F$1005,MATCH($D1110,RUNS!$A$6:$A$1005,0))="","",INDEX(RUNS!$F$6:$F$1005,MATCH($D1110,RUNS!$A$6:$A$1005,0))),""))</f>
        <v/>
      </c>
      <c r="N1110" s="33">
        <f>IF($D1110="","",IFERROR(IF(INDEX(RUNS!$G$6:$G$1005,MATCH($D1110,RUNS!$A$6:$A$1005,0))="","",INDEX(RUNS!$G$6:$G$1005,MATCH($D1110,RUNS!$A$6:$A$1005,0))),""))</f>
        <v/>
      </c>
      <c r="O1110" s="33">
        <f>IF($D1110="","",IFERROR(IF(INDEX(RUNS!$H$6:$H$1005,MATCH($D1110,RUNS!$A$6:$A$1005,0))="","",INDEX(RUNS!$H$6:$H$1005,MATCH($D1110,RUNS!$A$6:$A$1005,0))),""))</f>
        <v/>
      </c>
      <c r="P1110" s="33">
        <f>IF($D1110="","",IFERROR(IF(INDEX(RUNS!$J$6:$J$1005,MATCH($D1110,RUNS!$A$6:$A$1005,0))="","",INDEX(RUNS!$J$6:$J$1005,MATCH($D1110,RUNS!$A$6:$A$1005,0))),""))</f>
        <v/>
      </c>
      <c r="Q1110" s="33">
        <f>IF($D1110="","",IFERROR(IF(INDEX(RUNS!$K$6:$K$1005,MATCH($D1110,RUNS!$A$6:$A$1005,0))="","",INDEX(RUNS!$K$6:$K$1005,MATCH($D1110,RUNS!$A$6:$A$1005,0))),""))</f>
        <v/>
      </c>
      <c r="R1110" s="34">
        <f>IF(OR($L1110="",$K1110=""),"",IFERROR(IF(INDEX(PARAMETRES!$H$43:$H$342,MATCH($L1110&amp;"|"&amp;$M1110&amp;"|"&amp;$N1110&amp;"|"&amp;$O1110&amp;"|"&amp;$P1110&amp;"|"&amp;$Q1110&amp;"|"&amp;$K1110,PARAMETRES!$J$43:$J$342,0))="","",INDEX(PARAMETRES!$H$43:$H$342,MATCH($L1110&amp;"|"&amp;$M1110&amp;"|"&amp;$N1110&amp;"|"&amp;$O1110&amp;"|"&amp;$P1110&amp;"|"&amp;$Q1110&amp;"|"&amp;$K1110,PARAMETRES!$J$43:$J$342,0))),""))</f>
        <v/>
      </c>
      <c r="S1110" s="35">
        <f>IF(OR($G1110="",$X1110&lt;&gt;"VALIDE"),"",IFERROR(LOOKUP(2,1/(($B210:$B1109=$B1110)*($G210:$G1109=$G1110)*($X210:$X1109="VALIDE")),$C210:$C1109),""))</f>
        <v/>
      </c>
      <c r="T1110" s="36">
        <f>IF(OR($C1110="",$S1110=""),"",ROUND(($C1110-$S1110+IF($C1110&lt;$S1110,1,0))*1440,0))</f>
        <v/>
      </c>
      <c r="U1110" s="22">
        <f>IF(OR($H1110="",$T1110="",$T1110&lt;=0),"",$H1110*60/$T1110)</f>
        <v/>
      </c>
      <c r="V1110" s="37">
        <f>IF(OR($U1110="",$R1110="",$R1110=0),"",$U1110/$R1110)</f>
        <v/>
      </c>
      <c r="W1110" s="20">
        <f>IF($G1110="","",IF($X1110="CONTEXTE INCOMPLET","CONTEXTE INCOMPLET",IF($X1110="DOUBLON",StatutDoublon,IF($S1110="",StatutInitial,IF($R1110="",StatutStandardManquant,IF($V1110="","DONNEES INSUFFISANTES",IF($V1110&gt;=SeuilConforme,StatutConforme,IF($V1110&gt;=SeuilSurveiller,StatutSurveiller,StatutSousStandard))))))))</f>
        <v/>
      </c>
      <c r="X1110" s="33">
        <f>IF($G1110="","",IF(OR($D1110="",$E1110="",$F1110=""),"CONTEXTE INCOMPLET",IF(COUNTIFS($D210:$D1109,$D1110,$E210:$E1109,$E1110,$F210:$F1109,$F1110,$G210:$G1109,$G1110)&gt;0,"DOUBLON","VALIDE")))</f>
        <v/>
      </c>
    </row>
    <row r="1111" ht="15" customHeight="1">
      <c r="A1111" s="12">
        <f>IF(OR($B1111="",$G1111=""),"",TEXT($B1111,"YYYYMMDD")&amp;"-"&amp;SUBSTITUTE($E1111," ","")&amp;"-"&amp;$F1111&amp;"-"&amp;$G1111)</f>
        <v/>
      </c>
      <c r="B1111" s="15" t="n"/>
      <c r="C1111" s="16" t="n"/>
      <c r="D1111" s="10" t="n"/>
      <c r="E1111" s="9" t="n"/>
      <c r="F1111" s="9" t="n"/>
      <c r="G1111" s="13" t="n"/>
      <c r="H1111" s="21" t="n"/>
      <c r="I1111" s="21" t="n"/>
      <c r="J1111" s="17">
        <f>IF($G1111="","",IFERROR(INDEX(NomsEmployes,MATCH($G1111,MatriculesEmployes,0)),"MATRICULE INCONNU"))</f>
        <v/>
      </c>
      <c r="K1111" s="33">
        <f>IF(OR($D1111="",$F1111=""),"",IFERROR(IF(INDEX(RUNS!$L$6:$S$1005,MATCH($D1111,RUNS!$A$6:$A$1005,0),MATCH("ACTIVITÉ "&amp;$F1111,RUNS!$L$5:$S$5,0))="","",INDEX(RUNS!$L$6:$S$1005,MATCH($D1111,RUNS!$A$6:$A$1005,0),MATCH("ACTIVITÉ "&amp;$F1111,RUNS!$L$5:$S$5,0))),""))</f>
        <v/>
      </c>
      <c r="L1111" s="33">
        <f>IF($D1111="","",IFERROR(IF(INDEX(RUNS!$E$6:$E$1005,MATCH($D1111,RUNS!$A$6:$A$1005,0))="","",INDEX(RUNS!$E$6:$E$1005,MATCH($D1111,RUNS!$A$6:$A$1005,0))),""))</f>
        <v/>
      </c>
      <c r="M1111" s="33">
        <f>IF($D1111="","",IFERROR(IF(INDEX(RUNS!$F$6:$F$1005,MATCH($D1111,RUNS!$A$6:$A$1005,0))="","",INDEX(RUNS!$F$6:$F$1005,MATCH($D1111,RUNS!$A$6:$A$1005,0))),""))</f>
        <v/>
      </c>
      <c r="N1111" s="33">
        <f>IF($D1111="","",IFERROR(IF(INDEX(RUNS!$G$6:$G$1005,MATCH($D1111,RUNS!$A$6:$A$1005,0))="","",INDEX(RUNS!$G$6:$G$1005,MATCH($D1111,RUNS!$A$6:$A$1005,0))),""))</f>
        <v/>
      </c>
      <c r="O1111" s="33">
        <f>IF($D1111="","",IFERROR(IF(INDEX(RUNS!$H$6:$H$1005,MATCH($D1111,RUNS!$A$6:$A$1005,0))="","",INDEX(RUNS!$H$6:$H$1005,MATCH($D1111,RUNS!$A$6:$A$1005,0))),""))</f>
        <v/>
      </c>
      <c r="P1111" s="33">
        <f>IF($D1111="","",IFERROR(IF(INDEX(RUNS!$J$6:$J$1005,MATCH($D1111,RUNS!$A$6:$A$1005,0))="","",INDEX(RUNS!$J$6:$J$1005,MATCH($D1111,RUNS!$A$6:$A$1005,0))),""))</f>
        <v/>
      </c>
      <c r="Q1111" s="33">
        <f>IF($D1111="","",IFERROR(IF(INDEX(RUNS!$K$6:$K$1005,MATCH($D1111,RUNS!$A$6:$A$1005,0))="","",INDEX(RUNS!$K$6:$K$1005,MATCH($D1111,RUNS!$A$6:$A$1005,0))),""))</f>
        <v/>
      </c>
      <c r="R1111" s="34">
        <f>IF(OR($L1111="",$K1111=""),"",IFERROR(IF(INDEX(PARAMETRES!$H$43:$H$342,MATCH($L1111&amp;"|"&amp;$M1111&amp;"|"&amp;$N1111&amp;"|"&amp;$O1111&amp;"|"&amp;$P1111&amp;"|"&amp;$Q1111&amp;"|"&amp;$K1111,PARAMETRES!$J$43:$J$342,0))="","",INDEX(PARAMETRES!$H$43:$H$342,MATCH($L1111&amp;"|"&amp;$M1111&amp;"|"&amp;$N1111&amp;"|"&amp;$O1111&amp;"|"&amp;$P1111&amp;"|"&amp;$Q1111&amp;"|"&amp;$K1111,PARAMETRES!$J$43:$J$342,0))),""))</f>
        <v/>
      </c>
      <c r="S1111" s="35">
        <f>IF(OR($G1111="",$X1111&lt;&gt;"VALIDE"),"",IFERROR(LOOKUP(2,1/(($B211:$B1110=$B1111)*($G211:$G1110=$G1111)*($X211:$X1110="VALIDE")),$C211:$C1110),""))</f>
        <v/>
      </c>
      <c r="T1111" s="36">
        <f>IF(OR($C1111="",$S1111=""),"",ROUND(($C1111-$S1111+IF($C1111&lt;$S1111,1,0))*1440,0))</f>
        <v/>
      </c>
      <c r="U1111" s="22">
        <f>IF(OR($H1111="",$T1111="",$T1111&lt;=0),"",$H1111*60/$T1111)</f>
        <v/>
      </c>
      <c r="V1111" s="37">
        <f>IF(OR($U1111="",$R1111="",$R1111=0),"",$U1111/$R1111)</f>
        <v/>
      </c>
      <c r="W1111" s="20">
        <f>IF($G1111="","",IF($X1111="CONTEXTE INCOMPLET","CONTEXTE INCOMPLET",IF($X1111="DOUBLON",StatutDoublon,IF($S1111="",StatutInitial,IF($R1111="",StatutStandardManquant,IF($V1111="","DONNEES INSUFFISANTES",IF($V1111&gt;=SeuilConforme,StatutConforme,IF($V1111&gt;=SeuilSurveiller,StatutSurveiller,StatutSousStandard))))))))</f>
        <v/>
      </c>
      <c r="X1111" s="33">
        <f>IF($G1111="","",IF(OR($D1111="",$E1111="",$F1111=""),"CONTEXTE INCOMPLET",IF(COUNTIFS($D211:$D1110,$D1111,$E211:$E1110,$E1111,$F211:$F1110,$F1111,$G211:$G1110,$G1111)&gt;0,"DOUBLON","VALIDE")))</f>
        <v/>
      </c>
    </row>
    <row r="1112" ht="15" customHeight="1">
      <c r="A1112" s="12">
        <f>IF(OR($B1112="",$G1112=""),"",TEXT($B1112,"YYYYMMDD")&amp;"-"&amp;SUBSTITUTE($E1112," ","")&amp;"-"&amp;$F1112&amp;"-"&amp;$G1112)</f>
        <v/>
      </c>
      <c r="B1112" s="15" t="n"/>
      <c r="C1112" s="16" t="n"/>
      <c r="D1112" s="10" t="n"/>
      <c r="E1112" s="9" t="n"/>
      <c r="F1112" s="9" t="n"/>
      <c r="G1112" s="13" t="n"/>
      <c r="H1112" s="21" t="n"/>
      <c r="I1112" s="21" t="n"/>
      <c r="J1112" s="17">
        <f>IF($G1112="","",IFERROR(INDEX(NomsEmployes,MATCH($G1112,MatriculesEmployes,0)),"MATRICULE INCONNU"))</f>
        <v/>
      </c>
      <c r="K1112" s="33">
        <f>IF(OR($D1112="",$F1112=""),"",IFERROR(IF(INDEX(RUNS!$L$6:$S$1005,MATCH($D1112,RUNS!$A$6:$A$1005,0),MATCH("ACTIVITÉ "&amp;$F1112,RUNS!$L$5:$S$5,0))="","",INDEX(RUNS!$L$6:$S$1005,MATCH($D1112,RUNS!$A$6:$A$1005,0),MATCH("ACTIVITÉ "&amp;$F1112,RUNS!$L$5:$S$5,0))),""))</f>
        <v/>
      </c>
      <c r="L1112" s="33">
        <f>IF($D1112="","",IFERROR(IF(INDEX(RUNS!$E$6:$E$1005,MATCH($D1112,RUNS!$A$6:$A$1005,0))="","",INDEX(RUNS!$E$6:$E$1005,MATCH($D1112,RUNS!$A$6:$A$1005,0))),""))</f>
        <v/>
      </c>
      <c r="M1112" s="33">
        <f>IF($D1112="","",IFERROR(IF(INDEX(RUNS!$F$6:$F$1005,MATCH($D1112,RUNS!$A$6:$A$1005,0))="","",INDEX(RUNS!$F$6:$F$1005,MATCH($D1112,RUNS!$A$6:$A$1005,0))),""))</f>
        <v/>
      </c>
      <c r="N1112" s="33">
        <f>IF($D1112="","",IFERROR(IF(INDEX(RUNS!$G$6:$G$1005,MATCH($D1112,RUNS!$A$6:$A$1005,0))="","",INDEX(RUNS!$G$6:$G$1005,MATCH($D1112,RUNS!$A$6:$A$1005,0))),""))</f>
        <v/>
      </c>
      <c r="O1112" s="33">
        <f>IF($D1112="","",IFERROR(IF(INDEX(RUNS!$H$6:$H$1005,MATCH($D1112,RUNS!$A$6:$A$1005,0))="","",INDEX(RUNS!$H$6:$H$1005,MATCH($D1112,RUNS!$A$6:$A$1005,0))),""))</f>
        <v/>
      </c>
      <c r="P1112" s="33">
        <f>IF($D1112="","",IFERROR(IF(INDEX(RUNS!$J$6:$J$1005,MATCH($D1112,RUNS!$A$6:$A$1005,0))="","",INDEX(RUNS!$J$6:$J$1005,MATCH($D1112,RUNS!$A$6:$A$1005,0))),""))</f>
        <v/>
      </c>
      <c r="Q1112" s="33">
        <f>IF($D1112="","",IFERROR(IF(INDEX(RUNS!$K$6:$K$1005,MATCH($D1112,RUNS!$A$6:$A$1005,0))="","",INDEX(RUNS!$K$6:$K$1005,MATCH($D1112,RUNS!$A$6:$A$1005,0))),""))</f>
        <v/>
      </c>
      <c r="R1112" s="34">
        <f>IF(OR($L1112="",$K1112=""),"",IFERROR(IF(INDEX(PARAMETRES!$H$43:$H$342,MATCH($L1112&amp;"|"&amp;$M1112&amp;"|"&amp;$N1112&amp;"|"&amp;$O1112&amp;"|"&amp;$P1112&amp;"|"&amp;$Q1112&amp;"|"&amp;$K1112,PARAMETRES!$J$43:$J$342,0))="","",INDEX(PARAMETRES!$H$43:$H$342,MATCH($L1112&amp;"|"&amp;$M1112&amp;"|"&amp;$N1112&amp;"|"&amp;$O1112&amp;"|"&amp;$P1112&amp;"|"&amp;$Q1112&amp;"|"&amp;$K1112,PARAMETRES!$J$43:$J$342,0))),""))</f>
        <v/>
      </c>
      <c r="S1112" s="35">
        <f>IF(OR($G1112="",$X1112&lt;&gt;"VALIDE"),"",IFERROR(LOOKUP(2,1/(($B212:$B1111=$B1112)*($G212:$G1111=$G1112)*($X212:$X1111="VALIDE")),$C212:$C1111),""))</f>
        <v/>
      </c>
      <c r="T1112" s="36">
        <f>IF(OR($C1112="",$S1112=""),"",ROUND(($C1112-$S1112+IF($C1112&lt;$S1112,1,0))*1440,0))</f>
        <v/>
      </c>
      <c r="U1112" s="22">
        <f>IF(OR($H1112="",$T1112="",$T1112&lt;=0),"",$H1112*60/$T1112)</f>
        <v/>
      </c>
      <c r="V1112" s="37">
        <f>IF(OR($U1112="",$R1112="",$R1112=0),"",$U1112/$R1112)</f>
        <v/>
      </c>
      <c r="W1112" s="20">
        <f>IF($G1112="","",IF($X1112="CONTEXTE INCOMPLET","CONTEXTE INCOMPLET",IF($X1112="DOUBLON",StatutDoublon,IF($S1112="",StatutInitial,IF($R1112="",StatutStandardManquant,IF($V1112="","DONNEES INSUFFISANTES",IF($V1112&gt;=SeuilConforme,StatutConforme,IF($V1112&gt;=SeuilSurveiller,StatutSurveiller,StatutSousStandard))))))))</f>
        <v/>
      </c>
      <c r="X1112" s="33">
        <f>IF($G1112="","",IF(OR($D1112="",$E1112="",$F1112=""),"CONTEXTE INCOMPLET",IF(COUNTIFS($D212:$D1111,$D1112,$E212:$E1111,$E1112,$F212:$F1111,$F1112,$G212:$G1111,$G1112)&gt;0,"DOUBLON","VALIDE")))</f>
        <v/>
      </c>
    </row>
    <row r="1113" ht="15" customHeight="1">
      <c r="A1113" s="12">
        <f>IF(OR($B1113="",$G1113=""),"",TEXT($B1113,"YYYYMMDD")&amp;"-"&amp;SUBSTITUTE($E1113," ","")&amp;"-"&amp;$F1113&amp;"-"&amp;$G1113)</f>
        <v/>
      </c>
      <c r="B1113" s="15" t="n"/>
      <c r="C1113" s="16" t="n"/>
      <c r="D1113" s="10" t="n"/>
      <c r="E1113" s="9" t="n"/>
      <c r="F1113" s="9" t="n"/>
      <c r="G1113" s="13" t="n"/>
      <c r="H1113" s="21" t="n"/>
      <c r="I1113" s="21" t="n"/>
      <c r="J1113" s="17">
        <f>IF($G1113="","",IFERROR(INDEX(NomsEmployes,MATCH($G1113,MatriculesEmployes,0)),"MATRICULE INCONNU"))</f>
        <v/>
      </c>
      <c r="K1113" s="33">
        <f>IF(OR($D1113="",$F1113=""),"",IFERROR(IF(INDEX(RUNS!$L$6:$S$1005,MATCH($D1113,RUNS!$A$6:$A$1005,0),MATCH("ACTIVITÉ "&amp;$F1113,RUNS!$L$5:$S$5,0))="","",INDEX(RUNS!$L$6:$S$1005,MATCH($D1113,RUNS!$A$6:$A$1005,0),MATCH("ACTIVITÉ "&amp;$F1113,RUNS!$L$5:$S$5,0))),""))</f>
        <v/>
      </c>
      <c r="L1113" s="33">
        <f>IF($D1113="","",IFERROR(IF(INDEX(RUNS!$E$6:$E$1005,MATCH($D1113,RUNS!$A$6:$A$1005,0))="","",INDEX(RUNS!$E$6:$E$1005,MATCH($D1113,RUNS!$A$6:$A$1005,0))),""))</f>
        <v/>
      </c>
      <c r="M1113" s="33">
        <f>IF($D1113="","",IFERROR(IF(INDEX(RUNS!$F$6:$F$1005,MATCH($D1113,RUNS!$A$6:$A$1005,0))="","",INDEX(RUNS!$F$6:$F$1005,MATCH($D1113,RUNS!$A$6:$A$1005,0))),""))</f>
        <v/>
      </c>
      <c r="N1113" s="33">
        <f>IF($D1113="","",IFERROR(IF(INDEX(RUNS!$G$6:$G$1005,MATCH($D1113,RUNS!$A$6:$A$1005,0))="","",INDEX(RUNS!$G$6:$G$1005,MATCH($D1113,RUNS!$A$6:$A$1005,0))),""))</f>
        <v/>
      </c>
      <c r="O1113" s="33">
        <f>IF($D1113="","",IFERROR(IF(INDEX(RUNS!$H$6:$H$1005,MATCH($D1113,RUNS!$A$6:$A$1005,0))="","",INDEX(RUNS!$H$6:$H$1005,MATCH($D1113,RUNS!$A$6:$A$1005,0))),""))</f>
        <v/>
      </c>
      <c r="P1113" s="33">
        <f>IF($D1113="","",IFERROR(IF(INDEX(RUNS!$J$6:$J$1005,MATCH($D1113,RUNS!$A$6:$A$1005,0))="","",INDEX(RUNS!$J$6:$J$1005,MATCH($D1113,RUNS!$A$6:$A$1005,0))),""))</f>
        <v/>
      </c>
      <c r="Q1113" s="33">
        <f>IF($D1113="","",IFERROR(IF(INDEX(RUNS!$K$6:$K$1005,MATCH($D1113,RUNS!$A$6:$A$1005,0))="","",INDEX(RUNS!$K$6:$K$1005,MATCH($D1113,RUNS!$A$6:$A$1005,0))),""))</f>
        <v/>
      </c>
      <c r="R1113" s="34">
        <f>IF(OR($L1113="",$K1113=""),"",IFERROR(IF(INDEX(PARAMETRES!$H$43:$H$342,MATCH($L1113&amp;"|"&amp;$M1113&amp;"|"&amp;$N1113&amp;"|"&amp;$O1113&amp;"|"&amp;$P1113&amp;"|"&amp;$Q1113&amp;"|"&amp;$K1113,PARAMETRES!$J$43:$J$342,0))="","",INDEX(PARAMETRES!$H$43:$H$342,MATCH($L1113&amp;"|"&amp;$M1113&amp;"|"&amp;$N1113&amp;"|"&amp;$O1113&amp;"|"&amp;$P1113&amp;"|"&amp;$Q1113&amp;"|"&amp;$K1113,PARAMETRES!$J$43:$J$342,0))),""))</f>
        <v/>
      </c>
      <c r="S1113" s="35">
        <f>IF(OR($G1113="",$X1113&lt;&gt;"VALIDE"),"",IFERROR(LOOKUP(2,1/(($B213:$B1112=$B1113)*($G213:$G1112=$G1113)*($X213:$X1112="VALIDE")),$C213:$C1112),""))</f>
        <v/>
      </c>
      <c r="T1113" s="36">
        <f>IF(OR($C1113="",$S1113=""),"",ROUND(($C1113-$S1113+IF($C1113&lt;$S1113,1,0))*1440,0))</f>
        <v/>
      </c>
      <c r="U1113" s="22">
        <f>IF(OR($H1113="",$T1113="",$T1113&lt;=0),"",$H1113*60/$T1113)</f>
        <v/>
      </c>
      <c r="V1113" s="37">
        <f>IF(OR($U1113="",$R1113="",$R1113=0),"",$U1113/$R1113)</f>
        <v/>
      </c>
      <c r="W1113" s="20">
        <f>IF($G1113="","",IF($X1113="CONTEXTE INCOMPLET","CONTEXTE INCOMPLET",IF($X1113="DOUBLON",StatutDoublon,IF($S1113="",StatutInitial,IF($R1113="",StatutStandardManquant,IF($V1113="","DONNEES INSUFFISANTES",IF($V1113&gt;=SeuilConforme,StatutConforme,IF($V1113&gt;=SeuilSurveiller,StatutSurveiller,StatutSousStandard))))))))</f>
        <v/>
      </c>
      <c r="X1113" s="33">
        <f>IF($G1113="","",IF(OR($D1113="",$E1113="",$F1113=""),"CONTEXTE INCOMPLET",IF(COUNTIFS($D213:$D1112,$D1113,$E213:$E1112,$E1113,$F213:$F1112,$F1113,$G213:$G1112,$G1113)&gt;0,"DOUBLON","VALIDE")))</f>
        <v/>
      </c>
    </row>
    <row r="1114" ht="15" customHeight="1">
      <c r="A1114" s="12">
        <f>IF(OR($B1114="",$G1114=""),"",TEXT($B1114,"YYYYMMDD")&amp;"-"&amp;SUBSTITUTE($E1114," ","")&amp;"-"&amp;$F1114&amp;"-"&amp;$G1114)</f>
        <v/>
      </c>
      <c r="B1114" s="15" t="n"/>
      <c r="C1114" s="16" t="n"/>
      <c r="D1114" s="10" t="n"/>
      <c r="E1114" s="9" t="n"/>
      <c r="F1114" s="9" t="n"/>
      <c r="G1114" s="13" t="n"/>
      <c r="H1114" s="21" t="n"/>
      <c r="I1114" s="21" t="n"/>
      <c r="J1114" s="17">
        <f>IF($G1114="","",IFERROR(INDEX(NomsEmployes,MATCH($G1114,MatriculesEmployes,0)),"MATRICULE INCONNU"))</f>
        <v/>
      </c>
      <c r="K1114" s="33">
        <f>IF(OR($D1114="",$F1114=""),"",IFERROR(IF(INDEX(RUNS!$L$6:$S$1005,MATCH($D1114,RUNS!$A$6:$A$1005,0),MATCH("ACTIVITÉ "&amp;$F1114,RUNS!$L$5:$S$5,0))="","",INDEX(RUNS!$L$6:$S$1005,MATCH($D1114,RUNS!$A$6:$A$1005,0),MATCH("ACTIVITÉ "&amp;$F1114,RUNS!$L$5:$S$5,0))),""))</f>
        <v/>
      </c>
      <c r="L1114" s="33">
        <f>IF($D1114="","",IFERROR(IF(INDEX(RUNS!$E$6:$E$1005,MATCH($D1114,RUNS!$A$6:$A$1005,0))="","",INDEX(RUNS!$E$6:$E$1005,MATCH($D1114,RUNS!$A$6:$A$1005,0))),""))</f>
        <v/>
      </c>
      <c r="M1114" s="33">
        <f>IF($D1114="","",IFERROR(IF(INDEX(RUNS!$F$6:$F$1005,MATCH($D1114,RUNS!$A$6:$A$1005,0))="","",INDEX(RUNS!$F$6:$F$1005,MATCH($D1114,RUNS!$A$6:$A$1005,0))),""))</f>
        <v/>
      </c>
      <c r="N1114" s="33">
        <f>IF($D1114="","",IFERROR(IF(INDEX(RUNS!$G$6:$G$1005,MATCH($D1114,RUNS!$A$6:$A$1005,0))="","",INDEX(RUNS!$G$6:$G$1005,MATCH($D1114,RUNS!$A$6:$A$1005,0))),""))</f>
        <v/>
      </c>
      <c r="O1114" s="33">
        <f>IF($D1114="","",IFERROR(IF(INDEX(RUNS!$H$6:$H$1005,MATCH($D1114,RUNS!$A$6:$A$1005,0))="","",INDEX(RUNS!$H$6:$H$1005,MATCH($D1114,RUNS!$A$6:$A$1005,0))),""))</f>
        <v/>
      </c>
      <c r="P1114" s="33">
        <f>IF($D1114="","",IFERROR(IF(INDEX(RUNS!$J$6:$J$1005,MATCH($D1114,RUNS!$A$6:$A$1005,0))="","",INDEX(RUNS!$J$6:$J$1005,MATCH($D1114,RUNS!$A$6:$A$1005,0))),""))</f>
        <v/>
      </c>
      <c r="Q1114" s="33">
        <f>IF($D1114="","",IFERROR(IF(INDEX(RUNS!$K$6:$K$1005,MATCH($D1114,RUNS!$A$6:$A$1005,0))="","",INDEX(RUNS!$K$6:$K$1005,MATCH($D1114,RUNS!$A$6:$A$1005,0))),""))</f>
        <v/>
      </c>
      <c r="R1114" s="34">
        <f>IF(OR($L1114="",$K1114=""),"",IFERROR(IF(INDEX(PARAMETRES!$H$43:$H$342,MATCH($L1114&amp;"|"&amp;$M1114&amp;"|"&amp;$N1114&amp;"|"&amp;$O1114&amp;"|"&amp;$P1114&amp;"|"&amp;$Q1114&amp;"|"&amp;$K1114,PARAMETRES!$J$43:$J$342,0))="","",INDEX(PARAMETRES!$H$43:$H$342,MATCH($L1114&amp;"|"&amp;$M1114&amp;"|"&amp;$N1114&amp;"|"&amp;$O1114&amp;"|"&amp;$P1114&amp;"|"&amp;$Q1114&amp;"|"&amp;$K1114,PARAMETRES!$J$43:$J$342,0))),""))</f>
        <v/>
      </c>
      <c r="S1114" s="35">
        <f>IF(OR($G1114="",$X1114&lt;&gt;"VALIDE"),"",IFERROR(LOOKUP(2,1/(($B214:$B1113=$B1114)*($G214:$G1113=$G1114)*($X214:$X1113="VALIDE")),$C214:$C1113),""))</f>
        <v/>
      </c>
      <c r="T1114" s="36">
        <f>IF(OR($C1114="",$S1114=""),"",ROUND(($C1114-$S1114+IF($C1114&lt;$S1114,1,0))*1440,0))</f>
        <v/>
      </c>
      <c r="U1114" s="22">
        <f>IF(OR($H1114="",$T1114="",$T1114&lt;=0),"",$H1114*60/$T1114)</f>
        <v/>
      </c>
      <c r="V1114" s="37">
        <f>IF(OR($U1114="",$R1114="",$R1114=0),"",$U1114/$R1114)</f>
        <v/>
      </c>
      <c r="W1114" s="20">
        <f>IF($G1114="","",IF($X1114="CONTEXTE INCOMPLET","CONTEXTE INCOMPLET",IF($X1114="DOUBLON",StatutDoublon,IF($S1114="",StatutInitial,IF($R1114="",StatutStandardManquant,IF($V1114="","DONNEES INSUFFISANTES",IF($V1114&gt;=SeuilConforme,StatutConforme,IF($V1114&gt;=SeuilSurveiller,StatutSurveiller,StatutSousStandard))))))))</f>
        <v/>
      </c>
      <c r="X1114" s="33">
        <f>IF($G1114="","",IF(OR($D1114="",$E1114="",$F1114=""),"CONTEXTE INCOMPLET",IF(COUNTIFS($D214:$D1113,$D1114,$E214:$E1113,$E1114,$F214:$F1113,$F1114,$G214:$G1113,$G1114)&gt;0,"DOUBLON","VALIDE")))</f>
        <v/>
      </c>
    </row>
    <row r="1115" ht="15" customHeight="1">
      <c r="A1115" s="12">
        <f>IF(OR($B1115="",$G1115=""),"",TEXT($B1115,"YYYYMMDD")&amp;"-"&amp;SUBSTITUTE($E1115," ","")&amp;"-"&amp;$F1115&amp;"-"&amp;$G1115)</f>
        <v/>
      </c>
      <c r="B1115" s="15" t="n"/>
      <c r="C1115" s="16" t="n"/>
      <c r="D1115" s="10" t="n"/>
      <c r="E1115" s="9" t="n"/>
      <c r="F1115" s="9" t="n"/>
      <c r="G1115" s="13" t="n"/>
      <c r="H1115" s="21" t="n"/>
      <c r="I1115" s="21" t="n"/>
      <c r="J1115" s="17">
        <f>IF($G1115="","",IFERROR(INDEX(NomsEmployes,MATCH($G1115,MatriculesEmployes,0)),"MATRICULE INCONNU"))</f>
        <v/>
      </c>
      <c r="K1115" s="33">
        <f>IF(OR($D1115="",$F1115=""),"",IFERROR(IF(INDEX(RUNS!$L$6:$S$1005,MATCH($D1115,RUNS!$A$6:$A$1005,0),MATCH("ACTIVITÉ "&amp;$F1115,RUNS!$L$5:$S$5,0))="","",INDEX(RUNS!$L$6:$S$1005,MATCH($D1115,RUNS!$A$6:$A$1005,0),MATCH("ACTIVITÉ "&amp;$F1115,RUNS!$L$5:$S$5,0))),""))</f>
        <v/>
      </c>
      <c r="L1115" s="33">
        <f>IF($D1115="","",IFERROR(IF(INDEX(RUNS!$E$6:$E$1005,MATCH($D1115,RUNS!$A$6:$A$1005,0))="","",INDEX(RUNS!$E$6:$E$1005,MATCH($D1115,RUNS!$A$6:$A$1005,0))),""))</f>
        <v/>
      </c>
      <c r="M1115" s="33">
        <f>IF($D1115="","",IFERROR(IF(INDEX(RUNS!$F$6:$F$1005,MATCH($D1115,RUNS!$A$6:$A$1005,0))="","",INDEX(RUNS!$F$6:$F$1005,MATCH($D1115,RUNS!$A$6:$A$1005,0))),""))</f>
        <v/>
      </c>
      <c r="N1115" s="33">
        <f>IF($D1115="","",IFERROR(IF(INDEX(RUNS!$G$6:$G$1005,MATCH($D1115,RUNS!$A$6:$A$1005,0))="","",INDEX(RUNS!$G$6:$G$1005,MATCH($D1115,RUNS!$A$6:$A$1005,0))),""))</f>
        <v/>
      </c>
      <c r="O1115" s="33">
        <f>IF($D1115="","",IFERROR(IF(INDEX(RUNS!$H$6:$H$1005,MATCH($D1115,RUNS!$A$6:$A$1005,0))="","",INDEX(RUNS!$H$6:$H$1005,MATCH($D1115,RUNS!$A$6:$A$1005,0))),""))</f>
        <v/>
      </c>
      <c r="P1115" s="33">
        <f>IF($D1115="","",IFERROR(IF(INDEX(RUNS!$J$6:$J$1005,MATCH($D1115,RUNS!$A$6:$A$1005,0))="","",INDEX(RUNS!$J$6:$J$1005,MATCH($D1115,RUNS!$A$6:$A$1005,0))),""))</f>
        <v/>
      </c>
      <c r="Q1115" s="33">
        <f>IF($D1115="","",IFERROR(IF(INDEX(RUNS!$K$6:$K$1005,MATCH($D1115,RUNS!$A$6:$A$1005,0))="","",INDEX(RUNS!$K$6:$K$1005,MATCH($D1115,RUNS!$A$6:$A$1005,0))),""))</f>
        <v/>
      </c>
      <c r="R1115" s="34">
        <f>IF(OR($L1115="",$K1115=""),"",IFERROR(IF(INDEX(PARAMETRES!$H$43:$H$342,MATCH($L1115&amp;"|"&amp;$M1115&amp;"|"&amp;$N1115&amp;"|"&amp;$O1115&amp;"|"&amp;$P1115&amp;"|"&amp;$Q1115&amp;"|"&amp;$K1115,PARAMETRES!$J$43:$J$342,0))="","",INDEX(PARAMETRES!$H$43:$H$342,MATCH($L1115&amp;"|"&amp;$M1115&amp;"|"&amp;$N1115&amp;"|"&amp;$O1115&amp;"|"&amp;$P1115&amp;"|"&amp;$Q1115&amp;"|"&amp;$K1115,PARAMETRES!$J$43:$J$342,0))),""))</f>
        <v/>
      </c>
      <c r="S1115" s="35">
        <f>IF(OR($G1115="",$X1115&lt;&gt;"VALIDE"),"",IFERROR(LOOKUP(2,1/(($B215:$B1114=$B1115)*($G215:$G1114=$G1115)*($X215:$X1114="VALIDE")),$C215:$C1114),""))</f>
        <v/>
      </c>
      <c r="T1115" s="36">
        <f>IF(OR($C1115="",$S1115=""),"",ROUND(($C1115-$S1115+IF($C1115&lt;$S1115,1,0))*1440,0))</f>
        <v/>
      </c>
      <c r="U1115" s="22">
        <f>IF(OR($H1115="",$T1115="",$T1115&lt;=0),"",$H1115*60/$T1115)</f>
        <v/>
      </c>
      <c r="V1115" s="37">
        <f>IF(OR($U1115="",$R1115="",$R1115=0),"",$U1115/$R1115)</f>
        <v/>
      </c>
      <c r="W1115" s="20">
        <f>IF($G1115="","",IF($X1115="CONTEXTE INCOMPLET","CONTEXTE INCOMPLET",IF($X1115="DOUBLON",StatutDoublon,IF($S1115="",StatutInitial,IF($R1115="",StatutStandardManquant,IF($V1115="","DONNEES INSUFFISANTES",IF($V1115&gt;=SeuilConforme,StatutConforme,IF($V1115&gt;=SeuilSurveiller,StatutSurveiller,StatutSousStandard))))))))</f>
        <v/>
      </c>
      <c r="X1115" s="33">
        <f>IF($G1115="","",IF(OR($D1115="",$E1115="",$F1115=""),"CONTEXTE INCOMPLET",IF(COUNTIFS($D215:$D1114,$D1115,$E215:$E1114,$E1115,$F215:$F1114,$F1115,$G215:$G1114,$G1115)&gt;0,"DOUBLON","VALIDE")))</f>
        <v/>
      </c>
    </row>
    <row r="1116" ht="15" customHeight="1">
      <c r="A1116" s="12">
        <f>IF(OR($B1116="",$G1116=""),"",TEXT($B1116,"YYYYMMDD")&amp;"-"&amp;SUBSTITUTE($E1116," ","")&amp;"-"&amp;$F1116&amp;"-"&amp;$G1116)</f>
        <v/>
      </c>
      <c r="B1116" s="15" t="n"/>
      <c r="C1116" s="16" t="n"/>
      <c r="D1116" s="10" t="n"/>
      <c r="E1116" s="9" t="n"/>
      <c r="F1116" s="9" t="n"/>
      <c r="G1116" s="13" t="n"/>
      <c r="H1116" s="21" t="n"/>
      <c r="I1116" s="21" t="n"/>
      <c r="J1116" s="17">
        <f>IF($G1116="","",IFERROR(INDEX(NomsEmployes,MATCH($G1116,MatriculesEmployes,0)),"MATRICULE INCONNU"))</f>
        <v/>
      </c>
      <c r="K1116" s="33">
        <f>IF(OR($D1116="",$F1116=""),"",IFERROR(IF(INDEX(RUNS!$L$6:$S$1005,MATCH($D1116,RUNS!$A$6:$A$1005,0),MATCH("ACTIVITÉ "&amp;$F1116,RUNS!$L$5:$S$5,0))="","",INDEX(RUNS!$L$6:$S$1005,MATCH($D1116,RUNS!$A$6:$A$1005,0),MATCH("ACTIVITÉ "&amp;$F1116,RUNS!$L$5:$S$5,0))),""))</f>
        <v/>
      </c>
      <c r="L1116" s="33">
        <f>IF($D1116="","",IFERROR(IF(INDEX(RUNS!$E$6:$E$1005,MATCH($D1116,RUNS!$A$6:$A$1005,0))="","",INDEX(RUNS!$E$6:$E$1005,MATCH($D1116,RUNS!$A$6:$A$1005,0))),""))</f>
        <v/>
      </c>
      <c r="M1116" s="33">
        <f>IF($D1116="","",IFERROR(IF(INDEX(RUNS!$F$6:$F$1005,MATCH($D1116,RUNS!$A$6:$A$1005,0))="","",INDEX(RUNS!$F$6:$F$1005,MATCH($D1116,RUNS!$A$6:$A$1005,0))),""))</f>
        <v/>
      </c>
      <c r="N1116" s="33">
        <f>IF($D1116="","",IFERROR(IF(INDEX(RUNS!$G$6:$G$1005,MATCH($D1116,RUNS!$A$6:$A$1005,0))="","",INDEX(RUNS!$G$6:$G$1005,MATCH($D1116,RUNS!$A$6:$A$1005,0))),""))</f>
        <v/>
      </c>
      <c r="O1116" s="33">
        <f>IF($D1116="","",IFERROR(IF(INDEX(RUNS!$H$6:$H$1005,MATCH($D1116,RUNS!$A$6:$A$1005,0))="","",INDEX(RUNS!$H$6:$H$1005,MATCH($D1116,RUNS!$A$6:$A$1005,0))),""))</f>
        <v/>
      </c>
      <c r="P1116" s="33">
        <f>IF($D1116="","",IFERROR(IF(INDEX(RUNS!$J$6:$J$1005,MATCH($D1116,RUNS!$A$6:$A$1005,0))="","",INDEX(RUNS!$J$6:$J$1005,MATCH($D1116,RUNS!$A$6:$A$1005,0))),""))</f>
        <v/>
      </c>
      <c r="Q1116" s="33">
        <f>IF($D1116="","",IFERROR(IF(INDEX(RUNS!$K$6:$K$1005,MATCH($D1116,RUNS!$A$6:$A$1005,0))="","",INDEX(RUNS!$K$6:$K$1005,MATCH($D1116,RUNS!$A$6:$A$1005,0))),""))</f>
        <v/>
      </c>
      <c r="R1116" s="34">
        <f>IF(OR($L1116="",$K1116=""),"",IFERROR(IF(INDEX(PARAMETRES!$H$43:$H$342,MATCH($L1116&amp;"|"&amp;$M1116&amp;"|"&amp;$N1116&amp;"|"&amp;$O1116&amp;"|"&amp;$P1116&amp;"|"&amp;$Q1116&amp;"|"&amp;$K1116,PARAMETRES!$J$43:$J$342,0))="","",INDEX(PARAMETRES!$H$43:$H$342,MATCH($L1116&amp;"|"&amp;$M1116&amp;"|"&amp;$N1116&amp;"|"&amp;$O1116&amp;"|"&amp;$P1116&amp;"|"&amp;$Q1116&amp;"|"&amp;$K1116,PARAMETRES!$J$43:$J$342,0))),""))</f>
        <v/>
      </c>
      <c r="S1116" s="35">
        <f>IF(OR($G1116="",$X1116&lt;&gt;"VALIDE"),"",IFERROR(LOOKUP(2,1/(($B216:$B1115=$B1116)*($G216:$G1115=$G1116)*($X216:$X1115="VALIDE")),$C216:$C1115),""))</f>
        <v/>
      </c>
      <c r="T1116" s="36">
        <f>IF(OR($C1116="",$S1116=""),"",ROUND(($C1116-$S1116+IF($C1116&lt;$S1116,1,0))*1440,0))</f>
        <v/>
      </c>
      <c r="U1116" s="22">
        <f>IF(OR($H1116="",$T1116="",$T1116&lt;=0),"",$H1116*60/$T1116)</f>
        <v/>
      </c>
      <c r="V1116" s="37">
        <f>IF(OR($U1116="",$R1116="",$R1116=0),"",$U1116/$R1116)</f>
        <v/>
      </c>
      <c r="W1116" s="20">
        <f>IF($G1116="","",IF($X1116="CONTEXTE INCOMPLET","CONTEXTE INCOMPLET",IF($X1116="DOUBLON",StatutDoublon,IF($S1116="",StatutInitial,IF($R1116="",StatutStandardManquant,IF($V1116="","DONNEES INSUFFISANTES",IF($V1116&gt;=SeuilConforme,StatutConforme,IF($V1116&gt;=SeuilSurveiller,StatutSurveiller,StatutSousStandard))))))))</f>
        <v/>
      </c>
      <c r="X1116" s="33">
        <f>IF($G1116="","",IF(OR($D1116="",$E1116="",$F1116=""),"CONTEXTE INCOMPLET",IF(COUNTIFS($D216:$D1115,$D1116,$E216:$E1115,$E1116,$F216:$F1115,$F1116,$G216:$G1115,$G1116)&gt;0,"DOUBLON","VALIDE")))</f>
        <v/>
      </c>
    </row>
    <row r="1117" ht="15" customHeight="1">
      <c r="A1117" s="12">
        <f>IF(OR($B1117="",$G1117=""),"",TEXT($B1117,"YYYYMMDD")&amp;"-"&amp;SUBSTITUTE($E1117," ","")&amp;"-"&amp;$F1117&amp;"-"&amp;$G1117)</f>
        <v/>
      </c>
      <c r="B1117" s="15" t="n"/>
      <c r="C1117" s="16" t="n"/>
      <c r="D1117" s="10" t="n"/>
      <c r="E1117" s="9" t="n"/>
      <c r="F1117" s="9" t="n"/>
      <c r="G1117" s="13" t="n"/>
      <c r="H1117" s="21" t="n"/>
      <c r="I1117" s="21" t="n"/>
      <c r="J1117" s="17">
        <f>IF($G1117="","",IFERROR(INDEX(NomsEmployes,MATCH($G1117,MatriculesEmployes,0)),"MATRICULE INCONNU"))</f>
        <v/>
      </c>
      <c r="K1117" s="33">
        <f>IF(OR($D1117="",$F1117=""),"",IFERROR(IF(INDEX(RUNS!$L$6:$S$1005,MATCH($D1117,RUNS!$A$6:$A$1005,0),MATCH("ACTIVITÉ "&amp;$F1117,RUNS!$L$5:$S$5,0))="","",INDEX(RUNS!$L$6:$S$1005,MATCH($D1117,RUNS!$A$6:$A$1005,0),MATCH("ACTIVITÉ "&amp;$F1117,RUNS!$L$5:$S$5,0))),""))</f>
        <v/>
      </c>
      <c r="L1117" s="33">
        <f>IF($D1117="","",IFERROR(IF(INDEX(RUNS!$E$6:$E$1005,MATCH($D1117,RUNS!$A$6:$A$1005,0))="","",INDEX(RUNS!$E$6:$E$1005,MATCH($D1117,RUNS!$A$6:$A$1005,0))),""))</f>
        <v/>
      </c>
      <c r="M1117" s="33">
        <f>IF($D1117="","",IFERROR(IF(INDEX(RUNS!$F$6:$F$1005,MATCH($D1117,RUNS!$A$6:$A$1005,0))="","",INDEX(RUNS!$F$6:$F$1005,MATCH($D1117,RUNS!$A$6:$A$1005,0))),""))</f>
        <v/>
      </c>
      <c r="N1117" s="33">
        <f>IF($D1117="","",IFERROR(IF(INDEX(RUNS!$G$6:$G$1005,MATCH($D1117,RUNS!$A$6:$A$1005,0))="","",INDEX(RUNS!$G$6:$G$1005,MATCH($D1117,RUNS!$A$6:$A$1005,0))),""))</f>
        <v/>
      </c>
      <c r="O1117" s="33">
        <f>IF($D1117="","",IFERROR(IF(INDEX(RUNS!$H$6:$H$1005,MATCH($D1117,RUNS!$A$6:$A$1005,0))="","",INDEX(RUNS!$H$6:$H$1005,MATCH($D1117,RUNS!$A$6:$A$1005,0))),""))</f>
        <v/>
      </c>
      <c r="P1117" s="33">
        <f>IF($D1117="","",IFERROR(IF(INDEX(RUNS!$J$6:$J$1005,MATCH($D1117,RUNS!$A$6:$A$1005,0))="","",INDEX(RUNS!$J$6:$J$1005,MATCH($D1117,RUNS!$A$6:$A$1005,0))),""))</f>
        <v/>
      </c>
      <c r="Q1117" s="33">
        <f>IF($D1117="","",IFERROR(IF(INDEX(RUNS!$K$6:$K$1005,MATCH($D1117,RUNS!$A$6:$A$1005,0))="","",INDEX(RUNS!$K$6:$K$1005,MATCH($D1117,RUNS!$A$6:$A$1005,0))),""))</f>
        <v/>
      </c>
      <c r="R1117" s="34">
        <f>IF(OR($L1117="",$K1117=""),"",IFERROR(IF(INDEX(PARAMETRES!$H$43:$H$342,MATCH($L1117&amp;"|"&amp;$M1117&amp;"|"&amp;$N1117&amp;"|"&amp;$O1117&amp;"|"&amp;$P1117&amp;"|"&amp;$Q1117&amp;"|"&amp;$K1117,PARAMETRES!$J$43:$J$342,0))="","",INDEX(PARAMETRES!$H$43:$H$342,MATCH($L1117&amp;"|"&amp;$M1117&amp;"|"&amp;$N1117&amp;"|"&amp;$O1117&amp;"|"&amp;$P1117&amp;"|"&amp;$Q1117&amp;"|"&amp;$K1117,PARAMETRES!$J$43:$J$342,0))),""))</f>
        <v/>
      </c>
      <c r="S1117" s="35">
        <f>IF(OR($G1117="",$X1117&lt;&gt;"VALIDE"),"",IFERROR(LOOKUP(2,1/(($B217:$B1116=$B1117)*($G217:$G1116=$G1117)*($X217:$X1116="VALIDE")),$C217:$C1116),""))</f>
        <v/>
      </c>
      <c r="T1117" s="36">
        <f>IF(OR($C1117="",$S1117=""),"",ROUND(($C1117-$S1117+IF($C1117&lt;$S1117,1,0))*1440,0))</f>
        <v/>
      </c>
      <c r="U1117" s="22">
        <f>IF(OR($H1117="",$T1117="",$T1117&lt;=0),"",$H1117*60/$T1117)</f>
        <v/>
      </c>
      <c r="V1117" s="37">
        <f>IF(OR($U1117="",$R1117="",$R1117=0),"",$U1117/$R1117)</f>
        <v/>
      </c>
      <c r="W1117" s="20">
        <f>IF($G1117="","",IF($X1117="CONTEXTE INCOMPLET","CONTEXTE INCOMPLET",IF($X1117="DOUBLON",StatutDoublon,IF($S1117="",StatutInitial,IF($R1117="",StatutStandardManquant,IF($V1117="","DONNEES INSUFFISANTES",IF($V1117&gt;=SeuilConforme,StatutConforme,IF($V1117&gt;=SeuilSurveiller,StatutSurveiller,StatutSousStandard))))))))</f>
        <v/>
      </c>
      <c r="X1117" s="33">
        <f>IF($G1117="","",IF(OR($D1117="",$E1117="",$F1117=""),"CONTEXTE INCOMPLET",IF(COUNTIFS($D217:$D1116,$D1117,$E217:$E1116,$E1117,$F217:$F1116,$F1117,$G217:$G1116,$G1117)&gt;0,"DOUBLON","VALIDE")))</f>
        <v/>
      </c>
    </row>
    <row r="1118" ht="15" customHeight="1">
      <c r="A1118" s="12">
        <f>IF(OR($B1118="",$G1118=""),"",TEXT($B1118,"YYYYMMDD")&amp;"-"&amp;SUBSTITUTE($E1118," ","")&amp;"-"&amp;$F1118&amp;"-"&amp;$G1118)</f>
        <v/>
      </c>
      <c r="B1118" s="15" t="n"/>
      <c r="C1118" s="16" t="n"/>
      <c r="D1118" s="10" t="n"/>
      <c r="E1118" s="9" t="n"/>
      <c r="F1118" s="9" t="n"/>
      <c r="G1118" s="13" t="n"/>
      <c r="H1118" s="21" t="n"/>
      <c r="I1118" s="21" t="n"/>
      <c r="J1118" s="17">
        <f>IF($G1118="","",IFERROR(INDEX(NomsEmployes,MATCH($G1118,MatriculesEmployes,0)),"MATRICULE INCONNU"))</f>
        <v/>
      </c>
      <c r="K1118" s="33">
        <f>IF(OR($D1118="",$F1118=""),"",IFERROR(IF(INDEX(RUNS!$L$6:$S$1005,MATCH($D1118,RUNS!$A$6:$A$1005,0),MATCH("ACTIVITÉ "&amp;$F1118,RUNS!$L$5:$S$5,0))="","",INDEX(RUNS!$L$6:$S$1005,MATCH($D1118,RUNS!$A$6:$A$1005,0),MATCH("ACTIVITÉ "&amp;$F1118,RUNS!$L$5:$S$5,0))),""))</f>
        <v/>
      </c>
      <c r="L1118" s="33">
        <f>IF($D1118="","",IFERROR(IF(INDEX(RUNS!$E$6:$E$1005,MATCH($D1118,RUNS!$A$6:$A$1005,0))="","",INDEX(RUNS!$E$6:$E$1005,MATCH($D1118,RUNS!$A$6:$A$1005,0))),""))</f>
        <v/>
      </c>
      <c r="M1118" s="33">
        <f>IF($D1118="","",IFERROR(IF(INDEX(RUNS!$F$6:$F$1005,MATCH($D1118,RUNS!$A$6:$A$1005,0))="","",INDEX(RUNS!$F$6:$F$1005,MATCH($D1118,RUNS!$A$6:$A$1005,0))),""))</f>
        <v/>
      </c>
      <c r="N1118" s="33">
        <f>IF($D1118="","",IFERROR(IF(INDEX(RUNS!$G$6:$G$1005,MATCH($D1118,RUNS!$A$6:$A$1005,0))="","",INDEX(RUNS!$G$6:$G$1005,MATCH($D1118,RUNS!$A$6:$A$1005,0))),""))</f>
        <v/>
      </c>
      <c r="O1118" s="33">
        <f>IF($D1118="","",IFERROR(IF(INDEX(RUNS!$H$6:$H$1005,MATCH($D1118,RUNS!$A$6:$A$1005,0))="","",INDEX(RUNS!$H$6:$H$1005,MATCH($D1118,RUNS!$A$6:$A$1005,0))),""))</f>
        <v/>
      </c>
      <c r="P1118" s="33">
        <f>IF($D1118="","",IFERROR(IF(INDEX(RUNS!$J$6:$J$1005,MATCH($D1118,RUNS!$A$6:$A$1005,0))="","",INDEX(RUNS!$J$6:$J$1005,MATCH($D1118,RUNS!$A$6:$A$1005,0))),""))</f>
        <v/>
      </c>
      <c r="Q1118" s="33">
        <f>IF($D1118="","",IFERROR(IF(INDEX(RUNS!$K$6:$K$1005,MATCH($D1118,RUNS!$A$6:$A$1005,0))="","",INDEX(RUNS!$K$6:$K$1005,MATCH($D1118,RUNS!$A$6:$A$1005,0))),""))</f>
        <v/>
      </c>
      <c r="R1118" s="34">
        <f>IF(OR($L1118="",$K1118=""),"",IFERROR(IF(INDEX(PARAMETRES!$H$43:$H$342,MATCH($L1118&amp;"|"&amp;$M1118&amp;"|"&amp;$N1118&amp;"|"&amp;$O1118&amp;"|"&amp;$P1118&amp;"|"&amp;$Q1118&amp;"|"&amp;$K1118,PARAMETRES!$J$43:$J$342,0))="","",INDEX(PARAMETRES!$H$43:$H$342,MATCH($L1118&amp;"|"&amp;$M1118&amp;"|"&amp;$N1118&amp;"|"&amp;$O1118&amp;"|"&amp;$P1118&amp;"|"&amp;$Q1118&amp;"|"&amp;$K1118,PARAMETRES!$J$43:$J$342,0))),""))</f>
        <v/>
      </c>
      <c r="S1118" s="35">
        <f>IF(OR($G1118="",$X1118&lt;&gt;"VALIDE"),"",IFERROR(LOOKUP(2,1/(($B218:$B1117=$B1118)*($G218:$G1117=$G1118)*($X218:$X1117="VALIDE")),$C218:$C1117),""))</f>
        <v/>
      </c>
      <c r="T1118" s="36">
        <f>IF(OR($C1118="",$S1118=""),"",ROUND(($C1118-$S1118+IF($C1118&lt;$S1118,1,0))*1440,0))</f>
        <v/>
      </c>
      <c r="U1118" s="22">
        <f>IF(OR($H1118="",$T1118="",$T1118&lt;=0),"",$H1118*60/$T1118)</f>
        <v/>
      </c>
      <c r="V1118" s="37">
        <f>IF(OR($U1118="",$R1118="",$R1118=0),"",$U1118/$R1118)</f>
        <v/>
      </c>
      <c r="W1118" s="20">
        <f>IF($G1118="","",IF($X1118="CONTEXTE INCOMPLET","CONTEXTE INCOMPLET",IF($X1118="DOUBLON",StatutDoublon,IF($S1118="",StatutInitial,IF($R1118="",StatutStandardManquant,IF($V1118="","DONNEES INSUFFISANTES",IF($V1118&gt;=SeuilConforme,StatutConforme,IF($V1118&gt;=SeuilSurveiller,StatutSurveiller,StatutSousStandard))))))))</f>
        <v/>
      </c>
      <c r="X1118" s="33">
        <f>IF($G1118="","",IF(OR($D1118="",$E1118="",$F1118=""),"CONTEXTE INCOMPLET",IF(COUNTIFS($D218:$D1117,$D1118,$E218:$E1117,$E1118,$F218:$F1117,$F1118,$G218:$G1117,$G1118)&gt;0,"DOUBLON","VALIDE")))</f>
        <v/>
      </c>
    </row>
    <row r="1119" ht="15" customHeight="1">
      <c r="A1119" s="12">
        <f>IF(OR($B1119="",$G1119=""),"",TEXT($B1119,"YYYYMMDD")&amp;"-"&amp;SUBSTITUTE($E1119," ","")&amp;"-"&amp;$F1119&amp;"-"&amp;$G1119)</f>
        <v/>
      </c>
      <c r="B1119" s="15" t="n"/>
      <c r="C1119" s="16" t="n"/>
      <c r="D1119" s="10" t="n"/>
      <c r="E1119" s="9" t="n"/>
      <c r="F1119" s="9" t="n"/>
      <c r="G1119" s="13" t="n"/>
      <c r="H1119" s="21" t="n"/>
      <c r="I1119" s="21" t="n"/>
      <c r="J1119" s="17">
        <f>IF($G1119="","",IFERROR(INDEX(NomsEmployes,MATCH($G1119,MatriculesEmployes,0)),"MATRICULE INCONNU"))</f>
        <v/>
      </c>
      <c r="K1119" s="33">
        <f>IF(OR($D1119="",$F1119=""),"",IFERROR(IF(INDEX(RUNS!$L$6:$S$1005,MATCH($D1119,RUNS!$A$6:$A$1005,0),MATCH("ACTIVITÉ "&amp;$F1119,RUNS!$L$5:$S$5,0))="","",INDEX(RUNS!$L$6:$S$1005,MATCH($D1119,RUNS!$A$6:$A$1005,0),MATCH("ACTIVITÉ "&amp;$F1119,RUNS!$L$5:$S$5,0))),""))</f>
        <v/>
      </c>
      <c r="L1119" s="33">
        <f>IF($D1119="","",IFERROR(IF(INDEX(RUNS!$E$6:$E$1005,MATCH($D1119,RUNS!$A$6:$A$1005,0))="","",INDEX(RUNS!$E$6:$E$1005,MATCH($D1119,RUNS!$A$6:$A$1005,0))),""))</f>
        <v/>
      </c>
      <c r="M1119" s="33">
        <f>IF($D1119="","",IFERROR(IF(INDEX(RUNS!$F$6:$F$1005,MATCH($D1119,RUNS!$A$6:$A$1005,0))="","",INDEX(RUNS!$F$6:$F$1005,MATCH($D1119,RUNS!$A$6:$A$1005,0))),""))</f>
        <v/>
      </c>
      <c r="N1119" s="33">
        <f>IF($D1119="","",IFERROR(IF(INDEX(RUNS!$G$6:$G$1005,MATCH($D1119,RUNS!$A$6:$A$1005,0))="","",INDEX(RUNS!$G$6:$G$1005,MATCH($D1119,RUNS!$A$6:$A$1005,0))),""))</f>
        <v/>
      </c>
      <c r="O1119" s="33">
        <f>IF($D1119="","",IFERROR(IF(INDEX(RUNS!$H$6:$H$1005,MATCH($D1119,RUNS!$A$6:$A$1005,0))="","",INDEX(RUNS!$H$6:$H$1005,MATCH($D1119,RUNS!$A$6:$A$1005,0))),""))</f>
        <v/>
      </c>
      <c r="P1119" s="33">
        <f>IF($D1119="","",IFERROR(IF(INDEX(RUNS!$J$6:$J$1005,MATCH($D1119,RUNS!$A$6:$A$1005,0))="","",INDEX(RUNS!$J$6:$J$1005,MATCH($D1119,RUNS!$A$6:$A$1005,0))),""))</f>
        <v/>
      </c>
      <c r="Q1119" s="33">
        <f>IF($D1119="","",IFERROR(IF(INDEX(RUNS!$K$6:$K$1005,MATCH($D1119,RUNS!$A$6:$A$1005,0))="","",INDEX(RUNS!$K$6:$K$1005,MATCH($D1119,RUNS!$A$6:$A$1005,0))),""))</f>
        <v/>
      </c>
      <c r="R1119" s="34">
        <f>IF(OR($L1119="",$K1119=""),"",IFERROR(IF(INDEX(PARAMETRES!$H$43:$H$342,MATCH($L1119&amp;"|"&amp;$M1119&amp;"|"&amp;$N1119&amp;"|"&amp;$O1119&amp;"|"&amp;$P1119&amp;"|"&amp;$Q1119&amp;"|"&amp;$K1119,PARAMETRES!$J$43:$J$342,0))="","",INDEX(PARAMETRES!$H$43:$H$342,MATCH($L1119&amp;"|"&amp;$M1119&amp;"|"&amp;$N1119&amp;"|"&amp;$O1119&amp;"|"&amp;$P1119&amp;"|"&amp;$Q1119&amp;"|"&amp;$K1119,PARAMETRES!$J$43:$J$342,0))),""))</f>
        <v/>
      </c>
      <c r="S1119" s="35">
        <f>IF(OR($G1119="",$X1119&lt;&gt;"VALIDE"),"",IFERROR(LOOKUP(2,1/(($B219:$B1118=$B1119)*($G219:$G1118=$G1119)*($X219:$X1118="VALIDE")),$C219:$C1118),""))</f>
        <v/>
      </c>
      <c r="T1119" s="36">
        <f>IF(OR($C1119="",$S1119=""),"",ROUND(($C1119-$S1119+IF($C1119&lt;$S1119,1,0))*1440,0))</f>
        <v/>
      </c>
      <c r="U1119" s="22">
        <f>IF(OR($H1119="",$T1119="",$T1119&lt;=0),"",$H1119*60/$T1119)</f>
        <v/>
      </c>
      <c r="V1119" s="37">
        <f>IF(OR($U1119="",$R1119="",$R1119=0),"",$U1119/$R1119)</f>
        <v/>
      </c>
      <c r="W1119" s="20">
        <f>IF($G1119="","",IF($X1119="CONTEXTE INCOMPLET","CONTEXTE INCOMPLET",IF($X1119="DOUBLON",StatutDoublon,IF($S1119="",StatutInitial,IF($R1119="",StatutStandardManquant,IF($V1119="","DONNEES INSUFFISANTES",IF($V1119&gt;=SeuilConforme,StatutConforme,IF($V1119&gt;=SeuilSurveiller,StatutSurveiller,StatutSousStandard))))))))</f>
        <v/>
      </c>
      <c r="X1119" s="33">
        <f>IF($G1119="","",IF(OR($D1119="",$E1119="",$F1119=""),"CONTEXTE INCOMPLET",IF(COUNTIFS($D219:$D1118,$D1119,$E219:$E1118,$E1119,$F219:$F1118,$F1119,$G219:$G1118,$G1119)&gt;0,"DOUBLON","VALIDE")))</f>
        <v/>
      </c>
    </row>
    <row r="1120" ht="15" customHeight="1">
      <c r="A1120" s="12">
        <f>IF(OR($B1120="",$G1120=""),"",TEXT($B1120,"YYYYMMDD")&amp;"-"&amp;SUBSTITUTE($E1120," ","")&amp;"-"&amp;$F1120&amp;"-"&amp;$G1120)</f>
        <v/>
      </c>
      <c r="B1120" s="15" t="n"/>
      <c r="C1120" s="16" t="n"/>
      <c r="D1120" s="10" t="n"/>
      <c r="E1120" s="9" t="n"/>
      <c r="F1120" s="9" t="n"/>
      <c r="G1120" s="13" t="n"/>
      <c r="H1120" s="21" t="n"/>
      <c r="I1120" s="21" t="n"/>
      <c r="J1120" s="17">
        <f>IF($G1120="","",IFERROR(INDEX(NomsEmployes,MATCH($G1120,MatriculesEmployes,0)),"MATRICULE INCONNU"))</f>
        <v/>
      </c>
      <c r="K1120" s="33">
        <f>IF(OR($D1120="",$F1120=""),"",IFERROR(IF(INDEX(RUNS!$L$6:$S$1005,MATCH($D1120,RUNS!$A$6:$A$1005,0),MATCH("ACTIVITÉ "&amp;$F1120,RUNS!$L$5:$S$5,0))="","",INDEX(RUNS!$L$6:$S$1005,MATCH($D1120,RUNS!$A$6:$A$1005,0),MATCH("ACTIVITÉ "&amp;$F1120,RUNS!$L$5:$S$5,0))),""))</f>
        <v/>
      </c>
      <c r="L1120" s="33">
        <f>IF($D1120="","",IFERROR(IF(INDEX(RUNS!$E$6:$E$1005,MATCH($D1120,RUNS!$A$6:$A$1005,0))="","",INDEX(RUNS!$E$6:$E$1005,MATCH($D1120,RUNS!$A$6:$A$1005,0))),""))</f>
        <v/>
      </c>
      <c r="M1120" s="33">
        <f>IF($D1120="","",IFERROR(IF(INDEX(RUNS!$F$6:$F$1005,MATCH($D1120,RUNS!$A$6:$A$1005,0))="","",INDEX(RUNS!$F$6:$F$1005,MATCH($D1120,RUNS!$A$6:$A$1005,0))),""))</f>
        <v/>
      </c>
      <c r="N1120" s="33">
        <f>IF($D1120="","",IFERROR(IF(INDEX(RUNS!$G$6:$G$1005,MATCH($D1120,RUNS!$A$6:$A$1005,0))="","",INDEX(RUNS!$G$6:$G$1005,MATCH($D1120,RUNS!$A$6:$A$1005,0))),""))</f>
        <v/>
      </c>
      <c r="O1120" s="33">
        <f>IF($D1120="","",IFERROR(IF(INDEX(RUNS!$H$6:$H$1005,MATCH($D1120,RUNS!$A$6:$A$1005,0))="","",INDEX(RUNS!$H$6:$H$1005,MATCH($D1120,RUNS!$A$6:$A$1005,0))),""))</f>
        <v/>
      </c>
      <c r="P1120" s="33">
        <f>IF($D1120="","",IFERROR(IF(INDEX(RUNS!$J$6:$J$1005,MATCH($D1120,RUNS!$A$6:$A$1005,0))="","",INDEX(RUNS!$J$6:$J$1005,MATCH($D1120,RUNS!$A$6:$A$1005,0))),""))</f>
        <v/>
      </c>
      <c r="Q1120" s="33">
        <f>IF($D1120="","",IFERROR(IF(INDEX(RUNS!$K$6:$K$1005,MATCH($D1120,RUNS!$A$6:$A$1005,0))="","",INDEX(RUNS!$K$6:$K$1005,MATCH($D1120,RUNS!$A$6:$A$1005,0))),""))</f>
        <v/>
      </c>
      <c r="R1120" s="34">
        <f>IF(OR($L1120="",$K1120=""),"",IFERROR(IF(INDEX(PARAMETRES!$H$43:$H$342,MATCH($L1120&amp;"|"&amp;$M1120&amp;"|"&amp;$N1120&amp;"|"&amp;$O1120&amp;"|"&amp;$P1120&amp;"|"&amp;$Q1120&amp;"|"&amp;$K1120,PARAMETRES!$J$43:$J$342,0))="","",INDEX(PARAMETRES!$H$43:$H$342,MATCH($L1120&amp;"|"&amp;$M1120&amp;"|"&amp;$N1120&amp;"|"&amp;$O1120&amp;"|"&amp;$P1120&amp;"|"&amp;$Q1120&amp;"|"&amp;$K1120,PARAMETRES!$J$43:$J$342,0))),""))</f>
        <v/>
      </c>
      <c r="S1120" s="35">
        <f>IF(OR($G1120="",$X1120&lt;&gt;"VALIDE"),"",IFERROR(LOOKUP(2,1/(($B220:$B1119=$B1120)*($G220:$G1119=$G1120)*($X220:$X1119="VALIDE")),$C220:$C1119),""))</f>
        <v/>
      </c>
      <c r="T1120" s="36">
        <f>IF(OR($C1120="",$S1120=""),"",ROUND(($C1120-$S1120+IF($C1120&lt;$S1120,1,0))*1440,0))</f>
        <v/>
      </c>
      <c r="U1120" s="22">
        <f>IF(OR($H1120="",$T1120="",$T1120&lt;=0),"",$H1120*60/$T1120)</f>
        <v/>
      </c>
      <c r="V1120" s="37">
        <f>IF(OR($U1120="",$R1120="",$R1120=0),"",$U1120/$R1120)</f>
        <v/>
      </c>
      <c r="W1120" s="20">
        <f>IF($G1120="","",IF($X1120="CONTEXTE INCOMPLET","CONTEXTE INCOMPLET",IF($X1120="DOUBLON",StatutDoublon,IF($S1120="",StatutInitial,IF($R1120="",StatutStandardManquant,IF($V1120="","DONNEES INSUFFISANTES",IF($V1120&gt;=SeuilConforme,StatutConforme,IF($V1120&gt;=SeuilSurveiller,StatutSurveiller,StatutSousStandard))))))))</f>
        <v/>
      </c>
      <c r="X1120" s="33">
        <f>IF($G1120="","",IF(OR($D1120="",$E1120="",$F1120=""),"CONTEXTE INCOMPLET",IF(COUNTIFS($D220:$D1119,$D1120,$E220:$E1119,$E1120,$F220:$F1119,$F1120,$G220:$G1119,$G1120)&gt;0,"DOUBLON","VALIDE")))</f>
        <v/>
      </c>
    </row>
    <row r="1121" ht="15" customHeight="1">
      <c r="A1121" s="12">
        <f>IF(OR($B1121="",$G1121=""),"",TEXT($B1121,"YYYYMMDD")&amp;"-"&amp;SUBSTITUTE($E1121," ","")&amp;"-"&amp;$F1121&amp;"-"&amp;$G1121)</f>
        <v/>
      </c>
      <c r="B1121" s="15" t="n"/>
      <c r="C1121" s="16" t="n"/>
      <c r="D1121" s="10" t="n"/>
      <c r="E1121" s="9" t="n"/>
      <c r="F1121" s="9" t="n"/>
      <c r="G1121" s="13" t="n"/>
      <c r="H1121" s="21" t="n"/>
      <c r="I1121" s="21" t="n"/>
      <c r="J1121" s="17">
        <f>IF($G1121="","",IFERROR(INDEX(NomsEmployes,MATCH($G1121,MatriculesEmployes,0)),"MATRICULE INCONNU"))</f>
        <v/>
      </c>
      <c r="K1121" s="33">
        <f>IF(OR($D1121="",$F1121=""),"",IFERROR(IF(INDEX(RUNS!$L$6:$S$1005,MATCH($D1121,RUNS!$A$6:$A$1005,0),MATCH("ACTIVITÉ "&amp;$F1121,RUNS!$L$5:$S$5,0))="","",INDEX(RUNS!$L$6:$S$1005,MATCH($D1121,RUNS!$A$6:$A$1005,0),MATCH("ACTIVITÉ "&amp;$F1121,RUNS!$L$5:$S$5,0))),""))</f>
        <v/>
      </c>
      <c r="L1121" s="33">
        <f>IF($D1121="","",IFERROR(IF(INDEX(RUNS!$E$6:$E$1005,MATCH($D1121,RUNS!$A$6:$A$1005,0))="","",INDEX(RUNS!$E$6:$E$1005,MATCH($D1121,RUNS!$A$6:$A$1005,0))),""))</f>
        <v/>
      </c>
      <c r="M1121" s="33">
        <f>IF($D1121="","",IFERROR(IF(INDEX(RUNS!$F$6:$F$1005,MATCH($D1121,RUNS!$A$6:$A$1005,0))="","",INDEX(RUNS!$F$6:$F$1005,MATCH($D1121,RUNS!$A$6:$A$1005,0))),""))</f>
        <v/>
      </c>
      <c r="N1121" s="33">
        <f>IF($D1121="","",IFERROR(IF(INDEX(RUNS!$G$6:$G$1005,MATCH($D1121,RUNS!$A$6:$A$1005,0))="","",INDEX(RUNS!$G$6:$G$1005,MATCH($D1121,RUNS!$A$6:$A$1005,0))),""))</f>
        <v/>
      </c>
      <c r="O1121" s="33">
        <f>IF($D1121="","",IFERROR(IF(INDEX(RUNS!$H$6:$H$1005,MATCH($D1121,RUNS!$A$6:$A$1005,0))="","",INDEX(RUNS!$H$6:$H$1005,MATCH($D1121,RUNS!$A$6:$A$1005,0))),""))</f>
        <v/>
      </c>
      <c r="P1121" s="33">
        <f>IF($D1121="","",IFERROR(IF(INDEX(RUNS!$J$6:$J$1005,MATCH($D1121,RUNS!$A$6:$A$1005,0))="","",INDEX(RUNS!$J$6:$J$1005,MATCH($D1121,RUNS!$A$6:$A$1005,0))),""))</f>
        <v/>
      </c>
      <c r="Q1121" s="33">
        <f>IF($D1121="","",IFERROR(IF(INDEX(RUNS!$K$6:$K$1005,MATCH($D1121,RUNS!$A$6:$A$1005,0))="","",INDEX(RUNS!$K$6:$K$1005,MATCH($D1121,RUNS!$A$6:$A$1005,0))),""))</f>
        <v/>
      </c>
      <c r="R1121" s="34">
        <f>IF(OR($L1121="",$K1121=""),"",IFERROR(IF(INDEX(PARAMETRES!$H$43:$H$342,MATCH($L1121&amp;"|"&amp;$M1121&amp;"|"&amp;$N1121&amp;"|"&amp;$O1121&amp;"|"&amp;$P1121&amp;"|"&amp;$Q1121&amp;"|"&amp;$K1121,PARAMETRES!$J$43:$J$342,0))="","",INDEX(PARAMETRES!$H$43:$H$342,MATCH($L1121&amp;"|"&amp;$M1121&amp;"|"&amp;$N1121&amp;"|"&amp;$O1121&amp;"|"&amp;$P1121&amp;"|"&amp;$Q1121&amp;"|"&amp;$K1121,PARAMETRES!$J$43:$J$342,0))),""))</f>
        <v/>
      </c>
      <c r="S1121" s="35">
        <f>IF(OR($G1121="",$X1121&lt;&gt;"VALIDE"),"",IFERROR(LOOKUP(2,1/(($B221:$B1120=$B1121)*($G221:$G1120=$G1121)*($X221:$X1120="VALIDE")),$C221:$C1120),""))</f>
        <v/>
      </c>
      <c r="T1121" s="36">
        <f>IF(OR($C1121="",$S1121=""),"",ROUND(($C1121-$S1121+IF($C1121&lt;$S1121,1,0))*1440,0))</f>
        <v/>
      </c>
      <c r="U1121" s="22">
        <f>IF(OR($H1121="",$T1121="",$T1121&lt;=0),"",$H1121*60/$T1121)</f>
        <v/>
      </c>
      <c r="V1121" s="37">
        <f>IF(OR($U1121="",$R1121="",$R1121=0),"",$U1121/$R1121)</f>
        <v/>
      </c>
      <c r="W1121" s="20">
        <f>IF($G1121="","",IF($X1121="CONTEXTE INCOMPLET","CONTEXTE INCOMPLET",IF($X1121="DOUBLON",StatutDoublon,IF($S1121="",StatutInitial,IF($R1121="",StatutStandardManquant,IF($V1121="","DONNEES INSUFFISANTES",IF($V1121&gt;=SeuilConforme,StatutConforme,IF($V1121&gt;=SeuilSurveiller,StatutSurveiller,StatutSousStandard))))))))</f>
        <v/>
      </c>
      <c r="X1121" s="33">
        <f>IF($G1121="","",IF(OR($D1121="",$E1121="",$F1121=""),"CONTEXTE INCOMPLET",IF(COUNTIFS($D221:$D1120,$D1121,$E221:$E1120,$E1121,$F221:$F1120,$F1121,$G221:$G1120,$G1121)&gt;0,"DOUBLON","VALIDE")))</f>
        <v/>
      </c>
    </row>
    <row r="1122" ht="15" customHeight="1">
      <c r="A1122" s="12">
        <f>IF(OR($B1122="",$G1122=""),"",TEXT($B1122,"YYYYMMDD")&amp;"-"&amp;SUBSTITUTE($E1122," ","")&amp;"-"&amp;$F1122&amp;"-"&amp;$G1122)</f>
        <v/>
      </c>
      <c r="B1122" s="15" t="n"/>
      <c r="C1122" s="16" t="n"/>
      <c r="D1122" s="10" t="n"/>
      <c r="E1122" s="9" t="n"/>
      <c r="F1122" s="9" t="n"/>
      <c r="G1122" s="13" t="n"/>
      <c r="H1122" s="21" t="n"/>
      <c r="I1122" s="21" t="n"/>
      <c r="J1122" s="17">
        <f>IF($G1122="","",IFERROR(INDEX(NomsEmployes,MATCH($G1122,MatriculesEmployes,0)),"MATRICULE INCONNU"))</f>
        <v/>
      </c>
      <c r="K1122" s="33">
        <f>IF(OR($D1122="",$F1122=""),"",IFERROR(IF(INDEX(RUNS!$L$6:$S$1005,MATCH($D1122,RUNS!$A$6:$A$1005,0),MATCH("ACTIVITÉ "&amp;$F1122,RUNS!$L$5:$S$5,0))="","",INDEX(RUNS!$L$6:$S$1005,MATCH($D1122,RUNS!$A$6:$A$1005,0),MATCH("ACTIVITÉ "&amp;$F1122,RUNS!$L$5:$S$5,0))),""))</f>
        <v/>
      </c>
      <c r="L1122" s="33">
        <f>IF($D1122="","",IFERROR(IF(INDEX(RUNS!$E$6:$E$1005,MATCH($D1122,RUNS!$A$6:$A$1005,0))="","",INDEX(RUNS!$E$6:$E$1005,MATCH($D1122,RUNS!$A$6:$A$1005,0))),""))</f>
        <v/>
      </c>
      <c r="M1122" s="33">
        <f>IF($D1122="","",IFERROR(IF(INDEX(RUNS!$F$6:$F$1005,MATCH($D1122,RUNS!$A$6:$A$1005,0))="","",INDEX(RUNS!$F$6:$F$1005,MATCH($D1122,RUNS!$A$6:$A$1005,0))),""))</f>
        <v/>
      </c>
      <c r="N1122" s="33">
        <f>IF($D1122="","",IFERROR(IF(INDEX(RUNS!$G$6:$G$1005,MATCH($D1122,RUNS!$A$6:$A$1005,0))="","",INDEX(RUNS!$G$6:$G$1005,MATCH($D1122,RUNS!$A$6:$A$1005,0))),""))</f>
        <v/>
      </c>
      <c r="O1122" s="33">
        <f>IF($D1122="","",IFERROR(IF(INDEX(RUNS!$H$6:$H$1005,MATCH($D1122,RUNS!$A$6:$A$1005,0))="","",INDEX(RUNS!$H$6:$H$1005,MATCH($D1122,RUNS!$A$6:$A$1005,0))),""))</f>
        <v/>
      </c>
      <c r="P1122" s="33">
        <f>IF($D1122="","",IFERROR(IF(INDEX(RUNS!$J$6:$J$1005,MATCH($D1122,RUNS!$A$6:$A$1005,0))="","",INDEX(RUNS!$J$6:$J$1005,MATCH($D1122,RUNS!$A$6:$A$1005,0))),""))</f>
        <v/>
      </c>
      <c r="Q1122" s="33">
        <f>IF($D1122="","",IFERROR(IF(INDEX(RUNS!$K$6:$K$1005,MATCH($D1122,RUNS!$A$6:$A$1005,0))="","",INDEX(RUNS!$K$6:$K$1005,MATCH($D1122,RUNS!$A$6:$A$1005,0))),""))</f>
        <v/>
      </c>
      <c r="R1122" s="34">
        <f>IF(OR($L1122="",$K1122=""),"",IFERROR(IF(INDEX(PARAMETRES!$H$43:$H$342,MATCH($L1122&amp;"|"&amp;$M1122&amp;"|"&amp;$N1122&amp;"|"&amp;$O1122&amp;"|"&amp;$P1122&amp;"|"&amp;$Q1122&amp;"|"&amp;$K1122,PARAMETRES!$J$43:$J$342,0))="","",INDEX(PARAMETRES!$H$43:$H$342,MATCH($L1122&amp;"|"&amp;$M1122&amp;"|"&amp;$N1122&amp;"|"&amp;$O1122&amp;"|"&amp;$P1122&amp;"|"&amp;$Q1122&amp;"|"&amp;$K1122,PARAMETRES!$J$43:$J$342,0))),""))</f>
        <v/>
      </c>
      <c r="S1122" s="35">
        <f>IF(OR($G1122="",$X1122&lt;&gt;"VALIDE"),"",IFERROR(LOOKUP(2,1/(($B222:$B1121=$B1122)*($G222:$G1121=$G1122)*($X222:$X1121="VALIDE")),$C222:$C1121),""))</f>
        <v/>
      </c>
      <c r="T1122" s="36">
        <f>IF(OR($C1122="",$S1122=""),"",ROUND(($C1122-$S1122+IF($C1122&lt;$S1122,1,0))*1440,0))</f>
        <v/>
      </c>
      <c r="U1122" s="22">
        <f>IF(OR($H1122="",$T1122="",$T1122&lt;=0),"",$H1122*60/$T1122)</f>
        <v/>
      </c>
      <c r="V1122" s="37">
        <f>IF(OR($U1122="",$R1122="",$R1122=0),"",$U1122/$R1122)</f>
        <v/>
      </c>
      <c r="W1122" s="20">
        <f>IF($G1122="","",IF($X1122="CONTEXTE INCOMPLET","CONTEXTE INCOMPLET",IF($X1122="DOUBLON",StatutDoublon,IF($S1122="",StatutInitial,IF($R1122="",StatutStandardManquant,IF($V1122="","DONNEES INSUFFISANTES",IF($V1122&gt;=SeuilConforme,StatutConforme,IF($V1122&gt;=SeuilSurveiller,StatutSurveiller,StatutSousStandard))))))))</f>
        <v/>
      </c>
      <c r="X1122" s="33">
        <f>IF($G1122="","",IF(OR($D1122="",$E1122="",$F1122=""),"CONTEXTE INCOMPLET",IF(COUNTIFS($D222:$D1121,$D1122,$E222:$E1121,$E1122,$F222:$F1121,$F1122,$G222:$G1121,$G1122)&gt;0,"DOUBLON","VALIDE")))</f>
        <v/>
      </c>
    </row>
    <row r="1123" ht="15" customHeight="1">
      <c r="A1123" s="12">
        <f>IF(OR($B1123="",$G1123=""),"",TEXT($B1123,"YYYYMMDD")&amp;"-"&amp;SUBSTITUTE($E1123," ","")&amp;"-"&amp;$F1123&amp;"-"&amp;$G1123)</f>
        <v/>
      </c>
      <c r="B1123" s="15" t="n"/>
      <c r="C1123" s="16" t="n"/>
      <c r="D1123" s="10" t="n"/>
      <c r="E1123" s="9" t="n"/>
      <c r="F1123" s="9" t="n"/>
      <c r="G1123" s="13" t="n"/>
      <c r="H1123" s="21" t="n"/>
      <c r="I1123" s="21" t="n"/>
      <c r="J1123" s="17">
        <f>IF($G1123="","",IFERROR(INDEX(NomsEmployes,MATCH($G1123,MatriculesEmployes,0)),"MATRICULE INCONNU"))</f>
        <v/>
      </c>
      <c r="K1123" s="33">
        <f>IF(OR($D1123="",$F1123=""),"",IFERROR(IF(INDEX(RUNS!$L$6:$S$1005,MATCH($D1123,RUNS!$A$6:$A$1005,0),MATCH("ACTIVITÉ "&amp;$F1123,RUNS!$L$5:$S$5,0))="","",INDEX(RUNS!$L$6:$S$1005,MATCH($D1123,RUNS!$A$6:$A$1005,0),MATCH("ACTIVITÉ "&amp;$F1123,RUNS!$L$5:$S$5,0))),""))</f>
        <v/>
      </c>
      <c r="L1123" s="33">
        <f>IF($D1123="","",IFERROR(IF(INDEX(RUNS!$E$6:$E$1005,MATCH($D1123,RUNS!$A$6:$A$1005,0))="","",INDEX(RUNS!$E$6:$E$1005,MATCH($D1123,RUNS!$A$6:$A$1005,0))),""))</f>
        <v/>
      </c>
      <c r="M1123" s="33">
        <f>IF($D1123="","",IFERROR(IF(INDEX(RUNS!$F$6:$F$1005,MATCH($D1123,RUNS!$A$6:$A$1005,0))="","",INDEX(RUNS!$F$6:$F$1005,MATCH($D1123,RUNS!$A$6:$A$1005,0))),""))</f>
        <v/>
      </c>
      <c r="N1123" s="33">
        <f>IF($D1123="","",IFERROR(IF(INDEX(RUNS!$G$6:$G$1005,MATCH($D1123,RUNS!$A$6:$A$1005,0))="","",INDEX(RUNS!$G$6:$G$1005,MATCH($D1123,RUNS!$A$6:$A$1005,0))),""))</f>
        <v/>
      </c>
      <c r="O1123" s="33">
        <f>IF($D1123="","",IFERROR(IF(INDEX(RUNS!$H$6:$H$1005,MATCH($D1123,RUNS!$A$6:$A$1005,0))="","",INDEX(RUNS!$H$6:$H$1005,MATCH($D1123,RUNS!$A$6:$A$1005,0))),""))</f>
        <v/>
      </c>
      <c r="P1123" s="33">
        <f>IF($D1123="","",IFERROR(IF(INDEX(RUNS!$J$6:$J$1005,MATCH($D1123,RUNS!$A$6:$A$1005,0))="","",INDEX(RUNS!$J$6:$J$1005,MATCH($D1123,RUNS!$A$6:$A$1005,0))),""))</f>
        <v/>
      </c>
      <c r="Q1123" s="33">
        <f>IF($D1123="","",IFERROR(IF(INDEX(RUNS!$K$6:$K$1005,MATCH($D1123,RUNS!$A$6:$A$1005,0))="","",INDEX(RUNS!$K$6:$K$1005,MATCH($D1123,RUNS!$A$6:$A$1005,0))),""))</f>
        <v/>
      </c>
      <c r="R1123" s="34">
        <f>IF(OR($L1123="",$K1123=""),"",IFERROR(IF(INDEX(PARAMETRES!$H$43:$H$342,MATCH($L1123&amp;"|"&amp;$M1123&amp;"|"&amp;$N1123&amp;"|"&amp;$O1123&amp;"|"&amp;$P1123&amp;"|"&amp;$Q1123&amp;"|"&amp;$K1123,PARAMETRES!$J$43:$J$342,0))="","",INDEX(PARAMETRES!$H$43:$H$342,MATCH($L1123&amp;"|"&amp;$M1123&amp;"|"&amp;$N1123&amp;"|"&amp;$O1123&amp;"|"&amp;$P1123&amp;"|"&amp;$Q1123&amp;"|"&amp;$K1123,PARAMETRES!$J$43:$J$342,0))),""))</f>
        <v/>
      </c>
      <c r="S1123" s="35">
        <f>IF(OR($G1123="",$X1123&lt;&gt;"VALIDE"),"",IFERROR(LOOKUP(2,1/(($B223:$B1122=$B1123)*($G223:$G1122=$G1123)*($X223:$X1122="VALIDE")),$C223:$C1122),""))</f>
        <v/>
      </c>
      <c r="T1123" s="36">
        <f>IF(OR($C1123="",$S1123=""),"",ROUND(($C1123-$S1123+IF($C1123&lt;$S1123,1,0))*1440,0))</f>
        <v/>
      </c>
      <c r="U1123" s="22">
        <f>IF(OR($H1123="",$T1123="",$T1123&lt;=0),"",$H1123*60/$T1123)</f>
        <v/>
      </c>
      <c r="V1123" s="37">
        <f>IF(OR($U1123="",$R1123="",$R1123=0),"",$U1123/$R1123)</f>
        <v/>
      </c>
      <c r="W1123" s="20">
        <f>IF($G1123="","",IF($X1123="CONTEXTE INCOMPLET","CONTEXTE INCOMPLET",IF($X1123="DOUBLON",StatutDoublon,IF($S1123="",StatutInitial,IF($R1123="",StatutStandardManquant,IF($V1123="","DONNEES INSUFFISANTES",IF($V1123&gt;=SeuilConforme,StatutConforme,IF($V1123&gt;=SeuilSurveiller,StatutSurveiller,StatutSousStandard))))))))</f>
        <v/>
      </c>
      <c r="X1123" s="33">
        <f>IF($G1123="","",IF(OR($D1123="",$E1123="",$F1123=""),"CONTEXTE INCOMPLET",IF(COUNTIFS($D223:$D1122,$D1123,$E223:$E1122,$E1123,$F223:$F1122,$F1123,$G223:$G1122,$G1123)&gt;0,"DOUBLON","VALIDE")))</f>
        <v/>
      </c>
    </row>
    <row r="1124" ht="15" customHeight="1">
      <c r="A1124" s="12">
        <f>IF(OR($B1124="",$G1124=""),"",TEXT($B1124,"YYYYMMDD")&amp;"-"&amp;SUBSTITUTE($E1124," ","")&amp;"-"&amp;$F1124&amp;"-"&amp;$G1124)</f>
        <v/>
      </c>
      <c r="B1124" s="15" t="n"/>
      <c r="C1124" s="16" t="n"/>
      <c r="D1124" s="10" t="n"/>
      <c r="E1124" s="9" t="n"/>
      <c r="F1124" s="9" t="n"/>
      <c r="G1124" s="13" t="n"/>
      <c r="H1124" s="21" t="n"/>
      <c r="I1124" s="21" t="n"/>
      <c r="J1124" s="17">
        <f>IF($G1124="","",IFERROR(INDEX(NomsEmployes,MATCH($G1124,MatriculesEmployes,0)),"MATRICULE INCONNU"))</f>
        <v/>
      </c>
      <c r="K1124" s="33">
        <f>IF(OR($D1124="",$F1124=""),"",IFERROR(IF(INDEX(RUNS!$L$6:$S$1005,MATCH($D1124,RUNS!$A$6:$A$1005,0),MATCH("ACTIVITÉ "&amp;$F1124,RUNS!$L$5:$S$5,0))="","",INDEX(RUNS!$L$6:$S$1005,MATCH($D1124,RUNS!$A$6:$A$1005,0),MATCH("ACTIVITÉ "&amp;$F1124,RUNS!$L$5:$S$5,0))),""))</f>
        <v/>
      </c>
      <c r="L1124" s="33">
        <f>IF($D1124="","",IFERROR(IF(INDEX(RUNS!$E$6:$E$1005,MATCH($D1124,RUNS!$A$6:$A$1005,0))="","",INDEX(RUNS!$E$6:$E$1005,MATCH($D1124,RUNS!$A$6:$A$1005,0))),""))</f>
        <v/>
      </c>
      <c r="M1124" s="33">
        <f>IF($D1124="","",IFERROR(IF(INDEX(RUNS!$F$6:$F$1005,MATCH($D1124,RUNS!$A$6:$A$1005,0))="","",INDEX(RUNS!$F$6:$F$1005,MATCH($D1124,RUNS!$A$6:$A$1005,0))),""))</f>
        <v/>
      </c>
      <c r="N1124" s="33">
        <f>IF($D1124="","",IFERROR(IF(INDEX(RUNS!$G$6:$G$1005,MATCH($D1124,RUNS!$A$6:$A$1005,0))="","",INDEX(RUNS!$G$6:$G$1005,MATCH($D1124,RUNS!$A$6:$A$1005,0))),""))</f>
        <v/>
      </c>
      <c r="O1124" s="33">
        <f>IF($D1124="","",IFERROR(IF(INDEX(RUNS!$H$6:$H$1005,MATCH($D1124,RUNS!$A$6:$A$1005,0))="","",INDEX(RUNS!$H$6:$H$1005,MATCH($D1124,RUNS!$A$6:$A$1005,0))),""))</f>
        <v/>
      </c>
      <c r="P1124" s="33">
        <f>IF($D1124="","",IFERROR(IF(INDEX(RUNS!$J$6:$J$1005,MATCH($D1124,RUNS!$A$6:$A$1005,0))="","",INDEX(RUNS!$J$6:$J$1005,MATCH($D1124,RUNS!$A$6:$A$1005,0))),""))</f>
        <v/>
      </c>
      <c r="Q1124" s="33">
        <f>IF($D1124="","",IFERROR(IF(INDEX(RUNS!$K$6:$K$1005,MATCH($D1124,RUNS!$A$6:$A$1005,0))="","",INDEX(RUNS!$K$6:$K$1005,MATCH($D1124,RUNS!$A$6:$A$1005,0))),""))</f>
        <v/>
      </c>
      <c r="R1124" s="34">
        <f>IF(OR($L1124="",$K1124=""),"",IFERROR(IF(INDEX(PARAMETRES!$H$43:$H$342,MATCH($L1124&amp;"|"&amp;$M1124&amp;"|"&amp;$N1124&amp;"|"&amp;$O1124&amp;"|"&amp;$P1124&amp;"|"&amp;$Q1124&amp;"|"&amp;$K1124,PARAMETRES!$J$43:$J$342,0))="","",INDEX(PARAMETRES!$H$43:$H$342,MATCH($L1124&amp;"|"&amp;$M1124&amp;"|"&amp;$N1124&amp;"|"&amp;$O1124&amp;"|"&amp;$P1124&amp;"|"&amp;$Q1124&amp;"|"&amp;$K1124,PARAMETRES!$J$43:$J$342,0))),""))</f>
        <v/>
      </c>
      <c r="S1124" s="35">
        <f>IF(OR($G1124="",$X1124&lt;&gt;"VALIDE"),"",IFERROR(LOOKUP(2,1/(($B224:$B1123=$B1124)*($G224:$G1123=$G1124)*($X224:$X1123="VALIDE")),$C224:$C1123),""))</f>
        <v/>
      </c>
      <c r="T1124" s="36">
        <f>IF(OR($C1124="",$S1124=""),"",ROUND(($C1124-$S1124+IF($C1124&lt;$S1124,1,0))*1440,0))</f>
        <v/>
      </c>
      <c r="U1124" s="22">
        <f>IF(OR($H1124="",$T1124="",$T1124&lt;=0),"",$H1124*60/$T1124)</f>
        <v/>
      </c>
      <c r="V1124" s="37">
        <f>IF(OR($U1124="",$R1124="",$R1124=0),"",$U1124/$R1124)</f>
        <v/>
      </c>
      <c r="W1124" s="20">
        <f>IF($G1124="","",IF($X1124="CONTEXTE INCOMPLET","CONTEXTE INCOMPLET",IF($X1124="DOUBLON",StatutDoublon,IF($S1124="",StatutInitial,IF($R1124="",StatutStandardManquant,IF($V1124="","DONNEES INSUFFISANTES",IF($V1124&gt;=SeuilConforme,StatutConforme,IF($V1124&gt;=SeuilSurveiller,StatutSurveiller,StatutSousStandard))))))))</f>
        <v/>
      </c>
      <c r="X1124" s="33">
        <f>IF($G1124="","",IF(OR($D1124="",$E1124="",$F1124=""),"CONTEXTE INCOMPLET",IF(COUNTIFS($D224:$D1123,$D1124,$E224:$E1123,$E1124,$F224:$F1123,$F1124,$G224:$G1123,$G1124)&gt;0,"DOUBLON","VALIDE")))</f>
        <v/>
      </c>
    </row>
    <row r="1125" ht="15" customHeight="1">
      <c r="A1125" s="12">
        <f>IF(OR($B1125="",$G1125=""),"",TEXT($B1125,"YYYYMMDD")&amp;"-"&amp;SUBSTITUTE($E1125," ","")&amp;"-"&amp;$F1125&amp;"-"&amp;$G1125)</f>
        <v/>
      </c>
      <c r="B1125" s="15" t="n"/>
      <c r="C1125" s="16" t="n"/>
      <c r="D1125" s="10" t="n"/>
      <c r="E1125" s="9" t="n"/>
      <c r="F1125" s="9" t="n"/>
      <c r="G1125" s="13" t="n"/>
      <c r="H1125" s="21" t="n"/>
      <c r="I1125" s="21" t="n"/>
      <c r="J1125" s="17">
        <f>IF($G1125="","",IFERROR(INDEX(NomsEmployes,MATCH($G1125,MatriculesEmployes,0)),"MATRICULE INCONNU"))</f>
        <v/>
      </c>
      <c r="K1125" s="33">
        <f>IF(OR($D1125="",$F1125=""),"",IFERROR(IF(INDEX(RUNS!$L$6:$S$1005,MATCH($D1125,RUNS!$A$6:$A$1005,0),MATCH("ACTIVITÉ "&amp;$F1125,RUNS!$L$5:$S$5,0))="","",INDEX(RUNS!$L$6:$S$1005,MATCH($D1125,RUNS!$A$6:$A$1005,0),MATCH("ACTIVITÉ "&amp;$F1125,RUNS!$L$5:$S$5,0))),""))</f>
        <v/>
      </c>
      <c r="L1125" s="33">
        <f>IF($D1125="","",IFERROR(IF(INDEX(RUNS!$E$6:$E$1005,MATCH($D1125,RUNS!$A$6:$A$1005,0))="","",INDEX(RUNS!$E$6:$E$1005,MATCH($D1125,RUNS!$A$6:$A$1005,0))),""))</f>
        <v/>
      </c>
      <c r="M1125" s="33">
        <f>IF($D1125="","",IFERROR(IF(INDEX(RUNS!$F$6:$F$1005,MATCH($D1125,RUNS!$A$6:$A$1005,0))="","",INDEX(RUNS!$F$6:$F$1005,MATCH($D1125,RUNS!$A$6:$A$1005,0))),""))</f>
        <v/>
      </c>
      <c r="N1125" s="33">
        <f>IF($D1125="","",IFERROR(IF(INDEX(RUNS!$G$6:$G$1005,MATCH($D1125,RUNS!$A$6:$A$1005,0))="","",INDEX(RUNS!$G$6:$G$1005,MATCH($D1125,RUNS!$A$6:$A$1005,0))),""))</f>
        <v/>
      </c>
      <c r="O1125" s="33">
        <f>IF($D1125="","",IFERROR(IF(INDEX(RUNS!$H$6:$H$1005,MATCH($D1125,RUNS!$A$6:$A$1005,0))="","",INDEX(RUNS!$H$6:$H$1005,MATCH($D1125,RUNS!$A$6:$A$1005,0))),""))</f>
        <v/>
      </c>
      <c r="P1125" s="33">
        <f>IF($D1125="","",IFERROR(IF(INDEX(RUNS!$J$6:$J$1005,MATCH($D1125,RUNS!$A$6:$A$1005,0))="","",INDEX(RUNS!$J$6:$J$1005,MATCH($D1125,RUNS!$A$6:$A$1005,0))),""))</f>
        <v/>
      </c>
      <c r="Q1125" s="33">
        <f>IF($D1125="","",IFERROR(IF(INDEX(RUNS!$K$6:$K$1005,MATCH($D1125,RUNS!$A$6:$A$1005,0))="","",INDEX(RUNS!$K$6:$K$1005,MATCH($D1125,RUNS!$A$6:$A$1005,0))),""))</f>
        <v/>
      </c>
      <c r="R1125" s="34">
        <f>IF(OR($L1125="",$K1125=""),"",IFERROR(IF(INDEX(PARAMETRES!$H$43:$H$342,MATCH($L1125&amp;"|"&amp;$M1125&amp;"|"&amp;$N1125&amp;"|"&amp;$O1125&amp;"|"&amp;$P1125&amp;"|"&amp;$Q1125&amp;"|"&amp;$K1125,PARAMETRES!$J$43:$J$342,0))="","",INDEX(PARAMETRES!$H$43:$H$342,MATCH($L1125&amp;"|"&amp;$M1125&amp;"|"&amp;$N1125&amp;"|"&amp;$O1125&amp;"|"&amp;$P1125&amp;"|"&amp;$Q1125&amp;"|"&amp;$K1125,PARAMETRES!$J$43:$J$342,0))),""))</f>
        <v/>
      </c>
      <c r="S1125" s="35">
        <f>IF(OR($G1125="",$X1125&lt;&gt;"VALIDE"),"",IFERROR(LOOKUP(2,1/(($B225:$B1124=$B1125)*($G225:$G1124=$G1125)*($X225:$X1124="VALIDE")),$C225:$C1124),""))</f>
        <v/>
      </c>
      <c r="T1125" s="36">
        <f>IF(OR($C1125="",$S1125=""),"",ROUND(($C1125-$S1125+IF($C1125&lt;$S1125,1,0))*1440,0))</f>
        <v/>
      </c>
      <c r="U1125" s="22">
        <f>IF(OR($H1125="",$T1125="",$T1125&lt;=0),"",$H1125*60/$T1125)</f>
        <v/>
      </c>
      <c r="V1125" s="37">
        <f>IF(OR($U1125="",$R1125="",$R1125=0),"",$U1125/$R1125)</f>
        <v/>
      </c>
      <c r="W1125" s="20">
        <f>IF($G1125="","",IF($X1125="CONTEXTE INCOMPLET","CONTEXTE INCOMPLET",IF($X1125="DOUBLON",StatutDoublon,IF($S1125="",StatutInitial,IF($R1125="",StatutStandardManquant,IF($V1125="","DONNEES INSUFFISANTES",IF($V1125&gt;=SeuilConforme,StatutConforme,IF($V1125&gt;=SeuilSurveiller,StatutSurveiller,StatutSousStandard))))))))</f>
        <v/>
      </c>
      <c r="X1125" s="33">
        <f>IF($G1125="","",IF(OR($D1125="",$E1125="",$F1125=""),"CONTEXTE INCOMPLET",IF(COUNTIFS($D225:$D1124,$D1125,$E225:$E1124,$E1125,$F225:$F1124,$F1125,$G225:$G1124,$G1125)&gt;0,"DOUBLON","VALIDE")))</f>
        <v/>
      </c>
    </row>
    <row r="1126" ht="15" customHeight="1">
      <c r="A1126" s="12">
        <f>IF(OR($B1126="",$G1126=""),"",TEXT($B1126,"YYYYMMDD")&amp;"-"&amp;SUBSTITUTE($E1126," ","")&amp;"-"&amp;$F1126&amp;"-"&amp;$G1126)</f>
        <v/>
      </c>
      <c r="B1126" s="15" t="n"/>
      <c r="C1126" s="16" t="n"/>
      <c r="D1126" s="10" t="n"/>
      <c r="E1126" s="9" t="n"/>
      <c r="F1126" s="9" t="n"/>
      <c r="G1126" s="13" t="n"/>
      <c r="H1126" s="21" t="n"/>
      <c r="I1126" s="21" t="n"/>
      <c r="J1126" s="17">
        <f>IF($G1126="","",IFERROR(INDEX(NomsEmployes,MATCH($G1126,MatriculesEmployes,0)),"MATRICULE INCONNU"))</f>
        <v/>
      </c>
      <c r="K1126" s="33">
        <f>IF(OR($D1126="",$F1126=""),"",IFERROR(IF(INDEX(RUNS!$L$6:$S$1005,MATCH($D1126,RUNS!$A$6:$A$1005,0),MATCH("ACTIVITÉ "&amp;$F1126,RUNS!$L$5:$S$5,0))="","",INDEX(RUNS!$L$6:$S$1005,MATCH($D1126,RUNS!$A$6:$A$1005,0),MATCH("ACTIVITÉ "&amp;$F1126,RUNS!$L$5:$S$5,0))),""))</f>
        <v/>
      </c>
      <c r="L1126" s="33">
        <f>IF($D1126="","",IFERROR(IF(INDEX(RUNS!$E$6:$E$1005,MATCH($D1126,RUNS!$A$6:$A$1005,0))="","",INDEX(RUNS!$E$6:$E$1005,MATCH($D1126,RUNS!$A$6:$A$1005,0))),""))</f>
        <v/>
      </c>
      <c r="M1126" s="33">
        <f>IF($D1126="","",IFERROR(IF(INDEX(RUNS!$F$6:$F$1005,MATCH($D1126,RUNS!$A$6:$A$1005,0))="","",INDEX(RUNS!$F$6:$F$1005,MATCH($D1126,RUNS!$A$6:$A$1005,0))),""))</f>
        <v/>
      </c>
      <c r="N1126" s="33">
        <f>IF($D1126="","",IFERROR(IF(INDEX(RUNS!$G$6:$G$1005,MATCH($D1126,RUNS!$A$6:$A$1005,0))="","",INDEX(RUNS!$G$6:$G$1005,MATCH($D1126,RUNS!$A$6:$A$1005,0))),""))</f>
        <v/>
      </c>
      <c r="O1126" s="33">
        <f>IF($D1126="","",IFERROR(IF(INDEX(RUNS!$H$6:$H$1005,MATCH($D1126,RUNS!$A$6:$A$1005,0))="","",INDEX(RUNS!$H$6:$H$1005,MATCH($D1126,RUNS!$A$6:$A$1005,0))),""))</f>
        <v/>
      </c>
      <c r="P1126" s="33">
        <f>IF($D1126="","",IFERROR(IF(INDEX(RUNS!$J$6:$J$1005,MATCH($D1126,RUNS!$A$6:$A$1005,0))="","",INDEX(RUNS!$J$6:$J$1005,MATCH($D1126,RUNS!$A$6:$A$1005,0))),""))</f>
        <v/>
      </c>
      <c r="Q1126" s="33">
        <f>IF($D1126="","",IFERROR(IF(INDEX(RUNS!$K$6:$K$1005,MATCH($D1126,RUNS!$A$6:$A$1005,0))="","",INDEX(RUNS!$K$6:$K$1005,MATCH($D1126,RUNS!$A$6:$A$1005,0))),""))</f>
        <v/>
      </c>
      <c r="R1126" s="34">
        <f>IF(OR($L1126="",$K1126=""),"",IFERROR(IF(INDEX(PARAMETRES!$H$43:$H$342,MATCH($L1126&amp;"|"&amp;$M1126&amp;"|"&amp;$N1126&amp;"|"&amp;$O1126&amp;"|"&amp;$P1126&amp;"|"&amp;$Q1126&amp;"|"&amp;$K1126,PARAMETRES!$J$43:$J$342,0))="","",INDEX(PARAMETRES!$H$43:$H$342,MATCH($L1126&amp;"|"&amp;$M1126&amp;"|"&amp;$N1126&amp;"|"&amp;$O1126&amp;"|"&amp;$P1126&amp;"|"&amp;$Q1126&amp;"|"&amp;$K1126,PARAMETRES!$J$43:$J$342,0))),""))</f>
        <v/>
      </c>
      <c r="S1126" s="35">
        <f>IF(OR($G1126="",$X1126&lt;&gt;"VALIDE"),"",IFERROR(LOOKUP(2,1/(($B226:$B1125=$B1126)*($G226:$G1125=$G1126)*($X226:$X1125="VALIDE")),$C226:$C1125),""))</f>
        <v/>
      </c>
      <c r="T1126" s="36">
        <f>IF(OR($C1126="",$S1126=""),"",ROUND(($C1126-$S1126+IF($C1126&lt;$S1126,1,0))*1440,0))</f>
        <v/>
      </c>
      <c r="U1126" s="22">
        <f>IF(OR($H1126="",$T1126="",$T1126&lt;=0),"",$H1126*60/$T1126)</f>
        <v/>
      </c>
      <c r="V1126" s="37">
        <f>IF(OR($U1126="",$R1126="",$R1126=0),"",$U1126/$R1126)</f>
        <v/>
      </c>
      <c r="W1126" s="20">
        <f>IF($G1126="","",IF($X1126="CONTEXTE INCOMPLET","CONTEXTE INCOMPLET",IF($X1126="DOUBLON",StatutDoublon,IF($S1126="",StatutInitial,IF($R1126="",StatutStandardManquant,IF($V1126="","DONNEES INSUFFISANTES",IF($V1126&gt;=SeuilConforme,StatutConforme,IF($V1126&gt;=SeuilSurveiller,StatutSurveiller,StatutSousStandard))))))))</f>
        <v/>
      </c>
      <c r="X1126" s="33">
        <f>IF($G1126="","",IF(OR($D1126="",$E1126="",$F1126=""),"CONTEXTE INCOMPLET",IF(COUNTIFS($D226:$D1125,$D1126,$E226:$E1125,$E1126,$F226:$F1125,$F1126,$G226:$G1125,$G1126)&gt;0,"DOUBLON","VALIDE")))</f>
        <v/>
      </c>
    </row>
    <row r="1127" ht="15" customHeight="1">
      <c r="A1127" s="12">
        <f>IF(OR($B1127="",$G1127=""),"",TEXT($B1127,"YYYYMMDD")&amp;"-"&amp;SUBSTITUTE($E1127," ","")&amp;"-"&amp;$F1127&amp;"-"&amp;$G1127)</f>
        <v/>
      </c>
      <c r="B1127" s="15" t="n"/>
      <c r="C1127" s="16" t="n"/>
      <c r="D1127" s="10" t="n"/>
      <c r="E1127" s="9" t="n"/>
      <c r="F1127" s="9" t="n"/>
      <c r="G1127" s="13" t="n"/>
      <c r="H1127" s="21" t="n"/>
      <c r="I1127" s="21" t="n"/>
      <c r="J1127" s="17">
        <f>IF($G1127="","",IFERROR(INDEX(NomsEmployes,MATCH($G1127,MatriculesEmployes,0)),"MATRICULE INCONNU"))</f>
        <v/>
      </c>
      <c r="K1127" s="33">
        <f>IF(OR($D1127="",$F1127=""),"",IFERROR(IF(INDEX(RUNS!$L$6:$S$1005,MATCH($D1127,RUNS!$A$6:$A$1005,0),MATCH("ACTIVITÉ "&amp;$F1127,RUNS!$L$5:$S$5,0))="","",INDEX(RUNS!$L$6:$S$1005,MATCH($D1127,RUNS!$A$6:$A$1005,0),MATCH("ACTIVITÉ "&amp;$F1127,RUNS!$L$5:$S$5,0))),""))</f>
        <v/>
      </c>
      <c r="L1127" s="33">
        <f>IF($D1127="","",IFERROR(IF(INDEX(RUNS!$E$6:$E$1005,MATCH($D1127,RUNS!$A$6:$A$1005,0))="","",INDEX(RUNS!$E$6:$E$1005,MATCH($D1127,RUNS!$A$6:$A$1005,0))),""))</f>
        <v/>
      </c>
      <c r="M1127" s="33">
        <f>IF($D1127="","",IFERROR(IF(INDEX(RUNS!$F$6:$F$1005,MATCH($D1127,RUNS!$A$6:$A$1005,0))="","",INDEX(RUNS!$F$6:$F$1005,MATCH($D1127,RUNS!$A$6:$A$1005,0))),""))</f>
        <v/>
      </c>
      <c r="N1127" s="33">
        <f>IF($D1127="","",IFERROR(IF(INDEX(RUNS!$G$6:$G$1005,MATCH($D1127,RUNS!$A$6:$A$1005,0))="","",INDEX(RUNS!$G$6:$G$1005,MATCH($D1127,RUNS!$A$6:$A$1005,0))),""))</f>
        <v/>
      </c>
      <c r="O1127" s="33">
        <f>IF($D1127="","",IFERROR(IF(INDEX(RUNS!$H$6:$H$1005,MATCH($D1127,RUNS!$A$6:$A$1005,0))="","",INDEX(RUNS!$H$6:$H$1005,MATCH($D1127,RUNS!$A$6:$A$1005,0))),""))</f>
        <v/>
      </c>
      <c r="P1127" s="33">
        <f>IF($D1127="","",IFERROR(IF(INDEX(RUNS!$J$6:$J$1005,MATCH($D1127,RUNS!$A$6:$A$1005,0))="","",INDEX(RUNS!$J$6:$J$1005,MATCH($D1127,RUNS!$A$6:$A$1005,0))),""))</f>
        <v/>
      </c>
      <c r="Q1127" s="33">
        <f>IF($D1127="","",IFERROR(IF(INDEX(RUNS!$K$6:$K$1005,MATCH($D1127,RUNS!$A$6:$A$1005,0))="","",INDEX(RUNS!$K$6:$K$1005,MATCH($D1127,RUNS!$A$6:$A$1005,0))),""))</f>
        <v/>
      </c>
      <c r="R1127" s="34">
        <f>IF(OR($L1127="",$K1127=""),"",IFERROR(IF(INDEX(PARAMETRES!$H$43:$H$342,MATCH($L1127&amp;"|"&amp;$M1127&amp;"|"&amp;$N1127&amp;"|"&amp;$O1127&amp;"|"&amp;$P1127&amp;"|"&amp;$Q1127&amp;"|"&amp;$K1127,PARAMETRES!$J$43:$J$342,0))="","",INDEX(PARAMETRES!$H$43:$H$342,MATCH($L1127&amp;"|"&amp;$M1127&amp;"|"&amp;$N1127&amp;"|"&amp;$O1127&amp;"|"&amp;$P1127&amp;"|"&amp;$Q1127&amp;"|"&amp;$K1127,PARAMETRES!$J$43:$J$342,0))),""))</f>
        <v/>
      </c>
      <c r="S1127" s="35">
        <f>IF(OR($G1127="",$X1127&lt;&gt;"VALIDE"),"",IFERROR(LOOKUP(2,1/(($B227:$B1126=$B1127)*($G227:$G1126=$G1127)*($X227:$X1126="VALIDE")),$C227:$C1126),""))</f>
        <v/>
      </c>
      <c r="T1127" s="36">
        <f>IF(OR($C1127="",$S1127=""),"",ROUND(($C1127-$S1127+IF($C1127&lt;$S1127,1,0))*1440,0))</f>
        <v/>
      </c>
      <c r="U1127" s="22">
        <f>IF(OR($H1127="",$T1127="",$T1127&lt;=0),"",$H1127*60/$T1127)</f>
        <v/>
      </c>
      <c r="V1127" s="37">
        <f>IF(OR($U1127="",$R1127="",$R1127=0),"",$U1127/$R1127)</f>
        <v/>
      </c>
      <c r="W1127" s="20">
        <f>IF($G1127="","",IF($X1127="CONTEXTE INCOMPLET","CONTEXTE INCOMPLET",IF($X1127="DOUBLON",StatutDoublon,IF($S1127="",StatutInitial,IF($R1127="",StatutStandardManquant,IF($V1127="","DONNEES INSUFFISANTES",IF($V1127&gt;=SeuilConforme,StatutConforme,IF($V1127&gt;=SeuilSurveiller,StatutSurveiller,StatutSousStandard))))))))</f>
        <v/>
      </c>
      <c r="X1127" s="33">
        <f>IF($G1127="","",IF(OR($D1127="",$E1127="",$F1127=""),"CONTEXTE INCOMPLET",IF(COUNTIFS($D227:$D1126,$D1127,$E227:$E1126,$E1127,$F227:$F1126,$F1127,$G227:$G1126,$G1127)&gt;0,"DOUBLON","VALIDE")))</f>
        <v/>
      </c>
    </row>
    <row r="1128" ht="15" customHeight="1">
      <c r="A1128" s="12">
        <f>IF(OR($B1128="",$G1128=""),"",TEXT($B1128,"YYYYMMDD")&amp;"-"&amp;SUBSTITUTE($E1128," ","")&amp;"-"&amp;$F1128&amp;"-"&amp;$G1128)</f>
        <v/>
      </c>
      <c r="B1128" s="15" t="n"/>
      <c r="C1128" s="16" t="n"/>
      <c r="D1128" s="10" t="n"/>
      <c r="E1128" s="9" t="n"/>
      <c r="F1128" s="9" t="n"/>
      <c r="G1128" s="13" t="n"/>
      <c r="H1128" s="21" t="n"/>
      <c r="I1128" s="21" t="n"/>
      <c r="J1128" s="17">
        <f>IF($G1128="","",IFERROR(INDEX(NomsEmployes,MATCH($G1128,MatriculesEmployes,0)),"MATRICULE INCONNU"))</f>
        <v/>
      </c>
      <c r="K1128" s="33">
        <f>IF(OR($D1128="",$F1128=""),"",IFERROR(IF(INDEX(RUNS!$L$6:$S$1005,MATCH($D1128,RUNS!$A$6:$A$1005,0),MATCH("ACTIVITÉ "&amp;$F1128,RUNS!$L$5:$S$5,0))="","",INDEX(RUNS!$L$6:$S$1005,MATCH($D1128,RUNS!$A$6:$A$1005,0),MATCH("ACTIVITÉ "&amp;$F1128,RUNS!$L$5:$S$5,0))),""))</f>
        <v/>
      </c>
      <c r="L1128" s="33">
        <f>IF($D1128="","",IFERROR(IF(INDEX(RUNS!$E$6:$E$1005,MATCH($D1128,RUNS!$A$6:$A$1005,0))="","",INDEX(RUNS!$E$6:$E$1005,MATCH($D1128,RUNS!$A$6:$A$1005,0))),""))</f>
        <v/>
      </c>
      <c r="M1128" s="33">
        <f>IF($D1128="","",IFERROR(IF(INDEX(RUNS!$F$6:$F$1005,MATCH($D1128,RUNS!$A$6:$A$1005,0))="","",INDEX(RUNS!$F$6:$F$1005,MATCH($D1128,RUNS!$A$6:$A$1005,0))),""))</f>
        <v/>
      </c>
      <c r="N1128" s="33">
        <f>IF($D1128="","",IFERROR(IF(INDEX(RUNS!$G$6:$G$1005,MATCH($D1128,RUNS!$A$6:$A$1005,0))="","",INDEX(RUNS!$G$6:$G$1005,MATCH($D1128,RUNS!$A$6:$A$1005,0))),""))</f>
        <v/>
      </c>
      <c r="O1128" s="33">
        <f>IF($D1128="","",IFERROR(IF(INDEX(RUNS!$H$6:$H$1005,MATCH($D1128,RUNS!$A$6:$A$1005,0))="","",INDEX(RUNS!$H$6:$H$1005,MATCH($D1128,RUNS!$A$6:$A$1005,0))),""))</f>
        <v/>
      </c>
      <c r="P1128" s="33">
        <f>IF($D1128="","",IFERROR(IF(INDEX(RUNS!$J$6:$J$1005,MATCH($D1128,RUNS!$A$6:$A$1005,0))="","",INDEX(RUNS!$J$6:$J$1005,MATCH($D1128,RUNS!$A$6:$A$1005,0))),""))</f>
        <v/>
      </c>
      <c r="Q1128" s="33">
        <f>IF($D1128="","",IFERROR(IF(INDEX(RUNS!$K$6:$K$1005,MATCH($D1128,RUNS!$A$6:$A$1005,0))="","",INDEX(RUNS!$K$6:$K$1005,MATCH($D1128,RUNS!$A$6:$A$1005,0))),""))</f>
        <v/>
      </c>
      <c r="R1128" s="34">
        <f>IF(OR($L1128="",$K1128=""),"",IFERROR(IF(INDEX(PARAMETRES!$H$43:$H$342,MATCH($L1128&amp;"|"&amp;$M1128&amp;"|"&amp;$N1128&amp;"|"&amp;$O1128&amp;"|"&amp;$P1128&amp;"|"&amp;$Q1128&amp;"|"&amp;$K1128,PARAMETRES!$J$43:$J$342,0))="","",INDEX(PARAMETRES!$H$43:$H$342,MATCH($L1128&amp;"|"&amp;$M1128&amp;"|"&amp;$N1128&amp;"|"&amp;$O1128&amp;"|"&amp;$P1128&amp;"|"&amp;$Q1128&amp;"|"&amp;$K1128,PARAMETRES!$J$43:$J$342,0))),""))</f>
        <v/>
      </c>
      <c r="S1128" s="35">
        <f>IF(OR($G1128="",$X1128&lt;&gt;"VALIDE"),"",IFERROR(LOOKUP(2,1/(($B228:$B1127=$B1128)*($G228:$G1127=$G1128)*($X228:$X1127="VALIDE")),$C228:$C1127),""))</f>
        <v/>
      </c>
      <c r="T1128" s="36">
        <f>IF(OR($C1128="",$S1128=""),"",ROUND(($C1128-$S1128+IF($C1128&lt;$S1128,1,0))*1440,0))</f>
        <v/>
      </c>
      <c r="U1128" s="22">
        <f>IF(OR($H1128="",$T1128="",$T1128&lt;=0),"",$H1128*60/$T1128)</f>
        <v/>
      </c>
      <c r="V1128" s="37">
        <f>IF(OR($U1128="",$R1128="",$R1128=0),"",$U1128/$R1128)</f>
        <v/>
      </c>
      <c r="W1128" s="20">
        <f>IF($G1128="","",IF($X1128="CONTEXTE INCOMPLET","CONTEXTE INCOMPLET",IF($X1128="DOUBLON",StatutDoublon,IF($S1128="",StatutInitial,IF($R1128="",StatutStandardManquant,IF($V1128="","DONNEES INSUFFISANTES",IF($V1128&gt;=SeuilConforme,StatutConforme,IF($V1128&gt;=SeuilSurveiller,StatutSurveiller,StatutSousStandard))))))))</f>
        <v/>
      </c>
      <c r="X1128" s="33">
        <f>IF($G1128="","",IF(OR($D1128="",$E1128="",$F1128=""),"CONTEXTE INCOMPLET",IF(COUNTIFS($D228:$D1127,$D1128,$E228:$E1127,$E1128,$F228:$F1127,$F1128,$G228:$G1127,$G1128)&gt;0,"DOUBLON","VALIDE")))</f>
        <v/>
      </c>
    </row>
    <row r="1129" ht="15" customHeight="1">
      <c r="A1129" s="12">
        <f>IF(OR($B1129="",$G1129=""),"",TEXT($B1129,"YYYYMMDD")&amp;"-"&amp;SUBSTITUTE($E1129," ","")&amp;"-"&amp;$F1129&amp;"-"&amp;$G1129)</f>
        <v/>
      </c>
      <c r="B1129" s="15" t="n"/>
      <c r="C1129" s="16" t="n"/>
      <c r="D1129" s="10" t="n"/>
      <c r="E1129" s="9" t="n"/>
      <c r="F1129" s="9" t="n"/>
      <c r="G1129" s="13" t="n"/>
      <c r="H1129" s="21" t="n"/>
      <c r="I1129" s="21" t="n"/>
      <c r="J1129" s="17">
        <f>IF($G1129="","",IFERROR(INDEX(NomsEmployes,MATCH($G1129,MatriculesEmployes,0)),"MATRICULE INCONNU"))</f>
        <v/>
      </c>
      <c r="K1129" s="33">
        <f>IF(OR($D1129="",$F1129=""),"",IFERROR(IF(INDEX(RUNS!$L$6:$S$1005,MATCH($D1129,RUNS!$A$6:$A$1005,0),MATCH("ACTIVITÉ "&amp;$F1129,RUNS!$L$5:$S$5,0))="","",INDEX(RUNS!$L$6:$S$1005,MATCH($D1129,RUNS!$A$6:$A$1005,0),MATCH("ACTIVITÉ "&amp;$F1129,RUNS!$L$5:$S$5,0))),""))</f>
        <v/>
      </c>
      <c r="L1129" s="33">
        <f>IF($D1129="","",IFERROR(IF(INDEX(RUNS!$E$6:$E$1005,MATCH($D1129,RUNS!$A$6:$A$1005,0))="","",INDEX(RUNS!$E$6:$E$1005,MATCH($D1129,RUNS!$A$6:$A$1005,0))),""))</f>
        <v/>
      </c>
      <c r="M1129" s="33">
        <f>IF($D1129="","",IFERROR(IF(INDEX(RUNS!$F$6:$F$1005,MATCH($D1129,RUNS!$A$6:$A$1005,0))="","",INDEX(RUNS!$F$6:$F$1005,MATCH($D1129,RUNS!$A$6:$A$1005,0))),""))</f>
        <v/>
      </c>
      <c r="N1129" s="33">
        <f>IF($D1129="","",IFERROR(IF(INDEX(RUNS!$G$6:$G$1005,MATCH($D1129,RUNS!$A$6:$A$1005,0))="","",INDEX(RUNS!$G$6:$G$1005,MATCH($D1129,RUNS!$A$6:$A$1005,0))),""))</f>
        <v/>
      </c>
      <c r="O1129" s="33">
        <f>IF($D1129="","",IFERROR(IF(INDEX(RUNS!$H$6:$H$1005,MATCH($D1129,RUNS!$A$6:$A$1005,0))="","",INDEX(RUNS!$H$6:$H$1005,MATCH($D1129,RUNS!$A$6:$A$1005,0))),""))</f>
        <v/>
      </c>
      <c r="P1129" s="33">
        <f>IF($D1129="","",IFERROR(IF(INDEX(RUNS!$J$6:$J$1005,MATCH($D1129,RUNS!$A$6:$A$1005,0))="","",INDEX(RUNS!$J$6:$J$1005,MATCH($D1129,RUNS!$A$6:$A$1005,0))),""))</f>
        <v/>
      </c>
      <c r="Q1129" s="33">
        <f>IF($D1129="","",IFERROR(IF(INDEX(RUNS!$K$6:$K$1005,MATCH($D1129,RUNS!$A$6:$A$1005,0))="","",INDEX(RUNS!$K$6:$K$1005,MATCH($D1129,RUNS!$A$6:$A$1005,0))),""))</f>
        <v/>
      </c>
      <c r="R1129" s="34">
        <f>IF(OR($L1129="",$K1129=""),"",IFERROR(IF(INDEX(PARAMETRES!$H$43:$H$342,MATCH($L1129&amp;"|"&amp;$M1129&amp;"|"&amp;$N1129&amp;"|"&amp;$O1129&amp;"|"&amp;$P1129&amp;"|"&amp;$Q1129&amp;"|"&amp;$K1129,PARAMETRES!$J$43:$J$342,0))="","",INDEX(PARAMETRES!$H$43:$H$342,MATCH($L1129&amp;"|"&amp;$M1129&amp;"|"&amp;$N1129&amp;"|"&amp;$O1129&amp;"|"&amp;$P1129&amp;"|"&amp;$Q1129&amp;"|"&amp;$K1129,PARAMETRES!$J$43:$J$342,0))),""))</f>
        <v/>
      </c>
      <c r="S1129" s="35">
        <f>IF(OR($G1129="",$X1129&lt;&gt;"VALIDE"),"",IFERROR(LOOKUP(2,1/(($B229:$B1128=$B1129)*($G229:$G1128=$G1129)*($X229:$X1128="VALIDE")),$C229:$C1128),""))</f>
        <v/>
      </c>
      <c r="T1129" s="36">
        <f>IF(OR($C1129="",$S1129=""),"",ROUND(($C1129-$S1129+IF($C1129&lt;$S1129,1,0))*1440,0))</f>
        <v/>
      </c>
      <c r="U1129" s="22">
        <f>IF(OR($H1129="",$T1129="",$T1129&lt;=0),"",$H1129*60/$T1129)</f>
        <v/>
      </c>
      <c r="V1129" s="37">
        <f>IF(OR($U1129="",$R1129="",$R1129=0),"",$U1129/$R1129)</f>
        <v/>
      </c>
      <c r="W1129" s="20">
        <f>IF($G1129="","",IF($X1129="CONTEXTE INCOMPLET","CONTEXTE INCOMPLET",IF($X1129="DOUBLON",StatutDoublon,IF($S1129="",StatutInitial,IF($R1129="",StatutStandardManquant,IF($V1129="","DONNEES INSUFFISANTES",IF($V1129&gt;=SeuilConforme,StatutConforme,IF($V1129&gt;=SeuilSurveiller,StatutSurveiller,StatutSousStandard))))))))</f>
        <v/>
      </c>
      <c r="X1129" s="33">
        <f>IF($G1129="","",IF(OR($D1129="",$E1129="",$F1129=""),"CONTEXTE INCOMPLET",IF(COUNTIFS($D229:$D1128,$D1129,$E229:$E1128,$E1129,$F229:$F1128,$F1129,$G229:$G1128,$G1129)&gt;0,"DOUBLON","VALIDE")))</f>
        <v/>
      </c>
    </row>
    <row r="1130" ht="15" customHeight="1">
      <c r="A1130" s="12">
        <f>IF(OR($B1130="",$G1130=""),"",TEXT($B1130,"YYYYMMDD")&amp;"-"&amp;SUBSTITUTE($E1130," ","")&amp;"-"&amp;$F1130&amp;"-"&amp;$G1130)</f>
        <v/>
      </c>
      <c r="B1130" s="15" t="n"/>
      <c r="C1130" s="16" t="n"/>
      <c r="D1130" s="10" t="n"/>
      <c r="E1130" s="9" t="n"/>
      <c r="F1130" s="9" t="n"/>
      <c r="G1130" s="13" t="n"/>
      <c r="H1130" s="21" t="n"/>
      <c r="I1130" s="21" t="n"/>
      <c r="J1130" s="17">
        <f>IF($G1130="","",IFERROR(INDEX(NomsEmployes,MATCH($G1130,MatriculesEmployes,0)),"MATRICULE INCONNU"))</f>
        <v/>
      </c>
      <c r="K1130" s="33">
        <f>IF(OR($D1130="",$F1130=""),"",IFERROR(IF(INDEX(RUNS!$L$6:$S$1005,MATCH($D1130,RUNS!$A$6:$A$1005,0),MATCH("ACTIVITÉ "&amp;$F1130,RUNS!$L$5:$S$5,0))="","",INDEX(RUNS!$L$6:$S$1005,MATCH($D1130,RUNS!$A$6:$A$1005,0),MATCH("ACTIVITÉ "&amp;$F1130,RUNS!$L$5:$S$5,0))),""))</f>
        <v/>
      </c>
      <c r="L1130" s="33">
        <f>IF($D1130="","",IFERROR(IF(INDEX(RUNS!$E$6:$E$1005,MATCH($D1130,RUNS!$A$6:$A$1005,0))="","",INDEX(RUNS!$E$6:$E$1005,MATCH($D1130,RUNS!$A$6:$A$1005,0))),""))</f>
        <v/>
      </c>
      <c r="M1130" s="33">
        <f>IF($D1130="","",IFERROR(IF(INDEX(RUNS!$F$6:$F$1005,MATCH($D1130,RUNS!$A$6:$A$1005,0))="","",INDEX(RUNS!$F$6:$F$1005,MATCH($D1130,RUNS!$A$6:$A$1005,0))),""))</f>
        <v/>
      </c>
      <c r="N1130" s="33">
        <f>IF($D1130="","",IFERROR(IF(INDEX(RUNS!$G$6:$G$1005,MATCH($D1130,RUNS!$A$6:$A$1005,0))="","",INDEX(RUNS!$G$6:$G$1005,MATCH($D1130,RUNS!$A$6:$A$1005,0))),""))</f>
        <v/>
      </c>
      <c r="O1130" s="33">
        <f>IF($D1130="","",IFERROR(IF(INDEX(RUNS!$H$6:$H$1005,MATCH($D1130,RUNS!$A$6:$A$1005,0))="","",INDEX(RUNS!$H$6:$H$1005,MATCH($D1130,RUNS!$A$6:$A$1005,0))),""))</f>
        <v/>
      </c>
      <c r="P1130" s="33">
        <f>IF($D1130="","",IFERROR(IF(INDEX(RUNS!$J$6:$J$1005,MATCH($D1130,RUNS!$A$6:$A$1005,0))="","",INDEX(RUNS!$J$6:$J$1005,MATCH($D1130,RUNS!$A$6:$A$1005,0))),""))</f>
        <v/>
      </c>
      <c r="Q1130" s="33">
        <f>IF($D1130="","",IFERROR(IF(INDEX(RUNS!$K$6:$K$1005,MATCH($D1130,RUNS!$A$6:$A$1005,0))="","",INDEX(RUNS!$K$6:$K$1005,MATCH($D1130,RUNS!$A$6:$A$1005,0))),""))</f>
        <v/>
      </c>
      <c r="R1130" s="34">
        <f>IF(OR($L1130="",$K1130=""),"",IFERROR(IF(INDEX(PARAMETRES!$H$43:$H$342,MATCH($L1130&amp;"|"&amp;$M1130&amp;"|"&amp;$N1130&amp;"|"&amp;$O1130&amp;"|"&amp;$P1130&amp;"|"&amp;$Q1130&amp;"|"&amp;$K1130,PARAMETRES!$J$43:$J$342,0))="","",INDEX(PARAMETRES!$H$43:$H$342,MATCH($L1130&amp;"|"&amp;$M1130&amp;"|"&amp;$N1130&amp;"|"&amp;$O1130&amp;"|"&amp;$P1130&amp;"|"&amp;$Q1130&amp;"|"&amp;$K1130,PARAMETRES!$J$43:$J$342,0))),""))</f>
        <v/>
      </c>
      <c r="S1130" s="35">
        <f>IF(OR($G1130="",$X1130&lt;&gt;"VALIDE"),"",IFERROR(LOOKUP(2,1/(($B230:$B1129=$B1130)*($G230:$G1129=$G1130)*($X230:$X1129="VALIDE")),$C230:$C1129),""))</f>
        <v/>
      </c>
      <c r="T1130" s="36">
        <f>IF(OR($C1130="",$S1130=""),"",ROUND(($C1130-$S1130+IF($C1130&lt;$S1130,1,0))*1440,0))</f>
        <v/>
      </c>
      <c r="U1130" s="22">
        <f>IF(OR($H1130="",$T1130="",$T1130&lt;=0),"",$H1130*60/$T1130)</f>
        <v/>
      </c>
      <c r="V1130" s="37">
        <f>IF(OR($U1130="",$R1130="",$R1130=0),"",$U1130/$R1130)</f>
        <v/>
      </c>
      <c r="W1130" s="20">
        <f>IF($G1130="","",IF($X1130="CONTEXTE INCOMPLET","CONTEXTE INCOMPLET",IF($X1130="DOUBLON",StatutDoublon,IF($S1130="",StatutInitial,IF($R1130="",StatutStandardManquant,IF($V1130="","DONNEES INSUFFISANTES",IF($V1130&gt;=SeuilConforme,StatutConforme,IF($V1130&gt;=SeuilSurveiller,StatutSurveiller,StatutSousStandard))))))))</f>
        <v/>
      </c>
      <c r="X1130" s="33">
        <f>IF($G1130="","",IF(OR($D1130="",$E1130="",$F1130=""),"CONTEXTE INCOMPLET",IF(COUNTIFS($D230:$D1129,$D1130,$E230:$E1129,$E1130,$F230:$F1129,$F1130,$G230:$G1129,$G1130)&gt;0,"DOUBLON","VALIDE")))</f>
        <v/>
      </c>
    </row>
    <row r="1131" ht="15" customHeight="1">
      <c r="A1131" s="12">
        <f>IF(OR($B1131="",$G1131=""),"",TEXT($B1131,"YYYYMMDD")&amp;"-"&amp;SUBSTITUTE($E1131," ","")&amp;"-"&amp;$F1131&amp;"-"&amp;$G1131)</f>
        <v/>
      </c>
      <c r="B1131" s="15" t="n"/>
      <c r="C1131" s="16" t="n"/>
      <c r="D1131" s="10" t="n"/>
      <c r="E1131" s="9" t="n"/>
      <c r="F1131" s="9" t="n"/>
      <c r="G1131" s="13" t="n"/>
      <c r="H1131" s="21" t="n"/>
      <c r="I1131" s="21" t="n"/>
      <c r="J1131" s="17">
        <f>IF($G1131="","",IFERROR(INDEX(NomsEmployes,MATCH($G1131,MatriculesEmployes,0)),"MATRICULE INCONNU"))</f>
        <v/>
      </c>
      <c r="K1131" s="33">
        <f>IF(OR($D1131="",$F1131=""),"",IFERROR(IF(INDEX(RUNS!$L$6:$S$1005,MATCH($D1131,RUNS!$A$6:$A$1005,0),MATCH("ACTIVITÉ "&amp;$F1131,RUNS!$L$5:$S$5,0))="","",INDEX(RUNS!$L$6:$S$1005,MATCH($D1131,RUNS!$A$6:$A$1005,0),MATCH("ACTIVITÉ "&amp;$F1131,RUNS!$L$5:$S$5,0))),""))</f>
        <v/>
      </c>
      <c r="L1131" s="33">
        <f>IF($D1131="","",IFERROR(IF(INDEX(RUNS!$E$6:$E$1005,MATCH($D1131,RUNS!$A$6:$A$1005,0))="","",INDEX(RUNS!$E$6:$E$1005,MATCH($D1131,RUNS!$A$6:$A$1005,0))),""))</f>
        <v/>
      </c>
      <c r="M1131" s="33">
        <f>IF($D1131="","",IFERROR(IF(INDEX(RUNS!$F$6:$F$1005,MATCH($D1131,RUNS!$A$6:$A$1005,0))="","",INDEX(RUNS!$F$6:$F$1005,MATCH($D1131,RUNS!$A$6:$A$1005,0))),""))</f>
        <v/>
      </c>
      <c r="N1131" s="33">
        <f>IF($D1131="","",IFERROR(IF(INDEX(RUNS!$G$6:$G$1005,MATCH($D1131,RUNS!$A$6:$A$1005,0))="","",INDEX(RUNS!$G$6:$G$1005,MATCH($D1131,RUNS!$A$6:$A$1005,0))),""))</f>
        <v/>
      </c>
      <c r="O1131" s="33">
        <f>IF($D1131="","",IFERROR(IF(INDEX(RUNS!$H$6:$H$1005,MATCH($D1131,RUNS!$A$6:$A$1005,0))="","",INDEX(RUNS!$H$6:$H$1005,MATCH($D1131,RUNS!$A$6:$A$1005,0))),""))</f>
        <v/>
      </c>
      <c r="P1131" s="33">
        <f>IF($D1131="","",IFERROR(IF(INDEX(RUNS!$J$6:$J$1005,MATCH($D1131,RUNS!$A$6:$A$1005,0))="","",INDEX(RUNS!$J$6:$J$1005,MATCH($D1131,RUNS!$A$6:$A$1005,0))),""))</f>
        <v/>
      </c>
      <c r="Q1131" s="33">
        <f>IF($D1131="","",IFERROR(IF(INDEX(RUNS!$K$6:$K$1005,MATCH($D1131,RUNS!$A$6:$A$1005,0))="","",INDEX(RUNS!$K$6:$K$1005,MATCH($D1131,RUNS!$A$6:$A$1005,0))),""))</f>
        <v/>
      </c>
      <c r="R1131" s="34">
        <f>IF(OR($L1131="",$K1131=""),"",IFERROR(IF(INDEX(PARAMETRES!$H$43:$H$342,MATCH($L1131&amp;"|"&amp;$M1131&amp;"|"&amp;$N1131&amp;"|"&amp;$O1131&amp;"|"&amp;$P1131&amp;"|"&amp;$Q1131&amp;"|"&amp;$K1131,PARAMETRES!$J$43:$J$342,0))="","",INDEX(PARAMETRES!$H$43:$H$342,MATCH($L1131&amp;"|"&amp;$M1131&amp;"|"&amp;$N1131&amp;"|"&amp;$O1131&amp;"|"&amp;$P1131&amp;"|"&amp;$Q1131&amp;"|"&amp;$K1131,PARAMETRES!$J$43:$J$342,0))),""))</f>
        <v/>
      </c>
      <c r="S1131" s="35">
        <f>IF(OR($G1131="",$X1131&lt;&gt;"VALIDE"),"",IFERROR(LOOKUP(2,1/(($B231:$B1130=$B1131)*($G231:$G1130=$G1131)*($X231:$X1130="VALIDE")),$C231:$C1130),""))</f>
        <v/>
      </c>
      <c r="T1131" s="36">
        <f>IF(OR($C1131="",$S1131=""),"",ROUND(($C1131-$S1131+IF($C1131&lt;$S1131,1,0))*1440,0))</f>
        <v/>
      </c>
      <c r="U1131" s="22">
        <f>IF(OR($H1131="",$T1131="",$T1131&lt;=0),"",$H1131*60/$T1131)</f>
        <v/>
      </c>
      <c r="V1131" s="37">
        <f>IF(OR($U1131="",$R1131="",$R1131=0),"",$U1131/$R1131)</f>
        <v/>
      </c>
      <c r="W1131" s="20">
        <f>IF($G1131="","",IF($X1131="CONTEXTE INCOMPLET","CONTEXTE INCOMPLET",IF($X1131="DOUBLON",StatutDoublon,IF($S1131="",StatutInitial,IF($R1131="",StatutStandardManquant,IF($V1131="","DONNEES INSUFFISANTES",IF($V1131&gt;=SeuilConforme,StatutConforme,IF($V1131&gt;=SeuilSurveiller,StatutSurveiller,StatutSousStandard))))))))</f>
        <v/>
      </c>
      <c r="X1131" s="33">
        <f>IF($G1131="","",IF(OR($D1131="",$E1131="",$F1131=""),"CONTEXTE INCOMPLET",IF(COUNTIFS($D231:$D1130,$D1131,$E231:$E1130,$E1131,$F231:$F1130,$F1131,$G231:$G1130,$G1131)&gt;0,"DOUBLON","VALIDE")))</f>
        <v/>
      </c>
    </row>
    <row r="1132" ht="15" customHeight="1">
      <c r="A1132" s="12">
        <f>IF(OR($B1132="",$G1132=""),"",TEXT($B1132,"YYYYMMDD")&amp;"-"&amp;SUBSTITUTE($E1132," ","")&amp;"-"&amp;$F1132&amp;"-"&amp;$G1132)</f>
        <v/>
      </c>
      <c r="B1132" s="15" t="n"/>
      <c r="C1132" s="16" t="n"/>
      <c r="D1132" s="10" t="n"/>
      <c r="E1132" s="9" t="n"/>
      <c r="F1132" s="9" t="n"/>
      <c r="G1132" s="13" t="n"/>
      <c r="H1132" s="21" t="n"/>
      <c r="I1132" s="21" t="n"/>
      <c r="J1132" s="17">
        <f>IF($G1132="","",IFERROR(INDEX(NomsEmployes,MATCH($G1132,MatriculesEmployes,0)),"MATRICULE INCONNU"))</f>
        <v/>
      </c>
      <c r="K1132" s="33">
        <f>IF(OR($D1132="",$F1132=""),"",IFERROR(IF(INDEX(RUNS!$L$6:$S$1005,MATCH($D1132,RUNS!$A$6:$A$1005,0),MATCH("ACTIVITÉ "&amp;$F1132,RUNS!$L$5:$S$5,0))="","",INDEX(RUNS!$L$6:$S$1005,MATCH($D1132,RUNS!$A$6:$A$1005,0),MATCH("ACTIVITÉ "&amp;$F1132,RUNS!$L$5:$S$5,0))),""))</f>
        <v/>
      </c>
      <c r="L1132" s="33">
        <f>IF($D1132="","",IFERROR(IF(INDEX(RUNS!$E$6:$E$1005,MATCH($D1132,RUNS!$A$6:$A$1005,0))="","",INDEX(RUNS!$E$6:$E$1005,MATCH($D1132,RUNS!$A$6:$A$1005,0))),""))</f>
        <v/>
      </c>
      <c r="M1132" s="33">
        <f>IF($D1132="","",IFERROR(IF(INDEX(RUNS!$F$6:$F$1005,MATCH($D1132,RUNS!$A$6:$A$1005,0))="","",INDEX(RUNS!$F$6:$F$1005,MATCH($D1132,RUNS!$A$6:$A$1005,0))),""))</f>
        <v/>
      </c>
      <c r="N1132" s="33">
        <f>IF($D1132="","",IFERROR(IF(INDEX(RUNS!$G$6:$G$1005,MATCH($D1132,RUNS!$A$6:$A$1005,0))="","",INDEX(RUNS!$G$6:$G$1005,MATCH($D1132,RUNS!$A$6:$A$1005,0))),""))</f>
        <v/>
      </c>
      <c r="O1132" s="33">
        <f>IF($D1132="","",IFERROR(IF(INDEX(RUNS!$H$6:$H$1005,MATCH($D1132,RUNS!$A$6:$A$1005,0))="","",INDEX(RUNS!$H$6:$H$1005,MATCH($D1132,RUNS!$A$6:$A$1005,0))),""))</f>
        <v/>
      </c>
      <c r="P1132" s="33">
        <f>IF($D1132="","",IFERROR(IF(INDEX(RUNS!$J$6:$J$1005,MATCH($D1132,RUNS!$A$6:$A$1005,0))="","",INDEX(RUNS!$J$6:$J$1005,MATCH($D1132,RUNS!$A$6:$A$1005,0))),""))</f>
        <v/>
      </c>
      <c r="Q1132" s="33">
        <f>IF($D1132="","",IFERROR(IF(INDEX(RUNS!$K$6:$K$1005,MATCH($D1132,RUNS!$A$6:$A$1005,0))="","",INDEX(RUNS!$K$6:$K$1005,MATCH($D1132,RUNS!$A$6:$A$1005,0))),""))</f>
        <v/>
      </c>
      <c r="R1132" s="34">
        <f>IF(OR($L1132="",$K1132=""),"",IFERROR(IF(INDEX(PARAMETRES!$H$43:$H$342,MATCH($L1132&amp;"|"&amp;$M1132&amp;"|"&amp;$N1132&amp;"|"&amp;$O1132&amp;"|"&amp;$P1132&amp;"|"&amp;$Q1132&amp;"|"&amp;$K1132,PARAMETRES!$J$43:$J$342,0))="","",INDEX(PARAMETRES!$H$43:$H$342,MATCH($L1132&amp;"|"&amp;$M1132&amp;"|"&amp;$N1132&amp;"|"&amp;$O1132&amp;"|"&amp;$P1132&amp;"|"&amp;$Q1132&amp;"|"&amp;$K1132,PARAMETRES!$J$43:$J$342,0))),""))</f>
        <v/>
      </c>
      <c r="S1132" s="35">
        <f>IF(OR($G1132="",$X1132&lt;&gt;"VALIDE"),"",IFERROR(LOOKUP(2,1/(($B232:$B1131=$B1132)*($G232:$G1131=$G1132)*($X232:$X1131="VALIDE")),$C232:$C1131),""))</f>
        <v/>
      </c>
      <c r="T1132" s="36">
        <f>IF(OR($C1132="",$S1132=""),"",ROUND(($C1132-$S1132+IF($C1132&lt;$S1132,1,0))*1440,0))</f>
        <v/>
      </c>
      <c r="U1132" s="22">
        <f>IF(OR($H1132="",$T1132="",$T1132&lt;=0),"",$H1132*60/$T1132)</f>
        <v/>
      </c>
      <c r="V1132" s="37">
        <f>IF(OR($U1132="",$R1132="",$R1132=0),"",$U1132/$R1132)</f>
        <v/>
      </c>
      <c r="W1132" s="20">
        <f>IF($G1132="","",IF($X1132="CONTEXTE INCOMPLET","CONTEXTE INCOMPLET",IF($X1132="DOUBLON",StatutDoublon,IF($S1132="",StatutInitial,IF($R1132="",StatutStandardManquant,IF($V1132="","DONNEES INSUFFISANTES",IF($V1132&gt;=SeuilConforme,StatutConforme,IF($V1132&gt;=SeuilSurveiller,StatutSurveiller,StatutSousStandard))))))))</f>
        <v/>
      </c>
      <c r="X1132" s="33">
        <f>IF($G1132="","",IF(OR($D1132="",$E1132="",$F1132=""),"CONTEXTE INCOMPLET",IF(COUNTIFS($D232:$D1131,$D1132,$E232:$E1131,$E1132,$F232:$F1131,$F1132,$G232:$G1131,$G1132)&gt;0,"DOUBLON","VALIDE")))</f>
        <v/>
      </c>
    </row>
    <row r="1133" ht="15" customHeight="1">
      <c r="A1133" s="12">
        <f>IF(OR($B1133="",$G1133=""),"",TEXT($B1133,"YYYYMMDD")&amp;"-"&amp;SUBSTITUTE($E1133," ","")&amp;"-"&amp;$F1133&amp;"-"&amp;$G1133)</f>
        <v/>
      </c>
      <c r="B1133" s="15" t="n"/>
      <c r="C1133" s="16" t="n"/>
      <c r="D1133" s="10" t="n"/>
      <c r="E1133" s="9" t="n"/>
      <c r="F1133" s="9" t="n"/>
      <c r="G1133" s="13" t="n"/>
      <c r="H1133" s="21" t="n"/>
      <c r="I1133" s="21" t="n"/>
      <c r="J1133" s="17">
        <f>IF($G1133="","",IFERROR(INDEX(NomsEmployes,MATCH($G1133,MatriculesEmployes,0)),"MATRICULE INCONNU"))</f>
        <v/>
      </c>
      <c r="K1133" s="33">
        <f>IF(OR($D1133="",$F1133=""),"",IFERROR(IF(INDEX(RUNS!$L$6:$S$1005,MATCH($D1133,RUNS!$A$6:$A$1005,0),MATCH("ACTIVITÉ "&amp;$F1133,RUNS!$L$5:$S$5,0))="","",INDEX(RUNS!$L$6:$S$1005,MATCH($D1133,RUNS!$A$6:$A$1005,0),MATCH("ACTIVITÉ "&amp;$F1133,RUNS!$L$5:$S$5,0))),""))</f>
        <v/>
      </c>
      <c r="L1133" s="33">
        <f>IF($D1133="","",IFERROR(IF(INDEX(RUNS!$E$6:$E$1005,MATCH($D1133,RUNS!$A$6:$A$1005,0))="","",INDEX(RUNS!$E$6:$E$1005,MATCH($D1133,RUNS!$A$6:$A$1005,0))),""))</f>
        <v/>
      </c>
      <c r="M1133" s="33">
        <f>IF($D1133="","",IFERROR(IF(INDEX(RUNS!$F$6:$F$1005,MATCH($D1133,RUNS!$A$6:$A$1005,0))="","",INDEX(RUNS!$F$6:$F$1005,MATCH($D1133,RUNS!$A$6:$A$1005,0))),""))</f>
        <v/>
      </c>
      <c r="N1133" s="33">
        <f>IF($D1133="","",IFERROR(IF(INDEX(RUNS!$G$6:$G$1005,MATCH($D1133,RUNS!$A$6:$A$1005,0))="","",INDEX(RUNS!$G$6:$G$1005,MATCH($D1133,RUNS!$A$6:$A$1005,0))),""))</f>
        <v/>
      </c>
      <c r="O1133" s="33">
        <f>IF($D1133="","",IFERROR(IF(INDEX(RUNS!$H$6:$H$1005,MATCH($D1133,RUNS!$A$6:$A$1005,0))="","",INDEX(RUNS!$H$6:$H$1005,MATCH($D1133,RUNS!$A$6:$A$1005,0))),""))</f>
        <v/>
      </c>
      <c r="P1133" s="33">
        <f>IF($D1133="","",IFERROR(IF(INDEX(RUNS!$J$6:$J$1005,MATCH($D1133,RUNS!$A$6:$A$1005,0))="","",INDEX(RUNS!$J$6:$J$1005,MATCH($D1133,RUNS!$A$6:$A$1005,0))),""))</f>
        <v/>
      </c>
      <c r="Q1133" s="33">
        <f>IF($D1133="","",IFERROR(IF(INDEX(RUNS!$K$6:$K$1005,MATCH($D1133,RUNS!$A$6:$A$1005,0))="","",INDEX(RUNS!$K$6:$K$1005,MATCH($D1133,RUNS!$A$6:$A$1005,0))),""))</f>
        <v/>
      </c>
      <c r="R1133" s="34">
        <f>IF(OR($L1133="",$K1133=""),"",IFERROR(IF(INDEX(PARAMETRES!$H$43:$H$342,MATCH($L1133&amp;"|"&amp;$M1133&amp;"|"&amp;$N1133&amp;"|"&amp;$O1133&amp;"|"&amp;$P1133&amp;"|"&amp;$Q1133&amp;"|"&amp;$K1133,PARAMETRES!$J$43:$J$342,0))="","",INDEX(PARAMETRES!$H$43:$H$342,MATCH($L1133&amp;"|"&amp;$M1133&amp;"|"&amp;$N1133&amp;"|"&amp;$O1133&amp;"|"&amp;$P1133&amp;"|"&amp;$Q1133&amp;"|"&amp;$K1133,PARAMETRES!$J$43:$J$342,0))),""))</f>
        <v/>
      </c>
      <c r="S1133" s="35">
        <f>IF(OR($G1133="",$X1133&lt;&gt;"VALIDE"),"",IFERROR(LOOKUP(2,1/(($B233:$B1132=$B1133)*($G233:$G1132=$G1133)*($X233:$X1132="VALIDE")),$C233:$C1132),""))</f>
        <v/>
      </c>
      <c r="T1133" s="36">
        <f>IF(OR($C1133="",$S1133=""),"",ROUND(($C1133-$S1133+IF($C1133&lt;$S1133,1,0))*1440,0))</f>
        <v/>
      </c>
      <c r="U1133" s="22">
        <f>IF(OR($H1133="",$T1133="",$T1133&lt;=0),"",$H1133*60/$T1133)</f>
        <v/>
      </c>
      <c r="V1133" s="37">
        <f>IF(OR($U1133="",$R1133="",$R1133=0),"",$U1133/$R1133)</f>
        <v/>
      </c>
      <c r="W1133" s="20">
        <f>IF($G1133="","",IF($X1133="CONTEXTE INCOMPLET","CONTEXTE INCOMPLET",IF($X1133="DOUBLON",StatutDoublon,IF($S1133="",StatutInitial,IF($R1133="",StatutStandardManquant,IF($V1133="","DONNEES INSUFFISANTES",IF($V1133&gt;=SeuilConforme,StatutConforme,IF($V1133&gt;=SeuilSurveiller,StatutSurveiller,StatutSousStandard))))))))</f>
        <v/>
      </c>
      <c r="X1133" s="33">
        <f>IF($G1133="","",IF(OR($D1133="",$E1133="",$F1133=""),"CONTEXTE INCOMPLET",IF(COUNTIFS($D233:$D1132,$D1133,$E233:$E1132,$E1133,$F233:$F1132,$F1133,$G233:$G1132,$G1133)&gt;0,"DOUBLON","VALIDE")))</f>
        <v/>
      </c>
    </row>
    <row r="1134" ht="15" customHeight="1">
      <c r="A1134" s="12">
        <f>IF(OR($B1134="",$G1134=""),"",TEXT($B1134,"YYYYMMDD")&amp;"-"&amp;SUBSTITUTE($E1134," ","")&amp;"-"&amp;$F1134&amp;"-"&amp;$G1134)</f>
        <v/>
      </c>
      <c r="B1134" s="15" t="n"/>
      <c r="C1134" s="16" t="n"/>
      <c r="D1134" s="10" t="n"/>
      <c r="E1134" s="9" t="n"/>
      <c r="F1134" s="9" t="n"/>
      <c r="G1134" s="13" t="n"/>
      <c r="H1134" s="21" t="n"/>
      <c r="I1134" s="21" t="n"/>
      <c r="J1134" s="17">
        <f>IF($G1134="","",IFERROR(INDEX(NomsEmployes,MATCH($G1134,MatriculesEmployes,0)),"MATRICULE INCONNU"))</f>
        <v/>
      </c>
      <c r="K1134" s="33">
        <f>IF(OR($D1134="",$F1134=""),"",IFERROR(IF(INDEX(RUNS!$L$6:$S$1005,MATCH($D1134,RUNS!$A$6:$A$1005,0),MATCH("ACTIVITÉ "&amp;$F1134,RUNS!$L$5:$S$5,0))="","",INDEX(RUNS!$L$6:$S$1005,MATCH($D1134,RUNS!$A$6:$A$1005,0),MATCH("ACTIVITÉ "&amp;$F1134,RUNS!$L$5:$S$5,0))),""))</f>
        <v/>
      </c>
      <c r="L1134" s="33">
        <f>IF($D1134="","",IFERROR(IF(INDEX(RUNS!$E$6:$E$1005,MATCH($D1134,RUNS!$A$6:$A$1005,0))="","",INDEX(RUNS!$E$6:$E$1005,MATCH($D1134,RUNS!$A$6:$A$1005,0))),""))</f>
        <v/>
      </c>
      <c r="M1134" s="33">
        <f>IF($D1134="","",IFERROR(IF(INDEX(RUNS!$F$6:$F$1005,MATCH($D1134,RUNS!$A$6:$A$1005,0))="","",INDEX(RUNS!$F$6:$F$1005,MATCH($D1134,RUNS!$A$6:$A$1005,0))),""))</f>
        <v/>
      </c>
      <c r="N1134" s="33">
        <f>IF($D1134="","",IFERROR(IF(INDEX(RUNS!$G$6:$G$1005,MATCH($D1134,RUNS!$A$6:$A$1005,0))="","",INDEX(RUNS!$G$6:$G$1005,MATCH($D1134,RUNS!$A$6:$A$1005,0))),""))</f>
        <v/>
      </c>
      <c r="O1134" s="33">
        <f>IF($D1134="","",IFERROR(IF(INDEX(RUNS!$H$6:$H$1005,MATCH($D1134,RUNS!$A$6:$A$1005,0))="","",INDEX(RUNS!$H$6:$H$1005,MATCH($D1134,RUNS!$A$6:$A$1005,0))),""))</f>
        <v/>
      </c>
      <c r="P1134" s="33">
        <f>IF($D1134="","",IFERROR(IF(INDEX(RUNS!$J$6:$J$1005,MATCH($D1134,RUNS!$A$6:$A$1005,0))="","",INDEX(RUNS!$J$6:$J$1005,MATCH($D1134,RUNS!$A$6:$A$1005,0))),""))</f>
        <v/>
      </c>
      <c r="Q1134" s="33">
        <f>IF($D1134="","",IFERROR(IF(INDEX(RUNS!$K$6:$K$1005,MATCH($D1134,RUNS!$A$6:$A$1005,0))="","",INDEX(RUNS!$K$6:$K$1005,MATCH($D1134,RUNS!$A$6:$A$1005,0))),""))</f>
        <v/>
      </c>
      <c r="R1134" s="34">
        <f>IF(OR($L1134="",$K1134=""),"",IFERROR(IF(INDEX(PARAMETRES!$H$43:$H$342,MATCH($L1134&amp;"|"&amp;$M1134&amp;"|"&amp;$N1134&amp;"|"&amp;$O1134&amp;"|"&amp;$P1134&amp;"|"&amp;$Q1134&amp;"|"&amp;$K1134,PARAMETRES!$J$43:$J$342,0))="","",INDEX(PARAMETRES!$H$43:$H$342,MATCH($L1134&amp;"|"&amp;$M1134&amp;"|"&amp;$N1134&amp;"|"&amp;$O1134&amp;"|"&amp;$P1134&amp;"|"&amp;$Q1134&amp;"|"&amp;$K1134,PARAMETRES!$J$43:$J$342,0))),""))</f>
        <v/>
      </c>
      <c r="S1134" s="35">
        <f>IF(OR($G1134="",$X1134&lt;&gt;"VALIDE"),"",IFERROR(LOOKUP(2,1/(($B234:$B1133=$B1134)*($G234:$G1133=$G1134)*($X234:$X1133="VALIDE")),$C234:$C1133),""))</f>
        <v/>
      </c>
      <c r="T1134" s="36">
        <f>IF(OR($C1134="",$S1134=""),"",ROUND(($C1134-$S1134+IF($C1134&lt;$S1134,1,0))*1440,0))</f>
        <v/>
      </c>
      <c r="U1134" s="22">
        <f>IF(OR($H1134="",$T1134="",$T1134&lt;=0),"",$H1134*60/$T1134)</f>
        <v/>
      </c>
      <c r="V1134" s="37">
        <f>IF(OR($U1134="",$R1134="",$R1134=0),"",$U1134/$R1134)</f>
        <v/>
      </c>
      <c r="W1134" s="20">
        <f>IF($G1134="","",IF($X1134="CONTEXTE INCOMPLET","CONTEXTE INCOMPLET",IF($X1134="DOUBLON",StatutDoublon,IF($S1134="",StatutInitial,IF($R1134="",StatutStandardManquant,IF($V1134="","DONNEES INSUFFISANTES",IF($V1134&gt;=SeuilConforme,StatutConforme,IF($V1134&gt;=SeuilSurveiller,StatutSurveiller,StatutSousStandard))))))))</f>
        <v/>
      </c>
      <c r="X1134" s="33">
        <f>IF($G1134="","",IF(OR($D1134="",$E1134="",$F1134=""),"CONTEXTE INCOMPLET",IF(COUNTIFS($D234:$D1133,$D1134,$E234:$E1133,$E1134,$F234:$F1133,$F1134,$G234:$G1133,$G1134)&gt;0,"DOUBLON","VALIDE")))</f>
        <v/>
      </c>
    </row>
    <row r="1135" ht="15" customHeight="1">
      <c r="A1135" s="12">
        <f>IF(OR($B1135="",$G1135=""),"",TEXT($B1135,"YYYYMMDD")&amp;"-"&amp;SUBSTITUTE($E1135," ","")&amp;"-"&amp;$F1135&amp;"-"&amp;$G1135)</f>
        <v/>
      </c>
      <c r="B1135" s="15" t="n"/>
      <c r="C1135" s="16" t="n"/>
      <c r="D1135" s="10" t="n"/>
      <c r="E1135" s="9" t="n"/>
      <c r="F1135" s="9" t="n"/>
      <c r="G1135" s="13" t="n"/>
      <c r="H1135" s="21" t="n"/>
      <c r="I1135" s="21" t="n"/>
      <c r="J1135" s="17">
        <f>IF($G1135="","",IFERROR(INDEX(NomsEmployes,MATCH($G1135,MatriculesEmployes,0)),"MATRICULE INCONNU"))</f>
        <v/>
      </c>
      <c r="K1135" s="33">
        <f>IF(OR($D1135="",$F1135=""),"",IFERROR(IF(INDEX(RUNS!$L$6:$S$1005,MATCH($D1135,RUNS!$A$6:$A$1005,0),MATCH("ACTIVITÉ "&amp;$F1135,RUNS!$L$5:$S$5,0))="","",INDEX(RUNS!$L$6:$S$1005,MATCH($D1135,RUNS!$A$6:$A$1005,0),MATCH("ACTIVITÉ "&amp;$F1135,RUNS!$L$5:$S$5,0))),""))</f>
        <v/>
      </c>
      <c r="L1135" s="33">
        <f>IF($D1135="","",IFERROR(IF(INDEX(RUNS!$E$6:$E$1005,MATCH($D1135,RUNS!$A$6:$A$1005,0))="","",INDEX(RUNS!$E$6:$E$1005,MATCH($D1135,RUNS!$A$6:$A$1005,0))),""))</f>
        <v/>
      </c>
      <c r="M1135" s="33">
        <f>IF($D1135="","",IFERROR(IF(INDEX(RUNS!$F$6:$F$1005,MATCH($D1135,RUNS!$A$6:$A$1005,0))="","",INDEX(RUNS!$F$6:$F$1005,MATCH($D1135,RUNS!$A$6:$A$1005,0))),""))</f>
        <v/>
      </c>
      <c r="N1135" s="33">
        <f>IF($D1135="","",IFERROR(IF(INDEX(RUNS!$G$6:$G$1005,MATCH($D1135,RUNS!$A$6:$A$1005,0))="","",INDEX(RUNS!$G$6:$G$1005,MATCH($D1135,RUNS!$A$6:$A$1005,0))),""))</f>
        <v/>
      </c>
      <c r="O1135" s="33">
        <f>IF($D1135="","",IFERROR(IF(INDEX(RUNS!$H$6:$H$1005,MATCH($D1135,RUNS!$A$6:$A$1005,0))="","",INDEX(RUNS!$H$6:$H$1005,MATCH($D1135,RUNS!$A$6:$A$1005,0))),""))</f>
        <v/>
      </c>
      <c r="P1135" s="33">
        <f>IF($D1135="","",IFERROR(IF(INDEX(RUNS!$J$6:$J$1005,MATCH($D1135,RUNS!$A$6:$A$1005,0))="","",INDEX(RUNS!$J$6:$J$1005,MATCH($D1135,RUNS!$A$6:$A$1005,0))),""))</f>
        <v/>
      </c>
      <c r="Q1135" s="33">
        <f>IF($D1135="","",IFERROR(IF(INDEX(RUNS!$K$6:$K$1005,MATCH($D1135,RUNS!$A$6:$A$1005,0))="","",INDEX(RUNS!$K$6:$K$1005,MATCH($D1135,RUNS!$A$6:$A$1005,0))),""))</f>
        <v/>
      </c>
      <c r="R1135" s="34">
        <f>IF(OR($L1135="",$K1135=""),"",IFERROR(IF(INDEX(PARAMETRES!$H$43:$H$342,MATCH($L1135&amp;"|"&amp;$M1135&amp;"|"&amp;$N1135&amp;"|"&amp;$O1135&amp;"|"&amp;$P1135&amp;"|"&amp;$Q1135&amp;"|"&amp;$K1135,PARAMETRES!$J$43:$J$342,0))="","",INDEX(PARAMETRES!$H$43:$H$342,MATCH($L1135&amp;"|"&amp;$M1135&amp;"|"&amp;$N1135&amp;"|"&amp;$O1135&amp;"|"&amp;$P1135&amp;"|"&amp;$Q1135&amp;"|"&amp;$K1135,PARAMETRES!$J$43:$J$342,0))),""))</f>
        <v/>
      </c>
      <c r="S1135" s="35">
        <f>IF(OR($G1135="",$X1135&lt;&gt;"VALIDE"),"",IFERROR(LOOKUP(2,1/(($B235:$B1134=$B1135)*($G235:$G1134=$G1135)*($X235:$X1134="VALIDE")),$C235:$C1134),""))</f>
        <v/>
      </c>
      <c r="T1135" s="36">
        <f>IF(OR($C1135="",$S1135=""),"",ROUND(($C1135-$S1135+IF($C1135&lt;$S1135,1,0))*1440,0))</f>
        <v/>
      </c>
      <c r="U1135" s="22">
        <f>IF(OR($H1135="",$T1135="",$T1135&lt;=0),"",$H1135*60/$T1135)</f>
        <v/>
      </c>
      <c r="V1135" s="37">
        <f>IF(OR($U1135="",$R1135="",$R1135=0),"",$U1135/$R1135)</f>
        <v/>
      </c>
      <c r="W1135" s="20">
        <f>IF($G1135="","",IF($X1135="CONTEXTE INCOMPLET","CONTEXTE INCOMPLET",IF($X1135="DOUBLON",StatutDoublon,IF($S1135="",StatutInitial,IF($R1135="",StatutStandardManquant,IF($V1135="","DONNEES INSUFFISANTES",IF($V1135&gt;=SeuilConforme,StatutConforme,IF($V1135&gt;=SeuilSurveiller,StatutSurveiller,StatutSousStandard))))))))</f>
        <v/>
      </c>
      <c r="X1135" s="33">
        <f>IF($G1135="","",IF(OR($D1135="",$E1135="",$F1135=""),"CONTEXTE INCOMPLET",IF(COUNTIFS($D235:$D1134,$D1135,$E235:$E1134,$E1135,$F235:$F1134,$F1135,$G235:$G1134,$G1135)&gt;0,"DOUBLON","VALIDE")))</f>
        <v/>
      </c>
    </row>
    <row r="1136" ht="15" customHeight="1">
      <c r="A1136" s="12">
        <f>IF(OR($B1136="",$G1136=""),"",TEXT($B1136,"YYYYMMDD")&amp;"-"&amp;SUBSTITUTE($E1136," ","")&amp;"-"&amp;$F1136&amp;"-"&amp;$G1136)</f>
        <v/>
      </c>
      <c r="B1136" s="15" t="n"/>
      <c r="C1136" s="16" t="n"/>
      <c r="D1136" s="10" t="n"/>
      <c r="E1136" s="9" t="n"/>
      <c r="F1136" s="9" t="n"/>
      <c r="G1136" s="13" t="n"/>
      <c r="H1136" s="21" t="n"/>
      <c r="I1136" s="21" t="n"/>
      <c r="J1136" s="17">
        <f>IF($G1136="","",IFERROR(INDEX(NomsEmployes,MATCH($G1136,MatriculesEmployes,0)),"MATRICULE INCONNU"))</f>
        <v/>
      </c>
      <c r="K1136" s="33">
        <f>IF(OR($D1136="",$F1136=""),"",IFERROR(IF(INDEX(RUNS!$L$6:$S$1005,MATCH($D1136,RUNS!$A$6:$A$1005,0),MATCH("ACTIVITÉ "&amp;$F1136,RUNS!$L$5:$S$5,0))="","",INDEX(RUNS!$L$6:$S$1005,MATCH($D1136,RUNS!$A$6:$A$1005,0),MATCH("ACTIVITÉ "&amp;$F1136,RUNS!$L$5:$S$5,0))),""))</f>
        <v/>
      </c>
      <c r="L1136" s="33">
        <f>IF($D1136="","",IFERROR(IF(INDEX(RUNS!$E$6:$E$1005,MATCH($D1136,RUNS!$A$6:$A$1005,0))="","",INDEX(RUNS!$E$6:$E$1005,MATCH($D1136,RUNS!$A$6:$A$1005,0))),""))</f>
        <v/>
      </c>
      <c r="M1136" s="33">
        <f>IF($D1136="","",IFERROR(IF(INDEX(RUNS!$F$6:$F$1005,MATCH($D1136,RUNS!$A$6:$A$1005,0))="","",INDEX(RUNS!$F$6:$F$1005,MATCH($D1136,RUNS!$A$6:$A$1005,0))),""))</f>
        <v/>
      </c>
      <c r="N1136" s="33">
        <f>IF($D1136="","",IFERROR(IF(INDEX(RUNS!$G$6:$G$1005,MATCH($D1136,RUNS!$A$6:$A$1005,0))="","",INDEX(RUNS!$G$6:$G$1005,MATCH($D1136,RUNS!$A$6:$A$1005,0))),""))</f>
        <v/>
      </c>
      <c r="O1136" s="33">
        <f>IF($D1136="","",IFERROR(IF(INDEX(RUNS!$H$6:$H$1005,MATCH($D1136,RUNS!$A$6:$A$1005,0))="","",INDEX(RUNS!$H$6:$H$1005,MATCH($D1136,RUNS!$A$6:$A$1005,0))),""))</f>
        <v/>
      </c>
      <c r="P1136" s="33">
        <f>IF($D1136="","",IFERROR(IF(INDEX(RUNS!$J$6:$J$1005,MATCH($D1136,RUNS!$A$6:$A$1005,0))="","",INDEX(RUNS!$J$6:$J$1005,MATCH($D1136,RUNS!$A$6:$A$1005,0))),""))</f>
        <v/>
      </c>
      <c r="Q1136" s="33">
        <f>IF($D1136="","",IFERROR(IF(INDEX(RUNS!$K$6:$K$1005,MATCH($D1136,RUNS!$A$6:$A$1005,0))="","",INDEX(RUNS!$K$6:$K$1005,MATCH($D1136,RUNS!$A$6:$A$1005,0))),""))</f>
        <v/>
      </c>
      <c r="R1136" s="34">
        <f>IF(OR($L1136="",$K1136=""),"",IFERROR(IF(INDEX(PARAMETRES!$H$43:$H$342,MATCH($L1136&amp;"|"&amp;$M1136&amp;"|"&amp;$N1136&amp;"|"&amp;$O1136&amp;"|"&amp;$P1136&amp;"|"&amp;$Q1136&amp;"|"&amp;$K1136,PARAMETRES!$J$43:$J$342,0))="","",INDEX(PARAMETRES!$H$43:$H$342,MATCH($L1136&amp;"|"&amp;$M1136&amp;"|"&amp;$N1136&amp;"|"&amp;$O1136&amp;"|"&amp;$P1136&amp;"|"&amp;$Q1136&amp;"|"&amp;$K1136,PARAMETRES!$J$43:$J$342,0))),""))</f>
        <v/>
      </c>
      <c r="S1136" s="35">
        <f>IF(OR($G1136="",$X1136&lt;&gt;"VALIDE"),"",IFERROR(LOOKUP(2,1/(($B236:$B1135=$B1136)*($G236:$G1135=$G1136)*($X236:$X1135="VALIDE")),$C236:$C1135),""))</f>
        <v/>
      </c>
      <c r="T1136" s="36">
        <f>IF(OR($C1136="",$S1136=""),"",ROUND(($C1136-$S1136+IF($C1136&lt;$S1136,1,0))*1440,0))</f>
        <v/>
      </c>
      <c r="U1136" s="22">
        <f>IF(OR($H1136="",$T1136="",$T1136&lt;=0),"",$H1136*60/$T1136)</f>
        <v/>
      </c>
      <c r="V1136" s="37">
        <f>IF(OR($U1136="",$R1136="",$R1136=0),"",$U1136/$R1136)</f>
        <v/>
      </c>
      <c r="W1136" s="20">
        <f>IF($G1136="","",IF($X1136="CONTEXTE INCOMPLET","CONTEXTE INCOMPLET",IF($X1136="DOUBLON",StatutDoublon,IF($S1136="",StatutInitial,IF($R1136="",StatutStandardManquant,IF($V1136="","DONNEES INSUFFISANTES",IF($V1136&gt;=SeuilConforme,StatutConforme,IF($V1136&gt;=SeuilSurveiller,StatutSurveiller,StatutSousStandard))))))))</f>
        <v/>
      </c>
      <c r="X1136" s="33">
        <f>IF($G1136="","",IF(OR($D1136="",$E1136="",$F1136=""),"CONTEXTE INCOMPLET",IF(COUNTIFS($D236:$D1135,$D1136,$E236:$E1135,$E1136,$F236:$F1135,$F1136,$G236:$G1135,$G1136)&gt;0,"DOUBLON","VALIDE")))</f>
        <v/>
      </c>
    </row>
    <row r="1137" ht="15" customHeight="1">
      <c r="A1137" s="12">
        <f>IF(OR($B1137="",$G1137=""),"",TEXT($B1137,"YYYYMMDD")&amp;"-"&amp;SUBSTITUTE($E1137," ","")&amp;"-"&amp;$F1137&amp;"-"&amp;$G1137)</f>
        <v/>
      </c>
      <c r="B1137" s="15" t="n"/>
      <c r="C1137" s="16" t="n"/>
      <c r="D1137" s="10" t="n"/>
      <c r="E1137" s="9" t="n"/>
      <c r="F1137" s="9" t="n"/>
      <c r="G1137" s="13" t="n"/>
      <c r="H1137" s="21" t="n"/>
      <c r="I1137" s="21" t="n"/>
      <c r="J1137" s="17">
        <f>IF($G1137="","",IFERROR(INDEX(NomsEmployes,MATCH($G1137,MatriculesEmployes,0)),"MATRICULE INCONNU"))</f>
        <v/>
      </c>
      <c r="K1137" s="33">
        <f>IF(OR($D1137="",$F1137=""),"",IFERROR(IF(INDEX(RUNS!$L$6:$S$1005,MATCH($D1137,RUNS!$A$6:$A$1005,0),MATCH("ACTIVITÉ "&amp;$F1137,RUNS!$L$5:$S$5,0))="","",INDEX(RUNS!$L$6:$S$1005,MATCH($D1137,RUNS!$A$6:$A$1005,0),MATCH("ACTIVITÉ "&amp;$F1137,RUNS!$L$5:$S$5,0))),""))</f>
        <v/>
      </c>
      <c r="L1137" s="33">
        <f>IF($D1137="","",IFERROR(IF(INDEX(RUNS!$E$6:$E$1005,MATCH($D1137,RUNS!$A$6:$A$1005,0))="","",INDEX(RUNS!$E$6:$E$1005,MATCH($D1137,RUNS!$A$6:$A$1005,0))),""))</f>
        <v/>
      </c>
      <c r="M1137" s="33">
        <f>IF($D1137="","",IFERROR(IF(INDEX(RUNS!$F$6:$F$1005,MATCH($D1137,RUNS!$A$6:$A$1005,0))="","",INDEX(RUNS!$F$6:$F$1005,MATCH($D1137,RUNS!$A$6:$A$1005,0))),""))</f>
        <v/>
      </c>
      <c r="N1137" s="33">
        <f>IF($D1137="","",IFERROR(IF(INDEX(RUNS!$G$6:$G$1005,MATCH($D1137,RUNS!$A$6:$A$1005,0))="","",INDEX(RUNS!$G$6:$G$1005,MATCH($D1137,RUNS!$A$6:$A$1005,0))),""))</f>
        <v/>
      </c>
      <c r="O1137" s="33">
        <f>IF($D1137="","",IFERROR(IF(INDEX(RUNS!$H$6:$H$1005,MATCH($D1137,RUNS!$A$6:$A$1005,0))="","",INDEX(RUNS!$H$6:$H$1005,MATCH($D1137,RUNS!$A$6:$A$1005,0))),""))</f>
        <v/>
      </c>
      <c r="P1137" s="33">
        <f>IF($D1137="","",IFERROR(IF(INDEX(RUNS!$J$6:$J$1005,MATCH($D1137,RUNS!$A$6:$A$1005,0))="","",INDEX(RUNS!$J$6:$J$1005,MATCH($D1137,RUNS!$A$6:$A$1005,0))),""))</f>
        <v/>
      </c>
      <c r="Q1137" s="33">
        <f>IF($D1137="","",IFERROR(IF(INDEX(RUNS!$K$6:$K$1005,MATCH($D1137,RUNS!$A$6:$A$1005,0))="","",INDEX(RUNS!$K$6:$K$1005,MATCH($D1137,RUNS!$A$6:$A$1005,0))),""))</f>
        <v/>
      </c>
      <c r="R1137" s="34">
        <f>IF(OR($L1137="",$K1137=""),"",IFERROR(IF(INDEX(PARAMETRES!$H$43:$H$342,MATCH($L1137&amp;"|"&amp;$M1137&amp;"|"&amp;$N1137&amp;"|"&amp;$O1137&amp;"|"&amp;$P1137&amp;"|"&amp;$Q1137&amp;"|"&amp;$K1137,PARAMETRES!$J$43:$J$342,0))="","",INDEX(PARAMETRES!$H$43:$H$342,MATCH($L1137&amp;"|"&amp;$M1137&amp;"|"&amp;$N1137&amp;"|"&amp;$O1137&amp;"|"&amp;$P1137&amp;"|"&amp;$Q1137&amp;"|"&amp;$K1137,PARAMETRES!$J$43:$J$342,0))),""))</f>
        <v/>
      </c>
      <c r="S1137" s="35">
        <f>IF(OR($G1137="",$X1137&lt;&gt;"VALIDE"),"",IFERROR(LOOKUP(2,1/(($B237:$B1136=$B1137)*($G237:$G1136=$G1137)*($X237:$X1136="VALIDE")),$C237:$C1136),""))</f>
        <v/>
      </c>
      <c r="T1137" s="36">
        <f>IF(OR($C1137="",$S1137=""),"",ROUND(($C1137-$S1137+IF($C1137&lt;$S1137,1,0))*1440,0))</f>
        <v/>
      </c>
      <c r="U1137" s="22">
        <f>IF(OR($H1137="",$T1137="",$T1137&lt;=0),"",$H1137*60/$T1137)</f>
        <v/>
      </c>
      <c r="V1137" s="37">
        <f>IF(OR($U1137="",$R1137="",$R1137=0),"",$U1137/$R1137)</f>
        <v/>
      </c>
      <c r="W1137" s="20">
        <f>IF($G1137="","",IF($X1137="CONTEXTE INCOMPLET","CONTEXTE INCOMPLET",IF($X1137="DOUBLON",StatutDoublon,IF($S1137="",StatutInitial,IF($R1137="",StatutStandardManquant,IF($V1137="","DONNEES INSUFFISANTES",IF($V1137&gt;=SeuilConforme,StatutConforme,IF($V1137&gt;=SeuilSurveiller,StatutSurveiller,StatutSousStandard))))))))</f>
        <v/>
      </c>
      <c r="X1137" s="33">
        <f>IF($G1137="","",IF(OR($D1137="",$E1137="",$F1137=""),"CONTEXTE INCOMPLET",IF(COUNTIFS($D237:$D1136,$D1137,$E237:$E1136,$E1137,$F237:$F1136,$F1137,$G237:$G1136,$G1137)&gt;0,"DOUBLON","VALIDE")))</f>
        <v/>
      </c>
    </row>
    <row r="1138" ht="15" customHeight="1">
      <c r="A1138" s="12">
        <f>IF(OR($B1138="",$G1138=""),"",TEXT($B1138,"YYYYMMDD")&amp;"-"&amp;SUBSTITUTE($E1138," ","")&amp;"-"&amp;$F1138&amp;"-"&amp;$G1138)</f>
        <v/>
      </c>
      <c r="B1138" s="15" t="n"/>
      <c r="C1138" s="16" t="n"/>
      <c r="D1138" s="10" t="n"/>
      <c r="E1138" s="9" t="n"/>
      <c r="F1138" s="9" t="n"/>
      <c r="G1138" s="13" t="n"/>
      <c r="H1138" s="21" t="n"/>
      <c r="I1138" s="21" t="n"/>
      <c r="J1138" s="17">
        <f>IF($G1138="","",IFERROR(INDEX(NomsEmployes,MATCH($G1138,MatriculesEmployes,0)),"MATRICULE INCONNU"))</f>
        <v/>
      </c>
      <c r="K1138" s="33">
        <f>IF(OR($D1138="",$F1138=""),"",IFERROR(IF(INDEX(RUNS!$L$6:$S$1005,MATCH($D1138,RUNS!$A$6:$A$1005,0),MATCH("ACTIVITÉ "&amp;$F1138,RUNS!$L$5:$S$5,0))="","",INDEX(RUNS!$L$6:$S$1005,MATCH($D1138,RUNS!$A$6:$A$1005,0),MATCH("ACTIVITÉ "&amp;$F1138,RUNS!$L$5:$S$5,0))),""))</f>
        <v/>
      </c>
      <c r="L1138" s="33">
        <f>IF($D1138="","",IFERROR(IF(INDEX(RUNS!$E$6:$E$1005,MATCH($D1138,RUNS!$A$6:$A$1005,0))="","",INDEX(RUNS!$E$6:$E$1005,MATCH($D1138,RUNS!$A$6:$A$1005,0))),""))</f>
        <v/>
      </c>
      <c r="M1138" s="33">
        <f>IF($D1138="","",IFERROR(IF(INDEX(RUNS!$F$6:$F$1005,MATCH($D1138,RUNS!$A$6:$A$1005,0))="","",INDEX(RUNS!$F$6:$F$1005,MATCH($D1138,RUNS!$A$6:$A$1005,0))),""))</f>
        <v/>
      </c>
      <c r="N1138" s="33">
        <f>IF($D1138="","",IFERROR(IF(INDEX(RUNS!$G$6:$G$1005,MATCH($D1138,RUNS!$A$6:$A$1005,0))="","",INDEX(RUNS!$G$6:$G$1005,MATCH($D1138,RUNS!$A$6:$A$1005,0))),""))</f>
        <v/>
      </c>
      <c r="O1138" s="33">
        <f>IF($D1138="","",IFERROR(IF(INDEX(RUNS!$H$6:$H$1005,MATCH($D1138,RUNS!$A$6:$A$1005,0))="","",INDEX(RUNS!$H$6:$H$1005,MATCH($D1138,RUNS!$A$6:$A$1005,0))),""))</f>
        <v/>
      </c>
      <c r="P1138" s="33">
        <f>IF($D1138="","",IFERROR(IF(INDEX(RUNS!$J$6:$J$1005,MATCH($D1138,RUNS!$A$6:$A$1005,0))="","",INDEX(RUNS!$J$6:$J$1005,MATCH($D1138,RUNS!$A$6:$A$1005,0))),""))</f>
        <v/>
      </c>
      <c r="Q1138" s="33">
        <f>IF($D1138="","",IFERROR(IF(INDEX(RUNS!$K$6:$K$1005,MATCH($D1138,RUNS!$A$6:$A$1005,0))="","",INDEX(RUNS!$K$6:$K$1005,MATCH($D1138,RUNS!$A$6:$A$1005,0))),""))</f>
        <v/>
      </c>
      <c r="R1138" s="34">
        <f>IF(OR($L1138="",$K1138=""),"",IFERROR(IF(INDEX(PARAMETRES!$H$43:$H$342,MATCH($L1138&amp;"|"&amp;$M1138&amp;"|"&amp;$N1138&amp;"|"&amp;$O1138&amp;"|"&amp;$P1138&amp;"|"&amp;$Q1138&amp;"|"&amp;$K1138,PARAMETRES!$J$43:$J$342,0))="","",INDEX(PARAMETRES!$H$43:$H$342,MATCH($L1138&amp;"|"&amp;$M1138&amp;"|"&amp;$N1138&amp;"|"&amp;$O1138&amp;"|"&amp;$P1138&amp;"|"&amp;$Q1138&amp;"|"&amp;$K1138,PARAMETRES!$J$43:$J$342,0))),""))</f>
        <v/>
      </c>
      <c r="S1138" s="35">
        <f>IF(OR($G1138="",$X1138&lt;&gt;"VALIDE"),"",IFERROR(LOOKUP(2,1/(($B238:$B1137=$B1138)*($G238:$G1137=$G1138)*($X238:$X1137="VALIDE")),$C238:$C1137),""))</f>
        <v/>
      </c>
      <c r="T1138" s="36">
        <f>IF(OR($C1138="",$S1138=""),"",ROUND(($C1138-$S1138+IF($C1138&lt;$S1138,1,0))*1440,0))</f>
        <v/>
      </c>
      <c r="U1138" s="22">
        <f>IF(OR($H1138="",$T1138="",$T1138&lt;=0),"",$H1138*60/$T1138)</f>
        <v/>
      </c>
      <c r="V1138" s="37">
        <f>IF(OR($U1138="",$R1138="",$R1138=0),"",$U1138/$R1138)</f>
        <v/>
      </c>
      <c r="W1138" s="20">
        <f>IF($G1138="","",IF($X1138="CONTEXTE INCOMPLET","CONTEXTE INCOMPLET",IF($X1138="DOUBLON",StatutDoublon,IF($S1138="",StatutInitial,IF($R1138="",StatutStandardManquant,IF($V1138="","DONNEES INSUFFISANTES",IF($V1138&gt;=SeuilConforme,StatutConforme,IF($V1138&gt;=SeuilSurveiller,StatutSurveiller,StatutSousStandard))))))))</f>
        <v/>
      </c>
      <c r="X1138" s="33">
        <f>IF($G1138="","",IF(OR($D1138="",$E1138="",$F1138=""),"CONTEXTE INCOMPLET",IF(COUNTIFS($D238:$D1137,$D1138,$E238:$E1137,$E1138,$F238:$F1137,$F1138,$G238:$G1137,$G1138)&gt;0,"DOUBLON","VALIDE")))</f>
        <v/>
      </c>
    </row>
    <row r="1139" ht="15" customHeight="1">
      <c r="A1139" s="12">
        <f>IF(OR($B1139="",$G1139=""),"",TEXT($B1139,"YYYYMMDD")&amp;"-"&amp;SUBSTITUTE($E1139," ","")&amp;"-"&amp;$F1139&amp;"-"&amp;$G1139)</f>
        <v/>
      </c>
      <c r="B1139" s="15" t="n"/>
      <c r="C1139" s="16" t="n"/>
      <c r="D1139" s="10" t="n"/>
      <c r="E1139" s="9" t="n"/>
      <c r="F1139" s="9" t="n"/>
      <c r="G1139" s="13" t="n"/>
      <c r="H1139" s="21" t="n"/>
      <c r="I1139" s="21" t="n"/>
      <c r="J1139" s="17">
        <f>IF($G1139="","",IFERROR(INDEX(NomsEmployes,MATCH($G1139,MatriculesEmployes,0)),"MATRICULE INCONNU"))</f>
        <v/>
      </c>
      <c r="K1139" s="33">
        <f>IF(OR($D1139="",$F1139=""),"",IFERROR(IF(INDEX(RUNS!$L$6:$S$1005,MATCH($D1139,RUNS!$A$6:$A$1005,0),MATCH("ACTIVITÉ "&amp;$F1139,RUNS!$L$5:$S$5,0))="","",INDEX(RUNS!$L$6:$S$1005,MATCH($D1139,RUNS!$A$6:$A$1005,0),MATCH("ACTIVITÉ "&amp;$F1139,RUNS!$L$5:$S$5,0))),""))</f>
        <v/>
      </c>
      <c r="L1139" s="33">
        <f>IF($D1139="","",IFERROR(IF(INDEX(RUNS!$E$6:$E$1005,MATCH($D1139,RUNS!$A$6:$A$1005,0))="","",INDEX(RUNS!$E$6:$E$1005,MATCH($D1139,RUNS!$A$6:$A$1005,0))),""))</f>
        <v/>
      </c>
      <c r="M1139" s="33">
        <f>IF($D1139="","",IFERROR(IF(INDEX(RUNS!$F$6:$F$1005,MATCH($D1139,RUNS!$A$6:$A$1005,0))="","",INDEX(RUNS!$F$6:$F$1005,MATCH($D1139,RUNS!$A$6:$A$1005,0))),""))</f>
        <v/>
      </c>
      <c r="N1139" s="33">
        <f>IF($D1139="","",IFERROR(IF(INDEX(RUNS!$G$6:$G$1005,MATCH($D1139,RUNS!$A$6:$A$1005,0))="","",INDEX(RUNS!$G$6:$G$1005,MATCH($D1139,RUNS!$A$6:$A$1005,0))),""))</f>
        <v/>
      </c>
      <c r="O1139" s="33">
        <f>IF($D1139="","",IFERROR(IF(INDEX(RUNS!$H$6:$H$1005,MATCH($D1139,RUNS!$A$6:$A$1005,0))="","",INDEX(RUNS!$H$6:$H$1005,MATCH($D1139,RUNS!$A$6:$A$1005,0))),""))</f>
        <v/>
      </c>
      <c r="P1139" s="33">
        <f>IF($D1139="","",IFERROR(IF(INDEX(RUNS!$J$6:$J$1005,MATCH($D1139,RUNS!$A$6:$A$1005,0))="","",INDEX(RUNS!$J$6:$J$1005,MATCH($D1139,RUNS!$A$6:$A$1005,0))),""))</f>
        <v/>
      </c>
      <c r="Q1139" s="33">
        <f>IF($D1139="","",IFERROR(IF(INDEX(RUNS!$K$6:$K$1005,MATCH($D1139,RUNS!$A$6:$A$1005,0))="","",INDEX(RUNS!$K$6:$K$1005,MATCH($D1139,RUNS!$A$6:$A$1005,0))),""))</f>
        <v/>
      </c>
      <c r="R1139" s="34">
        <f>IF(OR($L1139="",$K1139=""),"",IFERROR(IF(INDEX(PARAMETRES!$H$43:$H$342,MATCH($L1139&amp;"|"&amp;$M1139&amp;"|"&amp;$N1139&amp;"|"&amp;$O1139&amp;"|"&amp;$P1139&amp;"|"&amp;$Q1139&amp;"|"&amp;$K1139,PARAMETRES!$J$43:$J$342,0))="","",INDEX(PARAMETRES!$H$43:$H$342,MATCH($L1139&amp;"|"&amp;$M1139&amp;"|"&amp;$N1139&amp;"|"&amp;$O1139&amp;"|"&amp;$P1139&amp;"|"&amp;$Q1139&amp;"|"&amp;$K1139,PARAMETRES!$J$43:$J$342,0))),""))</f>
        <v/>
      </c>
      <c r="S1139" s="35">
        <f>IF(OR($G1139="",$X1139&lt;&gt;"VALIDE"),"",IFERROR(LOOKUP(2,1/(($B239:$B1138=$B1139)*($G239:$G1138=$G1139)*($X239:$X1138="VALIDE")),$C239:$C1138),""))</f>
        <v/>
      </c>
      <c r="T1139" s="36">
        <f>IF(OR($C1139="",$S1139=""),"",ROUND(($C1139-$S1139+IF($C1139&lt;$S1139,1,0))*1440,0))</f>
        <v/>
      </c>
      <c r="U1139" s="22">
        <f>IF(OR($H1139="",$T1139="",$T1139&lt;=0),"",$H1139*60/$T1139)</f>
        <v/>
      </c>
      <c r="V1139" s="37">
        <f>IF(OR($U1139="",$R1139="",$R1139=0),"",$U1139/$R1139)</f>
        <v/>
      </c>
      <c r="W1139" s="20">
        <f>IF($G1139="","",IF($X1139="CONTEXTE INCOMPLET","CONTEXTE INCOMPLET",IF($X1139="DOUBLON",StatutDoublon,IF($S1139="",StatutInitial,IF($R1139="",StatutStandardManquant,IF($V1139="","DONNEES INSUFFISANTES",IF($V1139&gt;=SeuilConforme,StatutConforme,IF($V1139&gt;=SeuilSurveiller,StatutSurveiller,StatutSousStandard))))))))</f>
        <v/>
      </c>
      <c r="X1139" s="33">
        <f>IF($G1139="","",IF(OR($D1139="",$E1139="",$F1139=""),"CONTEXTE INCOMPLET",IF(COUNTIFS($D239:$D1138,$D1139,$E239:$E1138,$E1139,$F239:$F1138,$F1139,$G239:$G1138,$G1139)&gt;0,"DOUBLON","VALIDE")))</f>
        <v/>
      </c>
    </row>
    <row r="1140" ht="15" customHeight="1">
      <c r="A1140" s="12">
        <f>IF(OR($B1140="",$G1140=""),"",TEXT($B1140,"YYYYMMDD")&amp;"-"&amp;SUBSTITUTE($E1140," ","")&amp;"-"&amp;$F1140&amp;"-"&amp;$G1140)</f>
        <v/>
      </c>
      <c r="B1140" s="15" t="n"/>
      <c r="C1140" s="16" t="n"/>
      <c r="D1140" s="10" t="n"/>
      <c r="E1140" s="9" t="n"/>
      <c r="F1140" s="9" t="n"/>
      <c r="G1140" s="13" t="n"/>
      <c r="H1140" s="21" t="n"/>
      <c r="I1140" s="21" t="n"/>
      <c r="J1140" s="17">
        <f>IF($G1140="","",IFERROR(INDEX(NomsEmployes,MATCH($G1140,MatriculesEmployes,0)),"MATRICULE INCONNU"))</f>
        <v/>
      </c>
      <c r="K1140" s="33">
        <f>IF(OR($D1140="",$F1140=""),"",IFERROR(IF(INDEX(RUNS!$L$6:$S$1005,MATCH($D1140,RUNS!$A$6:$A$1005,0),MATCH("ACTIVITÉ "&amp;$F1140,RUNS!$L$5:$S$5,0))="","",INDEX(RUNS!$L$6:$S$1005,MATCH($D1140,RUNS!$A$6:$A$1005,0),MATCH("ACTIVITÉ "&amp;$F1140,RUNS!$L$5:$S$5,0))),""))</f>
        <v/>
      </c>
      <c r="L1140" s="33">
        <f>IF($D1140="","",IFERROR(IF(INDEX(RUNS!$E$6:$E$1005,MATCH($D1140,RUNS!$A$6:$A$1005,0))="","",INDEX(RUNS!$E$6:$E$1005,MATCH($D1140,RUNS!$A$6:$A$1005,0))),""))</f>
        <v/>
      </c>
      <c r="M1140" s="33">
        <f>IF($D1140="","",IFERROR(IF(INDEX(RUNS!$F$6:$F$1005,MATCH($D1140,RUNS!$A$6:$A$1005,0))="","",INDEX(RUNS!$F$6:$F$1005,MATCH($D1140,RUNS!$A$6:$A$1005,0))),""))</f>
        <v/>
      </c>
      <c r="N1140" s="33">
        <f>IF($D1140="","",IFERROR(IF(INDEX(RUNS!$G$6:$G$1005,MATCH($D1140,RUNS!$A$6:$A$1005,0))="","",INDEX(RUNS!$G$6:$G$1005,MATCH($D1140,RUNS!$A$6:$A$1005,0))),""))</f>
        <v/>
      </c>
      <c r="O1140" s="33">
        <f>IF($D1140="","",IFERROR(IF(INDEX(RUNS!$H$6:$H$1005,MATCH($D1140,RUNS!$A$6:$A$1005,0))="","",INDEX(RUNS!$H$6:$H$1005,MATCH($D1140,RUNS!$A$6:$A$1005,0))),""))</f>
        <v/>
      </c>
      <c r="P1140" s="33">
        <f>IF($D1140="","",IFERROR(IF(INDEX(RUNS!$J$6:$J$1005,MATCH($D1140,RUNS!$A$6:$A$1005,0))="","",INDEX(RUNS!$J$6:$J$1005,MATCH($D1140,RUNS!$A$6:$A$1005,0))),""))</f>
        <v/>
      </c>
      <c r="Q1140" s="33">
        <f>IF($D1140="","",IFERROR(IF(INDEX(RUNS!$K$6:$K$1005,MATCH($D1140,RUNS!$A$6:$A$1005,0))="","",INDEX(RUNS!$K$6:$K$1005,MATCH($D1140,RUNS!$A$6:$A$1005,0))),""))</f>
        <v/>
      </c>
      <c r="R1140" s="34">
        <f>IF(OR($L1140="",$K1140=""),"",IFERROR(IF(INDEX(PARAMETRES!$H$43:$H$342,MATCH($L1140&amp;"|"&amp;$M1140&amp;"|"&amp;$N1140&amp;"|"&amp;$O1140&amp;"|"&amp;$P1140&amp;"|"&amp;$Q1140&amp;"|"&amp;$K1140,PARAMETRES!$J$43:$J$342,0))="","",INDEX(PARAMETRES!$H$43:$H$342,MATCH($L1140&amp;"|"&amp;$M1140&amp;"|"&amp;$N1140&amp;"|"&amp;$O1140&amp;"|"&amp;$P1140&amp;"|"&amp;$Q1140&amp;"|"&amp;$K1140,PARAMETRES!$J$43:$J$342,0))),""))</f>
        <v/>
      </c>
      <c r="S1140" s="35">
        <f>IF(OR($G1140="",$X1140&lt;&gt;"VALIDE"),"",IFERROR(LOOKUP(2,1/(($B240:$B1139=$B1140)*($G240:$G1139=$G1140)*($X240:$X1139="VALIDE")),$C240:$C1139),""))</f>
        <v/>
      </c>
      <c r="T1140" s="36">
        <f>IF(OR($C1140="",$S1140=""),"",ROUND(($C1140-$S1140+IF($C1140&lt;$S1140,1,0))*1440,0))</f>
        <v/>
      </c>
      <c r="U1140" s="22">
        <f>IF(OR($H1140="",$T1140="",$T1140&lt;=0),"",$H1140*60/$T1140)</f>
        <v/>
      </c>
      <c r="V1140" s="37">
        <f>IF(OR($U1140="",$R1140="",$R1140=0),"",$U1140/$R1140)</f>
        <v/>
      </c>
      <c r="W1140" s="20">
        <f>IF($G1140="","",IF($X1140="CONTEXTE INCOMPLET","CONTEXTE INCOMPLET",IF($X1140="DOUBLON",StatutDoublon,IF($S1140="",StatutInitial,IF($R1140="",StatutStandardManquant,IF($V1140="","DONNEES INSUFFISANTES",IF($V1140&gt;=SeuilConforme,StatutConforme,IF($V1140&gt;=SeuilSurveiller,StatutSurveiller,StatutSousStandard))))))))</f>
        <v/>
      </c>
      <c r="X1140" s="33">
        <f>IF($G1140="","",IF(OR($D1140="",$E1140="",$F1140=""),"CONTEXTE INCOMPLET",IF(COUNTIFS($D240:$D1139,$D1140,$E240:$E1139,$E1140,$F240:$F1139,$F1140,$G240:$G1139,$G1140)&gt;0,"DOUBLON","VALIDE")))</f>
        <v/>
      </c>
    </row>
    <row r="1141" ht="15" customHeight="1">
      <c r="A1141" s="12">
        <f>IF(OR($B1141="",$G1141=""),"",TEXT($B1141,"YYYYMMDD")&amp;"-"&amp;SUBSTITUTE($E1141," ","")&amp;"-"&amp;$F1141&amp;"-"&amp;$G1141)</f>
        <v/>
      </c>
      <c r="B1141" s="15" t="n"/>
      <c r="C1141" s="16" t="n"/>
      <c r="D1141" s="10" t="n"/>
      <c r="E1141" s="9" t="n"/>
      <c r="F1141" s="9" t="n"/>
      <c r="G1141" s="13" t="n"/>
      <c r="H1141" s="21" t="n"/>
      <c r="I1141" s="21" t="n"/>
      <c r="J1141" s="17">
        <f>IF($G1141="","",IFERROR(INDEX(NomsEmployes,MATCH($G1141,MatriculesEmployes,0)),"MATRICULE INCONNU"))</f>
        <v/>
      </c>
      <c r="K1141" s="33">
        <f>IF(OR($D1141="",$F1141=""),"",IFERROR(IF(INDEX(RUNS!$L$6:$S$1005,MATCH($D1141,RUNS!$A$6:$A$1005,0),MATCH("ACTIVITÉ "&amp;$F1141,RUNS!$L$5:$S$5,0))="","",INDEX(RUNS!$L$6:$S$1005,MATCH($D1141,RUNS!$A$6:$A$1005,0),MATCH("ACTIVITÉ "&amp;$F1141,RUNS!$L$5:$S$5,0))),""))</f>
        <v/>
      </c>
      <c r="L1141" s="33">
        <f>IF($D1141="","",IFERROR(IF(INDEX(RUNS!$E$6:$E$1005,MATCH($D1141,RUNS!$A$6:$A$1005,0))="","",INDEX(RUNS!$E$6:$E$1005,MATCH($D1141,RUNS!$A$6:$A$1005,0))),""))</f>
        <v/>
      </c>
      <c r="M1141" s="33">
        <f>IF($D1141="","",IFERROR(IF(INDEX(RUNS!$F$6:$F$1005,MATCH($D1141,RUNS!$A$6:$A$1005,0))="","",INDEX(RUNS!$F$6:$F$1005,MATCH($D1141,RUNS!$A$6:$A$1005,0))),""))</f>
        <v/>
      </c>
      <c r="N1141" s="33">
        <f>IF($D1141="","",IFERROR(IF(INDEX(RUNS!$G$6:$G$1005,MATCH($D1141,RUNS!$A$6:$A$1005,0))="","",INDEX(RUNS!$G$6:$G$1005,MATCH($D1141,RUNS!$A$6:$A$1005,0))),""))</f>
        <v/>
      </c>
      <c r="O1141" s="33">
        <f>IF($D1141="","",IFERROR(IF(INDEX(RUNS!$H$6:$H$1005,MATCH($D1141,RUNS!$A$6:$A$1005,0))="","",INDEX(RUNS!$H$6:$H$1005,MATCH($D1141,RUNS!$A$6:$A$1005,0))),""))</f>
        <v/>
      </c>
      <c r="P1141" s="33">
        <f>IF($D1141="","",IFERROR(IF(INDEX(RUNS!$J$6:$J$1005,MATCH($D1141,RUNS!$A$6:$A$1005,0))="","",INDEX(RUNS!$J$6:$J$1005,MATCH($D1141,RUNS!$A$6:$A$1005,0))),""))</f>
        <v/>
      </c>
      <c r="Q1141" s="33">
        <f>IF($D1141="","",IFERROR(IF(INDEX(RUNS!$K$6:$K$1005,MATCH($D1141,RUNS!$A$6:$A$1005,0))="","",INDEX(RUNS!$K$6:$K$1005,MATCH($D1141,RUNS!$A$6:$A$1005,0))),""))</f>
        <v/>
      </c>
      <c r="R1141" s="34">
        <f>IF(OR($L1141="",$K1141=""),"",IFERROR(IF(INDEX(PARAMETRES!$H$43:$H$342,MATCH($L1141&amp;"|"&amp;$M1141&amp;"|"&amp;$N1141&amp;"|"&amp;$O1141&amp;"|"&amp;$P1141&amp;"|"&amp;$Q1141&amp;"|"&amp;$K1141,PARAMETRES!$J$43:$J$342,0))="","",INDEX(PARAMETRES!$H$43:$H$342,MATCH($L1141&amp;"|"&amp;$M1141&amp;"|"&amp;$N1141&amp;"|"&amp;$O1141&amp;"|"&amp;$P1141&amp;"|"&amp;$Q1141&amp;"|"&amp;$K1141,PARAMETRES!$J$43:$J$342,0))),""))</f>
        <v/>
      </c>
      <c r="S1141" s="35">
        <f>IF(OR($G1141="",$X1141&lt;&gt;"VALIDE"),"",IFERROR(LOOKUP(2,1/(($B241:$B1140=$B1141)*($G241:$G1140=$G1141)*($X241:$X1140="VALIDE")),$C241:$C1140),""))</f>
        <v/>
      </c>
      <c r="T1141" s="36">
        <f>IF(OR($C1141="",$S1141=""),"",ROUND(($C1141-$S1141+IF($C1141&lt;$S1141,1,0))*1440,0))</f>
        <v/>
      </c>
      <c r="U1141" s="22">
        <f>IF(OR($H1141="",$T1141="",$T1141&lt;=0),"",$H1141*60/$T1141)</f>
        <v/>
      </c>
      <c r="V1141" s="37">
        <f>IF(OR($U1141="",$R1141="",$R1141=0),"",$U1141/$R1141)</f>
        <v/>
      </c>
      <c r="W1141" s="20">
        <f>IF($G1141="","",IF($X1141="CONTEXTE INCOMPLET","CONTEXTE INCOMPLET",IF($X1141="DOUBLON",StatutDoublon,IF($S1141="",StatutInitial,IF($R1141="",StatutStandardManquant,IF($V1141="","DONNEES INSUFFISANTES",IF($V1141&gt;=SeuilConforme,StatutConforme,IF($V1141&gt;=SeuilSurveiller,StatutSurveiller,StatutSousStandard))))))))</f>
        <v/>
      </c>
      <c r="X1141" s="33">
        <f>IF($G1141="","",IF(OR($D1141="",$E1141="",$F1141=""),"CONTEXTE INCOMPLET",IF(COUNTIFS($D241:$D1140,$D1141,$E241:$E1140,$E1141,$F241:$F1140,$F1141,$G241:$G1140,$G1141)&gt;0,"DOUBLON","VALIDE")))</f>
        <v/>
      </c>
    </row>
    <row r="1142" ht="15" customHeight="1">
      <c r="A1142" s="12">
        <f>IF(OR($B1142="",$G1142=""),"",TEXT($B1142,"YYYYMMDD")&amp;"-"&amp;SUBSTITUTE($E1142," ","")&amp;"-"&amp;$F1142&amp;"-"&amp;$G1142)</f>
        <v/>
      </c>
      <c r="B1142" s="15" t="n"/>
      <c r="C1142" s="16" t="n"/>
      <c r="D1142" s="10" t="n"/>
      <c r="E1142" s="9" t="n"/>
      <c r="F1142" s="9" t="n"/>
      <c r="G1142" s="13" t="n"/>
      <c r="H1142" s="21" t="n"/>
      <c r="I1142" s="21" t="n"/>
      <c r="J1142" s="17">
        <f>IF($G1142="","",IFERROR(INDEX(NomsEmployes,MATCH($G1142,MatriculesEmployes,0)),"MATRICULE INCONNU"))</f>
        <v/>
      </c>
      <c r="K1142" s="33">
        <f>IF(OR($D1142="",$F1142=""),"",IFERROR(IF(INDEX(RUNS!$L$6:$S$1005,MATCH($D1142,RUNS!$A$6:$A$1005,0),MATCH("ACTIVITÉ "&amp;$F1142,RUNS!$L$5:$S$5,0))="","",INDEX(RUNS!$L$6:$S$1005,MATCH($D1142,RUNS!$A$6:$A$1005,0),MATCH("ACTIVITÉ "&amp;$F1142,RUNS!$L$5:$S$5,0))),""))</f>
        <v/>
      </c>
      <c r="L1142" s="33">
        <f>IF($D1142="","",IFERROR(IF(INDEX(RUNS!$E$6:$E$1005,MATCH($D1142,RUNS!$A$6:$A$1005,0))="","",INDEX(RUNS!$E$6:$E$1005,MATCH($D1142,RUNS!$A$6:$A$1005,0))),""))</f>
        <v/>
      </c>
      <c r="M1142" s="33">
        <f>IF($D1142="","",IFERROR(IF(INDEX(RUNS!$F$6:$F$1005,MATCH($D1142,RUNS!$A$6:$A$1005,0))="","",INDEX(RUNS!$F$6:$F$1005,MATCH($D1142,RUNS!$A$6:$A$1005,0))),""))</f>
        <v/>
      </c>
      <c r="N1142" s="33">
        <f>IF($D1142="","",IFERROR(IF(INDEX(RUNS!$G$6:$G$1005,MATCH($D1142,RUNS!$A$6:$A$1005,0))="","",INDEX(RUNS!$G$6:$G$1005,MATCH($D1142,RUNS!$A$6:$A$1005,0))),""))</f>
        <v/>
      </c>
      <c r="O1142" s="33">
        <f>IF($D1142="","",IFERROR(IF(INDEX(RUNS!$H$6:$H$1005,MATCH($D1142,RUNS!$A$6:$A$1005,0))="","",INDEX(RUNS!$H$6:$H$1005,MATCH($D1142,RUNS!$A$6:$A$1005,0))),""))</f>
        <v/>
      </c>
      <c r="P1142" s="33">
        <f>IF($D1142="","",IFERROR(IF(INDEX(RUNS!$J$6:$J$1005,MATCH($D1142,RUNS!$A$6:$A$1005,0))="","",INDEX(RUNS!$J$6:$J$1005,MATCH($D1142,RUNS!$A$6:$A$1005,0))),""))</f>
        <v/>
      </c>
      <c r="Q1142" s="33">
        <f>IF($D1142="","",IFERROR(IF(INDEX(RUNS!$K$6:$K$1005,MATCH($D1142,RUNS!$A$6:$A$1005,0))="","",INDEX(RUNS!$K$6:$K$1005,MATCH($D1142,RUNS!$A$6:$A$1005,0))),""))</f>
        <v/>
      </c>
      <c r="R1142" s="34">
        <f>IF(OR($L1142="",$K1142=""),"",IFERROR(IF(INDEX(PARAMETRES!$H$43:$H$342,MATCH($L1142&amp;"|"&amp;$M1142&amp;"|"&amp;$N1142&amp;"|"&amp;$O1142&amp;"|"&amp;$P1142&amp;"|"&amp;$Q1142&amp;"|"&amp;$K1142,PARAMETRES!$J$43:$J$342,0))="","",INDEX(PARAMETRES!$H$43:$H$342,MATCH($L1142&amp;"|"&amp;$M1142&amp;"|"&amp;$N1142&amp;"|"&amp;$O1142&amp;"|"&amp;$P1142&amp;"|"&amp;$Q1142&amp;"|"&amp;$K1142,PARAMETRES!$J$43:$J$342,0))),""))</f>
        <v/>
      </c>
      <c r="S1142" s="35">
        <f>IF(OR($G1142="",$X1142&lt;&gt;"VALIDE"),"",IFERROR(LOOKUP(2,1/(($B242:$B1141=$B1142)*($G242:$G1141=$G1142)*($X242:$X1141="VALIDE")),$C242:$C1141),""))</f>
        <v/>
      </c>
      <c r="T1142" s="36">
        <f>IF(OR($C1142="",$S1142=""),"",ROUND(($C1142-$S1142+IF($C1142&lt;$S1142,1,0))*1440,0))</f>
        <v/>
      </c>
      <c r="U1142" s="22">
        <f>IF(OR($H1142="",$T1142="",$T1142&lt;=0),"",$H1142*60/$T1142)</f>
        <v/>
      </c>
      <c r="V1142" s="37">
        <f>IF(OR($U1142="",$R1142="",$R1142=0),"",$U1142/$R1142)</f>
        <v/>
      </c>
      <c r="W1142" s="20">
        <f>IF($G1142="","",IF($X1142="CONTEXTE INCOMPLET","CONTEXTE INCOMPLET",IF($X1142="DOUBLON",StatutDoublon,IF($S1142="",StatutInitial,IF($R1142="",StatutStandardManquant,IF($V1142="","DONNEES INSUFFISANTES",IF($V1142&gt;=SeuilConforme,StatutConforme,IF($V1142&gt;=SeuilSurveiller,StatutSurveiller,StatutSousStandard))))))))</f>
        <v/>
      </c>
      <c r="X1142" s="33">
        <f>IF($G1142="","",IF(OR($D1142="",$E1142="",$F1142=""),"CONTEXTE INCOMPLET",IF(COUNTIFS($D242:$D1141,$D1142,$E242:$E1141,$E1142,$F242:$F1141,$F1142,$G242:$G1141,$G1142)&gt;0,"DOUBLON","VALIDE")))</f>
        <v/>
      </c>
    </row>
    <row r="1143" ht="15" customHeight="1">
      <c r="A1143" s="12">
        <f>IF(OR($B1143="",$G1143=""),"",TEXT($B1143,"YYYYMMDD")&amp;"-"&amp;SUBSTITUTE($E1143," ","")&amp;"-"&amp;$F1143&amp;"-"&amp;$G1143)</f>
        <v/>
      </c>
      <c r="B1143" s="15" t="n"/>
      <c r="C1143" s="16" t="n"/>
      <c r="D1143" s="10" t="n"/>
      <c r="E1143" s="9" t="n"/>
      <c r="F1143" s="9" t="n"/>
      <c r="G1143" s="13" t="n"/>
      <c r="H1143" s="21" t="n"/>
      <c r="I1143" s="21" t="n"/>
      <c r="J1143" s="17">
        <f>IF($G1143="","",IFERROR(INDEX(NomsEmployes,MATCH($G1143,MatriculesEmployes,0)),"MATRICULE INCONNU"))</f>
        <v/>
      </c>
      <c r="K1143" s="33">
        <f>IF(OR($D1143="",$F1143=""),"",IFERROR(IF(INDEX(RUNS!$L$6:$S$1005,MATCH($D1143,RUNS!$A$6:$A$1005,0),MATCH("ACTIVITÉ "&amp;$F1143,RUNS!$L$5:$S$5,0))="","",INDEX(RUNS!$L$6:$S$1005,MATCH($D1143,RUNS!$A$6:$A$1005,0),MATCH("ACTIVITÉ "&amp;$F1143,RUNS!$L$5:$S$5,0))),""))</f>
        <v/>
      </c>
      <c r="L1143" s="33">
        <f>IF($D1143="","",IFERROR(IF(INDEX(RUNS!$E$6:$E$1005,MATCH($D1143,RUNS!$A$6:$A$1005,0))="","",INDEX(RUNS!$E$6:$E$1005,MATCH($D1143,RUNS!$A$6:$A$1005,0))),""))</f>
        <v/>
      </c>
      <c r="M1143" s="33">
        <f>IF($D1143="","",IFERROR(IF(INDEX(RUNS!$F$6:$F$1005,MATCH($D1143,RUNS!$A$6:$A$1005,0))="","",INDEX(RUNS!$F$6:$F$1005,MATCH($D1143,RUNS!$A$6:$A$1005,0))),""))</f>
        <v/>
      </c>
      <c r="N1143" s="33">
        <f>IF($D1143="","",IFERROR(IF(INDEX(RUNS!$G$6:$G$1005,MATCH($D1143,RUNS!$A$6:$A$1005,0))="","",INDEX(RUNS!$G$6:$G$1005,MATCH($D1143,RUNS!$A$6:$A$1005,0))),""))</f>
        <v/>
      </c>
      <c r="O1143" s="33">
        <f>IF($D1143="","",IFERROR(IF(INDEX(RUNS!$H$6:$H$1005,MATCH($D1143,RUNS!$A$6:$A$1005,0))="","",INDEX(RUNS!$H$6:$H$1005,MATCH($D1143,RUNS!$A$6:$A$1005,0))),""))</f>
        <v/>
      </c>
      <c r="P1143" s="33">
        <f>IF($D1143="","",IFERROR(IF(INDEX(RUNS!$J$6:$J$1005,MATCH($D1143,RUNS!$A$6:$A$1005,0))="","",INDEX(RUNS!$J$6:$J$1005,MATCH($D1143,RUNS!$A$6:$A$1005,0))),""))</f>
        <v/>
      </c>
      <c r="Q1143" s="33">
        <f>IF($D1143="","",IFERROR(IF(INDEX(RUNS!$K$6:$K$1005,MATCH($D1143,RUNS!$A$6:$A$1005,0))="","",INDEX(RUNS!$K$6:$K$1005,MATCH($D1143,RUNS!$A$6:$A$1005,0))),""))</f>
        <v/>
      </c>
      <c r="R1143" s="34">
        <f>IF(OR($L1143="",$K1143=""),"",IFERROR(IF(INDEX(PARAMETRES!$H$43:$H$342,MATCH($L1143&amp;"|"&amp;$M1143&amp;"|"&amp;$N1143&amp;"|"&amp;$O1143&amp;"|"&amp;$P1143&amp;"|"&amp;$Q1143&amp;"|"&amp;$K1143,PARAMETRES!$J$43:$J$342,0))="","",INDEX(PARAMETRES!$H$43:$H$342,MATCH($L1143&amp;"|"&amp;$M1143&amp;"|"&amp;$N1143&amp;"|"&amp;$O1143&amp;"|"&amp;$P1143&amp;"|"&amp;$Q1143&amp;"|"&amp;$K1143,PARAMETRES!$J$43:$J$342,0))),""))</f>
        <v/>
      </c>
      <c r="S1143" s="35">
        <f>IF(OR($G1143="",$X1143&lt;&gt;"VALIDE"),"",IFERROR(LOOKUP(2,1/(($B243:$B1142=$B1143)*($G243:$G1142=$G1143)*($X243:$X1142="VALIDE")),$C243:$C1142),""))</f>
        <v/>
      </c>
      <c r="T1143" s="36">
        <f>IF(OR($C1143="",$S1143=""),"",ROUND(($C1143-$S1143+IF($C1143&lt;$S1143,1,0))*1440,0))</f>
        <v/>
      </c>
      <c r="U1143" s="22">
        <f>IF(OR($H1143="",$T1143="",$T1143&lt;=0),"",$H1143*60/$T1143)</f>
        <v/>
      </c>
      <c r="V1143" s="37">
        <f>IF(OR($U1143="",$R1143="",$R1143=0),"",$U1143/$R1143)</f>
        <v/>
      </c>
      <c r="W1143" s="20">
        <f>IF($G1143="","",IF($X1143="CONTEXTE INCOMPLET","CONTEXTE INCOMPLET",IF($X1143="DOUBLON",StatutDoublon,IF($S1143="",StatutInitial,IF($R1143="",StatutStandardManquant,IF($V1143="","DONNEES INSUFFISANTES",IF($V1143&gt;=SeuilConforme,StatutConforme,IF($V1143&gt;=SeuilSurveiller,StatutSurveiller,StatutSousStandard))))))))</f>
        <v/>
      </c>
      <c r="X1143" s="33">
        <f>IF($G1143="","",IF(OR($D1143="",$E1143="",$F1143=""),"CONTEXTE INCOMPLET",IF(COUNTIFS($D243:$D1142,$D1143,$E243:$E1142,$E1143,$F243:$F1142,$F1143,$G243:$G1142,$G1143)&gt;0,"DOUBLON","VALIDE")))</f>
        <v/>
      </c>
    </row>
    <row r="1144" ht="15" customHeight="1">
      <c r="A1144" s="12">
        <f>IF(OR($B1144="",$G1144=""),"",TEXT($B1144,"YYYYMMDD")&amp;"-"&amp;SUBSTITUTE($E1144," ","")&amp;"-"&amp;$F1144&amp;"-"&amp;$G1144)</f>
        <v/>
      </c>
      <c r="B1144" s="15" t="n"/>
      <c r="C1144" s="16" t="n"/>
      <c r="D1144" s="10" t="n"/>
      <c r="E1144" s="9" t="n"/>
      <c r="F1144" s="9" t="n"/>
      <c r="G1144" s="13" t="n"/>
      <c r="H1144" s="21" t="n"/>
      <c r="I1144" s="21" t="n"/>
      <c r="J1144" s="17">
        <f>IF($G1144="","",IFERROR(INDEX(NomsEmployes,MATCH($G1144,MatriculesEmployes,0)),"MATRICULE INCONNU"))</f>
        <v/>
      </c>
      <c r="K1144" s="33">
        <f>IF(OR($D1144="",$F1144=""),"",IFERROR(IF(INDEX(RUNS!$L$6:$S$1005,MATCH($D1144,RUNS!$A$6:$A$1005,0),MATCH("ACTIVITÉ "&amp;$F1144,RUNS!$L$5:$S$5,0))="","",INDEX(RUNS!$L$6:$S$1005,MATCH($D1144,RUNS!$A$6:$A$1005,0),MATCH("ACTIVITÉ "&amp;$F1144,RUNS!$L$5:$S$5,0))),""))</f>
        <v/>
      </c>
      <c r="L1144" s="33">
        <f>IF($D1144="","",IFERROR(IF(INDEX(RUNS!$E$6:$E$1005,MATCH($D1144,RUNS!$A$6:$A$1005,0))="","",INDEX(RUNS!$E$6:$E$1005,MATCH($D1144,RUNS!$A$6:$A$1005,0))),""))</f>
        <v/>
      </c>
      <c r="M1144" s="33">
        <f>IF($D1144="","",IFERROR(IF(INDEX(RUNS!$F$6:$F$1005,MATCH($D1144,RUNS!$A$6:$A$1005,0))="","",INDEX(RUNS!$F$6:$F$1005,MATCH($D1144,RUNS!$A$6:$A$1005,0))),""))</f>
        <v/>
      </c>
      <c r="N1144" s="33">
        <f>IF($D1144="","",IFERROR(IF(INDEX(RUNS!$G$6:$G$1005,MATCH($D1144,RUNS!$A$6:$A$1005,0))="","",INDEX(RUNS!$G$6:$G$1005,MATCH($D1144,RUNS!$A$6:$A$1005,0))),""))</f>
        <v/>
      </c>
      <c r="O1144" s="33">
        <f>IF($D1144="","",IFERROR(IF(INDEX(RUNS!$H$6:$H$1005,MATCH($D1144,RUNS!$A$6:$A$1005,0))="","",INDEX(RUNS!$H$6:$H$1005,MATCH($D1144,RUNS!$A$6:$A$1005,0))),""))</f>
        <v/>
      </c>
      <c r="P1144" s="33">
        <f>IF($D1144="","",IFERROR(IF(INDEX(RUNS!$J$6:$J$1005,MATCH($D1144,RUNS!$A$6:$A$1005,0))="","",INDEX(RUNS!$J$6:$J$1005,MATCH($D1144,RUNS!$A$6:$A$1005,0))),""))</f>
        <v/>
      </c>
      <c r="Q1144" s="33">
        <f>IF($D1144="","",IFERROR(IF(INDEX(RUNS!$K$6:$K$1005,MATCH($D1144,RUNS!$A$6:$A$1005,0))="","",INDEX(RUNS!$K$6:$K$1005,MATCH($D1144,RUNS!$A$6:$A$1005,0))),""))</f>
        <v/>
      </c>
      <c r="R1144" s="34">
        <f>IF(OR($L1144="",$K1144=""),"",IFERROR(IF(INDEX(PARAMETRES!$H$43:$H$342,MATCH($L1144&amp;"|"&amp;$M1144&amp;"|"&amp;$N1144&amp;"|"&amp;$O1144&amp;"|"&amp;$P1144&amp;"|"&amp;$Q1144&amp;"|"&amp;$K1144,PARAMETRES!$J$43:$J$342,0))="","",INDEX(PARAMETRES!$H$43:$H$342,MATCH($L1144&amp;"|"&amp;$M1144&amp;"|"&amp;$N1144&amp;"|"&amp;$O1144&amp;"|"&amp;$P1144&amp;"|"&amp;$Q1144&amp;"|"&amp;$K1144,PARAMETRES!$J$43:$J$342,0))),""))</f>
        <v/>
      </c>
      <c r="S1144" s="35">
        <f>IF(OR($G1144="",$X1144&lt;&gt;"VALIDE"),"",IFERROR(LOOKUP(2,1/(($B244:$B1143=$B1144)*($G244:$G1143=$G1144)*($X244:$X1143="VALIDE")),$C244:$C1143),""))</f>
        <v/>
      </c>
      <c r="T1144" s="36">
        <f>IF(OR($C1144="",$S1144=""),"",ROUND(($C1144-$S1144+IF($C1144&lt;$S1144,1,0))*1440,0))</f>
        <v/>
      </c>
      <c r="U1144" s="22">
        <f>IF(OR($H1144="",$T1144="",$T1144&lt;=0),"",$H1144*60/$T1144)</f>
        <v/>
      </c>
      <c r="V1144" s="37">
        <f>IF(OR($U1144="",$R1144="",$R1144=0),"",$U1144/$R1144)</f>
        <v/>
      </c>
      <c r="W1144" s="20">
        <f>IF($G1144="","",IF($X1144="CONTEXTE INCOMPLET","CONTEXTE INCOMPLET",IF($X1144="DOUBLON",StatutDoublon,IF($S1144="",StatutInitial,IF($R1144="",StatutStandardManquant,IF($V1144="","DONNEES INSUFFISANTES",IF($V1144&gt;=SeuilConforme,StatutConforme,IF($V1144&gt;=SeuilSurveiller,StatutSurveiller,StatutSousStandard))))))))</f>
        <v/>
      </c>
      <c r="X1144" s="33">
        <f>IF($G1144="","",IF(OR($D1144="",$E1144="",$F1144=""),"CONTEXTE INCOMPLET",IF(COUNTIFS($D244:$D1143,$D1144,$E244:$E1143,$E1144,$F244:$F1143,$F1144,$G244:$G1143,$G1144)&gt;0,"DOUBLON","VALIDE")))</f>
        <v/>
      </c>
    </row>
    <row r="1145" ht="15" customHeight="1">
      <c r="A1145" s="12">
        <f>IF(OR($B1145="",$G1145=""),"",TEXT($B1145,"YYYYMMDD")&amp;"-"&amp;SUBSTITUTE($E1145," ","")&amp;"-"&amp;$F1145&amp;"-"&amp;$G1145)</f>
        <v/>
      </c>
      <c r="B1145" s="15" t="n"/>
      <c r="C1145" s="16" t="n"/>
      <c r="D1145" s="10" t="n"/>
      <c r="E1145" s="9" t="n"/>
      <c r="F1145" s="9" t="n"/>
      <c r="G1145" s="13" t="n"/>
      <c r="H1145" s="21" t="n"/>
      <c r="I1145" s="21" t="n"/>
      <c r="J1145" s="17">
        <f>IF($G1145="","",IFERROR(INDEX(NomsEmployes,MATCH($G1145,MatriculesEmployes,0)),"MATRICULE INCONNU"))</f>
        <v/>
      </c>
      <c r="K1145" s="33">
        <f>IF(OR($D1145="",$F1145=""),"",IFERROR(IF(INDEX(RUNS!$L$6:$S$1005,MATCH($D1145,RUNS!$A$6:$A$1005,0),MATCH("ACTIVITÉ "&amp;$F1145,RUNS!$L$5:$S$5,0))="","",INDEX(RUNS!$L$6:$S$1005,MATCH($D1145,RUNS!$A$6:$A$1005,0),MATCH("ACTIVITÉ "&amp;$F1145,RUNS!$L$5:$S$5,0))),""))</f>
        <v/>
      </c>
      <c r="L1145" s="33">
        <f>IF($D1145="","",IFERROR(IF(INDEX(RUNS!$E$6:$E$1005,MATCH($D1145,RUNS!$A$6:$A$1005,0))="","",INDEX(RUNS!$E$6:$E$1005,MATCH($D1145,RUNS!$A$6:$A$1005,0))),""))</f>
        <v/>
      </c>
      <c r="M1145" s="33">
        <f>IF($D1145="","",IFERROR(IF(INDEX(RUNS!$F$6:$F$1005,MATCH($D1145,RUNS!$A$6:$A$1005,0))="","",INDEX(RUNS!$F$6:$F$1005,MATCH($D1145,RUNS!$A$6:$A$1005,0))),""))</f>
        <v/>
      </c>
      <c r="N1145" s="33">
        <f>IF($D1145="","",IFERROR(IF(INDEX(RUNS!$G$6:$G$1005,MATCH($D1145,RUNS!$A$6:$A$1005,0))="","",INDEX(RUNS!$G$6:$G$1005,MATCH($D1145,RUNS!$A$6:$A$1005,0))),""))</f>
        <v/>
      </c>
      <c r="O1145" s="33">
        <f>IF($D1145="","",IFERROR(IF(INDEX(RUNS!$H$6:$H$1005,MATCH($D1145,RUNS!$A$6:$A$1005,0))="","",INDEX(RUNS!$H$6:$H$1005,MATCH($D1145,RUNS!$A$6:$A$1005,0))),""))</f>
        <v/>
      </c>
      <c r="P1145" s="33">
        <f>IF($D1145="","",IFERROR(IF(INDEX(RUNS!$J$6:$J$1005,MATCH($D1145,RUNS!$A$6:$A$1005,0))="","",INDEX(RUNS!$J$6:$J$1005,MATCH($D1145,RUNS!$A$6:$A$1005,0))),""))</f>
        <v/>
      </c>
      <c r="Q1145" s="33">
        <f>IF($D1145="","",IFERROR(IF(INDEX(RUNS!$K$6:$K$1005,MATCH($D1145,RUNS!$A$6:$A$1005,0))="","",INDEX(RUNS!$K$6:$K$1005,MATCH($D1145,RUNS!$A$6:$A$1005,0))),""))</f>
        <v/>
      </c>
      <c r="R1145" s="34">
        <f>IF(OR($L1145="",$K1145=""),"",IFERROR(IF(INDEX(PARAMETRES!$H$43:$H$342,MATCH($L1145&amp;"|"&amp;$M1145&amp;"|"&amp;$N1145&amp;"|"&amp;$O1145&amp;"|"&amp;$P1145&amp;"|"&amp;$Q1145&amp;"|"&amp;$K1145,PARAMETRES!$J$43:$J$342,0))="","",INDEX(PARAMETRES!$H$43:$H$342,MATCH($L1145&amp;"|"&amp;$M1145&amp;"|"&amp;$N1145&amp;"|"&amp;$O1145&amp;"|"&amp;$P1145&amp;"|"&amp;$Q1145&amp;"|"&amp;$K1145,PARAMETRES!$J$43:$J$342,0))),""))</f>
        <v/>
      </c>
      <c r="S1145" s="35">
        <f>IF(OR($G1145="",$X1145&lt;&gt;"VALIDE"),"",IFERROR(LOOKUP(2,1/(($B245:$B1144=$B1145)*($G245:$G1144=$G1145)*($X245:$X1144="VALIDE")),$C245:$C1144),""))</f>
        <v/>
      </c>
      <c r="T1145" s="36">
        <f>IF(OR($C1145="",$S1145=""),"",ROUND(($C1145-$S1145+IF($C1145&lt;$S1145,1,0))*1440,0))</f>
        <v/>
      </c>
      <c r="U1145" s="22">
        <f>IF(OR($H1145="",$T1145="",$T1145&lt;=0),"",$H1145*60/$T1145)</f>
        <v/>
      </c>
      <c r="V1145" s="37">
        <f>IF(OR($U1145="",$R1145="",$R1145=0),"",$U1145/$R1145)</f>
        <v/>
      </c>
      <c r="W1145" s="20">
        <f>IF($G1145="","",IF($X1145="CONTEXTE INCOMPLET","CONTEXTE INCOMPLET",IF($X1145="DOUBLON",StatutDoublon,IF($S1145="",StatutInitial,IF($R1145="",StatutStandardManquant,IF($V1145="","DONNEES INSUFFISANTES",IF($V1145&gt;=SeuilConforme,StatutConforme,IF($V1145&gt;=SeuilSurveiller,StatutSurveiller,StatutSousStandard))))))))</f>
        <v/>
      </c>
      <c r="X1145" s="33">
        <f>IF($G1145="","",IF(OR($D1145="",$E1145="",$F1145=""),"CONTEXTE INCOMPLET",IF(COUNTIFS($D245:$D1144,$D1145,$E245:$E1144,$E1145,$F245:$F1144,$F1145,$G245:$G1144,$G1145)&gt;0,"DOUBLON","VALIDE")))</f>
        <v/>
      </c>
    </row>
    <row r="1146" ht="15" customHeight="1">
      <c r="A1146" s="12">
        <f>IF(OR($B1146="",$G1146=""),"",TEXT($B1146,"YYYYMMDD")&amp;"-"&amp;SUBSTITUTE($E1146," ","")&amp;"-"&amp;$F1146&amp;"-"&amp;$G1146)</f>
        <v/>
      </c>
      <c r="B1146" s="15" t="n"/>
      <c r="C1146" s="16" t="n"/>
      <c r="D1146" s="10" t="n"/>
      <c r="E1146" s="9" t="n"/>
      <c r="F1146" s="9" t="n"/>
      <c r="G1146" s="13" t="n"/>
      <c r="H1146" s="21" t="n"/>
      <c r="I1146" s="21" t="n"/>
      <c r="J1146" s="17">
        <f>IF($G1146="","",IFERROR(INDEX(NomsEmployes,MATCH($G1146,MatriculesEmployes,0)),"MATRICULE INCONNU"))</f>
        <v/>
      </c>
      <c r="K1146" s="33">
        <f>IF(OR($D1146="",$F1146=""),"",IFERROR(IF(INDEX(RUNS!$L$6:$S$1005,MATCH($D1146,RUNS!$A$6:$A$1005,0),MATCH("ACTIVITÉ "&amp;$F1146,RUNS!$L$5:$S$5,0))="","",INDEX(RUNS!$L$6:$S$1005,MATCH($D1146,RUNS!$A$6:$A$1005,0),MATCH("ACTIVITÉ "&amp;$F1146,RUNS!$L$5:$S$5,0))),""))</f>
        <v/>
      </c>
      <c r="L1146" s="33">
        <f>IF($D1146="","",IFERROR(IF(INDEX(RUNS!$E$6:$E$1005,MATCH($D1146,RUNS!$A$6:$A$1005,0))="","",INDEX(RUNS!$E$6:$E$1005,MATCH($D1146,RUNS!$A$6:$A$1005,0))),""))</f>
        <v/>
      </c>
      <c r="M1146" s="33">
        <f>IF($D1146="","",IFERROR(IF(INDEX(RUNS!$F$6:$F$1005,MATCH($D1146,RUNS!$A$6:$A$1005,0))="","",INDEX(RUNS!$F$6:$F$1005,MATCH($D1146,RUNS!$A$6:$A$1005,0))),""))</f>
        <v/>
      </c>
      <c r="N1146" s="33">
        <f>IF($D1146="","",IFERROR(IF(INDEX(RUNS!$G$6:$G$1005,MATCH($D1146,RUNS!$A$6:$A$1005,0))="","",INDEX(RUNS!$G$6:$G$1005,MATCH($D1146,RUNS!$A$6:$A$1005,0))),""))</f>
        <v/>
      </c>
      <c r="O1146" s="33">
        <f>IF($D1146="","",IFERROR(IF(INDEX(RUNS!$H$6:$H$1005,MATCH($D1146,RUNS!$A$6:$A$1005,0))="","",INDEX(RUNS!$H$6:$H$1005,MATCH($D1146,RUNS!$A$6:$A$1005,0))),""))</f>
        <v/>
      </c>
      <c r="P1146" s="33">
        <f>IF($D1146="","",IFERROR(IF(INDEX(RUNS!$J$6:$J$1005,MATCH($D1146,RUNS!$A$6:$A$1005,0))="","",INDEX(RUNS!$J$6:$J$1005,MATCH($D1146,RUNS!$A$6:$A$1005,0))),""))</f>
        <v/>
      </c>
      <c r="Q1146" s="33">
        <f>IF($D1146="","",IFERROR(IF(INDEX(RUNS!$K$6:$K$1005,MATCH($D1146,RUNS!$A$6:$A$1005,0))="","",INDEX(RUNS!$K$6:$K$1005,MATCH($D1146,RUNS!$A$6:$A$1005,0))),""))</f>
        <v/>
      </c>
      <c r="R1146" s="34">
        <f>IF(OR($L1146="",$K1146=""),"",IFERROR(IF(INDEX(PARAMETRES!$H$43:$H$342,MATCH($L1146&amp;"|"&amp;$M1146&amp;"|"&amp;$N1146&amp;"|"&amp;$O1146&amp;"|"&amp;$P1146&amp;"|"&amp;$Q1146&amp;"|"&amp;$K1146,PARAMETRES!$J$43:$J$342,0))="","",INDEX(PARAMETRES!$H$43:$H$342,MATCH($L1146&amp;"|"&amp;$M1146&amp;"|"&amp;$N1146&amp;"|"&amp;$O1146&amp;"|"&amp;$P1146&amp;"|"&amp;$Q1146&amp;"|"&amp;$K1146,PARAMETRES!$J$43:$J$342,0))),""))</f>
        <v/>
      </c>
      <c r="S1146" s="35">
        <f>IF(OR($G1146="",$X1146&lt;&gt;"VALIDE"),"",IFERROR(LOOKUP(2,1/(($B246:$B1145=$B1146)*($G246:$G1145=$G1146)*($X246:$X1145="VALIDE")),$C246:$C1145),""))</f>
        <v/>
      </c>
      <c r="T1146" s="36">
        <f>IF(OR($C1146="",$S1146=""),"",ROUND(($C1146-$S1146+IF($C1146&lt;$S1146,1,0))*1440,0))</f>
        <v/>
      </c>
      <c r="U1146" s="22">
        <f>IF(OR($H1146="",$T1146="",$T1146&lt;=0),"",$H1146*60/$T1146)</f>
        <v/>
      </c>
      <c r="V1146" s="37">
        <f>IF(OR($U1146="",$R1146="",$R1146=0),"",$U1146/$R1146)</f>
        <v/>
      </c>
      <c r="W1146" s="20">
        <f>IF($G1146="","",IF($X1146="CONTEXTE INCOMPLET","CONTEXTE INCOMPLET",IF($X1146="DOUBLON",StatutDoublon,IF($S1146="",StatutInitial,IF($R1146="",StatutStandardManquant,IF($V1146="","DONNEES INSUFFISANTES",IF($V1146&gt;=SeuilConforme,StatutConforme,IF($V1146&gt;=SeuilSurveiller,StatutSurveiller,StatutSousStandard))))))))</f>
        <v/>
      </c>
      <c r="X1146" s="33">
        <f>IF($G1146="","",IF(OR($D1146="",$E1146="",$F1146=""),"CONTEXTE INCOMPLET",IF(COUNTIFS($D246:$D1145,$D1146,$E246:$E1145,$E1146,$F246:$F1145,$F1146,$G246:$G1145,$G1146)&gt;0,"DOUBLON","VALIDE")))</f>
        <v/>
      </c>
    </row>
    <row r="1147" ht="15" customHeight="1">
      <c r="A1147" s="12">
        <f>IF(OR($B1147="",$G1147=""),"",TEXT($B1147,"YYYYMMDD")&amp;"-"&amp;SUBSTITUTE($E1147," ","")&amp;"-"&amp;$F1147&amp;"-"&amp;$G1147)</f>
        <v/>
      </c>
      <c r="B1147" s="15" t="n"/>
      <c r="C1147" s="16" t="n"/>
      <c r="D1147" s="10" t="n"/>
      <c r="E1147" s="9" t="n"/>
      <c r="F1147" s="9" t="n"/>
      <c r="G1147" s="13" t="n"/>
      <c r="H1147" s="21" t="n"/>
      <c r="I1147" s="21" t="n"/>
      <c r="J1147" s="17">
        <f>IF($G1147="","",IFERROR(INDEX(NomsEmployes,MATCH($G1147,MatriculesEmployes,0)),"MATRICULE INCONNU"))</f>
        <v/>
      </c>
      <c r="K1147" s="33">
        <f>IF(OR($D1147="",$F1147=""),"",IFERROR(IF(INDEX(RUNS!$L$6:$S$1005,MATCH($D1147,RUNS!$A$6:$A$1005,0),MATCH("ACTIVITÉ "&amp;$F1147,RUNS!$L$5:$S$5,0))="","",INDEX(RUNS!$L$6:$S$1005,MATCH($D1147,RUNS!$A$6:$A$1005,0),MATCH("ACTIVITÉ "&amp;$F1147,RUNS!$L$5:$S$5,0))),""))</f>
        <v/>
      </c>
      <c r="L1147" s="33">
        <f>IF($D1147="","",IFERROR(IF(INDEX(RUNS!$E$6:$E$1005,MATCH($D1147,RUNS!$A$6:$A$1005,0))="","",INDEX(RUNS!$E$6:$E$1005,MATCH($D1147,RUNS!$A$6:$A$1005,0))),""))</f>
        <v/>
      </c>
      <c r="M1147" s="33">
        <f>IF($D1147="","",IFERROR(IF(INDEX(RUNS!$F$6:$F$1005,MATCH($D1147,RUNS!$A$6:$A$1005,0))="","",INDEX(RUNS!$F$6:$F$1005,MATCH($D1147,RUNS!$A$6:$A$1005,0))),""))</f>
        <v/>
      </c>
      <c r="N1147" s="33">
        <f>IF($D1147="","",IFERROR(IF(INDEX(RUNS!$G$6:$G$1005,MATCH($D1147,RUNS!$A$6:$A$1005,0))="","",INDEX(RUNS!$G$6:$G$1005,MATCH($D1147,RUNS!$A$6:$A$1005,0))),""))</f>
        <v/>
      </c>
      <c r="O1147" s="33">
        <f>IF($D1147="","",IFERROR(IF(INDEX(RUNS!$H$6:$H$1005,MATCH($D1147,RUNS!$A$6:$A$1005,0))="","",INDEX(RUNS!$H$6:$H$1005,MATCH($D1147,RUNS!$A$6:$A$1005,0))),""))</f>
        <v/>
      </c>
      <c r="P1147" s="33">
        <f>IF($D1147="","",IFERROR(IF(INDEX(RUNS!$J$6:$J$1005,MATCH($D1147,RUNS!$A$6:$A$1005,0))="","",INDEX(RUNS!$J$6:$J$1005,MATCH($D1147,RUNS!$A$6:$A$1005,0))),""))</f>
        <v/>
      </c>
      <c r="Q1147" s="33">
        <f>IF($D1147="","",IFERROR(IF(INDEX(RUNS!$K$6:$K$1005,MATCH($D1147,RUNS!$A$6:$A$1005,0))="","",INDEX(RUNS!$K$6:$K$1005,MATCH($D1147,RUNS!$A$6:$A$1005,0))),""))</f>
        <v/>
      </c>
      <c r="R1147" s="34">
        <f>IF(OR($L1147="",$K1147=""),"",IFERROR(IF(INDEX(PARAMETRES!$H$43:$H$342,MATCH($L1147&amp;"|"&amp;$M1147&amp;"|"&amp;$N1147&amp;"|"&amp;$O1147&amp;"|"&amp;$P1147&amp;"|"&amp;$Q1147&amp;"|"&amp;$K1147,PARAMETRES!$J$43:$J$342,0))="","",INDEX(PARAMETRES!$H$43:$H$342,MATCH($L1147&amp;"|"&amp;$M1147&amp;"|"&amp;$N1147&amp;"|"&amp;$O1147&amp;"|"&amp;$P1147&amp;"|"&amp;$Q1147&amp;"|"&amp;$K1147,PARAMETRES!$J$43:$J$342,0))),""))</f>
        <v/>
      </c>
      <c r="S1147" s="35">
        <f>IF(OR($G1147="",$X1147&lt;&gt;"VALIDE"),"",IFERROR(LOOKUP(2,1/(($B247:$B1146=$B1147)*($G247:$G1146=$G1147)*($X247:$X1146="VALIDE")),$C247:$C1146),""))</f>
        <v/>
      </c>
      <c r="T1147" s="36">
        <f>IF(OR($C1147="",$S1147=""),"",ROUND(($C1147-$S1147+IF($C1147&lt;$S1147,1,0))*1440,0))</f>
        <v/>
      </c>
      <c r="U1147" s="22">
        <f>IF(OR($H1147="",$T1147="",$T1147&lt;=0),"",$H1147*60/$T1147)</f>
        <v/>
      </c>
      <c r="V1147" s="37">
        <f>IF(OR($U1147="",$R1147="",$R1147=0),"",$U1147/$R1147)</f>
        <v/>
      </c>
      <c r="W1147" s="20">
        <f>IF($G1147="","",IF($X1147="CONTEXTE INCOMPLET","CONTEXTE INCOMPLET",IF($X1147="DOUBLON",StatutDoublon,IF($S1147="",StatutInitial,IF($R1147="",StatutStandardManquant,IF($V1147="","DONNEES INSUFFISANTES",IF($V1147&gt;=SeuilConforme,StatutConforme,IF($V1147&gt;=SeuilSurveiller,StatutSurveiller,StatutSousStandard))))))))</f>
        <v/>
      </c>
      <c r="X1147" s="33">
        <f>IF($G1147="","",IF(OR($D1147="",$E1147="",$F1147=""),"CONTEXTE INCOMPLET",IF(COUNTIFS($D247:$D1146,$D1147,$E247:$E1146,$E1147,$F247:$F1146,$F1147,$G247:$G1146,$G1147)&gt;0,"DOUBLON","VALIDE")))</f>
        <v/>
      </c>
    </row>
    <row r="1148" ht="15" customHeight="1">
      <c r="A1148" s="12">
        <f>IF(OR($B1148="",$G1148=""),"",TEXT($B1148,"YYYYMMDD")&amp;"-"&amp;SUBSTITUTE($E1148," ","")&amp;"-"&amp;$F1148&amp;"-"&amp;$G1148)</f>
        <v/>
      </c>
      <c r="B1148" s="15" t="n"/>
      <c r="C1148" s="16" t="n"/>
      <c r="D1148" s="10" t="n"/>
      <c r="E1148" s="9" t="n"/>
      <c r="F1148" s="9" t="n"/>
      <c r="G1148" s="13" t="n"/>
      <c r="H1148" s="21" t="n"/>
      <c r="I1148" s="21" t="n"/>
      <c r="J1148" s="17">
        <f>IF($G1148="","",IFERROR(INDEX(NomsEmployes,MATCH($G1148,MatriculesEmployes,0)),"MATRICULE INCONNU"))</f>
        <v/>
      </c>
      <c r="K1148" s="33">
        <f>IF(OR($D1148="",$F1148=""),"",IFERROR(IF(INDEX(RUNS!$L$6:$S$1005,MATCH($D1148,RUNS!$A$6:$A$1005,0),MATCH("ACTIVITÉ "&amp;$F1148,RUNS!$L$5:$S$5,0))="","",INDEX(RUNS!$L$6:$S$1005,MATCH($D1148,RUNS!$A$6:$A$1005,0),MATCH("ACTIVITÉ "&amp;$F1148,RUNS!$L$5:$S$5,0))),""))</f>
        <v/>
      </c>
      <c r="L1148" s="33">
        <f>IF($D1148="","",IFERROR(IF(INDEX(RUNS!$E$6:$E$1005,MATCH($D1148,RUNS!$A$6:$A$1005,0))="","",INDEX(RUNS!$E$6:$E$1005,MATCH($D1148,RUNS!$A$6:$A$1005,0))),""))</f>
        <v/>
      </c>
      <c r="M1148" s="33">
        <f>IF($D1148="","",IFERROR(IF(INDEX(RUNS!$F$6:$F$1005,MATCH($D1148,RUNS!$A$6:$A$1005,0))="","",INDEX(RUNS!$F$6:$F$1005,MATCH($D1148,RUNS!$A$6:$A$1005,0))),""))</f>
        <v/>
      </c>
      <c r="N1148" s="33">
        <f>IF($D1148="","",IFERROR(IF(INDEX(RUNS!$G$6:$G$1005,MATCH($D1148,RUNS!$A$6:$A$1005,0))="","",INDEX(RUNS!$G$6:$G$1005,MATCH($D1148,RUNS!$A$6:$A$1005,0))),""))</f>
        <v/>
      </c>
      <c r="O1148" s="33">
        <f>IF($D1148="","",IFERROR(IF(INDEX(RUNS!$H$6:$H$1005,MATCH($D1148,RUNS!$A$6:$A$1005,0))="","",INDEX(RUNS!$H$6:$H$1005,MATCH($D1148,RUNS!$A$6:$A$1005,0))),""))</f>
        <v/>
      </c>
      <c r="P1148" s="33">
        <f>IF($D1148="","",IFERROR(IF(INDEX(RUNS!$J$6:$J$1005,MATCH($D1148,RUNS!$A$6:$A$1005,0))="","",INDEX(RUNS!$J$6:$J$1005,MATCH($D1148,RUNS!$A$6:$A$1005,0))),""))</f>
        <v/>
      </c>
      <c r="Q1148" s="33">
        <f>IF($D1148="","",IFERROR(IF(INDEX(RUNS!$K$6:$K$1005,MATCH($D1148,RUNS!$A$6:$A$1005,0))="","",INDEX(RUNS!$K$6:$K$1005,MATCH($D1148,RUNS!$A$6:$A$1005,0))),""))</f>
        <v/>
      </c>
      <c r="R1148" s="34">
        <f>IF(OR($L1148="",$K1148=""),"",IFERROR(IF(INDEX(PARAMETRES!$H$43:$H$342,MATCH($L1148&amp;"|"&amp;$M1148&amp;"|"&amp;$N1148&amp;"|"&amp;$O1148&amp;"|"&amp;$P1148&amp;"|"&amp;$Q1148&amp;"|"&amp;$K1148,PARAMETRES!$J$43:$J$342,0))="","",INDEX(PARAMETRES!$H$43:$H$342,MATCH($L1148&amp;"|"&amp;$M1148&amp;"|"&amp;$N1148&amp;"|"&amp;$O1148&amp;"|"&amp;$P1148&amp;"|"&amp;$Q1148&amp;"|"&amp;$K1148,PARAMETRES!$J$43:$J$342,0))),""))</f>
        <v/>
      </c>
      <c r="S1148" s="35">
        <f>IF(OR($G1148="",$X1148&lt;&gt;"VALIDE"),"",IFERROR(LOOKUP(2,1/(($B248:$B1147=$B1148)*($G248:$G1147=$G1148)*($X248:$X1147="VALIDE")),$C248:$C1147),""))</f>
        <v/>
      </c>
      <c r="T1148" s="36">
        <f>IF(OR($C1148="",$S1148=""),"",ROUND(($C1148-$S1148+IF($C1148&lt;$S1148,1,0))*1440,0))</f>
        <v/>
      </c>
      <c r="U1148" s="22">
        <f>IF(OR($H1148="",$T1148="",$T1148&lt;=0),"",$H1148*60/$T1148)</f>
        <v/>
      </c>
      <c r="V1148" s="37">
        <f>IF(OR($U1148="",$R1148="",$R1148=0),"",$U1148/$R1148)</f>
        <v/>
      </c>
      <c r="W1148" s="20">
        <f>IF($G1148="","",IF($X1148="CONTEXTE INCOMPLET","CONTEXTE INCOMPLET",IF($X1148="DOUBLON",StatutDoublon,IF($S1148="",StatutInitial,IF($R1148="",StatutStandardManquant,IF($V1148="","DONNEES INSUFFISANTES",IF($V1148&gt;=SeuilConforme,StatutConforme,IF($V1148&gt;=SeuilSurveiller,StatutSurveiller,StatutSousStandard))))))))</f>
        <v/>
      </c>
      <c r="X1148" s="33">
        <f>IF($G1148="","",IF(OR($D1148="",$E1148="",$F1148=""),"CONTEXTE INCOMPLET",IF(COUNTIFS($D248:$D1147,$D1148,$E248:$E1147,$E1148,$F248:$F1147,$F1148,$G248:$G1147,$G1148)&gt;0,"DOUBLON","VALIDE")))</f>
        <v/>
      </c>
    </row>
    <row r="1149" ht="15" customHeight="1">
      <c r="A1149" s="12">
        <f>IF(OR($B1149="",$G1149=""),"",TEXT($B1149,"YYYYMMDD")&amp;"-"&amp;SUBSTITUTE($E1149," ","")&amp;"-"&amp;$F1149&amp;"-"&amp;$G1149)</f>
        <v/>
      </c>
      <c r="B1149" s="15" t="n"/>
      <c r="C1149" s="16" t="n"/>
      <c r="D1149" s="10" t="n"/>
      <c r="E1149" s="9" t="n"/>
      <c r="F1149" s="9" t="n"/>
      <c r="G1149" s="13" t="n"/>
      <c r="H1149" s="21" t="n"/>
      <c r="I1149" s="21" t="n"/>
      <c r="J1149" s="17">
        <f>IF($G1149="","",IFERROR(INDEX(NomsEmployes,MATCH($G1149,MatriculesEmployes,0)),"MATRICULE INCONNU"))</f>
        <v/>
      </c>
      <c r="K1149" s="33">
        <f>IF(OR($D1149="",$F1149=""),"",IFERROR(IF(INDEX(RUNS!$L$6:$S$1005,MATCH($D1149,RUNS!$A$6:$A$1005,0),MATCH("ACTIVITÉ "&amp;$F1149,RUNS!$L$5:$S$5,0))="","",INDEX(RUNS!$L$6:$S$1005,MATCH($D1149,RUNS!$A$6:$A$1005,0),MATCH("ACTIVITÉ "&amp;$F1149,RUNS!$L$5:$S$5,0))),""))</f>
        <v/>
      </c>
      <c r="L1149" s="33">
        <f>IF($D1149="","",IFERROR(IF(INDEX(RUNS!$E$6:$E$1005,MATCH($D1149,RUNS!$A$6:$A$1005,0))="","",INDEX(RUNS!$E$6:$E$1005,MATCH($D1149,RUNS!$A$6:$A$1005,0))),""))</f>
        <v/>
      </c>
      <c r="M1149" s="33">
        <f>IF($D1149="","",IFERROR(IF(INDEX(RUNS!$F$6:$F$1005,MATCH($D1149,RUNS!$A$6:$A$1005,0))="","",INDEX(RUNS!$F$6:$F$1005,MATCH($D1149,RUNS!$A$6:$A$1005,0))),""))</f>
        <v/>
      </c>
      <c r="N1149" s="33">
        <f>IF($D1149="","",IFERROR(IF(INDEX(RUNS!$G$6:$G$1005,MATCH($D1149,RUNS!$A$6:$A$1005,0))="","",INDEX(RUNS!$G$6:$G$1005,MATCH($D1149,RUNS!$A$6:$A$1005,0))),""))</f>
        <v/>
      </c>
      <c r="O1149" s="33">
        <f>IF($D1149="","",IFERROR(IF(INDEX(RUNS!$H$6:$H$1005,MATCH($D1149,RUNS!$A$6:$A$1005,0))="","",INDEX(RUNS!$H$6:$H$1005,MATCH($D1149,RUNS!$A$6:$A$1005,0))),""))</f>
        <v/>
      </c>
      <c r="P1149" s="33">
        <f>IF($D1149="","",IFERROR(IF(INDEX(RUNS!$J$6:$J$1005,MATCH($D1149,RUNS!$A$6:$A$1005,0))="","",INDEX(RUNS!$J$6:$J$1005,MATCH($D1149,RUNS!$A$6:$A$1005,0))),""))</f>
        <v/>
      </c>
      <c r="Q1149" s="33">
        <f>IF($D1149="","",IFERROR(IF(INDEX(RUNS!$K$6:$K$1005,MATCH($D1149,RUNS!$A$6:$A$1005,0))="","",INDEX(RUNS!$K$6:$K$1005,MATCH($D1149,RUNS!$A$6:$A$1005,0))),""))</f>
        <v/>
      </c>
      <c r="R1149" s="34">
        <f>IF(OR($L1149="",$K1149=""),"",IFERROR(IF(INDEX(PARAMETRES!$H$43:$H$342,MATCH($L1149&amp;"|"&amp;$M1149&amp;"|"&amp;$N1149&amp;"|"&amp;$O1149&amp;"|"&amp;$P1149&amp;"|"&amp;$Q1149&amp;"|"&amp;$K1149,PARAMETRES!$J$43:$J$342,0))="","",INDEX(PARAMETRES!$H$43:$H$342,MATCH($L1149&amp;"|"&amp;$M1149&amp;"|"&amp;$N1149&amp;"|"&amp;$O1149&amp;"|"&amp;$P1149&amp;"|"&amp;$Q1149&amp;"|"&amp;$K1149,PARAMETRES!$J$43:$J$342,0))),""))</f>
        <v/>
      </c>
      <c r="S1149" s="35">
        <f>IF(OR($G1149="",$X1149&lt;&gt;"VALIDE"),"",IFERROR(LOOKUP(2,1/(($B249:$B1148=$B1149)*($G249:$G1148=$G1149)*($X249:$X1148="VALIDE")),$C249:$C1148),""))</f>
        <v/>
      </c>
      <c r="T1149" s="36">
        <f>IF(OR($C1149="",$S1149=""),"",ROUND(($C1149-$S1149+IF($C1149&lt;$S1149,1,0))*1440,0))</f>
        <v/>
      </c>
      <c r="U1149" s="22">
        <f>IF(OR($H1149="",$T1149="",$T1149&lt;=0),"",$H1149*60/$T1149)</f>
        <v/>
      </c>
      <c r="V1149" s="37">
        <f>IF(OR($U1149="",$R1149="",$R1149=0),"",$U1149/$R1149)</f>
        <v/>
      </c>
      <c r="W1149" s="20">
        <f>IF($G1149="","",IF($X1149="CONTEXTE INCOMPLET","CONTEXTE INCOMPLET",IF($X1149="DOUBLON",StatutDoublon,IF($S1149="",StatutInitial,IF($R1149="",StatutStandardManquant,IF($V1149="","DONNEES INSUFFISANTES",IF($V1149&gt;=SeuilConforme,StatutConforme,IF($V1149&gt;=SeuilSurveiller,StatutSurveiller,StatutSousStandard))))))))</f>
        <v/>
      </c>
      <c r="X1149" s="33">
        <f>IF($G1149="","",IF(OR($D1149="",$E1149="",$F1149=""),"CONTEXTE INCOMPLET",IF(COUNTIFS($D249:$D1148,$D1149,$E249:$E1148,$E1149,$F249:$F1148,$F1149,$G249:$G1148,$G1149)&gt;0,"DOUBLON","VALIDE")))</f>
        <v/>
      </c>
    </row>
    <row r="1150" ht="15" customHeight="1">
      <c r="A1150" s="12">
        <f>IF(OR($B1150="",$G1150=""),"",TEXT($B1150,"YYYYMMDD")&amp;"-"&amp;SUBSTITUTE($E1150," ","")&amp;"-"&amp;$F1150&amp;"-"&amp;$G1150)</f>
        <v/>
      </c>
      <c r="B1150" s="15" t="n"/>
      <c r="C1150" s="16" t="n"/>
      <c r="D1150" s="10" t="n"/>
      <c r="E1150" s="9" t="n"/>
      <c r="F1150" s="9" t="n"/>
      <c r="G1150" s="13" t="n"/>
      <c r="H1150" s="21" t="n"/>
      <c r="I1150" s="21" t="n"/>
      <c r="J1150" s="17">
        <f>IF($G1150="","",IFERROR(INDEX(NomsEmployes,MATCH($G1150,MatriculesEmployes,0)),"MATRICULE INCONNU"))</f>
        <v/>
      </c>
      <c r="K1150" s="33">
        <f>IF(OR($D1150="",$F1150=""),"",IFERROR(IF(INDEX(RUNS!$L$6:$S$1005,MATCH($D1150,RUNS!$A$6:$A$1005,0),MATCH("ACTIVITÉ "&amp;$F1150,RUNS!$L$5:$S$5,0))="","",INDEX(RUNS!$L$6:$S$1005,MATCH($D1150,RUNS!$A$6:$A$1005,0),MATCH("ACTIVITÉ "&amp;$F1150,RUNS!$L$5:$S$5,0))),""))</f>
        <v/>
      </c>
      <c r="L1150" s="33">
        <f>IF($D1150="","",IFERROR(IF(INDEX(RUNS!$E$6:$E$1005,MATCH($D1150,RUNS!$A$6:$A$1005,0))="","",INDEX(RUNS!$E$6:$E$1005,MATCH($D1150,RUNS!$A$6:$A$1005,0))),""))</f>
        <v/>
      </c>
      <c r="M1150" s="33">
        <f>IF($D1150="","",IFERROR(IF(INDEX(RUNS!$F$6:$F$1005,MATCH($D1150,RUNS!$A$6:$A$1005,0))="","",INDEX(RUNS!$F$6:$F$1005,MATCH($D1150,RUNS!$A$6:$A$1005,0))),""))</f>
        <v/>
      </c>
      <c r="N1150" s="33">
        <f>IF($D1150="","",IFERROR(IF(INDEX(RUNS!$G$6:$G$1005,MATCH($D1150,RUNS!$A$6:$A$1005,0))="","",INDEX(RUNS!$G$6:$G$1005,MATCH($D1150,RUNS!$A$6:$A$1005,0))),""))</f>
        <v/>
      </c>
      <c r="O1150" s="33">
        <f>IF($D1150="","",IFERROR(IF(INDEX(RUNS!$H$6:$H$1005,MATCH($D1150,RUNS!$A$6:$A$1005,0))="","",INDEX(RUNS!$H$6:$H$1005,MATCH($D1150,RUNS!$A$6:$A$1005,0))),""))</f>
        <v/>
      </c>
      <c r="P1150" s="33">
        <f>IF($D1150="","",IFERROR(IF(INDEX(RUNS!$J$6:$J$1005,MATCH($D1150,RUNS!$A$6:$A$1005,0))="","",INDEX(RUNS!$J$6:$J$1005,MATCH($D1150,RUNS!$A$6:$A$1005,0))),""))</f>
        <v/>
      </c>
      <c r="Q1150" s="33">
        <f>IF($D1150="","",IFERROR(IF(INDEX(RUNS!$K$6:$K$1005,MATCH($D1150,RUNS!$A$6:$A$1005,0))="","",INDEX(RUNS!$K$6:$K$1005,MATCH($D1150,RUNS!$A$6:$A$1005,0))),""))</f>
        <v/>
      </c>
      <c r="R1150" s="34">
        <f>IF(OR($L1150="",$K1150=""),"",IFERROR(IF(INDEX(PARAMETRES!$H$43:$H$342,MATCH($L1150&amp;"|"&amp;$M1150&amp;"|"&amp;$N1150&amp;"|"&amp;$O1150&amp;"|"&amp;$P1150&amp;"|"&amp;$Q1150&amp;"|"&amp;$K1150,PARAMETRES!$J$43:$J$342,0))="","",INDEX(PARAMETRES!$H$43:$H$342,MATCH($L1150&amp;"|"&amp;$M1150&amp;"|"&amp;$N1150&amp;"|"&amp;$O1150&amp;"|"&amp;$P1150&amp;"|"&amp;$Q1150&amp;"|"&amp;$K1150,PARAMETRES!$J$43:$J$342,0))),""))</f>
        <v/>
      </c>
      <c r="S1150" s="35">
        <f>IF(OR($G1150="",$X1150&lt;&gt;"VALIDE"),"",IFERROR(LOOKUP(2,1/(($B250:$B1149=$B1150)*($G250:$G1149=$G1150)*($X250:$X1149="VALIDE")),$C250:$C1149),""))</f>
        <v/>
      </c>
      <c r="T1150" s="36">
        <f>IF(OR($C1150="",$S1150=""),"",ROUND(($C1150-$S1150+IF($C1150&lt;$S1150,1,0))*1440,0))</f>
        <v/>
      </c>
      <c r="U1150" s="22">
        <f>IF(OR($H1150="",$T1150="",$T1150&lt;=0),"",$H1150*60/$T1150)</f>
        <v/>
      </c>
      <c r="V1150" s="37">
        <f>IF(OR($U1150="",$R1150="",$R1150=0),"",$U1150/$R1150)</f>
        <v/>
      </c>
      <c r="W1150" s="20">
        <f>IF($G1150="","",IF($X1150="CONTEXTE INCOMPLET","CONTEXTE INCOMPLET",IF($X1150="DOUBLON",StatutDoublon,IF($S1150="",StatutInitial,IF($R1150="",StatutStandardManquant,IF($V1150="","DONNEES INSUFFISANTES",IF($V1150&gt;=SeuilConforme,StatutConforme,IF($V1150&gt;=SeuilSurveiller,StatutSurveiller,StatutSousStandard))))))))</f>
        <v/>
      </c>
      <c r="X1150" s="33">
        <f>IF($G1150="","",IF(OR($D1150="",$E1150="",$F1150=""),"CONTEXTE INCOMPLET",IF(COUNTIFS($D250:$D1149,$D1150,$E250:$E1149,$E1150,$F250:$F1149,$F1150,$G250:$G1149,$G1150)&gt;0,"DOUBLON","VALIDE")))</f>
        <v/>
      </c>
    </row>
    <row r="1151" ht="15" customHeight="1">
      <c r="A1151" s="12">
        <f>IF(OR($B1151="",$G1151=""),"",TEXT($B1151,"YYYYMMDD")&amp;"-"&amp;SUBSTITUTE($E1151," ","")&amp;"-"&amp;$F1151&amp;"-"&amp;$G1151)</f>
        <v/>
      </c>
      <c r="B1151" s="15" t="n"/>
      <c r="C1151" s="16" t="n"/>
      <c r="D1151" s="10" t="n"/>
      <c r="E1151" s="9" t="n"/>
      <c r="F1151" s="9" t="n"/>
      <c r="G1151" s="13" t="n"/>
      <c r="H1151" s="21" t="n"/>
      <c r="I1151" s="21" t="n"/>
      <c r="J1151" s="17">
        <f>IF($G1151="","",IFERROR(INDEX(NomsEmployes,MATCH($G1151,MatriculesEmployes,0)),"MATRICULE INCONNU"))</f>
        <v/>
      </c>
      <c r="K1151" s="33">
        <f>IF(OR($D1151="",$F1151=""),"",IFERROR(IF(INDEX(RUNS!$L$6:$S$1005,MATCH($D1151,RUNS!$A$6:$A$1005,0),MATCH("ACTIVITÉ "&amp;$F1151,RUNS!$L$5:$S$5,0))="","",INDEX(RUNS!$L$6:$S$1005,MATCH($D1151,RUNS!$A$6:$A$1005,0),MATCH("ACTIVITÉ "&amp;$F1151,RUNS!$L$5:$S$5,0))),""))</f>
        <v/>
      </c>
      <c r="L1151" s="33">
        <f>IF($D1151="","",IFERROR(IF(INDEX(RUNS!$E$6:$E$1005,MATCH($D1151,RUNS!$A$6:$A$1005,0))="","",INDEX(RUNS!$E$6:$E$1005,MATCH($D1151,RUNS!$A$6:$A$1005,0))),""))</f>
        <v/>
      </c>
      <c r="M1151" s="33">
        <f>IF($D1151="","",IFERROR(IF(INDEX(RUNS!$F$6:$F$1005,MATCH($D1151,RUNS!$A$6:$A$1005,0))="","",INDEX(RUNS!$F$6:$F$1005,MATCH($D1151,RUNS!$A$6:$A$1005,0))),""))</f>
        <v/>
      </c>
      <c r="N1151" s="33">
        <f>IF($D1151="","",IFERROR(IF(INDEX(RUNS!$G$6:$G$1005,MATCH($D1151,RUNS!$A$6:$A$1005,0))="","",INDEX(RUNS!$G$6:$G$1005,MATCH($D1151,RUNS!$A$6:$A$1005,0))),""))</f>
        <v/>
      </c>
      <c r="O1151" s="33">
        <f>IF($D1151="","",IFERROR(IF(INDEX(RUNS!$H$6:$H$1005,MATCH($D1151,RUNS!$A$6:$A$1005,0))="","",INDEX(RUNS!$H$6:$H$1005,MATCH($D1151,RUNS!$A$6:$A$1005,0))),""))</f>
        <v/>
      </c>
      <c r="P1151" s="33">
        <f>IF($D1151="","",IFERROR(IF(INDEX(RUNS!$J$6:$J$1005,MATCH($D1151,RUNS!$A$6:$A$1005,0))="","",INDEX(RUNS!$J$6:$J$1005,MATCH($D1151,RUNS!$A$6:$A$1005,0))),""))</f>
        <v/>
      </c>
      <c r="Q1151" s="33">
        <f>IF($D1151="","",IFERROR(IF(INDEX(RUNS!$K$6:$K$1005,MATCH($D1151,RUNS!$A$6:$A$1005,0))="","",INDEX(RUNS!$K$6:$K$1005,MATCH($D1151,RUNS!$A$6:$A$1005,0))),""))</f>
        <v/>
      </c>
      <c r="R1151" s="34">
        <f>IF(OR($L1151="",$K1151=""),"",IFERROR(IF(INDEX(PARAMETRES!$H$43:$H$342,MATCH($L1151&amp;"|"&amp;$M1151&amp;"|"&amp;$N1151&amp;"|"&amp;$O1151&amp;"|"&amp;$P1151&amp;"|"&amp;$Q1151&amp;"|"&amp;$K1151,PARAMETRES!$J$43:$J$342,0))="","",INDEX(PARAMETRES!$H$43:$H$342,MATCH($L1151&amp;"|"&amp;$M1151&amp;"|"&amp;$N1151&amp;"|"&amp;$O1151&amp;"|"&amp;$P1151&amp;"|"&amp;$Q1151&amp;"|"&amp;$K1151,PARAMETRES!$J$43:$J$342,0))),""))</f>
        <v/>
      </c>
      <c r="S1151" s="35">
        <f>IF(OR($G1151="",$X1151&lt;&gt;"VALIDE"),"",IFERROR(LOOKUP(2,1/(($B251:$B1150=$B1151)*($G251:$G1150=$G1151)*($X251:$X1150="VALIDE")),$C251:$C1150),""))</f>
        <v/>
      </c>
      <c r="T1151" s="36">
        <f>IF(OR($C1151="",$S1151=""),"",ROUND(($C1151-$S1151+IF($C1151&lt;$S1151,1,0))*1440,0))</f>
        <v/>
      </c>
      <c r="U1151" s="22">
        <f>IF(OR($H1151="",$T1151="",$T1151&lt;=0),"",$H1151*60/$T1151)</f>
        <v/>
      </c>
      <c r="V1151" s="37">
        <f>IF(OR($U1151="",$R1151="",$R1151=0),"",$U1151/$R1151)</f>
        <v/>
      </c>
      <c r="W1151" s="20">
        <f>IF($G1151="","",IF($X1151="CONTEXTE INCOMPLET","CONTEXTE INCOMPLET",IF($X1151="DOUBLON",StatutDoublon,IF($S1151="",StatutInitial,IF($R1151="",StatutStandardManquant,IF($V1151="","DONNEES INSUFFISANTES",IF($V1151&gt;=SeuilConforme,StatutConforme,IF($V1151&gt;=SeuilSurveiller,StatutSurveiller,StatutSousStandard))))))))</f>
        <v/>
      </c>
      <c r="X1151" s="33">
        <f>IF($G1151="","",IF(OR($D1151="",$E1151="",$F1151=""),"CONTEXTE INCOMPLET",IF(COUNTIFS($D251:$D1150,$D1151,$E251:$E1150,$E1151,$F251:$F1150,$F1151,$G251:$G1150,$G1151)&gt;0,"DOUBLON","VALIDE")))</f>
        <v/>
      </c>
    </row>
    <row r="1152" ht="15" customHeight="1">
      <c r="A1152" s="12">
        <f>IF(OR($B1152="",$G1152=""),"",TEXT($B1152,"YYYYMMDD")&amp;"-"&amp;SUBSTITUTE($E1152," ","")&amp;"-"&amp;$F1152&amp;"-"&amp;$G1152)</f>
        <v/>
      </c>
      <c r="B1152" s="15" t="n"/>
      <c r="C1152" s="16" t="n"/>
      <c r="D1152" s="10" t="n"/>
      <c r="E1152" s="9" t="n"/>
      <c r="F1152" s="9" t="n"/>
      <c r="G1152" s="13" t="n"/>
      <c r="H1152" s="21" t="n"/>
      <c r="I1152" s="21" t="n"/>
      <c r="J1152" s="17">
        <f>IF($G1152="","",IFERROR(INDEX(NomsEmployes,MATCH($G1152,MatriculesEmployes,0)),"MATRICULE INCONNU"))</f>
        <v/>
      </c>
      <c r="K1152" s="33">
        <f>IF(OR($D1152="",$F1152=""),"",IFERROR(IF(INDEX(RUNS!$L$6:$S$1005,MATCH($D1152,RUNS!$A$6:$A$1005,0),MATCH("ACTIVITÉ "&amp;$F1152,RUNS!$L$5:$S$5,0))="","",INDEX(RUNS!$L$6:$S$1005,MATCH($D1152,RUNS!$A$6:$A$1005,0),MATCH("ACTIVITÉ "&amp;$F1152,RUNS!$L$5:$S$5,0))),""))</f>
        <v/>
      </c>
      <c r="L1152" s="33">
        <f>IF($D1152="","",IFERROR(IF(INDEX(RUNS!$E$6:$E$1005,MATCH($D1152,RUNS!$A$6:$A$1005,0))="","",INDEX(RUNS!$E$6:$E$1005,MATCH($D1152,RUNS!$A$6:$A$1005,0))),""))</f>
        <v/>
      </c>
      <c r="M1152" s="33">
        <f>IF($D1152="","",IFERROR(IF(INDEX(RUNS!$F$6:$F$1005,MATCH($D1152,RUNS!$A$6:$A$1005,0))="","",INDEX(RUNS!$F$6:$F$1005,MATCH($D1152,RUNS!$A$6:$A$1005,0))),""))</f>
        <v/>
      </c>
      <c r="N1152" s="33">
        <f>IF($D1152="","",IFERROR(IF(INDEX(RUNS!$G$6:$G$1005,MATCH($D1152,RUNS!$A$6:$A$1005,0))="","",INDEX(RUNS!$G$6:$G$1005,MATCH($D1152,RUNS!$A$6:$A$1005,0))),""))</f>
        <v/>
      </c>
      <c r="O1152" s="33">
        <f>IF($D1152="","",IFERROR(IF(INDEX(RUNS!$H$6:$H$1005,MATCH($D1152,RUNS!$A$6:$A$1005,0))="","",INDEX(RUNS!$H$6:$H$1005,MATCH($D1152,RUNS!$A$6:$A$1005,0))),""))</f>
        <v/>
      </c>
      <c r="P1152" s="33">
        <f>IF($D1152="","",IFERROR(IF(INDEX(RUNS!$J$6:$J$1005,MATCH($D1152,RUNS!$A$6:$A$1005,0))="","",INDEX(RUNS!$J$6:$J$1005,MATCH($D1152,RUNS!$A$6:$A$1005,0))),""))</f>
        <v/>
      </c>
      <c r="Q1152" s="33">
        <f>IF($D1152="","",IFERROR(IF(INDEX(RUNS!$K$6:$K$1005,MATCH($D1152,RUNS!$A$6:$A$1005,0))="","",INDEX(RUNS!$K$6:$K$1005,MATCH($D1152,RUNS!$A$6:$A$1005,0))),""))</f>
        <v/>
      </c>
      <c r="R1152" s="34">
        <f>IF(OR($L1152="",$K1152=""),"",IFERROR(IF(INDEX(PARAMETRES!$H$43:$H$342,MATCH($L1152&amp;"|"&amp;$M1152&amp;"|"&amp;$N1152&amp;"|"&amp;$O1152&amp;"|"&amp;$P1152&amp;"|"&amp;$Q1152&amp;"|"&amp;$K1152,PARAMETRES!$J$43:$J$342,0))="","",INDEX(PARAMETRES!$H$43:$H$342,MATCH($L1152&amp;"|"&amp;$M1152&amp;"|"&amp;$N1152&amp;"|"&amp;$O1152&amp;"|"&amp;$P1152&amp;"|"&amp;$Q1152&amp;"|"&amp;$K1152,PARAMETRES!$J$43:$J$342,0))),""))</f>
        <v/>
      </c>
      <c r="S1152" s="35">
        <f>IF(OR($G1152="",$X1152&lt;&gt;"VALIDE"),"",IFERROR(LOOKUP(2,1/(($B252:$B1151=$B1152)*($G252:$G1151=$G1152)*($X252:$X1151="VALIDE")),$C252:$C1151),""))</f>
        <v/>
      </c>
      <c r="T1152" s="36">
        <f>IF(OR($C1152="",$S1152=""),"",ROUND(($C1152-$S1152+IF($C1152&lt;$S1152,1,0))*1440,0))</f>
        <v/>
      </c>
      <c r="U1152" s="22">
        <f>IF(OR($H1152="",$T1152="",$T1152&lt;=0),"",$H1152*60/$T1152)</f>
        <v/>
      </c>
      <c r="V1152" s="37">
        <f>IF(OR($U1152="",$R1152="",$R1152=0),"",$U1152/$R1152)</f>
        <v/>
      </c>
      <c r="W1152" s="20">
        <f>IF($G1152="","",IF($X1152="CONTEXTE INCOMPLET","CONTEXTE INCOMPLET",IF($X1152="DOUBLON",StatutDoublon,IF($S1152="",StatutInitial,IF($R1152="",StatutStandardManquant,IF($V1152="","DONNEES INSUFFISANTES",IF($V1152&gt;=SeuilConforme,StatutConforme,IF($V1152&gt;=SeuilSurveiller,StatutSurveiller,StatutSousStandard))))))))</f>
        <v/>
      </c>
      <c r="X1152" s="33">
        <f>IF($G1152="","",IF(OR($D1152="",$E1152="",$F1152=""),"CONTEXTE INCOMPLET",IF(COUNTIFS($D252:$D1151,$D1152,$E252:$E1151,$E1152,$F252:$F1151,$F1152,$G252:$G1151,$G1152)&gt;0,"DOUBLON","VALIDE")))</f>
        <v/>
      </c>
    </row>
    <row r="1153" ht="15" customHeight="1">
      <c r="A1153" s="12">
        <f>IF(OR($B1153="",$G1153=""),"",TEXT($B1153,"YYYYMMDD")&amp;"-"&amp;SUBSTITUTE($E1153," ","")&amp;"-"&amp;$F1153&amp;"-"&amp;$G1153)</f>
        <v/>
      </c>
      <c r="B1153" s="15" t="n"/>
      <c r="C1153" s="16" t="n"/>
      <c r="D1153" s="10" t="n"/>
      <c r="E1153" s="9" t="n"/>
      <c r="F1153" s="9" t="n"/>
      <c r="G1153" s="13" t="n"/>
      <c r="H1153" s="21" t="n"/>
      <c r="I1153" s="21" t="n"/>
      <c r="J1153" s="17">
        <f>IF($G1153="","",IFERROR(INDEX(NomsEmployes,MATCH($G1153,MatriculesEmployes,0)),"MATRICULE INCONNU"))</f>
        <v/>
      </c>
      <c r="K1153" s="33">
        <f>IF(OR($D1153="",$F1153=""),"",IFERROR(IF(INDEX(RUNS!$L$6:$S$1005,MATCH($D1153,RUNS!$A$6:$A$1005,0),MATCH("ACTIVITÉ "&amp;$F1153,RUNS!$L$5:$S$5,0))="","",INDEX(RUNS!$L$6:$S$1005,MATCH($D1153,RUNS!$A$6:$A$1005,0),MATCH("ACTIVITÉ "&amp;$F1153,RUNS!$L$5:$S$5,0))),""))</f>
        <v/>
      </c>
      <c r="L1153" s="33">
        <f>IF($D1153="","",IFERROR(IF(INDEX(RUNS!$E$6:$E$1005,MATCH($D1153,RUNS!$A$6:$A$1005,0))="","",INDEX(RUNS!$E$6:$E$1005,MATCH($D1153,RUNS!$A$6:$A$1005,0))),""))</f>
        <v/>
      </c>
      <c r="M1153" s="33">
        <f>IF($D1153="","",IFERROR(IF(INDEX(RUNS!$F$6:$F$1005,MATCH($D1153,RUNS!$A$6:$A$1005,0))="","",INDEX(RUNS!$F$6:$F$1005,MATCH($D1153,RUNS!$A$6:$A$1005,0))),""))</f>
        <v/>
      </c>
      <c r="N1153" s="33">
        <f>IF($D1153="","",IFERROR(IF(INDEX(RUNS!$G$6:$G$1005,MATCH($D1153,RUNS!$A$6:$A$1005,0))="","",INDEX(RUNS!$G$6:$G$1005,MATCH($D1153,RUNS!$A$6:$A$1005,0))),""))</f>
        <v/>
      </c>
      <c r="O1153" s="33">
        <f>IF($D1153="","",IFERROR(IF(INDEX(RUNS!$H$6:$H$1005,MATCH($D1153,RUNS!$A$6:$A$1005,0))="","",INDEX(RUNS!$H$6:$H$1005,MATCH($D1153,RUNS!$A$6:$A$1005,0))),""))</f>
        <v/>
      </c>
      <c r="P1153" s="33">
        <f>IF($D1153="","",IFERROR(IF(INDEX(RUNS!$J$6:$J$1005,MATCH($D1153,RUNS!$A$6:$A$1005,0))="","",INDEX(RUNS!$J$6:$J$1005,MATCH($D1153,RUNS!$A$6:$A$1005,0))),""))</f>
        <v/>
      </c>
      <c r="Q1153" s="33">
        <f>IF($D1153="","",IFERROR(IF(INDEX(RUNS!$K$6:$K$1005,MATCH($D1153,RUNS!$A$6:$A$1005,0))="","",INDEX(RUNS!$K$6:$K$1005,MATCH($D1153,RUNS!$A$6:$A$1005,0))),""))</f>
        <v/>
      </c>
      <c r="R1153" s="34">
        <f>IF(OR($L1153="",$K1153=""),"",IFERROR(IF(INDEX(PARAMETRES!$H$43:$H$342,MATCH($L1153&amp;"|"&amp;$M1153&amp;"|"&amp;$N1153&amp;"|"&amp;$O1153&amp;"|"&amp;$P1153&amp;"|"&amp;$Q1153&amp;"|"&amp;$K1153,PARAMETRES!$J$43:$J$342,0))="","",INDEX(PARAMETRES!$H$43:$H$342,MATCH($L1153&amp;"|"&amp;$M1153&amp;"|"&amp;$N1153&amp;"|"&amp;$O1153&amp;"|"&amp;$P1153&amp;"|"&amp;$Q1153&amp;"|"&amp;$K1153,PARAMETRES!$J$43:$J$342,0))),""))</f>
        <v/>
      </c>
      <c r="S1153" s="35">
        <f>IF(OR($G1153="",$X1153&lt;&gt;"VALIDE"),"",IFERROR(LOOKUP(2,1/(($B253:$B1152=$B1153)*($G253:$G1152=$G1153)*($X253:$X1152="VALIDE")),$C253:$C1152),""))</f>
        <v/>
      </c>
      <c r="T1153" s="36">
        <f>IF(OR($C1153="",$S1153=""),"",ROUND(($C1153-$S1153+IF($C1153&lt;$S1153,1,0))*1440,0))</f>
        <v/>
      </c>
      <c r="U1153" s="22">
        <f>IF(OR($H1153="",$T1153="",$T1153&lt;=0),"",$H1153*60/$T1153)</f>
        <v/>
      </c>
      <c r="V1153" s="37">
        <f>IF(OR($U1153="",$R1153="",$R1153=0),"",$U1153/$R1153)</f>
        <v/>
      </c>
      <c r="W1153" s="20">
        <f>IF($G1153="","",IF($X1153="CONTEXTE INCOMPLET","CONTEXTE INCOMPLET",IF($X1153="DOUBLON",StatutDoublon,IF($S1153="",StatutInitial,IF($R1153="",StatutStandardManquant,IF($V1153="","DONNEES INSUFFISANTES",IF($V1153&gt;=SeuilConforme,StatutConforme,IF($V1153&gt;=SeuilSurveiller,StatutSurveiller,StatutSousStandard))))))))</f>
        <v/>
      </c>
      <c r="X1153" s="33">
        <f>IF($G1153="","",IF(OR($D1153="",$E1153="",$F1153=""),"CONTEXTE INCOMPLET",IF(COUNTIFS($D253:$D1152,$D1153,$E253:$E1152,$E1153,$F253:$F1152,$F1153,$G253:$G1152,$G1153)&gt;0,"DOUBLON","VALIDE")))</f>
        <v/>
      </c>
    </row>
    <row r="1154" ht="15" customHeight="1">
      <c r="A1154" s="12">
        <f>IF(OR($B1154="",$G1154=""),"",TEXT($B1154,"YYYYMMDD")&amp;"-"&amp;SUBSTITUTE($E1154," ","")&amp;"-"&amp;$F1154&amp;"-"&amp;$G1154)</f>
        <v/>
      </c>
      <c r="B1154" s="15" t="n"/>
      <c r="C1154" s="16" t="n"/>
      <c r="D1154" s="10" t="n"/>
      <c r="E1154" s="9" t="n"/>
      <c r="F1154" s="9" t="n"/>
      <c r="G1154" s="13" t="n"/>
      <c r="H1154" s="21" t="n"/>
      <c r="I1154" s="21" t="n"/>
      <c r="J1154" s="17">
        <f>IF($G1154="","",IFERROR(INDEX(NomsEmployes,MATCH($G1154,MatriculesEmployes,0)),"MATRICULE INCONNU"))</f>
        <v/>
      </c>
      <c r="K1154" s="33">
        <f>IF(OR($D1154="",$F1154=""),"",IFERROR(IF(INDEX(RUNS!$L$6:$S$1005,MATCH($D1154,RUNS!$A$6:$A$1005,0),MATCH("ACTIVITÉ "&amp;$F1154,RUNS!$L$5:$S$5,0))="","",INDEX(RUNS!$L$6:$S$1005,MATCH($D1154,RUNS!$A$6:$A$1005,0),MATCH("ACTIVITÉ "&amp;$F1154,RUNS!$L$5:$S$5,0))),""))</f>
        <v/>
      </c>
      <c r="L1154" s="33">
        <f>IF($D1154="","",IFERROR(IF(INDEX(RUNS!$E$6:$E$1005,MATCH($D1154,RUNS!$A$6:$A$1005,0))="","",INDEX(RUNS!$E$6:$E$1005,MATCH($D1154,RUNS!$A$6:$A$1005,0))),""))</f>
        <v/>
      </c>
      <c r="M1154" s="33">
        <f>IF($D1154="","",IFERROR(IF(INDEX(RUNS!$F$6:$F$1005,MATCH($D1154,RUNS!$A$6:$A$1005,0))="","",INDEX(RUNS!$F$6:$F$1005,MATCH($D1154,RUNS!$A$6:$A$1005,0))),""))</f>
        <v/>
      </c>
      <c r="N1154" s="33">
        <f>IF($D1154="","",IFERROR(IF(INDEX(RUNS!$G$6:$G$1005,MATCH($D1154,RUNS!$A$6:$A$1005,0))="","",INDEX(RUNS!$G$6:$G$1005,MATCH($D1154,RUNS!$A$6:$A$1005,0))),""))</f>
        <v/>
      </c>
      <c r="O1154" s="33">
        <f>IF($D1154="","",IFERROR(IF(INDEX(RUNS!$H$6:$H$1005,MATCH($D1154,RUNS!$A$6:$A$1005,0))="","",INDEX(RUNS!$H$6:$H$1005,MATCH($D1154,RUNS!$A$6:$A$1005,0))),""))</f>
        <v/>
      </c>
      <c r="P1154" s="33">
        <f>IF($D1154="","",IFERROR(IF(INDEX(RUNS!$J$6:$J$1005,MATCH($D1154,RUNS!$A$6:$A$1005,0))="","",INDEX(RUNS!$J$6:$J$1005,MATCH($D1154,RUNS!$A$6:$A$1005,0))),""))</f>
        <v/>
      </c>
      <c r="Q1154" s="33">
        <f>IF($D1154="","",IFERROR(IF(INDEX(RUNS!$K$6:$K$1005,MATCH($D1154,RUNS!$A$6:$A$1005,0))="","",INDEX(RUNS!$K$6:$K$1005,MATCH($D1154,RUNS!$A$6:$A$1005,0))),""))</f>
        <v/>
      </c>
      <c r="R1154" s="34">
        <f>IF(OR($L1154="",$K1154=""),"",IFERROR(IF(INDEX(PARAMETRES!$H$43:$H$342,MATCH($L1154&amp;"|"&amp;$M1154&amp;"|"&amp;$N1154&amp;"|"&amp;$O1154&amp;"|"&amp;$P1154&amp;"|"&amp;$Q1154&amp;"|"&amp;$K1154,PARAMETRES!$J$43:$J$342,0))="","",INDEX(PARAMETRES!$H$43:$H$342,MATCH($L1154&amp;"|"&amp;$M1154&amp;"|"&amp;$N1154&amp;"|"&amp;$O1154&amp;"|"&amp;$P1154&amp;"|"&amp;$Q1154&amp;"|"&amp;$K1154,PARAMETRES!$J$43:$J$342,0))),""))</f>
        <v/>
      </c>
      <c r="S1154" s="35">
        <f>IF(OR($G1154="",$X1154&lt;&gt;"VALIDE"),"",IFERROR(LOOKUP(2,1/(($B254:$B1153=$B1154)*($G254:$G1153=$G1154)*($X254:$X1153="VALIDE")),$C254:$C1153),""))</f>
        <v/>
      </c>
      <c r="T1154" s="36">
        <f>IF(OR($C1154="",$S1154=""),"",ROUND(($C1154-$S1154+IF($C1154&lt;$S1154,1,0))*1440,0))</f>
        <v/>
      </c>
      <c r="U1154" s="22">
        <f>IF(OR($H1154="",$T1154="",$T1154&lt;=0),"",$H1154*60/$T1154)</f>
        <v/>
      </c>
      <c r="V1154" s="37">
        <f>IF(OR($U1154="",$R1154="",$R1154=0),"",$U1154/$R1154)</f>
        <v/>
      </c>
      <c r="W1154" s="20">
        <f>IF($G1154="","",IF($X1154="CONTEXTE INCOMPLET","CONTEXTE INCOMPLET",IF($X1154="DOUBLON",StatutDoublon,IF($S1154="",StatutInitial,IF($R1154="",StatutStandardManquant,IF($V1154="","DONNEES INSUFFISANTES",IF($V1154&gt;=SeuilConforme,StatutConforme,IF($V1154&gt;=SeuilSurveiller,StatutSurveiller,StatutSousStandard))))))))</f>
        <v/>
      </c>
      <c r="X1154" s="33">
        <f>IF($G1154="","",IF(OR($D1154="",$E1154="",$F1154=""),"CONTEXTE INCOMPLET",IF(COUNTIFS($D254:$D1153,$D1154,$E254:$E1153,$E1154,$F254:$F1153,$F1154,$G254:$G1153,$G1154)&gt;0,"DOUBLON","VALIDE")))</f>
        <v/>
      </c>
    </row>
    <row r="1155" ht="15" customHeight="1">
      <c r="A1155" s="12">
        <f>IF(OR($B1155="",$G1155=""),"",TEXT($B1155,"YYYYMMDD")&amp;"-"&amp;SUBSTITUTE($E1155," ","")&amp;"-"&amp;$F1155&amp;"-"&amp;$G1155)</f>
        <v/>
      </c>
      <c r="B1155" s="15" t="n"/>
      <c r="C1155" s="16" t="n"/>
      <c r="D1155" s="10" t="n"/>
      <c r="E1155" s="9" t="n"/>
      <c r="F1155" s="9" t="n"/>
      <c r="G1155" s="13" t="n"/>
      <c r="H1155" s="21" t="n"/>
      <c r="I1155" s="21" t="n"/>
      <c r="J1155" s="17">
        <f>IF($G1155="","",IFERROR(INDEX(NomsEmployes,MATCH($G1155,MatriculesEmployes,0)),"MATRICULE INCONNU"))</f>
        <v/>
      </c>
      <c r="K1155" s="33">
        <f>IF(OR($D1155="",$F1155=""),"",IFERROR(IF(INDEX(RUNS!$L$6:$S$1005,MATCH($D1155,RUNS!$A$6:$A$1005,0),MATCH("ACTIVITÉ "&amp;$F1155,RUNS!$L$5:$S$5,0))="","",INDEX(RUNS!$L$6:$S$1005,MATCH($D1155,RUNS!$A$6:$A$1005,0),MATCH("ACTIVITÉ "&amp;$F1155,RUNS!$L$5:$S$5,0))),""))</f>
        <v/>
      </c>
      <c r="L1155" s="33">
        <f>IF($D1155="","",IFERROR(IF(INDEX(RUNS!$E$6:$E$1005,MATCH($D1155,RUNS!$A$6:$A$1005,0))="","",INDEX(RUNS!$E$6:$E$1005,MATCH($D1155,RUNS!$A$6:$A$1005,0))),""))</f>
        <v/>
      </c>
      <c r="M1155" s="33">
        <f>IF($D1155="","",IFERROR(IF(INDEX(RUNS!$F$6:$F$1005,MATCH($D1155,RUNS!$A$6:$A$1005,0))="","",INDEX(RUNS!$F$6:$F$1005,MATCH($D1155,RUNS!$A$6:$A$1005,0))),""))</f>
        <v/>
      </c>
      <c r="N1155" s="33">
        <f>IF($D1155="","",IFERROR(IF(INDEX(RUNS!$G$6:$G$1005,MATCH($D1155,RUNS!$A$6:$A$1005,0))="","",INDEX(RUNS!$G$6:$G$1005,MATCH($D1155,RUNS!$A$6:$A$1005,0))),""))</f>
        <v/>
      </c>
      <c r="O1155" s="33">
        <f>IF($D1155="","",IFERROR(IF(INDEX(RUNS!$H$6:$H$1005,MATCH($D1155,RUNS!$A$6:$A$1005,0))="","",INDEX(RUNS!$H$6:$H$1005,MATCH($D1155,RUNS!$A$6:$A$1005,0))),""))</f>
        <v/>
      </c>
      <c r="P1155" s="33">
        <f>IF($D1155="","",IFERROR(IF(INDEX(RUNS!$J$6:$J$1005,MATCH($D1155,RUNS!$A$6:$A$1005,0))="","",INDEX(RUNS!$J$6:$J$1005,MATCH($D1155,RUNS!$A$6:$A$1005,0))),""))</f>
        <v/>
      </c>
      <c r="Q1155" s="33">
        <f>IF($D1155="","",IFERROR(IF(INDEX(RUNS!$K$6:$K$1005,MATCH($D1155,RUNS!$A$6:$A$1005,0))="","",INDEX(RUNS!$K$6:$K$1005,MATCH($D1155,RUNS!$A$6:$A$1005,0))),""))</f>
        <v/>
      </c>
      <c r="R1155" s="34">
        <f>IF(OR($L1155="",$K1155=""),"",IFERROR(IF(INDEX(PARAMETRES!$H$43:$H$342,MATCH($L1155&amp;"|"&amp;$M1155&amp;"|"&amp;$N1155&amp;"|"&amp;$O1155&amp;"|"&amp;$P1155&amp;"|"&amp;$Q1155&amp;"|"&amp;$K1155,PARAMETRES!$J$43:$J$342,0))="","",INDEX(PARAMETRES!$H$43:$H$342,MATCH($L1155&amp;"|"&amp;$M1155&amp;"|"&amp;$N1155&amp;"|"&amp;$O1155&amp;"|"&amp;$P1155&amp;"|"&amp;$Q1155&amp;"|"&amp;$K1155,PARAMETRES!$J$43:$J$342,0))),""))</f>
        <v/>
      </c>
      <c r="S1155" s="35">
        <f>IF(OR($G1155="",$X1155&lt;&gt;"VALIDE"),"",IFERROR(LOOKUP(2,1/(($B255:$B1154=$B1155)*($G255:$G1154=$G1155)*($X255:$X1154="VALIDE")),$C255:$C1154),""))</f>
        <v/>
      </c>
      <c r="T1155" s="36">
        <f>IF(OR($C1155="",$S1155=""),"",ROUND(($C1155-$S1155+IF($C1155&lt;$S1155,1,0))*1440,0))</f>
        <v/>
      </c>
      <c r="U1155" s="22">
        <f>IF(OR($H1155="",$T1155="",$T1155&lt;=0),"",$H1155*60/$T1155)</f>
        <v/>
      </c>
      <c r="V1155" s="37">
        <f>IF(OR($U1155="",$R1155="",$R1155=0),"",$U1155/$R1155)</f>
        <v/>
      </c>
      <c r="W1155" s="20">
        <f>IF($G1155="","",IF($X1155="CONTEXTE INCOMPLET","CONTEXTE INCOMPLET",IF($X1155="DOUBLON",StatutDoublon,IF($S1155="",StatutInitial,IF($R1155="",StatutStandardManquant,IF($V1155="","DONNEES INSUFFISANTES",IF($V1155&gt;=SeuilConforme,StatutConforme,IF($V1155&gt;=SeuilSurveiller,StatutSurveiller,StatutSousStandard))))))))</f>
        <v/>
      </c>
      <c r="X1155" s="33">
        <f>IF($G1155="","",IF(OR($D1155="",$E1155="",$F1155=""),"CONTEXTE INCOMPLET",IF(COUNTIFS($D255:$D1154,$D1155,$E255:$E1154,$E1155,$F255:$F1154,$F1155,$G255:$G1154,$G1155)&gt;0,"DOUBLON","VALIDE")))</f>
        <v/>
      </c>
    </row>
    <row r="1156" ht="15" customHeight="1">
      <c r="A1156" s="12">
        <f>IF(OR($B1156="",$G1156=""),"",TEXT($B1156,"YYYYMMDD")&amp;"-"&amp;SUBSTITUTE($E1156," ","")&amp;"-"&amp;$F1156&amp;"-"&amp;$G1156)</f>
        <v/>
      </c>
      <c r="B1156" s="15" t="n"/>
      <c r="C1156" s="16" t="n"/>
      <c r="D1156" s="10" t="n"/>
      <c r="E1156" s="9" t="n"/>
      <c r="F1156" s="9" t="n"/>
      <c r="G1156" s="13" t="n"/>
      <c r="H1156" s="21" t="n"/>
      <c r="I1156" s="21" t="n"/>
      <c r="J1156" s="17">
        <f>IF($G1156="","",IFERROR(INDEX(NomsEmployes,MATCH($G1156,MatriculesEmployes,0)),"MATRICULE INCONNU"))</f>
        <v/>
      </c>
      <c r="K1156" s="33">
        <f>IF(OR($D1156="",$F1156=""),"",IFERROR(IF(INDEX(RUNS!$L$6:$S$1005,MATCH($D1156,RUNS!$A$6:$A$1005,0),MATCH("ACTIVITÉ "&amp;$F1156,RUNS!$L$5:$S$5,0))="","",INDEX(RUNS!$L$6:$S$1005,MATCH($D1156,RUNS!$A$6:$A$1005,0),MATCH("ACTIVITÉ "&amp;$F1156,RUNS!$L$5:$S$5,0))),""))</f>
        <v/>
      </c>
      <c r="L1156" s="33">
        <f>IF($D1156="","",IFERROR(IF(INDEX(RUNS!$E$6:$E$1005,MATCH($D1156,RUNS!$A$6:$A$1005,0))="","",INDEX(RUNS!$E$6:$E$1005,MATCH($D1156,RUNS!$A$6:$A$1005,0))),""))</f>
        <v/>
      </c>
      <c r="M1156" s="33">
        <f>IF($D1156="","",IFERROR(IF(INDEX(RUNS!$F$6:$F$1005,MATCH($D1156,RUNS!$A$6:$A$1005,0))="","",INDEX(RUNS!$F$6:$F$1005,MATCH($D1156,RUNS!$A$6:$A$1005,0))),""))</f>
        <v/>
      </c>
      <c r="N1156" s="33">
        <f>IF($D1156="","",IFERROR(IF(INDEX(RUNS!$G$6:$G$1005,MATCH($D1156,RUNS!$A$6:$A$1005,0))="","",INDEX(RUNS!$G$6:$G$1005,MATCH($D1156,RUNS!$A$6:$A$1005,0))),""))</f>
        <v/>
      </c>
      <c r="O1156" s="33">
        <f>IF($D1156="","",IFERROR(IF(INDEX(RUNS!$H$6:$H$1005,MATCH($D1156,RUNS!$A$6:$A$1005,0))="","",INDEX(RUNS!$H$6:$H$1005,MATCH($D1156,RUNS!$A$6:$A$1005,0))),""))</f>
        <v/>
      </c>
      <c r="P1156" s="33">
        <f>IF($D1156="","",IFERROR(IF(INDEX(RUNS!$J$6:$J$1005,MATCH($D1156,RUNS!$A$6:$A$1005,0))="","",INDEX(RUNS!$J$6:$J$1005,MATCH($D1156,RUNS!$A$6:$A$1005,0))),""))</f>
        <v/>
      </c>
      <c r="Q1156" s="33">
        <f>IF($D1156="","",IFERROR(IF(INDEX(RUNS!$K$6:$K$1005,MATCH($D1156,RUNS!$A$6:$A$1005,0))="","",INDEX(RUNS!$K$6:$K$1005,MATCH($D1156,RUNS!$A$6:$A$1005,0))),""))</f>
        <v/>
      </c>
      <c r="R1156" s="34">
        <f>IF(OR($L1156="",$K1156=""),"",IFERROR(IF(INDEX(PARAMETRES!$H$43:$H$342,MATCH($L1156&amp;"|"&amp;$M1156&amp;"|"&amp;$N1156&amp;"|"&amp;$O1156&amp;"|"&amp;$P1156&amp;"|"&amp;$Q1156&amp;"|"&amp;$K1156,PARAMETRES!$J$43:$J$342,0))="","",INDEX(PARAMETRES!$H$43:$H$342,MATCH($L1156&amp;"|"&amp;$M1156&amp;"|"&amp;$N1156&amp;"|"&amp;$O1156&amp;"|"&amp;$P1156&amp;"|"&amp;$Q1156&amp;"|"&amp;$K1156,PARAMETRES!$J$43:$J$342,0))),""))</f>
        <v/>
      </c>
      <c r="S1156" s="35">
        <f>IF(OR($G1156="",$X1156&lt;&gt;"VALIDE"),"",IFERROR(LOOKUP(2,1/(($B256:$B1155=$B1156)*($G256:$G1155=$G1156)*($X256:$X1155="VALIDE")),$C256:$C1155),""))</f>
        <v/>
      </c>
      <c r="T1156" s="36">
        <f>IF(OR($C1156="",$S1156=""),"",ROUND(($C1156-$S1156+IF($C1156&lt;$S1156,1,0))*1440,0))</f>
        <v/>
      </c>
      <c r="U1156" s="22">
        <f>IF(OR($H1156="",$T1156="",$T1156&lt;=0),"",$H1156*60/$T1156)</f>
        <v/>
      </c>
      <c r="V1156" s="37">
        <f>IF(OR($U1156="",$R1156="",$R1156=0),"",$U1156/$R1156)</f>
        <v/>
      </c>
      <c r="W1156" s="20">
        <f>IF($G1156="","",IF($X1156="CONTEXTE INCOMPLET","CONTEXTE INCOMPLET",IF($X1156="DOUBLON",StatutDoublon,IF($S1156="",StatutInitial,IF($R1156="",StatutStandardManquant,IF($V1156="","DONNEES INSUFFISANTES",IF($V1156&gt;=SeuilConforme,StatutConforme,IF($V1156&gt;=SeuilSurveiller,StatutSurveiller,StatutSousStandard))))))))</f>
        <v/>
      </c>
      <c r="X1156" s="33">
        <f>IF($G1156="","",IF(OR($D1156="",$E1156="",$F1156=""),"CONTEXTE INCOMPLET",IF(COUNTIFS($D256:$D1155,$D1156,$E256:$E1155,$E1156,$F256:$F1155,$F1156,$G256:$G1155,$G1156)&gt;0,"DOUBLON","VALIDE")))</f>
        <v/>
      </c>
    </row>
    <row r="1157" ht="15" customHeight="1">
      <c r="A1157" s="12">
        <f>IF(OR($B1157="",$G1157=""),"",TEXT($B1157,"YYYYMMDD")&amp;"-"&amp;SUBSTITUTE($E1157," ","")&amp;"-"&amp;$F1157&amp;"-"&amp;$G1157)</f>
        <v/>
      </c>
      <c r="B1157" s="15" t="n"/>
      <c r="C1157" s="16" t="n"/>
      <c r="D1157" s="10" t="n"/>
      <c r="E1157" s="9" t="n"/>
      <c r="F1157" s="9" t="n"/>
      <c r="G1157" s="13" t="n"/>
      <c r="H1157" s="21" t="n"/>
      <c r="I1157" s="21" t="n"/>
      <c r="J1157" s="17">
        <f>IF($G1157="","",IFERROR(INDEX(NomsEmployes,MATCH($G1157,MatriculesEmployes,0)),"MATRICULE INCONNU"))</f>
        <v/>
      </c>
      <c r="K1157" s="33">
        <f>IF(OR($D1157="",$F1157=""),"",IFERROR(IF(INDEX(RUNS!$L$6:$S$1005,MATCH($D1157,RUNS!$A$6:$A$1005,0),MATCH("ACTIVITÉ "&amp;$F1157,RUNS!$L$5:$S$5,0))="","",INDEX(RUNS!$L$6:$S$1005,MATCH($D1157,RUNS!$A$6:$A$1005,0),MATCH("ACTIVITÉ "&amp;$F1157,RUNS!$L$5:$S$5,0))),""))</f>
        <v/>
      </c>
      <c r="L1157" s="33">
        <f>IF($D1157="","",IFERROR(IF(INDEX(RUNS!$E$6:$E$1005,MATCH($D1157,RUNS!$A$6:$A$1005,0))="","",INDEX(RUNS!$E$6:$E$1005,MATCH($D1157,RUNS!$A$6:$A$1005,0))),""))</f>
        <v/>
      </c>
      <c r="M1157" s="33">
        <f>IF($D1157="","",IFERROR(IF(INDEX(RUNS!$F$6:$F$1005,MATCH($D1157,RUNS!$A$6:$A$1005,0))="","",INDEX(RUNS!$F$6:$F$1005,MATCH($D1157,RUNS!$A$6:$A$1005,0))),""))</f>
        <v/>
      </c>
      <c r="N1157" s="33">
        <f>IF($D1157="","",IFERROR(IF(INDEX(RUNS!$G$6:$G$1005,MATCH($D1157,RUNS!$A$6:$A$1005,0))="","",INDEX(RUNS!$G$6:$G$1005,MATCH($D1157,RUNS!$A$6:$A$1005,0))),""))</f>
        <v/>
      </c>
      <c r="O1157" s="33">
        <f>IF($D1157="","",IFERROR(IF(INDEX(RUNS!$H$6:$H$1005,MATCH($D1157,RUNS!$A$6:$A$1005,0))="","",INDEX(RUNS!$H$6:$H$1005,MATCH($D1157,RUNS!$A$6:$A$1005,0))),""))</f>
        <v/>
      </c>
      <c r="P1157" s="33">
        <f>IF($D1157="","",IFERROR(IF(INDEX(RUNS!$J$6:$J$1005,MATCH($D1157,RUNS!$A$6:$A$1005,0))="","",INDEX(RUNS!$J$6:$J$1005,MATCH($D1157,RUNS!$A$6:$A$1005,0))),""))</f>
        <v/>
      </c>
      <c r="Q1157" s="33">
        <f>IF($D1157="","",IFERROR(IF(INDEX(RUNS!$K$6:$K$1005,MATCH($D1157,RUNS!$A$6:$A$1005,0))="","",INDEX(RUNS!$K$6:$K$1005,MATCH($D1157,RUNS!$A$6:$A$1005,0))),""))</f>
        <v/>
      </c>
      <c r="R1157" s="34">
        <f>IF(OR($L1157="",$K1157=""),"",IFERROR(IF(INDEX(PARAMETRES!$H$43:$H$342,MATCH($L1157&amp;"|"&amp;$M1157&amp;"|"&amp;$N1157&amp;"|"&amp;$O1157&amp;"|"&amp;$P1157&amp;"|"&amp;$Q1157&amp;"|"&amp;$K1157,PARAMETRES!$J$43:$J$342,0))="","",INDEX(PARAMETRES!$H$43:$H$342,MATCH($L1157&amp;"|"&amp;$M1157&amp;"|"&amp;$N1157&amp;"|"&amp;$O1157&amp;"|"&amp;$P1157&amp;"|"&amp;$Q1157&amp;"|"&amp;$K1157,PARAMETRES!$J$43:$J$342,0))),""))</f>
        <v/>
      </c>
      <c r="S1157" s="35">
        <f>IF(OR($G1157="",$X1157&lt;&gt;"VALIDE"),"",IFERROR(LOOKUP(2,1/(($B257:$B1156=$B1157)*($G257:$G1156=$G1157)*($X257:$X1156="VALIDE")),$C257:$C1156),""))</f>
        <v/>
      </c>
      <c r="T1157" s="36">
        <f>IF(OR($C1157="",$S1157=""),"",ROUND(($C1157-$S1157+IF($C1157&lt;$S1157,1,0))*1440,0))</f>
        <v/>
      </c>
      <c r="U1157" s="22">
        <f>IF(OR($H1157="",$T1157="",$T1157&lt;=0),"",$H1157*60/$T1157)</f>
        <v/>
      </c>
      <c r="V1157" s="37">
        <f>IF(OR($U1157="",$R1157="",$R1157=0),"",$U1157/$R1157)</f>
        <v/>
      </c>
      <c r="W1157" s="20">
        <f>IF($G1157="","",IF($X1157="CONTEXTE INCOMPLET","CONTEXTE INCOMPLET",IF($X1157="DOUBLON",StatutDoublon,IF($S1157="",StatutInitial,IF($R1157="",StatutStandardManquant,IF($V1157="","DONNEES INSUFFISANTES",IF($V1157&gt;=SeuilConforme,StatutConforme,IF($V1157&gt;=SeuilSurveiller,StatutSurveiller,StatutSousStandard))))))))</f>
        <v/>
      </c>
      <c r="X1157" s="33">
        <f>IF($G1157="","",IF(OR($D1157="",$E1157="",$F1157=""),"CONTEXTE INCOMPLET",IF(COUNTIFS($D257:$D1156,$D1157,$E257:$E1156,$E1157,$F257:$F1156,$F1157,$G257:$G1156,$G1157)&gt;0,"DOUBLON","VALIDE")))</f>
        <v/>
      </c>
    </row>
    <row r="1158" ht="15" customHeight="1">
      <c r="A1158" s="12">
        <f>IF(OR($B1158="",$G1158=""),"",TEXT($B1158,"YYYYMMDD")&amp;"-"&amp;SUBSTITUTE($E1158," ","")&amp;"-"&amp;$F1158&amp;"-"&amp;$G1158)</f>
        <v/>
      </c>
      <c r="B1158" s="15" t="n"/>
      <c r="C1158" s="16" t="n"/>
      <c r="D1158" s="10" t="n"/>
      <c r="E1158" s="9" t="n"/>
      <c r="F1158" s="9" t="n"/>
      <c r="G1158" s="13" t="n"/>
      <c r="H1158" s="21" t="n"/>
      <c r="I1158" s="21" t="n"/>
      <c r="J1158" s="17">
        <f>IF($G1158="","",IFERROR(INDEX(NomsEmployes,MATCH($G1158,MatriculesEmployes,0)),"MATRICULE INCONNU"))</f>
        <v/>
      </c>
      <c r="K1158" s="33">
        <f>IF(OR($D1158="",$F1158=""),"",IFERROR(IF(INDEX(RUNS!$L$6:$S$1005,MATCH($D1158,RUNS!$A$6:$A$1005,0),MATCH("ACTIVITÉ "&amp;$F1158,RUNS!$L$5:$S$5,0))="","",INDEX(RUNS!$L$6:$S$1005,MATCH($D1158,RUNS!$A$6:$A$1005,0),MATCH("ACTIVITÉ "&amp;$F1158,RUNS!$L$5:$S$5,0))),""))</f>
        <v/>
      </c>
      <c r="L1158" s="33">
        <f>IF($D1158="","",IFERROR(IF(INDEX(RUNS!$E$6:$E$1005,MATCH($D1158,RUNS!$A$6:$A$1005,0))="","",INDEX(RUNS!$E$6:$E$1005,MATCH($D1158,RUNS!$A$6:$A$1005,0))),""))</f>
        <v/>
      </c>
      <c r="M1158" s="33">
        <f>IF($D1158="","",IFERROR(IF(INDEX(RUNS!$F$6:$F$1005,MATCH($D1158,RUNS!$A$6:$A$1005,0))="","",INDEX(RUNS!$F$6:$F$1005,MATCH($D1158,RUNS!$A$6:$A$1005,0))),""))</f>
        <v/>
      </c>
      <c r="N1158" s="33">
        <f>IF($D1158="","",IFERROR(IF(INDEX(RUNS!$G$6:$G$1005,MATCH($D1158,RUNS!$A$6:$A$1005,0))="","",INDEX(RUNS!$G$6:$G$1005,MATCH($D1158,RUNS!$A$6:$A$1005,0))),""))</f>
        <v/>
      </c>
      <c r="O1158" s="33">
        <f>IF($D1158="","",IFERROR(IF(INDEX(RUNS!$H$6:$H$1005,MATCH($D1158,RUNS!$A$6:$A$1005,0))="","",INDEX(RUNS!$H$6:$H$1005,MATCH($D1158,RUNS!$A$6:$A$1005,0))),""))</f>
        <v/>
      </c>
      <c r="P1158" s="33">
        <f>IF($D1158="","",IFERROR(IF(INDEX(RUNS!$J$6:$J$1005,MATCH($D1158,RUNS!$A$6:$A$1005,0))="","",INDEX(RUNS!$J$6:$J$1005,MATCH($D1158,RUNS!$A$6:$A$1005,0))),""))</f>
        <v/>
      </c>
      <c r="Q1158" s="33">
        <f>IF($D1158="","",IFERROR(IF(INDEX(RUNS!$K$6:$K$1005,MATCH($D1158,RUNS!$A$6:$A$1005,0))="","",INDEX(RUNS!$K$6:$K$1005,MATCH($D1158,RUNS!$A$6:$A$1005,0))),""))</f>
        <v/>
      </c>
      <c r="R1158" s="34">
        <f>IF(OR($L1158="",$K1158=""),"",IFERROR(IF(INDEX(PARAMETRES!$H$43:$H$342,MATCH($L1158&amp;"|"&amp;$M1158&amp;"|"&amp;$N1158&amp;"|"&amp;$O1158&amp;"|"&amp;$P1158&amp;"|"&amp;$Q1158&amp;"|"&amp;$K1158,PARAMETRES!$J$43:$J$342,0))="","",INDEX(PARAMETRES!$H$43:$H$342,MATCH($L1158&amp;"|"&amp;$M1158&amp;"|"&amp;$N1158&amp;"|"&amp;$O1158&amp;"|"&amp;$P1158&amp;"|"&amp;$Q1158&amp;"|"&amp;$K1158,PARAMETRES!$J$43:$J$342,0))),""))</f>
        <v/>
      </c>
      <c r="S1158" s="35">
        <f>IF(OR($G1158="",$X1158&lt;&gt;"VALIDE"),"",IFERROR(LOOKUP(2,1/(($B258:$B1157=$B1158)*($G258:$G1157=$G1158)*($X258:$X1157="VALIDE")),$C258:$C1157),""))</f>
        <v/>
      </c>
      <c r="T1158" s="36">
        <f>IF(OR($C1158="",$S1158=""),"",ROUND(($C1158-$S1158+IF($C1158&lt;$S1158,1,0))*1440,0))</f>
        <v/>
      </c>
      <c r="U1158" s="22">
        <f>IF(OR($H1158="",$T1158="",$T1158&lt;=0),"",$H1158*60/$T1158)</f>
        <v/>
      </c>
      <c r="V1158" s="37">
        <f>IF(OR($U1158="",$R1158="",$R1158=0),"",$U1158/$R1158)</f>
        <v/>
      </c>
      <c r="W1158" s="20">
        <f>IF($G1158="","",IF($X1158="CONTEXTE INCOMPLET","CONTEXTE INCOMPLET",IF($X1158="DOUBLON",StatutDoublon,IF($S1158="",StatutInitial,IF($R1158="",StatutStandardManquant,IF($V1158="","DONNEES INSUFFISANTES",IF($V1158&gt;=SeuilConforme,StatutConforme,IF($V1158&gt;=SeuilSurveiller,StatutSurveiller,StatutSousStandard))))))))</f>
        <v/>
      </c>
      <c r="X1158" s="33">
        <f>IF($G1158="","",IF(OR($D1158="",$E1158="",$F1158=""),"CONTEXTE INCOMPLET",IF(COUNTIFS($D258:$D1157,$D1158,$E258:$E1157,$E1158,$F258:$F1157,$F1158,$G258:$G1157,$G1158)&gt;0,"DOUBLON","VALIDE")))</f>
        <v/>
      </c>
    </row>
    <row r="1159" ht="15" customHeight="1">
      <c r="A1159" s="12">
        <f>IF(OR($B1159="",$G1159=""),"",TEXT($B1159,"YYYYMMDD")&amp;"-"&amp;SUBSTITUTE($E1159," ","")&amp;"-"&amp;$F1159&amp;"-"&amp;$G1159)</f>
        <v/>
      </c>
      <c r="B1159" s="15" t="n"/>
      <c r="C1159" s="16" t="n"/>
      <c r="D1159" s="10" t="n"/>
      <c r="E1159" s="9" t="n"/>
      <c r="F1159" s="9" t="n"/>
      <c r="G1159" s="13" t="n"/>
      <c r="H1159" s="21" t="n"/>
      <c r="I1159" s="21" t="n"/>
      <c r="J1159" s="17">
        <f>IF($G1159="","",IFERROR(INDEX(NomsEmployes,MATCH($G1159,MatriculesEmployes,0)),"MATRICULE INCONNU"))</f>
        <v/>
      </c>
      <c r="K1159" s="33">
        <f>IF(OR($D1159="",$F1159=""),"",IFERROR(IF(INDEX(RUNS!$L$6:$S$1005,MATCH($D1159,RUNS!$A$6:$A$1005,0),MATCH("ACTIVITÉ "&amp;$F1159,RUNS!$L$5:$S$5,0))="","",INDEX(RUNS!$L$6:$S$1005,MATCH($D1159,RUNS!$A$6:$A$1005,0),MATCH("ACTIVITÉ "&amp;$F1159,RUNS!$L$5:$S$5,0))),""))</f>
        <v/>
      </c>
      <c r="L1159" s="33">
        <f>IF($D1159="","",IFERROR(IF(INDEX(RUNS!$E$6:$E$1005,MATCH($D1159,RUNS!$A$6:$A$1005,0))="","",INDEX(RUNS!$E$6:$E$1005,MATCH($D1159,RUNS!$A$6:$A$1005,0))),""))</f>
        <v/>
      </c>
      <c r="M1159" s="33">
        <f>IF($D1159="","",IFERROR(IF(INDEX(RUNS!$F$6:$F$1005,MATCH($D1159,RUNS!$A$6:$A$1005,0))="","",INDEX(RUNS!$F$6:$F$1005,MATCH($D1159,RUNS!$A$6:$A$1005,0))),""))</f>
        <v/>
      </c>
      <c r="N1159" s="33">
        <f>IF($D1159="","",IFERROR(IF(INDEX(RUNS!$G$6:$G$1005,MATCH($D1159,RUNS!$A$6:$A$1005,0))="","",INDEX(RUNS!$G$6:$G$1005,MATCH($D1159,RUNS!$A$6:$A$1005,0))),""))</f>
        <v/>
      </c>
      <c r="O1159" s="33">
        <f>IF($D1159="","",IFERROR(IF(INDEX(RUNS!$H$6:$H$1005,MATCH($D1159,RUNS!$A$6:$A$1005,0))="","",INDEX(RUNS!$H$6:$H$1005,MATCH($D1159,RUNS!$A$6:$A$1005,0))),""))</f>
        <v/>
      </c>
      <c r="P1159" s="33">
        <f>IF($D1159="","",IFERROR(IF(INDEX(RUNS!$J$6:$J$1005,MATCH($D1159,RUNS!$A$6:$A$1005,0))="","",INDEX(RUNS!$J$6:$J$1005,MATCH($D1159,RUNS!$A$6:$A$1005,0))),""))</f>
        <v/>
      </c>
      <c r="Q1159" s="33">
        <f>IF($D1159="","",IFERROR(IF(INDEX(RUNS!$K$6:$K$1005,MATCH($D1159,RUNS!$A$6:$A$1005,0))="","",INDEX(RUNS!$K$6:$K$1005,MATCH($D1159,RUNS!$A$6:$A$1005,0))),""))</f>
        <v/>
      </c>
      <c r="R1159" s="34">
        <f>IF(OR($L1159="",$K1159=""),"",IFERROR(IF(INDEX(PARAMETRES!$H$43:$H$342,MATCH($L1159&amp;"|"&amp;$M1159&amp;"|"&amp;$N1159&amp;"|"&amp;$O1159&amp;"|"&amp;$P1159&amp;"|"&amp;$Q1159&amp;"|"&amp;$K1159,PARAMETRES!$J$43:$J$342,0))="","",INDEX(PARAMETRES!$H$43:$H$342,MATCH($L1159&amp;"|"&amp;$M1159&amp;"|"&amp;$N1159&amp;"|"&amp;$O1159&amp;"|"&amp;$P1159&amp;"|"&amp;$Q1159&amp;"|"&amp;$K1159,PARAMETRES!$J$43:$J$342,0))),""))</f>
        <v/>
      </c>
      <c r="S1159" s="35">
        <f>IF(OR($G1159="",$X1159&lt;&gt;"VALIDE"),"",IFERROR(LOOKUP(2,1/(($B259:$B1158=$B1159)*($G259:$G1158=$G1159)*($X259:$X1158="VALIDE")),$C259:$C1158),""))</f>
        <v/>
      </c>
      <c r="T1159" s="36">
        <f>IF(OR($C1159="",$S1159=""),"",ROUND(($C1159-$S1159+IF($C1159&lt;$S1159,1,0))*1440,0))</f>
        <v/>
      </c>
      <c r="U1159" s="22">
        <f>IF(OR($H1159="",$T1159="",$T1159&lt;=0),"",$H1159*60/$T1159)</f>
        <v/>
      </c>
      <c r="V1159" s="37">
        <f>IF(OR($U1159="",$R1159="",$R1159=0),"",$U1159/$R1159)</f>
        <v/>
      </c>
      <c r="W1159" s="20">
        <f>IF($G1159="","",IF($X1159="CONTEXTE INCOMPLET","CONTEXTE INCOMPLET",IF($X1159="DOUBLON",StatutDoublon,IF($S1159="",StatutInitial,IF($R1159="",StatutStandardManquant,IF($V1159="","DONNEES INSUFFISANTES",IF($V1159&gt;=SeuilConforme,StatutConforme,IF($V1159&gt;=SeuilSurveiller,StatutSurveiller,StatutSousStandard))))))))</f>
        <v/>
      </c>
      <c r="X1159" s="33">
        <f>IF($G1159="","",IF(OR($D1159="",$E1159="",$F1159=""),"CONTEXTE INCOMPLET",IF(COUNTIFS($D259:$D1158,$D1159,$E259:$E1158,$E1159,$F259:$F1158,$F1159,$G259:$G1158,$G1159)&gt;0,"DOUBLON","VALIDE")))</f>
        <v/>
      </c>
    </row>
    <row r="1160" ht="15" customHeight="1">
      <c r="A1160" s="12">
        <f>IF(OR($B1160="",$G1160=""),"",TEXT($B1160,"YYYYMMDD")&amp;"-"&amp;SUBSTITUTE($E1160," ","")&amp;"-"&amp;$F1160&amp;"-"&amp;$G1160)</f>
        <v/>
      </c>
      <c r="B1160" s="15" t="n"/>
      <c r="C1160" s="16" t="n"/>
      <c r="D1160" s="10" t="n"/>
      <c r="E1160" s="9" t="n"/>
      <c r="F1160" s="9" t="n"/>
      <c r="G1160" s="13" t="n"/>
      <c r="H1160" s="21" t="n"/>
      <c r="I1160" s="21" t="n"/>
      <c r="J1160" s="17">
        <f>IF($G1160="","",IFERROR(INDEX(NomsEmployes,MATCH($G1160,MatriculesEmployes,0)),"MATRICULE INCONNU"))</f>
        <v/>
      </c>
      <c r="K1160" s="33">
        <f>IF(OR($D1160="",$F1160=""),"",IFERROR(IF(INDEX(RUNS!$L$6:$S$1005,MATCH($D1160,RUNS!$A$6:$A$1005,0),MATCH("ACTIVITÉ "&amp;$F1160,RUNS!$L$5:$S$5,0))="","",INDEX(RUNS!$L$6:$S$1005,MATCH($D1160,RUNS!$A$6:$A$1005,0),MATCH("ACTIVITÉ "&amp;$F1160,RUNS!$L$5:$S$5,0))),""))</f>
        <v/>
      </c>
      <c r="L1160" s="33">
        <f>IF($D1160="","",IFERROR(IF(INDEX(RUNS!$E$6:$E$1005,MATCH($D1160,RUNS!$A$6:$A$1005,0))="","",INDEX(RUNS!$E$6:$E$1005,MATCH($D1160,RUNS!$A$6:$A$1005,0))),""))</f>
        <v/>
      </c>
      <c r="M1160" s="33">
        <f>IF($D1160="","",IFERROR(IF(INDEX(RUNS!$F$6:$F$1005,MATCH($D1160,RUNS!$A$6:$A$1005,0))="","",INDEX(RUNS!$F$6:$F$1005,MATCH($D1160,RUNS!$A$6:$A$1005,0))),""))</f>
        <v/>
      </c>
      <c r="N1160" s="33">
        <f>IF($D1160="","",IFERROR(IF(INDEX(RUNS!$G$6:$G$1005,MATCH($D1160,RUNS!$A$6:$A$1005,0))="","",INDEX(RUNS!$G$6:$G$1005,MATCH($D1160,RUNS!$A$6:$A$1005,0))),""))</f>
        <v/>
      </c>
      <c r="O1160" s="33">
        <f>IF($D1160="","",IFERROR(IF(INDEX(RUNS!$H$6:$H$1005,MATCH($D1160,RUNS!$A$6:$A$1005,0))="","",INDEX(RUNS!$H$6:$H$1005,MATCH($D1160,RUNS!$A$6:$A$1005,0))),""))</f>
        <v/>
      </c>
      <c r="P1160" s="33">
        <f>IF($D1160="","",IFERROR(IF(INDEX(RUNS!$J$6:$J$1005,MATCH($D1160,RUNS!$A$6:$A$1005,0))="","",INDEX(RUNS!$J$6:$J$1005,MATCH($D1160,RUNS!$A$6:$A$1005,0))),""))</f>
        <v/>
      </c>
      <c r="Q1160" s="33">
        <f>IF($D1160="","",IFERROR(IF(INDEX(RUNS!$K$6:$K$1005,MATCH($D1160,RUNS!$A$6:$A$1005,0))="","",INDEX(RUNS!$K$6:$K$1005,MATCH($D1160,RUNS!$A$6:$A$1005,0))),""))</f>
        <v/>
      </c>
      <c r="R1160" s="34">
        <f>IF(OR($L1160="",$K1160=""),"",IFERROR(IF(INDEX(PARAMETRES!$H$43:$H$342,MATCH($L1160&amp;"|"&amp;$M1160&amp;"|"&amp;$N1160&amp;"|"&amp;$O1160&amp;"|"&amp;$P1160&amp;"|"&amp;$Q1160&amp;"|"&amp;$K1160,PARAMETRES!$J$43:$J$342,0))="","",INDEX(PARAMETRES!$H$43:$H$342,MATCH($L1160&amp;"|"&amp;$M1160&amp;"|"&amp;$N1160&amp;"|"&amp;$O1160&amp;"|"&amp;$P1160&amp;"|"&amp;$Q1160&amp;"|"&amp;$K1160,PARAMETRES!$J$43:$J$342,0))),""))</f>
        <v/>
      </c>
      <c r="S1160" s="35">
        <f>IF(OR($G1160="",$X1160&lt;&gt;"VALIDE"),"",IFERROR(LOOKUP(2,1/(($B260:$B1159=$B1160)*($G260:$G1159=$G1160)*($X260:$X1159="VALIDE")),$C260:$C1159),""))</f>
        <v/>
      </c>
      <c r="T1160" s="36">
        <f>IF(OR($C1160="",$S1160=""),"",ROUND(($C1160-$S1160+IF($C1160&lt;$S1160,1,0))*1440,0))</f>
        <v/>
      </c>
      <c r="U1160" s="22">
        <f>IF(OR($H1160="",$T1160="",$T1160&lt;=0),"",$H1160*60/$T1160)</f>
        <v/>
      </c>
      <c r="V1160" s="37">
        <f>IF(OR($U1160="",$R1160="",$R1160=0),"",$U1160/$R1160)</f>
        <v/>
      </c>
      <c r="W1160" s="20">
        <f>IF($G1160="","",IF($X1160="CONTEXTE INCOMPLET","CONTEXTE INCOMPLET",IF($X1160="DOUBLON",StatutDoublon,IF($S1160="",StatutInitial,IF($R1160="",StatutStandardManquant,IF($V1160="","DONNEES INSUFFISANTES",IF($V1160&gt;=SeuilConforme,StatutConforme,IF($V1160&gt;=SeuilSurveiller,StatutSurveiller,StatutSousStandard))))))))</f>
        <v/>
      </c>
      <c r="X1160" s="33">
        <f>IF($G1160="","",IF(OR($D1160="",$E1160="",$F1160=""),"CONTEXTE INCOMPLET",IF(COUNTIFS($D260:$D1159,$D1160,$E260:$E1159,$E1160,$F260:$F1159,$F1160,$G260:$G1159,$G1160)&gt;0,"DOUBLON","VALIDE")))</f>
        <v/>
      </c>
    </row>
    <row r="1161" ht="15" customHeight="1">
      <c r="A1161" s="12">
        <f>IF(OR($B1161="",$G1161=""),"",TEXT($B1161,"YYYYMMDD")&amp;"-"&amp;SUBSTITUTE($E1161," ","")&amp;"-"&amp;$F1161&amp;"-"&amp;$G1161)</f>
        <v/>
      </c>
      <c r="B1161" s="15" t="n"/>
      <c r="C1161" s="16" t="n"/>
      <c r="D1161" s="10" t="n"/>
      <c r="E1161" s="9" t="n"/>
      <c r="F1161" s="9" t="n"/>
      <c r="G1161" s="13" t="n"/>
      <c r="H1161" s="21" t="n"/>
      <c r="I1161" s="21" t="n"/>
      <c r="J1161" s="17">
        <f>IF($G1161="","",IFERROR(INDEX(NomsEmployes,MATCH($G1161,MatriculesEmployes,0)),"MATRICULE INCONNU"))</f>
        <v/>
      </c>
      <c r="K1161" s="33">
        <f>IF(OR($D1161="",$F1161=""),"",IFERROR(IF(INDEX(RUNS!$L$6:$S$1005,MATCH($D1161,RUNS!$A$6:$A$1005,0),MATCH("ACTIVITÉ "&amp;$F1161,RUNS!$L$5:$S$5,0))="","",INDEX(RUNS!$L$6:$S$1005,MATCH($D1161,RUNS!$A$6:$A$1005,0),MATCH("ACTIVITÉ "&amp;$F1161,RUNS!$L$5:$S$5,0))),""))</f>
        <v/>
      </c>
      <c r="L1161" s="33">
        <f>IF($D1161="","",IFERROR(IF(INDEX(RUNS!$E$6:$E$1005,MATCH($D1161,RUNS!$A$6:$A$1005,0))="","",INDEX(RUNS!$E$6:$E$1005,MATCH($D1161,RUNS!$A$6:$A$1005,0))),""))</f>
        <v/>
      </c>
      <c r="M1161" s="33">
        <f>IF($D1161="","",IFERROR(IF(INDEX(RUNS!$F$6:$F$1005,MATCH($D1161,RUNS!$A$6:$A$1005,0))="","",INDEX(RUNS!$F$6:$F$1005,MATCH($D1161,RUNS!$A$6:$A$1005,0))),""))</f>
        <v/>
      </c>
      <c r="N1161" s="33">
        <f>IF($D1161="","",IFERROR(IF(INDEX(RUNS!$G$6:$G$1005,MATCH($D1161,RUNS!$A$6:$A$1005,0))="","",INDEX(RUNS!$G$6:$G$1005,MATCH($D1161,RUNS!$A$6:$A$1005,0))),""))</f>
        <v/>
      </c>
      <c r="O1161" s="33">
        <f>IF($D1161="","",IFERROR(IF(INDEX(RUNS!$H$6:$H$1005,MATCH($D1161,RUNS!$A$6:$A$1005,0))="","",INDEX(RUNS!$H$6:$H$1005,MATCH($D1161,RUNS!$A$6:$A$1005,0))),""))</f>
        <v/>
      </c>
      <c r="P1161" s="33">
        <f>IF($D1161="","",IFERROR(IF(INDEX(RUNS!$J$6:$J$1005,MATCH($D1161,RUNS!$A$6:$A$1005,0))="","",INDEX(RUNS!$J$6:$J$1005,MATCH($D1161,RUNS!$A$6:$A$1005,0))),""))</f>
        <v/>
      </c>
      <c r="Q1161" s="33">
        <f>IF($D1161="","",IFERROR(IF(INDEX(RUNS!$K$6:$K$1005,MATCH($D1161,RUNS!$A$6:$A$1005,0))="","",INDEX(RUNS!$K$6:$K$1005,MATCH($D1161,RUNS!$A$6:$A$1005,0))),""))</f>
        <v/>
      </c>
      <c r="R1161" s="34">
        <f>IF(OR($L1161="",$K1161=""),"",IFERROR(IF(INDEX(PARAMETRES!$H$43:$H$342,MATCH($L1161&amp;"|"&amp;$M1161&amp;"|"&amp;$N1161&amp;"|"&amp;$O1161&amp;"|"&amp;$P1161&amp;"|"&amp;$Q1161&amp;"|"&amp;$K1161,PARAMETRES!$J$43:$J$342,0))="","",INDEX(PARAMETRES!$H$43:$H$342,MATCH($L1161&amp;"|"&amp;$M1161&amp;"|"&amp;$N1161&amp;"|"&amp;$O1161&amp;"|"&amp;$P1161&amp;"|"&amp;$Q1161&amp;"|"&amp;$K1161,PARAMETRES!$J$43:$J$342,0))),""))</f>
        <v/>
      </c>
      <c r="S1161" s="35">
        <f>IF(OR($G1161="",$X1161&lt;&gt;"VALIDE"),"",IFERROR(LOOKUP(2,1/(($B261:$B1160=$B1161)*($G261:$G1160=$G1161)*($X261:$X1160="VALIDE")),$C261:$C1160),""))</f>
        <v/>
      </c>
      <c r="T1161" s="36">
        <f>IF(OR($C1161="",$S1161=""),"",ROUND(($C1161-$S1161+IF($C1161&lt;$S1161,1,0))*1440,0))</f>
        <v/>
      </c>
      <c r="U1161" s="22">
        <f>IF(OR($H1161="",$T1161="",$T1161&lt;=0),"",$H1161*60/$T1161)</f>
        <v/>
      </c>
      <c r="V1161" s="37">
        <f>IF(OR($U1161="",$R1161="",$R1161=0),"",$U1161/$R1161)</f>
        <v/>
      </c>
      <c r="W1161" s="20">
        <f>IF($G1161="","",IF($X1161="CONTEXTE INCOMPLET","CONTEXTE INCOMPLET",IF($X1161="DOUBLON",StatutDoublon,IF($S1161="",StatutInitial,IF($R1161="",StatutStandardManquant,IF($V1161="","DONNEES INSUFFISANTES",IF($V1161&gt;=SeuilConforme,StatutConforme,IF($V1161&gt;=SeuilSurveiller,StatutSurveiller,StatutSousStandard))))))))</f>
        <v/>
      </c>
      <c r="X1161" s="33">
        <f>IF($G1161="","",IF(OR($D1161="",$E1161="",$F1161=""),"CONTEXTE INCOMPLET",IF(COUNTIFS($D261:$D1160,$D1161,$E261:$E1160,$E1161,$F261:$F1160,$F1161,$G261:$G1160,$G1161)&gt;0,"DOUBLON","VALIDE")))</f>
        <v/>
      </c>
    </row>
    <row r="1162" ht="15" customHeight="1">
      <c r="A1162" s="12">
        <f>IF(OR($B1162="",$G1162=""),"",TEXT($B1162,"YYYYMMDD")&amp;"-"&amp;SUBSTITUTE($E1162," ","")&amp;"-"&amp;$F1162&amp;"-"&amp;$G1162)</f>
        <v/>
      </c>
      <c r="B1162" s="15" t="n"/>
      <c r="C1162" s="16" t="n"/>
      <c r="D1162" s="10" t="n"/>
      <c r="E1162" s="9" t="n"/>
      <c r="F1162" s="9" t="n"/>
      <c r="G1162" s="13" t="n"/>
      <c r="H1162" s="21" t="n"/>
      <c r="I1162" s="21" t="n"/>
      <c r="J1162" s="17">
        <f>IF($G1162="","",IFERROR(INDEX(NomsEmployes,MATCH($G1162,MatriculesEmployes,0)),"MATRICULE INCONNU"))</f>
        <v/>
      </c>
      <c r="K1162" s="33">
        <f>IF(OR($D1162="",$F1162=""),"",IFERROR(IF(INDEX(RUNS!$L$6:$S$1005,MATCH($D1162,RUNS!$A$6:$A$1005,0),MATCH("ACTIVITÉ "&amp;$F1162,RUNS!$L$5:$S$5,0))="","",INDEX(RUNS!$L$6:$S$1005,MATCH($D1162,RUNS!$A$6:$A$1005,0),MATCH("ACTIVITÉ "&amp;$F1162,RUNS!$L$5:$S$5,0))),""))</f>
        <v/>
      </c>
      <c r="L1162" s="33">
        <f>IF($D1162="","",IFERROR(IF(INDEX(RUNS!$E$6:$E$1005,MATCH($D1162,RUNS!$A$6:$A$1005,0))="","",INDEX(RUNS!$E$6:$E$1005,MATCH($D1162,RUNS!$A$6:$A$1005,0))),""))</f>
        <v/>
      </c>
      <c r="M1162" s="33">
        <f>IF($D1162="","",IFERROR(IF(INDEX(RUNS!$F$6:$F$1005,MATCH($D1162,RUNS!$A$6:$A$1005,0))="","",INDEX(RUNS!$F$6:$F$1005,MATCH($D1162,RUNS!$A$6:$A$1005,0))),""))</f>
        <v/>
      </c>
      <c r="N1162" s="33">
        <f>IF($D1162="","",IFERROR(IF(INDEX(RUNS!$G$6:$G$1005,MATCH($D1162,RUNS!$A$6:$A$1005,0))="","",INDEX(RUNS!$G$6:$G$1005,MATCH($D1162,RUNS!$A$6:$A$1005,0))),""))</f>
        <v/>
      </c>
      <c r="O1162" s="33">
        <f>IF($D1162="","",IFERROR(IF(INDEX(RUNS!$H$6:$H$1005,MATCH($D1162,RUNS!$A$6:$A$1005,0))="","",INDEX(RUNS!$H$6:$H$1005,MATCH($D1162,RUNS!$A$6:$A$1005,0))),""))</f>
        <v/>
      </c>
      <c r="P1162" s="33">
        <f>IF($D1162="","",IFERROR(IF(INDEX(RUNS!$J$6:$J$1005,MATCH($D1162,RUNS!$A$6:$A$1005,0))="","",INDEX(RUNS!$J$6:$J$1005,MATCH($D1162,RUNS!$A$6:$A$1005,0))),""))</f>
        <v/>
      </c>
      <c r="Q1162" s="33">
        <f>IF($D1162="","",IFERROR(IF(INDEX(RUNS!$K$6:$K$1005,MATCH($D1162,RUNS!$A$6:$A$1005,0))="","",INDEX(RUNS!$K$6:$K$1005,MATCH($D1162,RUNS!$A$6:$A$1005,0))),""))</f>
        <v/>
      </c>
      <c r="R1162" s="34">
        <f>IF(OR($L1162="",$K1162=""),"",IFERROR(IF(INDEX(PARAMETRES!$H$43:$H$342,MATCH($L1162&amp;"|"&amp;$M1162&amp;"|"&amp;$N1162&amp;"|"&amp;$O1162&amp;"|"&amp;$P1162&amp;"|"&amp;$Q1162&amp;"|"&amp;$K1162,PARAMETRES!$J$43:$J$342,0))="","",INDEX(PARAMETRES!$H$43:$H$342,MATCH($L1162&amp;"|"&amp;$M1162&amp;"|"&amp;$N1162&amp;"|"&amp;$O1162&amp;"|"&amp;$P1162&amp;"|"&amp;$Q1162&amp;"|"&amp;$K1162,PARAMETRES!$J$43:$J$342,0))),""))</f>
        <v/>
      </c>
      <c r="S1162" s="35">
        <f>IF(OR($G1162="",$X1162&lt;&gt;"VALIDE"),"",IFERROR(LOOKUP(2,1/(($B262:$B1161=$B1162)*($G262:$G1161=$G1162)*($X262:$X1161="VALIDE")),$C262:$C1161),""))</f>
        <v/>
      </c>
      <c r="T1162" s="36">
        <f>IF(OR($C1162="",$S1162=""),"",ROUND(($C1162-$S1162+IF($C1162&lt;$S1162,1,0))*1440,0))</f>
        <v/>
      </c>
      <c r="U1162" s="22">
        <f>IF(OR($H1162="",$T1162="",$T1162&lt;=0),"",$H1162*60/$T1162)</f>
        <v/>
      </c>
      <c r="V1162" s="37">
        <f>IF(OR($U1162="",$R1162="",$R1162=0),"",$U1162/$R1162)</f>
        <v/>
      </c>
      <c r="W1162" s="20">
        <f>IF($G1162="","",IF($X1162="CONTEXTE INCOMPLET","CONTEXTE INCOMPLET",IF($X1162="DOUBLON",StatutDoublon,IF($S1162="",StatutInitial,IF($R1162="",StatutStandardManquant,IF($V1162="","DONNEES INSUFFISANTES",IF($V1162&gt;=SeuilConforme,StatutConforme,IF($V1162&gt;=SeuilSurveiller,StatutSurveiller,StatutSousStandard))))))))</f>
        <v/>
      </c>
      <c r="X1162" s="33">
        <f>IF($G1162="","",IF(OR($D1162="",$E1162="",$F1162=""),"CONTEXTE INCOMPLET",IF(COUNTIFS($D262:$D1161,$D1162,$E262:$E1161,$E1162,$F262:$F1161,$F1162,$G262:$G1161,$G1162)&gt;0,"DOUBLON","VALIDE")))</f>
        <v/>
      </c>
    </row>
    <row r="1163" ht="15" customHeight="1">
      <c r="A1163" s="12">
        <f>IF(OR($B1163="",$G1163=""),"",TEXT($B1163,"YYYYMMDD")&amp;"-"&amp;SUBSTITUTE($E1163," ","")&amp;"-"&amp;$F1163&amp;"-"&amp;$G1163)</f>
        <v/>
      </c>
      <c r="B1163" s="15" t="n"/>
      <c r="C1163" s="16" t="n"/>
      <c r="D1163" s="10" t="n"/>
      <c r="E1163" s="9" t="n"/>
      <c r="F1163" s="9" t="n"/>
      <c r="G1163" s="13" t="n"/>
      <c r="H1163" s="21" t="n"/>
      <c r="I1163" s="21" t="n"/>
      <c r="J1163" s="17">
        <f>IF($G1163="","",IFERROR(INDEX(NomsEmployes,MATCH($G1163,MatriculesEmployes,0)),"MATRICULE INCONNU"))</f>
        <v/>
      </c>
      <c r="K1163" s="33">
        <f>IF(OR($D1163="",$F1163=""),"",IFERROR(IF(INDEX(RUNS!$L$6:$S$1005,MATCH($D1163,RUNS!$A$6:$A$1005,0),MATCH("ACTIVITÉ "&amp;$F1163,RUNS!$L$5:$S$5,0))="","",INDEX(RUNS!$L$6:$S$1005,MATCH($D1163,RUNS!$A$6:$A$1005,0),MATCH("ACTIVITÉ "&amp;$F1163,RUNS!$L$5:$S$5,0))),""))</f>
        <v/>
      </c>
      <c r="L1163" s="33">
        <f>IF($D1163="","",IFERROR(IF(INDEX(RUNS!$E$6:$E$1005,MATCH($D1163,RUNS!$A$6:$A$1005,0))="","",INDEX(RUNS!$E$6:$E$1005,MATCH($D1163,RUNS!$A$6:$A$1005,0))),""))</f>
        <v/>
      </c>
      <c r="M1163" s="33">
        <f>IF($D1163="","",IFERROR(IF(INDEX(RUNS!$F$6:$F$1005,MATCH($D1163,RUNS!$A$6:$A$1005,0))="","",INDEX(RUNS!$F$6:$F$1005,MATCH($D1163,RUNS!$A$6:$A$1005,0))),""))</f>
        <v/>
      </c>
      <c r="N1163" s="33">
        <f>IF($D1163="","",IFERROR(IF(INDEX(RUNS!$G$6:$G$1005,MATCH($D1163,RUNS!$A$6:$A$1005,0))="","",INDEX(RUNS!$G$6:$G$1005,MATCH($D1163,RUNS!$A$6:$A$1005,0))),""))</f>
        <v/>
      </c>
      <c r="O1163" s="33">
        <f>IF($D1163="","",IFERROR(IF(INDEX(RUNS!$H$6:$H$1005,MATCH($D1163,RUNS!$A$6:$A$1005,0))="","",INDEX(RUNS!$H$6:$H$1005,MATCH($D1163,RUNS!$A$6:$A$1005,0))),""))</f>
        <v/>
      </c>
      <c r="P1163" s="33">
        <f>IF($D1163="","",IFERROR(IF(INDEX(RUNS!$J$6:$J$1005,MATCH($D1163,RUNS!$A$6:$A$1005,0))="","",INDEX(RUNS!$J$6:$J$1005,MATCH($D1163,RUNS!$A$6:$A$1005,0))),""))</f>
        <v/>
      </c>
      <c r="Q1163" s="33">
        <f>IF($D1163="","",IFERROR(IF(INDEX(RUNS!$K$6:$K$1005,MATCH($D1163,RUNS!$A$6:$A$1005,0))="","",INDEX(RUNS!$K$6:$K$1005,MATCH($D1163,RUNS!$A$6:$A$1005,0))),""))</f>
        <v/>
      </c>
      <c r="R1163" s="34">
        <f>IF(OR($L1163="",$K1163=""),"",IFERROR(IF(INDEX(PARAMETRES!$H$43:$H$342,MATCH($L1163&amp;"|"&amp;$M1163&amp;"|"&amp;$N1163&amp;"|"&amp;$O1163&amp;"|"&amp;$P1163&amp;"|"&amp;$Q1163&amp;"|"&amp;$K1163,PARAMETRES!$J$43:$J$342,0))="","",INDEX(PARAMETRES!$H$43:$H$342,MATCH($L1163&amp;"|"&amp;$M1163&amp;"|"&amp;$N1163&amp;"|"&amp;$O1163&amp;"|"&amp;$P1163&amp;"|"&amp;$Q1163&amp;"|"&amp;$K1163,PARAMETRES!$J$43:$J$342,0))),""))</f>
        <v/>
      </c>
      <c r="S1163" s="35">
        <f>IF(OR($G1163="",$X1163&lt;&gt;"VALIDE"),"",IFERROR(LOOKUP(2,1/(($B263:$B1162=$B1163)*($G263:$G1162=$G1163)*($X263:$X1162="VALIDE")),$C263:$C1162),""))</f>
        <v/>
      </c>
      <c r="T1163" s="36">
        <f>IF(OR($C1163="",$S1163=""),"",ROUND(($C1163-$S1163+IF($C1163&lt;$S1163,1,0))*1440,0))</f>
        <v/>
      </c>
      <c r="U1163" s="22">
        <f>IF(OR($H1163="",$T1163="",$T1163&lt;=0),"",$H1163*60/$T1163)</f>
        <v/>
      </c>
      <c r="V1163" s="37">
        <f>IF(OR($U1163="",$R1163="",$R1163=0),"",$U1163/$R1163)</f>
        <v/>
      </c>
      <c r="W1163" s="20">
        <f>IF($G1163="","",IF($X1163="CONTEXTE INCOMPLET","CONTEXTE INCOMPLET",IF($X1163="DOUBLON",StatutDoublon,IF($S1163="",StatutInitial,IF($R1163="",StatutStandardManquant,IF($V1163="","DONNEES INSUFFISANTES",IF($V1163&gt;=SeuilConforme,StatutConforme,IF($V1163&gt;=SeuilSurveiller,StatutSurveiller,StatutSousStandard))))))))</f>
        <v/>
      </c>
      <c r="X1163" s="33">
        <f>IF($G1163="","",IF(OR($D1163="",$E1163="",$F1163=""),"CONTEXTE INCOMPLET",IF(COUNTIFS($D263:$D1162,$D1163,$E263:$E1162,$E1163,$F263:$F1162,$F1163,$G263:$G1162,$G1163)&gt;0,"DOUBLON","VALIDE")))</f>
        <v/>
      </c>
    </row>
    <row r="1164" ht="15" customHeight="1">
      <c r="A1164" s="12">
        <f>IF(OR($B1164="",$G1164=""),"",TEXT($B1164,"YYYYMMDD")&amp;"-"&amp;SUBSTITUTE($E1164," ","")&amp;"-"&amp;$F1164&amp;"-"&amp;$G1164)</f>
        <v/>
      </c>
      <c r="B1164" s="15" t="n"/>
      <c r="C1164" s="16" t="n"/>
      <c r="D1164" s="10" t="n"/>
      <c r="E1164" s="9" t="n"/>
      <c r="F1164" s="9" t="n"/>
      <c r="G1164" s="13" t="n"/>
      <c r="H1164" s="21" t="n"/>
      <c r="I1164" s="21" t="n"/>
      <c r="J1164" s="17">
        <f>IF($G1164="","",IFERROR(INDEX(NomsEmployes,MATCH($G1164,MatriculesEmployes,0)),"MATRICULE INCONNU"))</f>
        <v/>
      </c>
      <c r="K1164" s="33">
        <f>IF(OR($D1164="",$F1164=""),"",IFERROR(IF(INDEX(RUNS!$L$6:$S$1005,MATCH($D1164,RUNS!$A$6:$A$1005,0),MATCH("ACTIVITÉ "&amp;$F1164,RUNS!$L$5:$S$5,0))="","",INDEX(RUNS!$L$6:$S$1005,MATCH($D1164,RUNS!$A$6:$A$1005,0),MATCH("ACTIVITÉ "&amp;$F1164,RUNS!$L$5:$S$5,0))),""))</f>
        <v/>
      </c>
      <c r="L1164" s="33">
        <f>IF($D1164="","",IFERROR(IF(INDEX(RUNS!$E$6:$E$1005,MATCH($D1164,RUNS!$A$6:$A$1005,0))="","",INDEX(RUNS!$E$6:$E$1005,MATCH($D1164,RUNS!$A$6:$A$1005,0))),""))</f>
        <v/>
      </c>
      <c r="M1164" s="33">
        <f>IF($D1164="","",IFERROR(IF(INDEX(RUNS!$F$6:$F$1005,MATCH($D1164,RUNS!$A$6:$A$1005,0))="","",INDEX(RUNS!$F$6:$F$1005,MATCH($D1164,RUNS!$A$6:$A$1005,0))),""))</f>
        <v/>
      </c>
      <c r="N1164" s="33">
        <f>IF($D1164="","",IFERROR(IF(INDEX(RUNS!$G$6:$G$1005,MATCH($D1164,RUNS!$A$6:$A$1005,0))="","",INDEX(RUNS!$G$6:$G$1005,MATCH($D1164,RUNS!$A$6:$A$1005,0))),""))</f>
        <v/>
      </c>
      <c r="O1164" s="33">
        <f>IF($D1164="","",IFERROR(IF(INDEX(RUNS!$H$6:$H$1005,MATCH($D1164,RUNS!$A$6:$A$1005,0))="","",INDEX(RUNS!$H$6:$H$1005,MATCH($D1164,RUNS!$A$6:$A$1005,0))),""))</f>
        <v/>
      </c>
      <c r="P1164" s="33">
        <f>IF($D1164="","",IFERROR(IF(INDEX(RUNS!$J$6:$J$1005,MATCH($D1164,RUNS!$A$6:$A$1005,0))="","",INDEX(RUNS!$J$6:$J$1005,MATCH($D1164,RUNS!$A$6:$A$1005,0))),""))</f>
        <v/>
      </c>
      <c r="Q1164" s="33">
        <f>IF($D1164="","",IFERROR(IF(INDEX(RUNS!$K$6:$K$1005,MATCH($D1164,RUNS!$A$6:$A$1005,0))="","",INDEX(RUNS!$K$6:$K$1005,MATCH($D1164,RUNS!$A$6:$A$1005,0))),""))</f>
        <v/>
      </c>
      <c r="R1164" s="34">
        <f>IF(OR($L1164="",$K1164=""),"",IFERROR(IF(INDEX(PARAMETRES!$H$43:$H$342,MATCH($L1164&amp;"|"&amp;$M1164&amp;"|"&amp;$N1164&amp;"|"&amp;$O1164&amp;"|"&amp;$P1164&amp;"|"&amp;$Q1164&amp;"|"&amp;$K1164,PARAMETRES!$J$43:$J$342,0))="","",INDEX(PARAMETRES!$H$43:$H$342,MATCH($L1164&amp;"|"&amp;$M1164&amp;"|"&amp;$N1164&amp;"|"&amp;$O1164&amp;"|"&amp;$P1164&amp;"|"&amp;$Q1164&amp;"|"&amp;$K1164,PARAMETRES!$J$43:$J$342,0))),""))</f>
        <v/>
      </c>
      <c r="S1164" s="35">
        <f>IF(OR($G1164="",$X1164&lt;&gt;"VALIDE"),"",IFERROR(LOOKUP(2,1/(($B264:$B1163=$B1164)*($G264:$G1163=$G1164)*($X264:$X1163="VALIDE")),$C264:$C1163),""))</f>
        <v/>
      </c>
      <c r="T1164" s="36">
        <f>IF(OR($C1164="",$S1164=""),"",ROUND(($C1164-$S1164+IF($C1164&lt;$S1164,1,0))*1440,0))</f>
        <v/>
      </c>
      <c r="U1164" s="22">
        <f>IF(OR($H1164="",$T1164="",$T1164&lt;=0),"",$H1164*60/$T1164)</f>
        <v/>
      </c>
      <c r="V1164" s="37">
        <f>IF(OR($U1164="",$R1164="",$R1164=0),"",$U1164/$R1164)</f>
        <v/>
      </c>
      <c r="W1164" s="20">
        <f>IF($G1164="","",IF($X1164="CONTEXTE INCOMPLET","CONTEXTE INCOMPLET",IF($X1164="DOUBLON",StatutDoublon,IF($S1164="",StatutInitial,IF($R1164="",StatutStandardManquant,IF($V1164="","DONNEES INSUFFISANTES",IF($V1164&gt;=SeuilConforme,StatutConforme,IF($V1164&gt;=SeuilSurveiller,StatutSurveiller,StatutSousStandard))))))))</f>
        <v/>
      </c>
      <c r="X1164" s="33">
        <f>IF($G1164="","",IF(OR($D1164="",$E1164="",$F1164=""),"CONTEXTE INCOMPLET",IF(COUNTIFS($D264:$D1163,$D1164,$E264:$E1163,$E1164,$F264:$F1163,$F1164,$G264:$G1163,$G1164)&gt;0,"DOUBLON","VALIDE")))</f>
        <v/>
      </c>
    </row>
    <row r="1165" ht="15" customHeight="1">
      <c r="A1165" s="12">
        <f>IF(OR($B1165="",$G1165=""),"",TEXT($B1165,"YYYYMMDD")&amp;"-"&amp;SUBSTITUTE($E1165," ","")&amp;"-"&amp;$F1165&amp;"-"&amp;$G1165)</f>
        <v/>
      </c>
      <c r="B1165" s="15" t="n"/>
      <c r="C1165" s="16" t="n"/>
      <c r="D1165" s="10" t="n"/>
      <c r="E1165" s="9" t="n"/>
      <c r="F1165" s="9" t="n"/>
      <c r="G1165" s="13" t="n"/>
      <c r="H1165" s="21" t="n"/>
      <c r="I1165" s="21" t="n"/>
      <c r="J1165" s="17">
        <f>IF($G1165="","",IFERROR(INDEX(NomsEmployes,MATCH($G1165,MatriculesEmployes,0)),"MATRICULE INCONNU"))</f>
        <v/>
      </c>
      <c r="K1165" s="33">
        <f>IF(OR($D1165="",$F1165=""),"",IFERROR(IF(INDEX(RUNS!$L$6:$S$1005,MATCH($D1165,RUNS!$A$6:$A$1005,0),MATCH("ACTIVITÉ "&amp;$F1165,RUNS!$L$5:$S$5,0))="","",INDEX(RUNS!$L$6:$S$1005,MATCH($D1165,RUNS!$A$6:$A$1005,0),MATCH("ACTIVITÉ "&amp;$F1165,RUNS!$L$5:$S$5,0))),""))</f>
        <v/>
      </c>
      <c r="L1165" s="33">
        <f>IF($D1165="","",IFERROR(IF(INDEX(RUNS!$E$6:$E$1005,MATCH($D1165,RUNS!$A$6:$A$1005,0))="","",INDEX(RUNS!$E$6:$E$1005,MATCH($D1165,RUNS!$A$6:$A$1005,0))),""))</f>
        <v/>
      </c>
      <c r="M1165" s="33">
        <f>IF($D1165="","",IFERROR(IF(INDEX(RUNS!$F$6:$F$1005,MATCH($D1165,RUNS!$A$6:$A$1005,0))="","",INDEX(RUNS!$F$6:$F$1005,MATCH($D1165,RUNS!$A$6:$A$1005,0))),""))</f>
        <v/>
      </c>
      <c r="N1165" s="33">
        <f>IF($D1165="","",IFERROR(IF(INDEX(RUNS!$G$6:$G$1005,MATCH($D1165,RUNS!$A$6:$A$1005,0))="","",INDEX(RUNS!$G$6:$G$1005,MATCH($D1165,RUNS!$A$6:$A$1005,0))),""))</f>
        <v/>
      </c>
      <c r="O1165" s="33">
        <f>IF($D1165="","",IFERROR(IF(INDEX(RUNS!$H$6:$H$1005,MATCH($D1165,RUNS!$A$6:$A$1005,0))="","",INDEX(RUNS!$H$6:$H$1005,MATCH($D1165,RUNS!$A$6:$A$1005,0))),""))</f>
        <v/>
      </c>
      <c r="P1165" s="33">
        <f>IF($D1165="","",IFERROR(IF(INDEX(RUNS!$J$6:$J$1005,MATCH($D1165,RUNS!$A$6:$A$1005,0))="","",INDEX(RUNS!$J$6:$J$1005,MATCH($D1165,RUNS!$A$6:$A$1005,0))),""))</f>
        <v/>
      </c>
      <c r="Q1165" s="33">
        <f>IF($D1165="","",IFERROR(IF(INDEX(RUNS!$K$6:$K$1005,MATCH($D1165,RUNS!$A$6:$A$1005,0))="","",INDEX(RUNS!$K$6:$K$1005,MATCH($D1165,RUNS!$A$6:$A$1005,0))),""))</f>
        <v/>
      </c>
      <c r="R1165" s="34">
        <f>IF(OR($L1165="",$K1165=""),"",IFERROR(IF(INDEX(PARAMETRES!$H$43:$H$342,MATCH($L1165&amp;"|"&amp;$M1165&amp;"|"&amp;$N1165&amp;"|"&amp;$O1165&amp;"|"&amp;$P1165&amp;"|"&amp;$Q1165&amp;"|"&amp;$K1165,PARAMETRES!$J$43:$J$342,0))="","",INDEX(PARAMETRES!$H$43:$H$342,MATCH($L1165&amp;"|"&amp;$M1165&amp;"|"&amp;$N1165&amp;"|"&amp;$O1165&amp;"|"&amp;$P1165&amp;"|"&amp;$Q1165&amp;"|"&amp;$K1165,PARAMETRES!$J$43:$J$342,0))),""))</f>
        <v/>
      </c>
      <c r="S1165" s="35">
        <f>IF(OR($G1165="",$X1165&lt;&gt;"VALIDE"),"",IFERROR(LOOKUP(2,1/(($B265:$B1164=$B1165)*($G265:$G1164=$G1165)*($X265:$X1164="VALIDE")),$C265:$C1164),""))</f>
        <v/>
      </c>
      <c r="T1165" s="36">
        <f>IF(OR($C1165="",$S1165=""),"",ROUND(($C1165-$S1165+IF($C1165&lt;$S1165,1,0))*1440,0))</f>
        <v/>
      </c>
      <c r="U1165" s="22">
        <f>IF(OR($H1165="",$T1165="",$T1165&lt;=0),"",$H1165*60/$T1165)</f>
        <v/>
      </c>
      <c r="V1165" s="37">
        <f>IF(OR($U1165="",$R1165="",$R1165=0),"",$U1165/$R1165)</f>
        <v/>
      </c>
      <c r="W1165" s="20">
        <f>IF($G1165="","",IF($X1165="CONTEXTE INCOMPLET","CONTEXTE INCOMPLET",IF($X1165="DOUBLON",StatutDoublon,IF($S1165="",StatutInitial,IF($R1165="",StatutStandardManquant,IF($V1165="","DONNEES INSUFFISANTES",IF($V1165&gt;=SeuilConforme,StatutConforme,IF($V1165&gt;=SeuilSurveiller,StatutSurveiller,StatutSousStandard))))))))</f>
        <v/>
      </c>
      <c r="X1165" s="33">
        <f>IF($G1165="","",IF(OR($D1165="",$E1165="",$F1165=""),"CONTEXTE INCOMPLET",IF(COUNTIFS($D265:$D1164,$D1165,$E265:$E1164,$E1165,$F265:$F1164,$F1165,$G265:$G1164,$G1165)&gt;0,"DOUBLON","VALIDE")))</f>
        <v/>
      </c>
    </row>
    <row r="1166" ht="15" customHeight="1">
      <c r="A1166" s="12">
        <f>IF(OR($B1166="",$G1166=""),"",TEXT($B1166,"YYYYMMDD")&amp;"-"&amp;SUBSTITUTE($E1166," ","")&amp;"-"&amp;$F1166&amp;"-"&amp;$G1166)</f>
        <v/>
      </c>
      <c r="B1166" s="15" t="n"/>
      <c r="C1166" s="16" t="n"/>
      <c r="D1166" s="10" t="n"/>
      <c r="E1166" s="9" t="n"/>
      <c r="F1166" s="9" t="n"/>
      <c r="G1166" s="13" t="n"/>
      <c r="H1166" s="21" t="n"/>
      <c r="I1166" s="21" t="n"/>
      <c r="J1166" s="17">
        <f>IF($G1166="","",IFERROR(INDEX(NomsEmployes,MATCH($G1166,MatriculesEmployes,0)),"MATRICULE INCONNU"))</f>
        <v/>
      </c>
      <c r="K1166" s="33">
        <f>IF(OR($D1166="",$F1166=""),"",IFERROR(IF(INDEX(RUNS!$L$6:$S$1005,MATCH($D1166,RUNS!$A$6:$A$1005,0),MATCH("ACTIVITÉ "&amp;$F1166,RUNS!$L$5:$S$5,0))="","",INDEX(RUNS!$L$6:$S$1005,MATCH($D1166,RUNS!$A$6:$A$1005,0),MATCH("ACTIVITÉ "&amp;$F1166,RUNS!$L$5:$S$5,0))),""))</f>
        <v/>
      </c>
      <c r="L1166" s="33">
        <f>IF($D1166="","",IFERROR(IF(INDEX(RUNS!$E$6:$E$1005,MATCH($D1166,RUNS!$A$6:$A$1005,0))="","",INDEX(RUNS!$E$6:$E$1005,MATCH($D1166,RUNS!$A$6:$A$1005,0))),""))</f>
        <v/>
      </c>
      <c r="M1166" s="33">
        <f>IF($D1166="","",IFERROR(IF(INDEX(RUNS!$F$6:$F$1005,MATCH($D1166,RUNS!$A$6:$A$1005,0))="","",INDEX(RUNS!$F$6:$F$1005,MATCH($D1166,RUNS!$A$6:$A$1005,0))),""))</f>
        <v/>
      </c>
      <c r="N1166" s="33">
        <f>IF($D1166="","",IFERROR(IF(INDEX(RUNS!$G$6:$G$1005,MATCH($D1166,RUNS!$A$6:$A$1005,0))="","",INDEX(RUNS!$G$6:$G$1005,MATCH($D1166,RUNS!$A$6:$A$1005,0))),""))</f>
        <v/>
      </c>
      <c r="O1166" s="33">
        <f>IF($D1166="","",IFERROR(IF(INDEX(RUNS!$H$6:$H$1005,MATCH($D1166,RUNS!$A$6:$A$1005,0))="","",INDEX(RUNS!$H$6:$H$1005,MATCH($D1166,RUNS!$A$6:$A$1005,0))),""))</f>
        <v/>
      </c>
      <c r="P1166" s="33">
        <f>IF($D1166="","",IFERROR(IF(INDEX(RUNS!$J$6:$J$1005,MATCH($D1166,RUNS!$A$6:$A$1005,0))="","",INDEX(RUNS!$J$6:$J$1005,MATCH($D1166,RUNS!$A$6:$A$1005,0))),""))</f>
        <v/>
      </c>
      <c r="Q1166" s="33">
        <f>IF($D1166="","",IFERROR(IF(INDEX(RUNS!$K$6:$K$1005,MATCH($D1166,RUNS!$A$6:$A$1005,0))="","",INDEX(RUNS!$K$6:$K$1005,MATCH($D1166,RUNS!$A$6:$A$1005,0))),""))</f>
        <v/>
      </c>
      <c r="R1166" s="34">
        <f>IF(OR($L1166="",$K1166=""),"",IFERROR(IF(INDEX(PARAMETRES!$H$43:$H$342,MATCH($L1166&amp;"|"&amp;$M1166&amp;"|"&amp;$N1166&amp;"|"&amp;$O1166&amp;"|"&amp;$P1166&amp;"|"&amp;$Q1166&amp;"|"&amp;$K1166,PARAMETRES!$J$43:$J$342,0))="","",INDEX(PARAMETRES!$H$43:$H$342,MATCH($L1166&amp;"|"&amp;$M1166&amp;"|"&amp;$N1166&amp;"|"&amp;$O1166&amp;"|"&amp;$P1166&amp;"|"&amp;$Q1166&amp;"|"&amp;$K1166,PARAMETRES!$J$43:$J$342,0))),""))</f>
        <v/>
      </c>
      <c r="S1166" s="35">
        <f>IF(OR($G1166="",$X1166&lt;&gt;"VALIDE"),"",IFERROR(LOOKUP(2,1/(($B266:$B1165=$B1166)*($G266:$G1165=$G1166)*($X266:$X1165="VALIDE")),$C266:$C1165),""))</f>
        <v/>
      </c>
      <c r="T1166" s="36">
        <f>IF(OR($C1166="",$S1166=""),"",ROUND(($C1166-$S1166+IF($C1166&lt;$S1166,1,0))*1440,0))</f>
        <v/>
      </c>
      <c r="U1166" s="22">
        <f>IF(OR($H1166="",$T1166="",$T1166&lt;=0),"",$H1166*60/$T1166)</f>
        <v/>
      </c>
      <c r="V1166" s="37">
        <f>IF(OR($U1166="",$R1166="",$R1166=0),"",$U1166/$R1166)</f>
        <v/>
      </c>
      <c r="W1166" s="20">
        <f>IF($G1166="","",IF($X1166="CONTEXTE INCOMPLET","CONTEXTE INCOMPLET",IF($X1166="DOUBLON",StatutDoublon,IF($S1166="",StatutInitial,IF($R1166="",StatutStandardManquant,IF($V1166="","DONNEES INSUFFISANTES",IF($V1166&gt;=SeuilConforme,StatutConforme,IF($V1166&gt;=SeuilSurveiller,StatutSurveiller,StatutSousStandard))))))))</f>
        <v/>
      </c>
      <c r="X1166" s="33">
        <f>IF($G1166="","",IF(OR($D1166="",$E1166="",$F1166=""),"CONTEXTE INCOMPLET",IF(COUNTIFS($D266:$D1165,$D1166,$E266:$E1165,$E1166,$F266:$F1165,$F1166,$G266:$G1165,$G1166)&gt;0,"DOUBLON","VALIDE")))</f>
        <v/>
      </c>
    </row>
    <row r="1167" ht="15" customHeight="1">
      <c r="A1167" s="12">
        <f>IF(OR($B1167="",$G1167=""),"",TEXT($B1167,"YYYYMMDD")&amp;"-"&amp;SUBSTITUTE($E1167," ","")&amp;"-"&amp;$F1167&amp;"-"&amp;$G1167)</f>
        <v/>
      </c>
      <c r="B1167" s="15" t="n"/>
      <c r="C1167" s="16" t="n"/>
      <c r="D1167" s="10" t="n"/>
      <c r="E1167" s="9" t="n"/>
      <c r="F1167" s="9" t="n"/>
      <c r="G1167" s="13" t="n"/>
      <c r="H1167" s="21" t="n"/>
      <c r="I1167" s="21" t="n"/>
      <c r="J1167" s="17">
        <f>IF($G1167="","",IFERROR(INDEX(NomsEmployes,MATCH($G1167,MatriculesEmployes,0)),"MATRICULE INCONNU"))</f>
        <v/>
      </c>
      <c r="K1167" s="33">
        <f>IF(OR($D1167="",$F1167=""),"",IFERROR(IF(INDEX(RUNS!$L$6:$S$1005,MATCH($D1167,RUNS!$A$6:$A$1005,0),MATCH("ACTIVITÉ "&amp;$F1167,RUNS!$L$5:$S$5,0))="","",INDEX(RUNS!$L$6:$S$1005,MATCH($D1167,RUNS!$A$6:$A$1005,0),MATCH("ACTIVITÉ "&amp;$F1167,RUNS!$L$5:$S$5,0))),""))</f>
        <v/>
      </c>
      <c r="L1167" s="33">
        <f>IF($D1167="","",IFERROR(IF(INDEX(RUNS!$E$6:$E$1005,MATCH($D1167,RUNS!$A$6:$A$1005,0))="","",INDEX(RUNS!$E$6:$E$1005,MATCH($D1167,RUNS!$A$6:$A$1005,0))),""))</f>
        <v/>
      </c>
      <c r="M1167" s="33">
        <f>IF($D1167="","",IFERROR(IF(INDEX(RUNS!$F$6:$F$1005,MATCH($D1167,RUNS!$A$6:$A$1005,0))="","",INDEX(RUNS!$F$6:$F$1005,MATCH($D1167,RUNS!$A$6:$A$1005,0))),""))</f>
        <v/>
      </c>
      <c r="N1167" s="33">
        <f>IF($D1167="","",IFERROR(IF(INDEX(RUNS!$G$6:$G$1005,MATCH($D1167,RUNS!$A$6:$A$1005,0))="","",INDEX(RUNS!$G$6:$G$1005,MATCH($D1167,RUNS!$A$6:$A$1005,0))),""))</f>
        <v/>
      </c>
      <c r="O1167" s="33">
        <f>IF($D1167="","",IFERROR(IF(INDEX(RUNS!$H$6:$H$1005,MATCH($D1167,RUNS!$A$6:$A$1005,0))="","",INDEX(RUNS!$H$6:$H$1005,MATCH($D1167,RUNS!$A$6:$A$1005,0))),""))</f>
        <v/>
      </c>
      <c r="P1167" s="33">
        <f>IF($D1167="","",IFERROR(IF(INDEX(RUNS!$J$6:$J$1005,MATCH($D1167,RUNS!$A$6:$A$1005,0))="","",INDEX(RUNS!$J$6:$J$1005,MATCH($D1167,RUNS!$A$6:$A$1005,0))),""))</f>
        <v/>
      </c>
      <c r="Q1167" s="33">
        <f>IF($D1167="","",IFERROR(IF(INDEX(RUNS!$K$6:$K$1005,MATCH($D1167,RUNS!$A$6:$A$1005,0))="","",INDEX(RUNS!$K$6:$K$1005,MATCH($D1167,RUNS!$A$6:$A$1005,0))),""))</f>
        <v/>
      </c>
      <c r="R1167" s="34">
        <f>IF(OR($L1167="",$K1167=""),"",IFERROR(IF(INDEX(PARAMETRES!$H$43:$H$342,MATCH($L1167&amp;"|"&amp;$M1167&amp;"|"&amp;$N1167&amp;"|"&amp;$O1167&amp;"|"&amp;$P1167&amp;"|"&amp;$Q1167&amp;"|"&amp;$K1167,PARAMETRES!$J$43:$J$342,0))="","",INDEX(PARAMETRES!$H$43:$H$342,MATCH($L1167&amp;"|"&amp;$M1167&amp;"|"&amp;$N1167&amp;"|"&amp;$O1167&amp;"|"&amp;$P1167&amp;"|"&amp;$Q1167&amp;"|"&amp;$K1167,PARAMETRES!$J$43:$J$342,0))),""))</f>
        <v/>
      </c>
      <c r="S1167" s="35">
        <f>IF(OR($G1167="",$X1167&lt;&gt;"VALIDE"),"",IFERROR(LOOKUP(2,1/(($B267:$B1166=$B1167)*($G267:$G1166=$G1167)*($X267:$X1166="VALIDE")),$C267:$C1166),""))</f>
        <v/>
      </c>
      <c r="T1167" s="36">
        <f>IF(OR($C1167="",$S1167=""),"",ROUND(($C1167-$S1167+IF($C1167&lt;$S1167,1,0))*1440,0))</f>
        <v/>
      </c>
      <c r="U1167" s="22">
        <f>IF(OR($H1167="",$T1167="",$T1167&lt;=0),"",$H1167*60/$T1167)</f>
        <v/>
      </c>
      <c r="V1167" s="37">
        <f>IF(OR($U1167="",$R1167="",$R1167=0),"",$U1167/$R1167)</f>
        <v/>
      </c>
      <c r="W1167" s="20">
        <f>IF($G1167="","",IF($X1167="CONTEXTE INCOMPLET","CONTEXTE INCOMPLET",IF($X1167="DOUBLON",StatutDoublon,IF($S1167="",StatutInitial,IF($R1167="",StatutStandardManquant,IF($V1167="","DONNEES INSUFFISANTES",IF($V1167&gt;=SeuilConforme,StatutConforme,IF($V1167&gt;=SeuilSurveiller,StatutSurveiller,StatutSousStandard))))))))</f>
        <v/>
      </c>
      <c r="X1167" s="33">
        <f>IF($G1167="","",IF(OR($D1167="",$E1167="",$F1167=""),"CONTEXTE INCOMPLET",IF(COUNTIFS($D267:$D1166,$D1167,$E267:$E1166,$E1167,$F267:$F1166,$F1167,$G267:$G1166,$G1167)&gt;0,"DOUBLON","VALIDE")))</f>
        <v/>
      </c>
    </row>
    <row r="1168" ht="15" customHeight="1">
      <c r="A1168" s="12">
        <f>IF(OR($B1168="",$G1168=""),"",TEXT($B1168,"YYYYMMDD")&amp;"-"&amp;SUBSTITUTE($E1168," ","")&amp;"-"&amp;$F1168&amp;"-"&amp;$G1168)</f>
        <v/>
      </c>
      <c r="B1168" s="15" t="n"/>
      <c r="C1168" s="16" t="n"/>
      <c r="D1168" s="10" t="n"/>
      <c r="E1168" s="9" t="n"/>
      <c r="F1168" s="9" t="n"/>
      <c r="G1168" s="13" t="n"/>
      <c r="H1168" s="21" t="n"/>
      <c r="I1168" s="21" t="n"/>
      <c r="J1168" s="17">
        <f>IF($G1168="","",IFERROR(INDEX(NomsEmployes,MATCH($G1168,MatriculesEmployes,0)),"MATRICULE INCONNU"))</f>
        <v/>
      </c>
      <c r="K1168" s="33">
        <f>IF(OR($D1168="",$F1168=""),"",IFERROR(IF(INDEX(RUNS!$L$6:$S$1005,MATCH($D1168,RUNS!$A$6:$A$1005,0),MATCH("ACTIVITÉ "&amp;$F1168,RUNS!$L$5:$S$5,0))="","",INDEX(RUNS!$L$6:$S$1005,MATCH($D1168,RUNS!$A$6:$A$1005,0),MATCH("ACTIVITÉ "&amp;$F1168,RUNS!$L$5:$S$5,0))),""))</f>
        <v/>
      </c>
      <c r="L1168" s="33">
        <f>IF($D1168="","",IFERROR(IF(INDEX(RUNS!$E$6:$E$1005,MATCH($D1168,RUNS!$A$6:$A$1005,0))="","",INDEX(RUNS!$E$6:$E$1005,MATCH($D1168,RUNS!$A$6:$A$1005,0))),""))</f>
        <v/>
      </c>
      <c r="M1168" s="33">
        <f>IF($D1168="","",IFERROR(IF(INDEX(RUNS!$F$6:$F$1005,MATCH($D1168,RUNS!$A$6:$A$1005,0))="","",INDEX(RUNS!$F$6:$F$1005,MATCH($D1168,RUNS!$A$6:$A$1005,0))),""))</f>
        <v/>
      </c>
      <c r="N1168" s="33">
        <f>IF($D1168="","",IFERROR(IF(INDEX(RUNS!$G$6:$G$1005,MATCH($D1168,RUNS!$A$6:$A$1005,0))="","",INDEX(RUNS!$G$6:$G$1005,MATCH($D1168,RUNS!$A$6:$A$1005,0))),""))</f>
        <v/>
      </c>
      <c r="O1168" s="33">
        <f>IF($D1168="","",IFERROR(IF(INDEX(RUNS!$H$6:$H$1005,MATCH($D1168,RUNS!$A$6:$A$1005,0))="","",INDEX(RUNS!$H$6:$H$1005,MATCH($D1168,RUNS!$A$6:$A$1005,0))),""))</f>
        <v/>
      </c>
      <c r="P1168" s="33">
        <f>IF($D1168="","",IFERROR(IF(INDEX(RUNS!$J$6:$J$1005,MATCH($D1168,RUNS!$A$6:$A$1005,0))="","",INDEX(RUNS!$J$6:$J$1005,MATCH($D1168,RUNS!$A$6:$A$1005,0))),""))</f>
        <v/>
      </c>
      <c r="Q1168" s="33">
        <f>IF($D1168="","",IFERROR(IF(INDEX(RUNS!$K$6:$K$1005,MATCH($D1168,RUNS!$A$6:$A$1005,0))="","",INDEX(RUNS!$K$6:$K$1005,MATCH($D1168,RUNS!$A$6:$A$1005,0))),""))</f>
        <v/>
      </c>
      <c r="R1168" s="34">
        <f>IF(OR($L1168="",$K1168=""),"",IFERROR(IF(INDEX(PARAMETRES!$H$43:$H$342,MATCH($L1168&amp;"|"&amp;$M1168&amp;"|"&amp;$N1168&amp;"|"&amp;$O1168&amp;"|"&amp;$P1168&amp;"|"&amp;$Q1168&amp;"|"&amp;$K1168,PARAMETRES!$J$43:$J$342,0))="","",INDEX(PARAMETRES!$H$43:$H$342,MATCH($L1168&amp;"|"&amp;$M1168&amp;"|"&amp;$N1168&amp;"|"&amp;$O1168&amp;"|"&amp;$P1168&amp;"|"&amp;$Q1168&amp;"|"&amp;$K1168,PARAMETRES!$J$43:$J$342,0))),""))</f>
        <v/>
      </c>
      <c r="S1168" s="35">
        <f>IF(OR($G1168="",$X1168&lt;&gt;"VALIDE"),"",IFERROR(LOOKUP(2,1/(($B268:$B1167=$B1168)*($G268:$G1167=$G1168)*($X268:$X1167="VALIDE")),$C268:$C1167),""))</f>
        <v/>
      </c>
      <c r="T1168" s="36">
        <f>IF(OR($C1168="",$S1168=""),"",ROUND(($C1168-$S1168+IF($C1168&lt;$S1168,1,0))*1440,0))</f>
        <v/>
      </c>
      <c r="U1168" s="22">
        <f>IF(OR($H1168="",$T1168="",$T1168&lt;=0),"",$H1168*60/$T1168)</f>
        <v/>
      </c>
      <c r="V1168" s="37">
        <f>IF(OR($U1168="",$R1168="",$R1168=0),"",$U1168/$R1168)</f>
        <v/>
      </c>
      <c r="W1168" s="20">
        <f>IF($G1168="","",IF($X1168="CONTEXTE INCOMPLET","CONTEXTE INCOMPLET",IF($X1168="DOUBLON",StatutDoublon,IF($S1168="",StatutInitial,IF($R1168="",StatutStandardManquant,IF($V1168="","DONNEES INSUFFISANTES",IF($V1168&gt;=SeuilConforme,StatutConforme,IF($V1168&gt;=SeuilSurveiller,StatutSurveiller,StatutSousStandard))))))))</f>
        <v/>
      </c>
      <c r="X1168" s="33">
        <f>IF($G1168="","",IF(OR($D1168="",$E1168="",$F1168=""),"CONTEXTE INCOMPLET",IF(COUNTIFS($D268:$D1167,$D1168,$E268:$E1167,$E1168,$F268:$F1167,$F1168,$G268:$G1167,$G1168)&gt;0,"DOUBLON","VALIDE")))</f>
        <v/>
      </c>
    </row>
    <row r="1169" ht="15" customHeight="1">
      <c r="A1169" s="12">
        <f>IF(OR($B1169="",$G1169=""),"",TEXT($B1169,"YYYYMMDD")&amp;"-"&amp;SUBSTITUTE($E1169," ","")&amp;"-"&amp;$F1169&amp;"-"&amp;$G1169)</f>
        <v/>
      </c>
      <c r="B1169" s="15" t="n"/>
      <c r="C1169" s="16" t="n"/>
      <c r="D1169" s="10" t="n"/>
      <c r="E1169" s="9" t="n"/>
      <c r="F1169" s="9" t="n"/>
      <c r="G1169" s="13" t="n"/>
      <c r="H1169" s="21" t="n"/>
      <c r="I1169" s="21" t="n"/>
      <c r="J1169" s="17">
        <f>IF($G1169="","",IFERROR(INDEX(NomsEmployes,MATCH($G1169,MatriculesEmployes,0)),"MATRICULE INCONNU"))</f>
        <v/>
      </c>
      <c r="K1169" s="33">
        <f>IF(OR($D1169="",$F1169=""),"",IFERROR(IF(INDEX(RUNS!$L$6:$S$1005,MATCH($D1169,RUNS!$A$6:$A$1005,0),MATCH("ACTIVITÉ "&amp;$F1169,RUNS!$L$5:$S$5,0))="","",INDEX(RUNS!$L$6:$S$1005,MATCH($D1169,RUNS!$A$6:$A$1005,0),MATCH("ACTIVITÉ "&amp;$F1169,RUNS!$L$5:$S$5,0))),""))</f>
        <v/>
      </c>
      <c r="L1169" s="33">
        <f>IF($D1169="","",IFERROR(IF(INDEX(RUNS!$E$6:$E$1005,MATCH($D1169,RUNS!$A$6:$A$1005,0))="","",INDEX(RUNS!$E$6:$E$1005,MATCH($D1169,RUNS!$A$6:$A$1005,0))),""))</f>
        <v/>
      </c>
      <c r="M1169" s="33">
        <f>IF($D1169="","",IFERROR(IF(INDEX(RUNS!$F$6:$F$1005,MATCH($D1169,RUNS!$A$6:$A$1005,0))="","",INDEX(RUNS!$F$6:$F$1005,MATCH($D1169,RUNS!$A$6:$A$1005,0))),""))</f>
        <v/>
      </c>
      <c r="N1169" s="33">
        <f>IF($D1169="","",IFERROR(IF(INDEX(RUNS!$G$6:$G$1005,MATCH($D1169,RUNS!$A$6:$A$1005,0))="","",INDEX(RUNS!$G$6:$G$1005,MATCH($D1169,RUNS!$A$6:$A$1005,0))),""))</f>
        <v/>
      </c>
      <c r="O1169" s="33">
        <f>IF($D1169="","",IFERROR(IF(INDEX(RUNS!$H$6:$H$1005,MATCH($D1169,RUNS!$A$6:$A$1005,0))="","",INDEX(RUNS!$H$6:$H$1005,MATCH($D1169,RUNS!$A$6:$A$1005,0))),""))</f>
        <v/>
      </c>
      <c r="P1169" s="33">
        <f>IF($D1169="","",IFERROR(IF(INDEX(RUNS!$J$6:$J$1005,MATCH($D1169,RUNS!$A$6:$A$1005,0))="","",INDEX(RUNS!$J$6:$J$1005,MATCH($D1169,RUNS!$A$6:$A$1005,0))),""))</f>
        <v/>
      </c>
      <c r="Q1169" s="33">
        <f>IF($D1169="","",IFERROR(IF(INDEX(RUNS!$K$6:$K$1005,MATCH($D1169,RUNS!$A$6:$A$1005,0))="","",INDEX(RUNS!$K$6:$K$1005,MATCH($D1169,RUNS!$A$6:$A$1005,0))),""))</f>
        <v/>
      </c>
      <c r="R1169" s="34">
        <f>IF(OR($L1169="",$K1169=""),"",IFERROR(IF(INDEX(PARAMETRES!$H$43:$H$342,MATCH($L1169&amp;"|"&amp;$M1169&amp;"|"&amp;$N1169&amp;"|"&amp;$O1169&amp;"|"&amp;$P1169&amp;"|"&amp;$Q1169&amp;"|"&amp;$K1169,PARAMETRES!$J$43:$J$342,0))="","",INDEX(PARAMETRES!$H$43:$H$342,MATCH($L1169&amp;"|"&amp;$M1169&amp;"|"&amp;$N1169&amp;"|"&amp;$O1169&amp;"|"&amp;$P1169&amp;"|"&amp;$Q1169&amp;"|"&amp;$K1169,PARAMETRES!$J$43:$J$342,0))),""))</f>
        <v/>
      </c>
      <c r="S1169" s="35">
        <f>IF(OR($G1169="",$X1169&lt;&gt;"VALIDE"),"",IFERROR(LOOKUP(2,1/(($B269:$B1168=$B1169)*($G269:$G1168=$G1169)*($X269:$X1168="VALIDE")),$C269:$C1168),""))</f>
        <v/>
      </c>
      <c r="T1169" s="36">
        <f>IF(OR($C1169="",$S1169=""),"",ROUND(($C1169-$S1169+IF($C1169&lt;$S1169,1,0))*1440,0))</f>
        <v/>
      </c>
      <c r="U1169" s="22">
        <f>IF(OR($H1169="",$T1169="",$T1169&lt;=0),"",$H1169*60/$T1169)</f>
        <v/>
      </c>
      <c r="V1169" s="37">
        <f>IF(OR($U1169="",$R1169="",$R1169=0),"",$U1169/$R1169)</f>
        <v/>
      </c>
      <c r="W1169" s="20">
        <f>IF($G1169="","",IF($X1169="CONTEXTE INCOMPLET","CONTEXTE INCOMPLET",IF($X1169="DOUBLON",StatutDoublon,IF($S1169="",StatutInitial,IF($R1169="",StatutStandardManquant,IF($V1169="","DONNEES INSUFFISANTES",IF($V1169&gt;=SeuilConforme,StatutConforme,IF($V1169&gt;=SeuilSurveiller,StatutSurveiller,StatutSousStandard))))))))</f>
        <v/>
      </c>
      <c r="X1169" s="33">
        <f>IF($G1169="","",IF(OR($D1169="",$E1169="",$F1169=""),"CONTEXTE INCOMPLET",IF(COUNTIFS($D269:$D1168,$D1169,$E269:$E1168,$E1169,$F269:$F1168,$F1169,$G269:$G1168,$G1169)&gt;0,"DOUBLON","VALIDE")))</f>
        <v/>
      </c>
    </row>
    <row r="1170" ht="15" customHeight="1">
      <c r="A1170" s="12">
        <f>IF(OR($B1170="",$G1170=""),"",TEXT($B1170,"YYYYMMDD")&amp;"-"&amp;SUBSTITUTE($E1170," ","")&amp;"-"&amp;$F1170&amp;"-"&amp;$G1170)</f>
        <v/>
      </c>
      <c r="B1170" s="15" t="n"/>
      <c r="C1170" s="16" t="n"/>
      <c r="D1170" s="10" t="n"/>
      <c r="E1170" s="9" t="n"/>
      <c r="F1170" s="9" t="n"/>
      <c r="G1170" s="13" t="n"/>
      <c r="H1170" s="21" t="n"/>
      <c r="I1170" s="21" t="n"/>
      <c r="J1170" s="17">
        <f>IF($G1170="","",IFERROR(INDEX(NomsEmployes,MATCH($G1170,MatriculesEmployes,0)),"MATRICULE INCONNU"))</f>
        <v/>
      </c>
      <c r="K1170" s="33">
        <f>IF(OR($D1170="",$F1170=""),"",IFERROR(IF(INDEX(RUNS!$L$6:$S$1005,MATCH($D1170,RUNS!$A$6:$A$1005,0),MATCH("ACTIVITÉ "&amp;$F1170,RUNS!$L$5:$S$5,0))="","",INDEX(RUNS!$L$6:$S$1005,MATCH($D1170,RUNS!$A$6:$A$1005,0),MATCH("ACTIVITÉ "&amp;$F1170,RUNS!$L$5:$S$5,0))),""))</f>
        <v/>
      </c>
      <c r="L1170" s="33">
        <f>IF($D1170="","",IFERROR(IF(INDEX(RUNS!$E$6:$E$1005,MATCH($D1170,RUNS!$A$6:$A$1005,0))="","",INDEX(RUNS!$E$6:$E$1005,MATCH($D1170,RUNS!$A$6:$A$1005,0))),""))</f>
        <v/>
      </c>
      <c r="M1170" s="33">
        <f>IF($D1170="","",IFERROR(IF(INDEX(RUNS!$F$6:$F$1005,MATCH($D1170,RUNS!$A$6:$A$1005,0))="","",INDEX(RUNS!$F$6:$F$1005,MATCH($D1170,RUNS!$A$6:$A$1005,0))),""))</f>
        <v/>
      </c>
      <c r="N1170" s="33">
        <f>IF($D1170="","",IFERROR(IF(INDEX(RUNS!$G$6:$G$1005,MATCH($D1170,RUNS!$A$6:$A$1005,0))="","",INDEX(RUNS!$G$6:$G$1005,MATCH($D1170,RUNS!$A$6:$A$1005,0))),""))</f>
        <v/>
      </c>
      <c r="O1170" s="33">
        <f>IF($D1170="","",IFERROR(IF(INDEX(RUNS!$H$6:$H$1005,MATCH($D1170,RUNS!$A$6:$A$1005,0))="","",INDEX(RUNS!$H$6:$H$1005,MATCH($D1170,RUNS!$A$6:$A$1005,0))),""))</f>
        <v/>
      </c>
      <c r="P1170" s="33">
        <f>IF($D1170="","",IFERROR(IF(INDEX(RUNS!$J$6:$J$1005,MATCH($D1170,RUNS!$A$6:$A$1005,0))="","",INDEX(RUNS!$J$6:$J$1005,MATCH($D1170,RUNS!$A$6:$A$1005,0))),""))</f>
        <v/>
      </c>
      <c r="Q1170" s="33">
        <f>IF($D1170="","",IFERROR(IF(INDEX(RUNS!$K$6:$K$1005,MATCH($D1170,RUNS!$A$6:$A$1005,0))="","",INDEX(RUNS!$K$6:$K$1005,MATCH($D1170,RUNS!$A$6:$A$1005,0))),""))</f>
        <v/>
      </c>
      <c r="R1170" s="34">
        <f>IF(OR($L1170="",$K1170=""),"",IFERROR(IF(INDEX(PARAMETRES!$H$43:$H$342,MATCH($L1170&amp;"|"&amp;$M1170&amp;"|"&amp;$N1170&amp;"|"&amp;$O1170&amp;"|"&amp;$P1170&amp;"|"&amp;$Q1170&amp;"|"&amp;$K1170,PARAMETRES!$J$43:$J$342,0))="","",INDEX(PARAMETRES!$H$43:$H$342,MATCH($L1170&amp;"|"&amp;$M1170&amp;"|"&amp;$N1170&amp;"|"&amp;$O1170&amp;"|"&amp;$P1170&amp;"|"&amp;$Q1170&amp;"|"&amp;$K1170,PARAMETRES!$J$43:$J$342,0))),""))</f>
        <v/>
      </c>
      <c r="S1170" s="35">
        <f>IF(OR($G1170="",$X1170&lt;&gt;"VALIDE"),"",IFERROR(LOOKUP(2,1/(($B270:$B1169=$B1170)*($G270:$G1169=$G1170)*($X270:$X1169="VALIDE")),$C270:$C1169),""))</f>
        <v/>
      </c>
      <c r="T1170" s="36">
        <f>IF(OR($C1170="",$S1170=""),"",ROUND(($C1170-$S1170+IF($C1170&lt;$S1170,1,0))*1440,0))</f>
        <v/>
      </c>
      <c r="U1170" s="22">
        <f>IF(OR($H1170="",$T1170="",$T1170&lt;=0),"",$H1170*60/$T1170)</f>
        <v/>
      </c>
      <c r="V1170" s="37">
        <f>IF(OR($U1170="",$R1170="",$R1170=0),"",$U1170/$R1170)</f>
        <v/>
      </c>
      <c r="W1170" s="20">
        <f>IF($G1170="","",IF($X1170="CONTEXTE INCOMPLET","CONTEXTE INCOMPLET",IF($X1170="DOUBLON",StatutDoublon,IF($S1170="",StatutInitial,IF($R1170="",StatutStandardManquant,IF($V1170="","DONNEES INSUFFISANTES",IF($V1170&gt;=SeuilConforme,StatutConforme,IF($V1170&gt;=SeuilSurveiller,StatutSurveiller,StatutSousStandard))))))))</f>
        <v/>
      </c>
      <c r="X1170" s="33">
        <f>IF($G1170="","",IF(OR($D1170="",$E1170="",$F1170=""),"CONTEXTE INCOMPLET",IF(COUNTIFS($D270:$D1169,$D1170,$E270:$E1169,$E1170,$F270:$F1169,$F1170,$G270:$G1169,$G1170)&gt;0,"DOUBLON","VALIDE")))</f>
        <v/>
      </c>
    </row>
    <row r="1171" ht="15" customHeight="1">
      <c r="A1171" s="12">
        <f>IF(OR($B1171="",$G1171=""),"",TEXT($B1171,"YYYYMMDD")&amp;"-"&amp;SUBSTITUTE($E1171," ","")&amp;"-"&amp;$F1171&amp;"-"&amp;$G1171)</f>
        <v/>
      </c>
      <c r="B1171" s="15" t="n"/>
      <c r="C1171" s="16" t="n"/>
      <c r="D1171" s="10" t="n"/>
      <c r="E1171" s="9" t="n"/>
      <c r="F1171" s="9" t="n"/>
      <c r="G1171" s="13" t="n"/>
      <c r="H1171" s="21" t="n"/>
      <c r="I1171" s="21" t="n"/>
      <c r="J1171" s="17">
        <f>IF($G1171="","",IFERROR(INDEX(NomsEmployes,MATCH($G1171,MatriculesEmployes,0)),"MATRICULE INCONNU"))</f>
        <v/>
      </c>
      <c r="K1171" s="33">
        <f>IF(OR($D1171="",$F1171=""),"",IFERROR(IF(INDEX(RUNS!$L$6:$S$1005,MATCH($D1171,RUNS!$A$6:$A$1005,0),MATCH("ACTIVITÉ "&amp;$F1171,RUNS!$L$5:$S$5,0))="","",INDEX(RUNS!$L$6:$S$1005,MATCH($D1171,RUNS!$A$6:$A$1005,0),MATCH("ACTIVITÉ "&amp;$F1171,RUNS!$L$5:$S$5,0))),""))</f>
        <v/>
      </c>
      <c r="L1171" s="33">
        <f>IF($D1171="","",IFERROR(IF(INDEX(RUNS!$E$6:$E$1005,MATCH($D1171,RUNS!$A$6:$A$1005,0))="","",INDEX(RUNS!$E$6:$E$1005,MATCH($D1171,RUNS!$A$6:$A$1005,0))),""))</f>
        <v/>
      </c>
      <c r="M1171" s="33">
        <f>IF($D1171="","",IFERROR(IF(INDEX(RUNS!$F$6:$F$1005,MATCH($D1171,RUNS!$A$6:$A$1005,0))="","",INDEX(RUNS!$F$6:$F$1005,MATCH($D1171,RUNS!$A$6:$A$1005,0))),""))</f>
        <v/>
      </c>
      <c r="N1171" s="33">
        <f>IF($D1171="","",IFERROR(IF(INDEX(RUNS!$G$6:$G$1005,MATCH($D1171,RUNS!$A$6:$A$1005,0))="","",INDEX(RUNS!$G$6:$G$1005,MATCH($D1171,RUNS!$A$6:$A$1005,0))),""))</f>
        <v/>
      </c>
      <c r="O1171" s="33">
        <f>IF($D1171="","",IFERROR(IF(INDEX(RUNS!$H$6:$H$1005,MATCH($D1171,RUNS!$A$6:$A$1005,0))="","",INDEX(RUNS!$H$6:$H$1005,MATCH($D1171,RUNS!$A$6:$A$1005,0))),""))</f>
        <v/>
      </c>
      <c r="P1171" s="33">
        <f>IF($D1171="","",IFERROR(IF(INDEX(RUNS!$J$6:$J$1005,MATCH($D1171,RUNS!$A$6:$A$1005,0))="","",INDEX(RUNS!$J$6:$J$1005,MATCH($D1171,RUNS!$A$6:$A$1005,0))),""))</f>
        <v/>
      </c>
      <c r="Q1171" s="33">
        <f>IF($D1171="","",IFERROR(IF(INDEX(RUNS!$K$6:$K$1005,MATCH($D1171,RUNS!$A$6:$A$1005,0))="","",INDEX(RUNS!$K$6:$K$1005,MATCH($D1171,RUNS!$A$6:$A$1005,0))),""))</f>
        <v/>
      </c>
      <c r="R1171" s="34">
        <f>IF(OR($L1171="",$K1171=""),"",IFERROR(IF(INDEX(PARAMETRES!$H$43:$H$342,MATCH($L1171&amp;"|"&amp;$M1171&amp;"|"&amp;$N1171&amp;"|"&amp;$O1171&amp;"|"&amp;$P1171&amp;"|"&amp;$Q1171&amp;"|"&amp;$K1171,PARAMETRES!$J$43:$J$342,0))="","",INDEX(PARAMETRES!$H$43:$H$342,MATCH($L1171&amp;"|"&amp;$M1171&amp;"|"&amp;$N1171&amp;"|"&amp;$O1171&amp;"|"&amp;$P1171&amp;"|"&amp;$Q1171&amp;"|"&amp;$K1171,PARAMETRES!$J$43:$J$342,0))),""))</f>
        <v/>
      </c>
      <c r="S1171" s="35">
        <f>IF(OR($G1171="",$X1171&lt;&gt;"VALIDE"),"",IFERROR(LOOKUP(2,1/(($B271:$B1170=$B1171)*($G271:$G1170=$G1171)*($X271:$X1170="VALIDE")),$C271:$C1170),""))</f>
        <v/>
      </c>
      <c r="T1171" s="36">
        <f>IF(OR($C1171="",$S1171=""),"",ROUND(($C1171-$S1171+IF($C1171&lt;$S1171,1,0))*1440,0))</f>
        <v/>
      </c>
      <c r="U1171" s="22">
        <f>IF(OR($H1171="",$T1171="",$T1171&lt;=0),"",$H1171*60/$T1171)</f>
        <v/>
      </c>
      <c r="V1171" s="37">
        <f>IF(OR($U1171="",$R1171="",$R1171=0),"",$U1171/$R1171)</f>
        <v/>
      </c>
      <c r="W1171" s="20">
        <f>IF($G1171="","",IF($X1171="CONTEXTE INCOMPLET","CONTEXTE INCOMPLET",IF($X1171="DOUBLON",StatutDoublon,IF($S1171="",StatutInitial,IF($R1171="",StatutStandardManquant,IF($V1171="","DONNEES INSUFFISANTES",IF($V1171&gt;=SeuilConforme,StatutConforme,IF($V1171&gt;=SeuilSurveiller,StatutSurveiller,StatutSousStandard))))))))</f>
        <v/>
      </c>
      <c r="X1171" s="33">
        <f>IF($G1171="","",IF(OR($D1171="",$E1171="",$F1171=""),"CONTEXTE INCOMPLET",IF(COUNTIFS($D271:$D1170,$D1171,$E271:$E1170,$E1171,$F271:$F1170,$F1171,$G271:$G1170,$G1171)&gt;0,"DOUBLON","VALIDE")))</f>
        <v/>
      </c>
    </row>
    <row r="1172" ht="15" customHeight="1">
      <c r="A1172" s="12">
        <f>IF(OR($B1172="",$G1172=""),"",TEXT($B1172,"YYYYMMDD")&amp;"-"&amp;SUBSTITUTE($E1172," ","")&amp;"-"&amp;$F1172&amp;"-"&amp;$G1172)</f>
        <v/>
      </c>
      <c r="B1172" s="15" t="n"/>
      <c r="C1172" s="16" t="n"/>
      <c r="D1172" s="10" t="n"/>
      <c r="E1172" s="9" t="n"/>
      <c r="F1172" s="9" t="n"/>
      <c r="G1172" s="13" t="n"/>
      <c r="H1172" s="21" t="n"/>
      <c r="I1172" s="21" t="n"/>
      <c r="J1172" s="17">
        <f>IF($G1172="","",IFERROR(INDEX(NomsEmployes,MATCH($G1172,MatriculesEmployes,0)),"MATRICULE INCONNU"))</f>
        <v/>
      </c>
      <c r="K1172" s="33">
        <f>IF(OR($D1172="",$F1172=""),"",IFERROR(IF(INDEX(RUNS!$L$6:$S$1005,MATCH($D1172,RUNS!$A$6:$A$1005,0),MATCH("ACTIVITÉ "&amp;$F1172,RUNS!$L$5:$S$5,0))="","",INDEX(RUNS!$L$6:$S$1005,MATCH($D1172,RUNS!$A$6:$A$1005,0),MATCH("ACTIVITÉ "&amp;$F1172,RUNS!$L$5:$S$5,0))),""))</f>
        <v/>
      </c>
      <c r="L1172" s="33">
        <f>IF($D1172="","",IFERROR(IF(INDEX(RUNS!$E$6:$E$1005,MATCH($D1172,RUNS!$A$6:$A$1005,0))="","",INDEX(RUNS!$E$6:$E$1005,MATCH($D1172,RUNS!$A$6:$A$1005,0))),""))</f>
        <v/>
      </c>
      <c r="M1172" s="33">
        <f>IF($D1172="","",IFERROR(IF(INDEX(RUNS!$F$6:$F$1005,MATCH($D1172,RUNS!$A$6:$A$1005,0))="","",INDEX(RUNS!$F$6:$F$1005,MATCH($D1172,RUNS!$A$6:$A$1005,0))),""))</f>
        <v/>
      </c>
      <c r="N1172" s="33">
        <f>IF($D1172="","",IFERROR(IF(INDEX(RUNS!$G$6:$G$1005,MATCH($D1172,RUNS!$A$6:$A$1005,0))="","",INDEX(RUNS!$G$6:$G$1005,MATCH($D1172,RUNS!$A$6:$A$1005,0))),""))</f>
        <v/>
      </c>
      <c r="O1172" s="33">
        <f>IF($D1172="","",IFERROR(IF(INDEX(RUNS!$H$6:$H$1005,MATCH($D1172,RUNS!$A$6:$A$1005,0))="","",INDEX(RUNS!$H$6:$H$1005,MATCH($D1172,RUNS!$A$6:$A$1005,0))),""))</f>
        <v/>
      </c>
      <c r="P1172" s="33">
        <f>IF($D1172="","",IFERROR(IF(INDEX(RUNS!$J$6:$J$1005,MATCH($D1172,RUNS!$A$6:$A$1005,0))="","",INDEX(RUNS!$J$6:$J$1005,MATCH($D1172,RUNS!$A$6:$A$1005,0))),""))</f>
        <v/>
      </c>
      <c r="Q1172" s="33">
        <f>IF($D1172="","",IFERROR(IF(INDEX(RUNS!$K$6:$K$1005,MATCH($D1172,RUNS!$A$6:$A$1005,0))="","",INDEX(RUNS!$K$6:$K$1005,MATCH($D1172,RUNS!$A$6:$A$1005,0))),""))</f>
        <v/>
      </c>
      <c r="R1172" s="34">
        <f>IF(OR($L1172="",$K1172=""),"",IFERROR(IF(INDEX(PARAMETRES!$H$43:$H$342,MATCH($L1172&amp;"|"&amp;$M1172&amp;"|"&amp;$N1172&amp;"|"&amp;$O1172&amp;"|"&amp;$P1172&amp;"|"&amp;$Q1172&amp;"|"&amp;$K1172,PARAMETRES!$J$43:$J$342,0))="","",INDEX(PARAMETRES!$H$43:$H$342,MATCH($L1172&amp;"|"&amp;$M1172&amp;"|"&amp;$N1172&amp;"|"&amp;$O1172&amp;"|"&amp;$P1172&amp;"|"&amp;$Q1172&amp;"|"&amp;$K1172,PARAMETRES!$J$43:$J$342,0))),""))</f>
        <v/>
      </c>
      <c r="S1172" s="35">
        <f>IF(OR($G1172="",$X1172&lt;&gt;"VALIDE"),"",IFERROR(LOOKUP(2,1/(($B272:$B1171=$B1172)*($G272:$G1171=$G1172)*($X272:$X1171="VALIDE")),$C272:$C1171),""))</f>
        <v/>
      </c>
      <c r="T1172" s="36">
        <f>IF(OR($C1172="",$S1172=""),"",ROUND(($C1172-$S1172+IF($C1172&lt;$S1172,1,0))*1440,0))</f>
        <v/>
      </c>
      <c r="U1172" s="22">
        <f>IF(OR($H1172="",$T1172="",$T1172&lt;=0),"",$H1172*60/$T1172)</f>
        <v/>
      </c>
      <c r="V1172" s="37">
        <f>IF(OR($U1172="",$R1172="",$R1172=0),"",$U1172/$R1172)</f>
        <v/>
      </c>
      <c r="W1172" s="20">
        <f>IF($G1172="","",IF($X1172="CONTEXTE INCOMPLET","CONTEXTE INCOMPLET",IF($X1172="DOUBLON",StatutDoublon,IF($S1172="",StatutInitial,IF($R1172="",StatutStandardManquant,IF($V1172="","DONNEES INSUFFISANTES",IF($V1172&gt;=SeuilConforme,StatutConforme,IF($V1172&gt;=SeuilSurveiller,StatutSurveiller,StatutSousStandard))))))))</f>
        <v/>
      </c>
      <c r="X1172" s="33">
        <f>IF($G1172="","",IF(OR($D1172="",$E1172="",$F1172=""),"CONTEXTE INCOMPLET",IF(COUNTIFS($D272:$D1171,$D1172,$E272:$E1171,$E1172,$F272:$F1171,$F1172,$G272:$G1171,$G1172)&gt;0,"DOUBLON","VALIDE")))</f>
        <v/>
      </c>
    </row>
    <row r="1173" ht="15" customHeight="1">
      <c r="A1173" s="12">
        <f>IF(OR($B1173="",$G1173=""),"",TEXT($B1173,"YYYYMMDD")&amp;"-"&amp;SUBSTITUTE($E1173," ","")&amp;"-"&amp;$F1173&amp;"-"&amp;$G1173)</f>
        <v/>
      </c>
      <c r="B1173" s="15" t="n"/>
      <c r="C1173" s="16" t="n"/>
      <c r="D1173" s="10" t="n"/>
      <c r="E1173" s="9" t="n"/>
      <c r="F1173" s="9" t="n"/>
      <c r="G1173" s="13" t="n"/>
      <c r="H1173" s="21" t="n"/>
      <c r="I1173" s="21" t="n"/>
      <c r="J1173" s="17">
        <f>IF($G1173="","",IFERROR(INDEX(NomsEmployes,MATCH($G1173,MatriculesEmployes,0)),"MATRICULE INCONNU"))</f>
        <v/>
      </c>
      <c r="K1173" s="33">
        <f>IF(OR($D1173="",$F1173=""),"",IFERROR(IF(INDEX(RUNS!$L$6:$S$1005,MATCH($D1173,RUNS!$A$6:$A$1005,0),MATCH("ACTIVITÉ "&amp;$F1173,RUNS!$L$5:$S$5,0))="","",INDEX(RUNS!$L$6:$S$1005,MATCH($D1173,RUNS!$A$6:$A$1005,0),MATCH("ACTIVITÉ "&amp;$F1173,RUNS!$L$5:$S$5,0))),""))</f>
        <v/>
      </c>
      <c r="L1173" s="33">
        <f>IF($D1173="","",IFERROR(IF(INDEX(RUNS!$E$6:$E$1005,MATCH($D1173,RUNS!$A$6:$A$1005,0))="","",INDEX(RUNS!$E$6:$E$1005,MATCH($D1173,RUNS!$A$6:$A$1005,0))),""))</f>
        <v/>
      </c>
      <c r="M1173" s="33">
        <f>IF($D1173="","",IFERROR(IF(INDEX(RUNS!$F$6:$F$1005,MATCH($D1173,RUNS!$A$6:$A$1005,0))="","",INDEX(RUNS!$F$6:$F$1005,MATCH($D1173,RUNS!$A$6:$A$1005,0))),""))</f>
        <v/>
      </c>
      <c r="N1173" s="33">
        <f>IF($D1173="","",IFERROR(IF(INDEX(RUNS!$G$6:$G$1005,MATCH($D1173,RUNS!$A$6:$A$1005,0))="","",INDEX(RUNS!$G$6:$G$1005,MATCH($D1173,RUNS!$A$6:$A$1005,0))),""))</f>
        <v/>
      </c>
      <c r="O1173" s="33">
        <f>IF($D1173="","",IFERROR(IF(INDEX(RUNS!$H$6:$H$1005,MATCH($D1173,RUNS!$A$6:$A$1005,0))="","",INDEX(RUNS!$H$6:$H$1005,MATCH($D1173,RUNS!$A$6:$A$1005,0))),""))</f>
        <v/>
      </c>
      <c r="P1173" s="33">
        <f>IF($D1173="","",IFERROR(IF(INDEX(RUNS!$J$6:$J$1005,MATCH($D1173,RUNS!$A$6:$A$1005,0))="","",INDEX(RUNS!$J$6:$J$1005,MATCH($D1173,RUNS!$A$6:$A$1005,0))),""))</f>
        <v/>
      </c>
      <c r="Q1173" s="33">
        <f>IF($D1173="","",IFERROR(IF(INDEX(RUNS!$K$6:$K$1005,MATCH($D1173,RUNS!$A$6:$A$1005,0))="","",INDEX(RUNS!$K$6:$K$1005,MATCH($D1173,RUNS!$A$6:$A$1005,0))),""))</f>
        <v/>
      </c>
      <c r="R1173" s="34">
        <f>IF(OR($L1173="",$K1173=""),"",IFERROR(IF(INDEX(PARAMETRES!$H$43:$H$342,MATCH($L1173&amp;"|"&amp;$M1173&amp;"|"&amp;$N1173&amp;"|"&amp;$O1173&amp;"|"&amp;$P1173&amp;"|"&amp;$Q1173&amp;"|"&amp;$K1173,PARAMETRES!$J$43:$J$342,0))="","",INDEX(PARAMETRES!$H$43:$H$342,MATCH($L1173&amp;"|"&amp;$M1173&amp;"|"&amp;$N1173&amp;"|"&amp;$O1173&amp;"|"&amp;$P1173&amp;"|"&amp;$Q1173&amp;"|"&amp;$K1173,PARAMETRES!$J$43:$J$342,0))),""))</f>
        <v/>
      </c>
      <c r="S1173" s="35">
        <f>IF(OR($G1173="",$X1173&lt;&gt;"VALIDE"),"",IFERROR(LOOKUP(2,1/(($B273:$B1172=$B1173)*($G273:$G1172=$G1173)*($X273:$X1172="VALIDE")),$C273:$C1172),""))</f>
        <v/>
      </c>
      <c r="T1173" s="36">
        <f>IF(OR($C1173="",$S1173=""),"",ROUND(($C1173-$S1173+IF($C1173&lt;$S1173,1,0))*1440,0))</f>
        <v/>
      </c>
      <c r="U1173" s="22">
        <f>IF(OR($H1173="",$T1173="",$T1173&lt;=0),"",$H1173*60/$T1173)</f>
        <v/>
      </c>
      <c r="V1173" s="37">
        <f>IF(OR($U1173="",$R1173="",$R1173=0),"",$U1173/$R1173)</f>
        <v/>
      </c>
      <c r="W1173" s="20">
        <f>IF($G1173="","",IF($X1173="CONTEXTE INCOMPLET","CONTEXTE INCOMPLET",IF($X1173="DOUBLON",StatutDoublon,IF($S1173="",StatutInitial,IF($R1173="",StatutStandardManquant,IF($V1173="","DONNEES INSUFFISANTES",IF($V1173&gt;=SeuilConforme,StatutConforme,IF($V1173&gt;=SeuilSurveiller,StatutSurveiller,StatutSousStandard))))))))</f>
        <v/>
      </c>
      <c r="X1173" s="33">
        <f>IF($G1173="","",IF(OR($D1173="",$E1173="",$F1173=""),"CONTEXTE INCOMPLET",IF(COUNTIFS($D273:$D1172,$D1173,$E273:$E1172,$E1173,$F273:$F1172,$F1173,$G273:$G1172,$G1173)&gt;0,"DOUBLON","VALIDE")))</f>
        <v/>
      </c>
    </row>
    <row r="1174" ht="15" customHeight="1">
      <c r="A1174" s="12">
        <f>IF(OR($B1174="",$G1174=""),"",TEXT($B1174,"YYYYMMDD")&amp;"-"&amp;SUBSTITUTE($E1174," ","")&amp;"-"&amp;$F1174&amp;"-"&amp;$G1174)</f>
        <v/>
      </c>
      <c r="B1174" s="15" t="n"/>
      <c r="C1174" s="16" t="n"/>
      <c r="D1174" s="10" t="n"/>
      <c r="E1174" s="9" t="n"/>
      <c r="F1174" s="9" t="n"/>
      <c r="G1174" s="13" t="n"/>
      <c r="H1174" s="21" t="n"/>
      <c r="I1174" s="21" t="n"/>
      <c r="J1174" s="17">
        <f>IF($G1174="","",IFERROR(INDEX(NomsEmployes,MATCH($G1174,MatriculesEmployes,0)),"MATRICULE INCONNU"))</f>
        <v/>
      </c>
      <c r="K1174" s="33">
        <f>IF(OR($D1174="",$F1174=""),"",IFERROR(IF(INDEX(RUNS!$L$6:$S$1005,MATCH($D1174,RUNS!$A$6:$A$1005,0),MATCH("ACTIVITÉ "&amp;$F1174,RUNS!$L$5:$S$5,0))="","",INDEX(RUNS!$L$6:$S$1005,MATCH($D1174,RUNS!$A$6:$A$1005,0),MATCH("ACTIVITÉ "&amp;$F1174,RUNS!$L$5:$S$5,0))),""))</f>
        <v/>
      </c>
      <c r="L1174" s="33">
        <f>IF($D1174="","",IFERROR(IF(INDEX(RUNS!$E$6:$E$1005,MATCH($D1174,RUNS!$A$6:$A$1005,0))="","",INDEX(RUNS!$E$6:$E$1005,MATCH($D1174,RUNS!$A$6:$A$1005,0))),""))</f>
        <v/>
      </c>
      <c r="M1174" s="33">
        <f>IF($D1174="","",IFERROR(IF(INDEX(RUNS!$F$6:$F$1005,MATCH($D1174,RUNS!$A$6:$A$1005,0))="","",INDEX(RUNS!$F$6:$F$1005,MATCH($D1174,RUNS!$A$6:$A$1005,0))),""))</f>
        <v/>
      </c>
      <c r="N1174" s="33">
        <f>IF($D1174="","",IFERROR(IF(INDEX(RUNS!$G$6:$G$1005,MATCH($D1174,RUNS!$A$6:$A$1005,0))="","",INDEX(RUNS!$G$6:$G$1005,MATCH($D1174,RUNS!$A$6:$A$1005,0))),""))</f>
        <v/>
      </c>
      <c r="O1174" s="33">
        <f>IF($D1174="","",IFERROR(IF(INDEX(RUNS!$H$6:$H$1005,MATCH($D1174,RUNS!$A$6:$A$1005,0))="","",INDEX(RUNS!$H$6:$H$1005,MATCH($D1174,RUNS!$A$6:$A$1005,0))),""))</f>
        <v/>
      </c>
      <c r="P1174" s="33">
        <f>IF($D1174="","",IFERROR(IF(INDEX(RUNS!$J$6:$J$1005,MATCH($D1174,RUNS!$A$6:$A$1005,0))="","",INDEX(RUNS!$J$6:$J$1005,MATCH($D1174,RUNS!$A$6:$A$1005,0))),""))</f>
        <v/>
      </c>
      <c r="Q1174" s="33">
        <f>IF($D1174="","",IFERROR(IF(INDEX(RUNS!$K$6:$K$1005,MATCH($D1174,RUNS!$A$6:$A$1005,0))="","",INDEX(RUNS!$K$6:$K$1005,MATCH($D1174,RUNS!$A$6:$A$1005,0))),""))</f>
        <v/>
      </c>
      <c r="R1174" s="34">
        <f>IF(OR($L1174="",$K1174=""),"",IFERROR(IF(INDEX(PARAMETRES!$H$43:$H$342,MATCH($L1174&amp;"|"&amp;$M1174&amp;"|"&amp;$N1174&amp;"|"&amp;$O1174&amp;"|"&amp;$P1174&amp;"|"&amp;$Q1174&amp;"|"&amp;$K1174,PARAMETRES!$J$43:$J$342,0))="","",INDEX(PARAMETRES!$H$43:$H$342,MATCH($L1174&amp;"|"&amp;$M1174&amp;"|"&amp;$N1174&amp;"|"&amp;$O1174&amp;"|"&amp;$P1174&amp;"|"&amp;$Q1174&amp;"|"&amp;$K1174,PARAMETRES!$J$43:$J$342,0))),""))</f>
        <v/>
      </c>
      <c r="S1174" s="35">
        <f>IF(OR($G1174="",$X1174&lt;&gt;"VALIDE"),"",IFERROR(LOOKUP(2,1/(($B274:$B1173=$B1174)*($G274:$G1173=$G1174)*($X274:$X1173="VALIDE")),$C274:$C1173),""))</f>
        <v/>
      </c>
      <c r="T1174" s="36">
        <f>IF(OR($C1174="",$S1174=""),"",ROUND(($C1174-$S1174+IF($C1174&lt;$S1174,1,0))*1440,0))</f>
        <v/>
      </c>
      <c r="U1174" s="22">
        <f>IF(OR($H1174="",$T1174="",$T1174&lt;=0),"",$H1174*60/$T1174)</f>
        <v/>
      </c>
      <c r="V1174" s="37">
        <f>IF(OR($U1174="",$R1174="",$R1174=0),"",$U1174/$R1174)</f>
        <v/>
      </c>
      <c r="W1174" s="20">
        <f>IF($G1174="","",IF($X1174="CONTEXTE INCOMPLET","CONTEXTE INCOMPLET",IF($X1174="DOUBLON",StatutDoublon,IF($S1174="",StatutInitial,IF($R1174="",StatutStandardManquant,IF($V1174="","DONNEES INSUFFISANTES",IF($V1174&gt;=SeuilConforme,StatutConforme,IF($V1174&gt;=SeuilSurveiller,StatutSurveiller,StatutSousStandard))))))))</f>
        <v/>
      </c>
      <c r="X1174" s="33">
        <f>IF($G1174="","",IF(OR($D1174="",$E1174="",$F1174=""),"CONTEXTE INCOMPLET",IF(COUNTIFS($D274:$D1173,$D1174,$E274:$E1173,$E1174,$F274:$F1173,$F1174,$G274:$G1173,$G1174)&gt;0,"DOUBLON","VALIDE")))</f>
        <v/>
      </c>
    </row>
    <row r="1175" ht="15" customHeight="1">
      <c r="A1175" s="12">
        <f>IF(OR($B1175="",$G1175=""),"",TEXT($B1175,"YYYYMMDD")&amp;"-"&amp;SUBSTITUTE($E1175," ","")&amp;"-"&amp;$F1175&amp;"-"&amp;$G1175)</f>
        <v/>
      </c>
      <c r="B1175" s="15" t="n"/>
      <c r="C1175" s="16" t="n"/>
      <c r="D1175" s="10" t="n"/>
      <c r="E1175" s="9" t="n"/>
      <c r="F1175" s="9" t="n"/>
      <c r="G1175" s="13" t="n"/>
      <c r="H1175" s="21" t="n"/>
      <c r="I1175" s="21" t="n"/>
      <c r="J1175" s="17">
        <f>IF($G1175="","",IFERROR(INDEX(NomsEmployes,MATCH($G1175,MatriculesEmployes,0)),"MATRICULE INCONNU"))</f>
        <v/>
      </c>
      <c r="K1175" s="33">
        <f>IF(OR($D1175="",$F1175=""),"",IFERROR(IF(INDEX(RUNS!$L$6:$S$1005,MATCH($D1175,RUNS!$A$6:$A$1005,0),MATCH("ACTIVITÉ "&amp;$F1175,RUNS!$L$5:$S$5,0))="","",INDEX(RUNS!$L$6:$S$1005,MATCH($D1175,RUNS!$A$6:$A$1005,0),MATCH("ACTIVITÉ "&amp;$F1175,RUNS!$L$5:$S$5,0))),""))</f>
        <v/>
      </c>
      <c r="L1175" s="33">
        <f>IF($D1175="","",IFERROR(IF(INDEX(RUNS!$E$6:$E$1005,MATCH($D1175,RUNS!$A$6:$A$1005,0))="","",INDEX(RUNS!$E$6:$E$1005,MATCH($D1175,RUNS!$A$6:$A$1005,0))),""))</f>
        <v/>
      </c>
      <c r="M1175" s="33">
        <f>IF($D1175="","",IFERROR(IF(INDEX(RUNS!$F$6:$F$1005,MATCH($D1175,RUNS!$A$6:$A$1005,0))="","",INDEX(RUNS!$F$6:$F$1005,MATCH($D1175,RUNS!$A$6:$A$1005,0))),""))</f>
        <v/>
      </c>
      <c r="N1175" s="33">
        <f>IF($D1175="","",IFERROR(IF(INDEX(RUNS!$G$6:$G$1005,MATCH($D1175,RUNS!$A$6:$A$1005,0))="","",INDEX(RUNS!$G$6:$G$1005,MATCH($D1175,RUNS!$A$6:$A$1005,0))),""))</f>
        <v/>
      </c>
      <c r="O1175" s="33">
        <f>IF($D1175="","",IFERROR(IF(INDEX(RUNS!$H$6:$H$1005,MATCH($D1175,RUNS!$A$6:$A$1005,0))="","",INDEX(RUNS!$H$6:$H$1005,MATCH($D1175,RUNS!$A$6:$A$1005,0))),""))</f>
        <v/>
      </c>
      <c r="P1175" s="33">
        <f>IF($D1175="","",IFERROR(IF(INDEX(RUNS!$J$6:$J$1005,MATCH($D1175,RUNS!$A$6:$A$1005,0))="","",INDEX(RUNS!$J$6:$J$1005,MATCH($D1175,RUNS!$A$6:$A$1005,0))),""))</f>
        <v/>
      </c>
      <c r="Q1175" s="33">
        <f>IF($D1175="","",IFERROR(IF(INDEX(RUNS!$K$6:$K$1005,MATCH($D1175,RUNS!$A$6:$A$1005,0))="","",INDEX(RUNS!$K$6:$K$1005,MATCH($D1175,RUNS!$A$6:$A$1005,0))),""))</f>
        <v/>
      </c>
      <c r="R1175" s="34">
        <f>IF(OR($L1175="",$K1175=""),"",IFERROR(IF(INDEX(PARAMETRES!$H$43:$H$342,MATCH($L1175&amp;"|"&amp;$M1175&amp;"|"&amp;$N1175&amp;"|"&amp;$O1175&amp;"|"&amp;$P1175&amp;"|"&amp;$Q1175&amp;"|"&amp;$K1175,PARAMETRES!$J$43:$J$342,0))="","",INDEX(PARAMETRES!$H$43:$H$342,MATCH($L1175&amp;"|"&amp;$M1175&amp;"|"&amp;$N1175&amp;"|"&amp;$O1175&amp;"|"&amp;$P1175&amp;"|"&amp;$Q1175&amp;"|"&amp;$K1175,PARAMETRES!$J$43:$J$342,0))),""))</f>
        <v/>
      </c>
      <c r="S1175" s="35">
        <f>IF(OR($G1175="",$X1175&lt;&gt;"VALIDE"),"",IFERROR(LOOKUP(2,1/(($B275:$B1174=$B1175)*($G275:$G1174=$G1175)*($X275:$X1174="VALIDE")),$C275:$C1174),""))</f>
        <v/>
      </c>
      <c r="T1175" s="36">
        <f>IF(OR($C1175="",$S1175=""),"",ROUND(($C1175-$S1175+IF($C1175&lt;$S1175,1,0))*1440,0))</f>
        <v/>
      </c>
      <c r="U1175" s="22">
        <f>IF(OR($H1175="",$T1175="",$T1175&lt;=0),"",$H1175*60/$T1175)</f>
        <v/>
      </c>
      <c r="V1175" s="37">
        <f>IF(OR($U1175="",$R1175="",$R1175=0),"",$U1175/$R1175)</f>
        <v/>
      </c>
      <c r="W1175" s="20">
        <f>IF($G1175="","",IF($X1175="CONTEXTE INCOMPLET","CONTEXTE INCOMPLET",IF($X1175="DOUBLON",StatutDoublon,IF($S1175="",StatutInitial,IF($R1175="",StatutStandardManquant,IF($V1175="","DONNEES INSUFFISANTES",IF($V1175&gt;=SeuilConforme,StatutConforme,IF($V1175&gt;=SeuilSurveiller,StatutSurveiller,StatutSousStandard))))))))</f>
        <v/>
      </c>
      <c r="X1175" s="33">
        <f>IF($G1175="","",IF(OR($D1175="",$E1175="",$F1175=""),"CONTEXTE INCOMPLET",IF(COUNTIFS($D275:$D1174,$D1175,$E275:$E1174,$E1175,$F275:$F1174,$F1175,$G275:$G1174,$G1175)&gt;0,"DOUBLON","VALIDE")))</f>
        <v/>
      </c>
    </row>
    <row r="1176" ht="15" customHeight="1">
      <c r="A1176" s="12">
        <f>IF(OR($B1176="",$G1176=""),"",TEXT($B1176,"YYYYMMDD")&amp;"-"&amp;SUBSTITUTE($E1176," ","")&amp;"-"&amp;$F1176&amp;"-"&amp;$G1176)</f>
        <v/>
      </c>
      <c r="B1176" s="15" t="n"/>
      <c r="C1176" s="16" t="n"/>
      <c r="D1176" s="10" t="n"/>
      <c r="E1176" s="9" t="n"/>
      <c r="F1176" s="9" t="n"/>
      <c r="G1176" s="13" t="n"/>
      <c r="H1176" s="21" t="n"/>
      <c r="I1176" s="21" t="n"/>
      <c r="J1176" s="17">
        <f>IF($G1176="","",IFERROR(INDEX(NomsEmployes,MATCH($G1176,MatriculesEmployes,0)),"MATRICULE INCONNU"))</f>
        <v/>
      </c>
      <c r="K1176" s="33">
        <f>IF(OR($D1176="",$F1176=""),"",IFERROR(IF(INDEX(RUNS!$L$6:$S$1005,MATCH($D1176,RUNS!$A$6:$A$1005,0),MATCH("ACTIVITÉ "&amp;$F1176,RUNS!$L$5:$S$5,0))="","",INDEX(RUNS!$L$6:$S$1005,MATCH($D1176,RUNS!$A$6:$A$1005,0),MATCH("ACTIVITÉ "&amp;$F1176,RUNS!$L$5:$S$5,0))),""))</f>
        <v/>
      </c>
      <c r="L1176" s="33">
        <f>IF($D1176="","",IFERROR(IF(INDEX(RUNS!$E$6:$E$1005,MATCH($D1176,RUNS!$A$6:$A$1005,0))="","",INDEX(RUNS!$E$6:$E$1005,MATCH($D1176,RUNS!$A$6:$A$1005,0))),""))</f>
        <v/>
      </c>
      <c r="M1176" s="33">
        <f>IF($D1176="","",IFERROR(IF(INDEX(RUNS!$F$6:$F$1005,MATCH($D1176,RUNS!$A$6:$A$1005,0))="","",INDEX(RUNS!$F$6:$F$1005,MATCH($D1176,RUNS!$A$6:$A$1005,0))),""))</f>
        <v/>
      </c>
      <c r="N1176" s="33">
        <f>IF($D1176="","",IFERROR(IF(INDEX(RUNS!$G$6:$G$1005,MATCH($D1176,RUNS!$A$6:$A$1005,0))="","",INDEX(RUNS!$G$6:$G$1005,MATCH($D1176,RUNS!$A$6:$A$1005,0))),""))</f>
        <v/>
      </c>
      <c r="O1176" s="33">
        <f>IF($D1176="","",IFERROR(IF(INDEX(RUNS!$H$6:$H$1005,MATCH($D1176,RUNS!$A$6:$A$1005,0))="","",INDEX(RUNS!$H$6:$H$1005,MATCH($D1176,RUNS!$A$6:$A$1005,0))),""))</f>
        <v/>
      </c>
      <c r="P1176" s="33">
        <f>IF($D1176="","",IFERROR(IF(INDEX(RUNS!$J$6:$J$1005,MATCH($D1176,RUNS!$A$6:$A$1005,0))="","",INDEX(RUNS!$J$6:$J$1005,MATCH($D1176,RUNS!$A$6:$A$1005,0))),""))</f>
        <v/>
      </c>
      <c r="Q1176" s="33">
        <f>IF($D1176="","",IFERROR(IF(INDEX(RUNS!$K$6:$K$1005,MATCH($D1176,RUNS!$A$6:$A$1005,0))="","",INDEX(RUNS!$K$6:$K$1005,MATCH($D1176,RUNS!$A$6:$A$1005,0))),""))</f>
        <v/>
      </c>
      <c r="R1176" s="34">
        <f>IF(OR($L1176="",$K1176=""),"",IFERROR(IF(INDEX(PARAMETRES!$H$43:$H$342,MATCH($L1176&amp;"|"&amp;$M1176&amp;"|"&amp;$N1176&amp;"|"&amp;$O1176&amp;"|"&amp;$P1176&amp;"|"&amp;$Q1176&amp;"|"&amp;$K1176,PARAMETRES!$J$43:$J$342,0))="","",INDEX(PARAMETRES!$H$43:$H$342,MATCH($L1176&amp;"|"&amp;$M1176&amp;"|"&amp;$N1176&amp;"|"&amp;$O1176&amp;"|"&amp;$P1176&amp;"|"&amp;$Q1176&amp;"|"&amp;$K1176,PARAMETRES!$J$43:$J$342,0))),""))</f>
        <v/>
      </c>
      <c r="S1176" s="35">
        <f>IF(OR($G1176="",$X1176&lt;&gt;"VALIDE"),"",IFERROR(LOOKUP(2,1/(($B276:$B1175=$B1176)*($G276:$G1175=$G1176)*($X276:$X1175="VALIDE")),$C276:$C1175),""))</f>
        <v/>
      </c>
      <c r="T1176" s="36">
        <f>IF(OR($C1176="",$S1176=""),"",ROUND(($C1176-$S1176+IF($C1176&lt;$S1176,1,0))*1440,0))</f>
        <v/>
      </c>
      <c r="U1176" s="22">
        <f>IF(OR($H1176="",$T1176="",$T1176&lt;=0),"",$H1176*60/$T1176)</f>
        <v/>
      </c>
      <c r="V1176" s="37">
        <f>IF(OR($U1176="",$R1176="",$R1176=0),"",$U1176/$R1176)</f>
        <v/>
      </c>
      <c r="W1176" s="20">
        <f>IF($G1176="","",IF($X1176="CONTEXTE INCOMPLET","CONTEXTE INCOMPLET",IF($X1176="DOUBLON",StatutDoublon,IF($S1176="",StatutInitial,IF($R1176="",StatutStandardManquant,IF($V1176="","DONNEES INSUFFISANTES",IF($V1176&gt;=SeuilConforme,StatutConforme,IF($V1176&gt;=SeuilSurveiller,StatutSurveiller,StatutSousStandard))))))))</f>
        <v/>
      </c>
      <c r="X1176" s="33">
        <f>IF($G1176="","",IF(OR($D1176="",$E1176="",$F1176=""),"CONTEXTE INCOMPLET",IF(COUNTIFS($D276:$D1175,$D1176,$E276:$E1175,$E1176,$F276:$F1175,$F1176,$G276:$G1175,$G1176)&gt;0,"DOUBLON","VALIDE")))</f>
        <v/>
      </c>
    </row>
    <row r="1177" ht="15" customHeight="1">
      <c r="A1177" s="12">
        <f>IF(OR($B1177="",$G1177=""),"",TEXT($B1177,"YYYYMMDD")&amp;"-"&amp;SUBSTITUTE($E1177," ","")&amp;"-"&amp;$F1177&amp;"-"&amp;$G1177)</f>
        <v/>
      </c>
      <c r="B1177" s="15" t="n"/>
      <c r="C1177" s="16" t="n"/>
      <c r="D1177" s="10" t="n"/>
      <c r="E1177" s="9" t="n"/>
      <c r="F1177" s="9" t="n"/>
      <c r="G1177" s="13" t="n"/>
      <c r="H1177" s="21" t="n"/>
      <c r="I1177" s="21" t="n"/>
      <c r="J1177" s="17">
        <f>IF($G1177="","",IFERROR(INDEX(NomsEmployes,MATCH($G1177,MatriculesEmployes,0)),"MATRICULE INCONNU"))</f>
        <v/>
      </c>
      <c r="K1177" s="33">
        <f>IF(OR($D1177="",$F1177=""),"",IFERROR(IF(INDEX(RUNS!$L$6:$S$1005,MATCH($D1177,RUNS!$A$6:$A$1005,0),MATCH("ACTIVITÉ "&amp;$F1177,RUNS!$L$5:$S$5,0))="","",INDEX(RUNS!$L$6:$S$1005,MATCH($D1177,RUNS!$A$6:$A$1005,0),MATCH("ACTIVITÉ "&amp;$F1177,RUNS!$L$5:$S$5,0))),""))</f>
        <v/>
      </c>
      <c r="L1177" s="33">
        <f>IF($D1177="","",IFERROR(IF(INDEX(RUNS!$E$6:$E$1005,MATCH($D1177,RUNS!$A$6:$A$1005,0))="","",INDEX(RUNS!$E$6:$E$1005,MATCH($D1177,RUNS!$A$6:$A$1005,0))),""))</f>
        <v/>
      </c>
      <c r="M1177" s="33">
        <f>IF($D1177="","",IFERROR(IF(INDEX(RUNS!$F$6:$F$1005,MATCH($D1177,RUNS!$A$6:$A$1005,0))="","",INDEX(RUNS!$F$6:$F$1005,MATCH($D1177,RUNS!$A$6:$A$1005,0))),""))</f>
        <v/>
      </c>
      <c r="N1177" s="33">
        <f>IF($D1177="","",IFERROR(IF(INDEX(RUNS!$G$6:$G$1005,MATCH($D1177,RUNS!$A$6:$A$1005,0))="","",INDEX(RUNS!$G$6:$G$1005,MATCH($D1177,RUNS!$A$6:$A$1005,0))),""))</f>
        <v/>
      </c>
      <c r="O1177" s="33">
        <f>IF($D1177="","",IFERROR(IF(INDEX(RUNS!$H$6:$H$1005,MATCH($D1177,RUNS!$A$6:$A$1005,0))="","",INDEX(RUNS!$H$6:$H$1005,MATCH($D1177,RUNS!$A$6:$A$1005,0))),""))</f>
        <v/>
      </c>
      <c r="P1177" s="33">
        <f>IF($D1177="","",IFERROR(IF(INDEX(RUNS!$J$6:$J$1005,MATCH($D1177,RUNS!$A$6:$A$1005,0))="","",INDEX(RUNS!$J$6:$J$1005,MATCH($D1177,RUNS!$A$6:$A$1005,0))),""))</f>
        <v/>
      </c>
      <c r="Q1177" s="33">
        <f>IF($D1177="","",IFERROR(IF(INDEX(RUNS!$K$6:$K$1005,MATCH($D1177,RUNS!$A$6:$A$1005,0))="","",INDEX(RUNS!$K$6:$K$1005,MATCH($D1177,RUNS!$A$6:$A$1005,0))),""))</f>
        <v/>
      </c>
      <c r="R1177" s="34">
        <f>IF(OR($L1177="",$K1177=""),"",IFERROR(IF(INDEX(PARAMETRES!$H$43:$H$342,MATCH($L1177&amp;"|"&amp;$M1177&amp;"|"&amp;$N1177&amp;"|"&amp;$O1177&amp;"|"&amp;$P1177&amp;"|"&amp;$Q1177&amp;"|"&amp;$K1177,PARAMETRES!$J$43:$J$342,0))="","",INDEX(PARAMETRES!$H$43:$H$342,MATCH($L1177&amp;"|"&amp;$M1177&amp;"|"&amp;$N1177&amp;"|"&amp;$O1177&amp;"|"&amp;$P1177&amp;"|"&amp;$Q1177&amp;"|"&amp;$K1177,PARAMETRES!$J$43:$J$342,0))),""))</f>
        <v/>
      </c>
      <c r="S1177" s="35">
        <f>IF(OR($G1177="",$X1177&lt;&gt;"VALIDE"),"",IFERROR(LOOKUP(2,1/(($B277:$B1176=$B1177)*($G277:$G1176=$G1177)*($X277:$X1176="VALIDE")),$C277:$C1176),""))</f>
        <v/>
      </c>
      <c r="T1177" s="36">
        <f>IF(OR($C1177="",$S1177=""),"",ROUND(($C1177-$S1177+IF($C1177&lt;$S1177,1,0))*1440,0))</f>
        <v/>
      </c>
      <c r="U1177" s="22">
        <f>IF(OR($H1177="",$T1177="",$T1177&lt;=0),"",$H1177*60/$T1177)</f>
        <v/>
      </c>
      <c r="V1177" s="37">
        <f>IF(OR($U1177="",$R1177="",$R1177=0),"",$U1177/$R1177)</f>
        <v/>
      </c>
      <c r="W1177" s="20">
        <f>IF($G1177="","",IF($X1177="CONTEXTE INCOMPLET","CONTEXTE INCOMPLET",IF($X1177="DOUBLON",StatutDoublon,IF($S1177="",StatutInitial,IF($R1177="",StatutStandardManquant,IF($V1177="","DONNEES INSUFFISANTES",IF($V1177&gt;=SeuilConforme,StatutConforme,IF($V1177&gt;=SeuilSurveiller,StatutSurveiller,StatutSousStandard))))))))</f>
        <v/>
      </c>
      <c r="X1177" s="33">
        <f>IF($G1177="","",IF(OR($D1177="",$E1177="",$F1177=""),"CONTEXTE INCOMPLET",IF(COUNTIFS($D277:$D1176,$D1177,$E277:$E1176,$E1177,$F277:$F1176,$F1177,$G277:$G1176,$G1177)&gt;0,"DOUBLON","VALIDE")))</f>
        <v/>
      </c>
    </row>
    <row r="1178" ht="15" customHeight="1">
      <c r="A1178" s="12">
        <f>IF(OR($B1178="",$G1178=""),"",TEXT($B1178,"YYYYMMDD")&amp;"-"&amp;SUBSTITUTE($E1178," ","")&amp;"-"&amp;$F1178&amp;"-"&amp;$G1178)</f>
        <v/>
      </c>
      <c r="B1178" s="15" t="n"/>
      <c r="C1178" s="16" t="n"/>
      <c r="D1178" s="10" t="n"/>
      <c r="E1178" s="9" t="n"/>
      <c r="F1178" s="9" t="n"/>
      <c r="G1178" s="13" t="n"/>
      <c r="H1178" s="21" t="n"/>
      <c r="I1178" s="21" t="n"/>
      <c r="J1178" s="17">
        <f>IF($G1178="","",IFERROR(INDEX(NomsEmployes,MATCH($G1178,MatriculesEmployes,0)),"MATRICULE INCONNU"))</f>
        <v/>
      </c>
      <c r="K1178" s="33">
        <f>IF(OR($D1178="",$F1178=""),"",IFERROR(IF(INDEX(RUNS!$L$6:$S$1005,MATCH($D1178,RUNS!$A$6:$A$1005,0),MATCH("ACTIVITÉ "&amp;$F1178,RUNS!$L$5:$S$5,0))="","",INDEX(RUNS!$L$6:$S$1005,MATCH($D1178,RUNS!$A$6:$A$1005,0),MATCH("ACTIVITÉ "&amp;$F1178,RUNS!$L$5:$S$5,0))),""))</f>
        <v/>
      </c>
      <c r="L1178" s="33">
        <f>IF($D1178="","",IFERROR(IF(INDEX(RUNS!$E$6:$E$1005,MATCH($D1178,RUNS!$A$6:$A$1005,0))="","",INDEX(RUNS!$E$6:$E$1005,MATCH($D1178,RUNS!$A$6:$A$1005,0))),""))</f>
        <v/>
      </c>
      <c r="M1178" s="33">
        <f>IF($D1178="","",IFERROR(IF(INDEX(RUNS!$F$6:$F$1005,MATCH($D1178,RUNS!$A$6:$A$1005,0))="","",INDEX(RUNS!$F$6:$F$1005,MATCH($D1178,RUNS!$A$6:$A$1005,0))),""))</f>
        <v/>
      </c>
      <c r="N1178" s="33">
        <f>IF($D1178="","",IFERROR(IF(INDEX(RUNS!$G$6:$G$1005,MATCH($D1178,RUNS!$A$6:$A$1005,0))="","",INDEX(RUNS!$G$6:$G$1005,MATCH($D1178,RUNS!$A$6:$A$1005,0))),""))</f>
        <v/>
      </c>
      <c r="O1178" s="33">
        <f>IF($D1178="","",IFERROR(IF(INDEX(RUNS!$H$6:$H$1005,MATCH($D1178,RUNS!$A$6:$A$1005,0))="","",INDEX(RUNS!$H$6:$H$1005,MATCH($D1178,RUNS!$A$6:$A$1005,0))),""))</f>
        <v/>
      </c>
      <c r="P1178" s="33">
        <f>IF($D1178="","",IFERROR(IF(INDEX(RUNS!$J$6:$J$1005,MATCH($D1178,RUNS!$A$6:$A$1005,0))="","",INDEX(RUNS!$J$6:$J$1005,MATCH($D1178,RUNS!$A$6:$A$1005,0))),""))</f>
        <v/>
      </c>
      <c r="Q1178" s="33">
        <f>IF($D1178="","",IFERROR(IF(INDEX(RUNS!$K$6:$K$1005,MATCH($D1178,RUNS!$A$6:$A$1005,0))="","",INDEX(RUNS!$K$6:$K$1005,MATCH($D1178,RUNS!$A$6:$A$1005,0))),""))</f>
        <v/>
      </c>
      <c r="R1178" s="34">
        <f>IF(OR($L1178="",$K1178=""),"",IFERROR(IF(INDEX(PARAMETRES!$H$43:$H$342,MATCH($L1178&amp;"|"&amp;$M1178&amp;"|"&amp;$N1178&amp;"|"&amp;$O1178&amp;"|"&amp;$P1178&amp;"|"&amp;$Q1178&amp;"|"&amp;$K1178,PARAMETRES!$J$43:$J$342,0))="","",INDEX(PARAMETRES!$H$43:$H$342,MATCH($L1178&amp;"|"&amp;$M1178&amp;"|"&amp;$N1178&amp;"|"&amp;$O1178&amp;"|"&amp;$P1178&amp;"|"&amp;$Q1178&amp;"|"&amp;$K1178,PARAMETRES!$J$43:$J$342,0))),""))</f>
        <v/>
      </c>
      <c r="S1178" s="35">
        <f>IF(OR($G1178="",$X1178&lt;&gt;"VALIDE"),"",IFERROR(LOOKUP(2,1/(($B278:$B1177=$B1178)*($G278:$G1177=$G1178)*($X278:$X1177="VALIDE")),$C278:$C1177),""))</f>
        <v/>
      </c>
      <c r="T1178" s="36">
        <f>IF(OR($C1178="",$S1178=""),"",ROUND(($C1178-$S1178+IF($C1178&lt;$S1178,1,0))*1440,0))</f>
        <v/>
      </c>
      <c r="U1178" s="22">
        <f>IF(OR($H1178="",$T1178="",$T1178&lt;=0),"",$H1178*60/$T1178)</f>
        <v/>
      </c>
      <c r="V1178" s="37">
        <f>IF(OR($U1178="",$R1178="",$R1178=0),"",$U1178/$R1178)</f>
        <v/>
      </c>
      <c r="W1178" s="20">
        <f>IF($G1178="","",IF($X1178="CONTEXTE INCOMPLET","CONTEXTE INCOMPLET",IF($X1178="DOUBLON",StatutDoublon,IF($S1178="",StatutInitial,IF($R1178="",StatutStandardManquant,IF($V1178="","DONNEES INSUFFISANTES",IF($V1178&gt;=SeuilConforme,StatutConforme,IF($V1178&gt;=SeuilSurveiller,StatutSurveiller,StatutSousStandard))))))))</f>
        <v/>
      </c>
      <c r="X1178" s="33">
        <f>IF($G1178="","",IF(OR($D1178="",$E1178="",$F1178=""),"CONTEXTE INCOMPLET",IF(COUNTIFS($D278:$D1177,$D1178,$E278:$E1177,$E1178,$F278:$F1177,$F1178,$G278:$G1177,$G1178)&gt;0,"DOUBLON","VALIDE")))</f>
        <v/>
      </c>
    </row>
    <row r="1179" ht="15" customHeight="1">
      <c r="A1179" s="12">
        <f>IF(OR($B1179="",$G1179=""),"",TEXT($B1179,"YYYYMMDD")&amp;"-"&amp;SUBSTITUTE($E1179," ","")&amp;"-"&amp;$F1179&amp;"-"&amp;$G1179)</f>
        <v/>
      </c>
      <c r="B1179" s="15" t="n"/>
      <c r="C1179" s="16" t="n"/>
      <c r="D1179" s="10" t="n"/>
      <c r="E1179" s="9" t="n"/>
      <c r="F1179" s="9" t="n"/>
      <c r="G1179" s="13" t="n"/>
      <c r="H1179" s="21" t="n"/>
      <c r="I1179" s="21" t="n"/>
      <c r="J1179" s="17">
        <f>IF($G1179="","",IFERROR(INDEX(NomsEmployes,MATCH($G1179,MatriculesEmployes,0)),"MATRICULE INCONNU"))</f>
        <v/>
      </c>
      <c r="K1179" s="33">
        <f>IF(OR($D1179="",$F1179=""),"",IFERROR(IF(INDEX(RUNS!$L$6:$S$1005,MATCH($D1179,RUNS!$A$6:$A$1005,0),MATCH("ACTIVITÉ "&amp;$F1179,RUNS!$L$5:$S$5,0))="","",INDEX(RUNS!$L$6:$S$1005,MATCH($D1179,RUNS!$A$6:$A$1005,0),MATCH("ACTIVITÉ "&amp;$F1179,RUNS!$L$5:$S$5,0))),""))</f>
        <v/>
      </c>
      <c r="L1179" s="33">
        <f>IF($D1179="","",IFERROR(IF(INDEX(RUNS!$E$6:$E$1005,MATCH($D1179,RUNS!$A$6:$A$1005,0))="","",INDEX(RUNS!$E$6:$E$1005,MATCH($D1179,RUNS!$A$6:$A$1005,0))),""))</f>
        <v/>
      </c>
      <c r="M1179" s="33">
        <f>IF($D1179="","",IFERROR(IF(INDEX(RUNS!$F$6:$F$1005,MATCH($D1179,RUNS!$A$6:$A$1005,0))="","",INDEX(RUNS!$F$6:$F$1005,MATCH($D1179,RUNS!$A$6:$A$1005,0))),""))</f>
        <v/>
      </c>
      <c r="N1179" s="33">
        <f>IF($D1179="","",IFERROR(IF(INDEX(RUNS!$G$6:$G$1005,MATCH($D1179,RUNS!$A$6:$A$1005,0))="","",INDEX(RUNS!$G$6:$G$1005,MATCH($D1179,RUNS!$A$6:$A$1005,0))),""))</f>
        <v/>
      </c>
      <c r="O1179" s="33">
        <f>IF($D1179="","",IFERROR(IF(INDEX(RUNS!$H$6:$H$1005,MATCH($D1179,RUNS!$A$6:$A$1005,0))="","",INDEX(RUNS!$H$6:$H$1005,MATCH($D1179,RUNS!$A$6:$A$1005,0))),""))</f>
        <v/>
      </c>
      <c r="P1179" s="33">
        <f>IF($D1179="","",IFERROR(IF(INDEX(RUNS!$J$6:$J$1005,MATCH($D1179,RUNS!$A$6:$A$1005,0))="","",INDEX(RUNS!$J$6:$J$1005,MATCH($D1179,RUNS!$A$6:$A$1005,0))),""))</f>
        <v/>
      </c>
      <c r="Q1179" s="33">
        <f>IF($D1179="","",IFERROR(IF(INDEX(RUNS!$K$6:$K$1005,MATCH($D1179,RUNS!$A$6:$A$1005,0))="","",INDEX(RUNS!$K$6:$K$1005,MATCH($D1179,RUNS!$A$6:$A$1005,0))),""))</f>
        <v/>
      </c>
      <c r="R1179" s="34">
        <f>IF(OR($L1179="",$K1179=""),"",IFERROR(IF(INDEX(PARAMETRES!$H$43:$H$342,MATCH($L1179&amp;"|"&amp;$M1179&amp;"|"&amp;$N1179&amp;"|"&amp;$O1179&amp;"|"&amp;$P1179&amp;"|"&amp;$Q1179&amp;"|"&amp;$K1179,PARAMETRES!$J$43:$J$342,0))="","",INDEX(PARAMETRES!$H$43:$H$342,MATCH($L1179&amp;"|"&amp;$M1179&amp;"|"&amp;$N1179&amp;"|"&amp;$O1179&amp;"|"&amp;$P1179&amp;"|"&amp;$Q1179&amp;"|"&amp;$K1179,PARAMETRES!$J$43:$J$342,0))),""))</f>
        <v/>
      </c>
      <c r="S1179" s="35">
        <f>IF(OR($G1179="",$X1179&lt;&gt;"VALIDE"),"",IFERROR(LOOKUP(2,1/(($B279:$B1178=$B1179)*($G279:$G1178=$G1179)*($X279:$X1178="VALIDE")),$C279:$C1178),""))</f>
        <v/>
      </c>
      <c r="T1179" s="36">
        <f>IF(OR($C1179="",$S1179=""),"",ROUND(($C1179-$S1179+IF($C1179&lt;$S1179,1,0))*1440,0))</f>
        <v/>
      </c>
      <c r="U1179" s="22">
        <f>IF(OR($H1179="",$T1179="",$T1179&lt;=0),"",$H1179*60/$T1179)</f>
        <v/>
      </c>
      <c r="V1179" s="37">
        <f>IF(OR($U1179="",$R1179="",$R1179=0),"",$U1179/$R1179)</f>
        <v/>
      </c>
      <c r="W1179" s="20">
        <f>IF($G1179="","",IF($X1179="CONTEXTE INCOMPLET","CONTEXTE INCOMPLET",IF($X1179="DOUBLON",StatutDoublon,IF($S1179="",StatutInitial,IF($R1179="",StatutStandardManquant,IF($V1179="","DONNEES INSUFFISANTES",IF($V1179&gt;=SeuilConforme,StatutConforme,IF($V1179&gt;=SeuilSurveiller,StatutSurveiller,StatutSousStandard))))))))</f>
        <v/>
      </c>
      <c r="X1179" s="33">
        <f>IF($G1179="","",IF(OR($D1179="",$E1179="",$F1179=""),"CONTEXTE INCOMPLET",IF(COUNTIFS($D279:$D1178,$D1179,$E279:$E1178,$E1179,$F279:$F1178,$F1179,$G279:$G1178,$G1179)&gt;0,"DOUBLON","VALIDE")))</f>
        <v/>
      </c>
    </row>
    <row r="1180" ht="15" customHeight="1">
      <c r="A1180" s="12">
        <f>IF(OR($B1180="",$G1180=""),"",TEXT($B1180,"YYYYMMDD")&amp;"-"&amp;SUBSTITUTE($E1180," ","")&amp;"-"&amp;$F1180&amp;"-"&amp;$G1180)</f>
        <v/>
      </c>
      <c r="B1180" s="15" t="n"/>
      <c r="C1180" s="16" t="n"/>
      <c r="D1180" s="10" t="n"/>
      <c r="E1180" s="9" t="n"/>
      <c r="F1180" s="9" t="n"/>
      <c r="G1180" s="13" t="n"/>
      <c r="H1180" s="21" t="n"/>
      <c r="I1180" s="21" t="n"/>
      <c r="J1180" s="17">
        <f>IF($G1180="","",IFERROR(INDEX(NomsEmployes,MATCH($G1180,MatriculesEmployes,0)),"MATRICULE INCONNU"))</f>
        <v/>
      </c>
      <c r="K1180" s="33">
        <f>IF(OR($D1180="",$F1180=""),"",IFERROR(IF(INDEX(RUNS!$L$6:$S$1005,MATCH($D1180,RUNS!$A$6:$A$1005,0),MATCH("ACTIVITÉ "&amp;$F1180,RUNS!$L$5:$S$5,0))="","",INDEX(RUNS!$L$6:$S$1005,MATCH($D1180,RUNS!$A$6:$A$1005,0),MATCH("ACTIVITÉ "&amp;$F1180,RUNS!$L$5:$S$5,0))),""))</f>
        <v/>
      </c>
      <c r="L1180" s="33">
        <f>IF($D1180="","",IFERROR(IF(INDEX(RUNS!$E$6:$E$1005,MATCH($D1180,RUNS!$A$6:$A$1005,0))="","",INDEX(RUNS!$E$6:$E$1005,MATCH($D1180,RUNS!$A$6:$A$1005,0))),""))</f>
        <v/>
      </c>
      <c r="M1180" s="33">
        <f>IF($D1180="","",IFERROR(IF(INDEX(RUNS!$F$6:$F$1005,MATCH($D1180,RUNS!$A$6:$A$1005,0))="","",INDEX(RUNS!$F$6:$F$1005,MATCH($D1180,RUNS!$A$6:$A$1005,0))),""))</f>
        <v/>
      </c>
      <c r="N1180" s="33">
        <f>IF($D1180="","",IFERROR(IF(INDEX(RUNS!$G$6:$G$1005,MATCH($D1180,RUNS!$A$6:$A$1005,0))="","",INDEX(RUNS!$G$6:$G$1005,MATCH($D1180,RUNS!$A$6:$A$1005,0))),""))</f>
        <v/>
      </c>
      <c r="O1180" s="33">
        <f>IF($D1180="","",IFERROR(IF(INDEX(RUNS!$H$6:$H$1005,MATCH($D1180,RUNS!$A$6:$A$1005,0))="","",INDEX(RUNS!$H$6:$H$1005,MATCH($D1180,RUNS!$A$6:$A$1005,0))),""))</f>
        <v/>
      </c>
      <c r="P1180" s="33">
        <f>IF($D1180="","",IFERROR(IF(INDEX(RUNS!$J$6:$J$1005,MATCH($D1180,RUNS!$A$6:$A$1005,0))="","",INDEX(RUNS!$J$6:$J$1005,MATCH($D1180,RUNS!$A$6:$A$1005,0))),""))</f>
        <v/>
      </c>
      <c r="Q1180" s="33">
        <f>IF($D1180="","",IFERROR(IF(INDEX(RUNS!$K$6:$K$1005,MATCH($D1180,RUNS!$A$6:$A$1005,0))="","",INDEX(RUNS!$K$6:$K$1005,MATCH($D1180,RUNS!$A$6:$A$1005,0))),""))</f>
        <v/>
      </c>
      <c r="R1180" s="34">
        <f>IF(OR($L1180="",$K1180=""),"",IFERROR(IF(INDEX(PARAMETRES!$H$43:$H$342,MATCH($L1180&amp;"|"&amp;$M1180&amp;"|"&amp;$N1180&amp;"|"&amp;$O1180&amp;"|"&amp;$P1180&amp;"|"&amp;$Q1180&amp;"|"&amp;$K1180,PARAMETRES!$J$43:$J$342,0))="","",INDEX(PARAMETRES!$H$43:$H$342,MATCH($L1180&amp;"|"&amp;$M1180&amp;"|"&amp;$N1180&amp;"|"&amp;$O1180&amp;"|"&amp;$P1180&amp;"|"&amp;$Q1180&amp;"|"&amp;$K1180,PARAMETRES!$J$43:$J$342,0))),""))</f>
        <v/>
      </c>
      <c r="S1180" s="35">
        <f>IF(OR($G1180="",$X1180&lt;&gt;"VALIDE"),"",IFERROR(LOOKUP(2,1/(($B280:$B1179=$B1180)*($G280:$G1179=$G1180)*($X280:$X1179="VALIDE")),$C280:$C1179),""))</f>
        <v/>
      </c>
      <c r="T1180" s="36">
        <f>IF(OR($C1180="",$S1180=""),"",ROUND(($C1180-$S1180+IF($C1180&lt;$S1180,1,0))*1440,0))</f>
        <v/>
      </c>
      <c r="U1180" s="22">
        <f>IF(OR($H1180="",$T1180="",$T1180&lt;=0),"",$H1180*60/$T1180)</f>
        <v/>
      </c>
      <c r="V1180" s="37">
        <f>IF(OR($U1180="",$R1180="",$R1180=0),"",$U1180/$R1180)</f>
        <v/>
      </c>
      <c r="W1180" s="20">
        <f>IF($G1180="","",IF($X1180="CONTEXTE INCOMPLET","CONTEXTE INCOMPLET",IF($X1180="DOUBLON",StatutDoublon,IF($S1180="",StatutInitial,IF($R1180="",StatutStandardManquant,IF($V1180="","DONNEES INSUFFISANTES",IF($V1180&gt;=SeuilConforme,StatutConforme,IF($V1180&gt;=SeuilSurveiller,StatutSurveiller,StatutSousStandard))))))))</f>
        <v/>
      </c>
      <c r="X1180" s="33">
        <f>IF($G1180="","",IF(OR($D1180="",$E1180="",$F1180=""),"CONTEXTE INCOMPLET",IF(COUNTIFS($D280:$D1179,$D1180,$E280:$E1179,$E1180,$F280:$F1179,$F1180,$G280:$G1179,$G1180)&gt;0,"DOUBLON","VALIDE")))</f>
        <v/>
      </c>
    </row>
    <row r="1181" ht="15" customHeight="1">
      <c r="A1181" s="12">
        <f>IF(OR($B1181="",$G1181=""),"",TEXT($B1181,"YYYYMMDD")&amp;"-"&amp;SUBSTITUTE($E1181," ","")&amp;"-"&amp;$F1181&amp;"-"&amp;$G1181)</f>
        <v/>
      </c>
      <c r="B1181" s="15" t="n"/>
      <c r="C1181" s="16" t="n"/>
      <c r="D1181" s="10" t="n"/>
      <c r="E1181" s="9" t="n"/>
      <c r="F1181" s="9" t="n"/>
      <c r="G1181" s="13" t="n"/>
      <c r="H1181" s="21" t="n"/>
      <c r="I1181" s="21" t="n"/>
      <c r="J1181" s="17">
        <f>IF($G1181="","",IFERROR(INDEX(NomsEmployes,MATCH($G1181,MatriculesEmployes,0)),"MATRICULE INCONNU"))</f>
        <v/>
      </c>
      <c r="K1181" s="33">
        <f>IF(OR($D1181="",$F1181=""),"",IFERROR(IF(INDEX(RUNS!$L$6:$S$1005,MATCH($D1181,RUNS!$A$6:$A$1005,0),MATCH("ACTIVITÉ "&amp;$F1181,RUNS!$L$5:$S$5,0))="","",INDEX(RUNS!$L$6:$S$1005,MATCH($D1181,RUNS!$A$6:$A$1005,0),MATCH("ACTIVITÉ "&amp;$F1181,RUNS!$L$5:$S$5,0))),""))</f>
        <v/>
      </c>
      <c r="L1181" s="33">
        <f>IF($D1181="","",IFERROR(IF(INDEX(RUNS!$E$6:$E$1005,MATCH($D1181,RUNS!$A$6:$A$1005,0))="","",INDEX(RUNS!$E$6:$E$1005,MATCH($D1181,RUNS!$A$6:$A$1005,0))),""))</f>
        <v/>
      </c>
      <c r="M1181" s="33">
        <f>IF($D1181="","",IFERROR(IF(INDEX(RUNS!$F$6:$F$1005,MATCH($D1181,RUNS!$A$6:$A$1005,0))="","",INDEX(RUNS!$F$6:$F$1005,MATCH($D1181,RUNS!$A$6:$A$1005,0))),""))</f>
        <v/>
      </c>
      <c r="N1181" s="33">
        <f>IF($D1181="","",IFERROR(IF(INDEX(RUNS!$G$6:$G$1005,MATCH($D1181,RUNS!$A$6:$A$1005,0))="","",INDEX(RUNS!$G$6:$G$1005,MATCH($D1181,RUNS!$A$6:$A$1005,0))),""))</f>
        <v/>
      </c>
      <c r="O1181" s="33">
        <f>IF($D1181="","",IFERROR(IF(INDEX(RUNS!$H$6:$H$1005,MATCH($D1181,RUNS!$A$6:$A$1005,0))="","",INDEX(RUNS!$H$6:$H$1005,MATCH($D1181,RUNS!$A$6:$A$1005,0))),""))</f>
        <v/>
      </c>
      <c r="P1181" s="33">
        <f>IF($D1181="","",IFERROR(IF(INDEX(RUNS!$J$6:$J$1005,MATCH($D1181,RUNS!$A$6:$A$1005,0))="","",INDEX(RUNS!$J$6:$J$1005,MATCH($D1181,RUNS!$A$6:$A$1005,0))),""))</f>
        <v/>
      </c>
      <c r="Q1181" s="33">
        <f>IF($D1181="","",IFERROR(IF(INDEX(RUNS!$K$6:$K$1005,MATCH($D1181,RUNS!$A$6:$A$1005,0))="","",INDEX(RUNS!$K$6:$K$1005,MATCH($D1181,RUNS!$A$6:$A$1005,0))),""))</f>
        <v/>
      </c>
      <c r="R1181" s="34">
        <f>IF(OR($L1181="",$K1181=""),"",IFERROR(IF(INDEX(PARAMETRES!$H$43:$H$342,MATCH($L1181&amp;"|"&amp;$M1181&amp;"|"&amp;$N1181&amp;"|"&amp;$O1181&amp;"|"&amp;$P1181&amp;"|"&amp;$Q1181&amp;"|"&amp;$K1181,PARAMETRES!$J$43:$J$342,0))="","",INDEX(PARAMETRES!$H$43:$H$342,MATCH($L1181&amp;"|"&amp;$M1181&amp;"|"&amp;$N1181&amp;"|"&amp;$O1181&amp;"|"&amp;$P1181&amp;"|"&amp;$Q1181&amp;"|"&amp;$K1181,PARAMETRES!$J$43:$J$342,0))),""))</f>
        <v/>
      </c>
      <c r="S1181" s="35">
        <f>IF(OR($G1181="",$X1181&lt;&gt;"VALIDE"),"",IFERROR(LOOKUP(2,1/(($B281:$B1180=$B1181)*($G281:$G1180=$G1181)*($X281:$X1180="VALIDE")),$C281:$C1180),""))</f>
        <v/>
      </c>
      <c r="T1181" s="36">
        <f>IF(OR($C1181="",$S1181=""),"",ROUND(($C1181-$S1181+IF($C1181&lt;$S1181,1,0))*1440,0))</f>
        <v/>
      </c>
      <c r="U1181" s="22">
        <f>IF(OR($H1181="",$T1181="",$T1181&lt;=0),"",$H1181*60/$T1181)</f>
        <v/>
      </c>
      <c r="V1181" s="37">
        <f>IF(OR($U1181="",$R1181="",$R1181=0),"",$U1181/$R1181)</f>
        <v/>
      </c>
      <c r="W1181" s="20">
        <f>IF($G1181="","",IF($X1181="CONTEXTE INCOMPLET","CONTEXTE INCOMPLET",IF($X1181="DOUBLON",StatutDoublon,IF($S1181="",StatutInitial,IF($R1181="",StatutStandardManquant,IF($V1181="","DONNEES INSUFFISANTES",IF($V1181&gt;=SeuilConforme,StatutConforme,IF($V1181&gt;=SeuilSurveiller,StatutSurveiller,StatutSousStandard))))))))</f>
        <v/>
      </c>
      <c r="X1181" s="33">
        <f>IF($G1181="","",IF(OR($D1181="",$E1181="",$F1181=""),"CONTEXTE INCOMPLET",IF(COUNTIFS($D281:$D1180,$D1181,$E281:$E1180,$E1181,$F281:$F1180,$F1181,$G281:$G1180,$G1181)&gt;0,"DOUBLON","VALIDE")))</f>
        <v/>
      </c>
    </row>
    <row r="1182" ht="15" customHeight="1">
      <c r="A1182" s="12">
        <f>IF(OR($B1182="",$G1182=""),"",TEXT($B1182,"YYYYMMDD")&amp;"-"&amp;SUBSTITUTE($E1182," ","")&amp;"-"&amp;$F1182&amp;"-"&amp;$G1182)</f>
        <v/>
      </c>
      <c r="B1182" s="15" t="n"/>
      <c r="C1182" s="16" t="n"/>
      <c r="D1182" s="10" t="n"/>
      <c r="E1182" s="9" t="n"/>
      <c r="F1182" s="9" t="n"/>
      <c r="G1182" s="13" t="n"/>
      <c r="H1182" s="21" t="n"/>
      <c r="I1182" s="21" t="n"/>
      <c r="J1182" s="17">
        <f>IF($G1182="","",IFERROR(INDEX(NomsEmployes,MATCH($G1182,MatriculesEmployes,0)),"MATRICULE INCONNU"))</f>
        <v/>
      </c>
      <c r="K1182" s="33">
        <f>IF(OR($D1182="",$F1182=""),"",IFERROR(IF(INDEX(RUNS!$L$6:$S$1005,MATCH($D1182,RUNS!$A$6:$A$1005,0),MATCH("ACTIVITÉ "&amp;$F1182,RUNS!$L$5:$S$5,0))="","",INDEX(RUNS!$L$6:$S$1005,MATCH($D1182,RUNS!$A$6:$A$1005,0),MATCH("ACTIVITÉ "&amp;$F1182,RUNS!$L$5:$S$5,0))),""))</f>
        <v/>
      </c>
      <c r="L1182" s="33">
        <f>IF($D1182="","",IFERROR(IF(INDEX(RUNS!$E$6:$E$1005,MATCH($D1182,RUNS!$A$6:$A$1005,0))="","",INDEX(RUNS!$E$6:$E$1005,MATCH($D1182,RUNS!$A$6:$A$1005,0))),""))</f>
        <v/>
      </c>
      <c r="M1182" s="33">
        <f>IF($D1182="","",IFERROR(IF(INDEX(RUNS!$F$6:$F$1005,MATCH($D1182,RUNS!$A$6:$A$1005,0))="","",INDEX(RUNS!$F$6:$F$1005,MATCH($D1182,RUNS!$A$6:$A$1005,0))),""))</f>
        <v/>
      </c>
      <c r="N1182" s="33">
        <f>IF($D1182="","",IFERROR(IF(INDEX(RUNS!$G$6:$G$1005,MATCH($D1182,RUNS!$A$6:$A$1005,0))="","",INDEX(RUNS!$G$6:$G$1005,MATCH($D1182,RUNS!$A$6:$A$1005,0))),""))</f>
        <v/>
      </c>
      <c r="O1182" s="33">
        <f>IF($D1182="","",IFERROR(IF(INDEX(RUNS!$H$6:$H$1005,MATCH($D1182,RUNS!$A$6:$A$1005,0))="","",INDEX(RUNS!$H$6:$H$1005,MATCH($D1182,RUNS!$A$6:$A$1005,0))),""))</f>
        <v/>
      </c>
      <c r="P1182" s="33">
        <f>IF($D1182="","",IFERROR(IF(INDEX(RUNS!$J$6:$J$1005,MATCH($D1182,RUNS!$A$6:$A$1005,0))="","",INDEX(RUNS!$J$6:$J$1005,MATCH($D1182,RUNS!$A$6:$A$1005,0))),""))</f>
        <v/>
      </c>
      <c r="Q1182" s="33">
        <f>IF($D1182="","",IFERROR(IF(INDEX(RUNS!$K$6:$K$1005,MATCH($D1182,RUNS!$A$6:$A$1005,0))="","",INDEX(RUNS!$K$6:$K$1005,MATCH($D1182,RUNS!$A$6:$A$1005,0))),""))</f>
        <v/>
      </c>
      <c r="R1182" s="34">
        <f>IF(OR($L1182="",$K1182=""),"",IFERROR(IF(INDEX(PARAMETRES!$H$43:$H$342,MATCH($L1182&amp;"|"&amp;$M1182&amp;"|"&amp;$N1182&amp;"|"&amp;$O1182&amp;"|"&amp;$P1182&amp;"|"&amp;$Q1182&amp;"|"&amp;$K1182,PARAMETRES!$J$43:$J$342,0))="","",INDEX(PARAMETRES!$H$43:$H$342,MATCH($L1182&amp;"|"&amp;$M1182&amp;"|"&amp;$N1182&amp;"|"&amp;$O1182&amp;"|"&amp;$P1182&amp;"|"&amp;$Q1182&amp;"|"&amp;$K1182,PARAMETRES!$J$43:$J$342,0))),""))</f>
        <v/>
      </c>
      <c r="S1182" s="35">
        <f>IF(OR($G1182="",$X1182&lt;&gt;"VALIDE"),"",IFERROR(LOOKUP(2,1/(($B282:$B1181=$B1182)*($G282:$G1181=$G1182)*($X282:$X1181="VALIDE")),$C282:$C1181),""))</f>
        <v/>
      </c>
      <c r="T1182" s="36">
        <f>IF(OR($C1182="",$S1182=""),"",ROUND(($C1182-$S1182+IF($C1182&lt;$S1182,1,0))*1440,0))</f>
        <v/>
      </c>
      <c r="U1182" s="22">
        <f>IF(OR($H1182="",$T1182="",$T1182&lt;=0),"",$H1182*60/$T1182)</f>
        <v/>
      </c>
      <c r="V1182" s="37">
        <f>IF(OR($U1182="",$R1182="",$R1182=0),"",$U1182/$R1182)</f>
        <v/>
      </c>
      <c r="W1182" s="20">
        <f>IF($G1182="","",IF($X1182="CONTEXTE INCOMPLET","CONTEXTE INCOMPLET",IF($X1182="DOUBLON",StatutDoublon,IF($S1182="",StatutInitial,IF($R1182="",StatutStandardManquant,IF($V1182="","DONNEES INSUFFISANTES",IF($V1182&gt;=SeuilConforme,StatutConforme,IF($V1182&gt;=SeuilSurveiller,StatutSurveiller,StatutSousStandard))))))))</f>
        <v/>
      </c>
      <c r="X1182" s="33">
        <f>IF($G1182="","",IF(OR($D1182="",$E1182="",$F1182=""),"CONTEXTE INCOMPLET",IF(COUNTIFS($D282:$D1181,$D1182,$E282:$E1181,$E1182,$F282:$F1181,$F1182,$G282:$G1181,$G1182)&gt;0,"DOUBLON","VALIDE")))</f>
        <v/>
      </c>
    </row>
    <row r="1183" ht="15" customHeight="1">
      <c r="A1183" s="12">
        <f>IF(OR($B1183="",$G1183=""),"",TEXT($B1183,"YYYYMMDD")&amp;"-"&amp;SUBSTITUTE($E1183," ","")&amp;"-"&amp;$F1183&amp;"-"&amp;$G1183)</f>
        <v/>
      </c>
      <c r="B1183" s="15" t="n"/>
      <c r="C1183" s="16" t="n"/>
      <c r="D1183" s="10" t="n"/>
      <c r="E1183" s="9" t="n"/>
      <c r="F1183" s="9" t="n"/>
      <c r="G1183" s="13" t="n"/>
      <c r="H1183" s="21" t="n"/>
      <c r="I1183" s="21" t="n"/>
      <c r="J1183" s="17">
        <f>IF($G1183="","",IFERROR(INDEX(NomsEmployes,MATCH($G1183,MatriculesEmployes,0)),"MATRICULE INCONNU"))</f>
        <v/>
      </c>
      <c r="K1183" s="33">
        <f>IF(OR($D1183="",$F1183=""),"",IFERROR(IF(INDEX(RUNS!$L$6:$S$1005,MATCH($D1183,RUNS!$A$6:$A$1005,0),MATCH("ACTIVITÉ "&amp;$F1183,RUNS!$L$5:$S$5,0))="","",INDEX(RUNS!$L$6:$S$1005,MATCH($D1183,RUNS!$A$6:$A$1005,0),MATCH("ACTIVITÉ "&amp;$F1183,RUNS!$L$5:$S$5,0))),""))</f>
        <v/>
      </c>
      <c r="L1183" s="33">
        <f>IF($D1183="","",IFERROR(IF(INDEX(RUNS!$E$6:$E$1005,MATCH($D1183,RUNS!$A$6:$A$1005,0))="","",INDEX(RUNS!$E$6:$E$1005,MATCH($D1183,RUNS!$A$6:$A$1005,0))),""))</f>
        <v/>
      </c>
      <c r="M1183" s="33">
        <f>IF($D1183="","",IFERROR(IF(INDEX(RUNS!$F$6:$F$1005,MATCH($D1183,RUNS!$A$6:$A$1005,0))="","",INDEX(RUNS!$F$6:$F$1005,MATCH($D1183,RUNS!$A$6:$A$1005,0))),""))</f>
        <v/>
      </c>
      <c r="N1183" s="33">
        <f>IF($D1183="","",IFERROR(IF(INDEX(RUNS!$G$6:$G$1005,MATCH($D1183,RUNS!$A$6:$A$1005,0))="","",INDEX(RUNS!$G$6:$G$1005,MATCH($D1183,RUNS!$A$6:$A$1005,0))),""))</f>
        <v/>
      </c>
      <c r="O1183" s="33">
        <f>IF($D1183="","",IFERROR(IF(INDEX(RUNS!$H$6:$H$1005,MATCH($D1183,RUNS!$A$6:$A$1005,0))="","",INDEX(RUNS!$H$6:$H$1005,MATCH($D1183,RUNS!$A$6:$A$1005,0))),""))</f>
        <v/>
      </c>
      <c r="P1183" s="33">
        <f>IF($D1183="","",IFERROR(IF(INDEX(RUNS!$J$6:$J$1005,MATCH($D1183,RUNS!$A$6:$A$1005,0))="","",INDEX(RUNS!$J$6:$J$1005,MATCH($D1183,RUNS!$A$6:$A$1005,0))),""))</f>
        <v/>
      </c>
      <c r="Q1183" s="33">
        <f>IF($D1183="","",IFERROR(IF(INDEX(RUNS!$K$6:$K$1005,MATCH($D1183,RUNS!$A$6:$A$1005,0))="","",INDEX(RUNS!$K$6:$K$1005,MATCH($D1183,RUNS!$A$6:$A$1005,0))),""))</f>
        <v/>
      </c>
      <c r="R1183" s="34">
        <f>IF(OR($L1183="",$K1183=""),"",IFERROR(IF(INDEX(PARAMETRES!$H$43:$H$342,MATCH($L1183&amp;"|"&amp;$M1183&amp;"|"&amp;$N1183&amp;"|"&amp;$O1183&amp;"|"&amp;$P1183&amp;"|"&amp;$Q1183&amp;"|"&amp;$K1183,PARAMETRES!$J$43:$J$342,0))="","",INDEX(PARAMETRES!$H$43:$H$342,MATCH($L1183&amp;"|"&amp;$M1183&amp;"|"&amp;$N1183&amp;"|"&amp;$O1183&amp;"|"&amp;$P1183&amp;"|"&amp;$Q1183&amp;"|"&amp;$K1183,PARAMETRES!$J$43:$J$342,0))),""))</f>
        <v/>
      </c>
      <c r="S1183" s="35">
        <f>IF(OR($G1183="",$X1183&lt;&gt;"VALIDE"),"",IFERROR(LOOKUP(2,1/(($B283:$B1182=$B1183)*($G283:$G1182=$G1183)*($X283:$X1182="VALIDE")),$C283:$C1182),""))</f>
        <v/>
      </c>
      <c r="T1183" s="36">
        <f>IF(OR($C1183="",$S1183=""),"",ROUND(($C1183-$S1183+IF($C1183&lt;$S1183,1,0))*1440,0))</f>
        <v/>
      </c>
      <c r="U1183" s="22">
        <f>IF(OR($H1183="",$T1183="",$T1183&lt;=0),"",$H1183*60/$T1183)</f>
        <v/>
      </c>
      <c r="V1183" s="37">
        <f>IF(OR($U1183="",$R1183="",$R1183=0),"",$U1183/$R1183)</f>
        <v/>
      </c>
      <c r="W1183" s="20">
        <f>IF($G1183="","",IF($X1183="CONTEXTE INCOMPLET","CONTEXTE INCOMPLET",IF($X1183="DOUBLON",StatutDoublon,IF($S1183="",StatutInitial,IF($R1183="",StatutStandardManquant,IF($V1183="","DONNEES INSUFFISANTES",IF($V1183&gt;=SeuilConforme,StatutConforme,IF($V1183&gt;=SeuilSurveiller,StatutSurveiller,StatutSousStandard))))))))</f>
        <v/>
      </c>
      <c r="X1183" s="33">
        <f>IF($G1183="","",IF(OR($D1183="",$E1183="",$F1183=""),"CONTEXTE INCOMPLET",IF(COUNTIFS($D283:$D1182,$D1183,$E283:$E1182,$E1183,$F283:$F1182,$F1183,$G283:$G1182,$G1183)&gt;0,"DOUBLON","VALIDE")))</f>
        <v/>
      </c>
    </row>
    <row r="1184" ht="15" customHeight="1">
      <c r="A1184" s="12">
        <f>IF(OR($B1184="",$G1184=""),"",TEXT($B1184,"YYYYMMDD")&amp;"-"&amp;SUBSTITUTE($E1184," ","")&amp;"-"&amp;$F1184&amp;"-"&amp;$G1184)</f>
        <v/>
      </c>
      <c r="B1184" s="15" t="n"/>
      <c r="C1184" s="16" t="n"/>
      <c r="D1184" s="10" t="n"/>
      <c r="E1184" s="9" t="n"/>
      <c r="F1184" s="9" t="n"/>
      <c r="G1184" s="13" t="n"/>
      <c r="H1184" s="21" t="n"/>
      <c r="I1184" s="21" t="n"/>
      <c r="J1184" s="17">
        <f>IF($G1184="","",IFERROR(INDEX(NomsEmployes,MATCH($G1184,MatriculesEmployes,0)),"MATRICULE INCONNU"))</f>
        <v/>
      </c>
      <c r="K1184" s="33">
        <f>IF(OR($D1184="",$F1184=""),"",IFERROR(IF(INDEX(RUNS!$L$6:$S$1005,MATCH($D1184,RUNS!$A$6:$A$1005,0),MATCH("ACTIVITÉ "&amp;$F1184,RUNS!$L$5:$S$5,0))="","",INDEX(RUNS!$L$6:$S$1005,MATCH($D1184,RUNS!$A$6:$A$1005,0),MATCH("ACTIVITÉ "&amp;$F1184,RUNS!$L$5:$S$5,0))),""))</f>
        <v/>
      </c>
      <c r="L1184" s="33">
        <f>IF($D1184="","",IFERROR(IF(INDEX(RUNS!$E$6:$E$1005,MATCH($D1184,RUNS!$A$6:$A$1005,0))="","",INDEX(RUNS!$E$6:$E$1005,MATCH($D1184,RUNS!$A$6:$A$1005,0))),""))</f>
        <v/>
      </c>
      <c r="M1184" s="33">
        <f>IF($D1184="","",IFERROR(IF(INDEX(RUNS!$F$6:$F$1005,MATCH($D1184,RUNS!$A$6:$A$1005,0))="","",INDEX(RUNS!$F$6:$F$1005,MATCH($D1184,RUNS!$A$6:$A$1005,0))),""))</f>
        <v/>
      </c>
      <c r="N1184" s="33">
        <f>IF($D1184="","",IFERROR(IF(INDEX(RUNS!$G$6:$G$1005,MATCH($D1184,RUNS!$A$6:$A$1005,0))="","",INDEX(RUNS!$G$6:$G$1005,MATCH($D1184,RUNS!$A$6:$A$1005,0))),""))</f>
        <v/>
      </c>
      <c r="O1184" s="33">
        <f>IF($D1184="","",IFERROR(IF(INDEX(RUNS!$H$6:$H$1005,MATCH($D1184,RUNS!$A$6:$A$1005,0))="","",INDEX(RUNS!$H$6:$H$1005,MATCH($D1184,RUNS!$A$6:$A$1005,0))),""))</f>
        <v/>
      </c>
      <c r="P1184" s="33">
        <f>IF($D1184="","",IFERROR(IF(INDEX(RUNS!$J$6:$J$1005,MATCH($D1184,RUNS!$A$6:$A$1005,0))="","",INDEX(RUNS!$J$6:$J$1005,MATCH($D1184,RUNS!$A$6:$A$1005,0))),""))</f>
        <v/>
      </c>
      <c r="Q1184" s="33">
        <f>IF($D1184="","",IFERROR(IF(INDEX(RUNS!$K$6:$K$1005,MATCH($D1184,RUNS!$A$6:$A$1005,0))="","",INDEX(RUNS!$K$6:$K$1005,MATCH($D1184,RUNS!$A$6:$A$1005,0))),""))</f>
        <v/>
      </c>
      <c r="R1184" s="34">
        <f>IF(OR($L1184="",$K1184=""),"",IFERROR(IF(INDEX(PARAMETRES!$H$43:$H$342,MATCH($L1184&amp;"|"&amp;$M1184&amp;"|"&amp;$N1184&amp;"|"&amp;$O1184&amp;"|"&amp;$P1184&amp;"|"&amp;$Q1184&amp;"|"&amp;$K1184,PARAMETRES!$J$43:$J$342,0))="","",INDEX(PARAMETRES!$H$43:$H$342,MATCH($L1184&amp;"|"&amp;$M1184&amp;"|"&amp;$N1184&amp;"|"&amp;$O1184&amp;"|"&amp;$P1184&amp;"|"&amp;$Q1184&amp;"|"&amp;$K1184,PARAMETRES!$J$43:$J$342,0))),""))</f>
        <v/>
      </c>
      <c r="S1184" s="35">
        <f>IF(OR($G1184="",$X1184&lt;&gt;"VALIDE"),"",IFERROR(LOOKUP(2,1/(($B284:$B1183=$B1184)*($G284:$G1183=$G1184)*($X284:$X1183="VALIDE")),$C284:$C1183),""))</f>
        <v/>
      </c>
      <c r="T1184" s="36">
        <f>IF(OR($C1184="",$S1184=""),"",ROUND(($C1184-$S1184+IF($C1184&lt;$S1184,1,0))*1440,0))</f>
        <v/>
      </c>
      <c r="U1184" s="22">
        <f>IF(OR($H1184="",$T1184="",$T1184&lt;=0),"",$H1184*60/$T1184)</f>
        <v/>
      </c>
      <c r="V1184" s="37">
        <f>IF(OR($U1184="",$R1184="",$R1184=0),"",$U1184/$R1184)</f>
        <v/>
      </c>
      <c r="W1184" s="20">
        <f>IF($G1184="","",IF($X1184="CONTEXTE INCOMPLET","CONTEXTE INCOMPLET",IF($X1184="DOUBLON",StatutDoublon,IF($S1184="",StatutInitial,IF($R1184="",StatutStandardManquant,IF($V1184="","DONNEES INSUFFISANTES",IF($V1184&gt;=SeuilConforme,StatutConforme,IF($V1184&gt;=SeuilSurveiller,StatutSurveiller,StatutSousStandard))))))))</f>
        <v/>
      </c>
      <c r="X1184" s="33">
        <f>IF($G1184="","",IF(OR($D1184="",$E1184="",$F1184=""),"CONTEXTE INCOMPLET",IF(COUNTIFS($D284:$D1183,$D1184,$E284:$E1183,$E1184,$F284:$F1183,$F1184,$G284:$G1183,$G1184)&gt;0,"DOUBLON","VALIDE")))</f>
        <v/>
      </c>
    </row>
    <row r="1185" ht="15" customHeight="1">
      <c r="A1185" s="12">
        <f>IF(OR($B1185="",$G1185=""),"",TEXT($B1185,"YYYYMMDD")&amp;"-"&amp;SUBSTITUTE($E1185," ","")&amp;"-"&amp;$F1185&amp;"-"&amp;$G1185)</f>
        <v/>
      </c>
      <c r="B1185" s="15" t="n"/>
      <c r="C1185" s="16" t="n"/>
      <c r="D1185" s="10" t="n"/>
      <c r="E1185" s="9" t="n"/>
      <c r="F1185" s="9" t="n"/>
      <c r="G1185" s="13" t="n"/>
      <c r="H1185" s="21" t="n"/>
      <c r="I1185" s="21" t="n"/>
      <c r="J1185" s="17">
        <f>IF($G1185="","",IFERROR(INDEX(NomsEmployes,MATCH($G1185,MatriculesEmployes,0)),"MATRICULE INCONNU"))</f>
        <v/>
      </c>
      <c r="K1185" s="33">
        <f>IF(OR($D1185="",$F1185=""),"",IFERROR(IF(INDEX(RUNS!$L$6:$S$1005,MATCH($D1185,RUNS!$A$6:$A$1005,0),MATCH("ACTIVITÉ "&amp;$F1185,RUNS!$L$5:$S$5,0))="","",INDEX(RUNS!$L$6:$S$1005,MATCH($D1185,RUNS!$A$6:$A$1005,0),MATCH("ACTIVITÉ "&amp;$F1185,RUNS!$L$5:$S$5,0))),""))</f>
        <v/>
      </c>
      <c r="L1185" s="33">
        <f>IF($D1185="","",IFERROR(IF(INDEX(RUNS!$E$6:$E$1005,MATCH($D1185,RUNS!$A$6:$A$1005,0))="","",INDEX(RUNS!$E$6:$E$1005,MATCH($D1185,RUNS!$A$6:$A$1005,0))),""))</f>
        <v/>
      </c>
      <c r="M1185" s="33">
        <f>IF($D1185="","",IFERROR(IF(INDEX(RUNS!$F$6:$F$1005,MATCH($D1185,RUNS!$A$6:$A$1005,0))="","",INDEX(RUNS!$F$6:$F$1005,MATCH($D1185,RUNS!$A$6:$A$1005,0))),""))</f>
        <v/>
      </c>
      <c r="N1185" s="33">
        <f>IF($D1185="","",IFERROR(IF(INDEX(RUNS!$G$6:$G$1005,MATCH($D1185,RUNS!$A$6:$A$1005,0))="","",INDEX(RUNS!$G$6:$G$1005,MATCH($D1185,RUNS!$A$6:$A$1005,0))),""))</f>
        <v/>
      </c>
      <c r="O1185" s="33">
        <f>IF($D1185="","",IFERROR(IF(INDEX(RUNS!$H$6:$H$1005,MATCH($D1185,RUNS!$A$6:$A$1005,0))="","",INDEX(RUNS!$H$6:$H$1005,MATCH($D1185,RUNS!$A$6:$A$1005,0))),""))</f>
        <v/>
      </c>
      <c r="P1185" s="33">
        <f>IF($D1185="","",IFERROR(IF(INDEX(RUNS!$J$6:$J$1005,MATCH($D1185,RUNS!$A$6:$A$1005,0))="","",INDEX(RUNS!$J$6:$J$1005,MATCH($D1185,RUNS!$A$6:$A$1005,0))),""))</f>
        <v/>
      </c>
      <c r="Q1185" s="33">
        <f>IF($D1185="","",IFERROR(IF(INDEX(RUNS!$K$6:$K$1005,MATCH($D1185,RUNS!$A$6:$A$1005,0))="","",INDEX(RUNS!$K$6:$K$1005,MATCH($D1185,RUNS!$A$6:$A$1005,0))),""))</f>
        <v/>
      </c>
      <c r="R1185" s="34">
        <f>IF(OR($L1185="",$K1185=""),"",IFERROR(IF(INDEX(PARAMETRES!$H$43:$H$342,MATCH($L1185&amp;"|"&amp;$M1185&amp;"|"&amp;$N1185&amp;"|"&amp;$O1185&amp;"|"&amp;$P1185&amp;"|"&amp;$Q1185&amp;"|"&amp;$K1185,PARAMETRES!$J$43:$J$342,0))="","",INDEX(PARAMETRES!$H$43:$H$342,MATCH($L1185&amp;"|"&amp;$M1185&amp;"|"&amp;$N1185&amp;"|"&amp;$O1185&amp;"|"&amp;$P1185&amp;"|"&amp;$Q1185&amp;"|"&amp;$K1185,PARAMETRES!$J$43:$J$342,0))),""))</f>
        <v/>
      </c>
      <c r="S1185" s="35">
        <f>IF(OR($G1185="",$X1185&lt;&gt;"VALIDE"),"",IFERROR(LOOKUP(2,1/(($B285:$B1184=$B1185)*($G285:$G1184=$G1185)*($X285:$X1184="VALIDE")),$C285:$C1184),""))</f>
        <v/>
      </c>
      <c r="T1185" s="36">
        <f>IF(OR($C1185="",$S1185=""),"",ROUND(($C1185-$S1185+IF($C1185&lt;$S1185,1,0))*1440,0))</f>
        <v/>
      </c>
      <c r="U1185" s="22">
        <f>IF(OR($H1185="",$T1185="",$T1185&lt;=0),"",$H1185*60/$T1185)</f>
        <v/>
      </c>
      <c r="V1185" s="37">
        <f>IF(OR($U1185="",$R1185="",$R1185=0),"",$U1185/$R1185)</f>
        <v/>
      </c>
      <c r="W1185" s="20">
        <f>IF($G1185="","",IF($X1185="CONTEXTE INCOMPLET","CONTEXTE INCOMPLET",IF($X1185="DOUBLON",StatutDoublon,IF($S1185="",StatutInitial,IF($R1185="",StatutStandardManquant,IF($V1185="","DONNEES INSUFFISANTES",IF($V1185&gt;=SeuilConforme,StatutConforme,IF($V1185&gt;=SeuilSurveiller,StatutSurveiller,StatutSousStandard))))))))</f>
        <v/>
      </c>
      <c r="X1185" s="33">
        <f>IF($G1185="","",IF(OR($D1185="",$E1185="",$F1185=""),"CONTEXTE INCOMPLET",IF(COUNTIFS($D285:$D1184,$D1185,$E285:$E1184,$E1185,$F285:$F1184,$F1185,$G285:$G1184,$G1185)&gt;0,"DOUBLON","VALIDE")))</f>
        <v/>
      </c>
    </row>
    <row r="1186" ht="15" customHeight="1">
      <c r="A1186" s="12">
        <f>IF(OR($B1186="",$G1186=""),"",TEXT($B1186,"YYYYMMDD")&amp;"-"&amp;SUBSTITUTE($E1186," ","")&amp;"-"&amp;$F1186&amp;"-"&amp;$G1186)</f>
        <v/>
      </c>
      <c r="B1186" s="15" t="n"/>
      <c r="C1186" s="16" t="n"/>
      <c r="D1186" s="10" t="n"/>
      <c r="E1186" s="9" t="n"/>
      <c r="F1186" s="9" t="n"/>
      <c r="G1186" s="13" t="n"/>
      <c r="H1186" s="21" t="n"/>
      <c r="I1186" s="21" t="n"/>
      <c r="J1186" s="17">
        <f>IF($G1186="","",IFERROR(INDEX(NomsEmployes,MATCH($G1186,MatriculesEmployes,0)),"MATRICULE INCONNU"))</f>
        <v/>
      </c>
      <c r="K1186" s="33">
        <f>IF(OR($D1186="",$F1186=""),"",IFERROR(IF(INDEX(RUNS!$L$6:$S$1005,MATCH($D1186,RUNS!$A$6:$A$1005,0),MATCH("ACTIVITÉ "&amp;$F1186,RUNS!$L$5:$S$5,0))="","",INDEX(RUNS!$L$6:$S$1005,MATCH($D1186,RUNS!$A$6:$A$1005,0),MATCH("ACTIVITÉ "&amp;$F1186,RUNS!$L$5:$S$5,0))),""))</f>
        <v/>
      </c>
      <c r="L1186" s="33">
        <f>IF($D1186="","",IFERROR(IF(INDEX(RUNS!$E$6:$E$1005,MATCH($D1186,RUNS!$A$6:$A$1005,0))="","",INDEX(RUNS!$E$6:$E$1005,MATCH($D1186,RUNS!$A$6:$A$1005,0))),""))</f>
        <v/>
      </c>
      <c r="M1186" s="33">
        <f>IF($D1186="","",IFERROR(IF(INDEX(RUNS!$F$6:$F$1005,MATCH($D1186,RUNS!$A$6:$A$1005,0))="","",INDEX(RUNS!$F$6:$F$1005,MATCH($D1186,RUNS!$A$6:$A$1005,0))),""))</f>
        <v/>
      </c>
      <c r="N1186" s="33">
        <f>IF($D1186="","",IFERROR(IF(INDEX(RUNS!$G$6:$G$1005,MATCH($D1186,RUNS!$A$6:$A$1005,0))="","",INDEX(RUNS!$G$6:$G$1005,MATCH($D1186,RUNS!$A$6:$A$1005,0))),""))</f>
        <v/>
      </c>
      <c r="O1186" s="33">
        <f>IF($D1186="","",IFERROR(IF(INDEX(RUNS!$H$6:$H$1005,MATCH($D1186,RUNS!$A$6:$A$1005,0))="","",INDEX(RUNS!$H$6:$H$1005,MATCH($D1186,RUNS!$A$6:$A$1005,0))),""))</f>
        <v/>
      </c>
      <c r="P1186" s="33">
        <f>IF($D1186="","",IFERROR(IF(INDEX(RUNS!$J$6:$J$1005,MATCH($D1186,RUNS!$A$6:$A$1005,0))="","",INDEX(RUNS!$J$6:$J$1005,MATCH($D1186,RUNS!$A$6:$A$1005,0))),""))</f>
        <v/>
      </c>
      <c r="Q1186" s="33">
        <f>IF($D1186="","",IFERROR(IF(INDEX(RUNS!$K$6:$K$1005,MATCH($D1186,RUNS!$A$6:$A$1005,0))="","",INDEX(RUNS!$K$6:$K$1005,MATCH($D1186,RUNS!$A$6:$A$1005,0))),""))</f>
        <v/>
      </c>
      <c r="R1186" s="34">
        <f>IF(OR($L1186="",$K1186=""),"",IFERROR(IF(INDEX(PARAMETRES!$H$43:$H$342,MATCH($L1186&amp;"|"&amp;$M1186&amp;"|"&amp;$N1186&amp;"|"&amp;$O1186&amp;"|"&amp;$P1186&amp;"|"&amp;$Q1186&amp;"|"&amp;$K1186,PARAMETRES!$J$43:$J$342,0))="","",INDEX(PARAMETRES!$H$43:$H$342,MATCH($L1186&amp;"|"&amp;$M1186&amp;"|"&amp;$N1186&amp;"|"&amp;$O1186&amp;"|"&amp;$P1186&amp;"|"&amp;$Q1186&amp;"|"&amp;$K1186,PARAMETRES!$J$43:$J$342,0))),""))</f>
        <v/>
      </c>
      <c r="S1186" s="35">
        <f>IF(OR($G1186="",$X1186&lt;&gt;"VALIDE"),"",IFERROR(LOOKUP(2,1/(($B286:$B1185=$B1186)*($G286:$G1185=$G1186)*($X286:$X1185="VALIDE")),$C286:$C1185),""))</f>
        <v/>
      </c>
      <c r="T1186" s="36">
        <f>IF(OR($C1186="",$S1186=""),"",ROUND(($C1186-$S1186+IF($C1186&lt;$S1186,1,0))*1440,0))</f>
        <v/>
      </c>
      <c r="U1186" s="22">
        <f>IF(OR($H1186="",$T1186="",$T1186&lt;=0),"",$H1186*60/$T1186)</f>
        <v/>
      </c>
      <c r="V1186" s="37">
        <f>IF(OR($U1186="",$R1186="",$R1186=0),"",$U1186/$R1186)</f>
        <v/>
      </c>
      <c r="W1186" s="20">
        <f>IF($G1186="","",IF($X1186="CONTEXTE INCOMPLET","CONTEXTE INCOMPLET",IF($X1186="DOUBLON",StatutDoublon,IF($S1186="",StatutInitial,IF($R1186="",StatutStandardManquant,IF($V1186="","DONNEES INSUFFISANTES",IF($V1186&gt;=SeuilConforme,StatutConforme,IF($V1186&gt;=SeuilSurveiller,StatutSurveiller,StatutSousStandard))))))))</f>
        <v/>
      </c>
      <c r="X1186" s="33">
        <f>IF($G1186="","",IF(OR($D1186="",$E1186="",$F1186=""),"CONTEXTE INCOMPLET",IF(COUNTIFS($D286:$D1185,$D1186,$E286:$E1185,$E1186,$F286:$F1185,$F1186,$G286:$G1185,$G1186)&gt;0,"DOUBLON","VALIDE")))</f>
        <v/>
      </c>
    </row>
    <row r="1187" ht="15" customHeight="1">
      <c r="A1187" s="12">
        <f>IF(OR($B1187="",$G1187=""),"",TEXT($B1187,"YYYYMMDD")&amp;"-"&amp;SUBSTITUTE($E1187," ","")&amp;"-"&amp;$F1187&amp;"-"&amp;$G1187)</f>
        <v/>
      </c>
      <c r="B1187" s="15" t="n"/>
      <c r="C1187" s="16" t="n"/>
      <c r="D1187" s="10" t="n"/>
      <c r="E1187" s="9" t="n"/>
      <c r="F1187" s="9" t="n"/>
      <c r="G1187" s="13" t="n"/>
      <c r="H1187" s="21" t="n"/>
      <c r="I1187" s="21" t="n"/>
      <c r="J1187" s="17">
        <f>IF($G1187="","",IFERROR(INDEX(NomsEmployes,MATCH($G1187,MatriculesEmployes,0)),"MATRICULE INCONNU"))</f>
        <v/>
      </c>
      <c r="K1187" s="33">
        <f>IF(OR($D1187="",$F1187=""),"",IFERROR(IF(INDEX(RUNS!$L$6:$S$1005,MATCH($D1187,RUNS!$A$6:$A$1005,0),MATCH("ACTIVITÉ "&amp;$F1187,RUNS!$L$5:$S$5,0))="","",INDEX(RUNS!$L$6:$S$1005,MATCH($D1187,RUNS!$A$6:$A$1005,0),MATCH("ACTIVITÉ "&amp;$F1187,RUNS!$L$5:$S$5,0))),""))</f>
        <v/>
      </c>
      <c r="L1187" s="33">
        <f>IF($D1187="","",IFERROR(IF(INDEX(RUNS!$E$6:$E$1005,MATCH($D1187,RUNS!$A$6:$A$1005,0))="","",INDEX(RUNS!$E$6:$E$1005,MATCH($D1187,RUNS!$A$6:$A$1005,0))),""))</f>
        <v/>
      </c>
      <c r="M1187" s="33">
        <f>IF($D1187="","",IFERROR(IF(INDEX(RUNS!$F$6:$F$1005,MATCH($D1187,RUNS!$A$6:$A$1005,0))="","",INDEX(RUNS!$F$6:$F$1005,MATCH($D1187,RUNS!$A$6:$A$1005,0))),""))</f>
        <v/>
      </c>
      <c r="N1187" s="33">
        <f>IF($D1187="","",IFERROR(IF(INDEX(RUNS!$G$6:$G$1005,MATCH($D1187,RUNS!$A$6:$A$1005,0))="","",INDEX(RUNS!$G$6:$G$1005,MATCH($D1187,RUNS!$A$6:$A$1005,0))),""))</f>
        <v/>
      </c>
      <c r="O1187" s="33">
        <f>IF($D1187="","",IFERROR(IF(INDEX(RUNS!$H$6:$H$1005,MATCH($D1187,RUNS!$A$6:$A$1005,0))="","",INDEX(RUNS!$H$6:$H$1005,MATCH($D1187,RUNS!$A$6:$A$1005,0))),""))</f>
        <v/>
      </c>
      <c r="P1187" s="33">
        <f>IF($D1187="","",IFERROR(IF(INDEX(RUNS!$J$6:$J$1005,MATCH($D1187,RUNS!$A$6:$A$1005,0))="","",INDEX(RUNS!$J$6:$J$1005,MATCH($D1187,RUNS!$A$6:$A$1005,0))),""))</f>
        <v/>
      </c>
      <c r="Q1187" s="33">
        <f>IF($D1187="","",IFERROR(IF(INDEX(RUNS!$K$6:$K$1005,MATCH($D1187,RUNS!$A$6:$A$1005,0))="","",INDEX(RUNS!$K$6:$K$1005,MATCH($D1187,RUNS!$A$6:$A$1005,0))),""))</f>
        <v/>
      </c>
      <c r="R1187" s="34">
        <f>IF(OR($L1187="",$K1187=""),"",IFERROR(IF(INDEX(PARAMETRES!$H$43:$H$342,MATCH($L1187&amp;"|"&amp;$M1187&amp;"|"&amp;$N1187&amp;"|"&amp;$O1187&amp;"|"&amp;$P1187&amp;"|"&amp;$Q1187&amp;"|"&amp;$K1187,PARAMETRES!$J$43:$J$342,0))="","",INDEX(PARAMETRES!$H$43:$H$342,MATCH($L1187&amp;"|"&amp;$M1187&amp;"|"&amp;$N1187&amp;"|"&amp;$O1187&amp;"|"&amp;$P1187&amp;"|"&amp;$Q1187&amp;"|"&amp;$K1187,PARAMETRES!$J$43:$J$342,0))),""))</f>
        <v/>
      </c>
      <c r="S1187" s="35">
        <f>IF(OR($G1187="",$X1187&lt;&gt;"VALIDE"),"",IFERROR(LOOKUP(2,1/(($B287:$B1186=$B1187)*($G287:$G1186=$G1187)*($X287:$X1186="VALIDE")),$C287:$C1186),""))</f>
        <v/>
      </c>
      <c r="T1187" s="36">
        <f>IF(OR($C1187="",$S1187=""),"",ROUND(($C1187-$S1187+IF($C1187&lt;$S1187,1,0))*1440,0))</f>
        <v/>
      </c>
      <c r="U1187" s="22">
        <f>IF(OR($H1187="",$T1187="",$T1187&lt;=0),"",$H1187*60/$T1187)</f>
        <v/>
      </c>
      <c r="V1187" s="37">
        <f>IF(OR($U1187="",$R1187="",$R1187=0),"",$U1187/$R1187)</f>
        <v/>
      </c>
      <c r="W1187" s="20">
        <f>IF($G1187="","",IF($X1187="CONTEXTE INCOMPLET","CONTEXTE INCOMPLET",IF($X1187="DOUBLON",StatutDoublon,IF($S1187="",StatutInitial,IF($R1187="",StatutStandardManquant,IF($V1187="","DONNEES INSUFFISANTES",IF($V1187&gt;=SeuilConforme,StatutConforme,IF($V1187&gt;=SeuilSurveiller,StatutSurveiller,StatutSousStandard))))))))</f>
        <v/>
      </c>
      <c r="X1187" s="33">
        <f>IF($G1187="","",IF(OR($D1187="",$E1187="",$F1187=""),"CONTEXTE INCOMPLET",IF(COUNTIFS($D287:$D1186,$D1187,$E287:$E1186,$E1187,$F287:$F1186,$F1187,$G287:$G1186,$G1187)&gt;0,"DOUBLON","VALIDE")))</f>
        <v/>
      </c>
    </row>
    <row r="1188" ht="15" customHeight="1">
      <c r="A1188" s="12">
        <f>IF(OR($B1188="",$G1188=""),"",TEXT($B1188,"YYYYMMDD")&amp;"-"&amp;SUBSTITUTE($E1188," ","")&amp;"-"&amp;$F1188&amp;"-"&amp;$G1188)</f>
        <v/>
      </c>
      <c r="B1188" s="15" t="n"/>
      <c r="C1188" s="16" t="n"/>
      <c r="D1188" s="10" t="n"/>
      <c r="E1188" s="9" t="n"/>
      <c r="F1188" s="9" t="n"/>
      <c r="G1188" s="13" t="n"/>
      <c r="H1188" s="21" t="n"/>
      <c r="I1188" s="21" t="n"/>
      <c r="J1188" s="17">
        <f>IF($G1188="","",IFERROR(INDEX(NomsEmployes,MATCH($G1188,MatriculesEmployes,0)),"MATRICULE INCONNU"))</f>
        <v/>
      </c>
      <c r="K1188" s="33">
        <f>IF(OR($D1188="",$F1188=""),"",IFERROR(IF(INDEX(RUNS!$L$6:$S$1005,MATCH($D1188,RUNS!$A$6:$A$1005,0),MATCH("ACTIVITÉ "&amp;$F1188,RUNS!$L$5:$S$5,0))="","",INDEX(RUNS!$L$6:$S$1005,MATCH($D1188,RUNS!$A$6:$A$1005,0),MATCH("ACTIVITÉ "&amp;$F1188,RUNS!$L$5:$S$5,0))),""))</f>
        <v/>
      </c>
      <c r="L1188" s="33">
        <f>IF($D1188="","",IFERROR(IF(INDEX(RUNS!$E$6:$E$1005,MATCH($D1188,RUNS!$A$6:$A$1005,0))="","",INDEX(RUNS!$E$6:$E$1005,MATCH($D1188,RUNS!$A$6:$A$1005,0))),""))</f>
        <v/>
      </c>
      <c r="M1188" s="33">
        <f>IF($D1188="","",IFERROR(IF(INDEX(RUNS!$F$6:$F$1005,MATCH($D1188,RUNS!$A$6:$A$1005,0))="","",INDEX(RUNS!$F$6:$F$1005,MATCH($D1188,RUNS!$A$6:$A$1005,0))),""))</f>
        <v/>
      </c>
      <c r="N1188" s="33">
        <f>IF($D1188="","",IFERROR(IF(INDEX(RUNS!$G$6:$G$1005,MATCH($D1188,RUNS!$A$6:$A$1005,0))="","",INDEX(RUNS!$G$6:$G$1005,MATCH($D1188,RUNS!$A$6:$A$1005,0))),""))</f>
        <v/>
      </c>
      <c r="O1188" s="33">
        <f>IF($D1188="","",IFERROR(IF(INDEX(RUNS!$H$6:$H$1005,MATCH($D1188,RUNS!$A$6:$A$1005,0))="","",INDEX(RUNS!$H$6:$H$1005,MATCH($D1188,RUNS!$A$6:$A$1005,0))),""))</f>
        <v/>
      </c>
      <c r="P1188" s="33">
        <f>IF($D1188="","",IFERROR(IF(INDEX(RUNS!$J$6:$J$1005,MATCH($D1188,RUNS!$A$6:$A$1005,0))="","",INDEX(RUNS!$J$6:$J$1005,MATCH($D1188,RUNS!$A$6:$A$1005,0))),""))</f>
        <v/>
      </c>
      <c r="Q1188" s="33">
        <f>IF($D1188="","",IFERROR(IF(INDEX(RUNS!$K$6:$K$1005,MATCH($D1188,RUNS!$A$6:$A$1005,0))="","",INDEX(RUNS!$K$6:$K$1005,MATCH($D1188,RUNS!$A$6:$A$1005,0))),""))</f>
        <v/>
      </c>
      <c r="R1188" s="34">
        <f>IF(OR($L1188="",$K1188=""),"",IFERROR(IF(INDEX(PARAMETRES!$H$43:$H$342,MATCH($L1188&amp;"|"&amp;$M1188&amp;"|"&amp;$N1188&amp;"|"&amp;$O1188&amp;"|"&amp;$P1188&amp;"|"&amp;$Q1188&amp;"|"&amp;$K1188,PARAMETRES!$J$43:$J$342,0))="","",INDEX(PARAMETRES!$H$43:$H$342,MATCH($L1188&amp;"|"&amp;$M1188&amp;"|"&amp;$N1188&amp;"|"&amp;$O1188&amp;"|"&amp;$P1188&amp;"|"&amp;$Q1188&amp;"|"&amp;$K1188,PARAMETRES!$J$43:$J$342,0))),""))</f>
        <v/>
      </c>
      <c r="S1188" s="35">
        <f>IF(OR($G1188="",$X1188&lt;&gt;"VALIDE"),"",IFERROR(LOOKUP(2,1/(($B288:$B1187=$B1188)*($G288:$G1187=$G1188)*($X288:$X1187="VALIDE")),$C288:$C1187),""))</f>
        <v/>
      </c>
      <c r="T1188" s="36">
        <f>IF(OR($C1188="",$S1188=""),"",ROUND(($C1188-$S1188+IF($C1188&lt;$S1188,1,0))*1440,0))</f>
        <v/>
      </c>
      <c r="U1188" s="22">
        <f>IF(OR($H1188="",$T1188="",$T1188&lt;=0),"",$H1188*60/$T1188)</f>
        <v/>
      </c>
      <c r="V1188" s="37">
        <f>IF(OR($U1188="",$R1188="",$R1188=0),"",$U1188/$R1188)</f>
        <v/>
      </c>
      <c r="W1188" s="20">
        <f>IF($G1188="","",IF($X1188="CONTEXTE INCOMPLET","CONTEXTE INCOMPLET",IF($X1188="DOUBLON",StatutDoublon,IF($S1188="",StatutInitial,IF($R1188="",StatutStandardManquant,IF($V1188="","DONNEES INSUFFISANTES",IF($V1188&gt;=SeuilConforme,StatutConforme,IF($V1188&gt;=SeuilSurveiller,StatutSurveiller,StatutSousStandard))))))))</f>
        <v/>
      </c>
      <c r="X1188" s="33">
        <f>IF($G1188="","",IF(OR($D1188="",$E1188="",$F1188=""),"CONTEXTE INCOMPLET",IF(COUNTIFS($D288:$D1187,$D1188,$E288:$E1187,$E1188,$F288:$F1187,$F1188,$G288:$G1187,$G1188)&gt;0,"DOUBLON","VALIDE")))</f>
        <v/>
      </c>
    </row>
    <row r="1189" ht="15" customHeight="1">
      <c r="A1189" s="12">
        <f>IF(OR($B1189="",$G1189=""),"",TEXT($B1189,"YYYYMMDD")&amp;"-"&amp;SUBSTITUTE($E1189," ","")&amp;"-"&amp;$F1189&amp;"-"&amp;$G1189)</f>
        <v/>
      </c>
      <c r="B1189" s="15" t="n"/>
      <c r="C1189" s="16" t="n"/>
      <c r="D1189" s="10" t="n"/>
      <c r="E1189" s="9" t="n"/>
      <c r="F1189" s="9" t="n"/>
      <c r="G1189" s="13" t="n"/>
      <c r="H1189" s="21" t="n"/>
      <c r="I1189" s="21" t="n"/>
      <c r="J1189" s="17">
        <f>IF($G1189="","",IFERROR(INDEX(NomsEmployes,MATCH($G1189,MatriculesEmployes,0)),"MATRICULE INCONNU"))</f>
        <v/>
      </c>
      <c r="K1189" s="33">
        <f>IF(OR($D1189="",$F1189=""),"",IFERROR(IF(INDEX(RUNS!$L$6:$S$1005,MATCH($D1189,RUNS!$A$6:$A$1005,0),MATCH("ACTIVITÉ "&amp;$F1189,RUNS!$L$5:$S$5,0))="","",INDEX(RUNS!$L$6:$S$1005,MATCH($D1189,RUNS!$A$6:$A$1005,0),MATCH("ACTIVITÉ "&amp;$F1189,RUNS!$L$5:$S$5,0))),""))</f>
        <v/>
      </c>
      <c r="L1189" s="33">
        <f>IF($D1189="","",IFERROR(IF(INDEX(RUNS!$E$6:$E$1005,MATCH($D1189,RUNS!$A$6:$A$1005,0))="","",INDEX(RUNS!$E$6:$E$1005,MATCH($D1189,RUNS!$A$6:$A$1005,0))),""))</f>
        <v/>
      </c>
      <c r="M1189" s="33">
        <f>IF($D1189="","",IFERROR(IF(INDEX(RUNS!$F$6:$F$1005,MATCH($D1189,RUNS!$A$6:$A$1005,0))="","",INDEX(RUNS!$F$6:$F$1005,MATCH($D1189,RUNS!$A$6:$A$1005,0))),""))</f>
        <v/>
      </c>
      <c r="N1189" s="33">
        <f>IF($D1189="","",IFERROR(IF(INDEX(RUNS!$G$6:$G$1005,MATCH($D1189,RUNS!$A$6:$A$1005,0))="","",INDEX(RUNS!$G$6:$G$1005,MATCH($D1189,RUNS!$A$6:$A$1005,0))),""))</f>
        <v/>
      </c>
      <c r="O1189" s="33">
        <f>IF($D1189="","",IFERROR(IF(INDEX(RUNS!$H$6:$H$1005,MATCH($D1189,RUNS!$A$6:$A$1005,0))="","",INDEX(RUNS!$H$6:$H$1005,MATCH($D1189,RUNS!$A$6:$A$1005,0))),""))</f>
        <v/>
      </c>
      <c r="P1189" s="33">
        <f>IF($D1189="","",IFERROR(IF(INDEX(RUNS!$J$6:$J$1005,MATCH($D1189,RUNS!$A$6:$A$1005,0))="","",INDEX(RUNS!$J$6:$J$1005,MATCH($D1189,RUNS!$A$6:$A$1005,0))),""))</f>
        <v/>
      </c>
      <c r="Q1189" s="33">
        <f>IF($D1189="","",IFERROR(IF(INDEX(RUNS!$K$6:$K$1005,MATCH($D1189,RUNS!$A$6:$A$1005,0))="","",INDEX(RUNS!$K$6:$K$1005,MATCH($D1189,RUNS!$A$6:$A$1005,0))),""))</f>
        <v/>
      </c>
      <c r="R1189" s="34">
        <f>IF(OR($L1189="",$K1189=""),"",IFERROR(IF(INDEX(PARAMETRES!$H$43:$H$342,MATCH($L1189&amp;"|"&amp;$M1189&amp;"|"&amp;$N1189&amp;"|"&amp;$O1189&amp;"|"&amp;$P1189&amp;"|"&amp;$Q1189&amp;"|"&amp;$K1189,PARAMETRES!$J$43:$J$342,0))="","",INDEX(PARAMETRES!$H$43:$H$342,MATCH($L1189&amp;"|"&amp;$M1189&amp;"|"&amp;$N1189&amp;"|"&amp;$O1189&amp;"|"&amp;$P1189&amp;"|"&amp;$Q1189&amp;"|"&amp;$K1189,PARAMETRES!$J$43:$J$342,0))),""))</f>
        <v/>
      </c>
      <c r="S1189" s="35">
        <f>IF(OR($G1189="",$X1189&lt;&gt;"VALIDE"),"",IFERROR(LOOKUP(2,1/(($B289:$B1188=$B1189)*($G289:$G1188=$G1189)*($X289:$X1188="VALIDE")),$C289:$C1188),""))</f>
        <v/>
      </c>
      <c r="T1189" s="36">
        <f>IF(OR($C1189="",$S1189=""),"",ROUND(($C1189-$S1189+IF($C1189&lt;$S1189,1,0))*1440,0))</f>
        <v/>
      </c>
      <c r="U1189" s="22">
        <f>IF(OR($H1189="",$T1189="",$T1189&lt;=0),"",$H1189*60/$T1189)</f>
        <v/>
      </c>
      <c r="V1189" s="37">
        <f>IF(OR($U1189="",$R1189="",$R1189=0),"",$U1189/$R1189)</f>
        <v/>
      </c>
      <c r="W1189" s="20">
        <f>IF($G1189="","",IF($X1189="CONTEXTE INCOMPLET","CONTEXTE INCOMPLET",IF($X1189="DOUBLON",StatutDoublon,IF($S1189="",StatutInitial,IF($R1189="",StatutStandardManquant,IF($V1189="","DONNEES INSUFFISANTES",IF($V1189&gt;=SeuilConforme,StatutConforme,IF($V1189&gt;=SeuilSurveiller,StatutSurveiller,StatutSousStandard))))))))</f>
        <v/>
      </c>
      <c r="X1189" s="33">
        <f>IF($G1189="","",IF(OR($D1189="",$E1189="",$F1189=""),"CONTEXTE INCOMPLET",IF(COUNTIFS($D289:$D1188,$D1189,$E289:$E1188,$E1189,$F289:$F1188,$F1189,$G289:$G1188,$G1189)&gt;0,"DOUBLON","VALIDE")))</f>
        <v/>
      </c>
    </row>
    <row r="1190" ht="15" customHeight="1">
      <c r="A1190" s="12">
        <f>IF(OR($B1190="",$G1190=""),"",TEXT($B1190,"YYYYMMDD")&amp;"-"&amp;SUBSTITUTE($E1190," ","")&amp;"-"&amp;$F1190&amp;"-"&amp;$G1190)</f>
        <v/>
      </c>
      <c r="B1190" s="15" t="n"/>
      <c r="C1190" s="16" t="n"/>
      <c r="D1190" s="10" t="n"/>
      <c r="E1190" s="9" t="n"/>
      <c r="F1190" s="9" t="n"/>
      <c r="G1190" s="13" t="n"/>
      <c r="H1190" s="21" t="n"/>
      <c r="I1190" s="21" t="n"/>
      <c r="J1190" s="17">
        <f>IF($G1190="","",IFERROR(INDEX(NomsEmployes,MATCH($G1190,MatriculesEmployes,0)),"MATRICULE INCONNU"))</f>
        <v/>
      </c>
      <c r="K1190" s="33">
        <f>IF(OR($D1190="",$F1190=""),"",IFERROR(IF(INDEX(RUNS!$L$6:$S$1005,MATCH($D1190,RUNS!$A$6:$A$1005,0),MATCH("ACTIVITÉ "&amp;$F1190,RUNS!$L$5:$S$5,0))="","",INDEX(RUNS!$L$6:$S$1005,MATCH($D1190,RUNS!$A$6:$A$1005,0),MATCH("ACTIVITÉ "&amp;$F1190,RUNS!$L$5:$S$5,0))),""))</f>
        <v/>
      </c>
      <c r="L1190" s="33">
        <f>IF($D1190="","",IFERROR(IF(INDEX(RUNS!$E$6:$E$1005,MATCH($D1190,RUNS!$A$6:$A$1005,0))="","",INDEX(RUNS!$E$6:$E$1005,MATCH($D1190,RUNS!$A$6:$A$1005,0))),""))</f>
        <v/>
      </c>
      <c r="M1190" s="33">
        <f>IF($D1190="","",IFERROR(IF(INDEX(RUNS!$F$6:$F$1005,MATCH($D1190,RUNS!$A$6:$A$1005,0))="","",INDEX(RUNS!$F$6:$F$1005,MATCH($D1190,RUNS!$A$6:$A$1005,0))),""))</f>
        <v/>
      </c>
      <c r="N1190" s="33">
        <f>IF($D1190="","",IFERROR(IF(INDEX(RUNS!$G$6:$G$1005,MATCH($D1190,RUNS!$A$6:$A$1005,0))="","",INDEX(RUNS!$G$6:$G$1005,MATCH($D1190,RUNS!$A$6:$A$1005,0))),""))</f>
        <v/>
      </c>
      <c r="O1190" s="33">
        <f>IF($D1190="","",IFERROR(IF(INDEX(RUNS!$H$6:$H$1005,MATCH($D1190,RUNS!$A$6:$A$1005,0))="","",INDEX(RUNS!$H$6:$H$1005,MATCH($D1190,RUNS!$A$6:$A$1005,0))),""))</f>
        <v/>
      </c>
      <c r="P1190" s="33">
        <f>IF($D1190="","",IFERROR(IF(INDEX(RUNS!$J$6:$J$1005,MATCH($D1190,RUNS!$A$6:$A$1005,0))="","",INDEX(RUNS!$J$6:$J$1005,MATCH($D1190,RUNS!$A$6:$A$1005,0))),""))</f>
        <v/>
      </c>
      <c r="Q1190" s="33">
        <f>IF($D1190="","",IFERROR(IF(INDEX(RUNS!$K$6:$K$1005,MATCH($D1190,RUNS!$A$6:$A$1005,0))="","",INDEX(RUNS!$K$6:$K$1005,MATCH($D1190,RUNS!$A$6:$A$1005,0))),""))</f>
        <v/>
      </c>
      <c r="R1190" s="34">
        <f>IF(OR($L1190="",$K1190=""),"",IFERROR(IF(INDEX(PARAMETRES!$H$43:$H$342,MATCH($L1190&amp;"|"&amp;$M1190&amp;"|"&amp;$N1190&amp;"|"&amp;$O1190&amp;"|"&amp;$P1190&amp;"|"&amp;$Q1190&amp;"|"&amp;$K1190,PARAMETRES!$J$43:$J$342,0))="","",INDEX(PARAMETRES!$H$43:$H$342,MATCH($L1190&amp;"|"&amp;$M1190&amp;"|"&amp;$N1190&amp;"|"&amp;$O1190&amp;"|"&amp;$P1190&amp;"|"&amp;$Q1190&amp;"|"&amp;$K1190,PARAMETRES!$J$43:$J$342,0))),""))</f>
        <v/>
      </c>
      <c r="S1190" s="35">
        <f>IF(OR($G1190="",$X1190&lt;&gt;"VALIDE"),"",IFERROR(LOOKUP(2,1/(($B290:$B1189=$B1190)*($G290:$G1189=$G1190)*($X290:$X1189="VALIDE")),$C290:$C1189),""))</f>
        <v/>
      </c>
      <c r="T1190" s="36">
        <f>IF(OR($C1190="",$S1190=""),"",ROUND(($C1190-$S1190+IF($C1190&lt;$S1190,1,0))*1440,0))</f>
        <v/>
      </c>
      <c r="U1190" s="22">
        <f>IF(OR($H1190="",$T1190="",$T1190&lt;=0),"",$H1190*60/$T1190)</f>
        <v/>
      </c>
      <c r="V1190" s="37">
        <f>IF(OR($U1190="",$R1190="",$R1190=0),"",$U1190/$R1190)</f>
        <v/>
      </c>
      <c r="W1190" s="20">
        <f>IF($G1190="","",IF($X1190="CONTEXTE INCOMPLET","CONTEXTE INCOMPLET",IF($X1190="DOUBLON",StatutDoublon,IF($S1190="",StatutInitial,IF($R1190="",StatutStandardManquant,IF($V1190="","DONNEES INSUFFISANTES",IF($V1190&gt;=SeuilConforme,StatutConforme,IF($V1190&gt;=SeuilSurveiller,StatutSurveiller,StatutSousStandard))))))))</f>
        <v/>
      </c>
      <c r="X1190" s="33">
        <f>IF($G1190="","",IF(OR($D1190="",$E1190="",$F1190=""),"CONTEXTE INCOMPLET",IF(COUNTIFS($D290:$D1189,$D1190,$E290:$E1189,$E1190,$F290:$F1189,$F1190,$G290:$G1189,$G1190)&gt;0,"DOUBLON","VALIDE")))</f>
        <v/>
      </c>
    </row>
    <row r="1191" ht="15" customHeight="1">
      <c r="A1191" s="12">
        <f>IF(OR($B1191="",$G1191=""),"",TEXT($B1191,"YYYYMMDD")&amp;"-"&amp;SUBSTITUTE($E1191," ","")&amp;"-"&amp;$F1191&amp;"-"&amp;$G1191)</f>
        <v/>
      </c>
      <c r="B1191" s="15" t="n"/>
      <c r="C1191" s="16" t="n"/>
      <c r="D1191" s="10" t="n"/>
      <c r="E1191" s="9" t="n"/>
      <c r="F1191" s="9" t="n"/>
      <c r="G1191" s="13" t="n"/>
      <c r="H1191" s="21" t="n"/>
      <c r="I1191" s="21" t="n"/>
      <c r="J1191" s="17">
        <f>IF($G1191="","",IFERROR(INDEX(NomsEmployes,MATCH($G1191,MatriculesEmployes,0)),"MATRICULE INCONNU"))</f>
        <v/>
      </c>
      <c r="K1191" s="33">
        <f>IF(OR($D1191="",$F1191=""),"",IFERROR(IF(INDEX(RUNS!$L$6:$S$1005,MATCH($D1191,RUNS!$A$6:$A$1005,0),MATCH("ACTIVITÉ "&amp;$F1191,RUNS!$L$5:$S$5,0))="","",INDEX(RUNS!$L$6:$S$1005,MATCH($D1191,RUNS!$A$6:$A$1005,0),MATCH("ACTIVITÉ "&amp;$F1191,RUNS!$L$5:$S$5,0))),""))</f>
        <v/>
      </c>
      <c r="L1191" s="33">
        <f>IF($D1191="","",IFERROR(IF(INDEX(RUNS!$E$6:$E$1005,MATCH($D1191,RUNS!$A$6:$A$1005,0))="","",INDEX(RUNS!$E$6:$E$1005,MATCH($D1191,RUNS!$A$6:$A$1005,0))),""))</f>
        <v/>
      </c>
      <c r="M1191" s="33">
        <f>IF($D1191="","",IFERROR(IF(INDEX(RUNS!$F$6:$F$1005,MATCH($D1191,RUNS!$A$6:$A$1005,0))="","",INDEX(RUNS!$F$6:$F$1005,MATCH($D1191,RUNS!$A$6:$A$1005,0))),""))</f>
        <v/>
      </c>
      <c r="N1191" s="33">
        <f>IF($D1191="","",IFERROR(IF(INDEX(RUNS!$G$6:$G$1005,MATCH($D1191,RUNS!$A$6:$A$1005,0))="","",INDEX(RUNS!$G$6:$G$1005,MATCH($D1191,RUNS!$A$6:$A$1005,0))),""))</f>
        <v/>
      </c>
      <c r="O1191" s="33">
        <f>IF($D1191="","",IFERROR(IF(INDEX(RUNS!$H$6:$H$1005,MATCH($D1191,RUNS!$A$6:$A$1005,0))="","",INDEX(RUNS!$H$6:$H$1005,MATCH($D1191,RUNS!$A$6:$A$1005,0))),""))</f>
        <v/>
      </c>
      <c r="P1191" s="33">
        <f>IF($D1191="","",IFERROR(IF(INDEX(RUNS!$J$6:$J$1005,MATCH($D1191,RUNS!$A$6:$A$1005,0))="","",INDEX(RUNS!$J$6:$J$1005,MATCH($D1191,RUNS!$A$6:$A$1005,0))),""))</f>
        <v/>
      </c>
      <c r="Q1191" s="33">
        <f>IF($D1191="","",IFERROR(IF(INDEX(RUNS!$K$6:$K$1005,MATCH($D1191,RUNS!$A$6:$A$1005,0))="","",INDEX(RUNS!$K$6:$K$1005,MATCH($D1191,RUNS!$A$6:$A$1005,0))),""))</f>
        <v/>
      </c>
      <c r="R1191" s="34">
        <f>IF(OR($L1191="",$K1191=""),"",IFERROR(IF(INDEX(PARAMETRES!$H$43:$H$342,MATCH($L1191&amp;"|"&amp;$M1191&amp;"|"&amp;$N1191&amp;"|"&amp;$O1191&amp;"|"&amp;$P1191&amp;"|"&amp;$Q1191&amp;"|"&amp;$K1191,PARAMETRES!$J$43:$J$342,0))="","",INDEX(PARAMETRES!$H$43:$H$342,MATCH($L1191&amp;"|"&amp;$M1191&amp;"|"&amp;$N1191&amp;"|"&amp;$O1191&amp;"|"&amp;$P1191&amp;"|"&amp;$Q1191&amp;"|"&amp;$K1191,PARAMETRES!$J$43:$J$342,0))),""))</f>
        <v/>
      </c>
      <c r="S1191" s="35">
        <f>IF(OR($G1191="",$X1191&lt;&gt;"VALIDE"),"",IFERROR(LOOKUP(2,1/(($B291:$B1190=$B1191)*($G291:$G1190=$G1191)*($X291:$X1190="VALIDE")),$C291:$C1190),""))</f>
        <v/>
      </c>
      <c r="T1191" s="36">
        <f>IF(OR($C1191="",$S1191=""),"",ROUND(($C1191-$S1191+IF($C1191&lt;$S1191,1,0))*1440,0))</f>
        <v/>
      </c>
      <c r="U1191" s="22">
        <f>IF(OR($H1191="",$T1191="",$T1191&lt;=0),"",$H1191*60/$T1191)</f>
        <v/>
      </c>
      <c r="V1191" s="37">
        <f>IF(OR($U1191="",$R1191="",$R1191=0),"",$U1191/$R1191)</f>
        <v/>
      </c>
      <c r="W1191" s="20">
        <f>IF($G1191="","",IF($X1191="CONTEXTE INCOMPLET","CONTEXTE INCOMPLET",IF($X1191="DOUBLON",StatutDoublon,IF($S1191="",StatutInitial,IF($R1191="",StatutStandardManquant,IF($V1191="","DONNEES INSUFFISANTES",IF($V1191&gt;=SeuilConforme,StatutConforme,IF($V1191&gt;=SeuilSurveiller,StatutSurveiller,StatutSousStandard))))))))</f>
        <v/>
      </c>
      <c r="X1191" s="33">
        <f>IF($G1191="","",IF(OR($D1191="",$E1191="",$F1191=""),"CONTEXTE INCOMPLET",IF(COUNTIFS($D291:$D1190,$D1191,$E291:$E1190,$E1191,$F291:$F1190,$F1191,$G291:$G1190,$G1191)&gt;0,"DOUBLON","VALIDE")))</f>
        <v/>
      </c>
    </row>
    <row r="1192" ht="15" customHeight="1">
      <c r="A1192" s="12">
        <f>IF(OR($B1192="",$G1192=""),"",TEXT($B1192,"YYYYMMDD")&amp;"-"&amp;SUBSTITUTE($E1192," ","")&amp;"-"&amp;$F1192&amp;"-"&amp;$G1192)</f>
        <v/>
      </c>
      <c r="B1192" s="15" t="n"/>
      <c r="C1192" s="16" t="n"/>
      <c r="D1192" s="10" t="n"/>
      <c r="E1192" s="9" t="n"/>
      <c r="F1192" s="9" t="n"/>
      <c r="G1192" s="13" t="n"/>
      <c r="H1192" s="21" t="n"/>
      <c r="I1192" s="21" t="n"/>
      <c r="J1192" s="17">
        <f>IF($G1192="","",IFERROR(INDEX(NomsEmployes,MATCH($G1192,MatriculesEmployes,0)),"MATRICULE INCONNU"))</f>
        <v/>
      </c>
      <c r="K1192" s="33">
        <f>IF(OR($D1192="",$F1192=""),"",IFERROR(IF(INDEX(RUNS!$L$6:$S$1005,MATCH($D1192,RUNS!$A$6:$A$1005,0),MATCH("ACTIVITÉ "&amp;$F1192,RUNS!$L$5:$S$5,0))="","",INDEX(RUNS!$L$6:$S$1005,MATCH($D1192,RUNS!$A$6:$A$1005,0),MATCH("ACTIVITÉ "&amp;$F1192,RUNS!$L$5:$S$5,0))),""))</f>
        <v/>
      </c>
      <c r="L1192" s="33">
        <f>IF($D1192="","",IFERROR(IF(INDEX(RUNS!$E$6:$E$1005,MATCH($D1192,RUNS!$A$6:$A$1005,0))="","",INDEX(RUNS!$E$6:$E$1005,MATCH($D1192,RUNS!$A$6:$A$1005,0))),""))</f>
        <v/>
      </c>
      <c r="M1192" s="33">
        <f>IF($D1192="","",IFERROR(IF(INDEX(RUNS!$F$6:$F$1005,MATCH($D1192,RUNS!$A$6:$A$1005,0))="","",INDEX(RUNS!$F$6:$F$1005,MATCH($D1192,RUNS!$A$6:$A$1005,0))),""))</f>
        <v/>
      </c>
      <c r="N1192" s="33">
        <f>IF($D1192="","",IFERROR(IF(INDEX(RUNS!$G$6:$G$1005,MATCH($D1192,RUNS!$A$6:$A$1005,0))="","",INDEX(RUNS!$G$6:$G$1005,MATCH($D1192,RUNS!$A$6:$A$1005,0))),""))</f>
        <v/>
      </c>
      <c r="O1192" s="33">
        <f>IF($D1192="","",IFERROR(IF(INDEX(RUNS!$H$6:$H$1005,MATCH($D1192,RUNS!$A$6:$A$1005,0))="","",INDEX(RUNS!$H$6:$H$1005,MATCH($D1192,RUNS!$A$6:$A$1005,0))),""))</f>
        <v/>
      </c>
      <c r="P1192" s="33">
        <f>IF($D1192="","",IFERROR(IF(INDEX(RUNS!$J$6:$J$1005,MATCH($D1192,RUNS!$A$6:$A$1005,0))="","",INDEX(RUNS!$J$6:$J$1005,MATCH($D1192,RUNS!$A$6:$A$1005,0))),""))</f>
        <v/>
      </c>
      <c r="Q1192" s="33">
        <f>IF($D1192="","",IFERROR(IF(INDEX(RUNS!$K$6:$K$1005,MATCH($D1192,RUNS!$A$6:$A$1005,0))="","",INDEX(RUNS!$K$6:$K$1005,MATCH($D1192,RUNS!$A$6:$A$1005,0))),""))</f>
        <v/>
      </c>
      <c r="R1192" s="34">
        <f>IF(OR($L1192="",$K1192=""),"",IFERROR(IF(INDEX(PARAMETRES!$H$43:$H$342,MATCH($L1192&amp;"|"&amp;$M1192&amp;"|"&amp;$N1192&amp;"|"&amp;$O1192&amp;"|"&amp;$P1192&amp;"|"&amp;$Q1192&amp;"|"&amp;$K1192,PARAMETRES!$J$43:$J$342,0))="","",INDEX(PARAMETRES!$H$43:$H$342,MATCH($L1192&amp;"|"&amp;$M1192&amp;"|"&amp;$N1192&amp;"|"&amp;$O1192&amp;"|"&amp;$P1192&amp;"|"&amp;$Q1192&amp;"|"&amp;$K1192,PARAMETRES!$J$43:$J$342,0))),""))</f>
        <v/>
      </c>
      <c r="S1192" s="35">
        <f>IF(OR($G1192="",$X1192&lt;&gt;"VALIDE"),"",IFERROR(LOOKUP(2,1/(($B292:$B1191=$B1192)*($G292:$G1191=$G1192)*($X292:$X1191="VALIDE")),$C292:$C1191),""))</f>
        <v/>
      </c>
      <c r="T1192" s="36">
        <f>IF(OR($C1192="",$S1192=""),"",ROUND(($C1192-$S1192+IF($C1192&lt;$S1192,1,0))*1440,0))</f>
        <v/>
      </c>
      <c r="U1192" s="22">
        <f>IF(OR($H1192="",$T1192="",$T1192&lt;=0),"",$H1192*60/$T1192)</f>
        <v/>
      </c>
      <c r="V1192" s="37">
        <f>IF(OR($U1192="",$R1192="",$R1192=0),"",$U1192/$R1192)</f>
        <v/>
      </c>
      <c r="W1192" s="20">
        <f>IF($G1192="","",IF($X1192="CONTEXTE INCOMPLET","CONTEXTE INCOMPLET",IF($X1192="DOUBLON",StatutDoublon,IF($S1192="",StatutInitial,IF($R1192="",StatutStandardManquant,IF($V1192="","DONNEES INSUFFISANTES",IF($V1192&gt;=SeuilConforme,StatutConforme,IF($V1192&gt;=SeuilSurveiller,StatutSurveiller,StatutSousStandard))))))))</f>
        <v/>
      </c>
      <c r="X1192" s="33">
        <f>IF($G1192="","",IF(OR($D1192="",$E1192="",$F1192=""),"CONTEXTE INCOMPLET",IF(COUNTIFS($D292:$D1191,$D1192,$E292:$E1191,$E1192,$F292:$F1191,$F1192,$G292:$G1191,$G1192)&gt;0,"DOUBLON","VALIDE")))</f>
        <v/>
      </c>
    </row>
    <row r="1193" ht="15" customHeight="1">
      <c r="A1193" s="12">
        <f>IF(OR($B1193="",$G1193=""),"",TEXT($B1193,"YYYYMMDD")&amp;"-"&amp;SUBSTITUTE($E1193," ","")&amp;"-"&amp;$F1193&amp;"-"&amp;$G1193)</f>
        <v/>
      </c>
      <c r="B1193" s="15" t="n"/>
      <c r="C1193" s="16" t="n"/>
      <c r="D1193" s="10" t="n"/>
      <c r="E1193" s="9" t="n"/>
      <c r="F1193" s="9" t="n"/>
      <c r="G1193" s="13" t="n"/>
      <c r="H1193" s="21" t="n"/>
      <c r="I1193" s="21" t="n"/>
      <c r="J1193" s="17">
        <f>IF($G1193="","",IFERROR(INDEX(NomsEmployes,MATCH($G1193,MatriculesEmployes,0)),"MATRICULE INCONNU"))</f>
        <v/>
      </c>
      <c r="K1193" s="33">
        <f>IF(OR($D1193="",$F1193=""),"",IFERROR(IF(INDEX(RUNS!$L$6:$S$1005,MATCH($D1193,RUNS!$A$6:$A$1005,0),MATCH("ACTIVITÉ "&amp;$F1193,RUNS!$L$5:$S$5,0))="","",INDEX(RUNS!$L$6:$S$1005,MATCH($D1193,RUNS!$A$6:$A$1005,0),MATCH("ACTIVITÉ "&amp;$F1193,RUNS!$L$5:$S$5,0))),""))</f>
        <v/>
      </c>
      <c r="L1193" s="33">
        <f>IF($D1193="","",IFERROR(IF(INDEX(RUNS!$E$6:$E$1005,MATCH($D1193,RUNS!$A$6:$A$1005,0))="","",INDEX(RUNS!$E$6:$E$1005,MATCH($D1193,RUNS!$A$6:$A$1005,0))),""))</f>
        <v/>
      </c>
      <c r="M1193" s="33">
        <f>IF($D1193="","",IFERROR(IF(INDEX(RUNS!$F$6:$F$1005,MATCH($D1193,RUNS!$A$6:$A$1005,0))="","",INDEX(RUNS!$F$6:$F$1005,MATCH($D1193,RUNS!$A$6:$A$1005,0))),""))</f>
        <v/>
      </c>
      <c r="N1193" s="33">
        <f>IF($D1193="","",IFERROR(IF(INDEX(RUNS!$G$6:$G$1005,MATCH($D1193,RUNS!$A$6:$A$1005,0))="","",INDEX(RUNS!$G$6:$G$1005,MATCH($D1193,RUNS!$A$6:$A$1005,0))),""))</f>
        <v/>
      </c>
      <c r="O1193" s="33">
        <f>IF($D1193="","",IFERROR(IF(INDEX(RUNS!$H$6:$H$1005,MATCH($D1193,RUNS!$A$6:$A$1005,0))="","",INDEX(RUNS!$H$6:$H$1005,MATCH($D1193,RUNS!$A$6:$A$1005,0))),""))</f>
        <v/>
      </c>
      <c r="P1193" s="33">
        <f>IF($D1193="","",IFERROR(IF(INDEX(RUNS!$J$6:$J$1005,MATCH($D1193,RUNS!$A$6:$A$1005,0))="","",INDEX(RUNS!$J$6:$J$1005,MATCH($D1193,RUNS!$A$6:$A$1005,0))),""))</f>
        <v/>
      </c>
      <c r="Q1193" s="33">
        <f>IF($D1193="","",IFERROR(IF(INDEX(RUNS!$K$6:$K$1005,MATCH($D1193,RUNS!$A$6:$A$1005,0))="","",INDEX(RUNS!$K$6:$K$1005,MATCH($D1193,RUNS!$A$6:$A$1005,0))),""))</f>
        <v/>
      </c>
      <c r="R1193" s="34">
        <f>IF(OR($L1193="",$K1193=""),"",IFERROR(IF(INDEX(PARAMETRES!$H$43:$H$342,MATCH($L1193&amp;"|"&amp;$M1193&amp;"|"&amp;$N1193&amp;"|"&amp;$O1193&amp;"|"&amp;$P1193&amp;"|"&amp;$Q1193&amp;"|"&amp;$K1193,PARAMETRES!$J$43:$J$342,0))="","",INDEX(PARAMETRES!$H$43:$H$342,MATCH($L1193&amp;"|"&amp;$M1193&amp;"|"&amp;$N1193&amp;"|"&amp;$O1193&amp;"|"&amp;$P1193&amp;"|"&amp;$Q1193&amp;"|"&amp;$K1193,PARAMETRES!$J$43:$J$342,0))),""))</f>
        <v/>
      </c>
      <c r="S1193" s="35">
        <f>IF(OR($G1193="",$X1193&lt;&gt;"VALIDE"),"",IFERROR(LOOKUP(2,1/(($B293:$B1192=$B1193)*($G293:$G1192=$G1193)*($X293:$X1192="VALIDE")),$C293:$C1192),""))</f>
        <v/>
      </c>
      <c r="T1193" s="36">
        <f>IF(OR($C1193="",$S1193=""),"",ROUND(($C1193-$S1193+IF($C1193&lt;$S1193,1,0))*1440,0))</f>
        <v/>
      </c>
      <c r="U1193" s="22">
        <f>IF(OR($H1193="",$T1193="",$T1193&lt;=0),"",$H1193*60/$T1193)</f>
        <v/>
      </c>
      <c r="V1193" s="37">
        <f>IF(OR($U1193="",$R1193="",$R1193=0),"",$U1193/$R1193)</f>
        <v/>
      </c>
      <c r="W1193" s="20">
        <f>IF($G1193="","",IF($X1193="CONTEXTE INCOMPLET","CONTEXTE INCOMPLET",IF($X1193="DOUBLON",StatutDoublon,IF($S1193="",StatutInitial,IF($R1193="",StatutStandardManquant,IF($V1193="","DONNEES INSUFFISANTES",IF($V1193&gt;=SeuilConforme,StatutConforme,IF($V1193&gt;=SeuilSurveiller,StatutSurveiller,StatutSousStandard))))))))</f>
        <v/>
      </c>
      <c r="X1193" s="33">
        <f>IF($G1193="","",IF(OR($D1193="",$E1193="",$F1193=""),"CONTEXTE INCOMPLET",IF(COUNTIFS($D293:$D1192,$D1193,$E293:$E1192,$E1193,$F293:$F1192,$F1193,$G293:$G1192,$G1193)&gt;0,"DOUBLON","VALIDE")))</f>
        <v/>
      </c>
    </row>
    <row r="1194" ht="15" customHeight="1">
      <c r="A1194" s="12">
        <f>IF(OR($B1194="",$G1194=""),"",TEXT($B1194,"YYYYMMDD")&amp;"-"&amp;SUBSTITUTE($E1194," ","")&amp;"-"&amp;$F1194&amp;"-"&amp;$G1194)</f>
        <v/>
      </c>
      <c r="B1194" s="15" t="n"/>
      <c r="C1194" s="16" t="n"/>
      <c r="D1194" s="10" t="n"/>
      <c r="E1194" s="9" t="n"/>
      <c r="F1194" s="9" t="n"/>
      <c r="G1194" s="13" t="n"/>
      <c r="H1194" s="21" t="n"/>
      <c r="I1194" s="21" t="n"/>
      <c r="J1194" s="17">
        <f>IF($G1194="","",IFERROR(INDEX(NomsEmployes,MATCH($G1194,MatriculesEmployes,0)),"MATRICULE INCONNU"))</f>
        <v/>
      </c>
      <c r="K1194" s="33">
        <f>IF(OR($D1194="",$F1194=""),"",IFERROR(IF(INDEX(RUNS!$L$6:$S$1005,MATCH($D1194,RUNS!$A$6:$A$1005,0),MATCH("ACTIVITÉ "&amp;$F1194,RUNS!$L$5:$S$5,0))="","",INDEX(RUNS!$L$6:$S$1005,MATCH($D1194,RUNS!$A$6:$A$1005,0),MATCH("ACTIVITÉ "&amp;$F1194,RUNS!$L$5:$S$5,0))),""))</f>
        <v/>
      </c>
      <c r="L1194" s="33">
        <f>IF($D1194="","",IFERROR(IF(INDEX(RUNS!$E$6:$E$1005,MATCH($D1194,RUNS!$A$6:$A$1005,0))="","",INDEX(RUNS!$E$6:$E$1005,MATCH($D1194,RUNS!$A$6:$A$1005,0))),""))</f>
        <v/>
      </c>
      <c r="M1194" s="33">
        <f>IF($D1194="","",IFERROR(IF(INDEX(RUNS!$F$6:$F$1005,MATCH($D1194,RUNS!$A$6:$A$1005,0))="","",INDEX(RUNS!$F$6:$F$1005,MATCH($D1194,RUNS!$A$6:$A$1005,0))),""))</f>
        <v/>
      </c>
      <c r="N1194" s="33">
        <f>IF($D1194="","",IFERROR(IF(INDEX(RUNS!$G$6:$G$1005,MATCH($D1194,RUNS!$A$6:$A$1005,0))="","",INDEX(RUNS!$G$6:$G$1005,MATCH($D1194,RUNS!$A$6:$A$1005,0))),""))</f>
        <v/>
      </c>
      <c r="O1194" s="33">
        <f>IF($D1194="","",IFERROR(IF(INDEX(RUNS!$H$6:$H$1005,MATCH($D1194,RUNS!$A$6:$A$1005,0))="","",INDEX(RUNS!$H$6:$H$1005,MATCH($D1194,RUNS!$A$6:$A$1005,0))),""))</f>
        <v/>
      </c>
      <c r="P1194" s="33">
        <f>IF($D1194="","",IFERROR(IF(INDEX(RUNS!$J$6:$J$1005,MATCH($D1194,RUNS!$A$6:$A$1005,0))="","",INDEX(RUNS!$J$6:$J$1005,MATCH($D1194,RUNS!$A$6:$A$1005,0))),""))</f>
        <v/>
      </c>
      <c r="Q1194" s="33">
        <f>IF($D1194="","",IFERROR(IF(INDEX(RUNS!$K$6:$K$1005,MATCH($D1194,RUNS!$A$6:$A$1005,0))="","",INDEX(RUNS!$K$6:$K$1005,MATCH($D1194,RUNS!$A$6:$A$1005,0))),""))</f>
        <v/>
      </c>
      <c r="R1194" s="34">
        <f>IF(OR($L1194="",$K1194=""),"",IFERROR(IF(INDEX(PARAMETRES!$H$43:$H$342,MATCH($L1194&amp;"|"&amp;$M1194&amp;"|"&amp;$N1194&amp;"|"&amp;$O1194&amp;"|"&amp;$P1194&amp;"|"&amp;$Q1194&amp;"|"&amp;$K1194,PARAMETRES!$J$43:$J$342,0))="","",INDEX(PARAMETRES!$H$43:$H$342,MATCH($L1194&amp;"|"&amp;$M1194&amp;"|"&amp;$N1194&amp;"|"&amp;$O1194&amp;"|"&amp;$P1194&amp;"|"&amp;$Q1194&amp;"|"&amp;$K1194,PARAMETRES!$J$43:$J$342,0))),""))</f>
        <v/>
      </c>
      <c r="S1194" s="35">
        <f>IF(OR($G1194="",$X1194&lt;&gt;"VALIDE"),"",IFERROR(LOOKUP(2,1/(($B294:$B1193=$B1194)*($G294:$G1193=$G1194)*($X294:$X1193="VALIDE")),$C294:$C1193),""))</f>
        <v/>
      </c>
      <c r="T1194" s="36">
        <f>IF(OR($C1194="",$S1194=""),"",ROUND(($C1194-$S1194+IF($C1194&lt;$S1194,1,0))*1440,0))</f>
        <v/>
      </c>
      <c r="U1194" s="22">
        <f>IF(OR($H1194="",$T1194="",$T1194&lt;=0),"",$H1194*60/$T1194)</f>
        <v/>
      </c>
      <c r="V1194" s="37">
        <f>IF(OR($U1194="",$R1194="",$R1194=0),"",$U1194/$R1194)</f>
        <v/>
      </c>
      <c r="W1194" s="20">
        <f>IF($G1194="","",IF($X1194="CONTEXTE INCOMPLET","CONTEXTE INCOMPLET",IF($X1194="DOUBLON",StatutDoublon,IF($S1194="",StatutInitial,IF($R1194="",StatutStandardManquant,IF($V1194="","DONNEES INSUFFISANTES",IF($V1194&gt;=SeuilConforme,StatutConforme,IF($V1194&gt;=SeuilSurveiller,StatutSurveiller,StatutSousStandard))))))))</f>
        <v/>
      </c>
      <c r="X1194" s="33">
        <f>IF($G1194="","",IF(OR($D1194="",$E1194="",$F1194=""),"CONTEXTE INCOMPLET",IF(COUNTIFS($D294:$D1193,$D1194,$E294:$E1193,$E1194,$F294:$F1193,$F1194,$G294:$G1193,$G1194)&gt;0,"DOUBLON","VALIDE")))</f>
        <v/>
      </c>
    </row>
    <row r="1195" ht="15" customHeight="1">
      <c r="A1195" s="12">
        <f>IF(OR($B1195="",$G1195=""),"",TEXT($B1195,"YYYYMMDD")&amp;"-"&amp;SUBSTITUTE($E1195," ","")&amp;"-"&amp;$F1195&amp;"-"&amp;$G1195)</f>
        <v/>
      </c>
      <c r="B1195" s="15" t="n"/>
      <c r="C1195" s="16" t="n"/>
      <c r="D1195" s="10" t="n"/>
      <c r="E1195" s="9" t="n"/>
      <c r="F1195" s="9" t="n"/>
      <c r="G1195" s="13" t="n"/>
      <c r="H1195" s="21" t="n"/>
      <c r="I1195" s="21" t="n"/>
      <c r="J1195" s="17">
        <f>IF($G1195="","",IFERROR(INDEX(NomsEmployes,MATCH($G1195,MatriculesEmployes,0)),"MATRICULE INCONNU"))</f>
        <v/>
      </c>
      <c r="K1195" s="33">
        <f>IF(OR($D1195="",$F1195=""),"",IFERROR(IF(INDEX(RUNS!$L$6:$S$1005,MATCH($D1195,RUNS!$A$6:$A$1005,0),MATCH("ACTIVITÉ "&amp;$F1195,RUNS!$L$5:$S$5,0))="","",INDEX(RUNS!$L$6:$S$1005,MATCH($D1195,RUNS!$A$6:$A$1005,0),MATCH("ACTIVITÉ "&amp;$F1195,RUNS!$L$5:$S$5,0))),""))</f>
        <v/>
      </c>
      <c r="L1195" s="33">
        <f>IF($D1195="","",IFERROR(IF(INDEX(RUNS!$E$6:$E$1005,MATCH($D1195,RUNS!$A$6:$A$1005,0))="","",INDEX(RUNS!$E$6:$E$1005,MATCH($D1195,RUNS!$A$6:$A$1005,0))),""))</f>
        <v/>
      </c>
      <c r="M1195" s="33">
        <f>IF($D1195="","",IFERROR(IF(INDEX(RUNS!$F$6:$F$1005,MATCH($D1195,RUNS!$A$6:$A$1005,0))="","",INDEX(RUNS!$F$6:$F$1005,MATCH($D1195,RUNS!$A$6:$A$1005,0))),""))</f>
        <v/>
      </c>
      <c r="N1195" s="33">
        <f>IF($D1195="","",IFERROR(IF(INDEX(RUNS!$G$6:$G$1005,MATCH($D1195,RUNS!$A$6:$A$1005,0))="","",INDEX(RUNS!$G$6:$G$1005,MATCH($D1195,RUNS!$A$6:$A$1005,0))),""))</f>
        <v/>
      </c>
      <c r="O1195" s="33">
        <f>IF($D1195="","",IFERROR(IF(INDEX(RUNS!$H$6:$H$1005,MATCH($D1195,RUNS!$A$6:$A$1005,0))="","",INDEX(RUNS!$H$6:$H$1005,MATCH($D1195,RUNS!$A$6:$A$1005,0))),""))</f>
        <v/>
      </c>
      <c r="P1195" s="33">
        <f>IF($D1195="","",IFERROR(IF(INDEX(RUNS!$J$6:$J$1005,MATCH($D1195,RUNS!$A$6:$A$1005,0))="","",INDEX(RUNS!$J$6:$J$1005,MATCH($D1195,RUNS!$A$6:$A$1005,0))),""))</f>
        <v/>
      </c>
      <c r="Q1195" s="33">
        <f>IF($D1195="","",IFERROR(IF(INDEX(RUNS!$K$6:$K$1005,MATCH($D1195,RUNS!$A$6:$A$1005,0))="","",INDEX(RUNS!$K$6:$K$1005,MATCH($D1195,RUNS!$A$6:$A$1005,0))),""))</f>
        <v/>
      </c>
      <c r="R1195" s="34">
        <f>IF(OR($L1195="",$K1195=""),"",IFERROR(IF(INDEX(PARAMETRES!$H$43:$H$342,MATCH($L1195&amp;"|"&amp;$M1195&amp;"|"&amp;$N1195&amp;"|"&amp;$O1195&amp;"|"&amp;$P1195&amp;"|"&amp;$Q1195&amp;"|"&amp;$K1195,PARAMETRES!$J$43:$J$342,0))="","",INDEX(PARAMETRES!$H$43:$H$342,MATCH($L1195&amp;"|"&amp;$M1195&amp;"|"&amp;$N1195&amp;"|"&amp;$O1195&amp;"|"&amp;$P1195&amp;"|"&amp;$Q1195&amp;"|"&amp;$K1195,PARAMETRES!$J$43:$J$342,0))),""))</f>
        <v/>
      </c>
      <c r="S1195" s="35">
        <f>IF(OR($G1195="",$X1195&lt;&gt;"VALIDE"),"",IFERROR(LOOKUP(2,1/(($B295:$B1194=$B1195)*($G295:$G1194=$G1195)*($X295:$X1194="VALIDE")),$C295:$C1194),""))</f>
        <v/>
      </c>
      <c r="T1195" s="36">
        <f>IF(OR($C1195="",$S1195=""),"",ROUND(($C1195-$S1195+IF($C1195&lt;$S1195,1,0))*1440,0))</f>
        <v/>
      </c>
      <c r="U1195" s="22">
        <f>IF(OR($H1195="",$T1195="",$T1195&lt;=0),"",$H1195*60/$T1195)</f>
        <v/>
      </c>
      <c r="V1195" s="37">
        <f>IF(OR($U1195="",$R1195="",$R1195=0),"",$U1195/$R1195)</f>
        <v/>
      </c>
      <c r="W1195" s="20">
        <f>IF($G1195="","",IF($X1195="CONTEXTE INCOMPLET","CONTEXTE INCOMPLET",IF($X1195="DOUBLON",StatutDoublon,IF($S1195="",StatutInitial,IF($R1195="",StatutStandardManquant,IF($V1195="","DONNEES INSUFFISANTES",IF($V1195&gt;=SeuilConforme,StatutConforme,IF($V1195&gt;=SeuilSurveiller,StatutSurveiller,StatutSousStandard))))))))</f>
        <v/>
      </c>
      <c r="X1195" s="33">
        <f>IF($G1195="","",IF(OR($D1195="",$E1195="",$F1195=""),"CONTEXTE INCOMPLET",IF(COUNTIFS($D295:$D1194,$D1195,$E295:$E1194,$E1195,$F295:$F1194,$F1195,$G295:$G1194,$G1195)&gt;0,"DOUBLON","VALIDE")))</f>
        <v/>
      </c>
    </row>
    <row r="1196" ht="15" customHeight="1">
      <c r="A1196" s="12">
        <f>IF(OR($B1196="",$G1196=""),"",TEXT($B1196,"YYYYMMDD")&amp;"-"&amp;SUBSTITUTE($E1196," ","")&amp;"-"&amp;$F1196&amp;"-"&amp;$G1196)</f>
        <v/>
      </c>
      <c r="B1196" s="15" t="n"/>
      <c r="C1196" s="16" t="n"/>
      <c r="D1196" s="10" t="n"/>
      <c r="E1196" s="9" t="n"/>
      <c r="F1196" s="9" t="n"/>
      <c r="G1196" s="13" t="n"/>
      <c r="H1196" s="21" t="n"/>
      <c r="I1196" s="21" t="n"/>
      <c r="J1196" s="17">
        <f>IF($G1196="","",IFERROR(INDEX(NomsEmployes,MATCH($G1196,MatriculesEmployes,0)),"MATRICULE INCONNU"))</f>
        <v/>
      </c>
      <c r="K1196" s="33">
        <f>IF(OR($D1196="",$F1196=""),"",IFERROR(IF(INDEX(RUNS!$L$6:$S$1005,MATCH($D1196,RUNS!$A$6:$A$1005,0),MATCH("ACTIVITÉ "&amp;$F1196,RUNS!$L$5:$S$5,0))="","",INDEX(RUNS!$L$6:$S$1005,MATCH($D1196,RUNS!$A$6:$A$1005,0),MATCH("ACTIVITÉ "&amp;$F1196,RUNS!$L$5:$S$5,0))),""))</f>
        <v/>
      </c>
      <c r="L1196" s="33">
        <f>IF($D1196="","",IFERROR(IF(INDEX(RUNS!$E$6:$E$1005,MATCH($D1196,RUNS!$A$6:$A$1005,0))="","",INDEX(RUNS!$E$6:$E$1005,MATCH($D1196,RUNS!$A$6:$A$1005,0))),""))</f>
        <v/>
      </c>
      <c r="M1196" s="33">
        <f>IF($D1196="","",IFERROR(IF(INDEX(RUNS!$F$6:$F$1005,MATCH($D1196,RUNS!$A$6:$A$1005,0))="","",INDEX(RUNS!$F$6:$F$1005,MATCH($D1196,RUNS!$A$6:$A$1005,0))),""))</f>
        <v/>
      </c>
      <c r="N1196" s="33">
        <f>IF($D1196="","",IFERROR(IF(INDEX(RUNS!$G$6:$G$1005,MATCH($D1196,RUNS!$A$6:$A$1005,0))="","",INDEX(RUNS!$G$6:$G$1005,MATCH($D1196,RUNS!$A$6:$A$1005,0))),""))</f>
        <v/>
      </c>
      <c r="O1196" s="33">
        <f>IF($D1196="","",IFERROR(IF(INDEX(RUNS!$H$6:$H$1005,MATCH($D1196,RUNS!$A$6:$A$1005,0))="","",INDEX(RUNS!$H$6:$H$1005,MATCH($D1196,RUNS!$A$6:$A$1005,0))),""))</f>
        <v/>
      </c>
      <c r="P1196" s="33">
        <f>IF($D1196="","",IFERROR(IF(INDEX(RUNS!$J$6:$J$1005,MATCH($D1196,RUNS!$A$6:$A$1005,0))="","",INDEX(RUNS!$J$6:$J$1005,MATCH($D1196,RUNS!$A$6:$A$1005,0))),""))</f>
        <v/>
      </c>
      <c r="Q1196" s="33">
        <f>IF($D1196="","",IFERROR(IF(INDEX(RUNS!$K$6:$K$1005,MATCH($D1196,RUNS!$A$6:$A$1005,0))="","",INDEX(RUNS!$K$6:$K$1005,MATCH($D1196,RUNS!$A$6:$A$1005,0))),""))</f>
        <v/>
      </c>
      <c r="R1196" s="34">
        <f>IF(OR($L1196="",$K1196=""),"",IFERROR(IF(INDEX(PARAMETRES!$H$43:$H$342,MATCH($L1196&amp;"|"&amp;$M1196&amp;"|"&amp;$N1196&amp;"|"&amp;$O1196&amp;"|"&amp;$P1196&amp;"|"&amp;$Q1196&amp;"|"&amp;$K1196,PARAMETRES!$J$43:$J$342,0))="","",INDEX(PARAMETRES!$H$43:$H$342,MATCH($L1196&amp;"|"&amp;$M1196&amp;"|"&amp;$N1196&amp;"|"&amp;$O1196&amp;"|"&amp;$P1196&amp;"|"&amp;$Q1196&amp;"|"&amp;$K1196,PARAMETRES!$J$43:$J$342,0))),""))</f>
        <v/>
      </c>
      <c r="S1196" s="35">
        <f>IF(OR($G1196="",$X1196&lt;&gt;"VALIDE"),"",IFERROR(LOOKUP(2,1/(($B296:$B1195=$B1196)*($G296:$G1195=$G1196)*($X296:$X1195="VALIDE")),$C296:$C1195),""))</f>
        <v/>
      </c>
      <c r="T1196" s="36">
        <f>IF(OR($C1196="",$S1196=""),"",ROUND(($C1196-$S1196+IF($C1196&lt;$S1196,1,0))*1440,0))</f>
        <v/>
      </c>
      <c r="U1196" s="22">
        <f>IF(OR($H1196="",$T1196="",$T1196&lt;=0),"",$H1196*60/$T1196)</f>
        <v/>
      </c>
      <c r="V1196" s="37">
        <f>IF(OR($U1196="",$R1196="",$R1196=0),"",$U1196/$R1196)</f>
        <v/>
      </c>
      <c r="W1196" s="20">
        <f>IF($G1196="","",IF($X1196="CONTEXTE INCOMPLET","CONTEXTE INCOMPLET",IF($X1196="DOUBLON",StatutDoublon,IF($S1196="",StatutInitial,IF($R1196="",StatutStandardManquant,IF($V1196="","DONNEES INSUFFISANTES",IF($V1196&gt;=SeuilConforme,StatutConforme,IF($V1196&gt;=SeuilSurveiller,StatutSurveiller,StatutSousStandard))))))))</f>
        <v/>
      </c>
      <c r="X1196" s="33">
        <f>IF($G1196="","",IF(OR($D1196="",$E1196="",$F1196=""),"CONTEXTE INCOMPLET",IF(COUNTIFS($D296:$D1195,$D1196,$E296:$E1195,$E1196,$F296:$F1195,$F1196,$G296:$G1195,$G1196)&gt;0,"DOUBLON","VALIDE")))</f>
        <v/>
      </c>
    </row>
    <row r="1197" ht="15" customHeight="1">
      <c r="A1197" s="12">
        <f>IF(OR($B1197="",$G1197=""),"",TEXT($B1197,"YYYYMMDD")&amp;"-"&amp;SUBSTITUTE($E1197," ","")&amp;"-"&amp;$F1197&amp;"-"&amp;$G1197)</f>
        <v/>
      </c>
      <c r="B1197" s="15" t="n"/>
      <c r="C1197" s="16" t="n"/>
      <c r="D1197" s="10" t="n"/>
      <c r="E1197" s="9" t="n"/>
      <c r="F1197" s="9" t="n"/>
      <c r="G1197" s="13" t="n"/>
      <c r="H1197" s="21" t="n"/>
      <c r="I1197" s="21" t="n"/>
      <c r="J1197" s="17">
        <f>IF($G1197="","",IFERROR(INDEX(NomsEmployes,MATCH($G1197,MatriculesEmployes,0)),"MATRICULE INCONNU"))</f>
        <v/>
      </c>
      <c r="K1197" s="33">
        <f>IF(OR($D1197="",$F1197=""),"",IFERROR(IF(INDEX(RUNS!$L$6:$S$1005,MATCH($D1197,RUNS!$A$6:$A$1005,0),MATCH("ACTIVITÉ "&amp;$F1197,RUNS!$L$5:$S$5,0))="","",INDEX(RUNS!$L$6:$S$1005,MATCH($D1197,RUNS!$A$6:$A$1005,0),MATCH("ACTIVITÉ "&amp;$F1197,RUNS!$L$5:$S$5,0))),""))</f>
        <v/>
      </c>
      <c r="L1197" s="33">
        <f>IF($D1197="","",IFERROR(IF(INDEX(RUNS!$E$6:$E$1005,MATCH($D1197,RUNS!$A$6:$A$1005,0))="","",INDEX(RUNS!$E$6:$E$1005,MATCH($D1197,RUNS!$A$6:$A$1005,0))),""))</f>
        <v/>
      </c>
      <c r="M1197" s="33">
        <f>IF($D1197="","",IFERROR(IF(INDEX(RUNS!$F$6:$F$1005,MATCH($D1197,RUNS!$A$6:$A$1005,0))="","",INDEX(RUNS!$F$6:$F$1005,MATCH($D1197,RUNS!$A$6:$A$1005,0))),""))</f>
        <v/>
      </c>
      <c r="N1197" s="33">
        <f>IF($D1197="","",IFERROR(IF(INDEX(RUNS!$G$6:$G$1005,MATCH($D1197,RUNS!$A$6:$A$1005,0))="","",INDEX(RUNS!$G$6:$G$1005,MATCH($D1197,RUNS!$A$6:$A$1005,0))),""))</f>
        <v/>
      </c>
      <c r="O1197" s="33">
        <f>IF($D1197="","",IFERROR(IF(INDEX(RUNS!$H$6:$H$1005,MATCH($D1197,RUNS!$A$6:$A$1005,0))="","",INDEX(RUNS!$H$6:$H$1005,MATCH($D1197,RUNS!$A$6:$A$1005,0))),""))</f>
        <v/>
      </c>
      <c r="P1197" s="33">
        <f>IF($D1197="","",IFERROR(IF(INDEX(RUNS!$J$6:$J$1005,MATCH($D1197,RUNS!$A$6:$A$1005,0))="","",INDEX(RUNS!$J$6:$J$1005,MATCH($D1197,RUNS!$A$6:$A$1005,0))),""))</f>
        <v/>
      </c>
      <c r="Q1197" s="33">
        <f>IF($D1197="","",IFERROR(IF(INDEX(RUNS!$K$6:$K$1005,MATCH($D1197,RUNS!$A$6:$A$1005,0))="","",INDEX(RUNS!$K$6:$K$1005,MATCH($D1197,RUNS!$A$6:$A$1005,0))),""))</f>
        <v/>
      </c>
      <c r="R1197" s="34">
        <f>IF(OR($L1197="",$K1197=""),"",IFERROR(IF(INDEX(PARAMETRES!$H$43:$H$342,MATCH($L1197&amp;"|"&amp;$M1197&amp;"|"&amp;$N1197&amp;"|"&amp;$O1197&amp;"|"&amp;$P1197&amp;"|"&amp;$Q1197&amp;"|"&amp;$K1197,PARAMETRES!$J$43:$J$342,0))="","",INDEX(PARAMETRES!$H$43:$H$342,MATCH($L1197&amp;"|"&amp;$M1197&amp;"|"&amp;$N1197&amp;"|"&amp;$O1197&amp;"|"&amp;$P1197&amp;"|"&amp;$Q1197&amp;"|"&amp;$K1197,PARAMETRES!$J$43:$J$342,0))),""))</f>
        <v/>
      </c>
      <c r="S1197" s="35">
        <f>IF(OR($G1197="",$X1197&lt;&gt;"VALIDE"),"",IFERROR(LOOKUP(2,1/(($B297:$B1196=$B1197)*($G297:$G1196=$G1197)*($X297:$X1196="VALIDE")),$C297:$C1196),""))</f>
        <v/>
      </c>
      <c r="T1197" s="36">
        <f>IF(OR($C1197="",$S1197=""),"",ROUND(($C1197-$S1197+IF($C1197&lt;$S1197,1,0))*1440,0))</f>
        <v/>
      </c>
      <c r="U1197" s="22">
        <f>IF(OR($H1197="",$T1197="",$T1197&lt;=0),"",$H1197*60/$T1197)</f>
        <v/>
      </c>
      <c r="V1197" s="37">
        <f>IF(OR($U1197="",$R1197="",$R1197=0),"",$U1197/$R1197)</f>
        <v/>
      </c>
      <c r="W1197" s="20">
        <f>IF($G1197="","",IF($X1197="CONTEXTE INCOMPLET","CONTEXTE INCOMPLET",IF($X1197="DOUBLON",StatutDoublon,IF($S1197="",StatutInitial,IF($R1197="",StatutStandardManquant,IF($V1197="","DONNEES INSUFFISANTES",IF($V1197&gt;=SeuilConforme,StatutConforme,IF($V1197&gt;=SeuilSurveiller,StatutSurveiller,StatutSousStandard))))))))</f>
        <v/>
      </c>
      <c r="X1197" s="33">
        <f>IF($G1197="","",IF(OR($D1197="",$E1197="",$F1197=""),"CONTEXTE INCOMPLET",IF(COUNTIFS($D297:$D1196,$D1197,$E297:$E1196,$E1197,$F297:$F1196,$F1197,$G297:$G1196,$G1197)&gt;0,"DOUBLON","VALIDE")))</f>
        <v/>
      </c>
    </row>
    <row r="1198" ht="15" customHeight="1">
      <c r="A1198" s="12">
        <f>IF(OR($B1198="",$G1198=""),"",TEXT($B1198,"YYYYMMDD")&amp;"-"&amp;SUBSTITUTE($E1198," ","")&amp;"-"&amp;$F1198&amp;"-"&amp;$G1198)</f>
        <v/>
      </c>
      <c r="B1198" s="15" t="n"/>
      <c r="C1198" s="16" t="n"/>
      <c r="D1198" s="10" t="n"/>
      <c r="E1198" s="9" t="n"/>
      <c r="F1198" s="9" t="n"/>
      <c r="G1198" s="13" t="n"/>
      <c r="H1198" s="21" t="n"/>
      <c r="I1198" s="21" t="n"/>
      <c r="J1198" s="17">
        <f>IF($G1198="","",IFERROR(INDEX(NomsEmployes,MATCH($G1198,MatriculesEmployes,0)),"MATRICULE INCONNU"))</f>
        <v/>
      </c>
      <c r="K1198" s="33">
        <f>IF(OR($D1198="",$F1198=""),"",IFERROR(IF(INDEX(RUNS!$L$6:$S$1005,MATCH($D1198,RUNS!$A$6:$A$1005,0),MATCH("ACTIVITÉ "&amp;$F1198,RUNS!$L$5:$S$5,0))="","",INDEX(RUNS!$L$6:$S$1005,MATCH($D1198,RUNS!$A$6:$A$1005,0),MATCH("ACTIVITÉ "&amp;$F1198,RUNS!$L$5:$S$5,0))),""))</f>
        <v/>
      </c>
      <c r="L1198" s="33">
        <f>IF($D1198="","",IFERROR(IF(INDEX(RUNS!$E$6:$E$1005,MATCH($D1198,RUNS!$A$6:$A$1005,0))="","",INDEX(RUNS!$E$6:$E$1005,MATCH($D1198,RUNS!$A$6:$A$1005,0))),""))</f>
        <v/>
      </c>
      <c r="M1198" s="33">
        <f>IF($D1198="","",IFERROR(IF(INDEX(RUNS!$F$6:$F$1005,MATCH($D1198,RUNS!$A$6:$A$1005,0))="","",INDEX(RUNS!$F$6:$F$1005,MATCH($D1198,RUNS!$A$6:$A$1005,0))),""))</f>
        <v/>
      </c>
      <c r="N1198" s="33">
        <f>IF($D1198="","",IFERROR(IF(INDEX(RUNS!$G$6:$G$1005,MATCH($D1198,RUNS!$A$6:$A$1005,0))="","",INDEX(RUNS!$G$6:$G$1005,MATCH($D1198,RUNS!$A$6:$A$1005,0))),""))</f>
        <v/>
      </c>
      <c r="O1198" s="33">
        <f>IF($D1198="","",IFERROR(IF(INDEX(RUNS!$H$6:$H$1005,MATCH($D1198,RUNS!$A$6:$A$1005,0))="","",INDEX(RUNS!$H$6:$H$1005,MATCH($D1198,RUNS!$A$6:$A$1005,0))),""))</f>
        <v/>
      </c>
      <c r="P1198" s="33">
        <f>IF($D1198="","",IFERROR(IF(INDEX(RUNS!$J$6:$J$1005,MATCH($D1198,RUNS!$A$6:$A$1005,0))="","",INDEX(RUNS!$J$6:$J$1005,MATCH($D1198,RUNS!$A$6:$A$1005,0))),""))</f>
        <v/>
      </c>
      <c r="Q1198" s="33">
        <f>IF($D1198="","",IFERROR(IF(INDEX(RUNS!$K$6:$K$1005,MATCH($D1198,RUNS!$A$6:$A$1005,0))="","",INDEX(RUNS!$K$6:$K$1005,MATCH($D1198,RUNS!$A$6:$A$1005,0))),""))</f>
        <v/>
      </c>
      <c r="R1198" s="34">
        <f>IF(OR($L1198="",$K1198=""),"",IFERROR(IF(INDEX(PARAMETRES!$H$43:$H$342,MATCH($L1198&amp;"|"&amp;$M1198&amp;"|"&amp;$N1198&amp;"|"&amp;$O1198&amp;"|"&amp;$P1198&amp;"|"&amp;$Q1198&amp;"|"&amp;$K1198,PARAMETRES!$J$43:$J$342,0))="","",INDEX(PARAMETRES!$H$43:$H$342,MATCH($L1198&amp;"|"&amp;$M1198&amp;"|"&amp;$N1198&amp;"|"&amp;$O1198&amp;"|"&amp;$P1198&amp;"|"&amp;$Q1198&amp;"|"&amp;$K1198,PARAMETRES!$J$43:$J$342,0))),""))</f>
        <v/>
      </c>
      <c r="S1198" s="35">
        <f>IF(OR($G1198="",$X1198&lt;&gt;"VALIDE"),"",IFERROR(LOOKUP(2,1/(($B298:$B1197=$B1198)*($G298:$G1197=$G1198)*($X298:$X1197="VALIDE")),$C298:$C1197),""))</f>
        <v/>
      </c>
      <c r="T1198" s="36">
        <f>IF(OR($C1198="",$S1198=""),"",ROUND(($C1198-$S1198+IF($C1198&lt;$S1198,1,0))*1440,0))</f>
        <v/>
      </c>
      <c r="U1198" s="22">
        <f>IF(OR($H1198="",$T1198="",$T1198&lt;=0),"",$H1198*60/$T1198)</f>
        <v/>
      </c>
      <c r="V1198" s="37">
        <f>IF(OR($U1198="",$R1198="",$R1198=0),"",$U1198/$R1198)</f>
        <v/>
      </c>
      <c r="W1198" s="20">
        <f>IF($G1198="","",IF($X1198="CONTEXTE INCOMPLET","CONTEXTE INCOMPLET",IF($X1198="DOUBLON",StatutDoublon,IF($S1198="",StatutInitial,IF($R1198="",StatutStandardManquant,IF($V1198="","DONNEES INSUFFISANTES",IF($V1198&gt;=SeuilConforme,StatutConforme,IF($V1198&gt;=SeuilSurveiller,StatutSurveiller,StatutSousStandard))))))))</f>
        <v/>
      </c>
      <c r="X1198" s="33">
        <f>IF($G1198="","",IF(OR($D1198="",$E1198="",$F1198=""),"CONTEXTE INCOMPLET",IF(COUNTIFS($D298:$D1197,$D1198,$E298:$E1197,$E1198,$F298:$F1197,$F1198,$G298:$G1197,$G1198)&gt;0,"DOUBLON","VALIDE")))</f>
        <v/>
      </c>
    </row>
    <row r="1199" ht="15" customHeight="1">
      <c r="A1199" s="12">
        <f>IF(OR($B1199="",$G1199=""),"",TEXT($B1199,"YYYYMMDD")&amp;"-"&amp;SUBSTITUTE($E1199," ","")&amp;"-"&amp;$F1199&amp;"-"&amp;$G1199)</f>
        <v/>
      </c>
      <c r="B1199" s="15" t="n"/>
      <c r="C1199" s="16" t="n"/>
      <c r="D1199" s="10" t="n"/>
      <c r="E1199" s="9" t="n"/>
      <c r="F1199" s="9" t="n"/>
      <c r="G1199" s="13" t="n"/>
      <c r="H1199" s="21" t="n"/>
      <c r="I1199" s="21" t="n"/>
      <c r="J1199" s="17">
        <f>IF($G1199="","",IFERROR(INDEX(NomsEmployes,MATCH($G1199,MatriculesEmployes,0)),"MATRICULE INCONNU"))</f>
        <v/>
      </c>
      <c r="K1199" s="33">
        <f>IF(OR($D1199="",$F1199=""),"",IFERROR(IF(INDEX(RUNS!$L$6:$S$1005,MATCH($D1199,RUNS!$A$6:$A$1005,0),MATCH("ACTIVITÉ "&amp;$F1199,RUNS!$L$5:$S$5,0))="","",INDEX(RUNS!$L$6:$S$1005,MATCH($D1199,RUNS!$A$6:$A$1005,0),MATCH("ACTIVITÉ "&amp;$F1199,RUNS!$L$5:$S$5,0))),""))</f>
        <v/>
      </c>
      <c r="L1199" s="33">
        <f>IF($D1199="","",IFERROR(IF(INDEX(RUNS!$E$6:$E$1005,MATCH($D1199,RUNS!$A$6:$A$1005,0))="","",INDEX(RUNS!$E$6:$E$1005,MATCH($D1199,RUNS!$A$6:$A$1005,0))),""))</f>
        <v/>
      </c>
      <c r="M1199" s="33">
        <f>IF($D1199="","",IFERROR(IF(INDEX(RUNS!$F$6:$F$1005,MATCH($D1199,RUNS!$A$6:$A$1005,0))="","",INDEX(RUNS!$F$6:$F$1005,MATCH($D1199,RUNS!$A$6:$A$1005,0))),""))</f>
        <v/>
      </c>
      <c r="N1199" s="33">
        <f>IF($D1199="","",IFERROR(IF(INDEX(RUNS!$G$6:$G$1005,MATCH($D1199,RUNS!$A$6:$A$1005,0))="","",INDEX(RUNS!$G$6:$G$1005,MATCH($D1199,RUNS!$A$6:$A$1005,0))),""))</f>
        <v/>
      </c>
      <c r="O1199" s="33">
        <f>IF($D1199="","",IFERROR(IF(INDEX(RUNS!$H$6:$H$1005,MATCH($D1199,RUNS!$A$6:$A$1005,0))="","",INDEX(RUNS!$H$6:$H$1005,MATCH($D1199,RUNS!$A$6:$A$1005,0))),""))</f>
        <v/>
      </c>
      <c r="P1199" s="33">
        <f>IF($D1199="","",IFERROR(IF(INDEX(RUNS!$J$6:$J$1005,MATCH($D1199,RUNS!$A$6:$A$1005,0))="","",INDEX(RUNS!$J$6:$J$1005,MATCH($D1199,RUNS!$A$6:$A$1005,0))),""))</f>
        <v/>
      </c>
      <c r="Q1199" s="33">
        <f>IF($D1199="","",IFERROR(IF(INDEX(RUNS!$K$6:$K$1005,MATCH($D1199,RUNS!$A$6:$A$1005,0))="","",INDEX(RUNS!$K$6:$K$1005,MATCH($D1199,RUNS!$A$6:$A$1005,0))),""))</f>
        <v/>
      </c>
      <c r="R1199" s="34">
        <f>IF(OR($L1199="",$K1199=""),"",IFERROR(IF(INDEX(PARAMETRES!$H$43:$H$342,MATCH($L1199&amp;"|"&amp;$M1199&amp;"|"&amp;$N1199&amp;"|"&amp;$O1199&amp;"|"&amp;$P1199&amp;"|"&amp;$Q1199&amp;"|"&amp;$K1199,PARAMETRES!$J$43:$J$342,0))="","",INDEX(PARAMETRES!$H$43:$H$342,MATCH($L1199&amp;"|"&amp;$M1199&amp;"|"&amp;$N1199&amp;"|"&amp;$O1199&amp;"|"&amp;$P1199&amp;"|"&amp;$Q1199&amp;"|"&amp;$K1199,PARAMETRES!$J$43:$J$342,0))),""))</f>
        <v/>
      </c>
      <c r="S1199" s="35">
        <f>IF(OR($G1199="",$X1199&lt;&gt;"VALIDE"),"",IFERROR(LOOKUP(2,1/(($B299:$B1198=$B1199)*($G299:$G1198=$G1199)*($X299:$X1198="VALIDE")),$C299:$C1198),""))</f>
        <v/>
      </c>
      <c r="T1199" s="36">
        <f>IF(OR($C1199="",$S1199=""),"",ROUND(($C1199-$S1199+IF($C1199&lt;$S1199,1,0))*1440,0))</f>
        <v/>
      </c>
      <c r="U1199" s="22">
        <f>IF(OR($H1199="",$T1199="",$T1199&lt;=0),"",$H1199*60/$T1199)</f>
        <v/>
      </c>
      <c r="V1199" s="37">
        <f>IF(OR($U1199="",$R1199="",$R1199=0),"",$U1199/$R1199)</f>
        <v/>
      </c>
      <c r="W1199" s="20">
        <f>IF($G1199="","",IF($X1199="CONTEXTE INCOMPLET","CONTEXTE INCOMPLET",IF($X1199="DOUBLON",StatutDoublon,IF($S1199="",StatutInitial,IF($R1199="",StatutStandardManquant,IF($V1199="","DONNEES INSUFFISANTES",IF($V1199&gt;=SeuilConforme,StatutConforme,IF($V1199&gt;=SeuilSurveiller,StatutSurveiller,StatutSousStandard))))))))</f>
        <v/>
      </c>
      <c r="X1199" s="33">
        <f>IF($G1199="","",IF(OR($D1199="",$E1199="",$F1199=""),"CONTEXTE INCOMPLET",IF(COUNTIFS($D299:$D1198,$D1199,$E299:$E1198,$E1199,$F299:$F1198,$F1199,$G299:$G1198,$G1199)&gt;0,"DOUBLON","VALIDE")))</f>
        <v/>
      </c>
    </row>
    <row r="1200" ht="15" customHeight="1">
      <c r="A1200" s="12">
        <f>IF(OR($B1200="",$G1200=""),"",TEXT($B1200,"YYYYMMDD")&amp;"-"&amp;SUBSTITUTE($E1200," ","")&amp;"-"&amp;$F1200&amp;"-"&amp;$G1200)</f>
        <v/>
      </c>
      <c r="B1200" s="15" t="n"/>
      <c r="C1200" s="16" t="n"/>
      <c r="D1200" s="10" t="n"/>
      <c r="E1200" s="9" t="n"/>
      <c r="F1200" s="9" t="n"/>
      <c r="G1200" s="13" t="n"/>
      <c r="H1200" s="21" t="n"/>
      <c r="I1200" s="21" t="n"/>
      <c r="J1200" s="17">
        <f>IF($G1200="","",IFERROR(INDEX(NomsEmployes,MATCH($G1200,MatriculesEmployes,0)),"MATRICULE INCONNU"))</f>
        <v/>
      </c>
      <c r="K1200" s="33">
        <f>IF(OR($D1200="",$F1200=""),"",IFERROR(IF(INDEX(RUNS!$L$6:$S$1005,MATCH($D1200,RUNS!$A$6:$A$1005,0),MATCH("ACTIVITÉ "&amp;$F1200,RUNS!$L$5:$S$5,0))="","",INDEX(RUNS!$L$6:$S$1005,MATCH($D1200,RUNS!$A$6:$A$1005,0),MATCH("ACTIVITÉ "&amp;$F1200,RUNS!$L$5:$S$5,0))),""))</f>
        <v/>
      </c>
      <c r="L1200" s="33">
        <f>IF($D1200="","",IFERROR(IF(INDEX(RUNS!$E$6:$E$1005,MATCH($D1200,RUNS!$A$6:$A$1005,0))="","",INDEX(RUNS!$E$6:$E$1005,MATCH($D1200,RUNS!$A$6:$A$1005,0))),""))</f>
        <v/>
      </c>
      <c r="M1200" s="33">
        <f>IF($D1200="","",IFERROR(IF(INDEX(RUNS!$F$6:$F$1005,MATCH($D1200,RUNS!$A$6:$A$1005,0))="","",INDEX(RUNS!$F$6:$F$1005,MATCH($D1200,RUNS!$A$6:$A$1005,0))),""))</f>
        <v/>
      </c>
      <c r="N1200" s="33">
        <f>IF($D1200="","",IFERROR(IF(INDEX(RUNS!$G$6:$G$1005,MATCH($D1200,RUNS!$A$6:$A$1005,0))="","",INDEX(RUNS!$G$6:$G$1005,MATCH($D1200,RUNS!$A$6:$A$1005,0))),""))</f>
        <v/>
      </c>
      <c r="O1200" s="33">
        <f>IF($D1200="","",IFERROR(IF(INDEX(RUNS!$H$6:$H$1005,MATCH($D1200,RUNS!$A$6:$A$1005,0))="","",INDEX(RUNS!$H$6:$H$1005,MATCH($D1200,RUNS!$A$6:$A$1005,0))),""))</f>
        <v/>
      </c>
      <c r="P1200" s="33">
        <f>IF($D1200="","",IFERROR(IF(INDEX(RUNS!$J$6:$J$1005,MATCH($D1200,RUNS!$A$6:$A$1005,0))="","",INDEX(RUNS!$J$6:$J$1005,MATCH($D1200,RUNS!$A$6:$A$1005,0))),""))</f>
        <v/>
      </c>
      <c r="Q1200" s="33">
        <f>IF($D1200="","",IFERROR(IF(INDEX(RUNS!$K$6:$K$1005,MATCH($D1200,RUNS!$A$6:$A$1005,0))="","",INDEX(RUNS!$K$6:$K$1005,MATCH($D1200,RUNS!$A$6:$A$1005,0))),""))</f>
        <v/>
      </c>
      <c r="R1200" s="34">
        <f>IF(OR($L1200="",$K1200=""),"",IFERROR(IF(INDEX(PARAMETRES!$H$43:$H$342,MATCH($L1200&amp;"|"&amp;$M1200&amp;"|"&amp;$N1200&amp;"|"&amp;$O1200&amp;"|"&amp;$P1200&amp;"|"&amp;$Q1200&amp;"|"&amp;$K1200,PARAMETRES!$J$43:$J$342,0))="","",INDEX(PARAMETRES!$H$43:$H$342,MATCH($L1200&amp;"|"&amp;$M1200&amp;"|"&amp;$N1200&amp;"|"&amp;$O1200&amp;"|"&amp;$P1200&amp;"|"&amp;$Q1200&amp;"|"&amp;$K1200,PARAMETRES!$J$43:$J$342,0))),""))</f>
        <v/>
      </c>
      <c r="S1200" s="35">
        <f>IF(OR($G1200="",$X1200&lt;&gt;"VALIDE"),"",IFERROR(LOOKUP(2,1/(($B300:$B1199=$B1200)*($G300:$G1199=$G1200)*($X300:$X1199="VALIDE")),$C300:$C1199),""))</f>
        <v/>
      </c>
      <c r="T1200" s="36">
        <f>IF(OR($C1200="",$S1200=""),"",ROUND(($C1200-$S1200+IF($C1200&lt;$S1200,1,0))*1440,0))</f>
        <v/>
      </c>
      <c r="U1200" s="22">
        <f>IF(OR($H1200="",$T1200="",$T1200&lt;=0),"",$H1200*60/$T1200)</f>
        <v/>
      </c>
      <c r="V1200" s="37">
        <f>IF(OR($U1200="",$R1200="",$R1200=0),"",$U1200/$R1200)</f>
        <v/>
      </c>
      <c r="W1200" s="20">
        <f>IF($G1200="","",IF($X1200="CONTEXTE INCOMPLET","CONTEXTE INCOMPLET",IF($X1200="DOUBLON",StatutDoublon,IF($S1200="",StatutInitial,IF($R1200="",StatutStandardManquant,IF($V1200="","DONNEES INSUFFISANTES",IF($V1200&gt;=SeuilConforme,StatutConforme,IF($V1200&gt;=SeuilSurveiller,StatutSurveiller,StatutSousStandard))))))))</f>
        <v/>
      </c>
      <c r="X1200" s="33">
        <f>IF($G1200="","",IF(OR($D1200="",$E1200="",$F1200=""),"CONTEXTE INCOMPLET",IF(COUNTIFS($D300:$D1199,$D1200,$E300:$E1199,$E1200,$F300:$F1199,$F1200,$G300:$G1199,$G1200)&gt;0,"DOUBLON","VALIDE")))</f>
        <v/>
      </c>
    </row>
    <row r="1201" ht="15" customHeight="1">
      <c r="A1201" s="12">
        <f>IF(OR($B1201="",$G1201=""),"",TEXT($B1201,"YYYYMMDD")&amp;"-"&amp;SUBSTITUTE($E1201," ","")&amp;"-"&amp;$F1201&amp;"-"&amp;$G1201)</f>
        <v/>
      </c>
      <c r="B1201" s="15" t="n"/>
      <c r="C1201" s="16" t="n"/>
      <c r="D1201" s="10" t="n"/>
      <c r="E1201" s="9" t="n"/>
      <c r="F1201" s="9" t="n"/>
      <c r="G1201" s="13" t="n"/>
      <c r="H1201" s="21" t="n"/>
      <c r="I1201" s="21" t="n"/>
      <c r="J1201" s="17">
        <f>IF($G1201="","",IFERROR(INDEX(NomsEmployes,MATCH($G1201,MatriculesEmployes,0)),"MATRICULE INCONNU"))</f>
        <v/>
      </c>
      <c r="K1201" s="33">
        <f>IF(OR($D1201="",$F1201=""),"",IFERROR(IF(INDEX(RUNS!$L$6:$S$1005,MATCH($D1201,RUNS!$A$6:$A$1005,0),MATCH("ACTIVITÉ "&amp;$F1201,RUNS!$L$5:$S$5,0))="","",INDEX(RUNS!$L$6:$S$1005,MATCH($D1201,RUNS!$A$6:$A$1005,0),MATCH("ACTIVITÉ "&amp;$F1201,RUNS!$L$5:$S$5,0))),""))</f>
        <v/>
      </c>
      <c r="L1201" s="33">
        <f>IF($D1201="","",IFERROR(IF(INDEX(RUNS!$E$6:$E$1005,MATCH($D1201,RUNS!$A$6:$A$1005,0))="","",INDEX(RUNS!$E$6:$E$1005,MATCH($D1201,RUNS!$A$6:$A$1005,0))),""))</f>
        <v/>
      </c>
      <c r="M1201" s="33">
        <f>IF($D1201="","",IFERROR(IF(INDEX(RUNS!$F$6:$F$1005,MATCH($D1201,RUNS!$A$6:$A$1005,0))="","",INDEX(RUNS!$F$6:$F$1005,MATCH($D1201,RUNS!$A$6:$A$1005,0))),""))</f>
        <v/>
      </c>
      <c r="N1201" s="33">
        <f>IF($D1201="","",IFERROR(IF(INDEX(RUNS!$G$6:$G$1005,MATCH($D1201,RUNS!$A$6:$A$1005,0))="","",INDEX(RUNS!$G$6:$G$1005,MATCH($D1201,RUNS!$A$6:$A$1005,0))),""))</f>
        <v/>
      </c>
      <c r="O1201" s="33">
        <f>IF($D1201="","",IFERROR(IF(INDEX(RUNS!$H$6:$H$1005,MATCH($D1201,RUNS!$A$6:$A$1005,0))="","",INDEX(RUNS!$H$6:$H$1005,MATCH($D1201,RUNS!$A$6:$A$1005,0))),""))</f>
        <v/>
      </c>
      <c r="P1201" s="33">
        <f>IF($D1201="","",IFERROR(IF(INDEX(RUNS!$J$6:$J$1005,MATCH($D1201,RUNS!$A$6:$A$1005,0))="","",INDEX(RUNS!$J$6:$J$1005,MATCH($D1201,RUNS!$A$6:$A$1005,0))),""))</f>
        <v/>
      </c>
      <c r="Q1201" s="33">
        <f>IF($D1201="","",IFERROR(IF(INDEX(RUNS!$K$6:$K$1005,MATCH($D1201,RUNS!$A$6:$A$1005,0))="","",INDEX(RUNS!$K$6:$K$1005,MATCH($D1201,RUNS!$A$6:$A$1005,0))),""))</f>
        <v/>
      </c>
      <c r="R1201" s="34">
        <f>IF(OR($L1201="",$K1201=""),"",IFERROR(IF(INDEX(PARAMETRES!$H$43:$H$342,MATCH($L1201&amp;"|"&amp;$M1201&amp;"|"&amp;$N1201&amp;"|"&amp;$O1201&amp;"|"&amp;$P1201&amp;"|"&amp;$Q1201&amp;"|"&amp;$K1201,PARAMETRES!$J$43:$J$342,0))="","",INDEX(PARAMETRES!$H$43:$H$342,MATCH($L1201&amp;"|"&amp;$M1201&amp;"|"&amp;$N1201&amp;"|"&amp;$O1201&amp;"|"&amp;$P1201&amp;"|"&amp;$Q1201&amp;"|"&amp;$K1201,PARAMETRES!$J$43:$J$342,0))),""))</f>
        <v/>
      </c>
      <c r="S1201" s="35">
        <f>IF(OR($G1201="",$X1201&lt;&gt;"VALIDE"),"",IFERROR(LOOKUP(2,1/(($B301:$B1200=$B1201)*($G301:$G1200=$G1201)*($X301:$X1200="VALIDE")),$C301:$C1200),""))</f>
        <v/>
      </c>
      <c r="T1201" s="36">
        <f>IF(OR($C1201="",$S1201=""),"",ROUND(($C1201-$S1201+IF($C1201&lt;$S1201,1,0))*1440,0))</f>
        <v/>
      </c>
      <c r="U1201" s="22">
        <f>IF(OR($H1201="",$T1201="",$T1201&lt;=0),"",$H1201*60/$T1201)</f>
        <v/>
      </c>
      <c r="V1201" s="37">
        <f>IF(OR($U1201="",$R1201="",$R1201=0),"",$U1201/$R1201)</f>
        <v/>
      </c>
      <c r="W1201" s="20">
        <f>IF($G1201="","",IF($X1201="CONTEXTE INCOMPLET","CONTEXTE INCOMPLET",IF($X1201="DOUBLON",StatutDoublon,IF($S1201="",StatutInitial,IF($R1201="",StatutStandardManquant,IF($V1201="","DONNEES INSUFFISANTES",IF($V1201&gt;=SeuilConforme,StatutConforme,IF($V1201&gt;=SeuilSurveiller,StatutSurveiller,StatutSousStandard))))))))</f>
        <v/>
      </c>
      <c r="X1201" s="33">
        <f>IF($G1201="","",IF(OR($D1201="",$E1201="",$F1201=""),"CONTEXTE INCOMPLET",IF(COUNTIFS($D301:$D1200,$D1201,$E301:$E1200,$E1201,$F301:$F1200,$F1201,$G301:$G1200,$G1201)&gt;0,"DOUBLON","VALIDE")))</f>
        <v/>
      </c>
    </row>
    <row r="1202" ht="15" customHeight="1">
      <c r="A1202" s="12">
        <f>IF(OR($B1202="",$G1202=""),"",TEXT($B1202,"YYYYMMDD")&amp;"-"&amp;SUBSTITUTE($E1202," ","")&amp;"-"&amp;$F1202&amp;"-"&amp;$G1202)</f>
        <v/>
      </c>
      <c r="B1202" s="15" t="n"/>
      <c r="C1202" s="16" t="n"/>
      <c r="D1202" s="10" t="n"/>
      <c r="E1202" s="9" t="n"/>
      <c r="F1202" s="9" t="n"/>
      <c r="G1202" s="13" t="n"/>
      <c r="H1202" s="21" t="n"/>
      <c r="I1202" s="21" t="n"/>
      <c r="J1202" s="17">
        <f>IF($G1202="","",IFERROR(INDEX(NomsEmployes,MATCH($G1202,MatriculesEmployes,0)),"MATRICULE INCONNU"))</f>
        <v/>
      </c>
      <c r="K1202" s="33">
        <f>IF(OR($D1202="",$F1202=""),"",IFERROR(IF(INDEX(RUNS!$L$6:$S$1005,MATCH($D1202,RUNS!$A$6:$A$1005,0),MATCH("ACTIVITÉ "&amp;$F1202,RUNS!$L$5:$S$5,0))="","",INDEX(RUNS!$L$6:$S$1005,MATCH($D1202,RUNS!$A$6:$A$1005,0),MATCH("ACTIVITÉ "&amp;$F1202,RUNS!$L$5:$S$5,0))),""))</f>
        <v/>
      </c>
      <c r="L1202" s="33">
        <f>IF($D1202="","",IFERROR(IF(INDEX(RUNS!$E$6:$E$1005,MATCH($D1202,RUNS!$A$6:$A$1005,0))="","",INDEX(RUNS!$E$6:$E$1005,MATCH($D1202,RUNS!$A$6:$A$1005,0))),""))</f>
        <v/>
      </c>
      <c r="M1202" s="33">
        <f>IF($D1202="","",IFERROR(IF(INDEX(RUNS!$F$6:$F$1005,MATCH($D1202,RUNS!$A$6:$A$1005,0))="","",INDEX(RUNS!$F$6:$F$1005,MATCH($D1202,RUNS!$A$6:$A$1005,0))),""))</f>
        <v/>
      </c>
      <c r="N1202" s="33">
        <f>IF($D1202="","",IFERROR(IF(INDEX(RUNS!$G$6:$G$1005,MATCH($D1202,RUNS!$A$6:$A$1005,0))="","",INDEX(RUNS!$G$6:$G$1005,MATCH($D1202,RUNS!$A$6:$A$1005,0))),""))</f>
        <v/>
      </c>
      <c r="O1202" s="33">
        <f>IF($D1202="","",IFERROR(IF(INDEX(RUNS!$H$6:$H$1005,MATCH($D1202,RUNS!$A$6:$A$1005,0))="","",INDEX(RUNS!$H$6:$H$1005,MATCH($D1202,RUNS!$A$6:$A$1005,0))),""))</f>
        <v/>
      </c>
      <c r="P1202" s="33">
        <f>IF($D1202="","",IFERROR(IF(INDEX(RUNS!$J$6:$J$1005,MATCH($D1202,RUNS!$A$6:$A$1005,0))="","",INDEX(RUNS!$J$6:$J$1005,MATCH($D1202,RUNS!$A$6:$A$1005,0))),""))</f>
        <v/>
      </c>
      <c r="Q1202" s="33">
        <f>IF($D1202="","",IFERROR(IF(INDEX(RUNS!$K$6:$K$1005,MATCH($D1202,RUNS!$A$6:$A$1005,0))="","",INDEX(RUNS!$K$6:$K$1005,MATCH($D1202,RUNS!$A$6:$A$1005,0))),""))</f>
        <v/>
      </c>
      <c r="R1202" s="34">
        <f>IF(OR($L1202="",$K1202=""),"",IFERROR(IF(INDEX(PARAMETRES!$H$43:$H$342,MATCH($L1202&amp;"|"&amp;$M1202&amp;"|"&amp;$N1202&amp;"|"&amp;$O1202&amp;"|"&amp;$P1202&amp;"|"&amp;$Q1202&amp;"|"&amp;$K1202,PARAMETRES!$J$43:$J$342,0))="","",INDEX(PARAMETRES!$H$43:$H$342,MATCH($L1202&amp;"|"&amp;$M1202&amp;"|"&amp;$N1202&amp;"|"&amp;$O1202&amp;"|"&amp;$P1202&amp;"|"&amp;$Q1202&amp;"|"&amp;$K1202,PARAMETRES!$J$43:$J$342,0))),""))</f>
        <v/>
      </c>
      <c r="S1202" s="35">
        <f>IF(OR($G1202="",$X1202&lt;&gt;"VALIDE"),"",IFERROR(LOOKUP(2,1/(($B302:$B1201=$B1202)*($G302:$G1201=$G1202)*($X302:$X1201="VALIDE")),$C302:$C1201),""))</f>
        <v/>
      </c>
      <c r="T1202" s="36">
        <f>IF(OR($C1202="",$S1202=""),"",ROUND(($C1202-$S1202+IF($C1202&lt;$S1202,1,0))*1440,0))</f>
        <v/>
      </c>
      <c r="U1202" s="22">
        <f>IF(OR($H1202="",$T1202="",$T1202&lt;=0),"",$H1202*60/$T1202)</f>
        <v/>
      </c>
      <c r="V1202" s="37">
        <f>IF(OR($U1202="",$R1202="",$R1202=0),"",$U1202/$R1202)</f>
        <v/>
      </c>
      <c r="W1202" s="20">
        <f>IF($G1202="","",IF($X1202="CONTEXTE INCOMPLET","CONTEXTE INCOMPLET",IF($X1202="DOUBLON",StatutDoublon,IF($S1202="",StatutInitial,IF($R1202="",StatutStandardManquant,IF($V1202="","DONNEES INSUFFISANTES",IF($V1202&gt;=SeuilConforme,StatutConforme,IF($V1202&gt;=SeuilSurveiller,StatutSurveiller,StatutSousStandard))))))))</f>
        <v/>
      </c>
      <c r="X1202" s="33">
        <f>IF($G1202="","",IF(OR($D1202="",$E1202="",$F1202=""),"CONTEXTE INCOMPLET",IF(COUNTIFS($D302:$D1201,$D1202,$E302:$E1201,$E1202,$F302:$F1201,$F1202,$G302:$G1201,$G1202)&gt;0,"DOUBLON","VALIDE")))</f>
        <v/>
      </c>
    </row>
    <row r="1203" ht="15" customHeight="1">
      <c r="A1203" s="12">
        <f>IF(OR($B1203="",$G1203=""),"",TEXT($B1203,"YYYYMMDD")&amp;"-"&amp;SUBSTITUTE($E1203," ","")&amp;"-"&amp;$F1203&amp;"-"&amp;$G1203)</f>
        <v/>
      </c>
      <c r="B1203" s="15" t="n"/>
      <c r="C1203" s="16" t="n"/>
      <c r="D1203" s="10" t="n"/>
      <c r="E1203" s="9" t="n"/>
      <c r="F1203" s="9" t="n"/>
      <c r="G1203" s="13" t="n"/>
      <c r="H1203" s="21" t="n"/>
      <c r="I1203" s="21" t="n"/>
      <c r="J1203" s="17">
        <f>IF($G1203="","",IFERROR(INDEX(NomsEmployes,MATCH($G1203,MatriculesEmployes,0)),"MATRICULE INCONNU"))</f>
        <v/>
      </c>
      <c r="K1203" s="33">
        <f>IF(OR($D1203="",$F1203=""),"",IFERROR(IF(INDEX(RUNS!$L$6:$S$1005,MATCH($D1203,RUNS!$A$6:$A$1005,0),MATCH("ACTIVITÉ "&amp;$F1203,RUNS!$L$5:$S$5,0))="","",INDEX(RUNS!$L$6:$S$1005,MATCH($D1203,RUNS!$A$6:$A$1005,0),MATCH("ACTIVITÉ "&amp;$F1203,RUNS!$L$5:$S$5,0))),""))</f>
        <v/>
      </c>
      <c r="L1203" s="33">
        <f>IF($D1203="","",IFERROR(IF(INDEX(RUNS!$E$6:$E$1005,MATCH($D1203,RUNS!$A$6:$A$1005,0))="","",INDEX(RUNS!$E$6:$E$1005,MATCH($D1203,RUNS!$A$6:$A$1005,0))),""))</f>
        <v/>
      </c>
      <c r="M1203" s="33">
        <f>IF($D1203="","",IFERROR(IF(INDEX(RUNS!$F$6:$F$1005,MATCH($D1203,RUNS!$A$6:$A$1005,0))="","",INDEX(RUNS!$F$6:$F$1005,MATCH($D1203,RUNS!$A$6:$A$1005,0))),""))</f>
        <v/>
      </c>
      <c r="N1203" s="33">
        <f>IF($D1203="","",IFERROR(IF(INDEX(RUNS!$G$6:$G$1005,MATCH($D1203,RUNS!$A$6:$A$1005,0))="","",INDEX(RUNS!$G$6:$G$1005,MATCH($D1203,RUNS!$A$6:$A$1005,0))),""))</f>
        <v/>
      </c>
      <c r="O1203" s="33">
        <f>IF($D1203="","",IFERROR(IF(INDEX(RUNS!$H$6:$H$1005,MATCH($D1203,RUNS!$A$6:$A$1005,0))="","",INDEX(RUNS!$H$6:$H$1005,MATCH($D1203,RUNS!$A$6:$A$1005,0))),""))</f>
        <v/>
      </c>
      <c r="P1203" s="33">
        <f>IF($D1203="","",IFERROR(IF(INDEX(RUNS!$J$6:$J$1005,MATCH($D1203,RUNS!$A$6:$A$1005,0))="","",INDEX(RUNS!$J$6:$J$1005,MATCH($D1203,RUNS!$A$6:$A$1005,0))),""))</f>
        <v/>
      </c>
      <c r="Q1203" s="33">
        <f>IF($D1203="","",IFERROR(IF(INDEX(RUNS!$K$6:$K$1005,MATCH($D1203,RUNS!$A$6:$A$1005,0))="","",INDEX(RUNS!$K$6:$K$1005,MATCH($D1203,RUNS!$A$6:$A$1005,0))),""))</f>
        <v/>
      </c>
      <c r="R1203" s="34">
        <f>IF(OR($L1203="",$K1203=""),"",IFERROR(IF(INDEX(PARAMETRES!$H$43:$H$342,MATCH($L1203&amp;"|"&amp;$M1203&amp;"|"&amp;$N1203&amp;"|"&amp;$O1203&amp;"|"&amp;$P1203&amp;"|"&amp;$Q1203&amp;"|"&amp;$K1203,PARAMETRES!$J$43:$J$342,0))="","",INDEX(PARAMETRES!$H$43:$H$342,MATCH($L1203&amp;"|"&amp;$M1203&amp;"|"&amp;$N1203&amp;"|"&amp;$O1203&amp;"|"&amp;$P1203&amp;"|"&amp;$Q1203&amp;"|"&amp;$K1203,PARAMETRES!$J$43:$J$342,0))),""))</f>
        <v/>
      </c>
      <c r="S1203" s="35">
        <f>IF(OR($G1203="",$X1203&lt;&gt;"VALIDE"),"",IFERROR(LOOKUP(2,1/(($B303:$B1202=$B1203)*($G303:$G1202=$G1203)*($X303:$X1202="VALIDE")),$C303:$C1202),""))</f>
        <v/>
      </c>
      <c r="T1203" s="36">
        <f>IF(OR($C1203="",$S1203=""),"",ROUND(($C1203-$S1203+IF($C1203&lt;$S1203,1,0))*1440,0))</f>
        <v/>
      </c>
      <c r="U1203" s="22">
        <f>IF(OR($H1203="",$T1203="",$T1203&lt;=0),"",$H1203*60/$T1203)</f>
        <v/>
      </c>
      <c r="V1203" s="37">
        <f>IF(OR($U1203="",$R1203="",$R1203=0),"",$U1203/$R1203)</f>
        <v/>
      </c>
      <c r="W1203" s="20">
        <f>IF($G1203="","",IF($X1203="CONTEXTE INCOMPLET","CONTEXTE INCOMPLET",IF($X1203="DOUBLON",StatutDoublon,IF($S1203="",StatutInitial,IF($R1203="",StatutStandardManquant,IF($V1203="","DONNEES INSUFFISANTES",IF($V1203&gt;=SeuilConforme,StatutConforme,IF($V1203&gt;=SeuilSurveiller,StatutSurveiller,StatutSousStandard))))))))</f>
        <v/>
      </c>
      <c r="X1203" s="33">
        <f>IF($G1203="","",IF(OR($D1203="",$E1203="",$F1203=""),"CONTEXTE INCOMPLET",IF(COUNTIFS($D303:$D1202,$D1203,$E303:$E1202,$E1203,$F303:$F1202,$F1203,$G303:$G1202,$G1203)&gt;0,"DOUBLON","VALIDE")))</f>
        <v/>
      </c>
    </row>
    <row r="1204" ht="15" customHeight="1">
      <c r="A1204" s="12">
        <f>IF(OR($B1204="",$G1204=""),"",TEXT($B1204,"YYYYMMDD")&amp;"-"&amp;SUBSTITUTE($E1204," ","")&amp;"-"&amp;$F1204&amp;"-"&amp;$G1204)</f>
        <v/>
      </c>
      <c r="B1204" s="15" t="n"/>
      <c r="C1204" s="16" t="n"/>
      <c r="D1204" s="10" t="n"/>
      <c r="E1204" s="9" t="n"/>
      <c r="F1204" s="9" t="n"/>
      <c r="G1204" s="13" t="n"/>
      <c r="H1204" s="21" t="n"/>
      <c r="I1204" s="21" t="n"/>
      <c r="J1204" s="17">
        <f>IF($G1204="","",IFERROR(INDEX(NomsEmployes,MATCH($G1204,MatriculesEmployes,0)),"MATRICULE INCONNU"))</f>
        <v/>
      </c>
      <c r="K1204" s="33">
        <f>IF(OR($D1204="",$F1204=""),"",IFERROR(IF(INDEX(RUNS!$L$6:$S$1005,MATCH($D1204,RUNS!$A$6:$A$1005,0),MATCH("ACTIVITÉ "&amp;$F1204,RUNS!$L$5:$S$5,0))="","",INDEX(RUNS!$L$6:$S$1005,MATCH($D1204,RUNS!$A$6:$A$1005,0),MATCH("ACTIVITÉ "&amp;$F1204,RUNS!$L$5:$S$5,0))),""))</f>
        <v/>
      </c>
      <c r="L1204" s="33">
        <f>IF($D1204="","",IFERROR(IF(INDEX(RUNS!$E$6:$E$1005,MATCH($D1204,RUNS!$A$6:$A$1005,0))="","",INDEX(RUNS!$E$6:$E$1005,MATCH($D1204,RUNS!$A$6:$A$1005,0))),""))</f>
        <v/>
      </c>
      <c r="M1204" s="33">
        <f>IF($D1204="","",IFERROR(IF(INDEX(RUNS!$F$6:$F$1005,MATCH($D1204,RUNS!$A$6:$A$1005,0))="","",INDEX(RUNS!$F$6:$F$1005,MATCH($D1204,RUNS!$A$6:$A$1005,0))),""))</f>
        <v/>
      </c>
      <c r="N1204" s="33">
        <f>IF($D1204="","",IFERROR(IF(INDEX(RUNS!$G$6:$G$1005,MATCH($D1204,RUNS!$A$6:$A$1005,0))="","",INDEX(RUNS!$G$6:$G$1005,MATCH($D1204,RUNS!$A$6:$A$1005,0))),""))</f>
        <v/>
      </c>
      <c r="O1204" s="33">
        <f>IF($D1204="","",IFERROR(IF(INDEX(RUNS!$H$6:$H$1005,MATCH($D1204,RUNS!$A$6:$A$1005,0))="","",INDEX(RUNS!$H$6:$H$1005,MATCH($D1204,RUNS!$A$6:$A$1005,0))),""))</f>
        <v/>
      </c>
      <c r="P1204" s="33">
        <f>IF($D1204="","",IFERROR(IF(INDEX(RUNS!$J$6:$J$1005,MATCH($D1204,RUNS!$A$6:$A$1005,0))="","",INDEX(RUNS!$J$6:$J$1005,MATCH($D1204,RUNS!$A$6:$A$1005,0))),""))</f>
        <v/>
      </c>
      <c r="Q1204" s="33">
        <f>IF($D1204="","",IFERROR(IF(INDEX(RUNS!$K$6:$K$1005,MATCH($D1204,RUNS!$A$6:$A$1005,0))="","",INDEX(RUNS!$K$6:$K$1005,MATCH($D1204,RUNS!$A$6:$A$1005,0))),""))</f>
        <v/>
      </c>
      <c r="R1204" s="34">
        <f>IF(OR($L1204="",$K1204=""),"",IFERROR(IF(INDEX(PARAMETRES!$H$43:$H$342,MATCH($L1204&amp;"|"&amp;$M1204&amp;"|"&amp;$N1204&amp;"|"&amp;$O1204&amp;"|"&amp;$P1204&amp;"|"&amp;$Q1204&amp;"|"&amp;$K1204,PARAMETRES!$J$43:$J$342,0))="","",INDEX(PARAMETRES!$H$43:$H$342,MATCH($L1204&amp;"|"&amp;$M1204&amp;"|"&amp;$N1204&amp;"|"&amp;$O1204&amp;"|"&amp;$P1204&amp;"|"&amp;$Q1204&amp;"|"&amp;$K1204,PARAMETRES!$J$43:$J$342,0))),""))</f>
        <v/>
      </c>
      <c r="S1204" s="35">
        <f>IF(OR($G1204="",$X1204&lt;&gt;"VALIDE"),"",IFERROR(LOOKUP(2,1/(($B304:$B1203=$B1204)*($G304:$G1203=$G1204)*($X304:$X1203="VALIDE")),$C304:$C1203),""))</f>
        <v/>
      </c>
      <c r="T1204" s="36">
        <f>IF(OR($C1204="",$S1204=""),"",ROUND(($C1204-$S1204+IF($C1204&lt;$S1204,1,0))*1440,0))</f>
        <v/>
      </c>
      <c r="U1204" s="22">
        <f>IF(OR($H1204="",$T1204="",$T1204&lt;=0),"",$H1204*60/$T1204)</f>
        <v/>
      </c>
      <c r="V1204" s="37">
        <f>IF(OR($U1204="",$R1204="",$R1204=0),"",$U1204/$R1204)</f>
        <v/>
      </c>
      <c r="W1204" s="20">
        <f>IF($G1204="","",IF($X1204="CONTEXTE INCOMPLET","CONTEXTE INCOMPLET",IF($X1204="DOUBLON",StatutDoublon,IF($S1204="",StatutInitial,IF($R1204="",StatutStandardManquant,IF($V1204="","DONNEES INSUFFISANTES",IF($V1204&gt;=SeuilConforme,StatutConforme,IF($V1204&gt;=SeuilSurveiller,StatutSurveiller,StatutSousStandard))))))))</f>
        <v/>
      </c>
      <c r="X1204" s="33">
        <f>IF($G1204="","",IF(OR($D1204="",$E1204="",$F1204=""),"CONTEXTE INCOMPLET",IF(COUNTIFS($D304:$D1203,$D1204,$E304:$E1203,$E1204,$F304:$F1203,$F1204,$G304:$G1203,$G1204)&gt;0,"DOUBLON","VALIDE")))</f>
        <v/>
      </c>
    </row>
    <row r="1205" ht="15" customHeight="1">
      <c r="A1205" s="12">
        <f>IF(OR($B1205="",$G1205=""),"",TEXT($B1205,"YYYYMMDD")&amp;"-"&amp;SUBSTITUTE($E1205," ","")&amp;"-"&amp;$F1205&amp;"-"&amp;$G1205)</f>
        <v/>
      </c>
      <c r="B1205" s="15" t="n"/>
      <c r="C1205" s="16" t="n"/>
      <c r="D1205" s="10" t="n"/>
      <c r="E1205" s="9" t="n"/>
      <c r="F1205" s="9" t="n"/>
      <c r="G1205" s="13" t="n"/>
      <c r="H1205" s="21" t="n"/>
      <c r="I1205" s="21" t="n"/>
      <c r="J1205" s="17">
        <f>IF($G1205="","",IFERROR(INDEX(NomsEmployes,MATCH($G1205,MatriculesEmployes,0)),"MATRICULE INCONNU"))</f>
        <v/>
      </c>
      <c r="K1205" s="33">
        <f>IF(OR($D1205="",$F1205=""),"",IFERROR(IF(INDEX(RUNS!$L$6:$S$1005,MATCH($D1205,RUNS!$A$6:$A$1005,0),MATCH("ACTIVITÉ "&amp;$F1205,RUNS!$L$5:$S$5,0))="","",INDEX(RUNS!$L$6:$S$1005,MATCH($D1205,RUNS!$A$6:$A$1005,0),MATCH("ACTIVITÉ "&amp;$F1205,RUNS!$L$5:$S$5,0))),""))</f>
        <v/>
      </c>
      <c r="L1205" s="33">
        <f>IF($D1205="","",IFERROR(IF(INDEX(RUNS!$E$6:$E$1005,MATCH($D1205,RUNS!$A$6:$A$1005,0))="","",INDEX(RUNS!$E$6:$E$1005,MATCH($D1205,RUNS!$A$6:$A$1005,0))),""))</f>
        <v/>
      </c>
      <c r="M1205" s="33">
        <f>IF($D1205="","",IFERROR(IF(INDEX(RUNS!$F$6:$F$1005,MATCH($D1205,RUNS!$A$6:$A$1005,0))="","",INDEX(RUNS!$F$6:$F$1005,MATCH($D1205,RUNS!$A$6:$A$1005,0))),""))</f>
        <v/>
      </c>
      <c r="N1205" s="33">
        <f>IF($D1205="","",IFERROR(IF(INDEX(RUNS!$G$6:$G$1005,MATCH($D1205,RUNS!$A$6:$A$1005,0))="","",INDEX(RUNS!$G$6:$G$1005,MATCH($D1205,RUNS!$A$6:$A$1005,0))),""))</f>
        <v/>
      </c>
      <c r="O1205" s="33">
        <f>IF($D1205="","",IFERROR(IF(INDEX(RUNS!$H$6:$H$1005,MATCH($D1205,RUNS!$A$6:$A$1005,0))="","",INDEX(RUNS!$H$6:$H$1005,MATCH($D1205,RUNS!$A$6:$A$1005,0))),""))</f>
        <v/>
      </c>
      <c r="P1205" s="33">
        <f>IF($D1205="","",IFERROR(IF(INDEX(RUNS!$J$6:$J$1005,MATCH($D1205,RUNS!$A$6:$A$1005,0))="","",INDEX(RUNS!$J$6:$J$1005,MATCH($D1205,RUNS!$A$6:$A$1005,0))),""))</f>
        <v/>
      </c>
      <c r="Q1205" s="33">
        <f>IF($D1205="","",IFERROR(IF(INDEX(RUNS!$K$6:$K$1005,MATCH($D1205,RUNS!$A$6:$A$1005,0))="","",INDEX(RUNS!$K$6:$K$1005,MATCH($D1205,RUNS!$A$6:$A$1005,0))),""))</f>
        <v/>
      </c>
      <c r="R1205" s="34">
        <f>IF(OR($L1205="",$K1205=""),"",IFERROR(IF(INDEX(PARAMETRES!$H$43:$H$342,MATCH($L1205&amp;"|"&amp;$M1205&amp;"|"&amp;$N1205&amp;"|"&amp;$O1205&amp;"|"&amp;$P1205&amp;"|"&amp;$Q1205&amp;"|"&amp;$K1205,PARAMETRES!$J$43:$J$342,0))="","",INDEX(PARAMETRES!$H$43:$H$342,MATCH($L1205&amp;"|"&amp;$M1205&amp;"|"&amp;$N1205&amp;"|"&amp;$O1205&amp;"|"&amp;$P1205&amp;"|"&amp;$Q1205&amp;"|"&amp;$K1205,PARAMETRES!$J$43:$J$342,0))),""))</f>
        <v/>
      </c>
      <c r="S1205" s="35">
        <f>IF(OR($G1205="",$X1205&lt;&gt;"VALIDE"),"",IFERROR(LOOKUP(2,1/(($B305:$B1204=$B1205)*($G305:$G1204=$G1205)*($X305:$X1204="VALIDE")),$C305:$C1204),""))</f>
        <v/>
      </c>
      <c r="T1205" s="36">
        <f>IF(OR($C1205="",$S1205=""),"",ROUND(($C1205-$S1205+IF($C1205&lt;$S1205,1,0))*1440,0))</f>
        <v/>
      </c>
      <c r="U1205" s="22">
        <f>IF(OR($H1205="",$T1205="",$T1205&lt;=0),"",$H1205*60/$T1205)</f>
        <v/>
      </c>
      <c r="V1205" s="37">
        <f>IF(OR($U1205="",$R1205="",$R1205=0),"",$U1205/$R1205)</f>
        <v/>
      </c>
      <c r="W1205" s="20">
        <f>IF($G1205="","",IF($X1205="CONTEXTE INCOMPLET","CONTEXTE INCOMPLET",IF($X1205="DOUBLON",StatutDoublon,IF($S1205="",StatutInitial,IF($R1205="",StatutStandardManquant,IF($V1205="","DONNEES INSUFFISANTES",IF($V1205&gt;=SeuilConforme,StatutConforme,IF($V1205&gt;=SeuilSurveiller,StatutSurveiller,StatutSousStandard))))))))</f>
        <v/>
      </c>
      <c r="X1205" s="33">
        <f>IF($G1205="","",IF(OR($D1205="",$E1205="",$F1205=""),"CONTEXTE INCOMPLET",IF(COUNTIFS($D305:$D1204,$D1205,$E305:$E1204,$E1205,$F305:$F1204,$F1205,$G305:$G1204,$G1205)&gt;0,"DOUBLON","VALIDE")))</f>
        <v/>
      </c>
    </row>
    <row r="1206" ht="15" customHeight="1">
      <c r="A1206" s="12">
        <f>IF(OR($B1206="",$G1206=""),"",TEXT($B1206,"YYYYMMDD")&amp;"-"&amp;SUBSTITUTE($E1206," ","")&amp;"-"&amp;$F1206&amp;"-"&amp;$G1206)</f>
        <v/>
      </c>
      <c r="B1206" s="15" t="n"/>
      <c r="C1206" s="16" t="n"/>
      <c r="D1206" s="10" t="n"/>
      <c r="E1206" s="9" t="n"/>
      <c r="F1206" s="9" t="n"/>
      <c r="G1206" s="13" t="n"/>
      <c r="H1206" s="21" t="n"/>
      <c r="I1206" s="21" t="n"/>
      <c r="J1206" s="17">
        <f>IF($G1206="","",IFERROR(INDEX(NomsEmployes,MATCH($G1206,MatriculesEmployes,0)),"MATRICULE INCONNU"))</f>
        <v/>
      </c>
      <c r="K1206" s="33">
        <f>IF(OR($D1206="",$F1206=""),"",IFERROR(IF(INDEX(RUNS!$L$6:$S$1005,MATCH($D1206,RUNS!$A$6:$A$1005,0),MATCH("ACTIVITÉ "&amp;$F1206,RUNS!$L$5:$S$5,0))="","",INDEX(RUNS!$L$6:$S$1005,MATCH($D1206,RUNS!$A$6:$A$1005,0),MATCH("ACTIVITÉ "&amp;$F1206,RUNS!$L$5:$S$5,0))),""))</f>
        <v/>
      </c>
      <c r="L1206" s="33">
        <f>IF($D1206="","",IFERROR(IF(INDEX(RUNS!$E$6:$E$1005,MATCH($D1206,RUNS!$A$6:$A$1005,0))="","",INDEX(RUNS!$E$6:$E$1005,MATCH($D1206,RUNS!$A$6:$A$1005,0))),""))</f>
        <v/>
      </c>
      <c r="M1206" s="33">
        <f>IF($D1206="","",IFERROR(IF(INDEX(RUNS!$F$6:$F$1005,MATCH($D1206,RUNS!$A$6:$A$1005,0))="","",INDEX(RUNS!$F$6:$F$1005,MATCH($D1206,RUNS!$A$6:$A$1005,0))),""))</f>
        <v/>
      </c>
      <c r="N1206" s="33">
        <f>IF($D1206="","",IFERROR(IF(INDEX(RUNS!$G$6:$G$1005,MATCH($D1206,RUNS!$A$6:$A$1005,0))="","",INDEX(RUNS!$G$6:$G$1005,MATCH($D1206,RUNS!$A$6:$A$1005,0))),""))</f>
        <v/>
      </c>
      <c r="O1206" s="33">
        <f>IF($D1206="","",IFERROR(IF(INDEX(RUNS!$H$6:$H$1005,MATCH($D1206,RUNS!$A$6:$A$1005,0))="","",INDEX(RUNS!$H$6:$H$1005,MATCH($D1206,RUNS!$A$6:$A$1005,0))),""))</f>
        <v/>
      </c>
      <c r="P1206" s="33">
        <f>IF($D1206="","",IFERROR(IF(INDEX(RUNS!$J$6:$J$1005,MATCH($D1206,RUNS!$A$6:$A$1005,0))="","",INDEX(RUNS!$J$6:$J$1005,MATCH($D1206,RUNS!$A$6:$A$1005,0))),""))</f>
        <v/>
      </c>
      <c r="Q1206" s="33">
        <f>IF($D1206="","",IFERROR(IF(INDEX(RUNS!$K$6:$K$1005,MATCH($D1206,RUNS!$A$6:$A$1005,0))="","",INDEX(RUNS!$K$6:$K$1005,MATCH($D1206,RUNS!$A$6:$A$1005,0))),""))</f>
        <v/>
      </c>
      <c r="R1206" s="34">
        <f>IF(OR($L1206="",$K1206=""),"",IFERROR(IF(INDEX(PARAMETRES!$H$43:$H$342,MATCH($L1206&amp;"|"&amp;$M1206&amp;"|"&amp;$N1206&amp;"|"&amp;$O1206&amp;"|"&amp;$P1206&amp;"|"&amp;$Q1206&amp;"|"&amp;$K1206,PARAMETRES!$J$43:$J$342,0))="","",INDEX(PARAMETRES!$H$43:$H$342,MATCH($L1206&amp;"|"&amp;$M1206&amp;"|"&amp;$N1206&amp;"|"&amp;$O1206&amp;"|"&amp;$P1206&amp;"|"&amp;$Q1206&amp;"|"&amp;$K1206,PARAMETRES!$J$43:$J$342,0))),""))</f>
        <v/>
      </c>
      <c r="S1206" s="35">
        <f>IF(OR($G1206="",$X1206&lt;&gt;"VALIDE"),"",IFERROR(LOOKUP(2,1/(($B306:$B1205=$B1206)*($G306:$G1205=$G1206)*($X306:$X1205="VALIDE")),$C306:$C1205),""))</f>
        <v/>
      </c>
      <c r="T1206" s="36">
        <f>IF(OR($C1206="",$S1206=""),"",ROUND(($C1206-$S1206+IF($C1206&lt;$S1206,1,0))*1440,0))</f>
        <v/>
      </c>
      <c r="U1206" s="22">
        <f>IF(OR($H1206="",$T1206="",$T1206&lt;=0),"",$H1206*60/$T1206)</f>
        <v/>
      </c>
      <c r="V1206" s="37">
        <f>IF(OR($U1206="",$R1206="",$R1206=0),"",$U1206/$R1206)</f>
        <v/>
      </c>
      <c r="W1206" s="20">
        <f>IF($G1206="","",IF($X1206="CONTEXTE INCOMPLET","CONTEXTE INCOMPLET",IF($X1206="DOUBLON",StatutDoublon,IF($S1206="",StatutInitial,IF($R1206="",StatutStandardManquant,IF($V1206="","DONNEES INSUFFISANTES",IF($V1206&gt;=SeuilConforme,StatutConforme,IF($V1206&gt;=SeuilSurveiller,StatutSurveiller,StatutSousStandard))))))))</f>
        <v/>
      </c>
      <c r="X1206" s="33">
        <f>IF($G1206="","",IF(OR($D1206="",$E1206="",$F1206=""),"CONTEXTE INCOMPLET",IF(COUNTIFS($D306:$D1205,$D1206,$E306:$E1205,$E1206,$F306:$F1205,$F1206,$G306:$G1205,$G1206)&gt;0,"DOUBLON","VALIDE")))</f>
        <v/>
      </c>
    </row>
    <row r="1207" ht="15" customHeight="1">
      <c r="A1207" s="12">
        <f>IF(OR($B1207="",$G1207=""),"",TEXT($B1207,"YYYYMMDD")&amp;"-"&amp;SUBSTITUTE($E1207," ","")&amp;"-"&amp;$F1207&amp;"-"&amp;$G1207)</f>
        <v/>
      </c>
      <c r="B1207" s="15" t="n"/>
      <c r="C1207" s="16" t="n"/>
      <c r="D1207" s="10" t="n"/>
      <c r="E1207" s="9" t="n"/>
      <c r="F1207" s="9" t="n"/>
      <c r="G1207" s="13" t="n"/>
      <c r="H1207" s="21" t="n"/>
      <c r="I1207" s="21" t="n"/>
      <c r="J1207" s="17">
        <f>IF($G1207="","",IFERROR(INDEX(NomsEmployes,MATCH($G1207,MatriculesEmployes,0)),"MATRICULE INCONNU"))</f>
        <v/>
      </c>
      <c r="K1207" s="33">
        <f>IF(OR($D1207="",$F1207=""),"",IFERROR(IF(INDEX(RUNS!$L$6:$S$1005,MATCH($D1207,RUNS!$A$6:$A$1005,0),MATCH("ACTIVITÉ "&amp;$F1207,RUNS!$L$5:$S$5,0))="","",INDEX(RUNS!$L$6:$S$1005,MATCH($D1207,RUNS!$A$6:$A$1005,0),MATCH("ACTIVITÉ "&amp;$F1207,RUNS!$L$5:$S$5,0))),""))</f>
        <v/>
      </c>
      <c r="L1207" s="33">
        <f>IF($D1207="","",IFERROR(IF(INDEX(RUNS!$E$6:$E$1005,MATCH($D1207,RUNS!$A$6:$A$1005,0))="","",INDEX(RUNS!$E$6:$E$1005,MATCH($D1207,RUNS!$A$6:$A$1005,0))),""))</f>
        <v/>
      </c>
      <c r="M1207" s="33">
        <f>IF($D1207="","",IFERROR(IF(INDEX(RUNS!$F$6:$F$1005,MATCH($D1207,RUNS!$A$6:$A$1005,0))="","",INDEX(RUNS!$F$6:$F$1005,MATCH($D1207,RUNS!$A$6:$A$1005,0))),""))</f>
        <v/>
      </c>
      <c r="N1207" s="33">
        <f>IF($D1207="","",IFERROR(IF(INDEX(RUNS!$G$6:$G$1005,MATCH($D1207,RUNS!$A$6:$A$1005,0))="","",INDEX(RUNS!$G$6:$G$1005,MATCH($D1207,RUNS!$A$6:$A$1005,0))),""))</f>
        <v/>
      </c>
      <c r="O1207" s="33">
        <f>IF($D1207="","",IFERROR(IF(INDEX(RUNS!$H$6:$H$1005,MATCH($D1207,RUNS!$A$6:$A$1005,0))="","",INDEX(RUNS!$H$6:$H$1005,MATCH($D1207,RUNS!$A$6:$A$1005,0))),""))</f>
        <v/>
      </c>
      <c r="P1207" s="33">
        <f>IF($D1207="","",IFERROR(IF(INDEX(RUNS!$J$6:$J$1005,MATCH($D1207,RUNS!$A$6:$A$1005,0))="","",INDEX(RUNS!$J$6:$J$1005,MATCH($D1207,RUNS!$A$6:$A$1005,0))),""))</f>
        <v/>
      </c>
      <c r="Q1207" s="33">
        <f>IF($D1207="","",IFERROR(IF(INDEX(RUNS!$K$6:$K$1005,MATCH($D1207,RUNS!$A$6:$A$1005,0))="","",INDEX(RUNS!$K$6:$K$1005,MATCH($D1207,RUNS!$A$6:$A$1005,0))),""))</f>
        <v/>
      </c>
      <c r="R1207" s="34">
        <f>IF(OR($L1207="",$K1207=""),"",IFERROR(IF(INDEX(PARAMETRES!$H$43:$H$342,MATCH($L1207&amp;"|"&amp;$M1207&amp;"|"&amp;$N1207&amp;"|"&amp;$O1207&amp;"|"&amp;$P1207&amp;"|"&amp;$Q1207&amp;"|"&amp;$K1207,PARAMETRES!$J$43:$J$342,0))="","",INDEX(PARAMETRES!$H$43:$H$342,MATCH($L1207&amp;"|"&amp;$M1207&amp;"|"&amp;$N1207&amp;"|"&amp;$O1207&amp;"|"&amp;$P1207&amp;"|"&amp;$Q1207&amp;"|"&amp;$K1207,PARAMETRES!$J$43:$J$342,0))),""))</f>
        <v/>
      </c>
      <c r="S1207" s="35">
        <f>IF(OR($G1207="",$X1207&lt;&gt;"VALIDE"),"",IFERROR(LOOKUP(2,1/(($B307:$B1206=$B1207)*($G307:$G1206=$G1207)*($X307:$X1206="VALIDE")),$C307:$C1206),""))</f>
        <v/>
      </c>
      <c r="T1207" s="36">
        <f>IF(OR($C1207="",$S1207=""),"",ROUND(($C1207-$S1207+IF($C1207&lt;$S1207,1,0))*1440,0))</f>
        <v/>
      </c>
      <c r="U1207" s="22">
        <f>IF(OR($H1207="",$T1207="",$T1207&lt;=0),"",$H1207*60/$T1207)</f>
        <v/>
      </c>
      <c r="V1207" s="37">
        <f>IF(OR($U1207="",$R1207="",$R1207=0),"",$U1207/$R1207)</f>
        <v/>
      </c>
      <c r="W1207" s="20">
        <f>IF($G1207="","",IF($X1207="CONTEXTE INCOMPLET","CONTEXTE INCOMPLET",IF($X1207="DOUBLON",StatutDoublon,IF($S1207="",StatutInitial,IF($R1207="",StatutStandardManquant,IF($V1207="","DONNEES INSUFFISANTES",IF($V1207&gt;=SeuilConforme,StatutConforme,IF($V1207&gt;=SeuilSurveiller,StatutSurveiller,StatutSousStandard))))))))</f>
        <v/>
      </c>
      <c r="X1207" s="33">
        <f>IF($G1207="","",IF(OR($D1207="",$E1207="",$F1207=""),"CONTEXTE INCOMPLET",IF(COUNTIFS($D307:$D1206,$D1207,$E307:$E1206,$E1207,$F307:$F1206,$F1207,$G307:$G1206,$G1207)&gt;0,"DOUBLON","VALIDE")))</f>
        <v/>
      </c>
    </row>
    <row r="1208" ht="15" customHeight="1">
      <c r="A1208" s="12">
        <f>IF(OR($B1208="",$G1208=""),"",TEXT($B1208,"YYYYMMDD")&amp;"-"&amp;SUBSTITUTE($E1208," ","")&amp;"-"&amp;$F1208&amp;"-"&amp;$G1208)</f>
        <v/>
      </c>
      <c r="B1208" s="15" t="n"/>
      <c r="C1208" s="16" t="n"/>
      <c r="D1208" s="10" t="n"/>
      <c r="E1208" s="9" t="n"/>
      <c r="F1208" s="9" t="n"/>
      <c r="G1208" s="13" t="n"/>
      <c r="H1208" s="21" t="n"/>
      <c r="I1208" s="21" t="n"/>
      <c r="J1208" s="17">
        <f>IF($G1208="","",IFERROR(INDEX(NomsEmployes,MATCH($G1208,MatriculesEmployes,0)),"MATRICULE INCONNU"))</f>
        <v/>
      </c>
      <c r="K1208" s="33">
        <f>IF(OR($D1208="",$F1208=""),"",IFERROR(IF(INDEX(RUNS!$L$6:$S$1005,MATCH($D1208,RUNS!$A$6:$A$1005,0),MATCH("ACTIVITÉ "&amp;$F1208,RUNS!$L$5:$S$5,0))="","",INDEX(RUNS!$L$6:$S$1005,MATCH($D1208,RUNS!$A$6:$A$1005,0),MATCH("ACTIVITÉ "&amp;$F1208,RUNS!$L$5:$S$5,0))),""))</f>
        <v/>
      </c>
      <c r="L1208" s="33">
        <f>IF($D1208="","",IFERROR(IF(INDEX(RUNS!$E$6:$E$1005,MATCH($D1208,RUNS!$A$6:$A$1005,0))="","",INDEX(RUNS!$E$6:$E$1005,MATCH($D1208,RUNS!$A$6:$A$1005,0))),""))</f>
        <v/>
      </c>
      <c r="M1208" s="33">
        <f>IF($D1208="","",IFERROR(IF(INDEX(RUNS!$F$6:$F$1005,MATCH($D1208,RUNS!$A$6:$A$1005,0))="","",INDEX(RUNS!$F$6:$F$1005,MATCH($D1208,RUNS!$A$6:$A$1005,0))),""))</f>
        <v/>
      </c>
      <c r="N1208" s="33">
        <f>IF($D1208="","",IFERROR(IF(INDEX(RUNS!$G$6:$G$1005,MATCH($D1208,RUNS!$A$6:$A$1005,0))="","",INDEX(RUNS!$G$6:$G$1005,MATCH($D1208,RUNS!$A$6:$A$1005,0))),""))</f>
        <v/>
      </c>
      <c r="O1208" s="33">
        <f>IF($D1208="","",IFERROR(IF(INDEX(RUNS!$H$6:$H$1005,MATCH($D1208,RUNS!$A$6:$A$1005,0))="","",INDEX(RUNS!$H$6:$H$1005,MATCH($D1208,RUNS!$A$6:$A$1005,0))),""))</f>
        <v/>
      </c>
      <c r="P1208" s="33">
        <f>IF($D1208="","",IFERROR(IF(INDEX(RUNS!$J$6:$J$1005,MATCH($D1208,RUNS!$A$6:$A$1005,0))="","",INDEX(RUNS!$J$6:$J$1005,MATCH($D1208,RUNS!$A$6:$A$1005,0))),""))</f>
        <v/>
      </c>
      <c r="Q1208" s="33">
        <f>IF($D1208="","",IFERROR(IF(INDEX(RUNS!$K$6:$K$1005,MATCH($D1208,RUNS!$A$6:$A$1005,0))="","",INDEX(RUNS!$K$6:$K$1005,MATCH($D1208,RUNS!$A$6:$A$1005,0))),""))</f>
        <v/>
      </c>
      <c r="R1208" s="34">
        <f>IF(OR($L1208="",$K1208=""),"",IFERROR(IF(INDEX(PARAMETRES!$H$43:$H$342,MATCH($L1208&amp;"|"&amp;$M1208&amp;"|"&amp;$N1208&amp;"|"&amp;$O1208&amp;"|"&amp;$P1208&amp;"|"&amp;$Q1208&amp;"|"&amp;$K1208,PARAMETRES!$J$43:$J$342,0))="","",INDEX(PARAMETRES!$H$43:$H$342,MATCH($L1208&amp;"|"&amp;$M1208&amp;"|"&amp;$N1208&amp;"|"&amp;$O1208&amp;"|"&amp;$P1208&amp;"|"&amp;$Q1208&amp;"|"&amp;$K1208,PARAMETRES!$J$43:$J$342,0))),""))</f>
        <v/>
      </c>
      <c r="S1208" s="35">
        <f>IF(OR($G1208="",$X1208&lt;&gt;"VALIDE"),"",IFERROR(LOOKUP(2,1/(($B308:$B1207=$B1208)*($G308:$G1207=$G1208)*($X308:$X1207="VALIDE")),$C308:$C1207),""))</f>
        <v/>
      </c>
      <c r="T1208" s="36">
        <f>IF(OR($C1208="",$S1208=""),"",ROUND(($C1208-$S1208+IF($C1208&lt;$S1208,1,0))*1440,0))</f>
        <v/>
      </c>
      <c r="U1208" s="22">
        <f>IF(OR($H1208="",$T1208="",$T1208&lt;=0),"",$H1208*60/$T1208)</f>
        <v/>
      </c>
      <c r="V1208" s="37">
        <f>IF(OR($U1208="",$R1208="",$R1208=0),"",$U1208/$R1208)</f>
        <v/>
      </c>
      <c r="W1208" s="20">
        <f>IF($G1208="","",IF($X1208="CONTEXTE INCOMPLET","CONTEXTE INCOMPLET",IF($X1208="DOUBLON",StatutDoublon,IF($S1208="",StatutInitial,IF($R1208="",StatutStandardManquant,IF($V1208="","DONNEES INSUFFISANTES",IF($V1208&gt;=SeuilConforme,StatutConforme,IF($V1208&gt;=SeuilSurveiller,StatutSurveiller,StatutSousStandard))))))))</f>
        <v/>
      </c>
      <c r="X1208" s="33">
        <f>IF($G1208="","",IF(OR($D1208="",$E1208="",$F1208=""),"CONTEXTE INCOMPLET",IF(COUNTIFS($D308:$D1207,$D1208,$E308:$E1207,$E1208,$F308:$F1207,$F1208,$G308:$G1207,$G1208)&gt;0,"DOUBLON","VALIDE")))</f>
        <v/>
      </c>
    </row>
    <row r="1209" ht="15" customHeight="1">
      <c r="A1209" s="12">
        <f>IF(OR($B1209="",$G1209=""),"",TEXT($B1209,"YYYYMMDD")&amp;"-"&amp;SUBSTITUTE($E1209," ","")&amp;"-"&amp;$F1209&amp;"-"&amp;$G1209)</f>
        <v/>
      </c>
      <c r="B1209" s="15" t="n"/>
      <c r="C1209" s="16" t="n"/>
      <c r="D1209" s="10" t="n"/>
      <c r="E1209" s="9" t="n"/>
      <c r="F1209" s="9" t="n"/>
      <c r="G1209" s="13" t="n"/>
      <c r="H1209" s="21" t="n"/>
      <c r="I1209" s="21" t="n"/>
      <c r="J1209" s="17">
        <f>IF($G1209="","",IFERROR(INDEX(NomsEmployes,MATCH($G1209,MatriculesEmployes,0)),"MATRICULE INCONNU"))</f>
        <v/>
      </c>
      <c r="K1209" s="33">
        <f>IF(OR($D1209="",$F1209=""),"",IFERROR(IF(INDEX(RUNS!$L$6:$S$1005,MATCH($D1209,RUNS!$A$6:$A$1005,0),MATCH("ACTIVITÉ "&amp;$F1209,RUNS!$L$5:$S$5,0))="","",INDEX(RUNS!$L$6:$S$1005,MATCH($D1209,RUNS!$A$6:$A$1005,0),MATCH("ACTIVITÉ "&amp;$F1209,RUNS!$L$5:$S$5,0))),""))</f>
        <v/>
      </c>
      <c r="L1209" s="33">
        <f>IF($D1209="","",IFERROR(IF(INDEX(RUNS!$E$6:$E$1005,MATCH($D1209,RUNS!$A$6:$A$1005,0))="","",INDEX(RUNS!$E$6:$E$1005,MATCH($D1209,RUNS!$A$6:$A$1005,0))),""))</f>
        <v/>
      </c>
      <c r="M1209" s="33">
        <f>IF($D1209="","",IFERROR(IF(INDEX(RUNS!$F$6:$F$1005,MATCH($D1209,RUNS!$A$6:$A$1005,0))="","",INDEX(RUNS!$F$6:$F$1005,MATCH($D1209,RUNS!$A$6:$A$1005,0))),""))</f>
        <v/>
      </c>
      <c r="N1209" s="33">
        <f>IF($D1209="","",IFERROR(IF(INDEX(RUNS!$G$6:$G$1005,MATCH($D1209,RUNS!$A$6:$A$1005,0))="","",INDEX(RUNS!$G$6:$G$1005,MATCH($D1209,RUNS!$A$6:$A$1005,0))),""))</f>
        <v/>
      </c>
      <c r="O1209" s="33">
        <f>IF($D1209="","",IFERROR(IF(INDEX(RUNS!$H$6:$H$1005,MATCH($D1209,RUNS!$A$6:$A$1005,0))="","",INDEX(RUNS!$H$6:$H$1005,MATCH($D1209,RUNS!$A$6:$A$1005,0))),""))</f>
        <v/>
      </c>
      <c r="P1209" s="33">
        <f>IF($D1209="","",IFERROR(IF(INDEX(RUNS!$J$6:$J$1005,MATCH($D1209,RUNS!$A$6:$A$1005,0))="","",INDEX(RUNS!$J$6:$J$1005,MATCH($D1209,RUNS!$A$6:$A$1005,0))),""))</f>
        <v/>
      </c>
      <c r="Q1209" s="33">
        <f>IF($D1209="","",IFERROR(IF(INDEX(RUNS!$K$6:$K$1005,MATCH($D1209,RUNS!$A$6:$A$1005,0))="","",INDEX(RUNS!$K$6:$K$1005,MATCH($D1209,RUNS!$A$6:$A$1005,0))),""))</f>
        <v/>
      </c>
      <c r="R1209" s="34">
        <f>IF(OR($L1209="",$K1209=""),"",IFERROR(IF(INDEX(PARAMETRES!$H$43:$H$342,MATCH($L1209&amp;"|"&amp;$M1209&amp;"|"&amp;$N1209&amp;"|"&amp;$O1209&amp;"|"&amp;$P1209&amp;"|"&amp;$Q1209&amp;"|"&amp;$K1209,PARAMETRES!$J$43:$J$342,0))="","",INDEX(PARAMETRES!$H$43:$H$342,MATCH($L1209&amp;"|"&amp;$M1209&amp;"|"&amp;$N1209&amp;"|"&amp;$O1209&amp;"|"&amp;$P1209&amp;"|"&amp;$Q1209&amp;"|"&amp;$K1209,PARAMETRES!$J$43:$J$342,0))),""))</f>
        <v/>
      </c>
      <c r="S1209" s="35">
        <f>IF(OR($G1209="",$X1209&lt;&gt;"VALIDE"),"",IFERROR(LOOKUP(2,1/(($B309:$B1208=$B1209)*($G309:$G1208=$G1209)*($X309:$X1208="VALIDE")),$C309:$C1208),""))</f>
        <v/>
      </c>
      <c r="T1209" s="36">
        <f>IF(OR($C1209="",$S1209=""),"",ROUND(($C1209-$S1209+IF($C1209&lt;$S1209,1,0))*1440,0))</f>
        <v/>
      </c>
      <c r="U1209" s="22">
        <f>IF(OR($H1209="",$T1209="",$T1209&lt;=0),"",$H1209*60/$T1209)</f>
        <v/>
      </c>
      <c r="V1209" s="37">
        <f>IF(OR($U1209="",$R1209="",$R1209=0),"",$U1209/$R1209)</f>
        <v/>
      </c>
      <c r="W1209" s="20">
        <f>IF($G1209="","",IF($X1209="CONTEXTE INCOMPLET","CONTEXTE INCOMPLET",IF($X1209="DOUBLON",StatutDoublon,IF($S1209="",StatutInitial,IF($R1209="",StatutStandardManquant,IF($V1209="","DONNEES INSUFFISANTES",IF($V1209&gt;=SeuilConforme,StatutConforme,IF($V1209&gt;=SeuilSurveiller,StatutSurveiller,StatutSousStandard))))))))</f>
        <v/>
      </c>
      <c r="X1209" s="33">
        <f>IF($G1209="","",IF(OR($D1209="",$E1209="",$F1209=""),"CONTEXTE INCOMPLET",IF(COUNTIFS($D309:$D1208,$D1209,$E309:$E1208,$E1209,$F309:$F1208,$F1209,$G309:$G1208,$G1209)&gt;0,"DOUBLON","VALIDE")))</f>
        <v/>
      </c>
    </row>
    <row r="1210" ht="15" customHeight="1">
      <c r="A1210" s="12">
        <f>IF(OR($B1210="",$G1210=""),"",TEXT($B1210,"YYYYMMDD")&amp;"-"&amp;SUBSTITUTE($E1210," ","")&amp;"-"&amp;$F1210&amp;"-"&amp;$G1210)</f>
        <v/>
      </c>
      <c r="B1210" s="15" t="n"/>
      <c r="C1210" s="16" t="n"/>
      <c r="D1210" s="10" t="n"/>
      <c r="E1210" s="9" t="n"/>
      <c r="F1210" s="9" t="n"/>
      <c r="G1210" s="13" t="n"/>
      <c r="H1210" s="21" t="n"/>
      <c r="I1210" s="21" t="n"/>
      <c r="J1210" s="17">
        <f>IF($G1210="","",IFERROR(INDEX(NomsEmployes,MATCH($G1210,MatriculesEmployes,0)),"MATRICULE INCONNU"))</f>
        <v/>
      </c>
      <c r="K1210" s="33">
        <f>IF(OR($D1210="",$F1210=""),"",IFERROR(IF(INDEX(RUNS!$L$6:$S$1005,MATCH($D1210,RUNS!$A$6:$A$1005,0),MATCH("ACTIVITÉ "&amp;$F1210,RUNS!$L$5:$S$5,0))="","",INDEX(RUNS!$L$6:$S$1005,MATCH($D1210,RUNS!$A$6:$A$1005,0),MATCH("ACTIVITÉ "&amp;$F1210,RUNS!$L$5:$S$5,0))),""))</f>
        <v/>
      </c>
      <c r="L1210" s="33">
        <f>IF($D1210="","",IFERROR(IF(INDEX(RUNS!$E$6:$E$1005,MATCH($D1210,RUNS!$A$6:$A$1005,0))="","",INDEX(RUNS!$E$6:$E$1005,MATCH($D1210,RUNS!$A$6:$A$1005,0))),""))</f>
        <v/>
      </c>
      <c r="M1210" s="33">
        <f>IF($D1210="","",IFERROR(IF(INDEX(RUNS!$F$6:$F$1005,MATCH($D1210,RUNS!$A$6:$A$1005,0))="","",INDEX(RUNS!$F$6:$F$1005,MATCH($D1210,RUNS!$A$6:$A$1005,0))),""))</f>
        <v/>
      </c>
      <c r="N1210" s="33">
        <f>IF($D1210="","",IFERROR(IF(INDEX(RUNS!$G$6:$G$1005,MATCH($D1210,RUNS!$A$6:$A$1005,0))="","",INDEX(RUNS!$G$6:$G$1005,MATCH($D1210,RUNS!$A$6:$A$1005,0))),""))</f>
        <v/>
      </c>
      <c r="O1210" s="33">
        <f>IF($D1210="","",IFERROR(IF(INDEX(RUNS!$H$6:$H$1005,MATCH($D1210,RUNS!$A$6:$A$1005,0))="","",INDEX(RUNS!$H$6:$H$1005,MATCH($D1210,RUNS!$A$6:$A$1005,0))),""))</f>
        <v/>
      </c>
      <c r="P1210" s="33">
        <f>IF($D1210="","",IFERROR(IF(INDEX(RUNS!$J$6:$J$1005,MATCH($D1210,RUNS!$A$6:$A$1005,0))="","",INDEX(RUNS!$J$6:$J$1005,MATCH($D1210,RUNS!$A$6:$A$1005,0))),""))</f>
        <v/>
      </c>
      <c r="Q1210" s="33">
        <f>IF($D1210="","",IFERROR(IF(INDEX(RUNS!$K$6:$K$1005,MATCH($D1210,RUNS!$A$6:$A$1005,0))="","",INDEX(RUNS!$K$6:$K$1005,MATCH($D1210,RUNS!$A$6:$A$1005,0))),""))</f>
        <v/>
      </c>
      <c r="R1210" s="34">
        <f>IF(OR($L1210="",$K1210=""),"",IFERROR(IF(INDEX(PARAMETRES!$H$43:$H$342,MATCH($L1210&amp;"|"&amp;$M1210&amp;"|"&amp;$N1210&amp;"|"&amp;$O1210&amp;"|"&amp;$P1210&amp;"|"&amp;$Q1210&amp;"|"&amp;$K1210,PARAMETRES!$J$43:$J$342,0))="","",INDEX(PARAMETRES!$H$43:$H$342,MATCH($L1210&amp;"|"&amp;$M1210&amp;"|"&amp;$N1210&amp;"|"&amp;$O1210&amp;"|"&amp;$P1210&amp;"|"&amp;$Q1210&amp;"|"&amp;$K1210,PARAMETRES!$J$43:$J$342,0))),""))</f>
        <v/>
      </c>
      <c r="S1210" s="35">
        <f>IF(OR($G1210="",$X1210&lt;&gt;"VALIDE"),"",IFERROR(LOOKUP(2,1/(($B310:$B1209=$B1210)*($G310:$G1209=$G1210)*($X310:$X1209="VALIDE")),$C310:$C1209),""))</f>
        <v/>
      </c>
      <c r="T1210" s="36">
        <f>IF(OR($C1210="",$S1210=""),"",ROUND(($C1210-$S1210+IF($C1210&lt;$S1210,1,0))*1440,0))</f>
        <v/>
      </c>
      <c r="U1210" s="22">
        <f>IF(OR($H1210="",$T1210="",$T1210&lt;=0),"",$H1210*60/$T1210)</f>
        <v/>
      </c>
      <c r="V1210" s="37">
        <f>IF(OR($U1210="",$R1210="",$R1210=0),"",$U1210/$R1210)</f>
        <v/>
      </c>
      <c r="W1210" s="20">
        <f>IF($G1210="","",IF($X1210="CONTEXTE INCOMPLET","CONTEXTE INCOMPLET",IF($X1210="DOUBLON",StatutDoublon,IF($S1210="",StatutInitial,IF($R1210="",StatutStandardManquant,IF($V1210="","DONNEES INSUFFISANTES",IF($V1210&gt;=SeuilConforme,StatutConforme,IF($V1210&gt;=SeuilSurveiller,StatutSurveiller,StatutSousStandard))))))))</f>
        <v/>
      </c>
      <c r="X1210" s="33">
        <f>IF($G1210="","",IF(OR($D1210="",$E1210="",$F1210=""),"CONTEXTE INCOMPLET",IF(COUNTIFS($D310:$D1209,$D1210,$E310:$E1209,$E1210,$F310:$F1209,$F1210,$G310:$G1209,$G1210)&gt;0,"DOUBLON","VALIDE")))</f>
        <v/>
      </c>
    </row>
    <row r="1211" ht="15" customHeight="1">
      <c r="A1211" s="12">
        <f>IF(OR($B1211="",$G1211=""),"",TEXT($B1211,"YYYYMMDD")&amp;"-"&amp;SUBSTITUTE($E1211," ","")&amp;"-"&amp;$F1211&amp;"-"&amp;$G1211)</f>
        <v/>
      </c>
      <c r="B1211" s="15" t="n"/>
      <c r="C1211" s="16" t="n"/>
      <c r="D1211" s="10" t="n"/>
      <c r="E1211" s="9" t="n"/>
      <c r="F1211" s="9" t="n"/>
      <c r="G1211" s="13" t="n"/>
      <c r="H1211" s="21" t="n"/>
      <c r="I1211" s="21" t="n"/>
      <c r="J1211" s="17">
        <f>IF($G1211="","",IFERROR(INDEX(NomsEmployes,MATCH($G1211,MatriculesEmployes,0)),"MATRICULE INCONNU"))</f>
        <v/>
      </c>
      <c r="K1211" s="33">
        <f>IF(OR($D1211="",$F1211=""),"",IFERROR(IF(INDEX(RUNS!$L$6:$S$1005,MATCH($D1211,RUNS!$A$6:$A$1005,0),MATCH("ACTIVITÉ "&amp;$F1211,RUNS!$L$5:$S$5,0))="","",INDEX(RUNS!$L$6:$S$1005,MATCH($D1211,RUNS!$A$6:$A$1005,0),MATCH("ACTIVITÉ "&amp;$F1211,RUNS!$L$5:$S$5,0))),""))</f>
        <v/>
      </c>
      <c r="L1211" s="33">
        <f>IF($D1211="","",IFERROR(IF(INDEX(RUNS!$E$6:$E$1005,MATCH($D1211,RUNS!$A$6:$A$1005,0))="","",INDEX(RUNS!$E$6:$E$1005,MATCH($D1211,RUNS!$A$6:$A$1005,0))),""))</f>
        <v/>
      </c>
      <c r="M1211" s="33">
        <f>IF($D1211="","",IFERROR(IF(INDEX(RUNS!$F$6:$F$1005,MATCH($D1211,RUNS!$A$6:$A$1005,0))="","",INDEX(RUNS!$F$6:$F$1005,MATCH($D1211,RUNS!$A$6:$A$1005,0))),""))</f>
        <v/>
      </c>
      <c r="N1211" s="33">
        <f>IF($D1211="","",IFERROR(IF(INDEX(RUNS!$G$6:$G$1005,MATCH($D1211,RUNS!$A$6:$A$1005,0))="","",INDEX(RUNS!$G$6:$G$1005,MATCH($D1211,RUNS!$A$6:$A$1005,0))),""))</f>
        <v/>
      </c>
      <c r="O1211" s="33">
        <f>IF($D1211="","",IFERROR(IF(INDEX(RUNS!$H$6:$H$1005,MATCH($D1211,RUNS!$A$6:$A$1005,0))="","",INDEX(RUNS!$H$6:$H$1005,MATCH($D1211,RUNS!$A$6:$A$1005,0))),""))</f>
        <v/>
      </c>
      <c r="P1211" s="33">
        <f>IF($D1211="","",IFERROR(IF(INDEX(RUNS!$J$6:$J$1005,MATCH($D1211,RUNS!$A$6:$A$1005,0))="","",INDEX(RUNS!$J$6:$J$1005,MATCH($D1211,RUNS!$A$6:$A$1005,0))),""))</f>
        <v/>
      </c>
      <c r="Q1211" s="33">
        <f>IF($D1211="","",IFERROR(IF(INDEX(RUNS!$K$6:$K$1005,MATCH($D1211,RUNS!$A$6:$A$1005,0))="","",INDEX(RUNS!$K$6:$K$1005,MATCH($D1211,RUNS!$A$6:$A$1005,0))),""))</f>
        <v/>
      </c>
      <c r="R1211" s="34">
        <f>IF(OR($L1211="",$K1211=""),"",IFERROR(IF(INDEX(PARAMETRES!$H$43:$H$342,MATCH($L1211&amp;"|"&amp;$M1211&amp;"|"&amp;$N1211&amp;"|"&amp;$O1211&amp;"|"&amp;$P1211&amp;"|"&amp;$Q1211&amp;"|"&amp;$K1211,PARAMETRES!$J$43:$J$342,0))="","",INDEX(PARAMETRES!$H$43:$H$342,MATCH($L1211&amp;"|"&amp;$M1211&amp;"|"&amp;$N1211&amp;"|"&amp;$O1211&amp;"|"&amp;$P1211&amp;"|"&amp;$Q1211&amp;"|"&amp;$K1211,PARAMETRES!$J$43:$J$342,0))),""))</f>
        <v/>
      </c>
      <c r="S1211" s="35">
        <f>IF(OR($G1211="",$X1211&lt;&gt;"VALIDE"),"",IFERROR(LOOKUP(2,1/(($B311:$B1210=$B1211)*($G311:$G1210=$G1211)*($X311:$X1210="VALIDE")),$C311:$C1210),""))</f>
        <v/>
      </c>
      <c r="T1211" s="36">
        <f>IF(OR($C1211="",$S1211=""),"",ROUND(($C1211-$S1211+IF($C1211&lt;$S1211,1,0))*1440,0))</f>
        <v/>
      </c>
      <c r="U1211" s="22">
        <f>IF(OR($H1211="",$T1211="",$T1211&lt;=0),"",$H1211*60/$T1211)</f>
        <v/>
      </c>
      <c r="V1211" s="37">
        <f>IF(OR($U1211="",$R1211="",$R1211=0),"",$U1211/$R1211)</f>
        <v/>
      </c>
      <c r="W1211" s="20">
        <f>IF($G1211="","",IF($X1211="CONTEXTE INCOMPLET","CONTEXTE INCOMPLET",IF($X1211="DOUBLON",StatutDoublon,IF($S1211="",StatutInitial,IF($R1211="",StatutStandardManquant,IF($V1211="","DONNEES INSUFFISANTES",IF($V1211&gt;=SeuilConforme,StatutConforme,IF($V1211&gt;=SeuilSurveiller,StatutSurveiller,StatutSousStandard))))))))</f>
        <v/>
      </c>
      <c r="X1211" s="33">
        <f>IF($G1211="","",IF(OR($D1211="",$E1211="",$F1211=""),"CONTEXTE INCOMPLET",IF(COUNTIFS($D311:$D1210,$D1211,$E311:$E1210,$E1211,$F311:$F1210,$F1211,$G311:$G1210,$G1211)&gt;0,"DOUBLON","VALIDE")))</f>
        <v/>
      </c>
    </row>
    <row r="1212" ht="15" customHeight="1">
      <c r="A1212" s="12">
        <f>IF(OR($B1212="",$G1212=""),"",TEXT($B1212,"YYYYMMDD")&amp;"-"&amp;SUBSTITUTE($E1212," ","")&amp;"-"&amp;$F1212&amp;"-"&amp;$G1212)</f>
        <v/>
      </c>
      <c r="B1212" s="15" t="n"/>
      <c r="C1212" s="16" t="n"/>
      <c r="D1212" s="10" t="n"/>
      <c r="E1212" s="9" t="n"/>
      <c r="F1212" s="9" t="n"/>
      <c r="G1212" s="13" t="n"/>
      <c r="H1212" s="21" t="n"/>
      <c r="I1212" s="21" t="n"/>
      <c r="J1212" s="17">
        <f>IF($G1212="","",IFERROR(INDEX(NomsEmployes,MATCH($G1212,MatriculesEmployes,0)),"MATRICULE INCONNU"))</f>
        <v/>
      </c>
      <c r="K1212" s="33">
        <f>IF(OR($D1212="",$F1212=""),"",IFERROR(IF(INDEX(RUNS!$L$6:$S$1005,MATCH($D1212,RUNS!$A$6:$A$1005,0),MATCH("ACTIVITÉ "&amp;$F1212,RUNS!$L$5:$S$5,0))="","",INDEX(RUNS!$L$6:$S$1005,MATCH($D1212,RUNS!$A$6:$A$1005,0),MATCH("ACTIVITÉ "&amp;$F1212,RUNS!$L$5:$S$5,0))),""))</f>
        <v/>
      </c>
      <c r="L1212" s="33">
        <f>IF($D1212="","",IFERROR(IF(INDEX(RUNS!$E$6:$E$1005,MATCH($D1212,RUNS!$A$6:$A$1005,0))="","",INDEX(RUNS!$E$6:$E$1005,MATCH($D1212,RUNS!$A$6:$A$1005,0))),""))</f>
        <v/>
      </c>
      <c r="M1212" s="33">
        <f>IF($D1212="","",IFERROR(IF(INDEX(RUNS!$F$6:$F$1005,MATCH($D1212,RUNS!$A$6:$A$1005,0))="","",INDEX(RUNS!$F$6:$F$1005,MATCH($D1212,RUNS!$A$6:$A$1005,0))),""))</f>
        <v/>
      </c>
      <c r="N1212" s="33">
        <f>IF($D1212="","",IFERROR(IF(INDEX(RUNS!$G$6:$G$1005,MATCH($D1212,RUNS!$A$6:$A$1005,0))="","",INDEX(RUNS!$G$6:$G$1005,MATCH($D1212,RUNS!$A$6:$A$1005,0))),""))</f>
        <v/>
      </c>
      <c r="O1212" s="33">
        <f>IF($D1212="","",IFERROR(IF(INDEX(RUNS!$H$6:$H$1005,MATCH($D1212,RUNS!$A$6:$A$1005,0))="","",INDEX(RUNS!$H$6:$H$1005,MATCH($D1212,RUNS!$A$6:$A$1005,0))),""))</f>
        <v/>
      </c>
      <c r="P1212" s="33">
        <f>IF($D1212="","",IFERROR(IF(INDEX(RUNS!$J$6:$J$1005,MATCH($D1212,RUNS!$A$6:$A$1005,0))="","",INDEX(RUNS!$J$6:$J$1005,MATCH($D1212,RUNS!$A$6:$A$1005,0))),""))</f>
        <v/>
      </c>
      <c r="Q1212" s="33">
        <f>IF($D1212="","",IFERROR(IF(INDEX(RUNS!$K$6:$K$1005,MATCH($D1212,RUNS!$A$6:$A$1005,0))="","",INDEX(RUNS!$K$6:$K$1005,MATCH($D1212,RUNS!$A$6:$A$1005,0))),""))</f>
        <v/>
      </c>
      <c r="R1212" s="34">
        <f>IF(OR($L1212="",$K1212=""),"",IFERROR(IF(INDEX(PARAMETRES!$H$43:$H$342,MATCH($L1212&amp;"|"&amp;$M1212&amp;"|"&amp;$N1212&amp;"|"&amp;$O1212&amp;"|"&amp;$P1212&amp;"|"&amp;$Q1212&amp;"|"&amp;$K1212,PARAMETRES!$J$43:$J$342,0))="","",INDEX(PARAMETRES!$H$43:$H$342,MATCH($L1212&amp;"|"&amp;$M1212&amp;"|"&amp;$N1212&amp;"|"&amp;$O1212&amp;"|"&amp;$P1212&amp;"|"&amp;$Q1212&amp;"|"&amp;$K1212,PARAMETRES!$J$43:$J$342,0))),""))</f>
        <v/>
      </c>
      <c r="S1212" s="35">
        <f>IF(OR($G1212="",$X1212&lt;&gt;"VALIDE"),"",IFERROR(LOOKUP(2,1/(($B312:$B1211=$B1212)*($G312:$G1211=$G1212)*($X312:$X1211="VALIDE")),$C312:$C1211),""))</f>
        <v/>
      </c>
      <c r="T1212" s="36">
        <f>IF(OR($C1212="",$S1212=""),"",ROUND(($C1212-$S1212+IF($C1212&lt;$S1212,1,0))*1440,0))</f>
        <v/>
      </c>
      <c r="U1212" s="22">
        <f>IF(OR($H1212="",$T1212="",$T1212&lt;=0),"",$H1212*60/$T1212)</f>
        <v/>
      </c>
      <c r="V1212" s="37">
        <f>IF(OR($U1212="",$R1212="",$R1212=0),"",$U1212/$R1212)</f>
        <v/>
      </c>
      <c r="W1212" s="20">
        <f>IF($G1212="","",IF($X1212="CONTEXTE INCOMPLET","CONTEXTE INCOMPLET",IF($X1212="DOUBLON",StatutDoublon,IF($S1212="",StatutInitial,IF($R1212="",StatutStandardManquant,IF($V1212="","DONNEES INSUFFISANTES",IF($V1212&gt;=SeuilConforme,StatutConforme,IF($V1212&gt;=SeuilSurveiller,StatutSurveiller,StatutSousStandard))))))))</f>
        <v/>
      </c>
      <c r="X1212" s="33">
        <f>IF($G1212="","",IF(OR($D1212="",$E1212="",$F1212=""),"CONTEXTE INCOMPLET",IF(COUNTIFS($D312:$D1211,$D1212,$E312:$E1211,$E1212,$F312:$F1211,$F1212,$G312:$G1211,$G1212)&gt;0,"DOUBLON","VALIDE")))</f>
        <v/>
      </c>
    </row>
    <row r="1213" ht="15" customHeight="1">
      <c r="A1213" s="12">
        <f>IF(OR($B1213="",$G1213=""),"",TEXT($B1213,"YYYYMMDD")&amp;"-"&amp;SUBSTITUTE($E1213," ","")&amp;"-"&amp;$F1213&amp;"-"&amp;$G1213)</f>
        <v/>
      </c>
      <c r="B1213" s="15" t="n"/>
      <c r="C1213" s="16" t="n"/>
      <c r="D1213" s="10" t="n"/>
      <c r="E1213" s="9" t="n"/>
      <c r="F1213" s="9" t="n"/>
      <c r="G1213" s="13" t="n"/>
      <c r="H1213" s="21" t="n"/>
      <c r="I1213" s="21" t="n"/>
      <c r="J1213" s="17">
        <f>IF($G1213="","",IFERROR(INDEX(NomsEmployes,MATCH($G1213,MatriculesEmployes,0)),"MATRICULE INCONNU"))</f>
        <v/>
      </c>
      <c r="K1213" s="33">
        <f>IF(OR($D1213="",$F1213=""),"",IFERROR(IF(INDEX(RUNS!$L$6:$S$1005,MATCH($D1213,RUNS!$A$6:$A$1005,0),MATCH("ACTIVITÉ "&amp;$F1213,RUNS!$L$5:$S$5,0))="","",INDEX(RUNS!$L$6:$S$1005,MATCH($D1213,RUNS!$A$6:$A$1005,0),MATCH("ACTIVITÉ "&amp;$F1213,RUNS!$L$5:$S$5,0))),""))</f>
        <v/>
      </c>
      <c r="L1213" s="33">
        <f>IF($D1213="","",IFERROR(IF(INDEX(RUNS!$E$6:$E$1005,MATCH($D1213,RUNS!$A$6:$A$1005,0))="","",INDEX(RUNS!$E$6:$E$1005,MATCH($D1213,RUNS!$A$6:$A$1005,0))),""))</f>
        <v/>
      </c>
      <c r="M1213" s="33">
        <f>IF($D1213="","",IFERROR(IF(INDEX(RUNS!$F$6:$F$1005,MATCH($D1213,RUNS!$A$6:$A$1005,0))="","",INDEX(RUNS!$F$6:$F$1005,MATCH($D1213,RUNS!$A$6:$A$1005,0))),""))</f>
        <v/>
      </c>
      <c r="N1213" s="33">
        <f>IF($D1213="","",IFERROR(IF(INDEX(RUNS!$G$6:$G$1005,MATCH($D1213,RUNS!$A$6:$A$1005,0))="","",INDEX(RUNS!$G$6:$G$1005,MATCH($D1213,RUNS!$A$6:$A$1005,0))),""))</f>
        <v/>
      </c>
      <c r="O1213" s="33">
        <f>IF($D1213="","",IFERROR(IF(INDEX(RUNS!$H$6:$H$1005,MATCH($D1213,RUNS!$A$6:$A$1005,0))="","",INDEX(RUNS!$H$6:$H$1005,MATCH($D1213,RUNS!$A$6:$A$1005,0))),""))</f>
        <v/>
      </c>
      <c r="P1213" s="33">
        <f>IF($D1213="","",IFERROR(IF(INDEX(RUNS!$J$6:$J$1005,MATCH($D1213,RUNS!$A$6:$A$1005,0))="","",INDEX(RUNS!$J$6:$J$1005,MATCH($D1213,RUNS!$A$6:$A$1005,0))),""))</f>
        <v/>
      </c>
      <c r="Q1213" s="33">
        <f>IF($D1213="","",IFERROR(IF(INDEX(RUNS!$K$6:$K$1005,MATCH($D1213,RUNS!$A$6:$A$1005,0))="","",INDEX(RUNS!$K$6:$K$1005,MATCH($D1213,RUNS!$A$6:$A$1005,0))),""))</f>
        <v/>
      </c>
      <c r="R1213" s="34">
        <f>IF(OR($L1213="",$K1213=""),"",IFERROR(IF(INDEX(PARAMETRES!$H$43:$H$342,MATCH($L1213&amp;"|"&amp;$M1213&amp;"|"&amp;$N1213&amp;"|"&amp;$O1213&amp;"|"&amp;$P1213&amp;"|"&amp;$Q1213&amp;"|"&amp;$K1213,PARAMETRES!$J$43:$J$342,0))="","",INDEX(PARAMETRES!$H$43:$H$342,MATCH($L1213&amp;"|"&amp;$M1213&amp;"|"&amp;$N1213&amp;"|"&amp;$O1213&amp;"|"&amp;$P1213&amp;"|"&amp;$Q1213&amp;"|"&amp;$K1213,PARAMETRES!$J$43:$J$342,0))),""))</f>
        <v/>
      </c>
      <c r="S1213" s="35">
        <f>IF(OR($G1213="",$X1213&lt;&gt;"VALIDE"),"",IFERROR(LOOKUP(2,1/(($B313:$B1212=$B1213)*($G313:$G1212=$G1213)*($X313:$X1212="VALIDE")),$C313:$C1212),""))</f>
        <v/>
      </c>
      <c r="T1213" s="36">
        <f>IF(OR($C1213="",$S1213=""),"",ROUND(($C1213-$S1213+IF($C1213&lt;$S1213,1,0))*1440,0))</f>
        <v/>
      </c>
      <c r="U1213" s="22">
        <f>IF(OR($H1213="",$T1213="",$T1213&lt;=0),"",$H1213*60/$T1213)</f>
        <v/>
      </c>
      <c r="V1213" s="37">
        <f>IF(OR($U1213="",$R1213="",$R1213=0),"",$U1213/$R1213)</f>
        <v/>
      </c>
      <c r="W1213" s="20">
        <f>IF($G1213="","",IF($X1213="CONTEXTE INCOMPLET","CONTEXTE INCOMPLET",IF($X1213="DOUBLON",StatutDoublon,IF($S1213="",StatutInitial,IF($R1213="",StatutStandardManquant,IF($V1213="","DONNEES INSUFFISANTES",IF($V1213&gt;=SeuilConforme,StatutConforme,IF($V1213&gt;=SeuilSurveiller,StatutSurveiller,StatutSousStandard))))))))</f>
        <v/>
      </c>
      <c r="X1213" s="33">
        <f>IF($G1213="","",IF(OR($D1213="",$E1213="",$F1213=""),"CONTEXTE INCOMPLET",IF(COUNTIFS($D313:$D1212,$D1213,$E313:$E1212,$E1213,$F313:$F1212,$F1213,$G313:$G1212,$G1213)&gt;0,"DOUBLON","VALIDE")))</f>
        <v/>
      </c>
    </row>
    <row r="1214" ht="15" customHeight="1">
      <c r="A1214" s="12">
        <f>IF(OR($B1214="",$G1214=""),"",TEXT($B1214,"YYYYMMDD")&amp;"-"&amp;SUBSTITUTE($E1214," ","")&amp;"-"&amp;$F1214&amp;"-"&amp;$G1214)</f>
        <v/>
      </c>
      <c r="B1214" s="15" t="n"/>
      <c r="C1214" s="16" t="n"/>
      <c r="D1214" s="10" t="n"/>
      <c r="E1214" s="9" t="n"/>
      <c r="F1214" s="9" t="n"/>
      <c r="G1214" s="13" t="n"/>
      <c r="H1214" s="21" t="n"/>
      <c r="I1214" s="21" t="n"/>
      <c r="J1214" s="17">
        <f>IF($G1214="","",IFERROR(INDEX(NomsEmployes,MATCH($G1214,MatriculesEmployes,0)),"MATRICULE INCONNU"))</f>
        <v/>
      </c>
      <c r="K1214" s="33">
        <f>IF(OR($D1214="",$F1214=""),"",IFERROR(IF(INDEX(RUNS!$L$6:$S$1005,MATCH($D1214,RUNS!$A$6:$A$1005,0),MATCH("ACTIVITÉ "&amp;$F1214,RUNS!$L$5:$S$5,0))="","",INDEX(RUNS!$L$6:$S$1005,MATCH($D1214,RUNS!$A$6:$A$1005,0),MATCH("ACTIVITÉ "&amp;$F1214,RUNS!$L$5:$S$5,0))),""))</f>
        <v/>
      </c>
      <c r="L1214" s="33">
        <f>IF($D1214="","",IFERROR(IF(INDEX(RUNS!$E$6:$E$1005,MATCH($D1214,RUNS!$A$6:$A$1005,0))="","",INDEX(RUNS!$E$6:$E$1005,MATCH($D1214,RUNS!$A$6:$A$1005,0))),""))</f>
        <v/>
      </c>
      <c r="M1214" s="33">
        <f>IF($D1214="","",IFERROR(IF(INDEX(RUNS!$F$6:$F$1005,MATCH($D1214,RUNS!$A$6:$A$1005,0))="","",INDEX(RUNS!$F$6:$F$1005,MATCH($D1214,RUNS!$A$6:$A$1005,0))),""))</f>
        <v/>
      </c>
      <c r="N1214" s="33">
        <f>IF($D1214="","",IFERROR(IF(INDEX(RUNS!$G$6:$G$1005,MATCH($D1214,RUNS!$A$6:$A$1005,0))="","",INDEX(RUNS!$G$6:$G$1005,MATCH($D1214,RUNS!$A$6:$A$1005,0))),""))</f>
        <v/>
      </c>
      <c r="O1214" s="33">
        <f>IF($D1214="","",IFERROR(IF(INDEX(RUNS!$H$6:$H$1005,MATCH($D1214,RUNS!$A$6:$A$1005,0))="","",INDEX(RUNS!$H$6:$H$1005,MATCH($D1214,RUNS!$A$6:$A$1005,0))),""))</f>
        <v/>
      </c>
      <c r="P1214" s="33">
        <f>IF($D1214="","",IFERROR(IF(INDEX(RUNS!$J$6:$J$1005,MATCH($D1214,RUNS!$A$6:$A$1005,0))="","",INDEX(RUNS!$J$6:$J$1005,MATCH($D1214,RUNS!$A$6:$A$1005,0))),""))</f>
        <v/>
      </c>
      <c r="Q1214" s="33">
        <f>IF($D1214="","",IFERROR(IF(INDEX(RUNS!$K$6:$K$1005,MATCH($D1214,RUNS!$A$6:$A$1005,0))="","",INDEX(RUNS!$K$6:$K$1005,MATCH($D1214,RUNS!$A$6:$A$1005,0))),""))</f>
        <v/>
      </c>
      <c r="R1214" s="34">
        <f>IF(OR($L1214="",$K1214=""),"",IFERROR(IF(INDEX(PARAMETRES!$H$43:$H$342,MATCH($L1214&amp;"|"&amp;$M1214&amp;"|"&amp;$N1214&amp;"|"&amp;$O1214&amp;"|"&amp;$P1214&amp;"|"&amp;$Q1214&amp;"|"&amp;$K1214,PARAMETRES!$J$43:$J$342,0))="","",INDEX(PARAMETRES!$H$43:$H$342,MATCH($L1214&amp;"|"&amp;$M1214&amp;"|"&amp;$N1214&amp;"|"&amp;$O1214&amp;"|"&amp;$P1214&amp;"|"&amp;$Q1214&amp;"|"&amp;$K1214,PARAMETRES!$J$43:$J$342,0))),""))</f>
        <v/>
      </c>
      <c r="S1214" s="35">
        <f>IF(OR($G1214="",$X1214&lt;&gt;"VALIDE"),"",IFERROR(LOOKUP(2,1/(($B314:$B1213=$B1214)*($G314:$G1213=$G1214)*($X314:$X1213="VALIDE")),$C314:$C1213),""))</f>
        <v/>
      </c>
      <c r="T1214" s="36">
        <f>IF(OR($C1214="",$S1214=""),"",ROUND(($C1214-$S1214+IF($C1214&lt;$S1214,1,0))*1440,0))</f>
        <v/>
      </c>
      <c r="U1214" s="22">
        <f>IF(OR($H1214="",$T1214="",$T1214&lt;=0),"",$H1214*60/$T1214)</f>
        <v/>
      </c>
      <c r="V1214" s="37">
        <f>IF(OR($U1214="",$R1214="",$R1214=0),"",$U1214/$R1214)</f>
        <v/>
      </c>
      <c r="W1214" s="20">
        <f>IF($G1214="","",IF($X1214="CONTEXTE INCOMPLET","CONTEXTE INCOMPLET",IF($X1214="DOUBLON",StatutDoublon,IF($S1214="",StatutInitial,IF($R1214="",StatutStandardManquant,IF($V1214="","DONNEES INSUFFISANTES",IF($V1214&gt;=SeuilConforme,StatutConforme,IF($V1214&gt;=SeuilSurveiller,StatutSurveiller,StatutSousStandard))))))))</f>
        <v/>
      </c>
      <c r="X1214" s="33">
        <f>IF($G1214="","",IF(OR($D1214="",$E1214="",$F1214=""),"CONTEXTE INCOMPLET",IF(COUNTIFS($D314:$D1213,$D1214,$E314:$E1213,$E1214,$F314:$F1213,$F1214,$G314:$G1213,$G1214)&gt;0,"DOUBLON","VALIDE")))</f>
        <v/>
      </c>
    </row>
    <row r="1215" ht="15" customHeight="1">
      <c r="A1215" s="12">
        <f>IF(OR($B1215="",$G1215=""),"",TEXT($B1215,"YYYYMMDD")&amp;"-"&amp;SUBSTITUTE($E1215," ","")&amp;"-"&amp;$F1215&amp;"-"&amp;$G1215)</f>
        <v/>
      </c>
      <c r="B1215" s="15" t="n"/>
      <c r="C1215" s="16" t="n"/>
      <c r="D1215" s="10" t="n"/>
      <c r="E1215" s="9" t="n"/>
      <c r="F1215" s="9" t="n"/>
      <c r="G1215" s="13" t="n"/>
      <c r="H1215" s="21" t="n"/>
      <c r="I1215" s="21" t="n"/>
      <c r="J1215" s="17">
        <f>IF($G1215="","",IFERROR(INDEX(NomsEmployes,MATCH($G1215,MatriculesEmployes,0)),"MATRICULE INCONNU"))</f>
        <v/>
      </c>
      <c r="K1215" s="33">
        <f>IF(OR($D1215="",$F1215=""),"",IFERROR(IF(INDEX(RUNS!$L$6:$S$1005,MATCH($D1215,RUNS!$A$6:$A$1005,0),MATCH("ACTIVITÉ "&amp;$F1215,RUNS!$L$5:$S$5,0))="","",INDEX(RUNS!$L$6:$S$1005,MATCH($D1215,RUNS!$A$6:$A$1005,0),MATCH("ACTIVITÉ "&amp;$F1215,RUNS!$L$5:$S$5,0))),""))</f>
        <v/>
      </c>
      <c r="L1215" s="33">
        <f>IF($D1215="","",IFERROR(IF(INDEX(RUNS!$E$6:$E$1005,MATCH($D1215,RUNS!$A$6:$A$1005,0))="","",INDEX(RUNS!$E$6:$E$1005,MATCH($D1215,RUNS!$A$6:$A$1005,0))),""))</f>
        <v/>
      </c>
      <c r="M1215" s="33">
        <f>IF($D1215="","",IFERROR(IF(INDEX(RUNS!$F$6:$F$1005,MATCH($D1215,RUNS!$A$6:$A$1005,0))="","",INDEX(RUNS!$F$6:$F$1005,MATCH($D1215,RUNS!$A$6:$A$1005,0))),""))</f>
        <v/>
      </c>
      <c r="N1215" s="33">
        <f>IF($D1215="","",IFERROR(IF(INDEX(RUNS!$G$6:$G$1005,MATCH($D1215,RUNS!$A$6:$A$1005,0))="","",INDEX(RUNS!$G$6:$G$1005,MATCH($D1215,RUNS!$A$6:$A$1005,0))),""))</f>
        <v/>
      </c>
      <c r="O1215" s="33">
        <f>IF($D1215="","",IFERROR(IF(INDEX(RUNS!$H$6:$H$1005,MATCH($D1215,RUNS!$A$6:$A$1005,0))="","",INDEX(RUNS!$H$6:$H$1005,MATCH($D1215,RUNS!$A$6:$A$1005,0))),""))</f>
        <v/>
      </c>
      <c r="P1215" s="33">
        <f>IF($D1215="","",IFERROR(IF(INDEX(RUNS!$J$6:$J$1005,MATCH($D1215,RUNS!$A$6:$A$1005,0))="","",INDEX(RUNS!$J$6:$J$1005,MATCH($D1215,RUNS!$A$6:$A$1005,0))),""))</f>
        <v/>
      </c>
      <c r="Q1215" s="33">
        <f>IF($D1215="","",IFERROR(IF(INDEX(RUNS!$K$6:$K$1005,MATCH($D1215,RUNS!$A$6:$A$1005,0))="","",INDEX(RUNS!$K$6:$K$1005,MATCH($D1215,RUNS!$A$6:$A$1005,0))),""))</f>
        <v/>
      </c>
      <c r="R1215" s="34">
        <f>IF(OR($L1215="",$K1215=""),"",IFERROR(IF(INDEX(PARAMETRES!$H$43:$H$342,MATCH($L1215&amp;"|"&amp;$M1215&amp;"|"&amp;$N1215&amp;"|"&amp;$O1215&amp;"|"&amp;$P1215&amp;"|"&amp;$Q1215&amp;"|"&amp;$K1215,PARAMETRES!$J$43:$J$342,0))="","",INDEX(PARAMETRES!$H$43:$H$342,MATCH($L1215&amp;"|"&amp;$M1215&amp;"|"&amp;$N1215&amp;"|"&amp;$O1215&amp;"|"&amp;$P1215&amp;"|"&amp;$Q1215&amp;"|"&amp;$K1215,PARAMETRES!$J$43:$J$342,0))),""))</f>
        <v/>
      </c>
      <c r="S1215" s="35">
        <f>IF(OR($G1215="",$X1215&lt;&gt;"VALIDE"),"",IFERROR(LOOKUP(2,1/(($B315:$B1214=$B1215)*($G315:$G1214=$G1215)*($X315:$X1214="VALIDE")),$C315:$C1214),""))</f>
        <v/>
      </c>
      <c r="T1215" s="36">
        <f>IF(OR($C1215="",$S1215=""),"",ROUND(($C1215-$S1215+IF($C1215&lt;$S1215,1,0))*1440,0))</f>
        <v/>
      </c>
      <c r="U1215" s="22">
        <f>IF(OR($H1215="",$T1215="",$T1215&lt;=0),"",$H1215*60/$T1215)</f>
        <v/>
      </c>
      <c r="V1215" s="37">
        <f>IF(OR($U1215="",$R1215="",$R1215=0),"",$U1215/$R1215)</f>
        <v/>
      </c>
      <c r="W1215" s="20">
        <f>IF($G1215="","",IF($X1215="CONTEXTE INCOMPLET","CONTEXTE INCOMPLET",IF($X1215="DOUBLON",StatutDoublon,IF($S1215="",StatutInitial,IF($R1215="",StatutStandardManquant,IF($V1215="","DONNEES INSUFFISANTES",IF($V1215&gt;=SeuilConforme,StatutConforme,IF($V1215&gt;=SeuilSurveiller,StatutSurveiller,StatutSousStandard))))))))</f>
        <v/>
      </c>
      <c r="X1215" s="33">
        <f>IF($G1215="","",IF(OR($D1215="",$E1215="",$F1215=""),"CONTEXTE INCOMPLET",IF(COUNTIFS($D315:$D1214,$D1215,$E315:$E1214,$E1215,$F315:$F1214,$F1215,$G315:$G1214,$G1215)&gt;0,"DOUBLON","VALIDE")))</f>
        <v/>
      </c>
    </row>
    <row r="1216" ht="15" customHeight="1">
      <c r="A1216" s="12">
        <f>IF(OR($B1216="",$G1216=""),"",TEXT($B1216,"YYYYMMDD")&amp;"-"&amp;SUBSTITUTE($E1216," ","")&amp;"-"&amp;$F1216&amp;"-"&amp;$G1216)</f>
        <v/>
      </c>
      <c r="B1216" s="15" t="n"/>
      <c r="C1216" s="16" t="n"/>
      <c r="D1216" s="10" t="n"/>
      <c r="E1216" s="9" t="n"/>
      <c r="F1216" s="9" t="n"/>
      <c r="G1216" s="13" t="n"/>
      <c r="H1216" s="21" t="n"/>
      <c r="I1216" s="21" t="n"/>
      <c r="J1216" s="17">
        <f>IF($G1216="","",IFERROR(INDEX(NomsEmployes,MATCH($G1216,MatriculesEmployes,0)),"MATRICULE INCONNU"))</f>
        <v/>
      </c>
      <c r="K1216" s="33">
        <f>IF(OR($D1216="",$F1216=""),"",IFERROR(IF(INDEX(RUNS!$L$6:$S$1005,MATCH($D1216,RUNS!$A$6:$A$1005,0),MATCH("ACTIVITÉ "&amp;$F1216,RUNS!$L$5:$S$5,0))="","",INDEX(RUNS!$L$6:$S$1005,MATCH($D1216,RUNS!$A$6:$A$1005,0),MATCH("ACTIVITÉ "&amp;$F1216,RUNS!$L$5:$S$5,0))),""))</f>
        <v/>
      </c>
      <c r="L1216" s="33">
        <f>IF($D1216="","",IFERROR(IF(INDEX(RUNS!$E$6:$E$1005,MATCH($D1216,RUNS!$A$6:$A$1005,0))="","",INDEX(RUNS!$E$6:$E$1005,MATCH($D1216,RUNS!$A$6:$A$1005,0))),""))</f>
        <v/>
      </c>
      <c r="M1216" s="33">
        <f>IF($D1216="","",IFERROR(IF(INDEX(RUNS!$F$6:$F$1005,MATCH($D1216,RUNS!$A$6:$A$1005,0))="","",INDEX(RUNS!$F$6:$F$1005,MATCH($D1216,RUNS!$A$6:$A$1005,0))),""))</f>
        <v/>
      </c>
      <c r="N1216" s="33">
        <f>IF($D1216="","",IFERROR(IF(INDEX(RUNS!$G$6:$G$1005,MATCH($D1216,RUNS!$A$6:$A$1005,0))="","",INDEX(RUNS!$G$6:$G$1005,MATCH($D1216,RUNS!$A$6:$A$1005,0))),""))</f>
        <v/>
      </c>
      <c r="O1216" s="33">
        <f>IF($D1216="","",IFERROR(IF(INDEX(RUNS!$H$6:$H$1005,MATCH($D1216,RUNS!$A$6:$A$1005,0))="","",INDEX(RUNS!$H$6:$H$1005,MATCH($D1216,RUNS!$A$6:$A$1005,0))),""))</f>
        <v/>
      </c>
      <c r="P1216" s="33">
        <f>IF($D1216="","",IFERROR(IF(INDEX(RUNS!$J$6:$J$1005,MATCH($D1216,RUNS!$A$6:$A$1005,0))="","",INDEX(RUNS!$J$6:$J$1005,MATCH($D1216,RUNS!$A$6:$A$1005,0))),""))</f>
        <v/>
      </c>
      <c r="Q1216" s="33">
        <f>IF($D1216="","",IFERROR(IF(INDEX(RUNS!$K$6:$K$1005,MATCH($D1216,RUNS!$A$6:$A$1005,0))="","",INDEX(RUNS!$K$6:$K$1005,MATCH($D1216,RUNS!$A$6:$A$1005,0))),""))</f>
        <v/>
      </c>
      <c r="R1216" s="34">
        <f>IF(OR($L1216="",$K1216=""),"",IFERROR(IF(INDEX(PARAMETRES!$H$43:$H$342,MATCH($L1216&amp;"|"&amp;$M1216&amp;"|"&amp;$N1216&amp;"|"&amp;$O1216&amp;"|"&amp;$P1216&amp;"|"&amp;$Q1216&amp;"|"&amp;$K1216,PARAMETRES!$J$43:$J$342,0))="","",INDEX(PARAMETRES!$H$43:$H$342,MATCH($L1216&amp;"|"&amp;$M1216&amp;"|"&amp;$N1216&amp;"|"&amp;$O1216&amp;"|"&amp;$P1216&amp;"|"&amp;$Q1216&amp;"|"&amp;$K1216,PARAMETRES!$J$43:$J$342,0))),""))</f>
        <v/>
      </c>
      <c r="S1216" s="35">
        <f>IF(OR($G1216="",$X1216&lt;&gt;"VALIDE"),"",IFERROR(LOOKUP(2,1/(($B316:$B1215=$B1216)*($G316:$G1215=$G1216)*($X316:$X1215="VALIDE")),$C316:$C1215),""))</f>
        <v/>
      </c>
      <c r="T1216" s="36">
        <f>IF(OR($C1216="",$S1216=""),"",ROUND(($C1216-$S1216+IF($C1216&lt;$S1216,1,0))*1440,0))</f>
        <v/>
      </c>
      <c r="U1216" s="22">
        <f>IF(OR($H1216="",$T1216="",$T1216&lt;=0),"",$H1216*60/$T1216)</f>
        <v/>
      </c>
      <c r="V1216" s="37">
        <f>IF(OR($U1216="",$R1216="",$R1216=0),"",$U1216/$R1216)</f>
        <v/>
      </c>
      <c r="W1216" s="20">
        <f>IF($G1216="","",IF($X1216="CONTEXTE INCOMPLET","CONTEXTE INCOMPLET",IF($X1216="DOUBLON",StatutDoublon,IF($S1216="",StatutInitial,IF($R1216="",StatutStandardManquant,IF($V1216="","DONNEES INSUFFISANTES",IF($V1216&gt;=SeuilConforme,StatutConforme,IF($V1216&gt;=SeuilSurveiller,StatutSurveiller,StatutSousStandard))))))))</f>
        <v/>
      </c>
      <c r="X1216" s="33">
        <f>IF($G1216="","",IF(OR($D1216="",$E1216="",$F1216=""),"CONTEXTE INCOMPLET",IF(COUNTIFS($D316:$D1215,$D1216,$E316:$E1215,$E1216,$F316:$F1215,$F1216,$G316:$G1215,$G1216)&gt;0,"DOUBLON","VALIDE")))</f>
        <v/>
      </c>
    </row>
    <row r="1217" ht="15" customHeight="1">
      <c r="A1217" s="12">
        <f>IF(OR($B1217="",$G1217=""),"",TEXT($B1217,"YYYYMMDD")&amp;"-"&amp;SUBSTITUTE($E1217," ","")&amp;"-"&amp;$F1217&amp;"-"&amp;$G1217)</f>
        <v/>
      </c>
      <c r="B1217" s="15" t="n"/>
      <c r="C1217" s="16" t="n"/>
      <c r="D1217" s="10" t="n"/>
      <c r="E1217" s="9" t="n"/>
      <c r="F1217" s="9" t="n"/>
      <c r="G1217" s="13" t="n"/>
      <c r="H1217" s="21" t="n"/>
      <c r="I1217" s="21" t="n"/>
      <c r="J1217" s="17">
        <f>IF($G1217="","",IFERROR(INDEX(NomsEmployes,MATCH($G1217,MatriculesEmployes,0)),"MATRICULE INCONNU"))</f>
        <v/>
      </c>
      <c r="K1217" s="33">
        <f>IF(OR($D1217="",$F1217=""),"",IFERROR(IF(INDEX(RUNS!$L$6:$S$1005,MATCH($D1217,RUNS!$A$6:$A$1005,0),MATCH("ACTIVITÉ "&amp;$F1217,RUNS!$L$5:$S$5,0))="","",INDEX(RUNS!$L$6:$S$1005,MATCH($D1217,RUNS!$A$6:$A$1005,0),MATCH("ACTIVITÉ "&amp;$F1217,RUNS!$L$5:$S$5,0))),""))</f>
        <v/>
      </c>
      <c r="L1217" s="33">
        <f>IF($D1217="","",IFERROR(IF(INDEX(RUNS!$E$6:$E$1005,MATCH($D1217,RUNS!$A$6:$A$1005,0))="","",INDEX(RUNS!$E$6:$E$1005,MATCH($D1217,RUNS!$A$6:$A$1005,0))),""))</f>
        <v/>
      </c>
      <c r="M1217" s="33">
        <f>IF($D1217="","",IFERROR(IF(INDEX(RUNS!$F$6:$F$1005,MATCH($D1217,RUNS!$A$6:$A$1005,0))="","",INDEX(RUNS!$F$6:$F$1005,MATCH($D1217,RUNS!$A$6:$A$1005,0))),""))</f>
        <v/>
      </c>
      <c r="N1217" s="33">
        <f>IF($D1217="","",IFERROR(IF(INDEX(RUNS!$G$6:$G$1005,MATCH($D1217,RUNS!$A$6:$A$1005,0))="","",INDEX(RUNS!$G$6:$G$1005,MATCH($D1217,RUNS!$A$6:$A$1005,0))),""))</f>
        <v/>
      </c>
      <c r="O1217" s="33">
        <f>IF($D1217="","",IFERROR(IF(INDEX(RUNS!$H$6:$H$1005,MATCH($D1217,RUNS!$A$6:$A$1005,0))="","",INDEX(RUNS!$H$6:$H$1005,MATCH($D1217,RUNS!$A$6:$A$1005,0))),""))</f>
        <v/>
      </c>
      <c r="P1217" s="33">
        <f>IF($D1217="","",IFERROR(IF(INDEX(RUNS!$J$6:$J$1005,MATCH($D1217,RUNS!$A$6:$A$1005,0))="","",INDEX(RUNS!$J$6:$J$1005,MATCH($D1217,RUNS!$A$6:$A$1005,0))),""))</f>
        <v/>
      </c>
      <c r="Q1217" s="33">
        <f>IF($D1217="","",IFERROR(IF(INDEX(RUNS!$K$6:$K$1005,MATCH($D1217,RUNS!$A$6:$A$1005,0))="","",INDEX(RUNS!$K$6:$K$1005,MATCH($D1217,RUNS!$A$6:$A$1005,0))),""))</f>
        <v/>
      </c>
      <c r="R1217" s="34">
        <f>IF(OR($L1217="",$K1217=""),"",IFERROR(IF(INDEX(PARAMETRES!$H$43:$H$342,MATCH($L1217&amp;"|"&amp;$M1217&amp;"|"&amp;$N1217&amp;"|"&amp;$O1217&amp;"|"&amp;$P1217&amp;"|"&amp;$Q1217&amp;"|"&amp;$K1217,PARAMETRES!$J$43:$J$342,0))="","",INDEX(PARAMETRES!$H$43:$H$342,MATCH($L1217&amp;"|"&amp;$M1217&amp;"|"&amp;$N1217&amp;"|"&amp;$O1217&amp;"|"&amp;$P1217&amp;"|"&amp;$Q1217&amp;"|"&amp;$K1217,PARAMETRES!$J$43:$J$342,0))),""))</f>
        <v/>
      </c>
      <c r="S1217" s="35">
        <f>IF(OR($G1217="",$X1217&lt;&gt;"VALIDE"),"",IFERROR(LOOKUP(2,1/(($B317:$B1216=$B1217)*($G317:$G1216=$G1217)*($X317:$X1216="VALIDE")),$C317:$C1216),""))</f>
        <v/>
      </c>
      <c r="T1217" s="36">
        <f>IF(OR($C1217="",$S1217=""),"",ROUND(($C1217-$S1217+IF($C1217&lt;$S1217,1,0))*1440,0))</f>
        <v/>
      </c>
      <c r="U1217" s="22">
        <f>IF(OR($H1217="",$T1217="",$T1217&lt;=0),"",$H1217*60/$T1217)</f>
        <v/>
      </c>
      <c r="V1217" s="37">
        <f>IF(OR($U1217="",$R1217="",$R1217=0),"",$U1217/$R1217)</f>
        <v/>
      </c>
      <c r="W1217" s="20">
        <f>IF($G1217="","",IF($X1217="CONTEXTE INCOMPLET","CONTEXTE INCOMPLET",IF($X1217="DOUBLON",StatutDoublon,IF($S1217="",StatutInitial,IF($R1217="",StatutStandardManquant,IF($V1217="","DONNEES INSUFFISANTES",IF($V1217&gt;=SeuilConforme,StatutConforme,IF($V1217&gt;=SeuilSurveiller,StatutSurveiller,StatutSousStandard))))))))</f>
        <v/>
      </c>
      <c r="X1217" s="33">
        <f>IF($G1217="","",IF(OR($D1217="",$E1217="",$F1217=""),"CONTEXTE INCOMPLET",IF(COUNTIFS($D317:$D1216,$D1217,$E317:$E1216,$E1217,$F317:$F1216,$F1217,$G317:$G1216,$G1217)&gt;0,"DOUBLON","VALIDE")))</f>
        <v/>
      </c>
    </row>
    <row r="1218" ht="15" customHeight="1">
      <c r="A1218" s="12">
        <f>IF(OR($B1218="",$G1218=""),"",TEXT($B1218,"YYYYMMDD")&amp;"-"&amp;SUBSTITUTE($E1218," ","")&amp;"-"&amp;$F1218&amp;"-"&amp;$G1218)</f>
        <v/>
      </c>
      <c r="B1218" s="15" t="n"/>
      <c r="C1218" s="16" t="n"/>
      <c r="D1218" s="10" t="n"/>
      <c r="E1218" s="9" t="n"/>
      <c r="F1218" s="9" t="n"/>
      <c r="G1218" s="13" t="n"/>
      <c r="H1218" s="21" t="n"/>
      <c r="I1218" s="21" t="n"/>
      <c r="J1218" s="17">
        <f>IF($G1218="","",IFERROR(INDEX(NomsEmployes,MATCH($G1218,MatriculesEmployes,0)),"MATRICULE INCONNU"))</f>
        <v/>
      </c>
      <c r="K1218" s="33">
        <f>IF(OR($D1218="",$F1218=""),"",IFERROR(IF(INDEX(RUNS!$L$6:$S$1005,MATCH($D1218,RUNS!$A$6:$A$1005,0),MATCH("ACTIVITÉ "&amp;$F1218,RUNS!$L$5:$S$5,0))="","",INDEX(RUNS!$L$6:$S$1005,MATCH($D1218,RUNS!$A$6:$A$1005,0),MATCH("ACTIVITÉ "&amp;$F1218,RUNS!$L$5:$S$5,0))),""))</f>
        <v/>
      </c>
      <c r="L1218" s="33">
        <f>IF($D1218="","",IFERROR(IF(INDEX(RUNS!$E$6:$E$1005,MATCH($D1218,RUNS!$A$6:$A$1005,0))="","",INDEX(RUNS!$E$6:$E$1005,MATCH($D1218,RUNS!$A$6:$A$1005,0))),""))</f>
        <v/>
      </c>
      <c r="M1218" s="33">
        <f>IF($D1218="","",IFERROR(IF(INDEX(RUNS!$F$6:$F$1005,MATCH($D1218,RUNS!$A$6:$A$1005,0))="","",INDEX(RUNS!$F$6:$F$1005,MATCH($D1218,RUNS!$A$6:$A$1005,0))),""))</f>
        <v/>
      </c>
      <c r="N1218" s="33">
        <f>IF($D1218="","",IFERROR(IF(INDEX(RUNS!$G$6:$G$1005,MATCH($D1218,RUNS!$A$6:$A$1005,0))="","",INDEX(RUNS!$G$6:$G$1005,MATCH($D1218,RUNS!$A$6:$A$1005,0))),""))</f>
        <v/>
      </c>
      <c r="O1218" s="33">
        <f>IF($D1218="","",IFERROR(IF(INDEX(RUNS!$H$6:$H$1005,MATCH($D1218,RUNS!$A$6:$A$1005,0))="","",INDEX(RUNS!$H$6:$H$1005,MATCH($D1218,RUNS!$A$6:$A$1005,0))),""))</f>
        <v/>
      </c>
      <c r="P1218" s="33">
        <f>IF($D1218="","",IFERROR(IF(INDEX(RUNS!$J$6:$J$1005,MATCH($D1218,RUNS!$A$6:$A$1005,0))="","",INDEX(RUNS!$J$6:$J$1005,MATCH($D1218,RUNS!$A$6:$A$1005,0))),""))</f>
        <v/>
      </c>
      <c r="Q1218" s="33">
        <f>IF($D1218="","",IFERROR(IF(INDEX(RUNS!$K$6:$K$1005,MATCH($D1218,RUNS!$A$6:$A$1005,0))="","",INDEX(RUNS!$K$6:$K$1005,MATCH($D1218,RUNS!$A$6:$A$1005,0))),""))</f>
        <v/>
      </c>
      <c r="R1218" s="34">
        <f>IF(OR($L1218="",$K1218=""),"",IFERROR(IF(INDEX(PARAMETRES!$H$43:$H$342,MATCH($L1218&amp;"|"&amp;$M1218&amp;"|"&amp;$N1218&amp;"|"&amp;$O1218&amp;"|"&amp;$P1218&amp;"|"&amp;$Q1218&amp;"|"&amp;$K1218,PARAMETRES!$J$43:$J$342,0))="","",INDEX(PARAMETRES!$H$43:$H$342,MATCH($L1218&amp;"|"&amp;$M1218&amp;"|"&amp;$N1218&amp;"|"&amp;$O1218&amp;"|"&amp;$P1218&amp;"|"&amp;$Q1218&amp;"|"&amp;$K1218,PARAMETRES!$J$43:$J$342,0))),""))</f>
        <v/>
      </c>
      <c r="S1218" s="35">
        <f>IF(OR($G1218="",$X1218&lt;&gt;"VALIDE"),"",IFERROR(LOOKUP(2,1/(($B318:$B1217=$B1218)*($G318:$G1217=$G1218)*($X318:$X1217="VALIDE")),$C318:$C1217),""))</f>
        <v/>
      </c>
      <c r="T1218" s="36">
        <f>IF(OR($C1218="",$S1218=""),"",ROUND(($C1218-$S1218+IF($C1218&lt;$S1218,1,0))*1440,0))</f>
        <v/>
      </c>
      <c r="U1218" s="22">
        <f>IF(OR($H1218="",$T1218="",$T1218&lt;=0),"",$H1218*60/$T1218)</f>
        <v/>
      </c>
      <c r="V1218" s="37">
        <f>IF(OR($U1218="",$R1218="",$R1218=0),"",$U1218/$R1218)</f>
        <v/>
      </c>
      <c r="W1218" s="20">
        <f>IF($G1218="","",IF($X1218="CONTEXTE INCOMPLET","CONTEXTE INCOMPLET",IF($X1218="DOUBLON",StatutDoublon,IF($S1218="",StatutInitial,IF($R1218="",StatutStandardManquant,IF($V1218="","DONNEES INSUFFISANTES",IF($V1218&gt;=SeuilConforme,StatutConforme,IF($V1218&gt;=SeuilSurveiller,StatutSurveiller,StatutSousStandard))))))))</f>
        <v/>
      </c>
      <c r="X1218" s="33">
        <f>IF($G1218="","",IF(OR($D1218="",$E1218="",$F1218=""),"CONTEXTE INCOMPLET",IF(COUNTIFS($D318:$D1217,$D1218,$E318:$E1217,$E1218,$F318:$F1217,$F1218,$G318:$G1217,$G1218)&gt;0,"DOUBLON","VALIDE")))</f>
        <v/>
      </c>
    </row>
    <row r="1219" ht="15" customHeight="1">
      <c r="A1219" s="12">
        <f>IF(OR($B1219="",$G1219=""),"",TEXT($B1219,"YYYYMMDD")&amp;"-"&amp;SUBSTITUTE($E1219," ","")&amp;"-"&amp;$F1219&amp;"-"&amp;$G1219)</f>
        <v/>
      </c>
      <c r="B1219" s="15" t="n"/>
      <c r="C1219" s="16" t="n"/>
      <c r="D1219" s="10" t="n"/>
      <c r="E1219" s="9" t="n"/>
      <c r="F1219" s="9" t="n"/>
      <c r="G1219" s="13" t="n"/>
      <c r="H1219" s="21" t="n"/>
      <c r="I1219" s="21" t="n"/>
      <c r="J1219" s="17">
        <f>IF($G1219="","",IFERROR(INDEX(NomsEmployes,MATCH($G1219,MatriculesEmployes,0)),"MATRICULE INCONNU"))</f>
        <v/>
      </c>
      <c r="K1219" s="33">
        <f>IF(OR($D1219="",$F1219=""),"",IFERROR(IF(INDEX(RUNS!$L$6:$S$1005,MATCH($D1219,RUNS!$A$6:$A$1005,0),MATCH("ACTIVITÉ "&amp;$F1219,RUNS!$L$5:$S$5,0))="","",INDEX(RUNS!$L$6:$S$1005,MATCH($D1219,RUNS!$A$6:$A$1005,0),MATCH("ACTIVITÉ "&amp;$F1219,RUNS!$L$5:$S$5,0))),""))</f>
        <v/>
      </c>
      <c r="L1219" s="33">
        <f>IF($D1219="","",IFERROR(IF(INDEX(RUNS!$E$6:$E$1005,MATCH($D1219,RUNS!$A$6:$A$1005,0))="","",INDEX(RUNS!$E$6:$E$1005,MATCH($D1219,RUNS!$A$6:$A$1005,0))),""))</f>
        <v/>
      </c>
      <c r="M1219" s="33">
        <f>IF($D1219="","",IFERROR(IF(INDEX(RUNS!$F$6:$F$1005,MATCH($D1219,RUNS!$A$6:$A$1005,0))="","",INDEX(RUNS!$F$6:$F$1005,MATCH($D1219,RUNS!$A$6:$A$1005,0))),""))</f>
        <v/>
      </c>
      <c r="N1219" s="33">
        <f>IF($D1219="","",IFERROR(IF(INDEX(RUNS!$G$6:$G$1005,MATCH($D1219,RUNS!$A$6:$A$1005,0))="","",INDEX(RUNS!$G$6:$G$1005,MATCH($D1219,RUNS!$A$6:$A$1005,0))),""))</f>
        <v/>
      </c>
      <c r="O1219" s="33">
        <f>IF($D1219="","",IFERROR(IF(INDEX(RUNS!$H$6:$H$1005,MATCH($D1219,RUNS!$A$6:$A$1005,0))="","",INDEX(RUNS!$H$6:$H$1005,MATCH($D1219,RUNS!$A$6:$A$1005,0))),""))</f>
        <v/>
      </c>
      <c r="P1219" s="33">
        <f>IF($D1219="","",IFERROR(IF(INDEX(RUNS!$J$6:$J$1005,MATCH($D1219,RUNS!$A$6:$A$1005,0))="","",INDEX(RUNS!$J$6:$J$1005,MATCH($D1219,RUNS!$A$6:$A$1005,0))),""))</f>
        <v/>
      </c>
      <c r="Q1219" s="33">
        <f>IF($D1219="","",IFERROR(IF(INDEX(RUNS!$K$6:$K$1005,MATCH($D1219,RUNS!$A$6:$A$1005,0))="","",INDEX(RUNS!$K$6:$K$1005,MATCH($D1219,RUNS!$A$6:$A$1005,0))),""))</f>
        <v/>
      </c>
      <c r="R1219" s="34">
        <f>IF(OR($L1219="",$K1219=""),"",IFERROR(IF(INDEX(PARAMETRES!$H$43:$H$342,MATCH($L1219&amp;"|"&amp;$M1219&amp;"|"&amp;$N1219&amp;"|"&amp;$O1219&amp;"|"&amp;$P1219&amp;"|"&amp;$Q1219&amp;"|"&amp;$K1219,PARAMETRES!$J$43:$J$342,0))="","",INDEX(PARAMETRES!$H$43:$H$342,MATCH($L1219&amp;"|"&amp;$M1219&amp;"|"&amp;$N1219&amp;"|"&amp;$O1219&amp;"|"&amp;$P1219&amp;"|"&amp;$Q1219&amp;"|"&amp;$K1219,PARAMETRES!$J$43:$J$342,0))),""))</f>
        <v/>
      </c>
      <c r="S1219" s="35">
        <f>IF(OR($G1219="",$X1219&lt;&gt;"VALIDE"),"",IFERROR(LOOKUP(2,1/(($B319:$B1218=$B1219)*($G319:$G1218=$G1219)*($X319:$X1218="VALIDE")),$C319:$C1218),""))</f>
        <v/>
      </c>
      <c r="T1219" s="36">
        <f>IF(OR($C1219="",$S1219=""),"",ROUND(($C1219-$S1219+IF($C1219&lt;$S1219,1,0))*1440,0))</f>
        <v/>
      </c>
      <c r="U1219" s="22">
        <f>IF(OR($H1219="",$T1219="",$T1219&lt;=0),"",$H1219*60/$T1219)</f>
        <v/>
      </c>
      <c r="V1219" s="37">
        <f>IF(OR($U1219="",$R1219="",$R1219=0),"",$U1219/$R1219)</f>
        <v/>
      </c>
      <c r="W1219" s="20">
        <f>IF($G1219="","",IF($X1219="CONTEXTE INCOMPLET","CONTEXTE INCOMPLET",IF($X1219="DOUBLON",StatutDoublon,IF($S1219="",StatutInitial,IF($R1219="",StatutStandardManquant,IF($V1219="","DONNEES INSUFFISANTES",IF($V1219&gt;=SeuilConforme,StatutConforme,IF($V1219&gt;=SeuilSurveiller,StatutSurveiller,StatutSousStandard))))))))</f>
        <v/>
      </c>
      <c r="X1219" s="33">
        <f>IF($G1219="","",IF(OR($D1219="",$E1219="",$F1219=""),"CONTEXTE INCOMPLET",IF(COUNTIFS($D319:$D1218,$D1219,$E319:$E1218,$E1219,$F319:$F1218,$F1219,$G319:$G1218,$G1219)&gt;0,"DOUBLON","VALIDE")))</f>
        <v/>
      </c>
    </row>
    <row r="1220" ht="15" customHeight="1">
      <c r="A1220" s="12">
        <f>IF(OR($B1220="",$G1220=""),"",TEXT($B1220,"YYYYMMDD")&amp;"-"&amp;SUBSTITUTE($E1220," ","")&amp;"-"&amp;$F1220&amp;"-"&amp;$G1220)</f>
        <v/>
      </c>
      <c r="B1220" s="15" t="n"/>
      <c r="C1220" s="16" t="n"/>
      <c r="D1220" s="10" t="n"/>
      <c r="E1220" s="9" t="n"/>
      <c r="F1220" s="9" t="n"/>
      <c r="G1220" s="13" t="n"/>
      <c r="H1220" s="21" t="n"/>
      <c r="I1220" s="21" t="n"/>
      <c r="J1220" s="17">
        <f>IF($G1220="","",IFERROR(INDEX(NomsEmployes,MATCH($G1220,MatriculesEmployes,0)),"MATRICULE INCONNU"))</f>
        <v/>
      </c>
      <c r="K1220" s="33">
        <f>IF(OR($D1220="",$F1220=""),"",IFERROR(IF(INDEX(RUNS!$L$6:$S$1005,MATCH($D1220,RUNS!$A$6:$A$1005,0),MATCH("ACTIVITÉ "&amp;$F1220,RUNS!$L$5:$S$5,0))="","",INDEX(RUNS!$L$6:$S$1005,MATCH($D1220,RUNS!$A$6:$A$1005,0),MATCH("ACTIVITÉ "&amp;$F1220,RUNS!$L$5:$S$5,0))),""))</f>
        <v/>
      </c>
      <c r="L1220" s="33">
        <f>IF($D1220="","",IFERROR(IF(INDEX(RUNS!$E$6:$E$1005,MATCH($D1220,RUNS!$A$6:$A$1005,0))="","",INDEX(RUNS!$E$6:$E$1005,MATCH($D1220,RUNS!$A$6:$A$1005,0))),""))</f>
        <v/>
      </c>
      <c r="M1220" s="33">
        <f>IF($D1220="","",IFERROR(IF(INDEX(RUNS!$F$6:$F$1005,MATCH($D1220,RUNS!$A$6:$A$1005,0))="","",INDEX(RUNS!$F$6:$F$1005,MATCH($D1220,RUNS!$A$6:$A$1005,0))),""))</f>
        <v/>
      </c>
      <c r="N1220" s="33">
        <f>IF($D1220="","",IFERROR(IF(INDEX(RUNS!$G$6:$G$1005,MATCH($D1220,RUNS!$A$6:$A$1005,0))="","",INDEX(RUNS!$G$6:$G$1005,MATCH($D1220,RUNS!$A$6:$A$1005,0))),""))</f>
        <v/>
      </c>
      <c r="O1220" s="33">
        <f>IF($D1220="","",IFERROR(IF(INDEX(RUNS!$H$6:$H$1005,MATCH($D1220,RUNS!$A$6:$A$1005,0))="","",INDEX(RUNS!$H$6:$H$1005,MATCH($D1220,RUNS!$A$6:$A$1005,0))),""))</f>
        <v/>
      </c>
      <c r="P1220" s="33">
        <f>IF($D1220="","",IFERROR(IF(INDEX(RUNS!$J$6:$J$1005,MATCH($D1220,RUNS!$A$6:$A$1005,0))="","",INDEX(RUNS!$J$6:$J$1005,MATCH($D1220,RUNS!$A$6:$A$1005,0))),""))</f>
        <v/>
      </c>
      <c r="Q1220" s="33">
        <f>IF($D1220="","",IFERROR(IF(INDEX(RUNS!$K$6:$K$1005,MATCH($D1220,RUNS!$A$6:$A$1005,0))="","",INDEX(RUNS!$K$6:$K$1005,MATCH($D1220,RUNS!$A$6:$A$1005,0))),""))</f>
        <v/>
      </c>
      <c r="R1220" s="34">
        <f>IF(OR($L1220="",$K1220=""),"",IFERROR(IF(INDEX(PARAMETRES!$H$43:$H$342,MATCH($L1220&amp;"|"&amp;$M1220&amp;"|"&amp;$N1220&amp;"|"&amp;$O1220&amp;"|"&amp;$P1220&amp;"|"&amp;$Q1220&amp;"|"&amp;$K1220,PARAMETRES!$J$43:$J$342,0))="","",INDEX(PARAMETRES!$H$43:$H$342,MATCH($L1220&amp;"|"&amp;$M1220&amp;"|"&amp;$N1220&amp;"|"&amp;$O1220&amp;"|"&amp;$P1220&amp;"|"&amp;$Q1220&amp;"|"&amp;$K1220,PARAMETRES!$J$43:$J$342,0))),""))</f>
        <v/>
      </c>
      <c r="S1220" s="35">
        <f>IF(OR($G1220="",$X1220&lt;&gt;"VALIDE"),"",IFERROR(LOOKUP(2,1/(($B320:$B1219=$B1220)*($G320:$G1219=$G1220)*($X320:$X1219="VALIDE")),$C320:$C1219),""))</f>
        <v/>
      </c>
      <c r="T1220" s="36">
        <f>IF(OR($C1220="",$S1220=""),"",ROUND(($C1220-$S1220+IF($C1220&lt;$S1220,1,0))*1440,0))</f>
        <v/>
      </c>
      <c r="U1220" s="22">
        <f>IF(OR($H1220="",$T1220="",$T1220&lt;=0),"",$H1220*60/$T1220)</f>
        <v/>
      </c>
      <c r="V1220" s="37">
        <f>IF(OR($U1220="",$R1220="",$R1220=0),"",$U1220/$R1220)</f>
        <v/>
      </c>
      <c r="W1220" s="20">
        <f>IF($G1220="","",IF($X1220="CONTEXTE INCOMPLET","CONTEXTE INCOMPLET",IF($X1220="DOUBLON",StatutDoublon,IF($S1220="",StatutInitial,IF($R1220="",StatutStandardManquant,IF($V1220="","DONNEES INSUFFISANTES",IF($V1220&gt;=SeuilConforme,StatutConforme,IF($V1220&gt;=SeuilSurveiller,StatutSurveiller,StatutSousStandard))))))))</f>
        <v/>
      </c>
      <c r="X1220" s="33">
        <f>IF($G1220="","",IF(OR($D1220="",$E1220="",$F1220=""),"CONTEXTE INCOMPLET",IF(COUNTIFS($D320:$D1219,$D1220,$E320:$E1219,$E1220,$F320:$F1219,$F1220,$G320:$G1219,$G1220)&gt;0,"DOUBLON","VALIDE")))</f>
        <v/>
      </c>
    </row>
    <row r="1221" ht="15" customHeight="1">
      <c r="A1221" s="12">
        <f>IF(OR($B1221="",$G1221=""),"",TEXT($B1221,"YYYYMMDD")&amp;"-"&amp;SUBSTITUTE($E1221," ","")&amp;"-"&amp;$F1221&amp;"-"&amp;$G1221)</f>
        <v/>
      </c>
      <c r="B1221" s="15" t="n"/>
      <c r="C1221" s="16" t="n"/>
      <c r="D1221" s="10" t="n"/>
      <c r="E1221" s="9" t="n"/>
      <c r="F1221" s="9" t="n"/>
      <c r="G1221" s="13" t="n"/>
      <c r="H1221" s="21" t="n"/>
      <c r="I1221" s="21" t="n"/>
      <c r="J1221" s="17">
        <f>IF($G1221="","",IFERROR(INDEX(NomsEmployes,MATCH($G1221,MatriculesEmployes,0)),"MATRICULE INCONNU"))</f>
        <v/>
      </c>
      <c r="K1221" s="33">
        <f>IF(OR($D1221="",$F1221=""),"",IFERROR(IF(INDEX(RUNS!$L$6:$S$1005,MATCH($D1221,RUNS!$A$6:$A$1005,0),MATCH("ACTIVITÉ "&amp;$F1221,RUNS!$L$5:$S$5,0))="","",INDEX(RUNS!$L$6:$S$1005,MATCH($D1221,RUNS!$A$6:$A$1005,0),MATCH("ACTIVITÉ "&amp;$F1221,RUNS!$L$5:$S$5,0))),""))</f>
        <v/>
      </c>
      <c r="L1221" s="33">
        <f>IF($D1221="","",IFERROR(IF(INDEX(RUNS!$E$6:$E$1005,MATCH($D1221,RUNS!$A$6:$A$1005,0))="","",INDEX(RUNS!$E$6:$E$1005,MATCH($D1221,RUNS!$A$6:$A$1005,0))),""))</f>
        <v/>
      </c>
      <c r="M1221" s="33">
        <f>IF($D1221="","",IFERROR(IF(INDEX(RUNS!$F$6:$F$1005,MATCH($D1221,RUNS!$A$6:$A$1005,0))="","",INDEX(RUNS!$F$6:$F$1005,MATCH($D1221,RUNS!$A$6:$A$1005,0))),""))</f>
        <v/>
      </c>
      <c r="N1221" s="33">
        <f>IF($D1221="","",IFERROR(IF(INDEX(RUNS!$G$6:$G$1005,MATCH($D1221,RUNS!$A$6:$A$1005,0))="","",INDEX(RUNS!$G$6:$G$1005,MATCH($D1221,RUNS!$A$6:$A$1005,0))),""))</f>
        <v/>
      </c>
      <c r="O1221" s="33">
        <f>IF($D1221="","",IFERROR(IF(INDEX(RUNS!$H$6:$H$1005,MATCH($D1221,RUNS!$A$6:$A$1005,0))="","",INDEX(RUNS!$H$6:$H$1005,MATCH($D1221,RUNS!$A$6:$A$1005,0))),""))</f>
        <v/>
      </c>
      <c r="P1221" s="33">
        <f>IF($D1221="","",IFERROR(IF(INDEX(RUNS!$J$6:$J$1005,MATCH($D1221,RUNS!$A$6:$A$1005,0))="","",INDEX(RUNS!$J$6:$J$1005,MATCH($D1221,RUNS!$A$6:$A$1005,0))),""))</f>
        <v/>
      </c>
      <c r="Q1221" s="33">
        <f>IF($D1221="","",IFERROR(IF(INDEX(RUNS!$K$6:$K$1005,MATCH($D1221,RUNS!$A$6:$A$1005,0))="","",INDEX(RUNS!$K$6:$K$1005,MATCH($D1221,RUNS!$A$6:$A$1005,0))),""))</f>
        <v/>
      </c>
      <c r="R1221" s="34">
        <f>IF(OR($L1221="",$K1221=""),"",IFERROR(IF(INDEX(PARAMETRES!$H$43:$H$342,MATCH($L1221&amp;"|"&amp;$M1221&amp;"|"&amp;$N1221&amp;"|"&amp;$O1221&amp;"|"&amp;$P1221&amp;"|"&amp;$Q1221&amp;"|"&amp;$K1221,PARAMETRES!$J$43:$J$342,0))="","",INDEX(PARAMETRES!$H$43:$H$342,MATCH($L1221&amp;"|"&amp;$M1221&amp;"|"&amp;$N1221&amp;"|"&amp;$O1221&amp;"|"&amp;$P1221&amp;"|"&amp;$Q1221&amp;"|"&amp;$K1221,PARAMETRES!$J$43:$J$342,0))),""))</f>
        <v/>
      </c>
      <c r="S1221" s="35">
        <f>IF(OR($G1221="",$X1221&lt;&gt;"VALIDE"),"",IFERROR(LOOKUP(2,1/(($B321:$B1220=$B1221)*($G321:$G1220=$G1221)*($X321:$X1220="VALIDE")),$C321:$C1220),""))</f>
        <v/>
      </c>
      <c r="T1221" s="36">
        <f>IF(OR($C1221="",$S1221=""),"",ROUND(($C1221-$S1221+IF($C1221&lt;$S1221,1,0))*1440,0))</f>
        <v/>
      </c>
      <c r="U1221" s="22">
        <f>IF(OR($H1221="",$T1221="",$T1221&lt;=0),"",$H1221*60/$T1221)</f>
        <v/>
      </c>
      <c r="V1221" s="37">
        <f>IF(OR($U1221="",$R1221="",$R1221=0),"",$U1221/$R1221)</f>
        <v/>
      </c>
      <c r="W1221" s="20">
        <f>IF($G1221="","",IF($X1221="CONTEXTE INCOMPLET","CONTEXTE INCOMPLET",IF($X1221="DOUBLON",StatutDoublon,IF($S1221="",StatutInitial,IF($R1221="",StatutStandardManquant,IF($V1221="","DONNEES INSUFFISANTES",IF($V1221&gt;=SeuilConforme,StatutConforme,IF($V1221&gt;=SeuilSurveiller,StatutSurveiller,StatutSousStandard))))))))</f>
        <v/>
      </c>
      <c r="X1221" s="33">
        <f>IF($G1221="","",IF(OR($D1221="",$E1221="",$F1221=""),"CONTEXTE INCOMPLET",IF(COUNTIFS($D321:$D1220,$D1221,$E321:$E1220,$E1221,$F321:$F1220,$F1221,$G321:$G1220,$G1221)&gt;0,"DOUBLON","VALIDE")))</f>
        <v/>
      </c>
    </row>
    <row r="1222" ht="15" customHeight="1">
      <c r="A1222" s="12">
        <f>IF(OR($B1222="",$G1222=""),"",TEXT($B1222,"YYYYMMDD")&amp;"-"&amp;SUBSTITUTE($E1222," ","")&amp;"-"&amp;$F1222&amp;"-"&amp;$G1222)</f>
        <v/>
      </c>
      <c r="B1222" s="15" t="n"/>
      <c r="C1222" s="16" t="n"/>
      <c r="D1222" s="10" t="n"/>
      <c r="E1222" s="9" t="n"/>
      <c r="F1222" s="9" t="n"/>
      <c r="G1222" s="13" t="n"/>
      <c r="H1222" s="21" t="n"/>
      <c r="I1222" s="21" t="n"/>
      <c r="J1222" s="17">
        <f>IF($G1222="","",IFERROR(INDEX(NomsEmployes,MATCH($G1222,MatriculesEmployes,0)),"MATRICULE INCONNU"))</f>
        <v/>
      </c>
      <c r="K1222" s="33">
        <f>IF(OR($D1222="",$F1222=""),"",IFERROR(IF(INDEX(RUNS!$L$6:$S$1005,MATCH($D1222,RUNS!$A$6:$A$1005,0),MATCH("ACTIVITÉ "&amp;$F1222,RUNS!$L$5:$S$5,0))="","",INDEX(RUNS!$L$6:$S$1005,MATCH($D1222,RUNS!$A$6:$A$1005,0),MATCH("ACTIVITÉ "&amp;$F1222,RUNS!$L$5:$S$5,0))),""))</f>
        <v/>
      </c>
      <c r="L1222" s="33">
        <f>IF($D1222="","",IFERROR(IF(INDEX(RUNS!$E$6:$E$1005,MATCH($D1222,RUNS!$A$6:$A$1005,0))="","",INDEX(RUNS!$E$6:$E$1005,MATCH($D1222,RUNS!$A$6:$A$1005,0))),""))</f>
        <v/>
      </c>
      <c r="M1222" s="33">
        <f>IF($D1222="","",IFERROR(IF(INDEX(RUNS!$F$6:$F$1005,MATCH($D1222,RUNS!$A$6:$A$1005,0))="","",INDEX(RUNS!$F$6:$F$1005,MATCH($D1222,RUNS!$A$6:$A$1005,0))),""))</f>
        <v/>
      </c>
      <c r="N1222" s="33">
        <f>IF($D1222="","",IFERROR(IF(INDEX(RUNS!$G$6:$G$1005,MATCH($D1222,RUNS!$A$6:$A$1005,0))="","",INDEX(RUNS!$G$6:$G$1005,MATCH($D1222,RUNS!$A$6:$A$1005,0))),""))</f>
        <v/>
      </c>
      <c r="O1222" s="33">
        <f>IF($D1222="","",IFERROR(IF(INDEX(RUNS!$H$6:$H$1005,MATCH($D1222,RUNS!$A$6:$A$1005,0))="","",INDEX(RUNS!$H$6:$H$1005,MATCH($D1222,RUNS!$A$6:$A$1005,0))),""))</f>
        <v/>
      </c>
      <c r="P1222" s="33">
        <f>IF($D1222="","",IFERROR(IF(INDEX(RUNS!$J$6:$J$1005,MATCH($D1222,RUNS!$A$6:$A$1005,0))="","",INDEX(RUNS!$J$6:$J$1005,MATCH($D1222,RUNS!$A$6:$A$1005,0))),""))</f>
        <v/>
      </c>
      <c r="Q1222" s="33">
        <f>IF($D1222="","",IFERROR(IF(INDEX(RUNS!$K$6:$K$1005,MATCH($D1222,RUNS!$A$6:$A$1005,0))="","",INDEX(RUNS!$K$6:$K$1005,MATCH($D1222,RUNS!$A$6:$A$1005,0))),""))</f>
        <v/>
      </c>
      <c r="R1222" s="34">
        <f>IF(OR($L1222="",$K1222=""),"",IFERROR(IF(INDEX(PARAMETRES!$H$43:$H$342,MATCH($L1222&amp;"|"&amp;$M1222&amp;"|"&amp;$N1222&amp;"|"&amp;$O1222&amp;"|"&amp;$P1222&amp;"|"&amp;$Q1222&amp;"|"&amp;$K1222,PARAMETRES!$J$43:$J$342,0))="","",INDEX(PARAMETRES!$H$43:$H$342,MATCH($L1222&amp;"|"&amp;$M1222&amp;"|"&amp;$N1222&amp;"|"&amp;$O1222&amp;"|"&amp;$P1222&amp;"|"&amp;$Q1222&amp;"|"&amp;$K1222,PARAMETRES!$J$43:$J$342,0))),""))</f>
        <v/>
      </c>
      <c r="S1222" s="35">
        <f>IF(OR($G1222="",$X1222&lt;&gt;"VALIDE"),"",IFERROR(LOOKUP(2,1/(($B322:$B1221=$B1222)*($G322:$G1221=$G1222)*($X322:$X1221="VALIDE")),$C322:$C1221),""))</f>
        <v/>
      </c>
      <c r="T1222" s="36">
        <f>IF(OR($C1222="",$S1222=""),"",ROUND(($C1222-$S1222+IF($C1222&lt;$S1222,1,0))*1440,0))</f>
        <v/>
      </c>
      <c r="U1222" s="22">
        <f>IF(OR($H1222="",$T1222="",$T1222&lt;=0),"",$H1222*60/$T1222)</f>
        <v/>
      </c>
      <c r="V1222" s="37">
        <f>IF(OR($U1222="",$R1222="",$R1222=0),"",$U1222/$R1222)</f>
        <v/>
      </c>
      <c r="W1222" s="20">
        <f>IF($G1222="","",IF($X1222="CONTEXTE INCOMPLET","CONTEXTE INCOMPLET",IF($X1222="DOUBLON",StatutDoublon,IF($S1222="",StatutInitial,IF($R1222="",StatutStandardManquant,IF($V1222="","DONNEES INSUFFISANTES",IF($V1222&gt;=SeuilConforme,StatutConforme,IF($V1222&gt;=SeuilSurveiller,StatutSurveiller,StatutSousStandard))))))))</f>
        <v/>
      </c>
      <c r="X1222" s="33">
        <f>IF($G1222="","",IF(OR($D1222="",$E1222="",$F1222=""),"CONTEXTE INCOMPLET",IF(COUNTIFS($D322:$D1221,$D1222,$E322:$E1221,$E1222,$F322:$F1221,$F1222,$G322:$G1221,$G1222)&gt;0,"DOUBLON","VALIDE")))</f>
        <v/>
      </c>
    </row>
    <row r="1223" ht="15" customHeight="1">
      <c r="A1223" s="12">
        <f>IF(OR($B1223="",$G1223=""),"",TEXT($B1223,"YYYYMMDD")&amp;"-"&amp;SUBSTITUTE($E1223," ","")&amp;"-"&amp;$F1223&amp;"-"&amp;$G1223)</f>
        <v/>
      </c>
      <c r="B1223" s="15" t="n"/>
      <c r="C1223" s="16" t="n"/>
      <c r="D1223" s="10" t="n"/>
      <c r="E1223" s="9" t="n"/>
      <c r="F1223" s="9" t="n"/>
      <c r="G1223" s="13" t="n"/>
      <c r="H1223" s="21" t="n"/>
      <c r="I1223" s="21" t="n"/>
      <c r="J1223" s="17">
        <f>IF($G1223="","",IFERROR(INDEX(NomsEmployes,MATCH($G1223,MatriculesEmployes,0)),"MATRICULE INCONNU"))</f>
        <v/>
      </c>
      <c r="K1223" s="33">
        <f>IF(OR($D1223="",$F1223=""),"",IFERROR(IF(INDEX(RUNS!$L$6:$S$1005,MATCH($D1223,RUNS!$A$6:$A$1005,0),MATCH("ACTIVITÉ "&amp;$F1223,RUNS!$L$5:$S$5,0))="","",INDEX(RUNS!$L$6:$S$1005,MATCH($D1223,RUNS!$A$6:$A$1005,0),MATCH("ACTIVITÉ "&amp;$F1223,RUNS!$L$5:$S$5,0))),""))</f>
        <v/>
      </c>
      <c r="L1223" s="33">
        <f>IF($D1223="","",IFERROR(IF(INDEX(RUNS!$E$6:$E$1005,MATCH($D1223,RUNS!$A$6:$A$1005,0))="","",INDEX(RUNS!$E$6:$E$1005,MATCH($D1223,RUNS!$A$6:$A$1005,0))),""))</f>
        <v/>
      </c>
      <c r="M1223" s="33">
        <f>IF($D1223="","",IFERROR(IF(INDEX(RUNS!$F$6:$F$1005,MATCH($D1223,RUNS!$A$6:$A$1005,0))="","",INDEX(RUNS!$F$6:$F$1005,MATCH($D1223,RUNS!$A$6:$A$1005,0))),""))</f>
        <v/>
      </c>
      <c r="N1223" s="33">
        <f>IF($D1223="","",IFERROR(IF(INDEX(RUNS!$G$6:$G$1005,MATCH($D1223,RUNS!$A$6:$A$1005,0))="","",INDEX(RUNS!$G$6:$G$1005,MATCH($D1223,RUNS!$A$6:$A$1005,0))),""))</f>
        <v/>
      </c>
      <c r="O1223" s="33">
        <f>IF($D1223="","",IFERROR(IF(INDEX(RUNS!$H$6:$H$1005,MATCH($D1223,RUNS!$A$6:$A$1005,0))="","",INDEX(RUNS!$H$6:$H$1005,MATCH($D1223,RUNS!$A$6:$A$1005,0))),""))</f>
        <v/>
      </c>
      <c r="P1223" s="33">
        <f>IF($D1223="","",IFERROR(IF(INDEX(RUNS!$J$6:$J$1005,MATCH($D1223,RUNS!$A$6:$A$1005,0))="","",INDEX(RUNS!$J$6:$J$1005,MATCH($D1223,RUNS!$A$6:$A$1005,0))),""))</f>
        <v/>
      </c>
      <c r="Q1223" s="33">
        <f>IF($D1223="","",IFERROR(IF(INDEX(RUNS!$K$6:$K$1005,MATCH($D1223,RUNS!$A$6:$A$1005,0))="","",INDEX(RUNS!$K$6:$K$1005,MATCH($D1223,RUNS!$A$6:$A$1005,0))),""))</f>
        <v/>
      </c>
      <c r="R1223" s="34">
        <f>IF(OR($L1223="",$K1223=""),"",IFERROR(IF(INDEX(PARAMETRES!$H$43:$H$342,MATCH($L1223&amp;"|"&amp;$M1223&amp;"|"&amp;$N1223&amp;"|"&amp;$O1223&amp;"|"&amp;$P1223&amp;"|"&amp;$Q1223&amp;"|"&amp;$K1223,PARAMETRES!$J$43:$J$342,0))="","",INDEX(PARAMETRES!$H$43:$H$342,MATCH($L1223&amp;"|"&amp;$M1223&amp;"|"&amp;$N1223&amp;"|"&amp;$O1223&amp;"|"&amp;$P1223&amp;"|"&amp;$Q1223&amp;"|"&amp;$K1223,PARAMETRES!$J$43:$J$342,0))),""))</f>
        <v/>
      </c>
      <c r="S1223" s="35">
        <f>IF(OR($G1223="",$X1223&lt;&gt;"VALIDE"),"",IFERROR(LOOKUP(2,1/(($B323:$B1222=$B1223)*($G323:$G1222=$G1223)*($X323:$X1222="VALIDE")),$C323:$C1222),""))</f>
        <v/>
      </c>
      <c r="T1223" s="36">
        <f>IF(OR($C1223="",$S1223=""),"",ROUND(($C1223-$S1223+IF($C1223&lt;$S1223,1,0))*1440,0))</f>
        <v/>
      </c>
      <c r="U1223" s="22">
        <f>IF(OR($H1223="",$T1223="",$T1223&lt;=0),"",$H1223*60/$T1223)</f>
        <v/>
      </c>
      <c r="V1223" s="37">
        <f>IF(OR($U1223="",$R1223="",$R1223=0),"",$U1223/$R1223)</f>
        <v/>
      </c>
      <c r="W1223" s="20">
        <f>IF($G1223="","",IF($X1223="CONTEXTE INCOMPLET","CONTEXTE INCOMPLET",IF($X1223="DOUBLON",StatutDoublon,IF($S1223="",StatutInitial,IF($R1223="",StatutStandardManquant,IF($V1223="","DONNEES INSUFFISANTES",IF($V1223&gt;=SeuilConforme,StatutConforme,IF($V1223&gt;=SeuilSurveiller,StatutSurveiller,StatutSousStandard))))))))</f>
        <v/>
      </c>
      <c r="X1223" s="33">
        <f>IF($G1223="","",IF(OR($D1223="",$E1223="",$F1223=""),"CONTEXTE INCOMPLET",IF(COUNTIFS($D323:$D1222,$D1223,$E323:$E1222,$E1223,$F323:$F1222,$F1223,$G323:$G1222,$G1223)&gt;0,"DOUBLON","VALIDE")))</f>
        <v/>
      </c>
    </row>
    <row r="1224" ht="15" customHeight="1">
      <c r="A1224" s="12">
        <f>IF(OR($B1224="",$G1224=""),"",TEXT($B1224,"YYYYMMDD")&amp;"-"&amp;SUBSTITUTE($E1224," ","")&amp;"-"&amp;$F1224&amp;"-"&amp;$G1224)</f>
        <v/>
      </c>
      <c r="B1224" s="15" t="n"/>
      <c r="C1224" s="16" t="n"/>
      <c r="D1224" s="10" t="n"/>
      <c r="E1224" s="9" t="n"/>
      <c r="F1224" s="9" t="n"/>
      <c r="G1224" s="13" t="n"/>
      <c r="H1224" s="21" t="n"/>
      <c r="I1224" s="21" t="n"/>
      <c r="J1224" s="17">
        <f>IF($G1224="","",IFERROR(INDEX(NomsEmployes,MATCH($G1224,MatriculesEmployes,0)),"MATRICULE INCONNU"))</f>
        <v/>
      </c>
      <c r="K1224" s="33">
        <f>IF(OR($D1224="",$F1224=""),"",IFERROR(IF(INDEX(RUNS!$L$6:$S$1005,MATCH($D1224,RUNS!$A$6:$A$1005,0),MATCH("ACTIVITÉ "&amp;$F1224,RUNS!$L$5:$S$5,0))="","",INDEX(RUNS!$L$6:$S$1005,MATCH($D1224,RUNS!$A$6:$A$1005,0),MATCH("ACTIVITÉ "&amp;$F1224,RUNS!$L$5:$S$5,0))),""))</f>
        <v/>
      </c>
      <c r="L1224" s="33">
        <f>IF($D1224="","",IFERROR(IF(INDEX(RUNS!$E$6:$E$1005,MATCH($D1224,RUNS!$A$6:$A$1005,0))="","",INDEX(RUNS!$E$6:$E$1005,MATCH($D1224,RUNS!$A$6:$A$1005,0))),""))</f>
        <v/>
      </c>
      <c r="M1224" s="33">
        <f>IF($D1224="","",IFERROR(IF(INDEX(RUNS!$F$6:$F$1005,MATCH($D1224,RUNS!$A$6:$A$1005,0))="","",INDEX(RUNS!$F$6:$F$1005,MATCH($D1224,RUNS!$A$6:$A$1005,0))),""))</f>
        <v/>
      </c>
      <c r="N1224" s="33">
        <f>IF($D1224="","",IFERROR(IF(INDEX(RUNS!$G$6:$G$1005,MATCH($D1224,RUNS!$A$6:$A$1005,0))="","",INDEX(RUNS!$G$6:$G$1005,MATCH($D1224,RUNS!$A$6:$A$1005,0))),""))</f>
        <v/>
      </c>
      <c r="O1224" s="33">
        <f>IF($D1224="","",IFERROR(IF(INDEX(RUNS!$H$6:$H$1005,MATCH($D1224,RUNS!$A$6:$A$1005,0))="","",INDEX(RUNS!$H$6:$H$1005,MATCH($D1224,RUNS!$A$6:$A$1005,0))),""))</f>
        <v/>
      </c>
      <c r="P1224" s="33">
        <f>IF($D1224="","",IFERROR(IF(INDEX(RUNS!$J$6:$J$1005,MATCH($D1224,RUNS!$A$6:$A$1005,0))="","",INDEX(RUNS!$J$6:$J$1005,MATCH($D1224,RUNS!$A$6:$A$1005,0))),""))</f>
        <v/>
      </c>
      <c r="Q1224" s="33">
        <f>IF($D1224="","",IFERROR(IF(INDEX(RUNS!$K$6:$K$1005,MATCH($D1224,RUNS!$A$6:$A$1005,0))="","",INDEX(RUNS!$K$6:$K$1005,MATCH($D1224,RUNS!$A$6:$A$1005,0))),""))</f>
        <v/>
      </c>
      <c r="R1224" s="34">
        <f>IF(OR($L1224="",$K1224=""),"",IFERROR(IF(INDEX(PARAMETRES!$H$43:$H$342,MATCH($L1224&amp;"|"&amp;$M1224&amp;"|"&amp;$N1224&amp;"|"&amp;$O1224&amp;"|"&amp;$P1224&amp;"|"&amp;$Q1224&amp;"|"&amp;$K1224,PARAMETRES!$J$43:$J$342,0))="","",INDEX(PARAMETRES!$H$43:$H$342,MATCH($L1224&amp;"|"&amp;$M1224&amp;"|"&amp;$N1224&amp;"|"&amp;$O1224&amp;"|"&amp;$P1224&amp;"|"&amp;$Q1224&amp;"|"&amp;$K1224,PARAMETRES!$J$43:$J$342,0))),""))</f>
        <v/>
      </c>
      <c r="S1224" s="35">
        <f>IF(OR($G1224="",$X1224&lt;&gt;"VALIDE"),"",IFERROR(LOOKUP(2,1/(($B324:$B1223=$B1224)*($G324:$G1223=$G1224)*($X324:$X1223="VALIDE")),$C324:$C1223),""))</f>
        <v/>
      </c>
      <c r="T1224" s="36">
        <f>IF(OR($C1224="",$S1224=""),"",ROUND(($C1224-$S1224+IF($C1224&lt;$S1224,1,0))*1440,0))</f>
        <v/>
      </c>
      <c r="U1224" s="22">
        <f>IF(OR($H1224="",$T1224="",$T1224&lt;=0),"",$H1224*60/$T1224)</f>
        <v/>
      </c>
      <c r="V1224" s="37">
        <f>IF(OR($U1224="",$R1224="",$R1224=0),"",$U1224/$R1224)</f>
        <v/>
      </c>
      <c r="W1224" s="20">
        <f>IF($G1224="","",IF($X1224="CONTEXTE INCOMPLET","CONTEXTE INCOMPLET",IF($X1224="DOUBLON",StatutDoublon,IF($S1224="",StatutInitial,IF($R1224="",StatutStandardManquant,IF($V1224="","DONNEES INSUFFISANTES",IF($V1224&gt;=SeuilConforme,StatutConforme,IF($V1224&gt;=SeuilSurveiller,StatutSurveiller,StatutSousStandard))))))))</f>
        <v/>
      </c>
      <c r="X1224" s="33">
        <f>IF($G1224="","",IF(OR($D1224="",$E1224="",$F1224=""),"CONTEXTE INCOMPLET",IF(COUNTIFS($D324:$D1223,$D1224,$E324:$E1223,$E1224,$F324:$F1223,$F1224,$G324:$G1223,$G1224)&gt;0,"DOUBLON","VALIDE")))</f>
        <v/>
      </c>
    </row>
    <row r="1225" ht="15" customHeight="1">
      <c r="A1225" s="12">
        <f>IF(OR($B1225="",$G1225=""),"",TEXT($B1225,"YYYYMMDD")&amp;"-"&amp;SUBSTITUTE($E1225," ","")&amp;"-"&amp;$F1225&amp;"-"&amp;$G1225)</f>
        <v/>
      </c>
      <c r="B1225" s="15" t="n"/>
      <c r="C1225" s="16" t="n"/>
      <c r="D1225" s="10" t="n"/>
      <c r="E1225" s="9" t="n"/>
      <c r="F1225" s="9" t="n"/>
      <c r="G1225" s="13" t="n"/>
      <c r="H1225" s="21" t="n"/>
      <c r="I1225" s="21" t="n"/>
      <c r="J1225" s="17">
        <f>IF($G1225="","",IFERROR(INDEX(NomsEmployes,MATCH($G1225,MatriculesEmployes,0)),"MATRICULE INCONNU"))</f>
        <v/>
      </c>
      <c r="K1225" s="33">
        <f>IF(OR($D1225="",$F1225=""),"",IFERROR(IF(INDEX(RUNS!$L$6:$S$1005,MATCH($D1225,RUNS!$A$6:$A$1005,0),MATCH("ACTIVITÉ "&amp;$F1225,RUNS!$L$5:$S$5,0))="","",INDEX(RUNS!$L$6:$S$1005,MATCH($D1225,RUNS!$A$6:$A$1005,0),MATCH("ACTIVITÉ "&amp;$F1225,RUNS!$L$5:$S$5,0))),""))</f>
        <v/>
      </c>
      <c r="L1225" s="33">
        <f>IF($D1225="","",IFERROR(IF(INDEX(RUNS!$E$6:$E$1005,MATCH($D1225,RUNS!$A$6:$A$1005,0))="","",INDEX(RUNS!$E$6:$E$1005,MATCH($D1225,RUNS!$A$6:$A$1005,0))),""))</f>
        <v/>
      </c>
      <c r="M1225" s="33">
        <f>IF($D1225="","",IFERROR(IF(INDEX(RUNS!$F$6:$F$1005,MATCH($D1225,RUNS!$A$6:$A$1005,0))="","",INDEX(RUNS!$F$6:$F$1005,MATCH($D1225,RUNS!$A$6:$A$1005,0))),""))</f>
        <v/>
      </c>
      <c r="N1225" s="33">
        <f>IF($D1225="","",IFERROR(IF(INDEX(RUNS!$G$6:$G$1005,MATCH($D1225,RUNS!$A$6:$A$1005,0))="","",INDEX(RUNS!$G$6:$G$1005,MATCH($D1225,RUNS!$A$6:$A$1005,0))),""))</f>
        <v/>
      </c>
      <c r="O1225" s="33">
        <f>IF($D1225="","",IFERROR(IF(INDEX(RUNS!$H$6:$H$1005,MATCH($D1225,RUNS!$A$6:$A$1005,0))="","",INDEX(RUNS!$H$6:$H$1005,MATCH($D1225,RUNS!$A$6:$A$1005,0))),""))</f>
        <v/>
      </c>
      <c r="P1225" s="33">
        <f>IF($D1225="","",IFERROR(IF(INDEX(RUNS!$J$6:$J$1005,MATCH($D1225,RUNS!$A$6:$A$1005,0))="","",INDEX(RUNS!$J$6:$J$1005,MATCH($D1225,RUNS!$A$6:$A$1005,0))),""))</f>
        <v/>
      </c>
      <c r="Q1225" s="33">
        <f>IF($D1225="","",IFERROR(IF(INDEX(RUNS!$K$6:$K$1005,MATCH($D1225,RUNS!$A$6:$A$1005,0))="","",INDEX(RUNS!$K$6:$K$1005,MATCH($D1225,RUNS!$A$6:$A$1005,0))),""))</f>
        <v/>
      </c>
      <c r="R1225" s="34">
        <f>IF(OR($L1225="",$K1225=""),"",IFERROR(IF(INDEX(PARAMETRES!$H$43:$H$342,MATCH($L1225&amp;"|"&amp;$M1225&amp;"|"&amp;$N1225&amp;"|"&amp;$O1225&amp;"|"&amp;$P1225&amp;"|"&amp;$Q1225&amp;"|"&amp;$K1225,PARAMETRES!$J$43:$J$342,0))="","",INDEX(PARAMETRES!$H$43:$H$342,MATCH($L1225&amp;"|"&amp;$M1225&amp;"|"&amp;$N1225&amp;"|"&amp;$O1225&amp;"|"&amp;$P1225&amp;"|"&amp;$Q1225&amp;"|"&amp;$K1225,PARAMETRES!$J$43:$J$342,0))),""))</f>
        <v/>
      </c>
      <c r="S1225" s="35">
        <f>IF(OR($G1225="",$X1225&lt;&gt;"VALIDE"),"",IFERROR(LOOKUP(2,1/(($B325:$B1224=$B1225)*($G325:$G1224=$G1225)*($X325:$X1224="VALIDE")),$C325:$C1224),""))</f>
        <v/>
      </c>
      <c r="T1225" s="36">
        <f>IF(OR($C1225="",$S1225=""),"",ROUND(($C1225-$S1225+IF($C1225&lt;$S1225,1,0))*1440,0))</f>
        <v/>
      </c>
      <c r="U1225" s="22">
        <f>IF(OR($H1225="",$T1225="",$T1225&lt;=0),"",$H1225*60/$T1225)</f>
        <v/>
      </c>
      <c r="V1225" s="37">
        <f>IF(OR($U1225="",$R1225="",$R1225=0),"",$U1225/$R1225)</f>
        <v/>
      </c>
      <c r="W1225" s="20">
        <f>IF($G1225="","",IF($X1225="CONTEXTE INCOMPLET","CONTEXTE INCOMPLET",IF($X1225="DOUBLON",StatutDoublon,IF($S1225="",StatutInitial,IF($R1225="",StatutStandardManquant,IF($V1225="","DONNEES INSUFFISANTES",IF($V1225&gt;=SeuilConforme,StatutConforme,IF($V1225&gt;=SeuilSurveiller,StatutSurveiller,StatutSousStandard))))))))</f>
        <v/>
      </c>
      <c r="X1225" s="33">
        <f>IF($G1225="","",IF(OR($D1225="",$E1225="",$F1225=""),"CONTEXTE INCOMPLET",IF(COUNTIFS($D325:$D1224,$D1225,$E325:$E1224,$E1225,$F325:$F1224,$F1225,$G325:$G1224,$G1225)&gt;0,"DOUBLON","VALIDE")))</f>
        <v/>
      </c>
    </row>
    <row r="1226" ht="15" customHeight="1">
      <c r="A1226" s="12">
        <f>IF(OR($B1226="",$G1226=""),"",TEXT($B1226,"YYYYMMDD")&amp;"-"&amp;SUBSTITUTE($E1226," ","")&amp;"-"&amp;$F1226&amp;"-"&amp;$G1226)</f>
        <v/>
      </c>
      <c r="B1226" s="15" t="n"/>
      <c r="C1226" s="16" t="n"/>
      <c r="D1226" s="10" t="n"/>
      <c r="E1226" s="9" t="n"/>
      <c r="F1226" s="9" t="n"/>
      <c r="G1226" s="13" t="n"/>
      <c r="H1226" s="21" t="n"/>
      <c r="I1226" s="21" t="n"/>
      <c r="J1226" s="17">
        <f>IF($G1226="","",IFERROR(INDEX(NomsEmployes,MATCH($G1226,MatriculesEmployes,0)),"MATRICULE INCONNU"))</f>
        <v/>
      </c>
      <c r="K1226" s="33">
        <f>IF(OR($D1226="",$F1226=""),"",IFERROR(IF(INDEX(RUNS!$L$6:$S$1005,MATCH($D1226,RUNS!$A$6:$A$1005,0),MATCH("ACTIVITÉ "&amp;$F1226,RUNS!$L$5:$S$5,0))="","",INDEX(RUNS!$L$6:$S$1005,MATCH($D1226,RUNS!$A$6:$A$1005,0),MATCH("ACTIVITÉ "&amp;$F1226,RUNS!$L$5:$S$5,0))),""))</f>
        <v/>
      </c>
      <c r="L1226" s="33">
        <f>IF($D1226="","",IFERROR(IF(INDEX(RUNS!$E$6:$E$1005,MATCH($D1226,RUNS!$A$6:$A$1005,0))="","",INDEX(RUNS!$E$6:$E$1005,MATCH($D1226,RUNS!$A$6:$A$1005,0))),""))</f>
        <v/>
      </c>
      <c r="M1226" s="33">
        <f>IF($D1226="","",IFERROR(IF(INDEX(RUNS!$F$6:$F$1005,MATCH($D1226,RUNS!$A$6:$A$1005,0))="","",INDEX(RUNS!$F$6:$F$1005,MATCH($D1226,RUNS!$A$6:$A$1005,0))),""))</f>
        <v/>
      </c>
      <c r="N1226" s="33">
        <f>IF($D1226="","",IFERROR(IF(INDEX(RUNS!$G$6:$G$1005,MATCH($D1226,RUNS!$A$6:$A$1005,0))="","",INDEX(RUNS!$G$6:$G$1005,MATCH($D1226,RUNS!$A$6:$A$1005,0))),""))</f>
        <v/>
      </c>
      <c r="O1226" s="33">
        <f>IF($D1226="","",IFERROR(IF(INDEX(RUNS!$H$6:$H$1005,MATCH($D1226,RUNS!$A$6:$A$1005,0))="","",INDEX(RUNS!$H$6:$H$1005,MATCH($D1226,RUNS!$A$6:$A$1005,0))),""))</f>
        <v/>
      </c>
      <c r="P1226" s="33">
        <f>IF($D1226="","",IFERROR(IF(INDEX(RUNS!$J$6:$J$1005,MATCH($D1226,RUNS!$A$6:$A$1005,0))="","",INDEX(RUNS!$J$6:$J$1005,MATCH($D1226,RUNS!$A$6:$A$1005,0))),""))</f>
        <v/>
      </c>
      <c r="Q1226" s="33">
        <f>IF($D1226="","",IFERROR(IF(INDEX(RUNS!$K$6:$K$1005,MATCH($D1226,RUNS!$A$6:$A$1005,0))="","",INDEX(RUNS!$K$6:$K$1005,MATCH($D1226,RUNS!$A$6:$A$1005,0))),""))</f>
        <v/>
      </c>
      <c r="R1226" s="34">
        <f>IF(OR($L1226="",$K1226=""),"",IFERROR(IF(INDEX(PARAMETRES!$H$43:$H$342,MATCH($L1226&amp;"|"&amp;$M1226&amp;"|"&amp;$N1226&amp;"|"&amp;$O1226&amp;"|"&amp;$P1226&amp;"|"&amp;$Q1226&amp;"|"&amp;$K1226,PARAMETRES!$J$43:$J$342,0))="","",INDEX(PARAMETRES!$H$43:$H$342,MATCH($L1226&amp;"|"&amp;$M1226&amp;"|"&amp;$N1226&amp;"|"&amp;$O1226&amp;"|"&amp;$P1226&amp;"|"&amp;$Q1226&amp;"|"&amp;$K1226,PARAMETRES!$J$43:$J$342,0))),""))</f>
        <v/>
      </c>
      <c r="S1226" s="35">
        <f>IF(OR($G1226="",$X1226&lt;&gt;"VALIDE"),"",IFERROR(LOOKUP(2,1/(($B326:$B1225=$B1226)*($G326:$G1225=$G1226)*($X326:$X1225="VALIDE")),$C326:$C1225),""))</f>
        <v/>
      </c>
      <c r="T1226" s="36">
        <f>IF(OR($C1226="",$S1226=""),"",ROUND(($C1226-$S1226+IF($C1226&lt;$S1226,1,0))*1440,0))</f>
        <v/>
      </c>
      <c r="U1226" s="22">
        <f>IF(OR($H1226="",$T1226="",$T1226&lt;=0),"",$H1226*60/$T1226)</f>
        <v/>
      </c>
      <c r="V1226" s="37">
        <f>IF(OR($U1226="",$R1226="",$R1226=0),"",$U1226/$R1226)</f>
        <v/>
      </c>
      <c r="W1226" s="20">
        <f>IF($G1226="","",IF($X1226="CONTEXTE INCOMPLET","CONTEXTE INCOMPLET",IF($X1226="DOUBLON",StatutDoublon,IF($S1226="",StatutInitial,IF($R1226="",StatutStandardManquant,IF($V1226="","DONNEES INSUFFISANTES",IF($V1226&gt;=SeuilConforme,StatutConforme,IF($V1226&gt;=SeuilSurveiller,StatutSurveiller,StatutSousStandard))))))))</f>
        <v/>
      </c>
      <c r="X1226" s="33">
        <f>IF($G1226="","",IF(OR($D1226="",$E1226="",$F1226=""),"CONTEXTE INCOMPLET",IF(COUNTIFS($D326:$D1225,$D1226,$E326:$E1225,$E1226,$F326:$F1225,$F1226,$G326:$G1225,$G1226)&gt;0,"DOUBLON","VALIDE")))</f>
        <v/>
      </c>
    </row>
    <row r="1227" ht="15" customHeight="1">
      <c r="A1227" s="12">
        <f>IF(OR($B1227="",$G1227=""),"",TEXT($B1227,"YYYYMMDD")&amp;"-"&amp;SUBSTITUTE($E1227," ","")&amp;"-"&amp;$F1227&amp;"-"&amp;$G1227)</f>
        <v/>
      </c>
      <c r="B1227" s="15" t="n"/>
      <c r="C1227" s="16" t="n"/>
      <c r="D1227" s="10" t="n"/>
      <c r="E1227" s="9" t="n"/>
      <c r="F1227" s="9" t="n"/>
      <c r="G1227" s="13" t="n"/>
      <c r="H1227" s="21" t="n"/>
      <c r="I1227" s="21" t="n"/>
      <c r="J1227" s="17">
        <f>IF($G1227="","",IFERROR(INDEX(NomsEmployes,MATCH($G1227,MatriculesEmployes,0)),"MATRICULE INCONNU"))</f>
        <v/>
      </c>
      <c r="K1227" s="33">
        <f>IF(OR($D1227="",$F1227=""),"",IFERROR(IF(INDEX(RUNS!$L$6:$S$1005,MATCH($D1227,RUNS!$A$6:$A$1005,0),MATCH("ACTIVITÉ "&amp;$F1227,RUNS!$L$5:$S$5,0))="","",INDEX(RUNS!$L$6:$S$1005,MATCH($D1227,RUNS!$A$6:$A$1005,0),MATCH("ACTIVITÉ "&amp;$F1227,RUNS!$L$5:$S$5,0))),""))</f>
        <v/>
      </c>
      <c r="L1227" s="33">
        <f>IF($D1227="","",IFERROR(IF(INDEX(RUNS!$E$6:$E$1005,MATCH($D1227,RUNS!$A$6:$A$1005,0))="","",INDEX(RUNS!$E$6:$E$1005,MATCH($D1227,RUNS!$A$6:$A$1005,0))),""))</f>
        <v/>
      </c>
      <c r="M1227" s="33">
        <f>IF($D1227="","",IFERROR(IF(INDEX(RUNS!$F$6:$F$1005,MATCH($D1227,RUNS!$A$6:$A$1005,0))="","",INDEX(RUNS!$F$6:$F$1005,MATCH($D1227,RUNS!$A$6:$A$1005,0))),""))</f>
        <v/>
      </c>
      <c r="N1227" s="33">
        <f>IF($D1227="","",IFERROR(IF(INDEX(RUNS!$G$6:$G$1005,MATCH($D1227,RUNS!$A$6:$A$1005,0))="","",INDEX(RUNS!$G$6:$G$1005,MATCH($D1227,RUNS!$A$6:$A$1005,0))),""))</f>
        <v/>
      </c>
      <c r="O1227" s="33">
        <f>IF($D1227="","",IFERROR(IF(INDEX(RUNS!$H$6:$H$1005,MATCH($D1227,RUNS!$A$6:$A$1005,0))="","",INDEX(RUNS!$H$6:$H$1005,MATCH($D1227,RUNS!$A$6:$A$1005,0))),""))</f>
        <v/>
      </c>
      <c r="P1227" s="33">
        <f>IF($D1227="","",IFERROR(IF(INDEX(RUNS!$J$6:$J$1005,MATCH($D1227,RUNS!$A$6:$A$1005,0))="","",INDEX(RUNS!$J$6:$J$1005,MATCH($D1227,RUNS!$A$6:$A$1005,0))),""))</f>
        <v/>
      </c>
      <c r="Q1227" s="33">
        <f>IF($D1227="","",IFERROR(IF(INDEX(RUNS!$K$6:$K$1005,MATCH($D1227,RUNS!$A$6:$A$1005,0))="","",INDEX(RUNS!$K$6:$K$1005,MATCH($D1227,RUNS!$A$6:$A$1005,0))),""))</f>
        <v/>
      </c>
      <c r="R1227" s="34">
        <f>IF(OR($L1227="",$K1227=""),"",IFERROR(IF(INDEX(PARAMETRES!$H$43:$H$342,MATCH($L1227&amp;"|"&amp;$M1227&amp;"|"&amp;$N1227&amp;"|"&amp;$O1227&amp;"|"&amp;$P1227&amp;"|"&amp;$Q1227&amp;"|"&amp;$K1227,PARAMETRES!$J$43:$J$342,0))="","",INDEX(PARAMETRES!$H$43:$H$342,MATCH($L1227&amp;"|"&amp;$M1227&amp;"|"&amp;$N1227&amp;"|"&amp;$O1227&amp;"|"&amp;$P1227&amp;"|"&amp;$Q1227&amp;"|"&amp;$K1227,PARAMETRES!$J$43:$J$342,0))),""))</f>
        <v/>
      </c>
      <c r="S1227" s="35">
        <f>IF(OR($G1227="",$X1227&lt;&gt;"VALIDE"),"",IFERROR(LOOKUP(2,1/(($B327:$B1226=$B1227)*($G327:$G1226=$G1227)*($X327:$X1226="VALIDE")),$C327:$C1226),""))</f>
        <v/>
      </c>
      <c r="T1227" s="36">
        <f>IF(OR($C1227="",$S1227=""),"",ROUND(($C1227-$S1227+IF($C1227&lt;$S1227,1,0))*1440,0))</f>
        <v/>
      </c>
      <c r="U1227" s="22">
        <f>IF(OR($H1227="",$T1227="",$T1227&lt;=0),"",$H1227*60/$T1227)</f>
        <v/>
      </c>
      <c r="V1227" s="37">
        <f>IF(OR($U1227="",$R1227="",$R1227=0),"",$U1227/$R1227)</f>
        <v/>
      </c>
      <c r="W1227" s="20">
        <f>IF($G1227="","",IF($X1227="CONTEXTE INCOMPLET","CONTEXTE INCOMPLET",IF($X1227="DOUBLON",StatutDoublon,IF($S1227="",StatutInitial,IF($R1227="",StatutStandardManquant,IF($V1227="","DONNEES INSUFFISANTES",IF($V1227&gt;=SeuilConforme,StatutConforme,IF($V1227&gt;=SeuilSurveiller,StatutSurveiller,StatutSousStandard))))))))</f>
        <v/>
      </c>
      <c r="X1227" s="33">
        <f>IF($G1227="","",IF(OR($D1227="",$E1227="",$F1227=""),"CONTEXTE INCOMPLET",IF(COUNTIFS($D327:$D1226,$D1227,$E327:$E1226,$E1227,$F327:$F1226,$F1227,$G327:$G1226,$G1227)&gt;0,"DOUBLON","VALIDE")))</f>
        <v/>
      </c>
    </row>
    <row r="1228" ht="15" customHeight="1">
      <c r="A1228" s="12">
        <f>IF(OR($B1228="",$G1228=""),"",TEXT($B1228,"YYYYMMDD")&amp;"-"&amp;SUBSTITUTE($E1228," ","")&amp;"-"&amp;$F1228&amp;"-"&amp;$G1228)</f>
        <v/>
      </c>
      <c r="B1228" s="15" t="n"/>
      <c r="C1228" s="16" t="n"/>
      <c r="D1228" s="10" t="n"/>
      <c r="E1228" s="9" t="n"/>
      <c r="F1228" s="9" t="n"/>
      <c r="G1228" s="13" t="n"/>
      <c r="H1228" s="21" t="n"/>
      <c r="I1228" s="21" t="n"/>
      <c r="J1228" s="17">
        <f>IF($G1228="","",IFERROR(INDEX(NomsEmployes,MATCH($G1228,MatriculesEmployes,0)),"MATRICULE INCONNU"))</f>
        <v/>
      </c>
      <c r="K1228" s="33">
        <f>IF(OR($D1228="",$F1228=""),"",IFERROR(IF(INDEX(RUNS!$L$6:$S$1005,MATCH($D1228,RUNS!$A$6:$A$1005,0),MATCH("ACTIVITÉ "&amp;$F1228,RUNS!$L$5:$S$5,0))="","",INDEX(RUNS!$L$6:$S$1005,MATCH($D1228,RUNS!$A$6:$A$1005,0),MATCH("ACTIVITÉ "&amp;$F1228,RUNS!$L$5:$S$5,0))),""))</f>
        <v/>
      </c>
      <c r="L1228" s="33">
        <f>IF($D1228="","",IFERROR(IF(INDEX(RUNS!$E$6:$E$1005,MATCH($D1228,RUNS!$A$6:$A$1005,0))="","",INDEX(RUNS!$E$6:$E$1005,MATCH($D1228,RUNS!$A$6:$A$1005,0))),""))</f>
        <v/>
      </c>
      <c r="M1228" s="33">
        <f>IF($D1228="","",IFERROR(IF(INDEX(RUNS!$F$6:$F$1005,MATCH($D1228,RUNS!$A$6:$A$1005,0))="","",INDEX(RUNS!$F$6:$F$1005,MATCH($D1228,RUNS!$A$6:$A$1005,0))),""))</f>
        <v/>
      </c>
      <c r="N1228" s="33">
        <f>IF($D1228="","",IFERROR(IF(INDEX(RUNS!$G$6:$G$1005,MATCH($D1228,RUNS!$A$6:$A$1005,0))="","",INDEX(RUNS!$G$6:$G$1005,MATCH($D1228,RUNS!$A$6:$A$1005,0))),""))</f>
        <v/>
      </c>
      <c r="O1228" s="33">
        <f>IF($D1228="","",IFERROR(IF(INDEX(RUNS!$H$6:$H$1005,MATCH($D1228,RUNS!$A$6:$A$1005,0))="","",INDEX(RUNS!$H$6:$H$1005,MATCH($D1228,RUNS!$A$6:$A$1005,0))),""))</f>
        <v/>
      </c>
      <c r="P1228" s="33">
        <f>IF($D1228="","",IFERROR(IF(INDEX(RUNS!$J$6:$J$1005,MATCH($D1228,RUNS!$A$6:$A$1005,0))="","",INDEX(RUNS!$J$6:$J$1005,MATCH($D1228,RUNS!$A$6:$A$1005,0))),""))</f>
        <v/>
      </c>
      <c r="Q1228" s="33">
        <f>IF($D1228="","",IFERROR(IF(INDEX(RUNS!$K$6:$K$1005,MATCH($D1228,RUNS!$A$6:$A$1005,0))="","",INDEX(RUNS!$K$6:$K$1005,MATCH($D1228,RUNS!$A$6:$A$1005,0))),""))</f>
        <v/>
      </c>
      <c r="R1228" s="34">
        <f>IF(OR($L1228="",$K1228=""),"",IFERROR(IF(INDEX(PARAMETRES!$H$43:$H$342,MATCH($L1228&amp;"|"&amp;$M1228&amp;"|"&amp;$N1228&amp;"|"&amp;$O1228&amp;"|"&amp;$P1228&amp;"|"&amp;$Q1228&amp;"|"&amp;$K1228,PARAMETRES!$J$43:$J$342,0))="","",INDEX(PARAMETRES!$H$43:$H$342,MATCH($L1228&amp;"|"&amp;$M1228&amp;"|"&amp;$N1228&amp;"|"&amp;$O1228&amp;"|"&amp;$P1228&amp;"|"&amp;$Q1228&amp;"|"&amp;$K1228,PARAMETRES!$J$43:$J$342,0))),""))</f>
        <v/>
      </c>
      <c r="S1228" s="35">
        <f>IF(OR($G1228="",$X1228&lt;&gt;"VALIDE"),"",IFERROR(LOOKUP(2,1/(($B328:$B1227=$B1228)*($G328:$G1227=$G1228)*($X328:$X1227="VALIDE")),$C328:$C1227),""))</f>
        <v/>
      </c>
      <c r="T1228" s="36">
        <f>IF(OR($C1228="",$S1228=""),"",ROUND(($C1228-$S1228+IF($C1228&lt;$S1228,1,0))*1440,0))</f>
        <v/>
      </c>
      <c r="U1228" s="22">
        <f>IF(OR($H1228="",$T1228="",$T1228&lt;=0),"",$H1228*60/$T1228)</f>
        <v/>
      </c>
      <c r="V1228" s="37">
        <f>IF(OR($U1228="",$R1228="",$R1228=0),"",$U1228/$R1228)</f>
        <v/>
      </c>
      <c r="W1228" s="20">
        <f>IF($G1228="","",IF($X1228="CONTEXTE INCOMPLET","CONTEXTE INCOMPLET",IF($X1228="DOUBLON",StatutDoublon,IF($S1228="",StatutInitial,IF($R1228="",StatutStandardManquant,IF($V1228="","DONNEES INSUFFISANTES",IF($V1228&gt;=SeuilConforme,StatutConforme,IF($V1228&gt;=SeuilSurveiller,StatutSurveiller,StatutSousStandard))))))))</f>
        <v/>
      </c>
      <c r="X1228" s="33">
        <f>IF($G1228="","",IF(OR($D1228="",$E1228="",$F1228=""),"CONTEXTE INCOMPLET",IF(COUNTIFS($D328:$D1227,$D1228,$E328:$E1227,$E1228,$F328:$F1227,$F1228,$G328:$G1227,$G1228)&gt;0,"DOUBLON","VALIDE")))</f>
        <v/>
      </c>
    </row>
    <row r="1229" ht="15" customHeight="1">
      <c r="A1229" s="12">
        <f>IF(OR($B1229="",$G1229=""),"",TEXT($B1229,"YYYYMMDD")&amp;"-"&amp;SUBSTITUTE($E1229," ","")&amp;"-"&amp;$F1229&amp;"-"&amp;$G1229)</f>
        <v/>
      </c>
      <c r="B1229" s="15" t="n"/>
      <c r="C1229" s="16" t="n"/>
      <c r="D1229" s="10" t="n"/>
      <c r="E1229" s="9" t="n"/>
      <c r="F1229" s="9" t="n"/>
      <c r="G1229" s="13" t="n"/>
      <c r="H1229" s="21" t="n"/>
      <c r="I1229" s="21" t="n"/>
      <c r="J1229" s="17">
        <f>IF($G1229="","",IFERROR(INDEX(NomsEmployes,MATCH($G1229,MatriculesEmployes,0)),"MATRICULE INCONNU"))</f>
        <v/>
      </c>
      <c r="K1229" s="33">
        <f>IF(OR($D1229="",$F1229=""),"",IFERROR(IF(INDEX(RUNS!$L$6:$S$1005,MATCH($D1229,RUNS!$A$6:$A$1005,0),MATCH("ACTIVITÉ "&amp;$F1229,RUNS!$L$5:$S$5,0))="","",INDEX(RUNS!$L$6:$S$1005,MATCH($D1229,RUNS!$A$6:$A$1005,0),MATCH("ACTIVITÉ "&amp;$F1229,RUNS!$L$5:$S$5,0))),""))</f>
        <v/>
      </c>
      <c r="L1229" s="33">
        <f>IF($D1229="","",IFERROR(IF(INDEX(RUNS!$E$6:$E$1005,MATCH($D1229,RUNS!$A$6:$A$1005,0))="","",INDEX(RUNS!$E$6:$E$1005,MATCH($D1229,RUNS!$A$6:$A$1005,0))),""))</f>
        <v/>
      </c>
      <c r="M1229" s="33">
        <f>IF($D1229="","",IFERROR(IF(INDEX(RUNS!$F$6:$F$1005,MATCH($D1229,RUNS!$A$6:$A$1005,0))="","",INDEX(RUNS!$F$6:$F$1005,MATCH($D1229,RUNS!$A$6:$A$1005,0))),""))</f>
        <v/>
      </c>
      <c r="N1229" s="33">
        <f>IF($D1229="","",IFERROR(IF(INDEX(RUNS!$G$6:$G$1005,MATCH($D1229,RUNS!$A$6:$A$1005,0))="","",INDEX(RUNS!$G$6:$G$1005,MATCH($D1229,RUNS!$A$6:$A$1005,0))),""))</f>
        <v/>
      </c>
      <c r="O1229" s="33">
        <f>IF($D1229="","",IFERROR(IF(INDEX(RUNS!$H$6:$H$1005,MATCH($D1229,RUNS!$A$6:$A$1005,0))="","",INDEX(RUNS!$H$6:$H$1005,MATCH($D1229,RUNS!$A$6:$A$1005,0))),""))</f>
        <v/>
      </c>
      <c r="P1229" s="33">
        <f>IF($D1229="","",IFERROR(IF(INDEX(RUNS!$J$6:$J$1005,MATCH($D1229,RUNS!$A$6:$A$1005,0))="","",INDEX(RUNS!$J$6:$J$1005,MATCH($D1229,RUNS!$A$6:$A$1005,0))),""))</f>
        <v/>
      </c>
      <c r="Q1229" s="33">
        <f>IF($D1229="","",IFERROR(IF(INDEX(RUNS!$K$6:$K$1005,MATCH($D1229,RUNS!$A$6:$A$1005,0))="","",INDEX(RUNS!$K$6:$K$1005,MATCH($D1229,RUNS!$A$6:$A$1005,0))),""))</f>
        <v/>
      </c>
      <c r="R1229" s="34">
        <f>IF(OR($L1229="",$K1229=""),"",IFERROR(IF(INDEX(PARAMETRES!$H$43:$H$342,MATCH($L1229&amp;"|"&amp;$M1229&amp;"|"&amp;$N1229&amp;"|"&amp;$O1229&amp;"|"&amp;$P1229&amp;"|"&amp;$Q1229&amp;"|"&amp;$K1229,PARAMETRES!$J$43:$J$342,0))="","",INDEX(PARAMETRES!$H$43:$H$342,MATCH($L1229&amp;"|"&amp;$M1229&amp;"|"&amp;$N1229&amp;"|"&amp;$O1229&amp;"|"&amp;$P1229&amp;"|"&amp;$Q1229&amp;"|"&amp;$K1229,PARAMETRES!$J$43:$J$342,0))),""))</f>
        <v/>
      </c>
      <c r="S1229" s="35">
        <f>IF(OR($G1229="",$X1229&lt;&gt;"VALIDE"),"",IFERROR(LOOKUP(2,1/(($B329:$B1228=$B1229)*($G329:$G1228=$G1229)*($X329:$X1228="VALIDE")),$C329:$C1228),""))</f>
        <v/>
      </c>
      <c r="T1229" s="36">
        <f>IF(OR($C1229="",$S1229=""),"",ROUND(($C1229-$S1229+IF($C1229&lt;$S1229,1,0))*1440,0))</f>
        <v/>
      </c>
      <c r="U1229" s="22">
        <f>IF(OR($H1229="",$T1229="",$T1229&lt;=0),"",$H1229*60/$T1229)</f>
        <v/>
      </c>
      <c r="V1229" s="37">
        <f>IF(OR($U1229="",$R1229="",$R1229=0),"",$U1229/$R1229)</f>
        <v/>
      </c>
      <c r="W1229" s="20">
        <f>IF($G1229="","",IF($X1229="CONTEXTE INCOMPLET","CONTEXTE INCOMPLET",IF($X1229="DOUBLON",StatutDoublon,IF($S1229="",StatutInitial,IF($R1229="",StatutStandardManquant,IF($V1229="","DONNEES INSUFFISANTES",IF($V1229&gt;=SeuilConforme,StatutConforme,IF($V1229&gt;=SeuilSurveiller,StatutSurveiller,StatutSousStandard))))))))</f>
        <v/>
      </c>
      <c r="X1229" s="33">
        <f>IF($G1229="","",IF(OR($D1229="",$E1229="",$F1229=""),"CONTEXTE INCOMPLET",IF(COUNTIFS($D329:$D1228,$D1229,$E329:$E1228,$E1229,$F329:$F1228,$F1229,$G329:$G1228,$G1229)&gt;0,"DOUBLON","VALIDE")))</f>
        <v/>
      </c>
    </row>
    <row r="1230" ht="15" customHeight="1">
      <c r="A1230" s="12">
        <f>IF(OR($B1230="",$G1230=""),"",TEXT($B1230,"YYYYMMDD")&amp;"-"&amp;SUBSTITUTE($E1230," ","")&amp;"-"&amp;$F1230&amp;"-"&amp;$G1230)</f>
        <v/>
      </c>
      <c r="B1230" s="15" t="n"/>
      <c r="C1230" s="16" t="n"/>
      <c r="D1230" s="10" t="n"/>
      <c r="E1230" s="9" t="n"/>
      <c r="F1230" s="9" t="n"/>
      <c r="G1230" s="13" t="n"/>
      <c r="H1230" s="21" t="n"/>
      <c r="I1230" s="21" t="n"/>
      <c r="J1230" s="17">
        <f>IF($G1230="","",IFERROR(INDEX(NomsEmployes,MATCH($G1230,MatriculesEmployes,0)),"MATRICULE INCONNU"))</f>
        <v/>
      </c>
      <c r="K1230" s="33">
        <f>IF(OR($D1230="",$F1230=""),"",IFERROR(IF(INDEX(RUNS!$L$6:$S$1005,MATCH($D1230,RUNS!$A$6:$A$1005,0),MATCH("ACTIVITÉ "&amp;$F1230,RUNS!$L$5:$S$5,0))="","",INDEX(RUNS!$L$6:$S$1005,MATCH($D1230,RUNS!$A$6:$A$1005,0),MATCH("ACTIVITÉ "&amp;$F1230,RUNS!$L$5:$S$5,0))),""))</f>
        <v/>
      </c>
      <c r="L1230" s="33">
        <f>IF($D1230="","",IFERROR(IF(INDEX(RUNS!$E$6:$E$1005,MATCH($D1230,RUNS!$A$6:$A$1005,0))="","",INDEX(RUNS!$E$6:$E$1005,MATCH($D1230,RUNS!$A$6:$A$1005,0))),""))</f>
        <v/>
      </c>
      <c r="M1230" s="33">
        <f>IF($D1230="","",IFERROR(IF(INDEX(RUNS!$F$6:$F$1005,MATCH($D1230,RUNS!$A$6:$A$1005,0))="","",INDEX(RUNS!$F$6:$F$1005,MATCH($D1230,RUNS!$A$6:$A$1005,0))),""))</f>
        <v/>
      </c>
      <c r="N1230" s="33">
        <f>IF($D1230="","",IFERROR(IF(INDEX(RUNS!$G$6:$G$1005,MATCH($D1230,RUNS!$A$6:$A$1005,0))="","",INDEX(RUNS!$G$6:$G$1005,MATCH($D1230,RUNS!$A$6:$A$1005,0))),""))</f>
        <v/>
      </c>
      <c r="O1230" s="33">
        <f>IF($D1230="","",IFERROR(IF(INDEX(RUNS!$H$6:$H$1005,MATCH($D1230,RUNS!$A$6:$A$1005,0))="","",INDEX(RUNS!$H$6:$H$1005,MATCH($D1230,RUNS!$A$6:$A$1005,0))),""))</f>
        <v/>
      </c>
      <c r="P1230" s="33">
        <f>IF($D1230="","",IFERROR(IF(INDEX(RUNS!$J$6:$J$1005,MATCH($D1230,RUNS!$A$6:$A$1005,0))="","",INDEX(RUNS!$J$6:$J$1005,MATCH($D1230,RUNS!$A$6:$A$1005,0))),""))</f>
        <v/>
      </c>
      <c r="Q1230" s="33">
        <f>IF($D1230="","",IFERROR(IF(INDEX(RUNS!$K$6:$K$1005,MATCH($D1230,RUNS!$A$6:$A$1005,0))="","",INDEX(RUNS!$K$6:$K$1005,MATCH($D1230,RUNS!$A$6:$A$1005,0))),""))</f>
        <v/>
      </c>
      <c r="R1230" s="34">
        <f>IF(OR($L1230="",$K1230=""),"",IFERROR(IF(INDEX(PARAMETRES!$H$43:$H$342,MATCH($L1230&amp;"|"&amp;$M1230&amp;"|"&amp;$N1230&amp;"|"&amp;$O1230&amp;"|"&amp;$P1230&amp;"|"&amp;$Q1230&amp;"|"&amp;$K1230,PARAMETRES!$J$43:$J$342,0))="","",INDEX(PARAMETRES!$H$43:$H$342,MATCH($L1230&amp;"|"&amp;$M1230&amp;"|"&amp;$N1230&amp;"|"&amp;$O1230&amp;"|"&amp;$P1230&amp;"|"&amp;$Q1230&amp;"|"&amp;$K1230,PARAMETRES!$J$43:$J$342,0))),""))</f>
        <v/>
      </c>
      <c r="S1230" s="35">
        <f>IF(OR($G1230="",$X1230&lt;&gt;"VALIDE"),"",IFERROR(LOOKUP(2,1/(($B330:$B1229=$B1230)*($G330:$G1229=$G1230)*($X330:$X1229="VALIDE")),$C330:$C1229),""))</f>
        <v/>
      </c>
      <c r="T1230" s="36">
        <f>IF(OR($C1230="",$S1230=""),"",ROUND(($C1230-$S1230+IF($C1230&lt;$S1230,1,0))*1440,0))</f>
        <v/>
      </c>
      <c r="U1230" s="22">
        <f>IF(OR($H1230="",$T1230="",$T1230&lt;=0),"",$H1230*60/$T1230)</f>
        <v/>
      </c>
      <c r="V1230" s="37">
        <f>IF(OR($U1230="",$R1230="",$R1230=0),"",$U1230/$R1230)</f>
        <v/>
      </c>
      <c r="W1230" s="20">
        <f>IF($G1230="","",IF($X1230="CONTEXTE INCOMPLET","CONTEXTE INCOMPLET",IF($X1230="DOUBLON",StatutDoublon,IF($S1230="",StatutInitial,IF($R1230="",StatutStandardManquant,IF($V1230="","DONNEES INSUFFISANTES",IF($V1230&gt;=SeuilConforme,StatutConforme,IF($V1230&gt;=SeuilSurveiller,StatutSurveiller,StatutSousStandard))))))))</f>
        <v/>
      </c>
      <c r="X1230" s="33">
        <f>IF($G1230="","",IF(OR($D1230="",$E1230="",$F1230=""),"CONTEXTE INCOMPLET",IF(COUNTIFS($D330:$D1229,$D1230,$E330:$E1229,$E1230,$F330:$F1229,$F1230,$G330:$G1229,$G1230)&gt;0,"DOUBLON","VALIDE")))</f>
        <v/>
      </c>
    </row>
    <row r="1231" ht="15" customHeight="1">
      <c r="A1231" s="12">
        <f>IF(OR($B1231="",$G1231=""),"",TEXT($B1231,"YYYYMMDD")&amp;"-"&amp;SUBSTITUTE($E1231," ","")&amp;"-"&amp;$F1231&amp;"-"&amp;$G1231)</f>
        <v/>
      </c>
      <c r="B1231" s="15" t="n"/>
      <c r="C1231" s="16" t="n"/>
      <c r="D1231" s="10" t="n"/>
      <c r="E1231" s="9" t="n"/>
      <c r="F1231" s="9" t="n"/>
      <c r="G1231" s="13" t="n"/>
      <c r="H1231" s="21" t="n"/>
      <c r="I1231" s="21" t="n"/>
      <c r="J1231" s="17">
        <f>IF($G1231="","",IFERROR(INDEX(NomsEmployes,MATCH($G1231,MatriculesEmployes,0)),"MATRICULE INCONNU"))</f>
        <v/>
      </c>
      <c r="K1231" s="33">
        <f>IF(OR($D1231="",$F1231=""),"",IFERROR(IF(INDEX(RUNS!$L$6:$S$1005,MATCH($D1231,RUNS!$A$6:$A$1005,0),MATCH("ACTIVITÉ "&amp;$F1231,RUNS!$L$5:$S$5,0))="","",INDEX(RUNS!$L$6:$S$1005,MATCH($D1231,RUNS!$A$6:$A$1005,0),MATCH("ACTIVITÉ "&amp;$F1231,RUNS!$L$5:$S$5,0))),""))</f>
        <v/>
      </c>
      <c r="L1231" s="33">
        <f>IF($D1231="","",IFERROR(IF(INDEX(RUNS!$E$6:$E$1005,MATCH($D1231,RUNS!$A$6:$A$1005,0))="","",INDEX(RUNS!$E$6:$E$1005,MATCH($D1231,RUNS!$A$6:$A$1005,0))),""))</f>
        <v/>
      </c>
      <c r="M1231" s="33">
        <f>IF($D1231="","",IFERROR(IF(INDEX(RUNS!$F$6:$F$1005,MATCH($D1231,RUNS!$A$6:$A$1005,0))="","",INDEX(RUNS!$F$6:$F$1005,MATCH($D1231,RUNS!$A$6:$A$1005,0))),""))</f>
        <v/>
      </c>
      <c r="N1231" s="33">
        <f>IF($D1231="","",IFERROR(IF(INDEX(RUNS!$G$6:$G$1005,MATCH($D1231,RUNS!$A$6:$A$1005,0))="","",INDEX(RUNS!$G$6:$G$1005,MATCH($D1231,RUNS!$A$6:$A$1005,0))),""))</f>
        <v/>
      </c>
      <c r="O1231" s="33">
        <f>IF($D1231="","",IFERROR(IF(INDEX(RUNS!$H$6:$H$1005,MATCH($D1231,RUNS!$A$6:$A$1005,0))="","",INDEX(RUNS!$H$6:$H$1005,MATCH($D1231,RUNS!$A$6:$A$1005,0))),""))</f>
        <v/>
      </c>
      <c r="P1231" s="33">
        <f>IF($D1231="","",IFERROR(IF(INDEX(RUNS!$J$6:$J$1005,MATCH($D1231,RUNS!$A$6:$A$1005,0))="","",INDEX(RUNS!$J$6:$J$1005,MATCH($D1231,RUNS!$A$6:$A$1005,0))),""))</f>
        <v/>
      </c>
      <c r="Q1231" s="33">
        <f>IF($D1231="","",IFERROR(IF(INDEX(RUNS!$K$6:$K$1005,MATCH($D1231,RUNS!$A$6:$A$1005,0))="","",INDEX(RUNS!$K$6:$K$1005,MATCH($D1231,RUNS!$A$6:$A$1005,0))),""))</f>
        <v/>
      </c>
      <c r="R1231" s="34">
        <f>IF(OR($L1231="",$K1231=""),"",IFERROR(IF(INDEX(PARAMETRES!$H$43:$H$342,MATCH($L1231&amp;"|"&amp;$M1231&amp;"|"&amp;$N1231&amp;"|"&amp;$O1231&amp;"|"&amp;$P1231&amp;"|"&amp;$Q1231&amp;"|"&amp;$K1231,PARAMETRES!$J$43:$J$342,0))="","",INDEX(PARAMETRES!$H$43:$H$342,MATCH($L1231&amp;"|"&amp;$M1231&amp;"|"&amp;$N1231&amp;"|"&amp;$O1231&amp;"|"&amp;$P1231&amp;"|"&amp;$Q1231&amp;"|"&amp;$K1231,PARAMETRES!$J$43:$J$342,0))),""))</f>
        <v/>
      </c>
      <c r="S1231" s="35">
        <f>IF(OR($G1231="",$X1231&lt;&gt;"VALIDE"),"",IFERROR(LOOKUP(2,1/(($B331:$B1230=$B1231)*($G331:$G1230=$G1231)*($X331:$X1230="VALIDE")),$C331:$C1230),""))</f>
        <v/>
      </c>
      <c r="T1231" s="36">
        <f>IF(OR($C1231="",$S1231=""),"",ROUND(($C1231-$S1231+IF($C1231&lt;$S1231,1,0))*1440,0))</f>
        <v/>
      </c>
      <c r="U1231" s="22">
        <f>IF(OR($H1231="",$T1231="",$T1231&lt;=0),"",$H1231*60/$T1231)</f>
        <v/>
      </c>
      <c r="V1231" s="37">
        <f>IF(OR($U1231="",$R1231="",$R1231=0),"",$U1231/$R1231)</f>
        <v/>
      </c>
      <c r="W1231" s="20">
        <f>IF($G1231="","",IF($X1231="CONTEXTE INCOMPLET","CONTEXTE INCOMPLET",IF($X1231="DOUBLON",StatutDoublon,IF($S1231="",StatutInitial,IF($R1231="",StatutStandardManquant,IF($V1231="","DONNEES INSUFFISANTES",IF($V1231&gt;=SeuilConforme,StatutConforme,IF($V1231&gt;=SeuilSurveiller,StatutSurveiller,StatutSousStandard))))))))</f>
        <v/>
      </c>
      <c r="X1231" s="33">
        <f>IF($G1231="","",IF(OR($D1231="",$E1231="",$F1231=""),"CONTEXTE INCOMPLET",IF(COUNTIFS($D331:$D1230,$D1231,$E331:$E1230,$E1231,$F331:$F1230,$F1231,$G331:$G1230,$G1231)&gt;0,"DOUBLON","VALIDE")))</f>
        <v/>
      </c>
    </row>
    <row r="1232" ht="15" customHeight="1">
      <c r="A1232" s="12">
        <f>IF(OR($B1232="",$G1232=""),"",TEXT($B1232,"YYYYMMDD")&amp;"-"&amp;SUBSTITUTE($E1232," ","")&amp;"-"&amp;$F1232&amp;"-"&amp;$G1232)</f>
        <v/>
      </c>
      <c r="B1232" s="15" t="n"/>
      <c r="C1232" s="16" t="n"/>
      <c r="D1232" s="10" t="n"/>
      <c r="E1232" s="9" t="n"/>
      <c r="F1232" s="9" t="n"/>
      <c r="G1232" s="13" t="n"/>
      <c r="H1232" s="21" t="n"/>
      <c r="I1232" s="21" t="n"/>
      <c r="J1232" s="17">
        <f>IF($G1232="","",IFERROR(INDEX(NomsEmployes,MATCH($G1232,MatriculesEmployes,0)),"MATRICULE INCONNU"))</f>
        <v/>
      </c>
      <c r="K1232" s="33">
        <f>IF(OR($D1232="",$F1232=""),"",IFERROR(IF(INDEX(RUNS!$L$6:$S$1005,MATCH($D1232,RUNS!$A$6:$A$1005,0),MATCH("ACTIVITÉ "&amp;$F1232,RUNS!$L$5:$S$5,0))="","",INDEX(RUNS!$L$6:$S$1005,MATCH($D1232,RUNS!$A$6:$A$1005,0),MATCH("ACTIVITÉ "&amp;$F1232,RUNS!$L$5:$S$5,0))),""))</f>
        <v/>
      </c>
      <c r="L1232" s="33">
        <f>IF($D1232="","",IFERROR(IF(INDEX(RUNS!$E$6:$E$1005,MATCH($D1232,RUNS!$A$6:$A$1005,0))="","",INDEX(RUNS!$E$6:$E$1005,MATCH($D1232,RUNS!$A$6:$A$1005,0))),""))</f>
        <v/>
      </c>
      <c r="M1232" s="33">
        <f>IF($D1232="","",IFERROR(IF(INDEX(RUNS!$F$6:$F$1005,MATCH($D1232,RUNS!$A$6:$A$1005,0))="","",INDEX(RUNS!$F$6:$F$1005,MATCH($D1232,RUNS!$A$6:$A$1005,0))),""))</f>
        <v/>
      </c>
      <c r="N1232" s="33">
        <f>IF($D1232="","",IFERROR(IF(INDEX(RUNS!$G$6:$G$1005,MATCH($D1232,RUNS!$A$6:$A$1005,0))="","",INDEX(RUNS!$G$6:$G$1005,MATCH($D1232,RUNS!$A$6:$A$1005,0))),""))</f>
        <v/>
      </c>
      <c r="O1232" s="33">
        <f>IF($D1232="","",IFERROR(IF(INDEX(RUNS!$H$6:$H$1005,MATCH($D1232,RUNS!$A$6:$A$1005,0))="","",INDEX(RUNS!$H$6:$H$1005,MATCH($D1232,RUNS!$A$6:$A$1005,0))),""))</f>
        <v/>
      </c>
      <c r="P1232" s="33">
        <f>IF($D1232="","",IFERROR(IF(INDEX(RUNS!$J$6:$J$1005,MATCH($D1232,RUNS!$A$6:$A$1005,0))="","",INDEX(RUNS!$J$6:$J$1005,MATCH($D1232,RUNS!$A$6:$A$1005,0))),""))</f>
        <v/>
      </c>
      <c r="Q1232" s="33">
        <f>IF($D1232="","",IFERROR(IF(INDEX(RUNS!$K$6:$K$1005,MATCH($D1232,RUNS!$A$6:$A$1005,0))="","",INDEX(RUNS!$K$6:$K$1005,MATCH($D1232,RUNS!$A$6:$A$1005,0))),""))</f>
        <v/>
      </c>
      <c r="R1232" s="34">
        <f>IF(OR($L1232="",$K1232=""),"",IFERROR(IF(INDEX(PARAMETRES!$H$43:$H$342,MATCH($L1232&amp;"|"&amp;$M1232&amp;"|"&amp;$N1232&amp;"|"&amp;$O1232&amp;"|"&amp;$P1232&amp;"|"&amp;$Q1232&amp;"|"&amp;$K1232,PARAMETRES!$J$43:$J$342,0))="","",INDEX(PARAMETRES!$H$43:$H$342,MATCH($L1232&amp;"|"&amp;$M1232&amp;"|"&amp;$N1232&amp;"|"&amp;$O1232&amp;"|"&amp;$P1232&amp;"|"&amp;$Q1232&amp;"|"&amp;$K1232,PARAMETRES!$J$43:$J$342,0))),""))</f>
        <v/>
      </c>
      <c r="S1232" s="35">
        <f>IF(OR($G1232="",$X1232&lt;&gt;"VALIDE"),"",IFERROR(LOOKUP(2,1/(($B332:$B1231=$B1232)*($G332:$G1231=$G1232)*($X332:$X1231="VALIDE")),$C332:$C1231),""))</f>
        <v/>
      </c>
      <c r="T1232" s="36">
        <f>IF(OR($C1232="",$S1232=""),"",ROUND(($C1232-$S1232+IF($C1232&lt;$S1232,1,0))*1440,0))</f>
        <v/>
      </c>
      <c r="U1232" s="22">
        <f>IF(OR($H1232="",$T1232="",$T1232&lt;=0),"",$H1232*60/$T1232)</f>
        <v/>
      </c>
      <c r="V1232" s="37">
        <f>IF(OR($U1232="",$R1232="",$R1232=0),"",$U1232/$R1232)</f>
        <v/>
      </c>
      <c r="W1232" s="20">
        <f>IF($G1232="","",IF($X1232="CONTEXTE INCOMPLET","CONTEXTE INCOMPLET",IF($X1232="DOUBLON",StatutDoublon,IF($S1232="",StatutInitial,IF($R1232="",StatutStandardManquant,IF($V1232="","DONNEES INSUFFISANTES",IF($V1232&gt;=SeuilConforme,StatutConforme,IF($V1232&gt;=SeuilSurveiller,StatutSurveiller,StatutSousStandard))))))))</f>
        <v/>
      </c>
      <c r="X1232" s="33">
        <f>IF($G1232="","",IF(OR($D1232="",$E1232="",$F1232=""),"CONTEXTE INCOMPLET",IF(COUNTIFS($D332:$D1231,$D1232,$E332:$E1231,$E1232,$F332:$F1231,$F1232,$G332:$G1231,$G1232)&gt;0,"DOUBLON","VALIDE")))</f>
        <v/>
      </c>
    </row>
    <row r="1233" ht="15" customHeight="1">
      <c r="A1233" s="12">
        <f>IF(OR($B1233="",$G1233=""),"",TEXT($B1233,"YYYYMMDD")&amp;"-"&amp;SUBSTITUTE($E1233," ","")&amp;"-"&amp;$F1233&amp;"-"&amp;$G1233)</f>
        <v/>
      </c>
      <c r="B1233" s="15" t="n"/>
      <c r="C1233" s="16" t="n"/>
      <c r="D1233" s="10" t="n"/>
      <c r="E1233" s="9" t="n"/>
      <c r="F1233" s="9" t="n"/>
      <c r="G1233" s="13" t="n"/>
      <c r="H1233" s="21" t="n"/>
      <c r="I1233" s="21" t="n"/>
      <c r="J1233" s="17">
        <f>IF($G1233="","",IFERROR(INDEX(NomsEmployes,MATCH($G1233,MatriculesEmployes,0)),"MATRICULE INCONNU"))</f>
        <v/>
      </c>
      <c r="K1233" s="33">
        <f>IF(OR($D1233="",$F1233=""),"",IFERROR(IF(INDEX(RUNS!$L$6:$S$1005,MATCH($D1233,RUNS!$A$6:$A$1005,0),MATCH("ACTIVITÉ "&amp;$F1233,RUNS!$L$5:$S$5,0))="","",INDEX(RUNS!$L$6:$S$1005,MATCH($D1233,RUNS!$A$6:$A$1005,0),MATCH("ACTIVITÉ "&amp;$F1233,RUNS!$L$5:$S$5,0))),""))</f>
        <v/>
      </c>
      <c r="L1233" s="33">
        <f>IF($D1233="","",IFERROR(IF(INDEX(RUNS!$E$6:$E$1005,MATCH($D1233,RUNS!$A$6:$A$1005,0))="","",INDEX(RUNS!$E$6:$E$1005,MATCH($D1233,RUNS!$A$6:$A$1005,0))),""))</f>
        <v/>
      </c>
      <c r="M1233" s="33">
        <f>IF($D1233="","",IFERROR(IF(INDEX(RUNS!$F$6:$F$1005,MATCH($D1233,RUNS!$A$6:$A$1005,0))="","",INDEX(RUNS!$F$6:$F$1005,MATCH($D1233,RUNS!$A$6:$A$1005,0))),""))</f>
        <v/>
      </c>
      <c r="N1233" s="33">
        <f>IF($D1233="","",IFERROR(IF(INDEX(RUNS!$G$6:$G$1005,MATCH($D1233,RUNS!$A$6:$A$1005,0))="","",INDEX(RUNS!$G$6:$G$1005,MATCH($D1233,RUNS!$A$6:$A$1005,0))),""))</f>
        <v/>
      </c>
      <c r="O1233" s="33">
        <f>IF($D1233="","",IFERROR(IF(INDEX(RUNS!$H$6:$H$1005,MATCH($D1233,RUNS!$A$6:$A$1005,0))="","",INDEX(RUNS!$H$6:$H$1005,MATCH($D1233,RUNS!$A$6:$A$1005,0))),""))</f>
        <v/>
      </c>
      <c r="P1233" s="33">
        <f>IF($D1233="","",IFERROR(IF(INDEX(RUNS!$J$6:$J$1005,MATCH($D1233,RUNS!$A$6:$A$1005,0))="","",INDEX(RUNS!$J$6:$J$1005,MATCH($D1233,RUNS!$A$6:$A$1005,0))),""))</f>
        <v/>
      </c>
      <c r="Q1233" s="33">
        <f>IF($D1233="","",IFERROR(IF(INDEX(RUNS!$K$6:$K$1005,MATCH($D1233,RUNS!$A$6:$A$1005,0))="","",INDEX(RUNS!$K$6:$K$1005,MATCH($D1233,RUNS!$A$6:$A$1005,0))),""))</f>
        <v/>
      </c>
      <c r="R1233" s="34">
        <f>IF(OR($L1233="",$K1233=""),"",IFERROR(IF(INDEX(PARAMETRES!$H$43:$H$342,MATCH($L1233&amp;"|"&amp;$M1233&amp;"|"&amp;$N1233&amp;"|"&amp;$O1233&amp;"|"&amp;$P1233&amp;"|"&amp;$Q1233&amp;"|"&amp;$K1233,PARAMETRES!$J$43:$J$342,0))="","",INDEX(PARAMETRES!$H$43:$H$342,MATCH($L1233&amp;"|"&amp;$M1233&amp;"|"&amp;$N1233&amp;"|"&amp;$O1233&amp;"|"&amp;$P1233&amp;"|"&amp;$Q1233&amp;"|"&amp;$K1233,PARAMETRES!$J$43:$J$342,0))),""))</f>
        <v/>
      </c>
      <c r="S1233" s="35">
        <f>IF(OR($G1233="",$X1233&lt;&gt;"VALIDE"),"",IFERROR(LOOKUP(2,1/(($B333:$B1232=$B1233)*($G333:$G1232=$G1233)*($X333:$X1232="VALIDE")),$C333:$C1232),""))</f>
        <v/>
      </c>
      <c r="T1233" s="36">
        <f>IF(OR($C1233="",$S1233=""),"",ROUND(($C1233-$S1233+IF($C1233&lt;$S1233,1,0))*1440,0))</f>
        <v/>
      </c>
      <c r="U1233" s="22">
        <f>IF(OR($H1233="",$T1233="",$T1233&lt;=0),"",$H1233*60/$T1233)</f>
        <v/>
      </c>
      <c r="V1233" s="37">
        <f>IF(OR($U1233="",$R1233="",$R1233=0),"",$U1233/$R1233)</f>
        <v/>
      </c>
      <c r="W1233" s="20">
        <f>IF($G1233="","",IF($X1233="CONTEXTE INCOMPLET","CONTEXTE INCOMPLET",IF($X1233="DOUBLON",StatutDoublon,IF($S1233="",StatutInitial,IF($R1233="",StatutStandardManquant,IF($V1233="","DONNEES INSUFFISANTES",IF($V1233&gt;=SeuilConforme,StatutConforme,IF($V1233&gt;=SeuilSurveiller,StatutSurveiller,StatutSousStandard))))))))</f>
        <v/>
      </c>
      <c r="X1233" s="33">
        <f>IF($G1233="","",IF(OR($D1233="",$E1233="",$F1233=""),"CONTEXTE INCOMPLET",IF(COUNTIFS($D333:$D1232,$D1233,$E333:$E1232,$E1233,$F333:$F1232,$F1233,$G333:$G1232,$G1233)&gt;0,"DOUBLON","VALIDE")))</f>
        <v/>
      </c>
    </row>
    <row r="1234" ht="15" customHeight="1">
      <c r="A1234" s="12">
        <f>IF(OR($B1234="",$G1234=""),"",TEXT($B1234,"YYYYMMDD")&amp;"-"&amp;SUBSTITUTE($E1234," ","")&amp;"-"&amp;$F1234&amp;"-"&amp;$G1234)</f>
        <v/>
      </c>
      <c r="B1234" s="15" t="n"/>
      <c r="C1234" s="16" t="n"/>
      <c r="D1234" s="10" t="n"/>
      <c r="E1234" s="9" t="n"/>
      <c r="F1234" s="9" t="n"/>
      <c r="G1234" s="13" t="n"/>
      <c r="H1234" s="21" t="n"/>
      <c r="I1234" s="21" t="n"/>
      <c r="J1234" s="17">
        <f>IF($G1234="","",IFERROR(INDEX(NomsEmployes,MATCH($G1234,MatriculesEmployes,0)),"MATRICULE INCONNU"))</f>
        <v/>
      </c>
      <c r="K1234" s="33">
        <f>IF(OR($D1234="",$F1234=""),"",IFERROR(IF(INDEX(RUNS!$L$6:$S$1005,MATCH($D1234,RUNS!$A$6:$A$1005,0),MATCH("ACTIVITÉ "&amp;$F1234,RUNS!$L$5:$S$5,0))="","",INDEX(RUNS!$L$6:$S$1005,MATCH($D1234,RUNS!$A$6:$A$1005,0),MATCH("ACTIVITÉ "&amp;$F1234,RUNS!$L$5:$S$5,0))),""))</f>
        <v/>
      </c>
      <c r="L1234" s="33">
        <f>IF($D1234="","",IFERROR(IF(INDEX(RUNS!$E$6:$E$1005,MATCH($D1234,RUNS!$A$6:$A$1005,0))="","",INDEX(RUNS!$E$6:$E$1005,MATCH($D1234,RUNS!$A$6:$A$1005,0))),""))</f>
        <v/>
      </c>
      <c r="M1234" s="33">
        <f>IF($D1234="","",IFERROR(IF(INDEX(RUNS!$F$6:$F$1005,MATCH($D1234,RUNS!$A$6:$A$1005,0))="","",INDEX(RUNS!$F$6:$F$1005,MATCH($D1234,RUNS!$A$6:$A$1005,0))),""))</f>
        <v/>
      </c>
      <c r="N1234" s="33">
        <f>IF($D1234="","",IFERROR(IF(INDEX(RUNS!$G$6:$G$1005,MATCH($D1234,RUNS!$A$6:$A$1005,0))="","",INDEX(RUNS!$G$6:$G$1005,MATCH($D1234,RUNS!$A$6:$A$1005,0))),""))</f>
        <v/>
      </c>
      <c r="O1234" s="33">
        <f>IF($D1234="","",IFERROR(IF(INDEX(RUNS!$H$6:$H$1005,MATCH($D1234,RUNS!$A$6:$A$1005,0))="","",INDEX(RUNS!$H$6:$H$1005,MATCH($D1234,RUNS!$A$6:$A$1005,0))),""))</f>
        <v/>
      </c>
      <c r="P1234" s="33">
        <f>IF($D1234="","",IFERROR(IF(INDEX(RUNS!$J$6:$J$1005,MATCH($D1234,RUNS!$A$6:$A$1005,0))="","",INDEX(RUNS!$J$6:$J$1005,MATCH($D1234,RUNS!$A$6:$A$1005,0))),""))</f>
        <v/>
      </c>
      <c r="Q1234" s="33">
        <f>IF($D1234="","",IFERROR(IF(INDEX(RUNS!$K$6:$K$1005,MATCH($D1234,RUNS!$A$6:$A$1005,0))="","",INDEX(RUNS!$K$6:$K$1005,MATCH($D1234,RUNS!$A$6:$A$1005,0))),""))</f>
        <v/>
      </c>
      <c r="R1234" s="34">
        <f>IF(OR($L1234="",$K1234=""),"",IFERROR(IF(INDEX(PARAMETRES!$H$43:$H$342,MATCH($L1234&amp;"|"&amp;$M1234&amp;"|"&amp;$N1234&amp;"|"&amp;$O1234&amp;"|"&amp;$P1234&amp;"|"&amp;$Q1234&amp;"|"&amp;$K1234,PARAMETRES!$J$43:$J$342,0))="","",INDEX(PARAMETRES!$H$43:$H$342,MATCH($L1234&amp;"|"&amp;$M1234&amp;"|"&amp;$N1234&amp;"|"&amp;$O1234&amp;"|"&amp;$P1234&amp;"|"&amp;$Q1234&amp;"|"&amp;$K1234,PARAMETRES!$J$43:$J$342,0))),""))</f>
        <v/>
      </c>
      <c r="S1234" s="35">
        <f>IF(OR($G1234="",$X1234&lt;&gt;"VALIDE"),"",IFERROR(LOOKUP(2,1/(($B334:$B1233=$B1234)*($G334:$G1233=$G1234)*($X334:$X1233="VALIDE")),$C334:$C1233),""))</f>
        <v/>
      </c>
      <c r="T1234" s="36">
        <f>IF(OR($C1234="",$S1234=""),"",ROUND(($C1234-$S1234+IF($C1234&lt;$S1234,1,0))*1440,0))</f>
        <v/>
      </c>
      <c r="U1234" s="22">
        <f>IF(OR($H1234="",$T1234="",$T1234&lt;=0),"",$H1234*60/$T1234)</f>
        <v/>
      </c>
      <c r="V1234" s="37">
        <f>IF(OR($U1234="",$R1234="",$R1234=0),"",$U1234/$R1234)</f>
        <v/>
      </c>
      <c r="W1234" s="20">
        <f>IF($G1234="","",IF($X1234="CONTEXTE INCOMPLET","CONTEXTE INCOMPLET",IF($X1234="DOUBLON",StatutDoublon,IF($S1234="",StatutInitial,IF($R1234="",StatutStandardManquant,IF($V1234="","DONNEES INSUFFISANTES",IF($V1234&gt;=SeuilConforme,StatutConforme,IF($V1234&gt;=SeuilSurveiller,StatutSurveiller,StatutSousStandard))))))))</f>
        <v/>
      </c>
      <c r="X1234" s="33">
        <f>IF($G1234="","",IF(OR($D1234="",$E1234="",$F1234=""),"CONTEXTE INCOMPLET",IF(COUNTIFS($D334:$D1233,$D1234,$E334:$E1233,$E1234,$F334:$F1233,$F1234,$G334:$G1233,$G1234)&gt;0,"DOUBLON","VALIDE")))</f>
        <v/>
      </c>
    </row>
    <row r="1235" ht="15" customHeight="1">
      <c r="A1235" s="12">
        <f>IF(OR($B1235="",$G1235=""),"",TEXT($B1235,"YYYYMMDD")&amp;"-"&amp;SUBSTITUTE($E1235," ","")&amp;"-"&amp;$F1235&amp;"-"&amp;$G1235)</f>
        <v/>
      </c>
      <c r="B1235" s="15" t="n"/>
      <c r="C1235" s="16" t="n"/>
      <c r="D1235" s="10" t="n"/>
      <c r="E1235" s="9" t="n"/>
      <c r="F1235" s="9" t="n"/>
      <c r="G1235" s="13" t="n"/>
      <c r="H1235" s="21" t="n"/>
      <c r="I1235" s="21" t="n"/>
      <c r="J1235" s="17">
        <f>IF($G1235="","",IFERROR(INDEX(NomsEmployes,MATCH($G1235,MatriculesEmployes,0)),"MATRICULE INCONNU"))</f>
        <v/>
      </c>
      <c r="K1235" s="33">
        <f>IF(OR($D1235="",$F1235=""),"",IFERROR(IF(INDEX(RUNS!$L$6:$S$1005,MATCH($D1235,RUNS!$A$6:$A$1005,0),MATCH("ACTIVITÉ "&amp;$F1235,RUNS!$L$5:$S$5,0))="","",INDEX(RUNS!$L$6:$S$1005,MATCH($D1235,RUNS!$A$6:$A$1005,0),MATCH("ACTIVITÉ "&amp;$F1235,RUNS!$L$5:$S$5,0))),""))</f>
        <v/>
      </c>
      <c r="L1235" s="33">
        <f>IF($D1235="","",IFERROR(IF(INDEX(RUNS!$E$6:$E$1005,MATCH($D1235,RUNS!$A$6:$A$1005,0))="","",INDEX(RUNS!$E$6:$E$1005,MATCH($D1235,RUNS!$A$6:$A$1005,0))),""))</f>
        <v/>
      </c>
      <c r="M1235" s="33">
        <f>IF($D1235="","",IFERROR(IF(INDEX(RUNS!$F$6:$F$1005,MATCH($D1235,RUNS!$A$6:$A$1005,0))="","",INDEX(RUNS!$F$6:$F$1005,MATCH($D1235,RUNS!$A$6:$A$1005,0))),""))</f>
        <v/>
      </c>
      <c r="N1235" s="33">
        <f>IF($D1235="","",IFERROR(IF(INDEX(RUNS!$G$6:$G$1005,MATCH($D1235,RUNS!$A$6:$A$1005,0))="","",INDEX(RUNS!$G$6:$G$1005,MATCH($D1235,RUNS!$A$6:$A$1005,0))),""))</f>
        <v/>
      </c>
      <c r="O1235" s="33">
        <f>IF($D1235="","",IFERROR(IF(INDEX(RUNS!$H$6:$H$1005,MATCH($D1235,RUNS!$A$6:$A$1005,0))="","",INDEX(RUNS!$H$6:$H$1005,MATCH($D1235,RUNS!$A$6:$A$1005,0))),""))</f>
        <v/>
      </c>
      <c r="P1235" s="33">
        <f>IF($D1235="","",IFERROR(IF(INDEX(RUNS!$J$6:$J$1005,MATCH($D1235,RUNS!$A$6:$A$1005,0))="","",INDEX(RUNS!$J$6:$J$1005,MATCH($D1235,RUNS!$A$6:$A$1005,0))),""))</f>
        <v/>
      </c>
      <c r="Q1235" s="33">
        <f>IF($D1235="","",IFERROR(IF(INDEX(RUNS!$K$6:$K$1005,MATCH($D1235,RUNS!$A$6:$A$1005,0))="","",INDEX(RUNS!$K$6:$K$1005,MATCH($D1235,RUNS!$A$6:$A$1005,0))),""))</f>
        <v/>
      </c>
      <c r="R1235" s="34">
        <f>IF(OR($L1235="",$K1235=""),"",IFERROR(IF(INDEX(PARAMETRES!$H$43:$H$342,MATCH($L1235&amp;"|"&amp;$M1235&amp;"|"&amp;$N1235&amp;"|"&amp;$O1235&amp;"|"&amp;$P1235&amp;"|"&amp;$Q1235&amp;"|"&amp;$K1235,PARAMETRES!$J$43:$J$342,0))="","",INDEX(PARAMETRES!$H$43:$H$342,MATCH($L1235&amp;"|"&amp;$M1235&amp;"|"&amp;$N1235&amp;"|"&amp;$O1235&amp;"|"&amp;$P1235&amp;"|"&amp;$Q1235&amp;"|"&amp;$K1235,PARAMETRES!$J$43:$J$342,0))),""))</f>
        <v/>
      </c>
      <c r="S1235" s="35">
        <f>IF(OR($G1235="",$X1235&lt;&gt;"VALIDE"),"",IFERROR(LOOKUP(2,1/(($B335:$B1234=$B1235)*($G335:$G1234=$G1235)*($X335:$X1234="VALIDE")),$C335:$C1234),""))</f>
        <v/>
      </c>
      <c r="T1235" s="36">
        <f>IF(OR($C1235="",$S1235=""),"",ROUND(($C1235-$S1235+IF($C1235&lt;$S1235,1,0))*1440,0))</f>
        <v/>
      </c>
      <c r="U1235" s="22">
        <f>IF(OR($H1235="",$T1235="",$T1235&lt;=0),"",$H1235*60/$T1235)</f>
        <v/>
      </c>
      <c r="V1235" s="37">
        <f>IF(OR($U1235="",$R1235="",$R1235=0),"",$U1235/$R1235)</f>
        <v/>
      </c>
      <c r="W1235" s="20">
        <f>IF($G1235="","",IF($X1235="CONTEXTE INCOMPLET","CONTEXTE INCOMPLET",IF($X1235="DOUBLON",StatutDoublon,IF($S1235="",StatutInitial,IF($R1235="",StatutStandardManquant,IF($V1235="","DONNEES INSUFFISANTES",IF($V1235&gt;=SeuilConforme,StatutConforme,IF($V1235&gt;=SeuilSurveiller,StatutSurveiller,StatutSousStandard))))))))</f>
        <v/>
      </c>
      <c r="X1235" s="33">
        <f>IF($G1235="","",IF(OR($D1235="",$E1235="",$F1235=""),"CONTEXTE INCOMPLET",IF(COUNTIFS($D335:$D1234,$D1235,$E335:$E1234,$E1235,$F335:$F1234,$F1235,$G335:$G1234,$G1235)&gt;0,"DOUBLON","VALIDE")))</f>
        <v/>
      </c>
    </row>
    <row r="1236" ht="15" customHeight="1">
      <c r="A1236" s="12">
        <f>IF(OR($B1236="",$G1236=""),"",TEXT($B1236,"YYYYMMDD")&amp;"-"&amp;SUBSTITUTE($E1236," ","")&amp;"-"&amp;$F1236&amp;"-"&amp;$G1236)</f>
        <v/>
      </c>
      <c r="B1236" s="15" t="n"/>
      <c r="C1236" s="16" t="n"/>
      <c r="D1236" s="10" t="n"/>
      <c r="E1236" s="9" t="n"/>
      <c r="F1236" s="9" t="n"/>
      <c r="G1236" s="13" t="n"/>
      <c r="H1236" s="21" t="n"/>
      <c r="I1236" s="21" t="n"/>
      <c r="J1236" s="17">
        <f>IF($G1236="","",IFERROR(INDEX(NomsEmployes,MATCH($G1236,MatriculesEmployes,0)),"MATRICULE INCONNU"))</f>
        <v/>
      </c>
      <c r="K1236" s="33">
        <f>IF(OR($D1236="",$F1236=""),"",IFERROR(IF(INDEX(RUNS!$L$6:$S$1005,MATCH($D1236,RUNS!$A$6:$A$1005,0),MATCH("ACTIVITÉ "&amp;$F1236,RUNS!$L$5:$S$5,0))="","",INDEX(RUNS!$L$6:$S$1005,MATCH($D1236,RUNS!$A$6:$A$1005,0),MATCH("ACTIVITÉ "&amp;$F1236,RUNS!$L$5:$S$5,0))),""))</f>
        <v/>
      </c>
      <c r="L1236" s="33">
        <f>IF($D1236="","",IFERROR(IF(INDEX(RUNS!$E$6:$E$1005,MATCH($D1236,RUNS!$A$6:$A$1005,0))="","",INDEX(RUNS!$E$6:$E$1005,MATCH($D1236,RUNS!$A$6:$A$1005,0))),""))</f>
        <v/>
      </c>
      <c r="M1236" s="33">
        <f>IF($D1236="","",IFERROR(IF(INDEX(RUNS!$F$6:$F$1005,MATCH($D1236,RUNS!$A$6:$A$1005,0))="","",INDEX(RUNS!$F$6:$F$1005,MATCH($D1236,RUNS!$A$6:$A$1005,0))),""))</f>
        <v/>
      </c>
      <c r="N1236" s="33">
        <f>IF($D1236="","",IFERROR(IF(INDEX(RUNS!$G$6:$G$1005,MATCH($D1236,RUNS!$A$6:$A$1005,0))="","",INDEX(RUNS!$G$6:$G$1005,MATCH($D1236,RUNS!$A$6:$A$1005,0))),""))</f>
        <v/>
      </c>
      <c r="O1236" s="33">
        <f>IF($D1236="","",IFERROR(IF(INDEX(RUNS!$H$6:$H$1005,MATCH($D1236,RUNS!$A$6:$A$1005,0))="","",INDEX(RUNS!$H$6:$H$1005,MATCH($D1236,RUNS!$A$6:$A$1005,0))),""))</f>
        <v/>
      </c>
      <c r="P1236" s="33">
        <f>IF($D1236="","",IFERROR(IF(INDEX(RUNS!$J$6:$J$1005,MATCH($D1236,RUNS!$A$6:$A$1005,0))="","",INDEX(RUNS!$J$6:$J$1005,MATCH($D1236,RUNS!$A$6:$A$1005,0))),""))</f>
        <v/>
      </c>
      <c r="Q1236" s="33">
        <f>IF($D1236="","",IFERROR(IF(INDEX(RUNS!$K$6:$K$1005,MATCH($D1236,RUNS!$A$6:$A$1005,0))="","",INDEX(RUNS!$K$6:$K$1005,MATCH($D1236,RUNS!$A$6:$A$1005,0))),""))</f>
        <v/>
      </c>
      <c r="R1236" s="34">
        <f>IF(OR($L1236="",$K1236=""),"",IFERROR(IF(INDEX(PARAMETRES!$H$43:$H$342,MATCH($L1236&amp;"|"&amp;$M1236&amp;"|"&amp;$N1236&amp;"|"&amp;$O1236&amp;"|"&amp;$P1236&amp;"|"&amp;$Q1236&amp;"|"&amp;$K1236,PARAMETRES!$J$43:$J$342,0))="","",INDEX(PARAMETRES!$H$43:$H$342,MATCH($L1236&amp;"|"&amp;$M1236&amp;"|"&amp;$N1236&amp;"|"&amp;$O1236&amp;"|"&amp;$P1236&amp;"|"&amp;$Q1236&amp;"|"&amp;$K1236,PARAMETRES!$J$43:$J$342,0))),""))</f>
        <v/>
      </c>
      <c r="S1236" s="35">
        <f>IF(OR($G1236="",$X1236&lt;&gt;"VALIDE"),"",IFERROR(LOOKUP(2,1/(($B336:$B1235=$B1236)*($G336:$G1235=$G1236)*($X336:$X1235="VALIDE")),$C336:$C1235),""))</f>
        <v/>
      </c>
      <c r="T1236" s="36">
        <f>IF(OR($C1236="",$S1236=""),"",ROUND(($C1236-$S1236+IF($C1236&lt;$S1236,1,0))*1440,0))</f>
        <v/>
      </c>
      <c r="U1236" s="22">
        <f>IF(OR($H1236="",$T1236="",$T1236&lt;=0),"",$H1236*60/$T1236)</f>
        <v/>
      </c>
      <c r="V1236" s="37">
        <f>IF(OR($U1236="",$R1236="",$R1236=0),"",$U1236/$R1236)</f>
        <v/>
      </c>
      <c r="W1236" s="20">
        <f>IF($G1236="","",IF($X1236="CONTEXTE INCOMPLET","CONTEXTE INCOMPLET",IF($X1236="DOUBLON",StatutDoublon,IF($S1236="",StatutInitial,IF($R1236="",StatutStandardManquant,IF($V1236="","DONNEES INSUFFISANTES",IF($V1236&gt;=SeuilConforme,StatutConforme,IF($V1236&gt;=SeuilSurveiller,StatutSurveiller,StatutSousStandard))))))))</f>
        <v/>
      </c>
      <c r="X1236" s="33">
        <f>IF($G1236="","",IF(OR($D1236="",$E1236="",$F1236=""),"CONTEXTE INCOMPLET",IF(COUNTIFS($D336:$D1235,$D1236,$E336:$E1235,$E1236,$F336:$F1235,$F1236,$G336:$G1235,$G1236)&gt;0,"DOUBLON","VALIDE")))</f>
        <v/>
      </c>
    </row>
    <row r="1237" ht="15" customHeight="1">
      <c r="A1237" s="12">
        <f>IF(OR($B1237="",$G1237=""),"",TEXT($B1237,"YYYYMMDD")&amp;"-"&amp;SUBSTITUTE($E1237," ","")&amp;"-"&amp;$F1237&amp;"-"&amp;$G1237)</f>
        <v/>
      </c>
      <c r="B1237" s="15" t="n"/>
      <c r="C1237" s="16" t="n"/>
      <c r="D1237" s="10" t="n"/>
      <c r="E1237" s="9" t="n"/>
      <c r="F1237" s="9" t="n"/>
      <c r="G1237" s="13" t="n"/>
      <c r="H1237" s="21" t="n"/>
      <c r="I1237" s="21" t="n"/>
      <c r="J1237" s="17">
        <f>IF($G1237="","",IFERROR(INDEX(NomsEmployes,MATCH($G1237,MatriculesEmployes,0)),"MATRICULE INCONNU"))</f>
        <v/>
      </c>
      <c r="K1237" s="33">
        <f>IF(OR($D1237="",$F1237=""),"",IFERROR(IF(INDEX(RUNS!$L$6:$S$1005,MATCH($D1237,RUNS!$A$6:$A$1005,0),MATCH("ACTIVITÉ "&amp;$F1237,RUNS!$L$5:$S$5,0))="","",INDEX(RUNS!$L$6:$S$1005,MATCH($D1237,RUNS!$A$6:$A$1005,0),MATCH("ACTIVITÉ "&amp;$F1237,RUNS!$L$5:$S$5,0))),""))</f>
        <v/>
      </c>
      <c r="L1237" s="33">
        <f>IF($D1237="","",IFERROR(IF(INDEX(RUNS!$E$6:$E$1005,MATCH($D1237,RUNS!$A$6:$A$1005,0))="","",INDEX(RUNS!$E$6:$E$1005,MATCH($D1237,RUNS!$A$6:$A$1005,0))),""))</f>
        <v/>
      </c>
      <c r="M1237" s="33">
        <f>IF($D1237="","",IFERROR(IF(INDEX(RUNS!$F$6:$F$1005,MATCH($D1237,RUNS!$A$6:$A$1005,0))="","",INDEX(RUNS!$F$6:$F$1005,MATCH($D1237,RUNS!$A$6:$A$1005,0))),""))</f>
        <v/>
      </c>
      <c r="N1237" s="33">
        <f>IF($D1237="","",IFERROR(IF(INDEX(RUNS!$G$6:$G$1005,MATCH($D1237,RUNS!$A$6:$A$1005,0))="","",INDEX(RUNS!$G$6:$G$1005,MATCH($D1237,RUNS!$A$6:$A$1005,0))),""))</f>
        <v/>
      </c>
      <c r="O1237" s="33">
        <f>IF($D1237="","",IFERROR(IF(INDEX(RUNS!$H$6:$H$1005,MATCH($D1237,RUNS!$A$6:$A$1005,0))="","",INDEX(RUNS!$H$6:$H$1005,MATCH($D1237,RUNS!$A$6:$A$1005,0))),""))</f>
        <v/>
      </c>
      <c r="P1237" s="33">
        <f>IF($D1237="","",IFERROR(IF(INDEX(RUNS!$J$6:$J$1005,MATCH($D1237,RUNS!$A$6:$A$1005,0))="","",INDEX(RUNS!$J$6:$J$1005,MATCH($D1237,RUNS!$A$6:$A$1005,0))),""))</f>
        <v/>
      </c>
      <c r="Q1237" s="33">
        <f>IF($D1237="","",IFERROR(IF(INDEX(RUNS!$K$6:$K$1005,MATCH($D1237,RUNS!$A$6:$A$1005,0))="","",INDEX(RUNS!$K$6:$K$1005,MATCH($D1237,RUNS!$A$6:$A$1005,0))),""))</f>
        <v/>
      </c>
      <c r="R1237" s="34">
        <f>IF(OR($L1237="",$K1237=""),"",IFERROR(IF(INDEX(PARAMETRES!$H$43:$H$342,MATCH($L1237&amp;"|"&amp;$M1237&amp;"|"&amp;$N1237&amp;"|"&amp;$O1237&amp;"|"&amp;$P1237&amp;"|"&amp;$Q1237&amp;"|"&amp;$K1237,PARAMETRES!$J$43:$J$342,0))="","",INDEX(PARAMETRES!$H$43:$H$342,MATCH($L1237&amp;"|"&amp;$M1237&amp;"|"&amp;$N1237&amp;"|"&amp;$O1237&amp;"|"&amp;$P1237&amp;"|"&amp;$Q1237&amp;"|"&amp;$K1237,PARAMETRES!$J$43:$J$342,0))),""))</f>
        <v/>
      </c>
      <c r="S1237" s="35">
        <f>IF(OR($G1237="",$X1237&lt;&gt;"VALIDE"),"",IFERROR(LOOKUP(2,1/(($B337:$B1236=$B1237)*($G337:$G1236=$G1237)*($X337:$X1236="VALIDE")),$C337:$C1236),""))</f>
        <v/>
      </c>
      <c r="T1237" s="36">
        <f>IF(OR($C1237="",$S1237=""),"",ROUND(($C1237-$S1237+IF($C1237&lt;$S1237,1,0))*1440,0))</f>
        <v/>
      </c>
      <c r="U1237" s="22">
        <f>IF(OR($H1237="",$T1237="",$T1237&lt;=0),"",$H1237*60/$T1237)</f>
        <v/>
      </c>
      <c r="V1237" s="37">
        <f>IF(OR($U1237="",$R1237="",$R1237=0),"",$U1237/$R1237)</f>
        <v/>
      </c>
      <c r="W1237" s="20">
        <f>IF($G1237="","",IF($X1237="CONTEXTE INCOMPLET","CONTEXTE INCOMPLET",IF($X1237="DOUBLON",StatutDoublon,IF($S1237="",StatutInitial,IF($R1237="",StatutStandardManquant,IF($V1237="","DONNEES INSUFFISANTES",IF($V1237&gt;=SeuilConforme,StatutConforme,IF($V1237&gt;=SeuilSurveiller,StatutSurveiller,StatutSousStandard))))))))</f>
        <v/>
      </c>
      <c r="X1237" s="33">
        <f>IF($G1237="","",IF(OR($D1237="",$E1237="",$F1237=""),"CONTEXTE INCOMPLET",IF(COUNTIFS($D337:$D1236,$D1237,$E337:$E1236,$E1237,$F337:$F1236,$F1237,$G337:$G1236,$G1237)&gt;0,"DOUBLON","VALIDE")))</f>
        <v/>
      </c>
    </row>
    <row r="1238" ht="15" customHeight="1">
      <c r="A1238" s="12">
        <f>IF(OR($B1238="",$G1238=""),"",TEXT($B1238,"YYYYMMDD")&amp;"-"&amp;SUBSTITUTE($E1238," ","")&amp;"-"&amp;$F1238&amp;"-"&amp;$G1238)</f>
        <v/>
      </c>
      <c r="B1238" s="15" t="n"/>
      <c r="C1238" s="16" t="n"/>
      <c r="D1238" s="10" t="n"/>
      <c r="E1238" s="9" t="n"/>
      <c r="F1238" s="9" t="n"/>
      <c r="G1238" s="13" t="n"/>
      <c r="H1238" s="21" t="n"/>
      <c r="I1238" s="21" t="n"/>
      <c r="J1238" s="17">
        <f>IF($G1238="","",IFERROR(INDEX(NomsEmployes,MATCH($G1238,MatriculesEmployes,0)),"MATRICULE INCONNU"))</f>
        <v/>
      </c>
      <c r="K1238" s="33">
        <f>IF(OR($D1238="",$F1238=""),"",IFERROR(IF(INDEX(RUNS!$L$6:$S$1005,MATCH($D1238,RUNS!$A$6:$A$1005,0),MATCH("ACTIVITÉ "&amp;$F1238,RUNS!$L$5:$S$5,0))="","",INDEX(RUNS!$L$6:$S$1005,MATCH($D1238,RUNS!$A$6:$A$1005,0),MATCH("ACTIVITÉ "&amp;$F1238,RUNS!$L$5:$S$5,0))),""))</f>
        <v/>
      </c>
      <c r="L1238" s="33">
        <f>IF($D1238="","",IFERROR(IF(INDEX(RUNS!$E$6:$E$1005,MATCH($D1238,RUNS!$A$6:$A$1005,0))="","",INDEX(RUNS!$E$6:$E$1005,MATCH($D1238,RUNS!$A$6:$A$1005,0))),""))</f>
        <v/>
      </c>
      <c r="M1238" s="33">
        <f>IF($D1238="","",IFERROR(IF(INDEX(RUNS!$F$6:$F$1005,MATCH($D1238,RUNS!$A$6:$A$1005,0))="","",INDEX(RUNS!$F$6:$F$1005,MATCH($D1238,RUNS!$A$6:$A$1005,0))),""))</f>
        <v/>
      </c>
      <c r="N1238" s="33">
        <f>IF($D1238="","",IFERROR(IF(INDEX(RUNS!$G$6:$G$1005,MATCH($D1238,RUNS!$A$6:$A$1005,0))="","",INDEX(RUNS!$G$6:$G$1005,MATCH($D1238,RUNS!$A$6:$A$1005,0))),""))</f>
        <v/>
      </c>
      <c r="O1238" s="33">
        <f>IF($D1238="","",IFERROR(IF(INDEX(RUNS!$H$6:$H$1005,MATCH($D1238,RUNS!$A$6:$A$1005,0))="","",INDEX(RUNS!$H$6:$H$1005,MATCH($D1238,RUNS!$A$6:$A$1005,0))),""))</f>
        <v/>
      </c>
      <c r="P1238" s="33">
        <f>IF($D1238="","",IFERROR(IF(INDEX(RUNS!$J$6:$J$1005,MATCH($D1238,RUNS!$A$6:$A$1005,0))="","",INDEX(RUNS!$J$6:$J$1005,MATCH($D1238,RUNS!$A$6:$A$1005,0))),""))</f>
        <v/>
      </c>
      <c r="Q1238" s="33">
        <f>IF($D1238="","",IFERROR(IF(INDEX(RUNS!$K$6:$K$1005,MATCH($D1238,RUNS!$A$6:$A$1005,0))="","",INDEX(RUNS!$K$6:$K$1005,MATCH($D1238,RUNS!$A$6:$A$1005,0))),""))</f>
        <v/>
      </c>
      <c r="R1238" s="34">
        <f>IF(OR($L1238="",$K1238=""),"",IFERROR(IF(INDEX(PARAMETRES!$H$43:$H$342,MATCH($L1238&amp;"|"&amp;$M1238&amp;"|"&amp;$N1238&amp;"|"&amp;$O1238&amp;"|"&amp;$P1238&amp;"|"&amp;$Q1238&amp;"|"&amp;$K1238,PARAMETRES!$J$43:$J$342,0))="","",INDEX(PARAMETRES!$H$43:$H$342,MATCH($L1238&amp;"|"&amp;$M1238&amp;"|"&amp;$N1238&amp;"|"&amp;$O1238&amp;"|"&amp;$P1238&amp;"|"&amp;$Q1238&amp;"|"&amp;$K1238,PARAMETRES!$J$43:$J$342,0))),""))</f>
        <v/>
      </c>
      <c r="S1238" s="35">
        <f>IF(OR($G1238="",$X1238&lt;&gt;"VALIDE"),"",IFERROR(LOOKUP(2,1/(($B338:$B1237=$B1238)*($G338:$G1237=$G1238)*($X338:$X1237="VALIDE")),$C338:$C1237),""))</f>
        <v/>
      </c>
      <c r="T1238" s="36">
        <f>IF(OR($C1238="",$S1238=""),"",ROUND(($C1238-$S1238+IF($C1238&lt;$S1238,1,0))*1440,0))</f>
        <v/>
      </c>
      <c r="U1238" s="22">
        <f>IF(OR($H1238="",$T1238="",$T1238&lt;=0),"",$H1238*60/$T1238)</f>
        <v/>
      </c>
      <c r="V1238" s="37">
        <f>IF(OR($U1238="",$R1238="",$R1238=0),"",$U1238/$R1238)</f>
        <v/>
      </c>
      <c r="W1238" s="20">
        <f>IF($G1238="","",IF($X1238="CONTEXTE INCOMPLET","CONTEXTE INCOMPLET",IF($X1238="DOUBLON",StatutDoublon,IF($S1238="",StatutInitial,IF($R1238="",StatutStandardManquant,IF($V1238="","DONNEES INSUFFISANTES",IF($V1238&gt;=SeuilConforme,StatutConforme,IF($V1238&gt;=SeuilSurveiller,StatutSurveiller,StatutSousStandard))))))))</f>
        <v/>
      </c>
      <c r="X1238" s="33">
        <f>IF($G1238="","",IF(OR($D1238="",$E1238="",$F1238=""),"CONTEXTE INCOMPLET",IF(COUNTIFS($D338:$D1237,$D1238,$E338:$E1237,$E1238,$F338:$F1237,$F1238,$G338:$G1237,$G1238)&gt;0,"DOUBLON","VALIDE")))</f>
        <v/>
      </c>
    </row>
    <row r="1239" ht="15" customHeight="1">
      <c r="A1239" s="12">
        <f>IF(OR($B1239="",$G1239=""),"",TEXT($B1239,"YYYYMMDD")&amp;"-"&amp;SUBSTITUTE($E1239," ","")&amp;"-"&amp;$F1239&amp;"-"&amp;$G1239)</f>
        <v/>
      </c>
      <c r="B1239" s="15" t="n"/>
      <c r="C1239" s="16" t="n"/>
      <c r="D1239" s="10" t="n"/>
      <c r="E1239" s="9" t="n"/>
      <c r="F1239" s="9" t="n"/>
      <c r="G1239" s="13" t="n"/>
      <c r="H1239" s="21" t="n"/>
      <c r="I1239" s="21" t="n"/>
      <c r="J1239" s="17">
        <f>IF($G1239="","",IFERROR(INDEX(NomsEmployes,MATCH($G1239,MatriculesEmployes,0)),"MATRICULE INCONNU"))</f>
        <v/>
      </c>
      <c r="K1239" s="33">
        <f>IF(OR($D1239="",$F1239=""),"",IFERROR(IF(INDEX(RUNS!$L$6:$S$1005,MATCH($D1239,RUNS!$A$6:$A$1005,0),MATCH("ACTIVITÉ "&amp;$F1239,RUNS!$L$5:$S$5,0))="","",INDEX(RUNS!$L$6:$S$1005,MATCH($D1239,RUNS!$A$6:$A$1005,0),MATCH("ACTIVITÉ "&amp;$F1239,RUNS!$L$5:$S$5,0))),""))</f>
        <v/>
      </c>
      <c r="L1239" s="33">
        <f>IF($D1239="","",IFERROR(IF(INDEX(RUNS!$E$6:$E$1005,MATCH($D1239,RUNS!$A$6:$A$1005,0))="","",INDEX(RUNS!$E$6:$E$1005,MATCH($D1239,RUNS!$A$6:$A$1005,0))),""))</f>
        <v/>
      </c>
      <c r="M1239" s="33">
        <f>IF($D1239="","",IFERROR(IF(INDEX(RUNS!$F$6:$F$1005,MATCH($D1239,RUNS!$A$6:$A$1005,0))="","",INDEX(RUNS!$F$6:$F$1005,MATCH($D1239,RUNS!$A$6:$A$1005,0))),""))</f>
        <v/>
      </c>
      <c r="N1239" s="33">
        <f>IF($D1239="","",IFERROR(IF(INDEX(RUNS!$G$6:$G$1005,MATCH($D1239,RUNS!$A$6:$A$1005,0))="","",INDEX(RUNS!$G$6:$G$1005,MATCH($D1239,RUNS!$A$6:$A$1005,0))),""))</f>
        <v/>
      </c>
      <c r="O1239" s="33">
        <f>IF($D1239="","",IFERROR(IF(INDEX(RUNS!$H$6:$H$1005,MATCH($D1239,RUNS!$A$6:$A$1005,0))="","",INDEX(RUNS!$H$6:$H$1005,MATCH($D1239,RUNS!$A$6:$A$1005,0))),""))</f>
        <v/>
      </c>
      <c r="P1239" s="33">
        <f>IF($D1239="","",IFERROR(IF(INDEX(RUNS!$J$6:$J$1005,MATCH($D1239,RUNS!$A$6:$A$1005,0))="","",INDEX(RUNS!$J$6:$J$1005,MATCH($D1239,RUNS!$A$6:$A$1005,0))),""))</f>
        <v/>
      </c>
      <c r="Q1239" s="33">
        <f>IF($D1239="","",IFERROR(IF(INDEX(RUNS!$K$6:$K$1005,MATCH($D1239,RUNS!$A$6:$A$1005,0))="","",INDEX(RUNS!$K$6:$K$1005,MATCH($D1239,RUNS!$A$6:$A$1005,0))),""))</f>
        <v/>
      </c>
      <c r="R1239" s="34">
        <f>IF(OR($L1239="",$K1239=""),"",IFERROR(IF(INDEX(PARAMETRES!$H$43:$H$342,MATCH($L1239&amp;"|"&amp;$M1239&amp;"|"&amp;$N1239&amp;"|"&amp;$O1239&amp;"|"&amp;$P1239&amp;"|"&amp;$Q1239&amp;"|"&amp;$K1239,PARAMETRES!$J$43:$J$342,0))="","",INDEX(PARAMETRES!$H$43:$H$342,MATCH($L1239&amp;"|"&amp;$M1239&amp;"|"&amp;$N1239&amp;"|"&amp;$O1239&amp;"|"&amp;$P1239&amp;"|"&amp;$Q1239&amp;"|"&amp;$K1239,PARAMETRES!$J$43:$J$342,0))),""))</f>
        <v/>
      </c>
      <c r="S1239" s="35">
        <f>IF(OR($G1239="",$X1239&lt;&gt;"VALIDE"),"",IFERROR(LOOKUP(2,1/(($B339:$B1238=$B1239)*($G339:$G1238=$G1239)*($X339:$X1238="VALIDE")),$C339:$C1238),""))</f>
        <v/>
      </c>
      <c r="T1239" s="36">
        <f>IF(OR($C1239="",$S1239=""),"",ROUND(($C1239-$S1239+IF($C1239&lt;$S1239,1,0))*1440,0))</f>
        <v/>
      </c>
      <c r="U1239" s="22">
        <f>IF(OR($H1239="",$T1239="",$T1239&lt;=0),"",$H1239*60/$T1239)</f>
        <v/>
      </c>
      <c r="V1239" s="37">
        <f>IF(OR($U1239="",$R1239="",$R1239=0),"",$U1239/$R1239)</f>
        <v/>
      </c>
      <c r="W1239" s="20">
        <f>IF($G1239="","",IF($X1239="CONTEXTE INCOMPLET","CONTEXTE INCOMPLET",IF($X1239="DOUBLON",StatutDoublon,IF($S1239="",StatutInitial,IF($R1239="",StatutStandardManquant,IF($V1239="","DONNEES INSUFFISANTES",IF($V1239&gt;=SeuilConforme,StatutConforme,IF($V1239&gt;=SeuilSurveiller,StatutSurveiller,StatutSousStandard))))))))</f>
        <v/>
      </c>
      <c r="X1239" s="33">
        <f>IF($G1239="","",IF(OR($D1239="",$E1239="",$F1239=""),"CONTEXTE INCOMPLET",IF(COUNTIFS($D339:$D1238,$D1239,$E339:$E1238,$E1239,$F339:$F1238,$F1239,$G339:$G1238,$G1239)&gt;0,"DOUBLON","VALIDE")))</f>
        <v/>
      </c>
    </row>
    <row r="1240" ht="15" customHeight="1">
      <c r="A1240" s="12">
        <f>IF(OR($B1240="",$G1240=""),"",TEXT($B1240,"YYYYMMDD")&amp;"-"&amp;SUBSTITUTE($E1240," ","")&amp;"-"&amp;$F1240&amp;"-"&amp;$G1240)</f>
        <v/>
      </c>
      <c r="B1240" s="15" t="n"/>
      <c r="C1240" s="16" t="n"/>
      <c r="D1240" s="10" t="n"/>
      <c r="E1240" s="9" t="n"/>
      <c r="F1240" s="9" t="n"/>
      <c r="G1240" s="13" t="n"/>
      <c r="H1240" s="21" t="n"/>
      <c r="I1240" s="21" t="n"/>
      <c r="J1240" s="17">
        <f>IF($G1240="","",IFERROR(INDEX(NomsEmployes,MATCH($G1240,MatriculesEmployes,0)),"MATRICULE INCONNU"))</f>
        <v/>
      </c>
      <c r="K1240" s="33">
        <f>IF(OR($D1240="",$F1240=""),"",IFERROR(IF(INDEX(RUNS!$L$6:$S$1005,MATCH($D1240,RUNS!$A$6:$A$1005,0),MATCH("ACTIVITÉ "&amp;$F1240,RUNS!$L$5:$S$5,0))="","",INDEX(RUNS!$L$6:$S$1005,MATCH($D1240,RUNS!$A$6:$A$1005,0),MATCH("ACTIVITÉ "&amp;$F1240,RUNS!$L$5:$S$5,0))),""))</f>
        <v/>
      </c>
      <c r="L1240" s="33">
        <f>IF($D1240="","",IFERROR(IF(INDEX(RUNS!$E$6:$E$1005,MATCH($D1240,RUNS!$A$6:$A$1005,0))="","",INDEX(RUNS!$E$6:$E$1005,MATCH($D1240,RUNS!$A$6:$A$1005,0))),""))</f>
        <v/>
      </c>
      <c r="M1240" s="33">
        <f>IF($D1240="","",IFERROR(IF(INDEX(RUNS!$F$6:$F$1005,MATCH($D1240,RUNS!$A$6:$A$1005,0))="","",INDEX(RUNS!$F$6:$F$1005,MATCH($D1240,RUNS!$A$6:$A$1005,0))),""))</f>
        <v/>
      </c>
      <c r="N1240" s="33">
        <f>IF($D1240="","",IFERROR(IF(INDEX(RUNS!$G$6:$G$1005,MATCH($D1240,RUNS!$A$6:$A$1005,0))="","",INDEX(RUNS!$G$6:$G$1005,MATCH($D1240,RUNS!$A$6:$A$1005,0))),""))</f>
        <v/>
      </c>
      <c r="O1240" s="33">
        <f>IF($D1240="","",IFERROR(IF(INDEX(RUNS!$H$6:$H$1005,MATCH($D1240,RUNS!$A$6:$A$1005,0))="","",INDEX(RUNS!$H$6:$H$1005,MATCH($D1240,RUNS!$A$6:$A$1005,0))),""))</f>
        <v/>
      </c>
      <c r="P1240" s="33">
        <f>IF($D1240="","",IFERROR(IF(INDEX(RUNS!$J$6:$J$1005,MATCH($D1240,RUNS!$A$6:$A$1005,0))="","",INDEX(RUNS!$J$6:$J$1005,MATCH($D1240,RUNS!$A$6:$A$1005,0))),""))</f>
        <v/>
      </c>
      <c r="Q1240" s="33">
        <f>IF($D1240="","",IFERROR(IF(INDEX(RUNS!$K$6:$K$1005,MATCH($D1240,RUNS!$A$6:$A$1005,0))="","",INDEX(RUNS!$K$6:$K$1005,MATCH($D1240,RUNS!$A$6:$A$1005,0))),""))</f>
        <v/>
      </c>
      <c r="R1240" s="34">
        <f>IF(OR($L1240="",$K1240=""),"",IFERROR(IF(INDEX(PARAMETRES!$H$43:$H$342,MATCH($L1240&amp;"|"&amp;$M1240&amp;"|"&amp;$N1240&amp;"|"&amp;$O1240&amp;"|"&amp;$P1240&amp;"|"&amp;$Q1240&amp;"|"&amp;$K1240,PARAMETRES!$J$43:$J$342,0))="","",INDEX(PARAMETRES!$H$43:$H$342,MATCH($L1240&amp;"|"&amp;$M1240&amp;"|"&amp;$N1240&amp;"|"&amp;$O1240&amp;"|"&amp;$P1240&amp;"|"&amp;$Q1240&amp;"|"&amp;$K1240,PARAMETRES!$J$43:$J$342,0))),""))</f>
        <v/>
      </c>
      <c r="S1240" s="35">
        <f>IF(OR($G1240="",$X1240&lt;&gt;"VALIDE"),"",IFERROR(LOOKUP(2,1/(($B340:$B1239=$B1240)*($G340:$G1239=$G1240)*($X340:$X1239="VALIDE")),$C340:$C1239),""))</f>
        <v/>
      </c>
      <c r="T1240" s="36">
        <f>IF(OR($C1240="",$S1240=""),"",ROUND(($C1240-$S1240+IF($C1240&lt;$S1240,1,0))*1440,0))</f>
        <v/>
      </c>
      <c r="U1240" s="22">
        <f>IF(OR($H1240="",$T1240="",$T1240&lt;=0),"",$H1240*60/$T1240)</f>
        <v/>
      </c>
      <c r="V1240" s="37">
        <f>IF(OR($U1240="",$R1240="",$R1240=0),"",$U1240/$R1240)</f>
        <v/>
      </c>
      <c r="W1240" s="20">
        <f>IF($G1240="","",IF($X1240="CONTEXTE INCOMPLET","CONTEXTE INCOMPLET",IF($X1240="DOUBLON",StatutDoublon,IF($S1240="",StatutInitial,IF($R1240="",StatutStandardManquant,IF($V1240="","DONNEES INSUFFISANTES",IF($V1240&gt;=SeuilConforme,StatutConforme,IF($V1240&gt;=SeuilSurveiller,StatutSurveiller,StatutSousStandard))))))))</f>
        <v/>
      </c>
      <c r="X1240" s="33">
        <f>IF($G1240="","",IF(OR($D1240="",$E1240="",$F1240=""),"CONTEXTE INCOMPLET",IF(COUNTIFS($D340:$D1239,$D1240,$E340:$E1239,$E1240,$F340:$F1239,$F1240,$G340:$G1239,$G1240)&gt;0,"DOUBLON","VALIDE")))</f>
        <v/>
      </c>
    </row>
    <row r="1241" ht="15" customHeight="1">
      <c r="A1241" s="12">
        <f>IF(OR($B1241="",$G1241=""),"",TEXT($B1241,"YYYYMMDD")&amp;"-"&amp;SUBSTITUTE($E1241," ","")&amp;"-"&amp;$F1241&amp;"-"&amp;$G1241)</f>
        <v/>
      </c>
      <c r="B1241" s="15" t="n"/>
      <c r="C1241" s="16" t="n"/>
      <c r="D1241" s="10" t="n"/>
      <c r="E1241" s="9" t="n"/>
      <c r="F1241" s="9" t="n"/>
      <c r="G1241" s="13" t="n"/>
      <c r="H1241" s="21" t="n"/>
      <c r="I1241" s="21" t="n"/>
      <c r="J1241" s="17">
        <f>IF($G1241="","",IFERROR(INDEX(NomsEmployes,MATCH($G1241,MatriculesEmployes,0)),"MATRICULE INCONNU"))</f>
        <v/>
      </c>
      <c r="K1241" s="33">
        <f>IF(OR($D1241="",$F1241=""),"",IFERROR(IF(INDEX(RUNS!$L$6:$S$1005,MATCH($D1241,RUNS!$A$6:$A$1005,0),MATCH("ACTIVITÉ "&amp;$F1241,RUNS!$L$5:$S$5,0))="","",INDEX(RUNS!$L$6:$S$1005,MATCH($D1241,RUNS!$A$6:$A$1005,0),MATCH("ACTIVITÉ "&amp;$F1241,RUNS!$L$5:$S$5,0))),""))</f>
        <v/>
      </c>
      <c r="L1241" s="33">
        <f>IF($D1241="","",IFERROR(IF(INDEX(RUNS!$E$6:$E$1005,MATCH($D1241,RUNS!$A$6:$A$1005,0))="","",INDEX(RUNS!$E$6:$E$1005,MATCH($D1241,RUNS!$A$6:$A$1005,0))),""))</f>
        <v/>
      </c>
      <c r="M1241" s="33">
        <f>IF($D1241="","",IFERROR(IF(INDEX(RUNS!$F$6:$F$1005,MATCH($D1241,RUNS!$A$6:$A$1005,0))="","",INDEX(RUNS!$F$6:$F$1005,MATCH($D1241,RUNS!$A$6:$A$1005,0))),""))</f>
        <v/>
      </c>
      <c r="N1241" s="33">
        <f>IF($D1241="","",IFERROR(IF(INDEX(RUNS!$G$6:$G$1005,MATCH($D1241,RUNS!$A$6:$A$1005,0))="","",INDEX(RUNS!$G$6:$G$1005,MATCH($D1241,RUNS!$A$6:$A$1005,0))),""))</f>
        <v/>
      </c>
      <c r="O1241" s="33">
        <f>IF($D1241="","",IFERROR(IF(INDEX(RUNS!$H$6:$H$1005,MATCH($D1241,RUNS!$A$6:$A$1005,0))="","",INDEX(RUNS!$H$6:$H$1005,MATCH($D1241,RUNS!$A$6:$A$1005,0))),""))</f>
        <v/>
      </c>
      <c r="P1241" s="33">
        <f>IF($D1241="","",IFERROR(IF(INDEX(RUNS!$J$6:$J$1005,MATCH($D1241,RUNS!$A$6:$A$1005,0))="","",INDEX(RUNS!$J$6:$J$1005,MATCH($D1241,RUNS!$A$6:$A$1005,0))),""))</f>
        <v/>
      </c>
      <c r="Q1241" s="33">
        <f>IF($D1241="","",IFERROR(IF(INDEX(RUNS!$K$6:$K$1005,MATCH($D1241,RUNS!$A$6:$A$1005,0))="","",INDEX(RUNS!$K$6:$K$1005,MATCH($D1241,RUNS!$A$6:$A$1005,0))),""))</f>
        <v/>
      </c>
      <c r="R1241" s="34">
        <f>IF(OR($L1241="",$K1241=""),"",IFERROR(IF(INDEX(PARAMETRES!$H$43:$H$342,MATCH($L1241&amp;"|"&amp;$M1241&amp;"|"&amp;$N1241&amp;"|"&amp;$O1241&amp;"|"&amp;$P1241&amp;"|"&amp;$Q1241&amp;"|"&amp;$K1241,PARAMETRES!$J$43:$J$342,0))="","",INDEX(PARAMETRES!$H$43:$H$342,MATCH($L1241&amp;"|"&amp;$M1241&amp;"|"&amp;$N1241&amp;"|"&amp;$O1241&amp;"|"&amp;$P1241&amp;"|"&amp;$Q1241&amp;"|"&amp;$K1241,PARAMETRES!$J$43:$J$342,0))),""))</f>
        <v/>
      </c>
      <c r="S1241" s="35">
        <f>IF(OR($G1241="",$X1241&lt;&gt;"VALIDE"),"",IFERROR(LOOKUP(2,1/(($B341:$B1240=$B1241)*($G341:$G1240=$G1241)*($X341:$X1240="VALIDE")),$C341:$C1240),""))</f>
        <v/>
      </c>
      <c r="T1241" s="36">
        <f>IF(OR($C1241="",$S1241=""),"",ROUND(($C1241-$S1241+IF($C1241&lt;$S1241,1,0))*1440,0))</f>
        <v/>
      </c>
      <c r="U1241" s="22">
        <f>IF(OR($H1241="",$T1241="",$T1241&lt;=0),"",$H1241*60/$T1241)</f>
        <v/>
      </c>
      <c r="V1241" s="37">
        <f>IF(OR($U1241="",$R1241="",$R1241=0),"",$U1241/$R1241)</f>
        <v/>
      </c>
      <c r="W1241" s="20">
        <f>IF($G1241="","",IF($X1241="CONTEXTE INCOMPLET","CONTEXTE INCOMPLET",IF($X1241="DOUBLON",StatutDoublon,IF($S1241="",StatutInitial,IF($R1241="",StatutStandardManquant,IF($V1241="","DONNEES INSUFFISANTES",IF($V1241&gt;=SeuilConforme,StatutConforme,IF($V1241&gt;=SeuilSurveiller,StatutSurveiller,StatutSousStandard))))))))</f>
        <v/>
      </c>
      <c r="X1241" s="33">
        <f>IF($G1241="","",IF(OR($D1241="",$E1241="",$F1241=""),"CONTEXTE INCOMPLET",IF(COUNTIFS($D341:$D1240,$D1241,$E341:$E1240,$E1241,$F341:$F1240,$F1241,$G341:$G1240,$G1241)&gt;0,"DOUBLON","VALIDE")))</f>
        <v/>
      </c>
    </row>
    <row r="1242" ht="15" customHeight="1">
      <c r="A1242" s="12">
        <f>IF(OR($B1242="",$G1242=""),"",TEXT($B1242,"YYYYMMDD")&amp;"-"&amp;SUBSTITUTE($E1242," ","")&amp;"-"&amp;$F1242&amp;"-"&amp;$G1242)</f>
        <v/>
      </c>
      <c r="B1242" s="15" t="n"/>
      <c r="C1242" s="16" t="n"/>
      <c r="D1242" s="10" t="n"/>
      <c r="E1242" s="9" t="n"/>
      <c r="F1242" s="9" t="n"/>
      <c r="G1242" s="13" t="n"/>
      <c r="H1242" s="21" t="n"/>
      <c r="I1242" s="21" t="n"/>
      <c r="J1242" s="17">
        <f>IF($G1242="","",IFERROR(INDEX(NomsEmployes,MATCH($G1242,MatriculesEmployes,0)),"MATRICULE INCONNU"))</f>
        <v/>
      </c>
      <c r="K1242" s="33">
        <f>IF(OR($D1242="",$F1242=""),"",IFERROR(IF(INDEX(RUNS!$L$6:$S$1005,MATCH($D1242,RUNS!$A$6:$A$1005,0),MATCH("ACTIVITÉ "&amp;$F1242,RUNS!$L$5:$S$5,0))="","",INDEX(RUNS!$L$6:$S$1005,MATCH($D1242,RUNS!$A$6:$A$1005,0),MATCH("ACTIVITÉ "&amp;$F1242,RUNS!$L$5:$S$5,0))),""))</f>
        <v/>
      </c>
      <c r="L1242" s="33">
        <f>IF($D1242="","",IFERROR(IF(INDEX(RUNS!$E$6:$E$1005,MATCH($D1242,RUNS!$A$6:$A$1005,0))="","",INDEX(RUNS!$E$6:$E$1005,MATCH($D1242,RUNS!$A$6:$A$1005,0))),""))</f>
        <v/>
      </c>
      <c r="M1242" s="33">
        <f>IF($D1242="","",IFERROR(IF(INDEX(RUNS!$F$6:$F$1005,MATCH($D1242,RUNS!$A$6:$A$1005,0))="","",INDEX(RUNS!$F$6:$F$1005,MATCH($D1242,RUNS!$A$6:$A$1005,0))),""))</f>
        <v/>
      </c>
      <c r="N1242" s="33">
        <f>IF($D1242="","",IFERROR(IF(INDEX(RUNS!$G$6:$G$1005,MATCH($D1242,RUNS!$A$6:$A$1005,0))="","",INDEX(RUNS!$G$6:$G$1005,MATCH($D1242,RUNS!$A$6:$A$1005,0))),""))</f>
        <v/>
      </c>
      <c r="O1242" s="33">
        <f>IF($D1242="","",IFERROR(IF(INDEX(RUNS!$H$6:$H$1005,MATCH($D1242,RUNS!$A$6:$A$1005,0))="","",INDEX(RUNS!$H$6:$H$1005,MATCH($D1242,RUNS!$A$6:$A$1005,0))),""))</f>
        <v/>
      </c>
      <c r="P1242" s="33">
        <f>IF($D1242="","",IFERROR(IF(INDEX(RUNS!$J$6:$J$1005,MATCH($D1242,RUNS!$A$6:$A$1005,0))="","",INDEX(RUNS!$J$6:$J$1005,MATCH($D1242,RUNS!$A$6:$A$1005,0))),""))</f>
        <v/>
      </c>
      <c r="Q1242" s="33">
        <f>IF($D1242="","",IFERROR(IF(INDEX(RUNS!$K$6:$K$1005,MATCH($D1242,RUNS!$A$6:$A$1005,0))="","",INDEX(RUNS!$K$6:$K$1005,MATCH($D1242,RUNS!$A$6:$A$1005,0))),""))</f>
        <v/>
      </c>
      <c r="R1242" s="34">
        <f>IF(OR($L1242="",$K1242=""),"",IFERROR(IF(INDEX(PARAMETRES!$H$43:$H$342,MATCH($L1242&amp;"|"&amp;$M1242&amp;"|"&amp;$N1242&amp;"|"&amp;$O1242&amp;"|"&amp;$P1242&amp;"|"&amp;$Q1242&amp;"|"&amp;$K1242,PARAMETRES!$J$43:$J$342,0))="","",INDEX(PARAMETRES!$H$43:$H$342,MATCH($L1242&amp;"|"&amp;$M1242&amp;"|"&amp;$N1242&amp;"|"&amp;$O1242&amp;"|"&amp;$P1242&amp;"|"&amp;$Q1242&amp;"|"&amp;$K1242,PARAMETRES!$J$43:$J$342,0))),""))</f>
        <v/>
      </c>
      <c r="S1242" s="35">
        <f>IF(OR($G1242="",$X1242&lt;&gt;"VALIDE"),"",IFERROR(LOOKUP(2,1/(($B342:$B1241=$B1242)*($G342:$G1241=$G1242)*($X342:$X1241="VALIDE")),$C342:$C1241),""))</f>
        <v/>
      </c>
      <c r="T1242" s="36">
        <f>IF(OR($C1242="",$S1242=""),"",ROUND(($C1242-$S1242+IF($C1242&lt;$S1242,1,0))*1440,0))</f>
        <v/>
      </c>
      <c r="U1242" s="22">
        <f>IF(OR($H1242="",$T1242="",$T1242&lt;=0),"",$H1242*60/$T1242)</f>
        <v/>
      </c>
      <c r="V1242" s="37">
        <f>IF(OR($U1242="",$R1242="",$R1242=0),"",$U1242/$R1242)</f>
        <v/>
      </c>
      <c r="W1242" s="20">
        <f>IF($G1242="","",IF($X1242="CONTEXTE INCOMPLET","CONTEXTE INCOMPLET",IF($X1242="DOUBLON",StatutDoublon,IF($S1242="",StatutInitial,IF($R1242="",StatutStandardManquant,IF($V1242="","DONNEES INSUFFISANTES",IF($V1242&gt;=SeuilConforme,StatutConforme,IF($V1242&gt;=SeuilSurveiller,StatutSurveiller,StatutSousStandard))))))))</f>
        <v/>
      </c>
      <c r="X1242" s="33">
        <f>IF($G1242="","",IF(OR($D1242="",$E1242="",$F1242=""),"CONTEXTE INCOMPLET",IF(COUNTIFS($D342:$D1241,$D1242,$E342:$E1241,$E1242,$F342:$F1241,$F1242,$G342:$G1241,$G1242)&gt;0,"DOUBLON","VALIDE")))</f>
        <v/>
      </c>
    </row>
    <row r="1243" ht="15" customHeight="1">
      <c r="A1243" s="12">
        <f>IF(OR($B1243="",$G1243=""),"",TEXT($B1243,"YYYYMMDD")&amp;"-"&amp;SUBSTITUTE($E1243," ","")&amp;"-"&amp;$F1243&amp;"-"&amp;$G1243)</f>
        <v/>
      </c>
      <c r="B1243" s="15" t="n"/>
      <c r="C1243" s="16" t="n"/>
      <c r="D1243" s="10" t="n"/>
      <c r="E1243" s="9" t="n"/>
      <c r="F1243" s="9" t="n"/>
      <c r="G1243" s="13" t="n"/>
      <c r="H1243" s="21" t="n"/>
      <c r="I1243" s="21" t="n"/>
      <c r="J1243" s="17">
        <f>IF($G1243="","",IFERROR(INDEX(NomsEmployes,MATCH($G1243,MatriculesEmployes,0)),"MATRICULE INCONNU"))</f>
        <v/>
      </c>
      <c r="K1243" s="33">
        <f>IF(OR($D1243="",$F1243=""),"",IFERROR(IF(INDEX(RUNS!$L$6:$S$1005,MATCH($D1243,RUNS!$A$6:$A$1005,0),MATCH("ACTIVITÉ "&amp;$F1243,RUNS!$L$5:$S$5,0))="","",INDEX(RUNS!$L$6:$S$1005,MATCH($D1243,RUNS!$A$6:$A$1005,0),MATCH("ACTIVITÉ "&amp;$F1243,RUNS!$L$5:$S$5,0))),""))</f>
        <v/>
      </c>
      <c r="L1243" s="33">
        <f>IF($D1243="","",IFERROR(IF(INDEX(RUNS!$E$6:$E$1005,MATCH($D1243,RUNS!$A$6:$A$1005,0))="","",INDEX(RUNS!$E$6:$E$1005,MATCH($D1243,RUNS!$A$6:$A$1005,0))),""))</f>
        <v/>
      </c>
      <c r="M1243" s="33">
        <f>IF($D1243="","",IFERROR(IF(INDEX(RUNS!$F$6:$F$1005,MATCH($D1243,RUNS!$A$6:$A$1005,0))="","",INDEX(RUNS!$F$6:$F$1005,MATCH($D1243,RUNS!$A$6:$A$1005,0))),""))</f>
        <v/>
      </c>
      <c r="N1243" s="33">
        <f>IF($D1243="","",IFERROR(IF(INDEX(RUNS!$G$6:$G$1005,MATCH($D1243,RUNS!$A$6:$A$1005,0))="","",INDEX(RUNS!$G$6:$G$1005,MATCH($D1243,RUNS!$A$6:$A$1005,0))),""))</f>
        <v/>
      </c>
      <c r="O1243" s="33">
        <f>IF($D1243="","",IFERROR(IF(INDEX(RUNS!$H$6:$H$1005,MATCH($D1243,RUNS!$A$6:$A$1005,0))="","",INDEX(RUNS!$H$6:$H$1005,MATCH($D1243,RUNS!$A$6:$A$1005,0))),""))</f>
        <v/>
      </c>
      <c r="P1243" s="33">
        <f>IF($D1243="","",IFERROR(IF(INDEX(RUNS!$J$6:$J$1005,MATCH($D1243,RUNS!$A$6:$A$1005,0))="","",INDEX(RUNS!$J$6:$J$1005,MATCH($D1243,RUNS!$A$6:$A$1005,0))),""))</f>
        <v/>
      </c>
      <c r="Q1243" s="33">
        <f>IF($D1243="","",IFERROR(IF(INDEX(RUNS!$K$6:$K$1005,MATCH($D1243,RUNS!$A$6:$A$1005,0))="","",INDEX(RUNS!$K$6:$K$1005,MATCH($D1243,RUNS!$A$6:$A$1005,0))),""))</f>
        <v/>
      </c>
      <c r="R1243" s="34">
        <f>IF(OR($L1243="",$K1243=""),"",IFERROR(IF(INDEX(PARAMETRES!$H$43:$H$342,MATCH($L1243&amp;"|"&amp;$M1243&amp;"|"&amp;$N1243&amp;"|"&amp;$O1243&amp;"|"&amp;$P1243&amp;"|"&amp;$Q1243&amp;"|"&amp;$K1243,PARAMETRES!$J$43:$J$342,0))="","",INDEX(PARAMETRES!$H$43:$H$342,MATCH($L1243&amp;"|"&amp;$M1243&amp;"|"&amp;$N1243&amp;"|"&amp;$O1243&amp;"|"&amp;$P1243&amp;"|"&amp;$Q1243&amp;"|"&amp;$K1243,PARAMETRES!$J$43:$J$342,0))),""))</f>
        <v/>
      </c>
      <c r="S1243" s="35">
        <f>IF(OR($G1243="",$X1243&lt;&gt;"VALIDE"),"",IFERROR(LOOKUP(2,1/(($B343:$B1242=$B1243)*($G343:$G1242=$G1243)*($X343:$X1242="VALIDE")),$C343:$C1242),""))</f>
        <v/>
      </c>
      <c r="T1243" s="36">
        <f>IF(OR($C1243="",$S1243=""),"",ROUND(($C1243-$S1243+IF($C1243&lt;$S1243,1,0))*1440,0))</f>
        <v/>
      </c>
      <c r="U1243" s="22">
        <f>IF(OR($H1243="",$T1243="",$T1243&lt;=0),"",$H1243*60/$T1243)</f>
        <v/>
      </c>
      <c r="V1243" s="37">
        <f>IF(OR($U1243="",$R1243="",$R1243=0),"",$U1243/$R1243)</f>
        <v/>
      </c>
      <c r="W1243" s="20">
        <f>IF($G1243="","",IF($X1243="CONTEXTE INCOMPLET","CONTEXTE INCOMPLET",IF($X1243="DOUBLON",StatutDoublon,IF($S1243="",StatutInitial,IF($R1243="",StatutStandardManquant,IF($V1243="","DONNEES INSUFFISANTES",IF($V1243&gt;=SeuilConforme,StatutConforme,IF($V1243&gt;=SeuilSurveiller,StatutSurveiller,StatutSousStandard))))))))</f>
        <v/>
      </c>
      <c r="X1243" s="33">
        <f>IF($G1243="","",IF(OR($D1243="",$E1243="",$F1243=""),"CONTEXTE INCOMPLET",IF(COUNTIFS($D343:$D1242,$D1243,$E343:$E1242,$E1243,$F343:$F1242,$F1243,$G343:$G1242,$G1243)&gt;0,"DOUBLON","VALIDE")))</f>
        <v/>
      </c>
    </row>
    <row r="1244" ht="15" customHeight="1">
      <c r="A1244" s="12">
        <f>IF(OR($B1244="",$G1244=""),"",TEXT($B1244,"YYYYMMDD")&amp;"-"&amp;SUBSTITUTE($E1244," ","")&amp;"-"&amp;$F1244&amp;"-"&amp;$G1244)</f>
        <v/>
      </c>
      <c r="B1244" s="15" t="n"/>
      <c r="C1244" s="16" t="n"/>
      <c r="D1244" s="10" t="n"/>
      <c r="E1244" s="9" t="n"/>
      <c r="F1244" s="9" t="n"/>
      <c r="G1244" s="13" t="n"/>
      <c r="H1244" s="21" t="n"/>
      <c r="I1244" s="21" t="n"/>
      <c r="J1244" s="17">
        <f>IF($G1244="","",IFERROR(INDEX(NomsEmployes,MATCH($G1244,MatriculesEmployes,0)),"MATRICULE INCONNU"))</f>
        <v/>
      </c>
      <c r="K1244" s="33">
        <f>IF(OR($D1244="",$F1244=""),"",IFERROR(IF(INDEX(RUNS!$L$6:$S$1005,MATCH($D1244,RUNS!$A$6:$A$1005,0),MATCH("ACTIVITÉ "&amp;$F1244,RUNS!$L$5:$S$5,0))="","",INDEX(RUNS!$L$6:$S$1005,MATCH($D1244,RUNS!$A$6:$A$1005,0),MATCH("ACTIVITÉ "&amp;$F1244,RUNS!$L$5:$S$5,0))),""))</f>
        <v/>
      </c>
      <c r="L1244" s="33">
        <f>IF($D1244="","",IFERROR(IF(INDEX(RUNS!$E$6:$E$1005,MATCH($D1244,RUNS!$A$6:$A$1005,0))="","",INDEX(RUNS!$E$6:$E$1005,MATCH($D1244,RUNS!$A$6:$A$1005,0))),""))</f>
        <v/>
      </c>
      <c r="M1244" s="33">
        <f>IF($D1244="","",IFERROR(IF(INDEX(RUNS!$F$6:$F$1005,MATCH($D1244,RUNS!$A$6:$A$1005,0))="","",INDEX(RUNS!$F$6:$F$1005,MATCH($D1244,RUNS!$A$6:$A$1005,0))),""))</f>
        <v/>
      </c>
      <c r="N1244" s="33">
        <f>IF($D1244="","",IFERROR(IF(INDEX(RUNS!$G$6:$G$1005,MATCH($D1244,RUNS!$A$6:$A$1005,0))="","",INDEX(RUNS!$G$6:$G$1005,MATCH($D1244,RUNS!$A$6:$A$1005,0))),""))</f>
        <v/>
      </c>
      <c r="O1244" s="33">
        <f>IF($D1244="","",IFERROR(IF(INDEX(RUNS!$H$6:$H$1005,MATCH($D1244,RUNS!$A$6:$A$1005,0))="","",INDEX(RUNS!$H$6:$H$1005,MATCH($D1244,RUNS!$A$6:$A$1005,0))),""))</f>
        <v/>
      </c>
      <c r="P1244" s="33">
        <f>IF($D1244="","",IFERROR(IF(INDEX(RUNS!$J$6:$J$1005,MATCH($D1244,RUNS!$A$6:$A$1005,0))="","",INDEX(RUNS!$J$6:$J$1005,MATCH($D1244,RUNS!$A$6:$A$1005,0))),""))</f>
        <v/>
      </c>
      <c r="Q1244" s="33">
        <f>IF($D1244="","",IFERROR(IF(INDEX(RUNS!$K$6:$K$1005,MATCH($D1244,RUNS!$A$6:$A$1005,0))="","",INDEX(RUNS!$K$6:$K$1005,MATCH($D1244,RUNS!$A$6:$A$1005,0))),""))</f>
        <v/>
      </c>
      <c r="R1244" s="34">
        <f>IF(OR($L1244="",$K1244=""),"",IFERROR(IF(INDEX(PARAMETRES!$H$43:$H$342,MATCH($L1244&amp;"|"&amp;$M1244&amp;"|"&amp;$N1244&amp;"|"&amp;$O1244&amp;"|"&amp;$P1244&amp;"|"&amp;$Q1244&amp;"|"&amp;$K1244,PARAMETRES!$J$43:$J$342,0))="","",INDEX(PARAMETRES!$H$43:$H$342,MATCH($L1244&amp;"|"&amp;$M1244&amp;"|"&amp;$N1244&amp;"|"&amp;$O1244&amp;"|"&amp;$P1244&amp;"|"&amp;$Q1244&amp;"|"&amp;$K1244,PARAMETRES!$J$43:$J$342,0))),""))</f>
        <v/>
      </c>
      <c r="S1244" s="35">
        <f>IF(OR($G1244="",$X1244&lt;&gt;"VALIDE"),"",IFERROR(LOOKUP(2,1/(($B344:$B1243=$B1244)*($G344:$G1243=$G1244)*($X344:$X1243="VALIDE")),$C344:$C1243),""))</f>
        <v/>
      </c>
      <c r="T1244" s="36">
        <f>IF(OR($C1244="",$S1244=""),"",ROUND(($C1244-$S1244+IF($C1244&lt;$S1244,1,0))*1440,0))</f>
        <v/>
      </c>
      <c r="U1244" s="22">
        <f>IF(OR($H1244="",$T1244="",$T1244&lt;=0),"",$H1244*60/$T1244)</f>
        <v/>
      </c>
      <c r="V1244" s="37">
        <f>IF(OR($U1244="",$R1244="",$R1244=0),"",$U1244/$R1244)</f>
        <v/>
      </c>
      <c r="W1244" s="20">
        <f>IF($G1244="","",IF($X1244="CONTEXTE INCOMPLET","CONTEXTE INCOMPLET",IF($X1244="DOUBLON",StatutDoublon,IF($S1244="",StatutInitial,IF($R1244="",StatutStandardManquant,IF($V1244="","DONNEES INSUFFISANTES",IF($V1244&gt;=SeuilConforme,StatutConforme,IF($V1244&gt;=SeuilSurveiller,StatutSurveiller,StatutSousStandard))))))))</f>
        <v/>
      </c>
      <c r="X1244" s="33">
        <f>IF($G1244="","",IF(OR($D1244="",$E1244="",$F1244=""),"CONTEXTE INCOMPLET",IF(COUNTIFS($D344:$D1243,$D1244,$E344:$E1243,$E1244,$F344:$F1243,$F1244,$G344:$G1243,$G1244)&gt;0,"DOUBLON","VALIDE")))</f>
        <v/>
      </c>
    </row>
    <row r="1245" ht="15" customHeight="1">
      <c r="A1245" s="12">
        <f>IF(OR($B1245="",$G1245=""),"",TEXT($B1245,"YYYYMMDD")&amp;"-"&amp;SUBSTITUTE($E1245," ","")&amp;"-"&amp;$F1245&amp;"-"&amp;$G1245)</f>
        <v/>
      </c>
      <c r="B1245" s="15" t="n"/>
      <c r="C1245" s="16" t="n"/>
      <c r="D1245" s="10" t="n"/>
      <c r="E1245" s="9" t="n"/>
      <c r="F1245" s="9" t="n"/>
      <c r="G1245" s="13" t="n"/>
      <c r="H1245" s="21" t="n"/>
      <c r="I1245" s="21" t="n"/>
      <c r="J1245" s="17">
        <f>IF($G1245="","",IFERROR(INDEX(NomsEmployes,MATCH($G1245,MatriculesEmployes,0)),"MATRICULE INCONNU"))</f>
        <v/>
      </c>
      <c r="K1245" s="33">
        <f>IF(OR($D1245="",$F1245=""),"",IFERROR(IF(INDEX(RUNS!$L$6:$S$1005,MATCH($D1245,RUNS!$A$6:$A$1005,0),MATCH("ACTIVITÉ "&amp;$F1245,RUNS!$L$5:$S$5,0))="","",INDEX(RUNS!$L$6:$S$1005,MATCH($D1245,RUNS!$A$6:$A$1005,0),MATCH("ACTIVITÉ "&amp;$F1245,RUNS!$L$5:$S$5,0))),""))</f>
        <v/>
      </c>
      <c r="L1245" s="33">
        <f>IF($D1245="","",IFERROR(IF(INDEX(RUNS!$E$6:$E$1005,MATCH($D1245,RUNS!$A$6:$A$1005,0))="","",INDEX(RUNS!$E$6:$E$1005,MATCH($D1245,RUNS!$A$6:$A$1005,0))),""))</f>
        <v/>
      </c>
      <c r="M1245" s="33">
        <f>IF($D1245="","",IFERROR(IF(INDEX(RUNS!$F$6:$F$1005,MATCH($D1245,RUNS!$A$6:$A$1005,0))="","",INDEX(RUNS!$F$6:$F$1005,MATCH($D1245,RUNS!$A$6:$A$1005,0))),""))</f>
        <v/>
      </c>
      <c r="N1245" s="33">
        <f>IF($D1245="","",IFERROR(IF(INDEX(RUNS!$G$6:$G$1005,MATCH($D1245,RUNS!$A$6:$A$1005,0))="","",INDEX(RUNS!$G$6:$G$1005,MATCH($D1245,RUNS!$A$6:$A$1005,0))),""))</f>
        <v/>
      </c>
      <c r="O1245" s="33">
        <f>IF($D1245="","",IFERROR(IF(INDEX(RUNS!$H$6:$H$1005,MATCH($D1245,RUNS!$A$6:$A$1005,0))="","",INDEX(RUNS!$H$6:$H$1005,MATCH($D1245,RUNS!$A$6:$A$1005,0))),""))</f>
        <v/>
      </c>
      <c r="P1245" s="33">
        <f>IF($D1245="","",IFERROR(IF(INDEX(RUNS!$J$6:$J$1005,MATCH($D1245,RUNS!$A$6:$A$1005,0))="","",INDEX(RUNS!$J$6:$J$1005,MATCH($D1245,RUNS!$A$6:$A$1005,0))),""))</f>
        <v/>
      </c>
      <c r="Q1245" s="33">
        <f>IF($D1245="","",IFERROR(IF(INDEX(RUNS!$K$6:$K$1005,MATCH($D1245,RUNS!$A$6:$A$1005,0))="","",INDEX(RUNS!$K$6:$K$1005,MATCH($D1245,RUNS!$A$6:$A$1005,0))),""))</f>
        <v/>
      </c>
      <c r="R1245" s="34">
        <f>IF(OR($L1245="",$K1245=""),"",IFERROR(IF(INDEX(PARAMETRES!$H$43:$H$342,MATCH($L1245&amp;"|"&amp;$M1245&amp;"|"&amp;$N1245&amp;"|"&amp;$O1245&amp;"|"&amp;$P1245&amp;"|"&amp;$Q1245&amp;"|"&amp;$K1245,PARAMETRES!$J$43:$J$342,0))="","",INDEX(PARAMETRES!$H$43:$H$342,MATCH($L1245&amp;"|"&amp;$M1245&amp;"|"&amp;$N1245&amp;"|"&amp;$O1245&amp;"|"&amp;$P1245&amp;"|"&amp;$Q1245&amp;"|"&amp;$K1245,PARAMETRES!$J$43:$J$342,0))),""))</f>
        <v/>
      </c>
      <c r="S1245" s="35">
        <f>IF(OR($G1245="",$X1245&lt;&gt;"VALIDE"),"",IFERROR(LOOKUP(2,1/(($B345:$B1244=$B1245)*($G345:$G1244=$G1245)*($X345:$X1244="VALIDE")),$C345:$C1244),""))</f>
        <v/>
      </c>
      <c r="T1245" s="36">
        <f>IF(OR($C1245="",$S1245=""),"",ROUND(($C1245-$S1245+IF($C1245&lt;$S1245,1,0))*1440,0))</f>
        <v/>
      </c>
      <c r="U1245" s="22">
        <f>IF(OR($H1245="",$T1245="",$T1245&lt;=0),"",$H1245*60/$T1245)</f>
        <v/>
      </c>
      <c r="V1245" s="37">
        <f>IF(OR($U1245="",$R1245="",$R1245=0),"",$U1245/$R1245)</f>
        <v/>
      </c>
      <c r="W1245" s="20">
        <f>IF($G1245="","",IF($X1245="CONTEXTE INCOMPLET","CONTEXTE INCOMPLET",IF($X1245="DOUBLON",StatutDoublon,IF($S1245="",StatutInitial,IF($R1245="",StatutStandardManquant,IF($V1245="","DONNEES INSUFFISANTES",IF($V1245&gt;=SeuilConforme,StatutConforme,IF($V1245&gt;=SeuilSurveiller,StatutSurveiller,StatutSousStandard))))))))</f>
        <v/>
      </c>
      <c r="X1245" s="33">
        <f>IF($G1245="","",IF(OR($D1245="",$E1245="",$F1245=""),"CONTEXTE INCOMPLET",IF(COUNTIFS($D345:$D1244,$D1245,$E345:$E1244,$E1245,$F345:$F1244,$F1245,$G345:$G1244,$G1245)&gt;0,"DOUBLON","VALIDE")))</f>
        <v/>
      </c>
    </row>
    <row r="1246" ht="15" customHeight="1">
      <c r="A1246" s="12">
        <f>IF(OR($B1246="",$G1246=""),"",TEXT($B1246,"YYYYMMDD")&amp;"-"&amp;SUBSTITUTE($E1246," ","")&amp;"-"&amp;$F1246&amp;"-"&amp;$G1246)</f>
        <v/>
      </c>
      <c r="B1246" s="15" t="n"/>
      <c r="C1246" s="16" t="n"/>
      <c r="D1246" s="10" t="n"/>
      <c r="E1246" s="9" t="n"/>
      <c r="F1246" s="9" t="n"/>
      <c r="G1246" s="13" t="n"/>
      <c r="H1246" s="21" t="n"/>
      <c r="I1246" s="21" t="n"/>
      <c r="J1246" s="17">
        <f>IF($G1246="","",IFERROR(INDEX(NomsEmployes,MATCH($G1246,MatriculesEmployes,0)),"MATRICULE INCONNU"))</f>
        <v/>
      </c>
      <c r="K1246" s="33">
        <f>IF(OR($D1246="",$F1246=""),"",IFERROR(IF(INDEX(RUNS!$L$6:$S$1005,MATCH($D1246,RUNS!$A$6:$A$1005,0),MATCH("ACTIVITÉ "&amp;$F1246,RUNS!$L$5:$S$5,0))="","",INDEX(RUNS!$L$6:$S$1005,MATCH($D1246,RUNS!$A$6:$A$1005,0),MATCH("ACTIVITÉ "&amp;$F1246,RUNS!$L$5:$S$5,0))),""))</f>
        <v/>
      </c>
      <c r="L1246" s="33">
        <f>IF($D1246="","",IFERROR(IF(INDEX(RUNS!$E$6:$E$1005,MATCH($D1246,RUNS!$A$6:$A$1005,0))="","",INDEX(RUNS!$E$6:$E$1005,MATCH($D1246,RUNS!$A$6:$A$1005,0))),""))</f>
        <v/>
      </c>
      <c r="M1246" s="33">
        <f>IF($D1246="","",IFERROR(IF(INDEX(RUNS!$F$6:$F$1005,MATCH($D1246,RUNS!$A$6:$A$1005,0))="","",INDEX(RUNS!$F$6:$F$1005,MATCH($D1246,RUNS!$A$6:$A$1005,0))),""))</f>
        <v/>
      </c>
      <c r="N1246" s="33">
        <f>IF($D1246="","",IFERROR(IF(INDEX(RUNS!$G$6:$G$1005,MATCH($D1246,RUNS!$A$6:$A$1005,0))="","",INDEX(RUNS!$G$6:$G$1005,MATCH($D1246,RUNS!$A$6:$A$1005,0))),""))</f>
        <v/>
      </c>
      <c r="O1246" s="33">
        <f>IF($D1246="","",IFERROR(IF(INDEX(RUNS!$H$6:$H$1005,MATCH($D1246,RUNS!$A$6:$A$1005,0))="","",INDEX(RUNS!$H$6:$H$1005,MATCH($D1246,RUNS!$A$6:$A$1005,0))),""))</f>
        <v/>
      </c>
      <c r="P1246" s="33">
        <f>IF($D1246="","",IFERROR(IF(INDEX(RUNS!$J$6:$J$1005,MATCH($D1246,RUNS!$A$6:$A$1005,0))="","",INDEX(RUNS!$J$6:$J$1005,MATCH($D1246,RUNS!$A$6:$A$1005,0))),""))</f>
        <v/>
      </c>
      <c r="Q1246" s="33">
        <f>IF($D1246="","",IFERROR(IF(INDEX(RUNS!$K$6:$K$1005,MATCH($D1246,RUNS!$A$6:$A$1005,0))="","",INDEX(RUNS!$K$6:$K$1005,MATCH($D1246,RUNS!$A$6:$A$1005,0))),""))</f>
        <v/>
      </c>
      <c r="R1246" s="34">
        <f>IF(OR($L1246="",$K1246=""),"",IFERROR(IF(INDEX(PARAMETRES!$H$43:$H$342,MATCH($L1246&amp;"|"&amp;$M1246&amp;"|"&amp;$N1246&amp;"|"&amp;$O1246&amp;"|"&amp;$P1246&amp;"|"&amp;$Q1246&amp;"|"&amp;$K1246,PARAMETRES!$J$43:$J$342,0))="","",INDEX(PARAMETRES!$H$43:$H$342,MATCH($L1246&amp;"|"&amp;$M1246&amp;"|"&amp;$N1246&amp;"|"&amp;$O1246&amp;"|"&amp;$P1246&amp;"|"&amp;$Q1246&amp;"|"&amp;$K1246,PARAMETRES!$J$43:$J$342,0))),""))</f>
        <v/>
      </c>
      <c r="S1246" s="35">
        <f>IF(OR($G1246="",$X1246&lt;&gt;"VALIDE"),"",IFERROR(LOOKUP(2,1/(($B346:$B1245=$B1246)*($G346:$G1245=$G1246)*($X346:$X1245="VALIDE")),$C346:$C1245),""))</f>
        <v/>
      </c>
      <c r="T1246" s="36">
        <f>IF(OR($C1246="",$S1246=""),"",ROUND(($C1246-$S1246+IF($C1246&lt;$S1246,1,0))*1440,0))</f>
        <v/>
      </c>
      <c r="U1246" s="22">
        <f>IF(OR($H1246="",$T1246="",$T1246&lt;=0),"",$H1246*60/$T1246)</f>
        <v/>
      </c>
      <c r="V1246" s="37">
        <f>IF(OR($U1246="",$R1246="",$R1246=0),"",$U1246/$R1246)</f>
        <v/>
      </c>
      <c r="W1246" s="20">
        <f>IF($G1246="","",IF($X1246="CONTEXTE INCOMPLET","CONTEXTE INCOMPLET",IF($X1246="DOUBLON",StatutDoublon,IF($S1246="",StatutInitial,IF($R1246="",StatutStandardManquant,IF($V1246="","DONNEES INSUFFISANTES",IF($V1246&gt;=SeuilConforme,StatutConforme,IF($V1246&gt;=SeuilSurveiller,StatutSurveiller,StatutSousStandard))))))))</f>
        <v/>
      </c>
      <c r="X1246" s="33">
        <f>IF($G1246="","",IF(OR($D1246="",$E1246="",$F1246=""),"CONTEXTE INCOMPLET",IF(COUNTIFS($D346:$D1245,$D1246,$E346:$E1245,$E1246,$F346:$F1245,$F1246,$G346:$G1245,$G1246)&gt;0,"DOUBLON","VALIDE")))</f>
        <v/>
      </c>
    </row>
    <row r="1247" ht="15" customHeight="1">
      <c r="A1247" s="12">
        <f>IF(OR($B1247="",$G1247=""),"",TEXT($B1247,"YYYYMMDD")&amp;"-"&amp;SUBSTITUTE($E1247," ","")&amp;"-"&amp;$F1247&amp;"-"&amp;$G1247)</f>
        <v/>
      </c>
      <c r="B1247" s="15" t="n"/>
      <c r="C1247" s="16" t="n"/>
      <c r="D1247" s="10" t="n"/>
      <c r="E1247" s="9" t="n"/>
      <c r="F1247" s="9" t="n"/>
      <c r="G1247" s="13" t="n"/>
      <c r="H1247" s="21" t="n"/>
      <c r="I1247" s="21" t="n"/>
      <c r="J1247" s="17">
        <f>IF($G1247="","",IFERROR(INDEX(NomsEmployes,MATCH($G1247,MatriculesEmployes,0)),"MATRICULE INCONNU"))</f>
        <v/>
      </c>
      <c r="K1247" s="33">
        <f>IF(OR($D1247="",$F1247=""),"",IFERROR(IF(INDEX(RUNS!$L$6:$S$1005,MATCH($D1247,RUNS!$A$6:$A$1005,0),MATCH("ACTIVITÉ "&amp;$F1247,RUNS!$L$5:$S$5,0))="","",INDEX(RUNS!$L$6:$S$1005,MATCH($D1247,RUNS!$A$6:$A$1005,0),MATCH("ACTIVITÉ "&amp;$F1247,RUNS!$L$5:$S$5,0))),""))</f>
        <v/>
      </c>
      <c r="L1247" s="33">
        <f>IF($D1247="","",IFERROR(IF(INDEX(RUNS!$E$6:$E$1005,MATCH($D1247,RUNS!$A$6:$A$1005,0))="","",INDEX(RUNS!$E$6:$E$1005,MATCH($D1247,RUNS!$A$6:$A$1005,0))),""))</f>
        <v/>
      </c>
      <c r="M1247" s="33">
        <f>IF($D1247="","",IFERROR(IF(INDEX(RUNS!$F$6:$F$1005,MATCH($D1247,RUNS!$A$6:$A$1005,0))="","",INDEX(RUNS!$F$6:$F$1005,MATCH($D1247,RUNS!$A$6:$A$1005,0))),""))</f>
        <v/>
      </c>
      <c r="N1247" s="33">
        <f>IF($D1247="","",IFERROR(IF(INDEX(RUNS!$G$6:$G$1005,MATCH($D1247,RUNS!$A$6:$A$1005,0))="","",INDEX(RUNS!$G$6:$G$1005,MATCH($D1247,RUNS!$A$6:$A$1005,0))),""))</f>
        <v/>
      </c>
      <c r="O1247" s="33">
        <f>IF($D1247="","",IFERROR(IF(INDEX(RUNS!$H$6:$H$1005,MATCH($D1247,RUNS!$A$6:$A$1005,0))="","",INDEX(RUNS!$H$6:$H$1005,MATCH($D1247,RUNS!$A$6:$A$1005,0))),""))</f>
        <v/>
      </c>
      <c r="P1247" s="33">
        <f>IF($D1247="","",IFERROR(IF(INDEX(RUNS!$J$6:$J$1005,MATCH($D1247,RUNS!$A$6:$A$1005,0))="","",INDEX(RUNS!$J$6:$J$1005,MATCH($D1247,RUNS!$A$6:$A$1005,0))),""))</f>
        <v/>
      </c>
      <c r="Q1247" s="33">
        <f>IF($D1247="","",IFERROR(IF(INDEX(RUNS!$K$6:$K$1005,MATCH($D1247,RUNS!$A$6:$A$1005,0))="","",INDEX(RUNS!$K$6:$K$1005,MATCH($D1247,RUNS!$A$6:$A$1005,0))),""))</f>
        <v/>
      </c>
      <c r="R1247" s="34">
        <f>IF(OR($L1247="",$K1247=""),"",IFERROR(IF(INDEX(PARAMETRES!$H$43:$H$342,MATCH($L1247&amp;"|"&amp;$M1247&amp;"|"&amp;$N1247&amp;"|"&amp;$O1247&amp;"|"&amp;$P1247&amp;"|"&amp;$Q1247&amp;"|"&amp;$K1247,PARAMETRES!$J$43:$J$342,0))="","",INDEX(PARAMETRES!$H$43:$H$342,MATCH($L1247&amp;"|"&amp;$M1247&amp;"|"&amp;$N1247&amp;"|"&amp;$O1247&amp;"|"&amp;$P1247&amp;"|"&amp;$Q1247&amp;"|"&amp;$K1247,PARAMETRES!$J$43:$J$342,0))),""))</f>
        <v/>
      </c>
      <c r="S1247" s="35">
        <f>IF(OR($G1247="",$X1247&lt;&gt;"VALIDE"),"",IFERROR(LOOKUP(2,1/(($B347:$B1246=$B1247)*($G347:$G1246=$G1247)*($X347:$X1246="VALIDE")),$C347:$C1246),""))</f>
        <v/>
      </c>
      <c r="T1247" s="36">
        <f>IF(OR($C1247="",$S1247=""),"",ROUND(($C1247-$S1247+IF($C1247&lt;$S1247,1,0))*1440,0))</f>
        <v/>
      </c>
      <c r="U1247" s="22">
        <f>IF(OR($H1247="",$T1247="",$T1247&lt;=0),"",$H1247*60/$T1247)</f>
        <v/>
      </c>
      <c r="V1247" s="37">
        <f>IF(OR($U1247="",$R1247="",$R1247=0),"",$U1247/$R1247)</f>
        <v/>
      </c>
      <c r="W1247" s="20">
        <f>IF($G1247="","",IF($X1247="CONTEXTE INCOMPLET","CONTEXTE INCOMPLET",IF($X1247="DOUBLON",StatutDoublon,IF($S1247="",StatutInitial,IF($R1247="",StatutStandardManquant,IF($V1247="","DONNEES INSUFFISANTES",IF($V1247&gt;=SeuilConforme,StatutConforme,IF($V1247&gt;=SeuilSurveiller,StatutSurveiller,StatutSousStandard))))))))</f>
        <v/>
      </c>
      <c r="X1247" s="33">
        <f>IF($G1247="","",IF(OR($D1247="",$E1247="",$F1247=""),"CONTEXTE INCOMPLET",IF(COUNTIFS($D347:$D1246,$D1247,$E347:$E1246,$E1247,$F347:$F1246,$F1247,$G347:$G1246,$G1247)&gt;0,"DOUBLON","VALIDE")))</f>
        <v/>
      </c>
    </row>
    <row r="1248" ht="15" customHeight="1">
      <c r="A1248" s="12">
        <f>IF(OR($B1248="",$G1248=""),"",TEXT($B1248,"YYYYMMDD")&amp;"-"&amp;SUBSTITUTE($E1248," ","")&amp;"-"&amp;$F1248&amp;"-"&amp;$G1248)</f>
        <v/>
      </c>
      <c r="B1248" s="15" t="n"/>
      <c r="C1248" s="16" t="n"/>
      <c r="D1248" s="10" t="n"/>
      <c r="E1248" s="9" t="n"/>
      <c r="F1248" s="9" t="n"/>
      <c r="G1248" s="13" t="n"/>
      <c r="H1248" s="21" t="n"/>
      <c r="I1248" s="21" t="n"/>
      <c r="J1248" s="17">
        <f>IF($G1248="","",IFERROR(INDEX(NomsEmployes,MATCH($G1248,MatriculesEmployes,0)),"MATRICULE INCONNU"))</f>
        <v/>
      </c>
      <c r="K1248" s="33">
        <f>IF(OR($D1248="",$F1248=""),"",IFERROR(IF(INDEX(RUNS!$L$6:$S$1005,MATCH($D1248,RUNS!$A$6:$A$1005,0),MATCH("ACTIVITÉ "&amp;$F1248,RUNS!$L$5:$S$5,0))="","",INDEX(RUNS!$L$6:$S$1005,MATCH($D1248,RUNS!$A$6:$A$1005,0),MATCH("ACTIVITÉ "&amp;$F1248,RUNS!$L$5:$S$5,0))),""))</f>
        <v/>
      </c>
      <c r="L1248" s="33">
        <f>IF($D1248="","",IFERROR(IF(INDEX(RUNS!$E$6:$E$1005,MATCH($D1248,RUNS!$A$6:$A$1005,0))="","",INDEX(RUNS!$E$6:$E$1005,MATCH($D1248,RUNS!$A$6:$A$1005,0))),""))</f>
        <v/>
      </c>
      <c r="M1248" s="33">
        <f>IF($D1248="","",IFERROR(IF(INDEX(RUNS!$F$6:$F$1005,MATCH($D1248,RUNS!$A$6:$A$1005,0))="","",INDEX(RUNS!$F$6:$F$1005,MATCH($D1248,RUNS!$A$6:$A$1005,0))),""))</f>
        <v/>
      </c>
      <c r="N1248" s="33">
        <f>IF($D1248="","",IFERROR(IF(INDEX(RUNS!$G$6:$G$1005,MATCH($D1248,RUNS!$A$6:$A$1005,0))="","",INDEX(RUNS!$G$6:$G$1005,MATCH($D1248,RUNS!$A$6:$A$1005,0))),""))</f>
        <v/>
      </c>
      <c r="O1248" s="33">
        <f>IF($D1248="","",IFERROR(IF(INDEX(RUNS!$H$6:$H$1005,MATCH($D1248,RUNS!$A$6:$A$1005,0))="","",INDEX(RUNS!$H$6:$H$1005,MATCH($D1248,RUNS!$A$6:$A$1005,0))),""))</f>
        <v/>
      </c>
      <c r="P1248" s="33">
        <f>IF($D1248="","",IFERROR(IF(INDEX(RUNS!$J$6:$J$1005,MATCH($D1248,RUNS!$A$6:$A$1005,0))="","",INDEX(RUNS!$J$6:$J$1005,MATCH($D1248,RUNS!$A$6:$A$1005,0))),""))</f>
        <v/>
      </c>
      <c r="Q1248" s="33">
        <f>IF($D1248="","",IFERROR(IF(INDEX(RUNS!$K$6:$K$1005,MATCH($D1248,RUNS!$A$6:$A$1005,0))="","",INDEX(RUNS!$K$6:$K$1005,MATCH($D1248,RUNS!$A$6:$A$1005,0))),""))</f>
        <v/>
      </c>
      <c r="R1248" s="34">
        <f>IF(OR($L1248="",$K1248=""),"",IFERROR(IF(INDEX(PARAMETRES!$H$43:$H$342,MATCH($L1248&amp;"|"&amp;$M1248&amp;"|"&amp;$N1248&amp;"|"&amp;$O1248&amp;"|"&amp;$P1248&amp;"|"&amp;$Q1248&amp;"|"&amp;$K1248,PARAMETRES!$J$43:$J$342,0))="","",INDEX(PARAMETRES!$H$43:$H$342,MATCH($L1248&amp;"|"&amp;$M1248&amp;"|"&amp;$N1248&amp;"|"&amp;$O1248&amp;"|"&amp;$P1248&amp;"|"&amp;$Q1248&amp;"|"&amp;$K1248,PARAMETRES!$J$43:$J$342,0))),""))</f>
        <v/>
      </c>
      <c r="S1248" s="35">
        <f>IF(OR($G1248="",$X1248&lt;&gt;"VALIDE"),"",IFERROR(LOOKUP(2,1/(($B348:$B1247=$B1248)*($G348:$G1247=$G1248)*($X348:$X1247="VALIDE")),$C348:$C1247),""))</f>
        <v/>
      </c>
      <c r="T1248" s="36">
        <f>IF(OR($C1248="",$S1248=""),"",ROUND(($C1248-$S1248+IF($C1248&lt;$S1248,1,0))*1440,0))</f>
        <v/>
      </c>
      <c r="U1248" s="22">
        <f>IF(OR($H1248="",$T1248="",$T1248&lt;=0),"",$H1248*60/$T1248)</f>
        <v/>
      </c>
      <c r="V1248" s="37">
        <f>IF(OR($U1248="",$R1248="",$R1248=0),"",$U1248/$R1248)</f>
        <v/>
      </c>
      <c r="W1248" s="20">
        <f>IF($G1248="","",IF($X1248="CONTEXTE INCOMPLET","CONTEXTE INCOMPLET",IF($X1248="DOUBLON",StatutDoublon,IF($S1248="",StatutInitial,IF($R1248="",StatutStandardManquant,IF($V1248="","DONNEES INSUFFISANTES",IF($V1248&gt;=SeuilConforme,StatutConforme,IF($V1248&gt;=SeuilSurveiller,StatutSurveiller,StatutSousStandard))))))))</f>
        <v/>
      </c>
      <c r="X1248" s="33">
        <f>IF($G1248="","",IF(OR($D1248="",$E1248="",$F1248=""),"CONTEXTE INCOMPLET",IF(COUNTIFS($D348:$D1247,$D1248,$E348:$E1247,$E1248,$F348:$F1247,$F1248,$G348:$G1247,$G1248)&gt;0,"DOUBLON","VALIDE")))</f>
        <v/>
      </c>
    </row>
    <row r="1249" ht="15" customHeight="1">
      <c r="A1249" s="12">
        <f>IF(OR($B1249="",$G1249=""),"",TEXT($B1249,"YYYYMMDD")&amp;"-"&amp;SUBSTITUTE($E1249," ","")&amp;"-"&amp;$F1249&amp;"-"&amp;$G1249)</f>
        <v/>
      </c>
      <c r="B1249" s="15" t="n"/>
      <c r="C1249" s="16" t="n"/>
      <c r="D1249" s="10" t="n"/>
      <c r="E1249" s="9" t="n"/>
      <c r="F1249" s="9" t="n"/>
      <c r="G1249" s="13" t="n"/>
      <c r="H1249" s="21" t="n"/>
      <c r="I1249" s="21" t="n"/>
      <c r="J1249" s="17">
        <f>IF($G1249="","",IFERROR(INDEX(NomsEmployes,MATCH($G1249,MatriculesEmployes,0)),"MATRICULE INCONNU"))</f>
        <v/>
      </c>
      <c r="K1249" s="33">
        <f>IF(OR($D1249="",$F1249=""),"",IFERROR(IF(INDEX(RUNS!$L$6:$S$1005,MATCH($D1249,RUNS!$A$6:$A$1005,0),MATCH("ACTIVITÉ "&amp;$F1249,RUNS!$L$5:$S$5,0))="","",INDEX(RUNS!$L$6:$S$1005,MATCH($D1249,RUNS!$A$6:$A$1005,0),MATCH("ACTIVITÉ "&amp;$F1249,RUNS!$L$5:$S$5,0))),""))</f>
        <v/>
      </c>
      <c r="L1249" s="33">
        <f>IF($D1249="","",IFERROR(IF(INDEX(RUNS!$E$6:$E$1005,MATCH($D1249,RUNS!$A$6:$A$1005,0))="","",INDEX(RUNS!$E$6:$E$1005,MATCH($D1249,RUNS!$A$6:$A$1005,0))),""))</f>
        <v/>
      </c>
      <c r="M1249" s="33">
        <f>IF($D1249="","",IFERROR(IF(INDEX(RUNS!$F$6:$F$1005,MATCH($D1249,RUNS!$A$6:$A$1005,0))="","",INDEX(RUNS!$F$6:$F$1005,MATCH($D1249,RUNS!$A$6:$A$1005,0))),""))</f>
        <v/>
      </c>
      <c r="N1249" s="33">
        <f>IF($D1249="","",IFERROR(IF(INDEX(RUNS!$G$6:$G$1005,MATCH($D1249,RUNS!$A$6:$A$1005,0))="","",INDEX(RUNS!$G$6:$G$1005,MATCH($D1249,RUNS!$A$6:$A$1005,0))),""))</f>
        <v/>
      </c>
      <c r="O1249" s="33">
        <f>IF($D1249="","",IFERROR(IF(INDEX(RUNS!$H$6:$H$1005,MATCH($D1249,RUNS!$A$6:$A$1005,0))="","",INDEX(RUNS!$H$6:$H$1005,MATCH($D1249,RUNS!$A$6:$A$1005,0))),""))</f>
        <v/>
      </c>
      <c r="P1249" s="33">
        <f>IF($D1249="","",IFERROR(IF(INDEX(RUNS!$J$6:$J$1005,MATCH($D1249,RUNS!$A$6:$A$1005,0))="","",INDEX(RUNS!$J$6:$J$1005,MATCH($D1249,RUNS!$A$6:$A$1005,0))),""))</f>
        <v/>
      </c>
      <c r="Q1249" s="33">
        <f>IF($D1249="","",IFERROR(IF(INDEX(RUNS!$K$6:$K$1005,MATCH($D1249,RUNS!$A$6:$A$1005,0))="","",INDEX(RUNS!$K$6:$K$1005,MATCH($D1249,RUNS!$A$6:$A$1005,0))),""))</f>
        <v/>
      </c>
      <c r="R1249" s="34">
        <f>IF(OR($L1249="",$K1249=""),"",IFERROR(IF(INDEX(PARAMETRES!$H$43:$H$342,MATCH($L1249&amp;"|"&amp;$M1249&amp;"|"&amp;$N1249&amp;"|"&amp;$O1249&amp;"|"&amp;$P1249&amp;"|"&amp;$Q1249&amp;"|"&amp;$K1249,PARAMETRES!$J$43:$J$342,0))="","",INDEX(PARAMETRES!$H$43:$H$342,MATCH($L1249&amp;"|"&amp;$M1249&amp;"|"&amp;$N1249&amp;"|"&amp;$O1249&amp;"|"&amp;$P1249&amp;"|"&amp;$Q1249&amp;"|"&amp;$K1249,PARAMETRES!$J$43:$J$342,0))),""))</f>
        <v/>
      </c>
      <c r="S1249" s="35">
        <f>IF(OR($G1249="",$X1249&lt;&gt;"VALIDE"),"",IFERROR(LOOKUP(2,1/(($B349:$B1248=$B1249)*($G349:$G1248=$G1249)*($X349:$X1248="VALIDE")),$C349:$C1248),""))</f>
        <v/>
      </c>
      <c r="T1249" s="36">
        <f>IF(OR($C1249="",$S1249=""),"",ROUND(($C1249-$S1249+IF($C1249&lt;$S1249,1,0))*1440,0))</f>
        <v/>
      </c>
      <c r="U1249" s="22">
        <f>IF(OR($H1249="",$T1249="",$T1249&lt;=0),"",$H1249*60/$T1249)</f>
        <v/>
      </c>
      <c r="V1249" s="37">
        <f>IF(OR($U1249="",$R1249="",$R1249=0),"",$U1249/$R1249)</f>
        <v/>
      </c>
      <c r="W1249" s="20">
        <f>IF($G1249="","",IF($X1249="CONTEXTE INCOMPLET","CONTEXTE INCOMPLET",IF($X1249="DOUBLON",StatutDoublon,IF($S1249="",StatutInitial,IF($R1249="",StatutStandardManquant,IF($V1249="","DONNEES INSUFFISANTES",IF($V1249&gt;=SeuilConforme,StatutConforme,IF($V1249&gt;=SeuilSurveiller,StatutSurveiller,StatutSousStandard))))))))</f>
        <v/>
      </c>
      <c r="X1249" s="33">
        <f>IF($G1249="","",IF(OR($D1249="",$E1249="",$F1249=""),"CONTEXTE INCOMPLET",IF(COUNTIFS($D349:$D1248,$D1249,$E349:$E1248,$E1249,$F349:$F1248,$F1249,$G349:$G1248,$G1249)&gt;0,"DOUBLON","VALIDE")))</f>
        <v/>
      </c>
    </row>
    <row r="1250" ht="15" customHeight="1">
      <c r="A1250" s="12">
        <f>IF(OR($B1250="",$G1250=""),"",TEXT($B1250,"YYYYMMDD")&amp;"-"&amp;SUBSTITUTE($E1250," ","")&amp;"-"&amp;$F1250&amp;"-"&amp;$G1250)</f>
        <v/>
      </c>
      <c r="B1250" s="15" t="n"/>
      <c r="C1250" s="16" t="n"/>
      <c r="D1250" s="10" t="n"/>
      <c r="E1250" s="9" t="n"/>
      <c r="F1250" s="9" t="n"/>
      <c r="G1250" s="13" t="n"/>
      <c r="H1250" s="21" t="n"/>
      <c r="I1250" s="21" t="n"/>
      <c r="J1250" s="17">
        <f>IF($G1250="","",IFERROR(INDEX(NomsEmployes,MATCH($G1250,MatriculesEmployes,0)),"MATRICULE INCONNU"))</f>
        <v/>
      </c>
      <c r="K1250" s="33">
        <f>IF(OR($D1250="",$F1250=""),"",IFERROR(IF(INDEX(RUNS!$L$6:$S$1005,MATCH($D1250,RUNS!$A$6:$A$1005,0),MATCH("ACTIVITÉ "&amp;$F1250,RUNS!$L$5:$S$5,0))="","",INDEX(RUNS!$L$6:$S$1005,MATCH($D1250,RUNS!$A$6:$A$1005,0),MATCH("ACTIVITÉ "&amp;$F1250,RUNS!$L$5:$S$5,0))),""))</f>
        <v/>
      </c>
      <c r="L1250" s="33">
        <f>IF($D1250="","",IFERROR(IF(INDEX(RUNS!$E$6:$E$1005,MATCH($D1250,RUNS!$A$6:$A$1005,0))="","",INDEX(RUNS!$E$6:$E$1005,MATCH($D1250,RUNS!$A$6:$A$1005,0))),""))</f>
        <v/>
      </c>
      <c r="M1250" s="33">
        <f>IF($D1250="","",IFERROR(IF(INDEX(RUNS!$F$6:$F$1005,MATCH($D1250,RUNS!$A$6:$A$1005,0))="","",INDEX(RUNS!$F$6:$F$1005,MATCH($D1250,RUNS!$A$6:$A$1005,0))),""))</f>
        <v/>
      </c>
      <c r="N1250" s="33">
        <f>IF($D1250="","",IFERROR(IF(INDEX(RUNS!$G$6:$G$1005,MATCH($D1250,RUNS!$A$6:$A$1005,0))="","",INDEX(RUNS!$G$6:$G$1005,MATCH($D1250,RUNS!$A$6:$A$1005,0))),""))</f>
        <v/>
      </c>
      <c r="O1250" s="33">
        <f>IF($D1250="","",IFERROR(IF(INDEX(RUNS!$H$6:$H$1005,MATCH($D1250,RUNS!$A$6:$A$1005,0))="","",INDEX(RUNS!$H$6:$H$1005,MATCH($D1250,RUNS!$A$6:$A$1005,0))),""))</f>
        <v/>
      </c>
      <c r="P1250" s="33">
        <f>IF($D1250="","",IFERROR(IF(INDEX(RUNS!$J$6:$J$1005,MATCH($D1250,RUNS!$A$6:$A$1005,0))="","",INDEX(RUNS!$J$6:$J$1005,MATCH($D1250,RUNS!$A$6:$A$1005,0))),""))</f>
        <v/>
      </c>
      <c r="Q1250" s="33">
        <f>IF($D1250="","",IFERROR(IF(INDEX(RUNS!$K$6:$K$1005,MATCH($D1250,RUNS!$A$6:$A$1005,0))="","",INDEX(RUNS!$K$6:$K$1005,MATCH($D1250,RUNS!$A$6:$A$1005,0))),""))</f>
        <v/>
      </c>
      <c r="R1250" s="34">
        <f>IF(OR($L1250="",$K1250=""),"",IFERROR(IF(INDEX(PARAMETRES!$H$43:$H$342,MATCH($L1250&amp;"|"&amp;$M1250&amp;"|"&amp;$N1250&amp;"|"&amp;$O1250&amp;"|"&amp;$P1250&amp;"|"&amp;$Q1250&amp;"|"&amp;$K1250,PARAMETRES!$J$43:$J$342,0))="","",INDEX(PARAMETRES!$H$43:$H$342,MATCH($L1250&amp;"|"&amp;$M1250&amp;"|"&amp;$N1250&amp;"|"&amp;$O1250&amp;"|"&amp;$P1250&amp;"|"&amp;$Q1250&amp;"|"&amp;$K1250,PARAMETRES!$J$43:$J$342,0))),""))</f>
        <v/>
      </c>
      <c r="S1250" s="35">
        <f>IF(OR($G1250="",$X1250&lt;&gt;"VALIDE"),"",IFERROR(LOOKUP(2,1/(($B350:$B1249=$B1250)*($G350:$G1249=$G1250)*($X350:$X1249="VALIDE")),$C350:$C1249),""))</f>
        <v/>
      </c>
      <c r="T1250" s="36">
        <f>IF(OR($C1250="",$S1250=""),"",ROUND(($C1250-$S1250+IF($C1250&lt;$S1250,1,0))*1440,0))</f>
        <v/>
      </c>
      <c r="U1250" s="22">
        <f>IF(OR($H1250="",$T1250="",$T1250&lt;=0),"",$H1250*60/$T1250)</f>
        <v/>
      </c>
      <c r="V1250" s="37">
        <f>IF(OR($U1250="",$R1250="",$R1250=0),"",$U1250/$R1250)</f>
        <v/>
      </c>
      <c r="W1250" s="20">
        <f>IF($G1250="","",IF($X1250="CONTEXTE INCOMPLET","CONTEXTE INCOMPLET",IF($X1250="DOUBLON",StatutDoublon,IF($S1250="",StatutInitial,IF($R1250="",StatutStandardManquant,IF($V1250="","DONNEES INSUFFISANTES",IF($V1250&gt;=SeuilConforme,StatutConforme,IF($V1250&gt;=SeuilSurveiller,StatutSurveiller,StatutSousStandard))))))))</f>
        <v/>
      </c>
      <c r="X1250" s="33">
        <f>IF($G1250="","",IF(OR($D1250="",$E1250="",$F1250=""),"CONTEXTE INCOMPLET",IF(COUNTIFS($D350:$D1249,$D1250,$E350:$E1249,$E1250,$F350:$F1249,$F1250,$G350:$G1249,$G1250)&gt;0,"DOUBLON","VALIDE")))</f>
        <v/>
      </c>
    </row>
    <row r="1251" ht="15" customHeight="1">
      <c r="A1251" s="12">
        <f>IF(OR($B1251="",$G1251=""),"",TEXT($B1251,"YYYYMMDD")&amp;"-"&amp;SUBSTITUTE($E1251," ","")&amp;"-"&amp;$F1251&amp;"-"&amp;$G1251)</f>
        <v/>
      </c>
      <c r="B1251" s="15" t="n"/>
      <c r="C1251" s="16" t="n"/>
      <c r="D1251" s="10" t="n"/>
      <c r="E1251" s="9" t="n"/>
      <c r="F1251" s="9" t="n"/>
      <c r="G1251" s="13" t="n"/>
      <c r="H1251" s="21" t="n"/>
      <c r="I1251" s="21" t="n"/>
      <c r="J1251" s="17">
        <f>IF($G1251="","",IFERROR(INDEX(NomsEmployes,MATCH($G1251,MatriculesEmployes,0)),"MATRICULE INCONNU"))</f>
        <v/>
      </c>
      <c r="K1251" s="33">
        <f>IF(OR($D1251="",$F1251=""),"",IFERROR(IF(INDEX(RUNS!$L$6:$S$1005,MATCH($D1251,RUNS!$A$6:$A$1005,0),MATCH("ACTIVITÉ "&amp;$F1251,RUNS!$L$5:$S$5,0))="","",INDEX(RUNS!$L$6:$S$1005,MATCH($D1251,RUNS!$A$6:$A$1005,0),MATCH("ACTIVITÉ "&amp;$F1251,RUNS!$L$5:$S$5,0))),""))</f>
        <v/>
      </c>
      <c r="L1251" s="33">
        <f>IF($D1251="","",IFERROR(IF(INDEX(RUNS!$E$6:$E$1005,MATCH($D1251,RUNS!$A$6:$A$1005,0))="","",INDEX(RUNS!$E$6:$E$1005,MATCH($D1251,RUNS!$A$6:$A$1005,0))),""))</f>
        <v/>
      </c>
      <c r="M1251" s="33">
        <f>IF($D1251="","",IFERROR(IF(INDEX(RUNS!$F$6:$F$1005,MATCH($D1251,RUNS!$A$6:$A$1005,0))="","",INDEX(RUNS!$F$6:$F$1005,MATCH($D1251,RUNS!$A$6:$A$1005,0))),""))</f>
        <v/>
      </c>
      <c r="N1251" s="33">
        <f>IF($D1251="","",IFERROR(IF(INDEX(RUNS!$G$6:$G$1005,MATCH($D1251,RUNS!$A$6:$A$1005,0))="","",INDEX(RUNS!$G$6:$G$1005,MATCH($D1251,RUNS!$A$6:$A$1005,0))),""))</f>
        <v/>
      </c>
      <c r="O1251" s="33">
        <f>IF($D1251="","",IFERROR(IF(INDEX(RUNS!$H$6:$H$1005,MATCH($D1251,RUNS!$A$6:$A$1005,0))="","",INDEX(RUNS!$H$6:$H$1005,MATCH($D1251,RUNS!$A$6:$A$1005,0))),""))</f>
        <v/>
      </c>
      <c r="P1251" s="33">
        <f>IF($D1251="","",IFERROR(IF(INDEX(RUNS!$J$6:$J$1005,MATCH($D1251,RUNS!$A$6:$A$1005,0))="","",INDEX(RUNS!$J$6:$J$1005,MATCH($D1251,RUNS!$A$6:$A$1005,0))),""))</f>
        <v/>
      </c>
      <c r="Q1251" s="33">
        <f>IF($D1251="","",IFERROR(IF(INDEX(RUNS!$K$6:$K$1005,MATCH($D1251,RUNS!$A$6:$A$1005,0))="","",INDEX(RUNS!$K$6:$K$1005,MATCH($D1251,RUNS!$A$6:$A$1005,0))),""))</f>
        <v/>
      </c>
      <c r="R1251" s="34">
        <f>IF(OR($L1251="",$K1251=""),"",IFERROR(IF(INDEX(PARAMETRES!$H$43:$H$342,MATCH($L1251&amp;"|"&amp;$M1251&amp;"|"&amp;$N1251&amp;"|"&amp;$O1251&amp;"|"&amp;$P1251&amp;"|"&amp;$Q1251&amp;"|"&amp;$K1251,PARAMETRES!$J$43:$J$342,0))="","",INDEX(PARAMETRES!$H$43:$H$342,MATCH($L1251&amp;"|"&amp;$M1251&amp;"|"&amp;$N1251&amp;"|"&amp;$O1251&amp;"|"&amp;$P1251&amp;"|"&amp;$Q1251&amp;"|"&amp;$K1251,PARAMETRES!$J$43:$J$342,0))),""))</f>
        <v/>
      </c>
      <c r="S1251" s="35">
        <f>IF(OR($G1251="",$X1251&lt;&gt;"VALIDE"),"",IFERROR(LOOKUP(2,1/(($B351:$B1250=$B1251)*($G351:$G1250=$G1251)*($X351:$X1250="VALIDE")),$C351:$C1250),""))</f>
        <v/>
      </c>
      <c r="T1251" s="36">
        <f>IF(OR($C1251="",$S1251=""),"",ROUND(($C1251-$S1251+IF($C1251&lt;$S1251,1,0))*1440,0))</f>
        <v/>
      </c>
      <c r="U1251" s="22">
        <f>IF(OR($H1251="",$T1251="",$T1251&lt;=0),"",$H1251*60/$T1251)</f>
        <v/>
      </c>
      <c r="V1251" s="37">
        <f>IF(OR($U1251="",$R1251="",$R1251=0),"",$U1251/$R1251)</f>
        <v/>
      </c>
      <c r="W1251" s="20">
        <f>IF($G1251="","",IF($X1251="CONTEXTE INCOMPLET","CONTEXTE INCOMPLET",IF($X1251="DOUBLON",StatutDoublon,IF($S1251="",StatutInitial,IF($R1251="",StatutStandardManquant,IF($V1251="","DONNEES INSUFFISANTES",IF($V1251&gt;=SeuilConforme,StatutConforme,IF($V1251&gt;=SeuilSurveiller,StatutSurveiller,StatutSousStandard))))))))</f>
        <v/>
      </c>
      <c r="X1251" s="33">
        <f>IF($G1251="","",IF(OR($D1251="",$E1251="",$F1251=""),"CONTEXTE INCOMPLET",IF(COUNTIFS($D351:$D1250,$D1251,$E351:$E1250,$E1251,$F351:$F1250,$F1251,$G351:$G1250,$G1251)&gt;0,"DOUBLON","VALIDE")))</f>
        <v/>
      </c>
    </row>
    <row r="1252" ht="15" customHeight="1">
      <c r="A1252" s="12">
        <f>IF(OR($B1252="",$G1252=""),"",TEXT($B1252,"YYYYMMDD")&amp;"-"&amp;SUBSTITUTE($E1252," ","")&amp;"-"&amp;$F1252&amp;"-"&amp;$G1252)</f>
        <v/>
      </c>
      <c r="B1252" s="15" t="n"/>
      <c r="C1252" s="16" t="n"/>
      <c r="D1252" s="10" t="n"/>
      <c r="E1252" s="9" t="n"/>
      <c r="F1252" s="9" t="n"/>
      <c r="G1252" s="13" t="n"/>
      <c r="H1252" s="21" t="n"/>
      <c r="I1252" s="21" t="n"/>
      <c r="J1252" s="17">
        <f>IF($G1252="","",IFERROR(INDEX(NomsEmployes,MATCH($G1252,MatriculesEmployes,0)),"MATRICULE INCONNU"))</f>
        <v/>
      </c>
      <c r="K1252" s="33">
        <f>IF(OR($D1252="",$F1252=""),"",IFERROR(IF(INDEX(RUNS!$L$6:$S$1005,MATCH($D1252,RUNS!$A$6:$A$1005,0),MATCH("ACTIVITÉ "&amp;$F1252,RUNS!$L$5:$S$5,0))="","",INDEX(RUNS!$L$6:$S$1005,MATCH($D1252,RUNS!$A$6:$A$1005,0),MATCH("ACTIVITÉ "&amp;$F1252,RUNS!$L$5:$S$5,0))),""))</f>
        <v/>
      </c>
      <c r="L1252" s="33">
        <f>IF($D1252="","",IFERROR(IF(INDEX(RUNS!$E$6:$E$1005,MATCH($D1252,RUNS!$A$6:$A$1005,0))="","",INDEX(RUNS!$E$6:$E$1005,MATCH($D1252,RUNS!$A$6:$A$1005,0))),""))</f>
        <v/>
      </c>
      <c r="M1252" s="33">
        <f>IF($D1252="","",IFERROR(IF(INDEX(RUNS!$F$6:$F$1005,MATCH($D1252,RUNS!$A$6:$A$1005,0))="","",INDEX(RUNS!$F$6:$F$1005,MATCH($D1252,RUNS!$A$6:$A$1005,0))),""))</f>
        <v/>
      </c>
      <c r="N1252" s="33">
        <f>IF($D1252="","",IFERROR(IF(INDEX(RUNS!$G$6:$G$1005,MATCH($D1252,RUNS!$A$6:$A$1005,0))="","",INDEX(RUNS!$G$6:$G$1005,MATCH($D1252,RUNS!$A$6:$A$1005,0))),""))</f>
        <v/>
      </c>
      <c r="O1252" s="33">
        <f>IF($D1252="","",IFERROR(IF(INDEX(RUNS!$H$6:$H$1005,MATCH($D1252,RUNS!$A$6:$A$1005,0))="","",INDEX(RUNS!$H$6:$H$1005,MATCH($D1252,RUNS!$A$6:$A$1005,0))),""))</f>
        <v/>
      </c>
      <c r="P1252" s="33">
        <f>IF($D1252="","",IFERROR(IF(INDEX(RUNS!$J$6:$J$1005,MATCH($D1252,RUNS!$A$6:$A$1005,0))="","",INDEX(RUNS!$J$6:$J$1005,MATCH($D1252,RUNS!$A$6:$A$1005,0))),""))</f>
        <v/>
      </c>
      <c r="Q1252" s="33">
        <f>IF($D1252="","",IFERROR(IF(INDEX(RUNS!$K$6:$K$1005,MATCH($D1252,RUNS!$A$6:$A$1005,0))="","",INDEX(RUNS!$K$6:$K$1005,MATCH($D1252,RUNS!$A$6:$A$1005,0))),""))</f>
        <v/>
      </c>
      <c r="R1252" s="34">
        <f>IF(OR($L1252="",$K1252=""),"",IFERROR(IF(INDEX(PARAMETRES!$H$43:$H$342,MATCH($L1252&amp;"|"&amp;$M1252&amp;"|"&amp;$N1252&amp;"|"&amp;$O1252&amp;"|"&amp;$P1252&amp;"|"&amp;$Q1252&amp;"|"&amp;$K1252,PARAMETRES!$J$43:$J$342,0))="","",INDEX(PARAMETRES!$H$43:$H$342,MATCH($L1252&amp;"|"&amp;$M1252&amp;"|"&amp;$N1252&amp;"|"&amp;$O1252&amp;"|"&amp;$P1252&amp;"|"&amp;$Q1252&amp;"|"&amp;$K1252,PARAMETRES!$J$43:$J$342,0))),""))</f>
        <v/>
      </c>
      <c r="S1252" s="35">
        <f>IF(OR($G1252="",$X1252&lt;&gt;"VALIDE"),"",IFERROR(LOOKUP(2,1/(($B352:$B1251=$B1252)*($G352:$G1251=$G1252)*($X352:$X1251="VALIDE")),$C352:$C1251),""))</f>
        <v/>
      </c>
      <c r="T1252" s="36">
        <f>IF(OR($C1252="",$S1252=""),"",ROUND(($C1252-$S1252+IF($C1252&lt;$S1252,1,0))*1440,0))</f>
        <v/>
      </c>
      <c r="U1252" s="22">
        <f>IF(OR($H1252="",$T1252="",$T1252&lt;=0),"",$H1252*60/$T1252)</f>
        <v/>
      </c>
      <c r="V1252" s="37">
        <f>IF(OR($U1252="",$R1252="",$R1252=0),"",$U1252/$R1252)</f>
        <v/>
      </c>
      <c r="W1252" s="20">
        <f>IF($G1252="","",IF($X1252="CONTEXTE INCOMPLET","CONTEXTE INCOMPLET",IF($X1252="DOUBLON",StatutDoublon,IF($S1252="",StatutInitial,IF($R1252="",StatutStandardManquant,IF($V1252="","DONNEES INSUFFISANTES",IF($V1252&gt;=SeuilConforme,StatutConforme,IF($V1252&gt;=SeuilSurveiller,StatutSurveiller,StatutSousStandard))))))))</f>
        <v/>
      </c>
      <c r="X1252" s="33">
        <f>IF($G1252="","",IF(OR($D1252="",$E1252="",$F1252=""),"CONTEXTE INCOMPLET",IF(COUNTIFS($D352:$D1251,$D1252,$E352:$E1251,$E1252,$F352:$F1251,$F1252,$G352:$G1251,$G1252)&gt;0,"DOUBLON","VALIDE")))</f>
        <v/>
      </c>
    </row>
    <row r="1253" ht="15" customHeight="1">
      <c r="A1253" s="12">
        <f>IF(OR($B1253="",$G1253=""),"",TEXT($B1253,"YYYYMMDD")&amp;"-"&amp;SUBSTITUTE($E1253," ","")&amp;"-"&amp;$F1253&amp;"-"&amp;$G1253)</f>
        <v/>
      </c>
      <c r="B1253" s="15" t="n"/>
      <c r="C1253" s="16" t="n"/>
      <c r="D1253" s="10" t="n"/>
      <c r="E1253" s="9" t="n"/>
      <c r="F1253" s="9" t="n"/>
      <c r="G1253" s="13" t="n"/>
      <c r="H1253" s="21" t="n"/>
      <c r="I1253" s="21" t="n"/>
      <c r="J1253" s="17">
        <f>IF($G1253="","",IFERROR(INDEX(NomsEmployes,MATCH($G1253,MatriculesEmployes,0)),"MATRICULE INCONNU"))</f>
        <v/>
      </c>
      <c r="K1253" s="33">
        <f>IF(OR($D1253="",$F1253=""),"",IFERROR(IF(INDEX(RUNS!$L$6:$S$1005,MATCH($D1253,RUNS!$A$6:$A$1005,0),MATCH("ACTIVITÉ "&amp;$F1253,RUNS!$L$5:$S$5,0))="","",INDEX(RUNS!$L$6:$S$1005,MATCH($D1253,RUNS!$A$6:$A$1005,0),MATCH("ACTIVITÉ "&amp;$F1253,RUNS!$L$5:$S$5,0))),""))</f>
        <v/>
      </c>
      <c r="L1253" s="33">
        <f>IF($D1253="","",IFERROR(IF(INDEX(RUNS!$E$6:$E$1005,MATCH($D1253,RUNS!$A$6:$A$1005,0))="","",INDEX(RUNS!$E$6:$E$1005,MATCH($D1253,RUNS!$A$6:$A$1005,0))),""))</f>
        <v/>
      </c>
      <c r="M1253" s="33">
        <f>IF($D1253="","",IFERROR(IF(INDEX(RUNS!$F$6:$F$1005,MATCH($D1253,RUNS!$A$6:$A$1005,0))="","",INDEX(RUNS!$F$6:$F$1005,MATCH($D1253,RUNS!$A$6:$A$1005,0))),""))</f>
        <v/>
      </c>
      <c r="N1253" s="33">
        <f>IF($D1253="","",IFERROR(IF(INDEX(RUNS!$G$6:$G$1005,MATCH($D1253,RUNS!$A$6:$A$1005,0))="","",INDEX(RUNS!$G$6:$G$1005,MATCH($D1253,RUNS!$A$6:$A$1005,0))),""))</f>
        <v/>
      </c>
      <c r="O1253" s="33">
        <f>IF($D1253="","",IFERROR(IF(INDEX(RUNS!$H$6:$H$1005,MATCH($D1253,RUNS!$A$6:$A$1005,0))="","",INDEX(RUNS!$H$6:$H$1005,MATCH($D1253,RUNS!$A$6:$A$1005,0))),""))</f>
        <v/>
      </c>
      <c r="P1253" s="33">
        <f>IF($D1253="","",IFERROR(IF(INDEX(RUNS!$J$6:$J$1005,MATCH($D1253,RUNS!$A$6:$A$1005,0))="","",INDEX(RUNS!$J$6:$J$1005,MATCH($D1253,RUNS!$A$6:$A$1005,0))),""))</f>
        <v/>
      </c>
      <c r="Q1253" s="33">
        <f>IF($D1253="","",IFERROR(IF(INDEX(RUNS!$K$6:$K$1005,MATCH($D1253,RUNS!$A$6:$A$1005,0))="","",INDEX(RUNS!$K$6:$K$1005,MATCH($D1253,RUNS!$A$6:$A$1005,0))),""))</f>
        <v/>
      </c>
      <c r="R1253" s="34">
        <f>IF(OR($L1253="",$K1253=""),"",IFERROR(IF(INDEX(PARAMETRES!$H$43:$H$342,MATCH($L1253&amp;"|"&amp;$M1253&amp;"|"&amp;$N1253&amp;"|"&amp;$O1253&amp;"|"&amp;$P1253&amp;"|"&amp;$Q1253&amp;"|"&amp;$K1253,PARAMETRES!$J$43:$J$342,0))="","",INDEX(PARAMETRES!$H$43:$H$342,MATCH($L1253&amp;"|"&amp;$M1253&amp;"|"&amp;$N1253&amp;"|"&amp;$O1253&amp;"|"&amp;$P1253&amp;"|"&amp;$Q1253&amp;"|"&amp;$K1253,PARAMETRES!$J$43:$J$342,0))),""))</f>
        <v/>
      </c>
      <c r="S1253" s="35">
        <f>IF(OR($G1253="",$X1253&lt;&gt;"VALIDE"),"",IFERROR(LOOKUP(2,1/(($B353:$B1252=$B1253)*($G353:$G1252=$G1253)*($X353:$X1252="VALIDE")),$C353:$C1252),""))</f>
        <v/>
      </c>
      <c r="T1253" s="36">
        <f>IF(OR($C1253="",$S1253=""),"",ROUND(($C1253-$S1253+IF($C1253&lt;$S1253,1,0))*1440,0))</f>
        <v/>
      </c>
      <c r="U1253" s="22">
        <f>IF(OR($H1253="",$T1253="",$T1253&lt;=0),"",$H1253*60/$T1253)</f>
        <v/>
      </c>
      <c r="V1253" s="37">
        <f>IF(OR($U1253="",$R1253="",$R1253=0),"",$U1253/$R1253)</f>
        <v/>
      </c>
      <c r="W1253" s="20">
        <f>IF($G1253="","",IF($X1253="CONTEXTE INCOMPLET","CONTEXTE INCOMPLET",IF($X1253="DOUBLON",StatutDoublon,IF($S1253="",StatutInitial,IF($R1253="",StatutStandardManquant,IF($V1253="","DONNEES INSUFFISANTES",IF($V1253&gt;=SeuilConforme,StatutConforme,IF($V1253&gt;=SeuilSurveiller,StatutSurveiller,StatutSousStandard))))))))</f>
        <v/>
      </c>
      <c r="X1253" s="33">
        <f>IF($G1253="","",IF(OR($D1253="",$E1253="",$F1253=""),"CONTEXTE INCOMPLET",IF(COUNTIFS($D353:$D1252,$D1253,$E353:$E1252,$E1253,$F353:$F1252,$F1253,$G353:$G1252,$G1253)&gt;0,"DOUBLON","VALIDE")))</f>
        <v/>
      </c>
    </row>
    <row r="1254" ht="15" customHeight="1">
      <c r="A1254" s="12">
        <f>IF(OR($B1254="",$G1254=""),"",TEXT($B1254,"YYYYMMDD")&amp;"-"&amp;SUBSTITUTE($E1254," ","")&amp;"-"&amp;$F1254&amp;"-"&amp;$G1254)</f>
        <v/>
      </c>
      <c r="B1254" s="15" t="n"/>
      <c r="C1254" s="16" t="n"/>
      <c r="D1254" s="10" t="n"/>
      <c r="E1254" s="9" t="n"/>
      <c r="F1254" s="9" t="n"/>
      <c r="G1254" s="13" t="n"/>
      <c r="H1254" s="21" t="n"/>
      <c r="I1254" s="21" t="n"/>
      <c r="J1254" s="17">
        <f>IF($G1254="","",IFERROR(INDEX(NomsEmployes,MATCH($G1254,MatriculesEmployes,0)),"MATRICULE INCONNU"))</f>
        <v/>
      </c>
      <c r="K1254" s="33">
        <f>IF(OR($D1254="",$F1254=""),"",IFERROR(IF(INDEX(RUNS!$L$6:$S$1005,MATCH($D1254,RUNS!$A$6:$A$1005,0),MATCH("ACTIVITÉ "&amp;$F1254,RUNS!$L$5:$S$5,0))="","",INDEX(RUNS!$L$6:$S$1005,MATCH($D1254,RUNS!$A$6:$A$1005,0),MATCH("ACTIVITÉ "&amp;$F1254,RUNS!$L$5:$S$5,0))),""))</f>
        <v/>
      </c>
      <c r="L1254" s="33">
        <f>IF($D1254="","",IFERROR(IF(INDEX(RUNS!$E$6:$E$1005,MATCH($D1254,RUNS!$A$6:$A$1005,0))="","",INDEX(RUNS!$E$6:$E$1005,MATCH($D1254,RUNS!$A$6:$A$1005,0))),""))</f>
        <v/>
      </c>
      <c r="M1254" s="33">
        <f>IF($D1254="","",IFERROR(IF(INDEX(RUNS!$F$6:$F$1005,MATCH($D1254,RUNS!$A$6:$A$1005,0))="","",INDEX(RUNS!$F$6:$F$1005,MATCH($D1254,RUNS!$A$6:$A$1005,0))),""))</f>
        <v/>
      </c>
      <c r="N1254" s="33">
        <f>IF($D1254="","",IFERROR(IF(INDEX(RUNS!$G$6:$G$1005,MATCH($D1254,RUNS!$A$6:$A$1005,0))="","",INDEX(RUNS!$G$6:$G$1005,MATCH($D1254,RUNS!$A$6:$A$1005,0))),""))</f>
        <v/>
      </c>
      <c r="O1254" s="33">
        <f>IF($D1254="","",IFERROR(IF(INDEX(RUNS!$H$6:$H$1005,MATCH($D1254,RUNS!$A$6:$A$1005,0))="","",INDEX(RUNS!$H$6:$H$1005,MATCH($D1254,RUNS!$A$6:$A$1005,0))),""))</f>
        <v/>
      </c>
      <c r="P1254" s="33">
        <f>IF($D1254="","",IFERROR(IF(INDEX(RUNS!$J$6:$J$1005,MATCH($D1254,RUNS!$A$6:$A$1005,0))="","",INDEX(RUNS!$J$6:$J$1005,MATCH($D1254,RUNS!$A$6:$A$1005,0))),""))</f>
        <v/>
      </c>
      <c r="Q1254" s="33">
        <f>IF($D1254="","",IFERROR(IF(INDEX(RUNS!$K$6:$K$1005,MATCH($D1254,RUNS!$A$6:$A$1005,0))="","",INDEX(RUNS!$K$6:$K$1005,MATCH($D1254,RUNS!$A$6:$A$1005,0))),""))</f>
        <v/>
      </c>
      <c r="R1254" s="34">
        <f>IF(OR($L1254="",$K1254=""),"",IFERROR(IF(INDEX(PARAMETRES!$H$43:$H$342,MATCH($L1254&amp;"|"&amp;$M1254&amp;"|"&amp;$N1254&amp;"|"&amp;$O1254&amp;"|"&amp;$P1254&amp;"|"&amp;$Q1254&amp;"|"&amp;$K1254,PARAMETRES!$J$43:$J$342,0))="","",INDEX(PARAMETRES!$H$43:$H$342,MATCH($L1254&amp;"|"&amp;$M1254&amp;"|"&amp;$N1254&amp;"|"&amp;$O1254&amp;"|"&amp;$P1254&amp;"|"&amp;$Q1254&amp;"|"&amp;$K1254,PARAMETRES!$J$43:$J$342,0))),""))</f>
        <v/>
      </c>
      <c r="S1254" s="35">
        <f>IF(OR($G1254="",$X1254&lt;&gt;"VALIDE"),"",IFERROR(LOOKUP(2,1/(($B354:$B1253=$B1254)*($G354:$G1253=$G1254)*($X354:$X1253="VALIDE")),$C354:$C1253),""))</f>
        <v/>
      </c>
      <c r="T1254" s="36">
        <f>IF(OR($C1254="",$S1254=""),"",ROUND(($C1254-$S1254+IF($C1254&lt;$S1254,1,0))*1440,0))</f>
        <v/>
      </c>
      <c r="U1254" s="22">
        <f>IF(OR($H1254="",$T1254="",$T1254&lt;=0),"",$H1254*60/$T1254)</f>
        <v/>
      </c>
      <c r="V1254" s="37">
        <f>IF(OR($U1254="",$R1254="",$R1254=0),"",$U1254/$R1254)</f>
        <v/>
      </c>
      <c r="W1254" s="20">
        <f>IF($G1254="","",IF($X1254="CONTEXTE INCOMPLET","CONTEXTE INCOMPLET",IF($X1254="DOUBLON",StatutDoublon,IF($S1254="",StatutInitial,IF($R1254="",StatutStandardManquant,IF($V1254="","DONNEES INSUFFISANTES",IF($V1254&gt;=SeuilConforme,StatutConforme,IF($V1254&gt;=SeuilSurveiller,StatutSurveiller,StatutSousStandard))))))))</f>
        <v/>
      </c>
      <c r="X1254" s="33">
        <f>IF($G1254="","",IF(OR($D1254="",$E1254="",$F1254=""),"CONTEXTE INCOMPLET",IF(COUNTIFS($D354:$D1253,$D1254,$E354:$E1253,$E1254,$F354:$F1253,$F1254,$G354:$G1253,$G1254)&gt;0,"DOUBLON","VALIDE")))</f>
        <v/>
      </c>
    </row>
    <row r="1255" ht="15" customHeight="1">
      <c r="A1255" s="12">
        <f>IF(OR($B1255="",$G1255=""),"",TEXT($B1255,"YYYYMMDD")&amp;"-"&amp;SUBSTITUTE($E1255," ","")&amp;"-"&amp;$F1255&amp;"-"&amp;$G1255)</f>
        <v/>
      </c>
      <c r="B1255" s="15" t="n"/>
      <c r="C1255" s="16" t="n"/>
      <c r="D1255" s="10" t="n"/>
      <c r="E1255" s="9" t="n"/>
      <c r="F1255" s="9" t="n"/>
      <c r="G1255" s="13" t="n"/>
      <c r="H1255" s="21" t="n"/>
      <c r="I1255" s="21" t="n"/>
      <c r="J1255" s="17">
        <f>IF($G1255="","",IFERROR(INDEX(NomsEmployes,MATCH($G1255,MatriculesEmployes,0)),"MATRICULE INCONNU"))</f>
        <v/>
      </c>
      <c r="K1255" s="33">
        <f>IF(OR($D1255="",$F1255=""),"",IFERROR(IF(INDEX(RUNS!$L$6:$S$1005,MATCH($D1255,RUNS!$A$6:$A$1005,0),MATCH("ACTIVITÉ "&amp;$F1255,RUNS!$L$5:$S$5,0))="","",INDEX(RUNS!$L$6:$S$1005,MATCH($D1255,RUNS!$A$6:$A$1005,0),MATCH("ACTIVITÉ "&amp;$F1255,RUNS!$L$5:$S$5,0))),""))</f>
        <v/>
      </c>
      <c r="L1255" s="33">
        <f>IF($D1255="","",IFERROR(IF(INDEX(RUNS!$E$6:$E$1005,MATCH($D1255,RUNS!$A$6:$A$1005,0))="","",INDEX(RUNS!$E$6:$E$1005,MATCH($D1255,RUNS!$A$6:$A$1005,0))),""))</f>
        <v/>
      </c>
      <c r="M1255" s="33">
        <f>IF($D1255="","",IFERROR(IF(INDEX(RUNS!$F$6:$F$1005,MATCH($D1255,RUNS!$A$6:$A$1005,0))="","",INDEX(RUNS!$F$6:$F$1005,MATCH($D1255,RUNS!$A$6:$A$1005,0))),""))</f>
        <v/>
      </c>
      <c r="N1255" s="33">
        <f>IF($D1255="","",IFERROR(IF(INDEX(RUNS!$G$6:$G$1005,MATCH($D1255,RUNS!$A$6:$A$1005,0))="","",INDEX(RUNS!$G$6:$G$1005,MATCH($D1255,RUNS!$A$6:$A$1005,0))),""))</f>
        <v/>
      </c>
      <c r="O1255" s="33">
        <f>IF($D1255="","",IFERROR(IF(INDEX(RUNS!$H$6:$H$1005,MATCH($D1255,RUNS!$A$6:$A$1005,0))="","",INDEX(RUNS!$H$6:$H$1005,MATCH($D1255,RUNS!$A$6:$A$1005,0))),""))</f>
        <v/>
      </c>
      <c r="P1255" s="33">
        <f>IF($D1255="","",IFERROR(IF(INDEX(RUNS!$J$6:$J$1005,MATCH($D1255,RUNS!$A$6:$A$1005,0))="","",INDEX(RUNS!$J$6:$J$1005,MATCH($D1255,RUNS!$A$6:$A$1005,0))),""))</f>
        <v/>
      </c>
      <c r="Q1255" s="33">
        <f>IF($D1255="","",IFERROR(IF(INDEX(RUNS!$K$6:$K$1005,MATCH($D1255,RUNS!$A$6:$A$1005,0))="","",INDEX(RUNS!$K$6:$K$1005,MATCH($D1255,RUNS!$A$6:$A$1005,0))),""))</f>
        <v/>
      </c>
      <c r="R1255" s="34">
        <f>IF(OR($L1255="",$K1255=""),"",IFERROR(IF(INDEX(PARAMETRES!$H$43:$H$342,MATCH($L1255&amp;"|"&amp;$M1255&amp;"|"&amp;$N1255&amp;"|"&amp;$O1255&amp;"|"&amp;$P1255&amp;"|"&amp;$Q1255&amp;"|"&amp;$K1255,PARAMETRES!$J$43:$J$342,0))="","",INDEX(PARAMETRES!$H$43:$H$342,MATCH($L1255&amp;"|"&amp;$M1255&amp;"|"&amp;$N1255&amp;"|"&amp;$O1255&amp;"|"&amp;$P1255&amp;"|"&amp;$Q1255&amp;"|"&amp;$K1255,PARAMETRES!$J$43:$J$342,0))),""))</f>
        <v/>
      </c>
      <c r="S1255" s="35">
        <f>IF(OR($G1255="",$X1255&lt;&gt;"VALIDE"),"",IFERROR(LOOKUP(2,1/(($B355:$B1254=$B1255)*($G355:$G1254=$G1255)*($X355:$X1254="VALIDE")),$C355:$C1254),""))</f>
        <v/>
      </c>
      <c r="T1255" s="36">
        <f>IF(OR($C1255="",$S1255=""),"",ROUND(($C1255-$S1255+IF($C1255&lt;$S1255,1,0))*1440,0))</f>
        <v/>
      </c>
      <c r="U1255" s="22">
        <f>IF(OR($H1255="",$T1255="",$T1255&lt;=0),"",$H1255*60/$T1255)</f>
        <v/>
      </c>
      <c r="V1255" s="37">
        <f>IF(OR($U1255="",$R1255="",$R1255=0),"",$U1255/$R1255)</f>
        <v/>
      </c>
      <c r="W1255" s="20">
        <f>IF($G1255="","",IF($X1255="CONTEXTE INCOMPLET","CONTEXTE INCOMPLET",IF($X1255="DOUBLON",StatutDoublon,IF($S1255="",StatutInitial,IF($R1255="",StatutStandardManquant,IF($V1255="","DONNEES INSUFFISANTES",IF($V1255&gt;=SeuilConforme,StatutConforme,IF($V1255&gt;=SeuilSurveiller,StatutSurveiller,StatutSousStandard))))))))</f>
        <v/>
      </c>
      <c r="X1255" s="33">
        <f>IF($G1255="","",IF(OR($D1255="",$E1255="",$F1255=""),"CONTEXTE INCOMPLET",IF(COUNTIFS($D355:$D1254,$D1255,$E355:$E1254,$E1255,$F355:$F1254,$F1255,$G355:$G1254,$G1255)&gt;0,"DOUBLON","VALIDE")))</f>
        <v/>
      </c>
    </row>
    <row r="1256" ht="15" customHeight="1">
      <c r="A1256" s="12">
        <f>IF(OR($B1256="",$G1256=""),"",TEXT($B1256,"YYYYMMDD")&amp;"-"&amp;SUBSTITUTE($E1256," ","")&amp;"-"&amp;$F1256&amp;"-"&amp;$G1256)</f>
        <v/>
      </c>
      <c r="B1256" s="15" t="n"/>
      <c r="C1256" s="16" t="n"/>
      <c r="D1256" s="10" t="n"/>
      <c r="E1256" s="9" t="n"/>
      <c r="F1256" s="9" t="n"/>
      <c r="G1256" s="13" t="n"/>
      <c r="H1256" s="21" t="n"/>
      <c r="I1256" s="21" t="n"/>
      <c r="J1256" s="17">
        <f>IF($G1256="","",IFERROR(INDEX(NomsEmployes,MATCH($G1256,MatriculesEmployes,0)),"MATRICULE INCONNU"))</f>
        <v/>
      </c>
      <c r="K1256" s="33">
        <f>IF(OR($D1256="",$F1256=""),"",IFERROR(IF(INDEX(RUNS!$L$6:$S$1005,MATCH($D1256,RUNS!$A$6:$A$1005,0),MATCH("ACTIVITÉ "&amp;$F1256,RUNS!$L$5:$S$5,0))="","",INDEX(RUNS!$L$6:$S$1005,MATCH($D1256,RUNS!$A$6:$A$1005,0),MATCH("ACTIVITÉ "&amp;$F1256,RUNS!$L$5:$S$5,0))),""))</f>
        <v/>
      </c>
      <c r="L1256" s="33">
        <f>IF($D1256="","",IFERROR(IF(INDEX(RUNS!$E$6:$E$1005,MATCH($D1256,RUNS!$A$6:$A$1005,0))="","",INDEX(RUNS!$E$6:$E$1005,MATCH($D1256,RUNS!$A$6:$A$1005,0))),""))</f>
        <v/>
      </c>
      <c r="M1256" s="33">
        <f>IF($D1256="","",IFERROR(IF(INDEX(RUNS!$F$6:$F$1005,MATCH($D1256,RUNS!$A$6:$A$1005,0))="","",INDEX(RUNS!$F$6:$F$1005,MATCH($D1256,RUNS!$A$6:$A$1005,0))),""))</f>
        <v/>
      </c>
      <c r="N1256" s="33">
        <f>IF($D1256="","",IFERROR(IF(INDEX(RUNS!$G$6:$G$1005,MATCH($D1256,RUNS!$A$6:$A$1005,0))="","",INDEX(RUNS!$G$6:$G$1005,MATCH($D1256,RUNS!$A$6:$A$1005,0))),""))</f>
        <v/>
      </c>
      <c r="O1256" s="33">
        <f>IF($D1256="","",IFERROR(IF(INDEX(RUNS!$H$6:$H$1005,MATCH($D1256,RUNS!$A$6:$A$1005,0))="","",INDEX(RUNS!$H$6:$H$1005,MATCH($D1256,RUNS!$A$6:$A$1005,0))),""))</f>
        <v/>
      </c>
      <c r="P1256" s="33">
        <f>IF($D1256="","",IFERROR(IF(INDEX(RUNS!$J$6:$J$1005,MATCH($D1256,RUNS!$A$6:$A$1005,0))="","",INDEX(RUNS!$J$6:$J$1005,MATCH($D1256,RUNS!$A$6:$A$1005,0))),""))</f>
        <v/>
      </c>
      <c r="Q1256" s="33">
        <f>IF($D1256="","",IFERROR(IF(INDEX(RUNS!$K$6:$K$1005,MATCH($D1256,RUNS!$A$6:$A$1005,0))="","",INDEX(RUNS!$K$6:$K$1005,MATCH($D1256,RUNS!$A$6:$A$1005,0))),""))</f>
        <v/>
      </c>
      <c r="R1256" s="34">
        <f>IF(OR($L1256="",$K1256=""),"",IFERROR(IF(INDEX(PARAMETRES!$H$43:$H$342,MATCH($L1256&amp;"|"&amp;$M1256&amp;"|"&amp;$N1256&amp;"|"&amp;$O1256&amp;"|"&amp;$P1256&amp;"|"&amp;$Q1256&amp;"|"&amp;$K1256,PARAMETRES!$J$43:$J$342,0))="","",INDEX(PARAMETRES!$H$43:$H$342,MATCH($L1256&amp;"|"&amp;$M1256&amp;"|"&amp;$N1256&amp;"|"&amp;$O1256&amp;"|"&amp;$P1256&amp;"|"&amp;$Q1256&amp;"|"&amp;$K1256,PARAMETRES!$J$43:$J$342,0))),""))</f>
        <v/>
      </c>
      <c r="S1256" s="35">
        <f>IF(OR($G1256="",$X1256&lt;&gt;"VALIDE"),"",IFERROR(LOOKUP(2,1/(($B356:$B1255=$B1256)*($G356:$G1255=$G1256)*($X356:$X1255="VALIDE")),$C356:$C1255),""))</f>
        <v/>
      </c>
      <c r="T1256" s="36">
        <f>IF(OR($C1256="",$S1256=""),"",ROUND(($C1256-$S1256+IF($C1256&lt;$S1256,1,0))*1440,0))</f>
        <v/>
      </c>
      <c r="U1256" s="22">
        <f>IF(OR($H1256="",$T1256="",$T1256&lt;=0),"",$H1256*60/$T1256)</f>
        <v/>
      </c>
      <c r="V1256" s="37">
        <f>IF(OR($U1256="",$R1256="",$R1256=0),"",$U1256/$R1256)</f>
        <v/>
      </c>
      <c r="W1256" s="20">
        <f>IF($G1256="","",IF($X1256="CONTEXTE INCOMPLET","CONTEXTE INCOMPLET",IF($X1256="DOUBLON",StatutDoublon,IF($S1256="",StatutInitial,IF($R1256="",StatutStandardManquant,IF($V1256="","DONNEES INSUFFISANTES",IF($V1256&gt;=SeuilConforme,StatutConforme,IF($V1256&gt;=SeuilSurveiller,StatutSurveiller,StatutSousStandard))))))))</f>
        <v/>
      </c>
      <c r="X1256" s="33">
        <f>IF($G1256="","",IF(OR($D1256="",$E1256="",$F1256=""),"CONTEXTE INCOMPLET",IF(COUNTIFS($D356:$D1255,$D1256,$E356:$E1255,$E1256,$F356:$F1255,$F1256,$G356:$G1255,$G1256)&gt;0,"DOUBLON","VALIDE")))</f>
        <v/>
      </c>
    </row>
    <row r="1257" ht="15" customHeight="1">
      <c r="A1257" s="12">
        <f>IF(OR($B1257="",$G1257=""),"",TEXT($B1257,"YYYYMMDD")&amp;"-"&amp;SUBSTITUTE($E1257," ","")&amp;"-"&amp;$F1257&amp;"-"&amp;$G1257)</f>
        <v/>
      </c>
      <c r="B1257" s="15" t="n"/>
      <c r="C1257" s="16" t="n"/>
      <c r="D1257" s="10" t="n"/>
      <c r="E1257" s="9" t="n"/>
      <c r="F1257" s="9" t="n"/>
      <c r="G1257" s="13" t="n"/>
      <c r="H1257" s="21" t="n"/>
      <c r="I1257" s="21" t="n"/>
      <c r="J1257" s="17">
        <f>IF($G1257="","",IFERROR(INDEX(NomsEmployes,MATCH($G1257,MatriculesEmployes,0)),"MATRICULE INCONNU"))</f>
        <v/>
      </c>
      <c r="K1257" s="33">
        <f>IF(OR($D1257="",$F1257=""),"",IFERROR(IF(INDEX(RUNS!$L$6:$S$1005,MATCH($D1257,RUNS!$A$6:$A$1005,0),MATCH("ACTIVITÉ "&amp;$F1257,RUNS!$L$5:$S$5,0))="","",INDEX(RUNS!$L$6:$S$1005,MATCH($D1257,RUNS!$A$6:$A$1005,0),MATCH("ACTIVITÉ "&amp;$F1257,RUNS!$L$5:$S$5,0))),""))</f>
        <v/>
      </c>
      <c r="L1257" s="33">
        <f>IF($D1257="","",IFERROR(IF(INDEX(RUNS!$E$6:$E$1005,MATCH($D1257,RUNS!$A$6:$A$1005,0))="","",INDEX(RUNS!$E$6:$E$1005,MATCH($D1257,RUNS!$A$6:$A$1005,0))),""))</f>
        <v/>
      </c>
      <c r="M1257" s="33">
        <f>IF($D1257="","",IFERROR(IF(INDEX(RUNS!$F$6:$F$1005,MATCH($D1257,RUNS!$A$6:$A$1005,0))="","",INDEX(RUNS!$F$6:$F$1005,MATCH($D1257,RUNS!$A$6:$A$1005,0))),""))</f>
        <v/>
      </c>
      <c r="N1257" s="33">
        <f>IF($D1257="","",IFERROR(IF(INDEX(RUNS!$G$6:$G$1005,MATCH($D1257,RUNS!$A$6:$A$1005,0))="","",INDEX(RUNS!$G$6:$G$1005,MATCH($D1257,RUNS!$A$6:$A$1005,0))),""))</f>
        <v/>
      </c>
      <c r="O1257" s="33">
        <f>IF($D1257="","",IFERROR(IF(INDEX(RUNS!$H$6:$H$1005,MATCH($D1257,RUNS!$A$6:$A$1005,0))="","",INDEX(RUNS!$H$6:$H$1005,MATCH($D1257,RUNS!$A$6:$A$1005,0))),""))</f>
        <v/>
      </c>
      <c r="P1257" s="33">
        <f>IF($D1257="","",IFERROR(IF(INDEX(RUNS!$J$6:$J$1005,MATCH($D1257,RUNS!$A$6:$A$1005,0))="","",INDEX(RUNS!$J$6:$J$1005,MATCH($D1257,RUNS!$A$6:$A$1005,0))),""))</f>
        <v/>
      </c>
      <c r="Q1257" s="33">
        <f>IF($D1257="","",IFERROR(IF(INDEX(RUNS!$K$6:$K$1005,MATCH($D1257,RUNS!$A$6:$A$1005,0))="","",INDEX(RUNS!$K$6:$K$1005,MATCH($D1257,RUNS!$A$6:$A$1005,0))),""))</f>
        <v/>
      </c>
      <c r="R1257" s="34">
        <f>IF(OR($L1257="",$K1257=""),"",IFERROR(IF(INDEX(PARAMETRES!$H$43:$H$342,MATCH($L1257&amp;"|"&amp;$M1257&amp;"|"&amp;$N1257&amp;"|"&amp;$O1257&amp;"|"&amp;$P1257&amp;"|"&amp;$Q1257&amp;"|"&amp;$K1257,PARAMETRES!$J$43:$J$342,0))="","",INDEX(PARAMETRES!$H$43:$H$342,MATCH($L1257&amp;"|"&amp;$M1257&amp;"|"&amp;$N1257&amp;"|"&amp;$O1257&amp;"|"&amp;$P1257&amp;"|"&amp;$Q1257&amp;"|"&amp;$K1257,PARAMETRES!$J$43:$J$342,0))),""))</f>
        <v/>
      </c>
      <c r="S1257" s="35">
        <f>IF(OR($G1257="",$X1257&lt;&gt;"VALIDE"),"",IFERROR(LOOKUP(2,1/(($B357:$B1256=$B1257)*($G357:$G1256=$G1257)*($X357:$X1256="VALIDE")),$C357:$C1256),""))</f>
        <v/>
      </c>
      <c r="T1257" s="36">
        <f>IF(OR($C1257="",$S1257=""),"",ROUND(($C1257-$S1257+IF($C1257&lt;$S1257,1,0))*1440,0))</f>
        <v/>
      </c>
      <c r="U1257" s="22">
        <f>IF(OR($H1257="",$T1257="",$T1257&lt;=0),"",$H1257*60/$T1257)</f>
        <v/>
      </c>
      <c r="V1257" s="37">
        <f>IF(OR($U1257="",$R1257="",$R1257=0),"",$U1257/$R1257)</f>
        <v/>
      </c>
      <c r="W1257" s="20">
        <f>IF($G1257="","",IF($X1257="CONTEXTE INCOMPLET","CONTEXTE INCOMPLET",IF($X1257="DOUBLON",StatutDoublon,IF($S1257="",StatutInitial,IF($R1257="",StatutStandardManquant,IF($V1257="","DONNEES INSUFFISANTES",IF($V1257&gt;=SeuilConforme,StatutConforme,IF($V1257&gt;=SeuilSurveiller,StatutSurveiller,StatutSousStandard))))))))</f>
        <v/>
      </c>
      <c r="X1257" s="33">
        <f>IF($G1257="","",IF(OR($D1257="",$E1257="",$F1257=""),"CONTEXTE INCOMPLET",IF(COUNTIFS($D357:$D1256,$D1257,$E357:$E1256,$E1257,$F357:$F1256,$F1257,$G357:$G1256,$G1257)&gt;0,"DOUBLON","VALIDE")))</f>
        <v/>
      </c>
    </row>
    <row r="1258" ht="15" customHeight="1">
      <c r="A1258" s="12">
        <f>IF(OR($B1258="",$G1258=""),"",TEXT($B1258,"YYYYMMDD")&amp;"-"&amp;SUBSTITUTE($E1258," ","")&amp;"-"&amp;$F1258&amp;"-"&amp;$G1258)</f>
        <v/>
      </c>
      <c r="B1258" s="15" t="n"/>
      <c r="C1258" s="16" t="n"/>
      <c r="D1258" s="10" t="n"/>
      <c r="E1258" s="9" t="n"/>
      <c r="F1258" s="9" t="n"/>
      <c r="G1258" s="13" t="n"/>
      <c r="H1258" s="21" t="n"/>
      <c r="I1258" s="21" t="n"/>
      <c r="J1258" s="17">
        <f>IF($G1258="","",IFERROR(INDEX(NomsEmployes,MATCH($G1258,MatriculesEmployes,0)),"MATRICULE INCONNU"))</f>
        <v/>
      </c>
      <c r="K1258" s="33">
        <f>IF(OR($D1258="",$F1258=""),"",IFERROR(IF(INDEX(RUNS!$L$6:$S$1005,MATCH($D1258,RUNS!$A$6:$A$1005,0),MATCH("ACTIVITÉ "&amp;$F1258,RUNS!$L$5:$S$5,0))="","",INDEX(RUNS!$L$6:$S$1005,MATCH($D1258,RUNS!$A$6:$A$1005,0),MATCH("ACTIVITÉ "&amp;$F1258,RUNS!$L$5:$S$5,0))),""))</f>
        <v/>
      </c>
      <c r="L1258" s="33">
        <f>IF($D1258="","",IFERROR(IF(INDEX(RUNS!$E$6:$E$1005,MATCH($D1258,RUNS!$A$6:$A$1005,0))="","",INDEX(RUNS!$E$6:$E$1005,MATCH($D1258,RUNS!$A$6:$A$1005,0))),""))</f>
        <v/>
      </c>
      <c r="M1258" s="33">
        <f>IF($D1258="","",IFERROR(IF(INDEX(RUNS!$F$6:$F$1005,MATCH($D1258,RUNS!$A$6:$A$1005,0))="","",INDEX(RUNS!$F$6:$F$1005,MATCH($D1258,RUNS!$A$6:$A$1005,0))),""))</f>
        <v/>
      </c>
      <c r="N1258" s="33">
        <f>IF($D1258="","",IFERROR(IF(INDEX(RUNS!$G$6:$G$1005,MATCH($D1258,RUNS!$A$6:$A$1005,0))="","",INDEX(RUNS!$G$6:$G$1005,MATCH($D1258,RUNS!$A$6:$A$1005,0))),""))</f>
        <v/>
      </c>
      <c r="O1258" s="33">
        <f>IF($D1258="","",IFERROR(IF(INDEX(RUNS!$H$6:$H$1005,MATCH($D1258,RUNS!$A$6:$A$1005,0))="","",INDEX(RUNS!$H$6:$H$1005,MATCH($D1258,RUNS!$A$6:$A$1005,0))),""))</f>
        <v/>
      </c>
      <c r="P1258" s="33">
        <f>IF($D1258="","",IFERROR(IF(INDEX(RUNS!$J$6:$J$1005,MATCH($D1258,RUNS!$A$6:$A$1005,0))="","",INDEX(RUNS!$J$6:$J$1005,MATCH($D1258,RUNS!$A$6:$A$1005,0))),""))</f>
        <v/>
      </c>
      <c r="Q1258" s="33">
        <f>IF($D1258="","",IFERROR(IF(INDEX(RUNS!$K$6:$K$1005,MATCH($D1258,RUNS!$A$6:$A$1005,0))="","",INDEX(RUNS!$K$6:$K$1005,MATCH($D1258,RUNS!$A$6:$A$1005,0))),""))</f>
        <v/>
      </c>
      <c r="R1258" s="34">
        <f>IF(OR($L1258="",$K1258=""),"",IFERROR(IF(INDEX(PARAMETRES!$H$43:$H$342,MATCH($L1258&amp;"|"&amp;$M1258&amp;"|"&amp;$N1258&amp;"|"&amp;$O1258&amp;"|"&amp;$P1258&amp;"|"&amp;$Q1258&amp;"|"&amp;$K1258,PARAMETRES!$J$43:$J$342,0))="","",INDEX(PARAMETRES!$H$43:$H$342,MATCH($L1258&amp;"|"&amp;$M1258&amp;"|"&amp;$N1258&amp;"|"&amp;$O1258&amp;"|"&amp;$P1258&amp;"|"&amp;$Q1258&amp;"|"&amp;$K1258,PARAMETRES!$J$43:$J$342,0))),""))</f>
        <v/>
      </c>
      <c r="S1258" s="35">
        <f>IF(OR($G1258="",$X1258&lt;&gt;"VALIDE"),"",IFERROR(LOOKUP(2,1/(($B358:$B1257=$B1258)*($G358:$G1257=$G1258)*($X358:$X1257="VALIDE")),$C358:$C1257),""))</f>
        <v/>
      </c>
      <c r="T1258" s="36">
        <f>IF(OR($C1258="",$S1258=""),"",ROUND(($C1258-$S1258+IF($C1258&lt;$S1258,1,0))*1440,0))</f>
        <v/>
      </c>
      <c r="U1258" s="22">
        <f>IF(OR($H1258="",$T1258="",$T1258&lt;=0),"",$H1258*60/$T1258)</f>
        <v/>
      </c>
      <c r="V1258" s="37">
        <f>IF(OR($U1258="",$R1258="",$R1258=0),"",$U1258/$R1258)</f>
        <v/>
      </c>
      <c r="W1258" s="20">
        <f>IF($G1258="","",IF($X1258="CONTEXTE INCOMPLET","CONTEXTE INCOMPLET",IF($X1258="DOUBLON",StatutDoublon,IF($S1258="",StatutInitial,IF($R1258="",StatutStandardManquant,IF($V1258="","DONNEES INSUFFISANTES",IF($V1258&gt;=SeuilConforme,StatutConforme,IF($V1258&gt;=SeuilSurveiller,StatutSurveiller,StatutSousStandard))))))))</f>
        <v/>
      </c>
      <c r="X1258" s="33">
        <f>IF($G1258="","",IF(OR($D1258="",$E1258="",$F1258=""),"CONTEXTE INCOMPLET",IF(COUNTIFS($D358:$D1257,$D1258,$E358:$E1257,$E1258,$F358:$F1257,$F1258,$G358:$G1257,$G1258)&gt;0,"DOUBLON","VALIDE")))</f>
        <v/>
      </c>
    </row>
    <row r="1259" ht="15" customHeight="1">
      <c r="A1259" s="12">
        <f>IF(OR($B1259="",$G1259=""),"",TEXT($B1259,"YYYYMMDD")&amp;"-"&amp;SUBSTITUTE($E1259," ","")&amp;"-"&amp;$F1259&amp;"-"&amp;$G1259)</f>
        <v/>
      </c>
      <c r="B1259" s="15" t="n"/>
      <c r="C1259" s="16" t="n"/>
      <c r="D1259" s="10" t="n"/>
      <c r="E1259" s="9" t="n"/>
      <c r="F1259" s="9" t="n"/>
      <c r="G1259" s="13" t="n"/>
      <c r="H1259" s="21" t="n"/>
      <c r="I1259" s="21" t="n"/>
      <c r="J1259" s="17">
        <f>IF($G1259="","",IFERROR(INDEX(NomsEmployes,MATCH($G1259,MatriculesEmployes,0)),"MATRICULE INCONNU"))</f>
        <v/>
      </c>
      <c r="K1259" s="33">
        <f>IF(OR($D1259="",$F1259=""),"",IFERROR(IF(INDEX(RUNS!$L$6:$S$1005,MATCH($D1259,RUNS!$A$6:$A$1005,0),MATCH("ACTIVITÉ "&amp;$F1259,RUNS!$L$5:$S$5,0))="","",INDEX(RUNS!$L$6:$S$1005,MATCH($D1259,RUNS!$A$6:$A$1005,0),MATCH("ACTIVITÉ "&amp;$F1259,RUNS!$L$5:$S$5,0))),""))</f>
        <v/>
      </c>
      <c r="L1259" s="33">
        <f>IF($D1259="","",IFERROR(IF(INDEX(RUNS!$E$6:$E$1005,MATCH($D1259,RUNS!$A$6:$A$1005,0))="","",INDEX(RUNS!$E$6:$E$1005,MATCH($D1259,RUNS!$A$6:$A$1005,0))),""))</f>
        <v/>
      </c>
      <c r="M1259" s="33">
        <f>IF($D1259="","",IFERROR(IF(INDEX(RUNS!$F$6:$F$1005,MATCH($D1259,RUNS!$A$6:$A$1005,0))="","",INDEX(RUNS!$F$6:$F$1005,MATCH($D1259,RUNS!$A$6:$A$1005,0))),""))</f>
        <v/>
      </c>
      <c r="N1259" s="33">
        <f>IF($D1259="","",IFERROR(IF(INDEX(RUNS!$G$6:$G$1005,MATCH($D1259,RUNS!$A$6:$A$1005,0))="","",INDEX(RUNS!$G$6:$G$1005,MATCH($D1259,RUNS!$A$6:$A$1005,0))),""))</f>
        <v/>
      </c>
      <c r="O1259" s="33">
        <f>IF($D1259="","",IFERROR(IF(INDEX(RUNS!$H$6:$H$1005,MATCH($D1259,RUNS!$A$6:$A$1005,0))="","",INDEX(RUNS!$H$6:$H$1005,MATCH($D1259,RUNS!$A$6:$A$1005,0))),""))</f>
        <v/>
      </c>
      <c r="P1259" s="33">
        <f>IF($D1259="","",IFERROR(IF(INDEX(RUNS!$J$6:$J$1005,MATCH($D1259,RUNS!$A$6:$A$1005,0))="","",INDEX(RUNS!$J$6:$J$1005,MATCH($D1259,RUNS!$A$6:$A$1005,0))),""))</f>
        <v/>
      </c>
      <c r="Q1259" s="33">
        <f>IF($D1259="","",IFERROR(IF(INDEX(RUNS!$K$6:$K$1005,MATCH($D1259,RUNS!$A$6:$A$1005,0))="","",INDEX(RUNS!$K$6:$K$1005,MATCH($D1259,RUNS!$A$6:$A$1005,0))),""))</f>
        <v/>
      </c>
      <c r="R1259" s="34">
        <f>IF(OR($L1259="",$K1259=""),"",IFERROR(IF(INDEX(PARAMETRES!$H$43:$H$342,MATCH($L1259&amp;"|"&amp;$M1259&amp;"|"&amp;$N1259&amp;"|"&amp;$O1259&amp;"|"&amp;$P1259&amp;"|"&amp;$Q1259&amp;"|"&amp;$K1259,PARAMETRES!$J$43:$J$342,0))="","",INDEX(PARAMETRES!$H$43:$H$342,MATCH($L1259&amp;"|"&amp;$M1259&amp;"|"&amp;$N1259&amp;"|"&amp;$O1259&amp;"|"&amp;$P1259&amp;"|"&amp;$Q1259&amp;"|"&amp;$K1259,PARAMETRES!$J$43:$J$342,0))),""))</f>
        <v/>
      </c>
      <c r="S1259" s="35">
        <f>IF(OR($G1259="",$X1259&lt;&gt;"VALIDE"),"",IFERROR(LOOKUP(2,1/(($B359:$B1258=$B1259)*($G359:$G1258=$G1259)*($X359:$X1258="VALIDE")),$C359:$C1258),""))</f>
        <v/>
      </c>
      <c r="T1259" s="36">
        <f>IF(OR($C1259="",$S1259=""),"",ROUND(($C1259-$S1259+IF($C1259&lt;$S1259,1,0))*1440,0))</f>
        <v/>
      </c>
      <c r="U1259" s="22">
        <f>IF(OR($H1259="",$T1259="",$T1259&lt;=0),"",$H1259*60/$T1259)</f>
        <v/>
      </c>
      <c r="V1259" s="37">
        <f>IF(OR($U1259="",$R1259="",$R1259=0),"",$U1259/$R1259)</f>
        <v/>
      </c>
      <c r="W1259" s="20">
        <f>IF($G1259="","",IF($X1259="CONTEXTE INCOMPLET","CONTEXTE INCOMPLET",IF($X1259="DOUBLON",StatutDoublon,IF($S1259="",StatutInitial,IF($R1259="",StatutStandardManquant,IF($V1259="","DONNEES INSUFFISANTES",IF($V1259&gt;=SeuilConforme,StatutConforme,IF($V1259&gt;=SeuilSurveiller,StatutSurveiller,StatutSousStandard))))))))</f>
        <v/>
      </c>
      <c r="X1259" s="33">
        <f>IF($G1259="","",IF(OR($D1259="",$E1259="",$F1259=""),"CONTEXTE INCOMPLET",IF(COUNTIFS($D359:$D1258,$D1259,$E359:$E1258,$E1259,$F359:$F1258,$F1259,$G359:$G1258,$G1259)&gt;0,"DOUBLON","VALIDE")))</f>
        <v/>
      </c>
    </row>
    <row r="1260" ht="15" customHeight="1">
      <c r="A1260" s="12">
        <f>IF(OR($B1260="",$G1260=""),"",TEXT($B1260,"YYYYMMDD")&amp;"-"&amp;SUBSTITUTE($E1260," ","")&amp;"-"&amp;$F1260&amp;"-"&amp;$G1260)</f>
        <v/>
      </c>
      <c r="B1260" s="15" t="n"/>
      <c r="C1260" s="16" t="n"/>
      <c r="D1260" s="10" t="n"/>
      <c r="E1260" s="9" t="n"/>
      <c r="F1260" s="9" t="n"/>
      <c r="G1260" s="13" t="n"/>
      <c r="H1260" s="21" t="n"/>
      <c r="I1260" s="21" t="n"/>
      <c r="J1260" s="17">
        <f>IF($G1260="","",IFERROR(INDEX(NomsEmployes,MATCH($G1260,MatriculesEmployes,0)),"MATRICULE INCONNU"))</f>
        <v/>
      </c>
      <c r="K1260" s="33">
        <f>IF(OR($D1260="",$F1260=""),"",IFERROR(IF(INDEX(RUNS!$L$6:$S$1005,MATCH($D1260,RUNS!$A$6:$A$1005,0),MATCH("ACTIVITÉ "&amp;$F1260,RUNS!$L$5:$S$5,0))="","",INDEX(RUNS!$L$6:$S$1005,MATCH($D1260,RUNS!$A$6:$A$1005,0),MATCH("ACTIVITÉ "&amp;$F1260,RUNS!$L$5:$S$5,0))),""))</f>
        <v/>
      </c>
      <c r="L1260" s="33">
        <f>IF($D1260="","",IFERROR(IF(INDEX(RUNS!$E$6:$E$1005,MATCH($D1260,RUNS!$A$6:$A$1005,0))="","",INDEX(RUNS!$E$6:$E$1005,MATCH($D1260,RUNS!$A$6:$A$1005,0))),""))</f>
        <v/>
      </c>
      <c r="M1260" s="33">
        <f>IF($D1260="","",IFERROR(IF(INDEX(RUNS!$F$6:$F$1005,MATCH($D1260,RUNS!$A$6:$A$1005,0))="","",INDEX(RUNS!$F$6:$F$1005,MATCH($D1260,RUNS!$A$6:$A$1005,0))),""))</f>
        <v/>
      </c>
      <c r="N1260" s="33">
        <f>IF($D1260="","",IFERROR(IF(INDEX(RUNS!$G$6:$G$1005,MATCH($D1260,RUNS!$A$6:$A$1005,0))="","",INDEX(RUNS!$G$6:$G$1005,MATCH($D1260,RUNS!$A$6:$A$1005,0))),""))</f>
        <v/>
      </c>
      <c r="O1260" s="33">
        <f>IF($D1260="","",IFERROR(IF(INDEX(RUNS!$H$6:$H$1005,MATCH($D1260,RUNS!$A$6:$A$1005,0))="","",INDEX(RUNS!$H$6:$H$1005,MATCH($D1260,RUNS!$A$6:$A$1005,0))),""))</f>
        <v/>
      </c>
      <c r="P1260" s="33">
        <f>IF($D1260="","",IFERROR(IF(INDEX(RUNS!$J$6:$J$1005,MATCH($D1260,RUNS!$A$6:$A$1005,0))="","",INDEX(RUNS!$J$6:$J$1005,MATCH($D1260,RUNS!$A$6:$A$1005,0))),""))</f>
        <v/>
      </c>
      <c r="Q1260" s="33">
        <f>IF($D1260="","",IFERROR(IF(INDEX(RUNS!$K$6:$K$1005,MATCH($D1260,RUNS!$A$6:$A$1005,0))="","",INDEX(RUNS!$K$6:$K$1005,MATCH($D1260,RUNS!$A$6:$A$1005,0))),""))</f>
        <v/>
      </c>
      <c r="R1260" s="34">
        <f>IF(OR($L1260="",$K1260=""),"",IFERROR(IF(INDEX(PARAMETRES!$H$43:$H$342,MATCH($L1260&amp;"|"&amp;$M1260&amp;"|"&amp;$N1260&amp;"|"&amp;$O1260&amp;"|"&amp;$P1260&amp;"|"&amp;$Q1260&amp;"|"&amp;$K1260,PARAMETRES!$J$43:$J$342,0))="","",INDEX(PARAMETRES!$H$43:$H$342,MATCH($L1260&amp;"|"&amp;$M1260&amp;"|"&amp;$N1260&amp;"|"&amp;$O1260&amp;"|"&amp;$P1260&amp;"|"&amp;$Q1260&amp;"|"&amp;$K1260,PARAMETRES!$J$43:$J$342,0))),""))</f>
        <v/>
      </c>
      <c r="S1260" s="35">
        <f>IF(OR($G1260="",$X1260&lt;&gt;"VALIDE"),"",IFERROR(LOOKUP(2,1/(($B360:$B1259=$B1260)*($G360:$G1259=$G1260)*($X360:$X1259="VALIDE")),$C360:$C1259),""))</f>
        <v/>
      </c>
      <c r="T1260" s="36">
        <f>IF(OR($C1260="",$S1260=""),"",ROUND(($C1260-$S1260+IF($C1260&lt;$S1260,1,0))*1440,0))</f>
        <v/>
      </c>
      <c r="U1260" s="22">
        <f>IF(OR($H1260="",$T1260="",$T1260&lt;=0),"",$H1260*60/$T1260)</f>
        <v/>
      </c>
      <c r="V1260" s="37">
        <f>IF(OR($U1260="",$R1260="",$R1260=0),"",$U1260/$R1260)</f>
        <v/>
      </c>
      <c r="W1260" s="20">
        <f>IF($G1260="","",IF($X1260="CONTEXTE INCOMPLET","CONTEXTE INCOMPLET",IF($X1260="DOUBLON",StatutDoublon,IF($S1260="",StatutInitial,IF($R1260="",StatutStandardManquant,IF($V1260="","DONNEES INSUFFISANTES",IF($V1260&gt;=SeuilConforme,StatutConforme,IF($V1260&gt;=SeuilSurveiller,StatutSurveiller,StatutSousStandard))))))))</f>
        <v/>
      </c>
      <c r="X1260" s="33">
        <f>IF($G1260="","",IF(OR($D1260="",$E1260="",$F1260=""),"CONTEXTE INCOMPLET",IF(COUNTIFS($D360:$D1259,$D1260,$E360:$E1259,$E1260,$F360:$F1259,$F1260,$G360:$G1259,$G1260)&gt;0,"DOUBLON","VALIDE")))</f>
        <v/>
      </c>
    </row>
    <row r="1261" ht="15" customHeight="1">
      <c r="A1261" s="12">
        <f>IF(OR($B1261="",$G1261=""),"",TEXT($B1261,"YYYYMMDD")&amp;"-"&amp;SUBSTITUTE($E1261," ","")&amp;"-"&amp;$F1261&amp;"-"&amp;$G1261)</f>
        <v/>
      </c>
      <c r="B1261" s="15" t="n"/>
      <c r="C1261" s="16" t="n"/>
      <c r="D1261" s="10" t="n"/>
      <c r="E1261" s="9" t="n"/>
      <c r="F1261" s="9" t="n"/>
      <c r="G1261" s="13" t="n"/>
      <c r="H1261" s="21" t="n"/>
      <c r="I1261" s="21" t="n"/>
      <c r="J1261" s="17">
        <f>IF($G1261="","",IFERROR(INDEX(NomsEmployes,MATCH($G1261,MatriculesEmployes,0)),"MATRICULE INCONNU"))</f>
        <v/>
      </c>
      <c r="K1261" s="33">
        <f>IF(OR($D1261="",$F1261=""),"",IFERROR(IF(INDEX(RUNS!$L$6:$S$1005,MATCH($D1261,RUNS!$A$6:$A$1005,0),MATCH("ACTIVITÉ "&amp;$F1261,RUNS!$L$5:$S$5,0))="","",INDEX(RUNS!$L$6:$S$1005,MATCH($D1261,RUNS!$A$6:$A$1005,0),MATCH("ACTIVITÉ "&amp;$F1261,RUNS!$L$5:$S$5,0))),""))</f>
        <v/>
      </c>
      <c r="L1261" s="33">
        <f>IF($D1261="","",IFERROR(IF(INDEX(RUNS!$E$6:$E$1005,MATCH($D1261,RUNS!$A$6:$A$1005,0))="","",INDEX(RUNS!$E$6:$E$1005,MATCH($D1261,RUNS!$A$6:$A$1005,0))),""))</f>
        <v/>
      </c>
      <c r="M1261" s="33">
        <f>IF($D1261="","",IFERROR(IF(INDEX(RUNS!$F$6:$F$1005,MATCH($D1261,RUNS!$A$6:$A$1005,0))="","",INDEX(RUNS!$F$6:$F$1005,MATCH($D1261,RUNS!$A$6:$A$1005,0))),""))</f>
        <v/>
      </c>
      <c r="N1261" s="33">
        <f>IF($D1261="","",IFERROR(IF(INDEX(RUNS!$G$6:$G$1005,MATCH($D1261,RUNS!$A$6:$A$1005,0))="","",INDEX(RUNS!$G$6:$G$1005,MATCH($D1261,RUNS!$A$6:$A$1005,0))),""))</f>
        <v/>
      </c>
      <c r="O1261" s="33">
        <f>IF($D1261="","",IFERROR(IF(INDEX(RUNS!$H$6:$H$1005,MATCH($D1261,RUNS!$A$6:$A$1005,0))="","",INDEX(RUNS!$H$6:$H$1005,MATCH($D1261,RUNS!$A$6:$A$1005,0))),""))</f>
        <v/>
      </c>
      <c r="P1261" s="33">
        <f>IF($D1261="","",IFERROR(IF(INDEX(RUNS!$J$6:$J$1005,MATCH($D1261,RUNS!$A$6:$A$1005,0))="","",INDEX(RUNS!$J$6:$J$1005,MATCH($D1261,RUNS!$A$6:$A$1005,0))),""))</f>
        <v/>
      </c>
      <c r="Q1261" s="33">
        <f>IF($D1261="","",IFERROR(IF(INDEX(RUNS!$K$6:$K$1005,MATCH($D1261,RUNS!$A$6:$A$1005,0))="","",INDEX(RUNS!$K$6:$K$1005,MATCH($D1261,RUNS!$A$6:$A$1005,0))),""))</f>
        <v/>
      </c>
      <c r="R1261" s="34">
        <f>IF(OR($L1261="",$K1261=""),"",IFERROR(IF(INDEX(PARAMETRES!$H$43:$H$342,MATCH($L1261&amp;"|"&amp;$M1261&amp;"|"&amp;$N1261&amp;"|"&amp;$O1261&amp;"|"&amp;$P1261&amp;"|"&amp;$Q1261&amp;"|"&amp;$K1261,PARAMETRES!$J$43:$J$342,0))="","",INDEX(PARAMETRES!$H$43:$H$342,MATCH($L1261&amp;"|"&amp;$M1261&amp;"|"&amp;$N1261&amp;"|"&amp;$O1261&amp;"|"&amp;$P1261&amp;"|"&amp;$Q1261&amp;"|"&amp;$K1261,PARAMETRES!$J$43:$J$342,0))),""))</f>
        <v/>
      </c>
      <c r="S1261" s="35">
        <f>IF(OR($G1261="",$X1261&lt;&gt;"VALIDE"),"",IFERROR(LOOKUP(2,1/(($B361:$B1260=$B1261)*($G361:$G1260=$G1261)*($X361:$X1260="VALIDE")),$C361:$C1260),""))</f>
        <v/>
      </c>
      <c r="T1261" s="36">
        <f>IF(OR($C1261="",$S1261=""),"",ROUND(($C1261-$S1261+IF($C1261&lt;$S1261,1,0))*1440,0))</f>
        <v/>
      </c>
      <c r="U1261" s="22">
        <f>IF(OR($H1261="",$T1261="",$T1261&lt;=0),"",$H1261*60/$T1261)</f>
        <v/>
      </c>
      <c r="V1261" s="37">
        <f>IF(OR($U1261="",$R1261="",$R1261=0),"",$U1261/$R1261)</f>
        <v/>
      </c>
      <c r="W1261" s="20">
        <f>IF($G1261="","",IF($X1261="CONTEXTE INCOMPLET","CONTEXTE INCOMPLET",IF($X1261="DOUBLON",StatutDoublon,IF($S1261="",StatutInitial,IF($R1261="",StatutStandardManquant,IF($V1261="","DONNEES INSUFFISANTES",IF($V1261&gt;=SeuilConforme,StatutConforme,IF($V1261&gt;=SeuilSurveiller,StatutSurveiller,StatutSousStandard))))))))</f>
        <v/>
      </c>
      <c r="X1261" s="33">
        <f>IF($G1261="","",IF(OR($D1261="",$E1261="",$F1261=""),"CONTEXTE INCOMPLET",IF(COUNTIFS($D361:$D1260,$D1261,$E361:$E1260,$E1261,$F361:$F1260,$F1261,$G361:$G1260,$G1261)&gt;0,"DOUBLON","VALIDE")))</f>
        <v/>
      </c>
    </row>
    <row r="1262" ht="15" customHeight="1">
      <c r="A1262" s="12">
        <f>IF(OR($B1262="",$G1262=""),"",TEXT($B1262,"YYYYMMDD")&amp;"-"&amp;SUBSTITUTE($E1262," ","")&amp;"-"&amp;$F1262&amp;"-"&amp;$G1262)</f>
        <v/>
      </c>
      <c r="B1262" s="15" t="n"/>
      <c r="C1262" s="16" t="n"/>
      <c r="D1262" s="10" t="n"/>
      <c r="E1262" s="9" t="n"/>
      <c r="F1262" s="9" t="n"/>
      <c r="G1262" s="13" t="n"/>
      <c r="H1262" s="21" t="n"/>
      <c r="I1262" s="21" t="n"/>
      <c r="J1262" s="17">
        <f>IF($G1262="","",IFERROR(INDEX(NomsEmployes,MATCH($G1262,MatriculesEmployes,0)),"MATRICULE INCONNU"))</f>
        <v/>
      </c>
      <c r="K1262" s="33">
        <f>IF(OR($D1262="",$F1262=""),"",IFERROR(IF(INDEX(RUNS!$L$6:$S$1005,MATCH($D1262,RUNS!$A$6:$A$1005,0),MATCH("ACTIVITÉ "&amp;$F1262,RUNS!$L$5:$S$5,0))="","",INDEX(RUNS!$L$6:$S$1005,MATCH($D1262,RUNS!$A$6:$A$1005,0),MATCH("ACTIVITÉ "&amp;$F1262,RUNS!$L$5:$S$5,0))),""))</f>
        <v/>
      </c>
      <c r="L1262" s="33">
        <f>IF($D1262="","",IFERROR(IF(INDEX(RUNS!$E$6:$E$1005,MATCH($D1262,RUNS!$A$6:$A$1005,0))="","",INDEX(RUNS!$E$6:$E$1005,MATCH($D1262,RUNS!$A$6:$A$1005,0))),""))</f>
        <v/>
      </c>
      <c r="M1262" s="33">
        <f>IF($D1262="","",IFERROR(IF(INDEX(RUNS!$F$6:$F$1005,MATCH($D1262,RUNS!$A$6:$A$1005,0))="","",INDEX(RUNS!$F$6:$F$1005,MATCH($D1262,RUNS!$A$6:$A$1005,0))),""))</f>
        <v/>
      </c>
      <c r="N1262" s="33">
        <f>IF($D1262="","",IFERROR(IF(INDEX(RUNS!$G$6:$G$1005,MATCH($D1262,RUNS!$A$6:$A$1005,0))="","",INDEX(RUNS!$G$6:$G$1005,MATCH($D1262,RUNS!$A$6:$A$1005,0))),""))</f>
        <v/>
      </c>
      <c r="O1262" s="33">
        <f>IF($D1262="","",IFERROR(IF(INDEX(RUNS!$H$6:$H$1005,MATCH($D1262,RUNS!$A$6:$A$1005,0))="","",INDEX(RUNS!$H$6:$H$1005,MATCH($D1262,RUNS!$A$6:$A$1005,0))),""))</f>
        <v/>
      </c>
      <c r="P1262" s="33">
        <f>IF($D1262="","",IFERROR(IF(INDEX(RUNS!$J$6:$J$1005,MATCH($D1262,RUNS!$A$6:$A$1005,0))="","",INDEX(RUNS!$J$6:$J$1005,MATCH($D1262,RUNS!$A$6:$A$1005,0))),""))</f>
        <v/>
      </c>
      <c r="Q1262" s="33">
        <f>IF($D1262="","",IFERROR(IF(INDEX(RUNS!$K$6:$K$1005,MATCH($D1262,RUNS!$A$6:$A$1005,0))="","",INDEX(RUNS!$K$6:$K$1005,MATCH($D1262,RUNS!$A$6:$A$1005,0))),""))</f>
        <v/>
      </c>
      <c r="R1262" s="34">
        <f>IF(OR($L1262="",$K1262=""),"",IFERROR(IF(INDEX(PARAMETRES!$H$43:$H$342,MATCH($L1262&amp;"|"&amp;$M1262&amp;"|"&amp;$N1262&amp;"|"&amp;$O1262&amp;"|"&amp;$P1262&amp;"|"&amp;$Q1262&amp;"|"&amp;$K1262,PARAMETRES!$J$43:$J$342,0))="","",INDEX(PARAMETRES!$H$43:$H$342,MATCH($L1262&amp;"|"&amp;$M1262&amp;"|"&amp;$N1262&amp;"|"&amp;$O1262&amp;"|"&amp;$P1262&amp;"|"&amp;$Q1262&amp;"|"&amp;$K1262,PARAMETRES!$J$43:$J$342,0))),""))</f>
        <v/>
      </c>
      <c r="S1262" s="35">
        <f>IF(OR($G1262="",$X1262&lt;&gt;"VALIDE"),"",IFERROR(LOOKUP(2,1/(($B362:$B1261=$B1262)*($G362:$G1261=$G1262)*($X362:$X1261="VALIDE")),$C362:$C1261),""))</f>
        <v/>
      </c>
      <c r="T1262" s="36">
        <f>IF(OR($C1262="",$S1262=""),"",ROUND(($C1262-$S1262+IF($C1262&lt;$S1262,1,0))*1440,0))</f>
        <v/>
      </c>
      <c r="U1262" s="22">
        <f>IF(OR($H1262="",$T1262="",$T1262&lt;=0),"",$H1262*60/$T1262)</f>
        <v/>
      </c>
      <c r="V1262" s="37">
        <f>IF(OR($U1262="",$R1262="",$R1262=0),"",$U1262/$R1262)</f>
        <v/>
      </c>
      <c r="W1262" s="20">
        <f>IF($G1262="","",IF($X1262="CONTEXTE INCOMPLET","CONTEXTE INCOMPLET",IF($X1262="DOUBLON",StatutDoublon,IF($S1262="",StatutInitial,IF($R1262="",StatutStandardManquant,IF($V1262="","DONNEES INSUFFISANTES",IF($V1262&gt;=SeuilConforme,StatutConforme,IF($V1262&gt;=SeuilSurveiller,StatutSurveiller,StatutSousStandard))))))))</f>
        <v/>
      </c>
      <c r="X1262" s="33">
        <f>IF($G1262="","",IF(OR($D1262="",$E1262="",$F1262=""),"CONTEXTE INCOMPLET",IF(COUNTIFS($D362:$D1261,$D1262,$E362:$E1261,$E1262,$F362:$F1261,$F1262,$G362:$G1261,$G1262)&gt;0,"DOUBLON","VALIDE")))</f>
        <v/>
      </c>
    </row>
    <row r="1263" ht="15" customHeight="1">
      <c r="A1263" s="12">
        <f>IF(OR($B1263="",$G1263=""),"",TEXT($B1263,"YYYYMMDD")&amp;"-"&amp;SUBSTITUTE($E1263," ","")&amp;"-"&amp;$F1263&amp;"-"&amp;$G1263)</f>
        <v/>
      </c>
      <c r="B1263" s="15" t="n"/>
      <c r="C1263" s="16" t="n"/>
      <c r="D1263" s="10" t="n"/>
      <c r="E1263" s="9" t="n"/>
      <c r="F1263" s="9" t="n"/>
      <c r="G1263" s="13" t="n"/>
      <c r="H1263" s="21" t="n"/>
      <c r="I1263" s="21" t="n"/>
      <c r="J1263" s="17">
        <f>IF($G1263="","",IFERROR(INDEX(NomsEmployes,MATCH($G1263,MatriculesEmployes,0)),"MATRICULE INCONNU"))</f>
        <v/>
      </c>
      <c r="K1263" s="33">
        <f>IF(OR($D1263="",$F1263=""),"",IFERROR(IF(INDEX(RUNS!$L$6:$S$1005,MATCH($D1263,RUNS!$A$6:$A$1005,0),MATCH("ACTIVITÉ "&amp;$F1263,RUNS!$L$5:$S$5,0))="","",INDEX(RUNS!$L$6:$S$1005,MATCH($D1263,RUNS!$A$6:$A$1005,0),MATCH("ACTIVITÉ "&amp;$F1263,RUNS!$L$5:$S$5,0))),""))</f>
        <v/>
      </c>
      <c r="L1263" s="33">
        <f>IF($D1263="","",IFERROR(IF(INDEX(RUNS!$E$6:$E$1005,MATCH($D1263,RUNS!$A$6:$A$1005,0))="","",INDEX(RUNS!$E$6:$E$1005,MATCH($D1263,RUNS!$A$6:$A$1005,0))),""))</f>
        <v/>
      </c>
      <c r="M1263" s="33">
        <f>IF($D1263="","",IFERROR(IF(INDEX(RUNS!$F$6:$F$1005,MATCH($D1263,RUNS!$A$6:$A$1005,0))="","",INDEX(RUNS!$F$6:$F$1005,MATCH($D1263,RUNS!$A$6:$A$1005,0))),""))</f>
        <v/>
      </c>
      <c r="N1263" s="33">
        <f>IF($D1263="","",IFERROR(IF(INDEX(RUNS!$G$6:$G$1005,MATCH($D1263,RUNS!$A$6:$A$1005,0))="","",INDEX(RUNS!$G$6:$G$1005,MATCH($D1263,RUNS!$A$6:$A$1005,0))),""))</f>
        <v/>
      </c>
      <c r="O1263" s="33">
        <f>IF($D1263="","",IFERROR(IF(INDEX(RUNS!$H$6:$H$1005,MATCH($D1263,RUNS!$A$6:$A$1005,0))="","",INDEX(RUNS!$H$6:$H$1005,MATCH($D1263,RUNS!$A$6:$A$1005,0))),""))</f>
        <v/>
      </c>
      <c r="P1263" s="33">
        <f>IF($D1263="","",IFERROR(IF(INDEX(RUNS!$J$6:$J$1005,MATCH($D1263,RUNS!$A$6:$A$1005,0))="","",INDEX(RUNS!$J$6:$J$1005,MATCH($D1263,RUNS!$A$6:$A$1005,0))),""))</f>
        <v/>
      </c>
      <c r="Q1263" s="33">
        <f>IF($D1263="","",IFERROR(IF(INDEX(RUNS!$K$6:$K$1005,MATCH($D1263,RUNS!$A$6:$A$1005,0))="","",INDEX(RUNS!$K$6:$K$1005,MATCH($D1263,RUNS!$A$6:$A$1005,0))),""))</f>
        <v/>
      </c>
      <c r="R1263" s="34">
        <f>IF(OR($L1263="",$K1263=""),"",IFERROR(IF(INDEX(PARAMETRES!$H$43:$H$342,MATCH($L1263&amp;"|"&amp;$M1263&amp;"|"&amp;$N1263&amp;"|"&amp;$O1263&amp;"|"&amp;$P1263&amp;"|"&amp;$Q1263&amp;"|"&amp;$K1263,PARAMETRES!$J$43:$J$342,0))="","",INDEX(PARAMETRES!$H$43:$H$342,MATCH($L1263&amp;"|"&amp;$M1263&amp;"|"&amp;$N1263&amp;"|"&amp;$O1263&amp;"|"&amp;$P1263&amp;"|"&amp;$Q1263&amp;"|"&amp;$K1263,PARAMETRES!$J$43:$J$342,0))),""))</f>
        <v/>
      </c>
      <c r="S1263" s="35">
        <f>IF(OR($G1263="",$X1263&lt;&gt;"VALIDE"),"",IFERROR(LOOKUP(2,1/(($B363:$B1262=$B1263)*($G363:$G1262=$G1263)*($X363:$X1262="VALIDE")),$C363:$C1262),""))</f>
        <v/>
      </c>
      <c r="T1263" s="36">
        <f>IF(OR($C1263="",$S1263=""),"",ROUND(($C1263-$S1263+IF($C1263&lt;$S1263,1,0))*1440,0))</f>
        <v/>
      </c>
      <c r="U1263" s="22">
        <f>IF(OR($H1263="",$T1263="",$T1263&lt;=0),"",$H1263*60/$T1263)</f>
        <v/>
      </c>
      <c r="V1263" s="37">
        <f>IF(OR($U1263="",$R1263="",$R1263=0),"",$U1263/$R1263)</f>
        <v/>
      </c>
      <c r="W1263" s="20">
        <f>IF($G1263="","",IF($X1263="CONTEXTE INCOMPLET","CONTEXTE INCOMPLET",IF($X1263="DOUBLON",StatutDoublon,IF($S1263="",StatutInitial,IF($R1263="",StatutStandardManquant,IF($V1263="","DONNEES INSUFFISANTES",IF($V1263&gt;=SeuilConforme,StatutConforme,IF($V1263&gt;=SeuilSurveiller,StatutSurveiller,StatutSousStandard))))))))</f>
        <v/>
      </c>
      <c r="X1263" s="33">
        <f>IF($G1263="","",IF(OR($D1263="",$E1263="",$F1263=""),"CONTEXTE INCOMPLET",IF(COUNTIFS($D363:$D1262,$D1263,$E363:$E1262,$E1263,$F363:$F1262,$F1263,$G363:$G1262,$G1263)&gt;0,"DOUBLON","VALIDE")))</f>
        <v/>
      </c>
    </row>
    <row r="1264" ht="15" customHeight="1">
      <c r="A1264" s="12">
        <f>IF(OR($B1264="",$G1264=""),"",TEXT($B1264,"YYYYMMDD")&amp;"-"&amp;SUBSTITUTE($E1264," ","")&amp;"-"&amp;$F1264&amp;"-"&amp;$G1264)</f>
        <v/>
      </c>
      <c r="B1264" s="15" t="n"/>
      <c r="C1264" s="16" t="n"/>
      <c r="D1264" s="10" t="n"/>
      <c r="E1264" s="9" t="n"/>
      <c r="F1264" s="9" t="n"/>
      <c r="G1264" s="13" t="n"/>
      <c r="H1264" s="21" t="n"/>
      <c r="I1264" s="21" t="n"/>
      <c r="J1264" s="17">
        <f>IF($G1264="","",IFERROR(INDEX(NomsEmployes,MATCH($G1264,MatriculesEmployes,0)),"MATRICULE INCONNU"))</f>
        <v/>
      </c>
      <c r="K1264" s="33">
        <f>IF(OR($D1264="",$F1264=""),"",IFERROR(IF(INDEX(RUNS!$L$6:$S$1005,MATCH($D1264,RUNS!$A$6:$A$1005,0),MATCH("ACTIVITÉ "&amp;$F1264,RUNS!$L$5:$S$5,0))="","",INDEX(RUNS!$L$6:$S$1005,MATCH($D1264,RUNS!$A$6:$A$1005,0),MATCH("ACTIVITÉ "&amp;$F1264,RUNS!$L$5:$S$5,0))),""))</f>
        <v/>
      </c>
      <c r="L1264" s="33">
        <f>IF($D1264="","",IFERROR(IF(INDEX(RUNS!$E$6:$E$1005,MATCH($D1264,RUNS!$A$6:$A$1005,0))="","",INDEX(RUNS!$E$6:$E$1005,MATCH($D1264,RUNS!$A$6:$A$1005,0))),""))</f>
        <v/>
      </c>
      <c r="M1264" s="33">
        <f>IF($D1264="","",IFERROR(IF(INDEX(RUNS!$F$6:$F$1005,MATCH($D1264,RUNS!$A$6:$A$1005,0))="","",INDEX(RUNS!$F$6:$F$1005,MATCH($D1264,RUNS!$A$6:$A$1005,0))),""))</f>
        <v/>
      </c>
      <c r="N1264" s="33">
        <f>IF($D1264="","",IFERROR(IF(INDEX(RUNS!$G$6:$G$1005,MATCH($D1264,RUNS!$A$6:$A$1005,0))="","",INDEX(RUNS!$G$6:$G$1005,MATCH($D1264,RUNS!$A$6:$A$1005,0))),""))</f>
        <v/>
      </c>
      <c r="O1264" s="33">
        <f>IF($D1264="","",IFERROR(IF(INDEX(RUNS!$H$6:$H$1005,MATCH($D1264,RUNS!$A$6:$A$1005,0))="","",INDEX(RUNS!$H$6:$H$1005,MATCH($D1264,RUNS!$A$6:$A$1005,0))),""))</f>
        <v/>
      </c>
      <c r="P1264" s="33">
        <f>IF($D1264="","",IFERROR(IF(INDEX(RUNS!$J$6:$J$1005,MATCH($D1264,RUNS!$A$6:$A$1005,0))="","",INDEX(RUNS!$J$6:$J$1005,MATCH($D1264,RUNS!$A$6:$A$1005,0))),""))</f>
        <v/>
      </c>
      <c r="Q1264" s="33">
        <f>IF($D1264="","",IFERROR(IF(INDEX(RUNS!$K$6:$K$1005,MATCH($D1264,RUNS!$A$6:$A$1005,0))="","",INDEX(RUNS!$K$6:$K$1005,MATCH($D1264,RUNS!$A$6:$A$1005,0))),""))</f>
        <v/>
      </c>
      <c r="R1264" s="34">
        <f>IF(OR($L1264="",$K1264=""),"",IFERROR(IF(INDEX(PARAMETRES!$H$43:$H$342,MATCH($L1264&amp;"|"&amp;$M1264&amp;"|"&amp;$N1264&amp;"|"&amp;$O1264&amp;"|"&amp;$P1264&amp;"|"&amp;$Q1264&amp;"|"&amp;$K1264,PARAMETRES!$J$43:$J$342,0))="","",INDEX(PARAMETRES!$H$43:$H$342,MATCH($L1264&amp;"|"&amp;$M1264&amp;"|"&amp;$N1264&amp;"|"&amp;$O1264&amp;"|"&amp;$P1264&amp;"|"&amp;$Q1264&amp;"|"&amp;$K1264,PARAMETRES!$J$43:$J$342,0))),""))</f>
        <v/>
      </c>
      <c r="S1264" s="35">
        <f>IF(OR($G1264="",$X1264&lt;&gt;"VALIDE"),"",IFERROR(LOOKUP(2,1/(($B364:$B1263=$B1264)*($G364:$G1263=$G1264)*($X364:$X1263="VALIDE")),$C364:$C1263),""))</f>
        <v/>
      </c>
      <c r="T1264" s="36">
        <f>IF(OR($C1264="",$S1264=""),"",ROUND(($C1264-$S1264+IF($C1264&lt;$S1264,1,0))*1440,0))</f>
        <v/>
      </c>
      <c r="U1264" s="22">
        <f>IF(OR($H1264="",$T1264="",$T1264&lt;=0),"",$H1264*60/$T1264)</f>
        <v/>
      </c>
      <c r="V1264" s="37">
        <f>IF(OR($U1264="",$R1264="",$R1264=0),"",$U1264/$R1264)</f>
        <v/>
      </c>
      <c r="W1264" s="20">
        <f>IF($G1264="","",IF($X1264="CONTEXTE INCOMPLET","CONTEXTE INCOMPLET",IF($X1264="DOUBLON",StatutDoublon,IF($S1264="",StatutInitial,IF($R1264="",StatutStandardManquant,IF($V1264="","DONNEES INSUFFISANTES",IF($V1264&gt;=SeuilConforme,StatutConforme,IF($V1264&gt;=SeuilSurveiller,StatutSurveiller,StatutSousStandard))))))))</f>
        <v/>
      </c>
      <c r="X1264" s="33">
        <f>IF($G1264="","",IF(OR($D1264="",$E1264="",$F1264=""),"CONTEXTE INCOMPLET",IF(COUNTIFS($D364:$D1263,$D1264,$E364:$E1263,$E1264,$F364:$F1263,$F1264,$G364:$G1263,$G1264)&gt;0,"DOUBLON","VALIDE")))</f>
        <v/>
      </c>
    </row>
    <row r="1265" ht="15" customHeight="1">
      <c r="A1265" s="12">
        <f>IF(OR($B1265="",$G1265=""),"",TEXT($B1265,"YYYYMMDD")&amp;"-"&amp;SUBSTITUTE($E1265," ","")&amp;"-"&amp;$F1265&amp;"-"&amp;$G1265)</f>
        <v/>
      </c>
      <c r="B1265" s="15" t="n"/>
      <c r="C1265" s="16" t="n"/>
      <c r="D1265" s="10" t="n"/>
      <c r="E1265" s="9" t="n"/>
      <c r="F1265" s="9" t="n"/>
      <c r="G1265" s="13" t="n"/>
      <c r="H1265" s="21" t="n"/>
      <c r="I1265" s="21" t="n"/>
      <c r="J1265" s="17">
        <f>IF($G1265="","",IFERROR(INDEX(NomsEmployes,MATCH($G1265,MatriculesEmployes,0)),"MATRICULE INCONNU"))</f>
        <v/>
      </c>
      <c r="K1265" s="33">
        <f>IF(OR($D1265="",$F1265=""),"",IFERROR(IF(INDEX(RUNS!$L$6:$S$1005,MATCH($D1265,RUNS!$A$6:$A$1005,0),MATCH("ACTIVITÉ "&amp;$F1265,RUNS!$L$5:$S$5,0))="","",INDEX(RUNS!$L$6:$S$1005,MATCH($D1265,RUNS!$A$6:$A$1005,0),MATCH("ACTIVITÉ "&amp;$F1265,RUNS!$L$5:$S$5,0))),""))</f>
        <v/>
      </c>
      <c r="L1265" s="33">
        <f>IF($D1265="","",IFERROR(IF(INDEX(RUNS!$E$6:$E$1005,MATCH($D1265,RUNS!$A$6:$A$1005,0))="","",INDEX(RUNS!$E$6:$E$1005,MATCH($D1265,RUNS!$A$6:$A$1005,0))),""))</f>
        <v/>
      </c>
      <c r="M1265" s="33">
        <f>IF($D1265="","",IFERROR(IF(INDEX(RUNS!$F$6:$F$1005,MATCH($D1265,RUNS!$A$6:$A$1005,0))="","",INDEX(RUNS!$F$6:$F$1005,MATCH($D1265,RUNS!$A$6:$A$1005,0))),""))</f>
        <v/>
      </c>
      <c r="N1265" s="33">
        <f>IF($D1265="","",IFERROR(IF(INDEX(RUNS!$G$6:$G$1005,MATCH($D1265,RUNS!$A$6:$A$1005,0))="","",INDEX(RUNS!$G$6:$G$1005,MATCH($D1265,RUNS!$A$6:$A$1005,0))),""))</f>
        <v/>
      </c>
      <c r="O1265" s="33">
        <f>IF($D1265="","",IFERROR(IF(INDEX(RUNS!$H$6:$H$1005,MATCH($D1265,RUNS!$A$6:$A$1005,0))="","",INDEX(RUNS!$H$6:$H$1005,MATCH($D1265,RUNS!$A$6:$A$1005,0))),""))</f>
        <v/>
      </c>
      <c r="P1265" s="33">
        <f>IF($D1265="","",IFERROR(IF(INDEX(RUNS!$J$6:$J$1005,MATCH($D1265,RUNS!$A$6:$A$1005,0))="","",INDEX(RUNS!$J$6:$J$1005,MATCH($D1265,RUNS!$A$6:$A$1005,0))),""))</f>
        <v/>
      </c>
      <c r="Q1265" s="33">
        <f>IF($D1265="","",IFERROR(IF(INDEX(RUNS!$K$6:$K$1005,MATCH($D1265,RUNS!$A$6:$A$1005,0))="","",INDEX(RUNS!$K$6:$K$1005,MATCH($D1265,RUNS!$A$6:$A$1005,0))),""))</f>
        <v/>
      </c>
      <c r="R1265" s="34">
        <f>IF(OR($L1265="",$K1265=""),"",IFERROR(IF(INDEX(PARAMETRES!$H$43:$H$342,MATCH($L1265&amp;"|"&amp;$M1265&amp;"|"&amp;$N1265&amp;"|"&amp;$O1265&amp;"|"&amp;$P1265&amp;"|"&amp;$Q1265&amp;"|"&amp;$K1265,PARAMETRES!$J$43:$J$342,0))="","",INDEX(PARAMETRES!$H$43:$H$342,MATCH($L1265&amp;"|"&amp;$M1265&amp;"|"&amp;$N1265&amp;"|"&amp;$O1265&amp;"|"&amp;$P1265&amp;"|"&amp;$Q1265&amp;"|"&amp;$K1265,PARAMETRES!$J$43:$J$342,0))),""))</f>
        <v/>
      </c>
      <c r="S1265" s="35">
        <f>IF(OR($G1265="",$X1265&lt;&gt;"VALIDE"),"",IFERROR(LOOKUP(2,1/(($B365:$B1264=$B1265)*($G365:$G1264=$G1265)*($X365:$X1264="VALIDE")),$C365:$C1264),""))</f>
        <v/>
      </c>
      <c r="T1265" s="36">
        <f>IF(OR($C1265="",$S1265=""),"",ROUND(($C1265-$S1265+IF($C1265&lt;$S1265,1,0))*1440,0))</f>
        <v/>
      </c>
      <c r="U1265" s="22">
        <f>IF(OR($H1265="",$T1265="",$T1265&lt;=0),"",$H1265*60/$T1265)</f>
        <v/>
      </c>
      <c r="V1265" s="37">
        <f>IF(OR($U1265="",$R1265="",$R1265=0),"",$U1265/$R1265)</f>
        <v/>
      </c>
      <c r="W1265" s="20">
        <f>IF($G1265="","",IF($X1265="CONTEXTE INCOMPLET","CONTEXTE INCOMPLET",IF($X1265="DOUBLON",StatutDoublon,IF($S1265="",StatutInitial,IF($R1265="",StatutStandardManquant,IF($V1265="","DONNEES INSUFFISANTES",IF($V1265&gt;=SeuilConforme,StatutConforme,IF($V1265&gt;=SeuilSurveiller,StatutSurveiller,StatutSousStandard))))))))</f>
        <v/>
      </c>
      <c r="X1265" s="33">
        <f>IF($G1265="","",IF(OR($D1265="",$E1265="",$F1265=""),"CONTEXTE INCOMPLET",IF(COUNTIFS($D365:$D1264,$D1265,$E365:$E1264,$E1265,$F365:$F1264,$F1265,$G365:$G1264,$G1265)&gt;0,"DOUBLON","VALIDE")))</f>
        <v/>
      </c>
    </row>
    <row r="1266" ht="15" customHeight="1">
      <c r="A1266" s="12">
        <f>IF(OR($B1266="",$G1266=""),"",TEXT($B1266,"YYYYMMDD")&amp;"-"&amp;SUBSTITUTE($E1266," ","")&amp;"-"&amp;$F1266&amp;"-"&amp;$G1266)</f>
        <v/>
      </c>
      <c r="B1266" s="15" t="n"/>
      <c r="C1266" s="16" t="n"/>
      <c r="D1266" s="10" t="n"/>
      <c r="E1266" s="9" t="n"/>
      <c r="F1266" s="9" t="n"/>
      <c r="G1266" s="13" t="n"/>
      <c r="H1266" s="21" t="n"/>
      <c r="I1266" s="21" t="n"/>
      <c r="J1266" s="17">
        <f>IF($G1266="","",IFERROR(INDEX(NomsEmployes,MATCH($G1266,MatriculesEmployes,0)),"MATRICULE INCONNU"))</f>
        <v/>
      </c>
      <c r="K1266" s="33">
        <f>IF(OR($D1266="",$F1266=""),"",IFERROR(IF(INDEX(RUNS!$L$6:$S$1005,MATCH($D1266,RUNS!$A$6:$A$1005,0),MATCH("ACTIVITÉ "&amp;$F1266,RUNS!$L$5:$S$5,0))="","",INDEX(RUNS!$L$6:$S$1005,MATCH($D1266,RUNS!$A$6:$A$1005,0),MATCH("ACTIVITÉ "&amp;$F1266,RUNS!$L$5:$S$5,0))),""))</f>
        <v/>
      </c>
      <c r="L1266" s="33">
        <f>IF($D1266="","",IFERROR(IF(INDEX(RUNS!$E$6:$E$1005,MATCH($D1266,RUNS!$A$6:$A$1005,0))="","",INDEX(RUNS!$E$6:$E$1005,MATCH($D1266,RUNS!$A$6:$A$1005,0))),""))</f>
        <v/>
      </c>
      <c r="M1266" s="33">
        <f>IF($D1266="","",IFERROR(IF(INDEX(RUNS!$F$6:$F$1005,MATCH($D1266,RUNS!$A$6:$A$1005,0))="","",INDEX(RUNS!$F$6:$F$1005,MATCH($D1266,RUNS!$A$6:$A$1005,0))),""))</f>
        <v/>
      </c>
      <c r="N1266" s="33">
        <f>IF($D1266="","",IFERROR(IF(INDEX(RUNS!$G$6:$G$1005,MATCH($D1266,RUNS!$A$6:$A$1005,0))="","",INDEX(RUNS!$G$6:$G$1005,MATCH($D1266,RUNS!$A$6:$A$1005,0))),""))</f>
        <v/>
      </c>
      <c r="O1266" s="33">
        <f>IF($D1266="","",IFERROR(IF(INDEX(RUNS!$H$6:$H$1005,MATCH($D1266,RUNS!$A$6:$A$1005,0))="","",INDEX(RUNS!$H$6:$H$1005,MATCH($D1266,RUNS!$A$6:$A$1005,0))),""))</f>
        <v/>
      </c>
      <c r="P1266" s="33">
        <f>IF($D1266="","",IFERROR(IF(INDEX(RUNS!$J$6:$J$1005,MATCH($D1266,RUNS!$A$6:$A$1005,0))="","",INDEX(RUNS!$J$6:$J$1005,MATCH($D1266,RUNS!$A$6:$A$1005,0))),""))</f>
        <v/>
      </c>
      <c r="Q1266" s="33">
        <f>IF($D1266="","",IFERROR(IF(INDEX(RUNS!$K$6:$K$1005,MATCH($D1266,RUNS!$A$6:$A$1005,0))="","",INDEX(RUNS!$K$6:$K$1005,MATCH($D1266,RUNS!$A$6:$A$1005,0))),""))</f>
        <v/>
      </c>
      <c r="R1266" s="34">
        <f>IF(OR($L1266="",$K1266=""),"",IFERROR(IF(INDEX(PARAMETRES!$H$43:$H$342,MATCH($L1266&amp;"|"&amp;$M1266&amp;"|"&amp;$N1266&amp;"|"&amp;$O1266&amp;"|"&amp;$P1266&amp;"|"&amp;$Q1266&amp;"|"&amp;$K1266,PARAMETRES!$J$43:$J$342,0))="","",INDEX(PARAMETRES!$H$43:$H$342,MATCH($L1266&amp;"|"&amp;$M1266&amp;"|"&amp;$N1266&amp;"|"&amp;$O1266&amp;"|"&amp;$P1266&amp;"|"&amp;$Q1266&amp;"|"&amp;$K1266,PARAMETRES!$J$43:$J$342,0))),""))</f>
        <v/>
      </c>
      <c r="S1266" s="35">
        <f>IF(OR($G1266="",$X1266&lt;&gt;"VALIDE"),"",IFERROR(LOOKUP(2,1/(($B366:$B1265=$B1266)*($G366:$G1265=$G1266)*($X366:$X1265="VALIDE")),$C366:$C1265),""))</f>
        <v/>
      </c>
      <c r="T1266" s="36">
        <f>IF(OR($C1266="",$S1266=""),"",ROUND(($C1266-$S1266+IF($C1266&lt;$S1266,1,0))*1440,0))</f>
        <v/>
      </c>
      <c r="U1266" s="22">
        <f>IF(OR($H1266="",$T1266="",$T1266&lt;=0),"",$H1266*60/$T1266)</f>
        <v/>
      </c>
      <c r="V1266" s="37">
        <f>IF(OR($U1266="",$R1266="",$R1266=0),"",$U1266/$R1266)</f>
        <v/>
      </c>
      <c r="W1266" s="20">
        <f>IF($G1266="","",IF($X1266="CONTEXTE INCOMPLET","CONTEXTE INCOMPLET",IF($X1266="DOUBLON",StatutDoublon,IF($S1266="",StatutInitial,IF($R1266="",StatutStandardManquant,IF($V1266="","DONNEES INSUFFISANTES",IF($V1266&gt;=SeuilConforme,StatutConforme,IF($V1266&gt;=SeuilSurveiller,StatutSurveiller,StatutSousStandard))))))))</f>
        <v/>
      </c>
      <c r="X1266" s="33">
        <f>IF($G1266="","",IF(OR($D1266="",$E1266="",$F1266=""),"CONTEXTE INCOMPLET",IF(COUNTIFS($D366:$D1265,$D1266,$E366:$E1265,$E1266,$F366:$F1265,$F1266,$G366:$G1265,$G1266)&gt;0,"DOUBLON","VALIDE")))</f>
        <v/>
      </c>
    </row>
    <row r="1267" ht="15" customHeight="1">
      <c r="A1267" s="12">
        <f>IF(OR($B1267="",$G1267=""),"",TEXT($B1267,"YYYYMMDD")&amp;"-"&amp;SUBSTITUTE($E1267," ","")&amp;"-"&amp;$F1267&amp;"-"&amp;$G1267)</f>
        <v/>
      </c>
      <c r="B1267" s="15" t="n"/>
      <c r="C1267" s="16" t="n"/>
      <c r="D1267" s="10" t="n"/>
      <c r="E1267" s="9" t="n"/>
      <c r="F1267" s="9" t="n"/>
      <c r="G1267" s="13" t="n"/>
      <c r="H1267" s="21" t="n"/>
      <c r="I1267" s="21" t="n"/>
      <c r="J1267" s="17">
        <f>IF($G1267="","",IFERROR(INDEX(NomsEmployes,MATCH($G1267,MatriculesEmployes,0)),"MATRICULE INCONNU"))</f>
        <v/>
      </c>
      <c r="K1267" s="33">
        <f>IF(OR($D1267="",$F1267=""),"",IFERROR(IF(INDEX(RUNS!$L$6:$S$1005,MATCH($D1267,RUNS!$A$6:$A$1005,0),MATCH("ACTIVITÉ "&amp;$F1267,RUNS!$L$5:$S$5,0))="","",INDEX(RUNS!$L$6:$S$1005,MATCH($D1267,RUNS!$A$6:$A$1005,0),MATCH("ACTIVITÉ "&amp;$F1267,RUNS!$L$5:$S$5,0))),""))</f>
        <v/>
      </c>
      <c r="L1267" s="33">
        <f>IF($D1267="","",IFERROR(IF(INDEX(RUNS!$E$6:$E$1005,MATCH($D1267,RUNS!$A$6:$A$1005,0))="","",INDEX(RUNS!$E$6:$E$1005,MATCH($D1267,RUNS!$A$6:$A$1005,0))),""))</f>
        <v/>
      </c>
      <c r="M1267" s="33">
        <f>IF($D1267="","",IFERROR(IF(INDEX(RUNS!$F$6:$F$1005,MATCH($D1267,RUNS!$A$6:$A$1005,0))="","",INDEX(RUNS!$F$6:$F$1005,MATCH($D1267,RUNS!$A$6:$A$1005,0))),""))</f>
        <v/>
      </c>
      <c r="N1267" s="33">
        <f>IF($D1267="","",IFERROR(IF(INDEX(RUNS!$G$6:$G$1005,MATCH($D1267,RUNS!$A$6:$A$1005,0))="","",INDEX(RUNS!$G$6:$G$1005,MATCH($D1267,RUNS!$A$6:$A$1005,0))),""))</f>
        <v/>
      </c>
      <c r="O1267" s="33">
        <f>IF($D1267="","",IFERROR(IF(INDEX(RUNS!$H$6:$H$1005,MATCH($D1267,RUNS!$A$6:$A$1005,0))="","",INDEX(RUNS!$H$6:$H$1005,MATCH($D1267,RUNS!$A$6:$A$1005,0))),""))</f>
        <v/>
      </c>
      <c r="P1267" s="33">
        <f>IF($D1267="","",IFERROR(IF(INDEX(RUNS!$J$6:$J$1005,MATCH($D1267,RUNS!$A$6:$A$1005,0))="","",INDEX(RUNS!$J$6:$J$1005,MATCH($D1267,RUNS!$A$6:$A$1005,0))),""))</f>
        <v/>
      </c>
      <c r="Q1267" s="33">
        <f>IF($D1267="","",IFERROR(IF(INDEX(RUNS!$K$6:$K$1005,MATCH($D1267,RUNS!$A$6:$A$1005,0))="","",INDEX(RUNS!$K$6:$K$1005,MATCH($D1267,RUNS!$A$6:$A$1005,0))),""))</f>
        <v/>
      </c>
      <c r="R1267" s="34">
        <f>IF(OR($L1267="",$K1267=""),"",IFERROR(IF(INDEX(PARAMETRES!$H$43:$H$342,MATCH($L1267&amp;"|"&amp;$M1267&amp;"|"&amp;$N1267&amp;"|"&amp;$O1267&amp;"|"&amp;$P1267&amp;"|"&amp;$Q1267&amp;"|"&amp;$K1267,PARAMETRES!$J$43:$J$342,0))="","",INDEX(PARAMETRES!$H$43:$H$342,MATCH($L1267&amp;"|"&amp;$M1267&amp;"|"&amp;$N1267&amp;"|"&amp;$O1267&amp;"|"&amp;$P1267&amp;"|"&amp;$Q1267&amp;"|"&amp;$K1267,PARAMETRES!$J$43:$J$342,0))),""))</f>
        <v/>
      </c>
      <c r="S1267" s="35">
        <f>IF(OR($G1267="",$X1267&lt;&gt;"VALIDE"),"",IFERROR(LOOKUP(2,1/(($B367:$B1266=$B1267)*($G367:$G1266=$G1267)*($X367:$X1266="VALIDE")),$C367:$C1266),""))</f>
        <v/>
      </c>
      <c r="T1267" s="36">
        <f>IF(OR($C1267="",$S1267=""),"",ROUND(($C1267-$S1267+IF($C1267&lt;$S1267,1,0))*1440,0))</f>
        <v/>
      </c>
      <c r="U1267" s="22">
        <f>IF(OR($H1267="",$T1267="",$T1267&lt;=0),"",$H1267*60/$T1267)</f>
        <v/>
      </c>
      <c r="V1267" s="37">
        <f>IF(OR($U1267="",$R1267="",$R1267=0),"",$U1267/$R1267)</f>
        <v/>
      </c>
      <c r="W1267" s="20">
        <f>IF($G1267="","",IF($X1267="CONTEXTE INCOMPLET","CONTEXTE INCOMPLET",IF($X1267="DOUBLON",StatutDoublon,IF($S1267="",StatutInitial,IF($R1267="",StatutStandardManquant,IF($V1267="","DONNEES INSUFFISANTES",IF($V1267&gt;=SeuilConforme,StatutConforme,IF($V1267&gt;=SeuilSurveiller,StatutSurveiller,StatutSousStandard))))))))</f>
        <v/>
      </c>
      <c r="X1267" s="33">
        <f>IF($G1267="","",IF(OR($D1267="",$E1267="",$F1267=""),"CONTEXTE INCOMPLET",IF(COUNTIFS($D367:$D1266,$D1267,$E367:$E1266,$E1267,$F367:$F1266,$F1267,$G367:$G1266,$G1267)&gt;0,"DOUBLON","VALIDE")))</f>
        <v/>
      </c>
    </row>
    <row r="1268" ht="15" customHeight="1">
      <c r="A1268" s="12">
        <f>IF(OR($B1268="",$G1268=""),"",TEXT($B1268,"YYYYMMDD")&amp;"-"&amp;SUBSTITUTE($E1268," ","")&amp;"-"&amp;$F1268&amp;"-"&amp;$G1268)</f>
        <v/>
      </c>
      <c r="B1268" s="15" t="n"/>
      <c r="C1268" s="16" t="n"/>
      <c r="D1268" s="10" t="n"/>
      <c r="E1268" s="9" t="n"/>
      <c r="F1268" s="9" t="n"/>
      <c r="G1268" s="13" t="n"/>
      <c r="H1268" s="21" t="n"/>
      <c r="I1268" s="21" t="n"/>
      <c r="J1268" s="17">
        <f>IF($G1268="","",IFERROR(INDEX(NomsEmployes,MATCH($G1268,MatriculesEmployes,0)),"MATRICULE INCONNU"))</f>
        <v/>
      </c>
      <c r="K1268" s="33">
        <f>IF(OR($D1268="",$F1268=""),"",IFERROR(IF(INDEX(RUNS!$L$6:$S$1005,MATCH($D1268,RUNS!$A$6:$A$1005,0),MATCH("ACTIVITÉ "&amp;$F1268,RUNS!$L$5:$S$5,0))="","",INDEX(RUNS!$L$6:$S$1005,MATCH($D1268,RUNS!$A$6:$A$1005,0),MATCH("ACTIVITÉ "&amp;$F1268,RUNS!$L$5:$S$5,0))),""))</f>
        <v/>
      </c>
      <c r="L1268" s="33">
        <f>IF($D1268="","",IFERROR(IF(INDEX(RUNS!$E$6:$E$1005,MATCH($D1268,RUNS!$A$6:$A$1005,0))="","",INDEX(RUNS!$E$6:$E$1005,MATCH($D1268,RUNS!$A$6:$A$1005,0))),""))</f>
        <v/>
      </c>
      <c r="M1268" s="33">
        <f>IF($D1268="","",IFERROR(IF(INDEX(RUNS!$F$6:$F$1005,MATCH($D1268,RUNS!$A$6:$A$1005,0))="","",INDEX(RUNS!$F$6:$F$1005,MATCH($D1268,RUNS!$A$6:$A$1005,0))),""))</f>
        <v/>
      </c>
      <c r="N1268" s="33">
        <f>IF($D1268="","",IFERROR(IF(INDEX(RUNS!$G$6:$G$1005,MATCH($D1268,RUNS!$A$6:$A$1005,0))="","",INDEX(RUNS!$G$6:$G$1005,MATCH($D1268,RUNS!$A$6:$A$1005,0))),""))</f>
        <v/>
      </c>
      <c r="O1268" s="33">
        <f>IF($D1268="","",IFERROR(IF(INDEX(RUNS!$H$6:$H$1005,MATCH($D1268,RUNS!$A$6:$A$1005,0))="","",INDEX(RUNS!$H$6:$H$1005,MATCH($D1268,RUNS!$A$6:$A$1005,0))),""))</f>
        <v/>
      </c>
      <c r="P1268" s="33">
        <f>IF($D1268="","",IFERROR(IF(INDEX(RUNS!$J$6:$J$1005,MATCH($D1268,RUNS!$A$6:$A$1005,0))="","",INDEX(RUNS!$J$6:$J$1005,MATCH($D1268,RUNS!$A$6:$A$1005,0))),""))</f>
        <v/>
      </c>
      <c r="Q1268" s="33">
        <f>IF($D1268="","",IFERROR(IF(INDEX(RUNS!$K$6:$K$1005,MATCH($D1268,RUNS!$A$6:$A$1005,0))="","",INDEX(RUNS!$K$6:$K$1005,MATCH($D1268,RUNS!$A$6:$A$1005,0))),""))</f>
        <v/>
      </c>
      <c r="R1268" s="34">
        <f>IF(OR($L1268="",$K1268=""),"",IFERROR(IF(INDEX(PARAMETRES!$H$43:$H$342,MATCH($L1268&amp;"|"&amp;$M1268&amp;"|"&amp;$N1268&amp;"|"&amp;$O1268&amp;"|"&amp;$P1268&amp;"|"&amp;$Q1268&amp;"|"&amp;$K1268,PARAMETRES!$J$43:$J$342,0))="","",INDEX(PARAMETRES!$H$43:$H$342,MATCH($L1268&amp;"|"&amp;$M1268&amp;"|"&amp;$N1268&amp;"|"&amp;$O1268&amp;"|"&amp;$P1268&amp;"|"&amp;$Q1268&amp;"|"&amp;$K1268,PARAMETRES!$J$43:$J$342,0))),""))</f>
        <v/>
      </c>
      <c r="S1268" s="35">
        <f>IF(OR($G1268="",$X1268&lt;&gt;"VALIDE"),"",IFERROR(LOOKUP(2,1/(($B368:$B1267=$B1268)*($G368:$G1267=$G1268)*($X368:$X1267="VALIDE")),$C368:$C1267),""))</f>
        <v/>
      </c>
      <c r="T1268" s="36">
        <f>IF(OR($C1268="",$S1268=""),"",ROUND(($C1268-$S1268+IF($C1268&lt;$S1268,1,0))*1440,0))</f>
        <v/>
      </c>
      <c r="U1268" s="22">
        <f>IF(OR($H1268="",$T1268="",$T1268&lt;=0),"",$H1268*60/$T1268)</f>
        <v/>
      </c>
      <c r="V1268" s="37">
        <f>IF(OR($U1268="",$R1268="",$R1268=0),"",$U1268/$R1268)</f>
        <v/>
      </c>
      <c r="W1268" s="20">
        <f>IF($G1268="","",IF($X1268="CONTEXTE INCOMPLET","CONTEXTE INCOMPLET",IF($X1268="DOUBLON",StatutDoublon,IF($S1268="",StatutInitial,IF($R1268="",StatutStandardManquant,IF($V1268="","DONNEES INSUFFISANTES",IF($V1268&gt;=SeuilConforme,StatutConforme,IF($V1268&gt;=SeuilSurveiller,StatutSurveiller,StatutSousStandard))))))))</f>
        <v/>
      </c>
      <c r="X1268" s="33">
        <f>IF($G1268="","",IF(OR($D1268="",$E1268="",$F1268=""),"CONTEXTE INCOMPLET",IF(COUNTIFS($D368:$D1267,$D1268,$E368:$E1267,$E1268,$F368:$F1267,$F1268,$G368:$G1267,$G1268)&gt;0,"DOUBLON","VALIDE")))</f>
        <v/>
      </c>
    </row>
    <row r="1269" ht="15" customHeight="1">
      <c r="A1269" s="12">
        <f>IF(OR($B1269="",$G1269=""),"",TEXT($B1269,"YYYYMMDD")&amp;"-"&amp;SUBSTITUTE($E1269," ","")&amp;"-"&amp;$F1269&amp;"-"&amp;$G1269)</f>
        <v/>
      </c>
      <c r="B1269" s="15" t="n"/>
      <c r="C1269" s="16" t="n"/>
      <c r="D1269" s="10" t="n"/>
      <c r="E1269" s="9" t="n"/>
      <c r="F1269" s="9" t="n"/>
      <c r="G1269" s="13" t="n"/>
      <c r="H1269" s="21" t="n"/>
      <c r="I1269" s="21" t="n"/>
      <c r="J1269" s="17">
        <f>IF($G1269="","",IFERROR(INDEX(NomsEmployes,MATCH($G1269,MatriculesEmployes,0)),"MATRICULE INCONNU"))</f>
        <v/>
      </c>
      <c r="K1269" s="33">
        <f>IF(OR($D1269="",$F1269=""),"",IFERROR(IF(INDEX(RUNS!$L$6:$S$1005,MATCH($D1269,RUNS!$A$6:$A$1005,0),MATCH("ACTIVITÉ "&amp;$F1269,RUNS!$L$5:$S$5,0))="","",INDEX(RUNS!$L$6:$S$1005,MATCH($D1269,RUNS!$A$6:$A$1005,0),MATCH("ACTIVITÉ "&amp;$F1269,RUNS!$L$5:$S$5,0))),""))</f>
        <v/>
      </c>
      <c r="L1269" s="33">
        <f>IF($D1269="","",IFERROR(IF(INDEX(RUNS!$E$6:$E$1005,MATCH($D1269,RUNS!$A$6:$A$1005,0))="","",INDEX(RUNS!$E$6:$E$1005,MATCH($D1269,RUNS!$A$6:$A$1005,0))),""))</f>
        <v/>
      </c>
      <c r="M1269" s="33">
        <f>IF($D1269="","",IFERROR(IF(INDEX(RUNS!$F$6:$F$1005,MATCH($D1269,RUNS!$A$6:$A$1005,0))="","",INDEX(RUNS!$F$6:$F$1005,MATCH($D1269,RUNS!$A$6:$A$1005,0))),""))</f>
        <v/>
      </c>
      <c r="N1269" s="33">
        <f>IF($D1269="","",IFERROR(IF(INDEX(RUNS!$G$6:$G$1005,MATCH($D1269,RUNS!$A$6:$A$1005,0))="","",INDEX(RUNS!$G$6:$G$1005,MATCH($D1269,RUNS!$A$6:$A$1005,0))),""))</f>
        <v/>
      </c>
      <c r="O1269" s="33">
        <f>IF($D1269="","",IFERROR(IF(INDEX(RUNS!$H$6:$H$1005,MATCH($D1269,RUNS!$A$6:$A$1005,0))="","",INDEX(RUNS!$H$6:$H$1005,MATCH($D1269,RUNS!$A$6:$A$1005,0))),""))</f>
        <v/>
      </c>
      <c r="P1269" s="33">
        <f>IF($D1269="","",IFERROR(IF(INDEX(RUNS!$J$6:$J$1005,MATCH($D1269,RUNS!$A$6:$A$1005,0))="","",INDEX(RUNS!$J$6:$J$1005,MATCH($D1269,RUNS!$A$6:$A$1005,0))),""))</f>
        <v/>
      </c>
      <c r="Q1269" s="33">
        <f>IF($D1269="","",IFERROR(IF(INDEX(RUNS!$K$6:$K$1005,MATCH($D1269,RUNS!$A$6:$A$1005,0))="","",INDEX(RUNS!$K$6:$K$1005,MATCH($D1269,RUNS!$A$6:$A$1005,0))),""))</f>
        <v/>
      </c>
      <c r="R1269" s="34">
        <f>IF(OR($L1269="",$K1269=""),"",IFERROR(IF(INDEX(PARAMETRES!$H$43:$H$342,MATCH($L1269&amp;"|"&amp;$M1269&amp;"|"&amp;$N1269&amp;"|"&amp;$O1269&amp;"|"&amp;$P1269&amp;"|"&amp;$Q1269&amp;"|"&amp;$K1269,PARAMETRES!$J$43:$J$342,0))="","",INDEX(PARAMETRES!$H$43:$H$342,MATCH($L1269&amp;"|"&amp;$M1269&amp;"|"&amp;$N1269&amp;"|"&amp;$O1269&amp;"|"&amp;$P1269&amp;"|"&amp;$Q1269&amp;"|"&amp;$K1269,PARAMETRES!$J$43:$J$342,0))),""))</f>
        <v/>
      </c>
      <c r="S1269" s="35">
        <f>IF(OR($G1269="",$X1269&lt;&gt;"VALIDE"),"",IFERROR(LOOKUP(2,1/(($B369:$B1268=$B1269)*($G369:$G1268=$G1269)*($X369:$X1268="VALIDE")),$C369:$C1268),""))</f>
        <v/>
      </c>
      <c r="T1269" s="36">
        <f>IF(OR($C1269="",$S1269=""),"",ROUND(($C1269-$S1269+IF($C1269&lt;$S1269,1,0))*1440,0))</f>
        <v/>
      </c>
      <c r="U1269" s="22">
        <f>IF(OR($H1269="",$T1269="",$T1269&lt;=0),"",$H1269*60/$T1269)</f>
        <v/>
      </c>
      <c r="V1269" s="37">
        <f>IF(OR($U1269="",$R1269="",$R1269=0),"",$U1269/$R1269)</f>
        <v/>
      </c>
      <c r="W1269" s="20">
        <f>IF($G1269="","",IF($X1269="CONTEXTE INCOMPLET","CONTEXTE INCOMPLET",IF($X1269="DOUBLON",StatutDoublon,IF($S1269="",StatutInitial,IF($R1269="",StatutStandardManquant,IF($V1269="","DONNEES INSUFFISANTES",IF($V1269&gt;=SeuilConforme,StatutConforme,IF($V1269&gt;=SeuilSurveiller,StatutSurveiller,StatutSousStandard))))))))</f>
        <v/>
      </c>
      <c r="X1269" s="33">
        <f>IF($G1269="","",IF(OR($D1269="",$E1269="",$F1269=""),"CONTEXTE INCOMPLET",IF(COUNTIFS($D369:$D1268,$D1269,$E369:$E1268,$E1269,$F369:$F1268,$F1269,$G369:$G1268,$G1269)&gt;0,"DOUBLON","VALIDE")))</f>
        <v/>
      </c>
    </row>
    <row r="1270" ht="15" customHeight="1">
      <c r="A1270" s="12">
        <f>IF(OR($B1270="",$G1270=""),"",TEXT($B1270,"YYYYMMDD")&amp;"-"&amp;SUBSTITUTE($E1270," ","")&amp;"-"&amp;$F1270&amp;"-"&amp;$G1270)</f>
        <v/>
      </c>
      <c r="B1270" s="15" t="n"/>
      <c r="C1270" s="16" t="n"/>
      <c r="D1270" s="10" t="n"/>
      <c r="E1270" s="9" t="n"/>
      <c r="F1270" s="9" t="n"/>
      <c r="G1270" s="13" t="n"/>
      <c r="H1270" s="21" t="n"/>
      <c r="I1270" s="21" t="n"/>
      <c r="J1270" s="17">
        <f>IF($G1270="","",IFERROR(INDEX(NomsEmployes,MATCH($G1270,MatriculesEmployes,0)),"MATRICULE INCONNU"))</f>
        <v/>
      </c>
      <c r="K1270" s="33">
        <f>IF(OR($D1270="",$F1270=""),"",IFERROR(IF(INDEX(RUNS!$L$6:$S$1005,MATCH($D1270,RUNS!$A$6:$A$1005,0),MATCH("ACTIVITÉ "&amp;$F1270,RUNS!$L$5:$S$5,0))="","",INDEX(RUNS!$L$6:$S$1005,MATCH($D1270,RUNS!$A$6:$A$1005,0),MATCH("ACTIVITÉ "&amp;$F1270,RUNS!$L$5:$S$5,0))),""))</f>
        <v/>
      </c>
      <c r="L1270" s="33">
        <f>IF($D1270="","",IFERROR(IF(INDEX(RUNS!$E$6:$E$1005,MATCH($D1270,RUNS!$A$6:$A$1005,0))="","",INDEX(RUNS!$E$6:$E$1005,MATCH($D1270,RUNS!$A$6:$A$1005,0))),""))</f>
        <v/>
      </c>
      <c r="M1270" s="33">
        <f>IF($D1270="","",IFERROR(IF(INDEX(RUNS!$F$6:$F$1005,MATCH($D1270,RUNS!$A$6:$A$1005,0))="","",INDEX(RUNS!$F$6:$F$1005,MATCH($D1270,RUNS!$A$6:$A$1005,0))),""))</f>
        <v/>
      </c>
      <c r="N1270" s="33">
        <f>IF($D1270="","",IFERROR(IF(INDEX(RUNS!$G$6:$G$1005,MATCH($D1270,RUNS!$A$6:$A$1005,0))="","",INDEX(RUNS!$G$6:$G$1005,MATCH($D1270,RUNS!$A$6:$A$1005,0))),""))</f>
        <v/>
      </c>
      <c r="O1270" s="33">
        <f>IF($D1270="","",IFERROR(IF(INDEX(RUNS!$H$6:$H$1005,MATCH($D1270,RUNS!$A$6:$A$1005,0))="","",INDEX(RUNS!$H$6:$H$1005,MATCH($D1270,RUNS!$A$6:$A$1005,0))),""))</f>
        <v/>
      </c>
      <c r="P1270" s="33">
        <f>IF($D1270="","",IFERROR(IF(INDEX(RUNS!$J$6:$J$1005,MATCH($D1270,RUNS!$A$6:$A$1005,0))="","",INDEX(RUNS!$J$6:$J$1005,MATCH($D1270,RUNS!$A$6:$A$1005,0))),""))</f>
        <v/>
      </c>
      <c r="Q1270" s="33">
        <f>IF($D1270="","",IFERROR(IF(INDEX(RUNS!$K$6:$K$1005,MATCH($D1270,RUNS!$A$6:$A$1005,0))="","",INDEX(RUNS!$K$6:$K$1005,MATCH($D1270,RUNS!$A$6:$A$1005,0))),""))</f>
        <v/>
      </c>
      <c r="R1270" s="34">
        <f>IF(OR($L1270="",$K1270=""),"",IFERROR(IF(INDEX(PARAMETRES!$H$43:$H$342,MATCH($L1270&amp;"|"&amp;$M1270&amp;"|"&amp;$N1270&amp;"|"&amp;$O1270&amp;"|"&amp;$P1270&amp;"|"&amp;$Q1270&amp;"|"&amp;$K1270,PARAMETRES!$J$43:$J$342,0))="","",INDEX(PARAMETRES!$H$43:$H$342,MATCH($L1270&amp;"|"&amp;$M1270&amp;"|"&amp;$N1270&amp;"|"&amp;$O1270&amp;"|"&amp;$P1270&amp;"|"&amp;$Q1270&amp;"|"&amp;$K1270,PARAMETRES!$J$43:$J$342,0))),""))</f>
        <v/>
      </c>
      <c r="S1270" s="35">
        <f>IF(OR($G1270="",$X1270&lt;&gt;"VALIDE"),"",IFERROR(LOOKUP(2,1/(($B370:$B1269=$B1270)*($G370:$G1269=$G1270)*($X370:$X1269="VALIDE")),$C370:$C1269),""))</f>
        <v/>
      </c>
      <c r="T1270" s="36">
        <f>IF(OR($C1270="",$S1270=""),"",ROUND(($C1270-$S1270+IF($C1270&lt;$S1270,1,0))*1440,0))</f>
        <v/>
      </c>
      <c r="U1270" s="22">
        <f>IF(OR($H1270="",$T1270="",$T1270&lt;=0),"",$H1270*60/$T1270)</f>
        <v/>
      </c>
      <c r="V1270" s="37">
        <f>IF(OR($U1270="",$R1270="",$R1270=0),"",$U1270/$R1270)</f>
        <v/>
      </c>
      <c r="W1270" s="20">
        <f>IF($G1270="","",IF($X1270="CONTEXTE INCOMPLET","CONTEXTE INCOMPLET",IF($X1270="DOUBLON",StatutDoublon,IF($S1270="",StatutInitial,IF($R1270="",StatutStandardManquant,IF($V1270="","DONNEES INSUFFISANTES",IF($V1270&gt;=SeuilConforme,StatutConforme,IF($V1270&gt;=SeuilSurveiller,StatutSurveiller,StatutSousStandard))))))))</f>
        <v/>
      </c>
      <c r="X1270" s="33">
        <f>IF($G1270="","",IF(OR($D1270="",$E1270="",$F1270=""),"CONTEXTE INCOMPLET",IF(COUNTIFS($D370:$D1269,$D1270,$E370:$E1269,$E1270,$F370:$F1269,$F1270,$G370:$G1269,$G1270)&gt;0,"DOUBLON","VALIDE")))</f>
        <v/>
      </c>
    </row>
    <row r="1271" ht="15" customHeight="1">
      <c r="A1271" s="12">
        <f>IF(OR($B1271="",$G1271=""),"",TEXT($B1271,"YYYYMMDD")&amp;"-"&amp;SUBSTITUTE($E1271," ","")&amp;"-"&amp;$F1271&amp;"-"&amp;$G1271)</f>
        <v/>
      </c>
      <c r="B1271" s="15" t="n"/>
      <c r="C1271" s="16" t="n"/>
      <c r="D1271" s="10" t="n"/>
      <c r="E1271" s="9" t="n"/>
      <c r="F1271" s="9" t="n"/>
      <c r="G1271" s="13" t="n"/>
      <c r="H1271" s="21" t="n"/>
      <c r="I1271" s="21" t="n"/>
      <c r="J1271" s="17">
        <f>IF($G1271="","",IFERROR(INDEX(NomsEmployes,MATCH($G1271,MatriculesEmployes,0)),"MATRICULE INCONNU"))</f>
        <v/>
      </c>
      <c r="K1271" s="33">
        <f>IF(OR($D1271="",$F1271=""),"",IFERROR(IF(INDEX(RUNS!$L$6:$S$1005,MATCH($D1271,RUNS!$A$6:$A$1005,0),MATCH("ACTIVITÉ "&amp;$F1271,RUNS!$L$5:$S$5,0))="","",INDEX(RUNS!$L$6:$S$1005,MATCH($D1271,RUNS!$A$6:$A$1005,0),MATCH("ACTIVITÉ "&amp;$F1271,RUNS!$L$5:$S$5,0))),""))</f>
        <v/>
      </c>
      <c r="L1271" s="33">
        <f>IF($D1271="","",IFERROR(IF(INDEX(RUNS!$E$6:$E$1005,MATCH($D1271,RUNS!$A$6:$A$1005,0))="","",INDEX(RUNS!$E$6:$E$1005,MATCH($D1271,RUNS!$A$6:$A$1005,0))),""))</f>
        <v/>
      </c>
      <c r="M1271" s="33">
        <f>IF($D1271="","",IFERROR(IF(INDEX(RUNS!$F$6:$F$1005,MATCH($D1271,RUNS!$A$6:$A$1005,0))="","",INDEX(RUNS!$F$6:$F$1005,MATCH($D1271,RUNS!$A$6:$A$1005,0))),""))</f>
        <v/>
      </c>
      <c r="N1271" s="33">
        <f>IF($D1271="","",IFERROR(IF(INDEX(RUNS!$G$6:$G$1005,MATCH($D1271,RUNS!$A$6:$A$1005,0))="","",INDEX(RUNS!$G$6:$G$1005,MATCH($D1271,RUNS!$A$6:$A$1005,0))),""))</f>
        <v/>
      </c>
      <c r="O1271" s="33">
        <f>IF($D1271="","",IFERROR(IF(INDEX(RUNS!$H$6:$H$1005,MATCH($D1271,RUNS!$A$6:$A$1005,0))="","",INDEX(RUNS!$H$6:$H$1005,MATCH($D1271,RUNS!$A$6:$A$1005,0))),""))</f>
        <v/>
      </c>
      <c r="P1271" s="33">
        <f>IF($D1271="","",IFERROR(IF(INDEX(RUNS!$J$6:$J$1005,MATCH($D1271,RUNS!$A$6:$A$1005,0))="","",INDEX(RUNS!$J$6:$J$1005,MATCH($D1271,RUNS!$A$6:$A$1005,0))),""))</f>
        <v/>
      </c>
      <c r="Q1271" s="33">
        <f>IF($D1271="","",IFERROR(IF(INDEX(RUNS!$K$6:$K$1005,MATCH($D1271,RUNS!$A$6:$A$1005,0))="","",INDEX(RUNS!$K$6:$K$1005,MATCH($D1271,RUNS!$A$6:$A$1005,0))),""))</f>
        <v/>
      </c>
      <c r="R1271" s="34">
        <f>IF(OR($L1271="",$K1271=""),"",IFERROR(IF(INDEX(PARAMETRES!$H$43:$H$342,MATCH($L1271&amp;"|"&amp;$M1271&amp;"|"&amp;$N1271&amp;"|"&amp;$O1271&amp;"|"&amp;$P1271&amp;"|"&amp;$Q1271&amp;"|"&amp;$K1271,PARAMETRES!$J$43:$J$342,0))="","",INDEX(PARAMETRES!$H$43:$H$342,MATCH($L1271&amp;"|"&amp;$M1271&amp;"|"&amp;$N1271&amp;"|"&amp;$O1271&amp;"|"&amp;$P1271&amp;"|"&amp;$Q1271&amp;"|"&amp;$K1271,PARAMETRES!$J$43:$J$342,0))),""))</f>
        <v/>
      </c>
      <c r="S1271" s="35">
        <f>IF(OR($G1271="",$X1271&lt;&gt;"VALIDE"),"",IFERROR(LOOKUP(2,1/(($B371:$B1270=$B1271)*($G371:$G1270=$G1271)*($X371:$X1270="VALIDE")),$C371:$C1270),""))</f>
        <v/>
      </c>
      <c r="T1271" s="36">
        <f>IF(OR($C1271="",$S1271=""),"",ROUND(($C1271-$S1271+IF($C1271&lt;$S1271,1,0))*1440,0))</f>
        <v/>
      </c>
      <c r="U1271" s="22">
        <f>IF(OR($H1271="",$T1271="",$T1271&lt;=0),"",$H1271*60/$T1271)</f>
        <v/>
      </c>
      <c r="V1271" s="37">
        <f>IF(OR($U1271="",$R1271="",$R1271=0),"",$U1271/$R1271)</f>
        <v/>
      </c>
      <c r="W1271" s="20">
        <f>IF($G1271="","",IF($X1271="CONTEXTE INCOMPLET","CONTEXTE INCOMPLET",IF($X1271="DOUBLON",StatutDoublon,IF($S1271="",StatutInitial,IF($R1271="",StatutStandardManquant,IF($V1271="","DONNEES INSUFFISANTES",IF($V1271&gt;=SeuilConforme,StatutConforme,IF($V1271&gt;=SeuilSurveiller,StatutSurveiller,StatutSousStandard))))))))</f>
        <v/>
      </c>
      <c r="X1271" s="33">
        <f>IF($G1271="","",IF(OR($D1271="",$E1271="",$F1271=""),"CONTEXTE INCOMPLET",IF(COUNTIFS($D371:$D1270,$D1271,$E371:$E1270,$E1271,$F371:$F1270,$F1271,$G371:$G1270,$G1271)&gt;0,"DOUBLON","VALIDE")))</f>
        <v/>
      </c>
    </row>
    <row r="1272" ht="15" customHeight="1">
      <c r="A1272" s="12">
        <f>IF(OR($B1272="",$G1272=""),"",TEXT($B1272,"YYYYMMDD")&amp;"-"&amp;SUBSTITUTE($E1272," ","")&amp;"-"&amp;$F1272&amp;"-"&amp;$G1272)</f>
        <v/>
      </c>
      <c r="B1272" s="15" t="n"/>
      <c r="C1272" s="16" t="n"/>
      <c r="D1272" s="10" t="n"/>
      <c r="E1272" s="9" t="n"/>
      <c r="F1272" s="9" t="n"/>
      <c r="G1272" s="13" t="n"/>
      <c r="H1272" s="21" t="n"/>
      <c r="I1272" s="21" t="n"/>
      <c r="J1272" s="17">
        <f>IF($G1272="","",IFERROR(INDEX(NomsEmployes,MATCH($G1272,MatriculesEmployes,0)),"MATRICULE INCONNU"))</f>
        <v/>
      </c>
      <c r="K1272" s="33">
        <f>IF(OR($D1272="",$F1272=""),"",IFERROR(IF(INDEX(RUNS!$L$6:$S$1005,MATCH($D1272,RUNS!$A$6:$A$1005,0),MATCH("ACTIVITÉ "&amp;$F1272,RUNS!$L$5:$S$5,0))="","",INDEX(RUNS!$L$6:$S$1005,MATCH($D1272,RUNS!$A$6:$A$1005,0),MATCH("ACTIVITÉ "&amp;$F1272,RUNS!$L$5:$S$5,0))),""))</f>
        <v/>
      </c>
      <c r="L1272" s="33">
        <f>IF($D1272="","",IFERROR(IF(INDEX(RUNS!$E$6:$E$1005,MATCH($D1272,RUNS!$A$6:$A$1005,0))="","",INDEX(RUNS!$E$6:$E$1005,MATCH($D1272,RUNS!$A$6:$A$1005,0))),""))</f>
        <v/>
      </c>
      <c r="M1272" s="33">
        <f>IF($D1272="","",IFERROR(IF(INDEX(RUNS!$F$6:$F$1005,MATCH($D1272,RUNS!$A$6:$A$1005,0))="","",INDEX(RUNS!$F$6:$F$1005,MATCH($D1272,RUNS!$A$6:$A$1005,0))),""))</f>
        <v/>
      </c>
      <c r="N1272" s="33">
        <f>IF($D1272="","",IFERROR(IF(INDEX(RUNS!$G$6:$G$1005,MATCH($D1272,RUNS!$A$6:$A$1005,0))="","",INDEX(RUNS!$G$6:$G$1005,MATCH($D1272,RUNS!$A$6:$A$1005,0))),""))</f>
        <v/>
      </c>
      <c r="O1272" s="33">
        <f>IF($D1272="","",IFERROR(IF(INDEX(RUNS!$H$6:$H$1005,MATCH($D1272,RUNS!$A$6:$A$1005,0))="","",INDEX(RUNS!$H$6:$H$1005,MATCH($D1272,RUNS!$A$6:$A$1005,0))),""))</f>
        <v/>
      </c>
      <c r="P1272" s="33">
        <f>IF($D1272="","",IFERROR(IF(INDEX(RUNS!$J$6:$J$1005,MATCH($D1272,RUNS!$A$6:$A$1005,0))="","",INDEX(RUNS!$J$6:$J$1005,MATCH($D1272,RUNS!$A$6:$A$1005,0))),""))</f>
        <v/>
      </c>
      <c r="Q1272" s="33">
        <f>IF($D1272="","",IFERROR(IF(INDEX(RUNS!$K$6:$K$1005,MATCH($D1272,RUNS!$A$6:$A$1005,0))="","",INDEX(RUNS!$K$6:$K$1005,MATCH($D1272,RUNS!$A$6:$A$1005,0))),""))</f>
        <v/>
      </c>
      <c r="R1272" s="34">
        <f>IF(OR($L1272="",$K1272=""),"",IFERROR(IF(INDEX(PARAMETRES!$H$43:$H$342,MATCH($L1272&amp;"|"&amp;$M1272&amp;"|"&amp;$N1272&amp;"|"&amp;$O1272&amp;"|"&amp;$P1272&amp;"|"&amp;$Q1272&amp;"|"&amp;$K1272,PARAMETRES!$J$43:$J$342,0))="","",INDEX(PARAMETRES!$H$43:$H$342,MATCH($L1272&amp;"|"&amp;$M1272&amp;"|"&amp;$N1272&amp;"|"&amp;$O1272&amp;"|"&amp;$P1272&amp;"|"&amp;$Q1272&amp;"|"&amp;$K1272,PARAMETRES!$J$43:$J$342,0))),""))</f>
        <v/>
      </c>
      <c r="S1272" s="35">
        <f>IF(OR($G1272="",$X1272&lt;&gt;"VALIDE"),"",IFERROR(LOOKUP(2,1/(($B372:$B1271=$B1272)*($G372:$G1271=$G1272)*($X372:$X1271="VALIDE")),$C372:$C1271),""))</f>
        <v/>
      </c>
      <c r="T1272" s="36">
        <f>IF(OR($C1272="",$S1272=""),"",ROUND(($C1272-$S1272+IF($C1272&lt;$S1272,1,0))*1440,0))</f>
        <v/>
      </c>
      <c r="U1272" s="22">
        <f>IF(OR($H1272="",$T1272="",$T1272&lt;=0),"",$H1272*60/$T1272)</f>
        <v/>
      </c>
      <c r="V1272" s="37">
        <f>IF(OR($U1272="",$R1272="",$R1272=0),"",$U1272/$R1272)</f>
        <v/>
      </c>
      <c r="W1272" s="20">
        <f>IF($G1272="","",IF($X1272="CONTEXTE INCOMPLET","CONTEXTE INCOMPLET",IF($X1272="DOUBLON",StatutDoublon,IF($S1272="",StatutInitial,IF($R1272="",StatutStandardManquant,IF($V1272="","DONNEES INSUFFISANTES",IF($V1272&gt;=SeuilConforme,StatutConforme,IF($V1272&gt;=SeuilSurveiller,StatutSurveiller,StatutSousStandard))))))))</f>
        <v/>
      </c>
      <c r="X1272" s="33">
        <f>IF($G1272="","",IF(OR($D1272="",$E1272="",$F1272=""),"CONTEXTE INCOMPLET",IF(COUNTIFS($D372:$D1271,$D1272,$E372:$E1271,$E1272,$F372:$F1271,$F1272,$G372:$G1271,$G1272)&gt;0,"DOUBLON","VALIDE")))</f>
        <v/>
      </c>
    </row>
    <row r="1273" ht="15" customHeight="1">
      <c r="A1273" s="12">
        <f>IF(OR($B1273="",$G1273=""),"",TEXT($B1273,"YYYYMMDD")&amp;"-"&amp;SUBSTITUTE($E1273," ","")&amp;"-"&amp;$F1273&amp;"-"&amp;$G1273)</f>
        <v/>
      </c>
      <c r="B1273" s="15" t="n"/>
      <c r="C1273" s="16" t="n"/>
      <c r="D1273" s="10" t="n"/>
      <c r="E1273" s="9" t="n"/>
      <c r="F1273" s="9" t="n"/>
      <c r="G1273" s="13" t="n"/>
      <c r="H1273" s="21" t="n"/>
      <c r="I1273" s="21" t="n"/>
      <c r="J1273" s="17">
        <f>IF($G1273="","",IFERROR(INDEX(NomsEmployes,MATCH($G1273,MatriculesEmployes,0)),"MATRICULE INCONNU"))</f>
        <v/>
      </c>
      <c r="K1273" s="33">
        <f>IF(OR($D1273="",$F1273=""),"",IFERROR(IF(INDEX(RUNS!$L$6:$S$1005,MATCH($D1273,RUNS!$A$6:$A$1005,0),MATCH("ACTIVITÉ "&amp;$F1273,RUNS!$L$5:$S$5,0))="","",INDEX(RUNS!$L$6:$S$1005,MATCH($D1273,RUNS!$A$6:$A$1005,0),MATCH("ACTIVITÉ "&amp;$F1273,RUNS!$L$5:$S$5,0))),""))</f>
        <v/>
      </c>
      <c r="L1273" s="33">
        <f>IF($D1273="","",IFERROR(IF(INDEX(RUNS!$E$6:$E$1005,MATCH($D1273,RUNS!$A$6:$A$1005,0))="","",INDEX(RUNS!$E$6:$E$1005,MATCH($D1273,RUNS!$A$6:$A$1005,0))),""))</f>
        <v/>
      </c>
      <c r="M1273" s="33">
        <f>IF($D1273="","",IFERROR(IF(INDEX(RUNS!$F$6:$F$1005,MATCH($D1273,RUNS!$A$6:$A$1005,0))="","",INDEX(RUNS!$F$6:$F$1005,MATCH($D1273,RUNS!$A$6:$A$1005,0))),""))</f>
        <v/>
      </c>
      <c r="N1273" s="33">
        <f>IF($D1273="","",IFERROR(IF(INDEX(RUNS!$G$6:$G$1005,MATCH($D1273,RUNS!$A$6:$A$1005,0))="","",INDEX(RUNS!$G$6:$G$1005,MATCH($D1273,RUNS!$A$6:$A$1005,0))),""))</f>
        <v/>
      </c>
      <c r="O1273" s="33">
        <f>IF($D1273="","",IFERROR(IF(INDEX(RUNS!$H$6:$H$1005,MATCH($D1273,RUNS!$A$6:$A$1005,0))="","",INDEX(RUNS!$H$6:$H$1005,MATCH($D1273,RUNS!$A$6:$A$1005,0))),""))</f>
        <v/>
      </c>
      <c r="P1273" s="33">
        <f>IF($D1273="","",IFERROR(IF(INDEX(RUNS!$J$6:$J$1005,MATCH($D1273,RUNS!$A$6:$A$1005,0))="","",INDEX(RUNS!$J$6:$J$1005,MATCH($D1273,RUNS!$A$6:$A$1005,0))),""))</f>
        <v/>
      </c>
      <c r="Q1273" s="33">
        <f>IF($D1273="","",IFERROR(IF(INDEX(RUNS!$K$6:$K$1005,MATCH($D1273,RUNS!$A$6:$A$1005,0))="","",INDEX(RUNS!$K$6:$K$1005,MATCH($D1273,RUNS!$A$6:$A$1005,0))),""))</f>
        <v/>
      </c>
      <c r="R1273" s="34">
        <f>IF(OR($L1273="",$K1273=""),"",IFERROR(IF(INDEX(PARAMETRES!$H$43:$H$342,MATCH($L1273&amp;"|"&amp;$M1273&amp;"|"&amp;$N1273&amp;"|"&amp;$O1273&amp;"|"&amp;$P1273&amp;"|"&amp;$Q1273&amp;"|"&amp;$K1273,PARAMETRES!$J$43:$J$342,0))="","",INDEX(PARAMETRES!$H$43:$H$342,MATCH($L1273&amp;"|"&amp;$M1273&amp;"|"&amp;$N1273&amp;"|"&amp;$O1273&amp;"|"&amp;$P1273&amp;"|"&amp;$Q1273&amp;"|"&amp;$K1273,PARAMETRES!$J$43:$J$342,0))),""))</f>
        <v/>
      </c>
      <c r="S1273" s="35">
        <f>IF(OR($G1273="",$X1273&lt;&gt;"VALIDE"),"",IFERROR(LOOKUP(2,1/(($B373:$B1272=$B1273)*($G373:$G1272=$G1273)*($X373:$X1272="VALIDE")),$C373:$C1272),""))</f>
        <v/>
      </c>
      <c r="T1273" s="36">
        <f>IF(OR($C1273="",$S1273=""),"",ROUND(($C1273-$S1273+IF($C1273&lt;$S1273,1,0))*1440,0))</f>
        <v/>
      </c>
      <c r="U1273" s="22">
        <f>IF(OR($H1273="",$T1273="",$T1273&lt;=0),"",$H1273*60/$T1273)</f>
        <v/>
      </c>
      <c r="V1273" s="37">
        <f>IF(OR($U1273="",$R1273="",$R1273=0),"",$U1273/$R1273)</f>
        <v/>
      </c>
      <c r="W1273" s="20">
        <f>IF($G1273="","",IF($X1273="CONTEXTE INCOMPLET","CONTEXTE INCOMPLET",IF($X1273="DOUBLON",StatutDoublon,IF($S1273="",StatutInitial,IF($R1273="",StatutStandardManquant,IF($V1273="","DONNEES INSUFFISANTES",IF($V1273&gt;=SeuilConforme,StatutConforme,IF($V1273&gt;=SeuilSurveiller,StatutSurveiller,StatutSousStandard))))))))</f>
        <v/>
      </c>
      <c r="X1273" s="33">
        <f>IF($G1273="","",IF(OR($D1273="",$E1273="",$F1273=""),"CONTEXTE INCOMPLET",IF(COUNTIFS($D373:$D1272,$D1273,$E373:$E1272,$E1273,$F373:$F1272,$F1273,$G373:$G1272,$G1273)&gt;0,"DOUBLON","VALIDE")))</f>
        <v/>
      </c>
    </row>
    <row r="1274" ht="15" customHeight="1">
      <c r="A1274" s="12">
        <f>IF(OR($B1274="",$G1274=""),"",TEXT($B1274,"YYYYMMDD")&amp;"-"&amp;SUBSTITUTE($E1274," ","")&amp;"-"&amp;$F1274&amp;"-"&amp;$G1274)</f>
        <v/>
      </c>
      <c r="B1274" s="15" t="n"/>
      <c r="C1274" s="16" t="n"/>
      <c r="D1274" s="10" t="n"/>
      <c r="E1274" s="9" t="n"/>
      <c r="F1274" s="9" t="n"/>
      <c r="G1274" s="13" t="n"/>
      <c r="H1274" s="21" t="n"/>
      <c r="I1274" s="21" t="n"/>
      <c r="J1274" s="17">
        <f>IF($G1274="","",IFERROR(INDEX(NomsEmployes,MATCH($G1274,MatriculesEmployes,0)),"MATRICULE INCONNU"))</f>
        <v/>
      </c>
      <c r="K1274" s="33">
        <f>IF(OR($D1274="",$F1274=""),"",IFERROR(IF(INDEX(RUNS!$L$6:$S$1005,MATCH($D1274,RUNS!$A$6:$A$1005,0),MATCH("ACTIVITÉ "&amp;$F1274,RUNS!$L$5:$S$5,0))="","",INDEX(RUNS!$L$6:$S$1005,MATCH($D1274,RUNS!$A$6:$A$1005,0),MATCH("ACTIVITÉ "&amp;$F1274,RUNS!$L$5:$S$5,0))),""))</f>
        <v/>
      </c>
      <c r="L1274" s="33">
        <f>IF($D1274="","",IFERROR(IF(INDEX(RUNS!$E$6:$E$1005,MATCH($D1274,RUNS!$A$6:$A$1005,0))="","",INDEX(RUNS!$E$6:$E$1005,MATCH($D1274,RUNS!$A$6:$A$1005,0))),""))</f>
        <v/>
      </c>
      <c r="M1274" s="33">
        <f>IF($D1274="","",IFERROR(IF(INDEX(RUNS!$F$6:$F$1005,MATCH($D1274,RUNS!$A$6:$A$1005,0))="","",INDEX(RUNS!$F$6:$F$1005,MATCH($D1274,RUNS!$A$6:$A$1005,0))),""))</f>
        <v/>
      </c>
      <c r="N1274" s="33">
        <f>IF($D1274="","",IFERROR(IF(INDEX(RUNS!$G$6:$G$1005,MATCH($D1274,RUNS!$A$6:$A$1005,0))="","",INDEX(RUNS!$G$6:$G$1005,MATCH($D1274,RUNS!$A$6:$A$1005,0))),""))</f>
        <v/>
      </c>
      <c r="O1274" s="33">
        <f>IF($D1274="","",IFERROR(IF(INDEX(RUNS!$H$6:$H$1005,MATCH($D1274,RUNS!$A$6:$A$1005,0))="","",INDEX(RUNS!$H$6:$H$1005,MATCH($D1274,RUNS!$A$6:$A$1005,0))),""))</f>
        <v/>
      </c>
      <c r="P1274" s="33">
        <f>IF($D1274="","",IFERROR(IF(INDEX(RUNS!$J$6:$J$1005,MATCH($D1274,RUNS!$A$6:$A$1005,0))="","",INDEX(RUNS!$J$6:$J$1005,MATCH($D1274,RUNS!$A$6:$A$1005,0))),""))</f>
        <v/>
      </c>
      <c r="Q1274" s="33">
        <f>IF($D1274="","",IFERROR(IF(INDEX(RUNS!$K$6:$K$1005,MATCH($D1274,RUNS!$A$6:$A$1005,0))="","",INDEX(RUNS!$K$6:$K$1005,MATCH($D1274,RUNS!$A$6:$A$1005,0))),""))</f>
        <v/>
      </c>
      <c r="R1274" s="34">
        <f>IF(OR($L1274="",$K1274=""),"",IFERROR(IF(INDEX(PARAMETRES!$H$43:$H$342,MATCH($L1274&amp;"|"&amp;$M1274&amp;"|"&amp;$N1274&amp;"|"&amp;$O1274&amp;"|"&amp;$P1274&amp;"|"&amp;$Q1274&amp;"|"&amp;$K1274,PARAMETRES!$J$43:$J$342,0))="","",INDEX(PARAMETRES!$H$43:$H$342,MATCH($L1274&amp;"|"&amp;$M1274&amp;"|"&amp;$N1274&amp;"|"&amp;$O1274&amp;"|"&amp;$P1274&amp;"|"&amp;$Q1274&amp;"|"&amp;$K1274,PARAMETRES!$J$43:$J$342,0))),""))</f>
        <v/>
      </c>
      <c r="S1274" s="35">
        <f>IF(OR($G1274="",$X1274&lt;&gt;"VALIDE"),"",IFERROR(LOOKUP(2,1/(($B374:$B1273=$B1274)*($G374:$G1273=$G1274)*($X374:$X1273="VALIDE")),$C374:$C1273),""))</f>
        <v/>
      </c>
      <c r="T1274" s="36">
        <f>IF(OR($C1274="",$S1274=""),"",ROUND(($C1274-$S1274+IF($C1274&lt;$S1274,1,0))*1440,0))</f>
        <v/>
      </c>
      <c r="U1274" s="22">
        <f>IF(OR($H1274="",$T1274="",$T1274&lt;=0),"",$H1274*60/$T1274)</f>
        <v/>
      </c>
      <c r="V1274" s="37">
        <f>IF(OR($U1274="",$R1274="",$R1274=0),"",$U1274/$R1274)</f>
        <v/>
      </c>
      <c r="W1274" s="20">
        <f>IF($G1274="","",IF($X1274="CONTEXTE INCOMPLET","CONTEXTE INCOMPLET",IF($X1274="DOUBLON",StatutDoublon,IF($S1274="",StatutInitial,IF($R1274="",StatutStandardManquant,IF($V1274="","DONNEES INSUFFISANTES",IF($V1274&gt;=SeuilConforme,StatutConforme,IF($V1274&gt;=SeuilSurveiller,StatutSurveiller,StatutSousStandard))))))))</f>
        <v/>
      </c>
      <c r="X1274" s="33">
        <f>IF($G1274="","",IF(OR($D1274="",$E1274="",$F1274=""),"CONTEXTE INCOMPLET",IF(COUNTIFS($D374:$D1273,$D1274,$E374:$E1273,$E1274,$F374:$F1273,$F1274,$G374:$G1273,$G1274)&gt;0,"DOUBLON","VALIDE")))</f>
        <v/>
      </c>
    </row>
    <row r="1275" ht="15" customHeight="1">
      <c r="A1275" s="12">
        <f>IF(OR($B1275="",$G1275=""),"",TEXT($B1275,"YYYYMMDD")&amp;"-"&amp;SUBSTITUTE($E1275," ","")&amp;"-"&amp;$F1275&amp;"-"&amp;$G1275)</f>
        <v/>
      </c>
      <c r="B1275" s="15" t="n"/>
      <c r="C1275" s="16" t="n"/>
      <c r="D1275" s="10" t="n"/>
      <c r="E1275" s="9" t="n"/>
      <c r="F1275" s="9" t="n"/>
      <c r="G1275" s="13" t="n"/>
      <c r="H1275" s="21" t="n"/>
      <c r="I1275" s="21" t="n"/>
      <c r="J1275" s="17">
        <f>IF($G1275="","",IFERROR(INDEX(NomsEmployes,MATCH($G1275,MatriculesEmployes,0)),"MATRICULE INCONNU"))</f>
        <v/>
      </c>
      <c r="K1275" s="33">
        <f>IF(OR($D1275="",$F1275=""),"",IFERROR(IF(INDEX(RUNS!$L$6:$S$1005,MATCH($D1275,RUNS!$A$6:$A$1005,0),MATCH("ACTIVITÉ "&amp;$F1275,RUNS!$L$5:$S$5,0))="","",INDEX(RUNS!$L$6:$S$1005,MATCH($D1275,RUNS!$A$6:$A$1005,0),MATCH("ACTIVITÉ "&amp;$F1275,RUNS!$L$5:$S$5,0))),""))</f>
        <v/>
      </c>
      <c r="L1275" s="33">
        <f>IF($D1275="","",IFERROR(IF(INDEX(RUNS!$E$6:$E$1005,MATCH($D1275,RUNS!$A$6:$A$1005,0))="","",INDEX(RUNS!$E$6:$E$1005,MATCH($D1275,RUNS!$A$6:$A$1005,0))),""))</f>
        <v/>
      </c>
      <c r="M1275" s="33">
        <f>IF($D1275="","",IFERROR(IF(INDEX(RUNS!$F$6:$F$1005,MATCH($D1275,RUNS!$A$6:$A$1005,0))="","",INDEX(RUNS!$F$6:$F$1005,MATCH($D1275,RUNS!$A$6:$A$1005,0))),""))</f>
        <v/>
      </c>
      <c r="N1275" s="33">
        <f>IF($D1275="","",IFERROR(IF(INDEX(RUNS!$G$6:$G$1005,MATCH($D1275,RUNS!$A$6:$A$1005,0))="","",INDEX(RUNS!$G$6:$G$1005,MATCH($D1275,RUNS!$A$6:$A$1005,0))),""))</f>
        <v/>
      </c>
      <c r="O1275" s="33">
        <f>IF($D1275="","",IFERROR(IF(INDEX(RUNS!$H$6:$H$1005,MATCH($D1275,RUNS!$A$6:$A$1005,0))="","",INDEX(RUNS!$H$6:$H$1005,MATCH($D1275,RUNS!$A$6:$A$1005,0))),""))</f>
        <v/>
      </c>
      <c r="P1275" s="33">
        <f>IF($D1275="","",IFERROR(IF(INDEX(RUNS!$J$6:$J$1005,MATCH($D1275,RUNS!$A$6:$A$1005,0))="","",INDEX(RUNS!$J$6:$J$1005,MATCH($D1275,RUNS!$A$6:$A$1005,0))),""))</f>
        <v/>
      </c>
      <c r="Q1275" s="33">
        <f>IF($D1275="","",IFERROR(IF(INDEX(RUNS!$K$6:$K$1005,MATCH($D1275,RUNS!$A$6:$A$1005,0))="","",INDEX(RUNS!$K$6:$K$1005,MATCH($D1275,RUNS!$A$6:$A$1005,0))),""))</f>
        <v/>
      </c>
      <c r="R1275" s="34">
        <f>IF(OR($L1275="",$K1275=""),"",IFERROR(IF(INDEX(PARAMETRES!$H$43:$H$342,MATCH($L1275&amp;"|"&amp;$M1275&amp;"|"&amp;$N1275&amp;"|"&amp;$O1275&amp;"|"&amp;$P1275&amp;"|"&amp;$Q1275&amp;"|"&amp;$K1275,PARAMETRES!$J$43:$J$342,0))="","",INDEX(PARAMETRES!$H$43:$H$342,MATCH($L1275&amp;"|"&amp;$M1275&amp;"|"&amp;$N1275&amp;"|"&amp;$O1275&amp;"|"&amp;$P1275&amp;"|"&amp;$Q1275&amp;"|"&amp;$K1275,PARAMETRES!$J$43:$J$342,0))),""))</f>
        <v/>
      </c>
      <c r="S1275" s="35">
        <f>IF(OR($G1275="",$X1275&lt;&gt;"VALIDE"),"",IFERROR(LOOKUP(2,1/(($B375:$B1274=$B1275)*($G375:$G1274=$G1275)*($X375:$X1274="VALIDE")),$C375:$C1274),""))</f>
        <v/>
      </c>
      <c r="T1275" s="36">
        <f>IF(OR($C1275="",$S1275=""),"",ROUND(($C1275-$S1275+IF($C1275&lt;$S1275,1,0))*1440,0))</f>
        <v/>
      </c>
      <c r="U1275" s="22">
        <f>IF(OR($H1275="",$T1275="",$T1275&lt;=0),"",$H1275*60/$T1275)</f>
        <v/>
      </c>
      <c r="V1275" s="37">
        <f>IF(OR($U1275="",$R1275="",$R1275=0),"",$U1275/$R1275)</f>
        <v/>
      </c>
      <c r="W1275" s="20">
        <f>IF($G1275="","",IF($X1275="CONTEXTE INCOMPLET","CONTEXTE INCOMPLET",IF($X1275="DOUBLON",StatutDoublon,IF($S1275="",StatutInitial,IF($R1275="",StatutStandardManquant,IF($V1275="","DONNEES INSUFFISANTES",IF($V1275&gt;=SeuilConforme,StatutConforme,IF($V1275&gt;=SeuilSurveiller,StatutSurveiller,StatutSousStandard))))))))</f>
        <v/>
      </c>
      <c r="X1275" s="33">
        <f>IF($G1275="","",IF(OR($D1275="",$E1275="",$F1275=""),"CONTEXTE INCOMPLET",IF(COUNTIFS($D375:$D1274,$D1275,$E375:$E1274,$E1275,$F375:$F1274,$F1275,$G375:$G1274,$G1275)&gt;0,"DOUBLON","VALIDE")))</f>
        <v/>
      </c>
    </row>
    <row r="1276" ht="15" customHeight="1">
      <c r="A1276" s="12">
        <f>IF(OR($B1276="",$G1276=""),"",TEXT($B1276,"YYYYMMDD")&amp;"-"&amp;SUBSTITUTE($E1276," ","")&amp;"-"&amp;$F1276&amp;"-"&amp;$G1276)</f>
        <v/>
      </c>
      <c r="B1276" s="15" t="n"/>
      <c r="C1276" s="16" t="n"/>
      <c r="D1276" s="10" t="n"/>
      <c r="E1276" s="9" t="n"/>
      <c r="F1276" s="9" t="n"/>
      <c r="G1276" s="13" t="n"/>
      <c r="H1276" s="21" t="n"/>
      <c r="I1276" s="21" t="n"/>
      <c r="J1276" s="17">
        <f>IF($G1276="","",IFERROR(INDEX(NomsEmployes,MATCH($G1276,MatriculesEmployes,0)),"MATRICULE INCONNU"))</f>
        <v/>
      </c>
      <c r="K1276" s="33">
        <f>IF(OR($D1276="",$F1276=""),"",IFERROR(IF(INDEX(RUNS!$L$6:$S$1005,MATCH($D1276,RUNS!$A$6:$A$1005,0),MATCH("ACTIVITÉ "&amp;$F1276,RUNS!$L$5:$S$5,0))="","",INDEX(RUNS!$L$6:$S$1005,MATCH($D1276,RUNS!$A$6:$A$1005,0),MATCH("ACTIVITÉ "&amp;$F1276,RUNS!$L$5:$S$5,0))),""))</f>
        <v/>
      </c>
      <c r="L1276" s="33">
        <f>IF($D1276="","",IFERROR(IF(INDEX(RUNS!$E$6:$E$1005,MATCH($D1276,RUNS!$A$6:$A$1005,0))="","",INDEX(RUNS!$E$6:$E$1005,MATCH($D1276,RUNS!$A$6:$A$1005,0))),""))</f>
        <v/>
      </c>
      <c r="M1276" s="33">
        <f>IF($D1276="","",IFERROR(IF(INDEX(RUNS!$F$6:$F$1005,MATCH($D1276,RUNS!$A$6:$A$1005,0))="","",INDEX(RUNS!$F$6:$F$1005,MATCH($D1276,RUNS!$A$6:$A$1005,0))),""))</f>
        <v/>
      </c>
      <c r="N1276" s="33">
        <f>IF($D1276="","",IFERROR(IF(INDEX(RUNS!$G$6:$G$1005,MATCH($D1276,RUNS!$A$6:$A$1005,0))="","",INDEX(RUNS!$G$6:$G$1005,MATCH($D1276,RUNS!$A$6:$A$1005,0))),""))</f>
        <v/>
      </c>
      <c r="O1276" s="33">
        <f>IF($D1276="","",IFERROR(IF(INDEX(RUNS!$H$6:$H$1005,MATCH($D1276,RUNS!$A$6:$A$1005,0))="","",INDEX(RUNS!$H$6:$H$1005,MATCH($D1276,RUNS!$A$6:$A$1005,0))),""))</f>
        <v/>
      </c>
      <c r="P1276" s="33">
        <f>IF($D1276="","",IFERROR(IF(INDEX(RUNS!$J$6:$J$1005,MATCH($D1276,RUNS!$A$6:$A$1005,0))="","",INDEX(RUNS!$J$6:$J$1005,MATCH($D1276,RUNS!$A$6:$A$1005,0))),""))</f>
        <v/>
      </c>
      <c r="Q1276" s="33">
        <f>IF($D1276="","",IFERROR(IF(INDEX(RUNS!$K$6:$K$1005,MATCH($D1276,RUNS!$A$6:$A$1005,0))="","",INDEX(RUNS!$K$6:$K$1005,MATCH($D1276,RUNS!$A$6:$A$1005,0))),""))</f>
        <v/>
      </c>
      <c r="R1276" s="34">
        <f>IF(OR($L1276="",$K1276=""),"",IFERROR(IF(INDEX(PARAMETRES!$H$43:$H$342,MATCH($L1276&amp;"|"&amp;$M1276&amp;"|"&amp;$N1276&amp;"|"&amp;$O1276&amp;"|"&amp;$P1276&amp;"|"&amp;$Q1276&amp;"|"&amp;$K1276,PARAMETRES!$J$43:$J$342,0))="","",INDEX(PARAMETRES!$H$43:$H$342,MATCH($L1276&amp;"|"&amp;$M1276&amp;"|"&amp;$N1276&amp;"|"&amp;$O1276&amp;"|"&amp;$P1276&amp;"|"&amp;$Q1276&amp;"|"&amp;$K1276,PARAMETRES!$J$43:$J$342,0))),""))</f>
        <v/>
      </c>
      <c r="S1276" s="35">
        <f>IF(OR($G1276="",$X1276&lt;&gt;"VALIDE"),"",IFERROR(LOOKUP(2,1/(($B376:$B1275=$B1276)*($G376:$G1275=$G1276)*($X376:$X1275="VALIDE")),$C376:$C1275),""))</f>
        <v/>
      </c>
      <c r="T1276" s="36">
        <f>IF(OR($C1276="",$S1276=""),"",ROUND(($C1276-$S1276+IF($C1276&lt;$S1276,1,0))*1440,0))</f>
        <v/>
      </c>
      <c r="U1276" s="22">
        <f>IF(OR($H1276="",$T1276="",$T1276&lt;=0),"",$H1276*60/$T1276)</f>
        <v/>
      </c>
      <c r="V1276" s="37">
        <f>IF(OR($U1276="",$R1276="",$R1276=0),"",$U1276/$R1276)</f>
        <v/>
      </c>
      <c r="W1276" s="20">
        <f>IF($G1276="","",IF($X1276="CONTEXTE INCOMPLET","CONTEXTE INCOMPLET",IF($X1276="DOUBLON",StatutDoublon,IF($S1276="",StatutInitial,IF($R1276="",StatutStandardManquant,IF($V1276="","DONNEES INSUFFISANTES",IF($V1276&gt;=SeuilConforme,StatutConforme,IF($V1276&gt;=SeuilSurveiller,StatutSurveiller,StatutSousStandard))))))))</f>
        <v/>
      </c>
      <c r="X1276" s="33">
        <f>IF($G1276="","",IF(OR($D1276="",$E1276="",$F1276=""),"CONTEXTE INCOMPLET",IF(COUNTIFS($D376:$D1275,$D1276,$E376:$E1275,$E1276,$F376:$F1275,$F1276,$G376:$G1275,$G1276)&gt;0,"DOUBLON","VALIDE")))</f>
        <v/>
      </c>
    </row>
    <row r="1277" ht="15" customHeight="1">
      <c r="A1277" s="12">
        <f>IF(OR($B1277="",$G1277=""),"",TEXT($B1277,"YYYYMMDD")&amp;"-"&amp;SUBSTITUTE($E1277," ","")&amp;"-"&amp;$F1277&amp;"-"&amp;$G1277)</f>
        <v/>
      </c>
      <c r="B1277" s="15" t="n"/>
      <c r="C1277" s="16" t="n"/>
      <c r="D1277" s="10" t="n"/>
      <c r="E1277" s="9" t="n"/>
      <c r="F1277" s="9" t="n"/>
      <c r="G1277" s="13" t="n"/>
      <c r="H1277" s="21" t="n"/>
      <c r="I1277" s="21" t="n"/>
      <c r="J1277" s="17">
        <f>IF($G1277="","",IFERROR(INDEX(NomsEmployes,MATCH($G1277,MatriculesEmployes,0)),"MATRICULE INCONNU"))</f>
        <v/>
      </c>
      <c r="K1277" s="33">
        <f>IF(OR($D1277="",$F1277=""),"",IFERROR(IF(INDEX(RUNS!$L$6:$S$1005,MATCH($D1277,RUNS!$A$6:$A$1005,0),MATCH("ACTIVITÉ "&amp;$F1277,RUNS!$L$5:$S$5,0))="","",INDEX(RUNS!$L$6:$S$1005,MATCH($D1277,RUNS!$A$6:$A$1005,0),MATCH("ACTIVITÉ "&amp;$F1277,RUNS!$L$5:$S$5,0))),""))</f>
        <v/>
      </c>
      <c r="L1277" s="33">
        <f>IF($D1277="","",IFERROR(IF(INDEX(RUNS!$E$6:$E$1005,MATCH($D1277,RUNS!$A$6:$A$1005,0))="","",INDEX(RUNS!$E$6:$E$1005,MATCH($D1277,RUNS!$A$6:$A$1005,0))),""))</f>
        <v/>
      </c>
      <c r="M1277" s="33">
        <f>IF($D1277="","",IFERROR(IF(INDEX(RUNS!$F$6:$F$1005,MATCH($D1277,RUNS!$A$6:$A$1005,0))="","",INDEX(RUNS!$F$6:$F$1005,MATCH($D1277,RUNS!$A$6:$A$1005,0))),""))</f>
        <v/>
      </c>
      <c r="N1277" s="33">
        <f>IF($D1277="","",IFERROR(IF(INDEX(RUNS!$G$6:$G$1005,MATCH($D1277,RUNS!$A$6:$A$1005,0))="","",INDEX(RUNS!$G$6:$G$1005,MATCH($D1277,RUNS!$A$6:$A$1005,0))),""))</f>
        <v/>
      </c>
      <c r="O1277" s="33">
        <f>IF($D1277="","",IFERROR(IF(INDEX(RUNS!$H$6:$H$1005,MATCH($D1277,RUNS!$A$6:$A$1005,0))="","",INDEX(RUNS!$H$6:$H$1005,MATCH($D1277,RUNS!$A$6:$A$1005,0))),""))</f>
        <v/>
      </c>
      <c r="P1277" s="33">
        <f>IF($D1277="","",IFERROR(IF(INDEX(RUNS!$J$6:$J$1005,MATCH($D1277,RUNS!$A$6:$A$1005,0))="","",INDEX(RUNS!$J$6:$J$1005,MATCH($D1277,RUNS!$A$6:$A$1005,0))),""))</f>
        <v/>
      </c>
      <c r="Q1277" s="33">
        <f>IF($D1277="","",IFERROR(IF(INDEX(RUNS!$K$6:$K$1005,MATCH($D1277,RUNS!$A$6:$A$1005,0))="","",INDEX(RUNS!$K$6:$K$1005,MATCH($D1277,RUNS!$A$6:$A$1005,0))),""))</f>
        <v/>
      </c>
      <c r="R1277" s="34">
        <f>IF(OR($L1277="",$K1277=""),"",IFERROR(IF(INDEX(PARAMETRES!$H$43:$H$342,MATCH($L1277&amp;"|"&amp;$M1277&amp;"|"&amp;$N1277&amp;"|"&amp;$O1277&amp;"|"&amp;$P1277&amp;"|"&amp;$Q1277&amp;"|"&amp;$K1277,PARAMETRES!$J$43:$J$342,0))="","",INDEX(PARAMETRES!$H$43:$H$342,MATCH($L1277&amp;"|"&amp;$M1277&amp;"|"&amp;$N1277&amp;"|"&amp;$O1277&amp;"|"&amp;$P1277&amp;"|"&amp;$Q1277&amp;"|"&amp;$K1277,PARAMETRES!$J$43:$J$342,0))),""))</f>
        <v/>
      </c>
      <c r="S1277" s="35">
        <f>IF(OR($G1277="",$X1277&lt;&gt;"VALIDE"),"",IFERROR(LOOKUP(2,1/(($B377:$B1276=$B1277)*($G377:$G1276=$G1277)*($X377:$X1276="VALIDE")),$C377:$C1276),""))</f>
        <v/>
      </c>
      <c r="T1277" s="36">
        <f>IF(OR($C1277="",$S1277=""),"",ROUND(($C1277-$S1277+IF($C1277&lt;$S1277,1,0))*1440,0))</f>
        <v/>
      </c>
      <c r="U1277" s="22">
        <f>IF(OR($H1277="",$T1277="",$T1277&lt;=0),"",$H1277*60/$T1277)</f>
        <v/>
      </c>
      <c r="V1277" s="37">
        <f>IF(OR($U1277="",$R1277="",$R1277=0),"",$U1277/$R1277)</f>
        <v/>
      </c>
      <c r="W1277" s="20">
        <f>IF($G1277="","",IF($X1277="CONTEXTE INCOMPLET","CONTEXTE INCOMPLET",IF($X1277="DOUBLON",StatutDoublon,IF($S1277="",StatutInitial,IF($R1277="",StatutStandardManquant,IF($V1277="","DONNEES INSUFFISANTES",IF($V1277&gt;=SeuilConforme,StatutConforme,IF($V1277&gt;=SeuilSurveiller,StatutSurveiller,StatutSousStandard))))))))</f>
        <v/>
      </c>
      <c r="X1277" s="33">
        <f>IF($G1277="","",IF(OR($D1277="",$E1277="",$F1277=""),"CONTEXTE INCOMPLET",IF(COUNTIFS($D377:$D1276,$D1277,$E377:$E1276,$E1277,$F377:$F1276,$F1277,$G377:$G1276,$G1277)&gt;0,"DOUBLON","VALIDE")))</f>
        <v/>
      </c>
    </row>
    <row r="1278" ht="15" customHeight="1">
      <c r="A1278" s="12">
        <f>IF(OR($B1278="",$G1278=""),"",TEXT($B1278,"YYYYMMDD")&amp;"-"&amp;SUBSTITUTE($E1278," ","")&amp;"-"&amp;$F1278&amp;"-"&amp;$G1278)</f>
        <v/>
      </c>
      <c r="B1278" s="15" t="n"/>
      <c r="C1278" s="16" t="n"/>
      <c r="D1278" s="10" t="n"/>
      <c r="E1278" s="9" t="n"/>
      <c r="F1278" s="9" t="n"/>
      <c r="G1278" s="13" t="n"/>
      <c r="H1278" s="21" t="n"/>
      <c r="I1278" s="21" t="n"/>
      <c r="J1278" s="17">
        <f>IF($G1278="","",IFERROR(INDEX(NomsEmployes,MATCH($G1278,MatriculesEmployes,0)),"MATRICULE INCONNU"))</f>
        <v/>
      </c>
      <c r="K1278" s="33">
        <f>IF(OR($D1278="",$F1278=""),"",IFERROR(IF(INDEX(RUNS!$L$6:$S$1005,MATCH($D1278,RUNS!$A$6:$A$1005,0),MATCH("ACTIVITÉ "&amp;$F1278,RUNS!$L$5:$S$5,0))="","",INDEX(RUNS!$L$6:$S$1005,MATCH($D1278,RUNS!$A$6:$A$1005,0),MATCH("ACTIVITÉ "&amp;$F1278,RUNS!$L$5:$S$5,0))),""))</f>
        <v/>
      </c>
      <c r="L1278" s="33">
        <f>IF($D1278="","",IFERROR(IF(INDEX(RUNS!$E$6:$E$1005,MATCH($D1278,RUNS!$A$6:$A$1005,0))="","",INDEX(RUNS!$E$6:$E$1005,MATCH($D1278,RUNS!$A$6:$A$1005,0))),""))</f>
        <v/>
      </c>
      <c r="M1278" s="33">
        <f>IF($D1278="","",IFERROR(IF(INDEX(RUNS!$F$6:$F$1005,MATCH($D1278,RUNS!$A$6:$A$1005,0))="","",INDEX(RUNS!$F$6:$F$1005,MATCH($D1278,RUNS!$A$6:$A$1005,0))),""))</f>
        <v/>
      </c>
      <c r="N1278" s="33">
        <f>IF($D1278="","",IFERROR(IF(INDEX(RUNS!$G$6:$G$1005,MATCH($D1278,RUNS!$A$6:$A$1005,0))="","",INDEX(RUNS!$G$6:$G$1005,MATCH($D1278,RUNS!$A$6:$A$1005,0))),""))</f>
        <v/>
      </c>
      <c r="O1278" s="33">
        <f>IF($D1278="","",IFERROR(IF(INDEX(RUNS!$H$6:$H$1005,MATCH($D1278,RUNS!$A$6:$A$1005,0))="","",INDEX(RUNS!$H$6:$H$1005,MATCH($D1278,RUNS!$A$6:$A$1005,0))),""))</f>
        <v/>
      </c>
      <c r="P1278" s="33">
        <f>IF($D1278="","",IFERROR(IF(INDEX(RUNS!$J$6:$J$1005,MATCH($D1278,RUNS!$A$6:$A$1005,0))="","",INDEX(RUNS!$J$6:$J$1005,MATCH($D1278,RUNS!$A$6:$A$1005,0))),""))</f>
        <v/>
      </c>
      <c r="Q1278" s="33">
        <f>IF($D1278="","",IFERROR(IF(INDEX(RUNS!$K$6:$K$1005,MATCH($D1278,RUNS!$A$6:$A$1005,0))="","",INDEX(RUNS!$K$6:$K$1005,MATCH($D1278,RUNS!$A$6:$A$1005,0))),""))</f>
        <v/>
      </c>
      <c r="R1278" s="34">
        <f>IF(OR($L1278="",$K1278=""),"",IFERROR(IF(INDEX(PARAMETRES!$H$43:$H$342,MATCH($L1278&amp;"|"&amp;$M1278&amp;"|"&amp;$N1278&amp;"|"&amp;$O1278&amp;"|"&amp;$P1278&amp;"|"&amp;$Q1278&amp;"|"&amp;$K1278,PARAMETRES!$J$43:$J$342,0))="","",INDEX(PARAMETRES!$H$43:$H$342,MATCH($L1278&amp;"|"&amp;$M1278&amp;"|"&amp;$N1278&amp;"|"&amp;$O1278&amp;"|"&amp;$P1278&amp;"|"&amp;$Q1278&amp;"|"&amp;$K1278,PARAMETRES!$J$43:$J$342,0))),""))</f>
        <v/>
      </c>
      <c r="S1278" s="35">
        <f>IF(OR($G1278="",$X1278&lt;&gt;"VALIDE"),"",IFERROR(LOOKUP(2,1/(($B378:$B1277=$B1278)*($G378:$G1277=$G1278)*($X378:$X1277="VALIDE")),$C378:$C1277),""))</f>
        <v/>
      </c>
      <c r="T1278" s="36">
        <f>IF(OR($C1278="",$S1278=""),"",ROUND(($C1278-$S1278+IF($C1278&lt;$S1278,1,0))*1440,0))</f>
        <v/>
      </c>
      <c r="U1278" s="22">
        <f>IF(OR($H1278="",$T1278="",$T1278&lt;=0),"",$H1278*60/$T1278)</f>
        <v/>
      </c>
      <c r="V1278" s="37">
        <f>IF(OR($U1278="",$R1278="",$R1278=0),"",$U1278/$R1278)</f>
        <v/>
      </c>
      <c r="W1278" s="20">
        <f>IF($G1278="","",IF($X1278="CONTEXTE INCOMPLET","CONTEXTE INCOMPLET",IF($X1278="DOUBLON",StatutDoublon,IF($S1278="",StatutInitial,IF($R1278="",StatutStandardManquant,IF($V1278="","DONNEES INSUFFISANTES",IF($V1278&gt;=SeuilConforme,StatutConforme,IF($V1278&gt;=SeuilSurveiller,StatutSurveiller,StatutSousStandard))))))))</f>
        <v/>
      </c>
      <c r="X1278" s="33">
        <f>IF($G1278="","",IF(OR($D1278="",$E1278="",$F1278=""),"CONTEXTE INCOMPLET",IF(COUNTIFS($D378:$D1277,$D1278,$E378:$E1277,$E1278,$F378:$F1277,$F1278,$G378:$G1277,$G1278)&gt;0,"DOUBLON","VALIDE")))</f>
        <v/>
      </c>
    </row>
    <row r="1279" ht="15" customHeight="1">
      <c r="A1279" s="12">
        <f>IF(OR($B1279="",$G1279=""),"",TEXT($B1279,"YYYYMMDD")&amp;"-"&amp;SUBSTITUTE($E1279," ","")&amp;"-"&amp;$F1279&amp;"-"&amp;$G1279)</f>
        <v/>
      </c>
      <c r="B1279" s="15" t="n"/>
      <c r="C1279" s="16" t="n"/>
      <c r="D1279" s="10" t="n"/>
      <c r="E1279" s="9" t="n"/>
      <c r="F1279" s="9" t="n"/>
      <c r="G1279" s="13" t="n"/>
      <c r="H1279" s="21" t="n"/>
      <c r="I1279" s="21" t="n"/>
      <c r="J1279" s="17">
        <f>IF($G1279="","",IFERROR(INDEX(NomsEmployes,MATCH($G1279,MatriculesEmployes,0)),"MATRICULE INCONNU"))</f>
        <v/>
      </c>
      <c r="K1279" s="33">
        <f>IF(OR($D1279="",$F1279=""),"",IFERROR(IF(INDEX(RUNS!$L$6:$S$1005,MATCH($D1279,RUNS!$A$6:$A$1005,0),MATCH("ACTIVITÉ "&amp;$F1279,RUNS!$L$5:$S$5,0))="","",INDEX(RUNS!$L$6:$S$1005,MATCH($D1279,RUNS!$A$6:$A$1005,0),MATCH("ACTIVITÉ "&amp;$F1279,RUNS!$L$5:$S$5,0))),""))</f>
        <v/>
      </c>
      <c r="L1279" s="33">
        <f>IF($D1279="","",IFERROR(IF(INDEX(RUNS!$E$6:$E$1005,MATCH($D1279,RUNS!$A$6:$A$1005,0))="","",INDEX(RUNS!$E$6:$E$1005,MATCH($D1279,RUNS!$A$6:$A$1005,0))),""))</f>
        <v/>
      </c>
      <c r="M1279" s="33">
        <f>IF($D1279="","",IFERROR(IF(INDEX(RUNS!$F$6:$F$1005,MATCH($D1279,RUNS!$A$6:$A$1005,0))="","",INDEX(RUNS!$F$6:$F$1005,MATCH($D1279,RUNS!$A$6:$A$1005,0))),""))</f>
        <v/>
      </c>
      <c r="N1279" s="33">
        <f>IF($D1279="","",IFERROR(IF(INDEX(RUNS!$G$6:$G$1005,MATCH($D1279,RUNS!$A$6:$A$1005,0))="","",INDEX(RUNS!$G$6:$G$1005,MATCH($D1279,RUNS!$A$6:$A$1005,0))),""))</f>
        <v/>
      </c>
      <c r="O1279" s="33">
        <f>IF($D1279="","",IFERROR(IF(INDEX(RUNS!$H$6:$H$1005,MATCH($D1279,RUNS!$A$6:$A$1005,0))="","",INDEX(RUNS!$H$6:$H$1005,MATCH($D1279,RUNS!$A$6:$A$1005,0))),""))</f>
        <v/>
      </c>
      <c r="P1279" s="33">
        <f>IF($D1279="","",IFERROR(IF(INDEX(RUNS!$J$6:$J$1005,MATCH($D1279,RUNS!$A$6:$A$1005,0))="","",INDEX(RUNS!$J$6:$J$1005,MATCH($D1279,RUNS!$A$6:$A$1005,0))),""))</f>
        <v/>
      </c>
      <c r="Q1279" s="33">
        <f>IF($D1279="","",IFERROR(IF(INDEX(RUNS!$K$6:$K$1005,MATCH($D1279,RUNS!$A$6:$A$1005,0))="","",INDEX(RUNS!$K$6:$K$1005,MATCH($D1279,RUNS!$A$6:$A$1005,0))),""))</f>
        <v/>
      </c>
      <c r="R1279" s="34">
        <f>IF(OR($L1279="",$K1279=""),"",IFERROR(IF(INDEX(PARAMETRES!$H$43:$H$342,MATCH($L1279&amp;"|"&amp;$M1279&amp;"|"&amp;$N1279&amp;"|"&amp;$O1279&amp;"|"&amp;$P1279&amp;"|"&amp;$Q1279&amp;"|"&amp;$K1279,PARAMETRES!$J$43:$J$342,0))="","",INDEX(PARAMETRES!$H$43:$H$342,MATCH($L1279&amp;"|"&amp;$M1279&amp;"|"&amp;$N1279&amp;"|"&amp;$O1279&amp;"|"&amp;$P1279&amp;"|"&amp;$Q1279&amp;"|"&amp;$K1279,PARAMETRES!$J$43:$J$342,0))),""))</f>
        <v/>
      </c>
      <c r="S1279" s="35">
        <f>IF(OR($G1279="",$X1279&lt;&gt;"VALIDE"),"",IFERROR(LOOKUP(2,1/(($B379:$B1278=$B1279)*($G379:$G1278=$G1279)*($X379:$X1278="VALIDE")),$C379:$C1278),""))</f>
        <v/>
      </c>
      <c r="T1279" s="36">
        <f>IF(OR($C1279="",$S1279=""),"",ROUND(($C1279-$S1279+IF($C1279&lt;$S1279,1,0))*1440,0))</f>
        <v/>
      </c>
      <c r="U1279" s="22">
        <f>IF(OR($H1279="",$T1279="",$T1279&lt;=0),"",$H1279*60/$T1279)</f>
        <v/>
      </c>
      <c r="V1279" s="37">
        <f>IF(OR($U1279="",$R1279="",$R1279=0),"",$U1279/$R1279)</f>
        <v/>
      </c>
      <c r="W1279" s="20">
        <f>IF($G1279="","",IF($X1279="CONTEXTE INCOMPLET","CONTEXTE INCOMPLET",IF($X1279="DOUBLON",StatutDoublon,IF($S1279="",StatutInitial,IF($R1279="",StatutStandardManquant,IF($V1279="","DONNEES INSUFFISANTES",IF($V1279&gt;=SeuilConforme,StatutConforme,IF($V1279&gt;=SeuilSurveiller,StatutSurveiller,StatutSousStandard))))))))</f>
        <v/>
      </c>
      <c r="X1279" s="33">
        <f>IF($G1279="","",IF(OR($D1279="",$E1279="",$F1279=""),"CONTEXTE INCOMPLET",IF(COUNTIFS($D379:$D1278,$D1279,$E379:$E1278,$E1279,$F379:$F1278,$F1279,$G379:$G1278,$G1279)&gt;0,"DOUBLON","VALIDE")))</f>
        <v/>
      </c>
    </row>
    <row r="1280" ht="15" customHeight="1">
      <c r="A1280" s="12">
        <f>IF(OR($B1280="",$G1280=""),"",TEXT($B1280,"YYYYMMDD")&amp;"-"&amp;SUBSTITUTE($E1280," ","")&amp;"-"&amp;$F1280&amp;"-"&amp;$G1280)</f>
        <v/>
      </c>
      <c r="B1280" s="15" t="n"/>
      <c r="C1280" s="16" t="n"/>
      <c r="D1280" s="10" t="n"/>
      <c r="E1280" s="9" t="n"/>
      <c r="F1280" s="9" t="n"/>
      <c r="G1280" s="13" t="n"/>
      <c r="H1280" s="21" t="n"/>
      <c r="I1280" s="21" t="n"/>
      <c r="J1280" s="17">
        <f>IF($G1280="","",IFERROR(INDEX(NomsEmployes,MATCH($G1280,MatriculesEmployes,0)),"MATRICULE INCONNU"))</f>
        <v/>
      </c>
      <c r="K1280" s="33">
        <f>IF(OR($D1280="",$F1280=""),"",IFERROR(IF(INDEX(RUNS!$L$6:$S$1005,MATCH($D1280,RUNS!$A$6:$A$1005,0),MATCH("ACTIVITÉ "&amp;$F1280,RUNS!$L$5:$S$5,0))="","",INDEX(RUNS!$L$6:$S$1005,MATCH($D1280,RUNS!$A$6:$A$1005,0),MATCH("ACTIVITÉ "&amp;$F1280,RUNS!$L$5:$S$5,0))),""))</f>
        <v/>
      </c>
      <c r="L1280" s="33">
        <f>IF($D1280="","",IFERROR(IF(INDEX(RUNS!$E$6:$E$1005,MATCH($D1280,RUNS!$A$6:$A$1005,0))="","",INDEX(RUNS!$E$6:$E$1005,MATCH($D1280,RUNS!$A$6:$A$1005,0))),""))</f>
        <v/>
      </c>
      <c r="M1280" s="33">
        <f>IF($D1280="","",IFERROR(IF(INDEX(RUNS!$F$6:$F$1005,MATCH($D1280,RUNS!$A$6:$A$1005,0))="","",INDEX(RUNS!$F$6:$F$1005,MATCH($D1280,RUNS!$A$6:$A$1005,0))),""))</f>
        <v/>
      </c>
      <c r="N1280" s="33">
        <f>IF($D1280="","",IFERROR(IF(INDEX(RUNS!$G$6:$G$1005,MATCH($D1280,RUNS!$A$6:$A$1005,0))="","",INDEX(RUNS!$G$6:$G$1005,MATCH($D1280,RUNS!$A$6:$A$1005,0))),""))</f>
        <v/>
      </c>
      <c r="O1280" s="33">
        <f>IF($D1280="","",IFERROR(IF(INDEX(RUNS!$H$6:$H$1005,MATCH($D1280,RUNS!$A$6:$A$1005,0))="","",INDEX(RUNS!$H$6:$H$1005,MATCH($D1280,RUNS!$A$6:$A$1005,0))),""))</f>
        <v/>
      </c>
      <c r="P1280" s="33">
        <f>IF($D1280="","",IFERROR(IF(INDEX(RUNS!$J$6:$J$1005,MATCH($D1280,RUNS!$A$6:$A$1005,0))="","",INDEX(RUNS!$J$6:$J$1005,MATCH($D1280,RUNS!$A$6:$A$1005,0))),""))</f>
        <v/>
      </c>
      <c r="Q1280" s="33">
        <f>IF($D1280="","",IFERROR(IF(INDEX(RUNS!$K$6:$K$1005,MATCH($D1280,RUNS!$A$6:$A$1005,0))="","",INDEX(RUNS!$K$6:$K$1005,MATCH($D1280,RUNS!$A$6:$A$1005,0))),""))</f>
        <v/>
      </c>
      <c r="R1280" s="34">
        <f>IF(OR($L1280="",$K1280=""),"",IFERROR(IF(INDEX(PARAMETRES!$H$43:$H$342,MATCH($L1280&amp;"|"&amp;$M1280&amp;"|"&amp;$N1280&amp;"|"&amp;$O1280&amp;"|"&amp;$P1280&amp;"|"&amp;$Q1280&amp;"|"&amp;$K1280,PARAMETRES!$J$43:$J$342,0))="","",INDEX(PARAMETRES!$H$43:$H$342,MATCH($L1280&amp;"|"&amp;$M1280&amp;"|"&amp;$N1280&amp;"|"&amp;$O1280&amp;"|"&amp;$P1280&amp;"|"&amp;$Q1280&amp;"|"&amp;$K1280,PARAMETRES!$J$43:$J$342,0))),""))</f>
        <v/>
      </c>
      <c r="S1280" s="35">
        <f>IF(OR($G1280="",$X1280&lt;&gt;"VALIDE"),"",IFERROR(LOOKUP(2,1/(($B380:$B1279=$B1280)*($G380:$G1279=$G1280)*($X380:$X1279="VALIDE")),$C380:$C1279),""))</f>
        <v/>
      </c>
      <c r="T1280" s="36">
        <f>IF(OR($C1280="",$S1280=""),"",ROUND(($C1280-$S1280+IF($C1280&lt;$S1280,1,0))*1440,0))</f>
        <v/>
      </c>
      <c r="U1280" s="22">
        <f>IF(OR($H1280="",$T1280="",$T1280&lt;=0),"",$H1280*60/$T1280)</f>
        <v/>
      </c>
      <c r="V1280" s="37">
        <f>IF(OR($U1280="",$R1280="",$R1280=0),"",$U1280/$R1280)</f>
        <v/>
      </c>
      <c r="W1280" s="20">
        <f>IF($G1280="","",IF($X1280="CONTEXTE INCOMPLET","CONTEXTE INCOMPLET",IF($X1280="DOUBLON",StatutDoublon,IF($S1280="",StatutInitial,IF($R1280="",StatutStandardManquant,IF($V1280="","DONNEES INSUFFISANTES",IF($V1280&gt;=SeuilConforme,StatutConforme,IF($V1280&gt;=SeuilSurveiller,StatutSurveiller,StatutSousStandard))))))))</f>
        <v/>
      </c>
      <c r="X1280" s="33">
        <f>IF($G1280="","",IF(OR($D1280="",$E1280="",$F1280=""),"CONTEXTE INCOMPLET",IF(COUNTIFS($D380:$D1279,$D1280,$E380:$E1279,$E1280,$F380:$F1279,$F1280,$G380:$G1279,$G1280)&gt;0,"DOUBLON","VALIDE")))</f>
        <v/>
      </c>
    </row>
    <row r="1281" ht="15" customHeight="1">
      <c r="A1281" s="12">
        <f>IF(OR($B1281="",$G1281=""),"",TEXT($B1281,"YYYYMMDD")&amp;"-"&amp;SUBSTITUTE($E1281," ","")&amp;"-"&amp;$F1281&amp;"-"&amp;$G1281)</f>
        <v/>
      </c>
      <c r="B1281" s="15" t="n"/>
      <c r="C1281" s="16" t="n"/>
      <c r="D1281" s="10" t="n"/>
      <c r="E1281" s="9" t="n"/>
      <c r="F1281" s="9" t="n"/>
      <c r="G1281" s="13" t="n"/>
      <c r="H1281" s="21" t="n"/>
      <c r="I1281" s="21" t="n"/>
      <c r="J1281" s="17">
        <f>IF($G1281="","",IFERROR(INDEX(NomsEmployes,MATCH($G1281,MatriculesEmployes,0)),"MATRICULE INCONNU"))</f>
        <v/>
      </c>
      <c r="K1281" s="33">
        <f>IF(OR($D1281="",$F1281=""),"",IFERROR(IF(INDEX(RUNS!$L$6:$S$1005,MATCH($D1281,RUNS!$A$6:$A$1005,0),MATCH("ACTIVITÉ "&amp;$F1281,RUNS!$L$5:$S$5,0))="","",INDEX(RUNS!$L$6:$S$1005,MATCH($D1281,RUNS!$A$6:$A$1005,0),MATCH("ACTIVITÉ "&amp;$F1281,RUNS!$L$5:$S$5,0))),""))</f>
        <v/>
      </c>
      <c r="L1281" s="33">
        <f>IF($D1281="","",IFERROR(IF(INDEX(RUNS!$E$6:$E$1005,MATCH($D1281,RUNS!$A$6:$A$1005,0))="","",INDEX(RUNS!$E$6:$E$1005,MATCH($D1281,RUNS!$A$6:$A$1005,0))),""))</f>
        <v/>
      </c>
      <c r="M1281" s="33">
        <f>IF($D1281="","",IFERROR(IF(INDEX(RUNS!$F$6:$F$1005,MATCH($D1281,RUNS!$A$6:$A$1005,0))="","",INDEX(RUNS!$F$6:$F$1005,MATCH($D1281,RUNS!$A$6:$A$1005,0))),""))</f>
        <v/>
      </c>
      <c r="N1281" s="33">
        <f>IF($D1281="","",IFERROR(IF(INDEX(RUNS!$G$6:$G$1005,MATCH($D1281,RUNS!$A$6:$A$1005,0))="","",INDEX(RUNS!$G$6:$G$1005,MATCH($D1281,RUNS!$A$6:$A$1005,0))),""))</f>
        <v/>
      </c>
      <c r="O1281" s="33">
        <f>IF($D1281="","",IFERROR(IF(INDEX(RUNS!$H$6:$H$1005,MATCH($D1281,RUNS!$A$6:$A$1005,0))="","",INDEX(RUNS!$H$6:$H$1005,MATCH($D1281,RUNS!$A$6:$A$1005,0))),""))</f>
        <v/>
      </c>
      <c r="P1281" s="33">
        <f>IF($D1281="","",IFERROR(IF(INDEX(RUNS!$J$6:$J$1005,MATCH($D1281,RUNS!$A$6:$A$1005,0))="","",INDEX(RUNS!$J$6:$J$1005,MATCH($D1281,RUNS!$A$6:$A$1005,0))),""))</f>
        <v/>
      </c>
      <c r="Q1281" s="33">
        <f>IF($D1281="","",IFERROR(IF(INDEX(RUNS!$K$6:$K$1005,MATCH($D1281,RUNS!$A$6:$A$1005,0))="","",INDEX(RUNS!$K$6:$K$1005,MATCH($D1281,RUNS!$A$6:$A$1005,0))),""))</f>
        <v/>
      </c>
      <c r="R1281" s="34">
        <f>IF(OR($L1281="",$K1281=""),"",IFERROR(IF(INDEX(PARAMETRES!$H$43:$H$342,MATCH($L1281&amp;"|"&amp;$M1281&amp;"|"&amp;$N1281&amp;"|"&amp;$O1281&amp;"|"&amp;$P1281&amp;"|"&amp;$Q1281&amp;"|"&amp;$K1281,PARAMETRES!$J$43:$J$342,0))="","",INDEX(PARAMETRES!$H$43:$H$342,MATCH($L1281&amp;"|"&amp;$M1281&amp;"|"&amp;$N1281&amp;"|"&amp;$O1281&amp;"|"&amp;$P1281&amp;"|"&amp;$Q1281&amp;"|"&amp;$K1281,PARAMETRES!$J$43:$J$342,0))),""))</f>
        <v/>
      </c>
      <c r="S1281" s="35">
        <f>IF(OR($G1281="",$X1281&lt;&gt;"VALIDE"),"",IFERROR(LOOKUP(2,1/(($B381:$B1280=$B1281)*($G381:$G1280=$G1281)*($X381:$X1280="VALIDE")),$C381:$C1280),""))</f>
        <v/>
      </c>
      <c r="T1281" s="36">
        <f>IF(OR($C1281="",$S1281=""),"",ROUND(($C1281-$S1281+IF($C1281&lt;$S1281,1,0))*1440,0))</f>
        <v/>
      </c>
      <c r="U1281" s="22">
        <f>IF(OR($H1281="",$T1281="",$T1281&lt;=0),"",$H1281*60/$T1281)</f>
        <v/>
      </c>
      <c r="V1281" s="37">
        <f>IF(OR($U1281="",$R1281="",$R1281=0),"",$U1281/$R1281)</f>
        <v/>
      </c>
      <c r="W1281" s="20">
        <f>IF($G1281="","",IF($X1281="CONTEXTE INCOMPLET","CONTEXTE INCOMPLET",IF($X1281="DOUBLON",StatutDoublon,IF($S1281="",StatutInitial,IF($R1281="",StatutStandardManquant,IF($V1281="","DONNEES INSUFFISANTES",IF($V1281&gt;=SeuilConforme,StatutConforme,IF($V1281&gt;=SeuilSurveiller,StatutSurveiller,StatutSousStandard))))))))</f>
        <v/>
      </c>
      <c r="X1281" s="33">
        <f>IF($G1281="","",IF(OR($D1281="",$E1281="",$F1281=""),"CONTEXTE INCOMPLET",IF(COUNTIFS($D381:$D1280,$D1281,$E381:$E1280,$E1281,$F381:$F1280,$F1281,$G381:$G1280,$G1281)&gt;0,"DOUBLON","VALIDE")))</f>
        <v/>
      </c>
    </row>
    <row r="1282" ht="15" customHeight="1">
      <c r="A1282" s="12">
        <f>IF(OR($B1282="",$G1282=""),"",TEXT($B1282,"YYYYMMDD")&amp;"-"&amp;SUBSTITUTE($E1282," ","")&amp;"-"&amp;$F1282&amp;"-"&amp;$G1282)</f>
        <v/>
      </c>
      <c r="B1282" s="15" t="n"/>
      <c r="C1282" s="16" t="n"/>
      <c r="D1282" s="10" t="n"/>
      <c r="E1282" s="9" t="n"/>
      <c r="F1282" s="9" t="n"/>
      <c r="G1282" s="13" t="n"/>
      <c r="H1282" s="21" t="n"/>
      <c r="I1282" s="21" t="n"/>
      <c r="J1282" s="17">
        <f>IF($G1282="","",IFERROR(INDEX(NomsEmployes,MATCH($G1282,MatriculesEmployes,0)),"MATRICULE INCONNU"))</f>
        <v/>
      </c>
      <c r="K1282" s="33">
        <f>IF(OR($D1282="",$F1282=""),"",IFERROR(IF(INDEX(RUNS!$L$6:$S$1005,MATCH($D1282,RUNS!$A$6:$A$1005,0),MATCH("ACTIVITÉ "&amp;$F1282,RUNS!$L$5:$S$5,0))="","",INDEX(RUNS!$L$6:$S$1005,MATCH($D1282,RUNS!$A$6:$A$1005,0),MATCH("ACTIVITÉ "&amp;$F1282,RUNS!$L$5:$S$5,0))),""))</f>
        <v/>
      </c>
      <c r="L1282" s="33">
        <f>IF($D1282="","",IFERROR(IF(INDEX(RUNS!$E$6:$E$1005,MATCH($D1282,RUNS!$A$6:$A$1005,0))="","",INDEX(RUNS!$E$6:$E$1005,MATCH($D1282,RUNS!$A$6:$A$1005,0))),""))</f>
        <v/>
      </c>
      <c r="M1282" s="33">
        <f>IF($D1282="","",IFERROR(IF(INDEX(RUNS!$F$6:$F$1005,MATCH($D1282,RUNS!$A$6:$A$1005,0))="","",INDEX(RUNS!$F$6:$F$1005,MATCH($D1282,RUNS!$A$6:$A$1005,0))),""))</f>
        <v/>
      </c>
      <c r="N1282" s="33">
        <f>IF($D1282="","",IFERROR(IF(INDEX(RUNS!$G$6:$G$1005,MATCH($D1282,RUNS!$A$6:$A$1005,0))="","",INDEX(RUNS!$G$6:$G$1005,MATCH($D1282,RUNS!$A$6:$A$1005,0))),""))</f>
        <v/>
      </c>
      <c r="O1282" s="33">
        <f>IF($D1282="","",IFERROR(IF(INDEX(RUNS!$H$6:$H$1005,MATCH($D1282,RUNS!$A$6:$A$1005,0))="","",INDEX(RUNS!$H$6:$H$1005,MATCH($D1282,RUNS!$A$6:$A$1005,0))),""))</f>
        <v/>
      </c>
      <c r="P1282" s="33">
        <f>IF($D1282="","",IFERROR(IF(INDEX(RUNS!$J$6:$J$1005,MATCH($D1282,RUNS!$A$6:$A$1005,0))="","",INDEX(RUNS!$J$6:$J$1005,MATCH($D1282,RUNS!$A$6:$A$1005,0))),""))</f>
        <v/>
      </c>
      <c r="Q1282" s="33">
        <f>IF($D1282="","",IFERROR(IF(INDEX(RUNS!$K$6:$K$1005,MATCH($D1282,RUNS!$A$6:$A$1005,0))="","",INDEX(RUNS!$K$6:$K$1005,MATCH($D1282,RUNS!$A$6:$A$1005,0))),""))</f>
        <v/>
      </c>
      <c r="R1282" s="34">
        <f>IF(OR($L1282="",$K1282=""),"",IFERROR(IF(INDEX(PARAMETRES!$H$43:$H$342,MATCH($L1282&amp;"|"&amp;$M1282&amp;"|"&amp;$N1282&amp;"|"&amp;$O1282&amp;"|"&amp;$P1282&amp;"|"&amp;$Q1282&amp;"|"&amp;$K1282,PARAMETRES!$J$43:$J$342,0))="","",INDEX(PARAMETRES!$H$43:$H$342,MATCH($L1282&amp;"|"&amp;$M1282&amp;"|"&amp;$N1282&amp;"|"&amp;$O1282&amp;"|"&amp;$P1282&amp;"|"&amp;$Q1282&amp;"|"&amp;$K1282,PARAMETRES!$J$43:$J$342,0))),""))</f>
        <v/>
      </c>
      <c r="S1282" s="35">
        <f>IF(OR($G1282="",$X1282&lt;&gt;"VALIDE"),"",IFERROR(LOOKUP(2,1/(($B382:$B1281=$B1282)*($G382:$G1281=$G1282)*($X382:$X1281="VALIDE")),$C382:$C1281),""))</f>
        <v/>
      </c>
      <c r="T1282" s="36">
        <f>IF(OR($C1282="",$S1282=""),"",ROUND(($C1282-$S1282+IF($C1282&lt;$S1282,1,0))*1440,0))</f>
        <v/>
      </c>
      <c r="U1282" s="22">
        <f>IF(OR($H1282="",$T1282="",$T1282&lt;=0),"",$H1282*60/$T1282)</f>
        <v/>
      </c>
      <c r="V1282" s="37">
        <f>IF(OR($U1282="",$R1282="",$R1282=0),"",$U1282/$R1282)</f>
        <v/>
      </c>
      <c r="W1282" s="20">
        <f>IF($G1282="","",IF($X1282="CONTEXTE INCOMPLET","CONTEXTE INCOMPLET",IF($X1282="DOUBLON",StatutDoublon,IF($S1282="",StatutInitial,IF($R1282="",StatutStandardManquant,IF($V1282="","DONNEES INSUFFISANTES",IF($V1282&gt;=SeuilConforme,StatutConforme,IF($V1282&gt;=SeuilSurveiller,StatutSurveiller,StatutSousStandard))))))))</f>
        <v/>
      </c>
      <c r="X1282" s="33">
        <f>IF($G1282="","",IF(OR($D1282="",$E1282="",$F1282=""),"CONTEXTE INCOMPLET",IF(COUNTIFS($D382:$D1281,$D1282,$E382:$E1281,$E1282,$F382:$F1281,$F1282,$G382:$G1281,$G1282)&gt;0,"DOUBLON","VALIDE")))</f>
        <v/>
      </c>
    </row>
    <row r="1283" ht="15" customHeight="1">
      <c r="A1283" s="12">
        <f>IF(OR($B1283="",$G1283=""),"",TEXT($B1283,"YYYYMMDD")&amp;"-"&amp;SUBSTITUTE($E1283," ","")&amp;"-"&amp;$F1283&amp;"-"&amp;$G1283)</f>
        <v/>
      </c>
      <c r="B1283" s="15" t="n"/>
      <c r="C1283" s="16" t="n"/>
      <c r="D1283" s="10" t="n"/>
      <c r="E1283" s="9" t="n"/>
      <c r="F1283" s="9" t="n"/>
      <c r="G1283" s="13" t="n"/>
      <c r="H1283" s="21" t="n"/>
      <c r="I1283" s="21" t="n"/>
      <c r="J1283" s="17">
        <f>IF($G1283="","",IFERROR(INDEX(NomsEmployes,MATCH($G1283,MatriculesEmployes,0)),"MATRICULE INCONNU"))</f>
        <v/>
      </c>
      <c r="K1283" s="33">
        <f>IF(OR($D1283="",$F1283=""),"",IFERROR(IF(INDEX(RUNS!$L$6:$S$1005,MATCH($D1283,RUNS!$A$6:$A$1005,0),MATCH("ACTIVITÉ "&amp;$F1283,RUNS!$L$5:$S$5,0))="","",INDEX(RUNS!$L$6:$S$1005,MATCH($D1283,RUNS!$A$6:$A$1005,0),MATCH("ACTIVITÉ "&amp;$F1283,RUNS!$L$5:$S$5,0))),""))</f>
        <v/>
      </c>
      <c r="L1283" s="33">
        <f>IF($D1283="","",IFERROR(IF(INDEX(RUNS!$E$6:$E$1005,MATCH($D1283,RUNS!$A$6:$A$1005,0))="","",INDEX(RUNS!$E$6:$E$1005,MATCH($D1283,RUNS!$A$6:$A$1005,0))),""))</f>
        <v/>
      </c>
      <c r="M1283" s="33">
        <f>IF($D1283="","",IFERROR(IF(INDEX(RUNS!$F$6:$F$1005,MATCH($D1283,RUNS!$A$6:$A$1005,0))="","",INDEX(RUNS!$F$6:$F$1005,MATCH($D1283,RUNS!$A$6:$A$1005,0))),""))</f>
        <v/>
      </c>
      <c r="N1283" s="33">
        <f>IF($D1283="","",IFERROR(IF(INDEX(RUNS!$G$6:$G$1005,MATCH($D1283,RUNS!$A$6:$A$1005,0))="","",INDEX(RUNS!$G$6:$G$1005,MATCH($D1283,RUNS!$A$6:$A$1005,0))),""))</f>
        <v/>
      </c>
      <c r="O1283" s="33">
        <f>IF($D1283="","",IFERROR(IF(INDEX(RUNS!$H$6:$H$1005,MATCH($D1283,RUNS!$A$6:$A$1005,0))="","",INDEX(RUNS!$H$6:$H$1005,MATCH($D1283,RUNS!$A$6:$A$1005,0))),""))</f>
        <v/>
      </c>
      <c r="P1283" s="33">
        <f>IF($D1283="","",IFERROR(IF(INDEX(RUNS!$J$6:$J$1005,MATCH($D1283,RUNS!$A$6:$A$1005,0))="","",INDEX(RUNS!$J$6:$J$1005,MATCH($D1283,RUNS!$A$6:$A$1005,0))),""))</f>
        <v/>
      </c>
      <c r="Q1283" s="33">
        <f>IF($D1283="","",IFERROR(IF(INDEX(RUNS!$K$6:$K$1005,MATCH($D1283,RUNS!$A$6:$A$1005,0))="","",INDEX(RUNS!$K$6:$K$1005,MATCH($D1283,RUNS!$A$6:$A$1005,0))),""))</f>
        <v/>
      </c>
      <c r="R1283" s="34">
        <f>IF(OR($L1283="",$K1283=""),"",IFERROR(IF(INDEX(PARAMETRES!$H$43:$H$342,MATCH($L1283&amp;"|"&amp;$M1283&amp;"|"&amp;$N1283&amp;"|"&amp;$O1283&amp;"|"&amp;$P1283&amp;"|"&amp;$Q1283&amp;"|"&amp;$K1283,PARAMETRES!$J$43:$J$342,0))="","",INDEX(PARAMETRES!$H$43:$H$342,MATCH($L1283&amp;"|"&amp;$M1283&amp;"|"&amp;$N1283&amp;"|"&amp;$O1283&amp;"|"&amp;$P1283&amp;"|"&amp;$Q1283&amp;"|"&amp;$K1283,PARAMETRES!$J$43:$J$342,0))),""))</f>
        <v/>
      </c>
      <c r="S1283" s="35">
        <f>IF(OR($G1283="",$X1283&lt;&gt;"VALIDE"),"",IFERROR(LOOKUP(2,1/(($B383:$B1282=$B1283)*($G383:$G1282=$G1283)*($X383:$X1282="VALIDE")),$C383:$C1282),""))</f>
        <v/>
      </c>
      <c r="T1283" s="36">
        <f>IF(OR($C1283="",$S1283=""),"",ROUND(($C1283-$S1283+IF($C1283&lt;$S1283,1,0))*1440,0))</f>
        <v/>
      </c>
      <c r="U1283" s="22">
        <f>IF(OR($H1283="",$T1283="",$T1283&lt;=0),"",$H1283*60/$T1283)</f>
        <v/>
      </c>
      <c r="V1283" s="37">
        <f>IF(OR($U1283="",$R1283="",$R1283=0),"",$U1283/$R1283)</f>
        <v/>
      </c>
      <c r="W1283" s="20">
        <f>IF($G1283="","",IF($X1283="CONTEXTE INCOMPLET","CONTEXTE INCOMPLET",IF($X1283="DOUBLON",StatutDoublon,IF($S1283="",StatutInitial,IF($R1283="",StatutStandardManquant,IF($V1283="","DONNEES INSUFFISANTES",IF($V1283&gt;=SeuilConforme,StatutConforme,IF($V1283&gt;=SeuilSurveiller,StatutSurveiller,StatutSousStandard))))))))</f>
        <v/>
      </c>
      <c r="X1283" s="33">
        <f>IF($G1283="","",IF(OR($D1283="",$E1283="",$F1283=""),"CONTEXTE INCOMPLET",IF(COUNTIFS($D383:$D1282,$D1283,$E383:$E1282,$E1283,$F383:$F1282,$F1283,$G383:$G1282,$G1283)&gt;0,"DOUBLON","VALIDE")))</f>
        <v/>
      </c>
    </row>
    <row r="1284" ht="15" customHeight="1">
      <c r="A1284" s="12">
        <f>IF(OR($B1284="",$G1284=""),"",TEXT($B1284,"YYYYMMDD")&amp;"-"&amp;SUBSTITUTE($E1284," ","")&amp;"-"&amp;$F1284&amp;"-"&amp;$G1284)</f>
        <v/>
      </c>
      <c r="B1284" s="15" t="n"/>
      <c r="C1284" s="16" t="n"/>
      <c r="D1284" s="10" t="n"/>
      <c r="E1284" s="9" t="n"/>
      <c r="F1284" s="9" t="n"/>
      <c r="G1284" s="13" t="n"/>
      <c r="H1284" s="21" t="n"/>
      <c r="I1284" s="21" t="n"/>
      <c r="J1284" s="17">
        <f>IF($G1284="","",IFERROR(INDEX(NomsEmployes,MATCH($G1284,MatriculesEmployes,0)),"MATRICULE INCONNU"))</f>
        <v/>
      </c>
      <c r="K1284" s="33">
        <f>IF(OR($D1284="",$F1284=""),"",IFERROR(IF(INDEX(RUNS!$L$6:$S$1005,MATCH($D1284,RUNS!$A$6:$A$1005,0),MATCH("ACTIVITÉ "&amp;$F1284,RUNS!$L$5:$S$5,0))="","",INDEX(RUNS!$L$6:$S$1005,MATCH($D1284,RUNS!$A$6:$A$1005,0),MATCH("ACTIVITÉ "&amp;$F1284,RUNS!$L$5:$S$5,0))),""))</f>
        <v/>
      </c>
      <c r="L1284" s="33">
        <f>IF($D1284="","",IFERROR(IF(INDEX(RUNS!$E$6:$E$1005,MATCH($D1284,RUNS!$A$6:$A$1005,0))="","",INDEX(RUNS!$E$6:$E$1005,MATCH($D1284,RUNS!$A$6:$A$1005,0))),""))</f>
        <v/>
      </c>
      <c r="M1284" s="33">
        <f>IF($D1284="","",IFERROR(IF(INDEX(RUNS!$F$6:$F$1005,MATCH($D1284,RUNS!$A$6:$A$1005,0))="","",INDEX(RUNS!$F$6:$F$1005,MATCH($D1284,RUNS!$A$6:$A$1005,0))),""))</f>
        <v/>
      </c>
      <c r="N1284" s="33">
        <f>IF($D1284="","",IFERROR(IF(INDEX(RUNS!$G$6:$G$1005,MATCH($D1284,RUNS!$A$6:$A$1005,0))="","",INDEX(RUNS!$G$6:$G$1005,MATCH($D1284,RUNS!$A$6:$A$1005,0))),""))</f>
        <v/>
      </c>
      <c r="O1284" s="33">
        <f>IF($D1284="","",IFERROR(IF(INDEX(RUNS!$H$6:$H$1005,MATCH($D1284,RUNS!$A$6:$A$1005,0))="","",INDEX(RUNS!$H$6:$H$1005,MATCH($D1284,RUNS!$A$6:$A$1005,0))),""))</f>
        <v/>
      </c>
      <c r="P1284" s="33">
        <f>IF($D1284="","",IFERROR(IF(INDEX(RUNS!$J$6:$J$1005,MATCH($D1284,RUNS!$A$6:$A$1005,0))="","",INDEX(RUNS!$J$6:$J$1005,MATCH($D1284,RUNS!$A$6:$A$1005,0))),""))</f>
        <v/>
      </c>
      <c r="Q1284" s="33">
        <f>IF($D1284="","",IFERROR(IF(INDEX(RUNS!$K$6:$K$1005,MATCH($D1284,RUNS!$A$6:$A$1005,0))="","",INDEX(RUNS!$K$6:$K$1005,MATCH($D1284,RUNS!$A$6:$A$1005,0))),""))</f>
        <v/>
      </c>
      <c r="R1284" s="34">
        <f>IF(OR($L1284="",$K1284=""),"",IFERROR(IF(INDEX(PARAMETRES!$H$43:$H$342,MATCH($L1284&amp;"|"&amp;$M1284&amp;"|"&amp;$N1284&amp;"|"&amp;$O1284&amp;"|"&amp;$P1284&amp;"|"&amp;$Q1284&amp;"|"&amp;$K1284,PARAMETRES!$J$43:$J$342,0))="","",INDEX(PARAMETRES!$H$43:$H$342,MATCH($L1284&amp;"|"&amp;$M1284&amp;"|"&amp;$N1284&amp;"|"&amp;$O1284&amp;"|"&amp;$P1284&amp;"|"&amp;$Q1284&amp;"|"&amp;$K1284,PARAMETRES!$J$43:$J$342,0))),""))</f>
        <v/>
      </c>
      <c r="S1284" s="35">
        <f>IF(OR($G1284="",$X1284&lt;&gt;"VALIDE"),"",IFERROR(LOOKUP(2,1/(($B384:$B1283=$B1284)*($G384:$G1283=$G1284)*($X384:$X1283="VALIDE")),$C384:$C1283),""))</f>
        <v/>
      </c>
      <c r="T1284" s="36">
        <f>IF(OR($C1284="",$S1284=""),"",ROUND(($C1284-$S1284+IF($C1284&lt;$S1284,1,0))*1440,0))</f>
        <v/>
      </c>
      <c r="U1284" s="22">
        <f>IF(OR($H1284="",$T1284="",$T1284&lt;=0),"",$H1284*60/$T1284)</f>
        <v/>
      </c>
      <c r="V1284" s="37">
        <f>IF(OR($U1284="",$R1284="",$R1284=0),"",$U1284/$R1284)</f>
        <v/>
      </c>
      <c r="W1284" s="20">
        <f>IF($G1284="","",IF($X1284="CONTEXTE INCOMPLET","CONTEXTE INCOMPLET",IF($X1284="DOUBLON",StatutDoublon,IF($S1284="",StatutInitial,IF($R1284="",StatutStandardManquant,IF($V1284="","DONNEES INSUFFISANTES",IF($V1284&gt;=SeuilConforme,StatutConforme,IF($V1284&gt;=SeuilSurveiller,StatutSurveiller,StatutSousStandard))))))))</f>
        <v/>
      </c>
      <c r="X1284" s="33">
        <f>IF($G1284="","",IF(OR($D1284="",$E1284="",$F1284=""),"CONTEXTE INCOMPLET",IF(COUNTIFS($D384:$D1283,$D1284,$E384:$E1283,$E1284,$F384:$F1283,$F1284,$G384:$G1283,$G1284)&gt;0,"DOUBLON","VALIDE")))</f>
        <v/>
      </c>
    </row>
    <row r="1285" ht="15" customHeight="1">
      <c r="A1285" s="12">
        <f>IF(OR($B1285="",$G1285=""),"",TEXT($B1285,"YYYYMMDD")&amp;"-"&amp;SUBSTITUTE($E1285," ","")&amp;"-"&amp;$F1285&amp;"-"&amp;$G1285)</f>
        <v/>
      </c>
      <c r="B1285" s="15" t="n"/>
      <c r="C1285" s="16" t="n"/>
      <c r="D1285" s="10" t="n"/>
      <c r="E1285" s="9" t="n"/>
      <c r="F1285" s="9" t="n"/>
      <c r="G1285" s="13" t="n"/>
      <c r="H1285" s="21" t="n"/>
      <c r="I1285" s="21" t="n"/>
      <c r="J1285" s="17">
        <f>IF($G1285="","",IFERROR(INDEX(NomsEmployes,MATCH($G1285,MatriculesEmployes,0)),"MATRICULE INCONNU"))</f>
        <v/>
      </c>
      <c r="K1285" s="33">
        <f>IF(OR($D1285="",$F1285=""),"",IFERROR(IF(INDEX(RUNS!$L$6:$S$1005,MATCH($D1285,RUNS!$A$6:$A$1005,0),MATCH("ACTIVITÉ "&amp;$F1285,RUNS!$L$5:$S$5,0))="","",INDEX(RUNS!$L$6:$S$1005,MATCH($D1285,RUNS!$A$6:$A$1005,0),MATCH("ACTIVITÉ "&amp;$F1285,RUNS!$L$5:$S$5,0))),""))</f>
        <v/>
      </c>
      <c r="L1285" s="33">
        <f>IF($D1285="","",IFERROR(IF(INDEX(RUNS!$E$6:$E$1005,MATCH($D1285,RUNS!$A$6:$A$1005,0))="","",INDEX(RUNS!$E$6:$E$1005,MATCH($D1285,RUNS!$A$6:$A$1005,0))),""))</f>
        <v/>
      </c>
      <c r="M1285" s="33">
        <f>IF($D1285="","",IFERROR(IF(INDEX(RUNS!$F$6:$F$1005,MATCH($D1285,RUNS!$A$6:$A$1005,0))="","",INDEX(RUNS!$F$6:$F$1005,MATCH($D1285,RUNS!$A$6:$A$1005,0))),""))</f>
        <v/>
      </c>
      <c r="N1285" s="33">
        <f>IF($D1285="","",IFERROR(IF(INDEX(RUNS!$G$6:$G$1005,MATCH($D1285,RUNS!$A$6:$A$1005,0))="","",INDEX(RUNS!$G$6:$G$1005,MATCH($D1285,RUNS!$A$6:$A$1005,0))),""))</f>
        <v/>
      </c>
      <c r="O1285" s="33">
        <f>IF($D1285="","",IFERROR(IF(INDEX(RUNS!$H$6:$H$1005,MATCH($D1285,RUNS!$A$6:$A$1005,0))="","",INDEX(RUNS!$H$6:$H$1005,MATCH($D1285,RUNS!$A$6:$A$1005,0))),""))</f>
        <v/>
      </c>
      <c r="P1285" s="33">
        <f>IF($D1285="","",IFERROR(IF(INDEX(RUNS!$J$6:$J$1005,MATCH($D1285,RUNS!$A$6:$A$1005,0))="","",INDEX(RUNS!$J$6:$J$1005,MATCH($D1285,RUNS!$A$6:$A$1005,0))),""))</f>
        <v/>
      </c>
      <c r="Q1285" s="33">
        <f>IF($D1285="","",IFERROR(IF(INDEX(RUNS!$K$6:$K$1005,MATCH($D1285,RUNS!$A$6:$A$1005,0))="","",INDEX(RUNS!$K$6:$K$1005,MATCH($D1285,RUNS!$A$6:$A$1005,0))),""))</f>
        <v/>
      </c>
      <c r="R1285" s="34">
        <f>IF(OR($L1285="",$K1285=""),"",IFERROR(IF(INDEX(PARAMETRES!$H$43:$H$342,MATCH($L1285&amp;"|"&amp;$M1285&amp;"|"&amp;$N1285&amp;"|"&amp;$O1285&amp;"|"&amp;$P1285&amp;"|"&amp;$Q1285&amp;"|"&amp;$K1285,PARAMETRES!$J$43:$J$342,0))="","",INDEX(PARAMETRES!$H$43:$H$342,MATCH($L1285&amp;"|"&amp;$M1285&amp;"|"&amp;$N1285&amp;"|"&amp;$O1285&amp;"|"&amp;$P1285&amp;"|"&amp;$Q1285&amp;"|"&amp;$K1285,PARAMETRES!$J$43:$J$342,0))),""))</f>
        <v/>
      </c>
      <c r="S1285" s="35">
        <f>IF(OR($G1285="",$X1285&lt;&gt;"VALIDE"),"",IFERROR(LOOKUP(2,1/(($B385:$B1284=$B1285)*($G385:$G1284=$G1285)*($X385:$X1284="VALIDE")),$C385:$C1284),""))</f>
        <v/>
      </c>
      <c r="T1285" s="36">
        <f>IF(OR($C1285="",$S1285=""),"",ROUND(($C1285-$S1285+IF($C1285&lt;$S1285,1,0))*1440,0))</f>
        <v/>
      </c>
      <c r="U1285" s="22">
        <f>IF(OR($H1285="",$T1285="",$T1285&lt;=0),"",$H1285*60/$T1285)</f>
        <v/>
      </c>
      <c r="V1285" s="37">
        <f>IF(OR($U1285="",$R1285="",$R1285=0),"",$U1285/$R1285)</f>
        <v/>
      </c>
      <c r="W1285" s="20">
        <f>IF($G1285="","",IF($X1285="CONTEXTE INCOMPLET","CONTEXTE INCOMPLET",IF($X1285="DOUBLON",StatutDoublon,IF($S1285="",StatutInitial,IF($R1285="",StatutStandardManquant,IF($V1285="","DONNEES INSUFFISANTES",IF($V1285&gt;=SeuilConforme,StatutConforme,IF($V1285&gt;=SeuilSurveiller,StatutSurveiller,StatutSousStandard))))))))</f>
        <v/>
      </c>
      <c r="X1285" s="33">
        <f>IF($G1285="","",IF(OR($D1285="",$E1285="",$F1285=""),"CONTEXTE INCOMPLET",IF(COUNTIFS($D385:$D1284,$D1285,$E385:$E1284,$E1285,$F385:$F1284,$F1285,$G385:$G1284,$G1285)&gt;0,"DOUBLON","VALIDE")))</f>
        <v/>
      </c>
    </row>
    <row r="1286" ht="15" customHeight="1">
      <c r="A1286" s="12">
        <f>IF(OR($B1286="",$G1286=""),"",TEXT($B1286,"YYYYMMDD")&amp;"-"&amp;SUBSTITUTE($E1286," ","")&amp;"-"&amp;$F1286&amp;"-"&amp;$G1286)</f>
        <v/>
      </c>
      <c r="B1286" s="15" t="n"/>
      <c r="C1286" s="16" t="n"/>
      <c r="D1286" s="10" t="n"/>
      <c r="E1286" s="9" t="n"/>
      <c r="F1286" s="9" t="n"/>
      <c r="G1286" s="13" t="n"/>
      <c r="H1286" s="21" t="n"/>
      <c r="I1286" s="21" t="n"/>
      <c r="J1286" s="17">
        <f>IF($G1286="","",IFERROR(INDEX(NomsEmployes,MATCH($G1286,MatriculesEmployes,0)),"MATRICULE INCONNU"))</f>
        <v/>
      </c>
      <c r="K1286" s="33">
        <f>IF(OR($D1286="",$F1286=""),"",IFERROR(IF(INDEX(RUNS!$L$6:$S$1005,MATCH($D1286,RUNS!$A$6:$A$1005,0),MATCH("ACTIVITÉ "&amp;$F1286,RUNS!$L$5:$S$5,0))="","",INDEX(RUNS!$L$6:$S$1005,MATCH($D1286,RUNS!$A$6:$A$1005,0),MATCH("ACTIVITÉ "&amp;$F1286,RUNS!$L$5:$S$5,0))),""))</f>
        <v/>
      </c>
      <c r="L1286" s="33">
        <f>IF($D1286="","",IFERROR(IF(INDEX(RUNS!$E$6:$E$1005,MATCH($D1286,RUNS!$A$6:$A$1005,0))="","",INDEX(RUNS!$E$6:$E$1005,MATCH($D1286,RUNS!$A$6:$A$1005,0))),""))</f>
        <v/>
      </c>
      <c r="M1286" s="33">
        <f>IF($D1286="","",IFERROR(IF(INDEX(RUNS!$F$6:$F$1005,MATCH($D1286,RUNS!$A$6:$A$1005,0))="","",INDEX(RUNS!$F$6:$F$1005,MATCH($D1286,RUNS!$A$6:$A$1005,0))),""))</f>
        <v/>
      </c>
      <c r="N1286" s="33">
        <f>IF($D1286="","",IFERROR(IF(INDEX(RUNS!$G$6:$G$1005,MATCH($D1286,RUNS!$A$6:$A$1005,0))="","",INDEX(RUNS!$G$6:$G$1005,MATCH($D1286,RUNS!$A$6:$A$1005,0))),""))</f>
        <v/>
      </c>
      <c r="O1286" s="33">
        <f>IF($D1286="","",IFERROR(IF(INDEX(RUNS!$H$6:$H$1005,MATCH($D1286,RUNS!$A$6:$A$1005,0))="","",INDEX(RUNS!$H$6:$H$1005,MATCH($D1286,RUNS!$A$6:$A$1005,0))),""))</f>
        <v/>
      </c>
      <c r="P1286" s="33">
        <f>IF($D1286="","",IFERROR(IF(INDEX(RUNS!$J$6:$J$1005,MATCH($D1286,RUNS!$A$6:$A$1005,0))="","",INDEX(RUNS!$J$6:$J$1005,MATCH($D1286,RUNS!$A$6:$A$1005,0))),""))</f>
        <v/>
      </c>
      <c r="Q1286" s="33">
        <f>IF($D1286="","",IFERROR(IF(INDEX(RUNS!$K$6:$K$1005,MATCH($D1286,RUNS!$A$6:$A$1005,0))="","",INDEX(RUNS!$K$6:$K$1005,MATCH($D1286,RUNS!$A$6:$A$1005,0))),""))</f>
        <v/>
      </c>
      <c r="R1286" s="34">
        <f>IF(OR($L1286="",$K1286=""),"",IFERROR(IF(INDEX(PARAMETRES!$H$43:$H$342,MATCH($L1286&amp;"|"&amp;$M1286&amp;"|"&amp;$N1286&amp;"|"&amp;$O1286&amp;"|"&amp;$P1286&amp;"|"&amp;$Q1286&amp;"|"&amp;$K1286,PARAMETRES!$J$43:$J$342,0))="","",INDEX(PARAMETRES!$H$43:$H$342,MATCH($L1286&amp;"|"&amp;$M1286&amp;"|"&amp;$N1286&amp;"|"&amp;$O1286&amp;"|"&amp;$P1286&amp;"|"&amp;$Q1286&amp;"|"&amp;$K1286,PARAMETRES!$J$43:$J$342,0))),""))</f>
        <v/>
      </c>
      <c r="S1286" s="35">
        <f>IF(OR($G1286="",$X1286&lt;&gt;"VALIDE"),"",IFERROR(LOOKUP(2,1/(($B386:$B1285=$B1286)*($G386:$G1285=$G1286)*($X386:$X1285="VALIDE")),$C386:$C1285),""))</f>
        <v/>
      </c>
      <c r="T1286" s="36">
        <f>IF(OR($C1286="",$S1286=""),"",ROUND(($C1286-$S1286+IF($C1286&lt;$S1286,1,0))*1440,0))</f>
        <v/>
      </c>
      <c r="U1286" s="22">
        <f>IF(OR($H1286="",$T1286="",$T1286&lt;=0),"",$H1286*60/$T1286)</f>
        <v/>
      </c>
      <c r="V1286" s="37">
        <f>IF(OR($U1286="",$R1286="",$R1286=0),"",$U1286/$R1286)</f>
        <v/>
      </c>
      <c r="W1286" s="20">
        <f>IF($G1286="","",IF($X1286="CONTEXTE INCOMPLET","CONTEXTE INCOMPLET",IF($X1286="DOUBLON",StatutDoublon,IF($S1286="",StatutInitial,IF($R1286="",StatutStandardManquant,IF($V1286="","DONNEES INSUFFISANTES",IF($V1286&gt;=SeuilConforme,StatutConforme,IF($V1286&gt;=SeuilSurveiller,StatutSurveiller,StatutSousStandard))))))))</f>
        <v/>
      </c>
      <c r="X1286" s="33">
        <f>IF($G1286="","",IF(OR($D1286="",$E1286="",$F1286=""),"CONTEXTE INCOMPLET",IF(COUNTIFS($D386:$D1285,$D1286,$E386:$E1285,$E1286,$F386:$F1285,$F1286,$G386:$G1285,$G1286)&gt;0,"DOUBLON","VALIDE")))</f>
        <v/>
      </c>
    </row>
    <row r="1287" ht="15" customHeight="1">
      <c r="A1287" s="12">
        <f>IF(OR($B1287="",$G1287=""),"",TEXT($B1287,"YYYYMMDD")&amp;"-"&amp;SUBSTITUTE($E1287," ","")&amp;"-"&amp;$F1287&amp;"-"&amp;$G1287)</f>
        <v/>
      </c>
      <c r="B1287" s="15" t="n"/>
      <c r="C1287" s="16" t="n"/>
      <c r="D1287" s="10" t="n"/>
      <c r="E1287" s="9" t="n"/>
      <c r="F1287" s="9" t="n"/>
      <c r="G1287" s="13" t="n"/>
      <c r="H1287" s="21" t="n"/>
      <c r="I1287" s="21" t="n"/>
      <c r="J1287" s="17">
        <f>IF($G1287="","",IFERROR(INDEX(NomsEmployes,MATCH($G1287,MatriculesEmployes,0)),"MATRICULE INCONNU"))</f>
        <v/>
      </c>
      <c r="K1287" s="33">
        <f>IF(OR($D1287="",$F1287=""),"",IFERROR(IF(INDEX(RUNS!$L$6:$S$1005,MATCH($D1287,RUNS!$A$6:$A$1005,0),MATCH("ACTIVITÉ "&amp;$F1287,RUNS!$L$5:$S$5,0))="","",INDEX(RUNS!$L$6:$S$1005,MATCH($D1287,RUNS!$A$6:$A$1005,0),MATCH("ACTIVITÉ "&amp;$F1287,RUNS!$L$5:$S$5,0))),""))</f>
        <v/>
      </c>
      <c r="L1287" s="33">
        <f>IF($D1287="","",IFERROR(IF(INDEX(RUNS!$E$6:$E$1005,MATCH($D1287,RUNS!$A$6:$A$1005,0))="","",INDEX(RUNS!$E$6:$E$1005,MATCH($D1287,RUNS!$A$6:$A$1005,0))),""))</f>
        <v/>
      </c>
      <c r="M1287" s="33">
        <f>IF($D1287="","",IFERROR(IF(INDEX(RUNS!$F$6:$F$1005,MATCH($D1287,RUNS!$A$6:$A$1005,0))="","",INDEX(RUNS!$F$6:$F$1005,MATCH($D1287,RUNS!$A$6:$A$1005,0))),""))</f>
        <v/>
      </c>
      <c r="N1287" s="33">
        <f>IF($D1287="","",IFERROR(IF(INDEX(RUNS!$G$6:$G$1005,MATCH($D1287,RUNS!$A$6:$A$1005,0))="","",INDEX(RUNS!$G$6:$G$1005,MATCH($D1287,RUNS!$A$6:$A$1005,0))),""))</f>
        <v/>
      </c>
      <c r="O1287" s="33">
        <f>IF($D1287="","",IFERROR(IF(INDEX(RUNS!$H$6:$H$1005,MATCH($D1287,RUNS!$A$6:$A$1005,0))="","",INDEX(RUNS!$H$6:$H$1005,MATCH($D1287,RUNS!$A$6:$A$1005,0))),""))</f>
        <v/>
      </c>
      <c r="P1287" s="33">
        <f>IF($D1287="","",IFERROR(IF(INDEX(RUNS!$J$6:$J$1005,MATCH($D1287,RUNS!$A$6:$A$1005,0))="","",INDEX(RUNS!$J$6:$J$1005,MATCH($D1287,RUNS!$A$6:$A$1005,0))),""))</f>
        <v/>
      </c>
      <c r="Q1287" s="33">
        <f>IF($D1287="","",IFERROR(IF(INDEX(RUNS!$K$6:$K$1005,MATCH($D1287,RUNS!$A$6:$A$1005,0))="","",INDEX(RUNS!$K$6:$K$1005,MATCH($D1287,RUNS!$A$6:$A$1005,0))),""))</f>
        <v/>
      </c>
      <c r="R1287" s="34">
        <f>IF(OR($L1287="",$K1287=""),"",IFERROR(IF(INDEX(PARAMETRES!$H$43:$H$342,MATCH($L1287&amp;"|"&amp;$M1287&amp;"|"&amp;$N1287&amp;"|"&amp;$O1287&amp;"|"&amp;$P1287&amp;"|"&amp;$Q1287&amp;"|"&amp;$K1287,PARAMETRES!$J$43:$J$342,0))="","",INDEX(PARAMETRES!$H$43:$H$342,MATCH($L1287&amp;"|"&amp;$M1287&amp;"|"&amp;$N1287&amp;"|"&amp;$O1287&amp;"|"&amp;$P1287&amp;"|"&amp;$Q1287&amp;"|"&amp;$K1287,PARAMETRES!$J$43:$J$342,0))),""))</f>
        <v/>
      </c>
      <c r="S1287" s="35">
        <f>IF(OR($G1287="",$X1287&lt;&gt;"VALIDE"),"",IFERROR(LOOKUP(2,1/(($B387:$B1286=$B1287)*($G387:$G1286=$G1287)*($X387:$X1286="VALIDE")),$C387:$C1286),""))</f>
        <v/>
      </c>
      <c r="T1287" s="36">
        <f>IF(OR($C1287="",$S1287=""),"",ROUND(($C1287-$S1287+IF($C1287&lt;$S1287,1,0))*1440,0))</f>
        <v/>
      </c>
      <c r="U1287" s="22">
        <f>IF(OR($H1287="",$T1287="",$T1287&lt;=0),"",$H1287*60/$T1287)</f>
        <v/>
      </c>
      <c r="V1287" s="37">
        <f>IF(OR($U1287="",$R1287="",$R1287=0),"",$U1287/$R1287)</f>
        <v/>
      </c>
      <c r="W1287" s="20">
        <f>IF($G1287="","",IF($X1287="CONTEXTE INCOMPLET","CONTEXTE INCOMPLET",IF($X1287="DOUBLON",StatutDoublon,IF($S1287="",StatutInitial,IF($R1287="",StatutStandardManquant,IF($V1287="","DONNEES INSUFFISANTES",IF($V1287&gt;=SeuilConforme,StatutConforme,IF($V1287&gt;=SeuilSurveiller,StatutSurveiller,StatutSousStandard))))))))</f>
        <v/>
      </c>
      <c r="X1287" s="33">
        <f>IF($G1287="","",IF(OR($D1287="",$E1287="",$F1287=""),"CONTEXTE INCOMPLET",IF(COUNTIFS($D387:$D1286,$D1287,$E387:$E1286,$E1287,$F387:$F1286,$F1287,$G387:$G1286,$G1287)&gt;0,"DOUBLON","VALIDE")))</f>
        <v/>
      </c>
    </row>
    <row r="1288" ht="15" customHeight="1">
      <c r="A1288" s="12">
        <f>IF(OR($B1288="",$G1288=""),"",TEXT($B1288,"YYYYMMDD")&amp;"-"&amp;SUBSTITUTE($E1288," ","")&amp;"-"&amp;$F1288&amp;"-"&amp;$G1288)</f>
        <v/>
      </c>
      <c r="B1288" s="15" t="n"/>
      <c r="C1288" s="16" t="n"/>
      <c r="D1288" s="10" t="n"/>
      <c r="E1288" s="9" t="n"/>
      <c r="F1288" s="9" t="n"/>
      <c r="G1288" s="13" t="n"/>
      <c r="H1288" s="21" t="n"/>
      <c r="I1288" s="21" t="n"/>
      <c r="J1288" s="17">
        <f>IF($G1288="","",IFERROR(INDEX(NomsEmployes,MATCH($G1288,MatriculesEmployes,0)),"MATRICULE INCONNU"))</f>
        <v/>
      </c>
      <c r="K1288" s="33">
        <f>IF(OR($D1288="",$F1288=""),"",IFERROR(IF(INDEX(RUNS!$L$6:$S$1005,MATCH($D1288,RUNS!$A$6:$A$1005,0),MATCH("ACTIVITÉ "&amp;$F1288,RUNS!$L$5:$S$5,0))="","",INDEX(RUNS!$L$6:$S$1005,MATCH($D1288,RUNS!$A$6:$A$1005,0),MATCH("ACTIVITÉ "&amp;$F1288,RUNS!$L$5:$S$5,0))),""))</f>
        <v/>
      </c>
      <c r="L1288" s="33">
        <f>IF($D1288="","",IFERROR(IF(INDEX(RUNS!$E$6:$E$1005,MATCH($D1288,RUNS!$A$6:$A$1005,0))="","",INDEX(RUNS!$E$6:$E$1005,MATCH($D1288,RUNS!$A$6:$A$1005,0))),""))</f>
        <v/>
      </c>
      <c r="M1288" s="33">
        <f>IF($D1288="","",IFERROR(IF(INDEX(RUNS!$F$6:$F$1005,MATCH($D1288,RUNS!$A$6:$A$1005,0))="","",INDEX(RUNS!$F$6:$F$1005,MATCH($D1288,RUNS!$A$6:$A$1005,0))),""))</f>
        <v/>
      </c>
      <c r="N1288" s="33">
        <f>IF($D1288="","",IFERROR(IF(INDEX(RUNS!$G$6:$G$1005,MATCH($D1288,RUNS!$A$6:$A$1005,0))="","",INDEX(RUNS!$G$6:$G$1005,MATCH($D1288,RUNS!$A$6:$A$1005,0))),""))</f>
        <v/>
      </c>
      <c r="O1288" s="33">
        <f>IF($D1288="","",IFERROR(IF(INDEX(RUNS!$H$6:$H$1005,MATCH($D1288,RUNS!$A$6:$A$1005,0))="","",INDEX(RUNS!$H$6:$H$1005,MATCH($D1288,RUNS!$A$6:$A$1005,0))),""))</f>
        <v/>
      </c>
      <c r="P1288" s="33">
        <f>IF($D1288="","",IFERROR(IF(INDEX(RUNS!$J$6:$J$1005,MATCH($D1288,RUNS!$A$6:$A$1005,0))="","",INDEX(RUNS!$J$6:$J$1005,MATCH($D1288,RUNS!$A$6:$A$1005,0))),""))</f>
        <v/>
      </c>
      <c r="Q1288" s="33">
        <f>IF($D1288="","",IFERROR(IF(INDEX(RUNS!$K$6:$K$1005,MATCH($D1288,RUNS!$A$6:$A$1005,0))="","",INDEX(RUNS!$K$6:$K$1005,MATCH($D1288,RUNS!$A$6:$A$1005,0))),""))</f>
        <v/>
      </c>
      <c r="R1288" s="34">
        <f>IF(OR($L1288="",$K1288=""),"",IFERROR(IF(INDEX(PARAMETRES!$H$43:$H$342,MATCH($L1288&amp;"|"&amp;$M1288&amp;"|"&amp;$N1288&amp;"|"&amp;$O1288&amp;"|"&amp;$P1288&amp;"|"&amp;$Q1288&amp;"|"&amp;$K1288,PARAMETRES!$J$43:$J$342,0))="","",INDEX(PARAMETRES!$H$43:$H$342,MATCH($L1288&amp;"|"&amp;$M1288&amp;"|"&amp;$N1288&amp;"|"&amp;$O1288&amp;"|"&amp;$P1288&amp;"|"&amp;$Q1288&amp;"|"&amp;$K1288,PARAMETRES!$J$43:$J$342,0))),""))</f>
        <v/>
      </c>
      <c r="S1288" s="35">
        <f>IF(OR($G1288="",$X1288&lt;&gt;"VALIDE"),"",IFERROR(LOOKUP(2,1/(($B388:$B1287=$B1288)*($G388:$G1287=$G1288)*($X388:$X1287="VALIDE")),$C388:$C1287),""))</f>
        <v/>
      </c>
      <c r="T1288" s="36">
        <f>IF(OR($C1288="",$S1288=""),"",ROUND(($C1288-$S1288+IF($C1288&lt;$S1288,1,0))*1440,0))</f>
        <v/>
      </c>
      <c r="U1288" s="22">
        <f>IF(OR($H1288="",$T1288="",$T1288&lt;=0),"",$H1288*60/$T1288)</f>
        <v/>
      </c>
      <c r="V1288" s="37">
        <f>IF(OR($U1288="",$R1288="",$R1288=0),"",$U1288/$R1288)</f>
        <v/>
      </c>
      <c r="W1288" s="20">
        <f>IF($G1288="","",IF($X1288="CONTEXTE INCOMPLET","CONTEXTE INCOMPLET",IF($X1288="DOUBLON",StatutDoublon,IF($S1288="",StatutInitial,IF($R1288="",StatutStandardManquant,IF($V1288="","DONNEES INSUFFISANTES",IF($V1288&gt;=SeuilConforme,StatutConforme,IF($V1288&gt;=SeuilSurveiller,StatutSurveiller,StatutSousStandard))))))))</f>
        <v/>
      </c>
      <c r="X1288" s="33">
        <f>IF($G1288="","",IF(OR($D1288="",$E1288="",$F1288=""),"CONTEXTE INCOMPLET",IF(COUNTIFS($D388:$D1287,$D1288,$E388:$E1287,$E1288,$F388:$F1287,$F1288,$G388:$G1287,$G1288)&gt;0,"DOUBLON","VALIDE")))</f>
        <v/>
      </c>
    </row>
    <row r="1289" ht="15" customHeight="1">
      <c r="A1289" s="12">
        <f>IF(OR($B1289="",$G1289=""),"",TEXT($B1289,"YYYYMMDD")&amp;"-"&amp;SUBSTITUTE($E1289," ","")&amp;"-"&amp;$F1289&amp;"-"&amp;$G1289)</f>
        <v/>
      </c>
      <c r="B1289" s="15" t="n"/>
      <c r="C1289" s="16" t="n"/>
      <c r="D1289" s="10" t="n"/>
      <c r="E1289" s="9" t="n"/>
      <c r="F1289" s="9" t="n"/>
      <c r="G1289" s="13" t="n"/>
      <c r="H1289" s="21" t="n"/>
      <c r="I1289" s="21" t="n"/>
      <c r="J1289" s="17">
        <f>IF($G1289="","",IFERROR(INDEX(NomsEmployes,MATCH($G1289,MatriculesEmployes,0)),"MATRICULE INCONNU"))</f>
        <v/>
      </c>
      <c r="K1289" s="33">
        <f>IF(OR($D1289="",$F1289=""),"",IFERROR(IF(INDEX(RUNS!$L$6:$S$1005,MATCH($D1289,RUNS!$A$6:$A$1005,0),MATCH("ACTIVITÉ "&amp;$F1289,RUNS!$L$5:$S$5,0))="","",INDEX(RUNS!$L$6:$S$1005,MATCH($D1289,RUNS!$A$6:$A$1005,0),MATCH("ACTIVITÉ "&amp;$F1289,RUNS!$L$5:$S$5,0))),""))</f>
        <v/>
      </c>
      <c r="L1289" s="33">
        <f>IF($D1289="","",IFERROR(IF(INDEX(RUNS!$E$6:$E$1005,MATCH($D1289,RUNS!$A$6:$A$1005,0))="","",INDEX(RUNS!$E$6:$E$1005,MATCH($D1289,RUNS!$A$6:$A$1005,0))),""))</f>
        <v/>
      </c>
      <c r="M1289" s="33">
        <f>IF($D1289="","",IFERROR(IF(INDEX(RUNS!$F$6:$F$1005,MATCH($D1289,RUNS!$A$6:$A$1005,0))="","",INDEX(RUNS!$F$6:$F$1005,MATCH($D1289,RUNS!$A$6:$A$1005,0))),""))</f>
        <v/>
      </c>
      <c r="N1289" s="33">
        <f>IF($D1289="","",IFERROR(IF(INDEX(RUNS!$G$6:$G$1005,MATCH($D1289,RUNS!$A$6:$A$1005,0))="","",INDEX(RUNS!$G$6:$G$1005,MATCH($D1289,RUNS!$A$6:$A$1005,0))),""))</f>
        <v/>
      </c>
      <c r="O1289" s="33">
        <f>IF($D1289="","",IFERROR(IF(INDEX(RUNS!$H$6:$H$1005,MATCH($D1289,RUNS!$A$6:$A$1005,0))="","",INDEX(RUNS!$H$6:$H$1005,MATCH($D1289,RUNS!$A$6:$A$1005,0))),""))</f>
        <v/>
      </c>
      <c r="P1289" s="33">
        <f>IF($D1289="","",IFERROR(IF(INDEX(RUNS!$J$6:$J$1005,MATCH($D1289,RUNS!$A$6:$A$1005,0))="","",INDEX(RUNS!$J$6:$J$1005,MATCH($D1289,RUNS!$A$6:$A$1005,0))),""))</f>
        <v/>
      </c>
      <c r="Q1289" s="33">
        <f>IF($D1289="","",IFERROR(IF(INDEX(RUNS!$K$6:$K$1005,MATCH($D1289,RUNS!$A$6:$A$1005,0))="","",INDEX(RUNS!$K$6:$K$1005,MATCH($D1289,RUNS!$A$6:$A$1005,0))),""))</f>
        <v/>
      </c>
      <c r="R1289" s="34">
        <f>IF(OR($L1289="",$K1289=""),"",IFERROR(IF(INDEX(PARAMETRES!$H$43:$H$342,MATCH($L1289&amp;"|"&amp;$M1289&amp;"|"&amp;$N1289&amp;"|"&amp;$O1289&amp;"|"&amp;$P1289&amp;"|"&amp;$Q1289&amp;"|"&amp;$K1289,PARAMETRES!$J$43:$J$342,0))="","",INDEX(PARAMETRES!$H$43:$H$342,MATCH($L1289&amp;"|"&amp;$M1289&amp;"|"&amp;$N1289&amp;"|"&amp;$O1289&amp;"|"&amp;$P1289&amp;"|"&amp;$Q1289&amp;"|"&amp;$K1289,PARAMETRES!$J$43:$J$342,0))),""))</f>
        <v/>
      </c>
      <c r="S1289" s="35">
        <f>IF(OR($G1289="",$X1289&lt;&gt;"VALIDE"),"",IFERROR(LOOKUP(2,1/(($B389:$B1288=$B1289)*($G389:$G1288=$G1289)*($X389:$X1288="VALIDE")),$C389:$C1288),""))</f>
        <v/>
      </c>
      <c r="T1289" s="36">
        <f>IF(OR($C1289="",$S1289=""),"",ROUND(($C1289-$S1289+IF($C1289&lt;$S1289,1,0))*1440,0))</f>
        <v/>
      </c>
      <c r="U1289" s="22">
        <f>IF(OR($H1289="",$T1289="",$T1289&lt;=0),"",$H1289*60/$T1289)</f>
        <v/>
      </c>
      <c r="V1289" s="37">
        <f>IF(OR($U1289="",$R1289="",$R1289=0),"",$U1289/$R1289)</f>
        <v/>
      </c>
      <c r="W1289" s="20">
        <f>IF($G1289="","",IF($X1289="CONTEXTE INCOMPLET","CONTEXTE INCOMPLET",IF($X1289="DOUBLON",StatutDoublon,IF($S1289="",StatutInitial,IF($R1289="",StatutStandardManquant,IF($V1289="","DONNEES INSUFFISANTES",IF($V1289&gt;=SeuilConforme,StatutConforme,IF($V1289&gt;=SeuilSurveiller,StatutSurveiller,StatutSousStandard))))))))</f>
        <v/>
      </c>
      <c r="X1289" s="33">
        <f>IF($G1289="","",IF(OR($D1289="",$E1289="",$F1289=""),"CONTEXTE INCOMPLET",IF(COUNTIFS($D389:$D1288,$D1289,$E389:$E1288,$E1289,$F389:$F1288,$F1289,$G389:$G1288,$G1289)&gt;0,"DOUBLON","VALIDE")))</f>
        <v/>
      </c>
    </row>
    <row r="1290" ht="15" customHeight="1">
      <c r="A1290" s="12">
        <f>IF(OR($B1290="",$G1290=""),"",TEXT($B1290,"YYYYMMDD")&amp;"-"&amp;SUBSTITUTE($E1290," ","")&amp;"-"&amp;$F1290&amp;"-"&amp;$G1290)</f>
        <v/>
      </c>
      <c r="B1290" s="15" t="n"/>
      <c r="C1290" s="16" t="n"/>
      <c r="D1290" s="10" t="n"/>
      <c r="E1290" s="9" t="n"/>
      <c r="F1290" s="9" t="n"/>
      <c r="G1290" s="13" t="n"/>
      <c r="H1290" s="21" t="n"/>
      <c r="I1290" s="21" t="n"/>
      <c r="J1290" s="17">
        <f>IF($G1290="","",IFERROR(INDEX(NomsEmployes,MATCH($G1290,MatriculesEmployes,0)),"MATRICULE INCONNU"))</f>
        <v/>
      </c>
      <c r="K1290" s="33">
        <f>IF(OR($D1290="",$F1290=""),"",IFERROR(IF(INDEX(RUNS!$L$6:$S$1005,MATCH($D1290,RUNS!$A$6:$A$1005,0),MATCH("ACTIVITÉ "&amp;$F1290,RUNS!$L$5:$S$5,0))="","",INDEX(RUNS!$L$6:$S$1005,MATCH($D1290,RUNS!$A$6:$A$1005,0),MATCH("ACTIVITÉ "&amp;$F1290,RUNS!$L$5:$S$5,0))),""))</f>
        <v/>
      </c>
      <c r="L1290" s="33">
        <f>IF($D1290="","",IFERROR(IF(INDEX(RUNS!$E$6:$E$1005,MATCH($D1290,RUNS!$A$6:$A$1005,0))="","",INDEX(RUNS!$E$6:$E$1005,MATCH($D1290,RUNS!$A$6:$A$1005,0))),""))</f>
        <v/>
      </c>
      <c r="M1290" s="33">
        <f>IF($D1290="","",IFERROR(IF(INDEX(RUNS!$F$6:$F$1005,MATCH($D1290,RUNS!$A$6:$A$1005,0))="","",INDEX(RUNS!$F$6:$F$1005,MATCH($D1290,RUNS!$A$6:$A$1005,0))),""))</f>
        <v/>
      </c>
      <c r="N1290" s="33">
        <f>IF($D1290="","",IFERROR(IF(INDEX(RUNS!$G$6:$G$1005,MATCH($D1290,RUNS!$A$6:$A$1005,0))="","",INDEX(RUNS!$G$6:$G$1005,MATCH($D1290,RUNS!$A$6:$A$1005,0))),""))</f>
        <v/>
      </c>
      <c r="O1290" s="33">
        <f>IF($D1290="","",IFERROR(IF(INDEX(RUNS!$H$6:$H$1005,MATCH($D1290,RUNS!$A$6:$A$1005,0))="","",INDEX(RUNS!$H$6:$H$1005,MATCH($D1290,RUNS!$A$6:$A$1005,0))),""))</f>
        <v/>
      </c>
      <c r="P1290" s="33">
        <f>IF($D1290="","",IFERROR(IF(INDEX(RUNS!$J$6:$J$1005,MATCH($D1290,RUNS!$A$6:$A$1005,0))="","",INDEX(RUNS!$J$6:$J$1005,MATCH($D1290,RUNS!$A$6:$A$1005,0))),""))</f>
        <v/>
      </c>
      <c r="Q1290" s="33">
        <f>IF($D1290="","",IFERROR(IF(INDEX(RUNS!$K$6:$K$1005,MATCH($D1290,RUNS!$A$6:$A$1005,0))="","",INDEX(RUNS!$K$6:$K$1005,MATCH($D1290,RUNS!$A$6:$A$1005,0))),""))</f>
        <v/>
      </c>
      <c r="R1290" s="34">
        <f>IF(OR($L1290="",$K1290=""),"",IFERROR(IF(INDEX(PARAMETRES!$H$43:$H$342,MATCH($L1290&amp;"|"&amp;$M1290&amp;"|"&amp;$N1290&amp;"|"&amp;$O1290&amp;"|"&amp;$P1290&amp;"|"&amp;$Q1290&amp;"|"&amp;$K1290,PARAMETRES!$J$43:$J$342,0))="","",INDEX(PARAMETRES!$H$43:$H$342,MATCH($L1290&amp;"|"&amp;$M1290&amp;"|"&amp;$N1290&amp;"|"&amp;$O1290&amp;"|"&amp;$P1290&amp;"|"&amp;$Q1290&amp;"|"&amp;$K1290,PARAMETRES!$J$43:$J$342,0))),""))</f>
        <v/>
      </c>
      <c r="S1290" s="35">
        <f>IF(OR($G1290="",$X1290&lt;&gt;"VALIDE"),"",IFERROR(LOOKUP(2,1/(($B390:$B1289=$B1290)*($G390:$G1289=$G1290)*($X390:$X1289="VALIDE")),$C390:$C1289),""))</f>
        <v/>
      </c>
      <c r="T1290" s="36">
        <f>IF(OR($C1290="",$S1290=""),"",ROUND(($C1290-$S1290+IF($C1290&lt;$S1290,1,0))*1440,0))</f>
        <v/>
      </c>
      <c r="U1290" s="22">
        <f>IF(OR($H1290="",$T1290="",$T1290&lt;=0),"",$H1290*60/$T1290)</f>
        <v/>
      </c>
      <c r="V1290" s="37">
        <f>IF(OR($U1290="",$R1290="",$R1290=0),"",$U1290/$R1290)</f>
        <v/>
      </c>
      <c r="W1290" s="20">
        <f>IF($G1290="","",IF($X1290="CONTEXTE INCOMPLET","CONTEXTE INCOMPLET",IF($X1290="DOUBLON",StatutDoublon,IF($S1290="",StatutInitial,IF($R1290="",StatutStandardManquant,IF($V1290="","DONNEES INSUFFISANTES",IF($V1290&gt;=SeuilConforme,StatutConforme,IF($V1290&gt;=SeuilSurveiller,StatutSurveiller,StatutSousStandard))))))))</f>
        <v/>
      </c>
      <c r="X1290" s="33">
        <f>IF($G1290="","",IF(OR($D1290="",$E1290="",$F1290=""),"CONTEXTE INCOMPLET",IF(COUNTIFS($D390:$D1289,$D1290,$E390:$E1289,$E1290,$F390:$F1289,$F1290,$G390:$G1289,$G1290)&gt;0,"DOUBLON","VALIDE")))</f>
        <v/>
      </c>
    </row>
    <row r="1291" ht="15" customHeight="1">
      <c r="A1291" s="12">
        <f>IF(OR($B1291="",$G1291=""),"",TEXT($B1291,"YYYYMMDD")&amp;"-"&amp;SUBSTITUTE($E1291," ","")&amp;"-"&amp;$F1291&amp;"-"&amp;$G1291)</f>
        <v/>
      </c>
      <c r="B1291" s="15" t="n"/>
      <c r="C1291" s="16" t="n"/>
      <c r="D1291" s="10" t="n"/>
      <c r="E1291" s="9" t="n"/>
      <c r="F1291" s="9" t="n"/>
      <c r="G1291" s="13" t="n"/>
      <c r="H1291" s="21" t="n"/>
      <c r="I1291" s="21" t="n"/>
      <c r="J1291" s="17">
        <f>IF($G1291="","",IFERROR(INDEX(NomsEmployes,MATCH($G1291,MatriculesEmployes,0)),"MATRICULE INCONNU"))</f>
        <v/>
      </c>
      <c r="K1291" s="33">
        <f>IF(OR($D1291="",$F1291=""),"",IFERROR(IF(INDEX(RUNS!$L$6:$S$1005,MATCH($D1291,RUNS!$A$6:$A$1005,0),MATCH("ACTIVITÉ "&amp;$F1291,RUNS!$L$5:$S$5,0))="","",INDEX(RUNS!$L$6:$S$1005,MATCH($D1291,RUNS!$A$6:$A$1005,0),MATCH("ACTIVITÉ "&amp;$F1291,RUNS!$L$5:$S$5,0))),""))</f>
        <v/>
      </c>
      <c r="L1291" s="33">
        <f>IF($D1291="","",IFERROR(IF(INDEX(RUNS!$E$6:$E$1005,MATCH($D1291,RUNS!$A$6:$A$1005,0))="","",INDEX(RUNS!$E$6:$E$1005,MATCH($D1291,RUNS!$A$6:$A$1005,0))),""))</f>
        <v/>
      </c>
      <c r="M1291" s="33">
        <f>IF($D1291="","",IFERROR(IF(INDEX(RUNS!$F$6:$F$1005,MATCH($D1291,RUNS!$A$6:$A$1005,0))="","",INDEX(RUNS!$F$6:$F$1005,MATCH($D1291,RUNS!$A$6:$A$1005,0))),""))</f>
        <v/>
      </c>
      <c r="N1291" s="33">
        <f>IF($D1291="","",IFERROR(IF(INDEX(RUNS!$G$6:$G$1005,MATCH($D1291,RUNS!$A$6:$A$1005,0))="","",INDEX(RUNS!$G$6:$G$1005,MATCH($D1291,RUNS!$A$6:$A$1005,0))),""))</f>
        <v/>
      </c>
      <c r="O1291" s="33">
        <f>IF($D1291="","",IFERROR(IF(INDEX(RUNS!$H$6:$H$1005,MATCH($D1291,RUNS!$A$6:$A$1005,0))="","",INDEX(RUNS!$H$6:$H$1005,MATCH($D1291,RUNS!$A$6:$A$1005,0))),""))</f>
        <v/>
      </c>
      <c r="P1291" s="33">
        <f>IF($D1291="","",IFERROR(IF(INDEX(RUNS!$J$6:$J$1005,MATCH($D1291,RUNS!$A$6:$A$1005,0))="","",INDEX(RUNS!$J$6:$J$1005,MATCH($D1291,RUNS!$A$6:$A$1005,0))),""))</f>
        <v/>
      </c>
      <c r="Q1291" s="33">
        <f>IF($D1291="","",IFERROR(IF(INDEX(RUNS!$K$6:$K$1005,MATCH($D1291,RUNS!$A$6:$A$1005,0))="","",INDEX(RUNS!$K$6:$K$1005,MATCH($D1291,RUNS!$A$6:$A$1005,0))),""))</f>
        <v/>
      </c>
      <c r="R1291" s="34">
        <f>IF(OR($L1291="",$K1291=""),"",IFERROR(IF(INDEX(PARAMETRES!$H$43:$H$342,MATCH($L1291&amp;"|"&amp;$M1291&amp;"|"&amp;$N1291&amp;"|"&amp;$O1291&amp;"|"&amp;$P1291&amp;"|"&amp;$Q1291&amp;"|"&amp;$K1291,PARAMETRES!$J$43:$J$342,0))="","",INDEX(PARAMETRES!$H$43:$H$342,MATCH($L1291&amp;"|"&amp;$M1291&amp;"|"&amp;$N1291&amp;"|"&amp;$O1291&amp;"|"&amp;$P1291&amp;"|"&amp;$Q1291&amp;"|"&amp;$K1291,PARAMETRES!$J$43:$J$342,0))),""))</f>
        <v/>
      </c>
      <c r="S1291" s="35">
        <f>IF(OR($G1291="",$X1291&lt;&gt;"VALIDE"),"",IFERROR(LOOKUP(2,1/(($B391:$B1290=$B1291)*($G391:$G1290=$G1291)*($X391:$X1290="VALIDE")),$C391:$C1290),""))</f>
        <v/>
      </c>
      <c r="T1291" s="36">
        <f>IF(OR($C1291="",$S1291=""),"",ROUND(($C1291-$S1291+IF($C1291&lt;$S1291,1,0))*1440,0))</f>
        <v/>
      </c>
      <c r="U1291" s="22">
        <f>IF(OR($H1291="",$T1291="",$T1291&lt;=0),"",$H1291*60/$T1291)</f>
        <v/>
      </c>
      <c r="V1291" s="37">
        <f>IF(OR($U1291="",$R1291="",$R1291=0),"",$U1291/$R1291)</f>
        <v/>
      </c>
      <c r="W1291" s="20">
        <f>IF($G1291="","",IF($X1291="CONTEXTE INCOMPLET","CONTEXTE INCOMPLET",IF($X1291="DOUBLON",StatutDoublon,IF($S1291="",StatutInitial,IF($R1291="",StatutStandardManquant,IF($V1291="","DONNEES INSUFFISANTES",IF($V1291&gt;=SeuilConforme,StatutConforme,IF($V1291&gt;=SeuilSurveiller,StatutSurveiller,StatutSousStandard))))))))</f>
        <v/>
      </c>
      <c r="X1291" s="33">
        <f>IF($G1291="","",IF(OR($D1291="",$E1291="",$F1291=""),"CONTEXTE INCOMPLET",IF(COUNTIFS($D391:$D1290,$D1291,$E391:$E1290,$E1291,$F391:$F1290,$F1291,$G391:$G1290,$G1291)&gt;0,"DOUBLON","VALIDE")))</f>
        <v/>
      </c>
    </row>
    <row r="1292" ht="15" customHeight="1">
      <c r="A1292" s="12">
        <f>IF(OR($B1292="",$G1292=""),"",TEXT($B1292,"YYYYMMDD")&amp;"-"&amp;SUBSTITUTE($E1292," ","")&amp;"-"&amp;$F1292&amp;"-"&amp;$G1292)</f>
        <v/>
      </c>
      <c r="B1292" s="15" t="n"/>
      <c r="C1292" s="16" t="n"/>
      <c r="D1292" s="10" t="n"/>
      <c r="E1292" s="9" t="n"/>
      <c r="F1292" s="9" t="n"/>
      <c r="G1292" s="13" t="n"/>
      <c r="H1292" s="21" t="n"/>
      <c r="I1292" s="21" t="n"/>
      <c r="J1292" s="17">
        <f>IF($G1292="","",IFERROR(INDEX(NomsEmployes,MATCH($G1292,MatriculesEmployes,0)),"MATRICULE INCONNU"))</f>
        <v/>
      </c>
      <c r="K1292" s="33">
        <f>IF(OR($D1292="",$F1292=""),"",IFERROR(IF(INDEX(RUNS!$L$6:$S$1005,MATCH($D1292,RUNS!$A$6:$A$1005,0),MATCH("ACTIVITÉ "&amp;$F1292,RUNS!$L$5:$S$5,0))="","",INDEX(RUNS!$L$6:$S$1005,MATCH($D1292,RUNS!$A$6:$A$1005,0),MATCH("ACTIVITÉ "&amp;$F1292,RUNS!$L$5:$S$5,0))),""))</f>
        <v/>
      </c>
      <c r="L1292" s="33">
        <f>IF($D1292="","",IFERROR(IF(INDEX(RUNS!$E$6:$E$1005,MATCH($D1292,RUNS!$A$6:$A$1005,0))="","",INDEX(RUNS!$E$6:$E$1005,MATCH($D1292,RUNS!$A$6:$A$1005,0))),""))</f>
        <v/>
      </c>
      <c r="M1292" s="33">
        <f>IF($D1292="","",IFERROR(IF(INDEX(RUNS!$F$6:$F$1005,MATCH($D1292,RUNS!$A$6:$A$1005,0))="","",INDEX(RUNS!$F$6:$F$1005,MATCH($D1292,RUNS!$A$6:$A$1005,0))),""))</f>
        <v/>
      </c>
      <c r="N1292" s="33">
        <f>IF($D1292="","",IFERROR(IF(INDEX(RUNS!$G$6:$G$1005,MATCH($D1292,RUNS!$A$6:$A$1005,0))="","",INDEX(RUNS!$G$6:$G$1005,MATCH($D1292,RUNS!$A$6:$A$1005,0))),""))</f>
        <v/>
      </c>
      <c r="O1292" s="33">
        <f>IF($D1292="","",IFERROR(IF(INDEX(RUNS!$H$6:$H$1005,MATCH($D1292,RUNS!$A$6:$A$1005,0))="","",INDEX(RUNS!$H$6:$H$1005,MATCH($D1292,RUNS!$A$6:$A$1005,0))),""))</f>
        <v/>
      </c>
      <c r="P1292" s="33">
        <f>IF($D1292="","",IFERROR(IF(INDEX(RUNS!$J$6:$J$1005,MATCH($D1292,RUNS!$A$6:$A$1005,0))="","",INDEX(RUNS!$J$6:$J$1005,MATCH($D1292,RUNS!$A$6:$A$1005,0))),""))</f>
        <v/>
      </c>
      <c r="Q1292" s="33">
        <f>IF($D1292="","",IFERROR(IF(INDEX(RUNS!$K$6:$K$1005,MATCH($D1292,RUNS!$A$6:$A$1005,0))="","",INDEX(RUNS!$K$6:$K$1005,MATCH($D1292,RUNS!$A$6:$A$1005,0))),""))</f>
        <v/>
      </c>
      <c r="R1292" s="34">
        <f>IF(OR($L1292="",$K1292=""),"",IFERROR(IF(INDEX(PARAMETRES!$H$43:$H$342,MATCH($L1292&amp;"|"&amp;$M1292&amp;"|"&amp;$N1292&amp;"|"&amp;$O1292&amp;"|"&amp;$P1292&amp;"|"&amp;$Q1292&amp;"|"&amp;$K1292,PARAMETRES!$J$43:$J$342,0))="","",INDEX(PARAMETRES!$H$43:$H$342,MATCH($L1292&amp;"|"&amp;$M1292&amp;"|"&amp;$N1292&amp;"|"&amp;$O1292&amp;"|"&amp;$P1292&amp;"|"&amp;$Q1292&amp;"|"&amp;$K1292,PARAMETRES!$J$43:$J$342,0))),""))</f>
        <v/>
      </c>
      <c r="S1292" s="35">
        <f>IF(OR($G1292="",$X1292&lt;&gt;"VALIDE"),"",IFERROR(LOOKUP(2,1/(($B392:$B1291=$B1292)*($G392:$G1291=$G1292)*($X392:$X1291="VALIDE")),$C392:$C1291),""))</f>
        <v/>
      </c>
      <c r="T1292" s="36">
        <f>IF(OR($C1292="",$S1292=""),"",ROUND(($C1292-$S1292+IF($C1292&lt;$S1292,1,0))*1440,0))</f>
        <v/>
      </c>
      <c r="U1292" s="22">
        <f>IF(OR($H1292="",$T1292="",$T1292&lt;=0),"",$H1292*60/$T1292)</f>
        <v/>
      </c>
      <c r="V1292" s="37">
        <f>IF(OR($U1292="",$R1292="",$R1292=0),"",$U1292/$R1292)</f>
        <v/>
      </c>
      <c r="W1292" s="20">
        <f>IF($G1292="","",IF($X1292="CONTEXTE INCOMPLET","CONTEXTE INCOMPLET",IF($X1292="DOUBLON",StatutDoublon,IF($S1292="",StatutInitial,IF($R1292="",StatutStandardManquant,IF($V1292="","DONNEES INSUFFISANTES",IF($V1292&gt;=SeuilConforme,StatutConforme,IF($V1292&gt;=SeuilSurveiller,StatutSurveiller,StatutSousStandard))))))))</f>
        <v/>
      </c>
      <c r="X1292" s="33">
        <f>IF($G1292="","",IF(OR($D1292="",$E1292="",$F1292=""),"CONTEXTE INCOMPLET",IF(COUNTIFS($D392:$D1291,$D1292,$E392:$E1291,$E1292,$F392:$F1291,$F1292,$G392:$G1291,$G1292)&gt;0,"DOUBLON","VALIDE")))</f>
        <v/>
      </c>
    </row>
    <row r="1293" ht="15" customHeight="1">
      <c r="A1293" s="12">
        <f>IF(OR($B1293="",$G1293=""),"",TEXT($B1293,"YYYYMMDD")&amp;"-"&amp;SUBSTITUTE($E1293," ","")&amp;"-"&amp;$F1293&amp;"-"&amp;$G1293)</f>
        <v/>
      </c>
      <c r="B1293" s="15" t="n"/>
      <c r="C1293" s="16" t="n"/>
      <c r="D1293" s="10" t="n"/>
      <c r="E1293" s="9" t="n"/>
      <c r="F1293" s="9" t="n"/>
      <c r="G1293" s="13" t="n"/>
      <c r="H1293" s="21" t="n"/>
      <c r="I1293" s="21" t="n"/>
      <c r="J1293" s="17">
        <f>IF($G1293="","",IFERROR(INDEX(NomsEmployes,MATCH($G1293,MatriculesEmployes,0)),"MATRICULE INCONNU"))</f>
        <v/>
      </c>
      <c r="K1293" s="33">
        <f>IF(OR($D1293="",$F1293=""),"",IFERROR(IF(INDEX(RUNS!$L$6:$S$1005,MATCH($D1293,RUNS!$A$6:$A$1005,0),MATCH("ACTIVITÉ "&amp;$F1293,RUNS!$L$5:$S$5,0))="","",INDEX(RUNS!$L$6:$S$1005,MATCH($D1293,RUNS!$A$6:$A$1005,0),MATCH("ACTIVITÉ "&amp;$F1293,RUNS!$L$5:$S$5,0))),""))</f>
        <v/>
      </c>
      <c r="L1293" s="33">
        <f>IF($D1293="","",IFERROR(IF(INDEX(RUNS!$E$6:$E$1005,MATCH($D1293,RUNS!$A$6:$A$1005,0))="","",INDEX(RUNS!$E$6:$E$1005,MATCH($D1293,RUNS!$A$6:$A$1005,0))),""))</f>
        <v/>
      </c>
      <c r="M1293" s="33">
        <f>IF($D1293="","",IFERROR(IF(INDEX(RUNS!$F$6:$F$1005,MATCH($D1293,RUNS!$A$6:$A$1005,0))="","",INDEX(RUNS!$F$6:$F$1005,MATCH($D1293,RUNS!$A$6:$A$1005,0))),""))</f>
        <v/>
      </c>
      <c r="N1293" s="33">
        <f>IF($D1293="","",IFERROR(IF(INDEX(RUNS!$G$6:$G$1005,MATCH($D1293,RUNS!$A$6:$A$1005,0))="","",INDEX(RUNS!$G$6:$G$1005,MATCH($D1293,RUNS!$A$6:$A$1005,0))),""))</f>
        <v/>
      </c>
      <c r="O1293" s="33">
        <f>IF($D1293="","",IFERROR(IF(INDEX(RUNS!$H$6:$H$1005,MATCH($D1293,RUNS!$A$6:$A$1005,0))="","",INDEX(RUNS!$H$6:$H$1005,MATCH($D1293,RUNS!$A$6:$A$1005,0))),""))</f>
        <v/>
      </c>
      <c r="P1293" s="33">
        <f>IF($D1293="","",IFERROR(IF(INDEX(RUNS!$J$6:$J$1005,MATCH($D1293,RUNS!$A$6:$A$1005,0))="","",INDEX(RUNS!$J$6:$J$1005,MATCH($D1293,RUNS!$A$6:$A$1005,0))),""))</f>
        <v/>
      </c>
      <c r="Q1293" s="33">
        <f>IF($D1293="","",IFERROR(IF(INDEX(RUNS!$K$6:$K$1005,MATCH($D1293,RUNS!$A$6:$A$1005,0))="","",INDEX(RUNS!$K$6:$K$1005,MATCH($D1293,RUNS!$A$6:$A$1005,0))),""))</f>
        <v/>
      </c>
      <c r="R1293" s="34">
        <f>IF(OR($L1293="",$K1293=""),"",IFERROR(IF(INDEX(PARAMETRES!$H$43:$H$342,MATCH($L1293&amp;"|"&amp;$M1293&amp;"|"&amp;$N1293&amp;"|"&amp;$O1293&amp;"|"&amp;$P1293&amp;"|"&amp;$Q1293&amp;"|"&amp;$K1293,PARAMETRES!$J$43:$J$342,0))="","",INDEX(PARAMETRES!$H$43:$H$342,MATCH($L1293&amp;"|"&amp;$M1293&amp;"|"&amp;$N1293&amp;"|"&amp;$O1293&amp;"|"&amp;$P1293&amp;"|"&amp;$Q1293&amp;"|"&amp;$K1293,PARAMETRES!$J$43:$J$342,0))),""))</f>
        <v/>
      </c>
      <c r="S1293" s="35">
        <f>IF(OR($G1293="",$X1293&lt;&gt;"VALIDE"),"",IFERROR(LOOKUP(2,1/(($B393:$B1292=$B1293)*($G393:$G1292=$G1293)*($X393:$X1292="VALIDE")),$C393:$C1292),""))</f>
        <v/>
      </c>
      <c r="T1293" s="36">
        <f>IF(OR($C1293="",$S1293=""),"",ROUND(($C1293-$S1293+IF($C1293&lt;$S1293,1,0))*1440,0))</f>
        <v/>
      </c>
      <c r="U1293" s="22">
        <f>IF(OR($H1293="",$T1293="",$T1293&lt;=0),"",$H1293*60/$T1293)</f>
        <v/>
      </c>
      <c r="V1293" s="37">
        <f>IF(OR($U1293="",$R1293="",$R1293=0),"",$U1293/$R1293)</f>
        <v/>
      </c>
      <c r="W1293" s="20">
        <f>IF($G1293="","",IF($X1293="CONTEXTE INCOMPLET","CONTEXTE INCOMPLET",IF($X1293="DOUBLON",StatutDoublon,IF($S1293="",StatutInitial,IF($R1293="",StatutStandardManquant,IF($V1293="","DONNEES INSUFFISANTES",IF($V1293&gt;=SeuilConforme,StatutConforme,IF($V1293&gt;=SeuilSurveiller,StatutSurveiller,StatutSousStandard))))))))</f>
        <v/>
      </c>
      <c r="X1293" s="33">
        <f>IF($G1293="","",IF(OR($D1293="",$E1293="",$F1293=""),"CONTEXTE INCOMPLET",IF(COUNTIFS($D393:$D1292,$D1293,$E393:$E1292,$E1293,$F393:$F1292,$F1293,$G393:$G1292,$G1293)&gt;0,"DOUBLON","VALIDE")))</f>
        <v/>
      </c>
    </row>
    <row r="1294" ht="15" customHeight="1">
      <c r="A1294" s="12">
        <f>IF(OR($B1294="",$G1294=""),"",TEXT($B1294,"YYYYMMDD")&amp;"-"&amp;SUBSTITUTE($E1294," ","")&amp;"-"&amp;$F1294&amp;"-"&amp;$G1294)</f>
        <v/>
      </c>
      <c r="B1294" s="15" t="n"/>
      <c r="C1294" s="16" t="n"/>
      <c r="D1294" s="10" t="n"/>
      <c r="E1294" s="9" t="n"/>
      <c r="F1294" s="9" t="n"/>
      <c r="G1294" s="13" t="n"/>
      <c r="H1294" s="21" t="n"/>
      <c r="I1294" s="21" t="n"/>
      <c r="J1294" s="17">
        <f>IF($G1294="","",IFERROR(INDEX(NomsEmployes,MATCH($G1294,MatriculesEmployes,0)),"MATRICULE INCONNU"))</f>
        <v/>
      </c>
      <c r="K1294" s="33">
        <f>IF(OR($D1294="",$F1294=""),"",IFERROR(IF(INDEX(RUNS!$L$6:$S$1005,MATCH($D1294,RUNS!$A$6:$A$1005,0),MATCH("ACTIVITÉ "&amp;$F1294,RUNS!$L$5:$S$5,0))="","",INDEX(RUNS!$L$6:$S$1005,MATCH($D1294,RUNS!$A$6:$A$1005,0),MATCH("ACTIVITÉ "&amp;$F1294,RUNS!$L$5:$S$5,0))),""))</f>
        <v/>
      </c>
      <c r="L1294" s="33">
        <f>IF($D1294="","",IFERROR(IF(INDEX(RUNS!$E$6:$E$1005,MATCH($D1294,RUNS!$A$6:$A$1005,0))="","",INDEX(RUNS!$E$6:$E$1005,MATCH($D1294,RUNS!$A$6:$A$1005,0))),""))</f>
        <v/>
      </c>
      <c r="M1294" s="33">
        <f>IF($D1294="","",IFERROR(IF(INDEX(RUNS!$F$6:$F$1005,MATCH($D1294,RUNS!$A$6:$A$1005,0))="","",INDEX(RUNS!$F$6:$F$1005,MATCH($D1294,RUNS!$A$6:$A$1005,0))),""))</f>
        <v/>
      </c>
      <c r="N1294" s="33">
        <f>IF($D1294="","",IFERROR(IF(INDEX(RUNS!$G$6:$G$1005,MATCH($D1294,RUNS!$A$6:$A$1005,0))="","",INDEX(RUNS!$G$6:$G$1005,MATCH($D1294,RUNS!$A$6:$A$1005,0))),""))</f>
        <v/>
      </c>
      <c r="O1294" s="33">
        <f>IF($D1294="","",IFERROR(IF(INDEX(RUNS!$H$6:$H$1005,MATCH($D1294,RUNS!$A$6:$A$1005,0))="","",INDEX(RUNS!$H$6:$H$1005,MATCH($D1294,RUNS!$A$6:$A$1005,0))),""))</f>
        <v/>
      </c>
      <c r="P1294" s="33">
        <f>IF($D1294="","",IFERROR(IF(INDEX(RUNS!$J$6:$J$1005,MATCH($D1294,RUNS!$A$6:$A$1005,0))="","",INDEX(RUNS!$J$6:$J$1005,MATCH($D1294,RUNS!$A$6:$A$1005,0))),""))</f>
        <v/>
      </c>
      <c r="Q1294" s="33">
        <f>IF($D1294="","",IFERROR(IF(INDEX(RUNS!$K$6:$K$1005,MATCH($D1294,RUNS!$A$6:$A$1005,0))="","",INDEX(RUNS!$K$6:$K$1005,MATCH($D1294,RUNS!$A$6:$A$1005,0))),""))</f>
        <v/>
      </c>
      <c r="R1294" s="34">
        <f>IF(OR($L1294="",$K1294=""),"",IFERROR(IF(INDEX(PARAMETRES!$H$43:$H$342,MATCH($L1294&amp;"|"&amp;$M1294&amp;"|"&amp;$N1294&amp;"|"&amp;$O1294&amp;"|"&amp;$P1294&amp;"|"&amp;$Q1294&amp;"|"&amp;$K1294,PARAMETRES!$J$43:$J$342,0))="","",INDEX(PARAMETRES!$H$43:$H$342,MATCH($L1294&amp;"|"&amp;$M1294&amp;"|"&amp;$N1294&amp;"|"&amp;$O1294&amp;"|"&amp;$P1294&amp;"|"&amp;$Q1294&amp;"|"&amp;$K1294,PARAMETRES!$J$43:$J$342,0))),""))</f>
        <v/>
      </c>
      <c r="S1294" s="35">
        <f>IF(OR($G1294="",$X1294&lt;&gt;"VALIDE"),"",IFERROR(LOOKUP(2,1/(($B394:$B1293=$B1294)*($G394:$G1293=$G1294)*($X394:$X1293="VALIDE")),$C394:$C1293),""))</f>
        <v/>
      </c>
      <c r="T1294" s="36">
        <f>IF(OR($C1294="",$S1294=""),"",ROUND(($C1294-$S1294+IF($C1294&lt;$S1294,1,0))*1440,0))</f>
        <v/>
      </c>
      <c r="U1294" s="22">
        <f>IF(OR($H1294="",$T1294="",$T1294&lt;=0),"",$H1294*60/$T1294)</f>
        <v/>
      </c>
      <c r="V1294" s="37">
        <f>IF(OR($U1294="",$R1294="",$R1294=0),"",$U1294/$R1294)</f>
        <v/>
      </c>
      <c r="W1294" s="20">
        <f>IF($G1294="","",IF($X1294="CONTEXTE INCOMPLET","CONTEXTE INCOMPLET",IF($X1294="DOUBLON",StatutDoublon,IF($S1294="",StatutInitial,IF($R1294="",StatutStandardManquant,IF($V1294="","DONNEES INSUFFISANTES",IF($V1294&gt;=SeuilConforme,StatutConforme,IF($V1294&gt;=SeuilSurveiller,StatutSurveiller,StatutSousStandard))))))))</f>
        <v/>
      </c>
      <c r="X1294" s="33">
        <f>IF($G1294="","",IF(OR($D1294="",$E1294="",$F1294=""),"CONTEXTE INCOMPLET",IF(COUNTIFS($D394:$D1293,$D1294,$E394:$E1293,$E1294,$F394:$F1293,$F1294,$G394:$G1293,$G1294)&gt;0,"DOUBLON","VALIDE")))</f>
        <v/>
      </c>
    </row>
    <row r="1295" ht="15" customHeight="1">
      <c r="A1295" s="12">
        <f>IF(OR($B1295="",$G1295=""),"",TEXT($B1295,"YYYYMMDD")&amp;"-"&amp;SUBSTITUTE($E1295," ","")&amp;"-"&amp;$F1295&amp;"-"&amp;$G1295)</f>
        <v/>
      </c>
      <c r="B1295" s="15" t="n"/>
      <c r="C1295" s="16" t="n"/>
      <c r="D1295" s="10" t="n"/>
      <c r="E1295" s="9" t="n"/>
      <c r="F1295" s="9" t="n"/>
      <c r="G1295" s="13" t="n"/>
      <c r="H1295" s="21" t="n"/>
      <c r="I1295" s="21" t="n"/>
      <c r="J1295" s="17">
        <f>IF($G1295="","",IFERROR(INDEX(NomsEmployes,MATCH($G1295,MatriculesEmployes,0)),"MATRICULE INCONNU"))</f>
        <v/>
      </c>
      <c r="K1295" s="33">
        <f>IF(OR($D1295="",$F1295=""),"",IFERROR(IF(INDEX(RUNS!$L$6:$S$1005,MATCH($D1295,RUNS!$A$6:$A$1005,0),MATCH("ACTIVITÉ "&amp;$F1295,RUNS!$L$5:$S$5,0))="","",INDEX(RUNS!$L$6:$S$1005,MATCH($D1295,RUNS!$A$6:$A$1005,0),MATCH("ACTIVITÉ "&amp;$F1295,RUNS!$L$5:$S$5,0))),""))</f>
        <v/>
      </c>
      <c r="L1295" s="33">
        <f>IF($D1295="","",IFERROR(IF(INDEX(RUNS!$E$6:$E$1005,MATCH($D1295,RUNS!$A$6:$A$1005,0))="","",INDEX(RUNS!$E$6:$E$1005,MATCH($D1295,RUNS!$A$6:$A$1005,0))),""))</f>
        <v/>
      </c>
      <c r="M1295" s="33">
        <f>IF($D1295="","",IFERROR(IF(INDEX(RUNS!$F$6:$F$1005,MATCH($D1295,RUNS!$A$6:$A$1005,0))="","",INDEX(RUNS!$F$6:$F$1005,MATCH($D1295,RUNS!$A$6:$A$1005,0))),""))</f>
        <v/>
      </c>
      <c r="N1295" s="33">
        <f>IF($D1295="","",IFERROR(IF(INDEX(RUNS!$G$6:$G$1005,MATCH($D1295,RUNS!$A$6:$A$1005,0))="","",INDEX(RUNS!$G$6:$G$1005,MATCH($D1295,RUNS!$A$6:$A$1005,0))),""))</f>
        <v/>
      </c>
      <c r="O1295" s="33">
        <f>IF($D1295="","",IFERROR(IF(INDEX(RUNS!$H$6:$H$1005,MATCH($D1295,RUNS!$A$6:$A$1005,0))="","",INDEX(RUNS!$H$6:$H$1005,MATCH($D1295,RUNS!$A$6:$A$1005,0))),""))</f>
        <v/>
      </c>
      <c r="P1295" s="33">
        <f>IF($D1295="","",IFERROR(IF(INDEX(RUNS!$J$6:$J$1005,MATCH($D1295,RUNS!$A$6:$A$1005,0))="","",INDEX(RUNS!$J$6:$J$1005,MATCH($D1295,RUNS!$A$6:$A$1005,0))),""))</f>
        <v/>
      </c>
      <c r="Q1295" s="33">
        <f>IF($D1295="","",IFERROR(IF(INDEX(RUNS!$K$6:$K$1005,MATCH($D1295,RUNS!$A$6:$A$1005,0))="","",INDEX(RUNS!$K$6:$K$1005,MATCH($D1295,RUNS!$A$6:$A$1005,0))),""))</f>
        <v/>
      </c>
      <c r="R1295" s="34">
        <f>IF(OR($L1295="",$K1295=""),"",IFERROR(IF(INDEX(PARAMETRES!$H$43:$H$342,MATCH($L1295&amp;"|"&amp;$M1295&amp;"|"&amp;$N1295&amp;"|"&amp;$O1295&amp;"|"&amp;$P1295&amp;"|"&amp;$Q1295&amp;"|"&amp;$K1295,PARAMETRES!$J$43:$J$342,0))="","",INDEX(PARAMETRES!$H$43:$H$342,MATCH($L1295&amp;"|"&amp;$M1295&amp;"|"&amp;$N1295&amp;"|"&amp;$O1295&amp;"|"&amp;$P1295&amp;"|"&amp;$Q1295&amp;"|"&amp;$K1295,PARAMETRES!$J$43:$J$342,0))),""))</f>
        <v/>
      </c>
      <c r="S1295" s="35">
        <f>IF(OR($G1295="",$X1295&lt;&gt;"VALIDE"),"",IFERROR(LOOKUP(2,1/(($B395:$B1294=$B1295)*($G395:$G1294=$G1295)*($X395:$X1294="VALIDE")),$C395:$C1294),""))</f>
        <v/>
      </c>
      <c r="T1295" s="36">
        <f>IF(OR($C1295="",$S1295=""),"",ROUND(($C1295-$S1295+IF($C1295&lt;$S1295,1,0))*1440,0))</f>
        <v/>
      </c>
      <c r="U1295" s="22">
        <f>IF(OR($H1295="",$T1295="",$T1295&lt;=0),"",$H1295*60/$T1295)</f>
        <v/>
      </c>
      <c r="V1295" s="37">
        <f>IF(OR($U1295="",$R1295="",$R1295=0),"",$U1295/$R1295)</f>
        <v/>
      </c>
      <c r="W1295" s="20">
        <f>IF($G1295="","",IF($X1295="CONTEXTE INCOMPLET","CONTEXTE INCOMPLET",IF($X1295="DOUBLON",StatutDoublon,IF($S1295="",StatutInitial,IF($R1295="",StatutStandardManquant,IF($V1295="","DONNEES INSUFFISANTES",IF($V1295&gt;=SeuilConforme,StatutConforme,IF($V1295&gt;=SeuilSurveiller,StatutSurveiller,StatutSousStandard))))))))</f>
        <v/>
      </c>
      <c r="X1295" s="33">
        <f>IF($G1295="","",IF(OR($D1295="",$E1295="",$F1295=""),"CONTEXTE INCOMPLET",IF(COUNTIFS($D395:$D1294,$D1295,$E395:$E1294,$E1295,$F395:$F1294,$F1295,$G395:$G1294,$G1295)&gt;0,"DOUBLON","VALIDE")))</f>
        <v/>
      </c>
    </row>
    <row r="1296" ht="15" customHeight="1">
      <c r="A1296" s="12">
        <f>IF(OR($B1296="",$G1296=""),"",TEXT($B1296,"YYYYMMDD")&amp;"-"&amp;SUBSTITUTE($E1296," ","")&amp;"-"&amp;$F1296&amp;"-"&amp;$G1296)</f>
        <v/>
      </c>
      <c r="B1296" s="15" t="n"/>
      <c r="C1296" s="16" t="n"/>
      <c r="D1296" s="10" t="n"/>
      <c r="E1296" s="9" t="n"/>
      <c r="F1296" s="9" t="n"/>
      <c r="G1296" s="13" t="n"/>
      <c r="H1296" s="21" t="n"/>
      <c r="I1296" s="21" t="n"/>
      <c r="J1296" s="17">
        <f>IF($G1296="","",IFERROR(INDEX(NomsEmployes,MATCH($G1296,MatriculesEmployes,0)),"MATRICULE INCONNU"))</f>
        <v/>
      </c>
      <c r="K1296" s="33">
        <f>IF(OR($D1296="",$F1296=""),"",IFERROR(IF(INDEX(RUNS!$L$6:$S$1005,MATCH($D1296,RUNS!$A$6:$A$1005,0),MATCH("ACTIVITÉ "&amp;$F1296,RUNS!$L$5:$S$5,0))="","",INDEX(RUNS!$L$6:$S$1005,MATCH($D1296,RUNS!$A$6:$A$1005,0),MATCH("ACTIVITÉ "&amp;$F1296,RUNS!$L$5:$S$5,0))),""))</f>
        <v/>
      </c>
      <c r="L1296" s="33">
        <f>IF($D1296="","",IFERROR(IF(INDEX(RUNS!$E$6:$E$1005,MATCH($D1296,RUNS!$A$6:$A$1005,0))="","",INDEX(RUNS!$E$6:$E$1005,MATCH($D1296,RUNS!$A$6:$A$1005,0))),""))</f>
        <v/>
      </c>
      <c r="M1296" s="33">
        <f>IF($D1296="","",IFERROR(IF(INDEX(RUNS!$F$6:$F$1005,MATCH($D1296,RUNS!$A$6:$A$1005,0))="","",INDEX(RUNS!$F$6:$F$1005,MATCH($D1296,RUNS!$A$6:$A$1005,0))),""))</f>
        <v/>
      </c>
      <c r="N1296" s="33">
        <f>IF($D1296="","",IFERROR(IF(INDEX(RUNS!$G$6:$G$1005,MATCH($D1296,RUNS!$A$6:$A$1005,0))="","",INDEX(RUNS!$G$6:$G$1005,MATCH($D1296,RUNS!$A$6:$A$1005,0))),""))</f>
        <v/>
      </c>
      <c r="O1296" s="33">
        <f>IF($D1296="","",IFERROR(IF(INDEX(RUNS!$H$6:$H$1005,MATCH($D1296,RUNS!$A$6:$A$1005,0))="","",INDEX(RUNS!$H$6:$H$1005,MATCH($D1296,RUNS!$A$6:$A$1005,0))),""))</f>
        <v/>
      </c>
      <c r="P1296" s="33">
        <f>IF($D1296="","",IFERROR(IF(INDEX(RUNS!$J$6:$J$1005,MATCH($D1296,RUNS!$A$6:$A$1005,0))="","",INDEX(RUNS!$J$6:$J$1005,MATCH($D1296,RUNS!$A$6:$A$1005,0))),""))</f>
        <v/>
      </c>
      <c r="Q1296" s="33">
        <f>IF($D1296="","",IFERROR(IF(INDEX(RUNS!$K$6:$K$1005,MATCH($D1296,RUNS!$A$6:$A$1005,0))="","",INDEX(RUNS!$K$6:$K$1005,MATCH($D1296,RUNS!$A$6:$A$1005,0))),""))</f>
        <v/>
      </c>
      <c r="R1296" s="34">
        <f>IF(OR($L1296="",$K1296=""),"",IFERROR(IF(INDEX(PARAMETRES!$H$43:$H$342,MATCH($L1296&amp;"|"&amp;$M1296&amp;"|"&amp;$N1296&amp;"|"&amp;$O1296&amp;"|"&amp;$P1296&amp;"|"&amp;$Q1296&amp;"|"&amp;$K1296,PARAMETRES!$J$43:$J$342,0))="","",INDEX(PARAMETRES!$H$43:$H$342,MATCH($L1296&amp;"|"&amp;$M1296&amp;"|"&amp;$N1296&amp;"|"&amp;$O1296&amp;"|"&amp;$P1296&amp;"|"&amp;$Q1296&amp;"|"&amp;$K1296,PARAMETRES!$J$43:$J$342,0))),""))</f>
        <v/>
      </c>
      <c r="S1296" s="35">
        <f>IF(OR($G1296="",$X1296&lt;&gt;"VALIDE"),"",IFERROR(LOOKUP(2,1/(($B396:$B1295=$B1296)*($G396:$G1295=$G1296)*($X396:$X1295="VALIDE")),$C396:$C1295),""))</f>
        <v/>
      </c>
      <c r="T1296" s="36">
        <f>IF(OR($C1296="",$S1296=""),"",ROUND(($C1296-$S1296+IF($C1296&lt;$S1296,1,0))*1440,0))</f>
        <v/>
      </c>
      <c r="U1296" s="22">
        <f>IF(OR($H1296="",$T1296="",$T1296&lt;=0),"",$H1296*60/$T1296)</f>
        <v/>
      </c>
      <c r="V1296" s="37">
        <f>IF(OR($U1296="",$R1296="",$R1296=0),"",$U1296/$R1296)</f>
        <v/>
      </c>
      <c r="W1296" s="20">
        <f>IF($G1296="","",IF($X1296="CONTEXTE INCOMPLET","CONTEXTE INCOMPLET",IF($X1296="DOUBLON",StatutDoublon,IF($S1296="",StatutInitial,IF($R1296="",StatutStandardManquant,IF($V1296="","DONNEES INSUFFISANTES",IF($V1296&gt;=SeuilConforme,StatutConforme,IF($V1296&gt;=SeuilSurveiller,StatutSurveiller,StatutSousStandard))))))))</f>
        <v/>
      </c>
      <c r="X1296" s="33">
        <f>IF($G1296="","",IF(OR($D1296="",$E1296="",$F1296=""),"CONTEXTE INCOMPLET",IF(COUNTIFS($D396:$D1295,$D1296,$E396:$E1295,$E1296,$F396:$F1295,$F1296,$G396:$G1295,$G1296)&gt;0,"DOUBLON","VALIDE")))</f>
        <v/>
      </c>
    </row>
    <row r="1297" ht="15" customHeight="1">
      <c r="A1297" s="12">
        <f>IF(OR($B1297="",$G1297=""),"",TEXT($B1297,"YYYYMMDD")&amp;"-"&amp;SUBSTITUTE($E1297," ","")&amp;"-"&amp;$F1297&amp;"-"&amp;$G1297)</f>
        <v/>
      </c>
      <c r="B1297" s="15" t="n"/>
      <c r="C1297" s="16" t="n"/>
      <c r="D1297" s="10" t="n"/>
      <c r="E1297" s="9" t="n"/>
      <c r="F1297" s="9" t="n"/>
      <c r="G1297" s="13" t="n"/>
      <c r="H1297" s="21" t="n"/>
      <c r="I1297" s="21" t="n"/>
      <c r="J1297" s="17">
        <f>IF($G1297="","",IFERROR(INDEX(NomsEmployes,MATCH($G1297,MatriculesEmployes,0)),"MATRICULE INCONNU"))</f>
        <v/>
      </c>
      <c r="K1297" s="33">
        <f>IF(OR($D1297="",$F1297=""),"",IFERROR(IF(INDEX(RUNS!$L$6:$S$1005,MATCH($D1297,RUNS!$A$6:$A$1005,0),MATCH("ACTIVITÉ "&amp;$F1297,RUNS!$L$5:$S$5,0))="","",INDEX(RUNS!$L$6:$S$1005,MATCH($D1297,RUNS!$A$6:$A$1005,0),MATCH("ACTIVITÉ "&amp;$F1297,RUNS!$L$5:$S$5,0))),""))</f>
        <v/>
      </c>
      <c r="L1297" s="33">
        <f>IF($D1297="","",IFERROR(IF(INDEX(RUNS!$E$6:$E$1005,MATCH($D1297,RUNS!$A$6:$A$1005,0))="","",INDEX(RUNS!$E$6:$E$1005,MATCH($D1297,RUNS!$A$6:$A$1005,0))),""))</f>
        <v/>
      </c>
      <c r="M1297" s="33">
        <f>IF($D1297="","",IFERROR(IF(INDEX(RUNS!$F$6:$F$1005,MATCH($D1297,RUNS!$A$6:$A$1005,0))="","",INDEX(RUNS!$F$6:$F$1005,MATCH($D1297,RUNS!$A$6:$A$1005,0))),""))</f>
        <v/>
      </c>
      <c r="N1297" s="33">
        <f>IF($D1297="","",IFERROR(IF(INDEX(RUNS!$G$6:$G$1005,MATCH($D1297,RUNS!$A$6:$A$1005,0))="","",INDEX(RUNS!$G$6:$G$1005,MATCH($D1297,RUNS!$A$6:$A$1005,0))),""))</f>
        <v/>
      </c>
      <c r="O1297" s="33">
        <f>IF($D1297="","",IFERROR(IF(INDEX(RUNS!$H$6:$H$1005,MATCH($D1297,RUNS!$A$6:$A$1005,0))="","",INDEX(RUNS!$H$6:$H$1005,MATCH($D1297,RUNS!$A$6:$A$1005,0))),""))</f>
        <v/>
      </c>
      <c r="P1297" s="33">
        <f>IF($D1297="","",IFERROR(IF(INDEX(RUNS!$J$6:$J$1005,MATCH($D1297,RUNS!$A$6:$A$1005,0))="","",INDEX(RUNS!$J$6:$J$1005,MATCH($D1297,RUNS!$A$6:$A$1005,0))),""))</f>
        <v/>
      </c>
      <c r="Q1297" s="33">
        <f>IF($D1297="","",IFERROR(IF(INDEX(RUNS!$K$6:$K$1005,MATCH($D1297,RUNS!$A$6:$A$1005,0))="","",INDEX(RUNS!$K$6:$K$1005,MATCH($D1297,RUNS!$A$6:$A$1005,0))),""))</f>
        <v/>
      </c>
      <c r="R1297" s="34">
        <f>IF(OR($L1297="",$K1297=""),"",IFERROR(IF(INDEX(PARAMETRES!$H$43:$H$342,MATCH($L1297&amp;"|"&amp;$M1297&amp;"|"&amp;$N1297&amp;"|"&amp;$O1297&amp;"|"&amp;$P1297&amp;"|"&amp;$Q1297&amp;"|"&amp;$K1297,PARAMETRES!$J$43:$J$342,0))="","",INDEX(PARAMETRES!$H$43:$H$342,MATCH($L1297&amp;"|"&amp;$M1297&amp;"|"&amp;$N1297&amp;"|"&amp;$O1297&amp;"|"&amp;$P1297&amp;"|"&amp;$Q1297&amp;"|"&amp;$K1297,PARAMETRES!$J$43:$J$342,0))),""))</f>
        <v/>
      </c>
      <c r="S1297" s="35">
        <f>IF(OR($G1297="",$X1297&lt;&gt;"VALIDE"),"",IFERROR(LOOKUP(2,1/(($B397:$B1296=$B1297)*($G397:$G1296=$G1297)*($X397:$X1296="VALIDE")),$C397:$C1296),""))</f>
        <v/>
      </c>
      <c r="T1297" s="36">
        <f>IF(OR($C1297="",$S1297=""),"",ROUND(($C1297-$S1297+IF($C1297&lt;$S1297,1,0))*1440,0))</f>
        <v/>
      </c>
      <c r="U1297" s="22">
        <f>IF(OR($H1297="",$T1297="",$T1297&lt;=0),"",$H1297*60/$T1297)</f>
        <v/>
      </c>
      <c r="V1297" s="37">
        <f>IF(OR($U1297="",$R1297="",$R1297=0),"",$U1297/$R1297)</f>
        <v/>
      </c>
      <c r="W1297" s="20">
        <f>IF($G1297="","",IF($X1297="CONTEXTE INCOMPLET","CONTEXTE INCOMPLET",IF($X1297="DOUBLON",StatutDoublon,IF($S1297="",StatutInitial,IF($R1297="",StatutStandardManquant,IF($V1297="","DONNEES INSUFFISANTES",IF($V1297&gt;=SeuilConforme,StatutConforme,IF($V1297&gt;=SeuilSurveiller,StatutSurveiller,StatutSousStandard))))))))</f>
        <v/>
      </c>
      <c r="X1297" s="33">
        <f>IF($G1297="","",IF(OR($D1297="",$E1297="",$F1297=""),"CONTEXTE INCOMPLET",IF(COUNTIFS($D397:$D1296,$D1297,$E397:$E1296,$E1297,$F397:$F1296,$F1297,$G397:$G1296,$G1297)&gt;0,"DOUBLON","VALIDE")))</f>
        <v/>
      </c>
    </row>
    <row r="1298" ht="15" customHeight="1">
      <c r="A1298" s="12">
        <f>IF(OR($B1298="",$G1298=""),"",TEXT($B1298,"YYYYMMDD")&amp;"-"&amp;SUBSTITUTE($E1298," ","")&amp;"-"&amp;$F1298&amp;"-"&amp;$G1298)</f>
        <v/>
      </c>
      <c r="B1298" s="15" t="n"/>
      <c r="C1298" s="16" t="n"/>
      <c r="D1298" s="10" t="n"/>
      <c r="E1298" s="9" t="n"/>
      <c r="F1298" s="9" t="n"/>
      <c r="G1298" s="13" t="n"/>
      <c r="H1298" s="21" t="n"/>
      <c r="I1298" s="21" t="n"/>
      <c r="J1298" s="17">
        <f>IF($G1298="","",IFERROR(INDEX(NomsEmployes,MATCH($G1298,MatriculesEmployes,0)),"MATRICULE INCONNU"))</f>
        <v/>
      </c>
      <c r="K1298" s="33">
        <f>IF(OR($D1298="",$F1298=""),"",IFERROR(IF(INDEX(RUNS!$L$6:$S$1005,MATCH($D1298,RUNS!$A$6:$A$1005,0),MATCH("ACTIVITÉ "&amp;$F1298,RUNS!$L$5:$S$5,0))="","",INDEX(RUNS!$L$6:$S$1005,MATCH($D1298,RUNS!$A$6:$A$1005,0),MATCH("ACTIVITÉ "&amp;$F1298,RUNS!$L$5:$S$5,0))),""))</f>
        <v/>
      </c>
      <c r="L1298" s="33">
        <f>IF($D1298="","",IFERROR(IF(INDEX(RUNS!$E$6:$E$1005,MATCH($D1298,RUNS!$A$6:$A$1005,0))="","",INDEX(RUNS!$E$6:$E$1005,MATCH($D1298,RUNS!$A$6:$A$1005,0))),""))</f>
        <v/>
      </c>
      <c r="M1298" s="33">
        <f>IF($D1298="","",IFERROR(IF(INDEX(RUNS!$F$6:$F$1005,MATCH($D1298,RUNS!$A$6:$A$1005,0))="","",INDEX(RUNS!$F$6:$F$1005,MATCH($D1298,RUNS!$A$6:$A$1005,0))),""))</f>
        <v/>
      </c>
      <c r="N1298" s="33">
        <f>IF($D1298="","",IFERROR(IF(INDEX(RUNS!$G$6:$G$1005,MATCH($D1298,RUNS!$A$6:$A$1005,0))="","",INDEX(RUNS!$G$6:$G$1005,MATCH($D1298,RUNS!$A$6:$A$1005,0))),""))</f>
        <v/>
      </c>
      <c r="O1298" s="33">
        <f>IF($D1298="","",IFERROR(IF(INDEX(RUNS!$H$6:$H$1005,MATCH($D1298,RUNS!$A$6:$A$1005,0))="","",INDEX(RUNS!$H$6:$H$1005,MATCH($D1298,RUNS!$A$6:$A$1005,0))),""))</f>
        <v/>
      </c>
      <c r="P1298" s="33">
        <f>IF($D1298="","",IFERROR(IF(INDEX(RUNS!$J$6:$J$1005,MATCH($D1298,RUNS!$A$6:$A$1005,0))="","",INDEX(RUNS!$J$6:$J$1005,MATCH($D1298,RUNS!$A$6:$A$1005,0))),""))</f>
        <v/>
      </c>
      <c r="Q1298" s="33">
        <f>IF($D1298="","",IFERROR(IF(INDEX(RUNS!$K$6:$K$1005,MATCH($D1298,RUNS!$A$6:$A$1005,0))="","",INDEX(RUNS!$K$6:$K$1005,MATCH($D1298,RUNS!$A$6:$A$1005,0))),""))</f>
        <v/>
      </c>
      <c r="R1298" s="34">
        <f>IF(OR($L1298="",$K1298=""),"",IFERROR(IF(INDEX(PARAMETRES!$H$43:$H$342,MATCH($L1298&amp;"|"&amp;$M1298&amp;"|"&amp;$N1298&amp;"|"&amp;$O1298&amp;"|"&amp;$P1298&amp;"|"&amp;$Q1298&amp;"|"&amp;$K1298,PARAMETRES!$J$43:$J$342,0))="","",INDEX(PARAMETRES!$H$43:$H$342,MATCH($L1298&amp;"|"&amp;$M1298&amp;"|"&amp;$N1298&amp;"|"&amp;$O1298&amp;"|"&amp;$P1298&amp;"|"&amp;$Q1298&amp;"|"&amp;$K1298,PARAMETRES!$J$43:$J$342,0))),""))</f>
        <v/>
      </c>
      <c r="S1298" s="35">
        <f>IF(OR($G1298="",$X1298&lt;&gt;"VALIDE"),"",IFERROR(LOOKUP(2,1/(($B398:$B1297=$B1298)*($G398:$G1297=$G1298)*($X398:$X1297="VALIDE")),$C398:$C1297),""))</f>
        <v/>
      </c>
      <c r="T1298" s="36">
        <f>IF(OR($C1298="",$S1298=""),"",ROUND(($C1298-$S1298+IF($C1298&lt;$S1298,1,0))*1440,0))</f>
        <v/>
      </c>
      <c r="U1298" s="22">
        <f>IF(OR($H1298="",$T1298="",$T1298&lt;=0),"",$H1298*60/$T1298)</f>
        <v/>
      </c>
      <c r="V1298" s="37">
        <f>IF(OR($U1298="",$R1298="",$R1298=0),"",$U1298/$R1298)</f>
        <v/>
      </c>
      <c r="W1298" s="20">
        <f>IF($G1298="","",IF($X1298="CONTEXTE INCOMPLET","CONTEXTE INCOMPLET",IF($X1298="DOUBLON",StatutDoublon,IF($S1298="",StatutInitial,IF($R1298="",StatutStandardManquant,IF($V1298="","DONNEES INSUFFISANTES",IF($V1298&gt;=SeuilConforme,StatutConforme,IF($V1298&gt;=SeuilSurveiller,StatutSurveiller,StatutSousStandard))))))))</f>
        <v/>
      </c>
      <c r="X1298" s="33">
        <f>IF($G1298="","",IF(OR($D1298="",$E1298="",$F1298=""),"CONTEXTE INCOMPLET",IF(COUNTIFS($D398:$D1297,$D1298,$E398:$E1297,$E1298,$F398:$F1297,$F1298,$G398:$G1297,$G1298)&gt;0,"DOUBLON","VALIDE")))</f>
        <v/>
      </c>
    </row>
    <row r="1299" ht="15" customHeight="1">
      <c r="A1299" s="12">
        <f>IF(OR($B1299="",$G1299=""),"",TEXT($B1299,"YYYYMMDD")&amp;"-"&amp;SUBSTITUTE($E1299," ","")&amp;"-"&amp;$F1299&amp;"-"&amp;$G1299)</f>
        <v/>
      </c>
      <c r="B1299" s="15" t="n"/>
      <c r="C1299" s="16" t="n"/>
      <c r="D1299" s="10" t="n"/>
      <c r="E1299" s="9" t="n"/>
      <c r="F1299" s="9" t="n"/>
      <c r="G1299" s="13" t="n"/>
      <c r="H1299" s="21" t="n"/>
      <c r="I1299" s="21" t="n"/>
      <c r="J1299" s="17">
        <f>IF($G1299="","",IFERROR(INDEX(NomsEmployes,MATCH($G1299,MatriculesEmployes,0)),"MATRICULE INCONNU"))</f>
        <v/>
      </c>
      <c r="K1299" s="33">
        <f>IF(OR($D1299="",$F1299=""),"",IFERROR(IF(INDEX(RUNS!$L$6:$S$1005,MATCH($D1299,RUNS!$A$6:$A$1005,0),MATCH("ACTIVITÉ "&amp;$F1299,RUNS!$L$5:$S$5,0))="","",INDEX(RUNS!$L$6:$S$1005,MATCH($D1299,RUNS!$A$6:$A$1005,0),MATCH("ACTIVITÉ "&amp;$F1299,RUNS!$L$5:$S$5,0))),""))</f>
        <v/>
      </c>
      <c r="L1299" s="33">
        <f>IF($D1299="","",IFERROR(IF(INDEX(RUNS!$E$6:$E$1005,MATCH($D1299,RUNS!$A$6:$A$1005,0))="","",INDEX(RUNS!$E$6:$E$1005,MATCH($D1299,RUNS!$A$6:$A$1005,0))),""))</f>
        <v/>
      </c>
      <c r="M1299" s="33">
        <f>IF($D1299="","",IFERROR(IF(INDEX(RUNS!$F$6:$F$1005,MATCH($D1299,RUNS!$A$6:$A$1005,0))="","",INDEX(RUNS!$F$6:$F$1005,MATCH($D1299,RUNS!$A$6:$A$1005,0))),""))</f>
        <v/>
      </c>
      <c r="N1299" s="33">
        <f>IF($D1299="","",IFERROR(IF(INDEX(RUNS!$G$6:$G$1005,MATCH($D1299,RUNS!$A$6:$A$1005,0))="","",INDEX(RUNS!$G$6:$G$1005,MATCH($D1299,RUNS!$A$6:$A$1005,0))),""))</f>
        <v/>
      </c>
      <c r="O1299" s="33">
        <f>IF($D1299="","",IFERROR(IF(INDEX(RUNS!$H$6:$H$1005,MATCH($D1299,RUNS!$A$6:$A$1005,0))="","",INDEX(RUNS!$H$6:$H$1005,MATCH($D1299,RUNS!$A$6:$A$1005,0))),""))</f>
        <v/>
      </c>
      <c r="P1299" s="33">
        <f>IF($D1299="","",IFERROR(IF(INDEX(RUNS!$J$6:$J$1005,MATCH($D1299,RUNS!$A$6:$A$1005,0))="","",INDEX(RUNS!$J$6:$J$1005,MATCH($D1299,RUNS!$A$6:$A$1005,0))),""))</f>
        <v/>
      </c>
      <c r="Q1299" s="33">
        <f>IF($D1299="","",IFERROR(IF(INDEX(RUNS!$K$6:$K$1005,MATCH($D1299,RUNS!$A$6:$A$1005,0))="","",INDEX(RUNS!$K$6:$K$1005,MATCH($D1299,RUNS!$A$6:$A$1005,0))),""))</f>
        <v/>
      </c>
      <c r="R1299" s="34">
        <f>IF(OR($L1299="",$K1299=""),"",IFERROR(IF(INDEX(PARAMETRES!$H$43:$H$342,MATCH($L1299&amp;"|"&amp;$M1299&amp;"|"&amp;$N1299&amp;"|"&amp;$O1299&amp;"|"&amp;$P1299&amp;"|"&amp;$Q1299&amp;"|"&amp;$K1299,PARAMETRES!$J$43:$J$342,0))="","",INDEX(PARAMETRES!$H$43:$H$342,MATCH($L1299&amp;"|"&amp;$M1299&amp;"|"&amp;$N1299&amp;"|"&amp;$O1299&amp;"|"&amp;$P1299&amp;"|"&amp;$Q1299&amp;"|"&amp;$K1299,PARAMETRES!$J$43:$J$342,0))),""))</f>
        <v/>
      </c>
      <c r="S1299" s="35">
        <f>IF(OR($G1299="",$X1299&lt;&gt;"VALIDE"),"",IFERROR(LOOKUP(2,1/(($B399:$B1298=$B1299)*($G399:$G1298=$G1299)*($X399:$X1298="VALIDE")),$C399:$C1298),""))</f>
        <v/>
      </c>
      <c r="T1299" s="36">
        <f>IF(OR($C1299="",$S1299=""),"",ROUND(($C1299-$S1299+IF($C1299&lt;$S1299,1,0))*1440,0))</f>
        <v/>
      </c>
      <c r="U1299" s="22">
        <f>IF(OR($H1299="",$T1299="",$T1299&lt;=0),"",$H1299*60/$T1299)</f>
        <v/>
      </c>
      <c r="V1299" s="37">
        <f>IF(OR($U1299="",$R1299="",$R1299=0),"",$U1299/$R1299)</f>
        <v/>
      </c>
      <c r="W1299" s="20">
        <f>IF($G1299="","",IF($X1299="CONTEXTE INCOMPLET","CONTEXTE INCOMPLET",IF($X1299="DOUBLON",StatutDoublon,IF($S1299="",StatutInitial,IF($R1299="",StatutStandardManquant,IF($V1299="","DONNEES INSUFFISANTES",IF($V1299&gt;=SeuilConforme,StatutConforme,IF($V1299&gt;=SeuilSurveiller,StatutSurveiller,StatutSousStandard))))))))</f>
        <v/>
      </c>
      <c r="X1299" s="33">
        <f>IF($G1299="","",IF(OR($D1299="",$E1299="",$F1299=""),"CONTEXTE INCOMPLET",IF(COUNTIFS($D399:$D1298,$D1299,$E399:$E1298,$E1299,$F399:$F1298,$F1299,$G399:$G1298,$G1299)&gt;0,"DOUBLON","VALIDE")))</f>
        <v/>
      </c>
    </row>
    <row r="1300" ht="15" customHeight="1">
      <c r="A1300" s="12">
        <f>IF(OR($B1300="",$G1300=""),"",TEXT($B1300,"YYYYMMDD")&amp;"-"&amp;SUBSTITUTE($E1300," ","")&amp;"-"&amp;$F1300&amp;"-"&amp;$G1300)</f>
        <v/>
      </c>
      <c r="B1300" s="15" t="n"/>
      <c r="C1300" s="16" t="n"/>
      <c r="D1300" s="10" t="n"/>
      <c r="E1300" s="9" t="n"/>
      <c r="F1300" s="9" t="n"/>
      <c r="G1300" s="13" t="n"/>
      <c r="H1300" s="21" t="n"/>
      <c r="I1300" s="21" t="n"/>
      <c r="J1300" s="17">
        <f>IF($G1300="","",IFERROR(INDEX(NomsEmployes,MATCH($G1300,MatriculesEmployes,0)),"MATRICULE INCONNU"))</f>
        <v/>
      </c>
      <c r="K1300" s="33">
        <f>IF(OR($D1300="",$F1300=""),"",IFERROR(IF(INDEX(RUNS!$L$6:$S$1005,MATCH($D1300,RUNS!$A$6:$A$1005,0),MATCH("ACTIVITÉ "&amp;$F1300,RUNS!$L$5:$S$5,0))="","",INDEX(RUNS!$L$6:$S$1005,MATCH($D1300,RUNS!$A$6:$A$1005,0),MATCH("ACTIVITÉ "&amp;$F1300,RUNS!$L$5:$S$5,0))),""))</f>
        <v/>
      </c>
      <c r="L1300" s="33">
        <f>IF($D1300="","",IFERROR(IF(INDEX(RUNS!$E$6:$E$1005,MATCH($D1300,RUNS!$A$6:$A$1005,0))="","",INDEX(RUNS!$E$6:$E$1005,MATCH($D1300,RUNS!$A$6:$A$1005,0))),""))</f>
        <v/>
      </c>
      <c r="M1300" s="33">
        <f>IF($D1300="","",IFERROR(IF(INDEX(RUNS!$F$6:$F$1005,MATCH($D1300,RUNS!$A$6:$A$1005,0))="","",INDEX(RUNS!$F$6:$F$1005,MATCH($D1300,RUNS!$A$6:$A$1005,0))),""))</f>
        <v/>
      </c>
      <c r="N1300" s="33">
        <f>IF($D1300="","",IFERROR(IF(INDEX(RUNS!$G$6:$G$1005,MATCH($D1300,RUNS!$A$6:$A$1005,0))="","",INDEX(RUNS!$G$6:$G$1005,MATCH($D1300,RUNS!$A$6:$A$1005,0))),""))</f>
        <v/>
      </c>
      <c r="O1300" s="33">
        <f>IF($D1300="","",IFERROR(IF(INDEX(RUNS!$H$6:$H$1005,MATCH($D1300,RUNS!$A$6:$A$1005,0))="","",INDEX(RUNS!$H$6:$H$1005,MATCH($D1300,RUNS!$A$6:$A$1005,0))),""))</f>
        <v/>
      </c>
      <c r="P1300" s="33">
        <f>IF($D1300="","",IFERROR(IF(INDEX(RUNS!$J$6:$J$1005,MATCH($D1300,RUNS!$A$6:$A$1005,0))="","",INDEX(RUNS!$J$6:$J$1005,MATCH($D1300,RUNS!$A$6:$A$1005,0))),""))</f>
        <v/>
      </c>
      <c r="Q1300" s="33">
        <f>IF($D1300="","",IFERROR(IF(INDEX(RUNS!$K$6:$K$1005,MATCH($D1300,RUNS!$A$6:$A$1005,0))="","",INDEX(RUNS!$K$6:$K$1005,MATCH($D1300,RUNS!$A$6:$A$1005,0))),""))</f>
        <v/>
      </c>
      <c r="R1300" s="34">
        <f>IF(OR($L1300="",$K1300=""),"",IFERROR(IF(INDEX(PARAMETRES!$H$43:$H$342,MATCH($L1300&amp;"|"&amp;$M1300&amp;"|"&amp;$N1300&amp;"|"&amp;$O1300&amp;"|"&amp;$P1300&amp;"|"&amp;$Q1300&amp;"|"&amp;$K1300,PARAMETRES!$J$43:$J$342,0))="","",INDEX(PARAMETRES!$H$43:$H$342,MATCH($L1300&amp;"|"&amp;$M1300&amp;"|"&amp;$N1300&amp;"|"&amp;$O1300&amp;"|"&amp;$P1300&amp;"|"&amp;$Q1300&amp;"|"&amp;$K1300,PARAMETRES!$J$43:$J$342,0))),""))</f>
        <v/>
      </c>
      <c r="S1300" s="35">
        <f>IF(OR($G1300="",$X1300&lt;&gt;"VALIDE"),"",IFERROR(LOOKUP(2,1/(($B400:$B1299=$B1300)*($G400:$G1299=$G1300)*($X400:$X1299="VALIDE")),$C400:$C1299),""))</f>
        <v/>
      </c>
      <c r="T1300" s="36">
        <f>IF(OR($C1300="",$S1300=""),"",ROUND(($C1300-$S1300+IF($C1300&lt;$S1300,1,0))*1440,0))</f>
        <v/>
      </c>
      <c r="U1300" s="22">
        <f>IF(OR($H1300="",$T1300="",$T1300&lt;=0),"",$H1300*60/$T1300)</f>
        <v/>
      </c>
      <c r="V1300" s="37">
        <f>IF(OR($U1300="",$R1300="",$R1300=0),"",$U1300/$R1300)</f>
        <v/>
      </c>
      <c r="W1300" s="20">
        <f>IF($G1300="","",IF($X1300="CONTEXTE INCOMPLET","CONTEXTE INCOMPLET",IF($X1300="DOUBLON",StatutDoublon,IF($S1300="",StatutInitial,IF($R1300="",StatutStandardManquant,IF($V1300="","DONNEES INSUFFISANTES",IF($V1300&gt;=SeuilConforme,StatutConforme,IF($V1300&gt;=SeuilSurveiller,StatutSurveiller,StatutSousStandard))))))))</f>
        <v/>
      </c>
      <c r="X1300" s="33">
        <f>IF($G1300="","",IF(OR($D1300="",$E1300="",$F1300=""),"CONTEXTE INCOMPLET",IF(COUNTIFS($D400:$D1299,$D1300,$E400:$E1299,$E1300,$F400:$F1299,$F1300,$G400:$G1299,$G1300)&gt;0,"DOUBLON","VALIDE")))</f>
        <v/>
      </c>
    </row>
    <row r="1301" ht="15" customHeight="1">
      <c r="A1301" s="12">
        <f>IF(OR($B1301="",$G1301=""),"",TEXT($B1301,"YYYYMMDD")&amp;"-"&amp;SUBSTITUTE($E1301," ","")&amp;"-"&amp;$F1301&amp;"-"&amp;$G1301)</f>
        <v/>
      </c>
      <c r="B1301" s="15" t="n"/>
      <c r="C1301" s="16" t="n"/>
      <c r="D1301" s="10" t="n"/>
      <c r="E1301" s="9" t="n"/>
      <c r="F1301" s="9" t="n"/>
      <c r="G1301" s="13" t="n"/>
      <c r="H1301" s="21" t="n"/>
      <c r="I1301" s="21" t="n"/>
      <c r="J1301" s="17">
        <f>IF($G1301="","",IFERROR(INDEX(NomsEmployes,MATCH($G1301,MatriculesEmployes,0)),"MATRICULE INCONNU"))</f>
        <v/>
      </c>
      <c r="K1301" s="33">
        <f>IF(OR($D1301="",$F1301=""),"",IFERROR(IF(INDEX(RUNS!$L$6:$S$1005,MATCH($D1301,RUNS!$A$6:$A$1005,0),MATCH("ACTIVITÉ "&amp;$F1301,RUNS!$L$5:$S$5,0))="","",INDEX(RUNS!$L$6:$S$1005,MATCH($D1301,RUNS!$A$6:$A$1005,0),MATCH("ACTIVITÉ "&amp;$F1301,RUNS!$L$5:$S$5,0))),""))</f>
        <v/>
      </c>
      <c r="L1301" s="33">
        <f>IF($D1301="","",IFERROR(IF(INDEX(RUNS!$E$6:$E$1005,MATCH($D1301,RUNS!$A$6:$A$1005,0))="","",INDEX(RUNS!$E$6:$E$1005,MATCH($D1301,RUNS!$A$6:$A$1005,0))),""))</f>
        <v/>
      </c>
      <c r="M1301" s="33">
        <f>IF($D1301="","",IFERROR(IF(INDEX(RUNS!$F$6:$F$1005,MATCH($D1301,RUNS!$A$6:$A$1005,0))="","",INDEX(RUNS!$F$6:$F$1005,MATCH($D1301,RUNS!$A$6:$A$1005,0))),""))</f>
        <v/>
      </c>
      <c r="N1301" s="33">
        <f>IF($D1301="","",IFERROR(IF(INDEX(RUNS!$G$6:$G$1005,MATCH($D1301,RUNS!$A$6:$A$1005,0))="","",INDEX(RUNS!$G$6:$G$1005,MATCH($D1301,RUNS!$A$6:$A$1005,0))),""))</f>
        <v/>
      </c>
      <c r="O1301" s="33">
        <f>IF($D1301="","",IFERROR(IF(INDEX(RUNS!$H$6:$H$1005,MATCH($D1301,RUNS!$A$6:$A$1005,0))="","",INDEX(RUNS!$H$6:$H$1005,MATCH($D1301,RUNS!$A$6:$A$1005,0))),""))</f>
        <v/>
      </c>
      <c r="P1301" s="33">
        <f>IF($D1301="","",IFERROR(IF(INDEX(RUNS!$J$6:$J$1005,MATCH($D1301,RUNS!$A$6:$A$1005,0))="","",INDEX(RUNS!$J$6:$J$1005,MATCH($D1301,RUNS!$A$6:$A$1005,0))),""))</f>
        <v/>
      </c>
      <c r="Q1301" s="33">
        <f>IF($D1301="","",IFERROR(IF(INDEX(RUNS!$K$6:$K$1005,MATCH($D1301,RUNS!$A$6:$A$1005,0))="","",INDEX(RUNS!$K$6:$K$1005,MATCH($D1301,RUNS!$A$6:$A$1005,0))),""))</f>
        <v/>
      </c>
      <c r="R1301" s="34">
        <f>IF(OR($L1301="",$K1301=""),"",IFERROR(IF(INDEX(PARAMETRES!$H$43:$H$342,MATCH($L1301&amp;"|"&amp;$M1301&amp;"|"&amp;$N1301&amp;"|"&amp;$O1301&amp;"|"&amp;$P1301&amp;"|"&amp;$Q1301&amp;"|"&amp;$K1301,PARAMETRES!$J$43:$J$342,0))="","",INDEX(PARAMETRES!$H$43:$H$342,MATCH($L1301&amp;"|"&amp;$M1301&amp;"|"&amp;$N1301&amp;"|"&amp;$O1301&amp;"|"&amp;$P1301&amp;"|"&amp;$Q1301&amp;"|"&amp;$K1301,PARAMETRES!$J$43:$J$342,0))),""))</f>
        <v/>
      </c>
      <c r="S1301" s="35">
        <f>IF(OR($G1301="",$X1301&lt;&gt;"VALIDE"),"",IFERROR(LOOKUP(2,1/(($B401:$B1300=$B1301)*($G401:$G1300=$G1301)*($X401:$X1300="VALIDE")),$C401:$C1300),""))</f>
        <v/>
      </c>
      <c r="T1301" s="36">
        <f>IF(OR($C1301="",$S1301=""),"",ROUND(($C1301-$S1301+IF($C1301&lt;$S1301,1,0))*1440,0))</f>
        <v/>
      </c>
      <c r="U1301" s="22">
        <f>IF(OR($H1301="",$T1301="",$T1301&lt;=0),"",$H1301*60/$T1301)</f>
        <v/>
      </c>
      <c r="V1301" s="37">
        <f>IF(OR($U1301="",$R1301="",$R1301=0),"",$U1301/$R1301)</f>
        <v/>
      </c>
      <c r="W1301" s="20">
        <f>IF($G1301="","",IF($X1301="CONTEXTE INCOMPLET","CONTEXTE INCOMPLET",IF($X1301="DOUBLON",StatutDoublon,IF($S1301="",StatutInitial,IF($R1301="",StatutStandardManquant,IF($V1301="","DONNEES INSUFFISANTES",IF($V1301&gt;=SeuilConforme,StatutConforme,IF($V1301&gt;=SeuilSurveiller,StatutSurveiller,StatutSousStandard))))))))</f>
        <v/>
      </c>
      <c r="X1301" s="33">
        <f>IF($G1301="","",IF(OR($D1301="",$E1301="",$F1301=""),"CONTEXTE INCOMPLET",IF(COUNTIFS($D401:$D1300,$D1301,$E401:$E1300,$E1301,$F401:$F1300,$F1301,$G401:$G1300,$G1301)&gt;0,"DOUBLON","VALIDE")))</f>
        <v/>
      </c>
    </row>
    <row r="1302" ht="15" customHeight="1">
      <c r="A1302" s="12">
        <f>IF(OR($B1302="",$G1302=""),"",TEXT($B1302,"YYYYMMDD")&amp;"-"&amp;SUBSTITUTE($E1302," ","")&amp;"-"&amp;$F1302&amp;"-"&amp;$G1302)</f>
        <v/>
      </c>
      <c r="B1302" s="15" t="n"/>
      <c r="C1302" s="16" t="n"/>
      <c r="D1302" s="10" t="n"/>
      <c r="E1302" s="9" t="n"/>
      <c r="F1302" s="9" t="n"/>
      <c r="G1302" s="13" t="n"/>
      <c r="H1302" s="21" t="n"/>
      <c r="I1302" s="21" t="n"/>
      <c r="J1302" s="17">
        <f>IF($G1302="","",IFERROR(INDEX(NomsEmployes,MATCH($G1302,MatriculesEmployes,0)),"MATRICULE INCONNU"))</f>
        <v/>
      </c>
      <c r="K1302" s="33">
        <f>IF(OR($D1302="",$F1302=""),"",IFERROR(IF(INDEX(RUNS!$L$6:$S$1005,MATCH($D1302,RUNS!$A$6:$A$1005,0),MATCH("ACTIVITÉ "&amp;$F1302,RUNS!$L$5:$S$5,0))="","",INDEX(RUNS!$L$6:$S$1005,MATCH($D1302,RUNS!$A$6:$A$1005,0),MATCH("ACTIVITÉ "&amp;$F1302,RUNS!$L$5:$S$5,0))),""))</f>
        <v/>
      </c>
      <c r="L1302" s="33">
        <f>IF($D1302="","",IFERROR(IF(INDEX(RUNS!$E$6:$E$1005,MATCH($D1302,RUNS!$A$6:$A$1005,0))="","",INDEX(RUNS!$E$6:$E$1005,MATCH($D1302,RUNS!$A$6:$A$1005,0))),""))</f>
        <v/>
      </c>
      <c r="M1302" s="33">
        <f>IF($D1302="","",IFERROR(IF(INDEX(RUNS!$F$6:$F$1005,MATCH($D1302,RUNS!$A$6:$A$1005,0))="","",INDEX(RUNS!$F$6:$F$1005,MATCH($D1302,RUNS!$A$6:$A$1005,0))),""))</f>
        <v/>
      </c>
      <c r="N1302" s="33">
        <f>IF($D1302="","",IFERROR(IF(INDEX(RUNS!$G$6:$G$1005,MATCH($D1302,RUNS!$A$6:$A$1005,0))="","",INDEX(RUNS!$G$6:$G$1005,MATCH($D1302,RUNS!$A$6:$A$1005,0))),""))</f>
        <v/>
      </c>
      <c r="O1302" s="33">
        <f>IF($D1302="","",IFERROR(IF(INDEX(RUNS!$H$6:$H$1005,MATCH($D1302,RUNS!$A$6:$A$1005,0))="","",INDEX(RUNS!$H$6:$H$1005,MATCH($D1302,RUNS!$A$6:$A$1005,0))),""))</f>
        <v/>
      </c>
      <c r="P1302" s="33">
        <f>IF($D1302="","",IFERROR(IF(INDEX(RUNS!$J$6:$J$1005,MATCH($D1302,RUNS!$A$6:$A$1005,0))="","",INDEX(RUNS!$J$6:$J$1005,MATCH($D1302,RUNS!$A$6:$A$1005,0))),""))</f>
        <v/>
      </c>
      <c r="Q1302" s="33">
        <f>IF($D1302="","",IFERROR(IF(INDEX(RUNS!$K$6:$K$1005,MATCH($D1302,RUNS!$A$6:$A$1005,0))="","",INDEX(RUNS!$K$6:$K$1005,MATCH($D1302,RUNS!$A$6:$A$1005,0))),""))</f>
        <v/>
      </c>
      <c r="R1302" s="34">
        <f>IF(OR($L1302="",$K1302=""),"",IFERROR(IF(INDEX(PARAMETRES!$H$43:$H$342,MATCH($L1302&amp;"|"&amp;$M1302&amp;"|"&amp;$N1302&amp;"|"&amp;$O1302&amp;"|"&amp;$P1302&amp;"|"&amp;$Q1302&amp;"|"&amp;$K1302,PARAMETRES!$J$43:$J$342,0))="","",INDEX(PARAMETRES!$H$43:$H$342,MATCH($L1302&amp;"|"&amp;$M1302&amp;"|"&amp;$N1302&amp;"|"&amp;$O1302&amp;"|"&amp;$P1302&amp;"|"&amp;$Q1302&amp;"|"&amp;$K1302,PARAMETRES!$J$43:$J$342,0))),""))</f>
        <v/>
      </c>
      <c r="S1302" s="35">
        <f>IF(OR($G1302="",$X1302&lt;&gt;"VALIDE"),"",IFERROR(LOOKUP(2,1/(($B402:$B1301=$B1302)*($G402:$G1301=$G1302)*($X402:$X1301="VALIDE")),$C402:$C1301),""))</f>
        <v/>
      </c>
      <c r="T1302" s="36">
        <f>IF(OR($C1302="",$S1302=""),"",ROUND(($C1302-$S1302+IF($C1302&lt;$S1302,1,0))*1440,0))</f>
        <v/>
      </c>
      <c r="U1302" s="22">
        <f>IF(OR($H1302="",$T1302="",$T1302&lt;=0),"",$H1302*60/$T1302)</f>
        <v/>
      </c>
      <c r="V1302" s="37">
        <f>IF(OR($U1302="",$R1302="",$R1302=0),"",$U1302/$R1302)</f>
        <v/>
      </c>
      <c r="W1302" s="20">
        <f>IF($G1302="","",IF($X1302="CONTEXTE INCOMPLET","CONTEXTE INCOMPLET",IF($X1302="DOUBLON",StatutDoublon,IF($S1302="",StatutInitial,IF($R1302="",StatutStandardManquant,IF($V1302="","DONNEES INSUFFISANTES",IF($V1302&gt;=SeuilConforme,StatutConforme,IF($V1302&gt;=SeuilSurveiller,StatutSurveiller,StatutSousStandard))))))))</f>
        <v/>
      </c>
      <c r="X1302" s="33">
        <f>IF($G1302="","",IF(OR($D1302="",$E1302="",$F1302=""),"CONTEXTE INCOMPLET",IF(COUNTIFS($D402:$D1301,$D1302,$E402:$E1301,$E1302,$F402:$F1301,$F1302,$G402:$G1301,$G1302)&gt;0,"DOUBLON","VALIDE")))</f>
        <v/>
      </c>
    </row>
    <row r="1303" ht="15" customHeight="1">
      <c r="A1303" s="12">
        <f>IF(OR($B1303="",$G1303=""),"",TEXT($B1303,"YYYYMMDD")&amp;"-"&amp;SUBSTITUTE($E1303," ","")&amp;"-"&amp;$F1303&amp;"-"&amp;$G1303)</f>
        <v/>
      </c>
      <c r="B1303" s="15" t="n"/>
      <c r="C1303" s="16" t="n"/>
      <c r="D1303" s="10" t="n"/>
      <c r="E1303" s="9" t="n"/>
      <c r="F1303" s="9" t="n"/>
      <c r="G1303" s="13" t="n"/>
      <c r="H1303" s="21" t="n"/>
      <c r="I1303" s="21" t="n"/>
      <c r="J1303" s="17">
        <f>IF($G1303="","",IFERROR(INDEX(NomsEmployes,MATCH($G1303,MatriculesEmployes,0)),"MATRICULE INCONNU"))</f>
        <v/>
      </c>
      <c r="K1303" s="33">
        <f>IF(OR($D1303="",$F1303=""),"",IFERROR(IF(INDEX(RUNS!$L$6:$S$1005,MATCH($D1303,RUNS!$A$6:$A$1005,0),MATCH("ACTIVITÉ "&amp;$F1303,RUNS!$L$5:$S$5,0))="","",INDEX(RUNS!$L$6:$S$1005,MATCH($D1303,RUNS!$A$6:$A$1005,0),MATCH("ACTIVITÉ "&amp;$F1303,RUNS!$L$5:$S$5,0))),""))</f>
        <v/>
      </c>
      <c r="L1303" s="33">
        <f>IF($D1303="","",IFERROR(IF(INDEX(RUNS!$E$6:$E$1005,MATCH($D1303,RUNS!$A$6:$A$1005,0))="","",INDEX(RUNS!$E$6:$E$1005,MATCH($D1303,RUNS!$A$6:$A$1005,0))),""))</f>
        <v/>
      </c>
      <c r="M1303" s="33">
        <f>IF($D1303="","",IFERROR(IF(INDEX(RUNS!$F$6:$F$1005,MATCH($D1303,RUNS!$A$6:$A$1005,0))="","",INDEX(RUNS!$F$6:$F$1005,MATCH($D1303,RUNS!$A$6:$A$1005,0))),""))</f>
        <v/>
      </c>
      <c r="N1303" s="33">
        <f>IF($D1303="","",IFERROR(IF(INDEX(RUNS!$G$6:$G$1005,MATCH($D1303,RUNS!$A$6:$A$1005,0))="","",INDEX(RUNS!$G$6:$G$1005,MATCH($D1303,RUNS!$A$6:$A$1005,0))),""))</f>
        <v/>
      </c>
      <c r="O1303" s="33">
        <f>IF($D1303="","",IFERROR(IF(INDEX(RUNS!$H$6:$H$1005,MATCH($D1303,RUNS!$A$6:$A$1005,0))="","",INDEX(RUNS!$H$6:$H$1005,MATCH($D1303,RUNS!$A$6:$A$1005,0))),""))</f>
        <v/>
      </c>
      <c r="P1303" s="33">
        <f>IF($D1303="","",IFERROR(IF(INDEX(RUNS!$J$6:$J$1005,MATCH($D1303,RUNS!$A$6:$A$1005,0))="","",INDEX(RUNS!$J$6:$J$1005,MATCH($D1303,RUNS!$A$6:$A$1005,0))),""))</f>
        <v/>
      </c>
      <c r="Q1303" s="33">
        <f>IF($D1303="","",IFERROR(IF(INDEX(RUNS!$K$6:$K$1005,MATCH($D1303,RUNS!$A$6:$A$1005,0))="","",INDEX(RUNS!$K$6:$K$1005,MATCH($D1303,RUNS!$A$6:$A$1005,0))),""))</f>
        <v/>
      </c>
      <c r="R1303" s="34">
        <f>IF(OR($L1303="",$K1303=""),"",IFERROR(IF(INDEX(PARAMETRES!$H$43:$H$342,MATCH($L1303&amp;"|"&amp;$M1303&amp;"|"&amp;$N1303&amp;"|"&amp;$O1303&amp;"|"&amp;$P1303&amp;"|"&amp;$Q1303&amp;"|"&amp;$K1303,PARAMETRES!$J$43:$J$342,0))="","",INDEX(PARAMETRES!$H$43:$H$342,MATCH($L1303&amp;"|"&amp;$M1303&amp;"|"&amp;$N1303&amp;"|"&amp;$O1303&amp;"|"&amp;$P1303&amp;"|"&amp;$Q1303&amp;"|"&amp;$K1303,PARAMETRES!$J$43:$J$342,0))),""))</f>
        <v/>
      </c>
      <c r="S1303" s="35">
        <f>IF(OR($G1303="",$X1303&lt;&gt;"VALIDE"),"",IFERROR(LOOKUP(2,1/(($B403:$B1302=$B1303)*($G403:$G1302=$G1303)*($X403:$X1302="VALIDE")),$C403:$C1302),""))</f>
        <v/>
      </c>
      <c r="T1303" s="36">
        <f>IF(OR($C1303="",$S1303=""),"",ROUND(($C1303-$S1303+IF($C1303&lt;$S1303,1,0))*1440,0))</f>
        <v/>
      </c>
      <c r="U1303" s="22">
        <f>IF(OR($H1303="",$T1303="",$T1303&lt;=0),"",$H1303*60/$T1303)</f>
        <v/>
      </c>
      <c r="V1303" s="37">
        <f>IF(OR($U1303="",$R1303="",$R1303=0),"",$U1303/$R1303)</f>
        <v/>
      </c>
      <c r="W1303" s="20">
        <f>IF($G1303="","",IF($X1303="CONTEXTE INCOMPLET","CONTEXTE INCOMPLET",IF($X1303="DOUBLON",StatutDoublon,IF($S1303="",StatutInitial,IF($R1303="",StatutStandardManquant,IF($V1303="","DONNEES INSUFFISANTES",IF($V1303&gt;=SeuilConforme,StatutConforme,IF($V1303&gt;=SeuilSurveiller,StatutSurveiller,StatutSousStandard))))))))</f>
        <v/>
      </c>
      <c r="X1303" s="33">
        <f>IF($G1303="","",IF(OR($D1303="",$E1303="",$F1303=""),"CONTEXTE INCOMPLET",IF(COUNTIFS($D403:$D1302,$D1303,$E403:$E1302,$E1303,$F403:$F1302,$F1303,$G403:$G1302,$G1303)&gt;0,"DOUBLON","VALIDE")))</f>
        <v/>
      </c>
    </row>
    <row r="1304" ht="15" customHeight="1">
      <c r="A1304" s="12">
        <f>IF(OR($B1304="",$G1304=""),"",TEXT($B1304,"YYYYMMDD")&amp;"-"&amp;SUBSTITUTE($E1304," ","")&amp;"-"&amp;$F1304&amp;"-"&amp;$G1304)</f>
        <v/>
      </c>
      <c r="B1304" s="15" t="n"/>
      <c r="C1304" s="16" t="n"/>
      <c r="D1304" s="10" t="n"/>
      <c r="E1304" s="9" t="n"/>
      <c r="F1304" s="9" t="n"/>
      <c r="G1304" s="13" t="n"/>
      <c r="H1304" s="21" t="n"/>
      <c r="I1304" s="21" t="n"/>
      <c r="J1304" s="17">
        <f>IF($G1304="","",IFERROR(INDEX(NomsEmployes,MATCH($G1304,MatriculesEmployes,0)),"MATRICULE INCONNU"))</f>
        <v/>
      </c>
      <c r="K1304" s="33">
        <f>IF(OR($D1304="",$F1304=""),"",IFERROR(IF(INDEX(RUNS!$L$6:$S$1005,MATCH($D1304,RUNS!$A$6:$A$1005,0),MATCH("ACTIVITÉ "&amp;$F1304,RUNS!$L$5:$S$5,0))="","",INDEX(RUNS!$L$6:$S$1005,MATCH($D1304,RUNS!$A$6:$A$1005,0),MATCH("ACTIVITÉ "&amp;$F1304,RUNS!$L$5:$S$5,0))),""))</f>
        <v/>
      </c>
      <c r="L1304" s="33">
        <f>IF($D1304="","",IFERROR(IF(INDEX(RUNS!$E$6:$E$1005,MATCH($D1304,RUNS!$A$6:$A$1005,0))="","",INDEX(RUNS!$E$6:$E$1005,MATCH($D1304,RUNS!$A$6:$A$1005,0))),""))</f>
        <v/>
      </c>
      <c r="M1304" s="33">
        <f>IF($D1304="","",IFERROR(IF(INDEX(RUNS!$F$6:$F$1005,MATCH($D1304,RUNS!$A$6:$A$1005,0))="","",INDEX(RUNS!$F$6:$F$1005,MATCH($D1304,RUNS!$A$6:$A$1005,0))),""))</f>
        <v/>
      </c>
      <c r="N1304" s="33">
        <f>IF($D1304="","",IFERROR(IF(INDEX(RUNS!$G$6:$G$1005,MATCH($D1304,RUNS!$A$6:$A$1005,0))="","",INDEX(RUNS!$G$6:$G$1005,MATCH($D1304,RUNS!$A$6:$A$1005,0))),""))</f>
        <v/>
      </c>
      <c r="O1304" s="33">
        <f>IF($D1304="","",IFERROR(IF(INDEX(RUNS!$H$6:$H$1005,MATCH($D1304,RUNS!$A$6:$A$1005,0))="","",INDEX(RUNS!$H$6:$H$1005,MATCH($D1304,RUNS!$A$6:$A$1005,0))),""))</f>
        <v/>
      </c>
      <c r="P1304" s="33">
        <f>IF($D1304="","",IFERROR(IF(INDEX(RUNS!$J$6:$J$1005,MATCH($D1304,RUNS!$A$6:$A$1005,0))="","",INDEX(RUNS!$J$6:$J$1005,MATCH($D1304,RUNS!$A$6:$A$1005,0))),""))</f>
        <v/>
      </c>
      <c r="Q1304" s="33">
        <f>IF($D1304="","",IFERROR(IF(INDEX(RUNS!$K$6:$K$1005,MATCH($D1304,RUNS!$A$6:$A$1005,0))="","",INDEX(RUNS!$K$6:$K$1005,MATCH($D1304,RUNS!$A$6:$A$1005,0))),""))</f>
        <v/>
      </c>
      <c r="R1304" s="34">
        <f>IF(OR($L1304="",$K1304=""),"",IFERROR(IF(INDEX(PARAMETRES!$H$43:$H$342,MATCH($L1304&amp;"|"&amp;$M1304&amp;"|"&amp;$N1304&amp;"|"&amp;$O1304&amp;"|"&amp;$P1304&amp;"|"&amp;$Q1304&amp;"|"&amp;$K1304,PARAMETRES!$J$43:$J$342,0))="","",INDEX(PARAMETRES!$H$43:$H$342,MATCH($L1304&amp;"|"&amp;$M1304&amp;"|"&amp;$N1304&amp;"|"&amp;$O1304&amp;"|"&amp;$P1304&amp;"|"&amp;$Q1304&amp;"|"&amp;$K1304,PARAMETRES!$J$43:$J$342,0))),""))</f>
        <v/>
      </c>
      <c r="S1304" s="35">
        <f>IF(OR($G1304="",$X1304&lt;&gt;"VALIDE"),"",IFERROR(LOOKUP(2,1/(($B404:$B1303=$B1304)*($G404:$G1303=$G1304)*($X404:$X1303="VALIDE")),$C404:$C1303),""))</f>
        <v/>
      </c>
      <c r="T1304" s="36">
        <f>IF(OR($C1304="",$S1304=""),"",ROUND(($C1304-$S1304+IF($C1304&lt;$S1304,1,0))*1440,0))</f>
        <v/>
      </c>
      <c r="U1304" s="22">
        <f>IF(OR($H1304="",$T1304="",$T1304&lt;=0),"",$H1304*60/$T1304)</f>
        <v/>
      </c>
      <c r="V1304" s="37">
        <f>IF(OR($U1304="",$R1304="",$R1304=0),"",$U1304/$R1304)</f>
        <v/>
      </c>
      <c r="W1304" s="20">
        <f>IF($G1304="","",IF($X1304="CONTEXTE INCOMPLET","CONTEXTE INCOMPLET",IF($X1304="DOUBLON",StatutDoublon,IF($S1304="",StatutInitial,IF($R1304="",StatutStandardManquant,IF($V1304="","DONNEES INSUFFISANTES",IF($V1304&gt;=SeuilConforme,StatutConforme,IF($V1304&gt;=SeuilSurveiller,StatutSurveiller,StatutSousStandard))))))))</f>
        <v/>
      </c>
      <c r="X1304" s="33">
        <f>IF($G1304="","",IF(OR($D1304="",$E1304="",$F1304=""),"CONTEXTE INCOMPLET",IF(COUNTIFS($D404:$D1303,$D1304,$E404:$E1303,$E1304,$F404:$F1303,$F1304,$G404:$G1303,$G1304)&gt;0,"DOUBLON","VALIDE")))</f>
        <v/>
      </c>
    </row>
    <row r="1305" ht="15" customHeight="1">
      <c r="A1305" s="12">
        <f>IF(OR($B1305="",$G1305=""),"",TEXT($B1305,"YYYYMMDD")&amp;"-"&amp;SUBSTITUTE($E1305," ","")&amp;"-"&amp;$F1305&amp;"-"&amp;$G1305)</f>
        <v/>
      </c>
      <c r="B1305" s="15" t="n"/>
      <c r="C1305" s="16" t="n"/>
      <c r="D1305" s="10" t="n"/>
      <c r="E1305" s="9" t="n"/>
      <c r="F1305" s="9" t="n"/>
      <c r="G1305" s="13" t="n"/>
      <c r="H1305" s="21" t="n"/>
      <c r="I1305" s="21" t="n"/>
      <c r="J1305" s="17">
        <f>IF($G1305="","",IFERROR(INDEX(NomsEmployes,MATCH($G1305,MatriculesEmployes,0)),"MATRICULE INCONNU"))</f>
        <v/>
      </c>
      <c r="K1305" s="33">
        <f>IF(OR($D1305="",$F1305=""),"",IFERROR(IF(INDEX(RUNS!$L$6:$S$1005,MATCH($D1305,RUNS!$A$6:$A$1005,0),MATCH("ACTIVITÉ "&amp;$F1305,RUNS!$L$5:$S$5,0))="","",INDEX(RUNS!$L$6:$S$1005,MATCH($D1305,RUNS!$A$6:$A$1005,0),MATCH("ACTIVITÉ "&amp;$F1305,RUNS!$L$5:$S$5,0))),""))</f>
        <v/>
      </c>
      <c r="L1305" s="33">
        <f>IF($D1305="","",IFERROR(IF(INDEX(RUNS!$E$6:$E$1005,MATCH($D1305,RUNS!$A$6:$A$1005,0))="","",INDEX(RUNS!$E$6:$E$1005,MATCH($D1305,RUNS!$A$6:$A$1005,0))),""))</f>
        <v/>
      </c>
      <c r="M1305" s="33">
        <f>IF($D1305="","",IFERROR(IF(INDEX(RUNS!$F$6:$F$1005,MATCH($D1305,RUNS!$A$6:$A$1005,0))="","",INDEX(RUNS!$F$6:$F$1005,MATCH($D1305,RUNS!$A$6:$A$1005,0))),""))</f>
        <v/>
      </c>
      <c r="N1305" s="33">
        <f>IF($D1305="","",IFERROR(IF(INDEX(RUNS!$G$6:$G$1005,MATCH($D1305,RUNS!$A$6:$A$1005,0))="","",INDEX(RUNS!$G$6:$G$1005,MATCH($D1305,RUNS!$A$6:$A$1005,0))),""))</f>
        <v/>
      </c>
      <c r="O1305" s="33">
        <f>IF($D1305="","",IFERROR(IF(INDEX(RUNS!$H$6:$H$1005,MATCH($D1305,RUNS!$A$6:$A$1005,0))="","",INDEX(RUNS!$H$6:$H$1005,MATCH($D1305,RUNS!$A$6:$A$1005,0))),""))</f>
        <v/>
      </c>
      <c r="P1305" s="33">
        <f>IF($D1305="","",IFERROR(IF(INDEX(RUNS!$J$6:$J$1005,MATCH($D1305,RUNS!$A$6:$A$1005,0))="","",INDEX(RUNS!$J$6:$J$1005,MATCH($D1305,RUNS!$A$6:$A$1005,0))),""))</f>
        <v/>
      </c>
      <c r="Q1305" s="33">
        <f>IF($D1305="","",IFERROR(IF(INDEX(RUNS!$K$6:$K$1005,MATCH($D1305,RUNS!$A$6:$A$1005,0))="","",INDEX(RUNS!$K$6:$K$1005,MATCH($D1305,RUNS!$A$6:$A$1005,0))),""))</f>
        <v/>
      </c>
      <c r="R1305" s="34">
        <f>IF(OR($L1305="",$K1305=""),"",IFERROR(IF(INDEX(PARAMETRES!$H$43:$H$342,MATCH($L1305&amp;"|"&amp;$M1305&amp;"|"&amp;$N1305&amp;"|"&amp;$O1305&amp;"|"&amp;$P1305&amp;"|"&amp;$Q1305&amp;"|"&amp;$K1305,PARAMETRES!$J$43:$J$342,0))="","",INDEX(PARAMETRES!$H$43:$H$342,MATCH($L1305&amp;"|"&amp;$M1305&amp;"|"&amp;$N1305&amp;"|"&amp;$O1305&amp;"|"&amp;$P1305&amp;"|"&amp;$Q1305&amp;"|"&amp;$K1305,PARAMETRES!$J$43:$J$342,0))),""))</f>
        <v/>
      </c>
      <c r="S1305" s="35">
        <f>IF(OR($G1305="",$X1305&lt;&gt;"VALIDE"),"",IFERROR(LOOKUP(2,1/(($B405:$B1304=$B1305)*($G405:$G1304=$G1305)*($X405:$X1304="VALIDE")),$C405:$C1304),""))</f>
        <v/>
      </c>
      <c r="T1305" s="36">
        <f>IF(OR($C1305="",$S1305=""),"",ROUND(($C1305-$S1305+IF($C1305&lt;$S1305,1,0))*1440,0))</f>
        <v/>
      </c>
      <c r="U1305" s="22">
        <f>IF(OR($H1305="",$T1305="",$T1305&lt;=0),"",$H1305*60/$T1305)</f>
        <v/>
      </c>
      <c r="V1305" s="37">
        <f>IF(OR($U1305="",$R1305="",$R1305=0),"",$U1305/$R1305)</f>
        <v/>
      </c>
      <c r="W1305" s="20">
        <f>IF($G1305="","",IF($X1305="CONTEXTE INCOMPLET","CONTEXTE INCOMPLET",IF($X1305="DOUBLON",StatutDoublon,IF($S1305="",StatutInitial,IF($R1305="",StatutStandardManquant,IF($V1305="","DONNEES INSUFFISANTES",IF($V1305&gt;=SeuilConforme,StatutConforme,IF($V1305&gt;=SeuilSurveiller,StatutSurveiller,StatutSousStandard))))))))</f>
        <v/>
      </c>
      <c r="X1305" s="33">
        <f>IF($G1305="","",IF(OR($D1305="",$E1305="",$F1305=""),"CONTEXTE INCOMPLET",IF(COUNTIFS($D405:$D1304,$D1305,$E405:$E1304,$E1305,$F405:$F1304,$F1305,$G405:$G1304,$G1305)&gt;0,"DOUBLON","VALIDE")))</f>
        <v/>
      </c>
    </row>
    <row r="1306" ht="15" customHeight="1">
      <c r="A1306" s="12">
        <f>IF(OR($B1306="",$G1306=""),"",TEXT($B1306,"YYYYMMDD")&amp;"-"&amp;SUBSTITUTE($E1306," ","")&amp;"-"&amp;$F1306&amp;"-"&amp;$G1306)</f>
        <v/>
      </c>
      <c r="B1306" s="15" t="n"/>
      <c r="C1306" s="16" t="n"/>
      <c r="D1306" s="10" t="n"/>
      <c r="E1306" s="9" t="n"/>
      <c r="F1306" s="9" t="n"/>
      <c r="G1306" s="13" t="n"/>
      <c r="H1306" s="21" t="n"/>
      <c r="I1306" s="21" t="n"/>
      <c r="J1306" s="17">
        <f>IF($G1306="","",IFERROR(INDEX(NomsEmployes,MATCH($G1306,MatriculesEmployes,0)),"MATRICULE INCONNU"))</f>
        <v/>
      </c>
      <c r="K1306" s="33">
        <f>IF(OR($D1306="",$F1306=""),"",IFERROR(IF(INDEX(RUNS!$L$6:$S$1005,MATCH($D1306,RUNS!$A$6:$A$1005,0),MATCH("ACTIVITÉ "&amp;$F1306,RUNS!$L$5:$S$5,0))="","",INDEX(RUNS!$L$6:$S$1005,MATCH($D1306,RUNS!$A$6:$A$1005,0),MATCH("ACTIVITÉ "&amp;$F1306,RUNS!$L$5:$S$5,0))),""))</f>
        <v/>
      </c>
      <c r="L1306" s="33">
        <f>IF($D1306="","",IFERROR(IF(INDEX(RUNS!$E$6:$E$1005,MATCH($D1306,RUNS!$A$6:$A$1005,0))="","",INDEX(RUNS!$E$6:$E$1005,MATCH($D1306,RUNS!$A$6:$A$1005,0))),""))</f>
        <v/>
      </c>
      <c r="M1306" s="33">
        <f>IF($D1306="","",IFERROR(IF(INDEX(RUNS!$F$6:$F$1005,MATCH($D1306,RUNS!$A$6:$A$1005,0))="","",INDEX(RUNS!$F$6:$F$1005,MATCH($D1306,RUNS!$A$6:$A$1005,0))),""))</f>
        <v/>
      </c>
      <c r="N1306" s="33">
        <f>IF($D1306="","",IFERROR(IF(INDEX(RUNS!$G$6:$G$1005,MATCH($D1306,RUNS!$A$6:$A$1005,0))="","",INDEX(RUNS!$G$6:$G$1005,MATCH($D1306,RUNS!$A$6:$A$1005,0))),""))</f>
        <v/>
      </c>
      <c r="O1306" s="33">
        <f>IF($D1306="","",IFERROR(IF(INDEX(RUNS!$H$6:$H$1005,MATCH($D1306,RUNS!$A$6:$A$1005,0))="","",INDEX(RUNS!$H$6:$H$1005,MATCH($D1306,RUNS!$A$6:$A$1005,0))),""))</f>
        <v/>
      </c>
      <c r="P1306" s="33">
        <f>IF($D1306="","",IFERROR(IF(INDEX(RUNS!$J$6:$J$1005,MATCH($D1306,RUNS!$A$6:$A$1005,0))="","",INDEX(RUNS!$J$6:$J$1005,MATCH($D1306,RUNS!$A$6:$A$1005,0))),""))</f>
        <v/>
      </c>
      <c r="Q1306" s="33">
        <f>IF($D1306="","",IFERROR(IF(INDEX(RUNS!$K$6:$K$1005,MATCH($D1306,RUNS!$A$6:$A$1005,0))="","",INDEX(RUNS!$K$6:$K$1005,MATCH($D1306,RUNS!$A$6:$A$1005,0))),""))</f>
        <v/>
      </c>
      <c r="R1306" s="34">
        <f>IF(OR($L1306="",$K1306=""),"",IFERROR(IF(INDEX(PARAMETRES!$H$43:$H$342,MATCH($L1306&amp;"|"&amp;$M1306&amp;"|"&amp;$N1306&amp;"|"&amp;$O1306&amp;"|"&amp;$P1306&amp;"|"&amp;$Q1306&amp;"|"&amp;$K1306,PARAMETRES!$J$43:$J$342,0))="","",INDEX(PARAMETRES!$H$43:$H$342,MATCH($L1306&amp;"|"&amp;$M1306&amp;"|"&amp;$N1306&amp;"|"&amp;$O1306&amp;"|"&amp;$P1306&amp;"|"&amp;$Q1306&amp;"|"&amp;$K1306,PARAMETRES!$J$43:$J$342,0))),""))</f>
        <v/>
      </c>
      <c r="S1306" s="35">
        <f>IF(OR($G1306="",$X1306&lt;&gt;"VALIDE"),"",IFERROR(LOOKUP(2,1/(($B406:$B1305=$B1306)*($G406:$G1305=$G1306)*($X406:$X1305="VALIDE")),$C406:$C1305),""))</f>
        <v/>
      </c>
      <c r="T1306" s="36">
        <f>IF(OR($C1306="",$S1306=""),"",ROUND(($C1306-$S1306+IF($C1306&lt;$S1306,1,0))*1440,0))</f>
        <v/>
      </c>
      <c r="U1306" s="22">
        <f>IF(OR($H1306="",$T1306="",$T1306&lt;=0),"",$H1306*60/$T1306)</f>
        <v/>
      </c>
      <c r="V1306" s="37">
        <f>IF(OR($U1306="",$R1306="",$R1306=0),"",$U1306/$R1306)</f>
        <v/>
      </c>
      <c r="W1306" s="20">
        <f>IF($G1306="","",IF($X1306="CONTEXTE INCOMPLET","CONTEXTE INCOMPLET",IF($X1306="DOUBLON",StatutDoublon,IF($S1306="",StatutInitial,IF($R1306="",StatutStandardManquant,IF($V1306="","DONNEES INSUFFISANTES",IF($V1306&gt;=SeuilConforme,StatutConforme,IF($V1306&gt;=SeuilSurveiller,StatutSurveiller,StatutSousStandard))))))))</f>
        <v/>
      </c>
      <c r="X1306" s="33">
        <f>IF($G1306="","",IF(OR($D1306="",$E1306="",$F1306=""),"CONTEXTE INCOMPLET",IF(COUNTIFS($D406:$D1305,$D1306,$E406:$E1305,$E1306,$F406:$F1305,$F1306,$G406:$G1305,$G1306)&gt;0,"DOUBLON","VALIDE")))</f>
        <v/>
      </c>
    </row>
    <row r="1307" ht="15" customHeight="1">
      <c r="A1307" s="12">
        <f>IF(OR($B1307="",$G1307=""),"",TEXT($B1307,"YYYYMMDD")&amp;"-"&amp;SUBSTITUTE($E1307," ","")&amp;"-"&amp;$F1307&amp;"-"&amp;$G1307)</f>
        <v/>
      </c>
      <c r="B1307" s="15" t="n"/>
      <c r="C1307" s="16" t="n"/>
      <c r="D1307" s="10" t="n"/>
      <c r="E1307" s="9" t="n"/>
      <c r="F1307" s="9" t="n"/>
      <c r="G1307" s="13" t="n"/>
      <c r="H1307" s="21" t="n"/>
      <c r="I1307" s="21" t="n"/>
      <c r="J1307" s="17">
        <f>IF($G1307="","",IFERROR(INDEX(NomsEmployes,MATCH($G1307,MatriculesEmployes,0)),"MATRICULE INCONNU"))</f>
        <v/>
      </c>
      <c r="K1307" s="33">
        <f>IF(OR($D1307="",$F1307=""),"",IFERROR(IF(INDEX(RUNS!$L$6:$S$1005,MATCH($D1307,RUNS!$A$6:$A$1005,0),MATCH("ACTIVITÉ "&amp;$F1307,RUNS!$L$5:$S$5,0))="","",INDEX(RUNS!$L$6:$S$1005,MATCH($D1307,RUNS!$A$6:$A$1005,0),MATCH("ACTIVITÉ "&amp;$F1307,RUNS!$L$5:$S$5,0))),""))</f>
        <v/>
      </c>
      <c r="L1307" s="33">
        <f>IF($D1307="","",IFERROR(IF(INDEX(RUNS!$E$6:$E$1005,MATCH($D1307,RUNS!$A$6:$A$1005,0))="","",INDEX(RUNS!$E$6:$E$1005,MATCH($D1307,RUNS!$A$6:$A$1005,0))),""))</f>
        <v/>
      </c>
      <c r="M1307" s="33">
        <f>IF($D1307="","",IFERROR(IF(INDEX(RUNS!$F$6:$F$1005,MATCH($D1307,RUNS!$A$6:$A$1005,0))="","",INDEX(RUNS!$F$6:$F$1005,MATCH($D1307,RUNS!$A$6:$A$1005,0))),""))</f>
        <v/>
      </c>
      <c r="N1307" s="33">
        <f>IF($D1307="","",IFERROR(IF(INDEX(RUNS!$G$6:$G$1005,MATCH($D1307,RUNS!$A$6:$A$1005,0))="","",INDEX(RUNS!$G$6:$G$1005,MATCH($D1307,RUNS!$A$6:$A$1005,0))),""))</f>
        <v/>
      </c>
      <c r="O1307" s="33">
        <f>IF($D1307="","",IFERROR(IF(INDEX(RUNS!$H$6:$H$1005,MATCH($D1307,RUNS!$A$6:$A$1005,0))="","",INDEX(RUNS!$H$6:$H$1005,MATCH($D1307,RUNS!$A$6:$A$1005,0))),""))</f>
        <v/>
      </c>
      <c r="P1307" s="33">
        <f>IF($D1307="","",IFERROR(IF(INDEX(RUNS!$J$6:$J$1005,MATCH($D1307,RUNS!$A$6:$A$1005,0))="","",INDEX(RUNS!$J$6:$J$1005,MATCH($D1307,RUNS!$A$6:$A$1005,0))),""))</f>
        <v/>
      </c>
      <c r="Q1307" s="33">
        <f>IF($D1307="","",IFERROR(IF(INDEX(RUNS!$K$6:$K$1005,MATCH($D1307,RUNS!$A$6:$A$1005,0))="","",INDEX(RUNS!$K$6:$K$1005,MATCH($D1307,RUNS!$A$6:$A$1005,0))),""))</f>
        <v/>
      </c>
      <c r="R1307" s="34">
        <f>IF(OR($L1307="",$K1307=""),"",IFERROR(IF(INDEX(PARAMETRES!$H$43:$H$342,MATCH($L1307&amp;"|"&amp;$M1307&amp;"|"&amp;$N1307&amp;"|"&amp;$O1307&amp;"|"&amp;$P1307&amp;"|"&amp;$Q1307&amp;"|"&amp;$K1307,PARAMETRES!$J$43:$J$342,0))="","",INDEX(PARAMETRES!$H$43:$H$342,MATCH($L1307&amp;"|"&amp;$M1307&amp;"|"&amp;$N1307&amp;"|"&amp;$O1307&amp;"|"&amp;$P1307&amp;"|"&amp;$Q1307&amp;"|"&amp;$K1307,PARAMETRES!$J$43:$J$342,0))),""))</f>
        <v/>
      </c>
      <c r="S1307" s="35">
        <f>IF(OR($G1307="",$X1307&lt;&gt;"VALIDE"),"",IFERROR(LOOKUP(2,1/(($B407:$B1306=$B1307)*($G407:$G1306=$G1307)*($X407:$X1306="VALIDE")),$C407:$C1306),""))</f>
        <v/>
      </c>
      <c r="T1307" s="36">
        <f>IF(OR($C1307="",$S1307=""),"",ROUND(($C1307-$S1307+IF($C1307&lt;$S1307,1,0))*1440,0))</f>
        <v/>
      </c>
      <c r="U1307" s="22">
        <f>IF(OR($H1307="",$T1307="",$T1307&lt;=0),"",$H1307*60/$T1307)</f>
        <v/>
      </c>
      <c r="V1307" s="37">
        <f>IF(OR($U1307="",$R1307="",$R1307=0),"",$U1307/$R1307)</f>
        <v/>
      </c>
      <c r="W1307" s="20">
        <f>IF($G1307="","",IF($X1307="CONTEXTE INCOMPLET","CONTEXTE INCOMPLET",IF($X1307="DOUBLON",StatutDoublon,IF($S1307="",StatutInitial,IF($R1307="",StatutStandardManquant,IF($V1307="","DONNEES INSUFFISANTES",IF($V1307&gt;=SeuilConforme,StatutConforme,IF($V1307&gt;=SeuilSurveiller,StatutSurveiller,StatutSousStandard))))))))</f>
        <v/>
      </c>
      <c r="X1307" s="33">
        <f>IF($G1307="","",IF(OR($D1307="",$E1307="",$F1307=""),"CONTEXTE INCOMPLET",IF(COUNTIFS($D407:$D1306,$D1307,$E407:$E1306,$E1307,$F407:$F1306,$F1307,$G407:$G1306,$G1307)&gt;0,"DOUBLON","VALIDE")))</f>
        <v/>
      </c>
    </row>
    <row r="1308" ht="15" customHeight="1">
      <c r="A1308" s="12">
        <f>IF(OR($B1308="",$G1308=""),"",TEXT($B1308,"YYYYMMDD")&amp;"-"&amp;SUBSTITUTE($E1308," ","")&amp;"-"&amp;$F1308&amp;"-"&amp;$G1308)</f>
        <v/>
      </c>
      <c r="B1308" s="15" t="n"/>
      <c r="C1308" s="16" t="n"/>
      <c r="D1308" s="10" t="n"/>
      <c r="E1308" s="9" t="n"/>
      <c r="F1308" s="9" t="n"/>
      <c r="G1308" s="13" t="n"/>
      <c r="H1308" s="21" t="n"/>
      <c r="I1308" s="21" t="n"/>
      <c r="J1308" s="17">
        <f>IF($G1308="","",IFERROR(INDEX(NomsEmployes,MATCH($G1308,MatriculesEmployes,0)),"MATRICULE INCONNU"))</f>
        <v/>
      </c>
      <c r="K1308" s="33">
        <f>IF(OR($D1308="",$F1308=""),"",IFERROR(IF(INDEX(RUNS!$L$6:$S$1005,MATCH($D1308,RUNS!$A$6:$A$1005,0),MATCH("ACTIVITÉ "&amp;$F1308,RUNS!$L$5:$S$5,0))="","",INDEX(RUNS!$L$6:$S$1005,MATCH($D1308,RUNS!$A$6:$A$1005,0),MATCH("ACTIVITÉ "&amp;$F1308,RUNS!$L$5:$S$5,0))),""))</f>
        <v/>
      </c>
      <c r="L1308" s="33">
        <f>IF($D1308="","",IFERROR(IF(INDEX(RUNS!$E$6:$E$1005,MATCH($D1308,RUNS!$A$6:$A$1005,0))="","",INDEX(RUNS!$E$6:$E$1005,MATCH($D1308,RUNS!$A$6:$A$1005,0))),""))</f>
        <v/>
      </c>
      <c r="M1308" s="33">
        <f>IF($D1308="","",IFERROR(IF(INDEX(RUNS!$F$6:$F$1005,MATCH($D1308,RUNS!$A$6:$A$1005,0))="","",INDEX(RUNS!$F$6:$F$1005,MATCH($D1308,RUNS!$A$6:$A$1005,0))),""))</f>
        <v/>
      </c>
      <c r="N1308" s="33">
        <f>IF($D1308="","",IFERROR(IF(INDEX(RUNS!$G$6:$G$1005,MATCH($D1308,RUNS!$A$6:$A$1005,0))="","",INDEX(RUNS!$G$6:$G$1005,MATCH($D1308,RUNS!$A$6:$A$1005,0))),""))</f>
        <v/>
      </c>
      <c r="O1308" s="33">
        <f>IF($D1308="","",IFERROR(IF(INDEX(RUNS!$H$6:$H$1005,MATCH($D1308,RUNS!$A$6:$A$1005,0))="","",INDEX(RUNS!$H$6:$H$1005,MATCH($D1308,RUNS!$A$6:$A$1005,0))),""))</f>
        <v/>
      </c>
      <c r="P1308" s="33">
        <f>IF($D1308="","",IFERROR(IF(INDEX(RUNS!$J$6:$J$1005,MATCH($D1308,RUNS!$A$6:$A$1005,0))="","",INDEX(RUNS!$J$6:$J$1005,MATCH($D1308,RUNS!$A$6:$A$1005,0))),""))</f>
        <v/>
      </c>
      <c r="Q1308" s="33">
        <f>IF($D1308="","",IFERROR(IF(INDEX(RUNS!$K$6:$K$1005,MATCH($D1308,RUNS!$A$6:$A$1005,0))="","",INDEX(RUNS!$K$6:$K$1005,MATCH($D1308,RUNS!$A$6:$A$1005,0))),""))</f>
        <v/>
      </c>
      <c r="R1308" s="34">
        <f>IF(OR($L1308="",$K1308=""),"",IFERROR(IF(INDEX(PARAMETRES!$H$43:$H$342,MATCH($L1308&amp;"|"&amp;$M1308&amp;"|"&amp;$N1308&amp;"|"&amp;$O1308&amp;"|"&amp;$P1308&amp;"|"&amp;$Q1308&amp;"|"&amp;$K1308,PARAMETRES!$J$43:$J$342,0))="","",INDEX(PARAMETRES!$H$43:$H$342,MATCH($L1308&amp;"|"&amp;$M1308&amp;"|"&amp;$N1308&amp;"|"&amp;$O1308&amp;"|"&amp;$P1308&amp;"|"&amp;$Q1308&amp;"|"&amp;$K1308,PARAMETRES!$J$43:$J$342,0))),""))</f>
        <v/>
      </c>
      <c r="S1308" s="35">
        <f>IF(OR($G1308="",$X1308&lt;&gt;"VALIDE"),"",IFERROR(LOOKUP(2,1/(($B408:$B1307=$B1308)*($G408:$G1307=$G1308)*($X408:$X1307="VALIDE")),$C408:$C1307),""))</f>
        <v/>
      </c>
      <c r="T1308" s="36">
        <f>IF(OR($C1308="",$S1308=""),"",ROUND(($C1308-$S1308+IF($C1308&lt;$S1308,1,0))*1440,0))</f>
        <v/>
      </c>
      <c r="U1308" s="22">
        <f>IF(OR($H1308="",$T1308="",$T1308&lt;=0),"",$H1308*60/$T1308)</f>
        <v/>
      </c>
      <c r="V1308" s="37">
        <f>IF(OR($U1308="",$R1308="",$R1308=0),"",$U1308/$R1308)</f>
        <v/>
      </c>
      <c r="W1308" s="20">
        <f>IF($G1308="","",IF($X1308="CONTEXTE INCOMPLET","CONTEXTE INCOMPLET",IF($X1308="DOUBLON",StatutDoublon,IF($S1308="",StatutInitial,IF($R1308="",StatutStandardManquant,IF($V1308="","DONNEES INSUFFISANTES",IF($V1308&gt;=SeuilConforme,StatutConforme,IF($V1308&gt;=SeuilSurveiller,StatutSurveiller,StatutSousStandard))))))))</f>
        <v/>
      </c>
      <c r="X1308" s="33">
        <f>IF($G1308="","",IF(OR($D1308="",$E1308="",$F1308=""),"CONTEXTE INCOMPLET",IF(COUNTIFS($D408:$D1307,$D1308,$E408:$E1307,$E1308,$F408:$F1307,$F1308,$G408:$G1307,$G1308)&gt;0,"DOUBLON","VALIDE")))</f>
        <v/>
      </c>
    </row>
    <row r="1309" ht="15" customHeight="1">
      <c r="A1309" s="12">
        <f>IF(OR($B1309="",$G1309=""),"",TEXT($B1309,"YYYYMMDD")&amp;"-"&amp;SUBSTITUTE($E1309," ","")&amp;"-"&amp;$F1309&amp;"-"&amp;$G1309)</f>
        <v/>
      </c>
      <c r="B1309" s="15" t="n"/>
      <c r="C1309" s="16" t="n"/>
      <c r="D1309" s="10" t="n"/>
      <c r="E1309" s="9" t="n"/>
      <c r="F1309" s="9" t="n"/>
      <c r="G1309" s="13" t="n"/>
      <c r="H1309" s="21" t="n"/>
      <c r="I1309" s="21" t="n"/>
      <c r="J1309" s="17">
        <f>IF($G1309="","",IFERROR(INDEX(NomsEmployes,MATCH($G1309,MatriculesEmployes,0)),"MATRICULE INCONNU"))</f>
        <v/>
      </c>
      <c r="K1309" s="33">
        <f>IF(OR($D1309="",$F1309=""),"",IFERROR(IF(INDEX(RUNS!$L$6:$S$1005,MATCH($D1309,RUNS!$A$6:$A$1005,0),MATCH("ACTIVITÉ "&amp;$F1309,RUNS!$L$5:$S$5,0))="","",INDEX(RUNS!$L$6:$S$1005,MATCH($D1309,RUNS!$A$6:$A$1005,0),MATCH("ACTIVITÉ "&amp;$F1309,RUNS!$L$5:$S$5,0))),""))</f>
        <v/>
      </c>
      <c r="L1309" s="33">
        <f>IF($D1309="","",IFERROR(IF(INDEX(RUNS!$E$6:$E$1005,MATCH($D1309,RUNS!$A$6:$A$1005,0))="","",INDEX(RUNS!$E$6:$E$1005,MATCH($D1309,RUNS!$A$6:$A$1005,0))),""))</f>
        <v/>
      </c>
      <c r="M1309" s="33">
        <f>IF($D1309="","",IFERROR(IF(INDEX(RUNS!$F$6:$F$1005,MATCH($D1309,RUNS!$A$6:$A$1005,0))="","",INDEX(RUNS!$F$6:$F$1005,MATCH($D1309,RUNS!$A$6:$A$1005,0))),""))</f>
        <v/>
      </c>
      <c r="N1309" s="33">
        <f>IF($D1309="","",IFERROR(IF(INDEX(RUNS!$G$6:$G$1005,MATCH($D1309,RUNS!$A$6:$A$1005,0))="","",INDEX(RUNS!$G$6:$G$1005,MATCH($D1309,RUNS!$A$6:$A$1005,0))),""))</f>
        <v/>
      </c>
      <c r="O1309" s="33">
        <f>IF($D1309="","",IFERROR(IF(INDEX(RUNS!$H$6:$H$1005,MATCH($D1309,RUNS!$A$6:$A$1005,0))="","",INDEX(RUNS!$H$6:$H$1005,MATCH($D1309,RUNS!$A$6:$A$1005,0))),""))</f>
        <v/>
      </c>
      <c r="P1309" s="33">
        <f>IF($D1309="","",IFERROR(IF(INDEX(RUNS!$J$6:$J$1005,MATCH($D1309,RUNS!$A$6:$A$1005,0))="","",INDEX(RUNS!$J$6:$J$1005,MATCH($D1309,RUNS!$A$6:$A$1005,0))),""))</f>
        <v/>
      </c>
      <c r="Q1309" s="33">
        <f>IF($D1309="","",IFERROR(IF(INDEX(RUNS!$K$6:$K$1005,MATCH($D1309,RUNS!$A$6:$A$1005,0))="","",INDEX(RUNS!$K$6:$K$1005,MATCH($D1309,RUNS!$A$6:$A$1005,0))),""))</f>
        <v/>
      </c>
      <c r="R1309" s="34">
        <f>IF(OR($L1309="",$K1309=""),"",IFERROR(IF(INDEX(PARAMETRES!$H$43:$H$342,MATCH($L1309&amp;"|"&amp;$M1309&amp;"|"&amp;$N1309&amp;"|"&amp;$O1309&amp;"|"&amp;$P1309&amp;"|"&amp;$Q1309&amp;"|"&amp;$K1309,PARAMETRES!$J$43:$J$342,0))="","",INDEX(PARAMETRES!$H$43:$H$342,MATCH($L1309&amp;"|"&amp;$M1309&amp;"|"&amp;$N1309&amp;"|"&amp;$O1309&amp;"|"&amp;$P1309&amp;"|"&amp;$Q1309&amp;"|"&amp;$K1309,PARAMETRES!$J$43:$J$342,0))),""))</f>
        <v/>
      </c>
      <c r="S1309" s="35">
        <f>IF(OR($G1309="",$X1309&lt;&gt;"VALIDE"),"",IFERROR(LOOKUP(2,1/(($B409:$B1308=$B1309)*($G409:$G1308=$G1309)*($X409:$X1308="VALIDE")),$C409:$C1308),""))</f>
        <v/>
      </c>
      <c r="T1309" s="36">
        <f>IF(OR($C1309="",$S1309=""),"",ROUND(($C1309-$S1309+IF($C1309&lt;$S1309,1,0))*1440,0))</f>
        <v/>
      </c>
      <c r="U1309" s="22">
        <f>IF(OR($H1309="",$T1309="",$T1309&lt;=0),"",$H1309*60/$T1309)</f>
        <v/>
      </c>
      <c r="V1309" s="37">
        <f>IF(OR($U1309="",$R1309="",$R1309=0),"",$U1309/$R1309)</f>
        <v/>
      </c>
      <c r="W1309" s="20">
        <f>IF($G1309="","",IF($X1309="CONTEXTE INCOMPLET","CONTEXTE INCOMPLET",IF($X1309="DOUBLON",StatutDoublon,IF($S1309="",StatutInitial,IF($R1309="",StatutStandardManquant,IF($V1309="","DONNEES INSUFFISANTES",IF($V1309&gt;=SeuilConforme,StatutConforme,IF($V1309&gt;=SeuilSurveiller,StatutSurveiller,StatutSousStandard))))))))</f>
        <v/>
      </c>
      <c r="X1309" s="33">
        <f>IF($G1309="","",IF(OR($D1309="",$E1309="",$F1309=""),"CONTEXTE INCOMPLET",IF(COUNTIFS($D409:$D1308,$D1309,$E409:$E1308,$E1309,$F409:$F1308,$F1309,$G409:$G1308,$G1309)&gt;0,"DOUBLON","VALIDE")))</f>
        <v/>
      </c>
    </row>
    <row r="1310" ht="15" customHeight="1">
      <c r="A1310" s="12">
        <f>IF(OR($B1310="",$G1310=""),"",TEXT($B1310,"YYYYMMDD")&amp;"-"&amp;SUBSTITUTE($E1310," ","")&amp;"-"&amp;$F1310&amp;"-"&amp;$G1310)</f>
        <v/>
      </c>
      <c r="B1310" s="15" t="n"/>
      <c r="C1310" s="16" t="n"/>
      <c r="D1310" s="10" t="n"/>
      <c r="E1310" s="9" t="n"/>
      <c r="F1310" s="9" t="n"/>
      <c r="G1310" s="13" t="n"/>
      <c r="H1310" s="21" t="n"/>
      <c r="I1310" s="21" t="n"/>
      <c r="J1310" s="17">
        <f>IF($G1310="","",IFERROR(INDEX(NomsEmployes,MATCH($G1310,MatriculesEmployes,0)),"MATRICULE INCONNU"))</f>
        <v/>
      </c>
      <c r="K1310" s="33">
        <f>IF(OR($D1310="",$F1310=""),"",IFERROR(IF(INDEX(RUNS!$L$6:$S$1005,MATCH($D1310,RUNS!$A$6:$A$1005,0),MATCH("ACTIVITÉ "&amp;$F1310,RUNS!$L$5:$S$5,0))="","",INDEX(RUNS!$L$6:$S$1005,MATCH($D1310,RUNS!$A$6:$A$1005,0),MATCH("ACTIVITÉ "&amp;$F1310,RUNS!$L$5:$S$5,0))),""))</f>
        <v/>
      </c>
      <c r="L1310" s="33">
        <f>IF($D1310="","",IFERROR(IF(INDEX(RUNS!$E$6:$E$1005,MATCH($D1310,RUNS!$A$6:$A$1005,0))="","",INDEX(RUNS!$E$6:$E$1005,MATCH($D1310,RUNS!$A$6:$A$1005,0))),""))</f>
        <v/>
      </c>
      <c r="M1310" s="33">
        <f>IF($D1310="","",IFERROR(IF(INDEX(RUNS!$F$6:$F$1005,MATCH($D1310,RUNS!$A$6:$A$1005,0))="","",INDEX(RUNS!$F$6:$F$1005,MATCH($D1310,RUNS!$A$6:$A$1005,0))),""))</f>
        <v/>
      </c>
      <c r="N1310" s="33">
        <f>IF($D1310="","",IFERROR(IF(INDEX(RUNS!$G$6:$G$1005,MATCH($D1310,RUNS!$A$6:$A$1005,0))="","",INDEX(RUNS!$G$6:$G$1005,MATCH($D1310,RUNS!$A$6:$A$1005,0))),""))</f>
        <v/>
      </c>
      <c r="O1310" s="33">
        <f>IF($D1310="","",IFERROR(IF(INDEX(RUNS!$H$6:$H$1005,MATCH($D1310,RUNS!$A$6:$A$1005,0))="","",INDEX(RUNS!$H$6:$H$1005,MATCH($D1310,RUNS!$A$6:$A$1005,0))),""))</f>
        <v/>
      </c>
      <c r="P1310" s="33">
        <f>IF($D1310="","",IFERROR(IF(INDEX(RUNS!$J$6:$J$1005,MATCH($D1310,RUNS!$A$6:$A$1005,0))="","",INDEX(RUNS!$J$6:$J$1005,MATCH($D1310,RUNS!$A$6:$A$1005,0))),""))</f>
        <v/>
      </c>
      <c r="Q1310" s="33">
        <f>IF($D1310="","",IFERROR(IF(INDEX(RUNS!$K$6:$K$1005,MATCH($D1310,RUNS!$A$6:$A$1005,0))="","",INDEX(RUNS!$K$6:$K$1005,MATCH($D1310,RUNS!$A$6:$A$1005,0))),""))</f>
        <v/>
      </c>
      <c r="R1310" s="34">
        <f>IF(OR($L1310="",$K1310=""),"",IFERROR(IF(INDEX(PARAMETRES!$H$43:$H$342,MATCH($L1310&amp;"|"&amp;$M1310&amp;"|"&amp;$N1310&amp;"|"&amp;$O1310&amp;"|"&amp;$P1310&amp;"|"&amp;$Q1310&amp;"|"&amp;$K1310,PARAMETRES!$J$43:$J$342,0))="","",INDEX(PARAMETRES!$H$43:$H$342,MATCH($L1310&amp;"|"&amp;$M1310&amp;"|"&amp;$N1310&amp;"|"&amp;$O1310&amp;"|"&amp;$P1310&amp;"|"&amp;$Q1310&amp;"|"&amp;$K1310,PARAMETRES!$J$43:$J$342,0))),""))</f>
        <v/>
      </c>
      <c r="S1310" s="35">
        <f>IF(OR($G1310="",$X1310&lt;&gt;"VALIDE"),"",IFERROR(LOOKUP(2,1/(($B410:$B1309=$B1310)*($G410:$G1309=$G1310)*($X410:$X1309="VALIDE")),$C410:$C1309),""))</f>
        <v/>
      </c>
      <c r="T1310" s="36">
        <f>IF(OR($C1310="",$S1310=""),"",ROUND(($C1310-$S1310+IF($C1310&lt;$S1310,1,0))*1440,0))</f>
        <v/>
      </c>
      <c r="U1310" s="22">
        <f>IF(OR($H1310="",$T1310="",$T1310&lt;=0),"",$H1310*60/$T1310)</f>
        <v/>
      </c>
      <c r="V1310" s="37">
        <f>IF(OR($U1310="",$R1310="",$R1310=0),"",$U1310/$R1310)</f>
        <v/>
      </c>
      <c r="W1310" s="20">
        <f>IF($G1310="","",IF($X1310="CONTEXTE INCOMPLET","CONTEXTE INCOMPLET",IF($X1310="DOUBLON",StatutDoublon,IF($S1310="",StatutInitial,IF($R1310="",StatutStandardManquant,IF($V1310="","DONNEES INSUFFISANTES",IF($V1310&gt;=SeuilConforme,StatutConforme,IF($V1310&gt;=SeuilSurveiller,StatutSurveiller,StatutSousStandard))))))))</f>
        <v/>
      </c>
      <c r="X1310" s="33">
        <f>IF($G1310="","",IF(OR($D1310="",$E1310="",$F1310=""),"CONTEXTE INCOMPLET",IF(COUNTIFS($D410:$D1309,$D1310,$E410:$E1309,$E1310,$F410:$F1309,$F1310,$G410:$G1309,$G1310)&gt;0,"DOUBLON","VALIDE")))</f>
        <v/>
      </c>
    </row>
    <row r="1311" ht="15" customHeight="1">
      <c r="A1311" s="12">
        <f>IF(OR($B1311="",$G1311=""),"",TEXT($B1311,"YYYYMMDD")&amp;"-"&amp;SUBSTITUTE($E1311," ","")&amp;"-"&amp;$F1311&amp;"-"&amp;$G1311)</f>
        <v/>
      </c>
      <c r="B1311" s="15" t="n"/>
      <c r="C1311" s="16" t="n"/>
      <c r="D1311" s="10" t="n"/>
      <c r="E1311" s="9" t="n"/>
      <c r="F1311" s="9" t="n"/>
      <c r="G1311" s="13" t="n"/>
      <c r="H1311" s="21" t="n"/>
      <c r="I1311" s="21" t="n"/>
      <c r="J1311" s="17">
        <f>IF($G1311="","",IFERROR(INDEX(NomsEmployes,MATCH($G1311,MatriculesEmployes,0)),"MATRICULE INCONNU"))</f>
        <v/>
      </c>
      <c r="K1311" s="33">
        <f>IF(OR($D1311="",$F1311=""),"",IFERROR(IF(INDEX(RUNS!$L$6:$S$1005,MATCH($D1311,RUNS!$A$6:$A$1005,0),MATCH("ACTIVITÉ "&amp;$F1311,RUNS!$L$5:$S$5,0))="","",INDEX(RUNS!$L$6:$S$1005,MATCH($D1311,RUNS!$A$6:$A$1005,0),MATCH("ACTIVITÉ "&amp;$F1311,RUNS!$L$5:$S$5,0))),""))</f>
        <v/>
      </c>
      <c r="L1311" s="33">
        <f>IF($D1311="","",IFERROR(IF(INDEX(RUNS!$E$6:$E$1005,MATCH($D1311,RUNS!$A$6:$A$1005,0))="","",INDEX(RUNS!$E$6:$E$1005,MATCH($D1311,RUNS!$A$6:$A$1005,0))),""))</f>
        <v/>
      </c>
      <c r="M1311" s="33">
        <f>IF($D1311="","",IFERROR(IF(INDEX(RUNS!$F$6:$F$1005,MATCH($D1311,RUNS!$A$6:$A$1005,0))="","",INDEX(RUNS!$F$6:$F$1005,MATCH($D1311,RUNS!$A$6:$A$1005,0))),""))</f>
        <v/>
      </c>
      <c r="N1311" s="33">
        <f>IF($D1311="","",IFERROR(IF(INDEX(RUNS!$G$6:$G$1005,MATCH($D1311,RUNS!$A$6:$A$1005,0))="","",INDEX(RUNS!$G$6:$G$1005,MATCH($D1311,RUNS!$A$6:$A$1005,0))),""))</f>
        <v/>
      </c>
      <c r="O1311" s="33">
        <f>IF($D1311="","",IFERROR(IF(INDEX(RUNS!$H$6:$H$1005,MATCH($D1311,RUNS!$A$6:$A$1005,0))="","",INDEX(RUNS!$H$6:$H$1005,MATCH($D1311,RUNS!$A$6:$A$1005,0))),""))</f>
        <v/>
      </c>
      <c r="P1311" s="33">
        <f>IF($D1311="","",IFERROR(IF(INDEX(RUNS!$J$6:$J$1005,MATCH($D1311,RUNS!$A$6:$A$1005,0))="","",INDEX(RUNS!$J$6:$J$1005,MATCH($D1311,RUNS!$A$6:$A$1005,0))),""))</f>
        <v/>
      </c>
      <c r="Q1311" s="33">
        <f>IF($D1311="","",IFERROR(IF(INDEX(RUNS!$K$6:$K$1005,MATCH($D1311,RUNS!$A$6:$A$1005,0))="","",INDEX(RUNS!$K$6:$K$1005,MATCH($D1311,RUNS!$A$6:$A$1005,0))),""))</f>
        <v/>
      </c>
      <c r="R1311" s="34">
        <f>IF(OR($L1311="",$K1311=""),"",IFERROR(IF(INDEX(PARAMETRES!$H$43:$H$342,MATCH($L1311&amp;"|"&amp;$M1311&amp;"|"&amp;$N1311&amp;"|"&amp;$O1311&amp;"|"&amp;$P1311&amp;"|"&amp;$Q1311&amp;"|"&amp;$K1311,PARAMETRES!$J$43:$J$342,0))="","",INDEX(PARAMETRES!$H$43:$H$342,MATCH($L1311&amp;"|"&amp;$M1311&amp;"|"&amp;$N1311&amp;"|"&amp;$O1311&amp;"|"&amp;$P1311&amp;"|"&amp;$Q1311&amp;"|"&amp;$K1311,PARAMETRES!$J$43:$J$342,0))),""))</f>
        <v/>
      </c>
      <c r="S1311" s="35">
        <f>IF(OR($G1311="",$X1311&lt;&gt;"VALIDE"),"",IFERROR(LOOKUP(2,1/(($B411:$B1310=$B1311)*($G411:$G1310=$G1311)*($X411:$X1310="VALIDE")),$C411:$C1310),""))</f>
        <v/>
      </c>
      <c r="T1311" s="36">
        <f>IF(OR($C1311="",$S1311=""),"",ROUND(($C1311-$S1311+IF($C1311&lt;$S1311,1,0))*1440,0))</f>
        <v/>
      </c>
      <c r="U1311" s="22">
        <f>IF(OR($H1311="",$T1311="",$T1311&lt;=0),"",$H1311*60/$T1311)</f>
        <v/>
      </c>
      <c r="V1311" s="37">
        <f>IF(OR($U1311="",$R1311="",$R1311=0),"",$U1311/$R1311)</f>
        <v/>
      </c>
      <c r="W1311" s="20">
        <f>IF($G1311="","",IF($X1311="CONTEXTE INCOMPLET","CONTEXTE INCOMPLET",IF($X1311="DOUBLON",StatutDoublon,IF($S1311="",StatutInitial,IF($R1311="",StatutStandardManquant,IF($V1311="","DONNEES INSUFFISANTES",IF($V1311&gt;=SeuilConforme,StatutConforme,IF($V1311&gt;=SeuilSurveiller,StatutSurveiller,StatutSousStandard))))))))</f>
        <v/>
      </c>
      <c r="X1311" s="33">
        <f>IF($G1311="","",IF(OR($D1311="",$E1311="",$F1311=""),"CONTEXTE INCOMPLET",IF(COUNTIFS($D411:$D1310,$D1311,$E411:$E1310,$E1311,$F411:$F1310,$F1311,$G411:$G1310,$G1311)&gt;0,"DOUBLON","VALIDE")))</f>
        <v/>
      </c>
    </row>
    <row r="1312" ht="15" customHeight="1">
      <c r="A1312" s="12">
        <f>IF(OR($B1312="",$G1312=""),"",TEXT($B1312,"YYYYMMDD")&amp;"-"&amp;SUBSTITUTE($E1312," ","")&amp;"-"&amp;$F1312&amp;"-"&amp;$G1312)</f>
        <v/>
      </c>
      <c r="B1312" s="15" t="n"/>
      <c r="C1312" s="16" t="n"/>
      <c r="D1312" s="10" t="n"/>
      <c r="E1312" s="9" t="n"/>
      <c r="F1312" s="9" t="n"/>
      <c r="G1312" s="13" t="n"/>
      <c r="H1312" s="21" t="n"/>
      <c r="I1312" s="21" t="n"/>
      <c r="J1312" s="17">
        <f>IF($G1312="","",IFERROR(INDEX(NomsEmployes,MATCH($G1312,MatriculesEmployes,0)),"MATRICULE INCONNU"))</f>
        <v/>
      </c>
      <c r="K1312" s="33">
        <f>IF(OR($D1312="",$F1312=""),"",IFERROR(IF(INDEX(RUNS!$L$6:$S$1005,MATCH($D1312,RUNS!$A$6:$A$1005,0),MATCH("ACTIVITÉ "&amp;$F1312,RUNS!$L$5:$S$5,0))="","",INDEX(RUNS!$L$6:$S$1005,MATCH($D1312,RUNS!$A$6:$A$1005,0),MATCH("ACTIVITÉ "&amp;$F1312,RUNS!$L$5:$S$5,0))),""))</f>
        <v/>
      </c>
      <c r="L1312" s="33">
        <f>IF($D1312="","",IFERROR(IF(INDEX(RUNS!$E$6:$E$1005,MATCH($D1312,RUNS!$A$6:$A$1005,0))="","",INDEX(RUNS!$E$6:$E$1005,MATCH($D1312,RUNS!$A$6:$A$1005,0))),""))</f>
        <v/>
      </c>
      <c r="M1312" s="33">
        <f>IF($D1312="","",IFERROR(IF(INDEX(RUNS!$F$6:$F$1005,MATCH($D1312,RUNS!$A$6:$A$1005,0))="","",INDEX(RUNS!$F$6:$F$1005,MATCH($D1312,RUNS!$A$6:$A$1005,0))),""))</f>
        <v/>
      </c>
      <c r="N1312" s="33">
        <f>IF($D1312="","",IFERROR(IF(INDEX(RUNS!$G$6:$G$1005,MATCH($D1312,RUNS!$A$6:$A$1005,0))="","",INDEX(RUNS!$G$6:$G$1005,MATCH($D1312,RUNS!$A$6:$A$1005,0))),""))</f>
        <v/>
      </c>
      <c r="O1312" s="33">
        <f>IF($D1312="","",IFERROR(IF(INDEX(RUNS!$H$6:$H$1005,MATCH($D1312,RUNS!$A$6:$A$1005,0))="","",INDEX(RUNS!$H$6:$H$1005,MATCH($D1312,RUNS!$A$6:$A$1005,0))),""))</f>
        <v/>
      </c>
      <c r="P1312" s="33">
        <f>IF($D1312="","",IFERROR(IF(INDEX(RUNS!$J$6:$J$1005,MATCH($D1312,RUNS!$A$6:$A$1005,0))="","",INDEX(RUNS!$J$6:$J$1005,MATCH($D1312,RUNS!$A$6:$A$1005,0))),""))</f>
        <v/>
      </c>
      <c r="Q1312" s="33">
        <f>IF($D1312="","",IFERROR(IF(INDEX(RUNS!$K$6:$K$1005,MATCH($D1312,RUNS!$A$6:$A$1005,0))="","",INDEX(RUNS!$K$6:$K$1005,MATCH($D1312,RUNS!$A$6:$A$1005,0))),""))</f>
        <v/>
      </c>
      <c r="R1312" s="34">
        <f>IF(OR($L1312="",$K1312=""),"",IFERROR(IF(INDEX(PARAMETRES!$H$43:$H$342,MATCH($L1312&amp;"|"&amp;$M1312&amp;"|"&amp;$N1312&amp;"|"&amp;$O1312&amp;"|"&amp;$P1312&amp;"|"&amp;$Q1312&amp;"|"&amp;$K1312,PARAMETRES!$J$43:$J$342,0))="","",INDEX(PARAMETRES!$H$43:$H$342,MATCH($L1312&amp;"|"&amp;$M1312&amp;"|"&amp;$N1312&amp;"|"&amp;$O1312&amp;"|"&amp;$P1312&amp;"|"&amp;$Q1312&amp;"|"&amp;$K1312,PARAMETRES!$J$43:$J$342,0))),""))</f>
        <v/>
      </c>
      <c r="S1312" s="35">
        <f>IF(OR($G1312="",$X1312&lt;&gt;"VALIDE"),"",IFERROR(LOOKUP(2,1/(($B412:$B1311=$B1312)*($G412:$G1311=$G1312)*($X412:$X1311="VALIDE")),$C412:$C1311),""))</f>
        <v/>
      </c>
      <c r="T1312" s="36">
        <f>IF(OR($C1312="",$S1312=""),"",ROUND(($C1312-$S1312+IF($C1312&lt;$S1312,1,0))*1440,0))</f>
        <v/>
      </c>
      <c r="U1312" s="22">
        <f>IF(OR($H1312="",$T1312="",$T1312&lt;=0),"",$H1312*60/$T1312)</f>
        <v/>
      </c>
      <c r="V1312" s="37">
        <f>IF(OR($U1312="",$R1312="",$R1312=0),"",$U1312/$R1312)</f>
        <v/>
      </c>
      <c r="W1312" s="20">
        <f>IF($G1312="","",IF($X1312="CONTEXTE INCOMPLET","CONTEXTE INCOMPLET",IF($X1312="DOUBLON",StatutDoublon,IF($S1312="",StatutInitial,IF($R1312="",StatutStandardManquant,IF($V1312="","DONNEES INSUFFISANTES",IF($V1312&gt;=SeuilConforme,StatutConforme,IF($V1312&gt;=SeuilSurveiller,StatutSurveiller,StatutSousStandard))))))))</f>
        <v/>
      </c>
      <c r="X1312" s="33">
        <f>IF($G1312="","",IF(OR($D1312="",$E1312="",$F1312=""),"CONTEXTE INCOMPLET",IF(COUNTIFS($D412:$D1311,$D1312,$E412:$E1311,$E1312,$F412:$F1311,$F1312,$G412:$G1311,$G1312)&gt;0,"DOUBLON","VALIDE")))</f>
        <v/>
      </c>
    </row>
    <row r="1313" ht="15" customHeight="1">
      <c r="A1313" s="12">
        <f>IF(OR($B1313="",$G1313=""),"",TEXT($B1313,"YYYYMMDD")&amp;"-"&amp;SUBSTITUTE($E1313," ","")&amp;"-"&amp;$F1313&amp;"-"&amp;$G1313)</f>
        <v/>
      </c>
      <c r="B1313" s="15" t="n"/>
      <c r="C1313" s="16" t="n"/>
      <c r="D1313" s="10" t="n"/>
      <c r="E1313" s="9" t="n"/>
      <c r="F1313" s="9" t="n"/>
      <c r="G1313" s="13" t="n"/>
      <c r="H1313" s="21" t="n"/>
      <c r="I1313" s="21" t="n"/>
      <c r="J1313" s="17">
        <f>IF($G1313="","",IFERROR(INDEX(NomsEmployes,MATCH($G1313,MatriculesEmployes,0)),"MATRICULE INCONNU"))</f>
        <v/>
      </c>
      <c r="K1313" s="33">
        <f>IF(OR($D1313="",$F1313=""),"",IFERROR(IF(INDEX(RUNS!$L$6:$S$1005,MATCH($D1313,RUNS!$A$6:$A$1005,0),MATCH("ACTIVITÉ "&amp;$F1313,RUNS!$L$5:$S$5,0))="","",INDEX(RUNS!$L$6:$S$1005,MATCH($D1313,RUNS!$A$6:$A$1005,0),MATCH("ACTIVITÉ "&amp;$F1313,RUNS!$L$5:$S$5,0))),""))</f>
        <v/>
      </c>
      <c r="L1313" s="33">
        <f>IF($D1313="","",IFERROR(IF(INDEX(RUNS!$E$6:$E$1005,MATCH($D1313,RUNS!$A$6:$A$1005,0))="","",INDEX(RUNS!$E$6:$E$1005,MATCH($D1313,RUNS!$A$6:$A$1005,0))),""))</f>
        <v/>
      </c>
      <c r="M1313" s="33">
        <f>IF($D1313="","",IFERROR(IF(INDEX(RUNS!$F$6:$F$1005,MATCH($D1313,RUNS!$A$6:$A$1005,0))="","",INDEX(RUNS!$F$6:$F$1005,MATCH($D1313,RUNS!$A$6:$A$1005,0))),""))</f>
        <v/>
      </c>
      <c r="N1313" s="33">
        <f>IF($D1313="","",IFERROR(IF(INDEX(RUNS!$G$6:$G$1005,MATCH($D1313,RUNS!$A$6:$A$1005,0))="","",INDEX(RUNS!$G$6:$G$1005,MATCH($D1313,RUNS!$A$6:$A$1005,0))),""))</f>
        <v/>
      </c>
      <c r="O1313" s="33">
        <f>IF($D1313="","",IFERROR(IF(INDEX(RUNS!$H$6:$H$1005,MATCH($D1313,RUNS!$A$6:$A$1005,0))="","",INDEX(RUNS!$H$6:$H$1005,MATCH($D1313,RUNS!$A$6:$A$1005,0))),""))</f>
        <v/>
      </c>
      <c r="P1313" s="33">
        <f>IF($D1313="","",IFERROR(IF(INDEX(RUNS!$J$6:$J$1005,MATCH($D1313,RUNS!$A$6:$A$1005,0))="","",INDEX(RUNS!$J$6:$J$1005,MATCH($D1313,RUNS!$A$6:$A$1005,0))),""))</f>
        <v/>
      </c>
      <c r="Q1313" s="33">
        <f>IF($D1313="","",IFERROR(IF(INDEX(RUNS!$K$6:$K$1005,MATCH($D1313,RUNS!$A$6:$A$1005,0))="","",INDEX(RUNS!$K$6:$K$1005,MATCH($D1313,RUNS!$A$6:$A$1005,0))),""))</f>
        <v/>
      </c>
      <c r="R1313" s="34">
        <f>IF(OR($L1313="",$K1313=""),"",IFERROR(IF(INDEX(PARAMETRES!$H$43:$H$342,MATCH($L1313&amp;"|"&amp;$M1313&amp;"|"&amp;$N1313&amp;"|"&amp;$O1313&amp;"|"&amp;$P1313&amp;"|"&amp;$Q1313&amp;"|"&amp;$K1313,PARAMETRES!$J$43:$J$342,0))="","",INDEX(PARAMETRES!$H$43:$H$342,MATCH($L1313&amp;"|"&amp;$M1313&amp;"|"&amp;$N1313&amp;"|"&amp;$O1313&amp;"|"&amp;$P1313&amp;"|"&amp;$Q1313&amp;"|"&amp;$K1313,PARAMETRES!$J$43:$J$342,0))),""))</f>
        <v/>
      </c>
      <c r="S1313" s="35">
        <f>IF(OR($G1313="",$X1313&lt;&gt;"VALIDE"),"",IFERROR(LOOKUP(2,1/(($B413:$B1312=$B1313)*($G413:$G1312=$G1313)*($X413:$X1312="VALIDE")),$C413:$C1312),""))</f>
        <v/>
      </c>
      <c r="T1313" s="36">
        <f>IF(OR($C1313="",$S1313=""),"",ROUND(($C1313-$S1313+IF($C1313&lt;$S1313,1,0))*1440,0))</f>
        <v/>
      </c>
      <c r="U1313" s="22">
        <f>IF(OR($H1313="",$T1313="",$T1313&lt;=0),"",$H1313*60/$T1313)</f>
        <v/>
      </c>
      <c r="V1313" s="37">
        <f>IF(OR($U1313="",$R1313="",$R1313=0),"",$U1313/$R1313)</f>
        <v/>
      </c>
      <c r="W1313" s="20">
        <f>IF($G1313="","",IF($X1313="CONTEXTE INCOMPLET","CONTEXTE INCOMPLET",IF($X1313="DOUBLON",StatutDoublon,IF($S1313="",StatutInitial,IF($R1313="",StatutStandardManquant,IF($V1313="","DONNEES INSUFFISANTES",IF($V1313&gt;=SeuilConforme,StatutConforme,IF($V1313&gt;=SeuilSurveiller,StatutSurveiller,StatutSousStandard))))))))</f>
        <v/>
      </c>
      <c r="X1313" s="33">
        <f>IF($G1313="","",IF(OR($D1313="",$E1313="",$F1313=""),"CONTEXTE INCOMPLET",IF(COUNTIFS($D413:$D1312,$D1313,$E413:$E1312,$E1313,$F413:$F1312,$F1313,$G413:$G1312,$G1313)&gt;0,"DOUBLON","VALIDE")))</f>
        <v/>
      </c>
    </row>
    <row r="1314" ht="15" customHeight="1">
      <c r="A1314" s="12">
        <f>IF(OR($B1314="",$G1314=""),"",TEXT($B1314,"YYYYMMDD")&amp;"-"&amp;SUBSTITUTE($E1314," ","")&amp;"-"&amp;$F1314&amp;"-"&amp;$G1314)</f>
        <v/>
      </c>
      <c r="B1314" s="15" t="n"/>
      <c r="C1314" s="16" t="n"/>
      <c r="D1314" s="10" t="n"/>
      <c r="E1314" s="9" t="n"/>
      <c r="F1314" s="9" t="n"/>
      <c r="G1314" s="13" t="n"/>
      <c r="H1314" s="21" t="n"/>
      <c r="I1314" s="21" t="n"/>
      <c r="J1314" s="17">
        <f>IF($G1314="","",IFERROR(INDEX(NomsEmployes,MATCH($G1314,MatriculesEmployes,0)),"MATRICULE INCONNU"))</f>
        <v/>
      </c>
      <c r="K1314" s="33">
        <f>IF(OR($D1314="",$F1314=""),"",IFERROR(IF(INDEX(RUNS!$L$6:$S$1005,MATCH($D1314,RUNS!$A$6:$A$1005,0),MATCH("ACTIVITÉ "&amp;$F1314,RUNS!$L$5:$S$5,0))="","",INDEX(RUNS!$L$6:$S$1005,MATCH($D1314,RUNS!$A$6:$A$1005,0),MATCH("ACTIVITÉ "&amp;$F1314,RUNS!$L$5:$S$5,0))),""))</f>
        <v/>
      </c>
      <c r="L1314" s="33">
        <f>IF($D1314="","",IFERROR(IF(INDEX(RUNS!$E$6:$E$1005,MATCH($D1314,RUNS!$A$6:$A$1005,0))="","",INDEX(RUNS!$E$6:$E$1005,MATCH($D1314,RUNS!$A$6:$A$1005,0))),""))</f>
        <v/>
      </c>
      <c r="M1314" s="33">
        <f>IF($D1314="","",IFERROR(IF(INDEX(RUNS!$F$6:$F$1005,MATCH($D1314,RUNS!$A$6:$A$1005,0))="","",INDEX(RUNS!$F$6:$F$1005,MATCH($D1314,RUNS!$A$6:$A$1005,0))),""))</f>
        <v/>
      </c>
      <c r="N1314" s="33">
        <f>IF($D1314="","",IFERROR(IF(INDEX(RUNS!$G$6:$G$1005,MATCH($D1314,RUNS!$A$6:$A$1005,0))="","",INDEX(RUNS!$G$6:$G$1005,MATCH($D1314,RUNS!$A$6:$A$1005,0))),""))</f>
        <v/>
      </c>
      <c r="O1314" s="33">
        <f>IF($D1314="","",IFERROR(IF(INDEX(RUNS!$H$6:$H$1005,MATCH($D1314,RUNS!$A$6:$A$1005,0))="","",INDEX(RUNS!$H$6:$H$1005,MATCH($D1314,RUNS!$A$6:$A$1005,0))),""))</f>
        <v/>
      </c>
      <c r="P1314" s="33">
        <f>IF($D1314="","",IFERROR(IF(INDEX(RUNS!$J$6:$J$1005,MATCH($D1314,RUNS!$A$6:$A$1005,0))="","",INDEX(RUNS!$J$6:$J$1005,MATCH($D1314,RUNS!$A$6:$A$1005,0))),""))</f>
        <v/>
      </c>
      <c r="Q1314" s="33">
        <f>IF($D1314="","",IFERROR(IF(INDEX(RUNS!$K$6:$K$1005,MATCH($D1314,RUNS!$A$6:$A$1005,0))="","",INDEX(RUNS!$K$6:$K$1005,MATCH($D1314,RUNS!$A$6:$A$1005,0))),""))</f>
        <v/>
      </c>
      <c r="R1314" s="34">
        <f>IF(OR($L1314="",$K1314=""),"",IFERROR(IF(INDEX(PARAMETRES!$H$43:$H$342,MATCH($L1314&amp;"|"&amp;$M1314&amp;"|"&amp;$N1314&amp;"|"&amp;$O1314&amp;"|"&amp;$P1314&amp;"|"&amp;$Q1314&amp;"|"&amp;$K1314,PARAMETRES!$J$43:$J$342,0))="","",INDEX(PARAMETRES!$H$43:$H$342,MATCH($L1314&amp;"|"&amp;$M1314&amp;"|"&amp;$N1314&amp;"|"&amp;$O1314&amp;"|"&amp;$P1314&amp;"|"&amp;$Q1314&amp;"|"&amp;$K1314,PARAMETRES!$J$43:$J$342,0))),""))</f>
        <v/>
      </c>
      <c r="S1314" s="35">
        <f>IF(OR($G1314="",$X1314&lt;&gt;"VALIDE"),"",IFERROR(LOOKUP(2,1/(($B414:$B1313=$B1314)*($G414:$G1313=$G1314)*($X414:$X1313="VALIDE")),$C414:$C1313),""))</f>
        <v/>
      </c>
      <c r="T1314" s="36">
        <f>IF(OR($C1314="",$S1314=""),"",ROUND(($C1314-$S1314+IF($C1314&lt;$S1314,1,0))*1440,0))</f>
        <v/>
      </c>
      <c r="U1314" s="22">
        <f>IF(OR($H1314="",$T1314="",$T1314&lt;=0),"",$H1314*60/$T1314)</f>
        <v/>
      </c>
      <c r="V1314" s="37">
        <f>IF(OR($U1314="",$R1314="",$R1314=0),"",$U1314/$R1314)</f>
        <v/>
      </c>
      <c r="W1314" s="20">
        <f>IF($G1314="","",IF($X1314="CONTEXTE INCOMPLET","CONTEXTE INCOMPLET",IF($X1314="DOUBLON",StatutDoublon,IF($S1314="",StatutInitial,IF($R1314="",StatutStandardManquant,IF($V1314="","DONNEES INSUFFISANTES",IF($V1314&gt;=SeuilConforme,StatutConforme,IF($V1314&gt;=SeuilSurveiller,StatutSurveiller,StatutSousStandard))))))))</f>
        <v/>
      </c>
      <c r="X1314" s="33">
        <f>IF($G1314="","",IF(OR($D1314="",$E1314="",$F1314=""),"CONTEXTE INCOMPLET",IF(COUNTIFS($D414:$D1313,$D1314,$E414:$E1313,$E1314,$F414:$F1313,$F1314,$G414:$G1313,$G1314)&gt;0,"DOUBLON","VALIDE")))</f>
        <v/>
      </c>
    </row>
    <row r="1315" ht="15" customHeight="1">
      <c r="A1315" s="12">
        <f>IF(OR($B1315="",$G1315=""),"",TEXT($B1315,"YYYYMMDD")&amp;"-"&amp;SUBSTITUTE($E1315," ","")&amp;"-"&amp;$F1315&amp;"-"&amp;$G1315)</f>
        <v/>
      </c>
      <c r="B1315" s="15" t="n"/>
      <c r="C1315" s="16" t="n"/>
      <c r="D1315" s="10" t="n"/>
      <c r="E1315" s="9" t="n"/>
      <c r="F1315" s="9" t="n"/>
      <c r="G1315" s="13" t="n"/>
      <c r="H1315" s="21" t="n"/>
      <c r="I1315" s="21" t="n"/>
      <c r="J1315" s="17">
        <f>IF($G1315="","",IFERROR(INDEX(NomsEmployes,MATCH($G1315,MatriculesEmployes,0)),"MATRICULE INCONNU"))</f>
        <v/>
      </c>
      <c r="K1315" s="33">
        <f>IF(OR($D1315="",$F1315=""),"",IFERROR(IF(INDEX(RUNS!$L$6:$S$1005,MATCH($D1315,RUNS!$A$6:$A$1005,0),MATCH("ACTIVITÉ "&amp;$F1315,RUNS!$L$5:$S$5,0))="","",INDEX(RUNS!$L$6:$S$1005,MATCH($D1315,RUNS!$A$6:$A$1005,0),MATCH("ACTIVITÉ "&amp;$F1315,RUNS!$L$5:$S$5,0))),""))</f>
        <v/>
      </c>
      <c r="L1315" s="33">
        <f>IF($D1315="","",IFERROR(IF(INDEX(RUNS!$E$6:$E$1005,MATCH($D1315,RUNS!$A$6:$A$1005,0))="","",INDEX(RUNS!$E$6:$E$1005,MATCH($D1315,RUNS!$A$6:$A$1005,0))),""))</f>
        <v/>
      </c>
      <c r="M1315" s="33">
        <f>IF($D1315="","",IFERROR(IF(INDEX(RUNS!$F$6:$F$1005,MATCH($D1315,RUNS!$A$6:$A$1005,0))="","",INDEX(RUNS!$F$6:$F$1005,MATCH($D1315,RUNS!$A$6:$A$1005,0))),""))</f>
        <v/>
      </c>
      <c r="N1315" s="33">
        <f>IF($D1315="","",IFERROR(IF(INDEX(RUNS!$G$6:$G$1005,MATCH($D1315,RUNS!$A$6:$A$1005,0))="","",INDEX(RUNS!$G$6:$G$1005,MATCH($D1315,RUNS!$A$6:$A$1005,0))),""))</f>
        <v/>
      </c>
      <c r="O1315" s="33">
        <f>IF($D1315="","",IFERROR(IF(INDEX(RUNS!$H$6:$H$1005,MATCH($D1315,RUNS!$A$6:$A$1005,0))="","",INDEX(RUNS!$H$6:$H$1005,MATCH($D1315,RUNS!$A$6:$A$1005,0))),""))</f>
        <v/>
      </c>
      <c r="P1315" s="33">
        <f>IF($D1315="","",IFERROR(IF(INDEX(RUNS!$J$6:$J$1005,MATCH($D1315,RUNS!$A$6:$A$1005,0))="","",INDEX(RUNS!$J$6:$J$1005,MATCH($D1315,RUNS!$A$6:$A$1005,0))),""))</f>
        <v/>
      </c>
      <c r="Q1315" s="33">
        <f>IF($D1315="","",IFERROR(IF(INDEX(RUNS!$K$6:$K$1005,MATCH($D1315,RUNS!$A$6:$A$1005,0))="","",INDEX(RUNS!$K$6:$K$1005,MATCH($D1315,RUNS!$A$6:$A$1005,0))),""))</f>
        <v/>
      </c>
      <c r="R1315" s="34">
        <f>IF(OR($L1315="",$K1315=""),"",IFERROR(IF(INDEX(PARAMETRES!$H$43:$H$342,MATCH($L1315&amp;"|"&amp;$M1315&amp;"|"&amp;$N1315&amp;"|"&amp;$O1315&amp;"|"&amp;$P1315&amp;"|"&amp;$Q1315&amp;"|"&amp;$K1315,PARAMETRES!$J$43:$J$342,0))="","",INDEX(PARAMETRES!$H$43:$H$342,MATCH($L1315&amp;"|"&amp;$M1315&amp;"|"&amp;$N1315&amp;"|"&amp;$O1315&amp;"|"&amp;$P1315&amp;"|"&amp;$Q1315&amp;"|"&amp;$K1315,PARAMETRES!$J$43:$J$342,0))),""))</f>
        <v/>
      </c>
      <c r="S1315" s="35">
        <f>IF(OR($G1315="",$X1315&lt;&gt;"VALIDE"),"",IFERROR(LOOKUP(2,1/(($B415:$B1314=$B1315)*($G415:$G1314=$G1315)*($X415:$X1314="VALIDE")),$C415:$C1314),""))</f>
        <v/>
      </c>
      <c r="T1315" s="36">
        <f>IF(OR($C1315="",$S1315=""),"",ROUND(($C1315-$S1315+IF($C1315&lt;$S1315,1,0))*1440,0))</f>
        <v/>
      </c>
      <c r="U1315" s="22">
        <f>IF(OR($H1315="",$T1315="",$T1315&lt;=0),"",$H1315*60/$T1315)</f>
        <v/>
      </c>
      <c r="V1315" s="37">
        <f>IF(OR($U1315="",$R1315="",$R1315=0),"",$U1315/$R1315)</f>
        <v/>
      </c>
      <c r="W1315" s="20">
        <f>IF($G1315="","",IF($X1315="CONTEXTE INCOMPLET","CONTEXTE INCOMPLET",IF($X1315="DOUBLON",StatutDoublon,IF($S1315="",StatutInitial,IF($R1315="",StatutStandardManquant,IF($V1315="","DONNEES INSUFFISANTES",IF($V1315&gt;=SeuilConforme,StatutConforme,IF($V1315&gt;=SeuilSurveiller,StatutSurveiller,StatutSousStandard))))))))</f>
        <v/>
      </c>
      <c r="X1315" s="33">
        <f>IF($G1315="","",IF(OR($D1315="",$E1315="",$F1315=""),"CONTEXTE INCOMPLET",IF(COUNTIFS($D415:$D1314,$D1315,$E415:$E1314,$E1315,$F415:$F1314,$F1315,$G415:$G1314,$G1315)&gt;0,"DOUBLON","VALIDE")))</f>
        <v/>
      </c>
    </row>
    <row r="1316" ht="15" customHeight="1">
      <c r="A1316" s="12">
        <f>IF(OR($B1316="",$G1316=""),"",TEXT($B1316,"YYYYMMDD")&amp;"-"&amp;SUBSTITUTE($E1316," ","")&amp;"-"&amp;$F1316&amp;"-"&amp;$G1316)</f>
        <v/>
      </c>
      <c r="B1316" s="15" t="n"/>
      <c r="C1316" s="16" t="n"/>
      <c r="D1316" s="10" t="n"/>
      <c r="E1316" s="9" t="n"/>
      <c r="F1316" s="9" t="n"/>
      <c r="G1316" s="13" t="n"/>
      <c r="H1316" s="21" t="n"/>
      <c r="I1316" s="21" t="n"/>
      <c r="J1316" s="17">
        <f>IF($G1316="","",IFERROR(INDEX(NomsEmployes,MATCH($G1316,MatriculesEmployes,0)),"MATRICULE INCONNU"))</f>
        <v/>
      </c>
      <c r="K1316" s="33">
        <f>IF(OR($D1316="",$F1316=""),"",IFERROR(IF(INDEX(RUNS!$L$6:$S$1005,MATCH($D1316,RUNS!$A$6:$A$1005,0),MATCH("ACTIVITÉ "&amp;$F1316,RUNS!$L$5:$S$5,0))="","",INDEX(RUNS!$L$6:$S$1005,MATCH($D1316,RUNS!$A$6:$A$1005,0),MATCH("ACTIVITÉ "&amp;$F1316,RUNS!$L$5:$S$5,0))),""))</f>
        <v/>
      </c>
      <c r="L1316" s="33">
        <f>IF($D1316="","",IFERROR(IF(INDEX(RUNS!$E$6:$E$1005,MATCH($D1316,RUNS!$A$6:$A$1005,0))="","",INDEX(RUNS!$E$6:$E$1005,MATCH($D1316,RUNS!$A$6:$A$1005,0))),""))</f>
        <v/>
      </c>
      <c r="M1316" s="33">
        <f>IF($D1316="","",IFERROR(IF(INDEX(RUNS!$F$6:$F$1005,MATCH($D1316,RUNS!$A$6:$A$1005,0))="","",INDEX(RUNS!$F$6:$F$1005,MATCH($D1316,RUNS!$A$6:$A$1005,0))),""))</f>
        <v/>
      </c>
      <c r="N1316" s="33">
        <f>IF($D1316="","",IFERROR(IF(INDEX(RUNS!$G$6:$G$1005,MATCH($D1316,RUNS!$A$6:$A$1005,0))="","",INDEX(RUNS!$G$6:$G$1005,MATCH($D1316,RUNS!$A$6:$A$1005,0))),""))</f>
        <v/>
      </c>
      <c r="O1316" s="33">
        <f>IF($D1316="","",IFERROR(IF(INDEX(RUNS!$H$6:$H$1005,MATCH($D1316,RUNS!$A$6:$A$1005,0))="","",INDEX(RUNS!$H$6:$H$1005,MATCH($D1316,RUNS!$A$6:$A$1005,0))),""))</f>
        <v/>
      </c>
      <c r="P1316" s="33">
        <f>IF($D1316="","",IFERROR(IF(INDEX(RUNS!$J$6:$J$1005,MATCH($D1316,RUNS!$A$6:$A$1005,0))="","",INDEX(RUNS!$J$6:$J$1005,MATCH($D1316,RUNS!$A$6:$A$1005,0))),""))</f>
        <v/>
      </c>
      <c r="Q1316" s="33">
        <f>IF($D1316="","",IFERROR(IF(INDEX(RUNS!$K$6:$K$1005,MATCH($D1316,RUNS!$A$6:$A$1005,0))="","",INDEX(RUNS!$K$6:$K$1005,MATCH($D1316,RUNS!$A$6:$A$1005,0))),""))</f>
        <v/>
      </c>
      <c r="R1316" s="34">
        <f>IF(OR($L1316="",$K1316=""),"",IFERROR(IF(INDEX(PARAMETRES!$H$43:$H$342,MATCH($L1316&amp;"|"&amp;$M1316&amp;"|"&amp;$N1316&amp;"|"&amp;$O1316&amp;"|"&amp;$P1316&amp;"|"&amp;$Q1316&amp;"|"&amp;$K1316,PARAMETRES!$J$43:$J$342,0))="","",INDEX(PARAMETRES!$H$43:$H$342,MATCH($L1316&amp;"|"&amp;$M1316&amp;"|"&amp;$N1316&amp;"|"&amp;$O1316&amp;"|"&amp;$P1316&amp;"|"&amp;$Q1316&amp;"|"&amp;$K1316,PARAMETRES!$J$43:$J$342,0))),""))</f>
        <v/>
      </c>
      <c r="S1316" s="35">
        <f>IF(OR($G1316="",$X1316&lt;&gt;"VALIDE"),"",IFERROR(LOOKUP(2,1/(($B416:$B1315=$B1316)*($G416:$G1315=$G1316)*($X416:$X1315="VALIDE")),$C416:$C1315),""))</f>
        <v/>
      </c>
      <c r="T1316" s="36">
        <f>IF(OR($C1316="",$S1316=""),"",ROUND(($C1316-$S1316+IF($C1316&lt;$S1316,1,0))*1440,0))</f>
        <v/>
      </c>
      <c r="U1316" s="22">
        <f>IF(OR($H1316="",$T1316="",$T1316&lt;=0),"",$H1316*60/$T1316)</f>
        <v/>
      </c>
      <c r="V1316" s="37">
        <f>IF(OR($U1316="",$R1316="",$R1316=0),"",$U1316/$R1316)</f>
        <v/>
      </c>
      <c r="W1316" s="20">
        <f>IF($G1316="","",IF($X1316="CONTEXTE INCOMPLET","CONTEXTE INCOMPLET",IF($X1316="DOUBLON",StatutDoublon,IF($S1316="",StatutInitial,IF($R1316="",StatutStandardManquant,IF($V1316="","DONNEES INSUFFISANTES",IF($V1316&gt;=SeuilConforme,StatutConforme,IF($V1316&gt;=SeuilSurveiller,StatutSurveiller,StatutSousStandard))))))))</f>
        <v/>
      </c>
      <c r="X1316" s="33">
        <f>IF($G1316="","",IF(OR($D1316="",$E1316="",$F1316=""),"CONTEXTE INCOMPLET",IF(COUNTIFS($D416:$D1315,$D1316,$E416:$E1315,$E1316,$F416:$F1315,$F1316,$G416:$G1315,$G1316)&gt;0,"DOUBLON","VALIDE")))</f>
        <v/>
      </c>
    </row>
    <row r="1317" ht="15" customHeight="1">
      <c r="A1317" s="12">
        <f>IF(OR($B1317="",$G1317=""),"",TEXT($B1317,"YYYYMMDD")&amp;"-"&amp;SUBSTITUTE($E1317," ","")&amp;"-"&amp;$F1317&amp;"-"&amp;$G1317)</f>
        <v/>
      </c>
      <c r="B1317" s="15" t="n"/>
      <c r="C1317" s="16" t="n"/>
      <c r="D1317" s="10" t="n"/>
      <c r="E1317" s="9" t="n"/>
      <c r="F1317" s="9" t="n"/>
      <c r="G1317" s="13" t="n"/>
      <c r="H1317" s="21" t="n"/>
      <c r="I1317" s="21" t="n"/>
      <c r="J1317" s="17">
        <f>IF($G1317="","",IFERROR(INDEX(NomsEmployes,MATCH($G1317,MatriculesEmployes,0)),"MATRICULE INCONNU"))</f>
        <v/>
      </c>
      <c r="K1317" s="33">
        <f>IF(OR($D1317="",$F1317=""),"",IFERROR(IF(INDEX(RUNS!$L$6:$S$1005,MATCH($D1317,RUNS!$A$6:$A$1005,0),MATCH("ACTIVITÉ "&amp;$F1317,RUNS!$L$5:$S$5,0))="","",INDEX(RUNS!$L$6:$S$1005,MATCH($D1317,RUNS!$A$6:$A$1005,0),MATCH("ACTIVITÉ "&amp;$F1317,RUNS!$L$5:$S$5,0))),""))</f>
        <v/>
      </c>
      <c r="L1317" s="33">
        <f>IF($D1317="","",IFERROR(IF(INDEX(RUNS!$E$6:$E$1005,MATCH($D1317,RUNS!$A$6:$A$1005,0))="","",INDEX(RUNS!$E$6:$E$1005,MATCH($D1317,RUNS!$A$6:$A$1005,0))),""))</f>
        <v/>
      </c>
      <c r="M1317" s="33">
        <f>IF($D1317="","",IFERROR(IF(INDEX(RUNS!$F$6:$F$1005,MATCH($D1317,RUNS!$A$6:$A$1005,0))="","",INDEX(RUNS!$F$6:$F$1005,MATCH($D1317,RUNS!$A$6:$A$1005,0))),""))</f>
        <v/>
      </c>
      <c r="N1317" s="33">
        <f>IF($D1317="","",IFERROR(IF(INDEX(RUNS!$G$6:$G$1005,MATCH($D1317,RUNS!$A$6:$A$1005,0))="","",INDEX(RUNS!$G$6:$G$1005,MATCH($D1317,RUNS!$A$6:$A$1005,0))),""))</f>
        <v/>
      </c>
      <c r="O1317" s="33">
        <f>IF($D1317="","",IFERROR(IF(INDEX(RUNS!$H$6:$H$1005,MATCH($D1317,RUNS!$A$6:$A$1005,0))="","",INDEX(RUNS!$H$6:$H$1005,MATCH($D1317,RUNS!$A$6:$A$1005,0))),""))</f>
        <v/>
      </c>
      <c r="P1317" s="33">
        <f>IF($D1317="","",IFERROR(IF(INDEX(RUNS!$J$6:$J$1005,MATCH($D1317,RUNS!$A$6:$A$1005,0))="","",INDEX(RUNS!$J$6:$J$1005,MATCH($D1317,RUNS!$A$6:$A$1005,0))),""))</f>
        <v/>
      </c>
      <c r="Q1317" s="33">
        <f>IF($D1317="","",IFERROR(IF(INDEX(RUNS!$K$6:$K$1005,MATCH($D1317,RUNS!$A$6:$A$1005,0))="","",INDEX(RUNS!$K$6:$K$1005,MATCH($D1317,RUNS!$A$6:$A$1005,0))),""))</f>
        <v/>
      </c>
      <c r="R1317" s="34">
        <f>IF(OR($L1317="",$K1317=""),"",IFERROR(IF(INDEX(PARAMETRES!$H$43:$H$342,MATCH($L1317&amp;"|"&amp;$M1317&amp;"|"&amp;$N1317&amp;"|"&amp;$O1317&amp;"|"&amp;$P1317&amp;"|"&amp;$Q1317&amp;"|"&amp;$K1317,PARAMETRES!$J$43:$J$342,0))="","",INDEX(PARAMETRES!$H$43:$H$342,MATCH($L1317&amp;"|"&amp;$M1317&amp;"|"&amp;$N1317&amp;"|"&amp;$O1317&amp;"|"&amp;$P1317&amp;"|"&amp;$Q1317&amp;"|"&amp;$K1317,PARAMETRES!$J$43:$J$342,0))),""))</f>
        <v/>
      </c>
      <c r="S1317" s="35">
        <f>IF(OR($G1317="",$X1317&lt;&gt;"VALIDE"),"",IFERROR(LOOKUP(2,1/(($B417:$B1316=$B1317)*($G417:$G1316=$G1317)*($X417:$X1316="VALIDE")),$C417:$C1316),""))</f>
        <v/>
      </c>
      <c r="T1317" s="36">
        <f>IF(OR($C1317="",$S1317=""),"",ROUND(($C1317-$S1317+IF($C1317&lt;$S1317,1,0))*1440,0))</f>
        <v/>
      </c>
      <c r="U1317" s="22">
        <f>IF(OR($H1317="",$T1317="",$T1317&lt;=0),"",$H1317*60/$T1317)</f>
        <v/>
      </c>
      <c r="V1317" s="37">
        <f>IF(OR($U1317="",$R1317="",$R1317=0),"",$U1317/$R1317)</f>
        <v/>
      </c>
      <c r="W1317" s="20">
        <f>IF($G1317="","",IF($X1317="CONTEXTE INCOMPLET","CONTEXTE INCOMPLET",IF($X1317="DOUBLON",StatutDoublon,IF($S1317="",StatutInitial,IF($R1317="",StatutStandardManquant,IF($V1317="","DONNEES INSUFFISANTES",IF($V1317&gt;=SeuilConforme,StatutConforme,IF($V1317&gt;=SeuilSurveiller,StatutSurveiller,StatutSousStandard))))))))</f>
        <v/>
      </c>
      <c r="X1317" s="33">
        <f>IF($G1317="","",IF(OR($D1317="",$E1317="",$F1317=""),"CONTEXTE INCOMPLET",IF(COUNTIFS($D417:$D1316,$D1317,$E417:$E1316,$E1317,$F417:$F1316,$F1317,$G417:$G1316,$G1317)&gt;0,"DOUBLON","VALIDE")))</f>
        <v/>
      </c>
    </row>
    <row r="1318" ht="15" customHeight="1">
      <c r="A1318" s="12">
        <f>IF(OR($B1318="",$G1318=""),"",TEXT($B1318,"YYYYMMDD")&amp;"-"&amp;SUBSTITUTE($E1318," ","")&amp;"-"&amp;$F1318&amp;"-"&amp;$G1318)</f>
        <v/>
      </c>
      <c r="B1318" s="15" t="n"/>
      <c r="C1318" s="16" t="n"/>
      <c r="D1318" s="10" t="n"/>
      <c r="E1318" s="9" t="n"/>
      <c r="F1318" s="9" t="n"/>
      <c r="G1318" s="13" t="n"/>
      <c r="H1318" s="21" t="n"/>
      <c r="I1318" s="21" t="n"/>
      <c r="J1318" s="17">
        <f>IF($G1318="","",IFERROR(INDEX(NomsEmployes,MATCH($G1318,MatriculesEmployes,0)),"MATRICULE INCONNU"))</f>
        <v/>
      </c>
      <c r="K1318" s="33">
        <f>IF(OR($D1318="",$F1318=""),"",IFERROR(IF(INDEX(RUNS!$L$6:$S$1005,MATCH($D1318,RUNS!$A$6:$A$1005,0),MATCH("ACTIVITÉ "&amp;$F1318,RUNS!$L$5:$S$5,0))="","",INDEX(RUNS!$L$6:$S$1005,MATCH($D1318,RUNS!$A$6:$A$1005,0),MATCH("ACTIVITÉ "&amp;$F1318,RUNS!$L$5:$S$5,0))),""))</f>
        <v/>
      </c>
      <c r="L1318" s="33">
        <f>IF($D1318="","",IFERROR(IF(INDEX(RUNS!$E$6:$E$1005,MATCH($D1318,RUNS!$A$6:$A$1005,0))="","",INDEX(RUNS!$E$6:$E$1005,MATCH($D1318,RUNS!$A$6:$A$1005,0))),""))</f>
        <v/>
      </c>
      <c r="M1318" s="33">
        <f>IF($D1318="","",IFERROR(IF(INDEX(RUNS!$F$6:$F$1005,MATCH($D1318,RUNS!$A$6:$A$1005,0))="","",INDEX(RUNS!$F$6:$F$1005,MATCH($D1318,RUNS!$A$6:$A$1005,0))),""))</f>
        <v/>
      </c>
      <c r="N1318" s="33">
        <f>IF($D1318="","",IFERROR(IF(INDEX(RUNS!$G$6:$G$1005,MATCH($D1318,RUNS!$A$6:$A$1005,0))="","",INDEX(RUNS!$G$6:$G$1005,MATCH($D1318,RUNS!$A$6:$A$1005,0))),""))</f>
        <v/>
      </c>
      <c r="O1318" s="33">
        <f>IF($D1318="","",IFERROR(IF(INDEX(RUNS!$H$6:$H$1005,MATCH($D1318,RUNS!$A$6:$A$1005,0))="","",INDEX(RUNS!$H$6:$H$1005,MATCH($D1318,RUNS!$A$6:$A$1005,0))),""))</f>
        <v/>
      </c>
      <c r="P1318" s="33">
        <f>IF($D1318="","",IFERROR(IF(INDEX(RUNS!$J$6:$J$1005,MATCH($D1318,RUNS!$A$6:$A$1005,0))="","",INDEX(RUNS!$J$6:$J$1005,MATCH($D1318,RUNS!$A$6:$A$1005,0))),""))</f>
        <v/>
      </c>
      <c r="Q1318" s="33">
        <f>IF($D1318="","",IFERROR(IF(INDEX(RUNS!$K$6:$K$1005,MATCH($D1318,RUNS!$A$6:$A$1005,0))="","",INDEX(RUNS!$K$6:$K$1005,MATCH($D1318,RUNS!$A$6:$A$1005,0))),""))</f>
        <v/>
      </c>
      <c r="R1318" s="34">
        <f>IF(OR($L1318="",$K1318=""),"",IFERROR(IF(INDEX(PARAMETRES!$H$43:$H$342,MATCH($L1318&amp;"|"&amp;$M1318&amp;"|"&amp;$N1318&amp;"|"&amp;$O1318&amp;"|"&amp;$P1318&amp;"|"&amp;$Q1318&amp;"|"&amp;$K1318,PARAMETRES!$J$43:$J$342,0))="","",INDEX(PARAMETRES!$H$43:$H$342,MATCH($L1318&amp;"|"&amp;$M1318&amp;"|"&amp;$N1318&amp;"|"&amp;$O1318&amp;"|"&amp;$P1318&amp;"|"&amp;$Q1318&amp;"|"&amp;$K1318,PARAMETRES!$J$43:$J$342,0))),""))</f>
        <v/>
      </c>
      <c r="S1318" s="35">
        <f>IF(OR($G1318="",$X1318&lt;&gt;"VALIDE"),"",IFERROR(LOOKUP(2,1/(($B418:$B1317=$B1318)*($G418:$G1317=$G1318)*($X418:$X1317="VALIDE")),$C418:$C1317),""))</f>
        <v/>
      </c>
      <c r="T1318" s="36">
        <f>IF(OR($C1318="",$S1318=""),"",ROUND(($C1318-$S1318+IF($C1318&lt;$S1318,1,0))*1440,0))</f>
        <v/>
      </c>
      <c r="U1318" s="22">
        <f>IF(OR($H1318="",$T1318="",$T1318&lt;=0),"",$H1318*60/$T1318)</f>
        <v/>
      </c>
      <c r="V1318" s="37">
        <f>IF(OR($U1318="",$R1318="",$R1318=0),"",$U1318/$R1318)</f>
        <v/>
      </c>
      <c r="W1318" s="20">
        <f>IF($G1318="","",IF($X1318="CONTEXTE INCOMPLET","CONTEXTE INCOMPLET",IF($X1318="DOUBLON",StatutDoublon,IF($S1318="",StatutInitial,IF($R1318="",StatutStandardManquant,IF($V1318="","DONNEES INSUFFISANTES",IF($V1318&gt;=SeuilConforme,StatutConforme,IF($V1318&gt;=SeuilSurveiller,StatutSurveiller,StatutSousStandard))))))))</f>
        <v/>
      </c>
      <c r="X1318" s="33">
        <f>IF($G1318="","",IF(OR($D1318="",$E1318="",$F1318=""),"CONTEXTE INCOMPLET",IF(COUNTIFS($D418:$D1317,$D1318,$E418:$E1317,$E1318,$F418:$F1317,$F1318,$G418:$G1317,$G1318)&gt;0,"DOUBLON","VALIDE")))</f>
        <v/>
      </c>
    </row>
    <row r="1319" ht="15" customHeight="1">
      <c r="A1319" s="12">
        <f>IF(OR($B1319="",$G1319=""),"",TEXT($B1319,"YYYYMMDD")&amp;"-"&amp;SUBSTITUTE($E1319," ","")&amp;"-"&amp;$F1319&amp;"-"&amp;$G1319)</f>
        <v/>
      </c>
      <c r="B1319" s="15" t="n"/>
      <c r="C1319" s="16" t="n"/>
      <c r="D1319" s="10" t="n"/>
      <c r="E1319" s="9" t="n"/>
      <c r="F1319" s="9" t="n"/>
      <c r="G1319" s="13" t="n"/>
      <c r="H1319" s="21" t="n"/>
      <c r="I1319" s="21" t="n"/>
      <c r="J1319" s="17">
        <f>IF($G1319="","",IFERROR(INDEX(NomsEmployes,MATCH($G1319,MatriculesEmployes,0)),"MATRICULE INCONNU"))</f>
        <v/>
      </c>
      <c r="K1319" s="33">
        <f>IF(OR($D1319="",$F1319=""),"",IFERROR(IF(INDEX(RUNS!$L$6:$S$1005,MATCH($D1319,RUNS!$A$6:$A$1005,0),MATCH("ACTIVITÉ "&amp;$F1319,RUNS!$L$5:$S$5,0))="","",INDEX(RUNS!$L$6:$S$1005,MATCH($D1319,RUNS!$A$6:$A$1005,0),MATCH("ACTIVITÉ "&amp;$F1319,RUNS!$L$5:$S$5,0))),""))</f>
        <v/>
      </c>
      <c r="L1319" s="33">
        <f>IF($D1319="","",IFERROR(IF(INDEX(RUNS!$E$6:$E$1005,MATCH($D1319,RUNS!$A$6:$A$1005,0))="","",INDEX(RUNS!$E$6:$E$1005,MATCH($D1319,RUNS!$A$6:$A$1005,0))),""))</f>
        <v/>
      </c>
      <c r="M1319" s="33">
        <f>IF($D1319="","",IFERROR(IF(INDEX(RUNS!$F$6:$F$1005,MATCH($D1319,RUNS!$A$6:$A$1005,0))="","",INDEX(RUNS!$F$6:$F$1005,MATCH($D1319,RUNS!$A$6:$A$1005,0))),""))</f>
        <v/>
      </c>
      <c r="N1319" s="33">
        <f>IF($D1319="","",IFERROR(IF(INDEX(RUNS!$G$6:$G$1005,MATCH($D1319,RUNS!$A$6:$A$1005,0))="","",INDEX(RUNS!$G$6:$G$1005,MATCH($D1319,RUNS!$A$6:$A$1005,0))),""))</f>
        <v/>
      </c>
      <c r="O1319" s="33">
        <f>IF($D1319="","",IFERROR(IF(INDEX(RUNS!$H$6:$H$1005,MATCH($D1319,RUNS!$A$6:$A$1005,0))="","",INDEX(RUNS!$H$6:$H$1005,MATCH($D1319,RUNS!$A$6:$A$1005,0))),""))</f>
        <v/>
      </c>
      <c r="P1319" s="33">
        <f>IF($D1319="","",IFERROR(IF(INDEX(RUNS!$J$6:$J$1005,MATCH($D1319,RUNS!$A$6:$A$1005,0))="","",INDEX(RUNS!$J$6:$J$1005,MATCH($D1319,RUNS!$A$6:$A$1005,0))),""))</f>
        <v/>
      </c>
      <c r="Q1319" s="33">
        <f>IF($D1319="","",IFERROR(IF(INDEX(RUNS!$K$6:$K$1005,MATCH($D1319,RUNS!$A$6:$A$1005,0))="","",INDEX(RUNS!$K$6:$K$1005,MATCH($D1319,RUNS!$A$6:$A$1005,0))),""))</f>
        <v/>
      </c>
      <c r="R1319" s="34">
        <f>IF(OR($L1319="",$K1319=""),"",IFERROR(IF(INDEX(PARAMETRES!$H$43:$H$342,MATCH($L1319&amp;"|"&amp;$M1319&amp;"|"&amp;$N1319&amp;"|"&amp;$O1319&amp;"|"&amp;$P1319&amp;"|"&amp;$Q1319&amp;"|"&amp;$K1319,PARAMETRES!$J$43:$J$342,0))="","",INDEX(PARAMETRES!$H$43:$H$342,MATCH($L1319&amp;"|"&amp;$M1319&amp;"|"&amp;$N1319&amp;"|"&amp;$O1319&amp;"|"&amp;$P1319&amp;"|"&amp;$Q1319&amp;"|"&amp;$K1319,PARAMETRES!$J$43:$J$342,0))),""))</f>
        <v/>
      </c>
      <c r="S1319" s="35">
        <f>IF(OR($G1319="",$X1319&lt;&gt;"VALIDE"),"",IFERROR(LOOKUP(2,1/(($B419:$B1318=$B1319)*($G419:$G1318=$G1319)*($X419:$X1318="VALIDE")),$C419:$C1318),""))</f>
        <v/>
      </c>
      <c r="T1319" s="36">
        <f>IF(OR($C1319="",$S1319=""),"",ROUND(($C1319-$S1319+IF($C1319&lt;$S1319,1,0))*1440,0))</f>
        <v/>
      </c>
      <c r="U1319" s="22">
        <f>IF(OR($H1319="",$T1319="",$T1319&lt;=0),"",$H1319*60/$T1319)</f>
        <v/>
      </c>
      <c r="V1319" s="37">
        <f>IF(OR($U1319="",$R1319="",$R1319=0),"",$U1319/$R1319)</f>
        <v/>
      </c>
      <c r="W1319" s="20">
        <f>IF($G1319="","",IF($X1319="CONTEXTE INCOMPLET","CONTEXTE INCOMPLET",IF($X1319="DOUBLON",StatutDoublon,IF($S1319="",StatutInitial,IF($R1319="",StatutStandardManquant,IF($V1319="","DONNEES INSUFFISANTES",IF($V1319&gt;=SeuilConforme,StatutConforme,IF($V1319&gt;=SeuilSurveiller,StatutSurveiller,StatutSousStandard))))))))</f>
        <v/>
      </c>
      <c r="X1319" s="33">
        <f>IF($G1319="","",IF(OR($D1319="",$E1319="",$F1319=""),"CONTEXTE INCOMPLET",IF(COUNTIFS($D419:$D1318,$D1319,$E419:$E1318,$E1319,$F419:$F1318,$F1319,$G419:$G1318,$G1319)&gt;0,"DOUBLON","VALIDE")))</f>
        <v/>
      </c>
    </row>
    <row r="1320" ht="15" customHeight="1">
      <c r="A1320" s="12">
        <f>IF(OR($B1320="",$G1320=""),"",TEXT($B1320,"YYYYMMDD")&amp;"-"&amp;SUBSTITUTE($E1320," ","")&amp;"-"&amp;$F1320&amp;"-"&amp;$G1320)</f>
        <v/>
      </c>
      <c r="B1320" s="15" t="n"/>
      <c r="C1320" s="16" t="n"/>
      <c r="D1320" s="10" t="n"/>
      <c r="E1320" s="9" t="n"/>
      <c r="F1320" s="9" t="n"/>
      <c r="G1320" s="13" t="n"/>
      <c r="H1320" s="21" t="n"/>
      <c r="I1320" s="21" t="n"/>
      <c r="J1320" s="17">
        <f>IF($G1320="","",IFERROR(INDEX(NomsEmployes,MATCH($G1320,MatriculesEmployes,0)),"MATRICULE INCONNU"))</f>
        <v/>
      </c>
      <c r="K1320" s="33">
        <f>IF(OR($D1320="",$F1320=""),"",IFERROR(IF(INDEX(RUNS!$L$6:$S$1005,MATCH($D1320,RUNS!$A$6:$A$1005,0),MATCH("ACTIVITÉ "&amp;$F1320,RUNS!$L$5:$S$5,0))="","",INDEX(RUNS!$L$6:$S$1005,MATCH($D1320,RUNS!$A$6:$A$1005,0),MATCH("ACTIVITÉ "&amp;$F1320,RUNS!$L$5:$S$5,0))),""))</f>
        <v/>
      </c>
      <c r="L1320" s="33">
        <f>IF($D1320="","",IFERROR(IF(INDEX(RUNS!$E$6:$E$1005,MATCH($D1320,RUNS!$A$6:$A$1005,0))="","",INDEX(RUNS!$E$6:$E$1005,MATCH($D1320,RUNS!$A$6:$A$1005,0))),""))</f>
        <v/>
      </c>
      <c r="M1320" s="33">
        <f>IF($D1320="","",IFERROR(IF(INDEX(RUNS!$F$6:$F$1005,MATCH($D1320,RUNS!$A$6:$A$1005,0))="","",INDEX(RUNS!$F$6:$F$1005,MATCH($D1320,RUNS!$A$6:$A$1005,0))),""))</f>
        <v/>
      </c>
      <c r="N1320" s="33">
        <f>IF($D1320="","",IFERROR(IF(INDEX(RUNS!$G$6:$G$1005,MATCH($D1320,RUNS!$A$6:$A$1005,0))="","",INDEX(RUNS!$G$6:$G$1005,MATCH($D1320,RUNS!$A$6:$A$1005,0))),""))</f>
        <v/>
      </c>
      <c r="O1320" s="33">
        <f>IF($D1320="","",IFERROR(IF(INDEX(RUNS!$H$6:$H$1005,MATCH($D1320,RUNS!$A$6:$A$1005,0))="","",INDEX(RUNS!$H$6:$H$1005,MATCH($D1320,RUNS!$A$6:$A$1005,0))),""))</f>
        <v/>
      </c>
      <c r="P1320" s="33">
        <f>IF($D1320="","",IFERROR(IF(INDEX(RUNS!$J$6:$J$1005,MATCH($D1320,RUNS!$A$6:$A$1005,0))="","",INDEX(RUNS!$J$6:$J$1005,MATCH($D1320,RUNS!$A$6:$A$1005,0))),""))</f>
        <v/>
      </c>
      <c r="Q1320" s="33">
        <f>IF($D1320="","",IFERROR(IF(INDEX(RUNS!$K$6:$K$1005,MATCH($D1320,RUNS!$A$6:$A$1005,0))="","",INDEX(RUNS!$K$6:$K$1005,MATCH($D1320,RUNS!$A$6:$A$1005,0))),""))</f>
        <v/>
      </c>
      <c r="R1320" s="34">
        <f>IF(OR($L1320="",$K1320=""),"",IFERROR(IF(INDEX(PARAMETRES!$H$43:$H$342,MATCH($L1320&amp;"|"&amp;$M1320&amp;"|"&amp;$N1320&amp;"|"&amp;$O1320&amp;"|"&amp;$P1320&amp;"|"&amp;$Q1320&amp;"|"&amp;$K1320,PARAMETRES!$J$43:$J$342,0))="","",INDEX(PARAMETRES!$H$43:$H$342,MATCH($L1320&amp;"|"&amp;$M1320&amp;"|"&amp;$N1320&amp;"|"&amp;$O1320&amp;"|"&amp;$P1320&amp;"|"&amp;$Q1320&amp;"|"&amp;$K1320,PARAMETRES!$J$43:$J$342,0))),""))</f>
        <v/>
      </c>
      <c r="S1320" s="35">
        <f>IF(OR($G1320="",$X1320&lt;&gt;"VALIDE"),"",IFERROR(LOOKUP(2,1/(($B420:$B1319=$B1320)*($G420:$G1319=$G1320)*($X420:$X1319="VALIDE")),$C420:$C1319),""))</f>
        <v/>
      </c>
      <c r="T1320" s="36">
        <f>IF(OR($C1320="",$S1320=""),"",ROUND(($C1320-$S1320+IF($C1320&lt;$S1320,1,0))*1440,0))</f>
        <v/>
      </c>
      <c r="U1320" s="22">
        <f>IF(OR($H1320="",$T1320="",$T1320&lt;=0),"",$H1320*60/$T1320)</f>
        <v/>
      </c>
      <c r="V1320" s="37">
        <f>IF(OR($U1320="",$R1320="",$R1320=0),"",$U1320/$R1320)</f>
        <v/>
      </c>
      <c r="W1320" s="20">
        <f>IF($G1320="","",IF($X1320="CONTEXTE INCOMPLET","CONTEXTE INCOMPLET",IF($X1320="DOUBLON",StatutDoublon,IF($S1320="",StatutInitial,IF($R1320="",StatutStandardManquant,IF($V1320="","DONNEES INSUFFISANTES",IF($V1320&gt;=SeuilConforme,StatutConforme,IF($V1320&gt;=SeuilSurveiller,StatutSurveiller,StatutSousStandard))))))))</f>
        <v/>
      </c>
      <c r="X1320" s="33">
        <f>IF($G1320="","",IF(OR($D1320="",$E1320="",$F1320=""),"CONTEXTE INCOMPLET",IF(COUNTIFS($D420:$D1319,$D1320,$E420:$E1319,$E1320,$F420:$F1319,$F1320,$G420:$G1319,$G1320)&gt;0,"DOUBLON","VALIDE")))</f>
        <v/>
      </c>
    </row>
    <row r="1321" ht="15" customHeight="1">
      <c r="A1321" s="12">
        <f>IF(OR($B1321="",$G1321=""),"",TEXT($B1321,"YYYYMMDD")&amp;"-"&amp;SUBSTITUTE($E1321," ","")&amp;"-"&amp;$F1321&amp;"-"&amp;$G1321)</f>
        <v/>
      </c>
      <c r="B1321" s="15" t="n"/>
      <c r="C1321" s="16" t="n"/>
      <c r="D1321" s="10" t="n"/>
      <c r="E1321" s="9" t="n"/>
      <c r="F1321" s="9" t="n"/>
      <c r="G1321" s="13" t="n"/>
      <c r="H1321" s="21" t="n"/>
      <c r="I1321" s="21" t="n"/>
      <c r="J1321" s="17">
        <f>IF($G1321="","",IFERROR(INDEX(NomsEmployes,MATCH($G1321,MatriculesEmployes,0)),"MATRICULE INCONNU"))</f>
        <v/>
      </c>
      <c r="K1321" s="33">
        <f>IF(OR($D1321="",$F1321=""),"",IFERROR(IF(INDEX(RUNS!$L$6:$S$1005,MATCH($D1321,RUNS!$A$6:$A$1005,0),MATCH("ACTIVITÉ "&amp;$F1321,RUNS!$L$5:$S$5,0))="","",INDEX(RUNS!$L$6:$S$1005,MATCH($D1321,RUNS!$A$6:$A$1005,0),MATCH("ACTIVITÉ "&amp;$F1321,RUNS!$L$5:$S$5,0))),""))</f>
        <v/>
      </c>
      <c r="L1321" s="33">
        <f>IF($D1321="","",IFERROR(IF(INDEX(RUNS!$E$6:$E$1005,MATCH($D1321,RUNS!$A$6:$A$1005,0))="","",INDEX(RUNS!$E$6:$E$1005,MATCH($D1321,RUNS!$A$6:$A$1005,0))),""))</f>
        <v/>
      </c>
      <c r="M1321" s="33">
        <f>IF($D1321="","",IFERROR(IF(INDEX(RUNS!$F$6:$F$1005,MATCH($D1321,RUNS!$A$6:$A$1005,0))="","",INDEX(RUNS!$F$6:$F$1005,MATCH($D1321,RUNS!$A$6:$A$1005,0))),""))</f>
        <v/>
      </c>
      <c r="N1321" s="33">
        <f>IF($D1321="","",IFERROR(IF(INDEX(RUNS!$G$6:$G$1005,MATCH($D1321,RUNS!$A$6:$A$1005,0))="","",INDEX(RUNS!$G$6:$G$1005,MATCH($D1321,RUNS!$A$6:$A$1005,0))),""))</f>
        <v/>
      </c>
      <c r="O1321" s="33">
        <f>IF($D1321="","",IFERROR(IF(INDEX(RUNS!$H$6:$H$1005,MATCH($D1321,RUNS!$A$6:$A$1005,0))="","",INDEX(RUNS!$H$6:$H$1005,MATCH($D1321,RUNS!$A$6:$A$1005,0))),""))</f>
        <v/>
      </c>
      <c r="P1321" s="33">
        <f>IF($D1321="","",IFERROR(IF(INDEX(RUNS!$J$6:$J$1005,MATCH($D1321,RUNS!$A$6:$A$1005,0))="","",INDEX(RUNS!$J$6:$J$1005,MATCH($D1321,RUNS!$A$6:$A$1005,0))),""))</f>
        <v/>
      </c>
      <c r="Q1321" s="33">
        <f>IF($D1321="","",IFERROR(IF(INDEX(RUNS!$K$6:$K$1005,MATCH($D1321,RUNS!$A$6:$A$1005,0))="","",INDEX(RUNS!$K$6:$K$1005,MATCH($D1321,RUNS!$A$6:$A$1005,0))),""))</f>
        <v/>
      </c>
      <c r="R1321" s="34">
        <f>IF(OR($L1321="",$K1321=""),"",IFERROR(IF(INDEX(PARAMETRES!$H$43:$H$342,MATCH($L1321&amp;"|"&amp;$M1321&amp;"|"&amp;$N1321&amp;"|"&amp;$O1321&amp;"|"&amp;$P1321&amp;"|"&amp;$Q1321&amp;"|"&amp;$K1321,PARAMETRES!$J$43:$J$342,0))="","",INDEX(PARAMETRES!$H$43:$H$342,MATCH($L1321&amp;"|"&amp;$M1321&amp;"|"&amp;$N1321&amp;"|"&amp;$O1321&amp;"|"&amp;$P1321&amp;"|"&amp;$Q1321&amp;"|"&amp;$K1321,PARAMETRES!$J$43:$J$342,0))),""))</f>
        <v/>
      </c>
      <c r="S1321" s="35">
        <f>IF(OR($G1321="",$X1321&lt;&gt;"VALIDE"),"",IFERROR(LOOKUP(2,1/(($B421:$B1320=$B1321)*($G421:$G1320=$G1321)*($X421:$X1320="VALIDE")),$C421:$C1320),""))</f>
        <v/>
      </c>
      <c r="T1321" s="36">
        <f>IF(OR($C1321="",$S1321=""),"",ROUND(($C1321-$S1321+IF($C1321&lt;$S1321,1,0))*1440,0))</f>
        <v/>
      </c>
      <c r="U1321" s="22">
        <f>IF(OR($H1321="",$T1321="",$T1321&lt;=0),"",$H1321*60/$T1321)</f>
        <v/>
      </c>
      <c r="V1321" s="37">
        <f>IF(OR($U1321="",$R1321="",$R1321=0),"",$U1321/$R1321)</f>
        <v/>
      </c>
      <c r="W1321" s="20">
        <f>IF($G1321="","",IF($X1321="CONTEXTE INCOMPLET","CONTEXTE INCOMPLET",IF($X1321="DOUBLON",StatutDoublon,IF($S1321="",StatutInitial,IF($R1321="",StatutStandardManquant,IF($V1321="","DONNEES INSUFFISANTES",IF($V1321&gt;=SeuilConforme,StatutConforme,IF($V1321&gt;=SeuilSurveiller,StatutSurveiller,StatutSousStandard))))))))</f>
        <v/>
      </c>
      <c r="X1321" s="33">
        <f>IF($G1321="","",IF(OR($D1321="",$E1321="",$F1321=""),"CONTEXTE INCOMPLET",IF(COUNTIFS($D421:$D1320,$D1321,$E421:$E1320,$E1321,$F421:$F1320,$F1321,$G421:$G1320,$G1321)&gt;0,"DOUBLON","VALIDE")))</f>
        <v/>
      </c>
    </row>
    <row r="1322" ht="15" customHeight="1">
      <c r="A1322" s="12">
        <f>IF(OR($B1322="",$G1322=""),"",TEXT($B1322,"YYYYMMDD")&amp;"-"&amp;SUBSTITUTE($E1322," ","")&amp;"-"&amp;$F1322&amp;"-"&amp;$G1322)</f>
        <v/>
      </c>
      <c r="B1322" s="15" t="n"/>
      <c r="C1322" s="16" t="n"/>
      <c r="D1322" s="10" t="n"/>
      <c r="E1322" s="9" t="n"/>
      <c r="F1322" s="9" t="n"/>
      <c r="G1322" s="13" t="n"/>
      <c r="H1322" s="21" t="n"/>
      <c r="I1322" s="21" t="n"/>
      <c r="J1322" s="17">
        <f>IF($G1322="","",IFERROR(INDEX(NomsEmployes,MATCH($G1322,MatriculesEmployes,0)),"MATRICULE INCONNU"))</f>
        <v/>
      </c>
      <c r="K1322" s="33">
        <f>IF(OR($D1322="",$F1322=""),"",IFERROR(IF(INDEX(RUNS!$L$6:$S$1005,MATCH($D1322,RUNS!$A$6:$A$1005,0),MATCH("ACTIVITÉ "&amp;$F1322,RUNS!$L$5:$S$5,0))="","",INDEX(RUNS!$L$6:$S$1005,MATCH($D1322,RUNS!$A$6:$A$1005,0),MATCH("ACTIVITÉ "&amp;$F1322,RUNS!$L$5:$S$5,0))),""))</f>
        <v/>
      </c>
      <c r="L1322" s="33">
        <f>IF($D1322="","",IFERROR(IF(INDEX(RUNS!$E$6:$E$1005,MATCH($D1322,RUNS!$A$6:$A$1005,0))="","",INDEX(RUNS!$E$6:$E$1005,MATCH($D1322,RUNS!$A$6:$A$1005,0))),""))</f>
        <v/>
      </c>
      <c r="M1322" s="33">
        <f>IF($D1322="","",IFERROR(IF(INDEX(RUNS!$F$6:$F$1005,MATCH($D1322,RUNS!$A$6:$A$1005,0))="","",INDEX(RUNS!$F$6:$F$1005,MATCH($D1322,RUNS!$A$6:$A$1005,0))),""))</f>
        <v/>
      </c>
      <c r="N1322" s="33">
        <f>IF($D1322="","",IFERROR(IF(INDEX(RUNS!$G$6:$G$1005,MATCH($D1322,RUNS!$A$6:$A$1005,0))="","",INDEX(RUNS!$G$6:$G$1005,MATCH($D1322,RUNS!$A$6:$A$1005,0))),""))</f>
        <v/>
      </c>
      <c r="O1322" s="33">
        <f>IF($D1322="","",IFERROR(IF(INDEX(RUNS!$H$6:$H$1005,MATCH($D1322,RUNS!$A$6:$A$1005,0))="","",INDEX(RUNS!$H$6:$H$1005,MATCH($D1322,RUNS!$A$6:$A$1005,0))),""))</f>
        <v/>
      </c>
      <c r="P1322" s="33">
        <f>IF($D1322="","",IFERROR(IF(INDEX(RUNS!$J$6:$J$1005,MATCH($D1322,RUNS!$A$6:$A$1005,0))="","",INDEX(RUNS!$J$6:$J$1005,MATCH($D1322,RUNS!$A$6:$A$1005,0))),""))</f>
        <v/>
      </c>
      <c r="Q1322" s="33">
        <f>IF($D1322="","",IFERROR(IF(INDEX(RUNS!$K$6:$K$1005,MATCH($D1322,RUNS!$A$6:$A$1005,0))="","",INDEX(RUNS!$K$6:$K$1005,MATCH($D1322,RUNS!$A$6:$A$1005,0))),""))</f>
        <v/>
      </c>
      <c r="R1322" s="34">
        <f>IF(OR($L1322="",$K1322=""),"",IFERROR(IF(INDEX(PARAMETRES!$H$43:$H$342,MATCH($L1322&amp;"|"&amp;$M1322&amp;"|"&amp;$N1322&amp;"|"&amp;$O1322&amp;"|"&amp;$P1322&amp;"|"&amp;$Q1322&amp;"|"&amp;$K1322,PARAMETRES!$J$43:$J$342,0))="","",INDEX(PARAMETRES!$H$43:$H$342,MATCH($L1322&amp;"|"&amp;$M1322&amp;"|"&amp;$N1322&amp;"|"&amp;$O1322&amp;"|"&amp;$P1322&amp;"|"&amp;$Q1322&amp;"|"&amp;$K1322,PARAMETRES!$J$43:$J$342,0))),""))</f>
        <v/>
      </c>
      <c r="S1322" s="35">
        <f>IF(OR($G1322="",$X1322&lt;&gt;"VALIDE"),"",IFERROR(LOOKUP(2,1/(($B422:$B1321=$B1322)*($G422:$G1321=$G1322)*($X422:$X1321="VALIDE")),$C422:$C1321),""))</f>
        <v/>
      </c>
      <c r="T1322" s="36">
        <f>IF(OR($C1322="",$S1322=""),"",ROUND(($C1322-$S1322+IF($C1322&lt;$S1322,1,0))*1440,0))</f>
        <v/>
      </c>
      <c r="U1322" s="22">
        <f>IF(OR($H1322="",$T1322="",$T1322&lt;=0),"",$H1322*60/$T1322)</f>
        <v/>
      </c>
      <c r="V1322" s="37">
        <f>IF(OR($U1322="",$R1322="",$R1322=0),"",$U1322/$R1322)</f>
        <v/>
      </c>
      <c r="W1322" s="20">
        <f>IF($G1322="","",IF($X1322="CONTEXTE INCOMPLET","CONTEXTE INCOMPLET",IF($X1322="DOUBLON",StatutDoublon,IF($S1322="",StatutInitial,IF($R1322="",StatutStandardManquant,IF($V1322="","DONNEES INSUFFISANTES",IF($V1322&gt;=SeuilConforme,StatutConforme,IF($V1322&gt;=SeuilSurveiller,StatutSurveiller,StatutSousStandard))))))))</f>
        <v/>
      </c>
      <c r="X1322" s="33">
        <f>IF($G1322="","",IF(OR($D1322="",$E1322="",$F1322=""),"CONTEXTE INCOMPLET",IF(COUNTIFS($D422:$D1321,$D1322,$E422:$E1321,$E1322,$F422:$F1321,$F1322,$G422:$G1321,$G1322)&gt;0,"DOUBLON","VALIDE")))</f>
        <v/>
      </c>
    </row>
    <row r="1323" ht="15" customHeight="1">
      <c r="A1323" s="12">
        <f>IF(OR($B1323="",$G1323=""),"",TEXT($B1323,"YYYYMMDD")&amp;"-"&amp;SUBSTITUTE($E1323," ","")&amp;"-"&amp;$F1323&amp;"-"&amp;$G1323)</f>
        <v/>
      </c>
      <c r="B1323" s="15" t="n"/>
      <c r="C1323" s="16" t="n"/>
      <c r="D1323" s="10" t="n"/>
      <c r="E1323" s="9" t="n"/>
      <c r="F1323" s="9" t="n"/>
      <c r="G1323" s="13" t="n"/>
      <c r="H1323" s="21" t="n"/>
      <c r="I1323" s="21" t="n"/>
      <c r="J1323" s="17">
        <f>IF($G1323="","",IFERROR(INDEX(NomsEmployes,MATCH($G1323,MatriculesEmployes,0)),"MATRICULE INCONNU"))</f>
        <v/>
      </c>
      <c r="K1323" s="33">
        <f>IF(OR($D1323="",$F1323=""),"",IFERROR(IF(INDEX(RUNS!$L$6:$S$1005,MATCH($D1323,RUNS!$A$6:$A$1005,0),MATCH("ACTIVITÉ "&amp;$F1323,RUNS!$L$5:$S$5,0))="","",INDEX(RUNS!$L$6:$S$1005,MATCH($D1323,RUNS!$A$6:$A$1005,0),MATCH("ACTIVITÉ "&amp;$F1323,RUNS!$L$5:$S$5,0))),""))</f>
        <v/>
      </c>
      <c r="L1323" s="33">
        <f>IF($D1323="","",IFERROR(IF(INDEX(RUNS!$E$6:$E$1005,MATCH($D1323,RUNS!$A$6:$A$1005,0))="","",INDEX(RUNS!$E$6:$E$1005,MATCH($D1323,RUNS!$A$6:$A$1005,0))),""))</f>
        <v/>
      </c>
      <c r="M1323" s="33">
        <f>IF($D1323="","",IFERROR(IF(INDEX(RUNS!$F$6:$F$1005,MATCH($D1323,RUNS!$A$6:$A$1005,0))="","",INDEX(RUNS!$F$6:$F$1005,MATCH($D1323,RUNS!$A$6:$A$1005,0))),""))</f>
        <v/>
      </c>
      <c r="N1323" s="33">
        <f>IF($D1323="","",IFERROR(IF(INDEX(RUNS!$G$6:$G$1005,MATCH($D1323,RUNS!$A$6:$A$1005,0))="","",INDEX(RUNS!$G$6:$G$1005,MATCH($D1323,RUNS!$A$6:$A$1005,0))),""))</f>
        <v/>
      </c>
      <c r="O1323" s="33">
        <f>IF($D1323="","",IFERROR(IF(INDEX(RUNS!$H$6:$H$1005,MATCH($D1323,RUNS!$A$6:$A$1005,0))="","",INDEX(RUNS!$H$6:$H$1005,MATCH($D1323,RUNS!$A$6:$A$1005,0))),""))</f>
        <v/>
      </c>
      <c r="P1323" s="33">
        <f>IF($D1323="","",IFERROR(IF(INDEX(RUNS!$J$6:$J$1005,MATCH($D1323,RUNS!$A$6:$A$1005,0))="","",INDEX(RUNS!$J$6:$J$1005,MATCH($D1323,RUNS!$A$6:$A$1005,0))),""))</f>
        <v/>
      </c>
      <c r="Q1323" s="33">
        <f>IF($D1323="","",IFERROR(IF(INDEX(RUNS!$K$6:$K$1005,MATCH($D1323,RUNS!$A$6:$A$1005,0))="","",INDEX(RUNS!$K$6:$K$1005,MATCH($D1323,RUNS!$A$6:$A$1005,0))),""))</f>
        <v/>
      </c>
      <c r="R1323" s="34">
        <f>IF(OR($L1323="",$K1323=""),"",IFERROR(IF(INDEX(PARAMETRES!$H$43:$H$342,MATCH($L1323&amp;"|"&amp;$M1323&amp;"|"&amp;$N1323&amp;"|"&amp;$O1323&amp;"|"&amp;$P1323&amp;"|"&amp;$Q1323&amp;"|"&amp;$K1323,PARAMETRES!$J$43:$J$342,0))="","",INDEX(PARAMETRES!$H$43:$H$342,MATCH($L1323&amp;"|"&amp;$M1323&amp;"|"&amp;$N1323&amp;"|"&amp;$O1323&amp;"|"&amp;$P1323&amp;"|"&amp;$Q1323&amp;"|"&amp;$K1323,PARAMETRES!$J$43:$J$342,0))),""))</f>
        <v/>
      </c>
      <c r="S1323" s="35">
        <f>IF(OR($G1323="",$X1323&lt;&gt;"VALIDE"),"",IFERROR(LOOKUP(2,1/(($B423:$B1322=$B1323)*($G423:$G1322=$G1323)*($X423:$X1322="VALIDE")),$C423:$C1322),""))</f>
        <v/>
      </c>
      <c r="T1323" s="36">
        <f>IF(OR($C1323="",$S1323=""),"",ROUND(($C1323-$S1323+IF($C1323&lt;$S1323,1,0))*1440,0))</f>
        <v/>
      </c>
      <c r="U1323" s="22">
        <f>IF(OR($H1323="",$T1323="",$T1323&lt;=0),"",$H1323*60/$T1323)</f>
        <v/>
      </c>
      <c r="V1323" s="37">
        <f>IF(OR($U1323="",$R1323="",$R1323=0),"",$U1323/$R1323)</f>
        <v/>
      </c>
      <c r="W1323" s="20">
        <f>IF($G1323="","",IF($X1323="CONTEXTE INCOMPLET","CONTEXTE INCOMPLET",IF($X1323="DOUBLON",StatutDoublon,IF($S1323="",StatutInitial,IF($R1323="",StatutStandardManquant,IF($V1323="","DONNEES INSUFFISANTES",IF($V1323&gt;=SeuilConforme,StatutConforme,IF($V1323&gt;=SeuilSurveiller,StatutSurveiller,StatutSousStandard))))))))</f>
        <v/>
      </c>
      <c r="X1323" s="33">
        <f>IF($G1323="","",IF(OR($D1323="",$E1323="",$F1323=""),"CONTEXTE INCOMPLET",IF(COUNTIFS($D423:$D1322,$D1323,$E423:$E1322,$E1323,$F423:$F1322,$F1323,$G423:$G1322,$G1323)&gt;0,"DOUBLON","VALIDE")))</f>
        <v/>
      </c>
    </row>
    <row r="1324" ht="15" customHeight="1">
      <c r="A1324" s="12">
        <f>IF(OR($B1324="",$G1324=""),"",TEXT($B1324,"YYYYMMDD")&amp;"-"&amp;SUBSTITUTE($E1324," ","")&amp;"-"&amp;$F1324&amp;"-"&amp;$G1324)</f>
        <v/>
      </c>
      <c r="B1324" s="15" t="n"/>
      <c r="C1324" s="16" t="n"/>
      <c r="D1324" s="10" t="n"/>
      <c r="E1324" s="9" t="n"/>
      <c r="F1324" s="9" t="n"/>
      <c r="G1324" s="13" t="n"/>
      <c r="H1324" s="21" t="n"/>
      <c r="I1324" s="21" t="n"/>
      <c r="J1324" s="17">
        <f>IF($G1324="","",IFERROR(INDEX(NomsEmployes,MATCH($G1324,MatriculesEmployes,0)),"MATRICULE INCONNU"))</f>
        <v/>
      </c>
      <c r="K1324" s="33">
        <f>IF(OR($D1324="",$F1324=""),"",IFERROR(IF(INDEX(RUNS!$L$6:$S$1005,MATCH($D1324,RUNS!$A$6:$A$1005,0),MATCH("ACTIVITÉ "&amp;$F1324,RUNS!$L$5:$S$5,0))="","",INDEX(RUNS!$L$6:$S$1005,MATCH($D1324,RUNS!$A$6:$A$1005,0),MATCH("ACTIVITÉ "&amp;$F1324,RUNS!$L$5:$S$5,0))),""))</f>
        <v/>
      </c>
      <c r="L1324" s="33">
        <f>IF($D1324="","",IFERROR(IF(INDEX(RUNS!$E$6:$E$1005,MATCH($D1324,RUNS!$A$6:$A$1005,0))="","",INDEX(RUNS!$E$6:$E$1005,MATCH($D1324,RUNS!$A$6:$A$1005,0))),""))</f>
        <v/>
      </c>
      <c r="M1324" s="33">
        <f>IF($D1324="","",IFERROR(IF(INDEX(RUNS!$F$6:$F$1005,MATCH($D1324,RUNS!$A$6:$A$1005,0))="","",INDEX(RUNS!$F$6:$F$1005,MATCH($D1324,RUNS!$A$6:$A$1005,0))),""))</f>
        <v/>
      </c>
      <c r="N1324" s="33">
        <f>IF($D1324="","",IFERROR(IF(INDEX(RUNS!$G$6:$G$1005,MATCH($D1324,RUNS!$A$6:$A$1005,0))="","",INDEX(RUNS!$G$6:$G$1005,MATCH($D1324,RUNS!$A$6:$A$1005,0))),""))</f>
        <v/>
      </c>
      <c r="O1324" s="33">
        <f>IF($D1324="","",IFERROR(IF(INDEX(RUNS!$H$6:$H$1005,MATCH($D1324,RUNS!$A$6:$A$1005,0))="","",INDEX(RUNS!$H$6:$H$1005,MATCH($D1324,RUNS!$A$6:$A$1005,0))),""))</f>
        <v/>
      </c>
      <c r="P1324" s="33">
        <f>IF($D1324="","",IFERROR(IF(INDEX(RUNS!$J$6:$J$1005,MATCH($D1324,RUNS!$A$6:$A$1005,0))="","",INDEX(RUNS!$J$6:$J$1005,MATCH($D1324,RUNS!$A$6:$A$1005,0))),""))</f>
        <v/>
      </c>
      <c r="Q1324" s="33">
        <f>IF($D1324="","",IFERROR(IF(INDEX(RUNS!$K$6:$K$1005,MATCH($D1324,RUNS!$A$6:$A$1005,0))="","",INDEX(RUNS!$K$6:$K$1005,MATCH($D1324,RUNS!$A$6:$A$1005,0))),""))</f>
        <v/>
      </c>
      <c r="R1324" s="34">
        <f>IF(OR($L1324="",$K1324=""),"",IFERROR(IF(INDEX(PARAMETRES!$H$43:$H$342,MATCH($L1324&amp;"|"&amp;$M1324&amp;"|"&amp;$N1324&amp;"|"&amp;$O1324&amp;"|"&amp;$P1324&amp;"|"&amp;$Q1324&amp;"|"&amp;$K1324,PARAMETRES!$J$43:$J$342,0))="","",INDEX(PARAMETRES!$H$43:$H$342,MATCH($L1324&amp;"|"&amp;$M1324&amp;"|"&amp;$N1324&amp;"|"&amp;$O1324&amp;"|"&amp;$P1324&amp;"|"&amp;$Q1324&amp;"|"&amp;$K1324,PARAMETRES!$J$43:$J$342,0))),""))</f>
        <v/>
      </c>
      <c r="S1324" s="35">
        <f>IF(OR($G1324="",$X1324&lt;&gt;"VALIDE"),"",IFERROR(LOOKUP(2,1/(($B424:$B1323=$B1324)*($G424:$G1323=$G1324)*($X424:$X1323="VALIDE")),$C424:$C1323),""))</f>
        <v/>
      </c>
      <c r="T1324" s="36">
        <f>IF(OR($C1324="",$S1324=""),"",ROUND(($C1324-$S1324+IF($C1324&lt;$S1324,1,0))*1440,0))</f>
        <v/>
      </c>
      <c r="U1324" s="22">
        <f>IF(OR($H1324="",$T1324="",$T1324&lt;=0),"",$H1324*60/$T1324)</f>
        <v/>
      </c>
      <c r="V1324" s="37">
        <f>IF(OR($U1324="",$R1324="",$R1324=0),"",$U1324/$R1324)</f>
        <v/>
      </c>
      <c r="W1324" s="20">
        <f>IF($G1324="","",IF($X1324="CONTEXTE INCOMPLET","CONTEXTE INCOMPLET",IF($X1324="DOUBLON",StatutDoublon,IF($S1324="",StatutInitial,IF($R1324="",StatutStandardManquant,IF($V1324="","DONNEES INSUFFISANTES",IF($V1324&gt;=SeuilConforme,StatutConforme,IF($V1324&gt;=SeuilSurveiller,StatutSurveiller,StatutSousStandard))))))))</f>
        <v/>
      </c>
      <c r="X1324" s="33">
        <f>IF($G1324="","",IF(OR($D1324="",$E1324="",$F1324=""),"CONTEXTE INCOMPLET",IF(COUNTIFS($D424:$D1323,$D1324,$E424:$E1323,$E1324,$F424:$F1323,$F1324,$G424:$G1323,$G1324)&gt;0,"DOUBLON","VALIDE")))</f>
        <v/>
      </c>
    </row>
    <row r="1325" ht="15" customHeight="1">
      <c r="A1325" s="12">
        <f>IF(OR($B1325="",$G1325=""),"",TEXT($B1325,"YYYYMMDD")&amp;"-"&amp;SUBSTITUTE($E1325," ","")&amp;"-"&amp;$F1325&amp;"-"&amp;$G1325)</f>
        <v/>
      </c>
      <c r="B1325" s="15" t="n"/>
      <c r="C1325" s="16" t="n"/>
      <c r="D1325" s="10" t="n"/>
      <c r="E1325" s="9" t="n"/>
      <c r="F1325" s="9" t="n"/>
      <c r="G1325" s="13" t="n"/>
      <c r="H1325" s="21" t="n"/>
      <c r="I1325" s="21" t="n"/>
      <c r="J1325" s="17">
        <f>IF($G1325="","",IFERROR(INDEX(NomsEmployes,MATCH($G1325,MatriculesEmployes,0)),"MATRICULE INCONNU"))</f>
        <v/>
      </c>
      <c r="K1325" s="33">
        <f>IF(OR($D1325="",$F1325=""),"",IFERROR(IF(INDEX(RUNS!$L$6:$S$1005,MATCH($D1325,RUNS!$A$6:$A$1005,0),MATCH("ACTIVITÉ "&amp;$F1325,RUNS!$L$5:$S$5,0))="","",INDEX(RUNS!$L$6:$S$1005,MATCH($D1325,RUNS!$A$6:$A$1005,0),MATCH("ACTIVITÉ "&amp;$F1325,RUNS!$L$5:$S$5,0))),""))</f>
        <v/>
      </c>
      <c r="L1325" s="33">
        <f>IF($D1325="","",IFERROR(IF(INDEX(RUNS!$E$6:$E$1005,MATCH($D1325,RUNS!$A$6:$A$1005,0))="","",INDEX(RUNS!$E$6:$E$1005,MATCH($D1325,RUNS!$A$6:$A$1005,0))),""))</f>
        <v/>
      </c>
      <c r="M1325" s="33">
        <f>IF($D1325="","",IFERROR(IF(INDEX(RUNS!$F$6:$F$1005,MATCH($D1325,RUNS!$A$6:$A$1005,0))="","",INDEX(RUNS!$F$6:$F$1005,MATCH($D1325,RUNS!$A$6:$A$1005,0))),""))</f>
        <v/>
      </c>
      <c r="N1325" s="33">
        <f>IF($D1325="","",IFERROR(IF(INDEX(RUNS!$G$6:$G$1005,MATCH($D1325,RUNS!$A$6:$A$1005,0))="","",INDEX(RUNS!$G$6:$G$1005,MATCH($D1325,RUNS!$A$6:$A$1005,0))),""))</f>
        <v/>
      </c>
      <c r="O1325" s="33">
        <f>IF($D1325="","",IFERROR(IF(INDEX(RUNS!$H$6:$H$1005,MATCH($D1325,RUNS!$A$6:$A$1005,0))="","",INDEX(RUNS!$H$6:$H$1005,MATCH($D1325,RUNS!$A$6:$A$1005,0))),""))</f>
        <v/>
      </c>
      <c r="P1325" s="33">
        <f>IF($D1325="","",IFERROR(IF(INDEX(RUNS!$J$6:$J$1005,MATCH($D1325,RUNS!$A$6:$A$1005,0))="","",INDEX(RUNS!$J$6:$J$1005,MATCH($D1325,RUNS!$A$6:$A$1005,0))),""))</f>
        <v/>
      </c>
      <c r="Q1325" s="33">
        <f>IF($D1325="","",IFERROR(IF(INDEX(RUNS!$K$6:$K$1005,MATCH($D1325,RUNS!$A$6:$A$1005,0))="","",INDEX(RUNS!$K$6:$K$1005,MATCH($D1325,RUNS!$A$6:$A$1005,0))),""))</f>
        <v/>
      </c>
      <c r="R1325" s="34">
        <f>IF(OR($L1325="",$K1325=""),"",IFERROR(IF(INDEX(PARAMETRES!$H$43:$H$342,MATCH($L1325&amp;"|"&amp;$M1325&amp;"|"&amp;$N1325&amp;"|"&amp;$O1325&amp;"|"&amp;$P1325&amp;"|"&amp;$Q1325&amp;"|"&amp;$K1325,PARAMETRES!$J$43:$J$342,0))="","",INDEX(PARAMETRES!$H$43:$H$342,MATCH($L1325&amp;"|"&amp;$M1325&amp;"|"&amp;$N1325&amp;"|"&amp;$O1325&amp;"|"&amp;$P1325&amp;"|"&amp;$Q1325&amp;"|"&amp;$K1325,PARAMETRES!$J$43:$J$342,0))),""))</f>
        <v/>
      </c>
      <c r="S1325" s="35">
        <f>IF(OR($G1325="",$X1325&lt;&gt;"VALIDE"),"",IFERROR(LOOKUP(2,1/(($B425:$B1324=$B1325)*($G425:$G1324=$G1325)*($X425:$X1324="VALIDE")),$C425:$C1324),""))</f>
        <v/>
      </c>
      <c r="T1325" s="36">
        <f>IF(OR($C1325="",$S1325=""),"",ROUND(($C1325-$S1325+IF($C1325&lt;$S1325,1,0))*1440,0))</f>
        <v/>
      </c>
      <c r="U1325" s="22">
        <f>IF(OR($H1325="",$T1325="",$T1325&lt;=0),"",$H1325*60/$T1325)</f>
        <v/>
      </c>
      <c r="V1325" s="37">
        <f>IF(OR($U1325="",$R1325="",$R1325=0),"",$U1325/$R1325)</f>
        <v/>
      </c>
      <c r="W1325" s="20">
        <f>IF($G1325="","",IF($X1325="CONTEXTE INCOMPLET","CONTEXTE INCOMPLET",IF($X1325="DOUBLON",StatutDoublon,IF($S1325="",StatutInitial,IF($R1325="",StatutStandardManquant,IF($V1325="","DONNEES INSUFFISANTES",IF($V1325&gt;=SeuilConforme,StatutConforme,IF($V1325&gt;=SeuilSurveiller,StatutSurveiller,StatutSousStandard))))))))</f>
        <v/>
      </c>
      <c r="X1325" s="33">
        <f>IF($G1325="","",IF(OR($D1325="",$E1325="",$F1325=""),"CONTEXTE INCOMPLET",IF(COUNTIFS($D425:$D1324,$D1325,$E425:$E1324,$E1325,$F425:$F1324,$F1325,$G425:$G1324,$G1325)&gt;0,"DOUBLON","VALIDE")))</f>
        <v/>
      </c>
    </row>
    <row r="1326" ht="15" customHeight="1">
      <c r="A1326" s="12">
        <f>IF(OR($B1326="",$G1326=""),"",TEXT($B1326,"YYYYMMDD")&amp;"-"&amp;SUBSTITUTE($E1326," ","")&amp;"-"&amp;$F1326&amp;"-"&amp;$G1326)</f>
        <v/>
      </c>
      <c r="B1326" s="15" t="n"/>
      <c r="C1326" s="16" t="n"/>
      <c r="D1326" s="10" t="n"/>
      <c r="E1326" s="9" t="n"/>
      <c r="F1326" s="9" t="n"/>
      <c r="G1326" s="13" t="n"/>
      <c r="H1326" s="21" t="n"/>
      <c r="I1326" s="21" t="n"/>
      <c r="J1326" s="17">
        <f>IF($G1326="","",IFERROR(INDEX(NomsEmployes,MATCH($G1326,MatriculesEmployes,0)),"MATRICULE INCONNU"))</f>
        <v/>
      </c>
      <c r="K1326" s="33">
        <f>IF(OR($D1326="",$F1326=""),"",IFERROR(IF(INDEX(RUNS!$L$6:$S$1005,MATCH($D1326,RUNS!$A$6:$A$1005,0),MATCH("ACTIVITÉ "&amp;$F1326,RUNS!$L$5:$S$5,0))="","",INDEX(RUNS!$L$6:$S$1005,MATCH($D1326,RUNS!$A$6:$A$1005,0),MATCH("ACTIVITÉ "&amp;$F1326,RUNS!$L$5:$S$5,0))),""))</f>
        <v/>
      </c>
      <c r="L1326" s="33">
        <f>IF($D1326="","",IFERROR(IF(INDEX(RUNS!$E$6:$E$1005,MATCH($D1326,RUNS!$A$6:$A$1005,0))="","",INDEX(RUNS!$E$6:$E$1005,MATCH($D1326,RUNS!$A$6:$A$1005,0))),""))</f>
        <v/>
      </c>
      <c r="M1326" s="33">
        <f>IF($D1326="","",IFERROR(IF(INDEX(RUNS!$F$6:$F$1005,MATCH($D1326,RUNS!$A$6:$A$1005,0))="","",INDEX(RUNS!$F$6:$F$1005,MATCH($D1326,RUNS!$A$6:$A$1005,0))),""))</f>
        <v/>
      </c>
      <c r="N1326" s="33">
        <f>IF($D1326="","",IFERROR(IF(INDEX(RUNS!$G$6:$G$1005,MATCH($D1326,RUNS!$A$6:$A$1005,0))="","",INDEX(RUNS!$G$6:$G$1005,MATCH($D1326,RUNS!$A$6:$A$1005,0))),""))</f>
        <v/>
      </c>
      <c r="O1326" s="33">
        <f>IF($D1326="","",IFERROR(IF(INDEX(RUNS!$H$6:$H$1005,MATCH($D1326,RUNS!$A$6:$A$1005,0))="","",INDEX(RUNS!$H$6:$H$1005,MATCH($D1326,RUNS!$A$6:$A$1005,0))),""))</f>
        <v/>
      </c>
      <c r="P1326" s="33">
        <f>IF($D1326="","",IFERROR(IF(INDEX(RUNS!$J$6:$J$1005,MATCH($D1326,RUNS!$A$6:$A$1005,0))="","",INDEX(RUNS!$J$6:$J$1005,MATCH($D1326,RUNS!$A$6:$A$1005,0))),""))</f>
        <v/>
      </c>
      <c r="Q1326" s="33">
        <f>IF($D1326="","",IFERROR(IF(INDEX(RUNS!$K$6:$K$1005,MATCH($D1326,RUNS!$A$6:$A$1005,0))="","",INDEX(RUNS!$K$6:$K$1005,MATCH($D1326,RUNS!$A$6:$A$1005,0))),""))</f>
        <v/>
      </c>
      <c r="R1326" s="34">
        <f>IF(OR($L1326="",$K1326=""),"",IFERROR(IF(INDEX(PARAMETRES!$H$43:$H$342,MATCH($L1326&amp;"|"&amp;$M1326&amp;"|"&amp;$N1326&amp;"|"&amp;$O1326&amp;"|"&amp;$P1326&amp;"|"&amp;$Q1326&amp;"|"&amp;$K1326,PARAMETRES!$J$43:$J$342,0))="","",INDEX(PARAMETRES!$H$43:$H$342,MATCH($L1326&amp;"|"&amp;$M1326&amp;"|"&amp;$N1326&amp;"|"&amp;$O1326&amp;"|"&amp;$P1326&amp;"|"&amp;$Q1326&amp;"|"&amp;$K1326,PARAMETRES!$J$43:$J$342,0))),""))</f>
        <v/>
      </c>
      <c r="S1326" s="35">
        <f>IF(OR($G1326="",$X1326&lt;&gt;"VALIDE"),"",IFERROR(LOOKUP(2,1/(($B426:$B1325=$B1326)*($G426:$G1325=$G1326)*($X426:$X1325="VALIDE")),$C426:$C1325),""))</f>
        <v/>
      </c>
      <c r="T1326" s="36">
        <f>IF(OR($C1326="",$S1326=""),"",ROUND(($C1326-$S1326+IF($C1326&lt;$S1326,1,0))*1440,0))</f>
        <v/>
      </c>
      <c r="U1326" s="22">
        <f>IF(OR($H1326="",$T1326="",$T1326&lt;=0),"",$H1326*60/$T1326)</f>
        <v/>
      </c>
      <c r="V1326" s="37">
        <f>IF(OR($U1326="",$R1326="",$R1326=0),"",$U1326/$R1326)</f>
        <v/>
      </c>
      <c r="W1326" s="20">
        <f>IF($G1326="","",IF($X1326="CONTEXTE INCOMPLET","CONTEXTE INCOMPLET",IF($X1326="DOUBLON",StatutDoublon,IF($S1326="",StatutInitial,IF($R1326="",StatutStandardManquant,IF($V1326="","DONNEES INSUFFISANTES",IF($V1326&gt;=SeuilConforme,StatutConforme,IF($V1326&gt;=SeuilSurveiller,StatutSurveiller,StatutSousStandard))))))))</f>
        <v/>
      </c>
      <c r="X1326" s="33">
        <f>IF($G1326="","",IF(OR($D1326="",$E1326="",$F1326=""),"CONTEXTE INCOMPLET",IF(COUNTIFS($D426:$D1325,$D1326,$E426:$E1325,$E1326,$F426:$F1325,$F1326,$G426:$G1325,$G1326)&gt;0,"DOUBLON","VALIDE")))</f>
        <v/>
      </c>
    </row>
    <row r="1327" ht="15" customHeight="1">
      <c r="A1327" s="12">
        <f>IF(OR($B1327="",$G1327=""),"",TEXT($B1327,"YYYYMMDD")&amp;"-"&amp;SUBSTITUTE($E1327," ","")&amp;"-"&amp;$F1327&amp;"-"&amp;$G1327)</f>
        <v/>
      </c>
      <c r="B1327" s="15" t="n"/>
      <c r="C1327" s="16" t="n"/>
      <c r="D1327" s="10" t="n"/>
      <c r="E1327" s="9" t="n"/>
      <c r="F1327" s="9" t="n"/>
      <c r="G1327" s="13" t="n"/>
      <c r="H1327" s="21" t="n"/>
      <c r="I1327" s="21" t="n"/>
      <c r="J1327" s="17">
        <f>IF($G1327="","",IFERROR(INDEX(NomsEmployes,MATCH($G1327,MatriculesEmployes,0)),"MATRICULE INCONNU"))</f>
        <v/>
      </c>
      <c r="K1327" s="33">
        <f>IF(OR($D1327="",$F1327=""),"",IFERROR(IF(INDEX(RUNS!$L$6:$S$1005,MATCH($D1327,RUNS!$A$6:$A$1005,0),MATCH("ACTIVITÉ "&amp;$F1327,RUNS!$L$5:$S$5,0))="","",INDEX(RUNS!$L$6:$S$1005,MATCH($D1327,RUNS!$A$6:$A$1005,0),MATCH("ACTIVITÉ "&amp;$F1327,RUNS!$L$5:$S$5,0))),""))</f>
        <v/>
      </c>
      <c r="L1327" s="33">
        <f>IF($D1327="","",IFERROR(IF(INDEX(RUNS!$E$6:$E$1005,MATCH($D1327,RUNS!$A$6:$A$1005,0))="","",INDEX(RUNS!$E$6:$E$1005,MATCH($D1327,RUNS!$A$6:$A$1005,0))),""))</f>
        <v/>
      </c>
      <c r="M1327" s="33">
        <f>IF($D1327="","",IFERROR(IF(INDEX(RUNS!$F$6:$F$1005,MATCH($D1327,RUNS!$A$6:$A$1005,0))="","",INDEX(RUNS!$F$6:$F$1005,MATCH($D1327,RUNS!$A$6:$A$1005,0))),""))</f>
        <v/>
      </c>
      <c r="N1327" s="33">
        <f>IF($D1327="","",IFERROR(IF(INDEX(RUNS!$G$6:$G$1005,MATCH($D1327,RUNS!$A$6:$A$1005,0))="","",INDEX(RUNS!$G$6:$G$1005,MATCH($D1327,RUNS!$A$6:$A$1005,0))),""))</f>
        <v/>
      </c>
      <c r="O1327" s="33">
        <f>IF($D1327="","",IFERROR(IF(INDEX(RUNS!$H$6:$H$1005,MATCH($D1327,RUNS!$A$6:$A$1005,0))="","",INDEX(RUNS!$H$6:$H$1005,MATCH($D1327,RUNS!$A$6:$A$1005,0))),""))</f>
        <v/>
      </c>
      <c r="P1327" s="33">
        <f>IF($D1327="","",IFERROR(IF(INDEX(RUNS!$J$6:$J$1005,MATCH($D1327,RUNS!$A$6:$A$1005,0))="","",INDEX(RUNS!$J$6:$J$1005,MATCH($D1327,RUNS!$A$6:$A$1005,0))),""))</f>
        <v/>
      </c>
      <c r="Q1327" s="33">
        <f>IF($D1327="","",IFERROR(IF(INDEX(RUNS!$K$6:$K$1005,MATCH($D1327,RUNS!$A$6:$A$1005,0))="","",INDEX(RUNS!$K$6:$K$1005,MATCH($D1327,RUNS!$A$6:$A$1005,0))),""))</f>
        <v/>
      </c>
      <c r="R1327" s="34">
        <f>IF(OR($L1327="",$K1327=""),"",IFERROR(IF(INDEX(PARAMETRES!$H$43:$H$342,MATCH($L1327&amp;"|"&amp;$M1327&amp;"|"&amp;$N1327&amp;"|"&amp;$O1327&amp;"|"&amp;$P1327&amp;"|"&amp;$Q1327&amp;"|"&amp;$K1327,PARAMETRES!$J$43:$J$342,0))="","",INDEX(PARAMETRES!$H$43:$H$342,MATCH($L1327&amp;"|"&amp;$M1327&amp;"|"&amp;$N1327&amp;"|"&amp;$O1327&amp;"|"&amp;$P1327&amp;"|"&amp;$Q1327&amp;"|"&amp;$K1327,PARAMETRES!$J$43:$J$342,0))),""))</f>
        <v/>
      </c>
      <c r="S1327" s="35">
        <f>IF(OR($G1327="",$X1327&lt;&gt;"VALIDE"),"",IFERROR(LOOKUP(2,1/(($B427:$B1326=$B1327)*($G427:$G1326=$G1327)*($X427:$X1326="VALIDE")),$C427:$C1326),""))</f>
        <v/>
      </c>
      <c r="T1327" s="36">
        <f>IF(OR($C1327="",$S1327=""),"",ROUND(($C1327-$S1327+IF($C1327&lt;$S1327,1,0))*1440,0))</f>
        <v/>
      </c>
      <c r="U1327" s="22">
        <f>IF(OR($H1327="",$T1327="",$T1327&lt;=0),"",$H1327*60/$T1327)</f>
        <v/>
      </c>
      <c r="V1327" s="37">
        <f>IF(OR($U1327="",$R1327="",$R1327=0),"",$U1327/$R1327)</f>
        <v/>
      </c>
      <c r="W1327" s="20">
        <f>IF($G1327="","",IF($X1327="CONTEXTE INCOMPLET","CONTEXTE INCOMPLET",IF($X1327="DOUBLON",StatutDoublon,IF($S1327="",StatutInitial,IF($R1327="",StatutStandardManquant,IF($V1327="","DONNEES INSUFFISANTES",IF($V1327&gt;=SeuilConforme,StatutConforme,IF($V1327&gt;=SeuilSurveiller,StatutSurveiller,StatutSousStandard))))))))</f>
        <v/>
      </c>
      <c r="X1327" s="33">
        <f>IF($G1327="","",IF(OR($D1327="",$E1327="",$F1327=""),"CONTEXTE INCOMPLET",IF(COUNTIFS($D427:$D1326,$D1327,$E427:$E1326,$E1327,$F427:$F1326,$F1327,$G427:$G1326,$G1327)&gt;0,"DOUBLON","VALIDE")))</f>
        <v/>
      </c>
    </row>
    <row r="1328" ht="15" customHeight="1">
      <c r="A1328" s="12">
        <f>IF(OR($B1328="",$G1328=""),"",TEXT($B1328,"YYYYMMDD")&amp;"-"&amp;SUBSTITUTE($E1328," ","")&amp;"-"&amp;$F1328&amp;"-"&amp;$G1328)</f>
        <v/>
      </c>
      <c r="B1328" s="15" t="n"/>
      <c r="C1328" s="16" t="n"/>
      <c r="D1328" s="10" t="n"/>
      <c r="E1328" s="9" t="n"/>
      <c r="F1328" s="9" t="n"/>
      <c r="G1328" s="13" t="n"/>
      <c r="H1328" s="21" t="n"/>
      <c r="I1328" s="21" t="n"/>
      <c r="J1328" s="17">
        <f>IF($G1328="","",IFERROR(INDEX(NomsEmployes,MATCH($G1328,MatriculesEmployes,0)),"MATRICULE INCONNU"))</f>
        <v/>
      </c>
      <c r="K1328" s="33">
        <f>IF(OR($D1328="",$F1328=""),"",IFERROR(IF(INDEX(RUNS!$L$6:$S$1005,MATCH($D1328,RUNS!$A$6:$A$1005,0),MATCH("ACTIVITÉ "&amp;$F1328,RUNS!$L$5:$S$5,0))="","",INDEX(RUNS!$L$6:$S$1005,MATCH($D1328,RUNS!$A$6:$A$1005,0),MATCH("ACTIVITÉ "&amp;$F1328,RUNS!$L$5:$S$5,0))),""))</f>
        <v/>
      </c>
      <c r="L1328" s="33">
        <f>IF($D1328="","",IFERROR(IF(INDEX(RUNS!$E$6:$E$1005,MATCH($D1328,RUNS!$A$6:$A$1005,0))="","",INDEX(RUNS!$E$6:$E$1005,MATCH($D1328,RUNS!$A$6:$A$1005,0))),""))</f>
        <v/>
      </c>
      <c r="M1328" s="33">
        <f>IF($D1328="","",IFERROR(IF(INDEX(RUNS!$F$6:$F$1005,MATCH($D1328,RUNS!$A$6:$A$1005,0))="","",INDEX(RUNS!$F$6:$F$1005,MATCH($D1328,RUNS!$A$6:$A$1005,0))),""))</f>
        <v/>
      </c>
      <c r="N1328" s="33">
        <f>IF($D1328="","",IFERROR(IF(INDEX(RUNS!$G$6:$G$1005,MATCH($D1328,RUNS!$A$6:$A$1005,0))="","",INDEX(RUNS!$G$6:$G$1005,MATCH($D1328,RUNS!$A$6:$A$1005,0))),""))</f>
        <v/>
      </c>
      <c r="O1328" s="33">
        <f>IF($D1328="","",IFERROR(IF(INDEX(RUNS!$H$6:$H$1005,MATCH($D1328,RUNS!$A$6:$A$1005,0))="","",INDEX(RUNS!$H$6:$H$1005,MATCH($D1328,RUNS!$A$6:$A$1005,0))),""))</f>
        <v/>
      </c>
      <c r="P1328" s="33">
        <f>IF($D1328="","",IFERROR(IF(INDEX(RUNS!$J$6:$J$1005,MATCH($D1328,RUNS!$A$6:$A$1005,0))="","",INDEX(RUNS!$J$6:$J$1005,MATCH($D1328,RUNS!$A$6:$A$1005,0))),""))</f>
        <v/>
      </c>
      <c r="Q1328" s="33">
        <f>IF($D1328="","",IFERROR(IF(INDEX(RUNS!$K$6:$K$1005,MATCH($D1328,RUNS!$A$6:$A$1005,0))="","",INDEX(RUNS!$K$6:$K$1005,MATCH($D1328,RUNS!$A$6:$A$1005,0))),""))</f>
        <v/>
      </c>
      <c r="R1328" s="34">
        <f>IF(OR($L1328="",$K1328=""),"",IFERROR(IF(INDEX(PARAMETRES!$H$43:$H$342,MATCH($L1328&amp;"|"&amp;$M1328&amp;"|"&amp;$N1328&amp;"|"&amp;$O1328&amp;"|"&amp;$P1328&amp;"|"&amp;$Q1328&amp;"|"&amp;$K1328,PARAMETRES!$J$43:$J$342,0))="","",INDEX(PARAMETRES!$H$43:$H$342,MATCH($L1328&amp;"|"&amp;$M1328&amp;"|"&amp;$N1328&amp;"|"&amp;$O1328&amp;"|"&amp;$P1328&amp;"|"&amp;$Q1328&amp;"|"&amp;$K1328,PARAMETRES!$J$43:$J$342,0))),""))</f>
        <v/>
      </c>
      <c r="S1328" s="35">
        <f>IF(OR($G1328="",$X1328&lt;&gt;"VALIDE"),"",IFERROR(LOOKUP(2,1/(($B428:$B1327=$B1328)*($G428:$G1327=$G1328)*($X428:$X1327="VALIDE")),$C428:$C1327),""))</f>
        <v/>
      </c>
      <c r="T1328" s="36">
        <f>IF(OR($C1328="",$S1328=""),"",ROUND(($C1328-$S1328+IF($C1328&lt;$S1328,1,0))*1440,0))</f>
        <v/>
      </c>
      <c r="U1328" s="22">
        <f>IF(OR($H1328="",$T1328="",$T1328&lt;=0),"",$H1328*60/$T1328)</f>
        <v/>
      </c>
      <c r="V1328" s="37">
        <f>IF(OR($U1328="",$R1328="",$R1328=0),"",$U1328/$R1328)</f>
        <v/>
      </c>
      <c r="W1328" s="20">
        <f>IF($G1328="","",IF($X1328="CONTEXTE INCOMPLET","CONTEXTE INCOMPLET",IF($X1328="DOUBLON",StatutDoublon,IF($S1328="",StatutInitial,IF($R1328="",StatutStandardManquant,IF($V1328="","DONNEES INSUFFISANTES",IF($V1328&gt;=SeuilConforme,StatutConforme,IF($V1328&gt;=SeuilSurveiller,StatutSurveiller,StatutSousStandard))))))))</f>
        <v/>
      </c>
      <c r="X1328" s="33">
        <f>IF($G1328="","",IF(OR($D1328="",$E1328="",$F1328=""),"CONTEXTE INCOMPLET",IF(COUNTIFS($D428:$D1327,$D1328,$E428:$E1327,$E1328,$F428:$F1327,$F1328,$G428:$G1327,$G1328)&gt;0,"DOUBLON","VALIDE")))</f>
        <v/>
      </c>
    </row>
    <row r="1329" ht="15" customHeight="1">
      <c r="A1329" s="12">
        <f>IF(OR($B1329="",$G1329=""),"",TEXT($B1329,"YYYYMMDD")&amp;"-"&amp;SUBSTITUTE($E1329," ","")&amp;"-"&amp;$F1329&amp;"-"&amp;$G1329)</f>
        <v/>
      </c>
      <c r="B1329" s="15" t="n"/>
      <c r="C1329" s="16" t="n"/>
      <c r="D1329" s="10" t="n"/>
      <c r="E1329" s="9" t="n"/>
      <c r="F1329" s="9" t="n"/>
      <c r="G1329" s="13" t="n"/>
      <c r="H1329" s="21" t="n"/>
      <c r="I1329" s="21" t="n"/>
      <c r="J1329" s="17">
        <f>IF($G1329="","",IFERROR(INDEX(NomsEmployes,MATCH($G1329,MatriculesEmployes,0)),"MATRICULE INCONNU"))</f>
        <v/>
      </c>
      <c r="K1329" s="33">
        <f>IF(OR($D1329="",$F1329=""),"",IFERROR(IF(INDEX(RUNS!$L$6:$S$1005,MATCH($D1329,RUNS!$A$6:$A$1005,0),MATCH("ACTIVITÉ "&amp;$F1329,RUNS!$L$5:$S$5,0))="","",INDEX(RUNS!$L$6:$S$1005,MATCH($D1329,RUNS!$A$6:$A$1005,0),MATCH("ACTIVITÉ "&amp;$F1329,RUNS!$L$5:$S$5,0))),""))</f>
        <v/>
      </c>
      <c r="L1329" s="33">
        <f>IF($D1329="","",IFERROR(IF(INDEX(RUNS!$E$6:$E$1005,MATCH($D1329,RUNS!$A$6:$A$1005,0))="","",INDEX(RUNS!$E$6:$E$1005,MATCH($D1329,RUNS!$A$6:$A$1005,0))),""))</f>
        <v/>
      </c>
      <c r="M1329" s="33">
        <f>IF($D1329="","",IFERROR(IF(INDEX(RUNS!$F$6:$F$1005,MATCH($D1329,RUNS!$A$6:$A$1005,0))="","",INDEX(RUNS!$F$6:$F$1005,MATCH($D1329,RUNS!$A$6:$A$1005,0))),""))</f>
        <v/>
      </c>
      <c r="N1329" s="33">
        <f>IF($D1329="","",IFERROR(IF(INDEX(RUNS!$G$6:$G$1005,MATCH($D1329,RUNS!$A$6:$A$1005,0))="","",INDEX(RUNS!$G$6:$G$1005,MATCH($D1329,RUNS!$A$6:$A$1005,0))),""))</f>
        <v/>
      </c>
      <c r="O1329" s="33">
        <f>IF($D1329="","",IFERROR(IF(INDEX(RUNS!$H$6:$H$1005,MATCH($D1329,RUNS!$A$6:$A$1005,0))="","",INDEX(RUNS!$H$6:$H$1005,MATCH($D1329,RUNS!$A$6:$A$1005,0))),""))</f>
        <v/>
      </c>
      <c r="P1329" s="33">
        <f>IF($D1329="","",IFERROR(IF(INDEX(RUNS!$J$6:$J$1005,MATCH($D1329,RUNS!$A$6:$A$1005,0))="","",INDEX(RUNS!$J$6:$J$1005,MATCH($D1329,RUNS!$A$6:$A$1005,0))),""))</f>
        <v/>
      </c>
      <c r="Q1329" s="33">
        <f>IF($D1329="","",IFERROR(IF(INDEX(RUNS!$K$6:$K$1005,MATCH($D1329,RUNS!$A$6:$A$1005,0))="","",INDEX(RUNS!$K$6:$K$1005,MATCH($D1329,RUNS!$A$6:$A$1005,0))),""))</f>
        <v/>
      </c>
      <c r="R1329" s="34">
        <f>IF(OR($L1329="",$K1329=""),"",IFERROR(IF(INDEX(PARAMETRES!$H$43:$H$342,MATCH($L1329&amp;"|"&amp;$M1329&amp;"|"&amp;$N1329&amp;"|"&amp;$O1329&amp;"|"&amp;$P1329&amp;"|"&amp;$Q1329&amp;"|"&amp;$K1329,PARAMETRES!$J$43:$J$342,0))="","",INDEX(PARAMETRES!$H$43:$H$342,MATCH($L1329&amp;"|"&amp;$M1329&amp;"|"&amp;$N1329&amp;"|"&amp;$O1329&amp;"|"&amp;$P1329&amp;"|"&amp;$Q1329&amp;"|"&amp;$K1329,PARAMETRES!$J$43:$J$342,0))),""))</f>
        <v/>
      </c>
      <c r="S1329" s="35">
        <f>IF(OR($G1329="",$X1329&lt;&gt;"VALIDE"),"",IFERROR(LOOKUP(2,1/(($B429:$B1328=$B1329)*($G429:$G1328=$G1329)*($X429:$X1328="VALIDE")),$C429:$C1328),""))</f>
        <v/>
      </c>
      <c r="T1329" s="36">
        <f>IF(OR($C1329="",$S1329=""),"",ROUND(($C1329-$S1329+IF($C1329&lt;$S1329,1,0))*1440,0))</f>
        <v/>
      </c>
      <c r="U1329" s="22">
        <f>IF(OR($H1329="",$T1329="",$T1329&lt;=0),"",$H1329*60/$T1329)</f>
        <v/>
      </c>
      <c r="V1329" s="37">
        <f>IF(OR($U1329="",$R1329="",$R1329=0),"",$U1329/$R1329)</f>
        <v/>
      </c>
      <c r="W1329" s="20">
        <f>IF($G1329="","",IF($X1329="CONTEXTE INCOMPLET","CONTEXTE INCOMPLET",IF($X1329="DOUBLON",StatutDoublon,IF($S1329="",StatutInitial,IF($R1329="",StatutStandardManquant,IF($V1329="","DONNEES INSUFFISANTES",IF($V1329&gt;=SeuilConforme,StatutConforme,IF($V1329&gt;=SeuilSurveiller,StatutSurveiller,StatutSousStandard))))))))</f>
        <v/>
      </c>
      <c r="X1329" s="33">
        <f>IF($G1329="","",IF(OR($D1329="",$E1329="",$F1329=""),"CONTEXTE INCOMPLET",IF(COUNTIFS($D429:$D1328,$D1329,$E429:$E1328,$E1329,$F429:$F1328,$F1329,$G429:$G1328,$G1329)&gt;0,"DOUBLON","VALIDE")))</f>
        <v/>
      </c>
    </row>
    <row r="1330" ht="15" customHeight="1">
      <c r="A1330" s="12">
        <f>IF(OR($B1330="",$G1330=""),"",TEXT($B1330,"YYYYMMDD")&amp;"-"&amp;SUBSTITUTE($E1330," ","")&amp;"-"&amp;$F1330&amp;"-"&amp;$G1330)</f>
        <v/>
      </c>
      <c r="B1330" s="15" t="n"/>
      <c r="C1330" s="16" t="n"/>
      <c r="D1330" s="10" t="n"/>
      <c r="E1330" s="9" t="n"/>
      <c r="F1330" s="9" t="n"/>
      <c r="G1330" s="13" t="n"/>
      <c r="H1330" s="21" t="n"/>
      <c r="I1330" s="21" t="n"/>
      <c r="J1330" s="17">
        <f>IF($G1330="","",IFERROR(INDEX(NomsEmployes,MATCH($G1330,MatriculesEmployes,0)),"MATRICULE INCONNU"))</f>
        <v/>
      </c>
      <c r="K1330" s="33">
        <f>IF(OR($D1330="",$F1330=""),"",IFERROR(IF(INDEX(RUNS!$L$6:$S$1005,MATCH($D1330,RUNS!$A$6:$A$1005,0),MATCH("ACTIVITÉ "&amp;$F1330,RUNS!$L$5:$S$5,0))="","",INDEX(RUNS!$L$6:$S$1005,MATCH($D1330,RUNS!$A$6:$A$1005,0),MATCH("ACTIVITÉ "&amp;$F1330,RUNS!$L$5:$S$5,0))),""))</f>
        <v/>
      </c>
      <c r="L1330" s="33">
        <f>IF($D1330="","",IFERROR(IF(INDEX(RUNS!$E$6:$E$1005,MATCH($D1330,RUNS!$A$6:$A$1005,0))="","",INDEX(RUNS!$E$6:$E$1005,MATCH($D1330,RUNS!$A$6:$A$1005,0))),""))</f>
        <v/>
      </c>
      <c r="M1330" s="33">
        <f>IF($D1330="","",IFERROR(IF(INDEX(RUNS!$F$6:$F$1005,MATCH($D1330,RUNS!$A$6:$A$1005,0))="","",INDEX(RUNS!$F$6:$F$1005,MATCH($D1330,RUNS!$A$6:$A$1005,0))),""))</f>
        <v/>
      </c>
      <c r="N1330" s="33">
        <f>IF($D1330="","",IFERROR(IF(INDEX(RUNS!$G$6:$G$1005,MATCH($D1330,RUNS!$A$6:$A$1005,0))="","",INDEX(RUNS!$G$6:$G$1005,MATCH($D1330,RUNS!$A$6:$A$1005,0))),""))</f>
        <v/>
      </c>
      <c r="O1330" s="33">
        <f>IF($D1330="","",IFERROR(IF(INDEX(RUNS!$H$6:$H$1005,MATCH($D1330,RUNS!$A$6:$A$1005,0))="","",INDEX(RUNS!$H$6:$H$1005,MATCH($D1330,RUNS!$A$6:$A$1005,0))),""))</f>
        <v/>
      </c>
      <c r="P1330" s="33">
        <f>IF($D1330="","",IFERROR(IF(INDEX(RUNS!$J$6:$J$1005,MATCH($D1330,RUNS!$A$6:$A$1005,0))="","",INDEX(RUNS!$J$6:$J$1005,MATCH($D1330,RUNS!$A$6:$A$1005,0))),""))</f>
        <v/>
      </c>
      <c r="Q1330" s="33">
        <f>IF($D1330="","",IFERROR(IF(INDEX(RUNS!$K$6:$K$1005,MATCH($D1330,RUNS!$A$6:$A$1005,0))="","",INDEX(RUNS!$K$6:$K$1005,MATCH($D1330,RUNS!$A$6:$A$1005,0))),""))</f>
        <v/>
      </c>
      <c r="R1330" s="34">
        <f>IF(OR($L1330="",$K1330=""),"",IFERROR(IF(INDEX(PARAMETRES!$H$43:$H$342,MATCH($L1330&amp;"|"&amp;$M1330&amp;"|"&amp;$N1330&amp;"|"&amp;$O1330&amp;"|"&amp;$P1330&amp;"|"&amp;$Q1330&amp;"|"&amp;$K1330,PARAMETRES!$J$43:$J$342,0))="","",INDEX(PARAMETRES!$H$43:$H$342,MATCH($L1330&amp;"|"&amp;$M1330&amp;"|"&amp;$N1330&amp;"|"&amp;$O1330&amp;"|"&amp;$P1330&amp;"|"&amp;$Q1330&amp;"|"&amp;$K1330,PARAMETRES!$J$43:$J$342,0))),""))</f>
        <v/>
      </c>
      <c r="S1330" s="35">
        <f>IF(OR($G1330="",$X1330&lt;&gt;"VALIDE"),"",IFERROR(LOOKUP(2,1/(($B430:$B1329=$B1330)*($G430:$G1329=$G1330)*($X430:$X1329="VALIDE")),$C430:$C1329),""))</f>
        <v/>
      </c>
      <c r="T1330" s="36">
        <f>IF(OR($C1330="",$S1330=""),"",ROUND(($C1330-$S1330+IF($C1330&lt;$S1330,1,0))*1440,0))</f>
        <v/>
      </c>
      <c r="U1330" s="22">
        <f>IF(OR($H1330="",$T1330="",$T1330&lt;=0),"",$H1330*60/$T1330)</f>
        <v/>
      </c>
      <c r="V1330" s="37">
        <f>IF(OR($U1330="",$R1330="",$R1330=0),"",$U1330/$R1330)</f>
        <v/>
      </c>
      <c r="W1330" s="20">
        <f>IF($G1330="","",IF($X1330="CONTEXTE INCOMPLET","CONTEXTE INCOMPLET",IF($X1330="DOUBLON",StatutDoublon,IF($S1330="",StatutInitial,IF($R1330="",StatutStandardManquant,IF($V1330="","DONNEES INSUFFISANTES",IF($V1330&gt;=SeuilConforme,StatutConforme,IF($V1330&gt;=SeuilSurveiller,StatutSurveiller,StatutSousStandard))))))))</f>
        <v/>
      </c>
      <c r="X1330" s="33">
        <f>IF($G1330="","",IF(OR($D1330="",$E1330="",$F1330=""),"CONTEXTE INCOMPLET",IF(COUNTIFS($D430:$D1329,$D1330,$E430:$E1329,$E1330,$F430:$F1329,$F1330,$G430:$G1329,$G1330)&gt;0,"DOUBLON","VALIDE")))</f>
        <v/>
      </c>
    </row>
    <row r="1331" ht="15" customHeight="1">
      <c r="A1331" s="12">
        <f>IF(OR($B1331="",$G1331=""),"",TEXT($B1331,"YYYYMMDD")&amp;"-"&amp;SUBSTITUTE($E1331," ","")&amp;"-"&amp;$F1331&amp;"-"&amp;$G1331)</f>
        <v/>
      </c>
      <c r="B1331" s="15" t="n"/>
      <c r="C1331" s="16" t="n"/>
      <c r="D1331" s="10" t="n"/>
      <c r="E1331" s="9" t="n"/>
      <c r="F1331" s="9" t="n"/>
      <c r="G1331" s="13" t="n"/>
      <c r="H1331" s="21" t="n"/>
      <c r="I1331" s="21" t="n"/>
      <c r="J1331" s="17">
        <f>IF($G1331="","",IFERROR(INDEX(NomsEmployes,MATCH($G1331,MatriculesEmployes,0)),"MATRICULE INCONNU"))</f>
        <v/>
      </c>
      <c r="K1331" s="33">
        <f>IF(OR($D1331="",$F1331=""),"",IFERROR(IF(INDEX(RUNS!$L$6:$S$1005,MATCH($D1331,RUNS!$A$6:$A$1005,0),MATCH("ACTIVITÉ "&amp;$F1331,RUNS!$L$5:$S$5,0))="","",INDEX(RUNS!$L$6:$S$1005,MATCH($D1331,RUNS!$A$6:$A$1005,0),MATCH("ACTIVITÉ "&amp;$F1331,RUNS!$L$5:$S$5,0))),""))</f>
        <v/>
      </c>
      <c r="L1331" s="33">
        <f>IF($D1331="","",IFERROR(IF(INDEX(RUNS!$E$6:$E$1005,MATCH($D1331,RUNS!$A$6:$A$1005,0))="","",INDEX(RUNS!$E$6:$E$1005,MATCH($D1331,RUNS!$A$6:$A$1005,0))),""))</f>
        <v/>
      </c>
      <c r="M1331" s="33">
        <f>IF($D1331="","",IFERROR(IF(INDEX(RUNS!$F$6:$F$1005,MATCH($D1331,RUNS!$A$6:$A$1005,0))="","",INDEX(RUNS!$F$6:$F$1005,MATCH($D1331,RUNS!$A$6:$A$1005,0))),""))</f>
        <v/>
      </c>
      <c r="N1331" s="33">
        <f>IF($D1331="","",IFERROR(IF(INDEX(RUNS!$G$6:$G$1005,MATCH($D1331,RUNS!$A$6:$A$1005,0))="","",INDEX(RUNS!$G$6:$G$1005,MATCH($D1331,RUNS!$A$6:$A$1005,0))),""))</f>
        <v/>
      </c>
      <c r="O1331" s="33">
        <f>IF($D1331="","",IFERROR(IF(INDEX(RUNS!$H$6:$H$1005,MATCH($D1331,RUNS!$A$6:$A$1005,0))="","",INDEX(RUNS!$H$6:$H$1005,MATCH($D1331,RUNS!$A$6:$A$1005,0))),""))</f>
        <v/>
      </c>
      <c r="P1331" s="33">
        <f>IF($D1331="","",IFERROR(IF(INDEX(RUNS!$J$6:$J$1005,MATCH($D1331,RUNS!$A$6:$A$1005,0))="","",INDEX(RUNS!$J$6:$J$1005,MATCH($D1331,RUNS!$A$6:$A$1005,0))),""))</f>
        <v/>
      </c>
      <c r="Q1331" s="33">
        <f>IF($D1331="","",IFERROR(IF(INDEX(RUNS!$K$6:$K$1005,MATCH($D1331,RUNS!$A$6:$A$1005,0))="","",INDEX(RUNS!$K$6:$K$1005,MATCH($D1331,RUNS!$A$6:$A$1005,0))),""))</f>
        <v/>
      </c>
      <c r="R1331" s="34">
        <f>IF(OR($L1331="",$K1331=""),"",IFERROR(IF(INDEX(PARAMETRES!$H$43:$H$342,MATCH($L1331&amp;"|"&amp;$M1331&amp;"|"&amp;$N1331&amp;"|"&amp;$O1331&amp;"|"&amp;$P1331&amp;"|"&amp;$Q1331&amp;"|"&amp;$K1331,PARAMETRES!$J$43:$J$342,0))="","",INDEX(PARAMETRES!$H$43:$H$342,MATCH($L1331&amp;"|"&amp;$M1331&amp;"|"&amp;$N1331&amp;"|"&amp;$O1331&amp;"|"&amp;$P1331&amp;"|"&amp;$Q1331&amp;"|"&amp;$K1331,PARAMETRES!$J$43:$J$342,0))),""))</f>
        <v/>
      </c>
      <c r="S1331" s="35">
        <f>IF(OR($G1331="",$X1331&lt;&gt;"VALIDE"),"",IFERROR(LOOKUP(2,1/(($B431:$B1330=$B1331)*($G431:$G1330=$G1331)*($X431:$X1330="VALIDE")),$C431:$C1330),""))</f>
        <v/>
      </c>
      <c r="T1331" s="36">
        <f>IF(OR($C1331="",$S1331=""),"",ROUND(($C1331-$S1331+IF($C1331&lt;$S1331,1,0))*1440,0))</f>
        <v/>
      </c>
      <c r="U1331" s="22">
        <f>IF(OR($H1331="",$T1331="",$T1331&lt;=0),"",$H1331*60/$T1331)</f>
        <v/>
      </c>
      <c r="V1331" s="37">
        <f>IF(OR($U1331="",$R1331="",$R1331=0),"",$U1331/$R1331)</f>
        <v/>
      </c>
      <c r="W1331" s="20">
        <f>IF($G1331="","",IF($X1331="CONTEXTE INCOMPLET","CONTEXTE INCOMPLET",IF($X1331="DOUBLON",StatutDoublon,IF($S1331="",StatutInitial,IF($R1331="",StatutStandardManquant,IF($V1331="","DONNEES INSUFFISANTES",IF($V1331&gt;=SeuilConforme,StatutConforme,IF($V1331&gt;=SeuilSurveiller,StatutSurveiller,StatutSousStandard))))))))</f>
        <v/>
      </c>
      <c r="X1331" s="33">
        <f>IF($G1331="","",IF(OR($D1331="",$E1331="",$F1331=""),"CONTEXTE INCOMPLET",IF(COUNTIFS($D431:$D1330,$D1331,$E431:$E1330,$E1331,$F431:$F1330,$F1331,$G431:$G1330,$G1331)&gt;0,"DOUBLON","VALIDE")))</f>
        <v/>
      </c>
    </row>
    <row r="1332" ht="15" customHeight="1">
      <c r="A1332" s="12">
        <f>IF(OR($B1332="",$G1332=""),"",TEXT($B1332,"YYYYMMDD")&amp;"-"&amp;SUBSTITUTE($E1332," ","")&amp;"-"&amp;$F1332&amp;"-"&amp;$G1332)</f>
        <v/>
      </c>
      <c r="B1332" s="15" t="n"/>
      <c r="C1332" s="16" t="n"/>
      <c r="D1332" s="10" t="n"/>
      <c r="E1332" s="9" t="n"/>
      <c r="F1332" s="9" t="n"/>
      <c r="G1332" s="13" t="n"/>
      <c r="H1332" s="21" t="n"/>
      <c r="I1332" s="21" t="n"/>
      <c r="J1332" s="17">
        <f>IF($G1332="","",IFERROR(INDEX(NomsEmployes,MATCH($G1332,MatriculesEmployes,0)),"MATRICULE INCONNU"))</f>
        <v/>
      </c>
      <c r="K1332" s="33">
        <f>IF(OR($D1332="",$F1332=""),"",IFERROR(IF(INDEX(RUNS!$L$6:$S$1005,MATCH($D1332,RUNS!$A$6:$A$1005,0),MATCH("ACTIVITÉ "&amp;$F1332,RUNS!$L$5:$S$5,0))="","",INDEX(RUNS!$L$6:$S$1005,MATCH($D1332,RUNS!$A$6:$A$1005,0),MATCH("ACTIVITÉ "&amp;$F1332,RUNS!$L$5:$S$5,0))),""))</f>
        <v/>
      </c>
      <c r="L1332" s="33">
        <f>IF($D1332="","",IFERROR(IF(INDEX(RUNS!$E$6:$E$1005,MATCH($D1332,RUNS!$A$6:$A$1005,0))="","",INDEX(RUNS!$E$6:$E$1005,MATCH($D1332,RUNS!$A$6:$A$1005,0))),""))</f>
        <v/>
      </c>
      <c r="M1332" s="33">
        <f>IF($D1332="","",IFERROR(IF(INDEX(RUNS!$F$6:$F$1005,MATCH($D1332,RUNS!$A$6:$A$1005,0))="","",INDEX(RUNS!$F$6:$F$1005,MATCH($D1332,RUNS!$A$6:$A$1005,0))),""))</f>
        <v/>
      </c>
      <c r="N1332" s="33">
        <f>IF($D1332="","",IFERROR(IF(INDEX(RUNS!$G$6:$G$1005,MATCH($D1332,RUNS!$A$6:$A$1005,0))="","",INDEX(RUNS!$G$6:$G$1005,MATCH($D1332,RUNS!$A$6:$A$1005,0))),""))</f>
        <v/>
      </c>
      <c r="O1332" s="33">
        <f>IF($D1332="","",IFERROR(IF(INDEX(RUNS!$H$6:$H$1005,MATCH($D1332,RUNS!$A$6:$A$1005,0))="","",INDEX(RUNS!$H$6:$H$1005,MATCH($D1332,RUNS!$A$6:$A$1005,0))),""))</f>
        <v/>
      </c>
      <c r="P1332" s="33">
        <f>IF($D1332="","",IFERROR(IF(INDEX(RUNS!$J$6:$J$1005,MATCH($D1332,RUNS!$A$6:$A$1005,0))="","",INDEX(RUNS!$J$6:$J$1005,MATCH($D1332,RUNS!$A$6:$A$1005,0))),""))</f>
        <v/>
      </c>
      <c r="Q1332" s="33">
        <f>IF($D1332="","",IFERROR(IF(INDEX(RUNS!$K$6:$K$1005,MATCH($D1332,RUNS!$A$6:$A$1005,0))="","",INDEX(RUNS!$K$6:$K$1005,MATCH($D1332,RUNS!$A$6:$A$1005,0))),""))</f>
        <v/>
      </c>
      <c r="R1332" s="34">
        <f>IF(OR($L1332="",$K1332=""),"",IFERROR(IF(INDEX(PARAMETRES!$H$43:$H$342,MATCH($L1332&amp;"|"&amp;$M1332&amp;"|"&amp;$N1332&amp;"|"&amp;$O1332&amp;"|"&amp;$P1332&amp;"|"&amp;$Q1332&amp;"|"&amp;$K1332,PARAMETRES!$J$43:$J$342,0))="","",INDEX(PARAMETRES!$H$43:$H$342,MATCH($L1332&amp;"|"&amp;$M1332&amp;"|"&amp;$N1332&amp;"|"&amp;$O1332&amp;"|"&amp;$P1332&amp;"|"&amp;$Q1332&amp;"|"&amp;$K1332,PARAMETRES!$J$43:$J$342,0))),""))</f>
        <v/>
      </c>
      <c r="S1332" s="35">
        <f>IF(OR($G1332="",$X1332&lt;&gt;"VALIDE"),"",IFERROR(LOOKUP(2,1/(($B432:$B1331=$B1332)*($G432:$G1331=$G1332)*($X432:$X1331="VALIDE")),$C432:$C1331),""))</f>
        <v/>
      </c>
      <c r="T1332" s="36">
        <f>IF(OR($C1332="",$S1332=""),"",ROUND(($C1332-$S1332+IF($C1332&lt;$S1332,1,0))*1440,0))</f>
        <v/>
      </c>
      <c r="U1332" s="22">
        <f>IF(OR($H1332="",$T1332="",$T1332&lt;=0),"",$H1332*60/$T1332)</f>
        <v/>
      </c>
      <c r="V1332" s="37">
        <f>IF(OR($U1332="",$R1332="",$R1332=0),"",$U1332/$R1332)</f>
        <v/>
      </c>
      <c r="W1332" s="20">
        <f>IF($G1332="","",IF($X1332="CONTEXTE INCOMPLET","CONTEXTE INCOMPLET",IF($X1332="DOUBLON",StatutDoublon,IF($S1332="",StatutInitial,IF($R1332="",StatutStandardManquant,IF($V1332="","DONNEES INSUFFISANTES",IF($V1332&gt;=SeuilConforme,StatutConforme,IF($V1332&gt;=SeuilSurveiller,StatutSurveiller,StatutSousStandard))))))))</f>
        <v/>
      </c>
      <c r="X1332" s="33">
        <f>IF($G1332="","",IF(OR($D1332="",$E1332="",$F1332=""),"CONTEXTE INCOMPLET",IF(COUNTIFS($D432:$D1331,$D1332,$E432:$E1331,$E1332,$F432:$F1331,$F1332,$G432:$G1331,$G1332)&gt;0,"DOUBLON","VALIDE")))</f>
        <v/>
      </c>
    </row>
    <row r="1333" ht="15" customHeight="1">
      <c r="A1333" s="12">
        <f>IF(OR($B1333="",$G1333=""),"",TEXT($B1333,"YYYYMMDD")&amp;"-"&amp;SUBSTITUTE($E1333," ","")&amp;"-"&amp;$F1333&amp;"-"&amp;$G1333)</f>
        <v/>
      </c>
      <c r="B1333" s="15" t="n"/>
      <c r="C1333" s="16" t="n"/>
      <c r="D1333" s="10" t="n"/>
      <c r="E1333" s="9" t="n"/>
      <c r="F1333" s="9" t="n"/>
      <c r="G1333" s="13" t="n"/>
      <c r="H1333" s="21" t="n"/>
      <c r="I1333" s="21" t="n"/>
      <c r="J1333" s="17">
        <f>IF($G1333="","",IFERROR(INDEX(NomsEmployes,MATCH($G1333,MatriculesEmployes,0)),"MATRICULE INCONNU"))</f>
        <v/>
      </c>
      <c r="K1333" s="33">
        <f>IF(OR($D1333="",$F1333=""),"",IFERROR(IF(INDEX(RUNS!$L$6:$S$1005,MATCH($D1333,RUNS!$A$6:$A$1005,0),MATCH("ACTIVITÉ "&amp;$F1333,RUNS!$L$5:$S$5,0))="","",INDEX(RUNS!$L$6:$S$1005,MATCH($D1333,RUNS!$A$6:$A$1005,0),MATCH("ACTIVITÉ "&amp;$F1333,RUNS!$L$5:$S$5,0))),""))</f>
        <v/>
      </c>
      <c r="L1333" s="33">
        <f>IF($D1333="","",IFERROR(IF(INDEX(RUNS!$E$6:$E$1005,MATCH($D1333,RUNS!$A$6:$A$1005,0))="","",INDEX(RUNS!$E$6:$E$1005,MATCH($D1333,RUNS!$A$6:$A$1005,0))),""))</f>
        <v/>
      </c>
      <c r="M1333" s="33">
        <f>IF($D1333="","",IFERROR(IF(INDEX(RUNS!$F$6:$F$1005,MATCH($D1333,RUNS!$A$6:$A$1005,0))="","",INDEX(RUNS!$F$6:$F$1005,MATCH($D1333,RUNS!$A$6:$A$1005,0))),""))</f>
        <v/>
      </c>
      <c r="N1333" s="33">
        <f>IF($D1333="","",IFERROR(IF(INDEX(RUNS!$G$6:$G$1005,MATCH($D1333,RUNS!$A$6:$A$1005,0))="","",INDEX(RUNS!$G$6:$G$1005,MATCH($D1333,RUNS!$A$6:$A$1005,0))),""))</f>
        <v/>
      </c>
      <c r="O1333" s="33">
        <f>IF($D1333="","",IFERROR(IF(INDEX(RUNS!$H$6:$H$1005,MATCH($D1333,RUNS!$A$6:$A$1005,0))="","",INDEX(RUNS!$H$6:$H$1005,MATCH($D1333,RUNS!$A$6:$A$1005,0))),""))</f>
        <v/>
      </c>
      <c r="P1333" s="33">
        <f>IF($D1333="","",IFERROR(IF(INDEX(RUNS!$J$6:$J$1005,MATCH($D1333,RUNS!$A$6:$A$1005,0))="","",INDEX(RUNS!$J$6:$J$1005,MATCH($D1333,RUNS!$A$6:$A$1005,0))),""))</f>
        <v/>
      </c>
      <c r="Q1333" s="33">
        <f>IF($D1333="","",IFERROR(IF(INDEX(RUNS!$K$6:$K$1005,MATCH($D1333,RUNS!$A$6:$A$1005,0))="","",INDEX(RUNS!$K$6:$K$1005,MATCH($D1333,RUNS!$A$6:$A$1005,0))),""))</f>
        <v/>
      </c>
      <c r="R1333" s="34">
        <f>IF(OR($L1333="",$K1333=""),"",IFERROR(IF(INDEX(PARAMETRES!$H$43:$H$342,MATCH($L1333&amp;"|"&amp;$M1333&amp;"|"&amp;$N1333&amp;"|"&amp;$O1333&amp;"|"&amp;$P1333&amp;"|"&amp;$Q1333&amp;"|"&amp;$K1333,PARAMETRES!$J$43:$J$342,0))="","",INDEX(PARAMETRES!$H$43:$H$342,MATCH($L1333&amp;"|"&amp;$M1333&amp;"|"&amp;$N1333&amp;"|"&amp;$O1333&amp;"|"&amp;$P1333&amp;"|"&amp;$Q1333&amp;"|"&amp;$K1333,PARAMETRES!$J$43:$J$342,0))),""))</f>
        <v/>
      </c>
      <c r="S1333" s="35">
        <f>IF(OR($G1333="",$X1333&lt;&gt;"VALIDE"),"",IFERROR(LOOKUP(2,1/(($B433:$B1332=$B1333)*($G433:$G1332=$G1333)*($X433:$X1332="VALIDE")),$C433:$C1332),""))</f>
        <v/>
      </c>
      <c r="T1333" s="36">
        <f>IF(OR($C1333="",$S1333=""),"",ROUND(($C1333-$S1333+IF($C1333&lt;$S1333,1,0))*1440,0))</f>
        <v/>
      </c>
      <c r="U1333" s="22">
        <f>IF(OR($H1333="",$T1333="",$T1333&lt;=0),"",$H1333*60/$T1333)</f>
        <v/>
      </c>
      <c r="V1333" s="37">
        <f>IF(OR($U1333="",$R1333="",$R1333=0),"",$U1333/$R1333)</f>
        <v/>
      </c>
      <c r="W1333" s="20">
        <f>IF($G1333="","",IF($X1333="CONTEXTE INCOMPLET","CONTEXTE INCOMPLET",IF($X1333="DOUBLON",StatutDoublon,IF($S1333="",StatutInitial,IF($R1333="",StatutStandardManquant,IF($V1333="","DONNEES INSUFFISANTES",IF($V1333&gt;=SeuilConforme,StatutConforme,IF($V1333&gt;=SeuilSurveiller,StatutSurveiller,StatutSousStandard))))))))</f>
        <v/>
      </c>
      <c r="X1333" s="33">
        <f>IF($G1333="","",IF(OR($D1333="",$E1333="",$F1333=""),"CONTEXTE INCOMPLET",IF(COUNTIFS($D433:$D1332,$D1333,$E433:$E1332,$E1333,$F433:$F1332,$F1333,$G433:$G1332,$G1333)&gt;0,"DOUBLON","VALIDE")))</f>
        <v/>
      </c>
    </row>
    <row r="1334" ht="15" customHeight="1">
      <c r="A1334" s="12">
        <f>IF(OR($B1334="",$G1334=""),"",TEXT($B1334,"YYYYMMDD")&amp;"-"&amp;SUBSTITUTE($E1334," ","")&amp;"-"&amp;$F1334&amp;"-"&amp;$G1334)</f>
        <v/>
      </c>
      <c r="B1334" s="15" t="n"/>
      <c r="C1334" s="16" t="n"/>
      <c r="D1334" s="10" t="n"/>
      <c r="E1334" s="9" t="n"/>
      <c r="F1334" s="9" t="n"/>
      <c r="G1334" s="13" t="n"/>
      <c r="H1334" s="21" t="n"/>
      <c r="I1334" s="21" t="n"/>
      <c r="J1334" s="17">
        <f>IF($G1334="","",IFERROR(INDEX(NomsEmployes,MATCH($G1334,MatriculesEmployes,0)),"MATRICULE INCONNU"))</f>
        <v/>
      </c>
      <c r="K1334" s="33">
        <f>IF(OR($D1334="",$F1334=""),"",IFERROR(IF(INDEX(RUNS!$L$6:$S$1005,MATCH($D1334,RUNS!$A$6:$A$1005,0),MATCH("ACTIVITÉ "&amp;$F1334,RUNS!$L$5:$S$5,0))="","",INDEX(RUNS!$L$6:$S$1005,MATCH($D1334,RUNS!$A$6:$A$1005,0),MATCH("ACTIVITÉ "&amp;$F1334,RUNS!$L$5:$S$5,0))),""))</f>
        <v/>
      </c>
      <c r="L1334" s="33">
        <f>IF($D1334="","",IFERROR(IF(INDEX(RUNS!$E$6:$E$1005,MATCH($D1334,RUNS!$A$6:$A$1005,0))="","",INDEX(RUNS!$E$6:$E$1005,MATCH($D1334,RUNS!$A$6:$A$1005,0))),""))</f>
        <v/>
      </c>
      <c r="M1334" s="33">
        <f>IF($D1334="","",IFERROR(IF(INDEX(RUNS!$F$6:$F$1005,MATCH($D1334,RUNS!$A$6:$A$1005,0))="","",INDEX(RUNS!$F$6:$F$1005,MATCH($D1334,RUNS!$A$6:$A$1005,0))),""))</f>
        <v/>
      </c>
      <c r="N1334" s="33">
        <f>IF($D1334="","",IFERROR(IF(INDEX(RUNS!$G$6:$G$1005,MATCH($D1334,RUNS!$A$6:$A$1005,0))="","",INDEX(RUNS!$G$6:$G$1005,MATCH($D1334,RUNS!$A$6:$A$1005,0))),""))</f>
        <v/>
      </c>
      <c r="O1334" s="33">
        <f>IF($D1334="","",IFERROR(IF(INDEX(RUNS!$H$6:$H$1005,MATCH($D1334,RUNS!$A$6:$A$1005,0))="","",INDEX(RUNS!$H$6:$H$1005,MATCH($D1334,RUNS!$A$6:$A$1005,0))),""))</f>
        <v/>
      </c>
      <c r="P1334" s="33">
        <f>IF($D1334="","",IFERROR(IF(INDEX(RUNS!$J$6:$J$1005,MATCH($D1334,RUNS!$A$6:$A$1005,0))="","",INDEX(RUNS!$J$6:$J$1005,MATCH($D1334,RUNS!$A$6:$A$1005,0))),""))</f>
        <v/>
      </c>
      <c r="Q1334" s="33">
        <f>IF($D1334="","",IFERROR(IF(INDEX(RUNS!$K$6:$K$1005,MATCH($D1334,RUNS!$A$6:$A$1005,0))="","",INDEX(RUNS!$K$6:$K$1005,MATCH($D1334,RUNS!$A$6:$A$1005,0))),""))</f>
        <v/>
      </c>
      <c r="R1334" s="34">
        <f>IF(OR($L1334="",$K1334=""),"",IFERROR(IF(INDEX(PARAMETRES!$H$43:$H$342,MATCH($L1334&amp;"|"&amp;$M1334&amp;"|"&amp;$N1334&amp;"|"&amp;$O1334&amp;"|"&amp;$P1334&amp;"|"&amp;$Q1334&amp;"|"&amp;$K1334,PARAMETRES!$J$43:$J$342,0))="","",INDEX(PARAMETRES!$H$43:$H$342,MATCH($L1334&amp;"|"&amp;$M1334&amp;"|"&amp;$N1334&amp;"|"&amp;$O1334&amp;"|"&amp;$P1334&amp;"|"&amp;$Q1334&amp;"|"&amp;$K1334,PARAMETRES!$J$43:$J$342,0))),""))</f>
        <v/>
      </c>
      <c r="S1334" s="35">
        <f>IF(OR($G1334="",$X1334&lt;&gt;"VALIDE"),"",IFERROR(LOOKUP(2,1/(($B434:$B1333=$B1334)*($G434:$G1333=$G1334)*($X434:$X1333="VALIDE")),$C434:$C1333),""))</f>
        <v/>
      </c>
      <c r="T1334" s="36">
        <f>IF(OR($C1334="",$S1334=""),"",ROUND(($C1334-$S1334+IF($C1334&lt;$S1334,1,0))*1440,0))</f>
        <v/>
      </c>
      <c r="U1334" s="22">
        <f>IF(OR($H1334="",$T1334="",$T1334&lt;=0),"",$H1334*60/$T1334)</f>
        <v/>
      </c>
      <c r="V1334" s="37">
        <f>IF(OR($U1334="",$R1334="",$R1334=0),"",$U1334/$R1334)</f>
        <v/>
      </c>
      <c r="W1334" s="20">
        <f>IF($G1334="","",IF($X1334="CONTEXTE INCOMPLET","CONTEXTE INCOMPLET",IF($X1334="DOUBLON",StatutDoublon,IF($S1334="",StatutInitial,IF($R1334="",StatutStandardManquant,IF($V1334="","DONNEES INSUFFISANTES",IF($V1334&gt;=SeuilConforme,StatutConforme,IF($V1334&gt;=SeuilSurveiller,StatutSurveiller,StatutSousStandard))))))))</f>
        <v/>
      </c>
      <c r="X1334" s="33">
        <f>IF($G1334="","",IF(OR($D1334="",$E1334="",$F1334=""),"CONTEXTE INCOMPLET",IF(COUNTIFS($D434:$D1333,$D1334,$E434:$E1333,$E1334,$F434:$F1333,$F1334,$G434:$G1333,$G1334)&gt;0,"DOUBLON","VALIDE")))</f>
        <v/>
      </c>
    </row>
    <row r="1335" ht="15" customHeight="1">
      <c r="A1335" s="12">
        <f>IF(OR($B1335="",$G1335=""),"",TEXT($B1335,"YYYYMMDD")&amp;"-"&amp;SUBSTITUTE($E1335," ","")&amp;"-"&amp;$F1335&amp;"-"&amp;$G1335)</f>
        <v/>
      </c>
      <c r="B1335" s="15" t="n"/>
      <c r="C1335" s="16" t="n"/>
      <c r="D1335" s="10" t="n"/>
      <c r="E1335" s="9" t="n"/>
      <c r="F1335" s="9" t="n"/>
      <c r="G1335" s="13" t="n"/>
      <c r="H1335" s="21" t="n"/>
      <c r="I1335" s="21" t="n"/>
      <c r="J1335" s="17">
        <f>IF($G1335="","",IFERROR(INDEX(NomsEmployes,MATCH($G1335,MatriculesEmployes,0)),"MATRICULE INCONNU"))</f>
        <v/>
      </c>
      <c r="K1335" s="33">
        <f>IF(OR($D1335="",$F1335=""),"",IFERROR(IF(INDEX(RUNS!$L$6:$S$1005,MATCH($D1335,RUNS!$A$6:$A$1005,0),MATCH("ACTIVITÉ "&amp;$F1335,RUNS!$L$5:$S$5,0))="","",INDEX(RUNS!$L$6:$S$1005,MATCH($D1335,RUNS!$A$6:$A$1005,0),MATCH("ACTIVITÉ "&amp;$F1335,RUNS!$L$5:$S$5,0))),""))</f>
        <v/>
      </c>
      <c r="L1335" s="33">
        <f>IF($D1335="","",IFERROR(IF(INDEX(RUNS!$E$6:$E$1005,MATCH($D1335,RUNS!$A$6:$A$1005,0))="","",INDEX(RUNS!$E$6:$E$1005,MATCH($D1335,RUNS!$A$6:$A$1005,0))),""))</f>
        <v/>
      </c>
      <c r="M1335" s="33">
        <f>IF($D1335="","",IFERROR(IF(INDEX(RUNS!$F$6:$F$1005,MATCH($D1335,RUNS!$A$6:$A$1005,0))="","",INDEX(RUNS!$F$6:$F$1005,MATCH($D1335,RUNS!$A$6:$A$1005,0))),""))</f>
        <v/>
      </c>
      <c r="N1335" s="33">
        <f>IF($D1335="","",IFERROR(IF(INDEX(RUNS!$G$6:$G$1005,MATCH($D1335,RUNS!$A$6:$A$1005,0))="","",INDEX(RUNS!$G$6:$G$1005,MATCH($D1335,RUNS!$A$6:$A$1005,0))),""))</f>
        <v/>
      </c>
      <c r="O1335" s="33">
        <f>IF($D1335="","",IFERROR(IF(INDEX(RUNS!$H$6:$H$1005,MATCH($D1335,RUNS!$A$6:$A$1005,0))="","",INDEX(RUNS!$H$6:$H$1005,MATCH($D1335,RUNS!$A$6:$A$1005,0))),""))</f>
        <v/>
      </c>
      <c r="P1335" s="33">
        <f>IF($D1335="","",IFERROR(IF(INDEX(RUNS!$J$6:$J$1005,MATCH($D1335,RUNS!$A$6:$A$1005,0))="","",INDEX(RUNS!$J$6:$J$1005,MATCH($D1335,RUNS!$A$6:$A$1005,0))),""))</f>
        <v/>
      </c>
      <c r="Q1335" s="33">
        <f>IF($D1335="","",IFERROR(IF(INDEX(RUNS!$K$6:$K$1005,MATCH($D1335,RUNS!$A$6:$A$1005,0))="","",INDEX(RUNS!$K$6:$K$1005,MATCH($D1335,RUNS!$A$6:$A$1005,0))),""))</f>
        <v/>
      </c>
      <c r="R1335" s="34">
        <f>IF(OR($L1335="",$K1335=""),"",IFERROR(IF(INDEX(PARAMETRES!$H$43:$H$342,MATCH($L1335&amp;"|"&amp;$M1335&amp;"|"&amp;$N1335&amp;"|"&amp;$O1335&amp;"|"&amp;$P1335&amp;"|"&amp;$Q1335&amp;"|"&amp;$K1335,PARAMETRES!$J$43:$J$342,0))="","",INDEX(PARAMETRES!$H$43:$H$342,MATCH($L1335&amp;"|"&amp;$M1335&amp;"|"&amp;$N1335&amp;"|"&amp;$O1335&amp;"|"&amp;$P1335&amp;"|"&amp;$Q1335&amp;"|"&amp;$K1335,PARAMETRES!$J$43:$J$342,0))),""))</f>
        <v/>
      </c>
      <c r="S1335" s="35">
        <f>IF(OR($G1335="",$X1335&lt;&gt;"VALIDE"),"",IFERROR(LOOKUP(2,1/(($B435:$B1334=$B1335)*($G435:$G1334=$G1335)*($X435:$X1334="VALIDE")),$C435:$C1334),""))</f>
        <v/>
      </c>
      <c r="T1335" s="36">
        <f>IF(OR($C1335="",$S1335=""),"",ROUND(($C1335-$S1335+IF($C1335&lt;$S1335,1,0))*1440,0))</f>
        <v/>
      </c>
      <c r="U1335" s="22">
        <f>IF(OR($H1335="",$T1335="",$T1335&lt;=0),"",$H1335*60/$T1335)</f>
        <v/>
      </c>
      <c r="V1335" s="37">
        <f>IF(OR($U1335="",$R1335="",$R1335=0),"",$U1335/$R1335)</f>
        <v/>
      </c>
      <c r="W1335" s="20">
        <f>IF($G1335="","",IF($X1335="CONTEXTE INCOMPLET","CONTEXTE INCOMPLET",IF($X1335="DOUBLON",StatutDoublon,IF($S1335="",StatutInitial,IF($R1335="",StatutStandardManquant,IF($V1335="","DONNEES INSUFFISANTES",IF($V1335&gt;=SeuilConforme,StatutConforme,IF($V1335&gt;=SeuilSurveiller,StatutSurveiller,StatutSousStandard))))))))</f>
        <v/>
      </c>
      <c r="X1335" s="33">
        <f>IF($G1335="","",IF(OR($D1335="",$E1335="",$F1335=""),"CONTEXTE INCOMPLET",IF(COUNTIFS($D435:$D1334,$D1335,$E435:$E1334,$E1335,$F435:$F1334,$F1335,$G435:$G1334,$G1335)&gt;0,"DOUBLON","VALIDE")))</f>
        <v/>
      </c>
    </row>
    <row r="1336" ht="15" customHeight="1">
      <c r="A1336" s="12">
        <f>IF(OR($B1336="",$G1336=""),"",TEXT($B1336,"YYYYMMDD")&amp;"-"&amp;SUBSTITUTE($E1336," ","")&amp;"-"&amp;$F1336&amp;"-"&amp;$G1336)</f>
        <v/>
      </c>
      <c r="B1336" s="15" t="n"/>
      <c r="C1336" s="16" t="n"/>
      <c r="D1336" s="10" t="n"/>
      <c r="E1336" s="9" t="n"/>
      <c r="F1336" s="9" t="n"/>
      <c r="G1336" s="13" t="n"/>
      <c r="H1336" s="21" t="n"/>
      <c r="I1336" s="21" t="n"/>
      <c r="J1336" s="17">
        <f>IF($G1336="","",IFERROR(INDEX(NomsEmployes,MATCH($G1336,MatriculesEmployes,0)),"MATRICULE INCONNU"))</f>
        <v/>
      </c>
      <c r="K1336" s="33">
        <f>IF(OR($D1336="",$F1336=""),"",IFERROR(IF(INDEX(RUNS!$L$6:$S$1005,MATCH($D1336,RUNS!$A$6:$A$1005,0),MATCH("ACTIVITÉ "&amp;$F1336,RUNS!$L$5:$S$5,0))="","",INDEX(RUNS!$L$6:$S$1005,MATCH($D1336,RUNS!$A$6:$A$1005,0),MATCH("ACTIVITÉ "&amp;$F1336,RUNS!$L$5:$S$5,0))),""))</f>
        <v/>
      </c>
      <c r="L1336" s="33">
        <f>IF($D1336="","",IFERROR(IF(INDEX(RUNS!$E$6:$E$1005,MATCH($D1336,RUNS!$A$6:$A$1005,0))="","",INDEX(RUNS!$E$6:$E$1005,MATCH($D1336,RUNS!$A$6:$A$1005,0))),""))</f>
        <v/>
      </c>
      <c r="M1336" s="33">
        <f>IF($D1336="","",IFERROR(IF(INDEX(RUNS!$F$6:$F$1005,MATCH($D1336,RUNS!$A$6:$A$1005,0))="","",INDEX(RUNS!$F$6:$F$1005,MATCH($D1336,RUNS!$A$6:$A$1005,0))),""))</f>
        <v/>
      </c>
      <c r="N1336" s="33">
        <f>IF($D1336="","",IFERROR(IF(INDEX(RUNS!$G$6:$G$1005,MATCH($D1336,RUNS!$A$6:$A$1005,0))="","",INDEX(RUNS!$G$6:$G$1005,MATCH($D1336,RUNS!$A$6:$A$1005,0))),""))</f>
        <v/>
      </c>
      <c r="O1336" s="33">
        <f>IF($D1336="","",IFERROR(IF(INDEX(RUNS!$H$6:$H$1005,MATCH($D1336,RUNS!$A$6:$A$1005,0))="","",INDEX(RUNS!$H$6:$H$1005,MATCH($D1336,RUNS!$A$6:$A$1005,0))),""))</f>
        <v/>
      </c>
      <c r="P1336" s="33">
        <f>IF($D1336="","",IFERROR(IF(INDEX(RUNS!$J$6:$J$1005,MATCH($D1336,RUNS!$A$6:$A$1005,0))="","",INDEX(RUNS!$J$6:$J$1005,MATCH($D1336,RUNS!$A$6:$A$1005,0))),""))</f>
        <v/>
      </c>
      <c r="Q1336" s="33">
        <f>IF($D1336="","",IFERROR(IF(INDEX(RUNS!$K$6:$K$1005,MATCH($D1336,RUNS!$A$6:$A$1005,0))="","",INDEX(RUNS!$K$6:$K$1005,MATCH($D1336,RUNS!$A$6:$A$1005,0))),""))</f>
        <v/>
      </c>
      <c r="R1336" s="34">
        <f>IF(OR($L1336="",$K1336=""),"",IFERROR(IF(INDEX(PARAMETRES!$H$43:$H$342,MATCH($L1336&amp;"|"&amp;$M1336&amp;"|"&amp;$N1336&amp;"|"&amp;$O1336&amp;"|"&amp;$P1336&amp;"|"&amp;$Q1336&amp;"|"&amp;$K1336,PARAMETRES!$J$43:$J$342,0))="","",INDEX(PARAMETRES!$H$43:$H$342,MATCH($L1336&amp;"|"&amp;$M1336&amp;"|"&amp;$N1336&amp;"|"&amp;$O1336&amp;"|"&amp;$P1336&amp;"|"&amp;$Q1336&amp;"|"&amp;$K1336,PARAMETRES!$J$43:$J$342,0))),""))</f>
        <v/>
      </c>
      <c r="S1336" s="35">
        <f>IF(OR($G1336="",$X1336&lt;&gt;"VALIDE"),"",IFERROR(LOOKUP(2,1/(($B436:$B1335=$B1336)*($G436:$G1335=$G1336)*($X436:$X1335="VALIDE")),$C436:$C1335),""))</f>
        <v/>
      </c>
      <c r="T1336" s="36">
        <f>IF(OR($C1336="",$S1336=""),"",ROUND(($C1336-$S1336+IF($C1336&lt;$S1336,1,0))*1440,0))</f>
        <v/>
      </c>
      <c r="U1336" s="22">
        <f>IF(OR($H1336="",$T1336="",$T1336&lt;=0),"",$H1336*60/$T1336)</f>
        <v/>
      </c>
      <c r="V1336" s="37">
        <f>IF(OR($U1336="",$R1336="",$R1336=0),"",$U1336/$R1336)</f>
        <v/>
      </c>
      <c r="W1336" s="20">
        <f>IF($G1336="","",IF($X1336="CONTEXTE INCOMPLET","CONTEXTE INCOMPLET",IF($X1336="DOUBLON",StatutDoublon,IF($S1336="",StatutInitial,IF($R1336="",StatutStandardManquant,IF($V1336="","DONNEES INSUFFISANTES",IF($V1336&gt;=SeuilConforme,StatutConforme,IF($V1336&gt;=SeuilSurveiller,StatutSurveiller,StatutSousStandard))))))))</f>
        <v/>
      </c>
      <c r="X1336" s="33">
        <f>IF($G1336="","",IF(OR($D1336="",$E1336="",$F1336=""),"CONTEXTE INCOMPLET",IF(COUNTIFS($D436:$D1335,$D1336,$E436:$E1335,$E1336,$F436:$F1335,$F1336,$G436:$G1335,$G1336)&gt;0,"DOUBLON","VALIDE")))</f>
        <v/>
      </c>
    </row>
    <row r="1337" ht="15" customHeight="1">
      <c r="A1337" s="12">
        <f>IF(OR($B1337="",$G1337=""),"",TEXT($B1337,"YYYYMMDD")&amp;"-"&amp;SUBSTITUTE($E1337," ","")&amp;"-"&amp;$F1337&amp;"-"&amp;$G1337)</f>
        <v/>
      </c>
      <c r="B1337" s="15" t="n"/>
      <c r="C1337" s="16" t="n"/>
      <c r="D1337" s="10" t="n"/>
      <c r="E1337" s="9" t="n"/>
      <c r="F1337" s="9" t="n"/>
      <c r="G1337" s="13" t="n"/>
      <c r="H1337" s="21" t="n"/>
      <c r="I1337" s="21" t="n"/>
      <c r="J1337" s="17">
        <f>IF($G1337="","",IFERROR(INDEX(NomsEmployes,MATCH($G1337,MatriculesEmployes,0)),"MATRICULE INCONNU"))</f>
        <v/>
      </c>
      <c r="K1337" s="33">
        <f>IF(OR($D1337="",$F1337=""),"",IFERROR(IF(INDEX(RUNS!$L$6:$S$1005,MATCH($D1337,RUNS!$A$6:$A$1005,0),MATCH("ACTIVITÉ "&amp;$F1337,RUNS!$L$5:$S$5,0))="","",INDEX(RUNS!$L$6:$S$1005,MATCH($D1337,RUNS!$A$6:$A$1005,0),MATCH("ACTIVITÉ "&amp;$F1337,RUNS!$L$5:$S$5,0))),""))</f>
        <v/>
      </c>
      <c r="L1337" s="33">
        <f>IF($D1337="","",IFERROR(IF(INDEX(RUNS!$E$6:$E$1005,MATCH($D1337,RUNS!$A$6:$A$1005,0))="","",INDEX(RUNS!$E$6:$E$1005,MATCH($D1337,RUNS!$A$6:$A$1005,0))),""))</f>
        <v/>
      </c>
      <c r="M1337" s="33">
        <f>IF($D1337="","",IFERROR(IF(INDEX(RUNS!$F$6:$F$1005,MATCH($D1337,RUNS!$A$6:$A$1005,0))="","",INDEX(RUNS!$F$6:$F$1005,MATCH($D1337,RUNS!$A$6:$A$1005,0))),""))</f>
        <v/>
      </c>
      <c r="N1337" s="33">
        <f>IF($D1337="","",IFERROR(IF(INDEX(RUNS!$G$6:$G$1005,MATCH($D1337,RUNS!$A$6:$A$1005,0))="","",INDEX(RUNS!$G$6:$G$1005,MATCH($D1337,RUNS!$A$6:$A$1005,0))),""))</f>
        <v/>
      </c>
      <c r="O1337" s="33">
        <f>IF($D1337="","",IFERROR(IF(INDEX(RUNS!$H$6:$H$1005,MATCH($D1337,RUNS!$A$6:$A$1005,0))="","",INDEX(RUNS!$H$6:$H$1005,MATCH($D1337,RUNS!$A$6:$A$1005,0))),""))</f>
        <v/>
      </c>
      <c r="P1337" s="33">
        <f>IF($D1337="","",IFERROR(IF(INDEX(RUNS!$J$6:$J$1005,MATCH($D1337,RUNS!$A$6:$A$1005,0))="","",INDEX(RUNS!$J$6:$J$1005,MATCH($D1337,RUNS!$A$6:$A$1005,0))),""))</f>
        <v/>
      </c>
      <c r="Q1337" s="33">
        <f>IF($D1337="","",IFERROR(IF(INDEX(RUNS!$K$6:$K$1005,MATCH($D1337,RUNS!$A$6:$A$1005,0))="","",INDEX(RUNS!$K$6:$K$1005,MATCH($D1337,RUNS!$A$6:$A$1005,0))),""))</f>
        <v/>
      </c>
      <c r="R1337" s="34">
        <f>IF(OR($L1337="",$K1337=""),"",IFERROR(IF(INDEX(PARAMETRES!$H$43:$H$342,MATCH($L1337&amp;"|"&amp;$M1337&amp;"|"&amp;$N1337&amp;"|"&amp;$O1337&amp;"|"&amp;$P1337&amp;"|"&amp;$Q1337&amp;"|"&amp;$K1337,PARAMETRES!$J$43:$J$342,0))="","",INDEX(PARAMETRES!$H$43:$H$342,MATCH($L1337&amp;"|"&amp;$M1337&amp;"|"&amp;$N1337&amp;"|"&amp;$O1337&amp;"|"&amp;$P1337&amp;"|"&amp;$Q1337&amp;"|"&amp;$K1337,PARAMETRES!$J$43:$J$342,0))),""))</f>
        <v/>
      </c>
      <c r="S1337" s="35">
        <f>IF(OR($G1337="",$X1337&lt;&gt;"VALIDE"),"",IFERROR(LOOKUP(2,1/(($B437:$B1336=$B1337)*($G437:$G1336=$G1337)*($X437:$X1336="VALIDE")),$C437:$C1336),""))</f>
        <v/>
      </c>
      <c r="T1337" s="36">
        <f>IF(OR($C1337="",$S1337=""),"",ROUND(($C1337-$S1337+IF($C1337&lt;$S1337,1,0))*1440,0))</f>
        <v/>
      </c>
      <c r="U1337" s="22">
        <f>IF(OR($H1337="",$T1337="",$T1337&lt;=0),"",$H1337*60/$T1337)</f>
        <v/>
      </c>
      <c r="V1337" s="37">
        <f>IF(OR($U1337="",$R1337="",$R1337=0),"",$U1337/$R1337)</f>
        <v/>
      </c>
      <c r="W1337" s="20">
        <f>IF($G1337="","",IF($X1337="CONTEXTE INCOMPLET","CONTEXTE INCOMPLET",IF($X1337="DOUBLON",StatutDoublon,IF($S1337="",StatutInitial,IF($R1337="",StatutStandardManquant,IF($V1337="","DONNEES INSUFFISANTES",IF($V1337&gt;=SeuilConforme,StatutConforme,IF($V1337&gt;=SeuilSurveiller,StatutSurveiller,StatutSousStandard))))))))</f>
        <v/>
      </c>
      <c r="X1337" s="33">
        <f>IF($G1337="","",IF(OR($D1337="",$E1337="",$F1337=""),"CONTEXTE INCOMPLET",IF(COUNTIFS($D437:$D1336,$D1337,$E437:$E1336,$E1337,$F437:$F1336,$F1337,$G437:$G1336,$G1337)&gt;0,"DOUBLON","VALIDE")))</f>
        <v/>
      </c>
    </row>
    <row r="1338" ht="15" customHeight="1">
      <c r="A1338" s="12">
        <f>IF(OR($B1338="",$G1338=""),"",TEXT($B1338,"YYYYMMDD")&amp;"-"&amp;SUBSTITUTE($E1338," ","")&amp;"-"&amp;$F1338&amp;"-"&amp;$G1338)</f>
        <v/>
      </c>
      <c r="B1338" s="15" t="n"/>
      <c r="C1338" s="16" t="n"/>
      <c r="D1338" s="10" t="n"/>
      <c r="E1338" s="9" t="n"/>
      <c r="F1338" s="9" t="n"/>
      <c r="G1338" s="13" t="n"/>
      <c r="H1338" s="21" t="n"/>
      <c r="I1338" s="21" t="n"/>
      <c r="J1338" s="17">
        <f>IF($G1338="","",IFERROR(INDEX(NomsEmployes,MATCH($G1338,MatriculesEmployes,0)),"MATRICULE INCONNU"))</f>
        <v/>
      </c>
      <c r="K1338" s="33">
        <f>IF(OR($D1338="",$F1338=""),"",IFERROR(IF(INDEX(RUNS!$L$6:$S$1005,MATCH($D1338,RUNS!$A$6:$A$1005,0),MATCH("ACTIVITÉ "&amp;$F1338,RUNS!$L$5:$S$5,0))="","",INDEX(RUNS!$L$6:$S$1005,MATCH($D1338,RUNS!$A$6:$A$1005,0),MATCH("ACTIVITÉ "&amp;$F1338,RUNS!$L$5:$S$5,0))),""))</f>
        <v/>
      </c>
      <c r="L1338" s="33">
        <f>IF($D1338="","",IFERROR(IF(INDEX(RUNS!$E$6:$E$1005,MATCH($D1338,RUNS!$A$6:$A$1005,0))="","",INDEX(RUNS!$E$6:$E$1005,MATCH($D1338,RUNS!$A$6:$A$1005,0))),""))</f>
        <v/>
      </c>
      <c r="M1338" s="33">
        <f>IF($D1338="","",IFERROR(IF(INDEX(RUNS!$F$6:$F$1005,MATCH($D1338,RUNS!$A$6:$A$1005,0))="","",INDEX(RUNS!$F$6:$F$1005,MATCH($D1338,RUNS!$A$6:$A$1005,0))),""))</f>
        <v/>
      </c>
      <c r="N1338" s="33">
        <f>IF($D1338="","",IFERROR(IF(INDEX(RUNS!$G$6:$G$1005,MATCH($D1338,RUNS!$A$6:$A$1005,0))="","",INDEX(RUNS!$G$6:$G$1005,MATCH($D1338,RUNS!$A$6:$A$1005,0))),""))</f>
        <v/>
      </c>
      <c r="O1338" s="33">
        <f>IF($D1338="","",IFERROR(IF(INDEX(RUNS!$H$6:$H$1005,MATCH($D1338,RUNS!$A$6:$A$1005,0))="","",INDEX(RUNS!$H$6:$H$1005,MATCH($D1338,RUNS!$A$6:$A$1005,0))),""))</f>
        <v/>
      </c>
      <c r="P1338" s="33">
        <f>IF($D1338="","",IFERROR(IF(INDEX(RUNS!$J$6:$J$1005,MATCH($D1338,RUNS!$A$6:$A$1005,0))="","",INDEX(RUNS!$J$6:$J$1005,MATCH($D1338,RUNS!$A$6:$A$1005,0))),""))</f>
        <v/>
      </c>
      <c r="Q1338" s="33">
        <f>IF($D1338="","",IFERROR(IF(INDEX(RUNS!$K$6:$K$1005,MATCH($D1338,RUNS!$A$6:$A$1005,0))="","",INDEX(RUNS!$K$6:$K$1005,MATCH($D1338,RUNS!$A$6:$A$1005,0))),""))</f>
        <v/>
      </c>
      <c r="R1338" s="34">
        <f>IF(OR($L1338="",$K1338=""),"",IFERROR(IF(INDEX(PARAMETRES!$H$43:$H$342,MATCH($L1338&amp;"|"&amp;$M1338&amp;"|"&amp;$N1338&amp;"|"&amp;$O1338&amp;"|"&amp;$P1338&amp;"|"&amp;$Q1338&amp;"|"&amp;$K1338,PARAMETRES!$J$43:$J$342,0))="","",INDEX(PARAMETRES!$H$43:$H$342,MATCH($L1338&amp;"|"&amp;$M1338&amp;"|"&amp;$N1338&amp;"|"&amp;$O1338&amp;"|"&amp;$P1338&amp;"|"&amp;$Q1338&amp;"|"&amp;$K1338,PARAMETRES!$J$43:$J$342,0))),""))</f>
        <v/>
      </c>
      <c r="S1338" s="35">
        <f>IF(OR($G1338="",$X1338&lt;&gt;"VALIDE"),"",IFERROR(LOOKUP(2,1/(($B438:$B1337=$B1338)*($G438:$G1337=$G1338)*($X438:$X1337="VALIDE")),$C438:$C1337),""))</f>
        <v/>
      </c>
      <c r="T1338" s="36">
        <f>IF(OR($C1338="",$S1338=""),"",ROUND(($C1338-$S1338+IF($C1338&lt;$S1338,1,0))*1440,0))</f>
        <v/>
      </c>
      <c r="U1338" s="22">
        <f>IF(OR($H1338="",$T1338="",$T1338&lt;=0),"",$H1338*60/$T1338)</f>
        <v/>
      </c>
      <c r="V1338" s="37">
        <f>IF(OR($U1338="",$R1338="",$R1338=0),"",$U1338/$R1338)</f>
        <v/>
      </c>
      <c r="W1338" s="20">
        <f>IF($G1338="","",IF($X1338="CONTEXTE INCOMPLET","CONTEXTE INCOMPLET",IF($X1338="DOUBLON",StatutDoublon,IF($S1338="",StatutInitial,IF($R1338="",StatutStandardManquant,IF($V1338="","DONNEES INSUFFISANTES",IF($V1338&gt;=SeuilConforme,StatutConforme,IF($V1338&gt;=SeuilSurveiller,StatutSurveiller,StatutSousStandard))))))))</f>
        <v/>
      </c>
      <c r="X1338" s="33">
        <f>IF($G1338="","",IF(OR($D1338="",$E1338="",$F1338=""),"CONTEXTE INCOMPLET",IF(COUNTIFS($D438:$D1337,$D1338,$E438:$E1337,$E1338,$F438:$F1337,$F1338,$G438:$G1337,$G1338)&gt;0,"DOUBLON","VALIDE")))</f>
        <v/>
      </c>
    </row>
    <row r="1339" ht="15" customHeight="1">
      <c r="A1339" s="12">
        <f>IF(OR($B1339="",$G1339=""),"",TEXT($B1339,"YYYYMMDD")&amp;"-"&amp;SUBSTITUTE($E1339," ","")&amp;"-"&amp;$F1339&amp;"-"&amp;$G1339)</f>
        <v/>
      </c>
      <c r="B1339" s="15" t="n"/>
      <c r="C1339" s="16" t="n"/>
      <c r="D1339" s="10" t="n"/>
      <c r="E1339" s="9" t="n"/>
      <c r="F1339" s="9" t="n"/>
      <c r="G1339" s="13" t="n"/>
      <c r="H1339" s="21" t="n"/>
      <c r="I1339" s="21" t="n"/>
      <c r="J1339" s="17">
        <f>IF($G1339="","",IFERROR(INDEX(NomsEmployes,MATCH($G1339,MatriculesEmployes,0)),"MATRICULE INCONNU"))</f>
        <v/>
      </c>
      <c r="K1339" s="33">
        <f>IF(OR($D1339="",$F1339=""),"",IFERROR(IF(INDEX(RUNS!$L$6:$S$1005,MATCH($D1339,RUNS!$A$6:$A$1005,0),MATCH("ACTIVITÉ "&amp;$F1339,RUNS!$L$5:$S$5,0))="","",INDEX(RUNS!$L$6:$S$1005,MATCH($D1339,RUNS!$A$6:$A$1005,0),MATCH("ACTIVITÉ "&amp;$F1339,RUNS!$L$5:$S$5,0))),""))</f>
        <v/>
      </c>
      <c r="L1339" s="33">
        <f>IF($D1339="","",IFERROR(IF(INDEX(RUNS!$E$6:$E$1005,MATCH($D1339,RUNS!$A$6:$A$1005,0))="","",INDEX(RUNS!$E$6:$E$1005,MATCH($D1339,RUNS!$A$6:$A$1005,0))),""))</f>
        <v/>
      </c>
      <c r="M1339" s="33">
        <f>IF($D1339="","",IFERROR(IF(INDEX(RUNS!$F$6:$F$1005,MATCH($D1339,RUNS!$A$6:$A$1005,0))="","",INDEX(RUNS!$F$6:$F$1005,MATCH($D1339,RUNS!$A$6:$A$1005,0))),""))</f>
        <v/>
      </c>
      <c r="N1339" s="33">
        <f>IF($D1339="","",IFERROR(IF(INDEX(RUNS!$G$6:$G$1005,MATCH($D1339,RUNS!$A$6:$A$1005,0))="","",INDEX(RUNS!$G$6:$G$1005,MATCH($D1339,RUNS!$A$6:$A$1005,0))),""))</f>
        <v/>
      </c>
      <c r="O1339" s="33">
        <f>IF($D1339="","",IFERROR(IF(INDEX(RUNS!$H$6:$H$1005,MATCH($D1339,RUNS!$A$6:$A$1005,0))="","",INDEX(RUNS!$H$6:$H$1005,MATCH($D1339,RUNS!$A$6:$A$1005,0))),""))</f>
        <v/>
      </c>
      <c r="P1339" s="33">
        <f>IF($D1339="","",IFERROR(IF(INDEX(RUNS!$J$6:$J$1005,MATCH($D1339,RUNS!$A$6:$A$1005,0))="","",INDEX(RUNS!$J$6:$J$1005,MATCH($D1339,RUNS!$A$6:$A$1005,0))),""))</f>
        <v/>
      </c>
      <c r="Q1339" s="33">
        <f>IF($D1339="","",IFERROR(IF(INDEX(RUNS!$K$6:$K$1005,MATCH($D1339,RUNS!$A$6:$A$1005,0))="","",INDEX(RUNS!$K$6:$K$1005,MATCH($D1339,RUNS!$A$6:$A$1005,0))),""))</f>
        <v/>
      </c>
      <c r="R1339" s="34">
        <f>IF(OR($L1339="",$K1339=""),"",IFERROR(IF(INDEX(PARAMETRES!$H$43:$H$342,MATCH($L1339&amp;"|"&amp;$M1339&amp;"|"&amp;$N1339&amp;"|"&amp;$O1339&amp;"|"&amp;$P1339&amp;"|"&amp;$Q1339&amp;"|"&amp;$K1339,PARAMETRES!$J$43:$J$342,0))="","",INDEX(PARAMETRES!$H$43:$H$342,MATCH($L1339&amp;"|"&amp;$M1339&amp;"|"&amp;$N1339&amp;"|"&amp;$O1339&amp;"|"&amp;$P1339&amp;"|"&amp;$Q1339&amp;"|"&amp;$K1339,PARAMETRES!$J$43:$J$342,0))),""))</f>
        <v/>
      </c>
      <c r="S1339" s="35">
        <f>IF(OR($G1339="",$X1339&lt;&gt;"VALIDE"),"",IFERROR(LOOKUP(2,1/(($B439:$B1338=$B1339)*($G439:$G1338=$G1339)*($X439:$X1338="VALIDE")),$C439:$C1338),""))</f>
        <v/>
      </c>
      <c r="T1339" s="36">
        <f>IF(OR($C1339="",$S1339=""),"",ROUND(($C1339-$S1339+IF($C1339&lt;$S1339,1,0))*1440,0))</f>
        <v/>
      </c>
      <c r="U1339" s="22">
        <f>IF(OR($H1339="",$T1339="",$T1339&lt;=0),"",$H1339*60/$T1339)</f>
        <v/>
      </c>
      <c r="V1339" s="37">
        <f>IF(OR($U1339="",$R1339="",$R1339=0),"",$U1339/$R1339)</f>
        <v/>
      </c>
      <c r="W1339" s="20">
        <f>IF($G1339="","",IF($X1339="CONTEXTE INCOMPLET","CONTEXTE INCOMPLET",IF($X1339="DOUBLON",StatutDoublon,IF($S1339="",StatutInitial,IF($R1339="",StatutStandardManquant,IF($V1339="","DONNEES INSUFFISANTES",IF($V1339&gt;=SeuilConforme,StatutConforme,IF($V1339&gt;=SeuilSurveiller,StatutSurveiller,StatutSousStandard))))))))</f>
        <v/>
      </c>
      <c r="X1339" s="33">
        <f>IF($G1339="","",IF(OR($D1339="",$E1339="",$F1339=""),"CONTEXTE INCOMPLET",IF(COUNTIFS($D439:$D1338,$D1339,$E439:$E1338,$E1339,$F439:$F1338,$F1339,$G439:$G1338,$G1339)&gt;0,"DOUBLON","VALIDE")))</f>
        <v/>
      </c>
    </row>
    <row r="1340" ht="15" customHeight="1">
      <c r="A1340" s="12">
        <f>IF(OR($B1340="",$G1340=""),"",TEXT($B1340,"YYYYMMDD")&amp;"-"&amp;SUBSTITUTE($E1340," ","")&amp;"-"&amp;$F1340&amp;"-"&amp;$G1340)</f>
        <v/>
      </c>
      <c r="B1340" s="15" t="n"/>
      <c r="C1340" s="16" t="n"/>
      <c r="D1340" s="10" t="n"/>
      <c r="E1340" s="9" t="n"/>
      <c r="F1340" s="9" t="n"/>
      <c r="G1340" s="13" t="n"/>
      <c r="H1340" s="21" t="n"/>
      <c r="I1340" s="21" t="n"/>
      <c r="J1340" s="17">
        <f>IF($G1340="","",IFERROR(INDEX(NomsEmployes,MATCH($G1340,MatriculesEmployes,0)),"MATRICULE INCONNU"))</f>
        <v/>
      </c>
      <c r="K1340" s="33">
        <f>IF(OR($D1340="",$F1340=""),"",IFERROR(IF(INDEX(RUNS!$L$6:$S$1005,MATCH($D1340,RUNS!$A$6:$A$1005,0),MATCH("ACTIVITÉ "&amp;$F1340,RUNS!$L$5:$S$5,0))="","",INDEX(RUNS!$L$6:$S$1005,MATCH($D1340,RUNS!$A$6:$A$1005,0),MATCH("ACTIVITÉ "&amp;$F1340,RUNS!$L$5:$S$5,0))),""))</f>
        <v/>
      </c>
      <c r="L1340" s="33">
        <f>IF($D1340="","",IFERROR(IF(INDEX(RUNS!$E$6:$E$1005,MATCH($D1340,RUNS!$A$6:$A$1005,0))="","",INDEX(RUNS!$E$6:$E$1005,MATCH($D1340,RUNS!$A$6:$A$1005,0))),""))</f>
        <v/>
      </c>
      <c r="M1340" s="33">
        <f>IF($D1340="","",IFERROR(IF(INDEX(RUNS!$F$6:$F$1005,MATCH($D1340,RUNS!$A$6:$A$1005,0))="","",INDEX(RUNS!$F$6:$F$1005,MATCH($D1340,RUNS!$A$6:$A$1005,0))),""))</f>
        <v/>
      </c>
      <c r="N1340" s="33">
        <f>IF($D1340="","",IFERROR(IF(INDEX(RUNS!$G$6:$G$1005,MATCH($D1340,RUNS!$A$6:$A$1005,0))="","",INDEX(RUNS!$G$6:$G$1005,MATCH($D1340,RUNS!$A$6:$A$1005,0))),""))</f>
        <v/>
      </c>
      <c r="O1340" s="33">
        <f>IF($D1340="","",IFERROR(IF(INDEX(RUNS!$H$6:$H$1005,MATCH($D1340,RUNS!$A$6:$A$1005,0))="","",INDEX(RUNS!$H$6:$H$1005,MATCH($D1340,RUNS!$A$6:$A$1005,0))),""))</f>
        <v/>
      </c>
      <c r="P1340" s="33">
        <f>IF($D1340="","",IFERROR(IF(INDEX(RUNS!$J$6:$J$1005,MATCH($D1340,RUNS!$A$6:$A$1005,0))="","",INDEX(RUNS!$J$6:$J$1005,MATCH($D1340,RUNS!$A$6:$A$1005,0))),""))</f>
        <v/>
      </c>
      <c r="Q1340" s="33">
        <f>IF($D1340="","",IFERROR(IF(INDEX(RUNS!$K$6:$K$1005,MATCH($D1340,RUNS!$A$6:$A$1005,0))="","",INDEX(RUNS!$K$6:$K$1005,MATCH($D1340,RUNS!$A$6:$A$1005,0))),""))</f>
        <v/>
      </c>
      <c r="R1340" s="34">
        <f>IF(OR($L1340="",$K1340=""),"",IFERROR(IF(INDEX(PARAMETRES!$H$43:$H$342,MATCH($L1340&amp;"|"&amp;$M1340&amp;"|"&amp;$N1340&amp;"|"&amp;$O1340&amp;"|"&amp;$P1340&amp;"|"&amp;$Q1340&amp;"|"&amp;$K1340,PARAMETRES!$J$43:$J$342,0))="","",INDEX(PARAMETRES!$H$43:$H$342,MATCH($L1340&amp;"|"&amp;$M1340&amp;"|"&amp;$N1340&amp;"|"&amp;$O1340&amp;"|"&amp;$P1340&amp;"|"&amp;$Q1340&amp;"|"&amp;$K1340,PARAMETRES!$J$43:$J$342,0))),""))</f>
        <v/>
      </c>
      <c r="S1340" s="35">
        <f>IF(OR($G1340="",$X1340&lt;&gt;"VALIDE"),"",IFERROR(LOOKUP(2,1/(($B440:$B1339=$B1340)*($G440:$G1339=$G1340)*($X440:$X1339="VALIDE")),$C440:$C1339),""))</f>
        <v/>
      </c>
      <c r="T1340" s="36">
        <f>IF(OR($C1340="",$S1340=""),"",ROUND(($C1340-$S1340+IF($C1340&lt;$S1340,1,0))*1440,0))</f>
        <v/>
      </c>
      <c r="U1340" s="22">
        <f>IF(OR($H1340="",$T1340="",$T1340&lt;=0),"",$H1340*60/$T1340)</f>
        <v/>
      </c>
      <c r="V1340" s="37">
        <f>IF(OR($U1340="",$R1340="",$R1340=0),"",$U1340/$R1340)</f>
        <v/>
      </c>
      <c r="W1340" s="20">
        <f>IF($G1340="","",IF($X1340="CONTEXTE INCOMPLET","CONTEXTE INCOMPLET",IF($X1340="DOUBLON",StatutDoublon,IF($S1340="",StatutInitial,IF($R1340="",StatutStandardManquant,IF($V1340="","DONNEES INSUFFISANTES",IF($V1340&gt;=SeuilConforme,StatutConforme,IF($V1340&gt;=SeuilSurveiller,StatutSurveiller,StatutSousStandard))))))))</f>
        <v/>
      </c>
      <c r="X1340" s="33">
        <f>IF($G1340="","",IF(OR($D1340="",$E1340="",$F1340=""),"CONTEXTE INCOMPLET",IF(COUNTIFS($D440:$D1339,$D1340,$E440:$E1339,$E1340,$F440:$F1339,$F1340,$G440:$G1339,$G1340)&gt;0,"DOUBLON","VALIDE")))</f>
        <v/>
      </c>
    </row>
    <row r="1341" ht="15" customHeight="1">
      <c r="A1341" s="12">
        <f>IF(OR($B1341="",$G1341=""),"",TEXT($B1341,"YYYYMMDD")&amp;"-"&amp;SUBSTITUTE($E1341," ","")&amp;"-"&amp;$F1341&amp;"-"&amp;$G1341)</f>
        <v/>
      </c>
      <c r="B1341" s="15" t="n"/>
      <c r="C1341" s="16" t="n"/>
      <c r="D1341" s="10" t="n"/>
      <c r="E1341" s="9" t="n"/>
      <c r="F1341" s="9" t="n"/>
      <c r="G1341" s="13" t="n"/>
      <c r="H1341" s="21" t="n"/>
      <c r="I1341" s="21" t="n"/>
      <c r="J1341" s="17">
        <f>IF($G1341="","",IFERROR(INDEX(NomsEmployes,MATCH($G1341,MatriculesEmployes,0)),"MATRICULE INCONNU"))</f>
        <v/>
      </c>
      <c r="K1341" s="33">
        <f>IF(OR($D1341="",$F1341=""),"",IFERROR(IF(INDEX(RUNS!$L$6:$S$1005,MATCH($D1341,RUNS!$A$6:$A$1005,0),MATCH("ACTIVITÉ "&amp;$F1341,RUNS!$L$5:$S$5,0))="","",INDEX(RUNS!$L$6:$S$1005,MATCH($D1341,RUNS!$A$6:$A$1005,0),MATCH("ACTIVITÉ "&amp;$F1341,RUNS!$L$5:$S$5,0))),""))</f>
        <v/>
      </c>
      <c r="L1341" s="33">
        <f>IF($D1341="","",IFERROR(IF(INDEX(RUNS!$E$6:$E$1005,MATCH($D1341,RUNS!$A$6:$A$1005,0))="","",INDEX(RUNS!$E$6:$E$1005,MATCH($D1341,RUNS!$A$6:$A$1005,0))),""))</f>
        <v/>
      </c>
      <c r="M1341" s="33">
        <f>IF($D1341="","",IFERROR(IF(INDEX(RUNS!$F$6:$F$1005,MATCH($D1341,RUNS!$A$6:$A$1005,0))="","",INDEX(RUNS!$F$6:$F$1005,MATCH($D1341,RUNS!$A$6:$A$1005,0))),""))</f>
        <v/>
      </c>
      <c r="N1341" s="33">
        <f>IF($D1341="","",IFERROR(IF(INDEX(RUNS!$G$6:$G$1005,MATCH($D1341,RUNS!$A$6:$A$1005,0))="","",INDEX(RUNS!$G$6:$G$1005,MATCH($D1341,RUNS!$A$6:$A$1005,0))),""))</f>
        <v/>
      </c>
      <c r="O1341" s="33">
        <f>IF($D1341="","",IFERROR(IF(INDEX(RUNS!$H$6:$H$1005,MATCH($D1341,RUNS!$A$6:$A$1005,0))="","",INDEX(RUNS!$H$6:$H$1005,MATCH($D1341,RUNS!$A$6:$A$1005,0))),""))</f>
        <v/>
      </c>
      <c r="P1341" s="33">
        <f>IF($D1341="","",IFERROR(IF(INDEX(RUNS!$J$6:$J$1005,MATCH($D1341,RUNS!$A$6:$A$1005,0))="","",INDEX(RUNS!$J$6:$J$1005,MATCH($D1341,RUNS!$A$6:$A$1005,0))),""))</f>
        <v/>
      </c>
      <c r="Q1341" s="33">
        <f>IF($D1341="","",IFERROR(IF(INDEX(RUNS!$K$6:$K$1005,MATCH($D1341,RUNS!$A$6:$A$1005,0))="","",INDEX(RUNS!$K$6:$K$1005,MATCH($D1341,RUNS!$A$6:$A$1005,0))),""))</f>
        <v/>
      </c>
      <c r="R1341" s="34">
        <f>IF(OR($L1341="",$K1341=""),"",IFERROR(IF(INDEX(PARAMETRES!$H$43:$H$342,MATCH($L1341&amp;"|"&amp;$M1341&amp;"|"&amp;$N1341&amp;"|"&amp;$O1341&amp;"|"&amp;$P1341&amp;"|"&amp;$Q1341&amp;"|"&amp;$K1341,PARAMETRES!$J$43:$J$342,0))="","",INDEX(PARAMETRES!$H$43:$H$342,MATCH($L1341&amp;"|"&amp;$M1341&amp;"|"&amp;$N1341&amp;"|"&amp;$O1341&amp;"|"&amp;$P1341&amp;"|"&amp;$Q1341&amp;"|"&amp;$K1341,PARAMETRES!$J$43:$J$342,0))),""))</f>
        <v/>
      </c>
      <c r="S1341" s="35">
        <f>IF(OR($G1341="",$X1341&lt;&gt;"VALIDE"),"",IFERROR(LOOKUP(2,1/(($B441:$B1340=$B1341)*($G441:$G1340=$G1341)*($X441:$X1340="VALIDE")),$C441:$C1340),""))</f>
        <v/>
      </c>
      <c r="T1341" s="36">
        <f>IF(OR($C1341="",$S1341=""),"",ROUND(($C1341-$S1341+IF($C1341&lt;$S1341,1,0))*1440,0))</f>
        <v/>
      </c>
      <c r="U1341" s="22">
        <f>IF(OR($H1341="",$T1341="",$T1341&lt;=0),"",$H1341*60/$T1341)</f>
        <v/>
      </c>
      <c r="V1341" s="37">
        <f>IF(OR($U1341="",$R1341="",$R1341=0),"",$U1341/$R1341)</f>
        <v/>
      </c>
      <c r="W1341" s="20">
        <f>IF($G1341="","",IF($X1341="CONTEXTE INCOMPLET","CONTEXTE INCOMPLET",IF($X1341="DOUBLON",StatutDoublon,IF($S1341="",StatutInitial,IF($R1341="",StatutStandardManquant,IF($V1341="","DONNEES INSUFFISANTES",IF($V1341&gt;=SeuilConforme,StatutConforme,IF($V1341&gt;=SeuilSurveiller,StatutSurveiller,StatutSousStandard))))))))</f>
        <v/>
      </c>
      <c r="X1341" s="33">
        <f>IF($G1341="","",IF(OR($D1341="",$E1341="",$F1341=""),"CONTEXTE INCOMPLET",IF(COUNTIFS($D441:$D1340,$D1341,$E441:$E1340,$E1341,$F441:$F1340,$F1341,$G441:$G1340,$G1341)&gt;0,"DOUBLON","VALIDE")))</f>
        <v/>
      </c>
    </row>
    <row r="1342" ht="15" customHeight="1">
      <c r="A1342" s="12">
        <f>IF(OR($B1342="",$G1342=""),"",TEXT($B1342,"YYYYMMDD")&amp;"-"&amp;SUBSTITUTE($E1342," ","")&amp;"-"&amp;$F1342&amp;"-"&amp;$G1342)</f>
        <v/>
      </c>
      <c r="B1342" s="15" t="n"/>
      <c r="C1342" s="16" t="n"/>
      <c r="D1342" s="10" t="n"/>
      <c r="E1342" s="9" t="n"/>
      <c r="F1342" s="9" t="n"/>
      <c r="G1342" s="13" t="n"/>
      <c r="H1342" s="21" t="n"/>
      <c r="I1342" s="21" t="n"/>
      <c r="J1342" s="17">
        <f>IF($G1342="","",IFERROR(INDEX(NomsEmployes,MATCH($G1342,MatriculesEmployes,0)),"MATRICULE INCONNU"))</f>
        <v/>
      </c>
      <c r="K1342" s="33">
        <f>IF(OR($D1342="",$F1342=""),"",IFERROR(IF(INDEX(RUNS!$L$6:$S$1005,MATCH($D1342,RUNS!$A$6:$A$1005,0),MATCH("ACTIVITÉ "&amp;$F1342,RUNS!$L$5:$S$5,0))="","",INDEX(RUNS!$L$6:$S$1005,MATCH($D1342,RUNS!$A$6:$A$1005,0),MATCH("ACTIVITÉ "&amp;$F1342,RUNS!$L$5:$S$5,0))),""))</f>
        <v/>
      </c>
      <c r="L1342" s="33">
        <f>IF($D1342="","",IFERROR(IF(INDEX(RUNS!$E$6:$E$1005,MATCH($D1342,RUNS!$A$6:$A$1005,0))="","",INDEX(RUNS!$E$6:$E$1005,MATCH($D1342,RUNS!$A$6:$A$1005,0))),""))</f>
        <v/>
      </c>
      <c r="M1342" s="33">
        <f>IF($D1342="","",IFERROR(IF(INDEX(RUNS!$F$6:$F$1005,MATCH($D1342,RUNS!$A$6:$A$1005,0))="","",INDEX(RUNS!$F$6:$F$1005,MATCH($D1342,RUNS!$A$6:$A$1005,0))),""))</f>
        <v/>
      </c>
      <c r="N1342" s="33">
        <f>IF($D1342="","",IFERROR(IF(INDEX(RUNS!$G$6:$G$1005,MATCH($D1342,RUNS!$A$6:$A$1005,0))="","",INDEX(RUNS!$G$6:$G$1005,MATCH($D1342,RUNS!$A$6:$A$1005,0))),""))</f>
        <v/>
      </c>
      <c r="O1342" s="33">
        <f>IF($D1342="","",IFERROR(IF(INDEX(RUNS!$H$6:$H$1005,MATCH($D1342,RUNS!$A$6:$A$1005,0))="","",INDEX(RUNS!$H$6:$H$1005,MATCH($D1342,RUNS!$A$6:$A$1005,0))),""))</f>
        <v/>
      </c>
      <c r="P1342" s="33">
        <f>IF($D1342="","",IFERROR(IF(INDEX(RUNS!$J$6:$J$1005,MATCH($D1342,RUNS!$A$6:$A$1005,0))="","",INDEX(RUNS!$J$6:$J$1005,MATCH($D1342,RUNS!$A$6:$A$1005,0))),""))</f>
        <v/>
      </c>
      <c r="Q1342" s="33">
        <f>IF($D1342="","",IFERROR(IF(INDEX(RUNS!$K$6:$K$1005,MATCH($D1342,RUNS!$A$6:$A$1005,0))="","",INDEX(RUNS!$K$6:$K$1005,MATCH($D1342,RUNS!$A$6:$A$1005,0))),""))</f>
        <v/>
      </c>
      <c r="R1342" s="34">
        <f>IF(OR($L1342="",$K1342=""),"",IFERROR(IF(INDEX(PARAMETRES!$H$43:$H$342,MATCH($L1342&amp;"|"&amp;$M1342&amp;"|"&amp;$N1342&amp;"|"&amp;$O1342&amp;"|"&amp;$P1342&amp;"|"&amp;$Q1342&amp;"|"&amp;$K1342,PARAMETRES!$J$43:$J$342,0))="","",INDEX(PARAMETRES!$H$43:$H$342,MATCH($L1342&amp;"|"&amp;$M1342&amp;"|"&amp;$N1342&amp;"|"&amp;$O1342&amp;"|"&amp;$P1342&amp;"|"&amp;$Q1342&amp;"|"&amp;$K1342,PARAMETRES!$J$43:$J$342,0))),""))</f>
        <v/>
      </c>
      <c r="S1342" s="35">
        <f>IF(OR($G1342="",$X1342&lt;&gt;"VALIDE"),"",IFERROR(LOOKUP(2,1/(($B442:$B1341=$B1342)*($G442:$G1341=$G1342)*($X442:$X1341="VALIDE")),$C442:$C1341),""))</f>
        <v/>
      </c>
      <c r="T1342" s="36">
        <f>IF(OR($C1342="",$S1342=""),"",ROUND(($C1342-$S1342+IF($C1342&lt;$S1342,1,0))*1440,0))</f>
        <v/>
      </c>
      <c r="U1342" s="22">
        <f>IF(OR($H1342="",$T1342="",$T1342&lt;=0),"",$H1342*60/$T1342)</f>
        <v/>
      </c>
      <c r="V1342" s="37">
        <f>IF(OR($U1342="",$R1342="",$R1342=0),"",$U1342/$R1342)</f>
        <v/>
      </c>
      <c r="W1342" s="20">
        <f>IF($G1342="","",IF($X1342="CONTEXTE INCOMPLET","CONTEXTE INCOMPLET",IF($X1342="DOUBLON",StatutDoublon,IF($S1342="",StatutInitial,IF($R1342="",StatutStandardManquant,IF($V1342="","DONNEES INSUFFISANTES",IF($V1342&gt;=SeuilConforme,StatutConforme,IF($V1342&gt;=SeuilSurveiller,StatutSurveiller,StatutSousStandard))))))))</f>
        <v/>
      </c>
      <c r="X1342" s="33">
        <f>IF($G1342="","",IF(OR($D1342="",$E1342="",$F1342=""),"CONTEXTE INCOMPLET",IF(COUNTIFS($D442:$D1341,$D1342,$E442:$E1341,$E1342,$F442:$F1341,$F1342,$G442:$G1341,$G1342)&gt;0,"DOUBLON","VALIDE")))</f>
        <v/>
      </c>
    </row>
    <row r="1343" ht="15" customHeight="1">
      <c r="A1343" s="12">
        <f>IF(OR($B1343="",$G1343=""),"",TEXT($B1343,"YYYYMMDD")&amp;"-"&amp;SUBSTITUTE($E1343," ","")&amp;"-"&amp;$F1343&amp;"-"&amp;$G1343)</f>
        <v/>
      </c>
      <c r="B1343" s="15" t="n"/>
      <c r="C1343" s="16" t="n"/>
      <c r="D1343" s="10" t="n"/>
      <c r="E1343" s="9" t="n"/>
      <c r="F1343" s="9" t="n"/>
      <c r="G1343" s="13" t="n"/>
      <c r="H1343" s="21" t="n"/>
      <c r="I1343" s="21" t="n"/>
      <c r="J1343" s="17">
        <f>IF($G1343="","",IFERROR(INDEX(NomsEmployes,MATCH($G1343,MatriculesEmployes,0)),"MATRICULE INCONNU"))</f>
        <v/>
      </c>
      <c r="K1343" s="33">
        <f>IF(OR($D1343="",$F1343=""),"",IFERROR(IF(INDEX(RUNS!$L$6:$S$1005,MATCH($D1343,RUNS!$A$6:$A$1005,0),MATCH("ACTIVITÉ "&amp;$F1343,RUNS!$L$5:$S$5,0))="","",INDEX(RUNS!$L$6:$S$1005,MATCH($D1343,RUNS!$A$6:$A$1005,0),MATCH("ACTIVITÉ "&amp;$F1343,RUNS!$L$5:$S$5,0))),""))</f>
        <v/>
      </c>
      <c r="L1343" s="33">
        <f>IF($D1343="","",IFERROR(IF(INDEX(RUNS!$E$6:$E$1005,MATCH($D1343,RUNS!$A$6:$A$1005,0))="","",INDEX(RUNS!$E$6:$E$1005,MATCH($D1343,RUNS!$A$6:$A$1005,0))),""))</f>
        <v/>
      </c>
      <c r="M1343" s="33">
        <f>IF($D1343="","",IFERROR(IF(INDEX(RUNS!$F$6:$F$1005,MATCH($D1343,RUNS!$A$6:$A$1005,0))="","",INDEX(RUNS!$F$6:$F$1005,MATCH($D1343,RUNS!$A$6:$A$1005,0))),""))</f>
        <v/>
      </c>
      <c r="N1343" s="33">
        <f>IF($D1343="","",IFERROR(IF(INDEX(RUNS!$G$6:$G$1005,MATCH($D1343,RUNS!$A$6:$A$1005,0))="","",INDEX(RUNS!$G$6:$G$1005,MATCH($D1343,RUNS!$A$6:$A$1005,0))),""))</f>
        <v/>
      </c>
      <c r="O1343" s="33">
        <f>IF($D1343="","",IFERROR(IF(INDEX(RUNS!$H$6:$H$1005,MATCH($D1343,RUNS!$A$6:$A$1005,0))="","",INDEX(RUNS!$H$6:$H$1005,MATCH($D1343,RUNS!$A$6:$A$1005,0))),""))</f>
        <v/>
      </c>
      <c r="P1343" s="33">
        <f>IF($D1343="","",IFERROR(IF(INDEX(RUNS!$J$6:$J$1005,MATCH($D1343,RUNS!$A$6:$A$1005,0))="","",INDEX(RUNS!$J$6:$J$1005,MATCH($D1343,RUNS!$A$6:$A$1005,0))),""))</f>
        <v/>
      </c>
      <c r="Q1343" s="33">
        <f>IF($D1343="","",IFERROR(IF(INDEX(RUNS!$K$6:$K$1005,MATCH($D1343,RUNS!$A$6:$A$1005,0))="","",INDEX(RUNS!$K$6:$K$1005,MATCH($D1343,RUNS!$A$6:$A$1005,0))),""))</f>
        <v/>
      </c>
      <c r="R1343" s="34">
        <f>IF(OR($L1343="",$K1343=""),"",IFERROR(IF(INDEX(PARAMETRES!$H$43:$H$342,MATCH($L1343&amp;"|"&amp;$M1343&amp;"|"&amp;$N1343&amp;"|"&amp;$O1343&amp;"|"&amp;$P1343&amp;"|"&amp;$Q1343&amp;"|"&amp;$K1343,PARAMETRES!$J$43:$J$342,0))="","",INDEX(PARAMETRES!$H$43:$H$342,MATCH($L1343&amp;"|"&amp;$M1343&amp;"|"&amp;$N1343&amp;"|"&amp;$O1343&amp;"|"&amp;$P1343&amp;"|"&amp;$Q1343&amp;"|"&amp;$K1343,PARAMETRES!$J$43:$J$342,0))),""))</f>
        <v/>
      </c>
      <c r="S1343" s="35">
        <f>IF(OR($G1343="",$X1343&lt;&gt;"VALIDE"),"",IFERROR(LOOKUP(2,1/(($B443:$B1342=$B1343)*($G443:$G1342=$G1343)*($X443:$X1342="VALIDE")),$C443:$C1342),""))</f>
        <v/>
      </c>
      <c r="T1343" s="36">
        <f>IF(OR($C1343="",$S1343=""),"",ROUND(($C1343-$S1343+IF($C1343&lt;$S1343,1,0))*1440,0))</f>
        <v/>
      </c>
      <c r="U1343" s="22">
        <f>IF(OR($H1343="",$T1343="",$T1343&lt;=0),"",$H1343*60/$T1343)</f>
        <v/>
      </c>
      <c r="V1343" s="37">
        <f>IF(OR($U1343="",$R1343="",$R1343=0),"",$U1343/$R1343)</f>
        <v/>
      </c>
      <c r="W1343" s="20">
        <f>IF($G1343="","",IF($X1343="CONTEXTE INCOMPLET","CONTEXTE INCOMPLET",IF($X1343="DOUBLON",StatutDoublon,IF($S1343="",StatutInitial,IF($R1343="",StatutStandardManquant,IF($V1343="","DONNEES INSUFFISANTES",IF($V1343&gt;=SeuilConforme,StatutConforme,IF($V1343&gt;=SeuilSurveiller,StatutSurveiller,StatutSousStandard))))))))</f>
        <v/>
      </c>
      <c r="X1343" s="33">
        <f>IF($G1343="","",IF(OR($D1343="",$E1343="",$F1343=""),"CONTEXTE INCOMPLET",IF(COUNTIFS($D443:$D1342,$D1343,$E443:$E1342,$E1343,$F443:$F1342,$F1343,$G443:$G1342,$G1343)&gt;0,"DOUBLON","VALIDE")))</f>
        <v/>
      </c>
    </row>
    <row r="1344" ht="15" customHeight="1">
      <c r="A1344" s="12">
        <f>IF(OR($B1344="",$G1344=""),"",TEXT($B1344,"YYYYMMDD")&amp;"-"&amp;SUBSTITUTE($E1344," ","")&amp;"-"&amp;$F1344&amp;"-"&amp;$G1344)</f>
        <v/>
      </c>
      <c r="B1344" s="15" t="n"/>
      <c r="C1344" s="16" t="n"/>
      <c r="D1344" s="10" t="n"/>
      <c r="E1344" s="9" t="n"/>
      <c r="F1344" s="9" t="n"/>
      <c r="G1344" s="13" t="n"/>
      <c r="H1344" s="21" t="n"/>
      <c r="I1344" s="21" t="n"/>
      <c r="J1344" s="17">
        <f>IF($G1344="","",IFERROR(INDEX(NomsEmployes,MATCH($G1344,MatriculesEmployes,0)),"MATRICULE INCONNU"))</f>
        <v/>
      </c>
      <c r="K1344" s="33">
        <f>IF(OR($D1344="",$F1344=""),"",IFERROR(IF(INDEX(RUNS!$L$6:$S$1005,MATCH($D1344,RUNS!$A$6:$A$1005,0),MATCH("ACTIVITÉ "&amp;$F1344,RUNS!$L$5:$S$5,0))="","",INDEX(RUNS!$L$6:$S$1005,MATCH($D1344,RUNS!$A$6:$A$1005,0),MATCH("ACTIVITÉ "&amp;$F1344,RUNS!$L$5:$S$5,0))),""))</f>
        <v/>
      </c>
      <c r="L1344" s="33">
        <f>IF($D1344="","",IFERROR(IF(INDEX(RUNS!$E$6:$E$1005,MATCH($D1344,RUNS!$A$6:$A$1005,0))="","",INDEX(RUNS!$E$6:$E$1005,MATCH($D1344,RUNS!$A$6:$A$1005,0))),""))</f>
        <v/>
      </c>
      <c r="M1344" s="33">
        <f>IF($D1344="","",IFERROR(IF(INDEX(RUNS!$F$6:$F$1005,MATCH($D1344,RUNS!$A$6:$A$1005,0))="","",INDEX(RUNS!$F$6:$F$1005,MATCH($D1344,RUNS!$A$6:$A$1005,0))),""))</f>
        <v/>
      </c>
      <c r="N1344" s="33">
        <f>IF($D1344="","",IFERROR(IF(INDEX(RUNS!$G$6:$G$1005,MATCH($D1344,RUNS!$A$6:$A$1005,0))="","",INDEX(RUNS!$G$6:$G$1005,MATCH($D1344,RUNS!$A$6:$A$1005,0))),""))</f>
        <v/>
      </c>
      <c r="O1344" s="33">
        <f>IF($D1344="","",IFERROR(IF(INDEX(RUNS!$H$6:$H$1005,MATCH($D1344,RUNS!$A$6:$A$1005,0))="","",INDEX(RUNS!$H$6:$H$1005,MATCH($D1344,RUNS!$A$6:$A$1005,0))),""))</f>
        <v/>
      </c>
      <c r="P1344" s="33">
        <f>IF($D1344="","",IFERROR(IF(INDEX(RUNS!$J$6:$J$1005,MATCH($D1344,RUNS!$A$6:$A$1005,0))="","",INDEX(RUNS!$J$6:$J$1005,MATCH($D1344,RUNS!$A$6:$A$1005,0))),""))</f>
        <v/>
      </c>
      <c r="Q1344" s="33">
        <f>IF($D1344="","",IFERROR(IF(INDEX(RUNS!$K$6:$K$1005,MATCH($D1344,RUNS!$A$6:$A$1005,0))="","",INDEX(RUNS!$K$6:$K$1005,MATCH($D1344,RUNS!$A$6:$A$1005,0))),""))</f>
        <v/>
      </c>
      <c r="R1344" s="34">
        <f>IF(OR($L1344="",$K1344=""),"",IFERROR(IF(INDEX(PARAMETRES!$H$43:$H$342,MATCH($L1344&amp;"|"&amp;$M1344&amp;"|"&amp;$N1344&amp;"|"&amp;$O1344&amp;"|"&amp;$P1344&amp;"|"&amp;$Q1344&amp;"|"&amp;$K1344,PARAMETRES!$J$43:$J$342,0))="","",INDEX(PARAMETRES!$H$43:$H$342,MATCH($L1344&amp;"|"&amp;$M1344&amp;"|"&amp;$N1344&amp;"|"&amp;$O1344&amp;"|"&amp;$P1344&amp;"|"&amp;$Q1344&amp;"|"&amp;$K1344,PARAMETRES!$J$43:$J$342,0))),""))</f>
        <v/>
      </c>
      <c r="S1344" s="35">
        <f>IF(OR($G1344="",$X1344&lt;&gt;"VALIDE"),"",IFERROR(LOOKUP(2,1/(($B444:$B1343=$B1344)*($G444:$G1343=$G1344)*($X444:$X1343="VALIDE")),$C444:$C1343),""))</f>
        <v/>
      </c>
      <c r="T1344" s="36">
        <f>IF(OR($C1344="",$S1344=""),"",ROUND(($C1344-$S1344+IF($C1344&lt;$S1344,1,0))*1440,0))</f>
        <v/>
      </c>
      <c r="U1344" s="22">
        <f>IF(OR($H1344="",$T1344="",$T1344&lt;=0),"",$H1344*60/$T1344)</f>
        <v/>
      </c>
      <c r="V1344" s="37">
        <f>IF(OR($U1344="",$R1344="",$R1344=0),"",$U1344/$R1344)</f>
        <v/>
      </c>
      <c r="W1344" s="20">
        <f>IF($G1344="","",IF($X1344="CONTEXTE INCOMPLET","CONTEXTE INCOMPLET",IF($X1344="DOUBLON",StatutDoublon,IF($S1344="",StatutInitial,IF($R1344="",StatutStandardManquant,IF($V1344="","DONNEES INSUFFISANTES",IF($V1344&gt;=SeuilConforme,StatutConforme,IF($V1344&gt;=SeuilSurveiller,StatutSurveiller,StatutSousStandard))))))))</f>
        <v/>
      </c>
      <c r="X1344" s="33">
        <f>IF($G1344="","",IF(OR($D1344="",$E1344="",$F1344=""),"CONTEXTE INCOMPLET",IF(COUNTIFS($D444:$D1343,$D1344,$E444:$E1343,$E1344,$F444:$F1343,$F1344,$G444:$G1343,$G1344)&gt;0,"DOUBLON","VALIDE")))</f>
        <v/>
      </c>
    </row>
    <row r="1345" ht="15" customHeight="1">
      <c r="A1345" s="12">
        <f>IF(OR($B1345="",$G1345=""),"",TEXT($B1345,"YYYYMMDD")&amp;"-"&amp;SUBSTITUTE($E1345," ","")&amp;"-"&amp;$F1345&amp;"-"&amp;$G1345)</f>
        <v/>
      </c>
      <c r="B1345" s="15" t="n"/>
      <c r="C1345" s="16" t="n"/>
      <c r="D1345" s="10" t="n"/>
      <c r="E1345" s="9" t="n"/>
      <c r="F1345" s="9" t="n"/>
      <c r="G1345" s="13" t="n"/>
      <c r="H1345" s="21" t="n"/>
      <c r="I1345" s="21" t="n"/>
      <c r="J1345" s="17">
        <f>IF($G1345="","",IFERROR(INDEX(NomsEmployes,MATCH($G1345,MatriculesEmployes,0)),"MATRICULE INCONNU"))</f>
        <v/>
      </c>
      <c r="K1345" s="33">
        <f>IF(OR($D1345="",$F1345=""),"",IFERROR(IF(INDEX(RUNS!$L$6:$S$1005,MATCH($D1345,RUNS!$A$6:$A$1005,0),MATCH("ACTIVITÉ "&amp;$F1345,RUNS!$L$5:$S$5,0))="","",INDEX(RUNS!$L$6:$S$1005,MATCH($D1345,RUNS!$A$6:$A$1005,0),MATCH("ACTIVITÉ "&amp;$F1345,RUNS!$L$5:$S$5,0))),""))</f>
        <v/>
      </c>
      <c r="L1345" s="33">
        <f>IF($D1345="","",IFERROR(IF(INDEX(RUNS!$E$6:$E$1005,MATCH($D1345,RUNS!$A$6:$A$1005,0))="","",INDEX(RUNS!$E$6:$E$1005,MATCH($D1345,RUNS!$A$6:$A$1005,0))),""))</f>
        <v/>
      </c>
      <c r="M1345" s="33">
        <f>IF($D1345="","",IFERROR(IF(INDEX(RUNS!$F$6:$F$1005,MATCH($D1345,RUNS!$A$6:$A$1005,0))="","",INDEX(RUNS!$F$6:$F$1005,MATCH($D1345,RUNS!$A$6:$A$1005,0))),""))</f>
        <v/>
      </c>
      <c r="N1345" s="33">
        <f>IF($D1345="","",IFERROR(IF(INDEX(RUNS!$G$6:$G$1005,MATCH($D1345,RUNS!$A$6:$A$1005,0))="","",INDEX(RUNS!$G$6:$G$1005,MATCH($D1345,RUNS!$A$6:$A$1005,0))),""))</f>
        <v/>
      </c>
      <c r="O1345" s="33">
        <f>IF($D1345="","",IFERROR(IF(INDEX(RUNS!$H$6:$H$1005,MATCH($D1345,RUNS!$A$6:$A$1005,0))="","",INDEX(RUNS!$H$6:$H$1005,MATCH($D1345,RUNS!$A$6:$A$1005,0))),""))</f>
        <v/>
      </c>
      <c r="P1345" s="33">
        <f>IF($D1345="","",IFERROR(IF(INDEX(RUNS!$J$6:$J$1005,MATCH($D1345,RUNS!$A$6:$A$1005,0))="","",INDEX(RUNS!$J$6:$J$1005,MATCH($D1345,RUNS!$A$6:$A$1005,0))),""))</f>
        <v/>
      </c>
      <c r="Q1345" s="33">
        <f>IF($D1345="","",IFERROR(IF(INDEX(RUNS!$K$6:$K$1005,MATCH($D1345,RUNS!$A$6:$A$1005,0))="","",INDEX(RUNS!$K$6:$K$1005,MATCH($D1345,RUNS!$A$6:$A$1005,0))),""))</f>
        <v/>
      </c>
      <c r="R1345" s="34">
        <f>IF(OR($L1345="",$K1345=""),"",IFERROR(IF(INDEX(PARAMETRES!$H$43:$H$342,MATCH($L1345&amp;"|"&amp;$M1345&amp;"|"&amp;$N1345&amp;"|"&amp;$O1345&amp;"|"&amp;$P1345&amp;"|"&amp;$Q1345&amp;"|"&amp;$K1345,PARAMETRES!$J$43:$J$342,0))="","",INDEX(PARAMETRES!$H$43:$H$342,MATCH($L1345&amp;"|"&amp;$M1345&amp;"|"&amp;$N1345&amp;"|"&amp;$O1345&amp;"|"&amp;$P1345&amp;"|"&amp;$Q1345&amp;"|"&amp;$K1345,PARAMETRES!$J$43:$J$342,0))),""))</f>
        <v/>
      </c>
      <c r="S1345" s="35">
        <f>IF(OR($G1345="",$X1345&lt;&gt;"VALIDE"),"",IFERROR(LOOKUP(2,1/(($B445:$B1344=$B1345)*($G445:$G1344=$G1345)*($X445:$X1344="VALIDE")),$C445:$C1344),""))</f>
        <v/>
      </c>
      <c r="T1345" s="36">
        <f>IF(OR($C1345="",$S1345=""),"",ROUND(($C1345-$S1345+IF($C1345&lt;$S1345,1,0))*1440,0))</f>
        <v/>
      </c>
      <c r="U1345" s="22">
        <f>IF(OR($H1345="",$T1345="",$T1345&lt;=0),"",$H1345*60/$T1345)</f>
        <v/>
      </c>
      <c r="V1345" s="37">
        <f>IF(OR($U1345="",$R1345="",$R1345=0),"",$U1345/$R1345)</f>
        <v/>
      </c>
      <c r="W1345" s="20">
        <f>IF($G1345="","",IF($X1345="CONTEXTE INCOMPLET","CONTEXTE INCOMPLET",IF($X1345="DOUBLON",StatutDoublon,IF($S1345="",StatutInitial,IF($R1345="",StatutStandardManquant,IF($V1345="","DONNEES INSUFFISANTES",IF($V1345&gt;=SeuilConforme,StatutConforme,IF($V1345&gt;=SeuilSurveiller,StatutSurveiller,StatutSousStandard))))))))</f>
        <v/>
      </c>
      <c r="X1345" s="33">
        <f>IF($G1345="","",IF(OR($D1345="",$E1345="",$F1345=""),"CONTEXTE INCOMPLET",IF(COUNTIFS($D445:$D1344,$D1345,$E445:$E1344,$E1345,$F445:$F1344,$F1345,$G445:$G1344,$G1345)&gt;0,"DOUBLON","VALIDE")))</f>
        <v/>
      </c>
    </row>
    <row r="1346" ht="15" customHeight="1">
      <c r="A1346" s="12">
        <f>IF(OR($B1346="",$G1346=""),"",TEXT($B1346,"YYYYMMDD")&amp;"-"&amp;SUBSTITUTE($E1346," ","")&amp;"-"&amp;$F1346&amp;"-"&amp;$G1346)</f>
        <v/>
      </c>
      <c r="B1346" s="15" t="n"/>
      <c r="C1346" s="16" t="n"/>
      <c r="D1346" s="10" t="n"/>
      <c r="E1346" s="9" t="n"/>
      <c r="F1346" s="9" t="n"/>
      <c r="G1346" s="13" t="n"/>
      <c r="H1346" s="21" t="n"/>
      <c r="I1346" s="21" t="n"/>
      <c r="J1346" s="17">
        <f>IF($G1346="","",IFERROR(INDEX(NomsEmployes,MATCH($G1346,MatriculesEmployes,0)),"MATRICULE INCONNU"))</f>
        <v/>
      </c>
      <c r="K1346" s="33">
        <f>IF(OR($D1346="",$F1346=""),"",IFERROR(IF(INDEX(RUNS!$L$6:$S$1005,MATCH($D1346,RUNS!$A$6:$A$1005,0),MATCH("ACTIVITÉ "&amp;$F1346,RUNS!$L$5:$S$5,0))="","",INDEX(RUNS!$L$6:$S$1005,MATCH($D1346,RUNS!$A$6:$A$1005,0),MATCH("ACTIVITÉ "&amp;$F1346,RUNS!$L$5:$S$5,0))),""))</f>
        <v/>
      </c>
      <c r="L1346" s="33">
        <f>IF($D1346="","",IFERROR(IF(INDEX(RUNS!$E$6:$E$1005,MATCH($D1346,RUNS!$A$6:$A$1005,0))="","",INDEX(RUNS!$E$6:$E$1005,MATCH($D1346,RUNS!$A$6:$A$1005,0))),""))</f>
        <v/>
      </c>
      <c r="M1346" s="33">
        <f>IF($D1346="","",IFERROR(IF(INDEX(RUNS!$F$6:$F$1005,MATCH($D1346,RUNS!$A$6:$A$1005,0))="","",INDEX(RUNS!$F$6:$F$1005,MATCH($D1346,RUNS!$A$6:$A$1005,0))),""))</f>
        <v/>
      </c>
      <c r="N1346" s="33">
        <f>IF($D1346="","",IFERROR(IF(INDEX(RUNS!$G$6:$G$1005,MATCH($D1346,RUNS!$A$6:$A$1005,0))="","",INDEX(RUNS!$G$6:$G$1005,MATCH($D1346,RUNS!$A$6:$A$1005,0))),""))</f>
        <v/>
      </c>
      <c r="O1346" s="33">
        <f>IF($D1346="","",IFERROR(IF(INDEX(RUNS!$H$6:$H$1005,MATCH($D1346,RUNS!$A$6:$A$1005,0))="","",INDEX(RUNS!$H$6:$H$1005,MATCH($D1346,RUNS!$A$6:$A$1005,0))),""))</f>
        <v/>
      </c>
      <c r="P1346" s="33">
        <f>IF($D1346="","",IFERROR(IF(INDEX(RUNS!$J$6:$J$1005,MATCH($D1346,RUNS!$A$6:$A$1005,0))="","",INDEX(RUNS!$J$6:$J$1005,MATCH($D1346,RUNS!$A$6:$A$1005,0))),""))</f>
        <v/>
      </c>
      <c r="Q1346" s="33">
        <f>IF($D1346="","",IFERROR(IF(INDEX(RUNS!$K$6:$K$1005,MATCH($D1346,RUNS!$A$6:$A$1005,0))="","",INDEX(RUNS!$K$6:$K$1005,MATCH($D1346,RUNS!$A$6:$A$1005,0))),""))</f>
        <v/>
      </c>
      <c r="R1346" s="34">
        <f>IF(OR($L1346="",$K1346=""),"",IFERROR(IF(INDEX(PARAMETRES!$H$43:$H$342,MATCH($L1346&amp;"|"&amp;$M1346&amp;"|"&amp;$N1346&amp;"|"&amp;$O1346&amp;"|"&amp;$P1346&amp;"|"&amp;$Q1346&amp;"|"&amp;$K1346,PARAMETRES!$J$43:$J$342,0))="","",INDEX(PARAMETRES!$H$43:$H$342,MATCH($L1346&amp;"|"&amp;$M1346&amp;"|"&amp;$N1346&amp;"|"&amp;$O1346&amp;"|"&amp;$P1346&amp;"|"&amp;$Q1346&amp;"|"&amp;$K1346,PARAMETRES!$J$43:$J$342,0))),""))</f>
        <v/>
      </c>
      <c r="S1346" s="35">
        <f>IF(OR($G1346="",$X1346&lt;&gt;"VALIDE"),"",IFERROR(LOOKUP(2,1/(($B446:$B1345=$B1346)*($G446:$G1345=$G1346)*($X446:$X1345="VALIDE")),$C446:$C1345),""))</f>
        <v/>
      </c>
      <c r="T1346" s="36">
        <f>IF(OR($C1346="",$S1346=""),"",ROUND(($C1346-$S1346+IF($C1346&lt;$S1346,1,0))*1440,0))</f>
        <v/>
      </c>
      <c r="U1346" s="22">
        <f>IF(OR($H1346="",$T1346="",$T1346&lt;=0),"",$H1346*60/$T1346)</f>
        <v/>
      </c>
      <c r="V1346" s="37">
        <f>IF(OR($U1346="",$R1346="",$R1346=0),"",$U1346/$R1346)</f>
        <v/>
      </c>
      <c r="W1346" s="20">
        <f>IF($G1346="","",IF($X1346="CONTEXTE INCOMPLET","CONTEXTE INCOMPLET",IF($X1346="DOUBLON",StatutDoublon,IF($S1346="",StatutInitial,IF($R1346="",StatutStandardManquant,IF($V1346="","DONNEES INSUFFISANTES",IF($V1346&gt;=SeuilConforme,StatutConforme,IF($V1346&gt;=SeuilSurveiller,StatutSurveiller,StatutSousStandard))))))))</f>
        <v/>
      </c>
      <c r="X1346" s="33">
        <f>IF($G1346="","",IF(OR($D1346="",$E1346="",$F1346=""),"CONTEXTE INCOMPLET",IF(COUNTIFS($D446:$D1345,$D1346,$E446:$E1345,$E1346,$F446:$F1345,$F1346,$G446:$G1345,$G1346)&gt;0,"DOUBLON","VALIDE")))</f>
        <v/>
      </c>
    </row>
    <row r="1347" ht="15" customHeight="1">
      <c r="A1347" s="12">
        <f>IF(OR($B1347="",$G1347=""),"",TEXT($B1347,"YYYYMMDD")&amp;"-"&amp;SUBSTITUTE($E1347," ","")&amp;"-"&amp;$F1347&amp;"-"&amp;$G1347)</f>
        <v/>
      </c>
      <c r="B1347" s="15" t="n"/>
      <c r="C1347" s="16" t="n"/>
      <c r="D1347" s="10" t="n"/>
      <c r="E1347" s="9" t="n"/>
      <c r="F1347" s="9" t="n"/>
      <c r="G1347" s="13" t="n"/>
      <c r="H1347" s="21" t="n"/>
      <c r="I1347" s="21" t="n"/>
      <c r="J1347" s="17">
        <f>IF($G1347="","",IFERROR(INDEX(NomsEmployes,MATCH($G1347,MatriculesEmployes,0)),"MATRICULE INCONNU"))</f>
        <v/>
      </c>
      <c r="K1347" s="33">
        <f>IF(OR($D1347="",$F1347=""),"",IFERROR(IF(INDEX(RUNS!$L$6:$S$1005,MATCH($D1347,RUNS!$A$6:$A$1005,0),MATCH("ACTIVITÉ "&amp;$F1347,RUNS!$L$5:$S$5,0))="","",INDEX(RUNS!$L$6:$S$1005,MATCH($D1347,RUNS!$A$6:$A$1005,0),MATCH("ACTIVITÉ "&amp;$F1347,RUNS!$L$5:$S$5,0))),""))</f>
        <v/>
      </c>
      <c r="L1347" s="33">
        <f>IF($D1347="","",IFERROR(IF(INDEX(RUNS!$E$6:$E$1005,MATCH($D1347,RUNS!$A$6:$A$1005,0))="","",INDEX(RUNS!$E$6:$E$1005,MATCH($D1347,RUNS!$A$6:$A$1005,0))),""))</f>
        <v/>
      </c>
      <c r="M1347" s="33">
        <f>IF($D1347="","",IFERROR(IF(INDEX(RUNS!$F$6:$F$1005,MATCH($D1347,RUNS!$A$6:$A$1005,0))="","",INDEX(RUNS!$F$6:$F$1005,MATCH($D1347,RUNS!$A$6:$A$1005,0))),""))</f>
        <v/>
      </c>
      <c r="N1347" s="33">
        <f>IF($D1347="","",IFERROR(IF(INDEX(RUNS!$G$6:$G$1005,MATCH($D1347,RUNS!$A$6:$A$1005,0))="","",INDEX(RUNS!$G$6:$G$1005,MATCH($D1347,RUNS!$A$6:$A$1005,0))),""))</f>
        <v/>
      </c>
      <c r="O1347" s="33">
        <f>IF($D1347="","",IFERROR(IF(INDEX(RUNS!$H$6:$H$1005,MATCH($D1347,RUNS!$A$6:$A$1005,0))="","",INDEX(RUNS!$H$6:$H$1005,MATCH($D1347,RUNS!$A$6:$A$1005,0))),""))</f>
        <v/>
      </c>
      <c r="P1347" s="33">
        <f>IF($D1347="","",IFERROR(IF(INDEX(RUNS!$J$6:$J$1005,MATCH($D1347,RUNS!$A$6:$A$1005,0))="","",INDEX(RUNS!$J$6:$J$1005,MATCH($D1347,RUNS!$A$6:$A$1005,0))),""))</f>
        <v/>
      </c>
      <c r="Q1347" s="33">
        <f>IF($D1347="","",IFERROR(IF(INDEX(RUNS!$K$6:$K$1005,MATCH($D1347,RUNS!$A$6:$A$1005,0))="","",INDEX(RUNS!$K$6:$K$1005,MATCH($D1347,RUNS!$A$6:$A$1005,0))),""))</f>
        <v/>
      </c>
      <c r="R1347" s="34">
        <f>IF(OR($L1347="",$K1347=""),"",IFERROR(IF(INDEX(PARAMETRES!$H$43:$H$342,MATCH($L1347&amp;"|"&amp;$M1347&amp;"|"&amp;$N1347&amp;"|"&amp;$O1347&amp;"|"&amp;$P1347&amp;"|"&amp;$Q1347&amp;"|"&amp;$K1347,PARAMETRES!$J$43:$J$342,0))="","",INDEX(PARAMETRES!$H$43:$H$342,MATCH($L1347&amp;"|"&amp;$M1347&amp;"|"&amp;$N1347&amp;"|"&amp;$O1347&amp;"|"&amp;$P1347&amp;"|"&amp;$Q1347&amp;"|"&amp;$K1347,PARAMETRES!$J$43:$J$342,0))),""))</f>
        <v/>
      </c>
      <c r="S1347" s="35">
        <f>IF(OR($G1347="",$X1347&lt;&gt;"VALIDE"),"",IFERROR(LOOKUP(2,1/(($B447:$B1346=$B1347)*($G447:$G1346=$G1347)*($X447:$X1346="VALIDE")),$C447:$C1346),""))</f>
        <v/>
      </c>
      <c r="T1347" s="36">
        <f>IF(OR($C1347="",$S1347=""),"",ROUND(($C1347-$S1347+IF($C1347&lt;$S1347,1,0))*1440,0))</f>
        <v/>
      </c>
      <c r="U1347" s="22">
        <f>IF(OR($H1347="",$T1347="",$T1347&lt;=0),"",$H1347*60/$T1347)</f>
        <v/>
      </c>
      <c r="V1347" s="37">
        <f>IF(OR($U1347="",$R1347="",$R1347=0),"",$U1347/$R1347)</f>
        <v/>
      </c>
      <c r="W1347" s="20">
        <f>IF($G1347="","",IF($X1347="CONTEXTE INCOMPLET","CONTEXTE INCOMPLET",IF($X1347="DOUBLON",StatutDoublon,IF($S1347="",StatutInitial,IF($R1347="",StatutStandardManquant,IF($V1347="","DONNEES INSUFFISANTES",IF($V1347&gt;=SeuilConforme,StatutConforme,IF($V1347&gt;=SeuilSurveiller,StatutSurveiller,StatutSousStandard))))))))</f>
        <v/>
      </c>
      <c r="X1347" s="33">
        <f>IF($G1347="","",IF(OR($D1347="",$E1347="",$F1347=""),"CONTEXTE INCOMPLET",IF(COUNTIFS($D447:$D1346,$D1347,$E447:$E1346,$E1347,$F447:$F1346,$F1347,$G447:$G1346,$G1347)&gt;0,"DOUBLON","VALIDE")))</f>
        <v/>
      </c>
    </row>
    <row r="1348" ht="15" customHeight="1">
      <c r="A1348" s="12">
        <f>IF(OR($B1348="",$G1348=""),"",TEXT($B1348,"YYYYMMDD")&amp;"-"&amp;SUBSTITUTE($E1348," ","")&amp;"-"&amp;$F1348&amp;"-"&amp;$G1348)</f>
        <v/>
      </c>
      <c r="B1348" s="15" t="n"/>
      <c r="C1348" s="16" t="n"/>
      <c r="D1348" s="10" t="n"/>
      <c r="E1348" s="9" t="n"/>
      <c r="F1348" s="9" t="n"/>
      <c r="G1348" s="13" t="n"/>
      <c r="H1348" s="21" t="n"/>
      <c r="I1348" s="21" t="n"/>
      <c r="J1348" s="17">
        <f>IF($G1348="","",IFERROR(INDEX(NomsEmployes,MATCH($G1348,MatriculesEmployes,0)),"MATRICULE INCONNU"))</f>
        <v/>
      </c>
      <c r="K1348" s="33">
        <f>IF(OR($D1348="",$F1348=""),"",IFERROR(IF(INDEX(RUNS!$L$6:$S$1005,MATCH($D1348,RUNS!$A$6:$A$1005,0),MATCH("ACTIVITÉ "&amp;$F1348,RUNS!$L$5:$S$5,0))="","",INDEX(RUNS!$L$6:$S$1005,MATCH($D1348,RUNS!$A$6:$A$1005,0),MATCH("ACTIVITÉ "&amp;$F1348,RUNS!$L$5:$S$5,0))),""))</f>
        <v/>
      </c>
      <c r="L1348" s="33">
        <f>IF($D1348="","",IFERROR(IF(INDEX(RUNS!$E$6:$E$1005,MATCH($D1348,RUNS!$A$6:$A$1005,0))="","",INDEX(RUNS!$E$6:$E$1005,MATCH($D1348,RUNS!$A$6:$A$1005,0))),""))</f>
        <v/>
      </c>
      <c r="M1348" s="33">
        <f>IF($D1348="","",IFERROR(IF(INDEX(RUNS!$F$6:$F$1005,MATCH($D1348,RUNS!$A$6:$A$1005,0))="","",INDEX(RUNS!$F$6:$F$1005,MATCH($D1348,RUNS!$A$6:$A$1005,0))),""))</f>
        <v/>
      </c>
      <c r="N1348" s="33">
        <f>IF($D1348="","",IFERROR(IF(INDEX(RUNS!$G$6:$G$1005,MATCH($D1348,RUNS!$A$6:$A$1005,0))="","",INDEX(RUNS!$G$6:$G$1005,MATCH($D1348,RUNS!$A$6:$A$1005,0))),""))</f>
        <v/>
      </c>
      <c r="O1348" s="33">
        <f>IF($D1348="","",IFERROR(IF(INDEX(RUNS!$H$6:$H$1005,MATCH($D1348,RUNS!$A$6:$A$1005,0))="","",INDEX(RUNS!$H$6:$H$1005,MATCH($D1348,RUNS!$A$6:$A$1005,0))),""))</f>
        <v/>
      </c>
      <c r="P1348" s="33">
        <f>IF($D1348="","",IFERROR(IF(INDEX(RUNS!$J$6:$J$1005,MATCH($D1348,RUNS!$A$6:$A$1005,0))="","",INDEX(RUNS!$J$6:$J$1005,MATCH($D1348,RUNS!$A$6:$A$1005,0))),""))</f>
        <v/>
      </c>
      <c r="Q1348" s="33">
        <f>IF($D1348="","",IFERROR(IF(INDEX(RUNS!$K$6:$K$1005,MATCH($D1348,RUNS!$A$6:$A$1005,0))="","",INDEX(RUNS!$K$6:$K$1005,MATCH($D1348,RUNS!$A$6:$A$1005,0))),""))</f>
        <v/>
      </c>
      <c r="R1348" s="34">
        <f>IF(OR($L1348="",$K1348=""),"",IFERROR(IF(INDEX(PARAMETRES!$H$43:$H$342,MATCH($L1348&amp;"|"&amp;$M1348&amp;"|"&amp;$N1348&amp;"|"&amp;$O1348&amp;"|"&amp;$P1348&amp;"|"&amp;$Q1348&amp;"|"&amp;$K1348,PARAMETRES!$J$43:$J$342,0))="","",INDEX(PARAMETRES!$H$43:$H$342,MATCH($L1348&amp;"|"&amp;$M1348&amp;"|"&amp;$N1348&amp;"|"&amp;$O1348&amp;"|"&amp;$P1348&amp;"|"&amp;$Q1348&amp;"|"&amp;$K1348,PARAMETRES!$J$43:$J$342,0))),""))</f>
        <v/>
      </c>
      <c r="S1348" s="35">
        <f>IF(OR($G1348="",$X1348&lt;&gt;"VALIDE"),"",IFERROR(LOOKUP(2,1/(($B448:$B1347=$B1348)*($G448:$G1347=$G1348)*($X448:$X1347="VALIDE")),$C448:$C1347),""))</f>
        <v/>
      </c>
      <c r="T1348" s="36">
        <f>IF(OR($C1348="",$S1348=""),"",ROUND(($C1348-$S1348+IF($C1348&lt;$S1348,1,0))*1440,0))</f>
        <v/>
      </c>
      <c r="U1348" s="22">
        <f>IF(OR($H1348="",$T1348="",$T1348&lt;=0),"",$H1348*60/$T1348)</f>
        <v/>
      </c>
      <c r="V1348" s="37">
        <f>IF(OR($U1348="",$R1348="",$R1348=0),"",$U1348/$R1348)</f>
        <v/>
      </c>
      <c r="W1348" s="20">
        <f>IF($G1348="","",IF($X1348="CONTEXTE INCOMPLET","CONTEXTE INCOMPLET",IF($X1348="DOUBLON",StatutDoublon,IF($S1348="",StatutInitial,IF($R1348="",StatutStandardManquant,IF($V1348="","DONNEES INSUFFISANTES",IF($V1348&gt;=SeuilConforme,StatutConforme,IF($V1348&gt;=SeuilSurveiller,StatutSurveiller,StatutSousStandard))))))))</f>
        <v/>
      </c>
      <c r="X1348" s="33">
        <f>IF($G1348="","",IF(OR($D1348="",$E1348="",$F1348=""),"CONTEXTE INCOMPLET",IF(COUNTIFS($D448:$D1347,$D1348,$E448:$E1347,$E1348,$F448:$F1347,$F1348,$G448:$G1347,$G1348)&gt;0,"DOUBLON","VALIDE")))</f>
        <v/>
      </c>
    </row>
    <row r="1349" ht="15" customHeight="1">
      <c r="A1349" s="12">
        <f>IF(OR($B1349="",$G1349=""),"",TEXT($B1349,"YYYYMMDD")&amp;"-"&amp;SUBSTITUTE($E1349," ","")&amp;"-"&amp;$F1349&amp;"-"&amp;$G1349)</f>
        <v/>
      </c>
      <c r="B1349" s="15" t="n"/>
      <c r="C1349" s="16" t="n"/>
      <c r="D1349" s="10" t="n"/>
      <c r="E1349" s="9" t="n"/>
      <c r="F1349" s="9" t="n"/>
      <c r="G1349" s="13" t="n"/>
      <c r="H1349" s="21" t="n"/>
      <c r="I1349" s="21" t="n"/>
      <c r="J1349" s="17">
        <f>IF($G1349="","",IFERROR(INDEX(NomsEmployes,MATCH($G1349,MatriculesEmployes,0)),"MATRICULE INCONNU"))</f>
        <v/>
      </c>
      <c r="K1349" s="33">
        <f>IF(OR($D1349="",$F1349=""),"",IFERROR(IF(INDEX(RUNS!$L$6:$S$1005,MATCH($D1349,RUNS!$A$6:$A$1005,0),MATCH("ACTIVITÉ "&amp;$F1349,RUNS!$L$5:$S$5,0))="","",INDEX(RUNS!$L$6:$S$1005,MATCH($D1349,RUNS!$A$6:$A$1005,0),MATCH("ACTIVITÉ "&amp;$F1349,RUNS!$L$5:$S$5,0))),""))</f>
        <v/>
      </c>
      <c r="L1349" s="33">
        <f>IF($D1349="","",IFERROR(IF(INDEX(RUNS!$E$6:$E$1005,MATCH($D1349,RUNS!$A$6:$A$1005,0))="","",INDEX(RUNS!$E$6:$E$1005,MATCH($D1349,RUNS!$A$6:$A$1005,0))),""))</f>
        <v/>
      </c>
      <c r="M1349" s="33">
        <f>IF($D1349="","",IFERROR(IF(INDEX(RUNS!$F$6:$F$1005,MATCH($D1349,RUNS!$A$6:$A$1005,0))="","",INDEX(RUNS!$F$6:$F$1005,MATCH($D1349,RUNS!$A$6:$A$1005,0))),""))</f>
        <v/>
      </c>
      <c r="N1349" s="33">
        <f>IF($D1349="","",IFERROR(IF(INDEX(RUNS!$G$6:$G$1005,MATCH($D1349,RUNS!$A$6:$A$1005,0))="","",INDEX(RUNS!$G$6:$G$1005,MATCH($D1349,RUNS!$A$6:$A$1005,0))),""))</f>
        <v/>
      </c>
      <c r="O1349" s="33">
        <f>IF($D1349="","",IFERROR(IF(INDEX(RUNS!$H$6:$H$1005,MATCH($D1349,RUNS!$A$6:$A$1005,0))="","",INDEX(RUNS!$H$6:$H$1005,MATCH($D1349,RUNS!$A$6:$A$1005,0))),""))</f>
        <v/>
      </c>
      <c r="P1349" s="33">
        <f>IF($D1349="","",IFERROR(IF(INDEX(RUNS!$J$6:$J$1005,MATCH($D1349,RUNS!$A$6:$A$1005,0))="","",INDEX(RUNS!$J$6:$J$1005,MATCH($D1349,RUNS!$A$6:$A$1005,0))),""))</f>
        <v/>
      </c>
      <c r="Q1349" s="33">
        <f>IF($D1349="","",IFERROR(IF(INDEX(RUNS!$K$6:$K$1005,MATCH($D1349,RUNS!$A$6:$A$1005,0))="","",INDEX(RUNS!$K$6:$K$1005,MATCH($D1349,RUNS!$A$6:$A$1005,0))),""))</f>
        <v/>
      </c>
      <c r="R1349" s="34">
        <f>IF(OR($L1349="",$K1349=""),"",IFERROR(IF(INDEX(PARAMETRES!$H$43:$H$342,MATCH($L1349&amp;"|"&amp;$M1349&amp;"|"&amp;$N1349&amp;"|"&amp;$O1349&amp;"|"&amp;$P1349&amp;"|"&amp;$Q1349&amp;"|"&amp;$K1349,PARAMETRES!$J$43:$J$342,0))="","",INDEX(PARAMETRES!$H$43:$H$342,MATCH($L1349&amp;"|"&amp;$M1349&amp;"|"&amp;$N1349&amp;"|"&amp;$O1349&amp;"|"&amp;$P1349&amp;"|"&amp;$Q1349&amp;"|"&amp;$K1349,PARAMETRES!$J$43:$J$342,0))),""))</f>
        <v/>
      </c>
      <c r="S1349" s="35">
        <f>IF(OR($G1349="",$X1349&lt;&gt;"VALIDE"),"",IFERROR(LOOKUP(2,1/(($B449:$B1348=$B1349)*($G449:$G1348=$G1349)*($X449:$X1348="VALIDE")),$C449:$C1348),""))</f>
        <v/>
      </c>
      <c r="T1349" s="36">
        <f>IF(OR($C1349="",$S1349=""),"",ROUND(($C1349-$S1349+IF($C1349&lt;$S1349,1,0))*1440,0))</f>
        <v/>
      </c>
      <c r="U1349" s="22">
        <f>IF(OR($H1349="",$T1349="",$T1349&lt;=0),"",$H1349*60/$T1349)</f>
        <v/>
      </c>
      <c r="V1349" s="37">
        <f>IF(OR($U1349="",$R1349="",$R1349=0),"",$U1349/$R1349)</f>
        <v/>
      </c>
      <c r="W1349" s="20">
        <f>IF($G1349="","",IF($X1349="CONTEXTE INCOMPLET","CONTEXTE INCOMPLET",IF($X1349="DOUBLON",StatutDoublon,IF($S1349="",StatutInitial,IF($R1349="",StatutStandardManquant,IF($V1349="","DONNEES INSUFFISANTES",IF($V1349&gt;=SeuilConforme,StatutConforme,IF($V1349&gt;=SeuilSurveiller,StatutSurveiller,StatutSousStandard))))))))</f>
        <v/>
      </c>
      <c r="X1349" s="33">
        <f>IF($G1349="","",IF(OR($D1349="",$E1349="",$F1349=""),"CONTEXTE INCOMPLET",IF(COUNTIFS($D449:$D1348,$D1349,$E449:$E1348,$E1349,$F449:$F1348,$F1349,$G449:$G1348,$G1349)&gt;0,"DOUBLON","VALIDE")))</f>
        <v/>
      </c>
    </row>
    <row r="1350" ht="15" customHeight="1">
      <c r="A1350" s="12">
        <f>IF(OR($B1350="",$G1350=""),"",TEXT($B1350,"YYYYMMDD")&amp;"-"&amp;SUBSTITUTE($E1350," ","")&amp;"-"&amp;$F1350&amp;"-"&amp;$G1350)</f>
        <v/>
      </c>
      <c r="B1350" s="15" t="n"/>
      <c r="C1350" s="16" t="n"/>
      <c r="D1350" s="10" t="n"/>
      <c r="E1350" s="9" t="n"/>
      <c r="F1350" s="9" t="n"/>
      <c r="G1350" s="13" t="n"/>
      <c r="H1350" s="21" t="n"/>
      <c r="I1350" s="21" t="n"/>
      <c r="J1350" s="17">
        <f>IF($G1350="","",IFERROR(INDEX(NomsEmployes,MATCH($G1350,MatriculesEmployes,0)),"MATRICULE INCONNU"))</f>
        <v/>
      </c>
      <c r="K1350" s="33">
        <f>IF(OR($D1350="",$F1350=""),"",IFERROR(IF(INDEX(RUNS!$L$6:$S$1005,MATCH($D1350,RUNS!$A$6:$A$1005,0),MATCH("ACTIVITÉ "&amp;$F1350,RUNS!$L$5:$S$5,0))="","",INDEX(RUNS!$L$6:$S$1005,MATCH($D1350,RUNS!$A$6:$A$1005,0),MATCH("ACTIVITÉ "&amp;$F1350,RUNS!$L$5:$S$5,0))),""))</f>
        <v/>
      </c>
      <c r="L1350" s="33">
        <f>IF($D1350="","",IFERROR(IF(INDEX(RUNS!$E$6:$E$1005,MATCH($D1350,RUNS!$A$6:$A$1005,0))="","",INDEX(RUNS!$E$6:$E$1005,MATCH($D1350,RUNS!$A$6:$A$1005,0))),""))</f>
        <v/>
      </c>
      <c r="M1350" s="33">
        <f>IF($D1350="","",IFERROR(IF(INDEX(RUNS!$F$6:$F$1005,MATCH($D1350,RUNS!$A$6:$A$1005,0))="","",INDEX(RUNS!$F$6:$F$1005,MATCH($D1350,RUNS!$A$6:$A$1005,0))),""))</f>
        <v/>
      </c>
      <c r="N1350" s="33">
        <f>IF($D1350="","",IFERROR(IF(INDEX(RUNS!$G$6:$G$1005,MATCH($D1350,RUNS!$A$6:$A$1005,0))="","",INDEX(RUNS!$G$6:$G$1005,MATCH($D1350,RUNS!$A$6:$A$1005,0))),""))</f>
        <v/>
      </c>
      <c r="O1350" s="33">
        <f>IF($D1350="","",IFERROR(IF(INDEX(RUNS!$H$6:$H$1005,MATCH($D1350,RUNS!$A$6:$A$1005,0))="","",INDEX(RUNS!$H$6:$H$1005,MATCH($D1350,RUNS!$A$6:$A$1005,0))),""))</f>
        <v/>
      </c>
      <c r="P1350" s="33">
        <f>IF($D1350="","",IFERROR(IF(INDEX(RUNS!$J$6:$J$1005,MATCH($D1350,RUNS!$A$6:$A$1005,0))="","",INDEX(RUNS!$J$6:$J$1005,MATCH($D1350,RUNS!$A$6:$A$1005,0))),""))</f>
        <v/>
      </c>
      <c r="Q1350" s="33">
        <f>IF($D1350="","",IFERROR(IF(INDEX(RUNS!$K$6:$K$1005,MATCH($D1350,RUNS!$A$6:$A$1005,0))="","",INDEX(RUNS!$K$6:$K$1005,MATCH($D1350,RUNS!$A$6:$A$1005,0))),""))</f>
        <v/>
      </c>
      <c r="R1350" s="34">
        <f>IF(OR($L1350="",$K1350=""),"",IFERROR(IF(INDEX(PARAMETRES!$H$43:$H$342,MATCH($L1350&amp;"|"&amp;$M1350&amp;"|"&amp;$N1350&amp;"|"&amp;$O1350&amp;"|"&amp;$P1350&amp;"|"&amp;$Q1350&amp;"|"&amp;$K1350,PARAMETRES!$J$43:$J$342,0))="","",INDEX(PARAMETRES!$H$43:$H$342,MATCH($L1350&amp;"|"&amp;$M1350&amp;"|"&amp;$N1350&amp;"|"&amp;$O1350&amp;"|"&amp;$P1350&amp;"|"&amp;$Q1350&amp;"|"&amp;$K1350,PARAMETRES!$J$43:$J$342,0))),""))</f>
        <v/>
      </c>
      <c r="S1350" s="35">
        <f>IF(OR($G1350="",$X1350&lt;&gt;"VALIDE"),"",IFERROR(LOOKUP(2,1/(($B450:$B1349=$B1350)*($G450:$G1349=$G1350)*($X450:$X1349="VALIDE")),$C450:$C1349),""))</f>
        <v/>
      </c>
      <c r="T1350" s="36">
        <f>IF(OR($C1350="",$S1350=""),"",ROUND(($C1350-$S1350+IF($C1350&lt;$S1350,1,0))*1440,0))</f>
        <v/>
      </c>
      <c r="U1350" s="22">
        <f>IF(OR($H1350="",$T1350="",$T1350&lt;=0),"",$H1350*60/$T1350)</f>
        <v/>
      </c>
      <c r="V1350" s="37">
        <f>IF(OR($U1350="",$R1350="",$R1350=0),"",$U1350/$R1350)</f>
        <v/>
      </c>
      <c r="W1350" s="20">
        <f>IF($G1350="","",IF($X1350="CONTEXTE INCOMPLET","CONTEXTE INCOMPLET",IF($X1350="DOUBLON",StatutDoublon,IF($S1350="",StatutInitial,IF($R1350="",StatutStandardManquant,IF($V1350="","DONNEES INSUFFISANTES",IF($V1350&gt;=SeuilConforme,StatutConforme,IF($V1350&gt;=SeuilSurveiller,StatutSurveiller,StatutSousStandard))))))))</f>
        <v/>
      </c>
      <c r="X1350" s="33">
        <f>IF($G1350="","",IF(OR($D1350="",$E1350="",$F1350=""),"CONTEXTE INCOMPLET",IF(COUNTIFS($D450:$D1349,$D1350,$E450:$E1349,$E1350,$F450:$F1349,$F1350,$G450:$G1349,$G1350)&gt;0,"DOUBLON","VALIDE")))</f>
        <v/>
      </c>
    </row>
    <row r="1351" ht="15" customHeight="1">
      <c r="A1351" s="12">
        <f>IF(OR($B1351="",$G1351=""),"",TEXT($B1351,"YYYYMMDD")&amp;"-"&amp;SUBSTITUTE($E1351," ","")&amp;"-"&amp;$F1351&amp;"-"&amp;$G1351)</f>
        <v/>
      </c>
      <c r="B1351" s="15" t="n"/>
      <c r="C1351" s="16" t="n"/>
      <c r="D1351" s="10" t="n"/>
      <c r="E1351" s="9" t="n"/>
      <c r="F1351" s="9" t="n"/>
      <c r="G1351" s="13" t="n"/>
      <c r="H1351" s="21" t="n"/>
      <c r="I1351" s="21" t="n"/>
      <c r="J1351" s="17">
        <f>IF($G1351="","",IFERROR(INDEX(NomsEmployes,MATCH($G1351,MatriculesEmployes,0)),"MATRICULE INCONNU"))</f>
        <v/>
      </c>
      <c r="K1351" s="33">
        <f>IF(OR($D1351="",$F1351=""),"",IFERROR(IF(INDEX(RUNS!$L$6:$S$1005,MATCH($D1351,RUNS!$A$6:$A$1005,0),MATCH("ACTIVITÉ "&amp;$F1351,RUNS!$L$5:$S$5,0))="","",INDEX(RUNS!$L$6:$S$1005,MATCH($D1351,RUNS!$A$6:$A$1005,0),MATCH("ACTIVITÉ "&amp;$F1351,RUNS!$L$5:$S$5,0))),""))</f>
        <v/>
      </c>
      <c r="L1351" s="33">
        <f>IF($D1351="","",IFERROR(IF(INDEX(RUNS!$E$6:$E$1005,MATCH($D1351,RUNS!$A$6:$A$1005,0))="","",INDEX(RUNS!$E$6:$E$1005,MATCH($D1351,RUNS!$A$6:$A$1005,0))),""))</f>
        <v/>
      </c>
      <c r="M1351" s="33">
        <f>IF($D1351="","",IFERROR(IF(INDEX(RUNS!$F$6:$F$1005,MATCH($D1351,RUNS!$A$6:$A$1005,0))="","",INDEX(RUNS!$F$6:$F$1005,MATCH($D1351,RUNS!$A$6:$A$1005,0))),""))</f>
        <v/>
      </c>
      <c r="N1351" s="33">
        <f>IF($D1351="","",IFERROR(IF(INDEX(RUNS!$G$6:$G$1005,MATCH($D1351,RUNS!$A$6:$A$1005,0))="","",INDEX(RUNS!$G$6:$G$1005,MATCH($D1351,RUNS!$A$6:$A$1005,0))),""))</f>
        <v/>
      </c>
      <c r="O1351" s="33">
        <f>IF($D1351="","",IFERROR(IF(INDEX(RUNS!$H$6:$H$1005,MATCH($D1351,RUNS!$A$6:$A$1005,0))="","",INDEX(RUNS!$H$6:$H$1005,MATCH($D1351,RUNS!$A$6:$A$1005,0))),""))</f>
        <v/>
      </c>
      <c r="P1351" s="33">
        <f>IF($D1351="","",IFERROR(IF(INDEX(RUNS!$J$6:$J$1005,MATCH($D1351,RUNS!$A$6:$A$1005,0))="","",INDEX(RUNS!$J$6:$J$1005,MATCH($D1351,RUNS!$A$6:$A$1005,0))),""))</f>
        <v/>
      </c>
      <c r="Q1351" s="33">
        <f>IF($D1351="","",IFERROR(IF(INDEX(RUNS!$K$6:$K$1005,MATCH($D1351,RUNS!$A$6:$A$1005,0))="","",INDEX(RUNS!$K$6:$K$1005,MATCH($D1351,RUNS!$A$6:$A$1005,0))),""))</f>
        <v/>
      </c>
      <c r="R1351" s="34">
        <f>IF(OR($L1351="",$K1351=""),"",IFERROR(IF(INDEX(PARAMETRES!$H$43:$H$342,MATCH($L1351&amp;"|"&amp;$M1351&amp;"|"&amp;$N1351&amp;"|"&amp;$O1351&amp;"|"&amp;$P1351&amp;"|"&amp;$Q1351&amp;"|"&amp;$K1351,PARAMETRES!$J$43:$J$342,0))="","",INDEX(PARAMETRES!$H$43:$H$342,MATCH($L1351&amp;"|"&amp;$M1351&amp;"|"&amp;$N1351&amp;"|"&amp;$O1351&amp;"|"&amp;$P1351&amp;"|"&amp;$Q1351&amp;"|"&amp;$K1351,PARAMETRES!$J$43:$J$342,0))),""))</f>
        <v/>
      </c>
      <c r="S1351" s="35">
        <f>IF(OR($G1351="",$X1351&lt;&gt;"VALIDE"),"",IFERROR(LOOKUP(2,1/(($B451:$B1350=$B1351)*($G451:$G1350=$G1351)*($X451:$X1350="VALIDE")),$C451:$C1350),""))</f>
        <v/>
      </c>
      <c r="T1351" s="36">
        <f>IF(OR($C1351="",$S1351=""),"",ROUND(($C1351-$S1351+IF($C1351&lt;$S1351,1,0))*1440,0))</f>
        <v/>
      </c>
      <c r="U1351" s="22">
        <f>IF(OR($H1351="",$T1351="",$T1351&lt;=0),"",$H1351*60/$T1351)</f>
        <v/>
      </c>
      <c r="V1351" s="37">
        <f>IF(OR($U1351="",$R1351="",$R1351=0),"",$U1351/$R1351)</f>
        <v/>
      </c>
      <c r="W1351" s="20">
        <f>IF($G1351="","",IF($X1351="CONTEXTE INCOMPLET","CONTEXTE INCOMPLET",IF($X1351="DOUBLON",StatutDoublon,IF($S1351="",StatutInitial,IF($R1351="",StatutStandardManquant,IF($V1351="","DONNEES INSUFFISANTES",IF($V1351&gt;=SeuilConforme,StatutConforme,IF($V1351&gt;=SeuilSurveiller,StatutSurveiller,StatutSousStandard))))))))</f>
        <v/>
      </c>
      <c r="X1351" s="33">
        <f>IF($G1351="","",IF(OR($D1351="",$E1351="",$F1351=""),"CONTEXTE INCOMPLET",IF(COUNTIFS($D451:$D1350,$D1351,$E451:$E1350,$E1351,$F451:$F1350,$F1351,$G451:$G1350,$G1351)&gt;0,"DOUBLON","VALIDE")))</f>
        <v/>
      </c>
    </row>
    <row r="1352" ht="15" customHeight="1">
      <c r="A1352" s="12">
        <f>IF(OR($B1352="",$G1352=""),"",TEXT($B1352,"YYYYMMDD")&amp;"-"&amp;SUBSTITUTE($E1352," ","")&amp;"-"&amp;$F1352&amp;"-"&amp;$G1352)</f>
        <v/>
      </c>
      <c r="B1352" s="15" t="n"/>
      <c r="C1352" s="16" t="n"/>
      <c r="D1352" s="10" t="n"/>
      <c r="E1352" s="9" t="n"/>
      <c r="F1352" s="9" t="n"/>
      <c r="G1352" s="13" t="n"/>
      <c r="H1352" s="21" t="n"/>
      <c r="I1352" s="21" t="n"/>
      <c r="J1352" s="17">
        <f>IF($G1352="","",IFERROR(INDEX(NomsEmployes,MATCH($G1352,MatriculesEmployes,0)),"MATRICULE INCONNU"))</f>
        <v/>
      </c>
      <c r="K1352" s="33">
        <f>IF(OR($D1352="",$F1352=""),"",IFERROR(IF(INDEX(RUNS!$L$6:$S$1005,MATCH($D1352,RUNS!$A$6:$A$1005,0),MATCH("ACTIVITÉ "&amp;$F1352,RUNS!$L$5:$S$5,0))="","",INDEX(RUNS!$L$6:$S$1005,MATCH($D1352,RUNS!$A$6:$A$1005,0),MATCH("ACTIVITÉ "&amp;$F1352,RUNS!$L$5:$S$5,0))),""))</f>
        <v/>
      </c>
      <c r="L1352" s="33">
        <f>IF($D1352="","",IFERROR(IF(INDEX(RUNS!$E$6:$E$1005,MATCH($D1352,RUNS!$A$6:$A$1005,0))="","",INDEX(RUNS!$E$6:$E$1005,MATCH($D1352,RUNS!$A$6:$A$1005,0))),""))</f>
        <v/>
      </c>
      <c r="M1352" s="33">
        <f>IF($D1352="","",IFERROR(IF(INDEX(RUNS!$F$6:$F$1005,MATCH($D1352,RUNS!$A$6:$A$1005,0))="","",INDEX(RUNS!$F$6:$F$1005,MATCH($D1352,RUNS!$A$6:$A$1005,0))),""))</f>
        <v/>
      </c>
      <c r="N1352" s="33">
        <f>IF($D1352="","",IFERROR(IF(INDEX(RUNS!$G$6:$G$1005,MATCH($D1352,RUNS!$A$6:$A$1005,0))="","",INDEX(RUNS!$G$6:$G$1005,MATCH($D1352,RUNS!$A$6:$A$1005,0))),""))</f>
        <v/>
      </c>
      <c r="O1352" s="33">
        <f>IF($D1352="","",IFERROR(IF(INDEX(RUNS!$H$6:$H$1005,MATCH($D1352,RUNS!$A$6:$A$1005,0))="","",INDEX(RUNS!$H$6:$H$1005,MATCH($D1352,RUNS!$A$6:$A$1005,0))),""))</f>
        <v/>
      </c>
      <c r="P1352" s="33">
        <f>IF($D1352="","",IFERROR(IF(INDEX(RUNS!$J$6:$J$1005,MATCH($D1352,RUNS!$A$6:$A$1005,0))="","",INDEX(RUNS!$J$6:$J$1005,MATCH($D1352,RUNS!$A$6:$A$1005,0))),""))</f>
        <v/>
      </c>
      <c r="Q1352" s="33">
        <f>IF($D1352="","",IFERROR(IF(INDEX(RUNS!$K$6:$K$1005,MATCH($D1352,RUNS!$A$6:$A$1005,0))="","",INDEX(RUNS!$K$6:$K$1005,MATCH($D1352,RUNS!$A$6:$A$1005,0))),""))</f>
        <v/>
      </c>
      <c r="R1352" s="34">
        <f>IF(OR($L1352="",$K1352=""),"",IFERROR(IF(INDEX(PARAMETRES!$H$43:$H$342,MATCH($L1352&amp;"|"&amp;$M1352&amp;"|"&amp;$N1352&amp;"|"&amp;$O1352&amp;"|"&amp;$P1352&amp;"|"&amp;$Q1352&amp;"|"&amp;$K1352,PARAMETRES!$J$43:$J$342,0))="","",INDEX(PARAMETRES!$H$43:$H$342,MATCH($L1352&amp;"|"&amp;$M1352&amp;"|"&amp;$N1352&amp;"|"&amp;$O1352&amp;"|"&amp;$P1352&amp;"|"&amp;$Q1352&amp;"|"&amp;$K1352,PARAMETRES!$J$43:$J$342,0))),""))</f>
        <v/>
      </c>
      <c r="S1352" s="35">
        <f>IF(OR($G1352="",$X1352&lt;&gt;"VALIDE"),"",IFERROR(LOOKUP(2,1/(($B452:$B1351=$B1352)*($G452:$G1351=$G1352)*($X452:$X1351="VALIDE")),$C452:$C1351),""))</f>
        <v/>
      </c>
      <c r="T1352" s="36">
        <f>IF(OR($C1352="",$S1352=""),"",ROUND(($C1352-$S1352+IF($C1352&lt;$S1352,1,0))*1440,0))</f>
        <v/>
      </c>
      <c r="U1352" s="22">
        <f>IF(OR($H1352="",$T1352="",$T1352&lt;=0),"",$H1352*60/$T1352)</f>
        <v/>
      </c>
      <c r="V1352" s="37">
        <f>IF(OR($U1352="",$R1352="",$R1352=0),"",$U1352/$R1352)</f>
        <v/>
      </c>
      <c r="W1352" s="20">
        <f>IF($G1352="","",IF($X1352="CONTEXTE INCOMPLET","CONTEXTE INCOMPLET",IF($X1352="DOUBLON",StatutDoublon,IF($S1352="",StatutInitial,IF($R1352="",StatutStandardManquant,IF($V1352="","DONNEES INSUFFISANTES",IF($V1352&gt;=SeuilConforme,StatutConforme,IF($V1352&gt;=SeuilSurveiller,StatutSurveiller,StatutSousStandard))))))))</f>
        <v/>
      </c>
      <c r="X1352" s="33">
        <f>IF($G1352="","",IF(OR($D1352="",$E1352="",$F1352=""),"CONTEXTE INCOMPLET",IF(COUNTIFS($D452:$D1351,$D1352,$E452:$E1351,$E1352,$F452:$F1351,$F1352,$G452:$G1351,$G1352)&gt;0,"DOUBLON","VALIDE")))</f>
        <v/>
      </c>
    </row>
    <row r="1353" ht="15" customHeight="1">
      <c r="A1353" s="12">
        <f>IF(OR($B1353="",$G1353=""),"",TEXT($B1353,"YYYYMMDD")&amp;"-"&amp;SUBSTITUTE($E1353," ","")&amp;"-"&amp;$F1353&amp;"-"&amp;$G1353)</f>
        <v/>
      </c>
      <c r="B1353" s="15" t="n"/>
      <c r="C1353" s="16" t="n"/>
      <c r="D1353" s="10" t="n"/>
      <c r="E1353" s="9" t="n"/>
      <c r="F1353" s="9" t="n"/>
      <c r="G1353" s="13" t="n"/>
      <c r="H1353" s="21" t="n"/>
      <c r="I1353" s="21" t="n"/>
      <c r="J1353" s="17">
        <f>IF($G1353="","",IFERROR(INDEX(NomsEmployes,MATCH($G1353,MatriculesEmployes,0)),"MATRICULE INCONNU"))</f>
        <v/>
      </c>
      <c r="K1353" s="33">
        <f>IF(OR($D1353="",$F1353=""),"",IFERROR(IF(INDEX(RUNS!$L$6:$S$1005,MATCH($D1353,RUNS!$A$6:$A$1005,0),MATCH("ACTIVITÉ "&amp;$F1353,RUNS!$L$5:$S$5,0))="","",INDEX(RUNS!$L$6:$S$1005,MATCH($D1353,RUNS!$A$6:$A$1005,0),MATCH("ACTIVITÉ "&amp;$F1353,RUNS!$L$5:$S$5,0))),""))</f>
        <v/>
      </c>
      <c r="L1353" s="33">
        <f>IF($D1353="","",IFERROR(IF(INDEX(RUNS!$E$6:$E$1005,MATCH($D1353,RUNS!$A$6:$A$1005,0))="","",INDEX(RUNS!$E$6:$E$1005,MATCH($D1353,RUNS!$A$6:$A$1005,0))),""))</f>
        <v/>
      </c>
      <c r="M1353" s="33">
        <f>IF($D1353="","",IFERROR(IF(INDEX(RUNS!$F$6:$F$1005,MATCH($D1353,RUNS!$A$6:$A$1005,0))="","",INDEX(RUNS!$F$6:$F$1005,MATCH($D1353,RUNS!$A$6:$A$1005,0))),""))</f>
        <v/>
      </c>
      <c r="N1353" s="33">
        <f>IF($D1353="","",IFERROR(IF(INDEX(RUNS!$G$6:$G$1005,MATCH($D1353,RUNS!$A$6:$A$1005,0))="","",INDEX(RUNS!$G$6:$G$1005,MATCH($D1353,RUNS!$A$6:$A$1005,0))),""))</f>
        <v/>
      </c>
      <c r="O1353" s="33">
        <f>IF($D1353="","",IFERROR(IF(INDEX(RUNS!$H$6:$H$1005,MATCH($D1353,RUNS!$A$6:$A$1005,0))="","",INDEX(RUNS!$H$6:$H$1005,MATCH($D1353,RUNS!$A$6:$A$1005,0))),""))</f>
        <v/>
      </c>
      <c r="P1353" s="33">
        <f>IF($D1353="","",IFERROR(IF(INDEX(RUNS!$J$6:$J$1005,MATCH($D1353,RUNS!$A$6:$A$1005,0))="","",INDEX(RUNS!$J$6:$J$1005,MATCH($D1353,RUNS!$A$6:$A$1005,0))),""))</f>
        <v/>
      </c>
      <c r="Q1353" s="33">
        <f>IF($D1353="","",IFERROR(IF(INDEX(RUNS!$K$6:$K$1005,MATCH($D1353,RUNS!$A$6:$A$1005,0))="","",INDEX(RUNS!$K$6:$K$1005,MATCH($D1353,RUNS!$A$6:$A$1005,0))),""))</f>
        <v/>
      </c>
      <c r="R1353" s="34">
        <f>IF(OR($L1353="",$K1353=""),"",IFERROR(IF(INDEX(PARAMETRES!$H$43:$H$342,MATCH($L1353&amp;"|"&amp;$M1353&amp;"|"&amp;$N1353&amp;"|"&amp;$O1353&amp;"|"&amp;$P1353&amp;"|"&amp;$Q1353&amp;"|"&amp;$K1353,PARAMETRES!$J$43:$J$342,0))="","",INDEX(PARAMETRES!$H$43:$H$342,MATCH($L1353&amp;"|"&amp;$M1353&amp;"|"&amp;$N1353&amp;"|"&amp;$O1353&amp;"|"&amp;$P1353&amp;"|"&amp;$Q1353&amp;"|"&amp;$K1353,PARAMETRES!$J$43:$J$342,0))),""))</f>
        <v/>
      </c>
      <c r="S1353" s="35">
        <f>IF(OR($G1353="",$X1353&lt;&gt;"VALIDE"),"",IFERROR(LOOKUP(2,1/(($B453:$B1352=$B1353)*($G453:$G1352=$G1353)*($X453:$X1352="VALIDE")),$C453:$C1352),""))</f>
        <v/>
      </c>
      <c r="T1353" s="36">
        <f>IF(OR($C1353="",$S1353=""),"",ROUND(($C1353-$S1353+IF($C1353&lt;$S1353,1,0))*1440,0))</f>
        <v/>
      </c>
      <c r="U1353" s="22">
        <f>IF(OR($H1353="",$T1353="",$T1353&lt;=0),"",$H1353*60/$T1353)</f>
        <v/>
      </c>
      <c r="V1353" s="37">
        <f>IF(OR($U1353="",$R1353="",$R1353=0),"",$U1353/$R1353)</f>
        <v/>
      </c>
      <c r="W1353" s="20">
        <f>IF($G1353="","",IF($X1353="CONTEXTE INCOMPLET","CONTEXTE INCOMPLET",IF($X1353="DOUBLON",StatutDoublon,IF($S1353="",StatutInitial,IF($R1353="",StatutStandardManquant,IF($V1353="","DONNEES INSUFFISANTES",IF($V1353&gt;=SeuilConforme,StatutConforme,IF($V1353&gt;=SeuilSurveiller,StatutSurveiller,StatutSousStandard))))))))</f>
        <v/>
      </c>
      <c r="X1353" s="33">
        <f>IF($G1353="","",IF(OR($D1353="",$E1353="",$F1353=""),"CONTEXTE INCOMPLET",IF(COUNTIFS($D453:$D1352,$D1353,$E453:$E1352,$E1353,$F453:$F1352,$F1353,$G453:$G1352,$G1353)&gt;0,"DOUBLON","VALIDE")))</f>
        <v/>
      </c>
    </row>
    <row r="1354" ht="15" customHeight="1">
      <c r="A1354" s="12">
        <f>IF(OR($B1354="",$G1354=""),"",TEXT($B1354,"YYYYMMDD")&amp;"-"&amp;SUBSTITUTE($E1354," ","")&amp;"-"&amp;$F1354&amp;"-"&amp;$G1354)</f>
        <v/>
      </c>
      <c r="B1354" s="15" t="n"/>
      <c r="C1354" s="16" t="n"/>
      <c r="D1354" s="10" t="n"/>
      <c r="E1354" s="9" t="n"/>
      <c r="F1354" s="9" t="n"/>
      <c r="G1354" s="13" t="n"/>
      <c r="H1354" s="21" t="n"/>
      <c r="I1354" s="21" t="n"/>
      <c r="J1354" s="17">
        <f>IF($G1354="","",IFERROR(INDEX(NomsEmployes,MATCH($G1354,MatriculesEmployes,0)),"MATRICULE INCONNU"))</f>
        <v/>
      </c>
      <c r="K1354" s="33">
        <f>IF(OR($D1354="",$F1354=""),"",IFERROR(IF(INDEX(RUNS!$L$6:$S$1005,MATCH($D1354,RUNS!$A$6:$A$1005,0),MATCH("ACTIVITÉ "&amp;$F1354,RUNS!$L$5:$S$5,0))="","",INDEX(RUNS!$L$6:$S$1005,MATCH($D1354,RUNS!$A$6:$A$1005,0),MATCH("ACTIVITÉ "&amp;$F1354,RUNS!$L$5:$S$5,0))),""))</f>
        <v/>
      </c>
      <c r="L1354" s="33">
        <f>IF($D1354="","",IFERROR(IF(INDEX(RUNS!$E$6:$E$1005,MATCH($D1354,RUNS!$A$6:$A$1005,0))="","",INDEX(RUNS!$E$6:$E$1005,MATCH($D1354,RUNS!$A$6:$A$1005,0))),""))</f>
        <v/>
      </c>
      <c r="M1354" s="33">
        <f>IF($D1354="","",IFERROR(IF(INDEX(RUNS!$F$6:$F$1005,MATCH($D1354,RUNS!$A$6:$A$1005,0))="","",INDEX(RUNS!$F$6:$F$1005,MATCH($D1354,RUNS!$A$6:$A$1005,0))),""))</f>
        <v/>
      </c>
      <c r="N1354" s="33">
        <f>IF($D1354="","",IFERROR(IF(INDEX(RUNS!$G$6:$G$1005,MATCH($D1354,RUNS!$A$6:$A$1005,0))="","",INDEX(RUNS!$G$6:$G$1005,MATCH($D1354,RUNS!$A$6:$A$1005,0))),""))</f>
        <v/>
      </c>
      <c r="O1354" s="33">
        <f>IF($D1354="","",IFERROR(IF(INDEX(RUNS!$H$6:$H$1005,MATCH($D1354,RUNS!$A$6:$A$1005,0))="","",INDEX(RUNS!$H$6:$H$1005,MATCH($D1354,RUNS!$A$6:$A$1005,0))),""))</f>
        <v/>
      </c>
      <c r="P1354" s="33">
        <f>IF($D1354="","",IFERROR(IF(INDEX(RUNS!$J$6:$J$1005,MATCH($D1354,RUNS!$A$6:$A$1005,0))="","",INDEX(RUNS!$J$6:$J$1005,MATCH($D1354,RUNS!$A$6:$A$1005,0))),""))</f>
        <v/>
      </c>
      <c r="Q1354" s="33">
        <f>IF($D1354="","",IFERROR(IF(INDEX(RUNS!$K$6:$K$1005,MATCH($D1354,RUNS!$A$6:$A$1005,0))="","",INDEX(RUNS!$K$6:$K$1005,MATCH($D1354,RUNS!$A$6:$A$1005,0))),""))</f>
        <v/>
      </c>
      <c r="R1354" s="34">
        <f>IF(OR($L1354="",$K1354=""),"",IFERROR(IF(INDEX(PARAMETRES!$H$43:$H$342,MATCH($L1354&amp;"|"&amp;$M1354&amp;"|"&amp;$N1354&amp;"|"&amp;$O1354&amp;"|"&amp;$P1354&amp;"|"&amp;$Q1354&amp;"|"&amp;$K1354,PARAMETRES!$J$43:$J$342,0))="","",INDEX(PARAMETRES!$H$43:$H$342,MATCH($L1354&amp;"|"&amp;$M1354&amp;"|"&amp;$N1354&amp;"|"&amp;$O1354&amp;"|"&amp;$P1354&amp;"|"&amp;$Q1354&amp;"|"&amp;$K1354,PARAMETRES!$J$43:$J$342,0))),""))</f>
        <v/>
      </c>
      <c r="S1354" s="35">
        <f>IF(OR($G1354="",$X1354&lt;&gt;"VALIDE"),"",IFERROR(LOOKUP(2,1/(($B454:$B1353=$B1354)*($G454:$G1353=$G1354)*($X454:$X1353="VALIDE")),$C454:$C1353),""))</f>
        <v/>
      </c>
      <c r="T1354" s="36">
        <f>IF(OR($C1354="",$S1354=""),"",ROUND(($C1354-$S1354+IF($C1354&lt;$S1354,1,0))*1440,0))</f>
        <v/>
      </c>
      <c r="U1354" s="22">
        <f>IF(OR($H1354="",$T1354="",$T1354&lt;=0),"",$H1354*60/$T1354)</f>
        <v/>
      </c>
      <c r="V1354" s="37">
        <f>IF(OR($U1354="",$R1354="",$R1354=0),"",$U1354/$R1354)</f>
        <v/>
      </c>
      <c r="W1354" s="20">
        <f>IF($G1354="","",IF($X1354="CONTEXTE INCOMPLET","CONTEXTE INCOMPLET",IF($X1354="DOUBLON",StatutDoublon,IF($S1354="",StatutInitial,IF($R1354="",StatutStandardManquant,IF($V1354="","DONNEES INSUFFISANTES",IF($V1354&gt;=SeuilConforme,StatutConforme,IF($V1354&gt;=SeuilSurveiller,StatutSurveiller,StatutSousStandard))))))))</f>
        <v/>
      </c>
      <c r="X1354" s="33">
        <f>IF($G1354="","",IF(OR($D1354="",$E1354="",$F1354=""),"CONTEXTE INCOMPLET",IF(COUNTIFS($D454:$D1353,$D1354,$E454:$E1353,$E1354,$F454:$F1353,$F1354,$G454:$G1353,$G1354)&gt;0,"DOUBLON","VALIDE")))</f>
        <v/>
      </c>
    </row>
    <row r="1355" ht="15" customHeight="1">
      <c r="A1355" s="12">
        <f>IF(OR($B1355="",$G1355=""),"",TEXT($B1355,"YYYYMMDD")&amp;"-"&amp;SUBSTITUTE($E1355," ","")&amp;"-"&amp;$F1355&amp;"-"&amp;$G1355)</f>
        <v/>
      </c>
      <c r="B1355" s="15" t="n"/>
      <c r="C1355" s="16" t="n"/>
      <c r="D1355" s="10" t="n"/>
      <c r="E1355" s="9" t="n"/>
      <c r="F1355" s="9" t="n"/>
      <c r="G1355" s="13" t="n"/>
      <c r="H1355" s="21" t="n"/>
      <c r="I1355" s="21" t="n"/>
      <c r="J1355" s="17">
        <f>IF($G1355="","",IFERROR(INDEX(NomsEmployes,MATCH($G1355,MatriculesEmployes,0)),"MATRICULE INCONNU"))</f>
        <v/>
      </c>
      <c r="K1355" s="33">
        <f>IF(OR($D1355="",$F1355=""),"",IFERROR(IF(INDEX(RUNS!$L$6:$S$1005,MATCH($D1355,RUNS!$A$6:$A$1005,0),MATCH("ACTIVITÉ "&amp;$F1355,RUNS!$L$5:$S$5,0))="","",INDEX(RUNS!$L$6:$S$1005,MATCH($D1355,RUNS!$A$6:$A$1005,0),MATCH("ACTIVITÉ "&amp;$F1355,RUNS!$L$5:$S$5,0))),""))</f>
        <v/>
      </c>
      <c r="L1355" s="33">
        <f>IF($D1355="","",IFERROR(IF(INDEX(RUNS!$E$6:$E$1005,MATCH($D1355,RUNS!$A$6:$A$1005,0))="","",INDEX(RUNS!$E$6:$E$1005,MATCH($D1355,RUNS!$A$6:$A$1005,0))),""))</f>
        <v/>
      </c>
      <c r="M1355" s="33">
        <f>IF($D1355="","",IFERROR(IF(INDEX(RUNS!$F$6:$F$1005,MATCH($D1355,RUNS!$A$6:$A$1005,0))="","",INDEX(RUNS!$F$6:$F$1005,MATCH($D1355,RUNS!$A$6:$A$1005,0))),""))</f>
        <v/>
      </c>
      <c r="N1355" s="33">
        <f>IF($D1355="","",IFERROR(IF(INDEX(RUNS!$G$6:$G$1005,MATCH($D1355,RUNS!$A$6:$A$1005,0))="","",INDEX(RUNS!$G$6:$G$1005,MATCH($D1355,RUNS!$A$6:$A$1005,0))),""))</f>
        <v/>
      </c>
      <c r="O1355" s="33">
        <f>IF($D1355="","",IFERROR(IF(INDEX(RUNS!$H$6:$H$1005,MATCH($D1355,RUNS!$A$6:$A$1005,0))="","",INDEX(RUNS!$H$6:$H$1005,MATCH($D1355,RUNS!$A$6:$A$1005,0))),""))</f>
        <v/>
      </c>
      <c r="P1355" s="33">
        <f>IF($D1355="","",IFERROR(IF(INDEX(RUNS!$J$6:$J$1005,MATCH($D1355,RUNS!$A$6:$A$1005,0))="","",INDEX(RUNS!$J$6:$J$1005,MATCH($D1355,RUNS!$A$6:$A$1005,0))),""))</f>
        <v/>
      </c>
      <c r="Q1355" s="33">
        <f>IF($D1355="","",IFERROR(IF(INDEX(RUNS!$K$6:$K$1005,MATCH($D1355,RUNS!$A$6:$A$1005,0))="","",INDEX(RUNS!$K$6:$K$1005,MATCH($D1355,RUNS!$A$6:$A$1005,0))),""))</f>
        <v/>
      </c>
      <c r="R1355" s="34">
        <f>IF(OR($L1355="",$K1355=""),"",IFERROR(IF(INDEX(PARAMETRES!$H$43:$H$342,MATCH($L1355&amp;"|"&amp;$M1355&amp;"|"&amp;$N1355&amp;"|"&amp;$O1355&amp;"|"&amp;$P1355&amp;"|"&amp;$Q1355&amp;"|"&amp;$K1355,PARAMETRES!$J$43:$J$342,0))="","",INDEX(PARAMETRES!$H$43:$H$342,MATCH($L1355&amp;"|"&amp;$M1355&amp;"|"&amp;$N1355&amp;"|"&amp;$O1355&amp;"|"&amp;$P1355&amp;"|"&amp;$Q1355&amp;"|"&amp;$K1355,PARAMETRES!$J$43:$J$342,0))),""))</f>
        <v/>
      </c>
      <c r="S1355" s="35">
        <f>IF(OR($G1355="",$X1355&lt;&gt;"VALIDE"),"",IFERROR(LOOKUP(2,1/(($B455:$B1354=$B1355)*($G455:$G1354=$G1355)*($X455:$X1354="VALIDE")),$C455:$C1354),""))</f>
        <v/>
      </c>
      <c r="T1355" s="36">
        <f>IF(OR($C1355="",$S1355=""),"",ROUND(($C1355-$S1355+IF($C1355&lt;$S1355,1,0))*1440,0))</f>
        <v/>
      </c>
      <c r="U1355" s="22">
        <f>IF(OR($H1355="",$T1355="",$T1355&lt;=0),"",$H1355*60/$T1355)</f>
        <v/>
      </c>
      <c r="V1355" s="37">
        <f>IF(OR($U1355="",$R1355="",$R1355=0),"",$U1355/$R1355)</f>
        <v/>
      </c>
      <c r="W1355" s="20">
        <f>IF($G1355="","",IF($X1355="CONTEXTE INCOMPLET","CONTEXTE INCOMPLET",IF($X1355="DOUBLON",StatutDoublon,IF($S1355="",StatutInitial,IF($R1355="",StatutStandardManquant,IF($V1355="","DONNEES INSUFFISANTES",IF($V1355&gt;=SeuilConforme,StatutConforme,IF($V1355&gt;=SeuilSurveiller,StatutSurveiller,StatutSousStandard))))))))</f>
        <v/>
      </c>
      <c r="X1355" s="33">
        <f>IF($G1355="","",IF(OR($D1355="",$E1355="",$F1355=""),"CONTEXTE INCOMPLET",IF(COUNTIFS($D455:$D1354,$D1355,$E455:$E1354,$E1355,$F455:$F1354,$F1355,$G455:$G1354,$G1355)&gt;0,"DOUBLON","VALIDE")))</f>
        <v/>
      </c>
    </row>
    <row r="1356" ht="15" customHeight="1">
      <c r="A1356" s="12">
        <f>IF(OR($B1356="",$G1356=""),"",TEXT($B1356,"YYYYMMDD")&amp;"-"&amp;SUBSTITUTE($E1356," ","")&amp;"-"&amp;$F1356&amp;"-"&amp;$G1356)</f>
        <v/>
      </c>
      <c r="B1356" s="15" t="n"/>
      <c r="C1356" s="16" t="n"/>
      <c r="D1356" s="10" t="n"/>
      <c r="E1356" s="9" t="n"/>
      <c r="F1356" s="9" t="n"/>
      <c r="G1356" s="13" t="n"/>
      <c r="H1356" s="21" t="n"/>
      <c r="I1356" s="21" t="n"/>
      <c r="J1356" s="17">
        <f>IF($G1356="","",IFERROR(INDEX(NomsEmployes,MATCH($G1356,MatriculesEmployes,0)),"MATRICULE INCONNU"))</f>
        <v/>
      </c>
      <c r="K1356" s="33">
        <f>IF(OR($D1356="",$F1356=""),"",IFERROR(IF(INDEX(RUNS!$L$6:$S$1005,MATCH($D1356,RUNS!$A$6:$A$1005,0),MATCH("ACTIVITÉ "&amp;$F1356,RUNS!$L$5:$S$5,0))="","",INDEX(RUNS!$L$6:$S$1005,MATCH($D1356,RUNS!$A$6:$A$1005,0),MATCH("ACTIVITÉ "&amp;$F1356,RUNS!$L$5:$S$5,0))),""))</f>
        <v/>
      </c>
      <c r="L1356" s="33">
        <f>IF($D1356="","",IFERROR(IF(INDEX(RUNS!$E$6:$E$1005,MATCH($D1356,RUNS!$A$6:$A$1005,0))="","",INDEX(RUNS!$E$6:$E$1005,MATCH($D1356,RUNS!$A$6:$A$1005,0))),""))</f>
        <v/>
      </c>
      <c r="M1356" s="33">
        <f>IF($D1356="","",IFERROR(IF(INDEX(RUNS!$F$6:$F$1005,MATCH($D1356,RUNS!$A$6:$A$1005,0))="","",INDEX(RUNS!$F$6:$F$1005,MATCH($D1356,RUNS!$A$6:$A$1005,0))),""))</f>
        <v/>
      </c>
      <c r="N1356" s="33">
        <f>IF($D1356="","",IFERROR(IF(INDEX(RUNS!$G$6:$G$1005,MATCH($D1356,RUNS!$A$6:$A$1005,0))="","",INDEX(RUNS!$G$6:$G$1005,MATCH($D1356,RUNS!$A$6:$A$1005,0))),""))</f>
        <v/>
      </c>
      <c r="O1356" s="33">
        <f>IF($D1356="","",IFERROR(IF(INDEX(RUNS!$H$6:$H$1005,MATCH($D1356,RUNS!$A$6:$A$1005,0))="","",INDEX(RUNS!$H$6:$H$1005,MATCH($D1356,RUNS!$A$6:$A$1005,0))),""))</f>
        <v/>
      </c>
      <c r="P1356" s="33">
        <f>IF($D1356="","",IFERROR(IF(INDEX(RUNS!$J$6:$J$1005,MATCH($D1356,RUNS!$A$6:$A$1005,0))="","",INDEX(RUNS!$J$6:$J$1005,MATCH($D1356,RUNS!$A$6:$A$1005,0))),""))</f>
        <v/>
      </c>
      <c r="Q1356" s="33">
        <f>IF($D1356="","",IFERROR(IF(INDEX(RUNS!$K$6:$K$1005,MATCH($D1356,RUNS!$A$6:$A$1005,0))="","",INDEX(RUNS!$K$6:$K$1005,MATCH($D1356,RUNS!$A$6:$A$1005,0))),""))</f>
        <v/>
      </c>
      <c r="R1356" s="34">
        <f>IF(OR($L1356="",$K1356=""),"",IFERROR(IF(INDEX(PARAMETRES!$H$43:$H$342,MATCH($L1356&amp;"|"&amp;$M1356&amp;"|"&amp;$N1356&amp;"|"&amp;$O1356&amp;"|"&amp;$P1356&amp;"|"&amp;$Q1356&amp;"|"&amp;$K1356,PARAMETRES!$J$43:$J$342,0))="","",INDEX(PARAMETRES!$H$43:$H$342,MATCH($L1356&amp;"|"&amp;$M1356&amp;"|"&amp;$N1356&amp;"|"&amp;$O1356&amp;"|"&amp;$P1356&amp;"|"&amp;$Q1356&amp;"|"&amp;$K1356,PARAMETRES!$J$43:$J$342,0))),""))</f>
        <v/>
      </c>
      <c r="S1356" s="35">
        <f>IF(OR($G1356="",$X1356&lt;&gt;"VALIDE"),"",IFERROR(LOOKUP(2,1/(($B456:$B1355=$B1356)*($G456:$G1355=$G1356)*($X456:$X1355="VALIDE")),$C456:$C1355),""))</f>
        <v/>
      </c>
      <c r="T1356" s="36">
        <f>IF(OR($C1356="",$S1356=""),"",ROUND(($C1356-$S1356+IF($C1356&lt;$S1356,1,0))*1440,0))</f>
        <v/>
      </c>
      <c r="U1356" s="22">
        <f>IF(OR($H1356="",$T1356="",$T1356&lt;=0),"",$H1356*60/$T1356)</f>
        <v/>
      </c>
      <c r="V1356" s="37">
        <f>IF(OR($U1356="",$R1356="",$R1356=0),"",$U1356/$R1356)</f>
        <v/>
      </c>
      <c r="W1356" s="20">
        <f>IF($G1356="","",IF($X1356="CONTEXTE INCOMPLET","CONTEXTE INCOMPLET",IF($X1356="DOUBLON",StatutDoublon,IF($S1356="",StatutInitial,IF($R1356="",StatutStandardManquant,IF($V1356="","DONNEES INSUFFISANTES",IF($V1356&gt;=SeuilConforme,StatutConforme,IF($V1356&gt;=SeuilSurveiller,StatutSurveiller,StatutSousStandard))))))))</f>
        <v/>
      </c>
      <c r="X1356" s="33">
        <f>IF($G1356="","",IF(OR($D1356="",$E1356="",$F1356=""),"CONTEXTE INCOMPLET",IF(COUNTIFS($D456:$D1355,$D1356,$E456:$E1355,$E1356,$F456:$F1355,$F1356,$G456:$G1355,$G1356)&gt;0,"DOUBLON","VALIDE")))</f>
        <v/>
      </c>
    </row>
    <row r="1357" ht="15" customHeight="1">
      <c r="A1357" s="12">
        <f>IF(OR($B1357="",$G1357=""),"",TEXT($B1357,"YYYYMMDD")&amp;"-"&amp;SUBSTITUTE($E1357," ","")&amp;"-"&amp;$F1357&amp;"-"&amp;$G1357)</f>
        <v/>
      </c>
      <c r="B1357" s="15" t="n"/>
      <c r="C1357" s="16" t="n"/>
      <c r="D1357" s="10" t="n"/>
      <c r="E1357" s="9" t="n"/>
      <c r="F1357" s="9" t="n"/>
      <c r="G1357" s="13" t="n"/>
      <c r="H1357" s="21" t="n"/>
      <c r="I1357" s="21" t="n"/>
      <c r="J1357" s="17">
        <f>IF($G1357="","",IFERROR(INDEX(NomsEmployes,MATCH($G1357,MatriculesEmployes,0)),"MATRICULE INCONNU"))</f>
        <v/>
      </c>
      <c r="K1357" s="33">
        <f>IF(OR($D1357="",$F1357=""),"",IFERROR(IF(INDEX(RUNS!$L$6:$S$1005,MATCH($D1357,RUNS!$A$6:$A$1005,0),MATCH("ACTIVITÉ "&amp;$F1357,RUNS!$L$5:$S$5,0))="","",INDEX(RUNS!$L$6:$S$1005,MATCH($D1357,RUNS!$A$6:$A$1005,0),MATCH("ACTIVITÉ "&amp;$F1357,RUNS!$L$5:$S$5,0))),""))</f>
        <v/>
      </c>
      <c r="L1357" s="33">
        <f>IF($D1357="","",IFERROR(IF(INDEX(RUNS!$E$6:$E$1005,MATCH($D1357,RUNS!$A$6:$A$1005,0))="","",INDEX(RUNS!$E$6:$E$1005,MATCH($D1357,RUNS!$A$6:$A$1005,0))),""))</f>
        <v/>
      </c>
      <c r="M1357" s="33">
        <f>IF($D1357="","",IFERROR(IF(INDEX(RUNS!$F$6:$F$1005,MATCH($D1357,RUNS!$A$6:$A$1005,0))="","",INDEX(RUNS!$F$6:$F$1005,MATCH($D1357,RUNS!$A$6:$A$1005,0))),""))</f>
        <v/>
      </c>
      <c r="N1357" s="33">
        <f>IF($D1357="","",IFERROR(IF(INDEX(RUNS!$G$6:$G$1005,MATCH($D1357,RUNS!$A$6:$A$1005,0))="","",INDEX(RUNS!$G$6:$G$1005,MATCH($D1357,RUNS!$A$6:$A$1005,0))),""))</f>
        <v/>
      </c>
      <c r="O1357" s="33">
        <f>IF($D1357="","",IFERROR(IF(INDEX(RUNS!$H$6:$H$1005,MATCH($D1357,RUNS!$A$6:$A$1005,0))="","",INDEX(RUNS!$H$6:$H$1005,MATCH($D1357,RUNS!$A$6:$A$1005,0))),""))</f>
        <v/>
      </c>
      <c r="P1357" s="33">
        <f>IF($D1357="","",IFERROR(IF(INDEX(RUNS!$J$6:$J$1005,MATCH($D1357,RUNS!$A$6:$A$1005,0))="","",INDEX(RUNS!$J$6:$J$1005,MATCH($D1357,RUNS!$A$6:$A$1005,0))),""))</f>
        <v/>
      </c>
      <c r="Q1357" s="33">
        <f>IF($D1357="","",IFERROR(IF(INDEX(RUNS!$K$6:$K$1005,MATCH($D1357,RUNS!$A$6:$A$1005,0))="","",INDEX(RUNS!$K$6:$K$1005,MATCH($D1357,RUNS!$A$6:$A$1005,0))),""))</f>
        <v/>
      </c>
      <c r="R1357" s="34">
        <f>IF(OR($L1357="",$K1357=""),"",IFERROR(IF(INDEX(PARAMETRES!$H$43:$H$342,MATCH($L1357&amp;"|"&amp;$M1357&amp;"|"&amp;$N1357&amp;"|"&amp;$O1357&amp;"|"&amp;$P1357&amp;"|"&amp;$Q1357&amp;"|"&amp;$K1357,PARAMETRES!$J$43:$J$342,0))="","",INDEX(PARAMETRES!$H$43:$H$342,MATCH($L1357&amp;"|"&amp;$M1357&amp;"|"&amp;$N1357&amp;"|"&amp;$O1357&amp;"|"&amp;$P1357&amp;"|"&amp;$Q1357&amp;"|"&amp;$K1357,PARAMETRES!$J$43:$J$342,0))),""))</f>
        <v/>
      </c>
      <c r="S1357" s="35">
        <f>IF(OR($G1357="",$X1357&lt;&gt;"VALIDE"),"",IFERROR(LOOKUP(2,1/(($B457:$B1356=$B1357)*($G457:$G1356=$G1357)*($X457:$X1356="VALIDE")),$C457:$C1356),""))</f>
        <v/>
      </c>
      <c r="T1357" s="36">
        <f>IF(OR($C1357="",$S1357=""),"",ROUND(($C1357-$S1357+IF($C1357&lt;$S1357,1,0))*1440,0))</f>
        <v/>
      </c>
      <c r="U1357" s="22">
        <f>IF(OR($H1357="",$T1357="",$T1357&lt;=0),"",$H1357*60/$T1357)</f>
        <v/>
      </c>
      <c r="V1357" s="37">
        <f>IF(OR($U1357="",$R1357="",$R1357=0),"",$U1357/$R1357)</f>
        <v/>
      </c>
      <c r="W1357" s="20">
        <f>IF($G1357="","",IF($X1357="CONTEXTE INCOMPLET","CONTEXTE INCOMPLET",IF($X1357="DOUBLON",StatutDoublon,IF($S1357="",StatutInitial,IF($R1357="",StatutStandardManquant,IF($V1357="","DONNEES INSUFFISANTES",IF($V1357&gt;=SeuilConforme,StatutConforme,IF($V1357&gt;=SeuilSurveiller,StatutSurveiller,StatutSousStandard))))))))</f>
        <v/>
      </c>
      <c r="X1357" s="33">
        <f>IF($G1357="","",IF(OR($D1357="",$E1357="",$F1357=""),"CONTEXTE INCOMPLET",IF(COUNTIFS($D457:$D1356,$D1357,$E457:$E1356,$E1357,$F457:$F1356,$F1357,$G457:$G1356,$G1357)&gt;0,"DOUBLON","VALIDE")))</f>
        <v/>
      </c>
    </row>
    <row r="1358" ht="15" customHeight="1">
      <c r="A1358" s="12">
        <f>IF(OR($B1358="",$G1358=""),"",TEXT($B1358,"YYYYMMDD")&amp;"-"&amp;SUBSTITUTE($E1358," ","")&amp;"-"&amp;$F1358&amp;"-"&amp;$G1358)</f>
        <v/>
      </c>
      <c r="B1358" s="15" t="n"/>
      <c r="C1358" s="16" t="n"/>
      <c r="D1358" s="10" t="n"/>
      <c r="E1358" s="9" t="n"/>
      <c r="F1358" s="9" t="n"/>
      <c r="G1358" s="13" t="n"/>
      <c r="H1358" s="21" t="n"/>
      <c r="I1358" s="21" t="n"/>
      <c r="J1358" s="17">
        <f>IF($G1358="","",IFERROR(INDEX(NomsEmployes,MATCH($G1358,MatriculesEmployes,0)),"MATRICULE INCONNU"))</f>
        <v/>
      </c>
      <c r="K1358" s="33">
        <f>IF(OR($D1358="",$F1358=""),"",IFERROR(IF(INDEX(RUNS!$L$6:$S$1005,MATCH($D1358,RUNS!$A$6:$A$1005,0),MATCH("ACTIVITÉ "&amp;$F1358,RUNS!$L$5:$S$5,0))="","",INDEX(RUNS!$L$6:$S$1005,MATCH($D1358,RUNS!$A$6:$A$1005,0),MATCH("ACTIVITÉ "&amp;$F1358,RUNS!$L$5:$S$5,0))),""))</f>
        <v/>
      </c>
      <c r="L1358" s="33">
        <f>IF($D1358="","",IFERROR(IF(INDEX(RUNS!$E$6:$E$1005,MATCH($D1358,RUNS!$A$6:$A$1005,0))="","",INDEX(RUNS!$E$6:$E$1005,MATCH($D1358,RUNS!$A$6:$A$1005,0))),""))</f>
        <v/>
      </c>
      <c r="M1358" s="33">
        <f>IF($D1358="","",IFERROR(IF(INDEX(RUNS!$F$6:$F$1005,MATCH($D1358,RUNS!$A$6:$A$1005,0))="","",INDEX(RUNS!$F$6:$F$1005,MATCH($D1358,RUNS!$A$6:$A$1005,0))),""))</f>
        <v/>
      </c>
      <c r="N1358" s="33">
        <f>IF($D1358="","",IFERROR(IF(INDEX(RUNS!$G$6:$G$1005,MATCH($D1358,RUNS!$A$6:$A$1005,0))="","",INDEX(RUNS!$G$6:$G$1005,MATCH($D1358,RUNS!$A$6:$A$1005,0))),""))</f>
        <v/>
      </c>
      <c r="O1358" s="33">
        <f>IF($D1358="","",IFERROR(IF(INDEX(RUNS!$H$6:$H$1005,MATCH($D1358,RUNS!$A$6:$A$1005,0))="","",INDEX(RUNS!$H$6:$H$1005,MATCH($D1358,RUNS!$A$6:$A$1005,0))),""))</f>
        <v/>
      </c>
      <c r="P1358" s="33">
        <f>IF($D1358="","",IFERROR(IF(INDEX(RUNS!$J$6:$J$1005,MATCH($D1358,RUNS!$A$6:$A$1005,0))="","",INDEX(RUNS!$J$6:$J$1005,MATCH($D1358,RUNS!$A$6:$A$1005,0))),""))</f>
        <v/>
      </c>
      <c r="Q1358" s="33">
        <f>IF($D1358="","",IFERROR(IF(INDEX(RUNS!$K$6:$K$1005,MATCH($D1358,RUNS!$A$6:$A$1005,0))="","",INDEX(RUNS!$K$6:$K$1005,MATCH($D1358,RUNS!$A$6:$A$1005,0))),""))</f>
        <v/>
      </c>
      <c r="R1358" s="34">
        <f>IF(OR($L1358="",$K1358=""),"",IFERROR(IF(INDEX(PARAMETRES!$H$43:$H$342,MATCH($L1358&amp;"|"&amp;$M1358&amp;"|"&amp;$N1358&amp;"|"&amp;$O1358&amp;"|"&amp;$P1358&amp;"|"&amp;$Q1358&amp;"|"&amp;$K1358,PARAMETRES!$J$43:$J$342,0))="","",INDEX(PARAMETRES!$H$43:$H$342,MATCH($L1358&amp;"|"&amp;$M1358&amp;"|"&amp;$N1358&amp;"|"&amp;$O1358&amp;"|"&amp;$P1358&amp;"|"&amp;$Q1358&amp;"|"&amp;$K1358,PARAMETRES!$J$43:$J$342,0))),""))</f>
        <v/>
      </c>
      <c r="S1358" s="35">
        <f>IF(OR($G1358="",$X1358&lt;&gt;"VALIDE"),"",IFERROR(LOOKUP(2,1/(($B458:$B1357=$B1358)*($G458:$G1357=$G1358)*($X458:$X1357="VALIDE")),$C458:$C1357),""))</f>
        <v/>
      </c>
      <c r="T1358" s="36">
        <f>IF(OR($C1358="",$S1358=""),"",ROUND(($C1358-$S1358+IF($C1358&lt;$S1358,1,0))*1440,0))</f>
        <v/>
      </c>
      <c r="U1358" s="22">
        <f>IF(OR($H1358="",$T1358="",$T1358&lt;=0),"",$H1358*60/$T1358)</f>
        <v/>
      </c>
      <c r="V1358" s="37">
        <f>IF(OR($U1358="",$R1358="",$R1358=0),"",$U1358/$R1358)</f>
        <v/>
      </c>
      <c r="W1358" s="20">
        <f>IF($G1358="","",IF($X1358="CONTEXTE INCOMPLET","CONTEXTE INCOMPLET",IF($X1358="DOUBLON",StatutDoublon,IF($S1358="",StatutInitial,IF($R1358="",StatutStandardManquant,IF($V1358="","DONNEES INSUFFISANTES",IF($V1358&gt;=SeuilConforme,StatutConforme,IF($V1358&gt;=SeuilSurveiller,StatutSurveiller,StatutSousStandard))))))))</f>
        <v/>
      </c>
      <c r="X1358" s="33">
        <f>IF($G1358="","",IF(OR($D1358="",$E1358="",$F1358=""),"CONTEXTE INCOMPLET",IF(COUNTIFS($D458:$D1357,$D1358,$E458:$E1357,$E1358,$F458:$F1357,$F1358,$G458:$G1357,$G1358)&gt;0,"DOUBLON","VALIDE")))</f>
        <v/>
      </c>
    </row>
    <row r="1359" ht="15" customHeight="1">
      <c r="A1359" s="12">
        <f>IF(OR($B1359="",$G1359=""),"",TEXT($B1359,"YYYYMMDD")&amp;"-"&amp;SUBSTITUTE($E1359," ","")&amp;"-"&amp;$F1359&amp;"-"&amp;$G1359)</f>
        <v/>
      </c>
      <c r="B1359" s="15" t="n"/>
      <c r="C1359" s="16" t="n"/>
      <c r="D1359" s="10" t="n"/>
      <c r="E1359" s="9" t="n"/>
      <c r="F1359" s="9" t="n"/>
      <c r="G1359" s="13" t="n"/>
      <c r="H1359" s="21" t="n"/>
      <c r="I1359" s="21" t="n"/>
      <c r="J1359" s="17">
        <f>IF($G1359="","",IFERROR(INDEX(NomsEmployes,MATCH($G1359,MatriculesEmployes,0)),"MATRICULE INCONNU"))</f>
        <v/>
      </c>
      <c r="K1359" s="33">
        <f>IF(OR($D1359="",$F1359=""),"",IFERROR(IF(INDEX(RUNS!$L$6:$S$1005,MATCH($D1359,RUNS!$A$6:$A$1005,0),MATCH("ACTIVITÉ "&amp;$F1359,RUNS!$L$5:$S$5,0))="","",INDEX(RUNS!$L$6:$S$1005,MATCH($D1359,RUNS!$A$6:$A$1005,0),MATCH("ACTIVITÉ "&amp;$F1359,RUNS!$L$5:$S$5,0))),""))</f>
        <v/>
      </c>
      <c r="L1359" s="33">
        <f>IF($D1359="","",IFERROR(IF(INDEX(RUNS!$E$6:$E$1005,MATCH($D1359,RUNS!$A$6:$A$1005,0))="","",INDEX(RUNS!$E$6:$E$1005,MATCH($D1359,RUNS!$A$6:$A$1005,0))),""))</f>
        <v/>
      </c>
      <c r="M1359" s="33">
        <f>IF($D1359="","",IFERROR(IF(INDEX(RUNS!$F$6:$F$1005,MATCH($D1359,RUNS!$A$6:$A$1005,0))="","",INDEX(RUNS!$F$6:$F$1005,MATCH($D1359,RUNS!$A$6:$A$1005,0))),""))</f>
        <v/>
      </c>
      <c r="N1359" s="33">
        <f>IF($D1359="","",IFERROR(IF(INDEX(RUNS!$G$6:$G$1005,MATCH($D1359,RUNS!$A$6:$A$1005,0))="","",INDEX(RUNS!$G$6:$G$1005,MATCH($D1359,RUNS!$A$6:$A$1005,0))),""))</f>
        <v/>
      </c>
      <c r="O1359" s="33">
        <f>IF($D1359="","",IFERROR(IF(INDEX(RUNS!$H$6:$H$1005,MATCH($D1359,RUNS!$A$6:$A$1005,0))="","",INDEX(RUNS!$H$6:$H$1005,MATCH($D1359,RUNS!$A$6:$A$1005,0))),""))</f>
        <v/>
      </c>
      <c r="P1359" s="33">
        <f>IF($D1359="","",IFERROR(IF(INDEX(RUNS!$J$6:$J$1005,MATCH($D1359,RUNS!$A$6:$A$1005,0))="","",INDEX(RUNS!$J$6:$J$1005,MATCH($D1359,RUNS!$A$6:$A$1005,0))),""))</f>
        <v/>
      </c>
      <c r="Q1359" s="33">
        <f>IF($D1359="","",IFERROR(IF(INDEX(RUNS!$K$6:$K$1005,MATCH($D1359,RUNS!$A$6:$A$1005,0))="","",INDEX(RUNS!$K$6:$K$1005,MATCH($D1359,RUNS!$A$6:$A$1005,0))),""))</f>
        <v/>
      </c>
      <c r="R1359" s="34">
        <f>IF(OR($L1359="",$K1359=""),"",IFERROR(IF(INDEX(PARAMETRES!$H$43:$H$342,MATCH($L1359&amp;"|"&amp;$M1359&amp;"|"&amp;$N1359&amp;"|"&amp;$O1359&amp;"|"&amp;$P1359&amp;"|"&amp;$Q1359&amp;"|"&amp;$K1359,PARAMETRES!$J$43:$J$342,0))="","",INDEX(PARAMETRES!$H$43:$H$342,MATCH($L1359&amp;"|"&amp;$M1359&amp;"|"&amp;$N1359&amp;"|"&amp;$O1359&amp;"|"&amp;$P1359&amp;"|"&amp;$Q1359&amp;"|"&amp;$K1359,PARAMETRES!$J$43:$J$342,0))),""))</f>
        <v/>
      </c>
      <c r="S1359" s="35">
        <f>IF(OR($G1359="",$X1359&lt;&gt;"VALIDE"),"",IFERROR(LOOKUP(2,1/(($B459:$B1358=$B1359)*($G459:$G1358=$G1359)*($X459:$X1358="VALIDE")),$C459:$C1358),""))</f>
        <v/>
      </c>
      <c r="T1359" s="36">
        <f>IF(OR($C1359="",$S1359=""),"",ROUND(($C1359-$S1359+IF($C1359&lt;$S1359,1,0))*1440,0))</f>
        <v/>
      </c>
      <c r="U1359" s="22">
        <f>IF(OR($H1359="",$T1359="",$T1359&lt;=0),"",$H1359*60/$T1359)</f>
        <v/>
      </c>
      <c r="V1359" s="37">
        <f>IF(OR($U1359="",$R1359="",$R1359=0),"",$U1359/$R1359)</f>
        <v/>
      </c>
      <c r="W1359" s="20">
        <f>IF($G1359="","",IF($X1359="CONTEXTE INCOMPLET","CONTEXTE INCOMPLET",IF($X1359="DOUBLON",StatutDoublon,IF($S1359="",StatutInitial,IF($R1359="",StatutStandardManquant,IF($V1359="","DONNEES INSUFFISANTES",IF($V1359&gt;=SeuilConforme,StatutConforme,IF($V1359&gt;=SeuilSurveiller,StatutSurveiller,StatutSousStandard))))))))</f>
        <v/>
      </c>
      <c r="X1359" s="33">
        <f>IF($G1359="","",IF(OR($D1359="",$E1359="",$F1359=""),"CONTEXTE INCOMPLET",IF(COUNTIFS($D459:$D1358,$D1359,$E459:$E1358,$E1359,$F459:$F1358,$F1359,$G459:$G1358,$G1359)&gt;0,"DOUBLON","VALIDE")))</f>
        <v/>
      </c>
    </row>
    <row r="1360" ht="15" customHeight="1">
      <c r="A1360" s="12">
        <f>IF(OR($B1360="",$G1360=""),"",TEXT($B1360,"YYYYMMDD")&amp;"-"&amp;SUBSTITUTE($E1360," ","")&amp;"-"&amp;$F1360&amp;"-"&amp;$G1360)</f>
        <v/>
      </c>
      <c r="B1360" s="15" t="n"/>
      <c r="C1360" s="16" t="n"/>
      <c r="D1360" s="10" t="n"/>
      <c r="E1360" s="9" t="n"/>
      <c r="F1360" s="9" t="n"/>
      <c r="G1360" s="13" t="n"/>
      <c r="H1360" s="21" t="n"/>
      <c r="I1360" s="21" t="n"/>
      <c r="J1360" s="17">
        <f>IF($G1360="","",IFERROR(INDEX(NomsEmployes,MATCH($G1360,MatriculesEmployes,0)),"MATRICULE INCONNU"))</f>
        <v/>
      </c>
      <c r="K1360" s="33">
        <f>IF(OR($D1360="",$F1360=""),"",IFERROR(IF(INDEX(RUNS!$L$6:$S$1005,MATCH($D1360,RUNS!$A$6:$A$1005,0),MATCH("ACTIVITÉ "&amp;$F1360,RUNS!$L$5:$S$5,0))="","",INDEX(RUNS!$L$6:$S$1005,MATCH($D1360,RUNS!$A$6:$A$1005,0),MATCH("ACTIVITÉ "&amp;$F1360,RUNS!$L$5:$S$5,0))),""))</f>
        <v/>
      </c>
      <c r="L1360" s="33">
        <f>IF($D1360="","",IFERROR(IF(INDEX(RUNS!$E$6:$E$1005,MATCH($D1360,RUNS!$A$6:$A$1005,0))="","",INDEX(RUNS!$E$6:$E$1005,MATCH($D1360,RUNS!$A$6:$A$1005,0))),""))</f>
        <v/>
      </c>
      <c r="M1360" s="33">
        <f>IF($D1360="","",IFERROR(IF(INDEX(RUNS!$F$6:$F$1005,MATCH($D1360,RUNS!$A$6:$A$1005,0))="","",INDEX(RUNS!$F$6:$F$1005,MATCH($D1360,RUNS!$A$6:$A$1005,0))),""))</f>
        <v/>
      </c>
      <c r="N1360" s="33">
        <f>IF($D1360="","",IFERROR(IF(INDEX(RUNS!$G$6:$G$1005,MATCH($D1360,RUNS!$A$6:$A$1005,0))="","",INDEX(RUNS!$G$6:$G$1005,MATCH($D1360,RUNS!$A$6:$A$1005,0))),""))</f>
        <v/>
      </c>
      <c r="O1360" s="33">
        <f>IF($D1360="","",IFERROR(IF(INDEX(RUNS!$H$6:$H$1005,MATCH($D1360,RUNS!$A$6:$A$1005,0))="","",INDEX(RUNS!$H$6:$H$1005,MATCH($D1360,RUNS!$A$6:$A$1005,0))),""))</f>
        <v/>
      </c>
      <c r="P1360" s="33">
        <f>IF($D1360="","",IFERROR(IF(INDEX(RUNS!$J$6:$J$1005,MATCH($D1360,RUNS!$A$6:$A$1005,0))="","",INDEX(RUNS!$J$6:$J$1005,MATCH($D1360,RUNS!$A$6:$A$1005,0))),""))</f>
        <v/>
      </c>
      <c r="Q1360" s="33">
        <f>IF($D1360="","",IFERROR(IF(INDEX(RUNS!$K$6:$K$1005,MATCH($D1360,RUNS!$A$6:$A$1005,0))="","",INDEX(RUNS!$K$6:$K$1005,MATCH($D1360,RUNS!$A$6:$A$1005,0))),""))</f>
        <v/>
      </c>
      <c r="R1360" s="34">
        <f>IF(OR($L1360="",$K1360=""),"",IFERROR(IF(INDEX(PARAMETRES!$H$43:$H$342,MATCH($L1360&amp;"|"&amp;$M1360&amp;"|"&amp;$N1360&amp;"|"&amp;$O1360&amp;"|"&amp;$P1360&amp;"|"&amp;$Q1360&amp;"|"&amp;$K1360,PARAMETRES!$J$43:$J$342,0))="","",INDEX(PARAMETRES!$H$43:$H$342,MATCH($L1360&amp;"|"&amp;$M1360&amp;"|"&amp;$N1360&amp;"|"&amp;$O1360&amp;"|"&amp;$P1360&amp;"|"&amp;$Q1360&amp;"|"&amp;$K1360,PARAMETRES!$J$43:$J$342,0))),""))</f>
        <v/>
      </c>
      <c r="S1360" s="35">
        <f>IF(OR($G1360="",$X1360&lt;&gt;"VALIDE"),"",IFERROR(LOOKUP(2,1/(($B460:$B1359=$B1360)*($G460:$G1359=$G1360)*($X460:$X1359="VALIDE")),$C460:$C1359),""))</f>
        <v/>
      </c>
      <c r="T1360" s="36">
        <f>IF(OR($C1360="",$S1360=""),"",ROUND(($C1360-$S1360+IF($C1360&lt;$S1360,1,0))*1440,0))</f>
        <v/>
      </c>
      <c r="U1360" s="22">
        <f>IF(OR($H1360="",$T1360="",$T1360&lt;=0),"",$H1360*60/$T1360)</f>
        <v/>
      </c>
      <c r="V1360" s="37">
        <f>IF(OR($U1360="",$R1360="",$R1360=0),"",$U1360/$R1360)</f>
        <v/>
      </c>
      <c r="W1360" s="20">
        <f>IF($G1360="","",IF($X1360="CONTEXTE INCOMPLET","CONTEXTE INCOMPLET",IF($X1360="DOUBLON",StatutDoublon,IF($S1360="",StatutInitial,IF($R1360="",StatutStandardManquant,IF($V1360="","DONNEES INSUFFISANTES",IF($V1360&gt;=SeuilConforme,StatutConforme,IF($V1360&gt;=SeuilSurveiller,StatutSurveiller,StatutSousStandard))))))))</f>
        <v/>
      </c>
      <c r="X1360" s="33">
        <f>IF($G1360="","",IF(OR($D1360="",$E1360="",$F1360=""),"CONTEXTE INCOMPLET",IF(COUNTIFS($D460:$D1359,$D1360,$E460:$E1359,$E1360,$F460:$F1359,$F1360,$G460:$G1359,$G1360)&gt;0,"DOUBLON","VALIDE")))</f>
        <v/>
      </c>
    </row>
    <row r="1361" ht="15" customHeight="1">
      <c r="A1361" s="12">
        <f>IF(OR($B1361="",$G1361=""),"",TEXT($B1361,"YYYYMMDD")&amp;"-"&amp;SUBSTITUTE($E1361," ","")&amp;"-"&amp;$F1361&amp;"-"&amp;$G1361)</f>
        <v/>
      </c>
      <c r="B1361" s="15" t="n"/>
      <c r="C1361" s="16" t="n"/>
      <c r="D1361" s="10" t="n"/>
      <c r="E1361" s="9" t="n"/>
      <c r="F1361" s="9" t="n"/>
      <c r="G1361" s="13" t="n"/>
      <c r="H1361" s="21" t="n"/>
      <c r="I1361" s="21" t="n"/>
      <c r="J1361" s="17">
        <f>IF($G1361="","",IFERROR(INDEX(NomsEmployes,MATCH($G1361,MatriculesEmployes,0)),"MATRICULE INCONNU"))</f>
        <v/>
      </c>
      <c r="K1361" s="33">
        <f>IF(OR($D1361="",$F1361=""),"",IFERROR(IF(INDEX(RUNS!$L$6:$S$1005,MATCH($D1361,RUNS!$A$6:$A$1005,0),MATCH("ACTIVITÉ "&amp;$F1361,RUNS!$L$5:$S$5,0))="","",INDEX(RUNS!$L$6:$S$1005,MATCH($D1361,RUNS!$A$6:$A$1005,0),MATCH("ACTIVITÉ "&amp;$F1361,RUNS!$L$5:$S$5,0))),""))</f>
        <v/>
      </c>
      <c r="L1361" s="33">
        <f>IF($D1361="","",IFERROR(IF(INDEX(RUNS!$E$6:$E$1005,MATCH($D1361,RUNS!$A$6:$A$1005,0))="","",INDEX(RUNS!$E$6:$E$1005,MATCH($D1361,RUNS!$A$6:$A$1005,0))),""))</f>
        <v/>
      </c>
      <c r="M1361" s="33">
        <f>IF($D1361="","",IFERROR(IF(INDEX(RUNS!$F$6:$F$1005,MATCH($D1361,RUNS!$A$6:$A$1005,0))="","",INDEX(RUNS!$F$6:$F$1005,MATCH($D1361,RUNS!$A$6:$A$1005,0))),""))</f>
        <v/>
      </c>
      <c r="N1361" s="33">
        <f>IF($D1361="","",IFERROR(IF(INDEX(RUNS!$G$6:$G$1005,MATCH($D1361,RUNS!$A$6:$A$1005,0))="","",INDEX(RUNS!$G$6:$G$1005,MATCH($D1361,RUNS!$A$6:$A$1005,0))),""))</f>
        <v/>
      </c>
      <c r="O1361" s="33">
        <f>IF($D1361="","",IFERROR(IF(INDEX(RUNS!$H$6:$H$1005,MATCH($D1361,RUNS!$A$6:$A$1005,0))="","",INDEX(RUNS!$H$6:$H$1005,MATCH($D1361,RUNS!$A$6:$A$1005,0))),""))</f>
        <v/>
      </c>
      <c r="P1361" s="33">
        <f>IF($D1361="","",IFERROR(IF(INDEX(RUNS!$J$6:$J$1005,MATCH($D1361,RUNS!$A$6:$A$1005,0))="","",INDEX(RUNS!$J$6:$J$1005,MATCH($D1361,RUNS!$A$6:$A$1005,0))),""))</f>
        <v/>
      </c>
      <c r="Q1361" s="33">
        <f>IF($D1361="","",IFERROR(IF(INDEX(RUNS!$K$6:$K$1005,MATCH($D1361,RUNS!$A$6:$A$1005,0))="","",INDEX(RUNS!$K$6:$K$1005,MATCH($D1361,RUNS!$A$6:$A$1005,0))),""))</f>
        <v/>
      </c>
      <c r="R1361" s="34">
        <f>IF(OR($L1361="",$K1361=""),"",IFERROR(IF(INDEX(PARAMETRES!$H$43:$H$342,MATCH($L1361&amp;"|"&amp;$M1361&amp;"|"&amp;$N1361&amp;"|"&amp;$O1361&amp;"|"&amp;$P1361&amp;"|"&amp;$Q1361&amp;"|"&amp;$K1361,PARAMETRES!$J$43:$J$342,0))="","",INDEX(PARAMETRES!$H$43:$H$342,MATCH($L1361&amp;"|"&amp;$M1361&amp;"|"&amp;$N1361&amp;"|"&amp;$O1361&amp;"|"&amp;$P1361&amp;"|"&amp;$Q1361&amp;"|"&amp;$K1361,PARAMETRES!$J$43:$J$342,0))),""))</f>
        <v/>
      </c>
      <c r="S1361" s="35">
        <f>IF(OR($G1361="",$X1361&lt;&gt;"VALIDE"),"",IFERROR(LOOKUP(2,1/(($B461:$B1360=$B1361)*($G461:$G1360=$G1361)*($X461:$X1360="VALIDE")),$C461:$C1360),""))</f>
        <v/>
      </c>
      <c r="T1361" s="36">
        <f>IF(OR($C1361="",$S1361=""),"",ROUND(($C1361-$S1361+IF($C1361&lt;$S1361,1,0))*1440,0))</f>
        <v/>
      </c>
      <c r="U1361" s="22">
        <f>IF(OR($H1361="",$T1361="",$T1361&lt;=0),"",$H1361*60/$T1361)</f>
        <v/>
      </c>
      <c r="V1361" s="37">
        <f>IF(OR($U1361="",$R1361="",$R1361=0),"",$U1361/$R1361)</f>
        <v/>
      </c>
      <c r="W1361" s="20">
        <f>IF($G1361="","",IF($X1361="CONTEXTE INCOMPLET","CONTEXTE INCOMPLET",IF($X1361="DOUBLON",StatutDoublon,IF($S1361="",StatutInitial,IF($R1361="",StatutStandardManquant,IF($V1361="","DONNEES INSUFFISANTES",IF($V1361&gt;=SeuilConforme,StatutConforme,IF($V1361&gt;=SeuilSurveiller,StatutSurveiller,StatutSousStandard))))))))</f>
        <v/>
      </c>
      <c r="X1361" s="33">
        <f>IF($G1361="","",IF(OR($D1361="",$E1361="",$F1361=""),"CONTEXTE INCOMPLET",IF(COUNTIFS($D461:$D1360,$D1361,$E461:$E1360,$E1361,$F461:$F1360,$F1361,$G461:$G1360,$G1361)&gt;0,"DOUBLON","VALIDE")))</f>
        <v/>
      </c>
    </row>
    <row r="1362" ht="15" customHeight="1">
      <c r="A1362" s="12">
        <f>IF(OR($B1362="",$G1362=""),"",TEXT($B1362,"YYYYMMDD")&amp;"-"&amp;SUBSTITUTE($E1362," ","")&amp;"-"&amp;$F1362&amp;"-"&amp;$G1362)</f>
        <v/>
      </c>
      <c r="B1362" s="15" t="n"/>
      <c r="C1362" s="16" t="n"/>
      <c r="D1362" s="10" t="n"/>
      <c r="E1362" s="9" t="n"/>
      <c r="F1362" s="9" t="n"/>
      <c r="G1362" s="13" t="n"/>
      <c r="H1362" s="21" t="n"/>
      <c r="I1362" s="21" t="n"/>
      <c r="J1362" s="17">
        <f>IF($G1362="","",IFERROR(INDEX(NomsEmployes,MATCH($G1362,MatriculesEmployes,0)),"MATRICULE INCONNU"))</f>
        <v/>
      </c>
      <c r="K1362" s="33">
        <f>IF(OR($D1362="",$F1362=""),"",IFERROR(IF(INDEX(RUNS!$L$6:$S$1005,MATCH($D1362,RUNS!$A$6:$A$1005,0),MATCH("ACTIVITÉ "&amp;$F1362,RUNS!$L$5:$S$5,0))="","",INDEX(RUNS!$L$6:$S$1005,MATCH($D1362,RUNS!$A$6:$A$1005,0),MATCH("ACTIVITÉ "&amp;$F1362,RUNS!$L$5:$S$5,0))),""))</f>
        <v/>
      </c>
      <c r="L1362" s="33">
        <f>IF($D1362="","",IFERROR(IF(INDEX(RUNS!$E$6:$E$1005,MATCH($D1362,RUNS!$A$6:$A$1005,0))="","",INDEX(RUNS!$E$6:$E$1005,MATCH($D1362,RUNS!$A$6:$A$1005,0))),""))</f>
        <v/>
      </c>
      <c r="M1362" s="33">
        <f>IF($D1362="","",IFERROR(IF(INDEX(RUNS!$F$6:$F$1005,MATCH($D1362,RUNS!$A$6:$A$1005,0))="","",INDEX(RUNS!$F$6:$F$1005,MATCH($D1362,RUNS!$A$6:$A$1005,0))),""))</f>
        <v/>
      </c>
      <c r="N1362" s="33">
        <f>IF($D1362="","",IFERROR(IF(INDEX(RUNS!$G$6:$G$1005,MATCH($D1362,RUNS!$A$6:$A$1005,0))="","",INDEX(RUNS!$G$6:$G$1005,MATCH($D1362,RUNS!$A$6:$A$1005,0))),""))</f>
        <v/>
      </c>
      <c r="O1362" s="33">
        <f>IF($D1362="","",IFERROR(IF(INDEX(RUNS!$H$6:$H$1005,MATCH($D1362,RUNS!$A$6:$A$1005,0))="","",INDEX(RUNS!$H$6:$H$1005,MATCH($D1362,RUNS!$A$6:$A$1005,0))),""))</f>
        <v/>
      </c>
      <c r="P1362" s="33">
        <f>IF($D1362="","",IFERROR(IF(INDEX(RUNS!$J$6:$J$1005,MATCH($D1362,RUNS!$A$6:$A$1005,0))="","",INDEX(RUNS!$J$6:$J$1005,MATCH($D1362,RUNS!$A$6:$A$1005,0))),""))</f>
        <v/>
      </c>
      <c r="Q1362" s="33">
        <f>IF($D1362="","",IFERROR(IF(INDEX(RUNS!$K$6:$K$1005,MATCH($D1362,RUNS!$A$6:$A$1005,0))="","",INDEX(RUNS!$K$6:$K$1005,MATCH($D1362,RUNS!$A$6:$A$1005,0))),""))</f>
        <v/>
      </c>
      <c r="R1362" s="34">
        <f>IF(OR($L1362="",$K1362=""),"",IFERROR(IF(INDEX(PARAMETRES!$H$43:$H$342,MATCH($L1362&amp;"|"&amp;$M1362&amp;"|"&amp;$N1362&amp;"|"&amp;$O1362&amp;"|"&amp;$P1362&amp;"|"&amp;$Q1362&amp;"|"&amp;$K1362,PARAMETRES!$J$43:$J$342,0))="","",INDEX(PARAMETRES!$H$43:$H$342,MATCH($L1362&amp;"|"&amp;$M1362&amp;"|"&amp;$N1362&amp;"|"&amp;$O1362&amp;"|"&amp;$P1362&amp;"|"&amp;$Q1362&amp;"|"&amp;$K1362,PARAMETRES!$J$43:$J$342,0))),""))</f>
        <v/>
      </c>
      <c r="S1362" s="35">
        <f>IF(OR($G1362="",$X1362&lt;&gt;"VALIDE"),"",IFERROR(LOOKUP(2,1/(($B462:$B1361=$B1362)*($G462:$G1361=$G1362)*($X462:$X1361="VALIDE")),$C462:$C1361),""))</f>
        <v/>
      </c>
      <c r="T1362" s="36">
        <f>IF(OR($C1362="",$S1362=""),"",ROUND(($C1362-$S1362+IF($C1362&lt;$S1362,1,0))*1440,0))</f>
        <v/>
      </c>
      <c r="U1362" s="22">
        <f>IF(OR($H1362="",$T1362="",$T1362&lt;=0),"",$H1362*60/$T1362)</f>
        <v/>
      </c>
      <c r="V1362" s="37">
        <f>IF(OR($U1362="",$R1362="",$R1362=0),"",$U1362/$R1362)</f>
        <v/>
      </c>
      <c r="W1362" s="20">
        <f>IF($G1362="","",IF($X1362="CONTEXTE INCOMPLET","CONTEXTE INCOMPLET",IF($X1362="DOUBLON",StatutDoublon,IF($S1362="",StatutInitial,IF($R1362="",StatutStandardManquant,IF($V1362="","DONNEES INSUFFISANTES",IF($V1362&gt;=SeuilConforme,StatutConforme,IF($V1362&gt;=SeuilSurveiller,StatutSurveiller,StatutSousStandard))))))))</f>
        <v/>
      </c>
      <c r="X1362" s="33">
        <f>IF($G1362="","",IF(OR($D1362="",$E1362="",$F1362=""),"CONTEXTE INCOMPLET",IF(COUNTIFS($D462:$D1361,$D1362,$E462:$E1361,$E1362,$F462:$F1361,$F1362,$G462:$G1361,$G1362)&gt;0,"DOUBLON","VALIDE")))</f>
        <v/>
      </c>
    </row>
    <row r="1363" ht="15" customHeight="1">
      <c r="A1363" s="12">
        <f>IF(OR($B1363="",$G1363=""),"",TEXT($B1363,"YYYYMMDD")&amp;"-"&amp;SUBSTITUTE($E1363," ","")&amp;"-"&amp;$F1363&amp;"-"&amp;$G1363)</f>
        <v/>
      </c>
      <c r="B1363" s="15" t="n"/>
      <c r="C1363" s="16" t="n"/>
      <c r="D1363" s="10" t="n"/>
      <c r="E1363" s="9" t="n"/>
      <c r="F1363" s="9" t="n"/>
      <c r="G1363" s="13" t="n"/>
      <c r="H1363" s="21" t="n"/>
      <c r="I1363" s="21" t="n"/>
      <c r="J1363" s="17">
        <f>IF($G1363="","",IFERROR(INDEX(NomsEmployes,MATCH($G1363,MatriculesEmployes,0)),"MATRICULE INCONNU"))</f>
        <v/>
      </c>
      <c r="K1363" s="33">
        <f>IF(OR($D1363="",$F1363=""),"",IFERROR(IF(INDEX(RUNS!$L$6:$S$1005,MATCH($D1363,RUNS!$A$6:$A$1005,0),MATCH("ACTIVITÉ "&amp;$F1363,RUNS!$L$5:$S$5,0))="","",INDEX(RUNS!$L$6:$S$1005,MATCH($D1363,RUNS!$A$6:$A$1005,0),MATCH("ACTIVITÉ "&amp;$F1363,RUNS!$L$5:$S$5,0))),""))</f>
        <v/>
      </c>
      <c r="L1363" s="33">
        <f>IF($D1363="","",IFERROR(IF(INDEX(RUNS!$E$6:$E$1005,MATCH($D1363,RUNS!$A$6:$A$1005,0))="","",INDEX(RUNS!$E$6:$E$1005,MATCH($D1363,RUNS!$A$6:$A$1005,0))),""))</f>
        <v/>
      </c>
      <c r="M1363" s="33">
        <f>IF($D1363="","",IFERROR(IF(INDEX(RUNS!$F$6:$F$1005,MATCH($D1363,RUNS!$A$6:$A$1005,0))="","",INDEX(RUNS!$F$6:$F$1005,MATCH($D1363,RUNS!$A$6:$A$1005,0))),""))</f>
        <v/>
      </c>
      <c r="N1363" s="33">
        <f>IF($D1363="","",IFERROR(IF(INDEX(RUNS!$G$6:$G$1005,MATCH($D1363,RUNS!$A$6:$A$1005,0))="","",INDEX(RUNS!$G$6:$G$1005,MATCH($D1363,RUNS!$A$6:$A$1005,0))),""))</f>
        <v/>
      </c>
      <c r="O1363" s="33">
        <f>IF($D1363="","",IFERROR(IF(INDEX(RUNS!$H$6:$H$1005,MATCH($D1363,RUNS!$A$6:$A$1005,0))="","",INDEX(RUNS!$H$6:$H$1005,MATCH($D1363,RUNS!$A$6:$A$1005,0))),""))</f>
        <v/>
      </c>
      <c r="P1363" s="33">
        <f>IF($D1363="","",IFERROR(IF(INDEX(RUNS!$J$6:$J$1005,MATCH($D1363,RUNS!$A$6:$A$1005,0))="","",INDEX(RUNS!$J$6:$J$1005,MATCH($D1363,RUNS!$A$6:$A$1005,0))),""))</f>
        <v/>
      </c>
      <c r="Q1363" s="33">
        <f>IF($D1363="","",IFERROR(IF(INDEX(RUNS!$K$6:$K$1005,MATCH($D1363,RUNS!$A$6:$A$1005,0))="","",INDEX(RUNS!$K$6:$K$1005,MATCH($D1363,RUNS!$A$6:$A$1005,0))),""))</f>
        <v/>
      </c>
      <c r="R1363" s="34">
        <f>IF(OR($L1363="",$K1363=""),"",IFERROR(IF(INDEX(PARAMETRES!$H$43:$H$342,MATCH($L1363&amp;"|"&amp;$M1363&amp;"|"&amp;$N1363&amp;"|"&amp;$O1363&amp;"|"&amp;$P1363&amp;"|"&amp;$Q1363&amp;"|"&amp;$K1363,PARAMETRES!$J$43:$J$342,0))="","",INDEX(PARAMETRES!$H$43:$H$342,MATCH($L1363&amp;"|"&amp;$M1363&amp;"|"&amp;$N1363&amp;"|"&amp;$O1363&amp;"|"&amp;$P1363&amp;"|"&amp;$Q1363&amp;"|"&amp;$K1363,PARAMETRES!$J$43:$J$342,0))),""))</f>
        <v/>
      </c>
      <c r="S1363" s="35">
        <f>IF(OR($G1363="",$X1363&lt;&gt;"VALIDE"),"",IFERROR(LOOKUP(2,1/(($B463:$B1362=$B1363)*($G463:$G1362=$G1363)*($X463:$X1362="VALIDE")),$C463:$C1362),""))</f>
        <v/>
      </c>
      <c r="T1363" s="36">
        <f>IF(OR($C1363="",$S1363=""),"",ROUND(($C1363-$S1363+IF($C1363&lt;$S1363,1,0))*1440,0))</f>
        <v/>
      </c>
      <c r="U1363" s="22">
        <f>IF(OR($H1363="",$T1363="",$T1363&lt;=0),"",$H1363*60/$T1363)</f>
        <v/>
      </c>
      <c r="V1363" s="37">
        <f>IF(OR($U1363="",$R1363="",$R1363=0),"",$U1363/$R1363)</f>
        <v/>
      </c>
      <c r="W1363" s="20">
        <f>IF($G1363="","",IF($X1363="CONTEXTE INCOMPLET","CONTEXTE INCOMPLET",IF($X1363="DOUBLON",StatutDoublon,IF($S1363="",StatutInitial,IF($R1363="",StatutStandardManquant,IF($V1363="","DONNEES INSUFFISANTES",IF($V1363&gt;=SeuilConforme,StatutConforme,IF($V1363&gt;=SeuilSurveiller,StatutSurveiller,StatutSousStandard))))))))</f>
        <v/>
      </c>
      <c r="X1363" s="33">
        <f>IF($G1363="","",IF(OR($D1363="",$E1363="",$F1363=""),"CONTEXTE INCOMPLET",IF(COUNTIFS($D463:$D1362,$D1363,$E463:$E1362,$E1363,$F463:$F1362,$F1363,$G463:$G1362,$G1363)&gt;0,"DOUBLON","VALIDE")))</f>
        <v/>
      </c>
    </row>
    <row r="1364" ht="15" customHeight="1">
      <c r="A1364" s="12">
        <f>IF(OR($B1364="",$G1364=""),"",TEXT($B1364,"YYYYMMDD")&amp;"-"&amp;SUBSTITUTE($E1364," ","")&amp;"-"&amp;$F1364&amp;"-"&amp;$G1364)</f>
        <v/>
      </c>
      <c r="B1364" s="15" t="n"/>
      <c r="C1364" s="16" t="n"/>
      <c r="D1364" s="10" t="n"/>
      <c r="E1364" s="9" t="n"/>
      <c r="F1364" s="9" t="n"/>
      <c r="G1364" s="13" t="n"/>
      <c r="H1364" s="21" t="n"/>
      <c r="I1364" s="21" t="n"/>
      <c r="J1364" s="17">
        <f>IF($G1364="","",IFERROR(INDEX(NomsEmployes,MATCH($G1364,MatriculesEmployes,0)),"MATRICULE INCONNU"))</f>
        <v/>
      </c>
      <c r="K1364" s="33">
        <f>IF(OR($D1364="",$F1364=""),"",IFERROR(IF(INDEX(RUNS!$L$6:$S$1005,MATCH($D1364,RUNS!$A$6:$A$1005,0),MATCH("ACTIVITÉ "&amp;$F1364,RUNS!$L$5:$S$5,0))="","",INDEX(RUNS!$L$6:$S$1005,MATCH($D1364,RUNS!$A$6:$A$1005,0),MATCH("ACTIVITÉ "&amp;$F1364,RUNS!$L$5:$S$5,0))),""))</f>
        <v/>
      </c>
      <c r="L1364" s="33">
        <f>IF($D1364="","",IFERROR(IF(INDEX(RUNS!$E$6:$E$1005,MATCH($D1364,RUNS!$A$6:$A$1005,0))="","",INDEX(RUNS!$E$6:$E$1005,MATCH($D1364,RUNS!$A$6:$A$1005,0))),""))</f>
        <v/>
      </c>
      <c r="M1364" s="33">
        <f>IF($D1364="","",IFERROR(IF(INDEX(RUNS!$F$6:$F$1005,MATCH($D1364,RUNS!$A$6:$A$1005,0))="","",INDEX(RUNS!$F$6:$F$1005,MATCH($D1364,RUNS!$A$6:$A$1005,0))),""))</f>
        <v/>
      </c>
      <c r="N1364" s="33">
        <f>IF($D1364="","",IFERROR(IF(INDEX(RUNS!$G$6:$G$1005,MATCH($D1364,RUNS!$A$6:$A$1005,0))="","",INDEX(RUNS!$G$6:$G$1005,MATCH($D1364,RUNS!$A$6:$A$1005,0))),""))</f>
        <v/>
      </c>
      <c r="O1364" s="33">
        <f>IF($D1364="","",IFERROR(IF(INDEX(RUNS!$H$6:$H$1005,MATCH($D1364,RUNS!$A$6:$A$1005,0))="","",INDEX(RUNS!$H$6:$H$1005,MATCH($D1364,RUNS!$A$6:$A$1005,0))),""))</f>
        <v/>
      </c>
      <c r="P1364" s="33">
        <f>IF($D1364="","",IFERROR(IF(INDEX(RUNS!$J$6:$J$1005,MATCH($D1364,RUNS!$A$6:$A$1005,0))="","",INDEX(RUNS!$J$6:$J$1005,MATCH($D1364,RUNS!$A$6:$A$1005,0))),""))</f>
        <v/>
      </c>
      <c r="Q1364" s="33">
        <f>IF($D1364="","",IFERROR(IF(INDEX(RUNS!$K$6:$K$1005,MATCH($D1364,RUNS!$A$6:$A$1005,0))="","",INDEX(RUNS!$K$6:$K$1005,MATCH($D1364,RUNS!$A$6:$A$1005,0))),""))</f>
        <v/>
      </c>
      <c r="R1364" s="34">
        <f>IF(OR($L1364="",$K1364=""),"",IFERROR(IF(INDEX(PARAMETRES!$H$43:$H$342,MATCH($L1364&amp;"|"&amp;$M1364&amp;"|"&amp;$N1364&amp;"|"&amp;$O1364&amp;"|"&amp;$P1364&amp;"|"&amp;$Q1364&amp;"|"&amp;$K1364,PARAMETRES!$J$43:$J$342,0))="","",INDEX(PARAMETRES!$H$43:$H$342,MATCH($L1364&amp;"|"&amp;$M1364&amp;"|"&amp;$N1364&amp;"|"&amp;$O1364&amp;"|"&amp;$P1364&amp;"|"&amp;$Q1364&amp;"|"&amp;$K1364,PARAMETRES!$J$43:$J$342,0))),""))</f>
        <v/>
      </c>
      <c r="S1364" s="35">
        <f>IF(OR($G1364="",$X1364&lt;&gt;"VALIDE"),"",IFERROR(LOOKUP(2,1/(($B464:$B1363=$B1364)*($G464:$G1363=$G1364)*($X464:$X1363="VALIDE")),$C464:$C1363),""))</f>
        <v/>
      </c>
      <c r="T1364" s="36">
        <f>IF(OR($C1364="",$S1364=""),"",ROUND(($C1364-$S1364+IF($C1364&lt;$S1364,1,0))*1440,0))</f>
        <v/>
      </c>
      <c r="U1364" s="22">
        <f>IF(OR($H1364="",$T1364="",$T1364&lt;=0),"",$H1364*60/$T1364)</f>
        <v/>
      </c>
      <c r="V1364" s="37">
        <f>IF(OR($U1364="",$R1364="",$R1364=0),"",$U1364/$R1364)</f>
        <v/>
      </c>
      <c r="W1364" s="20">
        <f>IF($G1364="","",IF($X1364="CONTEXTE INCOMPLET","CONTEXTE INCOMPLET",IF($X1364="DOUBLON",StatutDoublon,IF($S1364="",StatutInitial,IF($R1364="",StatutStandardManquant,IF($V1364="","DONNEES INSUFFISANTES",IF($V1364&gt;=SeuilConforme,StatutConforme,IF($V1364&gt;=SeuilSurveiller,StatutSurveiller,StatutSousStandard))))))))</f>
        <v/>
      </c>
      <c r="X1364" s="33">
        <f>IF($G1364="","",IF(OR($D1364="",$E1364="",$F1364=""),"CONTEXTE INCOMPLET",IF(COUNTIFS($D464:$D1363,$D1364,$E464:$E1363,$E1364,$F464:$F1363,$F1364,$G464:$G1363,$G1364)&gt;0,"DOUBLON","VALIDE")))</f>
        <v/>
      </c>
    </row>
    <row r="1365" ht="15" customHeight="1">
      <c r="A1365" s="12">
        <f>IF(OR($B1365="",$G1365=""),"",TEXT($B1365,"YYYYMMDD")&amp;"-"&amp;SUBSTITUTE($E1365," ","")&amp;"-"&amp;$F1365&amp;"-"&amp;$G1365)</f>
        <v/>
      </c>
      <c r="B1365" s="15" t="n"/>
      <c r="C1365" s="16" t="n"/>
      <c r="D1365" s="10" t="n"/>
      <c r="E1365" s="9" t="n"/>
      <c r="F1365" s="9" t="n"/>
      <c r="G1365" s="13" t="n"/>
      <c r="H1365" s="21" t="n"/>
      <c r="I1365" s="21" t="n"/>
      <c r="J1365" s="17">
        <f>IF($G1365="","",IFERROR(INDEX(NomsEmployes,MATCH($G1365,MatriculesEmployes,0)),"MATRICULE INCONNU"))</f>
        <v/>
      </c>
      <c r="K1365" s="33">
        <f>IF(OR($D1365="",$F1365=""),"",IFERROR(IF(INDEX(RUNS!$L$6:$S$1005,MATCH($D1365,RUNS!$A$6:$A$1005,0),MATCH("ACTIVITÉ "&amp;$F1365,RUNS!$L$5:$S$5,0))="","",INDEX(RUNS!$L$6:$S$1005,MATCH($D1365,RUNS!$A$6:$A$1005,0),MATCH("ACTIVITÉ "&amp;$F1365,RUNS!$L$5:$S$5,0))),""))</f>
        <v/>
      </c>
      <c r="L1365" s="33">
        <f>IF($D1365="","",IFERROR(IF(INDEX(RUNS!$E$6:$E$1005,MATCH($D1365,RUNS!$A$6:$A$1005,0))="","",INDEX(RUNS!$E$6:$E$1005,MATCH($D1365,RUNS!$A$6:$A$1005,0))),""))</f>
        <v/>
      </c>
      <c r="M1365" s="33">
        <f>IF($D1365="","",IFERROR(IF(INDEX(RUNS!$F$6:$F$1005,MATCH($D1365,RUNS!$A$6:$A$1005,0))="","",INDEX(RUNS!$F$6:$F$1005,MATCH($D1365,RUNS!$A$6:$A$1005,0))),""))</f>
        <v/>
      </c>
      <c r="N1365" s="33">
        <f>IF($D1365="","",IFERROR(IF(INDEX(RUNS!$G$6:$G$1005,MATCH($D1365,RUNS!$A$6:$A$1005,0))="","",INDEX(RUNS!$G$6:$G$1005,MATCH($D1365,RUNS!$A$6:$A$1005,0))),""))</f>
        <v/>
      </c>
      <c r="O1365" s="33">
        <f>IF($D1365="","",IFERROR(IF(INDEX(RUNS!$H$6:$H$1005,MATCH($D1365,RUNS!$A$6:$A$1005,0))="","",INDEX(RUNS!$H$6:$H$1005,MATCH($D1365,RUNS!$A$6:$A$1005,0))),""))</f>
        <v/>
      </c>
      <c r="P1365" s="33">
        <f>IF($D1365="","",IFERROR(IF(INDEX(RUNS!$J$6:$J$1005,MATCH($D1365,RUNS!$A$6:$A$1005,0))="","",INDEX(RUNS!$J$6:$J$1005,MATCH($D1365,RUNS!$A$6:$A$1005,0))),""))</f>
        <v/>
      </c>
      <c r="Q1365" s="33">
        <f>IF($D1365="","",IFERROR(IF(INDEX(RUNS!$K$6:$K$1005,MATCH($D1365,RUNS!$A$6:$A$1005,0))="","",INDEX(RUNS!$K$6:$K$1005,MATCH($D1365,RUNS!$A$6:$A$1005,0))),""))</f>
        <v/>
      </c>
      <c r="R1365" s="34">
        <f>IF(OR($L1365="",$K1365=""),"",IFERROR(IF(INDEX(PARAMETRES!$H$43:$H$342,MATCH($L1365&amp;"|"&amp;$M1365&amp;"|"&amp;$N1365&amp;"|"&amp;$O1365&amp;"|"&amp;$P1365&amp;"|"&amp;$Q1365&amp;"|"&amp;$K1365,PARAMETRES!$J$43:$J$342,0))="","",INDEX(PARAMETRES!$H$43:$H$342,MATCH($L1365&amp;"|"&amp;$M1365&amp;"|"&amp;$N1365&amp;"|"&amp;$O1365&amp;"|"&amp;$P1365&amp;"|"&amp;$Q1365&amp;"|"&amp;$K1365,PARAMETRES!$J$43:$J$342,0))),""))</f>
        <v/>
      </c>
      <c r="S1365" s="35">
        <f>IF(OR($G1365="",$X1365&lt;&gt;"VALIDE"),"",IFERROR(LOOKUP(2,1/(($B465:$B1364=$B1365)*($G465:$G1364=$G1365)*($X465:$X1364="VALIDE")),$C465:$C1364),""))</f>
        <v/>
      </c>
      <c r="T1365" s="36">
        <f>IF(OR($C1365="",$S1365=""),"",ROUND(($C1365-$S1365+IF($C1365&lt;$S1365,1,0))*1440,0))</f>
        <v/>
      </c>
      <c r="U1365" s="22">
        <f>IF(OR($H1365="",$T1365="",$T1365&lt;=0),"",$H1365*60/$T1365)</f>
        <v/>
      </c>
      <c r="V1365" s="37">
        <f>IF(OR($U1365="",$R1365="",$R1365=0),"",$U1365/$R1365)</f>
        <v/>
      </c>
      <c r="W1365" s="20">
        <f>IF($G1365="","",IF($X1365="CONTEXTE INCOMPLET","CONTEXTE INCOMPLET",IF($X1365="DOUBLON",StatutDoublon,IF($S1365="",StatutInitial,IF($R1365="",StatutStandardManquant,IF($V1365="","DONNEES INSUFFISANTES",IF($V1365&gt;=SeuilConforme,StatutConforme,IF($V1365&gt;=SeuilSurveiller,StatutSurveiller,StatutSousStandard))))))))</f>
        <v/>
      </c>
      <c r="X1365" s="33">
        <f>IF($G1365="","",IF(OR($D1365="",$E1365="",$F1365=""),"CONTEXTE INCOMPLET",IF(COUNTIFS($D465:$D1364,$D1365,$E465:$E1364,$E1365,$F465:$F1364,$F1365,$G465:$G1364,$G1365)&gt;0,"DOUBLON","VALIDE")))</f>
        <v/>
      </c>
    </row>
    <row r="1366" ht="15" customHeight="1">
      <c r="A1366" s="12">
        <f>IF(OR($B1366="",$G1366=""),"",TEXT($B1366,"YYYYMMDD")&amp;"-"&amp;SUBSTITUTE($E1366," ","")&amp;"-"&amp;$F1366&amp;"-"&amp;$G1366)</f>
        <v/>
      </c>
      <c r="B1366" s="15" t="n"/>
      <c r="C1366" s="16" t="n"/>
      <c r="D1366" s="10" t="n"/>
      <c r="E1366" s="9" t="n"/>
      <c r="F1366" s="9" t="n"/>
      <c r="G1366" s="13" t="n"/>
      <c r="H1366" s="21" t="n"/>
      <c r="I1366" s="21" t="n"/>
      <c r="J1366" s="17">
        <f>IF($G1366="","",IFERROR(INDEX(NomsEmployes,MATCH($G1366,MatriculesEmployes,0)),"MATRICULE INCONNU"))</f>
        <v/>
      </c>
      <c r="K1366" s="33">
        <f>IF(OR($D1366="",$F1366=""),"",IFERROR(IF(INDEX(RUNS!$L$6:$S$1005,MATCH($D1366,RUNS!$A$6:$A$1005,0),MATCH("ACTIVITÉ "&amp;$F1366,RUNS!$L$5:$S$5,0))="","",INDEX(RUNS!$L$6:$S$1005,MATCH($D1366,RUNS!$A$6:$A$1005,0),MATCH("ACTIVITÉ "&amp;$F1366,RUNS!$L$5:$S$5,0))),""))</f>
        <v/>
      </c>
      <c r="L1366" s="33">
        <f>IF($D1366="","",IFERROR(IF(INDEX(RUNS!$E$6:$E$1005,MATCH($D1366,RUNS!$A$6:$A$1005,0))="","",INDEX(RUNS!$E$6:$E$1005,MATCH($D1366,RUNS!$A$6:$A$1005,0))),""))</f>
        <v/>
      </c>
      <c r="M1366" s="33">
        <f>IF($D1366="","",IFERROR(IF(INDEX(RUNS!$F$6:$F$1005,MATCH($D1366,RUNS!$A$6:$A$1005,0))="","",INDEX(RUNS!$F$6:$F$1005,MATCH($D1366,RUNS!$A$6:$A$1005,0))),""))</f>
        <v/>
      </c>
      <c r="N1366" s="33">
        <f>IF($D1366="","",IFERROR(IF(INDEX(RUNS!$G$6:$G$1005,MATCH($D1366,RUNS!$A$6:$A$1005,0))="","",INDEX(RUNS!$G$6:$G$1005,MATCH($D1366,RUNS!$A$6:$A$1005,0))),""))</f>
        <v/>
      </c>
      <c r="O1366" s="33">
        <f>IF($D1366="","",IFERROR(IF(INDEX(RUNS!$H$6:$H$1005,MATCH($D1366,RUNS!$A$6:$A$1005,0))="","",INDEX(RUNS!$H$6:$H$1005,MATCH($D1366,RUNS!$A$6:$A$1005,0))),""))</f>
        <v/>
      </c>
      <c r="P1366" s="33">
        <f>IF($D1366="","",IFERROR(IF(INDEX(RUNS!$J$6:$J$1005,MATCH($D1366,RUNS!$A$6:$A$1005,0))="","",INDEX(RUNS!$J$6:$J$1005,MATCH($D1366,RUNS!$A$6:$A$1005,0))),""))</f>
        <v/>
      </c>
      <c r="Q1366" s="33">
        <f>IF($D1366="","",IFERROR(IF(INDEX(RUNS!$K$6:$K$1005,MATCH($D1366,RUNS!$A$6:$A$1005,0))="","",INDEX(RUNS!$K$6:$K$1005,MATCH($D1366,RUNS!$A$6:$A$1005,0))),""))</f>
        <v/>
      </c>
      <c r="R1366" s="34">
        <f>IF(OR($L1366="",$K1366=""),"",IFERROR(IF(INDEX(PARAMETRES!$H$43:$H$342,MATCH($L1366&amp;"|"&amp;$M1366&amp;"|"&amp;$N1366&amp;"|"&amp;$O1366&amp;"|"&amp;$P1366&amp;"|"&amp;$Q1366&amp;"|"&amp;$K1366,PARAMETRES!$J$43:$J$342,0))="","",INDEX(PARAMETRES!$H$43:$H$342,MATCH($L1366&amp;"|"&amp;$M1366&amp;"|"&amp;$N1366&amp;"|"&amp;$O1366&amp;"|"&amp;$P1366&amp;"|"&amp;$Q1366&amp;"|"&amp;$K1366,PARAMETRES!$J$43:$J$342,0))),""))</f>
        <v/>
      </c>
      <c r="S1366" s="35">
        <f>IF(OR($G1366="",$X1366&lt;&gt;"VALIDE"),"",IFERROR(LOOKUP(2,1/(($B466:$B1365=$B1366)*($G466:$G1365=$G1366)*($X466:$X1365="VALIDE")),$C466:$C1365),""))</f>
        <v/>
      </c>
      <c r="T1366" s="36">
        <f>IF(OR($C1366="",$S1366=""),"",ROUND(($C1366-$S1366+IF($C1366&lt;$S1366,1,0))*1440,0))</f>
        <v/>
      </c>
      <c r="U1366" s="22">
        <f>IF(OR($H1366="",$T1366="",$T1366&lt;=0),"",$H1366*60/$T1366)</f>
        <v/>
      </c>
      <c r="V1366" s="37">
        <f>IF(OR($U1366="",$R1366="",$R1366=0),"",$U1366/$R1366)</f>
        <v/>
      </c>
      <c r="W1366" s="20">
        <f>IF($G1366="","",IF($X1366="CONTEXTE INCOMPLET","CONTEXTE INCOMPLET",IF($X1366="DOUBLON",StatutDoublon,IF($S1366="",StatutInitial,IF($R1366="",StatutStandardManquant,IF($V1366="","DONNEES INSUFFISANTES",IF($V1366&gt;=SeuilConforme,StatutConforme,IF($V1366&gt;=SeuilSurveiller,StatutSurveiller,StatutSousStandard))))))))</f>
        <v/>
      </c>
      <c r="X1366" s="33">
        <f>IF($G1366="","",IF(OR($D1366="",$E1366="",$F1366=""),"CONTEXTE INCOMPLET",IF(COUNTIFS($D466:$D1365,$D1366,$E466:$E1365,$E1366,$F466:$F1365,$F1366,$G466:$G1365,$G1366)&gt;0,"DOUBLON","VALIDE")))</f>
        <v/>
      </c>
    </row>
    <row r="1367" ht="15" customHeight="1">
      <c r="A1367" s="12">
        <f>IF(OR($B1367="",$G1367=""),"",TEXT($B1367,"YYYYMMDD")&amp;"-"&amp;SUBSTITUTE($E1367," ","")&amp;"-"&amp;$F1367&amp;"-"&amp;$G1367)</f>
        <v/>
      </c>
      <c r="B1367" s="15" t="n"/>
      <c r="C1367" s="16" t="n"/>
      <c r="D1367" s="10" t="n"/>
      <c r="E1367" s="9" t="n"/>
      <c r="F1367" s="9" t="n"/>
      <c r="G1367" s="13" t="n"/>
      <c r="H1367" s="21" t="n"/>
      <c r="I1367" s="21" t="n"/>
      <c r="J1367" s="17">
        <f>IF($G1367="","",IFERROR(INDEX(NomsEmployes,MATCH($G1367,MatriculesEmployes,0)),"MATRICULE INCONNU"))</f>
        <v/>
      </c>
      <c r="K1367" s="33">
        <f>IF(OR($D1367="",$F1367=""),"",IFERROR(IF(INDEX(RUNS!$L$6:$S$1005,MATCH($D1367,RUNS!$A$6:$A$1005,0),MATCH("ACTIVITÉ "&amp;$F1367,RUNS!$L$5:$S$5,0))="","",INDEX(RUNS!$L$6:$S$1005,MATCH($D1367,RUNS!$A$6:$A$1005,0),MATCH("ACTIVITÉ "&amp;$F1367,RUNS!$L$5:$S$5,0))),""))</f>
        <v/>
      </c>
      <c r="L1367" s="33">
        <f>IF($D1367="","",IFERROR(IF(INDEX(RUNS!$E$6:$E$1005,MATCH($D1367,RUNS!$A$6:$A$1005,0))="","",INDEX(RUNS!$E$6:$E$1005,MATCH($D1367,RUNS!$A$6:$A$1005,0))),""))</f>
        <v/>
      </c>
      <c r="M1367" s="33">
        <f>IF($D1367="","",IFERROR(IF(INDEX(RUNS!$F$6:$F$1005,MATCH($D1367,RUNS!$A$6:$A$1005,0))="","",INDEX(RUNS!$F$6:$F$1005,MATCH($D1367,RUNS!$A$6:$A$1005,0))),""))</f>
        <v/>
      </c>
      <c r="N1367" s="33">
        <f>IF($D1367="","",IFERROR(IF(INDEX(RUNS!$G$6:$G$1005,MATCH($D1367,RUNS!$A$6:$A$1005,0))="","",INDEX(RUNS!$G$6:$G$1005,MATCH($D1367,RUNS!$A$6:$A$1005,0))),""))</f>
        <v/>
      </c>
      <c r="O1367" s="33">
        <f>IF($D1367="","",IFERROR(IF(INDEX(RUNS!$H$6:$H$1005,MATCH($D1367,RUNS!$A$6:$A$1005,0))="","",INDEX(RUNS!$H$6:$H$1005,MATCH($D1367,RUNS!$A$6:$A$1005,0))),""))</f>
        <v/>
      </c>
      <c r="P1367" s="33">
        <f>IF($D1367="","",IFERROR(IF(INDEX(RUNS!$J$6:$J$1005,MATCH($D1367,RUNS!$A$6:$A$1005,0))="","",INDEX(RUNS!$J$6:$J$1005,MATCH($D1367,RUNS!$A$6:$A$1005,0))),""))</f>
        <v/>
      </c>
      <c r="Q1367" s="33">
        <f>IF($D1367="","",IFERROR(IF(INDEX(RUNS!$K$6:$K$1005,MATCH($D1367,RUNS!$A$6:$A$1005,0))="","",INDEX(RUNS!$K$6:$K$1005,MATCH($D1367,RUNS!$A$6:$A$1005,0))),""))</f>
        <v/>
      </c>
      <c r="R1367" s="34">
        <f>IF(OR($L1367="",$K1367=""),"",IFERROR(IF(INDEX(PARAMETRES!$H$43:$H$342,MATCH($L1367&amp;"|"&amp;$M1367&amp;"|"&amp;$N1367&amp;"|"&amp;$O1367&amp;"|"&amp;$P1367&amp;"|"&amp;$Q1367&amp;"|"&amp;$K1367,PARAMETRES!$J$43:$J$342,0))="","",INDEX(PARAMETRES!$H$43:$H$342,MATCH($L1367&amp;"|"&amp;$M1367&amp;"|"&amp;$N1367&amp;"|"&amp;$O1367&amp;"|"&amp;$P1367&amp;"|"&amp;$Q1367&amp;"|"&amp;$K1367,PARAMETRES!$J$43:$J$342,0))),""))</f>
        <v/>
      </c>
      <c r="S1367" s="35">
        <f>IF(OR($G1367="",$X1367&lt;&gt;"VALIDE"),"",IFERROR(LOOKUP(2,1/(($B467:$B1366=$B1367)*($G467:$G1366=$G1367)*($X467:$X1366="VALIDE")),$C467:$C1366),""))</f>
        <v/>
      </c>
      <c r="T1367" s="36">
        <f>IF(OR($C1367="",$S1367=""),"",ROUND(($C1367-$S1367+IF($C1367&lt;$S1367,1,0))*1440,0))</f>
        <v/>
      </c>
      <c r="U1367" s="22">
        <f>IF(OR($H1367="",$T1367="",$T1367&lt;=0),"",$H1367*60/$T1367)</f>
        <v/>
      </c>
      <c r="V1367" s="37">
        <f>IF(OR($U1367="",$R1367="",$R1367=0),"",$U1367/$R1367)</f>
        <v/>
      </c>
      <c r="W1367" s="20">
        <f>IF($G1367="","",IF($X1367="CONTEXTE INCOMPLET","CONTEXTE INCOMPLET",IF($X1367="DOUBLON",StatutDoublon,IF($S1367="",StatutInitial,IF($R1367="",StatutStandardManquant,IF($V1367="","DONNEES INSUFFISANTES",IF($V1367&gt;=SeuilConforme,StatutConforme,IF($V1367&gt;=SeuilSurveiller,StatutSurveiller,StatutSousStandard))))))))</f>
        <v/>
      </c>
      <c r="X1367" s="33">
        <f>IF($G1367="","",IF(OR($D1367="",$E1367="",$F1367=""),"CONTEXTE INCOMPLET",IF(COUNTIFS($D467:$D1366,$D1367,$E467:$E1366,$E1367,$F467:$F1366,$F1367,$G467:$G1366,$G1367)&gt;0,"DOUBLON","VALIDE")))</f>
        <v/>
      </c>
    </row>
    <row r="1368" ht="15" customHeight="1">
      <c r="A1368" s="12">
        <f>IF(OR($B1368="",$G1368=""),"",TEXT($B1368,"YYYYMMDD")&amp;"-"&amp;SUBSTITUTE($E1368," ","")&amp;"-"&amp;$F1368&amp;"-"&amp;$G1368)</f>
        <v/>
      </c>
      <c r="B1368" s="15" t="n"/>
      <c r="C1368" s="16" t="n"/>
      <c r="D1368" s="10" t="n"/>
      <c r="E1368" s="9" t="n"/>
      <c r="F1368" s="9" t="n"/>
      <c r="G1368" s="13" t="n"/>
      <c r="H1368" s="21" t="n"/>
      <c r="I1368" s="21" t="n"/>
      <c r="J1368" s="17">
        <f>IF($G1368="","",IFERROR(INDEX(NomsEmployes,MATCH($G1368,MatriculesEmployes,0)),"MATRICULE INCONNU"))</f>
        <v/>
      </c>
      <c r="K1368" s="33">
        <f>IF(OR($D1368="",$F1368=""),"",IFERROR(IF(INDEX(RUNS!$L$6:$S$1005,MATCH($D1368,RUNS!$A$6:$A$1005,0),MATCH("ACTIVITÉ "&amp;$F1368,RUNS!$L$5:$S$5,0))="","",INDEX(RUNS!$L$6:$S$1005,MATCH($D1368,RUNS!$A$6:$A$1005,0),MATCH("ACTIVITÉ "&amp;$F1368,RUNS!$L$5:$S$5,0))),""))</f>
        <v/>
      </c>
      <c r="L1368" s="33">
        <f>IF($D1368="","",IFERROR(IF(INDEX(RUNS!$E$6:$E$1005,MATCH($D1368,RUNS!$A$6:$A$1005,0))="","",INDEX(RUNS!$E$6:$E$1005,MATCH($D1368,RUNS!$A$6:$A$1005,0))),""))</f>
        <v/>
      </c>
      <c r="M1368" s="33">
        <f>IF($D1368="","",IFERROR(IF(INDEX(RUNS!$F$6:$F$1005,MATCH($D1368,RUNS!$A$6:$A$1005,0))="","",INDEX(RUNS!$F$6:$F$1005,MATCH($D1368,RUNS!$A$6:$A$1005,0))),""))</f>
        <v/>
      </c>
      <c r="N1368" s="33">
        <f>IF($D1368="","",IFERROR(IF(INDEX(RUNS!$G$6:$G$1005,MATCH($D1368,RUNS!$A$6:$A$1005,0))="","",INDEX(RUNS!$G$6:$G$1005,MATCH($D1368,RUNS!$A$6:$A$1005,0))),""))</f>
        <v/>
      </c>
      <c r="O1368" s="33">
        <f>IF($D1368="","",IFERROR(IF(INDEX(RUNS!$H$6:$H$1005,MATCH($D1368,RUNS!$A$6:$A$1005,0))="","",INDEX(RUNS!$H$6:$H$1005,MATCH($D1368,RUNS!$A$6:$A$1005,0))),""))</f>
        <v/>
      </c>
      <c r="P1368" s="33">
        <f>IF($D1368="","",IFERROR(IF(INDEX(RUNS!$J$6:$J$1005,MATCH($D1368,RUNS!$A$6:$A$1005,0))="","",INDEX(RUNS!$J$6:$J$1005,MATCH($D1368,RUNS!$A$6:$A$1005,0))),""))</f>
        <v/>
      </c>
      <c r="Q1368" s="33">
        <f>IF($D1368="","",IFERROR(IF(INDEX(RUNS!$K$6:$K$1005,MATCH($D1368,RUNS!$A$6:$A$1005,0))="","",INDEX(RUNS!$K$6:$K$1005,MATCH($D1368,RUNS!$A$6:$A$1005,0))),""))</f>
        <v/>
      </c>
      <c r="R1368" s="34">
        <f>IF(OR($L1368="",$K1368=""),"",IFERROR(IF(INDEX(PARAMETRES!$H$43:$H$342,MATCH($L1368&amp;"|"&amp;$M1368&amp;"|"&amp;$N1368&amp;"|"&amp;$O1368&amp;"|"&amp;$P1368&amp;"|"&amp;$Q1368&amp;"|"&amp;$K1368,PARAMETRES!$J$43:$J$342,0))="","",INDEX(PARAMETRES!$H$43:$H$342,MATCH($L1368&amp;"|"&amp;$M1368&amp;"|"&amp;$N1368&amp;"|"&amp;$O1368&amp;"|"&amp;$P1368&amp;"|"&amp;$Q1368&amp;"|"&amp;$K1368,PARAMETRES!$J$43:$J$342,0))),""))</f>
        <v/>
      </c>
      <c r="S1368" s="35">
        <f>IF(OR($G1368="",$X1368&lt;&gt;"VALIDE"),"",IFERROR(LOOKUP(2,1/(($B468:$B1367=$B1368)*($G468:$G1367=$G1368)*($X468:$X1367="VALIDE")),$C468:$C1367),""))</f>
        <v/>
      </c>
      <c r="T1368" s="36">
        <f>IF(OR($C1368="",$S1368=""),"",ROUND(($C1368-$S1368+IF($C1368&lt;$S1368,1,0))*1440,0))</f>
        <v/>
      </c>
      <c r="U1368" s="22">
        <f>IF(OR($H1368="",$T1368="",$T1368&lt;=0),"",$H1368*60/$T1368)</f>
        <v/>
      </c>
      <c r="V1368" s="37">
        <f>IF(OR($U1368="",$R1368="",$R1368=0),"",$U1368/$R1368)</f>
        <v/>
      </c>
      <c r="W1368" s="20">
        <f>IF($G1368="","",IF($X1368="CONTEXTE INCOMPLET","CONTEXTE INCOMPLET",IF($X1368="DOUBLON",StatutDoublon,IF($S1368="",StatutInitial,IF($R1368="",StatutStandardManquant,IF($V1368="","DONNEES INSUFFISANTES",IF($V1368&gt;=SeuilConforme,StatutConforme,IF($V1368&gt;=SeuilSurveiller,StatutSurveiller,StatutSousStandard))))))))</f>
        <v/>
      </c>
      <c r="X1368" s="33">
        <f>IF($G1368="","",IF(OR($D1368="",$E1368="",$F1368=""),"CONTEXTE INCOMPLET",IF(COUNTIFS($D468:$D1367,$D1368,$E468:$E1367,$E1368,$F468:$F1367,$F1368,$G468:$G1367,$G1368)&gt;0,"DOUBLON","VALIDE")))</f>
        <v/>
      </c>
    </row>
    <row r="1369" ht="15" customHeight="1">
      <c r="A1369" s="12">
        <f>IF(OR($B1369="",$G1369=""),"",TEXT($B1369,"YYYYMMDD")&amp;"-"&amp;SUBSTITUTE($E1369," ","")&amp;"-"&amp;$F1369&amp;"-"&amp;$G1369)</f>
        <v/>
      </c>
      <c r="B1369" s="15" t="n"/>
      <c r="C1369" s="16" t="n"/>
      <c r="D1369" s="10" t="n"/>
      <c r="E1369" s="9" t="n"/>
      <c r="F1369" s="9" t="n"/>
      <c r="G1369" s="13" t="n"/>
      <c r="H1369" s="21" t="n"/>
      <c r="I1369" s="21" t="n"/>
      <c r="J1369" s="17">
        <f>IF($G1369="","",IFERROR(INDEX(NomsEmployes,MATCH($G1369,MatriculesEmployes,0)),"MATRICULE INCONNU"))</f>
        <v/>
      </c>
      <c r="K1369" s="33">
        <f>IF(OR($D1369="",$F1369=""),"",IFERROR(IF(INDEX(RUNS!$L$6:$S$1005,MATCH($D1369,RUNS!$A$6:$A$1005,0),MATCH("ACTIVITÉ "&amp;$F1369,RUNS!$L$5:$S$5,0))="","",INDEX(RUNS!$L$6:$S$1005,MATCH($D1369,RUNS!$A$6:$A$1005,0),MATCH("ACTIVITÉ "&amp;$F1369,RUNS!$L$5:$S$5,0))),""))</f>
        <v/>
      </c>
      <c r="L1369" s="33">
        <f>IF($D1369="","",IFERROR(IF(INDEX(RUNS!$E$6:$E$1005,MATCH($D1369,RUNS!$A$6:$A$1005,0))="","",INDEX(RUNS!$E$6:$E$1005,MATCH($D1369,RUNS!$A$6:$A$1005,0))),""))</f>
        <v/>
      </c>
      <c r="M1369" s="33">
        <f>IF($D1369="","",IFERROR(IF(INDEX(RUNS!$F$6:$F$1005,MATCH($D1369,RUNS!$A$6:$A$1005,0))="","",INDEX(RUNS!$F$6:$F$1005,MATCH($D1369,RUNS!$A$6:$A$1005,0))),""))</f>
        <v/>
      </c>
      <c r="N1369" s="33">
        <f>IF($D1369="","",IFERROR(IF(INDEX(RUNS!$G$6:$G$1005,MATCH($D1369,RUNS!$A$6:$A$1005,0))="","",INDEX(RUNS!$G$6:$G$1005,MATCH($D1369,RUNS!$A$6:$A$1005,0))),""))</f>
        <v/>
      </c>
      <c r="O1369" s="33">
        <f>IF($D1369="","",IFERROR(IF(INDEX(RUNS!$H$6:$H$1005,MATCH($D1369,RUNS!$A$6:$A$1005,0))="","",INDEX(RUNS!$H$6:$H$1005,MATCH($D1369,RUNS!$A$6:$A$1005,0))),""))</f>
        <v/>
      </c>
      <c r="P1369" s="33">
        <f>IF($D1369="","",IFERROR(IF(INDEX(RUNS!$J$6:$J$1005,MATCH($D1369,RUNS!$A$6:$A$1005,0))="","",INDEX(RUNS!$J$6:$J$1005,MATCH($D1369,RUNS!$A$6:$A$1005,0))),""))</f>
        <v/>
      </c>
      <c r="Q1369" s="33">
        <f>IF($D1369="","",IFERROR(IF(INDEX(RUNS!$K$6:$K$1005,MATCH($D1369,RUNS!$A$6:$A$1005,0))="","",INDEX(RUNS!$K$6:$K$1005,MATCH($D1369,RUNS!$A$6:$A$1005,0))),""))</f>
        <v/>
      </c>
      <c r="R1369" s="34">
        <f>IF(OR($L1369="",$K1369=""),"",IFERROR(IF(INDEX(PARAMETRES!$H$43:$H$342,MATCH($L1369&amp;"|"&amp;$M1369&amp;"|"&amp;$N1369&amp;"|"&amp;$O1369&amp;"|"&amp;$P1369&amp;"|"&amp;$Q1369&amp;"|"&amp;$K1369,PARAMETRES!$J$43:$J$342,0))="","",INDEX(PARAMETRES!$H$43:$H$342,MATCH($L1369&amp;"|"&amp;$M1369&amp;"|"&amp;$N1369&amp;"|"&amp;$O1369&amp;"|"&amp;$P1369&amp;"|"&amp;$Q1369&amp;"|"&amp;$K1369,PARAMETRES!$J$43:$J$342,0))),""))</f>
        <v/>
      </c>
      <c r="S1369" s="35">
        <f>IF(OR($G1369="",$X1369&lt;&gt;"VALIDE"),"",IFERROR(LOOKUP(2,1/(($B469:$B1368=$B1369)*($G469:$G1368=$G1369)*($X469:$X1368="VALIDE")),$C469:$C1368),""))</f>
        <v/>
      </c>
      <c r="T1369" s="36">
        <f>IF(OR($C1369="",$S1369=""),"",ROUND(($C1369-$S1369+IF($C1369&lt;$S1369,1,0))*1440,0))</f>
        <v/>
      </c>
      <c r="U1369" s="22">
        <f>IF(OR($H1369="",$T1369="",$T1369&lt;=0),"",$H1369*60/$T1369)</f>
        <v/>
      </c>
      <c r="V1369" s="37">
        <f>IF(OR($U1369="",$R1369="",$R1369=0),"",$U1369/$R1369)</f>
        <v/>
      </c>
      <c r="W1369" s="20">
        <f>IF($G1369="","",IF($X1369="CONTEXTE INCOMPLET","CONTEXTE INCOMPLET",IF($X1369="DOUBLON",StatutDoublon,IF($S1369="",StatutInitial,IF($R1369="",StatutStandardManquant,IF($V1369="","DONNEES INSUFFISANTES",IF($V1369&gt;=SeuilConforme,StatutConforme,IF($V1369&gt;=SeuilSurveiller,StatutSurveiller,StatutSousStandard))))))))</f>
        <v/>
      </c>
      <c r="X1369" s="33">
        <f>IF($G1369="","",IF(OR($D1369="",$E1369="",$F1369=""),"CONTEXTE INCOMPLET",IF(COUNTIFS($D469:$D1368,$D1369,$E469:$E1368,$E1369,$F469:$F1368,$F1369,$G469:$G1368,$G1369)&gt;0,"DOUBLON","VALIDE")))</f>
        <v/>
      </c>
    </row>
    <row r="1370" ht="15" customHeight="1">
      <c r="A1370" s="12">
        <f>IF(OR($B1370="",$G1370=""),"",TEXT($B1370,"YYYYMMDD")&amp;"-"&amp;SUBSTITUTE($E1370," ","")&amp;"-"&amp;$F1370&amp;"-"&amp;$G1370)</f>
        <v/>
      </c>
      <c r="B1370" s="15" t="n"/>
      <c r="C1370" s="16" t="n"/>
      <c r="D1370" s="10" t="n"/>
      <c r="E1370" s="9" t="n"/>
      <c r="F1370" s="9" t="n"/>
      <c r="G1370" s="13" t="n"/>
      <c r="H1370" s="21" t="n"/>
      <c r="I1370" s="21" t="n"/>
      <c r="J1370" s="17">
        <f>IF($G1370="","",IFERROR(INDEX(NomsEmployes,MATCH($G1370,MatriculesEmployes,0)),"MATRICULE INCONNU"))</f>
        <v/>
      </c>
      <c r="K1370" s="33">
        <f>IF(OR($D1370="",$F1370=""),"",IFERROR(IF(INDEX(RUNS!$L$6:$S$1005,MATCH($D1370,RUNS!$A$6:$A$1005,0),MATCH("ACTIVITÉ "&amp;$F1370,RUNS!$L$5:$S$5,0))="","",INDEX(RUNS!$L$6:$S$1005,MATCH($D1370,RUNS!$A$6:$A$1005,0),MATCH("ACTIVITÉ "&amp;$F1370,RUNS!$L$5:$S$5,0))),""))</f>
        <v/>
      </c>
      <c r="L1370" s="33">
        <f>IF($D1370="","",IFERROR(IF(INDEX(RUNS!$E$6:$E$1005,MATCH($D1370,RUNS!$A$6:$A$1005,0))="","",INDEX(RUNS!$E$6:$E$1005,MATCH($D1370,RUNS!$A$6:$A$1005,0))),""))</f>
        <v/>
      </c>
      <c r="M1370" s="33">
        <f>IF($D1370="","",IFERROR(IF(INDEX(RUNS!$F$6:$F$1005,MATCH($D1370,RUNS!$A$6:$A$1005,0))="","",INDEX(RUNS!$F$6:$F$1005,MATCH($D1370,RUNS!$A$6:$A$1005,0))),""))</f>
        <v/>
      </c>
      <c r="N1370" s="33">
        <f>IF($D1370="","",IFERROR(IF(INDEX(RUNS!$G$6:$G$1005,MATCH($D1370,RUNS!$A$6:$A$1005,0))="","",INDEX(RUNS!$G$6:$G$1005,MATCH($D1370,RUNS!$A$6:$A$1005,0))),""))</f>
        <v/>
      </c>
      <c r="O1370" s="33">
        <f>IF($D1370="","",IFERROR(IF(INDEX(RUNS!$H$6:$H$1005,MATCH($D1370,RUNS!$A$6:$A$1005,0))="","",INDEX(RUNS!$H$6:$H$1005,MATCH($D1370,RUNS!$A$6:$A$1005,0))),""))</f>
        <v/>
      </c>
      <c r="P1370" s="33">
        <f>IF($D1370="","",IFERROR(IF(INDEX(RUNS!$J$6:$J$1005,MATCH($D1370,RUNS!$A$6:$A$1005,0))="","",INDEX(RUNS!$J$6:$J$1005,MATCH($D1370,RUNS!$A$6:$A$1005,0))),""))</f>
        <v/>
      </c>
      <c r="Q1370" s="33">
        <f>IF($D1370="","",IFERROR(IF(INDEX(RUNS!$K$6:$K$1005,MATCH($D1370,RUNS!$A$6:$A$1005,0))="","",INDEX(RUNS!$K$6:$K$1005,MATCH($D1370,RUNS!$A$6:$A$1005,0))),""))</f>
        <v/>
      </c>
      <c r="R1370" s="34">
        <f>IF(OR($L1370="",$K1370=""),"",IFERROR(IF(INDEX(PARAMETRES!$H$43:$H$342,MATCH($L1370&amp;"|"&amp;$M1370&amp;"|"&amp;$N1370&amp;"|"&amp;$O1370&amp;"|"&amp;$P1370&amp;"|"&amp;$Q1370&amp;"|"&amp;$K1370,PARAMETRES!$J$43:$J$342,0))="","",INDEX(PARAMETRES!$H$43:$H$342,MATCH($L1370&amp;"|"&amp;$M1370&amp;"|"&amp;$N1370&amp;"|"&amp;$O1370&amp;"|"&amp;$P1370&amp;"|"&amp;$Q1370&amp;"|"&amp;$K1370,PARAMETRES!$J$43:$J$342,0))),""))</f>
        <v/>
      </c>
      <c r="S1370" s="35">
        <f>IF(OR($G1370="",$X1370&lt;&gt;"VALIDE"),"",IFERROR(LOOKUP(2,1/(($B470:$B1369=$B1370)*($G470:$G1369=$G1370)*($X470:$X1369="VALIDE")),$C470:$C1369),""))</f>
        <v/>
      </c>
      <c r="T1370" s="36">
        <f>IF(OR($C1370="",$S1370=""),"",ROUND(($C1370-$S1370+IF($C1370&lt;$S1370,1,0))*1440,0))</f>
        <v/>
      </c>
      <c r="U1370" s="22">
        <f>IF(OR($H1370="",$T1370="",$T1370&lt;=0),"",$H1370*60/$T1370)</f>
        <v/>
      </c>
      <c r="V1370" s="37">
        <f>IF(OR($U1370="",$R1370="",$R1370=0),"",$U1370/$R1370)</f>
        <v/>
      </c>
      <c r="W1370" s="20">
        <f>IF($G1370="","",IF($X1370="CONTEXTE INCOMPLET","CONTEXTE INCOMPLET",IF($X1370="DOUBLON",StatutDoublon,IF($S1370="",StatutInitial,IF($R1370="",StatutStandardManquant,IF($V1370="","DONNEES INSUFFISANTES",IF($V1370&gt;=SeuilConforme,StatutConforme,IF($V1370&gt;=SeuilSurveiller,StatutSurveiller,StatutSousStandard))))))))</f>
        <v/>
      </c>
      <c r="X1370" s="33">
        <f>IF($G1370="","",IF(OR($D1370="",$E1370="",$F1370=""),"CONTEXTE INCOMPLET",IF(COUNTIFS($D470:$D1369,$D1370,$E470:$E1369,$E1370,$F470:$F1369,$F1370,$G470:$G1369,$G1370)&gt;0,"DOUBLON","VALIDE")))</f>
        <v/>
      </c>
    </row>
    <row r="1371" ht="15" customHeight="1">
      <c r="A1371" s="12">
        <f>IF(OR($B1371="",$G1371=""),"",TEXT($B1371,"YYYYMMDD")&amp;"-"&amp;SUBSTITUTE($E1371," ","")&amp;"-"&amp;$F1371&amp;"-"&amp;$G1371)</f>
        <v/>
      </c>
      <c r="B1371" s="15" t="n"/>
      <c r="C1371" s="16" t="n"/>
      <c r="D1371" s="10" t="n"/>
      <c r="E1371" s="9" t="n"/>
      <c r="F1371" s="9" t="n"/>
      <c r="G1371" s="13" t="n"/>
      <c r="H1371" s="21" t="n"/>
      <c r="I1371" s="21" t="n"/>
      <c r="J1371" s="17">
        <f>IF($G1371="","",IFERROR(INDEX(NomsEmployes,MATCH($G1371,MatriculesEmployes,0)),"MATRICULE INCONNU"))</f>
        <v/>
      </c>
      <c r="K1371" s="33">
        <f>IF(OR($D1371="",$F1371=""),"",IFERROR(IF(INDEX(RUNS!$L$6:$S$1005,MATCH($D1371,RUNS!$A$6:$A$1005,0),MATCH("ACTIVITÉ "&amp;$F1371,RUNS!$L$5:$S$5,0))="","",INDEX(RUNS!$L$6:$S$1005,MATCH($D1371,RUNS!$A$6:$A$1005,0),MATCH("ACTIVITÉ "&amp;$F1371,RUNS!$L$5:$S$5,0))),""))</f>
        <v/>
      </c>
      <c r="L1371" s="33">
        <f>IF($D1371="","",IFERROR(IF(INDEX(RUNS!$E$6:$E$1005,MATCH($D1371,RUNS!$A$6:$A$1005,0))="","",INDEX(RUNS!$E$6:$E$1005,MATCH($D1371,RUNS!$A$6:$A$1005,0))),""))</f>
        <v/>
      </c>
      <c r="M1371" s="33">
        <f>IF($D1371="","",IFERROR(IF(INDEX(RUNS!$F$6:$F$1005,MATCH($D1371,RUNS!$A$6:$A$1005,0))="","",INDEX(RUNS!$F$6:$F$1005,MATCH($D1371,RUNS!$A$6:$A$1005,0))),""))</f>
        <v/>
      </c>
      <c r="N1371" s="33">
        <f>IF($D1371="","",IFERROR(IF(INDEX(RUNS!$G$6:$G$1005,MATCH($D1371,RUNS!$A$6:$A$1005,0))="","",INDEX(RUNS!$G$6:$G$1005,MATCH($D1371,RUNS!$A$6:$A$1005,0))),""))</f>
        <v/>
      </c>
      <c r="O1371" s="33">
        <f>IF($D1371="","",IFERROR(IF(INDEX(RUNS!$H$6:$H$1005,MATCH($D1371,RUNS!$A$6:$A$1005,0))="","",INDEX(RUNS!$H$6:$H$1005,MATCH($D1371,RUNS!$A$6:$A$1005,0))),""))</f>
        <v/>
      </c>
      <c r="P1371" s="33">
        <f>IF($D1371="","",IFERROR(IF(INDEX(RUNS!$J$6:$J$1005,MATCH($D1371,RUNS!$A$6:$A$1005,0))="","",INDEX(RUNS!$J$6:$J$1005,MATCH($D1371,RUNS!$A$6:$A$1005,0))),""))</f>
        <v/>
      </c>
      <c r="Q1371" s="33">
        <f>IF($D1371="","",IFERROR(IF(INDEX(RUNS!$K$6:$K$1005,MATCH($D1371,RUNS!$A$6:$A$1005,0))="","",INDEX(RUNS!$K$6:$K$1005,MATCH($D1371,RUNS!$A$6:$A$1005,0))),""))</f>
        <v/>
      </c>
      <c r="R1371" s="34">
        <f>IF(OR($L1371="",$K1371=""),"",IFERROR(IF(INDEX(PARAMETRES!$H$43:$H$342,MATCH($L1371&amp;"|"&amp;$M1371&amp;"|"&amp;$N1371&amp;"|"&amp;$O1371&amp;"|"&amp;$P1371&amp;"|"&amp;$Q1371&amp;"|"&amp;$K1371,PARAMETRES!$J$43:$J$342,0))="","",INDEX(PARAMETRES!$H$43:$H$342,MATCH($L1371&amp;"|"&amp;$M1371&amp;"|"&amp;$N1371&amp;"|"&amp;$O1371&amp;"|"&amp;$P1371&amp;"|"&amp;$Q1371&amp;"|"&amp;$K1371,PARAMETRES!$J$43:$J$342,0))),""))</f>
        <v/>
      </c>
      <c r="S1371" s="35">
        <f>IF(OR($G1371="",$X1371&lt;&gt;"VALIDE"),"",IFERROR(LOOKUP(2,1/(($B471:$B1370=$B1371)*($G471:$G1370=$G1371)*($X471:$X1370="VALIDE")),$C471:$C1370),""))</f>
        <v/>
      </c>
      <c r="T1371" s="36">
        <f>IF(OR($C1371="",$S1371=""),"",ROUND(($C1371-$S1371+IF($C1371&lt;$S1371,1,0))*1440,0))</f>
        <v/>
      </c>
      <c r="U1371" s="22">
        <f>IF(OR($H1371="",$T1371="",$T1371&lt;=0),"",$H1371*60/$T1371)</f>
        <v/>
      </c>
      <c r="V1371" s="37">
        <f>IF(OR($U1371="",$R1371="",$R1371=0),"",$U1371/$R1371)</f>
        <v/>
      </c>
      <c r="W1371" s="20">
        <f>IF($G1371="","",IF($X1371="CONTEXTE INCOMPLET","CONTEXTE INCOMPLET",IF($X1371="DOUBLON",StatutDoublon,IF($S1371="",StatutInitial,IF($R1371="",StatutStandardManquant,IF($V1371="","DONNEES INSUFFISANTES",IF($V1371&gt;=SeuilConforme,StatutConforme,IF($V1371&gt;=SeuilSurveiller,StatutSurveiller,StatutSousStandard))))))))</f>
        <v/>
      </c>
      <c r="X1371" s="33">
        <f>IF($G1371="","",IF(OR($D1371="",$E1371="",$F1371=""),"CONTEXTE INCOMPLET",IF(COUNTIFS($D471:$D1370,$D1371,$E471:$E1370,$E1371,$F471:$F1370,$F1371,$G471:$G1370,$G1371)&gt;0,"DOUBLON","VALIDE")))</f>
        <v/>
      </c>
    </row>
    <row r="1372" ht="15" customHeight="1">
      <c r="A1372" s="12">
        <f>IF(OR($B1372="",$G1372=""),"",TEXT($B1372,"YYYYMMDD")&amp;"-"&amp;SUBSTITUTE($E1372," ","")&amp;"-"&amp;$F1372&amp;"-"&amp;$G1372)</f>
        <v/>
      </c>
      <c r="B1372" s="15" t="n"/>
      <c r="C1372" s="16" t="n"/>
      <c r="D1372" s="10" t="n"/>
      <c r="E1372" s="9" t="n"/>
      <c r="F1372" s="9" t="n"/>
      <c r="G1372" s="13" t="n"/>
      <c r="H1372" s="21" t="n"/>
      <c r="I1372" s="21" t="n"/>
      <c r="J1372" s="17">
        <f>IF($G1372="","",IFERROR(INDEX(NomsEmployes,MATCH($G1372,MatriculesEmployes,0)),"MATRICULE INCONNU"))</f>
        <v/>
      </c>
      <c r="K1372" s="33">
        <f>IF(OR($D1372="",$F1372=""),"",IFERROR(IF(INDEX(RUNS!$L$6:$S$1005,MATCH($D1372,RUNS!$A$6:$A$1005,0),MATCH("ACTIVITÉ "&amp;$F1372,RUNS!$L$5:$S$5,0))="","",INDEX(RUNS!$L$6:$S$1005,MATCH($D1372,RUNS!$A$6:$A$1005,0),MATCH("ACTIVITÉ "&amp;$F1372,RUNS!$L$5:$S$5,0))),""))</f>
        <v/>
      </c>
      <c r="L1372" s="33">
        <f>IF($D1372="","",IFERROR(IF(INDEX(RUNS!$E$6:$E$1005,MATCH($D1372,RUNS!$A$6:$A$1005,0))="","",INDEX(RUNS!$E$6:$E$1005,MATCH($D1372,RUNS!$A$6:$A$1005,0))),""))</f>
        <v/>
      </c>
      <c r="M1372" s="33">
        <f>IF($D1372="","",IFERROR(IF(INDEX(RUNS!$F$6:$F$1005,MATCH($D1372,RUNS!$A$6:$A$1005,0))="","",INDEX(RUNS!$F$6:$F$1005,MATCH($D1372,RUNS!$A$6:$A$1005,0))),""))</f>
        <v/>
      </c>
      <c r="N1372" s="33">
        <f>IF($D1372="","",IFERROR(IF(INDEX(RUNS!$G$6:$G$1005,MATCH($D1372,RUNS!$A$6:$A$1005,0))="","",INDEX(RUNS!$G$6:$G$1005,MATCH($D1372,RUNS!$A$6:$A$1005,0))),""))</f>
        <v/>
      </c>
      <c r="O1372" s="33">
        <f>IF($D1372="","",IFERROR(IF(INDEX(RUNS!$H$6:$H$1005,MATCH($D1372,RUNS!$A$6:$A$1005,0))="","",INDEX(RUNS!$H$6:$H$1005,MATCH($D1372,RUNS!$A$6:$A$1005,0))),""))</f>
        <v/>
      </c>
      <c r="P1372" s="33">
        <f>IF($D1372="","",IFERROR(IF(INDEX(RUNS!$J$6:$J$1005,MATCH($D1372,RUNS!$A$6:$A$1005,0))="","",INDEX(RUNS!$J$6:$J$1005,MATCH($D1372,RUNS!$A$6:$A$1005,0))),""))</f>
        <v/>
      </c>
      <c r="Q1372" s="33">
        <f>IF($D1372="","",IFERROR(IF(INDEX(RUNS!$K$6:$K$1005,MATCH($D1372,RUNS!$A$6:$A$1005,0))="","",INDEX(RUNS!$K$6:$K$1005,MATCH($D1372,RUNS!$A$6:$A$1005,0))),""))</f>
        <v/>
      </c>
      <c r="R1372" s="34">
        <f>IF(OR($L1372="",$K1372=""),"",IFERROR(IF(INDEX(PARAMETRES!$H$43:$H$342,MATCH($L1372&amp;"|"&amp;$M1372&amp;"|"&amp;$N1372&amp;"|"&amp;$O1372&amp;"|"&amp;$P1372&amp;"|"&amp;$Q1372&amp;"|"&amp;$K1372,PARAMETRES!$J$43:$J$342,0))="","",INDEX(PARAMETRES!$H$43:$H$342,MATCH($L1372&amp;"|"&amp;$M1372&amp;"|"&amp;$N1372&amp;"|"&amp;$O1372&amp;"|"&amp;$P1372&amp;"|"&amp;$Q1372&amp;"|"&amp;$K1372,PARAMETRES!$J$43:$J$342,0))),""))</f>
        <v/>
      </c>
      <c r="S1372" s="35">
        <f>IF(OR($G1372="",$X1372&lt;&gt;"VALIDE"),"",IFERROR(LOOKUP(2,1/(($B472:$B1371=$B1372)*($G472:$G1371=$G1372)*($X472:$X1371="VALIDE")),$C472:$C1371),""))</f>
        <v/>
      </c>
      <c r="T1372" s="36">
        <f>IF(OR($C1372="",$S1372=""),"",ROUND(($C1372-$S1372+IF($C1372&lt;$S1372,1,0))*1440,0))</f>
        <v/>
      </c>
      <c r="U1372" s="22">
        <f>IF(OR($H1372="",$T1372="",$T1372&lt;=0),"",$H1372*60/$T1372)</f>
        <v/>
      </c>
      <c r="V1372" s="37">
        <f>IF(OR($U1372="",$R1372="",$R1372=0),"",$U1372/$R1372)</f>
        <v/>
      </c>
      <c r="W1372" s="20">
        <f>IF($G1372="","",IF($X1372="CONTEXTE INCOMPLET","CONTEXTE INCOMPLET",IF($X1372="DOUBLON",StatutDoublon,IF($S1372="",StatutInitial,IF($R1372="",StatutStandardManquant,IF($V1372="","DONNEES INSUFFISANTES",IF($V1372&gt;=SeuilConforme,StatutConforme,IF($V1372&gt;=SeuilSurveiller,StatutSurveiller,StatutSousStandard))))))))</f>
        <v/>
      </c>
      <c r="X1372" s="33">
        <f>IF($G1372="","",IF(OR($D1372="",$E1372="",$F1372=""),"CONTEXTE INCOMPLET",IF(COUNTIFS($D472:$D1371,$D1372,$E472:$E1371,$E1372,$F472:$F1371,$F1372,$G472:$G1371,$G1372)&gt;0,"DOUBLON","VALIDE")))</f>
        <v/>
      </c>
    </row>
    <row r="1373" ht="15" customHeight="1">
      <c r="A1373" s="12">
        <f>IF(OR($B1373="",$G1373=""),"",TEXT($B1373,"YYYYMMDD")&amp;"-"&amp;SUBSTITUTE($E1373," ","")&amp;"-"&amp;$F1373&amp;"-"&amp;$G1373)</f>
        <v/>
      </c>
      <c r="B1373" s="15" t="n"/>
      <c r="C1373" s="16" t="n"/>
      <c r="D1373" s="10" t="n"/>
      <c r="E1373" s="9" t="n"/>
      <c r="F1373" s="9" t="n"/>
      <c r="G1373" s="13" t="n"/>
      <c r="H1373" s="21" t="n"/>
      <c r="I1373" s="21" t="n"/>
      <c r="J1373" s="17">
        <f>IF($G1373="","",IFERROR(INDEX(NomsEmployes,MATCH($G1373,MatriculesEmployes,0)),"MATRICULE INCONNU"))</f>
        <v/>
      </c>
      <c r="K1373" s="33">
        <f>IF(OR($D1373="",$F1373=""),"",IFERROR(IF(INDEX(RUNS!$L$6:$S$1005,MATCH($D1373,RUNS!$A$6:$A$1005,0),MATCH("ACTIVITÉ "&amp;$F1373,RUNS!$L$5:$S$5,0))="","",INDEX(RUNS!$L$6:$S$1005,MATCH($D1373,RUNS!$A$6:$A$1005,0),MATCH("ACTIVITÉ "&amp;$F1373,RUNS!$L$5:$S$5,0))),""))</f>
        <v/>
      </c>
      <c r="L1373" s="33">
        <f>IF($D1373="","",IFERROR(IF(INDEX(RUNS!$E$6:$E$1005,MATCH($D1373,RUNS!$A$6:$A$1005,0))="","",INDEX(RUNS!$E$6:$E$1005,MATCH($D1373,RUNS!$A$6:$A$1005,0))),""))</f>
        <v/>
      </c>
      <c r="M1373" s="33">
        <f>IF($D1373="","",IFERROR(IF(INDEX(RUNS!$F$6:$F$1005,MATCH($D1373,RUNS!$A$6:$A$1005,0))="","",INDEX(RUNS!$F$6:$F$1005,MATCH($D1373,RUNS!$A$6:$A$1005,0))),""))</f>
        <v/>
      </c>
      <c r="N1373" s="33">
        <f>IF($D1373="","",IFERROR(IF(INDEX(RUNS!$G$6:$G$1005,MATCH($D1373,RUNS!$A$6:$A$1005,0))="","",INDEX(RUNS!$G$6:$G$1005,MATCH($D1373,RUNS!$A$6:$A$1005,0))),""))</f>
        <v/>
      </c>
      <c r="O1373" s="33">
        <f>IF($D1373="","",IFERROR(IF(INDEX(RUNS!$H$6:$H$1005,MATCH($D1373,RUNS!$A$6:$A$1005,0))="","",INDEX(RUNS!$H$6:$H$1005,MATCH($D1373,RUNS!$A$6:$A$1005,0))),""))</f>
        <v/>
      </c>
      <c r="P1373" s="33">
        <f>IF($D1373="","",IFERROR(IF(INDEX(RUNS!$J$6:$J$1005,MATCH($D1373,RUNS!$A$6:$A$1005,0))="","",INDEX(RUNS!$J$6:$J$1005,MATCH($D1373,RUNS!$A$6:$A$1005,0))),""))</f>
        <v/>
      </c>
      <c r="Q1373" s="33">
        <f>IF($D1373="","",IFERROR(IF(INDEX(RUNS!$K$6:$K$1005,MATCH($D1373,RUNS!$A$6:$A$1005,0))="","",INDEX(RUNS!$K$6:$K$1005,MATCH($D1373,RUNS!$A$6:$A$1005,0))),""))</f>
        <v/>
      </c>
      <c r="R1373" s="34">
        <f>IF(OR($L1373="",$K1373=""),"",IFERROR(IF(INDEX(PARAMETRES!$H$43:$H$342,MATCH($L1373&amp;"|"&amp;$M1373&amp;"|"&amp;$N1373&amp;"|"&amp;$O1373&amp;"|"&amp;$P1373&amp;"|"&amp;$Q1373&amp;"|"&amp;$K1373,PARAMETRES!$J$43:$J$342,0))="","",INDEX(PARAMETRES!$H$43:$H$342,MATCH($L1373&amp;"|"&amp;$M1373&amp;"|"&amp;$N1373&amp;"|"&amp;$O1373&amp;"|"&amp;$P1373&amp;"|"&amp;$Q1373&amp;"|"&amp;$K1373,PARAMETRES!$J$43:$J$342,0))),""))</f>
        <v/>
      </c>
      <c r="S1373" s="35">
        <f>IF(OR($G1373="",$X1373&lt;&gt;"VALIDE"),"",IFERROR(LOOKUP(2,1/(($B473:$B1372=$B1373)*($G473:$G1372=$G1373)*($X473:$X1372="VALIDE")),$C473:$C1372),""))</f>
        <v/>
      </c>
      <c r="T1373" s="36">
        <f>IF(OR($C1373="",$S1373=""),"",ROUND(($C1373-$S1373+IF($C1373&lt;$S1373,1,0))*1440,0))</f>
        <v/>
      </c>
      <c r="U1373" s="22">
        <f>IF(OR($H1373="",$T1373="",$T1373&lt;=0),"",$H1373*60/$T1373)</f>
        <v/>
      </c>
      <c r="V1373" s="37">
        <f>IF(OR($U1373="",$R1373="",$R1373=0),"",$U1373/$R1373)</f>
        <v/>
      </c>
      <c r="W1373" s="20">
        <f>IF($G1373="","",IF($X1373="CONTEXTE INCOMPLET","CONTEXTE INCOMPLET",IF($X1373="DOUBLON",StatutDoublon,IF($S1373="",StatutInitial,IF($R1373="",StatutStandardManquant,IF($V1373="","DONNEES INSUFFISANTES",IF($V1373&gt;=SeuilConforme,StatutConforme,IF($V1373&gt;=SeuilSurveiller,StatutSurveiller,StatutSousStandard))))))))</f>
        <v/>
      </c>
      <c r="X1373" s="33">
        <f>IF($G1373="","",IF(OR($D1373="",$E1373="",$F1373=""),"CONTEXTE INCOMPLET",IF(COUNTIFS($D473:$D1372,$D1373,$E473:$E1372,$E1373,$F473:$F1372,$F1373,$G473:$G1372,$G1373)&gt;0,"DOUBLON","VALIDE")))</f>
        <v/>
      </c>
    </row>
    <row r="1374" ht="15" customHeight="1">
      <c r="A1374" s="12">
        <f>IF(OR($B1374="",$G1374=""),"",TEXT($B1374,"YYYYMMDD")&amp;"-"&amp;SUBSTITUTE($E1374," ","")&amp;"-"&amp;$F1374&amp;"-"&amp;$G1374)</f>
        <v/>
      </c>
      <c r="B1374" s="15" t="n"/>
      <c r="C1374" s="16" t="n"/>
      <c r="D1374" s="10" t="n"/>
      <c r="E1374" s="9" t="n"/>
      <c r="F1374" s="9" t="n"/>
      <c r="G1374" s="13" t="n"/>
      <c r="H1374" s="21" t="n"/>
      <c r="I1374" s="21" t="n"/>
      <c r="J1374" s="17">
        <f>IF($G1374="","",IFERROR(INDEX(NomsEmployes,MATCH($G1374,MatriculesEmployes,0)),"MATRICULE INCONNU"))</f>
        <v/>
      </c>
      <c r="K1374" s="33">
        <f>IF(OR($D1374="",$F1374=""),"",IFERROR(IF(INDEX(RUNS!$L$6:$S$1005,MATCH($D1374,RUNS!$A$6:$A$1005,0),MATCH("ACTIVITÉ "&amp;$F1374,RUNS!$L$5:$S$5,0))="","",INDEX(RUNS!$L$6:$S$1005,MATCH($D1374,RUNS!$A$6:$A$1005,0),MATCH("ACTIVITÉ "&amp;$F1374,RUNS!$L$5:$S$5,0))),""))</f>
        <v/>
      </c>
      <c r="L1374" s="33">
        <f>IF($D1374="","",IFERROR(IF(INDEX(RUNS!$E$6:$E$1005,MATCH($D1374,RUNS!$A$6:$A$1005,0))="","",INDEX(RUNS!$E$6:$E$1005,MATCH($D1374,RUNS!$A$6:$A$1005,0))),""))</f>
        <v/>
      </c>
      <c r="M1374" s="33">
        <f>IF($D1374="","",IFERROR(IF(INDEX(RUNS!$F$6:$F$1005,MATCH($D1374,RUNS!$A$6:$A$1005,0))="","",INDEX(RUNS!$F$6:$F$1005,MATCH($D1374,RUNS!$A$6:$A$1005,0))),""))</f>
        <v/>
      </c>
      <c r="N1374" s="33">
        <f>IF($D1374="","",IFERROR(IF(INDEX(RUNS!$G$6:$G$1005,MATCH($D1374,RUNS!$A$6:$A$1005,0))="","",INDEX(RUNS!$G$6:$G$1005,MATCH($D1374,RUNS!$A$6:$A$1005,0))),""))</f>
        <v/>
      </c>
      <c r="O1374" s="33">
        <f>IF($D1374="","",IFERROR(IF(INDEX(RUNS!$H$6:$H$1005,MATCH($D1374,RUNS!$A$6:$A$1005,0))="","",INDEX(RUNS!$H$6:$H$1005,MATCH($D1374,RUNS!$A$6:$A$1005,0))),""))</f>
        <v/>
      </c>
      <c r="P1374" s="33">
        <f>IF($D1374="","",IFERROR(IF(INDEX(RUNS!$J$6:$J$1005,MATCH($D1374,RUNS!$A$6:$A$1005,0))="","",INDEX(RUNS!$J$6:$J$1005,MATCH($D1374,RUNS!$A$6:$A$1005,0))),""))</f>
        <v/>
      </c>
      <c r="Q1374" s="33">
        <f>IF($D1374="","",IFERROR(IF(INDEX(RUNS!$K$6:$K$1005,MATCH($D1374,RUNS!$A$6:$A$1005,0))="","",INDEX(RUNS!$K$6:$K$1005,MATCH($D1374,RUNS!$A$6:$A$1005,0))),""))</f>
        <v/>
      </c>
      <c r="R1374" s="34">
        <f>IF(OR($L1374="",$K1374=""),"",IFERROR(IF(INDEX(PARAMETRES!$H$43:$H$342,MATCH($L1374&amp;"|"&amp;$M1374&amp;"|"&amp;$N1374&amp;"|"&amp;$O1374&amp;"|"&amp;$P1374&amp;"|"&amp;$Q1374&amp;"|"&amp;$K1374,PARAMETRES!$J$43:$J$342,0))="","",INDEX(PARAMETRES!$H$43:$H$342,MATCH($L1374&amp;"|"&amp;$M1374&amp;"|"&amp;$N1374&amp;"|"&amp;$O1374&amp;"|"&amp;$P1374&amp;"|"&amp;$Q1374&amp;"|"&amp;$K1374,PARAMETRES!$J$43:$J$342,0))),""))</f>
        <v/>
      </c>
      <c r="S1374" s="35">
        <f>IF(OR($G1374="",$X1374&lt;&gt;"VALIDE"),"",IFERROR(LOOKUP(2,1/(($B474:$B1373=$B1374)*($G474:$G1373=$G1374)*($X474:$X1373="VALIDE")),$C474:$C1373),""))</f>
        <v/>
      </c>
      <c r="T1374" s="36">
        <f>IF(OR($C1374="",$S1374=""),"",ROUND(($C1374-$S1374+IF($C1374&lt;$S1374,1,0))*1440,0))</f>
        <v/>
      </c>
      <c r="U1374" s="22">
        <f>IF(OR($H1374="",$T1374="",$T1374&lt;=0),"",$H1374*60/$T1374)</f>
        <v/>
      </c>
      <c r="V1374" s="37">
        <f>IF(OR($U1374="",$R1374="",$R1374=0),"",$U1374/$R1374)</f>
        <v/>
      </c>
      <c r="W1374" s="20">
        <f>IF($G1374="","",IF($X1374="CONTEXTE INCOMPLET","CONTEXTE INCOMPLET",IF($X1374="DOUBLON",StatutDoublon,IF($S1374="",StatutInitial,IF($R1374="",StatutStandardManquant,IF($V1374="","DONNEES INSUFFISANTES",IF($V1374&gt;=SeuilConforme,StatutConforme,IF($V1374&gt;=SeuilSurveiller,StatutSurveiller,StatutSousStandard))))))))</f>
        <v/>
      </c>
      <c r="X1374" s="33">
        <f>IF($G1374="","",IF(OR($D1374="",$E1374="",$F1374=""),"CONTEXTE INCOMPLET",IF(COUNTIFS($D474:$D1373,$D1374,$E474:$E1373,$E1374,$F474:$F1373,$F1374,$G474:$G1373,$G1374)&gt;0,"DOUBLON","VALIDE")))</f>
        <v/>
      </c>
    </row>
    <row r="1375" ht="15" customHeight="1">
      <c r="A1375" s="12">
        <f>IF(OR($B1375="",$G1375=""),"",TEXT($B1375,"YYYYMMDD")&amp;"-"&amp;SUBSTITUTE($E1375," ","")&amp;"-"&amp;$F1375&amp;"-"&amp;$G1375)</f>
        <v/>
      </c>
      <c r="B1375" s="15" t="n"/>
      <c r="C1375" s="16" t="n"/>
      <c r="D1375" s="10" t="n"/>
      <c r="E1375" s="9" t="n"/>
      <c r="F1375" s="9" t="n"/>
      <c r="G1375" s="13" t="n"/>
      <c r="H1375" s="21" t="n"/>
      <c r="I1375" s="21" t="n"/>
      <c r="J1375" s="17">
        <f>IF($G1375="","",IFERROR(INDEX(NomsEmployes,MATCH($G1375,MatriculesEmployes,0)),"MATRICULE INCONNU"))</f>
        <v/>
      </c>
      <c r="K1375" s="33">
        <f>IF(OR($D1375="",$F1375=""),"",IFERROR(IF(INDEX(RUNS!$L$6:$S$1005,MATCH($D1375,RUNS!$A$6:$A$1005,0),MATCH("ACTIVITÉ "&amp;$F1375,RUNS!$L$5:$S$5,0))="","",INDEX(RUNS!$L$6:$S$1005,MATCH($D1375,RUNS!$A$6:$A$1005,0),MATCH("ACTIVITÉ "&amp;$F1375,RUNS!$L$5:$S$5,0))),""))</f>
        <v/>
      </c>
      <c r="L1375" s="33">
        <f>IF($D1375="","",IFERROR(IF(INDEX(RUNS!$E$6:$E$1005,MATCH($D1375,RUNS!$A$6:$A$1005,0))="","",INDEX(RUNS!$E$6:$E$1005,MATCH($D1375,RUNS!$A$6:$A$1005,0))),""))</f>
        <v/>
      </c>
      <c r="M1375" s="33">
        <f>IF($D1375="","",IFERROR(IF(INDEX(RUNS!$F$6:$F$1005,MATCH($D1375,RUNS!$A$6:$A$1005,0))="","",INDEX(RUNS!$F$6:$F$1005,MATCH($D1375,RUNS!$A$6:$A$1005,0))),""))</f>
        <v/>
      </c>
      <c r="N1375" s="33">
        <f>IF($D1375="","",IFERROR(IF(INDEX(RUNS!$G$6:$G$1005,MATCH($D1375,RUNS!$A$6:$A$1005,0))="","",INDEX(RUNS!$G$6:$G$1005,MATCH($D1375,RUNS!$A$6:$A$1005,0))),""))</f>
        <v/>
      </c>
      <c r="O1375" s="33">
        <f>IF($D1375="","",IFERROR(IF(INDEX(RUNS!$H$6:$H$1005,MATCH($D1375,RUNS!$A$6:$A$1005,0))="","",INDEX(RUNS!$H$6:$H$1005,MATCH($D1375,RUNS!$A$6:$A$1005,0))),""))</f>
        <v/>
      </c>
      <c r="P1375" s="33">
        <f>IF($D1375="","",IFERROR(IF(INDEX(RUNS!$J$6:$J$1005,MATCH($D1375,RUNS!$A$6:$A$1005,0))="","",INDEX(RUNS!$J$6:$J$1005,MATCH($D1375,RUNS!$A$6:$A$1005,0))),""))</f>
        <v/>
      </c>
      <c r="Q1375" s="33">
        <f>IF($D1375="","",IFERROR(IF(INDEX(RUNS!$K$6:$K$1005,MATCH($D1375,RUNS!$A$6:$A$1005,0))="","",INDEX(RUNS!$K$6:$K$1005,MATCH($D1375,RUNS!$A$6:$A$1005,0))),""))</f>
        <v/>
      </c>
      <c r="R1375" s="34">
        <f>IF(OR($L1375="",$K1375=""),"",IFERROR(IF(INDEX(PARAMETRES!$H$43:$H$342,MATCH($L1375&amp;"|"&amp;$M1375&amp;"|"&amp;$N1375&amp;"|"&amp;$O1375&amp;"|"&amp;$P1375&amp;"|"&amp;$Q1375&amp;"|"&amp;$K1375,PARAMETRES!$J$43:$J$342,0))="","",INDEX(PARAMETRES!$H$43:$H$342,MATCH($L1375&amp;"|"&amp;$M1375&amp;"|"&amp;$N1375&amp;"|"&amp;$O1375&amp;"|"&amp;$P1375&amp;"|"&amp;$Q1375&amp;"|"&amp;$K1375,PARAMETRES!$J$43:$J$342,0))),""))</f>
        <v/>
      </c>
      <c r="S1375" s="35">
        <f>IF(OR($G1375="",$X1375&lt;&gt;"VALIDE"),"",IFERROR(LOOKUP(2,1/(($B475:$B1374=$B1375)*($G475:$G1374=$G1375)*($X475:$X1374="VALIDE")),$C475:$C1374),""))</f>
        <v/>
      </c>
      <c r="T1375" s="36">
        <f>IF(OR($C1375="",$S1375=""),"",ROUND(($C1375-$S1375+IF($C1375&lt;$S1375,1,0))*1440,0))</f>
        <v/>
      </c>
      <c r="U1375" s="22">
        <f>IF(OR($H1375="",$T1375="",$T1375&lt;=0),"",$H1375*60/$T1375)</f>
        <v/>
      </c>
      <c r="V1375" s="37">
        <f>IF(OR($U1375="",$R1375="",$R1375=0),"",$U1375/$R1375)</f>
        <v/>
      </c>
      <c r="W1375" s="20">
        <f>IF($G1375="","",IF($X1375="CONTEXTE INCOMPLET","CONTEXTE INCOMPLET",IF($X1375="DOUBLON",StatutDoublon,IF($S1375="",StatutInitial,IF($R1375="",StatutStandardManquant,IF($V1375="","DONNEES INSUFFISANTES",IF($V1375&gt;=SeuilConforme,StatutConforme,IF($V1375&gt;=SeuilSurveiller,StatutSurveiller,StatutSousStandard))))))))</f>
        <v/>
      </c>
      <c r="X1375" s="33">
        <f>IF($G1375="","",IF(OR($D1375="",$E1375="",$F1375=""),"CONTEXTE INCOMPLET",IF(COUNTIFS($D475:$D1374,$D1375,$E475:$E1374,$E1375,$F475:$F1374,$F1375,$G475:$G1374,$G1375)&gt;0,"DOUBLON","VALIDE")))</f>
        <v/>
      </c>
    </row>
    <row r="1376" ht="15" customHeight="1">
      <c r="A1376" s="12">
        <f>IF(OR($B1376="",$G1376=""),"",TEXT($B1376,"YYYYMMDD")&amp;"-"&amp;SUBSTITUTE($E1376," ","")&amp;"-"&amp;$F1376&amp;"-"&amp;$G1376)</f>
        <v/>
      </c>
      <c r="B1376" s="15" t="n"/>
      <c r="C1376" s="16" t="n"/>
      <c r="D1376" s="10" t="n"/>
      <c r="E1376" s="9" t="n"/>
      <c r="F1376" s="9" t="n"/>
      <c r="G1376" s="13" t="n"/>
      <c r="H1376" s="21" t="n"/>
      <c r="I1376" s="21" t="n"/>
      <c r="J1376" s="17">
        <f>IF($G1376="","",IFERROR(INDEX(NomsEmployes,MATCH($G1376,MatriculesEmployes,0)),"MATRICULE INCONNU"))</f>
        <v/>
      </c>
      <c r="K1376" s="33">
        <f>IF(OR($D1376="",$F1376=""),"",IFERROR(IF(INDEX(RUNS!$L$6:$S$1005,MATCH($D1376,RUNS!$A$6:$A$1005,0),MATCH("ACTIVITÉ "&amp;$F1376,RUNS!$L$5:$S$5,0))="","",INDEX(RUNS!$L$6:$S$1005,MATCH($D1376,RUNS!$A$6:$A$1005,0),MATCH("ACTIVITÉ "&amp;$F1376,RUNS!$L$5:$S$5,0))),""))</f>
        <v/>
      </c>
      <c r="L1376" s="33">
        <f>IF($D1376="","",IFERROR(IF(INDEX(RUNS!$E$6:$E$1005,MATCH($D1376,RUNS!$A$6:$A$1005,0))="","",INDEX(RUNS!$E$6:$E$1005,MATCH($D1376,RUNS!$A$6:$A$1005,0))),""))</f>
        <v/>
      </c>
      <c r="M1376" s="33">
        <f>IF($D1376="","",IFERROR(IF(INDEX(RUNS!$F$6:$F$1005,MATCH($D1376,RUNS!$A$6:$A$1005,0))="","",INDEX(RUNS!$F$6:$F$1005,MATCH($D1376,RUNS!$A$6:$A$1005,0))),""))</f>
        <v/>
      </c>
      <c r="N1376" s="33">
        <f>IF($D1376="","",IFERROR(IF(INDEX(RUNS!$G$6:$G$1005,MATCH($D1376,RUNS!$A$6:$A$1005,0))="","",INDEX(RUNS!$G$6:$G$1005,MATCH($D1376,RUNS!$A$6:$A$1005,0))),""))</f>
        <v/>
      </c>
      <c r="O1376" s="33">
        <f>IF($D1376="","",IFERROR(IF(INDEX(RUNS!$H$6:$H$1005,MATCH($D1376,RUNS!$A$6:$A$1005,0))="","",INDEX(RUNS!$H$6:$H$1005,MATCH($D1376,RUNS!$A$6:$A$1005,0))),""))</f>
        <v/>
      </c>
      <c r="P1376" s="33">
        <f>IF($D1376="","",IFERROR(IF(INDEX(RUNS!$J$6:$J$1005,MATCH($D1376,RUNS!$A$6:$A$1005,0))="","",INDEX(RUNS!$J$6:$J$1005,MATCH($D1376,RUNS!$A$6:$A$1005,0))),""))</f>
        <v/>
      </c>
      <c r="Q1376" s="33">
        <f>IF($D1376="","",IFERROR(IF(INDEX(RUNS!$K$6:$K$1005,MATCH($D1376,RUNS!$A$6:$A$1005,0))="","",INDEX(RUNS!$K$6:$K$1005,MATCH($D1376,RUNS!$A$6:$A$1005,0))),""))</f>
        <v/>
      </c>
      <c r="R1376" s="34">
        <f>IF(OR($L1376="",$K1376=""),"",IFERROR(IF(INDEX(PARAMETRES!$H$43:$H$342,MATCH($L1376&amp;"|"&amp;$M1376&amp;"|"&amp;$N1376&amp;"|"&amp;$O1376&amp;"|"&amp;$P1376&amp;"|"&amp;$Q1376&amp;"|"&amp;$K1376,PARAMETRES!$J$43:$J$342,0))="","",INDEX(PARAMETRES!$H$43:$H$342,MATCH($L1376&amp;"|"&amp;$M1376&amp;"|"&amp;$N1376&amp;"|"&amp;$O1376&amp;"|"&amp;$P1376&amp;"|"&amp;$Q1376&amp;"|"&amp;$K1376,PARAMETRES!$J$43:$J$342,0))),""))</f>
        <v/>
      </c>
      <c r="S1376" s="35">
        <f>IF(OR($G1376="",$X1376&lt;&gt;"VALIDE"),"",IFERROR(LOOKUP(2,1/(($B476:$B1375=$B1376)*($G476:$G1375=$G1376)*($X476:$X1375="VALIDE")),$C476:$C1375),""))</f>
        <v/>
      </c>
      <c r="T1376" s="36">
        <f>IF(OR($C1376="",$S1376=""),"",ROUND(($C1376-$S1376+IF($C1376&lt;$S1376,1,0))*1440,0))</f>
        <v/>
      </c>
      <c r="U1376" s="22">
        <f>IF(OR($H1376="",$T1376="",$T1376&lt;=0),"",$H1376*60/$T1376)</f>
        <v/>
      </c>
      <c r="V1376" s="37">
        <f>IF(OR($U1376="",$R1376="",$R1376=0),"",$U1376/$R1376)</f>
        <v/>
      </c>
      <c r="W1376" s="20">
        <f>IF($G1376="","",IF($X1376="CONTEXTE INCOMPLET","CONTEXTE INCOMPLET",IF($X1376="DOUBLON",StatutDoublon,IF($S1376="",StatutInitial,IF($R1376="",StatutStandardManquant,IF($V1376="","DONNEES INSUFFISANTES",IF($V1376&gt;=SeuilConforme,StatutConforme,IF($V1376&gt;=SeuilSurveiller,StatutSurveiller,StatutSousStandard))))))))</f>
        <v/>
      </c>
      <c r="X1376" s="33">
        <f>IF($G1376="","",IF(OR($D1376="",$E1376="",$F1376=""),"CONTEXTE INCOMPLET",IF(COUNTIFS($D476:$D1375,$D1376,$E476:$E1375,$E1376,$F476:$F1375,$F1376,$G476:$G1375,$G1376)&gt;0,"DOUBLON","VALIDE")))</f>
        <v/>
      </c>
    </row>
    <row r="1377" ht="15" customHeight="1">
      <c r="A1377" s="12">
        <f>IF(OR($B1377="",$G1377=""),"",TEXT($B1377,"YYYYMMDD")&amp;"-"&amp;SUBSTITUTE($E1377," ","")&amp;"-"&amp;$F1377&amp;"-"&amp;$G1377)</f>
        <v/>
      </c>
      <c r="B1377" s="15" t="n"/>
      <c r="C1377" s="16" t="n"/>
      <c r="D1377" s="10" t="n"/>
      <c r="E1377" s="9" t="n"/>
      <c r="F1377" s="9" t="n"/>
      <c r="G1377" s="13" t="n"/>
      <c r="H1377" s="21" t="n"/>
      <c r="I1377" s="21" t="n"/>
      <c r="J1377" s="17">
        <f>IF($G1377="","",IFERROR(INDEX(NomsEmployes,MATCH($G1377,MatriculesEmployes,0)),"MATRICULE INCONNU"))</f>
        <v/>
      </c>
      <c r="K1377" s="33">
        <f>IF(OR($D1377="",$F1377=""),"",IFERROR(IF(INDEX(RUNS!$L$6:$S$1005,MATCH($D1377,RUNS!$A$6:$A$1005,0),MATCH("ACTIVITÉ "&amp;$F1377,RUNS!$L$5:$S$5,0))="","",INDEX(RUNS!$L$6:$S$1005,MATCH($D1377,RUNS!$A$6:$A$1005,0),MATCH("ACTIVITÉ "&amp;$F1377,RUNS!$L$5:$S$5,0))),""))</f>
        <v/>
      </c>
      <c r="L1377" s="33">
        <f>IF($D1377="","",IFERROR(IF(INDEX(RUNS!$E$6:$E$1005,MATCH($D1377,RUNS!$A$6:$A$1005,0))="","",INDEX(RUNS!$E$6:$E$1005,MATCH($D1377,RUNS!$A$6:$A$1005,0))),""))</f>
        <v/>
      </c>
      <c r="M1377" s="33">
        <f>IF($D1377="","",IFERROR(IF(INDEX(RUNS!$F$6:$F$1005,MATCH($D1377,RUNS!$A$6:$A$1005,0))="","",INDEX(RUNS!$F$6:$F$1005,MATCH($D1377,RUNS!$A$6:$A$1005,0))),""))</f>
        <v/>
      </c>
      <c r="N1377" s="33">
        <f>IF($D1377="","",IFERROR(IF(INDEX(RUNS!$G$6:$G$1005,MATCH($D1377,RUNS!$A$6:$A$1005,0))="","",INDEX(RUNS!$G$6:$G$1005,MATCH($D1377,RUNS!$A$6:$A$1005,0))),""))</f>
        <v/>
      </c>
      <c r="O1377" s="33">
        <f>IF($D1377="","",IFERROR(IF(INDEX(RUNS!$H$6:$H$1005,MATCH($D1377,RUNS!$A$6:$A$1005,0))="","",INDEX(RUNS!$H$6:$H$1005,MATCH($D1377,RUNS!$A$6:$A$1005,0))),""))</f>
        <v/>
      </c>
      <c r="P1377" s="33">
        <f>IF($D1377="","",IFERROR(IF(INDEX(RUNS!$J$6:$J$1005,MATCH($D1377,RUNS!$A$6:$A$1005,0))="","",INDEX(RUNS!$J$6:$J$1005,MATCH($D1377,RUNS!$A$6:$A$1005,0))),""))</f>
        <v/>
      </c>
      <c r="Q1377" s="33">
        <f>IF($D1377="","",IFERROR(IF(INDEX(RUNS!$K$6:$K$1005,MATCH($D1377,RUNS!$A$6:$A$1005,0))="","",INDEX(RUNS!$K$6:$K$1005,MATCH($D1377,RUNS!$A$6:$A$1005,0))),""))</f>
        <v/>
      </c>
      <c r="R1377" s="34">
        <f>IF(OR($L1377="",$K1377=""),"",IFERROR(IF(INDEX(PARAMETRES!$H$43:$H$342,MATCH($L1377&amp;"|"&amp;$M1377&amp;"|"&amp;$N1377&amp;"|"&amp;$O1377&amp;"|"&amp;$P1377&amp;"|"&amp;$Q1377&amp;"|"&amp;$K1377,PARAMETRES!$J$43:$J$342,0))="","",INDEX(PARAMETRES!$H$43:$H$342,MATCH($L1377&amp;"|"&amp;$M1377&amp;"|"&amp;$N1377&amp;"|"&amp;$O1377&amp;"|"&amp;$P1377&amp;"|"&amp;$Q1377&amp;"|"&amp;$K1377,PARAMETRES!$J$43:$J$342,0))),""))</f>
        <v/>
      </c>
      <c r="S1377" s="35">
        <f>IF(OR($G1377="",$X1377&lt;&gt;"VALIDE"),"",IFERROR(LOOKUP(2,1/(($B477:$B1376=$B1377)*($G477:$G1376=$G1377)*($X477:$X1376="VALIDE")),$C477:$C1376),""))</f>
        <v/>
      </c>
      <c r="T1377" s="36">
        <f>IF(OR($C1377="",$S1377=""),"",ROUND(($C1377-$S1377+IF($C1377&lt;$S1377,1,0))*1440,0))</f>
        <v/>
      </c>
      <c r="U1377" s="22">
        <f>IF(OR($H1377="",$T1377="",$T1377&lt;=0),"",$H1377*60/$T1377)</f>
        <v/>
      </c>
      <c r="V1377" s="37">
        <f>IF(OR($U1377="",$R1377="",$R1377=0),"",$U1377/$R1377)</f>
        <v/>
      </c>
      <c r="W1377" s="20">
        <f>IF($G1377="","",IF($X1377="CONTEXTE INCOMPLET","CONTEXTE INCOMPLET",IF($X1377="DOUBLON",StatutDoublon,IF($S1377="",StatutInitial,IF($R1377="",StatutStandardManquant,IF($V1377="","DONNEES INSUFFISANTES",IF($V1377&gt;=SeuilConforme,StatutConforme,IF($V1377&gt;=SeuilSurveiller,StatutSurveiller,StatutSousStandard))))))))</f>
        <v/>
      </c>
      <c r="X1377" s="33">
        <f>IF($G1377="","",IF(OR($D1377="",$E1377="",$F1377=""),"CONTEXTE INCOMPLET",IF(COUNTIFS($D477:$D1376,$D1377,$E477:$E1376,$E1377,$F477:$F1376,$F1377,$G477:$G1376,$G1377)&gt;0,"DOUBLON","VALIDE")))</f>
        <v/>
      </c>
    </row>
    <row r="1378" ht="15" customHeight="1">
      <c r="A1378" s="12">
        <f>IF(OR($B1378="",$G1378=""),"",TEXT($B1378,"YYYYMMDD")&amp;"-"&amp;SUBSTITUTE($E1378," ","")&amp;"-"&amp;$F1378&amp;"-"&amp;$G1378)</f>
        <v/>
      </c>
      <c r="B1378" s="15" t="n"/>
      <c r="C1378" s="16" t="n"/>
      <c r="D1378" s="10" t="n"/>
      <c r="E1378" s="9" t="n"/>
      <c r="F1378" s="9" t="n"/>
      <c r="G1378" s="13" t="n"/>
      <c r="H1378" s="21" t="n"/>
      <c r="I1378" s="21" t="n"/>
      <c r="J1378" s="17">
        <f>IF($G1378="","",IFERROR(INDEX(NomsEmployes,MATCH($G1378,MatriculesEmployes,0)),"MATRICULE INCONNU"))</f>
        <v/>
      </c>
      <c r="K1378" s="33">
        <f>IF(OR($D1378="",$F1378=""),"",IFERROR(IF(INDEX(RUNS!$L$6:$S$1005,MATCH($D1378,RUNS!$A$6:$A$1005,0),MATCH("ACTIVITÉ "&amp;$F1378,RUNS!$L$5:$S$5,0))="","",INDEX(RUNS!$L$6:$S$1005,MATCH($D1378,RUNS!$A$6:$A$1005,0),MATCH("ACTIVITÉ "&amp;$F1378,RUNS!$L$5:$S$5,0))),""))</f>
        <v/>
      </c>
      <c r="L1378" s="33">
        <f>IF($D1378="","",IFERROR(IF(INDEX(RUNS!$E$6:$E$1005,MATCH($D1378,RUNS!$A$6:$A$1005,0))="","",INDEX(RUNS!$E$6:$E$1005,MATCH($D1378,RUNS!$A$6:$A$1005,0))),""))</f>
        <v/>
      </c>
      <c r="M1378" s="33">
        <f>IF($D1378="","",IFERROR(IF(INDEX(RUNS!$F$6:$F$1005,MATCH($D1378,RUNS!$A$6:$A$1005,0))="","",INDEX(RUNS!$F$6:$F$1005,MATCH($D1378,RUNS!$A$6:$A$1005,0))),""))</f>
        <v/>
      </c>
      <c r="N1378" s="33">
        <f>IF($D1378="","",IFERROR(IF(INDEX(RUNS!$G$6:$G$1005,MATCH($D1378,RUNS!$A$6:$A$1005,0))="","",INDEX(RUNS!$G$6:$G$1005,MATCH($D1378,RUNS!$A$6:$A$1005,0))),""))</f>
        <v/>
      </c>
      <c r="O1378" s="33">
        <f>IF($D1378="","",IFERROR(IF(INDEX(RUNS!$H$6:$H$1005,MATCH($D1378,RUNS!$A$6:$A$1005,0))="","",INDEX(RUNS!$H$6:$H$1005,MATCH($D1378,RUNS!$A$6:$A$1005,0))),""))</f>
        <v/>
      </c>
      <c r="P1378" s="33">
        <f>IF($D1378="","",IFERROR(IF(INDEX(RUNS!$J$6:$J$1005,MATCH($D1378,RUNS!$A$6:$A$1005,0))="","",INDEX(RUNS!$J$6:$J$1005,MATCH($D1378,RUNS!$A$6:$A$1005,0))),""))</f>
        <v/>
      </c>
      <c r="Q1378" s="33">
        <f>IF($D1378="","",IFERROR(IF(INDEX(RUNS!$K$6:$K$1005,MATCH($D1378,RUNS!$A$6:$A$1005,0))="","",INDEX(RUNS!$K$6:$K$1005,MATCH($D1378,RUNS!$A$6:$A$1005,0))),""))</f>
        <v/>
      </c>
      <c r="R1378" s="34">
        <f>IF(OR($L1378="",$K1378=""),"",IFERROR(IF(INDEX(PARAMETRES!$H$43:$H$342,MATCH($L1378&amp;"|"&amp;$M1378&amp;"|"&amp;$N1378&amp;"|"&amp;$O1378&amp;"|"&amp;$P1378&amp;"|"&amp;$Q1378&amp;"|"&amp;$K1378,PARAMETRES!$J$43:$J$342,0))="","",INDEX(PARAMETRES!$H$43:$H$342,MATCH($L1378&amp;"|"&amp;$M1378&amp;"|"&amp;$N1378&amp;"|"&amp;$O1378&amp;"|"&amp;$P1378&amp;"|"&amp;$Q1378&amp;"|"&amp;$K1378,PARAMETRES!$J$43:$J$342,0))),""))</f>
        <v/>
      </c>
      <c r="S1378" s="35">
        <f>IF(OR($G1378="",$X1378&lt;&gt;"VALIDE"),"",IFERROR(LOOKUP(2,1/(($B478:$B1377=$B1378)*($G478:$G1377=$G1378)*($X478:$X1377="VALIDE")),$C478:$C1377),""))</f>
        <v/>
      </c>
      <c r="T1378" s="36">
        <f>IF(OR($C1378="",$S1378=""),"",ROUND(($C1378-$S1378+IF($C1378&lt;$S1378,1,0))*1440,0))</f>
        <v/>
      </c>
      <c r="U1378" s="22">
        <f>IF(OR($H1378="",$T1378="",$T1378&lt;=0),"",$H1378*60/$T1378)</f>
        <v/>
      </c>
      <c r="V1378" s="37">
        <f>IF(OR($U1378="",$R1378="",$R1378=0),"",$U1378/$R1378)</f>
        <v/>
      </c>
      <c r="W1378" s="20">
        <f>IF($G1378="","",IF($X1378="CONTEXTE INCOMPLET","CONTEXTE INCOMPLET",IF($X1378="DOUBLON",StatutDoublon,IF($S1378="",StatutInitial,IF($R1378="",StatutStandardManquant,IF($V1378="","DONNEES INSUFFISANTES",IF($V1378&gt;=SeuilConforme,StatutConforme,IF($V1378&gt;=SeuilSurveiller,StatutSurveiller,StatutSousStandard))))))))</f>
        <v/>
      </c>
      <c r="X1378" s="33">
        <f>IF($G1378="","",IF(OR($D1378="",$E1378="",$F1378=""),"CONTEXTE INCOMPLET",IF(COUNTIFS($D478:$D1377,$D1378,$E478:$E1377,$E1378,$F478:$F1377,$F1378,$G478:$G1377,$G1378)&gt;0,"DOUBLON","VALIDE")))</f>
        <v/>
      </c>
    </row>
    <row r="1379" ht="15" customHeight="1">
      <c r="A1379" s="12">
        <f>IF(OR($B1379="",$G1379=""),"",TEXT($B1379,"YYYYMMDD")&amp;"-"&amp;SUBSTITUTE($E1379," ","")&amp;"-"&amp;$F1379&amp;"-"&amp;$G1379)</f>
        <v/>
      </c>
      <c r="B1379" s="15" t="n"/>
      <c r="C1379" s="16" t="n"/>
      <c r="D1379" s="10" t="n"/>
      <c r="E1379" s="9" t="n"/>
      <c r="F1379" s="9" t="n"/>
      <c r="G1379" s="13" t="n"/>
      <c r="H1379" s="21" t="n"/>
      <c r="I1379" s="21" t="n"/>
      <c r="J1379" s="17">
        <f>IF($G1379="","",IFERROR(INDEX(NomsEmployes,MATCH($G1379,MatriculesEmployes,0)),"MATRICULE INCONNU"))</f>
        <v/>
      </c>
      <c r="K1379" s="33">
        <f>IF(OR($D1379="",$F1379=""),"",IFERROR(IF(INDEX(RUNS!$L$6:$S$1005,MATCH($D1379,RUNS!$A$6:$A$1005,0),MATCH("ACTIVITÉ "&amp;$F1379,RUNS!$L$5:$S$5,0))="","",INDEX(RUNS!$L$6:$S$1005,MATCH($D1379,RUNS!$A$6:$A$1005,0),MATCH("ACTIVITÉ "&amp;$F1379,RUNS!$L$5:$S$5,0))),""))</f>
        <v/>
      </c>
      <c r="L1379" s="33">
        <f>IF($D1379="","",IFERROR(IF(INDEX(RUNS!$E$6:$E$1005,MATCH($D1379,RUNS!$A$6:$A$1005,0))="","",INDEX(RUNS!$E$6:$E$1005,MATCH($D1379,RUNS!$A$6:$A$1005,0))),""))</f>
        <v/>
      </c>
      <c r="M1379" s="33">
        <f>IF($D1379="","",IFERROR(IF(INDEX(RUNS!$F$6:$F$1005,MATCH($D1379,RUNS!$A$6:$A$1005,0))="","",INDEX(RUNS!$F$6:$F$1005,MATCH($D1379,RUNS!$A$6:$A$1005,0))),""))</f>
        <v/>
      </c>
      <c r="N1379" s="33">
        <f>IF($D1379="","",IFERROR(IF(INDEX(RUNS!$G$6:$G$1005,MATCH($D1379,RUNS!$A$6:$A$1005,0))="","",INDEX(RUNS!$G$6:$G$1005,MATCH($D1379,RUNS!$A$6:$A$1005,0))),""))</f>
        <v/>
      </c>
      <c r="O1379" s="33">
        <f>IF($D1379="","",IFERROR(IF(INDEX(RUNS!$H$6:$H$1005,MATCH($D1379,RUNS!$A$6:$A$1005,0))="","",INDEX(RUNS!$H$6:$H$1005,MATCH($D1379,RUNS!$A$6:$A$1005,0))),""))</f>
        <v/>
      </c>
      <c r="P1379" s="33">
        <f>IF($D1379="","",IFERROR(IF(INDEX(RUNS!$J$6:$J$1005,MATCH($D1379,RUNS!$A$6:$A$1005,0))="","",INDEX(RUNS!$J$6:$J$1005,MATCH($D1379,RUNS!$A$6:$A$1005,0))),""))</f>
        <v/>
      </c>
      <c r="Q1379" s="33">
        <f>IF($D1379="","",IFERROR(IF(INDEX(RUNS!$K$6:$K$1005,MATCH($D1379,RUNS!$A$6:$A$1005,0))="","",INDEX(RUNS!$K$6:$K$1005,MATCH($D1379,RUNS!$A$6:$A$1005,0))),""))</f>
        <v/>
      </c>
      <c r="R1379" s="34">
        <f>IF(OR($L1379="",$K1379=""),"",IFERROR(IF(INDEX(PARAMETRES!$H$43:$H$342,MATCH($L1379&amp;"|"&amp;$M1379&amp;"|"&amp;$N1379&amp;"|"&amp;$O1379&amp;"|"&amp;$P1379&amp;"|"&amp;$Q1379&amp;"|"&amp;$K1379,PARAMETRES!$J$43:$J$342,0))="","",INDEX(PARAMETRES!$H$43:$H$342,MATCH($L1379&amp;"|"&amp;$M1379&amp;"|"&amp;$N1379&amp;"|"&amp;$O1379&amp;"|"&amp;$P1379&amp;"|"&amp;$Q1379&amp;"|"&amp;$K1379,PARAMETRES!$J$43:$J$342,0))),""))</f>
        <v/>
      </c>
      <c r="S1379" s="35">
        <f>IF(OR($G1379="",$X1379&lt;&gt;"VALIDE"),"",IFERROR(LOOKUP(2,1/(($B479:$B1378=$B1379)*($G479:$G1378=$G1379)*($X479:$X1378="VALIDE")),$C479:$C1378),""))</f>
        <v/>
      </c>
      <c r="T1379" s="36">
        <f>IF(OR($C1379="",$S1379=""),"",ROUND(($C1379-$S1379+IF($C1379&lt;$S1379,1,0))*1440,0))</f>
        <v/>
      </c>
      <c r="U1379" s="22">
        <f>IF(OR($H1379="",$T1379="",$T1379&lt;=0),"",$H1379*60/$T1379)</f>
        <v/>
      </c>
      <c r="V1379" s="37">
        <f>IF(OR($U1379="",$R1379="",$R1379=0),"",$U1379/$R1379)</f>
        <v/>
      </c>
      <c r="W1379" s="20">
        <f>IF($G1379="","",IF($X1379="CONTEXTE INCOMPLET","CONTEXTE INCOMPLET",IF($X1379="DOUBLON",StatutDoublon,IF($S1379="",StatutInitial,IF($R1379="",StatutStandardManquant,IF($V1379="","DONNEES INSUFFISANTES",IF($V1379&gt;=SeuilConforme,StatutConforme,IF($V1379&gt;=SeuilSurveiller,StatutSurveiller,StatutSousStandard))))))))</f>
        <v/>
      </c>
      <c r="X1379" s="33">
        <f>IF($G1379="","",IF(OR($D1379="",$E1379="",$F1379=""),"CONTEXTE INCOMPLET",IF(COUNTIFS($D479:$D1378,$D1379,$E479:$E1378,$E1379,$F479:$F1378,$F1379,$G479:$G1378,$G1379)&gt;0,"DOUBLON","VALIDE")))</f>
        <v/>
      </c>
    </row>
    <row r="1380" ht="15" customHeight="1">
      <c r="A1380" s="12">
        <f>IF(OR($B1380="",$G1380=""),"",TEXT($B1380,"YYYYMMDD")&amp;"-"&amp;SUBSTITUTE($E1380," ","")&amp;"-"&amp;$F1380&amp;"-"&amp;$G1380)</f>
        <v/>
      </c>
      <c r="B1380" s="15" t="n"/>
      <c r="C1380" s="16" t="n"/>
      <c r="D1380" s="10" t="n"/>
      <c r="E1380" s="9" t="n"/>
      <c r="F1380" s="9" t="n"/>
      <c r="G1380" s="13" t="n"/>
      <c r="H1380" s="21" t="n"/>
      <c r="I1380" s="21" t="n"/>
      <c r="J1380" s="17">
        <f>IF($G1380="","",IFERROR(INDEX(NomsEmployes,MATCH($G1380,MatriculesEmployes,0)),"MATRICULE INCONNU"))</f>
        <v/>
      </c>
      <c r="K1380" s="33">
        <f>IF(OR($D1380="",$F1380=""),"",IFERROR(IF(INDEX(RUNS!$L$6:$S$1005,MATCH($D1380,RUNS!$A$6:$A$1005,0),MATCH("ACTIVITÉ "&amp;$F1380,RUNS!$L$5:$S$5,0))="","",INDEX(RUNS!$L$6:$S$1005,MATCH($D1380,RUNS!$A$6:$A$1005,0),MATCH("ACTIVITÉ "&amp;$F1380,RUNS!$L$5:$S$5,0))),""))</f>
        <v/>
      </c>
      <c r="L1380" s="33">
        <f>IF($D1380="","",IFERROR(IF(INDEX(RUNS!$E$6:$E$1005,MATCH($D1380,RUNS!$A$6:$A$1005,0))="","",INDEX(RUNS!$E$6:$E$1005,MATCH($D1380,RUNS!$A$6:$A$1005,0))),""))</f>
        <v/>
      </c>
      <c r="M1380" s="33">
        <f>IF($D1380="","",IFERROR(IF(INDEX(RUNS!$F$6:$F$1005,MATCH($D1380,RUNS!$A$6:$A$1005,0))="","",INDEX(RUNS!$F$6:$F$1005,MATCH($D1380,RUNS!$A$6:$A$1005,0))),""))</f>
        <v/>
      </c>
      <c r="N1380" s="33">
        <f>IF($D1380="","",IFERROR(IF(INDEX(RUNS!$G$6:$G$1005,MATCH($D1380,RUNS!$A$6:$A$1005,0))="","",INDEX(RUNS!$G$6:$G$1005,MATCH($D1380,RUNS!$A$6:$A$1005,0))),""))</f>
        <v/>
      </c>
      <c r="O1380" s="33">
        <f>IF($D1380="","",IFERROR(IF(INDEX(RUNS!$H$6:$H$1005,MATCH($D1380,RUNS!$A$6:$A$1005,0))="","",INDEX(RUNS!$H$6:$H$1005,MATCH($D1380,RUNS!$A$6:$A$1005,0))),""))</f>
        <v/>
      </c>
      <c r="P1380" s="33">
        <f>IF($D1380="","",IFERROR(IF(INDEX(RUNS!$J$6:$J$1005,MATCH($D1380,RUNS!$A$6:$A$1005,0))="","",INDEX(RUNS!$J$6:$J$1005,MATCH($D1380,RUNS!$A$6:$A$1005,0))),""))</f>
        <v/>
      </c>
      <c r="Q1380" s="33">
        <f>IF($D1380="","",IFERROR(IF(INDEX(RUNS!$K$6:$K$1005,MATCH($D1380,RUNS!$A$6:$A$1005,0))="","",INDEX(RUNS!$K$6:$K$1005,MATCH($D1380,RUNS!$A$6:$A$1005,0))),""))</f>
        <v/>
      </c>
      <c r="R1380" s="34">
        <f>IF(OR($L1380="",$K1380=""),"",IFERROR(IF(INDEX(PARAMETRES!$H$43:$H$342,MATCH($L1380&amp;"|"&amp;$M1380&amp;"|"&amp;$N1380&amp;"|"&amp;$O1380&amp;"|"&amp;$P1380&amp;"|"&amp;$Q1380&amp;"|"&amp;$K1380,PARAMETRES!$J$43:$J$342,0))="","",INDEX(PARAMETRES!$H$43:$H$342,MATCH($L1380&amp;"|"&amp;$M1380&amp;"|"&amp;$N1380&amp;"|"&amp;$O1380&amp;"|"&amp;$P1380&amp;"|"&amp;$Q1380&amp;"|"&amp;$K1380,PARAMETRES!$J$43:$J$342,0))),""))</f>
        <v/>
      </c>
      <c r="S1380" s="35">
        <f>IF(OR($G1380="",$X1380&lt;&gt;"VALIDE"),"",IFERROR(LOOKUP(2,1/(($B480:$B1379=$B1380)*($G480:$G1379=$G1380)*($X480:$X1379="VALIDE")),$C480:$C1379),""))</f>
        <v/>
      </c>
      <c r="T1380" s="36">
        <f>IF(OR($C1380="",$S1380=""),"",ROUND(($C1380-$S1380+IF($C1380&lt;$S1380,1,0))*1440,0))</f>
        <v/>
      </c>
      <c r="U1380" s="22">
        <f>IF(OR($H1380="",$T1380="",$T1380&lt;=0),"",$H1380*60/$T1380)</f>
        <v/>
      </c>
      <c r="V1380" s="37">
        <f>IF(OR($U1380="",$R1380="",$R1380=0),"",$U1380/$R1380)</f>
        <v/>
      </c>
      <c r="W1380" s="20">
        <f>IF($G1380="","",IF($X1380="CONTEXTE INCOMPLET","CONTEXTE INCOMPLET",IF($X1380="DOUBLON",StatutDoublon,IF($S1380="",StatutInitial,IF($R1380="",StatutStandardManquant,IF($V1380="","DONNEES INSUFFISANTES",IF($V1380&gt;=SeuilConforme,StatutConforme,IF($V1380&gt;=SeuilSurveiller,StatutSurveiller,StatutSousStandard))))))))</f>
        <v/>
      </c>
      <c r="X1380" s="33">
        <f>IF($G1380="","",IF(OR($D1380="",$E1380="",$F1380=""),"CONTEXTE INCOMPLET",IF(COUNTIFS($D480:$D1379,$D1380,$E480:$E1379,$E1380,$F480:$F1379,$F1380,$G480:$G1379,$G1380)&gt;0,"DOUBLON","VALIDE")))</f>
        <v/>
      </c>
    </row>
    <row r="1381" ht="15" customHeight="1">
      <c r="A1381" s="12">
        <f>IF(OR($B1381="",$G1381=""),"",TEXT($B1381,"YYYYMMDD")&amp;"-"&amp;SUBSTITUTE($E1381," ","")&amp;"-"&amp;$F1381&amp;"-"&amp;$G1381)</f>
        <v/>
      </c>
      <c r="B1381" s="15" t="n"/>
      <c r="C1381" s="16" t="n"/>
      <c r="D1381" s="10" t="n"/>
      <c r="E1381" s="9" t="n"/>
      <c r="F1381" s="9" t="n"/>
      <c r="G1381" s="13" t="n"/>
      <c r="H1381" s="21" t="n"/>
      <c r="I1381" s="21" t="n"/>
      <c r="J1381" s="17">
        <f>IF($G1381="","",IFERROR(INDEX(NomsEmployes,MATCH($G1381,MatriculesEmployes,0)),"MATRICULE INCONNU"))</f>
        <v/>
      </c>
      <c r="K1381" s="33">
        <f>IF(OR($D1381="",$F1381=""),"",IFERROR(IF(INDEX(RUNS!$L$6:$S$1005,MATCH($D1381,RUNS!$A$6:$A$1005,0),MATCH("ACTIVITÉ "&amp;$F1381,RUNS!$L$5:$S$5,0))="","",INDEX(RUNS!$L$6:$S$1005,MATCH($D1381,RUNS!$A$6:$A$1005,0),MATCH("ACTIVITÉ "&amp;$F1381,RUNS!$L$5:$S$5,0))),""))</f>
        <v/>
      </c>
      <c r="L1381" s="33">
        <f>IF($D1381="","",IFERROR(IF(INDEX(RUNS!$E$6:$E$1005,MATCH($D1381,RUNS!$A$6:$A$1005,0))="","",INDEX(RUNS!$E$6:$E$1005,MATCH($D1381,RUNS!$A$6:$A$1005,0))),""))</f>
        <v/>
      </c>
      <c r="M1381" s="33">
        <f>IF($D1381="","",IFERROR(IF(INDEX(RUNS!$F$6:$F$1005,MATCH($D1381,RUNS!$A$6:$A$1005,0))="","",INDEX(RUNS!$F$6:$F$1005,MATCH($D1381,RUNS!$A$6:$A$1005,0))),""))</f>
        <v/>
      </c>
      <c r="N1381" s="33">
        <f>IF($D1381="","",IFERROR(IF(INDEX(RUNS!$G$6:$G$1005,MATCH($D1381,RUNS!$A$6:$A$1005,0))="","",INDEX(RUNS!$G$6:$G$1005,MATCH($D1381,RUNS!$A$6:$A$1005,0))),""))</f>
        <v/>
      </c>
      <c r="O1381" s="33">
        <f>IF($D1381="","",IFERROR(IF(INDEX(RUNS!$H$6:$H$1005,MATCH($D1381,RUNS!$A$6:$A$1005,0))="","",INDEX(RUNS!$H$6:$H$1005,MATCH($D1381,RUNS!$A$6:$A$1005,0))),""))</f>
        <v/>
      </c>
      <c r="P1381" s="33">
        <f>IF($D1381="","",IFERROR(IF(INDEX(RUNS!$J$6:$J$1005,MATCH($D1381,RUNS!$A$6:$A$1005,0))="","",INDEX(RUNS!$J$6:$J$1005,MATCH($D1381,RUNS!$A$6:$A$1005,0))),""))</f>
        <v/>
      </c>
      <c r="Q1381" s="33">
        <f>IF($D1381="","",IFERROR(IF(INDEX(RUNS!$K$6:$K$1005,MATCH($D1381,RUNS!$A$6:$A$1005,0))="","",INDEX(RUNS!$K$6:$K$1005,MATCH($D1381,RUNS!$A$6:$A$1005,0))),""))</f>
        <v/>
      </c>
      <c r="R1381" s="34">
        <f>IF(OR($L1381="",$K1381=""),"",IFERROR(IF(INDEX(PARAMETRES!$H$43:$H$342,MATCH($L1381&amp;"|"&amp;$M1381&amp;"|"&amp;$N1381&amp;"|"&amp;$O1381&amp;"|"&amp;$P1381&amp;"|"&amp;$Q1381&amp;"|"&amp;$K1381,PARAMETRES!$J$43:$J$342,0))="","",INDEX(PARAMETRES!$H$43:$H$342,MATCH($L1381&amp;"|"&amp;$M1381&amp;"|"&amp;$N1381&amp;"|"&amp;$O1381&amp;"|"&amp;$P1381&amp;"|"&amp;$Q1381&amp;"|"&amp;$K1381,PARAMETRES!$J$43:$J$342,0))),""))</f>
        <v/>
      </c>
      <c r="S1381" s="35">
        <f>IF(OR($G1381="",$X1381&lt;&gt;"VALIDE"),"",IFERROR(LOOKUP(2,1/(($B481:$B1380=$B1381)*($G481:$G1380=$G1381)*($X481:$X1380="VALIDE")),$C481:$C1380),""))</f>
        <v/>
      </c>
      <c r="T1381" s="36">
        <f>IF(OR($C1381="",$S1381=""),"",ROUND(($C1381-$S1381+IF($C1381&lt;$S1381,1,0))*1440,0))</f>
        <v/>
      </c>
      <c r="U1381" s="22">
        <f>IF(OR($H1381="",$T1381="",$T1381&lt;=0),"",$H1381*60/$T1381)</f>
        <v/>
      </c>
      <c r="V1381" s="37">
        <f>IF(OR($U1381="",$R1381="",$R1381=0),"",$U1381/$R1381)</f>
        <v/>
      </c>
      <c r="W1381" s="20">
        <f>IF($G1381="","",IF($X1381="CONTEXTE INCOMPLET","CONTEXTE INCOMPLET",IF($X1381="DOUBLON",StatutDoublon,IF($S1381="",StatutInitial,IF($R1381="",StatutStandardManquant,IF($V1381="","DONNEES INSUFFISANTES",IF($V1381&gt;=SeuilConforme,StatutConforme,IF($V1381&gt;=SeuilSurveiller,StatutSurveiller,StatutSousStandard))))))))</f>
        <v/>
      </c>
      <c r="X1381" s="33">
        <f>IF($G1381="","",IF(OR($D1381="",$E1381="",$F1381=""),"CONTEXTE INCOMPLET",IF(COUNTIFS($D481:$D1380,$D1381,$E481:$E1380,$E1381,$F481:$F1380,$F1381,$G481:$G1380,$G1381)&gt;0,"DOUBLON","VALIDE")))</f>
        <v/>
      </c>
    </row>
    <row r="1382" ht="15" customHeight="1">
      <c r="A1382" s="12">
        <f>IF(OR($B1382="",$G1382=""),"",TEXT($B1382,"YYYYMMDD")&amp;"-"&amp;SUBSTITUTE($E1382," ","")&amp;"-"&amp;$F1382&amp;"-"&amp;$G1382)</f>
        <v/>
      </c>
      <c r="B1382" s="15" t="n"/>
      <c r="C1382" s="16" t="n"/>
      <c r="D1382" s="10" t="n"/>
      <c r="E1382" s="9" t="n"/>
      <c r="F1382" s="9" t="n"/>
      <c r="G1382" s="13" t="n"/>
      <c r="H1382" s="21" t="n"/>
      <c r="I1382" s="21" t="n"/>
      <c r="J1382" s="17">
        <f>IF($G1382="","",IFERROR(INDEX(NomsEmployes,MATCH($G1382,MatriculesEmployes,0)),"MATRICULE INCONNU"))</f>
        <v/>
      </c>
      <c r="K1382" s="33">
        <f>IF(OR($D1382="",$F1382=""),"",IFERROR(IF(INDEX(RUNS!$L$6:$S$1005,MATCH($D1382,RUNS!$A$6:$A$1005,0),MATCH("ACTIVITÉ "&amp;$F1382,RUNS!$L$5:$S$5,0))="","",INDEX(RUNS!$L$6:$S$1005,MATCH($D1382,RUNS!$A$6:$A$1005,0),MATCH("ACTIVITÉ "&amp;$F1382,RUNS!$L$5:$S$5,0))),""))</f>
        <v/>
      </c>
      <c r="L1382" s="33">
        <f>IF($D1382="","",IFERROR(IF(INDEX(RUNS!$E$6:$E$1005,MATCH($D1382,RUNS!$A$6:$A$1005,0))="","",INDEX(RUNS!$E$6:$E$1005,MATCH($D1382,RUNS!$A$6:$A$1005,0))),""))</f>
        <v/>
      </c>
      <c r="M1382" s="33">
        <f>IF($D1382="","",IFERROR(IF(INDEX(RUNS!$F$6:$F$1005,MATCH($D1382,RUNS!$A$6:$A$1005,0))="","",INDEX(RUNS!$F$6:$F$1005,MATCH($D1382,RUNS!$A$6:$A$1005,0))),""))</f>
        <v/>
      </c>
      <c r="N1382" s="33">
        <f>IF($D1382="","",IFERROR(IF(INDEX(RUNS!$G$6:$G$1005,MATCH($D1382,RUNS!$A$6:$A$1005,0))="","",INDEX(RUNS!$G$6:$G$1005,MATCH($D1382,RUNS!$A$6:$A$1005,0))),""))</f>
        <v/>
      </c>
      <c r="O1382" s="33">
        <f>IF($D1382="","",IFERROR(IF(INDEX(RUNS!$H$6:$H$1005,MATCH($D1382,RUNS!$A$6:$A$1005,0))="","",INDEX(RUNS!$H$6:$H$1005,MATCH($D1382,RUNS!$A$6:$A$1005,0))),""))</f>
        <v/>
      </c>
      <c r="P1382" s="33">
        <f>IF($D1382="","",IFERROR(IF(INDEX(RUNS!$J$6:$J$1005,MATCH($D1382,RUNS!$A$6:$A$1005,0))="","",INDEX(RUNS!$J$6:$J$1005,MATCH($D1382,RUNS!$A$6:$A$1005,0))),""))</f>
        <v/>
      </c>
      <c r="Q1382" s="33">
        <f>IF($D1382="","",IFERROR(IF(INDEX(RUNS!$K$6:$K$1005,MATCH($D1382,RUNS!$A$6:$A$1005,0))="","",INDEX(RUNS!$K$6:$K$1005,MATCH($D1382,RUNS!$A$6:$A$1005,0))),""))</f>
        <v/>
      </c>
      <c r="R1382" s="34">
        <f>IF(OR($L1382="",$K1382=""),"",IFERROR(IF(INDEX(PARAMETRES!$H$43:$H$342,MATCH($L1382&amp;"|"&amp;$M1382&amp;"|"&amp;$N1382&amp;"|"&amp;$O1382&amp;"|"&amp;$P1382&amp;"|"&amp;$Q1382&amp;"|"&amp;$K1382,PARAMETRES!$J$43:$J$342,0))="","",INDEX(PARAMETRES!$H$43:$H$342,MATCH($L1382&amp;"|"&amp;$M1382&amp;"|"&amp;$N1382&amp;"|"&amp;$O1382&amp;"|"&amp;$P1382&amp;"|"&amp;$Q1382&amp;"|"&amp;$K1382,PARAMETRES!$J$43:$J$342,0))),""))</f>
        <v/>
      </c>
      <c r="S1382" s="35">
        <f>IF(OR($G1382="",$X1382&lt;&gt;"VALIDE"),"",IFERROR(LOOKUP(2,1/(($B482:$B1381=$B1382)*($G482:$G1381=$G1382)*($X482:$X1381="VALIDE")),$C482:$C1381),""))</f>
        <v/>
      </c>
      <c r="T1382" s="36">
        <f>IF(OR($C1382="",$S1382=""),"",ROUND(($C1382-$S1382+IF($C1382&lt;$S1382,1,0))*1440,0))</f>
        <v/>
      </c>
      <c r="U1382" s="22">
        <f>IF(OR($H1382="",$T1382="",$T1382&lt;=0),"",$H1382*60/$T1382)</f>
        <v/>
      </c>
      <c r="V1382" s="37">
        <f>IF(OR($U1382="",$R1382="",$R1382=0),"",$U1382/$R1382)</f>
        <v/>
      </c>
      <c r="W1382" s="20">
        <f>IF($G1382="","",IF($X1382="CONTEXTE INCOMPLET","CONTEXTE INCOMPLET",IF($X1382="DOUBLON",StatutDoublon,IF($S1382="",StatutInitial,IF($R1382="",StatutStandardManquant,IF($V1382="","DONNEES INSUFFISANTES",IF($V1382&gt;=SeuilConforme,StatutConforme,IF($V1382&gt;=SeuilSurveiller,StatutSurveiller,StatutSousStandard))))))))</f>
        <v/>
      </c>
      <c r="X1382" s="33">
        <f>IF($G1382="","",IF(OR($D1382="",$E1382="",$F1382=""),"CONTEXTE INCOMPLET",IF(COUNTIFS($D482:$D1381,$D1382,$E482:$E1381,$E1382,$F482:$F1381,$F1382,$G482:$G1381,$G1382)&gt;0,"DOUBLON","VALIDE")))</f>
        <v/>
      </c>
    </row>
    <row r="1383" ht="15" customHeight="1">
      <c r="A1383" s="12">
        <f>IF(OR($B1383="",$G1383=""),"",TEXT($B1383,"YYYYMMDD")&amp;"-"&amp;SUBSTITUTE($E1383," ","")&amp;"-"&amp;$F1383&amp;"-"&amp;$G1383)</f>
        <v/>
      </c>
      <c r="B1383" s="15" t="n"/>
      <c r="C1383" s="16" t="n"/>
      <c r="D1383" s="10" t="n"/>
      <c r="E1383" s="9" t="n"/>
      <c r="F1383" s="9" t="n"/>
      <c r="G1383" s="13" t="n"/>
      <c r="H1383" s="21" t="n"/>
      <c r="I1383" s="21" t="n"/>
      <c r="J1383" s="17">
        <f>IF($G1383="","",IFERROR(INDEX(NomsEmployes,MATCH($G1383,MatriculesEmployes,0)),"MATRICULE INCONNU"))</f>
        <v/>
      </c>
      <c r="K1383" s="33">
        <f>IF(OR($D1383="",$F1383=""),"",IFERROR(IF(INDEX(RUNS!$L$6:$S$1005,MATCH($D1383,RUNS!$A$6:$A$1005,0),MATCH("ACTIVITÉ "&amp;$F1383,RUNS!$L$5:$S$5,0))="","",INDEX(RUNS!$L$6:$S$1005,MATCH($D1383,RUNS!$A$6:$A$1005,0),MATCH("ACTIVITÉ "&amp;$F1383,RUNS!$L$5:$S$5,0))),""))</f>
        <v/>
      </c>
      <c r="L1383" s="33">
        <f>IF($D1383="","",IFERROR(IF(INDEX(RUNS!$E$6:$E$1005,MATCH($D1383,RUNS!$A$6:$A$1005,0))="","",INDEX(RUNS!$E$6:$E$1005,MATCH($D1383,RUNS!$A$6:$A$1005,0))),""))</f>
        <v/>
      </c>
      <c r="M1383" s="33">
        <f>IF($D1383="","",IFERROR(IF(INDEX(RUNS!$F$6:$F$1005,MATCH($D1383,RUNS!$A$6:$A$1005,0))="","",INDEX(RUNS!$F$6:$F$1005,MATCH($D1383,RUNS!$A$6:$A$1005,0))),""))</f>
        <v/>
      </c>
      <c r="N1383" s="33">
        <f>IF($D1383="","",IFERROR(IF(INDEX(RUNS!$G$6:$G$1005,MATCH($D1383,RUNS!$A$6:$A$1005,0))="","",INDEX(RUNS!$G$6:$G$1005,MATCH($D1383,RUNS!$A$6:$A$1005,0))),""))</f>
        <v/>
      </c>
      <c r="O1383" s="33">
        <f>IF($D1383="","",IFERROR(IF(INDEX(RUNS!$H$6:$H$1005,MATCH($D1383,RUNS!$A$6:$A$1005,0))="","",INDEX(RUNS!$H$6:$H$1005,MATCH($D1383,RUNS!$A$6:$A$1005,0))),""))</f>
        <v/>
      </c>
      <c r="P1383" s="33">
        <f>IF($D1383="","",IFERROR(IF(INDEX(RUNS!$J$6:$J$1005,MATCH($D1383,RUNS!$A$6:$A$1005,0))="","",INDEX(RUNS!$J$6:$J$1005,MATCH($D1383,RUNS!$A$6:$A$1005,0))),""))</f>
        <v/>
      </c>
      <c r="Q1383" s="33">
        <f>IF($D1383="","",IFERROR(IF(INDEX(RUNS!$K$6:$K$1005,MATCH($D1383,RUNS!$A$6:$A$1005,0))="","",INDEX(RUNS!$K$6:$K$1005,MATCH($D1383,RUNS!$A$6:$A$1005,0))),""))</f>
        <v/>
      </c>
      <c r="R1383" s="34">
        <f>IF(OR($L1383="",$K1383=""),"",IFERROR(IF(INDEX(PARAMETRES!$H$43:$H$342,MATCH($L1383&amp;"|"&amp;$M1383&amp;"|"&amp;$N1383&amp;"|"&amp;$O1383&amp;"|"&amp;$P1383&amp;"|"&amp;$Q1383&amp;"|"&amp;$K1383,PARAMETRES!$J$43:$J$342,0))="","",INDEX(PARAMETRES!$H$43:$H$342,MATCH($L1383&amp;"|"&amp;$M1383&amp;"|"&amp;$N1383&amp;"|"&amp;$O1383&amp;"|"&amp;$P1383&amp;"|"&amp;$Q1383&amp;"|"&amp;$K1383,PARAMETRES!$J$43:$J$342,0))),""))</f>
        <v/>
      </c>
      <c r="S1383" s="35">
        <f>IF(OR($G1383="",$X1383&lt;&gt;"VALIDE"),"",IFERROR(LOOKUP(2,1/(($B483:$B1382=$B1383)*($G483:$G1382=$G1383)*($X483:$X1382="VALIDE")),$C483:$C1382),""))</f>
        <v/>
      </c>
      <c r="T1383" s="36">
        <f>IF(OR($C1383="",$S1383=""),"",ROUND(($C1383-$S1383+IF($C1383&lt;$S1383,1,0))*1440,0))</f>
        <v/>
      </c>
      <c r="U1383" s="22">
        <f>IF(OR($H1383="",$T1383="",$T1383&lt;=0),"",$H1383*60/$T1383)</f>
        <v/>
      </c>
      <c r="V1383" s="37">
        <f>IF(OR($U1383="",$R1383="",$R1383=0),"",$U1383/$R1383)</f>
        <v/>
      </c>
      <c r="W1383" s="20">
        <f>IF($G1383="","",IF($X1383="CONTEXTE INCOMPLET","CONTEXTE INCOMPLET",IF($X1383="DOUBLON",StatutDoublon,IF($S1383="",StatutInitial,IF($R1383="",StatutStandardManquant,IF($V1383="","DONNEES INSUFFISANTES",IF($V1383&gt;=SeuilConforme,StatutConforme,IF($V1383&gt;=SeuilSurveiller,StatutSurveiller,StatutSousStandard))))))))</f>
        <v/>
      </c>
      <c r="X1383" s="33">
        <f>IF($G1383="","",IF(OR($D1383="",$E1383="",$F1383=""),"CONTEXTE INCOMPLET",IF(COUNTIFS($D483:$D1382,$D1383,$E483:$E1382,$E1383,$F483:$F1382,$F1383,$G483:$G1382,$G1383)&gt;0,"DOUBLON","VALIDE")))</f>
        <v/>
      </c>
    </row>
    <row r="1384" ht="15" customHeight="1">
      <c r="A1384" s="12">
        <f>IF(OR($B1384="",$G1384=""),"",TEXT($B1384,"YYYYMMDD")&amp;"-"&amp;SUBSTITUTE($E1384," ","")&amp;"-"&amp;$F1384&amp;"-"&amp;$G1384)</f>
        <v/>
      </c>
      <c r="B1384" s="15" t="n"/>
      <c r="C1384" s="16" t="n"/>
      <c r="D1384" s="10" t="n"/>
      <c r="E1384" s="9" t="n"/>
      <c r="F1384" s="9" t="n"/>
      <c r="G1384" s="13" t="n"/>
      <c r="H1384" s="21" t="n"/>
      <c r="I1384" s="21" t="n"/>
      <c r="J1384" s="17">
        <f>IF($G1384="","",IFERROR(INDEX(NomsEmployes,MATCH($G1384,MatriculesEmployes,0)),"MATRICULE INCONNU"))</f>
        <v/>
      </c>
      <c r="K1384" s="33">
        <f>IF(OR($D1384="",$F1384=""),"",IFERROR(IF(INDEX(RUNS!$L$6:$S$1005,MATCH($D1384,RUNS!$A$6:$A$1005,0),MATCH("ACTIVITÉ "&amp;$F1384,RUNS!$L$5:$S$5,0))="","",INDEX(RUNS!$L$6:$S$1005,MATCH($D1384,RUNS!$A$6:$A$1005,0),MATCH("ACTIVITÉ "&amp;$F1384,RUNS!$L$5:$S$5,0))),""))</f>
        <v/>
      </c>
      <c r="L1384" s="33">
        <f>IF($D1384="","",IFERROR(IF(INDEX(RUNS!$E$6:$E$1005,MATCH($D1384,RUNS!$A$6:$A$1005,0))="","",INDEX(RUNS!$E$6:$E$1005,MATCH($D1384,RUNS!$A$6:$A$1005,0))),""))</f>
        <v/>
      </c>
      <c r="M1384" s="33">
        <f>IF($D1384="","",IFERROR(IF(INDEX(RUNS!$F$6:$F$1005,MATCH($D1384,RUNS!$A$6:$A$1005,0))="","",INDEX(RUNS!$F$6:$F$1005,MATCH($D1384,RUNS!$A$6:$A$1005,0))),""))</f>
        <v/>
      </c>
      <c r="N1384" s="33">
        <f>IF($D1384="","",IFERROR(IF(INDEX(RUNS!$G$6:$G$1005,MATCH($D1384,RUNS!$A$6:$A$1005,0))="","",INDEX(RUNS!$G$6:$G$1005,MATCH($D1384,RUNS!$A$6:$A$1005,0))),""))</f>
        <v/>
      </c>
      <c r="O1384" s="33">
        <f>IF($D1384="","",IFERROR(IF(INDEX(RUNS!$H$6:$H$1005,MATCH($D1384,RUNS!$A$6:$A$1005,0))="","",INDEX(RUNS!$H$6:$H$1005,MATCH($D1384,RUNS!$A$6:$A$1005,0))),""))</f>
        <v/>
      </c>
      <c r="P1384" s="33">
        <f>IF($D1384="","",IFERROR(IF(INDEX(RUNS!$J$6:$J$1005,MATCH($D1384,RUNS!$A$6:$A$1005,0))="","",INDEX(RUNS!$J$6:$J$1005,MATCH($D1384,RUNS!$A$6:$A$1005,0))),""))</f>
        <v/>
      </c>
      <c r="Q1384" s="33">
        <f>IF($D1384="","",IFERROR(IF(INDEX(RUNS!$K$6:$K$1005,MATCH($D1384,RUNS!$A$6:$A$1005,0))="","",INDEX(RUNS!$K$6:$K$1005,MATCH($D1384,RUNS!$A$6:$A$1005,0))),""))</f>
        <v/>
      </c>
      <c r="R1384" s="34">
        <f>IF(OR($L1384="",$K1384=""),"",IFERROR(IF(INDEX(PARAMETRES!$H$43:$H$342,MATCH($L1384&amp;"|"&amp;$M1384&amp;"|"&amp;$N1384&amp;"|"&amp;$O1384&amp;"|"&amp;$P1384&amp;"|"&amp;$Q1384&amp;"|"&amp;$K1384,PARAMETRES!$J$43:$J$342,0))="","",INDEX(PARAMETRES!$H$43:$H$342,MATCH($L1384&amp;"|"&amp;$M1384&amp;"|"&amp;$N1384&amp;"|"&amp;$O1384&amp;"|"&amp;$P1384&amp;"|"&amp;$Q1384&amp;"|"&amp;$K1384,PARAMETRES!$J$43:$J$342,0))),""))</f>
        <v/>
      </c>
      <c r="S1384" s="35">
        <f>IF(OR($G1384="",$X1384&lt;&gt;"VALIDE"),"",IFERROR(LOOKUP(2,1/(($B484:$B1383=$B1384)*($G484:$G1383=$G1384)*($X484:$X1383="VALIDE")),$C484:$C1383),""))</f>
        <v/>
      </c>
      <c r="T1384" s="36">
        <f>IF(OR($C1384="",$S1384=""),"",ROUND(($C1384-$S1384+IF($C1384&lt;$S1384,1,0))*1440,0))</f>
        <v/>
      </c>
      <c r="U1384" s="22">
        <f>IF(OR($H1384="",$T1384="",$T1384&lt;=0),"",$H1384*60/$T1384)</f>
        <v/>
      </c>
      <c r="V1384" s="37">
        <f>IF(OR($U1384="",$R1384="",$R1384=0),"",$U1384/$R1384)</f>
        <v/>
      </c>
      <c r="W1384" s="20">
        <f>IF($G1384="","",IF($X1384="CONTEXTE INCOMPLET","CONTEXTE INCOMPLET",IF($X1384="DOUBLON",StatutDoublon,IF($S1384="",StatutInitial,IF($R1384="",StatutStandardManquant,IF($V1384="","DONNEES INSUFFISANTES",IF($V1384&gt;=SeuilConforme,StatutConforme,IF($V1384&gt;=SeuilSurveiller,StatutSurveiller,StatutSousStandard))))))))</f>
        <v/>
      </c>
      <c r="X1384" s="33">
        <f>IF($G1384="","",IF(OR($D1384="",$E1384="",$F1384=""),"CONTEXTE INCOMPLET",IF(COUNTIFS($D484:$D1383,$D1384,$E484:$E1383,$E1384,$F484:$F1383,$F1384,$G484:$G1383,$G1384)&gt;0,"DOUBLON","VALIDE")))</f>
        <v/>
      </c>
    </row>
    <row r="1385" ht="15" customHeight="1">
      <c r="A1385" s="12">
        <f>IF(OR($B1385="",$G1385=""),"",TEXT($B1385,"YYYYMMDD")&amp;"-"&amp;SUBSTITUTE($E1385," ","")&amp;"-"&amp;$F1385&amp;"-"&amp;$G1385)</f>
        <v/>
      </c>
      <c r="B1385" s="15" t="n"/>
      <c r="C1385" s="16" t="n"/>
      <c r="D1385" s="10" t="n"/>
      <c r="E1385" s="9" t="n"/>
      <c r="F1385" s="9" t="n"/>
      <c r="G1385" s="13" t="n"/>
      <c r="H1385" s="21" t="n"/>
      <c r="I1385" s="21" t="n"/>
      <c r="J1385" s="17">
        <f>IF($G1385="","",IFERROR(INDEX(NomsEmployes,MATCH($G1385,MatriculesEmployes,0)),"MATRICULE INCONNU"))</f>
        <v/>
      </c>
      <c r="K1385" s="33">
        <f>IF(OR($D1385="",$F1385=""),"",IFERROR(IF(INDEX(RUNS!$L$6:$S$1005,MATCH($D1385,RUNS!$A$6:$A$1005,0),MATCH("ACTIVITÉ "&amp;$F1385,RUNS!$L$5:$S$5,0))="","",INDEX(RUNS!$L$6:$S$1005,MATCH($D1385,RUNS!$A$6:$A$1005,0),MATCH("ACTIVITÉ "&amp;$F1385,RUNS!$L$5:$S$5,0))),""))</f>
        <v/>
      </c>
      <c r="L1385" s="33">
        <f>IF($D1385="","",IFERROR(IF(INDEX(RUNS!$E$6:$E$1005,MATCH($D1385,RUNS!$A$6:$A$1005,0))="","",INDEX(RUNS!$E$6:$E$1005,MATCH($D1385,RUNS!$A$6:$A$1005,0))),""))</f>
        <v/>
      </c>
      <c r="M1385" s="33">
        <f>IF($D1385="","",IFERROR(IF(INDEX(RUNS!$F$6:$F$1005,MATCH($D1385,RUNS!$A$6:$A$1005,0))="","",INDEX(RUNS!$F$6:$F$1005,MATCH($D1385,RUNS!$A$6:$A$1005,0))),""))</f>
        <v/>
      </c>
      <c r="N1385" s="33">
        <f>IF($D1385="","",IFERROR(IF(INDEX(RUNS!$G$6:$G$1005,MATCH($D1385,RUNS!$A$6:$A$1005,0))="","",INDEX(RUNS!$G$6:$G$1005,MATCH($D1385,RUNS!$A$6:$A$1005,0))),""))</f>
        <v/>
      </c>
      <c r="O1385" s="33">
        <f>IF($D1385="","",IFERROR(IF(INDEX(RUNS!$H$6:$H$1005,MATCH($D1385,RUNS!$A$6:$A$1005,0))="","",INDEX(RUNS!$H$6:$H$1005,MATCH($D1385,RUNS!$A$6:$A$1005,0))),""))</f>
        <v/>
      </c>
      <c r="P1385" s="33">
        <f>IF($D1385="","",IFERROR(IF(INDEX(RUNS!$J$6:$J$1005,MATCH($D1385,RUNS!$A$6:$A$1005,0))="","",INDEX(RUNS!$J$6:$J$1005,MATCH($D1385,RUNS!$A$6:$A$1005,0))),""))</f>
        <v/>
      </c>
      <c r="Q1385" s="33">
        <f>IF($D1385="","",IFERROR(IF(INDEX(RUNS!$K$6:$K$1005,MATCH($D1385,RUNS!$A$6:$A$1005,0))="","",INDEX(RUNS!$K$6:$K$1005,MATCH($D1385,RUNS!$A$6:$A$1005,0))),""))</f>
        <v/>
      </c>
      <c r="R1385" s="34">
        <f>IF(OR($L1385="",$K1385=""),"",IFERROR(IF(INDEX(PARAMETRES!$H$43:$H$342,MATCH($L1385&amp;"|"&amp;$M1385&amp;"|"&amp;$N1385&amp;"|"&amp;$O1385&amp;"|"&amp;$P1385&amp;"|"&amp;$Q1385&amp;"|"&amp;$K1385,PARAMETRES!$J$43:$J$342,0))="","",INDEX(PARAMETRES!$H$43:$H$342,MATCH($L1385&amp;"|"&amp;$M1385&amp;"|"&amp;$N1385&amp;"|"&amp;$O1385&amp;"|"&amp;$P1385&amp;"|"&amp;$Q1385&amp;"|"&amp;$K1385,PARAMETRES!$J$43:$J$342,0))),""))</f>
        <v/>
      </c>
      <c r="S1385" s="35">
        <f>IF(OR($G1385="",$X1385&lt;&gt;"VALIDE"),"",IFERROR(LOOKUP(2,1/(($B485:$B1384=$B1385)*($G485:$G1384=$G1385)*($X485:$X1384="VALIDE")),$C485:$C1384),""))</f>
        <v/>
      </c>
      <c r="T1385" s="36">
        <f>IF(OR($C1385="",$S1385=""),"",ROUND(($C1385-$S1385+IF($C1385&lt;$S1385,1,0))*1440,0))</f>
        <v/>
      </c>
      <c r="U1385" s="22">
        <f>IF(OR($H1385="",$T1385="",$T1385&lt;=0),"",$H1385*60/$T1385)</f>
        <v/>
      </c>
      <c r="V1385" s="37">
        <f>IF(OR($U1385="",$R1385="",$R1385=0),"",$U1385/$R1385)</f>
        <v/>
      </c>
      <c r="W1385" s="20">
        <f>IF($G1385="","",IF($X1385="CONTEXTE INCOMPLET","CONTEXTE INCOMPLET",IF($X1385="DOUBLON",StatutDoublon,IF($S1385="",StatutInitial,IF($R1385="",StatutStandardManquant,IF($V1385="","DONNEES INSUFFISANTES",IF($V1385&gt;=SeuilConforme,StatutConforme,IF($V1385&gt;=SeuilSurveiller,StatutSurveiller,StatutSousStandard))))))))</f>
        <v/>
      </c>
      <c r="X1385" s="33">
        <f>IF($G1385="","",IF(OR($D1385="",$E1385="",$F1385=""),"CONTEXTE INCOMPLET",IF(COUNTIFS($D485:$D1384,$D1385,$E485:$E1384,$E1385,$F485:$F1384,$F1385,$G485:$G1384,$G1385)&gt;0,"DOUBLON","VALIDE")))</f>
        <v/>
      </c>
    </row>
    <row r="1386" ht="15" customHeight="1">
      <c r="A1386" s="12">
        <f>IF(OR($B1386="",$G1386=""),"",TEXT($B1386,"YYYYMMDD")&amp;"-"&amp;SUBSTITUTE($E1386," ","")&amp;"-"&amp;$F1386&amp;"-"&amp;$G1386)</f>
        <v/>
      </c>
      <c r="B1386" s="15" t="n"/>
      <c r="C1386" s="16" t="n"/>
      <c r="D1386" s="10" t="n"/>
      <c r="E1386" s="9" t="n"/>
      <c r="F1386" s="9" t="n"/>
      <c r="G1386" s="13" t="n"/>
      <c r="H1386" s="21" t="n"/>
      <c r="I1386" s="21" t="n"/>
      <c r="J1386" s="17">
        <f>IF($G1386="","",IFERROR(INDEX(NomsEmployes,MATCH($G1386,MatriculesEmployes,0)),"MATRICULE INCONNU"))</f>
        <v/>
      </c>
      <c r="K1386" s="33">
        <f>IF(OR($D1386="",$F1386=""),"",IFERROR(IF(INDEX(RUNS!$L$6:$S$1005,MATCH($D1386,RUNS!$A$6:$A$1005,0),MATCH("ACTIVITÉ "&amp;$F1386,RUNS!$L$5:$S$5,0))="","",INDEX(RUNS!$L$6:$S$1005,MATCH($D1386,RUNS!$A$6:$A$1005,0),MATCH("ACTIVITÉ "&amp;$F1386,RUNS!$L$5:$S$5,0))),""))</f>
        <v/>
      </c>
      <c r="L1386" s="33">
        <f>IF($D1386="","",IFERROR(IF(INDEX(RUNS!$E$6:$E$1005,MATCH($D1386,RUNS!$A$6:$A$1005,0))="","",INDEX(RUNS!$E$6:$E$1005,MATCH($D1386,RUNS!$A$6:$A$1005,0))),""))</f>
        <v/>
      </c>
      <c r="M1386" s="33">
        <f>IF($D1386="","",IFERROR(IF(INDEX(RUNS!$F$6:$F$1005,MATCH($D1386,RUNS!$A$6:$A$1005,0))="","",INDEX(RUNS!$F$6:$F$1005,MATCH($D1386,RUNS!$A$6:$A$1005,0))),""))</f>
        <v/>
      </c>
      <c r="N1386" s="33">
        <f>IF($D1386="","",IFERROR(IF(INDEX(RUNS!$G$6:$G$1005,MATCH($D1386,RUNS!$A$6:$A$1005,0))="","",INDEX(RUNS!$G$6:$G$1005,MATCH($D1386,RUNS!$A$6:$A$1005,0))),""))</f>
        <v/>
      </c>
      <c r="O1386" s="33">
        <f>IF($D1386="","",IFERROR(IF(INDEX(RUNS!$H$6:$H$1005,MATCH($D1386,RUNS!$A$6:$A$1005,0))="","",INDEX(RUNS!$H$6:$H$1005,MATCH($D1386,RUNS!$A$6:$A$1005,0))),""))</f>
        <v/>
      </c>
      <c r="P1386" s="33">
        <f>IF($D1386="","",IFERROR(IF(INDEX(RUNS!$J$6:$J$1005,MATCH($D1386,RUNS!$A$6:$A$1005,0))="","",INDEX(RUNS!$J$6:$J$1005,MATCH($D1386,RUNS!$A$6:$A$1005,0))),""))</f>
        <v/>
      </c>
      <c r="Q1386" s="33">
        <f>IF($D1386="","",IFERROR(IF(INDEX(RUNS!$K$6:$K$1005,MATCH($D1386,RUNS!$A$6:$A$1005,0))="","",INDEX(RUNS!$K$6:$K$1005,MATCH($D1386,RUNS!$A$6:$A$1005,0))),""))</f>
        <v/>
      </c>
      <c r="R1386" s="34">
        <f>IF(OR($L1386="",$K1386=""),"",IFERROR(IF(INDEX(PARAMETRES!$H$43:$H$342,MATCH($L1386&amp;"|"&amp;$M1386&amp;"|"&amp;$N1386&amp;"|"&amp;$O1386&amp;"|"&amp;$P1386&amp;"|"&amp;$Q1386&amp;"|"&amp;$K1386,PARAMETRES!$J$43:$J$342,0))="","",INDEX(PARAMETRES!$H$43:$H$342,MATCH($L1386&amp;"|"&amp;$M1386&amp;"|"&amp;$N1386&amp;"|"&amp;$O1386&amp;"|"&amp;$P1386&amp;"|"&amp;$Q1386&amp;"|"&amp;$K1386,PARAMETRES!$J$43:$J$342,0))),""))</f>
        <v/>
      </c>
      <c r="S1386" s="35">
        <f>IF(OR($G1386="",$X1386&lt;&gt;"VALIDE"),"",IFERROR(LOOKUP(2,1/(($B486:$B1385=$B1386)*($G486:$G1385=$G1386)*($X486:$X1385="VALIDE")),$C486:$C1385),""))</f>
        <v/>
      </c>
      <c r="T1386" s="36">
        <f>IF(OR($C1386="",$S1386=""),"",ROUND(($C1386-$S1386+IF($C1386&lt;$S1386,1,0))*1440,0))</f>
        <v/>
      </c>
      <c r="U1386" s="22">
        <f>IF(OR($H1386="",$T1386="",$T1386&lt;=0),"",$H1386*60/$T1386)</f>
        <v/>
      </c>
      <c r="V1386" s="37">
        <f>IF(OR($U1386="",$R1386="",$R1386=0),"",$U1386/$R1386)</f>
        <v/>
      </c>
      <c r="W1386" s="20">
        <f>IF($G1386="","",IF($X1386="CONTEXTE INCOMPLET","CONTEXTE INCOMPLET",IF($X1386="DOUBLON",StatutDoublon,IF($S1386="",StatutInitial,IF($R1386="",StatutStandardManquant,IF($V1386="","DONNEES INSUFFISANTES",IF($V1386&gt;=SeuilConforme,StatutConforme,IF($V1386&gt;=SeuilSurveiller,StatutSurveiller,StatutSousStandard))))))))</f>
        <v/>
      </c>
      <c r="X1386" s="33">
        <f>IF($G1386="","",IF(OR($D1386="",$E1386="",$F1386=""),"CONTEXTE INCOMPLET",IF(COUNTIFS($D486:$D1385,$D1386,$E486:$E1385,$E1386,$F486:$F1385,$F1386,$G486:$G1385,$G1386)&gt;0,"DOUBLON","VALIDE")))</f>
        <v/>
      </c>
    </row>
    <row r="1387" ht="15" customHeight="1">
      <c r="A1387" s="12">
        <f>IF(OR($B1387="",$G1387=""),"",TEXT($B1387,"YYYYMMDD")&amp;"-"&amp;SUBSTITUTE($E1387," ","")&amp;"-"&amp;$F1387&amp;"-"&amp;$G1387)</f>
        <v/>
      </c>
      <c r="B1387" s="15" t="n"/>
      <c r="C1387" s="16" t="n"/>
      <c r="D1387" s="10" t="n"/>
      <c r="E1387" s="9" t="n"/>
      <c r="F1387" s="9" t="n"/>
      <c r="G1387" s="13" t="n"/>
      <c r="H1387" s="21" t="n"/>
      <c r="I1387" s="21" t="n"/>
      <c r="J1387" s="17">
        <f>IF($G1387="","",IFERROR(INDEX(NomsEmployes,MATCH($G1387,MatriculesEmployes,0)),"MATRICULE INCONNU"))</f>
        <v/>
      </c>
      <c r="K1387" s="33">
        <f>IF(OR($D1387="",$F1387=""),"",IFERROR(IF(INDEX(RUNS!$L$6:$S$1005,MATCH($D1387,RUNS!$A$6:$A$1005,0),MATCH("ACTIVITÉ "&amp;$F1387,RUNS!$L$5:$S$5,0))="","",INDEX(RUNS!$L$6:$S$1005,MATCH($D1387,RUNS!$A$6:$A$1005,0),MATCH("ACTIVITÉ "&amp;$F1387,RUNS!$L$5:$S$5,0))),""))</f>
        <v/>
      </c>
      <c r="L1387" s="33">
        <f>IF($D1387="","",IFERROR(IF(INDEX(RUNS!$E$6:$E$1005,MATCH($D1387,RUNS!$A$6:$A$1005,0))="","",INDEX(RUNS!$E$6:$E$1005,MATCH($D1387,RUNS!$A$6:$A$1005,0))),""))</f>
        <v/>
      </c>
      <c r="M1387" s="33">
        <f>IF($D1387="","",IFERROR(IF(INDEX(RUNS!$F$6:$F$1005,MATCH($D1387,RUNS!$A$6:$A$1005,0))="","",INDEX(RUNS!$F$6:$F$1005,MATCH($D1387,RUNS!$A$6:$A$1005,0))),""))</f>
        <v/>
      </c>
      <c r="N1387" s="33">
        <f>IF($D1387="","",IFERROR(IF(INDEX(RUNS!$G$6:$G$1005,MATCH($D1387,RUNS!$A$6:$A$1005,0))="","",INDEX(RUNS!$G$6:$G$1005,MATCH($D1387,RUNS!$A$6:$A$1005,0))),""))</f>
        <v/>
      </c>
      <c r="O1387" s="33">
        <f>IF($D1387="","",IFERROR(IF(INDEX(RUNS!$H$6:$H$1005,MATCH($D1387,RUNS!$A$6:$A$1005,0))="","",INDEX(RUNS!$H$6:$H$1005,MATCH($D1387,RUNS!$A$6:$A$1005,0))),""))</f>
        <v/>
      </c>
      <c r="P1387" s="33">
        <f>IF($D1387="","",IFERROR(IF(INDEX(RUNS!$J$6:$J$1005,MATCH($D1387,RUNS!$A$6:$A$1005,0))="","",INDEX(RUNS!$J$6:$J$1005,MATCH($D1387,RUNS!$A$6:$A$1005,0))),""))</f>
        <v/>
      </c>
      <c r="Q1387" s="33">
        <f>IF($D1387="","",IFERROR(IF(INDEX(RUNS!$K$6:$K$1005,MATCH($D1387,RUNS!$A$6:$A$1005,0))="","",INDEX(RUNS!$K$6:$K$1005,MATCH($D1387,RUNS!$A$6:$A$1005,0))),""))</f>
        <v/>
      </c>
      <c r="R1387" s="34">
        <f>IF(OR($L1387="",$K1387=""),"",IFERROR(IF(INDEX(PARAMETRES!$H$43:$H$342,MATCH($L1387&amp;"|"&amp;$M1387&amp;"|"&amp;$N1387&amp;"|"&amp;$O1387&amp;"|"&amp;$P1387&amp;"|"&amp;$Q1387&amp;"|"&amp;$K1387,PARAMETRES!$J$43:$J$342,0))="","",INDEX(PARAMETRES!$H$43:$H$342,MATCH($L1387&amp;"|"&amp;$M1387&amp;"|"&amp;$N1387&amp;"|"&amp;$O1387&amp;"|"&amp;$P1387&amp;"|"&amp;$Q1387&amp;"|"&amp;$K1387,PARAMETRES!$J$43:$J$342,0))),""))</f>
        <v/>
      </c>
      <c r="S1387" s="35">
        <f>IF(OR($G1387="",$X1387&lt;&gt;"VALIDE"),"",IFERROR(LOOKUP(2,1/(($B487:$B1386=$B1387)*($G487:$G1386=$G1387)*($X487:$X1386="VALIDE")),$C487:$C1386),""))</f>
        <v/>
      </c>
      <c r="T1387" s="36">
        <f>IF(OR($C1387="",$S1387=""),"",ROUND(($C1387-$S1387+IF($C1387&lt;$S1387,1,0))*1440,0))</f>
        <v/>
      </c>
      <c r="U1387" s="22">
        <f>IF(OR($H1387="",$T1387="",$T1387&lt;=0),"",$H1387*60/$T1387)</f>
        <v/>
      </c>
      <c r="V1387" s="37">
        <f>IF(OR($U1387="",$R1387="",$R1387=0),"",$U1387/$R1387)</f>
        <v/>
      </c>
      <c r="W1387" s="20">
        <f>IF($G1387="","",IF($X1387="CONTEXTE INCOMPLET","CONTEXTE INCOMPLET",IF($X1387="DOUBLON",StatutDoublon,IF($S1387="",StatutInitial,IF($R1387="",StatutStandardManquant,IF($V1387="","DONNEES INSUFFISANTES",IF($V1387&gt;=SeuilConforme,StatutConforme,IF($V1387&gt;=SeuilSurveiller,StatutSurveiller,StatutSousStandard))))))))</f>
        <v/>
      </c>
      <c r="X1387" s="33">
        <f>IF($G1387="","",IF(OR($D1387="",$E1387="",$F1387=""),"CONTEXTE INCOMPLET",IF(COUNTIFS($D487:$D1386,$D1387,$E487:$E1386,$E1387,$F487:$F1386,$F1387,$G487:$G1386,$G1387)&gt;0,"DOUBLON","VALIDE")))</f>
        <v/>
      </c>
    </row>
    <row r="1388" ht="15" customHeight="1">
      <c r="A1388" s="12">
        <f>IF(OR($B1388="",$G1388=""),"",TEXT($B1388,"YYYYMMDD")&amp;"-"&amp;SUBSTITUTE($E1388," ","")&amp;"-"&amp;$F1388&amp;"-"&amp;$G1388)</f>
        <v/>
      </c>
      <c r="B1388" s="15" t="n"/>
      <c r="C1388" s="16" t="n"/>
      <c r="D1388" s="10" t="n"/>
      <c r="E1388" s="9" t="n"/>
      <c r="F1388" s="9" t="n"/>
      <c r="G1388" s="13" t="n"/>
      <c r="H1388" s="21" t="n"/>
      <c r="I1388" s="21" t="n"/>
      <c r="J1388" s="17">
        <f>IF($G1388="","",IFERROR(INDEX(NomsEmployes,MATCH($G1388,MatriculesEmployes,0)),"MATRICULE INCONNU"))</f>
        <v/>
      </c>
      <c r="K1388" s="33">
        <f>IF(OR($D1388="",$F1388=""),"",IFERROR(IF(INDEX(RUNS!$L$6:$S$1005,MATCH($D1388,RUNS!$A$6:$A$1005,0),MATCH("ACTIVITÉ "&amp;$F1388,RUNS!$L$5:$S$5,0))="","",INDEX(RUNS!$L$6:$S$1005,MATCH($D1388,RUNS!$A$6:$A$1005,0),MATCH("ACTIVITÉ "&amp;$F1388,RUNS!$L$5:$S$5,0))),""))</f>
        <v/>
      </c>
      <c r="L1388" s="33">
        <f>IF($D1388="","",IFERROR(IF(INDEX(RUNS!$E$6:$E$1005,MATCH($D1388,RUNS!$A$6:$A$1005,0))="","",INDEX(RUNS!$E$6:$E$1005,MATCH($D1388,RUNS!$A$6:$A$1005,0))),""))</f>
        <v/>
      </c>
      <c r="M1388" s="33">
        <f>IF($D1388="","",IFERROR(IF(INDEX(RUNS!$F$6:$F$1005,MATCH($D1388,RUNS!$A$6:$A$1005,0))="","",INDEX(RUNS!$F$6:$F$1005,MATCH($D1388,RUNS!$A$6:$A$1005,0))),""))</f>
        <v/>
      </c>
      <c r="N1388" s="33">
        <f>IF($D1388="","",IFERROR(IF(INDEX(RUNS!$G$6:$G$1005,MATCH($D1388,RUNS!$A$6:$A$1005,0))="","",INDEX(RUNS!$G$6:$G$1005,MATCH($D1388,RUNS!$A$6:$A$1005,0))),""))</f>
        <v/>
      </c>
      <c r="O1388" s="33">
        <f>IF($D1388="","",IFERROR(IF(INDEX(RUNS!$H$6:$H$1005,MATCH($D1388,RUNS!$A$6:$A$1005,0))="","",INDEX(RUNS!$H$6:$H$1005,MATCH($D1388,RUNS!$A$6:$A$1005,0))),""))</f>
        <v/>
      </c>
      <c r="P1388" s="33">
        <f>IF($D1388="","",IFERROR(IF(INDEX(RUNS!$J$6:$J$1005,MATCH($D1388,RUNS!$A$6:$A$1005,0))="","",INDEX(RUNS!$J$6:$J$1005,MATCH($D1388,RUNS!$A$6:$A$1005,0))),""))</f>
        <v/>
      </c>
      <c r="Q1388" s="33">
        <f>IF($D1388="","",IFERROR(IF(INDEX(RUNS!$K$6:$K$1005,MATCH($D1388,RUNS!$A$6:$A$1005,0))="","",INDEX(RUNS!$K$6:$K$1005,MATCH($D1388,RUNS!$A$6:$A$1005,0))),""))</f>
        <v/>
      </c>
      <c r="R1388" s="34">
        <f>IF(OR($L1388="",$K1388=""),"",IFERROR(IF(INDEX(PARAMETRES!$H$43:$H$342,MATCH($L1388&amp;"|"&amp;$M1388&amp;"|"&amp;$N1388&amp;"|"&amp;$O1388&amp;"|"&amp;$P1388&amp;"|"&amp;$Q1388&amp;"|"&amp;$K1388,PARAMETRES!$J$43:$J$342,0))="","",INDEX(PARAMETRES!$H$43:$H$342,MATCH($L1388&amp;"|"&amp;$M1388&amp;"|"&amp;$N1388&amp;"|"&amp;$O1388&amp;"|"&amp;$P1388&amp;"|"&amp;$Q1388&amp;"|"&amp;$K1388,PARAMETRES!$J$43:$J$342,0))),""))</f>
        <v/>
      </c>
      <c r="S1388" s="35">
        <f>IF(OR($G1388="",$X1388&lt;&gt;"VALIDE"),"",IFERROR(LOOKUP(2,1/(($B488:$B1387=$B1388)*($G488:$G1387=$G1388)*($X488:$X1387="VALIDE")),$C488:$C1387),""))</f>
        <v/>
      </c>
      <c r="T1388" s="36">
        <f>IF(OR($C1388="",$S1388=""),"",ROUND(($C1388-$S1388+IF($C1388&lt;$S1388,1,0))*1440,0))</f>
        <v/>
      </c>
      <c r="U1388" s="22">
        <f>IF(OR($H1388="",$T1388="",$T1388&lt;=0),"",$H1388*60/$T1388)</f>
        <v/>
      </c>
      <c r="V1388" s="37">
        <f>IF(OR($U1388="",$R1388="",$R1388=0),"",$U1388/$R1388)</f>
        <v/>
      </c>
      <c r="W1388" s="20">
        <f>IF($G1388="","",IF($X1388="CONTEXTE INCOMPLET","CONTEXTE INCOMPLET",IF($X1388="DOUBLON",StatutDoublon,IF($S1388="",StatutInitial,IF($R1388="",StatutStandardManquant,IF($V1388="","DONNEES INSUFFISANTES",IF($V1388&gt;=SeuilConforme,StatutConforme,IF($V1388&gt;=SeuilSurveiller,StatutSurveiller,StatutSousStandard))))))))</f>
        <v/>
      </c>
      <c r="X1388" s="33">
        <f>IF($G1388="","",IF(OR($D1388="",$E1388="",$F1388=""),"CONTEXTE INCOMPLET",IF(COUNTIFS($D488:$D1387,$D1388,$E488:$E1387,$E1388,$F488:$F1387,$F1388,$G488:$G1387,$G1388)&gt;0,"DOUBLON","VALIDE")))</f>
        <v/>
      </c>
    </row>
    <row r="1389" ht="15" customHeight="1">
      <c r="A1389" s="12">
        <f>IF(OR($B1389="",$G1389=""),"",TEXT($B1389,"YYYYMMDD")&amp;"-"&amp;SUBSTITUTE($E1389," ","")&amp;"-"&amp;$F1389&amp;"-"&amp;$G1389)</f>
        <v/>
      </c>
      <c r="B1389" s="15" t="n"/>
      <c r="C1389" s="16" t="n"/>
      <c r="D1389" s="10" t="n"/>
      <c r="E1389" s="9" t="n"/>
      <c r="F1389" s="9" t="n"/>
      <c r="G1389" s="13" t="n"/>
      <c r="H1389" s="21" t="n"/>
      <c r="I1389" s="21" t="n"/>
      <c r="J1389" s="17">
        <f>IF($G1389="","",IFERROR(INDEX(NomsEmployes,MATCH($G1389,MatriculesEmployes,0)),"MATRICULE INCONNU"))</f>
        <v/>
      </c>
      <c r="K1389" s="33">
        <f>IF(OR($D1389="",$F1389=""),"",IFERROR(IF(INDEX(RUNS!$L$6:$S$1005,MATCH($D1389,RUNS!$A$6:$A$1005,0),MATCH("ACTIVITÉ "&amp;$F1389,RUNS!$L$5:$S$5,0))="","",INDEX(RUNS!$L$6:$S$1005,MATCH($D1389,RUNS!$A$6:$A$1005,0),MATCH("ACTIVITÉ "&amp;$F1389,RUNS!$L$5:$S$5,0))),""))</f>
        <v/>
      </c>
      <c r="L1389" s="33">
        <f>IF($D1389="","",IFERROR(IF(INDEX(RUNS!$E$6:$E$1005,MATCH($D1389,RUNS!$A$6:$A$1005,0))="","",INDEX(RUNS!$E$6:$E$1005,MATCH($D1389,RUNS!$A$6:$A$1005,0))),""))</f>
        <v/>
      </c>
      <c r="M1389" s="33">
        <f>IF($D1389="","",IFERROR(IF(INDEX(RUNS!$F$6:$F$1005,MATCH($D1389,RUNS!$A$6:$A$1005,0))="","",INDEX(RUNS!$F$6:$F$1005,MATCH($D1389,RUNS!$A$6:$A$1005,0))),""))</f>
        <v/>
      </c>
      <c r="N1389" s="33">
        <f>IF($D1389="","",IFERROR(IF(INDEX(RUNS!$G$6:$G$1005,MATCH($D1389,RUNS!$A$6:$A$1005,0))="","",INDEX(RUNS!$G$6:$G$1005,MATCH($D1389,RUNS!$A$6:$A$1005,0))),""))</f>
        <v/>
      </c>
      <c r="O1389" s="33">
        <f>IF($D1389="","",IFERROR(IF(INDEX(RUNS!$H$6:$H$1005,MATCH($D1389,RUNS!$A$6:$A$1005,0))="","",INDEX(RUNS!$H$6:$H$1005,MATCH($D1389,RUNS!$A$6:$A$1005,0))),""))</f>
        <v/>
      </c>
      <c r="P1389" s="33">
        <f>IF($D1389="","",IFERROR(IF(INDEX(RUNS!$J$6:$J$1005,MATCH($D1389,RUNS!$A$6:$A$1005,0))="","",INDEX(RUNS!$J$6:$J$1005,MATCH($D1389,RUNS!$A$6:$A$1005,0))),""))</f>
        <v/>
      </c>
      <c r="Q1389" s="33">
        <f>IF($D1389="","",IFERROR(IF(INDEX(RUNS!$K$6:$K$1005,MATCH($D1389,RUNS!$A$6:$A$1005,0))="","",INDEX(RUNS!$K$6:$K$1005,MATCH($D1389,RUNS!$A$6:$A$1005,0))),""))</f>
        <v/>
      </c>
      <c r="R1389" s="34">
        <f>IF(OR($L1389="",$K1389=""),"",IFERROR(IF(INDEX(PARAMETRES!$H$43:$H$342,MATCH($L1389&amp;"|"&amp;$M1389&amp;"|"&amp;$N1389&amp;"|"&amp;$O1389&amp;"|"&amp;$P1389&amp;"|"&amp;$Q1389&amp;"|"&amp;$K1389,PARAMETRES!$J$43:$J$342,0))="","",INDEX(PARAMETRES!$H$43:$H$342,MATCH($L1389&amp;"|"&amp;$M1389&amp;"|"&amp;$N1389&amp;"|"&amp;$O1389&amp;"|"&amp;$P1389&amp;"|"&amp;$Q1389&amp;"|"&amp;$K1389,PARAMETRES!$J$43:$J$342,0))),""))</f>
        <v/>
      </c>
      <c r="S1389" s="35">
        <f>IF(OR($G1389="",$X1389&lt;&gt;"VALIDE"),"",IFERROR(LOOKUP(2,1/(($B489:$B1388=$B1389)*($G489:$G1388=$G1389)*($X489:$X1388="VALIDE")),$C489:$C1388),""))</f>
        <v/>
      </c>
      <c r="T1389" s="36">
        <f>IF(OR($C1389="",$S1389=""),"",ROUND(($C1389-$S1389+IF($C1389&lt;$S1389,1,0))*1440,0))</f>
        <v/>
      </c>
      <c r="U1389" s="22">
        <f>IF(OR($H1389="",$T1389="",$T1389&lt;=0),"",$H1389*60/$T1389)</f>
        <v/>
      </c>
      <c r="V1389" s="37">
        <f>IF(OR($U1389="",$R1389="",$R1389=0),"",$U1389/$R1389)</f>
        <v/>
      </c>
      <c r="W1389" s="20">
        <f>IF($G1389="","",IF($X1389="CONTEXTE INCOMPLET","CONTEXTE INCOMPLET",IF($X1389="DOUBLON",StatutDoublon,IF($S1389="",StatutInitial,IF($R1389="",StatutStandardManquant,IF($V1389="","DONNEES INSUFFISANTES",IF($V1389&gt;=SeuilConforme,StatutConforme,IF($V1389&gt;=SeuilSurveiller,StatutSurveiller,StatutSousStandard))))))))</f>
        <v/>
      </c>
      <c r="X1389" s="33">
        <f>IF($G1389="","",IF(OR($D1389="",$E1389="",$F1389=""),"CONTEXTE INCOMPLET",IF(COUNTIFS($D489:$D1388,$D1389,$E489:$E1388,$E1389,$F489:$F1388,$F1389,$G489:$G1388,$G1389)&gt;0,"DOUBLON","VALIDE")))</f>
        <v/>
      </c>
    </row>
    <row r="1390" ht="15" customHeight="1">
      <c r="A1390" s="12">
        <f>IF(OR($B1390="",$G1390=""),"",TEXT($B1390,"YYYYMMDD")&amp;"-"&amp;SUBSTITUTE($E1390," ","")&amp;"-"&amp;$F1390&amp;"-"&amp;$G1390)</f>
        <v/>
      </c>
      <c r="B1390" s="15" t="n"/>
      <c r="C1390" s="16" t="n"/>
      <c r="D1390" s="10" t="n"/>
      <c r="E1390" s="9" t="n"/>
      <c r="F1390" s="9" t="n"/>
      <c r="G1390" s="13" t="n"/>
      <c r="H1390" s="21" t="n"/>
      <c r="I1390" s="21" t="n"/>
      <c r="J1390" s="17">
        <f>IF($G1390="","",IFERROR(INDEX(NomsEmployes,MATCH($G1390,MatriculesEmployes,0)),"MATRICULE INCONNU"))</f>
        <v/>
      </c>
      <c r="K1390" s="33">
        <f>IF(OR($D1390="",$F1390=""),"",IFERROR(IF(INDEX(RUNS!$L$6:$S$1005,MATCH($D1390,RUNS!$A$6:$A$1005,0),MATCH("ACTIVITÉ "&amp;$F1390,RUNS!$L$5:$S$5,0))="","",INDEX(RUNS!$L$6:$S$1005,MATCH($D1390,RUNS!$A$6:$A$1005,0),MATCH("ACTIVITÉ "&amp;$F1390,RUNS!$L$5:$S$5,0))),""))</f>
        <v/>
      </c>
      <c r="L1390" s="33">
        <f>IF($D1390="","",IFERROR(IF(INDEX(RUNS!$E$6:$E$1005,MATCH($D1390,RUNS!$A$6:$A$1005,0))="","",INDEX(RUNS!$E$6:$E$1005,MATCH($D1390,RUNS!$A$6:$A$1005,0))),""))</f>
        <v/>
      </c>
      <c r="M1390" s="33">
        <f>IF($D1390="","",IFERROR(IF(INDEX(RUNS!$F$6:$F$1005,MATCH($D1390,RUNS!$A$6:$A$1005,0))="","",INDEX(RUNS!$F$6:$F$1005,MATCH($D1390,RUNS!$A$6:$A$1005,0))),""))</f>
        <v/>
      </c>
      <c r="N1390" s="33">
        <f>IF($D1390="","",IFERROR(IF(INDEX(RUNS!$G$6:$G$1005,MATCH($D1390,RUNS!$A$6:$A$1005,0))="","",INDEX(RUNS!$G$6:$G$1005,MATCH($D1390,RUNS!$A$6:$A$1005,0))),""))</f>
        <v/>
      </c>
      <c r="O1390" s="33">
        <f>IF($D1390="","",IFERROR(IF(INDEX(RUNS!$H$6:$H$1005,MATCH($D1390,RUNS!$A$6:$A$1005,0))="","",INDEX(RUNS!$H$6:$H$1005,MATCH($D1390,RUNS!$A$6:$A$1005,0))),""))</f>
        <v/>
      </c>
      <c r="P1390" s="33">
        <f>IF($D1390="","",IFERROR(IF(INDEX(RUNS!$J$6:$J$1005,MATCH($D1390,RUNS!$A$6:$A$1005,0))="","",INDEX(RUNS!$J$6:$J$1005,MATCH($D1390,RUNS!$A$6:$A$1005,0))),""))</f>
        <v/>
      </c>
      <c r="Q1390" s="33">
        <f>IF($D1390="","",IFERROR(IF(INDEX(RUNS!$K$6:$K$1005,MATCH($D1390,RUNS!$A$6:$A$1005,0))="","",INDEX(RUNS!$K$6:$K$1005,MATCH($D1390,RUNS!$A$6:$A$1005,0))),""))</f>
        <v/>
      </c>
      <c r="R1390" s="34">
        <f>IF(OR($L1390="",$K1390=""),"",IFERROR(IF(INDEX(PARAMETRES!$H$43:$H$342,MATCH($L1390&amp;"|"&amp;$M1390&amp;"|"&amp;$N1390&amp;"|"&amp;$O1390&amp;"|"&amp;$P1390&amp;"|"&amp;$Q1390&amp;"|"&amp;$K1390,PARAMETRES!$J$43:$J$342,0))="","",INDEX(PARAMETRES!$H$43:$H$342,MATCH($L1390&amp;"|"&amp;$M1390&amp;"|"&amp;$N1390&amp;"|"&amp;$O1390&amp;"|"&amp;$P1390&amp;"|"&amp;$Q1390&amp;"|"&amp;$K1390,PARAMETRES!$J$43:$J$342,0))),""))</f>
        <v/>
      </c>
      <c r="S1390" s="35">
        <f>IF(OR($G1390="",$X1390&lt;&gt;"VALIDE"),"",IFERROR(LOOKUP(2,1/(($B490:$B1389=$B1390)*($G490:$G1389=$G1390)*($X490:$X1389="VALIDE")),$C490:$C1389),""))</f>
        <v/>
      </c>
      <c r="T1390" s="36">
        <f>IF(OR($C1390="",$S1390=""),"",ROUND(($C1390-$S1390+IF($C1390&lt;$S1390,1,0))*1440,0))</f>
        <v/>
      </c>
      <c r="U1390" s="22">
        <f>IF(OR($H1390="",$T1390="",$T1390&lt;=0),"",$H1390*60/$T1390)</f>
        <v/>
      </c>
      <c r="V1390" s="37">
        <f>IF(OR($U1390="",$R1390="",$R1390=0),"",$U1390/$R1390)</f>
        <v/>
      </c>
      <c r="W1390" s="20">
        <f>IF($G1390="","",IF($X1390="CONTEXTE INCOMPLET","CONTEXTE INCOMPLET",IF($X1390="DOUBLON",StatutDoublon,IF($S1390="",StatutInitial,IF($R1390="",StatutStandardManquant,IF($V1390="","DONNEES INSUFFISANTES",IF($V1390&gt;=SeuilConforme,StatutConforme,IF($V1390&gt;=SeuilSurveiller,StatutSurveiller,StatutSousStandard))))))))</f>
        <v/>
      </c>
      <c r="X1390" s="33">
        <f>IF($G1390="","",IF(OR($D1390="",$E1390="",$F1390=""),"CONTEXTE INCOMPLET",IF(COUNTIFS($D490:$D1389,$D1390,$E490:$E1389,$E1390,$F490:$F1389,$F1390,$G490:$G1389,$G1390)&gt;0,"DOUBLON","VALIDE")))</f>
        <v/>
      </c>
    </row>
    <row r="1391" ht="15" customHeight="1">
      <c r="A1391" s="12">
        <f>IF(OR($B1391="",$G1391=""),"",TEXT($B1391,"YYYYMMDD")&amp;"-"&amp;SUBSTITUTE($E1391," ","")&amp;"-"&amp;$F1391&amp;"-"&amp;$G1391)</f>
        <v/>
      </c>
      <c r="B1391" s="15" t="n"/>
      <c r="C1391" s="16" t="n"/>
      <c r="D1391" s="10" t="n"/>
      <c r="E1391" s="9" t="n"/>
      <c r="F1391" s="9" t="n"/>
      <c r="G1391" s="13" t="n"/>
      <c r="H1391" s="21" t="n"/>
      <c r="I1391" s="21" t="n"/>
      <c r="J1391" s="17">
        <f>IF($G1391="","",IFERROR(INDEX(NomsEmployes,MATCH($G1391,MatriculesEmployes,0)),"MATRICULE INCONNU"))</f>
        <v/>
      </c>
      <c r="K1391" s="33">
        <f>IF(OR($D1391="",$F1391=""),"",IFERROR(IF(INDEX(RUNS!$L$6:$S$1005,MATCH($D1391,RUNS!$A$6:$A$1005,0),MATCH("ACTIVITÉ "&amp;$F1391,RUNS!$L$5:$S$5,0))="","",INDEX(RUNS!$L$6:$S$1005,MATCH($D1391,RUNS!$A$6:$A$1005,0),MATCH("ACTIVITÉ "&amp;$F1391,RUNS!$L$5:$S$5,0))),""))</f>
        <v/>
      </c>
      <c r="L1391" s="33">
        <f>IF($D1391="","",IFERROR(IF(INDEX(RUNS!$E$6:$E$1005,MATCH($D1391,RUNS!$A$6:$A$1005,0))="","",INDEX(RUNS!$E$6:$E$1005,MATCH($D1391,RUNS!$A$6:$A$1005,0))),""))</f>
        <v/>
      </c>
      <c r="M1391" s="33">
        <f>IF($D1391="","",IFERROR(IF(INDEX(RUNS!$F$6:$F$1005,MATCH($D1391,RUNS!$A$6:$A$1005,0))="","",INDEX(RUNS!$F$6:$F$1005,MATCH($D1391,RUNS!$A$6:$A$1005,0))),""))</f>
        <v/>
      </c>
      <c r="N1391" s="33">
        <f>IF($D1391="","",IFERROR(IF(INDEX(RUNS!$G$6:$G$1005,MATCH($D1391,RUNS!$A$6:$A$1005,0))="","",INDEX(RUNS!$G$6:$G$1005,MATCH($D1391,RUNS!$A$6:$A$1005,0))),""))</f>
        <v/>
      </c>
      <c r="O1391" s="33">
        <f>IF($D1391="","",IFERROR(IF(INDEX(RUNS!$H$6:$H$1005,MATCH($D1391,RUNS!$A$6:$A$1005,0))="","",INDEX(RUNS!$H$6:$H$1005,MATCH($D1391,RUNS!$A$6:$A$1005,0))),""))</f>
        <v/>
      </c>
      <c r="P1391" s="33">
        <f>IF($D1391="","",IFERROR(IF(INDEX(RUNS!$J$6:$J$1005,MATCH($D1391,RUNS!$A$6:$A$1005,0))="","",INDEX(RUNS!$J$6:$J$1005,MATCH($D1391,RUNS!$A$6:$A$1005,0))),""))</f>
        <v/>
      </c>
      <c r="Q1391" s="33">
        <f>IF($D1391="","",IFERROR(IF(INDEX(RUNS!$K$6:$K$1005,MATCH($D1391,RUNS!$A$6:$A$1005,0))="","",INDEX(RUNS!$K$6:$K$1005,MATCH($D1391,RUNS!$A$6:$A$1005,0))),""))</f>
        <v/>
      </c>
      <c r="R1391" s="34">
        <f>IF(OR($L1391="",$K1391=""),"",IFERROR(IF(INDEX(PARAMETRES!$H$43:$H$342,MATCH($L1391&amp;"|"&amp;$M1391&amp;"|"&amp;$N1391&amp;"|"&amp;$O1391&amp;"|"&amp;$P1391&amp;"|"&amp;$Q1391&amp;"|"&amp;$K1391,PARAMETRES!$J$43:$J$342,0))="","",INDEX(PARAMETRES!$H$43:$H$342,MATCH($L1391&amp;"|"&amp;$M1391&amp;"|"&amp;$N1391&amp;"|"&amp;$O1391&amp;"|"&amp;$P1391&amp;"|"&amp;$Q1391&amp;"|"&amp;$K1391,PARAMETRES!$J$43:$J$342,0))),""))</f>
        <v/>
      </c>
      <c r="S1391" s="35">
        <f>IF(OR($G1391="",$X1391&lt;&gt;"VALIDE"),"",IFERROR(LOOKUP(2,1/(($B491:$B1390=$B1391)*($G491:$G1390=$G1391)*($X491:$X1390="VALIDE")),$C491:$C1390),""))</f>
        <v/>
      </c>
      <c r="T1391" s="36">
        <f>IF(OR($C1391="",$S1391=""),"",ROUND(($C1391-$S1391+IF($C1391&lt;$S1391,1,0))*1440,0))</f>
        <v/>
      </c>
      <c r="U1391" s="22">
        <f>IF(OR($H1391="",$T1391="",$T1391&lt;=0),"",$H1391*60/$T1391)</f>
        <v/>
      </c>
      <c r="V1391" s="37">
        <f>IF(OR($U1391="",$R1391="",$R1391=0),"",$U1391/$R1391)</f>
        <v/>
      </c>
      <c r="W1391" s="20">
        <f>IF($G1391="","",IF($X1391="CONTEXTE INCOMPLET","CONTEXTE INCOMPLET",IF($X1391="DOUBLON",StatutDoublon,IF($S1391="",StatutInitial,IF($R1391="",StatutStandardManquant,IF($V1391="","DONNEES INSUFFISANTES",IF($V1391&gt;=SeuilConforme,StatutConforme,IF($V1391&gt;=SeuilSurveiller,StatutSurveiller,StatutSousStandard))))))))</f>
        <v/>
      </c>
      <c r="X1391" s="33">
        <f>IF($G1391="","",IF(OR($D1391="",$E1391="",$F1391=""),"CONTEXTE INCOMPLET",IF(COUNTIFS($D491:$D1390,$D1391,$E491:$E1390,$E1391,$F491:$F1390,$F1391,$G491:$G1390,$G1391)&gt;0,"DOUBLON","VALIDE")))</f>
        <v/>
      </c>
    </row>
    <row r="1392" ht="15" customHeight="1">
      <c r="A1392" s="12">
        <f>IF(OR($B1392="",$G1392=""),"",TEXT($B1392,"YYYYMMDD")&amp;"-"&amp;SUBSTITUTE($E1392," ","")&amp;"-"&amp;$F1392&amp;"-"&amp;$G1392)</f>
        <v/>
      </c>
      <c r="B1392" s="15" t="n"/>
      <c r="C1392" s="16" t="n"/>
      <c r="D1392" s="10" t="n"/>
      <c r="E1392" s="9" t="n"/>
      <c r="F1392" s="9" t="n"/>
      <c r="G1392" s="13" t="n"/>
      <c r="H1392" s="21" t="n"/>
      <c r="I1392" s="21" t="n"/>
      <c r="J1392" s="17">
        <f>IF($G1392="","",IFERROR(INDEX(NomsEmployes,MATCH($G1392,MatriculesEmployes,0)),"MATRICULE INCONNU"))</f>
        <v/>
      </c>
      <c r="K1392" s="33">
        <f>IF(OR($D1392="",$F1392=""),"",IFERROR(IF(INDEX(RUNS!$L$6:$S$1005,MATCH($D1392,RUNS!$A$6:$A$1005,0),MATCH("ACTIVITÉ "&amp;$F1392,RUNS!$L$5:$S$5,0))="","",INDEX(RUNS!$L$6:$S$1005,MATCH($D1392,RUNS!$A$6:$A$1005,0),MATCH("ACTIVITÉ "&amp;$F1392,RUNS!$L$5:$S$5,0))),""))</f>
        <v/>
      </c>
      <c r="L1392" s="33">
        <f>IF($D1392="","",IFERROR(IF(INDEX(RUNS!$E$6:$E$1005,MATCH($D1392,RUNS!$A$6:$A$1005,0))="","",INDEX(RUNS!$E$6:$E$1005,MATCH($D1392,RUNS!$A$6:$A$1005,0))),""))</f>
        <v/>
      </c>
      <c r="M1392" s="33">
        <f>IF($D1392="","",IFERROR(IF(INDEX(RUNS!$F$6:$F$1005,MATCH($D1392,RUNS!$A$6:$A$1005,0))="","",INDEX(RUNS!$F$6:$F$1005,MATCH($D1392,RUNS!$A$6:$A$1005,0))),""))</f>
        <v/>
      </c>
      <c r="N1392" s="33">
        <f>IF($D1392="","",IFERROR(IF(INDEX(RUNS!$G$6:$G$1005,MATCH($D1392,RUNS!$A$6:$A$1005,0))="","",INDEX(RUNS!$G$6:$G$1005,MATCH($D1392,RUNS!$A$6:$A$1005,0))),""))</f>
        <v/>
      </c>
      <c r="O1392" s="33">
        <f>IF($D1392="","",IFERROR(IF(INDEX(RUNS!$H$6:$H$1005,MATCH($D1392,RUNS!$A$6:$A$1005,0))="","",INDEX(RUNS!$H$6:$H$1005,MATCH($D1392,RUNS!$A$6:$A$1005,0))),""))</f>
        <v/>
      </c>
      <c r="P1392" s="33">
        <f>IF($D1392="","",IFERROR(IF(INDEX(RUNS!$J$6:$J$1005,MATCH($D1392,RUNS!$A$6:$A$1005,0))="","",INDEX(RUNS!$J$6:$J$1005,MATCH($D1392,RUNS!$A$6:$A$1005,0))),""))</f>
        <v/>
      </c>
      <c r="Q1392" s="33">
        <f>IF($D1392="","",IFERROR(IF(INDEX(RUNS!$K$6:$K$1005,MATCH($D1392,RUNS!$A$6:$A$1005,0))="","",INDEX(RUNS!$K$6:$K$1005,MATCH($D1392,RUNS!$A$6:$A$1005,0))),""))</f>
        <v/>
      </c>
      <c r="R1392" s="34">
        <f>IF(OR($L1392="",$K1392=""),"",IFERROR(IF(INDEX(PARAMETRES!$H$43:$H$342,MATCH($L1392&amp;"|"&amp;$M1392&amp;"|"&amp;$N1392&amp;"|"&amp;$O1392&amp;"|"&amp;$P1392&amp;"|"&amp;$Q1392&amp;"|"&amp;$K1392,PARAMETRES!$J$43:$J$342,0))="","",INDEX(PARAMETRES!$H$43:$H$342,MATCH($L1392&amp;"|"&amp;$M1392&amp;"|"&amp;$N1392&amp;"|"&amp;$O1392&amp;"|"&amp;$P1392&amp;"|"&amp;$Q1392&amp;"|"&amp;$K1392,PARAMETRES!$J$43:$J$342,0))),""))</f>
        <v/>
      </c>
      <c r="S1392" s="35">
        <f>IF(OR($G1392="",$X1392&lt;&gt;"VALIDE"),"",IFERROR(LOOKUP(2,1/(($B492:$B1391=$B1392)*($G492:$G1391=$G1392)*($X492:$X1391="VALIDE")),$C492:$C1391),""))</f>
        <v/>
      </c>
      <c r="T1392" s="36">
        <f>IF(OR($C1392="",$S1392=""),"",ROUND(($C1392-$S1392+IF($C1392&lt;$S1392,1,0))*1440,0))</f>
        <v/>
      </c>
      <c r="U1392" s="22">
        <f>IF(OR($H1392="",$T1392="",$T1392&lt;=0),"",$H1392*60/$T1392)</f>
        <v/>
      </c>
      <c r="V1392" s="37">
        <f>IF(OR($U1392="",$R1392="",$R1392=0),"",$U1392/$R1392)</f>
        <v/>
      </c>
      <c r="W1392" s="20">
        <f>IF($G1392="","",IF($X1392="CONTEXTE INCOMPLET","CONTEXTE INCOMPLET",IF($X1392="DOUBLON",StatutDoublon,IF($S1392="",StatutInitial,IF($R1392="",StatutStandardManquant,IF($V1392="","DONNEES INSUFFISANTES",IF($V1392&gt;=SeuilConforme,StatutConforme,IF($V1392&gt;=SeuilSurveiller,StatutSurveiller,StatutSousStandard))))))))</f>
        <v/>
      </c>
      <c r="X1392" s="33">
        <f>IF($G1392="","",IF(OR($D1392="",$E1392="",$F1392=""),"CONTEXTE INCOMPLET",IF(COUNTIFS($D492:$D1391,$D1392,$E492:$E1391,$E1392,$F492:$F1391,$F1392,$G492:$G1391,$G1392)&gt;0,"DOUBLON","VALIDE")))</f>
        <v/>
      </c>
    </row>
    <row r="1393" ht="15" customHeight="1">
      <c r="A1393" s="12">
        <f>IF(OR($B1393="",$G1393=""),"",TEXT($B1393,"YYYYMMDD")&amp;"-"&amp;SUBSTITUTE($E1393," ","")&amp;"-"&amp;$F1393&amp;"-"&amp;$G1393)</f>
        <v/>
      </c>
      <c r="B1393" s="15" t="n"/>
      <c r="C1393" s="16" t="n"/>
      <c r="D1393" s="10" t="n"/>
      <c r="E1393" s="9" t="n"/>
      <c r="F1393" s="9" t="n"/>
      <c r="G1393" s="13" t="n"/>
      <c r="H1393" s="21" t="n"/>
      <c r="I1393" s="21" t="n"/>
      <c r="J1393" s="17">
        <f>IF($G1393="","",IFERROR(INDEX(NomsEmployes,MATCH($G1393,MatriculesEmployes,0)),"MATRICULE INCONNU"))</f>
        <v/>
      </c>
      <c r="K1393" s="33">
        <f>IF(OR($D1393="",$F1393=""),"",IFERROR(IF(INDEX(RUNS!$L$6:$S$1005,MATCH($D1393,RUNS!$A$6:$A$1005,0),MATCH("ACTIVITÉ "&amp;$F1393,RUNS!$L$5:$S$5,0))="","",INDEX(RUNS!$L$6:$S$1005,MATCH($D1393,RUNS!$A$6:$A$1005,0),MATCH("ACTIVITÉ "&amp;$F1393,RUNS!$L$5:$S$5,0))),""))</f>
        <v/>
      </c>
      <c r="L1393" s="33">
        <f>IF($D1393="","",IFERROR(IF(INDEX(RUNS!$E$6:$E$1005,MATCH($D1393,RUNS!$A$6:$A$1005,0))="","",INDEX(RUNS!$E$6:$E$1005,MATCH($D1393,RUNS!$A$6:$A$1005,0))),""))</f>
        <v/>
      </c>
      <c r="M1393" s="33">
        <f>IF($D1393="","",IFERROR(IF(INDEX(RUNS!$F$6:$F$1005,MATCH($D1393,RUNS!$A$6:$A$1005,0))="","",INDEX(RUNS!$F$6:$F$1005,MATCH($D1393,RUNS!$A$6:$A$1005,0))),""))</f>
        <v/>
      </c>
      <c r="N1393" s="33">
        <f>IF($D1393="","",IFERROR(IF(INDEX(RUNS!$G$6:$G$1005,MATCH($D1393,RUNS!$A$6:$A$1005,0))="","",INDEX(RUNS!$G$6:$G$1005,MATCH($D1393,RUNS!$A$6:$A$1005,0))),""))</f>
        <v/>
      </c>
      <c r="O1393" s="33">
        <f>IF($D1393="","",IFERROR(IF(INDEX(RUNS!$H$6:$H$1005,MATCH($D1393,RUNS!$A$6:$A$1005,0))="","",INDEX(RUNS!$H$6:$H$1005,MATCH($D1393,RUNS!$A$6:$A$1005,0))),""))</f>
        <v/>
      </c>
      <c r="P1393" s="33">
        <f>IF($D1393="","",IFERROR(IF(INDEX(RUNS!$J$6:$J$1005,MATCH($D1393,RUNS!$A$6:$A$1005,0))="","",INDEX(RUNS!$J$6:$J$1005,MATCH($D1393,RUNS!$A$6:$A$1005,0))),""))</f>
        <v/>
      </c>
      <c r="Q1393" s="33">
        <f>IF($D1393="","",IFERROR(IF(INDEX(RUNS!$K$6:$K$1005,MATCH($D1393,RUNS!$A$6:$A$1005,0))="","",INDEX(RUNS!$K$6:$K$1005,MATCH($D1393,RUNS!$A$6:$A$1005,0))),""))</f>
        <v/>
      </c>
      <c r="R1393" s="34">
        <f>IF(OR($L1393="",$K1393=""),"",IFERROR(IF(INDEX(PARAMETRES!$H$43:$H$342,MATCH($L1393&amp;"|"&amp;$M1393&amp;"|"&amp;$N1393&amp;"|"&amp;$O1393&amp;"|"&amp;$P1393&amp;"|"&amp;$Q1393&amp;"|"&amp;$K1393,PARAMETRES!$J$43:$J$342,0))="","",INDEX(PARAMETRES!$H$43:$H$342,MATCH($L1393&amp;"|"&amp;$M1393&amp;"|"&amp;$N1393&amp;"|"&amp;$O1393&amp;"|"&amp;$P1393&amp;"|"&amp;$Q1393&amp;"|"&amp;$K1393,PARAMETRES!$J$43:$J$342,0))),""))</f>
        <v/>
      </c>
      <c r="S1393" s="35">
        <f>IF(OR($G1393="",$X1393&lt;&gt;"VALIDE"),"",IFERROR(LOOKUP(2,1/(($B493:$B1392=$B1393)*($G493:$G1392=$G1393)*($X493:$X1392="VALIDE")),$C493:$C1392),""))</f>
        <v/>
      </c>
      <c r="T1393" s="36">
        <f>IF(OR($C1393="",$S1393=""),"",ROUND(($C1393-$S1393+IF($C1393&lt;$S1393,1,0))*1440,0))</f>
        <v/>
      </c>
      <c r="U1393" s="22">
        <f>IF(OR($H1393="",$T1393="",$T1393&lt;=0),"",$H1393*60/$T1393)</f>
        <v/>
      </c>
      <c r="V1393" s="37">
        <f>IF(OR($U1393="",$R1393="",$R1393=0),"",$U1393/$R1393)</f>
        <v/>
      </c>
      <c r="W1393" s="20">
        <f>IF($G1393="","",IF($X1393="CONTEXTE INCOMPLET","CONTEXTE INCOMPLET",IF($X1393="DOUBLON",StatutDoublon,IF($S1393="",StatutInitial,IF($R1393="",StatutStandardManquant,IF($V1393="","DONNEES INSUFFISANTES",IF($V1393&gt;=SeuilConforme,StatutConforme,IF($V1393&gt;=SeuilSurveiller,StatutSurveiller,StatutSousStandard))))))))</f>
        <v/>
      </c>
      <c r="X1393" s="33">
        <f>IF($G1393="","",IF(OR($D1393="",$E1393="",$F1393=""),"CONTEXTE INCOMPLET",IF(COUNTIFS($D493:$D1392,$D1393,$E493:$E1392,$E1393,$F493:$F1392,$F1393,$G493:$G1392,$G1393)&gt;0,"DOUBLON","VALIDE")))</f>
        <v/>
      </c>
    </row>
    <row r="1394" ht="15" customHeight="1">
      <c r="A1394" s="12">
        <f>IF(OR($B1394="",$G1394=""),"",TEXT($B1394,"YYYYMMDD")&amp;"-"&amp;SUBSTITUTE($E1394," ","")&amp;"-"&amp;$F1394&amp;"-"&amp;$G1394)</f>
        <v/>
      </c>
      <c r="B1394" s="15" t="n"/>
      <c r="C1394" s="16" t="n"/>
      <c r="D1394" s="10" t="n"/>
      <c r="E1394" s="9" t="n"/>
      <c r="F1394" s="9" t="n"/>
      <c r="G1394" s="13" t="n"/>
      <c r="H1394" s="21" t="n"/>
      <c r="I1394" s="21" t="n"/>
      <c r="J1394" s="17">
        <f>IF($G1394="","",IFERROR(INDEX(NomsEmployes,MATCH($G1394,MatriculesEmployes,0)),"MATRICULE INCONNU"))</f>
        <v/>
      </c>
      <c r="K1394" s="33">
        <f>IF(OR($D1394="",$F1394=""),"",IFERROR(IF(INDEX(RUNS!$L$6:$S$1005,MATCH($D1394,RUNS!$A$6:$A$1005,0),MATCH("ACTIVITÉ "&amp;$F1394,RUNS!$L$5:$S$5,0))="","",INDEX(RUNS!$L$6:$S$1005,MATCH($D1394,RUNS!$A$6:$A$1005,0),MATCH("ACTIVITÉ "&amp;$F1394,RUNS!$L$5:$S$5,0))),""))</f>
        <v/>
      </c>
      <c r="L1394" s="33">
        <f>IF($D1394="","",IFERROR(IF(INDEX(RUNS!$E$6:$E$1005,MATCH($D1394,RUNS!$A$6:$A$1005,0))="","",INDEX(RUNS!$E$6:$E$1005,MATCH($D1394,RUNS!$A$6:$A$1005,0))),""))</f>
        <v/>
      </c>
      <c r="M1394" s="33">
        <f>IF($D1394="","",IFERROR(IF(INDEX(RUNS!$F$6:$F$1005,MATCH($D1394,RUNS!$A$6:$A$1005,0))="","",INDEX(RUNS!$F$6:$F$1005,MATCH($D1394,RUNS!$A$6:$A$1005,0))),""))</f>
        <v/>
      </c>
      <c r="N1394" s="33">
        <f>IF($D1394="","",IFERROR(IF(INDEX(RUNS!$G$6:$G$1005,MATCH($D1394,RUNS!$A$6:$A$1005,0))="","",INDEX(RUNS!$G$6:$G$1005,MATCH($D1394,RUNS!$A$6:$A$1005,0))),""))</f>
        <v/>
      </c>
      <c r="O1394" s="33">
        <f>IF($D1394="","",IFERROR(IF(INDEX(RUNS!$H$6:$H$1005,MATCH($D1394,RUNS!$A$6:$A$1005,0))="","",INDEX(RUNS!$H$6:$H$1005,MATCH($D1394,RUNS!$A$6:$A$1005,0))),""))</f>
        <v/>
      </c>
      <c r="P1394" s="33">
        <f>IF($D1394="","",IFERROR(IF(INDEX(RUNS!$J$6:$J$1005,MATCH($D1394,RUNS!$A$6:$A$1005,0))="","",INDEX(RUNS!$J$6:$J$1005,MATCH($D1394,RUNS!$A$6:$A$1005,0))),""))</f>
        <v/>
      </c>
      <c r="Q1394" s="33">
        <f>IF($D1394="","",IFERROR(IF(INDEX(RUNS!$K$6:$K$1005,MATCH($D1394,RUNS!$A$6:$A$1005,0))="","",INDEX(RUNS!$K$6:$K$1005,MATCH($D1394,RUNS!$A$6:$A$1005,0))),""))</f>
        <v/>
      </c>
      <c r="R1394" s="34">
        <f>IF(OR($L1394="",$K1394=""),"",IFERROR(IF(INDEX(PARAMETRES!$H$43:$H$342,MATCH($L1394&amp;"|"&amp;$M1394&amp;"|"&amp;$N1394&amp;"|"&amp;$O1394&amp;"|"&amp;$P1394&amp;"|"&amp;$Q1394&amp;"|"&amp;$K1394,PARAMETRES!$J$43:$J$342,0))="","",INDEX(PARAMETRES!$H$43:$H$342,MATCH($L1394&amp;"|"&amp;$M1394&amp;"|"&amp;$N1394&amp;"|"&amp;$O1394&amp;"|"&amp;$P1394&amp;"|"&amp;$Q1394&amp;"|"&amp;$K1394,PARAMETRES!$J$43:$J$342,0))),""))</f>
        <v/>
      </c>
      <c r="S1394" s="35">
        <f>IF(OR($G1394="",$X1394&lt;&gt;"VALIDE"),"",IFERROR(LOOKUP(2,1/(($B494:$B1393=$B1394)*($G494:$G1393=$G1394)*($X494:$X1393="VALIDE")),$C494:$C1393),""))</f>
        <v/>
      </c>
      <c r="T1394" s="36">
        <f>IF(OR($C1394="",$S1394=""),"",ROUND(($C1394-$S1394+IF($C1394&lt;$S1394,1,0))*1440,0))</f>
        <v/>
      </c>
      <c r="U1394" s="22">
        <f>IF(OR($H1394="",$T1394="",$T1394&lt;=0),"",$H1394*60/$T1394)</f>
        <v/>
      </c>
      <c r="V1394" s="37">
        <f>IF(OR($U1394="",$R1394="",$R1394=0),"",$U1394/$R1394)</f>
        <v/>
      </c>
      <c r="W1394" s="20">
        <f>IF($G1394="","",IF($X1394="CONTEXTE INCOMPLET","CONTEXTE INCOMPLET",IF($X1394="DOUBLON",StatutDoublon,IF($S1394="",StatutInitial,IF($R1394="",StatutStandardManquant,IF($V1394="","DONNEES INSUFFISANTES",IF($V1394&gt;=SeuilConforme,StatutConforme,IF($V1394&gt;=SeuilSurveiller,StatutSurveiller,StatutSousStandard))))))))</f>
        <v/>
      </c>
      <c r="X1394" s="33">
        <f>IF($G1394="","",IF(OR($D1394="",$E1394="",$F1394=""),"CONTEXTE INCOMPLET",IF(COUNTIFS($D494:$D1393,$D1394,$E494:$E1393,$E1394,$F494:$F1393,$F1394,$G494:$G1393,$G1394)&gt;0,"DOUBLON","VALIDE")))</f>
        <v/>
      </c>
    </row>
    <row r="1395" ht="15" customHeight="1">
      <c r="A1395" s="12">
        <f>IF(OR($B1395="",$G1395=""),"",TEXT($B1395,"YYYYMMDD")&amp;"-"&amp;SUBSTITUTE($E1395," ","")&amp;"-"&amp;$F1395&amp;"-"&amp;$G1395)</f>
        <v/>
      </c>
      <c r="B1395" s="15" t="n"/>
      <c r="C1395" s="16" t="n"/>
      <c r="D1395" s="10" t="n"/>
      <c r="E1395" s="9" t="n"/>
      <c r="F1395" s="9" t="n"/>
      <c r="G1395" s="13" t="n"/>
      <c r="H1395" s="21" t="n"/>
      <c r="I1395" s="21" t="n"/>
      <c r="J1395" s="17">
        <f>IF($G1395="","",IFERROR(INDEX(NomsEmployes,MATCH($G1395,MatriculesEmployes,0)),"MATRICULE INCONNU"))</f>
        <v/>
      </c>
      <c r="K1395" s="33">
        <f>IF(OR($D1395="",$F1395=""),"",IFERROR(IF(INDEX(RUNS!$L$6:$S$1005,MATCH($D1395,RUNS!$A$6:$A$1005,0),MATCH("ACTIVITÉ "&amp;$F1395,RUNS!$L$5:$S$5,0))="","",INDEX(RUNS!$L$6:$S$1005,MATCH($D1395,RUNS!$A$6:$A$1005,0),MATCH("ACTIVITÉ "&amp;$F1395,RUNS!$L$5:$S$5,0))),""))</f>
        <v/>
      </c>
      <c r="L1395" s="33">
        <f>IF($D1395="","",IFERROR(IF(INDEX(RUNS!$E$6:$E$1005,MATCH($D1395,RUNS!$A$6:$A$1005,0))="","",INDEX(RUNS!$E$6:$E$1005,MATCH($D1395,RUNS!$A$6:$A$1005,0))),""))</f>
        <v/>
      </c>
      <c r="M1395" s="33">
        <f>IF($D1395="","",IFERROR(IF(INDEX(RUNS!$F$6:$F$1005,MATCH($D1395,RUNS!$A$6:$A$1005,0))="","",INDEX(RUNS!$F$6:$F$1005,MATCH($D1395,RUNS!$A$6:$A$1005,0))),""))</f>
        <v/>
      </c>
      <c r="N1395" s="33">
        <f>IF($D1395="","",IFERROR(IF(INDEX(RUNS!$G$6:$G$1005,MATCH($D1395,RUNS!$A$6:$A$1005,0))="","",INDEX(RUNS!$G$6:$G$1005,MATCH($D1395,RUNS!$A$6:$A$1005,0))),""))</f>
        <v/>
      </c>
      <c r="O1395" s="33">
        <f>IF($D1395="","",IFERROR(IF(INDEX(RUNS!$H$6:$H$1005,MATCH($D1395,RUNS!$A$6:$A$1005,0))="","",INDEX(RUNS!$H$6:$H$1005,MATCH($D1395,RUNS!$A$6:$A$1005,0))),""))</f>
        <v/>
      </c>
      <c r="P1395" s="33">
        <f>IF($D1395="","",IFERROR(IF(INDEX(RUNS!$J$6:$J$1005,MATCH($D1395,RUNS!$A$6:$A$1005,0))="","",INDEX(RUNS!$J$6:$J$1005,MATCH($D1395,RUNS!$A$6:$A$1005,0))),""))</f>
        <v/>
      </c>
      <c r="Q1395" s="33">
        <f>IF($D1395="","",IFERROR(IF(INDEX(RUNS!$K$6:$K$1005,MATCH($D1395,RUNS!$A$6:$A$1005,0))="","",INDEX(RUNS!$K$6:$K$1005,MATCH($D1395,RUNS!$A$6:$A$1005,0))),""))</f>
        <v/>
      </c>
      <c r="R1395" s="34">
        <f>IF(OR($L1395="",$K1395=""),"",IFERROR(IF(INDEX(PARAMETRES!$H$43:$H$342,MATCH($L1395&amp;"|"&amp;$M1395&amp;"|"&amp;$N1395&amp;"|"&amp;$O1395&amp;"|"&amp;$P1395&amp;"|"&amp;$Q1395&amp;"|"&amp;$K1395,PARAMETRES!$J$43:$J$342,0))="","",INDEX(PARAMETRES!$H$43:$H$342,MATCH($L1395&amp;"|"&amp;$M1395&amp;"|"&amp;$N1395&amp;"|"&amp;$O1395&amp;"|"&amp;$P1395&amp;"|"&amp;$Q1395&amp;"|"&amp;$K1395,PARAMETRES!$J$43:$J$342,0))),""))</f>
        <v/>
      </c>
      <c r="S1395" s="35">
        <f>IF(OR($G1395="",$X1395&lt;&gt;"VALIDE"),"",IFERROR(LOOKUP(2,1/(($B495:$B1394=$B1395)*($G495:$G1394=$G1395)*($X495:$X1394="VALIDE")),$C495:$C1394),""))</f>
        <v/>
      </c>
      <c r="T1395" s="36">
        <f>IF(OR($C1395="",$S1395=""),"",ROUND(($C1395-$S1395+IF($C1395&lt;$S1395,1,0))*1440,0))</f>
        <v/>
      </c>
      <c r="U1395" s="22">
        <f>IF(OR($H1395="",$T1395="",$T1395&lt;=0),"",$H1395*60/$T1395)</f>
        <v/>
      </c>
      <c r="V1395" s="37">
        <f>IF(OR($U1395="",$R1395="",$R1395=0),"",$U1395/$R1395)</f>
        <v/>
      </c>
      <c r="W1395" s="20">
        <f>IF($G1395="","",IF($X1395="CONTEXTE INCOMPLET","CONTEXTE INCOMPLET",IF($X1395="DOUBLON",StatutDoublon,IF($S1395="",StatutInitial,IF($R1395="",StatutStandardManquant,IF($V1395="","DONNEES INSUFFISANTES",IF($V1395&gt;=SeuilConforme,StatutConforme,IF($V1395&gt;=SeuilSurveiller,StatutSurveiller,StatutSousStandard))))))))</f>
        <v/>
      </c>
      <c r="X1395" s="33">
        <f>IF($G1395="","",IF(OR($D1395="",$E1395="",$F1395=""),"CONTEXTE INCOMPLET",IF(COUNTIFS($D495:$D1394,$D1395,$E495:$E1394,$E1395,$F495:$F1394,$F1395,$G495:$G1394,$G1395)&gt;0,"DOUBLON","VALIDE")))</f>
        <v/>
      </c>
    </row>
    <row r="1396" ht="15" customHeight="1">
      <c r="A1396" s="12">
        <f>IF(OR($B1396="",$G1396=""),"",TEXT($B1396,"YYYYMMDD")&amp;"-"&amp;SUBSTITUTE($E1396," ","")&amp;"-"&amp;$F1396&amp;"-"&amp;$G1396)</f>
        <v/>
      </c>
      <c r="B1396" s="15" t="n"/>
      <c r="C1396" s="16" t="n"/>
      <c r="D1396" s="10" t="n"/>
      <c r="E1396" s="9" t="n"/>
      <c r="F1396" s="9" t="n"/>
      <c r="G1396" s="13" t="n"/>
      <c r="H1396" s="21" t="n"/>
      <c r="I1396" s="21" t="n"/>
      <c r="J1396" s="17">
        <f>IF($G1396="","",IFERROR(INDEX(NomsEmployes,MATCH($G1396,MatriculesEmployes,0)),"MATRICULE INCONNU"))</f>
        <v/>
      </c>
      <c r="K1396" s="33">
        <f>IF(OR($D1396="",$F1396=""),"",IFERROR(IF(INDEX(RUNS!$L$6:$S$1005,MATCH($D1396,RUNS!$A$6:$A$1005,0),MATCH("ACTIVITÉ "&amp;$F1396,RUNS!$L$5:$S$5,0))="","",INDEX(RUNS!$L$6:$S$1005,MATCH($D1396,RUNS!$A$6:$A$1005,0),MATCH("ACTIVITÉ "&amp;$F1396,RUNS!$L$5:$S$5,0))),""))</f>
        <v/>
      </c>
      <c r="L1396" s="33">
        <f>IF($D1396="","",IFERROR(IF(INDEX(RUNS!$E$6:$E$1005,MATCH($D1396,RUNS!$A$6:$A$1005,0))="","",INDEX(RUNS!$E$6:$E$1005,MATCH($D1396,RUNS!$A$6:$A$1005,0))),""))</f>
        <v/>
      </c>
      <c r="M1396" s="33">
        <f>IF($D1396="","",IFERROR(IF(INDEX(RUNS!$F$6:$F$1005,MATCH($D1396,RUNS!$A$6:$A$1005,0))="","",INDEX(RUNS!$F$6:$F$1005,MATCH($D1396,RUNS!$A$6:$A$1005,0))),""))</f>
        <v/>
      </c>
      <c r="N1396" s="33">
        <f>IF($D1396="","",IFERROR(IF(INDEX(RUNS!$G$6:$G$1005,MATCH($D1396,RUNS!$A$6:$A$1005,0))="","",INDEX(RUNS!$G$6:$G$1005,MATCH($D1396,RUNS!$A$6:$A$1005,0))),""))</f>
        <v/>
      </c>
      <c r="O1396" s="33">
        <f>IF($D1396="","",IFERROR(IF(INDEX(RUNS!$H$6:$H$1005,MATCH($D1396,RUNS!$A$6:$A$1005,0))="","",INDEX(RUNS!$H$6:$H$1005,MATCH($D1396,RUNS!$A$6:$A$1005,0))),""))</f>
        <v/>
      </c>
      <c r="P1396" s="33">
        <f>IF($D1396="","",IFERROR(IF(INDEX(RUNS!$J$6:$J$1005,MATCH($D1396,RUNS!$A$6:$A$1005,0))="","",INDEX(RUNS!$J$6:$J$1005,MATCH($D1396,RUNS!$A$6:$A$1005,0))),""))</f>
        <v/>
      </c>
      <c r="Q1396" s="33">
        <f>IF($D1396="","",IFERROR(IF(INDEX(RUNS!$K$6:$K$1005,MATCH($D1396,RUNS!$A$6:$A$1005,0))="","",INDEX(RUNS!$K$6:$K$1005,MATCH($D1396,RUNS!$A$6:$A$1005,0))),""))</f>
        <v/>
      </c>
      <c r="R1396" s="34">
        <f>IF(OR($L1396="",$K1396=""),"",IFERROR(IF(INDEX(PARAMETRES!$H$43:$H$342,MATCH($L1396&amp;"|"&amp;$M1396&amp;"|"&amp;$N1396&amp;"|"&amp;$O1396&amp;"|"&amp;$P1396&amp;"|"&amp;$Q1396&amp;"|"&amp;$K1396,PARAMETRES!$J$43:$J$342,0))="","",INDEX(PARAMETRES!$H$43:$H$342,MATCH($L1396&amp;"|"&amp;$M1396&amp;"|"&amp;$N1396&amp;"|"&amp;$O1396&amp;"|"&amp;$P1396&amp;"|"&amp;$Q1396&amp;"|"&amp;$K1396,PARAMETRES!$J$43:$J$342,0))),""))</f>
        <v/>
      </c>
      <c r="S1396" s="35">
        <f>IF(OR($G1396="",$X1396&lt;&gt;"VALIDE"),"",IFERROR(LOOKUP(2,1/(($B496:$B1395=$B1396)*($G496:$G1395=$G1396)*($X496:$X1395="VALIDE")),$C496:$C1395),""))</f>
        <v/>
      </c>
      <c r="T1396" s="36">
        <f>IF(OR($C1396="",$S1396=""),"",ROUND(($C1396-$S1396+IF($C1396&lt;$S1396,1,0))*1440,0))</f>
        <v/>
      </c>
      <c r="U1396" s="22">
        <f>IF(OR($H1396="",$T1396="",$T1396&lt;=0),"",$H1396*60/$T1396)</f>
        <v/>
      </c>
      <c r="V1396" s="37">
        <f>IF(OR($U1396="",$R1396="",$R1396=0),"",$U1396/$R1396)</f>
        <v/>
      </c>
      <c r="W1396" s="20">
        <f>IF($G1396="","",IF($X1396="CONTEXTE INCOMPLET","CONTEXTE INCOMPLET",IF($X1396="DOUBLON",StatutDoublon,IF($S1396="",StatutInitial,IF($R1396="",StatutStandardManquant,IF($V1396="","DONNEES INSUFFISANTES",IF($V1396&gt;=SeuilConforme,StatutConforme,IF($V1396&gt;=SeuilSurveiller,StatutSurveiller,StatutSousStandard))))))))</f>
        <v/>
      </c>
      <c r="X1396" s="33">
        <f>IF($G1396="","",IF(OR($D1396="",$E1396="",$F1396=""),"CONTEXTE INCOMPLET",IF(COUNTIFS($D496:$D1395,$D1396,$E496:$E1395,$E1396,$F496:$F1395,$F1396,$G496:$G1395,$G1396)&gt;0,"DOUBLON","VALIDE")))</f>
        <v/>
      </c>
    </row>
    <row r="1397" ht="15" customHeight="1">
      <c r="A1397" s="12">
        <f>IF(OR($B1397="",$G1397=""),"",TEXT($B1397,"YYYYMMDD")&amp;"-"&amp;SUBSTITUTE($E1397," ","")&amp;"-"&amp;$F1397&amp;"-"&amp;$G1397)</f>
        <v/>
      </c>
      <c r="B1397" s="15" t="n"/>
      <c r="C1397" s="16" t="n"/>
      <c r="D1397" s="10" t="n"/>
      <c r="E1397" s="9" t="n"/>
      <c r="F1397" s="9" t="n"/>
      <c r="G1397" s="13" t="n"/>
      <c r="H1397" s="21" t="n"/>
      <c r="I1397" s="21" t="n"/>
      <c r="J1397" s="17">
        <f>IF($G1397="","",IFERROR(INDEX(NomsEmployes,MATCH($G1397,MatriculesEmployes,0)),"MATRICULE INCONNU"))</f>
        <v/>
      </c>
      <c r="K1397" s="33">
        <f>IF(OR($D1397="",$F1397=""),"",IFERROR(IF(INDEX(RUNS!$L$6:$S$1005,MATCH($D1397,RUNS!$A$6:$A$1005,0),MATCH("ACTIVITÉ "&amp;$F1397,RUNS!$L$5:$S$5,0))="","",INDEX(RUNS!$L$6:$S$1005,MATCH($D1397,RUNS!$A$6:$A$1005,0),MATCH("ACTIVITÉ "&amp;$F1397,RUNS!$L$5:$S$5,0))),""))</f>
        <v/>
      </c>
      <c r="L1397" s="33">
        <f>IF($D1397="","",IFERROR(IF(INDEX(RUNS!$E$6:$E$1005,MATCH($D1397,RUNS!$A$6:$A$1005,0))="","",INDEX(RUNS!$E$6:$E$1005,MATCH($D1397,RUNS!$A$6:$A$1005,0))),""))</f>
        <v/>
      </c>
      <c r="M1397" s="33">
        <f>IF($D1397="","",IFERROR(IF(INDEX(RUNS!$F$6:$F$1005,MATCH($D1397,RUNS!$A$6:$A$1005,0))="","",INDEX(RUNS!$F$6:$F$1005,MATCH($D1397,RUNS!$A$6:$A$1005,0))),""))</f>
        <v/>
      </c>
      <c r="N1397" s="33">
        <f>IF($D1397="","",IFERROR(IF(INDEX(RUNS!$G$6:$G$1005,MATCH($D1397,RUNS!$A$6:$A$1005,0))="","",INDEX(RUNS!$G$6:$G$1005,MATCH($D1397,RUNS!$A$6:$A$1005,0))),""))</f>
        <v/>
      </c>
      <c r="O1397" s="33">
        <f>IF($D1397="","",IFERROR(IF(INDEX(RUNS!$H$6:$H$1005,MATCH($D1397,RUNS!$A$6:$A$1005,0))="","",INDEX(RUNS!$H$6:$H$1005,MATCH($D1397,RUNS!$A$6:$A$1005,0))),""))</f>
        <v/>
      </c>
      <c r="P1397" s="33">
        <f>IF($D1397="","",IFERROR(IF(INDEX(RUNS!$J$6:$J$1005,MATCH($D1397,RUNS!$A$6:$A$1005,0))="","",INDEX(RUNS!$J$6:$J$1005,MATCH($D1397,RUNS!$A$6:$A$1005,0))),""))</f>
        <v/>
      </c>
      <c r="Q1397" s="33">
        <f>IF($D1397="","",IFERROR(IF(INDEX(RUNS!$K$6:$K$1005,MATCH($D1397,RUNS!$A$6:$A$1005,0))="","",INDEX(RUNS!$K$6:$K$1005,MATCH($D1397,RUNS!$A$6:$A$1005,0))),""))</f>
        <v/>
      </c>
      <c r="R1397" s="34">
        <f>IF(OR($L1397="",$K1397=""),"",IFERROR(IF(INDEX(PARAMETRES!$H$43:$H$342,MATCH($L1397&amp;"|"&amp;$M1397&amp;"|"&amp;$N1397&amp;"|"&amp;$O1397&amp;"|"&amp;$P1397&amp;"|"&amp;$Q1397&amp;"|"&amp;$K1397,PARAMETRES!$J$43:$J$342,0))="","",INDEX(PARAMETRES!$H$43:$H$342,MATCH($L1397&amp;"|"&amp;$M1397&amp;"|"&amp;$N1397&amp;"|"&amp;$O1397&amp;"|"&amp;$P1397&amp;"|"&amp;$Q1397&amp;"|"&amp;$K1397,PARAMETRES!$J$43:$J$342,0))),""))</f>
        <v/>
      </c>
      <c r="S1397" s="35">
        <f>IF(OR($G1397="",$X1397&lt;&gt;"VALIDE"),"",IFERROR(LOOKUP(2,1/(($B497:$B1396=$B1397)*($G497:$G1396=$G1397)*($X497:$X1396="VALIDE")),$C497:$C1396),""))</f>
        <v/>
      </c>
      <c r="T1397" s="36">
        <f>IF(OR($C1397="",$S1397=""),"",ROUND(($C1397-$S1397+IF($C1397&lt;$S1397,1,0))*1440,0))</f>
        <v/>
      </c>
      <c r="U1397" s="22">
        <f>IF(OR($H1397="",$T1397="",$T1397&lt;=0),"",$H1397*60/$T1397)</f>
        <v/>
      </c>
      <c r="V1397" s="37">
        <f>IF(OR($U1397="",$R1397="",$R1397=0),"",$U1397/$R1397)</f>
        <v/>
      </c>
      <c r="W1397" s="20">
        <f>IF($G1397="","",IF($X1397="CONTEXTE INCOMPLET","CONTEXTE INCOMPLET",IF($X1397="DOUBLON",StatutDoublon,IF($S1397="",StatutInitial,IF($R1397="",StatutStandardManquant,IF($V1397="","DONNEES INSUFFISANTES",IF($V1397&gt;=SeuilConforme,StatutConforme,IF($V1397&gt;=SeuilSurveiller,StatutSurveiller,StatutSousStandard))))))))</f>
        <v/>
      </c>
      <c r="X1397" s="33">
        <f>IF($G1397="","",IF(OR($D1397="",$E1397="",$F1397=""),"CONTEXTE INCOMPLET",IF(COUNTIFS($D497:$D1396,$D1397,$E497:$E1396,$E1397,$F497:$F1396,$F1397,$G497:$G1396,$G1397)&gt;0,"DOUBLON","VALIDE")))</f>
        <v/>
      </c>
    </row>
    <row r="1398" ht="15" customHeight="1">
      <c r="A1398" s="12">
        <f>IF(OR($B1398="",$G1398=""),"",TEXT($B1398,"YYYYMMDD")&amp;"-"&amp;SUBSTITUTE($E1398," ","")&amp;"-"&amp;$F1398&amp;"-"&amp;$G1398)</f>
        <v/>
      </c>
      <c r="B1398" s="15" t="n"/>
      <c r="C1398" s="16" t="n"/>
      <c r="D1398" s="10" t="n"/>
      <c r="E1398" s="9" t="n"/>
      <c r="F1398" s="9" t="n"/>
      <c r="G1398" s="13" t="n"/>
      <c r="H1398" s="21" t="n"/>
      <c r="I1398" s="21" t="n"/>
      <c r="J1398" s="17">
        <f>IF($G1398="","",IFERROR(INDEX(NomsEmployes,MATCH($G1398,MatriculesEmployes,0)),"MATRICULE INCONNU"))</f>
        <v/>
      </c>
      <c r="K1398" s="33">
        <f>IF(OR($D1398="",$F1398=""),"",IFERROR(IF(INDEX(RUNS!$L$6:$S$1005,MATCH($D1398,RUNS!$A$6:$A$1005,0),MATCH("ACTIVITÉ "&amp;$F1398,RUNS!$L$5:$S$5,0))="","",INDEX(RUNS!$L$6:$S$1005,MATCH($D1398,RUNS!$A$6:$A$1005,0),MATCH("ACTIVITÉ "&amp;$F1398,RUNS!$L$5:$S$5,0))),""))</f>
        <v/>
      </c>
      <c r="L1398" s="33">
        <f>IF($D1398="","",IFERROR(IF(INDEX(RUNS!$E$6:$E$1005,MATCH($D1398,RUNS!$A$6:$A$1005,0))="","",INDEX(RUNS!$E$6:$E$1005,MATCH($D1398,RUNS!$A$6:$A$1005,0))),""))</f>
        <v/>
      </c>
      <c r="M1398" s="33">
        <f>IF($D1398="","",IFERROR(IF(INDEX(RUNS!$F$6:$F$1005,MATCH($D1398,RUNS!$A$6:$A$1005,0))="","",INDEX(RUNS!$F$6:$F$1005,MATCH($D1398,RUNS!$A$6:$A$1005,0))),""))</f>
        <v/>
      </c>
      <c r="N1398" s="33">
        <f>IF($D1398="","",IFERROR(IF(INDEX(RUNS!$G$6:$G$1005,MATCH($D1398,RUNS!$A$6:$A$1005,0))="","",INDEX(RUNS!$G$6:$G$1005,MATCH($D1398,RUNS!$A$6:$A$1005,0))),""))</f>
        <v/>
      </c>
      <c r="O1398" s="33">
        <f>IF($D1398="","",IFERROR(IF(INDEX(RUNS!$H$6:$H$1005,MATCH($D1398,RUNS!$A$6:$A$1005,0))="","",INDEX(RUNS!$H$6:$H$1005,MATCH($D1398,RUNS!$A$6:$A$1005,0))),""))</f>
        <v/>
      </c>
      <c r="P1398" s="33">
        <f>IF($D1398="","",IFERROR(IF(INDEX(RUNS!$J$6:$J$1005,MATCH($D1398,RUNS!$A$6:$A$1005,0))="","",INDEX(RUNS!$J$6:$J$1005,MATCH($D1398,RUNS!$A$6:$A$1005,0))),""))</f>
        <v/>
      </c>
      <c r="Q1398" s="33">
        <f>IF($D1398="","",IFERROR(IF(INDEX(RUNS!$K$6:$K$1005,MATCH($D1398,RUNS!$A$6:$A$1005,0))="","",INDEX(RUNS!$K$6:$K$1005,MATCH($D1398,RUNS!$A$6:$A$1005,0))),""))</f>
        <v/>
      </c>
      <c r="R1398" s="34">
        <f>IF(OR($L1398="",$K1398=""),"",IFERROR(IF(INDEX(PARAMETRES!$H$43:$H$342,MATCH($L1398&amp;"|"&amp;$M1398&amp;"|"&amp;$N1398&amp;"|"&amp;$O1398&amp;"|"&amp;$P1398&amp;"|"&amp;$Q1398&amp;"|"&amp;$K1398,PARAMETRES!$J$43:$J$342,0))="","",INDEX(PARAMETRES!$H$43:$H$342,MATCH($L1398&amp;"|"&amp;$M1398&amp;"|"&amp;$N1398&amp;"|"&amp;$O1398&amp;"|"&amp;$P1398&amp;"|"&amp;$Q1398&amp;"|"&amp;$K1398,PARAMETRES!$J$43:$J$342,0))),""))</f>
        <v/>
      </c>
      <c r="S1398" s="35">
        <f>IF(OR($G1398="",$X1398&lt;&gt;"VALIDE"),"",IFERROR(LOOKUP(2,1/(($B498:$B1397=$B1398)*($G498:$G1397=$G1398)*($X498:$X1397="VALIDE")),$C498:$C1397),""))</f>
        <v/>
      </c>
      <c r="T1398" s="36">
        <f>IF(OR($C1398="",$S1398=""),"",ROUND(($C1398-$S1398+IF($C1398&lt;$S1398,1,0))*1440,0))</f>
        <v/>
      </c>
      <c r="U1398" s="22">
        <f>IF(OR($H1398="",$T1398="",$T1398&lt;=0),"",$H1398*60/$T1398)</f>
        <v/>
      </c>
      <c r="V1398" s="37">
        <f>IF(OR($U1398="",$R1398="",$R1398=0),"",$U1398/$R1398)</f>
        <v/>
      </c>
      <c r="W1398" s="20">
        <f>IF($G1398="","",IF($X1398="CONTEXTE INCOMPLET","CONTEXTE INCOMPLET",IF($X1398="DOUBLON",StatutDoublon,IF($S1398="",StatutInitial,IF($R1398="",StatutStandardManquant,IF($V1398="","DONNEES INSUFFISANTES",IF($V1398&gt;=SeuilConforme,StatutConforme,IF($V1398&gt;=SeuilSurveiller,StatutSurveiller,StatutSousStandard))))))))</f>
        <v/>
      </c>
      <c r="X1398" s="33">
        <f>IF($G1398="","",IF(OR($D1398="",$E1398="",$F1398=""),"CONTEXTE INCOMPLET",IF(COUNTIFS($D498:$D1397,$D1398,$E498:$E1397,$E1398,$F498:$F1397,$F1398,$G498:$G1397,$G1398)&gt;0,"DOUBLON","VALIDE")))</f>
        <v/>
      </c>
    </row>
    <row r="1399" ht="15" customHeight="1">
      <c r="A1399" s="12">
        <f>IF(OR($B1399="",$G1399=""),"",TEXT($B1399,"YYYYMMDD")&amp;"-"&amp;SUBSTITUTE($E1399," ","")&amp;"-"&amp;$F1399&amp;"-"&amp;$G1399)</f>
        <v/>
      </c>
      <c r="B1399" s="15" t="n"/>
      <c r="C1399" s="16" t="n"/>
      <c r="D1399" s="10" t="n"/>
      <c r="E1399" s="9" t="n"/>
      <c r="F1399" s="9" t="n"/>
      <c r="G1399" s="13" t="n"/>
      <c r="H1399" s="21" t="n"/>
      <c r="I1399" s="21" t="n"/>
      <c r="J1399" s="17">
        <f>IF($G1399="","",IFERROR(INDEX(NomsEmployes,MATCH($G1399,MatriculesEmployes,0)),"MATRICULE INCONNU"))</f>
        <v/>
      </c>
      <c r="K1399" s="33">
        <f>IF(OR($D1399="",$F1399=""),"",IFERROR(IF(INDEX(RUNS!$L$6:$S$1005,MATCH($D1399,RUNS!$A$6:$A$1005,0),MATCH("ACTIVITÉ "&amp;$F1399,RUNS!$L$5:$S$5,0))="","",INDEX(RUNS!$L$6:$S$1005,MATCH($D1399,RUNS!$A$6:$A$1005,0),MATCH("ACTIVITÉ "&amp;$F1399,RUNS!$L$5:$S$5,0))),""))</f>
        <v/>
      </c>
      <c r="L1399" s="33">
        <f>IF($D1399="","",IFERROR(IF(INDEX(RUNS!$E$6:$E$1005,MATCH($D1399,RUNS!$A$6:$A$1005,0))="","",INDEX(RUNS!$E$6:$E$1005,MATCH($D1399,RUNS!$A$6:$A$1005,0))),""))</f>
        <v/>
      </c>
      <c r="M1399" s="33">
        <f>IF($D1399="","",IFERROR(IF(INDEX(RUNS!$F$6:$F$1005,MATCH($D1399,RUNS!$A$6:$A$1005,0))="","",INDEX(RUNS!$F$6:$F$1005,MATCH($D1399,RUNS!$A$6:$A$1005,0))),""))</f>
        <v/>
      </c>
      <c r="N1399" s="33">
        <f>IF($D1399="","",IFERROR(IF(INDEX(RUNS!$G$6:$G$1005,MATCH($D1399,RUNS!$A$6:$A$1005,0))="","",INDEX(RUNS!$G$6:$G$1005,MATCH($D1399,RUNS!$A$6:$A$1005,0))),""))</f>
        <v/>
      </c>
      <c r="O1399" s="33">
        <f>IF($D1399="","",IFERROR(IF(INDEX(RUNS!$H$6:$H$1005,MATCH($D1399,RUNS!$A$6:$A$1005,0))="","",INDEX(RUNS!$H$6:$H$1005,MATCH($D1399,RUNS!$A$6:$A$1005,0))),""))</f>
        <v/>
      </c>
      <c r="P1399" s="33">
        <f>IF($D1399="","",IFERROR(IF(INDEX(RUNS!$J$6:$J$1005,MATCH($D1399,RUNS!$A$6:$A$1005,0))="","",INDEX(RUNS!$J$6:$J$1005,MATCH($D1399,RUNS!$A$6:$A$1005,0))),""))</f>
        <v/>
      </c>
      <c r="Q1399" s="33">
        <f>IF($D1399="","",IFERROR(IF(INDEX(RUNS!$K$6:$K$1005,MATCH($D1399,RUNS!$A$6:$A$1005,0))="","",INDEX(RUNS!$K$6:$K$1005,MATCH($D1399,RUNS!$A$6:$A$1005,0))),""))</f>
        <v/>
      </c>
      <c r="R1399" s="34">
        <f>IF(OR($L1399="",$K1399=""),"",IFERROR(IF(INDEX(PARAMETRES!$H$43:$H$342,MATCH($L1399&amp;"|"&amp;$M1399&amp;"|"&amp;$N1399&amp;"|"&amp;$O1399&amp;"|"&amp;$P1399&amp;"|"&amp;$Q1399&amp;"|"&amp;$K1399,PARAMETRES!$J$43:$J$342,0))="","",INDEX(PARAMETRES!$H$43:$H$342,MATCH($L1399&amp;"|"&amp;$M1399&amp;"|"&amp;$N1399&amp;"|"&amp;$O1399&amp;"|"&amp;$P1399&amp;"|"&amp;$Q1399&amp;"|"&amp;$K1399,PARAMETRES!$J$43:$J$342,0))),""))</f>
        <v/>
      </c>
      <c r="S1399" s="35">
        <f>IF(OR($G1399="",$X1399&lt;&gt;"VALIDE"),"",IFERROR(LOOKUP(2,1/(($B499:$B1398=$B1399)*($G499:$G1398=$G1399)*($X499:$X1398="VALIDE")),$C499:$C1398),""))</f>
        <v/>
      </c>
      <c r="T1399" s="36">
        <f>IF(OR($C1399="",$S1399=""),"",ROUND(($C1399-$S1399+IF($C1399&lt;$S1399,1,0))*1440,0))</f>
        <v/>
      </c>
      <c r="U1399" s="22">
        <f>IF(OR($H1399="",$T1399="",$T1399&lt;=0),"",$H1399*60/$T1399)</f>
        <v/>
      </c>
      <c r="V1399" s="37">
        <f>IF(OR($U1399="",$R1399="",$R1399=0),"",$U1399/$R1399)</f>
        <v/>
      </c>
      <c r="W1399" s="20">
        <f>IF($G1399="","",IF($X1399="CONTEXTE INCOMPLET","CONTEXTE INCOMPLET",IF($X1399="DOUBLON",StatutDoublon,IF($S1399="",StatutInitial,IF($R1399="",StatutStandardManquant,IF($V1399="","DONNEES INSUFFISANTES",IF($V1399&gt;=SeuilConforme,StatutConforme,IF($V1399&gt;=SeuilSurveiller,StatutSurveiller,StatutSousStandard))))))))</f>
        <v/>
      </c>
      <c r="X1399" s="33">
        <f>IF($G1399="","",IF(OR($D1399="",$E1399="",$F1399=""),"CONTEXTE INCOMPLET",IF(COUNTIFS($D499:$D1398,$D1399,$E499:$E1398,$E1399,$F499:$F1398,$F1399,$G499:$G1398,$G1399)&gt;0,"DOUBLON","VALIDE")))</f>
        <v/>
      </c>
    </row>
    <row r="1400" ht="15" customHeight="1">
      <c r="A1400" s="12">
        <f>IF(OR($B1400="",$G1400=""),"",TEXT($B1400,"YYYYMMDD")&amp;"-"&amp;SUBSTITUTE($E1400," ","")&amp;"-"&amp;$F1400&amp;"-"&amp;$G1400)</f>
        <v/>
      </c>
      <c r="B1400" s="15" t="n"/>
      <c r="C1400" s="16" t="n"/>
      <c r="D1400" s="10" t="n"/>
      <c r="E1400" s="9" t="n"/>
      <c r="F1400" s="9" t="n"/>
      <c r="G1400" s="13" t="n"/>
      <c r="H1400" s="21" t="n"/>
      <c r="I1400" s="21" t="n"/>
      <c r="J1400" s="17">
        <f>IF($G1400="","",IFERROR(INDEX(NomsEmployes,MATCH($G1400,MatriculesEmployes,0)),"MATRICULE INCONNU"))</f>
        <v/>
      </c>
      <c r="K1400" s="33">
        <f>IF(OR($D1400="",$F1400=""),"",IFERROR(IF(INDEX(RUNS!$L$6:$S$1005,MATCH($D1400,RUNS!$A$6:$A$1005,0),MATCH("ACTIVITÉ "&amp;$F1400,RUNS!$L$5:$S$5,0))="","",INDEX(RUNS!$L$6:$S$1005,MATCH($D1400,RUNS!$A$6:$A$1005,0),MATCH("ACTIVITÉ "&amp;$F1400,RUNS!$L$5:$S$5,0))),""))</f>
        <v/>
      </c>
      <c r="L1400" s="33">
        <f>IF($D1400="","",IFERROR(IF(INDEX(RUNS!$E$6:$E$1005,MATCH($D1400,RUNS!$A$6:$A$1005,0))="","",INDEX(RUNS!$E$6:$E$1005,MATCH($D1400,RUNS!$A$6:$A$1005,0))),""))</f>
        <v/>
      </c>
      <c r="M1400" s="33">
        <f>IF($D1400="","",IFERROR(IF(INDEX(RUNS!$F$6:$F$1005,MATCH($D1400,RUNS!$A$6:$A$1005,0))="","",INDEX(RUNS!$F$6:$F$1005,MATCH($D1400,RUNS!$A$6:$A$1005,0))),""))</f>
        <v/>
      </c>
      <c r="N1400" s="33">
        <f>IF($D1400="","",IFERROR(IF(INDEX(RUNS!$G$6:$G$1005,MATCH($D1400,RUNS!$A$6:$A$1005,0))="","",INDEX(RUNS!$G$6:$G$1005,MATCH($D1400,RUNS!$A$6:$A$1005,0))),""))</f>
        <v/>
      </c>
      <c r="O1400" s="33">
        <f>IF($D1400="","",IFERROR(IF(INDEX(RUNS!$H$6:$H$1005,MATCH($D1400,RUNS!$A$6:$A$1005,0))="","",INDEX(RUNS!$H$6:$H$1005,MATCH($D1400,RUNS!$A$6:$A$1005,0))),""))</f>
        <v/>
      </c>
      <c r="P1400" s="33">
        <f>IF($D1400="","",IFERROR(IF(INDEX(RUNS!$J$6:$J$1005,MATCH($D1400,RUNS!$A$6:$A$1005,0))="","",INDEX(RUNS!$J$6:$J$1005,MATCH($D1400,RUNS!$A$6:$A$1005,0))),""))</f>
        <v/>
      </c>
      <c r="Q1400" s="33">
        <f>IF($D1400="","",IFERROR(IF(INDEX(RUNS!$K$6:$K$1005,MATCH($D1400,RUNS!$A$6:$A$1005,0))="","",INDEX(RUNS!$K$6:$K$1005,MATCH($D1400,RUNS!$A$6:$A$1005,0))),""))</f>
        <v/>
      </c>
      <c r="R1400" s="34">
        <f>IF(OR($L1400="",$K1400=""),"",IFERROR(IF(INDEX(PARAMETRES!$H$43:$H$342,MATCH($L1400&amp;"|"&amp;$M1400&amp;"|"&amp;$N1400&amp;"|"&amp;$O1400&amp;"|"&amp;$P1400&amp;"|"&amp;$Q1400&amp;"|"&amp;$K1400,PARAMETRES!$J$43:$J$342,0))="","",INDEX(PARAMETRES!$H$43:$H$342,MATCH($L1400&amp;"|"&amp;$M1400&amp;"|"&amp;$N1400&amp;"|"&amp;$O1400&amp;"|"&amp;$P1400&amp;"|"&amp;$Q1400&amp;"|"&amp;$K1400,PARAMETRES!$J$43:$J$342,0))),""))</f>
        <v/>
      </c>
      <c r="S1400" s="35">
        <f>IF(OR($G1400="",$X1400&lt;&gt;"VALIDE"),"",IFERROR(LOOKUP(2,1/(($B500:$B1399=$B1400)*($G500:$G1399=$G1400)*($X500:$X1399="VALIDE")),$C500:$C1399),""))</f>
        <v/>
      </c>
      <c r="T1400" s="36">
        <f>IF(OR($C1400="",$S1400=""),"",ROUND(($C1400-$S1400+IF($C1400&lt;$S1400,1,0))*1440,0))</f>
        <v/>
      </c>
      <c r="U1400" s="22">
        <f>IF(OR($H1400="",$T1400="",$T1400&lt;=0),"",$H1400*60/$T1400)</f>
        <v/>
      </c>
      <c r="V1400" s="37">
        <f>IF(OR($U1400="",$R1400="",$R1400=0),"",$U1400/$R1400)</f>
        <v/>
      </c>
      <c r="W1400" s="20">
        <f>IF($G1400="","",IF($X1400="CONTEXTE INCOMPLET","CONTEXTE INCOMPLET",IF($X1400="DOUBLON",StatutDoublon,IF($S1400="",StatutInitial,IF($R1400="",StatutStandardManquant,IF($V1400="","DONNEES INSUFFISANTES",IF($V1400&gt;=SeuilConforme,StatutConforme,IF($V1400&gt;=SeuilSurveiller,StatutSurveiller,StatutSousStandard))))))))</f>
        <v/>
      </c>
      <c r="X1400" s="33">
        <f>IF($G1400="","",IF(OR($D1400="",$E1400="",$F1400=""),"CONTEXTE INCOMPLET",IF(COUNTIFS($D500:$D1399,$D1400,$E500:$E1399,$E1400,$F500:$F1399,$F1400,$G500:$G1399,$G1400)&gt;0,"DOUBLON","VALIDE")))</f>
        <v/>
      </c>
    </row>
    <row r="1401" ht="15" customHeight="1">
      <c r="A1401" s="12">
        <f>IF(OR($B1401="",$G1401=""),"",TEXT($B1401,"YYYYMMDD")&amp;"-"&amp;SUBSTITUTE($E1401," ","")&amp;"-"&amp;$F1401&amp;"-"&amp;$G1401)</f>
        <v/>
      </c>
      <c r="B1401" s="15" t="n"/>
      <c r="C1401" s="16" t="n"/>
      <c r="D1401" s="10" t="n"/>
      <c r="E1401" s="9" t="n"/>
      <c r="F1401" s="9" t="n"/>
      <c r="G1401" s="13" t="n"/>
      <c r="H1401" s="21" t="n"/>
      <c r="I1401" s="21" t="n"/>
      <c r="J1401" s="17">
        <f>IF($G1401="","",IFERROR(INDEX(NomsEmployes,MATCH($G1401,MatriculesEmployes,0)),"MATRICULE INCONNU"))</f>
        <v/>
      </c>
      <c r="K1401" s="33">
        <f>IF(OR($D1401="",$F1401=""),"",IFERROR(IF(INDEX(RUNS!$L$6:$S$1005,MATCH($D1401,RUNS!$A$6:$A$1005,0),MATCH("ACTIVITÉ "&amp;$F1401,RUNS!$L$5:$S$5,0))="","",INDEX(RUNS!$L$6:$S$1005,MATCH($D1401,RUNS!$A$6:$A$1005,0),MATCH("ACTIVITÉ "&amp;$F1401,RUNS!$L$5:$S$5,0))),""))</f>
        <v/>
      </c>
      <c r="L1401" s="33">
        <f>IF($D1401="","",IFERROR(IF(INDEX(RUNS!$E$6:$E$1005,MATCH($D1401,RUNS!$A$6:$A$1005,0))="","",INDEX(RUNS!$E$6:$E$1005,MATCH($D1401,RUNS!$A$6:$A$1005,0))),""))</f>
        <v/>
      </c>
      <c r="M1401" s="33">
        <f>IF($D1401="","",IFERROR(IF(INDEX(RUNS!$F$6:$F$1005,MATCH($D1401,RUNS!$A$6:$A$1005,0))="","",INDEX(RUNS!$F$6:$F$1005,MATCH($D1401,RUNS!$A$6:$A$1005,0))),""))</f>
        <v/>
      </c>
      <c r="N1401" s="33">
        <f>IF($D1401="","",IFERROR(IF(INDEX(RUNS!$G$6:$G$1005,MATCH($D1401,RUNS!$A$6:$A$1005,0))="","",INDEX(RUNS!$G$6:$G$1005,MATCH($D1401,RUNS!$A$6:$A$1005,0))),""))</f>
        <v/>
      </c>
      <c r="O1401" s="33">
        <f>IF($D1401="","",IFERROR(IF(INDEX(RUNS!$H$6:$H$1005,MATCH($D1401,RUNS!$A$6:$A$1005,0))="","",INDEX(RUNS!$H$6:$H$1005,MATCH($D1401,RUNS!$A$6:$A$1005,0))),""))</f>
        <v/>
      </c>
      <c r="P1401" s="33">
        <f>IF($D1401="","",IFERROR(IF(INDEX(RUNS!$J$6:$J$1005,MATCH($D1401,RUNS!$A$6:$A$1005,0))="","",INDEX(RUNS!$J$6:$J$1005,MATCH($D1401,RUNS!$A$6:$A$1005,0))),""))</f>
        <v/>
      </c>
      <c r="Q1401" s="33">
        <f>IF($D1401="","",IFERROR(IF(INDEX(RUNS!$K$6:$K$1005,MATCH($D1401,RUNS!$A$6:$A$1005,0))="","",INDEX(RUNS!$K$6:$K$1005,MATCH($D1401,RUNS!$A$6:$A$1005,0))),""))</f>
        <v/>
      </c>
      <c r="R1401" s="34">
        <f>IF(OR($L1401="",$K1401=""),"",IFERROR(IF(INDEX(PARAMETRES!$H$43:$H$342,MATCH($L1401&amp;"|"&amp;$M1401&amp;"|"&amp;$N1401&amp;"|"&amp;$O1401&amp;"|"&amp;$P1401&amp;"|"&amp;$Q1401&amp;"|"&amp;$K1401,PARAMETRES!$J$43:$J$342,0))="","",INDEX(PARAMETRES!$H$43:$H$342,MATCH($L1401&amp;"|"&amp;$M1401&amp;"|"&amp;$N1401&amp;"|"&amp;$O1401&amp;"|"&amp;$P1401&amp;"|"&amp;$Q1401&amp;"|"&amp;$K1401,PARAMETRES!$J$43:$J$342,0))),""))</f>
        <v/>
      </c>
      <c r="S1401" s="35">
        <f>IF(OR($G1401="",$X1401&lt;&gt;"VALIDE"),"",IFERROR(LOOKUP(2,1/(($B501:$B1400=$B1401)*($G501:$G1400=$G1401)*($X501:$X1400="VALIDE")),$C501:$C1400),""))</f>
        <v/>
      </c>
      <c r="T1401" s="36">
        <f>IF(OR($C1401="",$S1401=""),"",ROUND(($C1401-$S1401+IF($C1401&lt;$S1401,1,0))*1440,0))</f>
        <v/>
      </c>
      <c r="U1401" s="22">
        <f>IF(OR($H1401="",$T1401="",$T1401&lt;=0),"",$H1401*60/$T1401)</f>
        <v/>
      </c>
      <c r="V1401" s="37">
        <f>IF(OR($U1401="",$R1401="",$R1401=0),"",$U1401/$R1401)</f>
        <v/>
      </c>
      <c r="W1401" s="20">
        <f>IF($G1401="","",IF($X1401="CONTEXTE INCOMPLET","CONTEXTE INCOMPLET",IF($X1401="DOUBLON",StatutDoublon,IF($S1401="",StatutInitial,IF($R1401="",StatutStandardManquant,IF($V1401="","DONNEES INSUFFISANTES",IF($V1401&gt;=SeuilConforme,StatutConforme,IF($V1401&gt;=SeuilSurveiller,StatutSurveiller,StatutSousStandard))))))))</f>
        <v/>
      </c>
      <c r="X1401" s="33">
        <f>IF($G1401="","",IF(OR($D1401="",$E1401="",$F1401=""),"CONTEXTE INCOMPLET",IF(COUNTIFS($D501:$D1400,$D1401,$E501:$E1400,$E1401,$F501:$F1400,$F1401,$G501:$G1400,$G1401)&gt;0,"DOUBLON","VALIDE")))</f>
        <v/>
      </c>
    </row>
    <row r="1402" ht="15" customHeight="1">
      <c r="A1402" s="12">
        <f>IF(OR($B1402="",$G1402=""),"",TEXT($B1402,"YYYYMMDD")&amp;"-"&amp;SUBSTITUTE($E1402," ","")&amp;"-"&amp;$F1402&amp;"-"&amp;$G1402)</f>
        <v/>
      </c>
      <c r="B1402" s="15" t="n"/>
      <c r="C1402" s="16" t="n"/>
      <c r="D1402" s="10" t="n"/>
      <c r="E1402" s="9" t="n"/>
      <c r="F1402" s="9" t="n"/>
      <c r="G1402" s="13" t="n"/>
      <c r="H1402" s="21" t="n"/>
      <c r="I1402" s="21" t="n"/>
      <c r="J1402" s="17">
        <f>IF($G1402="","",IFERROR(INDEX(NomsEmployes,MATCH($G1402,MatriculesEmployes,0)),"MATRICULE INCONNU"))</f>
        <v/>
      </c>
      <c r="K1402" s="33">
        <f>IF(OR($D1402="",$F1402=""),"",IFERROR(IF(INDEX(RUNS!$L$6:$S$1005,MATCH($D1402,RUNS!$A$6:$A$1005,0),MATCH("ACTIVITÉ "&amp;$F1402,RUNS!$L$5:$S$5,0))="","",INDEX(RUNS!$L$6:$S$1005,MATCH($D1402,RUNS!$A$6:$A$1005,0),MATCH("ACTIVITÉ "&amp;$F1402,RUNS!$L$5:$S$5,0))),""))</f>
        <v/>
      </c>
      <c r="L1402" s="33">
        <f>IF($D1402="","",IFERROR(IF(INDEX(RUNS!$E$6:$E$1005,MATCH($D1402,RUNS!$A$6:$A$1005,0))="","",INDEX(RUNS!$E$6:$E$1005,MATCH($D1402,RUNS!$A$6:$A$1005,0))),""))</f>
        <v/>
      </c>
      <c r="M1402" s="33">
        <f>IF($D1402="","",IFERROR(IF(INDEX(RUNS!$F$6:$F$1005,MATCH($D1402,RUNS!$A$6:$A$1005,0))="","",INDEX(RUNS!$F$6:$F$1005,MATCH($D1402,RUNS!$A$6:$A$1005,0))),""))</f>
        <v/>
      </c>
      <c r="N1402" s="33">
        <f>IF($D1402="","",IFERROR(IF(INDEX(RUNS!$G$6:$G$1005,MATCH($D1402,RUNS!$A$6:$A$1005,0))="","",INDEX(RUNS!$G$6:$G$1005,MATCH($D1402,RUNS!$A$6:$A$1005,0))),""))</f>
        <v/>
      </c>
      <c r="O1402" s="33">
        <f>IF($D1402="","",IFERROR(IF(INDEX(RUNS!$H$6:$H$1005,MATCH($D1402,RUNS!$A$6:$A$1005,0))="","",INDEX(RUNS!$H$6:$H$1005,MATCH($D1402,RUNS!$A$6:$A$1005,0))),""))</f>
        <v/>
      </c>
      <c r="P1402" s="33">
        <f>IF($D1402="","",IFERROR(IF(INDEX(RUNS!$J$6:$J$1005,MATCH($D1402,RUNS!$A$6:$A$1005,0))="","",INDEX(RUNS!$J$6:$J$1005,MATCH($D1402,RUNS!$A$6:$A$1005,0))),""))</f>
        <v/>
      </c>
      <c r="Q1402" s="33">
        <f>IF($D1402="","",IFERROR(IF(INDEX(RUNS!$K$6:$K$1005,MATCH($D1402,RUNS!$A$6:$A$1005,0))="","",INDEX(RUNS!$K$6:$K$1005,MATCH($D1402,RUNS!$A$6:$A$1005,0))),""))</f>
        <v/>
      </c>
      <c r="R1402" s="34">
        <f>IF(OR($L1402="",$K1402=""),"",IFERROR(IF(INDEX(PARAMETRES!$H$43:$H$342,MATCH($L1402&amp;"|"&amp;$M1402&amp;"|"&amp;$N1402&amp;"|"&amp;$O1402&amp;"|"&amp;$P1402&amp;"|"&amp;$Q1402&amp;"|"&amp;$K1402,PARAMETRES!$J$43:$J$342,0))="","",INDEX(PARAMETRES!$H$43:$H$342,MATCH($L1402&amp;"|"&amp;$M1402&amp;"|"&amp;$N1402&amp;"|"&amp;$O1402&amp;"|"&amp;$P1402&amp;"|"&amp;$Q1402&amp;"|"&amp;$K1402,PARAMETRES!$J$43:$J$342,0))),""))</f>
        <v/>
      </c>
      <c r="S1402" s="35">
        <f>IF(OR($G1402="",$X1402&lt;&gt;"VALIDE"),"",IFERROR(LOOKUP(2,1/(($B502:$B1401=$B1402)*($G502:$G1401=$G1402)*($X502:$X1401="VALIDE")),$C502:$C1401),""))</f>
        <v/>
      </c>
      <c r="T1402" s="36">
        <f>IF(OR($C1402="",$S1402=""),"",ROUND(($C1402-$S1402+IF($C1402&lt;$S1402,1,0))*1440,0))</f>
        <v/>
      </c>
      <c r="U1402" s="22">
        <f>IF(OR($H1402="",$T1402="",$T1402&lt;=0),"",$H1402*60/$T1402)</f>
        <v/>
      </c>
      <c r="V1402" s="37">
        <f>IF(OR($U1402="",$R1402="",$R1402=0),"",$U1402/$R1402)</f>
        <v/>
      </c>
      <c r="W1402" s="20">
        <f>IF($G1402="","",IF($X1402="CONTEXTE INCOMPLET","CONTEXTE INCOMPLET",IF($X1402="DOUBLON",StatutDoublon,IF($S1402="",StatutInitial,IF($R1402="",StatutStandardManquant,IF($V1402="","DONNEES INSUFFISANTES",IF($V1402&gt;=SeuilConforme,StatutConforme,IF($V1402&gt;=SeuilSurveiller,StatutSurveiller,StatutSousStandard))))))))</f>
        <v/>
      </c>
      <c r="X1402" s="33">
        <f>IF($G1402="","",IF(OR($D1402="",$E1402="",$F1402=""),"CONTEXTE INCOMPLET",IF(COUNTIFS($D502:$D1401,$D1402,$E502:$E1401,$E1402,$F502:$F1401,$F1402,$G502:$G1401,$G1402)&gt;0,"DOUBLON","VALIDE")))</f>
        <v/>
      </c>
    </row>
    <row r="1403" ht="15" customHeight="1">
      <c r="A1403" s="12">
        <f>IF(OR($B1403="",$G1403=""),"",TEXT($B1403,"YYYYMMDD")&amp;"-"&amp;SUBSTITUTE($E1403," ","")&amp;"-"&amp;$F1403&amp;"-"&amp;$G1403)</f>
        <v/>
      </c>
      <c r="B1403" s="15" t="n"/>
      <c r="C1403" s="16" t="n"/>
      <c r="D1403" s="10" t="n"/>
      <c r="E1403" s="9" t="n"/>
      <c r="F1403" s="9" t="n"/>
      <c r="G1403" s="13" t="n"/>
      <c r="H1403" s="21" t="n"/>
      <c r="I1403" s="21" t="n"/>
      <c r="J1403" s="17">
        <f>IF($G1403="","",IFERROR(INDEX(NomsEmployes,MATCH($G1403,MatriculesEmployes,0)),"MATRICULE INCONNU"))</f>
        <v/>
      </c>
      <c r="K1403" s="33">
        <f>IF(OR($D1403="",$F1403=""),"",IFERROR(IF(INDEX(RUNS!$L$6:$S$1005,MATCH($D1403,RUNS!$A$6:$A$1005,0),MATCH("ACTIVITÉ "&amp;$F1403,RUNS!$L$5:$S$5,0))="","",INDEX(RUNS!$L$6:$S$1005,MATCH($D1403,RUNS!$A$6:$A$1005,0),MATCH("ACTIVITÉ "&amp;$F1403,RUNS!$L$5:$S$5,0))),""))</f>
        <v/>
      </c>
      <c r="L1403" s="33">
        <f>IF($D1403="","",IFERROR(IF(INDEX(RUNS!$E$6:$E$1005,MATCH($D1403,RUNS!$A$6:$A$1005,0))="","",INDEX(RUNS!$E$6:$E$1005,MATCH($D1403,RUNS!$A$6:$A$1005,0))),""))</f>
        <v/>
      </c>
      <c r="M1403" s="33">
        <f>IF($D1403="","",IFERROR(IF(INDEX(RUNS!$F$6:$F$1005,MATCH($D1403,RUNS!$A$6:$A$1005,0))="","",INDEX(RUNS!$F$6:$F$1005,MATCH($D1403,RUNS!$A$6:$A$1005,0))),""))</f>
        <v/>
      </c>
      <c r="N1403" s="33">
        <f>IF($D1403="","",IFERROR(IF(INDEX(RUNS!$G$6:$G$1005,MATCH($D1403,RUNS!$A$6:$A$1005,0))="","",INDEX(RUNS!$G$6:$G$1005,MATCH($D1403,RUNS!$A$6:$A$1005,0))),""))</f>
        <v/>
      </c>
      <c r="O1403" s="33">
        <f>IF($D1403="","",IFERROR(IF(INDEX(RUNS!$H$6:$H$1005,MATCH($D1403,RUNS!$A$6:$A$1005,0))="","",INDEX(RUNS!$H$6:$H$1005,MATCH($D1403,RUNS!$A$6:$A$1005,0))),""))</f>
        <v/>
      </c>
      <c r="P1403" s="33">
        <f>IF($D1403="","",IFERROR(IF(INDEX(RUNS!$J$6:$J$1005,MATCH($D1403,RUNS!$A$6:$A$1005,0))="","",INDEX(RUNS!$J$6:$J$1005,MATCH($D1403,RUNS!$A$6:$A$1005,0))),""))</f>
        <v/>
      </c>
      <c r="Q1403" s="33">
        <f>IF($D1403="","",IFERROR(IF(INDEX(RUNS!$K$6:$K$1005,MATCH($D1403,RUNS!$A$6:$A$1005,0))="","",INDEX(RUNS!$K$6:$K$1005,MATCH($D1403,RUNS!$A$6:$A$1005,0))),""))</f>
        <v/>
      </c>
      <c r="R1403" s="34">
        <f>IF(OR($L1403="",$K1403=""),"",IFERROR(IF(INDEX(PARAMETRES!$H$43:$H$342,MATCH($L1403&amp;"|"&amp;$M1403&amp;"|"&amp;$N1403&amp;"|"&amp;$O1403&amp;"|"&amp;$P1403&amp;"|"&amp;$Q1403&amp;"|"&amp;$K1403,PARAMETRES!$J$43:$J$342,0))="","",INDEX(PARAMETRES!$H$43:$H$342,MATCH($L1403&amp;"|"&amp;$M1403&amp;"|"&amp;$N1403&amp;"|"&amp;$O1403&amp;"|"&amp;$P1403&amp;"|"&amp;$Q1403&amp;"|"&amp;$K1403,PARAMETRES!$J$43:$J$342,0))),""))</f>
        <v/>
      </c>
      <c r="S1403" s="35">
        <f>IF(OR($G1403="",$X1403&lt;&gt;"VALIDE"),"",IFERROR(LOOKUP(2,1/(($B503:$B1402=$B1403)*($G503:$G1402=$G1403)*($X503:$X1402="VALIDE")),$C503:$C1402),""))</f>
        <v/>
      </c>
      <c r="T1403" s="36">
        <f>IF(OR($C1403="",$S1403=""),"",ROUND(($C1403-$S1403+IF($C1403&lt;$S1403,1,0))*1440,0))</f>
        <v/>
      </c>
      <c r="U1403" s="22">
        <f>IF(OR($H1403="",$T1403="",$T1403&lt;=0),"",$H1403*60/$T1403)</f>
        <v/>
      </c>
      <c r="V1403" s="37">
        <f>IF(OR($U1403="",$R1403="",$R1403=0),"",$U1403/$R1403)</f>
        <v/>
      </c>
      <c r="W1403" s="20">
        <f>IF($G1403="","",IF($X1403="CONTEXTE INCOMPLET","CONTEXTE INCOMPLET",IF($X1403="DOUBLON",StatutDoublon,IF($S1403="",StatutInitial,IF($R1403="",StatutStandardManquant,IF($V1403="","DONNEES INSUFFISANTES",IF($V1403&gt;=SeuilConforme,StatutConforme,IF($V1403&gt;=SeuilSurveiller,StatutSurveiller,StatutSousStandard))))))))</f>
        <v/>
      </c>
      <c r="X1403" s="33">
        <f>IF($G1403="","",IF(OR($D1403="",$E1403="",$F1403=""),"CONTEXTE INCOMPLET",IF(COUNTIFS($D503:$D1402,$D1403,$E503:$E1402,$E1403,$F503:$F1402,$F1403,$G503:$G1402,$G1403)&gt;0,"DOUBLON","VALIDE")))</f>
        <v/>
      </c>
    </row>
    <row r="1404" ht="15" customHeight="1">
      <c r="A1404" s="12">
        <f>IF(OR($B1404="",$G1404=""),"",TEXT($B1404,"YYYYMMDD")&amp;"-"&amp;SUBSTITUTE($E1404," ","")&amp;"-"&amp;$F1404&amp;"-"&amp;$G1404)</f>
        <v/>
      </c>
      <c r="B1404" s="15" t="n"/>
      <c r="C1404" s="16" t="n"/>
      <c r="D1404" s="10" t="n"/>
      <c r="E1404" s="9" t="n"/>
      <c r="F1404" s="9" t="n"/>
      <c r="G1404" s="13" t="n"/>
      <c r="H1404" s="21" t="n"/>
      <c r="I1404" s="21" t="n"/>
      <c r="J1404" s="17">
        <f>IF($G1404="","",IFERROR(INDEX(NomsEmployes,MATCH($G1404,MatriculesEmployes,0)),"MATRICULE INCONNU"))</f>
        <v/>
      </c>
      <c r="K1404" s="33">
        <f>IF(OR($D1404="",$F1404=""),"",IFERROR(IF(INDEX(RUNS!$L$6:$S$1005,MATCH($D1404,RUNS!$A$6:$A$1005,0),MATCH("ACTIVITÉ "&amp;$F1404,RUNS!$L$5:$S$5,0))="","",INDEX(RUNS!$L$6:$S$1005,MATCH($D1404,RUNS!$A$6:$A$1005,0),MATCH("ACTIVITÉ "&amp;$F1404,RUNS!$L$5:$S$5,0))),""))</f>
        <v/>
      </c>
      <c r="L1404" s="33">
        <f>IF($D1404="","",IFERROR(IF(INDEX(RUNS!$E$6:$E$1005,MATCH($D1404,RUNS!$A$6:$A$1005,0))="","",INDEX(RUNS!$E$6:$E$1005,MATCH($D1404,RUNS!$A$6:$A$1005,0))),""))</f>
        <v/>
      </c>
      <c r="M1404" s="33">
        <f>IF($D1404="","",IFERROR(IF(INDEX(RUNS!$F$6:$F$1005,MATCH($D1404,RUNS!$A$6:$A$1005,0))="","",INDEX(RUNS!$F$6:$F$1005,MATCH($D1404,RUNS!$A$6:$A$1005,0))),""))</f>
        <v/>
      </c>
      <c r="N1404" s="33">
        <f>IF($D1404="","",IFERROR(IF(INDEX(RUNS!$G$6:$G$1005,MATCH($D1404,RUNS!$A$6:$A$1005,0))="","",INDEX(RUNS!$G$6:$G$1005,MATCH($D1404,RUNS!$A$6:$A$1005,0))),""))</f>
        <v/>
      </c>
      <c r="O1404" s="33">
        <f>IF($D1404="","",IFERROR(IF(INDEX(RUNS!$H$6:$H$1005,MATCH($D1404,RUNS!$A$6:$A$1005,0))="","",INDEX(RUNS!$H$6:$H$1005,MATCH($D1404,RUNS!$A$6:$A$1005,0))),""))</f>
        <v/>
      </c>
      <c r="P1404" s="33">
        <f>IF($D1404="","",IFERROR(IF(INDEX(RUNS!$J$6:$J$1005,MATCH($D1404,RUNS!$A$6:$A$1005,0))="","",INDEX(RUNS!$J$6:$J$1005,MATCH($D1404,RUNS!$A$6:$A$1005,0))),""))</f>
        <v/>
      </c>
      <c r="Q1404" s="33">
        <f>IF($D1404="","",IFERROR(IF(INDEX(RUNS!$K$6:$K$1005,MATCH($D1404,RUNS!$A$6:$A$1005,0))="","",INDEX(RUNS!$K$6:$K$1005,MATCH($D1404,RUNS!$A$6:$A$1005,0))),""))</f>
        <v/>
      </c>
      <c r="R1404" s="34">
        <f>IF(OR($L1404="",$K1404=""),"",IFERROR(IF(INDEX(PARAMETRES!$H$43:$H$342,MATCH($L1404&amp;"|"&amp;$M1404&amp;"|"&amp;$N1404&amp;"|"&amp;$O1404&amp;"|"&amp;$P1404&amp;"|"&amp;$Q1404&amp;"|"&amp;$K1404,PARAMETRES!$J$43:$J$342,0))="","",INDEX(PARAMETRES!$H$43:$H$342,MATCH($L1404&amp;"|"&amp;$M1404&amp;"|"&amp;$N1404&amp;"|"&amp;$O1404&amp;"|"&amp;$P1404&amp;"|"&amp;$Q1404&amp;"|"&amp;$K1404,PARAMETRES!$J$43:$J$342,0))),""))</f>
        <v/>
      </c>
      <c r="S1404" s="35">
        <f>IF(OR($G1404="",$X1404&lt;&gt;"VALIDE"),"",IFERROR(LOOKUP(2,1/(($B504:$B1403=$B1404)*($G504:$G1403=$G1404)*($X504:$X1403="VALIDE")),$C504:$C1403),""))</f>
        <v/>
      </c>
      <c r="T1404" s="36">
        <f>IF(OR($C1404="",$S1404=""),"",ROUND(($C1404-$S1404+IF($C1404&lt;$S1404,1,0))*1440,0))</f>
        <v/>
      </c>
      <c r="U1404" s="22">
        <f>IF(OR($H1404="",$T1404="",$T1404&lt;=0),"",$H1404*60/$T1404)</f>
        <v/>
      </c>
      <c r="V1404" s="37">
        <f>IF(OR($U1404="",$R1404="",$R1404=0),"",$U1404/$R1404)</f>
        <v/>
      </c>
      <c r="W1404" s="20">
        <f>IF($G1404="","",IF($X1404="CONTEXTE INCOMPLET","CONTEXTE INCOMPLET",IF($X1404="DOUBLON",StatutDoublon,IF($S1404="",StatutInitial,IF($R1404="",StatutStandardManquant,IF($V1404="","DONNEES INSUFFISANTES",IF($V1404&gt;=SeuilConforme,StatutConforme,IF($V1404&gt;=SeuilSurveiller,StatutSurveiller,StatutSousStandard))))))))</f>
        <v/>
      </c>
      <c r="X1404" s="33">
        <f>IF($G1404="","",IF(OR($D1404="",$E1404="",$F1404=""),"CONTEXTE INCOMPLET",IF(COUNTIFS($D504:$D1403,$D1404,$E504:$E1403,$E1404,$F504:$F1403,$F1404,$G504:$G1403,$G1404)&gt;0,"DOUBLON","VALIDE")))</f>
        <v/>
      </c>
    </row>
    <row r="1405" ht="15" customHeight="1">
      <c r="A1405" s="12">
        <f>IF(OR($B1405="",$G1405=""),"",TEXT($B1405,"YYYYMMDD")&amp;"-"&amp;SUBSTITUTE($E1405," ","")&amp;"-"&amp;$F1405&amp;"-"&amp;$G1405)</f>
        <v/>
      </c>
      <c r="B1405" s="15" t="n"/>
      <c r="C1405" s="16" t="n"/>
      <c r="D1405" s="10" t="n"/>
      <c r="E1405" s="9" t="n"/>
      <c r="F1405" s="9" t="n"/>
      <c r="G1405" s="13" t="n"/>
      <c r="H1405" s="21" t="n"/>
      <c r="I1405" s="21" t="n"/>
      <c r="J1405" s="17">
        <f>IF($G1405="","",IFERROR(INDEX(NomsEmployes,MATCH($G1405,MatriculesEmployes,0)),"MATRICULE INCONNU"))</f>
        <v/>
      </c>
      <c r="K1405" s="33">
        <f>IF(OR($D1405="",$F1405=""),"",IFERROR(IF(INDEX(RUNS!$L$6:$S$1005,MATCH($D1405,RUNS!$A$6:$A$1005,0),MATCH("ACTIVITÉ "&amp;$F1405,RUNS!$L$5:$S$5,0))="","",INDEX(RUNS!$L$6:$S$1005,MATCH($D1405,RUNS!$A$6:$A$1005,0),MATCH("ACTIVITÉ "&amp;$F1405,RUNS!$L$5:$S$5,0))),""))</f>
        <v/>
      </c>
      <c r="L1405" s="33">
        <f>IF($D1405="","",IFERROR(IF(INDEX(RUNS!$E$6:$E$1005,MATCH($D1405,RUNS!$A$6:$A$1005,0))="","",INDEX(RUNS!$E$6:$E$1005,MATCH($D1405,RUNS!$A$6:$A$1005,0))),""))</f>
        <v/>
      </c>
      <c r="M1405" s="33">
        <f>IF($D1405="","",IFERROR(IF(INDEX(RUNS!$F$6:$F$1005,MATCH($D1405,RUNS!$A$6:$A$1005,0))="","",INDEX(RUNS!$F$6:$F$1005,MATCH($D1405,RUNS!$A$6:$A$1005,0))),""))</f>
        <v/>
      </c>
      <c r="N1405" s="33">
        <f>IF($D1405="","",IFERROR(IF(INDEX(RUNS!$G$6:$G$1005,MATCH($D1405,RUNS!$A$6:$A$1005,0))="","",INDEX(RUNS!$G$6:$G$1005,MATCH($D1405,RUNS!$A$6:$A$1005,0))),""))</f>
        <v/>
      </c>
      <c r="O1405" s="33">
        <f>IF($D1405="","",IFERROR(IF(INDEX(RUNS!$H$6:$H$1005,MATCH($D1405,RUNS!$A$6:$A$1005,0))="","",INDEX(RUNS!$H$6:$H$1005,MATCH($D1405,RUNS!$A$6:$A$1005,0))),""))</f>
        <v/>
      </c>
      <c r="P1405" s="33">
        <f>IF($D1405="","",IFERROR(IF(INDEX(RUNS!$J$6:$J$1005,MATCH($D1405,RUNS!$A$6:$A$1005,0))="","",INDEX(RUNS!$J$6:$J$1005,MATCH($D1405,RUNS!$A$6:$A$1005,0))),""))</f>
        <v/>
      </c>
      <c r="Q1405" s="33">
        <f>IF($D1405="","",IFERROR(IF(INDEX(RUNS!$K$6:$K$1005,MATCH($D1405,RUNS!$A$6:$A$1005,0))="","",INDEX(RUNS!$K$6:$K$1005,MATCH($D1405,RUNS!$A$6:$A$1005,0))),""))</f>
        <v/>
      </c>
      <c r="R1405" s="34">
        <f>IF(OR($L1405="",$K1405=""),"",IFERROR(IF(INDEX(PARAMETRES!$H$43:$H$342,MATCH($L1405&amp;"|"&amp;$M1405&amp;"|"&amp;$N1405&amp;"|"&amp;$O1405&amp;"|"&amp;$P1405&amp;"|"&amp;$Q1405&amp;"|"&amp;$K1405,PARAMETRES!$J$43:$J$342,0))="","",INDEX(PARAMETRES!$H$43:$H$342,MATCH($L1405&amp;"|"&amp;$M1405&amp;"|"&amp;$N1405&amp;"|"&amp;$O1405&amp;"|"&amp;$P1405&amp;"|"&amp;$Q1405&amp;"|"&amp;$K1405,PARAMETRES!$J$43:$J$342,0))),""))</f>
        <v/>
      </c>
      <c r="S1405" s="35">
        <f>IF(OR($G1405="",$X1405&lt;&gt;"VALIDE"),"",IFERROR(LOOKUP(2,1/(($B505:$B1404=$B1405)*($G505:$G1404=$G1405)*($X505:$X1404="VALIDE")),$C505:$C1404),""))</f>
        <v/>
      </c>
      <c r="T1405" s="36">
        <f>IF(OR($C1405="",$S1405=""),"",ROUND(($C1405-$S1405+IF($C1405&lt;$S1405,1,0))*1440,0))</f>
        <v/>
      </c>
      <c r="U1405" s="22">
        <f>IF(OR($H1405="",$T1405="",$T1405&lt;=0),"",$H1405*60/$T1405)</f>
        <v/>
      </c>
      <c r="V1405" s="37">
        <f>IF(OR($U1405="",$R1405="",$R1405=0),"",$U1405/$R1405)</f>
        <v/>
      </c>
      <c r="W1405" s="20">
        <f>IF($G1405="","",IF($X1405="CONTEXTE INCOMPLET","CONTEXTE INCOMPLET",IF($X1405="DOUBLON",StatutDoublon,IF($S1405="",StatutInitial,IF($R1405="",StatutStandardManquant,IF($V1405="","DONNEES INSUFFISANTES",IF($V1405&gt;=SeuilConforme,StatutConforme,IF($V1405&gt;=SeuilSurveiller,StatutSurveiller,StatutSousStandard))))))))</f>
        <v/>
      </c>
      <c r="X1405" s="33">
        <f>IF($G1405="","",IF(OR($D1405="",$E1405="",$F1405=""),"CONTEXTE INCOMPLET",IF(COUNTIFS($D505:$D1404,$D1405,$E505:$E1404,$E1405,$F505:$F1404,$F1405,$G505:$G1404,$G1405)&gt;0,"DOUBLON","VALIDE")))</f>
        <v/>
      </c>
    </row>
    <row r="1406" ht="15" customHeight="1">
      <c r="A1406" s="12">
        <f>IF(OR($B1406="",$G1406=""),"",TEXT($B1406,"YYYYMMDD")&amp;"-"&amp;SUBSTITUTE($E1406," ","")&amp;"-"&amp;$F1406&amp;"-"&amp;$G1406)</f>
        <v/>
      </c>
      <c r="B1406" s="15" t="n"/>
      <c r="C1406" s="16" t="n"/>
      <c r="D1406" s="10" t="n"/>
      <c r="E1406" s="9" t="n"/>
      <c r="F1406" s="9" t="n"/>
      <c r="G1406" s="13" t="n"/>
      <c r="H1406" s="21" t="n"/>
      <c r="I1406" s="21" t="n"/>
      <c r="J1406" s="17">
        <f>IF($G1406="","",IFERROR(INDEX(NomsEmployes,MATCH($G1406,MatriculesEmployes,0)),"MATRICULE INCONNU"))</f>
        <v/>
      </c>
      <c r="K1406" s="33">
        <f>IF(OR($D1406="",$F1406=""),"",IFERROR(IF(INDEX(RUNS!$L$6:$S$1005,MATCH($D1406,RUNS!$A$6:$A$1005,0),MATCH("ACTIVITÉ "&amp;$F1406,RUNS!$L$5:$S$5,0))="","",INDEX(RUNS!$L$6:$S$1005,MATCH($D1406,RUNS!$A$6:$A$1005,0),MATCH("ACTIVITÉ "&amp;$F1406,RUNS!$L$5:$S$5,0))),""))</f>
        <v/>
      </c>
      <c r="L1406" s="33">
        <f>IF($D1406="","",IFERROR(IF(INDEX(RUNS!$E$6:$E$1005,MATCH($D1406,RUNS!$A$6:$A$1005,0))="","",INDEX(RUNS!$E$6:$E$1005,MATCH($D1406,RUNS!$A$6:$A$1005,0))),""))</f>
        <v/>
      </c>
      <c r="M1406" s="33">
        <f>IF($D1406="","",IFERROR(IF(INDEX(RUNS!$F$6:$F$1005,MATCH($D1406,RUNS!$A$6:$A$1005,0))="","",INDEX(RUNS!$F$6:$F$1005,MATCH($D1406,RUNS!$A$6:$A$1005,0))),""))</f>
        <v/>
      </c>
      <c r="N1406" s="33">
        <f>IF($D1406="","",IFERROR(IF(INDEX(RUNS!$G$6:$G$1005,MATCH($D1406,RUNS!$A$6:$A$1005,0))="","",INDEX(RUNS!$G$6:$G$1005,MATCH($D1406,RUNS!$A$6:$A$1005,0))),""))</f>
        <v/>
      </c>
      <c r="O1406" s="33">
        <f>IF($D1406="","",IFERROR(IF(INDEX(RUNS!$H$6:$H$1005,MATCH($D1406,RUNS!$A$6:$A$1005,0))="","",INDEX(RUNS!$H$6:$H$1005,MATCH($D1406,RUNS!$A$6:$A$1005,0))),""))</f>
        <v/>
      </c>
      <c r="P1406" s="33">
        <f>IF($D1406="","",IFERROR(IF(INDEX(RUNS!$J$6:$J$1005,MATCH($D1406,RUNS!$A$6:$A$1005,0))="","",INDEX(RUNS!$J$6:$J$1005,MATCH($D1406,RUNS!$A$6:$A$1005,0))),""))</f>
        <v/>
      </c>
      <c r="Q1406" s="33">
        <f>IF($D1406="","",IFERROR(IF(INDEX(RUNS!$K$6:$K$1005,MATCH($D1406,RUNS!$A$6:$A$1005,0))="","",INDEX(RUNS!$K$6:$K$1005,MATCH($D1406,RUNS!$A$6:$A$1005,0))),""))</f>
        <v/>
      </c>
      <c r="R1406" s="34">
        <f>IF(OR($L1406="",$K1406=""),"",IFERROR(IF(INDEX(PARAMETRES!$H$43:$H$342,MATCH($L1406&amp;"|"&amp;$M1406&amp;"|"&amp;$N1406&amp;"|"&amp;$O1406&amp;"|"&amp;$P1406&amp;"|"&amp;$Q1406&amp;"|"&amp;$K1406,PARAMETRES!$J$43:$J$342,0))="","",INDEX(PARAMETRES!$H$43:$H$342,MATCH($L1406&amp;"|"&amp;$M1406&amp;"|"&amp;$N1406&amp;"|"&amp;$O1406&amp;"|"&amp;$P1406&amp;"|"&amp;$Q1406&amp;"|"&amp;$K1406,PARAMETRES!$J$43:$J$342,0))),""))</f>
        <v/>
      </c>
      <c r="S1406" s="35">
        <f>IF(OR($G1406="",$X1406&lt;&gt;"VALIDE"),"",IFERROR(LOOKUP(2,1/(($B506:$B1405=$B1406)*($G506:$G1405=$G1406)*($X506:$X1405="VALIDE")),$C506:$C1405),""))</f>
        <v/>
      </c>
      <c r="T1406" s="36">
        <f>IF(OR($C1406="",$S1406=""),"",ROUND(($C1406-$S1406+IF($C1406&lt;$S1406,1,0))*1440,0))</f>
        <v/>
      </c>
      <c r="U1406" s="22">
        <f>IF(OR($H1406="",$T1406="",$T1406&lt;=0),"",$H1406*60/$T1406)</f>
        <v/>
      </c>
      <c r="V1406" s="37">
        <f>IF(OR($U1406="",$R1406="",$R1406=0),"",$U1406/$R1406)</f>
        <v/>
      </c>
      <c r="W1406" s="20">
        <f>IF($G1406="","",IF($X1406="CONTEXTE INCOMPLET","CONTEXTE INCOMPLET",IF($X1406="DOUBLON",StatutDoublon,IF($S1406="",StatutInitial,IF($R1406="",StatutStandardManquant,IF($V1406="","DONNEES INSUFFISANTES",IF($V1406&gt;=SeuilConforme,StatutConforme,IF($V1406&gt;=SeuilSurveiller,StatutSurveiller,StatutSousStandard))))))))</f>
        <v/>
      </c>
      <c r="X1406" s="33">
        <f>IF($G1406="","",IF(OR($D1406="",$E1406="",$F1406=""),"CONTEXTE INCOMPLET",IF(COUNTIFS($D506:$D1405,$D1406,$E506:$E1405,$E1406,$F506:$F1405,$F1406,$G506:$G1405,$G1406)&gt;0,"DOUBLON","VALIDE")))</f>
        <v/>
      </c>
    </row>
    <row r="1407" ht="15" customHeight="1">
      <c r="A1407" s="12">
        <f>IF(OR($B1407="",$G1407=""),"",TEXT($B1407,"YYYYMMDD")&amp;"-"&amp;SUBSTITUTE($E1407," ","")&amp;"-"&amp;$F1407&amp;"-"&amp;$G1407)</f>
        <v/>
      </c>
      <c r="B1407" s="15" t="n"/>
      <c r="C1407" s="16" t="n"/>
      <c r="D1407" s="10" t="n"/>
      <c r="E1407" s="9" t="n"/>
      <c r="F1407" s="9" t="n"/>
      <c r="G1407" s="13" t="n"/>
      <c r="H1407" s="21" t="n"/>
      <c r="I1407" s="21" t="n"/>
      <c r="J1407" s="17">
        <f>IF($G1407="","",IFERROR(INDEX(NomsEmployes,MATCH($G1407,MatriculesEmployes,0)),"MATRICULE INCONNU"))</f>
        <v/>
      </c>
      <c r="K1407" s="33">
        <f>IF(OR($D1407="",$F1407=""),"",IFERROR(IF(INDEX(RUNS!$L$6:$S$1005,MATCH($D1407,RUNS!$A$6:$A$1005,0),MATCH("ACTIVITÉ "&amp;$F1407,RUNS!$L$5:$S$5,0))="","",INDEX(RUNS!$L$6:$S$1005,MATCH($D1407,RUNS!$A$6:$A$1005,0),MATCH("ACTIVITÉ "&amp;$F1407,RUNS!$L$5:$S$5,0))),""))</f>
        <v/>
      </c>
      <c r="L1407" s="33">
        <f>IF($D1407="","",IFERROR(IF(INDEX(RUNS!$E$6:$E$1005,MATCH($D1407,RUNS!$A$6:$A$1005,0))="","",INDEX(RUNS!$E$6:$E$1005,MATCH($D1407,RUNS!$A$6:$A$1005,0))),""))</f>
        <v/>
      </c>
      <c r="M1407" s="33">
        <f>IF($D1407="","",IFERROR(IF(INDEX(RUNS!$F$6:$F$1005,MATCH($D1407,RUNS!$A$6:$A$1005,0))="","",INDEX(RUNS!$F$6:$F$1005,MATCH($D1407,RUNS!$A$6:$A$1005,0))),""))</f>
        <v/>
      </c>
      <c r="N1407" s="33">
        <f>IF($D1407="","",IFERROR(IF(INDEX(RUNS!$G$6:$G$1005,MATCH($D1407,RUNS!$A$6:$A$1005,0))="","",INDEX(RUNS!$G$6:$G$1005,MATCH($D1407,RUNS!$A$6:$A$1005,0))),""))</f>
        <v/>
      </c>
      <c r="O1407" s="33">
        <f>IF($D1407="","",IFERROR(IF(INDEX(RUNS!$H$6:$H$1005,MATCH($D1407,RUNS!$A$6:$A$1005,0))="","",INDEX(RUNS!$H$6:$H$1005,MATCH($D1407,RUNS!$A$6:$A$1005,0))),""))</f>
        <v/>
      </c>
      <c r="P1407" s="33">
        <f>IF($D1407="","",IFERROR(IF(INDEX(RUNS!$J$6:$J$1005,MATCH($D1407,RUNS!$A$6:$A$1005,0))="","",INDEX(RUNS!$J$6:$J$1005,MATCH($D1407,RUNS!$A$6:$A$1005,0))),""))</f>
        <v/>
      </c>
      <c r="Q1407" s="33">
        <f>IF($D1407="","",IFERROR(IF(INDEX(RUNS!$K$6:$K$1005,MATCH($D1407,RUNS!$A$6:$A$1005,0))="","",INDEX(RUNS!$K$6:$K$1005,MATCH($D1407,RUNS!$A$6:$A$1005,0))),""))</f>
        <v/>
      </c>
      <c r="R1407" s="34">
        <f>IF(OR($L1407="",$K1407=""),"",IFERROR(IF(INDEX(PARAMETRES!$H$43:$H$342,MATCH($L1407&amp;"|"&amp;$M1407&amp;"|"&amp;$N1407&amp;"|"&amp;$O1407&amp;"|"&amp;$P1407&amp;"|"&amp;$Q1407&amp;"|"&amp;$K1407,PARAMETRES!$J$43:$J$342,0))="","",INDEX(PARAMETRES!$H$43:$H$342,MATCH($L1407&amp;"|"&amp;$M1407&amp;"|"&amp;$N1407&amp;"|"&amp;$O1407&amp;"|"&amp;$P1407&amp;"|"&amp;$Q1407&amp;"|"&amp;$K1407,PARAMETRES!$J$43:$J$342,0))),""))</f>
        <v/>
      </c>
      <c r="S1407" s="35">
        <f>IF(OR($G1407="",$X1407&lt;&gt;"VALIDE"),"",IFERROR(LOOKUP(2,1/(($B507:$B1406=$B1407)*($G507:$G1406=$G1407)*($X507:$X1406="VALIDE")),$C507:$C1406),""))</f>
        <v/>
      </c>
      <c r="T1407" s="36">
        <f>IF(OR($C1407="",$S1407=""),"",ROUND(($C1407-$S1407+IF($C1407&lt;$S1407,1,0))*1440,0))</f>
        <v/>
      </c>
      <c r="U1407" s="22">
        <f>IF(OR($H1407="",$T1407="",$T1407&lt;=0),"",$H1407*60/$T1407)</f>
        <v/>
      </c>
      <c r="V1407" s="37">
        <f>IF(OR($U1407="",$R1407="",$R1407=0),"",$U1407/$R1407)</f>
        <v/>
      </c>
      <c r="W1407" s="20">
        <f>IF($G1407="","",IF($X1407="CONTEXTE INCOMPLET","CONTEXTE INCOMPLET",IF($X1407="DOUBLON",StatutDoublon,IF($S1407="",StatutInitial,IF($R1407="",StatutStandardManquant,IF($V1407="","DONNEES INSUFFISANTES",IF($V1407&gt;=SeuilConforme,StatutConforme,IF($V1407&gt;=SeuilSurveiller,StatutSurveiller,StatutSousStandard))))))))</f>
        <v/>
      </c>
      <c r="X1407" s="33">
        <f>IF($G1407="","",IF(OR($D1407="",$E1407="",$F1407=""),"CONTEXTE INCOMPLET",IF(COUNTIFS($D507:$D1406,$D1407,$E507:$E1406,$E1407,$F507:$F1406,$F1407,$G507:$G1406,$G1407)&gt;0,"DOUBLON","VALIDE")))</f>
        <v/>
      </c>
    </row>
    <row r="1408" ht="15" customHeight="1">
      <c r="A1408" s="12">
        <f>IF(OR($B1408="",$G1408=""),"",TEXT($B1408,"YYYYMMDD")&amp;"-"&amp;SUBSTITUTE($E1408," ","")&amp;"-"&amp;$F1408&amp;"-"&amp;$G1408)</f>
        <v/>
      </c>
      <c r="B1408" s="15" t="n"/>
      <c r="C1408" s="16" t="n"/>
      <c r="D1408" s="10" t="n"/>
      <c r="E1408" s="9" t="n"/>
      <c r="F1408" s="9" t="n"/>
      <c r="G1408" s="13" t="n"/>
      <c r="H1408" s="21" t="n"/>
      <c r="I1408" s="21" t="n"/>
      <c r="J1408" s="17">
        <f>IF($G1408="","",IFERROR(INDEX(NomsEmployes,MATCH($G1408,MatriculesEmployes,0)),"MATRICULE INCONNU"))</f>
        <v/>
      </c>
      <c r="K1408" s="33">
        <f>IF(OR($D1408="",$F1408=""),"",IFERROR(IF(INDEX(RUNS!$L$6:$S$1005,MATCH($D1408,RUNS!$A$6:$A$1005,0),MATCH("ACTIVITÉ "&amp;$F1408,RUNS!$L$5:$S$5,0))="","",INDEX(RUNS!$L$6:$S$1005,MATCH($D1408,RUNS!$A$6:$A$1005,0),MATCH("ACTIVITÉ "&amp;$F1408,RUNS!$L$5:$S$5,0))),""))</f>
        <v/>
      </c>
      <c r="L1408" s="33">
        <f>IF($D1408="","",IFERROR(IF(INDEX(RUNS!$E$6:$E$1005,MATCH($D1408,RUNS!$A$6:$A$1005,0))="","",INDEX(RUNS!$E$6:$E$1005,MATCH($D1408,RUNS!$A$6:$A$1005,0))),""))</f>
        <v/>
      </c>
      <c r="M1408" s="33">
        <f>IF($D1408="","",IFERROR(IF(INDEX(RUNS!$F$6:$F$1005,MATCH($D1408,RUNS!$A$6:$A$1005,0))="","",INDEX(RUNS!$F$6:$F$1005,MATCH($D1408,RUNS!$A$6:$A$1005,0))),""))</f>
        <v/>
      </c>
      <c r="N1408" s="33">
        <f>IF($D1408="","",IFERROR(IF(INDEX(RUNS!$G$6:$G$1005,MATCH($D1408,RUNS!$A$6:$A$1005,0))="","",INDEX(RUNS!$G$6:$G$1005,MATCH($D1408,RUNS!$A$6:$A$1005,0))),""))</f>
        <v/>
      </c>
      <c r="O1408" s="33">
        <f>IF($D1408="","",IFERROR(IF(INDEX(RUNS!$H$6:$H$1005,MATCH($D1408,RUNS!$A$6:$A$1005,0))="","",INDEX(RUNS!$H$6:$H$1005,MATCH($D1408,RUNS!$A$6:$A$1005,0))),""))</f>
        <v/>
      </c>
      <c r="P1408" s="33">
        <f>IF($D1408="","",IFERROR(IF(INDEX(RUNS!$J$6:$J$1005,MATCH($D1408,RUNS!$A$6:$A$1005,0))="","",INDEX(RUNS!$J$6:$J$1005,MATCH($D1408,RUNS!$A$6:$A$1005,0))),""))</f>
        <v/>
      </c>
      <c r="Q1408" s="33">
        <f>IF($D1408="","",IFERROR(IF(INDEX(RUNS!$K$6:$K$1005,MATCH($D1408,RUNS!$A$6:$A$1005,0))="","",INDEX(RUNS!$K$6:$K$1005,MATCH($D1408,RUNS!$A$6:$A$1005,0))),""))</f>
        <v/>
      </c>
      <c r="R1408" s="34">
        <f>IF(OR($L1408="",$K1408=""),"",IFERROR(IF(INDEX(PARAMETRES!$H$43:$H$342,MATCH($L1408&amp;"|"&amp;$M1408&amp;"|"&amp;$N1408&amp;"|"&amp;$O1408&amp;"|"&amp;$P1408&amp;"|"&amp;$Q1408&amp;"|"&amp;$K1408,PARAMETRES!$J$43:$J$342,0))="","",INDEX(PARAMETRES!$H$43:$H$342,MATCH($L1408&amp;"|"&amp;$M1408&amp;"|"&amp;$N1408&amp;"|"&amp;$O1408&amp;"|"&amp;$P1408&amp;"|"&amp;$Q1408&amp;"|"&amp;$K1408,PARAMETRES!$J$43:$J$342,0))),""))</f>
        <v/>
      </c>
      <c r="S1408" s="35">
        <f>IF(OR($G1408="",$X1408&lt;&gt;"VALIDE"),"",IFERROR(LOOKUP(2,1/(($B508:$B1407=$B1408)*($G508:$G1407=$G1408)*($X508:$X1407="VALIDE")),$C508:$C1407),""))</f>
        <v/>
      </c>
      <c r="T1408" s="36">
        <f>IF(OR($C1408="",$S1408=""),"",ROUND(($C1408-$S1408+IF($C1408&lt;$S1408,1,0))*1440,0))</f>
        <v/>
      </c>
      <c r="U1408" s="22">
        <f>IF(OR($H1408="",$T1408="",$T1408&lt;=0),"",$H1408*60/$T1408)</f>
        <v/>
      </c>
      <c r="V1408" s="37">
        <f>IF(OR($U1408="",$R1408="",$R1408=0),"",$U1408/$R1408)</f>
        <v/>
      </c>
      <c r="W1408" s="20">
        <f>IF($G1408="","",IF($X1408="CONTEXTE INCOMPLET","CONTEXTE INCOMPLET",IF($X1408="DOUBLON",StatutDoublon,IF($S1408="",StatutInitial,IF($R1408="",StatutStandardManquant,IF($V1408="","DONNEES INSUFFISANTES",IF($V1408&gt;=SeuilConforme,StatutConforme,IF($V1408&gt;=SeuilSurveiller,StatutSurveiller,StatutSousStandard))))))))</f>
        <v/>
      </c>
      <c r="X1408" s="33">
        <f>IF($G1408="","",IF(OR($D1408="",$E1408="",$F1408=""),"CONTEXTE INCOMPLET",IF(COUNTIFS($D508:$D1407,$D1408,$E508:$E1407,$E1408,$F508:$F1407,$F1408,$G508:$G1407,$G1408)&gt;0,"DOUBLON","VALIDE")))</f>
        <v/>
      </c>
    </row>
    <row r="1409" ht="15" customHeight="1">
      <c r="A1409" s="12">
        <f>IF(OR($B1409="",$G1409=""),"",TEXT($B1409,"YYYYMMDD")&amp;"-"&amp;SUBSTITUTE($E1409," ","")&amp;"-"&amp;$F1409&amp;"-"&amp;$G1409)</f>
        <v/>
      </c>
      <c r="B1409" s="15" t="n"/>
      <c r="C1409" s="16" t="n"/>
      <c r="D1409" s="10" t="n"/>
      <c r="E1409" s="9" t="n"/>
      <c r="F1409" s="9" t="n"/>
      <c r="G1409" s="13" t="n"/>
      <c r="H1409" s="21" t="n"/>
      <c r="I1409" s="21" t="n"/>
      <c r="J1409" s="17">
        <f>IF($G1409="","",IFERROR(INDEX(NomsEmployes,MATCH($G1409,MatriculesEmployes,0)),"MATRICULE INCONNU"))</f>
        <v/>
      </c>
      <c r="K1409" s="33">
        <f>IF(OR($D1409="",$F1409=""),"",IFERROR(IF(INDEX(RUNS!$L$6:$S$1005,MATCH($D1409,RUNS!$A$6:$A$1005,0),MATCH("ACTIVITÉ "&amp;$F1409,RUNS!$L$5:$S$5,0))="","",INDEX(RUNS!$L$6:$S$1005,MATCH($D1409,RUNS!$A$6:$A$1005,0),MATCH("ACTIVITÉ "&amp;$F1409,RUNS!$L$5:$S$5,0))),""))</f>
        <v/>
      </c>
      <c r="L1409" s="33">
        <f>IF($D1409="","",IFERROR(IF(INDEX(RUNS!$E$6:$E$1005,MATCH($D1409,RUNS!$A$6:$A$1005,0))="","",INDEX(RUNS!$E$6:$E$1005,MATCH($D1409,RUNS!$A$6:$A$1005,0))),""))</f>
        <v/>
      </c>
      <c r="M1409" s="33">
        <f>IF($D1409="","",IFERROR(IF(INDEX(RUNS!$F$6:$F$1005,MATCH($D1409,RUNS!$A$6:$A$1005,0))="","",INDEX(RUNS!$F$6:$F$1005,MATCH($D1409,RUNS!$A$6:$A$1005,0))),""))</f>
        <v/>
      </c>
      <c r="N1409" s="33">
        <f>IF($D1409="","",IFERROR(IF(INDEX(RUNS!$G$6:$G$1005,MATCH($D1409,RUNS!$A$6:$A$1005,0))="","",INDEX(RUNS!$G$6:$G$1005,MATCH($D1409,RUNS!$A$6:$A$1005,0))),""))</f>
        <v/>
      </c>
      <c r="O1409" s="33">
        <f>IF($D1409="","",IFERROR(IF(INDEX(RUNS!$H$6:$H$1005,MATCH($D1409,RUNS!$A$6:$A$1005,0))="","",INDEX(RUNS!$H$6:$H$1005,MATCH($D1409,RUNS!$A$6:$A$1005,0))),""))</f>
        <v/>
      </c>
      <c r="P1409" s="33">
        <f>IF($D1409="","",IFERROR(IF(INDEX(RUNS!$J$6:$J$1005,MATCH($D1409,RUNS!$A$6:$A$1005,0))="","",INDEX(RUNS!$J$6:$J$1005,MATCH($D1409,RUNS!$A$6:$A$1005,0))),""))</f>
        <v/>
      </c>
      <c r="Q1409" s="33">
        <f>IF($D1409="","",IFERROR(IF(INDEX(RUNS!$K$6:$K$1005,MATCH($D1409,RUNS!$A$6:$A$1005,0))="","",INDEX(RUNS!$K$6:$K$1005,MATCH($D1409,RUNS!$A$6:$A$1005,0))),""))</f>
        <v/>
      </c>
      <c r="R1409" s="34">
        <f>IF(OR($L1409="",$K1409=""),"",IFERROR(IF(INDEX(PARAMETRES!$H$43:$H$342,MATCH($L1409&amp;"|"&amp;$M1409&amp;"|"&amp;$N1409&amp;"|"&amp;$O1409&amp;"|"&amp;$P1409&amp;"|"&amp;$Q1409&amp;"|"&amp;$K1409,PARAMETRES!$J$43:$J$342,0))="","",INDEX(PARAMETRES!$H$43:$H$342,MATCH($L1409&amp;"|"&amp;$M1409&amp;"|"&amp;$N1409&amp;"|"&amp;$O1409&amp;"|"&amp;$P1409&amp;"|"&amp;$Q1409&amp;"|"&amp;$K1409,PARAMETRES!$J$43:$J$342,0))),""))</f>
        <v/>
      </c>
      <c r="S1409" s="35">
        <f>IF(OR($G1409="",$X1409&lt;&gt;"VALIDE"),"",IFERROR(LOOKUP(2,1/(($B509:$B1408=$B1409)*($G509:$G1408=$G1409)*($X509:$X1408="VALIDE")),$C509:$C1408),""))</f>
        <v/>
      </c>
      <c r="T1409" s="36">
        <f>IF(OR($C1409="",$S1409=""),"",ROUND(($C1409-$S1409+IF($C1409&lt;$S1409,1,0))*1440,0))</f>
        <v/>
      </c>
      <c r="U1409" s="22">
        <f>IF(OR($H1409="",$T1409="",$T1409&lt;=0),"",$H1409*60/$T1409)</f>
        <v/>
      </c>
      <c r="V1409" s="37">
        <f>IF(OR($U1409="",$R1409="",$R1409=0),"",$U1409/$R1409)</f>
        <v/>
      </c>
      <c r="W1409" s="20">
        <f>IF($G1409="","",IF($X1409="CONTEXTE INCOMPLET","CONTEXTE INCOMPLET",IF($X1409="DOUBLON",StatutDoublon,IF($S1409="",StatutInitial,IF($R1409="",StatutStandardManquant,IF($V1409="","DONNEES INSUFFISANTES",IF($V1409&gt;=SeuilConforme,StatutConforme,IF($V1409&gt;=SeuilSurveiller,StatutSurveiller,StatutSousStandard))))))))</f>
        <v/>
      </c>
      <c r="X1409" s="33">
        <f>IF($G1409="","",IF(OR($D1409="",$E1409="",$F1409=""),"CONTEXTE INCOMPLET",IF(COUNTIFS($D509:$D1408,$D1409,$E509:$E1408,$E1409,$F509:$F1408,$F1409,$G509:$G1408,$G1409)&gt;0,"DOUBLON","VALIDE")))</f>
        <v/>
      </c>
    </row>
    <row r="1410" ht="15" customHeight="1">
      <c r="A1410" s="12">
        <f>IF(OR($B1410="",$G1410=""),"",TEXT($B1410,"YYYYMMDD")&amp;"-"&amp;SUBSTITUTE($E1410," ","")&amp;"-"&amp;$F1410&amp;"-"&amp;$G1410)</f>
        <v/>
      </c>
      <c r="B1410" s="15" t="n"/>
      <c r="C1410" s="16" t="n"/>
      <c r="D1410" s="10" t="n"/>
      <c r="E1410" s="9" t="n"/>
      <c r="F1410" s="9" t="n"/>
      <c r="G1410" s="13" t="n"/>
      <c r="H1410" s="21" t="n"/>
      <c r="I1410" s="21" t="n"/>
      <c r="J1410" s="17">
        <f>IF($G1410="","",IFERROR(INDEX(NomsEmployes,MATCH($G1410,MatriculesEmployes,0)),"MATRICULE INCONNU"))</f>
        <v/>
      </c>
      <c r="K1410" s="33">
        <f>IF(OR($D1410="",$F1410=""),"",IFERROR(IF(INDEX(RUNS!$L$6:$S$1005,MATCH($D1410,RUNS!$A$6:$A$1005,0),MATCH("ACTIVITÉ "&amp;$F1410,RUNS!$L$5:$S$5,0))="","",INDEX(RUNS!$L$6:$S$1005,MATCH($D1410,RUNS!$A$6:$A$1005,0),MATCH("ACTIVITÉ "&amp;$F1410,RUNS!$L$5:$S$5,0))),""))</f>
        <v/>
      </c>
      <c r="L1410" s="33">
        <f>IF($D1410="","",IFERROR(IF(INDEX(RUNS!$E$6:$E$1005,MATCH($D1410,RUNS!$A$6:$A$1005,0))="","",INDEX(RUNS!$E$6:$E$1005,MATCH($D1410,RUNS!$A$6:$A$1005,0))),""))</f>
        <v/>
      </c>
      <c r="M1410" s="33">
        <f>IF($D1410="","",IFERROR(IF(INDEX(RUNS!$F$6:$F$1005,MATCH($D1410,RUNS!$A$6:$A$1005,0))="","",INDEX(RUNS!$F$6:$F$1005,MATCH($D1410,RUNS!$A$6:$A$1005,0))),""))</f>
        <v/>
      </c>
      <c r="N1410" s="33">
        <f>IF($D1410="","",IFERROR(IF(INDEX(RUNS!$G$6:$G$1005,MATCH($D1410,RUNS!$A$6:$A$1005,0))="","",INDEX(RUNS!$G$6:$G$1005,MATCH($D1410,RUNS!$A$6:$A$1005,0))),""))</f>
        <v/>
      </c>
      <c r="O1410" s="33">
        <f>IF($D1410="","",IFERROR(IF(INDEX(RUNS!$H$6:$H$1005,MATCH($D1410,RUNS!$A$6:$A$1005,0))="","",INDEX(RUNS!$H$6:$H$1005,MATCH($D1410,RUNS!$A$6:$A$1005,0))),""))</f>
        <v/>
      </c>
      <c r="P1410" s="33">
        <f>IF($D1410="","",IFERROR(IF(INDEX(RUNS!$J$6:$J$1005,MATCH($D1410,RUNS!$A$6:$A$1005,0))="","",INDEX(RUNS!$J$6:$J$1005,MATCH($D1410,RUNS!$A$6:$A$1005,0))),""))</f>
        <v/>
      </c>
      <c r="Q1410" s="33">
        <f>IF($D1410="","",IFERROR(IF(INDEX(RUNS!$K$6:$K$1005,MATCH($D1410,RUNS!$A$6:$A$1005,0))="","",INDEX(RUNS!$K$6:$K$1005,MATCH($D1410,RUNS!$A$6:$A$1005,0))),""))</f>
        <v/>
      </c>
      <c r="R1410" s="34">
        <f>IF(OR($L1410="",$K1410=""),"",IFERROR(IF(INDEX(PARAMETRES!$H$43:$H$342,MATCH($L1410&amp;"|"&amp;$M1410&amp;"|"&amp;$N1410&amp;"|"&amp;$O1410&amp;"|"&amp;$P1410&amp;"|"&amp;$Q1410&amp;"|"&amp;$K1410,PARAMETRES!$J$43:$J$342,0))="","",INDEX(PARAMETRES!$H$43:$H$342,MATCH($L1410&amp;"|"&amp;$M1410&amp;"|"&amp;$N1410&amp;"|"&amp;$O1410&amp;"|"&amp;$P1410&amp;"|"&amp;$Q1410&amp;"|"&amp;$K1410,PARAMETRES!$J$43:$J$342,0))),""))</f>
        <v/>
      </c>
      <c r="S1410" s="35">
        <f>IF(OR($G1410="",$X1410&lt;&gt;"VALIDE"),"",IFERROR(LOOKUP(2,1/(($B510:$B1409=$B1410)*($G510:$G1409=$G1410)*($X510:$X1409="VALIDE")),$C510:$C1409),""))</f>
        <v/>
      </c>
      <c r="T1410" s="36">
        <f>IF(OR($C1410="",$S1410=""),"",ROUND(($C1410-$S1410+IF($C1410&lt;$S1410,1,0))*1440,0))</f>
        <v/>
      </c>
      <c r="U1410" s="22">
        <f>IF(OR($H1410="",$T1410="",$T1410&lt;=0),"",$H1410*60/$T1410)</f>
        <v/>
      </c>
      <c r="V1410" s="37">
        <f>IF(OR($U1410="",$R1410="",$R1410=0),"",$U1410/$R1410)</f>
        <v/>
      </c>
      <c r="W1410" s="20">
        <f>IF($G1410="","",IF($X1410="CONTEXTE INCOMPLET","CONTEXTE INCOMPLET",IF($X1410="DOUBLON",StatutDoublon,IF($S1410="",StatutInitial,IF($R1410="",StatutStandardManquant,IF($V1410="","DONNEES INSUFFISANTES",IF($V1410&gt;=SeuilConforme,StatutConforme,IF($V1410&gt;=SeuilSurveiller,StatutSurveiller,StatutSousStandard))))))))</f>
        <v/>
      </c>
      <c r="X1410" s="33">
        <f>IF($G1410="","",IF(OR($D1410="",$E1410="",$F1410=""),"CONTEXTE INCOMPLET",IF(COUNTIFS($D510:$D1409,$D1410,$E510:$E1409,$E1410,$F510:$F1409,$F1410,$G510:$G1409,$G1410)&gt;0,"DOUBLON","VALIDE")))</f>
        <v/>
      </c>
    </row>
    <row r="1411" ht="15" customHeight="1">
      <c r="A1411" s="12">
        <f>IF(OR($B1411="",$G1411=""),"",TEXT($B1411,"YYYYMMDD")&amp;"-"&amp;SUBSTITUTE($E1411," ","")&amp;"-"&amp;$F1411&amp;"-"&amp;$G1411)</f>
        <v/>
      </c>
      <c r="B1411" s="15" t="n"/>
      <c r="C1411" s="16" t="n"/>
      <c r="D1411" s="10" t="n"/>
      <c r="E1411" s="9" t="n"/>
      <c r="F1411" s="9" t="n"/>
      <c r="G1411" s="13" t="n"/>
      <c r="H1411" s="21" t="n"/>
      <c r="I1411" s="21" t="n"/>
      <c r="J1411" s="17">
        <f>IF($G1411="","",IFERROR(INDEX(NomsEmployes,MATCH($G1411,MatriculesEmployes,0)),"MATRICULE INCONNU"))</f>
        <v/>
      </c>
      <c r="K1411" s="33">
        <f>IF(OR($D1411="",$F1411=""),"",IFERROR(IF(INDEX(RUNS!$L$6:$S$1005,MATCH($D1411,RUNS!$A$6:$A$1005,0),MATCH("ACTIVITÉ "&amp;$F1411,RUNS!$L$5:$S$5,0))="","",INDEX(RUNS!$L$6:$S$1005,MATCH($D1411,RUNS!$A$6:$A$1005,0),MATCH("ACTIVITÉ "&amp;$F1411,RUNS!$L$5:$S$5,0))),""))</f>
        <v/>
      </c>
      <c r="L1411" s="33">
        <f>IF($D1411="","",IFERROR(IF(INDEX(RUNS!$E$6:$E$1005,MATCH($D1411,RUNS!$A$6:$A$1005,0))="","",INDEX(RUNS!$E$6:$E$1005,MATCH($D1411,RUNS!$A$6:$A$1005,0))),""))</f>
        <v/>
      </c>
      <c r="M1411" s="33">
        <f>IF($D1411="","",IFERROR(IF(INDEX(RUNS!$F$6:$F$1005,MATCH($D1411,RUNS!$A$6:$A$1005,0))="","",INDEX(RUNS!$F$6:$F$1005,MATCH($D1411,RUNS!$A$6:$A$1005,0))),""))</f>
        <v/>
      </c>
      <c r="N1411" s="33">
        <f>IF($D1411="","",IFERROR(IF(INDEX(RUNS!$G$6:$G$1005,MATCH($D1411,RUNS!$A$6:$A$1005,0))="","",INDEX(RUNS!$G$6:$G$1005,MATCH($D1411,RUNS!$A$6:$A$1005,0))),""))</f>
        <v/>
      </c>
      <c r="O1411" s="33">
        <f>IF($D1411="","",IFERROR(IF(INDEX(RUNS!$H$6:$H$1005,MATCH($D1411,RUNS!$A$6:$A$1005,0))="","",INDEX(RUNS!$H$6:$H$1005,MATCH($D1411,RUNS!$A$6:$A$1005,0))),""))</f>
        <v/>
      </c>
      <c r="P1411" s="33">
        <f>IF($D1411="","",IFERROR(IF(INDEX(RUNS!$J$6:$J$1005,MATCH($D1411,RUNS!$A$6:$A$1005,0))="","",INDEX(RUNS!$J$6:$J$1005,MATCH($D1411,RUNS!$A$6:$A$1005,0))),""))</f>
        <v/>
      </c>
      <c r="Q1411" s="33">
        <f>IF($D1411="","",IFERROR(IF(INDEX(RUNS!$K$6:$K$1005,MATCH($D1411,RUNS!$A$6:$A$1005,0))="","",INDEX(RUNS!$K$6:$K$1005,MATCH($D1411,RUNS!$A$6:$A$1005,0))),""))</f>
        <v/>
      </c>
      <c r="R1411" s="34">
        <f>IF(OR($L1411="",$K1411=""),"",IFERROR(IF(INDEX(PARAMETRES!$H$43:$H$342,MATCH($L1411&amp;"|"&amp;$M1411&amp;"|"&amp;$N1411&amp;"|"&amp;$O1411&amp;"|"&amp;$P1411&amp;"|"&amp;$Q1411&amp;"|"&amp;$K1411,PARAMETRES!$J$43:$J$342,0))="","",INDEX(PARAMETRES!$H$43:$H$342,MATCH($L1411&amp;"|"&amp;$M1411&amp;"|"&amp;$N1411&amp;"|"&amp;$O1411&amp;"|"&amp;$P1411&amp;"|"&amp;$Q1411&amp;"|"&amp;$K1411,PARAMETRES!$J$43:$J$342,0))),""))</f>
        <v/>
      </c>
      <c r="S1411" s="35">
        <f>IF(OR($G1411="",$X1411&lt;&gt;"VALIDE"),"",IFERROR(LOOKUP(2,1/(($B511:$B1410=$B1411)*($G511:$G1410=$G1411)*($X511:$X1410="VALIDE")),$C511:$C1410),""))</f>
        <v/>
      </c>
      <c r="T1411" s="36">
        <f>IF(OR($C1411="",$S1411=""),"",ROUND(($C1411-$S1411+IF($C1411&lt;$S1411,1,0))*1440,0))</f>
        <v/>
      </c>
      <c r="U1411" s="22">
        <f>IF(OR($H1411="",$T1411="",$T1411&lt;=0),"",$H1411*60/$T1411)</f>
        <v/>
      </c>
      <c r="V1411" s="37">
        <f>IF(OR($U1411="",$R1411="",$R1411=0),"",$U1411/$R1411)</f>
        <v/>
      </c>
      <c r="W1411" s="20">
        <f>IF($G1411="","",IF($X1411="CONTEXTE INCOMPLET","CONTEXTE INCOMPLET",IF($X1411="DOUBLON",StatutDoublon,IF($S1411="",StatutInitial,IF($R1411="",StatutStandardManquant,IF($V1411="","DONNEES INSUFFISANTES",IF($V1411&gt;=SeuilConforme,StatutConforme,IF($V1411&gt;=SeuilSurveiller,StatutSurveiller,StatutSousStandard))))))))</f>
        <v/>
      </c>
      <c r="X1411" s="33">
        <f>IF($G1411="","",IF(OR($D1411="",$E1411="",$F1411=""),"CONTEXTE INCOMPLET",IF(COUNTIFS($D511:$D1410,$D1411,$E511:$E1410,$E1411,$F511:$F1410,$F1411,$G511:$G1410,$G1411)&gt;0,"DOUBLON","VALIDE")))</f>
        <v/>
      </c>
    </row>
    <row r="1412" ht="15" customHeight="1">
      <c r="A1412" s="12">
        <f>IF(OR($B1412="",$G1412=""),"",TEXT($B1412,"YYYYMMDD")&amp;"-"&amp;SUBSTITUTE($E1412," ","")&amp;"-"&amp;$F1412&amp;"-"&amp;$G1412)</f>
        <v/>
      </c>
      <c r="B1412" s="15" t="n"/>
      <c r="C1412" s="16" t="n"/>
      <c r="D1412" s="10" t="n"/>
      <c r="E1412" s="9" t="n"/>
      <c r="F1412" s="9" t="n"/>
      <c r="G1412" s="13" t="n"/>
      <c r="H1412" s="21" t="n"/>
      <c r="I1412" s="21" t="n"/>
      <c r="J1412" s="17">
        <f>IF($G1412="","",IFERROR(INDEX(NomsEmployes,MATCH($G1412,MatriculesEmployes,0)),"MATRICULE INCONNU"))</f>
        <v/>
      </c>
      <c r="K1412" s="33">
        <f>IF(OR($D1412="",$F1412=""),"",IFERROR(IF(INDEX(RUNS!$L$6:$S$1005,MATCH($D1412,RUNS!$A$6:$A$1005,0),MATCH("ACTIVITÉ "&amp;$F1412,RUNS!$L$5:$S$5,0))="","",INDEX(RUNS!$L$6:$S$1005,MATCH($D1412,RUNS!$A$6:$A$1005,0),MATCH("ACTIVITÉ "&amp;$F1412,RUNS!$L$5:$S$5,0))),""))</f>
        <v/>
      </c>
      <c r="L1412" s="33">
        <f>IF($D1412="","",IFERROR(IF(INDEX(RUNS!$E$6:$E$1005,MATCH($D1412,RUNS!$A$6:$A$1005,0))="","",INDEX(RUNS!$E$6:$E$1005,MATCH($D1412,RUNS!$A$6:$A$1005,0))),""))</f>
        <v/>
      </c>
      <c r="M1412" s="33">
        <f>IF($D1412="","",IFERROR(IF(INDEX(RUNS!$F$6:$F$1005,MATCH($D1412,RUNS!$A$6:$A$1005,0))="","",INDEX(RUNS!$F$6:$F$1005,MATCH($D1412,RUNS!$A$6:$A$1005,0))),""))</f>
        <v/>
      </c>
      <c r="N1412" s="33">
        <f>IF($D1412="","",IFERROR(IF(INDEX(RUNS!$G$6:$G$1005,MATCH($D1412,RUNS!$A$6:$A$1005,0))="","",INDEX(RUNS!$G$6:$G$1005,MATCH($D1412,RUNS!$A$6:$A$1005,0))),""))</f>
        <v/>
      </c>
      <c r="O1412" s="33">
        <f>IF($D1412="","",IFERROR(IF(INDEX(RUNS!$H$6:$H$1005,MATCH($D1412,RUNS!$A$6:$A$1005,0))="","",INDEX(RUNS!$H$6:$H$1005,MATCH($D1412,RUNS!$A$6:$A$1005,0))),""))</f>
        <v/>
      </c>
      <c r="P1412" s="33">
        <f>IF($D1412="","",IFERROR(IF(INDEX(RUNS!$J$6:$J$1005,MATCH($D1412,RUNS!$A$6:$A$1005,0))="","",INDEX(RUNS!$J$6:$J$1005,MATCH($D1412,RUNS!$A$6:$A$1005,0))),""))</f>
        <v/>
      </c>
      <c r="Q1412" s="33">
        <f>IF($D1412="","",IFERROR(IF(INDEX(RUNS!$K$6:$K$1005,MATCH($D1412,RUNS!$A$6:$A$1005,0))="","",INDEX(RUNS!$K$6:$K$1005,MATCH($D1412,RUNS!$A$6:$A$1005,0))),""))</f>
        <v/>
      </c>
      <c r="R1412" s="34">
        <f>IF(OR($L1412="",$K1412=""),"",IFERROR(IF(INDEX(PARAMETRES!$H$43:$H$342,MATCH($L1412&amp;"|"&amp;$M1412&amp;"|"&amp;$N1412&amp;"|"&amp;$O1412&amp;"|"&amp;$P1412&amp;"|"&amp;$Q1412&amp;"|"&amp;$K1412,PARAMETRES!$J$43:$J$342,0))="","",INDEX(PARAMETRES!$H$43:$H$342,MATCH($L1412&amp;"|"&amp;$M1412&amp;"|"&amp;$N1412&amp;"|"&amp;$O1412&amp;"|"&amp;$P1412&amp;"|"&amp;$Q1412&amp;"|"&amp;$K1412,PARAMETRES!$J$43:$J$342,0))),""))</f>
        <v/>
      </c>
      <c r="S1412" s="35">
        <f>IF(OR($G1412="",$X1412&lt;&gt;"VALIDE"),"",IFERROR(LOOKUP(2,1/(($B512:$B1411=$B1412)*($G512:$G1411=$G1412)*($X512:$X1411="VALIDE")),$C512:$C1411),""))</f>
        <v/>
      </c>
      <c r="T1412" s="36">
        <f>IF(OR($C1412="",$S1412=""),"",ROUND(($C1412-$S1412+IF($C1412&lt;$S1412,1,0))*1440,0))</f>
        <v/>
      </c>
      <c r="U1412" s="22">
        <f>IF(OR($H1412="",$T1412="",$T1412&lt;=0),"",$H1412*60/$T1412)</f>
        <v/>
      </c>
      <c r="V1412" s="37">
        <f>IF(OR($U1412="",$R1412="",$R1412=0),"",$U1412/$R1412)</f>
        <v/>
      </c>
      <c r="W1412" s="20">
        <f>IF($G1412="","",IF($X1412="CONTEXTE INCOMPLET","CONTEXTE INCOMPLET",IF($X1412="DOUBLON",StatutDoublon,IF($S1412="",StatutInitial,IF($R1412="",StatutStandardManquant,IF($V1412="","DONNEES INSUFFISANTES",IF($V1412&gt;=SeuilConforme,StatutConforme,IF($V1412&gt;=SeuilSurveiller,StatutSurveiller,StatutSousStandard))))))))</f>
        <v/>
      </c>
      <c r="X1412" s="33">
        <f>IF($G1412="","",IF(OR($D1412="",$E1412="",$F1412=""),"CONTEXTE INCOMPLET",IF(COUNTIFS($D512:$D1411,$D1412,$E512:$E1411,$E1412,$F512:$F1411,$F1412,$G512:$G1411,$G1412)&gt;0,"DOUBLON","VALIDE")))</f>
        <v/>
      </c>
    </row>
    <row r="1413" ht="15" customHeight="1">
      <c r="A1413" s="12">
        <f>IF(OR($B1413="",$G1413=""),"",TEXT($B1413,"YYYYMMDD")&amp;"-"&amp;SUBSTITUTE($E1413," ","")&amp;"-"&amp;$F1413&amp;"-"&amp;$G1413)</f>
        <v/>
      </c>
      <c r="B1413" s="15" t="n"/>
      <c r="C1413" s="16" t="n"/>
      <c r="D1413" s="10" t="n"/>
      <c r="E1413" s="9" t="n"/>
      <c r="F1413" s="9" t="n"/>
      <c r="G1413" s="13" t="n"/>
      <c r="H1413" s="21" t="n"/>
      <c r="I1413" s="21" t="n"/>
      <c r="J1413" s="17">
        <f>IF($G1413="","",IFERROR(INDEX(NomsEmployes,MATCH($G1413,MatriculesEmployes,0)),"MATRICULE INCONNU"))</f>
        <v/>
      </c>
      <c r="K1413" s="33">
        <f>IF(OR($D1413="",$F1413=""),"",IFERROR(IF(INDEX(RUNS!$L$6:$S$1005,MATCH($D1413,RUNS!$A$6:$A$1005,0),MATCH("ACTIVITÉ "&amp;$F1413,RUNS!$L$5:$S$5,0))="","",INDEX(RUNS!$L$6:$S$1005,MATCH($D1413,RUNS!$A$6:$A$1005,0),MATCH("ACTIVITÉ "&amp;$F1413,RUNS!$L$5:$S$5,0))),""))</f>
        <v/>
      </c>
      <c r="L1413" s="33">
        <f>IF($D1413="","",IFERROR(IF(INDEX(RUNS!$E$6:$E$1005,MATCH($D1413,RUNS!$A$6:$A$1005,0))="","",INDEX(RUNS!$E$6:$E$1005,MATCH($D1413,RUNS!$A$6:$A$1005,0))),""))</f>
        <v/>
      </c>
      <c r="M1413" s="33">
        <f>IF($D1413="","",IFERROR(IF(INDEX(RUNS!$F$6:$F$1005,MATCH($D1413,RUNS!$A$6:$A$1005,0))="","",INDEX(RUNS!$F$6:$F$1005,MATCH($D1413,RUNS!$A$6:$A$1005,0))),""))</f>
        <v/>
      </c>
      <c r="N1413" s="33">
        <f>IF($D1413="","",IFERROR(IF(INDEX(RUNS!$G$6:$G$1005,MATCH($D1413,RUNS!$A$6:$A$1005,0))="","",INDEX(RUNS!$G$6:$G$1005,MATCH($D1413,RUNS!$A$6:$A$1005,0))),""))</f>
        <v/>
      </c>
      <c r="O1413" s="33">
        <f>IF($D1413="","",IFERROR(IF(INDEX(RUNS!$H$6:$H$1005,MATCH($D1413,RUNS!$A$6:$A$1005,0))="","",INDEX(RUNS!$H$6:$H$1005,MATCH($D1413,RUNS!$A$6:$A$1005,0))),""))</f>
        <v/>
      </c>
      <c r="P1413" s="33">
        <f>IF($D1413="","",IFERROR(IF(INDEX(RUNS!$J$6:$J$1005,MATCH($D1413,RUNS!$A$6:$A$1005,0))="","",INDEX(RUNS!$J$6:$J$1005,MATCH($D1413,RUNS!$A$6:$A$1005,0))),""))</f>
        <v/>
      </c>
      <c r="Q1413" s="33">
        <f>IF($D1413="","",IFERROR(IF(INDEX(RUNS!$K$6:$K$1005,MATCH($D1413,RUNS!$A$6:$A$1005,0))="","",INDEX(RUNS!$K$6:$K$1005,MATCH($D1413,RUNS!$A$6:$A$1005,0))),""))</f>
        <v/>
      </c>
      <c r="R1413" s="34">
        <f>IF(OR($L1413="",$K1413=""),"",IFERROR(IF(INDEX(PARAMETRES!$H$43:$H$342,MATCH($L1413&amp;"|"&amp;$M1413&amp;"|"&amp;$N1413&amp;"|"&amp;$O1413&amp;"|"&amp;$P1413&amp;"|"&amp;$Q1413&amp;"|"&amp;$K1413,PARAMETRES!$J$43:$J$342,0))="","",INDEX(PARAMETRES!$H$43:$H$342,MATCH($L1413&amp;"|"&amp;$M1413&amp;"|"&amp;$N1413&amp;"|"&amp;$O1413&amp;"|"&amp;$P1413&amp;"|"&amp;$Q1413&amp;"|"&amp;$K1413,PARAMETRES!$J$43:$J$342,0))),""))</f>
        <v/>
      </c>
      <c r="S1413" s="35">
        <f>IF(OR($G1413="",$X1413&lt;&gt;"VALIDE"),"",IFERROR(LOOKUP(2,1/(($B513:$B1412=$B1413)*($G513:$G1412=$G1413)*($X513:$X1412="VALIDE")),$C513:$C1412),""))</f>
        <v/>
      </c>
      <c r="T1413" s="36">
        <f>IF(OR($C1413="",$S1413=""),"",ROUND(($C1413-$S1413+IF($C1413&lt;$S1413,1,0))*1440,0))</f>
        <v/>
      </c>
      <c r="U1413" s="22">
        <f>IF(OR($H1413="",$T1413="",$T1413&lt;=0),"",$H1413*60/$T1413)</f>
        <v/>
      </c>
      <c r="V1413" s="37">
        <f>IF(OR($U1413="",$R1413="",$R1413=0),"",$U1413/$R1413)</f>
        <v/>
      </c>
      <c r="W1413" s="20">
        <f>IF($G1413="","",IF($X1413="CONTEXTE INCOMPLET","CONTEXTE INCOMPLET",IF($X1413="DOUBLON",StatutDoublon,IF($S1413="",StatutInitial,IF($R1413="",StatutStandardManquant,IF($V1413="","DONNEES INSUFFISANTES",IF($V1413&gt;=SeuilConforme,StatutConforme,IF($V1413&gt;=SeuilSurveiller,StatutSurveiller,StatutSousStandard))))))))</f>
        <v/>
      </c>
      <c r="X1413" s="33">
        <f>IF($G1413="","",IF(OR($D1413="",$E1413="",$F1413=""),"CONTEXTE INCOMPLET",IF(COUNTIFS($D513:$D1412,$D1413,$E513:$E1412,$E1413,$F513:$F1412,$F1413,$G513:$G1412,$G1413)&gt;0,"DOUBLON","VALIDE")))</f>
        <v/>
      </c>
    </row>
    <row r="1414" ht="15" customHeight="1">
      <c r="A1414" s="12">
        <f>IF(OR($B1414="",$G1414=""),"",TEXT($B1414,"YYYYMMDD")&amp;"-"&amp;SUBSTITUTE($E1414," ","")&amp;"-"&amp;$F1414&amp;"-"&amp;$G1414)</f>
        <v/>
      </c>
      <c r="B1414" s="15" t="n"/>
      <c r="C1414" s="16" t="n"/>
      <c r="D1414" s="10" t="n"/>
      <c r="E1414" s="9" t="n"/>
      <c r="F1414" s="9" t="n"/>
      <c r="G1414" s="13" t="n"/>
      <c r="H1414" s="21" t="n"/>
      <c r="I1414" s="21" t="n"/>
      <c r="J1414" s="17">
        <f>IF($G1414="","",IFERROR(INDEX(NomsEmployes,MATCH($G1414,MatriculesEmployes,0)),"MATRICULE INCONNU"))</f>
        <v/>
      </c>
      <c r="K1414" s="33">
        <f>IF(OR($D1414="",$F1414=""),"",IFERROR(IF(INDEX(RUNS!$L$6:$S$1005,MATCH($D1414,RUNS!$A$6:$A$1005,0),MATCH("ACTIVITÉ "&amp;$F1414,RUNS!$L$5:$S$5,0))="","",INDEX(RUNS!$L$6:$S$1005,MATCH($D1414,RUNS!$A$6:$A$1005,0),MATCH("ACTIVITÉ "&amp;$F1414,RUNS!$L$5:$S$5,0))),""))</f>
        <v/>
      </c>
      <c r="L1414" s="33">
        <f>IF($D1414="","",IFERROR(IF(INDEX(RUNS!$E$6:$E$1005,MATCH($D1414,RUNS!$A$6:$A$1005,0))="","",INDEX(RUNS!$E$6:$E$1005,MATCH($D1414,RUNS!$A$6:$A$1005,0))),""))</f>
        <v/>
      </c>
      <c r="M1414" s="33">
        <f>IF($D1414="","",IFERROR(IF(INDEX(RUNS!$F$6:$F$1005,MATCH($D1414,RUNS!$A$6:$A$1005,0))="","",INDEX(RUNS!$F$6:$F$1005,MATCH($D1414,RUNS!$A$6:$A$1005,0))),""))</f>
        <v/>
      </c>
      <c r="N1414" s="33">
        <f>IF($D1414="","",IFERROR(IF(INDEX(RUNS!$G$6:$G$1005,MATCH($D1414,RUNS!$A$6:$A$1005,0))="","",INDEX(RUNS!$G$6:$G$1005,MATCH($D1414,RUNS!$A$6:$A$1005,0))),""))</f>
        <v/>
      </c>
      <c r="O1414" s="33">
        <f>IF($D1414="","",IFERROR(IF(INDEX(RUNS!$H$6:$H$1005,MATCH($D1414,RUNS!$A$6:$A$1005,0))="","",INDEX(RUNS!$H$6:$H$1005,MATCH($D1414,RUNS!$A$6:$A$1005,0))),""))</f>
        <v/>
      </c>
      <c r="P1414" s="33">
        <f>IF($D1414="","",IFERROR(IF(INDEX(RUNS!$J$6:$J$1005,MATCH($D1414,RUNS!$A$6:$A$1005,0))="","",INDEX(RUNS!$J$6:$J$1005,MATCH($D1414,RUNS!$A$6:$A$1005,0))),""))</f>
        <v/>
      </c>
      <c r="Q1414" s="33">
        <f>IF($D1414="","",IFERROR(IF(INDEX(RUNS!$K$6:$K$1005,MATCH($D1414,RUNS!$A$6:$A$1005,0))="","",INDEX(RUNS!$K$6:$K$1005,MATCH($D1414,RUNS!$A$6:$A$1005,0))),""))</f>
        <v/>
      </c>
      <c r="R1414" s="34">
        <f>IF(OR($L1414="",$K1414=""),"",IFERROR(IF(INDEX(PARAMETRES!$H$43:$H$342,MATCH($L1414&amp;"|"&amp;$M1414&amp;"|"&amp;$N1414&amp;"|"&amp;$O1414&amp;"|"&amp;$P1414&amp;"|"&amp;$Q1414&amp;"|"&amp;$K1414,PARAMETRES!$J$43:$J$342,0))="","",INDEX(PARAMETRES!$H$43:$H$342,MATCH($L1414&amp;"|"&amp;$M1414&amp;"|"&amp;$N1414&amp;"|"&amp;$O1414&amp;"|"&amp;$P1414&amp;"|"&amp;$Q1414&amp;"|"&amp;$K1414,PARAMETRES!$J$43:$J$342,0))),""))</f>
        <v/>
      </c>
      <c r="S1414" s="35">
        <f>IF(OR($G1414="",$X1414&lt;&gt;"VALIDE"),"",IFERROR(LOOKUP(2,1/(($B514:$B1413=$B1414)*($G514:$G1413=$G1414)*($X514:$X1413="VALIDE")),$C514:$C1413),""))</f>
        <v/>
      </c>
      <c r="T1414" s="36">
        <f>IF(OR($C1414="",$S1414=""),"",ROUND(($C1414-$S1414+IF($C1414&lt;$S1414,1,0))*1440,0))</f>
        <v/>
      </c>
      <c r="U1414" s="22">
        <f>IF(OR($H1414="",$T1414="",$T1414&lt;=0),"",$H1414*60/$T1414)</f>
        <v/>
      </c>
      <c r="V1414" s="37">
        <f>IF(OR($U1414="",$R1414="",$R1414=0),"",$U1414/$R1414)</f>
        <v/>
      </c>
      <c r="W1414" s="20">
        <f>IF($G1414="","",IF($X1414="CONTEXTE INCOMPLET","CONTEXTE INCOMPLET",IF($X1414="DOUBLON",StatutDoublon,IF($S1414="",StatutInitial,IF($R1414="",StatutStandardManquant,IF($V1414="","DONNEES INSUFFISANTES",IF($V1414&gt;=SeuilConforme,StatutConforme,IF($V1414&gt;=SeuilSurveiller,StatutSurveiller,StatutSousStandard))))))))</f>
        <v/>
      </c>
      <c r="X1414" s="33">
        <f>IF($G1414="","",IF(OR($D1414="",$E1414="",$F1414=""),"CONTEXTE INCOMPLET",IF(COUNTIFS($D514:$D1413,$D1414,$E514:$E1413,$E1414,$F514:$F1413,$F1414,$G514:$G1413,$G1414)&gt;0,"DOUBLON","VALIDE")))</f>
        <v/>
      </c>
    </row>
    <row r="1415" ht="15" customHeight="1">
      <c r="A1415" s="12">
        <f>IF(OR($B1415="",$G1415=""),"",TEXT($B1415,"YYYYMMDD")&amp;"-"&amp;SUBSTITUTE($E1415," ","")&amp;"-"&amp;$F1415&amp;"-"&amp;$G1415)</f>
        <v/>
      </c>
      <c r="B1415" s="15" t="n"/>
      <c r="C1415" s="16" t="n"/>
      <c r="D1415" s="10" t="n"/>
      <c r="E1415" s="9" t="n"/>
      <c r="F1415" s="9" t="n"/>
      <c r="G1415" s="13" t="n"/>
      <c r="H1415" s="21" t="n"/>
      <c r="I1415" s="21" t="n"/>
      <c r="J1415" s="17">
        <f>IF($G1415="","",IFERROR(INDEX(NomsEmployes,MATCH($G1415,MatriculesEmployes,0)),"MATRICULE INCONNU"))</f>
        <v/>
      </c>
      <c r="K1415" s="33">
        <f>IF(OR($D1415="",$F1415=""),"",IFERROR(IF(INDEX(RUNS!$L$6:$S$1005,MATCH($D1415,RUNS!$A$6:$A$1005,0),MATCH("ACTIVITÉ "&amp;$F1415,RUNS!$L$5:$S$5,0))="","",INDEX(RUNS!$L$6:$S$1005,MATCH($D1415,RUNS!$A$6:$A$1005,0),MATCH("ACTIVITÉ "&amp;$F1415,RUNS!$L$5:$S$5,0))),""))</f>
        <v/>
      </c>
      <c r="L1415" s="33">
        <f>IF($D1415="","",IFERROR(IF(INDEX(RUNS!$E$6:$E$1005,MATCH($D1415,RUNS!$A$6:$A$1005,0))="","",INDEX(RUNS!$E$6:$E$1005,MATCH($D1415,RUNS!$A$6:$A$1005,0))),""))</f>
        <v/>
      </c>
      <c r="M1415" s="33">
        <f>IF($D1415="","",IFERROR(IF(INDEX(RUNS!$F$6:$F$1005,MATCH($D1415,RUNS!$A$6:$A$1005,0))="","",INDEX(RUNS!$F$6:$F$1005,MATCH($D1415,RUNS!$A$6:$A$1005,0))),""))</f>
        <v/>
      </c>
      <c r="N1415" s="33">
        <f>IF($D1415="","",IFERROR(IF(INDEX(RUNS!$G$6:$G$1005,MATCH($D1415,RUNS!$A$6:$A$1005,0))="","",INDEX(RUNS!$G$6:$G$1005,MATCH($D1415,RUNS!$A$6:$A$1005,0))),""))</f>
        <v/>
      </c>
      <c r="O1415" s="33">
        <f>IF($D1415="","",IFERROR(IF(INDEX(RUNS!$H$6:$H$1005,MATCH($D1415,RUNS!$A$6:$A$1005,0))="","",INDEX(RUNS!$H$6:$H$1005,MATCH($D1415,RUNS!$A$6:$A$1005,0))),""))</f>
        <v/>
      </c>
      <c r="P1415" s="33">
        <f>IF($D1415="","",IFERROR(IF(INDEX(RUNS!$J$6:$J$1005,MATCH($D1415,RUNS!$A$6:$A$1005,0))="","",INDEX(RUNS!$J$6:$J$1005,MATCH($D1415,RUNS!$A$6:$A$1005,0))),""))</f>
        <v/>
      </c>
      <c r="Q1415" s="33">
        <f>IF($D1415="","",IFERROR(IF(INDEX(RUNS!$K$6:$K$1005,MATCH($D1415,RUNS!$A$6:$A$1005,0))="","",INDEX(RUNS!$K$6:$K$1005,MATCH($D1415,RUNS!$A$6:$A$1005,0))),""))</f>
        <v/>
      </c>
      <c r="R1415" s="34">
        <f>IF(OR($L1415="",$K1415=""),"",IFERROR(IF(INDEX(PARAMETRES!$H$43:$H$342,MATCH($L1415&amp;"|"&amp;$M1415&amp;"|"&amp;$N1415&amp;"|"&amp;$O1415&amp;"|"&amp;$P1415&amp;"|"&amp;$Q1415&amp;"|"&amp;$K1415,PARAMETRES!$J$43:$J$342,0))="","",INDEX(PARAMETRES!$H$43:$H$342,MATCH($L1415&amp;"|"&amp;$M1415&amp;"|"&amp;$N1415&amp;"|"&amp;$O1415&amp;"|"&amp;$P1415&amp;"|"&amp;$Q1415&amp;"|"&amp;$K1415,PARAMETRES!$J$43:$J$342,0))),""))</f>
        <v/>
      </c>
      <c r="S1415" s="35">
        <f>IF(OR($G1415="",$X1415&lt;&gt;"VALIDE"),"",IFERROR(LOOKUP(2,1/(($B515:$B1414=$B1415)*($G515:$G1414=$G1415)*($X515:$X1414="VALIDE")),$C515:$C1414),""))</f>
        <v/>
      </c>
      <c r="T1415" s="36">
        <f>IF(OR($C1415="",$S1415=""),"",ROUND(($C1415-$S1415+IF($C1415&lt;$S1415,1,0))*1440,0))</f>
        <v/>
      </c>
      <c r="U1415" s="22">
        <f>IF(OR($H1415="",$T1415="",$T1415&lt;=0),"",$H1415*60/$T1415)</f>
        <v/>
      </c>
      <c r="V1415" s="37">
        <f>IF(OR($U1415="",$R1415="",$R1415=0),"",$U1415/$R1415)</f>
        <v/>
      </c>
      <c r="W1415" s="20">
        <f>IF($G1415="","",IF($X1415="CONTEXTE INCOMPLET","CONTEXTE INCOMPLET",IF($X1415="DOUBLON",StatutDoublon,IF($S1415="",StatutInitial,IF($R1415="",StatutStandardManquant,IF($V1415="","DONNEES INSUFFISANTES",IF($V1415&gt;=SeuilConforme,StatutConforme,IF($V1415&gt;=SeuilSurveiller,StatutSurveiller,StatutSousStandard))))))))</f>
        <v/>
      </c>
      <c r="X1415" s="33">
        <f>IF($G1415="","",IF(OR($D1415="",$E1415="",$F1415=""),"CONTEXTE INCOMPLET",IF(COUNTIFS($D515:$D1414,$D1415,$E515:$E1414,$E1415,$F515:$F1414,$F1415,$G515:$G1414,$G1415)&gt;0,"DOUBLON","VALIDE")))</f>
        <v/>
      </c>
    </row>
    <row r="1416" ht="15" customHeight="1">
      <c r="A1416" s="12">
        <f>IF(OR($B1416="",$G1416=""),"",TEXT($B1416,"YYYYMMDD")&amp;"-"&amp;SUBSTITUTE($E1416," ","")&amp;"-"&amp;$F1416&amp;"-"&amp;$G1416)</f>
        <v/>
      </c>
      <c r="B1416" s="15" t="n"/>
      <c r="C1416" s="16" t="n"/>
      <c r="D1416" s="10" t="n"/>
      <c r="E1416" s="9" t="n"/>
      <c r="F1416" s="9" t="n"/>
      <c r="G1416" s="13" t="n"/>
      <c r="H1416" s="21" t="n"/>
      <c r="I1416" s="21" t="n"/>
      <c r="J1416" s="17">
        <f>IF($G1416="","",IFERROR(INDEX(NomsEmployes,MATCH($G1416,MatriculesEmployes,0)),"MATRICULE INCONNU"))</f>
        <v/>
      </c>
      <c r="K1416" s="33">
        <f>IF(OR($D1416="",$F1416=""),"",IFERROR(IF(INDEX(RUNS!$L$6:$S$1005,MATCH($D1416,RUNS!$A$6:$A$1005,0),MATCH("ACTIVITÉ "&amp;$F1416,RUNS!$L$5:$S$5,0))="","",INDEX(RUNS!$L$6:$S$1005,MATCH($D1416,RUNS!$A$6:$A$1005,0),MATCH("ACTIVITÉ "&amp;$F1416,RUNS!$L$5:$S$5,0))),""))</f>
        <v/>
      </c>
      <c r="L1416" s="33">
        <f>IF($D1416="","",IFERROR(IF(INDEX(RUNS!$E$6:$E$1005,MATCH($D1416,RUNS!$A$6:$A$1005,0))="","",INDEX(RUNS!$E$6:$E$1005,MATCH($D1416,RUNS!$A$6:$A$1005,0))),""))</f>
        <v/>
      </c>
      <c r="M1416" s="33">
        <f>IF($D1416="","",IFERROR(IF(INDEX(RUNS!$F$6:$F$1005,MATCH($D1416,RUNS!$A$6:$A$1005,0))="","",INDEX(RUNS!$F$6:$F$1005,MATCH($D1416,RUNS!$A$6:$A$1005,0))),""))</f>
        <v/>
      </c>
      <c r="N1416" s="33">
        <f>IF($D1416="","",IFERROR(IF(INDEX(RUNS!$G$6:$G$1005,MATCH($D1416,RUNS!$A$6:$A$1005,0))="","",INDEX(RUNS!$G$6:$G$1005,MATCH($D1416,RUNS!$A$6:$A$1005,0))),""))</f>
        <v/>
      </c>
      <c r="O1416" s="33">
        <f>IF($D1416="","",IFERROR(IF(INDEX(RUNS!$H$6:$H$1005,MATCH($D1416,RUNS!$A$6:$A$1005,0))="","",INDEX(RUNS!$H$6:$H$1005,MATCH($D1416,RUNS!$A$6:$A$1005,0))),""))</f>
        <v/>
      </c>
      <c r="P1416" s="33">
        <f>IF($D1416="","",IFERROR(IF(INDEX(RUNS!$J$6:$J$1005,MATCH($D1416,RUNS!$A$6:$A$1005,0))="","",INDEX(RUNS!$J$6:$J$1005,MATCH($D1416,RUNS!$A$6:$A$1005,0))),""))</f>
        <v/>
      </c>
      <c r="Q1416" s="33">
        <f>IF($D1416="","",IFERROR(IF(INDEX(RUNS!$K$6:$K$1005,MATCH($D1416,RUNS!$A$6:$A$1005,0))="","",INDEX(RUNS!$K$6:$K$1005,MATCH($D1416,RUNS!$A$6:$A$1005,0))),""))</f>
        <v/>
      </c>
      <c r="R1416" s="34">
        <f>IF(OR($L1416="",$K1416=""),"",IFERROR(IF(INDEX(PARAMETRES!$H$43:$H$342,MATCH($L1416&amp;"|"&amp;$M1416&amp;"|"&amp;$N1416&amp;"|"&amp;$O1416&amp;"|"&amp;$P1416&amp;"|"&amp;$Q1416&amp;"|"&amp;$K1416,PARAMETRES!$J$43:$J$342,0))="","",INDEX(PARAMETRES!$H$43:$H$342,MATCH($L1416&amp;"|"&amp;$M1416&amp;"|"&amp;$N1416&amp;"|"&amp;$O1416&amp;"|"&amp;$P1416&amp;"|"&amp;$Q1416&amp;"|"&amp;$K1416,PARAMETRES!$J$43:$J$342,0))),""))</f>
        <v/>
      </c>
      <c r="S1416" s="35">
        <f>IF(OR($G1416="",$X1416&lt;&gt;"VALIDE"),"",IFERROR(LOOKUP(2,1/(($B516:$B1415=$B1416)*($G516:$G1415=$G1416)*($X516:$X1415="VALIDE")),$C516:$C1415),""))</f>
        <v/>
      </c>
      <c r="T1416" s="36">
        <f>IF(OR($C1416="",$S1416=""),"",ROUND(($C1416-$S1416+IF($C1416&lt;$S1416,1,0))*1440,0))</f>
        <v/>
      </c>
      <c r="U1416" s="22">
        <f>IF(OR($H1416="",$T1416="",$T1416&lt;=0),"",$H1416*60/$T1416)</f>
        <v/>
      </c>
      <c r="V1416" s="37">
        <f>IF(OR($U1416="",$R1416="",$R1416=0),"",$U1416/$R1416)</f>
        <v/>
      </c>
      <c r="W1416" s="20">
        <f>IF($G1416="","",IF($X1416="CONTEXTE INCOMPLET","CONTEXTE INCOMPLET",IF($X1416="DOUBLON",StatutDoublon,IF($S1416="",StatutInitial,IF($R1416="",StatutStandardManquant,IF($V1416="","DONNEES INSUFFISANTES",IF($V1416&gt;=SeuilConforme,StatutConforme,IF($V1416&gt;=SeuilSurveiller,StatutSurveiller,StatutSousStandard))))))))</f>
        <v/>
      </c>
      <c r="X1416" s="33">
        <f>IF($G1416="","",IF(OR($D1416="",$E1416="",$F1416=""),"CONTEXTE INCOMPLET",IF(COUNTIFS($D516:$D1415,$D1416,$E516:$E1415,$E1416,$F516:$F1415,$F1416,$G516:$G1415,$G1416)&gt;0,"DOUBLON","VALIDE")))</f>
        <v/>
      </c>
    </row>
    <row r="1417" ht="15" customHeight="1">
      <c r="A1417" s="12">
        <f>IF(OR($B1417="",$G1417=""),"",TEXT($B1417,"YYYYMMDD")&amp;"-"&amp;SUBSTITUTE($E1417," ","")&amp;"-"&amp;$F1417&amp;"-"&amp;$G1417)</f>
        <v/>
      </c>
      <c r="B1417" s="15" t="n"/>
      <c r="C1417" s="16" t="n"/>
      <c r="D1417" s="10" t="n"/>
      <c r="E1417" s="9" t="n"/>
      <c r="F1417" s="9" t="n"/>
      <c r="G1417" s="13" t="n"/>
      <c r="H1417" s="21" t="n"/>
      <c r="I1417" s="21" t="n"/>
      <c r="J1417" s="17">
        <f>IF($G1417="","",IFERROR(INDEX(NomsEmployes,MATCH($G1417,MatriculesEmployes,0)),"MATRICULE INCONNU"))</f>
        <v/>
      </c>
      <c r="K1417" s="33">
        <f>IF(OR($D1417="",$F1417=""),"",IFERROR(IF(INDEX(RUNS!$L$6:$S$1005,MATCH($D1417,RUNS!$A$6:$A$1005,0),MATCH("ACTIVITÉ "&amp;$F1417,RUNS!$L$5:$S$5,0))="","",INDEX(RUNS!$L$6:$S$1005,MATCH($D1417,RUNS!$A$6:$A$1005,0),MATCH("ACTIVITÉ "&amp;$F1417,RUNS!$L$5:$S$5,0))),""))</f>
        <v/>
      </c>
      <c r="L1417" s="33">
        <f>IF($D1417="","",IFERROR(IF(INDEX(RUNS!$E$6:$E$1005,MATCH($D1417,RUNS!$A$6:$A$1005,0))="","",INDEX(RUNS!$E$6:$E$1005,MATCH($D1417,RUNS!$A$6:$A$1005,0))),""))</f>
        <v/>
      </c>
      <c r="M1417" s="33">
        <f>IF($D1417="","",IFERROR(IF(INDEX(RUNS!$F$6:$F$1005,MATCH($D1417,RUNS!$A$6:$A$1005,0))="","",INDEX(RUNS!$F$6:$F$1005,MATCH($D1417,RUNS!$A$6:$A$1005,0))),""))</f>
        <v/>
      </c>
      <c r="N1417" s="33">
        <f>IF($D1417="","",IFERROR(IF(INDEX(RUNS!$G$6:$G$1005,MATCH($D1417,RUNS!$A$6:$A$1005,0))="","",INDEX(RUNS!$G$6:$G$1005,MATCH($D1417,RUNS!$A$6:$A$1005,0))),""))</f>
        <v/>
      </c>
      <c r="O1417" s="33">
        <f>IF($D1417="","",IFERROR(IF(INDEX(RUNS!$H$6:$H$1005,MATCH($D1417,RUNS!$A$6:$A$1005,0))="","",INDEX(RUNS!$H$6:$H$1005,MATCH($D1417,RUNS!$A$6:$A$1005,0))),""))</f>
        <v/>
      </c>
      <c r="P1417" s="33">
        <f>IF($D1417="","",IFERROR(IF(INDEX(RUNS!$J$6:$J$1005,MATCH($D1417,RUNS!$A$6:$A$1005,0))="","",INDEX(RUNS!$J$6:$J$1005,MATCH($D1417,RUNS!$A$6:$A$1005,0))),""))</f>
        <v/>
      </c>
      <c r="Q1417" s="33">
        <f>IF($D1417="","",IFERROR(IF(INDEX(RUNS!$K$6:$K$1005,MATCH($D1417,RUNS!$A$6:$A$1005,0))="","",INDEX(RUNS!$K$6:$K$1005,MATCH($D1417,RUNS!$A$6:$A$1005,0))),""))</f>
        <v/>
      </c>
      <c r="R1417" s="34">
        <f>IF(OR($L1417="",$K1417=""),"",IFERROR(IF(INDEX(PARAMETRES!$H$43:$H$342,MATCH($L1417&amp;"|"&amp;$M1417&amp;"|"&amp;$N1417&amp;"|"&amp;$O1417&amp;"|"&amp;$P1417&amp;"|"&amp;$Q1417&amp;"|"&amp;$K1417,PARAMETRES!$J$43:$J$342,0))="","",INDEX(PARAMETRES!$H$43:$H$342,MATCH($L1417&amp;"|"&amp;$M1417&amp;"|"&amp;$N1417&amp;"|"&amp;$O1417&amp;"|"&amp;$P1417&amp;"|"&amp;$Q1417&amp;"|"&amp;$K1417,PARAMETRES!$J$43:$J$342,0))),""))</f>
        <v/>
      </c>
      <c r="S1417" s="35">
        <f>IF(OR($G1417="",$X1417&lt;&gt;"VALIDE"),"",IFERROR(LOOKUP(2,1/(($B517:$B1416=$B1417)*($G517:$G1416=$G1417)*($X517:$X1416="VALIDE")),$C517:$C1416),""))</f>
        <v/>
      </c>
      <c r="T1417" s="36">
        <f>IF(OR($C1417="",$S1417=""),"",ROUND(($C1417-$S1417+IF($C1417&lt;$S1417,1,0))*1440,0))</f>
        <v/>
      </c>
      <c r="U1417" s="22">
        <f>IF(OR($H1417="",$T1417="",$T1417&lt;=0),"",$H1417*60/$T1417)</f>
        <v/>
      </c>
      <c r="V1417" s="37">
        <f>IF(OR($U1417="",$R1417="",$R1417=0),"",$U1417/$R1417)</f>
        <v/>
      </c>
      <c r="W1417" s="20">
        <f>IF($G1417="","",IF($X1417="CONTEXTE INCOMPLET","CONTEXTE INCOMPLET",IF($X1417="DOUBLON",StatutDoublon,IF($S1417="",StatutInitial,IF($R1417="",StatutStandardManquant,IF($V1417="","DONNEES INSUFFISANTES",IF($V1417&gt;=SeuilConforme,StatutConforme,IF($V1417&gt;=SeuilSurveiller,StatutSurveiller,StatutSousStandard))))))))</f>
        <v/>
      </c>
      <c r="X1417" s="33">
        <f>IF($G1417="","",IF(OR($D1417="",$E1417="",$F1417=""),"CONTEXTE INCOMPLET",IF(COUNTIFS($D517:$D1416,$D1417,$E517:$E1416,$E1417,$F517:$F1416,$F1417,$G517:$G1416,$G1417)&gt;0,"DOUBLON","VALIDE")))</f>
        <v/>
      </c>
    </row>
    <row r="1418" ht="15" customHeight="1">
      <c r="A1418" s="12">
        <f>IF(OR($B1418="",$G1418=""),"",TEXT($B1418,"YYYYMMDD")&amp;"-"&amp;SUBSTITUTE($E1418," ","")&amp;"-"&amp;$F1418&amp;"-"&amp;$G1418)</f>
        <v/>
      </c>
      <c r="B1418" s="15" t="n"/>
      <c r="C1418" s="16" t="n"/>
      <c r="D1418" s="10" t="n"/>
      <c r="E1418" s="9" t="n"/>
      <c r="F1418" s="9" t="n"/>
      <c r="G1418" s="13" t="n"/>
      <c r="H1418" s="21" t="n"/>
      <c r="I1418" s="21" t="n"/>
      <c r="J1418" s="17">
        <f>IF($G1418="","",IFERROR(INDEX(NomsEmployes,MATCH($G1418,MatriculesEmployes,0)),"MATRICULE INCONNU"))</f>
        <v/>
      </c>
      <c r="K1418" s="33">
        <f>IF(OR($D1418="",$F1418=""),"",IFERROR(IF(INDEX(RUNS!$L$6:$S$1005,MATCH($D1418,RUNS!$A$6:$A$1005,0),MATCH("ACTIVITÉ "&amp;$F1418,RUNS!$L$5:$S$5,0))="","",INDEX(RUNS!$L$6:$S$1005,MATCH($D1418,RUNS!$A$6:$A$1005,0),MATCH("ACTIVITÉ "&amp;$F1418,RUNS!$L$5:$S$5,0))),""))</f>
        <v/>
      </c>
      <c r="L1418" s="33">
        <f>IF($D1418="","",IFERROR(IF(INDEX(RUNS!$E$6:$E$1005,MATCH($D1418,RUNS!$A$6:$A$1005,0))="","",INDEX(RUNS!$E$6:$E$1005,MATCH($D1418,RUNS!$A$6:$A$1005,0))),""))</f>
        <v/>
      </c>
      <c r="M1418" s="33">
        <f>IF($D1418="","",IFERROR(IF(INDEX(RUNS!$F$6:$F$1005,MATCH($D1418,RUNS!$A$6:$A$1005,0))="","",INDEX(RUNS!$F$6:$F$1005,MATCH($D1418,RUNS!$A$6:$A$1005,0))),""))</f>
        <v/>
      </c>
      <c r="N1418" s="33">
        <f>IF($D1418="","",IFERROR(IF(INDEX(RUNS!$G$6:$G$1005,MATCH($D1418,RUNS!$A$6:$A$1005,0))="","",INDEX(RUNS!$G$6:$G$1005,MATCH($D1418,RUNS!$A$6:$A$1005,0))),""))</f>
        <v/>
      </c>
      <c r="O1418" s="33">
        <f>IF($D1418="","",IFERROR(IF(INDEX(RUNS!$H$6:$H$1005,MATCH($D1418,RUNS!$A$6:$A$1005,0))="","",INDEX(RUNS!$H$6:$H$1005,MATCH($D1418,RUNS!$A$6:$A$1005,0))),""))</f>
        <v/>
      </c>
      <c r="P1418" s="33">
        <f>IF($D1418="","",IFERROR(IF(INDEX(RUNS!$J$6:$J$1005,MATCH($D1418,RUNS!$A$6:$A$1005,0))="","",INDEX(RUNS!$J$6:$J$1005,MATCH($D1418,RUNS!$A$6:$A$1005,0))),""))</f>
        <v/>
      </c>
      <c r="Q1418" s="33">
        <f>IF($D1418="","",IFERROR(IF(INDEX(RUNS!$K$6:$K$1005,MATCH($D1418,RUNS!$A$6:$A$1005,0))="","",INDEX(RUNS!$K$6:$K$1005,MATCH($D1418,RUNS!$A$6:$A$1005,0))),""))</f>
        <v/>
      </c>
      <c r="R1418" s="34">
        <f>IF(OR($L1418="",$K1418=""),"",IFERROR(IF(INDEX(PARAMETRES!$H$43:$H$342,MATCH($L1418&amp;"|"&amp;$M1418&amp;"|"&amp;$N1418&amp;"|"&amp;$O1418&amp;"|"&amp;$P1418&amp;"|"&amp;$Q1418&amp;"|"&amp;$K1418,PARAMETRES!$J$43:$J$342,0))="","",INDEX(PARAMETRES!$H$43:$H$342,MATCH($L1418&amp;"|"&amp;$M1418&amp;"|"&amp;$N1418&amp;"|"&amp;$O1418&amp;"|"&amp;$P1418&amp;"|"&amp;$Q1418&amp;"|"&amp;$K1418,PARAMETRES!$J$43:$J$342,0))),""))</f>
        <v/>
      </c>
      <c r="S1418" s="35">
        <f>IF(OR($G1418="",$X1418&lt;&gt;"VALIDE"),"",IFERROR(LOOKUP(2,1/(($B518:$B1417=$B1418)*($G518:$G1417=$G1418)*($X518:$X1417="VALIDE")),$C518:$C1417),""))</f>
        <v/>
      </c>
      <c r="T1418" s="36">
        <f>IF(OR($C1418="",$S1418=""),"",ROUND(($C1418-$S1418+IF($C1418&lt;$S1418,1,0))*1440,0))</f>
        <v/>
      </c>
      <c r="U1418" s="22">
        <f>IF(OR($H1418="",$T1418="",$T1418&lt;=0),"",$H1418*60/$T1418)</f>
        <v/>
      </c>
      <c r="V1418" s="37">
        <f>IF(OR($U1418="",$R1418="",$R1418=0),"",$U1418/$R1418)</f>
        <v/>
      </c>
      <c r="W1418" s="20">
        <f>IF($G1418="","",IF($X1418="CONTEXTE INCOMPLET","CONTEXTE INCOMPLET",IF($X1418="DOUBLON",StatutDoublon,IF($S1418="",StatutInitial,IF($R1418="",StatutStandardManquant,IF($V1418="","DONNEES INSUFFISANTES",IF($V1418&gt;=SeuilConforme,StatutConforme,IF($V1418&gt;=SeuilSurveiller,StatutSurveiller,StatutSousStandard))))))))</f>
        <v/>
      </c>
      <c r="X1418" s="33">
        <f>IF($G1418="","",IF(OR($D1418="",$E1418="",$F1418=""),"CONTEXTE INCOMPLET",IF(COUNTIFS($D518:$D1417,$D1418,$E518:$E1417,$E1418,$F518:$F1417,$F1418,$G518:$G1417,$G1418)&gt;0,"DOUBLON","VALIDE")))</f>
        <v/>
      </c>
    </row>
    <row r="1419" ht="15" customHeight="1">
      <c r="A1419" s="12">
        <f>IF(OR($B1419="",$G1419=""),"",TEXT($B1419,"YYYYMMDD")&amp;"-"&amp;SUBSTITUTE($E1419," ","")&amp;"-"&amp;$F1419&amp;"-"&amp;$G1419)</f>
        <v/>
      </c>
      <c r="B1419" s="15" t="n"/>
      <c r="C1419" s="16" t="n"/>
      <c r="D1419" s="10" t="n"/>
      <c r="E1419" s="9" t="n"/>
      <c r="F1419" s="9" t="n"/>
      <c r="G1419" s="13" t="n"/>
      <c r="H1419" s="21" t="n"/>
      <c r="I1419" s="21" t="n"/>
      <c r="J1419" s="17">
        <f>IF($G1419="","",IFERROR(INDEX(NomsEmployes,MATCH($G1419,MatriculesEmployes,0)),"MATRICULE INCONNU"))</f>
        <v/>
      </c>
      <c r="K1419" s="33">
        <f>IF(OR($D1419="",$F1419=""),"",IFERROR(IF(INDEX(RUNS!$L$6:$S$1005,MATCH($D1419,RUNS!$A$6:$A$1005,0),MATCH("ACTIVITÉ "&amp;$F1419,RUNS!$L$5:$S$5,0))="","",INDEX(RUNS!$L$6:$S$1005,MATCH($D1419,RUNS!$A$6:$A$1005,0),MATCH("ACTIVITÉ "&amp;$F1419,RUNS!$L$5:$S$5,0))),""))</f>
        <v/>
      </c>
      <c r="L1419" s="33">
        <f>IF($D1419="","",IFERROR(IF(INDEX(RUNS!$E$6:$E$1005,MATCH($D1419,RUNS!$A$6:$A$1005,0))="","",INDEX(RUNS!$E$6:$E$1005,MATCH($D1419,RUNS!$A$6:$A$1005,0))),""))</f>
        <v/>
      </c>
      <c r="M1419" s="33">
        <f>IF($D1419="","",IFERROR(IF(INDEX(RUNS!$F$6:$F$1005,MATCH($D1419,RUNS!$A$6:$A$1005,0))="","",INDEX(RUNS!$F$6:$F$1005,MATCH($D1419,RUNS!$A$6:$A$1005,0))),""))</f>
        <v/>
      </c>
      <c r="N1419" s="33">
        <f>IF($D1419="","",IFERROR(IF(INDEX(RUNS!$G$6:$G$1005,MATCH($D1419,RUNS!$A$6:$A$1005,0))="","",INDEX(RUNS!$G$6:$G$1005,MATCH($D1419,RUNS!$A$6:$A$1005,0))),""))</f>
        <v/>
      </c>
      <c r="O1419" s="33">
        <f>IF($D1419="","",IFERROR(IF(INDEX(RUNS!$H$6:$H$1005,MATCH($D1419,RUNS!$A$6:$A$1005,0))="","",INDEX(RUNS!$H$6:$H$1005,MATCH($D1419,RUNS!$A$6:$A$1005,0))),""))</f>
        <v/>
      </c>
      <c r="P1419" s="33">
        <f>IF($D1419="","",IFERROR(IF(INDEX(RUNS!$J$6:$J$1005,MATCH($D1419,RUNS!$A$6:$A$1005,0))="","",INDEX(RUNS!$J$6:$J$1005,MATCH($D1419,RUNS!$A$6:$A$1005,0))),""))</f>
        <v/>
      </c>
      <c r="Q1419" s="33">
        <f>IF($D1419="","",IFERROR(IF(INDEX(RUNS!$K$6:$K$1005,MATCH($D1419,RUNS!$A$6:$A$1005,0))="","",INDEX(RUNS!$K$6:$K$1005,MATCH($D1419,RUNS!$A$6:$A$1005,0))),""))</f>
        <v/>
      </c>
      <c r="R1419" s="34">
        <f>IF(OR($L1419="",$K1419=""),"",IFERROR(IF(INDEX(PARAMETRES!$H$43:$H$342,MATCH($L1419&amp;"|"&amp;$M1419&amp;"|"&amp;$N1419&amp;"|"&amp;$O1419&amp;"|"&amp;$P1419&amp;"|"&amp;$Q1419&amp;"|"&amp;$K1419,PARAMETRES!$J$43:$J$342,0))="","",INDEX(PARAMETRES!$H$43:$H$342,MATCH($L1419&amp;"|"&amp;$M1419&amp;"|"&amp;$N1419&amp;"|"&amp;$O1419&amp;"|"&amp;$P1419&amp;"|"&amp;$Q1419&amp;"|"&amp;$K1419,PARAMETRES!$J$43:$J$342,0))),""))</f>
        <v/>
      </c>
      <c r="S1419" s="35">
        <f>IF(OR($G1419="",$X1419&lt;&gt;"VALIDE"),"",IFERROR(LOOKUP(2,1/(($B519:$B1418=$B1419)*($G519:$G1418=$G1419)*($X519:$X1418="VALIDE")),$C519:$C1418),""))</f>
        <v/>
      </c>
      <c r="T1419" s="36">
        <f>IF(OR($C1419="",$S1419=""),"",ROUND(($C1419-$S1419+IF($C1419&lt;$S1419,1,0))*1440,0))</f>
        <v/>
      </c>
      <c r="U1419" s="22">
        <f>IF(OR($H1419="",$T1419="",$T1419&lt;=0),"",$H1419*60/$T1419)</f>
        <v/>
      </c>
      <c r="V1419" s="37">
        <f>IF(OR($U1419="",$R1419="",$R1419=0),"",$U1419/$R1419)</f>
        <v/>
      </c>
      <c r="W1419" s="20">
        <f>IF($G1419="","",IF($X1419="CONTEXTE INCOMPLET","CONTEXTE INCOMPLET",IF($X1419="DOUBLON",StatutDoublon,IF($S1419="",StatutInitial,IF($R1419="",StatutStandardManquant,IF($V1419="","DONNEES INSUFFISANTES",IF($V1419&gt;=SeuilConforme,StatutConforme,IF($V1419&gt;=SeuilSurveiller,StatutSurveiller,StatutSousStandard))))))))</f>
        <v/>
      </c>
      <c r="X1419" s="33">
        <f>IF($G1419="","",IF(OR($D1419="",$E1419="",$F1419=""),"CONTEXTE INCOMPLET",IF(COUNTIFS($D519:$D1418,$D1419,$E519:$E1418,$E1419,$F519:$F1418,$F1419,$G519:$G1418,$G1419)&gt;0,"DOUBLON","VALIDE")))</f>
        <v/>
      </c>
    </row>
    <row r="1420" ht="15" customHeight="1">
      <c r="A1420" s="12">
        <f>IF(OR($B1420="",$G1420=""),"",TEXT($B1420,"YYYYMMDD")&amp;"-"&amp;SUBSTITUTE($E1420," ","")&amp;"-"&amp;$F1420&amp;"-"&amp;$G1420)</f>
        <v/>
      </c>
      <c r="B1420" s="15" t="n"/>
      <c r="C1420" s="16" t="n"/>
      <c r="D1420" s="10" t="n"/>
      <c r="E1420" s="9" t="n"/>
      <c r="F1420" s="9" t="n"/>
      <c r="G1420" s="13" t="n"/>
      <c r="H1420" s="21" t="n"/>
      <c r="I1420" s="21" t="n"/>
      <c r="J1420" s="17">
        <f>IF($G1420="","",IFERROR(INDEX(NomsEmployes,MATCH($G1420,MatriculesEmployes,0)),"MATRICULE INCONNU"))</f>
        <v/>
      </c>
      <c r="K1420" s="33">
        <f>IF(OR($D1420="",$F1420=""),"",IFERROR(IF(INDEX(RUNS!$L$6:$S$1005,MATCH($D1420,RUNS!$A$6:$A$1005,0),MATCH("ACTIVITÉ "&amp;$F1420,RUNS!$L$5:$S$5,0))="","",INDEX(RUNS!$L$6:$S$1005,MATCH($D1420,RUNS!$A$6:$A$1005,0),MATCH("ACTIVITÉ "&amp;$F1420,RUNS!$L$5:$S$5,0))),""))</f>
        <v/>
      </c>
      <c r="L1420" s="33">
        <f>IF($D1420="","",IFERROR(IF(INDEX(RUNS!$E$6:$E$1005,MATCH($D1420,RUNS!$A$6:$A$1005,0))="","",INDEX(RUNS!$E$6:$E$1005,MATCH($D1420,RUNS!$A$6:$A$1005,0))),""))</f>
        <v/>
      </c>
      <c r="M1420" s="33">
        <f>IF($D1420="","",IFERROR(IF(INDEX(RUNS!$F$6:$F$1005,MATCH($D1420,RUNS!$A$6:$A$1005,0))="","",INDEX(RUNS!$F$6:$F$1005,MATCH($D1420,RUNS!$A$6:$A$1005,0))),""))</f>
        <v/>
      </c>
      <c r="N1420" s="33">
        <f>IF($D1420="","",IFERROR(IF(INDEX(RUNS!$G$6:$G$1005,MATCH($D1420,RUNS!$A$6:$A$1005,0))="","",INDEX(RUNS!$G$6:$G$1005,MATCH($D1420,RUNS!$A$6:$A$1005,0))),""))</f>
        <v/>
      </c>
      <c r="O1420" s="33">
        <f>IF($D1420="","",IFERROR(IF(INDEX(RUNS!$H$6:$H$1005,MATCH($D1420,RUNS!$A$6:$A$1005,0))="","",INDEX(RUNS!$H$6:$H$1005,MATCH($D1420,RUNS!$A$6:$A$1005,0))),""))</f>
        <v/>
      </c>
      <c r="P1420" s="33">
        <f>IF($D1420="","",IFERROR(IF(INDEX(RUNS!$J$6:$J$1005,MATCH($D1420,RUNS!$A$6:$A$1005,0))="","",INDEX(RUNS!$J$6:$J$1005,MATCH($D1420,RUNS!$A$6:$A$1005,0))),""))</f>
        <v/>
      </c>
      <c r="Q1420" s="33">
        <f>IF($D1420="","",IFERROR(IF(INDEX(RUNS!$K$6:$K$1005,MATCH($D1420,RUNS!$A$6:$A$1005,0))="","",INDEX(RUNS!$K$6:$K$1005,MATCH($D1420,RUNS!$A$6:$A$1005,0))),""))</f>
        <v/>
      </c>
      <c r="R1420" s="34">
        <f>IF(OR($L1420="",$K1420=""),"",IFERROR(IF(INDEX(PARAMETRES!$H$43:$H$342,MATCH($L1420&amp;"|"&amp;$M1420&amp;"|"&amp;$N1420&amp;"|"&amp;$O1420&amp;"|"&amp;$P1420&amp;"|"&amp;$Q1420&amp;"|"&amp;$K1420,PARAMETRES!$J$43:$J$342,0))="","",INDEX(PARAMETRES!$H$43:$H$342,MATCH($L1420&amp;"|"&amp;$M1420&amp;"|"&amp;$N1420&amp;"|"&amp;$O1420&amp;"|"&amp;$P1420&amp;"|"&amp;$Q1420&amp;"|"&amp;$K1420,PARAMETRES!$J$43:$J$342,0))),""))</f>
        <v/>
      </c>
      <c r="S1420" s="35">
        <f>IF(OR($G1420="",$X1420&lt;&gt;"VALIDE"),"",IFERROR(LOOKUP(2,1/(($B520:$B1419=$B1420)*($G520:$G1419=$G1420)*($X520:$X1419="VALIDE")),$C520:$C1419),""))</f>
        <v/>
      </c>
      <c r="T1420" s="36">
        <f>IF(OR($C1420="",$S1420=""),"",ROUND(($C1420-$S1420+IF($C1420&lt;$S1420,1,0))*1440,0))</f>
        <v/>
      </c>
      <c r="U1420" s="22">
        <f>IF(OR($H1420="",$T1420="",$T1420&lt;=0),"",$H1420*60/$T1420)</f>
        <v/>
      </c>
      <c r="V1420" s="37">
        <f>IF(OR($U1420="",$R1420="",$R1420=0),"",$U1420/$R1420)</f>
        <v/>
      </c>
      <c r="W1420" s="20">
        <f>IF($G1420="","",IF($X1420="CONTEXTE INCOMPLET","CONTEXTE INCOMPLET",IF($X1420="DOUBLON",StatutDoublon,IF($S1420="",StatutInitial,IF($R1420="",StatutStandardManquant,IF($V1420="","DONNEES INSUFFISANTES",IF($V1420&gt;=SeuilConforme,StatutConforme,IF($V1420&gt;=SeuilSurveiller,StatutSurveiller,StatutSousStandard))))))))</f>
        <v/>
      </c>
      <c r="X1420" s="33">
        <f>IF($G1420="","",IF(OR($D1420="",$E1420="",$F1420=""),"CONTEXTE INCOMPLET",IF(COUNTIFS($D520:$D1419,$D1420,$E520:$E1419,$E1420,$F520:$F1419,$F1420,$G520:$G1419,$G1420)&gt;0,"DOUBLON","VALIDE")))</f>
        <v/>
      </c>
    </row>
    <row r="1421" ht="15" customHeight="1">
      <c r="A1421" s="12">
        <f>IF(OR($B1421="",$G1421=""),"",TEXT($B1421,"YYYYMMDD")&amp;"-"&amp;SUBSTITUTE($E1421," ","")&amp;"-"&amp;$F1421&amp;"-"&amp;$G1421)</f>
        <v/>
      </c>
      <c r="B1421" s="15" t="n"/>
      <c r="C1421" s="16" t="n"/>
      <c r="D1421" s="10" t="n"/>
      <c r="E1421" s="9" t="n"/>
      <c r="F1421" s="9" t="n"/>
      <c r="G1421" s="13" t="n"/>
      <c r="H1421" s="21" t="n"/>
      <c r="I1421" s="21" t="n"/>
      <c r="J1421" s="17">
        <f>IF($G1421="","",IFERROR(INDEX(NomsEmployes,MATCH($G1421,MatriculesEmployes,0)),"MATRICULE INCONNU"))</f>
        <v/>
      </c>
      <c r="K1421" s="33">
        <f>IF(OR($D1421="",$F1421=""),"",IFERROR(IF(INDEX(RUNS!$L$6:$S$1005,MATCH($D1421,RUNS!$A$6:$A$1005,0),MATCH("ACTIVITÉ "&amp;$F1421,RUNS!$L$5:$S$5,0))="","",INDEX(RUNS!$L$6:$S$1005,MATCH($D1421,RUNS!$A$6:$A$1005,0),MATCH("ACTIVITÉ "&amp;$F1421,RUNS!$L$5:$S$5,0))),""))</f>
        <v/>
      </c>
      <c r="L1421" s="33">
        <f>IF($D1421="","",IFERROR(IF(INDEX(RUNS!$E$6:$E$1005,MATCH($D1421,RUNS!$A$6:$A$1005,0))="","",INDEX(RUNS!$E$6:$E$1005,MATCH($D1421,RUNS!$A$6:$A$1005,0))),""))</f>
        <v/>
      </c>
      <c r="M1421" s="33">
        <f>IF($D1421="","",IFERROR(IF(INDEX(RUNS!$F$6:$F$1005,MATCH($D1421,RUNS!$A$6:$A$1005,0))="","",INDEX(RUNS!$F$6:$F$1005,MATCH($D1421,RUNS!$A$6:$A$1005,0))),""))</f>
        <v/>
      </c>
      <c r="N1421" s="33">
        <f>IF($D1421="","",IFERROR(IF(INDEX(RUNS!$G$6:$G$1005,MATCH($D1421,RUNS!$A$6:$A$1005,0))="","",INDEX(RUNS!$G$6:$G$1005,MATCH($D1421,RUNS!$A$6:$A$1005,0))),""))</f>
        <v/>
      </c>
      <c r="O1421" s="33">
        <f>IF($D1421="","",IFERROR(IF(INDEX(RUNS!$H$6:$H$1005,MATCH($D1421,RUNS!$A$6:$A$1005,0))="","",INDEX(RUNS!$H$6:$H$1005,MATCH($D1421,RUNS!$A$6:$A$1005,0))),""))</f>
        <v/>
      </c>
      <c r="P1421" s="33">
        <f>IF($D1421="","",IFERROR(IF(INDEX(RUNS!$J$6:$J$1005,MATCH($D1421,RUNS!$A$6:$A$1005,0))="","",INDEX(RUNS!$J$6:$J$1005,MATCH($D1421,RUNS!$A$6:$A$1005,0))),""))</f>
        <v/>
      </c>
      <c r="Q1421" s="33">
        <f>IF($D1421="","",IFERROR(IF(INDEX(RUNS!$K$6:$K$1005,MATCH($D1421,RUNS!$A$6:$A$1005,0))="","",INDEX(RUNS!$K$6:$K$1005,MATCH($D1421,RUNS!$A$6:$A$1005,0))),""))</f>
        <v/>
      </c>
      <c r="R1421" s="34">
        <f>IF(OR($L1421="",$K1421=""),"",IFERROR(IF(INDEX(PARAMETRES!$H$43:$H$342,MATCH($L1421&amp;"|"&amp;$M1421&amp;"|"&amp;$N1421&amp;"|"&amp;$O1421&amp;"|"&amp;$P1421&amp;"|"&amp;$Q1421&amp;"|"&amp;$K1421,PARAMETRES!$J$43:$J$342,0))="","",INDEX(PARAMETRES!$H$43:$H$342,MATCH($L1421&amp;"|"&amp;$M1421&amp;"|"&amp;$N1421&amp;"|"&amp;$O1421&amp;"|"&amp;$P1421&amp;"|"&amp;$Q1421&amp;"|"&amp;$K1421,PARAMETRES!$J$43:$J$342,0))),""))</f>
        <v/>
      </c>
      <c r="S1421" s="35">
        <f>IF(OR($G1421="",$X1421&lt;&gt;"VALIDE"),"",IFERROR(LOOKUP(2,1/(($B521:$B1420=$B1421)*($G521:$G1420=$G1421)*($X521:$X1420="VALIDE")),$C521:$C1420),""))</f>
        <v/>
      </c>
      <c r="T1421" s="36">
        <f>IF(OR($C1421="",$S1421=""),"",ROUND(($C1421-$S1421+IF($C1421&lt;$S1421,1,0))*1440,0))</f>
        <v/>
      </c>
      <c r="U1421" s="22">
        <f>IF(OR($H1421="",$T1421="",$T1421&lt;=0),"",$H1421*60/$T1421)</f>
        <v/>
      </c>
      <c r="V1421" s="37">
        <f>IF(OR($U1421="",$R1421="",$R1421=0),"",$U1421/$R1421)</f>
        <v/>
      </c>
      <c r="W1421" s="20">
        <f>IF($G1421="","",IF($X1421="CONTEXTE INCOMPLET","CONTEXTE INCOMPLET",IF($X1421="DOUBLON",StatutDoublon,IF($S1421="",StatutInitial,IF($R1421="",StatutStandardManquant,IF($V1421="","DONNEES INSUFFISANTES",IF($V1421&gt;=SeuilConforme,StatutConforme,IF($V1421&gt;=SeuilSurveiller,StatutSurveiller,StatutSousStandard))))))))</f>
        <v/>
      </c>
      <c r="X1421" s="33">
        <f>IF($G1421="","",IF(OR($D1421="",$E1421="",$F1421=""),"CONTEXTE INCOMPLET",IF(COUNTIFS($D521:$D1420,$D1421,$E521:$E1420,$E1421,$F521:$F1420,$F1421,$G521:$G1420,$G1421)&gt;0,"DOUBLON","VALIDE")))</f>
        <v/>
      </c>
    </row>
    <row r="1422" ht="15" customHeight="1">
      <c r="A1422" s="12">
        <f>IF(OR($B1422="",$G1422=""),"",TEXT($B1422,"YYYYMMDD")&amp;"-"&amp;SUBSTITUTE($E1422," ","")&amp;"-"&amp;$F1422&amp;"-"&amp;$G1422)</f>
        <v/>
      </c>
      <c r="B1422" s="15" t="n"/>
      <c r="C1422" s="16" t="n"/>
      <c r="D1422" s="10" t="n"/>
      <c r="E1422" s="9" t="n"/>
      <c r="F1422" s="9" t="n"/>
      <c r="G1422" s="13" t="n"/>
      <c r="H1422" s="21" t="n"/>
      <c r="I1422" s="21" t="n"/>
      <c r="J1422" s="17">
        <f>IF($G1422="","",IFERROR(INDEX(NomsEmployes,MATCH($G1422,MatriculesEmployes,0)),"MATRICULE INCONNU"))</f>
        <v/>
      </c>
      <c r="K1422" s="33">
        <f>IF(OR($D1422="",$F1422=""),"",IFERROR(IF(INDEX(RUNS!$L$6:$S$1005,MATCH($D1422,RUNS!$A$6:$A$1005,0),MATCH("ACTIVITÉ "&amp;$F1422,RUNS!$L$5:$S$5,0))="","",INDEX(RUNS!$L$6:$S$1005,MATCH($D1422,RUNS!$A$6:$A$1005,0),MATCH("ACTIVITÉ "&amp;$F1422,RUNS!$L$5:$S$5,0))),""))</f>
        <v/>
      </c>
      <c r="L1422" s="33">
        <f>IF($D1422="","",IFERROR(IF(INDEX(RUNS!$E$6:$E$1005,MATCH($D1422,RUNS!$A$6:$A$1005,0))="","",INDEX(RUNS!$E$6:$E$1005,MATCH($D1422,RUNS!$A$6:$A$1005,0))),""))</f>
        <v/>
      </c>
      <c r="M1422" s="33">
        <f>IF($D1422="","",IFERROR(IF(INDEX(RUNS!$F$6:$F$1005,MATCH($D1422,RUNS!$A$6:$A$1005,0))="","",INDEX(RUNS!$F$6:$F$1005,MATCH($D1422,RUNS!$A$6:$A$1005,0))),""))</f>
        <v/>
      </c>
      <c r="N1422" s="33">
        <f>IF($D1422="","",IFERROR(IF(INDEX(RUNS!$G$6:$G$1005,MATCH($D1422,RUNS!$A$6:$A$1005,0))="","",INDEX(RUNS!$G$6:$G$1005,MATCH($D1422,RUNS!$A$6:$A$1005,0))),""))</f>
        <v/>
      </c>
      <c r="O1422" s="33">
        <f>IF($D1422="","",IFERROR(IF(INDEX(RUNS!$H$6:$H$1005,MATCH($D1422,RUNS!$A$6:$A$1005,0))="","",INDEX(RUNS!$H$6:$H$1005,MATCH($D1422,RUNS!$A$6:$A$1005,0))),""))</f>
        <v/>
      </c>
      <c r="P1422" s="33">
        <f>IF($D1422="","",IFERROR(IF(INDEX(RUNS!$J$6:$J$1005,MATCH($D1422,RUNS!$A$6:$A$1005,0))="","",INDEX(RUNS!$J$6:$J$1005,MATCH($D1422,RUNS!$A$6:$A$1005,0))),""))</f>
        <v/>
      </c>
      <c r="Q1422" s="33">
        <f>IF($D1422="","",IFERROR(IF(INDEX(RUNS!$K$6:$K$1005,MATCH($D1422,RUNS!$A$6:$A$1005,0))="","",INDEX(RUNS!$K$6:$K$1005,MATCH($D1422,RUNS!$A$6:$A$1005,0))),""))</f>
        <v/>
      </c>
      <c r="R1422" s="34">
        <f>IF(OR($L1422="",$K1422=""),"",IFERROR(IF(INDEX(PARAMETRES!$H$43:$H$342,MATCH($L1422&amp;"|"&amp;$M1422&amp;"|"&amp;$N1422&amp;"|"&amp;$O1422&amp;"|"&amp;$P1422&amp;"|"&amp;$Q1422&amp;"|"&amp;$K1422,PARAMETRES!$J$43:$J$342,0))="","",INDEX(PARAMETRES!$H$43:$H$342,MATCH($L1422&amp;"|"&amp;$M1422&amp;"|"&amp;$N1422&amp;"|"&amp;$O1422&amp;"|"&amp;$P1422&amp;"|"&amp;$Q1422&amp;"|"&amp;$K1422,PARAMETRES!$J$43:$J$342,0))),""))</f>
        <v/>
      </c>
      <c r="S1422" s="35">
        <f>IF(OR($G1422="",$X1422&lt;&gt;"VALIDE"),"",IFERROR(LOOKUP(2,1/(($B522:$B1421=$B1422)*($G522:$G1421=$G1422)*($X522:$X1421="VALIDE")),$C522:$C1421),""))</f>
        <v/>
      </c>
      <c r="T1422" s="36">
        <f>IF(OR($C1422="",$S1422=""),"",ROUND(($C1422-$S1422+IF($C1422&lt;$S1422,1,0))*1440,0))</f>
        <v/>
      </c>
      <c r="U1422" s="22">
        <f>IF(OR($H1422="",$T1422="",$T1422&lt;=0),"",$H1422*60/$T1422)</f>
        <v/>
      </c>
      <c r="V1422" s="37">
        <f>IF(OR($U1422="",$R1422="",$R1422=0),"",$U1422/$R1422)</f>
        <v/>
      </c>
      <c r="W1422" s="20">
        <f>IF($G1422="","",IF($X1422="CONTEXTE INCOMPLET","CONTEXTE INCOMPLET",IF($X1422="DOUBLON",StatutDoublon,IF($S1422="",StatutInitial,IF($R1422="",StatutStandardManquant,IF($V1422="","DONNEES INSUFFISANTES",IF($V1422&gt;=SeuilConforme,StatutConforme,IF($V1422&gt;=SeuilSurveiller,StatutSurveiller,StatutSousStandard))))))))</f>
        <v/>
      </c>
      <c r="X1422" s="33">
        <f>IF($G1422="","",IF(OR($D1422="",$E1422="",$F1422=""),"CONTEXTE INCOMPLET",IF(COUNTIFS($D522:$D1421,$D1422,$E522:$E1421,$E1422,$F522:$F1421,$F1422,$G522:$G1421,$G1422)&gt;0,"DOUBLON","VALIDE")))</f>
        <v/>
      </c>
    </row>
    <row r="1423" ht="15" customHeight="1">
      <c r="A1423" s="12">
        <f>IF(OR($B1423="",$G1423=""),"",TEXT($B1423,"YYYYMMDD")&amp;"-"&amp;SUBSTITUTE($E1423," ","")&amp;"-"&amp;$F1423&amp;"-"&amp;$G1423)</f>
        <v/>
      </c>
      <c r="B1423" s="15" t="n"/>
      <c r="C1423" s="16" t="n"/>
      <c r="D1423" s="10" t="n"/>
      <c r="E1423" s="9" t="n"/>
      <c r="F1423" s="9" t="n"/>
      <c r="G1423" s="13" t="n"/>
      <c r="H1423" s="21" t="n"/>
      <c r="I1423" s="21" t="n"/>
      <c r="J1423" s="17">
        <f>IF($G1423="","",IFERROR(INDEX(NomsEmployes,MATCH($G1423,MatriculesEmployes,0)),"MATRICULE INCONNU"))</f>
        <v/>
      </c>
      <c r="K1423" s="33">
        <f>IF(OR($D1423="",$F1423=""),"",IFERROR(IF(INDEX(RUNS!$L$6:$S$1005,MATCH($D1423,RUNS!$A$6:$A$1005,0),MATCH("ACTIVITÉ "&amp;$F1423,RUNS!$L$5:$S$5,0))="","",INDEX(RUNS!$L$6:$S$1005,MATCH($D1423,RUNS!$A$6:$A$1005,0),MATCH("ACTIVITÉ "&amp;$F1423,RUNS!$L$5:$S$5,0))),""))</f>
        <v/>
      </c>
      <c r="L1423" s="33">
        <f>IF($D1423="","",IFERROR(IF(INDEX(RUNS!$E$6:$E$1005,MATCH($D1423,RUNS!$A$6:$A$1005,0))="","",INDEX(RUNS!$E$6:$E$1005,MATCH($D1423,RUNS!$A$6:$A$1005,0))),""))</f>
        <v/>
      </c>
      <c r="M1423" s="33">
        <f>IF($D1423="","",IFERROR(IF(INDEX(RUNS!$F$6:$F$1005,MATCH($D1423,RUNS!$A$6:$A$1005,0))="","",INDEX(RUNS!$F$6:$F$1005,MATCH($D1423,RUNS!$A$6:$A$1005,0))),""))</f>
        <v/>
      </c>
      <c r="N1423" s="33">
        <f>IF($D1423="","",IFERROR(IF(INDEX(RUNS!$G$6:$G$1005,MATCH($D1423,RUNS!$A$6:$A$1005,0))="","",INDEX(RUNS!$G$6:$G$1005,MATCH($D1423,RUNS!$A$6:$A$1005,0))),""))</f>
        <v/>
      </c>
      <c r="O1423" s="33">
        <f>IF($D1423="","",IFERROR(IF(INDEX(RUNS!$H$6:$H$1005,MATCH($D1423,RUNS!$A$6:$A$1005,0))="","",INDEX(RUNS!$H$6:$H$1005,MATCH($D1423,RUNS!$A$6:$A$1005,0))),""))</f>
        <v/>
      </c>
      <c r="P1423" s="33">
        <f>IF($D1423="","",IFERROR(IF(INDEX(RUNS!$J$6:$J$1005,MATCH($D1423,RUNS!$A$6:$A$1005,0))="","",INDEX(RUNS!$J$6:$J$1005,MATCH($D1423,RUNS!$A$6:$A$1005,0))),""))</f>
        <v/>
      </c>
      <c r="Q1423" s="33">
        <f>IF($D1423="","",IFERROR(IF(INDEX(RUNS!$K$6:$K$1005,MATCH($D1423,RUNS!$A$6:$A$1005,0))="","",INDEX(RUNS!$K$6:$K$1005,MATCH($D1423,RUNS!$A$6:$A$1005,0))),""))</f>
        <v/>
      </c>
      <c r="R1423" s="34">
        <f>IF(OR($L1423="",$K1423=""),"",IFERROR(IF(INDEX(PARAMETRES!$H$43:$H$342,MATCH($L1423&amp;"|"&amp;$M1423&amp;"|"&amp;$N1423&amp;"|"&amp;$O1423&amp;"|"&amp;$P1423&amp;"|"&amp;$Q1423&amp;"|"&amp;$K1423,PARAMETRES!$J$43:$J$342,0))="","",INDEX(PARAMETRES!$H$43:$H$342,MATCH($L1423&amp;"|"&amp;$M1423&amp;"|"&amp;$N1423&amp;"|"&amp;$O1423&amp;"|"&amp;$P1423&amp;"|"&amp;$Q1423&amp;"|"&amp;$K1423,PARAMETRES!$J$43:$J$342,0))),""))</f>
        <v/>
      </c>
      <c r="S1423" s="35">
        <f>IF(OR($G1423="",$X1423&lt;&gt;"VALIDE"),"",IFERROR(LOOKUP(2,1/(($B523:$B1422=$B1423)*($G523:$G1422=$G1423)*($X523:$X1422="VALIDE")),$C523:$C1422),""))</f>
        <v/>
      </c>
      <c r="T1423" s="36">
        <f>IF(OR($C1423="",$S1423=""),"",ROUND(($C1423-$S1423+IF($C1423&lt;$S1423,1,0))*1440,0))</f>
        <v/>
      </c>
      <c r="U1423" s="22">
        <f>IF(OR($H1423="",$T1423="",$T1423&lt;=0),"",$H1423*60/$T1423)</f>
        <v/>
      </c>
      <c r="V1423" s="37">
        <f>IF(OR($U1423="",$R1423="",$R1423=0),"",$U1423/$R1423)</f>
        <v/>
      </c>
      <c r="W1423" s="20">
        <f>IF($G1423="","",IF($X1423="CONTEXTE INCOMPLET","CONTEXTE INCOMPLET",IF($X1423="DOUBLON",StatutDoublon,IF($S1423="",StatutInitial,IF($R1423="",StatutStandardManquant,IF($V1423="","DONNEES INSUFFISANTES",IF($V1423&gt;=SeuilConforme,StatutConforme,IF($V1423&gt;=SeuilSurveiller,StatutSurveiller,StatutSousStandard))))))))</f>
        <v/>
      </c>
      <c r="X1423" s="33">
        <f>IF($G1423="","",IF(OR($D1423="",$E1423="",$F1423=""),"CONTEXTE INCOMPLET",IF(COUNTIFS($D523:$D1422,$D1423,$E523:$E1422,$E1423,$F523:$F1422,$F1423,$G523:$G1422,$G1423)&gt;0,"DOUBLON","VALIDE")))</f>
        <v/>
      </c>
    </row>
    <row r="1424" ht="15" customHeight="1">
      <c r="A1424" s="12">
        <f>IF(OR($B1424="",$G1424=""),"",TEXT($B1424,"YYYYMMDD")&amp;"-"&amp;SUBSTITUTE($E1424," ","")&amp;"-"&amp;$F1424&amp;"-"&amp;$G1424)</f>
        <v/>
      </c>
      <c r="B1424" s="15" t="n"/>
      <c r="C1424" s="16" t="n"/>
      <c r="D1424" s="10" t="n"/>
      <c r="E1424" s="9" t="n"/>
      <c r="F1424" s="9" t="n"/>
      <c r="G1424" s="13" t="n"/>
      <c r="H1424" s="21" t="n"/>
      <c r="I1424" s="21" t="n"/>
      <c r="J1424" s="17">
        <f>IF($G1424="","",IFERROR(INDEX(NomsEmployes,MATCH($G1424,MatriculesEmployes,0)),"MATRICULE INCONNU"))</f>
        <v/>
      </c>
      <c r="K1424" s="33">
        <f>IF(OR($D1424="",$F1424=""),"",IFERROR(IF(INDEX(RUNS!$L$6:$S$1005,MATCH($D1424,RUNS!$A$6:$A$1005,0),MATCH("ACTIVITÉ "&amp;$F1424,RUNS!$L$5:$S$5,0))="","",INDEX(RUNS!$L$6:$S$1005,MATCH($D1424,RUNS!$A$6:$A$1005,0),MATCH("ACTIVITÉ "&amp;$F1424,RUNS!$L$5:$S$5,0))),""))</f>
        <v/>
      </c>
      <c r="L1424" s="33">
        <f>IF($D1424="","",IFERROR(IF(INDEX(RUNS!$E$6:$E$1005,MATCH($D1424,RUNS!$A$6:$A$1005,0))="","",INDEX(RUNS!$E$6:$E$1005,MATCH($D1424,RUNS!$A$6:$A$1005,0))),""))</f>
        <v/>
      </c>
      <c r="M1424" s="33">
        <f>IF($D1424="","",IFERROR(IF(INDEX(RUNS!$F$6:$F$1005,MATCH($D1424,RUNS!$A$6:$A$1005,0))="","",INDEX(RUNS!$F$6:$F$1005,MATCH($D1424,RUNS!$A$6:$A$1005,0))),""))</f>
        <v/>
      </c>
      <c r="N1424" s="33">
        <f>IF($D1424="","",IFERROR(IF(INDEX(RUNS!$G$6:$G$1005,MATCH($D1424,RUNS!$A$6:$A$1005,0))="","",INDEX(RUNS!$G$6:$G$1005,MATCH($D1424,RUNS!$A$6:$A$1005,0))),""))</f>
        <v/>
      </c>
      <c r="O1424" s="33">
        <f>IF($D1424="","",IFERROR(IF(INDEX(RUNS!$H$6:$H$1005,MATCH($D1424,RUNS!$A$6:$A$1005,0))="","",INDEX(RUNS!$H$6:$H$1005,MATCH($D1424,RUNS!$A$6:$A$1005,0))),""))</f>
        <v/>
      </c>
      <c r="P1424" s="33">
        <f>IF($D1424="","",IFERROR(IF(INDEX(RUNS!$J$6:$J$1005,MATCH($D1424,RUNS!$A$6:$A$1005,0))="","",INDEX(RUNS!$J$6:$J$1005,MATCH($D1424,RUNS!$A$6:$A$1005,0))),""))</f>
        <v/>
      </c>
      <c r="Q1424" s="33">
        <f>IF($D1424="","",IFERROR(IF(INDEX(RUNS!$K$6:$K$1005,MATCH($D1424,RUNS!$A$6:$A$1005,0))="","",INDEX(RUNS!$K$6:$K$1005,MATCH($D1424,RUNS!$A$6:$A$1005,0))),""))</f>
        <v/>
      </c>
      <c r="R1424" s="34">
        <f>IF(OR($L1424="",$K1424=""),"",IFERROR(IF(INDEX(PARAMETRES!$H$43:$H$342,MATCH($L1424&amp;"|"&amp;$M1424&amp;"|"&amp;$N1424&amp;"|"&amp;$O1424&amp;"|"&amp;$P1424&amp;"|"&amp;$Q1424&amp;"|"&amp;$K1424,PARAMETRES!$J$43:$J$342,0))="","",INDEX(PARAMETRES!$H$43:$H$342,MATCH($L1424&amp;"|"&amp;$M1424&amp;"|"&amp;$N1424&amp;"|"&amp;$O1424&amp;"|"&amp;$P1424&amp;"|"&amp;$Q1424&amp;"|"&amp;$K1424,PARAMETRES!$J$43:$J$342,0))),""))</f>
        <v/>
      </c>
      <c r="S1424" s="35">
        <f>IF(OR($G1424="",$X1424&lt;&gt;"VALIDE"),"",IFERROR(LOOKUP(2,1/(($B524:$B1423=$B1424)*($G524:$G1423=$G1424)*($X524:$X1423="VALIDE")),$C524:$C1423),""))</f>
        <v/>
      </c>
      <c r="T1424" s="36">
        <f>IF(OR($C1424="",$S1424=""),"",ROUND(($C1424-$S1424+IF($C1424&lt;$S1424,1,0))*1440,0))</f>
        <v/>
      </c>
      <c r="U1424" s="22">
        <f>IF(OR($H1424="",$T1424="",$T1424&lt;=0),"",$H1424*60/$T1424)</f>
        <v/>
      </c>
      <c r="V1424" s="37">
        <f>IF(OR($U1424="",$R1424="",$R1424=0),"",$U1424/$R1424)</f>
        <v/>
      </c>
      <c r="W1424" s="20">
        <f>IF($G1424="","",IF($X1424="CONTEXTE INCOMPLET","CONTEXTE INCOMPLET",IF($X1424="DOUBLON",StatutDoublon,IF($S1424="",StatutInitial,IF($R1424="",StatutStandardManquant,IF($V1424="","DONNEES INSUFFISANTES",IF($V1424&gt;=SeuilConforme,StatutConforme,IF($V1424&gt;=SeuilSurveiller,StatutSurveiller,StatutSousStandard))))))))</f>
        <v/>
      </c>
      <c r="X1424" s="33">
        <f>IF($G1424="","",IF(OR($D1424="",$E1424="",$F1424=""),"CONTEXTE INCOMPLET",IF(COUNTIFS($D524:$D1423,$D1424,$E524:$E1423,$E1424,$F524:$F1423,$F1424,$G524:$G1423,$G1424)&gt;0,"DOUBLON","VALIDE")))</f>
        <v/>
      </c>
    </row>
    <row r="1425" ht="15" customHeight="1">
      <c r="A1425" s="12">
        <f>IF(OR($B1425="",$G1425=""),"",TEXT($B1425,"YYYYMMDD")&amp;"-"&amp;SUBSTITUTE($E1425," ","")&amp;"-"&amp;$F1425&amp;"-"&amp;$G1425)</f>
        <v/>
      </c>
      <c r="B1425" s="15" t="n"/>
      <c r="C1425" s="16" t="n"/>
      <c r="D1425" s="10" t="n"/>
      <c r="E1425" s="9" t="n"/>
      <c r="F1425" s="9" t="n"/>
      <c r="G1425" s="13" t="n"/>
      <c r="H1425" s="21" t="n"/>
      <c r="I1425" s="21" t="n"/>
      <c r="J1425" s="17">
        <f>IF($G1425="","",IFERROR(INDEX(NomsEmployes,MATCH($G1425,MatriculesEmployes,0)),"MATRICULE INCONNU"))</f>
        <v/>
      </c>
      <c r="K1425" s="33">
        <f>IF(OR($D1425="",$F1425=""),"",IFERROR(IF(INDEX(RUNS!$L$6:$S$1005,MATCH($D1425,RUNS!$A$6:$A$1005,0),MATCH("ACTIVITÉ "&amp;$F1425,RUNS!$L$5:$S$5,0))="","",INDEX(RUNS!$L$6:$S$1005,MATCH($D1425,RUNS!$A$6:$A$1005,0),MATCH("ACTIVITÉ "&amp;$F1425,RUNS!$L$5:$S$5,0))),""))</f>
        <v/>
      </c>
      <c r="L1425" s="33">
        <f>IF($D1425="","",IFERROR(IF(INDEX(RUNS!$E$6:$E$1005,MATCH($D1425,RUNS!$A$6:$A$1005,0))="","",INDEX(RUNS!$E$6:$E$1005,MATCH($D1425,RUNS!$A$6:$A$1005,0))),""))</f>
        <v/>
      </c>
      <c r="M1425" s="33">
        <f>IF($D1425="","",IFERROR(IF(INDEX(RUNS!$F$6:$F$1005,MATCH($D1425,RUNS!$A$6:$A$1005,0))="","",INDEX(RUNS!$F$6:$F$1005,MATCH($D1425,RUNS!$A$6:$A$1005,0))),""))</f>
        <v/>
      </c>
      <c r="N1425" s="33">
        <f>IF($D1425="","",IFERROR(IF(INDEX(RUNS!$G$6:$G$1005,MATCH($D1425,RUNS!$A$6:$A$1005,0))="","",INDEX(RUNS!$G$6:$G$1005,MATCH($D1425,RUNS!$A$6:$A$1005,0))),""))</f>
        <v/>
      </c>
      <c r="O1425" s="33">
        <f>IF($D1425="","",IFERROR(IF(INDEX(RUNS!$H$6:$H$1005,MATCH($D1425,RUNS!$A$6:$A$1005,0))="","",INDEX(RUNS!$H$6:$H$1005,MATCH($D1425,RUNS!$A$6:$A$1005,0))),""))</f>
        <v/>
      </c>
      <c r="P1425" s="33">
        <f>IF($D1425="","",IFERROR(IF(INDEX(RUNS!$J$6:$J$1005,MATCH($D1425,RUNS!$A$6:$A$1005,0))="","",INDEX(RUNS!$J$6:$J$1005,MATCH($D1425,RUNS!$A$6:$A$1005,0))),""))</f>
        <v/>
      </c>
      <c r="Q1425" s="33">
        <f>IF($D1425="","",IFERROR(IF(INDEX(RUNS!$K$6:$K$1005,MATCH($D1425,RUNS!$A$6:$A$1005,0))="","",INDEX(RUNS!$K$6:$K$1005,MATCH($D1425,RUNS!$A$6:$A$1005,0))),""))</f>
        <v/>
      </c>
      <c r="R1425" s="34">
        <f>IF(OR($L1425="",$K1425=""),"",IFERROR(IF(INDEX(PARAMETRES!$H$43:$H$342,MATCH($L1425&amp;"|"&amp;$M1425&amp;"|"&amp;$N1425&amp;"|"&amp;$O1425&amp;"|"&amp;$P1425&amp;"|"&amp;$Q1425&amp;"|"&amp;$K1425,PARAMETRES!$J$43:$J$342,0))="","",INDEX(PARAMETRES!$H$43:$H$342,MATCH($L1425&amp;"|"&amp;$M1425&amp;"|"&amp;$N1425&amp;"|"&amp;$O1425&amp;"|"&amp;$P1425&amp;"|"&amp;$Q1425&amp;"|"&amp;$K1425,PARAMETRES!$J$43:$J$342,0))),""))</f>
        <v/>
      </c>
      <c r="S1425" s="35">
        <f>IF(OR($G1425="",$X1425&lt;&gt;"VALIDE"),"",IFERROR(LOOKUP(2,1/(($B525:$B1424=$B1425)*($G525:$G1424=$G1425)*($X525:$X1424="VALIDE")),$C525:$C1424),""))</f>
        <v/>
      </c>
      <c r="T1425" s="36">
        <f>IF(OR($C1425="",$S1425=""),"",ROUND(($C1425-$S1425+IF($C1425&lt;$S1425,1,0))*1440,0))</f>
        <v/>
      </c>
      <c r="U1425" s="22">
        <f>IF(OR($H1425="",$T1425="",$T1425&lt;=0),"",$H1425*60/$T1425)</f>
        <v/>
      </c>
      <c r="V1425" s="37">
        <f>IF(OR($U1425="",$R1425="",$R1425=0),"",$U1425/$R1425)</f>
        <v/>
      </c>
      <c r="W1425" s="20">
        <f>IF($G1425="","",IF($X1425="CONTEXTE INCOMPLET","CONTEXTE INCOMPLET",IF($X1425="DOUBLON",StatutDoublon,IF($S1425="",StatutInitial,IF($R1425="",StatutStandardManquant,IF($V1425="","DONNEES INSUFFISANTES",IF($V1425&gt;=SeuilConforme,StatutConforme,IF($V1425&gt;=SeuilSurveiller,StatutSurveiller,StatutSousStandard))))))))</f>
        <v/>
      </c>
      <c r="X1425" s="33">
        <f>IF($G1425="","",IF(OR($D1425="",$E1425="",$F1425=""),"CONTEXTE INCOMPLET",IF(COUNTIFS($D525:$D1424,$D1425,$E525:$E1424,$E1425,$F525:$F1424,$F1425,$G525:$G1424,$G1425)&gt;0,"DOUBLON","VALIDE")))</f>
        <v/>
      </c>
    </row>
    <row r="1426" ht="15" customHeight="1">
      <c r="A1426" s="12">
        <f>IF(OR($B1426="",$G1426=""),"",TEXT($B1426,"YYYYMMDD")&amp;"-"&amp;SUBSTITUTE($E1426," ","")&amp;"-"&amp;$F1426&amp;"-"&amp;$G1426)</f>
        <v/>
      </c>
      <c r="B1426" s="15" t="n"/>
      <c r="C1426" s="16" t="n"/>
      <c r="D1426" s="10" t="n"/>
      <c r="E1426" s="9" t="n"/>
      <c r="F1426" s="9" t="n"/>
      <c r="G1426" s="13" t="n"/>
      <c r="H1426" s="21" t="n"/>
      <c r="I1426" s="21" t="n"/>
      <c r="J1426" s="17">
        <f>IF($G1426="","",IFERROR(INDEX(NomsEmployes,MATCH($G1426,MatriculesEmployes,0)),"MATRICULE INCONNU"))</f>
        <v/>
      </c>
      <c r="K1426" s="33">
        <f>IF(OR($D1426="",$F1426=""),"",IFERROR(IF(INDEX(RUNS!$L$6:$S$1005,MATCH($D1426,RUNS!$A$6:$A$1005,0),MATCH("ACTIVITÉ "&amp;$F1426,RUNS!$L$5:$S$5,0))="","",INDEX(RUNS!$L$6:$S$1005,MATCH($D1426,RUNS!$A$6:$A$1005,0),MATCH("ACTIVITÉ "&amp;$F1426,RUNS!$L$5:$S$5,0))),""))</f>
        <v/>
      </c>
      <c r="L1426" s="33">
        <f>IF($D1426="","",IFERROR(IF(INDEX(RUNS!$E$6:$E$1005,MATCH($D1426,RUNS!$A$6:$A$1005,0))="","",INDEX(RUNS!$E$6:$E$1005,MATCH($D1426,RUNS!$A$6:$A$1005,0))),""))</f>
        <v/>
      </c>
      <c r="M1426" s="33">
        <f>IF($D1426="","",IFERROR(IF(INDEX(RUNS!$F$6:$F$1005,MATCH($D1426,RUNS!$A$6:$A$1005,0))="","",INDEX(RUNS!$F$6:$F$1005,MATCH($D1426,RUNS!$A$6:$A$1005,0))),""))</f>
        <v/>
      </c>
      <c r="N1426" s="33">
        <f>IF($D1426="","",IFERROR(IF(INDEX(RUNS!$G$6:$G$1005,MATCH($D1426,RUNS!$A$6:$A$1005,0))="","",INDEX(RUNS!$G$6:$G$1005,MATCH($D1426,RUNS!$A$6:$A$1005,0))),""))</f>
        <v/>
      </c>
      <c r="O1426" s="33">
        <f>IF($D1426="","",IFERROR(IF(INDEX(RUNS!$H$6:$H$1005,MATCH($D1426,RUNS!$A$6:$A$1005,0))="","",INDEX(RUNS!$H$6:$H$1005,MATCH($D1426,RUNS!$A$6:$A$1005,0))),""))</f>
        <v/>
      </c>
      <c r="P1426" s="33">
        <f>IF($D1426="","",IFERROR(IF(INDEX(RUNS!$J$6:$J$1005,MATCH($D1426,RUNS!$A$6:$A$1005,0))="","",INDEX(RUNS!$J$6:$J$1005,MATCH($D1426,RUNS!$A$6:$A$1005,0))),""))</f>
        <v/>
      </c>
      <c r="Q1426" s="33">
        <f>IF($D1426="","",IFERROR(IF(INDEX(RUNS!$K$6:$K$1005,MATCH($D1426,RUNS!$A$6:$A$1005,0))="","",INDEX(RUNS!$K$6:$K$1005,MATCH($D1426,RUNS!$A$6:$A$1005,0))),""))</f>
        <v/>
      </c>
      <c r="R1426" s="34">
        <f>IF(OR($L1426="",$K1426=""),"",IFERROR(IF(INDEX(PARAMETRES!$H$43:$H$342,MATCH($L1426&amp;"|"&amp;$M1426&amp;"|"&amp;$N1426&amp;"|"&amp;$O1426&amp;"|"&amp;$P1426&amp;"|"&amp;$Q1426&amp;"|"&amp;$K1426,PARAMETRES!$J$43:$J$342,0))="","",INDEX(PARAMETRES!$H$43:$H$342,MATCH($L1426&amp;"|"&amp;$M1426&amp;"|"&amp;$N1426&amp;"|"&amp;$O1426&amp;"|"&amp;$P1426&amp;"|"&amp;$Q1426&amp;"|"&amp;$K1426,PARAMETRES!$J$43:$J$342,0))),""))</f>
        <v/>
      </c>
      <c r="S1426" s="35">
        <f>IF(OR($G1426="",$X1426&lt;&gt;"VALIDE"),"",IFERROR(LOOKUP(2,1/(($B526:$B1425=$B1426)*($G526:$G1425=$G1426)*($X526:$X1425="VALIDE")),$C526:$C1425),""))</f>
        <v/>
      </c>
      <c r="T1426" s="36">
        <f>IF(OR($C1426="",$S1426=""),"",ROUND(($C1426-$S1426+IF($C1426&lt;$S1426,1,0))*1440,0))</f>
        <v/>
      </c>
      <c r="U1426" s="22">
        <f>IF(OR($H1426="",$T1426="",$T1426&lt;=0),"",$H1426*60/$T1426)</f>
        <v/>
      </c>
      <c r="V1426" s="37">
        <f>IF(OR($U1426="",$R1426="",$R1426=0),"",$U1426/$R1426)</f>
        <v/>
      </c>
      <c r="W1426" s="20">
        <f>IF($G1426="","",IF($X1426="CONTEXTE INCOMPLET","CONTEXTE INCOMPLET",IF($X1426="DOUBLON",StatutDoublon,IF($S1426="",StatutInitial,IF($R1426="",StatutStandardManquant,IF($V1426="","DONNEES INSUFFISANTES",IF($V1426&gt;=SeuilConforme,StatutConforme,IF($V1426&gt;=SeuilSurveiller,StatutSurveiller,StatutSousStandard))))))))</f>
        <v/>
      </c>
      <c r="X1426" s="33">
        <f>IF($G1426="","",IF(OR($D1426="",$E1426="",$F1426=""),"CONTEXTE INCOMPLET",IF(COUNTIFS($D526:$D1425,$D1426,$E526:$E1425,$E1426,$F526:$F1425,$F1426,$G526:$G1425,$G1426)&gt;0,"DOUBLON","VALIDE")))</f>
        <v/>
      </c>
    </row>
    <row r="1427" ht="15" customHeight="1">
      <c r="A1427" s="12">
        <f>IF(OR($B1427="",$G1427=""),"",TEXT($B1427,"YYYYMMDD")&amp;"-"&amp;SUBSTITUTE($E1427," ","")&amp;"-"&amp;$F1427&amp;"-"&amp;$G1427)</f>
        <v/>
      </c>
      <c r="B1427" s="15" t="n"/>
      <c r="C1427" s="16" t="n"/>
      <c r="D1427" s="10" t="n"/>
      <c r="E1427" s="9" t="n"/>
      <c r="F1427" s="9" t="n"/>
      <c r="G1427" s="13" t="n"/>
      <c r="H1427" s="21" t="n"/>
      <c r="I1427" s="21" t="n"/>
      <c r="J1427" s="17">
        <f>IF($G1427="","",IFERROR(INDEX(NomsEmployes,MATCH($G1427,MatriculesEmployes,0)),"MATRICULE INCONNU"))</f>
        <v/>
      </c>
      <c r="K1427" s="33">
        <f>IF(OR($D1427="",$F1427=""),"",IFERROR(IF(INDEX(RUNS!$L$6:$S$1005,MATCH($D1427,RUNS!$A$6:$A$1005,0),MATCH("ACTIVITÉ "&amp;$F1427,RUNS!$L$5:$S$5,0))="","",INDEX(RUNS!$L$6:$S$1005,MATCH($D1427,RUNS!$A$6:$A$1005,0),MATCH("ACTIVITÉ "&amp;$F1427,RUNS!$L$5:$S$5,0))),""))</f>
        <v/>
      </c>
      <c r="L1427" s="33">
        <f>IF($D1427="","",IFERROR(IF(INDEX(RUNS!$E$6:$E$1005,MATCH($D1427,RUNS!$A$6:$A$1005,0))="","",INDEX(RUNS!$E$6:$E$1005,MATCH($D1427,RUNS!$A$6:$A$1005,0))),""))</f>
        <v/>
      </c>
      <c r="M1427" s="33">
        <f>IF($D1427="","",IFERROR(IF(INDEX(RUNS!$F$6:$F$1005,MATCH($D1427,RUNS!$A$6:$A$1005,0))="","",INDEX(RUNS!$F$6:$F$1005,MATCH($D1427,RUNS!$A$6:$A$1005,0))),""))</f>
        <v/>
      </c>
      <c r="N1427" s="33">
        <f>IF($D1427="","",IFERROR(IF(INDEX(RUNS!$G$6:$G$1005,MATCH($D1427,RUNS!$A$6:$A$1005,0))="","",INDEX(RUNS!$G$6:$G$1005,MATCH($D1427,RUNS!$A$6:$A$1005,0))),""))</f>
        <v/>
      </c>
      <c r="O1427" s="33">
        <f>IF($D1427="","",IFERROR(IF(INDEX(RUNS!$H$6:$H$1005,MATCH($D1427,RUNS!$A$6:$A$1005,0))="","",INDEX(RUNS!$H$6:$H$1005,MATCH($D1427,RUNS!$A$6:$A$1005,0))),""))</f>
        <v/>
      </c>
      <c r="P1427" s="33">
        <f>IF($D1427="","",IFERROR(IF(INDEX(RUNS!$J$6:$J$1005,MATCH($D1427,RUNS!$A$6:$A$1005,0))="","",INDEX(RUNS!$J$6:$J$1005,MATCH($D1427,RUNS!$A$6:$A$1005,0))),""))</f>
        <v/>
      </c>
      <c r="Q1427" s="33">
        <f>IF($D1427="","",IFERROR(IF(INDEX(RUNS!$K$6:$K$1005,MATCH($D1427,RUNS!$A$6:$A$1005,0))="","",INDEX(RUNS!$K$6:$K$1005,MATCH($D1427,RUNS!$A$6:$A$1005,0))),""))</f>
        <v/>
      </c>
      <c r="R1427" s="34">
        <f>IF(OR($L1427="",$K1427=""),"",IFERROR(IF(INDEX(PARAMETRES!$H$43:$H$342,MATCH($L1427&amp;"|"&amp;$M1427&amp;"|"&amp;$N1427&amp;"|"&amp;$O1427&amp;"|"&amp;$P1427&amp;"|"&amp;$Q1427&amp;"|"&amp;$K1427,PARAMETRES!$J$43:$J$342,0))="","",INDEX(PARAMETRES!$H$43:$H$342,MATCH($L1427&amp;"|"&amp;$M1427&amp;"|"&amp;$N1427&amp;"|"&amp;$O1427&amp;"|"&amp;$P1427&amp;"|"&amp;$Q1427&amp;"|"&amp;$K1427,PARAMETRES!$J$43:$J$342,0))),""))</f>
        <v/>
      </c>
      <c r="S1427" s="35">
        <f>IF(OR($G1427="",$X1427&lt;&gt;"VALIDE"),"",IFERROR(LOOKUP(2,1/(($B527:$B1426=$B1427)*($G527:$G1426=$G1427)*($X527:$X1426="VALIDE")),$C527:$C1426),""))</f>
        <v/>
      </c>
      <c r="T1427" s="36">
        <f>IF(OR($C1427="",$S1427=""),"",ROUND(($C1427-$S1427+IF($C1427&lt;$S1427,1,0))*1440,0))</f>
        <v/>
      </c>
      <c r="U1427" s="22">
        <f>IF(OR($H1427="",$T1427="",$T1427&lt;=0),"",$H1427*60/$T1427)</f>
        <v/>
      </c>
      <c r="V1427" s="37">
        <f>IF(OR($U1427="",$R1427="",$R1427=0),"",$U1427/$R1427)</f>
        <v/>
      </c>
      <c r="W1427" s="20">
        <f>IF($G1427="","",IF($X1427="CONTEXTE INCOMPLET","CONTEXTE INCOMPLET",IF($X1427="DOUBLON",StatutDoublon,IF($S1427="",StatutInitial,IF($R1427="",StatutStandardManquant,IF($V1427="","DONNEES INSUFFISANTES",IF($V1427&gt;=SeuilConforme,StatutConforme,IF($V1427&gt;=SeuilSurveiller,StatutSurveiller,StatutSousStandard))))))))</f>
        <v/>
      </c>
      <c r="X1427" s="33">
        <f>IF($G1427="","",IF(OR($D1427="",$E1427="",$F1427=""),"CONTEXTE INCOMPLET",IF(COUNTIFS($D527:$D1426,$D1427,$E527:$E1426,$E1427,$F527:$F1426,$F1427,$G527:$G1426,$G1427)&gt;0,"DOUBLON","VALIDE")))</f>
        <v/>
      </c>
    </row>
    <row r="1428" ht="15" customHeight="1">
      <c r="A1428" s="12">
        <f>IF(OR($B1428="",$G1428=""),"",TEXT($B1428,"YYYYMMDD")&amp;"-"&amp;SUBSTITUTE($E1428," ","")&amp;"-"&amp;$F1428&amp;"-"&amp;$G1428)</f>
        <v/>
      </c>
      <c r="B1428" s="15" t="n"/>
      <c r="C1428" s="16" t="n"/>
      <c r="D1428" s="10" t="n"/>
      <c r="E1428" s="9" t="n"/>
      <c r="F1428" s="9" t="n"/>
      <c r="G1428" s="13" t="n"/>
      <c r="H1428" s="21" t="n"/>
      <c r="I1428" s="21" t="n"/>
      <c r="J1428" s="17">
        <f>IF($G1428="","",IFERROR(INDEX(NomsEmployes,MATCH($G1428,MatriculesEmployes,0)),"MATRICULE INCONNU"))</f>
        <v/>
      </c>
      <c r="K1428" s="33">
        <f>IF(OR($D1428="",$F1428=""),"",IFERROR(IF(INDEX(RUNS!$L$6:$S$1005,MATCH($D1428,RUNS!$A$6:$A$1005,0),MATCH("ACTIVITÉ "&amp;$F1428,RUNS!$L$5:$S$5,0))="","",INDEX(RUNS!$L$6:$S$1005,MATCH($D1428,RUNS!$A$6:$A$1005,0),MATCH("ACTIVITÉ "&amp;$F1428,RUNS!$L$5:$S$5,0))),""))</f>
        <v/>
      </c>
      <c r="L1428" s="33">
        <f>IF($D1428="","",IFERROR(IF(INDEX(RUNS!$E$6:$E$1005,MATCH($D1428,RUNS!$A$6:$A$1005,0))="","",INDEX(RUNS!$E$6:$E$1005,MATCH($D1428,RUNS!$A$6:$A$1005,0))),""))</f>
        <v/>
      </c>
      <c r="M1428" s="33">
        <f>IF($D1428="","",IFERROR(IF(INDEX(RUNS!$F$6:$F$1005,MATCH($D1428,RUNS!$A$6:$A$1005,0))="","",INDEX(RUNS!$F$6:$F$1005,MATCH($D1428,RUNS!$A$6:$A$1005,0))),""))</f>
        <v/>
      </c>
      <c r="N1428" s="33">
        <f>IF($D1428="","",IFERROR(IF(INDEX(RUNS!$G$6:$G$1005,MATCH($D1428,RUNS!$A$6:$A$1005,0))="","",INDEX(RUNS!$G$6:$G$1005,MATCH($D1428,RUNS!$A$6:$A$1005,0))),""))</f>
        <v/>
      </c>
      <c r="O1428" s="33">
        <f>IF($D1428="","",IFERROR(IF(INDEX(RUNS!$H$6:$H$1005,MATCH($D1428,RUNS!$A$6:$A$1005,0))="","",INDEX(RUNS!$H$6:$H$1005,MATCH($D1428,RUNS!$A$6:$A$1005,0))),""))</f>
        <v/>
      </c>
      <c r="P1428" s="33">
        <f>IF($D1428="","",IFERROR(IF(INDEX(RUNS!$J$6:$J$1005,MATCH($D1428,RUNS!$A$6:$A$1005,0))="","",INDEX(RUNS!$J$6:$J$1005,MATCH($D1428,RUNS!$A$6:$A$1005,0))),""))</f>
        <v/>
      </c>
      <c r="Q1428" s="33">
        <f>IF($D1428="","",IFERROR(IF(INDEX(RUNS!$K$6:$K$1005,MATCH($D1428,RUNS!$A$6:$A$1005,0))="","",INDEX(RUNS!$K$6:$K$1005,MATCH($D1428,RUNS!$A$6:$A$1005,0))),""))</f>
        <v/>
      </c>
      <c r="R1428" s="34">
        <f>IF(OR($L1428="",$K1428=""),"",IFERROR(IF(INDEX(PARAMETRES!$H$43:$H$342,MATCH($L1428&amp;"|"&amp;$M1428&amp;"|"&amp;$N1428&amp;"|"&amp;$O1428&amp;"|"&amp;$P1428&amp;"|"&amp;$Q1428&amp;"|"&amp;$K1428,PARAMETRES!$J$43:$J$342,0))="","",INDEX(PARAMETRES!$H$43:$H$342,MATCH($L1428&amp;"|"&amp;$M1428&amp;"|"&amp;$N1428&amp;"|"&amp;$O1428&amp;"|"&amp;$P1428&amp;"|"&amp;$Q1428&amp;"|"&amp;$K1428,PARAMETRES!$J$43:$J$342,0))),""))</f>
        <v/>
      </c>
      <c r="S1428" s="35">
        <f>IF(OR($G1428="",$X1428&lt;&gt;"VALIDE"),"",IFERROR(LOOKUP(2,1/(($B528:$B1427=$B1428)*($G528:$G1427=$G1428)*($X528:$X1427="VALIDE")),$C528:$C1427),""))</f>
        <v/>
      </c>
      <c r="T1428" s="36">
        <f>IF(OR($C1428="",$S1428=""),"",ROUND(($C1428-$S1428+IF($C1428&lt;$S1428,1,0))*1440,0))</f>
        <v/>
      </c>
      <c r="U1428" s="22">
        <f>IF(OR($H1428="",$T1428="",$T1428&lt;=0),"",$H1428*60/$T1428)</f>
        <v/>
      </c>
      <c r="V1428" s="37">
        <f>IF(OR($U1428="",$R1428="",$R1428=0),"",$U1428/$R1428)</f>
        <v/>
      </c>
      <c r="W1428" s="20">
        <f>IF($G1428="","",IF($X1428="CONTEXTE INCOMPLET","CONTEXTE INCOMPLET",IF($X1428="DOUBLON",StatutDoublon,IF($S1428="",StatutInitial,IF($R1428="",StatutStandardManquant,IF($V1428="","DONNEES INSUFFISANTES",IF($V1428&gt;=SeuilConforme,StatutConforme,IF($V1428&gt;=SeuilSurveiller,StatutSurveiller,StatutSousStandard))))))))</f>
        <v/>
      </c>
      <c r="X1428" s="33">
        <f>IF($G1428="","",IF(OR($D1428="",$E1428="",$F1428=""),"CONTEXTE INCOMPLET",IF(COUNTIFS($D528:$D1427,$D1428,$E528:$E1427,$E1428,$F528:$F1427,$F1428,$G528:$G1427,$G1428)&gt;0,"DOUBLON","VALIDE")))</f>
        <v/>
      </c>
    </row>
    <row r="1429" ht="15" customHeight="1">
      <c r="A1429" s="12">
        <f>IF(OR($B1429="",$G1429=""),"",TEXT($B1429,"YYYYMMDD")&amp;"-"&amp;SUBSTITUTE($E1429," ","")&amp;"-"&amp;$F1429&amp;"-"&amp;$G1429)</f>
        <v/>
      </c>
      <c r="B1429" s="15" t="n"/>
      <c r="C1429" s="16" t="n"/>
      <c r="D1429" s="10" t="n"/>
      <c r="E1429" s="9" t="n"/>
      <c r="F1429" s="9" t="n"/>
      <c r="G1429" s="13" t="n"/>
      <c r="H1429" s="21" t="n"/>
      <c r="I1429" s="21" t="n"/>
      <c r="J1429" s="17">
        <f>IF($G1429="","",IFERROR(INDEX(NomsEmployes,MATCH($G1429,MatriculesEmployes,0)),"MATRICULE INCONNU"))</f>
        <v/>
      </c>
      <c r="K1429" s="33">
        <f>IF(OR($D1429="",$F1429=""),"",IFERROR(IF(INDEX(RUNS!$L$6:$S$1005,MATCH($D1429,RUNS!$A$6:$A$1005,0),MATCH("ACTIVITÉ "&amp;$F1429,RUNS!$L$5:$S$5,0))="","",INDEX(RUNS!$L$6:$S$1005,MATCH($D1429,RUNS!$A$6:$A$1005,0),MATCH("ACTIVITÉ "&amp;$F1429,RUNS!$L$5:$S$5,0))),""))</f>
        <v/>
      </c>
      <c r="L1429" s="33">
        <f>IF($D1429="","",IFERROR(IF(INDEX(RUNS!$E$6:$E$1005,MATCH($D1429,RUNS!$A$6:$A$1005,0))="","",INDEX(RUNS!$E$6:$E$1005,MATCH($D1429,RUNS!$A$6:$A$1005,0))),""))</f>
        <v/>
      </c>
      <c r="M1429" s="33">
        <f>IF($D1429="","",IFERROR(IF(INDEX(RUNS!$F$6:$F$1005,MATCH($D1429,RUNS!$A$6:$A$1005,0))="","",INDEX(RUNS!$F$6:$F$1005,MATCH($D1429,RUNS!$A$6:$A$1005,0))),""))</f>
        <v/>
      </c>
      <c r="N1429" s="33">
        <f>IF($D1429="","",IFERROR(IF(INDEX(RUNS!$G$6:$G$1005,MATCH($D1429,RUNS!$A$6:$A$1005,0))="","",INDEX(RUNS!$G$6:$G$1005,MATCH($D1429,RUNS!$A$6:$A$1005,0))),""))</f>
        <v/>
      </c>
      <c r="O1429" s="33">
        <f>IF($D1429="","",IFERROR(IF(INDEX(RUNS!$H$6:$H$1005,MATCH($D1429,RUNS!$A$6:$A$1005,0))="","",INDEX(RUNS!$H$6:$H$1005,MATCH($D1429,RUNS!$A$6:$A$1005,0))),""))</f>
        <v/>
      </c>
      <c r="P1429" s="33">
        <f>IF($D1429="","",IFERROR(IF(INDEX(RUNS!$J$6:$J$1005,MATCH($D1429,RUNS!$A$6:$A$1005,0))="","",INDEX(RUNS!$J$6:$J$1005,MATCH($D1429,RUNS!$A$6:$A$1005,0))),""))</f>
        <v/>
      </c>
      <c r="Q1429" s="33">
        <f>IF($D1429="","",IFERROR(IF(INDEX(RUNS!$K$6:$K$1005,MATCH($D1429,RUNS!$A$6:$A$1005,0))="","",INDEX(RUNS!$K$6:$K$1005,MATCH($D1429,RUNS!$A$6:$A$1005,0))),""))</f>
        <v/>
      </c>
      <c r="R1429" s="34">
        <f>IF(OR($L1429="",$K1429=""),"",IFERROR(IF(INDEX(PARAMETRES!$H$43:$H$342,MATCH($L1429&amp;"|"&amp;$M1429&amp;"|"&amp;$N1429&amp;"|"&amp;$O1429&amp;"|"&amp;$P1429&amp;"|"&amp;$Q1429&amp;"|"&amp;$K1429,PARAMETRES!$J$43:$J$342,0))="","",INDEX(PARAMETRES!$H$43:$H$342,MATCH($L1429&amp;"|"&amp;$M1429&amp;"|"&amp;$N1429&amp;"|"&amp;$O1429&amp;"|"&amp;$P1429&amp;"|"&amp;$Q1429&amp;"|"&amp;$K1429,PARAMETRES!$J$43:$J$342,0))),""))</f>
        <v/>
      </c>
      <c r="S1429" s="35">
        <f>IF(OR($G1429="",$X1429&lt;&gt;"VALIDE"),"",IFERROR(LOOKUP(2,1/(($B529:$B1428=$B1429)*($G529:$G1428=$G1429)*($X529:$X1428="VALIDE")),$C529:$C1428),""))</f>
        <v/>
      </c>
      <c r="T1429" s="36">
        <f>IF(OR($C1429="",$S1429=""),"",ROUND(($C1429-$S1429+IF($C1429&lt;$S1429,1,0))*1440,0))</f>
        <v/>
      </c>
      <c r="U1429" s="22">
        <f>IF(OR($H1429="",$T1429="",$T1429&lt;=0),"",$H1429*60/$T1429)</f>
        <v/>
      </c>
      <c r="V1429" s="37">
        <f>IF(OR($U1429="",$R1429="",$R1429=0),"",$U1429/$R1429)</f>
        <v/>
      </c>
      <c r="W1429" s="20">
        <f>IF($G1429="","",IF($X1429="CONTEXTE INCOMPLET","CONTEXTE INCOMPLET",IF($X1429="DOUBLON",StatutDoublon,IF($S1429="",StatutInitial,IF($R1429="",StatutStandardManquant,IF($V1429="","DONNEES INSUFFISANTES",IF($V1429&gt;=SeuilConforme,StatutConforme,IF($V1429&gt;=SeuilSurveiller,StatutSurveiller,StatutSousStandard))))))))</f>
        <v/>
      </c>
      <c r="X1429" s="33">
        <f>IF($G1429="","",IF(OR($D1429="",$E1429="",$F1429=""),"CONTEXTE INCOMPLET",IF(COUNTIFS($D529:$D1428,$D1429,$E529:$E1428,$E1429,$F529:$F1428,$F1429,$G529:$G1428,$G1429)&gt;0,"DOUBLON","VALIDE")))</f>
        <v/>
      </c>
    </row>
    <row r="1430" ht="15" customHeight="1">
      <c r="A1430" s="12">
        <f>IF(OR($B1430="",$G1430=""),"",TEXT($B1430,"YYYYMMDD")&amp;"-"&amp;SUBSTITUTE($E1430," ","")&amp;"-"&amp;$F1430&amp;"-"&amp;$G1430)</f>
        <v/>
      </c>
      <c r="B1430" s="15" t="n"/>
      <c r="C1430" s="16" t="n"/>
      <c r="D1430" s="10" t="n"/>
      <c r="E1430" s="9" t="n"/>
      <c r="F1430" s="9" t="n"/>
      <c r="G1430" s="13" t="n"/>
      <c r="H1430" s="21" t="n"/>
      <c r="I1430" s="21" t="n"/>
      <c r="J1430" s="17">
        <f>IF($G1430="","",IFERROR(INDEX(NomsEmployes,MATCH($G1430,MatriculesEmployes,0)),"MATRICULE INCONNU"))</f>
        <v/>
      </c>
      <c r="K1430" s="33">
        <f>IF(OR($D1430="",$F1430=""),"",IFERROR(IF(INDEX(RUNS!$L$6:$S$1005,MATCH($D1430,RUNS!$A$6:$A$1005,0),MATCH("ACTIVITÉ "&amp;$F1430,RUNS!$L$5:$S$5,0))="","",INDEX(RUNS!$L$6:$S$1005,MATCH($D1430,RUNS!$A$6:$A$1005,0),MATCH("ACTIVITÉ "&amp;$F1430,RUNS!$L$5:$S$5,0))),""))</f>
        <v/>
      </c>
      <c r="L1430" s="33">
        <f>IF($D1430="","",IFERROR(IF(INDEX(RUNS!$E$6:$E$1005,MATCH($D1430,RUNS!$A$6:$A$1005,0))="","",INDEX(RUNS!$E$6:$E$1005,MATCH($D1430,RUNS!$A$6:$A$1005,0))),""))</f>
        <v/>
      </c>
      <c r="M1430" s="33">
        <f>IF($D1430="","",IFERROR(IF(INDEX(RUNS!$F$6:$F$1005,MATCH($D1430,RUNS!$A$6:$A$1005,0))="","",INDEX(RUNS!$F$6:$F$1005,MATCH($D1430,RUNS!$A$6:$A$1005,0))),""))</f>
        <v/>
      </c>
      <c r="N1430" s="33">
        <f>IF($D1430="","",IFERROR(IF(INDEX(RUNS!$G$6:$G$1005,MATCH($D1430,RUNS!$A$6:$A$1005,0))="","",INDEX(RUNS!$G$6:$G$1005,MATCH($D1430,RUNS!$A$6:$A$1005,0))),""))</f>
        <v/>
      </c>
      <c r="O1430" s="33">
        <f>IF($D1430="","",IFERROR(IF(INDEX(RUNS!$H$6:$H$1005,MATCH($D1430,RUNS!$A$6:$A$1005,0))="","",INDEX(RUNS!$H$6:$H$1005,MATCH($D1430,RUNS!$A$6:$A$1005,0))),""))</f>
        <v/>
      </c>
      <c r="P1430" s="33">
        <f>IF($D1430="","",IFERROR(IF(INDEX(RUNS!$J$6:$J$1005,MATCH($D1430,RUNS!$A$6:$A$1005,0))="","",INDEX(RUNS!$J$6:$J$1005,MATCH($D1430,RUNS!$A$6:$A$1005,0))),""))</f>
        <v/>
      </c>
      <c r="Q1430" s="33">
        <f>IF($D1430="","",IFERROR(IF(INDEX(RUNS!$K$6:$K$1005,MATCH($D1430,RUNS!$A$6:$A$1005,0))="","",INDEX(RUNS!$K$6:$K$1005,MATCH($D1430,RUNS!$A$6:$A$1005,0))),""))</f>
        <v/>
      </c>
      <c r="R1430" s="34">
        <f>IF(OR($L1430="",$K1430=""),"",IFERROR(IF(INDEX(PARAMETRES!$H$43:$H$342,MATCH($L1430&amp;"|"&amp;$M1430&amp;"|"&amp;$N1430&amp;"|"&amp;$O1430&amp;"|"&amp;$P1430&amp;"|"&amp;$Q1430&amp;"|"&amp;$K1430,PARAMETRES!$J$43:$J$342,0))="","",INDEX(PARAMETRES!$H$43:$H$342,MATCH($L1430&amp;"|"&amp;$M1430&amp;"|"&amp;$N1430&amp;"|"&amp;$O1430&amp;"|"&amp;$P1430&amp;"|"&amp;$Q1430&amp;"|"&amp;$K1430,PARAMETRES!$J$43:$J$342,0))),""))</f>
        <v/>
      </c>
      <c r="S1430" s="35">
        <f>IF(OR($G1430="",$X1430&lt;&gt;"VALIDE"),"",IFERROR(LOOKUP(2,1/(($B530:$B1429=$B1430)*($G530:$G1429=$G1430)*($X530:$X1429="VALIDE")),$C530:$C1429),""))</f>
        <v/>
      </c>
      <c r="T1430" s="36">
        <f>IF(OR($C1430="",$S1430=""),"",ROUND(($C1430-$S1430+IF($C1430&lt;$S1430,1,0))*1440,0))</f>
        <v/>
      </c>
      <c r="U1430" s="22">
        <f>IF(OR($H1430="",$T1430="",$T1430&lt;=0),"",$H1430*60/$T1430)</f>
        <v/>
      </c>
      <c r="V1430" s="37">
        <f>IF(OR($U1430="",$R1430="",$R1430=0),"",$U1430/$R1430)</f>
        <v/>
      </c>
      <c r="W1430" s="20">
        <f>IF($G1430="","",IF($X1430="CONTEXTE INCOMPLET","CONTEXTE INCOMPLET",IF($X1430="DOUBLON",StatutDoublon,IF($S1430="",StatutInitial,IF($R1430="",StatutStandardManquant,IF($V1430="","DONNEES INSUFFISANTES",IF($V1430&gt;=SeuilConforme,StatutConforme,IF($V1430&gt;=SeuilSurveiller,StatutSurveiller,StatutSousStandard))))))))</f>
        <v/>
      </c>
      <c r="X1430" s="33">
        <f>IF($G1430="","",IF(OR($D1430="",$E1430="",$F1430=""),"CONTEXTE INCOMPLET",IF(COUNTIFS($D530:$D1429,$D1430,$E530:$E1429,$E1430,$F530:$F1429,$F1430,$G530:$G1429,$G1430)&gt;0,"DOUBLON","VALIDE")))</f>
        <v/>
      </c>
    </row>
    <row r="1431" ht="15" customHeight="1">
      <c r="A1431" s="12">
        <f>IF(OR($B1431="",$G1431=""),"",TEXT($B1431,"YYYYMMDD")&amp;"-"&amp;SUBSTITUTE($E1431," ","")&amp;"-"&amp;$F1431&amp;"-"&amp;$G1431)</f>
        <v/>
      </c>
      <c r="B1431" s="15" t="n"/>
      <c r="C1431" s="16" t="n"/>
      <c r="D1431" s="10" t="n"/>
      <c r="E1431" s="9" t="n"/>
      <c r="F1431" s="9" t="n"/>
      <c r="G1431" s="13" t="n"/>
      <c r="H1431" s="21" t="n"/>
      <c r="I1431" s="21" t="n"/>
      <c r="J1431" s="17">
        <f>IF($G1431="","",IFERROR(INDEX(NomsEmployes,MATCH($G1431,MatriculesEmployes,0)),"MATRICULE INCONNU"))</f>
        <v/>
      </c>
      <c r="K1431" s="33">
        <f>IF(OR($D1431="",$F1431=""),"",IFERROR(IF(INDEX(RUNS!$L$6:$S$1005,MATCH($D1431,RUNS!$A$6:$A$1005,0),MATCH("ACTIVITÉ "&amp;$F1431,RUNS!$L$5:$S$5,0))="","",INDEX(RUNS!$L$6:$S$1005,MATCH($D1431,RUNS!$A$6:$A$1005,0),MATCH("ACTIVITÉ "&amp;$F1431,RUNS!$L$5:$S$5,0))),""))</f>
        <v/>
      </c>
      <c r="L1431" s="33">
        <f>IF($D1431="","",IFERROR(IF(INDEX(RUNS!$E$6:$E$1005,MATCH($D1431,RUNS!$A$6:$A$1005,0))="","",INDEX(RUNS!$E$6:$E$1005,MATCH($D1431,RUNS!$A$6:$A$1005,0))),""))</f>
        <v/>
      </c>
      <c r="M1431" s="33">
        <f>IF($D1431="","",IFERROR(IF(INDEX(RUNS!$F$6:$F$1005,MATCH($D1431,RUNS!$A$6:$A$1005,0))="","",INDEX(RUNS!$F$6:$F$1005,MATCH($D1431,RUNS!$A$6:$A$1005,0))),""))</f>
        <v/>
      </c>
      <c r="N1431" s="33">
        <f>IF($D1431="","",IFERROR(IF(INDEX(RUNS!$G$6:$G$1005,MATCH($D1431,RUNS!$A$6:$A$1005,0))="","",INDEX(RUNS!$G$6:$G$1005,MATCH($D1431,RUNS!$A$6:$A$1005,0))),""))</f>
        <v/>
      </c>
      <c r="O1431" s="33">
        <f>IF($D1431="","",IFERROR(IF(INDEX(RUNS!$H$6:$H$1005,MATCH($D1431,RUNS!$A$6:$A$1005,0))="","",INDEX(RUNS!$H$6:$H$1005,MATCH($D1431,RUNS!$A$6:$A$1005,0))),""))</f>
        <v/>
      </c>
      <c r="P1431" s="33">
        <f>IF($D1431="","",IFERROR(IF(INDEX(RUNS!$J$6:$J$1005,MATCH($D1431,RUNS!$A$6:$A$1005,0))="","",INDEX(RUNS!$J$6:$J$1005,MATCH($D1431,RUNS!$A$6:$A$1005,0))),""))</f>
        <v/>
      </c>
      <c r="Q1431" s="33">
        <f>IF($D1431="","",IFERROR(IF(INDEX(RUNS!$K$6:$K$1005,MATCH($D1431,RUNS!$A$6:$A$1005,0))="","",INDEX(RUNS!$K$6:$K$1005,MATCH($D1431,RUNS!$A$6:$A$1005,0))),""))</f>
        <v/>
      </c>
      <c r="R1431" s="34">
        <f>IF(OR($L1431="",$K1431=""),"",IFERROR(IF(INDEX(PARAMETRES!$H$43:$H$342,MATCH($L1431&amp;"|"&amp;$M1431&amp;"|"&amp;$N1431&amp;"|"&amp;$O1431&amp;"|"&amp;$P1431&amp;"|"&amp;$Q1431&amp;"|"&amp;$K1431,PARAMETRES!$J$43:$J$342,0))="","",INDEX(PARAMETRES!$H$43:$H$342,MATCH($L1431&amp;"|"&amp;$M1431&amp;"|"&amp;$N1431&amp;"|"&amp;$O1431&amp;"|"&amp;$P1431&amp;"|"&amp;$Q1431&amp;"|"&amp;$K1431,PARAMETRES!$J$43:$J$342,0))),""))</f>
        <v/>
      </c>
      <c r="S1431" s="35">
        <f>IF(OR($G1431="",$X1431&lt;&gt;"VALIDE"),"",IFERROR(LOOKUP(2,1/(($B531:$B1430=$B1431)*($G531:$G1430=$G1431)*($X531:$X1430="VALIDE")),$C531:$C1430),""))</f>
        <v/>
      </c>
      <c r="T1431" s="36">
        <f>IF(OR($C1431="",$S1431=""),"",ROUND(($C1431-$S1431+IF($C1431&lt;$S1431,1,0))*1440,0))</f>
        <v/>
      </c>
      <c r="U1431" s="22">
        <f>IF(OR($H1431="",$T1431="",$T1431&lt;=0),"",$H1431*60/$T1431)</f>
        <v/>
      </c>
      <c r="V1431" s="37">
        <f>IF(OR($U1431="",$R1431="",$R1431=0),"",$U1431/$R1431)</f>
        <v/>
      </c>
      <c r="W1431" s="20">
        <f>IF($G1431="","",IF($X1431="CONTEXTE INCOMPLET","CONTEXTE INCOMPLET",IF($X1431="DOUBLON",StatutDoublon,IF($S1431="",StatutInitial,IF($R1431="",StatutStandardManquant,IF($V1431="","DONNEES INSUFFISANTES",IF($V1431&gt;=SeuilConforme,StatutConforme,IF($V1431&gt;=SeuilSurveiller,StatutSurveiller,StatutSousStandard))))))))</f>
        <v/>
      </c>
      <c r="X1431" s="33">
        <f>IF($G1431="","",IF(OR($D1431="",$E1431="",$F1431=""),"CONTEXTE INCOMPLET",IF(COUNTIFS($D531:$D1430,$D1431,$E531:$E1430,$E1431,$F531:$F1430,$F1431,$G531:$G1430,$G1431)&gt;0,"DOUBLON","VALIDE")))</f>
        <v/>
      </c>
    </row>
    <row r="1432" ht="15" customHeight="1">
      <c r="A1432" s="12">
        <f>IF(OR($B1432="",$G1432=""),"",TEXT($B1432,"YYYYMMDD")&amp;"-"&amp;SUBSTITUTE($E1432," ","")&amp;"-"&amp;$F1432&amp;"-"&amp;$G1432)</f>
        <v/>
      </c>
      <c r="B1432" s="15" t="n"/>
      <c r="C1432" s="16" t="n"/>
      <c r="D1432" s="10" t="n"/>
      <c r="E1432" s="9" t="n"/>
      <c r="F1432" s="9" t="n"/>
      <c r="G1432" s="13" t="n"/>
      <c r="H1432" s="21" t="n"/>
      <c r="I1432" s="21" t="n"/>
      <c r="J1432" s="17">
        <f>IF($G1432="","",IFERROR(INDEX(NomsEmployes,MATCH($G1432,MatriculesEmployes,0)),"MATRICULE INCONNU"))</f>
        <v/>
      </c>
      <c r="K1432" s="33">
        <f>IF(OR($D1432="",$F1432=""),"",IFERROR(IF(INDEX(RUNS!$L$6:$S$1005,MATCH($D1432,RUNS!$A$6:$A$1005,0),MATCH("ACTIVITÉ "&amp;$F1432,RUNS!$L$5:$S$5,0))="","",INDEX(RUNS!$L$6:$S$1005,MATCH($D1432,RUNS!$A$6:$A$1005,0),MATCH("ACTIVITÉ "&amp;$F1432,RUNS!$L$5:$S$5,0))),""))</f>
        <v/>
      </c>
      <c r="L1432" s="33">
        <f>IF($D1432="","",IFERROR(IF(INDEX(RUNS!$E$6:$E$1005,MATCH($D1432,RUNS!$A$6:$A$1005,0))="","",INDEX(RUNS!$E$6:$E$1005,MATCH($D1432,RUNS!$A$6:$A$1005,0))),""))</f>
        <v/>
      </c>
      <c r="M1432" s="33">
        <f>IF($D1432="","",IFERROR(IF(INDEX(RUNS!$F$6:$F$1005,MATCH($D1432,RUNS!$A$6:$A$1005,0))="","",INDEX(RUNS!$F$6:$F$1005,MATCH($D1432,RUNS!$A$6:$A$1005,0))),""))</f>
        <v/>
      </c>
      <c r="N1432" s="33">
        <f>IF($D1432="","",IFERROR(IF(INDEX(RUNS!$G$6:$G$1005,MATCH($D1432,RUNS!$A$6:$A$1005,0))="","",INDEX(RUNS!$G$6:$G$1005,MATCH($D1432,RUNS!$A$6:$A$1005,0))),""))</f>
        <v/>
      </c>
      <c r="O1432" s="33">
        <f>IF($D1432="","",IFERROR(IF(INDEX(RUNS!$H$6:$H$1005,MATCH($D1432,RUNS!$A$6:$A$1005,0))="","",INDEX(RUNS!$H$6:$H$1005,MATCH($D1432,RUNS!$A$6:$A$1005,0))),""))</f>
        <v/>
      </c>
      <c r="P1432" s="33">
        <f>IF($D1432="","",IFERROR(IF(INDEX(RUNS!$J$6:$J$1005,MATCH($D1432,RUNS!$A$6:$A$1005,0))="","",INDEX(RUNS!$J$6:$J$1005,MATCH($D1432,RUNS!$A$6:$A$1005,0))),""))</f>
        <v/>
      </c>
      <c r="Q1432" s="33">
        <f>IF($D1432="","",IFERROR(IF(INDEX(RUNS!$K$6:$K$1005,MATCH($D1432,RUNS!$A$6:$A$1005,0))="","",INDEX(RUNS!$K$6:$K$1005,MATCH($D1432,RUNS!$A$6:$A$1005,0))),""))</f>
        <v/>
      </c>
      <c r="R1432" s="34">
        <f>IF(OR($L1432="",$K1432=""),"",IFERROR(IF(INDEX(PARAMETRES!$H$43:$H$342,MATCH($L1432&amp;"|"&amp;$M1432&amp;"|"&amp;$N1432&amp;"|"&amp;$O1432&amp;"|"&amp;$P1432&amp;"|"&amp;$Q1432&amp;"|"&amp;$K1432,PARAMETRES!$J$43:$J$342,0))="","",INDEX(PARAMETRES!$H$43:$H$342,MATCH($L1432&amp;"|"&amp;$M1432&amp;"|"&amp;$N1432&amp;"|"&amp;$O1432&amp;"|"&amp;$P1432&amp;"|"&amp;$Q1432&amp;"|"&amp;$K1432,PARAMETRES!$J$43:$J$342,0))),""))</f>
        <v/>
      </c>
      <c r="S1432" s="35">
        <f>IF(OR($G1432="",$X1432&lt;&gt;"VALIDE"),"",IFERROR(LOOKUP(2,1/(($B532:$B1431=$B1432)*($G532:$G1431=$G1432)*($X532:$X1431="VALIDE")),$C532:$C1431),""))</f>
        <v/>
      </c>
      <c r="T1432" s="36">
        <f>IF(OR($C1432="",$S1432=""),"",ROUND(($C1432-$S1432+IF($C1432&lt;$S1432,1,0))*1440,0))</f>
        <v/>
      </c>
      <c r="U1432" s="22">
        <f>IF(OR($H1432="",$T1432="",$T1432&lt;=0),"",$H1432*60/$T1432)</f>
        <v/>
      </c>
      <c r="V1432" s="37">
        <f>IF(OR($U1432="",$R1432="",$R1432=0),"",$U1432/$R1432)</f>
        <v/>
      </c>
      <c r="W1432" s="20">
        <f>IF($G1432="","",IF($X1432="CONTEXTE INCOMPLET","CONTEXTE INCOMPLET",IF($X1432="DOUBLON",StatutDoublon,IF($S1432="",StatutInitial,IF($R1432="",StatutStandardManquant,IF($V1432="","DONNEES INSUFFISANTES",IF($V1432&gt;=SeuilConforme,StatutConforme,IF($V1432&gt;=SeuilSurveiller,StatutSurveiller,StatutSousStandard))))))))</f>
        <v/>
      </c>
      <c r="X1432" s="33">
        <f>IF($G1432="","",IF(OR($D1432="",$E1432="",$F1432=""),"CONTEXTE INCOMPLET",IF(COUNTIFS($D532:$D1431,$D1432,$E532:$E1431,$E1432,$F532:$F1431,$F1432,$G532:$G1431,$G1432)&gt;0,"DOUBLON","VALIDE")))</f>
        <v/>
      </c>
    </row>
    <row r="1433" ht="15" customHeight="1">
      <c r="A1433" s="12">
        <f>IF(OR($B1433="",$G1433=""),"",TEXT($B1433,"YYYYMMDD")&amp;"-"&amp;SUBSTITUTE($E1433," ","")&amp;"-"&amp;$F1433&amp;"-"&amp;$G1433)</f>
        <v/>
      </c>
      <c r="B1433" s="15" t="n"/>
      <c r="C1433" s="16" t="n"/>
      <c r="D1433" s="10" t="n"/>
      <c r="E1433" s="9" t="n"/>
      <c r="F1433" s="9" t="n"/>
      <c r="G1433" s="13" t="n"/>
      <c r="H1433" s="21" t="n"/>
      <c r="I1433" s="21" t="n"/>
      <c r="J1433" s="17">
        <f>IF($G1433="","",IFERROR(INDEX(NomsEmployes,MATCH($G1433,MatriculesEmployes,0)),"MATRICULE INCONNU"))</f>
        <v/>
      </c>
      <c r="K1433" s="33">
        <f>IF(OR($D1433="",$F1433=""),"",IFERROR(IF(INDEX(RUNS!$L$6:$S$1005,MATCH($D1433,RUNS!$A$6:$A$1005,0),MATCH("ACTIVITÉ "&amp;$F1433,RUNS!$L$5:$S$5,0))="","",INDEX(RUNS!$L$6:$S$1005,MATCH($D1433,RUNS!$A$6:$A$1005,0),MATCH("ACTIVITÉ "&amp;$F1433,RUNS!$L$5:$S$5,0))),""))</f>
        <v/>
      </c>
      <c r="L1433" s="33">
        <f>IF($D1433="","",IFERROR(IF(INDEX(RUNS!$E$6:$E$1005,MATCH($D1433,RUNS!$A$6:$A$1005,0))="","",INDEX(RUNS!$E$6:$E$1005,MATCH($D1433,RUNS!$A$6:$A$1005,0))),""))</f>
        <v/>
      </c>
      <c r="M1433" s="33">
        <f>IF($D1433="","",IFERROR(IF(INDEX(RUNS!$F$6:$F$1005,MATCH($D1433,RUNS!$A$6:$A$1005,0))="","",INDEX(RUNS!$F$6:$F$1005,MATCH($D1433,RUNS!$A$6:$A$1005,0))),""))</f>
        <v/>
      </c>
      <c r="N1433" s="33">
        <f>IF($D1433="","",IFERROR(IF(INDEX(RUNS!$G$6:$G$1005,MATCH($D1433,RUNS!$A$6:$A$1005,0))="","",INDEX(RUNS!$G$6:$G$1005,MATCH($D1433,RUNS!$A$6:$A$1005,0))),""))</f>
        <v/>
      </c>
      <c r="O1433" s="33">
        <f>IF($D1433="","",IFERROR(IF(INDEX(RUNS!$H$6:$H$1005,MATCH($D1433,RUNS!$A$6:$A$1005,0))="","",INDEX(RUNS!$H$6:$H$1005,MATCH($D1433,RUNS!$A$6:$A$1005,0))),""))</f>
        <v/>
      </c>
      <c r="P1433" s="33">
        <f>IF($D1433="","",IFERROR(IF(INDEX(RUNS!$J$6:$J$1005,MATCH($D1433,RUNS!$A$6:$A$1005,0))="","",INDEX(RUNS!$J$6:$J$1005,MATCH($D1433,RUNS!$A$6:$A$1005,0))),""))</f>
        <v/>
      </c>
      <c r="Q1433" s="33">
        <f>IF($D1433="","",IFERROR(IF(INDEX(RUNS!$K$6:$K$1005,MATCH($D1433,RUNS!$A$6:$A$1005,0))="","",INDEX(RUNS!$K$6:$K$1005,MATCH($D1433,RUNS!$A$6:$A$1005,0))),""))</f>
        <v/>
      </c>
      <c r="R1433" s="34">
        <f>IF(OR($L1433="",$K1433=""),"",IFERROR(IF(INDEX(PARAMETRES!$H$43:$H$342,MATCH($L1433&amp;"|"&amp;$M1433&amp;"|"&amp;$N1433&amp;"|"&amp;$O1433&amp;"|"&amp;$P1433&amp;"|"&amp;$Q1433&amp;"|"&amp;$K1433,PARAMETRES!$J$43:$J$342,0))="","",INDEX(PARAMETRES!$H$43:$H$342,MATCH($L1433&amp;"|"&amp;$M1433&amp;"|"&amp;$N1433&amp;"|"&amp;$O1433&amp;"|"&amp;$P1433&amp;"|"&amp;$Q1433&amp;"|"&amp;$K1433,PARAMETRES!$J$43:$J$342,0))),""))</f>
        <v/>
      </c>
      <c r="S1433" s="35">
        <f>IF(OR($G1433="",$X1433&lt;&gt;"VALIDE"),"",IFERROR(LOOKUP(2,1/(($B533:$B1432=$B1433)*($G533:$G1432=$G1433)*($X533:$X1432="VALIDE")),$C533:$C1432),""))</f>
        <v/>
      </c>
      <c r="T1433" s="36">
        <f>IF(OR($C1433="",$S1433=""),"",ROUND(($C1433-$S1433+IF($C1433&lt;$S1433,1,0))*1440,0))</f>
        <v/>
      </c>
      <c r="U1433" s="22">
        <f>IF(OR($H1433="",$T1433="",$T1433&lt;=0),"",$H1433*60/$T1433)</f>
        <v/>
      </c>
      <c r="V1433" s="37">
        <f>IF(OR($U1433="",$R1433="",$R1433=0),"",$U1433/$R1433)</f>
        <v/>
      </c>
      <c r="W1433" s="20">
        <f>IF($G1433="","",IF($X1433="CONTEXTE INCOMPLET","CONTEXTE INCOMPLET",IF($X1433="DOUBLON",StatutDoublon,IF($S1433="",StatutInitial,IF($R1433="",StatutStandardManquant,IF($V1433="","DONNEES INSUFFISANTES",IF($V1433&gt;=SeuilConforme,StatutConforme,IF($V1433&gt;=SeuilSurveiller,StatutSurveiller,StatutSousStandard))))))))</f>
        <v/>
      </c>
      <c r="X1433" s="33">
        <f>IF($G1433="","",IF(OR($D1433="",$E1433="",$F1433=""),"CONTEXTE INCOMPLET",IF(COUNTIFS($D533:$D1432,$D1433,$E533:$E1432,$E1433,$F533:$F1432,$F1433,$G533:$G1432,$G1433)&gt;0,"DOUBLON","VALIDE")))</f>
        <v/>
      </c>
    </row>
    <row r="1434" ht="15" customHeight="1">
      <c r="A1434" s="12">
        <f>IF(OR($B1434="",$G1434=""),"",TEXT($B1434,"YYYYMMDD")&amp;"-"&amp;SUBSTITUTE($E1434," ","")&amp;"-"&amp;$F1434&amp;"-"&amp;$G1434)</f>
        <v/>
      </c>
      <c r="B1434" s="15" t="n"/>
      <c r="C1434" s="16" t="n"/>
      <c r="D1434" s="10" t="n"/>
      <c r="E1434" s="9" t="n"/>
      <c r="F1434" s="9" t="n"/>
      <c r="G1434" s="13" t="n"/>
      <c r="H1434" s="21" t="n"/>
      <c r="I1434" s="21" t="n"/>
      <c r="J1434" s="17">
        <f>IF($G1434="","",IFERROR(INDEX(NomsEmployes,MATCH($G1434,MatriculesEmployes,0)),"MATRICULE INCONNU"))</f>
        <v/>
      </c>
      <c r="K1434" s="33">
        <f>IF(OR($D1434="",$F1434=""),"",IFERROR(IF(INDEX(RUNS!$L$6:$S$1005,MATCH($D1434,RUNS!$A$6:$A$1005,0),MATCH("ACTIVITÉ "&amp;$F1434,RUNS!$L$5:$S$5,0))="","",INDEX(RUNS!$L$6:$S$1005,MATCH($D1434,RUNS!$A$6:$A$1005,0),MATCH("ACTIVITÉ "&amp;$F1434,RUNS!$L$5:$S$5,0))),""))</f>
        <v/>
      </c>
      <c r="L1434" s="33">
        <f>IF($D1434="","",IFERROR(IF(INDEX(RUNS!$E$6:$E$1005,MATCH($D1434,RUNS!$A$6:$A$1005,0))="","",INDEX(RUNS!$E$6:$E$1005,MATCH($D1434,RUNS!$A$6:$A$1005,0))),""))</f>
        <v/>
      </c>
      <c r="M1434" s="33">
        <f>IF($D1434="","",IFERROR(IF(INDEX(RUNS!$F$6:$F$1005,MATCH($D1434,RUNS!$A$6:$A$1005,0))="","",INDEX(RUNS!$F$6:$F$1005,MATCH($D1434,RUNS!$A$6:$A$1005,0))),""))</f>
        <v/>
      </c>
      <c r="N1434" s="33">
        <f>IF($D1434="","",IFERROR(IF(INDEX(RUNS!$G$6:$G$1005,MATCH($D1434,RUNS!$A$6:$A$1005,0))="","",INDEX(RUNS!$G$6:$G$1005,MATCH($D1434,RUNS!$A$6:$A$1005,0))),""))</f>
        <v/>
      </c>
      <c r="O1434" s="33">
        <f>IF($D1434="","",IFERROR(IF(INDEX(RUNS!$H$6:$H$1005,MATCH($D1434,RUNS!$A$6:$A$1005,0))="","",INDEX(RUNS!$H$6:$H$1005,MATCH($D1434,RUNS!$A$6:$A$1005,0))),""))</f>
        <v/>
      </c>
      <c r="P1434" s="33">
        <f>IF($D1434="","",IFERROR(IF(INDEX(RUNS!$J$6:$J$1005,MATCH($D1434,RUNS!$A$6:$A$1005,0))="","",INDEX(RUNS!$J$6:$J$1005,MATCH($D1434,RUNS!$A$6:$A$1005,0))),""))</f>
        <v/>
      </c>
      <c r="Q1434" s="33">
        <f>IF($D1434="","",IFERROR(IF(INDEX(RUNS!$K$6:$K$1005,MATCH($D1434,RUNS!$A$6:$A$1005,0))="","",INDEX(RUNS!$K$6:$K$1005,MATCH($D1434,RUNS!$A$6:$A$1005,0))),""))</f>
        <v/>
      </c>
      <c r="R1434" s="34">
        <f>IF(OR($L1434="",$K1434=""),"",IFERROR(IF(INDEX(PARAMETRES!$H$43:$H$342,MATCH($L1434&amp;"|"&amp;$M1434&amp;"|"&amp;$N1434&amp;"|"&amp;$O1434&amp;"|"&amp;$P1434&amp;"|"&amp;$Q1434&amp;"|"&amp;$K1434,PARAMETRES!$J$43:$J$342,0))="","",INDEX(PARAMETRES!$H$43:$H$342,MATCH($L1434&amp;"|"&amp;$M1434&amp;"|"&amp;$N1434&amp;"|"&amp;$O1434&amp;"|"&amp;$P1434&amp;"|"&amp;$Q1434&amp;"|"&amp;$K1434,PARAMETRES!$J$43:$J$342,0))),""))</f>
        <v/>
      </c>
      <c r="S1434" s="35">
        <f>IF(OR($G1434="",$X1434&lt;&gt;"VALIDE"),"",IFERROR(LOOKUP(2,1/(($B534:$B1433=$B1434)*($G534:$G1433=$G1434)*($X534:$X1433="VALIDE")),$C534:$C1433),""))</f>
        <v/>
      </c>
      <c r="T1434" s="36">
        <f>IF(OR($C1434="",$S1434=""),"",ROUND(($C1434-$S1434+IF($C1434&lt;$S1434,1,0))*1440,0))</f>
        <v/>
      </c>
      <c r="U1434" s="22">
        <f>IF(OR($H1434="",$T1434="",$T1434&lt;=0),"",$H1434*60/$T1434)</f>
        <v/>
      </c>
      <c r="V1434" s="37">
        <f>IF(OR($U1434="",$R1434="",$R1434=0),"",$U1434/$R1434)</f>
        <v/>
      </c>
      <c r="W1434" s="20">
        <f>IF($G1434="","",IF($X1434="CONTEXTE INCOMPLET","CONTEXTE INCOMPLET",IF($X1434="DOUBLON",StatutDoublon,IF($S1434="",StatutInitial,IF($R1434="",StatutStandardManquant,IF($V1434="","DONNEES INSUFFISANTES",IF($V1434&gt;=SeuilConforme,StatutConforme,IF($V1434&gt;=SeuilSurveiller,StatutSurveiller,StatutSousStandard))))))))</f>
        <v/>
      </c>
      <c r="X1434" s="33">
        <f>IF($G1434="","",IF(OR($D1434="",$E1434="",$F1434=""),"CONTEXTE INCOMPLET",IF(COUNTIFS($D534:$D1433,$D1434,$E534:$E1433,$E1434,$F534:$F1433,$F1434,$G534:$G1433,$G1434)&gt;0,"DOUBLON","VALIDE")))</f>
        <v/>
      </c>
    </row>
    <row r="1435" ht="15" customHeight="1">
      <c r="A1435" s="12">
        <f>IF(OR($B1435="",$G1435=""),"",TEXT($B1435,"YYYYMMDD")&amp;"-"&amp;SUBSTITUTE($E1435," ","")&amp;"-"&amp;$F1435&amp;"-"&amp;$G1435)</f>
        <v/>
      </c>
      <c r="B1435" s="15" t="n"/>
      <c r="C1435" s="16" t="n"/>
      <c r="D1435" s="10" t="n"/>
      <c r="E1435" s="9" t="n"/>
      <c r="F1435" s="9" t="n"/>
      <c r="G1435" s="13" t="n"/>
      <c r="H1435" s="21" t="n"/>
      <c r="I1435" s="21" t="n"/>
      <c r="J1435" s="17">
        <f>IF($G1435="","",IFERROR(INDEX(NomsEmployes,MATCH($G1435,MatriculesEmployes,0)),"MATRICULE INCONNU"))</f>
        <v/>
      </c>
      <c r="K1435" s="33">
        <f>IF(OR($D1435="",$F1435=""),"",IFERROR(IF(INDEX(RUNS!$L$6:$S$1005,MATCH($D1435,RUNS!$A$6:$A$1005,0),MATCH("ACTIVITÉ "&amp;$F1435,RUNS!$L$5:$S$5,0))="","",INDEX(RUNS!$L$6:$S$1005,MATCH($D1435,RUNS!$A$6:$A$1005,0),MATCH("ACTIVITÉ "&amp;$F1435,RUNS!$L$5:$S$5,0))),""))</f>
        <v/>
      </c>
      <c r="L1435" s="33">
        <f>IF($D1435="","",IFERROR(IF(INDEX(RUNS!$E$6:$E$1005,MATCH($D1435,RUNS!$A$6:$A$1005,0))="","",INDEX(RUNS!$E$6:$E$1005,MATCH($D1435,RUNS!$A$6:$A$1005,0))),""))</f>
        <v/>
      </c>
      <c r="M1435" s="33">
        <f>IF($D1435="","",IFERROR(IF(INDEX(RUNS!$F$6:$F$1005,MATCH($D1435,RUNS!$A$6:$A$1005,0))="","",INDEX(RUNS!$F$6:$F$1005,MATCH($D1435,RUNS!$A$6:$A$1005,0))),""))</f>
        <v/>
      </c>
      <c r="N1435" s="33">
        <f>IF($D1435="","",IFERROR(IF(INDEX(RUNS!$G$6:$G$1005,MATCH($D1435,RUNS!$A$6:$A$1005,0))="","",INDEX(RUNS!$G$6:$G$1005,MATCH($D1435,RUNS!$A$6:$A$1005,0))),""))</f>
        <v/>
      </c>
      <c r="O1435" s="33">
        <f>IF($D1435="","",IFERROR(IF(INDEX(RUNS!$H$6:$H$1005,MATCH($D1435,RUNS!$A$6:$A$1005,0))="","",INDEX(RUNS!$H$6:$H$1005,MATCH($D1435,RUNS!$A$6:$A$1005,0))),""))</f>
        <v/>
      </c>
      <c r="P1435" s="33">
        <f>IF($D1435="","",IFERROR(IF(INDEX(RUNS!$J$6:$J$1005,MATCH($D1435,RUNS!$A$6:$A$1005,0))="","",INDEX(RUNS!$J$6:$J$1005,MATCH($D1435,RUNS!$A$6:$A$1005,0))),""))</f>
        <v/>
      </c>
      <c r="Q1435" s="33">
        <f>IF($D1435="","",IFERROR(IF(INDEX(RUNS!$K$6:$K$1005,MATCH($D1435,RUNS!$A$6:$A$1005,0))="","",INDEX(RUNS!$K$6:$K$1005,MATCH($D1435,RUNS!$A$6:$A$1005,0))),""))</f>
        <v/>
      </c>
      <c r="R1435" s="34">
        <f>IF(OR($L1435="",$K1435=""),"",IFERROR(IF(INDEX(PARAMETRES!$H$43:$H$342,MATCH($L1435&amp;"|"&amp;$M1435&amp;"|"&amp;$N1435&amp;"|"&amp;$O1435&amp;"|"&amp;$P1435&amp;"|"&amp;$Q1435&amp;"|"&amp;$K1435,PARAMETRES!$J$43:$J$342,0))="","",INDEX(PARAMETRES!$H$43:$H$342,MATCH($L1435&amp;"|"&amp;$M1435&amp;"|"&amp;$N1435&amp;"|"&amp;$O1435&amp;"|"&amp;$P1435&amp;"|"&amp;$Q1435&amp;"|"&amp;$K1435,PARAMETRES!$J$43:$J$342,0))),""))</f>
        <v/>
      </c>
      <c r="S1435" s="35">
        <f>IF(OR($G1435="",$X1435&lt;&gt;"VALIDE"),"",IFERROR(LOOKUP(2,1/(($B535:$B1434=$B1435)*($G535:$G1434=$G1435)*($X535:$X1434="VALIDE")),$C535:$C1434),""))</f>
        <v/>
      </c>
      <c r="T1435" s="36">
        <f>IF(OR($C1435="",$S1435=""),"",ROUND(($C1435-$S1435+IF($C1435&lt;$S1435,1,0))*1440,0))</f>
        <v/>
      </c>
      <c r="U1435" s="22">
        <f>IF(OR($H1435="",$T1435="",$T1435&lt;=0),"",$H1435*60/$T1435)</f>
        <v/>
      </c>
      <c r="V1435" s="37">
        <f>IF(OR($U1435="",$R1435="",$R1435=0),"",$U1435/$R1435)</f>
        <v/>
      </c>
      <c r="W1435" s="20">
        <f>IF($G1435="","",IF($X1435="CONTEXTE INCOMPLET","CONTEXTE INCOMPLET",IF($X1435="DOUBLON",StatutDoublon,IF($S1435="",StatutInitial,IF($R1435="",StatutStandardManquant,IF($V1435="","DONNEES INSUFFISANTES",IF($V1435&gt;=SeuilConforme,StatutConforme,IF($V1435&gt;=SeuilSurveiller,StatutSurveiller,StatutSousStandard))))))))</f>
        <v/>
      </c>
      <c r="X1435" s="33">
        <f>IF($G1435="","",IF(OR($D1435="",$E1435="",$F1435=""),"CONTEXTE INCOMPLET",IF(COUNTIFS($D535:$D1434,$D1435,$E535:$E1434,$E1435,$F535:$F1434,$F1435,$G535:$G1434,$G1435)&gt;0,"DOUBLON","VALIDE")))</f>
        <v/>
      </c>
    </row>
    <row r="1436" ht="15" customHeight="1">
      <c r="A1436" s="12">
        <f>IF(OR($B1436="",$G1436=""),"",TEXT($B1436,"YYYYMMDD")&amp;"-"&amp;SUBSTITUTE($E1436," ","")&amp;"-"&amp;$F1436&amp;"-"&amp;$G1436)</f>
        <v/>
      </c>
      <c r="B1436" s="15" t="n"/>
      <c r="C1436" s="16" t="n"/>
      <c r="D1436" s="10" t="n"/>
      <c r="E1436" s="9" t="n"/>
      <c r="F1436" s="9" t="n"/>
      <c r="G1436" s="13" t="n"/>
      <c r="H1436" s="21" t="n"/>
      <c r="I1436" s="21" t="n"/>
      <c r="J1436" s="17">
        <f>IF($G1436="","",IFERROR(INDEX(NomsEmployes,MATCH($G1436,MatriculesEmployes,0)),"MATRICULE INCONNU"))</f>
        <v/>
      </c>
      <c r="K1436" s="33">
        <f>IF(OR($D1436="",$F1436=""),"",IFERROR(IF(INDEX(RUNS!$L$6:$S$1005,MATCH($D1436,RUNS!$A$6:$A$1005,0),MATCH("ACTIVITÉ "&amp;$F1436,RUNS!$L$5:$S$5,0))="","",INDEX(RUNS!$L$6:$S$1005,MATCH($D1436,RUNS!$A$6:$A$1005,0),MATCH("ACTIVITÉ "&amp;$F1436,RUNS!$L$5:$S$5,0))),""))</f>
        <v/>
      </c>
      <c r="L1436" s="33">
        <f>IF($D1436="","",IFERROR(IF(INDEX(RUNS!$E$6:$E$1005,MATCH($D1436,RUNS!$A$6:$A$1005,0))="","",INDEX(RUNS!$E$6:$E$1005,MATCH($D1436,RUNS!$A$6:$A$1005,0))),""))</f>
        <v/>
      </c>
      <c r="M1436" s="33">
        <f>IF($D1436="","",IFERROR(IF(INDEX(RUNS!$F$6:$F$1005,MATCH($D1436,RUNS!$A$6:$A$1005,0))="","",INDEX(RUNS!$F$6:$F$1005,MATCH($D1436,RUNS!$A$6:$A$1005,0))),""))</f>
        <v/>
      </c>
      <c r="N1436" s="33">
        <f>IF($D1436="","",IFERROR(IF(INDEX(RUNS!$G$6:$G$1005,MATCH($D1436,RUNS!$A$6:$A$1005,0))="","",INDEX(RUNS!$G$6:$G$1005,MATCH($D1436,RUNS!$A$6:$A$1005,0))),""))</f>
        <v/>
      </c>
      <c r="O1436" s="33">
        <f>IF($D1436="","",IFERROR(IF(INDEX(RUNS!$H$6:$H$1005,MATCH($D1436,RUNS!$A$6:$A$1005,0))="","",INDEX(RUNS!$H$6:$H$1005,MATCH($D1436,RUNS!$A$6:$A$1005,0))),""))</f>
        <v/>
      </c>
      <c r="P1436" s="33">
        <f>IF($D1436="","",IFERROR(IF(INDEX(RUNS!$J$6:$J$1005,MATCH($D1436,RUNS!$A$6:$A$1005,0))="","",INDEX(RUNS!$J$6:$J$1005,MATCH($D1436,RUNS!$A$6:$A$1005,0))),""))</f>
        <v/>
      </c>
      <c r="Q1436" s="33">
        <f>IF($D1436="","",IFERROR(IF(INDEX(RUNS!$K$6:$K$1005,MATCH($D1436,RUNS!$A$6:$A$1005,0))="","",INDEX(RUNS!$K$6:$K$1005,MATCH($D1436,RUNS!$A$6:$A$1005,0))),""))</f>
        <v/>
      </c>
      <c r="R1436" s="34">
        <f>IF(OR($L1436="",$K1436=""),"",IFERROR(IF(INDEX(PARAMETRES!$H$43:$H$342,MATCH($L1436&amp;"|"&amp;$M1436&amp;"|"&amp;$N1436&amp;"|"&amp;$O1436&amp;"|"&amp;$P1436&amp;"|"&amp;$Q1436&amp;"|"&amp;$K1436,PARAMETRES!$J$43:$J$342,0))="","",INDEX(PARAMETRES!$H$43:$H$342,MATCH($L1436&amp;"|"&amp;$M1436&amp;"|"&amp;$N1436&amp;"|"&amp;$O1436&amp;"|"&amp;$P1436&amp;"|"&amp;$Q1436&amp;"|"&amp;$K1436,PARAMETRES!$J$43:$J$342,0))),""))</f>
        <v/>
      </c>
      <c r="S1436" s="35">
        <f>IF(OR($G1436="",$X1436&lt;&gt;"VALIDE"),"",IFERROR(LOOKUP(2,1/(($B536:$B1435=$B1436)*($G536:$G1435=$G1436)*($X536:$X1435="VALIDE")),$C536:$C1435),""))</f>
        <v/>
      </c>
      <c r="T1436" s="36">
        <f>IF(OR($C1436="",$S1436=""),"",ROUND(($C1436-$S1436+IF($C1436&lt;$S1436,1,0))*1440,0))</f>
        <v/>
      </c>
      <c r="U1436" s="22">
        <f>IF(OR($H1436="",$T1436="",$T1436&lt;=0),"",$H1436*60/$T1436)</f>
        <v/>
      </c>
      <c r="V1436" s="37">
        <f>IF(OR($U1436="",$R1436="",$R1436=0),"",$U1436/$R1436)</f>
        <v/>
      </c>
      <c r="W1436" s="20">
        <f>IF($G1436="","",IF($X1436="CONTEXTE INCOMPLET","CONTEXTE INCOMPLET",IF($X1436="DOUBLON",StatutDoublon,IF($S1436="",StatutInitial,IF($R1436="",StatutStandardManquant,IF($V1436="","DONNEES INSUFFISANTES",IF($V1436&gt;=SeuilConforme,StatutConforme,IF($V1436&gt;=SeuilSurveiller,StatutSurveiller,StatutSousStandard))))))))</f>
        <v/>
      </c>
      <c r="X1436" s="33">
        <f>IF($G1436="","",IF(OR($D1436="",$E1436="",$F1436=""),"CONTEXTE INCOMPLET",IF(COUNTIFS($D536:$D1435,$D1436,$E536:$E1435,$E1436,$F536:$F1435,$F1436,$G536:$G1435,$G1436)&gt;0,"DOUBLON","VALIDE")))</f>
        <v/>
      </c>
    </row>
    <row r="1437" ht="15" customHeight="1">
      <c r="A1437" s="12">
        <f>IF(OR($B1437="",$G1437=""),"",TEXT($B1437,"YYYYMMDD")&amp;"-"&amp;SUBSTITUTE($E1437," ","")&amp;"-"&amp;$F1437&amp;"-"&amp;$G1437)</f>
        <v/>
      </c>
      <c r="B1437" s="15" t="n"/>
      <c r="C1437" s="16" t="n"/>
      <c r="D1437" s="10" t="n"/>
      <c r="E1437" s="9" t="n"/>
      <c r="F1437" s="9" t="n"/>
      <c r="G1437" s="13" t="n"/>
      <c r="H1437" s="21" t="n"/>
      <c r="I1437" s="21" t="n"/>
      <c r="J1437" s="17">
        <f>IF($G1437="","",IFERROR(INDEX(NomsEmployes,MATCH($G1437,MatriculesEmployes,0)),"MATRICULE INCONNU"))</f>
        <v/>
      </c>
      <c r="K1437" s="33">
        <f>IF(OR($D1437="",$F1437=""),"",IFERROR(IF(INDEX(RUNS!$L$6:$S$1005,MATCH($D1437,RUNS!$A$6:$A$1005,0),MATCH("ACTIVITÉ "&amp;$F1437,RUNS!$L$5:$S$5,0))="","",INDEX(RUNS!$L$6:$S$1005,MATCH($D1437,RUNS!$A$6:$A$1005,0),MATCH("ACTIVITÉ "&amp;$F1437,RUNS!$L$5:$S$5,0))),""))</f>
        <v/>
      </c>
      <c r="L1437" s="33">
        <f>IF($D1437="","",IFERROR(IF(INDEX(RUNS!$E$6:$E$1005,MATCH($D1437,RUNS!$A$6:$A$1005,0))="","",INDEX(RUNS!$E$6:$E$1005,MATCH($D1437,RUNS!$A$6:$A$1005,0))),""))</f>
        <v/>
      </c>
      <c r="M1437" s="33">
        <f>IF($D1437="","",IFERROR(IF(INDEX(RUNS!$F$6:$F$1005,MATCH($D1437,RUNS!$A$6:$A$1005,0))="","",INDEX(RUNS!$F$6:$F$1005,MATCH($D1437,RUNS!$A$6:$A$1005,0))),""))</f>
        <v/>
      </c>
      <c r="N1437" s="33">
        <f>IF($D1437="","",IFERROR(IF(INDEX(RUNS!$G$6:$G$1005,MATCH($D1437,RUNS!$A$6:$A$1005,0))="","",INDEX(RUNS!$G$6:$G$1005,MATCH($D1437,RUNS!$A$6:$A$1005,0))),""))</f>
        <v/>
      </c>
      <c r="O1437" s="33">
        <f>IF($D1437="","",IFERROR(IF(INDEX(RUNS!$H$6:$H$1005,MATCH($D1437,RUNS!$A$6:$A$1005,0))="","",INDEX(RUNS!$H$6:$H$1005,MATCH($D1437,RUNS!$A$6:$A$1005,0))),""))</f>
        <v/>
      </c>
      <c r="P1437" s="33">
        <f>IF($D1437="","",IFERROR(IF(INDEX(RUNS!$J$6:$J$1005,MATCH($D1437,RUNS!$A$6:$A$1005,0))="","",INDEX(RUNS!$J$6:$J$1005,MATCH($D1437,RUNS!$A$6:$A$1005,0))),""))</f>
        <v/>
      </c>
      <c r="Q1437" s="33">
        <f>IF($D1437="","",IFERROR(IF(INDEX(RUNS!$K$6:$K$1005,MATCH($D1437,RUNS!$A$6:$A$1005,0))="","",INDEX(RUNS!$K$6:$K$1005,MATCH($D1437,RUNS!$A$6:$A$1005,0))),""))</f>
        <v/>
      </c>
      <c r="R1437" s="34">
        <f>IF(OR($L1437="",$K1437=""),"",IFERROR(IF(INDEX(PARAMETRES!$H$43:$H$342,MATCH($L1437&amp;"|"&amp;$M1437&amp;"|"&amp;$N1437&amp;"|"&amp;$O1437&amp;"|"&amp;$P1437&amp;"|"&amp;$Q1437&amp;"|"&amp;$K1437,PARAMETRES!$J$43:$J$342,0))="","",INDEX(PARAMETRES!$H$43:$H$342,MATCH($L1437&amp;"|"&amp;$M1437&amp;"|"&amp;$N1437&amp;"|"&amp;$O1437&amp;"|"&amp;$P1437&amp;"|"&amp;$Q1437&amp;"|"&amp;$K1437,PARAMETRES!$J$43:$J$342,0))),""))</f>
        <v/>
      </c>
      <c r="S1437" s="35">
        <f>IF(OR($G1437="",$X1437&lt;&gt;"VALIDE"),"",IFERROR(LOOKUP(2,1/(($B537:$B1436=$B1437)*($G537:$G1436=$G1437)*($X537:$X1436="VALIDE")),$C537:$C1436),""))</f>
        <v/>
      </c>
      <c r="T1437" s="36">
        <f>IF(OR($C1437="",$S1437=""),"",ROUND(($C1437-$S1437+IF($C1437&lt;$S1437,1,0))*1440,0))</f>
        <v/>
      </c>
      <c r="U1437" s="22">
        <f>IF(OR($H1437="",$T1437="",$T1437&lt;=0),"",$H1437*60/$T1437)</f>
        <v/>
      </c>
      <c r="V1437" s="37">
        <f>IF(OR($U1437="",$R1437="",$R1437=0),"",$U1437/$R1437)</f>
        <v/>
      </c>
      <c r="W1437" s="20">
        <f>IF($G1437="","",IF($X1437="CONTEXTE INCOMPLET","CONTEXTE INCOMPLET",IF($X1437="DOUBLON",StatutDoublon,IF($S1437="",StatutInitial,IF($R1437="",StatutStandardManquant,IF($V1437="","DONNEES INSUFFISANTES",IF($V1437&gt;=SeuilConforme,StatutConforme,IF($V1437&gt;=SeuilSurveiller,StatutSurveiller,StatutSousStandard))))))))</f>
        <v/>
      </c>
      <c r="X1437" s="33">
        <f>IF($G1437="","",IF(OR($D1437="",$E1437="",$F1437=""),"CONTEXTE INCOMPLET",IF(COUNTIFS($D537:$D1436,$D1437,$E537:$E1436,$E1437,$F537:$F1436,$F1437,$G537:$G1436,$G1437)&gt;0,"DOUBLON","VALIDE")))</f>
        <v/>
      </c>
    </row>
    <row r="1438" ht="15" customHeight="1">
      <c r="A1438" s="12">
        <f>IF(OR($B1438="",$G1438=""),"",TEXT($B1438,"YYYYMMDD")&amp;"-"&amp;SUBSTITUTE($E1438," ","")&amp;"-"&amp;$F1438&amp;"-"&amp;$G1438)</f>
        <v/>
      </c>
      <c r="B1438" s="15" t="n"/>
      <c r="C1438" s="16" t="n"/>
      <c r="D1438" s="10" t="n"/>
      <c r="E1438" s="9" t="n"/>
      <c r="F1438" s="9" t="n"/>
      <c r="G1438" s="13" t="n"/>
      <c r="H1438" s="21" t="n"/>
      <c r="I1438" s="21" t="n"/>
      <c r="J1438" s="17">
        <f>IF($G1438="","",IFERROR(INDEX(NomsEmployes,MATCH($G1438,MatriculesEmployes,0)),"MATRICULE INCONNU"))</f>
        <v/>
      </c>
      <c r="K1438" s="33">
        <f>IF(OR($D1438="",$F1438=""),"",IFERROR(IF(INDEX(RUNS!$L$6:$S$1005,MATCH($D1438,RUNS!$A$6:$A$1005,0),MATCH("ACTIVITÉ "&amp;$F1438,RUNS!$L$5:$S$5,0))="","",INDEX(RUNS!$L$6:$S$1005,MATCH($D1438,RUNS!$A$6:$A$1005,0),MATCH("ACTIVITÉ "&amp;$F1438,RUNS!$L$5:$S$5,0))),""))</f>
        <v/>
      </c>
      <c r="L1438" s="33">
        <f>IF($D1438="","",IFERROR(IF(INDEX(RUNS!$E$6:$E$1005,MATCH($D1438,RUNS!$A$6:$A$1005,0))="","",INDEX(RUNS!$E$6:$E$1005,MATCH($D1438,RUNS!$A$6:$A$1005,0))),""))</f>
        <v/>
      </c>
      <c r="M1438" s="33">
        <f>IF($D1438="","",IFERROR(IF(INDEX(RUNS!$F$6:$F$1005,MATCH($D1438,RUNS!$A$6:$A$1005,0))="","",INDEX(RUNS!$F$6:$F$1005,MATCH($D1438,RUNS!$A$6:$A$1005,0))),""))</f>
        <v/>
      </c>
      <c r="N1438" s="33">
        <f>IF($D1438="","",IFERROR(IF(INDEX(RUNS!$G$6:$G$1005,MATCH($D1438,RUNS!$A$6:$A$1005,0))="","",INDEX(RUNS!$G$6:$G$1005,MATCH($D1438,RUNS!$A$6:$A$1005,0))),""))</f>
        <v/>
      </c>
      <c r="O1438" s="33">
        <f>IF($D1438="","",IFERROR(IF(INDEX(RUNS!$H$6:$H$1005,MATCH($D1438,RUNS!$A$6:$A$1005,0))="","",INDEX(RUNS!$H$6:$H$1005,MATCH($D1438,RUNS!$A$6:$A$1005,0))),""))</f>
        <v/>
      </c>
      <c r="P1438" s="33">
        <f>IF($D1438="","",IFERROR(IF(INDEX(RUNS!$J$6:$J$1005,MATCH($D1438,RUNS!$A$6:$A$1005,0))="","",INDEX(RUNS!$J$6:$J$1005,MATCH($D1438,RUNS!$A$6:$A$1005,0))),""))</f>
        <v/>
      </c>
      <c r="Q1438" s="33">
        <f>IF($D1438="","",IFERROR(IF(INDEX(RUNS!$K$6:$K$1005,MATCH($D1438,RUNS!$A$6:$A$1005,0))="","",INDEX(RUNS!$K$6:$K$1005,MATCH($D1438,RUNS!$A$6:$A$1005,0))),""))</f>
        <v/>
      </c>
      <c r="R1438" s="34">
        <f>IF(OR($L1438="",$K1438=""),"",IFERROR(IF(INDEX(PARAMETRES!$H$43:$H$342,MATCH($L1438&amp;"|"&amp;$M1438&amp;"|"&amp;$N1438&amp;"|"&amp;$O1438&amp;"|"&amp;$P1438&amp;"|"&amp;$Q1438&amp;"|"&amp;$K1438,PARAMETRES!$J$43:$J$342,0))="","",INDEX(PARAMETRES!$H$43:$H$342,MATCH($L1438&amp;"|"&amp;$M1438&amp;"|"&amp;$N1438&amp;"|"&amp;$O1438&amp;"|"&amp;$P1438&amp;"|"&amp;$Q1438&amp;"|"&amp;$K1438,PARAMETRES!$J$43:$J$342,0))),""))</f>
        <v/>
      </c>
      <c r="S1438" s="35">
        <f>IF(OR($G1438="",$X1438&lt;&gt;"VALIDE"),"",IFERROR(LOOKUP(2,1/(($B538:$B1437=$B1438)*($G538:$G1437=$G1438)*($X538:$X1437="VALIDE")),$C538:$C1437),""))</f>
        <v/>
      </c>
      <c r="T1438" s="36">
        <f>IF(OR($C1438="",$S1438=""),"",ROUND(($C1438-$S1438+IF($C1438&lt;$S1438,1,0))*1440,0))</f>
        <v/>
      </c>
      <c r="U1438" s="22">
        <f>IF(OR($H1438="",$T1438="",$T1438&lt;=0),"",$H1438*60/$T1438)</f>
        <v/>
      </c>
      <c r="V1438" s="37">
        <f>IF(OR($U1438="",$R1438="",$R1438=0),"",$U1438/$R1438)</f>
        <v/>
      </c>
      <c r="W1438" s="20">
        <f>IF($G1438="","",IF($X1438="CONTEXTE INCOMPLET","CONTEXTE INCOMPLET",IF($X1438="DOUBLON",StatutDoublon,IF($S1438="",StatutInitial,IF($R1438="",StatutStandardManquant,IF($V1438="","DONNEES INSUFFISANTES",IF($V1438&gt;=SeuilConforme,StatutConforme,IF($V1438&gt;=SeuilSurveiller,StatutSurveiller,StatutSousStandard))))))))</f>
        <v/>
      </c>
      <c r="X1438" s="33">
        <f>IF($G1438="","",IF(OR($D1438="",$E1438="",$F1438=""),"CONTEXTE INCOMPLET",IF(COUNTIFS($D538:$D1437,$D1438,$E538:$E1437,$E1438,$F538:$F1437,$F1438,$G538:$G1437,$G1438)&gt;0,"DOUBLON","VALIDE")))</f>
        <v/>
      </c>
    </row>
    <row r="1439" ht="15" customHeight="1">
      <c r="A1439" s="12">
        <f>IF(OR($B1439="",$G1439=""),"",TEXT($B1439,"YYYYMMDD")&amp;"-"&amp;SUBSTITUTE($E1439," ","")&amp;"-"&amp;$F1439&amp;"-"&amp;$G1439)</f>
        <v/>
      </c>
      <c r="B1439" s="15" t="n"/>
      <c r="C1439" s="16" t="n"/>
      <c r="D1439" s="10" t="n"/>
      <c r="E1439" s="9" t="n"/>
      <c r="F1439" s="9" t="n"/>
      <c r="G1439" s="13" t="n"/>
      <c r="H1439" s="21" t="n"/>
      <c r="I1439" s="21" t="n"/>
      <c r="J1439" s="17">
        <f>IF($G1439="","",IFERROR(INDEX(NomsEmployes,MATCH($G1439,MatriculesEmployes,0)),"MATRICULE INCONNU"))</f>
        <v/>
      </c>
      <c r="K1439" s="33">
        <f>IF(OR($D1439="",$F1439=""),"",IFERROR(IF(INDEX(RUNS!$L$6:$S$1005,MATCH($D1439,RUNS!$A$6:$A$1005,0),MATCH("ACTIVITÉ "&amp;$F1439,RUNS!$L$5:$S$5,0))="","",INDEX(RUNS!$L$6:$S$1005,MATCH($D1439,RUNS!$A$6:$A$1005,0),MATCH("ACTIVITÉ "&amp;$F1439,RUNS!$L$5:$S$5,0))),""))</f>
        <v/>
      </c>
      <c r="L1439" s="33">
        <f>IF($D1439="","",IFERROR(IF(INDEX(RUNS!$E$6:$E$1005,MATCH($D1439,RUNS!$A$6:$A$1005,0))="","",INDEX(RUNS!$E$6:$E$1005,MATCH($D1439,RUNS!$A$6:$A$1005,0))),""))</f>
        <v/>
      </c>
      <c r="M1439" s="33">
        <f>IF($D1439="","",IFERROR(IF(INDEX(RUNS!$F$6:$F$1005,MATCH($D1439,RUNS!$A$6:$A$1005,0))="","",INDEX(RUNS!$F$6:$F$1005,MATCH($D1439,RUNS!$A$6:$A$1005,0))),""))</f>
        <v/>
      </c>
      <c r="N1439" s="33">
        <f>IF($D1439="","",IFERROR(IF(INDEX(RUNS!$G$6:$G$1005,MATCH($D1439,RUNS!$A$6:$A$1005,0))="","",INDEX(RUNS!$G$6:$G$1005,MATCH($D1439,RUNS!$A$6:$A$1005,0))),""))</f>
        <v/>
      </c>
      <c r="O1439" s="33">
        <f>IF($D1439="","",IFERROR(IF(INDEX(RUNS!$H$6:$H$1005,MATCH($D1439,RUNS!$A$6:$A$1005,0))="","",INDEX(RUNS!$H$6:$H$1005,MATCH($D1439,RUNS!$A$6:$A$1005,0))),""))</f>
        <v/>
      </c>
      <c r="P1439" s="33">
        <f>IF($D1439="","",IFERROR(IF(INDEX(RUNS!$J$6:$J$1005,MATCH($D1439,RUNS!$A$6:$A$1005,0))="","",INDEX(RUNS!$J$6:$J$1005,MATCH($D1439,RUNS!$A$6:$A$1005,0))),""))</f>
        <v/>
      </c>
      <c r="Q1439" s="33">
        <f>IF($D1439="","",IFERROR(IF(INDEX(RUNS!$K$6:$K$1005,MATCH($D1439,RUNS!$A$6:$A$1005,0))="","",INDEX(RUNS!$K$6:$K$1005,MATCH($D1439,RUNS!$A$6:$A$1005,0))),""))</f>
        <v/>
      </c>
      <c r="R1439" s="34">
        <f>IF(OR($L1439="",$K1439=""),"",IFERROR(IF(INDEX(PARAMETRES!$H$43:$H$342,MATCH($L1439&amp;"|"&amp;$M1439&amp;"|"&amp;$N1439&amp;"|"&amp;$O1439&amp;"|"&amp;$P1439&amp;"|"&amp;$Q1439&amp;"|"&amp;$K1439,PARAMETRES!$J$43:$J$342,0))="","",INDEX(PARAMETRES!$H$43:$H$342,MATCH($L1439&amp;"|"&amp;$M1439&amp;"|"&amp;$N1439&amp;"|"&amp;$O1439&amp;"|"&amp;$P1439&amp;"|"&amp;$Q1439&amp;"|"&amp;$K1439,PARAMETRES!$J$43:$J$342,0))),""))</f>
        <v/>
      </c>
      <c r="S1439" s="35">
        <f>IF(OR($G1439="",$X1439&lt;&gt;"VALIDE"),"",IFERROR(LOOKUP(2,1/(($B539:$B1438=$B1439)*($G539:$G1438=$G1439)*($X539:$X1438="VALIDE")),$C539:$C1438),""))</f>
        <v/>
      </c>
      <c r="T1439" s="36">
        <f>IF(OR($C1439="",$S1439=""),"",ROUND(($C1439-$S1439+IF($C1439&lt;$S1439,1,0))*1440,0))</f>
        <v/>
      </c>
      <c r="U1439" s="22">
        <f>IF(OR($H1439="",$T1439="",$T1439&lt;=0),"",$H1439*60/$T1439)</f>
        <v/>
      </c>
      <c r="V1439" s="37">
        <f>IF(OR($U1439="",$R1439="",$R1439=0),"",$U1439/$R1439)</f>
        <v/>
      </c>
      <c r="W1439" s="20">
        <f>IF($G1439="","",IF($X1439="CONTEXTE INCOMPLET","CONTEXTE INCOMPLET",IF($X1439="DOUBLON",StatutDoublon,IF($S1439="",StatutInitial,IF($R1439="",StatutStandardManquant,IF($V1439="","DONNEES INSUFFISANTES",IF($V1439&gt;=SeuilConforme,StatutConforme,IF($V1439&gt;=SeuilSurveiller,StatutSurveiller,StatutSousStandard))))))))</f>
        <v/>
      </c>
      <c r="X1439" s="33">
        <f>IF($G1439="","",IF(OR($D1439="",$E1439="",$F1439=""),"CONTEXTE INCOMPLET",IF(COUNTIFS($D539:$D1438,$D1439,$E539:$E1438,$E1439,$F539:$F1438,$F1439,$G539:$G1438,$G1439)&gt;0,"DOUBLON","VALIDE")))</f>
        <v/>
      </c>
    </row>
    <row r="1440" ht="15" customHeight="1">
      <c r="A1440" s="12">
        <f>IF(OR($B1440="",$G1440=""),"",TEXT($B1440,"YYYYMMDD")&amp;"-"&amp;SUBSTITUTE($E1440," ","")&amp;"-"&amp;$F1440&amp;"-"&amp;$G1440)</f>
        <v/>
      </c>
      <c r="B1440" s="15" t="n"/>
      <c r="C1440" s="16" t="n"/>
      <c r="D1440" s="10" t="n"/>
      <c r="E1440" s="9" t="n"/>
      <c r="F1440" s="9" t="n"/>
      <c r="G1440" s="13" t="n"/>
      <c r="H1440" s="21" t="n"/>
      <c r="I1440" s="21" t="n"/>
      <c r="J1440" s="17">
        <f>IF($G1440="","",IFERROR(INDEX(NomsEmployes,MATCH($G1440,MatriculesEmployes,0)),"MATRICULE INCONNU"))</f>
        <v/>
      </c>
      <c r="K1440" s="33">
        <f>IF(OR($D1440="",$F1440=""),"",IFERROR(IF(INDEX(RUNS!$L$6:$S$1005,MATCH($D1440,RUNS!$A$6:$A$1005,0),MATCH("ACTIVITÉ "&amp;$F1440,RUNS!$L$5:$S$5,0))="","",INDEX(RUNS!$L$6:$S$1005,MATCH($D1440,RUNS!$A$6:$A$1005,0),MATCH("ACTIVITÉ "&amp;$F1440,RUNS!$L$5:$S$5,0))),""))</f>
        <v/>
      </c>
      <c r="L1440" s="33">
        <f>IF($D1440="","",IFERROR(IF(INDEX(RUNS!$E$6:$E$1005,MATCH($D1440,RUNS!$A$6:$A$1005,0))="","",INDEX(RUNS!$E$6:$E$1005,MATCH($D1440,RUNS!$A$6:$A$1005,0))),""))</f>
        <v/>
      </c>
      <c r="M1440" s="33">
        <f>IF($D1440="","",IFERROR(IF(INDEX(RUNS!$F$6:$F$1005,MATCH($D1440,RUNS!$A$6:$A$1005,0))="","",INDEX(RUNS!$F$6:$F$1005,MATCH($D1440,RUNS!$A$6:$A$1005,0))),""))</f>
        <v/>
      </c>
      <c r="N1440" s="33">
        <f>IF($D1440="","",IFERROR(IF(INDEX(RUNS!$G$6:$G$1005,MATCH($D1440,RUNS!$A$6:$A$1005,0))="","",INDEX(RUNS!$G$6:$G$1005,MATCH($D1440,RUNS!$A$6:$A$1005,0))),""))</f>
        <v/>
      </c>
      <c r="O1440" s="33">
        <f>IF($D1440="","",IFERROR(IF(INDEX(RUNS!$H$6:$H$1005,MATCH($D1440,RUNS!$A$6:$A$1005,0))="","",INDEX(RUNS!$H$6:$H$1005,MATCH($D1440,RUNS!$A$6:$A$1005,0))),""))</f>
        <v/>
      </c>
      <c r="P1440" s="33">
        <f>IF($D1440="","",IFERROR(IF(INDEX(RUNS!$J$6:$J$1005,MATCH($D1440,RUNS!$A$6:$A$1005,0))="","",INDEX(RUNS!$J$6:$J$1005,MATCH($D1440,RUNS!$A$6:$A$1005,0))),""))</f>
        <v/>
      </c>
      <c r="Q1440" s="33">
        <f>IF($D1440="","",IFERROR(IF(INDEX(RUNS!$K$6:$K$1005,MATCH($D1440,RUNS!$A$6:$A$1005,0))="","",INDEX(RUNS!$K$6:$K$1005,MATCH($D1440,RUNS!$A$6:$A$1005,0))),""))</f>
        <v/>
      </c>
      <c r="R1440" s="34">
        <f>IF(OR($L1440="",$K1440=""),"",IFERROR(IF(INDEX(PARAMETRES!$H$43:$H$342,MATCH($L1440&amp;"|"&amp;$M1440&amp;"|"&amp;$N1440&amp;"|"&amp;$O1440&amp;"|"&amp;$P1440&amp;"|"&amp;$Q1440&amp;"|"&amp;$K1440,PARAMETRES!$J$43:$J$342,0))="","",INDEX(PARAMETRES!$H$43:$H$342,MATCH($L1440&amp;"|"&amp;$M1440&amp;"|"&amp;$N1440&amp;"|"&amp;$O1440&amp;"|"&amp;$P1440&amp;"|"&amp;$Q1440&amp;"|"&amp;$K1440,PARAMETRES!$J$43:$J$342,0))),""))</f>
        <v/>
      </c>
      <c r="S1440" s="35">
        <f>IF(OR($G1440="",$X1440&lt;&gt;"VALIDE"),"",IFERROR(LOOKUP(2,1/(($B540:$B1439=$B1440)*($G540:$G1439=$G1440)*($X540:$X1439="VALIDE")),$C540:$C1439),""))</f>
        <v/>
      </c>
      <c r="T1440" s="36">
        <f>IF(OR($C1440="",$S1440=""),"",ROUND(($C1440-$S1440+IF($C1440&lt;$S1440,1,0))*1440,0))</f>
        <v/>
      </c>
      <c r="U1440" s="22">
        <f>IF(OR($H1440="",$T1440="",$T1440&lt;=0),"",$H1440*60/$T1440)</f>
        <v/>
      </c>
      <c r="V1440" s="37">
        <f>IF(OR($U1440="",$R1440="",$R1440=0),"",$U1440/$R1440)</f>
        <v/>
      </c>
      <c r="W1440" s="20">
        <f>IF($G1440="","",IF($X1440="CONTEXTE INCOMPLET","CONTEXTE INCOMPLET",IF($X1440="DOUBLON",StatutDoublon,IF($S1440="",StatutInitial,IF($R1440="",StatutStandardManquant,IF($V1440="","DONNEES INSUFFISANTES",IF($V1440&gt;=SeuilConforme,StatutConforme,IF($V1440&gt;=SeuilSurveiller,StatutSurveiller,StatutSousStandard))))))))</f>
        <v/>
      </c>
      <c r="X1440" s="33">
        <f>IF($G1440="","",IF(OR($D1440="",$E1440="",$F1440=""),"CONTEXTE INCOMPLET",IF(COUNTIFS($D540:$D1439,$D1440,$E540:$E1439,$E1440,$F540:$F1439,$F1440,$G540:$G1439,$G1440)&gt;0,"DOUBLON","VALIDE")))</f>
        <v/>
      </c>
    </row>
    <row r="1441" ht="15" customHeight="1">
      <c r="A1441" s="12">
        <f>IF(OR($B1441="",$G1441=""),"",TEXT($B1441,"YYYYMMDD")&amp;"-"&amp;SUBSTITUTE($E1441," ","")&amp;"-"&amp;$F1441&amp;"-"&amp;$G1441)</f>
        <v/>
      </c>
      <c r="B1441" s="15" t="n"/>
      <c r="C1441" s="16" t="n"/>
      <c r="D1441" s="10" t="n"/>
      <c r="E1441" s="9" t="n"/>
      <c r="F1441" s="9" t="n"/>
      <c r="G1441" s="13" t="n"/>
      <c r="H1441" s="21" t="n"/>
      <c r="I1441" s="21" t="n"/>
      <c r="J1441" s="17">
        <f>IF($G1441="","",IFERROR(INDEX(NomsEmployes,MATCH($G1441,MatriculesEmployes,0)),"MATRICULE INCONNU"))</f>
        <v/>
      </c>
      <c r="K1441" s="33">
        <f>IF(OR($D1441="",$F1441=""),"",IFERROR(IF(INDEX(RUNS!$L$6:$S$1005,MATCH($D1441,RUNS!$A$6:$A$1005,0),MATCH("ACTIVITÉ "&amp;$F1441,RUNS!$L$5:$S$5,0))="","",INDEX(RUNS!$L$6:$S$1005,MATCH($D1441,RUNS!$A$6:$A$1005,0),MATCH("ACTIVITÉ "&amp;$F1441,RUNS!$L$5:$S$5,0))),""))</f>
        <v/>
      </c>
      <c r="L1441" s="33">
        <f>IF($D1441="","",IFERROR(IF(INDEX(RUNS!$E$6:$E$1005,MATCH($D1441,RUNS!$A$6:$A$1005,0))="","",INDEX(RUNS!$E$6:$E$1005,MATCH($D1441,RUNS!$A$6:$A$1005,0))),""))</f>
        <v/>
      </c>
      <c r="M1441" s="33">
        <f>IF($D1441="","",IFERROR(IF(INDEX(RUNS!$F$6:$F$1005,MATCH($D1441,RUNS!$A$6:$A$1005,0))="","",INDEX(RUNS!$F$6:$F$1005,MATCH($D1441,RUNS!$A$6:$A$1005,0))),""))</f>
        <v/>
      </c>
      <c r="N1441" s="33">
        <f>IF($D1441="","",IFERROR(IF(INDEX(RUNS!$G$6:$G$1005,MATCH($D1441,RUNS!$A$6:$A$1005,0))="","",INDEX(RUNS!$G$6:$G$1005,MATCH($D1441,RUNS!$A$6:$A$1005,0))),""))</f>
        <v/>
      </c>
      <c r="O1441" s="33">
        <f>IF($D1441="","",IFERROR(IF(INDEX(RUNS!$H$6:$H$1005,MATCH($D1441,RUNS!$A$6:$A$1005,0))="","",INDEX(RUNS!$H$6:$H$1005,MATCH($D1441,RUNS!$A$6:$A$1005,0))),""))</f>
        <v/>
      </c>
      <c r="P1441" s="33">
        <f>IF($D1441="","",IFERROR(IF(INDEX(RUNS!$J$6:$J$1005,MATCH($D1441,RUNS!$A$6:$A$1005,0))="","",INDEX(RUNS!$J$6:$J$1005,MATCH($D1441,RUNS!$A$6:$A$1005,0))),""))</f>
        <v/>
      </c>
      <c r="Q1441" s="33">
        <f>IF($D1441="","",IFERROR(IF(INDEX(RUNS!$K$6:$K$1005,MATCH($D1441,RUNS!$A$6:$A$1005,0))="","",INDEX(RUNS!$K$6:$K$1005,MATCH($D1441,RUNS!$A$6:$A$1005,0))),""))</f>
        <v/>
      </c>
      <c r="R1441" s="34">
        <f>IF(OR($L1441="",$K1441=""),"",IFERROR(IF(INDEX(PARAMETRES!$H$43:$H$342,MATCH($L1441&amp;"|"&amp;$M1441&amp;"|"&amp;$N1441&amp;"|"&amp;$O1441&amp;"|"&amp;$P1441&amp;"|"&amp;$Q1441&amp;"|"&amp;$K1441,PARAMETRES!$J$43:$J$342,0))="","",INDEX(PARAMETRES!$H$43:$H$342,MATCH($L1441&amp;"|"&amp;$M1441&amp;"|"&amp;$N1441&amp;"|"&amp;$O1441&amp;"|"&amp;$P1441&amp;"|"&amp;$Q1441&amp;"|"&amp;$K1441,PARAMETRES!$J$43:$J$342,0))),""))</f>
        <v/>
      </c>
      <c r="S1441" s="35">
        <f>IF(OR($G1441="",$X1441&lt;&gt;"VALIDE"),"",IFERROR(LOOKUP(2,1/(($B541:$B1440=$B1441)*($G541:$G1440=$G1441)*($X541:$X1440="VALIDE")),$C541:$C1440),""))</f>
        <v/>
      </c>
      <c r="T1441" s="36">
        <f>IF(OR($C1441="",$S1441=""),"",ROUND(($C1441-$S1441+IF($C1441&lt;$S1441,1,0))*1440,0))</f>
        <v/>
      </c>
      <c r="U1441" s="22">
        <f>IF(OR($H1441="",$T1441="",$T1441&lt;=0),"",$H1441*60/$T1441)</f>
        <v/>
      </c>
      <c r="V1441" s="37">
        <f>IF(OR($U1441="",$R1441="",$R1441=0),"",$U1441/$R1441)</f>
        <v/>
      </c>
      <c r="W1441" s="20">
        <f>IF($G1441="","",IF($X1441="CONTEXTE INCOMPLET","CONTEXTE INCOMPLET",IF($X1441="DOUBLON",StatutDoublon,IF($S1441="",StatutInitial,IF($R1441="",StatutStandardManquant,IF($V1441="","DONNEES INSUFFISANTES",IF($V1441&gt;=SeuilConforme,StatutConforme,IF($V1441&gt;=SeuilSurveiller,StatutSurveiller,StatutSousStandard))))))))</f>
        <v/>
      </c>
      <c r="X1441" s="33">
        <f>IF($G1441="","",IF(OR($D1441="",$E1441="",$F1441=""),"CONTEXTE INCOMPLET",IF(COUNTIFS($D541:$D1440,$D1441,$E541:$E1440,$E1441,$F541:$F1440,$F1441,$G541:$G1440,$G1441)&gt;0,"DOUBLON","VALIDE")))</f>
        <v/>
      </c>
    </row>
    <row r="1442" ht="15" customHeight="1">
      <c r="A1442" s="12">
        <f>IF(OR($B1442="",$G1442=""),"",TEXT($B1442,"YYYYMMDD")&amp;"-"&amp;SUBSTITUTE($E1442," ","")&amp;"-"&amp;$F1442&amp;"-"&amp;$G1442)</f>
        <v/>
      </c>
      <c r="B1442" s="15" t="n"/>
      <c r="C1442" s="16" t="n"/>
      <c r="D1442" s="10" t="n"/>
      <c r="E1442" s="9" t="n"/>
      <c r="F1442" s="9" t="n"/>
      <c r="G1442" s="13" t="n"/>
      <c r="H1442" s="21" t="n"/>
      <c r="I1442" s="21" t="n"/>
      <c r="J1442" s="17">
        <f>IF($G1442="","",IFERROR(INDEX(NomsEmployes,MATCH($G1442,MatriculesEmployes,0)),"MATRICULE INCONNU"))</f>
        <v/>
      </c>
      <c r="K1442" s="33">
        <f>IF(OR($D1442="",$F1442=""),"",IFERROR(IF(INDEX(RUNS!$L$6:$S$1005,MATCH($D1442,RUNS!$A$6:$A$1005,0),MATCH("ACTIVITÉ "&amp;$F1442,RUNS!$L$5:$S$5,0))="","",INDEX(RUNS!$L$6:$S$1005,MATCH($D1442,RUNS!$A$6:$A$1005,0),MATCH("ACTIVITÉ "&amp;$F1442,RUNS!$L$5:$S$5,0))),""))</f>
        <v/>
      </c>
      <c r="L1442" s="33">
        <f>IF($D1442="","",IFERROR(IF(INDEX(RUNS!$E$6:$E$1005,MATCH($D1442,RUNS!$A$6:$A$1005,0))="","",INDEX(RUNS!$E$6:$E$1005,MATCH($D1442,RUNS!$A$6:$A$1005,0))),""))</f>
        <v/>
      </c>
      <c r="M1442" s="33">
        <f>IF($D1442="","",IFERROR(IF(INDEX(RUNS!$F$6:$F$1005,MATCH($D1442,RUNS!$A$6:$A$1005,0))="","",INDEX(RUNS!$F$6:$F$1005,MATCH($D1442,RUNS!$A$6:$A$1005,0))),""))</f>
        <v/>
      </c>
      <c r="N1442" s="33">
        <f>IF($D1442="","",IFERROR(IF(INDEX(RUNS!$G$6:$G$1005,MATCH($D1442,RUNS!$A$6:$A$1005,0))="","",INDEX(RUNS!$G$6:$G$1005,MATCH($D1442,RUNS!$A$6:$A$1005,0))),""))</f>
        <v/>
      </c>
      <c r="O1442" s="33">
        <f>IF($D1442="","",IFERROR(IF(INDEX(RUNS!$H$6:$H$1005,MATCH($D1442,RUNS!$A$6:$A$1005,0))="","",INDEX(RUNS!$H$6:$H$1005,MATCH($D1442,RUNS!$A$6:$A$1005,0))),""))</f>
        <v/>
      </c>
      <c r="P1442" s="33">
        <f>IF($D1442="","",IFERROR(IF(INDEX(RUNS!$J$6:$J$1005,MATCH($D1442,RUNS!$A$6:$A$1005,0))="","",INDEX(RUNS!$J$6:$J$1005,MATCH($D1442,RUNS!$A$6:$A$1005,0))),""))</f>
        <v/>
      </c>
      <c r="Q1442" s="33">
        <f>IF($D1442="","",IFERROR(IF(INDEX(RUNS!$K$6:$K$1005,MATCH($D1442,RUNS!$A$6:$A$1005,0))="","",INDEX(RUNS!$K$6:$K$1005,MATCH($D1442,RUNS!$A$6:$A$1005,0))),""))</f>
        <v/>
      </c>
      <c r="R1442" s="34">
        <f>IF(OR($L1442="",$K1442=""),"",IFERROR(IF(INDEX(PARAMETRES!$H$43:$H$342,MATCH($L1442&amp;"|"&amp;$M1442&amp;"|"&amp;$N1442&amp;"|"&amp;$O1442&amp;"|"&amp;$P1442&amp;"|"&amp;$Q1442&amp;"|"&amp;$K1442,PARAMETRES!$J$43:$J$342,0))="","",INDEX(PARAMETRES!$H$43:$H$342,MATCH($L1442&amp;"|"&amp;$M1442&amp;"|"&amp;$N1442&amp;"|"&amp;$O1442&amp;"|"&amp;$P1442&amp;"|"&amp;$Q1442&amp;"|"&amp;$K1442,PARAMETRES!$J$43:$J$342,0))),""))</f>
        <v/>
      </c>
      <c r="S1442" s="35">
        <f>IF(OR($G1442="",$X1442&lt;&gt;"VALIDE"),"",IFERROR(LOOKUP(2,1/(($B542:$B1441=$B1442)*($G542:$G1441=$G1442)*($X542:$X1441="VALIDE")),$C542:$C1441),""))</f>
        <v/>
      </c>
      <c r="T1442" s="36">
        <f>IF(OR($C1442="",$S1442=""),"",ROUND(($C1442-$S1442+IF($C1442&lt;$S1442,1,0))*1440,0))</f>
        <v/>
      </c>
      <c r="U1442" s="22">
        <f>IF(OR($H1442="",$T1442="",$T1442&lt;=0),"",$H1442*60/$T1442)</f>
        <v/>
      </c>
      <c r="V1442" s="37">
        <f>IF(OR($U1442="",$R1442="",$R1442=0),"",$U1442/$R1442)</f>
        <v/>
      </c>
      <c r="W1442" s="20">
        <f>IF($G1442="","",IF($X1442="CONTEXTE INCOMPLET","CONTEXTE INCOMPLET",IF($X1442="DOUBLON",StatutDoublon,IF($S1442="",StatutInitial,IF($R1442="",StatutStandardManquant,IF($V1442="","DONNEES INSUFFISANTES",IF($V1442&gt;=SeuilConforme,StatutConforme,IF($V1442&gt;=SeuilSurveiller,StatutSurveiller,StatutSousStandard))))))))</f>
        <v/>
      </c>
      <c r="X1442" s="33">
        <f>IF($G1442="","",IF(OR($D1442="",$E1442="",$F1442=""),"CONTEXTE INCOMPLET",IF(COUNTIFS($D542:$D1441,$D1442,$E542:$E1441,$E1442,$F542:$F1441,$F1442,$G542:$G1441,$G1442)&gt;0,"DOUBLON","VALIDE")))</f>
        <v/>
      </c>
    </row>
    <row r="1443" ht="15" customHeight="1">
      <c r="A1443" s="12">
        <f>IF(OR($B1443="",$G1443=""),"",TEXT($B1443,"YYYYMMDD")&amp;"-"&amp;SUBSTITUTE($E1443," ","")&amp;"-"&amp;$F1443&amp;"-"&amp;$G1443)</f>
        <v/>
      </c>
      <c r="B1443" s="15" t="n"/>
      <c r="C1443" s="16" t="n"/>
      <c r="D1443" s="10" t="n"/>
      <c r="E1443" s="9" t="n"/>
      <c r="F1443" s="9" t="n"/>
      <c r="G1443" s="13" t="n"/>
      <c r="H1443" s="21" t="n"/>
      <c r="I1443" s="21" t="n"/>
      <c r="J1443" s="17">
        <f>IF($G1443="","",IFERROR(INDEX(NomsEmployes,MATCH($G1443,MatriculesEmployes,0)),"MATRICULE INCONNU"))</f>
        <v/>
      </c>
      <c r="K1443" s="33">
        <f>IF(OR($D1443="",$F1443=""),"",IFERROR(IF(INDEX(RUNS!$L$6:$S$1005,MATCH($D1443,RUNS!$A$6:$A$1005,0),MATCH("ACTIVITÉ "&amp;$F1443,RUNS!$L$5:$S$5,0))="","",INDEX(RUNS!$L$6:$S$1005,MATCH($D1443,RUNS!$A$6:$A$1005,0),MATCH("ACTIVITÉ "&amp;$F1443,RUNS!$L$5:$S$5,0))),""))</f>
        <v/>
      </c>
      <c r="L1443" s="33">
        <f>IF($D1443="","",IFERROR(IF(INDEX(RUNS!$E$6:$E$1005,MATCH($D1443,RUNS!$A$6:$A$1005,0))="","",INDEX(RUNS!$E$6:$E$1005,MATCH($D1443,RUNS!$A$6:$A$1005,0))),""))</f>
        <v/>
      </c>
      <c r="M1443" s="33">
        <f>IF($D1443="","",IFERROR(IF(INDEX(RUNS!$F$6:$F$1005,MATCH($D1443,RUNS!$A$6:$A$1005,0))="","",INDEX(RUNS!$F$6:$F$1005,MATCH($D1443,RUNS!$A$6:$A$1005,0))),""))</f>
        <v/>
      </c>
      <c r="N1443" s="33">
        <f>IF($D1443="","",IFERROR(IF(INDEX(RUNS!$G$6:$G$1005,MATCH($D1443,RUNS!$A$6:$A$1005,0))="","",INDEX(RUNS!$G$6:$G$1005,MATCH($D1443,RUNS!$A$6:$A$1005,0))),""))</f>
        <v/>
      </c>
      <c r="O1443" s="33">
        <f>IF($D1443="","",IFERROR(IF(INDEX(RUNS!$H$6:$H$1005,MATCH($D1443,RUNS!$A$6:$A$1005,0))="","",INDEX(RUNS!$H$6:$H$1005,MATCH($D1443,RUNS!$A$6:$A$1005,0))),""))</f>
        <v/>
      </c>
      <c r="P1443" s="33">
        <f>IF($D1443="","",IFERROR(IF(INDEX(RUNS!$J$6:$J$1005,MATCH($D1443,RUNS!$A$6:$A$1005,0))="","",INDEX(RUNS!$J$6:$J$1005,MATCH($D1443,RUNS!$A$6:$A$1005,0))),""))</f>
        <v/>
      </c>
      <c r="Q1443" s="33">
        <f>IF($D1443="","",IFERROR(IF(INDEX(RUNS!$K$6:$K$1005,MATCH($D1443,RUNS!$A$6:$A$1005,0))="","",INDEX(RUNS!$K$6:$K$1005,MATCH($D1443,RUNS!$A$6:$A$1005,0))),""))</f>
        <v/>
      </c>
      <c r="R1443" s="34">
        <f>IF(OR($L1443="",$K1443=""),"",IFERROR(IF(INDEX(PARAMETRES!$H$43:$H$342,MATCH($L1443&amp;"|"&amp;$M1443&amp;"|"&amp;$N1443&amp;"|"&amp;$O1443&amp;"|"&amp;$P1443&amp;"|"&amp;$Q1443&amp;"|"&amp;$K1443,PARAMETRES!$J$43:$J$342,0))="","",INDEX(PARAMETRES!$H$43:$H$342,MATCH($L1443&amp;"|"&amp;$M1443&amp;"|"&amp;$N1443&amp;"|"&amp;$O1443&amp;"|"&amp;$P1443&amp;"|"&amp;$Q1443&amp;"|"&amp;$K1443,PARAMETRES!$J$43:$J$342,0))),""))</f>
        <v/>
      </c>
      <c r="S1443" s="35">
        <f>IF(OR($G1443="",$X1443&lt;&gt;"VALIDE"),"",IFERROR(LOOKUP(2,1/(($B543:$B1442=$B1443)*($G543:$G1442=$G1443)*($X543:$X1442="VALIDE")),$C543:$C1442),""))</f>
        <v/>
      </c>
      <c r="T1443" s="36">
        <f>IF(OR($C1443="",$S1443=""),"",ROUND(($C1443-$S1443+IF($C1443&lt;$S1443,1,0))*1440,0))</f>
        <v/>
      </c>
      <c r="U1443" s="22">
        <f>IF(OR($H1443="",$T1443="",$T1443&lt;=0),"",$H1443*60/$T1443)</f>
        <v/>
      </c>
      <c r="V1443" s="37">
        <f>IF(OR($U1443="",$R1443="",$R1443=0),"",$U1443/$R1443)</f>
        <v/>
      </c>
      <c r="W1443" s="20">
        <f>IF($G1443="","",IF($X1443="CONTEXTE INCOMPLET","CONTEXTE INCOMPLET",IF($X1443="DOUBLON",StatutDoublon,IF($S1443="",StatutInitial,IF($R1443="",StatutStandardManquant,IF($V1443="","DONNEES INSUFFISANTES",IF($V1443&gt;=SeuilConforme,StatutConforme,IF($V1443&gt;=SeuilSurveiller,StatutSurveiller,StatutSousStandard))))))))</f>
        <v/>
      </c>
      <c r="X1443" s="33">
        <f>IF($G1443="","",IF(OR($D1443="",$E1443="",$F1443=""),"CONTEXTE INCOMPLET",IF(COUNTIFS($D543:$D1442,$D1443,$E543:$E1442,$E1443,$F543:$F1442,$F1443,$G543:$G1442,$G1443)&gt;0,"DOUBLON","VALIDE")))</f>
        <v/>
      </c>
    </row>
    <row r="1444" ht="15" customHeight="1">
      <c r="A1444" s="12">
        <f>IF(OR($B1444="",$G1444=""),"",TEXT($B1444,"YYYYMMDD")&amp;"-"&amp;SUBSTITUTE($E1444," ","")&amp;"-"&amp;$F1444&amp;"-"&amp;$G1444)</f>
        <v/>
      </c>
      <c r="B1444" s="15" t="n"/>
      <c r="C1444" s="16" t="n"/>
      <c r="D1444" s="10" t="n"/>
      <c r="E1444" s="9" t="n"/>
      <c r="F1444" s="9" t="n"/>
      <c r="G1444" s="13" t="n"/>
      <c r="H1444" s="21" t="n"/>
      <c r="I1444" s="21" t="n"/>
      <c r="J1444" s="17">
        <f>IF($G1444="","",IFERROR(INDEX(NomsEmployes,MATCH($G1444,MatriculesEmployes,0)),"MATRICULE INCONNU"))</f>
        <v/>
      </c>
      <c r="K1444" s="33">
        <f>IF(OR($D1444="",$F1444=""),"",IFERROR(IF(INDEX(RUNS!$L$6:$S$1005,MATCH($D1444,RUNS!$A$6:$A$1005,0),MATCH("ACTIVITÉ "&amp;$F1444,RUNS!$L$5:$S$5,0))="","",INDEX(RUNS!$L$6:$S$1005,MATCH($D1444,RUNS!$A$6:$A$1005,0),MATCH("ACTIVITÉ "&amp;$F1444,RUNS!$L$5:$S$5,0))),""))</f>
        <v/>
      </c>
      <c r="L1444" s="33">
        <f>IF($D1444="","",IFERROR(IF(INDEX(RUNS!$E$6:$E$1005,MATCH($D1444,RUNS!$A$6:$A$1005,0))="","",INDEX(RUNS!$E$6:$E$1005,MATCH($D1444,RUNS!$A$6:$A$1005,0))),""))</f>
        <v/>
      </c>
      <c r="M1444" s="33">
        <f>IF($D1444="","",IFERROR(IF(INDEX(RUNS!$F$6:$F$1005,MATCH($D1444,RUNS!$A$6:$A$1005,0))="","",INDEX(RUNS!$F$6:$F$1005,MATCH($D1444,RUNS!$A$6:$A$1005,0))),""))</f>
        <v/>
      </c>
      <c r="N1444" s="33">
        <f>IF($D1444="","",IFERROR(IF(INDEX(RUNS!$G$6:$G$1005,MATCH($D1444,RUNS!$A$6:$A$1005,0))="","",INDEX(RUNS!$G$6:$G$1005,MATCH($D1444,RUNS!$A$6:$A$1005,0))),""))</f>
        <v/>
      </c>
      <c r="O1444" s="33">
        <f>IF($D1444="","",IFERROR(IF(INDEX(RUNS!$H$6:$H$1005,MATCH($D1444,RUNS!$A$6:$A$1005,0))="","",INDEX(RUNS!$H$6:$H$1005,MATCH($D1444,RUNS!$A$6:$A$1005,0))),""))</f>
        <v/>
      </c>
      <c r="P1444" s="33">
        <f>IF($D1444="","",IFERROR(IF(INDEX(RUNS!$J$6:$J$1005,MATCH($D1444,RUNS!$A$6:$A$1005,0))="","",INDEX(RUNS!$J$6:$J$1005,MATCH($D1444,RUNS!$A$6:$A$1005,0))),""))</f>
        <v/>
      </c>
      <c r="Q1444" s="33">
        <f>IF($D1444="","",IFERROR(IF(INDEX(RUNS!$K$6:$K$1005,MATCH($D1444,RUNS!$A$6:$A$1005,0))="","",INDEX(RUNS!$K$6:$K$1005,MATCH($D1444,RUNS!$A$6:$A$1005,0))),""))</f>
        <v/>
      </c>
      <c r="R1444" s="34">
        <f>IF(OR($L1444="",$K1444=""),"",IFERROR(IF(INDEX(PARAMETRES!$H$43:$H$342,MATCH($L1444&amp;"|"&amp;$M1444&amp;"|"&amp;$N1444&amp;"|"&amp;$O1444&amp;"|"&amp;$P1444&amp;"|"&amp;$Q1444&amp;"|"&amp;$K1444,PARAMETRES!$J$43:$J$342,0))="","",INDEX(PARAMETRES!$H$43:$H$342,MATCH($L1444&amp;"|"&amp;$M1444&amp;"|"&amp;$N1444&amp;"|"&amp;$O1444&amp;"|"&amp;$P1444&amp;"|"&amp;$Q1444&amp;"|"&amp;$K1444,PARAMETRES!$J$43:$J$342,0))),""))</f>
        <v/>
      </c>
      <c r="S1444" s="35">
        <f>IF(OR($G1444="",$X1444&lt;&gt;"VALIDE"),"",IFERROR(LOOKUP(2,1/(($B544:$B1443=$B1444)*($G544:$G1443=$G1444)*($X544:$X1443="VALIDE")),$C544:$C1443),""))</f>
        <v/>
      </c>
      <c r="T1444" s="36">
        <f>IF(OR($C1444="",$S1444=""),"",ROUND(($C1444-$S1444+IF($C1444&lt;$S1444,1,0))*1440,0))</f>
        <v/>
      </c>
      <c r="U1444" s="22">
        <f>IF(OR($H1444="",$T1444="",$T1444&lt;=0),"",$H1444*60/$T1444)</f>
        <v/>
      </c>
      <c r="V1444" s="37">
        <f>IF(OR($U1444="",$R1444="",$R1444=0),"",$U1444/$R1444)</f>
        <v/>
      </c>
      <c r="W1444" s="20">
        <f>IF($G1444="","",IF($X1444="CONTEXTE INCOMPLET","CONTEXTE INCOMPLET",IF($X1444="DOUBLON",StatutDoublon,IF($S1444="",StatutInitial,IF($R1444="",StatutStandardManquant,IF($V1444="","DONNEES INSUFFISANTES",IF($V1444&gt;=SeuilConforme,StatutConforme,IF($V1444&gt;=SeuilSurveiller,StatutSurveiller,StatutSousStandard))))))))</f>
        <v/>
      </c>
      <c r="X1444" s="33">
        <f>IF($G1444="","",IF(OR($D1444="",$E1444="",$F1444=""),"CONTEXTE INCOMPLET",IF(COUNTIFS($D544:$D1443,$D1444,$E544:$E1443,$E1444,$F544:$F1443,$F1444,$G544:$G1443,$G1444)&gt;0,"DOUBLON","VALIDE")))</f>
        <v/>
      </c>
    </row>
    <row r="1445" ht="15" customHeight="1">
      <c r="A1445" s="12">
        <f>IF(OR($B1445="",$G1445=""),"",TEXT($B1445,"YYYYMMDD")&amp;"-"&amp;SUBSTITUTE($E1445," ","")&amp;"-"&amp;$F1445&amp;"-"&amp;$G1445)</f>
        <v/>
      </c>
      <c r="B1445" s="15" t="n"/>
      <c r="C1445" s="16" t="n"/>
      <c r="D1445" s="10" t="n"/>
      <c r="E1445" s="9" t="n"/>
      <c r="F1445" s="9" t="n"/>
      <c r="G1445" s="13" t="n"/>
      <c r="H1445" s="21" t="n"/>
      <c r="I1445" s="21" t="n"/>
      <c r="J1445" s="17">
        <f>IF($G1445="","",IFERROR(INDEX(NomsEmployes,MATCH($G1445,MatriculesEmployes,0)),"MATRICULE INCONNU"))</f>
        <v/>
      </c>
      <c r="K1445" s="33">
        <f>IF(OR($D1445="",$F1445=""),"",IFERROR(IF(INDEX(RUNS!$L$6:$S$1005,MATCH($D1445,RUNS!$A$6:$A$1005,0),MATCH("ACTIVITÉ "&amp;$F1445,RUNS!$L$5:$S$5,0))="","",INDEX(RUNS!$L$6:$S$1005,MATCH($D1445,RUNS!$A$6:$A$1005,0),MATCH("ACTIVITÉ "&amp;$F1445,RUNS!$L$5:$S$5,0))),""))</f>
        <v/>
      </c>
      <c r="L1445" s="33">
        <f>IF($D1445="","",IFERROR(IF(INDEX(RUNS!$E$6:$E$1005,MATCH($D1445,RUNS!$A$6:$A$1005,0))="","",INDEX(RUNS!$E$6:$E$1005,MATCH($D1445,RUNS!$A$6:$A$1005,0))),""))</f>
        <v/>
      </c>
      <c r="M1445" s="33">
        <f>IF($D1445="","",IFERROR(IF(INDEX(RUNS!$F$6:$F$1005,MATCH($D1445,RUNS!$A$6:$A$1005,0))="","",INDEX(RUNS!$F$6:$F$1005,MATCH($D1445,RUNS!$A$6:$A$1005,0))),""))</f>
        <v/>
      </c>
      <c r="N1445" s="33">
        <f>IF($D1445="","",IFERROR(IF(INDEX(RUNS!$G$6:$G$1005,MATCH($D1445,RUNS!$A$6:$A$1005,0))="","",INDEX(RUNS!$G$6:$G$1005,MATCH($D1445,RUNS!$A$6:$A$1005,0))),""))</f>
        <v/>
      </c>
      <c r="O1445" s="33">
        <f>IF($D1445="","",IFERROR(IF(INDEX(RUNS!$H$6:$H$1005,MATCH($D1445,RUNS!$A$6:$A$1005,0))="","",INDEX(RUNS!$H$6:$H$1005,MATCH($D1445,RUNS!$A$6:$A$1005,0))),""))</f>
        <v/>
      </c>
      <c r="P1445" s="33">
        <f>IF($D1445="","",IFERROR(IF(INDEX(RUNS!$J$6:$J$1005,MATCH($D1445,RUNS!$A$6:$A$1005,0))="","",INDEX(RUNS!$J$6:$J$1005,MATCH($D1445,RUNS!$A$6:$A$1005,0))),""))</f>
        <v/>
      </c>
      <c r="Q1445" s="33">
        <f>IF($D1445="","",IFERROR(IF(INDEX(RUNS!$K$6:$K$1005,MATCH($D1445,RUNS!$A$6:$A$1005,0))="","",INDEX(RUNS!$K$6:$K$1005,MATCH($D1445,RUNS!$A$6:$A$1005,0))),""))</f>
        <v/>
      </c>
      <c r="R1445" s="34">
        <f>IF(OR($L1445="",$K1445=""),"",IFERROR(IF(INDEX(PARAMETRES!$H$43:$H$342,MATCH($L1445&amp;"|"&amp;$M1445&amp;"|"&amp;$N1445&amp;"|"&amp;$O1445&amp;"|"&amp;$P1445&amp;"|"&amp;$Q1445&amp;"|"&amp;$K1445,PARAMETRES!$J$43:$J$342,0))="","",INDEX(PARAMETRES!$H$43:$H$342,MATCH($L1445&amp;"|"&amp;$M1445&amp;"|"&amp;$N1445&amp;"|"&amp;$O1445&amp;"|"&amp;$P1445&amp;"|"&amp;$Q1445&amp;"|"&amp;$K1445,PARAMETRES!$J$43:$J$342,0))),""))</f>
        <v/>
      </c>
      <c r="S1445" s="35">
        <f>IF(OR($G1445="",$X1445&lt;&gt;"VALIDE"),"",IFERROR(LOOKUP(2,1/(($B545:$B1444=$B1445)*($G545:$G1444=$G1445)*($X545:$X1444="VALIDE")),$C545:$C1444),""))</f>
        <v/>
      </c>
      <c r="T1445" s="36">
        <f>IF(OR($C1445="",$S1445=""),"",ROUND(($C1445-$S1445+IF($C1445&lt;$S1445,1,0))*1440,0))</f>
        <v/>
      </c>
      <c r="U1445" s="22">
        <f>IF(OR($H1445="",$T1445="",$T1445&lt;=0),"",$H1445*60/$T1445)</f>
        <v/>
      </c>
      <c r="V1445" s="37">
        <f>IF(OR($U1445="",$R1445="",$R1445=0),"",$U1445/$R1445)</f>
        <v/>
      </c>
      <c r="W1445" s="20">
        <f>IF($G1445="","",IF($X1445="CONTEXTE INCOMPLET","CONTEXTE INCOMPLET",IF($X1445="DOUBLON",StatutDoublon,IF($S1445="",StatutInitial,IF($R1445="",StatutStandardManquant,IF($V1445="","DONNEES INSUFFISANTES",IF($V1445&gt;=SeuilConforme,StatutConforme,IF($V1445&gt;=SeuilSurveiller,StatutSurveiller,StatutSousStandard))))))))</f>
        <v/>
      </c>
      <c r="X1445" s="33">
        <f>IF($G1445="","",IF(OR($D1445="",$E1445="",$F1445=""),"CONTEXTE INCOMPLET",IF(COUNTIFS($D545:$D1444,$D1445,$E545:$E1444,$E1445,$F545:$F1444,$F1445,$G545:$G1444,$G1445)&gt;0,"DOUBLON","VALIDE")))</f>
        <v/>
      </c>
    </row>
    <row r="1446" ht="15" customHeight="1">
      <c r="A1446" s="12">
        <f>IF(OR($B1446="",$G1446=""),"",TEXT($B1446,"YYYYMMDD")&amp;"-"&amp;SUBSTITUTE($E1446," ","")&amp;"-"&amp;$F1446&amp;"-"&amp;$G1446)</f>
        <v/>
      </c>
      <c r="B1446" s="15" t="n"/>
      <c r="C1446" s="16" t="n"/>
      <c r="D1446" s="10" t="n"/>
      <c r="E1446" s="9" t="n"/>
      <c r="F1446" s="9" t="n"/>
      <c r="G1446" s="13" t="n"/>
      <c r="H1446" s="21" t="n"/>
      <c r="I1446" s="21" t="n"/>
      <c r="J1446" s="17">
        <f>IF($G1446="","",IFERROR(INDEX(NomsEmployes,MATCH($G1446,MatriculesEmployes,0)),"MATRICULE INCONNU"))</f>
        <v/>
      </c>
      <c r="K1446" s="33">
        <f>IF(OR($D1446="",$F1446=""),"",IFERROR(IF(INDEX(RUNS!$L$6:$S$1005,MATCH($D1446,RUNS!$A$6:$A$1005,0),MATCH("ACTIVITÉ "&amp;$F1446,RUNS!$L$5:$S$5,0))="","",INDEX(RUNS!$L$6:$S$1005,MATCH($D1446,RUNS!$A$6:$A$1005,0),MATCH("ACTIVITÉ "&amp;$F1446,RUNS!$L$5:$S$5,0))),""))</f>
        <v/>
      </c>
      <c r="L1446" s="33">
        <f>IF($D1446="","",IFERROR(IF(INDEX(RUNS!$E$6:$E$1005,MATCH($D1446,RUNS!$A$6:$A$1005,0))="","",INDEX(RUNS!$E$6:$E$1005,MATCH($D1446,RUNS!$A$6:$A$1005,0))),""))</f>
        <v/>
      </c>
      <c r="M1446" s="33">
        <f>IF($D1446="","",IFERROR(IF(INDEX(RUNS!$F$6:$F$1005,MATCH($D1446,RUNS!$A$6:$A$1005,0))="","",INDEX(RUNS!$F$6:$F$1005,MATCH($D1446,RUNS!$A$6:$A$1005,0))),""))</f>
        <v/>
      </c>
      <c r="N1446" s="33">
        <f>IF($D1446="","",IFERROR(IF(INDEX(RUNS!$G$6:$G$1005,MATCH($D1446,RUNS!$A$6:$A$1005,0))="","",INDEX(RUNS!$G$6:$G$1005,MATCH($D1446,RUNS!$A$6:$A$1005,0))),""))</f>
        <v/>
      </c>
      <c r="O1446" s="33">
        <f>IF($D1446="","",IFERROR(IF(INDEX(RUNS!$H$6:$H$1005,MATCH($D1446,RUNS!$A$6:$A$1005,0))="","",INDEX(RUNS!$H$6:$H$1005,MATCH($D1446,RUNS!$A$6:$A$1005,0))),""))</f>
        <v/>
      </c>
      <c r="P1446" s="33">
        <f>IF($D1446="","",IFERROR(IF(INDEX(RUNS!$J$6:$J$1005,MATCH($D1446,RUNS!$A$6:$A$1005,0))="","",INDEX(RUNS!$J$6:$J$1005,MATCH($D1446,RUNS!$A$6:$A$1005,0))),""))</f>
        <v/>
      </c>
      <c r="Q1446" s="33">
        <f>IF($D1446="","",IFERROR(IF(INDEX(RUNS!$K$6:$K$1005,MATCH($D1446,RUNS!$A$6:$A$1005,0))="","",INDEX(RUNS!$K$6:$K$1005,MATCH($D1446,RUNS!$A$6:$A$1005,0))),""))</f>
        <v/>
      </c>
      <c r="R1446" s="34">
        <f>IF(OR($L1446="",$K1446=""),"",IFERROR(IF(INDEX(PARAMETRES!$H$43:$H$342,MATCH($L1446&amp;"|"&amp;$M1446&amp;"|"&amp;$N1446&amp;"|"&amp;$O1446&amp;"|"&amp;$P1446&amp;"|"&amp;$Q1446&amp;"|"&amp;$K1446,PARAMETRES!$J$43:$J$342,0))="","",INDEX(PARAMETRES!$H$43:$H$342,MATCH($L1446&amp;"|"&amp;$M1446&amp;"|"&amp;$N1446&amp;"|"&amp;$O1446&amp;"|"&amp;$P1446&amp;"|"&amp;$Q1446&amp;"|"&amp;$K1446,PARAMETRES!$J$43:$J$342,0))),""))</f>
        <v/>
      </c>
      <c r="S1446" s="35">
        <f>IF(OR($G1446="",$X1446&lt;&gt;"VALIDE"),"",IFERROR(LOOKUP(2,1/(($B546:$B1445=$B1446)*($G546:$G1445=$G1446)*($X546:$X1445="VALIDE")),$C546:$C1445),""))</f>
        <v/>
      </c>
      <c r="T1446" s="36">
        <f>IF(OR($C1446="",$S1446=""),"",ROUND(($C1446-$S1446+IF($C1446&lt;$S1446,1,0))*1440,0))</f>
        <v/>
      </c>
      <c r="U1446" s="22">
        <f>IF(OR($H1446="",$T1446="",$T1446&lt;=0),"",$H1446*60/$T1446)</f>
        <v/>
      </c>
      <c r="V1446" s="37">
        <f>IF(OR($U1446="",$R1446="",$R1446=0),"",$U1446/$R1446)</f>
        <v/>
      </c>
      <c r="W1446" s="20">
        <f>IF($G1446="","",IF($X1446="CONTEXTE INCOMPLET","CONTEXTE INCOMPLET",IF($X1446="DOUBLON",StatutDoublon,IF($S1446="",StatutInitial,IF($R1446="",StatutStandardManquant,IF($V1446="","DONNEES INSUFFISANTES",IF($V1446&gt;=SeuilConforme,StatutConforme,IF($V1446&gt;=SeuilSurveiller,StatutSurveiller,StatutSousStandard))))))))</f>
        <v/>
      </c>
      <c r="X1446" s="33">
        <f>IF($G1446="","",IF(OR($D1446="",$E1446="",$F1446=""),"CONTEXTE INCOMPLET",IF(COUNTIFS($D546:$D1445,$D1446,$E546:$E1445,$E1446,$F546:$F1445,$F1446,$G546:$G1445,$G1446)&gt;0,"DOUBLON","VALIDE")))</f>
        <v/>
      </c>
    </row>
    <row r="1447" ht="15" customHeight="1">
      <c r="A1447" s="12">
        <f>IF(OR($B1447="",$G1447=""),"",TEXT($B1447,"YYYYMMDD")&amp;"-"&amp;SUBSTITUTE($E1447," ","")&amp;"-"&amp;$F1447&amp;"-"&amp;$G1447)</f>
        <v/>
      </c>
      <c r="B1447" s="15" t="n"/>
      <c r="C1447" s="16" t="n"/>
      <c r="D1447" s="10" t="n"/>
      <c r="E1447" s="9" t="n"/>
      <c r="F1447" s="9" t="n"/>
      <c r="G1447" s="13" t="n"/>
      <c r="H1447" s="21" t="n"/>
      <c r="I1447" s="21" t="n"/>
      <c r="J1447" s="17">
        <f>IF($G1447="","",IFERROR(INDEX(NomsEmployes,MATCH($G1447,MatriculesEmployes,0)),"MATRICULE INCONNU"))</f>
        <v/>
      </c>
      <c r="K1447" s="33">
        <f>IF(OR($D1447="",$F1447=""),"",IFERROR(IF(INDEX(RUNS!$L$6:$S$1005,MATCH($D1447,RUNS!$A$6:$A$1005,0),MATCH("ACTIVITÉ "&amp;$F1447,RUNS!$L$5:$S$5,0))="","",INDEX(RUNS!$L$6:$S$1005,MATCH($D1447,RUNS!$A$6:$A$1005,0),MATCH("ACTIVITÉ "&amp;$F1447,RUNS!$L$5:$S$5,0))),""))</f>
        <v/>
      </c>
      <c r="L1447" s="33">
        <f>IF($D1447="","",IFERROR(IF(INDEX(RUNS!$E$6:$E$1005,MATCH($D1447,RUNS!$A$6:$A$1005,0))="","",INDEX(RUNS!$E$6:$E$1005,MATCH($D1447,RUNS!$A$6:$A$1005,0))),""))</f>
        <v/>
      </c>
      <c r="M1447" s="33">
        <f>IF($D1447="","",IFERROR(IF(INDEX(RUNS!$F$6:$F$1005,MATCH($D1447,RUNS!$A$6:$A$1005,0))="","",INDEX(RUNS!$F$6:$F$1005,MATCH($D1447,RUNS!$A$6:$A$1005,0))),""))</f>
        <v/>
      </c>
      <c r="N1447" s="33">
        <f>IF($D1447="","",IFERROR(IF(INDEX(RUNS!$G$6:$G$1005,MATCH($D1447,RUNS!$A$6:$A$1005,0))="","",INDEX(RUNS!$G$6:$G$1005,MATCH($D1447,RUNS!$A$6:$A$1005,0))),""))</f>
        <v/>
      </c>
      <c r="O1447" s="33">
        <f>IF($D1447="","",IFERROR(IF(INDEX(RUNS!$H$6:$H$1005,MATCH($D1447,RUNS!$A$6:$A$1005,0))="","",INDEX(RUNS!$H$6:$H$1005,MATCH($D1447,RUNS!$A$6:$A$1005,0))),""))</f>
        <v/>
      </c>
      <c r="P1447" s="33">
        <f>IF($D1447="","",IFERROR(IF(INDEX(RUNS!$J$6:$J$1005,MATCH($D1447,RUNS!$A$6:$A$1005,0))="","",INDEX(RUNS!$J$6:$J$1005,MATCH($D1447,RUNS!$A$6:$A$1005,0))),""))</f>
        <v/>
      </c>
      <c r="Q1447" s="33">
        <f>IF($D1447="","",IFERROR(IF(INDEX(RUNS!$K$6:$K$1005,MATCH($D1447,RUNS!$A$6:$A$1005,0))="","",INDEX(RUNS!$K$6:$K$1005,MATCH($D1447,RUNS!$A$6:$A$1005,0))),""))</f>
        <v/>
      </c>
      <c r="R1447" s="34">
        <f>IF(OR($L1447="",$K1447=""),"",IFERROR(IF(INDEX(PARAMETRES!$H$43:$H$342,MATCH($L1447&amp;"|"&amp;$M1447&amp;"|"&amp;$N1447&amp;"|"&amp;$O1447&amp;"|"&amp;$P1447&amp;"|"&amp;$Q1447&amp;"|"&amp;$K1447,PARAMETRES!$J$43:$J$342,0))="","",INDEX(PARAMETRES!$H$43:$H$342,MATCH($L1447&amp;"|"&amp;$M1447&amp;"|"&amp;$N1447&amp;"|"&amp;$O1447&amp;"|"&amp;$P1447&amp;"|"&amp;$Q1447&amp;"|"&amp;$K1447,PARAMETRES!$J$43:$J$342,0))),""))</f>
        <v/>
      </c>
      <c r="S1447" s="35">
        <f>IF(OR($G1447="",$X1447&lt;&gt;"VALIDE"),"",IFERROR(LOOKUP(2,1/(($B547:$B1446=$B1447)*($G547:$G1446=$G1447)*($X547:$X1446="VALIDE")),$C547:$C1446),""))</f>
        <v/>
      </c>
      <c r="T1447" s="36">
        <f>IF(OR($C1447="",$S1447=""),"",ROUND(($C1447-$S1447+IF($C1447&lt;$S1447,1,0))*1440,0))</f>
        <v/>
      </c>
      <c r="U1447" s="22">
        <f>IF(OR($H1447="",$T1447="",$T1447&lt;=0),"",$H1447*60/$T1447)</f>
        <v/>
      </c>
      <c r="V1447" s="37">
        <f>IF(OR($U1447="",$R1447="",$R1447=0),"",$U1447/$R1447)</f>
        <v/>
      </c>
      <c r="W1447" s="20">
        <f>IF($G1447="","",IF($X1447="CONTEXTE INCOMPLET","CONTEXTE INCOMPLET",IF($X1447="DOUBLON",StatutDoublon,IF($S1447="",StatutInitial,IF($R1447="",StatutStandardManquant,IF($V1447="","DONNEES INSUFFISANTES",IF($V1447&gt;=SeuilConforme,StatutConforme,IF($V1447&gt;=SeuilSurveiller,StatutSurveiller,StatutSousStandard))))))))</f>
        <v/>
      </c>
      <c r="X1447" s="33">
        <f>IF($G1447="","",IF(OR($D1447="",$E1447="",$F1447=""),"CONTEXTE INCOMPLET",IF(COUNTIFS($D547:$D1446,$D1447,$E547:$E1446,$E1447,$F547:$F1446,$F1447,$G547:$G1446,$G1447)&gt;0,"DOUBLON","VALIDE")))</f>
        <v/>
      </c>
    </row>
    <row r="1448" ht="15" customHeight="1">
      <c r="A1448" s="12">
        <f>IF(OR($B1448="",$G1448=""),"",TEXT($B1448,"YYYYMMDD")&amp;"-"&amp;SUBSTITUTE($E1448," ","")&amp;"-"&amp;$F1448&amp;"-"&amp;$G1448)</f>
        <v/>
      </c>
      <c r="B1448" s="15" t="n"/>
      <c r="C1448" s="16" t="n"/>
      <c r="D1448" s="10" t="n"/>
      <c r="E1448" s="9" t="n"/>
      <c r="F1448" s="9" t="n"/>
      <c r="G1448" s="13" t="n"/>
      <c r="H1448" s="21" t="n"/>
      <c r="I1448" s="21" t="n"/>
      <c r="J1448" s="17">
        <f>IF($G1448="","",IFERROR(INDEX(NomsEmployes,MATCH($G1448,MatriculesEmployes,0)),"MATRICULE INCONNU"))</f>
        <v/>
      </c>
      <c r="K1448" s="33">
        <f>IF(OR($D1448="",$F1448=""),"",IFERROR(IF(INDEX(RUNS!$L$6:$S$1005,MATCH($D1448,RUNS!$A$6:$A$1005,0),MATCH("ACTIVITÉ "&amp;$F1448,RUNS!$L$5:$S$5,0))="","",INDEX(RUNS!$L$6:$S$1005,MATCH($D1448,RUNS!$A$6:$A$1005,0),MATCH("ACTIVITÉ "&amp;$F1448,RUNS!$L$5:$S$5,0))),""))</f>
        <v/>
      </c>
      <c r="L1448" s="33">
        <f>IF($D1448="","",IFERROR(IF(INDEX(RUNS!$E$6:$E$1005,MATCH($D1448,RUNS!$A$6:$A$1005,0))="","",INDEX(RUNS!$E$6:$E$1005,MATCH($D1448,RUNS!$A$6:$A$1005,0))),""))</f>
        <v/>
      </c>
      <c r="M1448" s="33">
        <f>IF($D1448="","",IFERROR(IF(INDEX(RUNS!$F$6:$F$1005,MATCH($D1448,RUNS!$A$6:$A$1005,0))="","",INDEX(RUNS!$F$6:$F$1005,MATCH($D1448,RUNS!$A$6:$A$1005,0))),""))</f>
        <v/>
      </c>
      <c r="N1448" s="33">
        <f>IF($D1448="","",IFERROR(IF(INDEX(RUNS!$G$6:$G$1005,MATCH($D1448,RUNS!$A$6:$A$1005,0))="","",INDEX(RUNS!$G$6:$G$1005,MATCH($D1448,RUNS!$A$6:$A$1005,0))),""))</f>
        <v/>
      </c>
      <c r="O1448" s="33">
        <f>IF($D1448="","",IFERROR(IF(INDEX(RUNS!$H$6:$H$1005,MATCH($D1448,RUNS!$A$6:$A$1005,0))="","",INDEX(RUNS!$H$6:$H$1005,MATCH($D1448,RUNS!$A$6:$A$1005,0))),""))</f>
        <v/>
      </c>
      <c r="P1448" s="33">
        <f>IF($D1448="","",IFERROR(IF(INDEX(RUNS!$J$6:$J$1005,MATCH($D1448,RUNS!$A$6:$A$1005,0))="","",INDEX(RUNS!$J$6:$J$1005,MATCH($D1448,RUNS!$A$6:$A$1005,0))),""))</f>
        <v/>
      </c>
      <c r="Q1448" s="33">
        <f>IF($D1448="","",IFERROR(IF(INDEX(RUNS!$K$6:$K$1005,MATCH($D1448,RUNS!$A$6:$A$1005,0))="","",INDEX(RUNS!$K$6:$K$1005,MATCH($D1448,RUNS!$A$6:$A$1005,0))),""))</f>
        <v/>
      </c>
      <c r="R1448" s="34">
        <f>IF(OR($L1448="",$K1448=""),"",IFERROR(IF(INDEX(PARAMETRES!$H$43:$H$342,MATCH($L1448&amp;"|"&amp;$M1448&amp;"|"&amp;$N1448&amp;"|"&amp;$O1448&amp;"|"&amp;$P1448&amp;"|"&amp;$Q1448&amp;"|"&amp;$K1448,PARAMETRES!$J$43:$J$342,0))="","",INDEX(PARAMETRES!$H$43:$H$342,MATCH($L1448&amp;"|"&amp;$M1448&amp;"|"&amp;$N1448&amp;"|"&amp;$O1448&amp;"|"&amp;$P1448&amp;"|"&amp;$Q1448&amp;"|"&amp;$K1448,PARAMETRES!$J$43:$J$342,0))),""))</f>
        <v/>
      </c>
      <c r="S1448" s="35">
        <f>IF(OR($G1448="",$X1448&lt;&gt;"VALIDE"),"",IFERROR(LOOKUP(2,1/(($B548:$B1447=$B1448)*($G548:$G1447=$G1448)*($X548:$X1447="VALIDE")),$C548:$C1447),""))</f>
        <v/>
      </c>
      <c r="T1448" s="36">
        <f>IF(OR($C1448="",$S1448=""),"",ROUND(($C1448-$S1448+IF($C1448&lt;$S1448,1,0))*1440,0))</f>
        <v/>
      </c>
      <c r="U1448" s="22">
        <f>IF(OR($H1448="",$T1448="",$T1448&lt;=0),"",$H1448*60/$T1448)</f>
        <v/>
      </c>
      <c r="V1448" s="37">
        <f>IF(OR($U1448="",$R1448="",$R1448=0),"",$U1448/$R1448)</f>
        <v/>
      </c>
      <c r="W1448" s="20">
        <f>IF($G1448="","",IF($X1448="CONTEXTE INCOMPLET","CONTEXTE INCOMPLET",IF($X1448="DOUBLON",StatutDoublon,IF($S1448="",StatutInitial,IF($R1448="",StatutStandardManquant,IF($V1448="","DONNEES INSUFFISANTES",IF($V1448&gt;=SeuilConforme,StatutConforme,IF($V1448&gt;=SeuilSurveiller,StatutSurveiller,StatutSousStandard))))))))</f>
        <v/>
      </c>
      <c r="X1448" s="33">
        <f>IF($G1448="","",IF(OR($D1448="",$E1448="",$F1448=""),"CONTEXTE INCOMPLET",IF(COUNTIFS($D548:$D1447,$D1448,$E548:$E1447,$E1448,$F548:$F1447,$F1448,$G548:$G1447,$G1448)&gt;0,"DOUBLON","VALIDE")))</f>
        <v/>
      </c>
    </row>
    <row r="1449" ht="15" customHeight="1">
      <c r="A1449" s="12">
        <f>IF(OR($B1449="",$G1449=""),"",TEXT($B1449,"YYYYMMDD")&amp;"-"&amp;SUBSTITUTE($E1449," ","")&amp;"-"&amp;$F1449&amp;"-"&amp;$G1449)</f>
        <v/>
      </c>
      <c r="B1449" s="15" t="n"/>
      <c r="C1449" s="16" t="n"/>
      <c r="D1449" s="10" t="n"/>
      <c r="E1449" s="9" t="n"/>
      <c r="F1449" s="9" t="n"/>
      <c r="G1449" s="13" t="n"/>
      <c r="H1449" s="21" t="n"/>
      <c r="I1449" s="21" t="n"/>
      <c r="J1449" s="17">
        <f>IF($G1449="","",IFERROR(INDEX(NomsEmployes,MATCH($G1449,MatriculesEmployes,0)),"MATRICULE INCONNU"))</f>
        <v/>
      </c>
      <c r="K1449" s="33">
        <f>IF(OR($D1449="",$F1449=""),"",IFERROR(IF(INDEX(RUNS!$L$6:$S$1005,MATCH($D1449,RUNS!$A$6:$A$1005,0),MATCH("ACTIVITÉ "&amp;$F1449,RUNS!$L$5:$S$5,0))="","",INDEX(RUNS!$L$6:$S$1005,MATCH($D1449,RUNS!$A$6:$A$1005,0),MATCH("ACTIVITÉ "&amp;$F1449,RUNS!$L$5:$S$5,0))),""))</f>
        <v/>
      </c>
      <c r="L1449" s="33">
        <f>IF($D1449="","",IFERROR(IF(INDEX(RUNS!$E$6:$E$1005,MATCH($D1449,RUNS!$A$6:$A$1005,0))="","",INDEX(RUNS!$E$6:$E$1005,MATCH($D1449,RUNS!$A$6:$A$1005,0))),""))</f>
        <v/>
      </c>
      <c r="M1449" s="33">
        <f>IF($D1449="","",IFERROR(IF(INDEX(RUNS!$F$6:$F$1005,MATCH($D1449,RUNS!$A$6:$A$1005,0))="","",INDEX(RUNS!$F$6:$F$1005,MATCH($D1449,RUNS!$A$6:$A$1005,0))),""))</f>
        <v/>
      </c>
      <c r="N1449" s="33">
        <f>IF($D1449="","",IFERROR(IF(INDEX(RUNS!$G$6:$G$1005,MATCH($D1449,RUNS!$A$6:$A$1005,0))="","",INDEX(RUNS!$G$6:$G$1005,MATCH($D1449,RUNS!$A$6:$A$1005,0))),""))</f>
        <v/>
      </c>
      <c r="O1449" s="33">
        <f>IF($D1449="","",IFERROR(IF(INDEX(RUNS!$H$6:$H$1005,MATCH($D1449,RUNS!$A$6:$A$1005,0))="","",INDEX(RUNS!$H$6:$H$1005,MATCH($D1449,RUNS!$A$6:$A$1005,0))),""))</f>
        <v/>
      </c>
      <c r="P1449" s="33">
        <f>IF($D1449="","",IFERROR(IF(INDEX(RUNS!$J$6:$J$1005,MATCH($D1449,RUNS!$A$6:$A$1005,0))="","",INDEX(RUNS!$J$6:$J$1005,MATCH($D1449,RUNS!$A$6:$A$1005,0))),""))</f>
        <v/>
      </c>
      <c r="Q1449" s="33">
        <f>IF($D1449="","",IFERROR(IF(INDEX(RUNS!$K$6:$K$1005,MATCH($D1449,RUNS!$A$6:$A$1005,0))="","",INDEX(RUNS!$K$6:$K$1005,MATCH($D1449,RUNS!$A$6:$A$1005,0))),""))</f>
        <v/>
      </c>
      <c r="R1449" s="34">
        <f>IF(OR($L1449="",$K1449=""),"",IFERROR(IF(INDEX(PARAMETRES!$H$43:$H$342,MATCH($L1449&amp;"|"&amp;$M1449&amp;"|"&amp;$N1449&amp;"|"&amp;$O1449&amp;"|"&amp;$P1449&amp;"|"&amp;$Q1449&amp;"|"&amp;$K1449,PARAMETRES!$J$43:$J$342,0))="","",INDEX(PARAMETRES!$H$43:$H$342,MATCH($L1449&amp;"|"&amp;$M1449&amp;"|"&amp;$N1449&amp;"|"&amp;$O1449&amp;"|"&amp;$P1449&amp;"|"&amp;$Q1449&amp;"|"&amp;$K1449,PARAMETRES!$J$43:$J$342,0))),""))</f>
        <v/>
      </c>
      <c r="S1449" s="35">
        <f>IF(OR($G1449="",$X1449&lt;&gt;"VALIDE"),"",IFERROR(LOOKUP(2,1/(($B549:$B1448=$B1449)*($G549:$G1448=$G1449)*($X549:$X1448="VALIDE")),$C549:$C1448),""))</f>
        <v/>
      </c>
      <c r="T1449" s="36">
        <f>IF(OR($C1449="",$S1449=""),"",ROUND(($C1449-$S1449+IF($C1449&lt;$S1449,1,0))*1440,0))</f>
        <v/>
      </c>
      <c r="U1449" s="22">
        <f>IF(OR($H1449="",$T1449="",$T1449&lt;=0),"",$H1449*60/$T1449)</f>
        <v/>
      </c>
      <c r="V1449" s="37">
        <f>IF(OR($U1449="",$R1449="",$R1449=0),"",$U1449/$R1449)</f>
        <v/>
      </c>
      <c r="W1449" s="20">
        <f>IF($G1449="","",IF($X1449="CONTEXTE INCOMPLET","CONTEXTE INCOMPLET",IF($X1449="DOUBLON",StatutDoublon,IF($S1449="",StatutInitial,IF($R1449="",StatutStandardManquant,IF($V1449="","DONNEES INSUFFISANTES",IF($V1449&gt;=SeuilConforme,StatutConforme,IF($V1449&gt;=SeuilSurveiller,StatutSurveiller,StatutSousStandard))))))))</f>
        <v/>
      </c>
      <c r="X1449" s="33">
        <f>IF($G1449="","",IF(OR($D1449="",$E1449="",$F1449=""),"CONTEXTE INCOMPLET",IF(COUNTIFS($D549:$D1448,$D1449,$E549:$E1448,$E1449,$F549:$F1448,$F1449,$G549:$G1448,$G1449)&gt;0,"DOUBLON","VALIDE")))</f>
        <v/>
      </c>
    </row>
    <row r="1450" ht="15" customHeight="1">
      <c r="A1450" s="12">
        <f>IF(OR($B1450="",$G1450=""),"",TEXT($B1450,"YYYYMMDD")&amp;"-"&amp;SUBSTITUTE($E1450," ","")&amp;"-"&amp;$F1450&amp;"-"&amp;$G1450)</f>
        <v/>
      </c>
      <c r="B1450" s="15" t="n"/>
      <c r="C1450" s="16" t="n"/>
      <c r="D1450" s="10" t="n"/>
      <c r="E1450" s="9" t="n"/>
      <c r="F1450" s="9" t="n"/>
      <c r="G1450" s="13" t="n"/>
      <c r="H1450" s="21" t="n"/>
      <c r="I1450" s="21" t="n"/>
      <c r="J1450" s="17">
        <f>IF($G1450="","",IFERROR(INDEX(NomsEmployes,MATCH($G1450,MatriculesEmployes,0)),"MATRICULE INCONNU"))</f>
        <v/>
      </c>
      <c r="K1450" s="33">
        <f>IF(OR($D1450="",$F1450=""),"",IFERROR(IF(INDEX(RUNS!$L$6:$S$1005,MATCH($D1450,RUNS!$A$6:$A$1005,0),MATCH("ACTIVITÉ "&amp;$F1450,RUNS!$L$5:$S$5,0))="","",INDEX(RUNS!$L$6:$S$1005,MATCH($D1450,RUNS!$A$6:$A$1005,0),MATCH("ACTIVITÉ "&amp;$F1450,RUNS!$L$5:$S$5,0))),""))</f>
        <v/>
      </c>
      <c r="L1450" s="33">
        <f>IF($D1450="","",IFERROR(IF(INDEX(RUNS!$E$6:$E$1005,MATCH($D1450,RUNS!$A$6:$A$1005,0))="","",INDEX(RUNS!$E$6:$E$1005,MATCH($D1450,RUNS!$A$6:$A$1005,0))),""))</f>
        <v/>
      </c>
      <c r="M1450" s="33">
        <f>IF($D1450="","",IFERROR(IF(INDEX(RUNS!$F$6:$F$1005,MATCH($D1450,RUNS!$A$6:$A$1005,0))="","",INDEX(RUNS!$F$6:$F$1005,MATCH($D1450,RUNS!$A$6:$A$1005,0))),""))</f>
        <v/>
      </c>
      <c r="N1450" s="33">
        <f>IF($D1450="","",IFERROR(IF(INDEX(RUNS!$G$6:$G$1005,MATCH($D1450,RUNS!$A$6:$A$1005,0))="","",INDEX(RUNS!$G$6:$G$1005,MATCH($D1450,RUNS!$A$6:$A$1005,0))),""))</f>
        <v/>
      </c>
      <c r="O1450" s="33">
        <f>IF($D1450="","",IFERROR(IF(INDEX(RUNS!$H$6:$H$1005,MATCH($D1450,RUNS!$A$6:$A$1005,0))="","",INDEX(RUNS!$H$6:$H$1005,MATCH($D1450,RUNS!$A$6:$A$1005,0))),""))</f>
        <v/>
      </c>
      <c r="P1450" s="33">
        <f>IF($D1450="","",IFERROR(IF(INDEX(RUNS!$J$6:$J$1005,MATCH($D1450,RUNS!$A$6:$A$1005,0))="","",INDEX(RUNS!$J$6:$J$1005,MATCH($D1450,RUNS!$A$6:$A$1005,0))),""))</f>
        <v/>
      </c>
      <c r="Q1450" s="33">
        <f>IF($D1450="","",IFERROR(IF(INDEX(RUNS!$K$6:$K$1005,MATCH($D1450,RUNS!$A$6:$A$1005,0))="","",INDEX(RUNS!$K$6:$K$1005,MATCH($D1450,RUNS!$A$6:$A$1005,0))),""))</f>
        <v/>
      </c>
      <c r="R1450" s="34">
        <f>IF(OR($L1450="",$K1450=""),"",IFERROR(IF(INDEX(PARAMETRES!$H$43:$H$342,MATCH($L1450&amp;"|"&amp;$M1450&amp;"|"&amp;$N1450&amp;"|"&amp;$O1450&amp;"|"&amp;$P1450&amp;"|"&amp;$Q1450&amp;"|"&amp;$K1450,PARAMETRES!$J$43:$J$342,0))="","",INDEX(PARAMETRES!$H$43:$H$342,MATCH($L1450&amp;"|"&amp;$M1450&amp;"|"&amp;$N1450&amp;"|"&amp;$O1450&amp;"|"&amp;$P1450&amp;"|"&amp;$Q1450&amp;"|"&amp;$K1450,PARAMETRES!$J$43:$J$342,0))),""))</f>
        <v/>
      </c>
      <c r="S1450" s="35">
        <f>IF(OR($G1450="",$X1450&lt;&gt;"VALIDE"),"",IFERROR(LOOKUP(2,1/(($B550:$B1449=$B1450)*($G550:$G1449=$G1450)*($X550:$X1449="VALIDE")),$C550:$C1449),""))</f>
        <v/>
      </c>
      <c r="T1450" s="36">
        <f>IF(OR($C1450="",$S1450=""),"",ROUND(($C1450-$S1450+IF($C1450&lt;$S1450,1,0))*1440,0))</f>
        <v/>
      </c>
      <c r="U1450" s="22">
        <f>IF(OR($H1450="",$T1450="",$T1450&lt;=0),"",$H1450*60/$T1450)</f>
        <v/>
      </c>
      <c r="V1450" s="37">
        <f>IF(OR($U1450="",$R1450="",$R1450=0),"",$U1450/$R1450)</f>
        <v/>
      </c>
      <c r="W1450" s="20">
        <f>IF($G1450="","",IF($X1450="CONTEXTE INCOMPLET","CONTEXTE INCOMPLET",IF($X1450="DOUBLON",StatutDoublon,IF($S1450="",StatutInitial,IF($R1450="",StatutStandardManquant,IF($V1450="","DONNEES INSUFFISANTES",IF($V1450&gt;=SeuilConforme,StatutConforme,IF($V1450&gt;=SeuilSurveiller,StatutSurveiller,StatutSousStandard))))))))</f>
        <v/>
      </c>
      <c r="X1450" s="33">
        <f>IF($G1450="","",IF(OR($D1450="",$E1450="",$F1450=""),"CONTEXTE INCOMPLET",IF(COUNTIFS($D550:$D1449,$D1450,$E550:$E1449,$E1450,$F550:$F1449,$F1450,$G550:$G1449,$G1450)&gt;0,"DOUBLON","VALIDE")))</f>
        <v/>
      </c>
    </row>
    <row r="1451" ht="15" customHeight="1">
      <c r="A1451" s="12">
        <f>IF(OR($B1451="",$G1451=""),"",TEXT($B1451,"YYYYMMDD")&amp;"-"&amp;SUBSTITUTE($E1451," ","")&amp;"-"&amp;$F1451&amp;"-"&amp;$G1451)</f>
        <v/>
      </c>
      <c r="B1451" s="15" t="n"/>
      <c r="C1451" s="16" t="n"/>
      <c r="D1451" s="10" t="n"/>
      <c r="E1451" s="9" t="n"/>
      <c r="F1451" s="9" t="n"/>
      <c r="G1451" s="13" t="n"/>
      <c r="H1451" s="21" t="n"/>
      <c r="I1451" s="21" t="n"/>
      <c r="J1451" s="17">
        <f>IF($G1451="","",IFERROR(INDEX(NomsEmployes,MATCH($G1451,MatriculesEmployes,0)),"MATRICULE INCONNU"))</f>
        <v/>
      </c>
      <c r="K1451" s="33">
        <f>IF(OR($D1451="",$F1451=""),"",IFERROR(IF(INDEX(RUNS!$L$6:$S$1005,MATCH($D1451,RUNS!$A$6:$A$1005,0),MATCH("ACTIVITÉ "&amp;$F1451,RUNS!$L$5:$S$5,0))="","",INDEX(RUNS!$L$6:$S$1005,MATCH($D1451,RUNS!$A$6:$A$1005,0),MATCH("ACTIVITÉ "&amp;$F1451,RUNS!$L$5:$S$5,0))),""))</f>
        <v/>
      </c>
      <c r="L1451" s="33">
        <f>IF($D1451="","",IFERROR(IF(INDEX(RUNS!$E$6:$E$1005,MATCH($D1451,RUNS!$A$6:$A$1005,0))="","",INDEX(RUNS!$E$6:$E$1005,MATCH($D1451,RUNS!$A$6:$A$1005,0))),""))</f>
        <v/>
      </c>
      <c r="M1451" s="33">
        <f>IF($D1451="","",IFERROR(IF(INDEX(RUNS!$F$6:$F$1005,MATCH($D1451,RUNS!$A$6:$A$1005,0))="","",INDEX(RUNS!$F$6:$F$1005,MATCH($D1451,RUNS!$A$6:$A$1005,0))),""))</f>
        <v/>
      </c>
      <c r="N1451" s="33">
        <f>IF($D1451="","",IFERROR(IF(INDEX(RUNS!$G$6:$G$1005,MATCH($D1451,RUNS!$A$6:$A$1005,0))="","",INDEX(RUNS!$G$6:$G$1005,MATCH($D1451,RUNS!$A$6:$A$1005,0))),""))</f>
        <v/>
      </c>
      <c r="O1451" s="33">
        <f>IF($D1451="","",IFERROR(IF(INDEX(RUNS!$H$6:$H$1005,MATCH($D1451,RUNS!$A$6:$A$1005,0))="","",INDEX(RUNS!$H$6:$H$1005,MATCH($D1451,RUNS!$A$6:$A$1005,0))),""))</f>
        <v/>
      </c>
      <c r="P1451" s="33">
        <f>IF($D1451="","",IFERROR(IF(INDEX(RUNS!$J$6:$J$1005,MATCH($D1451,RUNS!$A$6:$A$1005,0))="","",INDEX(RUNS!$J$6:$J$1005,MATCH($D1451,RUNS!$A$6:$A$1005,0))),""))</f>
        <v/>
      </c>
      <c r="Q1451" s="33">
        <f>IF($D1451="","",IFERROR(IF(INDEX(RUNS!$K$6:$K$1005,MATCH($D1451,RUNS!$A$6:$A$1005,0))="","",INDEX(RUNS!$K$6:$K$1005,MATCH($D1451,RUNS!$A$6:$A$1005,0))),""))</f>
        <v/>
      </c>
      <c r="R1451" s="34">
        <f>IF(OR($L1451="",$K1451=""),"",IFERROR(IF(INDEX(PARAMETRES!$H$43:$H$342,MATCH($L1451&amp;"|"&amp;$M1451&amp;"|"&amp;$N1451&amp;"|"&amp;$O1451&amp;"|"&amp;$P1451&amp;"|"&amp;$Q1451&amp;"|"&amp;$K1451,PARAMETRES!$J$43:$J$342,0))="","",INDEX(PARAMETRES!$H$43:$H$342,MATCH($L1451&amp;"|"&amp;$M1451&amp;"|"&amp;$N1451&amp;"|"&amp;$O1451&amp;"|"&amp;$P1451&amp;"|"&amp;$Q1451&amp;"|"&amp;$K1451,PARAMETRES!$J$43:$J$342,0))),""))</f>
        <v/>
      </c>
      <c r="S1451" s="35">
        <f>IF(OR($G1451="",$X1451&lt;&gt;"VALIDE"),"",IFERROR(LOOKUP(2,1/(($B551:$B1450=$B1451)*($G551:$G1450=$G1451)*($X551:$X1450="VALIDE")),$C551:$C1450),""))</f>
        <v/>
      </c>
      <c r="T1451" s="36">
        <f>IF(OR($C1451="",$S1451=""),"",ROUND(($C1451-$S1451+IF($C1451&lt;$S1451,1,0))*1440,0))</f>
        <v/>
      </c>
      <c r="U1451" s="22">
        <f>IF(OR($H1451="",$T1451="",$T1451&lt;=0),"",$H1451*60/$T1451)</f>
        <v/>
      </c>
      <c r="V1451" s="37">
        <f>IF(OR($U1451="",$R1451="",$R1451=0),"",$U1451/$R1451)</f>
        <v/>
      </c>
      <c r="W1451" s="20">
        <f>IF($G1451="","",IF($X1451="CONTEXTE INCOMPLET","CONTEXTE INCOMPLET",IF($X1451="DOUBLON",StatutDoublon,IF($S1451="",StatutInitial,IF($R1451="",StatutStandardManquant,IF($V1451="","DONNEES INSUFFISANTES",IF($V1451&gt;=SeuilConforme,StatutConforme,IF($V1451&gt;=SeuilSurveiller,StatutSurveiller,StatutSousStandard))))))))</f>
        <v/>
      </c>
      <c r="X1451" s="33">
        <f>IF($G1451="","",IF(OR($D1451="",$E1451="",$F1451=""),"CONTEXTE INCOMPLET",IF(COUNTIFS($D551:$D1450,$D1451,$E551:$E1450,$E1451,$F551:$F1450,$F1451,$G551:$G1450,$G1451)&gt;0,"DOUBLON","VALIDE")))</f>
        <v/>
      </c>
    </row>
    <row r="1452" ht="15" customHeight="1">
      <c r="A1452" s="12">
        <f>IF(OR($B1452="",$G1452=""),"",TEXT($B1452,"YYYYMMDD")&amp;"-"&amp;SUBSTITUTE($E1452," ","")&amp;"-"&amp;$F1452&amp;"-"&amp;$G1452)</f>
        <v/>
      </c>
      <c r="B1452" s="15" t="n"/>
      <c r="C1452" s="16" t="n"/>
      <c r="D1452" s="10" t="n"/>
      <c r="E1452" s="9" t="n"/>
      <c r="F1452" s="9" t="n"/>
      <c r="G1452" s="13" t="n"/>
      <c r="H1452" s="21" t="n"/>
      <c r="I1452" s="21" t="n"/>
      <c r="J1452" s="17">
        <f>IF($G1452="","",IFERROR(INDEX(NomsEmployes,MATCH($G1452,MatriculesEmployes,0)),"MATRICULE INCONNU"))</f>
        <v/>
      </c>
      <c r="K1452" s="33">
        <f>IF(OR($D1452="",$F1452=""),"",IFERROR(IF(INDEX(RUNS!$L$6:$S$1005,MATCH($D1452,RUNS!$A$6:$A$1005,0),MATCH("ACTIVITÉ "&amp;$F1452,RUNS!$L$5:$S$5,0))="","",INDEX(RUNS!$L$6:$S$1005,MATCH($D1452,RUNS!$A$6:$A$1005,0),MATCH("ACTIVITÉ "&amp;$F1452,RUNS!$L$5:$S$5,0))),""))</f>
        <v/>
      </c>
      <c r="L1452" s="33">
        <f>IF($D1452="","",IFERROR(IF(INDEX(RUNS!$E$6:$E$1005,MATCH($D1452,RUNS!$A$6:$A$1005,0))="","",INDEX(RUNS!$E$6:$E$1005,MATCH($D1452,RUNS!$A$6:$A$1005,0))),""))</f>
        <v/>
      </c>
      <c r="M1452" s="33">
        <f>IF($D1452="","",IFERROR(IF(INDEX(RUNS!$F$6:$F$1005,MATCH($D1452,RUNS!$A$6:$A$1005,0))="","",INDEX(RUNS!$F$6:$F$1005,MATCH($D1452,RUNS!$A$6:$A$1005,0))),""))</f>
        <v/>
      </c>
      <c r="N1452" s="33">
        <f>IF($D1452="","",IFERROR(IF(INDEX(RUNS!$G$6:$G$1005,MATCH($D1452,RUNS!$A$6:$A$1005,0))="","",INDEX(RUNS!$G$6:$G$1005,MATCH($D1452,RUNS!$A$6:$A$1005,0))),""))</f>
        <v/>
      </c>
      <c r="O1452" s="33">
        <f>IF($D1452="","",IFERROR(IF(INDEX(RUNS!$H$6:$H$1005,MATCH($D1452,RUNS!$A$6:$A$1005,0))="","",INDEX(RUNS!$H$6:$H$1005,MATCH($D1452,RUNS!$A$6:$A$1005,0))),""))</f>
        <v/>
      </c>
      <c r="P1452" s="33">
        <f>IF($D1452="","",IFERROR(IF(INDEX(RUNS!$J$6:$J$1005,MATCH($D1452,RUNS!$A$6:$A$1005,0))="","",INDEX(RUNS!$J$6:$J$1005,MATCH($D1452,RUNS!$A$6:$A$1005,0))),""))</f>
        <v/>
      </c>
      <c r="Q1452" s="33">
        <f>IF($D1452="","",IFERROR(IF(INDEX(RUNS!$K$6:$K$1005,MATCH($D1452,RUNS!$A$6:$A$1005,0))="","",INDEX(RUNS!$K$6:$K$1005,MATCH($D1452,RUNS!$A$6:$A$1005,0))),""))</f>
        <v/>
      </c>
      <c r="R1452" s="34">
        <f>IF(OR($L1452="",$K1452=""),"",IFERROR(IF(INDEX(PARAMETRES!$H$43:$H$342,MATCH($L1452&amp;"|"&amp;$M1452&amp;"|"&amp;$N1452&amp;"|"&amp;$O1452&amp;"|"&amp;$P1452&amp;"|"&amp;$Q1452&amp;"|"&amp;$K1452,PARAMETRES!$J$43:$J$342,0))="","",INDEX(PARAMETRES!$H$43:$H$342,MATCH($L1452&amp;"|"&amp;$M1452&amp;"|"&amp;$N1452&amp;"|"&amp;$O1452&amp;"|"&amp;$P1452&amp;"|"&amp;$Q1452&amp;"|"&amp;$K1452,PARAMETRES!$J$43:$J$342,0))),""))</f>
        <v/>
      </c>
      <c r="S1452" s="35">
        <f>IF(OR($G1452="",$X1452&lt;&gt;"VALIDE"),"",IFERROR(LOOKUP(2,1/(($B552:$B1451=$B1452)*($G552:$G1451=$G1452)*($X552:$X1451="VALIDE")),$C552:$C1451),""))</f>
        <v/>
      </c>
      <c r="T1452" s="36">
        <f>IF(OR($C1452="",$S1452=""),"",ROUND(($C1452-$S1452+IF($C1452&lt;$S1452,1,0))*1440,0))</f>
        <v/>
      </c>
      <c r="U1452" s="22">
        <f>IF(OR($H1452="",$T1452="",$T1452&lt;=0),"",$H1452*60/$T1452)</f>
        <v/>
      </c>
      <c r="V1452" s="37">
        <f>IF(OR($U1452="",$R1452="",$R1452=0),"",$U1452/$R1452)</f>
        <v/>
      </c>
      <c r="W1452" s="20">
        <f>IF($G1452="","",IF($X1452="CONTEXTE INCOMPLET","CONTEXTE INCOMPLET",IF($X1452="DOUBLON",StatutDoublon,IF($S1452="",StatutInitial,IF($R1452="",StatutStandardManquant,IF($V1452="","DONNEES INSUFFISANTES",IF($V1452&gt;=SeuilConforme,StatutConforme,IF($V1452&gt;=SeuilSurveiller,StatutSurveiller,StatutSousStandard))))))))</f>
        <v/>
      </c>
      <c r="X1452" s="33">
        <f>IF($G1452="","",IF(OR($D1452="",$E1452="",$F1452=""),"CONTEXTE INCOMPLET",IF(COUNTIFS($D552:$D1451,$D1452,$E552:$E1451,$E1452,$F552:$F1451,$F1452,$G552:$G1451,$G1452)&gt;0,"DOUBLON","VALIDE")))</f>
        <v/>
      </c>
    </row>
    <row r="1453" ht="15" customHeight="1">
      <c r="A1453" s="12">
        <f>IF(OR($B1453="",$G1453=""),"",TEXT($B1453,"YYYYMMDD")&amp;"-"&amp;SUBSTITUTE($E1453," ","")&amp;"-"&amp;$F1453&amp;"-"&amp;$G1453)</f>
        <v/>
      </c>
      <c r="B1453" s="15" t="n"/>
      <c r="C1453" s="16" t="n"/>
      <c r="D1453" s="10" t="n"/>
      <c r="E1453" s="9" t="n"/>
      <c r="F1453" s="9" t="n"/>
      <c r="G1453" s="13" t="n"/>
      <c r="H1453" s="21" t="n"/>
      <c r="I1453" s="21" t="n"/>
      <c r="J1453" s="17">
        <f>IF($G1453="","",IFERROR(INDEX(NomsEmployes,MATCH($G1453,MatriculesEmployes,0)),"MATRICULE INCONNU"))</f>
        <v/>
      </c>
      <c r="K1453" s="33">
        <f>IF(OR($D1453="",$F1453=""),"",IFERROR(IF(INDEX(RUNS!$L$6:$S$1005,MATCH($D1453,RUNS!$A$6:$A$1005,0),MATCH("ACTIVITÉ "&amp;$F1453,RUNS!$L$5:$S$5,0))="","",INDEX(RUNS!$L$6:$S$1005,MATCH($D1453,RUNS!$A$6:$A$1005,0),MATCH("ACTIVITÉ "&amp;$F1453,RUNS!$L$5:$S$5,0))),""))</f>
        <v/>
      </c>
      <c r="L1453" s="33">
        <f>IF($D1453="","",IFERROR(IF(INDEX(RUNS!$E$6:$E$1005,MATCH($D1453,RUNS!$A$6:$A$1005,0))="","",INDEX(RUNS!$E$6:$E$1005,MATCH($D1453,RUNS!$A$6:$A$1005,0))),""))</f>
        <v/>
      </c>
      <c r="M1453" s="33">
        <f>IF($D1453="","",IFERROR(IF(INDEX(RUNS!$F$6:$F$1005,MATCH($D1453,RUNS!$A$6:$A$1005,0))="","",INDEX(RUNS!$F$6:$F$1005,MATCH($D1453,RUNS!$A$6:$A$1005,0))),""))</f>
        <v/>
      </c>
      <c r="N1453" s="33">
        <f>IF($D1453="","",IFERROR(IF(INDEX(RUNS!$G$6:$G$1005,MATCH($D1453,RUNS!$A$6:$A$1005,0))="","",INDEX(RUNS!$G$6:$G$1005,MATCH($D1453,RUNS!$A$6:$A$1005,0))),""))</f>
        <v/>
      </c>
      <c r="O1453" s="33">
        <f>IF($D1453="","",IFERROR(IF(INDEX(RUNS!$H$6:$H$1005,MATCH($D1453,RUNS!$A$6:$A$1005,0))="","",INDEX(RUNS!$H$6:$H$1005,MATCH($D1453,RUNS!$A$6:$A$1005,0))),""))</f>
        <v/>
      </c>
      <c r="P1453" s="33">
        <f>IF($D1453="","",IFERROR(IF(INDEX(RUNS!$J$6:$J$1005,MATCH($D1453,RUNS!$A$6:$A$1005,0))="","",INDEX(RUNS!$J$6:$J$1005,MATCH($D1453,RUNS!$A$6:$A$1005,0))),""))</f>
        <v/>
      </c>
      <c r="Q1453" s="33">
        <f>IF($D1453="","",IFERROR(IF(INDEX(RUNS!$K$6:$K$1005,MATCH($D1453,RUNS!$A$6:$A$1005,0))="","",INDEX(RUNS!$K$6:$K$1005,MATCH($D1453,RUNS!$A$6:$A$1005,0))),""))</f>
        <v/>
      </c>
      <c r="R1453" s="34">
        <f>IF(OR($L1453="",$K1453=""),"",IFERROR(IF(INDEX(PARAMETRES!$H$43:$H$342,MATCH($L1453&amp;"|"&amp;$M1453&amp;"|"&amp;$N1453&amp;"|"&amp;$O1453&amp;"|"&amp;$P1453&amp;"|"&amp;$Q1453&amp;"|"&amp;$K1453,PARAMETRES!$J$43:$J$342,0))="","",INDEX(PARAMETRES!$H$43:$H$342,MATCH($L1453&amp;"|"&amp;$M1453&amp;"|"&amp;$N1453&amp;"|"&amp;$O1453&amp;"|"&amp;$P1453&amp;"|"&amp;$Q1453&amp;"|"&amp;$K1453,PARAMETRES!$J$43:$J$342,0))),""))</f>
        <v/>
      </c>
      <c r="S1453" s="35">
        <f>IF(OR($G1453="",$X1453&lt;&gt;"VALIDE"),"",IFERROR(LOOKUP(2,1/(($B553:$B1452=$B1453)*($G553:$G1452=$G1453)*($X553:$X1452="VALIDE")),$C553:$C1452),""))</f>
        <v/>
      </c>
      <c r="T1453" s="36">
        <f>IF(OR($C1453="",$S1453=""),"",ROUND(($C1453-$S1453+IF($C1453&lt;$S1453,1,0))*1440,0))</f>
        <v/>
      </c>
      <c r="U1453" s="22">
        <f>IF(OR($H1453="",$T1453="",$T1453&lt;=0),"",$H1453*60/$T1453)</f>
        <v/>
      </c>
      <c r="V1453" s="37">
        <f>IF(OR($U1453="",$R1453="",$R1453=0),"",$U1453/$R1453)</f>
        <v/>
      </c>
      <c r="W1453" s="20">
        <f>IF($G1453="","",IF($X1453="CONTEXTE INCOMPLET","CONTEXTE INCOMPLET",IF($X1453="DOUBLON",StatutDoublon,IF($S1453="",StatutInitial,IF($R1453="",StatutStandardManquant,IF($V1453="","DONNEES INSUFFISANTES",IF($V1453&gt;=SeuilConforme,StatutConforme,IF($V1453&gt;=SeuilSurveiller,StatutSurveiller,StatutSousStandard))))))))</f>
        <v/>
      </c>
      <c r="X1453" s="33">
        <f>IF($G1453="","",IF(OR($D1453="",$E1453="",$F1453=""),"CONTEXTE INCOMPLET",IF(COUNTIFS($D553:$D1452,$D1453,$E553:$E1452,$E1453,$F553:$F1452,$F1453,$G553:$G1452,$G1453)&gt;0,"DOUBLON","VALIDE")))</f>
        <v/>
      </c>
    </row>
    <row r="1454" ht="15" customHeight="1">
      <c r="A1454" s="12">
        <f>IF(OR($B1454="",$G1454=""),"",TEXT($B1454,"YYYYMMDD")&amp;"-"&amp;SUBSTITUTE($E1454," ","")&amp;"-"&amp;$F1454&amp;"-"&amp;$G1454)</f>
        <v/>
      </c>
      <c r="B1454" s="15" t="n"/>
      <c r="C1454" s="16" t="n"/>
      <c r="D1454" s="10" t="n"/>
      <c r="E1454" s="9" t="n"/>
      <c r="F1454" s="9" t="n"/>
      <c r="G1454" s="13" t="n"/>
      <c r="H1454" s="21" t="n"/>
      <c r="I1454" s="21" t="n"/>
      <c r="J1454" s="17">
        <f>IF($G1454="","",IFERROR(INDEX(NomsEmployes,MATCH($G1454,MatriculesEmployes,0)),"MATRICULE INCONNU"))</f>
        <v/>
      </c>
      <c r="K1454" s="33">
        <f>IF(OR($D1454="",$F1454=""),"",IFERROR(IF(INDEX(RUNS!$L$6:$S$1005,MATCH($D1454,RUNS!$A$6:$A$1005,0),MATCH("ACTIVITÉ "&amp;$F1454,RUNS!$L$5:$S$5,0))="","",INDEX(RUNS!$L$6:$S$1005,MATCH($D1454,RUNS!$A$6:$A$1005,0),MATCH("ACTIVITÉ "&amp;$F1454,RUNS!$L$5:$S$5,0))),""))</f>
        <v/>
      </c>
      <c r="L1454" s="33">
        <f>IF($D1454="","",IFERROR(IF(INDEX(RUNS!$E$6:$E$1005,MATCH($D1454,RUNS!$A$6:$A$1005,0))="","",INDEX(RUNS!$E$6:$E$1005,MATCH($D1454,RUNS!$A$6:$A$1005,0))),""))</f>
        <v/>
      </c>
      <c r="M1454" s="33">
        <f>IF($D1454="","",IFERROR(IF(INDEX(RUNS!$F$6:$F$1005,MATCH($D1454,RUNS!$A$6:$A$1005,0))="","",INDEX(RUNS!$F$6:$F$1005,MATCH($D1454,RUNS!$A$6:$A$1005,0))),""))</f>
        <v/>
      </c>
      <c r="N1454" s="33">
        <f>IF($D1454="","",IFERROR(IF(INDEX(RUNS!$G$6:$G$1005,MATCH($D1454,RUNS!$A$6:$A$1005,0))="","",INDEX(RUNS!$G$6:$G$1005,MATCH($D1454,RUNS!$A$6:$A$1005,0))),""))</f>
        <v/>
      </c>
      <c r="O1454" s="33">
        <f>IF($D1454="","",IFERROR(IF(INDEX(RUNS!$H$6:$H$1005,MATCH($D1454,RUNS!$A$6:$A$1005,0))="","",INDEX(RUNS!$H$6:$H$1005,MATCH($D1454,RUNS!$A$6:$A$1005,0))),""))</f>
        <v/>
      </c>
      <c r="P1454" s="33">
        <f>IF($D1454="","",IFERROR(IF(INDEX(RUNS!$J$6:$J$1005,MATCH($D1454,RUNS!$A$6:$A$1005,0))="","",INDEX(RUNS!$J$6:$J$1005,MATCH($D1454,RUNS!$A$6:$A$1005,0))),""))</f>
        <v/>
      </c>
      <c r="Q1454" s="33">
        <f>IF($D1454="","",IFERROR(IF(INDEX(RUNS!$K$6:$K$1005,MATCH($D1454,RUNS!$A$6:$A$1005,0))="","",INDEX(RUNS!$K$6:$K$1005,MATCH($D1454,RUNS!$A$6:$A$1005,0))),""))</f>
        <v/>
      </c>
      <c r="R1454" s="34">
        <f>IF(OR($L1454="",$K1454=""),"",IFERROR(IF(INDEX(PARAMETRES!$H$43:$H$342,MATCH($L1454&amp;"|"&amp;$M1454&amp;"|"&amp;$N1454&amp;"|"&amp;$O1454&amp;"|"&amp;$P1454&amp;"|"&amp;$Q1454&amp;"|"&amp;$K1454,PARAMETRES!$J$43:$J$342,0))="","",INDEX(PARAMETRES!$H$43:$H$342,MATCH($L1454&amp;"|"&amp;$M1454&amp;"|"&amp;$N1454&amp;"|"&amp;$O1454&amp;"|"&amp;$P1454&amp;"|"&amp;$Q1454&amp;"|"&amp;$K1454,PARAMETRES!$J$43:$J$342,0))),""))</f>
        <v/>
      </c>
      <c r="S1454" s="35">
        <f>IF(OR($G1454="",$X1454&lt;&gt;"VALIDE"),"",IFERROR(LOOKUP(2,1/(($B554:$B1453=$B1454)*($G554:$G1453=$G1454)*($X554:$X1453="VALIDE")),$C554:$C1453),""))</f>
        <v/>
      </c>
      <c r="T1454" s="36">
        <f>IF(OR($C1454="",$S1454=""),"",ROUND(($C1454-$S1454+IF($C1454&lt;$S1454,1,0))*1440,0))</f>
        <v/>
      </c>
      <c r="U1454" s="22">
        <f>IF(OR($H1454="",$T1454="",$T1454&lt;=0),"",$H1454*60/$T1454)</f>
        <v/>
      </c>
      <c r="V1454" s="37">
        <f>IF(OR($U1454="",$R1454="",$R1454=0),"",$U1454/$R1454)</f>
        <v/>
      </c>
      <c r="W1454" s="20">
        <f>IF($G1454="","",IF($X1454="CONTEXTE INCOMPLET","CONTEXTE INCOMPLET",IF($X1454="DOUBLON",StatutDoublon,IF($S1454="",StatutInitial,IF($R1454="",StatutStandardManquant,IF($V1454="","DONNEES INSUFFISANTES",IF($V1454&gt;=SeuilConforme,StatutConforme,IF($V1454&gt;=SeuilSurveiller,StatutSurveiller,StatutSousStandard))))))))</f>
        <v/>
      </c>
      <c r="X1454" s="33">
        <f>IF($G1454="","",IF(OR($D1454="",$E1454="",$F1454=""),"CONTEXTE INCOMPLET",IF(COUNTIFS($D554:$D1453,$D1454,$E554:$E1453,$E1454,$F554:$F1453,$F1454,$G554:$G1453,$G1454)&gt;0,"DOUBLON","VALIDE")))</f>
        <v/>
      </c>
    </row>
    <row r="1455" ht="15" customHeight="1">
      <c r="A1455" s="12">
        <f>IF(OR($B1455="",$G1455=""),"",TEXT($B1455,"YYYYMMDD")&amp;"-"&amp;SUBSTITUTE($E1455," ","")&amp;"-"&amp;$F1455&amp;"-"&amp;$G1455)</f>
        <v/>
      </c>
      <c r="B1455" s="15" t="n"/>
      <c r="C1455" s="16" t="n"/>
      <c r="D1455" s="10" t="n"/>
      <c r="E1455" s="9" t="n"/>
      <c r="F1455" s="9" t="n"/>
      <c r="G1455" s="13" t="n"/>
      <c r="H1455" s="21" t="n"/>
      <c r="I1455" s="21" t="n"/>
      <c r="J1455" s="17">
        <f>IF($G1455="","",IFERROR(INDEX(NomsEmployes,MATCH($G1455,MatriculesEmployes,0)),"MATRICULE INCONNU"))</f>
        <v/>
      </c>
      <c r="K1455" s="33">
        <f>IF(OR($D1455="",$F1455=""),"",IFERROR(IF(INDEX(RUNS!$L$6:$S$1005,MATCH($D1455,RUNS!$A$6:$A$1005,0),MATCH("ACTIVITÉ "&amp;$F1455,RUNS!$L$5:$S$5,0))="","",INDEX(RUNS!$L$6:$S$1005,MATCH($D1455,RUNS!$A$6:$A$1005,0),MATCH("ACTIVITÉ "&amp;$F1455,RUNS!$L$5:$S$5,0))),""))</f>
        <v/>
      </c>
      <c r="L1455" s="33">
        <f>IF($D1455="","",IFERROR(IF(INDEX(RUNS!$E$6:$E$1005,MATCH($D1455,RUNS!$A$6:$A$1005,0))="","",INDEX(RUNS!$E$6:$E$1005,MATCH($D1455,RUNS!$A$6:$A$1005,0))),""))</f>
        <v/>
      </c>
      <c r="M1455" s="33">
        <f>IF($D1455="","",IFERROR(IF(INDEX(RUNS!$F$6:$F$1005,MATCH($D1455,RUNS!$A$6:$A$1005,0))="","",INDEX(RUNS!$F$6:$F$1005,MATCH($D1455,RUNS!$A$6:$A$1005,0))),""))</f>
        <v/>
      </c>
      <c r="N1455" s="33">
        <f>IF($D1455="","",IFERROR(IF(INDEX(RUNS!$G$6:$G$1005,MATCH($D1455,RUNS!$A$6:$A$1005,0))="","",INDEX(RUNS!$G$6:$G$1005,MATCH($D1455,RUNS!$A$6:$A$1005,0))),""))</f>
        <v/>
      </c>
      <c r="O1455" s="33">
        <f>IF($D1455="","",IFERROR(IF(INDEX(RUNS!$H$6:$H$1005,MATCH($D1455,RUNS!$A$6:$A$1005,0))="","",INDEX(RUNS!$H$6:$H$1005,MATCH($D1455,RUNS!$A$6:$A$1005,0))),""))</f>
        <v/>
      </c>
      <c r="P1455" s="33">
        <f>IF($D1455="","",IFERROR(IF(INDEX(RUNS!$J$6:$J$1005,MATCH($D1455,RUNS!$A$6:$A$1005,0))="","",INDEX(RUNS!$J$6:$J$1005,MATCH($D1455,RUNS!$A$6:$A$1005,0))),""))</f>
        <v/>
      </c>
      <c r="Q1455" s="33">
        <f>IF($D1455="","",IFERROR(IF(INDEX(RUNS!$K$6:$K$1005,MATCH($D1455,RUNS!$A$6:$A$1005,0))="","",INDEX(RUNS!$K$6:$K$1005,MATCH($D1455,RUNS!$A$6:$A$1005,0))),""))</f>
        <v/>
      </c>
      <c r="R1455" s="34">
        <f>IF(OR($L1455="",$K1455=""),"",IFERROR(IF(INDEX(PARAMETRES!$H$43:$H$342,MATCH($L1455&amp;"|"&amp;$M1455&amp;"|"&amp;$N1455&amp;"|"&amp;$O1455&amp;"|"&amp;$P1455&amp;"|"&amp;$Q1455&amp;"|"&amp;$K1455,PARAMETRES!$J$43:$J$342,0))="","",INDEX(PARAMETRES!$H$43:$H$342,MATCH($L1455&amp;"|"&amp;$M1455&amp;"|"&amp;$N1455&amp;"|"&amp;$O1455&amp;"|"&amp;$P1455&amp;"|"&amp;$Q1455&amp;"|"&amp;$K1455,PARAMETRES!$J$43:$J$342,0))),""))</f>
        <v/>
      </c>
      <c r="S1455" s="35">
        <f>IF(OR($G1455="",$X1455&lt;&gt;"VALIDE"),"",IFERROR(LOOKUP(2,1/(($B555:$B1454=$B1455)*($G555:$G1454=$G1455)*($X555:$X1454="VALIDE")),$C555:$C1454),""))</f>
        <v/>
      </c>
      <c r="T1455" s="36">
        <f>IF(OR($C1455="",$S1455=""),"",ROUND(($C1455-$S1455+IF($C1455&lt;$S1455,1,0))*1440,0))</f>
        <v/>
      </c>
      <c r="U1455" s="22">
        <f>IF(OR($H1455="",$T1455="",$T1455&lt;=0),"",$H1455*60/$T1455)</f>
        <v/>
      </c>
      <c r="V1455" s="37">
        <f>IF(OR($U1455="",$R1455="",$R1455=0),"",$U1455/$R1455)</f>
        <v/>
      </c>
      <c r="W1455" s="20">
        <f>IF($G1455="","",IF($X1455="CONTEXTE INCOMPLET","CONTEXTE INCOMPLET",IF($X1455="DOUBLON",StatutDoublon,IF($S1455="",StatutInitial,IF($R1455="",StatutStandardManquant,IF($V1455="","DONNEES INSUFFISANTES",IF($V1455&gt;=SeuilConforme,StatutConforme,IF($V1455&gt;=SeuilSurveiller,StatutSurveiller,StatutSousStandard))))))))</f>
        <v/>
      </c>
      <c r="X1455" s="33">
        <f>IF($G1455="","",IF(OR($D1455="",$E1455="",$F1455=""),"CONTEXTE INCOMPLET",IF(COUNTIFS($D555:$D1454,$D1455,$E555:$E1454,$E1455,$F555:$F1454,$F1455,$G555:$G1454,$G1455)&gt;0,"DOUBLON","VALIDE")))</f>
        <v/>
      </c>
    </row>
    <row r="1456" ht="15" customHeight="1">
      <c r="A1456" s="12">
        <f>IF(OR($B1456="",$G1456=""),"",TEXT($B1456,"YYYYMMDD")&amp;"-"&amp;SUBSTITUTE($E1456," ","")&amp;"-"&amp;$F1456&amp;"-"&amp;$G1456)</f>
        <v/>
      </c>
      <c r="B1456" s="15" t="n"/>
      <c r="C1456" s="16" t="n"/>
      <c r="D1456" s="10" t="n"/>
      <c r="E1456" s="9" t="n"/>
      <c r="F1456" s="9" t="n"/>
      <c r="G1456" s="13" t="n"/>
      <c r="H1456" s="21" t="n"/>
      <c r="I1456" s="21" t="n"/>
      <c r="J1456" s="17">
        <f>IF($G1456="","",IFERROR(INDEX(NomsEmployes,MATCH($G1456,MatriculesEmployes,0)),"MATRICULE INCONNU"))</f>
        <v/>
      </c>
      <c r="K1456" s="33">
        <f>IF(OR($D1456="",$F1456=""),"",IFERROR(IF(INDEX(RUNS!$L$6:$S$1005,MATCH($D1456,RUNS!$A$6:$A$1005,0),MATCH("ACTIVITÉ "&amp;$F1456,RUNS!$L$5:$S$5,0))="","",INDEX(RUNS!$L$6:$S$1005,MATCH($D1456,RUNS!$A$6:$A$1005,0),MATCH("ACTIVITÉ "&amp;$F1456,RUNS!$L$5:$S$5,0))),""))</f>
        <v/>
      </c>
      <c r="L1456" s="33">
        <f>IF($D1456="","",IFERROR(IF(INDEX(RUNS!$E$6:$E$1005,MATCH($D1456,RUNS!$A$6:$A$1005,0))="","",INDEX(RUNS!$E$6:$E$1005,MATCH($D1456,RUNS!$A$6:$A$1005,0))),""))</f>
        <v/>
      </c>
      <c r="M1456" s="33">
        <f>IF($D1456="","",IFERROR(IF(INDEX(RUNS!$F$6:$F$1005,MATCH($D1456,RUNS!$A$6:$A$1005,0))="","",INDEX(RUNS!$F$6:$F$1005,MATCH($D1456,RUNS!$A$6:$A$1005,0))),""))</f>
        <v/>
      </c>
      <c r="N1456" s="33">
        <f>IF($D1456="","",IFERROR(IF(INDEX(RUNS!$G$6:$G$1005,MATCH($D1456,RUNS!$A$6:$A$1005,0))="","",INDEX(RUNS!$G$6:$G$1005,MATCH($D1456,RUNS!$A$6:$A$1005,0))),""))</f>
        <v/>
      </c>
      <c r="O1456" s="33">
        <f>IF($D1456="","",IFERROR(IF(INDEX(RUNS!$H$6:$H$1005,MATCH($D1456,RUNS!$A$6:$A$1005,0))="","",INDEX(RUNS!$H$6:$H$1005,MATCH($D1456,RUNS!$A$6:$A$1005,0))),""))</f>
        <v/>
      </c>
      <c r="P1456" s="33">
        <f>IF($D1456="","",IFERROR(IF(INDEX(RUNS!$J$6:$J$1005,MATCH($D1456,RUNS!$A$6:$A$1005,0))="","",INDEX(RUNS!$J$6:$J$1005,MATCH($D1456,RUNS!$A$6:$A$1005,0))),""))</f>
        <v/>
      </c>
      <c r="Q1456" s="33">
        <f>IF($D1456="","",IFERROR(IF(INDEX(RUNS!$K$6:$K$1005,MATCH($D1456,RUNS!$A$6:$A$1005,0))="","",INDEX(RUNS!$K$6:$K$1005,MATCH($D1456,RUNS!$A$6:$A$1005,0))),""))</f>
        <v/>
      </c>
      <c r="R1456" s="34">
        <f>IF(OR($L1456="",$K1456=""),"",IFERROR(IF(INDEX(PARAMETRES!$H$43:$H$342,MATCH($L1456&amp;"|"&amp;$M1456&amp;"|"&amp;$N1456&amp;"|"&amp;$O1456&amp;"|"&amp;$P1456&amp;"|"&amp;$Q1456&amp;"|"&amp;$K1456,PARAMETRES!$J$43:$J$342,0))="","",INDEX(PARAMETRES!$H$43:$H$342,MATCH($L1456&amp;"|"&amp;$M1456&amp;"|"&amp;$N1456&amp;"|"&amp;$O1456&amp;"|"&amp;$P1456&amp;"|"&amp;$Q1456&amp;"|"&amp;$K1456,PARAMETRES!$J$43:$J$342,0))),""))</f>
        <v/>
      </c>
      <c r="S1456" s="35">
        <f>IF(OR($G1456="",$X1456&lt;&gt;"VALIDE"),"",IFERROR(LOOKUP(2,1/(($B556:$B1455=$B1456)*($G556:$G1455=$G1456)*($X556:$X1455="VALIDE")),$C556:$C1455),""))</f>
        <v/>
      </c>
      <c r="T1456" s="36">
        <f>IF(OR($C1456="",$S1456=""),"",ROUND(($C1456-$S1456+IF($C1456&lt;$S1456,1,0))*1440,0))</f>
        <v/>
      </c>
      <c r="U1456" s="22">
        <f>IF(OR($H1456="",$T1456="",$T1456&lt;=0),"",$H1456*60/$T1456)</f>
        <v/>
      </c>
      <c r="V1456" s="37">
        <f>IF(OR($U1456="",$R1456="",$R1456=0),"",$U1456/$R1456)</f>
        <v/>
      </c>
      <c r="W1456" s="20">
        <f>IF($G1456="","",IF($X1456="CONTEXTE INCOMPLET","CONTEXTE INCOMPLET",IF($X1456="DOUBLON",StatutDoublon,IF($S1456="",StatutInitial,IF($R1456="",StatutStandardManquant,IF($V1456="","DONNEES INSUFFISANTES",IF($V1456&gt;=SeuilConforme,StatutConforme,IF($V1456&gt;=SeuilSurveiller,StatutSurveiller,StatutSousStandard))))))))</f>
        <v/>
      </c>
      <c r="X1456" s="33">
        <f>IF($G1456="","",IF(OR($D1456="",$E1456="",$F1456=""),"CONTEXTE INCOMPLET",IF(COUNTIFS($D556:$D1455,$D1456,$E556:$E1455,$E1456,$F556:$F1455,$F1456,$G556:$G1455,$G1456)&gt;0,"DOUBLON","VALIDE")))</f>
        <v/>
      </c>
    </row>
    <row r="1457" ht="15" customHeight="1">
      <c r="A1457" s="12">
        <f>IF(OR($B1457="",$G1457=""),"",TEXT($B1457,"YYYYMMDD")&amp;"-"&amp;SUBSTITUTE($E1457," ","")&amp;"-"&amp;$F1457&amp;"-"&amp;$G1457)</f>
        <v/>
      </c>
      <c r="B1457" s="15" t="n"/>
      <c r="C1457" s="16" t="n"/>
      <c r="D1457" s="10" t="n"/>
      <c r="E1457" s="9" t="n"/>
      <c r="F1457" s="9" t="n"/>
      <c r="G1457" s="13" t="n"/>
      <c r="H1457" s="21" t="n"/>
      <c r="I1457" s="21" t="n"/>
      <c r="J1457" s="17">
        <f>IF($G1457="","",IFERROR(INDEX(NomsEmployes,MATCH($G1457,MatriculesEmployes,0)),"MATRICULE INCONNU"))</f>
        <v/>
      </c>
      <c r="K1457" s="33">
        <f>IF(OR($D1457="",$F1457=""),"",IFERROR(IF(INDEX(RUNS!$L$6:$S$1005,MATCH($D1457,RUNS!$A$6:$A$1005,0),MATCH("ACTIVITÉ "&amp;$F1457,RUNS!$L$5:$S$5,0))="","",INDEX(RUNS!$L$6:$S$1005,MATCH($D1457,RUNS!$A$6:$A$1005,0),MATCH("ACTIVITÉ "&amp;$F1457,RUNS!$L$5:$S$5,0))),""))</f>
        <v/>
      </c>
      <c r="L1457" s="33">
        <f>IF($D1457="","",IFERROR(IF(INDEX(RUNS!$E$6:$E$1005,MATCH($D1457,RUNS!$A$6:$A$1005,0))="","",INDEX(RUNS!$E$6:$E$1005,MATCH($D1457,RUNS!$A$6:$A$1005,0))),""))</f>
        <v/>
      </c>
      <c r="M1457" s="33">
        <f>IF($D1457="","",IFERROR(IF(INDEX(RUNS!$F$6:$F$1005,MATCH($D1457,RUNS!$A$6:$A$1005,0))="","",INDEX(RUNS!$F$6:$F$1005,MATCH($D1457,RUNS!$A$6:$A$1005,0))),""))</f>
        <v/>
      </c>
      <c r="N1457" s="33">
        <f>IF($D1457="","",IFERROR(IF(INDEX(RUNS!$G$6:$G$1005,MATCH($D1457,RUNS!$A$6:$A$1005,0))="","",INDEX(RUNS!$G$6:$G$1005,MATCH($D1457,RUNS!$A$6:$A$1005,0))),""))</f>
        <v/>
      </c>
      <c r="O1457" s="33">
        <f>IF($D1457="","",IFERROR(IF(INDEX(RUNS!$H$6:$H$1005,MATCH($D1457,RUNS!$A$6:$A$1005,0))="","",INDEX(RUNS!$H$6:$H$1005,MATCH($D1457,RUNS!$A$6:$A$1005,0))),""))</f>
        <v/>
      </c>
      <c r="P1457" s="33">
        <f>IF($D1457="","",IFERROR(IF(INDEX(RUNS!$J$6:$J$1005,MATCH($D1457,RUNS!$A$6:$A$1005,0))="","",INDEX(RUNS!$J$6:$J$1005,MATCH($D1457,RUNS!$A$6:$A$1005,0))),""))</f>
        <v/>
      </c>
      <c r="Q1457" s="33">
        <f>IF($D1457="","",IFERROR(IF(INDEX(RUNS!$K$6:$K$1005,MATCH($D1457,RUNS!$A$6:$A$1005,0))="","",INDEX(RUNS!$K$6:$K$1005,MATCH($D1457,RUNS!$A$6:$A$1005,0))),""))</f>
        <v/>
      </c>
      <c r="R1457" s="34">
        <f>IF(OR($L1457="",$K1457=""),"",IFERROR(IF(INDEX(PARAMETRES!$H$43:$H$342,MATCH($L1457&amp;"|"&amp;$M1457&amp;"|"&amp;$N1457&amp;"|"&amp;$O1457&amp;"|"&amp;$P1457&amp;"|"&amp;$Q1457&amp;"|"&amp;$K1457,PARAMETRES!$J$43:$J$342,0))="","",INDEX(PARAMETRES!$H$43:$H$342,MATCH($L1457&amp;"|"&amp;$M1457&amp;"|"&amp;$N1457&amp;"|"&amp;$O1457&amp;"|"&amp;$P1457&amp;"|"&amp;$Q1457&amp;"|"&amp;$K1457,PARAMETRES!$J$43:$J$342,0))),""))</f>
        <v/>
      </c>
      <c r="S1457" s="35">
        <f>IF(OR($G1457="",$X1457&lt;&gt;"VALIDE"),"",IFERROR(LOOKUP(2,1/(($B557:$B1456=$B1457)*($G557:$G1456=$G1457)*($X557:$X1456="VALIDE")),$C557:$C1456),""))</f>
        <v/>
      </c>
      <c r="T1457" s="36">
        <f>IF(OR($C1457="",$S1457=""),"",ROUND(($C1457-$S1457+IF($C1457&lt;$S1457,1,0))*1440,0))</f>
        <v/>
      </c>
      <c r="U1457" s="22">
        <f>IF(OR($H1457="",$T1457="",$T1457&lt;=0),"",$H1457*60/$T1457)</f>
        <v/>
      </c>
      <c r="V1457" s="37">
        <f>IF(OR($U1457="",$R1457="",$R1457=0),"",$U1457/$R1457)</f>
        <v/>
      </c>
      <c r="W1457" s="20">
        <f>IF($G1457="","",IF($X1457="CONTEXTE INCOMPLET","CONTEXTE INCOMPLET",IF($X1457="DOUBLON",StatutDoublon,IF($S1457="",StatutInitial,IF($R1457="",StatutStandardManquant,IF($V1457="","DONNEES INSUFFISANTES",IF($V1457&gt;=SeuilConforme,StatutConforme,IF($V1457&gt;=SeuilSurveiller,StatutSurveiller,StatutSousStandard))))))))</f>
        <v/>
      </c>
      <c r="X1457" s="33">
        <f>IF($G1457="","",IF(OR($D1457="",$E1457="",$F1457=""),"CONTEXTE INCOMPLET",IF(COUNTIFS($D557:$D1456,$D1457,$E557:$E1456,$E1457,$F557:$F1456,$F1457,$G557:$G1456,$G1457)&gt;0,"DOUBLON","VALIDE")))</f>
        <v/>
      </c>
    </row>
    <row r="1458" ht="15" customHeight="1">
      <c r="A1458" s="12">
        <f>IF(OR($B1458="",$G1458=""),"",TEXT($B1458,"YYYYMMDD")&amp;"-"&amp;SUBSTITUTE($E1458," ","")&amp;"-"&amp;$F1458&amp;"-"&amp;$G1458)</f>
        <v/>
      </c>
      <c r="B1458" s="15" t="n"/>
      <c r="C1458" s="16" t="n"/>
      <c r="D1458" s="10" t="n"/>
      <c r="E1458" s="9" t="n"/>
      <c r="F1458" s="9" t="n"/>
      <c r="G1458" s="13" t="n"/>
      <c r="H1458" s="21" t="n"/>
      <c r="I1458" s="21" t="n"/>
      <c r="J1458" s="17">
        <f>IF($G1458="","",IFERROR(INDEX(NomsEmployes,MATCH($G1458,MatriculesEmployes,0)),"MATRICULE INCONNU"))</f>
        <v/>
      </c>
      <c r="K1458" s="33">
        <f>IF(OR($D1458="",$F1458=""),"",IFERROR(IF(INDEX(RUNS!$L$6:$S$1005,MATCH($D1458,RUNS!$A$6:$A$1005,0),MATCH("ACTIVITÉ "&amp;$F1458,RUNS!$L$5:$S$5,0))="","",INDEX(RUNS!$L$6:$S$1005,MATCH($D1458,RUNS!$A$6:$A$1005,0),MATCH("ACTIVITÉ "&amp;$F1458,RUNS!$L$5:$S$5,0))),""))</f>
        <v/>
      </c>
      <c r="L1458" s="33">
        <f>IF($D1458="","",IFERROR(IF(INDEX(RUNS!$E$6:$E$1005,MATCH($D1458,RUNS!$A$6:$A$1005,0))="","",INDEX(RUNS!$E$6:$E$1005,MATCH($D1458,RUNS!$A$6:$A$1005,0))),""))</f>
        <v/>
      </c>
      <c r="M1458" s="33">
        <f>IF($D1458="","",IFERROR(IF(INDEX(RUNS!$F$6:$F$1005,MATCH($D1458,RUNS!$A$6:$A$1005,0))="","",INDEX(RUNS!$F$6:$F$1005,MATCH($D1458,RUNS!$A$6:$A$1005,0))),""))</f>
        <v/>
      </c>
      <c r="N1458" s="33">
        <f>IF($D1458="","",IFERROR(IF(INDEX(RUNS!$G$6:$G$1005,MATCH($D1458,RUNS!$A$6:$A$1005,0))="","",INDEX(RUNS!$G$6:$G$1005,MATCH($D1458,RUNS!$A$6:$A$1005,0))),""))</f>
        <v/>
      </c>
      <c r="O1458" s="33">
        <f>IF($D1458="","",IFERROR(IF(INDEX(RUNS!$H$6:$H$1005,MATCH($D1458,RUNS!$A$6:$A$1005,0))="","",INDEX(RUNS!$H$6:$H$1005,MATCH($D1458,RUNS!$A$6:$A$1005,0))),""))</f>
        <v/>
      </c>
      <c r="P1458" s="33">
        <f>IF($D1458="","",IFERROR(IF(INDEX(RUNS!$J$6:$J$1005,MATCH($D1458,RUNS!$A$6:$A$1005,0))="","",INDEX(RUNS!$J$6:$J$1005,MATCH($D1458,RUNS!$A$6:$A$1005,0))),""))</f>
        <v/>
      </c>
      <c r="Q1458" s="33">
        <f>IF($D1458="","",IFERROR(IF(INDEX(RUNS!$K$6:$K$1005,MATCH($D1458,RUNS!$A$6:$A$1005,0))="","",INDEX(RUNS!$K$6:$K$1005,MATCH($D1458,RUNS!$A$6:$A$1005,0))),""))</f>
        <v/>
      </c>
      <c r="R1458" s="34">
        <f>IF(OR($L1458="",$K1458=""),"",IFERROR(IF(INDEX(PARAMETRES!$H$43:$H$342,MATCH($L1458&amp;"|"&amp;$M1458&amp;"|"&amp;$N1458&amp;"|"&amp;$O1458&amp;"|"&amp;$P1458&amp;"|"&amp;$Q1458&amp;"|"&amp;$K1458,PARAMETRES!$J$43:$J$342,0))="","",INDEX(PARAMETRES!$H$43:$H$342,MATCH($L1458&amp;"|"&amp;$M1458&amp;"|"&amp;$N1458&amp;"|"&amp;$O1458&amp;"|"&amp;$P1458&amp;"|"&amp;$Q1458&amp;"|"&amp;$K1458,PARAMETRES!$J$43:$J$342,0))),""))</f>
        <v/>
      </c>
      <c r="S1458" s="35">
        <f>IF(OR($G1458="",$X1458&lt;&gt;"VALIDE"),"",IFERROR(LOOKUP(2,1/(($B558:$B1457=$B1458)*($G558:$G1457=$G1458)*($X558:$X1457="VALIDE")),$C558:$C1457),""))</f>
        <v/>
      </c>
      <c r="T1458" s="36">
        <f>IF(OR($C1458="",$S1458=""),"",ROUND(($C1458-$S1458+IF($C1458&lt;$S1458,1,0))*1440,0))</f>
        <v/>
      </c>
      <c r="U1458" s="22">
        <f>IF(OR($H1458="",$T1458="",$T1458&lt;=0),"",$H1458*60/$T1458)</f>
        <v/>
      </c>
      <c r="V1458" s="37">
        <f>IF(OR($U1458="",$R1458="",$R1458=0),"",$U1458/$R1458)</f>
        <v/>
      </c>
      <c r="W1458" s="20">
        <f>IF($G1458="","",IF($X1458="CONTEXTE INCOMPLET","CONTEXTE INCOMPLET",IF($X1458="DOUBLON",StatutDoublon,IF($S1458="",StatutInitial,IF($R1458="",StatutStandardManquant,IF($V1458="","DONNEES INSUFFISANTES",IF($V1458&gt;=SeuilConforme,StatutConforme,IF($V1458&gt;=SeuilSurveiller,StatutSurveiller,StatutSousStandard))))))))</f>
        <v/>
      </c>
      <c r="X1458" s="33">
        <f>IF($G1458="","",IF(OR($D1458="",$E1458="",$F1458=""),"CONTEXTE INCOMPLET",IF(COUNTIFS($D558:$D1457,$D1458,$E558:$E1457,$E1458,$F558:$F1457,$F1458,$G558:$G1457,$G1458)&gt;0,"DOUBLON","VALIDE")))</f>
        <v/>
      </c>
    </row>
    <row r="1459" ht="15" customHeight="1">
      <c r="A1459" s="12">
        <f>IF(OR($B1459="",$G1459=""),"",TEXT($B1459,"YYYYMMDD")&amp;"-"&amp;SUBSTITUTE($E1459," ","")&amp;"-"&amp;$F1459&amp;"-"&amp;$G1459)</f>
        <v/>
      </c>
      <c r="B1459" s="15" t="n"/>
      <c r="C1459" s="16" t="n"/>
      <c r="D1459" s="10" t="n"/>
      <c r="E1459" s="9" t="n"/>
      <c r="F1459" s="9" t="n"/>
      <c r="G1459" s="13" t="n"/>
      <c r="H1459" s="21" t="n"/>
      <c r="I1459" s="21" t="n"/>
      <c r="J1459" s="17">
        <f>IF($G1459="","",IFERROR(INDEX(NomsEmployes,MATCH($G1459,MatriculesEmployes,0)),"MATRICULE INCONNU"))</f>
        <v/>
      </c>
      <c r="K1459" s="33">
        <f>IF(OR($D1459="",$F1459=""),"",IFERROR(IF(INDEX(RUNS!$L$6:$S$1005,MATCH($D1459,RUNS!$A$6:$A$1005,0),MATCH("ACTIVITÉ "&amp;$F1459,RUNS!$L$5:$S$5,0))="","",INDEX(RUNS!$L$6:$S$1005,MATCH($D1459,RUNS!$A$6:$A$1005,0),MATCH("ACTIVITÉ "&amp;$F1459,RUNS!$L$5:$S$5,0))),""))</f>
        <v/>
      </c>
      <c r="L1459" s="33">
        <f>IF($D1459="","",IFERROR(IF(INDEX(RUNS!$E$6:$E$1005,MATCH($D1459,RUNS!$A$6:$A$1005,0))="","",INDEX(RUNS!$E$6:$E$1005,MATCH($D1459,RUNS!$A$6:$A$1005,0))),""))</f>
        <v/>
      </c>
      <c r="M1459" s="33">
        <f>IF($D1459="","",IFERROR(IF(INDEX(RUNS!$F$6:$F$1005,MATCH($D1459,RUNS!$A$6:$A$1005,0))="","",INDEX(RUNS!$F$6:$F$1005,MATCH($D1459,RUNS!$A$6:$A$1005,0))),""))</f>
        <v/>
      </c>
      <c r="N1459" s="33">
        <f>IF($D1459="","",IFERROR(IF(INDEX(RUNS!$G$6:$G$1005,MATCH($D1459,RUNS!$A$6:$A$1005,0))="","",INDEX(RUNS!$G$6:$G$1005,MATCH($D1459,RUNS!$A$6:$A$1005,0))),""))</f>
        <v/>
      </c>
      <c r="O1459" s="33">
        <f>IF($D1459="","",IFERROR(IF(INDEX(RUNS!$H$6:$H$1005,MATCH($D1459,RUNS!$A$6:$A$1005,0))="","",INDEX(RUNS!$H$6:$H$1005,MATCH($D1459,RUNS!$A$6:$A$1005,0))),""))</f>
        <v/>
      </c>
      <c r="P1459" s="33">
        <f>IF($D1459="","",IFERROR(IF(INDEX(RUNS!$J$6:$J$1005,MATCH($D1459,RUNS!$A$6:$A$1005,0))="","",INDEX(RUNS!$J$6:$J$1005,MATCH($D1459,RUNS!$A$6:$A$1005,0))),""))</f>
        <v/>
      </c>
      <c r="Q1459" s="33">
        <f>IF($D1459="","",IFERROR(IF(INDEX(RUNS!$K$6:$K$1005,MATCH($D1459,RUNS!$A$6:$A$1005,0))="","",INDEX(RUNS!$K$6:$K$1005,MATCH($D1459,RUNS!$A$6:$A$1005,0))),""))</f>
        <v/>
      </c>
      <c r="R1459" s="34">
        <f>IF(OR($L1459="",$K1459=""),"",IFERROR(IF(INDEX(PARAMETRES!$H$43:$H$342,MATCH($L1459&amp;"|"&amp;$M1459&amp;"|"&amp;$N1459&amp;"|"&amp;$O1459&amp;"|"&amp;$P1459&amp;"|"&amp;$Q1459&amp;"|"&amp;$K1459,PARAMETRES!$J$43:$J$342,0))="","",INDEX(PARAMETRES!$H$43:$H$342,MATCH($L1459&amp;"|"&amp;$M1459&amp;"|"&amp;$N1459&amp;"|"&amp;$O1459&amp;"|"&amp;$P1459&amp;"|"&amp;$Q1459&amp;"|"&amp;$K1459,PARAMETRES!$J$43:$J$342,0))),""))</f>
        <v/>
      </c>
      <c r="S1459" s="35">
        <f>IF(OR($G1459="",$X1459&lt;&gt;"VALIDE"),"",IFERROR(LOOKUP(2,1/(($B559:$B1458=$B1459)*($G559:$G1458=$G1459)*($X559:$X1458="VALIDE")),$C559:$C1458),""))</f>
        <v/>
      </c>
      <c r="T1459" s="36">
        <f>IF(OR($C1459="",$S1459=""),"",ROUND(($C1459-$S1459+IF($C1459&lt;$S1459,1,0))*1440,0))</f>
        <v/>
      </c>
      <c r="U1459" s="22">
        <f>IF(OR($H1459="",$T1459="",$T1459&lt;=0),"",$H1459*60/$T1459)</f>
        <v/>
      </c>
      <c r="V1459" s="37">
        <f>IF(OR($U1459="",$R1459="",$R1459=0),"",$U1459/$R1459)</f>
        <v/>
      </c>
      <c r="W1459" s="20">
        <f>IF($G1459="","",IF($X1459="CONTEXTE INCOMPLET","CONTEXTE INCOMPLET",IF($X1459="DOUBLON",StatutDoublon,IF($S1459="",StatutInitial,IF($R1459="",StatutStandardManquant,IF($V1459="","DONNEES INSUFFISANTES",IF($V1459&gt;=SeuilConforme,StatutConforme,IF($V1459&gt;=SeuilSurveiller,StatutSurveiller,StatutSousStandard))))))))</f>
        <v/>
      </c>
      <c r="X1459" s="33">
        <f>IF($G1459="","",IF(OR($D1459="",$E1459="",$F1459=""),"CONTEXTE INCOMPLET",IF(COUNTIFS($D559:$D1458,$D1459,$E559:$E1458,$E1459,$F559:$F1458,$F1459,$G559:$G1458,$G1459)&gt;0,"DOUBLON","VALIDE")))</f>
        <v/>
      </c>
    </row>
    <row r="1460" ht="15" customHeight="1">
      <c r="A1460" s="12">
        <f>IF(OR($B1460="",$G1460=""),"",TEXT($B1460,"YYYYMMDD")&amp;"-"&amp;SUBSTITUTE($E1460," ","")&amp;"-"&amp;$F1460&amp;"-"&amp;$G1460)</f>
        <v/>
      </c>
      <c r="B1460" s="15" t="n"/>
      <c r="C1460" s="16" t="n"/>
      <c r="D1460" s="10" t="n"/>
      <c r="E1460" s="9" t="n"/>
      <c r="F1460" s="9" t="n"/>
      <c r="G1460" s="13" t="n"/>
      <c r="H1460" s="21" t="n"/>
      <c r="I1460" s="21" t="n"/>
      <c r="J1460" s="17">
        <f>IF($G1460="","",IFERROR(INDEX(NomsEmployes,MATCH($G1460,MatriculesEmployes,0)),"MATRICULE INCONNU"))</f>
        <v/>
      </c>
      <c r="K1460" s="33">
        <f>IF(OR($D1460="",$F1460=""),"",IFERROR(IF(INDEX(RUNS!$L$6:$S$1005,MATCH($D1460,RUNS!$A$6:$A$1005,0),MATCH("ACTIVITÉ "&amp;$F1460,RUNS!$L$5:$S$5,0))="","",INDEX(RUNS!$L$6:$S$1005,MATCH($D1460,RUNS!$A$6:$A$1005,0),MATCH("ACTIVITÉ "&amp;$F1460,RUNS!$L$5:$S$5,0))),""))</f>
        <v/>
      </c>
      <c r="L1460" s="33">
        <f>IF($D1460="","",IFERROR(IF(INDEX(RUNS!$E$6:$E$1005,MATCH($D1460,RUNS!$A$6:$A$1005,0))="","",INDEX(RUNS!$E$6:$E$1005,MATCH($D1460,RUNS!$A$6:$A$1005,0))),""))</f>
        <v/>
      </c>
      <c r="M1460" s="33">
        <f>IF($D1460="","",IFERROR(IF(INDEX(RUNS!$F$6:$F$1005,MATCH($D1460,RUNS!$A$6:$A$1005,0))="","",INDEX(RUNS!$F$6:$F$1005,MATCH($D1460,RUNS!$A$6:$A$1005,0))),""))</f>
        <v/>
      </c>
      <c r="N1460" s="33">
        <f>IF($D1460="","",IFERROR(IF(INDEX(RUNS!$G$6:$G$1005,MATCH($D1460,RUNS!$A$6:$A$1005,0))="","",INDEX(RUNS!$G$6:$G$1005,MATCH($D1460,RUNS!$A$6:$A$1005,0))),""))</f>
        <v/>
      </c>
      <c r="O1460" s="33">
        <f>IF($D1460="","",IFERROR(IF(INDEX(RUNS!$H$6:$H$1005,MATCH($D1460,RUNS!$A$6:$A$1005,0))="","",INDEX(RUNS!$H$6:$H$1005,MATCH($D1460,RUNS!$A$6:$A$1005,0))),""))</f>
        <v/>
      </c>
      <c r="P1460" s="33">
        <f>IF($D1460="","",IFERROR(IF(INDEX(RUNS!$J$6:$J$1005,MATCH($D1460,RUNS!$A$6:$A$1005,0))="","",INDEX(RUNS!$J$6:$J$1005,MATCH($D1460,RUNS!$A$6:$A$1005,0))),""))</f>
        <v/>
      </c>
      <c r="Q1460" s="33">
        <f>IF($D1460="","",IFERROR(IF(INDEX(RUNS!$K$6:$K$1005,MATCH($D1460,RUNS!$A$6:$A$1005,0))="","",INDEX(RUNS!$K$6:$K$1005,MATCH($D1460,RUNS!$A$6:$A$1005,0))),""))</f>
        <v/>
      </c>
      <c r="R1460" s="34">
        <f>IF(OR($L1460="",$K1460=""),"",IFERROR(IF(INDEX(PARAMETRES!$H$43:$H$342,MATCH($L1460&amp;"|"&amp;$M1460&amp;"|"&amp;$N1460&amp;"|"&amp;$O1460&amp;"|"&amp;$P1460&amp;"|"&amp;$Q1460&amp;"|"&amp;$K1460,PARAMETRES!$J$43:$J$342,0))="","",INDEX(PARAMETRES!$H$43:$H$342,MATCH($L1460&amp;"|"&amp;$M1460&amp;"|"&amp;$N1460&amp;"|"&amp;$O1460&amp;"|"&amp;$P1460&amp;"|"&amp;$Q1460&amp;"|"&amp;$K1460,PARAMETRES!$J$43:$J$342,0))),""))</f>
        <v/>
      </c>
      <c r="S1460" s="35">
        <f>IF(OR($G1460="",$X1460&lt;&gt;"VALIDE"),"",IFERROR(LOOKUP(2,1/(($B560:$B1459=$B1460)*($G560:$G1459=$G1460)*($X560:$X1459="VALIDE")),$C560:$C1459),""))</f>
        <v/>
      </c>
      <c r="T1460" s="36">
        <f>IF(OR($C1460="",$S1460=""),"",ROUND(($C1460-$S1460+IF($C1460&lt;$S1460,1,0))*1440,0))</f>
        <v/>
      </c>
      <c r="U1460" s="22">
        <f>IF(OR($H1460="",$T1460="",$T1460&lt;=0),"",$H1460*60/$T1460)</f>
        <v/>
      </c>
      <c r="V1460" s="37">
        <f>IF(OR($U1460="",$R1460="",$R1460=0),"",$U1460/$R1460)</f>
        <v/>
      </c>
      <c r="W1460" s="20">
        <f>IF($G1460="","",IF($X1460="CONTEXTE INCOMPLET","CONTEXTE INCOMPLET",IF($X1460="DOUBLON",StatutDoublon,IF($S1460="",StatutInitial,IF($R1460="",StatutStandardManquant,IF($V1460="","DONNEES INSUFFISANTES",IF($V1460&gt;=SeuilConforme,StatutConforme,IF($V1460&gt;=SeuilSurveiller,StatutSurveiller,StatutSousStandard))))))))</f>
        <v/>
      </c>
      <c r="X1460" s="33">
        <f>IF($G1460="","",IF(OR($D1460="",$E1460="",$F1460=""),"CONTEXTE INCOMPLET",IF(COUNTIFS($D560:$D1459,$D1460,$E560:$E1459,$E1460,$F560:$F1459,$F1460,$G560:$G1459,$G1460)&gt;0,"DOUBLON","VALIDE")))</f>
        <v/>
      </c>
    </row>
    <row r="1461" ht="15" customHeight="1">
      <c r="A1461" s="12">
        <f>IF(OR($B1461="",$G1461=""),"",TEXT($B1461,"YYYYMMDD")&amp;"-"&amp;SUBSTITUTE($E1461," ","")&amp;"-"&amp;$F1461&amp;"-"&amp;$G1461)</f>
        <v/>
      </c>
      <c r="B1461" s="15" t="n"/>
      <c r="C1461" s="16" t="n"/>
      <c r="D1461" s="10" t="n"/>
      <c r="E1461" s="9" t="n"/>
      <c r="F1461" s="9" t="n"/>
      <c r="G1461" s="13" t="n"/>
      <c r="H1461" s="21" t="n"/>
      <c r="I1461" s="21" t="n"/>
      <c r="J1461" s="17">
        <f>IF($G1461="","",IFERROR(INDEX(NomsEmployes,MATCH($G1461,MatriculesEmployes,0)),"MATRICULE INCONNU"))</f>
        <v/>
      </c>
      <c r="K1461" s="33">
        <f>IF(OR($D1461="",$F1461=""),"",IFERROR(IF(INDEX(RUNS!$L$6:$S$1005,MATCH($D1461,RUNS!$A$6:$A$1005,0),MATCH("ACTIVITÉ "&amp;$F1461,RUNS!$L$5:$S$5,0))="","",INDEX(RUNS!$L$6:$S$1005,MATCH($D1461,RUNS!$A$6:$A$1005,0),MATCH("ACTIVITÉ "&amp;$F1461,RUNS!$L$5:$S$5,0))),""))</f>
        <v/>
      </c>
      <c r="L1461" s="33">
        <f>IF($D1461="","",IFERROR(IF(INDEX(RUNS!$E$6:$E$1005,MATCH($D1461,RUNS!$A$6:$A$1005,0))="","",INDEX(RUNS!$E$6:$E$1005,MATCH($D1461,RUNS!$A$6:$A$1005,0))),""))</f>
        <v/>
      </c>
      <c r="M1461" s="33">
        <f>IF($D1461="","",IFERROR(IF(INDEX(RUNS!$F$6:$F$1005,MATCH($D1461,RUNS!$A$6:$A$1005,0))="","",INDEX(RUNS!$F$6:$F$1005,MATCH($D1461,RUNS!$A$6:$A$1005,0))),""))</f>
        <v/>
      </c>
      <c r="N1461" s="33">
        <f>IF($D1461="","",IFERROR(IF(INDEX(RUNS!$G$6:$G$1005,MATCH($D1461,RUNS!$A$6:$A$1005,0))="","",INDEX(RUNS!$G$6:$G$1005,MATCH($D1461,RUNS!$A$6:$A$1005,0))),""))</f>
        <v/>
      </c>
      <c r="O1461" s="33">
        <f>IF($D1461="","",IFERROR(IF(INDEX(RUNS!$H$6:$H$1005,MATCH($D1461,RUNS!$A$6:$A$1005,0))="","",INDEX(RUNS!$H$6:$H$1005,MATCH($D1461,RUNS!$A$6:$A$1005,0))),""))</f>
        <v/>
      </c>
      <c r="P1461" s="33">
        <f>IF($D1461="","",IFERROR(IF(INDEX(RUNS!$J$6:$J$1005,MATCH($D1461,RUNS!$A$6:$A$1005,0))="","",INDEX(RUNS!$J$6:$J$1005,MATCH($D1461,RUNS!$A$6:$A$1005,0))),""))</f>
        <v/>
      </c>
      <c r="Q1461" s="33">
        <f>IF($D1461="","",IFERROR(IF(INDEX(RUNS!$K$6:$K$1005,MATCH($D1461,RUNS!$A$6:$A$1005,0))="","",INDEX(RUNS!$K$6:$K$1005,MATCH($D1461,RUNS!$A$6:$A$1005,0))),""))</f>
        <v/>
      </c>
      <c r="R1461" s="34">
        <f>IF(OR($L1461="",$K1461=""),"",IFERROR(IF(INDEX(PARAMETRES!$H$43:$H$342,MATCH($L1461&amp;"|"&amp;$M1461&amp;"|"&amp;$N1461&amp;"|"&amp;$O1461&amp;"|"&amp;$P1461&amp;"|"&amp;$Q1461&amp;"|"&amp;$K1461,PARAMETRES!$J$43:$J$342,0))="","",INDEX(PARAMETRES!$H$43:$H$342,MATCH($L1461&amp;"|"&amp;$M1461&amp;"|"&amp;$N1461&amp;"|"&amp;$O1461&amp;"|"&amp;$P1461&amp;"|"&amp;$Q1461&amp;"|"&amp;$K1461,PARAMETRES!$J$43:$J$342,0))),""))</f>
        <v/>
      </c>
      <c r="S1461" s="35">
        <f>IF(OR($G1461="",$X1461&lt;&gt;"VALIDE"),"",IFERROR(LOOKUP(2,1/(($B561:$B1460=$B1461)*($G561:$G1460=$G1461)*($X561:$X1460="VALIDE")),$C561:$C1460),""))</f>
        <v/>
      </c>
      <c r="T1461" s="36">
        <f>IF(OR($C1461="",$S1461=""),"",ROUND(($C1461-$S1461+IF($C1461&lt;$S1461,1,0))*1440,0))</f>
        <v/>
      </c>
      <c r="U1461" s="22">
        <f>IF(OR($H1461="",$T1461="",$T1461&lt;=0),"",$H1461*60/$T1461)</f>
        <v/>
      </c>
      <c r="V1461" s="37">
        <f>IF(OR($U1461="",$R1461="",$R1461=0),"",$U1461/$R1461)</f>
        <v/>
      </c>
      <c r="W1461" s="20">
        <f>IF($G1461="","",IF($X1461="CONTEXTE INCOMPLET","CONTEXTE INCOMPLET",IF($X1461="DOUBLON",StatutDoublon,IF($S1461="",StatutInitial,IF($R1461="",StatutStandardManquant,IF($V1461="","DONNEES INSUFFISANTES",IF($V1461&gt;=SeuilConforme,StatutConforme,IF($V1461&gt;=SeuilSurveiller,StatutSurveiller,StatutSousStandard))))))))</f>
        <v/>
      </c>
      <c r="X1461" s="33">
        <f>IF($G1461="","",IF(OR($D1461="",$E1461="",$F1461=""),"CONTEXTE INCOMPLET",IF(COUNTIFS($D561:$D1460,$D1461,$E561:$E1460,$E1461,$F561:$F1460,$F1461,$G561:$G1460,$G1461)&gt;0,"DOUBLON","VALIDE")))</f>
        <v/>
      </c>
    </row>
    <row r="1462" ht="15" customHeight="1">
      <c r="A1462" s="12">
        <f>IF(OR($B1462="",$G1462=""),"",TEXT($B1462,"YYYYMMDD")&amp;"-"&amp;SUBSTITUTE($E1462," ","")&amp;"-"&amp;$F1462&amp;"-"&amp;$G1462)</f>
        <v/>
      </c>
      <c r="B1462" s="15" t="n"/>
      <c r="C1462" s="16" t="n"/>
      <c r="D1462" s="10" t="n"/>
      <c r="E1462" s="9" t="n"/>
      <c r="F1462" s="9" t="n"/>
      <c r="G1462" s="13" t="n"/>
      <c r="H1462" s="21" t="n"/>
      <c r="I1462" s="21" t="n"/>
      <c r="J1462" s="17">
        <f>IF($G1462="","",IFERROR(INDEX(NomsEmployes,MATCH($G1462,MatriculesEmployes,0)),"MATRICULE INCONNU"))</f>
        <v/>
      </c>
      <c r="K1462" s="33">
        <f>IF(OR($D1462="",$F1462=""),"",IFERROR(IF(INDEX(RUNS!$L$6:$S$1005,MATCH($D1462,RUNS!$A$6:$A$1005,0),MATCH("ACTIVITÉ "&amp;$F1462,RUNS!$L$5:$S$5,0))="","",INDEX(RUNS!$L$6:$S$1005,MATCH($D1462,RUNS!$A$6:$A$1005,0),MATCH("ACTIVITÉ "&amp;$F1462,RUNS!$L$5:$S$5,0))),""))</f>
        <v/>
      </c>
      <c r="L1462" s="33">
        <f>IF($D1462="","",IFERROR(IF(INDEX(RUNS!$E$6:$E$1005,MATCH($D1462,RUNS!$A$6:$A$1005,0))="","",INDEX(RUNS!$E$6:$E$1005,MATCH($D1462,RUNS!$A$6:$A$1005,0))),""))</f>
        <v/>
      </c>
      <c r="M1462" s="33">
        <f>IF($D1462="","",IFERROR(IF(INDEX(RUNS!$F$6:$F$1005,MATCH($D1462,RUNS!$A$6:$A$1005,0))="","",INDEX(RUNS!$F$6:$F$1005,MATCH($D1462,RUNS!$A$6:$A$1005,0))),""))</f>
        <v/>
      </c>
      <c r="N1462" s="33">
        <f>IF($D1462="","",IFERROR(IF(INDEX(RUNS!$G$6:$G$1005,MATCH($D1462,RUNS!$A$6:$A$1005,0))="","",INDEX(RUNS!$G$6:$G$1005,MATCH($D1462,RUNS!$A$6:$A$1005,0))),""))</f>
        <v/>
      </c>
      <c r="O1462" s="33">
        <f>IF($D1462="","",IFERROR(IF(INDEX(RUNS!$H$6:$H$1005,MATCH($D1462,RUNS!$A$6:$A$1005,0))="","",INDEX(RUNS!$H$6:$H$1005,MATCH($D1462,RUNS!$A$6:$A$1005,0))),""))</f>
        <v/>
      </c>
      <c r="P1462" s="33">
        <f>IF($D1462="","",IFERROR(IF(INDEX(RUNS!$J$6:$J$1005,MATCH($D1462,RUNS!$A$6:$A$1005,0))="","",INDEX(RUNS!$J$6:$J$1005,MATCH($D1462,RUNS!$A$6:$A$1005,0))),""))</f>
        <v/>
      </c>
      <c r="Q1462" s="33">
        <f>IF($D1462="","",IFERROR(IF(INDEX(RUNS!$K$6:$K$1005,MATCH($D1462,RUNS!$A$6:$A$1005,0))="","",INDEX(RUNS!$K$6:$K$1005,MATCH($D1462,RUNS!$A$6:$A$1005,0))),""))</f>
        <v/>
      </c>
      <c r="R1462" s="34">
        <f>IF(OR($L1462="",$K1462=""),"",IFERROR(IF(INDEX(PARAMETRES!$H$43:$H$342,MATCH($L1462&amp;"|"&amp;$M1462&amp;"|"&amp;$N1462&amp;"|"&amp;$O1462&amp;"|"&amp;$P1462&amp;"|"&amp;$Q1462&amp;"|"&amp;$K1462,PARAMETRES!$J$43:$J$342,0))="","",INDEX(PARAMETRES!$H$43:$H$342,MATCH($L1462&amp;"|"&amp;$M1462&amp;"|"&amp;$N1462&amp;"|"&amp;$O1462&amp;"|"&amp;$P1462&amp;"|"&amp;$Q1462&amp;"|"&amp;$K1462,PARAMETRES!$J$43:$J$342,0))),""))</f>
        <v/>
      </c>
      <c r="S1462" s="35">
        <f>IF(OR($G1462="",$X1462&lt;&gt;"VALIDE"),"",IFERROR(LOOKUP(2,1/(($B562:$B1461=$B1462)*($G562:$G1461=$G1462)*($X562:$X1461="VALIDE")),$C562:$C1461),""))</f>
        <v/>
      </c>
      <c r="T1462" s="36">
        <f>IF(OR($C1462="",$S1462=""),"",ROUND(($C1462-$S1462+IF($C1462&lt;$S1462,1,0))*1440,0))</f>
        <v/>
      </c>
      <c r="U1462" s="22">
        <f>IF(OR($H1462="",$T1462="",$T1462&lt;=0),"",$H1462*60/$T1462)</f>
        <v/>
      </c>
      <c r="V1462" s="37">
        <f>IF(OR($U1462="",$R1462="",$R1462=0),"",$U1462/$R1462)</f>
        <v/>
      </c>
      <c r="W1462" s="20">
        <f>IF($G1462="","",IF($X1462="CONTEXTE INCOMPLET","CONTEXTE INCOMPLET",IF($X1462="DOUBLON",StatutDoublon,IF($S1462="",StatutInitial,IF($R1462="",StatutStandardManquant,IF($V1462="","DONNEES INSUFFISANTES",IF($V1462&gt;=SeuilConforme,StatutConforme,IF($V1462&gt;=SeuilSurveiller,StatutSurveiller,StatutSousStandard))))))))</f>
        <v/>
      </c>
      <c r="X1462" s="33">
        <f>IF($G1462="","",IF(OR($D1462="",$E1462="",$F1462=""),"CONTEXTE INCOMPLET",IF(COUNTIFS($D562:$D1461,$D1462,$E562:$E1461,$E1462,$F562:$F1461,$F1462,$G562:$G1461,$G1462)&gt;0,"DOUBLON","VALIDE")))</f>
        <v/>
      </c>
    </row>
    <row r="1463" ht="15" customHeight="1">
      <c r="A1463" s="12">
        <f>IF(OR($B1463="",$G1463=""),"",TEXT($B1463,"YYYYMMDD")&amp;"-"&amp;SUBSTITUTE($E1463," ","")&amp;"-"&amp;$F1463&amp;"-"&amp;$G1463)</f>
        <v/>
      </c>
      <c r="B1463" s="15" t="n"/>
      <c r="C1463" s="16" t="n"/>
      <c r="D1463" s="10" t="n"/>
      <c r="E1463" s="9" t="n"/>
      <c r="F1463" s="9" t="n"/>
      <c r="G1463" s="13" t="n"/>
      <c r="H1463" s="21" t="n"/>
      <c r="I1463" s="21" t="n"/>
      <c r="J1463" s="17">
        <f>IF($G1463="","",IFERROR(INDEX(NomsEmployes,MATCH($G1463,MatriculesEmployes,0)),"MATRICULE INCONNU"))</f>
        <v/>
      </c>
      <c r="K1463" s="33">
        <f>IF(OR($D1463="",$F1463=""),"",IFERROR(IF(INDEX(RUNS!$L$6:$S$1005,MATCH($D1463,RUNS!$A$6:$A$1005,0),MATCH("ACTIVITÉ "&amp;$F1463,RUNS!$L$5:$S$5,0))="","",INDEX(RUNS!$L$6:$S$1005,MATCH($D1463,RUNS!$A$6:$A$1005,0),MATCH("ACTIVITÉ "&amp;$F1463,RUNS!$L$5:$S$5,0))),""))</f>
        <v/>
      </c>
      <c r="L1463" s="33">
        <f>IF($D1463="","",IFERROR(IF(INDEX(RUNS!$E$6:$E$1005,MATCH($D1463,RUNS!$A$6:$A$1005,0))="","",INDEX(RUNS!$E$6:$E$1005,MATCH($D1463,RUNS!$A$6:$A$1005,0))),""))</f>
        <v/>
      </c>
      <c r="M1463" s="33">
        <f>IF($D1463="","",IFERROR(IF(INDEX(RUNS!$F$6:$F$1005,MATCH($D1463,RUNS!$A$6:$A$1005,0))="","",INDEX(RUNS!$F$6:$F$1005,MATCH($D1463,RUNS!$A$6:$A$1005,0))),""))</f>
        <v/>
      </c>
      <c r="N1463" s="33">
        <f>IF($D1463="","",IFERROR(IF(INDEX(RUNS!$G$6:$G$1005,MATCH($D1463,RUNS!$A$6:$A$1005,0))="","",INDEX(RUNS!$G$6:$G$1005,MATCH($D1463,RUNS!$A$6:$A$1005,0))),""))</f>
        <v/>
      </c>
      <c r="O1463" s="33">
        <f>IF($D1463="","",IFERROR(IF(INDEX(RUNS!$H$6:$H$1005,MATCH($D1463,RUNS!$A$6:$A$1005,0))="","",INDEX(RUNS!$H$6:$H$1005,MATCH($D1463,RUNS!$A$6:$A$1005,0))),""))</f>
        <v/>
      </c>
      <c r="P1463" s="33">
        <f>IF($D1463="","",IFERROR(IF(INDEX(RUNS!$J$6:$J$1005,MATCH($D1463,RUNS!$A$6:$A$1005,0))="","",INDEX(RUNS!$J$6:$J$1005,MATCH($D1463,RUNS!$A$6:$A$1005,0))),""))</f>
        <v/>
      </c>
      <c r="Q1463" s="33">
        <f>IF($D1463="","",IFERROR(IF(INDEX(RUNS!$K$6:$K$1005,MATCH($D1463,RUNS!$A$6:$A$1005,0))="","",INDEX(RUNS!$K$6:$K$1005,MATCH($D1463,RUNS!$A$6:$A$1005,0))),""))</f>
        <v/>
      </c>
      <c r="R1463" s="34">
        <f>IF(OR($L1463="",$K1463=""),"",IFERROR(IF(INDEX(PARAMETRES!$H$43:$H$342,MATCH($L1463&amp;"|"&amp;$M1463&amp;"|"&amp;$N1463&amp;"|"&amp;$O1463&amp;"|"&amp;$P1463&amp;"|"&amp;$Q1463&amp;"|"&amp;$K1463,PARAMETRES!$J$43:$J$342,0))="","",INDEX(PARAMETRES!$H$43:$H$342,MATCH($L1463&amp;"|"&amp;$M1463&amp;"|"&amp;$N1463&amp;"|"&amp;$O1463&amp;"|"&amp;$P1463&amp;"|"&amp;$Q1463&amp;"|"&amp;$K1463,PARAMETRES!$J$43:$J$342,0))),""))</f>
        <v/>
      </c>
      <c r="S1463" s="35">
        <f>IF(OR($G1463="",$X1463&lt;&gt;"VALIDE"),"",IFERROR(LOOKUP(2,1/(($B563:$B1462=$B1463)*($G563:$G1462=$G1463)*($X563:$X1462="VALIDE")),$C563:$C1462),""))</f>
        <v/>
      </c>
      <c r="T1463" s="36">
        <f>IF(OR($C1463="",$S1463=""),"",ROUND(($C1463-$S1463+IF($C1463&lt;$S1463,1,0))*1440,0))</f>
        <v/>
      </c>
      <c r="U1463" s="22">
        <f>IF(OR($H1463="",$T1463="",$T1463&lt;=0),"",$H1463*60/$T1463)</f>
        <v/>
      </c>
      <c r="V1463" s="37">
        <f>IF(OR($U1463="",$R1463="",$R1463=0),"",$U1463/$R1463)</f>
        <v/>
      </c>
      <c r="W1463" s="20">
        <f>IF($G1463="","",IF($X1463="CONTEXTE INCOMPLET","CONTEXTE INCOMPLET",IF($X1463="DOUBLON",StatutDoublon,IF($S1463="",StatutInitial,IF($R1463="",StatutStandardManquant,IF($V1463="","DONNEES INSUFFISANTES",IF($V1463&gt;=SeuilConforme,StatutConforme,IF($V1463&gt;=SeuilSurveiller,StatutSurveiller,StatutSousStandard))))))))</f>
        <v/>
      </c>
      <c r="X1463" s="33">
        <f>IF($G1463="","",IF(OR($D1463="",$E1463="",$F1463=""),"CONTEXTE INCOMPLET",IF(COUNTIFS($D563:$D1462,$D1463,$E563:$E1462,$E1463,$F563:$F1462,$F1463,$G563:$G1462,$G1463)&gt;0,"DOUBLON","VALIDE")))</f>
        <v/>
      </c>
    </row>
    <row r="1464" ht="15" customHeight="1">
      <c r="A1464" s="12">
        <f>IF(OR($B1464="",$G1464=""),"",TEXT($B1464,"YYYYMMDD")&amp;"-"&amp;SUBSTITUTE($E1464," ","")&amp;"-"&amp;$F1464&amp;"-"&amp;$G1464)</f>
        <v/>
      </c>
      <c r="B1464" s="15" t="n"/>
      <c r="C1464" s="16" t="n"/>
      <c r="D1464" s="10" t="n"/>
      <c r="E1464" s="9" t="n"/>
      <c r="F1464" s="9" t="n"/>
      <c r="G1464" s="13" t="n"/>
      <c r="H1464" s="21" t="n"/>
      <c r="I1464" s="21" t="n"/>
      <c r="J1464" s="17">
        <f>IF($G1464="","",IFERROR(INDEX(NomsEmployes,MATCH($G1464,MatriculesEmployes,0)),"MATRICULE INCONNU"))</f>
        <v/>
      </c>
      <c r="K1464" s="33">
        <f>IF(OR($D1464="",$F1464=""),"",IFERROR(IF(INDEX(RUNS!$L$6:$S$1005,MATCH($D1464,RUNS!$A$6:$A$1005,0),MATCH("ACTIVITÉ "&amp;$F1464,RUNS!$L$5:$S$5,0))="","",INDEX(RUNS!$L$6:$S$1005,MATCH($D1464,RUNS!$A$6:$A$1005,0),MATCH("ACTIVITÉ "&amp;$F1464,RUNS!$L$5:$S$5,0))),""))</f>
        <v/>
      </c>
      <c r="L1464" s="33">
        <f>IF($D1464="","",IFERROR(IF(INDEX(RUNS!$E$6:$E$1005,MATCH($D1464,RUNS!$A$6:$A$1005,0))="","",INDEX(RUNS!$E$6:$E$1005,MATCH($D1464,RUNS!$A$6:$A$1005,0))),""))</f>
        <v/>
      </c>
      <c r="M1464" s="33">
        <f>IF($D1464="","",IFERROR(IF(INDEX(RUNS!$F$6:$F$1005,MATCH($D1464,RUNS!$A$6:$A$1005,0))="","",INDEX(RUNS!$F$6:$F$1005,MATCH($D1464,RUNS!$A$6:$A$1005,0))),""))</f>
        <v/>
      </c>
      <c r="N1464" s="33">
        <f>IF($D1464="","",IFERROR(IF(INDEX(RUNS!$G$6:$G$1005,MATCH($D1464,RUNS!$A$6:$A$1005,0))="","",INDEX(RUNS!$G$6:$G$1005,MATCH($D1464,RUNS!$A$6:$A$1005,0))),""))</f>
        <v/>
      </c>
      <c r="O1464" s="33">
        <f>IF($D1464="","",IFERROR(IF(INDEX(RUNS!$H$6:$H$1005,MATCH($D1464,RUNS!$A$6:$A$1005,0))="","",INDEX(RUNS!$H$6:$H$1005,MATCH($D1464,RUNS!$A$6:$A$1005,0))),""))</f>
        <v/>
      </c>
      <c r="P1464" s="33">
        <f>IF($D1464="","",IFERROR(IF(INDEX(RUNS!$J$6:$J$1005,MATCH($D1464,RUNS!$A$6:$A$1005,0))="","",INDEX(RUNS!$J$6:$J$1005,MATCH($D1464,RUNS!$A$6:$A$1005,0))),""))</f>
        <v/>
      </c>
      <c r="Q1464" s="33">
        <f>IF($D1464="","",IFERROR(IF(INDEX(RUNS!$K$6:$K$1005,MATCH($D1464,RUNS!$A$6:$A$1005,0))="","",INDEX(RUNS!$K$6:$K$1005,MATCH($D1464,RUNS!$A$6:$A$1005,0))),""))</f>
        <v/>
      </c>
      <c r="R1464" s="34">
        <f>IF(OR($L1464="",$K1464=""),"",IFERROR(IF(INDEX(PARAMETRES!$H$43:$H$342,MATCH($L1464&amp;"|"&amp;$M1464&amp;"|"&amp;$N1464&amp;"|"&amp;$O1464&amp;"|"&amp;$P1464&amp;"|"&amp;$Q1464&amp;"|"&amp;$K1464,PARAMETRES!$J$43:$J$342,0))="","",INDEX(PARAMETRES!$H$43:$H$342,MATCH($L1464&amp;"|"&amp;$M1464&amp;"|"&amp;$N1464&amp;"|"&amp;$O1464&amp;"|"&amp;$P1464&amp;"|"&amp;$Q1464&amp;"|"&amp;$K1464,PARAMETRES!$J$43:$J$342,0))),""))</f>
        <v/>
      </c>
      <c r="S1464" s="35">
        <f>IF(OR($G1464="",$X1464&lt;&gt;"VALIDE"),"",IFERROR(LOOKUP(2,1/(($B564:$B1463=$B1464)*($G564:$G1463=$G1464)*($X564:$X1463="VALIDE")),$C564:$C1463),""))</f>
        <v/>
      </c>
      <c r="T1464" s="36">
        <f>IF(OR($C1464="",$S1464=""),"",ROUND(($C1464-$S1464+IF($C1464&lt;$S1464,1,0))*1440,0))</f>
        <v/>
      </c>
      <c r="U1464" s="22">
        <f>IF(OR($H1464="",$T1464="",$T1464&lt;=0),"",$H1464*60/$T1464)</f>
        <v/>
      </c>
      <c r="V1464" s="37">
        <f>IF(OR($U1464="",$R1464="",$R1464=0),"",$U1464/$R1464)</f>
        <v/>
      </c>
      <c r="W1464" s="20">
        <f>IF($G1464="","",IF($X1464="CONTEXTE INCOMPLET","CONTEXTE INCOMPLET",IF($X1464="DOUBLON",StatutDoublon,IF($S1464="",StatutInitial,IF($R1464="",StatutStandardManquant,IF($V1464="","DONNEES INSUFFISANTES",IF($V1464&gt;=SeuilConforme,StatutConforme,IF($V1464&gt;=SeuilSurveiller,StatutSurveiller,StatutSousStandard))))))))</f>
        <v/>
      </c>
      <c r="X1464" s="33">
        <f>IF($G1464="","",IF(OR($D1464="",$E1464="",$F1464=""),"CONTEXTE INCOMPLET",IF(COUNTIFS($D564:$D1463,$D1464,$E564:$E1463,$E1464,$F564:$F1463,$F1464,$G564:$G1463,$G1464)&gt;0,"DOUBLON","VALIDE")))</f>
        <v/>
      </c>
    </row>
    <row r="1465" ht="15" customHeight="1">
      <c r="A1465" s="12">
        <f>IF(OR($B1465="",$G1465=""),"",TEXT($B1465,"YYYYMMDD")&amp;"-"&amp;SUBSTITUTE($E1465," ","")&amp;"-"&amp;$F1465&amp;"-"&amp;$G1465)</f>
        <v/>
      </c>
      <c r="B1465" s="15" t="n"/>
      <c r="C1465" s="16" t="n"/>
      <c r="D1465" s="10" t="n"/>
      <c r="E1465" s="9" t="n"/>
      <c r="F1465" s="9" t="n"/>
      <c r="G1465" s="13" t="n"/>
      <c r="H1465" s="21" t="n"/>
      <c r="I1465" s="21" t="n"/>
      <c r="J1465" s="17">
        <f>IF($G1465="","",IFERROR(INDEX(NomsEmployes,MATCH($G1465,MatriculesEmployes,0)),"MATRICULE INCONNU"))</f>
        <v/>
      </c>
      <c r="K1465" s="33">
        <f>IF(OR($D1465="",$F1465=""),"",IFERROR(IF(INDEX(RUNS!$L$6:$S$1005,MATCH($D1465,RUNS!$A$6:$A$1005,0),MATCH("ACTIVITÉ "&amp;$F1465,RUNS!$L$5:$S$5,0))="","",INDEX(RUNS!$L$6:$S$1005,MATCH($D1465,RUNS!$A$6:$A$1005,0),MATCH("ACTIVITÉ "&amp;$F1465,RUNS!$L$5:$S$5,0))),""))</f>
        <v/>
      </c>
      <c r="L1465" s="33">
        <f>IF($D1465="","",IFERROR(IF(INDEX(RUNS!$E$6:$E$1005,MATCH($D1465,RUNS!$A$6:$A$1005,0))="","",INDEX(RUNS!$E$6:$E$1005,MATCH($D1465,RUNS!$A$6:$A$1005,0))),""))</f>
        <v/>
      </c>
      <c r="M1465" s="33">
        <f>IF($D1465="","",IFERROR(IF(INDEX(RUNS!$F$6:$F$1005,MATCH($D1465,RUNS!$A$6:$A$1005,0))="","",INDEX(RUNS!$F$6:$F$1005,MATCH($D1465,RUNS!$A$6:$A$1005,0))),""))</f>
        <v/>
      </c>
      <c r="N1465" s="33">
        <f>IF($D1465="","",IFERROR(IF(INDEX(RUNS!$G$6:$G$1005,MATCH($D1465,RUNS!$A$6:$A$1005,0))="","",INDEX(RUNS!$G$6:$G$1005,MATCH($D1465,RUNS!$A$6:$A$1005,0))),""))</f>
        <v/>
      </c>
      <c r="O1465" s="33">
        <f>IF($D1465="","",IFERROR(IF(INDEX(RUNS!$H$6:$H$1005,MATCH($D1465,RUNS!$A$6:$A$1005,0))="","",INDEX(RUNS!$H$6:$H$1005,MATCH($D1465,RUNS!$A$6:$A$1005,0))),""))</f>
        <v/>
      </c>
      <c r="P1465" s="33">
        <f>IF($D1465="","",IFERROR(IF(INDEX(RUNS!$J$6:$J$1005,MATCH($D1465,RUNS!$A$6:$A$1005,0))="","",INDEX(RUNS!$J$6:$J$1005,MATCH($D1465,RUNS!$A$6:$A$1005,0))),""))</f>
        <v/>
      </c>
      <c r="Q1465" s="33">
        <f>IF($D1465="","",IFERROR(IF(INDEX(RUNS!$K$6:$K$1005,MATCH($D1465,RUNS!$A$6:$A$1005,0))="","",INDEX(RUNS!$K$6:$K$1005,MATCH($D1465,RUNS!$A$6:$A$1005,0))),""))</f>
        <v/>
      </c>
      <c r="R1465" s="34">
        <f>IF(OR($L1465="",$K1465=""),"",IFERROR(IF(INDEX(PARAMETRES!$H$43:$H$342,MATCH($L1465&amp;"|"&amp;$M1465&amp;"|"&amp;$N1465&amp;"|"&amp;$O1465&amp;"|"&amp;$P1465&amp;"|"&amp;$Q1465&amp;"|"&amp;$K1465,PARAMETRES!$J$43:$J$342,0))="","",INDEX(PARAMETRES!$H$43:$H$342,MATCH($L1465&amp;"|"&amp;$M1465&amp;"|"&amp;$N1465&amp;"|"&amp;$O1465&amp;"|"&amp;$P1465&amp;"|"&amp;$Q1465&amp;"|"&amp;$K1465,PARAMETRES!$J$43:$J$342,0))),""))</f>
        <v/>
      </c>
      <c r="S1465" s="35">
        <f>IF(OR($G1465="",$X1465&lt;&gt;"VALIDE"),"",IFERROR(LOOKUP(2,1/(($B565:$B1464=$B1465)*($G565:$G1464=$G1465)*($X565:$X1464="VALIDE")),$C565:$C1464),""))</f>
        <v/>
      </c>
      <c r="T1465" s="36">
        <f>IF(OR($C1465="",$S1465=""),"",ROUND(($C1465-$S1465+IF($C1465&lt;$S1465,1,0))*1440,0))</f>
        <v/>
      </c>
      <c r="U1465" s="22">
        <f>IF(OR($H1465="",$T1465="",$T1465&lt;=0),"",$H1465*60/$T1465)</f>
        <v/>
      </c>
      <c r="V1465" s="37">
        <f>IF(OR($U1465="",$R1465="",$R1465=0),"",$U1465/$R1465)</f>
        <v/>
      </c>
      <c r="W1465" s="20">
        <f>IF($G1465="","",IF($X1465="CONTEXTE INCOMPLET","CONTEXTE INCOMPLET",IF($X1465="DOUBLON",StatutDoublon,IF($S1465="",StatutInitial,IF($R1465="",StatutStandardManquant,IF($V1465="","DONNEES INSUFFISANTES",IF($V1465&gt;=SeuilConforme,StatutConforme,IF($V1465&gt;=SeuilSurveiller,StatutSurveiller,StatutSousStandard))))))))</f>
        <v/>
      </c>
      <c r="X1465" s="33">
        <f>IF($G1465="","",IF(OR($D1465="",$E1465="",$F1465=""),"CONTEXTE INCOMPLET",IF(COUNTIFS($D565:$D1464,$D1465,$E565:$E1464,$E1465,$F565:$F1464,$F1465,$G565:$G1464,$G1465)&gt;0,"DOUBLON","VALIDE")))</f>
        <v/>
      </c>
    </row>
    <row r="1466" ht="15" customHeight="1">
      <c r="A1466" s="12">
        <f>IF(OR($B1466="",$G1466=""),"",TEXT($B1466,"YYYYMMDD")&amp;"-"&amp;SUBSTITUTE($E1466," ","")&amp;"-"&amp;$F1466&amp;"-"&amp;$G1466)</f>
        <v/>
      </c>
      <c r="B1466" s="15" t="n"/>
      <c r="C1466" s="16" t="n"/>
      <c r="D1466" s="10" t="n"/>
      <c r="E1466" s="9" t="n"/>
      <c r="F1466" s="9" t="n"/>
      <c r="G1466" s="13" t="n"/>
      <c r="H1466" s="21" t="n"/>
      <c r="I1466" s="21" t="n"/>
      <c r="J1466" s="17">
        <f>IF($G1466="","",IFERROR(INDEX(NomsEmployes,MATCH($G1466,MatriculesEmployes,0)),"MATRICULE INCONNU"))</f>
        <v/>
      </c>
      <c r="K1466" s="33">
        <f>IF(OR($D1466="",$F1466=""),"",IFERROR(IF(INDEX(RUNS!$L$6:$S$1005,MATCH($D1466,RUNS!$A$6:$A$1005,0),MATCH("ACTIVITÉ "&amp;$F1466,RUNS!$L$5:$S$5,0))="","",INDEX(RUNS!$L$6:$S$1005,MATCH($D1466,RUNS!$A$6:$A$1005,0),MATCH("ACTIVITÉ "&amp;$F1466,RUNS!$L$5:$S$5,0))),""))</f>
        <v/>
      </c>
      <c r="L1466" s="33">
        <f>IF($D1466="","",IFERROR(IF(INDEX(RUNS!$E$6:$E$1005,MATCH($D1466,RUNS!$A$6:$A$1005,0))="","",INDEX(RUNS!$E$6:$E$1005,MATCH($D1466,RUNS!$A$6:$A$1005,0))),""))</f>
        <v/>
      </c>
      <c r="M1466" s="33">
        <f>IF($D1466="","",IFERROR(IF(INDEX(RUNS!$F$6:$F$1005,MATCH($D1466,RUNS!$A$6:$A$1005,0))="","",INDEX(RUNS!$F$6:$F$1005,MATCH($D1466,RUNS!$A$6:$A$1005,0))),""))</f>
        <v/>
      </c>
      <c r="N1466" s="33">
        <f>IF($D1466="","",IFERROR(IF(INDEX(RUNS!$G$6:$G$1005,MATCH($D1466,RUNS!$A$6:$A$1005,0))="","",INDEX(RUNS!$G$6:$G$1005,MATCH($D1466,RUNS!$A$6:$A$1005,0))),""))</f>
        <v/>
      </c>
      <c r="O1466" s="33">
        <f>IF($D1466="","",IFERROR(IF(INDEX(RUNS!$H$6:$H$1005,MATCH($D1466,RUNS!$A$6:$A$1005,0))="","",INDEX(RUNS!$H$6:$H$1005,MATCH($D1466,RUNS!$A$6:$A$1005,0))),""))</f>
        <v/>
      </c>
      <c r="P1466" s="33">
        <f>IF($D1466="","",IFERROR(IF(INDEX(RUNS!$J$6:$J$1005,MATCH($D1466,RUNS!$A$6:$A$1005,0))="","",INDEX(RUNS!$J$6:$J$1005,MATCH($D1466,RUNS!$A$6:$A$1005,0))),""))</f>
        <v/>
      </c>
      <c r="Q1466" s="33">
        <f>IF($D1466="","",IFERROR(IF(INDEX(RUNS!$K$6:$K$1005,MATCH($D1466,RUNS!$A$6:$A$1005,0))="","",INDEX(RUNS!$K$6:$K$1005,MATCH($D1466,RUNS!$A$6:$A$1005,0))),""))</f>
        <v/>
      </c>
      <c r="R1466" s="34">
        <f>IF(OR($L1466="",$K1466=""),"",IFERROR(IF(INDEX(PARAMETRES!$H$43:$H$342,MATCH($L1466&amp;"|"&amp;$M1466&amp;"|"&amp;$N1466&amp;"|"&amp;$O1466&amp;"|"&amp;$P1466&amp;"|"&amp;$Q1466&amp;"|"&amp;$K1466,PARAMETRES!$J$43:$J$342,0))="","",INDEX(PARAMETRES!$H$43:$H$342,MATCH($L1466&amp;"|"&amp;$M1466&amp;"|"&amp;$N1466&amp;"|"&amp;$O1466&amp;"|"&amp;$P1466&amp;"|"&amp;$Q1466&amp;"|"&amp;$K1466,PARAMETRES!$J$43:$J$342,0))),""))</f>
        <v/>
      </c>
      <c r="S1466" s="35">
        <f>IF(OR($G1466="",$X1466&lt;&gt;"VALIDE"),"",IFERROR(LOOKUP(2,1/(($B566:$B1465=$B1466)*($G566:$G1465=$G1466)*($X566:$X1465="VALIDE")),$C566:$C1465),""))</f>
        <v/>
      </c>
      <c r="T1466" s="36">
        <f>IF(OR($C1466="",$S1466=""),"",ROUND(($C1466-$S1466+IF($C1466&lt;$S1466,1,0))*1440,0))</f>
        <v/>
      </c>
      <c r="U1466" s="22">
        <f>IF(OR($H1466="",$T1466="",$T1466&lt;=0),"",$H1466*60/$T1466)</f>
        <v/>
      </c>
      <c r="V1466" s="37">
        <f>IF(OR($U1466="",$R1466="",$R1466=0),"",$U1466/$R1466)</f>
        <v/>
      </c>
      <c r="W1466" s="20">
        <f>IF($G1466="","",IF($X1466="CONTEXTE INCOMPLET","CONTEXTE INCOMPLET",IF($X1466="DOUBLON",StatutDoublon,IF($S1466="",StatutInitial,IF($R1466="",StatutStandardManquant,IF($V1466="","DONNEES INSUFFISANTES",IF($V1466&gt;=SeuilConforme,StatutConforme,IF($V1466&gt;=SeuilSurveiller,StatutSurveiller,StatutSousStandard))))))))</f>
        <v/>
      </c>
      <c r="X1466" s="33">
        <f>IF($G1466="","",IF(OR($D1466="",$E1466="",$F1466=""),"CONTEXTE INCOMPLET",IF(COUNTIFS($D566:$D1465,$D1466,$E566:$E1465,$E1466,$F566:$F1465,$F1466,$G566:$G1465,$G1466)&gt;0,"DOUBLON","VALIDE")))</f>
        <v/>
      </c>
    </row>
    <row r="1467" ht="15" customHeight="1">
      <c r="A1467" s="12">
        <f>IF(OR($B1467="",$G1467=""),"",TEXT($B1467,"YYYYMMDD")&amp;"-"&amp;SUBSTITUTE($E1467," ","")&amp;"-"&amp;$F1467&amp;"-"&amp;$G1467)</f>
        <v/>
      </c>
      <c r="B1467" s="15" t="n"/>
      <c r="C1467" s="16" t="n"/>
      <c r="D1467" s="10" t="n"/>
      <c r="E1467" s="9" t="n"/>
      <c r="F1467" s="9" t="n"/>
      <c r="G1467" s="13" t="n"/>
      <c r="H1467" s="21" t="n"/>
      <c r="I1467" s="21" t="n"/>
      <c r="J1467" s="17">
        <f>IF($G1467="","",IFERROR(INDEX(NomsEmployes,MATCH($G1467,MatriculesEmployes,0)),"MATRICULE INCONNU"))</f>
        <v/>
      </c>
      <c r="K1467" s="33">
        <f>IF(OR($D1467="",$F1467=""),"",IFERROR(IF(INDEX(RUNS!$L$6:$S$1005,MATCH($D1467,RUNS!$A$6:$A$1005,0),MATCH("ACTIVITÉ "&amp;$F1467,RUNS!$L$5:$S$5,0))="","",INDEX(RUNS!$L$6:$S$1005,MATCH($D1467,RUNS!$A$6:$A$1005,0),MATCH("ACTIVITÉ "&amp;$F1467,RUNS!$L$5:$S$5,0))),""))</f>
        <v/>
      </c>
      <c r="L1467" s="33">
        <f>IF($D1467="","",IFERROR(IF(INDEX(RUNS!$E$6:$E$1005,MATCH($D1467,RUNS!$A$6:$A$1005,0))="","",INDEX(RUNS!$E$6:$E$1005,MATCH($D1467,RUNS!$A$6:$A$1005,0))),""))</f>
        <v/>
      </c>
      <c r="M1467" s="33">
        <f>IF($D1467="","",IFERROR(IF(INDEX(RUNS!$F$6:$F$1005,MATCH($D1467,RUNS!$A$6:$A$1005,0))="","",INDEX(RUNS!$F$6:$F$1005,MATCH($D1467,RUNS!$A$6:$A$1005,0))),""))</f>
        <v/>
      </c>
      <c r="N1467" s="33">
        <f>IF($D1467="","",IFERROR(IF(INDEX(RUNS!$G$6:$G$1005,MATCH($D1467,RUNS!$A$6:$A$1005,0))="","",INDEX(RUNS!$G$6:$G$1005,MATCH($D1467,RUNS!$A$6:$A$1005,0))),""))</f>
        <v/>
      </c>
      <c r="O1467" s="33">
        <f>IF($D1467="","",IFERROR(IF(INDEX(RUNS!$H$6:$H$1005,MATCH($D1467,RUNS!$A$6:$A$1005,0))="","",INDEX(RUNS!$H$6:$H$1005,MATCH($D1467,RUNS!$A$6:$A$1005,0))),""))</f>
        <v/>
      </c>
      <c r="P1467" s="33">
        <f>IF($D1467="","",IFERROR(IF(INDEX(RUNS!$J$6:$J$1005,MATCH($D1467,RUNS!$A$6:$A$1005,0))="","",INDEX(RUNS!$J$6:$J$1005,MATCH($D1467,RUNS!$A$6:$A$1005,0))),""))</f>
        <v/>
      </c>
      <c r="Q1467" s="33">
        <f>IF($D1467="","",IFERROR(IF(INDEX(RUNS!$K$6:$K$1005,MATCH($D1467,RUNS!$A$6:$A$1005,0))="","",INDEX(RUNS!$K$6:$K$1005,MATCH($D1467,RUNS!$A$6:$A$1005,0))),""))</f>
        <v/>
      </c>
      <c r="R1467" s="34">
        <f>IF(OR($L1467="",$K1467=""),"",IFERROR(IF(INDEX(PARAMETRES!$H$43:$H$342,MATCH($L1467&amp;"|"&amp;$M1467&amp;"|"&amp;$N1467&amp;"|"&amp;$O1467&amp;"|"&amp;$P1467&amp;"|"&amp;$Q1467&amp;"|"&amp;$K1467,PARAMETRES!$J$43:$J$342,0))="","",INDEX(PARAMETRES!$H$43:$H$342,MATCH($L1467&amp;"|"&amp;$M1467&amp;"|"&amp;$N1467&amp;"|"&amp;$O1467&amp;"|"&amp;$P1467&amp;"|"&amp;$Q1467&amp;"|"&amp;$K1467,PARAMETRES!$J$43:$J$342,0))),""))</f>
        <v/>
      </c>
      <c r="S1467" s="35">
        <f>IF(OR($G1467="",$X1467&lt;&gt;"VALIDE"),"",IFERROR(LOOKUP(2,1/(($B567:$B1466=$B1467)*($G567:$G1466=$G1467)*($X567:$X1466="VALIDE")),$C567:$C1466),""))</f>
        <v/>
      </c>
      <c r="T1467" s="36">
        <f>IF(OR($C1467="",$S1467=""),"",ROUND(($C1467-$S1467+IF($C1467&lt;$S1467,1,0))*1440,0))</f>
        <v/>
      </c>
      <c r="U1467" s="22">
        <f>IF(OR($H1467="",$T1467="",$T1467&lt;=0),"",$H1467*60/$T1467)</f>
        <v/>
      </c>
      <c r="V1467" s="37">
        <f>IF(OR($U1467="",$R1467="",$R1467=0),"",$U1467/$R1467)</f>
        <v/>
      </c>
      <c r="W1467" s="20">
        <f>IF($G1467="","",IF($X1467="CONTEXTE INCOMPLET","CONTEXTE INCOMPLET",IF($X1467="DOUBLON",StatutDoublon,IF($S1467="",StatutInitial,IF($R1467="",StatutStandardManquant,IF($V1467="","DONNEES INSUFFISANTES",IF($V1467&gt;=SeuilConforme,StatutConforme,IF($V1467&gt;=SeuilSurveiller,StatutSurveiller,StatutSousStandard))))))))</f>
        <v/>
      </c>
      <c r="X1467" s="33">
        <f>IF($G1467="","",IF(OR($D1467="",$E1467="",$F1467=""),"CONTEXTE INCOMPLET",IF(COUNTIFS($D567:$D1466,$D1467,$E567:$E1466,$E1467,$F567:$F1466,$F1467,$G567:$G1466,$G1467)&gt;0,"DOUBLON","VALIDE")))</f>
        <v/>
      </c>
    </row>
    <row r="1468" ht="15" customHeight="1">
      <c r="A1468" s="12">
        <f>IF(OR($B1468="",$G1468=""),"",TEXT($B1468,"YYYYMMDD")&amp;"-"&amp;SUBSTITUTE($E1468," ","")&amp;"-"&amp;$F1468&amp;"-"&amp;$G1468)</f>
        <v/>
      </c>
      <c r="B1468" s="15" t="n"/>
      <c r="C1468" s="16" t="n"/>
      <c r="D1468" s="10" t="n"/>
      <c r="E1468" s="9" t="n"/>
      <c r="F1468" s="9" t="n"/>
      <c r="G1468" s="13" t="n"/>
      <c r="H1468" s="21" t="n"/>
      <c r="I1468" s="21" t="n"/>
      <c r="J1468" s="17">
        <f>IF($G1468="","",IFERROR(INDEX(NomsEmployes,MATCH($G1468,MatriculesEmployes,0)),"MATRICULE INCONNU"))</f>
        <v/>
      </c>
      <c r="K1468" s="33">
        <f>IF(OR($D1468="",$F1468=""),"",IFERROR(IF(INDEX(RUNS!$L$6:$S$1005,MATCH($D1468,RUNS!$A$6:$A$1005,0),MATCH("ACTIVITÉ "&amp;$F1468,RUNS!$L$5:$S$5,0))="","",INDEX(RUNS!$L$6:$S$1005,MATCH($D1468,RUNS!$A$6:$A$1005,0),MATCH("ACTIVITÉ "&amp;$F1468,RUNS!$L$5:$S$5,0))),""))</f>
        <v/>
      </c>
      <c r="L1468" s="33">
        <f>IF($D1468="","",IFERROR(IF(INDEX(RUNS!$E$6:$E$1005,MATCH($D1468,RUNS!$A$6:$A$1005,0))="","",INDEX(RUNS!$E$6:$E$1005,MATCH($D1468,RUNS!$A$6:$A$1005,0))),""))</f>
        <v/>
      </c>
      <c r="M1468" s="33">
        <f>IF($D1468="","",IFERROR(IF(INDEX(RUNS!$F$6:$F$1005,MATCH($D1468,RUNS!$A$6:$A$1005,0))="","",INDEX(RUNS!$F$6:$F$1005,MATCH($D1468,RUNS!$A$6:$A$1005,0))),""))</f>
        <v/>
      </c>
      <c r="N1468" s="33">
        <f>IF($D1468="","",IFERROR(IF(INDEX(RUNS!$G$6:$G$1005,MATCH($D1468,RUNS!$A$6:$A$1005,0))="","",INDEX(RUNS!$G$6:$G$1005,MATCH($D1468,RUNS!$A$6:$A$1005,0))),""))</f>
        <v/>
      </c>
      <c r="O1468" s="33">
        <f>IF($D1468="","",IFERROR(IF(INDEX(RUNS!$H$6:$H$1005,MATCH($D1468,RUNS!$A$6:$A$1005,0))="","",INDEX(RUNS!$H$6:$H$1005,MATCH($D1468,RUNS!$A$6:$A$1005,0))),""))</f>
        <v/>
      </c>
      <c r="P1468" s="33">
        <f>IF($D1468="","",IFERROR(IF(INDEX(RUNS!$J$6:$J$1005,MATCH($D1468,RUNS!$A$6:$A$1005,0))="","",INDEX(RUNS!$J$6:$J$1005,MATCH($D1468,RUNS!$A$6:$A$1005,0))),""))</f>
        <v/>
      </c>
      <c r="Q1468" s="33">
        <f>IF($D1468="","",IFERROR(IF(INDEX(RUNS!$K$6:$K$1005,MATCH($D1468,RUNS!$A$6:$A$1005,0))="","",INDEX(RUNS!$K$6:$K$1005,MATCH($D1468,RUNS!$A$6:$A$1005,0))),""))</f>
        <v/>
      </c>
      <c r="R1468" s="34">
        <f>IF(OR($L1468="",$K1468=""),"",IFERROR(IF(INDEX(PARAMETRES!$H$43:$H$342,MATCH($L1468&amp;"|"&amp;$M1468&amp;"|"&amp;$N1468&amp;"|"&amp;$O1468&amp;"|"&amp;$P1468&amp;"|"&amp;$Q1468&amp;"|"&amp;$K1468,PARAMETRES!$J$43:$J$342,0))="","",INDEX(PARAMETRES!$H$43:$H$342,MATCH($L1468&amp;"|"&amp;$M1468&amp;"|"&amp;$N1468&amp;"|"&amp;$O1468&amp;"|"&amp;$P1468&amp;"|"&amp;$Q1468&amp;"|"&amp;$K1468,PARAMETRES!$J$43:$J$342,0))),""))</f>
        <v/>
      </c>
      <c r="S1468" s="35">
        <f>IF(OR($G1468="",$X1468&lt;&gt;"VALIDE"),"",IFERROR(LOOKUP(2,1/(($B568:$B1467=$B1468)*($G568:$G1467=$G1468)*($X568:$X1467="VALIDE")),$C568:$C1467),""))</f>
        <v/>
      </c>
      <c r="T1468" s="36">
        <f>IF(OR($C1468="",$S1468=""),"",ROUND(($C1468-$S1468+IF($C1468&lt;$S1468,1,0))*1440,0))</f>
        <v/>
      </c>
      <c r="U1468" s="22">
        <f>IF(OR($H1468="",$T1468="",$T1468&lt;=0),"",$H1468*60/$T1468)</f>
        <v/>
      </c>
      <c r="V1468" s="37">
        <f>IF(OR($U1468="",$R1468="",$R1468=0),"",$U1468/$R1468)</f>
        <v/>
      </c>
      <c r="W1468" s="20">
        <f>IF($G1468="","",IF($X1468="CONTEXTE INCOMPLET","CONTEXTE INCOMPLET",IF($X1468="DOUBLON",StatutDoublon,IF($S1468="",StatutInitial,IF($R1468="",StatutStandardManquant,IF($V1468="","DONNEES INSUFFISANTES",IF($V1468&gt;=SeuilConforme,StatutConforme,IF($V1468&gt;=SeuilSurveiller,StatutSurveiller,StatutSousStandard))))))))</f>
        <v/>
      </c>
      <c r="X1468" s="33">
        <f>IF($G1468="","",IF(OR($D1468="",$E1468="",$F1468=""),"CONTEXTE INCOMPLET",IF(COUNTIFS($D568:$D1467,$D1468,$E568:$E1467,$E1468,$F568:$F1467,$F1468,$G568:$G1467,$G1468)&gt;0,"DOUBLON","VALIDE")))</f>
        <v/>
      </c>
    </row>
    <row r="1469" ht="15" customHeight="1">
      <c r="A1469" s="12">
        <f>IF(OR($B1469="",$G1469=""),"",TEXT($B1469,"YYYYMMDD")&amp;"-"&amp;SUBSTITUTE($E1469," ","")&amp;"-"&amp;$F1469&amp;"-"&amp;$G1469)</f>
        <v/>
      </c>
      <c r="B1469" s="15" t="n"/>
      <c r="C1469" s="16" t="n"/>
      <c r="D1469" s="10" t="n"/>
      <c r="E1469" s="9" t="n"/>
      <c r="F1469" s="9" t="n"/>
      <c r="G1469" s="13" t="n"/>
      <c r="H1469" s="21" t="n"/>
      <c r="I1469" s="21" t="n"/>
      <c r="J1469" s="17">
        <f>IF($G1469="","",IFERROR(INDEX(NomsEmployes,MATCH($G1469,MatriculesEmployes,0)),"MATRICULE INCONNU"))</f>
        <v/>
      </c>
      <c r="K1469" s="33">
        <f>IF(OR($D1469="",$F1469=""),"",IFERROR(IF(INDEX(RUNS!$L$6:$S$1005,MATCH($D1469,RUNS!$A$6:$A$1005,0),MATCH("ACTIVITÉ "&amp;$F1469,RUNS!$L$5:$S$5,0))="","",INDEX(RUNS!$L$6:$S$1005,MATCH($D1469,RUNS!$A$6:$A$1005,0),MATCH("ACTIVITÉ "&amp;$F1469,RUNS!$L$5:$S$5,0))),""))</f>
        <v/>
      </c>
      <c r="L1469" s="33">
        <f>IF($D1469="","",IFERROR(IF(INDEX(RUNS!$E$6:$E$1005,MATCH($D1469,RUNS!$A$6:$A$1005,0))="","",INDEX(RUNS!$E$6:$E$1005,MATCH($D1469,RUNS!$A$6:$A$1005,0))),""))</f>
        <v/>
      </c>
      <c r="M1469" s="33">
        <f>IF($D1469="","",IFERROR(IF(INDEX(RUNS!$F$6:$F$1005,MATCH($D1469,RUNS!$A$6:$A$1005,0))="","",INDEX(RUNS!$F$6:$F$1005,MATCH($D1469,RUNS!$A$6:$A$1005,0))),""))</f>
        <v/>
      </c>
      <c r="N1469" s="33">
        <f>IF($D1469="","",IFERROR(IF(INDEX(RUNS!$G$6:$G$1005,MATCH($D1469,RUNS!$A$6:$A$1005,0))="","",INDEX(RUNS!$G$6:$G$1005,MATCH($D1469,RUNS!$A$6:$A$1005,0))),""))</f>
        <v/>
      </c>
      <c r="O1469" s="33">
        <f>IF($D1469="","",IFERROR(IF(INDEX(RUNS!$H$6:$H$1005,MATCH($D1469,RUNS!$A$6:$A$1005,0))="","",INDEX(RUNS!$H$6:$H$1005,MATCH($D1469,RUNS!$A$6:$A$1005,0))),""))</f>
        <v/>
      </c>
      <c r="P1469" s="33">
        <f>IF($D1469="","",IFERROR(IF(INDEX(RUNS!$J$6:$J$1005,MATCH($D1469,RUNS!$A$6:$A$1005,0))="","",INDEX(RUNS!$J$6:$J$1005,MATCH($D1469,RUNS!$A$6:$A$1005,0))),""))</f>
        <v/>
      </c>
      <c r="Q1469" s="33">
        <f>IF($D1469="","",IFERROR(IF(INDEX(RUNS!$K$6:$K$1005,MATCH($D1469,RUNS!$A$6:$A$1005,0))="","",INDEX(RUNS!$K$6:$K$1005,MATCH($D1469,RUNS!$A$6:$A$1005,0))),""))</f>
        <v/>
      </c>
      <c r="R1469" s="34">
        <f>IF(OR($L1469="",$K1469=""),"",IFERROR(IF(INDEX(PARAMETRES!$H$43:$H$342,MATCH($L1469&amp;"|"&amp;$M1469&amp;"|"&amp;$N1469&amp;"|"&amp;$O1469&amp;"|"&amp;$P1469&amp;"|"&amp;$Q1469&amp;"|"&amp;$K1469,PARAMETRES!$J$43:$J$342,0))="","",INDEX(PARAMETRES!$H$43:$H$342,MATCH($L1469&amp;"|"&amp;$M1469&amp;"|"&amp;$N1469&amp;"|"&amp;$O1469&amp;"|"&amp;$P1469&amp;"|"&amp;$Q1469&amp;"|"&amp;$K1469,PARAMETRES!$J$43:$J$342,0))),""))</f>
        <v/>
      </c>
      <c r="S1469" s="35">
        <f>IF(OR($G1469="",$X1469&lt;&gt;"VALIDE"),"",IFERROR(LOOKUP(2,1/(($B569:$B1468=$B1469)*($G569:$G1468=$G1469)*($X569:$X1468="VALIDE")),$C569:$C1468),""))</f>
        <v/>
      </c>
      <c r="T1469" s="36">
        <f>IF(OR($C1469="",$S1469=""),"",ROUND(($C1469-$S1469+IF($C1469&lt;$S1469,1,0))*1440,0))</f>
        <v/>
      </c>
      <c r="U1469" s="22">
        <f>IF(OR($H1469="",$T1469="",$T1469&lt;=0),"",$H1469*60/$T1469)</f>
        <v/>
      </c>
      <c r="V1469" s="37">
        <f>IF(OR($U1469="",$R1469="",$R1469=0),"",$U1469/$R1469)</f>
        <v/>
      </c>
      <c r="W1469" s="20">
        <f>IF($G1469="","",IF($X1469="CONTEXTE INCOMPLET","CONTEXTE INCOMPLET",IF($X1469="DOUBLON",StatutDoublon,IF($S1469="",StatutInitial,IF($R1469="",StatutStandardManquant,IF($V1469="","DONNEES INSUFFISANTES",IF($V1469&gt;=SeuilConforme,StatutConforme,IF($V1469&gt;=SeuilSurveiller,StatutSurveiller,StatutSousStandard))))))))</f>
        <v/>
      </c>
      <c r="X1469" s="33">
        <f>IF($G1469="","",IF(OR($D1469="",$E1469="",$F1469=""),"CONTEXTE INCOMPLET",IF(COUNTIFS($D569:$D1468,$D1469,$E569:$E1468,$E1469,$F569:$F1468,$F1469,$G569:$G1468,$G1469)&gt;0,"DOUBLON","VALIDE")))</f>
        <v/>
      </c>
    </row>
    <row r="1470" ht="15" customHeight="1">
      <c r="A1470" s="12">
        <f>IF(OR($B1470="",$G1470=""),"",TEXT($B1470,"YYYYMMDD")&amp;"-"&amp;SUBSTITUTE($E1470," ","")&amp;"-"&amp;$F1470&amp;"-"&amp;$G1470)</f>
        <v/>
      </c>
      <c r="B1470" s="15" t="n"/>
      <c r="C1470" s="16" t="n"/>
      <c r="D1470" s="10" t="n"/>
      <c r="E1470" s="9" t="n"/>
      <c r="F1470" s="9" t="n"/>
      <c r="G1470" s="13" t="n"/>
      <c r="H1470" s="21" t="n"/>
      <c r="I1470" s="21" t="n"/>
      <c r="J1470" s="17">
        <f>IF($G1470="","",IFERROR(INDEX(NomsEmployes,MATCH($G1470,MatriculesEmployes,0)),"MATRICULE INCONNU"))</f>
        <v/>
      </c>
      <c r="K1470" s="33">
        <f>IF(OR($D1470="",$F1470=""),"",IFERROR(IF(INDEX(RUNS!$L$6:$S$1005,MATCH($D1470,RUNS!$A$6:$A$1005,0),MATCH("ACTIVITÉ "&amp;$F1470,RUNS!$L$5:$S$5,0))="","",INDEX(RUNS!$L$6:$S$1005,MATCH($D1470,RUNS!$A$6:$A$1005,0),MATCH("ACTIVITÉ "&amp;$F1470,RUNS!$L$5:$S$5,0))),""))</f>
        <v/>
      </c>
      <c r="L1470" s="33">
        <f>IF($D1470="","",IFERROR(IF(INDEX(RUNS!$E$6:$E$1005,MATCH($D1470,RUNS!$A$6:$A$1005,0))="","",INDEX(RUNS!$E$6:$E$1005,MATCH($D1470,RUNS!$A$6:$A$1005,0))),""))</f>
        <v/>
      </c>
      <c r="M1470" s="33">
        <f>IF($D1470="","",IFERROR(IF(INDEX(RUNS!$F$6:$F$1005,MATCH($D1470,RUNS!$A$6:$A$1005,0))="","",INDEX(RUNS!$F$6:$F$1005,MATCH($D1470,RUNS!$A$6:$A$1005,0))),""))</f>
        <v/>
      </c>
      <c r="N1470" s="33">
        <f>IF($D1470="","",IFERROR(IF(INDEX(RUNS!$G$6:$G$1005,MATCH($D1470,RUNS!$A$6:$A$1005,0))="","",INDEX(RUNS!$G$6:$G$1005,MATCH($D1470,RUNS!$A$6:$A$1005,0))),""))</f>
        <v/>
      </c>
      <c r="O1470" s="33">
        <f>IF($D1470="","",IFERROR(IF(INDEX(RUNS!$H$6:$H$1005,MATCH($D1470,RUNS!$A$6:$A$1005,0))="","",INDEX(RUNS!$H$6:$H$1005,MATCH($D1470,RUNS!$A$6:$A$1005,0))),""))</f>
        <v/>
      </c>
      <c r="P1470" s="33">
        <f>IF($D1470="","",IFERROR(IF(INDEX(RUNS!$J$6:$J$1005,MATCH($D1470,RUNS!$A$6:$A$1005,0))="","",INDEX(RUNS!$J$6:$J$1005,MATCH($D1470,RUNS!$A$6:$A$1005,0))),""))</f>
        <v/>
      </c>
      <c r="Q1470" s="33">
        <f>IF($D1470="","",IFERROR(IF(INDEX(RUNS!$K$6:$K$1005,MATCH($D1470,RUNS!$A$6:$A$1005,0))="","",INDEX(RUNS!$K$6:$K$1005,MATCH($D1470,RUNS!$A$6:$A$1005,0))),""))</f>
        <v/>
      </c>
      <c r="R1470" s="34">
        <f>IF(OR($L1470="",$K1470=""),"",IFERROR(IF(INDEX(PARAMETRES!$H$43:$H$342,MATCH($L1470&amp;"|"&amp;$M1470&amp;"|"&amp;$N1470&amp;"|"&amp;$O1470&amp;"|"&amp;$P1470&amp;"|"&amp;$Q1470&amp;"|"&amp;$K1470,PARAMETRES!$J$43:$J$342,0))="","",INDEX(PARAMETRES!$H$43:$H$342,MATCH($L1470&amp;"|"&amp;$M1470&amp;"|"&amp;$N1470&amp;"|"&amp;$O1470&amp;"|"&amp;$P1470&amp;"|"&amp;$Q1470&amp;"|"&amp;$K1470,PARAMETRES!$J$43:$J$342,0))),""))</f>
        <v/>
      </c>
      <c r="S1470" s="35">
        <f>IF(OR($G1470="",$X1470&lt;&gt;"VALIDE"),"",IFERROR(LOOKUP(2,1/(($B570:$B1469=$B1470)*($G570:$G1469=$G1470)*($X570:$X1469="VALIDE")),$C570:$C1469),""))</f>
        <v/>
      </c>
      <c r="T1470" s="36">
        <f>IF(OR($C1470="",$S1470=""),"",ROUND(($C1470-$S1470+IF($C1470&lt;$S1470,1,0))*1440,0))</f>
        <v/>
      </c>
      <c r="U1470" s="22">
        <f>IF(OR($H1470="",$T1470="",$T1470&lt;=0),"",$H1470*60/$T1470)</f>
        <v/>
      </c>
      <c r="V1470" s="37">
        <f>IF(OR($U1470="",$R1470="",$R1470=0),"",$U1470/$R1470)</f>
        <v/>
      </c>
      <c r="W1470" s="20">
        <f>IF($G1470="","",IF($X1470="CONTEXTE INCOMPLET","CONTEXTE INCOMPLET",IF($X1470="DOUBLON",StatutDoublon,IF($S1470="",StatutInitial,IF($R1470="",StatutStandardManquant,IF($V1470="","DONNEES INSUFFISANTES",IF($V1470&gt;=SeuilConforme,StatutConforme,IF($V1470&gt;=SeuilSurveiller,StatutSurveiller,StatutSousStandard))))))))</f>
        <v/>
      </c>
      <c r="X1470" s="33">
        <f>IF($G1470="","",IF(OR($D1470="",$E1470="",$F1470=""),"CONTEXTE INCOMPLET",IF(COUNTIFS($D570:$D1469,$D1470,$E570:$E1469,$E1470,$F570:$F1469,$F1470,$G570:$G1469,$G1470)&gt;0,"DOUBLON","VALIDE")))</f>
        <v/>
      </c>
    </row>
    <row r="1471" ht="15" customHeight="1">
      <c r="A1471" s="12">
        <f>IF(OR($B1471="",$G1471=""),"",TEXT($B1471,"YYYYMMDD")&amp;"-"&amp;SUBSTITUTE($E1471," ","")&amp;"-"&amp;$F1471&amp;"-"&amp;$G1471)</f>
        <v/>
      </c>
      <c r="B1471" s="15" t="n"/>
      <c r="C1471" s="16" t="n"/>
      <c r="D1471" s="10" t="n"/>
      <c r="E1471" s="9" t="n"/>
      <c r="F1471" s="9" t="n"/>
      <c r="G1471" s="13" t="n"/>
      <c r="H1471" s="21" t="n"/>
      <c r="I1471" s="21" t="n"/>
      <c r="J1471" s="17">
        <f>IF($G1471="","",IFERROR(INDEX(NomsEmployes,MATCH($G1471,MatriculesEmployes,0)),"MATRICULE INCONNU"))</f>
        <v/>
      </c>
      <c r="K1471" s="33">
        <f>IF(OR($D1471="",$F1471=""),"",IFERROR(IF(INDEX(RUNS!$L$6:$S$1005,MATCH($D1471,RUNS!$A$6:$A$1005,0),MATCH("ACTIVITÉ "&amp;$F1471,RUNS!$L$5:$S$5,0))="","",INDEX(RUNS!$L$6:$S$1005,MATCH($D1471,RUNS!$A$6:$A$1005,0),MATCH("ACTIVITÉ "&amp;$F1471,RUNS!$L$5:$S$5,0))),""))</f>
        <v/>
      </c>
      <c r="L1471" s="33">
        <f>IF($D1471="","",IFERROR(IF(INDEX(RUNS!$E$6:$E$1005,MATCH($D1471,RUNS!$A$6:$A$1005,0))="","",INDEX(RUNS!$E$6:$E$1005,MATCH($D1471,RUNS!$A$6:$A$1005,0))),""))</f>
        <v/>
      </c>
      <c r="M1471" s="33">
        <f>IF($D1471="","",IFERROR(IF(INDEX(RUNS!$F$6:$F$1005,MATCH($D1471,RUNS!$A$6:$A$1005,0))="","",INDEX(RUNS!$F$6:$F$1005,MATCH($D1471,RUNS!$A$6:$A$1005,0))),""))</f>
        <v/>
      </c>
      <c r="N1471" s="33">
        <f>IF($D1471="","",IFERROR(IF(INDEX(RUNS!$G$6:$G$1005,MATCH($D1471,RUNS!$A$6:$A$1005,0))="","",INDEX(RUNS!$G$6:$G$1005,MATCH($D1471,RUNS!$A$6:$A$1005,0))),""))</f>
        <v/>
      </c>
      <c r="O1471" s="33">
        <f>IF($D1471="","",IFERROR(IF(INDEX(RUNS!$H$6:$H$1005,MATCH($D1471,RUNS!$A$6:$A$1005,0))="","",INDEX(RUNS!$H$6:$H$1005,MATCH($D1471,RUNS!$A$6:$A$1005,0))),""))</f>
        <v/>
      </c>
      <c r="P1471" s="33">
        <f>IF($D1471="","",IFERROR(IF(INDEX(RUNS!$J$6:$J$1005,MATCH($D1471,RUNS!$A$6:$A$1005,0))="","",INDEX(RUNS!$J$6:$J$1005,MATCH($D1471,RUNS!$A$6:$A$1005,0))),""))</f>
        <v/>
      </c>
      <c r="Q1471" s="33">
        <f>IF($D1471="","",IFERROR(IF(INDEX(RUNS!$K$6:$K$1005,MATCH($D1471,RUNS!$A$6:$A$1005,0))="","",INDEX(RUNS!$K$6:$K$1005,MATCH($D1471,RUNS!$A$6:$A$1005,0))),""))</f>
        <v/>
      </c>
      <c r="R1471" s="34">
        <f>IF(OR($L1471="",$K1471=""),"",IFERROR(IF(INDEX(PARAMETRES!$H$43:$H$342,MATCH($L1471&amp;"|"&amp;$M1471&amp;"|"&amp;$N1471&amp;"|"&amp;$O1471&amp;"|"&amp;$P1471&amp;"|"&amp;$Q1471&amp;"|"&amp;$K1471,PARAMETRES!$J$43:$J$342,0))="","",INDEX(PARAMETRES!$H$43:$H$342,MATCH($L1471&amp;"|"&amp;$M1471&amp;"|"&amp;$N1471&amp;"|"&amp;$O1471&amp;"|"&amp;$P1471&amp;"|"&amp;$Q1471&amp;"|"&amp;$K1471,PARAMETRES!$J$43:$J$342,0))),""))</f>
        <v/>
      </c>
      <c r="S1471" s="35">
        <f>IF(OR($G1471="",$X1471&lt;&gt;"VALIDE"),"",IFERROR(LOOKUP(2,1/(($B571:$B1470=$B1471)*($G571:$G1470=$G1471)*($X571:$X1470="VALIDE")),$C571:$C1470),""))</f>
        <v/>
      </c>
      <c r="T1471" s="36">
        <f>IF(OR($C1471="",$S1471=""),"",ROUND(($C1471-$S1471+IF($C1471&lt;$S1471,1,0))*1440,0))</f>
        <v/>
      </c>
      <c r="U1471" s="22">
        <f>IF(OR($H1471="",$T1471="",$T1471&lt;=0),"",$H1471*60/$T1471)</f>
        <v/>
      </c>
      <c r="V1471" s="37">
        <f>IF(OR($U1471="",$R1471="",$R1471=0),"",$U1471/$R1471)</f>
        <v/>
      </c>
      <c r="W1471" s="20">
        <f>IF($G1471="","",IF($X1471="CONTEXTE INCOMPLET","CONTEXTE INCOMPLET",IF($X1471="DOUBLON",StatutDoublon,IF($S1471="",StatutInitial,IF($R1471="",StatutStandardManquant,IF($V1471="","DONNEES INSUFFISANTES",IF($V1471&gt;=SeuilConforme,StatutConforme,IF($V1471&gt;=SeuilSurveiller,StatutSurveiller,StatutSousStandard))))))))</f>
        <v/>
      </c>
      <c r="X1471" s="33">
        <f>IF($G1471="","",IF(OR($D1471="",$E1471="",$F1471=""),"CONTEXTE INCOMPLET",IF(COUNTIFS($D571:$D1470,$D1471,$E571:$E1470,$E1471,$F571:$F1470,$F1471,$G571:$G1470,$G1471)&gt;0,"DOUBLON","VALIDE")))</f>
        <v/>
      </c>
    </row>
    <row r="1472" ht="15" customHeight="1">
      <c r="A1472" s="12">
        <f>IF(OR($B1472="",$G1472=""),"",TEXT($B1472,"YYYYMMDD")&amp;"-"&amp;SUBSTITUTE($E1472," ","")&amp;"-"&amp;$F1472&amp;"-"&amp;$G1472)</f>
        <v/>
      </c>
      <c r="B1472" s="15" t="n"/>
      <c r="C1472" s="16" t="n"/>
      <c r="D1472" s="10" t="n"/>
      <c r="E1472" s="9" t="n"/>
      <c r="F1472" s="9" t="n"/>
      <c r="G1472" s="13" t="n"/>
      <c r="H1472" s="21" t="n"/>
      <c r="I1472" s="21" t="n"/>
      <c r="J1472" s="17">
        <f>IF($G1472="","",IFERROR(INDEX(NomsEmployes,MATCH($G1472,MatriculesEmployes,0)),"MATRICULE INCONNU"))</f>
        <v/>
      </c>
      <c r="K1472" s="33">
        <f>IF(OR($D1472="",$F1472=""),"",IFERROR(IF(INDEX(RUNS!$L$6:$S$1005,MATCH($D1472,RUNS!$A$6:$A$1005,0),MATCH("ACTIVITÉ "&amp;$F1472,RUNS!$L$5:$S$5,0))="","",INDEX(RUNS!$L$6:$S$1005,MATCH($D1472,RUNS!$A$6:$A$1005,0),MATCH("ACTIVITÉ "&amp;$F1472,RUNS!$L$5:$S$5,0))),""))</f>
        <v/>
      </c>
      <c r="L1472" s="33">
        <f>IF($D1472="","",IFERROR(IF(INDEX(RUNS!$E$6:$E$1005,MATCH($D1472,RUNS!$A$6:$A$1005,0))="","",INDEX(RUNS!$E$6:$E$1005,MATCH($D1472,RUNS!$A$6:$A$1005,0))),""))</f>
        <v/>
      </c>
      <c r="M1472" s="33">
        <f>IF($D1472="","",IFERROR(IF(INDEX(RUNS!$F$6:$F$1005,MATCH($D1472,RUNS!$A$6:$A$1005,0))="","",INDEX(RUNS!$F$6:$F$1005,MATCH($D1472,RUNS!$A$6:$A$1005,0))),""))</f>
        <v/>
      </c>
      <c r="N1472" s="33">
        <f>IF($D1472="","",IFERROR(IF(INDEX(RUNS!$G$6:$G$1005,MATCH($D1472,RUNS!$A$6:$A$1005,0))="","",INDEX(RUNS!$G$6:$G$1005,MATCH($D1472,RUNS!$A$6:$A$1005,0))),""))</f>
        <v/>
      </c>
      <c r="O1472" s="33">
        <f>IF($D1472="","",IFERROR(IF(INDEX(RUNS!$H$6:$H$1005,MATCH($D1472,RUNS!$A$6:$A$1005,0))="","",INDEX(RUNS!$H$6:$H$1005,MATCH($D1472,RUNS!$A$6:$A$1005,0))),""))</f>
        <v/>
      </c>
      <c r="P1472" s="33">
        <f>IF($D1472="","",IFERROR(IF(INDEX(RUNS!$J$6:$J$1005,MATCH($D1472,RUNS!$A$6:$A$1005,0))="","",INDEX(RUNS!$J$6:$J$1005,MATCH($D1472,RUNS!$A$6:$A$1005,0))),""))</f>
        <v/>
      </c>
      <c r="Q1472" s="33">
        <f>IF($D1472="","",IFERROR(IF(INDEX(RUNS!$K$6:$K$1005,MATCH($D1472,RUNS!$A$6:$A$1005,0))="","",INDEX(RUNS!$K$6:$K$1005,MATCH($D1472,RUNS!$A$6:$A$1005,0))),""))</f>
        <v/>
      </c>
      <c r="R1472" s="34">
        <f>IF(OR($L1472="",$K1472=""),"",IFERROR(IF(INDEX(PARAMETRES!$H$43:$H$342,MATCH($L1472&amp;"|"&amp;$M1472&amp;"|"&amp;$N1472&amp;"|"&amp;$O1472&amp;"|"&amp;$P1472&amp;"|"&amp;$Q1472&amp;"|"&amp;$K1472,PARAMETRES!$J$43:$J$342,0))="","",INDEX(PARAMETRES!$H$43:$H$342,MATCH($L1472&amp;"|"&amp;$M1472&amp;"|"&amp;$N1472&amp;"|"&amp;$O1472&amp;"|"&amp;$P1472&amp;"|"&amp;$Q1472&amp;"|"&amp;$K1472,PARAMETRES!$J$43:$J$342,0))),""))</f>
        <v/>
      </c>
      <c r="S1472" s="35">
        <f>IF(OR($G1472="",$X1472&lt;&gt;"VALIDE"),"",IFERROR(LOOKUP(2,1/(($B572:$B1471=$B1472)*($G572:$G1471=$G1472)*($X572:$X1471="VALIDE")),$C572:$C1471),""))</f>
        <v/>
      </c>
      <c r="T1472" s="36">
        <f>IF(OR($C1472="",$S1472=""),"",ROUND(($C1472-$S1472+IF($C1472&lt;$S1472,1,0))*1440,0))</f>
        <v/>
      </c>
      <c r="U1472" s="22">
        <f>IF(OR($H1472="",$T1472="",$T1472&lt;=0),"",$H1472*60/$T1472)</f>
        <v/>
      </c>
      <c r="V1472" s="37">
        <f>IF(OR($U1472="",$R1472="",$R1472=0),"",$U1472/$R1472)</f>
        <v/>
      </c>
      <c r="W1472" s="20">
        <f>IF($G1472="","",IF($X1472="CONTEXTE INCOMPLET","CONTEXTE INCOMPLET",IF($X1472="DOUBLON",StatutDoublon,IF($S1472="",StatutInitial,IF($R1472="",StatutStandardManquant,IF($V1472="","DONNEES INSUFFISANTES",IF($V1472&gt;=SeuilConforme,StatutConforme,IF($V1472&gt;=SeuilSurveiller,StatutSurveiller,StatutSousStandard))))))))</f>
        <v/>
      </c>
      <c r="X1472" s="33">
        <f>IF($G1472="","",IF(OR($D1472="",$E1472="",$F1472=""),"CONTEXTE INCOMPLET",IF(COUNTIFS($D572:$D1471,$D1472,$E572:$E1471,$E1472,$F572:$F1471,$F1472,$G572:$G1471,$G1472)&gt;0,"DOUBLON","VALIDE")))</f>
        <v/>
      </c>
    </row>
    <row r="1473" ht="15" customHeight="1">
      <c r="A1473" s="12">
        <f>IF(OR($B1473="",$G1473=""),"",TEXT($B1473,"YYYYMMDD")&amp;"-"&amp;SUBSTITUTE($E1473," ","")&amp;"-"&amp;$F1473&amp;"-"&amp;$G1473)</f>
        <v/>
      </c>
      <c r="B1473" s="15" t="n"/>
      <c r="C1473" s="16" t="n"/>
      <c r="D1473" s="10" t="n"/>
      <c r="E1473" s="9" t="n"/>
      <c r="F1473" s="9" t="n"/>
      <c r="G1473" s="13" t="n"/>
      <c r="H1473" s="21" t="n"/>
      <c r="I1473" s="21" t="n"/>
      <c r="J1473" s="17">
        <f>IF($G1473="","",IFERROR(INDEX(NomsEmployes,MATCH($G1473,MatriculesEmployes,0)),"MATRICULE INCONNU"))</f>
        <v/>
      </c>
      <c r="K1473" s="33">
        <f>IF(OR($D1473="",$F1473=""),"",IFERROR(IF(INDEX(RUNS!$L$6:$S$1005,MATCH($D1473,RUNS!$A$6:$A$1005,0),MATCH("ACTIVITÉ "&amp;$F1473,RUNS!$L$5:$S$5,0))="","",INDEX(RUNS!$L$6:$S$1005,MATCH($D1473,RUNS!$A$6:$A$1005,0),MATCH("ACTIVITÉ "&amp;$F1473,RUNS!$L$5:$S$5,0))),""))</f>
        <v/>
      </c>
      <c r="L1473" s="33">
        <f>IF($D1473="","",IFERROR(IF(INDEX(RUNS!$E$6:$E$1005,MATCH($D1473,RUNS!$A$6:$A$1005,0))="","",INDEX(RUNS!$E$6:$E$1005,MATCH($D1473,RUNS!$A$6:$A$1005,0))),""))</f>
        <v/>
      </c>
      <c r="M1473" s="33">
        <f>IF($D1473="","",IFERROR(IF(INDEX(RUNS!$F$6:$F$1005,MATCH($D1473,RUNS!$A$6:$A$1005,0))="","",INDEX(RUNS!$F$6:$F$1005,MATCH($D1473,RUNS!$A$6:$A$1005,0))),""))</f>
        <v/>
      </c>
      <c r="N1473" s="33">
        <f>IF($D1473="","",IFERROR(IF(INDEX(RUNS!$G$6:$G$1005,MATCH($D1473,RUNS!$A$6:$A$1005,0))="","",INDEX(RUNS!$G$6:$G$1005,MATCH($D1473,RUNS!$A$6:$A$1005,0))),""))</f>
        <v/>
      </c>
      <c r="O1473" s="33">
        <f>IF($D1473="","",IFERROR(IF(INDEX(RUNS!$H$6:$H$1005,MATCH($D1473,RUNS!$A$6:$A$1005,0))="","",INDEX(RUNS!$H$6:$H$1005,MATCH($D1473,RUNS!$A$6:$A$1005,0))),""))</f>
        <v/>
      </c>
      <c r="P1473" s="33">
        <f>IF($D1473="","",IFERROR(IF(INDEX(RUNS!$J$6:$J$1005,MATCH($D1473,RUNS!$A$6:$A$1005,0))="","",INDEX(RUNS!$J$6:$J$1005,MATCH($D1473,RUNS!$A$6:$A$1005,0))),""))</f>
        <v/>
      </c>
      <c r="Q1473" s="33">
        <f>IF($D1473="","",IFERROR(IF(INDEX(RUNS!$K$6:$K$1005,MATCH($D1473,RUNS!$A$6:$A$1005,0))="","",INDEX(RUNS!$K$6:$K$1005,MATCH($D1473,RUNS!$A$6:$A$1005,0))),""))</f>
        <v/>
      </c>
      <c r="R1473" s="34">
        <f>IF(OR($L1473="",$K1473=""),"",IFERROR(IF(INDEX(PARAMETRES!$H$43:$H$342,MATCH($L1473&amp;"|"&amp;$M1473&amp;"|"&amp;$N1473&amp;"|"&amp;$O1473&amp;"|"&amp;$P1473&amp;"|"&amp;$Q1473&amp;"|"&amp;$K1473,PARAMETRES!$J$43:$J$342,0))="","",INDEX(PARAMETRES!$H$43:$H$342,MATCH($L1473&amp;"|"&amp;$M1473&amp;"|"&amp;$N1473&amp;"|"&amp;$O1473&amp;"|"&amp;$P1473&amp;"|"&amp;$Q1473&amp;"|"&amp;$K1473,PARAMETRES!$J$43:$J$342,0))),""))</f>
        <v/>
      </c>
      <c r="S1473" s="35">
        <f>IF(OR($G1473="",$X1473&lt;&gt;"VALIDE"),"",IFERROR(LOOKUP(2,1/(($B573:$B1472=$B1473)*($G573:$G1472=$G1473)*($X573:$X1472="VALIDE")),$C573:$C1472),""))</f>
        <v/>
      </c>
      <c r="T1473" s="36">
        <f>IF(OR($C1473="",$S1473=""),"",ROUND(($C1473-$S1473+IF($C1473&lt;$S1473,1,0))*1440,0))</f>
        <v/>
      </c>
      <c r="U1473" s="22">
        <f>IF(OR($H1473="",$T1473="",$T1473&lt;=0),"",$H1473*60/$T1473)</f>
        <v/>
      </c>
      <c r="V1473" s="37">
        <f>IF(OR($U1473="",$R1473="",$R1473=0),"",$U1473/$R1473)</f>
        <v/>
      </c>
      <c r="W1473" s="20">
        <f>IF($G1473="","",IF($X1473="CONTEXTE INCOMPLET","CONTEXTE INCOMPLET",IF($X1473="DOUBLON",StatutDoublon,IF($S1473="",StatutInitial,IF($R1473="",StatutStandardManquant,IF($V1473="","DONNEES INSUFFISANTES",IF($V1473&gt;=SeuilConforme,StatutConforme,IF($V1473&gt;=SeuilSurveiller,StatutSurveiller,StatutSousStandard))))))))</f>
        <v/>
      </c>
      <c r="X1473" s="33">
        <f>IF($G1473="","",IF(OR($D1473="",$E1473="",$F1473=""),"CONTEXTE INCOMPLET",IF(COUNTIFS($D573:$D1472,$D1473,$E573:$E1472,$E1473,$F573:$F1472,$F1473,$G573:$G1472,$G1473)&gt;0,"DOUBLON","VALIDE")))</f>
        <v/>
      </c>
    </row>
    <row r="1474" ht="15" customHeight="1">
      <c r="A1474" s="12">
        <f>IF(OR($B1474="",$G1474=""),"",TEXT($B1474,"YYYYMMDD")&amp;"-"&amp;SUBSTITUTE($E1474," ","")&amp;"-"&amp;$F1474&amp;"-"&amp;$G1474)</f>
        <v/>
      </c>
      <c r="B1474" s="15" t="n"/>
      <c r="C1474" s="16" t="n"/>
      <c r="D1474" s="10" t="n"/>
      <c r="E1474" s="9" t="n"/>
      <c r="F1474" s="9" t="n"/>
      <c r="G1474" s="13" t="n"/>
      <c r="H1474" s="21" t="n"/>
      <c r="I1474" s="21" t="n"/>
      <c r="J1474" s="17">
        <f>IF($G1474="","",IFERROR(INDEX(NomsEmployes,MATCH($G1474,MatriculesEmployes,0)),"MATRICULE INCONNU"))</f>
        <v/>
      </c>
      <c r="K1474" s="33">
        <f>IF(OR($D1474="",$F1474=""),"",IFERROR(IF(INDEX(RUNS!$L$6:$S$1005,MATCH($D1474,RUNS!$A$6:$A$1005,0),MATCH("ACTIVITÉ "&amp;$F1474,RUNS!$L$5:$S$5,0))="","",INDEX(RUNS!$L$6:$S$1005,MATCH($D1474,RUNS!$A$6:$A$1005,0),MATCH("ACTIVITÉ "&amp;$F1474,RUNS!$L$5:$S$5,0))),""))</f>
        <v/>
      </c>
      <c r="L1474" s="33">
        <f>IF($D1474="","",IFERROR(IF(INDEX(RUNS!$E$6:$E$1005,MATCH($D1474,RUNS!$A$6:$A$1005,0))="","",INDEX(RUNS!$E$6:$E$1005,MATCH($D1474,RUNS!$A$6:$A$1005,0))),""))</f>
        <v/>
      </c>
      <c r="M1474" s="33">
        <f>IF($D1474="","",IFERROR(IF(INDEX(RUNS!$F$6:$F$1005,MATCH($D1474,RUNS!$A$6:$A$1005,0))="","",INDEX(RUNS!$F$6:$F$1005,MATCH($D1474,RUNS!$A$6:$A$1005,0))),""))</f>
        <v/>
      </c>
      <c r="N1474" s="33">
        <f>IF($D1474="","",IFERROR(IF(INDEX(RUNS!$G$6:$G$1005,MATCH($D1474,RUNS!$A$6:$A$1005,0))="","",INDEX(RUNS!$G$6:$G$1005,MATCH($D1474,RUNS!$A$6:$A$1005,0))),""))</f>
        <v/>
      </c>
      <c r="O1474" s="33">
        <f>IF($D1474="","",IFERROR(IF(INDEX(RUNS!$H$6:$H$1005,MATCH($D1474,RUNS!$A$6:$A$1005,0))="","",INDEX(RUNS!$H$6:$H$1005,MATCH($D1474,RUNS!$A$6:$A$1005,0))),""))</f>
        <v/>
      </c>
      <c r="P1474" s="33">
        <f>IF($D1474="","",IFERROR(IF(INDEX(RUNS!$J$6:$J$1005,MATCH($D1474,RUNS!$A$6:$A$1005,0))="","",INDEX(RUNS!$J$6:$J$1005,MATCH($D1474,RUNS!$A$6:$A$1005,0))),""))</f>
        <v/>
      </c>
      <c r="Q1474" s="33">
        <f>IF($D1474="","",IFERROR(IF(INDEX(RUNS!$K$6:$K$1005,MATCH($D1474,RUNS!$A$6:$A$1005,0))="","",INDEX(RUNS!$K$6:$K$1005,MATCH($D1474,RUNS!$A$6:$A$1005,0))),""))</f>
        <v/>
      </c>
      <c r="R1474" s="34">
        <f>IF(OR($L1474="",$K1474=""),"",IFERROR(IF(INDEX(PARAMETRES!$H$43:$H$342,MATCH($L1474&amp;"|"&amp;$M1474&amp;"|"&amp;$N1474&amp;"|"&amp;$O1474&amp;"|"&amp;$P1474&amp;"|"&amp;$Q1474&amp;"|"&amp;$K1474,PARAMETRES!$J$43:$J$342,0))="","",INDEX(PARAMETRES!$H$43:$H$342,MATCH($L1474&amp;"|"&amp;$M1474&amp;"|"&amp;$N1474&amp;"|"&amp;$O1474&amp;"|"&amp;$P1474&amp;"|"&amp;$Q1474&amp;"|"&amp;$K1474,PARAMETRES!$J$43:$J$342,0))),""))</f>
        <v/>
      </c>
      <c r="S1474" s="35">
        <f>IF(OR($G1474="",$X1474&lt;&gt;"VALIDE"),"",IFERROR(LOOKUP(2,1/(($B574:$B1473=$B1474)*($G574:$G1473=$G1474)*($X574:$X1473="VALIDE")),$C574:$C1473),""))</f>
        <v/>
      </c>
      <c r="T1474" s="36">
        <f>IF(OR($C1474="",$S1474=""),"",ROUND(($C1474-$S1474+IF($C1474&lt;$S1474,1,0))*1440,0))</f>
        <v/>
      </c>
      <c r="U1474" s="22">
        <f>IF(OR($H1474="",$T1474="",$T1474&lt;=0),"",$H1474*60/$T1474)</f>
        <v/>
      </c>
      <c r="V1474" s="37">
        <f>IF(OR($U1474="",$R1474="",$R1474=0),"",$U1474/$R1474)</f>
        <v/>
      </c>
      <c r="W1474" s="20">
        <f>IF($G1474="","",IF($X1474="CONTEXTE INCOMPLET","CONTEXTE INCOMPLET",IF($X1474="DOUBLON",StatutDoublon,IF($S1474="",StatutInitial,IF($R1474="",StatutStandardManquant,IF($V1474="","DONNEES INSUFFISANTES",IF($V1474&gt;=SeuilConforme,StatutConforme,IF($V1474&gt;=SeuilSurveiller,StatutSurveiller,StatutSousStandard))))))))</f>
        <v/>
      </c>
      <c r="X1474" s="33">
        <f>IF($G1474="","",IF(OR($D1474="",$E1474="",$F1474=""),"CONTEXTE INCOMPLET",IF(COUNTIFS($D574:$D1473,$D1474,$E574:$E1473,$E1474,$F574:$F1473,$F1474,$G574:$G1473,$G1474)&gt;0,"DOUBLON","VALIDE")))</f>
        <v/>
      </c>
    </row>
    <row r="1475" ht="15" customHeight="1">
      <c r="A1475" s="12">
        <f>IF(OR($B1475="",$G1475=""),"",TEXT($B1475,"YYYYMMDD")&amp;"-"&amp;SUBSTITUTE($E1475," ","")&amp;"-"&amp;$F1475&amp;"-"&amp;$G1475)</f>
        <v/>
      </c>
      <c r="B1475" s="15" t="n"/>
      <c r="C1475" s="16" t="n"/>
      <c r="D1475" s="10" t="n"/>
      <c r="E1475" s="9" t="n"/>
      <c r="F1475" s="9" t="n"/>
      <c r="G1475" s="13" t="n"/>
      <c r="H1475" s="21" t="n"/>
      <c r="I1475" s="21" t="n"/>
      <c r="J1475" s="17">
        <f>IF($G1475="","",IFERROR(INDEX(NomsEmployes,MATCH($G1475,MatriculesEmployes,0)),"MATRICULE INCONNU"))</f>
        <v/>
      </c>
      <c r="K1475" s="33">
        <f>IF(OR($D1475="",$F1475=""),"",IFERROR(IF(INDEX(RUNS!$L$6:$S$1005,MATCH($D1475,RUNS!$A$6:$A$1005,0),MATCH("ACTIVITÉ "&amp;$F1475,RUNS!$L$5:$S$5,0))="","",INDEX(RUNS!$L$6:$S$1005,MATCH($D1475,RUNS!$A$6:$A$1005,0),MATCH("ACTIVITÉ "&amp;$F1475,RUNS!$L$5:$S$5,0))),""))</f>
        <v/>
      </c>
      <c r="L1475" s="33">
        <f>IF($D1475="","",IFERROR(IF(INDEX(RUNS!$E$6:$E$1005,MATCH($D1475,RUNS!$A$6:$A$1005,0))="","",INDEX(RUNS!$E$6:$E$1005,MATCH($D1475,RUNS!$A$6:$A$1005,0))),""))</f>
        <v/>
      </c>
      <c r="M1475" s="33">
        <f>IF($D1475="","",IFERROR(IF(INDEX(RUNS!$F$6:$F$1005,MATCH($D1475,RUNS!$A$6:$A$1005,0))="","",INDEX(RUNS!$F$6:$F$1005,MATCH($D1475,RUNS!$A$6:$A$1005,0))),""))</f>
        <v/>
      </c>
      <c r="N1475" s="33">
        <f>IF($D1475="","",IFERROR(IF(INDEX(RUNS!$G$6:$G$1005,MATCH($D1475,RUNS!$A$6:$A$1005,0))="","",INDEX(RUNS!$G$6:$G$1005,MATCH($D1475,RUNS!$A$6:$A$1005,0))),""))</f>
        <v/>
      </c>
      <c r="O1475" s="33">
        <f>IF($D1475="","",IFERROR(IF(INDEX(RUNS!$H$6:$H$1005,MATCH($D1475,RUNS!$A$6:$A$1005,0))="","",INDEX(RUNS!$H$6:$H$1005,MATCH($D1475,RUNS!$A$6:$A$1005,0))),""))</f>
        <v/>
      </c>
      <c r="P1475" s="33">
        <f>IF($D1475="","",IFERROR(IF(INDEX(RUNS!$J$6:$J$1005,MATCH($D1475,RUNS!$A$6:$A$1005,0))="","",INDEX(RUNS!$J$6:$J$1005,MATCH($D1475,RUNS!$A$6:$A$1005,0))),""))</f>
        <v/>
      </c>
      <c r="Q1475" s="33">
        <f>IF($D1475="","",IFERROR(IF(INDEX(RUNS!$K$6:$K$1005,MATCH($D1475,RUNS!$A$6:$A$1005,0))="","",INDEX(RUNS!$K$6:$K$1005,MATCH($D1475,RUNS!$A$6:$A$1005,0))),""))</f>
        <v/>
      </c>
      <c r="R1475" s="34">
        <f>IF(OR($L1475="",$K1475=""),"",IFERROR(IF(INDEX(PARAMETRES!$H$43:$H$342,MATCH($L1475&amp;"|"&amp;$M1475&amp;"|"&amp;$N1475&amp;"|"&amp;$O1475&amp;"|"&amp;$P1475&amp;"|"&amp;$Q1475&amp;"|"&amp;$K1475,PARAMETRES!$J$43:$J$342,0))="","",INDEX(PARAMETRES!$H$43:$H$342,MATCH($L1475&amp;"|"&amp;$M1475&amp;"|"&amp;$N1475&amp;"|"&amp;$O1475&amp;"|"&amp;$P1475&amp;"|"&amp;$Q1475&amp;"|"&amp;$K1475,PARAMETRES!$J$43:$J$342,0))),""))</f>
        <v/>
      </c>
      <c r="S1475" s="35">
        <f>IF(OR($G1475="",$X1475&lt;&gt;"VALIDE"),"",IFERROR(LOOKUP(2,1/(($B575:$B1474=$B1475)*($G575:$G1474=$G1475)*($X575:$X1474="VALIDE")),$C575:$C1474),""))</f>
        <v/>
      </c>
      <c r="T1475" s="36">
        <f>IF(OR($C1475="",$S1475=""),"",ROUND(($C1475-$S1475+IF($C1475&lt;$S1475,1,0))*1440,0))</f>
        <v/>
      </c>
      <c r="U1475" s="22">
        <f>IF(OR($H1475="",$T1475="",$T1475&lt;=0),"",$H1475*60/$T1475)</f>
        <v/>
      </c>
      <c r="V1475" s="37">
        <f>IF(OR($U1475="",$R1475="",$R1475=0),"",$U1475/$R1475)</f>
        <v/>
      </c>
      <c r="W1475" s="20">
        <f>IF($G1475="","",IF($X1475="CONTEXTE INCOMPLET","CONTEXTE INCOMPLET",IF($X1475="DOUBLON",StatutDoublon,IF($S1475="",StatutInitial,IF($R1475="",StatutStandardManquant,IF($V1475="","DONNEES INSUFFISANTES",IF($V1475&gt;=SeuilConforme,StatutConforme,IF($V1475&gt;=SeuilSurveiller,StatutSurveiller,StatutSousStandard))))))))</f>
        <v/>
      </c>
      <c r="X1475" s="33">
        <f>IF($G1475="","",IF(OR($D1475="",$E1475="",$F1475=""),"CONTEXTE INCOMPLET",IF(COUNTIFS($D575:$D1474,$D1475,$E575:$E1474,$E1475,$F575:$F1474,$F1475,$G575:$G1474,$G1475)&gt;0,"DOUBLON","VALIDE")))</f>
        <v/>
      </c>
    </row>
    <row r="1476" ht="15" customHeight="1">
      <c r="A1476" s="12">
        <f>IF(OR($B1476="",$G1476=""),"",TEXT($B1476,"YYYYMMDD")&amp;"-"&amp;SUBSTITUTE($E1476," ","")&amp;"-"&amp;$F1476&amp;"-"&amp;$G1476)</f>
        <v/>
      </c>
      <c r="B1476" s="15" t="n"/>
      <c r="C1476" s="16" t="n"/>
      <c r="D1476" s="10" t="n"/>
      <c r="E1476" s="9" t="n"/>
      <c r="F1476" s="9" t="n"/>
      <c r="G1476" s="13" t="n"/>
      <c r="H1476" s="21" t="n"/>
      <c r="I1476" s="21" t="n"/>
      <c r="J1476" s="17">
        <f>IF($G1476="","",IFERROR(INDEX(NomsEmployes,MATCH($G1476,MatriculesEmployes,0)),"MATRICULE INCONNU"))</f>
        <v/>
      </c>
      <c r="K1476" s="33">
        <f>IF(OR($D1476="",$F1476=""),"",IFERROR(IF(INDEX(RUNS!$L$6:$S$1005,MATCH($D1476,RUNS!$A$6:$A$1005,0),MATCH("ACTIVITÉ "&amp;$F1476,RUNS!$L$5:$S$5,0))="","",INDEX(RUNS!$L$6:$S$1005,MATCH($D1476,RUNS!$A$6:$A$1005,0),MATCH("ACTIVITÉ "&amp;$F1476,RUNS!$L$5:$S$5,0))),""))</f>
        <v/>
      </c>
      <c r="L1476" s="33">
        <f>IF($D1476="","",IFERROR(IF(INDEX(RUNS!$E$6:$E$1005,MATCH($D1476,RUNS!$A$6:$A$1005,0))="","",INDEX(RUNS!$E$6:$E$1005,MATCH($D1476,RUNS!$A$6:$A$1005,0))),""))</f>
        <v/>
      </c>
      <c r="M1476" s="33">
        <f>IF($D1476="","",IFERROR(IF(INDEX(RUNS!$F$6:$F$1005,MATCH($D1476,RUNS!$A$6:$A$1005,0))="","",INDEX(RUNS!$F$6:$F$1005,MATCH($D1476,RUNS!$A$6:$A$1005,0))),""))</f>
        <v/>
      </c>
      <c r="N1476" s="33">
        <f>IF($D1476="","",IFERROR(IF(INDEX(RUNS!$G$6:$G$1005,MATCH($D1476,RUNS!$A$6:$A$1005,0))="","",INDEX(RUNS!$G$6:$G$1005,MATCH($D1476,RUNS!$A$6:$A$1005,0))),""))</f>
        <v/>
      </c>
      <c r="O1476" s="33">
        <f>IF($D1476="","",IFERROR(IF(INDEX(RUNS!$H$6:$H$1005,MATCH($D1476,RUNS!$A$6:$A$1005,0))="","",INDEX(RUNS!$H$6:$H$1005,MATCH($D1476,RUNS!$A$6:$A$1005,0))),""))</f>
        <v/>
      </c>
      <c r="P1476" s="33">
        <f>IF($D1476="","",IFERROR(IF(INDEX(RUNS!$J$6:$J$1005,MATCH($D1476,RUNS!$A$6:$A$1005,0))="","",INDEX(RUNS!$J$6:$J$1005,MATCH($D1476,RUNS!$A$6:$A$1005,0))),""))</f>
        <v/>
      </c>
      <c r="Q1476" s="33">
        <f>IF($D1476="","",IFERROR(IF(INDEX(RUNS!$K$6:$K$1005,MATCH($D1476,RUNS!$A$6:$A$1005,0))="","",INDEX(RUNS!$K$6:$K$1005,MATCH($D1476,RUNS!$A$6:$A$1005,0))),""))</f>
        <v/>
      </c>
      <c r="R1476" s="34">
        <f>IF(OR($L1476="",$K1476=""),"",IFERROR(IF(INDEX(PARAMETRES!$H$43:$H$342,MATCH($L1476&amp;"|"&amp;$M1476&amp;"|"&amp;$N1476&amp;"|"&amp;$O1476&amp;"|"&amp;$P1476&amp;"|"&amp;$Q1476&amp;"|"&amp;$K1476,PARAMETRES!$J$43:$J$342,0))="","",INDEX(PARAMETRES!$H$43:$H$342,MATCH($L1476&amp;"|"&amp;$M1476&amp;"|"&amp;$N1476&amp;"|"&amp;$O1476&amp;"|"&amp;$P1476&amp;"|"&amp;$Q1476&amp;"|"&amp;$K1476,PARAMETRES!$J$43:$J$342,0))),""))</f>
        <v/>
      </c>
      <c r="S1476" s="35">
        <f>IF(OR($G1476="",$X1476&lt;&gt;"VALIDE"),"",IFERROR(LOOKUP(2,1/(($B576:$B1475=$B1476)*($G576:$G1475=$G1476)*($X576:$X1475="VALIDE")),$C576:$C1475),""))</f>
        <v/>
      </c>
      <c r="T1476" s="36">
        <f>IF(OR($C1476="",$S1476=""),"",ROUND(($C1476-$S1476+IF($C1476&lt;$S1476,1,0))*1440,0))</f>
        <v/>
      </c>
      <c r="U1476" s="22">
        <f>IF(OR($H1476="",$T1476="",$T1476&lt;=0),"",$H1476*60/$T1476)</f>
        <v/>
      </c>
      <c r="V1476" s="37">
        <f>IF(OR($U1476="",$R1476="",$R1476=0),"",$U1476/$R1476)</f>
        <v/>
      </c>
      <c r="W1476" s="20">
        <f>IF($G1476="","",IF($X1476="CONTEXTE INCOMPLET","CONTEXTE INCOMPLET",IF($X1476="DOUBLON",StatutDoublon,IF($S1476="",StatutInitial,IF($R1476="",StatutStandardManquant,IF($V1476="","DONNEES INSUFFISANTES",IF($V1476&gt;=SeuilConforme,StatutConforme,IF($V1476&gt;=SeuilSurveiller,StatutSurveiller,StatutSousStandard))))))))</f>
        <v/>
      </c>
      <c r="X1476" s="33">
        <f>IF($G1476="","",IF(OR($D1476="",$E1476="",$F1476=""),"CONTEXTE INCOMPLET",IF(COUNTIFS($D576:$D1475,$D1476,$E576:$E1475,$E1476,$F576:$F1475,$F1476,$G576:$G1475,$G1476)&gt;0,"DOUBLON","VALIDE")))</f>
        <v/>
      </c>
    </row>
    <row r="1477" ht="15" customHeight="1">
      <c r="A1477" s="12">
        <f>IF(OR($B1477="",$G1477=""),"",TEXT($B1477,"YYYYMMDD")&amp;"-"&amp;SUBSTITUTE($E1477," ","")&amp;"-"&amp;$F1477&amp;"-"&amp;$G1477)</f>
        <v/>
      </c>
      <c r="B1477" s="15" t="n"/>
      <c r="C1477" s="16" t="n"/>
      <c r="D1477" s="10" t="n"/>
      <c r="E1477" s="9" t="n"/>
      <c r="F1477" s="9" t="n"/>
      <c r="G1477" s="13" t="n"/>
      <c r="H1477" s="21" t="n"/>
      <c r="I1477" s="21" t="n"/>
      <c r="J1477" s="17">
        <f>IF($G1477="","",IFERROR(INDEX(NomsEmployes,MATCH($G1477,MatriculesEmployes,0)),"MATRICULE INCONNU"))</f>
        <v/>
      </c>
      <c r="K1477" s="33">
        <f>IF(OR($D1477="",$F1477=""),"",IFERROR(IF(INDEX(RUNS!$L$6:$S$1005,MATCH($D1477,RUNS!$A$6:$A$1005,0),MATCH("ACTIVITÉ "&amp;$F1477,RUNS!$L$5:$S$5,0))="","",INDEX(RUNS!$L$6:$S$1005,MATCH($D1477,RUNS!$A$6:$A$1005,0),MATCH("ACTIVITÉ "&amp;$F1477,RUNS!$L$5:$S$5,0))),""))</f>
        <v/>
      </c>
      <c r="L1477" s="33">
        <f>IF($D1477="","",IFERROR(IF(INDEX(RUNS!$E$6:$E$1005,MATCH($D1477,RUNS!$A$6:$A$1005,0))="","",INDEX(RUNS!$E$6:$E$1005,MATCH($D1477,RUNS!$A$6:$A$1005,0))),""))</f>
        <v/>
      </c>
      <c r="M1477" s="33">
        <f>IF($D1477="","",IFERROR(IF(INDEX(RUNS!$F$6:$F$1005,MATCH($D1477,RUNS!$A$6:$A$1005,0))="","",INDEX(RUNS!$F$6:$F$1005,MATCH($D1477,RUNS!$A$6:$A$1005,0))),""))</f>
        <v/>
      </c>
      <c r="N1477" s="33">
        <f>IF($D1477="","",IFERROR(IF(INDEX(RUNS!$G$6:$G$1005,MATCH($D1477,RUNS!$A$6:$A$1005,0))="","",INDEX(RUNS!$G$6:$G$1005,MATCH($D1477,RUNS!$A$6:$A$1005,0))),""))</f>
        <v/>
      </c>
      <c r="O1477" s="33">
        <f>IF($D1477="","",IFERROR(IF(INDEX(RUNS!$H$6:$H$1005,MATCH($D1477,RUNS!$A$6:$A$1005,0))="","",INDEX(RUNS!$H$6:$H$1005,MATCH($D1477,RUNS!$A$6:$A$1005,0))),""))</f>
        <v/>
      </c>
      <c r="P1477" s="33">
        <f>IF($D1477="","",IFERROR(IF(INDEX(RUNS!$J$6:$J$1005,MATCH($D1477,RUNS!$A$6:$A$1005,0))="","",INDEX(RUNS!$J$6:$J$1005,MATCH($D1477,RUNS!$A$6:$A$1005,0))),""))</f>
        <v/>
      </c>
      <c r="Q1477" s="33">
        <f>IF($D1477="","",IFERROR(IF(INDEX(RUNS!$K$6:$K$1005,MATCH($D1477,RUNS!$A$6:$A$1005,0))="","",INDEX(RUNS!$K$6:$K$1005,MATCH($D1477,RUNS!$A$6:$A$1005,0))),""))</f>
        <v/>
      </c>
      <c r="R1477" s="34">
        <f>IF(OR($L1477="",$K1477=""),"",IFERROR(IF(INDEX(PARAMETRES!$H$43:$H$342,MATCH($L1477&amp;"|"&amp;$M1477&amp;"|"&amp;$N1477&amp;"|"&amp;$O1477&amp;"|"&amp;$P1477&amp;"|"&amp;$Q1477&amp;"|"&amp;$K1477,PARAMETRES!$J$43:$J$342,0))="","",INDEX(PARAMETRES!$H$43:$H$342,MATCH($L1477&amp;"|"&amp;$M1477&amp;"|"&amp;$N1477&amp;"|"&amp;$O1477&amp;"|"&amp;$P1477&amp;"|"&amp;$Q1477&amp;"|"&amp;$K1477,PARAMETRES!$J$43:$J$342,0))),""))</f>
        <v/>
      </c>
      <c r="S1477" s="35">
        <f>IF(OR($G1477="",$X1477&lt;&gt;"VALIDE"),"",IFERROR(LOOKUP(2,1/(($B577:$B1476=$B1477)*($G577:$G1476=$G1477)*($X577:$X1476="VALIDE")),$C577:$C1476),""))</f>
        <v/>
      </c>
      <c r="T1477" s="36">
        <f>IF(OR($C1477="",$S1477=""),"",ROUND(($C1477-$S1477+IF($C1477&lt;$S1477,1,0))*1440,0))</f>
        <v/>
      </c>
      <c r="U1477" s="22">
        <f>IF(OR($H1477="",$T1477="",$T1477&lt;=0),"",$H1477*60/$T1477)</f>
        <v/>
      </c>
      <c r="V1477" s="37">
        <f>IF(OR($U1477="",$R1477="",$R1477=0),"",$U1477/$R1477)</f>
        <v/>
      </c>
      <c r="W1477" s="20">
        <f>IF($G1477="","",IF($X1477="CONTEXTE INCOMPLET","CONTEXTE INCOMPLET",IF($X1477="DOUBLON",StatutDoublon,IF($S1477="",StatutInitial,IF($R1477="",StatutStandardManquant,IF($V1477="","DONNEES INSUFFISANTES",IF($V1477&gt;=SeuilConforme,StatutConforme,IF($V1477&gt;=SeuilSurveiller,StatutSurveiller,StatutSousStandard))))))))</f>
        <v/>
      </c>
      <c r="X1477" s="33">
        <f>IF($G1477="","",IF(OR($D1477="",$E1477="",$F1477=""),"CONTEXTE INCOMPLET",IF(COUNTIFS($D577:$D1476,$D1477,$E577:$E1476,$E1477,$F577:$F1476,$F1477,$G577:$G1476,$G1477)&gt;0,"DOUBLON","VALIDE")))</f>
        <v/>
      </c>
    </row>
    <row r="1478" ht="15" customHeight="1">
      <c r="A1478" s="12">
        <f>IF(OR($B1478="",$G1478=""),"",TEXT($B1478,"YYYYMMDD")&amp;"-"&amp;SUBSTITUTE($E1478," ","")&amp;"-"&amp;$F1478&amp;"-"&amp;$G1478)</f>
        <v/>
      </c>
      <c r="B1478" s="15" t="n"/>
      <c r="C1478" s="16" t="n"/>
      <c r="D1478" s="10" t="n"/>
      <c r="E1478" s="9" t="n"/>
      <c r="F1478" s="9" t="n"/>
      <c r="G1478" s="13" t="n"/>
      <c r="H1478" s="21" t="n"/>
      <c r="I1478" s="21" t="n"/>
      <c r="J1478" s="17">
        <f>IF($G1478="","",IFERROR(INDEX(NomsEmployes,MATCH($G1478,MatriculesEmployes,0)),"MATRICULE INCONNU"))</f>
        <v/>
      </c>
      <c r="K1478" s="33">
        <f>IF(OR($D1478="",$F1478=""),"",IFERROR(IF(INDEX(RUNS!$L$6:$S$1005,MATCH($D1478,RUNS!$A$6:$A$1005,0),MATCH("ACTIVITÉ "&amp;$F1478,RUNS!$L$5:$S$5,0))="","",INDEX(RUNS!$L$6:$S$1005,MATCH($D1478,RUNS!$A$6:$A$1005,0),MATCH("ACTIVITÉ "&amp;$F1478,RUNS!$L$5:$S$5,0))),""))</f>
        <v/>
      </c>
      <c r="L1478" s="33">
        <f>IF($D1478="","",IFERROR(IF(INDEX(RUNS!$E$6:$E$1005,MATCH($D1478,RUNS!$A$6:$A$1005,0))="","",INDEX(RUNS!$E$6:$E$1005,MATCH($D1478,RUNS!$A$6:$A$1005,0))),""))</f>
        <v/>
      </c>
      <c r="M1478" s="33">
        <f>IF($D1478="","",IFERROR(IF(INDEX(RUNS!$F$6:$F$1005,MATCH($D1478,RUNS!$A$6:$A$1005,0))="","",INDEX(RUNS!$F$6:$F$1005,MATCH($D1478,RUNS!$A$6:$A$1005,0))),""))</f>
        <v/>
      </c>
      <c r="N1478" s="33">
        <f>IF($D1478="","",IFERROR(IF(INDEX(RUNS!$G$6:$G$1005,MATCH($D1478,RUNS!$A$6:$A$1005,0))="","",INDEX(RUNS!$G$6:$G$1005,MATCH($D1478,RUNS!$A$6:$A$1005,0))),""))</f>
        <v/>
      </c>
      <c r="O1478" s="33">
        <f>IF($D1478="","",IFERROR(IF(INDEX(RUNS!$H$6:$H$1005,MATCH($D1478,RUNS!$A$6:$A$1005,0))="","",INDEX(RUNS!$H$6:$H$1005,MATCH($D1478,RUNS!$A$6:$A$1005,0))),""))</f>
        <v/>
      </c>
      <c r="P1478" s="33">
        <f>IF($D1478="","",IFERROR(IF(INDEX(RUNS!$J$6:$J$1005,MATCH($D1478,RUNS!$A$6:$A$1005,0))="","",INDEX(RUNS!$J$6:$J$1005,MATCH($D1478,RUNS!$A$6:$A$1005,0))),""))</f>
        <v/>
      </c>
      <c r="Q1478" s="33">
        <f>IF($D1478="","",IFERROR(IF(INDEX(RUNS!$K$6:$K$1005,MATCH($D1478,RUNS!$A$6:$A$1005,0))="","",INDEX(RUNS!$K$6:$K$1005,MATCH($D1478,RUNS!$A$6:$A$1005,0))),""))</f>
        <v/>
      </c>
      <c r="R1478" s="34">
        <f>IF(OR($L1478="",$K1478=""),"",IFERROR(IF(INDEX(PARAMETRES!$H$43:$H$342,MATCH($L1478&amp;"|"&amp;$M1478&amp;"|"&amp;$N1478&amp;"|"&amp;$O1478&amp;"|"&amp;$P1478&amp;"|"&amp;$Q1478&amp;"|"&amp;$K1478,PARAMETRES!$J$43:$J$342,0))="","",INDEX(PARAMETRES!$H$43:$H$342,MATCH($L1478&amp;"|"&amp;$M1478&amp;"|"&amp;$N1478&amp;"|"&amp;$O1478&amp;"|"&amp;$P1478&amp;"|"&amp;$Q1478&amp;"|"&amp;$K1478,PARAMETRES!$J$43:$J$342,0))),""))</f>
        <v/>
      </c>
      <c r="S1478" s="35">
        <f>IF(OR($G1478="",$X1478&lt;&gt;"VALIDE"),"",IFERROR(LOOKUP(2,1/(($B578:$B1477=$B1478)*($G578:$G1477=$G1478)*($X578:$X1477="VALIDE")),$C578:$C1477),""))</f>
        <v/>
      </c>
      <c r="T1478" s="36">
        <f>IF(OR($C1478="",$S1478=""),"",ROUND(($C1478-$S1478+IF($C1478&lt;$S1478,1,0))*1440,0))</f>
        <v/>
      </c>
      <c r="U1478" s="22">
        <f>IF(OR($H1478="",$T1478="",$T1478&lt;=0),"",$H1478*60/$T1478)</f>
        <v/>
      </c>
      <c r="V1478" s="37">
        <f>IF(OR($U1478="",$R1478="",$R1478=0),"",$U1478/$R1478)</f>
        <v/>
      </c>
      <c r="W1478" s="20">
        <f>IF($G1478="","",IF($X1478="CONTEXTE INCOMPLET","CONTEXTE INCOMPLET",IF($X1478="DOUBLON",StatutDoublon,IF($S1478="",StatutInitial,IF($R1478="",StatutStandardManquant,IF($V1478="","DONNEES INSUFFISANTES",IF($V1478&gt;=SeuilConforme,StatutConforme,IF($V1478&gt;=SeuilSurveiller,StatutSurveiller,StatutSousStandard))))))))</f>
        <v/>
      </c>
      <c r="X1478" s="33">
        <f>IF($G1478="","",IF(OR($D1478="",$E1478="",$F1478=""),"CONTEXTE INCOMPLET",IF(COUNTIFS($D578:$D1477,$D1478,$E578:$E1477,$E1478,$F578:$F1477,$F1478,$G578:$G1477,$G1478)&gt;0,"DOUBLON","VALIDE")))</f>
        <v/>
      </c>
    </row>
    <row r="1479" ht="15" customHeight="1">
      <c r="A1479" s="12">
        <f>IF(OR($B1479="",$G1479=""),"",TEXT($B1479,"YYYYMMDD")&amp;"-"&amp;SUBSTITUTE($E1479," ","")&amp;"-"&amp;$F1479&amp;"-"&amp;$G1479)</f>
        <v/>
      </c>
      <c r="B1479" s="15" t="n"/>
      <c r="C1479" s="16" t="n"/>
      <c r="D1479" s="10" t="n"/>
      <c r="E1479" s="9" t="n"/>
      <c r="F1479" s="9" t="n"/>
      <c r="G1479" s="13" t="n"/>
      <c r="H1479" s="21" t="n"/>
      <c r="I1479" s="21" t="n"/>
      <c r="J1479" s="17">
        <f>IF($G1479="","",IFERROR(INDEX(NomsEmployes,MATCH($G1479,MatriculesEmployes,0)),"MATRICULE INCONNU"))</f>
        <v/>
      </c>
      <c r="K1479" s="33">
        <f>IF(OR($D1479="",$F1479=""),"",IFERROR(IF(INDEX(RUNS!$L$6:$S$1005,MATCH($D1479,RUNS!$A$6:$A$1005,0),MATCH("ACTIVITÉ "&amp;$F1479,RUNS!$L$5:$S$5,0))="","",INDEX(RUNS!$L$6:$S$1005,MATCH($D1479,RUNS!$A$6:$A$1005,0),MATCH("ACTIVITÉ "&amp;$F1479,RUNS!$L$5:$S$5,0))),""))</f>
        <v/>
      </c>
      <c r="L1479" s="33">
        <f>IF($D1479="","",IFERROR(IF(INDEX(RUNS!$E$6:$E$1005,MATCH($D1479,RUNS!$A$6:$A$1005,0))="","",INDEX(RUNS!$E$6:$E$1005,MATCH($D1479,RUNS!$A$6:$A$1005,0))),""))</f>
        <v/>
      </c>
      <c r="M1479" s="33">
        <f>IF($D1479="","",IFERROR(IF(INDEX(RUNS!$F$6:$F$1005,MATCH($D1479,RUNS!$A$6:$A$1005,0))="","",INDEX(RUNS!$F$6:$F$1005,MATCH($D1479,RUNS!$A$6:$A$1005,0))),""))</f>
        <v/>
      </c>
      <c r="N1479" s="33">
        <f>IF($D1479="","",IFERROR(IF(INDEX(RUNS!$G$6:$G$1005,MATCH($D1479,RUNS!$A$6:$A$1005,0))="","",INDEX(RUNS!$G$6:$G$1005,MATCH($D1479,RUNS!$A$6:$A$1005,0))),""))</f>
        <v/>
      </c>
      <c r="O1479" s="33">
        <f>IF($D1479="","",IFERROR(IF(INDEX(RUNS!$H$6:$H$1005,MATCH($D1479,RUNS!$A$6:$A$1005,0))="","",INDEX(RUNS!$H$6:$H$1005,MATCH($D1479,RUNS!$A$6:$A$1005,0))),""))</f>
        <v/>
      </c>
      <c r="P1479" s="33">
        <f>IF($D1479="","",IFERROR(IF(INDEX(RUNS!$J$6:$J$1005,MATCH($D1479,RUNS!$A$6:$A$1005,0))="","",INDEX(RUNS!$J$6:$J$1005,MATCH($D1479,RUNS!$A$6:$A$1005,0))),""))</f>
        <v/>
      </c>
      <c r="Q1479" s="33">
        <f>IF($D1479="","",IFERROR(IF(INDEX(RUNS!$K$6:$K$1005,MATCH($D1479,RUNS!$A$6:$A$1005,0))="","",INDEX(RUNS!$K$6:$K$1005,MATCH($D1479,RUNS!$A$6:$A$1005,0))),""))</f>
        <v/>
      </c>
      <c r="R1479" s="34">
        <f>IF(OR($L1479="",$K1479=""),"",IFERROR(IF(INDEX(PARAMETRES!$H$43:$H$342,MATCH($L1479&amp;"|"&amp;$M1479&amp;"|"&amp;$N1479&amp;"|"&amp;$O1479&amp;"|"&amp;$P1479&amp;"|"&amp;$Q1479&amp;"|"&amp;$K1479,PARAMETRES!$J$43:$J$342,0))="","",INDEX(PARAMETRES!$H$43:$H$342,MATCH($L1479&amp;"|"&amp;$M1479&amp;"|"&amp;$N1479&amp;"|"&amp;$O1479&amp;"|"&amp;$P1479&amp;"|"&amp;$Q1479&amp;"|"&amp;$K1479,PARAMETRES!$J$43:$J$342,0))),""))</f>
        <v/>
      </c>
      <c r="S1479" s="35">
        <f>IF(OR($G1479="",$X1479&lt;&gt;"VALIDE"),"",IFERROR(LOOKUP(2,1/(($B579:$B1478=$B1479)*($G579:$G1478=$G1479)*($X579:$X1478="VALIDE")),$C579:$C1478),""))</f>
        <v/>
      </c>
      <c r="T1479" s="36">
        <f>IF(OR($C1479="",$S1479=""),"",ROUND(($C1479-$S1479+IF($C1479&lt;$S1479,1,0))*1440,0))</f>
        <v/>
      </c>
      <c r="U1479" s="22">
        <f>IF(OR($H1479="",$T1479="",$T1479&lt;=0),"",$H1479*60/$T1479)</f>
        <v/>
      </c>
      <c r="V1479" s="37">
        <f>IF(OR($U1479="",$R1479="",$R1479=0),"",$U1479/$R1479)</f>
        <v/>
      </c>
      <c r="W1479" s="20">
        <f>IF($G1479="","",IF($X1479="CONTEXTE INCOMPLET","CONTEXTE INCOMPLET",IF($X1479="DOUBLON",StatutDoublon,IF($S1479="",StatutInitial,IF($R1479="",StatutStandardManquant,IF($V1479="","DONNEES INSUFFISANTES",IF($V1479&gt;=SeuilConforme,StatutConforme,IF($V1479&gt;=SeuilSurveiller,StatutSurveiller,StatutSousStandard))))))))</f>
        <v/>
      </c>
      <c r="X1479" s="33">
        <f>IF($G1479="","",IF(OR($D1479="",$E1479="",$F1479=""),"CONTEXTE INCOMPLET",IF(COUNTIFS($D579:$D1478,$D1479,$E579:$E1478,$E1479,$F579:$F1478,$F1479,$G579:$G1478,$G1479)&gt;0,"DOUBLON","VALIDE")))</f>
        <v/>
      </c>
    </row>
    <row r="1480" ht="15" customHeight="1">
      <c r="A1480" s="12">
        <f>IF(OR($B1480="",$G1480=""),"",TEXT($B1480,"YYYYMMDD")&amp;"-"&amp;SUBSTITUTE($E1480," ","")&amp;"-"&amp;$F1480&amp;"-"&amp;$G1480)</f>
        <v/>
      </c>
      <c r="B1480" s="15" t="n"/>
      <c r="C1480" s="16" t="n"/>
      <c r="D1480" s="10" t="n"/>
      <c r="E1480" s="9" t="n"/>
      <c r="F1480" s="9" t="n"/>
      <c r="G1480" s="13" t="n"/>
      <c r="H1480" s="21" t="n"/>
      <c r="I1480" s="21" t="n"/>
      <c r="J1480" s="17">
        <f>IF($G1480="","",IFERROR(INDEX(NomsEmployes,MATCH($G1480,MatriculesEmployes,0)),"MATRICULE INCONNU"))</f>
        <v/>
      </c>
      <c r="K1480" s="33">
        <f>IF(OR($D1480="",$F1480=""),"",IFERROR(IF(INDEX(RUNS!$L$6:$S$1005,MATCH($D1480,RUNS!$A$6:$A$1005,0),MATCH("ACTIVITÉ "&amp;$F1480,RUNS!$L$5:$S$5,0))="","",INDEX(RUNS!$L$6:$S$1005,MATCH($D1480,RUNS!$A$6:$A$1005,0),MATCH("ACTIVITÉ "&amp;$F1480,RUNS!$L$5:$S$5,0))),""))</f>
        <v/>
      </c>
      <c r="L1480" s="33">
        <f>IF($D1480="","",IFERROR(IF(INDEX(RUNS!$E$6:$E$1005,MATCH($D1480,RUNS!$A$6:$A$1005,0))="","",INDEX(RUNS!$E$6:$E$1005,MATCH($D1480,RUNS!$A$6:$A$1005,0))),""))</f>
        <v/>
      </c>
      <c r="M1480" s="33">
        <f>IF($D1480="","",IFERROR(IF(INDEX(RUNS!$F$6:$F$1005,MATCH($D1480,RUNS!$A$6:$A$1005,0))="","",INDEX(RUNS!$F$6:$F$1005,MATCH($D1480,RUNS!$A$6:$A$1005,0))),""))</f>
        <v/>
      </c>
      <c r="N1480" s="33">
        <f>IF($D1480="","",IFERROR(IF(INDEX(RUNS!$G$6:$G$1005,MATCH($D1480,RUNS!$A$6:$A$1005,0))="","",INDEX(RUNS!$G$6:$G$1005,MATCH($D1480,RUNS!$A$6:$A$1005,0))),""))</f>
        <v/>
      </c>
      <c r="O1480" s="33">
        <f>IF($D1480="","",IFERROR(IF(INDEX(RUNS!$H$6:$H$1005,MATCH($D1480,RUNS!$A$6:$A$1005,0))="","",INDEX(RUNS!$H$6:$H$1005,MATCH($D1480,RUNS!$A$6:$A$1005,0))),""))</f>
        <v/>
      </c>
      <c r="P1480" s="33">
        <f>IF($D1480="","",IFERROR(IF(INDEX(RUNS!$J$6:$J$1005,MATCH($D1480,RUNS!$A$6:$A$1005,0))="","",INDEX(RUNS!$J$6:$J$1005,MATCH($D1480,RUNS!$A$6:$A$1005,0))),""))</f>
        <v/>
      </c>
      <c r="Q1480" s="33">
        <f>IF($D1480="","",IFERROR(IF(INDEX(RUNS!$K$6:$K$1005,MATCH($D1480,RUNS!$A$6:$A$1005,0))="","",INDEX(RUNS!$K$6:$K$1005,MATCH($D1480,RUNS!$A$6:$A$1005,0))),""))</f>
        <v/>
      </c>
      <c r="R1480" s="34">
        <f>IF(OR($L1480="",$K1480=""),"",IFERROR(IF(INDEX(PARAMETRES!$H$43:$H$342,MATCH($L1480&amp;"|"&amp;$M1480&amp;"|"&amp;$N1480&amp;"|"&amp;$O1480&amp;"|"&amp;$P1480&amp;"|"&amp;$Q1480&amp;"|"&amp;$K1480,PARAMETRES!$J$43:$J$342,0))="","",INDEX(PARAMETRES!$H$43:$H$342,MATCH($L1480&amp;"|"&amp;$M1480&amp;"|"&amp;$N1480&amp;"|"&amp;$O1480&amp;"|"&amp;$P1480&amp;"|"&amp;$Q1480&amp;"|"&amp;$K1480,PARAMETRES!$J$43:$J$342,0))),""))</f>
        <v/>
      </c>
      <c r="S1480" s="35">
        <f>IF(OR($G1480="",$X1480&lt;&gt;"VALIDE"),"",IFERROR(LOOKUP(2,1/(($B580:$B1479=$B1480)*($G580:$G1479=$G1480)*($X580:$X1479="VALIDE")),$C580:$C1479),""))</f>
        <v/>
      </c>
      <c r="T1480" s="36">
        <f>IF(OR($C1480="",$S1480=""),"",ROUND(($C1480-$S1480+IF($C1480&lt;$S1480,1,0))*1440,0))</f>
        <v/>
      </c>
      <c r="U1480" s="22">
        <f>IF(OR($H1480="",$T1480="",$T1480&lt;=0),"",$H1480*60/$T1480)</f>
        <v/>
      </c>
      <c r="V1480" s="37">
        <f>IF(OR($U1480="",$R1480="",$R1480=0),"",$U1480/$R1480)</f>
        <v/>
      </c>
      <c r="W1480" s="20">
        <f>IF($G1480="","",IF($X1480="CONTEXTE INCOMPLET","CONTEXTE INCOMPLET",IF($X1480="DOUBLON",StatutDoublon,IF($S1480="",StatutInitial,IF($R1480="",StatutStandardManquant,IF($V1480="","DONNEES INSUFFISANTES",IF($V1480&gt;=SeuilConforme,StatutConforme,IF($V1480&gt;=SeuilSurveiller,StatutSurveiller,StatutSousStandard))))))))</f>
        <v/>
      </c>
      <c r="X1480" s="33">
        <f>IF($G1480="","",IF(OR($D1480="",$E1480="",$F1480=""),"CONTEXTE INCOMPLET",IF(COUNTIFS($D580:$D1479,$D1480,$E580:$E1479,$E1480,$F580:$F1479,$F1480,$G580:$G1479,$G1480)&gt;0,"DOUBLON","VALIDE")))</f>
        <v/>
      </c>
    </row>
    <row r="1481" ht="15" customHeight="1">
      <c r="A1481" s="12">
        <f>IF(OR($B1481="",$G1481=""),"",TEXT($B1481,"YYYYMMDD")&amp;"-"&amp;SUBSTITUTE($E1481," ","")&amp;"-"&amp;$F1481&amp;"-"&amp;$G1481)</f>
        <v/>
      </c>
      <c r="B1481" s="15" t="n"/>
      <c r="C1481" s="16" t="n"/>
      <c r="D1481" s="10" t="n"/>
      <c r="E1481" s="9" t="n"/>
      <c r="F1481" s="9" t="n"/>
      <c r="G1481" s="13" t="n"/>
      <c r="H1481" s="21" t="n"/>
      <c r="I1481" s="21" t="n"/>
      <c r="J1481" s="17">
        <f>IF($G1481="","",IFERROR(INDEX(NomsEmployes,MATCH($G1481,MatriculesEmployes,0)),"MATRICULE INCONNU"))</f>
        <v/>
      </c>
      <c r="K1481" s="33">
        <f>IF(OR($D1481="",$F1481=""),"",IFERROR(IF(INDEX(RUNS!$L$6:$S$1005,MATCH($D1481,RUNS!$A$6:$A$1005,0),MATCH("ACTIVITÉ "&amp;$F1481,RUNS!$L$5:$S$5,0))="","",INDEX(RUNS!$L$6:$S$1005,MATCH($D1481,RUNS!$A$6:$A$1005,0),MATCH("ACTIVITÉ "&amp;$F1481,RUNS!$L$5:$S$5,0))),""))</f>
        <v/>
      </c>
      <c r="L1481" s="33">
        <f>IF($D1481="","",IFERROR(IF(INDEX(RUNS!$E$6:$E$1005,MATCH($D1481,RUNS!$A$6:$A$1005,0))="","",INDEX(RUNS!$E$6:$E$1005,MATCH($D1481,RUNS!$A$6:$A$1005,0))),""))</f>
        <v/>
      </c>
      <c r="M1481" s="33">
        <f>IF($D1481="","",IFERROR(IF(INDEX(RUNS!$F$6:$F$1005,MATCH($D1481,RUNS!$A$6:$A$1005,0))="","",INDEX(RUNS!$F$6:$F$1005,MATCH($D1481,RUNS!$A$6:$A$1005,0))),""))</f>
        <v/>
      </c>
      <c r="N1481" s="33">
        <f>IF($D1481="","",IFERROR(IF(INDEX(RUNS!$G$6:$G$1005,MATCH($D1481,RUNS!$A$6:$A$1005,0))="","",INDEX(RUNS!$G$6:$G$1005,MATCH($D1481,RUNS!$A$6:$A$1005,0))),""))</f>
        <v/>
      </c>
      <c r="O1481" s="33">
        <f>IF($D1481="","",IFERROR(IF(INDEX(RUNS!$H$6:$H$1005,MATCH($D1481,RUNS!$A$6:$A$1005,0))="","",INDEX(RUNS!$H$6:$H$1005,MATCH($D1481,RUNS!$A$6:$A$1005,0))),""))</f>
        <v/>
      </c>
      <c r="P1481" s="33">
        <f>IF($D1481="","",IFERROR(IF(INDEX(RUNS!$J$6:$J$1005,MATCH($D1481,RUNS!$A$6:$A$1005,0))="","",INDEX(RUNS!$J$6:$J$1005,MATCH($D1481,RUNS!$A$6:$A$1005,0))),""))</f>
        <v/>
      </c>
      <c r="Q1481" s="33">
        <f>IF($D1481="","",IFERROR(IF(INDEX(RUNS!$K$6:$K$1005,MATCH($D1481,RUNS!$A$6:$A$1005,0))="","",INDEX(RUNS!$K$6:$K$1005,MATCH($D1481,RUNS!$A$6:$A$1005,0))),""))</f>
        <v/>
      </c>
      <c r="R1481" s="34">
        <f>IF(OR($L1481="",$K1481=""),"",IFERROR(IF(INDEX(PARAMETRES!$H$43:$H$342,MATCH($L1481&amp;"|"&amp;$M1481&amp;"|"&amp;$N1481&amp;"|"&amp;$O1481&amp;"|"&amp;$P1481&amp;"|"&amp;$Q1481&amp;"|"&amp;$K1481,PARAMETRES!$J$43:$J$342,0))="","",INDEX(PARAMETRES!$H$43:$H$342,MATCH($L1481&amp;"|"&amp;$M1481&amp;"|"&amp;$N1481&amp;"|"&amp;$O1481&amp;"|"&amp;$P1481&amp;"|"&amp;$Q1481&amp;"|"&amp;$K1481,PARAMETRES!$J$43:$J$342,0))),""))</f>
        <v/>
      </c>
      <c r="S1481" s="35">
        <f>IF(OR($G1481="",$X1481&lt;&gt;"VALIDE"),"",IFERROR(LOOKUP(2,1/(($B581:$B1480=$B1481)*($G581:$G1480=$G1481)*($X581:$X1480="VALIDE")),$C581:$C1480),""))</f>
        <v/>
      </c>
      <c r="T1481" s="36">
        <f>IF(OR($C1481="",$S1481=""),"",ROUND(($C1481-$S1481+IF($C1481&lt;$S1481,1,0))*1440,0))</f>
        <v/>
      </c>
      <c r="U1481" s="22">
        <f>IF(OR($H1481="",$T1481="",$T1481&lt;=0),"",$H1481*60/$T1481)</f>
        <v/>
      </c>
      <c r="V1481" s="37">
        <f>IF(OR($U1481="",$R1481="",$R1481=0),"",$U1481/$R1481)</f>
        <v/>
      </c>
      <c r="W1481" s="20">
        <f>IF($G1481="","",IF($X1481="CONTEXTE INCOMPLET","CONTEXTE INCOMPLET",IF($X1481="DOUBLON",StatutDoublon,IF($S1481="",StatutInitial,IF($R1481="",StatutStandardManquant,IF($V1481="","DONNEES INSUFFISANTES",IF($V1481&gt;=SeuilConforme,StatutConforme,IF($V1481&gt;=SeuilSurveiller,StatutSurveiller,StatutSousStandard))))))))</f>
        <v/>
      </c>
      <c r="X1481" s="33">
        <f>IF($G1481="","",IF(OR($D1481="",$E1481="",$F1481=""),"CONTEXTE INCOMPLET",IF(COUNTIFS($D581:$D1480,$D1481,$E581:$E1480,$E1481,$F581:$F1480,$F1481,$G581:$G1480,$G1481)&gt;0,"DOUBLON","VALIDE")))</f>
        <v/>
      </c>
    </row>
    <row r="1482" ht="15" customHeight="1">
      <c r="A1482" s="12">
        <f>IF(OR($B1482="",$G1482=""),"",TEXT($B1482,"YYYYMMDD")&amp;"-"&amp;SUBSTITUTE($E1482," ","")&amp;"-"&amp;$F1482&amp;"-"&amp;$G1482)</f>
        <v/>
      </c>
      <c r="B1482" s="15" t="n"/>
      <c r="C1482" s="16" t="n"/>
      <c r="D1482" s="10" t="n"/>
      <c r="E1482" s="9" t="n"/>
      <c r="F1482" s="9" t="n"/>
      <c r="G1482" s="13" t="n"/>
      <c r="H1482" s="21" t="n"/>
      <c r="I1482" s="21" t="n"/>
      <c r="J1482" s="17">
        <f>IF($G1482="","",IFERROR(INDEX(NomsEmployes,MATCH($G1482,MatriculesEmployes,0)),"MATRICULE INCONNU"))</f>
        <v/>
      </c>
      <c r="K1482" s="33">
        <f>IF(OR($D1482="",$F1482=""),"",IFERROR(IF(INDEX(RUNS!$L$6:$S$1005,MATCH($D1482,RUNS!$A$6:$A$1005,0),MATCH("ACTIVITÉ "&amp;$F1482,RUNS!$L$5:$S$5,0))="","",INDEX(RUNS!$L$6:$S$1005,MATCH($D1482,RUNS!$A$6:$A$1005,0),MATCH("ACTIVITÉ "&amp;$F1482,RUNS!$L$5:$S$5,0))),""))</f>
        <v/>
      </c>
      <c r="L1482" s="33">
        <f>IF($D1482="","",IFERROR(IF(INDEX(RUNS!$E$6:$E$1005,MATCH($D1482,RUNS!$A$6:$A$1005,0))="","",INDEX(RUNS!$E$6:$E$1005,MATCH($D1482,RUNS!$A$6:$A$1005,0))),""))</f>
        <v/>
      </c>
      <c r="M1482" s="33">
        <f>IF($D1482="","",IFERROR(IF(INDEX(RUNS!$F$6:$F$1005,MATCH($D1482,RUNS!$A$6:$A$1005,0))="","",INDEX(RUNS!$F$6:$F$1005,MATCH($D1482,RUNS!$A$6:$A$1005,0))),""))</f>
        <v/>
      </c>
      <c r="N1482" s="33">
        <f>IF($D1482="","",IFERROR(IF(INDEX(RUNS!$G$6:$G$1005,MATCH($D1482,RUNS!$A$6:$A$1005,0))="","",INDEX(RUNS!$G$6:$G$1005,MATCH($D1482,RUNS!$A$6:$A$1005,0))),""))</f>
        <v/>
      </c>
      <c r="O1482" s="33">
        <f>IF($D1482="","",IFERROR(IF(INDEX(RUNS!$H$6:$H$1005,MATCH($D1482,RUNS!$A$6:$A$1005,0))="","",INDEX(RUNS!$H$6:$H$1005,MATCH($D1482,RUNS!$A$6:$A$1005,0))),""))</f>
        <v/>
      </c>
      <c r="P1482" s="33">
        <f>IF($D1482="","",IFERROR(IF(INDEX(RUNS!$J$6:$J$1005,MATCH($D1482,RUNS!$A$6:$A$1005,0))="","",INDEX(RUNS!$J$6:$J$1005,MATCH($D1482,RUNS!$A$6:$A$1005,0))),""))</f>
        <v/>
      </c>
      <c r="Q1482" s="33">
        <f>IF($D1482="","",IFERROR(IF(INDEX(RUNS!$K$6:$K$1005,MATCH($D1482,RUNS!$A$6:$A$1005,0))="","",INDEX(RUNS!$K$6:$K$1005,MATCH($D1482,RUNS!$A$6:$A$1005,0))),""))</f>
        <v/>
      </c>
      <c r="R1482" s="34">
        <f>IF(OR($L1482="",$K1482=""),"",IFERROR(IF(INDEX(PARAMETRES!$H$43:$H$342,MATCH($L1482&amp;"|"&amp;$M1482&amp;"|"&amp;$N1482&amp;"|"&amp;$O1482&amp;"|"&amp;$P1482&amp;"|"&amp;$Q1482&amp;"|"&amp;$K1482,PARAMETRES!$J$43:$J$342,0))="","",INDEX(PARAMETRES!$H$43:$H$342,MATCH($L1482&amp;"|"&amp;$M1482&amp;"|"&amp;$N1482&amp;"|"&amp;$O1482&amp;"|"&amp;$P1482&amp;"|"&amp;$Q1482&amp;"|"&amp;$K1482,PARAMETRES!$J$43:$J$342,0))),""))</f>
        <v/>
      </c>
      <c r="S1482" s="35">
        <f>IF(OR($G1482="",$X1482&lt;&gt;"VALIDE"),"",IFERROR(LOOKUP(2,1/(($B582:$B1481=$B1482)*($G582:$G1481=$G1482)*($X582:$X1481="VALIDE")),$C582:$C1481),""))</f>
        <v/>
      </c>
      <c r="T1482" s="36">
        <f>IF(OR($C1482="",$S1482=""),"",ROUND(($C1482-$S1482+IF($C1482&lt;$S1482,1,0))*1440,0))</f>
        <v/>
      </c>
      <c r="U1482" s="22">
        <f>IF(OR($H1482="",$T1482="",$T1482&lt;=0),"",$H1482*60/$T1482)</f>
        <v/>
      </c>
      <c r="V1482" s="37">
        <f>IF(OR($U1482="",$R1482="",$R1482=0),"",$U1482/$R1482)</f>
        <v/>
      </c>
      <c r="W1482" s="20">
        <f>IF($G1482="","",IF($X1482="CONTEXTE INCOMPLET","CONTEXTE INCOMPLET",IF($X1482="DOUBLON",StatutDoublon,IF($S1482="",StatutInitial,IF($R1482="",StatutStandardManquant,IF($V1482="","DONNEES INSUFFISANTES",IF($V1482&gt;=SeuilConforme,StatutConforme,IF($V1482&gt;=SeuilSurveiller,StatutSurveiller,StatutSousStandard))))))))</f>
        <v/>
      </c>
      <c r="X1482" s="33">
        <f>IF($G1482="","",IF(OR($D1482="",$E1482="",$F1482=""),"CONTEXTE INCOMPLET",IF(COUNTIFS($D582:$D1481,$D1482,$E582:$E1481,$E1482,$F582:$F1481,$F1482,$G582:$G1481,$G1482)&gt;0,"DOUBLON","VALIDE")))</f>
        <v/>
      </c>
    </row>
    <row r="1483" ht="15" customHeight="1">
      <c r="A1483" s="12">
        <f>IF(OR($B1483="",$G1483=""),"",TEXT($B1483,"YYYYMMDD")&amp;"-"&amp;SUBSTITUTE($E1483," ","")&amp;"-"&amp;$F1483&amp;"-"&amp;$G1483)</f>
        <v/>
      </c>
      <c r="B1483" s="15" t="n"/>
      <c r="C1483" s="16" t="n"/>
      <c r="D1483" s="10" t="n"/>
      <c r="E1483" s="9" t="n"/>
      <c r="F1483" s="9" t="n"/>
      <c r="G1483" s="13" t="n"/>
      <c r="H1483" s="21" t="n"/>
      <c r="I1483" s="21" t="n"/>
      <c r="J1483" s="17">
        <f>IF($G1483="","",IFERROR(INDEX(NomsEmployes,MATCH($G1483,MatriculesEmployes,0)),"MATRICULE INCONNU"))</f>
        <v/>
      </c>
      <c r="K1483" s="33">
        <f>IF(OR($D1483="",$F1483=""),"",IFERROR(IF(INDEX(RUNS!$L$6:$S$1005,MATCH($D1483,RUNS!$A$6:$A$1005,0),MATCH("ACTIVITÉ "&amp;$F1483,RUNS!$L$5:$S$5,0))="","",INDEX(RUNS!$L$6:$S$1005,MATCH($D1483,RUNS!$A$6:$A$1005,0),MATCH("ACTIVITÉ "&amp;$F1483,RUNS!$L$5:$S$5,0))),""))</f>
        <v/>
      </c>
      <c r="L1483" s="33">
        <f>IF($D1483="","",IFERROR(IF(INDEX(RUNS!$E$6:$E$1005,MATCH($D1483,RUNS!$A$6:$A$1005,0))="","",INDEX(RUNS!$E$6:$E$1005,MATCH($D1483,RUNS!$A$6:$A$1005,0))),""))</f>
        <v/>
      </c>
      <c r="M1483" s="33">
        <f>IF($D1483="","",IFERROR(IF(INDEX(RUNS!$F$6:$F$1005,MATCH($D1483,RUNS!$A$6:$A$1005,0))="","",INDEX(RUNS!$F$6:$F$1005,MATCH($D1483,RUNS!$A$6:$A$1005,0))),""))</f>
        <v/>
      </c>
      <c r="N1483" s="33">
        <f>IF($D1483="","",IFERROR(IF(INDEX(RUNS!$G$6:$G$1005,MATCH($D1483,RUNS!$A$6:$A$1005,0))="","",INDEX(RUNS!$G$6:$G$1005,MATCH($D1483,RUNS!$A$6:$A$1005,0))),""))</f>
        <v/>
      </c>
      <c r="O1483" s="33">
        <f>IF($D1483="","",IFERROR(IF(INDEX(RUNS!$H$6:$H$1005,MATCH($D1483,RUNS!$A$6:$A$1005,0))="","",INDEX(RUNS!$H$6:$H$1005,MATCH($D1483,RUNS!$A$6:$A$1005,0))),""))</f>
        <v/>
      </c>
      <c r="P1483" s="33">
        <f>IF($D1483="","",IFERROR(IF(INDEX(RUNS!$J$6:$J$1005,MATCH($D1483,RUNS!$A$6:$A$1005,0))="","",INDEX(RUNS!$J$6:$J$1005,MATCH($D1483,RUNS!$A$6:$A$1005,0))),""))</f>
        <v/>
      </c>
      <c r="Q1483" s="33">
        <f>IF($D1483="","",IFERROR(IF(INDEX(RUNS!$K$6:$K$1005,MATCH($D1483,RUNS!$A$6:$A$1005,0))="","",INDEX(RUNS!$K$6:$K$1005,MATCH($D1483,RUNS!$A$6:$A$1005,0))),""))</f>
        <v/>
      </c>
      <c r="R1483" s="34">
        <f>IF(OR($L1483="",$K1483=""),"",IFERROR(IF(INDEX(PARAMETRES!$H$43:$H$342,MATCH($L1483&amp;"|"&amp;$M1483&amp;"|"&amp;$N1483&amp;"|"&amp;$O1483&amp;"|"&amp;$P1483&amp;"|"&amp;$Q1483&amp;"|"&amp;$K1483,PARAMETRES!$J$43:$J$342,0))="","",INDEX(PARAMETRES!$H$43:$H$342,MATCH($L1483&amp;"|"&amp;$M1483&amp;"|"&amp;$N1483&amp;"|"&amp;$O1483&amp;"|"&amp;$P1483&amp;"|"&amp;$Q1483&amp;"|"&amp;$K1483,PARAMETRES!$J$43:$J$342,0))),""))</f>
        <v/>
      </c>
      <c r="S1483" s="35">
        <f>IF(OR($G1483="",$X1483&lt;&gt;"VALIDE"),"",IFERROR(LOOKUP(2,1/(($B583:$B1482=$B1483)*($G583:$G1482=$G1483)*($X583:$X1482="VALIDE")),$C583:$C1482),""))</f>
        <v/>
      </c>
      <c r="T1483" s="36">
        <f>IF(OR($C1483="",$S1483=""),"",ROUND(($C1483-$S1483+IF($C1483&lt;$S1483,1,0))*1440,0))</f>
        <v/>
      </c>
      <c r="U1483" s="22">
        <f>IF(OR($H1483="",$T1483="",$T1483&lt;=0),"",$H1483*60/$T1483)</f>
        <v/>
      </c>
      <c r="V1483" s="37">
        <f>IF(OR($U1483="",$R1483="",$R1483=0),"",$U1483/$R1483)</f>
        <v/>
      </c>
      <c r="W1483" s="20">
        <f>IF($G1483="","",IF($X1483="CONTEXTE INCOMPLET","CONTEXTE INCOMPLET",IF($X1483="DOUBLON",StatutDoublon,IF($S1483="",StatutInitial,IF($R1483="",StatutStandardManquant,IF($V1483="","DONNEES INSUFFISANTES",IF($V1483&gt;=SeuilConforme,StatutConforme,IF($V1483&gt;=SeuilSurveiller,StatutSurveiller,StatutSousStandard))))))))</f>
        <v/>
      </c>
      <c r="X1483" s="33">
        <f>IF($G1483="","",IF(OR($D1483="",$E1483="",$F1483=""),"CONTEXTE INCOMPLET",IF(COUNTIFS($D583:$D1482,$D1483,$E583:$E1482,$E1483,$F583:$F1482,$F1483,$G583:$G1482,$G1483)&gt;0,"DOUBLON","VALIDE")))</f>
        <v/>
      </c>
    </row>
    <row r="1484" ht="15" customHeight="1">
      <c r="A1484" s="12">
        <f>IF(OR($B1484="",$G1484=""),"",TEXT($B1484,"YYYYMMDD")&amp;"-"&amp;SUBSTITUTE($E1484," ","")&amp;"-"&amp;$F1484&amp;"-"&amp;$G1484)</f>
        <v/>
      </c>
      <c r="B1484" s="15" t="n"/>
      <c r="C1484" s="16" t="n"/>
      <c r="D1484" s="10" t="n"/>
      <c r="E1484" s="9" t="n"/>
      <c r="F1484" s="9" t="n"/>
      <c r="G1484" s="13" t="n"/>
      <c r="H1484" s="21" t="n"/>
      <c r="I1484" s="21" t="n"/>
      <c r="J1484" s="17">
        <f>IF($G1484="","",IFERROR(INDEX(NomsEmployes,MATCH($G1484,MatriculesEmployes,0)),"MATRICULE INCONNU"))</f>
        <v/>
      </c>
      <c r="K1484" s="33">
        <f>IF(OR($D1484="",$F1484=""),"",IFERROR(IF(INDEX(RUNS!$L$6:$S$1005,MATCH($D1484,RUNS!$A$6:$A$1005,0),MATCH("ACTIVITÉ "&amp;$F1484,RUNS!$L$5:$S$5,0))="","",INDEX(RUNS!$L$6:$S$1005,MATCH($D1484,RUNS!$A$6:$A$1005,0),MATCH("ACTIVITÉ "&amp;$F1484,RUNS!$L$5:$S$5,0))),""))</f>
        <v/>
      </c>
      <c r="L1484" s="33">
        <f>IF($D1484="","",IFERROR(IF(INDEX(RUNS!$E$6:$E$1005,MATCH($D1484,RUNS!$A$6:$A$1005,0))="","",INDEX(RUNS!$E$6:$E$1005,MATCH($D1484,RUNS!$A$6:$A$1005,0))),""))</f>
        <v/>
      </c>
      <c r="M1484" s="33">
        <f>IF($D1484="","",IFERROR(IF(INDEX(RUNS!$F$6:$F$1005,MATCH($D1484,RUNS!$A$6:$A$1005,0))="","",INDEX(RUNS!$F$6:$F$1005,MATCH($D1484,RUNS!$A$6:$A$1005,0))),""))</f>
        <v/>
      </c>
      <c r="N1484" s="33">
        <f>IF($D1484="","",IFERROR(IF(INDEX(RUNS!$G$6:$G$1005,MATCH($D1484,RUNS!$A$6:$A$1005,0))="","",INDEX(RUNS!$G$6:$G$1005,MATCH($D1484,RUNS!$A$6:$A$1005,0))),""))</f>
        <v/>
      </c>
      <c r="O1484" s="33">
        <f>IF($D1484="","",IFERROR(IF(INDEX(RUNS!$H$6:$H$1005,MATCH($D1484,RUNS!$A$6:$A$1005,0))="","",INDEX(RUNS!$H$6:$H$1005,MATCH($D1484,RUNS!$A$6:$A$1005,0))),""))</f>
        <v/>
      </c>
      <c r="P1484" s="33">
        <f>IF($D1484="","",IFERROR(IF(INDEX(RUNS!$J$6:$J$1005,MATCH($D1484,RUNS!$A$6:$A$1005,0))="","",INDEX(RUNS!$J$6:$J$1005,MATCH($D1484,RUNS!$A$6:$A$1005,0))),""))</f>
        <v/>
      </c>
      <c r="Q1484" s="33">
        <f>IF($D1484="","",IFERROR(IF(INDEX(RUNS!$K$6:$K$1005,MATCH($D1484,RUNS!$A$6:$A$1005,0))="","",INDEX(RUNS!$K$6:$K$1005,MATCH($D1484,RUNS!$A$6:$A$1005,0))),""))</f>
        <v/>
      </c>
      <c r="R1484" s="34">
        <f>IF(OR($L1484="",$K1484=""),"",IFERROR(IF(INDEX(PARAMETRES!$H$43:$H$342,MATCH($L1484&amp;"|"&amp;$M1484&amp;"|"&amp;$N1484&amp;"|"&amp;$O1484&amp;"|"&amp;$P1484&amp;"|"&amp;$Q1484&amp;"|"&amp;$K1484,PARAMETRES!$J$43:$J$342,0))="","",INDEX(PARAMETRES!$H$43:$H$342,MATCH($L1484&amp;"|"&amp;$M1484&amp;"|"&amp;$N1484&amp;"|"&amp;$O1484&amp;"|"&amp;$P1484&amp;"|"&amp;$Q1484&amp;"|"&amp;$K1484,PARAMETRES!$J$43:$J$342,0))),""))</f>
        <v/>
      </c>
      <c r="S1484" s="35">
        <f>IF(OR($G1484="",$X1484&lt;&gt;"VALIDE"),"",IFERROR(LOOKUP(2,1/(($B584:$B1483=$B1484)*($G584:$G1483=$G1484)*($X584:$X1483="VALIDE")),$C584:$C1483),""))</f>
        <v/>
      </c>
      <c r="T1484" s="36">
        <f>IF(OR($C1484="",$S1484=""),"",ROUND(($C1484-$S1484+IF($C1484&lt;$S1484,1,0))*1440,0))</f>
        <v/>
      </c>
      <c r="U1484" s="22">
        <f>IF(OR($H1484="",$T1484="",$T1484&lt;=0),"",$H1484*60/$T1484)</f>
        <v/>
      </c>
      <c r="V1484" s="37">
        <f>IF(OR($U1484="",$R1484="",$R1484=0),"",$U1484/$R1484)</f>
        <v/>
      </c>
      <c r="W1484" s="20">
        <f>IF($G1484="","",IF($X1484="CONTEXTE INCOMPLET","CONTEXTE INCOMPLET",IF($X1484="DOUBLON",StatutDoublon,IF($S1484="",StatutInitial,IF($R1484="",StatutStandardManquant,IF($V1484="","DONNEES INSUFFISANTES",IF($V1484&gt;=SeuilConforme,StatutConforme,IF($V1484&gt;=SeuilSurveiller,StatutSurveiller,StatutSousStandard))))))))</f>
        <v/>
      </c>
      <c r="X1484" s="33">
        <f>IF($G1484="","",IF(OR($D1484="",$E1484="",$F1484=""),"CONTEXTE INCOMPLET",IF(COUNTIFS($D584:$D1483,$D1484,$E584:$E1483,$E1484,$F584:$F1483,$F1484,$G584:$G1483,$G1484)&gt;0,"DOUBLON","VALIDE")))</f>
        <v/>
      </c>
    </row>
    <row r="1485" ht="15" customHeight="1">
      <c r="A1485" s="12">
        <f>IF(OR($B1485="",$G1485=""),"",TEXT($B1485,"YYYYMMDD")&amp;"-"&amp;SUBSTITUTE($E1485," ","")&amp;"-"&amp;$F1485&amp;"-"&amp;$G1485)</f>
        <v/>
      </c>
      <c r="B1485" s="15" t="n"/>
      <c r="C1485" s="16" t="n"/>
      <c r="D1485" s="10" t="n"/>
      <c r="E1485" s="9" t="n"/>
      <c r="F1485" s="9" t="n"/>
      <c r="G1485" s="13" t="n"/>
      <c r="H1485" s="21" t="n"/>
      <c r="I1485" s="21" t="n"/>
      <c r="J1485" s="17">
        <f>IF($G1485="","",IFERROR(INDEX(NomsEmployes,MATCH($G1485,MatriculesEmployes,0)),"MATRICULE INCONNU"))</f>
        <v/>
      </c>
      <c r="K1485" s="33">
        <f>IF(OR($D1485="",$F1485=""),"",IFERROR(IF(INDEX(RUNS!$L$6:$S$1005,MATCH($D1485,RUNS!$A$6:$A$1005,0),MATCH("ACTIVITÉ "&amp;$F1485,RUNS!$L$5:$S$5,0))="","",INDEX(RUNS!$L$6:$S$1005,MATCH($D1485,RUNS!$A$6:$A$1005,0),MATCH("ACTIVITÉ "&amp;$F1485,RUNS!$L$5:$S$5,0))),""))</f>
        <v/>
      </c>
      <c r="L1485" s="33">
        <f>IF($D1485="","",IFERROR(IF(INDEX(RUNS!$E$6:$E$1005,MATCH($D1485,RUNS!$A$6:$A$1005,0))="","",INDEX(RUNS!$E$6:$E$1005,MATCH($D1485,RUNS!$A$6:$A$1005,0))),""))</f>
        <v/>
      </c>
      <c r="M1485" s="33">
        <f>IF($D1485="","",IFERROR(IF(INDEX(RUNS!$F$6:$F$1005,MATCH($D1485,RUNS!$A$6:$A$1005,0))="","",INDEX(RUNS!$F$6:$F$1005,MATCH($D1485,RUNS!$A$6:$A$1005,0))),""))</f>
        <v/>
      </c>
      <c r="N1485" s="33">
        <f>IF($D1485="","",IFERROR(IF(INDEX(RUNS!$G$6:$G$1005,MATCH($D1485,RUNS!$A$6:$A$1005,0))="","",INDEX(RUNS!$G$6:$G$1005,MATCH($D1485,RUNS!$A$6:$A$1005,0))),""))</f>
        <v/>
      </c>
      <c r="O1485" s="33">
        <f>IF($D1485="","",IFERROR(IF(INDEX(RUNS!$H$6:$H$1005,MATCH($D1485,RUNS!$A$6:$A$1005,0))="","",INDEX(RUNS!$H$6:$H$1005,MATCH($D1485,RUNS!$A$6:$A$1005,0))),""))</f>
        <v/>
      </c>
      <c r="P1485" s="33">
        <f>IF($D1485="","",IFERROR(IF(INDEX(RUNS!$J$6:$J$1005,MATCH($D1485,RUNS!$A$6:$A$1005,0))="","",INDEX(RUNS!$J$6:$J$1005,MATCH($D1485,RUNS!$A$6:$A$1005,0))),""))</f>
        <v/>
      </c>
      <c r="Q1485" s="33">
        <f>IF($D1485="","",IFERROR(IF(INDEX(RUNS!$K$6:$K$1005,MATCH($D1485,RUNS!$A$6:$A$1005,0))="","",INDEX(RUNS!$K$6:$K$1005,MATCH($D1485,RUNS!$A$6:$A$1005,0))),""))</f>
        <v/>
      </c>
      <c r="R1485" s="34">
        <f>IF(OR($L1485="",$K1485=""),"",IFERROR(IF(INDEX(PARAMETRES!$H$43:$H$342,MATCH($L1485&amp;"|"&amp;$M1485&amp;"|"&amp;$N1485&amp;"|"&amp;$O1485&amp;"|"&amp;$P1485&amp;"|"&amp;$Q1485&amp;"|"&amp;$K1485,PARAMETRES!$J$43:$J$342,0))="","",INDEX(PARAMETRES!$H$43:$H$342,MATCH($L1485&amp;"|"&amp;$M1485&amp;"|"&amp;$N1485&amp;"|"&amp;$O1485&amp;"|"&amp;$P1485&amp;"|"&amp;$Q1485&amp;"|"&amp;$K1485,PARAMETRES!$J$43:$J$342,0))),""))</f>
        <v/>
      </c>
      <c r="S1485" s="35">
        <f>IF(OR($G1485="",$X1485&lt;&gt;"VALIDE"),"",IFERROR(LOOKUP(2,1/(($B585:$B1484=$B1485)*($G585:$G1484=$G1485)*($X585:$X1484="VALIDE")),$C585:$C1484),""))</f>
        <v/>
      </c>
      <c r="T1485" s="36">
        <f>IF(OR($C1485="",$S1485=""),"",ROUND(($C1485-$S1485+IF($C1485&lt;$S1485,1,0))*1440,0))</f>
        <v/>
      </c>
      <c r="U1485" s="22">
        <f>IF(OR($H1485="",$T1485="",$T1485&lt;=0),"",$H1485*60/$T1485)</f>
        <v/>
      </c>
      <c r="V1485" s="37">
        <f>IF(OR($U1485="",$R1485="",$R1485=0),"",$U1485/$R1485)</f>
        <v/>
      </c>
      <c r="W1485" s="20">
        <f>IF($G1485="","",IF($X1485="CONTEXTE INCOMPLET","CONTEXTE INCOMPLET",IF($X1485="DOUBLON",StatutDoublon,IF($S1485="",StatutInitial,IF($R1485="",StatutStandardManquant,IF($V1485="","DONNEES INSUFFISANTES",IF($V1485&gt;=SeuilConforme,StatutConforme,IF($V1485&gt;=SeuilSurveiller,StatutSurveiller,StatutSousStandard))))))))</f>
        <v/>
      </c>
      <c r="X1485" s="33">
        <f>IF($G1485="","",IF(OR($D1485="",$E1485="",$F1485=""),"CONTEXTE INCOMPLET",IF(COUNTIFS($D585:$D1484,$D1485,$E585:$E1484,$E1485,$F585:$F1484,$F1485,$G585:$G1484,$G1485)&gt;0,"DOUBLON","VALIDE")))</f>
        <v/>
      </c>
    </row>
    <row r="1486" ht="15" customHeight="1">
      <c r="A1486" s="12">
        <f>IF(OR($B1486="",$G1486=""),"",TEXT($B1486,"YYYYMMDD")&amp;"-"&amp;SUBSTITUTE($E1486," ","")&amp;"-"&amp;$F1486&amp;"-"&amp;$G1486)</f>
        <v/>
      </c>
      <c r="B1486" s="15" t="n"/>
      <c r="C1486" s="16" t="n"/>
      <c r="D1486" s="10" t="n"/>
      <c r="E1486" s="9" t="n"/>
      <c r="F1486" s="9" t="n"/>
      <c r="G1486" s="13" t="n"/>
      <c r="H1486" s="21" t="n"/>
      <c r="I1486" s="21" t="n"/>
      <c r="J1486" s="17">
        <f>IF($G1486="","",IFERROR(INDEX(NomsEmployes,MATCH($G1486,MatriculesEmployes,0)),"MATRICULE INCONNU"))</f>
        <v/>
      </c>
      <c r="K1486" s="33">
        <f>IF(OR($D1486="",$F1486=""),"",IFERROR(IF(INDEX(RUNS!$L$6:$S$1005,MATCH($D1486,RUNS!$A$6:$A$1005,0),MATCH("ACTIVITÉ "&amp;$F1486,RUNS!$L$5:$S$5,0))="","",INDEX(RUNS!$L$6:$S$1005,MATCH($D1486,RUNS!$A$6:$A$1005,0),MATCH("ACTIVITÉ "&amp;$F1486,RUNS!$L$5:$S$5,0))),""))</f>
        <v/>
      </c>
      <c r="L1486" s="33">
        <f>IF($D1486="","",IFERROR(IF(INDEX(RUNS!$E$6:$E$1005,MATCH($D1486,RUNS!$A$6:$A$1005,0))="","",INDEX(RUNS!$E$6:$E$1005,MATCH($D1486,RUNS!$A$6:$A$1005,0))),""))</f>
        <v/>
      </c>
      <c r="M1486" s="33">
        <f>IF($D1486="","",IFERROR(IF(INDEX(RUNS!$F$6:$F$1005,MATCH($D1486,RUNS!$A$6:$A$1005,0))="","",INDEX(RUNS!$F$6:$F$1005,MATCH($D1486,RUNS!$A$6:$A$1005,0))),""))</f>
        <v/>
      </c>
      <c r="N1486" s="33">
        <f>IF($D1486="","",IFERROR(IF(INDEX(RUNS!$G$6:$G$1005,MATCH($D1486,RUNS!$A$6:$A$1005,0))="","",INDEX(RUNS!$G$6:$G$1005,MATCH($D1486,RUNS!$A$6:$A$1005,0))),""))</f>
        <v/>
      </c>
      <c r="O1486" s="33">
        <f>IF($D1486="","",IFERROR(IF(INDEX(RUNS!$H$6:$H$1005,MATCH($D1486,RUNS!$A$6:$A$1005,0))="","",INDEX(RUNS!$H$6:$H$1005,MATCH($D1486,RUNS!$A$6:$A$1005,0))),""))</f>
        <v/>
      </c>
      <c r="P1486" s="33">
        <f>IF($D1486="","",IFERROR(IF(INDEX(RUNS!$J$6:$J$1005,MATCH($D1486,RUNS!$A$6:$A$1005,0))="","",INDEX(RUNS!$J$6:$J$1005,MATCH($D1486,RUNS!$A$6:$A$1005,0))),""))</f>
        <v/>
      </c>
      <c r="Q1486" s="33">
        <f>IF($D1486="","",IFERROR(IF(INDEX(RUNS!$K$6:$K$1005,MATCH($D1486,RUNS!$A$6:$A$1005,0))="","",INDEX(RUNS!$K$6:$K$1005,MATCH($D1486,RUNS!$A$6:$A$1005,0))),""))</f>
        <v/>
      </c>
      <c r="R1486" s="34">
        <f>IF(OR($L1486="",$K1486=""),"",IFERROR(IF(INDEX(PARAMETRES!$H$43:$H$342,MATCH($L1486&amp;"|"&amp;$M1486&amp;"|"&amp;$N1486&amp;"|"&amp;$O1486&amp;"|"&amp;$P1486&amp;"|"&amp;$Q1486&amp;"|"&amp;$K1486,PARAMETRES!$J$43:$J$342,0))="","",INDEX(PARAMETRES!$H$43:$H$342,MATCH($L1486&amp;"|"&amp;$M1486&amp;"|"&amp;$N1486&amp;"|"&amp;$O1486&amp;"|"&amp;$P1486&amp;"|"&amp;$Q1486&amp;"|"&amp;$K1486,PARAMETRES!$J$43:$J$342,0))),""))</f>
        <v/>
      </c>
      <c r="S1486" s="35">
        <f>IF(OR($G1486="",$X1486&lt;&gt;"VALIDE"),"",IFERROR(LOOKUP(2,1/(($B586:$B1485=$B1486)*($G586:$G1485=$G1486)*($X586:$X1485="VALIDE")),$C586:$C1485),""))</f>
        <v/>
      </c>
      <c r="T1486" s="36">
        <f>IF(OR($C1486="",$S1486=""),"",ROUND(($C1486-$S1486+IF($C1486&lt;$S1486,1,0))*1440,0))</f>
        <v/>
      </c>
      <c r="U1486" s="22">
        <f>IF(OR($H1486="",$T1486="",$T1486&lt;=0),"",$H1486*60/$T1486)</f>
        <v/>
      </c>
      <c r="V1486" s="37">
        <f>IF(OR($U1486="",$R1486="",$R1486=0),"",$U1486/$R1486)</f>
        <v/>
      </c>
      <c r="W1486" s="20">
        <f>IF($G1486="","",IF($X1486="CONTEXTE INCOMPLET","CONTEXTE INCOMPLET",IF($X1486="DOUBLON",StatutDoublon,IF($S1486="",StatutInitial,IF($R1486="",StatutStandardManquant,IF($V1486="","DONNEES INSUFFISANTES",IF($V1486&gt;=SeuilConforme,StatutConforme,IF($V1486&gt;=SeuilSurveiller,StatutSurveiller,StatutSousStandard))))))))</f>
        <v/>
      </c>
      <c r="X1486" s="33">
        <f>IF($G1486="","",IF(OR($D1486="",$E1486="",$F1486=""),"CONTEXTE INCOMPLET",IF(COUNTIFS($D586:$D1485,$D1486,$E586:$E1485,$E1486,$F586:$F1485,$F1486,$G586:$G1485,$G1486)&gt;0,"DOUBLON","VALIDE")))</f>
        <v/>
      </c>
    </row>
    <row r="1487" ht="15" customHeight="1">
      <c r="A1487" s="12">
        <f>IF(OR($B1487="",$G1487=""),"",TEXT($B1487,"YYYYMMDD")&amp;"-"&amp;SUBSTITUTE($E1487," ","")&amp;"-"&amp;$F1487&amp;"-"&amp;$G1487)</f>
        <v/>
      </c>
      <c r="B1487" s="15" t="n"/>
      <c r="C1487" s="16" t="n"/>
      <c r="D1487" s="10" t="n"/>
      <c r="E1487" s="9" t="n"/>
      <c r="F1487" s="9" t="n"/>
      <c r="G1487" s="13" t="n"/>
      <c r="H1487" s="21" t="n"/>
      <c r="I1487" s="21" t="n"/>
      <c r="J1487" s="17">
        <f>IF($G1487="","",IFERROR(INDEX(NomsEmployes,MATCH($G1487,MatriculesEmployes,0)),"MATRICULE INCONNU"))</f>
        <v/>
      </c>
      <c r="K1487" s="33">
        <f>IF(OR($D1487="",$F1487=""),"",IFERROR(IF(INDEX(RUNS!$L$6:$S$1005,MATCH($D1487,RUNS!$A$6:$A$1005,0),MATCH("ACTIVITÉ "&amp;$F1487,RUNS!$L$5:$S$5,0))="","",INDEX(RUNS!$L$6:$S$1005,MATCH($D1487,RUNS!$A$6:$A$1005,0),MATCH("ACTIVITÉ "&amp;$F1487,RUNS!$L$5:$S$5,0))),""))</f>
        <v/>
      </c>
      <c r="L1487" s="33">
        <f>IF($D1487="","",IFERROR(IF(INDEX(RUNS!$E$6:$E$1005,MATCH($D1487,RUNS!$A$6:$A$1005,0))="","",INDEX(RUNS!$E$6:$E$1005,MATCH($D1487,RUNS!$A$6:$A$1005,0))),""))</f>
        <v/>
      </c>
      <c r="M1487" s="33">
        <f>IF($D1487="","",IFERROR(IF(INDEX(RUNS!$F$6:$F$1005,MATCH($D1487,RUNS!$A$6:$A$1005,0))="","",INDEX(RUNS!$F$6:$F$1005,MATCH($D1487,RUNS!$A$6:$A$1005,0))),""))</f>
        <v/>
      </c>
      <c r="N1487" s="33">
        <f>IF($D1487="","",IFERROR(IF(INDEX(RUNS!$G$6:$G$1005,MATCH($D1487,RUNS!$A$6:$A$1005,0))="","",INDEX(RUNS!$G$6:$G$1005,MATCH($D1487,RUNS!$A$6:$A$1005,0))),""))</f>
        <v/>
      </c>
      <c r="O1487" s="33">
        <f>IF($D1487="","",IFERROR(IF(INDEX(RUNS!$H$6:$H$1005,MATCH($D1487,RUNS!$A$6:$A$1005,0))="","",INDEX(RUNS!$H$6:$H$1005,MATCH($D1487,RUNS!$A$6:$A$1005,0))),""))</f>
        <v/>
      </c>
      <c r="P1487" s="33">
        <f>IF($D1487="","",IFERROR(IF(INDEX(RUNS!$J$6:$J$1005,MATCH($D1487,RUNS!$A$6:$A$1005,0))="","",INDEX(RUNS!$J$6:$J$1005,MATCH($D1487,RUNS!$A$6:$A$1005,0))),""))</f>
        <v/>
      </c>
      <c r="Q1487" s="33">
        <f>IF($D1487="","",IFERROR(IF(INDEX(RUNS!$K$6:$K$1005,MATCH($D1487,RUNS!$A$6:$A$1005,0))="","",INDEX(RUNS!$K$6:$K$1005,MATCH($D1487,RUNS!$A$6:$A$1005,0))),""))</f>
        <v/>
      </c>
      <c r="R1487" s="34">
        <f>IF(OR($L1487="",$K1487=""),"",IFERROR(IF(INDEX(PARAMETRES!$H$43:$H$342,MATCH($L1487&amp;"|"&amp;$M1487&amp;"|"&amp;$N1487&amp;"|"&amp;$O1487&amp;"|"&amp;$P1487&amp;"|"&amp;$Q1487&amp;"|"&amp;$K1487,PARAMETRES!$J$43:$J$342,0))="","",INDEX(PARAMETRES!$H$43:$H$342,MATCH($L1487&amp;"|"&amp;$M1487&amp;"|"&amp;$N1487&amp;"|"&amp;$O1487&amp;"|"&amp;$P1487&amp;"|"&amp;$Q1487&amp;"|"&amp;$K1487,PARAMETRES!$J$43:$J$342,0))),""))</f>
        <v/>
      </c>
      <c r="S1487" s="35">
        <f>IF(OR($G1487="",$X1487&lt;&gt;"VALIDE"),"",IFERROR(LOOKUP(2,1/(($B587:$B1486=$B1487)*($G587:$G1486=$G1487)*($X587:$X1486="VALIDE")),$C587:$C1486),""))</f>
        <v/>
      </c>
      <c r="T1487" s="36">
        <f>IF(OR($C1487="",$S1487=""),"",ROUND(($C1487-$S1487+IF($C1487&lt;$S1487,1,0))*1440,0))</f>
        <v/>
      </c>
      <c r="U1487" s="22">
        <f>IF(OR($H1487="",$T1487="",$T1487&lt;=0),"",$H1487*60/$T1487)</f>
        <v/>
      </c>
      <c r="V1487" s="37">
        <f>IF(OR($U1487="",$R1487="",$R1487=0),"",$U1487/$R1487)</f>
        <v/>
      </c>
      <c r="W1487" s="20">
        <f>IF($G1487="","",IF($X1487="CONTEXTE INCOMPLET","CONTEXTE INCOMPLET",IF($X1487="DOUBLON",StatutDoublon,IF($S1487="",StatutInitial,IF($R1487="",StatutStandardManquant,IF($V1487="","DONNEES INSUFFISANTES",IF($V1487&gt;=SeuilConforme,StatutConforme,IF($V1487&gt;=SeuilSurveiller,StatutSurveiller,StatutSousStandard))))))))</f>
        <v/>
      </c>
      <c r="X1487" s="33">
        <f>IF($G1487="","",IF(OR($D1487="",$E1487="",$F1487=""),"CONTEXTE INCOMPLET",IF(COUNTIFS($D587:$D1486,$D1487,$E587:$E1486,$E1487,$F587:$F1486,$F1487,$G587:$G1486,$G1487)&gt;0,"DOUBLON","VALIDE")))</f>
        <v/>
      </c>
    </row>
    <row r="1488" ht="15" customHeight="1">
      <c r="A1488" s="12">
        <f>IF(OR($B1488="",$G1488=""),"",TEXT($B1488,"YYYYMMDD")&amp;"-"&amp;SUBSTITUTE($E1488," ","")&amp;"-"&amp;$F1488&amp;"-"&amp;$G1488)</f>
        <v/>
      </c>
      <c r="B1488" s="15" t="n"/>
      <c r="C1488" s="16" t="n"/>
      <c r="D1488" s="10" t="n"/>
      <c r="E1488" s="9" t="n"/>
      <c r="F1488" s="9" t="n"/>
      <c r="G1488" s="13" t="n"/>
      <c r="H1488" s="21" t="n"/>
      <c r="I1488" s="21" t="n"/>
      <c r="J1488" s="17">
        <f>IF($G1488="","",IFERROR(INDEX(NomsEmployes,MATCH($G1488,MatriculesEmployes,0)),"MATRICULE INCONNU"))</f>
        <v/>
      </c>
      <c r="K1488" s="33">
        <f>IF(OR($D1488="",$F1488=""),"",IFERROR(IF(INDEX(RUNS!$L$6:$S$1005,MATCH($D1488,RUNS!$A$6:$A$1005,0),MATCH("ACTIVITÉ "&amp;$F1488,RUNS!$L$5:$S$5,0))="","",INDEX(RUNS!$L$6:$S$1005,MATCH($D1488,RUNS!$A$6:$A$1005,0),MATCH("ACTIVITÉ "&amp;$F1488,RUNS!$L$5:$S$5,0))),""))</f>
        <v/>
      </c>
      <c r="L1488" s="33">
        <f>IF($D1488="","",IFERROR(IF(INDEX(RUNS!$E$6:$E$1005,MATCH($D1488,RUNS!$A$6:$A$1005,0))="","",INDEX(RUNS!$E$6:$E$1005,MATCH($D1488,RUNS!$A$6:$A$1005,0))),""))</f>
        <v/>
      </c>
      <c r="M1488" s="33">
        <f>IF($D1488="","",IFERROR(IF(INDEX(RUNS!$F$6:$F$1005,MATCH($D1488,RUNS!$A$6:$A$1005,0))="","",INDEX(RUNS!$F$6:$F$1005,MATCH($D1488,RUNS!$A$6:$A$1005,0))),""))</f>
        <v/>
      </c>
      <c r="N1488" s="33">
        <f>IF($D1488="","",IFERROR(IF(INDEX(RUNS!$G$6:$G$1005,MATCH($D1488,RUNS!$A$6:$A$1005,0))="","",INDEX(RUNS!$G$6:$G$1005,MATCH($D1488,RUNS!$A$6:$A$1005,0))),""))</f>
        <v/>
      </c>
      <c r="O1488" s="33">
        <f>IF($D1488="","",IFERROR(IF(INDEX(RUNS!$H$6:$H$1005,MATCH($D1488,RUNS!$A$6:$A$1005,0))="","",INDEX(RUNS!$H$6:$H$1005,MATCH($D1488,RUNS!$A$6:$A$1005,0))),""))</f>
        <v/>
      </c>
      <c r="P1488" s="33">
        <f>IF($D1488="","",IFERROR(IF(INDEX(RUNS!$J$6:$J$1005,MATCH($D1488,RUNS!$A$6:$A$1005,0))="","",INDEX(RUNS!$J$6:$J$1005,MATCH($D1488,RUNS!$A$6:$A$1005,0))),""))</f>
        <v/>
      </c>
      <c r="Q1488" s="33">
        <f>IF($D1488="","",IFERROR(IF(INDEX(RUNS!$K$6:$K$1005,MATCH($D1488,RUNS!$A$6:$A$1005,0))="","",INDEX(RUNS!$K$6:$K$1005,MATCH($D1488,RUNS!$A$6:$A$1005,0))),""))</f>
        <v/>
      </c>
      <c r="R1488" s="34">
        <f>IF(OR($L1488="",$K1488=""),"",IFERROR(IF(INDEX(PARAMETRES!$H$43:$H$342,MATCH($L1488&amp;"|"&amp;$M1488&amp;"|"&amp;$N1488&amp;"|"&amp;$O1488&amp;"|"&amp;$P1488&amp;"|"&amp;$Q1488&amp;"|"&amp;$K1488,PARAMETRES!$J$43:$J$342,0))="","",INDEX(PARAMETRES!$H$43:$H$342,MATCH($L1488&amp;"|"&amp;$M1488&amp;"|"&amp;$N1488&amp;"|"&amp;$O1488&amp;"|"&amp;$P1488&amp;"|"&amp;$Q1488&amp;"|"&amp;$K1488,PARAMETRES!$J$43:$J$342,0))),""))</f>
        <v/>
      </c>
      <c r="S1488" s="35">
        <f>IF(OR($G1488="",$X1488&lt;&gt;"VALIDE"),"",IFERROR(LOOKUP(2,1/(($B588:$B1487=$B1488)*($G588:$G1487=$G1488)*($X588:$X1487="VALIDE")),$C588:$C1487),""))</f>
        <v/>
      </c>
      <c r="T1488" s="36">
        <f>IF(OR($C1488="",$S1488=""),"",ROUND(($C1488-$S1488+IF($C1488&lt;$S1488,1,0))*1440,0))</f>
        <v/>
      </c>
      <c r="U1488" s="22">
        <f>IF(OR($H1488="",$T1488="",$T1488&lt;=0),"",$H1488*60/$T1488)</f>
        <v/>
      </c>
      <c r="V1488" s="37">
        <f>IF(OR($U1488="",$R1488="",$R1488=0),"",$U1488/$R1488)</f>
        <v/>
      </c>
      <c r="W1488" s="20">
        <f>IF($G1488="","",IF($X1488="CONTEXTE INCOMPLET","CONTEXTE INCOMPLET",IF($X1488="DOUBLON",StatutDoublon,IF($S1488="",StatutInitial,IF($R1488="",StatutStandardManquant,IF($V1488="","DONNEES INSUFFISANTES",IF($V1488&gt;=SeuilConforme,StatutConforme,IF($V1488&gt;=SeuilSurveiller,StatutSurveiller,StatutSousStandard))))))))</f>
        <v/>
      </c>
      <c r="X1488" s="33">
        <f>IF($G1488="","",IF(OR($D1488="",$E1488="",$F1488=""),"CONTEXTE INCOMPLET",IF(COUNTIFS($D588:$D1487,$D1488,$E588:$E1487,$E1488,$F588:$F1487,$F1488,$G588:$G1487,$G1488)&gt;0,"DOUBLON","VALIDE")))</f>
        <v/>
      </c>
    </row>
    <row r="1489" ht="15" customHeight="1">
      <c r="A1489" s="12">
        <f>IF(OR($B1489="",$G1489=""),"",TEXT($B1489,"YYYYMMDD")&amp;"-"&amp;SUBSTITUTE($E1489," ","")&amp;"-"&amp;$F1489&amp;"-"&amp;$G1489)</f>
        <v/>
      </c>
      <c r="B1489" s="15" t="n"/>
      <c r="C1489" s="16" t="n"/>
      <c r="D1489" s="10" t="n"/>
      <c r="E1489" s="9" t="n"/>
      <c r="F1489" s="9" t="n"/>
      <c r="G1489" s="13" t="n"/>
      <c r="H1489" s="21" t="n"/>
      <c r="I1489" s="21" t="n"/>
      <c r="J1489" s="17">
        <f>IF($G1489="","",IFERROR(INDEX(NomsEmployes,MATCH($G1489,MatriculesEmployes,0)),"MATRICULE INCONNU"))</f>
        <v/>
      </c>
      <c r="K1489" s="33">
        <f>IF(OR($D1489="",$F1489=""),"",IFERROR(IF(INDEX(RUNS!$L$6:$S$1005,MATCH($D1489,RUNS!$A$6:$A$1005,0),MATCH("ACTIVITÉ "&amp;$F1489,RUNS!$L$5:$S$5,0))="","",INDEX(RUNS!$L$6:$S$1005,MATCH($D1489,RUNS!$A$6:$A$1005,0),MATCH("ACTIVITÉ "&amp;$F1489,RUNS!$L$5:$S$5,0))),""))</f>
        <v/>
      </c>
      <c r="L1489" s="33">
        <f>IF($D1489="","",IFERROR(IF(INDEX(RUNS!$E$6:$E$1005,MATCH($D1489,RUNS!$A$6:$A$1005,0))="","",INDEX(RUNS!$E$6:$E$1005,MATCH($D1489,RUNS!$A$6:$A$1005,0))),""))</f>
        <v/>
      </c>
      <c r="M1489" s="33">
        <f>IF($D1489="","",IFERROR(IF(INDEX(RUNS!$F$6:$F$1005,MATCH($D1489,RUNS!$A$6:$A$1005,0))="","",INDEX(RUNS!$F$6:$F$1005,MATCH($D1489,RUNS!$A$6:$A$1005,0))),""))</f>
        <v/>
      </c>
      <c r="N1489" s="33">
        <f>IF($D1489="","",IFERROR(IF(INDEX(RUNS!$G$6:$G$1005,MATCH($D1489,RUNS!$A$6:$A$1005,0))="","",INDEX(RUNS!$G$6:$G$1005,MATCH($D1489,RUNS!$A$6:$A$1005,0))),""))</f>
        <v/>
      </c>
      <c r="O1489" s="33">
        <f>IF($D1489="","",IFERROR(IF(INDEX(RUNS!$H$6:$H$1005,MATCH($D1489,RUNS!$A$6:$A$1005,0))="","",INDEX(RUNS!$H$6:$H$1005,MATCH($D1489,RUNS!$A$6:$A$1005,0))),""))</f>
        <v/>
      </c>
      <c r="P1489" s="33">
        <f>IF($D1489="","",IFERROR(IF(INDEX(RUNS!$J$6:$J$1005,MATCH($D1489,RUNS!$A$6:$A$1005,0))="","",INDEX(RUNS!$J$6:$J$1005,MATCH($D1489,RUNS!$A$6:$A$1005,0))),""))</f>
        <v/>
      </c>
      <c r="Q1489" s="33">
        <f>IF($D1489="","",IFERROR(IF(INDEX(RUNS!$K$6:$K$1005,MATCH($D1489,RUNS!$A$6:$A$1005,0))="","",INDEX(RUNS!$K$6:$K$1005,MATCH($D1489,RUNS!$A$6:$A$1005,0))),""))</f>
        <v/>
      </c>
      <c r="R1489" s="34">
        <f>IF(OR($L1489="",$K1489=""),"",IFERROR(IF(INDEX(PARAMETRES!$H$43:$H$342,MATCH($L1489&amp;"|"&amp;$M1489&amp;"|"&amp;$N1489&amp;"|"&amp;$O1489&amp;"|"&amp;$P1489&amp;"|"&amp;$Q1489&amp;"|"&amp;$K1489,PARAMETRES!$J$43:$J$342,0))="","",INDEX(PARAMETRES!$H$43:$H$342,MATCH($L1489&amp;"|"&amp;$M1489&amp;"|"&amp;$N1489&amp;"|"&amp;$O1489&amp;"|"&amp;$P1489&amp;"|"&amp;$Q1489&amp;"|"&amp;$K1489,PARAMETRES!$J$43:$J$342,0))),""))</f>
        <v/>
      </c>
      <c r="S1489" s="35">
        <f>IF(OR($G1489="",$X1489&lt;&gt;"VALIDE"),"",IFERROR(LOOKUP(2,1/(($B589:$B1488=$B1489)*($G589:$G1488=$G1489)*($X589:$X1488="VALIDE")),$C589:$C1488),""))</f>
        <v/>
      </c>
      <c r="T1489" s="36">
        <f>IF(OR($C1489="",$S1489=""),"",ROUND(($C1489-$S1489+IF($C1489&lt;$S1489,1,0))*1440,0))</f>
        <v/>
      </c>
      <c r="U1489" s="22">
        <f>IF(OR($H1489="",$T1489="",$T1489&lt;=0),"",$H1489*60/$T1489)</f>
        <v/>
      </c>
      <c r="V1489" s="37">
        <f>IF(OR($U1489="",$R1489="",$R1489=0),"",$U1489/$R1489)</f>
        <v/>
      </c>
      <c r="W1489" s="20">
        <f>IF($G1489="","",IF($X1489="CONTEXTE INCOMPLET","CONTEXTE INCOMPLET",IF($X1489="DOUBLON",StatutDoublon,IF($S1489="",StatutInitial,IF($R1489="",StatutStandardManquant,IF($V1489="","DONNEES INSUFFISANTES",IF($V1489&gt;=SeuilConforme,StatutConforme,IF($V1489&gt;=SeuilSurveiller,StatutSurveiller,StatutSousStandard))))))))</f>
        <v/>
      </c>
      <c r="X1489" s="33">
        <f>IF($G1489="","",IF(OR($D1489="",$E1489="",$F1489=""),"CONTEXTE INCOMPLET",IF(COUNTIFS($D589:$D1488,$D1489,$E589:$E1488,$E1489,$F589:$F1488,$F1489,$G589:$G1488,$G1489)&gt;0,"DOUBLON","VALIDE")))</f>
        <v/>
      </c>
    </row>
    <row r="1490" ht="15" customHeight="1">
      <c r="A1490" s="12">
        <f>IF(OR($B1490="",$G1490=""),"",TEXT($B1490,"YYYYMMDD")&amp;"-"&amp;SUBSTITUTE($E1490," ","")&amp;"-"&amp;$F1490&amp;"-"&amp;$G1490)</f>
        <v/>
      </c>
      <c r="B1490" s="15" t="n"/>
      <c r="C1490" s="16" t="n"/>
      <c r="D1490" s="10" t="n"/>
      <c r="E1490" s="9" t="n"/>
      <c r="F1490" s="9" t="n"/>
      <c r="G1490" s="13" t="n"/>
      <c r="H1490" s="21" t="n"/>
      <c r="I1490" s="21" t="n"/>
      <c r="J1490" s="17">
        <f>IF($G1490="","",IFERROR(INDEX(NomsEmployes,MATCH($G1490,MatriculesEmployes,0)),"MATRICULE INCONNU"))</f>
        <v/>
      </c>
      <c r="K1490" s="33">
        <f>IF(OR($D1490="",$F1490=""),"",IFERROR(IF(INDEX(RUNS!$L$6:$S$1005,MATCH($D1490,RUNS!$A$6:$A$1005,0),MATCH("ACTIVITÉ "&amp;$F1490,RUNS!$L$5:$S$5,0))="","",INDEX(RUNS!$L$6:$S$1005,MATCH($D1490,RUNS!$A$6:$A$1005,0),MATCH("ACTIVITÉ "&amp;$F1490,RUNS!$L$5:$S$5,0))),""))</f>
        <v/>
      </c>
      <c r="L1490" s="33">
        <f>IF($D1490="","",IFERROR(IF(INDEX(RUNS!$E$6:$E$1005,MATCH($D1490,RUNS!$A$6:$A$1005,0))="","",INDEX(RUNS!$E$6:$E$1005,MATCH($D1490,RUNS!$A$6:$A$1005,0))),""))</f>
        <v/>
      </c>
      <c r="M1490" s="33">
        <f>IF($D1490="","",IFERROR(IF(INDEX(RUNS!$F$6:$F$1005,MATCH($D1490,RUNS!$A$6:$A$1005,0))="","",INDEX(RUNS!$F$6:$F$1005,MATCH($D1490,RUNS!$A$6:$A$1005,0))),""))</f>
        <v/>
      </c>
      <c r="N1490" s="33">
        <f>IF($D1490="","",IFERROR(IF(INDEX(RUNS!$G$6:$G$1005,MATCH($D1490,RUNS!$A$6:$A$1005,0))="","",INDEX(RUNS!$G$6:$G$1005,MATCH($D1490,RUNS!$A$6:$A$1005,0))),""))</f>
        <v/>
      </c>
      <c r="O1490" s="33">
        <f>IF($D1490="","",IFERROR(IF(INDEX(RUNS!$H$6:$H$1005,MATCH($D1490,RUNS!$A$6:$A$1005,0))="","",INDEX(RUNS!$H$6:$H$1005,MATCH($D1490,RUNS!$A$6:$A$1005,0))),""))</f>
        <v/>
      </c>
      <c r="P1490" s="33">
        <f>IF($D1490="","",IFERROR(IF(INDEX(RUNS!$J$6:$J$1005,MATCH($D1490,RUNS!$A$6:$A$1005,0))="","",INDEX(RUNS!$J$6:$J$1005,MATCH($D1490,RUNS!$A$6:$A$1005,0))),""))</f>
        <v/>
      </c>
      <c r="Q1490" s="33">
        <f>IF($D1490="","",IFERROR(IF(INDEX(RUNS!$K$6:$K$1005,MATCH($D1490,RUNS!$A$6:$A$1005,0))="","",INDEX(RUNS!$K$6:$K$1005,MATCH($D1490,RUNS!$A$6:$A$1005,0))),""))</f>
        <v/>
      </c>
      <c r="R1490" s="34">
        <f>IF(OR($L1490="",$K1490=""),"",IFERROR(IF(INDEX(PARAMETRES!$H$43:$H$342,MATCH($L1490&amp;"|"&amp;$M1490&amp;"|"&amp;$N1490&amp;"|"&amp;$O1490&amp;"|"&amp;$P1490&amp;"|"&amp;$Q1490&amp;"|"&amp;$K1490,PARAMETRES!$J$43:$J$342,0))="","",INDEX(PARAMETRES!$H$43:$H$342,MATCH($L1490&amp;"|"&amp;$M1490&amp;"|"&amp;$N1490&amp;"|"&amp;$O1490&amp;"|"&amp;$P1490&amp;"|"&amp;$Q1490&amp;"|"&amp;$K1490,PARAMETRES!$J$43:$J$342,0))),""))</f>
        <v/>
      </c>
      <c r="S1490" s="35">
        <f>IF(OR($G1490="",$X1490&lt;&gt;"VALIDE"),"",IFERROR(LOOKUP(2,1/(($B590:$B1489=$B1490)*($G590:$G1489=$G1490)*($X590:$X1489="VALIDE")),$C590:$C1489),""))</f>
        <v/>
      </c>
      <c r="T1490" s="36">
        <f>IF(OR($C1490="",$S1490=""),"",ROUND(($C1490-$S1490+IF($C1490&lt;$S1490,1,0))*1440,0))</f>
        <v/>
      </c>
      <c r="U1490" s="22">
        <f>IF(OR($H1490="",$T1490="",$T1490&lt;=0),"",$H1490*60/$T1490)</f>
        <v/>
      </c>
      <c r="V1490" s="37">
        <f>IF(OR($U1490="",$R1490="",$R1490=0),"",$U1490/$R1490)</f>
        <v/>
      </c>
      <c r="W1490" s="20">
        <f>IF($G1490="","",IF($X1490="CONTEXTE INCOMPLET","CONTEXTE INCOMPLET",IF($X1490="DOUBLON",StatutDoublon,IF($S1490="",StatutInitial,IF($R1490="",StatutStandardManquant,IF($V1490="","DONNEES INSUFFISANTES",IF($V1490&gt;=SeuilConforme,StatutConforme,IF($V1490&gt;=SeuilSurveiller,StatutSurveiller,StatutSousStandard))))))))</f>
        <v/>
      </c>
      <c r="X1490" s="33">
        <f>IF($G1490="","",IF(OR($D1490="",$E1490="",$F1490=""),"CONTEXTE INCOMPLET",IF(COUNTIFS($D590:$D1489,$D1490,$E590:$E1489,$E1490,$F590:$F1489,$F1490,$G590:$G1489,$G1490)&gt;0,"DOUBLON","VALIDE")))</f>
        <v/>
      </c>
    </row>
    <row r="1491" ht="15" customHeight="1">
      <c r="A1491" s="12">
        <f>IF(OR($B1491="",$G1491=""),"",TEXT($B1491,"YYYYMMDD")&amp;"-"&amp;SUBSTITUTE($E1491," ","")&amp;"-"&amp;$F1491&amp;"-"&amp;$G1491)</f>
        <v/>
      </c>
      <c r="B1491" s="15" t="n"/>
      <c r="C1491" s="16" t="n"/>
      <c r="D1491" s="10" t="n"/>
      <c r="E1491" s="9" t="n"/>
      <c r="F1491" s="9" t="n"/>
      <c r="G1491" s="13" t="n"/>
      <c r="H1491" s="21" t="n"/>
      <c r="I1491" s="21" t="n"/>
      <c r="J1491" s="17">
        <f>IF($G1491="","",IFERROR(INDEX(NomsEmployes,MATCH($G1491,MatriculesEmployes,0)),"MATRICULE INCONNU"))</f>
        <v/>
      </c>
      <c r="K1491" s="33">
        <f>IF(OR($D1491="",$F1491=""),"",IFERROR(IF(INDEX(RUNS!$L$6:$S$1005,MATCH($D1491,RUNS!$A$6:$A$1005,0),MATCH("ACTIVITÉ "&amp;$F1491,RUNS!$L$5:$S$5,0))="","",INDEX(RUNS!$L$6:$S$1005,MATCH($D1491,RUNS!$A$6:$A$1005,0),MATCH("ACTIVITÉ "&amp;$F1491,RUNS!$L$5:$S$5,0))),""))</f>
        <v/>
      </c>
      <c r="L1491" s="33">
        <f>IF($D1491="","",IFERROR(IF(INDEX(RUNS!$E$6:$E$1005,MATCH($D1491,RUNS!$A$6:$A$1005,0))="","",INDEX(RUNS!$E$6:$E$1005,MATCH($D1491,RUNS!$A$6:$A$1005,0))),""))</f>
        <v/>
      </c>
      <c r="M1491" s="33">
        <f>IF($D1491="","",IFERROR(IF(INDEX(RUNS!$F$6:$F$1005,MATCH($D1491,RUNS!$A$6:$A$1005,0))="","",INDEX(RUNS!$F$6:$F$1005,MATCH($D1491,RUNS!$A$6:$A$1005,0))),""))</f>
        <v/>
      </c>
      <c r="N1491" s="33">
        <f>IF($D1491="","",IFERROR(IF(INDEX(RUNS!$G$6:$G$1005,MATCH($D1491,RUNS!$A$6:$A$1005,0))="","",INDEX(RUNS!$G$6:$G$1005,MATCH($D1491,RUNS!$A$6:$A$1005,0))),""))</f>
        <v/>
      </c>
      <c r="O1491" s="33">
        <f>IF($D1491="","",IFERROR(IF(INDEX(RUNS!$H$6:$H$1005,MATCH($D1491,RUNS!$A$6:$A$1005,0))="","",INDEX(RUNS!$H$6:$H$1005,MATCH($D1491,RUNS!$A$6:$A$1005,0))),""))</f>
        <v/>
      </c>
      <c r="P1491" s="33">
        <f>IF($D1491="","",IFERROR(IF(INDEX(RUNS!$J$6:$J$1005,MATCH($D1491,RUNS!$A$6:$A$1005,0))="","",INDEX(RUNS!$J$6:$J$1005,MATCH($D1491,RUNS!$A$6:$A$1005,0))),""))</f>
        <v/>
      </c>
      <c r="Q1491" s="33">
        <f>IF($D1491="","",IFERROR(IF(INDEX(RUNS!$K$6:$K$1005,MATCH($D1491,RUNS!$A$6:$A$1005,0))="","",INDEX(RUNS!$K$6:$K$1005,MATCH($D1491,RUNS!$A$6:$A$1005,0))),""))</f>
        <v/>
      </c>
      <c r="R1491" s="34">
        <f>IF(OR($L1491="",$K1491=""),"",IFERROR(IF(INDEX(PARAMETRES!$H$43:$H$342,MATCH($L1491&amp;"|"&amp;$M1491&amp;"|"&amp;$N1491&amp;"|"&amp;$O1491&amp;"|"&amp;$P1491&amp;"|"&amp;$Q1491&amp;"|"&amp;$K1491,PARAMETRES!$J$43:$J$342,0))="","",INDEX(PARAMETRES!$H$43:$H$342,MATCH($L1491&amp;"|"&amp;$M1491&amp;"|"&amp;$N1491&amp;"|"&amp;$O1491&amp;"|"&amp;$P1491&amp;"|"&amp;$Q1491&amp;"|"&amp;$K1491,PARAMETRES!$J$43:$J$342,0))),""))</f>
        <v/>
      </c>
      <c r="S1491" s="35">
        <f>IF(OR($G1491="",$X1491&lt;&gt;"VALIDE"),"",IFERROR(LOOKUP(2,1/(($B591:$B1490=$B1491)*($G591:$G1490=$G1491)*($X591:$X1490="VALIDE")),$C591:$C1490),""))</f>
        <v/>
      </c>
      <c r="T1491" s="36">
        <f>IF(OR($C1491="",$S1491=""),"",ROUND(($C1491-$S1491+IF($C1491&lt;$S1491,1,0))*1440,0))</f>
        <v/>
      </c>
      <c r="U1491" s="22">
        <f>IF(OR($H1491="",$T1491="",$T1491&lt;=0),"",$H1491*60/$T1491)</f>
        <v/>
      </c>
      <c r="V1491" s="37">
        <f>IF(OR($U1491="",$R1491="",$R1491=0),"",$U1491/$R1491)</f>
        <v/>
      </c>
      <c r="W1491" s="20">
        <f>IF($G1491="","",IF($X1491="CONTEXTE INCOMPLET","CONTEXTE INCOMPLET",IF($X1491="DOUBLON",StatutDoublon,IF($S1491="",StatutInitial,IF($R1491="",StatutStandardManquant,IF($V1491="","DONNEES INSUFFISANTES",IF($V1491&gt;=SeuilConforme,StatutConforme,IF($V1491&gt;=SeuilSurveiller,StatutSurveiller,StatutSousStandard))))))))</f>
        <v/>
      </c>
      <c r="X1491" s="33">
        <f>IF($G1491="","",IF(OR($D1491="",$E1491="",$F1491=""),"CONTEXTE INCOMPLET",IF(COUNTIFS($D591:$D1490,$D1491,$E591:$E1490,$E1491,$F591:$F1490,$F1491,$G591:$G1490,$G1491)&gt;0,"DOUBLON","VALIDE")))</f>
        <v/>
      </c>
    </row>
    <row r="1492" ht="15" customHeight="1">
      <c r="A1492" s="12">
        <f>IF(OR($B1492="",$G1492=""),"",TEXT($B1492,"YYYYMMDD")&amp;"-"&amp;SUBSTITUTE($E1492," ","")&amp;"-"&amp;$F1492&amp;"-"&amp;$G1492)</f>
        <v/>
      </c>
      <c r="B1492" s="15" t="n"/>
      <c r="C1492" s="16" t="n"/>
      <c r="D1492" s="10" t="n"/>
      <c r="E1492" s="9" t="n"/>
      <c r="F1492" s="9" t="n"/>
      <c r="G1492" s="13" t="n"/>
      <c r="H1492" s="21" t="n"/>
      <c r="I1492" s="21" t="n"/>
      <c r="J1492" s="17">
        <f>IF($G1492="","",IFERROR(INDEX(NomsEmployes,MATCH($G1492,MatriculesEmployes,0)),"MATRICULE INCONNU"))</f>
        <v/>
      </c>
      <c r="K1492" s="33">
        <f>IF(OR($D1492="",$F1492=""),"",IFERROR(IF(INDEX(RUNS!$L$6:$S$1005,MATCH($D1492,RUNS!$A$6:$A$1005,0),MATCH("ACTIVITÉ "&amp;$F1492,RUNS!$L$5:$S$5,0))="","",INDEX(RUNS!$L$6:$S$1005,MATCH($D1492,RUNS!$A$6:$A$1005,0),MATCH("ACTIVITÉ "&amp;$F1492,RUNS!$L$5:$S$5,0))),""))</f>
        <v/>
      </c>
      <c r="L1492" s="33">
        <f>IF($D1492="","",IFERROR(IF(INDEX(RUNS!$E$6:$E$1005,MATCH($D1492,RUNS!$A$6:$A$1005,0))="","",INDEX(RUNS!$E$6:$E$1005,MATCH($D1492,RUNS!$A$6:$A$1005,0))),""))</f>
        <v/>
      </c>
      <c r="M1492" s="33">
        <f>IF($D1492="","",IFERROR(IF(INDEX(RUNS!$F$6:$F$1005,MATCH($D1492,RUNS!$A$6:$A$1005,0))="","",INDEX(RUNS!$F$6:$F$1005,MATCH($D1492,RUNS!$A$6:$A$1005,0))),""))</f>
        <v/>
      </c>
      <c r="N1492" s="33">
        <f>IF($D1492="","",IFERROR(IF(INDEX(RUNS!$G$6:$G$1005,MATCH($D1492,RUNS!$A$6:$A$1005,0))="","",INDEX(RUNS!$G$6:$G$1005,MATCH($D1492,RUNS!$A$6:$A$1005,0))),""))</f>
        <v/>
      </c>
      <c r="O1492" s="33">
        <f>IF($D1492="","",IFERROR(IF(INDEX(RUNS!$H$6:$H$1005,MATCH($D1492,RUNS!$A$6:$A$1005,0))="","",INDEX(RUNS!$H$6:$H$1005,MATCH($D1492,RUNS!$A$6:$A$1005,0))),""))</f>
        <v/>
      </c>
      <c r="P1492" s="33">
        <f>IF($D1492="","",IFERROR(IF(INDEX(RUNS!$J$6:$J$1005,MATCH($D1492,RUNS!$A$6:$A$1005,0))="","",INDEX(RUNS!$J$6:$J$1005,MATCH($D1492,RUNS!$A$6:$A$1005,0))),""))</f>
        <v/>
      </c>
      <c r="Q1492" s="33">
        <f>IF($D1492="","",IFERROR(IF(INDEX(RUNS!$K$6:$K$1005,MATCH($D1492,RUNS!$A$6:$A$1005,0))="","",INDEX(RUNS!$K$6:$K$1005,MATCH($D1492,RUNS!$A$6:$A$1005,0))),""))</f>
        <v/>
      </c>
      <c r="R1492" s="34">
        <f>IF(OR($L1492="",$K1492=""),"",IFERROR(IF(INDEX(PARAMETRES!$H$43:$H$342,MATCH($L1492&amp;"|"&amp;$M1492&amp;"|"&amp;$N1492&amp;"|"&amp;$O1492&amp;"|"&amp;$P1492&amp;"|"&amp;$Q1492&amp;"|"&amp;$K1492,PARAMETRES!$J$43:$J$342,0))="","",INDEX(PARAMETRES!$H$43:$H$342,MATCH($L1492&amp;"|"&amp;$M1492&amp;"|"&amp;$N1492&amp;"|"&amp;$O1492&amp;"|"&amp;$P1492&amp;"|"&amp;$Q1492&amp;"|"&amp;$K1492,PARAMETRES!$J$43:$J$342,0))),""))</f>
        <v/>
      </c>
      <c r="S1492" s="35">
        <f>IF(OR($G1492="",$X1492&lt;&gt;"VALIDE"),"",IFERROR(LOOKUP(2,1/(($B592:$B1491=$B1492)*($G592:$G1491=$G1492)*($X592:$X1491="VALIDE")),$C592:$C1491),""))</f>
        <v/>
      </c>
      <c r="T1492" s="36">
        <f>IF(OR($C1492="",$S1492=""),"",ROUND(($C1492-$S1492+IF($C1492&lt;$S1492,1,0))*1440,0))</f>
        <v/>
      </c>
      <c r="U1492" s="22">
        <f>IF(OR($H1492="",$T1492="",$T1492&lt;=0),"",$H1492*60/$T1492)</f>
        <v/>
      </c>
      <c r="V1492" s="37">
        <f>IF(OR($U1492="",$R1492="",$R1492=0),"",$U1492/$R1492)</f>
        <v/>
      </c>
      <c r="W1492" s="20">
        <f>IF($G1492="","",IF($X1492="CONTEXTE INCOMPLET","CONTEXTE INCOMPLET",IF($X1492="DOUBLON",StatutDoublon,IF($S1492="",StatutInitial,IF($R1492="",StatutStandardManquant,IF($V1492="","DONNEES INSUFFISANTES",IF($V1492&gt;=SeuilConforme,StatutConforme,IF($V1492&gt;=SeuilSurveiller,StatutSurveiller,StatutSousStandard))))))))</f>
        <v/>
      </c>
      <c r="X1492" s="33">
        <f>IF($G1492="","",IF(OR($D1492="",$E1492="",$F1492=""),"CONTEXTE INCOMPLET",IF(COUNTIFS($D592:$D1491,$D1492,$E592:$E1491,$E1492,$F592:$F1491,$F1492,$G592:$G1491,$G1492)&gt;0,"DOUBLON","VALIDE")))</f>
        <v/>
      </c>
    </row>
    <row r="1493" ht="15" customHeight="1">
      <c r="A1493" s="12">
        <f>IF(OR($B1493="",$G1493=""),"",TEXT($B1493,"YYYYMMDD")&amp;"-"&amp;SUBSTITUTE($E1493," ","")&amp;"-"&amp;$F1493&amp;"-"&amp;$G1493)</f>
        <v/>
      </c>
      <c r="B1493" s="15" t="n"/>
      <c r="C1493" s="16" t="n"/>
      <c r="D1493" s="10" t="n"/>
      <c r="E1493" s="9" t="n"/>
      <c r="F1493" s="9" t="n"/>
      <c r="G1493" s="13" t="n"/>
      <c r="H1493" s="21" t="n"/>
      <c r="I1493" s="21" t="n"/>
      <c r="J1493" s="17">
        <f>IF($G1493="","",IFERROR(INDEX(NomsEmployes,MATCH($G1493,MatriculesEmployes,0)),"MATRICULE INCONNU"))</f>
        <v/>
      </c>
      <c r="K1493" s="33">
        <f>IF(OR($D1493="",$F1493=""),"",IFERROR(IF(INDEX(RUNS!$L$6:$S$1005,MATCH($D1493,RUNS!$A$6:$A$1005,0),MATCH("ACTIVITÉ "&amp;$F1493,RUNS!$L$5:$S$5,0))="","",INDEX(RUNS!$L$6:$S$1005,MATCH($D1493,RUNS!$A$6:$A$1005,0),MATCH("ACTIVITÉ "&amp;$F1493,RUNS!$L$5:$S$5,0))),""))</f>
        <v/>
      </c>
      <c r="L1493" s="33">
        <f>IF($D1493="","",IFERROR(IF(INDEX(RUNS!$E$6:$E$1005,MATCH($D1493,RUNS!$A$6:$A$1005,0))="","",INDEX(RUNS!$E$6:$E$1005,MATCH($D1493,RUNS!$A$6:$A$1005,0))),""))</f>
        <v/>
      </c>
      <c r="M1493" s="33">
        <f>IF($D1493="","",IFERROR(IF(INDEX(RUNS!$F$6:$F$1005,MATCH($D1493,RUNS!$A$6:$A$1005,0))="","",INDEX(RUNS!$F$6:$F$1005,MATCH($D1493,RUNS!$A$6:$A$1005,0))),""))</f>
        <v/>
      </c>
      <c r="N1493" s="33">
        <f>IF($D1493="","",IFERROR(IF(INDEX(RUNS!$G$6:$G$1005,MATCH($D1493,RUNS!$A$6:$A$1005,0))="","",INDEX(RUNS!$G$6:$G$1005,MATCH($D1493,RUNS!$A$6:$A$1005,0))),""))</f>
        <v/>
      </c>
      <c r="O1493" s="33">
        <f>IF($D1493="","",IFERROR(IF(INDEX(RUNS!$H$6:$H$1005,MATCH($D1493,RUNS!$A$6:$A$1005,0))="","",INDEX(RUNS!$H$6:$H$1005,MATCH($D1493,RUNS!$A$6:$A$1005,0))),""))</f>
        <v/>
      </c>
      <c r="P1493" s="33">
        <f>IF($D1493="","",IFERROR(IF(INDEX(RUNS!$J$6:$J$1005,MATCH($D1493,RUNS!$A$6:$A$1005,0))="","",INDEX(RUNS!$J$6:$J$1005,MATCH($D1493,RUNS!$A$6:$A$1005,0))),""))</f>
        <v/>
      </c>
      <c r="Q1493" s="33">
        <f>IF($D1493="","",IFERROR(IF(INDEX(RUNS!$K$6:$K$1005,MATCH($D1493,RUNS!$A$6:$A$1005,0))="","",INDEX(RUNS!$K$6:$K$1005,MATCH($D1493,RUNS!$A$6:$A$1005,0))),""))</f>
        <v/>
      </c>
      <c r="R1493" s="34">
        <f>IF(OR($L1493="",$K1493=""),"",IFERROR(IF(INDEX(PARAMETRES!$H$43:$H$342,MATCH($L1493&amp;"|"&amp;$M1493&amp;"|"&amp;$N1493&amp;"|"&amp;$O1493&amp;"|"&amp;$P1493&amp;"|"&amp;$Q1493&amp;"|"&amp;$K1493,PARAMETRES!$J$43:$J$342,0))="","",INDEX(PARAMETRES!$H$43:$H$342,MATCH($L1493&amp;"|"&amp;$M1493&amp;"|"&amp;$N1493&amp;"|"&amp;$O1493&amp;"|"&amp;$P1493&amp;"|"&amp;$Q1493&amp;"|"&amp;$K1493,PARAMETRES!$J$43:$J$342,0))),""))</f>
        <v/>
      </c>
      <c r="S1493" s="35">
        <f>IF(OR($G1493="",$X1493&lt;&gt;"VALIDE"),"",IFERROR(LOOKUP(2,1/(($B593:$B1492=$B1493)*($G593:$G1492=$G1493)*($X593:$X1492="VALIDE")),$C593:$C1492),""))</f>
        <v/>
      </c>
      <c r="T1493" s="36">
        <f>IF(OR($C1493="",$S1493=""),"",ROUND(($C1493-$S1493+IF($C1493&lt;$S1493,1,0))*1440,0))</f>
        <v/>
      </c>
      <c r="U1493" s="22">
        <f>IF(OR($H1493="",$T1493="",$T1493&lt;=0),"",$H1493*60/$T1493)</f>
        <v/>
      </c>
      <c r="V1493" s="37">
        <f>IF(OR($U1493="",$R1493="",$R1493=0),"",$U1493/$R1493)</f>
        <v/>
      </c>
      <c r="W1493" s="20">
        <f>IF($G1493="","",IF($X1493="CONTEXTE INCOMPLET","CONTEXTE INCOMPLET",IF($X1493="DOUBLON",StatutDoublon,IF($S1493="",StatutInitial,IF($R1493="",StatutStandardManquant,IF($V1493="","DONNEES INSUFFISANTES",IF($V1493&gt;=SeuilConforme,StatutConforme,IF($V1493&gt;=SeuilSurveiller,StatutSurveiller,StatutSousStandard))))))))</f>
        <v/>
      </c>
      <c r="X1493" s="33">
        <f>IF($G1493="","",IF(OR($D1493="",$E1493="",$F1493=""),"CONTEXTE INCOMPLET",IF(COUNTIFS($D593:$D1492,$D1493,$E593:$E1492,$E1493,$F593:$F1492,$F1493,$G593:$G1492,$G1493)&gt;0,"DOUBLON","VALIDE")))</f>
        <v/>
      </c>
    </row>
    <row r="1494" ht="15" customHeight="1">
      <c r="A1494" s="12">
        <f>IF(OR($B1494="",$G1494=""),"",TEXT($B1494,"YYYYMMDD")&amp;"-"&amp;SUBSTITUTE($E1494," ","")&amp;"-"&amp;$F1494&amp;"-"&amp;$G1494)</f>
        <v/>
      </c>
      <c r="B1494" s="15" t="n"/>
      <c r="C1494" s="16" t="n"/>
      <c r="D1494" s="10" t="n"/>
      <c r="E1494" s="9" t="n"/>
      <c r="F1494" s="9" t="n"/>
      <c r="G1494" s="13" t="n"/>
      <c r="H1494" s="21" t="n"/>
      <c r="I1494" s="21" t="n"/>
      <c r="J1494" s="17">
        <f>IF($G1494="","",IFERROR(INDEX(NomsEmployes,MATCH($G1494,MatriculesEmployes,0)),"MATRICULE INCONNU"))</f>
        <v/>
      </c>
      <c r="K1494" s="33">
        <f>IF(OR($D1494="",$F1494=""),"",IFERROR(IF(INDEX(RUNS!$L$6:$S$1005,MATCH($D1494,RUNS!$A$6:$A$1005,0),MATCH("ACTIVITÉ "&amp;$F1494,RUNS!$L$5:$S$5,0))="","",INDEX(RUNS!$L$6:$S$1005,MATCH($D1494,RUNS!$A$6:$A$1005,0),MATCH("ACTIVITÉ "&amp;$F1494,RUNS!$L$5:$S$5,0))),""))</f>
        <v/>
      </c>
      <c r="L1494" s="33">
        <f>IF($D1494="","",IFERROR(IF(INDEX(RUNS!$E$6:$E$1005,MATCH($D1494,RUNS!$A$6:$A$1005,0))="","",INDEX(RUNS!$E$6:$E$1005,MATCH($D1494,RUNS!$A$6:$A$1005,0))),""))</f>
        <v/>
      </c>
      <c r="M1494" s="33">
        <f>IF($D1494="","",IFERROR(IF(INDEX(RUNS!$F$6:$F$1005,MATCH($D1494,RUNS!$A$6:$A$1005,0))="","",INDEX(RUNS!$F$6:$F$1005,MATCH($D1494,RUNS!$A$6:$A$1005,0))),""))</f>
        <v/>
      </c>
      <c r="N1494" s="33">
        <f>IF($D1494="","",IFERROR(IF(INDEX(RUNS!$G$6:$G$1005,MATCH($D1494,RUNS!$A$6:$A$1005,0))="","",INDEX(RUNS!$G$6:$G$1005,MATCH($D1494,RUNS!$A$6:$A$1005,0))),""))</f>
        <v/>
      </c>
      <c r="O1494" s="33">
        <f>IF($D1494="","",IFERROR(IF(INDEX(RUNS!$H$6:$H$1005,MATCH($D1494,RUNS!$A$6:$A$1005,0))="","",INDEX(RUNS!$H$6:$H$1005,MATCH($D1494,RUNS!$A$6:$A$1005,0))),""))</f>
        <v/>
      </c>
      <c r="P1494" s="33">
        <f>IF($D1494="","",IFERROR(IF(INDEX(RUNS!$J$6:$J$1005,MATCH($D1494,RUNS!$A$6:$A$1005,0))="","",INDEX(RUNS!$J$6:$J$1005,MATCH($D1494,RUNS!$A$6:$A$1005,0))),""))</f>
        <v/>
      </c>
      <c r="Q1494" s="33">
        <f>IF($D1494="","",IFERROR(IF(INDEX(RUNS!$K$6:$K$1005,MATCH($D1494,RUNS!$A$6:$A$1005,0))="","",INDEX(RUNS!$K$6:$K$1005,MATCH($D1494,RUNS!$A$6:$A$1005,0))),""))</f>
        <v/>
      </c>
      <c r="R1494" s="34">
        <f>IF(OR($L1494="",$K1494=""),"",IFERROR(IF(INDEX(PARAMETRES!$H$43:$H$342,MATCH($L1494&amp;"|"&amp;$M1494&amp;"|"&amp;$N1494&amp;"|"&amp;$O1494&amp;"|"&amp;$P1494&amp;"|"&amp;$Q1494&amp;"|"&amp;$K1494,PARAMETRES!$J$43:$J$342,0))="","",INDEX(PARAMETRES!$H$43:$H$342,MATCH($L1494&amp;"|"&amp;$M1494&amp;"|"&amp;$N1494&amp;"|"&amp;$O1494&amp;"|"&amp;$P1494&amp;"|"&amp;$Q1494&amp;"|"&amp;$K1494,PARAMETRES!$J$43:$J$342,0))),""))</f>
        <v/>
      </c>
      <c r="S1494" s="35">
        <f>IF(OR($G1494="",$X1494&lt;&gt;"VALIDE"),"",IFERROR(LOOKUP(2,1/(($B594:$B1493=$B1494)*($G594:$G1493=$G1494)*($X594:$X1493="VALIDE")),$C594:$C1493),""))</f>
        <v/>
      </c>
      <c r="T1494" s="36">
        <f>IF(OR($C1494="",$S1494=""),"",ROUND(($C1494-$S1494+IF($C1494&lt;$S1494,1,0))*1440,0))</f>
        <v/>
      </c>
      <c r="U1494" s="22">
        <f>IF(OR($H1494="",$T1494="",$T1494&lt;=0),"",$H1494*60/$T1494)</f>
        <v/>
      </c>
      <c r="V1494" s="37">
        <f>IF(OR($U1494="",$R1494="",$R1494=0),"",$U1494/$R1494)</f>
        <v/>
      </c>
      <c r="W1494" s="20">
        <f>IF($G1494="","",IF($X1494="CONTEXTE INCOMPLET","CONTEXTE INCOMPLET",IF($X1494="DOUBLON",StatutDoublon,IF($S1494="",StatutInitial,IF($R1494="",StatutStandardManquant,IF($V1494="","DONNEES INSUFFISANTES",IF($V1494&gt;=SeuilConforme,StatutConforme,IF($V1494&gt;=SeuilSurveiller,StatutSurveiller,StatutSousStandard))))))))</f>
        <v/>
      </c>
      <c r="X1494" s="33">
        <f>IF($G1494="","",IF(OR($D1494="",$E1494="",$F1494=""),"CONTEXTE INCOMPLET",IF(COUNTIFS($D594:$D1493,$D1494,$E594:$E1493,$E1494,$F594:$F1493,$F1494,$G594:$G1493,$G1494)&gt;0,"DOUBLON","VALIDE")))</f>
        <v/>
      </c>
    </row>
    <row r="1495" ht="15" customHeight="1">
      <c r="A1495" s="12">
        <f>IF(OR($B1495="",$G1495=""),"",TEXT($B1495,"YYYYMMDD")&amp;"-"&amp;SUBSTITUTE($E1495," ","")&amp;"-"&amp;$F1495&amp;"-"&amp;$G1495)</f>
        <v/>
      </c>
      <c r="B1495" s="15" t="n"/>
      <c r="C1495" s="16" t="n"/>
      <c r="D1495" s="10" t="n"/>
      <c r="E1495" s="9" t="n"/>
      <c r="F1495" s="9" t="n"/>
      <c r="G1495" s="13" t="n"/>
      <c r="H1495" s="21" t="n"/>
      <c r="I1495" s="21" t="n"/>
      <c r="J1495" s="17">
        <f>IF($G1495="","",IFERROR(INDEX(NomsEmployes,MATCH($G1495,MatriculesEmployes,0)),"MATRICULE INCONNU"))</f>
        <v/>
      </c>
      <c r="K1495" s="33">
        <f>IF(OR($D1495="",$F1495=""),"",IFERROR(IF(INDEX(RUNS!$L$6:$S$1005,MATCH($D1495,RUNS!$A$6:$A$1005,0),MATCH("ACTIVITÉ "&amp;$F1495,RUNS!$L$5:$S$5,0))="","",INDEX(RUNS!$L$6:$S$1005,MATCH($D1495,RUNS!$A$6:$A$1005,0),MATCH("ACTIVITÉ "&amp;$F1495,RUNS!$L$5:$S$5,0))),""))</f>
        <v/>
      </c>
      <c r="L1495" s="33">
        <f>IF($D1495="","",IFERROR(IF(INDEX(RUNS!$E$6:$E$1005,MATCH($D1495,RUNS!$A$6:$A$1005,0))="","",INDEX(RUNS!$E$6:$E$1005,MATCH($D1495,RUNS!$A$6:$A$1005,0))),""))</f>
        <v/>
      </c>
      <c r="M1495" s="33">
        <f>IF($D1495="","",IFERROR(IF(INDEX(RUNS!$F$6:$F$1005,MATCH($D1495,RUNS!$A$6:$A$1005,0))="","",INDEX(RUNS!$F$6:$F$1005,MATCH($D1495,RUNS!$A$6:$A$1005,0))),""))</f>
        <v/>
      </c>
      <c r="N1495" s="33">
        <f>IF($D1495="","",IFERROR(IF(INDEX(RUNS!$G$6:$G$1005,MATCH($D1495,RUNS!$A$6:$A$1005,0))="","",INDEX(RUNS!$G$6:$G$1005,MATCH($D1495,RUNS!$A$6:$A$1005,0))),""))</f>
        <v/>
      </c>
      <c r="O1495" s="33">
        <f>IF($D1495="","",IFERROR(IF(INDEX(RUNS!$H$6:$H$1005,MATCH($D1495,RUNS!$A$6:$A$1005,0))="","",INDEX(RUNS!$H$6:$H$1005,MATCH($D1495,RUNS!$A$6:$A$1005,0))),""))</f>
        <v/>
      </c>
      <c r="P1495" s="33">
        <f>IF($D1495="","",IFERROR(IF(INDEX(RUNS!$J$6:$J$1005,MATCH($D1495,RUNS!$A$6:$A$1005,0))="","",INDEX(RUNS!$J$6:$J$1005,MATCH($D1495,RUNS!$A$6:$A$1005,0))),""))</f>
        <v/>
      </c>
      <c r="Q1495" s="33">
        <f>IF($D1495="","",IFERROR(IF(INDEX(RUNS!$K$6:$K$1005,MATCH($D1495,RUNS!$A$6:$A$1005,0))="","",INDEX(RUNS!$K$6:$K$1005,MATCH($D1495,RUNS!$A$6:$A$1005,0))),""))</f>
        <v/>
      </c>
      <c r="R1495" s="34">
        <f>IF(OR($L1495="",$K1495=""),"",IFERROR(IF(INDEX(PARAMETRES!$H$43:$H$342,MATCH($L1495&amp;"|"&amp;$M1495&amp;"|"&amp;$N1495&amp;"|"&amp;$O1495&amp;"|"&amp;$P1495&amp;"|"&amp;$Q1495&amp;"|"&amp;$K1495,PARAMETRES!$J$43:$J$342,0))="","",INDEX(PARAMETRES!$H$43:$H$342,MATCH($L1495&amp;"|"&amp;$M1495&amp;"|"&amp;$N1495&amp;"|"&amp;$O1495&amp;"|"&amp;$P1495&amp;"|"&amp;$Q1495&amp;"|"&amp;$K1495,PARAMETRES!$J$43:$J$342,0))),""))</f>
        <v/>
      </c>
      <c r="S1495" s="35">
        <f>IF(OR($G1495="",$X1495&lt;&gt;"VALIDE"),"",IFERROR(LOOKUP(2,1/(($B595:$B1494=$B1495)*($G595:$G1494=$G1495)*($X595:$X1494="VALIDE")),$C595:$C1494),""))</f>
        <v/>
      </c>
      <c r="T1495" s="36">
        <f>IF(OR($C1495="",$S1495=""),"",ROUND(($C1495-$S1495+IF($C1495&lt;$S1495,1,0))*1440,0))</f>
        <v/>
      </c>
      <c r="U1495" s="22">
        <f>IF(OR($H1495="",$T1495="",$T1495&lt;=0),"",$H1495*60/$T1495)</f>
        <v/>
      </c>
      <c r="V1495" s="37">
        <f>IF(OR($U1495="",$R1495="",$R1495=0),"",$U1495/$R1495)</f>
        <v/>
      </c>
      <c r="W1495" s="20">
        <f>IF($G1495="","",IF($X1495="CONTEXTE INCOMPLET","CONTEXTE INCOMPLET",IF($X1495="DOUBLON",StatutDoublon,IF($S1495="",StatutInitial,IF($R1495="",StatutStandardManquant,IF($V1495="","DONNEES INSUFFISANTES",IF($V1495&gt;=SeuilConforme,StatutConforme,IF($V1495&gt;=SeuilSurveiller,StatutSurveiller,StatutSousStandard))))))))</f>
        <v/>
      </c>
      <c r="X1495" s="33">
        <f>IF($G1495="","",IF(OR($D1495="",$E1495="",$F1495=""),"CONTEXTE INCOMPLET",IF(COUNTIFS($D595:$D1494,$D1495,$E595:$E1494,$E1495,$F595:$F1494,$F1495,$G595:$G1494,$G1495)&gt;0,"DOUBLON","VALIDE")))</f>
        <v/>
      </c>
    </row>
    <row r="1496" ht="15" customHeight="1">
      <c r="A1496" s="12">
        <f>IF(OR($B1496="",$G1496=""),"",TEXT($B1496,"YYYYMMDD")&amp;"-"&amp;SUBSTITUTE($E1496," ","")&amp;"-"&amp;$F1496&amp;"-"&amp;$G1496)</f>
        <v/>
      </c>
      <c r="B1496" s="15" t="n"/>
      <c r="C1496" s="16" t="n"/>
      <c r="D1496" s="10" t="n"/>
      <c r="E1496" s="9" t="n"/>
      <c r="F1496" s="9" t="n"/>
      <c r="G1496" s="13" t="n"/>
      <c r="H1496" s="21" t="n"/>
      <c r="I1496" s="21" t="n"/>
      <c r="J1496" s="17">
        <f>IF($G1496="","",IFERROR(INDEX(NomsEmployes,MATCH($G1496,MatriculesEmployes,0)),"MATRICULE INCONNU"))</f>
        <v/>
      </c>
      <c r="K1496" s="33">
        <f>IF(OR($D1496="",$F1496=""),"",IFERROR(IF(INDEX(RUNS!$L$6:$S$1005,MATCH($D1496,RUNS!$A$6:$A$1005,0),MATCH("ACTIVITÉ "&amp;$F1496,RUNS!$L$5:$S$5,0))="","",INDEX(RUNS!$L$6:$S$1005,MATCH($D1496,RUNS!$A$6:$A$1005,0),MATCH("ACTIVITÉ "&amp;$F1496,RUNS!$L$5:$S$5,0))),""))</f>
        <v/>
      </c>
      <c r="L1496" s="33">
        <f>IF($D1496="","",IFERROR(IF(INDEX(RUNS!$E$6:$E$1005,MATCH($D1496,RUNS!$A$6:$A$1005,0))="","",INDEX(RUNS!$E$6:$E$1005,MATCH($D1496,RUNS!$A$6:$A$1005,0))),""))</f>
        <v/>
      </c>
      <c r="M1496" s="33">
        <f>IF($D1496="","",IFERROR(IF(INDEX(RUNS!$F$6:$F$1005,MATCH($D1496,RUNS!$A$6:$A$1005,0))="","",INDEX(RUNS!$F$6:$F$1005,MATCH($D1496,RUNS!$A$6:$A$1005,0))),""))</f>
        <v/>
      </c>
      <c r="N1496" s="33">
        <f>IF($D1496="","",IFERROR(IF(INDEX(RUNS!$G$6:$G$1005,MATCH($D1496,RUNS!$A$6:$A$1005,0))="","",INDEX(RUNS!$G$6:$G$1005,MATCH($D1496,RUNS!$A$6:$A$1005,0))),""))</f>
        <v/>
      </c>
      <c r="O1496" s="33">
        <f>IF($D1496="","",IFERROR(IF(INDEX(RUNS!$H$6:$H$1005,MATCH($D1496,RUNS!$A$6:$A$1005,0))="","",INDEX(RUNS!$H$6:$H$1005,MATCH($D1496,RUNS!$A$6:$A$1005,0))),""))</f>
        <v/>
      </c>
      <c r="P1496" s="33">
        <f>IF($D1496="","",IFERROR(IF(INDEX(RUNS!$J$6:$J$1005,MATCH($D1496,RUNS!$A$6:$A$1005,0))="","",INDEX(RUNS!$J$6:$J$1005,MATCH($D1496,RUNS!$A$6:$A$1005,0))),""))</f>
        <v/>
      </c>
      <c r="Q1496" s="33">
        <f>IF($D1496="","",IFERROR(IF(INDEX(RUNS!$K$6:$K$1005,MATCH($D1496,RUNS!$A$6:$A$1005,0))="","",INDEX(RUNS!$K$6:$K$1005,MATCH($D1496,RUNS!$A$6:$A$1005,0))),""))</f>
        <v/>
      </c>
      <c r="R1496" s="34">
        <f>IF(OR($L1496="",$K1496=""),"",IFERROR(IF(INDEX(PARAMETRES!$H$43:$H$342,MATCH($L1496&amp;"|"&amp;$M1496&amp;"|"&amp;$N1496&amp;"|"&amp;$O1496&amp;"|"&amp;$P1496&amp;"|"&amp;$Q1496&amp;"|"&amp;$K1496,PARAMETRES!$J$43:$J$342,0))="","",INDEX(PARAMETRES!$H$43:$H$342,MATCH($L1496&amp;"|"&amp;$M1496&amp;"|"&amp;$N1496&amp;"|"&amp;$O1496&amp;"|"&amp;$P1496&amp;"|"&amp;$Q1496&amp;"|"&amp;$K1496,PARAMETRES!$J$43:$J$342,0))),""))</f>
        <v/>
      </c>
      <c r="S1496" s="35">
        <f>IF(OR($G1496="",$X1496&lt;&gt;"VALIDE"),"",IFERROR(LOOKUP(2,1/(($B596:$B1495=$B1496)*($G596:$G1495=$G1496)*($X596:$X1495="VALIDE")),$C596:$C1495),""))</f>
        <v/>
      </c>
      <c r="T1496" s="36">
        <f>IF(OR($C1496="",$S1496=""),"",ROUND(($C1496-$S1496+IF($C1496&lt;$S1496,1,0))*1440,0))</f>
        <v/>
      </c>
      <c r="U1496" s="22">
        <f>IF(OR($H1496="",$T1496="",$T1496&lt;=0),"",$H1496*60/$T1496)</f>
        <v/>
      </c>
      <c r="V1496" s="37">
        <f>IF(OR($U1496="",$R1496="",$R1496=0),"",$U1496/$R1496)</f>
        <v/>
      </c>
      <c r="W1496" s="20">
        <f>IF($G1496="","",IF($X1496="CONTEXTE INCOMPLET","CONTEXTE INCOMPLET",IF($X1496="DOUBLON",StatutDoublon,IF($S1496="",StatutInitial,IF($R1496="",StatutStandardManquant,IF($V1496="","DONNEES INSUFFISANTES",IF($V1496&gt;=SeuilConforme,StatutConforme,IF($V1496&gt;=SeuilSurveiller,StatutSurveiller,StatutSousStandard))))))))</f>
        <v/>
      </c>
      <c r="X1496" s="33">
        <f>IF($G1496="","",IF(OR($D1496="",$E1496="",$F1496=""),"CONTEXTE INCOMPLET",IF(COUNTIFS($D596:$D1495,$D1496,$E596:$E1495,$E1496,$F596:$F1495,$F1496,$G596:$G1495,$G1496)&gt;0,"DOUBLON","VALIDE")))</f>
        <v/>
      </c>
    </row>
    <row r="1497" ht="15" customHeight="1">
      <c r="A1497" s="12">
        <f>IF(OR($B1497="",$G1497=""),"",TEXT($B1497,"YYYYMMDD")&amp;"-"&amp;SUBSTITUTE($E1497," ","")&amp;"-"&amp;$F1497&amp;"-"&amp;$G1497)</f>
        <v/>
      </c>
      <c r="B1497" s="15" t="n"/>
      <c r="C1497" s="16" t="n"/>
      <c r="D1497" s="10" t="n"/>
      <c r="E1497" s="9" t="n"/>
      <c r="F1497" s="9" t="n"/>
      <c r="G1497" s="13" t="n"/>
      <c r="H1497" s="21" t="n"/>
      <c r="I1497" s="21" t="n"/>
      <c r="J1497" s="17">
        <f>IF($G1497="","",IFERROR(INDEX(NomsEmployes,MATCH($G1497,MatriculesEmployes,0)),"MATRICULE INCONNU"))</f>
        <v/>
      </c>
      <c r="K1497" s="33">
        <f>IF(OR($D1497="",$F1497=""),"",IFERROR(IF(INDEX(RUNS!$L$6:$S$1005,MATCH($D1497,RUNS!$A$6:$A$1005,0),MATCH("ACTIVITÉ "&amp;$F1497,RUNS!$L$5:$S$5,0))="","",INDEX(RUNS!$L$6:$S$1005,MATCH($D1497,RUNS!$A$6:$A$1005,0),MATCH("ACTIVITÉ "&amp;$F1497,RUNS!$L$5:$S$5,0))),""))</f>
        <v/>
      </c>
      <c r="L1497" s="33">
        <f>IF($D1497="","",IFERROR(IF(INDEX(RUNS!$E$6:$E$1005,MATCH($D1497,RUNS!$A$6:$A$1005,0))="","",INDEX(RUNS!$E$6:$E$1005,MATCH($D1497,RUNS!$A$6:$A$1005,0))),""))</f>
        <v/>
      </c>
      <c r="M1497" s="33">
        <f>IF($D1497="","",IFERROR(IF(INDEX(RUNS!$F$6:$F$1005,MATCH($D1497,RUNS!$A$6:$A$1005,0))="","",INDEX(RUNS!$F$6:$F$1005,MATCH($D1497,RUNS!$A$6:$A$1005,0))),""))</f>
        <v/>
      </c>
      <c r="N1497" s="33">
        <f>IF($D1497="","",IFERROR(IF(INDEX(RUNS!$G$6:$G$1005,MATCH($D1497,RUNS!$A$6:$A$1005,0))="","",INDEX(RUNS!$G$6:$G$1005,MATCH($D1497,RUNS!$A$6:$A$1005,0))),""))</f>
        <v/>
      </c>
      <c r="O1497" s="33">
        <f>IF($D1497="","",IFERROR(IF(INDEX(RUNS!$H$6:$H$1005,MATCH($D1497,RUNS!$A$6:$A$1005,0))="","",INDEX(RUNS!$H$6:$H$1005,MATCH($D1497,RUNS!$A$6:$A$1005,0))),""))</f>
        <v/>
      </c>
      <c r="P1497" s="33">
        <f>IF($D1497="","",IFERROR(IF(INDEX(RUNS!$J$6:$J$1005,MATCH($D1497,RUNS!$A$6:$A$1005,0))="","",INDEX(RUNS!$J$6:$J$1005,MATCH($D1497,RUNS!$A$6:$A$1005,0))),""))</f>
        <v/>
      </c>
      <c r="Q1497" s="33">
        <f>IF($D1497="","",IFERROR(IF(INDEX(RUNS!$K$6:$K$1005,MATCH($D1497,RUNS!$A$6:$A$1005,0))="","",INDEX(RUNS!$K$6:$K$1005,MATCH($D1497,RUNS!$A$6:$A$1005,0))),""))</f>
        <v/>
      </c>
      <c r="R1497" s="34">
        <f>IF(OR($L1497="",$K1497=""),"",IFERROR(IF(INDEX(PARAMETRES!$H$43:$H$342,MATCH($L1497&amp;"|"&amp;$M1497&amp;"|"&amp;$N1497&amp;"|"&amp;$O1497&amp;"|"&amp;$P1497&amp;"|"&amp;$Q1497&amp;"|"&amp;$K1497,PARAMETRES!$J$43:$J$342,0))="","",INDEX(PARAMETRES!$H$43:$H$342,MATCH($L1497&amp;"|"&amp;$M1497&amp;"|"&amp;$N1497&amp;"|"&amp;$O1497&amp;"|"&amp;$P1497&amp;"|"&amp;$Q1497&amp;"|"&amp;$K1497,PARAMETRES!$J$43:$J$342,0))),""))</f>
        <v/>
      </c>
      <c r="S1497" s="35">
        <f>IF(OR($G1497="",$X1497&lt;&gt;"VALIDE"),"",IFERROR(LOOKUP(2,1/(($B597:$B1496=$B1497)*($G597:$G1496=$G1497)*($X597:$X1496="VALIDE")),$C597:$C1496),""))</f>
        <v/>
      </c>
      <c r="T1497" s="36">
        <f>IF(OR($C1497="",$S1497=""),"",ROUND(($C1497-$S1497+IF($C1497&lt;$S1497,1,0))*1440,0))</f>
        <v/>
      </c>
      <c r="U1497" s="22">
        <f>IF(OR($H1497="",$T1497="",$T1497&lt;=0),"",$H1497*60/$T1497)</f>
        <v/>
      </c>
      <c r="V1497" s="37">
        <f>IF(OR($U1497="",$R1497="",$R1497=0),"",$U1497/$R1497)</f>
        <v/>
      </c>
      <c r="W1497" s="20">
        <f>IF($G1497="","",IF($X1497="CONTEXTE INCOMPLET","CONTEXTE INCOMPLET",IF($X1497="DOUBLON",StatutDoublon,IF($S1497="",StatutInitial,IF($R1497="",StatutStandardManquant,IF($V1497="","DONNEES INSUFFISANTES",IF($V1497&gt;=SeuilConforme,StatutConforme,IF($V1497&gt;=SeuilSurveiller,StatutSurveiller,StatutSousStandard))))))))</f>
        <v/>
      </c>
      <c r="X1497" s="33">
        <f>IF($G1497="","",IF(OR($D1497="",$E1497="",$F1497=""),"CONTEXTE INCOMPLET",IF(COUNTIFS($D597:$D1496,$D1497,$E597:$E1496,$E1497,$F597:$F1496,$F1497,$G597:$G1496,$G1497)&gt;0,"DOUBLON","VALIDE")))</f>
        <v/>
      </c>
    </row>
    <row r="1498" ht="15" customHeight="1">
      <c r="A1498" s="12">
        <f>IF(OR($B1498="",$G1498=""),"",TEXT($B1498,"YYYYMMDD")&amp;"-"&amp;SUBSTITUTE($E1498," ","")&amp;"-"&amp;$F1498&amp;"-"&amp;$G1498)</f>
        <v/>
      </c>
      <c r="B1498" s="15" t="n"/>
      <c r="C1498" s="16" t="n"/>
      <c r="D1498" s="10" t="n"/>
      <c r="E1498" s="9" t="n"/>
      <c r="F1498" s="9" t="n"/>
      <c r="G1498" s="13" t="n"/>
      <c r="H1498" s="21" t="n"/>
      <c r="I1498" s="21" t="n"/>
      <c r="J1498" s="17">
        <f>IF($G1498="","",IFERROR(INDEX(NomsEmployes,MATCH($G1498,MatriculesEmployes,0)),"MATRICULE INCONNU"))</f>
        <v/>
      </c>
      <c r="K1498" s="33">
        <f>IF(OR($D1498="",$F1498=""),"",IFERROR(IF(INDEX(RUNS!$L$6:$S$1005,MATCH($D1498,RUNS!$A$6:$A$1005,0),MATCH("ACTIVITÉ "&amp;$F1498,RUNS!$L$5:$S$5,0))="","",INDEX(RUNS!$L$6:$S$1005,MATCH($D1498,RUNS!$A$6:$A$1005,0),MATCH("ACTIVITÉ "&amp;$F1498,RUNS!$L$5:$S$5,0))),""))</f>
        <v/>
      </c>
      <c r="L1498" s="33">
        <f>IF($D1498="","",IFERROR(IF(INDEX(RUNS!$E$6:$E$1005,MATCH($D1498,RUNS!$A$6:$A$1005,0))="","",INDEX(RUNS!$E$6:$E$1005,MATCH($D1498,RUNS!$A$6:$A$1005,0))),""))</f>
        <v/>
      </c>
      <c r="M1498" s="33">
        <f>IF($D1498="","",IFERROR(IF(INDEX(RUNS!$F$6:$F$1005,MATCH($D1498,RUNS!$A$6:$A$1005,0))="","",INDEX(RUNS!$F$6:$F$1005,MATCH($D1498,RUNS!$A$6:$A$1005,0))),""))</f>
        <v/>
      </c>
      <c r="N1498" s="33">
        <f>IF($D1498="","",IFERROR(IF(INDEX(RUNS!$G$6:$G$1005,MATCH($D1498,RUNS!$A$6:$A$1005,0))="","",INDEX(RUNS!$G$6:$G$1005,MATCH($D1498,RUNS!$A$6:$A$1005,0))),""))</f>
        <v/>
      </c>
      <c r="O1498" s="33">
        <f>IF($D1498="","",IFERROR(IF(INDEX(RUNS!$H$6:$H$1005,MATCH($D1498,RUNS!$A$6:$A$1005,0))="","",INDEX(RUNS!$H$6:$H$1005,MATCH($D1498,RUNS!$A$6:$A$1005,0))),""))</f>
        <v/>
      </c>
      <c r="P1498" s="33">
        <f>IF($D1498="","",IFERROR(IF(INDEX(RUNS!$J$6:$J$1005,MATCH($D1498,RUNS!$A$6:$A$1005,0))="","",INDEX(RUNS!$J$6:$J$1005,MATCH($D1498,RUNS!$A$6:$A$1005,0))),""))</f>
        <v/>
      </c>
      <c r="Q1498" s="33">
        <f>IF($D1498="","",IFERROR(IF(INDEX(RUNS!$K$6:$K$1005,MATCH($D1498,RUNS!$A$6:$A$1005,0))="","",INDEX(RUNS!$K$6:$K$1005,MATCH($D1498,RUNS!$A$6:$A$1005,0))),""))</f>
        <v/>
      </c>
      <c r="R1498" s="34">
        <f>IF(OR($L1498="",$K1498=""),"",IFERROR(IF(INDEX(PARAMETRES!$H$43:$H$342,MATCH($L1498&amp;"|"&amp;$M1498&amp;"|"&amp;$N1498&amp;"|"&amp;$O1498&amp;"|"&amp;$P1498&amp;"|"&amp;$Q1498&amp;"|"&amp;$K1498,PARAMETRES!$J$43:$J$342,0))="","",INDEX(PARAMETRES!$H$43:$H$342,MATCH($L1498&amp;"|"&amp;$M1498&amp;"|"&amp;$N1498&amp;"|"&amp;$O1498&amp;"|"&amp;$P1498&amp;"|"&amp;$Q1498&amp;"|"&amp;$K1498,PARAMETRES!$J$43:$J$342,0))),""))</f>
        <v/>
      </c>
      <c r="S1498" s="35">
        <f>IF(OR($G1498="",$X1498&lt;&gt;"VALIDE"),"",IFERROR(LOOKUP(2,1/(($B598:$B1497=$B1498)*($G598:$G1497=$G1498)*($X598:$X1497="VALIDE")),$C598:$C1497),""))</f>
        <v/>
      </c>
      <c r="T1498" s="36">
        <f>IF(OR($C1498="",$S1498=""),"",ROUND(($C1498-$S1498+IF($C1498&lt;$S1498,1,0))*1440,0))</f>
        <v/>
      </c>
      <c r="U1498" s="22">
        <f>IF(OR($H1498="",$T1498="",$T1498&lt;=0),"",$H1498*60/$T1498)</f>
        <v/>
      </c>
      <c r="V1498" s="37">
        <f>IF(OR($U1498="",$R1498="",$R1498=0),"",$U1498/$R1498)</f>
        <v/>
      </c>
      <c r="W1498" s="20">
        <f>IF($G1498="","",IF($X1498="CONTEXTE INCOMPLET","CONTEXTE INCOMPLET",IF($X1498="DOUBLON",StatutDoublon,IF($S1498="",StatutInitial,IF($R1498="",StatutStandardManquant,IF($V1498="","DONNEES INSUFFISANTES",IF($V1498&gt;=SeuilConforme,StatutConforme,IF($V1498&gt;=SeuilSurveiller,StatutSurveiller,StatutSousStandard))))))))</f>
        <v/>
      </c>
      <c r="X1498" s="33">
        <f>IF($G1498="","",IF(OR($D1498="",$E1498="",$F1498=""),"CONTEXTE INCOMPLET",IF(COUNTIFS($D598:$D1497,$D1498,$E598:$E1497,$E1498,$F598:$F1497,$F1498,$G598:$G1497,$G1498)&gt;0,"DOUBLON","VALIDE")))</f>
        <v/>
      </c>
    </row>
    <row r="1499" ht="15" customHeight="1">
      <c r="A1499" s="12">
        <f>IF(OR($B1499="",$G1499=""),"",TEXT($B1499,"YYYYMMDD")&amp;"-"&amp;SUBSTITUTE($E1499," ","")&amp;"-"&amp;$F1499&amp;"-"&amp;$G1499)</f>
        <v/>
      </c>
      <c r="B1499" s="15" t="n"/>
      <c r="C1499" s="16" t="n"/>
      <c r="D1499" s="10" t="n"/>
      <c r="E1499" s="9" t="n"/>
      <c r="F1499" s="9" t="n"/>
      <c r="G1499" s="13" t="n"/>
      <c r="H1499" s="21" t="n"/>
      <c r="I1499" s="21" t="n"/>
      <c r="J1499" s="17">
        <f>IF($G1499="","",IFERROR(INDEX(NomsEmployes,MATCH($G1499,MatriculesEmployes,0)),"MATRICULE INCONNU"))</f>
        <v/>
      </c>
      <c r="K1499" s="33">
        <f>IF(OR($D1499="",$F1499=""),"",IFERROR(IF(INDEX(RUNS!$L$6:$S$1005,MATCH($D1499,RUNS!$A$6:$A$1005,0),MATCH("ACTIVITÉ "&amp;$F1499,RUNS!$L$5:$S$5,0))="","",INDEX(RUNS!$L$6:$S$1005,MATCH($D1499,RUNS!$A$6:$A$1005,0),MATCH("ACTIVITÉ "&amp;$F1499,RUNS!$L$5:$S$5,0))),""))</f>
        <v/>
      </c>
      <c r="L1499" s="33">
        <f>IF($D1499="","",IFERROR(IF(INDEX(RUNS!$E$6:$E$1005,MATCH($D1499,RUNS!$A$6:$A$1005,0))="","",INDEX(RUNS!$E$6:$E$1005,MATCH($D1499,RUNS!$A$6:$A$1005,0))),""))</f>
        <v/>
      </c>
      <c r="M1499" s="33">
        <f>IF($D1499="","",IFERROR(IF(INDEX(RUNS!$F$6:$F$1005,MATCH($D1499,RUNS!$A$6:$A$1005,0))="","",INDEX(RUNS!$F$6:$F$1005,MATCH($D1499,RUNS!$A$6:$A$1005,0))),""))</f>
        <v/>
      </c>
      <c r="N1499" s="33">
        <f>IF($D1499="","",IFERROR(IF(INDEX(RUNS!$G$6:$G$1005,MATCH($D1499,RUNS!$A$6:$A$1005,0))="","",INDEX(RUNS!$G$6:$G$1005,MATCH($D1499,RUNS!$A$6:$A$1005,0))),""))</f>
        <v/>
      </c>
      <c r="O1499" s="33">
        <f>IF($D1499="","",IFERROR(IF(INDEX(RUNS!$H$6:$H$1005,MATCH($D1499,RUNS!$A$6:$A$1005,0))="","",INDEX(RUNS!$H$6:$H$1005,MATCH($D1499,RUNS!$A$6:$A$1005,0))),""))</f>
        <v/>
      </c>
      <c r="P1499" s="33">
        <f>IF($D1499="","",IFERROR(IF(INDEX(RUNS!$J$6:$J$1005,MATCH($D1499,RUNS!$A$6:$A$1005,0))="","",INDEX(RUNS!$J$6:$J$1005,MATCH($D1499,RUNS!$A$6:$A$1005,0))),""))</f>
        <v/>
      </c>
      <c r="Q1499" s="33">
        <f>IF($D1499="","",IFERROR(IF(INDEX(RUNS!$K$6:$K$1005,MATCH($D1499,RUNS!$A$6:$A$1005,0))="","",INDEX(RUNS!$K$6:$K$1005,MATCH($D1499,RUNS!$A$6:$A$1005,0))),""))</f>
        <v/>
      </c>
      <c r="R1499" s="34">
        <f>IF(OR($L1499="",$K1499=""),"",IFERROR(IF(INDEX(PARAMETRES!$H$43:$H$342,MATCH($L1499&amp;"|"&amp;$M1499&amp;"|"&amp;$N1499&amp;"|"&amp;$O1499&amp;"|"&amp;$P1499&amp;"|"&amp;$Q1499&amp;"|"&amp;$K1499,PARAMETRES!$J$43:$J$342,0))="","",INDEX(PARAMETRES!$H$43:$H$342,MATCH($L1499&amp;"|"&amp;$M1499&amp;"|"&amp;$N1499&amp;"|"&amp;$O1499&amp;"|"&amp;$P1499&amp;"|"&amp;$Q1499&amp;"|"&amp;$K1499,PARAMETRES!$J$43:$J$342,0))),""))</f>
        <v/>
      </c>
      <c r="S1499" s="35">
        <f>IF(OR($G1499="",$X1499&lt;&gt;"VALIDE"),"",IFERROR(LOOKUP(2,1/(($B599:$B1498=$B1499)*($G599:$G1498=$G1499)*($X599:$X1498="VALIDE")),$C599:$C1498),""))</f>
        <v/>
      </c>
      <c r="T1499" s="36">
        <f>IF(OR($C1499="",$S1499=""),"",ROUND(($C1499-$S1499+IF($C1499&lt;$S1499,1,0))*1440,0))</f>
        <v/>
      </c>
      <c r="U1499" s="22">
        <f>IF(OR($H1499="",$T1499="",$T1499&lt;=0),"",$H1499*60/$T1499)</f>
        <v/>
      </c>
      <c r="V1499" s="37">
        <f>IF(OR($U1499="",$R1499="",$R1499=0),"",$U1499/$R1499)</f>
        <v/>
      </c>
      <c r="W1499" s="20">
        <f>IF($G1499="","",IF($X1499="CONTEXTE INCOMPLET","CONTEXTE INCOMPLET",IF($X1499="DOUBLON",StatutDoublon,IF($S1499="",StatutInitial,IF($R1499="",StatutStandardManquant,IF($V1499="","DONNEES INSUFFISANTES",IF($V1499&gt;=SeuilConforme,StatutConforme,IF($V1499&gt;=SeuilSurveiller,StatutSurveiller,StatutSousStandard))))))))</f>
        <v/>
      </c>
      <c r="X1499" s="33">
        <f>IF($G1499="","",IF(OR($D1499="",$E1499="",$F1499=""),"CONTEXTE INCOMPLET",IF(COUNTIFS($D599:$D1498,$D1499,$E599:$E1498,$E1499,$F599:$F1498,$F1499,$G599:$G1498,$G1499)&gt;0,"DOUBLON","VALIDE")))</f>
        <v/>
      </c>
    </row>
    <row r="1500" ht="15" customHeight="1">
      <c r="A1500" s="12">
        <f>IF(OR($B1500="",$G1500=""),"",TEXT($B1500,"YYYYMMDD")&amp;"-"&amp;SUBSTITUTE($E1500," ","")&amp;"-"&amp;$F1500&amp;"-"&amp;$G1500)</f>
        <v/>
      </c>
      <c r="B1500" s="15" t="n"/>
      <c r="C1500" s="16" t="n"/>
      <c r="D1500" s="10" t="n"/>
      <c r="E1500" s="9" t="n"/>
      <c r="F1500" s="9" t="n"/>
      <c r="G1500" s="13" t="n"/>
      <c r="H1500" s="21" t="n"/>
      <c r="I1500" s="21" t="n"/>
      <c r="J1500" s="17">
        <f>IF($G1500="","",IFERROR(INDEX(NomsEmployes,MATCH($G1500,MatriculesEmployes,0)),"MATRICULE INCONNU"))</f>
        <v/>
      </c>
      <c r="K1500" s="33">
        <f>IF(OR($D1500="",$F1500=""),"",IFERROR(IF(INDEX(RUNS!$L$6:$S$1005,MATCH($D1500,RUNS!$A$6:$A$1005,0),MATCH("ACTIVITÉ "&amp;$F1500,RUNS!$L$5:$S$5,0))="","",INDEX(RUNS!$L$6:$S$1005,MATCH($D1500,RUNS!$A$6:$A$1005,0),MATCH("ACTIVITÉ "&amp;$F1500,RUNS!$L$5:$S$5,0))),""))</f>
        <v/>
      </c>
      <c r="L1500" s="33">
        <f>IF($D1500="","",IFERROR(IF(INDEX(RUNS!$E$6:$E$1005,MATCH($D1500,RUNS!$A$6:$A$1005,0))="","",INDEX(RUNS!$E$6:$E$1005,MATCH($D1500,RUNS!$A$6:$A$1005,0))),""))</f>
        <v/>
      </c>
      <c r="M1500" s="33">
        <f>IF($D1500="","",IFERROR(IF(INDEX(RUNS!$F$6:$F$1005,MATCH($D1500,RUNS!$A$6:$A$1005,0))="","",INDEX(RUNS!$F$6:$F$1005,MATCH($D1500,RUNS!$A$6:$A$1005,0))),""))</f>
        <v/>
      </c>
      <c r="N1500" s="33">
        <f>IF($D1500="","",IFERROR(IF(INDEX(RUNS!$G$6:$G$1005,MATCH($D1500,RUNS!$A$6:$A$1005,0))="","",INDEX(RUNS!$G$6:$G$1005,MATCH($D1500,RUNS!$A$6:$A$1005,0))),""))</f>
        <v/>
      </c>
      <c r="O1500" s="33">
        <f>IF($D1500="","",IFERROR(IF(INDEX(RUNS!$H$6:$H$1005,MATCH($D1500,RUNS!$A$6:$A$1005,0))="","",INDEX(RUNS!$H$6:$H$1005,MATCH($D1500,RUNS!$A$6:$A$1005,0))),""))</f>
        <v/>
      </c>
      <c r="P1500" s="33">
        <f>IF($D1500="","",IFERROR(IF(INDEX(RUNS!$J$6:$J$1005,MATCH($D1500,RUNS!$A$6:$A$1005,0))="","",INDEX(RUNS!$J$6:$J$1005,MATCH($D1500,RUNS!$A$6:$A$1005,0))),""))</f>
        <v/>
      </c>
      <c r="Q1500" s="33">
        <f>IF($D1500="","",IFERROR(IF(INDEX(RUNS!$K$6:$K$1005,MATCH($D1500,RUNS!$A$6:$A$1005,0))="","",INDEX(RUNS!$K$6:$K$1005,MATCH($D1500,RUNS!$A$6:$A$1005,0))),""))</f>
        <v/>
      </c>
      <c r="R1500" s="34">
        <f>IF(OR($L1500="",$K1500=""),"",IFERROR(IF(INDEX(PARAMETRES!$H$43:$H$342,MATCH($L1500&amp;"|"&amp;$M1500&amp;"|"&amp;$N1500&amp;"|"&amp;$O1500&amp;"|"&amp;$P1500&amp;"|"&amp;$Q1500&amp;"|"&amp;$K1500,PARAMETRES!$J$43:$J$342,0))="","",INDEX(PARAMETRES!$H$43:$H$342,MATCH($L1500&amp;"|"&amp;$M1500&amp;"|"&amp;$N1500&amp;"|"&amp;$O1500&amp;"|"&amp;$P1500&amp;"|"&amp;$Q1500&amp;"|"&amp;$K1500,PARAMETRES!$J$43:$J$342,0))),""))</f>
        <v/>
      </c>
      <c r="S1500" s="35">
        <f>IF(OR($G1500="",$X1500&lt;&gt;"VALIDE"),"",IFERROR(LOOKUP(2,1/(($B600:$B1499=$B1500)*($G600:$G1499=$G1500)*($X600:$X1499="VALIDE")),$C600:$C1499),""))</f>
        <v/>
      </c>
      <c r="T1500" s="36">
        <f>IF(OR($C1500="",$S1500=""),"",ROUND(($C1500-$S1500+IF($C1500&lt;$S1500,1,0))*1440,0))</f>
        <v/>
      </c>
      <c r="U1500" s="22">
        <f>IF(OR($H1500="",$T1500="",$T1500&lt;=0),"",$H1500*60/$T1500)</f>
        <v/>
      </c>
      <c r="V1500" s="37">
        <f>IF(OR($U1500="",$R1500="",$R1500=0),"",$U1500/$R1500)</f>
        <v/>
      </c>
      <c r="W1500" s="20">
        <f>IF($G1500="","",IF($X1500="CONTEXTE INCOMPLET","CONTEXTE INCOMPLET",IF($X1500="DOUBLON",StatutDoublon,IF($S1500="",StatutInitial,IF($R1500="",StatutStandardManquant,IF($V1500="","DONNEES INSUFFISANTES",IF($V1500&gt;=SeuilConforme,StatutConforme,IF($V1500&gt;=SeuilSurveiller,StatutSurveiller,StatutSousStandard))))))))</f>
        <v/>
      </c>
      <c r="X1500" s="33">
        <f>IF($G1500="","",IF(OR($D1500="",$E1500="",$F1500=""),"CONTEXTE INCOMPLET",IF(COUNTIFS($D600:$D1499,$D1500,$E600:$E1499,$E1500,$F600:$F1499,$F1500,$G600:$G1499,$G1500)&gt;0,"DOUBLON","VALIDE")))</f>
        <v/>
      </c>
    </row>
    <row r="1501" ht="15" customHeight="1">
      <c r="A1501" s="12">
        <f>IF(OR($B1501="",$G1501=""),"",TEXT($B1501,"YYYYMMDD")&amp;"-"&amp;SUBSTITUTE($E1501," ","")&amp;"-"&amp;$F1501&amp;"-"&amp;$G1501)</f>
        <v/>
      </c>
      <c r="B1501" s="15" t="n"/>
      <c r="C1501" s="16" t="n"/>
      <c r="D1501" s="10" t="n"/>
      <c r="E1501" s="9" t="n"/>
      <c r="F1501" s="9" t="n"/>
      <c r="G1501" s="13" t="n"/>
      <c r="H1501" s="21" t="n"/>
      <c r="I1501" s="21" t="n"/>
      <c r="J1501" s="17">
        <f>IF($G1501="","",IFERROR(INDEX(NomsEmployes,MATCH($G1501,MatriculesEmployes,0)),"MATRICULE INCONNU"))</f>
        <v/>
      </c>
      <c r="K1501" s="33">
        <f>IF(OR($D1501="",$F1501=""),"",IFERROR(IF(INDEX(RUNS!$L$6:$S$1005,MATCH($D1501,RUNS!$A$6:$A$1005,0),MATCH("ACTIVITÉ "&amp;$F1501,RUNS!$L$5:$S$5,0))="","",INDEX(RUNS!$L$6:$S$1005,MATCH($D1501,RUNS!$A$6:$A$1005,0),MATCH("ACTIVITÉ "&amp;$F1501,RUNS!$L$5:$S$5,0))),""))</f>
        <v/>
      </c>
      <c r="L1501" s="33">
        <f>IF($D1501="","",IFERROR(IF(INDEX(RUNS!$E$6:$E$1005,MATCH($D1501,RUNS!$A$6:$A$1005,0))="","",INDEX(RUNS!$E$6:$E$1005,MATCH($D1501,RUNS!$A$6:$A$1005,0))),""))</f>
        <v/>
      </c>
      <c r="M1501" s="33">
        <f>IF($D1501="","",IFERROR(IF(INDEX(RUNS!$F$6:$F$1005,MATCH($D1501,RUNS!$A$6:$A$1005,0))="","",INDEX(RUNS!$F$6:$F$1005,MATCH($D1501,RUNS!$A$6:$A$1005,0))),""))</f>
        <v/>
      </c>
      <c r="N1501" s="33">
        <f>IF($D1501="","",IFERROR(IF(INDEX(RUNS!$G$6:$G$1005,MATCH($D1501,RUNS!$A$6:$A$1005,0))="","",INDEX(RUNS!$G$6:$G$1005,MATCH($D1501,RUNS!$A$6:$A$1005,0))),""))</f>
        <v/>
      </c>
      <c r="O1501" s="33">
        <f>IF($D1501="","",IFERROR(IF(INDEX(RUNS!$H$6:$H$1005,MATCH($D1501,RUNS!$A$6:$A$1005,0))="","",INDEX(RUNS!$H$6:$H$1005,MATCH($D1501,RUNS!$A$6:$A$1005,0))),""))</f>
        <v/>
      </c>
      <c r="P1501" s="33">
        <f>IF($D1501="","",IFERROR(IF(INDEX(RUNS!$J$6:$J$1005,MATCH($D1501,RUNS!$A$6:$A$1005,0))="","",INDEX(RUNS!$J$6:$J$1005,MATCH($D1501,RUNS!$A$6:$A$1005,0))),""))</f>
        <v/>
      </c>
      <c r="Q1501" s="33">
        <f>IF($D1501="","",IFERROR(IF(INDEX(RUNS!$K$6:$K$1005,MATCH($D1501,RUNS!$A$6:$A$1005,0))="","",INDEX(RUNS!$K$6:$K$1005,MATCH($D1501,RUNS!$A$6:$A$1005,0))),""))</f>
        <v/>
      </c>
      <c r="R1501" s="34">
        <f>IF(OR($L1501="",$K1501=""),"",IFERROR(IF(INDEX(PARAMETRES!$H$43:$H$342,MATCH($L1501&amp;"|"&amp;$M1501&amp;"|"&amp;$N1501&amp;"|"&amp;$O1501&amp;"|"&amp;$P1501&amp;"|"&amp;$Q1501&amp;"|"&amp;$K1501,PARAMETRES!$J$43:$J$342,0))="","",INDEX(PARAMETRES!$H$43:$H$342,MATCH($L1501&amp;"|"&amp;$M1501&amp;"|"&amp;$N1501&amp;"|"&amp;$O1501&amp;"|"&amp;$P1501&amp;"|"&amp;$Q1501&amp;"|"&amp;$K1501,PARAMETRES!$J$43:$J$342,0))),""))</f>
        <v/>
      </c>
      <c r="S1501" s="35">
        <f>IF(OR($G1501="",$X1501&lt;&gt;"VALIDE"),"",IFERROR(LOOKUP(2,1/(($B601:$B1500=$B1501)*($G601:$G1500=$G1501)*($X601:$X1500="VALIDE")),$C601:$C1500),""))</f>
        <v/>
      </c>
      <c r="T1501" s="36">
        <f>IF(OR($C1501="",$S1501=""),"",ROUND(($C1501-$S1501+IF($C1501&lt;$S1501,1,0))*1440,0))</f>
        <v/>
      </c>
      <c r="U1501" s="22">
        <f>IF(OR($H1501="",$T1501="",$T1501&lt;=0),"",$H1501*60/$T1501)</f>
        <v/>
      </c>
      <c r="V1501" s="37">
        <f>IF(OR($U1501="",$R1501="",$R1501=0),"",$U1501/$R1501)</f>
        <v/>
      </c>
      <c r="W1501" s="20">
        <f>IF($G1501="","",IF($X1501="CONTEXTE INCOMPLET","CONTEXTE INCOMPLET",IF($X1501="DOUBLON",StatutDoublon,IF($S1501="",StatutInitial,IF($R1501="",StatutStandardManquant,IF($V1501="","DONNEES INSUFFISANTES",IF($V1501&gt;=SeuilConforme,StatutConforme,IF($V1501&gt;=SeuilSurveiller,StatutSurveiller,StatutSousStandard))))))))</f>
        <v/>
      </c>
      <c r="X1501" s="33">
        <f>IF($G1501="","",IF(OR($D1501="",$E1501="",$F1501=""),"CONTEXTE INCOMPLET",IF(COUNTIFS($D601:$D1500,$D1501,$E601:$E1500,$E1501,$F601:$F1500,$F1501,$G601:$G1500,$G1501)&gt;0,"DOUBLON","VALIDE")))</f>
        <v/>
      </c>
    </row>
    <row r="1502" ht="15" customHeight="1">
      <c r="A1502" s="12">
        <f>IF(OR($B1502="",$G1502=""),"",TEXT($B1502,"YYYYMMDD")&amp;"-"&amp;SUBSTITUTE($E1502," ","")&amp;"-"&amp;$F1502&amp;"-"&amp;$G1502)</f>
        <v/>
      </c>
      <c r="B1502" s="15" t="n"/>
      <c r="C1502" s="16" t="n"/>
      <c r="D1502" s="10" t="n"/>
      <c r="E1502" s="9" t="n"/>
      <c r="F1502" s="9" t="n"/>
      <c r="G1502" s="13" t="n"/>
      <c r="H1502" s="21" t="n"/>
      <c r="I1502" s="21" t="n"/>
      <c r="J1502" s="17">
        <f>IF($G1502="","",IFERROR(INDEX(NomsEmployes,MATCH($G1502,MatriculesEmployes,0)),"MATRICULE INCONNU"))</f>
        <v/>
      </c>
      <c r="K1502" s="33">
        <f>IF(OR($D1502="",$F1502=""),"",IFERROR(IF(INDEX(RUNS!$L$6:$S$1005,MATCH($D1502,RUNS!$A$6:$A$1005,0),MATCH("ACTIVITÉ "&amp;$F1502,RUNS!$L$5:$S$5,0))="","",INDEX(RUNS!$L$6:$S$1005,MATCH($D1502,RUNS!$A$6:$A$1005,0),MATCH("ACTIVITÉ "&amp;$F1502,RUNS!$L$5:$S$5,0))),""))</f>
        <v/>
      </c>
      <c r="L1502" s="33">
        <f>IF($D1502="","",IFERROR(IF(INDEX(RUNS!$E$6:$E$1005,MATCH($D1502,RUNS!$A$6:$A$1005,0))="","",INDEX(RUNS!$E$6:$E$1005,MATCH($D1502,RUNS!$A$6:$A$1005,0))),""))</f>
        <v/>
      </c>
      <c r="M1502" s="33">
        <f>IF($D1502="","",IFERROR(IF(INDEX(RUNS!$F$6:$F$1005,MATCH($D1502,RUNS!$A$6:$A$1005,0))="","",INDEX(RUNS!$F$6:$F$1005,MATCH($D1502,RUNS!$A$6:$A$1005,0))),""))</f>
        <v/>
      </c>
      <c r="N1502" s="33">
        <f>IF($D1502="","",IFERROR(IF(INDEX(RUNS!$G$6:$G$1005,MATCH($D1502,RUNS!$A$6:$A$1005,0))="","",INDEX(RUNS!$G$6:$G$1005,MATCH($D1502,RUNS!$A$6:$A$1005,0))),""))</f>
        <v/>
      </c>
      <c r="O1502" s="33">
        <f>IF($D1502="","",IFERROR(IF(INDEX(RUNS!$H$6:$H$1005,MATCH($D1502,RUNS!$A$6:$A$1005,0))="","",INDEX(RUNS!$H$6:$H$1005,MATCH($D1502,RUNS!$A$6:$A$1005,0))),""))</f>
        <v/>
      </c>
      <c r="P1502" s="33">
        <f>IF($D1502="","",IFERROR(IF(INDEX(RUNS!$J$6:$J$1005,MATCH($D1502,RUNS!$A$6:$A$1005,0))="","",INDEX(RUNS!$J$6:$J$1005,MATCH($D1502,RUNS!$A$6:$A$1005,0))),""))</f>
        <v/>
      </c>
      <c r="Q1502" s="33">
        <f>IF($D1502="","",IFERROR(IF(INDEX(RUNS!$K$6:$K$1005,MATCH($D1502,RUNS!$A$6:$A$1005,0))="","",INDEX(RUNS!$K$6:$K$1005,MATCH($D1502,RUNS!$A$6:$A$1005,0))),""))</f>
        <v/>
      </c>
      <c r="R1502" s="34">
        <f>IF(OR($L1502="",$K1502=""),"",IFERROR(IF(INDEX(PARAMETRES!$H$43:$H$342,MATCH($L1502&amp;"|"&amp;$M1502&amp;"|"&amp;$N1502&amp;"|"&amp;$O1502&amp;"|"&amp;$P1502&amp;"|"&amp;$Q1502&amp;"|"&amp;$K1502,PARAMETRES!$J$43:$J$342,0))="","",INDEX(PARAMETRES!$H$43:$H$342,MATCH($L1502&amp;"|"&amp;$M1502&amp;"|"&amp;$N1502&amp;"|"&amp;$O1502&amp;"|"&amp;$P1502&amp;"|"&amp;$Q1502&amp;"|"&amp;$K1502,PARAMETRES!$J$43:$J$342,0))),""))</f>
        <v/>
      </c>
      <c r="S1502" s="35">
        <f>IF(OR($G1502="",$X1502&lt;&gt;"VALIDE"),"",IFERROR(LOOKUP(2,1/(($B602:$B1501=$B1502)*($G602:$G1501=$G1502)*($X602:$X1501="VALIDE")),$C602:$C1501),""))</f>
        <v/>
      </c>
      <c r="T1502" s="36">
        <f>IF(OR($C1502="",$S1502=""),"",ROUND(($C1502-$S1502+IF($C1502&lt;$S1502,1,0))*1440,0))</f>
        <v/>
      </c>
      <c r="U1502" s="22">
        <f>IF(OR($H1502="",$T1502="",$T1502&lt;=0),"",$H1502*60/$T1502)</f>
        <v/>
      </c>
      <c r="V1502" s="37">
        <f>IF(OR($U1502="",$R1502="",$R1502=0),"",$U1502/$R1502)</f>
        <v/>
      </c>
      <c r="W1502" s="20">
        <f>IF($G1502="","",IF($X1502="CONTEXTE INCOMPLET","CONTEXTE INCOMPLET",IF($X1502="DOUBLON",StatutDoublon,IF($S1502="",StatutInitial,IF($R1502="",StatutStandardManquant,IF($V1502="","DONNEES INSUFFISANTES",IF($V1502&gt;=SeuilConforme,StatutConforme,IF($V1502&gt;=SeuilSurveiller,StatutSurveiller,StatutSousStandard))))))))</f>
        <v/>
      </c>
      <c r="X1502" s="33">
        <f>IF($G1502="","",IF(OR($D1502="",$E1502="",$F1502=""),"CONTEXTE INCOMPLET",IF(COUNTIFS($D602:$D1501,$D1502,$E602:$E1501,$E1502,$F602:$F1501,$F1502,$G602:$G1501,$G1502)&gt;0,"DOUBLON","VALIDE")))</f>
        <v/>
      </c>
    </row>
    <row r="1503" ht="15" customHeight="1">
      <c r="A1503" s="12">
        <f>IF(OR($B1503="",$G1503=""),"",TEXT($B1503,"YYYYMMDD")&amp;"-"&amp;SUBSTITUTE($E1503," ","")&amp;"-"&amp;$F1503&amp;"-"&amp;$G1503)</f>
        <v/>
      </c>
      <c r="B1503" s="15" t="n"/>
      <c r="C1503" s="16" t="n"/>
      <c r="D1503" s="10" t="n"/>
      <c r="E1503" s="9" t="n"/>
      <c r="F1503" s="9" t="n"/>
      <c r="G1503" s="13" t="n"/>
      <c r="H1503" s="21" t="n"/>
      <c r="I1503" s="21" t="n"/>
      <c r="J1503" s="17">
        <f>IF($G1503="","",IFERROR(INDEX(NomsEmployes,MATCH($G1503,MatriculesEmployes,0)),"MATRICULE INCONNU"))</f>
        <v/>
      </c>
      <c r="K1503" s="33">
        <f>IF(OR($D1503="",$F1503=""),"",IFERROR(IF(INDEX(RUNS!$L$6:$S$1005,MATCH($D1503,RUNS!$A$6:$A$1005,0),MATCH("ACTIVITÉ "&amp;$F1503,RUNS!$L$5:$S$5,0))="","",INDEX(RUNS!$L$6:$S$1005,MATCH($D1503,RUNS!$A$6:$A$1005,0),MATCH("ACTIVITÉ "&amp;$F1503,RUNS!$L$5:$S$5,0))),""))</f>
        <v/>
      </c>
      <c r="L1503" s="33">
        <f>IF($D1503="","",IFERROR(IF(INDEX(RUNS!$E$6:$E$1005,MATCH($D1503,RUNS!$A$6:$A$1005,0))="","",INDEX(RUNS!$E$6:$E$1005,MATCH($D1503,RUNS!$A$6:$A$1005,0))),""))</f>
        <v/>
      </c>
      <c r="M1503" s="33">
        <f>IF($D1503="","",IFERROR(IF(INDEX(RUNS!$F$6:$F$1005,MATCH($D1503,RUNS!$A$6:$A$1005,0))="","",INDEX(RUNS!$F$6:$F$1005,MATCH($D1503,RUNS!$A$6:$A$1005,0))),""))</f>
        <v/>
      </c>
      <c r="N1503" s="33">
        <f>IF($D1503="","",IFERROR(IF(INDEX(RUNS!$G$6:$G$1005,MATCH($D1503,RUNS!$A$6:$A$1005,0))="","",INDEX(RUNS!$G$6:$G$1005,MATCH($D1503,RUNS!$A$6:$A$1005,0))),""))</f>
        <v/>
      </c>
      <c r="O1503" s="33">
        <f>IF($D1503="","",IFERROR(IF(INDEX(RUNS!$H$6:$H$1005,MATCH($D1503,RUNS!$A$6:$A$1005,0))="","",INDEX(RUNS!$H$6:$H$1005,MATCH($D1503,RUNS!$A$6:$A$1005,0))),""))</f>
        <v/>
      </c>
      <c r="P1503" s="33">
        <f>IF($D1503="","",IFERROR(IF(INDEX(RUNS!$J$6:$J$1005,MATCH($D1503,RUNS!$A$6:$A$1005,0))="","",INDEX(RUNS!$J$6:$J$1005,MATCH($D1503,RUNS!$A$6:$A$1005,0))),""))</f>
        <v/>
      </c>
      <c r="Q1503" s="33">
        <f>IF($D1503="","",IFERROR(IF(INDEX(RUNS!$K$6:$K$1005,MATCH($D1503,RUNS!$A$6:$A$1005,0))="","",INDEX(RUNS!$K$6:$K$1005,MATCH($D1503,RUNS!$A$6:$A$1005,0))),""))</f>
        <v/>
      </c>
      <c r="R1503" s="34">
        <f>IF(OR($L1503="",$K1503=""),"",IFERROR(IF(INDEX(PARAMETRES!$H$43:$H$342,MATCH($L1503&amp;"|"&amp;$M1503&amp;"|"&amp;$N1503&amp;"|"&amp;$O1503&amp;"|"&amp;$P1503&amp;"|"&amp;$Q1503&amp;"|"&amp;$K1503,PARAMETRES!$J$43:$J$342,0))="","",INDEX(PARAMETRES!$H$43:$H$342,MATCH($L1503&amp;"|"&amp;$M1503&amp;"|"&amp;$N1503&amp;"|"&amp;$O1503&amp;"|"&amp;$P1503&amp;"|"&amp;$Q1503&amp;"|"&amp;$K1503,PARAMETRES!$J$43:$J$342,0))),""))</f>
        <v/>
      </c>
      <c r="S1503" s="35">
        <f>IF(OR($G1503="",$X1503&lt;&gt;"VALIDE"),"",IFERROR(LOOKUP(2,1/(($B603:$B1502=$B1503)*($G603:$G1502=$G1503)*($X603:$X1502="VALIDE")),$C603:$C1502),""))</f>
        <v/>
      </c>
      <c r="T1503" s="36">
        <f>IF(OR($C1503="",$S1503=""),"",ROUND(($C1503-$S1503+IF($C1503&lt;$S1503,1,0))*1440,0))</f>
        <v/>
      </c>
      <c r="U1503" s="22">
        <f>IF(OR($H1503="",$T1503="",$T1503&lt;=0),"",$H1503*60/$T1503)</f>
        <v/>
      </c>
      <c r="V1503" s="37">
        <f>IF(OR($U1503="",$R1503="",$R1503=0),"",$U1503/$R1503)</f>
        <v/>
      </c>
      <c r="W1503" s="20">
        <f>IF($G1503="","",IF($X1503="CONTEXTE INCOMPLET","CONTEXTE INCOMPLET",IF($X1503="DOUBLON",StatutDoublon,IF($S1503="",StatutInitial,IF($R1503="",StatutStandardManquant,IF($V1503="","DONNEES INSUFFISANTES",IF($V1503&gt;=SeuilConforme,StatutConforme,IF($V1503&gt;=SeuilSurveiller,StatutSurveiller,StatutSousStandard))))))))</f>
        <v/>
      </c>
      <c r="X1503" s="33">
        <f>IF($G1503="","",IF(OR($D1503="",$E1503="",$F1503=""),"CONTEXTE INCOMPLET",IF(COUNTIFS($D603:$D1502,$D1503,$E603:$E1502,$E1503,$F603:$F1502,$F1503,$G603:$G1502,$G1503)&gt;0,"DOUBLON","VALIDE")))</f>
        <v/>
      </c>
    </row>
    <row r="1504" ht="15" customHeight="1">
      <c r="A1504" s="12">
        <f>IF(OR($B1504="",$G1504=""),"",TEXT($B1504,"YYYYMMDD")&amp;"-"&amp;SUBSTITUTE($E1504," ","")&amp;"-"&amp;$F1504&amp;"-"&amp;$G1504)</f>
        <v/>
      </c>
      <c r="B1504" s="15" t="n"/>
      <c r="C1504" s="16" t="n"/>
      <c r="D1504" s="10" t="n"/>
      <c r="E1504" s="9" t="n"/>
      <c r="F1504" s="9" t="n"/>
      <c r="G1504" s="13" t="n"/>
      <c r="H1504" s="21" t="n"/>
      <c r="I1504" s="21" t="n"/>
      <c r="J1504" s="17">
        <f>IF($G1504="","",IFERROR(INDEX(NomsEmployes,MATCH($G1504,MatriculesEmployes,0)),"MATRICULE INCONNU"))</f>
        <v/>
      </c>
      <c r="K1504" s="33">
        <f>IF(OR($D1504="",$F1504=""),"",IFERROR(IF(INDEX(RUNS!$L$6:$S$1005,MATCH($D1504,RUNS!$A$6:$A$1005,0),MATCH("ACTIVITÉ "&amp;$F1504,RUNS!$L$5:$S$5,0))="","",INDEX(RUNS!$L$6:$S$1005,MATCH($D1504,RUNS!$A$6:$A$1005,0),MATCH("ACTIVITÉ "&amp;$F1504,RUNS!$L$5:$S$5,0))),""))</f>
        <v/>
      </c>
      <c r="L1504" s="33">
        <f>IF($D1504="","",IFERROR(IF(INDEX(RUNS!$E$6:$E$1005,MATCH($D1504,RUNS!$A$6:$A$1005,0))="","",INDEX(RUNS!$E$6:$E$1005,MATCH($D1504,RUNS!$A$6:$A$1005,0))),""))</f>
        <v/>
      </c>
      <c r="M1504" s="33">
        <f>IF($D1504="","",IFERROR(IF(INDEX(RUNS!$F$6:$F$1005,MATCH($D1504,RUNS!$A$6:$A$1005,0))="","",INDEX(RUNS!$F$6:$F$1005,MATCH($D1504,RUNS!$A$6:$A$1005,0))),""))</f>
        <v/>
      </c>
      <c r="N1504" s="33">
        <f>IF($D1504="","",IFERROR(IF(INDEX(RUNS!$G$6:$G$1005,MATCH($D1504,RUNS!$A$6:$A$1005,0))="","",INDEX(RUNS!$G$6:$G$1005,MATCH($D1504,RUNS!$A$6:$A$1005,0))),""))</f>
        <v/>
      </c>
      <c r="O1504" s="33">
        <f>IF($D1504="","",IFERROR(IF(INDEX(RUNS!$H$6:$H$1005,MATCH($D1504,RUNS!$A$6:$A$1005,0))="","",INDEX(RUNS!$H$6:$H$1005,MATCH($D1504,RUNS!$A$6:$A$1005,0))),""))</f>
        <v/>
      </c>
      <c r="P1504" s="33">
        <f>IF($D1504="","",IFERROR(IF(INDEX(RUNS!$J$6:$J$1005,MATCH($D1504,RUNS!$A$6:$A$1005,0))="","",INDEX(RUNS!$J$6:$J$1005,MATCH($D1504,RUNS!$A$6:$A$1005,0))),""))</f>
        <v/>
      </c>
      <c r="Q1504" s="33">
        <f>IF($D1504="","",IFERROR(IF(INDEX(RUNS!$K$6:$K$1005,MATCH($D1504,RUNS!$A$6:$A$1005,0))="","",INDEX(RUNS!$K$6:$K$1005,MATCH($D1504,RUNS!$A$6:$A$1005,0))),""))</f>
        <v/>
      </c>
      <c r="R1504" s="34">
        <f>IF(OR($L1504="",$K1504=""),"",IFERROR(IF(INDEX(PARAMETRES!$H$43:$H$342,MATCH($L1504&amp;"|"&amp;$M1504&amp;"|"&amp;$N1504&amp;"|"&amp;$O1504&amp;"|"&amp;$P1504&amp;"|"&amp;$Q1504&amp;"|"&amp;$K1504,PARAMETRES!$J$43:$J$342,0))="","",INDEX(PARAMETRES!$H$43:$H$342,MATCH($L1504&amp;"|"&amp;$M1504&amp;"|"&amp;$N1504&amp;"|"&amp;$O1504&amp;"|"&amp;$P1504&amp;"|"&amp;$Q1504&amp;"|"&amp;$K1504,PARAMETRES!$J$43:$J$342,0))),""))</f>
        <v/>
      </c>
      <c r="S1504" s="35">
        <f>IF(OR($G1504="",$X1504&lt;&gt;"VALIDE"),"",IFERROR(LOOKUP(2,1/(($B604:$B1503=$B1504)*($G604:$G1503=$G1504)*($X604:$X1503="VALIDE")),$C604:$C1503),""))</f>
        <v/>
      </c>
      <c r="T1504" s="36">
        <f>IF(OR($C1504="",$S1504=""),"",ROUND(($C1504-$S1504+IF($C1504&lt;$S1504,1,0))*1440,0))</f>
        <v/>
      </c>
      <c r="U1504" s="22">
        <f>IF(OR($H1504="",$T1504="",$T1504&lt;=0),"",$H1504*60/$T1504)</f>
        <v/>
      </c>
      <c r="V1504" s="37">
        <f>IF(OR($U1504="",$R1504="",$R1504=0),"",$U1504/$R1504)</f>
        <v/>
      </c>
      <c r="W1504" s="20">
        <f>IF($G1504="","",IF($X1504="CONTEXTE INCOMPLET","CONTEXTE INCOMPLET",IF($X1504="DOUBLON",StatutDoublon,IF($S1504="",StatutInitial,IF($R1504="",StatutStandardManquant,IF($V1504="","DONNEES INSUFFISANTES",IF($V1504&gt;=SeuilConforme,StatutConforme,IF($V1504&gt;=SeuilSurveiller,StatutSurveiller,StatutSousStandard))))))))</f>
        <v/>
      </c>
      <c r="X1504" s="33">
        <f>IF($G1504="","",IF(OR($D1504="",$E1504="",$F1504=""),"CONTEXTE INCOMPLET",IF(COUNTIFS($D604:$D1503,$D1504,$E604:$E1503,$E1504,$F604:$F1503,$F1504,$G604:$G1503,$G1504)&gt;0,"DOUBLON","VALIDE")))</f>
        <v/>
      </c>
    </row>
    <row r="1505" ht="15" customHeight="1">
      <c r="A1505" s="12">
        <f>IF(OR($B1505="",$G1505=""),"",TEXT($B1505,"YYYYMMDD")&amp;"-"&amp;SUBSTITUTE($E1505," ","")&amp;"-"&amp;$F1505&amp;"-"&amp;$G1505)</f>
        <v/>
      </c>
      <c r="B1505" s="15" t="n"/>
      <c r="C1505" s="16" t="n"/>
      <c r="D1505" s="10" t="n"/>
      <c r="E1505" s="9" t="n"/>
      <c r="F1505" s="9" t="n"/>
      <c r="G1505" s="13" t="n"/>
      <c r="H1505" s="21" t="n"/>
      <c r="I1505" s="21" t="n"/>
      <c r="J1505" s="17">
        <f>IF($G1505="","",IFERROR(INDEX(NomsEmployes,MATCH($G1505,MatriculesEmployes,0)),"MATRICULE INCONNU"))</f>
        <v/>
      </c>
      <c r="K1505" s="33">
        <f>IF(OR($D1505="",$F1505=""),"",IFERROR(IF(INDEX(RUNS!$L$6:$S$1005,MATCH($D1505,RUNS!$A$6:$A$1005,0),MATCH("ACTIVITÉ "&amp;$F1505,RUNS!$L$5:$S$5,0))="","",INDEX(RUNS!$L$6:$S$1005,MATCH($D1505,RUNS!$A$6:$A$1005,0),MATCH("ACTIVITÉ "&amp;$F1505,RUNS!$L$5:$S$5,0))),""))</f>
        <v/>
      </c>
      <c r="L1505" s="33">
        <f>IF($D1505="","",IFERROR(IF(INDEX(RUNS!$E$6:$E$1005,MATCH($D1505,RUNS!$A$6:$A$1005,0))="","",INDEX(RUNS!$E$6:$E$1005,MATCH($D1505,RUNS!$A$6:$A$1005,0))),""))</f>
        <v/>
      </c>
      <c r="M1505" s="33">
        <f>IF($D1505="","",IFERROR(IF(INDEX(RUNS!$F$6:$F$1005,MATCH($D1505,RUNS!$A$6:$A$1005,0))="","",INDEX(RUNS!$F$6:$F$1005,MATCH($D1505,RUNS!$A$6:$A$1005,0))),""))</f>
        <v/>
      </c>
      <c r="N1505" s="33">
        <f>IF($D1505="","",IFERROR(IF(INDEX(RUNS!$G$6:$G$1005,MATCH($D1505,RUNS!$A$6:$A$1005,0))="","",INDEX(RUNS!$G$6:$G$1005,MATCH($D1505,RUNS!$A$6:$A$1005,0))),""))</f>
        <v/>
      </c>
      <c r="O1505" s="33">
        <f>IF($D1505="","",IFERROR(IF(INDEX(RUNS!$H$6:$H$1005,MATCH($D1505,RUNS!$A$6:$A$1005,0))="","",INDEX(RUNS!$H$6:$H$1005,MATCH($D1505,RUNS!$A$6:$A$1005,0))),""))</f>
        <v/>
      </c>
      <c r="P1505" s="33">
        <f>IF($D1505="","",IFERROR(IF(INDEX(RUNS!$J$6:$J$1005,MATCH($D1505,RUNS!$A$6:$A$1005,0))="","",INDEX(RUNS!$J$6:$J$1005,MATCH($D1505,RUNS!$A$6:$A$1005,0))),""))</f>
        <v/>
      </c>
      <c r="Q1505" s="33">
        <f>IF($D1505="","",IFERROR(IF(INDEX(RUNS!$K$6:$K$1005,MATCH($D1505,RUNS!$A$6:$A$1005,0))="","",INDEX(RUNS!$K$6:$K$1005,MATCH($D1505,RUNS!$A$6:$A$1005,0))),""))</f>
        <v/>
      </c>
      <c r="R1505" s="34">
        <f>IF(OR($L1505="",$K1505=""),"",IFERROR(IF(INDEX(PARAMETRES!$H$43:$H$342,MATCH($L1505&amp;"|"&amp;$M1505&amp;"|"&amp;$N1505&amp;"|"&amp;$O1505&amp;"|"&amp;$P1505&amp;"|"&amp;$Q1505&amp;"|"&amp;$K1505,PARAMETRES!$J$43:$J$342,0))="","",INDEX(PARAMETRES!$H$43:$H$342,MATCH($L1505&amp;"|"&amp;$M1505&amp;"|"&amp;$N1505&amp;"|"&amp;$O1505&amp;"|"&amp;$P1505&amp;"|"&amp;$Q1505&amp;"|"&amp;$K1505,PARAMETRES!$J$43:$J$342,0))),""))</f>
        <v/>
      </c>
      <c r="S1505" s="35">
        <f>IF(OR($G1505="",$X1505&lt;&gt;"VALIDE"),"",IFERROR(LOOKUP(2,1/(($B605:$B1504=$B1505)*($G605:$G1504=$G1505)*($X605:$X1504="VALIDE")),$C605:$C1504),""))</f>
        <v/>
      </c>
      <c r="T1505" s="36">
        <f>IF(OR($C1505="",$S1505=""),"",ROUND(($C1505-$S1505+IF($C1505&lt;$S1505,1,0))*1440,0))</f>
        <v/>
      </c>
      <c r="U1505" s="22">
        <f>IF(OR($H1505="",$T1505="",$T1505&lt;=0),"",$H1505*60/$T1505)</f>
        <v/>
      </c>
      <c r="V1505" s="37">
        <f>IF(OR($U1505="",$R1505="",$R1505=0),"",$U1505/$R1505)</f>
        <v/>
      </c>
      <c r="W1505" s="20">
        <f>IF($G1505="","",IF($X1505="CONTEXTE INCOMPLET","CONTEXTE INCOMPLET",IF($X1505="DOUBLON",StatutDoublon,IF($S1505="",StatutInitial,IF($R1505="",StatutStandardManquant,IF($V1505="","DONNEES INSUFFISANTES",IF($V1505&gt;=SeuilConforme,StatutConforme,IF($V1505&gt;=SeuilSurveiller,StatutSurveiller,StatutSousStandard))))))))</f>
        <v/>
      </c>
      <c r="X1505" s="33">
        <f>IF($G1505="","",IF(OR($D1505="",$E1505="",$F1505=""),"CONTEXTE INCOMPLET",IF(COUNTIFS($D605:$D1504,$D1505,$E605:$E1504,$E1505,$F605:$F1504,$F1505,$G605:$G1504,$G1505)&gt;0,"DOUBLON","VALIDE")))</f>
        <v/>
      </c>
    </row>
    <row r="1506" ht="15" customHeight="1">
      <c r="A1506" s="12">
        <f>IF(OR($B1506="",$G1506=""),"",TEXT($B1506,"YYYYMMDD")&amp;"-"&amp;SUBSTITUTE($E1506," ","")&amp;"-"&amp;$F1506&amp;"-"&amp;$G1506)</f>
        <v/>
      </c>
      <c r="B1506" s="15" t="n"/>
      <c r="C1506" s="16" t="n"/>
      <c r="D1506" s="10" t="n"/>
      <c r="E1506" s="9" t="n"/>
      <c r="F1506" s="9" t="n"/>
      <c r="G1506" s="13" t="n"/>
      <c r="H1506" s="21" t="n"/>
      <c r="I1506" s="21" t="n"/>
      <c r="J1506" s="17">
        <f>IF($G1506="","",IFERROR(INDEX(NomsEmployes,MATCH($G1506,MatriculesEmployes,0)),"MATRICULE INCONNU"))</f>
        <v/>
      </c>
      <c r="K1506" s="33">
        <f>IF(OR($D1506="",$F1506=""),"",IFERROR(IF(INDEX(RUNS!$L$6:$S$1005,MATCH($D1506,RUNS!$A$6:$A$1005,0),MATCH("ACTIVITÉ "&amp;$F1506,RUNS!$L$5:$S$5,0))="","",INDEX(RUNS!$L$6:$S$1005,MATCH($D1506,RUNS!$A$6:$A$1005,0),MATCH("ACTIVITÉ "&amp;$F1506,RUNS!$L$5:$S$5,0))),""))</f>
        <v/>
      </c>
      <c r="L1506" s="33">
        <f>IF($D1506="","",IFERROR(IF(INDEX(RUNS!$E$6:$E$1005,MATCH($D1506,RUNS!$A$6:$A$1005,0))="","",INDEX(RUNS!$E$6:$E$1005,MATCH($D1506,RUNS!$A$6:$A$1005,0))),""))</f>
        <v/>
      </c>
      <c r="M1506" s="33">
        <f>IF($D1506="","",IFERROR(IF(INDEX(RUNS!$F$6:$F$1005,MATCH($D1506,RUNS!$A$6:$A$1005,0))="","",INDEX(RUNS!$F$6:$F$1005,MATCH($D1506,RUNS!$A$6:$A$1005,0))),""))</f>
        <v/>
      </c>
      <c r="N1506" s="33">
        <f>IF($D1506="","",IFERROR(IF(INDEX(RUNS!$G$6:$G$1005,MATCH($D1506,RUNS!$A$6:$A$1005,0))="","",INDEX(RUNS!$G$6:$G$1005,MATCH($D1506,RUNS!$A$6:$A$1005,0))),""))</f>
        <v/>
      </c>
      <c r="O1506" s="33">
        <f>IF($D1506="","",IFERROR(IF(INDEX(RUNS!$H$6:$H$1005,MATCH($D1506,RUNS!$A$6:$A$1005,0))="","",INDEX(RUNS!$H$6:$H$1005,MATCH($D1506,RUNS!$A$6:$A$1005,0))),""))</f>
        <v/>
      </c>
      <c r="P1506" s="33">
        <f>IF($D1506="","",IFERROR(IF(INDEX(RUNS!$J$6:$J$1005,MATCH($D1506,RUNS!$A$6:$A$1005,0))="","",INDEX(RUNS!$J$6:$J$1005,MATCH($D1506,RUNS!$A$6:$A$1005,0))),""))</f>
        <v/>
      </c>
      <c r="Q1506" s="33">
        <f>IF($D1506="","",IFERROR(IF(INDEX(RUNS!$K$6:$K$1005,MATCH($D1506,RUNS!$A$6:$A$1005,0))="","",INDEX(RUNS!$K$6:$K$1005,MATCH($D1506,RUNS!$A$6:$A$1005,0))),""))</f>
        <v/>
      </c>
      <c r="R1506" s="34">
        <f>IF(OR($L1506="",$K1506=""),"",IFERROR(IF(INDEX(PARAMETRES!$H$43:$H$342,MATCH($L1506&amp;"|"&amp;$M1506&amp;"|"&amp;$N1506&amp;"|"&amp;$O1506&amp;"|"&amp;$P1506&amp;"|"&amp;$Q1506&amp;"|"&amp;$K1506,PARAMETRES!$J$43:$J$342,0))="","",INDEX(PARAMETRES!$H$43:$H$342,MATCH($L1506&amp;"|"&amp;$M1506&amp;"|"&amp;$N1506&amp;"|"&amp;$O1506&amp;"|"&amp;$P1506&amp;"|"&amp;$Q1506&amp;"|"&amp;$K1506,PARAMETRES!$J$43:$J$342,0))),""))</f>
        <v/>
      </c>
      <c r="S1506" s="35">
        <f>IF(OR($G1506="",$X1506&lt;&gt;"VALIDE"),"",IFERROR(LOOKUP(2,1/(($B606:$B1505=$B1506)*($G606:$G1505=$G1506)*($X606:$X1505="VALIDE")),$C606:$C1505),""))</f>
        <v/>
      </c>
      <c r="T1506" s="36">
        <f>IF(OR($C1506="",$S1506=""),"",ROUND(($C1506-$S1506+IF($C1506&lt;$S1506,1,0))*1440,0))</f>
        <v/>
      </c>
      <c r="U1506" s="22">
        <f>IF(OR($H1506="",$T1506="",$T1506&lt;=0),"",$H1506*60/$T1506)</f>
        <v/>
      </c>
      <c r="V1506" s="37">
        <f>IF(OR($U1506="",$R1506="",$R1506=0),"",$U1506/$R1506)</f>
        <v/>
      </c>
      <c r="W1506" s="20">
        <f>IF($G1506="","",IF($X1506="CONTEXTE INCOMPLET","CONTEXTE INCOMPLET",IF($X1506="DOUBLON",StatutDoublon,IF($S1506="",StatutInitial,IF($R1506="",StatutStandardManquant,IF($V1506="","DONNEES INSUFFISANTES",IF($V1506&gt;=SeuilConforme,StatutConforme,IF($V1506&gt;=SeuilSurveiller,StatutSurveiller,StatutSousStandard))))))))</f>
        <v/>
      </c>
      <c r="X1506" s="33">
        <f>IF($G1506="","",IF(OR($D1506="",$E1506="",$F1506=""),"CONTEXTE INCOMPLET",IF(COUNTIFS($D606:$D1505,$D1506,$E606:$E1505,$E1506,$F606:$F1505,$F1506,$G606:$G1505,$G1506)&gt;0,"DOUBLON","VALIDE")))</f>
        <v/>
      </c>
    </row>
    <row r="1507" ht="15" customHeight="1">
      <c r="A1507" s="12">
        <f>IF(OR($B1507="",$G1507=""),"",TEXT($B1507,"YYYYMMDD")&amp;"-"&amp;SUBSTITUTE($E1507," ","")&amp;"-"&amp;$F1507&amp;"-"&amp;$G1507)</f>
        <v/>
      </c>
      <c r="B1507" s="15" t="n"/>
      <c r="C1507" s="16" t="n"/>
      <c r="D1507" s="10" t="n"/>
      <c r="E1507" s="9" t="n"/>
      <c r="F1507" s="9" t="n"/>
      <c r="G1507" s="13" t="n"/>
      <c r="H1507" s="21" t="n"/>
      <c r="I1507" s="21" t="n"/>
      <c r="J1507" s="17">
        <f>IF($G1507="","",IFERROR(INDEX(NomsEmployes,MATCH($G1507,MatriculesEmployes,0)),"MATRICULE INCONNU"))</f>
        <v/>
      </c>
      <c r="K1507" s="33">
        <f>IF(OR($D1507="",$F1507=""),"",IFERROR(IF(INDEX(RUNS!$L$6:$S$1005,MATCH($D1507,RUNS!$A$6:$A$1005,0),MATCH("ACTIVITÉ "&amp;$F1507,RUNS!$L$5:$S$5,0))="","",INDEX(RUNS!$L$6:$S$1005,MATCH($D1507,RUNS!$A$6:$A$1005,0),MATCH("ACTIVITÉ "&amp;$F1507,RUNS!$L$5:$S$5,0))),""))</f>
        <v/>
      </c>
      <c r="L1507" s="33">
        <f>IF($D1507="","",IFERROR(IF(INDEX(RUNS!$E$6:$E$1005,MATCH($D1507,RUNS!$A$6:$A$1005,0))="","",INDEX(RUNS!$E$6:$E$1005,MATCH($D1507,RUNS!$A$6:$A$1005,0))),""))</f>
        <v/>
      </c>
      <c r="M1507" s="33">
        <f>IF($D1507="","",IFERROR(IF(INDEX(RUNS!$F$6:$F$1005,MATCH($D1507,RUNS!$A$6:$A$1005,0))="","",INDEX(RUNS!$F$6:$F$1005,MATCH($D1507,RUNS!$A$6:$A$1005,0))),""))</f>
        <v/>
      </c>
      <c r="N1507" s="33">
        <f>IF($D1507="","",IFERROR(IF(INDEX(RUNS!$G$6:$G$1005,MATCH($D1507,RUNS!$A$6:$A$1005,0))="","",INDEX(RUNS!$G$6:$G$1005,MATCH($D1507,RUNS!$A$6:$A$1005,0))),""))</f>
        <v/>
      </c>
      <c r="O1507" s="33">
        <f>IF($D1507="","",IFERROR(IF(INDEX(RUNS!$H$6:$H$1005,MATCH($D1507,RUNS!$A$6:$A$1005,0))="","",INDEX(RUNS!$H$6:$H$1005,MATCH($D1507,RUNS!$A$6:$A$1005,0))),""))</f>
        <v/>
      </c>
      <c r="P1507" s="33">
        <f>IF($D1507="","",IFERROR(IF(INDEX(RUNS!$J$6:$J$1005,MATCH($D1507,RUNS!$A$6:$A$1005,0))="","",INDEX(RUNS!$J$6:$J$1005,MATCH($D1507,RUNS!$A$6:$A$1005,0))),""))</f>
        <v/>
      </c>
      <c r="Q1507" s="33">
        <f>IF($D1507="","",IFERROR(IF(INDEX(RUNS!$K$6:$K$1005,MATCH($D1507,RUNS!$A$6:$A$1005,0))="","",INDEX(RUNS!$K$6:$K$1005,MATCH($D1507,RUNS!$A$6:$A$1005,0))),""))</f>
        <v/>
      </c>
      <c r="R1507" s="34">
        <f>IF(OR($L1507="",$K1507=""),"",IFERROR(IF(INDEX(PARAMETRES!$H$43:$H$342,MATCH($L1507&amp;"|"&amp;$M1507&amp;"|"&amp;$N1507&amp;"|"&amp;$O1507&amp;"|"&amp;$P1507&amp;"|"&amp;$Q1507&amp;"|"&amp;$K1507,PARAMETRES!$J$43:$J$342,0))="","",INDEX(PARAMETRES!$H$43:$H$342,MATCH($L1507&amp;"|"&amp;$M1507&amp;"|"&amp;$N1507&amp;"|"&amp;$O1507&amp;"|"&amp;$P1507&amp;"|"&amp;$Q1507&amp;"|"&amp;$K1507,PARAMETRES!$J$43:$J$342,0))),""))</f>
        <v/>
      </c>
      <c r="S1507" s="35">
        <f>IF(OR($G1507="",$X1507&lt;&gt;"VALIDE"),"",IFERROR(LOOKUP(2,1/(($B607:$B1506=$B1507)*($G607:$G1506=$G1507)*($X607:$X1506="VALIDE")),$C607:$C1506),""))</f>
        <v/>
      </c>
      <c r="T1507" s="36">
        <f>IF(OR($C1507="",$S1507=""),"",ROUND(($C1507-$S1507+IF($C1507&lt;$S1507,1,0))*1440,0))</f>
        <v/>
      </c>
      <c r="U1507" s="22">
        <f>IF(OR($H1507="",$T1507="",$T1507&lt;=0),"",$H1507*60/$T1507)</f>
        <v/>
      </c>
      <c r="V1507" s="37">
        <f>IF(OR($U1507="",$R1507="",$R1507=0),"",$U1507/$R1507)</f>
        <v/>
      </c>
      <c r="W1507" s="20">
        <f>IF($G1507="","",IF($X1507="CONTEXTE INCOMPLET","CONTEXTE INCOMPLET",IF($X1507="DOUBLON",StatutDoublon,IF($S1507="",StatutInitial,IF($R1507="",StatutStandardManquant,IF($V1507="","DONNEES INSUFFISANTES",IF($V1507&gt;=SeuilConforme,StatutConforme,IF($V1507&gt;=SeuilSurveiller,StatutSurveiller,StatutSousStandard))))))))</f>
        <v/>
      </c>
      <c r="X1507" s="33">
        <f>IF($G1507="","",IF(OR($D1507="",$E1507="",$F1507=""),"CONTEXTE INCOMPLET",IF(COUNTIFS($D607:$D1506,$D1507,$E607:$E1506,$E1507,$F607:$F1506,$F1507,$G607:$G1506,$G1507)&gt;0,"DOUBLON","VALIDE")))</f>
        <v/>
      </c>
    </row>
    <row r="1508" ht="15" customHeight="1">
      <c r="A1508" s="12">
        <f>IF(OR($B1508="",$G1508=""),"",TEXT($B1508,"YYYYMMDD")&amp;"-"&amp;SUBSTITUTE($E1508," ","")&amp;"-"&amp;$F1508&amp;"-"&amp;$G1508)</f>
        <v/>
      </c>
      <c r="B1508" s="15" t="n"/>
      <c r="C1508" s="16" t="n"/>
      <c r="D1508" s="10" t="n"/>
      <c r="E1508" s="9" t="n"/>
      <c r="F1508" s="9" t="n"/>
      <c r="G1508" s="13" t="n"/>
      <c r="H1508" s="21" t="n"/>
      <c r="I1508" s="21" t="n"/>
      <c r="J1508" s="17">
        <f>IF($G1508="","",IFERROR(INDEX(NomsEmployes,MATCH($G1508,MatriculesEmployes,0)),"MATRICULE INCONNU"))</f>
        <v/>
      </c>
      <c r="K1508" s="33">
        <f>IF(OR($D1508="",$F1508=""),"",IFERROR(IF(INDEX(RUNS!$L$6:$S$1005,MATCH($D1508,RUNS!$A$6:$A$1005,0),MATCH("ACTIVITÉ "&amp;$F1508,RUNS!$L$5:$S$5,0))="","",INDEX(RUNS!$L$6:$S$1005,MATCH($D1508,RUNS!$A$6:$A$1005,0),MATCH("ACTIVITÉ "&amp;$F1508,RUNS!$L$5:$S$5,0))),""))</f>
        <v/>
      </c>
      <c r="L1508" s="33">
        <f>IF($D1508="","",IFERROR(IF(INDEX(RUNS!$E$6:$E$1005,MATCH($D1508,RUNS!$A$6:$A$1005,0))="","",INDEX(RUNS!$E$6:$E$1005,MATCH($D1508,RUNS!$A$6:$A$1005,0))),""))</f>
        <v/>
      </c>
      <c r="M1508" s="33">
        <f>IF($D1508="","",IFERROR(IF(INDEX(RUNS!$F$6:$F$1005,MATCH($D1508,RUNS!$A$6:$A$1005,0))="","",INDEX(RUNS!$F$6:$F$1005,MATCH($D1508,RUNS!$A$6:$A$1005,0))),""))</f>
        <v/>
      </c>
      <c r="N1508" s="33">
        <f>IF($D1508="","",IFERROR(IF(INDEX(RUNS!$G$6:$G$1005,MATCH($D1508,RUNS!$A$6:$A$1005,0))="","",INDEX(RUNS!$G$6:$G$1005,MATCH($D1508,RUNS!$A$6:$A$1005,0))),""))</f>
        <v/>
      </c>
      <c r="O1508" s="33">
        <f>IF($D1508="","",IFERROR(IF(INDEX(RUNS!$H$6:$H$1005,MATCH($D1508,RUNS!$A$6:$A$1005,0))="","",INDEX(RUNS!$H$6:$H$1005,MATCH($D1508,RUNS!$A$6:$A$1005,0))),""))</f>
        <v/>
      </c>
      <c r="P1508" s="33">
        <f>IF($D1508="","",IFERROR(IF(INDEX(RUNS!$J$6:$J$1005,MATCH($D1508,RUNS!$A$6:$A$1005,0))="","",INDEX(RUNS!$J$6:$J$1005,MATCH($D1508,RUNS!$A$6:$A$1005,0))),""))</f>
        <v/>
      </c>
      <c r="Q1508" s="33">
        <f>IF($D1508="","",IFERROR(IF(INDEX(RUNS!$K$6:$K$1005,MATCH($D1508,RUNS!$A$6:$A$1005,0))="","",INDEX(RUNS!$K$6:$K$1005,MATCH($D1508,RUNS!$A$6:$A$1005,0))),""))</f>
        <v/>
      </c>
      <c r="R1508" s="34">
        <f>IF(OR($L1508="",$K1508=""),"",IFERROR(IF(INDEX(PARAMETRES!$H$43:$H$342,MATCH($L1508&amp;"|"&amp;$M1508&amp;"|"&amp;$N1508&amp;"|"&amp;$O1508&amp;"|"&amp;$P1508&amp;"|"&amp;$Q1508&amp;"|"&amp;$K1508,PARAMETRES!$J$43:$J$342,0))="","",INDEX(PARAMETRES!$H$43:$H$342,MATCH($L1508&amp;"|"&amp;$M1508&amp;"|"&amp;$N1508&amp;"|"&amp;$O1508&amp;"|"&amp;$P1508&amp;"|"&amp;$Q1508&amp;"|"&amp;$K1508,PARAMETRES!$J$43:$J$342,0))),""))</f>
        <v/>
      </c>
      <c r="S1508" s="35">
        <f>IF(OR($G1508="",$X1508&lt;&gt;"VALIDE"),"",IFERROR(LOOKUP(2,1/(($B608:$B1507=$B1508)*($G608:$G1507=$G1508)*($X608:$X1507="VALIDE")),$C608:$C1507),""))</f>
        <v/>
      </c>
      <c r="T1508" s="36">
        <f>IF(OR($C1508="",$S1508=""),"",ROUND(($C1508-$S1508+IF($C1508&lt;$S1508,1,0))*1440,0))</f>
        <v/>
      </c>
      <c r="U1508" s="22">
        <f>IF(OR($H1508="",$T1508="",$T1508&lt;=0),"",$H1508*60/$T1508)</f>
        <v/>
      </c>
      <c r="V1508" s="37">
        <f>IF(OR($U1508="",$R1508="",$R1508=0),"",$U1508/$R1508)</f>
        <v/>
      </c>
      <c r="W1508" s="20">
        <f>IF($G1508="","",IF($X1508="CONTEXTE INCOMPLET","CONTEXTE INCOMPLET",IF($X1508="DOUBLON",StatutDoublon,IF($S1508="",StatutInitial,IF($R1508="",StatutStandardManquant,IF($V1508="","DONNEES INSUFFISANTES",IF($V1508&gt;=SeuilConforme,StatutConforme,IF($V1508&gt;=SeuilSurveiller,StatutSurveiller,StatutSousStandard))))))))</f>
        <v/>
      </c>
      <c r="X1508" s="33">
        <f>IF($G1508="","",IF(OR($D1508="",$E1508="",$F1508=""),"CONTEXTE INCOMPLET",IF(COUNTIFS($D608:$D1507,$D1508,$E608:$E1507,$E1508,$F608:$F1507,$F1508,$G608:$G1507,$G1508)&gt;0,"DOUBLON","VALIDE")))</f>
        <v/>
      </c>
    </row>
    <row r="1509" ht="15" customHeight="1">
      <c r="A1509" s="12">
        <f>IF(OR($B1509="",$G1509=""),"",TEXT($B1509,"YYYYMMDD")&amp;"-"&amp;SUBSTITUTE($E1509," ","")&amp;"-"&amp;$F1509&amp;"-"&amp;$G1509)</f>
        <v/>
      </c>
      <c r="B1509" s="15" t="n"/>
      <c r="C1509" s="16" t="n"/>
      <c r="D1509" s="10" t="n"/>
      <c r="E1509" s="9" t="n"/>
      <c r="F1509" s="9" t="n"/>
      <c r="G1509" s="13" t="n"/>
      <c r="H1509" s="21" t="n"/>
      <c r="I1509" s="21" t="n"/>
      <c r="J1509" s="17">
        <f>IF($G1509="","",IFERROR(INDEX(NomsEmployes,MATCH($G1509,MatriculesEmployes,0)),"MATRICULE INCONNU"))</f>
        <v/>
      </c>
      <c r="K1509" s="33">
        <f>IF(OR($D1509="",$F1509=""),"",IFERROR(IF(INDEX(RUNS!$L$6:$S$1005,MATCH($D1509,RUNS!$A$6:$A$1005,0),MATCH("ACTIVITÉ "&amp;$F1509,RUNS!$L$5:$S$5,0))="","",INDEX(RUNS!$L$6:$S$1005,MATCH($D1509,RUNS!$A$6:$A$1005,0),MATCH("ACTIVITÉ "&amp;$F1509,RUNS!$L$5:$S$5,0))),""))</f>
        <v/>
      </c>
      <c r="L1509" s="33">
        <f>IF($D1509="","",IFERROR(IF(INDEX(RUNS!$E$6:$E$1005,MATCH($D1509,RUNS!$A$6:$A$1005,0))="","",INDEX(RUNS!$E$6:$E$1005,MATCH($D1509,RUNS!$A$6:$A$1005,0))),""))</f>
        <v/>
      </c>
      <c r="M1509" s="33">
        <f>IF($D1509="","",IFERROR(IF(INDEX(RUNS!$F$6:$F$1005,MATCH($D1509,RUNS!$A$6:$A$1005,0))="","",INDEX(RUNS!$F$6:$F$1005,MATCH($D1509,RUNS!$A$6:$A$1005,0))),""))</f>
        <v/>
      </c>
      <c r="N1509" s="33">
        <f>IF($D1509="","",IFERROR(IF(INDEX(RUNS!$G$6:$G$1005,MATCH($D1509,RUNS!$A$6:$A$1005,0))="","",INDEX(RUNS!$G$6:$G$1005,MATCH($D1509,RUNS!$A$6:$A$1005,0))),""))</f>
        <v/>
      </c>
      <c r="O1509" s="33">
        <f>IF($D1509="","",IFERROR(IF(INDEX(RUNS!$H$6:$H$1005,MATCH($D1509,RUNS!$A$6:$A$1005,0))="","",INDEX(RUNS!$H$6:$H$1005,MATCH($D1509,RUNS!$A$6:$A$1005,0))),""))</f>
        <v/>
      </c>
      <c r="P1509" s="33">
        <f>IF($D1509="","",IFERROR(IF(INDEX(RUNS!$J$6:$J$1005,MATCH($D1509,RUNS!$A$6:$A$1005,0))="","",INDEX(RUNS!$J$6:$J$1005,MATCH($D1509,RUNS!$A$6:$A$1005,0))),""))</f>
        <v/>
      </c>
      <c r="Q1509" s="33">
        <f>IF($D1509="","",IFERROR(IF(INDEX(RUNS!$K$6:$K$1005,MATCH($D1509,RUNS!$A$6:$A$1005,0))="","",INDEX(RUNS!$K$6:$K$1005,MATCH($D1509,RUNS!$A$6:$A$1005,0))),""))</f>
        <v/>
      </c>
      <c r="R1509" s="34">
        <f>IF(OR($L1509="",$K1509=""),"",IFERROR(IF(INDEX(PARAMETRES!$H$43:$H$342,MATCH($L1509&amp;"|"&amp;$M1509&amp;"|"&amp;$N1509&amp;"|"&amp;$O1509&amp;"|"&amp;$P1509&amp;"|"&amp;$Q1509&amp;"|"&amp;$K1509,PARAMETRES!$J$43:$J$342,0))="","",INDEX(PARAMETRES!$H$43:$H$342,MATCH($L1509&amp;"|"&amp;$M1509&amp;"|"&amp;$N1509&amp;"|"&amp;$O1509&amp;"|"&amp;$P1509&amp;"|"&amp;$Q1509&amp;"|"&amp;$K1509,PARAMETRES!$J$43:$J$342,0))),""))</f>
        <v/>
      </c>
      <c r="S1509" s="35">
        <f>IF(OR($G1509="",$X1509&lt;&gt;"VALIDE"),"",IFERROR(LOOKUP(2,1/(($B609:$B1508=$B1509)*($G609:$G1508=$G1509)*($X609:$X1508="VALIDE")),$C609:$C1508),""))</f>
        <v/>
      </c>
      <c r="T1509" s="36">
        <f>IF(OR($C1509="",$S1509=""),"",ROUND(($C1509-$S1509+IF($C1509&lt;$S1509,1,0))*1440,0))</f>
        <v/>
      </c>
      <c r="U1509" s="22">
        <f>IF(OR($H1509="",$T1509="",$T1509&lt;=0),"",$H1509*60/$T1509)</f>
        <v/>
      </c>
      <c r="V1509" s="37">
        <f>IF(OR($U1509="",$R1509="",$R1509=0),"",$U1509/$R1509)</f>
        <v/>
      </c>
      <c r="W1509" s="20">
        <f>IF($G1509="","",IF($X1509="CONTEXTE INCOMPLET","CONTEXTE INCOMPLET",IF($X1509="DOUBLON",StatutDoublon,IF($S1509="",StatutInitial,IF($R1509="",StatutStandardManquant,IF($V1509="","DONNEES INSUFFISANTES",IF($V1509&gt;=SeuilConforme,StatutConforme,IF($V1509&gt;=SeuilSurveiller,StatutSurveiller,StatutSousStandard))))))))</f>
        <v/>
      </c>
      <c r="X1509" s="33">
        <f>IF($G1509="","",IF(OR($D1509="",$E1509="",$F1509=""),"CONTEXTE INCOMPLET",IF(COUNTIFS($D609:$D1508,$D1509,$E609:$E1508,$E1509,$F609:$F1508,$F1509,$G609:$G1508,$G1509)&gt;0,"DOUBLON","VALIDE")))</f>
        <v/>
      </c>
    </row>
    <row r="1510" ht="15" customHeight="1">
      <c r="A1510" s="12">
        <f>IF(OR($B1510="",$G1510=""),"",TEXT($B1510,"YYYYMMDD")&amp;"-"&amp;SUBSTITUTE($E1510," ","")&amp;"-"&amp;$F1510&amp;"-"&amp;$G1510)</f>
        <v/>
      </c>
      <c r="B1510" s="15" t="n"/>
      <c r="C1510" s="16" t="n"/>
      <c r="D1510" s="10" t="n"/>
      <c r="E1510" s="9" t="n"/>
      <c r="F1510" s="9" t="n"/>
      <c r="G1510" s="13" t="n"/>
      <c r="H1510" s="21" t="n"/>
      <c r="I1510" s="21" t="n"/>
      <c r="J1510" s="17">
        <f>IF($G1510="","",IFERROR(INDEX(NomsEmployes,MATCH($G1510,MatriculesEmployes,0)),"MATRICULE INCONNU"))</f>
        <v/>
      </c>
      <c r="K1510" s="33">
        <f>IF(OR($D1510="",$F1510=""),"",IFERROR(IF(INDEX(RUNS!$L$6:$S$1005,MATCH($D1510,RUNS!$A$6:$A$1005,0),MATCH("ACTIVITÉ "&amp;$F1510,RUNS!$L$5:$S$5,0))="","",INDEX(RUNS!$L$6:$S$1005,MATCH($D1510,RUNS!$A$6:$A$1005,0),MATCH("ACTIVITÉ "&amp;$F1510,RUNS!$L$5:$S$5,0))),""))</f>
        <v/>
      </c>
      <c r="L1510" s="33">
        <f>IF($D1510="","",IFERROR(IF(INDEX(RUNS!$E$6:$E$1005,MATCH($D1510,RUNS!$A$6:$A$1005,0))="","",INDEX(RUNS!$E$6:$E$1005,MATCH($D1510,RUNS!$A$6:$A$1005,0))),""))</f>
        <v/>
      </c>
      <c r="M1510" s="33">
        <f>IF($D1510="","",IFERROR(IF(INDEX(RUNS!$F$6:$F$1005,MATCH($D1510,RUNS!$A$6:$A$1005,0))="","",INDEX(RUNS!$F$6:$F$1005,MATCH($D1510,RUNS!$A$6:$A$1005,0))),""))</f>
        <v/>
      </c>
      <c r="N1510" s="33">
        <f>IF($D1510="","",IFERROR(IF(INDEX(RUNS!$G$6:$G$1005,MATCH($D1510,RUNS!$A$6:$A$1005,0))="","",INDEX(RUNS!$G$6:$G$1005,MATCH($D1510,RUNS!$A$6:$A$1005,0))),""))</f>
        <v/>
      </c>
      <c r="O1510" s="33">
        <f>IF($D1510="","",IFERROR(IF(INDEX(RUNS!$H$6:$H$1005,MATCH($D1510,RUNS!$A$6:$A$1005,0))="","",INDEX(RUNS!$H$6:$H$1005,MATCH($D1510,RUNS!$A$6:$A$1005,0))),""))</f>
        <v/>
      </c>
      <c r="P1510" s="33">
        <f>IF($D1510="","",IFERROR(IF(INDEX(RUNS!$J$6:$J$1005,MATCH($D1510,RUNS!$A$6:$A$1005,0))="","",INDEX(RUNS!$J$6:$J$1005,MATCH($D1510,RUNS!$A$6:$A$1005,0))),""))</f>
        <v/>
      </c>
      <c r="Q1510" s="33">
        <f>IF($D1510="","",IFERROR(IF(INDEX(RUNS!$K$6:$K$1005,MATCH($D1510,RUNS!$A$6:$A$1005,0))="","",INDEX(RUNS!$K$6:$K$1005,MATCH($D1510,RUNS!$A$6:$A$1005,0))),""))</f>
        <v/>
      </c>
      <c r="R1510" s="34">
        <f>IF(OR($L1510="",$K1510=""),"",IFERROR(IF(INDEX(PARAMETRES!$H$43:$H$342,MATCH($L1510&amp;"|"&amp;$M1510&amp;"|"&amp;$N1510&amp;"|"&amp;$O1510&amp;"|"&amp;$P1510&amp;"|"&amp;$Q1510&amp;"|"&amp;$K1510,PARAMETRES!$J$43:$J$342,0))="","",INDEX(PARAMETRES!$H$43:$H$342,MATCH($L1510&amp;"|"&amp;$M1510&amp;"|"&amp;$N1510&amp;"|"&amp;$O1510&amp;"|"&amp;$P1510&amp;"|"&amp;$Q1510&amp;"|"&amp;$K1510,PARAMETRES!$J$43:$J$342,0))),""))</f>
        <v/>
      </c>
      <c r="S1510" s="35">
        <f>IF(OR($G1510="",$X1510&lt;&gt;"VALIDE"),"",IFERROR(LOOKUP(2,1/(($B610:$B1509=$B1510)*($G610:$G1509=$G1510)*($X610:$X1509="VALIDE")),$C610:$C1509),""))</f>
        <v/>
      </c>
      <c r="T1510" s="36">
        <f>IF(OR($C1510="",$S1510=""),"",ROUND(($C1510-$S1510+IF($C1510&lt;$S1510,1,0))*1440,0))</f>
        <v/>
      </c>
      <c r="U1510" s="22">
        <f>IF(OR($H1510="",$T1510="",$T1510&lt;=0),"",$H1510*60/$T1510)</f>
        <v/>
      </c>
      <c r="V1510" s="37">
        <f>IF(OR($U1510="",$R1510="",$R1510=0),"",$U1510/$R1510)</f>
        <v/>
      </c>
      <c r="W1510" s="20">
        <f>IF($G1510="","",IF($X1510="CONTEXTE INCOMPLET","CONTEXTE INCOMPLET",IF($X1510="DOUBLON",StatutDoublon,IF($S1510="",StatutInitial,IF($R1510="",StatutStandardManquant,IF($V1510="","DONNEES INSUFFISANTES",IF($V1510&gt;=SeuilConforme,StatutConforme,IF($V1510&gt;=SeuilSurveiller,StatutSurveiller,StatutSousStandard))))))))</f>
        <v/>
      </c>
      <c r="X1510" s="33">
        <f>IF($G1510="","",IF(OR($D1510="",$E1510="",$F1510=""),"CONTEXTE INCOMPLET",IF(COUNTIFS($D610:$D1509,$D1510,$E610:$E1509,$E1510,$F610:$F1509,$F1510,$G610:$G1509,$G1510)&gt;0,"DOUBLON","VALIDE")))</f>
        <v/>
      </c>
    </row>
    <row r="1511" ht="15" customHeight="1">
      <c r="A1511" s="12">
        <f>IF(OR($B1511="",$G1511=""),"",TEXT($B1511,"YYYYMMDD")&amp;"-"&amp;SUBSTITUTE($E1511," ","")&amp;"-"&amp;$F1511&amp;"-"&amp;$G1511)</f>
        <v/>
      </c>
      <c r="B1511" s="15" t="n"/>
      <c r="C1511" s="16" t="n"/>
      <c r="D1511" s="10" t="n"/>
      <c r="E1511" s="9" t="n"/>
      <c r="F1511" s="9" t="n"/>
      <c r="G1511" s="13" t="n"/>
      <c r="H1511" s="21" t="n"/>
      <c r="I1511" s="21" t="n"/>
      <c r="J1511" s="17">
        <f>IF($G1511="","",IFERROR(INDEX(NomsEmployes,MATCH($G1511,MatriculesEmployes,0)),"MATRICULE INCONNU"))</f>
        <v/>
      </c>
      <c r="K1511" s="33">
        <f>IF(OR($D1511="",$F1511=""),"",IFERROR(IF(INDEX(RUNS!$L$6:$S$1005,MATCH($D1511,RUNS!$A$6:$A$1005,0),MATCH("ACTIVITÉ "&amp;$F1511,RUNS!$L$5:$S$5,0))="","",INDEX(RUNS!$L$6:$S$1005,MATCH($D1511,RUNS!$A$6:$A$1005,0),MATCH("ACTIVITÉ "&amp;$F1511,RUNS!$L$5:$S$5,0))),""))</f>
        <v/>
      </c>
      <c r="L1511" s="33">
        <f>IF($D1511="","",IFERROR(IF(INDEX(RUNS!$E$6:$E$1005,MATCH($D1511,RUNS!$A$6:$A$1005,0))="","",INDEX(RUNS!$E$6:$E$1005,MATCH($D1511,RUNS!$A$6:$A$1005,0))),""))</f>
        <v/>
      </c>
      <c r="M1511" s="33">
        <f>IF($D1511="","",IFERROR(IF(INDEX(RUNS!$F$6:$F$1005,MATCH($D1511,RUNS!$A$6:$A$1005,0))="","",INDEX(RUNS!$F$6:$F$1005,MATCH($D1511,RUNS!$A$6:$A$1005,0))),""))</f>
        <v/>
      </c>
      <c r="N1511" s="33">
        <f>IF($D1511="","",IFERROR(IF(INDEX(RUNS!$G$6:$G$1005,MATCH($D1511,RUNS!$A$6:$A$1005,0))="","",INDEX(RUNS!$G$6:$G$1005,MATCH($D1511,RUNS!$A$6:$A$1005,0))),""))</f>
        <v/>
      </c>
      <c r="O1511" s="33">
        <f>IF($D1511="","",IFERROR(IF(INDEX(RUNS!$H$6:$H$1005,MATCH($D1511,RUNS!$A$6:$A$1005,0))="","",INDEX(RUNS!$H$6:$H$1005,MATCH($D1511,RUNS!$A$6:$A$1005,0))),""))</f>
        <v/>
      </c>
      <c r="P1511" s="33">
        <f>IF($D1511="","",IFERROR(IF(INDEX(RUNS!$J$6:$J$1005,MATCH($D1511,RUNS!$A$6:$A$1005,0))="","",INDEX(RUNS!$J$6:$J$1005,MATCH($D1511,RUNS!$A$6:$A$1005,0))),""))</f>
        <v/>
      </c>
      <c r="Q1511" s="33">
        <f>IF($D1511="","",IFERROR(IF(INDEX(RUNS!$K$6:$K$1005,MATCH($D1511,RUNS!$A$6:$A$1005,0))="","",INDEX(RUNS!$K$6:$K$1005,MATCH($D1511,RUNS!$A$6:$A$1005,0))),""))</f>
        <v/>
      </c>
      <c r="R1511" s="34">
        <f>IF(OR($L1511="",$K1511=""),"",IFERROR(IF(INDEX(PARAMETRES!$H$43:$H$342,MATCH($L1511&amp;"|"&amp;$M1511&amp;"|"&amp;$N1511&amp;"|"&amp;$O1511&amp;"|"&amp;$P1511&amp;"|"&amp;$Q1511&amp;"|"&amp;$K1511,PARAMETRES!$J$43:$J$342,0))="","",INDEX(PARAMETRES!$H$43:$H$342,MATCH($L1511&amp;"|"&amp;$M1511&amp;"|"&amp;$N1511&amp;"|"&amp;$O1511&amp;"|"&amp;$P1511&amp;"|"&amp;$Q1511&amp;"|"&amp;$K1511,PARAMETRES!$J$43:$J$342,0))),""))</f>
        <v/>
      </c>
      <c r="S1511" s="35">
        <f>IF(OR($G1511="",$X1511&lt;&gt;"VALIDE"),"",IFERROR(LOOKUP(2,1/(($B611:$B1510=$B1511)*($G611:$G1510=$G1511)*($X611:$X1510="VALIDE")),$C611:$C1510),""))</f>
        <v/>
      </c>
      <c r="T1511" s="36">
        <f>IF(OR($C1511="",$S1511=""),"",ROUND(($C1511-$S1511+IF($C1511&lt;$S1511,1,0))*1440,0))</f>
        <v/>
      </c>
      <c r="U1511" s="22">
        <f>IF(OR($H1511="",$T1511="",$T1511&lt;=0),"",$H1511*60/$T1511)</f>
        <v/>
      </c>
      <c r="V1511" s="37">
        <f>IF(OR($U1511="",$R1511="",$R1511=0),"",$U1511/$R1511)</f>
        <v/>
      </c>
      <c r="W1511" s="20">
        <f>IF($G1511="","",IF($X1511="CONTEXTE INCOMPLET","CONTEXTE INCOMPLET",IF($X1511="DOUBLON",StatutDoublon,IF($S1511="",StatutInitial,IF($R1511="",StatutStandardManquant,IF($V1511="","DONNEES INSUFFISANTES",IF($V1511&gt;=SeuilConforme,StatutConforme,IF($V1511&gt;=SeuilSurveiller,StatutSurveiller,StatutSousStandard))))))))</f>
        <v/>
      </c>
      <c r="X1511" s="33">
        <f>IF($G1511="","",IF(OR($D1511="",$E1511="",$F1511=""),"CONTEXTE INCOMPLET",IF(COUNTIFS($D611:$D1510,$D1511,$E611:$E1510,$E1511,$F611:$F1510,$F1511,$G611:$G1510,$G1511)&gt;0,"DOUBLON","VALIDE")))</f>
        <v/>
      </c>
    </row>
    <row r="1512" ht="15" customHeight="1">
      <c r="A1512" s="12">
        <f>IF(OR($B1512="",$G1512=""),"",TEXT($B1512,"YYYYMMDD")&amp;"-"&amp;SUBSTITUTE($E1512," ","")&amp;"-"&amp;$F1512&amp;"-"&amp;$G1512)</f>
        <v/>
      </c>
      <c r="B1512" s="15" t="n"/>
      <c r="C1512" s="16" t="n"/>
      <c r="D1512" s="10" t="n"/>
      <c r="E1512" s="9" t="n"/>
      <c r="F1512" s="9" t="n"/>
      <c r="G1512" s="13" t="n"/>
      <c r="H1512" s="21" t="n"/>
      <c r="I1512" s="21" t="n"/>
      <c r="J1512" s="17">
        <f>IF($G1512="","",IFERROR(INDEX(NomsEmployes,MATCH($G1512,MatriculesEmployes,0)),"MATRICULE INCONNU"))</f>
        <v/>
      </c>
      <c r="K1512" s="33">
        <f>IF(OR($D1512="",$F1512=""),"",IFERROR(IF(INDEX(RUNS!$L$6:$S$1005,MATCH($D1512,RUNS!$A$6:$A$1005,0),MATCH("ACTIVITÉ "&amp;$F1512,RUNS!$L$5:$S$5,0))="","",INDEX(RUNS!$L$6:$S$1005,MATCH($D1512,RUNS!$A$6:$A$1005,0),MATCH("ACTIVITÉ "&amp;$F1512,RUNS!$L$5:$S$5,0))),""))</f>
        <v/>
      </c>
      <c r="L1512" s="33">
        <f>IF($D1512="","",IFERROR(IF(INDEX(RUNS!$E$6:$E$1005,MATCH($D1512,RUNS!$A$6:$A$1005,0))="","",INDEX(RUNS!$E$6:$E$1005,MATCH($D1512,RUNS!$A$6:$A$1005,0))),""))</f>
        <v/>
      </c>
      <c r="M1512" s="33">
        <f>IF($D1512="","",IFERROR(IF(INDEX(RUNS!$F$6:$F$1005,MATCH($D1512,RUNS!$A$6:$A$1005,0))="","",INDEX(RUNS!$F$6:$F$1005,MATCH($D1512,RUNS!$A$6:$A$1005,0))),""))</f>
        <v/>
      </c>
      <c r="N1512" s="33">
        <f>IF($D1512="","",IFERROR(IF(INDEX(RUNS!$G$6:$G$1005,MATCH($D1512,RUNS!$A$6:$A$1005,0))="","",INDEX(RUNS!$G$6:$G$1005,MATCH($D1512,RUNS!$A$6:$A$1005,0))),""))</f>
        <v/>
      </c>
      <c r="O1512" s="33">
        <f>IF($D1512="","",IFERROR(IF(INDEX(RUNS!$H$6:$H$1005,MATCH($D1512,RUNS!$A$6:$A$1005,0))="","",INDEX(RUNS!$H$6:$H$1005,MATCH($D1512,RUNS!$A$6:$A$1005,0))),""))</f>
        <v/>
      </c>
      <c r="P1512" s="33">
        <f>IF($D1512="","",IFERROR(IF(INDEX(RUNS!$J$6:$J$1005,MATCH($D1512,RUNS!$A$6:$A$1005,0))="","",INDEX(RUNS!$J$6:$J$1005,MATCH($D1512,RUNS!$A$6:$A$1005,0))),""))</f>
        <v/>
      </c>
      <c r="Q1512" s="33">
        <f>IF($D1512="","",IFERROR(IF(INDEX(RUNS!$K$6:$K$1005,MATCH($D1512,RUNS!$A$6:$A$1005,0))="","",INDEX(RUNS!$K$6:$K$1005,MATCH($D1512,RUNS!$A$6:$A$1005,0))),""))</f>
        <v/>
      </c>
      <c r="R1512" s="34">
        <f>IF(OR($L1512="",$K1512=""),"",IFERROR(IF(INDEX(PARAMETRES!$H$43:$H$342,MATCH($L1512&amp;"|"&amp;$M1512&amp;"|"&amp;$N1512&amp;"|"&amp;$O1512&amp;"|"&amp;$P1512&amp;"|"&amp;$Q1512&amp;"|"&amp;$K1512,PARAMETRES!$J$43:$J$342,0))="","",INDEX(PARAMETRES!$H$43:$H$342,MATCH($L1512&amp;"|"&amp;$M1512&amp;"|"&amp;$N1512&amp;"|"&amp;$O1512&amp;"|"&amp;$P1512&amp;"|"&amp;$Q1512&amp;"|"&amp;$K1512,PARAMETRES!$J$43:$J$342,0))),""))</f>
        <v/>
      </c>
      <c r="S1512" s="35">
        <f>IF(OR($G1512="",$X1512&lt;&gt;"VALIDE"),"",IFERROR(LOOKUP(2,1/(($B612:$B1511=$B1512)*($G612:$G1511=$G1512)*($X612:$X1511="VALIDE")),$C612:$C1511),""))</f>
        <v/>
      </c>
      <c r="T1512" s="36">
        <f>IF(OR($C1512="",$S1512=""),"",ROUND(($C1512-$S1512+IF($C1512&lt;$S1512,1,0))*1440,0))</f>
        <v/>
      </c>
      <c r="U1512" s="22">
        <f>IF(OR($H1512="",$T1512="",$T1512&lt;=0),"",$H1512*60/$T1512)</f>
        <v/>
      </c>
      <c r="V1512" s="37">
        <f>IF(OR($U1512="",$R1512="",$R1512=0),"",$U1512/$R1512)</f>
        <v/>
      </c>
      <c r="W1512" s="20">
        <f>IF($G1512="","",IF($X1512="CONTEXTE INCOMPLET","CONTEXTE INCOMPLET",IF($X1512="DOUBLON",StatutDoublon,IF($S1512="",StatutInitial,IF($R1512="",StatutStandardManquant,IF($V1512="","DONNEES INSUFFISANTES",IF($V1512&gt;=SeuilConforme,StatutConforme,IF($V1512&gt;=SeuilSurveiller,StatutSurveiller,StatutSousStandard))))))))</f>
        <v/>
      </c>
      <c r="X1512" s="33">
        <f>IF($G1512="","",IF(OR($D1512="",$E1512="",$F1512=""),"CONTEXTE INCOMPLET",IF(COUNTIFS($D612:$D1511,$D1512,$E612:$E1511,$E1512,$F612:$F1511,$F1512,$G612:$G1511,$G1512)&gt;0,"DOUBLON","VALIDE")))</f>
        <v/>
      </c>
    </row>
    <row r="1513" ht="15" customHeight="1">
      <c r="A1513" s="12">
        <f>IF(OR($B1513="",$G1513=""),"",TEXT($B1513,"YYYYMMDD")&amp;"-"&amp;SUBSTITUTE($E1513," ","")&amp;"-"&amp;$F1513&amp;"-"&amp;$G1513)</f>
        <v/>
      </c>
      <c r="B1513" s="15" t="n"/>
      <c r="C1513" s="16" t="n"/>
      <c r="D1513" s="10" t="n"/>
      <c r="E1513" s="9" t="n"/>
      <c r="F1513" s="9" t="n"/>
      <c r="G1513" s="13" t="n"/>
      <c r="H1513" s="21" t="n"/>
      <c r="I1513" s="21" t="n"/>
      <c r="J1513" s="17">
        <f>IF($G1513="","",IFERROR(INDEX(NomsEmployes,MATCH($G1513,MatriculesEmployes,0)),"MATRICULE INCONNU"))</f>
        <v/>
      </c>
      <c r="K1513" s="33">
        <f>IF(OR($D1513="",$F1513=""),"",IFERROR(IF(INDEX(RUNS!$L$6:$S$1005,MATCH($D1513,RUNS!$A$6:$A$1005,0),MATCH("ACTIVITÉ "&amp;$F1513,RUNS!$L$5:$S$5,0))="","",INDEX(RUNS!$L$6:$S$1005,MATCH($D1513,RUNS!$A$6:$A$1005,0),MATCH("ACTIVITÉ "&amp;$F1513,RUNS!$L$5:$S$5,0))),""))</f>
        <v/>
      </c>
      <c r="L1513" s="33">
        <f>IF($D1513="","",IFERROR(IF(INDEX(RUNS!$E$6:$E$1005,MATCH($D1513,RUNS!$A$6:$A$1005,0))="","",INDEX(RUNS!$E$6:$E$1005,MATCH($D1513,RUNS!$A$6:$A$1005,0))),""))</f>
        <v/>
      </c>
      <c r="M1513" s="33">
        <f>IF($D1513="","",IFERROR(IF(INDEX(RUNS!$F$6:$F$1005,MATCH($D1513,RUNS!$A$6:$A$1005,0))="","",INDEX(RUNS!$F$6:$F$1005,MATCH($D1513,RUNS!$A$6:$A$1005,0))),""))</f>
        <v/>
      </c>
      <c r="N1513" s="33">
        <f>IF($D1513="","",IFERROR(IF(INDEX(RUNS!$G$6:$G$1005,MATCH($D1513,RUNS!$A$6:$A$1005,0))="","",INDEX(RUNS!$G$6:$G$1005,MATCH($D1513,RUNS!$A$6:$A$1005,0))),""))</f>
        <v/>
      </c>
      <c r="O1513" s="33">
        <f>IF($D1513="","",IFERROR(IF(INDEX(RUNS!$H$6:$H$1005,MATCH($D1513,RUNS!$A$6:$A$1005,0))="","",INDEX(RUNS!$H$6:$H$1005,MATCH($D1513,RUNS!$A$6:$A$1005,0))),""))</f>
        <v/>
      </c>
      <c r="P1513" s="33">
        <f>IF($D1513="","",IFERROR(IF(INDEX(RUNS!$J$6:$J$1005,MATCH($D1513,RUNS!$A$6:$A$1005,0))="","",INDEX(RUNS!$J$6:$J$1005,MATCH($D1513,RUNS!$A$6:$A$1005,0))),""))</f>
        <v/>
      </c>
      <c r="Q1513" s="33">
        <f>IF($D1513="","",IFERROR(IF(INDEX(RUNS!$K$6:$K$1005,MATCH($D1513,RUNS!$A$6:$A$1005,0))="","",INDEX(RUNS!$K$6:$K$1005,MATCH($D1513,RUNS!$A$6:$A$1005,0))),""))</f>
        <v/>
      </c>
      <c r="R1513" s="34">
        <f>IF(OR($L1513="",$K1513=""),"",IFERROR(IF(INDEX(PARAMETRES!$H$43:$H$342,MATCH($L1513&amp;"|"&amp;$M1513&amp;"|"&amp;$N1513&amp;"|"&amp;$O1513&amp;"|"&amp;$P1513&amp;"|"&amp;$Q1513&amp;"|"&amp;$K1513,PARAMETRES!$J$43:$J$342,0))="","",INDEX(PARAMETRES!$H$43:$H$342,MATCH($L1513&amp;"|"&amp;$M1513&amp;"|"&amp;$N1513&amp;"|"&amp;$O1513&amp;"|"&amp;$P1513&amp;"|"&amp;$Q1513&amp;"|"&amp;$K1513,PARAMETRES!$J$43:$J$342,0))),""))</f>
        <v/>
      </c>
      <c r="S1513" s="35">
        <f>IF(OR($G1513="",$X1513&lt;&gt;"VALIDE"),"",IFERROR(LOOKUP(2,1/(($B613:$B1512=$B1513)*($G613:$G1512=$G1513)*($X613:$X1512="VALIDE")),$C613:$C1512),""))</f>
        <v/>
      </c>
      <c r="T1513" s="36">
        <f>IF(OR($C1513="",$S1513=""),"",ROUND(($C1513-$S1513+IF($C1513&lt;$S1513,1,0))*1440,0))</f>
        <v/>
      </c>
      <c r="U1513" s="22">
        <f>IF(OR($H1513="",$T1513="",$T1513&lt;=0),"",$H1513*60/$T1513)</f>
        <v/>
      </c>
      <c r="V1513" s="37">
        <f>IF(OR($U1513="",$R1513="",$R1513=0),"",$U1513/$R1513)</f>
        <v/>
      </c>
      <c r="W1513" s="20">
        <f>IF($G1513="","",IF($X1513="CONTEXTE INCOMPLET","CONTEXTE INCOMPLET",IF($X1513="DOUBLON",StatutDoublon,IF($S1513="",StatutInitial,IF($R1513="",StatutStandardManquant,IF($V1513="","DONNEES INSUFFISANTES",IF($V1513&gt;=SeuilConforme,StatutConforme,IF($V1513&gt;=SeuilSurveiller,StatutSurveiller,StatutSousStandard))))))))</f>
        <v/>
      </c>
      <c r="X1513" s="33">
        <f>IF($G1513="","",IF(OR($D1513="",$E1513="",$F1513=""),"CONTEXTE INCOMPLET",IF(COUNTIFS($D613:$D1512,$D1513,$E613:$E1512,$E1513,$F613:$F1512,$F1513,$G613:$G1512,$G1513)&gt;0,"DOUBLON","VALIDE")))</f>
        <v/>
      </c>
    </row>
    <row r="1514" ht="15" customHeight="1">
      <c r="A1514" s="12">
        <f>IF(OR($B1514="",$G1514=""),"",TEXT($B1514,"YYYYMMDD")&amp;"-"&amp;SUBSTITUTE($E1514," ","")&amp;"-"&amp;$F1514&amp;"-"&amp;$G1514)</f>
        <v/>
      </c>
      <c r="B1514" s="15" t="n"/>
      <c r="C1514" s="16" t="n"/>
      <c r="D1514" s="10" t="n"/>
      <c r="E1514" s="9" t="n"/>
      <c r="F1514" s="9" t="n"/>
      <c r="G1514" s="13" t="n"/>
      <c r="H1514" s="21" t="n"/>
      <c r="I1514" s="21" t="n"/>
      <c r="J1514" s="17">
        <f>IF($G1514="","",IFERROR(INDEX(NomsEmployes,MATCH($G1514,MatriculesEmployes,0)),"MATRICULE INCONNU"))</f>
        <v/>
      </c>
      <c r="K1514" s="33">
        <f>IF(OR($D1514="",$F1514=""),"",IFERROR(IF(INDEX(RUNS!$L$6:$S$1005,MATCH($D1514,RUNS!$A$6:$A$1005,0),MATCH("ACTIVITÉ "&amp;$F1514,RUNS!$L$5:$S$5,0))="","",INDEX(RUNS!$L$6:$S$1005,MATCH($D1514,RUNS!$A$6:$A$1005,0),MATCH("ACTIVITÉ "&amp;$F1514,RUNS!$L$5:$S$5,0))),""))</f>
        <v/>
      </c>
      <c r="L1514" s="33">
        <f>IF($D1514="","",IFERROR(IF(INDEX(RUNS!$E$6:$E$1005,MATCH($D1514,RUNS!$A$6:$A$1005,0))="","",INDEX(RUNS!$E$6:$E$1005,MATCH($D1514,RUNS!$A$6:$A$1005,0))),""))</f>
        <v/>
      </c>
      <c r="M1514" s="33">
        <f>IF($D1514="","",IFERROR(IF(INDEX(RUNS!$F$6:$F$1005,MATCH($D1514,RUNS!$A$6:$A$1005,0))="","",INDEX(RUNS!$F$6:$F$1005,MATCH($D1514,RUNS!$A$6:$A$1005,0))),""))</f>
        <v/>
      </c>
      <c r="N1514" s="33">
        <f>IF($D1514="","",IFERROR(IF(INDEX(RUNS!$G$6:$G$1005,MATCH($D1514,RUNS!$A$6:$A$1005,0))="","",INDEX(RUNS!$G$6:$G$1005,MATCH($D1514,RUNS!$A$6:$A$1005,0))),""))</f>
        <v/>
      </c>
      <c r="O1514" s="33">
        <f>IF($D1514="","",IFERROR(IF(INDEX(RUNS!$H$6:$H$1005,MATCH($D1514,RUNS!$A$6:$A$1005,0))="","",INDEX(RUNS!$H$6:$H$1005,MATCH($D1514,RUNS!$A$6:$A$1005,0))),""))</f>
        <v/>
      </c>
      <c r="P1514" s="33">
        <f>IF($D1514="","",IFERROR(IF(INDEX(RUNS!$J$6:$J$1005,MATCH($D1514,RUNS!$A$6:$A$1005,0))="","",INDEX(RUNS!$J$6:$J$1005,MATCH($D1514,RUNS!$A$6:$A$1005,0))),""))</f>
        <v/>
      </c>
      <c r="Q1514" s="33">
        <f>IF($D1514="","",IFERROR(IF(INDEX(RUNS!$K$6:$K$1005,MATCH($D1514,RUNS!$A$6:$A$1005,0))="","",INDEX(RUNS!$K$6:$K$1005,MATCH($D1514,RUNS!$A$6:$A$1005,0))),""))</f>
        <v/>
      </c>
      <c r="R1514" s="34">
        <f>IF(OR($L1514="",$K1514=""),"",IFERROR(IF(INDEX(PARAMETRES!$H$43:$H$342,MATCH($L1514&amp;"|"&amp;$M1514&amp;"|"&amp;$N1514&amp;"|"&amp;$O1514&amp;"|"&amp;$P1514&amp;"|"&amp;$Q1514&amp;"|"&amp;$K1514,PARAMETRES!$J$43:$J$342,0))="","",INDEX(PARAMETRES!$H$43:$H$342,MATCH($L1514&amp;"|"&amp;$M1514&amp;"|"&amp;$N1514&amp;"|"&amp;$O1514&amp;"|"&amp;$P1514&amp;"|"&amp;$Q1514&amp;"|"&amp;$K1514,PARAMETRES!$J$43:$J$342,0))),""))</f>
        <v/>
      </c>
      <c r="S1514" s="35">
        <f>IF(OR($G1514="",$X1514&lt;&gt;"VALIDE"),"",IFERROR(LOOKUP(2,1/(($B614:$B1513=$B1514)*($G614:$G1513=$G1514)*($X614:$X1513="VALIDE")),$C614:$C1513),""))</f>
        <v/>
      </c>
      <c r="T1514" s="36">
        <f>IF(OR($C1514="",$S1514=""),"",ROUND(($C1514-$S1514+IF($C1514&lt;$S1514,1,0))*1440,0))</f>
        <v/>
      </c>
      <c r="U1514" s="22">
        <f>IF(OR($H1514="",$T1514="",$T1514&lt;=0),"",$H1514*60/$T1514)</f>
        <v/>
      </c>
      <c r="V1514" s="37">
        <f>IF(OR($U1514="",$R1514="",$R1514=0),"",$U1514/$R1514)</f>
        <v/>
      </c>
      <c r="W1514" s="20">
        <f>IF($G1514="","",IF($X1514="CONTEXTE INCOMPLET","CONTEXTE INCOMPLET",IF($X1514="DOUBLON",StatutDoublon,IF($S1514="",StatutInitial,IF($R1514="",StatutStandardManquant,IF($V1514="","DONNEES INSUFFISANTES",IF($V1514&gt;=SeuilConforme,StatutConforme,IF($V1514&gt;=SeuilSurveiller,StatutSurveiller,StatutSousStandard))))))))</f>
        <v/>
      </c>
      <c r="X1514" s="33">
        <f>IF($G1514="","",IF(OR($D1514="",$E1514="",$F1514=""),"CONTEXTE INCOMPLET",IF(COUNTIFS($D614:$D1513,$D1514,$E614:$E1513,$E1514,$F614:$F1513,$F1514,$G614:$G1513,$G1514)&gt;0,"DOUBLON","VALIDE")))</f>
        <v/>
      </c>
    </row>
    <row r="1515" ht="15" customHeight="1">
      <c r="A1515" s="12">
        <f>IF(OR($B1515="",$G1515=""),"",TEXT($B1515,"YYYYMMDD")&amp;"-"&amp;SUBSTITUTE($E1515," ","")&amp;"-"&amp;$F1515&amp;"-"&amp;$G1515)</f>
        <v/>
      </c>
      <c r="B1515" s="15" t="n"/>
      <c r="C1515" s="16" t="n"/>
      <c r="D1515" s="10" t="n"/>
      <c r="E1515" s="9" t="n"/>
      <c r="F1515" s="9" t="n"/>
      <c r="G1515" s="13" t="n"/>
      <c r="H1515" s="21" t="n"/>
      <c r="I1515" s="21" t="n"/>
      <c r="J1515" s="17">
        <f>IF($G1515="","",IFERROR(INDEX(NomsEmployes,MATCH($G1515,MatriculesEmployes,0)),"MATRICULE INCONNU"))</f>
        <v/>
      </c>
      <c r="K1515" s="33">
        <f>IF(OR($D1515="",$F1515=""),"",IFERROR(IF(INDEX(RUNS!$L$6:$S$1005,MATCH($D1515,RUNS!$A$6:$A$1005,0),MATCH("ACTIVITÉ "&amp;$F1515,RUNS!$L$5:$S$5,0))="","",INDEX(RUNS!$L$6:$S$1005,MATCH($D1515,RUNS!$A$6:$A$1005,0),MATCH("ACTIVITÉ "&amp;$F1515,RUNS!$L$5:$S$5,0))),""))</f>
        <v/>
      </c>
      <c r="L1515" s="33">
        <f>IF($D1515="","",IFERROR(IF(INDEX(RUNS!$E$6:$E$1005,MATCH($D1515,RUNS!$A$6:$A$1005,0))="","",INDEX(RUNS!$E$6:$E$1005,MATCH($D1515,RUNS!$A$6:$A$1005,0))),""))</f>
        <v/>
      </c>
      <c r="M1515" s="33">
        <f>IF($D1515="","",IFERROR(IF(INDEX(RUNS!$F$6:$F$1005,MATCH($D1515,RUNS!$A$6:$A$1005,0))="","",INDEX(RUNS!$F$6:$F$1005,MATCH($D1515,RUNS!$A$6:$A$1005,0))),""))</f>
        <v/>
      </c>
      <c r="N1515" s="33">
        <f>IF($D1515="","",IFERROR(IF(INDEX(RUNS!$G$6:$G$1005,MATCH($D1515,RUNS!$A$6:$A$1005,0))="","",INDEX(RUNS!$G$6:$G$1005,MATCH($D1515,RUNS!$A$6:$A$1005,0))),""))</f>
        <v/>
      </c>
      <c r="O1515" s="33">
        <f>IF($D1515="","",IFERROR(IF(INDEX(RUNS!$H$6:$H$1005,MATCH($D1515,RUNS!$A$6:$A$1005,0))="","",INDEX(RUNS!$H$6:$H$1005,MATCH($D1515,RUNS!$A$6:$A$1005,0))),""))</f>
        <v/>
      </c>
      <c r="P1515" s="33">
        <f>IF($D1515="","",IFERROR(IF(INDEX(RUNS!$J$6:$J$1005,MATCH($D1515,RUNS!$A$6:$A$1005,0))="","",INDEX(RUNS!$J$6:$J$1005,MATCH($D1515,RUNS!$A$6:$A$1005,0))),""))</f>
        <v/>
      </c>
      <c r="Q1515" s="33">
        <f>IF($D1515="","",IFERROR(IF(INDEX(RUNS!$K$6:$K$1005,MATCH($D1515,RUNS!$A$6:$A$1005,0))="","",INDEX(RUNS!$K$6:$K$1005,MATCH($D1515,RUNS!$A$6:$A$1005,0))),""))</f>
        <v/>
      </c>
      <c r="R1515" s="34">
        <f>IF(OR($L1515="",$K1515=""),"",IFERROR(IF(INDEX(PARAMETRES!$H$43:$H$342,MATCH($L1515&amp;"|"&amp;$M1515&amp;"|"&amp;$N1515&amp;"|"&amp;$O1515&amp;"|"&amp;$P1515&amp;"|"&amp;$Q1515&amp;"|"&amp;$K1515,PARAMETRES!$J$43:$J$342,0))="","",INDEX(PARAMETRES!$H$43:$H$342,MATCH($L1515&amp;"|"&amp;$M1515&amp;"|"&amp;$N1515&amp;"|"&amp;$O1515&amp;"|"&amp;$P1515&amp;"|"&amp;$Q1515&amp;"|"&amp;$K1515,PARAMETRES!$J$43:$J$342,0))),""))</f>
        <v/>
      </c>
      <c r="S1515" s="35">
        <f>IF(OR($G1515="",$X1515&lt;&gt;"VALIDE"),"",IFERROR(LOOKUP(2,1/(($B615:$B1514=$B1515)*($G615:$G1514=$G1515)*($X615:$X1514="VALIDE")),$C615:$C1514),""))</f>
        <v/>
      </c>
      <c r="T1515" s="36">
        <f>IF(OR($C1515="",$S1515=""),"",ROUND(($C1515-$S1515+IF($C1515&lt;$S1515,1,0))*1440,0))</f>
        <v/>
      </c>
      <c r="U1515" s="22">
        <f>IF(OR($H1515="",$T1515="",$T1515&lt;=0),"",$H1515*60/$T1515)</f>
        <v/>
      </c>
      <c r="V1515" s="37">
        <f>IF(OR($U1515="",$R1515="",$R1515=0),"",$U1515/$R1515)</f>
        <v/>
      </c>
      <c r="W1515" s="20">
        <f>IF($G1515="","",IF($X1515="CONTEXTE INCOMPLET","CONTEXTE INCOMPLET",IF($X1515="DOUBLON",StatutDoublon,IF($S1515="",StatutInitial,IF($R1515="",StatutStandardManquant,IF($V1515="","DONNEES INSUFFISANTES",IF($V1515&gt;=SeuilConforme,StatutConforme,IF($V1515&gt;=SeuilSurveiller,StatutSurveiller,StatutSousStandard))))))))</f>
        <v/>
      </c>
      <c r="X1515" s="33">
        <f>IF($G1515="","",IF(OR($D1515="",$E1515="",$F1515=""),"CONTEXTE INCOMPLET",IF(COUNTIFS($D615:$D1514,$D1515,$E615:$E1514,$E1515,$F615:$F1514,$F1515,$G615:$G1514,$G1515)&gt;0,"DOUBLON","VALIDE")))</f>
        <v/>
      </c>
    </row>
    <row r="1516" ht="15" customHeight="1">
      <c r="A1516" s="12">
        <f>IF(OR($B1516="",$G1516=""),"",TEXT($B1516,"YYYYMMDD")&amp;"-"&amp;SUBSTITUTE($E1516," ","")&amp;"-"&amp;$F1516&amp;"-"&amp;$G1516)</f>
        <v/>
      </c>
      <c r="B1516" s="15" t="n"/>
      <c r="C1516" s="16" t="n"/>
      <c r="D1516" s="10" t="n"/>
      <c r="E1516" s="9" t="n"/>
      <c r="F1516" s="9" t="n"/>
      <c r="G1516" s="13" t="n"/>
      <c r="H1516" s="21" t="n"/>
      <c r="I1516" s="21" t="n"/>
      <c r="J1516" s="17">
        <f>IF($G1516="","",IFERROR(INDEX(NomsEmployes,MATCH($G1516,MatriculesEmployes,0)),"MATRICULE INCONNU"))</f>
        <v/>
      </c>
      <c r="K1516" s="33">
        <f>IF(OR($D1516="",$F1516=""),"",IFERROR(IF(INDEX(RUNS!$L$6:$S$1005,MATCH($D1516,RUNS!$A$6:$A$1005,0),MATCH("ACTIVITÉ "&amp;$F1516,RUNS!$L$5:$S$5,0))="","",INDEX(RUNS!$L$6:$S$1005,MATCH($D1516,RUNS!$A$6:$A$1005,0),MATCH("ACTIVITÉ "&amp;$F1516,RUNS!$L$5:$S$5,0))),""))</f>
        <v/>
      </c>
      <c r="L1516" s="33">
        <f>IF($D1516="","",IFERROR(IF(INDEX(RUNS!$E$6:$E$1005,MATCH($D1516,RUNS!$A$6:$A$1005,0))="","",INDEX(RUNS!$E$6:$E$1005,MATCH($D1516,RUNS!$A$6:$A$1005,0))),""))</f>
        <v/>
      </c>
      <c r="M1516" s="33">
        <f>IF($D1516="","",IFERROR(IF(INDEX(RUNS!$F$6:$F$1005,MATCH($D1516,RUNS!$A$6:$A$1005,0))="","",INDEX(RUNS!$F$6:$F$1005,MATCH($D1516,RUNS!$A$6:$A$1005,0))),""))</f>
        <v/>
      </c>
      <c r="N1516" s="33">
        <f>IF($D1516="","",IFERROR(IF(INDEX(RUNS!$G$6:$G$1005,MATCH($D1516,RUNS!$A$6:$A$1005,0))="","",INDEX(RUNS!$G$6:$G$1005,MATCH($D1516,RUNS!$A$6:$A$1005,0))),""))</f>
        <v/>
      </c>
      <c r="O1516" s="33">
        <f>IF($D1516="","",IFERROR(IF(INDEX(RUNS!$H$6:$H$1005,MATCH($D1516,RUNS!$A$6:$A$1005,0))="","",INDEX(RUNS!$H$6:$H$1005,MATCH($D1516,RUNS!$A$6:$A$1005,0))),""))</f>
        <v/>
      </c>
      <c r="P1516" s="33">
        <f>IF($D1516="","",IFERROR(IF(INDEX(RUNS!$J$6:$J$1005,MATCH($D1516,RUNS!$A$6:$A$1005,0))="","",INDEX(RUNS!$J$6:$J$1005,MATCH($D1516,RUNS!$A$6:$A$1005,0))),""))</f>
        <v/>
      </c>
      <c r="Q1516" s="33">
        <f>IF($D1516="","",IFERROR(IF(INDEX(RUNS!$K$6:$K$1005,MATCH($D1516,RUNS!$A$6:$A$1005,0))="","",INDEX(RUNS!$K$6:$K$1005,MATCH($D1516,RUNS!$A$6:$A$1005,0))),""))</f>
        <v/>
      </c>
      <c r="R1516" s="34">
        <f>IF(OR($L1516="",$K1516=""),"",IFERROR(IF(INDEX(PARAMETRES!$H$43:$H$342,MATCH($L1516&amp;"|"&amp;$M1516&amp;"|"&amp;$N1516&amp;"|"&amp;$O1516&amp;"|"&amp;$P1516&amp;"|"&amp;$Q1516&amp;"|"&amp;$K1516,PARAMETRES!$J$43:$J$342,0))="","",INDEX(PARAMETRES!$H$43:$H$342,MATCH($L1516&amp;"|"&amp;$M1516&amp;"|"&amp;$N1516&amp;"|"&amp;$O1516&amp;"|"&amp;$P1516&amp;"|"&amp;$Q1516&amp;"|"&amp;$K1516,PARAMETRES!$J$43:$J$342,0))),""))</f>
        <v/>
      </c>
      <c r="S1516" s="35">
        <f>IF(OR($G1516="",$X1516&lt;&gt;"VALIDE"),"",IFERROR(LOOKUP(2,1/(($B616:$B1515=$B1516)*($G616:$G1515=$G1516)*($X616:$X1515="VALIDE")),$C616:$C1515),""))</f>
        <v/>
      </c>
      <c r="T1516" s="36">
        <f>IF(OR($C1516="",$S1516=""),"",ROUND(($C1516-$S1516+IF($C1516&lt;$S1516,1,0))*1440,0))</f>
        <v/>
      </c>
      <c r="U1516" s="22">
        <f>IF(OR($H1516="",$T1516="",$T1516&lt;=0),"",$H1516*60/$T1516)</f>
        <v/>
      </c>
      <c r="V1516" s="37">
        <f>IF(OR($U1516="",$R1516="",$R1516=0),"",$U1516/$R1516)</f>
        <v/>
      </c>
      <c r="W1516" s="20">
        <f>IF($G1516="","",IF($X1516="CONTEXTE INCOMPLET","CONTEXTE INCOMPLET",IF($X1516="DOUBLON",StatutDoublon,IF($S1516="",StatutInitial,IF($R1516="",StatutStandardManquant,IF($V1516="","DONNEES INSUFFISANTES",IF($V1516&gt;=SeuilConforme,StatutConforme,IF($V1516&gt;=SeuilSurveiller,StatutSurveiller,StatutSousStandard))))))))</f>
        <v/>
      </c>
      <c r="X1516" s="33">
        <f>IF($G1516="","",IF(OR($D1516="",$E1516="",$F1516=""),"CONTEXTE INCOMPLET",IF(COUNTIFS($D616:$D1515,$D1516,$E616:$E1515,$E1516,$F616:$F1515,$F1516,$G616:$G1515,$G1516)&gt;0,"DOUBLON","VALIDE")))</f>
        <v/>
      </c>
    </row>
    <row r="1517" ht="15" customHeight="1">
      <c r="A1517" s="12">
        <f>IF(OR($B1517="",$G1517=""),"",TEXT($B1517,"YYYYMMDD")&amp;"-"&amp;SUBSTITUTE($E1517," ","")&amp;"-"&amp;$F1517&amp;"-"&amp;$G1517)</f>
        <v/>
      </c>
      <c r="B1517" s="15" t="n"/>
      <c r="C1517" s="16" t="n"/>
      <c r="D1517" s="10" t="n"/>
      <c r="E1517" s="9" t="n"/>
      <c r="F1517" s="9" t="n"/>
      <c r="G1517" s="13" t="n"/>
      <c r="H1517" s="21" t="n"/>
      <c r="I1517" s="21" t="n"/>
      <c r="J1517" s="17">
        <f>IF($G1517="","",IFERROR(INDEX(NomsEmployes,MATCH($G1517,MatriculesEmployes,0)),"MATRICULE INCONNU"))</f>
        <v/>
      </c>
      <c r="K1517" s="33">
        <f>IF(OR($D1517="",$F1517=""),"",IFERROR(IF(INDEX(RUNS!$L$6:$S$1005,MATCH($D1517,RUNS!$A$6:$A$1005,0),MATCH("ACTIVITÉ "&amp;$F1517,RUNS!$L$5:$S$5,0))="","",INDEX(RUNS!$L$6:$S$1005,MATCH($D1517,RUNS!$A$6:$A$1005,0),MATCH("ACTIVITÉ "&amp;$F1517,RUNS!$L$5:$S$5,0))),""))</f>
        <v/>
      </c>
      <c r="L1517" s="33">
        <f>IF($D1517="","",IFERROR(IF(INDEX(RUNS!$E$6:$E$1005,MATCH($D1517,RUNS!$A$6:$A$1005,0))="","",INDEX(RUNS!$E$6:$E$1005,MATCH($D1517,RUNS!$A$6:$A$1005,0))),""))</f>
        <v/>
      </c>
      <c r="M1517" s="33">
        <f>IF($D1517="","",IFERROR(IF(INDEX(RUNS!$F$6:$F$1005,MATCH($D1517,RUNS!$A$6:$A$1005,0))="","",INDEX(RUNS!$F$6:$F$1005,MATCH($D1517,RUNS!$A$6:$A$1005,0))),""))</f>
        <v/>
      </c>
      <c r="N1517" s="33">
        <f>IF($D1517="","",IFERROR(IF(INDEX(RUNS!$G$6:$G$1005,MATCH($D1517,RUNS!$A$6:$A$1005,0))="","",INDEX(RUNS!$G$6:$G$1005,MATCH($D1517,RUNS!$A$6:$A$1005,0))),""))</f>
        <v/>
      </c>
      <c r="O1517" s="33">
        <f>IF($D1517="","",IFERROR(IF(INDEX(RUNS!$H$6:$H$1005,MATCH($D1517,RUNS!$A$6:$A$1005,0))="","",INDEX(RUNS!$H$6:$H$1005,MATCH($D1517,RUNS!$A$6:$A$1005,0))),""))</f>
        <v/>
      </c>
      <c r="P1517" s="33">
        <f>IF($D1517="","",IFERROR(IF(INDEX(RUNS!$J$6:$J$1005,MATCH($D1517,RUNS!$A$6:$A$1005,0))="","",INDEX(RUNS!$J$6:$J$1005,MATCH($D1517,RUNS!$A$6:$A$1005,0))),""))</f>
        <v/>
      </c>
      <c r="Q1517" s="33">
        <f>IF($D1517="","",IFERROR(IF(INDEX(RUNS!$K$6:$K$1005,MATCH($D1517,RUNS!$A$6:$A$1005,0))="","",INDEX(RUNS!$K$6:$K$1005,MATCH($D1517,RUNS!$A$6:$A$1005,0))),""))</f>
        <v/>
      </c>
      <c r="R1517" s="34">
        <f>IF(OR($L1517="",$K1517=""),"",IFERROR(IF(INDEX(PARAMETRES!$H$43:$H$342,MATCH($L1517&amp;"|"&amp;$M1517&amp;"|"&amp;$N1517&amp;"|"&amp;$O1517&amp;"|"&amp;$P1517&amp;"|"&amp;$Q1517&amp;"|"&amp;$K1517,PARAMETRES!$J$43:$J$342,0))="","",INDEX(PARAMETRES!$H$43:$H$342,MATCH($L1517&amp;"|"&amp;$M1517&amp;"|"&amp;$N1517&amp;"|"&amp;$O1517&amp;"|"&amp;$P1517&amp;"|"&amp;$Q1517&amp;"|"&amp;$K1517,PARAMETRES!$J$43:$J$342,0))),""))</f>
        <v/>
      </c>
      <c r="S1517" s="35">
        <f>IF(OR($G1517="",$X1517&lt;&gt;"VALIDE"),"",IFERROR(LOOKUP(2,1/(($B617:$B1516=$B1517)*($G617:$G1516=$G1517)*($X617:$X1516="VALIDE")),$C617:$C1516),""))</f>
        <v/>
      </c>
      <c r="T1517" s="36">
        <f>IF(OR($C1517="",$S1517=""),"",ROUND(($C1517-$S1517+IF($C1517&lt;$S1517,1,0))*1440,0))</f>
        <v/>
      </c>
      <c r="U1517" s="22">
        <f>IF(OR($H1517="",$T1517="",$T1517&lt;=0),"",$H1517*60/$T1517)</f>
        <v/>
      </c>
      <c r="V1517" s="37">
        <f>IF(OR($U1517="",$R1517="",$R1517=0),"",$U1517/$R1517)</f>
        <v/>
      </c>
      <c r="W1517" s="20">
        <f>IF($G1517="","",IF($X1517="CONTEXTE INCOMPLET","CONTEXTE INCOMPLET",IF($X1517="DOUBLON",StatutDoublon,IF($S1517="",StatutInitial,IF($R1517="",StatutStandardManquant,IF($V1517="","DONNEES INSUFFISANTES",IF($V1517&gt;=SeuilConforme,StatutConforme,IF($V1517&gt;=SeuilSurveiller,StatutSurveiller,StatutSousStandard))))))))</f>
        <v/>
      </c>
      <c r="X1517" s="33">
        <f>IF($G1517="","",IF(OR($D1517="",$E1517="",$F1517=""),"CONTEXTE INCOMPLET",IF(COUNTIFS($D617:$D1516,$D1517,$E617:$E1516,$E1517,$F617:$F1516,$F1517,$G617:$G1516,$G1517)&gt;0,"DOUBLON","VALIDE")))</f>
        <v/>
      </c>
    </row>
    <row r="1518" ht="15" customHeight="1">
      <c r="A1518" s="12">
        <f>IF(OR($B1518="",$G1518=""),"",TEXT($B1518,"YYYYMMDD")&amp;"-"&amp;SUBSTITUTE($E1518," ","")&amp;"-"&amp;$F1518&amp;"-"&amp;$G1518)</f>
        <v/>
      </c>
      <c r="B1518" s="15" t="n"/>
      <c r="C1518" s="16" t="n"/>
      <c r="D1518" s="10" t="n"/>
      <c r="E1518" s="9" t="n"/>
      <c r="F1518" s="9" t="n"/>
      <c r="G1518" s="13" t="n"/>
      <c r="H1518" s="21" t="n"/>
      <c r="I1518" s="21" t="n"/>
      <c r="J1518" s="17">
        <f>IF($G1518="","",IFERROR(INDEX(NomsEmployes,MATCH($G1518,MatriculesEmployes,0)),"MATRICULE INCONNU"))</f>
        <v/>
      </c>
      <c r="K1518" s="33">
        <f>IF(OR($D1518="",$F1518=""),"",IFERROR(IF(INDEX(RUNS!$L$6:$S$1005,MATCH($D1518,RUNS!$A$6:$A$1005,0),MATCH("ACTIVITÉ "&amp;$F1518,RUNS!$L$5:$S$5,0))="","",INDEX(RUNS!$L$6:$S$1005,MATCH($D1518,RUNS!$A$6:$A$1005,0),MATCH("ACTIVITÉ "&amp;$F1518,RUNS!$L$5:$S$5,0))),""))</f>
        <v/>
      </c>
      <c r="L1518" s="33">
        <f>IF($D1518="","",IFERROR(IF(INDEX(RUNS!$E$6:$E$1005,MATCH($D1518,RUNS!$A$6:$A$1005,0))="","",INDEX(RUNS!$E$6:$E$1005,MATCH($D1518,RUNS!$A$6:$A$1005,0))),""))</f>
        <v/>
      </c>
      <c r="M1518" s="33">
        <f>IF($D1518="","",IFERROR(IF(INDEX(RUNS!$F$6:$F$1005,MATCH($D1518,RUNS!$A$6:$A$1005,0))="","",INDEX(RUNS!$F$6:$F$1005,MATCH($D1518,RUNS!$A$6:$A$1005,0))),""))</f>
        <v/>
      </c>
      <c r="N1518" s="33">
        <f>IF($D1518="","",IFERROR(IF(INDEX(RUNS!$G$6:$G$1005,MATCH($D1518,RUNS!$A$6:$A$1005,0))="","",INDEX(RUNS!$G$6:$G$1005,MATCH($D1518,RUNS!$A$6:$A$1005,0))),""))</f>
        <v/>
      </c>
      <c r="O1518" s="33">
        <f>IF($D1518="","",IFERROR(IF(INDEX(RUNS!$H$6:$H$1005,MATCH($D1518,RUNS!$A$6:$A$1005,0))="","",INDEX(RUNS!$H$6:$H$1005,MATCH($D1518,RUNS!$A$6:$A$1005,0))),""))</f>
        <v/>
      </c>
      <c r="P1518" s="33">
        <f>IF($D1518="","",IFERROR(IF(INDEX(RUNS!$J$6:$J$1005,MATCH($D1518,RUNS!$A$6:$A$1005,0))="","",INDEX(RUNS!$J$6:$J$1005,MATCH($D1518,RUNS!$A$6:$A$1005,0))),""))</f>
        <v/>
      </c>
      <c r="Q1518" s="33">
        <f>IF($D1518="","",IFERROR(IF(INDEX(RUNS!$K$6:$K$1005,MATCH($D1518,RUNS!$A$6:$A$1005,0))="","",INDEX(RUNS!$K$6:$K$1005,MATCH($D1518,RUNS!$A$6:$A$1005,0))),""))</f>
        <v/>
      </c>
      <c r="R1518" s="34">
        <f>IF(OR($L1518="",$K1518=""),"",IFERROR(IF(INDEX(PARAMETRES!$H$43:$H$342,MATCH($L1518&amp;"|"&amp;$M1518&amp;"|"&amp;$N1518&amp;"|"&amp;$O1518&amp;"|"&amp;$P1518&amp;"|"&amp;$Q1518&amp;"|"&amp;$K1518,PARAMETRES!$J$43:$J$342,0))="","",INDEX(PARAMETRES!$H$43:$H$342,MATCH($L1518&amp;"|"&amp;$M1518&amp;"|"&amp;$N1518&amp;"|"&amp;$O1518&amp;"|"&amp;$P1518&amp;"|"&amp;$Q1518&amp;"|"&amp;$K1518,PARAMETRES!$J$43:$J$342,0))),""))</f>
        <v/>
      </c>
      <c r="S1518" s="35">
        <f>IF(OR($G1518="",$X1518&lt;&gt;"VALIDE"),"",IFERROR(LOOKUP(2,1/(($B618:$B1517=$B1518)*($G618:$G1517=$G1518)*($X618:$X1517="VALIDE")),$C618:$C1517),""))</f>
        <v/>
      </c>
      <c r="T1518" s="36">
        <f>IF(OR($C1518="",$S1518=""),"",ROUND(($C1518-$S1518+IF($C1518&lt;$S1518,1,0))*1440,0))</f>
        <v/>
      </c>
      <c r="U1518" s="22">
        <f>IF(OR($H1518="",$T1518="",$T1518&lt;=0),"",$H1518*60/$T1518)</f>
        <v/>
      </c>
      <c r="V1518" s="37">
        <f>IF(OR($U1518="",$R1518="",$R1518=0),"",$U1518/$R1518)</f>
        <v/>
      </c>
      <c r="W1518" s="20">
        <f>IF($G1518="","",IF($X1518="CONTEXTE INCOMPLET","CONTEXTE INCOMPLET",IF($X1518="DOUBLON",StatutDoublon,IF($S1518="",StatutInitial,IF($R1518="",StatutStandardManquant,IF($V1518="","DONNEES INSUFFISANTES",IF($V1518&gt;=SeuilConforme,StatutConforme,IF($V1518&gt;=SeuilSurveiller,StatutSurveiller,StatutSousStandard))))))))</f>
        <v/>
      </c>
      <c r="X1518" s="33">
        <f>IF($G1518="","",IF(OR($D1518="",$E1518="",$F1518=""),"CONTEXTE INCOMPLET",IF(COUNTIFS($D618:$D1517,$D1518,$E618:$E1517,$E1518,$F618:$F1517,$F1518,$G618:$G1517,$G1518)&gt;0,"DOUBLON","VALIDE")))</f>
        <v/>
      </c>
    </row>
    <row r="1519" ht="15" customHeight="1">
      <c r="A1519" s="12">
        <f>IF(OR($B1519="",$G1519=""),"",TEXT($B1519,"YYYYMMDD")&amp;"-"&amp;SUBSTITUTE($E1519," ","")&amp;"-"&amp;$F1519&amp;"-"&amp;$G1519)</f>
        <v/>
      </c>
      <c r="B1519" s="15" t="n"/>
      <c r="C1519" s="16" t="n"/>
      <c r="D1519" s="10" t="n"/>
      <c r="E1519" s="9" t="n"/>
      <c r="F1519" s="9" t="n"/>
      <c r="G1519" s="13" t="n"/>
      <c r="H1519" s="21" t="n"/>
      <c r="I1519" s="21" t="n"/>
      <c r="J1519" s="17">
        <f>IF($G1519="","",IFERROR(INDEX(NomsEmployes,MATCH($G1519,MatriculesEmployes,0)),"MATRICULE INCONNU"))</f>
        <v/>
      </c>
      <c r="K1519" s="33">
        <f>IF(OR($D1519="",$F1519=""),"",IFERROR(IF(INDEX(RUNS!$L$6:$S$1005,MATCH($D1519,RUNS!$A$6:$A$1005,0),MATCH("ACTIVITÉ "&amp;$F1519,RUNS!$L$5:$S$5,0))="","",INDEX(RUNS!$L$6:$S$1005,MATCH($D1519,RUNS!$A$6:$A$1005,0),MATCH("ACTIVITÉ "&amp;$F1519,RUNS!$L$5:$S$5,0))),""))</f>
        <v/>
      </c>
      <c r="L1519" s="33">
        <f>IF($D1519="","",IFERROR(IF(INDEX(RUNS!$E$6:$E$1005,MATCH($D1519,RUNS!$A$6:$A$1005,0))="","",INDEX(RUNS!$E$6:$E$1005,MATCH($D1519,RUNS!$A$6:$A$1005,0))),""))</f>
        <v/>
      </c>
      <c r="M1519" s="33">
        <f>IF($D1519="","",IFERROR(IF(INDEX(RUNS!$F$6:$F$1005,MATCH($D1519,RUNS!$A$6:$A$1005,0))="","",INDEX(RUNS!$F$6:$F$1005,MATCH($D1519,RUNS!$A$6:$A$1005,0))),""))</f>
        <v/>
      </c>
      <c r="N1519" s="33">
        <f>IF($D1519="","",IFERROR(IF(INDEX(RUNS!$G$6:$G$1005,MATCH($D1519,RUNS!$A$6:$A$1005,0))="","",INDEX(RUNS!$G$6:$G$1005,MATCH($D1519,RUNS!$A$6:$A$1005,0))),""))</f>
        <v/>
      </c>
      <c r="O1519" s="33">
        <f>IF($D1519="","",IFERROR(IF(INDEX(RUNS!$H$6:$H$1005,MATCH($D1519,RUNS!$A$6:$A$1005,0))="","",INDEX(RUNS!$H$6:$H$1005,MATCH($D1519,RUNS!$A$6:$A$1005,0))),""))</f>
        <v/>
      </c>
      <c r="P1519" s="33">
        <f>IF($D1519="","",IFERROR(IF(INDEX(RUNS!$J$6:$J$1005,MATCH($D1519,RUNS!$A$6:$A$1005,0))="","",INDEX(RUNS!$J$6:$J$1005,MATCH($D1519,RUNS!$A$6:$A$1005,0))),""))</f>
        <v/>
      </c>
      <c r="Q1519" s="33">
        <f>IF($D1519="","",IFERROR(IF(INDEX(RUNS!$K$6:$K$1005,MATCH($D1519,RUNS!$A$6:$A$1005,0))="","",INDEX(RUNS!$K$6:$K$1005,MATCH($D1519,RUNS!$A$6:$A$1005,0))),""))</f>
        <v/>
      </c>
      <c r="R1519" s="34">
        <f>IF(OR($L1519="",$K1519=""),"",IFERROR(IF(INDEX(PARAMETRES!$H$43:$H$342,MATCH($L1519&amp;"|"&amp;$M1519&amp;"|"&amp;$N1519&amp;"|"&amp;$O1519&amp;"|"&amp;$P1519&amp;"|"&amp;$Q1519&amp;"|"&amp;$K1519,PARAMETRES!$J$43:$J$342,0))="","",INDEX(PARAMETRES!$H$43:$H$342,MATCH($L1519&amp;"|"&amp;$M1519&amp;"|"&amp;$N1519&amp;"|"&amp;$O1519&amp;"|"&amp;$P1519&amp;"|"&amp;$Q1519&amp;"|"&amp;$K1519,PARAMETRES!$J$43:$J$342,0))),""))</f>
        <v/>
      </c>
      <c r="S1519" s="35">
        <f>IF(OR($G1519="",$X1519&lt;&gt;"VALIDE"),"",IFERROR(LOOKUP(2,1/(($B619:$B1518=$B1519)*($G619:$G1518=$G1519)*($X619:$X1518="VALIDE")),$C619:$C1518),""))</f>
        <v/>
      </c>
      <c r="T1519" s="36">
        <f>IF(OR($C1519="",$S1519=""),"",ROUND(($C1519-$S1519+IF($C1519&lt;$S1519,1,0))*1440,0))</f>
        <v/>
      </c>
      <c r="U1519" s="22">
        <f>IF(OR($H1519="",$T1519="",$T1519&lt;=0),"",$H1519*60/$T1519)</f>
        <v/>
      </c>
      <c r="V1519" s="37">
        <f>IF(OR($U1519="",$R1519="",$R1519=0),"",$U1519/$R1519)</f>
        <v/>
      </c>
      <c r="W1519" s="20">
        <f>IF($G1519="","",IF($X1519="CONTEXTE INCOMPLET","CONTEXTE INCOMPLET",IF($X1519="DOUBLON",StatutDoublon,IF($S1519="",StatutInitial,IF($R1519="",StatutStandardManquant,IF($V1519="","DONNEES INSUFFISANTES",IF($V1519&gt;=SeuilConforme,StatutConforme,IF($V1519&gt;=SeuilSurveiller,StatutSurveiller,StatutSousStandard))))))))</f>
        <v/>
      </c>
      <c r="X1519" s="33">
        <f>IF($G1519="","",IF(OR($D1519="",$E1519="",$F1519=""),"CONTEXTE INCOMPLET",IF(COUNTIFS($D619:$D1518,$D1519,$E619:$E1518,$E1519,$F619:$F1518,$F1519,$G619:$G1518,$G1519)&gt;0,"DOUBLON","VALIDE")))</f>
        <v/>
      </c>
    </row>
    <row r="1520" ht="15" customHeight="1">
      <c r="A1520" s="12">
        <f>IF(OR($B1520="",$G1520=""),"",TEXT($B1520,"YYYYMMDD")&amp;"-"&amp;SUBSTITUTE($E1520," ","")&amp;"-"&amp;$F1520&amp;"-"&amp;$G1520)</f>
        <v/>
      </c>
      <c r="B1520" s="15" t="n"/>
      <c r="C1520" s="16" t="n"/>
      <c r="D1520" s="10" t="n"/>
      <c r="E1520" s="9" t="n"/>
      <c r="F1520" s="9" t="n"/>
      <c r="G1520" s="13" t="n"/>
      <c r="H1520" s="21" t="n"/>
      <c r="I1520" s="21" t="n"/>
      <c r="J1520" s="17">
        <f>IF($G1520="","",IFERROR(INDEX(NomsEmployes,MATCH($G1520,MatriculesEmployes,0)),"MATRICULE INCONNU"))</f>
        <v/>
      </c>
      <c r="K1520" s="33">
        <f>IF(OR($D1520="",$F1520=""),"",IFERROR(IF(INDEX(RUNS!$L$6:$S$1005,MATCH($D1520,RUNS!$A$6:$A$1005,0),MATCH("ACTIVITÉ "&amp;$F1520,RUNS!$L$5:$S$5,0))="","",INDEX(RUNS!$L$6:$S$1005,MATCH($D1520,RUNS!$A$6:$A$1005,0),MATCH("ACTIVITÉ "&amp;$F1520,RUNS!$L$5:$S$5,0))),""))</f>
        <v/>
      </c>
      <c r="L1520" s="33">
        <f>IF($D1520="","",IFERROR(IF(INDEX(RUNS!$E$6:$E$1005,MATCH($D1520,RUNS!$A$6:$A$1005,0))="","",INDEX(RUNS!$E$6:$E$1005,MATCH($D1520,RUNS!$A$6:$A$1005,0))),""))</f>
        <v/>
      </c>
      <c r="M1520" s="33">
        <f>IF($D1520="","",IFERROR(IF(INDEX(RUNS!$F$6:$F$1005,MATCH($D1520,RUNS!$A$6:$A$1005,0))="","",INDEX(RUNS!$F$6:$F$1005,MATCH($D1520,RUNS!$A$6:$A$1005,0))),""))</f>
        <v/>
      </c>
      <c r="N1520" s="33">
        <f>IF($D1520="","",IFERROR(IF(INDEX(RUNS!$G$6:$G$1005,MATCH($D1520,RUNS!$A$6:$A$1005,0))="","",INDEX(RUNS!$G$6:$G$1005,MATCH($D1520,RUNS!$A$6:$A$1005,0))),""))</f>
        <v/>
      </c>
      <c r="O1520" s="33">
        <f>IF($D1520="","",IFERROR(IF(INDEX(RUNS!$H$6:$H$1005,MATCH($D1520,RUNS!$A$6:$A$1005,0))="","",INDEX(RUNS!$H$6:$H$1005,MATCH($D1520,RUNS!$A$6:$A$1005,0))),""))</f>
        <v/>
      </c>
      <c r="P1520" s="33">
        <f>IF($D1520="","",IFERROR(IF(INDEX(RUNS!$J$6:$J$1005,MATCH($D1520,RUNS!$A$6:$A$1005,0))="","",INDEX(RUNS!$J$6:$J$1005,MATCH($D1520,RUNS!$A$6:$A$1005,0))),""))</f>
        <v/>
      </c>
      <c r="Q1520" s="33">
        <f>IF($D1520="","",IFERROR(IF(INDEX(RUNS!$K$6:$K$1005,MATCH($D1520,RUNS!$A$6:$A$1005,0))="","",INDEX(RUNS!$K$6:$K$1005,MATCH($D1520,RUNS!$A$6:$A$1005,0))),""))</f>
        <v/>
      </c>
      <c r="R1520" s="34">
        <f>IF(OR($L1520="",$K1520=""),"",IFERROR(IF(INDEX(PARAMETRES!$H$43:$H$342,MATCH($L1520&amp;"|"&amp;$M1520&amp;"|"&amp;$N1520&amp;"|"&amp;$O1520&amp;"|"&amp;$P1520&amp;"|"&amp;$Q1520&amp;"|"&amp;$K1520,PARAMETRES!$J$43:$J$342,0))="","",INDEX(PARAMETRES!$H$43:$H$342,MATCH($L1520&amp;"|"&amp;$M1520&amp;"|"&amp;$N1520&amp;"|"&amp;$O1520&amp;"|"&amp;$P1520&amp;"|"&amp;$Q1520&amp;"|"&amp;$K1520,PARAMETRES!$J$43:$J$342,0))),""))</f>
        <v/>
      </c>
      <c r="S1520" s="35">
        <f>IF(OR($G1520="",$X1520&lt;&gt;"VALIDE"),"",IFERROR(LOOKUP(2,1/(($B620:$B1519=$B1520)*($G620:$G1519=$G1520)*($X620:$X1519="VALIDE")),$C620:$C1519),""))</f>
        <v/>
      </c>
      <c r="T1520" s="36">
        <f>IF(OR($C1520="",$S1520=""),"",ROUND(($C1520-$S1520+IF($C1520&lt;$S1520,1,0))*1440,0))</f>
        <v/>
      </c>
      <c r="U1520" s="22">
        <f>IF(OR($H1520="",$T1520="",$T1520&lt;=0),"",$H1520*60/$T1520)</f>
        <v/>
      </c>
      <c r="V1520" s="37">
        <f>IF(OR($U1520="",$R1520="",$R1520=0),"",$U1520/$R1520)</f>
        <v/>
      </c>
      <c r="W1520" s="20">
        <f>IF($G1520="","",IF($X1520="CONTEXTE INCOMPLET","CONTEXTE INCOMPLET",IF($X1520="DOUBLON",StatutDoublon,IF($S1520="",StatutInitial,IF($R1520="",StatutStandardManquant,IF($V1520="","DONNEES INSUFFISANTES",IF($V1520&gt;=SeuilConforme,StatutConforme,IF($V1520&gt;=SeuilSurveiller,StatutSurveiller,StatutSousStandard))))))))</f>
        <v/>
      </c>
      <c r="X1520" s="33">
        <f>IF($G1520="","",IF(OR($D1520="",$E1520="",$F1520=""),"CONTEXTE INCOMPLET",IF(COUNTIFS($D620:$D1519,$D1520,$E620:$E1519,$E1520,$F620:$F1519,$F1520,$G620:$G1519,$G1520)&gt;0,"DOUBLON","VALIDE")))</f>
        <v/>
      </c>
    </row>
    <row r="1521" ht="15" customHeight="1">
      <c r="A1521" s="12">
        <f>IF(OR($B1521="",$G1521=""),"",TEXT($B1521,"YYYYMMDD")&amp;"-"&amp;SUBSTITUTE($E1521," ","")&amp;"-"&amp;$F1521&amp;"-"&amp;$G1521)</f>
        <v/>
      </c>
      <c r="B1521" s="15" t="n"/>
      <c r="C1521" s="16" t="n"/>
      <c r="D1521" s="10" t="n"/>
      <c r="E1521" s="9" t="n"/>
      <c r="F1521" s="9" t="n"/>
      <c r="G1521" s="13" t="n"/>
      <c r="H1521" s="21" t="n"/>
      <c r="I1521" s="21" t="n"/>
      <c r="J1521" s="17">
        <f>IF($G1521="","",IFERROR(INDEX(NomsEmployes,MATCH($G1521,MatriculesEmployes,0)),"MATRICULE INCONNU"))</f>
        <v/>
      </c>
      <c r="K1521" s="33">
        <f>IF(OR($D1521="",$F1521=""),"",IFERROR(IF(INDEX(RUNS!$L$6:$S$1005,MATCH($D1521,RUNS!$A$6:$A$1005,0),MATCH("ACTIVITÉ "&amp;$F1521,RUNS!$L$5:$S$5,0))="","",INDEX(RUNS!$L$6:$S$1005,MATCH($D1521,RUNS!$A$6:$A$1005,0),MATCH("ACTIVITÉ "&amp;$F1521,RUNS!$L$5:$S$5,0))),""))</f>
        <v/>
      </c>
      <c r="L1521" s="33">
        <f>IF($D1521="","",IFERROR(IF(INDEX(RUNS!$E$6:$E$1005,MATCH($D1521,RUNS!$A$6:$A$1005,0))="","",INDEX(RUNS!$E$6:$E$1005,MATCH($D1521,RUNS!$A$6:$A$1005,0))),""))</f>
        <v/>
      </c>
      <c r="M1521" s="33">
        <f>IF($D1521="","",IFERROR(IF(INDEX(RUNS!$F$6:$F$1005,MATCH($D1521,RUNS!$A$6:$A$1005,0))="","",INDEX(RUNS!$F$6:$F$1005,MATCH($D1521,RUNS!$A$6:$A$1005,0))),""))</f>
        <v/>
      </c>
      <c r="N1521" s="33">
        <f>IF($D1521="","",IFERROR(IF(INDEX(RUNS!$G$6:$G$1005,MATCH($D1521,RUNS!$A$6:$A$1005,0))="","",INDEX(RUNS!$G$6:$G$1005,MATCH($D1521,RUNS!$A$6:$A$1005,0))),""))</f>
        <v/>
      </c>
      <c r="O1521" s="33">
        <f>IF($D1521="","",IFERROR(IF(INDEX(RUNS!$H$6:$H$1005,MATCH($D1521,RUNS!$A$6:$A$1005,0))="","",INDEX(RUNS!$H$6:$H$1005,MATCH($D1521,RUNS!$A$6:$A$1005,0))),""))</f>
        <v/>
      </c>
      <c r="P1521" s="33">
        <f>IF($D1521="","",IFERROR(IF(INDEX(RUNS!$J$6:$J$1005,MATCH($D1521,RUNS!$A$6:$A$1005,0))="","",INDEX(RUNS!$J$6:$J$1005,MATCH($D1521,RUNS!$A$6:$A$1005,0))),""))</f>
        <v/>
      </c>
      <c r="Q1521" s="33">
        <f>IF($D1521="","",IFERROR(IF(INDEX(RUNS!$K$6:$K$1005,MATCH($D1521,RUNS!$A$6:$A$1005,0))="","",INDEX(RUNS!$K$6:$K$1005,MATCH($D1521,RUNS!$A$6:$A$1005,0))),""))</f>
        <v/>
      </c>
      <c r="R1521" s="34">
        <f>IF(OR($L1521="",$K1521=""),"",IFERROR(IF(INDEX(PARAMETRES!$H$43:$H$342,MATCH($L1521&amp;"|"&amp;$M1521&amp;"|"&amp;$N1521&amp;"|"&amp;$O1521&amp;"|"&amp;$P1521&amp;"|"&amp;$Q1521&amp;"|"&amp;$K1521,PARAMETRES!$J$43:$J$342,0))="","",INDEX(PARAMETRES!$H$43:$H$342,MATCH($L1521&amp;"|"&amp;$M1521&amp;"|"&amp;$N1521&amp;"|"&amp;$O1521&amp;"|"&amp;$P1521&amp;"|"&amp;$Q1521&amp;"|"&amp;$K1521,PARAMETRES!$J$43:$J$342,0))),""))</f>
        <v/>
      </c>
      <c r="S1521" s="35">
        <f>IF(OR($G1521="",$X1521&lt;&gt;"VALIDE"),"",IFERROR(LOOKUP(2,1/(($B621:$B1520=$B1521)*($G621:$G1520=$G1521)*($X621:$X1520="VALIDE")),$C621:$C1520),""))</f>
        <v/>
      </c>
      <c r="T1521" s="36">
        <f>IF(OR($C1521="",$S1521=""),"",ROUND(($C1521-$S1521+IF($C1521&lt;$S1521,1,0))*1440,0))</f>
        <v/>
      </c>
      <c r="U1521" s="22">
        <f>IF(OR($H1521="",$T1521="",$T1521&lt;=0),"",$H1521*60/$T1521)</f>
        <v/>
      </c>
      <c r="V1521" s="37">
        <f>IF(OR($U1521="",$R1521="",$R1521=0),"",$U1521/$R1521)</f>
        <v/>
      </c>
      <c r="W1521" s="20">
        <f>IF($G1521="","",IF($X1521="CONTEXTE INCOMPLET","CONTEXTE INCOMPLET",IF($X1521="DOUBLON",StatutDoublon,IF($S1521="",StatutInitial,IF($R1521="",StatutStandardManquant,IF($V1521="","DONNEES INSUFFISANTES",IF($V1521&gt;=SeuilConforme,StatutConforme,IF($V1521&gt;=SeuilSurveiller,StatutSurveiller,StatutSousStandard))))))))</f>
        <v/>
      </c>
      <c r="X1521" s="33">
        <f>IF($G1521="","",IF(OR($D1521="",$E1521="",$F1521=""),"CONTEXTE INCOMPLET",IF(COUNTIFS($D621:$D1520,$D1521,$E621:$E1520,$E1521,$F621:$F1520,$F1521,$G621:$G1520,$G1521)&gt;0,"DOUBLON","VALIDE")))</f>
        <v/>
      </c>
    </row>
    <row r="1522" ht="15" customHeight="1">
      <c r="A1522" s="12">
        <f>IF(OR($B1522="",$G1522=""),"",TEXT($B1522,"YYYYMMDD")&amp;"-"&amp;SUBSTITUTE($E1522," ","")&amp;"-"&amp;$F1522&amp;"-"&amp;$G1522)</f>
        <v/>
      </c>
      <c r="B1522" s="15" t="n"/>
      <c r="C1522" s="16" t="n"/>
      <c r="D1522" s="10" t="n"/>
      <c r="E1522" s="9" t="n"/>
      <c r="F1522" s="9" t="n"/>
      <c r="G1522" s="13" t="n"/>
      <c r="H1522" s="21" t="n"/>
      <c r="I1522" s="21" t="n"/>
      <c r="J1522" s="17">
        <f>IF($G1522="","",IFERROR(INDEX(NomsEmployes,MATCH($G1522,MatriculesEmployes,0)),"MATRICULE INCONNU"))</f>
        <v/>
      </c>
      <c r="K1522" s="33">
        <f>IF(OR($D1522="",$F1522=""),"",IFERROR(IF(INDEX(RUNS!$L$6:$S$1005,MATCH($D1522,RUNS!$A$6:$A$1005,0),MATCH("ACTIVITÉ "&amp;$F1522,RUNS!$L$5:$S$5,0))="","",INDEX(RUNS!$L$6:$S$1005,MATCH($D1522,RUNS!$A$6:$A$1005,0),MATCH("ACTIVITÉ "&amp;$F1522,RUNS!$L$5:$S$5,0))),""))</f>
        <v/>
      </c>
      <c r="L1522" s="33">
        <f>IF($D1522="","",IFERROR(IF(INDEX(RUNS!$E$6:$E$1005,MATCH($D1522,RUNS!$A$6:$A$1005,0))="","",INDEX(RUNS!$E$6:$E$1005,MATCH($D1522,RUNS!$A$6:$A$1005,0))),""))</f>
        <v/>
      </c>
      <c r="M1522" s="33">
        <f>IF($D1522="","",IFERROR(IF(INDEX(RUNS!$F$6:$F$1005,MATCH($D1522,RUNS!$A$6:$A$1005,0))="","",INDEX(RUNS!$F$6:$F$1005,MATCH($D1522,RUNS!$A$6:$A$1005,0))),""))</f>
        <v/>
      </c>
      <c r="N1522" s="33">
        <f>IF($D1522="","",IFERROR(IF(INDEX(RUNS!$G$6:$G$1005,MATCH($D1522,RUNS!$A$6:$A$1005,0))="","",INDEX(RUNS!$G$6:$G$1005,MATCH($D1522,RUNS!$A$6:$A$1005,0))),""))</f>
        <v/>
      </c>
      <c r="O1522" s="33">
        <f>IF($D1522="","",IFERROR(IF(INDEX(RUNS!$H$6:$H$1005,MATCH($D1522,RUNS!$A$6:$A$1005,0))="","",INDEX(RUNS!$H$6:$H$1005,MATCH($D1522,RUNS!$A$6:$A$1005,0))),""))</f>
        <v/>
      </c>
      <c r="P1522" s="33">
        <f>IF($D1522="","",IFERROR(IF(INDEX(RUNS!$J$6:$J$1005,MATCH($D1522,RUNS!$A$6:$A$1005,0))="","",INDEX(RUNS!$J$6:$J$1005,MATCH($D1522,RUNS!$A$6:$A$1005,0))),""))</f>
        <v/>
      </c>
      <c r="Q1522" s="33">
        <f>IF($D1522="","",IFERROR(IF(INDEX(RUNS!$K$6:$K$1005,MATCH($D1522,RUNS!$A$6:$A$1005,0))="","",INDEX(RUNS!$K$6:$K$1005,MATCH($D1522,RUNS!$A$6:$A$1005,0))),""))</f>
        <v/>
      </c>
      <c r="R1522" s="34">
        <f>IF(OR($L1522="",$K1522=""),"",IFERROR(IF(INDEX(PARAMETRES!$H$43:$H$342,MATCH($L1522&amp;"|"&amp;$M1522&amp;"|"&amp;$N1522&amp;"|"&amp;$O1522&amp;"|"&amp;$P1522&amp;"|"&amp;$Q1522&amp;"|"&amp;$K1522,PARAMETRES!$J$43:$J$342,0))="","",INDEX(PARAMETRES!$H$43:$H$342,MATCH($L1522&amp;"|"&amp;$M1522&amp;"|"&amp;$N1522&amp;"|"&amp;$O1522&amp;"|"&amp;$P1522&amp;"|"&amp;$Q1522&amp;"|"&amp;$K1522,PARAMETRES!$J$43:$J$342,0))),""))</f>
        <v/>
      </c>
      <c r="S1522" s="35">
        <f>IF(OR($G1522="",$X1522&lt;&gt;"VALIDE"),"",IFERROR(LOOKUP(2,1/(($B622:$B1521=$B1522)*($G622:$G1521=$G1522)*($X622:$X1521="VALIDE")),$C622:$C1521),""))</f>
        <v/>
      </c>
      <c r="T1522" s="36">
        <f>IF(OR($C1522="",$S1522=""),"",ROUND(($C1522-$S1522+IF($C1522&lt;$S1522,1,0))*1440,0))</f>
        <v/>
      </c>
      <c r="U1522" s="22">
        <f>IF(OR($H1522="",$T1522="",$T1522&lt;=0),"",$H1522*60/$T1522)</f>
        <v/>
      </c>
      <c r="V1522" s="37">
        <f>IF(OR($U1522="",$R1522="",$R1522=0),"",$U1522/$R1522)</f>
        <v/>
      </c>
      <c r="W1522" s="20">
        <f>IF($G1522="","",IF($X1522="CONTEXTE INCOMPLET","CONTEXTE INCOMPLET",IF($X1522="DOUBLON",StatutDoublon,IF($S1522="",StatutInitial,IF($R1522="",StatutStandardManquant,IF($V1522="","DONNEES INSUFFISANTES",IF($V1522&gt;=SeuilConforme,StatutConforme,IF($V1522&gt;=SeuilSurveiller,StatutSurveiller,StatutSousStandard))))))))</f>
        <v/>
      </c>
      <c r="X1522" s="33">
        <f>IF($G1522="","",IF(OR($D1522="",$E1522="",$F1522=""),"CONTEXTE INCOMPLET",IF(COUNTIFS($D622:$D1521,$D1522,$E622:$E1521,$E1522,$F622:$F1521,$F1522,$G622:$G1521,$G1522)&gt;0,"DOUBLON","VALIDE")))</f>
        <v/>
      </c>
    </row>
    <row r="1523" ht="15" customHeight="1">
      <c r="A1523" s="12">
        <f>IF(OR($B1523="",$G1523=""),"",TEXT($B1523,"YYYYMMDD")&amp;"-"&amp;SUBSTITUTE($E1523," ","")&amp;"-"&amp;$F1523&amp;"-"&amp;$G1523)</f>
        <v/>
      </c>
      <c r="B1523" s="15" t="n"/>
      <c r="C1523" s="16" t="n"/>
      <c r="D1523" s="10" t="n"/>
      <c r="E1523" s="9" t="n"/>
      <c r="F1523" s="9" t="n"/>
      <c r="G1523" s="13" t="n"/>
      <c r="H1523" s="21" t="n"/>
      <c r="I1523" s="21" t="n"/>
      <c r="J1523" s="17">
        <f>IF($G1523="","",IFERROR(INDEX(NomsEmployes,MATCH($G1523,MatriculesEmployes,0)),"MATRICULE INCONNU"))</f>
        <v/>
      </c>
      <c r="K1523" s="33">
        <f>IF(OR($D1523="",$F1523=""),"",IFERROR(IF(INDEX(RUNS!$L$6:$S$1005,MATCH($D1523,RUNS!$A$6:$A$1005,0),MATCH("ACTIVITÉ "&amp;$F1523,RUNS!$L$5:$S$5,0))="","",INDEX(RUNS!$L$6:$S$1005,MATCH($D1523,RUNS!$A$6:$A$1005,0),MATCH("ACTIVITÉ "&amp;$F1523,RUNS!$L$5:$S$5,0))),""))</f>
        <v/>
      </c>
      <c r="L1523" s="33">
        <f>IF($D1523="","",IFERROR(IF(INDEX(RUNS!$E$6:$E$1005,MATCH($D1523,RUNS!$A$6:$A$1005,0))="","",INDEX(RUNS!$E$6:$E$1005,MATCH($D1523,RUNS!$A$6:$A$1005,0))),""))</f>
        <v/>
      </c>
      <c r="M1523" s="33">
        <f>IF($D1523="","",IFERROR(IF(INDEX(RUNS!$F$6:$F$1005,MATCH($D1523,RUNS!$A$6:$A$1005,0))="","",INDEX(RUNS!$F$6:$F$1005,MATCH($D1523,RUNS!$A$6:$A$1005,0))),""))</f>
        <v/>
      </c>
      <c r="N1523" s="33">
        <f>IF($D1523="","",IFERROR(IF(INDEX(RUNS!$G$6:$G$1005,MATCH($D1523,RUNS!$A$6:$A$1005,0))="","",INDEX(RUNS!$G$6:$G$1005,MATCH($D1523,RUNS!$A$6:$A$1005,0))),""))</f>
        <v/>
      </c>
      <c r="O1523" s="33">
        <f>IF($D1523="","",IFERROR(IF(INDEX(RUNS!$H$6:$H$1005,MATCH($D1523,RUNS!$A$6:$A$1005,0))="","",INDEX(RUNS!$H$6:$H$1005,MATCH($D1523,RUNS!$A$6:$A$1005,0))),""))</f>
        <v/>
      </c>
      <c r="P1523" s="33">
        <f>IF($D1523="","",IFERROR(IF(INDEX(RUNS!$J$6:$J$1005,MATCH($D1523,RUNS!$A$6:$A$1005,0))="","",INDEX(RUNS!$J$6:$J$1005,MATCH($D1523,RUNS!$A$6:$A$1005,0))),""))</f>
        <v/>
      </c>
      <c r="Q1523" s="33">
        <f>IF($D1523="","",IFERROR(IF(INDEX(RUNS!$K$6:$K$1005,MATCH($D1523,RUNS!$A$6:$A$1005,0))="","",INDEX(RUNS!$K$6:$K$1005,MATCH($D1523,RUNS!$A$6:$A$1005,0))),""))</f>
        <v/>
      </c>
      <c r="R1523" s="34">
        <f>IF(OR($L1523="",$K1523=""),"",IFERROR(IF(INDEX(PARAMETRES!$H$43:$H$342,MATCH($L1523&amp;"|"&amp;$M1523&amp;"|"&amp;$N1523&amp;"|"&amp;$O1523&amp;"|"&amp;$P1523&amp;"|"&amp;$Q1523&amp;"|"&amp;$K1523,PARAMETRES!$J$43:$J$342,0))="","",INDEX(PARAMETRES!$H$43:$H$342,MATCH($L1523&amp;"|"&amp;$M1523&amp;"|"&amp;$N1523&amp;"|"&amp;$O1523&amp;"|"&amp;$P1523&amp;"|"&amp;$Q1523&amp;"|"&amp;$K1523,PARAMETRES!$J$43:$J$342,0))),""))</f>
        <v/>
      </c>
      <c r="S1523" s="35">
        <f>IF(OR($G1523="",$X1523&lt;&gt;"VALIDE"),"",IFERROR(LOOKUP(2,1/(($B623:$B1522=$B1523)*($G623:$G1522=$G1523)*($X623:$X1522="VALIDE")),$C623:$C1522),""))</f>
        <v/>
      </c>
      <c r="T1523" s="36">
        <f>IF(OR($C1523="",$S1523=""),"",ROUND(($C1523-$S1523+IF($C1523&lt;$S1523,1,0))*1440,0))</f>
        <v/>
      </c>
      <c r="U1523" s="22">
        <f>IF(OR($H1523="",$T1523="",$T1523&lt;=0),"",$H1523*60/$T1523)</f>
        <v/>
      </c>
      <c r="V1523" s="37">
        <f>IF(OR($U1523="",$R1523="",$R1523=0),"",$U1523/$R1523)</f>
        <v/>
      </c>
      <c r="W1523" s="20">
        <f>IF($G1523="","",IF($X1523="CONTEXTE INCOMPLET","CONTEXTE INCOMPLET",IF($X1523="DOUBLON",StatutDoublon,IF($S1523="",StatutInitial,IF($R1523="",StatutStandardManquant,IF($V1523="","DONNEES INSUFFISANTES",IF($V1523&gt;=SeuilConforme,StatutConforme,IF($V1523&gt;=SeuilSurveiller,StatutSurveiller,StatutSousStandard))))))))</f>
        <v/>
      </c>
      <c r="X1523" s="33">
        <f>IF($G1523="","",IF(OR($D1523="",$E1523="",$F1523=""),"CONTEXTE INCOMPLET",IF(COUNTIFS($D623:$D1522,$D1523,$E623:$E1522,$E1523,$F623:$F1522,$F1523,$G623:$G1522,$G1523)&gt;0,"DOUBLON","VALIDE")))</f>
        <v/>
      </c>
    </row>
    <row r="1524" ht="15" customHeight="1">
      <c r="A1524" s="12">
        <f>IF(OR($B1524="",$G1524=""),"",TEXT($B1524,"YYYYMMDD")&amp;"-"&amp;SUBSTITUTE($E1524," ","")&amp;"-"&amp;$F1524&amp;"-"&amp;$G1524)</f>
        <v/>
      </c>
      <c r="B1524" s="15" t="n"/>
      <c r="C1524" s="16" t="n"/>
      <c r="D1524" s="10" t="n"/>
      <c r="E1524" s="9" t="n"/>
      <c r="F1524" s="9" t="n"/>
      <c r="G1524" s="13" t="n"/>
      <c r="H1524" s="21" t="n"/>
      <c r="I1524" s="21" t="n"/>
      <c r="J1524" s="17">
        <f>IF($G1524="","",IFERROR(INDEX(NomsEmployes,MATCH($G1524,MatriculesEmployes,0)),"MATRICULE INCONNU"))</f>
        <v/>
      </c>
      <c r="K1524" s="33">
        <f>IF(OR($D1524="",$F1524=""),"",IFERROR(IF(INDEX(RUNS!$L$6:$S$1005,MATCH($D1524,RUNS!$A$6:$A$1005,0),MATCH("ACTIVITÉ "&amp;$F1524,RUNS!$L$5:$S$5,0))="","",INDEX(RUNS!$L$6:$S$1005,MATCH($D1524,RUNS!$A$6:$A$1005,0),MATCH("ACTIVITÉ "&amp;$F1524,RUNS!$L$5:$S$5,0))),""))</f>
        <v/>
      </c>
      <c r="L1524" s="33">
        <f>IF($D1524="","",IFERROR(IF(INDEX(RUNS!$E$6:$E$1005,MATCH($D1524,RUNS!$A$6:$A$1005,0))="","",INDEX(RUNS!$E$6:$E$1005,MATCH($D1524,RUNS!$A$6:$A$1005,0))),""))</f>
        <v/>
      </c>
      <c r="M1524" s="33">
        <f>IF($D1524="","",IFERROR(IF(INDEX(RUNS!$F$6:$F$1005,MATCH($D1524,RUNS!$A$6:$A$1005,0))="","",INDEX(RUNS!$F$6:$F$1005,MATCH($D1524,RUNS!$A$6:$A$1005,0))),""))</f>
        <v/>
      </c>
      <c r="N1524" s="33">
        <f>IF($D1524="","",IFERROR(IF(INDEX(RUNS!$G$6:$G$1005,MATCH($D1524,RUNS!$A$6:$A$1005,0))="","",INDEX(RUNS!$G$6:$G$1005,MATCH($D1524,RUNS!$A$6:$A$1005,0))),""))</f>
        <v/>
      </c>
      <c r="O1524" s="33">
        <f>IF($D1524="","",IFERROR(IF(INDEX(RUNS!$H$6:$H$1005,MATCH($D1524,RUNS!$A$6:$A$1005,0))="","",INDEX(RUNS!$H$6:$H$1005,MATCH($D1524,RUNS!$A$6:$A$1005,0))),""))</f>
        <v/>
      </c>
      <c r="P1524" s="33">
        <f>IF($D1524="","",IFERROR(IF(INDEX(RUNS!$J$6:$J$1005,MATCH($D1524,RUNS!$A$6:$A$1005,0))="","",INDEX(RUNS!$J$6:$J$1005,MATCH($D1524,RUNS!$A$6:$A$1005,0))),""))</f>
        <v/>
      </c>
      <c r="Q1524" s="33">
        <f>IF($D1524="","",IFERROR(IF(INDEX(RUNS!$K$6:$K$1005,MATCH($D1524,RUNS!$A$6:$A$1005,0))="","",INDEX(RUNS!$K$6:$K$1005,MATCH($D1524,RUNS!$A$6:$A$1005,0))),""))</f>
        <v/>
      </c>
      <c r="R1524" s="34">
        <f>IF(OR($L1524="",$K1524=""),"",IFERROR(IF(INDEX(PARAMETRES!$H$43:$H$342,MATCH($L1524&amp;"|"&amp;$M1524&amp;"|"&amp;$N1524&amp;"|"&amp;$O1524&amp;"|"&amp;$P1524&amp;"|"&amp;$Q1524&amp;"|"&amp;$K1524,PARAMETRES!$J$43:$J$342,0))="","",INDEX(PARAMETRES!$H$43:$H$342,MATCH($L1524&amp;"|"&amp;$M1524&amp;"|"&amp;$N1524&amp;"|"&amp;$O1524&amp;"|"&amp;$P1524&amp;"|"&amp;$Q1524&amp;"|"&amp;$K1524,PARAMETRES!$J$43:$J$342,0))),""))</f>
        <v/>
      </c>
      <c r="S1524" s="35">
        <f>IF(OR($G1524="",$X1524&lt;&gt;"VALIDE"),"",IFERROR(LOOKUP(2,1/(($B624:$B1523=$B1524)*($G624:$G1523=$G1524)*($X624:$X1523="VALIDE")),$C624:$C1523),""))</f>
        <v/>
      </c>
      <c r="T1524" s="36">
        <f>IF(OR($C1524="",$S1524=""),"",ROUND(($C1524-$S1524+IF($C1524&lt;$S1524,1,0))*1440,0))</f>
        <v/>
      </c>
      <c r="U1524" s="22">
        <f>IF(OR($H1524="",$T1524="",$T1524&lt;=0),"",$H1524*60/$T1524)</f>
        <v/>
      </c>
      <c r="V1524" s="37">
        <f>IF(OR($U1524="",$R1524="",$R1524=0),"",$U1524/$R1524)</f>
        <v/>
      </c>
      <c r="W1524" s="20">
        <f>IF($G1524="","",IF($X1524="CONTEXTE INCOMPLET","CONTEXTE INCOMPLET",IF($X1524="DOUBLON",StatutDoublon,IF($S1524="",StatutInitial,IF($R1524="",StatutStandardManquant,IF($V1524="","DONNEES INSUFFISANTES",IF($V1524&gt;=SeuilConforme,StatutConforme,IF($V1524&gt;=SeuilSurveiller,StatutSurveiller,StatutSousStandard))))))))</f>
        <v/>
      </c>
      <c r="X1524" s="33">
        <f>IF($G1524="","",IF(OR($D1524="",$E1524="",$F1524=""),"CONTEXTE INCOMPLET",IF(COUNTIFS($D624:$D1523,$D1524,$E624:$E1523,$E1524,$F624:$F1523,$F1524,$G624:$G1523,$G1524)&gt;0,"DOUBLON","VALIDE")))</f>
        <v/>
      </c>
    </row>
    <row r="1525" ht="15" customHeight="1">
      <c r="A1525" s="12">
        <f>IF(OR($B1525="",$G1525=""),"",TEXT($B1525,"YYYYMMDD")&amp;"-"&amp;SUBSTITUTE($E1525," ","")&amp;"-"&amp;$F1525&amp;"-"&amp;$G1525)</f>
        <v/>
      </c>
      <c r="B1525" s="15" t="n"/>
      <c r="C1525" s="16" t="n"/>
      <c r="D1525" s="10" t="n"/>
      <c r="E1525" s="9" t="n"/>
      <c r="F1525" s="9" t="n"/>
      <c r="G1525" s="13" t="n"/>
      <c r="H1525" s="21" t="n"/>
      <c r="I1525" s="21" t="n"/>
      <c r="J1525" s="17">
        <f>IF($G1525="","",IFERROR(INDEX(NomsEmployes,MATCH($G1525,MatriculesEmployes,0)),"MATRICULE INCONNU"))</f>
        <v/>
      </c>
      <c r="K1525" s="33">
        <f>IF(OR($D1525="",$F1525=""),"",IFERROR(IF(INDEX(RUNS!$L$6:$S$1005,MATCH($D1525,RUNS!$A$6:$A$1005,0),MATCH("ACTIVITÉ "&amp;$F1525,RUNS!$L$5:$S$5,0))="","",INDEX(RUNS!$L$6:$S$1005,MATCH($D1525,RUNS!$A$6:$A$1005,0),MATCH("ACTIVITÉ "&amp;$F1525,RUNS!$L$5:$S$5,0))),""))</f>
        <v/>
      </c>
      <c r="L1525" s="33">
        <f>IF($D1525="","",IFERROR(IF(INDEX(RUNS!$E$6:$E$1005,MATCH($D1525,RUNS!$A$6:$A$1005,0))="","",INDEX(RUNS!$E$6:$E$1005,MATCH($D1525,RUNS!$A$6:$A$1005,0))),""))</f>
        <v/>
      </c>
      <c r="M1525" s="33">
        <f>IF($D1525="","",IFERROR(IF(INDEX(RUNS!$F$6:$F$1005,MATCH($D1525,RUNS!$A$6:$A$1005,0))="","",INDEX(RUNS!$F$6:$F$1005,MATCH($D1525,RUNS!$A$6:$A$1005,0))),""))</f>
        <v/>
      </c>
      <c r="N1525" s="33">
        <f>IF($D1525="","",IFERROR(IF(INDEX(RUNS!$G$6:$G$1005,MATCH($D1525,RUNS!$A$6:$A$1005,0))="","",INDEX(RUNS!$G$6:$G$1005,MATCH($D1525,RUNS!$A$6:$A$1005,0))),""))</f>
        <v/>
      </c>
      <c r="O1525" s="33">
        <f>IF($D1525="","",IFERROR(IF(INDEX(RUNS!$H$6:$H$1005,MATCH($D1525,RUNS!$A$6:$A$1005,0))="","",INDEX(RUNS!$H$6:$H$1005,MATCH($D1525,RUNS!$A$6:$A$1005,0))),""))</f>
        <v/>
      </c>
      <c r="P1525" s="33">
        <f>IF($D1525="","",IFERROR(IF(INDEX(RUNS!$J$6:$J$1005,MATCH($D1525,RUNS!$A$6:$A$1005,0))="","",INDEX(RUNS!$J$6:$J$1005,MATCH($D1525,RUNS!$A$6:$A$1005,0))),""))</f>
        <v/>
      </c>
      <c r="Q1525" s="33">
        <f>IF($D1525="","",IFERROR(IF(INDEX(RUNS!$K$6:$K$1005,MATCH($D1525,RUNS!$A$6:$A$1005,0))="","",INDEX(RUNS!$K$6:$K$1005,MATCH($D1525,RUNS!$A$6:$A$1005,0))),""))</f>
        <v/>
      </c>
      <c r="R1525" s="34">
        <f>IF(OR($L1525="",$K1525=""),"",IFERROR(IF(INDEX(PARAMETRES!$H$43:$H$342,MATCH($L1525&amp;"|"&amp;$M1525&amp;"|"&amp;$N1525&amp;"|"&amp;$O1525&amp;"|"&amp;$P1525&amp;"|"&amp;$Q1525&amp;"|"&amp;$K1525,PARAMETRES!$J$43:$J$342,0))="","",INDEX(PARAMETRES!$H$43:$H$342,MATCH($L1525&amp;"|"&amp;$M1525&amp;"|"&amp;$N1525&amp;"|"&amp;$O1525&amp;"|"&amp;$P1525&amp;"|"&amp;$Q1525&amp;"|"&amp;$K1525,PARAMETRES!$J$43:$J$342,0))),""))</f>
        <v/>
      </c>
      <c r="S1525" s="35">
        <f>IF(OR($G1525="",$X1525&lt;&gt;"VALIDE"),"",IFERROR(LOOKUP(2,1/(($B625:$B1524=$B1525)*($G625:$G1524=$G1525)*($X625:$X1524="VALIDE")),$C625:$C1524),""))</f>
        <v/>
      </c>
      <c r="T1525" s="36">
        <f>IF(OR($C1525="",$S1525=""),"",ROUND(($C1525-$S1525+IF($C1525&lt;$S1525,1,0))*1440,0))</f>
        <v/>
      </c>
      <c r="U1525" s="22">
        <f>IF(OR($H1525="",$T1525="",$T1525&lt;=0),"",$H1525*60/$T1525)</f>
        <v/>
      </c>
      <c r="V1525" s="37">
        <f>IF(OR($U1525="",$R1525="",$R1525=0),"",$U1525/$R1525)</f>
        <v/>
      </c>
      <c r="W1525" s="20">
        <f>IF($G1525="","",IF($X1525="CONTEXTE INCOMPLET","CONTEXTE INCOMPLET",IF($X1525="DOUBLON",StatutDoublon,IF($S1525="",StatutInitial,IF($R1525="",StatutStandardManquant,IF($V1525="","DONNEES INSUFFISANTES",IF($V1525&gt;=SeuilConforme,StatutConforme,IF($V1525&gt;=SeuilSurveiller,StatutSurveiller,StatutSousStandard))))))))</f>
        <v/>
      </c>
      <c r="X1525" s="33">
        <f>IF($G1525="","",IF(OR($D1525="",$E1525="",$F1525=""),"CONTEXTE INCOMPLET",IF(COUNTIFS($D625:$D1524,$D1525,$E625:$E1524,$E1525,$F625:$F1524,$F1525,$G625:$G1524,$G1525)&gt;0,"DOUBLON","VALIDE")))</f>
        <v/>
      </c>
    </row>
    <row r="1526" ht="15" customHeight="1">
      <c r="A1526" s="12">
        <f>IF(OR($B1526="",$G1526=""),"",TEXT($B1526,"YYYYMMDD")&amp;"-"&amp;SUBSTITUTE($E1526," ","")&amp;"-"&amp;$F1526&amp;"-"&amp;$G1526)</f>
        <v/>
      </c>
      <c r="B1526" s="15" t="n"/>
      <c r="C1526" s="16" t="n"/>
      <c r="D1526" s="10" t="n"/>
      <c r="E1526" s="9" t="n"/>
      <c r="F1526" s="9" t="n"/>
      <c r="G1526" s="13" t="n"/>
      <c r="H1526" s="21" t="n"/>
      <c r="I1526" s="21" t="n"/>
      <c r="J1526" s="17">
        <f>IF($G1526="","",IFERROR(INDEX(NomsEmployes,MATCH($G1526,MatriculesEmployes,0)),"MATRICULE INCONNU"))</f>
        <v/>
      </c>
      <c r="K1526" s="33">
        <f>IF(OR($D1526="",$F1526=""),"",IFERROR(IF(INDEX(RUNS!$L$6:$S$1005,MATCH($D1526,RUNS!$A$6:$A$1005,0),MATCH("ACTIVITÉ "&amp;$F1526,RUNS!$L$5:$S$5,0))="","",INDEX(RUNS!$L$6:$S$1005,MATCH($D1526,RUNS!$A$6:$A$1005,0),MATCH("ACTIVITÉ "&amp;$F1526,RUNS!$L$5:$S$5,0))),""))</f>
        <v/>
      </c>
      <c r="L1526" s="33">
        <f>IF($D1526="","",IFERROR(IF(INDEX(RUNS!$E$6:$E$1005,MATCH($D1526,RUNS!$A$6:$A$1005,0))="","",INDEX(RUNS!$E$6:$E$1005,MATCH($D1526,RUNS!$A$6:$A$1005,0))),""))</f>
        <v/>
      </c>
      <c r="M1526" s="33">
        <f>IF($D1526="","",IFERROR(IF(INDEX(RUNS!$F$6:$F$1005,MATCH($D1526,RUNS!$A$6:$A$1005,0))="","",INDEX(RUNS!$F$6:$F$1005,MATCH($D1526,RUNS!$A$6:$A$1005,0))),""))</f>
        <v/>
      </c>
      <c r="N1526" s="33">
        <f>IF($D1526="","",IFERROR(IF(INDEX(RUNS!$G$6:$G$1005,MATCH($D1526,RUNS!$A$6:$A$1005,0))="","",INDEX(RUNS!$G$6:$G$1005,MATCH($D1526,RUNS!$A$6:$A$1005,0))),""))</f>
        <v/>
      </c>
      <c r="O1526" s="33">
        <f>IF($D1526="","",IFERROR(IF(INDEX(RUNS!$H$6:$H$1005,MATCH($D1526,RUNS!$A$6:$A$1005,0))="","",INDEX(RUNS!$H$6:$H$1005,MATCH($D1526,RUNS!$A$6:$A$1005,0))),""))</f>
        <v/>
      </c>
      <c r="P1526" s="33">
        <f>IF($D1526="","",IFERROR(IF(INDEX(RUNS!$J$6:$J$1005,MATCH($D1526,RUNS!$A$6:$A$1005,0))="","",INDEX(RUNS!$J$6:$J$1005,MATCH($D1526,RUNS!$A$6:$A$1005,0))),""))</f>
        <v/>
      </c>
      <c r="Q1526" s="33">
        <f>IF($D1526="","",IFERROR(IF(INDEX(RUNS!$K$6:$K$1005,MATCH($D1526,RUNS!$A$6:$A$1005,0))="","",INDEX(RUNS!$K$6:$K$1005,MATCH($D1526,RUNS!$A$6:$A$1005,0))),""))</f>
        <v/>
      </c>
      <c r="R1526" s="34">
        <f>IF(OR($L1526="",$K1526=""),"",IFERROR(IF(INDEX(PARAMETRES!$H$43:$H$342,MATCH($L1526&amp;"|"&amp;$M1526&amp;"|"&amp;$N1526&amp;"|"&amp;$O1526&amp;"|"&amp;$P1526&amp;"|"&amp;$Q1526&amp;"|"&amp;$K1526,PARAMETRES!$J$43:$J$342,0))="","",INDEX(PARAMETRES!$H$43:$H$342,MATCH($L1526&amp;"|"&amp;$M1526&amp;"|"&amp;$N1526&amp;"|"&amp;$O1526&amp;"|"&amp;$P1526&amp;"|"&amp;$Q1526&amp;"|"&amp;$K1526,PARAMETRES!$J$43:$J$342,0))),""))</f>
        <v/>
      </c>
      <c r="S1526" s="35">
        <f>IF(OR($G1526="",$X1526&lt;&gt;"VALIDE"),"",IFERROR(LOOKUP(2,1/(($B626:$B1525=$B1526)*($G626:$G1525=$G1526)*($X626:$X1525="VALIDE")),$C626:$C1525),""))</f>
        <v/>
      </c>
      <c r="T1526" s="36">
        <f>IF(OR($C1526="",$S1526=""),"",ROUND(($C1526-$S1526+IF($C1526&lt;$S1526,1,0))*1440,0))</f>
        <v/>
      </c>
      <c r="U1526" s="22">
        <f>IF(OR($H1526="",$T1526="",$T1526&lt;=0),"",$H1526*60/$T1526)</f>
        <v/>
      </c>
      <c r="V1526" s="37">
        <f>IF(OR($U1526="",$R1526="",$R1526=0),"",$U1526/$R1526)</f>
        <v/>
      </c>
      <c r="W1526" s="20">
        <f>IF($G1526="","",IF($X1526="CONTEXTE INCOMPLET","CONTEXTE INCOMPLET",IF($X1526="DOUBLON",StatutDoublon,IF($S1526="",StatutInitial,IF($R1526="",StatutStandardManquant,IF($V1526="","DONNEES INSUFFISANTES",IF($V1526&gt;=SeuilConforme,StatutConforme,IF($V1526&gt;=SeuilSurveiller,StatutSurveiller,StatutSousStandard))))))))</f>
        <v/>
      </c>
      <c r="X1526" s="33">
        <f>IF($G1526="","",IF(OR($D1526="",$E1526="",$F1526=""),"CONTEXTE INCOMPLET",IF(COUNTIFS($D626:$D1525,$D1526,$E626:$E1525,$E1526,$F626:$F1525,$F1526,$G626:$G1525,$G1526)&gt;0,"DOUBLON","VALIDE")))</f>
        <v/>
      </c>
    </row>
    <row r="1527" ht="15" customHeight="1">
      <c r="A1527" s="12">
        <f>IF(OR($B1527="",$G1527=""),"",TEXT($B1527,"YYYYMMDD")&amp;"-"&amp;SUBSTITUTE($E1527," ","")&amp;"-"&amp;$F1527&amp;"-"&amp;$G1527)</f>
        <v/>
      </c>
      <c r="B1527" s="15" t="n"/>
      <c r="C1527" s="16" t="n"/>
      <c r="D1527" s="10" t="n"/>
      <c r="E1527" s="9" t="n"/>
      <c r="F1527" s="9" t="n"/>
      <c r="G1527" s="13" t="n"/>
      <c r="H1527" s="21" t="n"/>
      <c r="I1527" s="21" t="n"/>
      <c r="J1527" s="17">
        <f>IF($G1527="","",IFERROR(INDEX(NomsEmployes,MATCH($G1527,MatriculesEmployes,0)),"MATRICULE INCONNU"))</f>
        <v/>
      </c>
      <c r="K1527" s="33">
        <f>IF(OR($D1527="",$F1527=""),"",IFERROR(IF(INDEX(RUNS!$L$6:$S$1005,MATCH($D1527,RUNS!$A$6:$A$1005,0),MATCH("ACTIVITÉ "&amp;$F1527,RUNS!$L$5:$S$5,0))="","",INDEX(RUNS!$L$6:$S$1005,MATCH($D1527,RUNS!$A$6:$A$1005,0),MATCH("ACTIVITÉ "&amp;$F1527,RUNS!$L$5:$S$5,0))),""))</f>
        <v/>
      </c>
      <c r="L1527" s="33">
        <f>IF($D1527="","",IFERROR(IF(INDEX(RUNS!$E$6:$E$1005,MATCH($D1527,RUNS!$A$6:$A$1005,0))="","",INDEX(RUNS!$E$6:$E$1005,MATCH($D1527,RUNS!$A$6:$A$1005,0))),""))</f>
        <v/>
      </c>
      <c r="M1527" s="33">
        <f>IF($D1527="","",IFERROR(IF(INDEX(RUNS!$F$6:$F$1005,MATCH($D1527,RUNS!$A$6:$A$1005,0))="","",INDEX(RUNS!$F$6:$F$1005,MATCH($D1527,RUNS!$A$6:$A$1005,0))),""))</f>
        <v/>
      </c>
      <c r="N1527" s="33">
        <f>IF($D1527="","",IFERROR(IF(INDEX(RUNS!$G$6:$G$1005,MATCH($D1527,RUNS!$A$6:$A$1005,0))="","",INDEX(RUNS!$G$6:$G$1005,MATCH($D1527,RUNS!$A$6:$A$1005,0))),""))</f>
        <v/>
      </c>
      <c r="O1527" s="33">
        <f>IF($D1527="","",IFERROR(IF(INDEX(RUNS!$H$6:$H$1005,MATCH($D1527,RUNS!$A$6:$A$1005,0))="","",INDEX(RUNS!$H$6:$H$1005,MATCH($D1527,RUNS!$A$6:$A$1005,0))),""))</f>
        <v/>
      </c>
      <c r="P1527" s="33">
        <f>IF($D1527="","",IFERROR(IF(INDEX(RUNS!$J$6:$J$1005,MATCH($D1527,RUNS!$A$6:$A$1005,0))="","",INDEX(RUNS!$J$6:$J$1005,MATCH($D1527,RUNS!$A$6:$A$1005,0))),""))</f>
        <v/>
      </c>
      <c r="Q1527" s="33">
        <f>IF($D1527="","",IFERROR(IF(INDEX(RUNS!$K$6:$K$1005,MATCH($D1527,RUNS!$A$6:$A$1005,0))="","",INDEX(RUNS!$K$6:$K$1005,MATCH($D1527,RUNS!$A$6:$A$1005,0))),""))</f>
        <v/>
      </c>
      <c r="R1527" s="34">
        <f>IF(OR($L1527="",$K1527=""),"",IFERROR(IF(INDEX(PARAMETRES!$H$43:$H$342,MATCH($L1527&amp;"|"&amp;$M1527&amp;"|"&amp;$N1527&amp;"|"&amp;$O1527&amp;"|"&amp;$P1527&amp;"|"&amp;$Q1527&amp;"|"&amp;$K1527,PARAMETRES!$J$43:$J$342,0))="","",INDEX(PARAMETRES!$H$43:$H$342,MATCH($L1527&amp;"|"&amp;$M1527&amp;"|"&amp;$N1527&amp;"|"&amp;$O1527&amp;"|"&amp;$P1527&amp;"|"&amp;$Q1527&amp;"|"&amp;$K1527,PARAMETRES!$J$43:$J$342,0))),""))</f>
        <v/>
      </c>
      <c r="S1527" s="35">
        <f>IF(OR($G1527="",$X1527&lt;&gt;"VALIDE"),"",IFERROR(LOOKUP(2,1/(($B627:$B1526=$B1527)*($G627:$G1526=$G1527)*($X627:$X1526="VALIDE")),$C627:$C1526),""))</f>
        <v/>
      </c>
      <c r="T1527" s="36">
        <f>IF(OR($C1527="",$S1527=""),"",ROUND(($C1527-$S1527+IF($C1527&lt;$S1527,1,0))*1440,0))</f>
        <v/>
      </c>
      <c r="U1527" s="22">
        <f>IF(OR($H1527="",$T1527="",$T1527&lt;=0),"",$H1527*60/$T1527)</f>
        <v/>
      </c>
      <c r="V1527" s="37">
        <f>IF(OR($U1527="",$R1527="",$R1527=0),"",$U1527/$R1527)</f>
        <v/>
      </c>
      <c r="W1527" s="20">
        <f>IF($G1527="","",IF($X1527="CONTEXTE INCOMPLET","CONTEXTE INCOMPLET",IF($X1527="DOUBLON",StatutDoublon,IF($S1527="",StatutInitial,IF($R1527="",StatutStandardManquant,IF($V1527="","DONNEES INSUFFISANTES",IF($V1527&gt;=SeuilConforme,StatutConforme,IF($V1527&gt;=SeuilSurveiller,StatutSurveiller,StatutSousStandard))))))))</f>
        <v/>
      </c>
      <c r="X1527" s="33">
        <f>IF($G1527="","",IF(OR($D1527="",$E1527="",$F1527=""),"CONTEXTE INCOMPLET",IF(COUNTIFS($D627:$D1526,$D1527,$E627:$E1526,$E1527,$F627:$F1526,$F1527,$G627:$G1526,$G1527)&gt;0,"DOUBLON","VALIDE")))</f>
        <v/>
      </c>
    </row>
    <row r="1528" ht="15" customHeight="1">
      <c r="A1528" s="12">
        <f>IF(OR($B1528="",$G1528=""),"",TEXT($B1528,"YYYYMMDD")&amp;"-"&amp;SUBSTITUTE($E1528," ","")&amp;"-"&amp;$F1528&amp;"-"&amp;$G1528)</f>
        <v/>
      </c>
      <c r="B1528" s="15" t="n"/>
      <c r="C1528" s="16" t="n"/>
      <c r="D1528" s="10" t="n"/>
      <c r="E1528" s="9" t="n"/>
      <c r="F1528" s="9" t="n"/>
      <c r="G1528" s="13" t="n"/>
      <c r="H1528" s="21" t="n"/>
      <c r="I1528" s="21" t="n"/>
      <c r="J1528" s="17">
        <f>IF($G1528="","",IFERROR(INDEX(NomsEmployes,MATCH($G1528,MatriculesEmployes,0)),"MATRICULE INCONNU"))</f>
        <v/>
      </c>
      <c r="K1528" s="33">
        <f>IF(OR($D1528="",$F1528=""),"",IFERROR(IF(INDEX(RUNS!$L$6:$S$1005,MATCH($D1528,RUNS!$A$6:$A$1005,0),MATCH("ACTIVITÉ "&amp;$F1528,RUNS!$L$5:$S$5,0))="","",INDEX(RUNS!$L$6:$S$1005,MATCH($D1528,RUNS!$A$6:$A$1005,0),MATCH("ACTIVITÉ "&amp;$F1528,RUNS!$L$5:$S$5,0))),""))</f>
        <v/>
      </c>
      <c r="L1528" s="33">
        <f>IF($D1528="","",IFERROR(IF(INDEX(RUNS!$E$6:$E$1005,MATCH($D1528,RUNS!$A$6:$A$1005,0))="","",INDEX(RUNS!$E$6:$E$1005,MATCH($D1528,RUNS!$A$6:$A$1005,0))),""))</f>
        <v/>
      </c>
      <c r="M1528" s="33">
        <f>IF($D1528="","",IFERROR(IF(INDEX(RUNS!$F$6:$F$1005,MATCH($D1528,RUNS!$A$6:$A$1005,0))="","",INDEX(RUNS!$F$6:$F$1005,MATCH($D1528,RUNS!$A$6:$A$1005,0))),""))</f>
        <v/>
      </c>
      <c r="N1528" s="33">
        <f>IF($D1528="","",IFERROR(IF(INDEX(RUNS!$G$6:$G$1005,MATCH($D1528,RUNS!$A$6:$A$1005,0))="","",INDEX(RUNS!$G$6:$G$1005,MATCH($D1528,RUNS!$A$6:$A$1005,0))),""))</f>
        <v/>
      </c>
      <c r="O1528" s="33">
        <f>IF($D1528="","",IFERROR(IF(INDEX(RUNS!$H$6:$H$1005,MATCH($D1528,RUNS!$A$6:$A$1005,0))="","",INDEX(RUNS!$H$6:$H$1005,MATCH($D1528,RUNS!$A$6:$A$1005,0))),""))</f>
        <v/>
      </c>
      <c r="P1528" s="33">
        <f>IF($D1528="","",IFERROR(IF(INDEX(RUNS!$J$6:$J$1005,MATCH($D1528,RUNS!$A$6:$A$1005,0))="","",INDEX(RUNS!$J$6:$J$1005,MATCH($D1528,RUNS!$A$6:$A$1005,0))),""))</f>
        <v/>
      </c>
      <c r="Q1528" s="33">
        <f>IF($D1528="","",IFERROR(IF(INDEX(RUNS!$K$6:$K$1005,MATCH($D1528,RUNS!$A$6:$A$1005,0))="","",INDEX(RUNS!$K$6:$K$1005,MATCH($D1528,RUNS!$A$6:$A$1005,0))),""))</f>
        <v/>
      </c>
      <c r="R1528" s="34">
        <f>IF(OR($L1528="",$K1528=""),"",IFERROR(IF(INDEX(PARAMETRES!$H$43:$H$342,MATCH($L1528&amp;"|"&amp;$M1528&amp;"|"&amp;$N1528&amp;"|"&amp;$O1528&amp;"|"&amp;$P1528&amp;"|"&amp;$Q1528&amp;"|"&amp;$K1528,PARAMETRES!$J$43:$J$342,0))="","",INDEX(PARAMETRES!$H$43:$H$342,MATCH($L1528&amp;"|"&amp;$M1528&amp;"|"&amp;$N1528&amp;"|"&amp;$O1528&amp;"|"&amp;$P1528&amp;"|"&amp;$Q1528&amp;"|"&amp;$K1528,PARAMETRES!$J$43:$J$342,0))),""))</f>
        <v/>
      </c>
      <c r="S1528" s="35">
        <f>IF(OR($G1528="",$X1528&lt;&gt;"VALIDE"),"",IFERROR(LOOKUP(2,1/(($B628:$B1527=$B1528)*($G628:$G1527=$G1528)*($X628:$X1527="VALIDE")),$C628:$C1527),""))</f>
        <v/>
      </c>
      <c r="T1528" s="36">
        <f>IF(OR($C1528="",$S1528=""),"",ROUND(($C1528-$S1528+IF($C1528&lt;$S1528,1,0))*1440,0))</f>
        <v/>
      </c>
      <c r="U1528" s="22">
        <f>IF(OR($H1528="",$T1528="",$T1528&lt;=0),"",$H1528*60/$T1528)</f>
        <v/>
      </c>
      <c r="V1528" s="37">
        <f>IF(OR($U1528="",$R1528="",$R1528=0),"",$U1528/$R1528)</f>
        <v/>
      </c>
      <c r="W1528" s="20">
        <f>IF($G1528="","",IF($X1528="CONTEXTE INCOMPLET","CONTEXTE INCOMPLET",IF($X1528="DOUBLON",StatutDoublon,IF($S1528="",StatutInitial,IF($R1528="",StatutStandardManquant,IF($V1528="","DONNEES INSUFFISANTES",IF($V1528&gt;=SeuilConforme,StatutConforme,IF($V1528&gt;=SeuilSurveiller,StatutSurveiller,StatutSousStandard))))))))</f>
        <v/>
      </c>
      <c r="X1528" s="33">
        <f>IF($G1528="","",IF(OR($D1528="",$E1528="",$F1528=""),"CONTEXTE INCOMPLET",IF(COUNTIFS($D628:$D1527,$D1528,$E628:$E1527,$E1528,$F628:$F1527,$F1528,$G628:$G1527,$G1528)&gt;0,"DOUBLON","VALIDE")))</f>
        <v/>
      </c>
    </row>
    <row r="1529" ht="15" customHeight="1">
      <c r="A1529" s="12">
        <f>IF(OR($B1529="",$G1529=""),"",TEXT($B1529,"YYYYMMDD")&amp;"-"&amp;SUBSTITUTE($E1529," ","")&amp;"-"&amp;$F1529&amp;"-"&amp;$G1529)</f>
        <v/>
      </c>
      <c r="B1529" s="15" t="n"/>
      <c r="C1529" s="16" t="n"/>
      <c r="D1529" s="10" t="n"/>
      <c r="E1529" s="9" t="n"/>
      <c r="F1529" s="9" t="n"/>
      <c r="G1529" s="13" t="n"/>
      <c r="H1529" s="21" t="n"/>
      <c r="I1529" s="21" t="n"/>
      <c r="J1529" s="17">
        <f>IF($G1529="","",IFERROR(INDEX(NomsEmployes,MATCH($G1529,MatriculesEmployes,0)),"MATRICULE INCONNU"))</f>
        <v/>
      </c>
      <c r="K1529" s="33">
        <f>IF(OR($D1529="",$F1529=""),"",IFERROR(IF(INDEX(RUNS!$L$6:$S$1005,MATCH($D1529,RUNS!$A$6:$A$1005,0),MATCH("ACTIVITÉ "&amp;$F1529,RUNS!$L$5:$S$5,0))="","",INDEX(RUNS!$L$6:$S$1005,MATCH($D1529,RUNS!$A$6:$A$1005,0),MATCH("ACTIVITÉ "&amp;$F1529,RUNS!$L$5:$S$5,0))),""))</f>
        <v/>
      </c>
      <c r="L1529" s="33">
        <f>IF($D1529="","",IFERROR(IF(INDEX(RUNS!$E$6:$E$1005,MATCH($D1529,RUNS!$A$6:$A$1005,0))="","",INDEX(RUNS!$E$6:$E$1005,MATCH($D1529,RUNS!$A$6:$A$1005,0))),""))</f>
        <v/>
      </c>
      <c r="M1529" s="33">
        <f>IF($D1529="","",IFERROR(IF(INDEX(RUNS!$F$6:$F$1005,MATCH($D1529,RUNS!$A$6:$A$1005,0))="","",INDEX(RUNS!$F$6:$F$1005,MATCH($D1529,RUNS!$A$6:$A$1005,0))),""))</f>
        <v/>
      </c>
      <c r="N1529" s="33">
        <f>IF($D1529="","",IFERROR(IF(INDEX(RUNS!$G$6:$G$1005,MATCH($D1529,RUNS!$A$6:$A$1005,0))="","",INDEX(RUNS!$G$6:$G$1005,MATCH($D1529,RUNS!$A$6:$A$1005,0))),""))</f>
        <v/>
      </c>
      <c r="O1529" s="33">
        <f>IF($D1529="","",IFERROR(IF(INDEX(RUNS!$H$6:$H$1005,MATCH($D1529,RUNS!$A$6:$A$1005,0))="","",INDEX(RUNS!$H$6:$H$1005,MATCH($D1529,RUNS!$A$6:$A$1005,0))),""))</f>
        <v/>
      </c>
      <c r="P1529" s="33">
        <f>IF($D1529="","",IFERROR(IF(INDEX(RUNS!$J$6:$J$1005,MATCH($D1529,RUNS!$A$6:$A$1005,0))="","",INDEX(RUNS!$J$6:$J$1005,MATCH($D1529,RUNS!$A$6:$A$1005,0))),""))</f>
        <v/>
      </c>
      <c r="Q1529" s="33">
        <f>IF($D1529="","",IFERROR(IF(INDEX(RUNS!$K$6:$K$1005,MATCH($D1529,RUNS!$A$6:$A$1005,0))="","",INDEX(RUNS!$K$6:$K$1005,MATCH($D1529,RUNS!$A$6:$A$1005,0))),""))</f>
        <v/>
      </c>
      <c r="R1529" s="34">
        <f>IF(OR($L1529="",$K1529=""),"",IFERROR(IF(INDEX(PARAMETRES!$H$43:$H$342,MATCH($L1529&amp;"|"&amp;$M1529&amp;"|"&amp;$N1529&amp;"|"&amp;$O1529&amp;"|"&amp;$P1529&amp;"|"&amp;$Q1529&amp;"|"&amp;$K1529,PARAMETRES!$J$43:$J$342,0))="","",INDEX(PARAMETRES!$H$43:$H$342,MATCH($L1529&amp;"|"&amp;$M1529&amp;"|"&amp;$N1529&amp;"|"&amp;$O1529&amp;"|"&amp;$P1529&amp;"|"&amp;$Q1529&amp;"|"&amp;$K1529,PARAMETRES!$J$43:$J$342,0))),""))</f>
        <v/>
      </c>
      <c r="S1529" s="35">
        <f>IF(OR($G1529="",$X1529&lt;&gt;"VALIDE"),"",IFERROR(LOOKUP(2,1/(($B629:$B1528=$B1529)*($G629:$G1528=$G1529)*($X629:$X1528="VALIDE")),$C629:$C1528),""))</f>
        <v/>
      </c>
      <c r="T1529" s="36">
        <f>IF(OR($C1529="",$S1529=""),"",ROUND(($C1529-$S1529+IF($C1529&lt;$S1529,1,0))*1440,0))</f>
        <v/>
      </c>
      <c r="U1529" s="22">
        <f>IF(OR($H1529="",$T1529="",$T1529&lt;=0),"",$H1529*60/$T1529)</f>
        <v/>
      </c>
      <c r="V1529" s="37">
        <f>IF(OR($U1529="",$R1529="",$R1529=0),"",$U1529/$R1529)</f>
        <v/>
      </c>
      <c r="W1529" s="20">
        <f>IF($G1529="","",IF($X1529="CONTEXTE INCOMPLET","CONTEXTE INCOMPLET",IF($X1529="DOUBLON",StatutDoublon,IF($S1529="",StatutInitial,IF($R1529="",StatutStandardManquant,IF($V1529="","DONNEES INSUFFISANTES",IF($V1529&gt;=SeuilConforme,StatutConforme,IF($V1529&gt;=SeuilSurveiller,StatutSurveiller,StatutSousStandard))))))))</f>
        <v/>
      </c>
      <c r="X1529" s="33">
        <f>IF($G1529="","",IF(OR($D1529="",$E1529="",$F1529=""),"CONTEXTE INCOMPLET",IF(COUNTIFS($D629:$D1528,$D1529,$E629:$E1528,$E1529,$F629:$F1528,$F1529,$G629:$G1528,$G1529)&gt;0,"DOUBLON","VALIDE")))</f>
        <v/>
      </c>
    </row>
    <row r="1530" ht="15" customHeight="1">
      <c r="A1530" s="12">
        <f>IF(OR($B1530="",$G1530=""),"",TEXT($B1530,"YYYYMMDD")&amp;"-"&amp;SUBSTITUTE($E1530," ","")&amp;"-"&amp;$F1530&amp;"-"&amp;$G1530)</f>
        <v/>
      </c>
      <c r="B1530" s="15" t="n"/>
      <c r="C1530" s="16" t="n"/>
      <c r="D1530" s="10" t="n"/>
      <c r="E1530" s="9" t="n"/>
      <c r="F1530" s="9" t="n"/>
      <c r="G1530" s="13" t="n"/>
      <c r="H1530" s="21" t="n"/>
      <c r="I1530" s="21" t="n"/>
      <c r="J1530" s="17">
        <f>IF($G1530="","",IFERROR(INDEX(NomsEmployes,MATCH($G1530,MatriculesEmployes,0)),"MATRICULE INCONNU"))</f>
        <v/>
      </c>
      <c r="K1530" s="33">
        <f>IF(OR($D1530="",$F1530=""),"",IFERROR(IF(INDEX(RUNS!$L$6:$S$1005,MATCH($D1530,RUNS!$A$6:$A$1005,0),MATCH("ACTIVITÉ "&amp;$F1530,RUNS!$L$5:$S$5,0))="","",INDEX(RUNS!$L$6:$S$1005,MATCH($D1530,RUNS!$A$6:$A$1005,0),MATCH("ACTIVITÉ "&amp;$F1530,RUNS!$L$5:$S$5,0))),""))</f>
        <v/>
      </c>
      <c r="L1530" s="33">
        <f>IF($D1530="","",IFERROR(IF(INDEX(RUNS!$E$6:$E$1005,MATCH($D1530,RUNS!$A$6:$A$1005,0))="","",INDEX(RUNS!$E$6:$E$1005,MATCH($D1530,RUNS!$A$6:$A$1005,0))),""))</f>
        <v/>
      </c>
      <c r="M1530" s="33">
        <f>IF($D1530="","",IFERROR(IF(INDEX(RUNS!$F$6:$F$1005,MATCH($D1530,RUNS!$A$6:$A$1005,0))="","",INDEX(RUNS!$F$6:$F$1005,MATCH($D1530,RUNS!$A$6:$A$1005,0))),""))</f>
        <v/>
      </c>
      <c r="N1530" s="33">
        <f>IF($D1530="","",IFERROR(IF(INDEX(RUNS!$G$6:$G$1005,MATCH($D1530,RUNS!$A$6:$A$1005,0))="","",INDEX(RUNS!$G$6:$G$1005,MATCH($D1530,RUNS!$A$6:$A$1005,0))),""))</f>
        <v/>
      </c>
      <c r="O1530" s="33">
        <f>IF($D1530="","",IFERROR(IF(INDEX(RUNS!$H$6:$H$1005,MATCH($D1530,RUNS!$A$6:$A$1005,0))="","",INDEX(RUNS!$H$6:$H$1005,MATCH($D1530,RUNS!$A$6:$A$1005,0))),""))</f>
        <v/>
      </c>
      <c r="P1530" s="33">
        <f>IF($D1530="","",IFERROR(IF(INDEX(RUNS!$J$6:$J$1005,MATCH($D1530,RUNS!$A$6:$A$1005,0))="","",INDEX(RUNS!$J$6:$J$1005,MATCH($D1530,RUNS!$A$6:$A$1005,0))),""))</f>
        <v/>
      </c>
      <c r="Q1530" s="33">
        <f>IF($D1530="","",IFERROR(IF(INDEX(RUNS!$K$6:$K$1005,MATCH($D1530,RUNS!$A$6:$A$1005,0))="","",INDEX(RUNS!$K$6:$K$1005,MATCH($D1530,RUNS!$A$6:$A$1005,0))),""))</f>
        <v/>
      </c>
      <c r="R1530" s="34">
        <f>IF(OR($L1530="",$K1530=""),"",IFERROR(IF(INDEX(PARAMETRES!$H$43:$H$342,MATCH($L1530&amp;"|"&amp;$M1530&amp;"|"&amp;$N1530&amp;"|"&amp;$O1530&amp;"|"&amp;$P1530&amp;"|"&amp;$Q1530&amp;"|"&amp;$K1530,PARAMETRES!$J$43:$J$342,0))="","",INDEX(PARAMETRES!$H$43:$H$342,MATCH($L1530&amp;"|"&amp;$M1530&amp;"|"&amp;$N1530&amp;"|"&amp;$O1530&amp;"|"&amp;$P1530&amp;"|"&amp;$Q1530&amp;"|"&amp;$K1530,PARAMETRES!$J$43:$J$342,0))),""))</f>
        <v/>
      </c>
      <c r="S1530" s="35">
        <f>IF(OR($G1530="",$X1530&lt;&gt;"VALIDE"),"",IFERROR(LOOKUP(2,1/(($B630:$B1529=$B1530)*($G630:$G1529=$G1530)*($X630:$X1529="VALIDE")),$C630:$C1529),""))</f>
        <v/>
      </c>
      <c r="T1530" s="36">
        <f>IF(OR($C1530="",$S1530=""),"",ROUND(($C1530-$S1530+IF($C1530&lt;$S1530,1,0))*1440,0))</f>
        <v/>
      </c>
      <c r="U1530" s="22">
        <f>IF(OR($H1530="",$T1530="",$T1530&lt;=0),"",$H1530*60/$T1530)</f>
        <v/>
      </c>
      <c r="V1530" s="37">
        <f>IF(OR($U1530="",$R1530="",$R1530=0),"",$U1530/$R1530)</f>
        <v/>
      </c>
      <c r="W1530" s="20">
        <f>IF($G1530="","",IF($X1530="CONTEXTE INCOMPLET","CONTEXTE INCOMPLET",IF($X1530="DOUBLON",StatutDoublon,IF($S1530="",StatutInitial,IF($R1530="",StatutStandardManquant,IF($V1530="","DONNEES INSUFFISANTES",IF($V1530&gt;=SeuilConforme,StatutConforme,IF($V1530&gt;=SeuilSurveiller,StatutSurveiller,StatutSousStandard))))))))</f>
        <v/>
      </c>
      <c r="X1530" s="33">
        <f>IF($G1530="","",IF(OR($D1530="",$E1530="",$F1530=""),"CONTEXTE INCOMPLET",IF(COUNTIFS($D630:$D1529,$D1530,$E630:$E1529,$E1530,$F630:$F1529,$F1530,$G630:$G1529,$G1530)&gt;0,"DOUBLON","VALIDE")))</f>
        <v/>
      </c>
    </row>
    <row r="1531" ht="15" customHeight="1">
      <c r="A1531" s="12">
        <f>IF(OR($B1531="",$G1531=""),"",TEXT($B1531,"YYYYMMDD")&amp;"-"&amp;SUBSTITUTE($E1531," ","")&amp;"-"&amp;$F1531&amp;"-"&amp;$G1531)</f>
        <v/>
      </c>
      <c r="B1531" s="15" t="n"/>
      <c r="C1531" s="16" t="n"/>
      <c r="D1531" s="10" t="n"/>
      <c r="E1531" s="9" t="n"/>
      <c r="F1531" s="9" t="n"/>
      <c r="G1531" s="13" t="n"/>
      <c r="H1531" s="21" t="n"/>
      <c r="I1531" s="21" t="n"/>
      <c r="J1531" s="17">
        <f>IF($G1531="","",IFERROR(INDEX(NomsEmployes,MATCH($G1531,MatriculesEmployes,0)),"MATRICULE INCONNU"))</f>
        <v/>
      </c>
      <c r="K1531" s="33">
        <f>IF(OR($D1531="",$F1531=""),"",IFERROR(IF(INDEX(RUNS!$L$6:$S$1005,MATCH($D1531,RUNS!$A$6:$A$1005,0),MATCH("ACTIVITÉ "&amp;$F1531,RUNS!$L$5:$S$5,0))="","",INDEX(RUNS!$L$6:$S$1005,MATCH($D1531,RUNS!$A$6:$A$1005,0),MATCH("ACTIVITÉ "&amp;$F1531,RUNS!$L$5:$S$5,0))),""))</f>
        <v/>
      </c>
      <c r="L1531" s="33">
        <f>IF($D1531="","",IFERROR(IF(INDEX(RUNS!$E$6:$E$1005,MATCH($D1531,RUNS!$A$6:$A$1005,0))="","",INDEX(RUNS!$E$6:$E$1005,MATCH($D1531,RUNS!$A$6:$A$1005,0))),""))</f>
        <v/>
      </c>
      <c r="M1531" s="33">
        <f>IF($D1531="","",IFERROR(IF(INDEX(RUNS!$F$6:$F$1005,MATCH($D1531,RUNS!$A$6:$A$1005,0))="","",INDEX(RUNS!$F$6:$F$1005,MATCH($D1531,RUNS!$A$6:$A$1005,0))),""))</f>
        <v/>
      </c>
      <c r="N1531" s="33">
        <f>IF($D1531="","",IFERROR(IF(INDEX(RUNS!$G$6:$G$1005,MATCH($D1531,RUNS!$A$6:$A$1005,0))="","",INDEX(RUNS!$G$6:$G$1005,MATCH($D1531,RUNS!$A$6:$A$1005,0))),""))</f>
        <v/>
      </c>
      <c r="O1531" s="33">
        <f>IF($D1531="","",IFERROR(IF(INDEX(RUNS!$H$6:$H$1005,MATCH($D1531,RUNS!$A$6:$A$1005,0))="","",INDEX(RUNS!$H$6:$H$1005,MATCH($D1531,RUNS!$A$6:$A$1005,0))),""))</f>
        <v/>
      </c>
      <c r="P1531" s="33">
        <f>IF($D1531="","",IFERROR(IF(INDEX(RUNS!$J$6:$J$1005,MATCH($D1531,RUNS!$A$6:$A$1005,0))="","",INDEX(RUNS!$J$6:$J$1005,MATCH($D1531,RUNS!$A$6:$A$1005,0))),""))</f>
        <v/>
      </c>
      <c r="Q1531" s="33">
        <f>IF($D1531="","",IFERROR(IF(INDEX(RUNS!$K$6:$K$1005,MATCH($D1531,RUNS!$A$6:$A$1005,0))="","",INDEX(RUNS!$K$6:$K$1005,MATCH($D1531,RUNS!$A$6:$A$1005,0))),""))</f>
        <v/>
      </c>
      <c r="R1531" s="34">
        <f>IF(OR($L1531="",$K1531=""),"",IFERROR(IF(INDEX(PARAMETRES!$H$43:$H$342,MATCH($L1531&amp;"|"&amp;$M1531&amp;"|"&amp;$N1531&amp;"|"&amp;$O1531&amp;"|"&amp;$P1531&amp;"|"&amp;$Q1531&amp;"|"&amp;$K1531,PARAMETRES!$J$43:$J$342,0))="","",INDEX(PARAMETRES!$H$43:$H$342,MATCH($L1531&amp;"|"&amp;$M1531&amp;"|"&amp;$N1531&amp;"|"&amp;$O1531&amp;"|"&amp;$P1531&amp;"|"&amp;$Q1531&amp;"|"&amp;$K1531,PARAMETRES!$J$43:$J$342,0))),""))</f>
        <v/>
      </c>
      <c r="S1531" s="35">
        <f>IF(OR($G1531="",$X1531&lt;&gt;"VALIDE"),"",IFERROR(LOOKUP(2,1/(($B631:$B1530=$B1531)*($G631:$G1530=$G1531)*($X631:$X1530="VALIDE")),$C631:$C1530),""))</f>
        <v/>
      </c>
      <c r="T1531" s="36">
        <f>IF(OR($C1531="",$S1531=""),"",ROUND(($C1531-$S1531+IF($C1531&lt;$S1531,1,0))*1440,0))</f>
        <v/>
      </c>
      <c r="U1531" s="22">
        <f>IF(OR($H1531="",$T1531="",$T1531&lt;=0),"",$H1531*60/$T1531)</f>
        <v/>
      </c>
      <c r="V1531" s="37">
        <f>IF(OR($U1531="",$R1531="",$R1531=0),"",$U1531/$R1531)</f>
        <v/>
      </c>
      <c r="W1531" s="20">
        <f>IF($G1531="","",IF($X1531="CONTEXTE INCOMPLET","CONTEXTE INCOMPLET",IF($X1531="DOUBLON",StatutDoublon,IF($S1531="",StatutInitial,IF($R1531="",StatutStandardManquant,IF($V1531="","DONNEES INSUFFISANTES",IF($V1531&gt;=SeuilConforme,StatutConforme,IF($V1531&gt;=SeuilSurveiller,StatutSurveiller,StatutSousStandard))))))))</f>
        <v/>
      </c>
      <c r="X1531" s="33">
        <f>IF($G1531="","",IF(OR($D1531="",$E1531="",$F1531=""),"CONTEXTE INCOMPLET",IF(COUNTIFS($D631:$D1530,$D1531,$E631:$E1530,$E1531,$F631:$F1530,$F1531,$G631:$G1530,$G1531)&gt;0,"DOUBLON","VALIDE")))</f>
        <v/>
      </c>
    </row>
    <row r="1532" ht="15" customHeight="1">
      <c r="A1532" s="12">
        <f>IF(OR($B1532="",$G1532=""),"",TEXT($B1532,"YYYYMMDD")&amp;"-"&amp;SUBSTITUTE($E1532," ","")&amp;"-"&amp;$F1532&amp;"-"&amp;$G1532)</f>
        <v/>
      </c>
      <c r="B1532" s="15" t="n"/>
      <c r="C1532" s="16" t="n"/>
      <c r="D1532" s="10" t="n"/>
      <c r="E1532" s="9" t="n"/>
      <c r="F1532" s="9" t="n"/>
      <c r="G1532" s="13" t="n"/>
      <c r="H1532" s="21" t="n"/>
      <c r="I1532" s="21" t="n"/>
      <c r="J1532" s="17">
        <f>IF($G1532="","",IFERROR(INDEX(NomsEmployes,MATCH($G1532,MatriculesEmployes,0)),"MATRICULE INCONNU"))</f>
        <v/>
      </c>
      <c r="K1532" s="33">
        <f>IF(OR($D1532="",$F1532=""),"",IFERROR(IF(INDEX(RUNS!$L$6:$S$1005,MATCH($D1532,RUNS!$A$6:$A$1005,0),MATCH("ACTIVITÉ "&amp;$F1532,RUNS!$L$5:$S$5,0))="","",INDEX(RUNS!$L$6:$S$1005,MATCH($D1532,RUNS!$A$6:$A$1005,0),MATCH("ACTIVITÉ "&amp;$F1532,RUNS!$L$5:$S$5,0))),""))</f>
        <v/>
      </c>
      <c r="L1532" s="33">
        <f>IF($D1532="","",IFERROR(IF(INDEX(RUNS!$E$6:$E$1005,MATCH($D1532,RUNS!$A$6:$A$1005,0))="","",INDEX(RUNS!$E$6:$E$1005,MATCH($D1532,RUNS!$A$6:$A$1005,0))),""))</f>
        <v/>
      </c>
      <c r="M1532" s="33">
        <f>IF($D1532="","",IFERROR(IF(INDEX(RUNS!$F$6:$F$1005,MATCH($D1532,RUNS!$A$6:$A$1005,0))="","",INDEX(RUNS!$F$6:$F$1005,MATCH($D1532,RUNS!$A$6:$A$1005,0))),""))</f>
        <v/>
      </c>
      <c r="N1532" s="33">
        <f>IF($D1532="","",IFERROR(IF(INDEX(RUNS!$G$6:$G$1005,MATCH($D1532,RUNS!$A$6:$A$1005,0))="","",INDEX(RUNS!$G$6:$G$1005,MATCH($D1532,RUNS!$A$6:$A$1005,0))),""))</f>
        <v/>
      </c>
      <c r="O1532" s="33">
        <f>IF($D1532="","",IFERROR(IF(INDEX(RUNS!$H$6:$H$1005,MATCH($D1532,RUNS!$A$6:$A$1005,0))="","",INDEX(RUNS!$H$6:$H$1005,MATCH($D1532,RUNS!$A$6:$A$1005,0))),""))</f>
        <v/>
      </c>
      <c r="P1532" s="33">
        <f>IF($D1532="","",IFERROR(IF(INDEX(RUNS!$J$6:$J$1005,MATCH($D1532,RUNS!$A$6:$A$1005,0))="","",INDEX(RUNS!$J$6:$J$1005,MATCH($D1532,RUNS!$A$6:$A$1005,0))),""))</f>
        <v/>
      </c>
      <c r="Q1532" s="33">
        <f>IF($D1532="","",IFERROR(IF(INDEX(RUNS!$K$6:$K$1005,MATCH($D1532,RUNS!$A$6:$A$1005,0))="","",INDEX(RUNS!$K$6:$K$1005,MATCH($D1532,RUNS!$A$6:$A$1005,0))),""))</f>
        <v/>
      </c>
      <c r="R1532" s="34">
        <f>IF(OR($L1532="",$K1532=""),"",IFERROR(IF(INDEX(PARAMETRES!$H$43:$H$342,MATCH($L1532&amp;"|"&amp;$M1532&amp;"|"&amp;$N1532&amp;"|"&amp;$O1532&amp;"|"&amp;$P1532&amp;"|"&amp;$Q1532&amp;"|"&amp;$K1532,PARAMETRES!$J$43:$J$342,0))="","",INDEX(PARAMETRES!$H$43:$H$342,MATCH($L1532&amp;"|"&amp;$M1532&amp;"|"&amp;$N1532&amp;"|"&amp;$O1532&amp;"|"&amp;$P1532&amp;"|"&amp;$Q1532&amp;"|"&amp;$K1532,PARAMETRES!$J$43:$J$342,0))),""))</f>
        <v/>
      </c>
      <c r="S1532" s="35">
        <f>IF(OR($G1532="",$X1532&lt;&gt;"VALIDE"),"",IFERROR(LOOKUP(2,1/(($B632:$B1531=$B1532)*($G632:$G1531=$G1532)*($X632:$X1531="VALIDE")),$C632:$C1531),""))</f>
        <v/>
      </c>
      <c r="T1532" s="36">
        <f>IF(OR($C1532="",$S1532=""),"",ROUND(($C1532-$S1532+IF($C1532&lt;$S1532,1,0))*1440,0))</f>
        <v/>
      </c>
      <c r="U1532" s="22">
        <f>IF(OR($H1532="",$T1532="",$T1532&lt;=0),"",$H1532*60/$T1532)</f>
        <v/>
      </c>
      <c r="V1532" s="37">
        <f>IF(OR($U1532="",$R1532="",$R1532=0),"",$U1532/$R1532)</f>
        <v/>
      </c>
      <c r="W1532" s="20">
        <f>IF($G1532="","",IF($X1532="CONTEXTE INCOMPLET","CONTEXTE INCOMPLET",IF($X1532="DOUBLON",StatutDoublon,IF($S1532="",StatutInitial,IF($R1532="",StatutStandardManquant,IF($V1532="","DONNEES INSUFFISANTES",IF($V1532&gt;=SeuilConforme,StatutConforme,IF($V1532&gt;=SeuilSurveiller,StatutSurveiller,StatutSousStandard))))))))</f>
        <v/>
      </c>
      <c r="X1532" s="33">
        <f>IF($G1532="","",IF(OR($D1532="",$E1532="",$F1532=""),"CONTEXTE INCOMPLET",IF(COUNTIFS($D632:$D1531,$D1532,$E632:$E1531,$E1532,$F632:$F1531,$F1532,$G632:$G1531,$G1532)&gt;0,"DOUBLON","VALIDE")))</f>
        <v/>
      </c>
    </row>
    <row r="1533" ht="15" customHeight="1">
      <c r="A1533" s="12">
        <f>IF(OR($B1533="",$G1533=""),"",TEXT($B1533,"YYYYMMDD")&amp;"-"&amp;SUBSTITUTE($E1533," ","")&amp;"-"&amp;$F1533&amp;"-"&amp;$G1533)</f>
        <v/>
      </c>
      <c r="B1533" s="15" t="n"/>
      <c r="C1533" s="16" t="n"/>
      <c r="D1533" s="10" t="n"/>
      <c r="E1533" s="9" t="n"/>
      <c r="F1533" s="9" t="n"/>
      <c r="G1533" s="13" t="n"/>
      <c r="H1533" s="21" t="n"/>
      <c r="I1533" s="21" t="n"/>
      <c r="J1533" s="17">
        <f>IF($G1533="","",IFERROR(INDEX(NomsEmployes,MATCH($G1533,MatriculesEmployes,0)),"MATRICULE INCONNU"))</f>
        <v/>
      </c>
      <c r="K1533" s="33">
        <f>IF(OR($D1533="",$F1533=""),"",IFERROR(IF(INDEX(RUNS!$L$6:$S$1005,MATCH($D1533,RUNS!$A$6:$A$1005,0),MATCH("ACTIVITÉ "&amp;$F1533,RUNS!$L$5:$S$5,0))="","",INDEX(RUNS!$L$6:$S$1005,MATCH($D1533,RUNS!$A$6:$A$1005,0),MATCH("ACTIVITÉ "&amp;$F1533,RUNS!$L$5:$S$5,0))),""))</f>
        <v/>
      </c>
      <c r="L1533" s="33">
        <f>IF($D1533="","",IFERROR(IF(INDEX(RUNS!$E$6:$E$1005,MATCH($D1533,RUNS!$A$6:$A$1005,0))="","",INDEX(RUNS!$E$6:$E$1005,MATCH($D1533,RUNS!$A$6:$A$1005,0))),""))</f>
        <v/>
      </c>
      <c r="M1533" s="33">
        <f>IF($D1533="","",IFERROR(IF(INDEX(RUNS!$F$6:$F$1005,MATCH($D1533,RUNS!$A$6:$A$1005,0))="","",INDEX(RUNS!$F$6:$F$1005,MATCH($D1533,RUNS!$A$6:$A$1005,0))),""))</f>
        <v/>
      </c>
      <c r="N1533" s="33">
        <f>IF($D1533="","",IFERROR(IF(INDEX(RUNS!$G$6:$G$1005,MATCH($D1533,RUNS!$A$6:$A$1005,0))="","",INDEX(RUNS!$G$6:$G$1005,MATCH($D1533,RUNS!$A$6:$A$1005,0))),""))</f>
        <v/>
      </c>
      <c r="O1533" s="33">
        <f>IF($D1533="","",IFERROR(IF(INDEX(RUNS!$H$6:$H$1005,MATCH($D1533,RUNS!$A$6:$A$1005,0))="","",INDEX(RUNS!$H$6:$H$1005,MATCH($D1533,RUNS!$A$6:$A$1005,0))),""))</f>
        <v/>
      </c>
      <c r="P1533" s="33">
        <f>IF($D1533="","",IFERROR(IF(INDEX(RUNS!$J$6:$J$1005,MATCH($D1533,RUNS!$A$6:$A$1005,0))="","",INDEX(RUNS!$J$6:$J$1005,MATCH($D1533,RUNS!$A$6:$A$1005,0))),""))</f>
        <v/>
      </c>
      <c r="Q1533" s="33">
        <f>IF($D1533="","",IFERROR(IF(INDEX(RUNS!$K$6:$K$1005,MATCH($D1533,RUNS!$A$6:$A$1005,0))="","",INDEX(RUNS!$K$6:$K$1005,MATCH($D1533,RUNS!$A$6:$A$1005,0))),""))</f>
        <v/>
      </c>
      <c r="R1533" s="34">
        <f>IF(OR($L1533="",$K1533=""),"",IFERROR(IF(INDEX(PARAMETRES!$H$43:$H$342,MATCH($L1533&amp;"|"&amp;$M1533&amp;"|"&amp;$N1533&amp;"|"&amp;$O1533&amp;"|"&amp;$P1533&amp;"|"&amp;$Q1533&amp;"|"&amp;$K1533,PARAMETRES!$J$43:$J$342,0))="","",INDEX(PARAMETRES!$H$43:$H$342,MATCH($L1533&amp;"|"&amp;$M1533&amp;"|"&amp;$N1533&amp;"|"&amp;$O1533&amp;"|"&amp;$P1533&amp;"|"&amp;$Q1533&amp;"|"&amp;$K1533,PARAMETRES!$J$43:$J$342,0))),""))</f>
        <v/>
      </c>
      <c r="S1533" s="35">
        <f>IF(OR($G1533="",$X1533&lt;&gt;"VALIDE"),"",IFERROR(LOOKUP(2,1/(($B633:$B1532=$B1533)*($G633:$G1532=$G1533)*($X633:$X1532="VALIDE")),$C633:$C1532),""))</f>
        <v/>
      </c>
      <c r="T1533" s="36">
        <f>IF(OR($C1533="",$S1533=""),"",ROUND(($C1533-$S1533+IF($C1533&lt;$S1533,1,0))*1440,0))</f>
        <v/>
      </c>
      <c r="U1533" s="22">
        <f>IF(OR($H1533="",$T1533="",$T1533&lt;=0),"",$H1533*60/$T1533)</f>
        <v/>
      </c>
      <c r="V1533" s="37">
        <f>IF(OR($U1533="",$R1533="",$R1533=0),"",$U1533/$R1533)</f>
        <v/>
      </c>
      <c r="W1533" s="20">
        <f>IF($G1533="","",IF($X1533="CONTEXTE INCOMPLET","CONTEXTE INCOMPLET",IF($X1533="DOUBLON",StatutDoublon,IF($S1533="",StatutInitial,IF($R1533="",StatutStandardManquant,IF($V1533="","DONNEES INSUFFISANTES",IF($V1533&gt;=SeuilConforme,StatutConforme,IF($V1533&gt;=SeuilSurveiller,StatutSurveiller,StatutSousStandard))))))))</f>
        <v/>
      </c>
      <c r="X1533" s="33">
        <f>IF($G1533="","",IF(OR($D1533="",$E1533="",$F1533=""),"CONTEXTE INCOMPLET",IF(COUNTIFS($D633:$D1532,$D1533,$E633:$E1532,$E1533,$F633:$F1532,$F1533,$G633:$G1532,$G1533)&gt;0,"DOUBLON","VALIDE")))</f>
        <v/>
      </c>
    </row>
    <row r="1534" ht="15" customHeight="1">
      <c r="A1534" s="12">
        <f>IF(OR($B1534="",$G1534=""),"",TEXT($B1534,"YYYYMMDD")&amp;"-"&amp;SUBSTITUTE($E1534," ","")&amp;"-"&amp;$F1534&amp;"-"&amp;$G1534)</f>
        <v/>
      </c>
      <c r="B1534" s="15" t="n"/>
      <c r="C1534" s="16" t="n"/>
      <c r="D1534" s="10" t="n"/>
      <c r="E1534" s="9" t="n"/>
      <c r="F1534" s="9" t="n"/>
      <c r="G1534" s="13" t="n"/>
      <c r="H1534" s="21" t="n"/>
      <c r="I1534" s="21" t="n"/>
      <c r="J1534" s="17">
        <f>IF($G1534="","",IFERROR(INDEX(NomsEmployes,MATCH($G1534,MatriculesEmployes,0)),"MATRICULE INCONNU"))</f>
        <v/>
      </c>
      <c r="K1534" s="33">
        <f>IF(OR($D1534="",$F1534=""),"",IFERROR(IF(INDEX(RUNS!$L$6:$S$1005,MATCH($D1534,RUNS!$A$6:$A$1005,0),MATCH("ACTIVITÉ "&amp;$F1534,RUNS!$L$5:$S$5,0))="","",INDEX(RUNS!$L$6:$S$1005,MATCH($D1534,RUNS!$A$6:$A$1005,0),MATCH("ACTIVITÉ "&amp;$F1534,RUNS!$L$5:$S$5,0))),""))</f>
        <v/>
      </c>
      <c r="L1534" s="33">
        <f>IF($D1534="","",IFERROR(IF(INDEX(RUNS!$E$6:$E$1005,MATCH($D1534,RUNS!$A$6:$A$1005,0))="","",INDEX(RUNS!$E$6:$E$1005,MATCH($D1534,RUNS!$A$6:$A$1005,0))),""))</f>
        <v/>
      </c>
      <c r="M1534" s="33">
        <f>IF($D1534="","",IFERROR(IF(INDEX(RUNS!$F$6:$F$1005,MATCH($D1534,RUNS!$A$6:$A$1005,0))="","",INDEX(RUNS!$F$6:$F$1005,MATCH($D1534,RUNS!$A$6:$A$1005,0))),""))</f>
        <v/>
      </c>
      <c r="N1534" s="33">
        <f>IF($D1534="","",IFERROR(IF(INDEX(RUNS!$G$6:$G$1005,MATCH($D1534,RUNS!$A$6:$A$1005,0))="","",INDEX(RUNS!$G$6:$G$1005,MATCH($D1534,RUNS!$A$6:$A$1005,0))),""))</f>
        <v/>
      </c>
      <c r="O1534" s="33">
        <f>IF($D1534="","",IFERROR(IF(INDEX(RUNS!$H$6:$H$1005,MATCH($D1534,RUNS!$A$6:$A$1005,0))="","",INDEX(RUNS!$H$6:$H$1005,MATCH($D1534,RUNS!$A$6:$A$1005,0))),""))</f>
        <v/>
      </c>
      <c r="P1534" s="33">
        <f>IF($D1534="","",IFERROR(IF(INDEX(RUNS!$J$6:$J$1005,MATCH($D1534,RUNS!$A$6:$A$1005,0))="","",INDEX(RUNS!$J$6:$J$1005,MATCH($D1534,RUNS!$A$6:$A$1005,0))),""))</f>
        <v/>
      </c>
      <c r="Q1534" s="33">
        <f>IF($D1534="","",IFERROR(IF(INDEX(RUNS!$K$6:$K$1005,MATCH($D1534,RUNS!$A$6:$A$1005,0))="","",INDEX(RUNS!$K$6:$K$1005,MATCH($D1534,RUNS!$A$6:$A$1005,0))),""))</f>
        <v/>
      </c>
      <c r="R1534" s="34">
        <f>IF(OR($L1534="",$K1534=""),"",IFERROR(IF(INDEX(PARAMETRES!$H$43:$H$342,MATCH($L1534&amp;"|"&amp;$M1534&amp;"|"&amp;$N1534&amp;"|"&amp;$O1534&amp;"|"&amp;$P1534&amp;"|"&amp;$Q1534&amp;"|"&amp;$K1534,PARAMETRES!$J$43:$J$342,0))="","",INDEX(PARAMETRES!$H$43:$H$342,MATCH($L1534&amp;"|"&amp;$M1534&amp;"|"&amp;$N1534&amp;"|"&amp;$O1534&amp;"|"&amp;$P1534&amp;"|"&amp;$Q1534&amp;"|"&amp;$K1534,PARAMETRES!$J$43:$J$342,0))),""))</f>
        <v/>
      </c>
      <c r="S1534" s="35">
        <f>IF(OR($G1534="",$X1534&lt;&gt;"VALIDE"),"",IFERROR(LOOKUP(2,1/(($B634:$B1533=$B1534)*($G634:$G1533=$G1534)*($X634:$X1533="VALIDE")),$C634:$C1533),""))</f>
        <v/>
      </c>
      <c r="T1534" s="36">
        <f>IF(OR($C1534="",$S1534=""),"",ROUND(($C1534-$S1534+IF($C1534&lt;$S1534,1,0))*1440,0))</f>
        <v/>
      </c>
      <c r="U1534" s="22">
        <f>IF(OR($H1534="",$T1534="",$T1534&lt;=0),"",$H1534*60/$T1534)</f>
        <v/>
      </c>
      <c r="V1534" s="37">
        <f>IF(OR($U1534="",$R1534="",$R1534=0),"",$U1534/$R1534)</f>
        <v/>
      </c>
      <c r="W1534" s="20">
        <f>IF($G1534="","",IF($X1534="CONTEXTE INCOMPLET","CONTEXTE INCOMPLET",IF($X1534="DOUBLON",StatutDoublon,IF($S1534="",StatutInitial,IF($R1534="",StatutStandardManquant,IF($V1534="","DONNEES INSUFFISANTES",IF($V1534&gt;=SeuilConforme,StatutConforme,IF($V1534&gt;=SeuilSurveiller,StatutSurveiller,StatutSousStandard))))))))</f>
        <v/>
      </c>
      <c r="X1534" s="33">
        <f>IF($G1534="","",IF(OR($D1534="",$E1534="",$F1534=""),"CONTEXTE INCOMPLET",IF(COUNTIFS($D634:$D1533,$D1534,$E634:$E1533,$E1534,$F634:$F1533,$F1534,$G634:$G1533,$G1534)&gt;0,"DOUBLON","VALIDE")))</f>
        <v/>
      </c>
    </row>
    <row r="1535" ht="15" customHeight="1">
      <c r="A1535" s="12">
        <f>IF(OR($B1535="",$G1535=""),"",TEXT($B1535,"YYYYMMDD")&amp;"-"&amp;SUBSTITUTE($E1535," ","")&amp;"-"&amp;$F1535&amp;"-"&amp;$G1535)</f>
        <v/>
      </c>
      <c r="B1535" s="15" t="n"/>
      <c r="C1535" s="16" t="n"/>
      <c r="D1535" s="10" t="n"/>
      <c r="E1535" s="9" t="n"/>
      <c r="F1535" s="9" t="n"/>
      <c r="G1535" s="13" t="n"/>
      <c r="H1535" s="21" t="n"/>
      <c r="I1535" s="21" t="n"/>
      <c r="J1535" s="17">
        <f>IF($G1535="","",IFERROR(INDEX(NomsEmployes,MATCH($G1535,MatriculesEmployes,0)),"MATRICULE INCONNU"))</f>
        <v/>
      </c>
      <c r="K1535" s="33">
        <f>IF(OR($D1535="",$F1535=""),"",IFERROR(IF(INDEX(RUNS!$L$6:$S$1005,MATCH($D1535,RUNS!$A$6:$A$1005,0),MATCH("ACTIVITÉ "&amp;$F1535,RUNS!$L$5:$S$5,0))="","",INDEX(RUNS!$L$6:$S$1005,MATCH($D1535,RUNS!$A$6:$A$1005,0),MATCH("ACTIVITÉ "&amp;$F1535,RUNS!$L$5:$S$5,0))),""))</f>
        <v/>
      </c>
      <c r="L1535" s="33">
        <f>IF($D1535="","",IFERROR(IF(INDEX(RUNS!$E$6:$E$1005,MATCH($D1535,RUNS!$A$6:$A$1005,0))="","",INDEX(RUNS!$E$6:$E$1005,MATCH($D1535,RUNS!$A$6:$A$1005,0))),""))</f>
        <v/>
      </c>
      <c r="M1535" s="33">
        <f>IF($D1535="","",IFERROR(IF(INDEX(RUNS!$F$6:$F$1005,MATCH($D1535,RUNS!$A$6:$A$1005,0))="","",INDEX(RUNS!$F$6:$F$1005,MATCH($D1535,RUNS!$A$6:$A$1005,0))),""))</f>
        <v/>
      </c>
      <c r="N1535" s="33">
        <f>IF($D1535="","",IFERROR(IF(INDEX(RUNS!$G$6:$G$1005,MATCH($D1535,RUNS!$A$6:$A$1005,0))="","",INDEX(RUNS!$G$6:$G$1005,MATCH($D1535,RUNS!$A$6:$A$1005,0))),""))</f>
        <v/>
      </c>
      <c r="O1535" s="33">
        <f>IF($D1535="","",IFERROR(IF(INDEX(RUNS!$H$6:$H$1005,MATCH($D1535,RUNS!$A$6:$A$1005,0))="","",INDEX(RUNS!$H$6:$H$1005,MATCH($D1535,RUNS!$A$6:$A$1005,0))),""))</f>
        <v/>
      </c>
      <c r="P1535" s="33">
        <f>IF($D1535="","",IFERROR(IF(INDEX(RUNS!$J$6:$J$1005,MATCH($D1535,RUNS!$A$6:$A$1005,0))="","",INDEX(RUNS!$J$6:$J$1005,MATCH($D1535,RUNS!$A$6:$A$1005,0))),""))</f>
        <v/>
      </c>
      <c r="Q1535" s="33">
        <f>IF($D1535="","",IFERROR(IF(INDEX(RUNS!$K$6:$K$1005,MATCH($D1535,RUNS!$A$6:$A$1005,0))="","",INDEX(RUNS!$K$6:$K$1005,MATCH($D1535,RUNS!$A$6:$A$1005,0))),""))</f>
        <v/>
      </c>
      <c r="R1535" s="34">
        <f>IF(OR($L1535="",$K1535=""),"",IFERROR(IF(INDEX(PARAMETRES!$H$43:$H$342,MATCH($L1535&amp;"|"&amp;$M1535&amp;"|"&amp;$N1535&amp;"|"&amp;$O1535&amp;"|"&amp;$P1535&amp;"|"&amp;$Q1535&amp;"|"&amp;$K1535,PARAMETRES!$J$43:$J$342,0))="","",INDEX(PARAMETRES!$H$43:$H$342,MATCH($L1535&amp;"|"&amp;$M1535&amp;"|"&amp;$N1535&amp;"|"&amp;$O1535&amp;"|"&amp;$P1535&amp;"|"&amp;$Q1535&amp;"|"&amp;$K1535,PARAMETRES!$J$43:$J$342,0))),""))</f>
        <v/>
      </c>
      <c r="S1535" s="35">
        <f>IF(OR($G1535="",$X1535&lt;&gt;"VALIDE"),"",IFERROR(LOOKUP(2,1/(($B635:$B1534=$B1535)*($G635:$G1534=$G1535)*($X635:$X1534="VALIDE")),$C635:$C1534),""))</f>
        <v/>
      </c>
      <c r="T1535" s="36">
        <f>IF(OR($C1535="",$S1535=""),"",ROUND(($C1535-$S1535+IF($C1535&lt;$S1535,1,0))*1440,0))</f>
        <v/>
      </c>
      <c r="U1535" s="22">
        <f>IF(OR($H1535="",$T1535="",$T1535&lt;=0),"",$H1535*60/$T1535)</f>
        <v/>
      </c>
      <c r="V1535" s="37">
        <f>IF(OR($U1535="",$R1535="",$R1535=0),"",$U1535/$R1535)</f>
        <v/>
      </c>
      <c r="W1535" s="20">
        <f>IF($G1535="","",IF($X1535="CONTEXTE INCOMPLET","CONTEXTE INCOMPLET",IF($X1535="DOUBLON",StatutDoublon,IF($S1535="",StatutInitial,IF($R1535="",StatutStandardManquant,IF($V1535="","DONNEES INSUFFISANTES",IF($V1535&gt;=SeuilConforme,StatutConforme,IF($V1535&gt;=SeuilSurveiller,StatutSurveiller,StatutSousStandard))))))))</f>
        <v/>
      </c>
      <c r="X1535" s="33">
        <f>IF($G1535="","",IF(OR($D1535="",$E1535="",$F1535=""),"CONTEXTE INCOMPLET",IF(COUNTIFS($D635:$D1534,$D1535,$E635:$E1534,$E1535,$F635:$F1534,$F1535,$G635:$G1534,$G1535)&gt;0,"DOUBLON","VALIDE")))</f>
        <v/>
      </c>
    </row>
    <row r="1536" ht="15" customHeight="1">
      <c r="A1536" s="12">
        <f>IF(OR($B1536="",$G1536=""),"",TEXT($B1536,"YYYYMMDD")&amp;"-"&amp;SUBSTITUTE($E1536," ","")&amp;"-"&amp;$F1536&amp;"-"&amp;$G1536)</f>
        <v/>
      </c>
      <c r="B1536" s="15" t="n"/>
      <c r="C1536" s="16" t="n"/>
      <c r="D1536" s="10" t="n"/>
      <c r="E1536" s="9" t="n"/>
      <c r="F1536" s="9" t="n"/>
      <c r="G1536" s="13" t="n"/>
      <c r="H1536" s="21" t="n"/>
      <c r="I1536" s="21" t="n"/>
      <c r="J1536" s="17">
        <f>IF($G1536="","",IFERROR(INDEX(NomsEmployes,MATCH($G1536,MatriculesEmployes,0)),"MATRICULE INCONNU"))</f>
        <v/>
      </c>
      <c r="K1536" s="33">
        <f>IF(OR($D1536="",$F1536=""),"",IFERROR(IF(INDEX(RUNS!$L$6:$S$1005,MATCH($D1536,RUNS!$A$6:$A$1005,0),MATCH("ACTIVITÉ "&amp;$F1536,RUNS!$L$5:$S$5,0))="","",INDEX(RUNS!$L$6:$S$1005,MATCH($D1536,RUNS!$A$6:$A$1005,0),MATCH("ACTIVITÉ "&amp;$F1536,RUNS!$L$5:$S$5,0))),""))</f>
        <v/>
      </c>
      <c r="L1536" s="33">
        <f>IF($D1536="","",IFERROR(IF(INDEX(RUNS!$E$6:$E$1005,MATCH($D1536,RUNS!$A$6:$A$1005,0))="","",INDEX(RUNS!$E$6:$E$1005,MATCH($D1536,RUNS!$A$6:$A$1005,0))),""))</f>
        <v/>
      </c>
      <c r="M1536" s="33">
        <f>IF($D1536="","",IFERROR(IF(INDEX(RUNS!$F$6:$F$1005,MATCH($D1536,RUNS!$A$6:$A$1005,0))="","",INDEX(RUNS!$F$6:$F$1005,MATCH($D1536,RUNS!$A$6:$A$1005,0))),""))</f>
        <v/>
      </c>
      <c r="N1536" s="33">
        <f>IF($D1536="","",IFERROR(IF(INDEX(RUNS!$G$6:$G$1005,MATCH($D1536,RUNS!$A$6:$A$1005,0))="","",INDEX(RUNS!$G$6:$G$1005,MATCH($D1536,RUNS!$A$6:$A$1005,0))),""))</f>
        <v/>
      </c>
      <c r="O1536" s="33">
        <f>IF($D1536="","",IFERROR(IF(INDEX(RUNS!$H$6:$H$1005,MATCH($D1536,RUNS!$A$6:$A$1005,0))="","",INDEX(RUNS!$H$6:$H$1005,MATCH($D1536,RUNS!$A$6:$A$1005,0))),""))</f>
        <v/>
      </c>
      <c r="P1536" s="33">
        <f>IF($D1536="","",IFERROR(IF(INDEX(RUNS!$J$6:$J$1005,MATCH($D1536,RUNS!$A$6:$A$1005,0))="","",INDEX(RUNS!$J$6:$J$1005,MATCH($D1536,RUNS!$A$6:$A$1005,0))),""))</f>
        <v/>
      </c>
      <c r="Q1536" s="33">
        <f>IF($D1536="","",IFERROR(IF(INDEX(RUNS!$K$6:$K$1005,MATCH($D1536,RUNS!$A$6:$A$1005,0))="","",INDEX(RUNS!$K$6:$K$1005,MATCH($D1536,RUNS!$A$6:$A$1005,0))),""))</f>
        <v/>
      </c>
      <c r="R1536" s="34">
        <f>IF(OR($L1536="",$K1536=""),"",IFERROR(IF(INDEX(PARAMETRES!$H$43:$H$342,MATCH($L1536&amp;"|"&amp;$M1536&amp;"|"&amp;$N1536&amp;"|"&amp;$O1536&amp;"|"&amp;$P1536&amp;"|"&amp;$Q1536&amp;"|"&amp;$K1536,PARAMETRES!$J$43:$J$342,0))="","",INDEX(PARAMETRES!$H$43:$H$342,MATCH($L1536&amp;"|"&amp;$M1536&amp;"|"&amp;$N1536&amp;"|"&amp;$O1536&amp;"|"&amp;$P1536&amp;"|"&amp;$Q1536&amp;"|"&amp;$K1536,PARAMETRES!$J$43:$J$342,0))),""))</f>
        <v/>
      </c>
      <c r="S1536" s="35">
        <f>IF(OR($G1536="",$X1536&lt;&gt;"VALIDE"),"",IFERROR(LOOKUP(2,1/(($B636:$B1535=$B1536)*($G636:$G1535=$G1536)*($X636:$X1535="VALIDE")),$C636:$C1535),""))</f>
        <v/>
      </c>
      <c r="T1536" s="36">
        <f>IF(OR($C1536="",$S1536=""),"",ROUND(($C1536-$S1536+IF($C1536&lt;$S1536,1,0))*1440,0))</f>
        <v/>
      </c>
      <c r="U1536" s="22">
        <f>IF(OR($H1536="",$T1536="",$T1536&lt;=0),"",$H1536*60/$T1536)</f>
        <v/>
      </c>
      <c r="V1536" s="37">
        <f>IF(OR($U1536="",$R1536="",$R1536=0),"",$U1536/$R1536)</f>
        <v/>
      </c>
      <c r="W1536" s="20">
        <f>IF($G1536="","",IF($X1536="CONTEXTE INCOMPLET","CONTEXTE INCOMPLET",IF($X1536="DOUBLON",StatutDoublon,IF($S1536="",StatutInitial,IF($R1536="",StatutStandardManquant,IF($V1536="","DONNEES INSUFFISANTES",IF($V1536&gt;=SeuilConforme,StatutConforme,IF($V1536&gt;=SeuilSurveiller,StatutSurveiller,StatutSousStandard))))))))</f>
        <v/>
      </c>
      <c r="X1536" s="33">
        <f>IF($G1536="","",IF(OR($D1536="",$E1536="",$F1536=""),"CONTEXTE INCOMPLET",IF(COUNTIFS($D636:$D1535,$D1536,$E636:$E1535,$E1536,$F636:$F1535,$F1536,$G636:$G1535,$G1536)&gt;0,"DOUBLON","VALIDE")))</f>
        <v/>
      </c>
    </row>
    <row r="1537" ht="15" customHeight="1">
      <c r="A1537" s="12">
        <f>IF(OR($B1537="",$G1537=""),"",TEXT($B1537,"YYYYMMDD")&amp;"-"&amp;SUBSTITUTE($E1537," ","")&amp;"-"&amp;$F1537&amp;"-"&amp;$G1537)</f>
        <v/>
      </c>
      <c r="B1537" s="15" t="n"/>
      <c r="C1537" s="16" t="n"/>
      <c r="D1537" s="10" t="n"/>
      <c r="E1537" s="9" t="n"/>
      <c r="F1537" s="9" t="n"/>
      <c r="G1537" s="13" t="n"/>
      <c r="H1537" s="21" t="n"/>
      <c r="I1537" s="21" t="n"/>
      <c r="J1537" s="17">
        <f>IF($G1537="","",IFERROR(INDEX(NomsEmployes,MATCH($G1537,MatriculesEmployes,0)),"MATRICULE INCONNU"))</f>
        <v/>
      </c>
      <c r="K1537" s="33">
        <f>IF(OR($D1537="",$F1537=""),"",IFERROR(IF(INDEX(RUNS!$L$6:$S$1005,MATCH($D1537,RUNS!$A$6:$A$1005,0),MATCH("ACTIVITÉ "&amp;$F1537,RUNS!$L$5:$S$5,0))="","",INDEX(RUNS!$L$6:$S$1005,MATCH($D1537,RUNS!$A$6:$A$1005,0),MATCH("ACTIVITÉ "&amp;$F1537,RUNS!$L$5:$S$5,0))),""))</f>
        <v/>
      </c>
      <c r="L1537" s="33">
        <f>IF($D1537="","",IFERROR(IF(INDEX(RUNS!$E$6:$E$1005,MATCH($D1537,RUNS!$A$6:$A$1005,0))="","",INDEX(RUNS!$E$6:$E$1005,MATCH($D1537,RUNS!$A$6:$A$1005,0))),""))</f>
        <v/>
      </c>
      <c r="M1537" s="33">
        <f>IF($D1537="","",IFERROR(IF(INDEX(RUNS!$F$6:$F$1005,MATCH($D1537,RUNS!$A$6:$A$1005,0))="","",INDEX(RUNS!$F$6:$F$1005,MATCH($D1537,RUNS!$A$6:$A$1005,0))),""))</f>
        <v/>
      </c>
      <c r="N1537" s="33">
        <f>IF($D1537="","",IFERROR(IF(INDEX(RUNS!$G$6:$G$1005,MATCH($D1537,RUNS!$A$6:$A$1005,0))="","",INDEX(RUNS!$G$6:$G$1005,MATCH($D1537,RUNS!$A$6:$A$1005,0))),""))</f>
        <v/>
      </c>
      <c r="O1537" s="33">
        <f>IF($D1537="","",IFERROR(IF(INDEX(RUNS!$H$6:$H$1005,MATCH($D1537,RUNS!$A$6:$A$1005,0))="","",INDEX(RUNS!$H$6:$H$1005,MATCH($D1537,RUNS!$A$6:$A$1005,0))),""))</f>
        <v/>
      </c>
      <c r="P1537" s="33">
        <f>IF($D1537="","",IFERROR(IF(INDEX(RUNS!$J$6:$J$1005,MATCH($D1537,RUNS!$A$6:$A$1005,0))="","",INDEX(RUNS!$J$6:$J$1005,MATCH($D1537,RUNS!$A$6:$A$1005,0))),""))</f>
        <v/>
      </c>
      <c r="Q1537" s="33">
        <f>IF($D1537="","",IFERROR(IF(INDEX(RUNS!$K$6:$K$1005,MATCH($D1537,RUNS!$A$6:$A$1005,0))="","",INDEX(RUNS!$K$6:$K$1005,MATCH($D1537,RUNS!$A$6:$A$1005,0))),""))</f>
        <v/>
      </c>
      <c r="R1537" s="34">
        <f>IF(OR($L1537="",$K1537=""),"",IFERROR(IF(INDEX(PARAMETRES!$H$43:$H$342,MATCH($L1537&amp;"|"&amp;$M1537&amp;"|"&amp;$N1537&amp;"|"&amp;$O1537&amp;"|"&amp;$P1537&amp;"|"&amp;$Q1537&amp;"|"&amp;$K1537,PARAMETRES!$J$43:$J$342,0))="","",INDEX(PARAMETRES!$H$43:$H$342,MATCH($L1537&amp;"|"&amp;$M1537&amp;"|"&amp;$N1537&amp;"|"&amp;$O1537&amp;"|"&amp;$P1537&amp;"|"&amp;$Q1537&amp;"|"&amp;$K1537,PARAMETRES!$J$43:$J$342,0))),""))</f>
        <v/>
      </c>
      <c r="S1537" s="35">
        <f>IF(OR($G1537="",$X1537&lt;&gt;"VALIDE"),"",IFERROR(LOOKUP(2,1/(($B637:$B1536=$B1537)*($G637:$G1536=$G1537)*($X637:$X1536="VALIDE")),$C637:$C1536),""))</f>
        <v/>
      </c>
      <c r="T1537" s="36">
        <f>IF(OR($C1537="",$S1537=""),"",ROUND(($C1537-$S1537+IF($C1537&lt;$S1537,1,0))*1440,0))</f>
        <v/>
      </c>
      <c r="U1537" s="22">
        <f>IF(OR($H1537="",$T1537="",$T1537&lt;=0),"",$H1537*60/$T1537)</f>
        <v/>
      </c>
      <c r="V1537" s="37">
        <f>IF(OR($U1537="",$R1537="",$R1537=0),"",$U1537/$R1537)</f>
        <v/>
      </c>
      <c r="W1537" s="20">
        <f>IF($G1537="","",IF($X1537="CONTEXTE INCOMPLET","CONTEXTE INCOMPLET",IF($X1537="DOUBLON",StatutDoublon,IF($S1537="",StatutInitial,IF($R1537="",StatutStandardManquant,IF($V1537="","DONNEES INSUFFISANTES",IF($V1537&gt;=SeuilConforme,StatutConforme,IF($V1537&gt;=SeuilSurveiller,StatutSurveiller,StatutSousStandard))))))))</f>
        <v/>
      </c>
      <c r="X1537" s="33">
        <f>IF($G1537="","",IF(OR($D1537="",$E1537="",$F1537=""),"CONTEXTE INCOMPLET",IF(COUNTIFS($D637:$D1536,$D1537,$E637:$E1536,$E1537,$F637:$F1536,$F1537,$G637:$G1536,$G1537)&gt;0,"DOUBLON","VALIDE")))</f>
        <v/>
      </c>
    </row>
    <row r="1538" ht="15" customHeight="1">
      <c r="A1538" s="12">
        <f>IF(OR($B1538="",$G1538=""),"",TEXT($B1538,"YYYYMMDD")&amp;"-"&amp;SUBSTITUTE($E1538," ","")&amp;"-"&amp;$F1538&amp;"-"&amp;$G1538)</f>
        <v/>
      </c>
      <c r="B1538" s="15" t="n"/>
      <c r="C1538" s="16" t="n"/>
      <c r="D1538" s="10" t="n"/>
      <c r="E1538" s="9" t="n"/>
      <c r="F1538" s="9" t="n"/>
      <c r="G1538" s="13" t="n"/>
      <c r="H1538" s="21" t="n"/>
      <c r="I1538" s="21" t="n"/>
      <c r="J1538" s="17">
        <f>IF($G1538="","",IFERROR(INDEX(NomsEmployes,MATCH($G1538,MatriculesEmployes,0)),"MATRICULE INCONNU"))</f>
        <v/>
      </c>
      <c r="K1538" s="33">
        <f>IF(OR($D1538="",$F1538=""),"",IFERROR(IF(INDEX(RUNS!$L$6:$S$1005,MATCH($D1538,RUNS!$A$6:$A$1005,0),MATCH("ACTIVITÉ "&amp;$F1538,RUNS!$L$5:$S$5,0))="","",INDEX(RUNS!$L$6:$S$1005,MATCH($D1538,RUNS!$A$6:$A$1005,0),MATCH("ACTIVITÉ "&amp;$F1538,RUNS!$L$5:$S$5,0))),""))</f>
        <v/>
      </c>
      <c r="L1538" s="33">
        <f>IF($D1538="","",IFERROR(IF(INDEX(RUNS!$E$6:$E$1005,MATCH($D1538,RUNS!$A$6:$A$1005,0))="","",INDEX(RUNS!$E$6:$E$1005,MATCH($D1538,RUNS!$A$6:$A$1005,0))),""))</f>
        <v/>
      </c>
      <c r="M1538" s="33">
        <f>IF($D1538="","",IFERROR(IF(INDEX(RUNS!$F$6:$F$1005,MATCH($D1538,RUNS!$A$6:$A$1005,0))="","",INDEX(RUNS!$F$6:$F$1005,MATCH($D1538,RUNS!$A$6:$A$1005,0))),""))</f>
        <v/>
      </c>
      <c r="N1538" s="33">
        <f>IF($D1538="","",IFERROR(IF(INDEX(RUNS!$G$6:$G$1005,MATCH($D1538,RUNS!$A$6:$A$1005,0))="","",INDEX(RUNS!$G$6:$G$1005,MATCH($D1538,RUNS!$A$6:$A$1005,0))),""))</f>
        <v/>
      </c>
      <c r="O1538" s="33">
        <f>IF($D1538="","",IFERROR(IF(INDEX(RUNS!$H$6:$H$1005,MATCH($D1538,RUNS!$A$6:$A$1005,0))="","",INDEX(RUNS!$H$6:$H$1005,MATCH($D1538,RUNS!$A$6:$A$1005,0))),""))</f>
        <v/>
      </c>
      <c r="P1538" s="33">
        <f>IF($D1538="","",IFERROR(IF(INDEX(RUNS!$J$6:$J$1005,MATCH($D1538,RUNS!$A$6:$A$1005,0))="","",INDEX(RUNS!$J$6:$J$1005,MATCH($D1538,RUNS!$A$6:$A$1005,0))),""))</f>
        <v/>
      </c>
      <c r="Q1538" s="33">
        <f>IF($D1538="","",IFERROR(IF(INDEX(RUNS!$K$6:$K$1005,MATCH($D1538,RUNS!$A$6:$A$1005,0))="","",INDEX(RUNS!$K$6:$K$1005,MATCH($D1538,RUNS!$A$6:$A$1005,0))),""))</f>
        <v/>
      </c>
      <c r="R1538" s="34">
        <f>IF(OR($L1538="",$K1538=""),"",IFERROR(IF(INDEX(PARAMETRES!$H$43:$H$342,MATCH($L1538&amp;"|"&amp;$M1538&amp;"|"&amp;$N1538&amp;"|"&amp;$O1538&amp;"|"&amp;$P1538&amp;"|"&amp;$Q1538&amp;"|"&amp;$K1538,PARAMETRES!$J$43:$J$342,0))="","",INDEX(PARAMETRES!$H$43:$H$342,MATCH($L1538&amp;"|"&amp;$M1538&amp;"|"&amp;$N1538&amp;"|"&amp;$O1538&amp;"|"&amp;$P1538&amp;"|"&amp;$Q1538&amp;"|"&amp;$K1538,PARAMETRES!$J$43:$J$342,0))),""))</f>
        <v/>
      </c>
      <c r="S1538" s="35">
        <f>IF(OR($G1538="",$X1538&lt;&gt;"VALIDE"),"",IFERROR(LOOKUP(2,1/(($B638:$B1537=$B1538)*($G638:$G1537=$G1538)*($X638:$X1537="VALIDE")),$C638:$C1537),""))</f>
        <v/>
      </c>
      <c r="T1538" s="36">
        <f>IF(OR($C1538="",$S1538=""),"",ROUND(($C1538-$S1538+IF($C1538&lt;$S1538,1,0))*1440,0))</f>
        <v/>
      </c>
      <c r="U1538" s="22">
        <f>IF(OR($H1538="",$T1538="",$T1538&lt;=0),"",$H1538*60/$T1538)</f>
        <v/>
      </c>
      <c r="V1538" s="37">
        <f>IF(OR($U1538="",$R1538="",$R1538=0),"",$U1538/$R1538)</f>
        <v/>
      </c>
      <c r="W1538" s="20">
        <f>IF($G1538="","",IF($X1538="CONTEXTE INCOMPLET","CONTEXTE INCOMPLET",IF($X1538="DOUBLON",StatutDoublon,IF($S1538="",StatutInitial,IF($R1538="",StatutStandardManquant,IF($V1538="","DONNEES INSUFFISANTES",IF($V1538&gt;=SeuilConforme,StatutConforme,IF($V1538&gt;=SeuilSurveiller,StatutSurveiller,StatutSousStandard))))))))</f>
        <v/>
      </c>
      <c r="X1538" s="33">
        <f>IF($G1538="","",IF(OR($D1538="",$E1538="",$F1538=""),"CONTEXTE INCOMPLET",IF(COUNTIFS($D638:$D1537,$D1538,$E638:$E1537,$E1538,$F638:$F1537,$F1538,$G638:$G1537,$G1538)&gt;0,"DOUBLON","VALIDE")))</f>
        <v/>
      </c>
    </row>
    <row r="1539" ht="15" customHeight="1">
      <c r="A1539" s="12">
        <f>IF(OR($B1539="",$G1539=""),"",TEXT($B1539,"YYYYMMDD")&amp;"-"&amp;SUBSTITUTE($E1539," ","")&amp;"-"&amp;$F1539&amp;"-"&amp;$G1539)</f>
        <v/>
      </c>
      <c r="B1539" s="15" t="n"/>
      <c r="C1539" s="16" t="n"/>
      <c r="D1539" s="10" t="n"/>
      <c r="E1539" s="9" t="n"/>
      <c r="F1539" s="9" t="n"/>
      <c r="G1539" s="13" t="n"/>
      <c r="H1539" s="21" t="n"/>
      <c r="I1539" s="21" t="n"/>
      <c r="J1539" s="17">
        <f>IF($G1539="","",IFERROR(INDEX(NomsEmployes,MATCH($G1539,MatriculesEmployes,0)),"MATRICULE INCONNU"))</f>
        <v/>
      </c>
      <c r="K1539" s="33">
        <f>IF(OR($D1539="",$F1539=""),"",IFERROR(IF(INDEX(RUNS!$L$6:$S$1005,MATCH($D1539,RUNS!$A$6:$A$1005,0),MATCH("ACTIVITÉ "&amp;$F1539,RUNS!$L$5:$S$5,0))="","",INDEX(RUNS!$L$6:$S$1005,MATCH($D1539,RUNS!$A$6:$A$1005,0),MATCH("ACTIVITÉ "&amp;$F1539,RUNS!$L$5:$S$5,0))),""))</f>
        <v/>
      </c>
      <c r="L1539" s="33">
        <f>IF($D1539="","",IFERROR(IF(INDEX(RUNS!$E$6:$E$1005,MATCH($D1539,RUNS!$A$6:$A$1005,0))="","",INDEX(RUNS!$E$6:$E$1005,MATCH($D1539,RUNS!$A$6:$A$1005,0))),""))</f>
        <v/>
      </c>
      <c r="M1539" s="33">
        <f>IF($D1539="","",IFERROR(IF(INDEX(RUNS!$F$6:$F$1005,MATCH($D1539,RUNS!$A$6:$A$1005,0))="","",INDEX(RUNS!$F$6:$F$1005,MATCH($D1539,RUNS!$A$6:$A$1005,0))),""))</f>
        <v/>
      </c>
      <c r="N1539" s="33">
        <f>IF($D1539="","",IFERROR(IF(INDEX(RUNS!$G$6:$G$1005,MATCH($D1539,RUNS!$A$6:$A$1005,0))="","",INDEX(RUNS!$G$6:$G$1005,MATCH($D1539,RUNS!$A$6:$A$1005,0))),""))</f>
        <v/>
      </c>
      <c r="O1539" s="33">
        <f>IF($D1539="","",IFERROR(IF(INDEX(RUNS!$H$6:$H$1005,MATCH($D1539,RUNS!$A$6:$A$1005,0))="","",INDEX(RUNS!$H$6:$H$1005,MATCH($D1539,RUNS!$A$6:$A$1005,0))),""))</f>
        <v/>
      </c>
      <c r="P1539" s="33">
        <f>IF($D1539="","",IFERROR(IF(INDEX(RUNS!$J$6:$J$1005,MATCH($D1539,RUNS!$A$6:$A$1005,0))="","",INDEX(RUNS!$J$6:$J$1005,MATCH($D1539,RUNS!$A$6:$A$1005,0))),""))</f>
        <v/>
      </c>
      <c r="Q1539" s="33">
        <f>IF($D1539="","",IFERROR(IF(INDEX(RUNS!$K$6:$K$1005,MATCH($D1539,RUNS!$A$6:$A$1005,0))="","",INDEX(RUNS!$K$6:$K$1005,MATCH($D1539,RUNS!$A$6:$A$1005,0))),""))</f>
        <v/>
      </c>
      <c r="R1539" s="34">
        <f>IF(OR($L1539="",$K1539=""),"",IFERROR(IF(INDEX(PARAMETRES!$H$43:$H$342,MATCH($L1539&amp;"|"&amp;$M1539&amp;"|"&amp;$N1539&amp;"|"&amp;$O1539&amp;"|"&amp;$P1539&amp;"|"&amp;$Q1539&amp;"|"&amp;$K1539,PARAMETRES!$J$43:$J$342,0))="","",INDEX(PARAMETRES!$H$43:$H$342,MATCH($L1539&amp;"|"&amp;$M1539&amp;"|"&amp;$N1539&amp;"|"&amp;$O1539&amp;"|"&amp;$P1539&amp;"|"&amp;$Q1539&amp;"|"&amp;$K1539,PARAMETRES!$J$43:$J$342,0))),""))</f>
        <v/>
      </c>
      <c r="S1539" s="35">
        <f>IF(OR($G1539="",$X1539&lt;&gt;"VALIDE"),"",IFERROR(LOOKUP(2,1/(($B639:$B1538=$B1539)*($G639:$G1538=$G1539)*($X639:$X1538="VALIDE")),$C639:$C1538),""))</f>
        <v/>
      </c>
      <c r="T1539" s="36">
        <f>IF(OR($C1539="",$S1539=""),"",ROUND(($C1539-$S1539+IF($C1539&lt;$S1539,1,0))*1440,0))</f>
        <v/>
      </c>
      <c r="U1539" s="22">
        <f>IF(OR($H1539="",$T1539="",$T1539&lt;=0),"",$H1539*60/$T1539)</f>
        <v/>
      </c>
      <c r="V1539" s="37">
        <f>IF(OR($U1539="",$R1539="",$R1539=0),"",$U1539/$R1539)</f>
        <v/>
      </c>
      <c r="W1539" s="20">
        <f>IF($G1539="","",IF($X1539="CONTEXTE INCOMPLET","CONTEXTE INCOMPLET",IF($X1539="DOUBLON",StatutDoublon,IF($S1539="",StatutInitial,IF($R1539="",StatutStandardManquant,IF($V1539="","DONNEES INSUFFISANTES",IF($V1539&gt;=SeuilConforme,StatutConforme,IF($V1539&gt;=SeuilSurveiller,StatutSurveiller,StatutSousStandard))))))))</f>
        <v/>
      </c>
      <c r="X1539" s="33">
        <f>IF($G1539="","",IF(OR($D1539="",$E1539="",$F1539=""),"CONTEXTE INCOMPLET",IF(COUNTIFS($D639:$D1538,$D1539,$E639:$E1538,$E1539,$F639:$F1538,$F1539,$G639:$G1538,$G1539)&gt;0,"DOUBLON","VALIDE")))</f>
        <v/>
      </c>
    </row>
    <row r="1540" ht="15" customHeight="1">
      <c r="A1540" s="12">
        <f>IF(OR($B1540="",$G1540=""),"",TEXT($B1540,"YYYYMMDD")&amp;"-"&amp;SUBSTITUTE($E1540," ","")&amp;"-"&amp;$F1540&amp;"-"&amp;$G1540)</f>
        <v/>
      </c>
      <c r="B1540" s="15" t="n"/>
      <c r="C1540" s="16" t="n"/>
      <c r="D1540" s="10" t="n"/>
      <c r="E1540" s="9" t="n"/>
      <c r="F1540" s="9" t="n"/>
      <c r="G1540" s="13" t="n"/>
      <c r="H1540" s="21" t="n"/>
      <c r="I1540" s="21" t="n"/>
      <c r="J1540" s="17">
        <f>IF($G1540="","",IFERROR(INDEX(NomsEmployes,MATCH($G1540,MatriculesEmployes,0)),"MATRICULE INCONNU"))</f>
        <v/>
      </c>
      <c r="K1540" s="33">
        <f>IF(OR($D1540="",$F1540=""),"",IFERROR(IF(INDEX(RUNS!$L$6:$S$1005,MATCH($D1540,RUNS!$A$6:$A$1005,0),MATCH("ACTIVITÉ "&amp;$F1540,RUNS!$L$5:$S$5,0))="","",INDEX(RUNS!$L$6:$S$1005,MATCH($D1540,RUNS!$A$6:$A$1005,0),MATCH("ACTIVITÉ "&amp;$F1540,RUNS!$L$5:$S$5,0))),""))</f>
        <v/>
      </c>
      <c r="L1540" s="33">
        <f>IF($D1540="","",IFERROR(IF(INDEX(RUNS!$E$6:$E$1005,MATCH($D1540,RUNS!$A$6:$A$1005,0))="","",INDEX(RUNS!$E$6:$E$1005,MATCH($D1540,RUNS!$A$6:$A$1005,0))),""))</f>
        <v/>
      </c>
      <c r="M1540" s="33">
        <f>IF($D1540="","",IFERROR(IF(INDEX(RUNS!$F$6:$F$1005,MATCH($D1540,RUNS!$A$6:$A$1005,0))="","",INDEX(RUNS!$F$6:$F$1005,MATCH($D1540,RUNS!$A$6:$A$1005,0))),""))</f>
        <v/>
      </c>
      <c r="N1540" s="33">
        <f>IF($D1540="","",IFERROR(IF(INDEX(RUNS!$G$6:$G$1005,MATCH($D1540,RUNS!$A$6:$A$1005,0))="","",INDEX(RUNS!$G$6:$G$1005,MATCH($D1540,RUNS!$A$6:$A$1005,0))),""))</f>
        <v/>
      </c>
      <c r="O1540" s="33">
        <f>IF($D1540="","",IFERROR(IF(INDEX(RUNS!$H$6:$H$1005,MATCH($D1540,RUNS!$A$6:$A$1005,0))="","",INDEX(RUNS!$H$6:$H$1005,MATCH($D1540,RUNS!$A$6:$A$1005,0))),""))</f>
        <v/>
      </c>
      <c r="P1540" s="33">
        <f>IF($D1540="","",IFERROR(IF(INDEX(RUNS!$J$6:$J$1005,MATCH($D1540,RUNS!$A$6:$A$1005,0))="","",INDEX(RUNS!$J$6:$J$1005,MATCH($D1540,RUNS!$A$6:$A$1005,0))),""))</f>
        <v/>
      </c>
      <c r="Q1540" s="33">
        <f>IF($D1540="","",IFERROR(IF(INDEX(RUNS!$K$6:$K$1005,MATCH($D1540,RUNS!$A$6:$A$1005,0))="","",INDEX(RUNS!$K$6:$K$1005,MATCH($D1540,RUNS!$A$6:$A$1005,0))),""))</f>
        <v/>
      </c>
      <c r="R1540" s="34">
        <f>IF(OR($L1540="",$K1540=""),"",IFERROR(IF(INDEX(PARAMETRES!$H$43:$H$342,MATCH($L1540&amp;"|"&amp;$M1540&amp;"|"&amp;$N1540&amp;"|"&amp;$O1540&amp;"|"&amp;$P1540&amp;"|"&amp;$Q1540&amp;"|"&amp;$K1540,PARAMETRES!$J$43:$J$342,0))="","",INDEX(PARAMETRES!$H$43:$H$342,MATCH($L1540&amp;"|"&amp;$M1540&amp;"|"&amp;$N1540&amp;"|"&amp;$O1540&amp;"|"&amp;$P1540&amp;"|"&amp;$Q1540&amp;"|"&amp;$K1540,PARAMETRES!$J$43:$J$342,0))),""))</f>
        <v/>
      </c>
      <c r="S1540" s="35">
        <f>IF(OR($G1540="",$X1540&lt;&gt;"VALIDE"),"",IFERROR(LOOKUP(2,1/(($B640:$B1539=$B1540)*($G640:$G1539=$G1540)*($X640:$X1539="VALIDE")),$C640:$C1539),""))</f>
        <v/>
      </c>
      <c r="T1540" s="36">
        <f>IF(OR($C1540="",$S1540=""),"",ROUND(($C1540-$S1540+IF($C1540&lt;$S1540,1,0))*1440,0))</f>
        <v/>
      </c>
      <c r="U1540" s="22">
        <f>IF(OR($H1540="",$T1540="",$T1540&lt;=0),"",$H1540*60/$T1540)</f>
        <v/>
      </c>
      <c r="V1540" s="37">
        <f>IF(OR($U1540="",$R1540="",$R1540=0),"",$U1540/$R1540)</f>
        <v/>
      </c>
      <c r="W1540" s="20">
        <f>IF($G1540="","",IF($X1540="CONTEXTE INCOMPLET","CONTEXTE INCOMPLET",IF($X1540="DOUBLON",StatutDoublon,IF($S1540="",StatutInitial,IF($R1540="",StatutStandardManquant,IF($V1540="","DONNEES INSUFFISANTES",IF($V1540&gt;=SeuilConforme,StatutConforme,IF($V1540&gt;=SeuilSurveiller,StatutSurveiller,StatutSousStandard))))))))</f>
        <v/>
      </c>
      <c r="X1540" s="33">
        <f>IF($G1540="","",IF(OR($D1540="",$E1540="",$F1540=""),"CONTEXTE INCOMPLET",IF(COUNTIFS($D640:$D1539,$D1540,$E640:$E1539,$E1540,$F640:$F1539,$F1540,$G640:$G1539,$G1540)&gt;0,"DOUBLON","VALIDE")))</f>
        <v/>
      </c>
    </row>
    <row r="1541" ht="15" customHeight="1">
      <c r="A1541" s="12">
        <f>IF(OR($B1541="",$G1541=""),"",TEXT($B1541,"YYYYMMDD")&amp;"-"&amp;SUBSTITUTE($E1541," ","")&amp;"-"&amp;$F1541&amp;"-"&amp;$G1541)</f>
        <v/>
      </c>
      <c r="B1541" s="15" t="n"/>
      <c r="C1541" s="16" t="n"/>
      <c r="D1541" s="10" t="n"/>
      <c r="E1541" s="9" t="n"/>
      <c r="F1541" s="9" t="n"/>
      <c r="G1541" s="13" t="n"/>
      <c r="H1541" s="21" t="n"/>
      <c r="I1541" s="21" t="n"/>
      <c r="J1541" s="17">
        <f>IF($G1541="","",IFERROR(INDEX(NomsEmployes,MATCH($G1541,MatriculesEmployes,0)),"MATRICULE INCONNU"))</f>
        <v/>
      </c>
      <c r="K1541" s="33">
        <f>IF(OR($D1541="",$F1541=""),"",IFERROR(IF(INDEX(RUNS!$L$6:$S$1005,MATCH($D1541,RUNS!$A$6:$A$1005,0),MATCH("ACTIVITÉ "&amp;$F1541,RUNS!$L$5:$S$5,0))="","",INDEX(RUNS!$L$6:$S$1005,MATCH($D1541,RUNS!$A$6:$A$1005,0),MATCH("ACTIVITÉ "&amp;$F1541,RUNS!$L$5:$S$5,0))),""))</f>
        <v/>
      </c>
      <c r="L1541" s="33">
        <f>IF($D1541="","",IFERROR(IF(INDEX(RUNS!$E$6:$E$1005,MATCH($D1541,RUNS!$A$6:$A$1005,0))="","",INDEX(RUNS!$E$6:$E$1005,MATCH($D1541,RUNS!$A$6:$A$1005,0))),""))</f>
        <v/>
      </c>
      <c r="M1541" s="33">
        <f>IF($D1541="","",IFERROR(IF(INDEX(RUNS!$F$6:$F$1005,MATCH($D1541,RUNS!$A$6:$A$1005,0))="","",INDEX(RUNS!$F$6:$F$1005,MATCH($D1541,RUNS!$A$6:$A$1005,0))),""))</f>
        <v/>
      </c>
      <c r="N1541" s="33">
        <f>IF($D1541="","",IFERROR(IF(INDEX(RUNS!$G$6:$G$1005,MATCH($D1541,RUNS!$A$6:$A$1005,0))="","",INDEX(RUNS!$G$6:$G$1005,MATCH($D1541,RUNS!$A$6:$A$1005,0))),""))</f>
        <v/>
      </c>
      <c r="O1541" s="33">
        <f>IF($D1541="","",IFERROR(IF(INDEX(RUNS!$H$6:$H$1005,MATCH($D1541,RUNS!$A$6:$A$1005,0))="","",INDEX(RUNS!$H$6:$H$1005,MATCH($D1541,RUNS!$A$6:$A$1005,0))),""))</f>
        <v/>
      </c>
      <c r="P1541" s="33">
        <f>IF($D1541="","",IFERROR(IF(INDEX(RUNS!$J$6:$J$1005,MATCH($D1541,RUNS!$A$6:$A$1005,0))="","",INDEX(RUNS!$J$6:$J$1005,MATCH($D1541,RUNS!$A$6:$A$1005,0))),""))</f>
        <v/>
      </c>
      <c r="Q1541" s="33">
        <f>IF($D1541="","",IFERROR(IF(INDEX(RUNS!$K$6:$K$1005,MATCH($D1541,RUNS!$A$6:$A$1005,0))="","",INDEX(RUNS!$K$6:$K$1005,MATCH($D1541,RUNS!$A$6:$A$1005,0))),""))</f>
        <v/>
      </c>
      <c r="R1541" s="34">
        <f>IF(OR($L1541="",$K1541=""),"",IFERROR(IF(INDEX(PARAMETRES!$H$43:$H$342,MATCH($L1541&amp;"|"&amp;$M1541&amp;"|"&amp;$N1541&amp;"|"&amp;$O1541&amp;"|"&amp;$P1541&amp;"|"&amp;$Q1541&amp;"|"&amp;$K1541,PARAMETRES!$J$43:$J$342,0))="","",INDEX(PARAMETRES!$H$43:$H$342,MATCH($L1541&amp;"|"&amp;$M1541&amp;"|"&amp;$N1541&amp;"|"&amp;$O1541&amp;"|"&amp;$P1541&amp;"|"&amp;$Q1541&amp;"|"&amp;$K1541,PARAMETRES!$J$43:$J$342,0))),""))</f>
        <v/>
      </c>
      <c r="S1541" s="35">
        <f>IF(OR($G1541="",$X1541&lt;&gt;"VALIDE"),"",IFERROR(LOOKUP(2,1/(($B641:$B1540=$B1541)*($G641:$G1540=$G1541)*($X641:$X1540="VALIDE")),$C641:$C1540),""))</f>
        <v/>
      </c>
      <c r="T1541" s="36">
        <f>IF(OR($C1541="",$S1541=""),"",ROUND(($C1541-$S1541+IF($C1541&lt;$S1541,1,0))*1440,0))</f>
        <v/>
      </c>
      <c r="U1541" s="22">
        <f>IF(OR($H1541="",$T1541="",$T1541&lt;=0),"",$H1541*60/$T1541)</f>
        <v/>
      </c>
      <c r="V1541" s="37">
        <f>IF(OR($U1541="",$R1541="",$R1541=0),"",$U1541/$R1541)</f>
        <v/>
      </c>
      <c r="W1541" s="20">
        <f>IF($G1541="","",IF($X1541="CONTEXTE INCOMPLET","CONTEXTE INCOMPLET",IF($X1541="DOUBLON",StatutDoublon,IF($S1541="",StatutInitial,IF($R1541="",StatutStandardManquant,IF($V1541="","DONNEES INSUFFISANTES",IF($V1541&gt;=SeuilConforme,StatutConforme,IF($V1541&gt;=SeuilSurveiller,StatutSurveiller,StatutSousStandard))))))))</f>
        <v/>
      </c>
      <c r="X1541" s="33">
        <f>IF($G1541="","",IF(OR($D1541="",$E1541="",$F1541=""),"CONTEXTE INCOMPLET",IF(COUNTIFS($D641:$D1540,$D1541,$E641:$E1540,$E1541,$F641:$F1540,$F1541,$G641:$G1540,$G1541)&gt;0,"DOUBLON","VALIDE")))</f>
        <v/>
      </c>
    </row>
    <row r="1542" ht="15" customHeight="1">
      <c r="A1542" s="12">
        <f>IF(OR($B1542="",$G1542=""),"",TEXT($B1542,"YYYYMMDD")&amp;"-"&amp;SUBSTITUTE($E1542," ","")&amp;"-"&amp;$F1542&amp;"-"&amp;$G1542)</f>
        <v/>
      </c>
      <c r="B1542" s="15" t="n"/>
      <c r="C1542" s="16" t="n"/>
      <c r="D1542" s="10" t="n"/>
      <c r="E1542" s="9" t="n"/>
      <c r="F1542" s="9" t="n"/>
      <c r="G1542" s="13" t="n"/>
      <c r="H1542" s="21" t="n"/>
      <c r="I1542" s="21" t="n"/>
      <c r="J1542" s="17">
        <f>IF($G1542="","",IFERROR(INDEX(NomsEmployes,MATCH($G1542,MatriculesEmployes,0)),"MATRICULE INCONNU"))</f>
        <v/>
      </c>
      <c r="K1542" s="33">
        <f>IF(OR($D1542="",$F1542=""),"",IFERROR(IF(INDEX(RUNS!$L$6:$S$1005,MATCH($D1542,RUNS!$A$6:$A$1005,0),MATCH("ACTIVITÉ "&amp;$F1542,RUNS!$L$5:$S$5,0))="","",INDEX(RUNS!$L$6:$S$1005,MATCH($D1542,RUNS!$A$6:$A$1005,0),MATCH("ACTIVITÉ "&amp;$F1542,RUNS!$L$5:$S$5,0))),""))</f>
        <v/>
      </c>
      <c r="L1542" s="33">
        <f>IF($D1542="","",IFERROR(IF(INDEX(RUNS!$E$6:$E$1005,MATCH($D1542,RUNS!$A$6:$A$1005,0))="","",INDEX(RUNS!$E$6:$E$1005,MATCH($D1542,RUNS!$A$6:$A$1005,0))),""))</f>
        <v/>
      </c>
      <c r="M1542" s="33">
        <f>IF($D1542="","",IFERROR(IF(INDEX(RUNS!$F$6:$F$1005,MATCH($D1542,RUNS!$A$6:$A$1005,0))="","",INDEX(RUNS!$F$6:$F$1005,MATCH($D1542,RUNS!$A$6:$A$1005,0))),""))</f>
        <v/>
      </c>
      <c r="N1542" s="33">
        <f>IF($D1542="","",IFERROR(IF(INDEX(RUNS!$G$6:$G$1005,MATCH($D1542,RUNS!$A$6:$A$1005,0))="","",INDEX(RUNS!$G$6:$G$1005,MATCH($D1542,RUNS!$A$6:$A$1005,0))),""))</f>
        <v/>
      </c>
      <c r="O1542" s="33">
        <f>IF($D1542="","",IFERROR(IF(INDEX(RUNS!$H$6:$H$1005,MATCH($D1542,RUNS!$A$6:$A$1005,0))="","",INDEX(RUNS!$H$6:$H$1005,MATCH($D1542,RUNS!$A$6:$A$1005,0))),""))</f>
        <v/>
      </c>
      <c r="P1542" s="33">
        <f>IF($D1542="","",IFERROR(IF(INDEX(RUNS!$J$6:$J$1005,MATCH($D1542,RUNS!$A$6:$A$1005,0))="","",INDEX(RUNS!$J$6:$J$1005,MATCH($D1542,RUNS!$A$6:$A$1005,0))),""))</f>
        <v/>
      </c>
      <c r="Q1542" s="33">
        <f>IF($D1542="","",IFERROR(IF(INDEX(RUNS!$K$6:$K$1005,MATCH($D1542,RUNS!$A$6:$A$1005,0))="","",INDEX(RUNS!$K$6:$K$1005,MATCH($D1542,RUNS!$A$6:$A$1005,0))),""))</f>
        <v/>
      </c>
      <c r="R1542" s="34">
        <f>IF(OR($L1542="",$K1542=""),"",IFERROR(IF(INDEX(PARAMETRES!$H$43:$H$342,MATCH($L1542&amp;"|"&amp;$M1542&amp;"|"&amp;$N1542&amp;"|"&amp;$O1542&amp;"|"&amp;$P1542&amp;"|"&amp;$Q1542&amp;"|"&amp;$K1542,PARAMETRES!$J$43:$J$342,0))="","",INDEX(PARAMETRES!$H$43:$H$342,MATCH($L1542&amp;"|"&amp;$M1542&amp;"|"&amp;$N1542&amp;"|"&amp;$O1542&amp;"|"&amp;$P1542&amp;"|"&amp;$Q1542&amp;"|"&amp;$K1542,PARAMETRES!$J$43:$J$342,0))),""))</f>
        <v/>
      </c>
      <c r="S1542" s="35">
        <f>IF(OR($G1542="",$X1542&lt;&gt;"VALIDE"),"",IFERROR(LOOKUP(2,1/(($B642:$B1541=$B1542)*($G642:$G1541=$G1542)*($X642:$X1541="VALIDE")),$C642:$C1541),""))</f>
        <v/>
      </c>
      <c r="T1542" s="36">
        <f>IF(OR($C1542="",$S1542=""),"",ROUND(($C1542-$S1542+IF($C1542&lt;$S1542,1,0))*1440,0))</f>
        <v/>
      </c>
      <c r="U1542" s="22">
        <f>IF(OR($H1542="",$T1542="",$T1542&lt;=0),"",$H1542*60/$T1542)</f>
        <v/>
      </c>
      <c r="V1542" s="37">
        <f>IF(OR($U1542="",$R1542="",$R1542=0),"",$U1542/$R1542)</f>
        <v/>
      </c>
      <c r="W1542" s="20">
        <f>IF($G1542="","",IF($X1542="CONTEXTE INCOMPLET","CONTEXTE INCOMPLET",IF($X1542="DOUBLON",StatutDoublon,IF($S1542="",StatutInitial,IF($R1542="",StatutStandardManquant,IF($V1542="","DONNEES INSUFFISANTES",IF($V1542&gt;=SeuilConforme,StatutConforme,IF($V1542&gt;=SeuilSurveiller,StatutSurveiller,StatutSousStandard))))))))</f>
        <v/>
      </c>
      <c r="X1542" s="33">
        <f>IF($G1542="","",IF(OR($D1542="",$E1542="",$F1542=""),"CONTEXTE INCOMPLET",IF(COUNTIFS($D642:$D1541,$D1542,$E642:$E1541,$E1542,$F642:$F1541,$F1542,$G642:$G1541,$G1542)&gt;0,"DOUBLON","VALIDE")))</f>
        <v/>
      </c>
    </row>
    <row r="1543" ht="15" customHeight="1">
      <c r="A1543" s="12">
        <f>IF(OR($B1543="",$G1543=""),"",TEXT($B1543,"YYYYMMDD")&amp;"-"&amp;SUBSTITUTE($E1543," ","")&amp;"-"&amp;$F1543&amp;"-"&amp;$G1543)</f>
        <v/>
      </c>
      <c r="B1543" s="15" t="n"/>
      <c r="C1543" s="16" t="n"/>
      <c r="D1543" s="10" t="n"/>
      <c r="E1543" s="9" t="n"/>
      <c r="F1543" s="9" t="n"/>
      <c r="G1543" s="13" t="n"/>
      <c r="H1543" s="21" t="n"/>
      <c r="I1543" s="21" t="n"/>
      <c r="J1543" s="17">
        <f>IF($G1543="","",IFERROR(INDEX(NomsEmployes,MATCH($G1543,MatriculesEmployes,0)),"MATRICULE INCONNU"))</f>
        <v/>
      </c>
      <c r="K1543" s="33">
        <f>IF(OR($D1543="",$F1543=""),"",IFERROR(IF(INDEX(RUNS!$L$6:$S$1005,MATCH($D1543,RUNS!$A$6:$A$1005,0),MATCH("ACTIVITÉ "&amp;$F1543,RUNS!$L$5:$S$5,0))="","",INDEX(RUNS!$L$6:$S$1005,MATCH($D1543,RUNS!$A$6:$A$1005,0),MATCH("ACTIVITÉ "&amp;$F1543,RUNS!$L$5:$S$5,0))),""))</f>
        <v/>
      </c>
      <c r="L1543" s="33">
        <f>IF($D1543="","",IFERROR(IF(INDEX(RUNS!$E$6:$E$1005,MATCH($D1543,RUNS!$A$6:$A$1005,0))="","",INDEX(RUNS!$E$6:$E$1005,MATCH($D1543,RUNS!$A$6:$A$1005,0))),""))</f>
        <v/>
      </c>
      <c r="M1543" s="33">
        <f>IF($D1543="","",IFERROR(IF(INDEX(RUNS!$F$6:$F$1005,MATCH($D1543,RUNS!$A$6:$A$1005,0))="","",INDEX(RUNS!$F$6:$F$1005,MATCH($D1543,RUNS!$A$6:$A$1005,0))),""))</f>
        <v/>
      </c>
      <c r="N1543" s="33">
        <f>IF($D1543="","",IFERROR(IF(INDEX(RUNS!$G$6:$G$1005,MATCH($D1543,RUNS!$A$6:$A$1005,0))="","",INDEX(RUNS!$G$6:$G$1005,MATCH($D1543,RUNS!$A$6:$A$1005,0))),""))</f>
        <v/>
      </c>
      <c r="O1543" s="33">
        <f>IF($D1543="","",IFERROR(IF(INDEX(RUNS!$H$6:$H$1005,MATCH($D1543,RUNS!$A$6:$A$1005,0))="","",INDEX(RUNS!$H$6:$H$1005,MATCH($D1543,RUNS!$A$6:$A$1005,0))),""))</f>
        <v/>
      </c>
      <c r="P1543" s="33">
        <f>IF($D1543="","",IFERROR(IF(INDEX(RUNS!$J$6:$J$1005,MATCH($D1543,RUNS!$A$6:$A$1005,0))="","",INDEX(RUNS!$J$6:$J$1005,MATCH($D1543,RUNS!$A$6:$A$1005,0))),""))</f>
        <v/>
      </c>
      <c r="Q1543" s="33">
        <f>IF($D1543="","",IFERROR(IF(INDEX(RUNS!$K$6:$K$1005,MATCH($D1543,RUNS!$A$6:$A$1005,0))="","",INDEX(RUNS!$K$6:$K$1005,MATCH($D1543,RUNS!$A$6:$A$1005,0))),""))</f>
        <v/>
      </c>
      <c r="R1543" s="34">
        <f>IF(OR($L1543="",$K1543=""),"",IFERROR(IF(INDEX(PARAMETRES!$H$43:$H$342,MATCH($L1543&amp;"|"&amp;$M1543&amp;"|"&amp;$N1543&amp;"|"&amp;$O1543&amp;"|"&amp;$P1543&amp;"|"&amp;$Q1543&amp;"|"&amp;$K1543,PARAMETRES!$J$43:$J$342,0))="","",INDEX(PARAMETRES!$H$43:$H$342,MATCH($L1543&amp;"|"&amp;$M1543&amp;"|"&amp;$N1543&amp;"|"&amp;$O1543&amp;"|"&amp;$P1543&amp;"|"&amp;$Q1543&amp;"|"&amp;$K1543,PARAMETRES!$J$43:$J$342,0))),""))</f>
        <v/>
      </c>
      <c r="S1543" s="35">
        <f>IF(OR($G1543="",$X1543&lt;&gt;"VALIDE"),"",IFERROR(LOOKUP(2,1/(($B643:$B1542=$B1543)*($G643:$G1542=$G1543)*($X643:$X1542="VALIDE")),$C643:$C1542),""))</f>
        <v/>
      </c>
      <c r="T1543" s="36">
        <f>IF(OR($C1543="",$S1543=""),"",ROUND(($C1543-$S1543+IF($C1543&lt;$S1543,1,0))*1440,0))</f>
        <v/>
      </c>
      <c r="U1543" s="22">
        <f>IF(OR($H1543="",$T1543="",$T1543&lt;=0),"",$H1543*60/$T1543)</f>
        <v/>
      </c>
      <c r="V1543" s="37">
        <f>IF(OR($U1543="",$R1543="",$R1543=0),"",$U1543/$R1543)</f>
        <v/>
      </c>
      <c r="W1543" s="20">
        <f>IF($G1543="","",IF($X1543="CONTEXTE INCOMPLET","CONTEXTE INCOMPLET",IF($X1543="DOUBLON",StatutDoublon,IF($S1543="",StatutInitial,IF($R1543="",StatutStandardManquant,IF($V1543="","DONNEES INSUFFISANTES",IF($V1543&gt;=SeuilConforme,StatutConforme,IF($V1543&gt;=SeuilSurveiller,StatutSurveiller,StatutSousStandard))))))))</f>
        <v/>
      </c>
      <c r="X1543" s="33">
        <f>IF($G1543="","",IF(OR($D1543="",$E1543="",$F1543=""),"CONTEXTE INCOMPLET",IF(COUNTIFS($D643:$D1542,$D1543,$E643:$E1542,$E1543,$F643:$F1542,$F1543,$G643:$G1542,$G1543)&gt;0,"DOUBLON","VALIDE")))</f>
        <v/>
      </c>
    </row>
    <row r="1544" ht="15" customHeight="1">
      <c r="A1544" s="12">
        <f>IF(OR($B1544="",$G1544=""),"",TEXT($B1544,"YYYYMMDD")&amp;"-"&amp;SUBSTITUTE($E1544," ","")&amp;"-"&amp;$F1544&amp;"-"&amp;$G1544)</f>
        <v/>
      </c>
      <c r="B1544" s="15" t="n"/>
      <c r="C1544" s="16" t="n"/>
      <c r="D1544" s="10" t="n"/>
      <c r="E1544" s="9" t="n"/>
      <c r="F1544" s="9" t="n"/>
      <c r="G1544" s="13" t="n"/>
      <c r="H1544" s="21" t="n"/>
      <c r="I1544" s="21" t="n"/>
      <c r="J1544" s="17">
        <f>IF($G1544="","",IFERROR(INDEX(NomsEmployes,MATCH($G1544,MatriculesEmployes,0)),"MATRICULE INCONNU"))</f>
        <v/>
      </c>
      <c r="K1544" s="33">
        <f>IF(OR($D1544="",$F1544=""),"",IFERROR(IF(INDEX(RUNS!$L$6:$S$1005,MATCH($D1544,RUNS!$A$6:$A$1005,0),MATCH("ACTIVITÉ "&amp;$F1544,RUNS!$L$5:$S$5,0))="","",INDEX(RUNS!$L$6:$S$1005,MATCH($D1544,RUNS!$A$6:$A$1005,0),MATCH("ACTIVITÉ "&amp;$F1544,RUNS!$L$5:$S$5,0))),""))</f>
        <v/>
      </c>
      <c r="L1544" s="33">
        <f>IF($D1544="","",IFERROR(IF(INDEX(RUNS!$E$6:$E$1005,MATCH($D1544,RUNS!$A$6:$A$1005,0))="","",INDEX(RUNS!$E$6:$E$1005,MATCH($D1544,RUNS!$A$6:$A$1005,0))),""))</f>
        <v/>
      </c>
      <c r="M1544" s="33">
        <f>IF($D1544="","",IFERROR(IF(INDEX(RUNS!$F$6:$F$1005,MATCH($D1544,RUNS!$A$6:$A$1005,0))="","",INDEX(RUNS!$F$6:$F$1005,MATCH($D1544,RUNS!$A$6:$A$1005,0))),""))</f>
        <v/>
      </c>
      <c r="N1544" s="33">
        <f>IF($D1544="","",IFERROR(IF(INDEX(RUNS!$G$6:$G$1005,MATCH($D1544,RUNS!$A$6:$A$1005,0))="","",INDEX(RUNS!$G$6:$G$1005,MATCH($D1544,RUNS!$A$6:$A$1005,0))),""))</f>
        <v/>
      </c>
      <c r="O1544" s="33">
        <f>IF($D1544="","",IFERROR(IF(INDEX(RUNS!$H$6:$H$1005,MATCH($D1544,RUNS!$A$6:$A$1005,0))="","",INDEX(RUNS!$H$6:$H$1005,MATCH($D1544,RUNS!$A$6:$A$1005,0))),""))</f>
        <v/>
      </c>
      <c r="P1544" s="33">
        <f>IF($D1544="","",IFERROR(IF(INDEX(RUNS!$J$6:$J$1005,MATCH($D1544,RUNS!$A$6:$A$1005,0))="","",INDEX(RUNS!$J$6:$J$1005,MATCH($D1544,RUNS!$A$6:$A$1005,0))),""))</f>
        <v/>
      </c>
      <c r="Q1544" s="33">
        <f>IF($D1544="","",IFERROR(IF(INDEX(RUNS!$K$6:$K$1005,MATCH($D1544,RUNS!$A$6:$A$1005,0))="","",INDEX(RUNS!$K$6:$K$1005,MATCH($D1544,RUNS!$A$6:$A$1005,0))),""))</f>
        <v/>
      </c>
      <c r="R1544" s="34">
        <f>IF(OR($L1544="",$K1544=""),"",IFERROR(IF(INDEX(PARAMETRES!$H$43:$H$342,MATCH($L1544&amp;"|"&amp;$M1544&amp;"|"&amp;$N1544&amp;"|"&amp;$O1544&amp;"|"&amp;$P1544&amp;"|"&amp;$Q1544&amp;"|"&amp;$K1544,PARAMETRES!$J$43:$J$342,0))="","",INDEX(PARAMETRES!$H$43:$H$342,MATCH($L1544&amp;"|"&amp;$M1544&amp;"|"&amp;$N1544&amp;"|"&amp;$O1544&amp;"|"&amp;$P1544&amp;"|"&amp;$Q1544&amp;"|"&amp;$K1544,PARAMETRES!$J$43:$J$342,0))),""))</f>
        <v/>
      </c>
      <c r="S1544" s="35">
        <f>IF(OR($G1544="",$X1544&lt;&gt;"VALIDE"),"",IFERROR(LOOKUP(2,1/(($B644:$B1543=$B1544)*($G644:$G1543=$G1544)*($X644:$X1543="VALIDE")),$C644:$C1543),""))</f>
        <v/>
      </c>
      <c r="T1544" s="36">
        <f>IF(OR($C1544="",$S1544=""),"",ROUND(($C1544-$S1544+IF($C1544&lt;$S1544,1,0))*1440,0))</f>
        <v/>
      </c>
      <c r="U1544" s="22">
        <f>IF(OR($H1544="",$T1544="",$T1544&lt;=0),"",$H1544*60/$T1544)</f>
        <v/>
      </c>
      <c r="V1544" s="37">
        <f>IF(OR($U1544="",$R1544="",$R1544=0),"",$U1544/$R1544)</f>
        <v/>
      </c>
      <c r="W1544" s="20">
        <f>IF($G1544="","",IF($X1544="CONTEXTE INCOMPLET","CONTEXTE INCOMPLET",IF($X1544="DOUBLON",StatutDoublon,IF($S1544="",StatutInitial,IF($R1544="",StatutStandardManquant,IF($V1544="","DONNEES INSUFFISANTES",IF($V1544&gt;=SeuilConforme,StatutConforme,IF($V1544&gt;=SeuilSurveiller,StatutSurveiller,StatutSousStandard))))))))</f>
        <v/>
      </c>
      <c r="X1544" s="33">
        <f>IF($G1544="","",IF(OR($D1544="",$E1544="",$F1544=""),"CONTEXTE INCOMPLET",IF(COUNTIFS($D644:$D1543,$D1544,$E644:$E1543,$E1544,$F644:$F1543,$F1544,$G644:$G1543,$G1544)&gt;0,"DOUBLON","VALIDE")))</f>
        <v/>
      </c>
    </row>
    <row r="1545" ht="15" customHeight="1">
      <c r="A1545" s="12">
        <f>IF(OR($B1545="",$G1545=""),"",TEXT($B1545,"YYYYMMDD")&amp;"-"&amp;SUBSTITUTE($E1545," ","")&amp;"-"&amp;$F1545&amp;"-"&amp;$G1545)</f>
        <v/>
      </c>
      <c r="B1545" s="15" t="n"/>
      <c r="C1545" s="16" t="n"/>
      <c r="D1545" s="10" t="n"/>
      <c r="E1545" s="9" t="n"/>
      <c r="F1545" s="9" t="n"/>
      <c r="G1545" s="13" t="n"/>
      <c r="H1545" s="21" t="n"/>
      <c r="I1545" s="21" t="n"/>
      <c r="J1545" s="17">
        <f>IF($G1545="","",IFERROR(INDEX(NomsEmployes,MATCH($G1545,MatriculesEmployes,0)),"MATRICULE INCONNU"))</f>
        <v/>
      </c>
      <c r="K1545" s="33">
        <f>IF(OR($D1545="",$F1545=""),"",IFERROR(IF(INDEX(RUNS!$L$6:$S$1005,MATCH($D1545,RUNS!$A$6:$A$1005,0),MATCH("ACTIVITÉ "&amp;$F1545,RUNS!$L$5:$S$5,0))="","",INDEX(RUNS!$L$6:$S$1005,MATCH($D1545,RUNS!$A$6:$A$1005,0),MATCH("ACTIVITÉ "&amp;$F1545,RUNS!$L$5:$S$5,0))),""))</f>
        <v/>
      </c>
      <c r="L1545" s="33">
        <f>IF($D1545="","",IFERROR(IF(INDEX(RUNS!$E$6:$E$1005,MATCH($D1545,RUNS!$A$6:$A$1005,0))="","",INDEX(RUNS!$E$6:$E$1005,MATCH($D1545,RUNS!$A$6:$A$1005,0))),""))</f>
        <v/>
      </c>
      <c r="M1545" s="33">
        <f>IF($D1545="","",IFERROR(IF(INDEX(RUNS!$F$6:$F$1005,MATCH($D1545,RUNS!$A$6:$A$1005,0))="","",INDEX(RUNS!$F$6:$F$1005,MATCH($D1545,RUNS!$A$6:$A$1005,0))),""))</f>
        <v/>
      </c>
      <c r="N1545" s="33">
        <f>IF($D1545="","",IFERROR(IF(INDEX(RUNS!$G$6:$G$1005,MATCH($D1545,RUNS!$A$6:$A$1005,0))="","",INDEX(RUNS!$G$6:$G$1005,MATCH($D1545,RUNS!$A$6:$A$1005,0))),""))</f>
        <v/>
      </c>
      <c r="O1545" s="33">
        <f>IF($D1545="","",IFERROR(IF(INDEX(RUNS!$H$6:$H$1005,MATCH($D1545,RUNS!$A$6:$A$1005,0))="","",INDEX(RUNS!$H$6:$H$1005,MATCH($D1545,RUNS!$A$6:$A$1005,0))),""))</f>
        <v/>
      </c>
      <c r="P1545" s="33">
        <f>IF($D1545="","",IFERROR(IF(INDEX(RUNS!$J$6:$J$1005,MATCH($D1545,RUNS!$A$6:$A$1005,0))="","",INDEX(RUNS!$J$6:$J$1005,MATCH($D1545,RUNS!$A$6:$A$1005,0))),""))</f>
        <v/>
      </c>
      <c r="Q1545" s="33">
        <f>IF($D1545="","",IFERROR(IF(INDEX(RUNS!$K$6:$K$1005,MATCH($D1545,RUNS!$A$6:$A$1005,0))="","",INDEX(RUNS!$K$6:$K$1005,MATCH($D1545,RUNS!$A$6:$A$1005,0))),""))</f>
        <v/>
      </c>
      <c r="R1545" s="34">
        <f>IF(OR($L1545="",$K1545=""),"",IFERROR(IF(INDEX(PARAMETRES!$H$43:$H$342,MATCH($L1545&amp;"|"&amp;$M1545&amp;"|"&amp;$N1545&amp;"|"&amp;$O1545&amp;"|"&amp;$P1545&amp;"|"&amp;$Q1545&amp;"|"&amp;$K1545,PARAMETRES!$J$43:$J$342,0))="","",INDEX(PARAMETRES!$H$43:$H$342,MATCH($L1545&amp;"|"&amp;$M1545&amp;"|"&amp;$N1545&amp;"|"&amp;$O1545&amp;"|"&amp;$P1545&amp;"|"&amp;$Q1545&amp;"|"&amp;$K1545,PARAMETRES!$J$43:$J$342,0))),""))</f>
        <v/>
      </c>
      <c r="S1545" s="35">
        <f>IF(OR($G1545="",$X1545&lt;&gt;"VALIDE"),"",IFERROR(LOOKUP(2,1/(($B645:$B1544=$B1545)*($G645:$G1544=$G1545)*($X645:$X1544="VALIDE")),$C645:$C1544),""))</f>
        <v/>
      </c>
      <c r="T1545" s="36">
        <f>IF(OR($C1545="",$S1545=""),"",ROUND(($C1545-$S1545+IF($C1545&lt;$S1545,1,0))*1440,0))</f>
        <v/>
      </c>
      <c r="U1545" s="22">
        <f>IF(OR($H1545="",$T1545="",$T1545&lt;=0),"",$H1545*60/$T1545)</f>
        <v/>
      </c>
      <c r="V1545" s="37">
        <f>IF(OR($U1545="",$R1545="",$R1545=0),"",$U1545/$R1545)</f>
        <v/>
      </c>
      <c r="W1545" s="20">
        <f>IF($G1545="","",IF($X1545="CONTEXTE INCOMPLET","CONTEXTE INCOMPLET",IF($X1545="DOUBLON",StatutDoublon,IF($S1545="",StatutInitial,IF($R1545="",StatutStandardManquant,IF($V1545="","DONNEES INSUFFISANTES",IF($V1545&gt;=SeuilConforme,StatutConforme,IF($V1545&gt;=SeuilSurveiller,StatutSurveiller,StatutSousStandard))))))))</f>
        <v/>
      </c>
      <c r="X1545" s="33">
        <f>IF($G1545="","",IF(OR($D1545="",$E1545="",$F1545=""),"CONTEXTE INCOMPLET",IF(COUNTIFS($D645:$D1544,$D1545,$E645:$E1544,$E1545,$F645:$F1544,$F1545,$G645:$G1544,$G1545)&gt;0,"DOUBLON","VALIDE")))</f>
        <v/>
      </c>
    </row>
    <row r="1546" ht="15" customHeight="1">
      <c r="A1546" s="12">
        <f>IF(OR($B1546="",$G1546=""),"",TEXT($B1546,"YYYYMMDD")&amp;"-"&amp;SUBSTITUTE($E1546," ","")&amp;"-"&amp;$F1546&amp;"-"&amp;$G1546)</f>
        <v/>
      </c>
      <c r="B1546" s="15" t="n"/>
      <c r="C1546" s="16" t="n"/>
      <c r="D1546" s="10" t="n"/>
      <c r="E1546" s="9" t="n"/>
      <c r="F1546" s="9" t="n"/>
      <c r="G1546" s="13" t="n"/>
      <c r="H1546" s="21" t="n"/>
      <c r="I1546" s="21" t="n"/>
      <c r="J1546" s="17">
        <f>IF($G1546="","",IFERROR(INDEX(NomsEmployes,MATCH($G1546,MatriculesEmployes,0)),"MATRICULE INCONNU"))</f>
        <v/>
      </c>
      <c r="K1546" s="33">
        <f>IF(OR($D1546="",$F1546=""),"",IFERROR(IF(INDEX(RUNS!$L$6:$S$1005,MATCH($D1546,RUNS!$A$6:$A$1005,0),MATCH("ACTIVITÉ "&amp;$F1546,RUNS!$L$5:$S$5,0))="","",INDEX(RUNS!$L$6:$S$1005,MATCH($D1546,RUNS!$A$6:$A$1005,0),MATCH("ACTIVITÉ "&amp;$F1546,RUNS!$L$5:$S$5,0))),""))</f>
        <v/>
      </c>
      <c r="L1546" s="33">
        <f>IF($D1546="","",IFERROR(IF(INDEX(RUNS!$E$6:$E$1005,MATCH($D1546,RUNS!$A$6:$A$1005,0))="","",INDEX(RUNS!$E$6:$E$1005,MATCH($D1546,RUNS!$A$6:$A$1005,0))),""))</f>
        <v/>
      </c>
      <c r="M1546" s="33">
        <f>IF($D1546="","",IFERROR(IF(INDEX(RUNS!$F$6:$F$1005,MATCH($D1546,RUNS!$A$6:$A$1005,0))="","",INDEX(RUNS!$F$6:$F$1005,MATCH($D1546,RUNS!$A$6:$A$1005,0))),""))</f>
        <v/>
      </c>
      <c r="N1546" s="33">
        <f>IF($D1546="","",IFERROR(IF(INDEX(RUNS!$G$6:$G$1005,MATCH($D1546,RUNS!$A$6:$A$1005,0))="","",INDEX(RUNS!$G$6:$G$1005,MATCH($D1546,RUNS!$A$6:$A$1005,0))),""))</f>
        <v/>
      </c>
      <c r="O1546" s="33">
        <f>IF($D1546="","",IFERROR(IF(INDEX(RUNS!$H$6:$H$1005,MATCH($D1546,RUNS!$A$6:$A$1005,0))="","",INDEX(RUNS!$H$6:$H$1005,MATCH($D1546,RUNS!$A$6:$A$1005,0))),""))</f>
        <v/>
      </c>
      <c r="P1546" s="33">
        <f>IF($D1546="","",IFERROR(IF(INDEX(RUNS!$J$6:$J$1005,MATCH($D1546,RUNS!$A$6:$A$1005,0))="","",INDEX(RUNS!$J$6:$J$1005,MATCH($D1546,RUNS!$A$6:$A$1005,0))),""))</f>
        <v/>
      </c>
      <c r="Q1546" s="33">
        <f>IF($D1546="","",IFERROR(IF(INDEX(RUNS!$K$6:$K$1005,MATCH($D1546,RUNS!$A$6:$A$1005,0))="","",INDEX(RUNS!$K$6:$K$1005,MATCH($D1546,RUNS!$A$6:$A$1005,0))),""))</f>
        <v/>
      </c>
      <c r="R1546" s="34">
        <f>IF(OR($L1546="",$K1546=""),"",IFERROR(IF(INDEX(PARAMETRES!$H$43:$H$342,MATCH($L1546&amp;"|"&amp;$M1546&amp;"|"&amp;$N1546&amp;"|"&amp;$O1546&amp;"|"&amp;$P1546&amp;"|"&amp;$Q1546&amp;"|"&amp;$K1546,PARAMETRES!$J$43:$J$342,0))="","",INDEX(PARAMETRES!$H$43:$H$342,MATCH($L1546&amp;"|"&amp;$M1546&amp;"|"&amp;$N1546&amp;"|"&amp;$O1546&amp;"|"&amp;$P1546&amp;"|"&amp;$Q1546&amp;"|"&amp;$K1546,PARAMETRES!$J$43:$J$342,0))),""))</f>
        <v/>
      </c>
      <c r="S1546" s="35">
        <f>IF(OR($G1546="",$X1546&lt;&gt;"VALIDE"),"",IFERROR(LOOKUP(2,1/(($B646:$B1545=$B1546)*($G646:$G1545=$G1546)*($X646:$X1545="VALIDE")),$C646:$C1545),""))</f>
        <v/>
      </c>
      <c r="T1546" s="36">
        <f>IF(OR($C1546="",$S1546=""),"",ROUND(($C1546-$S1546+IF($C1546&lt;$S1546,1,0))*1440,0))</f>
        <v/>
      </c>
      <c r="U1546" s="22">
        <f>IF(OR($H1546="",$T1546="",$T1546&lt;=0),"",$H1546*60/$T1546)</f>
        <v/>
      </c>
      <c r="V1546" s="37">
        <f>IF(OR($U1546="",$R1546="",$R1546=0),"",$U1546/$R1546)</f>
        <v/>
      </c>
      <c r="W1546" s="20">
        <f>IF($G1546="","",IF($X1546="CONTEXTE INCOMPLET","CONTEXTE INCOMPLET",IF($X1546="DOUBLON",StatutDoublon,IF($S1546="",StatutInitial,IF($R1546="",StatutStandardManquant,IF($V1546="","DONNEES INSUFFISANTES",IF($V1546&gt;=SeuilConforme,StatutConforme,IF($V1546&gt;=SeuilSurveiller,StatutSurveiller,StatutSousStandard))))))))</f>
        <v/>
      </c>
      <c r="X1546" s="33">
        <f>IF($G1546="","",IF(OR($D1546="",$E1546="",$F1546=""),"CONTEXTE INCOMPLET",IF(COUNTIFS($D646:$D1545,$D1546,$E646:$E1545,$E1546,$F646:$F1545,$F1546,$G646:$G1545,$G1546)&gt;0,"DOUBLON","VALIDE")))</f>
        <v/>
      </c>
    </row>
    <row r="1547" ht="15" customHeight="1">
      <c r="A1547" s="12">
        <f>IF(OR($B1547="",$G1547=""),"",TEXT($B1547,"YYYYMMDD")&amp;"-"&amp;SUBSTITUTE($E1547," ","")&amp;"-"&amp;$F1547&amp;"-"&amp;$G1547)</f>
        <v/>
      </c>
      <c r="B1547" s="15" t="n"/>
      <c r="C1547" s="16" t="n"/>
      <c r="D1547" s="10" t="n"/>
      <c r="E1547" s="9" t="n"/>
      <c r="F1547" s="9" t="n"/>
      <c r="G1547" s="13" t="n"/>
      <c r="H1547" s="21" t="n"/>
      <c r="I1547" s="21" t="n"/>
      <c r="J1547" s="17">
        <f>IF($G1547="","",IFERROR(INDEX(NomsEmployes,MATCH($G1547,MatriculesEmployes,0)),"MATRICULE INCONNU"))</f>
        <v/>
      </c>
      <c r="K1547" s="33">
        <f>IF(OR($D1547="",$F1547=""),"",IFERROR(IF(INDEX(RUNS!$L$6:$S$1005,MATCH($D1547,RUNS!$A$6:$A$1005,0),MATCH("ACTIVITÉ "&amp;$F1547,RUNS!$L$5:$S$5,0))="","",INDEX(RUNS!$L$6:$S$1005,MATCH($D1547,RUNS!$A$6:$A$1005,0),MATCH("ACTIVITÉ "&amp;$F1547,RUNS!$L$5:$S$5,0))),""))</f>
        <v/>
      </c>
      <c r="L1547" s="33">
        <f>IF($D1547="","",IFERROR(IF(INDEX(RUNS!$E$6:$E$1005,MATCH($D1547,RUNS!$A$6:$A$1005,0))="","",INDEX(RUNS!$E$6:$E$1005,MATCH($D1547,RUNS!$A$6:$A$1005,0))),""))</f>
        <v/>
      </c>
      <c r="M1547" s="33">
        <f>IF($D1547="","",IFERROR(IF(INDEX(RUNS!$F$6:$F$1005,MATCH($D1547,RUNS!$A$6:$A$1005,0))="","",INDEX(RUNS!$F$6:$F$1005,MATCH($D1547,RUNS!$A$6:$A$1005,0))),""))</f>
        <v/>
      </c>
      <c r="N1547" s="33">
        <f>IF($D1547="","",IFERROR(IF(INDEX(RUNS!$G$6:$G$1005,MATCH($D1547,RUNS!$A$6:$A$1005,0))="","",INDEX(RUNS!$G$6:$G$1005,MATCH($D1547,RUNS!$A$6:$A$1005,0))),""))</f>
        <v/>
      </c>
      <c r="O1547" s="33">
        <f>IF($D1547="","",IFERROR(IF(INDEX(RUNS!$H$6:$H$1005,MATCH($D1547,RUNS!$A$6:$A$1005,0))="","",INDEX(RUNS!$H$6:$H$1005,MATCH($D1547,RUNS!$A$6:$A$1005,0))),""))</f>
        <v/>
      </c>
      <c r="P1547" s="33">
        <f>IF($D1547="","",IFERROR(IF(INDEX(RUNS!$J$6:$J$1005,MATCH($D1547,RUNS!$A$6:$A$1005,0))="","",INDEX(RUNS!$J$6:$J$1005,MATCH($D1547,RUNS!$A$6:$A$1005,0))),""))</f>
        <v/>
      </c>
      <c r="Q1547" s="33">
        <f>IF($D1547="","",IFERROR(IF(INDEX(RUNS!$K$6:$K$1005,MATCH($D1547,RUNS!$A$6:$A$1005,0))="","",INDEX(RUNS!$K$6:$K$1005,MATCH($D1547,RUNS!$A$6:$A$1005,0))),""))</f>
        <v/>
      </c>
      <c r="R1547" s="34">
        <f>IF(OR($L1547="",$K1547=""),"",IFERROR(IF(INDEX(PARAMETRES!$H$43:$H$342,MATCH($L1547&amp;"|"&amp;$M1547&amp;"|"&amp;$N1547&amp;"|"&amp;$O1547&amp;"|"&amp;$P1547&amp;"|"&amp;$Q1547&amp;"|"&amp;$K1547,PARAMETRES!$J$43:$J$342,0))="","",INDEX(PARAMETRES!$H$43:$H$342,MATCH($L1547&amp;"|"&amp;$M1547&amp;"|"&amp;$N1547&amp;"|"&amp;$O1547&amp;"|"&amp;$P1547&amp;"|"&amp;$Q1547&amp;"|"&amp;$K1547,PARAMETRES!$J$43:$J$342,0))),""))</f>
        <v/>
      </c>
      <c r="S1547" s="35">
        <f>IF(OR($G1547="",$X1547&lt;&gt;"VALIDE"),"",IFERROR(LOOKUP(2,1/(($B647:$B1546=$B1547)*($G647:$G1546=$G1547)*($X647:$X1546="VALIDE")),$C647:$C1546),""))</f>
        <v/>
      </c>
      <c r="T1547" s="36">
        <f>IF(OR($C1547="",$S1547=""),"",ROUND(($C1547-$S1547+IF($C1547&lt;$S1547,1,0))*1440,0))</f>
        <v/>
      </c>
      <c r="U1547" s="22">
        <f>IF(OR($H1547="",$T1547="",$T1547&lt;=0),"",$H1547*60/$T1547)</f>
        <v/>
      </c>
      <c r="V1547" s="37">
        <f>IF(OR($U1547="",$R1547="",$R1547=0),"",$U1547/$R1547)</f>
        <v/>
      </c>
      <c r="W1547" s="20">
        <f>IF($G1547="","",IF($X1547="CONTEXTE INCOMPLET","CONTEXTE INCOMPLET",IF($X1547="DOUBLON",StatutDoublon,IF($S1547="",StatutInitial,IF($R1547="",StatutStandardManquant,IF($V1547="","DONNEES INSUFFISANTES",IF($V1547&gt;=SeuilConforme,StatutConforme,IF($V1547&gt;=SeuilSurveiller,StatutSurveiller,StatutSousStandard))))))))</f>
        <v/>
      </c>
      <c r="X1547" s="33">
        <f>IF($G1547="","",IF(OR($D1547="",$E1547="",$F1547=""),"CONTEXTE INCOMPLET",IF(COUNTIFS($D647:$D1546,$D1547,$E647:$E1546,$E1547,$F647:$F1546,$F1547,$G647:$G1546,$G1547)&gt;0,"DOUBLON","VALIDE")))</f>
        <v/>
      </c>
    </row>
    <row r="1548" ht="15" customHeight="1">
      <c r="A1548" s="12">
        <f>IF(OR($B1548="",$G1548=""),"",TEXT($B1548,"YYYYMMDD")&amp;"-"&amp;SUBSTITUTE($E1548," ","")&amp;"-"&amp;$F1548&amp;"-"&amp;$G1548)</f>
        <v/>
      </c>
      <c r="B1548" s="15" t="n"/>
      <c r="C1548" s="16" t="n"/>
      <c r="D1548" s="10" t="n"/>
      <c r="E1548" s="9" t="n"/>
      <c r="F1548" s="9" t="n"/>
      <c r="G1548" s="13" t="n"/>
      <c r="H1548" s="21" t="n"/>
      <c r="I1548" s="21" t="n"/>
      <c r="J1548" s="17">
        <f>IF($G1548="","",IFERROR(INDEX(NomsEmployes,MATCH($G1548,MatriculesEmployes,0)),"MATRICULE INCONNU"))</f>
        <v/>
      </c>
      <c r="K1548" s="33">
        <f>IF(OR($D1548="",$F1548=""),"",IFERROR(IF(INDEX(RUNS!$L$6:$S$1005,MATCH($D1548,RUNS!$A$6:$A$1005,0),MATCH("ACTIVITÉ "&amp;$F1548,RUNS!$L$5:$S$5,0))="","",INDEX(RUNS!$L$6:$S$1005,MATCH($D1548,RUNS!$A$6:$A$1005,0),MATCH("ACTIVITÉ "&amp;$F1548,RUNS!$L$5:$S$5,0))),""))</f>
        <v/>
      </c>
      <c r="L1548" s="33">
        <f>IF($D1548="","",IFERROR(IF(INDEX(RUNS!$E$6:$E$1005,MATCH($D1548,RUNS!$A$6:$A$1005,0))="","",INDEX(RUNS!$E$6:$E$1005,MATCH($D1548,RUNS!$A$6:$A$1005,0))),""))</f>
        <v/>
      </c>
      <c r="M1548" s="33">
        <f>IF($D1548="","",IFERROR(IF(INDEX(RUNS!$F$6:$F$1005,MATCH($D1548,RUNS!$A$6:$A$1005,0))="","",INDEX(RUNS!$F$6:$F$1005,MATCH($D1548,RUNS!$A$6:$A$1005,0))),""))</f>
        <v/>
      </c>
      <c r="N1548" s="33">
        <f>IF($D1548="","",IFERROR(IF(INDEX(RUNS!$G$6:$G$1005,MATCH($D1548,RUNS!$A$6:$A$1005,0))="","",INDEX(RUNS!$G$6:$G$1005,MATCH($D1548,RUNS!$A$6:$A$1005,0))),""))</f>
        <v/>
      </c>
      <c r="O1548" s="33">
        <f>IF($D1548="","",IFERROR(IF(INDEX(RUNS!$H$6:$H$1005,MATCH($D1548,RUNS!$A$6:$A$1005,0))="","",INDEX(RUNS!$H$6:$H$1005,MATCH($D1548,RUNS!$A$6:$A$1005,0))),""))</f>
        <v/>
      </c>
      <c r="P1548" s="33">
        <f>IF($D1548="","",IFERROR(IF(INDEX(RUNS!$J$6:$J$1005,MATCH($D1548,RUNS!$A$6:$A$1005,0))="","",INDEX(RUNS!$J$6:$J$1005,MATCH($D1548,RUNS!$A$6:$A$1005,0))),""))</f>
        <v/>
      </c>
      <c r="Q1548" s="33">
        <f>IF($D1548="","",IFERROR(IF(INDEX(RUNS!$K$6:$K$1005,MATCH($D1548,RUNS!$A$6:$A$1005,0))="","",INDEX(RUNS!$K$6:$K$1005,MATCH($D1548,RUNS!$A$6:$A$1005,0))),""))</f>
        <v/>
      </c>
      <c r="R1548" s="34">
        <f>IF(OR($L1548="",$K1548=""),"",IFERROR(IF(INDEX(PARAMETRES!$H$43:$H$342,MATCH($L1548&amp;"|"&amp;$M1548&amp;"|"&amp;$N1548&amp;"|"&amp;$O1548&amp;"|"&amp;$P1548&amp;"|"&amp;$Q1548&amp;"|"&amp;$K1548,PARAMETRES!$J$43:$J$342,0))="","",INDEX(PARAMETRES!$H$43:$H$342,MATCH($L1548&amp;"|"&amp;$M1548&amp;"|"&amp;$N1548&amp;"|"&amp;$O1548&amp;"|"&amp;$P1548&amp;"|"&amp;$Q1548&amp;"|"&amp;$K1548,PARAMETRES!$J$43:$J$342,0))),""))</f>
        <v/>
      </c>
      <c r="S1548" s="35">
        <f>IF(OR($G1548="",$X1548&lt;&gt;"VALIDE"),"",IFERROR(LOOKUP(2,1/(($B648:$B1547=$B1548)*($G648:$G1547=$G1548)*($X648:$X1547="VALIDE")),$C648:$C1547),""))</f>
        <v/>
      </c>
      <c r="T1548" s="36">
        <f>IF(OR($C1548="",$S1548=""),"",ROUND(($C1548-$S1548+IF($C1548&lt;$S1548,1,0))*1440,0))</f>
        <v/>
      </c>
      <c r="U1548" s="22">
        <f>IF(OR($H1548="",$T1548="",$T1548&lt;=0),"",$H1548*60/$T1548)</f>
        <v/>
      </c>
      <c r="V1548" s="37">
        <f>IF(OR($U1548="",$R1548="",$R1548=0),"",$U1548/$R1548)</f>
        <v/>
      </c>
      <c r="W1548" s="20">
        <f>IF($G1548="","",IF($X1548="CONTEXTE INCOMPLET","CONTEXTE INCOMPLET",IF($X1548="DOUBLON",StatutDoublon,IF($S1548="",StatutInitial,IF($R1548="",StatutStandardManquant,IF($V1548="","DONNEES INSUFFISANTES",IF($V1548&gt;=SeuilConforme,StatutConforme,IF($V1548&gt;=SeuilSurveiller,StatutSurveiller,StatutSousStandard))))))))</f>
        <v/>
      </c>
      <c r="X1548" s="33">
        <f>IF($G1548="","",IF(OR($D1548="",$E1548="",$F1548=""),"CONTEXTE INCOMPLET",IF(COUNTIFS($D648:$D1547,$D1548,$E648:$E1547,$E1548,$F648:$F1547,$F1548,$G648:$G1547,$G1548)&gt;0,"DOUBLON","VALIDE")))</f>
        <v/>
      </c>
    </row>
    <row r="1549" ht="15" customHeight="1">
      <c r="A1549" s="12">
        <f>IF(OR($B1549="",$G1549=""),"",TEXT($B1549,"YYYYMMDD")&amp;"-"&amp;SUBSTITUTE($E1549," ","")&amp;"-"&amp;$F1549&amp;"-"&amp;$G1549)</f>
        <v/>
      </c>
      <c r="B1549" s="15" t="n"/>
      <c r="C1549" s="16" t="n"/>
      <c r="D1549" s="10" t="n"/>
      <c r="E1549" s="9" t="n"/>
      <c r="F1549" s="9" t="n"/>
      <c r="G1549" s="13" t="n"/>
      <c r="H1549" s="21" t="n"/>
      <c r="I1549" s="21" t="n"/>
      <c r="J1549" s="17">
        <f>IF($G1549="","",IFERROR(INDEX(NomsEmployes,MATCH($G1549,MatriculesEmployes,0)),"MATRICULE INCONNU"))</f>
        <v/>
      </c>
      <c r="K1549" s="33">
        <f>IF(OR($D1549="",$F1549=""),"",IFERROR(IF(INDEX(RUNS!$L$6:$S$1005,MATCH($D1549,RUNS!$A$6:$A$1005,0),MATCH("ACTIVITÉ "&amp;$F1549,RUNS!$L$5:$S$5,0))="","",INDEX(RUNS!$L$6:$S$1005,MATCH($D1549,RUNS!$A$6:$A$1005,0),MATCH("ACTIVITÉ "&amp;$F1549,RUNS!$L$5:$S$5,0))),""))</f>
        <v/>
      </c>
      <c r="L1549" s="33">
        <f>IF($D1549="","",IFERROR(IF(INDEX(RUNS!$E$6:$E$1005,MATCH($D1549,RUNS!$A$6:$A$1005,0))="","",INDEX(RUNS!$E$6:$E$1005,MATCH($D1549,RUNS!$A$6:$A$1005,0))),""))</f>
        <v/>
      </c>
      <c r="M1549" s="33">
        <f>IF($D1549="","",IFERROR(IF(INDEX(RUNS!$F$6:$F$1005,MATCH($D1549,RUNS!$A$6:$A$1005,0))="","",INDEX(RUNS!$F$6:$F$1005,MATCH($D1549,RUNS!$A$6:$A$1005,0))),""))</f>
        <v/>
      </c>
      <c r="N1549" s="33">
        <f>IF($D1549="","",IFERROR(IF(INDEX(RUNS!$G$6:$G$1005,MATCH($D1549,RUNS!$A$6:$A$1005,0))="","",INDEX(RUNS!$G$6:$G$1005,MATCH($D1549,RUNS!$A$6:$A$1005,0))),""))</f>
        <v/>
      </c>
      <c r="O1549" s="33">
        <f>IF($D1549="","",IFERROR(IF(INDEX(RUNS!$H$6:$H$1005,MATCH($D1549,RUNS!$A$6:$A$1005,0))="","",INDEX(RUNS!$H$6:$H$1005,MATCH($D1549,RUNS!$A$6:$A$1005,0))),""))</f>
        <v/>
      </c>
      <c r="P1549" s="33">
        <f>IF($D1549="","",IFERROR(IF(INDEX(RUNS!$J$6:$J$1005,MATCH($D1549,RUNS!$A$6:$A$1005,0))="","",INDEX(RUNS!$J$6:$J$1005,MATCH($D1549,RUNS!$A$6:$A$1005,0))),""))</f>
        <v/>
      </c>
      <c r="Q1549" s="33">
        <f>IF($D1549="","",IFERROR(IF(INDEX(RUNS!$K$6:$K$1005,MATCH($D1549,RUNS!$A$6:$A$1005,0))="","",INDEX(RUNS!$K$6:$K$1005,MATCH($D1549,RUNS!$A$6:$A$1005,0))),""))</f>
        <v/>
      </c>
      <c r="R1549" s="34">
        <f>IF(OR($L1549="",$K1549=""),"",IFERROR(IF(INDEX(PARAMETRES!$H$43:$H$342,MATCH($L1549&amp;"|"&amp;$M1549&amp;"|"&amp;$N1549&amp;"|"&amp;$O1549&amp;"|"&amp;$P1549&amp;"|"&amp;$Q1549&amp;"|"&amp;$K1549,PARAMETRES!$J$43:$J$342,0))="","",INDEX(PARAMETRES!$H$43:$H$342,MATCH($L1549&amp;"|"&amp;$M1549&amp;"|"&amp;$N1549&amp;"|"&amp;$O1549&amp;"|"&amp;$P1549&amp;"|"&amp;$Q1549&amp;"|"&amp;$K1549,PARAMETRES!$J$43:$J$342,0))),""))</f>
        <v/>
      </c>
      <c r="S1549" s="35">
        <f>IF(OR($G1549="",$X1549&lt;&gt;"VALIDE"),"",IFERROR(LOOKUP(2,1/(($B649:$B1548=$B1549)*($G649:$G1548=$G1549)*($X649:$X1548="VALIDE")),$C649:$C1548),""))</f>
        <v/>
      </c>
      <c r="T1549" s="36">
        <f>IF(OR($C1549="",$S1549=""),"",ROUND(($C1549-$S1549+IF($C1549&lt;$S1549,1,0))*1440,0))</f>
        <v/>
      </c>
      <c r="U1549" s="22">
        <f>IF(OR($H1549="",$T1549="",$T1549&lt;=0),"",$H1549*60/$T1549)</f>
        <v/>
      </c>
      <c r="V1549" s="37">
        <f>IF(OR($U1549="",$R1549="",$R1549=0),"",$U1549/$R1549)</f>
        <v/>
      </c>
      <c r="W1549" s="20">
        <f>IF($G1549="","",IF($X1549="CONTEXTE INCOMPLET","CONTEXTE INCOMPLET",IF($X1549="DOUBLON",StatutDoublon,IF($S1549="",StatutInitial,IF($R1549="",StatutStandardManquant,IF($V1549="","DONNEES INSUFFISANTES",IF($V1549&gt;=SeuilConforme,StatutConforme,IF($V1549&gt;=SeuilSurveiller,StatutSurveiller,StatutSousStandard))))))))</f>
        <v/>
      </c>
      <c r="X1549" s="33">
        <f>IF($G1549="","",IF(OR($D1549="",$E1549="",$F1549=""),"CONTEXTE INCOMPLET",IF(COUNTIFS($D649:$D1548,$D1549,$E649:$E1548,$E1549,$F649:$F1548,$F1549,$G649:$G1548,$G1549)&gt;0,"DOUBLON","VALIDE")))</f>
        <v/>
      </c>
    </row>
    <row r="1550" ht="15" customHeight="1">
      <c r="A1550" s="12">
        <f>IF(OR($B1550="",$G1550=""),"",TEXT($B1550,"YYYYMMDD")&amp;"-"&amp;SUBSTITUTE($E1550," ","")&amp;"-"&amp;$F1550&amp;"-"&amp;$G1550)</f>
        <v/>
      </c>
      <c r="B1550" s="15" t="n"/>
      <c r="C1550" s="16" t="n"/>
      <c r="D1550" s="10" t="n"/>
      <c r="E1550" s="9" t="n"/>
      <c r="F1550" s="9" t="n"/>
      <c r="G1550" s="13" t="n"/>
      <c r="H1550" s="21" t="n"/>
      <c r="I1550" s="21" t="n"/>
      <c r="J1550" s="17">
        <f>IF($G1550="","",IFERROR(INDEX(NomsEmployes,MATCH($G1550,MatriculesEmployes,0)),"MATRICULE INCONNU"))</f>
        <v/>
      </c>
      <c r="K1550" s="33">
        <f>IF(OR($D1550="",$F1550=""),"",IFERROR(IF(INDEX(RUNS!$L$6:$S$1005,MATCH($D1550,RUNS!$A$6:$A$1005,0),MATCH("ACTIVITÉ "&amp;$F1550,RUNS!$L$5:$S$5,0))="","",INDEX(RUNS!$L$6:$S$1005,MATCH($D1550,RUNS!$A$6:$A$1005,0),MATCH("ACTIVITÉ "&amp;$F1550,RUNS!$L$5:$S$5,0))),""))</f>
        <v/>
      </c>
      <c r="L1550" s="33">
        <f>IF($D1550="","",IFERROR(IF(INDEX(RUNS!$E$6:$E$1005,MATCH($D1550,RUNS!$A$6:$A$1005,0))="","",INDEX(RUNS!$E$6:$E$1005,MATCH($D1550,RUNS!$A$6:$A$1005,0))),""))</f>
        <v/>
      </c>
      <c r="M1550" s="33">
        <f>IF($D1550="","",IFERROR(IF(INDEX(RUNS!$F$6:$F$1005,MATCH($D1550,RUNS!$A$6:$A$1005,0))="","",INDEX(RUNS!$F$6:$F$1005,MATCH($D1550,RUNS!$A$6:$A$1005,0))),""))</f>
        <v/>
      </c>
      <c r="N1550" s="33">
        <f>IF($D1550="","",IFERROR(IF(INDEX(RUNS!$G$6:$G$1005,MATCH($D1550,RUNS!$A$6:$A$1005,0))="","",INDEX(RUNS!$G$6:$G$1005,MATCH($D1550,RUNS!$A$6:$A$1005,0))),""))</f>
        <v/>
      </c>
      <c r="O1550" s="33">
        <f>IF($D1550="","",IFERROR(IF(INDEX(RUNS!$H$6:$H$1005,MATCH($D1550,RUNS!$A$6:$A$1005,0))="","",INDEX(RUNS!$H$6:$H$1005,MATCH($D1550,RUNS!$A$6:$A$1005,0))),""))</f>
        <v/>
      </c>
      <c r="P1550" s="33">
        <f>IF($D1550="","",IFERROR(IF(INDEX(RUNS!$J$6:$J$1005,MATCH($D1550,RUNS!$A$6:$A$1005,0))="","",INDEX(RUNS!$J$6:$J$1005,MATCH($D1550,RUNS!$A$6:$A$1005,0))),""))</f>
        <v/>
      </c>
      <c r="Q1550" s="33">
        <f>IF($D1550="","",IFERROR(IF(INDEX(RUNS!$K$6:$K$1005,MATCH($D1550,RUNS!$A$6:$A$1005,0))="","",INDEX(RUNS!$K$6:$K$1005,MATCH($D1550,RUNS!$A$6:$A$1005,0))),""))</f>
        <v/>
      </c>
      <c r="R1550" s="34">
        <f>IF(OR($L1550="",$K1550=""),"",IFERROR(IF(INDEX(PARAMETRES!$H$43:$H$342,MATCH($L1550&amp;"|"&amp;$M1550&amp;"|"&amp;$N1550&amp;"|"&amp;$O1550&amp;"|"&amp;$P1550&amp;"|"&amp;$Q1550&amp;"|"&amp;$K1550,PARAMETRES!$J$43:$J$342,0))="","",INDEX(PARAMETRES!$H$43:$H$342,MATCH($L1550&amp;"|"&amp;$M1550&amp;"|"&amp;$N1550&amp;"|"&amp;$O1550&amp;"|"&amp;$P1550&amp;"|"&amp;$Q1550&amp;"|"&amp;$K1550,PARAMETRES!$J$43:$J$342,0))),""))</f>
        <v/>
      </c>
      <c r="S1550" s="35">
        <f>IF(OR($G1550="",$X1550&lt;&gt;"VALIDE"),"",IFERROR(LOOKUP(2,1/(($B650:$B1549=$B1550)*($G650:$G1549=$G1550)*($X650:$X1549="VALIDE")),$C650:$C1549),""))</f>
        <v/>
      </c>
      <c r="T1550" s="36">
        <f>IF(OR($C1550="",$S1550=""),"",ROUND(($C1550-$S1550+IF($C1550&lt;$S1550,1,0))*1440,0))</f>
        <v/>
      </c>
      <c r="U1550" s="22">
        <f>IF(OR($H1550="",$T1550="",$T1550&lt;=0),"",$H1550*60/$T1550)</f>
        <v/>
      </c>
      <c r="V1550" s="37">
        <f>IF(OR($U1550="",$R1550="",$R1550=0),"",$U1550/$R1550)</f>
        <v/>
      </c>
      <c r="W1550" s="20">
        <f>IF($G1550="","",IF($X1550="CONTEXTE INCOMPLET","CONTEXTE INCOMPLET",IF($X1550="DOUBLON",StatutDoublon,IF($S1550="",StatutInitial,IF($R1550="",StatutStandardManquant,IF($V1550="","DONNEES INSUFFISANTES",IF($V1550&gt;=SeuilConforme,StatutConforme,IF($V1550&gt;=SeuilSurveiller,StatutSurveiller,StatutSousStandard))))))))</f>
        <v/>
      </c>
      <c r="X1550" s="33">
        <f>IF($G1550="","",IF(OR($D1550="",$E1550="",$F1550=""),"CONTEXTE INCOMPLET",IF(COUNTIFS($D650:$D1549,$D1550,$E650:$E1549,$E1550,$F650:$F1549,$F1550,$G650:$G1549,$G1550)&gt;0,"DOUBLON","VALIDE")))</f>
        <v/>
      </c>
    </row>
    <row r="1551" ht="15" customHeight="1">
      <c r="A1551" s="12">
        <f>IF(OR($B1551="",$G1551=""),"",TEXT($B1551,"YYYYMMDD")&amp;"-"&amp;SUBSTITUTE($E1551," ","")&amp;"-"&amp;$F1551&amp;"-"&amp;$G1551)</f>
        <v/>
      </c>
      <c r="B1551" s="15" t="n"/>
      <c r="C1551" s="16" t="n"/>
      <c r="D1551" s="10" t="n"/>
      <c r="E1551" s="9" t="n"/>
      <c r="F1551" s="9" t="n"/>
      <c r="G1551" s="13" t="n"/>
      <c r="H1551" s="21" t="n"/>
      <c r="I1551" s="21" t="n"/>
      <c r="J1551" s="17">
        <f>IF($G1551="","",IFERROR(INDEX(NomsEmployes,MATCH($G1551,MatriculesEmployes,0)),"MATRICULE INCONNU"))</f>
        <v/>
      </c>
      <c r="K1551" s="33">
        <f>IF(OR($D1551="",$F1551=""),"",IFERROR(IF(INDEX(RUNS!$L$6:$S$1005,MATCH($D1551,RUNS!$A$6:$A$1005,0),MATCH("ACTIVITÉ "&amp;$F1551,RUNS!$L$5:$S$5,0))="","",INDEX(RUNS!$L$6:$S$1005,MATCH($D1551,RUNS!$A$6:$A$1005,0),MATCH("ACTIVITÉ "&amp;$F1551,RUNS!$L$5:$S$5,0))),""))</f>
        <v/>
      </c>
      <c r="L1551" s="33">
        <f>IF($D1551="","",IFERROR(IF(INDEX(RUNS!$E$6:$E$1005,MATCH($D1551,RUNS!$A$6:$A$1005,0))="","",INDEX(RUNS!$E$6:$E$1005,MATCH($D1551,RUNS!$A$6:$A$1005,0))),""))</f>
        <v/>
      </c>
      <c r="M1551" s="33">
        <f>IF($D1551="","",IFERROR(IF(INDEX(RUNS!$F$6:$F$1005,MATCH($D1551,RUNS!$A$6:$A$1005,0))="","",INDEX(RUNS!$F$6:$F$1005,MATCH($D1551,RUNS!$A$6:$A$1005,0))),""))</f>
        <v/>
      </c>
      <c r="N1551" s="33">
        <f>IF($D1551="","",IFERROR(IF(INDEX(RUNS!$G$6:$G$1005,MATCH($D1551,RUNS!$A$6:$A$1005,0))="","",INDEX(RUNS!$G$6:$G$1005,MATCH($D1551,RUNS!$A$6:$A$1005,0))),""))</f>
        <v/>
      </c>
      <c r="O1551" s="33">
        <f>IF($D1551="","",IFERROR(IF(INDEX(RUNS!$H$6:$H$1005,MATCH($D1551,RUNS!$A$6:$A$1005,0))="","",INDEX(RUNS!$H$6:$H$1005,MATCH($D1551,RUNS!$A$6:$A$1005,0))),""))</f>
        <v/>
      </c>
      <c r="P1551" s="33">
        <f>IF($D1551="","",IFERROR(IF(INDEX(RUNS!$J$6:$J$1005,MATCH($D1551,RUNS!$A$6:$A$1005,0))="","",INDEX(RUNS!$J$6:$J$1005,MATCH($D1551,RUNS!$A$6:$A$1005,0))),""))</f>
        <v/>
      </c>
      <c r="Q1551" s="33">
        <f>IF($D1551="","",IFERROR(IF(INDEX(RUNS!$K$6:$K$1005,MATCH($D1551,RUNS!$A$6:$A$1005,0))="","",INDEX(RUNS!$K$6:$K$1005,MATCH($D1551,RUNS!$A$6:$A$1005,0))),""))</f>
        <v/>
      </c>
      <c r="R1551" s="34">
        <f>IF(OR($L1551="",$K1551=""),"",IFERROR(IF(INDEX(PARAMETRES!$H$43:$H$342,MATCH($L1551&amp;"|"&amp;$M1551&amp;"|"&amp;$N1551&amp;"|"&amp;$O1551&amp;"|"&amp;$P1551&amp;"|"&amp;$Q1551&amp;"|"&amp;$K1551,PARAMETRES!$J$43:$J$342,0))="","",INDEX(PARAMETRES!$H$43:$H$342,MATCH($L1551&amp;"|"&amp;$M1551&amp;"|"&amp;$N1551&amp;"|"&amp;$O1551&amp;"|"&amp;$P1551&amp;"|"&amp;$Q1551&amp;"|"&amp;$K1551,PARAMETRES!$J$43:$J$342,0))),""))</f>
        <v/>
      </c>
      <c r="S1551" s="35">
        <f>IF(OR($G1551="",$X1551&lt;&gt;"VALIDE"),"",IFERROR(LOOKUP(2,1/(($B651:$B1550=$B1551)*($G651:$G1550=$G1551)*($X651:$X1550="VALIDE")),$C651:$C1550),""))</f>
        <v/>
      </c>
      <c r="T1551" s="36">
        <f>IF(OR($C1551="",$S1551=""),"",ROUND(($C1551-$S1551+IF($C1551&lt;$S1551,1,0))*1440,0))</f>
        <v/>
      </c>
      <c r="U1551" s="22">
        <f>IF(OR($H1551="",$T1551="",$T1551&lt;=0),"",$H1551*60/$T1551)</f>
        <v/>
      </c>
      <c r="V1551" s="37">
        <f>IF(OR($U1551="",$R1551="",$R1551=0),"",$U1551/$R1551)</f>
        <v/>
      </c>
      <c r="W1551" s="20">
        <f>IF($G1551="","",IF($X1551="CONTEXTE INCOMPLET","CONTEXTE INCOMPLET",IF($X1551="DOUBLON",StatutDoublon,IF($S1551="",StatutInitial,IF($R1551="",StatutStandardManquant,IF($V1551="","DONNEES INSUFFISANTES",IF($V1551&gt;=SeuilConforme,StatutConforme,IF($V1551&gt;=SeuilSurveiller,StatutSurveiller,StatutSousStandard))))))))</f>
        <v/>
      </c>
      <c r="X1551" s="33">
        <f>IF($G1551="","",IF(OR($D1551="",$E1551="",$F1551=""),"CONTEXTE INCOMPLET",IF(COUNTIFS($D651:$D1550,$D1551,$E651:$E1550,$E1551,$F651:$F1550,$F1551,$G651:$G1550,$G1551)&gt;0,"DOUBLON","VALIDE")))</f>
        <v/>
      </c>
    </row>
    <row r="1552" ht="15" customHeight="1">
      <c r="A1552" s="12">
        <f>IF(OR($B1552="",$G1552=""),"",TEXT($B1552,"YYYYMMDD")&amp;"-"&amp;SUBSTITUTE($E1552," ","")&amp;"-"&amp;$F1552&amp;"-"&amp;$G1552)</f>
        <v/>
      </c>
      <c r="B1552" s="15" t="n"/>
      <c r="C1552" s="16" t="n"/>
      <c r="D1552" s="10" t="n"/>
      <c r="E1552" s="9" t="n"/>
      <c r="F1552" s="9" t="n"/>
      <c r="G1552" s="13" t="n"/>
      <c r="H1552" s="21" t="n"/>
      <c r="I1552" s="21" t="n"/>
      <c r="J1552" s="17">
        <f>IF($G1552="","",IFERROR(INDEX(NomsEmployes,MATCH($G1552,MatriculesEmployes,0)),"MATRICULE INCONNU"))</f>
        <v/>
      </c>
      <c r="K1552" s="33">
        <f>IF(OR($D1552="",$F1552=""),"",IFERROR(IF(INDEX(RUNS!$L$6:$S$1005,MATCH($D1552,RUNS!$A$6:$A$1005,0),MATCH("ACTIVITÉ "&amp;$F1552,RUNS!$L$5:$S$5,0))="","",INDEX(RUNS!$L$6:$S$1005,MATCH($D1552,RUNS!$A$6:$A$1005,0),MATCH("ACTIVITÉ "&amp;$F1552,RUNS!$L$5:$S$5,0))),""))</f>
        <v/>
      </c>
      <c r="L1552" s="33">
        <f>IF($D1552="","",IFERROR(IF(INDEX(RUNS!$E$6:$E$1005,MATCH($D1552,RUNS!$A$6:$A$1005,0))="","",INDEX(RUNS!$E$6:$E$1005,MATCH($D1552,RUNS!$A$6:$A$1005,0))),""))</f>
        <v/>
      </c>
      <c r="M1552" s="33">
        <f>IF($D1552="","",IFERROR(IF(INDEX(RUNS!$F$6:$F$1005,MATCH($D1552,RUNS!$A$6:$A$1005,0))="","",INDEX(RUNS!$F$6:$F$1005,MATCH($D1552,RUNS!$A$6:$A$1005,0))),""))</f>
        <v/>
      </c>
      <c r="N1552" s="33">
        <f>IF($D1552="","",IFERROR(IF(INDEX(RUNS!$G$6:$G$1005,MATCH($D1552,RUNS!$A$6:$A$1005,0))="","",INDEX(RUNS!$G$6:$G$1005,MATCH($D1552,RUNS!$A$6:$A$1005,0))),""))</f>
        <v/>
      </c>
      <c r="O1552" s="33">
        <f>IF($D1552="","",IFERROR(IF(INDEX(RUNS!$H$6:$H$1005,MATCH($D1552,RUNS!$A$6:$A$1005,0))="","",INDEX(RUNS!$H$6:$H$1005,MATCH($D1552,RUNS!$A$6:$A$1005,0))),""))</f>
        <v/>
      </c>
      <c r="P1552" s="33">
        <f>IF($D1552="","",IFERROR(IF(INDEX(RUNS!$J$6:$J$1005,MATCH($D1552,RUNS!$A$6:$A$1005,0))="","",INDEX(RUNS!$J$6:$J$1005,MATCH($D1552,RUNS!$A$6:$A$1005,0))),""))</f>
        <v/>
      </c>
      <c r="Q1552" s="33">
        <f>IF($D1552="","",IFERROR(IF(INDEX(RUNS!$K$6:$K$1005,MATCH($D1552,RUNS!$A$6:$A$1005,0))="","",INDEX(RUNS!$K$6:$K$1005,MATCH($D1552,RUNS!$A$6:$A$1005,0))),""))</f>
        <v/>
      </c>
      <c r="R1552" s="34">
        <f>IF(OR($L1552="",$K1552=""),"",IFERROR(IF(INDEX(PARAMETRES!$H$43:$H$342,MATCH($L1552&amp;"|"&amp;$M1552&amp;"|"&amp;$N1552&amp;"|"&amp;$O1552&amp;"|"&amp;$P1552&amp;"|"&amp;$Q1552&amp;"|"&amp;$K1552,PARAMETRES!$J$43:$J$342,0))="","",INDEX(PARAMETRES!$H$43:$H$342,MATCH($L1552&amp;"|"&amp;$M1552&amp;"|"&amp;$N1552&amp;"|"&amp;$O1552&amp;"|"&amp;$P1552&amp;"|"&amp;$Q1552&amp;"|"&amp;$K1552,PARAMETRES!$J$43:$J$342,0))),""))</f>
        <v/>
      </c>
      <c r="S1552" s="35">
        <f>IF(OR($G1552="",$X1552&lt;&gt;"VALIDE"),"",IFERROR(LOOKUP(2,1/(($B652:$B1551=$B1552)*($G652:$G1551=$G1552)*($X652:$X1551="VALIDE")),$C652:$C1551),""))</f>
        <v/>
      </c>
      <c r="T1552" s="36">
        <f>IF(OR($C1552="",$S1552=""),"",ROUND(($C1552-$S1552+IF($C1552&lt;$S1552,1,0))*1440,0))</f>
        <v/>
      </c>
      <c r="U1552" s="22">
        <f>IF(OR($H1552="",$T1552="",$T1552&lt;=0),"",$H1552*60/$T1552)</f>
        <v/>
      </c>
      <c r="V1552" s="37">
        <f>IF(OR($U1552="",$R1552="",$R1552=0),"",$U1552/$R1552)</f>
        <v/>
      </c>
      <c r="W1552" s="20">
        <f>IF($G1552="","",IF($X1552="CONTEXTE INCOMPLET","CONTEXTE INCOMPLET",IF($X1552="DOUBLON",StatutDoublon,IF($S1552="",StatutInitial,IF($R1552="",StatutStandardManquant,IF($V1552="","DONNEES INSUFFISANTES",IF($V1552&gt;=SeuilConforme,StatutConforme,IF($V1552&gt;=SeuilSurveiller,StatutSurveiller,StatutSousStandard))))))))</f>
        <v/>
      </c>
      <c r="X1552" s="33">
        <f>IF($G1552="","",IF(OR($D1552="",$E1552="",$F1552=""),"CONTEXTE INCOMPLET",IF(COUNTIFS($D652:$D1551,$D1552,$E652:$E1551,$E1552,$F652:$F1551,$F1552,$G652:$G1551,$G1552)&gt;0,"DOUBLON","VALIDE")))</f>
        <v/>
      </c>
    </row>
    <row r="1553" ht="15" customHeight="1">
      <c r="A1553" s="12">
        <f>IF(OR($B1553="",$G1553=""),"",TEXT($B1553,"YYYYMMDD")&amp;"-"&amp;SUBSTITUTE($E1553," ","")&amp;"-"&amp;$F1553&amp;"-"&amp;$G1553)</f>
        <v/>
      </c>
      <c r="B1553" s="15" t="n"/>
      <c r="C1553" s="16" t="n"/>
      <c r="D1553" s="10" t="n"/>
      <c r="E1553" s="9" t="n"/>
      <c r="F1553" s="9" t="n"/>
      <c r="G1553" s="13" t="n"/>
      <c r="H1553" s="21" t="n"/>
      <c r="I1553" s="21" t="n"/>
      <c r="J1553" s="17">
        <f>IF($G1553="","",IFERROR(INDEX(NomsEmployes,MATCH($G1553,MatriculesEmployes,0)),"MATRICULE INCONNU"))</f>
        <v/>
      </c>
      <c r="K1553" s="33">
        <f>IF(OR($D1553="",$F1553=""),"",IFERROR(IF(INDEX(RUNS!$L$6:$S$1005,MATCH($D1553,RUNS!$A$6:$A$1005,0),MATCH("ACTIVITÉ "&amp;$F1553,RUNS!$L$5:$S$5,0))="","",INDEX(RUNS!$L$6:$S$1005,MATCH($D1553,RUNS!$A$6:$A$1005,0),MATCH("ACTIVITÉ "&amp;$F1553,RUNS!$L$5:$S$5,0))),""))</f>
        <v/>
      </c>
      <c r="L1553" s="33">
        <f>IF($D1553="","",IFERROR(IF(INDEX(RUNS!$E$6:$E$1005,MATCH($D1553,RUNS!$A$6:$A$1005,0))="","",INDEX(RUNS!$E$6:$E$1005,MATCH($D1553,RUNS!$A$6:$A$1005,0))),""))</f>
        <v/>
      </c>
      <c r="M1553" s="33">
        <f>IF($D1553="","",IFERROR(IF(INDEX(RUNS!$F$6:$F$1005,MATCH($D1553,RUNS!$A$6:$A$1005,0))="","",INDEX(RUNS!$F$6:$F$1005,MATCH($D1553,RUNS!$A$6:$A$1005,0))),""))</f>
        <v/>
      </c>
      <c r="N1553" s="33">
        <f>IF($D1553="","",IFERROR(IF(INDEX(RUNS!$G$6:$G$1005,MATCH($D1553,RUNS!$A$6:$A$1005,0))="","",INDEX(RUNS!$G$6:$G$1005,MATCH($D1553,RUNS!$A$6:$A$1005,0))),""))</f>
        <v/>
      </c>
      <c r="O1553" s="33">
        <f>IF($D1553="","",IFERROR(IF(INDEX(RUNS!$H$6:$H$1005,MATCH($D1553,RUNS!$A$6:$A$1005,0))="","",INDEX(RUNS!$H$6:$H$1005,MATCH($D1553,RUNS!$A$6:$A$1005,0))),""))</f>
        <v/>
      </c>
      <c r="P1553" s="33">
        <f>IF($D1553="","",IFERROR(IF(INDEX(RUNS!$J$6:$J$1005,MATCH($D1553,RUNS!$A$6:$A$1005,0))="","",INDEX(RUNS!$J$6:$J$1005,MATCH($D1553,RUNS!$A$6:$A$1005,0))),""))</f>
        <v/>
      </c>
      <c r="Q1553" s="33">
        <f>IF($D1553="","",IFERROR(IF(INDEX(RUNS!$K$6:$K$1005,MATCH($D1553,RUNS!$A$6:$A$1005,0))="","",INDEX(RUNS!$K$6:$K$1005,MATCH($D1553,RUNS!$A$6:$A$1005,0))),""))</f>
        <v/>
      </c>
      <c r="R1553" s="34">
        <f>IF(OR($L1553="",$K1553=""),"",IFERROR(IF(INDEX(PARAMETRES!$H$43:$H$342,MATCH($L1553&amp;"|"&amp;$M1553&amp;"|"&amp;$N1553&amp;"|"&amp;$O1553&amp;"|"&amp;$P1553&amp;"|"&amp;$Q1553&amp;"|"&amp;$K1553,PARAMETRES!$J$43:$J$342,0))="","",INDEX(PARAMETRES!$H$43:$H$342,MATCH($L1553&amp;"|"&amp;$M1553&amp;"|"&amp;$N1553&amp;"|"&amp;$O1553&amp;"|"&amp;$P1553&amp;"|"&amp;$Q1553&amp;"|"&amp;$K1553,PARAMETRES!$J$43:$J$342,0))),""))</f>
        <v/>
      </c>
      <c r="S1553" s="35">
        <f>IF(OR($G1553="",$X1553&lt;&gt;"VALIDE"),"",IFERROR(LOOKUP(2,1/(($B653:$B1552=$B1553)*($G653:$G1552=$G1553)*($X653:$X1552="VALIDE")),$C653:$C1552),""))</f>
        <v/>
      </c>
      <c r="T1553" s="36">
        <f>IF(OR($C1553="",$S1553=""),"",ROUND(($C1553-$S1553+IF($C1553&lt;$S1553,1,0))*1440,0))</f>
        <v/>
      </c>
      <c r="U1553" s="22">
        <f>IF(OR($H1553="",$T1553="",$T1553&lt;=0),"",$H1553*60/$T1553)</f>
        <v/>
      </c>
      <c r="V1553" s="37">
        <f>IF(OR($U1553="",$R1553="",$R1553=0),"",$U1553/$R1553)</f>
        <v/>
      </c>
      <c r="W1553" s="20">
        <f>IF($G1553="","",IF($X1553="CONTEXTE INCOMPLET","CONTEXTE INCOMPLET",IF($X1553="DOUBLON",StatutDoublon,IF($S1553="",StatutInitial,IF($R1553="",StatutStandardManquant,IF($V1553="","DONNEES INSUFFISANTES",IF($V1553&gt;=SeuilConforme,StatutConforme,IF($V1553&gt;=SeuilSurveiller,StatutSurveiller,StatutSousStandard))))))))</f>
        <v/>
      </c>
      <c r="X1553" s="33">
        <f>IF($G1553="","",IF(OR($D1553="",$E1553="",$F1553=""),"CONTEXTE INCOMPLET",IF(COUNTIFS($D653:$D1552,$D1553,$E653:$E1552,$E1553,$F653:$F1552,$F1553,$G653:$G1552,$G1553)&gt;0,"DOUBLON","VALIDE")))</f>
        <v/>
      </c>
    </row>
    <row r="1554" ht="15" customHeight="1">
      <c r="A1554" s="12">
        <f>IF(OR($B1554="",$G1554=""),"",TEXT($B1554,"YYYYMMDD")&amp;"-"&amp;SUBSTITUTE($E1554," ","")&amp;"-"&amp;$F1554&amp;"-"&amp;$G1554)</f>
        <v/>
      </c>
      <c r="B1554" s="15" t="n"/>
      <c r="C1554" s="16" t="n"/>
      <c r="D1554" s="10" t="n"/>
      <c r="E1554" s="9" t="n"/>
      <c r="F1554" s="9" t="n"/>
      <c r="G1554" s="13" t="n"/>
      <c r="H1554" s="21" t="n"/>
      <c r="I1554" s="21" t="n"/>
      <c r="J1554" s="17">
        <f>IF($G1554="","",IFERROR(INDEX(NomsEmployes,MATCH($G1554,MatriculesEmployes,0)),"MATRICULE INCONNU"))</f>
        <v/>
      </c>
      <c r="K1554" s="33">
        <f>IF(OR($D1554="",$F1554=""),"",IFERROR(IF(INDEX(RUNS!$L$6:$S$1005,MATCH($D1554,RUNS!$A$6:$A$1005,0),MATCH("ACTIVITÉ "&amp;$F1554,RUNS!$L$5:$S$5,0))="","",INDEX(RUNS!$L$6:$S$1005,MATCH($D1554,RUNS!$A$6:$A$1005,0),MATCH("ACTIVITÉ "&amp;$F1554,RUNS!$L$5:$S$5,0))),""))</f>
        <v/>
      </c>
      <c r="L1554" s="33">
        <f>IF($D1554="","",IFERROR(IF(INDEX(RUNS!$E$6:$E$1005,MATCH($D1554,RUNS!$A$6:$A$1005,0))="","",INDEX(RUNS!$E$6:$E$1005,MATCH($D1554,RUNS!$A$6:$A$1005,0))),""))</f>
        <v/>
      </c>
      <c r="M1554" s="33">
        <f>IF($D1554="","",IFERROR(IF(INDEX(RUNS!$F$6:$F$1005,MATCH($D1554,RUNS!$A$6:$A$1005,0))="","",INDEX(RUNS!$F$6:$F$1005,MATCH($D1554,RUNS!$A$6:$A$1005,0))),""))</f>
        <v/>
      </c>
      <c r="N1554" s="33">
        <f>IF($D1554="","",IFERROR(IF(INDEX(RUNS!$G$6:$G$1005,MATCH($D1554,RUNS!$A$6:$A$1005,0))="","",INDEX(RUNS!$G$6:$G$1005,MATCH($D1554,RUNS!$A$6:$A$1005,0))),""))</f>
        <v/>
      </c>
      <c r="O1554" s="33">
        <f>IF($D1554="","",IFERROR(IF(INDEX(RUNS!$H$6:$H$1005,MATCH($D1554,RUNS!$A$6:$A$1005,0))="","",INDEX(RUNS!$H$6:$H$1005,MATCH($D1554,RUNS!$A$6:$A$1005,0))),""))</f>
        <v/>
      </c>
      <c r="P1554" s="33">
        <f>IF($D1554="","",IFERROR(IF(INDEX(RUNS!$J$6:$J$1005,MATCH($D1554,RUNS!$A$6:$A$1005,0))="","",INDEX(RUNS!$J$6:$J$1005,MATCH($D1554,RUNS!$A$6:$A$1005,0))),""))</f>
        <v/>
      </c>
      <c r="Q1554" s="33">
        <f>IF($D1554="","",IFERROR(IF(INDEX(RUNS!$K$6:$K$1005,MATCH($D1554,RUNS!$A$6:$A$1005,0))="","",INDEX(RUNS!$K$6:$K$1005,MATCH($D1554,RUNS!$A$6:$A$1005,0))),""))</f>
        <v/>
      </c>
      <c r="R1554" s="34">
        <f>IF(OR($L1554="",$K1554=""),"",IFERROR(IF(INDEX(PARAMETRES!$H$43:$H$342,MATCH($L1554&amp;"|"&amp;$M1554&amp;"|"&amp;$N1554&amp;"|"&amp;$O1554&amp;"|"&amp;$P1554&amp;"|"&amp;$Q1554&amp;"|"&amp;$K1554,PARAMETRES!$J$43:$J$342,0))="","",INDEX(PARAMETRES!$H$43:$H$342,MATCH($L1554&amp;"|"&amp;$M1554&amp;"|"&amp;$N1554&amp;"|"&amp;$O1554&amp;"|"&amp;$P1554&amp;"|"&amp;$Q1554&amp;"|"&amp;$K1554,PARAMETRES!$J$43:$J$342,0))),""))</f>
        <v/>
      </c>
      <c r="S1554" s="35">
        <f>IF(OR($G1554="",$X1554&lt;&gt;"VALIDE"),"",IFERROR(LOOKUP(2,1/(($B654:$B1553=$B1554)*($G654:$G1553=$G1554)*($X654:$X1553="VALIDE")),$C654:$C1553),""))</f>
        <v/>
      </c>
      <c r="T1554" s="36">
        <f>IF(OR($C1554="",$S1554=""),"",ROUND(($C1554-$S1554+IF($C1554&lt;$S1554,1,0))*1440,0))</f>
        <v/>
      </c>
      <c r="U1554" s="22">
        <f>IF(OR($H1554="",$T1554="",$T1554&lt;=0),"",$H1554*60/$T1554)</f>
        <v/>
      </c>
      <c r="V1554" s="37">
        <f>IF(OR($U1554="",$R1554="",$R1554=0),"",$U1554/$R1554)</f>
        <v/>
      </c>
      <c r="W1554" s="20">
        <f>IF($G1554="","",IF($X1554="CONTEXTE INCOMPLET","CONTEXTE INCOMPLET",IF($X1554="DOUBLON",StatutDoublon,IF($S1554="",StatutInitial,IF($R1554="",StatutStandardManquant,IF($V1554="","DONNEES INSUFFISANTES",IF($V1554&gt;=SeuilConforme,StatutConforme,IF($V1554&gt;=SeuilSurveiller,StatutSurveiller,StatutSousStandard))))))))</f>
        <v/>
      </c>
      <c r="X1554" s="33">
        <f>IF($G1554="","",IF(OR($D1554="",$E1554="",$F1554=""),"CONTEXTE INCOMPLET",IF(COUNTIFS($D654:$D1553,$D1554,$E654:$E1553,$E1554,$F654:$F1553,$F1554,$G654:$G1553,$G1554)&gt;0,"DOUBLON","VALIDE")))</f>
        <v/>
      </c>
    </row>
    <row r="1555" ht="15" customHeight="1">
      <c r="A1555" s="12">
        <f>IF(OR($B1555="",$G1555=""),"",TEXT($B1555,"YYYYMMDD")&amp;"-"&amp;SUBSTITUTE($E1555," ","")&amp;"-"&amp;$F1555&amp;"-"&amp;$G1555)</f>
        <v/>
      </c>
      <c r="B1555" s="15" t="n"/>
      <c r="C1555" s="16" t="n"/>
      <c r="D1555" s="10" t="n"/>
      <c r="E1555" s="9" t="n"/>
      <c r="F1555" s="9" t="n"/>
      <c r="G1555" s="13" t="n"/>
      <c r="H1555" s="21" t="n"/>
      <c r="I1555" s="21" t="n"/>
      <c r="J1555" s="17">
        <f>IF($G1555="","",IFERROR(INDEX(NomsEmployes,MATCH($G1555,MatriculesEmployes,0)),"MATRICULE INCONNU"))</f>
        <v/>
      </c>
      <c r="K1555" s="33">
        <f>IF(OR($D1555="",$F1555=""),"",IFERROR(IF(INDEX(RUNS!$L$6:$S$1005,MATCH($D1555,RUNS!$A$6:$A$1005,0),MATCH("ACTIVITÉ "&amp;$F1555,RUNS!$L$5:$S$5,0))="","",INDEX(RUNS!$L$6:$S$1005,MATCH($D1555,RUNS!$A$6:$A$1005,0),MATCH("ACTIVITÉ "&amp;$F1555,RUNS!$L$5:$S$5,0))),""))</f>
        <v/>
      </c>
      <c r="L1555" s="33">
        <f>IF($D1555="","",IFERROR(IF(INDEX(RUNS!$E$6:$E$1005,MATCH($D1555,RUNS!$A$6:$A$1005,0))="","",INDEX(RUNS!$E$6:$E$1005,MATCH($D1555,RUNS!$A$6:$A$1005,0))),""))</f>
        <v/>
      </c>
      <c r="M1555" s="33">
        <f>IF($D1555="","",IFERROR(IF(INDEX(RUNS!$F$6:$F$1005,MATCH($D1555,RUNS!$A$6:$A$1005,0))="","",INDEX(RUNS!$F$6:$F$1005,MATCH($D1555,RUNS!$A$6:$A$1005,0))),""))</f>
        <v/>
      </c>
      <c r="N1555" s="33">
        <f>IF($D1555="","",IFERROR(IF(INDEX(RUNS!$G$6:$G$1005,MATCH($D1555,RUNS!$A$6:$A$1005,0))="","",INDEX(RUNS!$G$6:$G$1005,MATCH($D1555,RUNS!$A$6:$A$1005,0))),""))</f>
        <v/>
      </c>
      <c r="O1555" s="33">
        <f>IF($D1555="","",IFERROR(IF(INDEX(RUNS!$H$6:$H$1005,MATCH($D1555,RUNS!$A$6:$A$1005,0))="","",INDEX(RUNS!$H$6:$H$1005,MATCH($D1555,RUNS!$A$6:$A$1005,0))),""))</f>
        <v/>
      </c>
      <c r="P1555" s="33">
        <f>IF($D1555="","",IFERROR(IF(INDEX(RUNS!$J$6:$J$1005,MATCH($D1555,RUNS!$A$6:$A$1005,0))="","",INDEX(RUNS!$J$6:$J$1005,MATCH($D1555,RUNS!$A$6:$A$1005,0))),""))</f>
        <v/>
      </c>
      <c r="Q1555" s="33">
        <f>IF($D1555="","",IFERROR(IF(INDEX(RUNS!$K$6:$K$1005,MATCH($D1555,RUNS!$A$6:$A$1005,0))="","",INDEX(RUNS!$K$6:$K$1005,MATCH($D1555,RUNS!$A$6:$A$1005,0))),""))</f>
        <v/>
      </c>
      <c r="R1555" s="34">
        <f>IF(OR($L1555="",$K1555=""),"",IFERROR(IF(INDEX(PARAMETRES!$H$43:$H$342,MATCH($L1555&amp;"|"&amp;$M1555&amp;"|"&amp;$N1555&amp;"|"&amp;$O1555&amp;"|"&amp;$P1555&amp;"|"&amp;$Q1555&amp;"|"&amp;$K1555,PARAMETRES!$J$43:$J$342,0))="","",INDEX(PARAMETRES!$H$43:$H$342,MATCH($L1555&amp;"|"&amp;$M1555&amp;"|"&amp;$N1555&amp;"|"&amp;$O1555&amp;"|"&amp;$P1555&amp;"|"&amp;$Q1555&amp;"|"&amp;$K1555,PARAMETRES!$J$43:$J$342,0))),""))</f>
        <v/>
      </c>
      <c r="S1555" s="35">
        <f>IF(OR($G1555="",$X1555&lt;&gt;"VALIDE"),"",IFERROR(LOOKUP(2,1/(($B655:$B1554=$B1555)*($G655:$G1554=$G1555)*($X655:$X1554="VALIDE")),$C655:$C1554),""))</f>
        <v/>
      </c>
      <c r="T1555" s="36">
        <f>IF(OR($C1555="",$S1555=""),"",ROUND(($C1555-$S1555+IF($C1555&lt;$S1555,1,0))*1440,0))</f>
        <v/>
      </c>
      <c r="U1555" s="22">
        <f>IF(OR($H1555="",$T1555="",$T1555&lt;=0),"",$H1555*60/$T1555)</f>
        <v/>
      </c>
      <c r="V1555" s="37">
        <f>IF(OR($U1555="",$R1555="",$R1555=0),"",$U1555/$R1555)</f>
        <v/>
      </c>
      <c r="W1555" s="20">
        <f>IF($G1555="","",IF($X1555="CONTEXTE INCOMPLET","CONTEXTE INCOMPLET",IF($X1555="DOUBLON",StatutDoublon,IF($S1555="",StatutInitial,IF($R1555="",StatutStandardManquant,IF($V1555="","DONNEES INSUFFISANTES",IF($V1555&gt;=SeuilConforme,StatutConforme,IF($V1555&gt;=SeuilSurveiller,StatutSurveiller,StatutSousStandard))))))))</f>
        <v/>
      </c>
      <c r="X1555" s="33">
        <f>IF($G1555="","",IF(OR($D1555="",$E1555="",$F1555=""),"CONTEXTE INCOMPLET",IF(COUNTIFS($D655:$D1554,$D1555,$E655:$E1554,$E1555,$F655:$F1554,$F1555,$G655:$G1554,$G1555)&gt;0,"DOUBLON","VALIDE")))</f>
        <v/>
      </c>
    </row>
    <row r="1556" ht="15" customHeight="1">
      <c r="A1556" s="12">
        <f>IF(OR($B1556="",$G1556=""),"",TEXT($B1556,"YYYYMMDD")&amp;"-"&amp;SUBSTITUTE($E1556," ","")&amp;"-"&amp;$F1556&amp;"-"&amp;$G1556)</f>
        <v/>
      </c>
      <c r="B1556" s="15" t="n"/>
      <c r="C1556" s="16" t="n"/>
      <c r="D1556" s="10" t="n"/>
      <c r="E1556" s="9" t="n"/>
      <c r="F1556" s="9" t="n"/>
      <c r="G1556" s="13" t="n"/>
      <c r="H1556" s="21" t="n"/>
      <c r="I1556" s="21" t="n"/>
      <c r="J1556" s="17">
        <f>IF($G1556="","",IFERROR(INDEX(NomsEmployes,MATCH($G1556,MatriculesEmployes,0)),"MATRICULE INCONNU"))</f>
        <v/>
      </c>
      <c r="K1556" s="33">
        <f>IF(OR($D1556="",$F1556=""),"",IFERROR(IF(INDEX(RUNS!$L$6:$S$1005,MATCH($D1556,RUNS!$A$6:$A$1005,0),MATCH("ACTIVITÉ "&amp;$F1556,RUNS!$L$5:$S$5,0))="","",INDEX(RUNS!$L$6:$S$1005,MATCH($D1556,RUNS!$A$6:$A$1005,0),MATCH("ACTIVITÉ "&amp;$F1556,RUNS!$L$5:$S$5,0))),""))</f>
        <v/>
      </c>
      <c r="L1556" s="33">
        <f>IF($D1556="","",IFERROR(IF(INDEX(RUNS!$E$6:$E$1005,MATCH($D1556,RUNS!$A$6:$A$1005,0))="","",INDEX(RUNS!$E$6:$E$1005,MATCH($D1556,RUNS!$A$6:$A$1005,0))),""))</f>
        <v/>
      </c>
      <c r="M1556" s="33">
        <f>IF($D1556="","",IFERROR(IF(INDEX(RUNS!$F$6:$F$1005,MATCH($D1556,RUNS!$A$6:$A$1005,0))="","",INDEX(RUNS!$F$6:$F$1005,MATCH($D1556,RUNS!$A$6:$A$1005,0))),""))</f>
        <v/>
      </c>
      <c r="N1556" s="33">
        <f>IF($D1556="","",IFERROR(IF(INDEX(RUNS!$G$6:$G$1005,MATCH($D1556,RUNS!$A$6:$A$1005,0))="","",INDEX(RUNS!$G$6:$G$1005,MATCH($D1556,RUNS!$A$6:$A$1005,0))),""))</f>
        <v/>
      </c>
      <c r="O1556" s="33">
        <f>IF($D1556="","",IFERROR(IF(INDEX(RUNS!$H$6:$H$1005,MATCH($D1556,RUNS!$A$6:$A$1005,0))="","",INDEX(RUNS!$H$6:$H$1005,MATCH($D1556,RUNS!$A$6:$A$1005,0))),""))</f>
        <v/>
      </c>
      <c r="P1556" s="33">
        <f>IF($D1556="","",IFERROR(IF(INDEX(RUNS!$J$6:$J$1005,MATCH($D1556,RUNS!$A$6:$A$1005,0))="","",INDEX(RUNS!$J$6:$J$1005,MATCH($D1556,RUNS!$A$6:$A$1005,0))),""))</f>
        <v/>
      </c>
      <c r="Q1556" s="33">
        <f>IF($D1556="","",IFERROR(IF(INDEX(RUNS!$K$6:$K$1005,MATCH($D1556,RUNS!$A$6:$A$1005,0))="","",INDEX(RUNS!$K$6:$K$1005,MATCH($D1556,RUNS!$A$6:$A$1005,0))),""))</f>
        <v/>
      </c>
      <c r="R1556" s="34">
        <f>IF(OR($L1556="",$K1556=""),"",IFERROR(IF(INDEX(PARAMETRES!$H$43:$H$342,MATCH($L1556&amp;"|"&amp;$M1556&amp;"|"&amp;$N1556&amp;"|"&amp;$O1556&amp;"|"&amp;$P1556&amp;"|"&amp;$Q1556&amp;"|"&amp;$K1556,PARAMETRES!$J$43:$J$342,0))="","",INDEX(PARAMETRES!$H$43:$H$342,MATCH($L1556&amp;"|"&amp;$M1556&amp;"|"&amp;$N1556&amp;"|"&amp;$O1556&amp;"|"&amp;$P1556&amp;"|"&amp;$Q1556&amp;"|"&amp;$K1556,PARAMETRES!$J$43:$J$342,0))),""))</f>
        <v/>
      </c>
      <c r="S1556" s="35">
        <f>IF(OR($G1556="",$X1556&lt;&gt;"VALIDE"),"",IFERROR(LOOKUP(2,1/(($B656:$B1555=$B1556)*($G656:$G1555=$G1556)*($X656:$X1555="VALIDE")),$C656:$C1555),""))</f>
        <v/>
      </c>
      <c r="T1556" s="36">
        <f>IF(OR($C1556="",$S1556=""),"",ROUND(($C1556-$S1556+IF($C1556&lt;$S1556,1,0))*1440,0))</f>
        <v/>
      </c>
      <c r="U1556" s="22">
        <f>IF(OR($H1556="",$T1556="",$T1556&lt;=0),"",$H1556*60/$T1556)</f>
        <v/>
      </c>
      <c r="V1556" s="37">
        <f>IF(OR($U1556="",$R1556="",$R1556=0),"",$U1556/$R1556)</f>
        <v/>
      </c>
      <c r="W1556" s="20">
        <f>IF($G1556="","",IF($X1556="CONTEXTE INCOMPLET","CONTEXTE INCOMPLET",IF($X1556="DOUBLON",StatutDoublon,IF($S1556="",StatutInitial,IF($R1556="",StatutStandardManquant,IF($V1556="","DONNEES INSUFFISANTES",IF($V1556&gt;=SeuilConforme,StatutConforme,IF($V1556&gt;=SeuilSurveiller,StatutSurveiller,StatutSousStandard))))))))</f>
        <v/>
      </c>
      <c r="X1556" s="33">
        <f>IF($G1556="","",IF(OR($D1556="",$E1556="",$F1556=""),"CONTEXTE INCOMPLET",IF(COUNTIFS($D656:$D1555,$D1556,$E656:$E1555,$E1556,$F656:$F1555,$F1556,$G656:$G1555,$G1556)&gt;0,"DOUBLON","VALIDE")))</f>
        <v/>
      </c>
    </row>
    <row r="1557" ht="15" customHeight="1">
      <c r="A1557" s="12">
        <f>IF(OR($B1557="",$G1557=""),"",TEXT($B1557,"YYYYMMDD")&amp;"-"&amp;SUBSTITUTE($E1557," ","")&amp;"-"&amp;$F1557&amp;"-"&amp;$G1557)</f>
        <v/>
      </c>
      <c r="B1557" s="15" t="n"/>
      <c r="C1557" s="16" t="n"/>
      <c r="D1557" s="10" t="n"/>
      <c r="E1557" s="9" t="n"/>
      <c r="F1557" s="9" t="n"/>
      <c r="G1557" s="13" t="n"/>
      <c r="H1557" s="21" t="n"/>
      <c r="I1557" s="21" t="n"/>
      <c r="J1557" s="17">
        <f>IF($G1557="","",IFERROR(INDEX(NomsEmployes,MATCH($G1557,MatriculesEmployes,0)),"MATRICULE INCONNU"))</f>
        <v/>
      </c>
      <c r="K1557" s="33">
        <f>IF(OR($D1557="",$F1557=""),"",IFERROR(IF(INDEX(RUNS!$L$6:$S$1005,MATCH($D1557,RUNS!$A$6:$A$1005,0),MATCH("ACTIVITÉ "&amp;$F1557,RUNS!$L$5:$S$5,0))="","",INDEX(RUNS!$L$6:$S$1005,MATCH($D1557,RUNS!$A$6:$A$1005,0),MATCH("ACTIVITÉ "&amp;$F1557,RUNS!$L$5:$S$5,0))),""))</f>
        <v/>
      </c>
      <c r="L1557" s="33">
        <f>IF($D1557="","",IFERROR(IF(INDEX(RUNS!$E$6:$E$1005,MATCH($D1557,RUNS!$A$6:$A$1005,0))="","",INDEX(RUNS!$E$6:$E$1005,MATCH($D1557,RUNS!$A$6:$A$1005,0))),""))</f>
        <v/>
      </c>
      <c r="M1557" s="33">
        <f>IF($D1557="","",IFERROR(IF(INDEX(RUNS!$F$6:$F$1005,MATCH($D1557,RUNS!$A$6:$A$1005,0))="","",INDEX(RUNS!$F$6:$F$1005,MATCH($D1557,RUNS!$A$6:$A$1005,0))),""))</f>
        <v/>
      </c>
      <c r="N1557" s="33">
        <f>IF($D1557="","",IFERROR(IF(INDEX(RUNS!$G$6:$G$1005,MATCH($D1557,RUNS!$A$6:$A$1005,0))="","",INDEX(RUNS!$G$6:$G$1005,MATCH($D1557,RUNS!$A$6:$A$1005,0))),""))</f>
        <v/>
      </c>
      <c r="O1557" s="33">
        <f>IF($D1557="","",IFERROR(IF(INDEX(RUNS!$H$6:$H$1005,MATCH($D1557,RUNS!$A$6:$A$1005,0))="","",INDEX(RUNS!$H$6:$H$1005,MATCH($D1557,RUNS!$A$6:$A$1005,0))),""))</f>
        <v/>
      </c>
      <c r="P1557" s="33">
        <f>IF($D1557="","",IFERROR(IF(INDEX(RUNS!$J$6:$J$1005,MATCH($D1557,RUNS!$A$6:$A$1005,0))="","",INDEX(RUNS!$J$6:$J$1005,MATCH($D1557,RUNS!$A$6:$A$1005,0))),""))</f>
        <v/>
      </c>
      <c r="Q1557" s="33">
        <f>IF($D1557="","",IFERROR(IF(INDEX(RUNS!$K$6:$K$1005,MATCH($D1557,RUNS!$A$6:$A$1005,0))="","",INDEX(RUNS!$K$6:$K$1005,MATCH($D1557,RUNS!$A$6:$A$1005,0))),""))</f>
        <v/>
      </c>
      <c r="R1557" s="34">
        <f>IF(OR($L1557="",$K1557=""),"",IFERROR(IF(INDEX(PARAMETRES!$H$43:$H$342,MATCH($L1557&amp;"|"&amp;$M1557&amp;"|"&amp;$N1557&amp;"|"&amp;$O1557&amp;"|"&amp;$P1557&amp;"|"&amp;$Q1557&amp;"|"&amp;$K1557,PARAMETRES!$J$43:$J$342,0))="","",INDEX(PARAMETRES!$H$43:$H$342,MATCH($L1557&amp;"|"&amp;$M1557&amp;"|"&amp;$N1557&amp;"|"&amp;$O1557&amp;"|"&amp;$P1557&amp;"|"&amp;$Q1557&amp;"|"&amp;$K1557,PARAMETRES!$J$43:$J$342,0))),""))</f>
        <v/>
      </c>
      <c r="S1557" s="35">
        <f>IF(OR($G1557="",$X1557&lt;&gt;"VALIDE"),"",IFERROR(LOOKUP(2,1/(($B657:$B1556=$B1557)*($G657:$G1556=$G1557)*($X657:$X1556="VALIDE")),$C657:$C1556),""))</f>
        <v/>
      </c>
      <c r="T1557" s="36">
        <f>IF(OR($C1557="",$S1557=""),"",ROUND(($C1557-$S1557+IF($C1557&lt;$S1557,1,0))*1440,0))</f>
        <v/>
      </c>
      <c r="U1557" s="22">
        <f>IF(OR($H1557="",$T1557="",$T1557&lt;=0),"",$H1557*60/$T1557)</f>
        <v/>
      </c>
      <c r="V1557" s="37">
        <f>IF(OR($U1557="",$R1557="",$R1557=0),"",$U1557/$R1557)</f>
        <v/>
      </c>
      <c r="W1557" s="20">
        <f>IF($G1557="","",IF($X1557="CONTEXTE INCOMPLET","CONTEXTE INCOMPLET",IF($X1557="DOUBLON",StatutDoublon,IF($S1557="",StatutInitial,IF($R1557="",StatutStandardManquant,IF($V1557="","DONNEES INSUFFISANTES",IF($V1557&gt;=SeuilConforme,StatutConforme,IF($V1557&gt;=SeuilSurveiller,StatutSurveiller,StatutSousStandard))))))))</f>
        <v/>
      </c>
      <c r="X1557" s="33">
        <f>IF($G1557="","",IF(OR($D1557="",$E1557="",$F1557=""),"CONTEXTE INCOMPLET",IF(COUNTIFS($D657:$D1556,$D1557,$E657:$E1556,$E1557,$F657:$F1556,$F1557,$G657:$G1556,$G1557)&gt;0,"DOUBLON","VALIDE")))</f>
        <v/>
      </c>
    </row>
    <row r="1558" ht="15" customHeight="1">
      <c r="A1558" s="12">
        <f>IF(OR($B1558="",$G1558=""),"",TEXT($B1558,"YYYYMMDD")&amp;"-"&amp;SUBSTITUTE($E1558," ","")&amp;"-"&amp;$F1558&amp;"-"&amp;$G1558)</f>
        <v/>
      </c>
      <c r="B1558" s="15" t="n"/>
      <c r="C1558" s="16" t="n"/>
      <c r="D1558" s="10" t="n"/>
      <c r="E1558" s="9" t="n"/>
      <c r="F1558" s="9" t="n"/>
      <c r="G1558" s="13" t="n"/>
      <c r="H1558" s="21" t="n"/>
      <c r="I1558" s="21" t="n"/>
      <c r="J1558" s="17">
        <f>IF($G1558="","",IFERROR(INDEX(NomsEmployes,MATCH($G1558,MatriculesEmployes,0)),"MATRICULE INCONNU"))</f>
        <v/>
      </c>
      <c r="K1558" s="33">
        <f>IF(OR($D1558="",$F1558=""),"",IFERROR(IF(INDEX(RUNS!$L$6:$S$1005,MATCH($D1558,RUNS!$A$6:$A$1005,0),MATCH("ACTIVITÉ "&amp;$F1558,RUNS!$L$5:$S$5,0))="","",INDEX(RUNS!$L$6:$S$1005,MATCH($D1558,RUNS!$A$6:$A$1005,0),MATCH("ACTIVITÉ "&amp;$F1558,RUNS!$L$5:$S$5,0))),""))</f>
        <v/>
      </c>
      <c r="L1558" s="33">
        <f>IF($D1558="","",IFERROR(IF(INDEX(RUNS!$E$6:$E$1005,MATCH($D1558,RUNS!$A$6:$A$1005,0))="","",INDEX(RUNS!$E$6:$E$1005,MATCH($D1558,RUNS!$A$6:$A$1005,0))),""))</f>
        <v/>
      </c>
      <c r="M1558" s="33">
        <f>IF($D1558="","",IFERROR(IF(INDEX(RUNS!$F$6:$F$1005,MATCH($D1558,RUNS!$A$6:$A$1005,0))="","",INDEX(RUNS!$F$6:$F$1005,MATCH($D1558,RUNS!$A$6:$A$1005,0))),""))</f>
        <v/>
      </c>
      <c r="N1558" s="33">
        <f>IF($D1558="","",IFERROR(IF(INDEX(RUNS!$G$6:$G$1005,MATCH($D1558,RUNS!$A$6:$A$1005,0))="","",INDEX(RUNS!$G$6:$G$1005,MATCH($D1558,RUNS!$A$6:$A$1005,0))),""))</f>
        <v/>
      </c>
      <c r="O1558" s="33">
        <f>IF($D1558="","",IFERROR(IF(INDEX(RUNS!$H$6:$H$1005,MATCH($D1558,RUNS!$A$6:$A$1005,0))="","",INDEX(RUNS!$H$6:$H$1005,MATCH($D1558,RUNS!$A$6:$A$1005,0))),""))</f>
        <v/>
      </c>
      <c r="P1558" s="33">
        <f>IF($D1558="","",IFERROR(IF(INDEX(RUNS!$J$6:$J$1005,MATCH($D1558,RUNS!$A$6:$A$1005,0))="","",INDEX(RUNS!$J$6:$J$1005,MATCH($D1558,RUNS!$A$6:$A$1005,0))),""))</f>
        <v/>
      </c>
      <c r="Q1558" s="33">
        <f>IF($D1558="","",IFERROR(IF(INDEX(RUNS!$K$6:$K$1005,MATCH($D1558,RUNS!$A$6:$A$1005,0))="","",INDEX(RUNS!$K$6:$K$1005,MATCH($D1558,RUNS!$A$6:$A$1005,0))),""))</f>
        <v/>
      </c>
      <c r="R1558" s="34">
        <f>IF(OR($L1558="",$K1558=""),"",IFERROR(IF(INDEX(PARAMETRES!$H$43:$H$342,MATCH($L1558&amp;"|"&amp;$M1558&amp;"|"&amp;$N1558&amp;"|"&amp;$O1558&amp;"|"&amp;$P1558&amp;"|"&amp;$Q1558&amp;"|"&amp;$K1558,PARAMETRES!$J$43:$J$342,0))="","",INDEX(PARAMETRES!$H$43:$H$342,MATCH($L1558&amp;"|"&amp;$M1558&amp;"|"&amp;$N1558&amp;"|"&amp;$O1558&amp;"|"&amp;$P1558&amp;"|"&amp;$Q1558&amp;"|"&amp;$K1558,PARAMETRES!$J$43:$J$342,0))),""))</f>
        <v/>
      </c>
      <c r="S1558" s="35">
        <f>IF(OR($G1558="",$X1558&lt;&gt;"VALIDE"),"",IFERROR(LOOKUP(2,1/(($B658:$B1557=$B1558)*($G658:$G1557=$G1558)*($X658:$X1557="VALIDE")),$C658:$C1557),""))</f>
        <v/>
      </c>
      <c r="T1558" s="36">
        <f>IF(OR($C1558="",$S1558=""),"",ROUND(($C1558-$S1558+IF($C1558&lt;$S1558,1,0))*1440,0))</f>
        <v/>
      </c>
      <c r="U1558" s="22">
        <f>IF(OR($H1558="",$T1558="",$T1558&lt;=0),"",$H1558*60/$T1558)</f>
        <v/>
      </c>
      <c r="V1558" s="37">
        <f>IF(OR($U1558="",$R1558="",$R1558=0),"",$U1558/$R1558)</f>
        <v/>
      </c>
      <c r="W1558" s="20">
        <f>IF($G1558="","",IF($X1558="CONTEXTE INCOMPLET","CONTEXTE INCOMPLET",IF($X1558="DOUBLON",StatutDoublon,IF($S1558="",StatutInitial,IF($R1558="",StatutStandardManquant,IF($V1558="","DONNEES INSUFFISANTES",IF($V1558&gt;=SeuilConforme,StatutConforme,IF($V1558&gt;=SeuilSurveiller,StatutSurveiller,StatutSousStandard))))))))</f>
        <v/>
      </c>
      <c r="X1558" s="33">
        <f>IF($G1558="","",IF(OR($D1558="",$E1558="",$F1558=""),"CONTEXTE INCOMPLET",IF(COUNTIFS($D658:$D1557,$D1558,$E658:$E1557,$E1558,$F658:$F1557,$F1558,$G658:$G1557,$G1558)&gt;0,"DOUBLON","VALIDE")))</f>
        <v/>
      </c>
    </row>
    <row r="1559" ht="15" customHeight="1">
      <c r="A1559" s="12">
        <f>IF(OR($B1559="",$G1559=""),"",TEXT($B1559,"YYYYMMDD")&amp;"-"&amp;SUBSTITUTE($E1559," ","")&amp;"-"&amp;$F1559&amp;"-"&amp;$G1559)</f>
        <v/>
      </c>
      <c r="B1559" s="15" t="n"/>
      <c r="C1559" s="16" t="n"/>
      <c r="D1559" s="10" t="n"/>
      <c r="E1559" s="9" t="n"/>
      <c r="F1559" s="9" t="n"/>
      <c r="G1559" s="13" t="n"/>
      <c r="H1559" s="21" t="n"/>
      <c r="I1559" s="21" t="n"/>
      <c r="J1559" s="17">
        <f>IF($G1559="","",IFERROR(INDEX(NomsEmployes,MATCH($G1559,MatriculesEmployes,0)),"MATRICULE INCONNU"))</f>
        <v/>
      </c>
      <c r="K1559" s="33">
        <f>IF(OR($D1559="",$F1559=""),"",IFERROR(IF(INDEX(RUNS!$L$6:$S$1005,MATCH($D1559,RUNS!$A$6:$A$1005,0),MATCH("ACTIVITÉ "&amp;$F1559,RUNS!$L$5:$S$5,0))="","",INDEX(RUNS!$L$6:$S$1005,MATCH($D1559,RUNS!$A$6:$A$1005,0),MATCH("ACTIVITÉ "&amp;$F1559,RUNS!$L$5:$S$5,0))),""))</f>
        <v/>
      </c>
      <c r="L1559" s="33">
        <f>IF($D1559="","",IFERROR(IF(INDEX(RUNS!$E$6:$E$1005,MATCH($D1559,RUNS!$A$6:$A$1005,0))="","",INDEX(RUNS!$E$6:$E$1005,MATCH($D1559,RUNS!$A$6:$A$1005,0))),""))</f>
        <v/>
      </c>
      <c r="M1559" s="33">
        <f>IF($D1559="","",IFERROR(IF(INDEX(RUNS!$F$6:$F$1005,MATCH($D1559,RUNS!$A$6:$A$1005,0))="","",INDEX(RUNS!$F$6:$F$1005,MATCH($D1559,RUNS!$A$6:$A$1005,0))),""))</f>
        <v/>
      </c>
      <c r="N1559" s="33">
        <f>IF($D1559="","",IFERROR(IF(INDEX(RUNS!$G$6:$G$1005,MATCH($D1559,RUNS!$A$6:$A$1005,0))="","",INDEX(RUNS!$G$6:$G$1005,MATCH($D1559,RUNS!$A$6:$A$1005,0))),""))</f>
        <v/>
      </c>
      <c r="O1559" s="33">
        <f>IF($D1559="","",IFERROR(IF(INDEX(RUNS!$H$6:$H$1005,MATCH($D1559,RUNS!$A$6:$A$1005,0))="","",INDEX(RUNS!$H$6:$H$1005,MATCH($D1559,RUNS!$A$6:$A$1005,0))),""))</f>
        <v/>
      </c>
      <c r="P1559" s="33">
        <f>IF($D1559="","",IFERROR(IF(INDEX(RUNS!$J$6:$J$1005,MATCH($D1559,RUNS!$A$6:$A$1005,0))="","",INDEX(RUNS!$J$6:$J$1005,MATCH($D1559,RUNS!$A$6:$A$1005,0))),""))</f>
        <v/>
      </c>
      <c r="Q1559" s="33">
        <f>IF($D1559="","",IFERROR(IF(INDEX(RUNS!$K$6:$K$1005,MATCH($D1559,RUNS!$A$6:$A$1005,0))="","",INDEX(RUNS!$K$6:$K$1005,MATCH($D1559,RUNS!$A$6:$A$1005,0))),""))</f>
        <v/>
      </c>
      <c r="R1559" s="34">
        <f>IF(OR($L1559="",$K1559=""),"",IFERROR(IF(INDEX(PARAMETRES!$H$43:$H$342,MATCH($L1559&amp;"|"&amp;$M1559&amp;"|"&amp;$N1559&amp;"|"&amp;$O1559&amp;"|"&amp;$P1559&amp;"|"&amp;$Q1559&amp;"|"&amp;$K1559,PARAMETRES!$J$43:$J$342,0))="","",INDEX(PARAMETRES!$H$43:$H$342,MATCH($L1559&amp;"|"&amp;$M1559&amp;"|"&amp;$N1559&amp;"|"&amp;$O1559&amp;"|"&amp;$P1559&amp;"|"&amp;$Q1559&amp;"|"&amp;$K1559,PARAMETRES!$J$43:$J$342,0))),""))</f>
        <v/>
      </c>
      <c r="S1559" s="35">
        <f>IF(OR($G1559="",$X1559&lt;&gt;"VALIDE"),"",IFERROR(LOOKUP(2,1/(($B659:$B1558=$B1559)*($G659:$G1558=$G1559)*($X659:$X1558="VALIDE")),$C659:$C1558),""))</f>
        <v/>
      </c>
      <c r="T1559" s="36">
        <f>IF(OR($C1559="",$S1559=""),"",ROUND(($C1559-$S1559+IF($C1559&lt;$S1559,1,0))*1440,0))</f>
        <v/>
      </c>
      <c r="U1559" s="22">
        <f>IF(OR($H1559="",$T1559="",$T1559&lt;=0),"",$H1559*60/$T1559)</f>
        <v/>
      </c>
      <c r="V1559" s="37">
        <f>IF(OR($U1559="",$R1559="",$R1559=0),"",$U1559/$R1559)</f>
        <v/>
      </c>
      <c r="W1559" s="20">
        <f>IF($G1559="","",IF($X1559="CONTEXTE INCOMPLET","CONTEXTE INCOMPLET",IF($X1559="DOUBLON",StatutDoublon,IF($S1559="",StatutInitial,IF($R1559="",StatutStandardManquant,IF($V1559="","DONNEES INSUFFISANTES",IF($V1559&gt;=SeuilConforme,StatutConforme,IF($V1559&gt;=SeuilSurveiller,StatutSurveiller,StatutSousStandard))))))))</f>
        <v/>
      </c>
      <c r="X1559" s="33">
        <f>IF($G1559="","",IF(OR($D1559="",$E1559="",$F1559=""),"CONTEXTE INCOMPLET",IF(COUNTIFS($D659:$D1558,$D1559,$E659:$E1558,$E1559,$F659:$F1558,$F1559,$G659:$G1558,$G1559)&gt;0,"DOUBLON","VALIDE")))</f>
        <v/>
      </c>
    </row>
    <row r="1560" ht="15" customHeight="1">
      <c r="A1560" s="12">
        <f>IF(OR($B1560="",$G1560=""),"",TEXT($B1560,"YYYYMMDD")&amp;"-"&amp;SUBSTITUTE($E1560," ","")&amp;"-"&amp;$F1560&amp;"-"&amp;$G1560)</f>
        <v/>
      </c>
      <c r="B1560" s="15" t="n"/>
      <c r="C1560" s="16" t="n"/>
      <c r="D1560" s="10" t="n"/>
      <c r="E1560" s="9" t="n"/>
      <c r="F1560" s="9" t="n"/>
      <c r="G1560" s="13" t="n"/>
      <c r="H1560" s="21" t="n"/>
      <c r="I1560" s="21" t="n"/>
      <c r="J1560" s="17">
        <f>IF($G1560="","",IFERROR(INDEX(NomsEmployes,MATCH($G1560,MatriculesEmployes,0)),"MATRICULE INCONNU"))</f>
        <v/>
      </c>
      <c r="K1560" s="33">
        <f>IF(OR($D1560="",$F1560=""),"",IFERROR(IF(INDEX(RUNS!$L$6:$S$1005,MATCH($D1560,RUNS!$A$6:$A$1005,0),MATCH("ACTIVITÉ "&amp;$F1560,RUNS!$L$5:$S$5,0))="","",INDEX(RUNS!$L$6:$S$1005,MATCH($D1560,RUNS!$A$6:$A$1005,0),MATCH("ACTIVITÉ "&amp;$F1560,RUNS!$L$5:$S$5,0))),""))</f>
        <v/>
      </c>
      <c r="L1560" s="33">
        <f>IF($D1560="","",IFERROR(IF(INDEX(RUNS!$E$6:$E$1005,MATCH($D1560,RUNS!$A$6:$A$1005,0))="","",INDEX(RUNS!$E$6:$E$1005,MATCH($D1560,RUNS!$A$6:$A$1005,0))),""))</f>
        <v/>
      </c>
      <c r="M1560" s="33">
        <f>IF($D1560="","",IFERROR(IF(INDEX(RUNS!$F$6:$F$1005,MATCH($D1560,RUNS!$A$6:$A$1005,0))="","",INDEX(RUNS!$F$6:$F$1005,MATCH($D1560,RUNS!$A$6:$A$1005,0))),""))</f>
        <v/>
      </c>
      <c r="N1560" s="33">
        <f>IF($D1560="","",IFERROR(IF(INDEX(RUNS!$G$6:$G$1005,MATCH($D1560,RUNS!$A$6:$A$1005,0))="","",INDEX(RUNS!$G$6:$G$1005,MATCH($D1560,RUNS!$A$6:$A$1005,0))),""))</f>
        <v/>
      </c>
      <c r="O1560" s="33">
        <f>IF($D1560="","",IFERROR(IF(INDEX(RUNS!$H$6:$H$1005,MATCH($D1560,RUNS!$A$6:$A$1005,0))="","",INDEX(RUNS!$H$6:$H$1005,MATCH($D1560,RUNS!$A$6:$A$1005,0))),""))</f>
        <v/>
      </c>
      <c r="P1560" s="33">
        <f>IF($D1560="","",IFERROR(IF(INDEX(RUNS!$J$6:$J$1005,MATCH($D1560,RUNS!$A$6:$A$1005,0))="","",INDEX(RUNS!$J$6:$J$1005,MATCH($D1560,RUNS!$A$6:$A$1005,0))),""))</f>
        <v/>
      </c>
      <c r="Q1560" s="33">
        <f>IF($D1560="","",IFERROR(IF(INDEX(RUNS!$K$6:$K$1005,MATCH($D1560,RUNS!$A$6:$A$1005,0))="","",INDEX(RUNS!$K$6:$K$1005,MATCH($D1560,RUNS!$A$6:$A$1005,0))),""))</f>
        <v/>
      </c>
      <c r="R1560" s="34">
        <f>IF(OR($L1560="",$K1560=""),"",IFERROR(IF(INDEX(PARAMETRES!$H$43:$H$342,MATCH($L1560&amp;"|"&amp;$M1560&amp;"|"&amp;$N1560&amp;"|"&amp;$O1560&amp;"|"&amp;$P1560&amp;"|"&amp;$Q1560&amp;"|"&amp;$K1560,PARAMETRES!$J$43:$J$342,0))="","",INDEX(PARAMETRES!$H$43:$H$342,MATCH($L1560&amp;"|"&amp;$M1560&amp;"|"&amp;$N1560&amp;"|"&amp;$O1560&amp;"|"&amp;$P1560&amp;"|"&amp;$Q1560&amp;"|"&amp;$K1560,PARAMETRES!$J$43:$J$342,0))),""))</f>
        <v/>
      </c>
      <c r="S1560" s="35">
        <f>IF(OR($G1560="",$X1560&lt;&gt;"VALIDE"),"",IFERROR(LOOKUP(2,1/(($B660:$B1559=$B1560)*($G660:$G1559=$G1560)*($X660:$X1559="VALIDE")),$C660:$C1559),""))</f>
        <v/>
      </c>
      <c r="T1560" s="36">
        <f>IF(OR($C1560="",$S1560=""),"",ROUND(($C1560-$S1560+IF($C1560&lt;$S1560,1,0))*1440,0))</f>
        <v/>
      </c>
      <c r="U1560" s="22">
        <f>IF(OR($H1560="",$T1560="",$T1560&lt;=0),"",$H1560*60/$T1560)</f>
        <v/>
      </c>
      <c r="V1560" s="37">
        <f>IF(OR($U1560="",$R1560="",$R1560=0),"",$U1560/$R1560)</f>
        <v/>
      </c>
      <c r="W1560" s="20">
        <f>IF($G1560="","",IF($X1560="CONTEXTE INCOMPLET","CONTEXTE INCOMPLET",IF($X1560="DOUBLON",StatutDoublon,IF($S1560="",StatutInitial,IF($R1560="",StatutStandardManquant,IF($V1560="","DONNEES INSUFFISANTES",IF($V1560&gt;=SeuilConforme,StatutConforme,IF($V1560&gt;=SeuilSurveiller,StatutSurveiller,StatutSousStandard))))))))</f>
        <v/>
      </c>
      <c r="X1560" s="33">
        <f>IF($G1560="","",IF(OR($D1560="",$E1560="",$F1560=""),"CONTEXTE INCOMPLET",IF(COUNTIFS($D660:$D1559,$D1560,$E660:$E1559,$E1560,$F660:$F1559,$F1560,$G660:$G1559,$G1560)&gt;0,"DOUBLON","VALIDE")))</f>
        <v/>
      </c>
    </row>
    <row r="1561" ht="15" customHeight="1">
      <c r="A1561" s="12">
        <f>IF(OR($B1561="",$G1561=""),"",TEXT($B1561,"YYYYMMDD")&amp;"-"&amp;SUBSTITUTE($E1561," ","")&amp;"-"&amp;$F1561&amp;"-"&amp;$G1561)</f>
        <v/>
      </c>
      <c r="B1561" s="15" t="n"/>
      <c r="C1561" s="16" t="n"/>
      <c r="D1561" s="10" t="n"/>
      <c r="E1561" s="9" t="n"/>
      <c r="F1561" s="9" t="n"/>
      <c r="G1561" s="13" t="n"/>
      <c r="H1561" s="21" t="n"/>
      <c r="I1561" s="21" t="n"/>
      <c r="J1561" s="17">
        <f>IF($G1561="","",IFERROR(INDEX(NomsEmployes,MATCH($G1561,MatriculesEmployes,0)),"MATRICULE INCONNU"))</f>
        <v/>
      </c>
      <c r="K1561" s="33">
        <f>IF(OR($D1561="",$F1561=""),"",IFERROR(IF(INDEX(RUNS!$L$6:$S$1005,MATCH($D1561,RUNS!$A$6:$A$1005,0),MATCH("ACTIVITÉ "&amp;$F1561,RUNS!$L$5:$S$5,0))="","",INDEX(RUNS!$L$6:$S$1005,MATCH($D1561,RUNS!$A$6:$A$1005,0),MATCH("ACTIVITÉ "&amp;$F1561,RUNS!$L$5:$S$5,0))),""))</f>
        <v/>
      </c>
      <c r="L1561" s="33">
        <f>IF($D1561="","",IFERROR(IF(INDEX(RUNS!$E$6:$E$1005,MATCH($D1561,RUNS!$A$6:$A$1005,0))="","",INDEX(RUNS!$E$6:$E$1005,MATCH($D1561,RUNS!$A$6:$A$1005,0))),""))</f>
        <v/>
      </c>
      <c r="M1561" s="33">
        <f>IF($D1561="","",IFERROR(IF(INDEX(RUNS!$F$6:$F$1005,MATCH($D1561,RUNS!$A$6:$A$1005,0))="","",INDEX(RUNS!$F$6:$F$1005,MATCH($D1561,RUNS!$A$6:$A$1005,0))),""))</f>
        <v/>
      </c>
      <c r="N1561" s="33">
        <f>IF($D1561="","",IFERROR(IF(INDEX(RUNS!$G$6:$G$1005,MATCH($D1561,RUNS!$A$6:$A$1005,0))="","",INDEX(RUNS!$G$6:$G$1005,MATCH($D1561,RUNS!$A$6:$A$1005,0))),""))</f>
        <v/>
      </c>
      <c r="O1561" s="33">
        <f>IF($D1561="","",IFERROR(IF(INDEX(RUNS!$H$6:$H$1005,MATCH($D1561,RUNS!$A$6:$A$1005,0))="","",INDEX(RUNS!$H$6:$H$1005,MATCH($D1561,RUNS!$A$6:$A$1005,0))),""))</f>
        <v/>
      </c>
      <c r="P1561" s="33">
        <f>IF($D1561="","",IFERROR(IF(INDEX(RUNS!$J$6:$J$1005,MATCH($D1561,RUNS!$A$6:$A$1005,0))="","",INDEX(RUNS!$J$6:$J$1005,MATCH($D1561,RUNS!$A$6:$A$1005,0))),""))</f>
        <v/>
      </c>
      <c r="Q1561" s="33">
        <f>IF($D1561="","",IFERROR(IF(INDEX(RUNS!$K$6:$K$1005,MATCH($D1561,RUNS!$A$6:$A$1005,0))="","",INDEX(RUNS!$K$6:$K$1005,MATCH($D1561,RUNS!$A$6:$A$1005,0))),""))</f>
        <v/>
      </c>
      <c r="R1561" s="34">
        <f>IF(OR($L1561="",$K1561=""),"",IFERROR(IF(INDEX(PARAMETRES!$H$43:$H$342,MATCH($L1561&amp;"|"&amp;$M1561&amp;"|"&amp;$N1561&amp;"|"&amp;$O1561&amp;"|"&amp;$P1561&amp;"|"&amp;$Q1561&amp;"|"&amp;$K1561,PARAMETRES!$J$43:$J$342,0))="","",INDEX(PARAMETRES!$H$43:$H$342,MATCH($L1561&amp;"|"&amp;$M1561&amp;"|"&amp;$N1561&amp;"|"&amp;$O1561&amp;"|"&amp;$P1561&amp;"|"&amp;$Q1561&amp;"|"&amp;$K1561,PARAMETRES!$J$43:$J$342,0))),""))</f>
        <v/>
      </c>
      <c r="S1561" s="35">
        <f>IF(OR($G1561="",$X1561&lt;&gt;"VALIDE"),"",IFERROR(LOOKUP(2,1/(($B661:$B1560=$B1561)*($G661:$G1560=$G1561)*($X661:$X1560="VALIDE")),$C661:$C1560),""))</f>
        <v/>
      </c>
      <c r="T1561" s="36">
        <f>IF(OR($C1561="",$S1561=""),"",ROUND(($C1561-$S1561+IF($C1561&lt;$S1561,1,0))*1440,0))</f>
        <v/>
      </c>
      <c r="U1561" s="22">
        <f>IF(OR($H1561="",$T1561="",$T1561&lt;=0),"",$H1561*60/$T1561)</f>
        <v/>
      </c>
      <c r="V1561" s="37">
        <f>IF(OR($U1561="",$R1561="",$R1561=0),"",$U1561/$R1561)</f>
        <v/>
      </c>
      <c r="W1561" s="20">
        <f>IF($G1561="","",IF($X1561="CONTEXTE INCOMPLET","CONTEXTE INCOMPLET",IF($X1561="DOUBLON",StatutDoublon,IF($S1561="",StatutInitial,IF($R1561="",StatutStandardManquant,IF($V1561="","DONNEES INSUFFISANTES",IF($V1561&gt;=SeuilConforme,StatutConforme,IF($V1561&gt;=SeuilSurveiller,StatutSurveiller,StatutSousStandard))))))))</f>
        <v/>
      </c>
      <c r="X1561" s="33">
        <f>IF($G1561="","",IF(OR($D1561="",$E1561="",$F1561=""),"CONTEXTE INCOMPLET",IF(COUNTIFS($D661:$D1560,$D1561,$E661:$E1560,$E1561,$F661:$F1560,$F1561,$G661:$G1560,$G1561)&gt;0,"DOUBLON","VALIDE")))</f>
        <v/>
      </c>
    </row>
    <row r="1562" ht="15" customHeight="1">
      <c r="A1562" s="12">
        <f>IF(OR($B1562="",$G1562=""),"",TEXT($B1562,"YYYYMMDD")&amp;"-"&amp;SUBSTITUTE($E1562," ","")&amp;"-"&amp;$F1562&amp;"-"&amp;$G1562)</f>
        <v/>
      </c>
      <c r="B1562" s="15" t="n"/>
      <c r="C1562" s="16" t="n"/>
      <c r="D1562" s="10" t="n"/>
      <c r="E1562" s="9" t="n"/>
      <c r="F1562" s="9" t="n"/>
      <c r="G1562" s="13" t="n"/>
      <c r="H1562" s="21" t="n"/>
      <c r="I1562" s="21" t="n"/>
      <c r="J1562" s="17">
        <f>IF($G1562="","",IFERROR(INDEX(NomsEmployes,MATCH($G1562,MatriculesEmployes,0)),"MATRICULE INCONNU"))</f>
        <v/>
      </c>
      <c r="K1562" s="33">
        <f>IF(OR($D1562="",$F1562=""),"",IFERROR(IF(INDEX(RUNS!$L$6:$S$1005,MATCH($D1562,RUNS!$A$6:$A$1005,0),MATCH("ACTIVITÉ "&amp;$F1562,RUNS!$L$5:$S$5,0))="","",INDEX(RUNS!$L$6:$S$1005,MATCH($D1562,RUNS!$A$6:$A$1005,0),MATCH("ACTIVITÉ "&amp;$F1562,RUNS!$L$5:$S$5,0))),""))</f>
        <v/>
      </c>
      <c r="L1562" s="33">
        <f>IF($D1562="","",IFERROR(IF(INDEX(RUNS!$E$6:$E$1005,MATCH($D1562,RUNS!$A$6:$A$1005,0))="","",INDEX(RUNS!$E$6:$E$1005,MATCH($D1562,RUNS!$A$6:$A$1005,0))),""))</f>
        <v/>
      </c>
      <c r="M1562" s="33">
        <f>IF($D1562="","",IFERROR(IF(INDEX(RUNS!$F$6:$F$1005,MATCH($D1562,RUNS!$A$6:$A$1005,0))="","",INDEX(RUNS!$F$6:$F$1005,MATCH($D1562,RUNS!$A$6:$A$1005,0))),""))</f>
        <v/>
      </c>
      <c r="N1562" s="33">
        <f>IF($D1562="","",IFERROR(IF(INDEX(RUNS!$G$6:$G$1005,MATCH($D1562,RUNS!$A$6:$A$1005,0))="","",INDEX(RUNS!$G$6:$G$1005,MATCH($D1562,RUNS!$A$6:$A$1005,0))),""))</f>
        <v/>
      </c>
      <c r="O1562" s="33">
        <f>IF($D1562="","",IFERROR(IF(INDEX(RUNS!$H$6:$H$1005,MATCH($D1562,RUNS!$A$6:$A$1005,0))="","",INDEX(RUNS!$H$6:$H$1005,MATCH($D1562,RUNS!$A$6:$A$1005,0))),""))</f>
        <v/>
      </c>
      <c r="P1562" s="33">
        <f>IF($D1562="","",IFERROR(IF(INDEX(RUNS!$J$6:$J$1005,MATCH($D1562,RUNS!$A$6:$A$1005,0))="","",INDEX(RUNS!$J$6:$J$1005,MATCH($D1562,RUNS!$A$6:$A$1005,0))),""))</f>
        <v/>
      </c>
      <c r="Q1562" s="33">
        <f>IF($D1562="","",IFERROR(IF(INDEX(RUNS!$K$6:$K$1005,MATCH($D1562,RUNS!$A$6:$A$1005,0))="","",INDEX(RUNS!$K$6:$K$1005,MATCH($D1562,RUNS!$A$6:$A$1005,0))),""))</f>
        <v/>
      </c>
      <c r="R1562" s="34">
        <f>IF(OR($L1562="",$K1562=""),"",IFERROR(IF(INDEX(PARAMETRES!$H$43:$H$342,MATCH($L1562&amp;"|"&amp;$M1562&amp;"|"&amp;$N1562&amp;"|"&amp;$O1562&amp;"|"&amp;$P1562&amp;"|"&amp;$Q1562&amp;"|"&amp;$K1562,PARAMETRES!$J$43:$J$342,0))="","",INDEX(PARAMETRES!$H$43:$H$342,MATCH($L1562&amp;"|"&amp;$M1562&amp;"|"&amp;$N1562&amp;"|"&amp;$O1562&amp;"|"&amp;$P1562&amp;"|"&amp;$Q1562&amp;"|"&amp;$K1562,PARAMETRES!$J$43:$J$342,0))),""))</f>
        <v/>
      </c>
      <c r="S1562" s="35">
        <f>IF(OR($G1562="",$X1562&lt;&gt;"VALIDE"),"",IFERROR(LOOKUP(2,1/(($B662:$B1561=$B1562)*($G662:$G1561=$G1562)*($X662:$X1561="VALIDE")),$C662:$C1561),""))</f>
        <v/>
      </c>
      <c r="T1562" s="36">
        <f>IF(OR($C1562="",$S1562=""),"",ROUND(($C1562-$S1562+IF($C1562&lt;$S1562,1,0))*1440,0))</f>
        <v/>
      </c>
      <c r="U1562" s="22">
        <f>IF(OR($H1562="",$T1562="",$T1562&lt;=0),"",$H1562*60/$T1562)</f>
        <v/>
      </c>
      <c r="V1562" s="37">
        <f>IF(OR($U1562="",$R1562="",$R1562=0),"",$U1562/$R1562)</f>
        <v/>
      </c>
      <c r="W1562" s="20">
        <f>IF($G1562="","",IF($X1562="CONTEXTE INCOMPLET","CONTEXTE INCOMPLET",IF($X1562="DOUBLON",StatutDoublon,IF($S1562="",StatutInitial,IF($R1562="",StatutStandardManquant,IF($V1562="","DONNEES INSUFFISANTES",IF($V1562&gt;=SeuilConforme,StatutConforme,IF($V1562&gt;=SeuilSurveiller,StatutSurveiller,StatutSousStandard))))))))</f>
        <v/>
      </c>
      <c r="X1562" s="33">
        <f>IF($G1562="","",IF(OR($D1562="",$E1562="",$F1562=""),"CONTEXTE INCOMPLET",IF(COUNTIFS($D662:$D1561,$D1562,$E662:$E1561,$E1562,$F662:$F1561,$F1562,$G662:$G1561,$G1562)&gt;0,"DOUBLON","VALIDE")))</f>
        <v/>
      </c>
    </row>
    <row r="1563" ht="15" customHeight="1">
      <c r="A1563" s="12">
        <f>IF(OR($B1563="",$G1563=""),"",TEXT($B1563,"YYYYMMDD")&amp;"-"&amp;SUBSTITUTE($E1563," ","")&amp;"-"&amp;$F1563&amp;"-"&amp;$G1563)</f>
        <v/>
      </c>
      <c r="B1563" s="15" t="n"/>
      <c r="C1563" s="16" t="n"/>
      <c r="D1563" s="10" t="n"/>
      <c r="E1563" s="9" t="n"/>
      <c r="F1563" s="9" t="n"/>
      <c r="G1563" s="13" t="n"/>
      <c r="H1563" s="21" t="n"/>
      <c r="I1563" s="21" t="n"/>
      <c r="J1563" s="17">
        <f>IF($G1563="","",IFERROR(INDEX(NomsEmployes,MATCH($G1563,MatriculesEmployes,0)),"MATRICULE INCONNU"))</f>
        <v/>
      </c>
      <c r="K1563" s="33">
        <f>IF(OR($D1563="",$F1563=""),"",IFERROR(IF(INDEX(RUNS!$L$6:$S$1005,MATCH($D1563,RUNS!$A$6:$A$1005,0),MATCH("ACTIVITÉ "&amp;$F1563,RUNS!$L$5:$S$5,0))="","",INDEX(RUNS!$L$6:$S$1005,MATCH($D1563,RUNS!$A$6:$A$1005,0),MATCH("ACTIVITÉ "&amp;$F1563,RUNS!$L$5:$S$5,0))),""))</f>
        <v/>
      </c>
      <c r="L1563" s="33">
        <f>IF($D1563="","",IFERROR(IF(INDEX(RUNS!$E$6:$E$1005,MATCH($D1563,RUNS!$A$6:$A$1005,0))="","",INDEX(RUNS!$E$6:$E$1005,MATCH($D1563,RUNS!$A$6:$A$1005,0))),""))</f>
        <v/>
      </c>
      <c r="M1563" s="33">
        <f>IF($D1563="","",IFERROR(IF(INDEX(RUNS!$F$6:$F$1005,MATCH($D1563,RUNS!$A$6:$A$1005,0))="","",INDEX(RUNS!$F$6:$F$1005,MATCH($D1563,RUNS!$A$6:$A$1005,0))),""))</f>
        <v/>
      </c>
      <c r="N1563" s="33">
        <f>IF($D1563="","",IFERROR(IF(INDEX(RUNS!$G$6:$G$1005,MATCH($D1563,RUNS!$A$6:$A$1005,0))="","",INDEX(RUNS!$G$6:$G$1005,MATCH($D1563,RUNS!$A$6:$A$1005,0))),""))</f>
        <v/>
      </c>
      <c r="O1563" s="33">
        <f>IF($D1563="","",IFERROR(IF(INDEX(RUNS!$H$6:$H$1005,MATCH($D1563,RUNS!$A$6:$A$1005,0))="","",INDEX(RUNS!$H$6:$H$1005,MATCH($D1563,RUNS!$A$6:$A$1005,0))),""))</f>
        <v/>
      </c>
      <c r="P1563" s="33">
        <f>IF($D1563="","",IFERROR(IF(INDEX(RUNS!$J$6:$J$1005,MATCH($D1563,RUNS!$A$6:$A$1005,0))="","",INDEX(RUNS!$J$6:$J$1005,MATCH($D1563,RUNS!$A$6:$A$1005,0))),""))</f>
        <v/>
      </c>
      <c r="Q1563" s="33">
        <f>IF($D1563="","",IFERROR(IF(INDEX(RUNS!$K$6:$K$1005,MATCH($D1563,RUNS!$A$6:$A$1005,0))="","",INDEX(RUNS!$K$6:$K$1005,MATCH($D1563,RUNS!$A$6:$A$1005,0))),""))</f>
        <v/>
      </c>
      <c r="R1563" s="34">
        <f>IF(OR($L1563="",$K1563=""),"",IFERROR(IF(INDEX(PARAMETRES!$H$43:$H$342,MATCH($L1563&amp;"|"&amp;$M1563&amp;"|"&amp;$N1563&amp;"|"&amp;$O1563&amp;"|"&amp;$P1563&amp;"|"&amp;$Q1563&amp;"|"&amp;$K1563,PARAMETRES!$J$43:$J$342,0))="","",INDEX(PARAMETRES!$H$43:$H$342,MATCH($L1563&amp;"|"&amp;$M1563&amp;"|"&amp;$N1563&amp;"|"&amp;$O1563&amp;"|"&amp;$P1563&amp;"|"&amp;$Q1563&amp;"|"&amp;$K1563,PARAMETRES!$J$43:$J$342,0))),""))</f>
        <v/>
      </c>
      <c r="S1563" s="35">
        <f>IF(OR($G1563="",$X1563&lt;&gt;"VALIDE"),"",IFERROR(LOOKUP(2,1/(($B663:$B1562=$B1563)*($G663:$G1562=$G1563)*($X663:$X1562="VALIDE")),$C663:$C1562),""))</f>
        <v/>
      </c>
      <c r="T1563" s="36">
        <f>IF(OR($C1563="",$S1563=""),"",ROUND(($C1563-$S1563+IF($C1563&lt;$S1563,1,0))*1440,0))</f>
        <v/>
      </c>
      <c r="U1563" s="22">
        <f>IF(OR($H1563="",$T1563="",$T1563&lt;=0),"",$H1563*60/$T1563)</f>
        <v/>
      </c>
      <c r="V1563" s="37">
        <f>IF(OR($U1563="",$R1563="",$R1563=0),"",$U1563/$R1563)</f>
        <v/>
      </c>
      <c r="W1563" s="20">
        <f>IF($G1563="","",IF($X1563="CONTEXTE INCOMPLET","CONTEXTE INCOMPLET",IF($X1563="DOUBLON",StatutDoublon,IF($S1563="",StatutInitial,IF($R1563="",StatutStandardManquant,IF($V1563="","DONNEES INSUFFISANTES",IF($V1563&gt;=SeuilConforme,StatutConforme,IF($V1563&gt;=SeuilSurveiller,StatutSurveiller,StatutSousStandard))))))))</f>
        <v/>
      </c>
      <c r="X1563" s="33">
        <f>IF($G1563="","",IF(OR($D1563="",$E1563="",$F1563=""),"CONTEXTE INCOMPLET",IF(COUNTIFS($D663:$D1562,$D1563,$E663:$E1562,$E1563,$F663:$F1562,$F1563,$G663:$G1562,$G1563)&gt;0,"DOUBLON","VALIDE")))</f>
        <v/>
      </c>
    </row>
    <row r="1564" ht="15" customHeight="1">
      <c r="A1564" s="12">
        <f>IF(OR($B1564="",$G1564=""),"",TEXT($B1564,"YYYYMMDD")&amp;"-"&amp;SUBSTITUTE($E1564," ","")&amp;"-"&amp;$F1564&amp;"-"&amp;$G1564)</f>
        <v/>
      </c>
      <c r="B1564" s="15" t="n"/>
      <c r="C1564" s="16" t="n"/>
      <c r="D1564" s="10" t="n"/>
      <c r="E1564" s="9" t="n"/>
      <c r="F1564" s="9" t="n"/>
      <c r="G1564" s="13" t="n"/>
      <c r="H1564" s="21" t="n"/>
      <c r="I1564" s="21" t="n"/>
      <c r="J1564" s="17">
        <f>IF($G1564="","",IFERROR(INDEX(NomsEmployes,MATCH($G1564,MatriculesEmployes,0)),"MATRICULE INCONNU"))</f>
        <v/>
      </c>
      <c r="K1564" s="33">
        <f>IF(OR($D1564="",$F1564=""),"",IFERROR(IF(INDEX(RUNS!$L$6:$S$1005,MATCH($D1564,RUNS!$A$6:$A$1005,0),MATCH("ACTIVITÉ "&amp;$F1564,RUNS!$L$5:$S$5,0))="","",INDEX(RUNS!$L$6:$S$1005,MATCH($D1564,RUNS!$A$6:$A$1005,0),MATCH("ACTIVITÉ "&amp;$F1564,RUNS!$L$5:$S$5,0))),""))</f>
        <v/>
      </c>
      <c r="L1564" s="33">
        <f>IF($D1564="","",IFERROR(IF(INDEX(RUNS!$E$6:$E$1005,MATCH($D1564,RUNS!$A$6:$A$1005,0))="","",INDEX(RUNS!$E$6:$E$1005,MATCH($D1564,RUNS!$A$6:$A$1005,0))),""))</f>
        <v/>
      </c>
      <c r="M1564" s="33">
        <f>IF($D1564="","",IFERROR(IF(INDEX(RUNS!$F$6:$F$1005,MATCH($D1564,RUNS!$A$6:$A$1005,0))="","",INDEX(RUNS!$F$6:$F$1005,MATCH($D1564,RUNS!$A$6:$A$1005,0))),""))</f>
        <v/>
      </c>
      <c r="N1564" s="33">
        <f>IF($D1564="","",IFERROR(IF(INDEX(RUNS!$G$6:$G$1005,MATCH($D1564,RUNS!$A$6:$A$1005,0))="","",INDEX(RUNS!$G$6:$G$1005,MATCH($D1564,RUNS!$A$6:$A$1005,0))),""))</f>
        <v/>
      </c>
      <c r="O1564" s="33">
        <f>IF($D1564="","",IFERROR(IF(INDEX(RUNS!$H$6:$H$1005,MATCH($D1564,RUNS!$A$6:$A$1005,0))="","",INDEX(RUNS!$H$6:$H$1005,MATCH($D1564,RUNS!$A$6:$A$1005,0))),""))</f>
        <v/>
      </c>
      <c r="P1564" s="33">
        <f>IF($D1564="","",IFERROR(IF(INDEX(RUNS!$J$6:$J$1005,MATCH($D1564,RUNS!$A$6:$A$1005,0))="","",INDEX(RUNS!$J$6:$J$1005,MATCH($D1564,RUNS!$A$6:$A$1005,0))),""))</f>
        <v/>
      </c>
      <c r="Q1564" s="33">
        <f>IF($D1564="","",IFERROR(IF(INDEX(RUNS!$K$6:$K$1005,MATCH($D1564,RUNS!$A$6:$A$1005,0))="","",INDEX(RUNS!$K$6:$K$1005,MATCH($D1564,RUNS!$A$6:$A$1005,0))),""))</f>
        <v/>
      </c>
      <c r="R1564" s="34">
        <f>IF(OR($L1564="",$K1564=""),"",IFERROR(IF(INDEX(PARAMETRES!$H$43:$H$342,MATCH($L1564&amp;"|"&amp;$M1564&amp;"|"&amp;$N1564&amp;"|"&amp;$O1564&amp;"|"&amp;$P1564&amp;"|"&amp;$Q1564&amp;"|"&amp;$K1564,PARAMETRES!$J$43:$J$342,0))="","",INDEX(PARAMETRES!$H$43:$H$342,MATCH($L1564&amp;"|"&amp;$M1564&amp;"|"&amp;$N1564&amp;"|"&amp;$O1564&amp;"|"&amp;$P1564&amp;"|"&amp;$Q1564&amp;"|"&amp;$K1564,PARAMETRES!$J$43:$J$342,0))),""))</f>
        <v/>
      </c>
      <c r="S1564" s="35">
        <f>IF(OR($G1564="",$X1564&lt;&gt;"VALIDE"),"",IFERROR(LOOKUP(2,1/(($B664:$B1563=$B1564)*($G664:$G1563=$G1564)*($X664:$X1563="VALIDE")),$C664:$C1563),""))</f>
        <v/>
      </c>
      <c r="T1564" s="36">
        <f>IF(OR($C1564="",$S1564=""),"",ROUND(($C1564-$S1564+IF($C1564&lt;$S1564,1,0))*1440,0))</f>
        <v/>
      </c>
      <c r="U1564" s="22">
        <f>IF(OR($H1564="",$T1564="",$T1564&lt;=0),"",$H1564*60/$T1564)</f>
        <v/>
      </c>
      <c r="V1564" s="37">
        <f>IF(OR($U1564="",$R1564="",$R1564=0),"",$U1564/$R1564)</f>
        <v/>
      </c>
      <c r="W1564" s="20">
        <f>IF($G1564="","",IF($X1564="CONTEXTE INCOMPLET","CONTEXTE INCOMPLET",IF($X1564="DOUBLON",StatutDoublon,IF($S1564="",StatutInitial,IF($R1564="",StatutStandardManquant,IF($V1564="","DONNEES INSUFFISANTES",IF($V1564&gt;=SeuilConforme,StatutConforme,IF($V1564&gt;=SeuilSurveiller,StatutSurveiller,StatutSousStandard))))))))</f>
        <v/>
      </c>
      <c r="X1564" s="33">
        <f>IF($G1564="","",IF(OR($D1564="",$E1564="",$F1564=""),"CONTEXTE INCOMPLET",IF(COUNTIFS($D664:$D1563,$D1564,$E664:$E1563,$E1564,$F664:$F1563,$F1564,$G664:$G1563,$G1564)&gt;0,"DOUBLON","VALIDE")))</f>
        <v/>
      </c>
    </row>
    <row r="1565" ht="15" customHeight="1">
      <c r="A1565" s="12">
        <f>IF(OR($B1565="",$G1565=""),"",TEXT($B1565,"YYYYMMDD")&amp;"-"&amp;SUBSTITUTE($E1565," ","")&amp;"-"&amp;$F1565&amp;"-"&amp;$G1565)</f>
        <v/>
      </c>
      <c r="B1565" s="15" t="n"/>
      <c r="C1565" s="16" t="n"/>
      <c r="D1565" s="10" t="n"/>
      <c r="E1565" s="9" t="n"/>
      <c r="F1565" s="9" t="n"/>
      <c r="G1565" s="13" t="n"/>
      <c r="H1565" s="21" t="n"/>
      <c r="I1565" s="21" t="n"/>
      <c r="J1565" s="17">
        <f>IF($G1565="","",IFERROR(INDEX(NomsEmployes,MATCH($G1565,MatriculesEmployes,0)),"MATRICULE INCONNU"))</f>
        <v/>
      </c>
      <c r="K1565" s="33">
        <f>IF(OR($D1565="",$F1565=""),"",IFERROR(IF(INDEX(RUNS!$L$6:$S$1005,MATCH($D1565,RUNS!$A$6:$A$1005,0),MATCH("ACTIVITÉ "&amp;$F1565,RUNS!$L$5:$S$5,0))="","",INDEX(RUNS!$L$6:$S$1005,MATCH($D1565,RUNS!$A$6:$A$1005,0),MATCH("ACTIVITÉ "&amp;$F1565,RUNS!$L$5:$S$5,0))),""))</f>
        <v/>
      </c>
      <c r="L1565" s="33">
        <f>IF($D1565="","",IFERROR(IF(INDEX(RUNS!$E$6:$E$1005,MATCH($D1565,RUNS!$A$6:$A$1005,0))="","",INDEX(RUNS!$E$6:$E$1005,MATCH($D1565,RUNS!$A$6:$A$1005,0))),""))</f>
        <v/>
      </c>
      <c r="M1565" s="33">
        <f>IF($D1565="","",IFERROR(IF(INDEX(RUNS!$F$6:$F$1005,MATCH($D1565,RUNS!$A$6:$A$1005,0))="","",INDEX(RUNS!$F$6:$F$1005,MATCH($D1565,RUNS!$A$6:$A$1005,0))),""))</f>
        <v/>
      </c>
      <c r="N1565" s="33">
        <f>IF($D1565="","",IFERROR(IF(INDEX(RUNS!$G$6:$G$1005,MATCH($D1565,RUNS!$A$6:$A$1005,0))="","",INDEX(RUNS!$G$6:$G$1005,MATCH($D1565,RUNS!$A$6:$A$1005,0))),""))</f>
        <v/>
      </c>
      <c r="O1565" s="33">
        <f>IF($D1565="","",IFERROR(IF(INDEX(RUNS!$H$6:$H$1005,MATCH($D1565,RUNS!$A$6:$A$1005,0))="","",INDEX(RUNS!$H$6:$H$1005,MATCH($D1565,RUNS!$A$6:$A$1005,0))),""))</f>
        <v/>
      </c>
      <c r="P1565" s="33">
        <f>IF($D1565="","",IFERROR(IF(INDEX(RUNS!$J$6:$J$1005,MATCH($D1565,RUNS!$A$6:$A$1005,0))="","",INDEX(RUNS!$J$6:$J$1005,MATCH($D1565,RUNS!$A$6:$A$1005,0))),""))</f>
        <v/>
      </c>
      <c r="Q1565" s="33">
        <f>IF($D1565="","",IFERROR(IF(INDEX(RUNS!$K$6:$K$1005,MATCH($D1565,RUNS!$A$6:$A$1005,0))="","",INDEX(RUNS!$K$6:$K$1005,MATCH($D1565,RUNS!$A$6:$A$1005,0))),""))</f>
        <v/>
      </c>
      <c r="R1565" s="34">
        <f>IF(OR($L1565="",$K1565=""),"",IFERROR(IF(INDEX(PARAMETRES!$H$43:$H$342,MATCH($L1565&amp;"|"&amp;$M1565&amp;"|"&amp;$N1565&amp;"|"&amp;$O1565&amp;"|"&amp;$P1565&amp;"|"&amp;$Q1565&amp;"|"&amp;$K1565,PARAMETRES!$J$43:$J$342,0))="","",INDEX(PARAMETRES!$H$43:$H$342,MATCH($L1565&amp;"|"&amp;$M1565&amp;"|"&amp;$N1565&amp;"|"&amp;$O1565&amp;"|"&amp;$P1565&amp;"|"&amp;$Q1565&amp;"|"&amp;$K1565,PARAMETRES!$J$43:$J$342,0))),""))</f>
        <v/>
      </c>
      <c r="S1565" s="35">
        <f>IF(OR($G1565="",$X1565&lt;&gt;"VALIDE"),"",IFERROR(LOOKUP(2,1/(($B665:$B1564=$B1565)*($G665:$G1564=$G1565)*($X665:$X1564="VALIDE")),$C665:$C1564),""))</f>
        <v/>
      </c>
      <c r="T1565" s="36">
        <f>IF(OR($C1565="",$S1565=""),"",ROUND(($C1565-$S1565+IF($C1565&lt;$S1565,1,0))*1440,0))</f>
        <v/>
      </c>
      <c r="U1565" s="22">
        <f>IF(OR($H1565="",$T1565="",$T1565&lt;=0),"",$H1565*60/$T1565)</f>
        <v/>
      </c>
      <c r="V1565" s="37">
        <f>IF(OR($U1565="",$R1565="",$R1565=0),"",$U1565/$R1565)</f>
        <v/>
      </c>
      <c r="W1565" s="20">
        <f>IF($G1565="","",IF($X1565="CONTEXTE INCOMPLET","CONTEXTE INCOMPLET",IF($X1565="DOUBLON",StatutDoublon,IF($S1565="",StatutInitial,IF($R1565="",StatutStandardManquant,IF($V1565="","DONNEES INSUFFISANTES",IF($V1565&gt;=SeuilConforme,StatutConforme,IF($V1565&gt;=SeuilSurveiller,StatutSurveiller,StatutSousStandard))))))))</f>
        <v/>
      </c>
      <c r="X1565" s="33">
        <f>IF($G1565="","",IF(OR($D1565="",$E1565="",$F1565=""),"CONTEXTE INCOMPLET",IF(COUNTIFS($D665:$D1564,$D1565,$E665:$E1564,$E1565,$F665:$F1564,$F1565,$G665:$G1564,$G1565)&gt;0,"DOUBLON","VALIDE")))</f>
        <v/>
      </c>
    </row>
    <row r="1566" ht="15" customHeight="1">
      <c r="A1566" s="12">
        <f>IF(OR($B1566="",$G1566=""),"",TEXT($B1566,"YYYYMMDD")&amp;"-"&amp;SUBSTITUTE($E1566," ","")&amp;"-"&amp;$F1566&amp;"-"&amp;$G1566)</f>
        <v/>
      </c>
      <c r="B1566" s="15" t="n"/>
      <c r="C1566" s="16" t="n"/>
      <c r="D1566" s="10" t="n"/>
      <c r="E1566" s="9" t="n"/>
      <c r="F1566" s="9" t="n"/>
      <c r="G1566" s="13" t="n"/>
      <c r="H1566" s="21" t="n"/>
      <c r="I1566" s="21" t="n"/>
      <c r="J1566" s="17">
        <f>IF($G1566="","",IFERROR(INDEX(NomsEmployes,MATCH($G1566,MatriculesEmployes,0)),"MATRICULE INCONNU"))</f>
        <v/>
      </c>
      <c r="K1566" s="33">
        <f>IF(OR($D1566="",$F1566=""),"",IFERROR(IF(INDEX(RUNS!$L$6:$S$1005,MATCH($D1566,RUNS!$A$6:$A$1005,0),MATCH("ACTIVITÉ "&amp;$F1566,RUNS!$L$5:$S$5,0))="","",INDEX(RUNS!$L$6:$S$1005,MATCH($D1566,RUNS!$A$6:$A$1005,0),MATCH("ACTIVITÉ "&amp;$F1566,RUNS!$L$5:$S$5,0))),""))</f>
        <v/>
      </c>
      <c r="L1566" s="33">
        <f>IF($D1566="","",IFERROR(IF(INDEX(RUNS!$E$6:$E$1005,MATCH($D1566,RUNS!$A$6:$A$1005,0))="","",INDEX(RUNS!$E$6:$E$1005,MATCH($D1566,RUNS!$A$6:$A$1005,0))),""))</f>
        <v/>
      </c>
      <c r="M1566" s="33">
        <f>IF($D1566="","",IFERROR(IF(INDEX(RUNS!$F$6:$F$1005,MATCH($D1566,RUNS!$A$6:$A$1005,0))="","",INDEX(RUNS!$F$6:$F$1005,MATCH($D1566,RUNS!$A$6:$A$1005,0))),""))</f>
        <v/>
      </c>
      <c r="N1566" s="33">
        <f>IF($D1566="","",IFERROR(IF(INDEX(RUNS!$G$6:$G$1005,MATCH($D1566,RUNS!$A$6:$A$1005,0))="","",INDEX(RUNS!$G$6:$G$1005,MATCH($D1566,RUNS!$A$6:$A$1005,0))),""))</f>
        <v/>
      </c>
      <c r="O1566" s="33">
        <f>IF($D1566="","",IFERROR(IF(INDEX(RUNS!$H$6:$H$1005,MATCH($D1566,RUNS!$A$6:$A$1005,0))="","",INDEX(RUNS!$H$6:$H$1005,MATCH($D1566,RUNS!$A$6:$A$1005,0))),""))</f>
        <v/>
      </c>
      <c r="P1566" s="33">
        <f>IF($D1566="","",IFERROR(IF(INDEX(RUNS!$J$6:$J$1005,MATCH($D1566,RUNS!$A$6:$A$1005,0))="","",INDEX(RUNS!$J$6:$J$1005,MATCH($D1566,RUNS!$A$6:$A$1005,0))),""))</f>
        <v/>
      </c>
      <c r="Q1566" s="33">
        <f>IF($D1566="","",IFERROR(IF(INDEX(RUNS!$K$6:$K$1005,MATCH($D1566,RUNS!$A$6:$A$1005,0))="","",INDEX(RUNS!$K$6:$K$1005,MATCH($D1566,RUNS!$A$6:$A$1005,0))),""))</f>
        <v/>
      </c>
      <c r="R1566" s="34">
        <f>IF(OR($L1566="",$K1566=""),"",IFERROR(IF(INDEX(PARAMETRES!$H$43:$H$342,MATCH($L1566&amp;"|"&amp;$M1566&amp;"|"&amp;$N1566&amp;"|"&amp;$O1566&amp;"|"&amp;$P1566&amp;"|"&amp;$Q1566&amp;"|"&amp;$K1566,PARAMETRES!$J$43:$J$342,0))="","",INDEX(PARAMETRES!$H$43:$H$342,MATCH($L1566&amp;"|"&amp;$M1566&amp;"|"&amp;$N1566&amp;"|"&amp;$O1566&amp;"|"&amp;$P1566&amp;"|"&amp;$Q1566&amp;"|"&amp;$K1566,PARAMETRES!$J$43:$J$342,0))),""))</f>
        <v/>
      </c>
      <c r="S1566" s="35">
        <f>IF(OR($G1566="",$X1566&lt;&gt;"VALIDE"),"",IFERROR(LOOKUP(2,1/(($B666:$B1565=$B1566)*($G666:$G1565=$G1566)*($X666:$X1565="VALIDE")),$C666:$C1565),""))</f>
        <v/>
      </c>
      <c r="T1566" s="36">
        <f>IF(OR($C1566="",$S1566=""),"",ROUND(($C1566-$S1566+IF($C1566&lt;$S1566,1,0))*1440,0))</f>
        <v/>
      </c>
      <c r="U1566" s="22">
        <f>IF(OR($H1566="",$T1566="",$T1566&lt;=0),"",$H1566*60/$T1566)</f>
        <v/>
      </c>
      <c r="V1566" s="37">
        <f>IF(OR($U1566="",$R1566="",$R1566=0),"",$U1566/$R1566)</f>
        <v/>
      </c>
      <c r="W1566" s="20">
        <f>IF($G1566="","",IF($X1566="CONTEXTE INCOMPLET","CONTEXTE INCOMPLET",IF($X1566="DOUBLON",StatutDoublon,IF($S1566="",StatutInitial,IF($R1566="",StatutStandardManquant,IF($V1566="","DONNEES INSUFFISANTES",IF($V1566&gt;=SeuilConforme,StatutConforme,IF($V1566&gt;=SeuilSurveiller,StatutSurveiller,StatutSousStandard))))))))</f>
        <v/>
      </c>
      <c r="X1566" s="33">
        <f>IF($G1566="","",IF(OR($D1566="",$E1566="",$F1566=""),"CONTEXTE INCOMPLET",IF(COUNTIFS($D666:$D1565,$D1566,$E666:$E1565,$E1566,$F666:$F1565,$F1566,$G666:$G1565,$G1566)&gt;0,"DOUBLON","VALIDE")))</f>
        <v/>
      </c>
    </row>
    <row r="1567" ht="15" customHeight="1">
      <c r="A1567" s="12">
        <f>IF(OR($B1567="",$G1567=""),"",TEXT($B1567,"YYYYMMDD")&amp;"-"&amp;SUBSTITUTE($E1567," ","")&amp;"-"&amp;$F1567&amp;"-"&amp;$G1567)</f>
        <v/>
      </c>
      <c r="B1567" s="15" t="n"/>
      <c r="C1567" s="16" t="n"/>
      <c r="D1567" s="10" t="n"/>
      <c r="E1567" s="9" t="n"/>
      <c r="F1567" s="9" t="n"/>
      <c r="G1567" s="13" t="n"/>
      <c r="H1567" s="21" t="n"/>
      <c r="I1567" s="21" t="n"/>
      <c r="J1567" s="17">
        <f>IF($G1567="","",IFERROR(INDEX(NomsEmployes,MATCH($G1567,MatriculesEmployes,0)),"MATRICULE INCONNU"))</f>
        <v/>
      </c>
      <c r="K1567" s="33">
        <f>IF(OR($D1567="",$F1567=""),"",IFERROR(IF(INDEX(RUNS!$L$6:$S$1005,MATCH($D1567,RUNS!$A$6:$A$1005,0),MATCH("ACTIVITÉ "&amp;$F1567,RUNS!$L$5:$S$5,0))="","",INDEX(RUNS!$L$6:$S$1005,MATCH($D1567,RUNS!$A$6:$A$1005,0),MATCH("ACTIVITÉ "&amp;$F1567,RUNS!$L$5:$S$5,0))),""))</f>
        <v/>
      </c>
      <c r="L1567" s="33">
        <f>IF($D1567="","",IFERROR(IF(INDEX(RUNS!$E$6:$E$1005,MATCH($D1567,RUNS!$A$6:$A$1005,0))="","",INDEX(RUNS!$E$6:$E$1005,MATCH($D1567,RUNS!$A$6:$A$1005,0))),""))</f>
        <v/>
      </c>
      <c r="M1567" s="33">
        <f>IF($D1567="","",IFERROR(IF(INDEX(RUNS!$F$6:$F$1005,MATCH($D1567,RUNS!$A$6:$A$1005,0))="","",INDEX(RUNS!$F$6:$F$1005,MATCH($D1567,RUNS!$A$6:$A$1005,0))),""))</f>
        <v/>
      </c>
      <c r="N1567" s="33">
        <f>IF($D1567="","",IFERROR(IF(INDEX(RUNS!$G$6:$G$1005,MATCH($D1567,RUNS!$A$6:$A$1005,0))="","",INDEX(RUNS!$G$6:$G$1005,MATCH($D1567,RUNS!$A$6:$A$1005,0))),""))</f>
        <v/>
      </c>
      <c r="O1567" s="33">
        <f>IF($D1567="","",IFERROR(IF(INDEX(RUNS!$H$6:$H$1005,MATCH($D1567,RUNS!$A$6:$A$1005,0))="","",INDEX(RUNS!$H$6:$H$1005,MATCH($D1567,RUNS!$A$6:$A$1005,0))),""))</f>
        <v/>
      </c>
      <c r="P1567" s="33">
        <f>IF($D1567="","",IFERROR(IF(INDEX(RUNS!$J$6:$J$1005,MATCH($D1567,RUNS!$A$6:$A$1005,0))="","",INDEX(RUNS!$J$6:$J$1005,MATCH($D1567,RUNS!$A$6:$A$1005,0))),""))</f>
        <v/>
      </c>
      <c r="Q1567" s="33">
        <f>IF($D1567="","",IFERROR(IF(INDEX(RUNS!$K$6:$K$1005,MATCH($D1567,RUNS!$A$6:$A$1005,0))="","",INDEX(RUNS!$K$6:$K$1005,MATCH($D1567,RUNS!$A$6:$A$1005,0))),""))</f>
        <v/>
      </c>
      <c r="R1567" s="34">
        <f>IF(OR($L1567="",$K1567=""),"",IFERROR(IF(INDEX(PARAMETRES!$H$43:$H$342,MATCH($L1567&amp;"|"&amp;$M1567&amp;"|"&amp;$N1567&amp;"|"&amp;$O1567&amp;"|"&amp;$P1567&amp;"|"&amp;$Q1567&amp;"|"&amp;$K1567,PARAMETRES!$J$43:$J$342,0))="","",INDEX(PARAMETRES!$H$43:$H$342,MATCH($L1567&amp;"|"&amp;$M1567&amp;"|"&amp;$N1567&amp;"|"&amp;$O1567&amp;"|"&amp;$P1567&amp;"|"&amp;$Q1567&amp;"|"&amp;$K1567,PARAMETRES!$J$43:$J$342,0))),""))</f>
        <v/>
      </c>
      <c r="S1567" s="35">
        <f>IF(OR($G1567="",$X1567&lt;&gt;"VALIDE"),"",IFERROR(LOOKUP(2,1/(($B667:$B1566=$B1567)*($G667:$G1566=$G1567)*($X667:$X1566="VALIDE")),$C667:$C1566),""))</f>
        <v/>
      </c>
      <c r="T1567" s="36">
        <f>IF(OR($C1567="",$S1567=""),"",ROUND(($C1567-$S1567+IF($C1567&lt;$S1567,1,0))*1440,0))</f>
        <v/>
      </c>
      <c r="U1567" s="22">
        <f>IF(OR($H1567="",$T1567="",$T1567&lt;=0),"",$H1567*60/$T1567)</f>
        <v/>
      </c>
      <c r="V1567" s="37">
        <f>IF(OR($U1567="",$R1567="",$R1567=0),"",$U1567/$R1567)</f>
        <v/>
      </c>
      <c r="W1567" s="20">
        <f>IF($G1567="","",IF($X1567="CONTEXTE INCOMPLET","CONTEXTE INCOMPLET",IF($X1567="DOUBLON",StatutDoublon,IF($S1567="",StatutInitial,IF($R1567="",StatutStandardManquant,IF($V1567="","DONNEES INSUFFISANTES",IF($V1567&gt;=SeuilConforme,StatutConforme,IF($V1567&gt;=SeuilSurveiller,StatutSurveiller,StatutSousStandard))))))))</f>
        <v/>
      </c>
      <c r="X1567" s="33">
        <f>IF($G1567="","",IF(OR($D1567="",$E1567="",$F1567=""),"CONTEXTE INCOMPLET",IF(COUNTIFS($D667:$D1566,$D1567,$E667:$E1566,$E1567,$F667:$F1566,$F1567,$G667:$G1566,$G1567)&gt;0,"DOUBLON","VALIDE")))</f>
        <v/>
      </c>
    </row>
    <row r="1568" ht="15" customHeight="1">
      <c r="A1568" s="12">
        <f>IF(OR($B1568="",$G1568=""),"",TEXT($B1568,"YYYYMMDD")&amp;"-"&amp;SUBSTITUTE($E1568," ","")&amp;"-"&amp;$F1568&amp;"-"&amp;$G1568)</f>
        <v/>
      </c>
      <c r="B1568" s="15" t="n"/>
      <c r="C1568" s="16" t="n"/>
      <c r="D1568" s="10" t="n"/>
      <c r="E1568" s="9" t="n"/>
      <c r="F1568" s="9" t="n"/>
      <c r="G1568" s="13" t="n"/>
      <c r="H1568" s="21" t="n"/>
      <c r="I1568" s="21" t="n"/>
      <c r="J1568" s="17">
        <f>IF($G1568="","",IFERROR(INDEX(NomsEmployes,MATCH($G1568,MatriculesEmployes,0)),"MATRICULE INCONNU"))</f>
        <v/>
      </c>
      <c r="K1568" s="33">
        <f>IF(OR($D1568="",$F1568=""),"",IFERROR(IF(INDEX(RUNS!$L$6:$S$1005,MATCH($D1568,RUNS!$A$6:$A$1005,0),MATCH("ACTIVITÉ "&amp;$F1568,RUNS!$L$5:$S$5,0))="","",INDEX(RUNS!$L$6:$S$1005,MATCH($D1568,RUNS!$A$6:$A$1005,0),MATCH("ACTIVITÉ "&amp;$F1568,RUNS!$L$5:$S$5,0))),""))</f>
        <v/>
      </c>
      <c r="L1568" s="33">
        <f>IF($D1568="","",IFERROR(IF(INDEX(RUNS!$E$6:$E$1005,MATCH($D1568,RUNS!$A$6:$A$1005,0))="","",INDEX(RUNS!$E$6:$E$1005,MATCH($D1568,RUNS!$A$6:$A$1005,0))),""))</f>
        <v/>
      </c>
      <c r="M1568" s="33">
        <f>IF($D1568="","",IFERROR(IF(INDEX(RUNS!$F$6:$F$1005,MATCH($D1568,RUNS!$A$6:$A$1005,0))="","",INDEX(RUNS!$F$6:$F$1005,MATCH($D1568,RUNS!$A$6:$A$1005,0))),""))</f>
        <v/>
      </c>
      <c r="N1568" s="33">
        <f>IF($D1568="","",IFERROR(IF(INDEX(RUNS!$G$6:$G$1005,MATCH($D1568,RUNS!$A$6:$A$1005,0))="","",INDEX(RUNS!$G$6:$G$1005,MATCH($D1568,RUNS!$A$6:$A$1005,0))),""))</f>
        <v/>
      </c>
      <c r="O1568" s="33">
        <f>IF($D1568="","",IFERROR(IF(INDEX(RUNS!$H$6:$H$1005,MATCH($D1568,RUNS!$A$6:$A$1005,0))="","",INDEX(RUNS!$H$6:$H$1005,MATCH($D1568,RUNS!$A$6:$A$1005,0))),""))</f>
        <v/>
      </c>
      <c r="P1568" s="33">
        <f>IF($D1568="","",IFERROR(IF(INDEX(RUNS!$J$6:$J$1005,MATCH($D1568,RUNS!$A$6:$A$1005,0))="","",INDEX(RUNS!$J$6:$J$1005,MATCH($D1568,RUNS!$A$6:$A$1005,0))),""))</f>
        <v/>
      </c>
      <c r="Q1568" s="33">
        <f>IF($D1568="","",IFERROR(IF(INDEX(RUNS!$K$6:$K$1005,MATCH($D1568,RUNS!$A$6:$A$1005,0))="","",INDEX(RUNS!$K$6:$K$1005,MATCH($D1568,RUNS!$A$6:$A$1005,0))),""))</f>
        <v/>
      </c>
      <c r="R1568" s="34">
        <f>IF(OR($L1568="",$K1568=""),"",IFERROR(IF(INDEX(PARAMETRES!$H$43:$H$342,MATCH($L1568&amp;"|"&amp;$M1568&amp;"|"&amp;$N1568&amp;"|"&amp;$O1568&amp;"|"&amp;$P1568&amp;"|"&amp;$Q1568&amp;"|"&amp;$K1568,PARAMETRES!$J$43:$J$342,0))="","",INDEX(PARAMETRES!$H$43:$H$342,MATCH($L1568&amp;"|"&amp;$M1568&amp;"|"&amp;$N1568&amp;"|"&amp;$O1568&amp;"|"&amp;$P1568&amp;"|"&amp;$Q1568&amp;"|"&amp;$K1568,PARAMETRES!$J$43:$J$342,0))),""))</f>
        <v/>
      </c>
      <c r="S1568" s="35">
        <f>IF(OR($G1568="",$X1568&lt;&gt;"VALIDE"),"",IFERROR(LOOKUP(2,1/(($B668:$B1567=$B1568)*($G668:$G1567=$G1568)*($X668:$X1567="VALIDE")),$C668:$C1567),""))</f>
        <v/>
      </c>
      <c r="T1568" s="36">
        <f>IF(OR($C1568="",$S1568=""),"",ROUND(($C1568-$S1568+IF($C1568&lt;$S1568,1,0))*1440,0))</f>
        <v/>
      </c>
      <c r="U1568" s="22">
        <f>IF(OR($H1568="",$T1568="",$T1568&lt;=0),"",$H1568*60/$T1568)</f>
        <v/>
      </c>
      <c r="V1568" s="37">
        <f>IF(OR($U1568="",$R1568="",$R1568=0),"",$U1568/$R1568)</f>
        <v/>
      </c>
      <c r="W1568" s="20">
        <f>IF($G1568="","",IF($X1568="CONTEXTE INCOMPLET","CONTEXTE INCOMPLET",IF($X1568="DOUBLON",StatutDoublon,IF($S1568="",StatutInitial,IF($R1568="",StatutStandardManquant,IF($V1568="","DONNEES INSUFFISANTES",IF($V1568&gt;=SeuilConforme,StatutConforme,IF($V1568&gt;=SeuilSurveiller,StatutSurveiller,StatutSousStandard))))))))</f>
        <v/>
      </c>
      <c r="X1568" s="33">
        <f>IF($G1568="","",IF(OR($D1568="",$E1568="",$F1568=""),"CONTEXTE INCOMPLET",IF(COUNTIFS($D668:$D1567,$D1568,$E668:$E1567,$E1568,$F668:$F1567,$F1568,$G668:$G1567,$G1568)&gt;0,"DOUBLON","VALIDE")))</f>
        <v/>
      </c>
    </row>
    <row r="1569" ht="15" customHeight="1">
      <c r="A1569" s="12">
        <f>IF(OR($B1569="",$G1569=""),"",TEXT($B1569,"YYYYMMDD")&amp;"-"&amp;SUBSTITUTE($E1569," ","")&amp;"-"&amp;$F1569&amp;"-"&amp;$G1569)</f>
        <v/>
      </c>
      <c r="B1569" s="15" t="n"/>
      <c r="C1569" s="16" t="n"/>
      <c r="D1569" s="10" t="n"/>
      <c r="E1569" s="9" t="n"/>
      <c r="F1569" s="9" t="n"/>
      <c r="G1569" s="13" t="n"/>
      <c r="H1569" s="21" t="n"/>
      <c r="I1569" s="21" t="n"/>
      <c r="J1569" s="17">
        <f>IF($G1569="","",IFERROR(INDEX(NomsEmployes,MATCH($G1569,MatriculesEmployes,0)),"MATRICULE INCONNU"))</f>
        <v/>
      </c>
      <c r="K1569" s="33">
        <f>IF(OR($D1569="",$F1569=""),"",IFERROR(IF(INDEX(RUNS!$L$6:$S$1005,MATCH($D1569,RUNS!$A$6:$A$1005,0),MATCH("ACTIVITÉ "&amp;$F1569,RUNS!$L$5:$S$5,0))="","",INDEX(RUNS!$L$6:$S$1005,MATCH($D1569,RUNS!$A$6:$A$1005,0),MATCH("ACTIVITÉ "&amp;$F1569,RUNS!$L$5:$S$5,0))),""))</f>
        <v/>
      </c>
      <c r="L1569" s="33">
        <f>IF($D1569="","",IFERROR(IF(INDEX(RUNS!$E$6:$E$1005,MATCH($D1569,RUNS!$A$6:$A$1005,0))="","",INDEX(RUNS!$E$6:$E$1005,MATCH($D1569,RUNS!$A$6:$A$1005,0))),""))</f>
        <v/>
      </c>
      <c r="M1569" s="33">
        <f>IF($D1569="","",IFERROR(IF(INDEX(RUNS!$F$6:$F$1005,MATCH($D1569,RUNS!$A$6:$A$1005,0))="","",INDEX(RUNS!$F$6:$F$1005,MATCH($D1569,RUNS!$A$6:$A$1005,0))),""))</f>
        <v/>
      </c>
      <c r="N1569" s="33">
        <f>IF($D1569="","",IFERROR(IF(INDEX(RUNS!$G$6:$G$1005,MATCH($D1569,RUNS!$A$6:$A$1005,0))="","",INDEX(RUNS!$G$6:$G$1005,MATCH($D1569,RUNS!$A$6:$A$1005,0))),""))</f>
        <v/>
      </c>
      <c r="O1569" s="33">
        <f>IF($D1569="","",IFERROR(IF(INDEX(RUNS!$H$6:$H$1005,MATCH($D1569,RUNS!$A$6:$A$1005,0))="","",INDEX(RUNS!$H$6:$H$1005,MATCH($D1569,RUNS!$A$6:$A$1005,0))),""))</f>
        <v/>
      </c>
      <c r="P1569" s="33">
        <f>IF($D1569="","",IFERROR(IF(INDEX(RUNS!$J$6:$J$1005,MATCH($D1569,RUNS!$A$6:$A$1005,0))="","",INDEX(RUNS!$J$6:$J$1005,MATCH($D1569,RUNS!$A$6:$A$1005,0))),""))</f>
        <v/>
      </c>
      <c r="Q1569" s="33">
        <f>IF($D1569="","",IFERROR(IF(INDEX(RUNS!$K$6:$K$1005,MATCH($D1569,RUNS!$A$6:$A$1005,0))="","",INDEX(RUNS!$K$6:$K$1005,MATCH($D1569,RUNS!$A$6:$A$1005,0))),""))</f>
        <v/>
      </c>
      <c r="R1569" s="34">
        <f>IF(OR($L1569="",$K1569=""),"",IFERROR(IF(INDEX(PARAMETRES!$H$43:$H$342,MATCH($L1569&amp;"|"&amp;$M1569&amp;"|"&amp;$N1569&amp;"|"&amp;$O1569&amp;"|"&amp;$P1569&amp;"|"&amp;$Q1569&amp;"|"&amp;$K1569,PARAMETRES!$J$43:$J$342,0))="","",INDEX(PARAMETRES!$H$43:$H$342,MATCH($L1569&amp;"|"&amp;$M1569&amp;"|"&amp;$N1569&amp;"|"&amp;$O1569&amp;"|"&amp;$P1569&amp;"|"&amp;$Q1569&amp;"|"&amp;$K1569,PARAMETRES!$J$43:$J$342,0))),""))</f>
        <v/>
      </c>
      <c r="S1569" s="35">
        <f>IF(OR($G1569="",$X1569&lt;&gt;"VALIDE"),"",IFERROR(LOOKUP(2,1/(($B669:$B1568=$B1569)*($G669:$G1568=$G1569)*($X669:$X1568="VALIDE")),$C669:$C1568),""))</f>
        <v/>
      </c>
      <c r="T1569" s="36">
        <f>IF(OR($C1569="",$S1569=""),"",ROUND(($C1569-$S1569+IF($C1569&lt;$S1569,1,0))*1440,0))</f>
        <v/>
      </c>
      <c r="U1569" s="22">
        <f>IF(OR($H1569="",$T1569="",$T1569&lt;=0),"",$H1569*60/$T1569)</f>
        <v/>
      </c>
      <c r="V1569" s="37">
        <f>IF(OR($U1569="",$R1569="",$R1569=0),"",$U1569/$R1569)</f>
        <v/>
      </c>
      <c r="W1569" s="20">
        <f>IF($G1569="","",IF($X1569="CONTEXTE INCOMPLET","CONTEXTE INCOMPLET",IF($X1569="DOUBLON",StatutDoublon,IF($S1569="",StatutInitial,IF($R1569="",StatutStandardManquant,IF($V1569="","DONNEES INSUFFISANTES",IF($V1569&gt;=SeuilConforme,StatutConforme,IF($V1569&gt;=SeuilSurveiller,StatutSurveiller,StatutSousStandard))))))))</f>
        <v/>
      </c>
      <c r="X1569" s="33">
        <f>IF($G1569="","",IF(OR($D1569="",$E1569="",$F1569=""),"CONTEXTE INCOMPLET",IF(COUNTIFS($D669:$D1568,$D1569,$E669:$E1568,$E1569,$F669:$F1568,$F1569,$G669:$G1568,$G1569)&gt;0,"DOUBLON","VALIDE")))</f>
        <v/>
      </c>
    </row>
    <row r="1570" ht="15" customHeight="1">
      <c r="A1570" s="12">
        <f>IF(OR($B1570="",$G1570=""),"",TEXT($B1570,"YYYYMMDD")&amp;"-"&amp;SUBSTITUTE($E1570," ","")&amp;"-"&amp;$F1570&amp;"-"&amp;$G1570)</f>
        <v/>
      </c>
      <c r="B1570" s="15" t="n"/>
      <c r="C1570" s="16" t="n"/>
      <c r="D1570" s="10" t="n"/>
      <c r="E1570" s="9" t="n"/>
      <c r="F1570" s="9" t="n"/>
      <c r="G1570" s="13" t="n"/>
      <c r="H1570" s="21" t="n"/>
      <c r="I1570" s="21" t="n"/>
      <c r="J1570" s="17">
        <f>IF($G1570="","",IFERROR(INDEX(NomsEmployes,MATCH($G1570,MatriculesEmployes,0)),"MATRICULE INCONNU"))</f>
        <v/>
      </c>
      <c r="K1570" s="33">
        <f>IF(OR($D1570="",$F1570=""),"",IFERROR(IF(INDEX(RUNS!$L$6:$S$1005,MATCH($D1570,RUNS!$A$6:$A$1005,0),MATCH("ACTIVITÉ "&amp;$F1570,RUNS!$L$5:$S$5,0))="","",INDEX(RUNS!$L$6:$S$1005,MATCH($D1570,RUNS!$A$6:$A$1005,0),MATCH("ACTIVITÉ "&amp;$F1570,RUNS!$L$5:$S$5,0))),""))</f>
        <v/>
      </c>
      <c r="L1570" s="33">
        <f>IF($D1570="","",IFERROR(IF(INDEX(RUNS!$E$6:$E$1005,MATCH($D1570,RUNS!$A$6:$A$1005,0))="","",INDEX(RUNS!$E$6:$E$1005,MATCH($D1570,RUNS!$A$6:$A$1005,0))),""))</f>
        <v/>
      </c>
      <c r="M1570" s="33">
        <f>IF($D1570="","",IFERROR(IF(INDEX(RUNS!$F$6:$F$1005,MATCH($D1570,RUNS!$A$6:$A$1005,0))="","",INDEX(RUNS!$F$6:$F$1005,MATCH($D1570,RUNS!$A$6:$A$1005,0))),""))</f>
        <v/>
      </c>
      <c r="N1570" s="33">
        <f>IF($D1570="","",IFERROR(IF(INDEX(RUNS!$G$6:$G$1005,MATCH($D1570,RUNS!$A$6:$A$1005,0))="","",INDEX(RUNS!$G$6:$G$1005,MATCH($D1570,RUNS!$A$6:$A$1005,0))),""))</f>
        <v/>
      </c>
      <c r="O1570" s="33">
        <f>IF($D1570="","",IFERROR(IF(INDEX(RUNS!$H$6:$H$1005,MATCH($D1570,RUNS!$A$6:$A$1005,0))="","",INDEX(RUNS!$H$6:$H$1005,MATCH($D1570,RUNS!$A$6:$A$1005,0))),""))</f>
        <v/>
      </c>
      <c r="P1570" s="33">
        <f>IF($D1570="","",IFERROR(IF(INDEX(RUNS!$J$6:$J$1005,MATCH($D1570,RUNS!$A$6:$A$1005,0))="","",INDEX(RUNS!$J$6:$J$1005,MATCH($D1570,RUNS!$A$6:$A$1005,0))),""))</f>
        <v/>
      </c>
      <c r="Q1570" s="33">
        <f>IF($D1570="","",IFERROR(IF(INDEX(RUNS!$K$6:$K$1005,MATCH($D1570,RUNS!$A$6:$A$1005,0))="","",INDEX(RUNS!$K$6:$K$1005,MATCH($D1570,RUNS!$A$6:$A$1005,0))),""))</f>
        <v/>
      </c>
      <c r="R1570" s="34">
        <f>IF(OR($L1570="",$K1570=""),"",IFERROR(IF(INDEX(PARAMETRES!$H$43:$H$342,MATCH($L1570&amp;"|"&amp;$M1570&amp;"|"&amp;$N1570&amp;"|"&amp;$O1570&amp;"|"&amp;$P1570&amp;"|"&amp;$Q1570&amp;"|"&amp;$K1570,PARAMETRES!$J$43:$J$342,0))="","",INDEX(PARAMETRES!$H$43:$H$342,MATCH($L1570&amp;"|"&amp;$M1570&amp;"|"&amp;$N1570&amp;"|"&amp;$O1570&amp;"|"&amp;$P1570&amp;"|"&amp;$Q1570&amp;"|"&amp;$K1570,PARAMETRES!$J$43:$J$342,0))),""))</f>
        <v/>
      </c>
      <c r="S1570" s="35">
        <f>IF(OR($G1570="",$X1570&lt;&gt;"VALIDE"),"",IFERROR(LOOKUP(2,1/(($B670:$B1569=$B1570)*($G670:$G1569=$G1570)*($X670:$X1569="VALIDE")),$C670:$C1569),""))</f>
        <v/>
      </c>
      <c r="T1570" s="36">
        <f>IF(OR($C1570="",$S1570=""),"",ROUND(($C1570-$S1570+IF($C1570&lt;$S1570,1,0))*1440,0))</f>
        <v/>
      </c>
      <c r="U1570" s="22">
        <f>IF(OR($H1570="",$T1570="",$T1570&lt;=0),"",$H1570*60/$T1570)</f>
        <v/>
      </c>
      <c r="V1570" s="37">
        <f>IF(OR($U1570="",$R1570="",$R1570=0),"",$U1570/$R1570)</f>
        <v/>
      </c>
      <c r="W1570" s="20">
        <f>IF($G1570="","",IF($X1570="CONTEXTE INCOMPLET","CONTEXTE INCOMPLET",IF($X1570="DOUBLON",StatutDoublon,IF($S1570="",StatutInitial,IF($R1570="",StatutStandardManquant,IF($V1570="","DONNEES INSUFFISANTES",IF($V1570&gt;=SeuilConforme,StatutConforme,IF($V1570&gt;=SeuilSurveiller,StatutSurveiller,StatutSousStandard))))))))</f>
        <v/>
      </c>
      <c r="X1570" s="33">
        <f>IF($G1570="","",IF(OR($D1570="",$E1570="",$F1570=""),"CONTEXTE INCOMPLET",IF(COUNTIFS($D670:$D1569,$D1570,$E670:$E1569,$E1570,$F670:$F1569,$F1570,$G670:$G1569,$G1570)&gt;0,"DOUBLON","VALIDE")))</f>
        <v/>
      </c>
    </row>
    <row r="1571" ht="15" customHeight="1">
      <c r="A1571" s="12">
        <f>IF(OR($B1571="",$G1571=""),"",TEXT($B1571,"YYYYMMDD")&amp;"-"&amp;SUBSTITUTE($E1571," ","")&amp;"-"&amp;$F1571&amp;"-"&amp;$G1571)</f>
        <v/>
      </c>
      <c r="B1571" s="15" t="n"/>
      <c r="C1571" s="16" t="n"/>
      <c r="D1571" s="10" t="n"/>
      <c r="E1571" s="9" t="n"/>
      <c r="F1571" s="9" t="n"/>
      <c r="G1571" s="13" t="n"/>
      <c r="H1571" s="21" t="n"/>
      <c r="I1571" s="21" t="n"/>
      <c r="J1571" s="17">
        <f>IF($G1571="","",IFERROR(INDEX(NomsEmployes,MATCH($G1571,MatriculesEmployes,0)),"MATRICULE INCONNU"))</f>
        <v/>
      </c>
      <c r="K1571" s="33">
        <f>IF(OR($D1571="",$F1571=""),"",IFERROR(IF(INDEX(RUNS!$L$6:$S$1005,MATCH($D1571,RUNS!$A$6:$A$1005,0),MATCH("ACTIVITÉ "&amp;$F1571,RUNS!$L$5:$S$5,0))="","",INDEX(RUNS!$L$6:$S$1005,MATCH($D1571,RUNS!$A$6:$A$1005,0),MATCH("ACTIVITÉ "&amp;$F1571,RUNS!$L$5:$S$5,0))),""))</f>
        <v/>
      </c>
      <c r="L1571" s="33">
        <f>IF($D1571="","",IFERROR(IF(INDEX(RUNS!$E$6:$E$1005,MATCH($D1571,RUNS!$A$6:$A$1005,0))="","",INDEX(RUNS!$E$6:$E$1005,MATCH($D1571,RUNS!$A$6:$A$1005,0))),""))</f>
        <v/>
      </c>
      <c r="M1571" s="33">
        <f>IF($D1571="","",IFERROR(IF(INDEX(RUNS!$F$6:$F$1005,MATCH($D1571,RUNS!$A$6:$A$1005,0))="","",INDEX(RUNS!$F$6:$F$1005,MATCH($D1571,RUNS!$A$6:$A$1005,0))),""))</f>
        <v/>
      </c>
      <c r="N1571" s="33">
        <f>IF($D1571="","",IFERROR(IF(INDEX(RUNS!$G$6:$G$1005,MATCH($D1571,RUNS!$A$6:$A$1005,0))="","",INDEX(RUNS!$G$6:$G$1005,MATCH($D1571,RUNS!$A$6:$A$1005,0))),""))</f>
        <v/>
      </c>
      <c r="O1571" s="33">
        <f>IF($D1571="","",IFERROR(IF(INDEX(RUNS!$H$6:$H$1005,MATCH($D1571,RUNS!$A$6:$A$1005,0))="","",INDEX(RUNS!$H$6:$H$1005,MATCH($D1571,RUNS!$A$6:$A$1005,0))),""))</f>
        <v/>
      </c>
      <c r="P1571" s="33">
        <f>IF($D1571="","",IFERROR(IF(INDEX(RUNS!$J$6:$J$1005,MATCH($D1571,RUNS!$A$6:$A$1005,0))="","",INDEX(RUNS!$J$6:$J$1005,MATCH($D1571,RUNS!$A$6:$A$1005,0))),""))</f>
        <v/>
      </c>
      <c r="Q1571" s="33">
        <f>IF($D1571="","",IFERROR(IF(INDEX(RUNS!$K$6:$K$1005,MATCH($D1571,RUNS!$A$6:$A$1005,0))="","",INDEX(RUNS!$K$6:$K$1005,MATCH($D1571,RUNS!$A$6:$A$1005,0))),""))</f>
        <v/>
      </c>
      <c r="R1571" s="34">
        <f>IF(OR($L1571="",$K1571=""),"",IFERROR(IF(INDEX(PARAMETRES!$H$43:$H$342,MATCH($L1571&amp;"|"&amp;$M1571&amp;"|"&amp;$N1571&amp;"|"&amp;$O1571&amp;"|"&amp;$P1571&amp;"|"&amp;$Q1571&amp;"|"&amp;$K1571,PARAMETRES!$J$43:$J$342,0))="","",INDEX(PARAMETRES!$H$43:$H$342,MATCH($L1571&amp;"|"&amp;$M1571&amp;"|"&amp;$N1571&amp;"|"&amp;$O1571&amp;"|"&amp;$P1571&amp;"|"&amp;$Q1571&amp;"|"&amp;$K1571,PARAMETRES!$J$43:$J$342,0))),""))</f>
        <v/>
      </c>
      <c r="S1571" s="35">
        <f>IF(OR($G1571="",$X1571&lt;&gt;"VALIDE"),"",IFERROR(LOOKUP(2,1/(($B671:$B1570=$B1571)*($G671:$G1570=$G1571)*($X671:$X1570="VALIDE")),$C671:$C1570),""))</f>
        <v/>
      </c>
      <c r="T1571" s="36">
        <f>IF(OR($C1571="",$S1571=""),"",ROUND(($C1571-$S1571+IF($C1571&lt;$S1571,1,0))*1440,0))</f>
        <v/>
      </c>
      <c r="U1571" s="22">
        <f>IF(OR($H1571="",$T1571="",$T1571&lt;=0),"",$H1571*60/$T1571)</f>
        <v/>
      </c>
      <c r="V1571" s="37">
        <f>IF(OR($U1571="",$R1571="",$R1571=0),"",$U1571/$R1571)</f>
        <v/>
      </c>
      <c r="W1571" s="20">
        <f>IF($G1571="","",IF($X1571="CONTEXTE INCOMPLET","CONTEXTE INCOMPLET",IF($X1571="DOUBLON",StatutDoublon,IF($S1571="",StatutInitial,IF($R1571="",StatutStandardManquant,IF($V1571="","DONNEES INSUFFISANTES",IF($V1571&gt;=SeuilConforme,StatutConforme,IF($V1571&gt;=SeuilSurveiller,StatutSurveiller,StatutSousStandard))))))))</f>
        <v/>
      </c>
      <c r="X1571" s="33">
        <f>IF($G1571="","",IF(OR($D1571="",$E1571="",$F1571=""),"CONTEXTE INCOMPLET",IF(COUNTIFS($D671:$D1570,$D1571,$E671:$E1570,$E1571,$F671:$F1570,$F1571,$G671:$G1570,$G1571)&gt;0,"DOUBLON","VALIDE")))</f>
        <v/>
      </c>
    </row>
    <row r="1572" ht="15" customHeight="1">
      <c r="A1572" s="12">
        <f>IF(OR($B1572="",$G1572=""),"",TEXT($B1572,"YYYYMMDD")&amp;"-"&amp;SUBSTITUTE($E1572," ","")&amp;"-"&amp;$F1572&amp;"-"&amp;$G1572)</f>
        <v/>
      </c>
      <c r="B1572" s="15" t="n"/>
      <c r="C1572" s="16" t="n"/>
      <c r="D1572" s="10" t="n"/>
      <c r="E1572" s="9" t="n"/>
      <c r="F1572" s="9" t="n"/>
      <c r="G1572" s="13" t="n"/>
      <c r="H1572" s="21" t="n"/>
      <c r="I1572" s="21" t="n"/>
      <c r="J1572" s="17">
        <f>IF($G1572="","",IFERROR(INDEX(NomsEmployes,MATCH($G1572,MatriculesEmployes,0)),"MATRICULE INCONNU"))</f>
        <v/>
      </c>
      <c r="K1572" s="33">
        <f>IF(OR($D1572="",$F1572=""),"",IFERROR(IF(INDEX(RUNS!$L$6:$S$1005,MATCH($D1572,RUNS!$A$6:$A$1005,0),MATCH("ACTIVITÉ "&amp;$F1572,RUNS!$L$5:$S$5,0))="","",INDEX(RUNS!$L$6:$S$1005,MATCH($D1572,RUNS!$A$6:$A$1005,0),MATCH("ACTIVITÉ "&amp;$F1572,RUNS!$L$5:$S$5,0))),""))</f>
        <v/>
      </c>
      <c r="L1572" s="33">
        <f>IF($D1572="","",IFERROR(IF(INDEX(RUNS!$E$6:$E$1005,MATCH($D1572,RUNS!$A$6:$A$1005,0))="","",INDEX(RUNS!$E$6:$E$1005,MATCH($D1572,RUNS!$A$6:$A$1005,0))),""))</f>
        <v/>
      </c>
      <c r="M1572" s="33">
        <f>IF($D1572="","",IFERROR(IF(INDEX(RUNS!$F$6:$F$1005,MATCH($D1572,RUNS!$A$6:$A$1005,0))="","",INDEX(RUNS!$F$6:$F$1005,MATCH($D1572,RUNS!$A$6:$A$1005,0))),""))</f>
        <v/>
      </c>
      <c r="N1572" s="33">
        <f>IF($D1572="","",IFERROR(IF(INDEX(RUNS!$G$6:$G$1005,MATCH($D1572,RUNS!$A$6:$A$1005,0))="","",INDEX(RUNS!$G$6:$G$1005,MATCH($D1572,RUNS!$A$6:$A$1005,0))),""))</f>
        <v/>
      </c>
      <c r="O1572" s="33">
        <f>IF($D1572="","",IFERROR(IF(INDEX(RUNS!$H$6:$H$1005,MATCH($D1572,RUNS!$A$6:$A$1005,0))="","",INDEX(RUNS!$H$6:$H$1005,MATCH($D1572,RUNS!$A$6:$A$1005,0))),""))</f>
        <v/>
      </c>
      <c r="P1572" s="33">
        <f>IF($D1572="","",IFERROR(IF(INDEX(RUNS!$J$6:$J$1005,MATCH($D1572,RUNS!$A$6:$A$1005,0))="","",INDEX(RUNS!$J$6:$J$1005,MATCH($D1572,RUNS!$A$6:$A$1005,0))),""))</f>
        <v/>
      </c>
      <c r="Q1572" s="33">
        <f>IF($D1572="","",IFERROR(IF(INDEX(RUNS!$K$6:$K$1005,MATCH($D1572,RUNS!$A$6:$A$1005,0))="","",INDEX(RUNS!$K$6:$K$1005,MATCH($D1572,RUNS!$A$6:$A$1005,0))),""))</f>
        <v/>
      </c>
      <c r="R1572" s="34">
        <f>IF(OR($L1572="",$K1572=""),"",IFERROR(IF(INDEX(PARAMETRES!$H$43:$H$342,MATCH($L1572&amp;"|"&amp;$M1572&amp;"|"&amp;$N1572&amp;"|"&amp;$O1572&amp;"|"&amp;$P1572&amp;"|"&amp;$Q1572&amp;"|"&amp;$K1572,PARAMETRES!$J$43:$J$342,0))="","",INDEX(PARAMETRES!$H$43:$H$342,MATCH($L1572&amp;"|"&amp;$M1572&amp;"|"&amp;$N1572&amp;"|"&amp;$O1572&amp;"|"&amp;$P1572&amp;"|"&amp;$Q1572&amp;"|"&amp;$K1572,PARAMETRES!$J$43:$J$342,0))),""))</f>
        <v/>
      </c>
      <c r="S1572" s="35">
        <f>IF(OR($G1572="",$X1572&lt;&gt;"VALIDE"),"",IFERROR(LOOKUP(2,1/(($B672:$B1571=$B1572)*($G672:$G1571=$G1572)*($X672:$X1571="VALIDE")),$C672:$C1571),""))</f>
        <v/>
      </c>
      <c r="T1572" s="36">
        <f>IF(OR($C1572="",$S1572=""),"",ROUND(($C1572-$S1572+IF($C1572&lt;$S1572,1,0))*1440,0))</f>
        <v/>
      </c>
      <c r="U1572" s="22">
        <f>IF(OR($H1572="",$T1572="",$T1572&lt;=0),"",$H1572*60/$T1572)</f>
        <v/>
      </c>
      <c r="V1572" s="37">
        <f>IF(OR($U1572="",$R1572="",$R1572=0),"",$U1572/$R1572)</f>
        <v/>
      </c>
      <c r="W1572" s="20">
        <f>IF($G1572="","",IF($X1572="CONTEXTE INCOMPLET","CONTEXTE INCOMPLET",IF($X1572="DOUBLON",StatutDoublon,IF($S1572="",StatutInitial,IF($R1572="",StatutStandardManquant,IF($V1572="","DONNEES INSUFFISANTES",IF($V1572&gt;=SeuilConforme,StatutConforme,IF($V1572&gt;=SeuilSurveiller,StatutSurveiller,StatutSousStandard))))))))</f>
        <v/>
      </c>
      <c r="X1572" s="33">
        <f>IF($G1572="","",IF(OR($D1572="",$E1572="",$F1572=""),"CONTEXTE INCOMPLET",IF(COUNTIFS($D672:$D1571,$D1572,$E672:$E1571,$E1572,$F672:$F1571,$F1572,$G672:$G1571,$G1572)&gt;0,"DOUBLON","VALIDE")))</f>
        <v/>
      </c>
    </row>
    <row r="1573" ht="15" customHeight="1">
      <c r="A1573" s="12">
        <f>IF(OR($B1573="",$G1573=""),"",TEXT($B1573,"YYYYMMDD")&amp;"-"&amp;SUBSTITUTE($E1573," ","")&amp;"-"&amp;$F1573&amp;"-"&amp;$G1573)</f>
        <v/>
      </c>
      <c r="B1573" s="15" t="n"/>
      <c r="C1573" s="16" t="n"/>
      <c r="D1573" s="10" t="n"/>
      <c r="E1573" s="9" t="n"/>
      <c r="F1573" s="9" t="n"/>
      <c r="G1573" s="13" t="n"/>
      <c r="H1573" s="21" t="n"/>
      <c r="I1573" s="21" t="n"/>
      <c r="J1573" s="17">
        <f>IF($G1573="","",IFERROR(INDEX(NomsEmployes,MATCH($G1573,MatriculesEmployes,0)),"MATRICULE INCONNU"))</f>
        <v/>
      </c>
      <c r="K1573" s="33">
        <f>IF(OR($D1573="",$F1573=""),"",IFERROR(IF(INDEX(RUNS!$L$6:$S$1005,MATCH($D1573,RUNS!$A$6:$A$1005,0),MATCH("ACTIVITÉ "&amp;$F1573,RUNS!$L$5:$S$5,0))="","",INDEX(RUNS!$L$6:$S$1005,MATCH($D1573,RUNS!$A$6:$A$1005,0),MATCH("ACTIVITÉ "&amp;$F1573,RUNS!$L$5:$S$5,0))),""))</f>
        <v/>
      </c>
      <c r="L1573" s="33">
        <f>IF($D1573="","",IFERROR(IF(INDEX(RUNS!$E$6:$E$1005,MATCH($D1573,RUNS!$A$6:$A$1005,0))="","",INDEX(RUNS!$E$6:$E$1005,MATCH($D1573,RUNS!$A$6:$A$1005,0))),""))</f>
        <v/>
      </c>
      <c r="M1573" s="33">
        <f>IF($D1573="","",IFERROR(IF(INDEX(RUNS!$F$6:$F$1005,MATCH($D1573,RUNS!$A$6:$A$1005,0))="","",INDEX(RUNS!$F$6:$F$1005,MATCH($D1573,RUNS!$A$6:$A$1005,0))),""))</f>
        <v/>
      </c>
      <c r="N1573" s="33">
        <f>IF($D1573="","",IFERROR(IF(INDEX(RUNS!$G$6:$G$1005,MATCH($D1573,RUNS!$A$6:$A$1005,0))="","",INDEX(RUNS!$G$6:$G$1005,MATCH($D1573,RUNS!$A$6:$A$1005,0))),""))</f>
        <v/>
      </c>
      <c r="O1573" s="33">
        <f>IF($D1573="","",IFERROR(IF(INDEX(RUNS!$H$6:$H$1005,MATCH($D1573,RUNS!$A$6:$A$1005,0))="","",INDEX(RUNS!$H$6:$H$1005,MATCH($D1573,RUNS!$A$6:$A$1005,0))),""))</f>
        <v/>
      </c>
      <c r="P1573" s="33">
        <f>IF($D1573="","",IFERROR(IF(INDEX(RUNS!$J$6:$J$1005,MATCH($D1573,RUNS!$A$6:$A$1005,0))="","",INDEX(RUNS!$J$6:$J$1005,MATCH($D1573,RUNS!$A$6:$A$1005,0))),""))</f>
        <v/>
      </c>
      <c r="Q1573" s="33">
        <f>IF($D1573="","",IFERROR(IF(INDEX(RUNS!$K$6:$K$1005,MATCH($D1573,RUNS!$A$6:$A$1005,0))="","",INDEX(RUNS!$K$6:$K$1005,MATCH($D1573,RUNS!$A$6:$A$1005,0))),""))</f>
        <v/>
      </c>
      <c r="R1573" s="34">
        <f>IF(OR($L1573="",$K1573=""),"",IFERROR(IF(INDEX(PARAMETRES!$H$43:$H$342,MATCH($L1573&amp;"|"&amp;$M1573&amp;"|"&amp;$N1573&amp;"|"&amp;$O1573&amp;"|"&amp;$P1573&amp;"|"&amp;$Q1573&amp;"|"&amp;$K1573,PARAMETRES!$J$43:$J$342,0))="","",INDEX(PARAMETRES!$H$43:$H$342,MATCH($L1573&amp;"|"&amp;$M1573&amp;"|"&amp;$N1573&amp;"|"&amp;$O1573&amp;"|"&amp;$P1573&amp;"|"&amp;$Q1573&amp;"|"&amp;$K1573,PARAMETRES!$J$43:$J$342,0))),""))</f>
        <v/>
      </c>
      <c r="S1573" s="35">
        <f>IF(OR($G1573="",$X1573&lt;&gt;"VALIDE"),"",IFERROR(LOOKUP(2,1/(($B673:$B1572=$B1573)*($G673:$G1572=$G1573)*($X673:$X1572="VALIDE")),$C673:$C1572),""))</f>
        <v/>
      </c>
      <c r="T1573" s="36">
        <f>IF(OR($C1573="",$S1573=""),"",ROUND(($C1573-$S1573+IF($C1573&lt;$S1573,1,0))*1440,0))</f>
        <v/>
      </c>
      <c r="U1573" s="22">
        <f>IF(OR($H1573="",$T1573="",$T1573&lt;=0),"",$H1573*60/$T1573)</f>
        <v/>
      </c>
      <c r="V1573" s="37">
        <f>IF(OR($U1573="",$R1573="",$R1573=0),"",$U1573/$R1573)</f>
        <v/>
      </c>
      <c r="W1573" s="20">
        <f>IF($G1573="","",IF($X1573="CONTEXTE INCOMPLET","CONTEXTE INCOMPLET",IF($X1573="DOUBLON",StatutDoublon,IF($S1573="",StatutInitial,IF($R1573="",StatutStandardManquant,IF($V1573="","DONNEES INSUFFISANTES",IF($V1573&gt;=SeuilConforme,StatutConforme,IF($V1573&gt;=SeuilSurveiller,StatutSurveiller,StatutSousStandard))))))))</f>
        <v/>
      </c>
      <c r="X1573" s="33">
        <f>IF($G1573="","",IF(OR($D1573="",$E1573="",$F1573=""),"CONTEXTE INCOMPLET",IF(COUNTIFS($D673:$D1572,$D1573,$E673:$E1572,$E1573,$F673:$F1572,$F1573,$G673:$G1572,$G1573)&gt;0,"DOUBLON","VALIDE")))</f>
        <v/>
      </c>
    </row>
    <row r="1574" ht="15" customHeight="1">
      <c r="A1574" s="12">
        <f>IF(OR($B1574="",$G1574=""),"",TEXT($B1574,"YYYYMMDD")&amp;"-"&amp;SUBSTITUTE($E1574," ","")&amp;"-"&amp;$F1574&amp;"-"&amp;$G1574)</f>
        <v/>
      </c>
      <c r="B1574" s="15" t="n"/>
      <c r="C1574" s="16" t="n"/>
      <c r="D1574" s="10" t="n"/>
      <c r="E1574" s="9" t="n"/>
      <c r="F1574" s="9" t="n"/>
      <c r="G1574" s="13" t="n"/>
      <c r="H1574" s="21" t="n"/>
      <c r="I1574" s="21" t="n"/>
      <c r="J1574" s="17">
        <f>IF($G1574="","",IFERROR(INDEX(NomsEmployes,MATCH($G1574,MatriculesEmployes,0)),"MATRICULE INCONNU"))</f>
        <v/>
      </c>
      <c r="K1574" s="33">
        <f>IF(OR($D1574="",$F1574=""),"",IFERROR(IF(INDEX(RUNS!$L$6:$S$1005,MATCH($D1574,RUNS!$A$6:$A$1005,0),MATCH("ACTIVITÉ "&amp;$F1574,RUNS!$L$5:$S$5,0))="","",INDEX(RUNS!$L$6:$S$1005,MATCH($D1574,RUNS!$A$6:$A$1005,0),MATCH("ACTIVITÉ "&amp;$F1574,RUNS!$L$5:$S$5,0))),""))</f>
        <v/>
      </c>
      <c r="L1574" s="33">
        <f>IF($D1574="","",IFERROR(IF(INDEX(RUNS!$E$6:$E$1005,MATCH($D1574,RUNS!$A$6:$A$1005,0))="","",INDEX(RUNS!$E$6:$E$1005,MATCH($D1574,RUNS!$A$6:$A$1005,0))),""))</f>
        <v/>
      </c>
      <c r="M1574" s="33">
        <f>IF($D1574="","",IFERROR(IF(INDEX(RUNS!$F$6:$F$1005,MATCH($D1574,RUNS!$A$6:$A$1005,0))="","",INDEX(RUNS!$F$6:$F$1005,MATCH($D1574,RUNS!$A$6:$A$1005,0))),""))</f>
        <v/>
      </c>
      <c r="N1574" s="33">
        <f>IF($D1574="","",IFERROR(IF(INDEX(RUNS!$G$6:$G$1005,MATCH($D1574,RUNS!$A$6:$A$1005,0))="","",INDEX(RUNS!$G$6:$G$1005,MATCH($D1574,RUNS!$A$6:$A$1005,0))),""))</f>
        <v/>
      </c>
      <c r="O1574" s="33">
        <f>IF($D1574="","",IFERROR(IF(INDEX(RUNS!$H$6:$H$1005,MATCH($D1574,RUNS!$A$6:$A$1005,0))="","",INDEX(RUNS!$H$6:$H$1005,MATCH($D1574,RUNS!$A$6:$A$1005,0))),""))</f>
        <v/>
      </c>
      <c r="P1574" s="33">
        <f>IF($D1574="","",IFERROR(IF(INDEX(RUNS!$J$6:$J$1005,MATCH($D1574,RUNS!$A$6:$A$1005,0))="","",INDEX(RUNS!$J$6:$J$1005,MATCH($D1574,RUNS!$A$6:$A$1005,0))),""))</f>
        <v/>
      </c>
      <c r="Q1574" s="33">
        <f>IF($D1574="","",IFERROR(IF(INDEX(RUNS!$K$6:$K$1005,MATCH($D1574,RUNS!$A$6:$A$1005,0))="","",INDEX(RUNS!$K$6:$K$1005,MATCH($D1574,RUNS!$A$6:$A$1005,0))),""))</f>
        <v/>
      </c>
      <c r="R1574" s="34">
        <f>IF(OR($L1574="",$K1574=""),"",IFERROR(IF(INDEX(PARAMETRES!$H$43:$H$342,MATCH($L1574&amp;"|"&amp;$M1574&amp;"|"&amp;$N1574&amp;"|"&amp;$O1574&amp;"|"&amp;$P1574&amp;"|"&amp;$Q1574&amp;"|"&amp;$K1574,PARAMETRES!$J$43:$J$342,0))="","",INDEX(PARAMETRES!$H$43:$H$342,MATCH($L1574&amp;"|"&amp;$M1574&amp;"|"&amp;$N1574&amp;"|"&amp;$O1574&amp;"|"&amp;$P1574&amp;"|"&amp;$Q1574&amp;"|"&amp;$K1574,PARAMETRES!$J$43:$J$342,0))),""))</f>
        <v/>
      </c>
      <c r="S1574" s="35">
        <f>IF(OR($G1574="",$X1574&lt;&gt;"VALIDE"),"",IFERROR(LOOKUP(2,1/(($B674:$B1573=$B1574)*($G674:$G1573=$G1574)*($X674:$X1573="VALIDE")),$C674:$C1573),""))</f>
        <v/>
      </c>
      <c r="T1574" s="36">
        <f>IF(OR($C1574="",$S1574=""),"",ROUND(($C1574-$S1574+IF($C1574&lt;$S1574,1,0))*1440,0))</f>
        <v/>
      </c>
      <c r="U1574" s="22">
        <f>IF(OR($H1574="",$T1574="",$T1574&lt;=0),"",$H1574*60/$T1574)</f>
        <v/>
      </c>
      <c r="V1574" s="37">
        <f>IF(OR($U1574="",$R1574="",$R1574=0),"",$U1574/$R1574)</f>
        <v/>
      </c>
      <c r="W1574" s="20">
        <f>IF($G1574="","",IF($X1574="CONTEXTE INCOMPLET","CONTEXTE INCOMPLET",IF($X1574="DOUBLON",StatutDoublon,IF($S1574="",StatutInitial,IF($R1574="",StatutStandardManquant,IF($V1574="","DONNEES INSUFFISANTES",IF($V1574&gt;=SeuilConforme,StatutConforme,IF($V1574&gt;=SeuilSurveiller,StatutSurveiller,StatutSousStandard))))))))</f>
        <v/>
      </c>
      <c r="X1574" s="33">
        <f>IF($G1574="","",IF(OR($D1574="",$E1574="",$F1574=""),"CONTEXTE INCOMPLET",IF(COUNTIFS($D674:$D1573,$D1574,$E674:$E1573,$E1574,$F674:$F1573,$F1574,$G674:$G1573,$G1574)&gt;0,"DOUBLON","VALIDE")))</f>
        <v/>
      </c>
    </row>
    <row r="1575" ht="15" customHeight="1">
      <c r="A1575" s="12">
        <f>IF(OR($B1575="",$G1575=""),"",TEXT($B1575,"YYYYMMDD")&amp;"-"&amp;SUBSTITUTE($E1575," ","")&amp;"-"&amp;$F1575&amp;"-"&amp;$G1575)</f>
        <v/>
      </c>
      <c r="B1575" s="15" t="n"/>
      <c r="C1575" s="16" t="n"/>
      <c r="D1575" s="10" t="n"/>
      <c r="E1575" s="9" t="n"/>
      <c r="F1575" s="9" t="n"/>
      <c r="G1575" s="13" t="n"/>
      <c r="H1575" s="21" t="n"/>
      <c r="I1575" s="21" t="n"/>
      <c r="J1575" s="17">
        <f>IF($G1575="","",IFERROR(INDEX(NomsEmployes,MATCH($G1575,MatriculesEmployes,0)),"MATRICULE INCONNU"))</f>
        <v/>
      </c>
      <c r="K1575" s="33">
        <f>IF(OR($D1575="",$F1575=""),"",IFERROR(IF(INDEX(RUNS!$L$6:$S$1005,MATCH($D1575,RUNS!$A$6:$A$1005,0),MATCH("ACTIVITÉ "&amp;$F1575,RUNS!$L$5:$S$5,0))="","",INDEX(RUNS!$L$6:$S$1005,MATCH($D1575,RUNS!$A$6:$A$1005,0),MATCH("ACTIVITÉ "&amp;$F1575,RUNS!$L$5:$S$5,0))),""))</f>
        <v/>
      </c>
      <c r="L1575" s="33">
        <f>IF($D1575="","",IFERROR(IF(INDEX(RUNS!$E$6:$E$1005,MATCH($D1575,RUNS!$A$6:$A$1005,0))="","",INDEX(RUNS!$E$6:$E$1005,MATCH($D1575,RUNS!$A$6:$A$1005,0))),""))</f>
        <v/>
      </c>
      <c r="M1575" s="33">
        <f>IF($D1575="","",IFERROR(IF(INDEX(RUNS!$F$6:$F$1005,MATCH($D1575,RUNS!$A$6:$A$1005,0))="","",INDEX(RUNS!$F$6:$F$1005,MATCH($D1575,RUNS!$A$6:$A$1005,0))),""))</f>
        <v/>
      </c>
      <c r="N1575" s="33">
        <f>IF($D1575="","",IFERROR(IF(INDEX(RUNS!$G$6:$G$1005,MATCH($D1575,RUNS!$A$6:$A$1005,0))="","",INDEX(RUNS!$G$6:$G$1005,MATCH($D1575,RUNS!$A$6:$A$1005,0))),""))</f>
        <v/>
      </c>
      <c r="O1575" s="33">
        <f>IF($D1575="","",IFERROR(IF(INDEX(RUNS!$H$6:$H$1005,MATCH($D1575,RUNS!$A$6:$A$1005,0))="","",INDEX(RUNS!$H$6:$H$1005,MATCH($D1575,RUNS!$A$6:$A$1005,0))),""))</f>
        <v/>
      </c>
      <c r="P1575" s="33">
        <f>IF($D1575="","",IFERROR(IF(INDEX(RUNS!$J$6:$J$1005,MATCH($D1575,RUNS!$A$6:$A$1005,0))="","",INDEX(RUNS!$J$6:$J$1005,MATCH($D1575,RUNS!$A$6:$A$1005,0))),""))</f>
        <v/>
      </c>
      <c r="Q1575" s="33">
        <f>IF($D1575="","",IFERROR(IF(INDEX(RUNS!$K$6:$K$1005,MATCH($D1575,RUNS!$A$6:$A$1005,0))="","",INDEX(RUNS!$K$6:$K$1005,MATCH($D1575,RUNS!$A$6:$A$1005,0))),""))</f>
        <v/>
      </c>
      <c r="R1575" s="34">
        <f>IF(OR($L1575="",$K1575=""),"",IFERROR(IF(INDEX(PARAMETRES!$H$43:$H$342,MATCH($L1575&amp;"|"&amp;$M1575&amp;"|"&amp;$N1575&amp;"|"&amp;$O1575&amp;"|"&amp;$P1575&amp;"|"&amp;$Q1575&amp;"|"&amp;$K1575,PARAMETRES!$J$43:$J$342,0))="","",INDEX(PARAMETRES!$H$43:$H$342,MATCH($L1575&amp;"|"&amp;$M1575&amp;"|"&amp;$N1575&amp;"|"&amp;$O1575&amp;"|"&amp;$P1575&amp;"|"&amp;$Q1575&amp;"|"&amp;$K1575,PARAMETRES!$J$43:$J$342,0))),""))</f>
        <v/>
      </c>
      <c r="S1575" s="35">
        <f>IF(OR($G1575="",$X1575&lt;&gt;"VALIDE"),"",IFERROR(LOOKUP(2,1/(($B675:$B1574=$B1575)*($G675:$G1574=$G1575)*($X675:$X1574="VALIDE")),$C675:$C1574),""))</f>
        <v/>
      </c>
      <c r="T1575" s="36">
        <f>IF(OR($C1575="",$S1575=""),"",ROUND(($C1575-$S1575+IF($C1575&lt;$S1575,1,0))*1440,0))</f>
        <v/>
      </c>
      <c r="U1575" s="22">
        <f>IF(OR($H1575="",$T1575="",$T1575&lt;=0),"",$H1575*60/$T1575)</f>
        <v/>
      </c>
      <c r="V1575" s="37">
        <f>IF(OR($U1575="",$R1575="",$R1575=0),"",$U1575/$R1575)</f>
        <v/>
      </c>
      <c r="W1575" s="20">
        <f>IF($G1575="","",IF($X1575="CONTEXTE INCOMPLET","CONTEXTE INCOMPLET",IF($X1575="DOUBLON",StatutDoublon,IF($S1575="",StatutInitial,IF($R1575="",StatutStandardManquant,IF($V1575="","DONNEES INSUFFISANTES",IF($V1575&gt;=SeuilConforme,StatutConforme,IF($V1575&gt;=SeuilSurveiller,StatutSurveiller,StatutSousStandard))))))))</f>
        <v/>
      </c>
      <c r="X1575" s="33">
        <f>IF($G1575="","",IF(OR($D1575="",$E1575="",$F1575=""),"CONTEXTE INCOMPLET",IF(COUNTIFS($D675:$D1574,$D1575,$E675:$E1574,$E1575,$F675:$F1574,$F1575,$G675:$G1574,$G1575)&gt;0,"DOUBLON","VALIDE")))</f>
        <v/>
      </c>
    </row>
    <row r="1576" ht="15" customHeight="1">
      <c r="A1576" s="12">
        <f>IF(OR($B1576="",$G1576=""),"",TEXT($B1576,"YYYYMMDD")&amp;"-"&amp;SUBSTITUTE($E1576," ","")&amp;"-"&amp;$F1576&amp;"-"&amp;$G1576)</f>
        <v/>
      </c>
      <c r="B1576" s="15" t="n"/>
      <c r="C1576" s="16" t="n"/>
      <c r="D1576" s="10" t="n"/>
      <c r="E1576" s="9" t="n"/>
      <c r="F1576" s="9" t="n"/>
      <c r="G1576" s="13" t="n"/>
      <c r="H1576" s="21" t="n"/>
      <c r="I1576" s="21" t="n"/>
      <c r="J1576" s="17">
        <f>IF($G1576="","",IFERROR(INDEX(NomsEmployes,MATCH($G1576,MatriculesEmployes,0)),"MATRICULE INCONNU"))</f>
        <v/>
      </c>
      <c r="K1576" s="33">
        <f>IF(OR($D1576="",$F1576=""),"",IFERROR(IF(INDEX(RUNS!$L$6:$S$1005,MATCH($D1576,RUNS!$A$6:$A$1005,0),MATCH("ACTIVITÉ "&amp;$F1576,RUNS!$L$5:$S$5,0))="","",INDEX(RUNS!$L$6:$S$1005,MATCH($D1576,RUNS!$A$6:$A$1005,0),MATCH("ACTIVITÉ "&amp;$F1576,RUNS!$L$5:$S$5,0))),""))</f>
        <v/>
      </c>
      <c r="L1576" s="33">
        <f>IF($D1576="","",IFERROR(IF(INDEX(RUNS!$E$6:$E$1005,MATCH($D1576,RUNS!$A$6:$A$1005,0))="","",INDEX(RUNS!$E$6:$E$1005,MATCH($D1576,RUNS!$A$6:$A$1005,0))),""))</f>
        <v/>
      </c>
      <c r="M1576" s="33">
        <f>IF($D1576="","",IFERROR(IF(INDEX(RUNS!$F$6:$F$1005,MATCH($D1576,RUNS!$A$6:$A$1005,0))="","",INDEX(RUNS!$F$6:$F$1005,MATCH($D1576,RUNS!$A$6:$A$1005,0))),""))</f>
        <v/>
      </c>
      <c r="N1576" s="33">
        <f>IF($D1576="","",IFERROR(IF(INDEX(RUNS!$G$6:$G$1005,MATCH($D1576,RUNS!$A$6:$A$1005,0))="","",INDEX(RUNS!$G$6:$G$1005,MATCH($D1576,RUNS!$A$6:$A$1005,0))),""))</f>
        <v/>
      </c>
      <c r="O1576" s="33">
        <f>IF($D1576="","",IFERROR(IF(INDEX(RUNS!$H$6:$H$1005,MATCH($D1576,RUNS!$A$6:$A$1005,0))="","",INDEX(RUNS!$H$6:$H$1005,MATCH($D1576,RUNS!$A$6:$A$1005,0))),""))</f>
        <v/>
      </c>
      <c r="P1576" s="33">
        <f>IF($D1576="","",IFERROR(IF(INDEX(RUNS!$J$6:$J$1005,MATCH($D1576,RUNS!$A$6:$A$1005,0))="","",INDEX(RUNS!$J$6:$J$1005,MATCH($D1576,RUNS!$A$6:$A$1005,0))),""))</f>
        <v/>
      </c>
      <c r="Q1576" s="33">
        <f>IF($D1576="","",IFERROR(IF(INDEX(RUNS!$K$6:$K$1005,MATCH($D1576,RUNS!$A$6:$A$1005,0))="","",INDEX(RUNS!$K$6:$K$1005,MATCH($D1576,RUNS!$A$6:$A$1005,0))),""))</f>
        <v/>
      </c>
      <c r="R1576" s="34">
        <f>IF(OR($L1576="",$K1576=""),"",IFERROR(IF(INDEX(PARAMETRES!$H$43:$H$342,MATCH($L1576&amp;"|"&amp;$M1576&amp;"|"&amp;$N1576&amp;"|"&amp;$O1576&amp;"|"&amp;$P1576&amp;"|"&amp;$Q1576&amp;"|"&amp;$K1576,PARAMETRES!$J$43:$J$342,0))="","",INDEX(PARAMETRES!$H$43:$H$342,MATCH($L1576&amp;"|"&amp;$M1576&amp;"|"&amp;$N1576&amp;"|"&amp;$O1576&amp;"|"&amp;$P1576&amp;"|"&amp;$Q1576&amp;"|"&amp;$K1576,PARAMETRES!$J$43:$J$342,0))),""))</f>
        <v/>
      </c>
      <c r="S1576" s="35">
        <f>IF(OR($G1576="",$X1576&lt;&gt;"VALIDE"),"",IFERROR(LOOKUP(2,1/(($B676:$B1575=$B1576)*($G676:$G1575=$G1576)*($X676:$X1575="VALIDE")),$C676:$C1575),""))</f>
        <v/>
      </c>
      <c r="T1576" s="36">
        <f>IF(OR($C1576="",$S1576=""),"",ROUND(($C1576-$S1576+IF($C1576&lt;$S1576,1,0))*1440,0))</f>
        <v/>
      </c>
      <c r="U1576" s="22">
        <f>IF(OR($H1576="",$T1576="",$T1576&lt;=0),"",$H1576*60/$T1576)</f>
        <v/>
      </c>
      <c r="V1576" s="37">
        <f>IF(OR($U1576="",$R1576="",$R1576=0),"",$U1576/$R1576)</f>
        <v/>
      </c>
      <c r="W1576" s="20">
        <f>IF($G1576="","",IF($X1576="CONTEXTE INCOMPLET","CONTEXTE INCOMPLET",IF($X1576="DOUBLON",StatutDoublon,IF($S1576="",StatutInitial,IF($R1576="",StatutStandardManquant,IF($V1576="","DONNEES INSUFFISANTES",IF($V1576&gt;=SeuilConforme,StatutConforme,IF($V1576&gt;=SeuilSurveiller,StatutSurveiller,StatutSousStandard))))))))</f>
        <v/>
      </c>
      <c r="X1576" s="33">
        <f>IF($G1576="","",IF(OR($D1576="",$E1576="",$F1576=""),"CONTEXTE INCOMPLET",IF(COUNTIFS($D676:$D1575,$D1576,$E676:$E1575,$E1576,$F676:$F1575,$F1576,$G676:$G1575,$G1576)&gt;0,"DOUBLON","VALIDE")))</f>
        <v/>
      </c>
    </row>
    <row r="1577" ht="15" customHeight="1">
      <c r="A1577" s="12">
        <f>IF(OR($B1577="",$G1577=""),"",TEXT($B1577,"YYYYMMDD")&amp;"-"&amp;SUBSTITUTE($E1577," ","")&amp;"-"&amp;$F1577&amp;"-"&amp;$G1577)</f>
        <v/>
      </c>
      <c r="B1577" s="15" t="n"/>
      <c r="C1577" s="16" t="n"/>
      <c r="D1577" s="10" t="n"/>
      <c r="E1577" s="9" t="n"/>
      <c r="F1577" s="9" t="n"/>
      <c r="G1577" s="13" t="n"/>
      <c r="H1577" s="21" t="n"/>
      <c r="I1577" s="21" t="n"/>
      <c r="J1577" s="17">
        <f>IF($G1577="","",IFERROR(INDEX(NomsEmployes,MATCH($G1577,MatriculesEmployes,0)),"MATRICULE INCONNU"))</f>
        <v/>
      </c>
      <c r="K1577" s="33">
        <f>IF(OR($D1577="",$F1577=""),"",IFERROR(IF(INDEX(RUNS!$L$6:$S$1005,MATCH($D1577,RUNS!$A$6:$A$1005,0),MATCH("ACTIVITÉ "&amp;$F1577,RUNS!$L$5:$S$5,0))="","",INDEX(RUNS!$L$6:$S$1005,MATCH($D1577,RUNS!$A$6:$A$1005,0),MATCH("ACTIVITÉ "&amp;$F1577,RUNS!$L$5:$S$5,0))),""))</f>
        <v/>
      </c>
      <c r="L1577" s="33">
        <f>IF($D1577="","",IFERROR(IF(INDEX(RUNS!$E$6:$E$1005,MATCH($D1577,RUNS!$A$6:$A$1005,0))="","",INDEX(RUNS!$E$6:$E$1005,MATCH($D1577,RUNS!$A$6:$A$1005,0))),""))</f>
        <v/>
      </c>
      <c r="M1577" s="33">
        <f>IF($D1577="","",IFERROR(IF(INDEX(RUNS!$F$6:$F$1005,MATCH($D1577,RUNS!$A$6:$A$1005,0))="","",INDEX(RUNS!$F$6:$F$1005,MATCH($D1577,RUNS!$A$6:$A$1005,0))),""))</f>
        <v/>
      </c>
      <c r="N1577" s="33">
        <f>IF($D1577="","",IFERROR(IF(INDEX(RUNS!$G$6:$G$1005,MATCH($D1577,RUNS!$A$6:$A$1005,0))="","",INDEX(RUNS!$G$6:$G$1005,MATCH($D1577,RUNS!$A$6:$A$1005,0))),""))</f>
        <v/>
      </c>
      <c r="O1577" s="33">
        <f>IF($D1577="","",IFERROR(IF(INDEX(RUNS!$H$6:$H$1005,MATCH($D1577,RUNS!$A$6:$A$1005,0))="","",INDEX(RUNS!$H$6:$H$1005,MATCH($D1577,RUNS!$A$6:$A$1005,0))),""))</f>
        <v/>
      </c>
      <c r="P1577" s="33">
        <f>IF($D1577="","",IFERROR(IF(INDEX(RUNS!$J$6:$J$1005,MATCH($D1577,RUNS!$A$6:$A$1005,0))="","",INDEX(RUNS!$J$6:$J$1005,MATCH($D1577,RUNS!$A$6:$A$1005,0))),""))</f>
        <v/>
      </c>
      <c r="Q1577" s="33">
        <f>IF($D1577="","",IFERROR(IF(INDEX(RUNS!$K$6:$K$1005,MATCH($D1577,RUNS!$A$6:$A$1005,0))="","",INDEX(RUNS!$K$6:$K$1005,MATCH($D1577,RUNS!$A$6:$A$1005,0))),""))</f>
        <v/>
      </c>
      <c r="R1577" s="34">
        <f>IF(OR($L1577="",$K1577=""),"",IFERROR(IF(INDEX(PARAMETRES!$H$43:$H$342,MATCH($L1577&amp;"|"&amp;$M1577&amp;"|"&amp;$N1577&amp;"|"&amp;$O1577&amp;"|"&amp;$P1577&amp;"|"&amp;$Q1577&amp;"|"&amp;$K1577,PARAMETRES!$J$43:$J$342,0))="","",INDEX(PARAMETRES!$H$43:$H$342,MATCH($L1577&amp;"|"&amp;$M1577&amp;"|"&amp;$N1577&amp;"|"&amp;$O1577&amp;"|"&amp;$P1577&amp;"|"&amp;$Q1577&amp;"|"&amp;$K1577,PARAMETRES!$J$43:$J$342,0))),""))</f>
        <v/>
      </c>
      <c r="S1577" s="35">
        <f>IF(OR($G1577="",$X1577&lt;&gt;"VALIDE"),"",IFERROR(LOOKUP(2,1/(($B677:$B1576=$B1577)*($G677:$G1576=$G1577)*($X677:$X1576="VALIDE")),$C677:$C1576),""))</f>
        <v/>
      </c>
      <c r="T1577" s="36">
        <f>IF(OR($C1577="",$S1577=""),"",ROUND(($C1577-$S1577+IF($C1577&lt;$S1577,1,0))*1440,0))</f>
        <v/>
      </c>
      <c r="U1577" s="22">
        <f>IF(OR($H1577="",$T1577="",$T1577&lt;=0),"",$H1577*60/$T1577)</f>
        <v/>
      </c>
      <c r="V1577" s="37">
        <f>IF(OR($U1577="",$R1577="",$R1577=0),"",$U1577/$R1577)</f>
        <v/>
      </c>
      <c r="W1577" s="20">
        <f>IF($G1577="","",IF($X1577="CONTEXTE INCOMPLET","CONTEXTE INCOMPLET",IF($X1577="DOUBLON",StatutDoublon,IF($S1577="",StatutInitial,IF($R1577="",StatutStandardManquant,IF($V1577="","DONNEES INSUFFISANTES",IF($V1577&gt;=SeuilConforme,StatutConforme,IF($V1577&gt;=SeuilSurveiller,StatutSurveiller,StatutSousStandard))))))))</f>
        <v/>
      </c>
      <c r="X1577" s="33">
        <f>IF($G1577="","",IF(OR($D1577="",$E1577="",$F1577=""),"CONTEXTE INCOMPLET",IF(COUNTIFS($D677:$D1576,$D1577,$E677:$E1576,$E1577,$F677:$F1576,$F1577,$G677:$G1576,$G1577)&gt;0,"DOUBLON","VALIDE")))</f>
        <v/>
      </c>
    </row>
    <row r="1578" ht="15" customHeight="1">
      <c r="A1578" s="12">
        <f>IF(OR($B1578="",$G1578=""),"",TEXT($B1578,"YYYYMMDD")&amp;"-"&amp;SUBSTITUTE($E1578," ","")&amp;"-"&amp;$F1578&amp;"-"&amp;$G1578)</f>
        <v/>
      </c>
      <c r="B1578" s="15" t="n"/>
      <c r="C1578" s="16" t="n"/>
      <c r="D1578" s="10" t="n"/>
      <c r="E1578" s="9" t="n"/>
      <c r="F1578" s="9" t="n"/>
      <c r="G1578" s="13" t="n"/>
      <c r="H1578" s="21" t="n"/>
      <c r="I1578" s="21" t="n"/>
      <c r="J1578" s="17">
        <f>IF($G1578="","",IFERROR(INDEX(NomsEmployes,MATCH($G1578,MatriculesEmployes,0)),"MATRICULE INCONNU"))</f>
        <v/>
      </c>
      <c r="K1578" s="33">
        <f>IF(OR($D1578="",$F1578=""),"",IFERROR(IF(INDEX(RUNS!$L$6:$S$1005,MATCH($D1578,RUNS!$A$6:$A$1005,0),MATCH("ACTIVITÉ "&amp;$F1578,RUNS!$L$5:$S$5,0))="","",INDEX(RUNS!$L$6:$S$1005,MATCH($D1578,RUNS!$A$6:$A$1005,0),MATCH("ACTIVITÉ "&amp;$F1578,RUNS!$L$5:$S$5,0))),""))</f>
        <v/>
      </c>
      <c r="L1578" s="33">
        <f>IF($D1578="","",IFERROR(IF(INDEX(RUNS!$E$6:$E$1005,MATCH($D1578,RUNS!$A$6:$A$1005,0))="","",INDEX(RUNS!$E$6:$E$1005,MATCH($D1578,RUNS!$A$6:$A$1005,0))),""))</f>
        <v/>
      </c>
      <c r="M1578" s="33">
        <f>IF($D1578="","",IFERROR(IF(INDEX(RUNS!$F$6:$F$1005,MATCH($D1578,RUNS!$A$6:$A$1005,0))="","",INDEX(RUNS!$F$6:$F$1005,MATCH($D1578,RUNS!$A$6:$A$1005,0))),""))</f>
        <v/>
      </c>
      <c r="N1578" s="33">
        <f>IF($D1578="","",IFERROR(IF(INDEX(RUNS!$G$6:$G$1005,MATCH($D1578,RUNS!$A$6:$A$1005,0))="","",INDEX(RUNS!$G$6:$G$1005,MATCH($D1578,RUNS!$A$6:$A$1005,0))),""))</f>
        <v/>
      </c>
      <c r="O1578" s="33">
        <f>IF($D1578="","",IFERROR(IF(INDEX(RUNS!$H$6:$H$1005,MATCH($D1578,RUNS!$A$6:$A$1005,0))="","",INDEX(RUNS!$H$6:$H$1005,MATCH($D1578,RUNS!$A$6:$A$1005,0))),""))</f>
        <v/>
      </c>
      <c r="P1578" s="33">
        <f>IF($D1578="","",IFERROR(IF(INDEX(RUNS!$J$6:$J$1005,MATCH($D1578,RUNS!$A$6:$A$1005,0))="","",INDEX(RUNS!$J$6:$J$1005,MATCH($D1578,RUNS!$A$6:$A$1005,0))),""))</f>
        <v/>
      </c>
      <c r="Q1578" s="33">
        <f>IF($D1578="","",IFERROR(IF(INDEX(RUNS!$K$6:$K$1005,MATCH($D1578,RUNS!$A$6:$A$1005,0))="","",INDEX(RUNS!$K$6:$K$1005,MATCH($D1578,RUNS!$A$6:$A$1005,0))),""))</f>
        <v/>
      </c>
      <c r="R1578" s="34">
        <f>IF(OR($L1578="",$K1578=""),"",IFERROR(IF(INDEX(PARAMETRES!$H$43:$H$342,MATCH($L1578&amp;"|"&amp;$M1578&amp;"|"&amp;$N1578&amp;"|"&amp;$O1578&amp;"|"&amp;$P1578&amp;"|"&amp;$Q1578&amp;"|"&amp;$K1578,PARAMETRES!$J$43:$J$342,0))="","",INDEX(PARAMETRES!$H$43:$H$342,MATCH($L1578&amp;"|"&amp;$M1578&amp;"|"&amp;$N1578&amp;"|"&amp;$O1578&amp;"|"&amp;$P1578&amp;"|"&amp;$Q1578&amp;"|"&amp;$K1578,PARAMETRES!$J$43:$J$342,0))),""))</f>
        <v/>
      </c>
      <c r="S1578" s="35">
        <f>IF(OR($G1578="",$X1578&lt;&gt;"VALIDE"),"",IFERROR(LOOKUP(2,1/(($B678:$B1577=$B1578)*($G678:$G1577=$G1578)*($X678:$X1577="VALIDE")),$C678:$C1577),""))</f>
        <v/>
      </c>
      <c r="T1578" s="36">
        <f>IF(OR($C1578="",$S1578=""),"",ROUND(($C1578-$S1578+IF($C1578&lt;$S1578,1,0))*1440,0))</f>
        <v/>
      </c>
      <c r="U1578" s="22">
        <f>IF(OR($H1578="",$T1578="",$T1578&lt;=0),"",$H1578*60/$T1578)</f>
        <v/>
      </c>
      <c r="V1578" s="37">
        <f>IF(OR($U1578="",$R1578="",$R1578=0),"",$U1578/$R1578)</f>
        <v/>
      </c>
      <c r="W1578" s="20">
        <f>IF($G1578="","",IF($X1578="CONTEXTE INCOMPLET","CONTEXTE INCOMPLET",IF($X1578="DOUBLON",StatutDoublon,IF($S1578="",StatutInitial,IF($R1578="",StatutStandardManquant,IF($V1578="","DONNEES INSUFFISANTES",IF($V1578&gt;=SeuilConforme,StatutConforme,IF($V1578&gt;=SeuilSurveiller,StatutSurveiller,StatutSousStandard))))))))</f>
        <v/>
      </c>
      <c r="X1578" s="33">
        <f>IF($G1578="","",IF(OR($D1578="",$E1578="",$F1578=""),"CONTEXTE INCOMPLET",IF(COUNTIFS($D678:$D1577,$D1578,$E678:$E1577,$E1578,$F678:$F1577,$F1578,$G678:$G1577,$G1578)&gt;0,"DOUBLON","VALIDE")))</f>
        <v/>
      </c>
    </row>
    <row r="1579" ht="15" customHeight="1">
      <c r="A1579" s="12">
        <f>IF(OR($B1579="",$G1579=""),"",TEXT($B1579,"YYYYMMDD")&amp;"-"&amp;SUBSTITUTE($E1579," ","")&amp;"-"&amp;$F1579&amp;"-"&amp;$G1579)</f>
        <v/>
      </c>
      <c r="B1579" s="15" t="n"/>
      <c r="C1579" s="16" t="n"/>
      <c r="D1579" s="10" t="n"/>
      <c r="E1579" s="9" t="n"/>
      <c r="F1579" s="9" t="n"/>
      <c r="G1579" s="13" t="n"/>
      <c r="H1579" s="21" t="n"/>
      <c r="I1579" s="21" t="n"/>
      <c r="J1579" s="17">
        <f>IF($G1579="","",IFERROR(INDEX(NomsEmployes,MATCH($G1579,MatriculesEmployes,0)),"MATRICULE INCONNU"))</f>
        <v/>
      </c>
      <c r="K1579" s="33">
        <f>IF(OR($D1579="",$F1579=""),"",IFERROR(IF(INDEX(RUNS!$L$6:$S$1005,MATCH($D1579,RUNS!$A$6:$A$1005,0),MATCH("ACTIVITÉ "&amp;$F1579,RUNS!$L$5:$S$5,0))="","",INDEX(RUNS!$L$6:$S$1005,MATCH($D1579,RUNS!$A$6:$A$1005,0),MATCH("ACTIVITÉ "&amp;$F1579,RUNS!$L$5:$S$5,0))),""))</f>
        <v/>
      </c>
      <c r="L1579" s="33">
        <f>IF($D1579="","",IFERROR(IF(INDEX(RUNS!$E$6:$E$1005,MATCH($D1579,RUNS!$A$6:$A$1005,0))="","",INDEX(RUNS!$E$6:$E$1005,MATCH($D1579,RUNS!$A$6:$A$1005,0))),""))</f>
        <v/>
      </c>
      <c r="M1579" s="33">
        <f>IF($D1579="","",IFERROR(IF(INDEX(RUNS!$F$6:$F$1005,MATCH($D1579,RUNS!$A$6:$A$1005,0))="","",INDEX(RUNS!$F$6:$F$1005,MATCH($D1579,RUNS!$A$6:$A$1005,0))),""))</f>
        <v/>
      </c>
      <c r="N1579" s="33">
        <f>IF($D1579="","",IFERROR(IF(INDEX(RUNS!$G$6:$G$1005,MATCH($D1579,RUNS!$A$6:$A$1005,0))="","",INDEX(RUNS!$G$6:$G$1005,MATCH($D1579,RUNS!$A$6:$A$1005,0))),""))</f>
        <v/>
      </c>
      <c r="O1579" s="33">
        <f>IF($D1579="","",IFERROR(IF(INDEX(RUNS!$H$6:$H$1005,MATCH($D1579,RUNS!$A$6:$A$1005,0))="","",INDEX(RUNS!$H$6:$H$1005,MATCH($D1579,RUNS!$A$6:$A$1005,0))),""))</f>
        <v/>
      </c>
      <c r="P1579" s="33">
        <f>IF($D1579="","",IFERROR(IF(INDEX(RUNS!$J$6:$J$1005,MATCH($D1579,RUNS!$A$6:$A$1005,0))="","",INDEX(RUNS!$J$6:$J$1005,MATCH($D1579,RUNS!$A$6:$A$1005,0))),""))</f>
        <v/>
      </c>
      <c r="Q1579" s="33">
        <f>IF($D1579="","",IFERROR(IF(INDEX(RUNS!$K$6:$K$1005,MATCH($D1579,RUNS!$A$6:$A$1005,0))="","",INDEX(RUNS!$K$6:$K$1005,MATCH($D1579,RUNS!$A$6:$A$1005,0))),""))</f>
        <v/>
      </c>
      <c r="R1579" s="34">
        <f>IF(OR($L1579="",$K1579=""),"",IFERROR(IF(INDEX(PARAMETRES!$H$43:$H$342,MATCH($L1579&amp;"|"&amp;$M1579&amp;"|"&amp;$N1579&amp;"|"&amp;$O1579&amp;"|"&amp;$P1579&amp;"|"&amp;$Q1579&amp;"|"&amp;$K1579,PARAMETRES!$J$43:$J$342,0))="","",INDEX(PARAMETRES!$H$43:$H$342,MATCH($L1579&amp;"|"&amp;$M1579&amp;"|"&amp;$N1579&amp;"|"&amp;$O1579&amp;"|"&amp;$P1579&amp;"|"&amp;$Q1579&amp;"|"&amp;$K1579,PARAMETRES!$J$43:$J$342,0))),""))</f>
        <v/>
      </c>
      <c r="S1579" s="35">
        <f>IF(OR($G1579="",$X1579&lt;&gt;"VALIDE"),"",IFERROR(LOOKUP(2,1/(($B679:$B1578=$B1579)*($G679:$G1578=$G1579)*($X679:$X1578="VALIDE")),$C679:$C1578),""))</f>
        <v/>
      </c>
      <c r="T1579" s="36">
        <f>IF(OR($C1579="",$S1579=""),"",ROUND(($C1579-$S1579+IF($C1579&lt;$S1579,1,0))*1440,0))</f>
        <v/>
      </c>
      <c r="U1579" s="22">
        <f>IF(OR($H1579="",$T1579="",$T1579&lt;=0),"",$H1579*60/$T1579)</f>
        <v/>
      </c>
      <c r="V1579" s="37">
        <f>IF(OR($U1579="",$R1579="",$R1579=0),"",$U1579/$R1579)</f>
        <v/>
      </c>
      <c r="W1579" s="20">
        <f>IF($G1579="","",IF($X1579="CONTEXTE INCOMPLET","CONTEXTE INCOMPLET",IF($X1579="DOUBLON",StatutDoublon,IF($S1579="",StatutInitial,IF($R1579="",StatutStandardManquant,IF($V1579="","DONNEES INSUFFISANTES",IF($V1579&gt;=SeuilConforme,StatutConforme,IF($V1579&gt;=SeuilSurveiller,StatutSurveiller,StatutSousStandard))))))))</f>
        <v/>
      </c>
      <c r="X1579" s="33">
        <f>IF($G1579="","",IF(OR($D1579="",$E1579="",$F1579=""),"CONTEXTE INCOMPLET",IF(COUNTIFS($D679:$D1578,$D1579,$E679:$E1578,$E1579,$F679:$F1578,$F1579,$G679:$G1578,$G1579)&gt;0,"DOUBLON","VALIDE")))</f>
        <v/>
      </c>
    </row>
    <row r="1580" ht="15" customHeight="1">
      <c r="A1580" s="12">
        <f>IF(OR($B1580="",$G1580=""),"",TEXT($B1580,"YYYYMMDD")&amp;"-"&amp;SUBSTITUTE($E1580," ","")&amp;"-"&amp;$F1580&amp;"-"&amp;$G1580)</f>
        <v/>
      </c>
      <c r="B1580" s="15" t="n"/>
      <c r="C1580" s="16" t="n"/>
      <c r="D1580" s="10" t="n"/>
      <c r="E1580" s="9" t="n"/>
      <c r="F1580" s="9" t="n"/>
      <c r="G1580" s="13" t="n"/>
      <c r="H1580" s="21" t="n"/>
      <c r="I1580" s="21" t="n"/>
      <c r="J1580" s="17">
        <f>IF($G1580="","",IFERROR(INDEX(NomsEmployes,MATCH($G1580,MatriculesEmployes,0)),"MATRICULE INCONNU"))</f>
        <v/>
      </c>
      <c r="K1580" s="33">
        <f>IF(OR($D1580="",$F1580=""),"",IFERROR(IF(INDEX(RUNS!$L$6:$S$1005,MATCH($D1580,RUNS!$A$6:$A$1005,0),MATCH("ACTIVITÉ "&amp;$F1580,RUNS!$L$5:$S$5,0))="","",INDEX(RUNS!$L$6:$S$1005,MATCH($D1580,RUNS!$A$6:$A$1005,0),MATCH("ACTIVITÉ "&amp;$F1580,RUNS!$L$5:$S$5,0))),""))</f>
        <v/>
      </c>
      <c r="L1580" s="33">
        <f>IF($D1580="","",IFERROR(IF(INDEX(RUNS!$E$6:$E$1005,MATCH($D1580,RUNS!$A$6:$A$1005,0))="","",INDEX(RUNS!$E$6:$E$1005,MATCH($D1580,RUNS!$A$6:$A$1005,0))),""))</f>
        <v/>
      </c>
      <c r="M1580" s="33">
        <f>IF($D1580="","",IFERROR(IF(INDEX(RUNS!$F$6:$F$1005,MATCH($D1580,RUNS!$A$6:$A$1005,0))="","",INDEX(RUNS!$F$6:$F$1005,MATCH($D1580,RUNS!$A$6:$A$1005,0))),""))</f>
        <v/>
      </c>
      <c r="N1580" s="33">
        <f>IF($D1580="","",IFERROR(IF(INDEX(RUNS!$G$6:$G$1005,MATCH($D1580,RUNS!$A$6:$A$1005,0))="","",INDEX(RUNS!$G$6:$G$1005,MATCH($D1580,RUNS!$A$6:$A$1005,0))),""))</f>
        <v/>
      </c>
      <c r="O1580" s="33">
        <f>IF($D1580="","",IFERROR(IF(INDEX(RUNS!$H$6:$H$1005,MATCH($D1580,RUNS!$A$6:$A$1005,0))="","",INDEX(RUNS!$H$6:$H$1005,MATCH($D1580,RUNS!$A$6:$A$1005,0))),""))</f>
        <v/>
      </c>
      <c r="P1580" s="33">
        <f>IF($D1580="","",IFERROR(IF(INDEX(RUNS!$J$6:$J$1005,MATCH($D1580,RUNS!$A$6:$A$1005,0))="","",INDEX(RUNS!$J$6:$J$1005,MATCH($D1580,RUNS!$A$6:$A$1005,0))),""))</f>
        <v/>
      </c>
      <c r="Q1580" s="33">
        <f>IF($D1580="","",IFERROR(IF(INDEX(RUNS!$K$6:$K$1005,MATCH($D1580,RUNS!$A$6:$A$1005,0))="","",INDEX(RUNS!$K$6:$K$1005,MATCH($D1580,RUNS!$A$6:$A$1005,0))),""))</f>
        <v/>
      </c>
      <c r="R1580" s="34">
        <f>IF(OR($L1580="",$K1580=""),"",IFERROR(IF(INDEX(PARAMETRES!$H$43:$H$342,MATCH($L1580&amp;"|"&amp;$M1580&amp;"|"&amp;$N1580&amp;"|"&amp;$O1580&amp;"|"&amp;$P1580&amp;"|"&amp;$Q1580&amp;"|"&amp;$K1580,PARAMETRES!$J$43:$J$342,0))="","",INDEX(PARAMETRES!$H$43:$H$342,MATCH($L1580&amp;"|"&amp;$M1580&amp;"|"&amp;$N1580&amp;"|"&amp;$O1580&amp;"|"&amp;$P1580&amp;"|"&amp;$Q1580&amp;"|"&amp;$K1580,PARAMETRES!$J$43:$J$342,0))),""))</f>
        <v/>
      </c>
      <c r="S1580" s="35">
        <f>IF(OR($G1580="",$X1580&lt;&gt;"VALIDE"),"",IFERROR(LOOKUP(2,1/(($B680:$B1579=$B1580)*($G680:$G1579=$G1580)*($X680:$X1579="VALIDE")),$C680:$C1579),""))</f>
        <v/>
      </c>
      <c r="T1580" s="36">
        <f>IF(OR($C1580="",$S1580=""),"",ROUND(($C1580-$S1580+IF($C1580&lt;$S1580,1,0))*1440,0))</f>
        <v/>
      </c>
      <c r="U1580" s="22">
        <f>IF(OR($H1580="",$T1580="",$T1580&lt;=0),"",$H1580*60/$T1580)</f>
        <v/>
      </c>
      <c r="V1580" s="37">
        <f>IF(OR($U1580="",$R1580="",$R1580=0),"",$U1580/$R1580)</f>
        <v/>
      </c>
      <c r="W1580" s="20">
        <f>IF($G1580="","",IF($X1580="CONTEXTE INCOMPLET","CONTEXTE INCOMPLET",IF($X1580="DOUBLON",StatutDoublon,IF($S1580="",StatutInitial,IF($R1580="",StatutStandardManquant,IF($V1580="","DONNEES INSUFFISANTES",IF($V1580&gt;=SeuilConforme,StatutConforme,IF($V1580&gt;=SeuilSurveiller,StatutSurveiller,StatutSousStandard))))))))</f>
        <v/>
      </c>
      <c r="X1580" s="33">
        <f>IF($G1580="","",IF(OR($D1580="",$E1580="",$F1580=""),"CONTEXTE INCOMPLET",IF(COUNTIFS($D680:$D1579,$D1580,$E680:$E1579,$E1580,$F680:$F1579,$F1580,$G680:$G1579,$G1580)&gt;0,"DOUBLON","VALIDE")))</f>
        <v/>
      </c>
    </row>
    <row r="1581" ht="15" customHeight="1">
      <c r="A1581" s="12">
        <f>IF(OR($B1581="",$G1581=""),"",TEXT($B1581,"YYYYMMDD")&amp;"-"&amp;SUBSTITUTE($E1581," ","")&amp;"-"&amp;$F1581&amp;"-"&amp;$G1581)</f>
        <v/>
      </c>
      <c r="B1581" s="15" t="n"/>
      <c r="C1581" s="16" t="n"/>
      <c r="D1581" s="10" t="n"/>
      <c r="E1581" s="9" t="n"/>
      <c r="F1581" s="9" t="n"/>
      <c r="G1581" s="13" t="n"/>
      <c r="H1581" s="21" t="n"/>
      <c r="I1581" s="21" t="n"/>
      <c r="J1581" s="17">
        <f>IF($G1581="","",IFERROR(INDEX(NomsEmployes,MATCH($G1581,MatriculesEmployes,0)),"MATRICULE INCONNU"))</f>
        <v/>
      </c>
      <c r="K1581" s="33">
        <f>IF(OR($D1581="",$F1581=""),"",IFERROR(IF(INDEX(RUNS!$L$6:$S$1005,MATCH($D1581,RUNS!$A$6:$A$1005,0),MATCH("ACTIVITÉ "&amp;$F1581,RUNS!$L$5:$S$5,0))="","",INDEX(RUNS!$L$6:$S$1005,MATCH($D1581,RUNS!$A$6:$A$1005,0),MATCH("ACTIVITÉ "&amp;$F1581,RUNS!$L$5:$S$5,0))),""))</f>
        <v/>
      </c>
      <c r="L1581" s="33">
        <f>IF($D1581="","",IFERROR(IF(INDEX(RUNS!$E$6:$E$1005,MATCH($D1581,RUNS!$A$6:$A$1005,0))="","",INDEX(RUNS!$E$6:$E$1005,MATCH($D1581,RUNS!$A$6:$A$1005,0))),""))</f>
        <v/>
      </c>
      <c r="M1581" s="33">
        <f>IF($D1581="","",IFERROR(IF(INDEX(RUNS!$F$6:$F$1005,MATCH($D1581,RUNS!$A$6:$A$1005,0))="","",INDEX(RUNS!$F$6:$F$1005,MATCH($D1581,RUNS!$A$6:$A$1005,0))),""))</f>
        <v/>
      </c>
      <c r="N1581" s="33">
        <f>IF($D1581="","",IFERROR(IF(INDEX(RUNS!$G$6:$G$1005,MATCH($D1581,RUNS!$A$6:$A$1005,0))="","",INDEX(RUNS!$G$6:$G$1005,MATCH($D1581,RUNS!$A$6:$A$1005,0))),""))</f>
        <v/>
      </c>
      <c r="O1581" s="33">
        <f>IF($D1581="","",IFERROR(IF(INDEX(RUNS!$H$6:$H$1005,MATCH($D1581,RUNS!$A$6:$A$1005,0))="","",INDEX(RUNS!$H$6:$H$1005,MATCH($D1581,RUNS!$A$6:$A$1005,0))),""))</f>
        <v/>
      </c>
      <c r="P1581" s="33">
        <f>IF($D1581="","",IFERROR(IF(INDEX(RUNS!$J$6:$J$1005,MATCH($D1581,RUNS!$A$6:$A$1005,0))="","",INDEX(RUNS!$J$6:$J$1005,MATCH($D1581,RUNS!$A$6:$A$1005,0))),""))</f>
        <v/>
      </c>
      <c r="Q1581" s="33">
        <f>IF($D1581="","",IFERROR(IF(INDEX(RUNS!$K$6:$K$1005,MATCH($D1581,RUNS!$A$6:$A$1005,0))="","",INDEX(RUNS!$K$6:$K$1005,MATCH($D1581,RUNS!$A$6:$A$1005,0))),""))</f>
        <v/>
      </c>
      <c r="R1581" s="34">
        <f>IF(OR($L1581="",$K1581=""),"",IFERROR(IF(INDEX(PARAMETRES!$H$43:$H$342,MATCH($L1581&amp;"|"&amp;$M1581&amp;"|"&amp;$N1581&amp;"|"&amp;$O1581&amp;"|"&amp;$P1581&amp;"|"&amp;$Q1581&amp;"|"&amp;$K1581,PARAMETRES!$J$43:$J$342,0))="","",INDEX(PARAMETRES!$H$43:$H$342,MATCH($L1581&amp;"|"&amp;$M1581&amp;"|"&amp;$N1581&amp;"|"&amp;$O1581&amp;"|"&amp;$P1581&amp;"|"&amp;$Q1581&amp;"|"&amp;$K1581,PARAMETRES!$J$43:$J$342,0))),""))</f>
        <v/>
      </c>
      <c r="S1581" s="35">
        <f>IF(OR($G1581="",$X1581&lt;&gt;"VALIDE"),"",IFERROR(LOOKUP(2,1/(($B681:$B1580=$B1581)*($G681:$G1580=$G1581)*($X681:$X1580="VALIDE")),$C681:$C1580),""))</f>
        <v/>
      </c>
      <c r="T1581" s="36">
        <f>IF(OR($C1581="",$S1581=""),"",ROUND(($C1581-$S1581+IF($C1581&lt;$S1581,1,0))*1440,0))</f>
        <v/>
      </c>
      <c r="U1581" s="22">
        <f>IF(OR($H1581="",$T1581="",$T1581&lt;=0),"",$H1581*60/$T1581)</f>
        <v/>
      </c>
      <c r="V1581" s="37">
        <f>IF(OR($U1581="",$R1581="",$R1581=0),"",$U1581/$R1581)</f>
        <v/>
      </c>
      <c r="W1581" s="20">
        <f>IF($G1581="","",IF($X1581="CONTEXTE INCOMPLET","CONTEXTE INCOMPLET",IF($X1581="DOUBLON",StatutDoublon,IF($S1581="",StatutInitial,IF($R1581="",StatutStandardManquant,IF($V1581="","DONNEES INSUFFISANTES",IF($V1581&gt;=SeuilConforme,StatutConforme,IF($V1581&gt;=SeuilSurveiller,StatutSurveiller,StatutSousStandard))))))))</f>
        <v/>
      </c>
      <c r="X1581" s="33">
        <f>IF($G1581="","",IF(OR($D1581="",$E1581="",$F1581=""),"CONTEXTE INCOMPLET",IF(COUNTIFS($D681:$D1580,$D1581,$E681:$E1580,$E1581,$F681:$F1580,$F1581,$G681:$G1580,$G1581)&gt;0,"DOUBLON","VALIDE")))</f>
        <v/>
      </c>
    </row>
    <row r="1582" ht="15" customHeight="1">
      <c r="A1582" s="12">
        <f>IF(OR($B1582="",$G1582=""),"",TEXT($B1582,"YYYYMMDD")&amp;"-"&amp;SUBSTITUTE($E1582," ","")&amp;"-"&amp;$F1582&amp;"-"&amp;$G1582)</f>
        <v/>
      </c>
      <c r="B1582" s="15" t="n"/>
      <c r="C1582" s="16" t="n"/>
      <c r="D1582" s="10" t="n"/>
      <c r="E1582" s="9" t="n"/>
      <c r="F1582" s="9" t="n"/>
      <c r="G1582" s="13" t="n"/>
      <c r="H1582" s="21" t="n"/>
      <c r="I1582" s="21" t="n"/>
      <c r="J1582" s="17">
        <f>IF($G1582="","",IFERROR(INDEX(NomsEmployes,MATCH($G1582,MatriculesEmployes,0)),"MATRICULE INCONNU"))</f>
        <v/>
      </c>
      <c r="K1582" s="33">
        <f>IF(OR($D1582="",$F1582=""),"",IFERROR(IF(INDEX(RUNS!$L$6:$S$1005,MATCH($D1582,RUNS!$A$6:$A$1005,0),MATCH("ACTIVITÉ "&amp;$F1582,RUNS!$L$5:$S$5,0))="","",INDEX(RUNS!$L$6:$S$1005,MATCH($D1582,RUNS!$A$6:$A$1005,0),MATCH("ACTIVITÉ "&amp;$F1582,RUNS!$L$5:$S$5,0))),""))</f>
        <v/>
      </c>
      <c r="L1582" s="33">
        <f>IF($D1582="","",IFERROR(IF(INDEX(RUNS!$E$6:$E$1005,MATCH($D1582,RUNS!$A$6:$A$1005,0))="","",INDEX(RUNS!$E$6:$E$1005,MATCH($D1582,RUNS!$A$6:$A$1005,0))),""))</f>
        <v/>
      </c>
      <c r="M1582" s="33">
        <f>IF($D1582="","",IFERROR(IF(INDEX(RUNS!$F$6:$F$1005,MATCH($D1582,RUNS!$A$6:$A$1005,0))="","",INDEX(RUNS!$F$6:$F$1005,MATCH($D1582,RUNS!$A$6:$A$1005,0))),""))</f>
        <v/>
      </c>
      <c r="N1582" s="33">
        <f>IF($D1582="","",IFERROR(IF(INDEX(RUNS!$G$6:$G$1005,MATCH($D1582,RUNS!$A$6:$A$1005,0))="","",INDEX(RUNS!$G$6:$G$1005,MATCH($D1582,RUNS!$A$6:$A$1005,0))),""))</f>
        <v/>
      </c>
      <c r="O1582" s="33">
        <f>IF($D1582="","",IFERROR(IF(INDEX(RUNS!$H$6:$H$1005,MATCH($D1582,RUNS!$A$6:$A$1005,0))="","",INDEX(RUNS!$H$6:$H$1005,MATCH($D1582,RUNS!$A$6:$A$1005,0))),""))</f>
        <v/>
      </c>
      <c r="P1582" s="33">
        <f>IF($D1582="","",IFERROR(IF(INDEX(RUNS!$J$6:$J$1005,MATCH($D1582,RUNS!$A$6:$A$1005,0))="","",INDEX(RUNS!$J$6:$J$1005,MATCH($D1582,RUNS!$A$6:$A$1005,0))),""))</f>
        <v/>
      </c>
      <c r="Q1582" s="33">
        <f>IF($D1582="","",IFERROR(IF(INDEX(RUNS!$K$6:$K$1005,MATCH($D1582,RUNS!$A$6:$A$1005,0))="","",INDEX(RUNS!$K$6:$K$1005,MATCH($D1582,RUNS!$A$6:$A$1005,0))),""))</f>
        <v/>
      </c>
      <c r="R1582" s="34">
        <f>IF(OR($L1582="",$K1582=""),"",IFERROR(IF(INDEX(PARAMETRES!$H$43:$H$342,MATCH($L1582&amp;"|"&amp;$M1582&amp;"|"&amp;$N1582&amp;"|"&amp;$O1582&amp;"|"&amp;$P1582&amp;"|"&amp;$Q1582&amp;"|"&amp;$K1582,PARAMETRES!$J$43:$J$342,0))="","",INDEX(PARAMETRES!$H$43:$H$342,MATCH($L1582&amp;"|"&amp;$M1582&amp;"|"&amp;$N1582&amp;"|"&amp;$O1582&amp;"|"&amp;$P1582&amp;"|"&amp;$Q1582&amp;"|"&amp;$K1582,PARAMETRES!$J$43:$J$342,0))),""))</f>
        <v/>
      </c>
      <c r="S1582" s="35">
        <f>IF(OR($G1582="",$X1582&lt;&gt;"VALIDE"),"",IFERROR(LOOKUP(2,1/(($B682:$B1581=$B1582)*($G682:$G1581=$G1582)*($X682:$X1581="VALIDE")),$C682:$C1581),""))</f>
        <v/>
      </c>
      <c r="T1582" s="36">
        <f>IF(OR($C1582="",$S1582=""),"",ROUND(($C1582-$S1582+IF($C1582&lt;$S1582,1,0))*1440,0))</f>
        <v/>
      </c>
      <c r="U1582" s="22">
        <f>IF(OR($H1582="",$T1582="",$T1582&lt;=0),"",$H1582*60/$T1582)</f>
        <v/>
      </c>
      <c r="V1582" s="37">
        <f>IF(OR($U1582="",$R1582="",$R1582=0),"",$U1582/$R1582)</f>
        <v/>
      </c>
      <c r="W1582" s="20">
        <f>IF($G1582="","",IF($X1582="CONTEXTE INCOMPLET","CONTEXTE INCOMPLET",IF($X1582="DOUBLON",StatutDoublon,IF($S1582="",StatutInitial,IF($R1582="",StatutStandardManquant,IF($V1582="","DONNEES INSUFFISANTES",IF($V1582&gt;=SeuilConforme,StatutConforme,IF($V1582&gt;=SeuilSurveiller,StatutSurveiller,StatutSousStandard))))))))</f>
        <v/>
      </c>
      <c r="X1582" s="33">
        <f>IF($G1582="","",IF(OR($D1582="",$E1582="",$F1582=""),"CONTEXTE INCOMPLET",IF(COUNTIFS($D682:$D1581,$D1582,$E682:$E1581,$E1582,$F682:$F1581,$F1582,$G682:$G1581,$G1582)&gt;0,"DOUBLON","VALIDE")))</f>
        <v/>
      </c>
    </row>
    <row r="1583" ht="15" customHeight="1">
      <c r="A1583" s="12">
        <f>IF(OR($B1583="",$G1583=""),"",TEXT($B1583,"YYYYMMDD")&amp;"-"&amp;SUBSTITUTE($E1583," ","")&amp;"-"&amp;$F1583&amp;"-"&amp;$G1583)</f>
        <v/>
      </c>
      <c r="B1583" s="15" t="n"/>
      <c r="C1583" s="16" t="n"/>
      <c r="D1583" s="10" t="n"/>
      <c r="E1583" s="9" t="n"/>
      <c r="F1583" s="9" t="n"/>
      <c r="G1583" s="13" t="n"/>
      <c r="H1583" s="21" t="n"/>
      <c r="I1583" s="21" t="n"/>
      <c r="J1583" s="17">
        <f>IF($G1583="","",IFERROR(INDEX(NomsEmployes,MATCH($G1583,MatriculesEmployes,0)),"MATRICULE INCONNU"))</f>
        <v/>
      </c>
      <c r="K1583" s="33">
        <f>IF(OR($D1583="",$F1583=""),"",IFERROR(IF(INDEX(RUNS!$L$6:$S$1005,MATCH($D1583,RUNS!$A$6:$A$1005,0),MATCH("ACTIVITÉ "&amp;$F1583,RUNS!$L$5:$S$5,0))="","",INDEX(RUNS!$L$6:$S$1005,MATCH($D1583,RUNS!$A$6:$A$1005,0),MATCH("ACTIVITÉ "&amp;$F1583,RUNS!$L$5:$S$5,0))),""))</f>
        <v/>
      </c>
      <c r="L1583" s="33">
        <f>IF($D1583="","",IFERROR(IF(INDEX(RUNS!$E$6:$E$1005,MATCH($D1583,RUNS!$A$6:$A$1005,0))="","",INDEX(RUNS!$E$6:$E$1005,MATCH($D1583,RUNS!$A$6:$A$1005,0))),""))</f>
        <v/>
      </c>
      <c r="M1583" s="33">
        <f>IF($D1583="","",IFERROR(IF(INDEX(RUNS!$F$6:$F$1005,MATCH($D1583,RUNS!$A$6:$A$1005,0))="","",INDEX(RUNS!$F$6:$F$1005,MATCH($D1583,RUNS!$A$6:$A$1005,0))),""))</f>
        <v/>
      </c>
      <c r="N1583" s="33">
        <f>IF($D1583="","",IFERROR(IF(INDEX(RUNS!$G$6:$G$1005,MATCH($D1583,RUNS!$A$6:$A$1005,0))="","",INDEX(RUNS!$G$6:$G$1005,MATCH($D1583,RUNS!$A$6:$A$1005,0))),""))</f>
        <v/>
      </c>
      <c r="O1583" s="33">
        <f>IF($D1583="","",IFERROR(IF(INDEX(RUNS!$H$6:$H$1005,MATCH($D1583,RUNS!$A$6:$A$1005,0))="","",INDEX(RUNS!$H$6:$H$1005,MATCH($D1583,RUNS!$A$6:$A$1005,0))),""))</f>
        <v/>
      </c>
      <c r="P1583" s="33">
        <f>IF($D1583="","",IFERROR(IF(INDEX(RUNS!$J$6:$J$1005,MATCH($D1583,RUNS!$A$6:$A$1005,0))="","",INDEX(RUNS!$J$6:$J$1005,MATCH($D1583,RUNS!$A$6:$A$1005,0))),""))</f>
        <v/>
      </c>
      <c r="Q1583" s="33">
        <f>IF($D1583="","",IFERROR(IF(INDEX(RUNS!$K$6:$K$1005,MATCH($D1583,RUNS!$A$6:$A$1005,0))="","",INDEX(RUNS!$K$6:$K$1005,MATCH($D1583,RUNS!$A$6:$A$1005,0))),""))</f>
        <v/>
      </c>
      <c r="R1583" s="34">
        <f>IF(OR($L1583="",$K1583=""),"",IFERROR(IF(INDEX(PARAMETRES!$H$43:$H$342,MATCH($L1583&amp;"|"&amp;$M1583&amp;"|"&amp;$N1583&amp;"|"&amp;$O1583&amp;"|"&amp;$P1583&amp;"|"&amp;$Q1583&amp;"|"&amp;$K1583,PARAMETRES!$J$43:$J$342,0))="","",INDEX(PARAMETRES!$H$43:$H$342,MATCH($L1583&amp;"|"&amp;$M1583&amp;"|"&amp;$N1583&amp;"|"&amp;$O1583&amp;"|"&amp;$P1583&amp;"|"&amp;$Q1583&amp;"|"&amp;$K1583,PARAMETRES!$J$43:$J$342,0))),""))</f>
        <v/>
      </c>
      <c r="S1583" s="35">
        <f>IF(OR($G1583="",$X1583&lt;&gt;"VALIDE"),"",IFERROR(LOOKUP(2,1/(($B683:$B1582=$B1583)*($G683:$G1582=$G1583)*($X683:$X1582="VALIDE")),$C683:$C1582),""))</f>
        <v/>
      </c>
      <c r="T1583" s="36">
        <f>IF(OR($C1583="",$S1583=""),"",ROUND(($C1583-$S1583+IF($C1583&lt;$S1583,1,0))*1440,0))</f>
        <v/>
      </c>
      <c r="U1583" s="22">
        <f>IF(OR($H1583="",$T1583="",$T1583&lt;=0),"",$H1583*60/$T1583)</f>
        <v/>
      </c>
      <c r="V1583" s="37">
        <f>IF(OR($U1583="",$R1583="",$R1583=0),"",$U1583/$R1583)</f>
        <v/>
      </c>
      <c r="W1583" s="20">
        <f>IF($G1583="","",IF($X1583="CONTEXTE INCOMPLET","CONTEXTE INCOMPLET",IF($X1583="DOUBLON",StatutDoublon,IF($S1583="",StatutInitial,IF($R1583="",StatutStandardManquant,IF($V1583="","DONNEES INSUFFISANTES",IF($V1583&gt;=SeuilConforme,StatutConforme,IF($V1583&gt;=SeuilSurveiller,StatutSurveiller,StatutSousStandard))))))))</f>
        <v/>
      </c>
      <c r="X1583" s="33">
        <f>IF($G1583="","",IF(OR($D1583="",$E1583="",$F1583=""),"CONTEXTE INCOMPLET",IF(COUNTIFS($D683:$D1582,$D1583,$E683:$E1582,$E1583,$F683:$F1582,$F1583,$G683:$G1582,$G1583)&gt;0,"DOUBLON","VALIDE")))</f>
        <v/>
      </c>
    </row>
    <row r="1584" ht="15" customHeight="1">
      <c r="A1584" s="12">
        <f>IF(OR($B1584="",$G1584=""),"",TEXT($B1584,"YYYYMMDD")&amp;"-"&amp;SUBSTITUTE($E1584," ","")&amp;"-"&amp;$F1584&amp;"-"&amp;$G1584)</f>
        <v/>
      </c>
      <c r="B1584" s="15" t="n"/>
      <c r="C1584" s="16" t="n"/>
      <c r="D1584" s="10" t="n"/>
      <c r="E1584" s="9" t="n"/>
      <c r="F1584" s="9" t="n"/>
      <c r="G1584" s="13" t="n"/>
      <c r="H1584" s="21" t="n"/>
      <c r="I1584" s="21" t="n"/>
      <c r="J1584" s="17">
        <f>IF($G1584="","",IFERROR(INDEX(NomsEmployes,MATCH($G1584,MatriculesEmployes,0)),"MATRICULE INCONNU"))</f>
        <v/>
      </c>
      <c r="K1584" s="33">
        <f>IF(OR($D1584="",$F1584=""),"",IFERROR(IF(INDEX(RUNS!$L$6:$S$1005,MATCH($D1584,RUNS!$A$6:$A$1005,0),MATCH("ACTIVITÉ "&amp;$F1584,RUNS!$L$5:$S$5,0))="","",INDEX(RUNS!$L$6:$S$1005,MATCH($D1584,RUNS!$A$6:$A$1005,0),MATCH("ACTIVITÉ "&amp;$F1584,RUNS!$L$5:$S$5,0))),""))</f>
        <v/>
      </c>
      <c r="L1584" s="33">
        <f>IF($D1584="","",IFERROR(IF(INDEX(RUNS!$E$6:$E$1005,MATCH($D1584,RUNS!$A$6:$A$1005,0))="","",INDEX(RUNS!$E$6:$E$1005,MATCH($D1584,RUNS!$A$6:$A$1005,0))),""))</f>
        <v/>
      </c>
      <c r="M1584" s="33">
        <f>IF($D1584="","",IFERROR(IF(INDEX(RUNS!$F$6:$F$1005,MATCH($D1584,RUNS!$A$6:$A$1005,0))="","",INDEX(RUNS!$F$6:$F$1005,MATCH($D1584,RUNS!$A$6:$A$1005,0))),""))</f>
        <v/>
      </c>
      <c r="N1584" s="33">
        <f>IF($D1584="","",IFERROR(IF(INDEX(RUNS!$G$6:$G$1005,MATCH($D1584,RUNS!$A$6:$A$1005,0))="","",INDEX(RUNS!$G$6:$G$1005,MATCH($D1584,RUNS!$A$6:$A$1005,0))),""))</f>
        <v/>
      </c>
      <c r="O1584" s="33">
        <f>IF($D1584="","",IFERROR(IF(INDEX(RUNS!$H$6:$H$1005,MATCH($D1584,RUNS!$A$6:$A$1005,0))="","",INDEX(RUNS!$H$6:$H$1005,MATCH($D1584,RUNS!$A$6:$A$1005,0))),""))</f>
        <v/>
      </c>
      <c r="P1584" s="33">
        <f>IF($D1584="","",IFERROR(IF(INDEX(RUNS!$J$6:$J$1005,MATCH($D1584,RUNS!$A$6:$A$1005,0))="","",INDEX(RUNS!$J$6:$J$1005,MATCH($D1584,RUNS!$A$6:$A$1005,0))),""))</f>
        <v/>
      </c>
      <c r="Q1584" s="33">
        <f>IF($D1584="","",IFERROR(IF(INDEX(RUNS!$K$6:$K$1005,MATCH($D1584,RUNS!$A$6:$A$1005,0))="","",INDEX(RUNS!$K$6:$K$1005,MATCH($D1584,RUNS!$A$6:$A$1005,0))),""))</f>
        <v/>
      </c>
      <c r="R1584" s="34">
        <f>IF(OR($L1584="",$K1584=""),"",IFERROR(IF(INDEX(PARAMETRES!$H$43:$H$342,MATCH($L1584&amp;"|"&amp;$M1584&amp;"|"&amp;$N1584&amp;"|"&amp;$O1584&amp;"|"&amp;$P1584&amp;"|"&amp;$Q1584&amp;"|"&amp;$K1584,PARAMETRES!$J$43:$J$342,0))="","",INDEX(PARAMETRES!$H$43:$H$342,MATCH($L1584&amp;"|"&amp;$M1584&amp;"|"&amp;$N1584&amp;"|"&amp;$O1584&amp;"|"&amp;$P1584&amp;"|"&amp;$Q1584&amp;"|"&amp;$K1584,PARAMETRES!$J$43:$J$342,0))),""))</f>
        <v/>
      </c>
      <c r="S1584" s="35">
        <f>IF(OR($G1584="",$X1584&lt;&gt;"VALIDE"),"",IFERROR(LOOKUP(2,1/(($B684:$B1583=$B1584)*($G684:$G1583=$G1584)*($X684:$X1583="VALIDE")),$C684:$C1583),""))</f>
        <v/>
      </c>
      <c r="T1584" s="36">
        <f>IF(OR($C1584="",$S1584=""),"",ROUND(($C1584-$S1584+IF($C1584&lt;$S1584,1,0))*1440,0))</f>
        <v/>
      </c>
      <c r="U1584" s="22">
        <f>IF(OR($H1584="",$T1584="",$T1584&lt;=0),"",$H1584*60/$T1584)</f>
        <v/>
      </c>
      <c r="V1584" s="37">
        <f>IF(OR($U1584="",$R1584="",$R1584=0),"",$U1584/$R1584)</f>
        <v/>
      </c>
      <c r="W1584" s="20">
        <f>IF($G1584="","",IF($X1584="CONTEXTE INCOMPLET","CONTEXTE INCOMPLET",IF($X1584="DOUBLON",StatutDoublon,IF($S1584="",StatutInitial,IF($R1584="",StatutStandardManquant,IF($V1584="","DONNEES INSUFFISANTES",IF($V1584&gt;=SeuilConforme,StatutConforme,IF($V1584&gt;=SeuilSurveiller,StatutSurveiller,StatutSousStandard))))))))</f>
        <v/>
      </c>
      <c r="X1584" s="33">
        <f>IF($G1584="","",IF(OR($D1584="",$E1584="",$F1584=""),"CONTEXTE INCOMPLET",IF(COUNTIFS($D684:$D1583,$D1584,$E684:$E1583,$E1584,$F684:$F1583,$F1584,$G684:$G1583,$G1584)&gt;0,"DOUBLON","VALIDE")))</f>
        <v/>
      </c>
    </row>
    <row r="1585" ht="15" customHeight="1">
      <c r="A1585" s="12">
        <f>IF(OR($B1585="",$G1585=""),"",TEXT($B1585,"YYYYMMDD")&amp;"-"&amp;SUBSTITUTE($E1585," ","")&amp;"-"&amp;$F1585&amp;"-"&amp;$G1585)</f>
        <v/>
      </c>
      <c r="B1585" s="15" t="n"/>
      <c r="C1585" s="16" t="n"/>
      <c r="D1585" s="10" t="n"/>
      <c r="E1585" s="9" t="n"/>
      <c r="F1585" s="9" t="n"/>
      <c r="G1585" s="13" t="n"/>
      <c r="H1585" s="21" t="n"/>
      <c r="I1585" s="21" t="n"/>
      <c r="J1585" s="17">
        <f>IF($G1585="","",IFERROR(INDEX(NomsEmployes,MATCH($G1585,MatriculesEmployes,0)),"MATRICULE INCONNU"))</f>
        <v/>
      </c>
      <c r="K1585" s="33">
        <f>IF(OR($D1585="",$F1585=""),"",IFERROR(IF(INDEX(RUNS!$L$6:$S$1005,MATCH($D1585,RUNS!$A$6:$A$1005,0),MATCH("ACTIVITÉ "&amp;$F1585,RUNS!$L$5:$S$5,0))="","",INDEX(RUNS!$L$6:$S$1005,MATCH($D1585,RUNS!$A$6:$A$1005,0),MATCH("ACTIVITÉ "&amp;$F1585,RUNS!$L$5:$S$5,0))),""))</f>
        <v/>
      </c>
      <c r="L1585" s="33">
        <f>IF($D1585="","",IFERROR(IF(INDEX(RUNS!$E$6:$E$1005,MATCH($D1585,RUNS!$A$6:$A$1005,0))="","",INDEX(RUNS!$E$6:$E$1005,MATCH($D1585,RUNS!$A$6:$A$1005,0))),""))</f>
        <v/>
      </c>
      <c r="M1585" s="33">
        <f>IF($D1585="","",IFERROR(IF(INDEX(RUNS!$F$6:$F$1005,MATCH($D1585,RUNS!$A$6:$A$1005,0))="","",INDEX(RUNS!$F$6:$F$1005,MATCH($D1585,RUNS!$A$6:$A$1005,0))),""))</f>
        <v/>
      </c>
      <c r="N1585" s="33">
        <f>IF($D1585="","",IFERROR(IF(INDEX(RUNS!$G$6:$G$1005,MATCH($D1585,RUNS!$A$6:$A$1005,0))="","",INDEX(RUNS!$G$6:$G$1005,MATCH($D1585,RUNS!$A$6:$A$1005,0))),""))</f>
        <v/>
      </c>
      <c r="O1585" s="33">
        <f>IF($D1585="","",IFERROR(IF(INDEX(RUNS!$H$6:$H$1005,MATCH($D1585,RUNS!$A$6:$A$1005,0))="","",INDEX(RUNS!$H$6:$H$1005,MATCH($D1585,RUNS!$A$6:$A$1005,0))),""))</f>
        <v/>
      </c>
      <c r="P1585" s="33">
        <f>IF($D1585="","",IFERROR(IF(INDEX(RUNS!$J$6:$J$1005,MATCH($D1585,RUNS!$A$6:$A$1005,0))="","",INDEX(RUNS!$J$6:$J$1005,MATCH($D1585,RUNS!$A$6:$A$1005,0))),""))</f>
        <v/>
      </c>
      <c r="Q1585" s="33">
        <f>IF($D1585="","",IFERROR(IF(INDEX(RUNS!$K$6:$K$1005,MATCH($D1585,RUNS!$A$6:$A$1005,0))="","",INDEX(RUNS!$K$6:$K$1005,MATCH($D1585,RUNS!$A$6:$A$1005,0))),""))</f>
        <v/>
      </c>
      <c r="R1585" s="34">
        <f>IF(OR($L1585="",$K1585=""),"",IFERROR(IF(INDEX(PARAMETRES!$H$43:$H$342,MATCH($L1585&amp;"|"&amp;$M1585&amp;"|"&amp;$N1585&amp;"|"&amp;$O1585&amp;"|"&amp;$P1585&amp;"|"&amp;$Q1585&amp;"|"&amp;$K1585,PARAMETRES!$J$43:$J$342,0))="","",INDEX(PARAMETRES!$H$43:$H$342,MATCH($L1585&amp;"|"&amp;$M1585&amp;"|"&amp;$N1585&amp;"|"&amp;$O1585&amp;"|"&amp;$P1585&amp;"|"&amp;$Q1585&amp;"|"&amp;$K1585,PARAMETRES!$J$43:$J$342,0))),""))</f>
        <v/>
      </c>
      <c r="S1585" s="35">
        <f>IF(OR($G1585="",$X1585&lt;&gt;"VALIDE"),"",IFERROR(LOOKUP(2,1/(($B685:$B1584=$B1585)*($G685:$G1584=$G1585)*($X685:$X1584="VALIDE")),$C685:$C1584),""))</f>
        <v/>
      </c>
      <c r="T1585" s="36">
        <f>IF(OR($C1585="",$S1585=""),"",ROUND(($C1585-$S1585+IF($C1585&lt;$S1585,1,0))*1440,0))</f>
        <v/>
      </c>
      <c r="U1585" s="22">
        <f>IF(OR($H1585="",$T1585="",$T1585&lt;=0),"",$H1585*60/$T1585)</f>
        <v/>
      </c>
      <c r="V1585" s="37">
        <f>IF(OR($U1585="",$R1585="",$R1585=0),"",$U1585/$R1585)</f>
        <v/>
      </c>
      <c r="W1585" s="20">
        <f>IF($G1585="","",IF($X1585="CONTEXTE INCOMPLET","CONTEXTE INCOMPLET",IF($X1585="DOUBLON",StatutDoublon,IF($S1585="",StatutInitial,IF($R1585="",StatutStandardManquant,IF($V1585="","DONNEES INSUFFISANTES",IF($V1585&gt;=SeuilConforme,StatutConforme,IF($V1585&gt;=SeuilSurveiller,StatutSurveiller,StatutSousStandard))))))))</f>
        <v/>
      </c>
      <c r="X1585" s="33">
        <f>IF($G1585="","",IF(OR($D1585="",$E1585="",$F1585=""),"CONTEXTE INCOMPLET",IF(COUNTIFS($D685:$D1584,$D1585,$E685:$E1584,$E1585,$F685:$F1584,$F1585,$G685:$G1584,$G1585)&gt;0,"DOUBLON","VALIDE")))</f>
        <v/>
      </c>
    </row>
    <row r="1586" ht="15" customHeight="1">
      <c r="A1586" s="12">
        <f>IF(OR($B1586="",$G1586=""),"",TEXT($B1586,"YYYYMMDD")&amp;"-"&amp;SUBSTITUTE($E1586," ","")&amp;"-"&amp;$F1586&amp;"-"&amp;$G1586)</f>
        <v/>
      </c>
      <c r="B1586" s="15" t="n"/>
      <c r="C1586" s="16" t="n"/>
      <c r="D1586" s="10" t="n"/>
      <c r="E1586" s="9" t="n"/>
      <c r="F1586" s="9" t="n"/>
      <c r="G1586" s="13" t="n"/>
      <c r="H1586" s="21" t="n"/>
      <c r="I1586" s="21" t="n"/>
      <c r="J1586" s="17">
        <f>IF($G1586="","",IFERROR(INDEX(NomsEmployes,MATCH($G1586,MatriculesEmployes,0)),"MATRICULE INCONNU"))</f>
        <v/>
      </c>
      <c r="K1586" s="33">
        <f>IF(OR($D1586="",$F1586=""),"",IFERROR(IF(INDEX(RUNS!$L$6:$S$1005,MATCH($D1586,RUNS!$A$6:$A$1005,0),MATCH("ACTIVITÉ "&amp;$F1586,RUNS!$L$5:$S$5,0))="","",INDEX(RUNS!$L$6:$S$1005,MATCH($D1586,RUNS!$A$6:$A$1005,0),MATCH("ACTIVITÉ "&amp;$F1586,RUNS!$L$5:$S$5,0))),""))</f>
        <v/>
      </c>
      <c r="L1586" s="33">
        <f>IF($D1586="","",IFERROR(IF(INDEX(RUNS!$E$6:$E$1005,MATCH($D1586,RUNS!$A$6:$A$1005,0))="","",INDEX(RUNS!$E$6:$E$1005,MATCH($D1586,RUNS!$A$6:$A$1005,0))),""))</f>
        <v/>
      </c>
      <c r="M1586" s="33">
        <f>IF($D1586="","",IFERROR(IF(INDEX(RUNS!$F$6:$F$1005,MATCH($D1586,RUNS!$A$6:$A$1005,0))="","",INDEX(RUNS!$F$6:$F$1005,MATCH($D1586,RUNS!$A$6:$A$1005,0))),""))</f>
        <v/>
      </c>
      <c r="N1586" s="33">
        <f>IF($D1586="","",IFERROR(IF(INDEX(RUNS!$G$6:$G$1005,MATCH($D1586,RUNS!$A$6:$A$1005,0))="","",INDEX(RUNS!$G$6:$G$1005,MATCH($D1586,RUNS!$A$6:$A$1005,0))),""))</f>
        <v/>
      </c>
      <c r="O1586" s="33">
        <f>IF($D1586="","",IFERROR(IF(INDEX(RUNS!$H$6:$H$1005,MATCH($D1586,RUNS!$A$6:$A$1005,0))="","",INDEX(RUNS!$H$6:$H$1005,MATCH($D1586,RUNS!$A$6:$A$1005,0))),""))</f>
        <v/>
      </c>
      <c r="P1586" s="33">
        <f>IF($D1586="","",IFERROR(IF(INDEX(RUNS!$J$6:$J$1005,MATCH($D1586,RUNS!$A$6:$A$1005,0))="","",INDEX(RUNS!$J$6:$J$1005,MATCH($D1586,RUNS!$A$6:$A$1005,0))),""))</f>
        <v/>
      </c>
      <c r="Q1586" s="33">
        <f>IF($D1586="","",IFERROR(IF(INDEX(RUNS!$K$6:$K$1005,MATCH($D1586,RUNS!$A$6:$A$1005,0))="","",INDEX(RUNS!$K$6:$K$1005,MATCH($D1586,RUNS!$A$6:$A$1005,0))),""))</f>
        <v/>
      </c>
      <c r="R1586" s="34">
        <f>IF(OR($L1586="",$K1586=""),"",IFERROR(IF(INDEX(PARAMETRES!$H$43:$H$342,MATCH($L1586&amp;"|"&amp;$M1586&amp;"|"&amp;$N1586&amp;"|"&amp;$O1586&amp;"|"&amp;$P1586&amp;"|"&amp;$Q1586&amp;"|"&amp;$K1586,PARAMETRES!$J$43:$J$342,0))="","",INDEX(PARAMETRES!$H$43:$H$342,MATCH($L1586&amp;"|"&amp;$M1586&amp;"|"&amp;$N1586&amp;"|"&amp;$O1586&amp;"|"&amp;$P1586&amp;"|"&amp;$Q1586&amp;"|"&amp;$K1586,PARAMETRES!$J$43:$J$342,0))),""))</f>
        <v/>
      </c>
      <c r="S1586" s="35">
        <f>IF(OR($G1586="",$X1586&lt;&gt;"VALIDE"),"",IFERROR(LOOKUP(2,1/(($B686:$B1585=$B1586)*($G686:$G1585=$G1586)*($X686:$X1585="VALIDE")),$C686:$C1585),""))</f>
        <v/>
      </c>
      <c r="T1586" s="36">
        <f>IF(OR($C1586="",$S1586=""),"",ROUND(($C1586-$S1586+IF($C1586&lt;$S1586,1,0))*1440,0))</f>
        <v/>
      </c>
      <c r="U1586" s="22">
        <f>IF(OR($H1586="",$T1586="",$T1586&lt;=0),"",$H1586*60/$T1586)</f>
        <v/>
      </c>
      <c r="V1586" s="37">
        <f>IF(OR($U1586="",$R1586="",$R1586=0),"",$U1586/$R1586)</f>
        <v/>
      </c>
      <c r="W1586" s="20">
        <f>IF($G1586="","",IF($X1586="CONTEXTE INCOMPLET","CONTEXTE INCOMPLET",IF($X1586="DOUBLON",StatutDoublon,IF($S1586="",StatutInitial,IF($R1586="",StatutStandardManquant,IF($V1586="","DONNEES INSUFFISANTES",IF($V1586&gt;=SeuilConforme,StatutConforme,IF($V1586&gt;=SeuilSurveiller,StatutSurveiller,StatutSousStandard))))))))</f>
        <v/>
      </c>
      <c r="X1586" s="33">
        <f>IF($G1586="","",IF(OR($D1586="",$E1586="",$F1586=""),"CONTEXTE INCOMPLET",IF(COUNTIFS($D686:$D1585,$D1586,$E686:$E1585,$E1586,$F686:$F1585,$F1586,$G686:$G1585,$G1586)&gt;0,"DOUBLON","VALIDE")))</f>
        <v/>
      </c>
    </row>
    <row r="1587" ht="15" customHeight="1">
      <c r="A1587" s="12">
        <f>IF(OR($B1587="",$G1587=""),"",TEXT($B1587,"YYYYMMDD")&amp;"-"&amp;SUBSTITUTE($E1587," ","")&amp;"-"&amp;$F1587&amp;"-"&amp;$G1587)</f>
        <v/>
      </c>
      <c r="B1587" s="15" t="n"/>
      <c r="C1587" s="16" t="n"/>
      <c r="D1587" s="10" t="n"/>
      <c r="E1587" s="9" t="n"/>
      <c r="F1587" s="9" t="n"/>
      <c r="G1587" s="13" t="n"/>
      <c r="H1587" s="21" t="n"/>
      <c r="I1587" s="21" t="n"/>
      <c r="J1587" s="17">
        <f>IF($G1587="","",IFERROR(INDEX(NomsEmployes,MATCH($G1587,MatriculesEmployes,0)),"MATRICULE INCONNU"))</f>
        <v/>
      </c>
      <c r="K1587" s="33">
        <f>IF(OR($D1587="",$F1587=""),"",IFERROR(IF(INDEX(RUNS!$L$6:$S$1005,MATCH($D1587,RUNS!$A$6:$A$1005,0),MATCH("ACTIVITÉ "&amp;$F1587,RUNS!$L$5:$S$5,0))="","",INDEX(RUNS!$L$6:$S$1005,MATCH($D1587,RUNS!$A$6:$A$1005,0),MATCH("ACTIVITÉ "&amp;$F1587,RUNS!$L$5:$S$5,0))),""))</f>
        <v/>
      </c>
      <c r="L1587" s="33">
        <f>IF($D1587="","",IFERROR(IF(INDEX(RUNS!$E$6:$E$1005,MATCH($D1587,RUNS!$A$6:$A$1005,0))="","",INDEX(RUNS!$E$6:$E$1005,MATCH($D1587,RUNS!$A$6:$A$1005,0))),""))</f>
        <v/>
      </c>
      <c r="M1587" s="33">
        <f>IF($D1587="","",IFERROR(IF(INDEX(RUNS!$F$6:$F$1005,MATCH($D1587,RUNS!$A$6:$A$1005,0))="","",INDEX(RUNS!$F$6:$F$1005,MATCH($D1587,RUNS!$A$6:$A$1005,0))),""))</f>
        <v/>
      </c>
      <c r="N1587" s="33">
        <f>IF($D1587="","",IFERROR(IF(INDEX(RUNS!$G$6:$G$1005,MATCH($D1587,RUNS!$A$6:$A$1005,0))="","",INDEX(RUNS!$G$6:$G$1005,MATCH($D1587,RUNS!$A$6:$A$1005,0))),""))</f>
        <v/>
      </c>
      <c r="O1587" s="33">
        <f>IF($D1587="","",IFERROR(IF(INDEX(RUNS!$H$6:$H$1005,MATCH($D1587,RUNS!$A$6:$A$1005,0))="","",INDEX(RUNS!$H$6:$H$1005,MATCH($D1587,RUNS!$A$6:$A$1005,0))),""))</f>
        <v/>
      </c>
      <c r="P1587" s="33">
        <f>IF($D1587="","",IFERROR(IF(INDEX(RUNS!$J$6:$J$1005,MATCH($D1587,RUNS!$A$6:$A$1005,0))="","",INDEX(RUNS!$J$6:$J$1005,MATCH($D1587,RUNS!$A$6:$A$1005,0))),""))</f>
        <v/>
      </c>
      <c r="Q1587" s="33">
        <f>IF($D1587="","",IFERROR(IF(INDEX(RUNS!$K$6:$K$1005,MATCH($D1587,RUNS!$A$6:$A$1005,0))="","",INDEX(RUNS!$K$6:$K$1005,MATCH($D1587,RUNS!$A$6:$A$1005,0))),""))</f>
        <v/>
      </c>
      <c r="R1587" s="34">
        <f>IF(OR($L1587="",$K1587=""),"",IFERROR(IF(INDEX(PARAMETRES!$H$43:$H$342,MATCH($L1587&amp;"|"&amp;$M1587&amp;"|"&amp;$N1587&amp;"|"&amp;$O1587&amp;"|"&amp;$P1587&amp;"|"&amp;$Q1587&amp;"|"&amp;$K1587,PARAMETRES!$J$43:$J$342,0))="","",INDEX(PARAMETRES!$H$43:$H$342,MATCH($L1587&amp;"|"&amp;$M1587&amp;"|"&amp;$N1587&amp;"|"&amp;$O1587&amp;"|"&amp;$P1587&amp;"|"&amp;$Q1587&amp;"|"&amp;$K1587,PARAMETRES!$J$43:$J$342,0))),""))</f>
        <v/>
      </c>
      <c r="S1587" s="35">
        <f>IF(OR($G1587="",$X1587&lt;&gt;"VALIDE"),"",IFERROR(LOOKUP(2,1/(($B687:$B1586=$B1587)*($G687:$G1586=$G1587)*($X687:$X1586="VALIDE")),$C687:$C1586),""))</f>
        <v/>
      </c>
      <c r="T1587" s="36">
        <f>IF(OR($C1587="",$S1587=""),"",ROUND(($C1587-$S1587+IF($C1587&lt;$S1587,1,0))*1440,0))</f>
        <v/>
      </c>
      <c r="U1587" s="22">
        <f>IF(OR($H1587="",$T1587="",$T1587&lt;=0),"",$H1587*60/$T1587)</f>
        <v/>
      </c>
      <c r="V1587" s="37">
        <f>IF(OR($U1587="",$R1587="",$R1587=0),"",$U1587/$R1587)</f>
        <v/>
      </c>
      <c r="W1587" s="20">
        <f>IF($G1587="","",IF($X1587="CONTEXTE INCOMPLET","CONTEXTE INCOMPLET",IF($X1587="DOUBLON",StatutDoublon,IF($S1587="",StatutInitial,IF($R1587="",StatutStandardManquant,IF($V1587="","DONNEES INSUFFISANTES",IF($V1587&gt;=SeuilConforme,StatutConforme,IF($V1587&gt;=SeuilSurveiller,StatutSurveiller,StatutSousStandard))))))))</f>
        <v/>
      </c>
      <c r="X1587" s="33">
        <f>IF($G1587="","",IF(OR($D1587="",$E1587="",$F1587=""),"CONTEXTE INCOMPLET",IF(COUNTIFS($D687:$D1586,$D1587,$E687:$E1586,$E1587,$F687:$F1586,$F1587,$G687:$G1586,$G1587)&gt;0,"DOUBLON","VALIDE")))</f>
        <v/>
      </c>
    </row>
    <row r="1588" ht="15" customHeight="1">
      <c r="A1588" s="12">
        <f>IF(OR($B1588="",$G1588=""),"",TEXT($B1588,"YYYYMMDD")&amp;"-"&amp;SUBSTITUTE($E1588," ","")&amp;"-"&amp;$F1588&amp;"-"&amp;$G1588)</f>
        <v/>
      </c>
      <c r="B1588" s="15" t="n"/>
      <c r="C1588" s="16" t="n"/>
      <c r="D1588" s="10" t="n"/>
      <c r="E1588" s="9" t="n"/>
      <c r="F1588" s="9" t="n"/>
      <c r="G1588" s="13" t="n"/>
      <c r="H1588" s="21" t="n"/>
      <c r="I1588" s="21" t="n"/>
      <c r="J1588" s="17">
        <f>IF($G1588="","",IFERROR(INDEX(NomsEmployes,MATCH($G1588,MatriculesEmployes,0)),"MATRICULE INCONNU"))</f>
        <v/>
      </c>
      <c r="K1588" s="33">
        <f>IF(OR($D1588="",$F1588=""),"",IFERROR(IF(INDEX(RUNS!$L$6:$S$1005,MATCH($D1588,RUNS!$A$6:$A$1005,0),MATCH("ACTIVITÉ "&amp;$F1588,RUNS!$L$5:$S$5,0))="","",INDEX(RUNS!$L$6:$S$1005,MATCH($D1588,RUNS!$A$6:$A$1005,0),MATCH("ACTIVITÉ "&amp;$F1588,RUNS!$L$5:$S$5,0))),""))</f>
        <v/>
      </c>
      <c r="L1588" s="33">
        <f>IF($D1588="","",IFERROR(IF(INDEX(RUNS!$E$6:$E$1005,MATCH($D1588,RUNS!$A$6:$A$1005,0))="","",INDEX(RUNS!$E$6:$E$1005,MATCH($D1588,RUNS!$A$6:$A$1005,0))),""))</f>
        <v/>
      </c>
      <c r="M1588" s="33">
        <f>IF($D1588="","",IFERROR(IF(INDEX(RUNS!$F$6:$F$1005,MATCH($D1588,RUNS!$A$6:$A$1005,0))="","",INDEX(RUNS!$F$6:$F$1005,MATCH($D1588,RUNS!$A$6:$A$1005,0))),""))</f>
        <v/>
      </c>
      <c r="N1588" s="33">
        <f>IF($D1588="","",IFERROR(IF(INDEX(RUNS!$G$6:$G$1005,MATCH($D1588,RUNS!$A$6:$A$1005,0))="","",INDEX(RUNS!$G$6:$G$1005,MATCH($D1588,RUNS!$A$6:$A$1005,0))),""))</f>
        <v/>
      </c>
      <c r="O1588" s="33">
        <f>IF($D1588="","",IFERROR(IF(INDEX(RUNS!$H$6:$H$1005,MATCH($D1588,RUNS!$A$6:$A$1005,0))="","",INDEX(RUNS!$H$6:$H$1005,MATCH($D1588,RUNS!$A$6:$A$1005,0))),""))</f>
        <v/>
      </c>
      <c r="P1588" s="33">
        <f>IF($D1588="","",IFERROR(IF(INDEX(RUNS!$J$6:$J$1005,MATCH($D1588,RUNS!$A$6:$A$1005,0))="","",INDEX(RUNS!$J$6:$J$1005,MATCH($D1588,RUNS!$A$6:$A$1005,0))),""))</f>
        <v/>
      </c>
      <c r="Q1588" s="33">
        <f>IF($D1588="","",IFERROR(IF(INDEX(RUNS!$K$6:$K$1005,MATCH($D1588,RUNS!$A$6:$A$1005,0))="","",INDEX(RUNS!$K$6:$K$1005,MATCH($D1588,RUNS!$A$6:$A$1005,0))),""))</f>
        <v/>
      </c>
      <c r="R1588" s="34">
        <f>IF(OR($L1588="",$K1588=""),"",IFERROR(IF(INDEX(PARAMETRES!$H$43:$H$342,MATCH($L1588&amp;"|"&amp;$M1588&amp;"|"&amp;$N1588&amp;"|"&amp;$O1588&amp;"|"&amp;$P1588&amp;"|"&amp;$Q1588&amp;"|"&amp;$K1588,PARAMETRES!$J$43:$J$342,0))="","",INDEX(PARAMETRES!$H$43:$H$342,MATCH($L1588&amp;"|"&amp;$M1588&amp;"|"&amp;$N1588&amp;"|"&amp;$O1588&amp;"|"&amp;$P1588&amp;"|"&amp;$Q1588&amp;"|"&amp;$K1588,PARAMETRES!$J$43:$J$342,0))),""))</f>
        <v/>
      </c>
      <c r="S1588" s="35">
        <f>IF(OR($G1588="",$X1588&lt;&gt;"VALIDE"),"",IFERROR(LOOKUP(2,1/(($B688:$B1587=$B1588)*($G688:$G1587=$G1588)*($X688:$X1587="VALIDE")),$C688:$C1587),""))</f>
        <v/>
      </c>
      <c r="T1588" s="36">
        <f>IF(OR($C1588="",$S1588=""),"",ROUND(($C1588-$S1588+IF($C1588&lt;$S1588,1,0))*1440,0))</f>
        <v/>
      </c>
      <c r="U1588" s="22">
        <f>IF(OR($H1588="",$T1588="",$T1588&lt;=0),"",$H1588*60/$T1588)</f>
        <v/>
      </c>
      <c r="V1588" s="37">
        <f>IF(OR($U1588="",$R1588="",$R1588=0),"",$U1588/$R1588)</f>
        <v/>
      </c>
      <c r="W1588" s="20">
        <f>IF($G1588="","",IF($X1588="CONTEXTE INCOMPLET","CONTEXTE INCOMPLET",IF($X1588="DOUBLON",StatutDoublon,IF($S1588="",StatutInitial,IF($R1588="",StatutStandardManquant,IF($V1588="","DONNEES INSUFFISANTES",IF($V1588&gt;=SeuilConforme,StatutConforme,IF($V1588&gt;=SeuilSurveiller,StatutSurveiller,StatutSousStandard))))))))</f>
        <v/>
      </c>
      <c r="X1588" s="33">
        <f>IF($G1588="","",IF(OR($D1588="",$E1588="",$F1588=""),"CONTEXTE INCOMPLET",IF(COUNTIFS($D688:$D1587,$D1588,$E688:$E1587,$E1588,$F688:$F1587,$F1588,$G688:$G1587,$G1588)&gt;0,"DOUBLON","VALIDE")))</f>
        <v/>
      </c>
    </row>
    <row r="1589" ht="15" customHeight="1">
      <c r="A1589" s="12">
        <f>IF(OR($B1589="",$G1589=""),"",TEXT($B1589,"YYYYMMDD")&amp;"-"&amp;SUBSTITUTE($E1589," ","")&amp;"-"&amp;$F1589&amp;"-"&amp;$G1589)</f>
        <v/>
      </c>
      <c r="B1589" s="15" t="n"/>
      <c r="C1589" s="16" t="n"/>
      <c r="D1589" s="10" t="n"/>
      <c r="E1589" s="9" t="n"/>
      <c r="F1589" s="9" t="n"/>
      <c r="G1589" s="13" t="n"/>
      <c r="H1589" s="21" t="n"/>
      <c r="I1589" s="21" t="n"/>
      <c r="J1589" s="17">
        <f>IF($G1589="","",IFERROR(INDEX(NomsEmployes,MATCH($G1589,MatriculesEmployes,0)),"MATRICULE INCONNU"))</f>
        <v/>
      </c>
      <c r="K1589" s="33">
        <f>IF(OR($D1589="",$F1589=""),"",IFERROR(IF(INDEX(RUNS!$L$6:$S$1005,MATCH($D1589,RUNS!$A$6:$A$1005,0),MATCH("ACTIVITÉ "&amp;$F1589,RUNS!$L$5:$S$5,0))="","",INDEX(RUNS!$L$6:$S$1005,MATCH($D1589,RUNS!$A$6:$A$1005,0),MATCH("ACTIVITÉ "&amp;$F1589,RUNS!$L$5:$S$5,0))),""))</f>
        <v/>
      </c>
      <c r="L1589" s="33">
        <f>IF($D1589="","",IFERROR(IF(INDEX(RUNS!$E$6:$E$1005,MATCH($D1589,RUNS!$A$6:$A$1005,0))="","",INDEX(RUNS!$E$6:$E$1005,MATCH($D1589,RUNS!$A$6:$A$1005,0))),""))</f>
        <v/>
      </c>
      <c r="M1589" s="33">
        <f>IF($D1589="","",IFERROR(IF(INDEX(RUNS!$F$6:$F$1005,MATCH($D1589,RUNS!$A$6:$A$1005,0))="","",INDEX(RUNS!$F$6:$F$1005,MATCH($D1589,RUNS!$A$6:$A$1005,0))),""))</f>
        <v/>
      </c>
      <c r="N1589" s="33">
        <f>IF($D1589="","",IFERROR(IF(INDEX(RUNS!$G$6:$G$1005,MATCH($D1589,RUNS!$A$6:$A$1005,0))="","",INDEX(RUNS!$G$6:$G$1005,MATCH($D1589,RUNS!$A$6:$A$1005,0))),""))</f>
        <v/>
      </c>
      <c r="O1589" s="33">
        <f>IF($D1589="","",IFERROR(IF(INDEX(RUNS!$H$6:$H$1005,MATCH($D1589,RUNS!$A$6:$A$1005,0))="","",INDEX(RUNS!$H$6:$H$1005,MATCH($D1589,RUNS!$A$6:$A$1005,0))),""))</f>
        <v/>
      </c>
      <c r="P1589" s="33">
        <f>IF($D1589="","",IFERROR(IF(INDEX(RUNS!$J$6:$J$1005,MATCH($D1589,RUNS!$A$6:$A$1005,0))="","",INDEX(RUNS!$J$6:$J$1005,MATCH($D1589,RUNS!$A$6:$A$1005,0))),""))</f>
        <v/>
      </c>
      <c r="Q1589" s="33">
        <f>IF($D1589="","",IFERROR(IF(INDEX(RUNS!$K$6:$K$1005,MATCH($D1589,RUNS!$A$6:$A$1005,0))="","",INDEX(RUNS!$K$6:$K$1005,MATCH($D1589,RUNS!$A$6:$A$1005,0))),""))</f>
        <v/>
      </c>
      <c r="R1589" s="34">
        <f>IF(OR($L1589="",$K1589=""),"",IFERROR(IF(INDEX(PARAMETRES!$H$43:$H$342,MATCH($L1589&amp;"|"&amp;$M1589&amp;"|"&amp;$N1589&amp;"|"&amp;$O1589&amp;"|"&amp;$P1589&amp;"|"&amp;$Q1589&amp;"|"&amp;$K1589,PARAMETRES!$J$43:$J$342,0))="","",INDEX(PARAMETRES!$H$43:$H$342,MATCH($L1589&amp;"|"&amp;$M1589&amp;"|"&amp;$N1589&amp;"|"&amp;$O1589&amp;"|"&amp;$P1589&amp;"|"&amp;$Q1589&amp;"|"&amp;$K1589,PARAMETRES!$J$43:$J$342,0))),""))</f>
        <v/>
      </c>
      <c r="S1589" s="35">
        <f>IF(OR($G1589="",$X1589&lt;&gt;"VALIDE"),"",IFERROR(LOOKUP(2,1/(($B689:$B1588=$B1589)*($G689:$G1588=$G1589)*($X689:$X1588="VALIDE")),$C689:$C1588),""))</f>
        <v/>
      </c>
      <c r="T1589" s="36">
        <f>IF(OR($C1589="",$S1589=""),"",ROUND(($C1589-$S1589+IF($C1589&lt;$S1589,1,0))*1440,0))</f>
        <v/>
      </c>
      <c r="U1589" s="22">
        <f>IF(OR($H1589="",$T1589="",$T1589&lt;=0),"",$H1589*60/$T1589)</f>
        <v/>
      </c>
      <c r="V1589" s="37">
        <f>IF(OR($U1589="",$R1589="",$R1589=0),"",$U1589/$R1589)</f>
        <v/>
      </c>
      <c r="W1589" s="20">
        <f>IF($G1589="","",IF($X1589="CONTEXTE INCOMPLET","CONTEXTE INCOMPLET",IF($X1589="DOUBLON",StatutDoublon,IF($S1589="",StatutInitial,IF($R1589="",StatutStandardManquant,IF($V1589="","DONNEES INSUFFISANTES",IF($V1589&gt;=SeuilConforme,StatutConforme,IF($V1589&gt;=SeuilSurveiller,StatutSurveiller,StatutSousStandard))))))))</f>
        <v/>
      </c>
      <c r="X1589" s="33">
        <f>IF($G1589="","",IF(OR($D1589="",$E1589="",$F1589=""),"CONTEXTE INCOMPLET",IF(COUNTIFS($D689:$D1588,$D1589,$E689:$E1588,$E1589,$F689:$F1588,$F1589,$G689:$G1588,$G1589)&gt;0,"DOUBLON","VALIDE")))</f>
        <v/>
      </c>
    </row>
    <row r="1590" ht="15" customHeight="1">
      <c r="A1590" s="12">
        <f>IF(OR($B1590="",$G1590=""),"",TEXT($B1590,"YYYYMMDD")&amp;"-"&amp;SUBSTITUTE($E1590," ","")&amp;"-"&amp;$F1590&amp;"-"&amp;$G1590)</f>
        <v/>
      </c>
      <c r="B1590" s="15" t="n"/>
      <c r="C1590" s="16" t="n"/>
      <c r="D1590" s="10" t="n"/>
      <c r="E1590" s="9" t="n"/>
      <c r="F1590" s="9" t="n"/>
      <c r="G1590" s="13" t="n"/>
      <c r="H1590" s="21" t="n"/>
      <c r="I1590" s="21" t="n"/>
      <c r="J1590" s="17">
        <f>IF($G1590="","",IFERROR(INDEX(NomsEmployes,MATCH($G1590,MatriculesEmployes,0)),"MATRICULE INCONNU"))</f>
        <v/>
      </c>
      <c r="K1590" s="33">
        <f>IF(OR($D1590="",$F1590=""),"",IFERROR(IF(INDEX(RUNS!$L$6:$S$1005,MATCH($D1590,RUNS!$A$6:$A$1005,0),MATCH("ACTIVITÉ "&amp;$F1590,RUNS!$L$5:$S$5,0))="","",INDEX(RUNS!$L$6:$S$1005,MATCH($D1590,RUNS!$A$6:$A$1005,0),MATCH("ACTIVITÉ "&amp;$F1590,RUNS!$L$5:$S$5,0))),""))</f>
        <v/>
      </c>
      <c r="L1590" s="33">
        <f>IF($D1590="","",IFERROR(IF(INDEX(RUNS!$E$6:$E$1005,MATCH($D1590,RUNS!$A$6:$A$1005,0))="","",INDEX(RUNS!$E$6:$E$1005,MATCH($D1590,RUNS!$A$6:$A$1005,0))),""))</f>
        <v/>
      </c>
      <c r="M1590" s="33">
        <f>IF($D1590="","",IFERROR(IF(INDEX(RUNS!$F$6:$F$1005,MATCH($D1590,RUNS!$A$6:$A$1005,0))="","",INDEX(RUNS!$F$6:$F$1005,MATCH($D1590,RUNS!$A$6:$A$1005,0))),""))</f>
        <v/>
      </c>
      <c r="N1590" s="33">
        <f>IF($D1590="","",IFERROR(IF(INDEX(RUNS!$G$6:$G$1005,MATCH($D1590,RUNS!$A$6:$A$1005,0))="","",INDEX(RUNS!$G$6:$G$1005,MATCH($D1590,RUNS!$A$6:$A$1005,0))),""))</f>
        <v/>
      </c>
      <c r="O1590" s="33">
        <f>IF($D1590="","",IFERROR(IF(INDEX(RUNS!$H$6:$H$1005,MATCH($D1590,RUNS!$A$6:$A$1005,0))="","",INDEX(RUNS!$H$6:$H$1005,MATCH($D1590,RUNS!$A$6:$A$1005,0))),""))</f>
        <v/>
      </c>
      <c r="P1590" s="33">
        <f>IF($D1590="","",IFERROR(IF(INDEX(RUNS!$J$6:$J$1005,MATCH($D1590,RUNS!$A$6:$A$1005,0))="","",INDEX(RUNS!$J$6:$J$1005,MATCH($D1590,RUNS!$A$6:$A$1005,0))),""))</f>
        <v/>
      </c>
      <c r="Q1590" s="33">
        <f>IF($D1590="","",IFERROR(IF(INDEX(RUNS!$K$6:$K$1005,MATCH($D1590,RUNS!$A$6:$A$1005,0))="","",INDEX(RUNS!$K$6:$K$1005,MATCH($D1590,RUNS!$A$6:$A$1005,0))),""))</f>
        <v/>
      </c>
      <c r="R1590" s="34">
        <f>IF(OR($L1590="",$K1590=""),"",IFERROR(IF(INDEX(PARAMETRES!$H$43:$H$342,MATCH($L1590&amp;"|"&amp;$M1590&amp;"|"&amp;$N1590&amp;"|"&amp;$O1590&amp;"|"&amp;$P1590&amp;"|"&amp;$Q1590&amp;"|"&amp;$K1590,PARAMETRES!$J$43:$J$342,0))="","",INDEX(PARAMETRES!$H$43:$H$342,MATCH($L1590&amp;"|"&amp;$M1590&amp;"|"&amp;$N1590&amp;"|"&amp;$O1590&amp;"|"&amp;$P1590&amp;"|"&amp;$Q1590&amp;"|"&amp;$K1590,PARAMETRES!$J$43:$J$342,0))),""))</f>
        <v/>
      </c>
      <c r="S1590" s="35">
        <f>IF(OR($G1590="",$X1590&lt;&gt;"VALIDE"),"",IFERROR(LOOKUP(2,1/(($B690:$B1589=$B1590)*($G690:$G1589=$G1590)*($X690:$X1589="VALIDE")),$C690:$C1589),""))</f>
        <v/>
      </c>
      <c r="T1590" s="36">
        <f>IF(OR($C1590="",$S1590=""),"",ROUND(($C1590-$S1590+IF($C1590&lt;$S1590,1,0))*1440,0))</f>
        <v/>
      </c>
      <c r="U1590" s="22">
        <f>IF(OR($H1590="",$T1590="",$T1590&lt;=0),"",$H1590*60/$T1590)</f>
        <v/>
      </c>
      <c r="V1590" s="37">
        <f>IF(OR($U1590="",$R1590="",$R1590=0),"",$U1590/$R1590)</f>
        <v/>
      </c>
      <c r="W1590" s="20">
        <f>IF($G1590="","",IF($X1590="CONTEXTE INCOMPLET","CONTEXTE INCOMPLET",IF($X1590="DOUBLON",StatutDoublon,IF($S1590="",StatutInitial,IF($R1590="",StatutStandardManquant,IF($V1590="","DONNEES INSUFFISANTES",IF($V1590&gt;=SeuilConforme,StatutConforme,IF($V1590&gt;=SeuilSurveiller,StatutSurveiller,StatutSousStandard))))))))</f>
        <v/>
      </c>
      <c r="X1590" s="33">
        <f>IF($G1590="","",IF(OR($D1590="",$E1590="",$F1590=""),"CONTEXTE INCOMPLET",IF(COUNTIFS($D690:$D1589,$D1590,$E690:$E1589,$E1590,$F690:$F1589,$F1590,$G690:$G1589,$G1590)&gt;0,"DOUBLON","VALIDE")))</f>
        <v/>
      </c>
    </row>
    <row r="1591" ht="15" customHeight="1">
      <c r="A1591" s="12">
        <f>IF(OR($B1591="",$G1591=""),"",TEXT($B1591,"YYYYMMDD")&amp;"-"&amp;SUBSTITUTE($E1591," ","")&amp;"-"&amp;$F1591&amp;"-"&amp;$G1591)</f>
        <v/>
      </c>
      <c r="B1591" s="15" t="n"/>
      <c r="C1591" s="16" t="n"/>
      <c r="D1591" s="10" t="n"/>
      <c r="E1591" s="9" t="n"/>
      <c r="F1591" s="9" t="n"/>
      <c r="G1591" s="13" t="n"/>
      <c r="H1591" s="21" t="n"/>
      <c r="I1591" s="21" t="n"/>
      <c r="J1591" s="17">
        <f>IF($G1591="","",IFERROR(INDEX(NomsEmployes,MATCH($G1591,MatriculesEmployes,0)),"MATRICULE INCONNU"))</f>
        <v/>
      </c>
      <c r="K1591" s="33">
        <f>IF(OR($D1591="",$F1591=""),"",IFERROR(IF(INDEX(RUNS!$L$6:$S$1005,MATCH($D1591,RUNS!$A$6:$A$1005,0),MATCH("ACTIVITÉ "&amp;$F1591,RUNS!$L$5:$S$5,0))="","",INDEX(RUNS!$L$6:$S$1005,MATCH($D1591,RUNS!$A$6:$A$1005,0),MATCH("ACTIVITÉ "&amp;$F1591,RUNS!$L$5:$S$5,0))),""))</f>
        <v/>
      </c>
      <c r="L1591" s="33">
        <f>IF($D1591="","",IFERROR(IF(INDEX(RUNS!$E$6:$E$1005,MATCH($D1591,RUNS!$A$6:$A$1005,0))="","",INDEX(RUNS!$E$6:$E$1005,MATCH($D1591,RUNS!$A$6:$A$1005,0))),""))</f>
        <v/>
      </c>
      <c r="M1591" s="33">
        <f>IF($D1591="","",IFERROR(IF(INDEX(RUNS!$F$6:$F$1005,MATCH($D1591,RUNS!$A$6:$A$1005,0))="","",INDEX(RUNS!$F$6:$F$1005,MATCH($D1591,RUNS!$A$6:$A$1005,0))),""))</f>
        <v/>
      </c>
      <c r="N1591" s="33">
        <f>IF($D1591="","",IFERROR(IF(INDEX(RUNS!$G$6:$G$1005,MATCH($D1591,RUNS!$A$6:$A$1005,0))="","",INDEX(RUNS!$G$6:$G$1005,MATCH($D1591,RUNS!$A$6:$A$1005,0))),""))</f>
        <v/>
      </c>
      <c r="O1591" s="33">
        <f>IF($D1591="","",IFERROR(IF(INDEX(RUNS!$H$6:$H$1005,MATCH($D1591,RUNS!$A$6:$A$1005,0))="","",INDEX(RUNS!$H$6:$H$1005,MATCH($D1591,RUNS!$A$6:$A$1005,0))),""))</f>
        <v/>
      </c>
      <c r="P1591" s="33">
        <f>IF($D1591="","",IFERROR(IF(INDEX(RUNS!$J$6:$J$1005,MATCH($D1591,RUNS!$A$6:$A$1005,0))="","",INDEX(RUNS!$J$6:$J$1005,MATCH($D1591,RUNS!$A$6:$A$1005,0))),""))</f>
        <v/>
      </c>
      <c r="Q1591" s="33">
        <f>IF($D1591="","",IFERROR(IF(INDEX(RUNS!$K$6:$K$1005,MATCH($D1591,RUNS!$A$6:$A$1005,0))="","",INDEX(RUNS!$K$6:$K$1005,MATCH($D1591,RUNS!$A$6:$A$1005,0))),""))</f>
        <v/>
      </c>
      <c r="R1591" s="34">
        <f>IF(OR($L1591="",$K1591=""),"",IFERROR(IF(INDEX(PARAMETRES!$H$43:$H$342,MATCH($L1591&amp;"|"&amp;$M1591&amp;"|"&amp;$N1591&amp;"|"&amp;$O1591&amp;"|"&amp;$P1591&amp;"|"&amp;$Q1591&amp;"|"&amp;$K1591,PARAMETRES!$J$43:$J$342,0))="","",INDEX(PARAMETRES!$H$43:$H$342,MATCH($L1591&amp;"|"&amp;$M1591&amp;"|"&amp;$N1591&amp;"|"&amp;$O1591&amp;"|"&amp;$P1591&amp;"|"&amp;$Q1591&amp;"|"&amp;$K1591,PARAMETRES!$J$43:$J$342,0))),""))</f>
        <v/>
      </c>
      <c r="S1591" s="35">
        <f>IF(OR($G1591="",$X1591&lt;&gt;"VALIDE"),"",IFERROR(LOOKUP(2,1/(($B691:$B1590=$B1591)*($G691:$G1590=$G1591)*($X691:$X1590="VALIDE")),$C691:$C1590),""))</f>
        <v/>
      </c>
      <c r="T1591" s="36">
        <f>IF(OR($C1591="",$S1591=""),"",ROUND(($C1591-$S1591+IF($C1591&lt;$S1591,1,0))*1440,0))</f>
        <v/>
      </c>
      <c r="U1591" s="22">
        <f>IF(OR($H1591="",$T1591="",$T1591&lt;=0),"",$H1591*60/$T1591)</f>
        <v/>
      </c>
      <c r="V1591" s="37">
        <f>IF(OR($U1591="",$R1591="",$R1591=0),"",$U1591/$R1591)</f>
        <v/>
      </c>
      <c r="W1591" s="20">
        <f>IF($G1591="","",IF($X1591="CONTEXTE INCOMPLET","CONTEXTE INCOMPLET",IF($X1591="DOUBLON",StatutDoublon,IF($S1591="",StatutInitial,IF($R1591="",StatutStandardManquant,IF($V1591="","DONNEES INSUFFISANTES",IF($V1591&gt;=SeuilConforme,StatutConforme,IF($V1591&gt;=SeuilSurveiller,StatutSurveiller,StatutSousStandard))))))))</f>
        <v/>
      </c>
      <c r="X1591" s="33">
        <f>IF($G1591="","",IF(OR($D1591="",$E1591="",$F1591=""),"CONTEXTE INCOMPLET",IF(COUNTIFS($D691:$D1590,$D1591,$E691:$E1590,$E1591,$F691:$F1590,$F1591,$G691:$G1590,$G1591)&gt;0,"DOUBLON","VALIDE")))</f>
        <v/>
      </c>
    </row>
    <row r="1592" ht="15" customHeight="1">
      <c r="A1592" s="12">
        <f>IF(OR($B1592="",$G1592=""),"",TEXT($B1592,"YYYYMMDD")&amp;"-"&amp;SUBSTITUTE($E1592," ","")&amp;"-"&amp;$F1592&amp;"-"&amp;$G1592)</f>
        <v/>
      </c>
      <c r="B1592" s="15" t="n"/>
      <c r="C1592" s="16" t="n"/>
      <c r="D1592" s="10" t="n"/>
      <c r="E1592" s="9" t="n"/>
      <c r="F1592" s="9" t="n"/>
      <c r="G1592" s="13" t="n"/>
      <c r="H1592" s="21" t="n"/>
      <c r="I1592" s="21" t="n"/>
      <c r="J1592" s="17">
        <f>IF($G1592="","",IFERROR(INDEX(NomsEmployes,MATCH($G1592,MatriculesEmployes,0)),"MATRICULE INCONNU"))</f>
        <v/>
      </c>
      <c r="K1592" s="33">
        <f>IF(OR($D1592="",$F1592=""),"",IFERROR(IF(INDEX(RUNS!$L$6:$S$1005,MATCH($D1592,RUNS!$A$6:$A$1005,0),MATCH("ACTIVITÉ "&amp;$F1592,RUNS!$L$5:$S$5,0))="","",INDEX(RUNS!$L$6:$S$1005,MATCH($D1592,RUNS!$A$6:$A$1005,0),MATCH("ACTIVITÉ "&amp;$F1592,RUNS!$L$5:$S$5,0))),""))</f>
        <v/>
      </c>
      <c r="L1592" s="33">
        <f>IF($D1592="","",IFERROR(IF(INDEX(RUNS!$E$6:$E$1005,MATCH($D1592,RUNS!$A$6:$A$1005,0))="","",INDEX(RUNS!$E$6:$E$1005,MATCH($D1592,RUNS!$A$6:$A$1005,0))),""))</f>
        <v/>
      </c>
      <c r="M1592" s="33">
        <f>IF($D1592="","",IFERROR(IF(INDEX(RUNS!$F$6:$F$1005,MATCH($D1592,RUNS!$A$6:$A$1005,0))="","",INDEX(RUNS!$F$6:$F$1005,MATCH($D1592,RUNS!$A$6:$A$1005,0))),""))</f>
        <v/>
      </c>
      <c r="N1592" s="33">
        <f>IF($D1592="","",IFERROR(IF(INDEX(RUNS!$G$6:$G$1005,MATCH($D1592,RUNS!$A$6:$A$1005,0))="","",INDEX(RUNS!$G$6:$G$1005,MATCH($D1592,RUNS!$A$6:$A$1005,0))),""))</f>
        <v/>
      </c>
      <c r="O1592" s="33">
        <f>IF($D1592="","",IFERROR(IF(INDEX(RUNS!$H$6:$H$1005,MATCH($D1592,RUNS!$A$6:$A$1005,0))="","",INDEX(RUNS!$H$6:$H$1005,MATCH($D1592,RUNS!$A$6:$A$1005,0))),""))</f>
        <v/>
      </c>
      <c r="P1592" s="33">
        <f>IF($D1592="","",IFERROR(IF(INDEX(RUNS!$J$6:$J$1005,MATCH($D1592,RUNS!$A$6:$A$1005,0))="","",INDEX(RUNS!$J$6:$J$1005,MATCH($D1592,RUNS!$A$6:$A$1005,0))),""))</f>
        <v/>
      </c>
      <c r="Q1592" s="33">
        <f>IF($D1592="","",IFERROR(IF(INDEX(RUNS!$K$6:$K$1005,MATCH($D1592,RUNS!$A$6:$A$1005,0))="","",INDEX(RUNS!$K$6:$K$1005,MATCH($D1592,RUNS!$A$6:$A$1005,0))),""))</f>
        <v/>
      </c>
      <c r="R1592" s="34">
        <f>IF(OR($L1592="",$K1592=""),"",IFERROR(IF(INDEX(PARAMETRES!$H$43:$H$342,MATCH($L1592&amp;"|"&amp;$M1592&amp;"|"&amp;$N1592&amp;"|"&amp;$O1592&amp;"|"&amp;$P1592&amp;"|"&amp;$Q1592&amp;"|"&amp;$K1592,PARAMETRES!$J$43:$J$342,0))="","",INDEX(PARAMETRES!$H$43:$H$342,MATCH($L1592&amp;"|"&amp;$M1592&amp;"|"&amp;$N1592&amp;"|"&amp;$O1592&amp;"|"&amp;$P1592&amp;"|"&amp;$Q1592&amp;"|"&amp;$K1592,PARAMETRES!$J$43:$J$342,0))),""))</f>
        <v/>
      </c>
      <c r="S1592" s="35">
        <f>IF(OR($G1592="",$X1592&lt;&gt;"VALIDE"),"",IFERROR(LOOKUP(2,1/(($B692:$B1591=$B1592)*($G692:$G1591=$G1592)*($X692:$X1591="VALIDE")),$C692:$C1591),""))</f>
        <v/>
      </c>
      <c r="T1592" s="36">
        <f>IF(OR($C1592="",$S1592=""),"",ROUND(($C1592-$S1592+IF($C1592&lt;$S1592,1,0))*1440,0))</f>
        <v/>
      </c>
      <c r="U1592" s="22">
        <f>IF(OR($H1592="",$T1592="",$T1592&lt;=0),"",$H1592*60/$T1592)</f>
        <v/>
      </c>
      <c r="V1592" s="37">
        <f>IF(OR($U1592="",$R1592="",$R1592=0),"",$U1592/$R1592)</f>
        <v/>
      </c>
      <c r="W1592" s="20">
        <f>IF($G1592="","",IF($X1592="CONTEXTE INCOMPLET","CONTEXTE INCOMPLET",IF($X1592="DOUBLON",StatutDoublon,IF($S1592="",StatutInitial,IF($R1592="",StatutStandardManquant,IF($V1592="","DONNEES INSUFFISANTES",IF($V1592&gt;=SeuilConforme,StatutConforme,IF($V1592&gt;=SeuilSurveiller,StatutSurveiller,StatutSousStandard))))))))</f>
        <v/>
      </c>
      <c r="X1592" s="33">
        <f>IF($G1592="","",IF(OR($D1592="",$E1592="",$F1592=""),"CONTEXTE INCOMPLET",IF(COUNTIFS($D692:$D1591,$D1592,$E692:$E1591,$E1592,$F692:$F1591,$F1592,$G692:$G1591,$G1592)&gt;0,"DOUBLON","VALIDE")))</f>
        <v/>
      </c>
    </row>
    <row r="1593" ht="15" customHeight="1">
      <c r="A1593" s="12">
        <f>IF(OR($B1593="",$G1593=""),"",TEXT($B1593,"YYYYMMDD")&amp;"-"&amp;SUBSTITUTE($E1593," ","")&amp;"-"&amp;$F1593&amp;"-"&amp;$G1593)</f>
        <v/>
      </c>
      <c r="B1593" s="15" t="n"/>
      <c r="C1593" s="16" t="n"/>
      <c r="D1593" s="10" t="n"/>
      <c r="E1593" s="9" t="n"/>
      <c r="F1593" s="9" t="n"/>
      <c r="G1593" s="13" t="n"/>
      <c r="H1593" s="21" t="n"/>
      <c r="I1593" s="21" t="n"/>
      <c r="J1593" s="17">
        <f>IF($G1593="","",IFERROR(INDEX(NomsEmployes,MATCH($G1593,MatriculesEmployes,0)),"MATRICULE INCONNU"))</f>
        <v/>
      </c>
      <c r="K1593" s="33">
        <f>IF(OR($D1593="",$F1593=""),"",IFERROR(IF(INDEX(RUNS!$L$6:$S$1005,MATCH($D1593,RUNS!$A$6:$A$1005,0),MATCH("ACTIVITÉ "&amp;$F1593,RUNS!$L$5:$S$5,0))="","",INDEX(RUNS!$L$6:$S$1005,MATCH($D1593,RUNS!$A$6:$A$1005,0),MATCH("ACTIVITÉ "&amp;$F1593,RUNS!$L$5:$S$5,0))),""))</f>
        <v/>
      </c>
      <c r="L1593" s="33">
        <f>IF($D1593="","",IFERROR(IF(INDEX(RUNS!$E$6:$E$1005,MATCH($D1593,RUNS!$A$6:$A$1005,0))="","",INDEX(RUNS!$E$6:$E$1005,MATCH($D1593,RUNS!$A$6:$A$1005,0))),""))</f>
        <v/>
      </c>
      <c r="M1593" s="33">
        <f>IF($D1593="","",IFERROR(IF(INDEX(RUNS!$F$6:$F$1005,MATCH($D1593,RUNS!$A$6:$A$1005,0))="","",INDEX(RUNS!$F$6:$F$1005,MATCH($D1593,RUNS!$A$6:$A$1005,0))),""))</f>
        <v/>
      </c>
      <c r="N1593" s="33">
        <f>IF($D1593="","",IFERROR(IF(INDEX(RUNS!$G$6:$G$1005,MATCH($D1593,RUNS!$A$6:$A$1005,0))="","",INDEX(RUNS!$G$6:$G$1005,MATCH($D1593,RUNS!$A$6:$A$1005,0))),""))</f>
        <v/>
      </c>
      <c r="O1593" s="33">
        <f>IF($D1593="","",IFERROR(IF(INDEX(RUNS!$H$6:$H$1005,MATCH($D1593,RUNS!$A$6:$A$1005,0))="","",INDEX(RUNS!$H$6:$H$1005,MATCH($D1593,RUNS!$A$6:$A$1005,0))),""))</f>
        <v/>
      </c>
      <c r="P1593" s="33">
        <f>IF($D1593="","",IFERROR(IF(INDEX(RUNS!$J$6:$J$1005,MATCH($D1593,RUNS!$A$6:$A$1005,0))="","",INDEX(RUNS!$J$6:$J$1005,MATCH($D1593,RUNS!$A$6:$A$1005,0))),""))</f>
        <v/>
      </c>
      <c r="Q1593" s="33">
        <f>IF($D1593="","",IFERROR(IF(INDEX(RUNS!$K$6:$K$1005,MATCH($D1593,RUNS!$A$6:$A$1005,0))="","",INDEX(RUNS!$K$6:$K$1005,MATCH($D1593,RUNS!$A$6:$A$1005,0))),""))</f>
        <v/>
      </c>
      <c r="R1593" s="34">
        <f>IF(OR($L1593="",$K1593=""),"",IFERROR(IF(INDEX(PARAMETRES!$H$43:$H$342,MATCH($L1593&amp;"|"&amp;$M1593&amp;"|"&amp;$N1593&amp;"|"&amp;$O1593&amp;"|"&amp;$P1593&amp;"|"&amp;$Q1593&amp;"|"&amp;$K1593,PARAMETRES!$J$43:$J$342,0))="","",INDEX(PARAMETRES!$H$43:$H$342,MATCH($L1593&amp;"|"&amp;$M1593&amp;"|"&amp;$N1593&amp;"|"&amp;$O1593&amp;"|"&amp;$P1593&amp;"|"&amp;$Q1593&amp;"|"&amp;$K1593,PARAMETRES!$J$43:$J$342,0))),""))</f>
        <v/>
      </c>
      <c r="S1593" s="35">
        <f>IF(OR($G1593="",$X1593&lt;&gt;"VALIDE"),"",IFERROR(LOOKUP(2,1/(($B693:$B1592=$B1593)*($G693:$G1592=$G1593)*($X693:$X1592="VALIDE")),$C693:$C1592),""))</f>
        <v/>
      </c>
      <c r="T1593" s="36">
        <f>IF(OR($C1593="",$S1593=""),"",ROUND(($C1593-$S1593+IF($C1593&lt;$S1593,1,0))*1440,0))</f>
        <v/>
      </c>
      <c r="U1593" s="22">
        <f>IF(OR($H1593="",$T1593="",$T1593&lt;=0),"",$H1593*60/$T1593)</f>
        <v/>
      </c>
      <c r="V1593" s="37">
        <f>IF(OR($U1593="",$R1593="",$R1593=0),"",$U1593/$R1593)</f>
        <v/>
      </c>
      <c r="W1593" s="20">
        <f>IF($G1593="","",IF($X1593="CONTEXTE INCOMPLET","CONTEXTE INCOMPLET",IF($X1593="DOUBLON",StatutDoublon,IF($S1593="",StatutInitial,IF($R1593="",StatutStandardManquant,IF($V1593="","DONNEES INSUFFISANTES",IF($V1593&gt;=SeuilConforme,StatutConforme,IF($V1593&gt;=SeuilSurveiller,StatutSurveiller,StatutSousStandard))))))))</f>
        <v/>
      </c>
      <c r="X1593" s="33">
        <f>IF($G1593="","",IF(OR($D1593="",$E1593="",$F1593=""),"CONTEXTE INCOMPLET",IF(COUNTIFS($D693:$D1592,$D1593,$E693:$E1592,$E1593,$F693:$F1592,$F1593,$G693:$G1592,$G1593)&gt;0,"DOUBLON","VALIDE")))</f>
        <v/>
      </c>
    </row>
    <row r="1594" ht="15" customHeight="1">
      <c r="A1594" s="12">
        <f>IF(OR($B1594="",$G1594=""),"",TEXT($B1594,"YYYYMMDD")&amp;"-"&amp;SUBSTITUTE($E1594," ","")&amp;"-"&amp;$F1594&amp;"-"&amp;$G1594)</f>
        <v/>
      </c>
      <c r="B1594" s="15" t="n"/>
      <c r="C1594" s="16" t="n"/>
      <c r="D1594" s="10" t="n"/>
      <c r="E1594" s="9" t="n"/>
      <c r="F1594" s="9" t="n"/>
      <c r="G1594" s="13" t="n"/>
      <c r="H1594" s="21" t="n"/>
      <c r="I1594" s="21" t="n"/>
      <c r="J1594" s="17">
        <f>IF($G1594="","",IFERROR(INDEX(NomsEmployes,MATCH($G1594,MatriculesEmployes,0)),"MATRICULE INCONNU"))</f>
        <v/>
      </c>
      <c r="K1594" s="33">
        <f>IF(OR($D1594="",$F1594=""),"",IFERROR(IF(INDEX(RUNS!$L$6:$S$1005,MATCH($D1594,RUNS!$A$6:$A$1005,0),MATCH("ACTIVITÉ "&amp;$F1594,RUNS!$L$5:$S$5,0))="","",INDEX(RUNS!$L$6:$S$1005,MATCH($D1594,RUNS!$A$6:$A$1005,0),MATCH("ACTIVITÉ "&amp;$F1594,RUNS!$L$5:$S$5,0))),""))</f>
        <v/>
      </c>
      <c r="L1594" s="33">
        <f>IF($D1594="","",IFERROR(IF(INDEX(RUNS!$E$6:$E$1005,MATCH($D1594,RUNS!$A$6:$A$1005,0))="","",INDEX(RUNS!$E$6:$E$1005,MATCH($D1594,RUNS!$A$6:$A$1005,0))),""))</f>
        <v/>
      </c>
      <c r="M1594" s="33">
        <f>IF($D1594="","",IFERROR(IF(INDEX(RUNS!$F$6:$F$1005,MATCH($D1594,RUNS!$A$6:$A$1005,0))="","",INDEX(RUNS!$F$6:$F$1005,MATCH($D1594,RUNS!$A$6:$A$1005,0))),""))</f>
        <v/>
      </c>
      <c r="N1594" s="33">
        <f>IF($D1594="","",IFERROR(IF(INDEX(RUNS!$G$6:$G$1005,MATCH($D1594,RUNS!$A$6:$A$1005,0))="","",INDEX(RUNS!$G$6:$G$1005,MATCH($D1594,RUNS!$A$6:$A$1005,0))),""))</f>
        <v/>
      </c>
      <c r="O1594" s="33">
        <f>IF($D1594="","",IFERROR(IF(INDEX(RUNS!$H$6:$H$1005,MATCH($D1594,RUNS!$A$6:$A$1005,0))="","",INDEX(RUNS!$H$6:$H$1005,MATCH($D1594,RUNS!$A$6:$A$1005,0))),""))</f>
        <v/>
      </c>
      <c r="P1594" s="33">
        <f>IF($D1594="","",IFERROR(IF(INDEX(RUNS!$J$6:$J$1005,MATCH($D1594,RUNS!$A$6:$A$1005,0))="","",INDEX(RUNS!$J$6:$J$1005,MATCH($D1594,RUNS!$A$6:$A$1005,0))),""))</f>
        <v/>
      </c>
      <c r="Q1594" s="33">
        <f>IF($D1594="","",IFERROR(IF(INDEX(RUNS!$K$6:$K$1005,MATCH($D1594,RUNS!$A$6:$A$1005,0))="","",INDEX(RUNS!$K$6:$K$1005,MATCH($D1594,RUNS!$A$6:$A$1005,0))),""))</f>
        <v/>
      </c>
      <c r="R1594" s="34">
        <f>IF(OR($L1594="",$K1594=""),"",IFERROR(IF(INDEX(PARAMETRES!$H$43:$H$342,MATCH($L1594&amp;"|"&amp;$M1594&amp;"|"&amp;$N1594&amp;"|"&amp;$O1594&amp;"|"&amp;$P1594&amp;"|"&amp;$Q1594&amp;"|"&amp;$K1594,PARAMETRES!$J$43:$J$342,0))="","",INDEX(PARAMETRES!$H$43:$H$342,MATCH($L1594&amp;"|"&amp;$M1594&amp;"|"&amp;$N1594&amp;"|"&amp;$O1594&amp;"|"&amp;$P1594&amp;"|"&amp;$Q1594&amp;"|"&amp;$K1594,PARAMETRES!$J$43:$J$342,0))),""))</f>
        <v/>
      </c>
      <c r="S1594" s="35">
        <f>IF(OR($G1594="",$X1594&lt;&gt;"VALIDE"),"",IFERROR(LOOKUP(2,1/(($B694:$B1593=$B1594)*($G694:$G1593=$G1594)*($X694:$X1593="VALIDE")),$C694:$C1593),""))</f>
        <v/>
      </c>
      <c r="T1594" s="36">
        <f>IF(OR($C1594="",$S1594=""),"",ROUND(($C1594-$S1594+IF($C1594&lt;$S1594,1,0))*1440,0))</f>
        <v/>
      </c>
      <c r="U1594" s="22">
        <f>IF(OR($H1594="",$T1594="",$T1594&lt;=0),"",$H1594*60/$T1594)</f>
        <v/>
      </c>
      <c r="V1594" s="37">
        <f>IF(OR($U1594="",$R1594="",$R1594=0),"",$U1594/$R1594)</f>
        <v/>
      </c>
      <c r="W1594" s="20">
        <f>IF($G1594="","",IF($X1594="CONTEXTE INCOMPLET","CONTEXTE INCOMPLET",IF($X1594="DOUBLON",StatutDoublon,IF($S1594="",StatutInitial,IF($R1594="",StatutStandardManquant,IF($V1594="","DONNEES INSUFFISANTES",IF($V1594&gt;=SeuilConforme,StatutConforme,IF($V1594&gt;=SeuilSurveiller,StatutSurveiller,StatutSousStandard))))))))</f>
        <v/>
      </c>
      <c r="X1594" s="33">
        <f>IF($G1594="","",IF(OR($D1594="",$E1594="",$F1594=""),"CONTEXTE INCOMPLET",IF(COUNTIFS($D694:$D1593,$D1594,$E694:$E1593,$E1594,$F694:$F1593,$F1594,$G694:$G1593,$G1594)&gt;0,"DOUBLON","VALIDE")))</f>
        <v/>
      </c>
    </row>
    <row r="1595" ht="15" customHeight="1">
      <c r="A1595" s="12">
        <f>IF(OR($B1595="",$G1595=""),"",TEXT($B1595,"YYYYMMDD")&amp;"-"&amp;SUBSTITUTE($E1595," ","")&amp;"-"&amp;$F1595&amp;"-"&amp;$G1595)</f>
        <v/>
      </c>
      <c r="B1595" s="15" t="n"/>
      <c r="C1595" s="16" t="n"/>
      <c r="D1595" s="10" t="n"/>
      <c r="E1595" s="9" t="n"/>
      <c r="F1595" s="9" t="n"/>
      <c r="G1595" s="13" t="n"/>
      <c r="H1595" s="21" t="n"/>
      <c r="I1595" s="21" t="n"/>
      <c r="J1595" s="17">
        <f>IF($G1595="","",IFERROR(INDEX(NomsEmployes,MATCH($G1595,MatriculesEmployes,0)),"MATRICULE INCONNU"))</f>
        <v/>
      </c>
      <c r="K1595" s="33">
        <f>IF(OR($D1595="",$F1595=""),"",IFERROR(IF(INDEX(RUNS!$L$6:$S$1005,MATCH($D1595,RUNS!$A$6:$A$1005,0),MATCH("ACTIVITÉ "&amp;$F1595,RUNS!$L$5:$S$5,0))="","",INDEX(RUNS!$L$6:$S$1005,MATCH($D1595,RUNS!$A$6:$A$1005,0),MATCH("ACTIVITÉ "&amp;$F1595,RUNS!$L$5:$S$5,0))),""))</f>
        <v/>
      </c>
      <c r="L1595" s="33">
        <f>IF($D1595="","",IFERROR(IF(INDEX(RUNS!$E$6:$E$1005,MATCH($D1595,RUNS!$A$6:$A$1005,0))="","",INDEX(RUNS!$E$6:$E$1005,MATCH($D1595,RUNS!$A$6:$A$1005,0))),""))</f>
        <v/>
      </c>
      <c r="M1595" s="33">
        <f>IF($D1595="","",IFERROR(IF(INDEX(RUNS!$F$6:$F$1005,MATCH($D1595,RUNS!$A$6:$A$1005,0))="","",INDEX(RUNS!$F$6:$F$1005,MATCH($D1595,RUNS!$A$6:$A$1005,0))),""))</f>
        <v/>
      </c>
      <c r="N1595" s="33">
        <f>IF($D1595="","",IFERROR(IF(INDEX(RUNS!$G$6:$G$1005,MATCH($D1595,RUNS!$A$6:$A$1005,0))="","",INDEX(RUNS!$G$6:$G$1005,MATCH($D1595,RUNS!$A$6:$A$1005,0))),""))</f>
        <v/>
      </c>
      <c r="O1595" s="33">
        <f>IF($D1595="","",IFERROR(IF(INDEX(RUNS!$H$6:$H$1005,MATCH($D1595,RUNS!$A$6:$A$1005,0))="","",INDEX(RUNS!$H$6:$H$1005,MATCH($D1595,RUNS!$A$6:$A$1005,0))),""))</f>
        <v/>
      </c>
      <c r="P1595" s="33">
        <f>IF($D1595="","",IFERROR(IF(INDEX(RUNS!$J$6:$J$1005,MATCH($D1595,RUNS!$A$6:$A$1005,0))="","",INDEX(RUNS!$J$6:$J$1005,MATCH($D1595,RUNS!$A$6:$A$1005,0))),""))</f>
        <v/>
      </c>
      <c r="Q1595" s="33">
        <f>IF($D1595="","",IFERROR(IF(INDEX(RUNS!$K$6:$K$1005,MATCH($D1595,RUNS!$A$6:$A$1005,0))="","",INDEX(RUNS!$K$6:$K$1005,MATCH($D1595,RUNS!$A$6:$A$1005,0))),""))</f>
        <v/>
      </c>
      <c r="R1595" s="34">
        <f>IF(OR($L1595="",$K1595=""),"",IFERROR(IF(INDEX(PARAMETRES!$H$43:$H$342,MATCH($L1595&amp;"|"&amp;$M1595&amp;"|"&amp;$N1595&amp;"|"&amp;$O1595&amp;"|"&amp;$P1595&amp;"|"&amp;$Q1595&amp;"|"&amp;$K1595,PARAMETRES!$J$43:$J$342,0))="","",INDEX(PARAMETRES!$H$43:$H$342,MATCH($L1595&amp;"|"&amp;$M1595&amp;"|"&amp;$N1595&amp;"|"&amp;$O1595&amp;"|"&amp;$P1595&amp;"|"&amp;$Q1595&amp;"|"&amp;$K1595,PARAMETRES!$J$43:$J$342,0))),""))</f>
        <v/>
      </c>
      <c r="S1595" s="35">
        <f>IF(OR($G1595="",$X1595&lt;&gt;"VALIDE"),"",IFERROR(LOOKUP(2,1/(($B695:$B1594=$B1595)*($G695:$G1594=$G1595)*($X695:$X1594="VALIDE")),$C695:$C1594),""))</f>
        <v/>
      </c>
      <c r="T1595" s="36">
        <f>IF(OR($C1595="",$S1595=""),"",ROUND(($C1595-$S1595+IF($C1595&lt;$S1595,1,0))*1440,0))</f>
        <v/>
      </c>
      <c r="U1595" s="22">
        <f>IF(OR($H1595="",$T1595="",$T1595&lt;=0),"",$H1595*60/$T1595)</f>
        <v/>
      </c>
      <c r="V1595" s="37">
        <f>IF(OR($U1595="",$R1595="",$R1595=0),"",$U1595/$R1595)</f>
        <v/>
      </c>
      <c r="W1595" s="20">
        <f>IF($G1595="","",IF($X1595="CONTEXTE INCOMPLET","CONTEXTE INCOMPLET",IF($X1595="DOUBLON",StatutDoublon,IF($S1595="",StatutInitial,IF($R1595="",StatutStandardManquant,IF($V1595="","DONNEES INSUFFISANTES",IF($V1595&gt;=SeuilConforme,StatutConforme,IF($V1595&gt;=SeuilSurveiller,StatutSurveiller,StatutSousStandard))))))))</f>
        <v/>
      </c>
      <c r="X1595" s="33">
        <f>IF($G1595="","",IF(OR($D1595="",$E1595="",$F1595=""),"CONTEXTE INCOMPLET",IF(COUNTIFS($D695:$D1594,$D1595,$E695:$E1594,$E1595,$F695:$F1594,$F1595,$G695:$G1594,$G1595)&gt;0,"DOUBLON","VALIDE")))</f>
        <v/>
      </c>
    </row>
    <row r="1596" ht="15" customHeight="1">
      <c r="A1596" s="12">
        <f>IF(OR($B1596="",$G1596=""),"",TEXT($B1596,"YYYYMMDD")&amp;"-"&amp;SUBSTITUTE($E1596," ","")&amp;"-"&amp;$F1596&amp;"-"&amp;$G1596)</f>
        <v/>
      </c>
      <c r="B1596" s="15" t="n"/>
      <c r="C1596" s="16" t="n"/>
      <c r="D1596" s="10" t="n"/>
      <c r="E1596" s="9" t="n"/>
      <c r="F1596" s="9" t="n"/>
      <c r="G1596" s="13" t="n"/>
      <c r="H1596" s="21" t="n"/>
      <c r="I1596" s="21" t="n"/>
      <c r="J1596" s="17">
        <f>IF($G1596="","",IFERROR(INDEX(NomsEmployes,MATCH($G1596,MatriculesEmployes,0)),"MATRICULE INCONNU"))</f>
        <v/>
      </c>
      <c r="K1596" s="33">
        <f>IF(OR($D1596="",$F1596=""),"",IFERROR(IF(INDEX(RUNS!$L$6:$S$1005,MATCH($D1596,RUNS!$A$6:$A$1005,0),MATCH("ACTIVITÉ "&amp;$F1596,RUNS!$L$5:$S$5,0))="","",INDEX(RUNS!$L$6:$S$1005,MATCH($D1596,RUNS!$A$6:$A$1005,0),MATCH("ACTIVITÉ "&amp;$F1596,RUNS!$L$5:$S$5,0))),""))</f>
        <v/>
      </c>
      <c r="L1596" s="33">
        <f>IF($D1596="","",IFERROR(IF(INDEX(RUNS!$E$6:$E$1005,MATCH($D1596,RUNS!$A$6:$A$1005,0))="","",INDEX(RUNS!$E$6:$E$1005,MATCH($D1596,RUNS!$A$6:$A$1005,0))),""))</f>
        <v/>
      </c>
      <c r="M1596" s="33">
        <f>IF($D1596="","",IFERROR(IF(INDEX(RUNS!$F$6:$F$1005,MATCH($D1596,RUNS!$A$6:$A$1005,0))="","",INDEX(RUNS!$F$6:$F$1005,MATCH($D1596,RUNS!$A$6:$A$1005,0))),""))</f>
        <v/>
      </c>
      <c r="N1596" s="33">
        <f>IF($D1596="","",IFERROR(IF(INDEX(RUNS!$G$6:$G$1005,MATCH($D1596,RUNS!$A$6:$A$1005,0))="","",INDEX(RUNS!$G$6:$G$1005,MATCH($D1596,RUNS!$A$6:$A$1005,0))),""))</f>
        <v/>
      </c>
      <c r="O1596" s="33">
        <f>IF($D1596="","",IFERROR(IF(INDEX(RUNS!$H$6:$H$1005,MATCH($D1596,RUNS!$A$6:$A$1005,0))="","",INDEX(RUNS!$H$6:$H$1005,MATCH($D1596,RUNS!$A$6:$A$1005,0))),""))</f>
        <v/>
      </c>
      <c r="P1596" s="33">
        <f>IF($D1596="","",IFERROR(IF(INDEX(RUNS!$J$6:$J$1005,MATCH($D1596,RUNS!$A$6:$A$1005,0))="","",INDEX(RUNS!$J$6:$J$1005,MATCH($D1596,RUNS!$A$6:$A$1005,0))),""))</f>
        <v/>
      </c>
      <c r="Q1596" s="33">
        <f>IF($D1596="","",IFERROR(IF(INDEX(RUNS!$K$6:$K$1005,MATCH($D1596,RUNS!$A$6:$A$1005,0))="","",INDEX(RUNS!$K$6:$K$1005,MATCH($D1596,RUNS!$A$6:$A$1005,0))),""))</f>
        <v/>
      </c>
      <c r="R1596" s="34">
        <f>IF(OR($L1596="",$K1596=""),"",IFERROR(IF(INDEX(PARAMETRES!$H$43:$H$342,MATCH($L1596&amp;"|"&amp;$M1596&amp;"|"&amp;$N1596&amp;"|"&amp;$O1596&amp;"|"&amp;$P1596&amp;"|"&amp;$Q1596&amp;"|"&amp;$K1596,PARAMETRES!$J$43:$J$342,0))="","",INDEX(PARAMETRES!$H$43:$H$342,MATCH($L1596&amp;"|"&amp;$M1596&amp;"|"&amp;$N1596&amp;"|"&amp;$O1596&amp;"|"&amp;$P1596&amp;"|"&amp;$Q1596&amp;"|"&amp;$K1596,PARAMETRES!$J$43:$J$342,0))),""))</f>
        <v/>
      </c>
      <c r="S1596" s="35">
        <f>IF(OR($G1596="",$X1596&lt;&gt;"VALIDE"),"",IFERROR(LOOKUP(2,1/(($B696:$B1595=$B1596)*($G696:$G1595=$G1596)*($X696:$X1595="VALIDE")),$C696:$C1595),""))</f>
        <v/>
      </c>
      <c r="T1596" s="36">
        <f>IF(OR($C1596="",$S1596=""),"",ROUND(($C1596-$S1596+IF($C1596&lt;$S1596,1,0))*1440,0))</f>
        <v/>
      </c>
      <c r="U1596" s="22">
        <f>IF(OR($H1596="",$T1596="",$T1596&lt;=0),"",$H1596*60/$T1596)</f>
        <v/>
      </c>
      <c r="V1596" s="37">
        <f>IF(OR($U1596="",$R1596="",$R1596=0),"",$U1596/$R1596)</f>
        <v/>
      </c>
      <c r="W1596" s="20">
        <f>IF($G1596="","",IF($X1596="CONTEXTE INCOMPLET","CONTEXTE INCOMPLET",IF($X1596="DOUBLON",StatutDoublon,IF($S1596="",StatutInitial,IF($R1596="",StatutStandardManquant,IF($V1596="","DONNEES INSUFFISANTES",IF($V1596&gt;=SeuilConforme,StatutConforme,IF($V1596&gt;=SeuilSurveiller,StatutSurveiller,StatutSousStandard))))))))</f>
        <v/>
      </c>
      <c r="X1596" s="33">
        <f>IF($G1596="","",IF(OR($D1596="",$E1596="",$F1596=""),"CONTEXTE INCOMPLET",IF(COUNTIFS($D696:$D1595,$D1596,$E696:$E1595,$E1596,$F696:$F1595,$F1596,$G696:$G1595,$G1596)&gt;0,"DOUBLON","VALIDE")))</f>
        <v/>
      </c>
    </row>
    <row r="1597" ht="15" customHeight="1">
      <c r="A1597" s="12">
        <f>IF(OR($B1597="",$G1597=""),"",TEXT($B1597,"YYYYMMDD")&amp;"-"&amp;SUBSTITUTE($E1597," ","")&amp;"-"&amp;$F1597&amp;"-"&amp;$G1597)</f>
        <v/>
      </c>
      <c r="B1597" s="15" t="n"/>
      <c r="C1597" s="16" t="n"/>
      <c r="D1597" s="10" t="n"/>
      <c r="E1597" s="9" t="n"/>
      <c r="F1597" s="9" t="n"/>
      <c r="G1597" s="13" t="n"/>
      <c r="H1597" s="21" t="n"/>
      <c r="I1597" s="21" t="n"/>
      <c r="J1597" s="17">
        <f>IF($G1597="","",IFERROR(INDEX(NomsEmployes,MATCH($G1597,MatriculesEmployes,0)),"MATRICULE INCONNU"))</f>
        <v/>
      </c>
      <c r="K1597" s="33">
        <f>IF(OR($D1597="",$F1597=""),"",IFERROR(IF(INDEX(RUNS!$L$6:$S$1005,MATCH($D1597,RUNS!$A$6:$A$1005,0),MATCH("ACTIVITÉ "&amp;$F1597,RUNS!$L$5:$S$5,0))="","",INDEX(RUNS!$L$6:$S$1005,MATCH($D1597,RUNS!$A$6:$A$1005,0),MATCH("ACTIVITÉ "&amp;$F1597,RUNS!$L$5:$S$5,0))),""))</f>
        <v/>
      </c>
      <c r="L1597" s="33">
        <f>IF($D1597="","",IFERROR(IF(INDEX(RUNS!$E$6:$E$1005,MATCH($D1597,RUNS!$A$6:$A$1005,0))="","",INDEX(RUNS!$E$6:$E$1005,MATCH($D1597,RUNS!$A$6:$A$1005,0))),""))</f>
        <v/>
      </c>
      <c r="M1597" s="33">
        <f>IF($D1597="","",IFERROR(IF(INDEX(RUNS!$F$6:$F$1005,MATCH($D1597,RUNS!$A$6:$A$1005,0))="","",INDEX(RUNS!$F$6:$F$1005,MATCH($D1597,RUNS!$A$6:$A$1005,0))),""))</f>
        <v/>
      </c>
      <c r="N1597" s="33">
        <f>IF($D1597="","",IFERROR(IF(INDEX(RUNS!$G$6:$G$1005,MATCH($D1597,RUNS!$A$6:$A$1005,0))="","",INDEX(RUNS!$G$6:$G$1005,MATCH($D1597,RUNS!$A$6:$A$1005,0))),""))</f>
        <v/>
      </c>
      <c r="O1597" s="33">
        <f>IF($D1597="","",IFERROR(IF(INDEX(RUNS!$H$6:$H$1005,MATCH($D1597,RUNS!$A$6:$A$1005,0))="","",INDEX(RUNS!$H$6:$H$1005,MATCH($D1597,RUNS!$A$6:$A$1005,0))),""))</f>
        <v/>
      </c>
      <c r="P1597" s="33">
        <f>IF($D1597="","",IFERROR(IF(INDEX(RUNS!$J$6:$J$1005,MATCH($D1597,RUNS!$A$6:$A$1005,0))="","",INDEX(RUNS!$J$6:$J$1005,MATCH($D1597,RUNS!$A$6:$A$1005,0))),""))</f>
        <v/>
      </c>
      <c r="Q1597" s="33">
        <f>IF($D1597="","",IFERROR(IF(INDEX(RUNS!$K$6:$K$1005,MATCH($D1597,RUNS!$A$6:$A$1005,0))="","",INDEX(RUNS!$K$6:$K$1005,MATCH($D1597,RUNS!$A$6:$A$1005,0))),""))</f>
        <v/>
      </c>
      <c r="R1597" s="34">
        <f>IF(OR($L1597="",$K1597=""),"",IFERROR(IF(INDEX(PARAMETRES!$H$43:$H$342,MATCH($L1597&amp;"|"&amp;$M1597&amp;"|"&amp;$N1597&amp;"|"&amp;$O1597&amp;"|"&amp;$P1597&amp;"|"&amp;$Q1597&amp;"|"&amp;$K1597,PARAMETRES!$J$43:$J$342,0))="","",INDEX(PARAMETRES!$H$43:$H$342,MATCH($L1597&amp;"|"&amp;$M1597&amp;"|"&amp;$N1597&amp;"|"&amp;$O1597&amp;"|"&amp;$P1597&amp;"|"&amp;$Q1597&amp;"|"&amp;$K1597,PARAMETRES!$J$43:$J$342,0))),""))</f>
        <v/>
      </c>
      <c r="S1597" s="35">
        <f>IF(OR($G1597="",$X1597&lt;&gt;"VALIDE"),"",IFERROR(LOOKUP(2,1/(($B697:$B1596=$B1597)*($G697:$G1596=$G1597)*($X697:$X1596="VALIDE")),$C697:$C1596),""))</f>
        <v/>
      </c>
      <c r="T1597" s="36">
        <f>IF(OR($C1597="",$S1597=""),"",ROUND(($C1597-$S1597+IF($C1597&lt;$S1597,1,0))*1440,0))</f>
        <v/>
      </c>
      <c r="U1597" s="22">
        <f>IF(OR($H1597="",$T1597="",$T1597&lt;=0),"",$H1597*60/$T1597)</f>
        <v/>
      </c>
      <c r="V1597" s="37">
        <f>IF(OR($U1597="",$R1597="",$R1597=0),"",$U1597/$R1597)</f>
        <v/>
      </c>
      <c r="W1597" s="20">
        <f>IF($G1597="","",IF($X1597="CONTEXTE INCOMPLET","CONTEXTE INCOMPLET",IF($X1597="DOUBLON",StatutDoublon,IF($S1597="",StatutInitial,IF($R1597="",StatutStandardManquant,IF($V1597="","DONNEES INSUFFISANTES",IF($V1597&gt;=SeuilConforme,StatutConforme,IF($V1597&gt;=SeuilSurveiller,StatutSurveiller,StatutSousStandard))))))))</f>
        <v/>
      </c>
      <c r="X1597" s="33">
        <f>IF($G1597="","",IF(OR($D1597="",$E1597="",$F1597=""),"CONTEXTE INCOMPLET",IF(COUNTIFS($D697:$D1596,$D1597,$E697:$E1596,$E1597,$F697:$F1596,$F1597,$G697:$G1596,$G1597)&gt;0,"DOUBLON","VALIDE")))</f>
        <v/>
      </c>
    </row>
    <row r="1598" ht="15" customHeight="1">
      <c r="A1598" s="12">
        <f>IF(OR($B1598="",$G1598=""),"",TEXT($B1598,"YYYYMMDD")&amp;"-"&amp;SUBSTITUTE($E1598," ","")&amp;"-"&amp;$F1598&amp;"-"&amp;$G1598)</f>
        <v/>
      </c>
      <c r="B1598" s="15" t="n"/>
      <c r="C1598" s="16" t="n"/>
      <c r="D1598" s="10" t="n"/>
      <c r="E1598" s="9" t="n"/>
      <c r="F1598" s="9" t="n"/>
      <c r="G1598" s="13" t="n"/>
      <c r="H1598" s="21" t="n"/>
      <c r="I1598" s="21" t="n"/>
      <c r="J1598" s="17">
        <f>IF($G1598="","",IFERROR(INDEX(NomsEmployes,MATCH($G1598,MatriculesEmployes,0)),"MATRICULE INCONNU"))</f>
        <v/>
      </c>
      <c r="K1598" s="33">
        <f>IF(OR($D1598="",$F1598=""),"",IFERROR(IF(INDEX(RUNS!$L$6:$S$1005,MATCH($D1598,RUNS!$A$6:$A$1005,0),MATCH("ACTIVITÉ "&amp;$F1598,RUNS!$L$5:$S$5,0))="","",INDEX(RUNS!$L$6:$S$1005,MATCH($D1598,RUNS!$A$6:$A$1005,0),MATCH("ACTIVITÉ "&amp;$F1598,RUNS!$L$5:$S$5,0))),""))</f>
        <v/>
      </c>
      <c r="L1598" s="33">
        <f>IF($D1598="","",IFERROR(IF(INDEX(RUNS!$E$6:$E$1005,MATCH($D1598,RUNS!$A$6:$A$1005,0))="","",INDEX(RUNS!$E$6:$E$1005,MATCH($D1598,RUNS!$A$6:$A$1005,0))),""))</f>
        <v/>
      </c>
      <c r="M1598" s="33">
        <f>IF($D1598="","",IFERROR(IF(INDEX(RUNS!$F$6:$F$1005,MATCH($D1598,RUNS!$A$6:$A$1005,0))="","",INDEX(RUNS!$F$6:$F$1005,MATCH($D1598,RUNS!$A$6:$A$1005,0))),""))</f>
        <v/>
      </c>
      <c r="N1598" s="33">
        <f>IF($D1598="","",IFERROR(IF(INDEX(RUNS!$G$6:$G$1005,MATCH($D1598,RUNS!$A$6:$A$1005,0))="","",INDEX(RUNS!$G$6:$G$1005,MATCH($D1598,RUNS!$A$6:$A$1005,0))),""))</f>
        <v/>
      </c>
      <c r="O1598" s="33">
        <f>IF($D1598="","",IFERROR(IF(INDEX(RUNS!$H$6:$H$1005,MATCH($D1598,RUNS!$A$6:$A$1005,0))="","",INDEX(RUNS!$H$6:$H$1005,MATCH($D1598,RUNS!$A$6:$A$1005,0))),""))</f>
        <v/>
      </c>
      <c r="P1598" s="33">
        <f>IF($D1598="","",IFERROR(IF(INDEX(RUNS!$J$6:$J$1005,MATCH($D1598,RUNS!$A$6:$A$1005,0))="","",INDEX(RUNS!$J$6:$J$1005,MATCH($D1598,RUNS!$A$6:$A$1005,0))),""))</f>
        <v/>
      </c>
      <c r="Q1598" s="33">
        <f>IF($D1598="","",IFERROR(IF(INDEX(RUNS!$K$6:$K$1005,MATCH($D1598,RUNS!$A$6:$A$1005,0))="","",INDEX(RUNS!$K$6:$K$1005,MATCH($D1598,RUNS!$A$6:$A$1005,0))),""))</f>
        <v/>
      </c>
      <c r="R1598" s="34">
        <f>IF(OR($L1598="",$K1598=""),"",IFERROR(IF(INDEX(PARAMETRES!$H$43:$H$342,MATCH($L1598&amp;"|"&amp;$M1598&amp;"|"&amp;$N1598&amp;"|"&amp;$O1598&amp;"|"&amp;$P1598&amp;"|"&amp;$Q1598&amp;"|"&amp;$K1598,PARAMETRES!$J$43:$J$342,0))="","",INDEX(PARAMETRES!$H$43:$H$342,MATCH($L1598&amp;"|"&amp;$M1598&amp;"|"&amp;$N1598&amp;"|"&amp;$O1598&amp;"|"&amp;$P1598&amp;"|"&amp;$Q1598&amp;"|"&amp;$K1598,PARAMETRES!$J$43:$J$342,0))),""))</f>
        <v/>
      </c>
      <c r="S1598" s="35">
        <f>IF(OR($G1598="",$X1598&lt;&gt;"VALIDE"),"",IFERROR(LOOKUP(2,1/(($B698:$B1597=$B1598)*($G698:$G1597=$G1598)*($X698:$X1597="VALIDE")),$C698:$C1597),""))</f>
        <v/>
      </c>
      <c r="T1598" s="36">
        <f>IF(OR($C1598="",$S1598=""),"",ROUND(($C1598-$S1598+IF($C1598&lt;$S1598,1,0))*1440,0))</f>
        <v/>
      </c>
      <c r="U1598" s="22">
        <f>IF(OR($H1598="",$T1598="",$T1598&lt;=0),"",$H1598*60/$T1598)</f>
        <v/>
      </c>
      <c r="V1598" s="37">
        <f>IF(OR($U1598="",$R1598="",$R1598=0),"",$U1598/$R1598)</f>
        <v/>
      </c>
      <c r="W1598" s="20">
        <f>IF($G1598="","",IF($X1598="CONTEXTE INCOMPLET","CONTEXTE INCOMPLET",IF($X1598="DOUBLON",StatutDoublon,IF($S1598="",StatutInitial,IF($R1598="",StatutStandardManquant,IF($V1598="","DONNEES INSUFFISANTES",IF($V1598&gt;=SeuilConforme,StatutConforme,IF($V1598&gt;=SeuilSurveiller,StatutSurveiller,StatutSousStandard))))))))</f>
        <v/>
      </c>
      <c r="X1598" s="33">
        <f>IF($G1598="","",IF(OR($D1598="",$E1598="",$F1598=""),"CONTEXTE INCOMPLET",IF(COUNTIFS($D698:$D1597,$D1598,$E698:$E1597,$E1598,$F698:$F1597,$F1598,$G698:$G1597,$G1598)&gt;0,"DOUBLON","VALIDE")))</f>
        <v/>
      </c>
    </row>
    <row r="1599" ht="15" customHeight="1">
      <c r="A1599" s="12">
        <f>IF(OR($B1599="",$G1599=""),"",TEXT($B1599,"YYYYMMDD")&amp;"-"&amp;SUBSTITUTE($E1599," ","")&amp;"-"&amp;$F1599&amp;"-"&amp;$G1599)</f>
        <v/>
      </c>
      <c r="B1599" s="15" t="n"/>
      <c r="C1599" s="16" t="n"/>
      <c r="D1599" s="10" t="n"/>
      <c r="E1599" s="9" t="n"/>
      <c r="F1599" s="9" t="n"/>
      <c r="G1599" s="13" t="n"/>
      <c r="H1599" s="21" t="n"/>
      <c r="I1599" s="21" t="n"/>
      <c r="J1599" s="17">
        <f>IF($G1599="","",IFERROR(INDEX(NomsEmployes,MATCH($G1599,MatriculesEmployes,0)),"MATRICULE INCONNU"))</f>
        <v/>
      </c>
      <c r="K1599" s="33">
        <f>IF(OR($D1599="",$F1599=""),"",IFERROR(IF(INDEX(RUNS!$L$6:$S$1005,MATCH($D1599,RUNS!$A$6:$A$1005,0),MATCH("ACTIVITÉ "&amp;$F1599,RUNS!$L$5:$S$5,0))="","",INDEX(RUNS!$L$6:$S$1005,MATCH($D1599,RUNS!$A$6:$A$1005,0),MATCH("ACTIVITÉ "&amp;$F1599,RUNS!$L$5:$S$5,0))),""))</f>
        <v/>
      </c>
      <c r="L1599" s="33">
        <f>IF($D1599="","",IFERROR(IF(INDEX(RUNS!$E$6:$E$1005,MATCH($D1599,RUNS!$A$6:$A$1005,0))="","",INDEX(RUNS!$E$6:$E$1005,MATCH($D1599,RUNS!$A$6:$A$1005,0))),""))</f>
        <v/>
      </c>
      <c r="M1599" s="33">
        <f>IF($D1599="","",IFERROR(IF(INDEX(RUNS!$F$6:$F$1005,MATCH($D1599,RUNS!$A$6:$A$1005,0))="","",INDEX(RUNS!$F$6:$F$1005,MATCH($D1599,RUNS!$A$6:$A$1005,0))),""))</f>
        <v/>
      </c>
      <c r="N1599" s="33">
        <f>IF($D1599="","",IFERROR(IF(INDEX(RUNS!$G$6:$G$1005,MATCH($D1599,RUNS!$A$6:$A$1005,0))="","",INDEX(RUNS!$G$6:$G$1005,MATCH($D1599,RUNS!$A$6:$A$1005,0))),""))</f>
        <v/>
      </c>
      <c r="O1599" s="33">
        <f>IF($D1599="","",IFERROR(IF(INDEX(RUNS!$H$6:$H$1005,MATCH($D1599,RUNS!$A$6:$A$1005,0))="","",INDEX(RUNS!$H$6:$H$1005,MATCH($D1599,RUNS!$A$6:$A$1005,0))),""))</f>
        <v/>
      </c>
      <c r="P1599" s="33">
        <f>IF($D1599="","",IFERROR(IF(INDEX(RUNS!$J$6:$J$1005,MATCH($D1599,RUNS!$A$6:$A$1005,0))="","",INDEX(RUNS!$J$6:$J$1005,MATCH($D1599,RUNS!$A$6:$A$1005,0))),""))</f>
        <v/>
      </c>
      <c r="Q1599" s="33">
        <f>IF($D1599="","",IFERROR(IF(INDEX(RUNS!$K$6:$K$1005,MATCH($D1599,RUNS!$A$6:$A$1005,0))="","",INDEX(RUNS!$K$6:$K$1005,MATCH($D1599,RUNS!$A$6:$A$1005,0))),""))</f>
        <v/>
      </c>
      <c r="R1599" s="34">
        <f>IF(OR($L1599="",$K1599=""),"",IFERROR(IF(INDEX(PARAMETRES!$H$43:$H$342,MATCH($L1599&amp;"|"&amp;$M1599&amp;"|"&amp;$N1599&amp;"|"&amp;$O1599&amp;"|"&amp;$P1599&amp;"|"&amp;$Q1599&amp;"|"&amp;$K1599,PARAMETRES!$J$43:$J$342,0))="","",INDEX(PARAMETRES!$H$43:$H$342,MATCH($L1599&amp;"|"&amp;$M1599&amp;"|"&amp;$N1599&amp;"|"&amp;$O1599&amp;"|"&amp;$P1599&amp;"|"&amp;$Q1599&amp;"|"&amp;$K1599,PARAMETRES!$J$43:$J$342,0))),""))</f>
        <v/>
      </c>
      <c r="S1599" s="35">
        <f>IF(OR($G1599="",$X1599&lt;&gt;"VALIDE"),"",IFERROR(LOOKUP(2,1/(($B699:$B1598=$B1599)*($G699:$G1598=$G1599)*($X699:$X1598="VALIDE")),$C699:$C1598),""))</f>
        <v/>
      </c>
      <c r="T1599" s="36">
        <f>IF(OR($C1599="",$S1599=""),"",ROUND(($C1599-$S1599+IF($C1599&lt;$S1599,1,0))*1440,0))</f>
        <v/>
      </c>
      <c r="U1599" s="22">
        <f>IF(OR($H1599="",$T1599="",$T1599&lt;=0),"",$H1599*60/$T1599)</f>
        <v/>
      </c>
      <c r="V1599" s="37">
        <f>IF(OR($U1599="",$R1599="",$R1599=0),"",$U1599/$R1599)</f>
        <v/>
      </c>
      <c r="W1599" s="20">
        <f>IF($G1599="","",IF($X1599="CONTEXTE INCOMPLET","CONTEXTE INCOMPLET",IF($X1599="DOUBLON",StatutDoublon,IF($S1599="",StatutInitial,IF($R1599="",StatutStandardManquant,IF($V1599="","DONNEES INSUFFISANTES",IF($V1599&gt;=SeuilConforme,StatutConforme,IF($V1599&gt;=SeuilSurveiller,StatutSurveiller,StatutSousStandard))))))))</f>
        <v/>
      </c>
      <c r="X1599" s="33">
        <f>IF($G1599="","",IF(OR($D1599="",$E1599="",$F1599=""),"CONTEXTE INCOMPLET",IF(COUNTIFS($D699:$D1598,$D1599,$E699:$E1598,$E1599,$F699:$F1598,$F1599,$G699:$G1598,$G1599)&gt;0,"DOUBLON","VALIDE")))</f>
        <v/>
      </c>
    </row>
    <row r="1600" ht="15" customHeight="1">
      <c r="A1600" s="12">
        <f>IF(OR($B1600="",$G1600=""),"",TEXT($B1600,"YYYYMMDD")&amp;"-"&amp;SUBSTITUTE($E1600," ","")&amp;"-"&amp;$F1600&amp;"-"&amp;$G1600)</f>
        <v/>
      </c>
      <c r="B1600" s="15" t="n"/>
      <c r="C1600" s="16" t="n"/>
      <c r="D1600" s="10" t="n"/>
      <c r="E1600" s="9" t="n"/>
      <c r="F1600" s="9" t="n"/>
      <c r="G1600" s="13" t="n"/>
      <c r="H1600" s="21" t="n"/>
      <c r="I1600" s="21" t="n"/>
      <c r="J1600" s="17">
        <f>IF($G1600="","",IFERROR(INDEX(NomsEmployes,MATCH($G1600,MatriculesEmployes,0)),"MATRICULE INCONNU"))</f>
        <v/>
      </c>
      <c r="K1600" s="33">
        <f>IF(OR($D1600="",$F1600=""),"",IFERROR(IF(INDEX(RUNS!$L$6:$S$1005,MATCH($D1600,RUNS!$A$6:$A$1005,0),MATCH("ACTIVITÉ "&amp;$F1600,RUNS!$L$5:$S$5,0))="","",INDEX(RUNS!$L$6:$S$1005,MATCH($D1600,RUNS!$A$6:$A$1005,0),MATCH("ACTIVITÉ "&amp;$F1600,RUNS!$L$5:$S$5,0))),""))</f>
        <v/>
      </c>
      <c r="L1600" s="33">
        <f>IF($D1600="","",IFERROR(IF(INDEX(RUNS!$E$6:$E$1005,MATCH($D1600,RUNS!$A$6:$A$1005,0))="","",INDEX(RUNS!$E$6:$E$1005,MATCH($D1600,RUNS!$A$6:$A$1005,0))),""))</f>
        <v/>
      </c>
      <c r="M1600" s="33">
        <f>IF($D1600="","",IFERROR(IF(INDEX(RUNS!$F$6:$F$1005,MATCH($D1600,RUNS!$A$6:$A$1005,0))="","",INDEX(RUNS!$F$6:$F$1005,MATCH($D1600,RUNS!$A$6:$A$1005,0))),""))</f>
        <v/>
      </c>
      <c r="N1600" s="33">
        <f>IF($D1600="","",IFERROR(IF(INDEX(RUNS!$G$6:$G$1005,MATCH($D1600,RUNS!$A$6:$A$1005,0))="","",INDEX(RUNS!$G$6:$G$1005,MATCH($D1600,RUNS!$A$6:$A$1005,0))),""))</f>
        <v/>
      </c>
      <c r="O1600" s="33">
        <f>IF($D1600="","",IFERROR(IF(INDEX(RUNS!$H$6:$H$1005,MATCH($D1600,RUNS!$A$6:$A$1005,0))="","",INDEX(RUNS!$H$6:$H$1005,MATCH($D1600,RUNS!$A$6:$A$1005,0))),""))</f>
        <v/>
      </c>
      <c r="P1600" s="33">
        <f>IF($D1600="","",IFERROR(IF(INDEX(RUNS!$J$6:$J$1005,MATCH($D1600,RUNS!$A$6:$A$1005,0))="","",INDEX(RUNS!$J$6:$J$1005,MATCH($D1600,RUNS!$A$6:$A$1005,0))),""))</f>
        <v/>
      </c>
      <c r="Q1600" s="33">
        <f>IF($D1600="","",IFERROR(IF(INDEX(RUNS!$K$6:$K$1005,MATCH($D1600,RUNS!$A$6:$A$1005,0))="","",INDEX(RUNS!$K$6:$K$1005,MATCH($D1600,RUNS!$A$6:$A$1005,0))),""))</f>
        <v/>
      </c>
      <c r="R1600" s="34">
        <f>IF(OR($L1600="",$K1600=""),"",IFERROR(IF(INDEX(PARAMETRES!$H$43:$H$342,MATCH($L1600&amp;"|"&amp;$M1600&amp;"|"&amp;$N1600&amp;"|"&amp;$O1600&amp;"|"&amp;$P1600&amp;"|"&amp;$Q1600&amp;"|"&amp;$K1600,PARAMETRES!$J$43:$J$342,0))="","",INDEX(PARAMETRES!$H$43:$H$342,MATCH($L1600&amp;"|"&amp;$M1600&amp;"|"&amp;$N1600&amp;"|"&amp;$O1600&amp;"|"&amp;$P1600&amp;"|"&amp;$Q1600&amp;"|"&amp;$K1600,PARAMETRES!$J$43:$J$342,0))),""))</f>
        <v/>
      </c>
      <c r="S1600" s="35">
        <f>IF(OR($G1600="",$X1600&lt;&gt;"VALIDE"),"",IFERROR(LOOKUP(2,1/(($B700:$B1599=$B1600)*($G700:$G1599=$G1600)*($X700:$X1599="VALIDE")),$C700:$C1599),""))</f>
        <v/>
      </c>
      <c r="T1600" s="36">
        <f>IF(OR($C1600="",$S1600=""),"",ROUND(($C1600-$S1600+IF($C1600&lt;$S1600,1,0))*1440,0))</f>
        <v/>
      </c>
      <c r="U1600" s="22">
        <f>IF(OR($H1600="",$T1600="",$T1600&lt;=0),"",$H1600*60/$T1600)</f>
        <v/>
      </c>
      <c r="V1600" s="37">
        <f>IF(OR($U1600="",$R1600="",$R1600=0),"",$U1600/$R1600)</f>
        <v/>
      </c>
      <c r="W1600" s="20">
        <f>IF($G1600="","",IF($X1600="CONTEXTE INCOMPLET","CONTEXTE INCOMPLET",IF($X1600="DOUBLON",StatutDoublon,IF($S1600="",StatutInitial,IF($R1600="",StatutStandardManquant,IF($V1600="","DONNEES INSUFFISANTES",IF($V1600&gt;=SeuilConforme,StatutConforme,IF($V1600&gt;=SeuilSurveiller,StatutSurveiller,StatutSousStandard))))))))</f>
        <v/>
      </c>
      <c r="X1600" s="33">
        <f>IF($G1600="","",IF(OR($D1600="",$E1600="",$F1600=""),"CONTEXTE INCOMPLET",IF(COUNTIFS($D700:$D1599,$D1600,$E700:$E1599,$E1600,$F700:$F1599,$F1600,$G700:$G1599,$G1600)&gt;0,"DOUBLON","VALIDE")))</f>
        <v/>
      </c>
    </row>
    <row r="1601" ht="15" customHeight="1">
      <c r="A1601" s="12">
        <f>IF(OR($B1601="",$G1601=""),"",TEXT($B1601,"YYYYMMDD")&amp;"-"&amp;SUBSTITUTE($E1601," ","")&amp;"-"&amp;$F1601&amp;"-"&amp;$G1601)</f>
        <v/>
      </c>
      <c r="B1601" s="15" t="n"/>
      <c r="C1601" s="16" t="n"/>
      <c r="D1601" s="10" t="n"/>
      <c r="E1601" s="9" t="n"/>
      <c r="F1601" s="9" t="n"/>
      <c r="G1601" s="13" t="n"/>
      <c r="H1601" s="21" t="n"/>
      <c r="I1601" s="21" t="n"/>
      <c r="J1601" s="17">
        <f>IF($G1601="","",IFERROR(INDEX(NomsEmployes,MATCH($G1601,MatriculesEmployes,0)),"MATRICULE INCONNU"))</f>
        <v/>
      </c>
      <c r="K1601" s="33">
        <f>IF(OR($D1601="",$F1601=""),"",IFERROR(IF(INDEX(RUNS!$L$6:$S$1005,MATCH($D1601,RUNS!$A$6:$A$1005,0),MATCH("ACTIVITÉ "&amp;$F1601,RUNS!$L$5:$S$5,0))="","",INDEX(RUNS!$L$6:$S$1005,MATCH($D1601,RUNS!$A$6:$A$1005,0),MATCH("ACTIVITÉ "&amp;$F1601,RUNS!$L$5:$S$5,0))),""))</f>
        <v/>
      </c>
      <c r="L1601" s="33">
        <f>IF($D1601="","",IFERROR(IF(INDEX(RUNS!$E$6:$E$1005,MATCH($D1601,RUNS!$A$6:$A$1005,0))="","",INDEX(RUNS!$E$6:$E$1005,MATCH($D1601,RUNS!$A$6:$A$1005,0))),""))</f>
        <v/>
      </c>
      <c r="M1601" s="33">
        <f>IF($D1601="","",IFERROR(IF(INDEX(RUNS!$F$6:$F$1005,MATCH($D1601,RUNS!$A$6:$A$1005,0))="","",INDEX(RUNS!$F$6:$F$1005,MATCH($D1601,RUNS!$A$6:$A$1005,0))),""))</f>
        <v/>
      </c>
      <c r="N1601" s="33">
        <f>IF($D1601="","",IFERROR(IF(INDEX(RUNS!$G$6:$G$1005,MATCH($D1601,RUNS!$A$6:$A$1005,0))="","",INDEX(RUNS!$G$6:$G$1005,MATCH($D1601,RUNS!$A$6:$A$1005,0))),""))</f>
        <v/>
      </c>
      <c r="O1601" s="33">
        <f>IF($D1601="","",IFERROR(IF(INDEX(RUNS!$H$6:$H$1005,MATCH($D1601,RUNS!$A$6:$A$1005,0))="","",INDEX(RUNS!$H$6:$H$1005,MATCH($D1601,RUNS!$A$6:$A$1005,0))),""))</f>
        <v/>
      </c>
      <c r="P1601" s="33">
        <f>IF($D1601="","",IFERROR(IF(INDEX(RUNS!$J$6:$J$1005,MATCH($D1601,RUNS!$A$6:$A$1005,0))="","",INDEX(RUNS!$J$6:$J$1005,MATCH($D1601,RUNS!$A$6:$A$1005,0))),""))</f>
        <v/>
      </c>
      <c r="Q1601" s="33">
        <f>IF($D1601="","",IFERROR(IF(INDEX(RUNS!$K$6:$K$1005,MATCH($D1601,RUNS!$A$6:$A$1005,0))="","",INDEX(RUNS!$K$6:$K$1005,MATCH($D1601,RUNS!$A$6:$A$1005,0))),""))</f>
        <v/>
      </c>
      <c r="R1601" s="34">
        <f>IF(OR($L1601="",$K1601=""),"",IFERROR(IF(INDEX(PARAMETRES!$H$43:$H$342,MATCH($L1601&amp;"|"&amp;$M1601&amp;"|"&amp;$N1601&amp;"|"&amp;$O1601&amp;"|"&amp;$P1601&amp;"|"&amp;$Q1601&amp;"|"&amp;$K1601,PARAMETRES!$J$43:$J$342,0))="","",INDEX(PARAMETRES!$H$43:$H$342,MATCH($L1601&amp;"|"&amp;$M1601&amp;"|"&amp;$N1601&amp;"|"&amp;$O1601&amp;"|"&amp;$P1601&amp;"|"&amp;$Q1601&amp;"|"&amp;$K1601,PARAMETRES!$J$43:$J$342,0))),""))</f>
        <v/>
      </c>
      <c r="S1601" s="35">
        <f>IF(OR($G1601="",$X1601&lt;&gt;"VALIDE"),"",IFERROR(LOOKUP(2,1/(($B701:$B1600=$B1601)*($G701:$G1600=$G1601)*($X701:$X1600="VALIDE")),$C701:$C1600),""))</f>
        <v/>
      </c>
      <c r="T1601" s="36">
        <f>IF(OR($C1601="",$S1601=""),"",ROUND(($C1601-$S1601+IF($C1601&lt;$S1601,1,0))*1440,0))</f>
        <v/>
      </c>
      <c r="U1601" s="22">
        <f>IF(OR($H1601="",$T1601="",$T1601&lt;=0),"",$H1601*60/$T1601)</f>
        <v/>
      </c>
      <c r="V1601" s="37">
        <f>IF(OR($U1601="",$R1601="",$R1601=0),"",$U1601/$R1601)</f>
        <v/>
      </c>
      <c r="W1601" s="20">
        <f>IF($G1601="","",IF($X1601="CONTEXTE INCOMPLET","CONTEXTE INCOMPLET",IF($X1601="DOUBLON",StatutDoublon,IF($S1601="",StatutInitial,IF($R1601="",StatutStandardManquant,IF($V1601="","DONNEES INSUFFISANTES",IF($V1601&gt;=SeuilConforme,StatutConforme,IF($V1601&gt;=SeuilSurveiller,StatutSurveiller,StatutSousStandard))))))))</f>
        <v/>
      </c>
      <c r="X1601" s="33">
        <f>IF($G1601="","",IF(OR($D1601="",$E1601="",$F1601=""),"CONTEXTE INCOMPLET",IF(COUNTIFS($D701:$D1600,$D1601,$E701:$E1600,$E1601,$F701:$F1600,$F1601,$G701:$G1600,$G1601)&gt;0,"DOUBLON","VALIDE")))</f>
        <v/>
      </c>
    </row>
    <row r="1602" ht="15" customHeight="1">
      <c r="A1602" s="12">
        <f>IF(OR($B1602="",$G1602=""),"",TEXT($B1602,"YYYYMMDD")&amp;"-"&amp;SUBSTITUTE($E1602," ","")&amp;"-"&amp;$F1602&amp;"-"&amp;$G1602)</f>
        <v/>
      </c>
      <c r="B1602" s="15" t="n"/>
      <c r="C1602" s="16" t="n"/>
      <c r="D1602" s="10" t="n"/>
      <c r="E1602" s="9" t="n"/>
      <c r="F1602" s="9" t="n"/>
      <c r="G1602" s="13" t="n"/>
      <c r="H1602" s="21" t="n"/>
      <c r="I1602" s="21" t="n"/>
      <c r="J1602" s="17">
        <f>IF($G1602="","",IFERROR(INDEX(NomsEmployes,MATCH($G1602,MatriculesEmployes,0)),"MATRICULE INCONNU"))</f>
        <v/>
      </c>
      <c r="K1602" s="33">
        <f>IF(OR($D1602="",$F1602=""),"",IFERROR(IF(INDEX(RUNS!$L$6:$S$1005,MATCH($D1602,RUNS!$A$6:$A$1005,0),MATCH("ACTIVITÉ "&amp;$F1602,RUNS!$L$5:$S$5,0))="","",INDEX(RUNS!$L$6:$S$1005,MATCH($D1602,RUNS!$A$6:$A$1005,0),MATCH("ACTIVITÉ "&amp;$F1602,RUNS!$L$5:$S$5,0))),""))</f>
        <v/>
      </c>
      <c r="L1602" s="33">
        <f>IF($D1602="","",IFERROR(IF(INDEX(RUNS!$E$6:$E$1005,MATCH($D1602,RUNS!$A$6:$A$1005,0))="","",INDEX(RUNS!$E$6:$E$1005,MATCH($D1602,RUNS!$A$6:$A$1005,0))),""))</f>
        <v/>
      </c>
      <c r="M1602" s="33">
        <f>IF($D1602="","",IFERROR(IF(INDEX(RUNS!$F$6:$F$1005,MATCH($D1602,RUNS!$A$6:$A$1005,0))="","",INDEX(RUNS!$F$6:$F$1005,MATCH($D1602,RUNS!$A$6:$A$1005,0))),""))</f>
        <v/>
      </c>
      <c r="N1602" s="33">
        <f>IF($D1602="","",IFERROR(IF(INDEX(RUNS!$G$6:$G$1005,MATCH($D1602,RUNS!$A$6:$A$1005,0))="","",INDEX(RUNS!$G$6:$G$1005,MATCH($D1602,RUNS!$A$6:$A$1005,0))),""))</f>
        <v/>
      </c>
      <c r="O1602" s="33">
        <f>IF($D1602="","",IFERROR(IF(INDEX(RUNS!$H$6:$H$1005,MATCH($D1602,RUNS!$A$6:$A$1005,0))="","",INDEX(RUNS!$H$6:$H$1005,MATCH($D1602,RUNS!$A$6:$A$1005,0))),""))</f>
        <v/>
      </c>
      <c r="P1602" s="33">
        <f>IF($D1602="","",IFERROR(IF(INDEX(RUNS!$J$6:$J$1005,MATCH($D1602,RUNS!$A$6:$A$1005,0))="","",INDEX(RUNS!$J$6:$J$1005,MATCH($D1602,RUNS!$A$6:$A$1005,0))),""))</f>
        <v/>
      </c>
      <c r="Q1602" s="33">
        <f>IF($D1602="","",IFERROR(IF(INDEX(RUNS!$K$6:$K$1005,MATCH($D1602,RUNS!$A$6:$A$1005,0))="","",INDEX(RUNS!$K$6:$K$1005,MATCH($D1602,RUNS!$A$6:$A$1005,0))),""))</f>
        <v/>
      </c>
      <c r="R1602" s="34">
        <f>IF(OR($L1602="",$K1602=""),"",IFERROR(IF(INDEX(PARAMETRES!$H$43:$H$342,MATCH($L1602&amp;"|"&amp;$M1602&amp;"|"&amp;$N1602&amp;"|"&amp;$O1602&amp;"|"&amp;$P1602&amp;"|"&amp;$Q1602&amp;"|"&amp;$K1602,PARAMETRES!$J$43:$J$342,0))="","",INDEX(PARAMETRES!$H$43:$H$342,MATCH($L1602&amp;"|"&amp;$M1602&amp;"|"&amp;$N1602&amp;"|"&amp;$O1602&amp;"|"&amp;$P1602&amp;"|"&amp;$Q1602&amp;"|"&amp;$K1602,PARAMETRES!$J$43:$J$342,0))),""))</f>
        <v/>
      </c>
      <c r="S1602" s="35">
        <f>IF(OR($G1602="",$X1602&lt;&gt;"VALIDE"),"",IFERROR(LOOKUP(2,1/(($B702:$B1601=$B1602)*($G702:$G1601=$G1602)*($X702:$X1601="VALIDE")),$C702:$C1601),""))</f>
        <v/>
      </c>
      <c r="T1602" s="36">
        <f>IF(OR($C1602="",$S1602=""),"",ROUND(($C1602-$S1602+IF($C1602&lt;$S1602,1,0))*1440,0))</f>
        <v/>
      </c>
      <c r="U1602" s="22">
        <f>IF(OR($H1602="",$T1602="",$T1602&lt;=0),"",$H1602*60/$T1602)</f>
        <v/>
      </c>
      <c r="V1602" s="37">
        <f>IF(OR($U1602="",$R1602="",$R1602=0),"",$U1602/$R1602)</f>
        <v/>
      </c>
      <c r="W1602" s="20">
        <f>IF($G1602="","",IF($X1602="CONTEXTE INCOMPLET","CONTEXTE INCOMPLET",IF($X1602="DOUBLON",StatutDoublon,IF($S1602="",StatutInitial,IF($R1602="",StatutStandardManquant,IF($V1602="","DONNEES INSUFFISANTES",IF($V1602&gt;=SeuilConforme,StatutConforme,IF($V1602&gt;=SeuilSurveiller,StatutSurveiller,StatutSousStandard))))))))</f>
        <v/>
      </c>
      <c r="X1602" s="33">
        <f>IF($G1602="","",IF(OR($D1602="",$E1602="",$F1602=""),"CONTEXTE INCOMPLET",IF(COUNTIFS($D702:$D1601,$D1602,$E702:$E1601,$E1602,$F702:$F1601,$F1602,$G702:$G1601,$G1602)&gt;0,"DOUBLON","VALIDE")))</f>
        <v/>
      </c>
    </row>
    <row r="1603" ht="15" customHeight="1">
      <c r="A1603" s="12">
        <f>IF(OR($B1603="",$G1603=""),"",TEXT($B1603,"YYYYMMDD")&amp;"-"&amp;SUBSTITUTE($E1603," ","")&amp;"-"&amp;$F1603&amp;"-"&amp;$G1603)</f>
        <v/>
      </c>
      <c r="B1603" s="15" t="n"/>
      <c r="C1603" s="16" t="n"/>
      <c r="D1603" s="10" t="n"/>
      <c r="E1603" s="9" t="n"/>
      <c r="F1603" s="9" t="n"/>
      <c r="G1603" s="13" t="n"/>
      <c r="H1603" s="21" t="n"/>
      <c r="I1603" s="21" t="n"/>
      <c r="J1603" s="17">
        <f>IF($G1603="","",IFERROR(INDEX(NomsEmployes,MATCH($G1603,MatriculesEmployes,0)),"MATRICULE INCONNU"))</f>
        <v/>
      </c>
      <c r="K1603" s="33">
        <f>IF(OR($D1603="",$F1603=""),"",IFERROR(IF(INDEX(RUNS!$L$6:$S$1005,MATCH($D1603,RUNS!$A$6:$A$1005,0),MATCH("ACTIVITÉ "&amp;$F1603,RUNS!$L$5:$S$5,0))="","",INDEX(RUNS!$L$6:$S$1005,MATCH($D1603,RUNS!$A$6:$A$1005,0),MATCH("ACTIVITÉ "&amp;$F1603,RUNS!$L$5:$S$5,0))),""))</f>
        <v/>
      </c>
      <c r="L1603" s="33">
        <f>IF($D1603="","",IFERROR(IF(INDEX(RUNS!$E$6:$E$1005,MATCH($D1603,RUNS!$A$6:$A$1005,0))="","",INDEX(RUNS!$E$6:$E$1005,MATCH($D1603,RUNS!$A$6:$A$1005,0))),""))</f>
        <v/>
      </c>
      <c r="M1603" s="33">
        <f>IF($D1603="","",IFERROR(IF(INDEX(RUNS!$F$6:$F$1005,MATCH($D1603,RUNS!$A$6:$A$1005,0))="","",INDEX(RUNS!$F$6:$F$1005,MATCH($D1603,RUNS!$A$6:$A$1005,0))),""))</f>
        <v/>
      </c>
      <c r="N1603" s="33">
        <f>IF($D1603="","",IFERROR(IF(INDEX(RUNS!$G$6:$G$1005,MATCH($D1603,RUNS!$A$6:$A$1005,0))="","",INDEX(RUNS!$G$6:$G$1005,MATCH($D1603,RUNS!$A$6:$A$1005,0))),""))</f>
        <v/>
      </c>
      <c r="O1603" s="33">
        <f>IF($D1603="","",IFERROR(IF(INDEX(RUNS!$H$6:$H$1005,MATCH($D1603,RUNS!$A$6:$A$1005,0))="","",INDEX(RUNS!$H$6:$H$1005,MATCH($D1603,RUNS!$A$6:$A$1005,0))),""))</f>
        <v/>
      </c>
      <c r="P1603" s="33">
        <f>IF($D1603="","",IFERROR(IF(INDEX(RUNS!$J$6:$J$1005,MATCH($D1603,RUNS!$A$6:$A$1005,0))="","",INDEX(RUNS!$J$6:$J$1005,MATCH($D1603,RUNS!$A$6:$A$1005,0))),""))</f>
        <v/>
      </c>
      <c r="Q1603" s="33">
        <f>IF($D1603="","",IFERROR(IF(INDEX(RUNS!$K$6:$K$1005,MATCH($D1603,RUNS!$A$6:$A$1005,0))="","",INDEX(RUNS!$K$6:$K$1005,MATCH($D1603,RUNS!$A$6:$A$1005,0))),""))</f>
        <v/>
      </c>
      <c r="R1603" s="34">
        <f>IF(OR($L1603="",$K1603=""),"",IFERROR(IF(INDEX(PARAMETRES!$H$43:$H$342,MATCH($L1603&amp;"|"&amp;$M1603&amp;"|"&amp;$N1603&amp;"|"&amp;$O1603&amp;"|"&amp;$P1603&amp;"|"&amp;$Q1603&amp;"|"&amp;$K1603,PARAMETRES!$J$43:$J$342,0))="","",INDEX(PARAMETRES!$H$43:$H$342,MATCH($L1603&amp;"|"&amp;$M1603&amp;"|"&amp;$N1603&amp;"|"&amp;$O1603&amp;"|"&amp;$P1603&amp;"|"&amp;$Q1603&amp;"|"&amp;$K1603,PARAMETRES!$J$43:$J$342,0))),""))</f>
        <v/>
      </c>
      <c r="S1603" s="35">
        <f>IF(OR($G1603="",$X1603&lt;&gt;"VALIDE"),"",IFERROR(LOOKUP(2,1/(($B703:$B1602=$B1603)*($G703:$G1602=$G1603)*($X703:$X1602="VALIDE")),$C703:$C1602),""))</f>
        <v/>
      </c>
      <c r="T1603" s="36">
        <f>IF(OR($C1603="",$S1603=""),"",ROUND(($C1603-$S1603+IF($C1603&lt;$S1603,1,0))*1440,0))</f>
        <v/>
      </c>
      <c r="U1603" s="22">
        <f>IF(OR($H1603="",$T1603="",$T1603&lt;=0),"",$H1603*60/$T1603)</f>
        <v/>
      </c>
      <c r="V1603" s="37">
        <f>IF(OR($U1603="",$R1603="",$R1603=0),"",$U1603/$R1603)</f>
        <v/>
      </c>
      <c r="W1603" s="20">
        <f>IF($G1603="","",IF($X1603="CONTEXTE INCOMPLET","CONTEXTE INCOMPLET",IF($X1603="DOUBLON",StatutDoublon,IF($S1603="",StatutInitial,IF($R1603="",StatutStandardManquant,IF($V1603="","DONNEES INSUFFISANTES",IF($V1603&gt;=SeuilConforme,StatutConforme,IF($V1603&gt;=SeuilSurveiller,StatutSurveiller,StatutSousStandard))))))))</f>
        <v/>
      </c>
      <c r="X1603" s="33">
        <f>IF($G1603="","",IF(OR($D1603="",$E1603="",$F1603=""),"CONTEXTE INCOMPLET",IF(COUNTIFS($D703:$D1602,$D1603,$E703:$E1602,$E1603,$F703:$F1602,$F1603,$G703:$G1602,$G1603)&gt;0,"DOUBLON","VALIDE")))</f>
        <v/>
      </c>
    </row>
    <row r="1604" ht="15" customHeight="1">
      <c r="A1604" s="12">
        <f>IF(OR($B1604="",$G1604=""),"",TEXT($B1604,"YYYYMMDD")&amp;"-"&amp;SUBSTITUTE($E1604," ","")&amp;"-"&amp;$F1604&amp;"-"&amp;$G1604)</f>
        <v/>
      </c>
      <c r="B1604" s="15" t="n"/>
      <c r="C1604" s="16" t="n"/>
      <c r="D1604" s="10" t="n"/>
      <c r="E1604" s="9" t="n"/>
      <c r="F1604" s="9" t="n"/>
      <c r="G1604" s="13" t="n"/>
      <c r="H1604" s="21" t="n"/>
      <c r="I1604" s="21" t="n"/>
      <c r="J1604" s="17">
        <f>IF($G1604="","",IFERROR(INDEX(NomsEmployes,MATCH($G1604,MatriculesEmployes,0)),"MATRICULE INCONNU"))</f>
        <v/>
      </c>
      <c r="K1604" s="33">
        <f>IF(OR($D1604="",$F1604=""),"",IFERROR(IF(INDEX(RUNS!$L$6:$S$1005,MATCH($D1604,RUNS!$A$6:$A$1005,0),MATCH("ACTIVITÉ "&amp;$F1604,RUNS!$L$5:$S$5,0))="","",INDEX(RUNS!$L$6:$S$1005,MATCH($D1604,RUNS!$A$6:$A$1005,0),MATCH("ACTIVITÉ "&amp;$F1604,RUNS!$L$5:$S$5,0))),""))</f>
        <v/>
      </c>
      <c r="L1604" s="33">
        <f>IF($D1604="","",IFERROR(IF(INDEX(RUNS!$E$6:$E$1005,MATCH($D1604,RUNS!$A$6:$A$1005,0))="","",INDEX(RUNS!$E$6:$E$1005,MATCH($D1604,RUNS!$A$6:$A$1005,0))),""))</f>
        <v/>
      </c>
      <c r="M1604" s="33">
        <f>IF($D1604="","",IFERROR(IF(INDEX(RUNS!$F$6:$F$1005,MATCH($D1604,RUNS!$A$6:$A$1005,0))="","",INDEX(RUNS!$F$6:$F$1005,MATCH($D1604,RUNS!$A$6:$A$1005,0))),""))</f>
        <v/>
      </c>
      <c r="N1604" s="33">
        <f>IF($D1604="","",IFERROR(IF(INDEX(RUNS!$G$6:$G$1005,MATCH($D1604,RUNS!$A$6:$A$1005,0))="","",INDEX(RUNS!$G$6:$G$1005,MATCH($D1604,RUNS!$A$6:$A$1005,0))),""))</f>
        <v/>
      </c>
      <c r="O1604" s="33">
        <f>IF($D1604="","",IFERROR(IF(INDEX(RUNS!$H$6:$H$1005,MATCH($D1604,RUNS!$A$6:$A$1005,0))="","",INDEX(RUNS!$H$6:$H$1005,MATCH($D1604,RUNS!$A$6:$A$1005,0))),""))</f>
        <v/>
      </c>
      <c r="P1604" s="33">
        <f>IF($D1604="","",IFERROR(IF(INDEX(RUNS!$J$6:$J$1005,MATCH($D1604,RUNS!$A$6:$A$1005,0))="","",INDEX(RUNS!$J$6:$J$1005,MATCH($D1604,RUNS!$A$6:$A$1005,0))),""))</f>
        <v/>
      </c>
      <c r="Q1604" s="33">
        <f>IF($D1604="","",IFERROR(IF(INDEX(RUNS!$K$6:$K$1005,MATCH($D1604,RUNS!$A$6:$A$1005,0))="","",INDEX(RUNS!$K$6:$K$1005,MATCH($D1604,RUNS!$A$6:$A$1005,0))),""))</f>
        <v/>
      </c>
      <c r="R1604" s="34">
        <f>IF(OR($L1604="",$K1604=""),"",IFERROR(IF(INDEX(PARAMETRES!$H$43:$H$342,MATCH($L1604&amp;"|"&amp;$M1604&amp;"|"&amp;$N1604&amp;"|"&amp;$O1604&amp;"|"&amp;$P1604&amp;"|"&amp;$Q1604&amp;"|"&amp;$K1604,PARAMETRES!$J$43:$J$342,0))="","",INDEX(PARAMETRES!$H$43:$H$342,MATCH($L1604&amp;"|"&amp;$M1604&amp;"|"&amp;$N1604&amp;"|"&amp;$O1604&amp;"|"&amp;$P1604&amp;"|"&amp;$Q1604&amp;"|"&amp;$K1604,PARAMETRES!$J$43:$J$342,0))),""))</f>
        <v/>
      </c>
      <c r="S1604" s="35">
        <f>IF(OR($G1604="",$X1604&lt;&gt;"VALIDE"),"",IFERROR(LOOKUP(2,1/(($B704:$B1603=$B1604)*($G704:$G1603=$G1604)*($X704:$X1603="VALIDE")),$C704:$C1603),""))</f>
        <v/>
      </c>
      <c r="T1604" s="36">
        <f>IF(OR($C1604="",$S1604=""),"",ROUND(($C1604-$S1604+IF($C1604&lt;$S1604,1,0))*1440,0))</f>
        <v/>
      </c>
      <c r="U1604" s="22">
        <f>IF(OR($H1604="",$T1604="",$T1604&lt;=0),"",$H1604*60/$T1604)</f>
        <v/>
      </c>
      <c r="V1604" s="37">
        <f>IF(OR($U1604="",$R1604="",$R1604=0),"",$U1604/$R1604)</f>
        <v/>
      </c>
      <c r="W1604" s="20">
        <f>IF($G1604="","",IF($X1604="CONTEXTE INCOMPLET","CONTEXTE INCOMPLET",IF($X1604="DOUBLON",StatutDoublon,IF($S1604="",StatutInitial,IF($R1604="",StatutStandardManquant,IF($V1604="","DONNEES INSUFFISANTES",IF($V1604&gt;=SeuilConforme,StatutConforme,IF($V1604&gt;=SeuilSurveiller,StatutSurveiller,StatutSousStandard))))))))</f>
        <v/>
      </c>
      <c r="X1604" s="33">
        <f>IF($G1604="","",IF(OR($D1604="",$E1604="",$F1604=""),"CONTEXTE INCOMPLET",IF(COUNTIFS($D704:$D1603,$D1604,$E704:$E1603,$E1604,$F704:$F1603,$F1604,$G704:$G1603,$G1604)&gt;0,"DOUBLON","VALIDE")))</f>
        <v/>
      </c>
    </row>
    <row r="1605" ht="15" customHeight="1">
      <c r="A1605" s="12">
        <f>IF(OR($B1605="",$G1605=""),"",TEXT($B1605,"YYYYMMDD")&amp;"-"&amp;SUBSTITUTE($E1605," ","")&amp;"-"&amp;$F1605&amp;"-"&amp;$G1605)</f>
        <v/>
      </c>
      <c r="B1605" s="15" t="n"/>
      <c r="C1605" s="16" t="n"/>
      <c r="D1605" s="10" t="n"/>
      <c r="E1605" s="9" t="n"/>
      <c r="F1605" s="9" t="n"/>
      <c r="G1605" s="13" t="n"/>
      <c r="H1605" s="21" t="n"/>
      <c r="I1605" s="21" t="n"/>
      <c r="J1605" s="17">
        <f>IF($G1605="","",IFERROR(INDEX(NomsEmployes,MATCH($G1605,MatriculesEmployes,0)),"MATRICULE INCONNU"))</f>
        <v/>
      </c>
      <c r="K1605" s="33">
        <f>IF(OR($D1605="",$F1605=""),"",IFERROR(IF(INDEX(RUNS!$L$6:$S$1005,MATCH($D1605,RUNS!$A$6:$A$1005,0),MATCH("ACTIVITÉ "&amp;$F1605,RUNS!$L$5:$S$5,0))="","",INDEX(RUNS!$L$6:$S$1005,MATCH($D1605,RUNS!$A$6:$A$1005,0),MATCH("ACTIVITÉ "&amp;$F1605,RUNS!$L$5:$S$5,0))),""))</f>
        <v/>
      </c>
      <c r="L1605" s="33">
        <f>IF($D1605="","",IFERROR(IF(INDEX(RUNS!$E$6:$E$1005,MATCH($D1605,RUNS!$A$6:$A$1005,0))="","",INDEX(RUNS!$E$6:$E$1005,MATCH($D1605,RUNS!$A$6:$A$1005,0))),""))</f>
        <v/>
      </c>
      <c r="M1605" s="33">
        <f>IF($D1605="","",IFERROR(IF(INDEX(RUNS!$F$6:$F$1005,MATCH($D1605,RUNS!$A$6:$A$1005,0))="","",INDEX(RUNS!$F$6:$F$1005,MATCH($D1605,RUNS!$A$6:$A$1005,0))),""))</f>
        <v/>
      </c>
      <c r="N1605" s="33">
        <f>IF($D1605="","",IFERROR(IF(INDEX(RUNS!$G$6:$G$1005,MATCH($D1605,RUNS!$A$6:$A$1005,0))="","",INDEX(RUNS!$G$6:$G$1005,MATCH($D1605,RUNS!$A$6:$A$1005,0))),""))</f>
        <v/>
      </c>
      <c r="O1605" s="33">
        <f>IF($D1605="","",IFERROR(IF(INDEX(RUNS!$H$6:$H$1005,MATCH($D1605,RUNS!$A$6:$A$1005,0))="","",INDEX(RUNS!$H$6:$H$1005,MATCH($D1605,RUNS!$A$6:$A$1005,0))),""))</f>
        <v/>
      </c>
      <c r="P1605" s="33">
        <f>IF($D1605="","",IFERROR(IF(INDEX(RUNS!$J$6:$J$1005,MATCH($D1605,RUNS!$A$6:$A$1005,0))="","",INDEX(RUNS!$J$6:$J$1005,MATCH($D1605,RUNS!$A$6:$A$1005,0))),""))</f>
        <v/>
      </c>
      <c r="Q1605" s="33">
        <f>IF($D1605="","",IFERROR(IF(INDEX(RUNS!$K$6:$K$1005,MATCH($D1605,RUNS!$A$6:$A$1005,0))="","",INDEX(RUNS!$K$6:$K$1005,MATCH($D1605,RUNS!$A$6:$A$1005,0))),""))</f>
        <v/>
      </c>
      <c r="R1605" s="34">
        <f>IF(OR($L1605="",$K1605=""),"",IFERROR(IF(INDEX(PARAMETRES!$H$43:$H$342,MATCH($L1605&amp;"|"&amp;$M1605&amp;"|"&amp;$N1605&amp;"|"&amp;$O1605&amp;"|"&amp;$P1605&amp;"|"&amp;$Q1605&amp;"|"&amp;$K1605,PARAMETRES!$J$43:$J$342,0))="","",INDEX(PARAMETRES!$H$43:$H$342,MATCH($L1605&amp;"|"&amp;$M1605&amp;"|"&amp;$N1605&amp;"|"&amp;$O1605&amp;"|"&amp;$P1605&amp;"|"&amp;$Q1605&amp;"|"&amp;$K1605,PARAMETRES!$J$43:$J$342,0))),""))</f>
        <v/>
      </c>
      <c r="S1605" s="35">
        <f>IF(OR($G1605="",$X1605&lt;&gt;"VALIDE"),"",IFERROR(LOOKUP(2,1/(($B705:$B1604=$B1605)*($G705:$G1604=$G1605)*($X705:$X1604="VALIDE")),$C705:$C1604),""))</f>
        <v/>
      </c>
      <c r="T1605" s="36">
        <f>IF(OR($C1605="",$S1605=""),"",ROUND(($C1605-$S1605+IF($C1605&lt;$S1605,1,0))*1440,0))</f>
        <v/>
      </c>
      <c r="U1605" s="22">
        <f>IF(OR($H1605="",$T1605="",$T1605&lt;=0),"",$H1605*60/$T1605)</f>
        <v/>
      </c>
      <c r="V1605" s="37">
        <f>IF(OR($U1605="",$R1605="",$R1605=0),"",$U1605/$R1605)</f>
        <v/>
      </c>
      <c r="W1605" s="20">
        <f>IF($G1605="","",IF($X1605="CONTEXTE INCOMPLET","CONTEXTE INCOMPLET",IF($X1605="DOUBLON",StatutDoublon,IF($S1605="",StatutInitial,IF($R1605="",StatutStandardManquant,IF($V1605="","DONNEES INSUFFISANTES",IF($V1605&gt;=SeuilConforme,StatutConforme,IF($V1605&gt;=SeuilSurveiller,StatutSurveiller,StatutSousStandard))))))))</f>
        <v/>
      </c>
      <c r="X1605" s="33">
        <f>IF($G1605="","",IF(OR($D1605="",$E1605="",$F1605=""),"CONTEXTE INCOMPLET",IF(COUNTIFS($D705:$D1604,$D1605,$E705:$E1604,$E1605,$F705:$F1604,$F1605,$G705:$G1604,$G1605)&gt;0,"DOUBLON","VALIDE")))</f>
        <v/>
      </c>
    </row>
    <row r="1606" ht="15" customHeight="1">
      <c r="A1606" s="12">
        <f>IF(OR($B1606="",$G1606=""),"",TEXT($B1606,"YYYYMMDD")&amp;"-"&amp;SUBSTITUTE($E1606," ","")&amp;"-"&amp;$F1606&amp;"-"&amp;$G1606)</f>
        <v/>
      </c>
      <c r="B1606" s="15" t="n"/>
      <c r="C1606" s="16" t="n"/>
      <c r="D1606" s="10" t="n"/>
      <c r="E1606" s="9" t="n"/>
      <c r="F1606" s="9" t="n"/>
      <c r="G1606" s="13" t="n"/>
      <c r="H1606" s="21" t="n"/>
      <c r="I1606" s="21" t="n"/>
      <c r="J1606" s="17">
        <f>IF($G1606="","",IFERROR(INDEX(NomsEmployes,MATCH($G1606,MatriculesEmployes,0)),"MATRICULE INCONNU"))</f>
        <v/>
      </c>
      <c r="K1606" s="33">
        <f>IF(OR($D1606="",$F1606=""),"",IFERROR(IF(INDEX(RUNS!$L$6:$S$1005,MATCH($D1606,RUNS!$A$6:$A$1005,0),MATCH("ACTIVITÉ "&amp;$F1606,RUNS!$L$5:$S$5,0))="","",INDEX(RUNS!$L$6:$S$1005,MATCH($D1606,RUNS!$A$6:$A$1005,0),MATCH("ACTIVITÉ "&amp;$F1606,RUNS!$L$5:$S$5,0))),""))</f>
        <v/>
      </c>
      <c r="L1606" s="33">
        <f>IF($D1606="","",IFERROR(IF(INDEX(RUNS!$E$6:$E$1005,MATCH($D1606,RUNS!$A$6:$A$1005,0))="","",INDEX(RUNS!$E$6:$E$1005,MATCH($D1606,RUNS!$A$6:$A$1005,0))),""))</f>
        <v/>
      </c>
      <c r="M1606" s="33">
        <f>IF($D1606="","",IFERROR(IF(INDEX(RUNS!$F$6:$F$1005,MATCH($D1606,RUNS!$A$6:$A$1005,0))="","",INDEX(RUNS!$F$6:$F$1005,MATCH($D1606,RUNS!$A$6:$A$1005,0))),""))</f>
        <v/>
      </c>
      <c r="N1606" s="33">
        <f>IF($D1606="","",IFERROR(IF(INDEX(RUNS!$G$6:$G$1005,MATCH($D1606,RUNS!$A$6:$A$1005,0))="","",INDEX(RUNS!$G$6:$G$1005,MATCH($D1606,RUNS!$A$6:$A$1005,0))),""))</f>
        <v/>
      </c>
      <c r="O1606" s="33">
        <f>IF($D1606="","",IFERROR(IF(INDEX(RUNS!$H$6:$H$1005,MATCH($D1606,RUNS!$A$6:$A$1005,0))="","",INDEX(RUNS!$H$6:$H$1005,MATCH($D1606,RUNS!$A$6:$A$1005,0))),""))</f>
        <v/>
      </c>
      <c r="P1606" s="33">
        <f>IF($D1606="","",IFERROR(IF(INDEX(RUNS!$J$6:$J$1005,MATCH($D1606,RUNS!$A$6:$A$1005,0))="","",INDEX(RUNS!$J$6:$J$1005,MATCH($D1606,RUNS!$A$6:$A$1005,0))),""))</f>
        <v/>
      </c>
      <c r="Q1606" s="33">
        <f>IF($D1606="","",IFERROR(IF(INDEX(RUNS!$K$6:$K$1005,MATCH($D1606,RUNS!$A$6:$A$1005,0))="","",INDEX(RUNS!$K$6:$K$1005,MATCH($D1606,RUNS!$A$6:$A$1005,0))),""))</f>
        <v/>
      </c>
      <c r="R1606" s="34">
        <f>IF(OR($L1606="",$K1606=""),"",IFERROR(IF(INDEX(PARAMETRES!$H$43:$H$342,MATCH($L1606&amp;"|"&amp;$M1606&amp;"|"&amp;$N1606&amp;"|"&amp;$O1606&amp;"|"&amp;$P1606&amp;"|"&amp;$Q1606&amp;"|"&amp;$K1606,PARAMETRES!$J$43:$J$342,0))="","",INDEX(PARAMETRES!$H$43:$H$342,MATCH($L1606&amp;"|"&amp;$M1606&amp;"|"&amp;$N1606&amp;"|"&amp;$O1606&amp;"|"&amp;$P1606&amp;"|"&amp;$Q1606&amp;"|"&amp;$K1606,PARAMETRES!$J$43:$J$342,0))),""))</f>
        <v/>
      </c>
      <c r="S1606" s="35">
        <f>IF(OR($G1606="",$X1606&lt;&gt;"VALIDE"),"",IFERROR(LOOKUP(2,1/(($B706:$B1605=$B1606)*($G706:$G1605=$G1606)*($X706:$X1605="VALIDE")),$C706:$C1605),""))</f>
        <v/>
      </c>
      <c r="T1606" s="36">
        <f>IF(OR($C1606="",$S1606=""),"",ROUND(($C1606-$S1606+IF($C1606&lt;$S1606,1,0))*1440,0))</f>
        <v/>
      </c>
      <c r="U1606" s="22">
        <f>IF(OR($H1606="",$T1606="",$T1606&lt;=0),"",$H1606*60/$T1606)</f>
        <v/>
      </c>
      <c r="V1606" s="37">
        <f>IF(OR($U1606="",$R1606="",$R1606=0),"",$U1606/$R1606)</f>
        <v/>
      </c>
      <c r="W1606" s="20">
        <f>IF($G1606="","",IF($X1606="CONTEXTE INCOMPLET","CONTEXTE INCOMPLET",IF($X1606="DOUBLON",StatutDoublon,IF($S1606="",StatutInitial,IF($R1606="",StatutStandardManquant,IF($V1606="","DONNEES INSUFFISANTES",IF($V1606&gt;=SeuilConforme,StatutConforme,IF($V1606&gt;=SeuilSurveiller,StatutSurveiller,StatutSousStandard))))))))</f>
        <v/>
      </c>
      <c r="X1606" s="33">
        <f>IF($G1606="","",IF(OR($D1606="",$E1606="",$F1606=""),"CONTEXTE INCOMPLET",IF(COUNTIFS($D706:$D1605,$D1606,$E706:$E1605,$E1606,$F706:$F1605,$F1606,$G706:$G1605,$G1606)&gt;0,"DOUBLON","VALIDE")))</f>
        <v/>
      </c>
    </row>
    <row r="1607" ht="15" customHeight="1">
      <c r="A1607" s="12">
        <f>IF(OR($B1607="",$G1607=""),"",TEXT($B1607,"YYYYMMDD")&amp;"-"&amp;SUBSTITUTE($E1607," ","")&amp;"-"&amp;$F1607&amp;"-"&amp;$G1607)</f>
        <v/>
      </c>
      <c r="B1607" s="15" t="n"/>
      <c r="C1607" s="16" t="n"/>
      <c r="D1607" s="10" t="n"/>
      <c r="E1607" s="9" t="n"/>
      <c r="F1607" s="9" t="n"/>
      <c r="G1607" s="13" t="n"/>
      <c r="H1607" s="21" t="n"/>
      <c r="I1607" s="21" t="n"/>
      <c r="J1607" s="17">
        <f>IF($G1607="","",IFERROR(INDEX(NomsEmployes,MATCH($G1607,MatriculesEmployes,0)),"MATRICULE INCONNU"))</f>
        <v/>
      </c>
      <c r="K1607" s="33">
        <f>IF(OR($D1607="",$F1607=""),"",IFERROR(IF(INDEX(RUNS!$L$6:$S$1005,MATCH($D1607,RUNS!$A$6:$A$1005,0),MATCH("ACTIVITÉ "&amp;$F1607,RUNS!$L$5:$S$5,0))="","",INDEX(RUNS!$L$6:$S$1005,MATCH($D1607,RUNS!$A$6:$A$1005,0),MATCH("ACTIVITÉ "&amp;$F1607,RUNS!$L$5:$S$5,0))),""))</f>
        <v/>
      </c>
      <c r="L1607" s="33">
        <f>IF($D1607="","",IFERROR(IF(INDEX(RUNS!$E$6:$E$1005,MATCH($D1607,RUNS!$A$6:$A$1005,0))="","",INDEX(RUNS!$E$6:$E$1005,MATCH($D1607,RUNS!$A$6:$A$1005,0))),""))</f>
        <v/>
      </c>
      <c r="M1607" s="33">
        <f>IF($D1607="","",IFERROR(IF(INDEX(RUNS!$F$6:$F$1005,MATCH($D1607,RUNS!$A$6:$A$1005,0))="","",INDEX(RUNS!$F$6:$F$1005,MATCH($D1607,RUNS!$A$6:$A$1005,0))),""))</f>
        <v/>
      </c>
      <c r="N1607" s="33">
        <f>IF($D1607="","",IFERROR(IF(INDEX(RUNS!$G$6:$G$1005,MATCH($D1607,RUNS!$A$6:$A$1005,0))="","",INDEX(RUNS!$G$6:$G$1005,MATCH($D1607,RUNS!$A$6:$A$1005,0))),""))</f>
        <v/>
      </c>
      <c r="O1607" s="33">
        <f>IF($D1607="","",IFERROR(IF(INDEX(RUNS!$H$6:$H$1005,MATCH($D1607,RUNS!$A$6:$A$1005,0))="","",INDEX(RUNS!$H$6:$H$1005,MATCH($D1607,RUNS!$A$6:$A$1005,0))),""))</f>
        <v/>
      </c>
      <c r="P1607" s="33">
        <f>IF($D1607="","",IFERROR(IF(INDEX(RUNS!$J$6:$J$1005,MATCH($D1607,RUNS!$A$6:$A$1005,0))="","",INDEX(RUNS!$J$6:$J$1005,MATCH($D1607,RUNS!$A$6:$A$1005,0))),""))</f>
        <v/>
      </c>
      <c r="Q1607" s="33">
        <f>IF($D1607="","",IFERROR(IF(INDEX(RUNS!$K$6:$K$1005,MATCH($D1607,RUNS!$A$6:$A$1005,0))="","",INDEX(RUNS!$K$6:$K$1005,MATCH($D1607,RUNS!$A$6:$A$1005,0))),""))</f>
        <v/>
      </c>
      <c r="R1607" s="34">
        <f>IF(OR($L1607="",$K1607=""),"",IFERROR(IF(INDEX(PARAMETRES!$H$43:$H$342,MATCH($L1607&amp;"|"&amp;$M1607&amp;"|"&amp;$N1607&amp;"|"&amp;$O1607&amp;"|"&amp;$P1607&amp;"|"&amp;$Q1607&amp;"|"&amp;$K1607,PARAMETRES!$J$43:$J$342,0))="","",INDEX(PARAMETRES!$H$43:$H$342,MATCH($L1607&amp;"|"&amp;$M1607&amp;"|"&amp;$N1607&amp;"|"&amp;$O1607&amp;"|"&amp;$P1607&amp;"|"&amp;$Q1607&amp;"|"&amp;$K1607,PARAMETRES!$J$43:$J$342,0))),""))</f>
        <v/>
      </c>
      <c r="S1607" s="35">
        <f>IF(OR($G1607="",$X1607&lt;&gt;"VALIDE"),"",IFERROR(LOOKUP(2,1/(($B707:$B1606=$B1607)*($G707:$G1606=$G1607)*($X707:$X1606="VALIDE")),$C707:$C1606),""))</f>
        <v/>
      </c>
      <c r="T1607" s="36">
        <f>IF(OR($C1607="",$S1607=""),"",ROUND(($C1607-$S1607+IF($C1607&lt;$S1607,1,0))*1440,0))</f>
        <v/>
      </c>
      <c r="U1607" s="22">
        <f>IF(OR($H1607="",$T1607="",$T1607&lt;=0),"",$H1607*60/$T1607)</f>
        <v/>
      </c>
      <c r="V1607" s="37">
        <f>IF(OR($U1607="",$R1607="",$R1607=0),"",$U1607/$R1607)</f>
        <v/>
      </c>
      <c r="W1607" s="20">
        <f>IF($G1607="","",IF($X1607="CONTEXTE INCOMPLET","CONTEXTE INCOMPLET",IF($X1607="DOUBLON",StatutDoublon,IF($S1607="",StatutInitial,IF($R1607="",StatutStandardManquant,IF($V1607="","DONNEES INSUFFISANTES",IF($V1607&gt;=SeuilConforme,StatutConforme,IF($V1607&gt;=SeuilSurveiller,StatutSurveiller,StatutSousStandard))))))))</f>
        <v/>
      </c>
      <c r="X1607" s="33">
        <f>IF($G1607="","",IF(OR($D1607="",$E1607="",$F1607=""),"CONTEXTE INCOMPLET",IF(COUNTIFS($D707:$D1606,$D1607,$E707:$E1606,$E1607,$F707:$F1606,$F1607,$G707:$G1606,$G1607)&gt;0,"DOUBLON","VALIDE")))</f>
        <v/>
      </c>
    </row>
    <row r="1608" ht="15" customHeight="1">
      <c r="A1608" s="12">
        <f>IF(OR($B1608="",$G1608=""),"",TEXT($B1608,"YYYYMMDD")&amp;"-"&amp;SUBSTITUTE($E1608," ","")&amp;"-"&amp;$F1608&amp;"-"&amp;$G1608)</f>
        <v/>
      </c>
      <c r="B1608" s="15" t="n"/>
      <c r="C1608" s="16" t="n"/>
      <c r="D1608" s="10" t="n"/>
      <c r="E1608" s="9" t="n"/>
      <c r="F1608" s="9" t="n"/>
      <c r="G1608" s="13" t="n"/>
      <c r="H1608" s="21" t="n"/>
      <c r="I1608" s="21" t="n"/>
      <c r="J1608" s="17">
        <f>IF($G1608="","",IFERROR(INDEX(NomsEmployes,MATCH($G1608,MatriculesEmployes,0)),"MATRICULE INCONNU"))</f>
        <v/>
      </c>
      <c r="K1608" s="33">
        <f>IF(OR($D1608="",$F1608=""),"",IFERROR(IF(INDEX(RUNS!$L$6:$S$1005,MATCH($D1608,RUNS!$A$6:$A$1005,0),MATCH("ACTIVITÉ "&amp;$F1608,RUNS!$L$5:$S$5,0))="","",INDEX(RUNS!$L$6:$S$1005,MATCH($D1608,RUNS!$A$6:$A$1005,0),MATCH("ACTIVITÉ "&amp;$F1608,RUNS!$L$5:$S$5,0))),""))</f>
        <v/>
      </c>
      <c r="L1608" s="33">
        <f>IF($D1608="","",IFERROR(IF(INDEX(RUNS!$E$6:$E$1005,MATCH($D1608,RUNS!$A$6:$A$1005,0))="","",INDEX(RUNS!$E$6:$E$1005,MATCH($D1608,RUNS!$A$6:$A$1005,0))),""))</f>
        <v/>
      </c>
      <c r="M1608" s="33">
        <f>IF($D1608="","",IFERROR(IF(INDEX(RUNS!$F$6:$F$1005,MATCH($D1608,RUNS!$A$6:$A$1005,0))="","",INDEX(RUNS!$F$6:$F$1005,MATCH($D1608,RUNS!$A$6:$A$1005,0))),""))</f>
        <v/>
      </c>
      <c r="N1608" s="33">
        <f>IF($D1608="","",IFERROR(IF(INDEX(RUNS!$G$6:$G$1005,MATCH($D1608,RUNS!$A$6:$A$1005,0))="","",INDEX(RUNS!$G$6:$G$1005,MATCH($D1608,RUNS!$A$6:$A$1005,0))),""))</f>
        <v/>
      </c>
      <c r="O1608" s="33">
        <f>IF($D1608="","",IFERROR(IF(INDEX(RUNS!$H$6:$H$1005,MATCH($D1608,RUNS!$A$6:$A$1005,0))="","",INDEX(RUNS!$H$6:$H$1005,MATCH($D1608,RUNS!$A$6:$A$1005,0))),""))</f>
        <v/>
      </c>
      <c r="P1608" s="33">
        <f>IF($D1608="","",IFERROR(IF(INDEX(RUNS!$J$6:$J$1005,MATCH($D1608,RUNS!$A$6:$A$1005,0))="","",INDEX(RUNS!$J$6:$J$1005,MATCH($D1608,RUNS!$A$6:$A$1005,0))),""))</f>
        <v/>
      </c>
      <c r="Q1608" s="33">
        <f>IF($D1608="","",IFERROR(IF(INDEX(RUNS!$K$6:$K$1005,MATCH($D1608,RUNS!$A$6:$A$1005,0))="","",INDEX(RUNS!$K$6:$K$1005,MATCH($D1608,RUNS!$A$6:$A$1005,0))),""))</f>
        <v/>
      </c>
      <c r="R1608" s="34">
        <f>IF(OR($L1608="",$K1608=""),"",IFERROR(IF(INDEX(PARAMETRES!$H$43:$H$342,MATCH($L1608&amp;"|"&amp;$M1608&amp;"|"&amp;$N1608&amp;"|"&amp;$O1608&amp;"|"&amp;$P1608&amp;"|"&amp;$Q1608&amp;"|"&amp;$K1608,PARAMETRES!$J$43:$J$342,0))="","",INDEX(PARAMETRES!$H$43:$H$342,MATCH($L1608&amp;"|"&amp;$M1608&amp;"|"&amp;$N1608&amp;"|"&amp;$O1608&amp;"|"&amp;$P1608&amp;"|"&amp;$Q1608&amp;"|"&amp;$K1608,PARAMETRES!$J$43:$J$342,0))),""))</f>
        <v/>
      </c>
      <c r="S1608" s="35">
        <f>IF(OR($G1608="",$X1608&lt;&gt;"VALIDE"),"",IFERROR(LOOKUP(2,1/(($B708:$B1607=$B1608)*($G708:$G1607=$G1608)*($X708:$X1607="VALIDE")),$C708:$C1607),""))</f>
        <v/>
      </c>
      <c r="T1608" s="36">
        <f>IF(OR($C1608="",$S1608=""),"",ROUND(($C1608-$S1608+IF($C1608&lt;$S1608,1,0))*1440,0))</f>
        <v/>
      </c>
      <c r="U1608" s="22">
        <f>IF(OR($H1608="",$T1608="",$T1608&lt;=0),"",$H1608*60/$T1608)</f>
        <v/>
      </c>
      <c r="V1608" s="37">
        <f>IF(OR($U1608="",$R1608="",$R1608=0),"",$U1608/$R1608)</f>
        <v/>
      </c>
      <c r="W1608" s="20">
        <f>IF($G1608="","",IF($X1608="CONTEXTE INCOMPLET","CONTEXTE INCOMPLET",IF($X1608="DOUBLON",StatutDoublon,IF($S1608="",StatutInitial,IF($R1608="",StatutStandardManquant,IF($V1608="","DONNEES INSUFFISANTES",IF($V1608&gt;=SeuilConforme,StatutConforme,IF($V1608&gt;=SeuilSurveiller,StatutSurveiller,StatutSousStandard))))))))</f>
        <v/>
      </c>
      <c r="X1608" s="33">
        <f>IF($G1608="","",IF(OR($D1608="",$E1608="",$F1608=""),"CONTEXTE INCOMPLET",IF(COUNTIFS($D708:$D1607,$D1608,$E708:$E1607,$E1608,$F708:$F1607,$F1608,$G708:$G1607,$G1608)&gt;0,"DOUBLON","VALIDE")))</f>
        <v/>
      </c>
    </row>
    <row r="1609" ht="15" customHeight="1">
      <c r="A1609" s="12">
        <f>IF(OR($B1609="",$G1609=""),"",TEXT($B1609,"YYYYMMDD")&amp;"-"&amp;SUBSTITUTE($E1609," ","")&amp;"-"&amp;$F1609&amp;"-"&amp;$G1609)</f>
        <v/>
      </c>
      <c r="B1609" s="15" t="n"/>
      <c r="C1609" s="16" t="n"/>
      <c r="D1609" s="10" t="n"/>
      <c r="E1609" s="9" t="n"/>
      <c r="F1609" s="9" t="n"/>
      <c r="G1609" s="13" t="n"/>
      <c r="H1609" s="21" t="n"/>
      <c r="I1609" s="21" t="n"/>
      <c r="J1609" s="17">
        <f>IF($G1609="","",IFERROR(INDEX(NomsEmployes,MATCH($G1609,MatriculesEmployes,0)),"MATRICULE INCONNU"))</f>
        <v/>
      </c>
      <c r="K1609" s="33">
        <f>IF(OR($D1609="",$F1609=""),"",IFERROR(IF(INDEX(RUNS!$L$6:$S$1005,MATCH($D1609,RUNS!$A$6:$A$1005,0),MATCH("ACTIVITÉ "&amp;$F1609,RUNS!$L$5:$S$5,0))="","",INDEX(RUNS!$L$6:$S$1005,MATCH($D1609,RUNS!$A$6:$A$1005,0),MATCH("ACTIVITÉ "&amp;$F1609,RUNS!$L$5:$S$5,0))),""))</f>
        <v/>
      </c>
      <c r="L1609" s="33">
        <f>IF($D1609="","",IFERROR(IF(INDEX(RUNS!$E$6:$E$1005,MATCH($D1609,RUNS!$A$6:$A$1005,0))="","",INDEX(RUNS!$E$6:$E$1005,MATCH($D1609,RUNS!$A$6:$A$1005,0))),""))</f>
        <v/>
      </c>
      <c r="M1609" s="33">
        <f>IF($D1609="","",IFERROR(IF(INDEX(RUNS!$F$6:$F$1005,MATCH($D1609,RUNS!$A$6:$A$1005,0))="","",INDEX(RUNS!$F$6:$F$1005,MATCH($D1609,RUNS!$A$6:$A$1005,0))),""))</f>
        <v/>
      </c>
      <c r="N1609" s="33">
        <f>IF($D1609="","",IFERROR(IF(INDEX(RUNS!$G$6:$G$1005,MATCH($D1609,RUNS!$A$6:$A$1005,0))="","",INDEX(RUNS!$G$6:$G$1005,MATCH($D1609,RUNS!$A$6:$A$1005,0))),""))</f>
        <v/>
      </c>
      <c r="O1609" s="33">
        <f>IF($D1609="","",IFERROR(IF(INDEX(RUNS!$H$6:$H$1005,MATCH($D1609,RUNS!$A$6:$A$1005,0))="","",INDEX(RUNS!$H$6:$H$1005,MATCH($D1609,RUNS!$A$6:$A$1005,0))),""))</f>
        <v/>
      </c>
      <c r="P1609" s="33">
        <f>IF($D1609="","",IFERROR(IF(INDEX(RUNS!$J$6:$J$1005,MATCH($D1609,RUNS!$A$6:$A$1005,0))="","",INDEX(RUNS!$J$6:$J$1005,MATCH($D1609,RUNS!$A$6:$A$1005,0))),""))</f>
        <v/>
      </c>
      <c r="Q1609" s="33">
        <f>IF($D1609="","",IFERROR(IF(INDEX(RUNS!$K$6:$K$1005,MATCH($D1609,RUNS!$A$6:$A$1005,0))="","",INDEX(RUNS!$K$6:$K$1005,MATCH($D1609,RUNS!$A$6:$A$1005,0))),""))</f>
        <v/>
      </c>
      <c r="R1609" s="34">
        <f>IF(OR($L1609="",$K1609=""),"",IFERROR(IF(INDEX(PARAMETRES!$H$43:$H$342,MATCH($L1609&amp;"|"&amp;$M1609&amp;"|"&amp;$N1609&amp;"|"&amp;$O1609&amp;"|"&amp;$P1609&amp;"|"&amp;$Q1609&amp;"|"&amp;$K1609,PARAMETRES!$J$43:$J$342,0))="","",INDEX(PARAMETRES!$H$43:$H$342,MATCH($L1609&amp;"|"&amp;$M1609&amp;"|"&amp;$N1609&amp;"|"&amp;$O1609&amp;"|"&amp;$P1609&amp;"|"&amp;$Q1609&amp;"|"&amp;$K1609,PARAMETRES!$J$43:$J$342,0))),""))</f>
        <v/>
      </c>
      <c r="S1609" s="35">
        <f>IF(OR($G1609="",$X1609&lt;&gt;"VALIDE"),"",IFERROR(LOOKUP(2,1/(($B709:$B1608=$B1609)*($G709:$G1608=$G1609)*($X709:$X1608="VALIDE")),$C709:$C1608),""))</f>
        <v/>
      </c>
      <c r="T1609" s="36">
        <f>IF(OR($C1609="",$S1609=""),"",ROUND(($C1609-$S1609+IF($C1609&lt;$S1609,1,0))*1440,0))</f>
        <v/>
      </c>
      <c r="U1609" s="22">
        <f>IF(OR($H1609="",$T1609="",$T1609&lt;=0),"",$H1609*60/$T1609)</f>
        <v/>
      </c>
      <c r="V1609" s="37">
        <f>IF(OR($U1609="",$R1609="",$R1609=0),"",$U1609/$R1609)</f>
        <v/>
      </c>
      <c r="W1609" s="20">
        <f>IF($G1609="","",IF($X1609="CONTEXTE INCOMPLET","CONTEXTE INCOMPLET",IF($X1609="DOUBLON",StatutDoublon,IF($S1609="",StatutInitial,IF($R1609="",StatutStandardManquant,IF($V1609="","DONNEES INSUFFISANTES",IF($V1609&gt;=SeuilConforme,StatutConforme,IF($V1609&gt;=SeuilSurveiller,StatutSurveiller,StatutSousStandard))))))))</f>
        <v/>
      </c>
      <c r="X1609" s="33">
        <f>IF($G1609="","",IF(OR($D1609="",$E1609="",$F1609=""),"CONTEXTE INCOMPLET",IF(COUNTIFS($D709:$D1608,$D1609,$E709:$E1608,$E1609,$F709:$F1608,$F1609,$G709:$G1608,$G1609)&gt;0,"DOUBLON","VALIDE")))</f>
        <v/>
      </c>
    </row>
    <row r="1610" ht="15" customHeight="1">
      <c r="A1610" s="12">
        <f>IF(OR($B1610="",$G1610=""),"",TEXT($B1610,"YYYYMMDD")&amp;"-"&amp;SUBSTITUTE($E1610," ","")&amp;"-"&amp;$F1610&amp;"-"&amp;$G1610)</f>
        <v/>
      </c>
      <c r="B1610" s="15" t="n"/>
      <c r="C1610" s="16" t="n"/>
      <c r="D1610" s="10" t="n"/>
      <c r="E1610" s="9" t="n"/>
      <c r="F1610" s="9" t="n"/>
      <c r="G1610" s="13" t="n"/>
      <c r="H1610" s="21" t="n"/>
      <c r="I1610" s="21" t="n"/>
      <c r="J1610" s="17">
        <f>IF($G1610="","",IFERROR(INDEX(NomsEmployes,MATCH($G1610,MatriculesEmployes,0)),"MATRICULE INCONNU"))</f>
        <v/>
      </c>
      <c r="K1610" s="33">
        <f>IF(OR($D1610="",$F1610=""),"",IFERROR(IF(INDEX(RUNS!$L$6:$S$1005,MATCH($D1610,RUNS!$A$6:$A$1005,0),MATCH("ACTIVITÉ "&amp;$F1610,RUNS!$L$5:$S$5,0))="","",INDEX(RUNS!$L$6:$S$1005,MATCH($D1610,RUNS!$A$6:$A$1005,0),MATCH("ACTIVITÉ "&amp;$F1610,RUNS!$L$5:$S$5,0))),""))</f>
        <v/>
      </c>
      <c r="L1610" s="33">
        <f>IF($D1610="","",IFERROR(IF(INDEX(RUNS!$E$6:$E$1005,MATCH($D1610,RUNS!$A$6:$A$1005,0))="","",INDEX(RUNS!$E$6:$E$1005,MATCH($D1610,RUNS!$A$6:$A$1005,0))),""))</f>
        <v/>
      </c>
      <c r="M1610" s="33">
        <f>IF($D1610="","",IFERROR(IF(INDEX(RUNS!$F$6:$F$1005,MATCH($D1610,RUNS!$A$6:$A$1005,0))="","",INDEX(RUNS!$F$6:$F$1005,MATCH($D1610,RUNS!$A$6:$A$1005,0))),""))</f>
        <v/>
      </c>
      <c r="N1610" s="33">
        <f>IF($D1610="","",IFERROR(IF(INDEX(RUNS!$G$6:$G$1005,MATCH($D1610,RUNS!$A$6:$A$1005,0))="","",INDEX(RUNS!$G$6:$G$1005,MATCH($D1610,RUNS!$A$6:$A$1005,0))),""))</f>
        <v/>
      </c>
      <c r="O1610" s="33">
        <f>IF($D1610="","",IFERROR(IF(INDEX(RUNS!$H$6:$H$1005,MATCH($D1610,RUNS!$A$6:$A$1005,0))="","",INDEX(RUNS!$H$6:$H$1005,MATCH($D1610,RUNS!$A$6:$A$1005,0))),""))</f>
        <v/>
      </c>
      <c r="P1610" s="33">
        <f>IF($D1610="","",IFERROR(IF(INDEX(RUNS!$J$6:$J$1005,MATCH($D1610,RUNS!$A$6:$A$1005,0))="","",INDEX(RUNS!$J$6:$J$1005,MATCH($D1610,RUNS!$A$6:$A$1005,0))),""))</f>
        <v/>
      </c>
      <c r="Q1610" s="33">
        <f>IF($D1610="","",IFERROR(IF(INDEX(RUNS!$K$6:$K$1005,MATCH($D1610,RUNS!$A$6:$A$1005,0))="","",INDEX(RUNS!$K$6:$K$1005,MATCH($D1610,RUNS!$A$6:$A$1005,0))),""))</f>
        <v/>
      </c>
      <c r="R1610" s="34">
        <f>IF(OR($L1610="",$K1610=""),"",IFERROR(IF(INDEX(PARAMETRES!$H$43:$H$342,MATCH($L1610&amp;"|"&amp;$M1610&amp;"|"&amp;$N1610&amp;"|"&amp;$O1610&amp;"|"&amp;$P1610&amp;"|"&amp;$Q1610&amp;"|"&amp;$K1610,PARAMETRES!$J$43:$J$342,0))="","",INDEX(PARAMETRES!$H$43:$H$342,MATCH($L1610&amp;"|"&amp;$M1610&amp;"|"&amp;$N1610&amp;"|"&amp;$O1610&amp;"|"&amp;$P1610&amp;"|"&amp;$Q1610&amp;"|"&amp;$K1610,PARAMETRES!$J$43:$J$342,0))),""))</f>
        <v/>
      </c>
      <c r="S1610" s="35">
        <f>IF(OR($G1610="",$X1610&lt;&gt;"VALIDE"),"",IFERROR(LOOKUP(2,1/(($B710:$B1609=$B1610)*($G710:$G1609=$G1610)*($X710:$X1609="VALIDE")),$C710:$C1609),""))</f>
        <v/>
      </c>
      <c r="T1610" s="36">
        <f>IF(OR($C1610="",$S1610=""),"",ROUND(($C1610-$S1610+IF($C1610&lt;$S1610,1,0))*1440,0))</f>
        <v/>
      </c>
      <c r="U1610" s="22">
        <f>IF(OR($H1610="",$T1610="",$T1610&lt;=0),"",$H1610*60/$T1610)</f>
        <v/>
      </c>
      <c r="V1610" s="37">
        <f>IF(OR($U1610="",$R1610="",$R1610=0),"",$U1610/$R1610)</f>
        <v/>
      </c>
      <c r="W1610" s="20">
        <f>IF($G1610="","",IF($X1610="CONTEXTE INCOMPLET","CONTEXTE INCOMPLET",IF($X1610="DOUBLON",StatutDoublon,IF($S1610="",StatutInitial,IF($R1610="",StatutStandardManquant,IF($V1610="","DONNEES INSUFFISANTES",IF($V1610&gt;=SeuilConforme,StatutConforme,IF($V1610&gt;=SeuilSurveiller,StatutSurveiller,StatutSousStandard))))))))</f>
        <v/>
      </c>
      <c r="X1610" s="33">
        <f>IF($G1610="","",IF(OR($D1610="",$E1610="",$F1610=""),"CONTEXTE INCOMPLET",IF(COUNTIFS($D710:$D1609,$D1610,$E710:$E1609,$E1610,$F710:$F1609,$F1610,$G710:$G1609,$G1610)&gt;0,"DOUBLON","VALIDE")))</f>
        <v/>
      </c>
    </row>
    <row r="1611" ht="15" customHeight="1">
      <c r="A1611" s="12">
        <f>IF(OR($B1611="",$G1611=""),"",TEXT($B1611,"YYYYMMDD")&amp;"-"&amp;SUBSTITUTE($E1611," ","")&amp;"-"&amp;$F1611&amp;"-"&amp;$G1611)</f>
        <v/>
      </c>
      <c r="B1611" s="15" t="n"/>
      <c r="C1611" s="16" t="n"/>
      <c r="D1611" s="10" t="n"/>
      <c r="E1611" s="9" t="n"/>
      <c r="F1611" s="9" t="n"/>
      <c r="G1611" s="13" t="n"/>
      <c r="H1611" s="21" t="n"/>
      <c r="I1611" s="21" t="n"/>
      <c r="J1611" s="17">
        <f>IF($G1611="","",IFERROR(INDEX(NomsEmployes,MATCH($G1611,MatriculesEmployes,0)),"MATRICULE INCONNU"))</f>
        <v/>
      </c>
      <c r="K1611" s="33">
        <f>IF(OR($D1611="",$F1611=""),"",IFERROR(IF(INDEX(RUNS!$L$6:$S$1005,MATCH($D1611,RUNS!$A$6:$A$1005,0),MATCH("ACTIVITÉ "&amp;$F1611,RUNS!$L$5:$S$5,0))="","",INDEX(RUNS!$L$6:$S$1005,MATCH($D1611,RUNS!$A$6:$A$1005,0),MATCH("ACTIVITÉ "&amp;$F1611,RUNS!$L$5:$S$5,0))),""))</f>
        <v/>
      </c>
      <c r="L1611" s="33">
        <f>IF($D1611="","",IFERROR(IF(INDEX(RUNS!$E$6:$E$1005,MATCH($D1611,RUNS!$A$6:$A$1005,0))="","",INDEX(RUNS!$E$6:$E$1005,MATCH($D1611,RUNS!$A$6:$A$1005,0))),""))</f>
        <v/>
      </c>
      <c r="M1611" s="33">
        <f>IF($D1611="","",IFERROR(IF(INDEX(RUNS!$F$6:$F$1005,MATCH($D1611,RUNS!$A$6:$A$1005,0))="","",INDEX(RUNS!$F$6:$F$1005,MATCH($D1611,RUNS!$A$6:$A$1005,0))),""))</f>
        <v/>
      </c>
      <c r="N1611" s="33">
        <f>IF($D1611="","",IFERROR(IF(INDEX(RUNS!$G$6:$G$1005,MATCH($D1611,RUNS!$A$6:$A$1005,0))="","",INDEX(RUNS!$G$6:$G$1005,MATCH($D1611,RUNS!$A$6:$A$1005,0))),""))</f>
        <v/>
      </c>
      <c r="O1611" s="33">
        <f>IF($D1611="","",IFERROR(IF(INDEX(RUNS!$H$6:$H$1005,MATCH($D1611,RUNS!$A$6:$A$1005,0))="","",INDEX(RUNS!$H$6:$H$1005,MATCH($D1611,RUNS!$A$6:$A$1005,0))),""))</f>
        <v/>
      </c>
      <c r="P1611" s="33">
        <f>IF($D1611="","",IFERROR(IF(INDEX(RUNS!$J$6:$J$1005,MATCH($D1611,RUNS!$A$6:$A$1005,0))="","",INDEX(RUNS!$J$6:$J$1005,MATCH($D1611,RUNS!$A$6:$A$1005,0))),""))</f>
        <v/>
      </c>
      <c r="Q1611" s="33">
        <f>IF($D1611="","",IFERROR(IF(INDEX(RUNS!$K$6:$K$1005,MATCH($D1611,RUNS!$A$6:$A$1005,0))="","",INDEX(RUNS!$K$6:$K$1005,MATCH($D1611,RUNS!$A$6:$A$1005,0))),""))</f>
        <v/>
      </c>
      <c r="R1611" s="34">
        <f>IF(OR($L1611="",$K1611=""),"",IFERROR(IF(INDEX(PARAMETRES!$H$43:$H$342,MATCH($L1611&amp;"|"&amp;$M1611&amp;"|"&amp;$N1611&amp;"|"&amp;$O1611&amp;"|"&amp;$P1611&amp;"|"&amp;$Q1611&amp;"|"&amp;$K1611,PARAMETRES!$J$43:$J$342,0))="","",INDEX(PARAMETRES!$H$43:$H$342,MATCH($L1611&amp;"|"&amp;$M1611&amp;"|"&amp;$N1611&amp;"|"&amp;$O1611&amp;"|"&amp;$P1611&amp;"|"&amp;$Q1611&amp;"|"&amp;$K1611,PARAMETRES!$J$43:$J$342,0))),""))</f>
        <v/>
      </c>
      <c r="S1611" s="35">
        <f>IF(OR($G1611="",$X1611&lt;&gt;"VALIDE"),"",IFERROR(LOOKUP(2,1/(($B711:$B1610=$B1611)*($G711:$G1610=$G1611)*($X711:$X1610="VALIDE")),$C711:$C1610),""))</f>
        <v/>
      </c>
      <c r="T1611" s="36">
        <f>IF(OR($C1611="",$S1611=""),"",ROUND(($C1611-$S1611+IF($C1611&lt;$S1611,1,0))*1440,0))</f>
        <v/>
      </c>
      <c r="U1611" s="22">
        <f>IF(OR($H1611="",$T1611="",$T1611&lt;=0),"",$H1611*60/$T1611)</f>
        <v/>
      </c>
      <c r="V1611" s="37">
        <f>IF(OR($U1611="",$R1611="",$R1611=0),"",$U1611/$R1611)</f>
        <v/>
      </c>
      <c r="W1611" s="20">
        <f>IF($G1611="","",IF($X1611="CONTEXTE INCOMPLET","CONTEXTE INCOMPLET",IF($X1611="DOUBLON",StatutDoublon,IF($S1611="",StatutInitial,IF($R1611="",StatutStandardManquant,IF($V1611="","DONNEES INSUFFISANTES",IF($V1611&gt;=SeuilConforme,StatutConforme,IF($V1611&gt;=SeuilSurveiller,StatutSurveiller,StatutSousStandard))))))))</f>
        <v/>
      </c>
      <c r="X1611" s="33">
        <f>IF($G1611="","",IF(OR($D1611="",$E1611="",$F1611=""),"CONTEXTE INCOMPLET",IF(COUNTIFS($D711:$D1610,$D1611,$E711:$E1610,$E1611,$F711:$F1610,$F1611,$G711:$G1610,$G1611)&gt;0,"DOUBLON","VALIDE")))</f>
        <v/>
      </c>
    </row>
    <row r="1612" ht="15" customHeight="1">
      <c r="A1612" s="12">
        <f>IF(OR($B1612="",$G1612=""),"",TEXT($B1612,"YYYYMMDD")&amp;"-"&amp;SUBSTITUTE($E1612," ","")&amp;"-"&amp;$F1612&amp;"-"&amp;$G1612)</f>
        <v/>
      </c>
      <c r="B1612" s="15" t="n"/>
      <c r="C1612" s="16" t="n"/>
      <c r="D1612" s="10" t="n"/>
      <c r="E1612" s="9" t="n"/>
      <c r="F1612" s="9" t="n"/>
      <c r="G1612" s="13" t="n"/>
      <c r="H1612" s="21" t="n"/>
      <c r="I1612" s="21" t="n"/>
      <c r="J1612" s="17">
        <f>IF($G1612="","",IFERROR(INDEX(NomsEmployes,MATCH($G1612,MatriculesEmployes,0)),"MATRICULE INCONNU"))</f>
        <v/>
      </c>
      <c r="K1612" s="33">
        <f>IF(OR($D1612="",$F1612=""),"",IFERROR(IF(INDEX(RUNS!$L$6:$S$1005,MATCH($D1612,RUNS!$A$6:$A$1005,0),MATCH("ACTIVITÉ "&amp;$F1612,RUNS!$L$5:$S$5,0))="","",INDEX(RUNS!$L$6:$S$1005,MATCH($D1612,RUNS!$A$6:$A$1005,0),MATCH("ACTIVITÉ "&amp;$F1612,RUNS!$L$5:$S$5,0))),""))</f>
        <v/>
      </c>
      <c r="L1612" s="33">
        <f>IF($D1612="","",IFERROR(IF(INDEX(RUNS!$E$6:$E$1005,MATCH($D1612,RUNS!$A$6:$A$1005,0))="","",INDEX(RUNS!$E$6:$E$1005,MATCH($D1612,RUNS!$A$6:$A$1005,0))),""))</f>
        <v/>
      </c>
      <c r="M1612" s="33">
        <f>IF($D1612="","",IFERROR(IF(INDEX(RUNS!$F$6:$F$1005,MATCH($D1612,RUNS!$A$6:$A$1005,0))="","",INDEX(RUNS!$F$6:$F$1005,MATCH($D1612,RUNS!$A$6:$A$1005,0))),""))</f>
        <v/>
      </c>
      <c r="N1612" s="33">
        <f>IF($D1612="","",IFERROR(IF(INDEX(RUNS!$G$6:$G$1005,MATCH($D1612,RUNS!$A$6:$A$1005,0))="","",INDEX(RUNS!$G$6:$G$1005,MATCH($D1612,RUNS!$A$6:$A$1005,0))),""))</f>
        <v/>
      </c>
      <c r="O1612" s="33">
        <f>IF($D1612="","",IFERROR(IF(INDEX(RUNS!$H$6:$H$1005,MATCH($D1612,RUNS!$A$6:$A$1005,0))="","",INDEX(RUNS!$H$6:$H$1005,MATCH($D1612,RUNS!$A$6:$A$1005,0))),""))</f>
        <v/>
      </c>
      <c r="P1612" s="33">
        <f>IF($D1612="","",IFERROR(IF(INDEX(RUNS!$J$6:$J$1005,MATCH($D1612,RUNS!$A$6:$A$1005,0))="","",INDEX(RUNS!$J$6:$J$1005,MATCH($D1612,RUNS!$A$6:$A$1005,0))),""))</f>
        <v/>
      </c>
      <c r="Q1612" s="33">
        <f>IF($D1612="","",IFERROR(IF(INDEX(RUNS!$K$6:$K$1005,MATCH($D1612,RUNS!$A$6:$A$1005,0))="","",INDEX(RUNS!$K$6:$K$1005,MATCH($D1612,RUNS!$A$6:$A$1005,0))),""))</f>
        <v/>
      </c>
      <c r="R1612" s="34">
        <f>IF(OR($L1612="",$K1612=""),"",IFERROR(IF(INDEX(PARAMETRES!$H$43:$H$342,MATCH($L1612&amp;"|"&amp;$M1612&amp;"|"&amp;$N1612&amp;"|"&amp;$O1612&amp;"|"&amp;$P1612&amp;"|"&amp;$Q1612&amp;"|"&amp;$K1612,PARAMETRES!$J$43:$J$342,0))="","",INDEX(PARAMETRES!$H$43:$H$342,MATCH($L1612&amp;"|"&amp;$M1612&amp;"|"&amp;$N1612&amp;"|"&amp;$O1612&amp;"|"&amp;$P1612&amp;"|"&amp;$Q1612&amp;"|"&amp;$K1612,PARAMETRES!$J$43:$J$342,0))),""))</f>
        <v/>
      </c>
      <c r="S1612" s="35">
        <f>IF(OR($G1612="",$X1612&lt;&gt;"VALIDE"),"",IFERROR(LOOKUP(2,1/(($B712:$B1611=$B1612)*($G712:$G1611=$G1612)*($X712:$X1611="VALIDE")),$C712:$C1611),""))</f>
        <v/>
      </c>
      <c r="T1612" s="36">
        <f>IF(OR($C1612="",$S1612=""),"",ROUND(($C1612-$S1612+IF($C1612&lt;$S1612,1,0))*1440,0))</f>
        <v/>
      </c>
      <c r="U1612" s="22">
        <f>IF(OR($H1612="",$T1612="",$T1612&lt;=0),"",$H1612*60/$T1612)</f>
        <v/>
      </c>
      <c r="V1612" s="37">
        <f>IF(OR($U1612="",$R1612="",$R1612=0),"",$U1612/$R1612)</f>
        <v/>
      </c>
      <c r="W1612" s="20">
        <f>IF($G1612="","",IF($X1612="CONTEXTE INCOMPLET","CONTEXTE INCOMPLET",IF($X1612="DOUBLON",StatutDoublon,IF($S1612="",StatutInitial,IF($R1612="",StatutStandardManquant,IF($V1612="","DONNEES INSUFFISANTES",IF($V1612&gt;=SeuilConforme,StatutConforme,IF($V1612&gt;=SeuilSurveiller,StatutSurveiller,StatutSousStandard))))))))</f>
        <v/>
      </c>
      <c r="X1612" s="33">
        <f>IF($G1612="","",IF(OR($D1612="",$E1612="",$F1612=""),"CONTEXTE INCOMPLET",IF(COUNTIFS($D712:$D1611,$D1612,$E712:$E1611,$E1612,$F712:$F1611,$F1612,$G712:$G1611,$G1612)&gt;0,"DOUBLON","VALIDE")))</f>
        <v/>
      </c>
    </row>
    <row r="1613" ht="15" customHeight="1">
      <c r="A1613" s="12">
        <f>IF(OR($B1613="",$G1613=""),"",TEXT($B1613,"YYYYMMDD")&amp;"-"&amp;SUBSTITUTE($E1613," ","")&amp;"-"&amp;$F1613&amp;"-"&amp;$G1613)</f>
        <v/>
      </c>
      <c r="B1613" s="15" t="n"/>
      <c r="C1613" s="16" t="n"/>
      <c r="D1613" s="10" t="n"/>
      <c r="E1613" s="9" t="n"/>
      <c r="F1613" s="9" t="n"/>
      <c r="G1613" s="13" t="n"/>
      <c r="H1613" s="21" t="n"/>
      <c r="I1613" s="21" t="n"/>
      <c r="J1613" s="17">
        <f>IF($G1613="","",IFERROR(INDEX(NomsEmployes,MATCH($G1613,MatriculesEmployes,0)),"MATRICULE INCONNU"))</f>
        <v/>
      </c>
      <c r="K1613" s="33">
        <f>IF(OR($D1613="",$F1613=""),"",IFERROR(IF(INDEX(RUNS!$L$6:$S$1005,MATCH($D1613,RUNS!$A$6:$A$1005,0),MATCH("ACTIVITÉ "&amp;$F1613,RUNS!$L$5:$S$5,0))="","",INDEX(RUNS!$L$6:$S$1005,MATCH($D1613,RUNS!$A$6:$A$1005,0),MATCH("ACTIVITÉ "&amp;$F1613,RUNS!$L$5:$S$5,0))),""))</f>
        <v/>
      </c>
      <c r="L1613" s="33">
        <f>IF($D1613="","",IFERROR(IF(INDEX(RUNS!$E$6:$E$1005,MATCH($D1613,RUNS!$A$6:$A$1005,0))="","",INDEX(RUNS!$E$6:$E$1005,MATCH($D1613,RUNS!$A$6:$A$1005,0))),""))</f>
        <v/>
      </c>
      <c r="M1613" s="33">
        <f>IF($D1613="","",IFERROR(IF(INDEX(RUNS!$F$6:$F$1005,MATCH($D1613,RUNS!$A$6:$A$1005,0))="","",INDEX(RUNS!$F$6:$F$1005,MATCH($D1613,RUNS!$A$6:$A$1005,0))),""))</f>
        <v/>
      </c>
      <c r="N1613" s="33">
        <f>IF($D1613="","",IFERROR(IF(INDEX(RUNS!$G$6:$G$1005,MATCH($D1613,RUNS!$A$6:$A$1005,0))="","",INDEX(RUNS!$G$6:$G$1005,MATCH($D1613,RUNS!$A$6:$A$1005,0))),""))</f>
        <v/>
      </c>
      <c r="O1613" s="33">
        <f>IF($D1613="","",IFERROR(IF(INDEX(RUNS!$H$6:$H$1005,MATCH($D1613,RUNS!$A$6:$A$1005,0))="","",INDEX(RUNS!$H$6:$H$1005,MATCH($D1613,RUNS!$A$6:$A$1005,0))),""))</f>
        <v/>
      </c>
      <c r="P1613" s="33">
        <f>IF($D1613="","",IFERROR(IF(INDEX(RUNS!$J$6:$J$1005,MATCH($D1613,RUNS!$A$6:$A$1005,0))="","",INDEX(RUNS!$J$6:$J$1005,MATCH($D1613,RUNS!$A$6:$A$1005,0))),""))</f>
        <v/>
      </c>
      <c r="Q1613" s="33">
        <f>IF($D1613="","",IFERROR(IF(INDEX(RUNS!$K$6:$K$1005,MATCH($D1613,RUNS!$A$6:$A$1005,0))="","",INDEX(RUNS!$K$6:$K$1005,MATCH($D1613,RUNS!$A$6:$A$1005,0))),""))</f>
        <v/>
      </c>
      <c r="R1613" s="34">
        <f>IF(OR($L1613="",$K1613=""),"",IFERROR(IF(INDEX(PARAMETRES!$H$43:$H$342,MATCH($L1613&amp;"|"&amp;$M1613&amp;"|"&amp;$N1613&amp;"|"&amp;$O1613&amp;"|"&amp;$P1613&amp;"|"&amp;$Q1613&amp;"|"&amp;$K1613,PARAMETRES!$J$43:$J$342,0))="","",INDEX(PARAMETRES!$H$43:$H$342,MATCH($L1613&amp;"|"&amp;$M1613&amp;"|"&amp;$N1613&amp;"|"&amp;$O1613&amp;"|"&amp;$P1613&amp;"|"&amp;$Q1613&amp;"|"&amp;$K1613,PARAMETRES!$J$43:$J$342,0))),""))</f>
        <v/>
      </c>
      <c r="S1613" s="35">
        <f>IF(OR($G1613="",$X1613&lt;&gt;"VALIDE"),"",IFERROR(LOOKUP(2,1/(($B713:$B1612=$B1613)*($G713:$G1612=$G1613)*($X713:$X1612="VALIDE")),$C713:$C1612),""))</f>
        <v/>
      </c>
      <c r="T1613" s="36">
        <f>IF(OR($C1613="",$S1613=""),"",ROUND(($C1613-$S1613+IF($C1613&lt;$S1613,1,0))*1440,0))</f>
        <v/>
      </c>
      <c r="U1613" s="22">
        <f>IF(OR($H1613="",$T1613="",$T1613&lt;=0),"",$H1613*60/$T1613)</f>
        <v/>
      </c>
      <c r="V1613" s="37">
        <f>IF(OR($U1613="",$R1613="",$R1613=0),"",$U1613/$R1613)</f>
        <v/>
      </c>
      <c r="W1613" s="20">
        <f>IF($G1613="","",IF($X1613="CONTEXTE INCOMPLET","CONTEXTE INCOMPLET",IF($X1613="DOUBLON",StatutDoublon,IF($S1613="",StatutInitial,IF($R1613="",StatutStandardManquant,IF($V1613="","DONNEES INSUFFISANTES",IF($V1613&gt;=SeuilConforme,StatutConforme,IF($V1613&gt;=SeuilSurveiller,StatutSurveiller,StatutSousStandard))))))))</f>
        <v/>
      </c>
      <c r="X1613" s="33">
        <f>IF($G1613="","",IF(OR($D1613="",$E1613="",$F1613=""),"CONTEXTE INCOMPLET",IF(COUNTIFS($D713:$D1612,$D1613,$E713:$E1612,$E1613,$F713:$F1612,$F1613,$G713:$G1612,$G1613)&gt;0,"DOUBLON","VALIDE")))</f>
        <v/>
      </c>
    </row>
    <row r="1614" ht="15" customHeight="1">
      <c r="A1614" s="12">
        <f>IF(OR($B1614="",$G1614=""),"",TEXT($B1614,"YYYYMMDD")&amp;"-"&amp;SUBSTITUTE($E1614," ","")&amp;"-"&amp;$F1614&amp;"-"&amp;$G1614)</f>
        <v/>
      </c>
      <c r="B1614" s="15" t="n"/>
      <c r="C1614" s="16" t="n"/>
      <c r="D1614" s="10" t="n"/>
      <c r="E1614" s="9" t="n"/>
      <c r="F1614" s="9" t="n"/>
      <c r="G1614" s="13" t="n"/>
      <c r="H1614" s="21" t="n"/>
      <c r="I1614" s="21" t="n"/>
      <c r="J1614" s="17">
        <f>IF($G1614="","",IFERROR(INDEX(NomsEmployes,MATCH($G1614,MatriculesEmployes,0)),"MATRICULE INCONNU"))</f>
        <v/>
      </c>
      <c r="K1614" s="33">
        <f>IF(OR($D1614="",$F1614=""),"",IFERROR(IF(INDEX(RUNS!$L$6:$S$1005,MATCH($D1614,RUNS!$A$6:$A$1005,0),MATCH("ACTIVITÉ "&amp;$F1614,RUNS!$L$5:$S$5,0))="","",INDEX(RUNS!$L$6:$S$1005,MATCH($D1614,RUNS!$A$6:$A$1005,0),MATCH("ACTIVITÉ "&amp;$F1614,RUNS!$L$5:$S$5,0))),""))</f>
        <v/>
      </c>
      <c r="L1614" s="33">
        <f>IF($D1614="","",IFERROR(IF(INDEX(RUNS!$E$6:$E$1005,MATCH($D1614,RUNS!$A$6:$A$1005,0))="","",INDEX(RUNS!$E$6:$E$1005,MATCH($D1614,RUNS!$A$6:$A$1005,0))),""))</f>
        <v/>
      </c>
      <c r="M1614" s="33">
        <f>IF($D1614="","",IFERROR(IF(INDEX(RUNS!$F$6:$F$1005,MATCH($D1614,RUNS!$A$6:$A$1005,0))="","",INDEX(RUNS!$F$6:$F$1005,MATCH($D1614,RUNS!$A$6:$A$1005,0))),""))</f>
        <v/>
      </c>
      <c r="N1614" s="33">
        <f>IF($D1614="","",IFERROR(IF(INDEX(RUNS!$G$6:$G$1005,MATCH($D1614,RUNS!$A$6:$A$1005,0))="","",INDEX(RUNS!$G$6:$G$1005,MATCH($D1614,RUNS!$A$6:$A$1005,0))),""))</f>
        <v/>
      </c>
      <c r="O1614" s="33">
        <f>IF($D1614="","",IFERROR(IF(INDEX(RUNS!$H$6:$H$1005,MATCH($D1614,RUNS!$A$6:$A$1005,0))="","",INDEX(RUNS!$H$6:$H$1005,MATCH($D1614,RUNS!$A$6:$A$1005,0))),""))</f>
        <v/>
      </c>
      <c r="P1614" s="33">
        <f>IF($D1614="","",IFERROR(IF(INDEX(RUNS!$J$6:$J$1005,MATCH($D1614,RUNS!$A$6:$A$1005,0))="","",INDEX(RUNS!$J$6:$J$1005,MATCH($D1614,RUNS!$A$6:$A$1005,0))),""))</f>
        <v/>
      </c>
      <c r="Q1614" s="33">
        <f>IF($D1614="","",IFERROR(IF(INDEX(RUNS!$K$6:$K$1005,MATCH($D1614,RUNS!$A$6:$A$1005,0))="","",INDEX(RUNS!$K$6:$K$1005,MATCH($D1614,RUNS!$A$6:$A$1005,0))),""))</f>
        <v/>
      </c>
      <c r="R1614" s="34">
        <f>IF(OR($L1614="",$K1614=""),"",IFERROR(IF(INDEX(PARAMETRES!$H$43:$H$342,MATCH($L1614&amp;"|"&amp;$M1614&amp;"|"&amp;$N1614&amp;"|"&amp;$O1614&amp;"|"&amp;$P1614&amp;"|"&amp;$Q1614&amp;"|"&amp;$K1614,PARAMETRES!$J$43:$J$342,0))="","",INDEX(PARAMETRES!$H$43:$H$342,MATCH($L1614&amp;"|"&amp;$M1614&amp;"|"&amp;$N1614&amp;"|"&amp;$O1614&amp;"|"&amp;$P1614&amp;"|"&amp;$Q1614&amp;"|"&amp;$K1614,PARAMETRES!$J$43:$J$342,0))),""))</f>
        <v/>
      </c>
      <c r="S1614" s="35">
        <f>IF(OR($G1614="",$X1614&lt;&gt;"VALIDE"),"",IFERROR(LOOKUP(2,1/(($B714:$B1613=$B1614)*($G714:$G1613=$G1614)*($X714:$X1613="VALIDE")),$C714:$C1613),""))</f>
        <v/>
      </c>
      <c r="T1614" s="36">
        <f>IF(OR($C1614="",$S1614=""),"",ROUND(($C1614-$S1614+IF($C1614&lt;$S1614,1,0))*1440,0))</f>
        <v/>
      </c>
      <c r="U1614" s="22">
        <f>IF(OR($H1614="",$T1614="",$T1614&lt;=0),"",$H1614*60/$T1614)</f>
        <v/>
      </c>
      <c r="V1614" s="37">
        <f>IF(OR($U1614="",$R1614="",$R1614=0),"",$U1614/$R1614)</f>
        <v/>
      </c>
      <c r="W1614" s="20">
        <f>IF($G1614="","",IF($X1614="CONTEXTE INCOMPLET","CONTEXTE INCOMPLET",IF($X1614="DOUBLON",StatutDoublon,IF($S1614="",StatutInitial,IF($R1614="",StatutStandardManquant,IF($V1614="","DONNEES INSUFFISANTES",IF($V1614&gt;=SeuilConforme,StatutConforme,IF($V1614&gt;=SeuilSurveiller,StatutSurveiller,StatutSousStandard))))))))</f>
        <v/>
      </c>
      <c r="X1614" s="33">
        <f>IF($G1614="","",IF(OR($D1614="",$E1614="",$F1614=""),"CONTEXTE INCOMPLET",IF(COUNTIFS($D714:$D1613,$D1614,$E714:$E1613,$E1614,$F714:$F1613,$F1614,$G714:$G1613,$G1614)&gt;0,"DOUBLON","VALIDE")))</f>
        <v/>
      </c>
    </row>
    <row r="1615" ht="15" customHeight="1">
      <c r="A1615" s="12">
        <f>IF(OR($B1615="",$G1615=""),"",TEXT($B1615,"YYYYMMDD")&amp;"-"&amp;SUBSTITUTE($E1615," ","")&amp;"-"&amp;$F1615&amp;"-"&amp;$G1615)</f>
        <v/>
      </c>
      <c r="B1615" s="15" t="n"/>
      <c r="C1615" s="16" t="n"/>
      <c r="D1615" s="10" t="n"/>
      <c r="E1615" s="9" t="n"/>
      <c r="F1615" s="9" t="n"/>
      <c r="G1615" s="13" t="n"/>
      <c r="H1615" s="21" t="n"/>
      <c r="I1615" s="21" t="n"/>
      <c r="J1615" s="17">
        <f>IF($G1615="","",IFERROR(INDEX(NomsEmployes,MATCH($G1615,MatriculesEmployes,0)),"MATRICULE INCONNU"))</f>
        <v/>
      </c>
      <c r="K1615" s="33">
        <f>IF(OR($D1615="",$F1615=""),"",IFERROR(IF(INDEX(RUNS!$L$6:$S$1005,MATCH($D1615,RUNS!$A$6:$A$1005,0),MATCH("ACTIVITÉ "&amp;$F1615,RUNS!$L$5:$S$5,0))="","",INDEX(RUNS!$L$6:$S$1005,MATCH($D1615,RUNS!$A$6:$A$1005,0),MATCH("ACTIVITÉ "&amp;$F1615,RUNS!$L$5:$S$5,0))),""))</f>
        <v/>
      </c>
      <c r="L1615" s="33">
        <f>IF($D1615="","",IFERROR(IF(INDEX(RUNS!$E$6:$E$1005,MATCH($D1615,RUNS!$A$6:$A$1005,0))="","",INDEX(RUNS!$E$6:$E$1005,MATCH($D1615,RUNS!$A$6:$A$1005,0))),""))</f>
        <v/>
      </c>
      <c r="M1615" s="33">
        <f>IF($D1615="","",IFERROR(IF(INDEX(RUNS!$F$6:$F$1005,MATCH($D1615,RUNS!$A$6:$A$1005,0))="","",INDEX(RUNS!$F$6:$F$1005,MATCH($D1615,RUNS!$A$6:$A$1005,0))),""))</f>
        <v/>
      </c>
      <c r="N1615" s="33">
        <f>IF($D1615="","",IFERROR(IF(INDEX(RUNS!$G$6:$G$1005,MATCH($D1615,RUNS!$A$6:$A$1005,0))="","",INDEX(RUNS!$G$6:$G$1005,MATCH($D1615,RUNS!$A$6:$A$1005,0))),""))</f>
        <v/>
      </c>
      <c r="O1615" s="33">
        <f>IF($D1615="","",IFERROR(IF(INDEX(RUNS!$H$6:$H$1005,MATCH($D1615,RUNS!$A$6:$A$1005,0))="","",INDEX(RUNS!$H$6:$H$1005,MATCH($D1615,RUNS!$A$6:$A$1005,0))),""))</f>
        <v/>
      </c>
      <c r="P1615" s="33">
        <f>IF($D1615="","",IFERROR(IF(INDEX(RUNS!$J$6:$J$1005,MATCH($D1615,RUNS!$A$6:$A$1005,0))="","",INDEX(RUNS!$J$6:$J$1005,MATCH($D1615,RUNS!$A$6:$A$1005,0))),""))</f>
        <v/>
      </c>
      <c r="Q1615" s="33">
        <f>IF($D1615="","",IFERROR(IF(INDEX(RUNS!$K$6:$K$1005,MATCH($D1615,RUNS!$A$6:$A$1005,0))="","",INDEX(RUNS!$K$6:$K$1005,MATCH($D1615,RUNS!$A$6:$A$1005,0))),""))</f>
        <v/>
      </c>
      <c r="R1615" s="34">
        <f>IF(OR($L1615="",$K1615=""),"",IFERROR(IF(INDEX(PARAMETRES!$H$43:$H$342,MATCH($L1615&amp;"|"&amp;$M1615&amp;"|"&amp;$N1615&amp;"|"&amp;$O1615&amp;"|"&amp;$P1615&amp;"|"&amp;$Q1615&amp;"|"&amp;$K1615,PARAMETRES!$J$43:$J$342,0))="","",INDEX(PARAMETRES!$H$43:$H$342,MATCH($L1615&amp;"|"&amp;$M1615&amp;"|"&amp;$N1615&amp;"|"&amp;$O1615&amp;"|"&amp;$P1615&amp;"|"&amp;$Q1615&amp;"|"&amp;$K1615,PARAMETRES!$J$43:$J$342,0))),""))</f>
        <v/>
      </c>
      <c r="S1615" s="35">
        <f>IF(OR($G1615="",$X1615&lt;&gt;"VALIDE"),"",IFERROR(LOOKUP(2,1/(($B715:$B1614=$B1615)*($G715:$G1614=$G1615)*($X715:$X1614="VALIDE")),$C715:$C1614),""))</f>
        <v/>
      </c>
      <c r="T1615" s="36">
        <f>IF(OR($C1615="",$S1615=""),"",ROUND(($C1615-$S1615+IF($C1615&lt;$S1615,1,0))*1440,0))</f>
        <v/>
      </c>
      <c r="U1615" s="22">
        <f>IF(OR($H1615="",$T1615="",$T1615&lt;=0),"",$H1615*60/$T1615)</f>
        <v/>
      </c>
      <c r="V1615" s="37">
        <f>IF(OR($U1615="",$R1615="",$R1615=0),"",$U1615/$R1615)</f>
        <v/>
      </c>
      <c r="W1615" s="20">
        <f>IF($G1615="","",IF($X1615="CONTEXTE INCOMPLET","CONTEXTE INCOMPLET",IF($X1615="DOUBLON",StatutDoublon,IF($S1615="",StatutInitial,IF($R1615="",StatutStandardManquant,IF($V1615="","DONNEES INSUFFISANTES",IF($V1615&gt;=SeuilConforme,StatutConforme,IF($V1615&gt;=SeuilSurveiller,StatutSurveiller,StatutSousStandard))))))))</f>
        <v/>
      </c>
      <c r="X1615" s="33">
        <f>IF($G1615="","",IF(OR($D1615="",$E1615="",$F1615=""),"CONTEXTE INCOMPLET",IF(COUNTIFS($D715:$D1614,$D1615,$E715:$E1614,$E1615,$F715:$F1614,$F1615,$G715:$G1614,$G1615)&gt;0,"DOUBLON","VALIDE")))</f>
        <v/>
      </c>
    </row>
    <row r="1616" ht="15" customHeight="1">
      <c r="A1616" s="12">
        <f>IF(OR($B1616="",$G1616=""),"",TEXT($B1616,"YYYYMMDD")&amp;"-"&amp;SUBSTITUTE($E1616," ","")&amp;"-"&amp;$F1616&amp;"-"&amp;$G1616)</f>
        <v/>
      </c>
      <c r="B1616" s="15" t="n"/>
      <c r="C1616" s="16" t="n"/>
      <c r="D1616" s="10" t="n"/>
      <c r="E1616" s="9" t="n"/>
      <c r="F1616" s="9" t="n"/>
      <c r="G1616" s="13" t="n"/>
      <c r="H1616" s="21" t="n"/>
      <c r="I1616" s="21" t="n"/>
      <c r="J1616" s="17">
        <f>IF($G1616="","",IFERROR(INDEX(NomsEmployes,MATCH($G1616,MatriculesEmployes,0)),"MATRICULE INCONNU"))</f>
        <v/>
      </c>
      <c r="K1616" s="33">
        <f>IF(OR($D1616="",$F1616=""),"",IFERROR(IF(INDEX(RUNS!$L$6:$S$1005,MATCH($D1616,RUNS!$A$6:$A$1005,0),MATCH("ACTIVITÉ "&amp;$F1616,RUNS!$L$5:$S$5,0))="","",INDEX(RUNS!$L$6:$S$1005,MATCH($D1616,RUNS!$A$6:$A$1005,0),MATCH("ACTIVITÉ "&amp;$F1616,RUNS!$L$5:$S$5,0))),""))</f>
        <v/>
      </c>
      <c r="L1616" s="33">
        <f>IF($D1616="","",IFERROR(IF(INDEX(RUNS!$E$6:$E$1005,MATCH($D1616,RUNS!$A$6:$A$1005,0))="","",INDEX(RUNS!$E$6:$E$1005,MATCH($D1616,RUNS!$A$6:$A$1005,0))),""))</f>
        <v/>
      </c>
      <c r="M1616" s="33">
        <f>IF($D1616="","",IFERROR(IF(INDEX(RUNS!$F$6:$F$1005,MATCH($D1616,RUNS!$A$6:$A$1005,0))="","",INDEX(RUNS!$F$6:$F$1005,MATCH($D1616,RUNS!$A$6:$A$1005,0))),""))</f>
        <v/>
      </c>
      <c r="N1616" s="33">
        <f>IF($D1616="","",IFERROR(IF(INDEX(RUNS!$G$6:$G$1005,MATCH($D1616,RUNS!$A$6:$A$1005,0))="","",INDEX(RUNS!$G$6:$G$1005,MATCH($D1616,RUNS!$A$6:$A$1005,0))),""))</f>
        <v/>
      </c>
      <c r="O1616" s="33">
        <f>IF($D1616="","",IFERROR(IF(INDEX(RUNS!$H$6:$H$1005,MATCH($D1616,RUNS!$A$6:$A$1005,0))="","",INDEX(RUNS!$H$6:$H$1005,MATCH($D1616,RUNS!$A$6:$A$1005,0))),""))</f>
        <v/>
      </c>
      <c r="P1616" s="33">
        <f>IF($D1616="","",IFERROR(IF(INDEX(RUNS!$J$6:$J$1005,MATCH($D1616,RUNS!$A$6:$A$1005,0))="","",INDEX(RUNS!$J$6:$J$1005,MATCH($D1616,RUNS!$A$6:$A$1005,0))),""))</f>
        <v/>
      </c>
      <c r="Q1616" s="33">
        <f>IF($D1616="","",IFERROR(IF(INDEX(RUNS!$K$6:$K$1005,MATCH($D1616,RUNS!$A$6:$A$1005,0))="","",INDEX(RUNS!$K$6:$K$1005,MATCH($D1616,RUNS!$A$6:$A$1005,0))),""))</f>
        <v/>
      </c>
      <c r="R1616" s="34">
        <f>IF(OR($L1616="",$K1616=""),"",IFERROR(IF(INDEX(PARAMETRES!$H$43:$H$342,MATCH($L1616&amp;"|"&amp;$M1616&amp;"|"&amp;$N1616&amp;"|"&amp;$O1616&amp;"|"&amp;$P1616&amp;"|"&amp;$Q1616&amp;"|"&amp;$K1616,PARAMETRES!$J$43:$J$342,0))="","",INDEX(PARAMETRES!$H$43:$H$342,MATCH($L1616&amp;"|"&amp;$M1616&amp;"|"&amp;$N1616&amp;"|"&amp;$O1616&amp;"|"&amp;$P1616&amp;"|"&amp;$Q1616&amp;"|"&amp;$K1616,PARAMETRES!$J$43:$J$342,0))),""))</f>
        <v/>
      </c>
      <c r="S1616" s="35">
        <f>IF(OR($G1616="",$X1616&lt;&gt;"VALIDE"),"",IFERROR(LOOKUP(2,1/(($B716:$B1615=$B1616)*($G716:$G1615=$G1616)*($X716:$X1615="VALIDE")),$C716:$C1615),""))</f>
        <v/>
      </c>
      <c r="T1616" s="36">
        <f>IF(OR($C1616="",$S1616=""),"",ROUND(($C1616-$S1616+IF($C1616&lt;$S1616,1,0))*1440,0))</f>
        <v/>
      </c>
      <c r="U1616" s="22">
        <f>IF(OR($H1616="",$T1616="",$T1616&lt;=0),"",$H1616*60/$T1616)</f>
        <v/>
      </c>
      <c r="V1616" s="37">
        <f>IF(OR($U1616="",$R1616="",$R1616=0),"",$U1616/$R1616)</f>
        <v/>
      </c>
      <c r="W1616" s="20">
        <f>IF($G1616="","",IF($X1616="CONTEXTE INCOMPLET","CONTEXTE INCOMPLET",IF($X1616="DOUBLON",StatutDoublon,IF($S1616="",StatutInitial,IF($R1616="",StatutStandardManquant,IF($V1616="","DONNEES INSUFFISANTES",IF($V1616&gt;=SeuilConforme,StatutConforme,IF($V1616&gt;=SeuilSurveiller,StatutSurveiller,StatutSousStandard))))))))</f>
        <v/>
      </c>
      <c r="X1616" s="33">
        <f>IF($G1616="","",IF(OR($D1616="",$E1616="",$F1616=""),"CONTEXTE INCOMPLET",IF(COUNTIFS($D716:$D1615,$D1616,$E716:$E1615,$E1616,$F716:$F1615,$F1616,$G716:$G1615,$G1616)&gt;0,"DOUBLON","VALIDE")))</f>
        <v/>
      </c>
    </row>
    <row r="1617" ht="15" customHeight="1">
      <c r="A1617" s="12">
        <f>IF(OR($B1617="",$G1617=""),"",TEXT($B1617,"YYYYMMDD")&amp;"-"&amp;SUBSTITUTE($E1617," ","")&amp;"-"&amp;$F1617&amp;"-"&amp;$G1617)</f>
        <v/>
      </c>
      <c r="B1617" s="15" t="n"/>
      <c r="C1617" s="16" t="n"/>
      <c r="D1617" s="10" t="n"/>
      <c r="E1617" s="9" t="n"/>
      <c r="F1617" s="9" t="n"/>
      <c r="G1617" s="13" t="n"/>
      <c r="H1617" s="21" t="n"/>
      <c r="I1617" s="21" t="n"/>
      <c r="J1617" s="17">
        <f>IF($G1617="","",IFERROR(INDEX(NomsEmployes,MATCH($G1617,MatriculesEmployes,0)),"MATRICULE INCONNU"))</f>
        <v/>
      </c>
      <c r="K1617" s="33">
        <f>IF(OR($D1617="",$F1617=""),"",IFERROR(IF(INDEX(RUNS!$L$6:$S$1005,MATCH($D1617,RUNS!$A$6:$A$1005,0),MATCH("ACTIVITÉ "&amp;$F1617,RUNS!$L$5:$S$5,0))="","",INDEX(RUNS!$L$6:$S$1005,MATCH($D1617,RUNS!$A$6:$A$1005,0),MATCH("ACTIVITÉ "&amp;$F1617,RUNS!$L$5:$S$5,0))),""))</f>
        <v/>
      </c>
      <c r="L1617" s="33">
        <f>IF($D1617="","",IFERROR(IF(INDEX(RUNS!$E$6:$E$1005,MATCH($D1617,RUNS!$A$6:$A$1005,0))="","",INDEX(RUNS!$E$6:$E$1005,MATCH($D1617,RUNS!$A$6:$A$1005,0))),""))</f>
        <v/>
      </c>
      <c r="M1617" s="33">
        <f>IF($D1617="","",IFERROR(IF(INDEX(RUNS!$F$6:$F$1005,MATCH($D1617,RUNS!$A$6:$A$1005,0))="","",INDEX(RUNS!$F$6:$F$1005,MATCH($D1617,RUNS!$A$6:$A$1005,0))),""))</f>
        <v/>
      </c>
      <c r="N1617" s="33">
        <f>IF($D1617="","",IFERROR(IF(INDEX(RUNS!$G$6:$G$1005,MATCH($D1617,RUNS!$A$6:$A$1005,0))="","",INDEX(RUNS!$G$6:$G$1005,MATCH($D1617,RUNS!$A$6:$A$1005,0))),""))</f>
        <v/>
      </c>
      <c r="O1617" s="33">
        <f>IF($D1617="","",IFERROR(IF(INDEX(RUNS!$H$6:$H$1005,MATCH($D1617,RUNS!$A$6:$A$1005,0))="","",INDEX(RUNS!$H$6:$H$1005,MATCH($D1617,RUNS!$A$6:$A$1005,0))),""))</f>
        <v/>
      </c>
      <c r="P1617" s="33">
        <f>IF($D1617="","",IFERROR(IF(INDEX(RUNS!$J$6:$J$1005,MATCH($D1617,RUNS!$A$6:$A$1005,0))="","",INDEX(RUNS!$J$6:$J$1005,MATCH($D1617,RUNS!$A$6:$A$1005,0))),""))</f>
        <v/>
      </c>
      <c r="Q1617" s="33">
        <f>IF($D1617="","",IFERROR(IF(INDEX(RUNS!$K$6:$K$1005,MATCH($D1617,RUNS!$A$6:$A$1005,0))="","",INDEX(RUNS!$K$6:$K$1005,MATCH($D1617,RUNS!$A$6:$A$1005,0))),""))</f>
        <v/>
      </c>
      <c r="R1617" s="34">
        <f>IF(OR($L1617="",$K1617=""),"",IFERROR(IF(INDEX(PARAMETRES!$H$43:$H$342,MATCH($L1617&amp;"|"&amp;$M1617&amp;"|"&amp;$N1617&amp;"|"&amp;$O1617&amp;"|"&amp;$P1617&amp;"|"&amp;$Q1617&amp;"|"&amp;$K1617,PARAMETRES!$J$43:$J$342,0))="","",INDEX(PARAMETRES!$H$43:$H$342,MATCH($L1617&amp;"|"&amp;$M1617&amp;"|"&amp;$N1617&amp;"|"&amp;$O1617&amp;"|"&amp;$P1617&amp;"|"&amp;$Q1617&amp;"|"&amp;$K1617,PARAMETRES!$J$43:$J$342,0))),""))</f>
        <v/>
      </c>
      <c r="S1617" s="35">
        <f>IF(OR($G1617="",$X1617&lt;&gt;"VALIDE"),"",IFERROR(LOOKUP(2,1/(($B717:$B1616=$B1617)*($G717:$G1616=$G1617)*($X717:$X1616="VALIDE")),$C717:$C1616),""))</f>
        <v/>
      </c>
      <c r="T1617" s="36">
        <f>IF(OR($C1617="",$S1617=""),"",ROUND(($C1617-$S1617+IF($C1617&lt;$S1617,1,0))*1440,0))</f>
        <v/>
      </c>
      <c r="U1617" s="22">
        <f>IF(OR($H1617="",$T1617="",$T1617&lt;=0),"",$H1617*60/$T1617)</f>
        <v/>
      </c>
      <c r="V1617" s="37">
        <f>IF(OR($U1617="",$R1617="",$R1617=0),"",$U1617/$R1617)</f>
        <v/>
      </c>
      <c r="W1617" s="20">
        <f>IF($G1617="","",IF($X1617="CONTEXTE INCOMPLET","CONTEXTE INCOMPLET",IF($X1617="DOUBLON",StatutDoublon,IF($S1617="",StatutInitial,IF($R1617="",StatutStandardManquant,IF($V1617="","DONNEES INSUFFISANTES",IF($V1617&gt;=SeuilConforme,StatutConforme,IF($V1617&gt;=SeuilSurveiller,StatutSurveiller,StatutSousStandard))))))))</f>
        <v/>
      </c>
      <c r="X1617" s="33">
        <f>IF($G1617="","",IF(OR($D1617="",$E1617="",$F1617=""),"CONTEXTE INCOMPLET",IF(COUNTIFS($D717:$D1616,$D1617,$E717:$E1616,$E1617,$F717:$F1616,$F1617,$G717:$G1616,$G1617)&gt;0,"DOUBLON","VALIDE")))</f>
        <v/>
      </c>
    </row>
    <row r="1618" ht="15" customHeight="1">
      <c r="A1618" s="12">
        <f>IF(OR($B1618="",$G1618=""),"",TEXT($B1618,"YYYYMMDD")&amp;"-"&amp;SUBSTITUTE($E1618," ","")&amp;"-"&amp;$F1618&amp;"-"&amp;$G1618)</f>
        <v/>
      </c>
      <c r="B1618" s="15" t="n"/>
      <c r="C1618" s="16" t="n"/>
      <c r="D1618" s="10" t="n"/>
      <c r="E1618" s="9" t="n"/>
      <c r="F1618" s="9" t="n"/>
      <c r="G1618" s="13" t="n"/>
      <c r="H1618" s="21" t="n"/>
      <c r="I1618" s="21" t="n"/>
      <c r="J1618" s="17">
        <f>IF($G1618="","",IFERROR(INDEX(NomsEmployes,MATCH($G1618,MatriculesEmployes,0)),"MATRICULE INCONNU"))</f>
        <v/>
      </c>
      <c r="K1618" s="33">
        <f>IF(OR($D1618="",$F1618=""),"",IFERROR(IF(INDEX(RUNS!$L$6:$S$1005,MATCH($D1618,RUNS!$A$6:$A$1005,0),MATCH("ACTIVITÉ "&amp;$F1618,RUNS!$L$5:$S$5,0))="","",INDEX(RUNS!$L$6:$S$1005,MATCH($D1618,RUNS!$A$6:$A$1005,0),MATCH("ACTIVITÉ "&amp;$F1618,RUNS!$L$5:$S$5,0))),""))</f>
        <v/>
      </c>
      <c r="L1618" s="33">
        <f>IF($D1618="","",IFERROR(IF(INDEX(RUNS!$E$6:$E$1005,MATCH($D1618,RUNS!$A$6:$A$1005,0))="","",INDEX(RUNS!$E$6:$E$1005,MATCH($D1618,RUNS!$A$6:$A$1005,0))),""))</f>
        <v/>
      </c>
      <c r="M1618" s="33">
        <f>IF($D1618="","",IFERROR(IF(INDEX(RUNS!$F$6:$F$1005,MATCH($D1618,RUNS!$A$6:$A$1005,0))="","",INDEX(RUNS!$F$6:$F$1005,MATCH($D1618,RUNS!$A$6:$A$1005,0))),""))</f>
        <v/>
      </c>
      <c r="N1618" s="33">
        <f>IF($D1618="","",IFERROR(IF(INDEX(RUNS!$G$6:$G$1005,MATCH($D1618,RUNS!$A$6:$A$1005,0))="","",INDEX(RUNS!$G$6:$G$1005,MATCH($D1618,RUNS!$A$6:$A$1005,0))),""))</f>
        <v/>
      </c>
      <c r="O1618" s="33">
        <f>IF($D1618="","",IFERROR(IF(INDEX(RUNS!$H$6:$H$1005,MATCH($D1618,RUNS!$A$6:$A$1005,0))="","",INDEX(RUNS!$H$6:$H$1005,MATCH($D1618,RUNS!$A$6:$A$1005,0))),""))</f>
        <v/>
      </c>
      <c r="P1618" s="33">
        <f>IF($D1618="","",IFERROR(IF(INDEX(RUNS!$J$6:$J$1005,MATCH($D1618,RUNS!$A$6:$A$1005,0))="","",INDEX(RUNS!$J$6:$J$1005,MATCH($D1618,RUNS!$A$6:$A$1005,0))),""))</f>
        <v/>
      </c>
      <c r="Q1618" s="33">
        <f>IF($D1618="","",IFERROR(IF(INDEX(RUNS!$K$6:$K$1005,MATCH($D1618,RUNS!$A$6:$A$1005,0))="","",INDEX(RUNS!$K$6:$K$1005,MATCH($D1618,RUNS!$A$6:$A$1005,0))),""))</f>
        <v/>
      </c>
      <c r="R1618" s="34">
        <f>IF(OR($L1618="",$K1618=""),"",IFERROR(IF(INDEX(PARAMETRES!$H$43:$H$342,MATCH($L1618&amp;"|"&amp;$M1618&amp;"|"&amp;$N1618&amp;"|"&amp;$O1618&amp;"|"&amp;$P1618&amp;"|"&amp;$Q1618&amp;"|"&amp;$K1618,PARAMETRES!$J$43:$J$342,0))="","",INDEX(PARAMETRES!$H$43:$H$342,MATCH($L1618&amp;"|"&amp;$M1618&amp;"|"&amp;$N1618&amp;"|"&amp;$O1618&amp;"|"&amp;$P1618&amp;"|"&amp;$Q1618&amp;"|"&amp;$K1618,PARAMETRES!$J$43:$J$342,0))),""))</f>
        <v/>
      </c>
      <c r="S1618" s="35">
        <f>IF(OR($G1618="",$X1618&lt;&gt;"VALIDE"),"",IFERROR(LOOKUP(2,1/(($B718:$B1617=$B1618)*($G718:$G1617=$G1618)*($X718:$X1617="VALIDE")),$C718:$C1617),""))</f>
        <v/>
      </c>
      <c r="T1618" s="36">
        <f>IF(OR($C1618="",$S1618=""),"",ROUND(($C1618-$S1618+IF($C1618&lt;$S1618,1,0))*1440,0))</f>
        <v/>
      </c>
      <c r="U1618" s="22">
        <f>IF(OR($H1618="",$T1618="",$T1618&lt;=0),"",$H1618*60/$T1618)</f>
        <v/>
      </c>
      <c r="V1618" s="37">
        <f>IF(OR($U1618="",$R1618="",$R1618=0),"",$U1618/$R1618)</f>
        <v/>
      </c>
      <c r="W1618" s="20">
        <f>IF($G1618="","",IF($X1618="CONTEXTE INCOMPLET","CONTEXTE INCOMPLET",IF($X1618="DOUBLON",StatutDoublon,IF($S1618="",StatutInitial,IF($R1618="",StatutStandardManquant,IF($V1618="","DONNEES INSUFFISANTES",IF($V1618&gt;=SeuilConforme,StatutConforme,IF($V1618&gt;=SeuilSurveiller,StatutSurveiller,StatutSousStandard))))))))</f>
        <v/>
      </c>
      <c r="X1618" s="33">
        <f>IF($G1618="","",IF(OR($D1618="",$E1618="",$F1618=""),"CONTEXTE INCOMPLET",IF(COUNTIFS($D718:$D1617,$D1618,$E718:$E1617,$E1618,$F718:$F1617,$F1618,$G718:$G1617,$G1618)&gt;0,"DOUBLON","VALIDE")))</f>
        <v/>
      </c>
    </row>
    <row r="1619" ht="15" customHeight="1">
      <c r="A1619" s="12">
        <f>IF(OR($B1619="",$G1619=""),"",TEXT($B1619,"YYYYMMDD")&amp;"-"&amp;SUBSTITUTE($E1619," ","")&amp;"-"&amp;$F1619&amp;"-"&amp;$G1619)</f>
        <v/>
      </c>
      <c r="B1619" s="15" t="n"/>
      <c r="C1619" s="16" t="n"/>
      <c r="D1619" s="10" t="n"/>
      <c r="E1619" s="9" t="n"/>
      <c r="F1619" s="9" t="n"/>
      <c r="G1619" s="13" t="n"/>
      <c r="H1619" s="21" t="n"/>
      <c r="I1619" s="21" t="n"/>
      <c r="J1619" s="17">
        <f>IF($G1619="","",IFERROR(INDEX(NomsEmployes,MATCH($G1619,MatriculesEmployes,0)),"MATRICULE INCONNU"))</f>
        <v/>
      </c>
      <c r="K1619" s="33">
        <f>IF(OR($D1619="",$F1619=""),"",IFERROR(IF(INDEX(RUNS!$L$6:$S$1005,MATCH($D1619,RUNS!$A$6:$A$1005,0),MATCH("ACTIVITÉ "&amp;$F1619,RUNS!$L$5:$S$5,0))="","",INDEX(RUNS!$L$6:$S$1005,MATCH($D1619,RUNS!$A$6:$A$1005,0),MATCH("ACTIVITÉ "&amp;$F1619,RUNS!$L$5:$S$5,0))),""))</f>
        <v/>
      </c>
      <c r="L1619" s="33">
        <f>IF($D1619="","",IFERROR(IF(INDEX(RUNS!$E$6:$E$1005,MATCH($D1619,RUNS!$A$6:$A$1005,0))="","",INDEX(RUNS!$E$6:$E$1005,MATCH($D1619,RUNS!$A$6:$A$1005,0))),""))</f>
        <v/>
      </c>
      <c r="M1619" s="33">
        <f>IF($D1619="","",IFERROR(IF(INDEX(RUNS!$F$6:$F$1005,MATCH($D1619,RUNS!$A$6:$A$1005,0))="","",INDEX(RUNS!$F$6:$F$1005,MATCH($D1619,RUNS!$A$6:$A$1005,0))),""))</f>
        <v/>
      </c>
      <c r="N1619" s="33">
        <f>IF($D1619="","",IFERROR(IF(INDEX(RUNS!$G$6:$G$1005,MATCH($D1619,RUNS!$A$6:$A$1005,0))="","",INDEX(RUNS!$G$6:$G$1005,MATCH($D1619,RUNS!$A$6:$A$1005,0))),""))</f>
        <v/>
      </c>
      <c r="O1619" s="33">
        <f>IF($D1619="","",IFERROR(IF(INDEX(RUNS!$H$6:$H$1005,MATCH($D1619,RUNS!$A$6:$A$1005,0))="","",INDEX(RUNS!$H$6:$H$1005,MATCH($D1619,RUNS!$A$6:$A$1005,0))),""))</f>
        <v/>
      </c>
      <c r="P1619" s="33">
        <f>IF($D1619="","",IFERROR(IF(INDEX(RUNS!$J$6:$J$1005,MATCH($D1619,RUNS!$A$6:$A$1005,0))="","",INDEX(RUNS!$J$6:$J$1005,MATCH($D1619,RUNS!$A$6:$A$1005,0))),""))</f>
        <v/>
      </c>
      <c r="Q1619" s="33">
        <f>IF($D1619="","",IFERROR(IF(INDEX(RUNS!$K$6:$K$1005,MATCH($D1619,RUNS!$A$6:$A$1005,0))="","",INDEX(RUNS!$K$6:$K$1005,MATCH($D1619,RUNS!$A$6:$A$1005,0))),""))</f>
        <v/>
      </c>
      <c r="R1619" s="34">
        <f>IF(OR($L1619="",$K1619=""),"",IFERROR(IF(INDEX(PARAMETRES!$H$43:$H$342,MATCH($L1619&amp;"|"&amp;$M1619&amp;"|"&amp;$N1619&amp;"|"&amp;$O1619&amp;"|"&amp;$P1619&amp;"|"&amp;$Q1619&amp;"|"&amp;$K1619,PARAMETRES!$J$43:$J$342,0))="","",INDEX(PARAMETRES!$H$43:$H$342,MATCH($L1619&amp;"|"&amp;$M1619&amp;"|"&amp;$N1619&amp;"|"&amp;$O1619&amp;"|"&amp;$P1619&amp;"|"&amp;$Q1619&amp;"|"&amp;$K1619,PARAMETRES!$J$43:$J$342,0))),""))</f>
        <v/>
      </c>
      <c r="S1619" s="35">
        <f>IF(OR($G1619="",$X1619&lt;&gt;"VALIDE"),"",IFERROR(LOOKUP(2,1/(($B719:$B1618=$B1619)*($G719:$G1618=$G1619)*($X719:$X1618="VALIDE")),$C719:$C1618),""))</f>
        <v/>
      </c>
      <c r="T1619" s="36">
        <f>IF(OR($C1619="",$S1619=""),"",ROUND(($C1619-$S1619+IF($C1619&lt;$S1619,1,0))*1440,0))</f>
        <v/>
      </c>
      <c r="U1619" s="22">
        <f>IF(OR($H1619="",$T1619="",$T1619&lt;=0),"",$H1619*60/$T1619)</f>
        <v/>
      </c>
      <c r="V1619" s="37">
        <f>IF(OR($U1619="",$R1619="",$R1619=0),"",$U1619/$R1619)</f>
        <v/>
      </c>
      <c r="W1619" s="20">
        <f>IF($G1619="","",IF($X1619="CONTEXTE INCOMPLET","CONTEXTE INCOMPLET",IF($X1619="DOUBLON",StatutDoublon,IF($S1619="",StatutInitial,IF($R1619="",StatutStandardManquant,IF($V1619="","DONNEES INSUFFISANTES",IF($V1619&gt;=SeuilConforme,StatutConforme,IF($V1619&gt;=SeuilSurveiller,StatutSurveiller,StatutSousStandard))))))))</f>
        <v/>
      </c>
      <c r="X1619" s="33">
        <f>IF($G1619="","",IF(OR($D1619="",$E1619="",$F1619=""),"CONTEXTE INCOMPLET",IF(COUNTIFS($D719:$D1618,$D1619,$E719:$E1618,$E1619,$F719:$F1618,$F1619,$G719:$G1618,$G1619)&gt;0,"DOUBLON","VALIDE")))</f>
        <v/>
      </c>
    </row>
    <row r="1620" ht="15" customHeight="1">
      <c r="A1620" s="12">
        <f>IF(OR($B1620="",$G1620=""),"",TEXT($B1620,"YYYYMMDD")&amp;"-"&amp;SUBSTITUTE($E1620," ","")&amp;"-"&amp;$F1620&amp;"-"&amp;$G1620)</f>
        <v/>
      </c>
      <c r="B1620" s="15" t="n"/>
      <c r="C1620" s="16" t="n"/>
      <c r="D1620" s="10" t="n"/>
      <c r="E1620" s="9" t="n"/>
      <c r="F1620" s="9" t="n"/>
      <c r="G1620" s="13" t="n"/>
      <c r="H1620" s="21" t="n"/>
      <c r="I1620" s="21" t="n"/>
      <c r="J1620" s="17">
        <f>IF($G1620="","",IFERROR(INDEX(NomsEmployes,MATCH($G1620,MatriculesEmployes,0)),"MATRICULE INCONNU"))</f>
        <v/>
      </c>
      <c r="K1620" s="33">
        <f>IF(OR($D1620="",$F1620=""),"",IFERROR(IF(INDEX(RUNS!$L$6:$S$1005,MATCH($D1620,RUNS!$A$6:$A$1005,0),MATCH("ACTIVITÉ "&amp;$F1620,RUNS!$L$5:$S$5,0))="","",INDEX(RUNS!$L$6:$S$1005,MATCH($D1620,RUNS!$A$6:$A$1005,0),MATCH("ACTIVITÉ "&amp;$F1620,RUNS!$L$5:$S$5,0))),""))</f>
        <v/>
      </c>
      <c r="L1620" s="33">
        <f>IF($D1620="","",IFERROR(IF(INDEX(RUNS!$E$6:$E$1005,MATCH($D1620,RUNS!$A$6:$A$1005,0))="","",INDEX(RUNS!$E$6:$E$1005,MATCH($D1620,RUNS!$A$6:$A$1005,0))),""))</f>
        <v/>
      </c>
      <c r="M1620" s="33">
        <f>IF($D1620="","",IFERROR(IF(INDEX(RUNS!$F$6:$F$1005,MATCH($D1620,RUNS!$A$6:$A$1005,0))="","",INDEX(RUNS!$F$6:$F$1005,MATCH($D1620,RUNS!$A$6:$A$1005,0))),""))</f>
        <v/>
      </c>
      <c r="N1620" s="33">
        <f>IF($D1620="","",IFERROR(IF(INDEX(RUNS!$G$6:$G$1005,MATCH($D1620,RUNS!$A$6:$A$1005,0))="","",INDEX(RUNS!$G$6:$G$1005,MATCH($D1620,RUNS!$A$6:$A$1005,0))),""))</f>
        <v/>
      </c>
      <c r="O1620" s="33">
        <f>IF($D1620="","",IFERROR(IF(INDEX(RUNS!$H$6:$H$1005,MATCH($D1620,RUNS!$A$6:$A$1005,0))="","",INDEX(RUNS!$H$6:$H$1005,MATCH($D1620,RUNS!$A$6:$A$1005,0))),""))</f>
        <v/>
      </c>
      <c r="P1620" s="33">
        <f>IF($D1620="","",IFERROR(IF(INDEX(RUNS!$J$6:$J$1005,MATCH($D1620,RUNS!$A$6:$A$1005,0))="","",INDEX(RUNS!$J$6:$J$1005,MATCH($D1620,RUNS!$A$6:$A$1005,0))),""))</f>
        <v/>
      </c>
      <c r="Q1620" s="33">
        <f>IF($D1620="","",IFERROR(IF(INDEX(RUNS!$K$6:$K$1005,MATCH($D1620,RUNS!$A$6:$A$1005,0))="","",INDEX(RUNS!$K$6:$K$1005,MATCH($D1620,RUNS!$A$6:$A$1005,0))),""))</f>
        <v/>
      </c>
      <c r="R1620" s="34">
        <f>IF(OR($L1620="",$K1620=""),"",IFERROR(IF(INDEX(PARAMETRES!$H$43:$H$342,MATCH($L1620&amp;"|"&amp;$M1620&amp;"|"&amp;$N1620&amp;"|"&amp;$O1620&amp;"|"&amp;$P1620&amp;"|"&amp;$Q1620&amp;"|"&amp;$K1620,PARAMETRES!$J$43:$J$342,0))="","",INDEX(PARAMETRES!$H$43:$H$342,MATCH($L1620&amp;"|"&amp;$M1620&amp;"|"&amp;$N1620&amp;"|"&amp;$O1620&amp;"|"&amp;$P1620&amp;"|"&amp;$Q1620&amp;"|"&amp;$K1620,PARAMETRES!$J$43:$J$342,0))),""))</f>
        <v/>
      </c>
      <c r="S1620" s="35">
        <f>IF(OR($G1620="",$X1620&lt;&gt;"VALIDE"),"",IFERROR(LOOKUP(2,1/(($B720:$B1619=$B1620)*($G720:$G1619=$G1620)*($X720:$X1619="VALIDE")),$C720:$C1619),""))</f>
        <v/>
      </c>
      <c r="T1620" s="36">
        <f>IF(OR($C1620="",$S1620=""),"",ROUND(($C1620-$S1620+IF($C1620&lt;$S1620,1,0))*1440,0))</f>
        <v/>
      </c>
      <c r="U1620" s="22">
        <f>IF(OR($H1620="",$T1620="",$T1620&lt;=0),"",$H1620*60/$T1620)</f>
        <v/>
      </c>
      <c r="V1620" s="37">
        <f>IF(OR($U1620="",$R1620="",$R1620=0),"",$U1620/$R1620)</f>
        <v/>
      </c>
      <c r="W1620" s="20">
        <f>IF($G1620="","",IF($X1620="CONTEXTE INCOMPLET","CONTEXTE INCOMPLET",IF($X1620="DOUBLON",StatutDoublon,IF($S1620="",StatutInitial,IF($R1620="",StatutStandardManquant,IF($V1620="","DONNEES INSUFFISANTES",IF($V1620&gt;=SeuilConforme,StatutConforme,IF($V1620&gt;=SeuilSurveiller,StatutSurveiller,StatutSousStandard))))))))</f>
        <v/>
      </c>
      <c r="X1620" s="33">
        <f>IF($G1620="","",IF(OR($D1620="",$E1620="",$F1620=""),"CONTEXTE INCOMPLET",IF(COUNTIFS($D720:$D1619,$D1620,$E720:$E1619,$E1620,$F720:$F1619,$F1620,$G720:$G1619,$G1620)&gt;0,"DOUBLON","VALIDE")))</f>
        <v/>
      </c>
    </row>
    <row r="1621" ht="15" customHeight="1">
      <c r="A1621" s="12">
        <f>IF(OR($B1621="",$G1621=""),"",TEXT($B1621,"YYYYMMDD")&amp;"-"&amp;SUBSTITUTE($E1621," ","")&amp;"-"&amp;$F1621&amp;"-"&amp;$G1621)</f>
        <v/>
      </c>
      <c r="B1621" s="15" t="n"/>
      <c r="C1621" s="16" t="n"/>
      <c r="D1621" s="10" t="n"/>
      <c r="E1621" s="9" t="n"/>
      <c r="F1621" s="9" t="n"/>
      <c r="G1621" s="13" t="n"/>
      <c r="H1621" s="21" t="n"/>
      <c r="I1621" s="21" t="n"/>
      <c r="J1621" s="17">
        <f>IF($G1621="","",IFERROR(INDEX(NomsEmployes,MATCH($G1621,MatriculesEmployes,0)),"MATRICULE INCONNU"))</f>
        <v/>
      </c>
      <c r="K1621" s="33">
        <f>IF(OR($D1621="",$F1621=""),"",IFERROR(IF(INDEX(RUNS!$L$6:$S$1005,MATCH($D1621,RUNS!$A$6:$A$1005,0),MATCH("ACTIVITÉ "&amp;$F1621,RUNS!$L$5:$S$5,0))="","",INDEX(RUNS!$L$6:$S$1005,MATCH($D1621,RUNS!$A$6:$A$1005,0),MATCH("ACTIVITÉ "&amp;$F1621,RUNS!$L$5:$S$5,0))),""))</f>
        <v/>
      </c>
      <c r="L1621" s="33">
        <f>IF($D1621="","",IFERROR(IF(INDEX(RUNS!$E$6:$E$1005,MATCH($D1621,RUNS!$A$6:$A$1005,0))="","",INDEX(RUNS!$E$6:$E$1005,MATCH($D1621,RUNS!$A$6:$A$1005,0))),""))</f>
        <v/>
      </c>
      <c r="M1621" s="33">
        <f>IF($D1621="","",IFERROR(IF(INDEX(RUNS!$F$6:$F$1005,MATCH($D1621,RUNS!$A$6:$A$1005,0))="","",INDEX(RUNS!$F$6:$F$1005,MATCH($D1621,RUNS!$A$6:$A$1005,0))),""))</f>
        <v/>
      </c>
      <c r="N1621" s="33">
        <f>IF($D1621="","",IFERROR(IF(INDEX(RUNS!$G$6:$G$1005,MATCH($D1621,RUNS!$A$6:$A$1005,0))="","",INDEX(RUNS!$G$6:$G$1005,MATCH($D1621,RUNS!$A$6:$A$1005,0))),""))</f>
        <v/>
      </c>
      <c r="O1621" s="33">
        <f>IF($D1621="","",IFERROR(IF(INDEX(RUNS!$H$6:$H$1005,MATCH($D1621,RUNS!$A$6:$A$1005,0))="","",INDEX(RUNS!$H$6:$H$1005,MATCH($D1621,RUNS!$A$6:$A$1005,0))),""))</f>
        <v/>
      </c>
      <c r="P1621" s="33">
        <f>IF($D1621="","",IFERROR(IF(INDEX(RUNS!$J$6:$J$1005,MATCH($D1621,RUNS!$A$6:$A$1005,0))="","",INDEX(RUNS!$J$6:$J$1005,MATCH($D1621,RUNS!$A$6:$A$1005,0))),""))</f>
        <v/>
      </c>
      <c r="Q1621" s="33">
        <f>IF($D1621="","",IFERROR(IF(INDEX(RUNS!$K$6:$K$1005,MATCH($D1621,RUNS!$A$6:$A$1005,0))="","",INDEX(RUNS!$K$6:$K$1005,MATCH($D1621,RUNS!$A$6:$A$1005,0))),""))</f>
        <v/>
      </c>
      <c r="R1621" s="34">
        <f>IF(OR($L1621="",$K1621=""),"",IFERROR(IF(INDEX(PARAMETRES!$H$43:$H$342,MATCH($L1621&amp;"|"&amp;$M1621&amp;"|"&amp;$N1621&amp;"|"&amp;$O1621&amp;"|"&amp;$P1621&amp;"|"&amp;$Q1621&amp;"|"&amp;$K1621,PARAMETRES!$J$43:$J$342,0))="","",INDEX(PARAMETRES!$H$43:$H$342,MATCH($L1621&amp;"|"&amp;$M1621&amp;"|"&amp;$N1621&amp;"|"&amp;$O1621&amp;"|"&amp;$P1621&amp;"|"&amp;$Q1621&amp;"|"&amp;$K1621,PARAMETRES!$J$43:$J$342,0))),""))</f>
        <v/>
      </c>
      <c r="S1621" s="35">
        <f>IF(OR($G1621="",$X1621&lt;&gt;"VALIDE"),"",IFERROR(LOOKUP(2,1/(($B721:$B1620=$B1621)*($G721:$G1620=$G1621)*($X721:$X1620="VALIDE")),$C721:$C1620),""))</f>
        <v/>
      </c>
      <c r="T1621" s="36">
        <f>IF(OR($C1621="",$S1621=""),"",ROUND(($C1621-$S1621+IF($C1621&lt;$S1621,1,0))*1440,0))</f>
        <v/>
      </c>
      <c r="U1621" s="22">
        <f>IF(OR($H1621="",$T1621="",$T1621&lt;=0),"",$H1621*60/$T1621)</f>
        <v/>
      </c>
      <c r="V1621" s="37">
        <f>IF(OR($U1621="",$R1621="",$R1621=0),"",$U1621/$R1621)</f>
        <v/>
      </c>
      <c r="W1621" s="20">
        <f>IF($G1621="","",IF($X1621="CONTEXTE INCOMPLET","CONTEXTE INCOMPLET",IF($X1621="DOUBLON",StatutDoublon,IF($S1621="",StatutInitial,IF($R1621="",StatutStandardManquant,IF($V1621="","DONNEES INSUFFISANTES",IF($V1621&gt;=SeuilConforme,StatutConforme,IF($V1621&gt;=SeuilSurveiller,StatutSurveiller,StatutSousStandard))))))))</f>
        <v/>
      </c>
      <c r="X1621" s="33">
        <f>IF($G1621="","",IF(OR($D1621="",$E1621="",$F1621=""),"CONTEXTE INCOMPLET",IF(COUNTIFS($D721:$D1620,$D1621,$E721:$E1620,$E1621,$F721:$F1620,$F1621,$G721:$G1620,$G1621)&gt;0,"DOUBLON","VALIDE")))</f>
        <v/>
      </c>
    </row>
    <row r="1622" ht="15" customHeight="1">
      <c r="A1622" s="12">
        <f>IF(OR($B1622="",$G1622=""),"",TEXT($B1622,"YYYYMMDD")&amp;"-"&amp;SUBSTITUTE($E1622," ","")&amp;"-"&amp;$F1622&amp;"-"&amp;$G1622)</f>
        <v/>
      </c>
      <c r="B1622" s="15" t="n"/>
      <c r="C1622" s="16" t="n"/>
      <c r="D1622" s="10" t="n"/>
      <c r="E1622" s="9" t="n"/>
      <c r="F1622" s="9" t="n"/>
      <c r="G1622" s="13" t="n"/>
      <c r="H1622" s="21" t="n"/>
      <c r="I1622" s="21" t="n"/>
      <c r="J1622" s="17">
        <f>IF($G1622="","",IFERROR(INDEX(NomsEmployes,MATCH($G1622,MatriculesEmployes,0)),"MATRICULE INCONNU"))</f>
        <v/>
      </c>
      <c r="K1622" s="33">
        <f>IF(OR($D1622="",$F1622=""),"",IFERROR(IF(INDEX(RUNS!$L$6:$S$1005,MATCH($D1622,RUNS!$A$6:$A$1005,0),MATCH("ACTIVITÉ "&amp;$F1622,RUNS!$L$5:$S$5,0))="","",INDEX(RUNS!$L$6:$S$1005,MATCH($D1622,RUNS!$A$6:$A$1005,0),MATCH("ACTIVITÉ "&amp;$F1622,RUNS!$L$5:$S$5,0))),""))</f>
        <v/>
      </c>
      <c r="L1622" s="33">
        <f>IF($D1622="","",IFERROR(IF(INDEX(RUNS!$E$6:$E$1005,MATCH($D1622,RUNS!$A$6:$A$1005,0))="","",INDEX(RUNS!$E$6:$E$1005,MATCH($D1622,RUNS!$A$6:$A$1005,0))),""))</f>
        <v/>
      </c>
      <c r="M1622" s="33">
        <f>IF($D1622="","",IFERROR(IF(INDEX(RUNS!$F$6:$F$1005,MATCH($D1622,RUNS!$A$6:$A$1005,0))="","",INDEX(RUNS!$F$6:$F$1005,MATCH($D1622,RUNS!$A$6:$A$1005,0))),""))</f>
        <v/>
      </c>
      <c r="N1622" s="33">
        <f>IF($D1622="","",IFERROR(IF(INDEX(RUNS!$G$6:$G$1005,MATCH($D1622,RUNS!$A$6:$A$1005,0))="","",INDEX(RUNS!$G$6:$G$1005,MATCH($D1622,RUNS!$A$6:$A$1005,0))),""))</f>
        <v/>
      </c>
      <c r="O1622" s="33">
        <f>IF($D1622="","",IFERROR(IF(INDEX(RUNS!$H$6:$H$1005,MATCH($D1622,RUNS!$A$6:$A$1005,0))="","",INDEX(RUNS!$H$6:$H$1005,MATCH($D1622,RUNS!$A$6:$A$1005,0))),""))</f>
        <v/>
      </c>
      <c r="P1622" s="33">
        <f>IF($D1622="","",IFERROR(IF(INDEX(RUNS!$J$6:$J$1005,MATCH($D1622,RUNS!$A$6:$A$1005,0))="","",INDEX(RUNS!$J$6:$J$1005,MATCH($D1622,RUNS!$A$6:$A$1005,0))),""))</f>
        <v/>
      </c>
      <c r="Q1622" s="33">
        <f>IF($D1622="","",IFERROR(IF(INDEX(RUNS!$K$6:$K$1005,MATCH($D1622,RUNS!$A$6:$A$1005,0))="","",INDEX(RUNS!$K$6:$K$1005,MATCH($D1622,RUNS!$A$6:$A$1005,0))),""))</f>
        <v/>
      </c>
      <c r="R1622" s="34">
        <f>IF(OR($L1622="",$K1622=""),"",IFERROR(IF(INDEX(PARAMETRES!$H$43:$H$342,MATCH($L1622&amp;"|"&amp;$M1622&amp;"|"&amp;$N1622&amp;"|"&amp;$O1622&amp;"|"&amp;$P1622&amp;"|"&amp;$Q1622&amp;"|"&amp;$K1622,PARAMETRES!$J$43:$J$342,0))="","",INDEX(PARAMETRES!$H$43:$H$342,MATCH($L1622&amp;"|"&amp;$M1622&amp;"|"&amp;$N1622&amp;"|"&amp;$O1622&amp;"|"&amp;$P1622&amp;"|"&amp;$Q1622&amp;"|"&amp;$K1622,PARAMETRES!$J$43:$J$342,0))),""))</f>
        <v/>
      </c>
      <c r="S1622" s="35">
        <f>IF(OR($G1622="",$X1622&lt;&gt;"VALIDE"),"",IFERROR(LOOKUP(2,1/(($B722:$B1621=$B1622)*($G722:$G1621=$G1622)*($X722:$X1621="VALIDE")),$C722:$C1621),""))</f>
        <v/>
      </c>
      <c r="T1622" s="36">
        <f>IF(OR($C1622="",$S1622=""),"",ROUND(($C1622-$S1622+IF($C1622&lt;$S1622,1,0))*1440,0))</f>
        <v/>
      </c>
      <c r="U1622" s="22">
        <f>IF(OR($H1622="",$T1622="",$T1622&lt;=0),"",$H1622*60/$T1622)</f>
        <v/>
      </c>
      <c r="V1622" s="37">
        <f>IF(OR($U1622="",$R1622="",$R1622=0),"",$U1622/$R1622)</f>
        <v/>
      </c>
      <c r="W1622" s="20">
        <f>IF($G1622="","",IF($X1622="CONTEXTE INCOMPLET","CONTEXTE INCOMPLET",IF($X1622="DOUBLON",StatutDoublon,IF($S1622="",StatutInitial,IF($R1622="",StatutStandardManquant,IF($V1622="","DONNEES INSUFFISANTES",IF($V1622&gt;=SeuilConforme,StatutConforme,IF($V1622&gt;=SeuilSurveiller,StatutSurveiller,StatutSousStandard))))))))</f>
        <v/>
      </c>
      <c r="X1622" s="33">
        <f>IF($G1622="","",IF(OR($D1622="",$E1622="",$F1622=""),"CONTEXTE INCOMPLET",IF(COUNTIFS($D722:$D1621,$D1622,$E722:$E1621,$E1622,$F722:$F1621,$F1622,$G722:$G1621,$G1622)&gt;0,"DOUBLON","VALIDE")))</f>
        <v/>
      </c>
    </row>
    <row r="1623" ht="15" customHeight="1">
      <c r="A1623" s="12">
        <f>IF(OR($B1623="",$G1623=""),"",TEXT($B1623,"YYYYMMDD")&amp;"-"&amp;SUBSTITUTE($E1623," ","")&amp;"-"&amp;$F1623&amp;"-"&amp;$G1623)</f>
        <v/>
      </c>
      <c r="B1623" s="15" t="n"/>
      <c r="C1623" s="16" t="n"/>
      <c r="D1623" s="10" t="n"/>
      <c r="E1623" s="9" t="n"/>
      <c r="F1623" s="9" t="n"/>
      <c r="G1623" s="13" t="n"/>
      <c r="H1623" s="21" t="n"/>
      <c r="I1623" s="21" t="n"/>
      <c r="J1623" s="17">
        <f>IF($G1623="","",IFERROR(INDEX(NomsEmployes,MATCH($G1623,MatriculesEmployes,0)),"MATRICULE INCONNU"))</f>
        <v/>
      </c>
      <c r="K1623" s="33">
        <f>IF(OR($D1623="",$F1623=""),"",IFERROR(IF(INDEX(RUNS!$L$6:$S$1005,MATCH($D1623,RUNS!$A$6:$A$1005,0),MATCH("ACTIVITÉ "&amp;$F1623,RUNS!$L$5:$S$5,0))="","",INDEX(RUNS!$L$6:$S$1005,MATCH($D1623,RUNS!$A$6:$A$1005,0),MATCH("ACTIVITÉ "&amp;$F1623,RUNS!$L$5:$S$5,0))),""))</f>
        <v/>
      </c>
      <c r="L1623" s="33">
        <f>IF($D1623="","",IFERROR(IF(INDEX(RUNS!$E$6:$E$1005,MATCH($D1623,RUNS!$A$6:$A$1005,0))="","",INDEX(RUNS!$E$6:$E$1005,MATCH($D1623,RUNS!$A$6:$A$1005,0))),""))</f>
        <v/>
      </c>
      <c r="M1623" s="33">
        <f>IF($D1623="","",IFERROR(IF(INDEX(RUNS!$F$6:$F$1005,MATCH($D1623,RUNS!$A$6:$A$1005,0))="","",INDEX(RUNS!$F$6:$F$1005,MATCH($D1623,RUNS!$A$6:$A$1005,0))),""))</f>
        <v/>
      </c>
      <c r="N1623" s="33">
        <f>IF($D1623="","",IFERROR(IF(INDEX(RUNS!$G$6:$G$1005,MATCH($D1623,RUNS!$A$6:$A$1005,0))="","",INDEX(RUNS!$G$6:$G$1005,MATCH($D1623,RUNS!$A$6:$A$1005,0))),""))</f>
        <v/>
      </c>
      <c r="O1623" s="33">
        <f>IF($D1623="","",IFERROR(IF(INDEX(RUNS!$H$6:$H$1005,MATCH($D1623,RUNS!$A$6:$A$1005,0))="","",INDEX(RUNS!$H$6:$H$1005,MATCH($D1623,RUNS!$A$6:$A$1005,0))),""))</f>
        <v/>
      </c>
      <c r="P1623" s="33">
        <f>IF($D1623="","",IFERROR(IF(INDEX(RUNS!$J$6:$J$1005,MATCH($D1623,RUNS!$A$6:$A$1005,0))="","",INDEX(RUNS!$J$6:$J$1005,MATCH($D1623,RUNS!$A$6:$A$1005,0))),""))</f>
        <v/>
      </c>
      <c r="Q1623" s="33">
        <f>IF($D1623="","",IFERROR(IF(INDEX(RUNS!$K$6:$K$1005,MATCH($D1623,RUNS!$A$6:$A$1005,0))="","",INDEX(RUNS!$K$6:$K$1005,MATCH($D1623,RUNS!$A$6:$A$1005,0))),""))</f>
        <v/>
      </c>
      <c r="R1623" s="34">
        <f>IF(OR($L1623="",$K1623=""),"",IFERROR(IF(INDEX(PARAMETRES!$H$43:$H$342,MATCH($L1623&amp;"|"&amp;$M1623&amp;"|"&amp;$N1623&amp;"|"&amp;$O1623&amp;"|"&amp;$P1623&amp;"|"&amp;$Q1623&amp;"|"&amp;$K1623,PARAMETRES!$J$43:$J$342,0))="","",INDEX(PARAMETRES!$H$43:$H$342,MATCH($L1623&amp;"|"&amp;$M1623&amp;"|"&amp;$N1623&amp;"|"&amp;$O1623&amp;"|"&amp;$P1623&amp;"|"&amp;$Q1623&amp;"|"&amp;$K1623,PARAMETRES!$J$43:$J$342,0))),""))</f>
        <v/>
      </c>
      <c r="S1623" s="35">
        <f>IF(OR($G1623="",$X1623&lt;&gt;"VALIDE"),"",IFERROR(LOOKUP(2,1/(($B723:$B1622=$B1623)*($G723:$G1622=$G1623)*($X723:$X1622="VALIDE")),$C723:$C1622),""))</f>
        <v/>
      </c>
      <c r="T1623" s="36">
        <f>IF(OR($C1623="",$S1623=""),"",ROUND(($C1623-$S1623+IF($C1623&lt;$S1623,1,0))*1440,0))</f>
        <v/>
      </c>
      <c r="U1623" s="22">
        <f>IF(OR($H1623="",$T1623="",$T1623&lt;=0),"",$H1623*60/$T1623)</f>
        <v/>
      </c>
      <c r="V1623" s="37">
        <f>IF(OR($U1623="",$R1623="",$R1623=0),"",$U1623/$R1623)</f>
        <v/>
      </c>
      <c r="W1623" s="20">
        <f>IF($G1623="","",IF($X1623="CONTEXTE INCOMPLET","CONTEXTE INCOMPLET",IF($X1623="DOUBLON",StatutDoublon,IF($S1623="",StatutInitial,IF($R1623="",StatutStandardManquant,IF($V1623="","DONNEES INSUFFISANTES",IF($V1623&gt;=SeuilConforme,StatutConforme,IF($V1623&gt;=SeuilSurveiller,StatutSurveiller,StatutSousStandard))))))))</f>
        <v/>
      </c>
      <c r="X1623" s="33">
        <f>IF($G1623="","",IF(OR($D1623="",$E1623="",$F1623=""),"CONTEXTE INCOMPLET",IF(COUNTIFS($D723:$D1622,$D1623,$E723:$E1622,$E1623,$F723:$F1622,$F1623,$G723:$G1622,$G1623)&gt;0,"DOUBLON","VALIDE")))</f>
        <v/>
      </c>
    </row>
    <row r="1624" ht="15" customHeight="1">
      <c r="A1624" s="12">
        <f>IF(OR($B1624="",$G1624=""),"",TEXT($B1624,"YYYYMMDD")&amp;"-"&amp;SUBSTITUTE($E1624," ","")&amp;"-"&amp;$F1624&amp;"-"&amp;$G1624)</f>
        <v/>
      </c>
      <c r="B1624" s="15" t="n"/>
      <c r="C1624" s="16" t="n"/>
      <c r="D1624" s="10" t="n"/>
      <c r="E1624" s="9" t="n"/>
      <c r="F1624" s="9" t="n"/>
      <c r="G1624" s="13" t="n"/>
      <c r="H1624" s="21" t="n"/>
      <c r="I1624" s="21" t="n"/>
      <c r="J1624" s="17">
        <f>IF($G1624="","",IFERROR(INDEX(NomsEmployes,MATCH($G1624,MatriculesEmployes,0)),"MATRICULE INCONNU"))</f>
        <v/>
      </c>
      <c r="K1624" s="33">
        <f>IF(OR($D1624="",$F1624=""),"",IFERROR(IF(INDEX(RUNS!$L$6:$S$1005,MATCH($D1624,RUNS!$A$6:$A$1005,0),MATCH("ACTIVITÉ "&amp;$F1624,RUNS!$L$5:$S$5,0))="","",INDEX(RUNS!$L$6:$S$1005,MATCH($D1624,RUNS!$A$6:$A$1005,0),MATCH("ACTIVITÉ "&amp;$F1624,RUNS!$L$5:$S$5,0))),""))</f>
        <v/>
      </c>
      <c r="L1624" s="33">
        <f>IF($D1624="","",IFERROR(IF(INDEX(RUNS!$E$6:$E$1005,MATCH($D1624,RUNS!$A$6:$A$1005,0))="","",INDEX(RUNS!$E$6:$E$1005,MATCH($D1624,RUNS!$A$6:$A$1005,0))),""))</f>
        <v/>
      </c>
      <c r="M1624" s="33">
        <f>IF($D1624="","",IFERROR(IF(INDEX(RUNS!$F$6:$F$1005,MATCH($D1624,RUNS!$A$6:$A$1005,0))="","",INDEX(RUNS!$F$6:$F$1005,MATCH($D1624,RUNS!$A$6:$A$1005,0))),""))</f>
        <v/>
      </c>
      <c r="N1624" s="33">
        <f>IF($D1624="","",IFERROR(IF(INDEX(RUNS!$G$6:$G$1005,MATCH($D1624,RUNS!$A$6:$A$1005,0))="","",INDEX(RUNS!$G$6:$G$1005,MATCH($D1624,RUNS!$A$6:$A$1005,0))),""))</f>
        <v/>
      </c>
      <c r="O1624" s="33">
        <f>IF($D1624="","",IFERROR(IF(INDEX(RUNS!$H$6:$H$1005,MATCH($D1624,RUNS!$A$6:$A$1005,0))="","",INDEX(RUNS!$H$6:$H$1005,MATCH($D1624,RUNS!$A$6:$A$1005,0))),""))</f>
        <v/>
      </c>
      <c r="P1624" s="33">
        <f>IF($D1624="","",IFERROR(IF(INDEX(RUNS!$J$6:$J$1005,MATCH($D1624,RUNS!$A$6:$A$1005,0))="","",INDEX(RUNS!$J$6:$J$1005,MATCH($D1624,RUNS!$A$6:$A$1005,0))),""))</f>
        <v/>
      </c>
      <c r="Q1624" s="33">
        <f>IF($D1624="","",IFERROR(IF(INDEX(RUNS!$K$6:$K$1005,MATCH($D1624,RUNS!$A$6:$A$1005,0))="","",INDEX(RUNS!$K$6:$K$1005,MATCH($D1624,RUNS!$A$6:$A$1005,0))),""))</f>
        <v/>
      </c>
      <c r="R1624" s="34">
        <f>IF(OR($L1624="",$K1624=""),"",IFERROR(IF(INDEX(PARAMETRES!$H$43:$H$342,MATCH($L1624&amp;"|"&amp;$M1624&amp;"|"&amp;$N1624&amp;"|"&amp;$O1624&amp;"|"&amp;$P1624&amp;"|"&amp;$Q1624&amp;"|"&amp;$K1624,PARAMETRES!$J$43:$J$342,0))="","",INDEX(PARAMETRES!$H$43:$H$342,MATCH($L1624&amp;"|"&amp;$M1624&amp;"|"&amp;$N1624&amp;"|"&amp;$O1624&amp;"|"&amp;$P1624&amp;"|"&amp;$Q1624&amp;"|"&amp;$K1624,PARAMETRES!$J$43:$J$342,0))),""))</f>
        <v/>
      </c>
      <c r="S1624" s="35">
        <f>IF(OR($G1624="",$X1624&lt;&gt;"VALIDE"),"",IFERROR(LOOKUP(2,1/(($B724:$B1623=$B1624)*($G724:$G1623=$G1624)*($X724:$X1623="VALIDE")),$C724:$C1623),""))</f>
        <v/>
      </c>
      <c r="T1624" s="36">
        <f>IF(OR($C1624="",$S1624=""),"",ROUND(($C1624-$S1624+IF($C1624&lt;$S1624,1,0))*1440,0))</f>
        <v/>
      </c>
      <c r="U1624" s="22">
        <f>IF(OR($H1624="",$T1624="",$T1624&lt;=0),"",$H1624*60/$T1624)</f>
        <v/>
      </c>
      <c r="V1624" s="37">
        <f>IF(OR($U1624="",$R1624="",$R1624=0),"",$U1624/$R1624)</f>
        <v/>
      </c>
      <c r="W1624" s="20">
        <f>IF($G1624="","",IF($X1624="CONTEXTE INCOMPLET","CONTEXTE INCOMPLET",IF($X1624="DOUBLON",StatutDoublon,IF($S1624="",StatutInitial,IF($R1624="",StatutStandardManquant,IF($V1624="","DONNEES INSUFFISANTES",IF($V1624&gt;=SeuilConforme,StatutConforme,IF($V1624&gt;=SeuilSurveiller,StatutSurveiller,StatutSousStandard))))))))</f>
        <v/>
      </c>
      <c r="X1624" s="33">
        <f>IF($G1624="","",IF(OR($D1624="",$E1624="",$F1624=""),"CONTEXTE INCOMPLET",IF(COUNTIFS($D724:$D1623,$D1624,$E724:$E1623,$E1624,$F724:$F1623,$F1624,$G724:$G1623,$G1624)&gt;0,"DOUBLON","VALIDE")))</f>
        <v/>
      </c>
    </row>
    <row r="1625" ht="15" customHeight="1">
      <c r="A1625" s="12">
        <f>IF(OR($B1625="",$G1625=""),"",TEXT($B1625,"YYYYMMDD")&amp;"-"&amp;SUBSTITUTE($E1625," ","")&amp;"-"&amp;$F1625&amp;"-"&amp;$G1625)</f>
        <v/>
      </c>
      <c r="B1625" s="15" t="n"/>
      <c r="C1625" s="16" t="n"/>
      <c r="D1625" s="10" t="n"/>
      <c r="E1625" s="9" t="n"/>
      <c r="F1625" s="9" t="n"/>
      <c r="G1625" s="13" t="n"/>
      <c r="H1625" s="21" t="n"/>
      <c r="I1625" s="21" t="n"/>
      <c r="J1625" s="17">
        <f>IF($G1625="","",IFERROR(INDEX(NomsEmployes,MATCH($G1625,MatriculesEmployes,0)),"MATRICULE INCONNU"))</f>
        <v/>
      </c>
      <c r="K1625" s="33">
        <f>IF(OR($D1625="",$F1625=""),"",IFERROR(IF(INDEX(RUNS!$L$6:$S$1005,MATCH($D1625,RUNS!$A$6:$A$1005,0),MATCH("ACTIVITÉ "&amp;$F1625,RUNS!$L$5:$S$5,0))="","",INDEX(RUNS!$L$6:$S$1005,MATCH($D1625,RUNS!$A$6:$A$1005,0),MATCH("ACTIVITÉ "&amp;$F1625,RUNS!$L$5:$S$5,0))),""))</f>
        <v/>
      </c>
      <c r="L1625" s="33">
        <f>IF($D1625="","",IFERROR(IF(INDEX(RUNS!$E$6:$E$1005,MATCH($D1625,RUNS!$A$6:$A$1005,0))="","",INDEX(RUNS!$E$6:$E$1005,MATCH($D1625,RUNS!$A$6:$A$1005,0))),""))</f>
        <v/>
      </c>
      <c r="M1625" s="33">
        <f>IF($D1625="","",IFERROR(IF(INDEX(RUNS!$F$6:$F$1005,MATCH($D1625,RUNS!$A$6:$A$1005,0))="","",INDEX(RUNS!$F$6:$F$1005,MATCH($D1625,RUNS!$A$6:$A$1005,0))),""))</f>
        <v/>
      </c>
      <c r="N1625" s="33">
        <f>IF($D1625="","",IFERROR(IF(INDEX(RUNS!$G$6:$G$1005,MATCH($D1625,RUNS!$A$6:$A$1005,0))="","",INDEX(RUNS!$G$6:$G$1005,MATCH($D1625,RUNS!$A$6:$A$1005,0))),""))</f>
        <v/>
      </c>
      <c r="O1625" s="33">
        <f>IF($D1625="","",IFERROR(IF(INDEX(RUNS!$H$6:$H$1005,MATCH($D1625,RUNS!$A$6:$A$1005,0))="","",INDEX(RUNS!$H$6:$H$1005,MATCH($D1625,RUNS!$A$6:$A$1005,0))),""))</f>
        <v/>
      </c>
      <c r="P1625" s="33">
        <f>IF($D1625="","",IFERROR(IF(INDEX(RUNS!$J$6:$J$1005,MATCH($D1625,RUNS!$A$6:$A$1005,0))="","",INDEX(RUNS!$J$6:$J$1005,MATCH($D1625,RUNS!$A$6:$A$1005,0))),""))</f>
        <v/>
      </c>
      <c r="Q1625" s="33">
        <f>IF($D1625="","",IFERROR(IF(INDEX(RUNS!$K$6:$K$1005,MATCH($D1625,RUNS!$A$6:$A$1005,0))="","",INDEX(RUNS!$K$6:$K$1005,MATCH($D1625,RUNS!$A$6:$A$1005,0))),""))</f>
        <v/>
      </c>
      <c r="R1625" s="34">
        <f>IF(OR($L1625="",$K1625=""),"",IFERROR(IF(INDEX(PARAMETRES!$H$43:$H$342,MATCH($L1625&amp;"|"&amp;$M1625&amp;"|"&amp;$N1625&amp;"|"&amp;$O1625&amp;"|"&amp;$P1625&amp;"|"&amp;$Q1625&amp;"|"&amp;$K1625,PARAMETRES!$J$43:$J$342,0))="","",INDEX(PARAMETRES!$H$43:$H$342,MATCH($L1625&amp;"|"&amp;$M1625&amp;"|"&amp;$N1625&amp;"|"&amp;$O1625&amp;"|"&amp;$P1625&amp;"|"&amp;$Q1625&amp;"|"&amp;$K1625,PARAMETRES!$J$43:$J$342,0))),""))</f>
        <v/>
      </c>
      <c r="S1625" s="35">
        <f>IF(OR($G1625="",$X1625&lt;&gt;"VALIDE"),"",IFERROR(LOOKUP(2,1/(($B725:$B1624=$B1625)*($G725:$G1624=$G1625)*($X725:$X1624="VALIDE")),$C725:$C1624),""))</f>
        <v/>
      </c>
      <c r="T1625" s="36">
        <f>IF(OR($C1625="",$S1625=""),"",ROUND(($C1625-$S1625+IF($C1625&lt;$S1625,1,0))*1440,0))</f>
        <v/>
      </c>
      <c r="U1625" s="22">
        <f>IF(OR($H1625="",$T1625="",$T1625&lt;=0),"",$H1625*60/$T1625)</f>
        <v/>
      </c>
      <c r="V1625" s="37">
        <f>IF(OR($U1625="",$R1625="",$R1625=0),"",$U1625/$R1625)</f>
        <v/>
      </c>
      <c r="W1625" s="20">
        <f>IF($G1625="","",IF($X1625="CONTEXTE INCOMPLET","CONTEXTE INCOMPLET",IF($X1625="DOUBLON",StatutDoublon,IF($S1625="",StatutInitial,IF($R1625="",StatutStandardManquant,IF($V1625="","DONNEES INSUFFISANTES",IF($V1625&gt;=SeuilConforme,StatutConforme,IF($V1625&gt;=SeuilSurveiller,StatutSurveiller,StatutSousStandard))))))))</f>
        <v/>
      </c>
      <c r="X1625" s="33">
        <f>IF($G1625="","",IF(OR($D1625="",$E1625="",$F1625=""),"CONTEXTE INCOMPLET",IF(COUNTIFS($D725:$D1624,$D1625,$E725:$E1624,$E1625,$F725:$F1624,$F1625,$G725:$G1624,$G1625)&gt;0,"DOUBLON","VALIDE")))</f>
        <v/>
      </c>
    </row>
    <row r="1626" ht="15" customHeight="1">
      <c r="A1626" s="12">
        <f>IF(OR($B1626="",$G1626=""),"",TEXT($B1626,"YYYYMMDD")&amp;"-"&amp;SUBSTITUTE($E1626," ","")&amp;"-"&amp;$F1626&amp;"-"&amp;$G1626)</f>
        <v/>
      </c>
      <c r="B1626" s="15" t="n"/>
      <c r="C1626" s="16" t="n"/>
      <c r="D1626" s="10" t="n"/>
      <c r="E1626" s="9" t="n"/>
      <c r="F1626" s="9" t="n"/>
      <c r="G1626" s="13" t="n"/>
      <c r="H1626" s="21" t="n"/>
      <c r="I1626" s="21" t="n"/>
      <c r="J1626" s="17">
        <f>IF($G1626="","",IFERROR(INDEX(NomsEmployes,MATCH($G1626,MatriculesEmployes,0)),"MATRICULE INCONNU"))</f>
        <v/>
      </c>
      <c r="K1626" s="33">
        <f>IF(OR($D1626="",$F1626=""),"",IFERROR(IF(INDEX(RUNS!$L$6:$S$1005,MATCH($D1626,RUNS!$A$6:$A$1005,0),MATCH("ACTIVITÉ "&amp;$F1626,RUNS!$L$5:$S$5,0))="","",INDEX(RUNS!$L$6:$S$1005,MATCH($D1626,RUNS!$A$6:$A$1005,0),MATCH("ACTIVITÉ "&amp;$F1626,RUNS!$L$5:$S$5,0))),""))</f>
        <v/>
      </c>
      <c r="L1626" s="33">
        <f>IF($D1626="","",IFERROR(IF(INDEX(RUNS!$E$6:$E$1005,MATCH($D1626,RUNS!$A$6:$A$1005,0))="","",INDEX(RUNS!$E$6:$E$1005,MATCH($D1626,RUNS!$A$6:$A$1005,0))),""))</f>
        <v/>
      </c>
      <c r="M1626" s="33">
        <f>IF($D1626="","",IFERROR(IF(INDEX(RUNS!$F$6:$F$1005,MATCH($D1626,RUNS!$A$6:$A$1005,0))="","",INDEX(RUNS!$F$6:$F$1005,MATCH($D1626,RUNS!$A$6:$A$1005,0))),""))</f>
        <v/>
      </c>
      <c r="N1626" s="33">
        <f>IF($D1626="","",IFERROR(IF(INDEX(RUNS!$G$6:$G$1005,MATCH($D1626,RUNS!$A$6:$A$1005,0))="","",INDEX(RUNS!$G$6:$G$1005,MATCH($D1626,RUNS!$A$6:$A$1005,0))),""))</f>
        <v/>
      </c>
      <c r="O1626" s="33">
        <f>IF($D1626="","",IFERROR(IF(INDEX(RUNS!$H$6:$H$1005,MATCH($D1626,RUNS!$A$6:$A$1005,0))="","",INDEX(RUNS!$H$6:$H$1005,MATCH($D1626,RUNS!$A$6:$A$1005,0))),""))</f>
        <v/>
      </c>
      <c r="P1626" s="33">
        <f>IF($D1626="","",IFERROR(IF(INDEX(RUNS!$J$6:$J$1005,MATCH($D1626,RUNS!$A$6:$A$1005,0))="","",INDEX(RUNS!$J$6:$J$1005,MATCH($D1626,RUNS!$A$6:$A$1005,0))),""))</f>
        <v/>
      </c>
      <c r="Q1626" s="33">
        <f>IF($D1626="","",IFERROR(IF(INDEX(RUNS!$K$6:$K$1005,MATCH($D1626,RUNS!$A$6:$A$1005,0))="","",INDEX(RUNS!$K$6:$K$1005,MATCH($D1626,RUNS!$A$6:$A$1005,0))),""))</f>
        <v/>
      </c>
      <c r="R1626" s="34">
        <f>IF(OR($L1626="",$K1626=""),"",IFERROR(IF(INDEX(PARAMETRES!$H$43:$H$342,MATCH($L1626&amp;"|"&amp;$M1626&amp;"|"&amp;$N1626&amp;"|"&amp;$O1626&amp;"|"&amp;$P1626&amp;"|"&amp;$Q1626&amp;"|"&amp;$K1626,PARAMETRES!$J$43:$J$342,0))="","",INDEX(PARAMETRES!$H$43:$H$342,MATCH($L1626&amp;"|"&amp;$M1626&amp;"|"&amp;$N1626&amp;"|"&amp;$O1626&amp;"|"&amp;$P1626&amp;"|"&amp;$Q1626&amp;"|"&amp;$K1626,PARAMETRES!$J$43:$J$342,0))),""))</f>
        <v/>
      </c>
      <c r="S1626" s="35">
        <f>IF(OR($G1626="",$X1626&lt;&gt;"VALIDE"),"",IFERROR(LOOKUP(2,1/(($B726:$B1625=$B1626)*($G726:$G1625=$G1626)*($X726:$X1625="VALIDE")),$C726:$C1625),""))</f>
        <v/>
      </c>
      <c r="T1626" s="36">
        <f>IF(OR($C1626="",$S1626=""),"",ROUND(($C1626-$S1626+IF($C1626&lt;$S1626,1,0))*1440,0))</f>
        <v/>
      </c>
      <c r="U1626" s="22">
        <f>IF(OR($H1626="",$T1626="",$T1626&lt;=0),"",$H1626*60/$T1626)</f>
        <v/>
      </c>
      <c r="V1626" s="37">
        <f>IF(OR($U1626="",$R1626="",$R1626=0),"",$U1626/$R1626)</f>
        <v/>
      </c>
      <c r="W1626" s="20">
        <f>IF($G1626="","",IF($X1626="CONTEXTE INCOMPLET","CONTEXTE INCOMPLET",IF($X1626="DOUBLON",StatutDoublon,IF($S1626="",StatutInitial,IF($R1626="",StatutStandardManquant,IF($V1626="","DONNEES INSUFFISANTES",IF($V1626&gt;=SeuilConforme,StatutConforme,IF($V1626&gt;=SeuilSurveiller,StatutSurveiller,StatutSousStandard))))))))</f>
        <v/>
      </c>
      <c r="X1626" s="33">
        <f>IF($G1626="","",IF(OR($D1626="",$E1626="",$F1626=""),"CONTEXTE INCOMPLET",IF(COUNTIFS($D726:$D1625,$D1626,$E726:$E1625,$E1626,$F726:$F1625,$F1626,$G726:$G1625,$G1626)&gt;0,"DOUBLON","VALIDE")))</f>
        <v/>
      </c>
    </row>
    <row r="1627" ht="15" customHeight="1">
      <c r="A1627" s="12">
        <f>IF(OR($B1627="",$G1627=""),"",TEXT($B1627,"YYYYMMDD")&amp;"-"&amp;SUBSTITUTE($E1627," ","")&amp;"-"&amp;$F1627&amp;"-"&amp;$G1627)</f>
        <v/>
      </c>
      <c r="B1627" s="15" t="n"/>
      <c r="C1627" s="16" t="n"/>
      <c r="D1627" s="10" t="n"/>
      <c r="E1627" s="9" t="n"/>
      <c r="F1627" s="9" t="n"/>
      <c r="G1627" s="13" t="n"/>
      <c r="H1627" s="21" t="n"/>
      <c r="I1627" s="21" t="n"/>
      <c r="J1627" s="17">
        <f>IF($G1627="","",IFERROR(INDEX(NomsEmployes,MATCH($G1627,MatriculesEmployes,0)),"MATRICULE INCONNU"))</f>
        <v/>
      </c>
      <c r="K1627" s="33">
        <f>IF(OR($D1627="",$F1627=""),"",IFERROR(IF(INDEX(RUNS!$L$6:$S$1005,MATCH($D1627,RUNS!$A$6:$A$1005,0),MATCH("ACTIVITÉ "&amp;$F1627,RUNS!$L$5:$S$5,0))="","",INDEX(RUNS!$L$6:$S$1005,MATCH($D1627,RUNS!$A$6:$A$1005,0),MATCH("ACTIVITÉ "&amp;$F1627,RUNS!$L$5:$S$5,0))),""))</f>
        <v/>
      </c>
      <c r="L1627" s="33">
        <f>IF($D1627="","",IFERROR(IF(INDEX(RUNS!$E$6:$E$1005,MATCH($D1627,RUNS!$A$6:$A$1005,0))="","",INDEX(RUNS!$E$6:$E$1005,MATCH($D1627,RUNS!$A$6:$A$1005,0))),""))</f>
        <v/>
      </c>
      <c r="M1627" s="33">
        <f>IF($D1627="","",IFERROR(IF(INDEX(RUNS!$F$6:$F$1005,MATCH($D1627,RUNS!$A$6:$A$1005,0))="","",INDEX(RUNS!$F$6:$F$1005,MATCH($D1627,RUNS!$A$6:$A$1005,0))),""))</f>
        <v/>
      </c>
      <c r="N1627" s="33">
        <f>IF($D1627="","",IFERROR(IF(INDEX(RUNS!$G$6:$G$1005,MATCH($D1627,RUNS!$A$6:$A$1005,0))="","",INDEX(RUNS!$G$6:$G$1005,MATCH($D1627,RUNS!$A$6:$A$1005,0))),""))</f>
        <v/>
      </c>
      <c r="O1627" s="33">
        <f>IF($D1627="","",IFERROR(IF(INDEX(RUNS!$H$6:$H$1005,MATCH($D1627,RUNS!$A$6:$A$1005,0))="","",INDEX(RUNS!$H$6:$H$1005,MATCH($D1627,RUNS!$A$6:$A$1005,0))),""))</f>
        <v/>
      </c>
      <c r="P1627" s="33">
        <f>IF($D1627="","",IFERROR(IF(INDEX(RUNS!$J$6:$J$1005,MATCH($D1627,RUNS!$A$6:$A$1005,0))="","",INDEX(RUNS!$J$6:$J$1005,MATCH($D1627,RUNS!$A$6:$A$1005,0))),""))</f>
        <v/>
      </c>
      <c r="Q1627" s="33">
        <f>IF($D1627="","",IFERROR(IF(INDEX(RUNS!$K$6:$K$1005,MATCH($D1627,RUNS!$A$6:$A$1005,0))="","",INDEX(RUNS!$K$6:$K$1005,MATCH($D1627,RUNS!$A$6:$A$1005,0))),""))</f>
        <v/>
      </c>
      <c r="R1627" s="34">
        <f>IF(OR($L1627="",$K1627=""),"",IFERROR(IF(INDEX(PARAMETRES!$H$43:$H$342,MATCH($L1627&amp;"|"&amp;$M1627&amp;"|"&amp;$N1627&amp;"|"&amp;$O1627&amp;"|"&amp;$P1627&amp;"|"&amp;$Q1627&amp;"|"&amp;$K1627,PARAMETRES!$J$43:$J$342,0))="","",INDEX(PARAMETRES!$H$43:$H$342,MATCH($L1627&amp;"|"&amp;$M1627&amp;"|"&amp;$N1627&amp;"|"&amp;$O1627&amp;"|"&amp;$P1627&amp;"|"&amp;$Q1627&amp;"|"&amp;$K1627,PARAMETRES!$J$43:$J$342,0))),""))</f>
        <v/>
      </c>
      <c r="S1627" s="35">
        <f>IF(OR($G1627="",$X1627&lt;&gt;"VALIDE"),"",IFERROR(LOOKUP(2,1/(($B727:$B1626=$B1627)*($G727:$G1626=$G1627)*($X727:$X1626="VALIDE")),$C727:$C1626),""))</f>
        <v/>
      </c>
      <c r="T1627" s="36">
        <f>IF(OR($C1627="",$S1627=""),"",ROUND(($C1627-$S1627+IF($C1627&lt;$S1627,1,0))*1440,0))</f>
        <v/>
      </c>
      <c r="U1627" s="22">
        <f>IF(OR($H1627="",$T1627="",$T1627&lt;=0),"",$H1627*60/$T1627)</f>
        <v/>
      </c>
      <c r="V1627" s="37">
        <f>IF(OR($U1627="",$R1627="",$R1627=0),"",$U1627/$R1627)</f>
        <v/>
      </c>
      <c r="W1627" s="20">
        <f>IF($G1627="","",IF($X1627="CONTEXTE INCOMPLET","CONTEXTE INCOMPLET",IF($X1627="DOUBLON",StatutDoublon,IF($S1627="",StatutInitial,IF($R1627="",StatutStandardManquant,IF($V1627="","DONNEES INSUFFISANTES",IF($V1627&gt;=SeuilConforme,StatutConforme,IF($V1627&gt;=SeuilSurveiller,StatutSurveiller,StatutSousStandard))))))))</f>
        <v/>
      </c>
      <c r="X1627" s="33">
        <f>IF($G1627="","",IF(OR($D1627="",$E1627="",$F1627=""),"CONTEXTE INCOMPLET",IF(COUNTIFS($D727:$D1626,$D1627,$E727:$E1626,$E1627,$F727:$F1626,$F1627,$G727:$G1626,$G1627)&gt;0,"DOUBLON","VALIDE")))</f>
        <v/>
      </c>
    </row>
    <row r="1628" ht="15" customHeight="1">
      <c r="A1628" s="12">
        <f>IF(OR($B1628="",$G1628=""),"",TEXT($B1628,"YYYYMMDD")&amp;"-"&amp;SUBSTITUTE($E1628," ","")&amp;"-"&amp;$F1628&amp;"-"&amp;$G1628)</f>
        <v/>
      </c>
      <c r="B1628" s="15" t="n"/>
      <c r="C1628" s="16" t="n"/>
      <c r="D1628" s="10" t="n"/>
      <c r="E1628" s="9" t="n"/>
      <c r="F1628" s="9" t="n"/>
      <c r="G1628" s="13" t="n"/>
      <c r="H1628" s="21" t="n"/>
      <c r="I1628" s="21" t="n"/>
      <c r="J1628" s="17">
        <f>IF($G1628="","",IFERROR(INDEX(NomsEmployes,MATCH($G1628,MatriculesEmployes,0)),"MATRICULE INCONNU"))</f>
        <v/>
      </c>
      <c r="K1628" s="33">
        <f>IF(OR($D1628="",$F1628=""),"",IFERROR(IF(INDEX(RUNS!$L$6:$S$1005,MATCH($D1628,RUNS!$A$6:$A$1005,0),MATCH("ACTIVITÉ "&amp;$F1628,RUNS!$L$5:$S$5,0))="","",INDEX(RUNS!$L$6:$S$1005,MATCH($D1628,RUNS!$A$6:$A$1005,0),MATCH("ACTIVITÉ "&amp;$F1628,RUNS!$L$5:$S$5,0))),""))</f>
        <v/>
      </c>
      <c r="L1628" s="33">
        <f>IF($D1628="","",IFERROR(IF(INDEX(RUNS!$E$6:$E$1005,MATCH($D1628,RUNS!$A$6:$A$1005,0))="","",INDEX(RUNS!$E$6:$E$1005,MATCH($D1628,RUNS!$A$6:$A$1005,0))),""))</f>
        <v/>
      </c>
      <c r="M1628" s="33">
        <f>IF($D1628="","",IFERROR(IF(INDEX(RUNS!$F$6:$F$1005,MATCH($D1628,RUNS!$A$6:$A$1005,0))="","",INDEX(RUNS!$F$6:$F$1005,MATCH($D1628,RUNS!$A$6:$A$1005,0))),""))</f>
        <v/>
      </c>
      <c r="N1628" s="33">
        <f>IF($D1628="","",IFERROR(IF(INDEX(RUNS!$G$6:$G$1005,MATCH($D1628,RUNS!$A$6:$A$1005,0))="","",INDEX(RUNS!$G$6:$G$1005,MATCH($D1628,RUNS!$A$6:$A$1005,0))),""))</f>
        <v/>
      </c>
      <c r="O1628" s="33">
        <f>IF($D1628="","",IFERROR(IF(INDEX(RUNS!$H$6:$H$1005,MATCH($D1628,RUNS!$A$6:$A$1005,0))="","",INDEX(RUNS!$H$6:$H$1005,MATCH($D1628,RUNS!$A$6:$A$1005,0))),""))</f>
        <v/>
      </c>
      <c r="P1628" s="33">
        <f>IF($D1628="","",IFERROR(IF(INDEX(RUNS!$J$6:$J$1005,MATCH($D1628,RUNS!$A$6:$A$1005,0))="","",INDEX(RUNS!$J$6:$J$1005,MATCH($D1628,RUNS!$A$6:$A$1005,0))),""))</f>
        <v/>
      </c>
      <c r="Q1628" s="33">
        <f>IF($D1628="","",IFERROR(IF(INDEX(RUNS!$K$6:$K$1005,MATCH($D1628,RUNS!$A$6:$A$1005,0))="","",INDEX(RUNS!$K$6:$K$1005,MATCH($D1628,RUNS!$A$6:$A$1005,0))),""))</f>
        <v/>
      </c>
      <c r="R1628" s="34">
        <f>IF(OR($L1628="",$K1628=""),"",IFERROR(IF(INDEX(PARAMETRES!$H$43:$H$342,MATCH($L1628&amp;"|"&amp;$M1628&amp;"|"&amp;$N1628&amp;"|"&amp;$O1628&amp;"|"&amp;$P1628&amp;"|"&amp;$Q1628&amp;"|"&amp;$K1628,PARAMETRES!$J$43:$J$342,0))="","",INDEX(PARAMETRES!$H$43:$H$342,MATCH($L1628&amp;"|"&amp;$M1628&amp;"|"&amp;$N1628&amp;"|"&amp;$O1628&amp;"|"&amp;$P1628&amp;"|"&amp;$Q1628&amp;"|"&amp;$K1628,PARAMETRES!$J$43:$J$342,0))),""))</f>
        <v/>
      </c>
      <c r="S1628" s="35">
        <f>IF(OR($G1628="",$X1628&lt;&gt;"VALIDE"),"",IFERROR(LOOKUP(2,1/(($B728:$B1627=$B1628)*($G728:$G1627=$G1628)*($X728:$X1627="VALIDE")),$C728:$C1627),""))</f>
        <v/>
      </c>
      <c r="T1628" s="36">
        <f>IF(OR($C1628="",$S1628=""),"",ROUND(($C1628-$S1628+IF($C1628&lt;$S1628,1,0))*1440,0))</f>
        <v/>
      </c>
      <c r="U1628" s="22">
        <f>IF(OR($H1628="",$T1628="",$T1628&lt;=0),"",$H1628*60/$T1628)</f>
        <v/>
      </c>
      <c r="V1628" s="37">
        <f>IF(OR($U1628="",$R1628="",$R1628=0),"",$U1628/$R1628)</f>
        <v/>
      </c>
      <c r="W1628" s="20">
        <f>IF($G1628="","",IF($X1628="CONTEXTE INCOMPLET","CONTEXTE INCOMPLET",IF($X1628="DOUBLON",StatutDoublon,IF($S1628="",StatutInitial,IF($R1628="",StatutStandardManquant,IF($V1628="","DONNEES INSUFFISANTES",IF($V1628&gt;=SeuilConforme,StatutConforme,IF($V1628&gt;=SeuilSurveiller,StatutSurveiller,StatutSousStandard))))))))</f>
        <v/>
      </c>
      <c r="X1628" s="33">
        <f>IF($G1628="","",IF(OR($D1628="",$E1628="",$F1628=""),"CONTEXTE INCOMPLET",IF(COUNTIFS($D728:$D1627,$D1628,$E728:$E1627,$E1628,$F728:$F1627,$F1628,$G728:$G1627,$G1628)&gt;0,"DOUBLON","VALIDE")))</f>
        <v/>
      </c>
    </row>
    <row r="1629" ht="15" customHeight="1">
      <c r="A1629" s="12">
        <f>IF(OR($B1629="",$G1629=""),"",TEXT($B1629,"YYYYMMDD")&amp;"-"&amp;SUBSTITUTE($E1629," ","")&amp;"-"&amp;$F1629&amp;"-"&amp;$G1629)</f>
        <v/>
      </c>
      <c r="B1629" s="15" t="n"/>
      <c r="C1629" s="16" t="n"/>
      <c r="D1629" s="10" t="n"/>
      <c r="E1629" s="9" t="n"/>
      <c r="F1629" s="9" t="n"/>
      <c r="G1629" s="13" t="n"/>
      <c r="H1629" s="21" t="n"/>
      <c r="I1629" s="21" t="n"/>
      <c r="J1629" s="17">
        <f>IF($G1629="","",IFERROR(INDEX(NomsEmployes,MATCH($G1629,MatriculesEmployes,0)),"MATRICULE INCONNU"))</f>
        <v/>
      </c>
      <c r="K1629" s="33">
        <f>IF(OR($D1629="",$F1629=""),"",IFERROR(IF(INDEX(RUNS!$L$6:$S$1005,MATCH($D1629,RUNS!$A$6:$A$1005,0),MATCH("ACTIVITÉ "&amp;$F1629,RUNS!$L$5:$S$5,0))="","",INDEX(RUNS!$L$6:$S$1005,MATCH($D1629,RUNS!$A$6:$A$1005,0),MATCH("ACTIVITÉ "&amp;$F1629,RUNS!$L$5:$S$5,0))),""))</f>
        <v/>
      </c>
      <c r="L1629" s="33">
        <f>IF($D1629="","",IFERROR(IF(INDEX(RUNS!$E$6:$E$1005,MATCH($D1629,RUNS!$A$6:$A$1005,0))="","",INDEX(RUNS!$E$6:$E$1005,MATCH($D1629,RUNS!$A$6:$A$1005,0))),""))</f>
        <v/>
      </c>
      <c r="M1629" s="33">
        <f>IF($D1629="","",IFERROR(IF(INDEX(RUNS!$F$6:$F$1005,MATCH($D1629,RUNS!$A$6:$A$1005,0))="","",INDEX(RUNS!$F$6:$F$1005,MATCH($D1629,RUNS!$A$6:$A$1005,0))),""))</f>
        <v/>
      </c>
      <c r="N1629" s="33">
        <f>IF($D1629="","",IFERROR(IF(INDEX(RUNS!$G$6:$G$1005,MATCH($D1629,RUNS!$A$6:$A$1005,0))="","",INDEX(RUNS!$G$6:$G$1005,MATCH($D1629,RUNS!$A$6:$A$1005,0))),""))</f>
        <v/>
      </c>
      <c r="O1629" s="33">
        <f>IF($D1629="","",IFERROR(IF(INDEX(RUNS!$H$6:$H$1005,MATCH($D1629,RUNS!$A$6:$A$1005,0))="","",INDEX(RUNS!$H$6:$H$1005,MATCH($D1629,RUNS!$A$6:$A$1005,0))),""))</f>
        <v/>
      </c>
      <c r="P1629" s="33">
        <f>IF($D1629="","",IFERROR(IF(INDEX(RUNS!$J$6:$J$1005,MATCH($D1629,RUNS!$A$6:$A$1005,0))="","",INDEX(RUNS!$J$6:$J$1005,MATCH($D1629,RUNS!$A$6:$A$1005,0))),""))</f>
        <v/>
      </c>
      <c r="Q1629" s="33">
        <f>IF($D1629="","",IFERROR(IF(INDEX(RUNS!$K$6:$K$1005,MATCH($D1629,RUNS!$A$6:$A$1005,0))="","",INDEX(RUNS!$K$6:$K$1005,MATCH($D1629,RUNS!$A$6:$A$1005,0))),""))</f>
        <v/>
      </c>
      <c r="R1629" s="34">
        <f>IF(OR($L1629="",$K1629=""),"",IFERROR(IF(INDEX(PARAMETRES!$H$43:$H$342,MATCH($L1629&amp;"|"&amp;$M1629&amp;"|"&amp;$N1629&amp;"|"&amp;$O1629&amp;"|"&amp;$P1629&amp;"|"&amp;$Q1629&amp;"|"&amp;$K1629,PARAMETRES!$J$43:$J$342,0))="","",INDEX(PARAMETRES!$H$43:$H$342,MATCH($L1629&amp;"|"&amp;$M1629&amp;"|"&amp;$N1629&amp;"|"&amp;$O1629&amp;"|"&amp;$P1629&amp;"|"&amp;$Q1629&amp;"|"&amp;$K1629,PARAMETRES!$J$43:$J$342,0))),""))</f>
        <v/>
      </c>
      <c r="S1629" s="35">
        <f>IF(OR($G1629="",$X1629&lt;&gt;"VALIDE"),"",IFERROR(LOOKUP(2,1/(($B729:$B1628=$B1629)*($G729:$G1628=$G1629)*($X729:$X1628="VALIDE")),$C729:$C1628),""))</f>
        <v/>
      </c>
      <c r="T1629" s="36">
        <f>IF(OR($C1629="",$S1629=""),"",ROUND(($C1629-$S1629+IF($C1629&lt;$S1629,1,0))*1440,0))</f>
        <v/>
      </c>
      <c r="U1629" s="22">
        <f>IF(OR($H1629="",$T1629="",$T1629&lt;=0),"",$H1629*60/$T1629)</f>
        <v/>
      </c>
      <c r="V1629" s="37">
        <f>IF(OR($U1629="",$R1629="",$R1629=0),"",$U1629/$R1629)</f>
        <v/>
      </c>
      <c r="W1629" s="20">
        <f>IF($G1629="","",IF($X1629="CONTEXTE INCOMPLET","CONTEXTE INCOMPLET",IF($X1629="DOUBLON",StatutDoublon,IF($S1629="",StatutInitial,IF($R1629="",StatutStandardManquant,IF($V1629="","DONNEES INSUFFISANTES",IF($V1629&gt;=SeuilConforme,StatutConforme,IF($V1629&gt;=SeuilSurveiller,StatutSurveiller,StatutSousStandard))))))))</f>
        <v/>
      </c>
      <c r="X1629" s="33">
        <f>IF($G1629="","",IF(OR($D1629="",$E1629="",$F1629=""),"CONTEXTE INCOMPLET",IF(COUNTIFS($D729:$D1628,$D1629,$E729:$E1628,$E1629,$F729:$F1628,$F1629,$G729:$G1628,$G1629)&gt;0,"DOUBLON","VALIDE")))</f>
        <v/>
      </c>
    </row>
    <row r="1630" ht="15" customHeight="1">
      <c r="A1630" s="12">
        <f>IF(OR($B1630="",$G1630=""),"",TEXT($B1630,"YYYYMMDD")&amp;"-"&amp;SUBSTITUTE($E1630," ","")&amp;"-"&amp;$F1630&amp;"-"&amp;$G1630)</f>
        <v/>
      </c>
      <c r="B1630" s="15" t="n"/>
      <c r="C1630" s="16" t="n"/>
      <c r="D1630" s="10" t="n"/>
      <c r="E1630" s="9" t="n"/>
      <c r="F1630" s="9" t="n"/>
      <c r="G1630" s="13" t="n"/>
      <c r="H1630" s="21" t="n"/>
      <c r="I1630" s="21" t="n"/>
      <c r="J1630" s="17">
        <f>IF($G1630="","",IFERROR(INDEX(NomsEmployes,MATCH($G1630,MatriculesEmployes,0)),"MATRICULE INCONNU"))</f>
        <v/>
      </c>
      <c r="K1630" s="33">
        <f>IF(OR($D1630="",$F1630=""),"",IFERROR(IF(INDEX(RUNS!$L$6:$S$1005,MATCH($D1630,RUNS!$A$6:$A$1005,0),MATCH("ACTIVITÉ "&amp;$F1630,RUNS!$L$5:$S$5,0))="","",INDEX(RUNS!$L$6:$S$1005,MATCH($D1630,RUNS!$A$6:$A$1005,0),MATCH("ACTIVITÉ "&amp;$F1630,RUNS!$L$5:$S$5,0))),""))</f>
        <v/>
      </c>
      <c r="L1630" s="33">
        <f>IF($D1630="","",IFERROR(IF(INDEX(RUNS!$E$6:$E$1005,MATCH($D1630,RUNS!$A$6:$A$1005,0))="","",INDEX(RUNS!$E$6:$E$1005,MATCH($D1630,RUNS!$A$6:$A$1005,0))),""))</f>
        <v/>
      </c>
      <c r="M1630" s="33">
        <f>IF($D1630="","",IFERROR(IF(INDEX(RUNS!$F$6:$F$1005,MATCH($D1630,RUNS!$A$6:$A$1005,0))="","",INDEX(RUNS!$F$6:$F$1005,MATCH($D1630,RUNS!$A$6:$A$1005,0))),""))</f>
        <v/>
      </c>
      <c r="N1630" s="33">
        <f>IF($D1630="","",IFERROR(IF(INDEX(RUNS!$G$6:$G$1005,MATCH($D1630,RUNS!$A$6:$A$1005,0))="","",INDEX(RUNS!$G$6:$G$1005,MATCH($D1630,RUNS!$A$6:$A$1005,0))),""))</f>
        <v/>
      </c>
      <c r="O1630" s="33">
        <f>IF($D1630="","",IFERROR(IF(INDEX(RUNS!$H$6:$H$1005,MATCH($D1630,RUNS!$A$6:$A$1005,0))="","",INDEX(RUNS!$H$6:$H$1005,MATCH($D1630,RUNS!$A$6:$A$1005,0))),""))</f>
        <v/>
      </c>
      <c r="P1630" s="33">
        <f>IF($D1630="","",IFERROR(IF(INDEX(RUNS!$J$6:$J$1005,MATCH($D1630,RUNS!$A$6:$A$1005,0))="","",INDEX(RUNS!$J$6:$J$1005,MATCH($D1630,RUNS!$A$6:$A$1005,0))),""))</f>
        <v/>
      </c>
      <c r="Q1630" s="33">
        <f>IF($D1630="","",IFERROR(IF(INDEX(RUNS!$K$6:$K$1005,MATCH($D1630,RUNS!$A$6:$A$1005,0))="","",INDEX(RUNS!$K$6:$K$1005,MATCH($D1630,RUNS!$A$6:$A$1005,0))),""))</f>
        <v/>
      </c>
      <c r="R1630" s="34">
        <f>IF(OR($L1630="",$K1630=""),"",IFERROR(IF(INDEX(PARAMETRES!$H$43:$H$342,MATCH($L1630&amp;"|"&amp;$M1630&amp;"|"&amp;$N1630&amp;"|"&amp;$O1630&amp;"|"&amp;$P1630&amp;"|"&amp;$Q1630&amp;"|"&amp;$K1630,PARAMETRES!$J$43:$J$342,0))="","",INDEX(PARAMETRES!$H$43:$H$342,MATCH($L1630&amp;"|"&amp;$M1630&amp;"|"&amp;$N1630&amp;"|"&amp;$O1630&amp;"|"&amp;$P1630&amp;"|"&amp;$Q1630&amp;"|"&amp;$K1630,PARAMETRES!$J$43:$J$342,0))),""))</f>
        <v/>
      </c>
      <c r="S1630" s="35">
        <f>IF(OR($G1630="",$X1630&lt;&gt;"VALIDE"),"",IFERROR(LOOKUP(2,1/(($B730:$B1629=$B1630)*($G730:$G1629=$G1630)*($X730:$X1629="VALIDE")),$C730:$C1629),""))</f>
        <v/>
      </c>
      <c r="T1630" s="36">
        <f>IF(OR($C1630="",$S1630=""),"",ROUND(($C1630-$S1630+IF($C1630&lt;$S1630,1,0))*1440,0))</f>
        <v/>
      </c>
      <c r="U1630" s="22">
        <f>IF(OR($H1630="",$T1630="",$T1630&lt;=0),"",$H1630*60/$T1630)</f>
        <v/>
      </c>
      <c r="V1630" s="37">
        <f>IF(OR($U1630="",$R1630="",$R1630=0),"",$U1630/$R1630)</f>
        <v/>
      </c>
      <c r="W1630" s="20">
        <f>IF($G1630="","",IF($X1630="CONTEXTE INCOMPLET","CONTEXTE INCOMPLET",IF($X1630="DOUBLON",StatutDoublon,IF($S1630="",StatutInitial,IF($R1630="",StatutStandardManquant,IF($V1630="","DONNEES INSUFFISANTES",IF($V1630&gt;=SeuilConforme,StatutConforme,IF($V1630&gt;=SeuilSurveiller,StatutSurveiller,StatutSousStandard))))))))</f>
        <v/>
      </c>
      <c r="X1630" s="33">
        <f>IF($G1630="","",IF(OR($D1630="",$E1630="",$F1630=""),"CONTEXTE INCOMPLET",IF(COUNTIFS($D730:$D1629,$D1630,$E730:$E1629,$E1630,$F730:$F1629,$F1630,$G730:$G1629,$G1630)&gt;0,"DOUBLON","VALIDE")))</f>
        <v/>
      </c>
    </row>
    <row r="1631" ht="15" customHeight="1">
      <c r="A1631" s="12">
        <f>IF(OR($B1631="",$G1631=""),"",TEXT($B1631,"YYYYMMDD")&amp;"-"&amp;SUBSTITUTE($E1631," ","")&amp;"-"&amp;$F1631&amp;"-"&amp;$G1631)</f>
        <v/>
      </c>
      <c r="B1631" s="15" t="n"/>
      <c r="C1631" s="16" t="n"/>
      <c r="D1631" s="10" t="n"/>
      <c r="E1631" s="9" t="n"/>
      <c r="F1631" s="9" t="n"/>
      <c r="G1631" s="13" t="n"/>
      <c r="H1631" s="21" t="n"/>
      <c r="I1631" s="21" t="n"/>
      <c r="J1631" s="17">
        <f>IF($G1631="","",IFERROR(INDEX(NomsEmployes,MATCH($G1631,MatriculesEmployes,0)),"MATRICULE INCONNU"))</f>
        <v/>
      </c>
      <c r="K1631" s="33">
        <f>IF(OR($D1631="",$F1631=""),"",IFERROR(IF(INDEX(RUNS!$L$6:$S$1005,MATCH($D1631,RUNS!$A$6:$A$1005,0),MATCH("ACTIVITÉ "&amp;$F1631,RUNS!$L$5:$S$5,0))="","",INDEX(RUNS!$L$6:$S$1005,MATCH($D1631,RUNS!$A$6:$A$1005,0),MATCH("ACTIVITÉ "&amp;$F1631,RUNS!$L$5:$S$5,0))),""))</f>
        <v/>
      </c>
      <c r="L1631" s="33">
        <f>IF($D1631="","",IFERROR(IF(INDEX(RUNS!$E$6:$E$1005,MATCH($D1631,RUNS!$A$6:$A$1005,0))="","",INDEX(RUNS!$E$6:$E$1005,MATCH($D1631,RUNS!$A$6:$A$1005,0))),""))</f>
        <v/>
      </c>
      <c r="M1631" s="33">
        <f>IF($D1631="","",IFERROR(IF(INDEX(RUNS!$F$6:$F$1005,MATCH($D1631,RUNS!$A$6:$A$1005,0))="","",INDEX(RUNS!$F$6:$F$1005,MATCH($D1631,RUNS!$A$6:$A$1005,0))),""))</f>
        <v/>
      </c>
      <c r="N1631" s="33">
        <f>IF($D1631="","",IFERROR(IF(INDEX(RUNS!$G$6:$G$1005,MATCH($D1631,RUNS!$A$6:$A$1005,0))="","",INDEX(RUNS!$G$6:$G$1005,MATCH($D1631,RUNS!$A$6:$A$1005,0))),""))</f>
        <v/>
      </c>
      <c r="O1631" s="33">
        <f>IF($D1631="","",IFERROR(IF(INDEX(RUNS!$H$6:$H$1005,MATCH($D1631,RUNS!$A$6:$A$1005,0))="","",INDEX(RUNS!$H$6:$H$1005,MATCH($D1631,RUNS!$A$6:$A$1005,0))),""))</f>
        <v/>
      </c>
      <c r="P1631" s="33">
        <f>IF($D1631="","",IFERROR(IF(INDEX(RUNS!$J$6:$J$1005,MATCH($D1631,RUNS!$A$6:$A$1005,0))="","",INDEX(RUNS!$J$6:$J$1005,MATCH($D1631,RUNS!$A$6:$A$1005,0))),""))</f>
        <v/>
      </c>
      <c r="Q1631" s="33">
        <f>IF($D1631="","",IFERROR(IF(INDEX(RUNS!$K$6:$K$1005,MATCH($D1631,RUNS!$A$6:$A$1005,0))="","",INDEX(RUNS!$K$6:$K$1005,MATCH($D1631,RUNS!$A$6:$A$1005,0))),""))</f>
        <v/>
      </c>
      <c r="R1631" s="34">
        <f>IF(OR($L1631="",$K1631=""),"",IFERROR(IF(INDEX(PARAMETRES!$H$43:$H$342,MATCH($L1631&amp;"|"&amp;$M1631&amp;"|"&amp;$N1631&amp;"|"&amp;$O1631&amp;"|"&amp;$P1631&amp;"|"&amp;$Q1631&amp;"|"&amp;$K1631,PARAMETRES!$J$43:$J$342,0))="","",INDEX(PARAMETRES!$H$43:$H$342,MATCH($L1631&amp;"|"&amp;$M1631&amp;"|"&amp;$N1631&amp;"|"&amp;$O1631&amp;"|"&amp;$P1631&amp;"|"&amp;$Q1631&amp;"|"&amp;$K1631,PARAMETRES!$J$43:$J$342,0))),""))</f>
        <v/>
      </c>
      <c r="S1631" s="35">
        <f>IF(OR($G1631="",$X1631&lt;&gt;"VALIDE"),"",IFERROR(LOOKUP(2,1/(($B731:$B1630=$B1631)*($G731:$G1630=$G1631)*($X731:$X1630="VALIDE")),$C731:$C1630),""))</f>
        <v/>
      </c>
      <c r="T1631" s="36">
        <f>IF(OR($C1631="",$S1631=""),"",ROUND(($C1631-$S1631+IF($C1631&lt;$S1631,1,0))*1440,0))</f>
        <v/>
      </c>
      <c r="U1631" s="22">
        <f>IF(OR($H1631="",$T1631="",$T1631&lt;=0),"",$H1631*60/$T1631)</f>
        <v/>
      </c>
      <c r="V1631" s="37">
        <f>IF(OR($U1631="",$R1631="",$R1631=0),"",$U1631/$R1631)</f>
        <v/>
      </c>
      <c r="W1631" s="20">
        <f>IF($G1631="","",IF($X1631="CONTEXTE INCOMPLET","CONTEXTE INCOMPLET",IF($X1631="DOUBLON",StatutDoublon,IF($S1631="",StatutInitial,IF($R1631="",StatutStandardManquant,IF($V1631="","DONNEES INSUFFISANTES",IF($V1631&gt;=SeuilConforme,StatutConforme,IF($V1631&gt;=SeuilSurveiller,StatutSurveiller,StatutSousStandard))))))))</f>
        <v/>
      </c>
      <c r="X1631" s="33">
        <f>IF($G1631="","",IF(OR($D1631="",$E1631="",$F1631=""),"CONTEXTE INCOMPLET",IF(COUNTIFS($D731:$D1630,$D1631,$E731:$E1630,$E1631,$F731:$F1630,$F1631,$G731:$G1630,$G1631)&gt;0,"DOUBLON","VALIDE")))</f>
        <v/>
      </c>
    </row>
    <row r="1632" ht="15" customHeight="1">
      <c r="A1632" s="12">
        <f>IF(OR($B1632="",$G1632=""),"",TEXT($B1632,"YYYYMMDD")&amp;"-"&amp;SUBSTITUTE($E1632," ","")&amp;"-"&amp;$F1632&amp;"-"&amp;$G1632)</f>
        <v/>
      </c>
      <c r="B1632" s="15" t="n"/>
      <c r="C1632" s="16" t="n"/>
      <c r="D1632" s="10" t="n"/>
      <c r="E1632" s="9" t="n"/>
      <c r="F1632" s="9" t="n"/>
      <c r="G1632" s="13" t="n"/>
      <c r="H1632" s="21" t="n"/>
      <c r="I1632" s="21" t="n"/>
      <c r="J1632" s="17">
        <f>IF($G1632="","",IFERROR(INDEX(NomsEmployes,MATCH($G1632,MatriculesEmployes,0)),"MATRICULE INCONNU"))</f>
        <v/>
      </c>
      <c r="K1632" s="33">
        <f>IF(OR($D1632="",$F1632=""),"",IFERROR(IF(INDEX(RUNS!$L$6:$S$1005,MATCH($D1632,RUNS!$A$6:$A$1005,0),MATCH("ACTIVITÉ "&amp;$F1632,RUNS!$L$5:$S$5,0))="","",INDEX(RUNS!$L$6:$S$1005,MATCH($D1632,RUNS!$A$6:$A$1005,0),MATCH("ACTIVITÉ "&amp;$F1632,RUNS!$L$5:$S$5,0))),""))</f>
        <v/>
      </c>
      <c r="L1632" s="33">
        <f>IF($D1632="","",IFERROR(IF(INDEX(RUNS!$E$6:$E$1005,MATCH($D1632,RUNS!$A$6:$A$1005,0))="","",INDEX(RUNS!$E$6:$E$1005,MATCH($D1632,RUNS!$A$6:$A$1005,0))),""))</f>
        <v/>
      </c>
      <c r="M1632" s="33">
        <f>IF($D1632="","",IFERROR(IF(INDEX(RUNS!$F$6:$F$1005,MATCH($D1632,RUNS!$A$6:$A$1005,0))="","",INDEX(RUNS!$F$6:$F$1005,MATCH($D1632,RUNS!$A$6:$A$1005,0))),""))</f>
        <v/>
      </c>
      <c r="N1632" s="33">
        <f>IF($D1632="","",IFERROR(IF(INDEX(RUNS!$G$6:$G$1005,MATCH($D1632,RUNS!$A$6:$A$1005,0))="","",INDEX(RUNS!$G$6:$G$1005,MATCH($D1632,RUNS!$A$6:$A$1005,0))),""))</f>
        <v/>
      </c>
      <c r="O1632" s="33">
        <f>IF($D1632="","",IFERROR(IF(INDEX(RUNS!$H$6:$H$1005,MATCH($D1632,RUNS!$A$6:$A$1005,0))="","",INDEX(RUNS!$H$6:$H$1005,MATCH($D1632,RUNS!$A$6:$A$1005,0))),""))</f>
        <v/>
      </c>
      <c r="P1632" s="33">
        <f>IF($D1632="","",IFERROR(IF(INDEX(RUNS!$J$6:$J$1005,MATCH($D1632,RUNS!$A$6:$A$1005,0))="","",INDEX(RUNS!$J$6:$J$1005,MATCH($D1632,RUNS!$A$6:$A$1005,0))),""))</f>
        <v/>
      </c>
      <c r="Q1632" s="33">
        <f>IF($D1632="","",IFERROR(IF(INDEX(RUNS!$K$6:$K$1005,MATCH($D1632,RUNS!$A$6:$A$1005,0))="","",INDEX(RUNS!$K$6:$K$1005,MATCH($D1632,RUNS!$A$6:$A$1005,0))),""))</f>
        <v/>
      </c>
      <c r="R1632" s="34">
        <f>IF(OR($L1632="",$K1632=""),"",IFERROR(IF(INDEX(PARAMETRES!$H$43:$H$342,MATCH($L1632&amp;"|"&amp;$M1632&amp;"|"&amp;$N1632&amp;"|"&amp;$O1632&amp;"|"&amp;$P1632&amp;"|"&amp;$Q1632&amp;"|"&amp;$K1632,PARAMETRES!$J$43:$J$342,0))="","",INDEX(PARAMETRES!$H$43:$H$342,MATCH($L1632&amp;"|"&amp;$M1632&amp;"|"&amp;$N1632&amp;"|"&amp;$O1632&amp;"|"&amp;$P1632&amp;"|"&amp;$Q1632&amp;"|"&amp;$K1632,PARAMETRES!$J$43:$J$342,0))),""))</f>
        <v/>
      </c>
      <c r="S1632" s="35">
        <f>IF(OR($G1632="",$X1632&lt;&gt;"VALIDE"),"",IFERROR(LOOKUP(2,1/(($B732:$B1631=$B1632)*($G732:$G1631=$G1632)*($X732:$X1631="VALIDE")),$C732:$C1631),""))</f>
        <v/>
      </c>
      <c r="T1632" s="36">
        <f>IF(OR($C1632="",$S1632=""),"",ROUND(($C1632-$S1632+IF($C1632&lt;$S1632,1,0))*1440,0))</f>
        <v/>
      </c>
      <c r="U1632" s="22">
        <f>IF(OR($H1632="",$T1632="",$T1632&lt;=0),"",$H1632*60/$T1632)</f>
        <v/>
      </c>
      <c r="V1632" s="37">
        <f>IF(OR($U1632="",$R1632="",$R1632=0),"",$U1632/$R1632)</f>
        <v/>
      </c>
      <c r="W1632" s="20">
        <f>IF($G1632="","",IF($X1632="CONTEXTE INCOMPLET","CONTEXTE INCOMPLET",IF($X1632="DOUBLON",StatutDoublon,IF($S1632="",StatutInitial,IF($R1632="",StatutStandardManquant,IF($V1632="","DONNEES INSUFFISANTES",IF($V1632&gt;=SeuilConforme,StatutConforme,IF($V1632&gt;=SeuilSurveiller,StatutSurveiller,StatutSousStandard))))))))</f>
        <v/>
      </c>
      <c r="X1632" s="33">
        <f>IF($G1632="","",IF(OR($D1632="",$E1632="",$F1632=""),"CONTEXTE INCOMPLET",IF(COUNTIFS($D732:$D1631,$D1632,$E732:$E1631,$E1632,$F732:$F1631,$F1632,$G732:$G1631,$G1632)&gt;0,"DOUBLON","VALIDE")))</f>
        <v/>
      </c>
    </row>
    <row r="1633" ht="15" customHeight="1">
      <c r="A1633" s="12">
        <f>IF(OR($B1633="",$G1633=""),"",TEXT($B1633,"YYYYMMDD")&amp;"-"&amp;SUBSTITUTE($E1633," ","")&amp;"-"&amp;$F1633&amp;"-"&amp;$G1633)</f>
        <v/>
      </c>
      <c r="B1633" s="15" t="n"/>
      <c r="C1633" s="16" t="n"/>
      <c r="D1633" s="10" t="n"/>
      <c r="E1633" s="9" t="n"/>
      <c r="F1633" s="9" t="n"/>
      <c r="G1633" s="13" t="n"/>
      <c r="H1633" s="21" t="n"/>
      <c r="I1633" s="21" t="n"/>
      <c r="J1633" s="17">
        <f>IF($G1633="","",IFERROR(INDEX(NomsEmployes,MATCH($G1633,MatriculesEmployes,0)),"MATRICULE INCONNU"))</f>
        <v/>
      </c>
      <c r="K1633" s="33">
        <f>IF(OR($D1633="",$F1633=""),"",IFERROR(IF(INDEX(RUNS!$L$6:$S$1005,MATCH($D1633,RUNS!$A$6:$A$1005,0),MATCH("ACTIVITÉ "&amp;$F1633,RUNS!$L$5:$S$5,0))="","",INDEX(RUNS!$L$6:$S$1005,MATCH($D1633,RUNS!$A$6:$A$1005,0),MATCH("ACTIVITÉ "&amp;$F1633,RUNS!$L$5:$S$5,0))),""))</f>
        <v/>
      </c>
      <c r="L1633" s="33">
        <f>IF($D1633="","",IFERROR(IF(INDEX(RUNS!$E$6:$E$1005,MATCH($D1633,RUNS!$A$6:$A$1005,0))="","",INDEX(RUNS!$E$6:$E$1005,MATCH($D1633,RUNS!$A$6:$A$1005,0))),""))</f>
        <v/>
      </c>
      <c r="M1633" s="33">
        <f>IF($D1633="","",IFERROR(IF(INDEX(RUNS!$F$6:$F$1005,MATCH($D1633,RUNS!$A$6:$A$1005,0))="","",INDEX(RUNS!$F$6:$F$1005,MATCH($D1633,RUNS!$A$6:$A$1005,0))),""))</f>
        <v/>
      </c>
      <c r="N1633" s="33">
        <f>IF($D1633="","",IFERROR(IF(INDEX(RUNS!$G$6:$G$1005,MATCH($D1633,RUNS!$A$6:$A$1005,0))="","",INDEX(RUNS!$G$6:$G$1005,MATCH($D1633,RUNS!$A$6:$A$1005,0))),""))</f>
        <v/>
      </c>
      <c r="O1633" s="33">
        <f>IF($D1633="","",IFERROR(IF(INDEX(RUNS!$H$6:$H$1005,MATCH($D1633,RUNS!$A$6:$A$1005,0))="","",INDEX(RUNS!$H$6:$H$1005,MATCH($D1633,RUNS!$A$6:$A$1005,0))),""))</f>
        <v/>
      </c>
      <c r="P1633" s="33">
        <f>IF($D1633="","",IFERROR(IF(INDEX(RUNS!$J$6:$J$1005,MATCH($D1633,RUNS!$A$6:$A$1005,0))="","",INDEX(RUNS!$J$6:$J$1005,MATCH($D1633,RUNS!$A$6:$A$1005,0))),""))</f>
        <v/>
      </c>
      <c r="Q1633" s="33">
        <f>IF($D1633="","",IFERROR(IF(INDEX(RUNS!$K$6:$K$1005,MATCH($D1633,RUNS!$A$6:$A$1005,0))="","",INDEX(RUNS!$K$6:$K$1005,MATCH($D1633,RUNS!$A$6:$A$1005,0))),""))</f>
        <v/>
      </c>
      <c r="R1633" s="34">
        <f>IF(OR($L1633="",$K1633=""),"",IFERROR(IF(INDEX(PARAMETRES!$H$43:$H$342,MATCH($L1633&amp;"|"&amp;$M1633&amp;"|"&amp;$N1633&amp;"|"&amp;$O1633&amp;"|"&amp;$P1633&amp;"|"&amp;$Q1633&amp;"|"&amp;$K1633,PARAMETRES!$J$43:$J$342,0))="","",INDEX(PARAMETRES!$H$43:$H$342,MATCH($L1633&amp;"|"&amp;$M1633&amp;"|"&amp;$N1633&amp;"|"&amp;$O1633&amp;"|"&amp;$P1633&amp;"|"&amp;$Q1633&amp;"|"&amp;$K1633,PARAMETRES!$J$43:$J$342,0))),""))</f>
        <v/>
      </c>
      <c r="S1633" s="35">
        <f>IF(OR($G1633="",$X1633&lt;&gt;"VALIDE"),"",IFERROR(LOOKUP(2,1/(($B733:$B1632=$B1633)*($G733:$G1632=$G1633)*($X733:$X1632="VALIDE")),$C733:$C1632),""))</f>
        <v/>
      </c>
      <c r="T1633" s="36">
        <f>IF(OR($C1633="",$S1633=""),"",ROUND(($C1633-$S1633+IF($C1633&lt;$S1633,1,0))*1440,0))</f>
        <v/>
      </c>
      <c r="U1633" s="22">
        <f>IF(OR($H1633="",$T1633="",$T1633&lt;=0),"",$H1633*60/$T1633)</f>
        <v/>
      </c>
      <c r="V1633" s="37">
        <f>IF(OR($U1633="",$R1633="",$R1633=0),"",$U1633/$R1633)</f>
        <v/>
      </c>
      <c r="W1633" s="20">
        <f>IF($G1633="","",IF($X1633="CONTEXTE INCOMPLET","CONTEXTE INCOMPLET",IF($X1633="DOUBLON",StatutDoublon,IF($S1633="",StatutInitial,IF($R1633="",StatutStandardManquant,IF($V1633="","DONNEES INSUFFISANTES",IF($V1633&gt;=SeuilConforme,StatutConforme,IF($V1633&gt;=SeuilSurveiller,StatutSurveiller,StatutSousStandard))))))))</f>
        <v/>
      </c>
      <c r="X1633" s="33">
        <f>IF($G1633="","",IF(OR($D1633="",$E1633="",$F1633=""),"CONTEXTE INCOMPLET",IF(COUNTIFS($D733:$D1632,$D1633,$E733:$E1632,$E1633,$F733:$F1632,$F1633,$G733:$G1632,$G1633)&gt;0,"DOUBLON","VALIDE")))</f>
        <v/>
      </c>
    </row>
    <row r="1634" ht="15" customHeight="1">
      <c r="A1634" s="12">
        <f>IF(OR($B1634="",$G1634=""),"",TEXT($B1634,"YYYYMMDD")&amp;"-"&amp;SUBSTITUTE($E1634," ","")&amp;"-"&amp;$F1634&amp;"-"&amp;$G1634)</f>
        <v/>
      </c>
      <c r="B1634" s="15" t="n"/>
      <c r="C1634" s="16" t="n"/>
      <c r="D1634" s="10" t="n"/>
      <c r="E1634" s="9" t="n"/>
      <c r="F1634" s="9" t="n"/>
      <c r="G1634" s="13" t="n"/>
      <c r="H1634" s="21" t="n"/>
      <c r="I1634" s="21" t="n"/>
      <c r="J1634" s="17">
        <f>IF($G1634="","",IFERROR(INDEX(NomsEmployes,MATCH($G1634,MatriculesEmployes,0)),"MATRICULE INCONNU"))</f>
        <v/>
      </c>
      <c r="K1634" s="33">
        <f>IF(OR($D1634="",$F1634=""),"",IFERROR(IF(INDEX(RUNS!$L$6:$S$1005,MATCH($D1634,RUNS!$A$6:$A$1005,0),MATCH("ACTIVITÉ "&amp;$F1634,RUNS!$L$5:$S$5,0))="","",INDEX(RUNS!$L$6:$S$1005,MATCH($D1634,RUNS!$A$6:$A$1005,0),MATCH("ACTIVITÉ "&amp;$F1634,RUNS!$L$5:$S$5,0))),""))</f>
        <v/>
      </c>
      <c r="L1634" s="33">
        <f>IF($D1634="","",IFERROR(IF(INDEX(RUNS!$E$6:$E$1005,MATCH($D1634,RUNS!$A$6:$A$1005,0))="","",INDEX(RUNS!$E$6:$E$1005,MATCH($D1634,RUNS!$A$6:$A$1005,0))),""))</f>
        <v/>
      </c>
      <c r="M1634" s="33">
        <f>IF($D1634="","",IFERROR(IF(INDEX(RUNS!$F$6:$F$1005,MATCH($D1634,RUNS!$A$6:$A$1005,0))="","",INDEX(RUNS!$F$6:$F$1005,MATCH($D1634,RUNS!$A$6:$A$1005,0))),""))</f>
        <v/>
      </c>
      <c r="N1634" s="33">
        <f>IF($D1634="","",IFERROR(IF(INDEX(RUNS!$G$6:$G$1005,MATCH($D1634,RUNS!$A$6:$A$1005,0))="","",INDEX(RUNS!$G$6:$G$1005,MATCH($D1634,RUNS!$A$6:$A$1005,0))),""))</f>
        <v/>
      </c>
      <c r="O1634" s="33">
        <f>IF($D1634="","",IFERROR(IF(INDEX(RUNS!$H$6:$H$1005,MATCH($D1634,RUNS!$A$6:$A$1005,0))="","",INDEX(RUNS!$H$6:$H$1005,MATCH($D1634,RUNS!$A$6:$A$1005,0))),""))</f>
        <v/>
      </c>
      <c r="P1634" s="33">
        <f>IF($D1634="","",IFERROR(IF(INDEX(RUNS!$J$6:$J$1005,MATCH($D1634,RUNS!$A$6:$A$1005,0))="","",INDEX(RUNS!$J$6:$J$1005,MATCH($D1634,RUNS!$A$6:$A$1005,0))),""))</f>
        <v/>
      </c>
      <c r="Q1634" s="33">
        <f>IF($D1634="","",IFERROR(IF(INDEX(RUNS!$K$6:$K$1005,MATCH($D1634,RUNS!$A$6:$A$1005,0))="","",INDEX(RUNS!$K$6:$K$1005,MATCH($D1634,RUNS!$A$6:$A$1005,0))),""))</f>
        <v/>
      </c>
      <c r="R1634" s="34">
        <f>IF(OR($L1634="",$K1634=""),"",IFERROR(IF(INDEX(PARAMETRES!$H$43:$H$342,MATCH($L1634&amp;"|"&amp;$M1634&amp;"|"&amp;$N1634&amp;"|"&amp;$O1634&amp;"|"&amp;$P1634&amp;"|"&amp;$Q1634&amp;"|"&amp;$K1634,PARAMETRES!$J$43:$J$342,0))="","",INDEX(PARAMETRES!$H$43:$H$342,MATCH($L1634&amp;"|"&amp;$M1634&amp;"|"&amp;$N1634&amp;"|"&amp;$O1634&amp;"|"&amp;$P1634&amp;"|"&amp;$Q1634&amp;"|"&amp;$K1634,PARAMETRES!$J$43:$J$342,0))),""))</f>
        <v/>
      </c>
      <c r="S1634" s="35">
        <f>IF(OR($G1634="",$X1634&lt;&gt;"VALIDE"),"",IFERROR(LOOKUP(2,1/(($B734:$B1633=$B1634)*($G734:$G1633=$G1634)*($X734:$X1633="VALIDE")),$C734:$C1633),""))</f>
        <v/>
      </c>
      <c r="T1634" s="36">
        <f>IF(OR($C1634="",$S1634=""),"",ROUND(($C1634-$S1634+IF($C1634&lt;$S1634,1,0))*1440,0))</f>
        <v/>
      </c>
      <c r="U1634" s="22">
        <f>IF(OR($H1634="",$T1634="",$T1634&lt;=0),"",$H1634*60/$T1634)</f>
        <v/>
      </c>
      <c r="V1634" s="37">
        <f>IF(OR($U1634="",$R1634="",$R1634=0),"",$U1634/$R1634)</f>
        <v/>
      </c>
      <c r="W1634" s="20">
        <f>IF($G1634="","",IF($X1634="CONTEXTE INCOMPLET","CONTEXTE INCOMPLET",IF($X1634="DOUBLON",StatutDoublon,IF($S1634="",StatutInitial,IF($R1634="",StatutStandardManquant,IF($V1634="","DONNEES INSUFFISANTES",IF($V1634&gt;=SeuilConforme,StatutConforme,IF($V1634&gt;=SeuilSurveiller,StatutSurveiller,StatutSousStandard))))))))</f>
        <v/>
      </c>
      <c r="X1634" s="33">
        <f>IF($G1634="","",IF(OR($D1634="",$E1634="",$F1634=""),"CONTEXTE INCOMPLET",IF(COUNTIFS($D734:$D1633,$D1634,$E734:$E1633,$E1634,$F734:$F1633,$F1634,$G734:$G1633,$G1634)&gt;0,"DOUBLON","VALIDE")))</f>
        <v/>
      </c>
    </row>
    <row r="1635" ht="15" customHeight="1">
      <c r="A1635" s="12">
        <f>IF(OR($B1635="",$G1635=""),"",TEXT($B1635,"YYYYMMDD")&amp;"-"&amp;SUBSTITUTE($E1635," ","")&amp;"-"&amp;$F1635&amp;"-"&amp;$G1635)</f>
        <v/>
      </c>
      <c r="B1635" s="15" t="n"/>
      <c r="C1635" s="16" t="n"/>
      <c r="D1635" s="10" t="n"/>
      <c r="E1635" s="9" t="n"/>
      <c r="F1635" s="9" t="n"/>
      <c r="G1635" s="13" t="n"/>
      <c r="H1635" s="21" t="n"/>
      <c r="I1635" s="21" t="n"/>
      <c r="J1635" s="17">
        <f>IF($G1635="","",IFERROR(INDEX(NomsEmployes,MATCH($G1635,MatriculesEmployes,0)),"MATRICULE INCONNU"))</f>
        <v/>
      </c>
      <c r="K1635" s="33">
        <f>IF(OR($D1635="",$F1635=""),"",IFERROR(IF(INDEX(RUNS!$L$6:$S$1005,MATCH($D1635,RUNS!$A$6:$A$1005,0),MATCH("ACTIVITÉ "&amp;$F1635,RUNS!$L$5:$S$5,0))="","",INDEX(RUNS!$L$6:$S$1005,MATCH($D1635,RUNS!$A$6:$A$1005,0),MATCH("ACTIVITÉ "&amp;$F1635,RUNS!$L$5:$S$5,0))),""))</f>
        <v/>
      </c>
      <c r="L1635" s="33">
        <f>IF($D1635="","",IFERROR(IF(INDEX(RUNS!$E$6:$E$1005,MATCH($D1635,RUNS!$A$6:$A$1005,0))="","",INDEX(RUNS!$E$6:$E$1005,MATCH($D1635,RUNS!$A$6:$A$1005,0))),""))</f>
        <v/>
      </c>
      <c r="M1635" s="33">
        <f>IF($D1635="","",IFERROR(IF(INDEX(RUNS!$F$6:$F$1005,MATCH($D1635,RUNS!$A$6:$A$1005,0))="","",INDEX(RUNS!$F$6:$F$1005,MATCH($D1635,RUNS!$A$6:$A$1005,0))),""))</f>
        <v/>
      </c>
      <c r="N1635" s="33">
        <f>IF($D1635="","",IFERROR(IF(INDEX(RUNS!$G$6:$G$1005,MATCH($D1635,RUNS!$A$6:$A$1005,0))="","",INDEX(RUNS!$G$6:$G$1005,MATCH($D1635,RUNS!$A$6:$A$1005,0))),""))</f>
        <v/>
      </c>
      <c r="O1635" s="33">
        <f>IF($D1635="","",IFERROR(IF(INDEX(RUNS!$H$6:$H$1005,MATCH($D1635,RUNS!$A$6:$A$1005,0))="","",INDEX(RUNS!$H$6:$H$1005,MATCH($D1635,RUNS!$A$6:$A$1005,0))),""))</f>
        <v/>
      </c>
      <c r="P1635" s="33">
        <f>IF($D1635="","",IFERROR(IF(INDEX(RUNS!$J$6:$J$1005,MATCH($D1635,RUNS!$A$6:$A$1005,0))="","",INDEX(RUNS!$J$6:$J$1005,MATCH($D1635,RUNS!$A$6:$A$1005,0))),""))</f>
        <v/>
      </c>
      <c r="Q1635" s="33">
        <f>IF($D1635="","",IFERROR(IF(INDEX(RUNS!$K$6:$K$1005,MATCH($D1635,RUNS!$A$6:$A$1005,0))="","",INDEX(RUNS!$K$6:$K$1005,MATCH($D1635,RUNS!$A$6:$A$1005,0))),""))</f>
        <v/>
      </c>
      <c r="R1635" s="34">
        <f>IF(OR($L1635="",$K1635=""),"",IFERROR(IF(INDEX(PARAMETRES!$H$43:$H$342,MATCH($L1635&amp;"|"&amp;$M1635&amp;"|"&amp;$N1635&amp;"|"&amp;$O1635&amp;"|"&amp;$P1635&amp;"|"&amp;$Q1635&amp;"|"&amp;$K1635,PARAMETRES!$J$43:$J$342,0))="","",INDEX(PARAMETRES!$H$43:$H$342,MATCH($L1635&amp;"|"&amp;$M1635&amp;"|"&amp;$N1635&amp;"|"&amp;$O1635&amp;"|"&amp;$P1635&amp;"|"&amp;$Q1635&amp;"|"&amp;$K1635,PARAMETRES!$J$43:$J$342,0))),""))</f>
        <v/>
      </c>
      <c r="S1635" s="35">
        <f>IF(OR($G1635="",$X1635&lt;&gt;"VALIDE"),"",IFERROR(LOOKUP(2,1/(($B735:$B1634=$B1635)*($G735:$G1634=$G1635)*($X735:$X1634="VALIDE")),$C735:$C1634),""))</f>
        <v/>
      </c>
      <c r="T1635" s="36">
        <f>IF(OR($C1635="",$S1635=""),"",ROUND(($C1635-$S1635+IF($C1635&lt;$S1635,1,0))*1440,0))</f>
        <v/>
      </c>
      <c r="U1635" s="22">
        <f>IF(OR($H1635="",$T1635="",$T1635&lt;=0),"",$H1635*60/$T1635)</f>
        <v/>
      </c>
      <c r="V1635" s="37">
        <f>IF(OR($U1635="",$R1635="",$R1635=0),"",$U1635/$R1635)</f>
        <v/>
      </c>
      <c r="W1635" s="20">
        <f>IF($G1635="","",IF($X1635="CONTEXTE INCOMPLET","CONTEXTE INCOMPLET",IF($X1635="DOUBLON",StatutDoublon,IF($S1635="",StatutInitial,IF($R1635="",StatutStandardManquant,IF($V1635="","DONNEES INSUFFISANTES",IF($V1635&gt;=SeuilConforme,StatutConforme,IF($V1635&gt;=SeuilSurveiller,StatutSurveiller,StatutSousStandard))))))))</f>
        <v/>
      </c>
      <c r="X1635" s="33">
        <f>IF($G1635="","",IF(OR($D1635="",$E1635="",$F1635=""),"CONTEXTE INCOMPLET",IF(COUNTIFS($D735:$D1634,$D1635,$E735:$E1634,$E1635,$F735:$F1634,$F1635,$G735:$G1634,$G1635)&gt;0,"DOUBLON","VALIDE")))</f>
        <v/>
      </c>
    </row>
    <row r="1636" ht="15" customHeight="1">
      <c r="A1636" s="12">
        <f>IF(OR($B1636="",$G1636=""),"",TEXT($B1636,"YYYYMMDD")&amp;"-"&amp;SUBSTITUTE($E1636," ","")&amp;"-"&amp;$F1636&amp;"-"&amp;$G1636)</f>
        <v/>
      </c>
      <c r="B1636" s="15" t="n"/>
      <c r="C1636" s="16" t="n"/>
      <c r="D1636" s="10" t="n"/>
      <c r="E1636" s="9" t="n"/>
      <c r="F1636" s="9" t="n"/>
      <c r="G1636" s="13" t="n"/>
      <c r="H1636" s="21" t="n"/>
      <c r="I1636" s="21" t="n"/>
      <c r="J1636" s="17">
        <f>IF($G1636="","",IFERROR(INDEX(NomsEmployes,MATCH($G1636,MatriculesEmployes,0)),"MATRICULE INCONNU"))</f>
        <v/>
      </c>
      <c r="K1636" s="33">
        <f>IF(OR($D1636="",$F1636=""),"",IFERROR(IF(INDEX(RUNS!$L$6:$S$1005,MATCH($D1636,RUNS!$A$6:$A$1005,0),MATCH("ACTIVITÉ "&amp;$F1636,RUNS!$L$5:$S$5,0))="","",INDEX(RUNS!$L$6:$S$1005,MATCH($D1636,RUNS!$A$6:$A$1005,0),MATCH("ACTIVITÉ "&amp;$F1636,RUNS!$L$5:$S$5,0))),""))</f>
        <v/>
      </c>
      <c r="L1636" s="33">
        <f>IF($D1636="","",IFERROR(IF(INDEX(RUNS!$E$6:$E$1005,MATCH($D1636,RUNS!$A$6:$A$1005,0))="","",INDEX(RUNS!$E$6:$E$1005,MATCH($D1636,RUNS!$A$6:$A$1005,0))),""))</f>
        <v/>
      </c>
      <c r="M1636" s="33">
        <f>IF($D1636="","",IFERROR(IF(INDEX(RUNS!$F$6:$F$1005,MATCH($D1636,RUNS!$A$6:$A$1005,0))="","",INDEX(RUNS!$F$6:$F$1005,MATCH($D1636,RUNS!$A$6:$A$1005,0))),""))</f>
        <v/>
      </c>
      <c r="N1636" s="33">
        <f>IF($D1636="","",IFERROR(IF(INDEX(RUNS!$G$6:$G$1005,MATCH($D1636,RUNS!$A$6:$A$1005,0))="","",INDEX(RUNS!$G$6:$G$1005,MATCH($D1636,RUNS!$A$6:$A$1005,0))),""))</f>
        <v/>
      </c>
      <c r="O1636" s="33">
        <f>IF($D1636="","",IFERROR(IF(INDEX(RUNS!$H$6:$H$1005,MATCH($D1636,RUNS!$A$6:$A$1005,0))="","",INDEX(RUNS!$H$6:$H$1005,MATCH($D1636,RUNS!$A$6:$A$1005,0))),""))</f>
        <v/>
      </c>
      <c r="P1636" s="33">
        <f>IF($D1636="","",IFERROR(IF(INDEX(RUNS!$J$6:$J$1005,MATCH($D1636,RUNS!$A$6:$A$1005,0))="","",INDEX(RUNS!$J$6:$J$1005,MATCH($D1636,RUNS!$A$6:$A$1005,0))),""))</f>
        <v/>
      </c>
      <c r="Q1636" s="33">
        <f>IF($D1636="","",IFERROR(IF(INDEX(RUNS!$K$6:$K$1005,MATCH($D1636,RUNS!$A$6:$A$1005,0))="","",INDEX(RUNS!$K$6:$K$1005,MATCH($D1636,RUNS!$A$6:$A$1005,0))),""))</f>
        <v/>
      </c>
      <c r="R1636" s="34">
        <f>IF(OR($L1636="",$K1636=""),"",IFERROR(IF(INDEX(PARAMETRES!$H$43:$H$342,MATCH($L1636&amp;"|"&amp;$M1636&amp;"|"&amp;$N1636&amp;"|"&amp;$O1636&amp;"|"&amp;$P1636&amp;"|"&amp;$Q1636&amp;"|"&amp;$K1636,PARAMETRES!$J$43:$J$342,0))="","",INDEX(PARAMETRES!$H$43:$H$342,MATCH($L1636&amp;"|"&amp;$M1636&amp;"|"&amp;$N1636&amp;"|"&amp;$O1636&amp;"|"&amp;$P1636&amp;"|"&amp;$Q1636&amp;"|"&amp;$K1636,PARAMETRES!$J$43:$J$342,0))),""))</f>
        <v/>
      </c>
      <c r="S1636" s="35">
        <f>IF(OR($G1636="",$X1636&lt;&gt;"VALIDE"),"",IFERROR(LOOKUP(2,1/(($B736:$B1635=$B1636)*($G736:$G1635=$G1636)*($X736:$X1635="VALIDE")),$C736:$C1635),""))</f>
        <v/>
      </c>
      <c r="T1636" s="36">
        <f>IF(OR($C1636="",$S1636=""),"",ROUND(($C1636-$S1636+IF($C1636&lt;$S1636,1,0))*1440,0))</f>
        <v/>
      </c>
      <c r="U1636" s="22">
        <f>IF(OR($H1636="",$T1636="",$T1636&lt;=0),"",$H1636*60/$T1636)</f>
        <v/>
      </c>
      <c r="V1636" s="37">
        <f>IF(OR($U1636="",$R1636="",$R1636=0),"",$U1636/$R1636)</f>
        <v/>
      </c>
      <c r="W1636" s="20">
        <f>IF($G1636="","",IF($X1636="CONTEXTE INCOMPLET","CONTEXTE INCOMPLET",IF($X1636="DOUBLON",StatutDoublon,IF($S1636="",StatutInitial,IF($R1636="",StatutStandardManquant,IF($V1636="","DONNEES INSUFFISANTES",IF($V1636&gt;=SeuilConforme,StatutConforme,IF($V1636&gt;=SeuilSurveiller,StatutSurveiller,StatutSousStandard))))))))</f>
        <v/>
      </c>
      <c r="X1636" s="33">
        <f>IF($G1636="","",IF(OR($D1636="",$E1636="",$F1636=""),"CONTEXTE INCOMPLET",IF(COUNTIFS($D736:$D1635,$D1636,$E736:$E1635,$E1636,$F736:$F1635,$F1636,$G736:$G1635,$G1636)&gt;0,"DOUBLON","VALIDE")))</f>
        <v/>
      </c>
    </row>
    <row r="1637" ht="15" customHeight="1">
      <c r="A1637" s="12">
        <f>IF(OR($B1637="",$G1637=""),"",TEXT($B1637,"YYYYMMDD")&amp;"-"&amp;SUBSTITUTE($E1637," ","")&amp;"-"&amp;$F1637&amp;"-"&amp;$G1637)</f>
        <v/>
      </c>
      <c r="B1637" s="15" t="n"/>
      <c r="C1637" s="16" t="n"/>
      <c r="D1637" s="10" t="n"/>
      <c r="E1637" s="9" t="n"/>
      <c r="F1637" s="9" t="n"/>
      <c r="G1637" s="13" t="n"/>
      <c r="H1637" s="21" t="n"/>
      <c r="I1637" s="21" t="n"/>
      <c r="J1637" s="17">
        <f>IF($G1637="","",IFERROR(INDEX(NomsEmployes,MATCH($G1637,MatriculesEmployes,0)),"MATRICULE INCONNU"))</f>
        <v/>
      </c>
      <c r="K1637" s="33">
        <f>IF(OR($D1637="",$F1637=""),"",IFERROR(IF(INDEX(RUNS!$L$6:$S$1005,MATCH($D1637,RUNS!$A$6:$A$1005,0),MATCH("ACTIVITÉ "&amp;$F1637,RUNS!$L$5:$S$5,0))="","",INDEX(RUNS!$L$6:$S$1005,MATCH($D1637,RUNS!$A$6:$A$1005,0),MATCH("ACTIVITÉ "&amp;$F1637,RUNS!$L$5:$S$5,0))),""))</f>
        <v/>
      </c>
      <c r="L1637" s="33">
        <f>IF($D1637="","",IFERROR(IF(INDEX(RUNS!$E$6:$E$1005,MATCH($D1637,RUNS!$A$6:$A$1005,0))="","",INDEX(RUNS!$E$6:$E$1005,MATCH($D1637,RUNS!$A$6:$A$1005,0))),""))</f>
        <v/>
      </c>
      <c r="M1637" s="33">
        <f>IF($D1637="","",IFERROR(IF(INDEX(RUNS!$F$6:$F$1005,MATCH($D1637,RUNS!$A$6:$A$1005,0))="","",INDEX(RUNS!$F$6:$F$1005,MATCH($D1637,RUNS!$A$6:$A$1005,0))),""))</f>
        <v/>
      </c>
      <c r="N1637" s="33">
        <f>IF($D1637="","",IFERROR(IF(INDEX(RUNS!$G$6:$G$1005,MATCH($D1637,RUNS!$A$6:$A$1005,0))="","",INDEX(RUNS!$G$6:$G$1005,MATCH($D1637,RUNS!$A$6:$A$1005,0))),""))</f>
        <v/>
      </c>
      <c r="O1637" s="33">
        <f>IF($D1637="","",IFERROR(IF(INDEX(RUNS!$H$6:$H$1005,MATCH($D1637,RUNS!$A$6:$A$1005,0))="","",INDEX(RUNS!$H$6:$H$1005,MATCH($D1637,RUNS!$A$6:$A$1005,0))),""))</f>
        <v/>
      </c>
      <c r="P1637" s="33">
        <f>IF($D1637="","",IFERROR(IF(INDEX(RUNS!$J$6:$J$1005,MATCH($D1637,RUNS!$A$6:$A$1005,0))="","",INDEX(RUNS!$J$6:$J$1005,MATCH($D1637,RUNS!$A$6:$A$1005,0))),""))</f>
        <v/>
      </c>
      <c r="Q1637" s="33">
        <f>IF($D1637="","",IFERROR(IF(INDEX(RUNS!$K$6:$K$1005,MATCH($D1637,RUNS!$A$6:$A$1005,0))="","",INDEX(RUNS!$K$6:$K$1005,MATCH($D1637,RUNS!$A$6:$A$1005,0))),""))</f>
        <v/>
      </c>
      <c r="R1637" s="34">
        <f>IF(OR($L1637="",$K1637=""),"",IFERROR(IF(INDEX(PARAMETRES!$H$43:$H$342,MATCH($L1637&amp;"|"&amp;$M1637&amp;"|"&amp;$N1637&amp;"|"&amp;$O1637&amp;"|"&amp;$P1637&amp;"|"&amp;$Q1637&amp;"|"&amp;$K1637,PARAMETRES!$J$43:$J$342,0))="","",INDEX(PARAMETRES!$H$43:$H$342,MATCH($L1637&amp;"|"&amp;$M1637&amp;"|"&amp;$N1637&amp;"|"&amp;$O1637&amp;"|"&amp;$P1637&amp;"|"&amp;$Q1637&amp;"|"&amp;$K1637,PARAMETRES!$J$43:$J$342,0))),""))</f>
        <v/>
      </c>
      <c r="S1637" s="35">
        <f>IF(OR($G1637="",$X1637&lt;&gt;"VALIDE"),"",IFERROR(LOOKUP(2,1/(($B737:$B1636=$B1637)*($G737:$G1636=$G1637)*($X737:$X1636="VALIDE")),$C737:$C1636),""))</f>
        <v/>
      </c>
      <c r="T1637" s="36">
        <f>IF(OR($C1637="",$S1637=""),"",ROUND(($C1637-$S1637+IF($C1637&lt;$S1637,1,0))*1440,0))</f>
        <v/>
      </c>
      <c r="U1637" s="22">
        <f>IF(OR($H1637="",$T1637="",$T1637&lt;=0),"",$H1637*60/$T1637)</f>
        <v/>
      </c>
      <c r="V1637" s="37">
        <f>IF(OR($U1637="",$R1637="",$R1637=0),"",$U1637/$R1637)</f>
        <v/>
      </c>
      <c r="W1637" s="20">
        <f>IF($G1637="","",IF($X1637="CONTEXTE INCOMPLET","CONTEXTE INCOMPLET",IF($X1637="DOUBLON",StatutDoublon,IF($S1637="",StatutInitial,IF($R1637="",StatutStandardManquant,IF($V1637="","DONNEES INSUFFISANTES",IF($V1637&gt;=SeuilConforme,StatutConforme,IF($V1637&gt;=SeuilSurveiller,StatutSurveiller,StatutSousStandard))))))))</f>
        <v/>
      </c>
      <c r="X1637" s="33">
        <f>IF($G1637="","",IF(OR($D1637="",$E1637="",$F1637=""),"CONTEXTE INCOMPLET",IF(COUNTIFS($D737:$D1636,$D1637,$E737:$E1636,$E1637,$F737:$F1636,$F1637,$G737:$G1636,$G1637)&gt;0,"DOUBLON","VALIDE")))</f>
        <v/>
      </c>
    </row>
    <row r="1638" ht="15" customHeight="1">
      <c r="A1638" s="12">
        <f>IF(OR($B1638="",$G1638=""),"",TEXT($B1638,"YYYYMMDD")&amp;"-"&amp;SUBSTITUTE($E1638," ","")&amp;"-"&amp;$F1638&amp;"-"&amp;$G1638)</f>
        <v/>
      </c>
      <c r="B1638" s="15" t="n"/>
      <c r="C1638" s="16" t="n"/>
      <c r="D1638" s="10" t="n"/>
      <c r="E1638" s="9" t="n"/>
      <c r="F1638" s="9" t="n"/>
      <c r="G1638" s="13" t="n"/>
      <c r="H1638" s="21" t="n"/>
      <c r="I1638" s="21" t="n"/>
      <c r="J1638" s="17">
        <f>IF($G1638="","",IFERROR(INDEX(NomsEmployes,MATCH($G1638,MatriculesEmployes,0)),"MATRICULE INCONNU"))</f>
        <v/>
      </c>
      <c r="K1638" s="33">
        <f>IF(OR($D1638="",$F1638=""),"",IFERROR(IF(INDEX(RUNS!$L$6:$S$1005,MATCH($D1638,RUNS!$A$6:$A$1005,0),MATCH("ACTIVITÉ "&amp;$F1638,RUNS!$L$5:$S$5,0))="","",INDEX(RUNS!$L$6:$S$1005,MATCH($D1638,RUNS!$A$6:$A$1005,0),MATCH("ACTIVITÉ "&amp;$F1638,RUNS!$L$5:$S$5,0))),""))</f>
        <v/>
      </c>
      <c r="L1638" s="33">
        <f>IF($D1638="","",IFERROR(IF(INDEX(RUNS!$E$6:$E$1005,MATCH($D1638,RUNS!$A$6:$A$1005,0))="","",INDEX(RUNS!$E$6:$E$1005,MATCH($D1638,RUNS!$A$6:$A$1005,0))),""))</f>
        <v/>
      </c>
      <c r="M1638" s="33">
        <f>IF($D1638="","",IFERROR(IF(INDEX(RUNS!$F$6:$F$1005,MATCH($D1638,RUNS!$A$6:$A$1005,0))="","",INDEX(RUNS!$F$6:$F$1005,MATCH($D1638,RUNS!$A$6:$A$1005,0))),""))</f>
        <v/>
      </c>
      <c r="N1638" s="33">
        <f>IF($D1638="","",IFERROR(IF(INDEX(RUNS!$G$6:$G$1005,MATCH($D1638,RUNS!$A$6:$A$1005,0))="","",INDEX(RUNS!$G$6:$G$1005,MATCH($D1638,RUNS!$A$6:$A$1005,0))),""))</f>
        <v/>
      </c>
      <c r="O1638" s="33">
        <f>IF($D1638="","",IFERROR(IF(INDEX(RUNS!$H$6:$H$1005,MATCH($D1638,RUNS!$A$6:$A$1005,0))="","",INDEX(RUNS!$H$6:$H$1005,MATCH($D1638,RUNS!$A$6:$A$1005,0))),""))</f>
        <v/>
      </c>
      <c r="P1638" s="33">
        <f>IF($D1638="","",IFERROR(IF(INDEX(RUNS!$J$6:$J$1005,MATCH($D1638,RUNS!$A$6:$A$1005,0))="","",INDEX(RUNS!$J$6:$J$1005,MATCH($D1638,RUNS!$A$6:$A$1005,0))),""))</f>
        <v/>
      </c>
      <c r="Q1638" s="33">
        <f>IF($D1638="","",IFERROR(IF(INDEX(RUNS!$K$6:$K$1005,MATCH($D1638,RUNS!$A$6:$A$1005,0))="","",INDEX(RUNS!$K$6:$K$1005,MATCH($D1638,RUNS!$A$6:$A$1005,0))),""))</f>
        <v/>
      </c>
      <c r="R1638" s="34">
        <f>IF(OR($L1638="",$K1638=""),"",IFERROR(IF(INDEX(PARAMETRES!$H$43:$H$342,MATCH($L1638&amp;"|"&amp;$M1638&amp;"|"&amp;$N1638&amp;"|"&amp;$O1638&amp;"|"&amp;$P1638&amp;"|"&amp;$Q1638&amp;"|"&amp;$K1638,PARAMETRES!$J$43:$J$342,0))="","",INDEX(PARAMETRES!$H$43:$H$342,MATCH($L1638&amp;"|"&amp;$M1638&amp;"|"&amp;$N1638&amp;"|"&amp;$O1638&amp;"|"&amp;$P1638&amp;"|"&amp;$Q1638&amp;"|"&amp;$K1638,PARAMETRES!$J$43:$J$342,0))),""))</f>
        <v/>
      </c>
      <c r="S1638" s="35">
        <f>IF(OR($G1638="",$X1638&lt;&gt;"VALIDE"),"",IFERROR(LOOKUP(2,1/(($B738:$B1637=$B1638)*($G738:$G1637=$G1638)*($X738:$X1637="VALIDE")),$C738:$C1637),""))</f>
        <v/>
      </c>
      <c r="T1638" s="36">
        <f>IF(OR($C1638="",$S1638=""),"",ROUND(($C1638-$S1638+IF($C1638&lt;$S1638,1,0))*1440,0))</f>
        <v/>
      </c>
      <c r="U1638" s="22">
        <f>IF(OR($H1638="",$T1638="",$T1638&lt;=0),"",$H1638*60/$T1638)</f>
        <v/>
      </c>
      <c r="V1638" s="37">
        <f>IF(OR($U1638="",$R1638="",$R1638=0),"",$U1638/$R1638)</f>
        <v/>
      </c>
      <c r="W1638" s="20">
        <f>IF($G1638="","",IF($X1638="CONTEXTE INCOMPLET","CONTEXTE INCOMPLET",IF($X1638="DOUBLON",StatutDoublon,IF($S1638="",StatutInitial,IF($R1638="",StatutStandardManquant,IF($V1638="","DONNEES INSUFFISANTES",IF($V1638&gt;=SeuilConforme,StatutConforme,IF($V1638&gt;=SeuilSurveiller,StatutSurveiller,StatutSousStandard))))))))</f>
        <v/>
      </c>
      <c r="X1638" s="33">
        <f>IF($G1638="","",IF(OR($D1638="",$E1638="",$F1638=""),"CONTEXTE INCOMPLET",IF(COUNTIFS($D738:$D1637,$D1638,$E738:$E1637,$E1638,$F738:$F1637,$F1638,$G738:$G1637,$G1638)&gt;0,"DOUBLON","VALIDE")))</f>
        <v/>
      </c>
    </row>
    <row r="1639" ht="15" customHeight="1">
      <c r="A1639" s="12">
        <f>IF(OR($B1639="",$G1639=""),"",TEXT($B1639,"YYYYMMDD")&amp;"-"&amp;SUBSTITUTE($E1639," ","")&amp;"-"&amp;$F1639&amp;"-"&amp;$G1639)</f>
        <v/>
      </c>
      <c r="B1639" s="15" t="n"/>
      <c r="C1639" s="16" t="n"/>
      <c r="D1639" s="10" t="n"/>
      <c r="E1639" s="9" t="n"/>
      <c r="F1639" s="9" t="n"/>
      <c r="G1639" s="13" t="n"/>
      <c r="H1639" s="21" t="n"/>
      <c r="I1639" s="21" t="n"/>
      <c r="J1639" s="17">
        <f>IF($G1639="","",IFERROR(INDEX(NomsEmployes,MATCH($G1639,MatriculesEmployes,0)),"MATRICULE INCONNU"))</f>
        <v/>
      </c>
      <c r="K1639" s="33">
        <f>IF(OR($D1639="",$F1639=""),"",IFERROR(IF(INDEX(RUNS!$L$6:$S$1005,MATCH($D1639,RUNS!$A$6:$A$1005,0),MATCH("ACTIVITÉ "&amp;$F1639,RUNS!$L$5:$S$5,0))="","",INDEX(RUNS!$L$6:$S$1005,MATCH($D1639,RUNS!$A$6:$A$1005,0),MATCH("ACTIVITÉ "&amp;$F1639,RUNS!$L$5:$S$5,0))),""))</f>
        <v/>
      </c>
      <c r="L1639" s="33">
        <f>IF($D1639="","",IFERROR(IF(INDEX(RUNS!$E$6:$E$1005,MATCH($D1639,RUNS!$A$6:$A$1005,0))="","",INDEX(RUNS!$E$6:$E$1005,MATCH($D1639,RUNS!$A$6:$A$1005,0))),""))</f>
        <v/>
      </c>
      <c r="M1639" s="33">
        <f>IF($D1639="","",IFERROR(IF(INDEX(RUNS!$F$6:$F$1005,MATCH($D1639,RUNS!$A$6:$A$1005,0))="","",INDEX(RUNS!$F$6:$F$1005,MATCH($D1639,RUNS!$A$6:$A$1005,0))),""))</f>
        <v/>
      </c>
      <c r="N1639" s="33">
        <f>IF($D1639="","",IFERROR(IF(INDEX(RUNS!$G$6:$G$1005,MATCH($D1639,RUNS!$A$6:$A$1005,0))="","",INDEX(RUNS!$G$6:$G$1005,MATCH($D1639,RUNS!$A$6:$A$1005,0))),""))</f>
        <v/>
      </c>
      <c r="O1639" s="33">
        <f>IF($D1639="","",IFERROR(IF(INDEX(RUNS!$H$6:$H$1005,MATCH($D1639,RUNS!$A$6:$A$1005,0))="","",INDEX(RUNS!$H$6:$H$1005,MATCH($D1639,RUNS!$A$6:$A$1005,0))),""))</f>
        <v/>
      </c>
      <c r="P1639" s="33">
        <f>IF($D1639="","",IFERROR(IF(INDEX(RUNS!$J$6:$J$1005,MATCH($D1639,RUNS!$A$6:$A$1005,0))="","",INDEX(RUNS!$J$6:$J$1005,MATCH($D1639,RUNS!$A$6:$A$1005,0))),""))</f>
        <v/>
      </c>
      <c r="Q1639" s="33">
        <f>IF($D1639="","",IFERROR(IF(INDEX(RUNS!$K$6:$K$1005,MATCH($D1639,RUNS!$A$6:$A$1005,0))="","",INDEX(RUNS!$K$6:$K$1005,MATCH($D1639,RUNS!$A$6:$A$1005,0))),""))</f>
        <v/>
      </c>
      <c r="R1639" s="34">
        <f>IF(OR($L1639="",$K1639=""),"",IFERROR(IF(INDEX(PARAMETRES!$H$43:$H$342,MATCH($L1639&amp;"|"&amp;$M1639&amp;"|"&amp;$N1639&amp;"|"&amp;$O1639&amp;"|"&amp;$P1639&amp;"|"&amp;$Q1639&amp;"|"&amp;$K1639,PARAMETRES!$J$43:$J$342,0))="","",INDEX(PARAMETRES!$H$43:$H$342,MATCH($L1639&amp;"|"&amp;$M1639&amp;"|"&amp;$N1639&amp;"|"&amp;$O1639&amp;"|"&amp;$P1639&amp;"|"&amp;$Q1639&amp;"|"&amp;$K1639,PARAMETRES!$J$43:$J$342,0))),""))</f>
        <v/>
      </c>
      <c r="S1639" s="35">
        <f>IF(OR($G1639="",$X1639&lt;&gt;"VALIDE"),"",IFERROR(LOOKUP(2,1/(($B739:$B1638=$B1639)*($G739:$G1638=$G1639)*($X739:$X1638="VALIDE")),$C739:$C1638),""))</f>
        <v/>
      </c>
      <c r="T1639" s="36">
        <f>IF(OR($C1639="",$S1639=""),"",ROUND(($C1639-$S1639+IF($C1639&lt;$S1639,1,0))*1440,0))</f>
        <v/>
      </c>
      <c r="U1639" s="22">
        <f>IF(OR($H1639="",$T1639="",$T1639&lt;=0),"",$H1639*60/$T1639)</f>
        <v/>
      </c>
      <c r="V1639" s="37">
        <f>IF(OR($U1639="",$R1639="",$R1639=0),"",$U1639/$R1639)</f>
        <v/>
      </c>
      <c r="W1639" s="20">
        <f>IF($G1639="","",IF($X1639="CONTEXTE INCOMPLET","CONTEXTE INCOMPLET",IF($X1639="DOUBLON",StatutDoublon,IF($S1639="",StatutInitial,IF($R1639="",StatutStandardManquant,IF($V1639="","DONNEES INSUFFISANTES",IF($V1639&gt;=SeuilConforme,StatutConforme,IF($V1639&gt;=SeuilSurveiller,StatutSurveiller,StatutSousStandard))))))))</f>
        <v/>
      </c>
      <c r="X1639" s="33">
        <f>IF($G1639="","",IF(OR($D1639="",$E1639="",$F1639=""),"CONTEXTE INCOMPLET",IF(COUNTIFS($D739:$D1638,$D1639,$E739:$E1638,$E1639,$F739:$F1638,$F1639,$G739:$G1638,$G1639)&gt;0,"DOUBLON","VALIDE")))</f>
        <v/>
      </c>
    </row>
    <row r="1640" ht="15" customHeight="1">
      <c r="A1640" s="12">
        <f>IF(OR($B1640="",$G1640=""),"",TEXT($B1640,"YYYYMMDD")&amp;"-"&amp;SUBSTITUTE($E1640," ","")&amp;"-"&amp;$F1640&amp;"-"&amp;$G1640)</f>
        <v/>
      </c>
      <c r="B1640" s="15" t="n"/>
      <c r="C1640" s="16" t="n"/>
      <c r="D1640" s="10" t="n"/>
      <c r="E1640" s="9" t="n"/>
      <c r="F1640" s="9" t="n"/>
      <c r="G1640" s="13" t="n"/>
      <c r="H1640" s="21" t="n"/>
      <c r="I1640" s="21" t="n"/>
      <c r="J1640" s="17">
        <f>IF($G1640="","",IFERROR(INDEX(NomsEmployes,MATCH($G1640,MatriculesEmployes,0)),"MATRICULE INCONNU"))</f>
        <v/>
      </c>
      <c r="K1640" s="33">
        <f>IF(OR($D1640="",$F1640=""),"",IFERROR(IF(INDEX(RUNS!$L$6:$S$1005,MATCH($D1640,RUNS!$A$6:$A$1005,0),MATCH("ACTIVITÉ "&amp;$F1640,RUNS!$L$5:$S$5,0))="","",INDEX(RUNS!$L$6:$S$1005,MATCH($D1640,RUNS!$A$6:$A$1005,0),MATCH("ACTIVITÉ "&amp;$F1640,RUNS!$L$5:$S$5,0))),""))</f>
        <v/>
      </c>
      <c r="L1640" s="33">
        <f>IF($D1640="","",IFERROR(IF(INDEX(RUNS!$E$6:$E$1005,MATCH($D1640,RUNS!$A$6:$A$1005,0))="","",INDEX(RUNS!$E$6:$E$1005,MATCH($D1640,RUNS!$A$6:$A$1005,0))),""))</f>
        <v/>
      </c>
      <c r="M1640" s="33">
        <f>IF($D1640="","",IFERROR(IF(INDEX(RUNS!$F$6:$F$1005,MATCH($D1640,RUNS!$A$6:$A$1005,0))="","",INDEX(RUNS!$F$6:$F$1005,MATCH($D1640,RUNS!$A$6:$A$1005,0))),""))</f>
        <v/>
      </c>
      <c r="N1640" s="33">
        <f>IF($D1640="","",IFERROR(IF(INDEX(RUNS!$G$6:$G$1005,MATCH($D1640,RUNS!$A$6:$A$1005,0))="","",INDEX(RUNS!$G$6:$G$1005,MATCH($D1640,RUNS!$A$6:$A$1005,0))),""))</f>
        <v/>
      </c>
      <c r="O1640" s="33">
        <f>IF($D1640="","",IFERROR(IF(INDEX(RUNS!$H$6:$H$1005,MATCH($D1640,RUNS!$A$6:$A$1005,0))="","",INDEX(RUNS!$H$6:$H$1005,MATCH($D1640,RUNS!$A$6:$A$1005,0))),""))</f>
        <v/>
      </c>
      <c r="P1640" s="33">
        <f>IF($D1640="","",IFERROR(IF(INDEX(RUNS!$J$6:$J$1005,MATCH($D1640,RUNS!$A$6:$A$1005,0))="","",INDEX(RUNS!$J$6:$J$1005,MATCH($D1640,RUNS!$A$6:$A$1005,0))),""))</f>
        <v/>
      </c>
      <c r="Q1640" s="33">
        <f>IF($D1640="","",IFERROR(IF(INDEX(RUNS!$K$6:$K$1005,MATCH($D1640,RUNS!$A$6:$A$1005,0))="","",INDEX(RUNS!$K$6:$K$1005,MATCH($D1640,RUNS!$A$6:$A$1005,0))),""))</f>
        <v/>
      </c>
      <c r="R1640" s="34">
        <f>IF(OR($L1640="",$K1640=""),"",IFERROR(IF(INDEX(PARAMETRES!$H$43:$H$342,MATCH($L1640&amp;"|"&amp;$M1640&amp;"|"&amp;$N1640&amp;"|"&amp;$O1640&amp;"|"&amp;$P1640&amp;"|"&amp;$Q1640&amp;"|"&amp;$K1640,PARAMETRES!$J$43:$J$342,0))="","",INDEX(PARAMETRES!$H$43:$H$342,MATCH($L1640&amp;"|"&amp;$M1640&amp;"|"&amp;$N1640&amp;"|"&amp;$O1640&amp;"|"&amp;$P1640&amp;"|"&amp;$Q1640&amp;"|"&amp;$K1640,PARAMETRES!$J$43:$J$342,0))),""))</f>
        <v/>
      </c>
      <c r="S1640" s="35">
        <f>IF(OR($G1640="",$X1640&lt;&gt;"VALIDE"),"",IFERROR(LOOKUP(2,1/(($B740:$B1639=$B1640)*($G740:$G1639=$G1640)*($X740:$X1639="VALIDE")),$C740:$C1639),""))</f>
        <v/>
      </c>
      <c r="T1640" s="36">
        <f>IF(OR($C1640="",$S1640=""),"",ROUND(($C1640-$S1640+IF($C1640&lt;$S1640,1,0))*1440,0))</f>
        <v/>
      </c>
      <c r="U1640" s="22">
        <f>IF(OR($H1640="",$T1640="",$T1640&lt;=0),"",$H1640*60/$T1640)</f>
        <v/>
      </c>
      <c r="V1640" s="37">
        <f>IF(OR($U1640="",$R1640="",$R1640=0),"",$U1640/$R1640)</f>
        <v/>
      </c>
      <c r="W1640" s="20">
        <f>IF($G1640="","",IF($X1640="CONTEXTE INCOMPLET","CONTEXTE INCOMPLET",IF($X1640="DOUBLON",StatutDoublon,IF($S1640="",StatutInitial,IF($R1640="",StatutStandardManquant,IF($V1640="","DONNEES INSUFFISANTES",IF($V1640&gt;=SeuilConforme,StatutConforme,IF($V1640&gt;=SeuilSurveiller,StatutSurveiller,StatutSousStandard))))))))</f>
        <v/>
      </c>
      <c r="X1640" s="33">
        <f>IF($G1640="","",IF(OR($D1640="",$E1640="",$F1640=""),"CONTEXTE INCOMPLET",IF(COUNTIFS($D740:$D1639,$D1640,$E740:$E1639,$E1640,$F740:$F1639,$F1640,$G740:$G1639,$G1640)&gt;0,"DOUBLON","VALIDE")))</f>
        <v/>
      </c>
    </row>
    <row r="1641" ht="15" customHeight="1">
      <c r="A1641" s="12">
        <f>IF(OR($B1641="",$G1641=""),"",TEXT($B1641,"YYYYMMDD")&amp;"-"&amp;SUBSTITUTE($E1641," ","")&amp;"-"&amp;$F1641&amp;"-"&amp;$G1641)</f>
        <v/>
      </c>
      <c r="B1641" s="15" t="n"/>
      <c r="C1641" s="16" t="n"/>
      <c r="D1641" s="10" t="n"/>
      <c r="E1641" s="9" t="n"/>
      <c r="F1641" s="9" t="n"/>
      <c r="G1641" s="13" t="n"/>
      <c r="H1641" s="21" t="n"/>
      <c r="I1641" s="21" t="n"/>
      <c r="J1641" s="17">
        <f>IF($G1641="","",IFERROR(INDEX(NomsEmployes,MATCH($G1641,MatriculesEmployes,0)),"MATRICULE INCONNU"))</f>
        <v/>
      </c>
      <c r="K1641" s="33">
        <f>IF(OR($D1641="",$F1641=""),"",IFERROR(IF(INDEX(RUNS!$L$6:$S$1005,MATCH($D1641,RUNS!$A$6:$A$1005,0),MATCH("ACTIVITÉ "&amp;$F1641,RUNS!$L$5:$S$5,0))="","",INDEX(RUNS!$L$6:$S$1005,MATCH($D1641,RUNS!$A$6:$A$1005,0),MATCH("ACTIVITÉ "&amp;$F1641,RUNS!$L$5:$S$5,0))),""))</f>
        <v/>
      </c>
      <c r="L1641" s="33">
        <f>IF($D1641="","",IFERROR(IF(INDEX(RUNS!$E$6:$E$1005,MATCH($D1641,RUNS!$A$6:$A$1005,0))="","",INDEX(RUNS!$E$6:$E$1005,MATCH($D1641,RUNS!$A$6:$A$1005,0))),""))</f>
        <v/>
      </c>
      <c r="M1641" s="33">
        <f>IF($D1641="","",IFERROR(IF(INDEX(RUNS!$F$6:$F$1005,MATCH($D1641,RUNS!$A$6:$A$1005,0))="","",INDEX(RUNS!$F$6:$F$1005,MATCH($D1641,RUNS!$A$6:$A$1005,0))),""))</f>
        <v/>
      </c>
      <c r="N1641" s="33">
        <f>IF($D1641="","",IFERROR(IF(INDEX(RUNS!$G$6:$G$1005,MATCH($D1641,RUNS!$A$6:$A$1005,0))="","",INDEX(RUNS!$G$6:$G$1005,MATCH($D1641,RUNS!$A$6:$A$1005,0))),""))</f>
        <v/>
      </c>
      <c r="O1641" s="33">
        <f>IF($D1641="","",IFERROR(IF(INDEX(RUNS!$H$6:$H$1005,MATCH($D1641,RUNS!$A$6:$A$1005,0))="","",INDEX(RUNS!$H$6:$H$1005,MATCH($D1641,RUNS!$A$6:$A$1005,0))),""))</f>
        <v/>
      </c>
      <c r="P1641" s="33">
        <f>IF($D1641="","",IFERROR(IF(INDEX(RUNS!$J$6:$J$1005,MATCH($D1641,RUNS!$A$6:$A$1005,0))="","",INDEX(RUNS!$J$6:$J$1005,MATCH($D1641,RUNS!$A$6:$A$1005,0))),""))</f>
        <v/>
      </c>
      <c r="Q1641" s="33">
        <f>IF($D1641="","",IFERROR(IF(INDEX(RUNS!$K$6:$K$1005,MATCH($D1641,RUNS!$A$6:$A$1005,0))="","",INDEX(RUNS!$K$6:$K$1005,MATCH($D1641,RUNS!$A$6:$A$1005,0))),""))</f>
        <v/>
      </c>
      <c r="R1641" s="34">
        <f>IF(OR($L1641="",$K1641=""),"",IFERROR(IF(INDEX(PARAMETRES!$H$43:$H$342,MATCH($L1641&amp;"|"&amp;$M1641&amp;"|"&amp;$N1641&amp;"|"&amp;$O1641&amp;"|"&amp;$P1641&amp;"|"&amp;$Q1641&amp;"|"&amp;$K1641,PARAMETRES!$J$43:$J$342,0))="","",INDEX(PARAMETRES!$H$43:$H$342,MATCH($L1641&amp;"|"&amp;$M1641&amp;"|"&amp;$N1641&amp;"|"&amp;$O1641&amp;"|"&amp;$P1641&amp;"|"&amp;$Q1641&amp;"|"&amp;$K1641,PARAMETRES!$J$43:$J$342,0))),""))</f>
        <v/>
      </c>
      <c r="S1641" s="35">
        <f>IF(OR($G1641="",$X1641&lt;&gt;"VALIDE"),"",IFERROR(LOOKUP(2,1/(($B741:$B1640=$B1641)*($G741:$G1640=$G1641)*($X741:$X1640="VALIDE")),$C741:$C1640),""))</f>
        <v/>
      </c>
      <c r="T1641" s="36">
        <f>IF(OR($C1641="",$S1641=""),"",ROUND(($C1641-$S1641+IF($C1641&lt;$S1641,1,0))*1440,0))</f>
        <v/>
      </c>
      <c r="U1641" s="22">
        <f>IF(OR($H1641="",$T1641="",$T1641&lt;=0),"",$H1641*60/$T1641)</f>
        <v/>
      </c>
      <c r="V1641" s="37">
        <f>IF(OR($U1641="",$R1641="",$R1641=0),"",$U1641/$R1641)</f>
        <v/>
      </c>
      <c r="W1641" s="20">
        <f>IF($G1641="","",IF($X1641="CONTEXTE INCOMPLET","CONTEXTE INCOMPLET",IF($X1641="DOUBLON",StatutDoublon,IF($S1641="",StatutInitial,IF($R1641="",StatutStandardManquant,IF($V1641="","DONNEES INSUFFISANTES",IF($V1641&gt;=SeuilConforme,StatutConforme,IF($V1641&gt;=SeuilSurveiller,StatutSurveiller,StatutSousStandard))))))))</f>
        <v/>
      </c>
      <c r="X1641" s="33">
        <f>IF($G1641="","",IF(OR($D1641="",$E1641="",$F1641=""),"CONTEXTE INCOMPLET",IF(COUNTIFS($D741:$D1640,$D1641,$E741:$E1640,$E1641,$F741:$F1640,$F1641,$G741:$G1640,$G1641)&gt;0,"DOUBLON","VALIDE")))</f>
        <v/>
      </c>
    </row>
    <row r="1642" ht="15" customHeight="1">
      <c r="A1642" s="12">
        <f>IF(OR($B1642="",$G1642=""),"",TEXT($B1642,"YYYYMMDD")&amp;"-"&amp;SUBSTITUTE($E1642," ","")&amp;"-"&amp;$F1642&amp;"-"&amp;$G1642)</f>
        <v/>
      </c>
      <c r="B1642" s="15" t="n"/>
      <c r="C1642" s="16" t="n"/>
      <c r="D1642" s="10" t="n"/>
      <c r="E1642" s="9" t="n"/>
      <c r="F1642" s="9" t="n"/>
      <c r="G1642" s="13" t="n"/>
      <c r="H1642" s="21" t="n"/>
      <c r="I1642" s="21" t="n"/>
      <c r="J1642" s="17">
        <f>IF($G1642="","",IFERROR(INDEX(NomsEmployes,MATCH($G1642,MatriculesEmployes,0)),"MATRICULE INCONNU"))</f>
        <v/>
      </c>
      <c r="K1642" s="33">
        <f>IF(OR($D1642="",$F1642=""),"",IFERROR(IF(INDEX(RUNS!$L$6:$S$1005,MATCH($D1642,RUNS!$A$6:$A$1005,0),MATCH("ACTIVITÉ "&amp;$F1642,RUNS!$L$5:$S$5,0))="","",INDEX(RUNS!$L$6:$S$1005,MATCH($D1642,RUNS!$A$6:$A$1005,0),MATCH("ACTIVITÉ "&amp;$F1642,RUNS!$L$5:$S$5,0))),""))</f>
        <v/>
      </c>
      <c r="L1642" s="33">
        <f>IF($D1642="","",IFERROR(IF(INDEX(RUNS!$E$6:$E$1005,MATCH($D1642,RUNS!$A$6:$A$1005,0))="","",INDEX(RUNS!$E$6:$E$1005,MATCH($D1642,RUNS!$A$6:$A$1005,0))),""))</f>
        <v/>
      </c>
      <c r="M1642" s="33">
        <f>IF($D1642="","",IFERROR(IF(INDEX(RUNS!$F$6:$F$1005,MATCH($D1642,RUNS!$A$6:$A$1005,0))="","",INDEX(RUNS!$F$6:$F$1005,MATCH($D1642,RUNS!$A$6:$A$1005,0))),""))</f>
        <v/>
      </c>
      <c r="N1642" s="33">
        <f>IF($D1642="","",IFERROR(IF(INDEX(RUNS!$G$6:$G$1005,MATCH($D1642,RUNS!$A$6:$A$1005,0))="","",INDEX(RUNS!$G$6:$G$1005,MATCH($D1642,RUNS!$A$6:$A$1005,0))),""))</f>
        <v/>
      </c>
      <c r="O1642" s="33">
        <f>IF($D1642="","",IFERROR(IF(INDEX(RUNS!$H$6:$H$1005,MATCH($D1642,RUNS!$A$6:$A$1005,0))="","",INDEX(RUNS!$H$6:$H$1005,MATCH($D1642,RUNS!$A$6:$A$1005,0))),""))</f>
        <v/>
      </c>
      <c r="P1642" s="33">
        <f>IF($D1642="","",IFERROR(IF(INDEX(RUNS!$J$6:$J$1005,MATCH($D1642,RUNS!$A$6:$A$1005,0))="","",INDEX(RUNS!$J$6:$J$1005,MATCH($D1642,RUNS!$A$6:$A$1005,0))),""))</f>
        <v/>
      </c>
      <c r="Q1642" s="33">
        <f>IF($D1642="","",IFERROR(IF(INDEX(RUNS!$K$6:$K$1005,MATCH($D1642,RUNS!$A$6:$A$1005,0))="","",INDEX(RUNS!$K$6:$K$1005,MATCH($D1642,RUNS!$A$6:$A$1005,0))),""))</f>
        <v/>
      </c>
      <c r="R1642" s="34">
        <f>IF(OR($L1642="",$K1642=""),"",IFERROR(IF(INDEX(PARAMETRES!$H$43:$H$342,MATCH($L1642&amp;"|"&amp;$M1642&amp;"|"&amp;$N1642&amp;"|"&amp;$O1642&amp;"|"&amp;$P1642&amp;"|"&amp;$Q1642&amp;"|"&amp;$K1642,PARAMETRES!$J$43:$J$342,0))="","",INDEX(PARAMETRES!$H$43:$H$342,MATCH($L1642&amp;"|"&amp;$M1642&amp;"|"&amp;$N1642&amp;"|"&amp;$O1642&amp;"|"&amp;$P1642&amp;"|"&amp;$Q1642&amp;"|"&amp;$K1642,PARAMETRES!$J$43:$J$342,0))),""))</f>
        <v/>
      </c>
      <c r="S1642" s="35">
        <f>IF(OR($G1642="",$X1642&lt;&gt;"VALIDE"),"",IFERROR(LOOKUP(2,1/(($B742:$B1641=$B1642)*($G742:$G1641=$G1642)*($X742:$X1641="VALIDE")),$C742:$C1641),""))</f>
        <v/>
      </c>
      <c r="T1642" s="36">
        <f>IF(OR($C1642="",$S1642=""),"",ROUND(($C1642-$S1642+IF($C1642&lt;$S1642,1,0))*1440,0))</f>
        <v/>
      </c>
      <c r="U1642" s="22">
        <f>IF(OR($H1642="",$T1642="",$T1642&lt;=0),"",$H1642*60/$T1642)</f>
        <v/>
      </c>
      <c r="V1642" s="37">
        <f>IF(OR($U1642="",$R1642="",$R1642=0),"",$U1642/$R1642)</f>
        <v/>
      </c>
      <c r="W1642" s="20">
        <f>IF($G1642="","",IF($X1642="CONTEXTE INCOMPLET","CONTEXTE INCOMPLET",IF($X1642="DOUBLON",StatutDoublon,IF($S1642="",StatutInitial,IF($R1642="",StatutStandardManquant,IF($V1642="","DONNEES INSUFFISANTES",IF($V1642&gt;=SeuilConforme,StatutConforme,IF($V1642&gt;=SeuilSurveiller,StatutSurveiller,StatutSousStandard))))))))</f>
        <v/>
      </c>
      <c r="X1642" s="33">
        <f>IF($G1642="","",IF(OR($D1642="",$E1642="",$F1642=""),"CONTEXTE INCOMPLET",IF(COUNTIFS($D742:$D1641,$D1642,$E742:$E1641,$E1642,$F742:$F1641,$F1642,$G742:$G1641,$G1642)&gt;0,"DOUBLON","VALIDE")))</f>
        <v/>
      </c>
    </row>
    <row r="1643" ht="15" customHeight="1">
      <c r="A1643" s="12">
        <f>IF(OR($B1643="",$G1643=""),"",TEXT($B1643,"YYYYMMDD")&amp;"-"&amp;SUBSTITUTE($E1643," ","")&amp;"-"&amp;$F1643&amp;"-"&amp;$G1643)</f>
        <v/>
      </c>
      <c r="B1643" s="15" t="n"/>
      <c r="C1643" s="16" t="n"/>
      <c r="D1643" s="10" t="n"/>
      <c r="E1643" s="9" t="n"/>
      <c r="F1643" s="9" t="n"/>
      <c r="G1643" s="13" t="n"/>
      <c r="H1643" s="21" t="n"/>
      <c r="I1643" s="21" t="n"/>
      <c r="J1643" s="17">
        <f>IF($G1643="","",IFERROR(INDEX(NomsEmployes,MATCH($G1643,MatriculesEmployes,0)),"MATRICULE INCONNU"))</f>
        <v/>
      </c>
      <c r="K1643" s="33">
        <f>IF(OR($D1643="",$F1643=""),"",IFERROR(IF(INDEX(RUNS!$L$6:$S$1005,MATCH($D1643,RUNS!$A$6:$A$1005,0),MATCH("ACTIVITÉ "&amp;$F1643,RUNS!$L$5:$S$5,0))="","",INDEX(RUNS!$L$6:$S$1005,MATCH($D1643,RUNS!$A$6:$A$1005,0),MATCH("ACTIVITÉ "&amp;$F1643,RUNS!$L$5:$S$5,0))),""))</f>
        <v/>
      </c>
      <c r="L1643" s="33">
        <f>IF($D1643="","",IFERROR(IF(INDEX(RUNS!$E$6:$E$1005,MATCH($D1643,RUNS!$A$6:$A$1005,0))="","",INDEX(RUNS!$E$6:$E$1005,MATCH($D1643,RUNS!$A$6:$A$1005,0))),""))</f>
        <v/>
      </c>
      <c r="M1643" s="33">
        <f>IF($D1643="","",IFERROR(IF(INDEX(RUNS!$F$6:$F$1005,MATCH($D1643,RUNS!$A$6:$A$1005,0))="","",INDEX(RUNS!$F$6:$F$1005,MATCH($D1643,RUNS!$A$6:$A$1005,0))),""))</f>
        <v/>
      </c>
      <c r="N1643" s="33">
        <f>IF($D1643="","",IFERROR(IF(INDEX(RUNS!$G$6:$G$1005,MATCH($D1643,RUNS!$A$6:$A$1005,0))="","",INDEX(RUNS!$G$6:$G$1005,MATCH($D1643,RUNS!$A$6:$A$1005,0))),""))</f>
        <v/>
      </c>
      <c r="O1643" s="33">
        <f>IF($D1643="","",IFERROR(IF(INDEX(RUNS!$H$6:$H$1005,MATCH($D1643,RUNS!$A$6:$A$1005,0))="","",INDEX(RUNS!$H$6:$H$1005,MATCH($D1643,RUNS!$A$6:$A$1005,0))),""))</f>
        <v/>
      </c>
      <c r="P1643" s="33">
        <f>IF($D1643="","",IFERROR(IF(INDEX(RUNS!$J$6:$J$1005,MATCH($D1643,RUNS!$A$6:$A$1005,0))="","",INDEX(RUNS!$J$6:$J$1005,MATCH($D1643,RUNS!$A$6:$A$1005,0))),""))</f>
        <v/>
      </c>
      <c r="Q1643" s="33">
        <f>IF($D1643="","",IFERROR(IF(INDEX(RUNS!$K$6:$K$1005,MATCH($D1643,RUNS!$A$6:$A$1005,0))="","",INDEX(RUNS!$K$6:$K$1005,MATCH($D1643,RUNS!$A$6:$A$1005,0))),""))</f>
        <v/>
      </c>
      <c r="R1643" s="34">
        <f>IF(OR($L1643="",$K1643=""),"",IFERROR(IF(INDEX(PARAMETRES!$H$43:$H$342,MATCH($L1643&amp;"|"&amp;$M1643&amp;"|"&amp;$N1643&amp;"|"&amp;$O1643&amp;"|"&amp;$P1643&amp;"|"&amp;$Q1643&amp;"|"&amp;$K1643,PARAMETRES!$J$43:$J$342,0))="","",INDEX(PARAMETRES!$H$43:$H$342,MATCH($L1643&amp;"|"&amp;$M1643&amp;"|"&amp;$N1643&amp;"|"&amp;$O1643&amp;"|"&amp;$P1643&amp;"|"&amp;$Q1643&amp;"|"&amp;$K1643,PARAMETRES!$J$43:$J$342,0))),""))</f>
        <v/>
      </c>
      <c r="S1643" s="35">
        <f>IF(OR($G1643="",$X1643&lt;&gt;"VALIDE"),"",IFERROR(LOOKUP(2,1/(($B743:$B1642=$B1643)*($G743:$G1642=$G1643)*($X743:$X1642="VALIDE")),$C743:$C1642),""))</f>
        <v/>
      </c>
      <c r="T1643" s="36">
        <f>IF(OR($C1643="",$S1643=""),"",ROUND(($C1643-$S1643+IF($C1643&lt;$S1643,1,0))*1440,0))</f>
        <v/>
      </c>
      <c r="U1643" s="22">
        <f>IF(OR($H1643="",$T1643="",$T1643&lt;=0),"",$H1643*60/$T1643)</f>
        <v/>
      </c>
      <c r="V1643" s="37">
        <f>IF(OR($U1643="",$R1643="",$R1643=0),"",$U1643/$R1643)</f>
        <v/>
      </c>
      <c r="W1643" s="20">
        <f>IF($G1643="","",IF($X1643="CONTEXTE INCOMPLET","CONTEXTE INCOMPLET",IF($X1643="DOUBLON",StatutDoublon,IF($S1643="",StatutInitial,IF($R1643="",StatutStandardManquant,IF($V1643="","DONNEES INSUFFISANTES",IF($V1643&gt;=SeuilConforme,StatutConforme,IF($V1643&gt;=SeuilSurveiller,StatutSurveiller,StatutSousStandard))))))))</f>
        <v/>
      </c>
      <c r="X1643" s="33">
        <f>IF($G1643="","",IF(OR($D1643="",$E1643="",$F1643=""),"CONTEXTE INCOMPLET",IF(COUNTIFS($D743:$D1642,$D1643,$E743:$E1642,$E1643,$F743:$F1642,$F1643,$G743:$G1642,$G1643)&gt;0,"DOUBLON","VALIDE")))</f>
        <v/>
      </c>
    </row>
    <row r="1644" ht="15" customHeight="1">
      <c r="A1644" s="12">
        <f>IF(OR($B1644="",$G1644=""),"",TEXT($B1644,"YYYYMMDD")&amp;"-"&amp;SUBSTITUTE($E1644," ","")&amp;"-"&amp;$F1644&amp;"-"&amp;$G1644)</f>
        <v/>
      </c>
      <c r="B1644" s="15" t="n"/>
      <c r="C1644" s="16" t="n"/>
      <c r="D1644" s="10" t="n"/>
      <c r="E1644" s="9" t="n"/>
      <c r="F1644" s="9" t="n"/>
      <c r="G1644" s="13" t="n"/>
      <c r="H1644" s="21" t="n"/>
      <c r="I1644" s="21" t="n"/>
      <c r="J1644" s="17">
        <f>IF($G1644="","",IFERROR(INDEX(NomsEmployes,MATCH($G1644,MatriculesEmployes,0)),"MATRICULE INCONNU"))</f>
        <v/>
      </c>
      <c r="K1644" s="33">
        <f>IF(OR($D1644="",$F1644=""),"",IFERROR(IF(INDEX(RUNS!$L$6:$S$1005,MATCH($D1644,RUNS!$A$6:$A$1005,0),MATCH("ACTIVITÉ "&amp;$F1644,RUNS!$L$5:$S$5,0))="","",INDEX(RUNS!$L$6:$S$1005,MATCH($D1644,RUNS!$A$6:$A$1005,0),MATCH("ACTIVITÉ "&amp;$F1644,RUNS!$L$5:$S$5,0))),""))</f>
        <v/>
      </c>
      <c r="L1644" s="33">
        <f>IF($D1644="","",IFERROR(IF(INDEX(RUNS!$E$6:$E$1005,MATCH($D1644,RUNS!$A$6:$A$1005,0))="","",INDEX(RUNS!$E$6:$E$1005,MATCH($D1644,RUNS!$A$6:$A$1005,0))),""))</f>
        <v/>
      </c>
      <c r="M1644" s="33">
        <f>IF($D1644="","",IFERROR(IF(INDEX(RUNS!$F$6:$F$1005,MATCH($D1644,RUNS!$A$6:$A$1005,0))="","",INDEX(RUNS!$F$6:$F$1005,MATCH($D1644,RUNS!$A$6:$A$1005,0))),""))</f>
        <v/>
      </c>
      <c r="N1644" s="33">
        <f>IF($D1644="","",IFERROR(IF(INDEX(RUNS!$G$6:$G$1005,MATCH($D1644,RUNS!$A$6:$A$1005,0))="","",INDEX(RUNS!$G$6:$G$1005,MATCH($D1644,RUNS!$A$6:$A$1005,0))),""))</f>
        <v/>
      </c>
      <c r="O1644" s="33">
        <f>IF($D1644="","",IFERROR(IF(INDEX(RUNS!$H$6:$H$1005,MATCH($D1644,RUNS!$A$6:$A$1005,0))="","",INDEX(RUNS!$H$6:$H$1005,MATCH($D1644,RUNS!$A$6:$A$1005,0))),""))</f>
        <v/>
      </c>
      <c r="P1644" s="33">
        <f>IF($D1644="","",IFERROR(IF(INDEX(RUNS!$J$6:$J$1005,MATCH($D1644,RUNS!$A$6:$A$1005,0))="","",INDEX(RUNS!$J$6:$J$1005,MATCH($D1644,RUNS!$A$6:$A$1005,0))),""))</f>
        <v/>
      </c>
      <c r="Q1644" s="33">
        <f>IF($D1644="","",IFERROR(IF(INDEX(RUNS!$K$6:$K$1005,MATCH($D1644,RUNS!$A$6:$A$1005,0))="","",INDEX(RUNS!$K$6:$K$1005,MATCH($D1644,RUNS!$A$6:$A$1005,0))),""))</f>
        <v/>
      </c>
      <c r="R1644" s="34">
        <f>IF(OR($L1644="",$K1644=""),"",IFERROR(IF(INDEX(PARAMETRES!$H$43:$H$342,MATCH($L1644&amp;"|"&amp;$M1644&amp;"|"&amp;$N1644&amp;"|"&amp;$O1644&amp;"|"&amp;$P1644&amp;"|"&amp;$Q1644&amp;"|"&amp;$K1644,PARAMETRES!$J$43:$J$342,0))="","",INDEX(PARAMETRES!$H$43:$H$342,MATCH($L1644&amp;"|"&amp;$M1644&amp;"|"&amp;$N1644&amp;"|"&amp;$O1644&amp;"|"&amp;$P1644&amp;"|"&amp;$Q1644&amp;"|"&amp;$K1644,PARAMETRES!$J$43:$J$342,0))),""))</f>
        <v/>
      </c>
      <c r="S1644" s="35">
        <f>IF(OR($G1644="",$X1644&lt;&gt;"VALIDE"),"",IFERROR(LOOKUP(2,1/(($B744:$B1643=$B1644)*($G744:$G1643=$G1644)*($X744:$X1643="VALIDE")),$C744:$C1643),""))</f>
        <v/>
      </c>
      <c r="T1644" s="36">
        <f>IF(OR($C1644="",$S1644=""),"",ROUND(($C1644-$S1644+IF($C1644&lt;$S1644,1,0))*1440,0))</f>
        <v/>
      </c>
      <c r="U1644" s="22">
        <f>IF(OR($H1644="",$T1644="",$T1644&lt;=0),"",$H1644*60/$T1644)</f>
        <v/>
      </c>
      <c r="V1644" s="37">
        <f>IF(OR($U1644="",$R1644="",$R1644=0),"",$U1644/$R1644)</f>
        <v/>
      </c>
      <c r="W1644" s="20">
        <f>IF($G1644="","",IF($X1644="CONTEXTE INCOMPLET","CONTEXTE INCOMPLET",IF($X1644="DOUBLON",StatutDoublon,IF($S1644="",StatutInitial,IF($R1644="",StatutStandardManquant,IF($V1644="","DONNEES INSUFFISANTES",IF($V1644&gt;=SeuilConforme,StatutConforme,IF($V1644&gt;=SeuilSurveiller,StatutSurveiller,StatutSousStandard))))))))</f>
        <v/>
      </c>
      <c r="X1644" s="33">
        <f>IF($G1644="","",IF(OR($D1644="",$E1644="",$F1644=""),"CONTEXTE INCOMPLET",IF(COUNTIFS($D744:$D1643,$D1644,$E744:$E1643,$E1644,$F744:$F1643,$F1644,$G744:$G1643,$G1644)&gt;0,"DOUBLON","VALIDE")))</f>
        <v/>
      </c>
    </row>
    <row r="1645" ht="15" customHeight="1">
      <c r="A1645" s="12">
        <f>IF(OR($B1645="",$G1645=""),"",TEXT($B1645,"YYYYMMDD")&amp;"-"&amp;SUBSTITUTE($E1645," ","")&amp;"-"&amp;$F1645&amp;"-"&amp;$G1645)</f>
        <v/>
      </c>
      <c r="B1645" s="15" t="n"/>
      <c r="C1645" s="16" t="n"/>
      <c r="D1645" s="10" t="n"/>
      <c r="E1645" s="9" t="n"/>
      <c r="F1645" s="9" t="n"/>
      <c r="G1645" s="13" t="n"/>
      <c r="H1645" s="21" t="n"/>
      <c r="I1645" s="21" t="n"/>
      <c r="J1645" s="17">
        <f>IF($G1645="","",IFERROR(INDEX(NomsEmployes,MATCH($G1645,MatriculesEmployes,0)),"MATRICULE INCONNU"))</f>
        <v/>
      </c>
      <c r="K1645" s="33">
        <f>IF(OR($D1645="",$F1645=""),"",IFERROR(IF(INDEX(RUNS!$L$6:$S$1005,MATCH($D1645,RUNS!$A$6:$A$1005,0),MATCH("ACTIVITÉ "&amp;$F1645,RUNS!$L$5:$S$5,0))="","",INDEX(RUNS!$L$6:$S$1005,MATCH($D1645,RUNS!$A$6:$A$1005,0),MATCH("ACTIVITÉ "&amp;$F1645,RUNS!$L$5:$S$5,0))),""))</f>
        <v/>
      </c>
      <c r="L1645" s="33">
        <f>IF($D1645="","",IFERROR(IF(INDEX(RUNS!$E$6:$E$1005,MATCH($D1645,RUNS!$A$6:$A$1005,0))="","",INDEX(RUNS!$E$6:$E$1005,MATCH($D1645,RUNS!$A$6:$A$1005,0))),""))</f>
        <v/>
      </c>
      <c r="M1645" s="33">
        <f>IF($D1645="","",IFERROR(IF(INDEX(RUNS!$F$6:$F$1005,MATCH($D1645,RUNS!$A$6:$A$1005,0))="","",INDEX(RUNS!$F$6:$F$1005,MATCH($D1645,RUNS!$A$6:$A$1005,0))),""))</f>
        <v/>
      </c>
      <c r="N1645" s="33">
        <f>IF($D1645="","",IFERROR(IF(INDEX(RUNS!$G$6:$G$1005,MATCH($D1645,RUNS!$A$6:$A$1005,0))="","",INDEX(RUNS!$G$6:$G$1005,MATCH($D1645,RUNS!$A$6:$A$1005,0))),""))</f>
        <v/>
      </c>
      <c r="O1645" s="33">
        <f>IF($D1645="","",IFERROR(IF(INDEX(RUNS!$H$6:$H$1005,MATCH($D1645,RUNS!$A$6:$A$1005,0))="","",INDEX(RUNS!$H$6:$H$1005,MATCH($D1645,RUNS!$A$6:$A$1005,0))),""))</f>
        <v/>
      </c>
      <c r="P1645" s="33">
        <f>IF($D1645="","",IFERROR(IF(INDEX(RUNS!$J$6:$J$1005,MATCH($D1645,RUNS!$A$6:$A$1005,0))="","",INDEX(RUNS!$J$6:$J$1005,MATCH($D1645,RUNS!$A$6:$A$1005,0))),""))</f>
        <v/>
      </c>
      <c r="Q1645" s="33">
        <f>IF($D1645="","",IFERROR(IF(INDEX(RUNS!$K$6:$K$1005,MATCH($D1645,RUNS!$A$6:$A$1005,0))="","",INDEX(RUNS!$K$6:$K$1005,MATCH($D1645,RUNS!$A$6:$A$1005,0))),""))</f>
        <v/>
      </c>
      <c r="R1645" s="34">
        <f>IF(OR($L1645="",$K1645=""),"",IFERROR(IF(INDEX(PARAMETRES!$H$43:$H$342,MATCH($L1645&amp;"|"&amp;$M1645&amp;"|"&amp;$N1645&amp;"|"&amp;$O1645&amp;"|"&amp;$P1645&amp;"|"&amp;$Q1645&amp;"|"&amp;$K1645,PARAMETRES!$J$43:$J$342,0))="","",INDEX(PARAMETRES!$H$43:$H$342,MATCH($L1645&amp;"|"&amp;$M1645&amp;"|"&amp;$N1645&amp;"|"&amp;$O1645&amp;"|"&amp;$P1645&amp;"|"&amp;$Q1645&amp;"|"&amp;$K1645,PARAMETRES!$J$43:$J$342,0))),""))</f>
        <v/>
      </c>
      <c r="S1645" s="35">
        <f>IF(OR($G1645="",$X1645&lt;&gt;"VALIDE"),"",IFERROR(LOOKUP(2,1/(($B745:$B1644=$B1645)*($G745:$G1644=$G1645)*($X745:$X1644="VALIDE")),$C745:$C1644),""))</f>
        <v/>
      </c>
      <c r="T1645" s="36">
        <f>IF(OR($C1645="",$S1645=""),"",ROUND(($C1645-$S1645+IF($C1645&lt;$S1645,1,0))*1440,0))</f>
        <v/>
      </c>
      <c r="U1645" s="22">
        <f>IF(OR($H1645="",$T1645="",$T1645&lt;=0),"",$H1645*60/$T1645)</f>
        <v/>
      </c>
      <c r="V1645" s="37">
        <f>IF(OR($U1645="",$R1645="",$R1645=0),"",$U1645/$R1645)</f>
        <v/>
      </c>
      <c r="W1645" s="20">
        <f>IF($G1645="","",IF($X1645="CONTEXTE INCOMPLET","CONTEXTE INCOMPLET",IF($X1645="DOUBLON",StatutDoublon,IF($S1645="",StatutInitial,IF($R1645="",StatutStandardManquant,IF($V1645="","DONNEES INSUFFISANTES",IF($V1645&gt;=SeuilConforme,StatutConforme,IF($V1645&gt;=SeuilSurveiller,StatutSurveiller,StatutSousStandard))))))))</f>
        <v/>
      </c>
      <c r="X1645" s="33">
        <f>IF($G1645="","",IF(OR($D1645="",$E1645="",$F1645=""),"CONTEXTE INCOMPLET",IF(COUNTIFS($D745:$D1644,$D1645,$E745:$E1644,$E1645,$F745:$F1644,$F1645,$G745:$G1644,$G1645)&gt;0,"DOUBLON","VALIDE")))</f>
        <v/>
      </c>
    </row>
    <row r="1646" ht="15" customHeight="1">
      <c r="A1646" s="12">
        <f>IF(OR($B1646="",$G1646=""),"",TEXT($B1646,"YYYYMMDD")&amp;"-"&amp;SUBSTITUTE($E1646," ","")&amp;"-"&amp;$F1646&amp;"-"&amp;$G1646)</f>
        <v/>
      </c>
      <c r="B1646" s="15" t="n"/>
      <c r="C1646" s="16" t="n"/>
      <c r="D1646" s="10" t="n"/>
      <c r="E1646" s="9" t="n"/>
      <c r="F1646" s="9" t="n"/>
      <c r="G1646" s="13" t="n"/>
      <c r="H1646" s="21" t="n"/>
      <c r="I1646" s="21" t="n"/>
      <c r="J1646" s="17">
        <f>IF($G1646="","",IFERROR(INDEX(NomsEmployes,MATCH($G1646,MatriculesEmployes,0)),"MATRICULE INCONNU"))</f>
        <v/>
      </c>
      <c r="K1646" s="33">
        <f>IF(OR($D1646="",$F1646=""),"",IFERROR(IF(INDEX(RUNS!$L$6:$S$1005,MATCH($D1646,RUNS!$A$6:$A$1005,0),MATCH("ACTIVITÉ "&amp;$F1646,RUNS!$L$5:$S$5,0))="","",INDEX(RUNS!$L$6:$S$1005,MATCH($D1646,RUNS!$A$6:$A$1005,0),MATCH("ACTIVITÉ "&amp;$F1646,RUNS!$L$5:$S$5,0))),""))</f>
        <v/>
      </c>
      <c r="L1646" s="33">
        <f>IF($D1646="","",IFERROR(IF(INDEX(RUNS!$E$6:$E$1005,MATCH($D1646,RUNS!$A$6:$A$1005,0))="","",INDEX(RUNS!$E$6:$E$1005,MATCH($D1646,RUNS!$A$6:$A$1005,0))),""))</f>
        <v/>
      </c>
      <c r="M1646" s="33">
        <f>IF($D1646="","",IFERROR(IF(INDEX(RUNS!$F$6:$F$1005,MATCH($D1646,RUNS!$A$6:$A$1005,0))="","",INDEX(RUNS!$F$6:$F$1005,MATCH($D1646,RUNS!$A$6:$A$1005,0))),""))</f>
        <v/>
      </c>
      <c r="N1646" s="33">
        <f>IF($D1646="","",IFERROR(IF(INDEX(RUNS!$G$6:$G$1005,MATCH($D1646,RUNS!$A$6:$A$1005,0))="","",INDEX(RUNS!$G$6:$G$1005,MATCH($D1646,RUNS!$A$6:$A$1005,0))),""))</f>
        <v/>
      </c>
      <c r="O1646" s="33">
        <f>IF($D1646="","",IFERROR(IF(INDEX(RUNS!$H$6:$H$1005,MATCH($D1646,RUNS!$A$6:$A$1005,0))="","",INDEX(RUNS!$H$6:$H$1005,MATCH($D1646,RUNS!$A$6:$A$1005,0))),""))</f>
        <v/>
      </c>
      <c r="P1646" s="33">
        <f>IF($D1646="","",IFERROR(IF(INDEX(RUNS!$J$6:$J$1005,MATCH($D1646,RUNS!$A$6:$A$1005,0))="","",INDEX(RUNS!$J$6:$J$1005,MATCH($D1646,RUNS!$A$6:$A$1005,0))),""))</f>
        <v/>
      </c>
      <c r="Q1646" s="33">
        <f>IF($D1646="","",IFERROR(IF(INDEX(RUNS!$K$6:$K$1005,MATCH($D1646,RUNS!$A$6:$A$1005,0))="","",INDEX(RUNS!$K$6:$K$1005,MATCH($D1646,RUNS!$A$6:$A$1005,0))),""))</f>
        <v/>
      </c>
      <c r="R1646" s="34">
        <f>IF(OR($L1646="",$K1646=""),"",IFERROR(IF(INDEX(PARAMETRES!$H$43:$H$342,MATCH($L1646&amp;"|"&amp;$M1646&amp;"|"&amp;$N1646&amp;"|"&amp;$O1646&amp;"|"&amp;$P1646&amp;"|"&amp;$Q1646&amp;"|"&amp;$K1646,PARAMETRES!$J$43:$J$342,0))="","",INDEX(PARAMETRES!$H$43:$H$342,MATCH($L1646&amp;"|"&amp;$M1646&amp;"|"&amp;$N1646&amp;"|"&amp;$O1646&amp;"|"&amp;$P1646&amp;"|"&amp;$Q1646&amp;"|"&amp;$K1646,PARAMETRES!$J$43:$J$342,0))),""))</f>
        <v/>
      </c>
      <c r="S1646" s="35">
        <f>IF(OR($G1646="",$X1646&lt;&gt;"VALIDE"),"",IFERROR(LOOKUP(2,1/(($B746:$B1645=$B1646)*($G746:$G1645=$G1646)*($X746:$X1645="VALIDE")),$C746:$C1645),""))</f>
        <v/>
      </c>
      <c r="T1646" s="36">
        <f>IF(OR($C1646="",$S1646=""),"",ROUND(($C1646-$S1646+IF($C1646&lt;$S1646,1,0))*1440,0))</f>
        <v/>
      </c>
      <c r="U1646" s="22">
        <f>IF(OR($H1646="",$T1646="",$T1646&lt;=0),"",$H1646*60/$T1646)</f>
        <v/>
      </c>
      <c r="V1646" s="37">
        <f>IF(OR($U1646="",$R1646="",$R1646=0),"",$U1646/$R1646)</f>
        <v/>
      </c>
      <c r="W1646" s="20">
        <f>IF($G1646="","",IF($X1646="CONTEXTE INCOMPLET","CONTEXTE INCOMPLET",IF($X1646="DOUBLON",StatutDoublon,IF($S1646="",StatutInitial,IF($R1646="",StatutStandardManquant,IF($V1646="","DONNEES INSUFFISANTES",IF($V1646&gt;=SeuilConforme,StatutConforme,IF($V1646&gt;=SeuilSurveiller,StatutSurveiller,StatutSousStandard))))))))</f>
        <v/>
      </c>
      <c r="X1646" s="33">
        <f>IF($G1646="","",IF(OR($D1646="",$E1646="",$F1646=""),"CONTEXTE INCOMPLET",IF(COUNTIFS($D746:$D1645,$D1646,$E746:$E1645,$E1646,$F746:$F1645,$F1646,$G746:$G1645,$G1646)&gt;0,"DOUBLON","VALIDE")))</f>
        <v/>
      </c>
    </row>
    <row r="1647" ht="15" customHeight="1">
      <c r="A1647" s="12">
        <f>IF(OR($B1647="",$G1647=""),"",TEXT($B1647,"YYYYMMDD")&amp;"-"&amp;SUBSTITUTE($E1647," ","")&amp;"-"&amp;$F1647&amp;"-"&amp;$G1647)</f>
        <v/>
      </c>
      <c r="B1647" s="15" t="n"/>
      <c r="C1647" s="16" t="n"/>
      <c r="D1647" s="10" t="n"/>
      <c r="E1647" s="9" t="n"/>
      <c r="F1647" s="9" t="n"/>
      <c r="G1647" s="13" t="n"/>
      <c r="H1647" s="21" t="n"/>
      <c r="I1647" s="21" t="n"/>
      <c r="J1647" s="17">
        <f>IF($G1647="","",IFERROR(INDEX(NomsEmployes,MATCH($G1647,MatriculesEmployes,0)),"MATRICULE INCONNU"))</f>
        <v/>
      </c>
      <c r="K1647" s="33">
        <f>IF(OR($D1647="",$F1647=""),"",IFERROR(IF(INDEX(RUNS!$L$6:$S$1005,MATCH($D1647,RUNS!$A$6:$A$1005,0),MATCH("ACTIVITÉ "&amp;$F1647,RUNS!$L$5:$S$5,0))="","",INDEX(RUNS!$L$6:$S$1005,MATCH($D1647,RUNS!$A$6:$A$1005,0),MATCH("ACTIVITÉ "&amp;$F1647,RUNS!$L$5:$S$5,0))),""))</f>
        <v/>
      </c>
      <c r="L1647" s="33">
        <f>IF($D1647="","",IFERROR(IF(INDEX(RUNS!$E$6:$E$1005,MATCH($D1647,RUNS!$A$6:$A$1005,0))="","",INDEX(RUNS!$E$6:$E$1005,MATCH($D1647,RUNS!$A$6:$A$1005,0))),""))</f>
        <v/>
      </c>
      <c r="M1647" s="33">
        <f>IF($D1647="","",IFERROR(IF(INDEX(RUNS!$F$6:$F$1005,MATCH($D1647,RUNS!$A$6:$A$1005,0))="","",INDEX(RUNS!$F$6:$F$1005,MATCH($D1647,RUNS!$A$6:$A$1005,0))),""))</f>
        <v/>
      </c>
      <c r="N1647" s="33">
        <f>IF($D1647="","",IFERROR(IF(INDEX(RUNS!$G$6:$G$1005,MATCH($D1647,RUNS!$A$6:$A$1005,0))="","",INDEX(RUNS!$G$6:$G$1005,MATCH($D1647,RUNS!$A$6:$A$1005,0))),""))</f>
        <v/>
      </c>
      <c r="O1647" s="33">
        <f>IF($D1647="","",IFERROR(IF(INDEX(RUNS!$H$6:$H$1005,MATCH($D1647,RUNS!$A$6:$A$1005,0))="","",INDEX(RUNS!$H$6:$H$1005,MATCH($D1647,RUNS!$A$6:$A$1005,0))),""))</f>
        <v/>
      </c>
      <c r="P1647" s="33">
        <f>IF($D1647="","",IFERROR(IF(INDEX(RUNS!$J$6:$J$1005,MATCH($D1647,RUNS!$A$6:$A$1005,0))="","",INDEX(RUNS!$J$6:$J$1005,MATCH($D1647,RUNS!$A$6:$A$1005,0))),""))</f>
        <v/>
      </c>
      <c r="Q1647" s="33">
        <f>IF($D1647="","",IFERROR(IF(INDEX(RUNS!$K$6:$K$1005,MATCH($D1647,RUNS!$A$6:$A$1005,0))="","",INDEX(RUNS!$K$6:$K$1005,MATCH($D1647,RUNS!$A$6:$A$1005,0))),""))</f>
        <v/>
      </c>
      <c r="R1647" s="34">
        <f>IF(OR($L1647="",$K1647=""),"",IFERROR(IF(INDEX(PARAMETRES!$H$43:$H$342,MATCH($L1647&amp;"|"&amp;$M1647&amp;"|"&amp;$N1647&amp;"|"&amp;$O1647&amp;"|"&amp;$P1647&amp;"|"&amp;$Q1647&amp;"|"&amp;$K1647,PARAMETRES!$J$43:$J$342,0))="","",INDEX(PARAMETRES!$H$43:$H$342,MATCH($L1647&amp;"|"&amp;$M1647&amp;"|"&amp;$N1647&amp;"|"&amp;$O1647&amp;"|"&amp;$P1647&amp;"|"&amp;$Q1647&amp;"|"&amp;$K1647,PARAMETRES!$J$43:$J$342,0))),""))</f>
        <v/>
      </c>
      <c r="S1647" s="35">
        <f>IF(OR($G1647="",$X1647&lt;&gt;"VALIDE"),"",IFERROR(LOOKUP(2,1/(($B747:$B1646=$B1647)*($G747:$G1646=$G1647)*($X747:$X1646="VALIDE")),$C747:$C1646),""))</f>
        <v/>
      </c>
      <c r="T1647" s="36">
        <f>IF(OR($C1647="",$S1647=""),"",ROUND(($C1647-$S1647+IF($C1647&lt;$S1647,1,0))*1440,0))</f>
        <v/>
      </c>
      <c r="U1647" s="22">
        <f>IF(OR($H1647="",$T1647="",$T1647&lt;=0),"",$H1647*60/$T1647)</f>
        <v/>
      </c>
      <c r="V1647" s="37">
        <f>IF(OR($U1647="",$R1647="",$R1647=0),"",$U1647/$R1647)</f>
        <v/>
      </c>
      <c r="W1647" s="20">
        <f>IF($G1647="","",IF($X1647="CONTEXTE INCOMPLET","CONTEXTE INCOMPLET",IF($X1647="DOUBLON",StatutDoublon,IF($S1647="",StatutInitial,IF($R1647="",StatutStandardManquant,IF($V1647="","DONNEES INSUFFISANTES",IF($V1647&gt;=SeuilConforme,StatutConforme,IF($V1647&gt;=SeuilSurveiller,StatutSurveiller,StatutSousStandard))))))))</f>
        <v/>
      </c>
      <c r="X1647" s="33">
        <f>IF($G1647="","",IF(OR($D1647="",$E1647="",$F1647=""),"CONTEXTE INCOMPLET",IF(COUNTIFS($D747:$D1646,$D1647,$E747:$E1646,$E1647,$F747:$F1646,$F1647,$G747:$G1646,$G1647)&gt;0,"DOUBLON","VALIDE")))</f>
        <v/>
      </c>
    </row>
    <row r="1648" ht="15" customHeight="1">
      <c r="A1648" s="12">
        <f>IF(OR($B1648="",$G1648=""),"",TEXT($B1648,"YYYYMMDD")&amp;"-"&amp;SUBSTITUTE($E1648," ","")&amp;"-"&amp;$F1648&amp;"-"&amp;$G1648)</f>
        <v/>
      </c>
      <c r="B1648" s="15" t="n"/>
      <c r="C1648" s="16" t="n"/>
      <c r="D1648" s="10" t="n"/>
      <c r="E1648" s="9" t="n"/>
      <c r="F1648" s="9" t="n"/>
      <c r="G1648" s="13" t="n"/>
      <c r="H1648" s="21" t="n"/>
      <c r="I1648" s="21" t="n"/>
      <c r="J1648" s="17">
        <f>IF($G1648="","",IFERROR(INDEX(NomsEmployes,MATCH($G1648,MatriculesEmployes,0)),"MATRICULE INCONNU"))</f>
        <v/>
      </c>
      <c r="K1648" s="33">
        <f>IF(OR($D1648="",$F1648=""),"",IFERROR(IF(INDEX(RUNS!$L$6:$S$1005,MATCH($D1648,RUNS!$A$6:$A$1005,0),MATCH("ACTIVITÉ "&amp;$F1648,RUNS!$L$5:$S$5,0))="","",INDEX(RUNS!$L$6:$S$1005,MATCH($D1648,RUNS!$A$6:$A$1005,0),MATCH("ACTIVITÉ "&amp;$F1648,RUNS!$L$5:$S$5,0))),""))</f>
        <v/>
      </c>
      <c r="L1648" s="33">
        <f>IF($D1648="","",IFERROR(IF(INDEX(RUNS!$E$6:$E$1005,MATCH($D1648,RUNS!$A$6:$A$1005,0))="","",INDEX(RUNS!$E$6:$E$1005,MATCH($D1648,RUNS!$A$6:$A$1005,0))),""))</f>
        <v/>
      </c>
      <c r="M1648" s="33">
        <f>IF($D1648="","",IFERROR(IF(INDEX(RUNS!$F$6:$F$1005,MATCH($D1648,RUNS!$A$6:$A$1005,0))="","",INDEX(RUNS!$F$6:$F$1005,MATCH($D1648,RUNS!$A$6:$A$1005,0))),""))</f>
        <v/>
      </c>
      <c r="N1648" s="33">
        <f>IF($D1648="","",IFERROR(IF(INDEX(RUNS!$G$6:$G$1005,MATCH($D1648,RUNS!$A$6:$A$1005,0))="","",INDEX(RUNS!$G$6:$G$1005,MATCH($D1648,RUNS!$A$6:$A$1005,0))),""))</f>
        <v/>
      </c>
      <c r="O1648" s="33">
        <f>IF($D1648="","",IFERROR(IF(INDEX(RUNS!$H$6:$H$1005,MATCH($D1648,RUNS!$A$6:$A$1005,0))="","",INDEX(RUNS!$H$6:$H$1005,MATCH($D1648,RUNS!$A$6:$A$1005,0))),""))</f>
        <v/>
      </c>
      <c r="P1648" s="33">
        <f>IF($D1648="","",IFERROR(IF(INDEX(RUNS!$J$6:$J$1005,MATCH($D1648,RUNS!$A$6:$A$1005,0))="","",INDEX(RUNS!$J$6:$J$1005,MATCH($D1648,RUNS!$A$6:$A$1005,0))),""))</f>
        <v/>
      </c>
      <c r="Q1648" s="33">
        <f>IF($D1648="","",IFERROR(IF(INDEX(RUNS!$K$6:$K$1005,MATCH($D1648,RUNS!$A$6:$A$1005,0))="","",INDEX(RUNS!$K$6:$K$1005,MATCH($D1648,RUNS!$A$6:$A$1005,0))),""))</f>
        <v/>
      </c>
      <c r="R1648" s="34">
        <f>IF(OR($L1648="",$K1648=""),"",IFERROR(IF(INDEX(PARAMETRES!$H$43:$H$342,MATCH($L1648&amp;"|"&amp;$M1648&amp;"|"&amp;$N1648&amp;"|"&amp;$O1648&amp;"|"&amp;$P1648&amp;"|"&amp;$Q1648&amp;"|"&amp;$K1648,PARAMETRES!$J$43:$J$342,0))="","",INDEX(PARAMETRES!$H$43:$H$342,MATCH($L1648&amp;"|"&amp;$M1648&amp;"|"&amp;$N1648&amp;"|"&amp;$O1648&amp;"|"&amp;$P1648&amp;"|"&amp;$Q1648&amp;"|"&amp;$K1648,PARAMETRES!$J$43:$J$342,0))),""))</f>
        <v/>
      </c>
      <c r="S1648" s="35">
        <f>IF(OR($G1648="",$X1648&lt;&gt;"VALIDE"),"",IFERROR(LOOKUP(2,1/(($B748:$B1647=$B1648)*($G748:$G1647=$G1648)*($X748:$X1647="VALIDE")),$C748:$C1647),""))</f>
        <v/>
      </c>
      <c r="T1648" s="36">
        <f>IF(OR($C1648="",$S1648=""),"",ROUND(($C1648-$S1648+IF($C1648&lt;$S1648,1,0))*1440,0))</f>
        <v/>
      </c>
      <c r="U1648" s="22">
        <f>IF(OR($H1648="",$T1648="",$T1648&lt;=0),"",$H1648*60/$T1648)</f>
        <v/>
      </c>
      <c r="V1648" s="37">
        <f>IF(OR($U1648="",$R1648="",$R1648=0),"",$U1648/$R1648)</f>
        <v/>
      </c>
      <c r="W1648" s="20">
        <f>IF($G1648="","",IF($X1648="CONTEXTE INCOMPLET","CONTEXTE INCOMPLET",IF($X1648="DOUBLON",StatutDoublon,IF($S1648="",StatutInitial,IF($R1648="",StatutStandardManquant,IF($V1648="","DONNEES INSUFFISANTES",IF($V1648&gt;=SeuilConforme,StatutConforme,IF($V1648&gt;=SeuilSurveiller,StatutSurveiller,StatutSousStandard))))))))</f>
        <v/>
      </c>
      <c r="X1648" s="33">
        <f>IF($G1648="","",IF(OR($D1648="",$E1648="",$F1648=""),"CONTEXTE INCOMPLET",IF(COUNTIFS($D748:$D1647,$D1648,$E748:$E1647,$E1648,$F748:$F1647,$F1648,$G748:$G1647,$G1648)&gt;0,"DOUBLON","VALIDE")))</f>
        <v/>
      </c>
    </row>
    <row r="1649" ht="15" customHeight="1">
      <c r="A1649" s="12">
        <f>IF(OR($B1649="",$G1649=""),"",TEXT($B1649,"YYYYMMDD")&amp;"-"&amp;SUBSTITUTE($E1649," ","")&amp;"-"&amp;$F1649&amp;"-"&amp;$G1649)</f>
        <v/>
      </c>
      <c r="B1649" s="15" t="n"/>
      <c r="C1649" s="16" t="n"/>
      <c r="D1649" s="10" t="n"/>
      <c r="E1649" s="9" t="n"/>
      <c r="F1649" s="9" t="n"/>
      <c r="G1649" s="13" t="n"/>
      <c r="H1649" s="21" t="n"/>
      <c r="I1649" s="21" t="n"/>
      <c r="J1649" s="17">
        <f>IF($G1649="","",IFERROR(INDEX(NomsEmployes,MATCH($G1649,MatriculesEmployes,0)),"MATRICULE INCONNU"))</f>
        <v/>
      </c>
      <c r="K1649" s="33">
        <f>IF(OR($D1649="",$F1649=""),"",IFERROR(IF(INDEX(RUNS!$L$6:$S$1005,MATCH($D1649,RUNS!$A$6:$A$1005,0),MATCH("ACTIVITÉ "&amp;$F1649,RUNS!$L$5:$S$5,0))="","",INDEX(RUNS!$L$6:$S$1005,MATCH($D1649,RUNS!$A$6:$A$1005,0),MATCH("ACTIVITÉ "&amp;$F1649,RUNS!$L$5:$S$5,0))),""))</f>
        <v/>
      </c>
      <c r="L1649" s="33">
        <f>IF($D1649="","",IFERROR(IF(INDEX(RUNS!$E$6:$E$1005,MATCH($D1649,RUNS!$A$6:$A$1005,0))="","",INDEX(RUNS!$E$6:$E$1005,MATCH($D1649,RUNS!$A$6:$A$1005,0))),""))</f>
        <v/>
      </c>
      <c r="M1649" s="33">
        <f>IF($D1649="","",IFERROR(IF(INDEX(RUNS!$F$6:$F$1005,MATCH($D1649,RUNS!$A$6:$A$1005,0))="","",INDEX(RUNS!$F$6:$F$1005,MATCH($D1649,RUNS!$A$6:$A$1005,0))),""))</f>
        <v/>
      </c>
      <c r="N1649" s="33">
        <f>IF($D1649="","",IFERROR(IF(INDEX(RUNS!$G$6:$G$1005,MATCH($D1649,RUNS!$A$6:$A$1005,0))="","",INDEX(RUNS!$G$6:$G$1005,MATCH($D1649,RUNS!$A$6:$A$1005,0))),""))</f>
        <v/>
      </c>
      <c r="O1649" s="33">
        <f>IF($D1649="","",IFERROR(IF(INDEX(RUNS!$H$6:$H$1005,MATCH($D1649,RUNS!$A$6:$A$1005,0))="","",INDEX(RUNS!$H$6:$H$1005,MATCH($D1649,RUNS!$A$6:$A$1005,0))),""))</f>
        <v/>
      </c>
      <c r="P1649" s="33">
        <f>IF($D1649="","",IFERROR(IF(INDEX(RUNS!$J$6:$J$1005,MATCH($D1649,RUNS!$A$6:$A$1005,0))="","",INDEX(RUNS!$J$6:$J$1005,MATCH($D1649,RUNS!$A$6:$A$1005,0))),""))</f>
        <v/>
      </c>
      <c r="Q1649" s="33">
        <f>IF($D1649="","",IFERROR(IF(INDEX(RUNS!$K$6:$K$1005,MATCH($D1649,RUNS!$A$6:$A$1005,0))="","",INDEX(RUNS!$K$6:$K$1005,MATCH($D1649,RUNS!$A$6:$A$1005,0))),""))</f>
        <v/>
      </c>
      <c r="R1649" s="34">
        <f>IF(OR($L1649="",$K1649=""),"",IFERROR(IF(INDEX(PARAMETRES!$H$43:$H$342,MATCH($L1649&amp;"|"&amp;$M1649&amp;"|"&amp;$N1649&amp;"|"&amp;$O1649&amp;"|"&amp;$P1649&amp;"|"&amp;$Q1649&amp;"|"&amp;$K1649,PARAMETRES!$J$43:$J$342,0))="","",INDEX(PARAMETRES!$H$43:$H$342,MATCH($L1649&amp;"|"&amp;$M1649&amp;"|"&amp;$N1649&amp;"|"&amp;$O1649&amp;"|"&amp;$P1649&amp;"|"&amp;$Q1649&amp;"|"&amp;$K1649,PARAMETRES!$J$43:$J$342,0))),""))</f>
        <v/>
      </c>
      <c r="S1649" s="35">
        <f>IF(OR($G1649="",$X1649&lt;&gt;"VALIDE"),"",IFERROR(LOOKUP(2,1/(($B749:$B1648=$B1649)*($G749:$G1648=$G1649)*($X749:$X1648="VALIDE")),$C749:$C1648),""))</f>
        <v/>
      </c>
      <c r="T1649" s="36">
        <f>IF(OR($C1649="",$S1649=""),"",ROUND(($C1649-$S1649+IF($C1649&lt;$S1649,1,0))*1440,0))</f>
        <v/>
      </c>
      <c r="U1649" s="22">
        <f>IF(OR($H1649="",$T1649="",$T1649&lt;=0),"",$H1649*60/$T1649)</f>
        <v/>
      </c>
      <c r="V1649" s="37">
        <f>IF(OR($U1649="",$R1649="",$R1649=0),"",$U1649/$R1649)</f>
        <v/>
      </c>
      <c r="W1649" s="20">
        <f>IF($G1649="","",IF($X1649="CONTEXTE INCOMPLET","CONTEXTE INCOMPLET",IF($X1649="DOUBLON",StatutDoublon,IF($S1649="",StatutInitial,IF($R1649="",StatutStandardManquant,IF($V1649="","DONNEES INSUFFISANTES",IF($V1649&gt;=SeuilConforme,StatutConforme,IF($V1649&gt;=SeuilSurveiller,StatutSurveiller,StatutSousStandard))))))))</f>
        <v/>
      </c>
      <c r="X1649" s="33">
        <f>IF($G1649="","",IF(OR($D1649="",$E1649="",$F1649=""),"CONTEXTE INCOMPLET",IF(COUNTIFS($D749:$D1648,$D1649,$E749:$E1648,$E1649,$F749:$F1648,$F1649,$G749:$G1648,$G1649)&gt;0,"DOUBLON","VALIDE")))</f>
        <v/>
      </c>
    </row>
    <row r="1650" ht="15" customHeight="1">
      <c r="A1650" s="12">
        <f>IF(OR($B1650="",$G1650=""),"",TEXT($B1650,"YYYYMMDD")&amp;"-"&amp;SUBSTITUTE($E1650," ","")&amp;"-"&amp;$F1650&amp;"-"&amp;$G1650)</f>
        <v/>
      </c>
      <c r="B1650" s="15" t="n"/>
      <c r="C1650" s="16" t="n"/>
      <c r="D1650" s="10" t="n"/>
      <c r="E1650" s="9" t="n"/>
      <c r="F1650" s="9" t="n"/>
      <c r="G1650" s="13" t="n"/>
      <c r="H1650" s="21" t="n"/>
      <c r="I1650" s="21" t="n"/>
      <c r="J1650" s="17">
        <f>IF($G1650="","",IFERROR(INDEX(NomsEmployes,MATCH($G1650,MatriculesEmployes,0)),"MATRICULE INCONNU"))</f>
        <v/>
      </c>
      <c r="K1650" s="33">
        <f>IF(OR($D1650="",$F1650=""),"",IFERROR(IF(INDEX(RUNS!$L$6:$S$1005,MATCH($D1650,RUNS!$A$6:$A$1005,0),MATCH("ACTIVITÉ "&amp;$F1650,RUNS!$L$5:$S$5,0))="","",INDEX(RUNS!$L$6:$S$1005,MATCH($D1650,RUNS!$A$6:$A$1005,0),MATCH("ACTIVITÉ "&amp;$F1650,RUNS!$L$5:$S$5,0))),""))</f>
        <v/>
      </c>
      <c r="L1650" s="33">
        <f>IF($D1650="","",IFERROR(IF(INDEX(RUNS!$E$6:$E$1005,MATCH($D1650,RUNS!$A$6:$A$1005,0))="","",INDEX(RUNS!$E$6:$E$1005,MATCH($D1650,RUNS!$A$6:$A$1005,0))),""))</f>
        <v/>
      </c>
      <c r="M1650" s="33">
        <f>IF($D1650="","",IFERROR(IF(INDEX(RUNS!$F$6:$F$1005,MATCH($D1650,RUNS!$A$6:$A$1005,0))="","",INDEX(RUNS!$F$6:$F$1005,MATCH($D1650,RUNS!$A$6:$A$1005,0))),""))</f>
        <v/>
      </c>
      <c r="N1650" s="33">
        <f>IF($D1650="","",IFERROR(IF(INDEX(RUNS!$G$6:$G$1005,MATCH($D1650,RUNS!$A$6:$A$1005,0))="","",INDEX(RUNS!$G$6:$G$1005,MATCH($D1650,RUNS!$A$6:$A$1005,0))),""))</f>
        <v/>
      </c>
      <c r="O1650" s="33">
        <f>IF($D1650="","",IFERROR(IF(INDEX(RUNS!$H$6:$H$1005,MATCH($D1650,RUNS!$A$6:$A$1005,0))="","",INDEX(RUNS!$H$6:$H$1005,MATCH($D1650,RUNS!$A$6:$A$1005,0))),""))</f>
        <v/>
      </c>
      <c r="P1650" s="33">
        <f>IF($D1650="","",IFERROR(IF(INDEX(RUNS!$J$6:$J$1005,MATCH($D1650,RUNS!$A$6:$A$1005,0))="","",INDEX(RUNS!$J$6:$J$1005,MATCH($D1650,RUNS!$A$6:$A$1005,0))),""))</f>
        <v/>
      </c>
      <c r="Q1650" s="33">
        <f>IF($D1650="","",IFERROR(IF(INDEX(RUNS!$K$6:$K$1005,MATCH($D1650,RUNS!$A$6:$A$1005,0))="","",INDEX(RUNS!$K$6:$K$1005,MATCH($D1650,RUNS!$A$6:$A$1005,0))),""))</f>
        <v/>
      </c>
      <c r="R1650" s="34">
        <f>IF(OR($L1650="",$K1650=""),"",IFERROR(IF(INDEX(PARAMETRES!$H$43:$H$342,MATCH($L1650&amp;"|"&amp;$M1650&amp;"|"&amp;$N1650&amp;"|"&amp;$O1650&amp;"|"&amp;$P1650&amp;"|"&amp;$Q1650&amp;"|"&amp;$K1650,PARAMETRES!$J$43:$J$342,0))="","",INDEX(PARAMETRES!$H$43:$H$342,MATCH($L1650&amp;"|"&amp;$M1650&amp;"|"&amp;$N1650&amp;"|"&amp;$O1650&amp;"|"&amp;$P1650&amp;"|"&amp;$Q1650&amp;"|"&amp;$K1650,PARAMETRES!$J$43:$J$342,0))),""))</f>
        <v/>
      </c>
      <c r="S1650" s="35">
        <f>IF(OR($G1650="",$X1650&lt;&gt;"VALIDE"),"",IFERROR(LOOKUP(2,1/(($B750:$B1649=$B1650)*($G750:$G1649=$G1650)*($X750:$X1649="VALIDE")),$C750:$C1649),""))</f>
        <v/>
      </c>
      <c r="T1650" s="36">
        <f>IF(OR($C1650="",$S1650=""),"",ROUND(($C1650-$S1650+IF($C1650&lt;$S1650,1,0))*1440,0))</f>
        <v/>
      </c>
      <c r="U1650" s="22">
        <f>IF(OR($H1650="",$T1650="",$T1650&lt;=0),"",$H1650*60/$T1650)</f>
        <v/>
      </c>
      <c r="V1650" s="37">
        <f>IF(OR($U1650="",$R1650="",$R1650=0),"",$U1650/$R1650)</f>
        <v/>
      </c>
      <c r="W1650" s="20">
        <f>IF($G1650="","",IF($X1650="CONTEXTE INCOMPLET","CONTEXTE INCOMPLET",IF($X1650="DOUBLON",StatutDoublon,IF($S1650="",StatutInitial,IF($R1650="",StatutStandardManquant,IF($V1650="","DONNEES INSUFFISANTES",IF($V1650&gt;=SeuilConforme,StatutConforme,IF($V1650&gt;=SeuilSurveiller,StatutSurveiller,StatutSousStandard))))))))</f>
        <v/>
      </c>
      <c r="X1650" s="33">
        <f>IF($G1650="","",IF(OR($D1650="",$E1650="",$F1650=""),"CONTEXTE INCOMPLET",IF(COUNTIFS($D750:$D1649,$D1650,$E750:$E1649,$E1650,$F750:$F1649,$F1650,$G750:$G1649,$G1650)&gt;0,"DOUBLON","VALIDE")))</f>
        <v/>
      </c>
    </row>
    <row r="1651" ht="15" customHeight="1">
      <c r="A1651" s="12">
        <f>IF(OR($B1651="",$G1651=""),"",TEXT($B1651,"YYYYMMDD")&amp;"-"&amp;SUBSTITUTE($E1651," ","")&amp;"-"&amp;$F1651&amp;"-"&amp;$G1651)</f>
        <v/>
      </c>
      <c r="B1651" s="15" t="n"/>
      <c r="C1651" s="16" t="n"/>
      <c r="D1651" s="10" t="n"/>
      <c r="E1651" s="9" t="n"/>
      <c r="F1651" s="9" t="n"/>
      <c r="G1651" s="13" t="n"/>
      <c r="H1651" s="21" t="n"/>
      <c r="I1651" s="21" t="n"/>
      <c r="J1651" s="17">
        <f>IF($G1651="","",IFERROR(INDEX(NomsEmployes,MATCH($G1651,MatriculesEmployes,0)),"MATRICULE INCONNU"))</f>
        <v/>
      </c>
      <c r="K1651" s="33">
        <f>IF(OR($D1651="",$F1651=""),"",IFERROR(IF(INDEX(RUNS!$L$6:$S$1005,MATCH($D1651,RUNS!$A$6:$A$1005,0),MATCH("ACTIVITÉ "&amp;$F1651,RUNS!$L$5:$S$5,0))="","",INDEX(RUNS!$L$6:$S$1005,MATCH($D1651,RUNS!$A$6:$A$1005,0),MATCH("ACTIVITÉ "&amp;$F1651,RUNS!$L$5:$S$5,0))),""))</f>
        <v/>
      </c>
      <c r="L1651" s="33">
        <f>IF($D1651="","",IFERROR(IF(INDEX(RUNS!$E$6:$E$1005,MATCH($D1651,RUNS!$A$6:$A$1005,0))="","",INDEX(RUNS!$E$6:$E$1005,MATCH($D1651,RUNS!$A$6:$A$1005,0))),""))</f>
        <v/>
      </c>
      <c r="M1651" s="33">
        <f>IF($D1651="","",IFERROR(IF(INDEX(RUNS!$F$6:$F$1005,MATCH($D1651,RUNS!$A$6:$A$1005,0))="","",INDEX(RUNS!$F$6:$F$1005,MATCH($D1651,RUNS!$A$6:$A$1005,0))),""))</f>
        <v/>
      </c>
      <c r="N1651" s="33">
        <f>IF($D1651="","",IFERROR(IF(INDEX(RUNS!$G$6:$G$1005,MATCH($D1651,RUNS!$A$6:$A$1005,0))="","",INDEX(RUNS!$G$6:$G$1005,MATCH($D1651,RUNS!$A$6:$A$1005,0))),""))</f>
        <v/>
      </c>
      <c r="O1651" s="33">
        <f>IF($D1651="","",IFERROR(IF(INDEX(RUNS!$H$6:$H$1005,MATCH($D1651,RUNS!$A$6:$A$1005,0))="","",INDEX(RUNS!$H$6:$H$1005,MATCH($D1651,RUNS!$A$6:$A$1005,0))),""))</f>
        <v/>
      </c>
      <c r="P1651" s="33">
        <f>IF($D1651="","",IFERROR(IF(INDEX(RUNS!$J$6:$J$1005,MATCH($D1651,RUNS!$A$6:$A$1005,0))="","",INDEX(RUNS!$J$6:$J$1005,MATCH($D1651,RUNS!$A$6:$A$1005,0))),""))</f>
        <v/>
      </c>
      <c r="Q1651" s="33">
        <f>IF($D1651="","",IFERROR(IF(INDEX(RUNS!$K$6:$K$1005,MATCH($D1651,RUNS!$A$6:$A$1005,0))="","",INDEX(RUNS!$K$6:$K$1005,MATCH($D1651,RUNS!$A$6:$A$1005,0))),""))</f>
        <v/>
      </c>
      <c r="R1651" s="34">
        <f>IF(OR($L1651="",$K1651=""),"",IFERROR(IF(INDEX(PARAMETRES!$H$43:$H$342,MATCH($L1651&amp;"|"&amp;$M1651&amp;"|"&amp;$N1651&amp;"|"&amp;$O1651&amp;"|"&amp;$P1651&amp;"|"&amp;$Q1651&amp;"|"&amp;$K1651,PARAMETRES!$J$43:$J$342,0))="","",INDEX(PARAMETRES!$H$43:$H$342,MATCH($L1651&amp;"|"&amp;$M1651&amp;"|"&amp;$N1651&amp;"|"&amp;$O1651&amp;"|"&amp;$P1651&amp;"|"&amp;$Q1651&amp;"|"&amp;$K1651,PARAMETRES!$J$43:$J$342,0))),""))</f>
        <v/>
      </c>
      <c r="S1651" s="35">
        <f>IF(OR($G1651="",$X1651&lt;&gt;"VALIDE"),"",IFERROR(LOOKUP(2,1/(($B751:$B1650=$B1651)*($G751:$G1650=$G1651)*($X751:$X1650="VALIDE")),$C751:$C1650),""))</f>
        <v/>
      </c>
      <c r="T1651" s="36">
        <f>IF(OR($C1651="",$S1651=""),"",ROUND(($C1651-$S1651+IF($C1651&lt;$S1651,1,0))*1440,0))</f>
        <v/>
      </c>
      <c r="U1651" s="22">
        <f>IF(OR($H1651="",$T1651="",$T1651&lt;=0),"",$H1651*60/$T1651)</f>
        <v/>
      </c>
      <c r="V1651" s="37">
        <f>IF(OR($U1651="",$R1651="",$R1651=0),"",$U1651/$R1651)</f>
        <v/>
      </c>
      <c r="W1651" s="20">
        <f>IF($G1651="","",IF($X1651="CONTEXTE INCOMPLET","CONTEXTE INCOMPLET",IF($X1651="DOUBLON",StatutDoublon,IF($S1651="",StatutInitial,IF($R1651="",StatutStandardManquant,IF($V1651="","DONNEES INSUFFISANTES",IF($V1651&gt;=SeuilConforme,StatutConforme,IF($V1651&gt;=SeuilSurveiller,StatutSurveiller,StatutSousStandard))))))))</f>
        <v/>
      </c>
      <c r="X1651" s="33">
        <f>IF($G1651="","",IF(OR($D1651="",$E1651="",$F1651=""),"CONTEXTE INCOMPLET",IF(COUNTIFS($D751:$D1650,$D1651,$E751:$E1650,$E1651,$F751:$F1650,$F1651,$G751:$G1650,$G1651)&gt;0,"DOUBLON","VALIDE")))</f>
        <v/>
      </c>
    </row>
    <row r="1652" ht="15" customHeight="1">
      <c r="A1652" s="12">
        <f>IF(OR($B1652="",$G1652=""),"",TEXT($B1652,"YYYYMMDD")&amp;"-"&amp;SUBSTITUTE($E1652," ","")&amp;"-"&amp;$F1652&amp;"-"&amp;$G1652)</f>
        <v/>
      </c>
      <c r="B1652" s="15" t="n"/>
      <c r="C1652" s="16" t="n"/>
      <c r="D1652" s="10" t="n"/>
      <c r="E1652" s="9" t="n"/>
      <c r="F1652" s="9" t="n"/>
      <c r="G1652" s="13" t="n"/>
      <c r="H1652" s="21" t="n"/>
      <c r="I1652" s="21" t="n"/>
      <c r="J1652" s="17">
        <f>IF($G1652="","",IFERROR(INDEX(NomsEmployes,MATCH($G1652,MatriculesEmployes,0)),"MATRICULE INCONNU"))</f>
        <v/>
      </c>
      <c r="K1652" s="33">
        <f>IF(OR($D1652="",$F1652=""),"",IFERROR(IF(INDEX(RUNS!$L$6:$S$1005,MATCH($D1652,RUNS!$A$6:$A$1005,0),MATCH("ACTIVITÉ "&amp;$F1652,RUNS!$L$5:$S$5,0))="","",INDEX(RUNS!$L$6:$S$1005,MATCH($D1652,RUNS!$A$6:$A$1005,0),MATCH("ACTIVITÉ "&amp;$F1652,RUNS!$L$5:$S$5,0))),""))</f>
        <v/>
      </c>
      <c r="L1652" s="33">
        <f>IF($D1652="","",IFERROR(IF(INDEX(RUNS!$E$6:$E$1005,MATCH($D1652,RUNS!$A$6:$A$1005,0))="","",INDEX(RUNS!$E$6:$E$1005,MATCH($D1652,RUNS!$A$6:$A$1005,0))),""))</f>
        <v/>
      </c>
      <c r="M1652" s="33">
        <f>IF($D1652="","",IFERROR(IF(INDEX(RUNS!$F$6:$F$1005,MATCH($D1652,RUNS!$A$6:$A$1005,0))="","",INDEX(RUNS!$F$6:$F$1005,MATCH($D1652,RUNS!$A$6:$A$1005,0))),""))</f>
        <v/>
      </c>
      <c r="N1652" s="33">
        <f>IF($D1652="","",IFERROR(IF(INDEX(RUNS!$G$6:$G$1005,MATCH($D1652,RUNS!$A$6:$A$1005,0))="","",INDEX(RUNS!$G$6:$G$1005,MATCH($D1652,RUNS!$A$6:$A$1005,0))),""))</f>
        <v/>
      </c>
      <c r="O1652" s="33">
        <f>IF($D1652="","",IFERROR(IF(INDEX(RUNS!$H$6:$H$1005,MATCH($D1652,RUNS!$A$6:$A$1005,0))="","",INDEX(RUNS!$H$6:$H$1005,MATCH($D1652,RUNS!$A$6:$A$1005,0))),""))</f>
        <v/>
      </c>
      <c r="P1652" s="33">
        <f>IF($D1652="","",IFERROR(IF(INDEX(RUNS!$J$6:$J$1005,MATCH($D1652,RUNS!$A$6:$A$1005,0))="","",INDEX(RUNS!$J$6:$J$1005,MATCH($D1652,RUNS!$A$6:$A$1005,0))),""))</f>
        <v/>
      </c>
      <c r="Q1652" s="33">
        <f>IF($D1652="","",IFERROR(IF(INDEX(RUNS!$K$6:$K$1005,MATCH($D1652,RUNS!$A$6:$A$1005,0))="","",INDEX(RUNS!$K$6:$K$1005,MATCH($D1652,RUNS!$A$6:$A$1005,0))),""))</f>
        <v/>
      </c>
      <c r="R1652" s="34">
        <f>IF(OR($L1652="",$K1652=""),"",IFERROR(IF(INDEX(PARAMETRES!$H$43:$H$342,MATCH($L1652&amp;"|"&amp;$M1652&amp;"|"&amp;$N1652&amp;"|"&amp;$O1652&amp;"|"&amp;$P1652&amp;"|"&amp;$Q1652&amp;"|"&amp;$K1652,PARAMETRES!$J$43:$J$342,0))="","",INDEX(PARAMETRES!$H$43:$H$342,MATCH($L1652&amp;"|"&amp;$M1652&amp;"|"&amp;$N1652&amp;"|"&amp;$O1652&amp;"|"&amp;$P1652&amp;"|"&amp;$Q1652&amp;"|"&amp;$K1652,PARAMETRES!$J$43:$J$342,0))),""))</f>
        <v/>
      </c>
      <c r="S1652" s="35">
        <f>IF(OR($G1652="",$X1652&lt;&gt;"VALIDE"),"",IFERROR(LOOKUP(2,1/(($B752:$B1651=$B1652)*($G752:$G1651=$G1652)*($X752:$X1651="VALIDE")),$C752:$C1651),""))</f>
        <v/>
      </c>
      <c r="T1652" s="36">
        <f>IF(OR($C1652="",$S1652=""),"",ROUND(($C1652-$S1652+IF($C1652&lt;$S1652,1,0))*1440,0))</f>
        <v/>
      </c>
      <c r="U1652" s="22">
        <f>IF(OR($H1652="",$T1652="",$T1652&lt;=0),"",$H1652*60/$T1652)</f>
        <v/>
      </c>
      <c r="V1652" s="37">
        <f>IF(OR($U1652="",$R1652="",$R1652=0),"",$U1652/$R1652)</f>
        <v/>
      </c>
      <c r="W1652" s="20">
        <f>IF($G1652="","",IF($X1652="CONTEXTE INCOMPLET","CONTEXTE INCOMPLET",IF($X1652="DOUBLON",StatutDoublon,IF($S1652="",StatutInitial,IF($R1652="",StatutStandardManquant,IF($V1652="","DONNEES INSUFFISANTES",IF($V1652&gt;=SeuilConforme,StatutConforme,IF($V1652&gt;=SeuilSurveiller,StatutSurveiller,StatutSousStandard))))))))</f>
        <v/>
      </c>
      <c r="X1652" s="33">
        <f>IF($G1652="","",IF(OR($D1652="",$E1652="",$F1652=""),"CONTEXTE INCOMPLET",IF(COUNTIFS($D752:$D1651,$D1652,$E752:$E1651,$E1652,$F752:$F1651,$F1652,$G752:$G1651,$G1652)&gt;0,"DOUBLON","VALIDE")))</f>
        <v/>
      </c>
    </row>
    <row r="1653" ht="15" customHeight="1">
      <c r="A1653" s="12">
        <f>IF(OR($B1653="",$G1653=""),"",TEXT($B1653,"YYYYMMDD")&amp;"-"&amp;SUBSTITUTE($E1653," ","")&amp;"-"&amp;$F1653&amp;"-"&amp;$G1653)</f>
        <v/>
      </c>
      <c r="B1653" s="15" t="n"/>
      <c r="C1653" s="16" t="n"/>
      <c r="D1653" s="10" t="n"/>
      <c r="E1653" s="9" t="n"/>
      <c r="F1653" s="9" t="n"/>
      <c r="G1653" s="13" t="n"/>
      <c r="H1653" s="21" t="n"/>
      <c r="I1653" s="21" t="n"/>
      <c r="J1653" s="17">
        <f>IF($G1653="","",IFERROR(INDEX(NomsEmployes,MATCH($G1653,MatriculesEmployes,0)),"MATRICULE INCONNU"))</f>
        <v/>
      </c>
      <c r="K1653" s="33">
        <f>IF(OR($D1653="",$F1653=""),"",IFERROR(IF(INDEX(RUNS!$L$6:$S$1005,MATCH($D1653,RUNS!$A$6:$A$1005,0),MATCH("ACTIVITÉ "&amp;$F1653,RUNS!$L$5:$S$5,0))="","",INDEX(RUNS!$L$6:$S$1005,MATCH($D1653,RUNS!$A$6:$A$1005,0),MATCH("ACTIVITÉ "&amp;$F1653,RUNS!$L$5:$S$5,0))),""))</f>
        <v/>
      </c>
      <c r="L1653" s="33">
        <f>IF($D1653="","",IFERROR(IF(INDEX(RUNS!$E$6:$E$1005,MATCH($D1653,RUNS!$A$6:$A$1005,0))="","",INDEX(RUNS!$E$6:$E$1005,MATCH($D1653,RUNS!$A$6:$A$1005,0))),""))</f>
        <v/>
      </c>
      <c r="M1653" s="33">
        <f>IF($D1653="","",IFERROR(IF(INDEX(RUNS!$F$6:$F$1005,MATCH($D1653,RUNS!$A$6:$A$1005,0))="","",INDEX(RUNS!$F$6:$F$1005,MATCH($D1653,RUNS!$A$6:$A$1005,0))),""))</f>
        <v/>
      </c>
      <c r="N1653" s="33">
        <f>IF($D1653="","",IFERROR(IF(INDEX(RUNS!$G$6:$G$1005,MATCH($D1653,RUNS!$A$6:$A$1005,0))="","",INDEX(RUNS!$G$6:$G$1005,MATCH($D1653,RUNS!$A$6:$A$1005,0))),""))</f>
        <v/>
      </c>
      <c r="O1653" s="33">
        <f>IF($D1653="","",IFERROR(IF(INDEX(RUNS!$H$6:$H$1005,MATCH($D1653,RUNS!$A$6:$A$1005,0))="","",INDEX(RUNS!$H$6:$H$1005,MATCH($D1653,RUNS!$A$6:$A$1005,0))),""))</f>
        <v/>
      </c>
      <c r="P1653" s="33">
        <f>IF($D1653="","",IFERROR(IF(INDEX(RUNS!$J$6:$J$1005,MATCH($D1653,RUNS!$A$6:$A$1005,0))="","",INDEX(RUNS!$J$6:$J$1005,MATCH($D1653,RUNS!$A$6:$A$1005,0))),""))</f>
        <v/>
      </c>
      <c r="Q1653" s="33">
        <f>IF($D1653="","",IFERROR(IF(INDEX(RUNS!$K$6:$K$1005,MATCH($D1653,RUNS!$A$6:$A$1005,0))="","",INDEX(RUNS!$K$6:$K$1005,MATCH($D1653,RUNS!$A$6:$A$1005,0))),""))</f>
        <v/>
      </c>
      <c r="R1653" s="34">
        <f>IF(OR($L1653="",$K1653=""),"",IFERROR(IF(INDEX(PARAMETRES!$H$43:$H$342,MATCH($L1653&amp;"|"&amp;$M1653&amp;"|"&amp;$N1653&amp;"|"&amp;$O1653&amp;"|"&amp;$P1653&amp;"|"&amp;$Q1653&amp;"|"&amp;$K1653,PARAMETRES!$J$43:$J$342,0))="","",INDEX(PARAMETRES!$H$43:$H$342,MATCH($L1653&amp;"|"&amp;$M1653&amp;"|"&amp;$N1653&amp;"|"&amp;$O1653&amp;"|"&amp;$P1653&amp;"|"&amp;$Q1653&amp;"|"&amp;$K1653,PARAMETRES!$J$43:$J$342,0))),""))</f>
        <v/>
      </c>
      <c r="S1653" s="35">
        <f>IF(OR($G1653="",$X1653&lt;&gt;"VALIDE"),"",IFERROR(LOOKUP(2,1/(($B753:$B1652=$B1653)*($G753:$G1652=$G1653)*($X753:$X1652="VALIDE")),$C753:$C1652),""))</f>
        <v/>
      </c>
      <c r="T1653" s="36">
        <f>IF(OR($C1653="",$S1653=""),"",ROUND(($C1653-$S1653+IF($C1653&lt;$S1653,1,0))*1440,0))</f>
        <v/>
      </c>
      <c r="U1653" s="22">
        <f>IF(OR($H1653="",$T1653="",$T1653&lt;=0),"",$H1653*60/$T1653)</f>
        <v/>
      </c>
      <c r="V1653" s="37">
        <f>IF(OR($U1653="",$R1653="",$R1653=0),"",$U1653/$R1653)</f>
        <v/>
      </c>
      <c r="W1653" s="20">
        <f>IF($G1653="","",IF($X1653="CONTEXTE INCOMPLET","CONTEXTE INCOMPLET",IF($X1653="DOUBLON",StatutDoublon,IF($S1653="",StatutInitial,IF($R1653="",StatutStandardManquant,IF($V1653="","DONNEES INSUFFISANTES",IF($V1653&gt;=SeuilConforme,StatutConforme,IF($V1653&gt;=SeuilSurveiller,StatutSurveiller,StatutSousStandard))))))))</f>
        <v/>
      </c>
      <c r="X1653" s="33">
        <f>IF($G1653="","",IF(OR($D1653="",$E1653="",$F1653=""),"CONTEXTE INCOMPLET",IF(COUNTIFS($D753:$D1652,$D1653,$E753:$E1652,$E1653,$F753:$F1652,$F1653,$G753:$G1652,$G1653)&gt;0,"DOUBLON","VALIDE")))</f>
        <v/>
      </c>
    </row>
    <row r="1654" ht="15" customHeight="1">
      <c r="A1654" s="12">
        <f>IF(OR($B1654="",$G1654=""),"",TEXT($B1654,"YYYYMMDD")&amp;"-"&amp;SUBSTITUTE($E1654," ","")&amp;"-"&amp;$F1654&amp;"-"&amp;$G1654)</f>
        <v/>
      </c>
      <c r="B1654" s="15" t="n"/>
      <c r="C1654" s="16" t="n"/>
      <c r="D1654" s="10" t="n"/>
      <c r="E1654" s="9" t="n"/>
      <c r="F1654" s="9" t="n"/>
      <c r="G1654" s="13" t="n"/>
      <c r="H1654" s="21" t="n"/>
      <c r="I1654" s="21" t="n"/>
      <c r="J1654" s="17">
        <f>IF($G1654="","",IFERROR(INDEX(NomsEmployes,MATCH($G1654,MatriculesEmployes,0)),"MATRICULE INCONNU"))</f>
        <v/>
      </c>
      <c r="K1654" s="33">
        <f>IF(OR($D1654="",$F1654=""),"",IFERROR(IF(INDEX(RUNS!$L$6:$S$1005,MATCH($D1654,RUNS!$A$6:$A$1005,0),MATCH("ACTIVITÉ "&amp;$F1654,RUNS!$L$5:$S$5,0))="","",INDEX(RUNS!$L$6:$S$1005,MATCH($D1654,RUNS!$A$6:$A$1005,0),MATCH("ACTIVITÉ "&amp;$F1654,RUNS!$L$5:$S$5,0))),""))</f>
        <v/>
      </c>
      <c r="L1654" s="33">
        <f>IF($D1654="","",IFERROR(IF(INDEX(RUNS!$E$6:$E$1005,MATCH($D1654,RUNS!$A$6:$A$1005,0))="","",INDEX(RUNS!$E$6:$E$1005,MATCH($D1654,RUNS!$A$6:$A$1005,0))),""))</f>
        <v/>
      </c>
      <c r="M1654" s="33">
        <f>IF($D1654="","",IFERROR(IF(INDEX(RUNS!$F$6:$F$1005,MATCH($D1654,RUNS!$A$6:$A$1005,0))="","",INDEX(RUNS!$F$6:$F$1005,MATCH($D1654,RUNS!$A$6:$A$1005,0))),""))</f>
        <v/>
      </c>
      <c r="N1654" s="33">
        <f>IF($D1654="","",IFERROR(IF(INDEX(RUNS!$G$6:$G$1005,MATCH($D1654,RUNS!$A$6:$A$1005,0))="","",INDEX(RUNS!$G$6:$G$1005,MATCH($D1654,RUNS!$A$6:$A$1005,0))),""))</f>
        <v/>
      </c>
      <c r="O1654" s="33">
        <f>IF($D1654="","",IFERROR(IF(INDEX(RUNS!$H$6:$H$1005,MATCH($D1654,RUNS!$A$6:$A$1005,0))="","",INDEX(RUNS!$H$6:$H$1005,MATCH($D1654,RUNS!$A$6:$A$1005,0))),""))</f>
        <v/>
      </c>
      <c r="P1654" s="33">
        <f>IF($D1654="","",IFERROR(IF(INDEX(RUNS!$J$6:$J$1005,MATCH($D1654,RUNS!$A$6:$A$1005,0))="","",INDEX(RUNS!$J$6:$J$1005,MATCH($D1654,RUNS!$A$6:$A$1005,0))),""))</f>
        <v/>
      </c>
      <c r="Q1654" s="33">
        <f>IF($D1654="","",IFERROR(IF(INDEX(RUNS!$K$6:$K$1005,MATCH($D1654,RUNS!$A$6:$A$1005,0))="","",INDEX(RUNS!$K$6:$K$1005,MATCH($D1654,RUNS!$A$6:$A$1005,0))),""))</f>
        <v/>
      </c>
      <c r="R1654" s="34">
        <f>IF(OR($L1654="",$K1654=""),"",IFERROR(IF(INDEX(PARAMETRES!$H$43:$H$342,MATCH($L1654&amp;"|"&amp;$M1654&amp;"|"&amp;$N1654&amp;"|"&amp;$O1654&amp;"|"&amp;$P1654&amp;"|"&amp;$Q1654&amp;"|"&amp;$K1654,PARAMETRES!$J$43:$J$342,0))="","",INDEX(PARAMETRES!$H$43:$H$342,MATCH($L1654&amp;"|"&amp;$M1654&amp;"|"&amp;$N1654&amp;"|"&amp;$O1654&amp;"|"&amp;$P1654&amp;"|"&amp;$Q1654&amp;"|"&amp;$K1654,PARAMETRES!$J$43:$J$342,0))),""))</f>
        <v/>
      </c>
      <c r="S1654" s="35">
        <f>IF(OR($G1654="",$X1654&lt;&gt;"VALIDE"),"",IFERROR(LOOKUP(2,1/(($B754:$B1653=$B1654)*($G754:$G1653=$G1654)*($X754:$X1653="VALIDE")),$C754:$C1653),""))</f>
        <v/>
      </c>
      <c r="T1654" s="36">
        <f>IF(OR($C1654="",$S1654=""),"",ROUND(($C1654-$S1654+IF($C1654&lt;$S1654,1,0))*1440,0))</f>
        <v/>
      </c>
      <c r="U1654" s="22">
        <f>IF(OR($H1654="",$T1654="",$T1654&lt;=0),"",$H1654*60/$T1654)</f>
        <v/>
      </c>
      <c r="V1654" s="37">
        <f>IF(OR($U1654="",$R1654="",$R1654=0),"",$U1654/$R1654)</f>
        <v/>
      </c>
      <c r="W1654" s="20">
        <f>IF($G1654="","",IF($X1654="CONTEXTE INCOMPLET","CONTEXTE INCOMPLET",IF($X1654="DOUBLON",StatutDoublon,IF($S1654="",StatutInitial,IF($R1654="",StatutStandardManquant,IF($V1654="","DONNEES INSUFFISANTES",IF($V1654&gt;=SeuilConforme,StatutConforme,IF($V1654&gt;=SeuilSurveiller,StatutSurveiller,StatutSousStandard))))))))</f>
        <v/>
      </c>
      <c r="X1654" s="33">
        <f>IF($G1654="","",IF(OR($D1654="",$E1654="",$F1654=""),"CONTEXTE INCOMPLET",IF(COUNTIFS($D754:$D1653,$D1654,$E754:$E1653,$E1654,$F754:$F1653,$F1654,$G754:$G1653,$G1654)&gt;0,"DOUBLON","VALIDE")))</f>
        <v/>
      </c>
    </row>
    <row r="1655" ht="15" customHeight="1">
      <c r="A1655" s="12">
        <f>IF(OR($B1655="",$G1655=""),"",TEXT($B1655,"YYYYMMDD")&amp;"-"&amp;SUBSTITUTE($E1655," ","")&amp;"-"&amp;$F1655&amp;"-"&amp;$G1655)</f>
        <v/>
      </c>
      <c r="B1655" s="15" t="n"/>
      <c r="C1655" s="16" t="n"/>
      <c r="D1655" s="10" t="n"/>
      <c r="E1655" s="9" t="n"/>
      <c r="F1655" s="9" t="n"/>
      <c r="G1655" s="13" t="n"/>
      <c r="H1655" s="21" t="n"/>
      <c r="I1655" s="21" t="n"/>
      <c r="J1655" s="17">
        <f>IF($G1655="","",IFERROR(INDEX(NomsEmployes,MATCH($G1655,MatriculesEmployes,0)),"MATRICULE INCONNU"))</f>
        <v/>
      </c>
      <c r="K1655" s="33">
        <f>IF(OR($D1655="",$F1655=""),"",IFERROR(IF(INDEX(RUNS!$L$6:$S$1005,MATCH($D1655,RUNS!$A$6:$A$1005,0),MATCH("ACTIVITÉ "&amp;$F1655,RUNS!$L$5:$S$5,0))="","",INDEX(RUNS!$L$6:$S$1005,MATCH($D1655,RUNS!$A$6:$A$1005,0),MATCH("ACTIVITÉ "&amp;$F1655,RUNS!$L$5:$S$5,0))),""))</f>
        <v/>
      </c>
      <c r="L1655" s="33">
        <f>IF($D1655="","",IFERROR(IF(INDEX(RUNS!$E$6:$E$1005,MATCH($D1655,RUNS!$A$6:$A$1005,0))="","",INDEX(RUNS!$E$6:$E$1005,MATCH($D1655,RUNS!$A$6:$A$1005,0))),""))</f>
        <v/>
      </c>
      <c r="M1655" s="33">
        <f>IF($D1655="","",IFERROR(IF(INDEX(RUNS!$F$6:$F$1005,MATCH($D1655,RUNS!$A$6:$A$1005,0))="","",INDEX(RUNS!$F$6:$F$1005,MATCH($D1655,RUNS!$A$6:$A$1005,0))),""))</f>
        <v/>
      </c>
      <c r="N1655" s="33">
        <f>IF($D1655="","",IFERROR(IF(INDEX(RUNS!$G$6:$G$1005,MATCH($D1655,RUNS!$A$6:$A$1005,0))="","",INDEX(RUNS!$G$6:$G$1005,MATCH($D1655,RUNS!$A$6:$A$1005,0))),""))</f>
        <v/>
      </c>
      <c r="O1655" s="33">
        <f>IF($D1655="","",IFERROR(IF(INDEX(RUNS!$H$6:$H$1005,MATCH($D1655,RUNS!$A$6:$A$1005,0))="","",INDEX(RUNS!$H$6:$H$1005,MATCH($D1655,RUNS!$A$6:$A$1005,0))),""))</f>
        <v/>
      </c>
      <c r="P1655" s="33">
        <f>IF($D1655="","",IFERROR(IF(INDEX(RUNS!$J$6:$J$1005,MATCH($D1655,RUNS!$A$6:$A$1005,0))="","",INDEX(RUNS!$J$6:$J$1005,MATCH($D1655,RUNS!$A$6:$A$1005,0))),""))</f>
        <v/>
      </c>
      <c r="Q1655" s="33">
        <f>IF($D1655="","",IFERROR(IF(INDEX(RUNS!$K$6:$K$1005,MATCH($D1655,RUNS!$A$6:$A$1005,0))="","",INDEX(RUNS!$K$6:$K$1005,MATCH($D1655,RUNS!$A$6:$A$1005,0))),""))</f>
        <v/>
      </c>
      <c r="R1655" s="34">
        <f>IF(OR($L1655="",$K1655=""),"",IFERROR(IF(INDEX(PARAMETRES!$H$43:$H$342,MATCH($L1655&amp;"|"&amp;$M1655&amp;"|"&amp;$N1655&amp;"|"&amp;$O1655&amp;"|"&amp;$P1655&amp;"|"&amp;$Q1655&amp;"|"&amp;$K1655,PARAMETRES!$J$43:$J$342,0))="","",INDEX(PARAMETRES!$H$43:$H$342,MATCH($L1655&amp;"|"&amp;$M1655&amp;"|"&amp;$N1655&amp;"|"&amp;$O1655&amp;"|"&amp;$P1655&amp;"|"&amp;$Q1655&amp;"|"&amp;$K1655,PARAMETRES!$J$43:$J$342,0))),""))</f>
        <v/>
      </c>
      <c r="S1655" s="35">
        <f>IF(OR($G1655="",$X1655&lt;&gt;"VALIDE"),"",IFERROR(LOOKUP(2,1/(($B755:$B1654=$B1655)*($G755:$G1654=$G1655)*($X755:$X1654="VALIDE")),$C755:$C1654),""))</f>
        <v/>
      </c>
      <c r="T1655" s="36">
        <f>IF(OR($C1655="",$S1655=""),"",ROUND(($C1655-$S1655+IF($C1655&lt;$S1655,1,0))*1440,0))</f>
        <v/>
      </c>
      <c r="U1655" s="22">
        <f>IF(OR($H1655="",$T1655="",$T1655&lt;=0),"",$H1655*60/$T1655)</f>
        <v/>
      </c>
      <c r="V1655" s="37">
        <f>IF(OR($U1655="",$R1655="",$R1655=0),"",$U1655/$R1655)</f>
        <v/>
      </c>
      <c r="W1655" s="20">
        <f>IF($G1655="","",IF($X1655="CONTEXTE INCOMPLET","CONTEXTE INCOMPLET",IF($X1655="DOUBLON",StatutDoublon,IF($S1655="",StatutInitial,IF($R1655="",StatutStandardManquant,IF($V1655="","DONNEES INSUFFISANTES",IF($V1655&gt;=SeuilConforme,StatutConforme,IF($V1655&gt;=SeuilSurveiller,StatutSurveiller,StatutSousStandard))))))))</f>
        <v/>
      </c>
      <c r="X1655" s="33">
        <f>IF($G1655="","",IF(OR($D1655="",$E1655="",$F1655=""),"CONTEXTE INCOMPLET",IF(COUNTIFS($D755:$D1654,$D1655,$E755:$E1654,$E1655,$F755:$F1654,$F1655,$G755:$G1654,$G1655)&gt;0,"DOUBLON","VALIDE")))</f>
        <v/>
      </c>
    </row>
    <row r="1656" ht="15" customHeight="1">
      <c r="A1656" s="12">
        <f>IF(OR($B1656="",$G1656=""),"",TEXT($B1656,"YYYYMMDD")&amp;"-"&amp;SUBSTITUTE($E1656," ","")&amp;"-"&amp;$F1656&amp;"-"&amp;$G1656)</f>
        <v/>
      </c>
      <c r="B1656" s="15" t="n"/>
      <c r="C1656" s="16" t="n"/>
      <c r="D1656" s="10" t="n"/>
      <c r="E1656" s="9" t="n"/>
      <c r="F1656" s="9" t="n"/>
      <c r="G1656" s="13" t="n"/>
      <c r="H1656" s="21" t="n"/>
      <c r="I1656" s="21" t="n"/>
      <c r="J1656" s="17">
        <f>IF($G1656="","",IFERROR(INDEX(NomsEmployes,MATCH($G1656,MatriculesEmployes,0)),"MATRICULE INCONNU"))</f>
        <v/>
      </c>
      <c r="K1656" s="33">
        <f>IF(OR($D1656="",$F1656=""),"",IFERROR(IF(INDEX(RUNS!$L$6:$S$1005,MATCH($D1656,RUNS!$A$6:$A$1005,0),MATCH("ACTIVITÉ "&amp;$F1656,RUNS!$L$5:$S$5,0))="","",INDEX(RUNS!$L$6:$S$1005,MATCH($D1656,RUNS!$A$6:$A$1005,0),MATCH("ACTIVITÉ "&amp;$F1656,RUNS!$L$5:$S$5,0))),""))</f>
        <v/>
      </c>
      <c r="L1656" s="33">
        <f>IF($D1656="","",IFERROR(IF(INDEX(RUNS!$E$6:$E$1005,MATCH($D1656,RUNS!$A$6:$A$1005,0))="","",INDEX(RUNS!$E$6:$E$1005,MATCH($D1656,RUNS!$A$6:$A$1005,0))),""))</f>
        <v/>
      </c>
      <c r="M1656" s="33">
        <f>IF($D1656="","",IFERROR(IF(INDEX(RUNS!$F$6:$F$1005,MATCH($D1656,RUNS!$A$6:$A$1005,0))="","",INDEX(RUNS!$F$6:$F$1005,MATCH($D1656,RUNS!$A$6:$A$1005,0))),""))</f>
        <v/>
      </c>
      <c r="N1656" s="33">
        <f>IF($D1656="","",IFERROR(IF(INDEX(RUNS!$G$6:$G$1005,MATCH($D1656,RUNS!$A$6:$A$1005,0))="","",INDEX(RUNS!$G$6:$G$1005,MATCH($D1656,RUNS!$A$6:$A$1005,0))),""))</f>
        <v/>
      </c>
      <c r="O1656" s="33">
        <f>IF($D1656="","",IFERROR(IF(INDEX(RUNS!$H$6:$H$1005,MATCH($D1656,RUNS!$A$6:$A$1005,0))="","",INDEX(RUNS!$H$6:$H$1005,MATCH($D1656,RUNS!$A$6:$A$1005,0))),""))</f>
        <v/>
      </c>
      <c r="P1656" s="33">
        <f>IF($D1656="","",IFERROR(IF(INDEX(RUNS!$J$6:$J$1005,MATCH($D1656,RUNS!$A$6:$A$1005,0))="","",INDEX(RUNS!$J$6:$J$1005,MATCH($D1656,RUNS!$A$6:$A$1005,0))),""))</f>
        <v/>
      </c>
      <c r="Q1656" s="33">
        <f>IF($D1656="","",IFERROR(IF(INDEX(RUNS!$K$6:$K$1005,MATCH($D1656,RUNS!$A$6:$A$1005,0))="","",INDEX(RUNS!$K$6:$K$1005,MATCH($D1656,RUNS!$A$6:$A$1005,0))),""))</f>
        <v/>
      </c>
      <c r="R1656" s="34">
        <f>IF(OR($L1656="",$K1656=""),"",IFERROR(IF(INDEX(PARAMETRES!$H$43:$H$342,MATCH($L1656&amp;"|"&amp;$M1656&amp;"|"&amp;$N1656&amp;"|"&amp;$O1656&amp;"|"&amp;$P1656&amp;"|"&amp;$Q1656&amp;"|"&amp;$K1656,PARAMETRES!$J$43:$J$342,0))="","",INDEX(PARAMETRES!$H$43:$H$342,MATCH($L1656&amp;"|"&amp;$M1656&amp;"|"&amp;$N1656&amp;"|"&amp;$O1656&amp;"|"&amp;$P1656&amp;"|"&amp;$Q1656&amp;"|"&amp;$K1656,PARAMETRES!$J$43:$J$342,0))),""))</f>
        <v/>
      </c>
      <c r="S1656" s="35">
        <f>IF(OR($G1656="",$X1656&lt;&gt;"VALIDE"),"",IFERROR(LOOKUP(2,1/(($B756:$B1655=$B1656)*($G756:$G1655=$G1656)*($X756:$X1655="VALIDE")),$C756:$C1655),""))</f>
        <v/>
      </c>
      <c r="T1656" s="36">
        <f>IF(OR($C1656="",$S1656=""),"",ROUND(($C1656-$S1656+IF($C1656&lt;$S1656,1,0))*1440,0))</f>
        <v/>
      </c>
      <c r="U1656" s="22">
        <f>IF(OR($H1656="",$T1656="",$T1656&lt;=0),"",$H1656*60/$T1656)</f>
        <v/>
      </c>
      <c r="V1656" s="37">
        <f>IF(OR($U1656="",$R1656="",$R1656=0),"",$U1656/$R1656)</f>
        <v/>
      </c>
      <c r="W1656" s="20">
        <f>IF($G1656="","",IF($X1656="CONTEXTE INCOMPLET","CONTEXTE INCOMPLET",IF($X1656="DOUBLON",StatutDoublon,IF($S1656="",StatutInitial,IF($R1656="",StatutStandardManquant,IF($V1656="","DONNEES INSUFFISANTES",IF($V1656&gt;=SeuilConforme,StatutConforme,IF($V1656&gt;=SeuilSurveiller,StatutSurveiller,StatutSousStandard))))))))</f>
        <v/>
      </c>
      <c r="X1656" s="33">
        <f>IF($G1656="","",IF(OR($D1656="",$E1656="",$F1656=""),"CONTEXTE INCOMPLET",IF(COUNTIFS($D756:$D1655,$D1656,$E756:$E1655,$E1656,$F756:$F1655,$F1656,$G756:$G1655,$G1656)&gt;0,"DOUBLON","VALIDE")))</f>
        <v/>
      </c>
    </row>
    <row r="1657" ht="15" customHeight="1">
      <c r="A1657" s="12">
        <f>IF(OR($B1657="",$G1657=""),"",TEXT($B1657,"YYYYMMDD")&amp;"-"&amp;SUBSTITUTE($E1657," ","")&amp;"-"&amp;$F1657&amp;"-"&amp;$G1657)</f>
        <v/>
      </c>
      <c r="B1657" s="15" t="n"/>
      <c r="C1657" s="16" t="n"/>
      <c r="D1657" s="10" t="n"/>
      <c r="E1657" s="9" t="n"/>
      <c r="F1657" s="9" t="n"/>
      <c r="G1657" s="13" t="n"/>
      <c r="H1657" s="21" t="n"/>
      <c r="I1657" s="21" t="n"/>
      <c r="J1657" s="17">
        <f>IF($G1657="","",IFERROR(INDEX(NomsEmployes,MATCH($G1657,MatriculesEmployes,0)),"MATRICULE INCONNU"))</f>
        <v/>
      </c>
      <c r="K1657" s="33">
        <f>IF(OR($D1657="",$F1657=""),"",IFERROR(IF(INDEX(RUNS!$L$6:$S$1005,MATCH($D1657,RUNS!$A$6:$A$1005,0),MATCH("ACTIVITÉ "&amp;$F1657,RUNS!$L$5:$S$5,0))="","",INDEX(RUNS!$L$6:$S$1005,MATCH($D1657,RUNS!$A$6:$A$1005,0),MATCH("ACTIVITÉ "&amp;$F1657,RUNS!$L$5:$S$5,0))),""))</f>
        <v/>
      </c>
      <c r="L1657" s="33">
        <f>IF($D1657="","",IFERROR(IF(INDEX(RUNS!$E$6:$E$1005,MATCH($D1657,RUNS!$A$6:$A$1005,0))="","",INDEX(RUNS!$E$6:$E$1005,MATCH($D1657,RUNS!$A$6:$A$1005,0))),""))</f>
        <v/>
      </c>
      <c r="M1657" s="33">
        <f>IF($D1657="","",IFERROR(IF(INDEX(RUNS!$F$6:$F$1005,MATCH($D1657,RUNS!$A$6:$A$1005,0))="","",INDEX(RUNS!$F$6:$F$1005,MATCH($D1657,RUNS!$A$6:$A$1005,0))),""))</f>
        <v/>
      </c>
      <c r="N1657" s="33">
        <f>IF($D1657="","",IFERROR(IF(INDEX(RUNS!$G$6:$G$1005,MATCH($D1657,RUNS!$A$6:$A$1005,0))="","",INDEX(RUNS!$G$6:$G$1005,MATCH($D1657,RUNS!$A$6:$A$1005,0))),""))</f>
        <v/>
      </c>
      <c r="O1657" s="33">
        <f>IF($D1657="","",IFERROR(IF(INDEX(RUNS!$H$6:$H$1005,MATCH($D1657,RUNS!$A$6:$A$1005,0))="","",INDEX(RUNS!$H$6:$H$1005,MATCH($D1657,RUNS!$A$6:$A$1005,0))),""))</f>
        <v/>
      </c>
      <c r="P1657" s="33">
        <f>IF($D1657="","",IFERROR(IF(INDEX(RUNS!$J$6:$J$1005,MATCH($D1657,RUNS!$A$6:$A$1005,0))="","",INDEX(RUNS!$J$6:$J$1005,MATCH($D1657,RUNS!$A$6:$A$1005,0))),""))</f>
        <v/>
      </c>
      <c r="Q1657" s="33">
        <f>IF($D1657="","",IFERROR(IF(INDEX(RUNS!$K$6:$K$1005,MATCH($D1657,RUNS!$A$6:$A$1005,0))="","",INDEX(RUNS!$K$6:$K$1005,MATCH($D1657,RUNS!$A$6:$A$1005,0))),""))</f>
        <v/>
      </c>
      <c r="R1657" s="34">
        <f>IF(OR($L1657="",$K1657=""),"",IFERROR(IF(INDEX(PARAMETRES!$H$43:$H$342,MATCH($L1657&amp;"|"&amp;$M1657&amp;"|"&amp;$N1657&amp;"|"&amp;$O1657&amp;"|"&amp;$P1657&amp;"|"&amp;$Q1657&amp;"|"&amp;$K1657,PARAMETRES!$J$43:$J$342,0))="","",INDEX(PARAMETRES!$H$43:$H$342,MATCH($L1657&amp;"|"&amp;$M1657&amp;"|"&amp;$N1657&amp;"|"&amp;$O1657&amp;"|"&amp;$P1657&amp;"|"&amp;$Q1657&amp;"|"&amp;$K1657,PARAMETRES!$J$43:$J$342,0))),""))</f>
        <v/>
      </c>
      <c r="S1657" s="35">
        <f>IF(OR($G1657="",$X1657&lt;&gt;"VALIDE"),"",IFERROR(LOOKUP(2,1/(($B757:$B1656=$B1657)*($G757:$G1656=$G1657)*($X757:$X1656="VALIDE")),$C757:$C1656),""))</f>
        <v/>
      </c>
      <c r="T1657" s="36">
        <f>IF(OR($C1657="",$S1657=""),"",ROUND(($C1657-$S1657+IF($C1657&lt;$S1657,1,0))*1440,0))</f>
        <v/>
      </c>
      <c r="U1657" s="22">
        <f>IF(OR($H1657="",$T1657="",$T1657&lt;=0),"",$H1657*60/$T1657)</f>
        <v/>
      </c>
      <c r="V1657" s="37">
        <f>IF(OR($U1657="",$R1657="",$R1657=0),"",$U1657/$R1657)</f>
        <v/>
      </c>
      <c r="W1657" s="20">
        <f>IF($G1657="","",IF($X1657="CONTEXTE INCOMPLET","CONTEXTE INCOMPLET",IF($X1657="DOUBLON",StatutDoublon,IF($S1657="",StatutInitial,IF($R1657="",StatutStandardManquant,IF($V1657="","DONNEES INSUFFISANTES",IF($V1657&gt;=SeuilConforme,StatutConforme,IF($V1657&gt;=SeuilSurveiller,StatutSurveiller,StatutSousStandard))))))))</f>
        <v/>
      </c>
      <c r="X1657" s="33">
        <f>IF($G1657="","",IF(OR($D1657="",$E1657="",$F1657=""),"CONTEXTE INCOMPLET",IF(COUNTIFS($D757:$D1656,$D1657,$E757:$E1656,$E1657,$F757:$F1656,$F1657,$G757:$G1656,$G1657)&gt;0,"DOUBLON","VALIDE")))</f>
        <v/>
      </c>
    </row>
    <row r="1658" ht="15" customHeight="1">
      <c r="A1658" s="12">
        <f>IF(OR($B1658="",$G1658=""),"",TEXT($B1658,"YYYYMMDD")&amp;"-"&amp;SUBSTITUTE($E1658," ","")&amp;"-"&amp;$F1658&amp;"-"&amp;$G1658)</f>
        <v/>
      </c>
      <c r="B1658" s="15" t="n"/>
      <c r="C1658" s="16" t="n"/>
      <c r="D1658" s="10" t="n"/>
      <c r="E1658" s="9" t="n"/>
      <c r="F1658" s="9" t="n"/>
      <c r="G1658" s="13" t="n"/>
      <c r="H1658" s="21" t="n"/>
      <c r="I1658" s="21" t="n"/>
      <c r="J1658" s="17">
        <f>IF($G1658="","",IFERROR(INDEX(NomsEmployes,MATCH($G1658,MatriculesEmployes,0)),"MATRICULE INCONNU"))</f>
        <v/>
      </c>
      <c r="K1658" s="33">
        <f>IF(OR($D1658="",$F1658=""),"",IFERROR(IF(INDEX(RUNS!$L$6:$S$1005,MATCH($D1658,RUNS!$A$6:$A$1005,0),MATCH("ACTIVITÉ "&amp;$F1658,RUNS!$L$5:$S$5,0))="","",INDEX(RUNS!$L$6:$S$1005,MATCH($D1658,RUNS!$A$6:$A$1005,0),MATCH("ACTIVITÉ "&amp;$F1658,RUNS!$L$5:$S$5,0))),""))</f>
        <v/>
      </c>
      <c r="L1658" s="33">
        <f>IF($D1658="","",IFERROR(IF(INDEX(RUNS!$E$6:$E$1005,MATCH($D1658,RUNS!$A$6:$A$1005,0))="","",INDEX(RUNS!$E$6:$E$1005,MATCH($D1658,RUNS!$A$6:$A$1005,0))),""))</f>
        <v/>
      </c>
      <c r="M1658" s="33">
        <f>IF($D1658="","",IFERROR(IF(INDEX(RUNS!$F$6:$F$1005,MATCH($D1658,RUNS!$A$6:$A$1005,0))="","",INDEX(RUNS!$F$6:$F$1005,MATCH($D1658,RUNS!$A$6:$A$1005,0))),""))</f>
        <v/>
      </c>
      <c r="N1658" s="33">
        <f>IF($D1658="","",IFERROR(IF(INDEX(RUNS!$G$6:$G$1005,MATCH($D1658,RUNS!$A$6:$A$1005,0))="","",INDEX(RUNS!$G$6:$G$1005,MATCH($D1658,RUNS!$A$6:$A$1005,0))),""))</f>
        <v/>
      </c>
      <c r="O1658" s="33">
        <f>IF($D1658="","",IFERROR(IF(INDEX(RUNS!$H$6:$H$1005,MATCH($D1658,RUNS!$A$6:$A$1005,0))="","",INDEX(RUNS!$H$6:$H$1005,MATCH($D1658,RUNS!$A$6:$A$1005,0))),""))</f>
        <v/>
      </c>
      <c r="P1658" s="33">
        <f>IF($D1658="","",IFERROR(IF(INDEX(RUNS!$J$6:$J$1005,MATCH($D1658,RUNS!$A$6:$A$1005,0))="","",INDEX(RUNS!$J$6:$J$1005,MATCH($D1658,RUNS!$A$6:$A$1005,0))),""))</f>
        <v/>
      </c>
      <c r="Q1658" s="33">
        <f>IF($D1658="","",IFERROR(IF(INDEX(RUNS!$K$6:$K$1005,MATCH($D1658,RUNS!$A$6:$A$1005,0))="","",INDEX(RUNS!$K$6:$K$1005,MATCH($D1658,RUNS!$A$6:$A$1005,0))),""))</f>
        <v/>
      </c>
      <c r="R1658" s="34">
        <f>IF(OR($L1658="",$K1658=""),"",IFERROR(IF(INDEX(PARAMETRES!$H$43:$H$342,MATCH($L1658&amp;"|"&amp;$M1658&amp;"|"&amp;$N1658&amp;"|"&amp;$O1658&amp;"|"&amp;$P1658&amp;"|"&amp;$Q1658&amp;"|"&amp;$K1658,PARAMETRES!$J$43:$J$342,0))="","",INDEX(PARAMETRES!$H$43:$H$342,MATCH($L1658&amp;"|"&amp;$M1658&amp;"|"&amp;$N1658&amp;"|"&amp;$O1658&amp;"|"&amp;$P1658&amp;"|"&amp;$Q1658&amp;"|"&amp;$K1658,PARAMETRES!$J$43:$J$342,0))),""))</f>
        <v/>
      </c>
      <c r="S1658" s="35">
        <f>IF(OR($G1658="",$X1658&lt;&gt;"VALIDE"),"",IFERROR(LOOKUP(2,1/(($B758:$B1657=$B1658)*($G758:$G1657=$G1658)*($X758:$X1657="VALIDE")),$C758:$C1657),""))</f>
        <v/>
      </c>
      <c r="T1658" s="36">
        <f>IF(OR($C1658="",$S1658=""),"",ROUND(($C1658-$S1658+IF($C1658&lt;$S1658,1,0))*1440,0))</f>
        <v/>
      </c>
      <c r="U1658" s="22">
        <f>IF(OR($H1658="",$T1658="",$T1658&lt;=0),"",$H1658*60/$T1658)</f>
        <v/>
      </c>
      <c r="V1658" s="37">
        <f>IF(OR($U1658="",$R1658="",$R1658=0),"",$U1658/$R1658)</f>
        <v/>
      </c>
      <c r="W1658" s="20">
        <f>IF($G1658="","",IF($X1658="CONTEXTE INCOMPLET","CONTEXTE INCOMPLET",IF($X1658="DOUBLON",StatutDoublon,IF($S1658="",StatutInitial,IF($R1658="",StatutStandardManquant,IF($V1658="","DONNEES INSUFFISANTES",IF($V1658&gt;=SeuilConforme,StatutConforme,IF($V1658&gt;=SeuilSurveiller,StatutSurveiller,StatutSousStandard))))))))</f>
        <v/>
      </c>
      <c r="X1658" s="33">
        <f>IF($G1658="","",IF(OR($D1658="",$E1658="",$F1658=""),"CONTEXTE INCOMPLET",IF(COUNTIFS($D758:$D1657,$D1658,$E758:$E1657,$E1658,$F758:$F1657,$F1658,$G758:$G1657,$G1658)&gt;0,"DOUBLON","VALIDE")))</f>
        <v/>
      </c>
    </row>
    <row r="1659" ht="15" customHeight="1">
      <c r="A1659" s="12">
        <f>IF(OR($B1659="",$G1659=""),"",TEXT($B1659,"YYYYMMDD")&amp;"-"&amp;SUBSTITUTE($E1659," ","")&amp;"-"&amp;$F1659&amp;"-"&amp;$G1659)</f>
        <v/>
      </c>
      <c r="B1659" s="15" t="n"/>
      <c r="C1659" s="16" t="n"/>
      <c r="D1659" s="10" t="n"/>
      <c r="E1659" s="9" t="n"/>
      <c r="F1659" s="9" t="n"/>
      <c r="G1659" s="13" t="n"/>
      <c r="H1659" s="21" t="n"/>
      <c r="I1659" s="21" t="n"/>
      <c r="J1659" s="17">
        <f>IF($G1659="","",IFERROR(INDEX(NomsEmployes,MATCH($G1659,MatriculesEmployes,0)),"MATRICULE INCONNU"))</f>
        <v/>
      </c>
      <c r="K1659" s="33">
        <f>IF(OR($D1659="",$F1659=""),"",IFERROR(IF(INDEX(RUNS!$L$6:$S$1005,MATCH($D1659,RUNS!$A$6:$A$1005,0),MATCH("ACTIVITÉ "&amp;$F1659,RUNS!$L$5:$S$5,0))="","",INDEX(RUNS!$L$6:$S$1005,MATCH($D1659,RUNS!$A$6:$A$1005,0),MATCH("ACTIVITÉ "&amp;$F1659,RUNS!$L$5:$S$5,0))),""))</f>
        <v/>
      </c>
      <c r="L1659" s="33">
        <f>IF($D1659="","",IFERROR(IF(INDEX(RUNS!$E$6:$E$1005,MATCH($D1659,RUNS!$A$6:$A$1005,0))="","",INDEX(RUNS!$E$6:$E$1005,MATCH($D1659,RUNS!$A$6:$A$1005,0))),""))</f>
        <v/>
      </c>
      <c r="M1659" s="33">
        <f>IF($D1659="","",IFERROR(IF(INDEX(RUNS!$F$6:$F$1005,MATCH($D1659,RUNS!$A$6:$A$1005,0))="","",INDEX(RUNS!$F$6:$F$1005,MATCH($D1659,RUNS!$A$6:$A$1005,0))),""))</f>
        <v/>
      </c>
      <c r="N1659" s="33">
        <f>IF($D1659="","",IFERROR(IF(INDEX(RUNS!$G$6:$G$1005,MATCH($D1659,RUNS!$A$6:$A$1005,0))="","",INDEX(RUNS!$G$6:$G$1005,MATCH($D1659,RUNS!$A$6:$A$1005,0))),""))</f>
        <v/>
      </c>
      <c r="O1659" s="33">
        <f>IF($D1659="","",IFERROR(IF(INDEX(RUNS!$H$6:$H$1005,MATCH($D1659,RUNS!$A$6:$A$1005,0))="","",INDEX(RUNS!$H$6:$H$1005,MATCH($D1659,RUNS!$A$6:$A$1005,0))),""))</f>
        <v/>
      </c>
      <c r="P1659" s="33">
        <f>IF($D1659="","",IFERROR(IF(INDEX(RUNS!$J$6:$J$1005,MATCH($D1659,RUNS!$A$6:$A$1005,0))="","",INDEX(RUNS!$J$6:$J$1005,MATCH($D1659,RUNS!$A$6:$A$1005,0))),""))</f>
        <v/>
      </c>
      <c r="Q1659" s="33">
        <f>IF($D1659="","",IFERROR(IF(INDEX(RUNS!$K$6:$K$1005,MATCH($D1659,RUNS!$A$6:$A$1005,0))="","",INDEX(RUNS!$K$6:$K$1005,MATCH($D1659,RUNS!$A$6:$A$1005,0))),""))</f>
        <v/>
      </c>
      <c r="R1659" s="34">
        <f>IF(OR($L1659="",$K1659=""),"",IFERROR(IF(INDEX(PARAMETRES!$H$43:$H$342,MATCH($L1659&amp;"|"&amp;$M1659&amp;"|"&amp;$N1659&amp;"|"&amp;$O1659&amp;"|"&amp;$P1659&amp;"|"&amp;$Q1659&amp;"|"&amp;$K1659,PARAMETRES!$J$43:$J$342,0))="","",INDEX(PARAMETRES!$H$43:$H$342,MATCH($L1659&amp;"|"&amp;$M1659&amp;"|"&amp;$N1659&amp;"|"&amp;$O1659&amp;"|"&amp;$P1659&amp;"|"&amp;$Q1659&amp;"|"&amp;$K1659,PARAMETRES!$J$43:$J$342,0))),""))</f>
        <v/>
      </c>
      <c r="S1659" s="35">
        <f>IF(OR($G1659="",$X1659&lt;&gt;"VALIDE"),"",IFERROR(LOOKUP(2,1/(($B759:$B1658=$B1659)*($G759:$G1658=$G1659)*($X759:$X1658="VALIDE")),$C759:$C1658),""))</f>
        <v/>
      </c>
      <c r="T1659" s="36">
        <f>IF(OR($C1659="",$S1659=""),"",ROUND(($C1659-$S1659+IF($C1659&lt;$S1659,1,0))*1440,0))</f>
        <v/>
      </c>
      <c r="U1659" s="22">
        <f>IF(OR($H1659="",$T1659="",$T1659&lt;=0),"",$H1659*60/$T1659)</f>
        <v/>
      </c>
      <c r="V1659" s="37">
        <f>IF(OR($U1659="",$R1659="",$R1659=0),"",$U1659/$R1659)</f>
        <v/>
      </c>
      <c r="W1659" s="20">
        <f>IF($G1659="","",IF($X1659="CONTEXTE INCOMPLET","CONTEXTE INCOMPLET",IF($X1659="DOUBLON",StatutDoublon,IF($S1659="",StatutInitial,IF($R1659="",StatutStandardManquant,IF($V1659="","DONNEES INSUFFISANTES",IF($V1659&gt;=SeuilConforme,StatutConforme,IF($V1659&gt;=SeuilSurveiller,StatutSurveiller,StatutSousStandard))))))))</f>
        <v/>
      </c>
      <c r="X1659" s="33">
        <f>IF($G1659="","",IF(OR($D1659="",$E1659="",$F1659=""),"CONTEXTE INCOMPLET",IF(COUNTIFS($D759:$D1658,$D1659,$E759:$E1658,$E1659,$F759:$F1658,$F1659,$G759:$G1658,$G1659)&gt;0,"DOUBLON","VALIDE")))</f>
        <v/>
      </c>
    </row>
    <row r="1660" ht="15" customHeight="1">
      <c r="A1660" s="12">
        <f>IF(OR($B1660="",$G1660=""),"",TEXT($B1660,"YYYYMMDD")&amp;"-"&amp;SUBSTITUTE($E1660," ","")&amp;"-"&amp;$F1660&amp;"-"&amp;$G1660)</f>
        <v/>
      </c>
      <c r="B1660" s="15" t="n"/>
      <c r="C1660" s="16" t="n"/>
      <c r="D1660" s="10" t="n"/>
      <c r="E1660" s="9" t="n"/>
      <c r="F1660" s="9" t="n"/>
      <c r="G1660" s="13" t="n"/>
      <c r="H1660" s="21" t="n"/>
      <c r="I1660" s="21" t="n"/>
      <c r="J1660" s="17">
        <f>IF($G1660="","",IFERROR(INDEX(NomsEmployes,MATCH($G1660,MatriculesEmployes,0)),"MATRICULE INCONNU"))</f>
        <v/>
      </c>
      <c r="K1660" s="33">
        <f>IF(OR($D1660="",$F1660=""),"",IFERROR(IF(INDEX(RUNS!$L$6:$S$1005,MATCH($D1660,RUNS!$A$6:$A$1005,0),MATCH("ACTIVITÉ "&amp;$F1660,RUNS!$L$5:$S$5,0))="","",INDEX(RUNS!$L$6:$S$1005,MATCH($D1660,RUNS!$A$6:$A$1005,0),MATCH("ACTIVITÉ "&amp;$F1660,RUNS!$L$5:$S$5,0))),""))</f>
        <v/>
      </c>
      <c r="L1660" s="33">
        <f>IF($D1660="","",IFERROR(IF(INDEX(RUNS!$E$6:$E$1005,MATCH($D1660,RUNS!$A$6:$A$1005,0))="","",INDEX(RUNS!$E$6:$E$1005,MATCH($D1660,RUNS!$A$6:$A$1005,0))),""))</f>
        <v/>
      </c>
      <c r="M1660" s="33">
        <f>IF($D1660="","",IFERROR(IF(INDEX(RUNS!$F$6:$F$1005,MATCH($D1660,RUNS!$A$6:$A$1005,0))="","",INDEX(RUNS!$F$6:$F$1005,MATCH($D1660,RUNS!$A$6:$A$1005,0))),""))</f>
        <v/>
      </c>
      <c r="N1660" s="33">
        <f>IF($D1660="","",IFERROR(IF(INDEX(RUNS!$G$6:$G$1005,MATCH($D1660,RUNS!$A$6:$A$1005,0))="","",INDEX(RUNS!$G$6:$G$1005,MATCH($D1660,RUNS!$A$6:$A$1005,0))),""))</f>
        <v/>
      </c>
      <c r="O1660" s="33">
        <f>IF($D1660="","",IFERROR(IF(INDEX(RUNS!$H$6:$H$1005,MATCH($D1660,RUNS!$A$6:$A$1005,0))="","",INDEX(RUNS!$H$6:$H$1005,MATCH($D1660,RUNS!$A$6:$A$1005,0))),""))</f>
        <v/>
      </c>
      <c r="P1660" s="33">
        <f>IF($D1660="","",IFERROR(IF(INDEX(RUNS!$J$6:$J$1005,MATCH($D1660,RUNS!$A$6:$A$1005,0))="","",INDEX(RUNS!$J$6:$J$1005,MATCH($D1660,RUNS!$A$6:$A$1005,0))),""))</f>
        <v/>
      </c>
      <c r="Q1660" s="33">
        <f>IF($D1660="","",IFERROR(IF(INDEX(RUNS!$K$6:$K$1005,MATCH($D1660,RUNS!$A$6:$A$1005,0))="","",INDEX(RUNS!$K$6:$K$1005,MATCH($D1660,RUNS!$A$6:$A$1005,0))),""))</f>
        <v/>
      </c>
      <c r="R1660" s="34">
        <f>IF(OR($L1660="",$K1660=""),"",IFERROR(IF(INDEX(PARAMETRES!$H$43:$H$342,MATCH($L1660&amp;"|"&amp;$M1660&amp;"|"&amp;$N1660&amp;"|"&amp;$O1660&amp;"|"&amp;$P1660&amp;"|"&amp;$Q1660&amp;"|"&amp;$K1660,PARAMETRES!$J$43:$J$342,0))="","",INDEX(PARAMETRES!$H$43:$H$342,MATCH($L1660&amp;"|"&amp;$M1660&amp;"|"&amp;$N1660&amp;"|"&amp;$O1660&amp;"|"&amp;$P1660&amp;"|"&amp;$Q1660&amp;"|"&amp;$K1660,PARAMETRES!$J$43:$J$342,0))),""))</f>
        <v/>
      </c>
      <c r="S1660" s="35">
        <f>IF(OR($G1660="",$X1660&lt;&gt;"VALIDE"),"",IFERROR(LOOKUP(2,1/(($B760:$B1659=$B1660)*($G760:$G1659=$G1660)*($X760:$X1659="VALIDE")),$C760:$C1659),""))</f>
        <v/>
      </c>
      <c r="T1660" s="36">
        <f>IF(OR($C1660="",$S1660=""),"",ROUND(($C1660-$S1660+IF($C1660&lt;$S1660,1,0))*1440,0))</f>
        <v/>
      </c>
      <c r="U1660" s="22">
        <f>IF(OR($H1660="",$T1660="",$T1660&lt;=0),"",$H1660*60/$T1660)</f>
        <v/>
      </c>
      <c r="V1660" s="37">
        <f>IF(OR($U1660="",$R1660="",$R1660=0),"",$U1660/$R1660)</f>
        <v/>
      </c>
      <c r="W1660" s="20">
        <f>IF($G1660="","",IF($X1660="CONTEXTE INCOMPLET","CONTEXTE INCOMPLET",IF($X1660="DOUBLON",StatutDoublon,IF($S1660="",StatutInitial,IF($R1660="",StatutStandardManquant,IF($V1660="","DONNEES INSUFFISANTES",IF($V1660&gt;=SeuilConforme,StatutConforme,IF($V1660&gt;=SeuilSurveiller,StatutSurveiller,StatutSousStandard))))))))</f>
        <v/>
      </c>
      <c r="X1660" s="33">
        <f>IF($G1660="","",IF(OR($D1660="",$E1660="",$F1660=""),"CONTEXTE INCOMPLET",IF(COUNTIFS($D760:$D1659,$D1660,$E760:$E1659,$E1660,$F760:$F1659,$F1660,$G760:$G1659,$G1660)&gt;0,"DOUBLON","VALIDE")))</f>
        <v/>
      </c>
    </row>
    <row r="1661" ht="15" customHeight="1">
      <c r="A1661" s="12">
        <f>IF(OR($B1661="",$G1661=""),"",TEXT($B1661,"YYYYMMDD")&amp;"-"&amp;SUBSTITUTE($E1661," ","")&amp;"-"&amp;$F1661&amp;"-"&amp;$G1661)</f>
        <v/>
      </c>
      <c r="B1661" s="15" t="n"/>
      <c r="C1661" s="16" t="n"/>
      <c r="D1661" s="10" t="n"/>
      <c r="E1661" s="9" t="n"/>
      <c r="F1661" s="9" t="n"/>
      <c r="G1661" s="13" t="n"/>
      <c r="H1661" s="21" t="n"/>
      <c r="I1661" s="21" t="n"/>
      <c r="J1661" s="17">
        <f>IF($G1661="","",IFERROR(INDEX(NomsEmployes,MATCH($G1661,MatriculesEmployes,0)),"MATRICULE INCONNU"))</f>
        <v/>
      </c>
      <c r="K1661" s="33">
        <f>IF(OR($D1661="",$F1661=""),"",IFERROR(IF(INDEX(RUNS!$L$6:$S$1005,MATCH($D1661,RUNS!$A$6:$A$1005,0),MATCH("ACTIVITÉ "&amp;$F1661,RUNS!$L$5:$S$5,0))="","",INDEX(RUNS!$L$6:$S$1005,MATCH($D1661,RUNS!$A$6:$A$1005,0),MATCH("ACTIVITÉ "&amp;$F1661,RUNS!$L$5:$S$5,0))),""))</f>
        <v/>
      </c>
      <c r="L1661" s="33">
        <f>IF($D1661="","",IFERROR(IF(INDEX(RUNS!$E$6:$E$1005,MATCH($D1661,RUNS!$A$6:$A$1005,0))="","",INDEX(RUNS!$E$6:$E$1005,MATCH($D1661,RUNS!$A$6:$A$1005,0))),""))</f>
        <v/>
      </c>
      <c r="M1661" s="33">
        <f>IF($D1661="","",IFERROR(IF(INDEX(RUNS!$F$6:$F$1005,MATCH($D1661,RUNS!$A$6:$A$1005,0))="","",INDEX(RUNS!$F$6:$F$1005,MATCH($D1661,RUNS!$A$6:$A$1005,0))),""))</f>
        <v/>
      </c>
      <c r="N1661" s="33">
        <f>IF($D1661="","",IFERROR(IF(INDEX(RUNS!$G$6:$G$1005,MATCH($D1661,RUNS!$A$6:$A$1005,0))="","",INDEX(RUNS!$G$6:$G$1005,MATCH($D1661,RUNS!$A$6:$A$1005,0))),""))</f>
        <v/>
      </c>
      <c r="O1661" s="33">
        <f>IF($D1661="","",IFERROR(IF(INDEX(RUNS!$H$6:$H$1005,MATCH($D1661,RUNS!$A$6:$A$1005,0))="","",INDEX(RUNS!$H$6:$H$1005,MATCH($D1661,RUNS!$A$6:$A$1005,0))),""))</f>
        <v/>
      </c>
      <c r="P1661" s="33">
        <f>IF($D1661="","",IFERROR(IF(INDEX(RUNS!$J$6:$J$1005,MATCH($D1661,RUNS!$A$6:$A$1005,0))="","",INDEX(RUNS!$J$6:$J$1005,MATCH($D1661,RUNS!$A$6:$A$1005,0))),""))</f>
        <v/>
      </c>
      <c r="Q1661" s="33">
        <f>IF($D1661="","",IFERROR(IF(INDEX(RUNS!$K$6:$K$1005,MATCH($D1661,RUNS!$A$6:$A$1005,0))="","",INDEX(RUNS!$K$6:$K$1005,MATCH($D1661,RUNS!$A$6:$A$1005,0))),""))</f>
        <v/>
      </c>
      <c r="R1661" s="34">
        <f>IF(OR($L1661="",$K1661=""),"",IFERROR(IF(INDEX(PARAMETRES!$H$43:$H$342,MATCH($L1661&amp;"|"&amp;$M1661&amp;"|"&amp;$N1661&amp;"|"&amp;$O1661&amp;"|"&amp;$P1661&amp;"|"&amp;$Q1661&amp;"|"&amp;$K1661,PARAMETRES!$J$43:$J$342,0))="","",INDEX(PARAMETRES!$H$43:$H$342,MATCH($L1661&amp;"|"&amp;$M1661&amp;"|"&amp;$N1661&amp;"|"&amp;$O1661&amp;"|"&amp;$P1661&amp;"|"&amp;$Q1661&amp;"|"&amp;$K1661,PARAMETRES!$J$43:$J$342,0))),""))</f>
        <v/>
      </c>
      <c r="S1661" s="35">
        <f>IF(OR($G1661="",$X1661&lt;&gt;"VALIDE"),"",IFERROR(LOOKUP(2,1/(($B761:$B1660=$B1661)*($G761:$G1660=$G1661)*($X761:$X1660="VALIDE")),$C761:$C1660),""))</f>
        <v/>
      </c>
      <c r="T1661" s="36">
        <f>IF(OR($C1661="",$S1661=""),"",ROUND(($C1661-$S1661+IF($C1661&lt;$S1661,1,0))*1440,0))</f>
        <v/>
      </c>
      <c r="U1661" s="22">
        <f>IF(OR($H1661="",$T1661="",$T1661&lt;=0),"",$H1661*60/$T1661)</f>
        <v/>
      </c>
      <c r="V1661" s="37">
        <f>IF(OR($U1661="",$R1661="",$R1661=0),"",$U1661/$R1661)</f>
        <v/>
      </c>
      <c r="W1661" s="20">
        <f>IF($G1661="","",IF($X1661="CONTEXTE INCOMPLET","CONTEXTE INCOMPLET",IF($X1661="DOUBLON",StatutDoublon,IF($S1661="",StatutInitial,IF($R1661="",StatutStandardManquant,IF($V1661="","DONNEES INSUFFISANTES",IF($V1661&gt;=SeuilConforme,StatutConforme,IF($V1661&gt;=SeuilSurveiller,StatutSurveiller,StatutSousStandard))))))))</f>
        <v/>
      </c>
      <c r="X1661" s="33">
        <f>IF($G1661="","",IF(OR($D1661="",$E1661="",$F1661=""),"CONTEXTE INCOMPLET",IF(COUNTIFS($D761:$D1660,$D1661,$E761:$E1660,$E1661,$F761:$F1660,$F1661,$G761:$G1660,$G1661)&gt;0,"DOUBLON","VALIDE")))</f>
        <v/>
      </c>
    </row>
    <row r="1662" ht="15" customHeight="1">
      <c r="A1662" s="12">
        <f>IF(OR($B1662="",$G1662=""),"",TEXT($B1662,"YYYYMMDD")&amp;"-"&amp;SUBSTITUTE($E1662," ","")&amp;"-"&amp;$F1662&amp;"-"&amp;$G1662)</f>
        <v/>
      </c>
      <c r="B1662" s="15" t="n"/>
      <c r="C1662" s="16" t="n"/>
      <c r="D1662" s="10" t="n"/>
      <c r="E1662" s="9" t="n"/>
      <c r="F1662" s="9" t="n"/>
      <c r="G1662" s="13" t="n"/>
      <c r="H1662" s="21" t="n"/>
      <c r="I1662" s="21" t="n"/>
      <c r="J1662" s="17">
        <f>IF($G1662="","",IFERROR(INDEX(NomsEmployes,MATCH($G1662,MatriculesEmployes,0)),"MATRICULE INCONNU"))</f>
        <v/>
      </c>
      <c r="K1662" s="33">
        <f>IF(OR($D1662="",$F1662=""),"",IFERROR(IF(INDEX(RUNS!$L$6:$S$1005,MATCH($D1662,RUNS!$A$6:$A$1005,0),MATCH("ACTIVITÉ "&amp;$F1662,RUNS!$L$5:$S$5,0))="","",INDEX(RUNS!$L$6:$S$1005,MATCH($D1662,RUNS!$A$6:$A$1005,0),MATCH("ACTIVITÉ "&amp;$F1662,RUNS!$L$5:$S$5,0))),""))</f>
        <v/>
      </c>
      <c r="L1662" s="33">
        <f>IF($D1662="","",IFERROR(IF(INDEX(RUNS!$E$6:$E$1005,MATCH($D1662,RUNS!$A$6:$A$1005,0))="","",INDEX(RUNS!$E$6:$E$1005,MATCH($D1662,RUNS!$A$6:$A$1005,0))),""))</f>
        <v/>
      </c>
      <c r="M1662" s="33">
        <f>IF($D1662="","",IFERROR(IF(INDEX(RUNS!$F$6:$F$1005,MATCH($D1662,RUNS!$A$6:$A$1005,0))="","",INDEX(RUNS!$F$6:$F$1005,MATCH($D1662,RUNS!$A$6:$A$1005,0))),""))</f>
        <v/>
      </c>
      <c r="N1662" s="33">
        <f>IF($D1662="","",IFERROR(IF(INDEX(RUNS!$G$6:$G$1005,MATCH($D1662,RUNS!$A$6:$A$1005,0))="","",INDEX(RUNS!$G$6:$G$1005,MATCH($D1662,RUNS!$A$6:$A$1005,0))),""))</f>
        <v/>
      </c>
      <c r="O1662" s="33">
        <f>IF($D1662="","",IFERROR(IF(INDEX(RUNS!$H$6:$H$1005,MATCH($D1662,RUNS!$A$6:$A$1005,0))="","",INDEX(RUNS!$H$6:$H$1005,MATCH($D1662,RUNS!$A$6:$A$1005,0))),""))</f>
        <v/>
      </c>
      <c r="P1662" s="33">
        <f>IF($D1662="","",IFERROR(IF(INDEX(RUNS!$J$6:$J$1005,MATCH($D1662,RUNS!$A$6:$A$1005,0))="","",INDEX(RUNS!$J$6:$J$1005,MATCH($D1662,RUNS!$A$6:$A$1005,0))),""))</f>
        <v/>
      </c>
      <c r="Q1662" s="33">
        <f>IF($D1662="","",IFERROR(IF(INDEX(RUNS!$K$6:$K$1005,MATCH($D1662,RUNS!$A$6:$A$1005,0))="","",INDEX(RUNS!$K$6:$K$1005,MATCH($D1662,RUNS!$A$6:$A$1005,0))),""))</f>
        <v/>
      </c>
      <c r="R1662" s="34">
        <f>IF(OR($L1662="",$K1662=""),"",IFERROR(IF(INDEX(PARAMETRES!$H$43:$H$342,MATCH($L1662&amp;"|"&amp;$M1662&amp;"|"&amp;$N1662&amp;"|"&amp;$O1662&amp;"|"&amp;$P1662&amp;"|"&amp;$Q1662&amp;"|"&amp;$K1662,PARAMETRES!$J$43:$J$342,0))="","",INDEX(PARAMETRES!$H$43:$H$342,MATCH($L1662&amp;"|"&amp;$M1662&amp;"|"&amp;$N1662&amp;"|"&amp;$O1662&amp;"|"&amp;$P1662&amp;"|"&amp;$Q1662&amp;"|"&amp;$K1662,PARAMETRES!$J$43:$J$342,0))),""))</f>
        <v/>
      </c>
      <c r="S1662" s="35">
        <f>IF(OR($G1662="",$X1662&lt;&gt;"VALIDE"),"",IFERROR(LOOKUP(2,1/(($B762:$B1661=$B1662)*($G762:$G1661=$G1662)*($X762:$X1661="VALIDE")),$C762:$C1661),""))</f>
        <v/>
      </c>
      <c r="T1662" s="36">
        <f>IF(OR($C1662="",$S1662=""),"",ROUND(($C1662-$S1662+IF($C1662&lt;$S1662,1,0))*1440,0))</f>
        <v/>
      </c>
      <c r="U1662" s="22">
        <f>IF(OR($H1662="",$T1662="",$T1662&lt;=0),"",$H1662*60/$T1662)</f>
        <v/>
      </c>
      <c r="V1662" s="37">
        <f>IF(OR($U1662="",$R1662="",$R1662=0),"",$U1662/$R1662)</f>
        <v/>
      </c>
      <c r="W1662" s="20">
        <f>IF($G1662="","",IF($X1662="CONTEXTE INCOMPLET","CONTEXTE INCOMPLET",IF($X1662="DOUBLON",StatutDoublon,IF($S1662="",StatutInitial,IF($R1662="",StatutStandardManquant,IF($V1662="","DONNEES INSUFFISANTES",IF($V1662&gt;=SeuilConforme,StatutConforme,IF($V1662&gt;=SeuilSurveiller,StatutSurveiller,StatutSousStandard))))))))</f>
        <v/>
      </c>
      <c r="X1662" s="33">
        <f>IF($G1662="","",IF(OR($D1662="",$E1662="",$F1662=""),"CONTEXTE INCOMPLET",IF(COUNTIFS($D762:$D1661,$D1662,$E762:$E1661,$E1662,$F762:$F1661,$F1662,$G762:$G1661,$G1662)&gt;0,"DOUBLON","VALIDE")))</f>
        <v/>
      </c>
    </row>
    <row r="1663" ht="15" customHeight="1">
      <c r="A1663" s="12">
        <f>IF(OR($B1663="",$G1663=""),"",TEXT($B1663,"YYYYMMDD")&amp;"-"&amp;SUBSTITUTE($E1663," ","")&amp;"-"&amp;$F1663&amp;"-"&amp;$G1663)</f>
        <v/>
      </c>
      <c r="B1663" s="15" t="n"/>
      <c r="C1663" s="16" t="n"/>
      <c r="D1663" s="10" t="n"/>
      <c r="E1663" s="9" t="n"/>
      <c r="F1663" s="9" t="n"/>
      <c r="G1663" s="13" t="n"/>
      <c r="H1663" s="21" t="n"/>
      <c r="I1663" s="21" t="n"/>
      <c r="J1663" s="17">
        <f>IF($G1663="","",IFERROR(INDEX(NomsEmployes,MATCH($G1663,MatriculesEmployes,0)),"MATRICULE INCONNU"))</f>
        <v/>
      </c>
      <c r="K1663" s="33">
        <f>IF(OR($D1663="",$F1663=""),"",IFERROR(IF(INDEX(RUNS!$L$6:$S$1005,MATCH($D1663,RUNS!$A$6:$A$1005,0),MATCH("ACTIVITÉ "&amp;$F1663,RUNS!$L$5:$S$5,0))="","",INDEX(RUNS!$L$6:$S$1005,MATCH($D1663,RUNS!$A$6:$A$1005,0),MATCH("ACTIVITÉ "&amp;$F1663,RUNS!$L$5:$S$5,0))),""))</f>
        <v/>
      </c>
      <c r="L1663" s="33">
        <f>IF($D1663="","",IFERROR(IF(INDEX(RUNS!$E$6:$E$1005,MATCH($D1663,RUNS!$A$6:$A$1005,0))="","",INDEX(RUNS!$E$6:$E$1005,MATCH($D1663,RUNS!$A$6:$A$1005,0))),""))</f>
        <v/>
      </c>
      <c r="M1663" s="33">
        <f>IF($D1663="","",IFERROR(IF(INDEX(RUNS!$F$6:$F$1005,MATCH($D1663,RUNS!$A$6:$A$1005,0))="","",INDEX(RUNS!$F$6:$F$1005,MATCH($D1663,RUNS!$A$6:$A$1005,0))),""))</f>
        <v/>
      </c>
      <c r="N1663" s="33">
        <f>IF($D1663="","",IFERROR(IF(INDEX(RUNS!$G$6:$G$1005,MATCH($D1663,RUNS!$A$6:$A$1005,0))="","",INDEX(RUNS!$G$6:$G$1005,MATCH($D1663,RUNS!$A$6:$A$1005,0))),""))</f>
        <v/>
      </c>
      <c r="O1663" s="33">
        <f>IF($D1663="","",IFERROR(IF(INDEX(RUNS!$H$6:$H$1005,MATCH($D1663,RUNS!$A$6:$A$1005,0))="","",INDEX(RUNS!$H$6:$H$1005,MATCH($D1663,RUNS!$A$6:$A$1005,0))),""))</f>
        <v/>
      </c>
      <c r="P1663" s="33">
        <f>IF($D1663="","",IFERROR(IF(INDEX(RUNS!$J$6:$J$1005,MATCH($D1663,RUNS!$A$6:$A$1005,0))="","",INDEX(RUNS!$J$6:$J$1005,MATCH($D1663,RUNS!$A$6:$A$1005,0))),""))</f>
        <v/>
      </c>
      <c r="Q1663" s="33">
        <f>IF($D1663="","",IFERROR(IF(INDEX(RUNS!$K$6:$K$1005,MATCH($D1663,RUNS!$A$6:$A$1005,0))="","",INDEX(RUNS!$K$6:$K$1005,MATCH($D1663,RUNS!$A$6:$A$1005,0))),""))</f>
        <v/>
      </c>
      <c r="R1663" s="34">
        <f>IF(OR($L1663="",$K1663=""),"",IFERROR(IF(INDEX(PARAMETRES!$H$43:$H$342,MATCH($L1663&amp;"|"&amp;$M1663&amp;"|"&amp;$N1663&amp;"|"&amp;$O1663&amp;"|"&amp;$P1663&amp;"|"&amp;$Q1663&amp;"|"&amp;$K1663,PARAMETRES!$J$43:$J$342,0))="","",INDEX(PARAMETRES!$H$43:$H$342,MATCH($L1663&amp;"|"&amp;$M1663&amp;"|"&amp;$N1663&amp;"|"&amp;$O1663&amp;"|"&amp;$P1663&amp;"|"&amp;$Q1663&amp;"|"&amp;$K1663,PARAMETRES!$J$43:$J$342,0))),""))</f>
        <v/>
      </c>
      <c r="S1663" s="35">
        <f>IF(OR($G1663="",$X1663&lt;&gt;"VALIDE"),"",IFERROR(LOOKUP(2,1/(($B763:$B1662=$B1663)*($G763:$G1662=$G1663)*($X763:$X1662="VALIDE")),$C763:$C1662),""))</f>
        <v/>
      </c>
      <c r="T1663" s="36">
        <f>IF(OR($C1663="",$S1663=""),"",ROUND(($C1663-$S1663+IF($C1663&lt;$S1663,1,0))*1440,0))</f>
        <v/>
      </c>
      <c r="U1663" s="22">
        <f>IF(OR($H1663="",$T1663="",$T1663&lt;=0),"",$H1663*60/$T1663)</f>
        <v/>
      </c>
      <c r="V1663" s="37">
        <f>IF(OR($U1663="",$R1663="",$R1663=0),"",$U1663/$R1663)</f>
        <v/>
      </c>
      <c r="W1663" s="20">
        <f>IF($G1663="","",IF($X1663="CONTEXTE INCOMPLET","CONTEXTE INCOMPLET",IF($X1663="DOUBLON",StatutDoublon,IF($S1663="",StatutInitial,IF($R1663="",StatutStandardManquant,IF($V1663="","DONNEES INSUFFISANTES",IF($V1663&gt;=SeuilConforme,StatutConforme,IF($V1663&gt;=SeuilSurveiller,StatutSurveiller,StatutSousStandard))))))))</f>
        <v/>
      </c>
      <c r="X1663" s="33">
        <f>IF($G1663="","",IF(OR($D1663="",$E1663="",$F1663=""),"CONTEXTE INCOMPLET",IF(COUNTIFS($D763:$D1662,$D1663,$E763:$E1662,$E1663,$F763:$F1662,$F1663,$G763:$G1662,$G1663)&gt;0,"DOUBLON","VALIDE")))</f>
        <v/>
      </c>
    </row>
    <row r="1664" ht="15" customHeight="1">
      <c r="A1664" s="12">
        <f>IF(OR($B1664="",$G1664=""),"",TEXT($B1664,"YYYYMMDD")&amp;"-"&amp;SUBSTITUTE($E1664," ","")&amp;"-"&amp;$F1664&amp;"-"&amp;$G1664)</f>
        <v/>
      </c>
      <c r="B1664" s="15" t="n"/>
      <c r="C1664" s="16" t="n"/>
      <c r="D1664" s="10" t="n"/>
      <c r="E1664" s="9" t="n"/>
      <c r="F1664" s="9" t="n"/>
      <c r="G1664" s="13" t="n"/>
      <c r="H1664" s="21" t="n"/>
      <c r="I1664" s="21" t="n"/>
      <c r="J1664" s="17">
        <f>IF($G1664="","",IFERROR(INDEX(NomsEmployes,MATCH($G1664,MatriculesEmployes,0)),"MATRICULE INCONNU"))</f>
        <v/>
      </c>
      <c r="K1664" s="33">
        <f>IF(OR($D1664="",$F1664=""),"",IFERROR(IF(INDEX(RUNS!$L$6:$S$1005,MATCH($D1664,RUNS!$A$6:$A$1005,0),MATCH("ACTIVITÉ "&amp;$F1664,RUNS!$L$5:$S$5,0))="","",INDEX(RUNS!$L$6:$S$1005,MATCH($D1664,RUNS!$A$6:$A$1005,0),MATCH("ACTIVITÉ "&amp;$F1664,RUNS!$L$5:$S$5,0))),""))</f>
        <v/>
      </c>
      <c r="L1664" s="33">
        <f>IF($D1664="","",IFERROR(IF(INDEX(RUNS!$E$6:$E$1005,MATCH($D1664,RUNS!$A$6:$A$1005,0))="","",INDEX(RUNS!$E$6:$E$1005,MATCH($D1664,RUNS!$A$6:$A$1005,0))),""))</f>
        <v/>
      </c>
      <c r="M1664" s="33">
        <f>IF($D1664="","",IFERROR(IF(INDEX(RUNS!$F$6:$F$1005,MATCH($D1664,RUNS!$A$6:$A$1005,0))="","",INDEX(RUNS!$F$6:$F$1005,MATCH($D1664,RUNS!$A$6:$A$1005,0))),""))</f>
        <v/>
      </c>
      <c r="N1664" s="33">
        <f>IF($D1664="","",IFERROR(IF(INDEX(RUNS!$G$6:$G$1005,MATCH($D1664,RUNS!$A$6:$A$1005,0))="","",INDEX(RUNS!$G$6:$G$1005,MATCH($D1664,RUNS!$A$6:$A$1005,0))),""))</f>
        <v/>
      </c>
      <c r="O1664" s="33">
        <f>IF($D1664="","",IFERROR(IF(INDEX(RUNS!$H$6:$H$1005,MATCH($D1664,RUNS!$A$6:$A$1005,0))="","",INDEX(RUNS!$H$6:$H$1005,MATCH($D1664,RUNS!$A$6:$A$1005,0))),""))</f>
        <v/>
      </c>
      <c r="P1664" s="33">
        <f>IF($D1664="","",IFERROR(IF(INDEX(RUNS!$J$6:$J$1005,MATCH($D1664,RUNS!$A$6:$A$1005,0))="","",INDEX(RUNS!$J$6:$J$1005,MATCH($D1664,RUNS!$A$6:$A$1005,0))),""))</f>
        <v/>
      </c>
      <c r="Q1664" s="33">
        <f>IF($D1664="","",IFERROR(IF(INDEX(RUNS!$K$6:$K$1005,MATCH($D1664,RUNS!$A$6:$A$1005,0))="","",INDEX(RUNS!$K$6:$K$1005,MATCH($D1664,RUNS!$A$6:$A$1005,0))),""))</f>
        <v/>
      </c>
      <c r="R1664" s="34">
        <f>IF(OR($L1664="",$K1664=""),"",IFERROR(IF(INDEX(PARAMETRES!$H$43:$H$342,MATCH($L1664&amp;"|"&amp;$M1664&amp;"|"&amp;$N1664&amp;"|"&amp;$O1664&amp;"|"&amp;$P1664&amp;"|"&amp;$Q1664&amp;"|"&amp;$K1664,PARAMETRES!$J$43:$J$342,0))="","",INDEX(PARAMETRES!$H$43:$H$342,MATCH($L1664&amp;"|"&amp;$M1664&amp;"|"&amp;$N1664&amp;"|"&amp;$O1664&amp;"|"&amp;$P1664&amp;"|"&amp;$Q1664&amp;"|"&amp;$K1664,PARAMETRES!$J$43:$J$342,0))),""))</f>
        <v/>
      </c>
      <c r="S1664" s="35">
        <f>IF(OR($G1664="",$X1664&lt;&gt;"VALIDE"),"",IFERROR(LOOKUP(2,1/(($B764:$B1663=$B1664)*($G764:$G1663=$G1664)*($X764:$X1663="VALIDE")),$C764:$C1663),""))</f>
        <v/>
      </c>
      <c r="T1664" s="36">
        <f>IF(OR($C1664="",$S1664=""),"",ROUND(($C1664-$S1664+IF($C1664&lt;$S1664,1,0))*1440,0))</f>
        <v/>
      </c>
      <c r="U1664" s="22">
        <f>IF(OR($H1664="",$T1664="",$T1664&lt;=0),"",$H1664*60/$T1664)</f>
        <v/>
      </c>
      <c r="V1664" s="37">
        <f>IF(OR($U1664="",$R1664="",$R1664=0),"",$U1664/$R1664)</f>
        <v/>
      </c>
      <c r="W1664" s="20">
        <f>IF($G1664="","",IF($X1664="CONTEXTE INCOMPLET","CONTEXTE INCOMPLET",IF($X1664="DOUBLON",StatutDoublon,IF($S1664="",StatutInitial,IF($R1664="",StatutStandardManquant,IF($V1664="","DONNEES INSUFFISANTES",IF($V1664&gt;=SeuilConforme,StatutConforme,IF($V1664&gt;=SeuilSurveiller,StatutSurveiller,StatutSousStandard))))))))</f>
        <v/>
      </c>
      <c r="X1664" s="33">
        <f>IF($G1664="","",IF(OR($D1664="",$E1664="",$F1664=""),"CONTEXTE INCOMPLET",IF(COUNTIFS($D764:$D1663,$D1664,$E764:$E1663,$E1664,$F764:$F1663,$F1664,$G764:$G1663,$G1664)&gt;0,"DOUBLON","VALIDE")))</f>
        <v/>
      </c>
    </row>
    <row r="1665" ht="15" customHeight="1">
      <c r="A1665" s="12">
        <f>IF(OR($B1665="",$G1665=""),"",TEXT($B1665,"YYYYMMDD")&amp;"-"&amp;SUBSTITUTE($E1665," ","")&amp;"-"&amp;$F1665&amp;"-"&amp;$G1665)</f>
        <v/>
      </c>
      <c r="B1665" s="15" t="n"/>
      <c r="C1665" s="16" t="n"/>
      <c r="D1665" s="10" t="n"/>
      <c r="E1665" s="9" t="n"/>
      <c r="F1665" s="9" t="n"/>
      <c r="G1665" s="13" t="n"/>
      <c r="H1665" s="21" t="n"/>
      <c r="I1665" s="21" t="n"/>
      <c r="J1665" s="17">
        <f>IF($G1665="","",IFERROR(INDEX(NomsEmployes,MATCH($G1665,MatriculesEmployes,0)),"MATRICULE INCONNU"))</f>
        <v/>
      </c>
      <c r="K1665" s="33">
        <f>IF(OR($D1665="",$F1665=""),"",IFERROR(IF(INDEX(RUNS!$L$6:$S$1005,MATCH($D1665,RUNS!$A$6:$A$1005,0),MATCH("ACTIVITÉ "&amp;$F1665,RUNS!$L$5:$S$5,0))="","",INDEX(RUNS!$L$6:$S$1005,MATCH($D1665,RUNS!$A$6:$A$1005,0),MATCH("ACTIVITÉ "&amp;$F1665,RUNS!$L$5:$S$5,0))),""))</f>
        <v/>
      </c>
      <c r="L1665" s="33">
        <f>IF($D1665="","",IFERROR(IF(INDEX(RUNS!$E$6:$E$1005,MATCH($D1665,RUNS!$A$6:$A$1005,0))="","",INDEX(RUNS!$E$6:$E$1005,MATCH($D1665,RUNS!$A$6:$A$1005,0))),""))</f>
        <v/>
      </c>
      <c r="M1665" s="33">
        <f>IF($D1665="","",IFERROR(IF(INDEX(RUNS!$F$6:$F$1005,MATCH($D1665,RUNS!$A$6:$A$1005,0))="","",INDEX(RUNS!$F$6:$F$1005,MATCH($D1665,RUNS!$A$6:$A$1005,0))),""))</f>
        <v/>
      </c>
      <c r="N1665" s="33">
        <f>IF($D1665="","",IFERROR(IF(INDEX(RUNS!$G$6:$G$1005,MATCH($D1665,RUNS!$A$6:$A$1005,0))="","",INDEX(RUNS!$G$6:$G$1005,MATCH($D1665,RUNS!$A$6:$A$1005,0))),""))</f>
        <v/>
      </c>
      <c r="O1665" s="33">
        <f>IF($D1665="","",IFERROR(IF(INDEX(RUNS!$H$6:$H$1005,MATCH($D1665,RUNS!$A$6:$A$1005,0))="","",INDEX(RUNS!$H$6:$H$1005,MATCH($D1665,RUNS!$A$6:$A$1005,0))),""))</f>
        <v/>
      </c>
      <c r="P1665" s="33">
        <f>IF($D1665="","",IFERROR(IF(INDEX(RUNS!$J$6:$J$1005,MATCH($D1665,RUNS!$A$6:$A$1005,0))="","",INDEX(RUNS!$J$6:$J$1005,MATCH($D1665,RUNS!$A$6:$A$1005,0))),""))</f>
        <v/>
      </c>
      <c r="Q1665" s="33">
        <f>IF($D1665="","",IFERROR(IF(INDEX(RUNS!$K$6:$K$1005,MATCH($D1665,RUNS!$A$6:$A$1005,0))="","",INDEX(RUNS!$K$6:$K$1005,MATCH($D1665,RUNS!$A$6:$A$1005,0))),""))</f>
        <v/>
      </c>
      <c r="R1665" s="34">
        <f>IF(OR($L1665="",$K1665=""),"",IFERROR(IF(INDEX(PARAMETRES!$H$43:$H$342,MATCH($L1665&amp;"|"&amp;$M1665&amp;"|"&amp;$N1665&amp;"|"&amp;$O1665&amp;"|"&amp;$P1665&amp;"|"&amp;$Q1665&amp;"|"&amp;$K1665,PARAMETRES!$J$43:$J$342,0))="","",INDEX(PARAMETRES!$H$43:$H$342,MATCH($L1665&amp;"|"&amp;$M1665&amp;"|"&amp;$N1665&amp;"|"&amp;$O1665&amp;"|"&amp;$P1665&amp;"|"&amp;$Q1665&amp;"|"&amp;$K1665,PARAMETRES!$J$43:$J$342,0))),""))</f>
        <v/>
      </c>
      <c r="S1665" s="35">
        <f>IF(OR($G1665="",$X1665&lt;&gt;"VALIDE"),"",IFERROR(LOOKUP(2,1/(($B765:$B1664=$B1665)*($G765:$G1664=$G1665)*($X765:$X1664="VALIDE")),$C765:$C1664),""))</f>
        <v/>
      </c>
      <c r="T1665" s="36">
        <f>IF(OR($C1665="",$S1665=""),"",ROUND(($C1665-$S1665+IF($C1665&lt;$S1665,1,0))*1440,0))</f>
        <v/>
      </c>
      <c r="U1665" s="22">
        <f>IF(OR($H1665="",$T1665="",$T1665&lt;=0),"",$H1665*60/$T1665)</f>
        <v/>
      </c>
      <c r="V1665" s="37">
        <f>IF(OR($U1665="",$R1665="",$R1665=0),"",$U1665/$R1665)</f>
        <v/>
      </c>
      <c r="W1665" s="20">
        <f>IF($G1665="","",IF($X1665="CONTEXTE INCOMPLET","CONTEXTE INCOMPLET",IF($X1665="DOUBLON",StatutDoublon,IF($S1665="",StatutInitial,IF($R1665="",StatutStandardManquant,IF($V1665="","DONNEES INSUFFISANTES",IF($V1665&gt;=SeuilConforme,StatutConforme,IF($V1665&gt;=SeuilSurveiller,StatutSurveiller,StatutSousStandard))))))))</f>
        <v/>
      </c>
      <c r="X1665" s="33">
        <f>IF($G1665="","",IF(OR($D1665="",$E1665="",$F1665=""),"CONTEXTE INCOMPLET",IF(COUNTIFS($D765:$D1664,$D1665,$E765:$E1664,$E1665,$F765:$F1664,$F1665,$G765:$G1664,$G1665)&gt;0,"DOUBLON","VALIDE")))</f>
        <v/>
      </c>
    </row>
    <row r="1666" ht="15" customHeight="1">
      <c r="A1666" s="12">
        <f>IF(OR($B1666="",$G1666=""),"",TEXT($B1666,"YYYYMMDD")&amp;"-"&amp;SUBSTITUTE($E1666," ","")&amp;"-"&amp;$F1666&amp;"-"&amp;$G1666)</f>
        <v/>
      </c>
      <c r="B1666" s="15" t="n"/>
      <c r="C1666" s="16" t="n"/>
      <c r="D1666" s="10" t="n"/>
      <c r="E1666" s="9" t="n"/>
      <c r="F1666" s="9" t="n"/>
      <c r="G1666" s="13" t="n"/>
      <c r="H1666" s="21" t="n"/>
      <c r="I1666" s="21" t="n"/>
      <c r="J1666" s="17">
        <f>IF($G1666="","",IFERROR(INDEX(NomsEmployes,MATCH($G1666,MatriculesEmployes,0)),"MATRICULE INCONNU"))</f>
        <v/>
      </c>
      <c r="K1666" s="33">
        <f>IF(OR($D1666="",$F1666=""),"",IFERROR(IF(INDEX(RUNS!$L$6:$S$1005,MATCH($D1666,RUNS!$A$6:$A$1005,0),MATCH("ACTIVITÉ "&amp;$F1666,RUNS!$L$5:$S$5,0))="","",INDEX(RUNS!$L$6:$S$1005,MATCH($D1666,RUNS!$A$6:$A$1005,0),MATCH("ACTIVITÉ "&amp;$F1666,RUNS!$L$5:$S$5,0))),""))</f>
        <v/>
      </c>
      <c r="L1666" s="33">
        <f>IF($D1666="","",IFERROR(IF(INDEX(RUNS!$E$6:$E$1005,MATCH($D1666,RUNS!$A$6:$A$1005,0))="","",INDEX(RUNS!$E$6:$E$1005,MATCH($D1666,RUNS!$A$6:$A$1005,0))),""))</f>
        <v/>
      </c>
      <c r="M1666" s="33">
        <f>IF($D1666="","",IFERROR(IF(INDEX(RUNS!$F$6:$F$1005,MATCH($D1666,RUNS!$A$6:$A$1005,0))="","",INDEX(RUNS!$F$6:$F$1005,MATCH($D1666,RUNS!$A$6:$A$1005,0))),""))</f>
        <v/>
      </c>
      <c r="N1666" s="33">
        <f>IF($D1666="","",IFERROR(IF(INDEX(RUNS!$G$6:$G$1005,MATCH($D1666,RUNS!$A$6:$A$1005,0))="","",INDEX(RUNS!$G$6:$G$1005,MATCH($D1666,RUNS!$A$6:$A$1005,0))),""))</f>
        <v/>
      </c>
      <c r="O1666" s="33">
        <f>IF($D1666="","",IFERROR(IF(INDEX(RUNS!$H$6:$H$1005,MATCH($D1666,RUNS!$A$6:$A$1005,0))="","",INDEX(RUNS!$H$6:$H$1005,MATCH($D1666,RUNS!$A$6:$A$1005,0))),""))</f>
        <v/>
      </c>
      <c r="P1666" s="33">
        <f>IF($D1666="","",IFERROR(IF(INDEX(RUNS!$J$6:$J$1005,MATCH($D1666,RUNS!$A$6:$A$1005,0))="","",INDEX(RUNS!$J$6:$J$1005,MATCH($D1666,RUNS!$A$6:$A$1005,0))),""))</f>
        <v/>
      </c>
      <c r="Q1666" s="33">
        <f>IF($D1666="","",IFERROR(IF(INDEX(RUNS!$K$6:$K$1005,MATCH($D1666,RUNS!$A$6:$A$1005,0))="","",INDEX(RUNS!$K$6:$K$1005,MATCH($D1666,RUNS!$A$6:$A$1005,0))),""))</f>
        <v/>
      </c>
      <c r="R1666" s="34">
        <f>IF(OR($L1666="",$K1666=""),"",IFERROR(IF(INDEX(PARAMETRES!$H$43:$H$342,MATCH($L1666&amp;"|"&amp;$M1666&amp;"|"&amp;$N1666&amp;"|"&amp;$O1666&amp;"|"&amp;$P1666&amp;"|"&amp;$Q1666&amp;"|"&amp;$K1666,PARAMETRES!$J$43:$J$342,0))="","",INDEX(PARAMETRES!$H$43:$H$342,MATCH($L1666&amp;"|"&amp;$M1666&amp;"|"&amp;$N1666&amp;"|"&amp;$O1666&amp;"|"&amp;$P1666&amp;"|"&amp;$Q1666&amp;"|"&amp;$K1666,PARAMETRES!$J$43:$J$342,0))),""))</f>
        <v/>
      </c>
      <c r="S1666" s="35">
        <f>IF(OR($G1666="",$X1666&lt;&gt;"VALIDE"),"",IFERROR(LOOKUP(2,1/(($B766:$B1665=$B1666)*($G766:$G1665=$G1666)*($X766:$X1665="VALIDE")),$C766:$C1665),""))</f>
        <v/>
      </c>
      <c r="T1666" s="36">
        <f>IF(OR($C1666="",$S1666=""),"",ROUND(($C1666-$S1666+IF($C1666&lt;$S1666,1,0))*1440,0))</f>
        <v/>
      </c>
      <c r="U1666" s="22">
        <f>IF(OR($H1666="",$T1666="",$T1666&lt;=0),"",$H1666*60/$T1666)</f>
        <v/>
      </c>
      <c r="V1666" s="37">
        <f>IF(OR($U1666="",$R1666="",$R1666=0),"",$U1666/$R1666)</f>
        <v/>
      </c>
      <c r="W1666" s="20">
        <f>IF($G1666="","",IF($X1666="CONTEXTE INCOMPLET","CONTEXTE INCOMPLET",IF($X1666="DOUBLON",StatutDoublon,IF($S1666="",StatutInitial,IF($R1666="",StatutStandardManquant,IF($V1666="","DONNEES INSUFFISANTES",IF($V1666&gt;=SeuilConforme,StatutConforme,IF($V1666&gt;=SeuilSurveiller,StatutSurveiller,StatutSousStandard))))))))</f>
        <v/>
      </c>
      <c r="X1666" s="33">
        <f>IF($G1666="","",IF(OR($D1666="",$E1666="",$F1666=""),"CONTEXTE INCOMPLET",IF(COUNTIFS($D766:$D1665,$D1666,$E766:$E1665,$E1666,$F766:$F1665,$F1666,$G766:$G1665,$G1666)&gt;0,"DOUBLON","VALIDE")))</f>
        <v/>
      </c>
    </row>
    <row r="1667" ht="15" customHeight="1">
      <c r="A1667" s="12">
        <f>IF(OR($B1667="",$G1667=""),"",TEXT($B1667,"YYYYMMDD")&amp;"-"&amp;SUBSTITUTE($E1667," ","")&amp;"-"&amp;$F1667&amp;"-"&amp;$G1667)</f>
        <v/>
      </c>
      <c r="B1667" s="15" t="n"/>
      <c r="C1667" s="16" t="n"/>
      <c r="D1667" s="10" t="n"/>
      <c r="E1667" s="9" t="n"/>
      <c r="F1667" s="9" t="n"/>
      <c r="G1667" s="13" t="n"/>
      <c r="H1667" s="21" t="n"/>
      <c r="I1667" s="21" t="n"/>
      <c r="J1667" s="17">
        <f>IF($G1667="","",IFERROR(INDEX(NomsEmployes,MATCH($G1667,MatriculesEmployes,0)),"MATRICULE INCONNU"))</f>
        <v/>
      </c>
      <c r="K1667" s="33">
        <f>IF(OR($D1667="",$F1667=""),"",IFERROR(IF(INDEX(RUNS!$L$6:$S$1005,MATCH($D1667,RUNS!$A$6:$A$1005,0),MATCH("ACTIVITÉ "&amp;$F1667,RUNS!$L$5:$S$5,0))="","",INDEX(RUNS!$L$6:$S$1005,MATCH($D1667,RUNS!$A$6:$A$1005,0),MATCH("ACTIVITÉ "&amp;$F1667,RUNS!$L$5:$S$5,0))),""))</f>
        <v/>
      </c>
      <c r="L1667" s="33">
        <f>IF($D1667="","",IFERROR(IF(INDEX(RUNS!$E$6:$E$1005,MATCH($D1667,RUNS!$A$6:$A$1005,0))="","",INDEX(RUNS!$E$6:$E$1005,MATCH($D1667,RUNS!$A$6:$A$1005,0))),""))</f>
        <v/>
      </c>
      <c r="M1667" s="33">
        <f>IF($D1667="","",IFERROR(IF(INDEX(RUNS!$F$6:$F$1005,MATCH($D1667,RUNS!$A$6:$A$1005,0))="","",INDEX(RUNS!$F$6:$F$1005,MATCH($D1667,RUNS!$A$6:$A$1005,0))),""))</f>
        <v/>
      </c>
      <c r="N1667" s="33">
        <f>IF($D1667="","",IFERROR(IF(INDEX(RUNS!$G$6:$G$1005,MATCH($D1667,RUNS!$A$6:$A$1005,0))="","",INDEX(RUNS!$G$6:$G$1005,MATCH($D1667,RUNS!$A$6:$A$1005,0))),""))</f>
        <v/>
      </c>
      <c r="O1667" s="33">
        <f>IF($D1667="","",IFERROR(IF(INDEX(RUNS!$H$6:$H$1005,MATCH($D1667,RUNS!$A$6:$A$1005,0))="","",INDEX(RUNS!$H$6:$H$1005,MATCH($D1667,RUNS!$A$6:$A$1005,0))),""))</f>
        <v/>
      </c>
      <c r="P1667" s="33">
        <f>IF($D1667="","",IFERROR(IF(INDEX(RUNS!$J$6:$J$1005,MATCH($D1667,RUNS!$A$6:$A$1005,0))="","",INDEX(RUNS!$J$6:$J$1005,MATCH($D1667,RUNS!$A$6:$A$1005,0))),""))</f>
        <v/>
      </c>
      <c r="Q1667" s="33">
        <f>IF($D1667="","",IFERROR(IF(INDEX(RUNS!$K$6:$K$1005,MATCH($D1667,RUNS!$A$6:$A$1005,0))="","",INDEX(RUNS!$K$6:$K$1005,MATCH($D1667,RUNS!$A$6:$A$1005,0))),""))</f>
        <v/>
      </c>
      <c r="R1667" s="34">
        <f>IF(OR($L1667="",$K1667=""),"",IFERROR(IF(INDEX(PARAMETRES!$H$43:$H$342,MATCH($L1667&amp;"|"&amp;$M1667&amp;"|"&amp;$N1667&amp;"|"&amp;$O1667&amp;"|"&amp;$P1667&amp;"|"&amp;$Q1667&amp;"|"&amp;$K1667,PARAMETRES!$J$43:$J$342,0))="","",INDEX(PARAMETRES!$H$43:$H$342,MATCH($L1667&amp;"|"&amp;$M1667&amp;"|"&amp;$N1667&amp;"|"&amp;$O1667&amp;"|"&amp;$P1667&amp;"|"&amp;$Q1667&amp;"|"&amp;$K1667,PARAMETRES!$J$43:$J$342,0))),""))</f>
        <v/>
      </c>
      <c r="S1667" s="35">
        <f>IF(OR($G1667="",$X1667&lt;&gt;"VALIDE"),"",IFERROR(LOOKUP(2,1/(($B767:$B1666=$B1667)*($G767:$G1666=$G1667)*($X767:$X1666="VALIDE")),$C767:$C1666),""))</f>
        <v/>
      </c>
      <c r="T1667" s="36">
        <f>IF(OR($C1667="",$S1667=""),"",ROUND(($C1667-$S1667+IF($C1667&lt;$S1667,1,0))*1440,0))</f>
        <v/>
      </c>
      <c r="U1667" s="22">
        <f>IF(OR($H1667="",$T1667="",$T1667&lt;=0),"",$H1667*60/$T1667)</f>
        <v/>
      </c>
      <c r="V1667" s="37">
        <f>IF(OR($U1667="",$R1667="",$R1667=0),"",$U1667/$R1667)</f>
        <v/>
      </c>
      <c r="W1667" s="20">
        <f>IF($G1667="","",IF($X1667="CONTEXTE INCOMPLET","CONTEXTE INCOMPLET",IF($X1667="DOUBLON",StatutDoublon,IF($S1667="",StatutInitial,IF($R1667="",StatutStandardManquant,IF($V1667="","DONNEES INSUFFISANTES",IF($V1667&gt;=SeuilConforme,StatutConforme,IF($V1667&gt;=SeuilSurveiller,StatutSurveiller,StatutSousStandard))))))))</f>
        <v/>
      </c>
      <c r="X1667" s="33">
        <f>IF($G1667="","",IF(OR($D1667="",$E1667="",$F1667=""),"CONTEXTE INCOMPLET",IF(COUNTIFS($D767:$D1666,$D1667,$E767:$E1666,$E1667,$F767:$F1666,$F1667,$G767:$G1666,$G1667)&gt;0,"DOUBLON","VALIDE")))</f>
        <v/>
      </c>
    </row>
    <row r="1668" ht="15" customHeight="1">
      <c r="A1668" s="12">
        <f>IF(OR($B1668="",$G1668=""),"",TEXT($B1668,"YYYYMMDD")&amp;"-"&amp;SUBSTITUTE($E1668," ","")&amp;"-"&amp;$F1668&amp;"-"&amp;$G1668)</f>
        <v/>
      </c>
      <c r="B1668" s="15" t="n"/>
      <c r="C1668" s="16" t="n"/>
      <c r="D1668" s="10" t="n"/>
      <c r="E1668" s="9" t="n"/>
      <c r="F1668" s="9" t="n"/>
      <c r="G1668" s="13" t="n"/>
      <c r="H1668" s="21" t="n"/>
      <c r="I1668" s="21" t="n"/>
      <c r="J1668" s="17">
        <f>IF($G1668="","",IFERROR(INDEX(NomsEmployes,MATCH($G1668,MatriculesEmployes,0)),"MATRICULE INCONNU"))</f>
        <v/>
      </c>
      <c r="K1668" s="33">
        <f>IF(OR($D1668="",$F1668=""),"",IFERROR(IF(INDEX(RUNS!$L$6:$S$1005,MATCH($D1668,RUNS!$A$6:$A$1005,0),MATCH("ACTIVITÉ "&amp;$F1668,RUNS!$L$5:$S$5,0))="","",INDEX(RUNS!$L$6:$S$1005,MATCH($D1668,RUNS!$A$6:$A$1005,0),MATCH("ACTIVITÉ "&amp;$F1668,RUNS!$L$5:$S$5,0))),""))</f>
        <v/>
      </c>
      <c r="L1668" s="33">
        <f>IF($D1668="","",IFERROR(IF(INDEX(RUNS!$E$6:$E$1005,MATCH($D1668,RUNS!$A$6:$A$1005,0))="","",INDEX(RUNS!$E$6:$E$1005,MATCH($D1668,RUNS!$A$6:$A$1005,0))),""))</f>
        <v/>
      </c>
      <c r="M1668" s="33">
        <f>IF($D1668="","",IFERROR(IF(INDEX(RUNS!$F$6:$F$1005,MATCH($D1668,RUNS!$A$6:$A$1005,0))="","",INDEX(RUNS!$F$6:$F$1005,MATCH($D1668,RUNS!$A$6:$A$1005,0))),""))</f>
        <v/>
      </c>
      <c r="N1668" s="33">
        <f>IF($D1668="","",IFERROR(IF(INDEX(RUNS!$G$6:$G$1005,MATCH($D1668,RUNS!$A$6:$A$1005,0))="","",INDEX(RUNS!$G$6:$G$1005,MATCH($D1668,RUNS!$A$6:$A$1005,0))),""))</f>
        <v/>
      </c>
      <c r="O1668" s="33">
        <f>IF($D1668="","",IFERROR(IF(INDEX(RUNS!$H$6:$H$1005,MATCH($D1668,RUNS!$A$6:$A$1005,0))="","",INDEX(RUNS!$H$6:$H$1005,MATCH($D1668,RUNS!$A$6:$A$1005,0))),""))</f>
        <v/>
      </c>
      <c r="P1668" s="33">
        <f>IF($D1668="","",IFERROR(IF(INDEX(RUNS!$J$6:$J$1005,MATCH($D1668,RUNS!$A$6:$A$1005,0))="","",INDEX(RUNS!$J$6:$J$1005,MATCH($D1668,RUNS!$A$6:$A$1005,0))),""))</f>
        <v/>
      </c>
      <c r="Q1668" s="33">
        <f>IF($D1668="","",IFERROR(IF(INDEX(RUNS!$K$6:$K$1005,MATCH($D1668,RUNS!$A$6:$A$1005,0))="","",INDEX(RUNS!$K$6:$K$1005,MATCH($D1668,RUNS!$A$6:$A$1005,0))),""))</f>
        <v/>
      </c>
      <c r="R1668" s="34">
        <f>IF(OR($L1668="",$K1668=""),"",IFERROR(IF(INDEX(PARAMETRES!$H$43:$H$342,MATCH($L1668&amp;"|"&amp;$M1668&amp;"|"&amp;$N1668&amp;"|"&amp;$O1668&amp;"|"&amp;$P1668&amp;"|"&amp;$Q1668&amp;"|"&amp;$K1668,PARAMETRES!$J$43:$J$342,0))="","",INDEX(PARAMETRES!$H$43:$H$342,MATCH($L1668&amp;"|"&amp;$M1668&amp;"|"&amp;$N1668&amp;"|"&amp;$O1668&amp;"|"&amp;$P1668&amp;"|"&amp;$Q1668&amp;"|"&amp;$K1668,PARAMETRES!$J$43:$J$342,0))),""))</f>
        <v/>
      </c>
      <c r="S1668" s="35">
        <f>IF(OR($G1668="",$X1668&lt;&gt;"VALIDE"),"",IFERROR(LOOKUP(2,1/(($B768:$B1667=$B1668)*($G768:$G1667=$G1668)*($X768:$X1667="VALIDE")),$C768:$C1667),""))</f>
        <v/>
      </c>
      <c r="T1668" s="36">
        <f>IF(OR($C1668="",$S1668=""),"",ROUND(($C1668-$S1668+IF($C1668&lt;$S1668,1,0))*1440,0))</f>
        <v/>
      </c>
      <c r="U1668" s="22">
        <f>IF(OR($H1668="",$T1668="",$T1668&lt;=0),"",$H1668*60/$T1668)</f>
        <v/>
      </c>
      <c r="V1668" s="37">
        <f>IF(OR($U1668="",$R1668="",$R1668=0),"",$U1668/$R1668)</f>
        <v/>
      </c>
      <c r="W1668" s="20">
        <f>IF($G1668="","",IF($X1668="CONTEXTE INCOMPLET","CONTEXTE INCOMPLET",IF($X1668="DOUBLON",StatutDoublon,IF($S1668="",StatutInitial,IF($R1668="",StatutStandardManquant,IF($V1668="","DONNEES INSUFFISANTES",IF($V1668&gt;=SeuilConforme,StatutConforme,IF($V1668&gt;=SeuilSurveiller,StatutSurveiller,StatutSousStandard))))))))</f>
        <v/>
      </c>
      <c r="X1668" s="33">
        <f>IF($G1668="","",IF(OR($D1668="",$E1668="",$F1668=""),"CONTEXTE INCOMPLET",IF(COUNTIFS($D768:$D1667,$D1668,$E768:$E1667,$E1668,$F768:$F1667,$F1668,$G768:$G1667,$G1668)&gt;0,"DOUBLON","VALIDE")))</f>
        <v/>
      </c>
    </row>
    <row r="1669" ht="15" customHeight="1">
      <c r="A1669" s="12">
        <f>IF(OR($B1669="",$G1669=""),"",TEXT($B1669,"YYYYMMDD")&amp;"-"&amp;SUBSTITUTE($E1669," ","")&amp;"-"&amp;$F1669&amp;"-"&amp;$G1669)</f>
        <v/>
      </c>
      <c r="B1669" s="15" t="n"/>
      <c r="C1669" s="16" t="n"/>
      <c r="D1669" s="10" t="n"/>
      <c r="E1669" s="9" t="n"/>
      <c r="F1669" s="9" t="n"/>
      <c r="G1669" s="13" t="n"/>
      <c r="H1669" s="21" t="n"/>
      <c r="I1669" s="21" t="n"/>
      <c r="J1669" s="17">
        <f>IF($G1669="","",IFERROR(INDEX(NomsEmployes,MATCH($G1669,MatriculesEmployes,0)),"MATRICULE INCONNU"))</f>
        <v/>
      </c>
      <c r="K1669" s="33">
        <f>IF(OR($D1669="",$F1669=""),"",IFERROR(IF(INDEX(RUNS!$L$6:$S$1005,MATCH($D1669,RUNS!$A$6:$A$1005,0),MATCH("ACTIVITÉ "&amp;$F1669,RUNS!$L$5:$S$5,0))="","",INDEX(RUNS!$L$6:$S$1005,MATCH($D1669,RUNS!$A$6:$A$1005,0),MATCH("ACTIVITÉ "&amp;$F1669,RUNS!$L$5:$S$5,0))),""))</f>
        <v/>
      </c>
      <c r="L1669" s="33">
        <f>IF($D1669="","",IFERROR(IF(INDEX(RUNS!$E$6:$E$1005,MATCH($D1669,RUNS!$A$6:$A$1005,0))="","",INDEX(RUNS!$E$6:$E$1005,MATCH($D1669,RUNS!$A$6:$A$1005,0))),""))</f>
        <v/>
      </c>
      <c r="M1669" s="33">
        <f>IF($D1669="","",IFERROR(IF(INDEX(RUNS!$F$6:$F$1005,MATCH($D1669,RUNS!$A$6:$A$1005,0))="","",INDEX(RUNS!$F$6:$F$1005,MATCH($D1669,RUNS!$A$6:$A$1005,0))),""))</f>
        <v/>
      </c>
      <c r="N1669" s="33">
        <f>IF($D1669="","",IFERROR(IF(INDEX(RUNS!$G$6:$G$1005,MATCH($D1669,RUNS!$A$6:$A$1005,0))="","",INDEX(RUNS!$G$6:$G$1005,MATCH($D1669,RUNS!$A$6:$A$1005,0))),""))</f>
        <v/>
      </c>
      <c r="O1669" s="33">
        <f>IF($D1669="","",IFERROR(IF(INDEX(RUNS!$H$6:$H$1005,MATCH($D1669,RUNS!$A$6:$A$1005,0))="","",INDEX(RUNS!$H$6:$H$1005,MATCH($D1669,RUNS!$A$6:$A$1005,0))),""))</f>
        <v/>
      </c>
      <c r="P1669" s="33">
        <f>IF($D1669="","",IFERROR(IF(INDEX(RUNS!$J$6:$J$1005,MATCH($D1669,RUNS!$A$6:$A$1005,0))="","",INDEX(RUNS!$J$6:$J$1005,MATCH($D1669,RUNS!$A$6:$A$1005,0))),""))</f>
        <v/>
      </c>
      <c r="Q1669" s="33">
        <f>IF($D1669="","",IFERROR(IF(INDEX(RUNS!$K$6:$K$1005,MATCH($D1669,RUNS!$A$6:$A$1005,0))="","",INDEX(RUNS!$K$6:$K$1005,MATCH($D1669,RUNS!$A$6:$A$1005,0))),""))</f>
        <v/>
      </c>
      <c r="R1669" s="34">
        <f>IF(OR($L1669="",$K1669=""),"",IFERROR(IF(INDEX(PARAMETRES!$H$43:$H$342,MATCH($L1669&amp;"|"&amp;$M1669&amp;"|"&amp;$N1669&amp;"|"&amp;$O1669&amp;"|"&amp;$P1669&amp;"|"&amp;$Q1669&amp;"|"&amp;$K1669,PARAMETRES!$J$43:$J$342,0))="","",INDEX(PARAMETRES!$H$43:$H$342,MATCH($L1669&amp;"|"&amp;$M1669&amp;"|"&amp;$N1669&amp;"|"&amp;$O1669&amp;"|"&amp;$P1669&amp;"|"&amp;$Q1669&amp;"|"&amp;$K1669,PARAMETRES!$J$43:$J$342,0))),""))</f>
        <v/>
      </c>
      <c r="S1669" s="35">
        <f>IF(OR($G1669="",$X1669&lt;&gt;"VALIDE"),"",IFERROR(LOOKUP(2,1/(($B769:$B1668=$B1669)*($G769:$G1668=$G1669)*($X769:$X1668="VALIDE")),$C769:$C1668),""))</f>
        <v/>
      </c>
      <c r="T1669" s="36">
        <f>IF(OR($C1669="",$S1669=""),"",ROUND(($C1669-$S1669+IF($C1669&lt;$S1669,1,0))*1440,0))</f>
        <v/>
      </c>
      <c r="U1669" s="22">
        <f>IF(OR($H1669="",$T1669="",$T1669&lt;=0),"",$H1669*60/$T1669)</f>
        <v/>
      </c>
      <c r="V1669" s="37">
        <f>IF(OR($U1669="",$R1669="",$R1669=0),"",$U1669/$R1669)</f>
        <v/>
      </c>
      <c r="W1669" s="20">
        <f>IF($G1669="","",IF($X1669="CONTEXTE INCOMPLET","CONTEXTE INCOMPLET",IF($X1669="DOUBLON",StatutDoublon,IF($S1669="",StatutInitial,IF($R1669="",StatutStandardManquant,IF($V1669="","DONNEES INSUFFISANTES",IF($V1669&gt;=SeuilConforme,StatutConforme,IF($V1669&gt;=SeuilSurveiller,StatutSurveiller,StatutSousStandard))))))))</f>
        <v/>
      </c>
      <c r="X1669" s="33">
        <f>IF($G1669="","",IF(OR($D1669="",$E1669="",$F1669=""),"CONTEXTE INCOMPLET",IF(COUNTIFS($D769:$D1668,$D1669,$E769:$E1668,$E1669,$F769:$F1668,$F1669,$G769:$G1668,$G1669)&gt;0,"DOUBLON","VALIDE")))</f>
        <v/>
      </c>
    </row>
    <row r="1670" ht="15" customHeight="1">
      <c r="A1670" s="12">
        <f>IF(OR($B1670="",$G1670=""),"",TEXT($B1670,"YYYYMMDD")&amp;"-"&amp;SUBSTITUTE($E1670," ","")&amp;"-"&amp;$F1670&amp;"-"&amp;$G1670)</f>
        <v/>
      </c>
      <c r="B1670" s="15" t="n"/>
      <c r="C1670" s="16" t="n"/>
      <c r="D1670" s="10" t="n"/>
      <c r="E1670" s="9" t="n"/>
      <c r="F1670" s="9" t="n"/>
      <c r="G1670" s="13" t="n"/>
      <c r="H1670" s="21" t="n"/>
      <c r="I1670" s="21" t="n"/>
      <c r="J1670" s="17">
        <f>IF($G1670="","",IFERROR(INDEX(NomsEmployes,MATCH($G1670,MatriculesEmployes,0)),"MATRICULE INCONNU"))</f>
        <v/>
      </c>
      <c r="K1670" s="33">
        <f>IF(OR($D1670="",$F1670=""),"",IFERROR(IF(INDEX(RUNS!$L$6:$S$1005,MATCH($D1670,RUNS!$A$6:$A$1005,0),MATCH("ACTIVITÉ "&amp;$F1670,RUNS!$L$5:$S$5,0))="","",INDEX(RUNS!$L$6:$S$1005,MATCH($D1670,RUNS!$A$6:$A$1005,0),MATCH("ACTIVITÉ "&amp;$F1670,RUNS!$L$5:$S$5,0))),""))</f>
        <v/>
      </c>
      <c r="L1670" s="33">
        <f>IF($D1670="","",IFERROR(IF(INDEX(RUNS!$E$6:$E$1005,MATCH($D1670,RUNS!$A$6:$A$1005,0))="","",INDEX(RUNS!$E$6:$E$1005,MATCH($D1670,RUNS!$A$6:$A$1005,0))),""))</f>
        <v/>
      </c>
      <c r="M1670" s="33">
        <f>IF($D1670="","",IFERROR(IF(INDEX(RUNS!$F$6:$F$1005,MATCH($D1670,RUNS!$A$6:$A$1005,0))="","",INDEX(RUNS!$F$6:$F$1005,MATCH($D1670,RUNS!$A$6:$A$1005,0))),""))</f>
        <v/>
      </c>
      <c r="N1670" s="33">
        <f>IF($D1670="","",IFERROR(IF(INDEX(RUNS!$G$6:$G$1005,MATCH($D1670,RUNS!$A$6:$A$1005,0))="","",INDEX(RUNS!$G$6:$G$1005,MATCH($D1670,RUNS!$A$6:$A$1005,0))),""))</f>
        <v/>
      </c>
      <c r="O1670" s="33">
        <f>IF($D1670="","",IFERROR(IF(INDEX(RUNS!$H$6:$H$1005,MATCH($D1670,RUNS!$A$6:$A$1005,0))="","",INDEX(RUNS!$H$6:$H$1005,MATCH($D1670,RUNS!$A$6:$A$1005,0))),""))</f>
        <v/>
      </c>
      <c r="P1670" s="33">
        <f>IF($D1670="","",IFERROR(IF(INDEX(RUNS!$J$6:$J$1005,MATCH($D1670,RUNS!$A$6:$A$1005,0))="","",INDEX(RUNS!$J$6:$J$1005,MATCH($D1670,RUNS!$A$6:$A$1005,0))),""))</f>
        <v/>
      </c>
      <c r="Q1670" s="33">
        <f>IF($D1670="","",IFERROR(IF(INDEX(RUNS!$K$6:$K$1005,MATCH($D1670,RUNS!$A$6:$A$1005,0))="","",INDEX(RUNS!$K$6:$K$1005,MATCH($D1670,RUNS!$A$6:$A$1005,0))),""))</f>
        <v/>
      </c>
      <c r="R1670" s="34">
        <f>IF(OR($L1670="",$K1670=""),"",IFERROR(IF(INDEX(PARAMETRES!$H$43:$H$342,MATCH($L1670&amp;"|"&amp;$M1670&amp;"|"&amp;$N1670&amp;"|"&amp;$O1670&amp;"|"&amp;$P1670&amp;"|"&amp;$Q1670&amp;"|"&amp;$K1670,PARAMETRES!$J$43:$J$342,0))="","",INDEX(PARAMETRES!$H$43:$H$342,MATCH($L1670&amp;"|"&amp;$M1670&amp;"|"&amp;$N1670&amp;"|"&amp;$O1670&amp;"|"&amp;$P1670&amp;"|"&amp;$Q1670&amp;"|"&amp;$K1670,PARAMETRES!$J$43:$J$342,0))),""))</f>
        <v/>
      </c>
      <c r="S1670" s="35">
        <f>IF(OR($G1670="",$X1670&lt;&gt;"VALIDE"),"",IFERROR(LOOKUP(2,1/(($B770:$B1669=$B1670)*($G770:$G1669=$G1670)*($X770:$X1669="VALIDE")),$C770:$C1669),""))</f>
        <v/>
      </c>
      <c r="T1670" s="36">
        <f>IF(OR($C1670="",$S1670=""),"",ROUND(($C1670-$S1670+IF($C1670&lt;$S1670,1,0))*1440,0))</f>
        <v/>
      </c>
      <c r="U1670" s="22">
        <f>IF(OR($H1670="",$T1670="",$T1670&lt;=0),"",$H1670*60/$T1670)</f>
        <v/>
      </c>
      <c r="V1670" s="37">
        <f>IF(OR($U1670="",$R1670="",$R1670=0),"",$U1670/$R1670)</f>
        <v/>
      </c>
      <c r="W1670" s="20">
        <f>IF($G1670="","",IF($X1670="CONTEXTE INCOMPLET","CONTEXTE INCOMPLET",IF($X1670="DOUBLON",StatutDoublon,IF($S1670="",StatutInitial,IF($R1670="",StatutStandardManquant,IF($V1670="","DONNEES INSUFFISANTES",IF($V1670&gt;=SeuilConforme,StatutConforme,IF($V1670&gt;=SeuilSurveiller,StatutSurveiller,StatutSousStandard))))))))</f>
        <v/>
      </c>
      <c r="X1670" s="33">
        <f>IF($G1670="","",IF(OR($D1670="",$E1670="",$F1670=""),"CONTEXTE INCOMPLET",IF(COUNTIFS($D770:$D1669,$D1670,$E770:$E1669,$E1670,$F770:$F1669,$F1670,$G770:$G1669,$G1670)&gt;0,"DOUBLON","VALIDE")))</f>
        <v/>
      </c>
    </row>
    <row r="1671" ht="15" customHeight="1">
      <c r="A1671" s="12">
        <f>IF(OR($B1671="",$G1671=""),"",TEXT($B1671,"YYYYMMDD")&amp;"-"&amp;SUBSTITUTE($E1671," ","")&amp;"-"&amp;$F1671&amp;"-"&amp;$G1671)</f>
        <v/>
      </c>
      <c r="B1671" s="15" t="n"/>
      <c r="C1671" s="16" t="n"/>
      <c r="D1671" s="10" t="n"/>
      <c r="E1671" s="9" t="n"/>
      <c r="F1671" s="9" t="n"/>
      <c r="G1671" s="13" t="n"/>
      <c r="H1671" s="21" t="n"/>
      <c r="I1671" s="21" t="n"/>
      <c r="J1671" s="17">
        <f>IF($G1671="","",IFERROR(INDEX(NomsEmployes,MATCH($G1671,MatriculesEmployes,0)),"MATRICULE INCONNU"))</f>
        <v/>
      </c>
      <c r="K1671" s="33">
        <f>IF(OR($D1671="",$F1671=""),"",IFERROR(IF(INDEX(RUNS!$L$6:$S$1005,MATCH($D1671,RUNS!$A$6:$A$1005,0),MATCH("ACTIVITÉ "&amp;$F1671,RUNS!$L$5:$S$5,0))="","",INDEX(RUNS!$L$6:$S$1005,MATCH($D1671,RUNS!$A$6:$A$1005,0),MATCH("ACTIVITÉ "&amp;$F1671,RUNS!$L$5:$S$5,0))),""))</f>
        <v/>
      </c>
      <c r="L1671" s="33">
        <f>IF($D1671="","",IFERROR(IF(INDEX(RUNS!$E$6:$E$1005,MATCH($D1671,RUNS!$A$6:$A$1005,0))="","",INDEX(RUNS!$E$6:$E$1005,MATCH($D1671,RUNS!$A$6:$A$1005,0))),""))</f>
        <v/>
      </c>
      <c r="M1671" s="33">
        <f>IF($D1671="","",IFERROR(IF(INDEX(RUNS!$F$6:$F$1005,MATCH($D1671,RUNS!$A$6:$A$1005,0))="","",INDEX(RUNS!$F$6:$F$1005,MATCH($D1671,RUNS!$A$6:$A$1005,0))),""))</f>
        <v/>
      </c>
      <c r="N1671" s="33">
        <f>IF($D1671="","",IFERROR(IF(INDEX(RUNS!$G$6:$G$1005,MATCH($D1671,RUNS!$A$6:$A$1005,0))="","",INDEX(RUNS!$G$6:$G$1005,MATCH($D1671,RUNS!$A$6:$A$1005,0))),""))</f>
        <v/>
      </c>
      <c r="O1671" s="33">
        <f>IF($D1671="","",IFERROR(IF(INDEX(RUNS!$H$6:$H$1005,MATCH($D1671,RUNS!$A$6:$A$1005,0))="","",INDEX(RUNS!$H$6:$H$1005,MATCH($D1671,RUNS!$A$6:$A$1005,0))),""))</f>
        <v/>
      </c>
      <c r="P1671" s="33">
        <f>IF($D1671="","",IFERROR(IF(INDEX(RUNS!$J$6:$J$1005,MATCH($D1671,RUNS!$A$6:$A$1005,0))="","",INDEX(RUNS!$J$6:$J$1005,MATCH($D1671,RUNS!$A$6:$A$1005,0))),""))</f>
        <v/>
      </c>
      <c r="Q1671" s="33">
        <f>IF($D1671="","",IFERROR(IF(INDEX(RUNS!$K$6:$K$1005,MATCH($D1671,RUNS!$A$6:$A$1005,0))="","",INDEX(RUNS!$K$6:$K$1005,MATCH($D1671,RUNS!$A$6:$A$1005,0))),""))</f>
        <v/>
      </c>
      <c r="R1671" s="34">
        <f>IF(OR($L1671="",$K1671=""),"",IFERROR(IF(INDEX(PARAMETRES!$H$43:$H$342,MATCH($L1671&amp;"|"&amp;$M1671&amp;"|"&amp;$N1671&amp;"|"&amp;$O1671&amp;"|"&amp;$P1671&amp;"|"&amp;$Q1671&amp;"|"&amp;$K1671,PARAMETRES!$J$43:$J$342,0))="","",INDEX(PARAMETRES!$H$43:$H$342,MATCH($L1671&amp;"|"&amp;$M1671&amp;"|"&amp;$N1671&amp;"|"&amp;$O1671&amp;"|"&amp;$P1671&amp;"|"&amp;$Q1671&amp;"|"&amp;$K1671,PARAMETRES!$J$43:$J$342,0))),""))</f>
        <v/>
      </c>
      <c r="S1671" s="35">
        <f>IF(OR($G1671="",$X1671&lt;&gt;"VALIDE"),"",IFERROR(LOOKUP(2,1/(($B771:$B1670=$B1671)*($G771:$G1670=$G1671)*($X771:$X1670="VALIDE")),$C771:$C1670),""))</f>
        <v/>
      </c>
      <c r="T1671" s="36">
        <f>IF(OR($C1671="",$S1671=""),"",ROUND(($C1671-$S1671+IF($C1671&lt;$S1671,1,0))*1440,0))</f>
        <v/>
      </c>
      <c r="U1671" s="22">
        <f>IF(OR($H1671="",$T1671="",$T1671&lt;=0),"",$H1671*60/$T1671)</f>
        <v/>
      </c>
      <c r="V1671" s="37">
        <f>IF(OR($U1671="",$R1671="",$R1671=0),"",$U1671/$R1671)</f>
        <v/>
      </c>
      <c r="W1671" s="20">
        <f>IF($G1671="","",IF($X1671="CONTEXTE INCOMPLET","CONTEXTE INCOMPLET",IF($X1671="DOUBLON",StatutDoublon,IF($S1671="",StatutInitial,IF($R1671="",StatutStandardManquant,IF($V1671="","DONNEES INSUFFISANTES",IF($V1671&gt;=SeuilConforme,StatutConforme,IF($V1671&gt;=SeuilSurveiller,StatutSurveiller,StatutSousStandard))))))))</f>
        <v/>
      </c>
      <c r="X1671" s="33">
        <f>IF($G1671="","",IF(OR($D1671="",$E1671="",$F1671=""),"CONTEXTE INCOMPLET",IF(COUNTIFS($D771:$D1670,$D1671,$E771:$E1670,$E1671,$F771:$F1670,$F1671,$G771:$G1670,$G1671)&gt;0,"DOUBLON","VALIDE")))</f>
        <v/>
      </c>
    </row>
    <row r="1672" ht="15" customHeight="1">
      <c r="A1672" s="12">
        <f>IF(OR($B1672="",$G1672=""),"",TEXT($B1672,"YYYYMMDD")&amp;"-"&amp;SUBSTITUTE($E1672," ","")&amp;"-"&amp;$F1672&amp;"-"&amp;$G1672)</f>
        <v/>
      </c>
      <c r="B1672" s="15" t="n"/>
      <c r="C1672" s="16" t="n"/>
      <c r="D1672" s="10" t="n"/>
      <c r="E1672" s="9" t="n"/>
      <c r="F1672" s="9" t="n"/>
      <c r="G1672" s="13" t="n"/>
      <c r="H1672" s="21" t="n"/>
      <c r="I1672" s="21" t="n"/>
      <c r="J1672" s="17">
        <f>IF($G1672="","",IFERROR(INDEX(NomsEmployes,MATCH($G1672,MatriculesEmployes,0)),"MATRICULE INCONNU"))</f>
        <v/>
      </c>
      <c r="K1672" s="33">
        <f>IF(OR($D1672="",$F1672=""),"",IFERROR(IF(INDEX(RUNS!$L$6:$S$1005,MATCH($D1672,RUNS!$A$6:$A$1005,0),MATCH("ACTIVITÉ "&amp;$F1672,RUNS!$L$5:$S$5,0))="","",INDEX(RUNS!$L$6:$S$1005,MATCH($D1672,RUNS!$A$6:$A$1005,0),MATCH("ACTIVITÉ "&amp;$F1672,RUNS!$L$5:$S$5,0))),""))</f>
        <v/>
      </c>
      <c r="L1672" s="33">
        <f>IF($D1672="","",IFERROR(IF(INDEX(RUNS!$E$6:$E$1005,MATCH($D1672,RUNS!$A$6:$A$1005,0))="","",INDEX(RUNS!$E$6:$E$1005,MATCH($D1672,RUNS!$A$6:$A$1005,0))),""))</f>
        <v/>
      </c>
      <c r="M1672" s="33">
        <f>IF($D1672="","",IFERROR(IF(INDEX(RUNS!$F$6:$F$1005,MATCH($D1672,RUNS!$A$6:$A$1005,0))="","",INDEX(RUNS!$F$6:$F$1005,MATCH($D1672,RUNS!$A$6:$A$1005,0))),""))</f>
        <v/>
      </c>
      <c r="N1672" s="33">
        <f>IF($D1672="","",IFERROR(IF(INDEX(RUNS!$G$6:$G$1005,MATCH($D1672,RUNS!$A$6:$A$1005,0))="","",INDEX(RUNS!$G$6:$G$1005,MATCH($D1672,RUNS!$A$6:$A$1005,0))),""))</f>
        <v/>
      </c>
      <c r="O1672" s="33">
        <f>IF($D1672="","",IFERROR(IF(INDEX(RUNS!$H$6:$H$1005,MATCH($D1672,RUNS!$A$6:$A$1005,0))="","",INDEX(RUNS!$H$6:$H$1005,MATCH($D1672,RUNS!$A$6:$A$1005,0))),""))</f>
        <v/>
      </c>
      <c r="P1672" s="33">
        <f>IF($D1672="","",IFERROR(IF(INDEX(RUNS!$J$6:$J$1005,MATCH($D1672,RUNS!$A$6:$A$1005,0))="","",INDEX(RUNS!$J$6:$J$1005,MATCH($D1672,RUNS!$A$6:$A$1005,0))),""))</f>
        <v/>
      </c>
      <c r="Q1672" s="33">
        <f>IF($D1672="","",IFERROR(IF(INDEX(RUNS!$K$6:$K$1005,MATCH($D1672,RUNS!$A$6:$A$1005,0))="","",INDEX(RUNS!$K$6:$K$1005,MATCH($D1672,RUNS!$A$6:$A$1005,0))),""))</f>
        <v/>
      </c>
      <c r="R1672" s="34">
        <f>IF(OR($L1672="",$K1672=""),"",IFERROR(IF(INDEX(PARAMETRES!$H$43:$H$342,MATCH($L1672&amp;"|"&amp;$M1672&amp;"|"&amp;$N1672&amp;"|"&amp;$O1672&amp;"|"&amp;$P1672&amp;"|"&amp;$Q1672&amp;"|"&amp;$K1672,PARAMETRES!$J$43:$J$342,0))="","",INDEX(PARAMETRES!$H$43:$H$342,MATCH($L1672&amp;"|"&amp;$M1672&amp;"|"&amp;$N1672&amp;"|"&amp;$O1672&amp;"|"&amp;$P1672&amp;"|"&amp;$Q1672&amp;"|"&amp;$K1672,PARAMETRES!$J$43:$J$342,0))),""))</f>
        <v/>
      </c>
      <c r="S1672" s="35">
        <f>IF(OR($G1672="",$X1672&lt;&gt;"VALIDE"),"",IFERROR(LOOKUP(2,1/(($B772:$B1671=$B1672)*($G772:$G1671=$G1672)*($X772:$X1671="VALIDE")),$C772:$C1671),""))</f>
        <v/>
      </c>
      <c r="T1672" s="36">
        <f>IF(OR($C1672="",$S1672=""),"",ROUND(($C1672-$S1672+IF($C1672&lt;$S1672,1,0))*1440,0))</f>
        <v/>
      </c>
      <c r="U1672" s="22">
        <f>IF(OR($H1672="",$T1672="",$T1672&lt;=0),"",$H1672*60/$T1672)</f>
        <v/>
      </c>
      <c r="V1672" s="37">
        <f>IF(OR($U1672="",$R1672="",$R1672=0),"",$U1672/$R1672)</f>
        <v/>
      </c>
      <c r="W1672" s="20">
        <f>IF($G1672="","",IF($X1672="CONTEXTE INCOMPLET","CONTEXTE INCOMPLET",IF($X1672="DOUBLON",StatutDoublon,IF($S1672="",StatutInitial,IF($R1672="",StatutStandardManquant,IF($V1672="","DONNEES INSUFFISANTES",IF($V1672&gt;=SeuilConforme,StatutConforme,IF($V1672&gt;=SeuilSurveiller,StatutSurveiller,StatutSousStandard))))))))</f>
        <v/>
      </c>
      <c r="X1672" s="33">
        <f>IF($G1672="","",IF(OR($D1672="",$E1672="",$F1672=""),"CONTEXTE INCOMPLET",IF(COUNTIFS($D772:$D1671,$D1672,$E772:$E1671,$E1672,$F772:$F1671,$F1672,$G772:$G1671,$G1672)&gt;0,"DOUBLON","VALIDE")))</f>
        <v/>
      </c>
    </row>
    <row r="1673" ht="15" customHeight="1">
      <c r="A1673" s="12">
        <f>IF(OR($B1673="",$G1673=""),"",TEXT($B1673,"YYYYMMDD")&amp;"-"&amp;SUBSTITUTE($E1673," ","")&amp;"-"&amp;$F1673&amp;"-"&amp;$G1673)</f>
        <v/>
      </c>
      <c r="B1673" s="15" t="n"/>
      <c r="C1673" s="16" t="n"/>
      <c r="D1673" s="10" t="n"/>
      <c r="E1673" s="9" t="n"/>
      <c r="F1673" s="9" t="n"/>
      <c r="G1673" s="13" t="n"/>
      <c r="H1673" s="21" t="n"/>
      <c r="I1673" s="21" t="n"/>
      <c r="J1673" s="17">
        <f>IF($G1673="","",IFERROR(INDEX(NomsEmployes,MATCH($G1673,MatriculesEmployes,0)),"MATRICULE INCONNU"))</f>
        <v/>
      </c>
      <c r="K1673" s="33">
        <f>IF(OR($D1673="",$F1673=""),"",IFERROR(IF(INDEX(RUNS!$L$6:$S$1005,MATCH($D1673,RUNS!$A$6:$A$1005,0),MATCH("ACTIVITÉ "&amp;$F1673,RUNS!$L$5:$S$5,0))="","",INDEX(RUNS!$L$6:$S$1005,MATCH($D1673,RUNS!$A$6:$A$1005,0),MATCH("ACTIVITÉ "&amp;$F1673,RUNS!$L$5:$S$5,0))),""))</f>
        <v/>
      </c>
      <c r="L1673" s="33">
        <f>IF($D1673="","",IFERROR(IF(INDEX(RUNS!$E$6:$E$1005,MATCH($D1673,RUNS!$A$6:$A$1005,0))="","",INDEX(RUNS!$E$6:$E$1005,MATCH($D1673,RUNS!$A$6:$A$1005,0))),""))</f>
        <v/>
      </c>
      <c r="M1673" s="33">
        <f>IF($D1673="","",IFERROR(IF(INDEX(RUNS!$F$6:$F$1005,MATCH($D1673,RUNS!$A$6:$A$1005,0))="","",INDEX(RUNS!$F$6:$F$1005,MATCH($D1673,RUNS!$A$6:$A$1005,0))),""))</f>
        <v/>
      </c>
      <c r="N1673" s="33">
        <f>IF($D1673="","",IFERROR(IF(INDEX(RUNS!$G$6:$G$1005,MATCH($D1673,RUNS!$A$6:$A$1005,0))="","",INDEX(RUNS!$G$6:$G$1005,MATCH($D1673,RUNS!$A$6:$A$1005,0))),""))</f>
        <v/>
      </c>
      <c r="O1673" s="33">
        <f>IF($D1673="","",IFERROR(IF(INDEX(RUNS!$H$6:$H$1005,MATCH($D1673,RUNS!$A$6:$A$1005,0))="","",INDEX(RUNS!$H$6:$H$1005,MATCH($D1673,RUNS!$A$6:$A$1005,0))),""))</f>
        <v/>
      </c>
      <c r="P1673" s="33">
        <f>IF($D1673="","",IFERROR(IF(INDEX(RUNS!$J$6:$J$1005,MATCH($D1673,RUNS!$A$6:$A$1005,0))="","",INDEX(RUNS!$J$6:$J$1005,MATCH($D1673,RUNS!$A$6:$A$1005,0))),""))</f>
        <v/>
      </c>
      <c r="Q1673" s="33">
        <f>IF($D1673="","",IFERROR(IF(INDEX(RUNS!$K$6:$K$1005,MATCH($D1673,RUNS!$A$6:$A$1005,0))="","",INDEX(RUNS!$K$6:$K$1005,MATCH($D1673,RUNS!$A$6:$A$1005,0))),""))</f>
        <v/>
      </c>
      <c r="R1673" s="34">
        <f>IF(OR($L1673="",$K1673=""),"",IFERROR(IF(INDEX(PARAMETRES!$H$43:$H$342,MATCH($L1673&amp;"|"&amp;$M1673&amp;"|"&amp;$N1673&amp;"|"&amp;$O1673&amp;"|"&amp;$P1673&amp;"|"&amp;$Q1673&amp;"|"&amp;$K1673,PARAMETRES!$J$43:$J$342,0))="","",INDEX(PARAMETRES!$H$43:$H$342,MATCH($L1673&amp;"|"&amp;$M1673&amp;"|"&amp;$N1673&amp;"|"&amp;$O1673&amp;"|"&amp;$P1673&amp;"|"&amp;$Q1673&amp;"|"&amp;$K1673,PARAMETRES!$J$43:$J$342,0))),""))</f>
        <v/>
      </c>
      <c r="S1673" s="35">
        <f>IF(OR($G1673="",$X1673&lt;&gt;"VALIDE"),"",IFERROR(LOOKUP(2,1/(($B773:$B1672=$B1673)*($G773:$G1672=$G1673)*($X773:$X1672="VALIDE")),$C773:$C1672),""))</f>
        <v/>
      </c>
      <c r="T1673" s="36">
        <f>IF(OR($C1673="",$S1673=""),"",ROUND(($C1673-$S1673+IF($C1673&lt;$S1673,1,0))*1440,0))</f>
        <v/>
      </c>
      <c r="U1673" s="22">
        <f>IF(OR($H1673="",$T1673="",$T1673&lt;=0),"",$H1673*60/$T1673)</f>
        <v/>
      </c>
      <c r="V1673" s="37">
        <f>IF(OR($U1673="",$R1673="",$R1673=0),"",$U1673/$R1673)</f>
        <v/>
      </c>
      <c r="W1673" s="20">
        <f>IF($G1673="","",IF($X1673="CONTEXTE INCOMPLET","CONTEXTE INCOMPLET",IF($X1673="DOUBLON",StatutDoublon,IF($S1673="",StatutInitial,IF($R1673="",StatutStandardManquant,IF($V1673="","DONNEES INSUFFISANTES",IF($V1673&gt;=SeuilConforme,StatutConforme,IF($V1673&gt;=SeuilSurveiller,StatutSurveiller,StatutSousStandard))))))))</f>
        <v/>
      </c>
      <c r="X1673" s="33">
        <f>IF($G1673="","",IF(OR($D1673="",$E1673="",$F1673=""),"CONTEXTE INCOMPLET",IF(COUNTIFS($D773:$D1672,$D1673,$E773:$E1672,$E1673,$F773:$F1672,$F1673,$G773:$G1672,$G1673)&gt;0,"DOUBLON","VALIDE")))</f>
        <v/>
      </c>
    </row>
    <row r="1674" ht="15" customHeight="1">
      <c r="A1674" s="12">
        <f>IF(OR($B1674="",$G1674=""),"",TEXT($B1674,"YYYYMMDD")&amp;"-"&amp;SUBSTITUTE($E1674," ","")&amp;"-"&amp;$F1674&amp;"-"&amp;$G1674)</f>
        <v/>
      </c>
      <c r="B1674" s="15" t="n"/>
      <c r="C1674" s="16" t="n"/>
      <c r="D1674" s="10" t="n"/>
      <c r="E1674" s="9" t="n"/>
      <c r="F1674" s="9" t="n"/>
      <c r="G1674" s="13" t="n"/>
      <c r="H1674" s="21" t="n"/>
      <c r="I1674" s="21" t="n"/>
      <c r="J1674" s="17">
        <f>IF($G1674="","",IFERROR(INDEX(NomsEmployes,MATCH($G1674,MatriculesEmployes,0)),"MATRICULE INCONNU"))</f>
        <v/>
      </c>
      <c r="K1674" s="33">
        <f>IF(OR($D1674="",$F1674=""),"",IFERROR(IF(INDEX(RUNS!$L$6:$S$1005,MATCH($D1674,RUNS!$A$6:$A$1005,0),MATCH("ACTIVITÉ "&amp;$F1674,RUNS!$L$5:$S$5,0))="","",INDEX(RUNS!$L$6:$S$1005,MATCH($D1674,RUNS!$A$6:$A$1005,0),MATCH("ACTIVITÉ "&amp;$F1674,RUNS!$L$5:$S$5,0))),""))</f>
        <v/>
      </c>
      <c r="L1674" s="33">
        <f>IF($D1674="","",IFERROR(IF(INDEX(RUNS!$E$6:$E$1005,MATCH($D1674,RUNS!$A$6:$A$1005,0))="","",INDEX(RUNS!$E$6:$E$1005,MATCH($D1674,RUNS!$A$6:$A$1005,0))),""))</f>
        <v/>
      </c>
      <c r="M1674" s="33">
        <f>IF($D1674="","",IFERROR(IF(INDEX(RUNS!$F$6:$F$1005,MATCH($D1674,RUNS!$A$6:$A$1005,0))="","",INDEX(RUNS!$F$6:$F$1005,MATCH($D1674,RUNS!$A$6:$A$1005,0))),""))</f>
        <v/>
      </c>
      <c r="N1674" s="33">
        <f>IF($D1674="","",IFERROR(IF(INDEX(RUNS!$G$6:$G$1005,MATCH($D1674,RUNS!$A$6:$A$1005,0))="","",INDEX(RUNS!$G$6:$G$1005,MATCH($D1674,RUNS!$A$6:$A$1005,0))),""))</f>
        <v/>
      </c>
      <c r="O1674" s="33">
        <f>IF($D1674="","",IFERROR(IF(INDEX(RUNS!$H$6:$H$1005,MATCH($D1674,RUNS!$A$6:$A$1005,0))="","",INDEX(RUNS!$H$6:$H$1005,MATCH($D1674,RUNS!$A$6:$A$1005,0))),""))</f>
        <v/>
      </c>
      <c r="P1674" s="33">
        <f>IF($D1674="","",IFERROR(IF(INDEX(RUNS!$J$6:$J$1005,MATCH($D1674,RUNS!$A$6:$A$1005,0))="","",INDEX(RUNS!$J$6:$J$1005,MATCH($D1674,RUNS!$A$6:$A$1005,0))),""))</f>
        <v/>
      </c>
      <c r="Q1674" s="33">
        <f>IF($D1674="","",IFERROR(IF(INDEX(RUNS!$K$6:$K$1005,MATCH($D1674,RUNS!$A$6:$A$1005,0))="","",INDEX(RUNS!$K$6:$K$1005,MATCH($D1674,RUNS!$A$6:$A$1005,0))),""))</f>
        <v/>
      </c>
      <c r="R1674" s="34">
        <f>IF(OR($L1674="",$K1674=""),"",IFERROR(IF(INDEX(PARAMETRES!$H$43:$H$342,MATCH($L1674&amp;"|"&amp;$M1674&amp;"|"&amp;$N1674&amp;"|"&amp;$O1674&amp;"|"&amp;$P1674&amp;"|"&amp;$Q1674&amp;"|"&amp;$K1674,PARAMETRES!$J$43:$J$342,0))="","",INDEX(PARAMETRES!$H$43:$H$342,MATCH($L1674&amp;"|"&amp;$M1674&amp;"|"&amp;$N1674&amp;"|"&amp;$O1674&amp;"|"&amp;$P1674&amp;"|"&amp;$Q1674&amp;"|"&amp;$K1674,PARAMETRES!$J$43:$J$342,0))),""))</f>
        <v/>
      </c>
      <c r="S1674" s="35">
        <f>IF(OR($G1674="",$X1674&lt;&gt;"VALIDE"),"",IFERROR(LOOKUP(2,1/(($B774:$B1673=$B1674)*($G774:$G1673=$G1674)*($X774:$X1673="VALIDE")),$C774:$C1673),""))</f>
        <v/>
      </c>
      <c r="T1674" s="36">
        <f>IF(OR($C1674="",$S1674=""),"",ROUND(($C1674-$S1674+IF($C1674&lt;$S1674,1,0))*1440,0))</f>
        <v/>
      </c>
      <c r="U1674" s="22">
        <f>IF(OR($H1674="",$T1674="",$T1674&lt;=0),"",$H1674*60/$T1674)</f>
        <v/>
      </c>
      <c r="V1674" s="37">
        <f>IF(OR($U1674="",$R1674="",$R1674=0),"",$U1674/$R1674)</f>
        <v/>
      </c>
      <c r="W1674" s="20">
        <f>IF($G1674="","",IF($X1674="CONTEXTE INCOMPLET","CONTEXTE INCOMPLET",IF($X1674="DOUBLON",StatutDoublon,IF($S1674="",StatutInitial,IF($R1674="",StatutStandardManquant,IF($V1674="","DONNEES INSUFFISANTES",IF($V1674&gt;=SeuilConforme,StatutConforme,IF($V1674&gt;=SeuilSurveiller,StatutSurveiller,StatutSousStandard))))))))</f>
        <v/>
      </c>
      <c r="X1674" s="33">
        <f>IF($G1674="","",IF(OR($D1674="",$E1674="",$F1674=""),"CONTEXTE INCOMPLET",IF(COUNTIFS($D774:$D1673,$D1674,$E774:$E1673,$E1674,$F774:$F1673,$F1674,$G774:$G1673,$G1674)&gt;0,"DOUBLON","VALIDE")))</f>
        <v/>
      </c>
    </row>
    <row r="1675" ht="15" customHeight="1">
      <c r="A1675" s="12">
        <f>IF(OR($B1675="",$G1675=""),"",TEXT($B1675,"YYYYMMDD")&amp;"-"&amp;SUBSTITUTE($E1675," ","")&amp;"-"&amp;$F1675&amp;"-"&amp;$G1675)</f>
        <v/>
      </c>
      <c r="B1675" s="15" t="n"/>
      <c r="C1675" s="16" t="n"/>
      <c r="D1675" s="10" t="n"/>
      <c r="E1675" s="9" t="n"/>
      <c r="F1675" s="9" t="n"/>
      <c r="G1675" s="13" t="n"/>
      <c r="H1675" s="21" t="n"/>
      <c r="I1675" s="21" t="n"/>
      <c r="J1675" s="17">
        <f>IF($G1675="","",IFERROR(INDEX(NomsEmployes,MATCH($G1675,MatriculesEmployes,0)),"MATRICULE INCONNU"))</f>
        <v/>
      </c>
      <c r="K1675" s="33">
        <f>IF(OR($D1675="",$F1675=""),"",IFERROR(IF(INDEX(RUNS!$L$6:$S$1005,MATCH($D1675,RUNS!$A$6:$A$1005,0),MATCH("ACTIVITÉ "&amp;$F1675,RUNS!$L$5:$S$5,0))="","",INDEX(RUNS!$L$6:$S$1005,MATCH($D1675,RUNS!$A$6:$A$1005,0),MATCH("ACTIVITÉ "&amp;$F1675,RUNS!$L$5:$S$5,0))),""))</f>
        <v/>
      </c>
      <c r="L1675" s="33">
        <f>IF($D1675="","",IFERROR(IF(INDEX(RUNS!$E$6:$E$1005,MATCH($D1675,RUNS!$A$6:$A$1005,0))="","",INDEX(RUNS!$E$6:$E$1005,MATCH($D1675,RUNS!$A$6:$A$1005,0))),""))</f>
        <v/>
      </c>
      <c r="M1675" s="33">
        <f>IF($D1675="","",IFERROR(IF(INDEX(RUNS!$F$6:$F$1005,MATCH($D1675,RUNS!$A$6:$A$1005,0))="","",INDEX(RUNS!$F$6:$F$1005,MATCH($D1675,RUNS!$A$6:$A$1005,0))),""))</f>
        <v/>
      </c>
      <c r="N1675" s="33">
        <f>IF($D1675="","",IFERROR(IF(INDEX(RUNS!$G$6:$G$1005,MATCH($D1675,RUNS!$A$6:$A$1005,0))="","",INDEX(RUNS!$G$6:$G$1005,MATCH($D1675,RUNS!$A$6:$A$1005,0))),""))</f>
        <v/>
      </c>
      <c r="O1675" s="33">
        <f>IF($D1675="","",IFERROR(IF(INDEX(RUNS!$H$6:$H$1005,MATCH($D1675,RUNS!$A$6:$A$1005,0))="","",INDEX(RUNS!$H$6:$H$1005,MATCH($D1675,RUNS!$A$6:$A$1005,0))),""))</f>
        <v/>
      </c>
      <c r="P1675" s="33">
        <f>IF($D1675="","",IFERROR(IF(INDEX(RUNS!$J$6:$J$1005,MATCH($D1675,RUNS!$A$6:$A$1005,0))="","",INDEX(RUNS!$J$6:$J$1005,MATCH($D1675,RUNS!$A$6:$A$1005,0))),""))</f>
        <v/>
      </c>
      <c r="Q1675" s="33">
        <f>IF($D1675="","",IFERROR(IF(INDEX(RUNS!$K$6:$K$1005,MATCH($D1675,RUNS!$A$6:$A$1005,0))="","",INDEX(RUNS!$K$6:$K$1005,MATCH($D1675,RUNS!$A$6:$A$1005,0))),""))</f>
        <v/>
      </c>
      <c r="R1675" s="34">
        <f>IF(OR($L1675="",$K1675=""),"",IFERROR(IF(INDEX(PARAMETRES!$H$43:$H$342,MATCH($L1675&amp;"|"&amp;$M1675&amp;"|"&amp;$N1675&amp;"|"&amp;$O1675&amp;"|"&amp;$P1675&amp;"|"&amp;$Q1675&amp;"|"&amp;$K1675,PARAMETRES!$J$43:$J$342,0))="","",INDEX(PARAMETRES!$H$43:$H$342,MATCH($L1675&amp;"|"&amp;$M1675&amp;"|"&amp;$N1675&amp;"|"&amp;$O1675&amp;"|"&amp;$P1675&amp;"|"&amp;$Q1675&amp;"|"&amp;$K1675,PARAMETRES!$J$43:$J$342,0))),""))</f>
        <v/>
      </c>
      <c r="S1675" s="35">
        <f>IF(OR($G1675="",$X1675&lt;&gt;"VALIDE"),"",IFERROR(LOOKUP(2,1/(($B775:$B1674=$B1675)*($G775:$G1674=$G1675)*($X775:$X1674="VALIDE")),$C775:$C1674),""))</f>
        <v/>
      </c>
      <c r="T1675" s="36">
        <f>IF(OR($C1675="",$S1675=""),"",ROUND(($C1675-$S1675+IF($C1675&lt;$S1675,1,0))*1440,0))</f>
        <v/>
      </c>
      <c r="U1675" s="22">
        <f>IF(OR($H1675="",$T1675="",$T1675&lt;=0),"",$H1675*60/$T1675)</f>
        <v/>
      </c>
      <c r="V1675" s="37">
        <f>IF(OR($U1675="",$R1675="",$R1675=0),"",$U1675/$R1675)</f>
        <v/>
      </c>
      <c r="W1675" s="20">
        <f>IF($G1675="","",IF($X1675="CONTEXTE INCOMPLET","CONTEXTE INCOMPLET",IF($X1675="DOUBLON",StatutDoublon,IF($S1675="",StatutInitial,IF($R1675="",StatutStandardManquant,IF($V1675="","DONNEES INSUFFISANTES",IF($V1675&gt;=SeuilConforme,StatutConforme,IF($V1675&gt;=SeuilSurveiller,StatutSurveiller,StatutSousStandard))))))))</f>
        <v/>
      </c>
      <c r="X1675" s="33">
        <f>IF($G1675="","",IF(OR($D1675="",$E1675="",$F1675=""),"CONTEXTE INCOMPLET",IF(COUNTIFS($D775:$D1674,$D1675,$E775:$E1674,$E1675,$F775:$F1674,$F1675,$G775:$G1674,$G1675)&gt;0,"DOUBLON","VALIDE")))</f>
        <v/>
      </c>
    </row>
    <row r="1676" ht="15" customHeight="1">
      <c r="A1676" s="12">
        <f>IF(OR($B1676="",$G1676=""),"",TEXT($B1676,"YYYYMMDD")&amp;"-"&amp;SUBSTITUTE($E1676," ","")&amp;"-"&amp;$F1676&amp;"-"&amp;$G1676)</f>
        <v/>
      </c>
      <c r="B1676" s="15" t="n"/>
      <c r="C1676" s="16" t="n"/>
      <c r="D1676" s="10" t="n"/>
      <c r="E1676" s="9" t="n"/>
      <c r="F1676" s="9" t="n"/>
      <c r="G1676" s="13" t="n"/>
      <c r="H1676" s="21" t="n"/>
      <c r="I1676" s="21" t="n"/>
      <c r="J1676" s="17">
        <f>IF($G1676="","",IFERROR(INDEX(NomsEmployes,MATCH($G1676,MatriculesEmployes,0)),"MATRICULE INCONNU"))</f>
        <v/>
      </c>
      <c r="K1676" s="33">
        <f>IF(OR($D1676="",$F1676=""),"",IFERROR(IF(INDEX(RUNS!$L$6:$S$1005,MATCH($D1676,RUNS!$A$6:$A$1005,0),MATCH("ACTIVITÉ "&amp;$F1676,RUNS!$L$5:$S$5,0))="","",INDEX(RUNS!$L$6:$S$1005,MATCH($D1676,RUNS!$A$6:$A$1005,0),MATCH("ACTIVITÉ "&amp;$F1676,RUNS!$L$5:$S$5,0))),""))</f>
        <v/>
      </c>
      <c r="L1676" s="33">
        <f>IF($D1676="","",IFERROR(IF(INDEX(RUNS!$E$6:$E$1005,MATCH($D1676,RUNS!$A$6:$A$1005,0))="","",INDEX(RUNS!$E$6:$E$1005,MATCH($D1676,RUNS!$A$6:$A$1005,0))),""))</f>
        <v/>
      </c>
      <c r="M1676" s="33">
        <f>IF($D1676="","",IFERROR(IF(INDEX(RUNS!$F$6:$F$1005,MATCH($D1676,RUNS!$A$6:$A$1005,0))="","",INDEX(RUNS!$F$6:$F$1005,MATCH($D1676,RUNS!$A$6:$A$1005,0))),""))</f>
        <v/>
      </c>
      <c r="N1676" s="33">
        <f>IF($D1676="","",IFERROR(IF(INDEX(RUNS!$G$6:$G$1005,MATCH($D1676,RUNS!$A$6:$A$1005,0))="","",INDEX(RUNS!$G$6:$G$1005,MATCH($D1676,RUNS!$A$6:$A$1005,0))),""))</f>
        <v/>
      </c>
      <c r="O1676" s="33">
        <f>IF($D1676="","",IFERROR(IF(INDEX(RUNS!$H$6:$H$1005,MATCH($D1676,RUNS!$A$6:$A$1005,0))="","",INDEX(RUNS!$H$6:$H$1005,MATCH($D1676,RUNS!$A$6:$A$1005,0))),""))</f>
        <v/>
      </c>
      <c r="P1676" s="33">
        <f>IF($D1676="","",IFERROR(IF(INDEX(RUNS!$J$6:$J$1005,MATCH($D1676,RUNS!$A$6:$A$1005,0))="","",INDEX(RUNS!$J$6:$J$1005,MATCH($D1676,RUNS!$A$6:$A$1005,0))),""))</f>
        <v/>
      </c>
      <c r="Q1676" s="33">
        <f>IF($D1676="","",IFERROR(IF(INDEX(RUNS!$K$6:$K$1005,MATCH($D1676,RUNS!$A$6:$A$1005,0))="","",INDEX(RUNS!$K$6:$K$1005,MATCH($D1676,RUNS!$A$6:$A$1005,0))),""))</f>
        <v/>
      </c>
      <c r="R1676" s="34">
        <f>IF(OR($L1676="",$K1676=""),"",IFERROR(IF(INDEX(PARAMETRES!$H$43:$H$342,MATCH($L1676&amp;"|"&amp;$M1676&amp;"|"&amp;$N1676&amp;"|"&amp;$O1676&amp;"|"&amp;$P1676&amp;"|"&amp;$Q1676&amp;"|"&amp;$K1676,PARAMETRES!$J$43:$J$342,0))="","",INDEX(PARAMETRES!$H$43:$H$342,MATCH($L1676&amp;"|"&amp;$M1676&amp;"|"&amp;$N1676&amp;"|"&amp;$O1676&amp;"|"&amp;$P1676&amp;"|"&amp;$Q1676&amp;"|"&amp;$K1676,PARAMETRES!$J$43:$J$342,0))),""))</f>
        <v/>
      </c>
      <c r="S1676" s="35">
        <f>IF(OR($G1676="",$X1676&lt;&gt;"VALIDE"),"",IFERROR(LOOKUP(2,1/(($B776:$B1675=$B1676)*($G776:$G1675=$G1676)*($X776:$X1675="VALIDE")),$C776:$C1675),""))</f>
        <v/>
      </c>
      <c r="T1676" s="36">
        <f>IF(OR($C1676="",$S1676=""),"",ROUND(($C1676-$S1676+IF($C1676&lt;$S1676,1,0))*1440,0))</f>
        <v/>
      </c>
      <c r="U1676" s="22">
        <f>IF(OR($H1676="",$T1676="",$T1676&lt;=0),"",$H1676*60/$T1676)</f>
        <v/>
      </c>
      <c r="V1676" s="37">
        <f>IF(OR($U1676="",$R1676="",$R1676=0),"",$U1676/$R1676)</f>
        <v/>
      </c>
      <c r="W1676" s="20">
        <f>IF($G1676="","",IF($X1676="CONTEXTE INCOMPLET","CONTEXTE INCOMPLET",IF($X1676="DOUBLON",StatutDoublon,IF($S1676="",StatutInitial,IF($R1676="",StatutStandardManquant,IF($V1676="","DONNEES INSUFFISANTES",IF($V1676&gt;=SeuilConforme,StatutConforme,IF($V1676&gt;=SeuilSurveiller,StatutSurveiller,StatutSousStandard))))))))</f>
        <v/>
      </c>
      <c r="X1676" s="33">
        <f>IF($G1676="","",IF(OR($D1676="",$E1676="",$F1676=""),"CONTEXTE INCOMPLET",IF(COUNTIFS($D776:$D1675,$D1676,$E776:$E1675,$E1676,$F776:$F1675,$F1676,$G776:$G1675,$G1676)&gt;0,"DOUBLON","VALIDE")))</f>
        <v/>
      </c>
    </row>
    <row r="1677" ht="15" customHeight="1">
      <c r="A1677" s="12">
        <f>IF(OR($B1677="",$G1677=""),"",TEXT($B1677,"YYYYMMDD")&amp;"-"&amp;SUBSTITUTE($E1677," ","")&amp;"-"&amp;$F1677&amp;"-"&amp;$G1677)</f>
        <v/>
      </c>
      <c r="B1677" s="15" t="n"/>
      <c r="C1677" s="16" t="n"/>
      <c r="D1677" s="10" t="n"/>
      <c r="E1677" s="9" t="n"/>
      <c r="F1677" s="9" t="n"/>
      <c r="G1677" s="13" t="n"/>
      <c r="H1677" s="21" t="n"/>
      <c r="I1677" s="21" t="n"/>
      <c r="J1677" s="17">
        <f>IF($G1677="","",IFERROR(INDEX(NomsEmployes,MATCH($G1677,MatriculesEmployes,0)),"MATRICULE INCONNU"))</f>
        <v/>
      </c>
      <c r="K1677" s="33">
        <f>IF(OR($D1677="",$F1677=""),"",IFERROR(IF(INDEX(RUNS!$L$6:$S$1005,MATCH($D1677,RUNS!$A$6:$A$1005,0),MATCH("ACTIVITÉ "&amp;$F1677,RUNS!$L$5:$S$5,0))="","",INDEX(RUNS!$L$6:$S$1005,MATCH($D1677,RUNS!$A$6:$A$1005,0),MATCH("ACTIVITÉ "&amp;$F1677,RUNS!$L$5:$S$5,0))),""))</f>
        <v/>
      </c>
      <c r="L1677" s="33">
        <f>IF($D1677="","",IFERROR(IF(INDEX(RUNS!$E$6:$E$1005,MATCH($D1677,RUNS!$A$6:$A$1005,0))="","",INDEX(RUNS!$E$6:$E$1005,MATCH($D1677,RUNS!$A$6:$A$1005,0))),""))</f>
        <v/>
      </c>
      <c r="M1677" s="33">
        <f>IF($D1677="","",IFERROR(IF(INDEX(RUNS!$F$6:$F$1005,MATCH($D1677,RUNS!$A$6:$A$1005,0))="","",INDEX(RUNS!$F$6:$F$1005,MATCH($D1677,RUNS!$A$6:$A$1005,0))),""))</f>
        <v/>
      </c>
      <c r="N1677" s="33">
        <f>IF($D1677="","",IFERROR(IF(INDEX(RUNS!$G$6:$G$1005,MATCH($D1677,RUNS!$A$6:$A$1005,0))="","",INDEX(RUNS!$G$6:$G$1005,MATCH($D1677,RUNS!$A$6:$A$1005,0))),""))</f>
        <v/>
      </c>
      <c r="O1677" s="33">
        <f>IF($D1677="","",IFERROR(IF(INDEX(RUNS!$H$6:$H$1005,MATCH($D1677,RUNS!$A$6:$A$1005,0))="","",INDEX(RUNS!$H$6:$H$1005,MATCH($D1677,RUNS!$A$6:$A$1005,0))),""))</f>
        <v/>
      </c>
      <c r="P1677" s="33">
        <f>IF($D1677="","",IFERROR(IF(INDEX(RUNS!$J$6:$J$1005,MATCH($D1677,RUNS!$A$6:$A$1005,0))="","",INDEX(RUNS!$J$6:$J$1005,MATCH($D1677,RUNS!$A$6:$A$1005,0))),""))</f>
        <v/>
      </c>
      <c r="Q1677" s="33">
        <f>IF($D1677="","",IFERROR(IF(INDEX(RUNS!$K$6:$K$1005,MATCH($D1677,RUNS!$A$6:$A$1005,0))="","",INDEX(RUNS!$K$6:$K$1005,MATCH($D1677,RUNS!$A$6:$A$1005,0))),""))</f>
        <v/>
      </c>
      <c r="R1677" s="34">
        <f>IF(OR($L1677="",$K1677=""),"",IFERROR(IF(INDEX(PARAMETRES!$H$43:$H$342,MATCH($L1677&amp;"|"&amp;$M1677&amp;"|"&amp;$N1677&amp;"|"&amp;$O1677&amp;"|"&amp;$P1677&amp;"|"&amp;$Q1677&amp;"|"&amp;$K1677,PARAMETRES!$J$43:$J$342,0))="","",INDEX(PARAMETRES!$H$43:$H$342,MATCH($L1677&amp;"|"&amp;$M1677&amp;"|"&amp;$N1677&amp;"|"&amp;$O1677&amp;"|"&amp;$P1677&amp;"|"&amp;$Q1677&amp;"|"&amp;$K1677,PARAMETRES!$J$43:$J$342,0))),""))</f>
        <v/>
      </c>
      <c r="S1677" s="35">
        <f>IF(OR($G1677="",$X1677&lt;&gt;"VALIDE"),"",IFERROR(LOOKUP(2,1/(($B777:$B1676=$B1677)*($G777:$G1676=$G1677)*($X777:$X1676="VALIDE")),$C777:$C1676),""))</f>
        <v/>
      </c>
      <c r="T1677" s="36">
        <f>IF(OR($C1677="",$S1677=""),"",ROUND(($C1677-$S1677+IF($C1677&lt;$S1677,1,0))*1440,0))</f>
        <v/>
      </c>
      <c r="U1677" s="22">
        <f>IF(OR($H1677="",$T1677="",$T1677&lt;=0),"",$H1677*60/$T1677)</f>
        <v/>
      </c>
      <c r="V1677" s="37">
        <f>IF(OR($U1677="",$R1677="",$R1677=0),"",$U1677/$R1677)</f>
        <v/>
      </c>
      <c r="W1677" s="20">
        <f>IF($G1677="","",IF($X1677="CONTEXTE INCOMPLET","CONTEXTE INCOMPLET",IF($X1677="DOUBLON",StatutDoublon,IF($S1677="",StatutInitial,IF($R1677="",StatutStandardManquant,IF($V1677="","DONNEES INSUFFISANTES",IF($V1677&gt;=SeuilConforme,StatutConforme,IF($V1677&gt;=SeuilSurveiller,StatutSurveiller,StatutSousStandard))))))))</f>
        <v/>
      </c>
      <c r="X1677" s="33">
        <f>IF($G1677="","",IF(OR($D1677="",$E1677="",$F1677=""),"CONTEXTE INCOMPLET",IF(COUNTIFS($D777:$D1676,$D1677,$E777:$E1676,$E1677,$F777:$F1676,$F1677,$G777:$G1676,$G1677)&gt;0,"DOUBLON","VALIDE")))</f>
        <v/>
      </c>
    </row>
    <row r="1678" ht="15" customHeight="1">
      <c r="A1678" s="12">
        <f>IF(OR($B1678="",$G1678=""),"",TEXT($B1678,"YYYYMMDD")&amp;"-"&amp;SUBSTITUTE($E1678," ","")&amp;"-"&amp;$F1678&amp;"-"&amp;$G1678)</f>
        <v/>
      </c>
      <c r="B1678" s="15" t="n"/>
      <c r="C1678" s="16" t="n"/>
      <c r="D1678" s="10" t="n"/>
      <c r="E1678" s="9" t="n"/>
      <c r="F1678" s="9" t="n"/>
      <c r="G1678" s="13" t="n"/>
      <c r="H1678" s="21" t="n"/>
      <c r="I1678" s="21" t="n"/>
      <c r="J1678" s="17">
        <f>IF($G1678="","",IFERROR(INDEX(NomsEmployes,MATCH($G1678,MatriculesEmployes,0)),"MATRICULE INCONNU"))</f>
        <v/>
      </c>
      <c r="K1678" s="33">
        <f>IF(OR($D1678="",$F1678=""),"",IFERROR(IF(INDEX(RUNS!$L$6:$S$1005,MATCH($D1678,RUNS!$A$6:$A$1005,0),MATCH("ACTIVITÉ "&amp;$F1678,RUNS!$L$5:$S$5,0))="","",INDEX(RUNS!$L$6:$S$1005,MATCH($D1678,RUNS!$A$6:$A$1005,0),MATCH("ACTIVITÉ "&amp;$F1678,RUNS!$L$5:$S$5,0))),""))</f>
        <v/>
      </c>
      <c r="L1678" s="33">
        <f>IF($D1678="","",IFERROR(IF(INDEX(RUNS!$E$6:$E$1005,MATCH($D1678,RUNS!$A$6:$A$1005,0))="","",INDEX(RUNS!$E$6:$E$1005,MATCH($D1678,RUNS!$A$6:$A$1005,0))),""))</f>
        <v/>
      </c>
      <c r="M1678" s="33">
        <f>IF($D1678="","",IFERROR(IF(INDEX(RUNS!$F$6:$F$1005,MATCH($D1678,RUNS!$A$6:$A$1005,0))="","",INDEX(RUNS!$F$6:$F$1005,MATCH($D1678,RUNS!$A$6:$A$1005,0))),""))</f>
        <v/>
      </c>
      <c r="N1678" s="33">
        <f>IF($D1678="","",IFERROR(IF(INDEX(RUNS!$G$6:$G$1005,MATCH($D1678,RUNS!$A$6:$A$1005,0))="","",INDEX(RUNS!$G$6:$G$1005,MATCH($D1678,RUNS!$A$6:$A$1005,0))),""))</f>
        <v/>
      </c>
      <c r="O1678" s="33">
        <f>IF($D1678="","",IFERROR(IF(INDEX(RUNS!$H$6:$H$1005,MATCH($D1678,RUNS!$A$6:$A$1005,0))="","",INDEX(RUNS!$H$6:$H$1005,MATCH($D1678,RUNS!$A$6:$A$1005,0))),""))</f>
        <v/>
      </c>
      <c r="P1678" s="33">
        <f>IF($D1678="","",IFERROR(IF(INDEX(RUNS!$J$6:$J$1005,MATCH($D1678,RUNS!$A$6:$A$1005,0))="","",INDEX(RUNS!$J$6:$J$1005,MATCH($D1678,RUNS!$A$6:$A$1005,0))),""))</f>
        <v/>
      </c>
      <c r="Q1678" s="33">
        <f>IF($D1678="","",IFERROR(IF(INDEX(RUNS!$K$6:$K$1005,MATCH($D1678,RUNS!$A$6:$A$1005,0))="","",INDEX(RUNS!$K$6:$K$1005,MATCH($D1678,RUNS!$A$6:$A$1005,0))),""))</f>
        <v/>
      </c>
      <c r="R1678" s="34">
        <f>IF(OR($L1678="",$K1678=""),"",IFERROR(IF(INDEX(PARAMETRES!$H$43:$H$342,MATCH($L1678&amp;"|"&amp;$M1678&amp;"|"&amp;$N1678&amp;"|"&amp;$O1678&amp;"|"&amp;$P1678&amp;"|"&amp;$Q1678&amp;"|"&amp;$K1678,PARAMETRES!$J$43:$J$342,0))="","",INDEX(PARAMETRES!$H$43:$H$342,MATCH($L1678&amp;"|"&amp;$M1678&amp;"|"&amp;$N1678&amp;"|"&amp;$O1678&amp;"|"&amp;$P1678&amp;"|"&amp;$Q1678&amp;"|"&amp;$K1678,PARAMETRES!$J$43:$J$342,0))),""))</f>
        <v/>
      </c>
      <c r="S1678" s="35">
        <f>IF(OR($G1678="",$X1678&lt;&gt;"VALIDE"),"",IFERROR(LOOKUP(2,1/(($B778:$B1677=$B1678)*($G778:$G1677=$G1678)*($X778:$X1677="VALIDE")),$C778:$C1677),""))</f>
        <v/>
      </c>
      <c r="T1678" s="36">
        <f>IF(OR($C1678="",$S1678=""),"",ROUND(($C1678-$S1678+IF($C1678&lt;$S1678,1,0))*1440,0))</f>
        <v/>
      </c>
      <c r="U1678" s="22">
        <f>IF(OR($H1678="",$T1678="",$T1678&lt;=0),"",$H1678*60/$T1678)</f>
        <v/>
      </c>
      <c r="V1678" s="37">
        <f>IF(OR($U1678="",$R1678="",$R1678=0),"",$U1678/$R1678)</f>
        <v/>
      </c>
      <c r="W1678" s="20">
        <f>IF($G1678="","",IF($X1678="CONTEXTE INCOMPLET","CONTEXTE INCOMPLET",IF($X1678="DOUBLON",StatutDoublon,IF($S1678="",StatutInitial,IF($R1678="",StatutStandardManquant,IF($V1678="","DONNEES INSUFFISANTES",IF($V1678&gt;=SeuilConforme,StatutConforme,IF($V1678&gt;=SeuilSurveiller,StatutSurveiller,StatutSousStandard))))))))</f>
        <v/>
      </c>
      <c r="X1678" s="33">
        <f>IF($G1678="","",IF(OR($D1678="",$E1678="",$F1678=""),"CONTEXTE INCOMPLET",IF(COUNTIFS($D778:$D1677,$D1678,$E778:$E1677,$E1678,$F778:$F1677,$F1678,$G778:$G1677,$G1678)&gt;0,"DOUBLON","VALIDE")))</f>
        <v/>
      </c>
    </row>
    <row r="1679" ht="15" customHeight="1">
      <c r="A1679" s="12">
        <f>IF(OR($B1679="",$G1679=""),"",TEXT($B1679,"YYYYMMDD")&amp;"-"&amp;SUBSTITUTE($E1679," ","")&amp;"-"&amp;$F1679&amp;"-"&amp;$G1679)</f>
        <v/>
      </c>
      <c r="B1679" s="15" t="n"/>
      <c r="C1679" s="16" t="n"/>
      <c r="D1679" s="10" t="n"/>
      <c r="E1679" s="9" t="n"/>
      <c r="F1679" s="9" t="n"/>
      <c r="G1679" s="13" t="n"/>
      <c r="H1679" s="21" t="n"/>
      <c r="I1679" s="21" t="n"/>
      <c r="J1679" s="17">
        <f>IF($G1679="","",IFERROR(INDEX(NomsEmployes,MATCH($G1679,MatriculesEmployes,0)),"MATRICULE INCONNU"))</f>
        <v/>
      </c>
      <c r="K1679" s="33">
        <f>IF(OR($D1679="",$F1679=""),"",IFERROR(IF(INDEX(RUNS!$L$6:$S$1005,MATCH($D1679,RUNS!$A$6:$A$1005,0),MATCH("ACTIVITÉ "&amp;$F1679,RUNS!$L$5:$S$5,0))="","",INDEX(RUNS!$L$6:$S$1005,MATCH($D1679,RUNS!$A$6:$A$1005,0),MATCH("ACTIVITÉ "&amp;$F1679,RUNS!$L$5:$S$5,0))),""))</f>
        <v/>
      </c>
      <c r="L1679" s="33">
        <f>IF($D1679="","",IFERROR(IF(INDEX(RUNS!$E$6:$E$1005,MATCH($D1679,RUNS!$A$6:$A$1005,0))="","",INDEX(RUNS!$E$6:$E$1005,MATCH($D1679,RUNS!$A$6:$A$1005,0))),""))</f>
        <v/>
      </c>
      <c r="M1679" s="33">
        <f>IF($D1679="","",IFERROR(IF(INDEX(RUNS!$F$6:$F$1005,MATCH($D1679,RUNS!$A$6:$A$1005,0))="","",INDEX(RUNS!$F$6:$F$1005,MATCH($D1679,RUNS!$A$6:$A$1005,0))),""))</f>
        <v/>
      </c>
      <c r="N1679" s="33">
        <f>IF($D1679="","",IFERROR(IF(INDEX(RUNS!$G$6:$G$1005,MATCH($D1679,RUNS!$A$6:$A$1005,0))="","",INDEX(RUNS!$G$6:$G$1005,MATCH($D1679,RUNS!$A$6:$A$1005,0))),""))</f>
        <v/>
      </c>
      <c r="O1679" s="33">
        <f>IF($D1679="","",IFERROR(IF(INDEX(RUNS!$H$6:$H$1005,MATCH($D1679,RUNS!$A$6:$A$1005,0))="","",INDEX(RUNS!$H$6:$H$1005,MATCH($D1679,RUNS!$A$6:$A$1005,0))),""))</f>
        <v/>
      </c>
      <c r="P1679" s="33">
        <f>IF($D1679="","",IFERROR(IF(INDEX(RUNS!$J$6:$J$1005,MATCH($D1679,RUNS!$A$6:$A$1005,0))="","",INDEX(RUNS!$J$6:$J$1005,MATCH($D1679,RUNS!$A$6:$A$1005,0))),""))</f>
        <v/>
      </c>
      <c r="Q1679" s="33">
        <f>IF($D1679="","",IFERROR(IF(INDEX(RUNS!$K$6:$K$1005,MATCH($D1679,RUNS!$A$6:$A$1005,0))="","",INDEX(RUNS!$K$6:$K$1005,MATCH($D1679,RUNS!$A$6:$A$1005,0))),""))</f>
        <v/>
      </c>
      <c r="R1679" s="34">
        <f>IF(OR($L1679="",$K1679=""),"",IFERROR(IF(INDEX(PARAMETRES!$H$43:$H$342,MATCH($L1679&amp;"|"&amp;$M1679&amp;"|"&amp;$N1679&amp;"|"&amp;$O1679&amp;"|"&amp;$P1679&amp;"|"&amp;$Q1679&amp;"|"&amp;$K1679,PARAMETRES!$J$43:$J$342,0))="","",INDEX(PARAMETRES!$H$43:$H$342,MATCH($L1679&amp;"|"&amp;$M1679&amp;"|"&amp;$N1679&amp;"|"&amp;$O1679&amp;"|"&amp;$P1679&amp;"|"&amp;$Q1679&amp;"|"&amp;$K1679,PARAMETRES!$J$43:$J$342,0))),""))</f>
        <v/>
      </c>
      <c r="S1679" s="35">
        <f>IF(OR($G1679="",$X1679&lt;&gt;"VALIDE"),"",IFERROR(LOOKUP(2,1/(($B779:$B1678=$B1679)*($G779:$G1678=$G1679)*($X779:$X1678="VALIDE")),$C779:$C1678),""))</f>
        <v/>
      </c>
      <c r="T1679" s="36">
        <f>IF(OR($C1679="",$S1679=""),"",ROUND(($C1679-$S1679+IF($C1679&lt;$S1679,1,0))*1440,0))</f>
        <v/>
      </c>
      <c r="U1679" s="22">
        <f>IF(OR($H1679="",$T1679="",$T1679&lt;=0),"",$H1679*60/$T1679)</f>
        <v/>
      </c>
      <c r="V1679" s="37">
        <f>IF(OR($U1679="",$R1679="",$R1679=0),"",$U1679/$R1679)</f>
        <v/>
      </c>
      <c r="W1679" s="20">
        <f>IF($G1679="","",IF($X1679="CONTEXTE INCOMPLET","CONTEXTE INCOMPLET",IF($X1679="DOUBLON",StatutDoublon,IF($S1679="",StatutInitial,IF($R1679="",StatutStandardManquant,IF($V1679="","DONNEES INSUFFISANTES",IF($V1679&gt;=SeuilConforme,StatutConforme,IF($V1679&gt;=SeuilSurveiller,StatutSurveiller,StatutSousStandard))))))))</f>
        <v/>
      </c>
      <c r="X1679" s="33">
        <f>IF($G1679="","",IF(OR($D1679="",$E1679="",$F1679=""),"CONTEXTE INCOMPLET",IF(COUNTIFS($D779:$D1678,$D1679,$E779:$E1678,$E1679,$F779:$F1678,$F1679,$G779:$G1678,$G1679)&gt;0,"DOUBLON","VALIDE")))</f>
        <v/>
      </c>
    </row>
    <row r="1680" ht="15" customHeight="1">
      <c r="A1680" s="12">
        <f>IF(OR($B1680="",$G1680=""),"",TEXT($B1680,"YYYYMMDD")&amp;"-"&amp;SUBSTITUTE($E1680," ","")&amp;"-"&amp;$F1680&amp;"-"&amp;$G1680)</f>
        <v/>
      </c>
      <c r="B1680" s="15" t="n"/>
      <c r="C1680" s="16" t="n"/>
      <c r="D1680" s="10" t="n"/>
      <c r="E1680" s="9" t="n"/>
      <c r="F1680" s="9" t="n"/>
      <c r="G1680" s="13" t="n"/>
      <c r="H1680" s="21" t="n"/>
      <c r="I1680" s="21" t="n"/>
      <c r="J1680" s="17">
        <f>IF($G1680="","",IFERROR(INDEX(NomsEmployes,MATCH($G1680,MatriculesEmployes,0)),"MATRICULE INCONNU"))</f>
        <v/>
      </c>
      <c r="K1680" s="33">
        <f>IF(OR($D1680="",$F1680=""),"",IFERROR(IF(INDEX(RUNS!$L$6:$S$1005,MATCH($D1680,RUNS!$A$6:$A$1005,0),MATCH("ACTIVITÉ "&amp;$F1680,RUNS!$L$5:$S$5,0))="","",INDEX(RUNS!$L$6:$S$1005,MATCH($D1680,RUNS!$A$6:$A$1005,0),MATCH("ACTIVITÉ "&amp;$F1680,RUNS!$L$5:$S$5,0))),""))</f>
        <v/>
      </c>
      <c r="L1680" s="33">
        <f>IF($D1680="","",IFERROR(IF(INDEX(RUNS!$E$6:$E$1005,MATCH($D1680,RUNS!$A$6:$A$1005,0))="","",INDEX(RUNS!$E$6:$E$1005,MATCH($D1680,RUNS!$A$6:$A$1005,0))),""))</f>
        <v/>
      </c>
      <c r="M1680" s="33">
        <f>IF($D1680="","",IFERROR(IF(INDEX(RUNS!$F$6:$F$1005,MATCH($D1680,RUNS!$A$6:$A$1005,0))="","",INDEX(RUNS!$F$6:$F$1005,MATCH($D1680,RUNS!$A$6:$A$1005,0))),""))</f>
        <v/>
      </c>
      <c r="N1680" s="33">
        <f>IF($D1680="","",IFERROR(IF(INDEX(RUNS!$G$6:$G$1005,MATCH($D1680,RUNS!$A$6:$A$1005,0))="","",INDEX(RUNS!$G$6:$G$1005,MATCH($D1680,RUNS!$A$6:$A$1005,0))),""))</f>
        <v/>
      </c>
      <c r="O1680" s="33">
        <f>IF($D1680="","",IFERROR(IF(INDEX(RUNS!$H$6:$H$1005,MATCH($D1680,RUNS!$A$6:$A$1005,0))="","",INDEX(RUNS!$H$6:$H$1005,MATCH($D1680,RUNS!$A$6:$A$1005,0))),""))</f>
        <v/>
      </c>
      <c r="P1680" s="33">
        <f>IF($D1680="","",IFERROR(IF(INDEX(RUNS!$J$6:$J$1005,MATCH($D1680,RUNS!$A$6:$A$1005,0))="","",INDEX(RUNS!$J$6:$J$1005,MATCH($D1680,RUNS!$A$6:$A$1005,0))),""))</f>
        <v/>
      </c>
      <c r="Q1680" s="33">
        <f>IF($D1680="","",IFERROR(IF(INDEX(RUNS!$K$6:$K$1005,MATCH($D1680,RUNS!$A$6:$A$1005,0))="","",INDEX(RUNS!$K$6:$K$1005,MATCH($D1680,RUNS!$A$6:$A$1005,0))),""))</f>
        <v/>
      </c>
      <c r="R1680" s="34">
        <f>IF(OR($L1680="",$K1680=""),"",IFERROR(IF(INDEX(PARAMETRES!$H$43:$H$342,MATCH($L1680&amp;"|"&amp;$M1680&amp;"|"&amp;$N1680&amp;"|"&amp;$O1680&amp;"|"&amp;$P1680&amp;"|"&amp;$Q1680&amp;"|"&amp;$K1680,PARAMETRES!$J$43:$J$342,0))="","",INDEX(PARAMETRES!$H$43:$H$342,MATCH($L1680&amp;"|"&amp;$M1680&amp;"|"&amp;$N1680&amp;"|"&amp;$O1680&amp;"|"&amp;$P1680&amp;"|"&amp;$Q1680&amp;"|"&amp;$K1680,PARAMETRES!$J$43:$J$342,0))),""))</f>
        <v/>
      </c>
      <c r="S1680" s="35">
        <f>IF(OR($G1680="",$X1680&lt;&gt;"VALIDE"),"",IFERROR(LOOKUP(2,1/(($B780:$B1679=$B1680)*($G780:$G1679=$G1680)*($X780:$X1679="VALIDE")),$C780:$C1679),""))</f>
        <v/>
      </c>
      <c r="T1680" s="36">
        <f>IF(OR($C1680="",$S1680=""),"",ROUND(($C1680-$S1680+IF($C1680&lt;$S1680,1,0))*1440,0))</f>
        <v/>
      </c>
      <c r="U1680" s="22">
        <f>IF(OR($H1680="",$T1680="",$T1680&lt;=0),"",$H1680*60/$T1680)</f>
        <v/>
      </c>
      <c r="V1680" s="37">
        <f>IF(OR($U1680="",$R1680="",$R1680=0),"",$U1680/$R1680)</f>
        <v/>
      </c>
      <c r="W1680" s="20">
        <f>IF($G1680="","",IF($X1680="CONTEXTE INCOMPLET","CONTEXTE INCOMPLET",IF($X1680="DOUBLON",StatutDoublon,IF($S1680="",StatutInitial,IF($R1680="",StatutStandardManquant,IF($V1680="","DONNEES INSUFFISANTES",IF($V1680&gt;=SeuilConforme,StatutConforme,IF($V1680&gt;=SeuilSurveiller,StatutSurveiller,StatutSousStandard))))))))</f>
        <v/>
      </c>
      <c r="X1680" s="33">
        <f>IF($G1680="","",IF(OR($D1680="",$E1680="",$F1680=""),"CONTEXTE INCOMPLET",IF(COUNTIFS($D780:$D1679,$D1680,$E780:$E1679,$E1680,$F780:$F1679,$F1680,$G780:$G1679,$G1680)&gt;0,"DOUBLON","VALIDE")))</f>
        <v/>
      </c>
    </row>
    <row r="1681" ht="15" customHeight="1">
      <c r="A1681" s="12">
        <f>IF(OR($B1681="",$G1681=""),"",TEXT($B1681,"YYYYMMDD")&amp;"-"&amp;SUBSTITUTE($E1681," ","")&amp;"-"&amp;$F1681&amp;"-"&amp;$G1681)</f>
        <v/>
      </c>
      <c r="B1681" s="15" t="n"/>
      <c r="C1681" s="16" t="n"/>
      <c r="D1681" s="10" t="n"/>
      <c r="E1681" s="9" t="n"/>
      <c r="F1681" s="9" t="n"/>
      <c r="G1681" s="13" t="n"/>
      <c r="H1681" s="21" t="n"/>
      <c r="I1681" s="21" t="n"/>
      <c r="J1681" s="17">
        <f>IF($G1681="","",IFERROR(INDEX(NomsEmployes,MATCH($G1681,MatriculesEmployes,0)),"MATRICULE INCONNU"))</f>
        <v/>
      </c>
      <c r="K1681" s="33">
        <f>IF(OR($D1681="",$F1681=""),"",IFERROR(IF(INDEX(RUNS!$L$6:$S$1005,MATCH($D1681,RUNS!$A$6:$A$1005,0),MATCH("ACTIVITÉ "&amp;$F1681,RUNS!$L$5:$S$5,0))="","",INDEX(RUNS!$L$6:$S$1005,MATCH($D1681,RUNS!$A$6:$A$1005,0),MATCH("ACTIVITÉ "&amp;$F1681,RUNS!$L$5:$S$5,0))),""))</f>
        <v/>
      </c>
      <c r="L1681" s="33">
        <f>IF($D1681="","",IFERROR(IF(INDEX(RUNS!$E$6:$E$1005,MATCH($D1681,RUNS!$A$6:$A$1005,0))="","",INDEX(RUNS!$E$6:$E$1005,MATCH($D1681,RUNS!$A$6:$A$1005,0))),""))</f>
        <v/>
      </c>
      <c r="M1681" s="33">
        <f>IF($D1681="","",IFERROR(IF(INDEX(RUNS!$F$6:$F$1005,MATCH($D1681,RUNS!$A$6:$A$1005,0))="","",INDEX(RUNS!$F$6:$F$1005,MATCH($D1681,RUNS!$A$6:$A$1005,0))),""))</f>
        <v/>
      </c>
      <c r="N1681" s="33">
        <f>IF($D1681="","",IFERROR(IF(INDEX(RUNS!$G$6:$G$1005,MATCH($D1681,RUNS!$A$6:$A$1005,0))="","",INDEX(RUNS!$G$6:$G$1005,MATCH($D1681,RUNS!$A$6:$A$1005,0))),""))</f>
        <v/>
      </c>
      <c r="O1681" s="33">
        <f>IF($D1681="","",IFERROR(IF(INDEX(RUNS!$H$6:$H$1005,MATCH($D1681,RUNS!$A$6:$A$1005,0))="","",INDEX(RUNS!$H$6:$H$1005,MATCH($D1681,RUNS!$A$6:$A$1005,0))),""))</f>
        <v/>
      </c>
      <c r="P1681" s="33">
        <f>IF($D1681="","",IFERROR(IF(INDEX(RUNS!$J$6:$J$1005,MATCH($D1681,RUNS!$A$6:$A$1005,0))="","",INDEX(RUNS!$J$6:$J$1005,MATCH($D1681,RUNS!$A$6:$A$1005,0))),""))</f>
        <v/>
      </c>
      <c r="Q1681" s="33">
        <f>IF($D1681="","",IFERROR(IF(INDEX(RUNS!$K$6:$K$1005,MATCH($D1681,RUNS!$A$6:$A$1005,0))="","",INDEX(RUNS!$K$6:$K$1005,MATCH($D1681,RUNS!$A$6:$A$1005,0))),""))</f>
        <v/>
      </c>
      <c r="R1681" s="34">
        <f>IF(OR($L1681="",$K1681=""),"",IFERROR(IF(INDEX(PARAMETRES!$H$43:$H$342,MATCH($L1681&amp;"|"&amp;$M1681&amp;"|"&amp;$N1681&amp;"|"&amp;$O1681&amp;"|"&amp;$P1681&amp;"|"&amp;$Q1681&amp;"|"&amp;$K1681,PARAMETRES!$J$43:$J$342,0))="","",INDEX(PARAMETRES!$H$43:$H$342,MATCH($L1681&amp;"|"&amp;$M1681&amp;"|"&amp;$N1681&amp;"|"&amp;$O1681&amp;"|"&amp;$P1681&amp;"|"&amp;$Q1681&amp;"|"&amp;$K1681,PARAMETRES!$J$43:$J$342,0))),""))</f>
        <v/>
      </c>
      <c r="S1681" s="35">
        <f>IF(OR($G1681="",$X1681&lt;&gt;"VALIDE"),"",IFERROR(LOOKUP(2,1/(($B781:$B1680=$B1681)*($G781:$G1680=$G1681)*($X781:$X1680="VALIDE")),$C781:$C1680),""))</f>
        <v/>
      </c>
      <c r="T1681" s="36">
        <f>IF(OR($C1681="",$S1681=""),"",ROUND(($C1681-$S1681+IF($C1681&lt;$S1681,1,0))*1440,0))</f>
        <v/>
      </c>
      <c r="U1681" s="22">
        <f>IF(OR($H1681="",$T1681="",$T1681&lt;=0),"",$H1681*60/$T1681)</f>
        <v/>
      </c>
      <c r="V1681" s="37">
        <f>IF(OR($U1681="",$R1681="",$R1681=0),"",$U1681/$R1681)</f>
        <v/>
      </c>
      <c r="W1681" s="20">
        <f>IF($G1681="","",IF($X1681="CONTEXTE INCOMPLET","CONTEXTE INCOMPLET",IF($X1681="DOUBLON",StatutDoublon,IF($S1681="",StatutInitial,IF($R1681="",StatutStandardManquant,IF($V1681="","DONNEES INSUFFISANTES",IF($V1681&gt;=SeuilConforme,StatutConforme,IF($V1681&gt;=SeuilSurveiller,StatutSurveiller,StatutSousStandard))))))))</f>
        <v/>
      </c>
      <c r="X1681" s="33">
        <f>IF($G1681="","",IF(OR($D1681="",$E1681="",$F1681=""),"CONTEXTE INCOMPLET",IF(COUNTIFS($D781:$D1680,$D1681,$E781:$E1680,$E1681,$F781:$F1680,$F1681,$G781:$G1680,$G1681)&gt;0,"DOUBLON","VALIDE")))</f>
        <v/>
      </c>
    </row>
    <row r="1682" ht="15" customHeight="1">
      <c r="A1682" s="12">
        <f>IF(OR($B1682="",$G1682=""),"",TEXT($B1682,"YYYYMMDD")&amp;"-"&amp;SUBSTITUTE($E1682," ","")&amp;"-"&amp;$F1682&amp;"-"&amp;$G1682)</f>
        <v/>
      </c>
      <c r="B1682" s="15" t="n"/>
      <c r="C1682" s="16" t="n"/>
      <c r="D1682" s="10" t="n"/>
      <c r="E1682" s="9" t="n"/>
      <c r="F1682" s="9" t="n"/>
      <c r="G1682" s="13" t="n"/>
      <c r="H1682" s="21" t="n"/>
      <c r="I1682" s="21" t="n"/>
      <c r="J1682" s="17">
        <f>IF($G1682="","",IFERROR(INDEX(NomsEmployes,MATCH($G1682,MatriculesEmployes,0)),"MATRICULE INCONNU"))</f>
        <v/>
      </c>
      <c r="K1682" s="33">
        <f>IF(OR($D1682="",$F1682=""),"",IFERROR(IF(INDEX(RUNS!$L$6:$S$1005,MATCH($D1682,RUNS!$A$6:$A$1005,0),MATCH("ACTIVITÉ "&amp;$F1682,RUNS!$L$5:$S$5,0))="","",INDEX(RUNS!$L$6:$S$1005,MATCH($D1682,RUNS!$A$6:$A$1005,0),MATCH("ACTIVITÉ "&amp;$F1682,RUNS!$L$5:$S$5,0))),""))</f>
        <v/>
      </c>
      <c r="L1682" s="33">
        <f>IF($D1682="","",IFERROR(IF(INDEX(RUNS!$E$6:$E$1005,MATCH($D1682,RUNS!$A$6:$A$1005,0))="","",INDEX(RUNS!$E$6:$E$1005,MATCH($D1682,RUNS!$A$6:$A$1005,0))),""))</f>
        <v/>
      </c>
      <c r="M1682" s="33">
        <f>IF($D1682="","",IFERROR(IF(INDEX(RUNS!$F$6:$F$1005,MATCH($D1682,RUNS!$A$6:$A$1005,0))="","",INDEX(RUNS!$F$6:$F$1005,MATCH($D1682,RUNS!$A$6:$A$1005,0))),""))</f>
        <v/>
      </c>
      <c r="N1682" s="33">
        <f>IF($D1682="","",IFERROR(IF(INDEX(RUNS!$G$6:$G$1005,MATCH($D1682,RUNS!$A$6:$A$1005,0))="","",INDEX(RUNS!$G$6:$G$1005,MATCH($D1682,RUNS!$A$6:$A$1005,0))),""))</f>
        <v/>
      </c>
      <c r="O1682" s="33">
        <f>IF($D1682="","",IFERROR(IF(INDEX(RUNS!$H$6:$H$1005,MATCH($D1682,RUNS!$A$6:$A$1005,0))="","",INDEX(RUNS!$H$6:$H$1005,MATCH($D1682,RUNS!$A$6:$A$1005,0))),""))</f>
        <v/>
      </c>
      <c r="P1682" s="33">
        <f>IF($D1682="","",IFERROR(IF(INDEX(RUNS!$J$6:$J$1005,MATCH($D1682,RUNS!$A$6:$A$1005,0))="","",INDEX(RUNS!$J$6:$J$1005,MATCH($D1682,RUNS!$A$6:$A$1005,0))),""))</f>
        <v/>
      </c>
      <c r="Q1682" s="33">
        <f>IF($D1682="","",IFERROR(IF(INDEX(RUNS!$K$6:$K$1005,MATCH($D1682,RUNS!$A$6:$A$1005,0))="","",INDEX(RUNS!$K$6:$K$1005,MATCH($D1682,RUNS!$A$6:$A$1005,0))),""))</f>
        <v/>
      </c>
      <c r="R1682" s="34">
        <f>IF(OR($L1682="",$K1682=""),"",IFERROR(IF(INDEX(PARAMETRES!$H$43:$H$342,MATCH($L1682&amp;"|"&amp;$M1682&amp;"|"&amp;$N1682&amp;"|"&amp;$O1682&amp;"|"&amp;$P1682&amp;"|"&amp;$Q1682&amp;"|"&amp;$K1682,PARAMETRES!$J$43:$J$342,0))="","",INDEX(PARAMETRES!$H$43:$H$342,MATCH($L1682&amp;"|"&amp;$M1682&amp;"|"&amp;$N1682&amp;"|"&amp;$O1682&amp;"|"&amp;$P1682&amp;"|"&amp;$Q1682&amp;"|"&amp;$K1682,PARAMETRES!$J$43:$J$342,0))),""))</f>
        <v/>
      </c>
      <c r="S1682" s="35">
        <f>IF(OR($G1682="",$X1682&lt;&gt;"VALIDE"),"",IFERROR(LOOKUP(2,1/(($B782:$B1681=$B1682)*($G782:$G1681=$G1682)*($X782:$X1681="VALIDE")),$C782:$C1681),""))</f>
        <v/>
      </c>
      <c r="T1682" s="36">
        <f>IF(OR($C1682="",$S1682=""),"",ROUND(($C1682-$S1682+IF($C1682&lt;$S1682,1,0))*1440,0))</f>
        <v/>
      </c>
      <c r="U1682" s="22">
        <f>IF(OR($H1682="",$T1682="",$T1682&lt;=0),"",$H1682*60/$T1682)</f>
        <v/>
      </c>
      <c r="V1682" s="37">
        <f>IF(OR($U1682="",$R1682="",$R1682=0),"",$U1682/$R1682)</f>
        <v/>
      </c>
      <c r="W1682" s="20">
        <f>IF($G1682="","",IF($X1682="CONTEXTE INCOMPLET","CONTEXTE INCOMPLET",IF($X1682="DOUBLON",StatutDoublon,IF($S1682="",StatutInitial,IF($R1682="",StatutStandardManquant,IF($V1682="","DONNEES INSUFFISANTES",IF($V1682&gt;=SeuilConforme,StatutConforme,IF($V1682&gt;=SeuilSurveiller,StatutSurveiller,StatutSousStandard))))))))</f>
        <v/>
      </c>
      <c r="X1682" s="33">
        <f>IF($G1682="","",IF(OR($D1682="",$E1682="",$F1682=""),"CONTEXTE INCOMPLET",IF(COUNTIFS($D782:$D1681,$D1682,$E782:$E1681,$E1682,$F782:$F1681,$F1682,$G782:$G1681,$G1682)&gt;0,"DOUBLON","VALIDE")))</f>
        <v/>
      </c>
    </row>
    <row r="1683" ht="15" customHeight="1">
      <c r="A1683" s="12">
        <f>IF(OR($B1683="",$G1683=""),"",TEXT($B1683,"YYYYMMDD")&amp;"-"&amp;SUBSTITUTE($E1683," ","")&amp;"-"&amp;$F1683&amp;"-"&amp;$G1683)</f>
        <v/>
      </c>
      <c r="B1683" s="15" t="n"/>
      <c r="C1683" s="16" t="n"/>
      <c r="D1683" s="10" t="n"/>
      <c r="E1683" s="9" t="n"/>
      <c r="F1683" s="9" t="n"/>
      <c r="G1683" s="13" t="n"/>
      <c r="H1683" s="21" t="n"/>
      <c r="I1683" s="21" t="n"/>
      <c r="J1683" s="17">
        <f>IF($G1683="","",IFERROR(INDEX(NomsEmployes,MATCH($G1683,MatriculesEmployes,0)),"MATRICULE INCONNU"))</f>
        <v/>
      </c>
      <c r="K1683" s="33">
        <f>IF(OR($D1683="",$F1683=""),"",IFERROR(IF(INDEX(RUNS!$L$6:$S$1005,MATCH($D1683,RUNS!$A$6:$A$1005,0),MATCH("ACTIVITÉ "&amp;$F1683,RUNS!$L$5:$S$5,0))="","",INDEX(RUNS!$L$6:$S$1005,MATCH($D1683,RUNS!$A$6:$A$1005,0),MATCH("ACTIVITÉ "&amp;$F1683,RUNS!$L$5:$S$5,0))),""))</f>
        <v/>
      </c>
      <c r="L1683" s="33">
        <f>IF($D1683="","",IFERROR(IF(INDEX(RUNS!$E$6:$E$1005,MATCH($D1683,RUNS!$A$6:$A$1005,0))="","",INDEX(RUNS!$E$6:$E$1005,MATCH($D1683,RUNS!$A$6:$A$1005,0))),""))</f>
        <v/>
      </c>
      <c r="M1683" s="33">
        <f>IF($D1683="","",IFERROR(IF(INDEX(RUNS!$F$6:$F$1005,MATCH($D1683,RUNS!$A$6:$A$1005,0))="","",INDEX(RUNS!$F$6:$F$1005,MATCH($D1683,RUNS!$A$6:$A$1005,0))),""))</f>
        <v/>
      </c>
      <c r="N1683" s="33">
        <f>IF($D1683="","",IFERROR(IF(INDEX(RUNS!$G$6:$G$1005,MATCH($D1683,RUNS!$A$6:$A$1005,0))="","",INDEX(RUNS!$G$6:$G$1005,MATCH($D1683,RUNS!$A$6:$A$1005,0))),""))</f>
        <v/>
      </c>
      <c r="O1683" s="33">
        <f>IF($D1683="","",IFERROR(IF(INDEX(RUNS!$H$6:$H$1005,MATCH($D1683,RUNS!$A$6:$A$1005,0))="","",INDEX(RUNS!$H$6:$H$1005,MATCH($D1683,RUNS!$A$6:$A$1005,0))),""))</f>
        <v/>
      </c>
      <c r="P1683" s="33">
        <f>IF($D1683="","",IFERROR(IF(INDEX(RUNS!$J$6:$J$1005,MATCH($D1683,RUNS!$A$6:$A$1005,0))="","",INDEX(RUNS!$J$6:$J$1005,MATCH($D1683,RUNS!$A$6:$A$1005,0))),""))</f>
        <v/>
      </c>
      <c r="Q1683" s="33">
        <f>IF($D1683="","",IFERROR(IF(INDEX(RUNS!$K$6:$K$1005,MATCH($D1683,RUNS!$A$6:$A$1005,0))="","",INDEX(RUNS!$K$6:$K$1005,MATCH($D1683,RUNS!$A$6:$A$1005,0))),""))</f>
        <v/>
      </c>
      <c r="R1683" s="34">
        <f>IF(OR($L1683="",$K1683=""),"",IFERROR(IF(INDEX(PARAMETRES!$H$43:$H$342,MATCH($L1683&amp;"|"&amp;$M1683&amp;"|"&amp;$N1683&amp;"|"&amp;$O1683&amp;"|"&amp;$P1683&amp;"|"&amp;$Q1683&amp;"|"&amp;$K1683,PARAMETRES!$J$43:$J$342,0))="","",INDEX(PARAMETRES!$H$43:$H$342,MATCH($L1683&amp;"|"&amp;$M1683&amp;"|"&amp;$N1683&amp;"|"&amp;$O1683&amp;"|"&amp;$P1683&amp;"|"&amp;$Q1683&amp;"|"&amp;$K1683,PARAMETRES!$J$43:$J$342,0))),""))</f>
        <v/>
      </c>
      <c r="S1683" s="35">
        <f>IF(OR($G1683="",$X1683&lt;&gt;"VALIDE"),"",IFERROR(LOOKUP(2,1/(($B783:$B1682=$B1683)*($G783:$G1682=$G1683)*($X783:$X1682="VALIDE")),$C783:$C1682),""))</f>
        <v/>
      </c>
      <c r="T1683" s="36">
        <f>IF(OR($C1683="",$S1683=""),"",ROUND(($C1683-$S1683+IF($C1683&lt;$S1683,1,0))*1440,0))</f>
        <v/>
      </c>
      <c r="U1683" s="22">
        <f>IF(OR($H1683="",$T1683="",$T1683&lt;=0),"",$H1683*60/$T1683)</f>
        <v/>
      </c>
      <c r="V1683" s="37">
        <f>IF(OR($U1683="",$R1683="",$R1683=0),"",$U1683/$R1683)</f>
        <v/>
      </c>
      <c r="W1683" s="20">
        <f>IF($G1683="","",IF($X1683="CONTEXTE INCOMPLET","CONTEXTE INCOMPLET",IF($X1683="DOUBLON",StatutDoublon,IF($S1683="",StatutInitial,IF($R1683="",StatutStandardManquant,IF($V1683="","DONNEES INSUFFISANTES",IF($V1683&gt;=SeuilConforme,StatutConforme,IF($V1683&gt;=SeuilSurveiller,StatutSurveiller,StatutSousStandard))))))))</f>
        <v/>
      </c>
      <c r="X1683" s="33">
        <f>IF($G1683="","",IF(OR($D1683="",$E1683="",$F1683=""),"CONTEXTE INCOMPLET",IF(COUNTIFS($D783:$D1682,$D1683,$E783:$E1682,$E1683,$F783:$F1682,$F1683,$G783:$G1682,$G1683)&gt;0,"DOUBLON","VALIDE")))</f>
        <v/>
      </c>
    </row>
    <row r="1684" ht="15" customHeight="1">
      <c r="A1684" s="12">
        <f>IF(OR($B1684="",$G1684=""),"",TEXT($B1684,"YYYYMMDD")&amp;"-"&amp;SUBSTITUTE($E1684," ","")&amp;"-"&amp;$F1684&amp;"-"&amp;$G1684)</f>
        <v/>
      </c>
      <c r="B1684" s="15" t="n"/>
      <c r="C1684" s="16" t="n"/>
      <c r="D1684" s="10" t="n"/>
      <c r="E1684" s="9" t="n"/>
      <c r="F1684" s="9" t="n"/>
      <c r="G1684" s="13" t="n"/>
      <c r="H1684" s="21" t="n"/>
      <c r="I1684" s="21" t="n"/>
      <c r="J1684" s="17">
        <f>IF($G1684="","",IFERROR(INDEX(NomsEmployes,MATCH($G1684,MatriculesEmployes,0)),"MATRICULE INCONNU"))</f>
        <v/>
      </c>
      <c r="K1684" s="33">
        <f>IF(OR($D1684="",$F1684=""),"",IFERROR(IF(INDEX(RUNS!$L$6:$S$1005,MATCH($D1684,RUNS!$A$6:$A$1005,0),MATCH("ACTIVITÉ "&amp;$F1684,RUNS!$L$5:$S$5,0))="","",INDEX(RUNS!$L$6:$S$1005,MATCH($D1684,RUNS!$A$6:$A$1005,0),MATCH("ACTIVITÉ "&amp;$F1684,RUNS!$L$5:$S$5,0))),""))</f>
        <v/>
      </c>
      <c r="L1684" s="33">
        <f>IF($D1684="","",IFERROR(IF(INDEX(RUNS!$E$6:$E$1005,MATCH($D1684,RUNS!$A$6:$A$1005,0))="","",INDEX(RUNS!$E$6:$E$1005,MATCH($D1684,RUNS!$A$6:$A$1005,0))),""))</f>
        <v/>
      </c>
      <c r="M1684" s="33">
        <f>IF($D1684="","",IFERROR(IF(INDEX(RUNS!$F$6:$F$1005,MATCH($D1684,RUNS!$A$6:$A$1005,0))="","",INDEX(RUNS!$F$6:$F$1005,MATCH($D1684,RUNS!$A$6:$A$1005,0))),""))</f>
        <v/>
      </c>
      <c r="N1684" s="33">
        <f>IF($D1684="","",IFERROR(IF(INDEX(RUNS!$G$6:$G$1005,MATCH($D1684,RUNS!$A$6:$A$1005,0))="","",INDEX(RUNS!$G$6:$G$1005,MATCH($D1684,RUNS!$A$6:$A$1005,0))),""))</f>
        <v/>
      </c>
      <c r="O1684" s="33">
        <f>IF($D1684="","",IFERROR(IF(INDEX(RUNS!$H$6:$H$1005,MATCH($D1684,RUNS!$A$6:$A$1005,0))="","",INDEX(RUNS!$H$6:$H$1005,MATCH($D1684,RUNS!$A$6:$A$1005,0))),""))</f>
        <v/>
      </c>
      <c r="P1684" s="33">
        <f>IF($D1684="","",IFERROR(IF(INDEX(RUNS!$J$6:$J$1005,MATCH($D1684,RUNS!$A$6:$A$1005,0))="","",INDEX(RUNS!$J$6:$J$1005,MATCH($D1684,RUNS!$A$6:$A$1005,0))),""))</f>
        <v/>
      </c>
      <c r="Q1684" s="33">
        <f>IF($D1684="","",IFERROR(IF(INDEX(RUNS!$K$6:$K$1005,MATCH($D1684,RUNS!$A$6:$A$1005,0))="","",INDEX(RUNS!$K$6:$K$1005,MATCH($D1684,RUNS!$A$6:$A$1005,0))),""))</f>
        <v/>
      </c>
      <c r="R1684" s="34">
        <f>IF(OR($L1684="",$K1684=""),"",IFERROR(IF(INDEX(PARAMETRES!$H$43:$H$342,MATCH($L1684&amp;"|"&amp;$M1684&amp;"|"&amp;$N1684&amp;"|"&amp;$O1684&amp;"|"&amp;$P1684&amp;"|"&amp;$Q1684&amp;"|"&amp;$K1684,PARAMETRES!$J$43:$J$342,0))="","",INDEX(PARAMETRES!$H$43:$H$342,MATCH($L1684&amp;"|"&amp;$M1684&amp;"|"&amp;$N1684&amp;"|"&amp;$O1684&amp;"|"&amp;$P1684&amp;"|"&amp;$Q1684&amp;"|"&amp;$K1684,PARAMETRES!$J$43:$J$342,0))),""))</f>
        <v/>
      </c>
      <c r="S1684" s="35">
        <f>IF(OR($G1684="",$X1684&lt;&gt;"VALIDE"),"",IFERROR(LOOKUP(2,1/(($B784:$B1683=$B1684)*($G784:$G1683=$G1684)*($X784:$X1683="VALIDE")),$C784:$C1683),""))</f>
        <v/>
      </c>
      <c r="T1684" s="36">
        <f>IF(OR($C1684="",$S1684=""),"",ROUND(($C1684-$S1684+IF($C1684&lt;$S1684,1,0))*1440,0))</f>
        <v/>
      </c>
      <c r="U1684" s="22">
        <f>IF(OR($H1684="",$T1684="",$T1684&lt;=0),"",$H1684*60/$T1684)</f>
        <v/>
      </c>
      <c r="V1684" s="37">
        <f>IF(OR($U1684="",$R1684="",$R1684=0),"",$U1684/$R1684)</f>
        <v/>
      </c>
      <c r="W1684" s="20">
        <f>IF($G1684="","",IF($X1684="CONTEXTE INCOMPLET","CONTEXTE INCOMPLET",IF($X1684="DOUBLON",StatutDoublon,IF($S1684="",StatutInitial,IF($R1684="",StatutStandardManquant,IF($V1684="","DONNEES INSUFFISANTES",IF($V1684&gt;=SeuilConforme,StatutConforme,IF($V1684&gt;=SeuilSurveiller,StatutSurveiller,StatutSousStandard))))))))</f>
        <v/>
      </c>
      <c r="X1684" s="33">
        <f>IF($G1684="","",IF(OR($D1684="",$E1684="",$F1684=""),"CONTEXTE INCOMPLET",IF(COUNTIFS($D784:$D1683,$D1684,$E784:$E1683,$E1684,$F784:$F1683,$F1684,$G784:$G1683,$G1684)&gt;0,"DOUBLON","VALIDE")))</f>
        <v/>
      </c>
    </row>
    <row r="1685" ht="15" customHeight="1">
      <c r="A1685" s="12">
        <f>IF(OR($B1685="",$G1685=""),"",TEXT($B1685,"YYYYMMDD")&amp;"-"&amp;SUBSTITUTE($E1685," ","")&amp;"-"&amp;$F1685&amp;"-"&amp;$G1685)</f>
        <v/>
      </c>
      <c r="B1685" s="15" t="n"/>
      <c r="C1685" s="16" t="n"/>
      <c r="D1685" s="10" t="n"/>
      <c r="E1685" s="9" t="n"/>
      <c r="F1685" s="9" t="n"/>
      <c r="G1685" s="13" t="n"/>
      <c r="H1685" s="21" t="n"/>
      <c r="I1685" s="21" t="n"/>
      <c r="J1685" s="17">
        <f>IF($G1685="","",IFERROR(INDEX(NomsEmployes,MATCH($G1685,MatriculesEmployes,0)),"MATRICULE INCONNU"))</f>
        <v/>
      </c>
      <c r="K1685" s="33">
        <f>IF(OR($D1685="",$F1685=""),"",IFERROR(IF(INDEX(RUNS!$L$6:$S$1005,MATCH($D1685,RUNS!$A$6:$A$1005,0),MATCH("ACTIVITÉ "&amp;$F1685,RUNS!$L$5:$S$5,0))="","",INDEX(RUNS!$L$6:$S$1005,MATCH($D1685,RUNS!$A$6:$A$1005,0),MATCH("ACTIVITÉ "&amp;$F1685,RUNS!$L$5:$S$5,0))),""))</f>
        <v/>
      </c>
      <c r="L1685" s="33">
        <f>IF($D1685="","",IFERROR(IF(INDEX(RUNS!$E$6:$E$1005,MATCH($D1685,RUNS!$A$6:$A$1005,0))="","",INDEX(RUNS!$E$6:$E$1005,MATCH($D1685,RUNS!$A$6:$A$1005,0))),""))</f>
        <v/>
      </c>
      <c r="M1685" s="33">
        <f>IF($D1685="","",IFERROR(IF(INDEX(RUNS!$F$6:$F$1005,MATCH($D1685,RUNS!$A$6:$A$1005,0))="","",INDEX(RUNS!$F$6:$F$1005,MATCH($D1685,RUNS!$A$6:$A$1005,0))),""))</f>
        <v/>
      </c>
      <c r="N1685" s="33">
        <f>IF($D1685="","",IFERROR(IF(INDEX(RUNS!$G$6:$G$1005,MATCH($D1685,RUNS!$A$6:$A$1005,0))="","",INDEX(RUNS!$G$6:$G$1005,MATCH($D1685,RUNS!$A$6:$A$1005,0))),""))</f>
        <v/>
      </c>
      <c r="O1685" s="33">
        <f>IF($D1685="","",IFERROR(IF(INDEX(RUNS!$H$6:$H$1005,MATCH($D1685,RUNS!$A$6:$A$1005,0))="","",INDEX(RUNS!$H$6:$H$1005,MATCH($D1685,RUNS!$A$6:$A$1005,0))),""))</f>
        <v/>
      </c>
      <c r="P1685" s="33">
        <f>IF($D1685="","",IFERROR(IF(INDEX(RUNS!$J$6:$J$1005,MATCH($D1685,RUNS!$A$6:$A$1005,0))="","",INDEX(RUNS!$J$6:$J$1005,MATCH($D1685,RUNS!$A$6:$A$1005,0))),""))</f>
        <v/>
      </c>
      <c r="Q1685" s="33">
        <f>IF($D1685="","",IFERROR(IF(INDEX(RUNS!$K$6:$K$1005,MATCH($D1685,RUNS!$A$6:$A$1005,0))="","",INDEX(RUNS!$K$6:$K$1005,MATCH($D1685,RUNS!$A$6:$A$1005,0))),""))</f>
        <v/>
      </c>
      <c r="R1685" s="34">
        <f>IF(OR($L1685="",$K1685=""),"",IFERROR(IF(INDEX(PARAMETRES!$H$43:$H$342,MATCH($L1685&amp;"|"&amp;$M1685&amp;"|"&amp;$N1685&amp;"|"&amp;$O1685&amp;"|"&amp;$P1685&amp;"|"&amp;$Q1685&amp;"|"&amp;$K1685,PARAMETRES!$J$43:$J$342,0))="","",INDEX(PARAMETRES!$H$43:$H$342,MATCH($L1685&amp;"|"&amp;$M1685&amp;"|"&amp;$N1685&amp;"|"&amp;$O1685&amp;"|"&amp;$P1685&amp;"|"&amp;$Q1685&amp;"|"&amp;$K1685,PARAMETRES!$J$43:$J$342,0))),""))</f>
        <v/>
      </c>
      <c r="S1685" s="35">
        <f>IF(OR($G1685="",$X1685&lt;&gt;"VALIDE"),"",IFERROR(LOOKUP(2,1/(($B785:$B1684=$B1685)*($G785:$G1684=$G1685)*($X785:$X1684="VALIDE")),$C785:$C1684),""))</f>
        <v/>
      </c>
      <c r="T1685" s="36">
        <f>IF(OR($C1685="",$S1685=""),"",ROUND(($C1685-$S1685+IF($C1685&lt;$S1685,1,0))*1440,0))</f>
        <v/>
      </c>
      <c r="U1685" s="22">
        <f>IF(OR($H1685="",$T1685="",$T1685&lt;=0),"",$H1685*60/$T1685)</f>
        <v/>
      </c>
      <c r="V1685" s="37">
        <f>IF(OR($U1685="",$R1685="",$R1685=0),"",$U1685/$R1685)</f>
        <v/>
      </c>
      <c r="W1685" s="20">
        <f>IF($G1685="","",IF($X1685="CONTEXTE INCOMPLET","CONTEXTE INCOMPLET",IF($X1685="DOUBLON",StatutDoublon,IF($S1685="",StatutInitial,IF($R1685="",StatutStandardManquant,IF($V1685="","DONNEES INSUFFISANTES",IF($V1685&gt;=SeuilConforme,StatutConforme,IF($V1685&gt;=SeuilSurveiller,StatutSurveiller,StatutSousStandard))))))))</f>
        <v/>
      </c>
      <c r="X1685" s="33">
        <f>IF($G1685="","",IF(OR($D1685="",$E1685="",$F1685=""),"CONTEXTE INCOMPLET",IF(COUNTIFS($D785:$D1684,$D1685,$E785:$E1684,$E1685,$F785:$F1684,$F1685,$G785:$G1684,$G1685)&gt;0,"DOUBLON","VALIDE")))</f>
        <v/>
      </c>
    </row>
    <row r="1686" ht="15" customHeight="1">
      <c r="A1686" s="12">
        <f>IF(OR($B1686="",$G1686=""),"",TEXT($B1686,"YYYYMMDD")&amp;"-"&amp;SUBSTITUTE($E1686," ","")&amp;"-"&amp;$F1686&amp;"-"&amp;$G1686)</f>
        <v/>
      </c>
      <c r="B1686" s="15" t="n"/>
      <c r="C1686" s="16" t="n"/>
      <c r="D1686" s="10" t="n"/>
      <c r="E1686" s="9" t="n"/>
      <c r="F1686" s="9" t="n"/>
      <c r="G1686" s="13" t="n"/>
      <c r="H1686" s="21" t="n"/>
      <c r="I1686" s="21" t="n"/>
      <c r="J1686" s="17">
        <f>IF($G1686="","",IFERROR(INDEX(NomsEmployes,MATCH($G1686,MatriculesEmployes,0)),"MATRICULE INCONNU"))</f>
        <v/>
      </c>
      <c r="K1686" s="33">
        <f>IF(OR($D1686="",$F1686=""),"",IFERROR(IF(INDEX(RUNS!$L$6:$S$1005,MATCH($D1686,RUNS!$A$6:$A$1005,0),MATCH("ACTIVITÉ "&amp;$F1686,RUNS!$L$5:$S$5,0))="","",INDEX(RUNS!$L$6:$S$1005,MATCH($D1686,RUNS!$A$6:$A$1005,0),MATCH("ACTIVITÉ "&amp;$F1686,RUNS!$L$5:$S$5,0))),""))</f>
        <v/>
      </c>
      <c r="L1686" s="33">
        <f>IF($D1686="","",IFERROR(IF(INDEX(RUNS!$E$6:$E$1005,MATCH($D1686,RUNS!$A$6:$A$1005,0))="","",INDEX(RUNS!$E$6:$E$1005,MATCH($D1686,RUNS!$A$6:$A$1005,0))),""))</f>
        <v/>
      </c>
      <c r="M1686" s="33">
        <f>IF($D1686="","",IFERROR(IF(INDEX(RUNS!$F$6:$F$1005,MATCH($D1686,RUNS!$A$6:$A$1005,0))="","",INDEX(RUNS!$F$6:$F$1005,MATCH($D1686,RUNS!$A$6:$A$1005,0))),""))</f>
        <v/>
      </c>
      <c r="N1686" s="33">
        <f>IF($D1686="","",IFERROR(IF(INDEX(RUNS!$G$6:$G$1005,MATCH($D1686,RUNS!$A$6:$A$1005,0))="","",INDEX(RUNS!$G$6:$G$1005,MATCH($D1686,RUNS!$A$6:$A$1005,0))),""))</f>
        <v/>
      </c>
      <c r="O1686" s="33">
        <f>IF($D1686="","",IFERROR(IF(INDEX(RUNS!$H$6:$H$1005,MATCH($D1686,RUNS!$A$6:$A$1005,0))="","",INDEX(RUNS!$H$6:$H$1005,MATCH($D1686,RUNS!$A$6:$A$1005,0))),""))</f>
        <v/>
      </c>
      <c r="P1686" s="33">
        <f>IF($D1686="","",IFERROR(IF(INDEX(RUNS!$J$6:$J$1005,MATCH($D1686,RUNS!$A$6:$A$1005,0))="","",INDEX(RUNS!$J$6:$J$1005,MATCH($D1686,RUNS!$A$6:$A$1005,0))),""))</f>
        <v/>
      </c>
      <c r="Q1686" s="33">
        <f>IF($D1686="","",IFERROR(IF(INDEX(RUNS!$K$6:$K$1005,MATCH($D1686,RUNS!$A$6:$A$1005,0))="","",INDEX(RUNS!$K$6:$K$1005,MATCH($D1686,RUNS!$A$6:$A$1005,0))),""))</f>
        <v/>
      </c>
      <c r="R1686" s="34">
        <f>IF(OR($L1686="",$K1686=""),"",IFERROR(IF(INDEX(PARAMETRES!$H$43:$H$342,MATCH($L1686&amp;"|"&amp;$M1686&amp;"|"&amp;$N1686&amp;"|"&amp;$O1686&amp;"|"&amp;$P1686&amp;"|"&amp;$Q1686&amp;"|"&amp;$K1686,PARAMETRES!$J$43:$J$342,0))="","",INDEX(PARAMETRES!$H$43:$H$342,MATCH($L1686&amp;"|"&amp;$M1686&amp;"|"&amp;$N1686&amp;"|"&amp;$O1686&amp;"|"&amp;$P1686&amp;"|"&amp;$Q1686&amp;"|"&amp;$K1686,PARAMETRES!$J$43:$J$342,0))),""))</f>
        <v/>
      </c>
      <c r="S1686" s="35">
        <f>IF(OR($G1686="",$X1686&lt;&gt;"VALIDE"),"",IFERROR(LOOKUP(2,1/(($B786:$B1685=$B1686)*($G786:$G1685=$G1686)*($X786:$X1685="VALIDE")),$C786:$C1685),""))</f>
        <v/>
      </c>
      <c r="T1686" s="36">
        <f>IF(OR($C1686="",$S1686=""),"",ROUND(($C1686-$S1686+IF($C1686&lt;$S1686,1,0))*1440,0))</f>
        <v/>
      </c>
      <c r="U1686" s="22">
        <f>IF(OR($H1686="",$T1686="",$T1686&lt;=0),"",$H1686*60/$T1686)</f>
        <v/>
      </c>
      <c r="V1686" s="37">
        <f>IF(OR($U1686="",$R1686="",$R1686=0),"",$U1686/$R1686)</f>
        <v/>
      </c>
      <c r="W1686" s="20">
        <f>IF($G1686="","",IF($X1686="CONTEXTE INCOMPLET","CONTEXTE INCOMPLET",IF($X1686="DOUBLON",StatutDoublon,IF($S1686="",StatutInitial,IF($R1686="",StatutStandardManquant,IF($V1686="","DONNEES INSUFFISANTES",IF($V1686&gt;=SeuilConforme,StatutConforme,IF($V1686&gt;=SeuilSurveiller,StatutSurveiller,StatutSousStandard))))))))</f>
        <v/>
      </c>
      <c r="X1686" s="33">
        <f>IF($G1686="","",IF(OR($D1686="",$E1686="",$F1686=""),"CONTEXTE INCOMPLET",IF(COUNTIFS($D786:$D1685,$D1686,$E786:$E1685,$E1686,$F786:$F1685,$F1686,$G786:$G1685,$G1686)&gt;0,"DOUBLON","VALIDE")))</f>
        <v/>
      </c>
    </row>
    <row r="1687" ht="15" customHeight="1">
      <c r="A1687" s="12">
        <f>IF(OR($B1687="",$G1687=""),"",TEXT($B1687,"YYYYMMDD")&amp;"-"&amp;SUBSTITUTE($E1687," ","")&amp;"-"&amp;$F1687&amp;"-"&amp;$G1687)</f>
        <v/>
      </c>
      <c r="B1687" s="15" t="n"/>
      <c r="C1687" s="16" t="n"/>
      <c r="D1687" s="10" t="n"/>
      <c r="E1687" s="9" t="n"/>
      <c r="F1687" s="9" t="n"/>
      <c r="G1687" s="13" t="n"/>
      <c r="H1687" s="21" t="n"/>
      <c r="I1687" s="21" t="n"/>
      <c r="J1687" s="17">
        <f>IF($G1687="","",IFERROR(INDEX(NomsEmployes,MATCH($G1687,MatriculesEmployes,0)),"MATRICULE INCONNU"))</f>
        <v/>
      </c>
      <c r="K1687" s="33">
        <f>IF(OR($D1687="",$F1687=""),"",IFERROR(IF(INDEX(RUNS!$L$6:$S$1005,MATCH($D1687,RUNS!$A$6:$A$1005,0),MATCH("ACTIVITÉ "&amp;$F1687,RUNS!$L$5:$S$5,0))="","",INDEX(RUNS!$L$6:$S$1005,MATCH($D1687,RUNS!$A$6:$A$1005,0),MATCH("ACTIVITÉ "&amp;$F1687,RUNS!$L$5:$S$5,0))),""))</f>
        <v/>
      </c>
      <c r="L1687" s="33">
        <f>IF($D1687="","",IFERROR(IF(INDEX(RUNS!$E$6:$E$1005,MATCH($D1687,RUNS!$A$6:$A$1005,0))="","",INDEX(RUNS!$E$6:$E$1005,MATCH($D1687,RUNS!$A$6:$A$1005,0))),""))</f>
        <v/>
      </c>
      <c r="M1687" s="33">
        <f>IF($D1687="","",IFERROR(IF(INDEX(RUNS!$F$6:$F$1005,MATCH($D1687,RUNS!$A$6:$A$1005,0))="","",INDEX(RUNS!$F$6:$F$1005,MATCH($D1687,RUNS!$A$6:$A$1005,0))),""))</f>
        <v/>
      </c>
      <c r="N1687" s="33">
        <f>IF($D1687="","",IFERROR(IF(INDEX(RUNS!$G$6:$G$1005,MATCH($D1687,RUNS!$A$6:$A$1005,0))="","",INDEX(RUNS!$G$6:$G$1005,MATCH($D1687,RUNS!$A$6:$A$1005,0))),""))</f>
        <v/>
      </c>
      <c r="O1687" s="33">
        <f>IF($D1687="","",IFERROR(IF(INDEX(RUNS!$H$6:$H$1005,MATCH($D1687,RUNS!$A$6:$A$1005,0))="","",INDEX(RUNS!$H$6:$H$1005,MATCH($D1687,RUNS!$A$6:$A$1005,0))),""))</f>
        <v/>
      </c>
      <c r="P1687" s="33">
        <f>IF($D1687="","",IFERROR(IF(INDEX(RUNS!$J$6:$J$1005,MATCH($D1687,RUNS!$A$6:$A$1005,0))="","",INDEX(RUNS!$J$6:$J$1005,MATCH($D1687,RUNS!$A$6:$A$1005,0))),""))</f>
        <v/>
      </c>
      <c r="Q1687" s="33">
        <f>IF($D1687="","",IFERROR(IF(INDEX(RUNS!$K$6:$K$1005,MATCH($D1687,RUNS!$A$6:$A$1005,0))="","",INDEX(RUNS!$K$6:$K$1005,MATCH($D1687,RUNS!$A$6:$A$1005,0))),""))</f>
        <v/>
      </c>
      <c r="R1687" s="34">
        <f>IF(OR($L1687="",$K1687=""),"",IFERROR(IF(INDEX(PARAMETRES!$H$43:$H$342,MATCH($L1687&amp;"|"&amp;$M1687&amp;"|"&amp;$N1687&amp;"|"&amp;$O1687&amp;"|"&amp;$P1687&amp;"|"&amp;$Q1687&amp;"|"&amp;$K1687,PARAMETRES!$J$43:$J$342,0))="","",INDEX(PARAMETRES!$H$43:$H$342,MATCH($L1687&amp;"|"&amp;$M1687&amp;"|"&amp;$N1687&amp;"|"&amp;$O1687&amp;"|"&amp;$P1687&amp;"|"&amp;$Q1687&amp;"|"&amp;$K1687,PARAMETRES!$J$43:$J$342,0))),""))</f>
        <v/>
      </c>
      <c r="S1687" s="35">
        <f>IF(OR($G1687="",$X1687&lt;&gt;"VALIDE"),"",IFERROR(LOOKUP(2,1/(($B787:$B1686=$B1687)*($G787:$G1686=$G1687)*($X787:$X1686="VALIDE")),$C787:$C1686),""))</f>
        <v/>
      </c>
      <c r="T1687" s="36">
        <f>IF(OR($C1687="",$S1687=""),"",ROUND(($C1687-$S1687+IF($C1687&lt;$S1687,1,0))*1440,0))</f>
        <v/>
      </c>
      <c r="U1687" s="22">
        <f>IF(OR($H1687="",$T1687="",$T1687&lt;=0),"",$H1687*60/$T1687)</f>
        <v/>
      </c>
      <c r="V1687" s="37">
        <f>IF(OR($U1687="",$R1687="",$R1687=0),"",$U1687/$R1687)</f>
        <v/>
      </c>
      <c r="W1687" s="20">
        <f>IF($G1687="","",IF($X1687="CONTEXTE INCOMPLET","CONTEXTE INCOMPLET",IF($X1687="DOUBLON",StatutDoublon,IF($S1687="",StatutInitial,IF($R1687="",StatutStandardManquant,IF($V1687="","DONNEES INSUFFISANTES",IF($V1687&gt;=SeuilConforme,StatutConforme,IF($V1687&gt;=SeuilSurveiller,StatutSurveiller,StatutSousStandard))))))))</f>
        <v/>
      </c>
      <c r="X1687" s="33">
        <f>IF($G1687="","",IF(OR($D1687="",$E1687="",$F1687=""),"CONTEXTE INCOMPLET",IF(COUNTIFS($D787:$D1686,$D1687,$E787:$E1686,$E1687,$F787:$F1686,$F1687,$G787:$G1686,$G1687)&gt;0,"DOUBLON","VALIDE")))</f>
        <v/>
      </c>
    </row>
    <row r="1688" ht="15" customHeight="1">
      <c r="A1688" s="12">
        <f>IF(OR($B1688="",$G1688=""),"",TEXT($B1688,"YYYYMMDD")&amp;"-"&amp;SUBSTITUTE($E1688," ","")&amp;"-"&amp;$F1688&amp;"-"&amp;$G1688)</f>
        <v/>
      </c>
      <c r="B1688" s="15" t="n"/>
      <c r="C1688" s="16" t="n"/>
      <c r="D1688" s="10" t="n"/>
      <c r="E1688" s="9" t="n"/>
      <c r="F1688" s="9" t="n"/>
      <c r="G1688" s="13" t="n"/>
      <c r="H1688" s="21" t="n"/>
      <c r="I1688" s="21" t="n"/>
      <c r="J1688" s="17">
        <f>IF($G1688="","",IFERROR(INDEX(NomsEmployes,MATCH($G1688,MatriculesEmployes,0)),"MATRICULE INCONNU"))</f>
        <v/>
      </c>
      <c r="K1688" s="33">
        <f>IF(OR($D1688="",$F1688=""),"",IFERROR(IF(INDEX(RUNS!$L$6:$S$1005,MATCH($D1688,RUNS!$A$6:$A$1005,0),MATCH("ACTIVITÉ "&amp;$F1688,RUNS!$L$5:$S$5,0))="","",INDEX(RUNS!$L$6:$S$1005,MATCH($D1688,RUNS!$A$6:$A$1005,0),MATCH("ACTIVITÉ "&amp;$F1688,RUNS!$L$5:$S$5,0))),""))</f>
        <v/>
      </c>
      <c r="L1688" s="33">
        <f>IF($D1688="","",IFERROR(IF(INDEX(RUNS!$E$6:$E$1005,MATCH($D1688,RUNS!$A$6:$A$1005,0))="","",INDEX(RUNS!$E$6:$E$1005,MATCH($D1688,RUNS!$A$6:$A$1005,0))),""))</f>
        <v/>
      </c>
      <c r="M1688" s="33">
        <f>IF($D1688="","",IFERROR(IF(INDEX(RUNS!$F$6:$F$1005,MATCH($D1688,RUNS!$A$6:$A$1005,0))="","",INDEX(RUNS!$F$6:$F$1005,MATCH($D1688,RUNS!$A$6:$A$1005,0))),""))</f>
        <v/>
      </c>
      <c r="N1688" s="33">
        <f>IF($D1688="","",IFERROR(IF(INDEX(RUNS!$G$6:$G$1005,MATCH($D1688,RUNS!$A$6:$A$1005,0))="","",INDEX(RUNS!$G$6:$G$1005,MATCH($D1688,RUNS!$A$6:$A$1005,0))),""))</f>
        <v/>
      </c>
      <c r="O1688" s="33">
        <f>IF($D1688="","",IFERROR(IF(INDEX(RUNS!$H$6:$H$1005,MATCH($D1688,RUNS!$A$6:$A$1005,0))="","",INDEX(RUNS!$H$6:$H$1005,MATCH($D1688,RUNS!$A$6:$A$1005,0))),""))</f>
        <v/>
      </c>
      <c r="P1688" s="33">
        <f>IF($D1688="","",IFERROR(IF(INDEX(RUNS!$J$6:$J$1005,MATCH($D1688,RUNS!$A$6:$A$1005,0))="","",INDEX(RUNS!$J$6:$J$1005,MATCH($D1688,RUNS!$A$6:$A$1005,0))),""))</f>
        <v/>
      </c>
      <c r="Q1688" s="33">
        <f>IF($D1688="","",IFERROR(IF(INDEX(RUNS!$K$6:$K$1005,MATCH($D1688,RUNS!$A$6:$A$1005,0))="","",INDEX(RUNS!$K$6:$K$1005,MATCH($D1688,RUNS!$A$6:$A$1005,0))),""))</f>
        <v/>
      </c>
      <c r="R1688" s="34">
        <f>IF(OR($L1688="",$K1688=""),"",IFERROR(IF(INDEX(PARAMETRES!$H$43:$H$342,MATCH($L1688&amp;"|"&amp;$M1688&amp;"|"&amp;$N1688&amp;"|"&amp;$O1688&amp;"|"&amp;$P1688&amp;"|"&amp;$Q1688&amp;"|"&amp;$K1688,PARAMETRES!$J$43:$J$342,0))="","",INDEX(PARAMETRES!$H$43:$H$342,MATCH($L1688&amp;"|"&amp;$M1688&amp;"|"&amp;$N1688&amp;"|"&amp;$O1688&amp;"|"&amp;$P1688&amp;"|"&amp;$Q1688&amp;"|"&amp;$K1688,PARAMETRES!$J$43:$J$342,0))),""))</f>
        <v/>
      </c>
      <c r="S1688" s="35">
        <f>IF(OR($G1688="",$X1688&lt;&gt;"VALIDE"),"",IFERROR(LOOKUP(2,1/(($B788:$B1687=$B1688)*($G788:$G1687=$G1688)*($X788:$X1687="VALIDE")),$C788:$C1687),""))</f>
        <v/>
      </c>
      <c r="T1688" s="36">
        <f>IF(OR($C1688="",$S1688=""),"",ROUND(($C1688-$S1688+IF($C1688&lt;$S1688,1,0))*1440,0))</f>
        <v/>
      </c>
      <c r="U1688" s="22">
        <f>IF(OR($H1688="",$T1688="",$T1688&lt;=0),"",$H1688*60/$T1688)</f>
        <v/>
      </c>
      <c r="V1688" s="37">
        <f>IF(OR($U1688="",$R1688="",$R1688=0),"",$U1688/$R1688)</f>
        <v/>
      </c>
      <c r="W1688" s="20">
        <f>IF($G1688="","",IF($X1688="CONTEXTE INCOMPLET","CONTEXTE INCOMPLET",IF($X1688="DOUBLON",StatutDoublon,IF($S1688="",StatutInitial,IF($R1688="",StatutStandardManquant,IF($V1688="","DONNEES INSUFFISANTES",IF($V1688&gt;=SeuilConforme,StatutConforme,IF($V1688&gt;=SeuilSurveiller,StatutSurveiller,StatutSousStandard))))))))</f>
        <v/>
      </c>
      <c r="X1688" s="33">
        <f>IF($G1688="","",IF(OR($D1688="",$E1688="",$F1688=""),"CONTEXTE INCOMPLET",IF(COUNTIFS($D788:$D1687,$D1688,$E788:$E1687,$E1688,$F788:$F1687,$F1688,$G788:$G1687,$G1688)&gt;0,"DOUBLON","VALIDE")))</f>
        <v/>
      </c>
    </row>
    <row r="1689" ht="15" customHeight="1">
      <c r="A1689" s="12">
        <f>IF(OR($B1689="",$G1689=""),"",TEXT($B1689,"YYYYMMDD")&amp;"-"&amp;SUBSTITUTE($E1689," ","")&amp;"-"&amp;$F1689&amp;"-"&amp;$G1689)</f>
        <v/>
      </c>
      <c r="B1689" s="15" t="n"/>
      <c r="C1689" s="16" t="n"/>
      <c r="D1689" s="10" t="n"/>
      <c r="E1689" s="9" t="n"/>
      <c r="F1689" s="9" t="n"/>
      <c r="G1689" s="13" t="n"/>
      <c r="H1689" s="21" t="n"/>
      <c r="I1689" s="21" t="n"/>
      <c r="J1689" s="17">
        <f>IF($G1689="","",IFERROR(INDEX(NomsEmployes,MATCH($G1689,MatriculesEmployes,0)),"MATRICULE INCONNU"))</f>
        <v/>
      </c>
      <c r="K1689" s="33">
        <f>IF(OR($D1689="",$F1689=""),"",IFERROR(IF(INDEX(RUNS!$L$6:$S$1005,MATCH($D1689,RUNS!$A$6:$A$1005,0),MATCH("ACTIVITÉ "&amp;$F1689,RUNS!$L$5:$S$5,0))="","",INDEX(RUNS!$L$6:$S$1005,MATCH($D1689,RUNS!$A$6:$A$1005,0),MATCH("ACTIVITÉ "&amp;$F1689,RUNS!$L$5:$S$5,0))),""))</f>
        <v/>
      </c>
      <c r="L1689" s="33">
        <f>IF($D1689="","",IFERROR(IF(INDEX(RUNS!$E$6:$E$1005,MATCH($D1689,RUNS!$A$6:$A$1005,0))="","",INDEX(RUNS!$E$6:$E$1005,MATCH($D1689,RUNS!$A$6:$A$1005,0))),""))</f>
        <v/>
      </c>
      <c r="M1689" s="33">
        <f>IF($D1689="","",IFERROR(IF(INDEX(RUNS!$F$6:$F$1005,MATCH($D1689,RUNS!$A$6:$A$1005,0))="","",INDEX(RUNS!$F$6:$F$1005,MATCH($D1689,RUNS!$A$6:$A$1005,0))),""))</f>
        <v/>
      </c>
      <c r="N1689" s="33">
        <f>IF($D1689="","",IFERROR(IF(INDEX(RUNS!$G$6:$G$1005,MATCH($D1689,RUNS!$A$6:$A$1005,0))="","",INDEX(RUNS!$G$6:$G$1005,MATCH($D1689,RUNS!$A$6:$A$1005,0))),""))</f>
        <v/>
      </c>
      <c r="O1689" s="33">
        <f>IF($D1689="","",IFERROR(IF(INDEX(RUNS!$H$6:$H$1005,MATCH($D1689,RUNS!$A$6:$A$1005,0))="","",INDEX(RUNS!$H$6:$H$1005,MATCH($D1689,RUNS!$A$6:$A$1005,0))),""))</f>
        <v/>
      </c>
      <c r="P1689" s="33">
        <f>IF($D1689="","",IFERROR(IF(INDEX(RUNS!$J$6:$J$1005,MATCH($D1689,RUNS!$A$6:$A$1005,0))="","",INDEX(RUNS!$J$6:$J$1005,MATCH($D1689,RUNS!$A$6:$A$1005,0))),""))</f>
        <v/>
      </c>
      <c r="Q1689" s="33">
        <f>IF($D1689="","",IFERROR(IF(INDEX(RUNS!$K$6:$K$1005,MATCH($D1689,RUNS!$A$6:$A$1005,0))="","",INDEX(RUNS!$K$6:$K$1005,MATCH($D1689,RUNS!$A$6:$A$1005,0))),""))</f>
        <v/>
      </c>
      <c r="R1689" s="34">
        <f>IF(OR($L1689="",$K1689=""),"",IFERROR(IF(INDEX(PARAMETRES!$H$43:$H$342,MATCH($L1689&amp;"|"&amp;$M1689&amp;"|"&amp;$N1689&amp;"|"&amp;$O1689&amp;"|"&amp;$P1689&amp;"|"&amp;$Q1689&amp;"|"&amp;$K1689,PARAMETRES!$J$43:$J$342,0))="","",INDEX(PARAMETRES!$H$43:$H$342,MATCH($L1689&amp;"|"&amp;$M1689&amp;"|"&amp;$N1689&amp;"|"&amp;$O1689&amp;"|"&amp;$P1689&amp;"|"&amp;$Q1689&amp;"|"&amp;$K1689,PARAMETRES!$J$43:$J$342,0))),""))</f>
        <v/>
      </c>
      <c r="S1689" s="35">
        <f>IF(OR($G1689="",$X1689&lt;&gt;"VALIDE"),"",IFERROR(LOOKUP(2,1/(($B789:$B1688=$B1689)*($G789:$G1688=$G1689)*($X789:$X1688="VALIDE")),$C789:$C1688),""))</f>
        <v/>
      </c>
      <c r="T1689" s="36">
        <f>IF(OR($C1689="",$S1689=""),"",ROUND(($C1689-$S1689+IF($C1689&lt;$S1689,1,0))*1440,0))</f>
        <v/>
      </c>
      <c r="U1689" s="22">
        <f>IF(OR($H1689="",$T1689="",$T1689&lt;=0),"",$H1689*60/$T1689)</f>
        <v/>
      </c>
      <c r="V1689" s="37">
        <f>IF(OR($U1689="",$R1689="",$R1689=0),"",$U1689/$R1689)</f>
        <v/>
      </c>
      <c r="W1689" s="20">
        <f>IF($G1689="","",IF($X1689="CONTEXTE INCOMPLET","CONTEXTE INCOMPLET",IF($X1689="DOUBLON",StatutDoublon,IF($S1689="",StatutInitial,IF($R1689="",StatutStandardManquant,IF($V1689="","DONNEES INSUFFISANTES",IF($V1689&gt;=SeuilConforme,StatutConforme,IF($V1689&gt;=SeuilSurveiller,StatutSurveiller,StatutSousStandard))))))))</f>
        <v/>
      </c>
      <c r="X1689" s="33">
        <f>IF($G1689="","",IF(OR($D1689="",$E1689="",$F1689=""),"CONTEXTE INCOMPLET",IF(COUNTIFS($D789:$D1688,$D1689,$E789:$E1688,$E1689,$F789:$F1688,$F1689,$G789:$G1688,$G1689)&gt;0,"DOUBLON","VALIDE")))</f>
        <v/>
      </c>
    </row>
    <row r="1690" ht="15" customHeight="1">
      <c r="A1690" s="12">
        <f>IF(OR($B1690="",$G1690=""),"",TEXT($B1690,"YYYYMMDD")&amp;"-"&amp;SUBSTITUTE($E1690," ","")&amp;"-"&amp;$F1690&amp;"-"&amp;$G1690)</f>
        <v/>
      </c>
      <c r="B1690" s="15" t="n"/>
      <c r="C1690" s="16" t="n"/>
      <c r="D1690" s="10" t="n"/>
      <c r="E1690" s="9" t="n"/>
      <c r="F1690" s="9" t="n"/>
      <c r="G1690" s="13" t="n"/>
      <c r="H1690" s="21" t="n"/>
      <c r="I1690" s="21" t="n"/>
      <c r="J1690" s="17">
        <f>IF($G1690="","",IFERROR(INDEX(NomsEmployes,MATCH($G1690,MatriculesEmployes,0)),"MATRICULE INCONNU"))</f>
        <v/>
      </c>
      <c r="K1690" s="33">
        <f>IF(OR($D1690="",$F1690=""),"",IFERROR(IF(INDEX(RUNS!$L$6:$S$1005,MATCH($D1690,RUNS!$A$6:$A$1005,0),MATCH("ACTIVITÉ "&amp;$F1690,RUNS!$L$5:$S$5,0))="","",INDEX(RUNS!$L$6:$S$1005,MATCH($D1690,RUNS!$A$6:$A$1005,0),MATCH("ACTIVITÉ "&amp;$F1690,RUNS!$L$5:$S$5,0))),""))</f>
        <v/>
      </c>
      <c r="L1690" s="33">
        <f>IF($D1690="","",IFERROR(IF(INDEX(RUNS!$E$6:$E$1005,MATCH($D1690,RUNS!$A$6:$A$1005,0))="","",INDEX(RUNS!$E$6:$E$1005,MATCH($D1690,RUNS!$A$6:$A$1005,0))),""))</f>
        <v/>
      </c>
      <c r="M1690" s="33">
        <f>IF($D1690="","",IFERROR(IF(INDEX(RUNS!$F$6:$F$1005,MATCH($D1690,RUNS!$A$6:$A$1005,0))="","",INDEX(RUNS!$F$6:$F$1005,MATCH($D1690,RUNS!$A$6:$A$1005,0))),""))</f>
        <v/>
      </c>
      <c r="N1690" s="33">
        <f>IF($D1690="","",IFERROR(IF(INDEX(RUNS!$G$6:$G$1005,MATCH($D1690,RUNS!$A$6:$A$1005,0))="","",INDEX(RUNS!$G$6:$G$1005,MATCH($D1690,RUNS!$A$6:$A$1005,0))),""))</f>
        <v/>
      </c>
      <c r="O1690" s="33">
        <f>IF($D1690="","",IFERROR(IF(INDEX(RUNS!$H$6:$H$1005,MATCH($D1690,RUNS!$A$6:$A$1005,0))="","",INDEX(RUNS!$H$6:$H$1005,MATCH($D1690,RUNS!$A$6:$A$1005,0))),""))</f>
        <v/>
      </c>
      <c r="P1690" s="33">
        <f>IF($D1690="","",IFERROR(IF(INDEX(RUNS!$J$6:$J$1005,MATCH($D1690,RUNS!$A$6:$A$1005,0))="","",INDEX(RUNS!$J$6:$J$1005,MATCH($D1690,RUNS!$A$6:$A$1005,0))),""))</f>
        <v/>
      </c>
      <c r="Q1690" s="33">
        <f>IF($D1690="","",IFERROR(IF(INDEX(RUNS!$K$6:$K$1005,MATCH($D1690,RUNS!$A$6:$A$1005,0))="","",INDEX(RUNS!$K$6:$K$1005,MATCH($D1690,RUNS!$A$6:$A$1005,0))),""))</f>
        <v/>
      </c>
      <c r="R1690" s="34">
        <f>IF(OR($L1690="",$K1690=""),"",IFERROR(IF(INDEX(PARAMETRES!$H$43:$H$342,MATCH($L1690&amp;"|"&amp;$M1690&amp;"|"&amp;$N1690&amp;"|"&amp;$O1690&amp;"|"&amp;$P1690&amp;"|"&amp;$Q1690&amp;"|"&amp;$K1690,PARAMETRES!$J$43:$J$342,0))="","",INDEX(PARAMETRES!$H$43:$H$342,MATCH($L1690&amp;"|"&amp;$M1690&amp;"|"&amp;$N1690&amp;"|"&amp;$O1690&amp;"|"&amp;$P1690&amp;"|"&amp;$Q1690&amp;"|"&amp;$K1690,PARAMETRES!$J$43:$J$342,0))),""))</f>
        <v/>
      </c>
      <c r="S1690" s="35">
        <f>IF(OR($G1690="",$X1690&lt;&gt;"VALIDE"),"",IFERROR(LOOKUP(2,1/(($B790:$B1689=$B1690)*($G790:$G1689=$G1690)*($X790:$X1689="VALIDE")),$C790:$C1689),""))</f>
        <v/>
      </c>
      <c r="T1690" s="36">
        <f>IF(OR($C1690="",$S1690=""),"",ROUND(($C1690-$S1690+IF($C1690&lt;$S1690,1,0))*1440,0))</f>
        <v/>
      </c>
      <c r="U1690" s="22">
        <f>IF(OR($H1690="",$T1690="",$T1690&lt;=0),"",$H1690*60/$T1690)</f>
        <v/>
      </c>
      <c r="V1690" s="37">
        <f>IF(OR($U1690="",$R1690="",$R1690=0),"",$U1690/$R1690)</f>
        <v/>
      </c>
      <c r="W1690" s="20">
        <f>IF($G1690="","",IF($X1690="CONTEXTE INCOMPLET","CONTEXTE INCOMPLET",IF($X1690="DOUBLON",StatutDoublon,IF($S1690="",StatutInitial,IF($R1690="",StatutStandardManquant,IF($V1690="","DONNEES INSUFFISANTES",IF($V1690&gt;=SeuilConforme,StatutConforme,IF($V1690&gt;=SeuilSurveiller,StatutSurveiller,StatutSousStandard))))))))</f>
        <v/>
      </c>
      <c r="X1690" s="33">
        <f>IF($G1690="","",IF(OR($D1690="",$E1690="",$F1690=""),"CONTEXTE INCOMPLET",IF(COUNTIFS($D790:$D1689,$D1690,$E790:$E1689,$E1690,$F790:$F1689,$F1690,$G790:$G1689,$G1690)&gt;0,"DOUBLON","VALIDE")))</f>
        <v/>
      </c>
    </row>
    <row r="1691" ht="15" customHeight="1">
      <c r="A1691" s="12">
        <f>IF(OR($B1691="",$G1691=""),"",TEXT($B1691,"YYYYMMDD")&amp;"-"&amp;SUBSTITUTE($E1691," ","")&amp;"-"&amp;$F1691&amp;"-"&amp;$G1691)</f>
        <v/>
      </c>
      <c r="B1691" s="15" t="n"/>
      <c r="C1691" s="16" t="n"/>
      <c r="D1691" s="10" t="n"/>
      <c r="E1691" s="9" t="n"/>
      <c r="F1691" s="9" t="n"/>
      <c r="G1691" s="13" t="n"/>
      <c r="H1691" s="21" t="n"/>
      <c r="I1691" s="21" t="n"/>
      <c r="J1691" s="17">
        <f>IF($G1691="","",IFERROR(INDEX(NomsEmployes,MATCH($G1691,MatriculesEmployes,0)),"MATRICULE INCONNU"))</f>
        <v/>
      </c>
      <c r="K1691" s="33">
        <f>IF(OR($D1691="",$F1691=""),"",IFERROR(IF(INDEX(RUNS!$L$6:$S$1005,MATCH($D1691,RUNS!$A$6:$A$1005,0),MATCH("ACTIVITÉ "&amp;$F1691,RUNS!$L$5:$S$5,0))="","",INDEX(RUNS!$L$6:$S$1005,MATCH($D1691,RUNS!$A$6:$A$1005,0),MATCH("ACTIVITÉ "&amp;$F1691,RUNS!$L$5:$S$5,0))),""))</f>
        <v/>
      </c>
      <c r="L1691" s="33">
        <f>IF($D1691="","",IFERROR(IF(INDEX(RUNS!$E$6:$E$1005,MATCH($D1691,RUNS!$A$6:$A$1005,0))="","",INDEX(RUNS!$E$6:$E$1005,MATCH($D1691,RUNS!$A$6:$A$1005,0))),""))</f>
        <v/>
      </c>
      <c r="M1691" s="33">
        <f>IF($D1691="","",IFERROR(IF(INDEX(RUNS!$F$6:$F$1005,MATCH($D1691,RUNS!$A$6:$A$1005,0))="","",INDEX(RUNS!$F$6:$F$1005,MATCH($D1691,RUNS!$A$6:$A$1005,0))),""))</f>
        <v/>
      </c>
      <c r="N1691" s="33">
        <f>IF($D1691="","",IFERROR(IF(INDEX(RUNS!$G$6:$G$1005,MATCH($D1691,RUNS!$A$6:$A$1005,0))="","",INDEX(RUNS!$G$6:$G$1005,MATCH($D1691,RUNS!$A$6:$A$1005,0))),""))</f>
        <v/>
      </c>
      <c r="O1691" s="33">
        <f>IF($D1691="","",IFERROR(IF(INDEX(RUNS!$H$6:$H$1005,MATCH($D1691,RUNS!$A$6:$A$1005,0))="","",INDEX(RUNS!$H$6:$H$1005,MATCH($D1691,RUNS!$A$6:$A$1005,0))),""))</f>
        <v/>
      </c>
      <c r="P1691" s="33">
        <f>IF($D1691="","",IFERROR(IF(INDEX(RUNS!$J$6:$J$1005,MATCH($D1691,RUNS!$A$6:$A$1005,0))="","",INDEX(RUNS!$J$6:$J$1005,MATCH($D1691,RUNS!$A$6:$A$1005,0))),""))</f>
        <v/>
      </c>
      <c r="Q1691" s="33">
        <f>IF($D1691="","",IFERROR(IF(INDEX(RUNS!$K$6:$K$1005,MATCH($D1691,RUNS!$A$6:$A$1005,0))="","",INDEX(RUNS!$K$6:$K$1005,MATCH($D1691,RUNS!$A$6:$A$1005,0))),""))</f>
        <v/>
      </c>
      <c r="R1691" s="34">
        <f>IF(OR($L1691="",$K1691=""),"",IFERROR(IF(INDEX(PARAMETRES!$H$43:$H$342,MATCH($L1691&amp;"|"&amp;$M1691&amp;"|"&amp;$N1691&amp;"|"&amp;$O1691&amp;"|"&amp;$P1691&amp;"|"&amp;$Q1691&amp;"|"&amp;$K1691,PARAMETRES!$J$43:$J$342,0))="","",INDEX(PARAMETRES!$H$43:$H$342,MATCH($L1691&amp;"|"&amp;$M1691&amp;"|"&amp;$N1691&amp;"|"&amp;$O1691&amp;"|"&amp;$P1691&amp;"|"&amp;$Q1691&amp;"|"&amp;$K1691,PARAMETRES!$J$43:$J$342,0))),""))</f>
        <v/>
      </c>
      <c r="S1691" s="35">
        <f>IF(OR($G1691="",$X1691&lt;&gt;"VALIDE"),"",IFERROR(LOOKUP(2,1/(($B791:$B1690=$B1691)*($G791:$G1690=$G1691)*($X791:$X1690="VALIDE")),$C791:$C1690),""))</f>
        <v/>
      </c>
      <c r="T1691" s="36">
        <f>IF(OR($C1691="",$S1691=""),"",ROUND(($C1691-$S1691+IF($C1691&lt;$S1691,1,0))*1440,0))</f>
        <v/>
      </c>
      <c r="U1691" s="22">
        <f>IF(OR($H1691="",$T1691="",$T1691&lt;=0),"",$H1691*60/$T1691)</f>
        <v/>
      </c>
      <c r="V1691" s="37">
        <f>IF(OR($U1691="",$R1691="",$R1691=0),"",$U1691/$R1691)</f>
        <v/>
      </c>
      <c r="W1691" s="20">
        <f>IF($G1691="","",IF($X1691="CONTEXTE INCOMPLET","CONTEXTE INCOMPLET",IF($X1691="DOUBLON",StatutDoublon,IF($S1691="",StatutInitial,IF($R1691="",StatutStandardManquant,IF($V1691="","DONNEES INSUFFISANTES",IF($V1691&gt;=SeuilConforme,StatutConforme,IF($V1691&gt;=SeuilSurveiller,StatutSurveiller,StatutSousStandard))))))))</f>
        <v/>
      </c>
      <c r="X1691" s="33">
        <f>IF($G1691="","",IF(OR($D1691="",$E1691="",$F1691=""),"CONTEXTE INCOMPLET",IF(COUNTIFS($D791:$D1690,$D1691,$E791:$E1690,$E1691,$F791:$F1690,$F1691,$G791:$G1690,$G1691)&gt;0,"DOUBLON","VALIDE")))</f>
        <v/>
      </c>
    </row>
    <row r="1692" ht="15" customHeight="1">
      <c r="A1692" s="12">
        <f>IF(OR($B1692="",$G1692=""),"",TEXT($B1692,"YYYYMMDD")&amp;"-"&amp;SUBSTITUTE($E1692," ","")&amp;"-"&amp;$F1692&amp;"-"&amp;$G1692)</f>
        <v/>
      </c>
      <c r="B1692" s="15" t="n"/>
      <c r="C1692" s="16" t="n"/>
      <c r="D1692" s="10" t="n"/>
      <c r="E1692" s="9" t="n"/>
      <c r="F1692" s="9" t="n"/>
      <c r="G1692" s="13" t="n"/>
      <c r="H1692" s="21" t="n"/>
      <c r="I1692" s="21" t="n"/>
      <c r="J1692" s="17">
        <f>IF($G1692="","",IFERROR(INDEX(NomsEmployes,MATCH($G1692,MatriculesEmployes,0)),"MATRICULE INCONNU"))</f>
        <v/>
      </c>
      <c r="K1692" s="33">
        <f>IF(OR($D1692="",$F1692=""),"",IFERROR(IF(INDEX(RUNS!$L$6:$S$1005,MATCH($D1692,RUNS!$A$6:$A$1005,0),MATCH("ACTIVITÉ "&amp;$F1692,RUNS!$L$5:$S$5,0))="","",INDEX(RUNS!$L$6:$S$1005,MATCH($D1692,RUNS!$A$6:$A$1005,0),MATCH("ACTIVITÉ "&amp;$F1692,RUNS!$L$5:$S$5,0))),""))</f>
        <v/>
      </c>
      <c r="L1692" s="33">
        <f>IF($D1692="","",IFERROR(IF(INDEX(RUNS!$E$6:$E$1005,MATCH($D1692,RUNS!$A$6:$A$1005,0))="","",INDEX(RUNS!$E$6:$E$1005,MATCH($D1692,RUNS!$A$6:$A$1005,0))),""))</f>
        <v/>
      </c>
      <c r="M1692" s="33">
        <f>IF($D1692="","",IFERROR(IF(INDEX(RUNS!$F$6:$F$1005,MATCH($D1692,RUNS!$A$6:$A$1005,0))="","",INDEX(RUNS!$F$6:$F$1005,MATCH($D1692,RUNS!$A$6:$A$1005,0))),""))</f>
        <v/>
      </c>
      <c r="N1692" s="33">
        <f>IF($D1692="","",IFERROR(IF(INDEX(RUNS!$G$6:$G$1005,MATCH($D1692,RUNS!$A$6:$A$1005,0))="","",INDEX(RUNS!$G$6:$G$1005,MATCH($D1692,RUNS!$A$6:$A$1005,0))),""))</f>
        <v/>
      </c>
      <c r="O1692" s="33">
        <f>IF($D1692="","",IFERROR(IF(INDEX(RUNS!$H$6:$H$1005,MATCH($D1692,RUNS!$A$6:$A$1005,0))="","",INDEX(RUNS!$H$6:$H$1005,MATCH($D1692,RUNS!$A$6:$A$1005,0))),""))</f>
        <v/>
      </c>
      <c r="P1692" s="33">
        <f>IF($D1692="","",IFERROR(IF(INDEX(RUNS!$J$6:$J$1005,MATCH($D1692,RUNS!$A$6:$A$1005,0))="","",INDEX(RUNS!$J$6:$J$1005,MATCH($D1692,RUNS!$A$6:$A$1005,0))),""))</f>
        <v/>
      </c>
      <c r="Q1692" s="33">
        <f>IF($D1692="","",IFERROR(IF(INDEX(RUNS!$K$6:$K$1005,MATCH($D1692,RUNS!$A$6:$A$1005,0))="","",INDEX(RUNS!$K$6:$K$1005,MATCH($D1692,RUNS!$A$6:$A$1005,0))),""))</f>
        <v/>
      </c>
      <c r="R1692" s="34">
        <f>IF(OR($L1692="",$K1692=""),"",IFERROR(IF(INDEX(PARAMETRES!$H$43:$H$342,MATCH($L1692&amp;"|"&amp;$M1692&amp;"|"&amp;$N1692&amp;"|"&amp;$O1692&amp;"|"&amp;$P1692&amp;"|"&amp;$Q1692&amp;"|"&amp;$K1692,PARAMETRES!$J$43:$J$342,0))="","",INDEX(PARAMETRES!$H$43:$H$342,MATCH($L1692&amp;"|"&amp;$M1692&amp;"|"&amp;$N1692&amp;"|"&amp;$O1692&amp;"|"&amp;$P1692&amp;"|"&amp;$Q1692&amp;"|"&amp;$K1692,PARAMETRES!$J$43:$J$342,0))),""))</f>
        <v/>
      </c>
      <c r="S1692" s="35">
        <f>IF(OR($G1692="",$X1692&lt;&gt;"VALIDE"),"",IFERROR(LOOKUP(2,1/(($B792:$B1691=$B1692)*($G792:$G1691=$G1692)*($X792:$X1691="VALIDE")),$C792:$C1691),""))</f>
        <v/>
      </c>
      <c r="T1692" s="36">
        <f>IF(OR($C1692="",$S1692=""),"",ROUND(($C1692-$S1692+IF($C1692&lt;$S1692,1,0))*1440,0))</f>
        <v/>
      </c>
      <c r="U1692" s="22">
        <f>IF(OR($H1692="",$T1692="",$T1692&lt;=0),"",$H1692*60/$T1692)</f>
        <v/>
      </c>
      <c r="V1692" s="37">
        <f>IF(OR($U1692="",$R1692="",$R1692=0),"",$U1692/$R1692)</f>
        <v/>
      </c>
      <c r="W1692" s="20">
        <f>IF($G1692="","",IF($X1692="CONTEXTE INCOMPLET","CONTEXTE INCOMPLET",IF($X1692="DOUBLON",StatutDoublon,IF($S1692="",StatutInitial,IF($R1692="",StatutStandardManquant,IF($V1692="","DONNEES INSUFFISANTES",IF($V1692&gt;=SeuilConforme,StatutConforme,IF($V1692&gt;=SeuilSurveiller,StatutSurveiller,StatutSousStandard))))))))</f>
        <v/>
      </c>
      <c r="X1692" s="33">
        <f>IF($G1692="","",IF(OR($D1692="",$E1692="",$F1692=""),"CONTEXTE INCOMPLET",IF(COUNTIFS($D792:$D1691,$D1692,$E792:$E1691,$E1692,$F792:$F1691,$F1692,$G792:$G1691,$G1692)&gt;0,"DOUBLON","VALIDE")))</f>
        <v/>
      </c>
    </row>
    <row r="1693" ht="15" customHeight="1">
      <c r="A1693" s="12">
        <f>IF(OR($B1693="",$G1693=""),"",TEXT($B1693,"YYYYMMDD")&amp;"-"&amp;SUBSTITUTE($E1693," ","")&amp;"-"&amp;$F1693&amp;"-"&amp;$G1693)</f>
        <v/>
      </c>
      <c r="B1693" s="15" t="n"/>
      <c r="C1693" s="16" t="n"/>
      <c r="D1693" s="10" t="n"/>
      <c r="E1693" s="9" t="n"/>
      <c r="F1693" s="9" t="n"/>
      <c r="G1693" s="13" t="n"/>
      <c r="H1693" s="21" t="n"/>
      <c r="I1693" s="21" t="n"/>
      <c r="J1693" s="17">
        <f>IF($G1693="","",IFERROR(INDEX(NomsEmployes,MATCH($G1693,MatriculesEmployes,0)),"MATRICULE INCONNU"))</f>
        <v/>
      </c>
      <c r="K1693" s="33">
        <f>IF(OR($D1693="",$F1693=""),"",IFERROR(IF(INDEX(RUNS!$L$6:$S$1005,MATCH($D1693,RUNS!$A$6:$A$1005,0),MATCH("ACTIVITÉ "&amp;$F1693,RUNS!$L$5:$S$5,0))="","",INDEX(RUNS!$L$6:$S$1005,MATCH($D1693,RUNS!$A$6:$A$1005,0),MATCH("ACTIVITÉ "&amp;$F1693,RUNS!$L$5:$S$5,0))),""))</f>
        <v/>
      </c>
      <c r="L1693" s="33">
        <f>IF($D1693="","",IFERROR(IF(INDEX(RUNS!$E$6:$E$1005,MATCH($D1693,RUNS!$A$6:$A$1005,0))="","",INDEX(RUNS!$E$6:$E$1005,MATCH($D1693,RUNS!$A$6:$A$1005,0))),""))</f>
        <v/>
      </c>
      <c r="M1693" s="33">
        <f>IF($D1693="","",IFERROR(IF(INDEX(RUNS!$F$6:$F$1005,MATCH($D1693,RUNS!$A$6:$A$1005,0))="","",INDEX(RUNS!$F$6:$F$1005,MATCH($D1693,RUNS!$A$6:$A$1005,0))),""))</f>
        <v/>
      </c>
      <c r="N1693" s="33">
        <f>IF($D1693="","",IFERROR(IF(INDEX(RUNS!$G$6:$G$1005,MATCH($D1693,RUNS!$A$6:$A$1005,0))="","",INDEX(RUNS!$G$6:$G$1005,MATCH($D1693,RUNS!$A$6:$A$1005,0))),""))</f>
        <v/>
      </c>
      <c r="O1693" s="33">
        <f>IF($D1693="","",IFERROR(IF(INDEX(RUNS!$H$6:$H$1005,MATCH($D1693,RUNS!$A$6:$A$1005,0))="","",INDEX(RUNS!$H$6:$H$1005,MATCH($D1693,RUNS!$A$6:$A$1005,0))),""))</f>
        <v/>
      </c>
      <c r="P1693" s="33">
        <f>IF($D1693="","",IFERROR(IF(INDEX(RUNS!$J$6:$J$1005,MATCH($D1693,RUNS!$A$6:$A$1005,0))="","",INDEX(RUNS!$J$6:$J$1005,MATCH($D1693,RUNS!$A$6:$A$1005,0))),""))</f>
        <v/>
      </c>
      <c r="Q1693" s="33">
        <f>IF($D1693="","",IFERROR(IF(INDEX(RUNS!$K$6:$K$1005,MATCH($D1693,RUNS!$A$6:$A$1005,0))="","",INDEX(RUNS!$K$6:$K$1005,MATCH($D1693,RUNS!$A$6:$A$1005,0))),""))</f>
        <v/>
      </c>
      <c r="R1693" s="34">
        <f>IF(OR($L1693="",$K1693=""),"",IFERROR(IF(INDEX(PARAMETRES!$H$43:$H$342,MATCH($L1693&amp;"|"&amp;$M1693&amp;"|"&amp;$N1693&amp;"|"&amp;$O1693&amp;"|"&amp;$P1693&amp;"|"&amp;$Q1693&amp;"|"&amp;$K1693,PARAMETRES!$J$43:$J$342,0))="","",INDEX(PARAMETRES!$H$43:$H$342,MATCH($L1693&amp;"|"&amp;$M1693&amp;"|"&amp;$N1693&amp;"|"&amp;$O1693&amp;"|"&amp;$P1693&amp;"|"&amp;$Q1693&amp;"|"&amp;$K1693,PARAMETRES!$J$43:$J$342,0))),""))</f>
        <v/>
      </c>
      <c r="S1693" s="35">
        <f>IF(OR($G1693="",$X1693&lt;&gt;"VALIDE"),"",IFERROR(LOOKUP(2,1/(($B793:$B1692=$B1693)*($G793:$G1692=$G1693)*($X793:$X1692="VALIDE")),$C793:$C1692),""))</f>
        <v/>
      </c>
      <c r="T1693" s="36">
        <f>IF(OR($C1693="",$S1693=""),"",ROUND(($C1693-$S1693+IF($C1693&lt;$S1693,1,0))*1440,0))</f>
        <v/>
      </c>
      <c r="U1693" s="22">
        <f>IF(OR($H1693="",$T1693="",$T1693&lt;=0),"",$H1693*60/$T1693)</f>
        <v/>
      </c>
      <c r="V1693" s="37">
        <f>IF(OR($U1693="",$R1693="",$R1693=0),"",$U1693/$R1693)</f>
        <v/>
      </c>
      <c r="W1693" s="20">
        <f>IF($G1693="","",IF($X1693="CONTEXTE INCOMPLET","CONTEXTE INCOMPLET",IF($X1693="DOUBLON",StatutDoublon,IF($S1693="",StatutInitial,IF($R1693="",StatutStandardManquant,IF($V1693="","DONNEES INSUFFISANTES",IF($V1693&gt;=SeuilConforme,StatutConforme,IF($V1693&gt;=SeuilSurveiller,StatutSurveiller,StatutSousStandard))))))))</f>
        <v/>
      </c>
      <c r="X1693" s="33">
        <f>IF($G1693="","",IF(OR($D1693="",$E1693="",$F1693=""),"CONTEXTE INCOMPLET",IF(COUNTIFS($D793:$D1692,$D1693,$E793:$E1692,$E1693,$F793:$F1692,$F1693,$G793:$G1692,$G1693)&gt;0,"DOUBLON","VALIDE")))</f>
        <v/>
      </c>
    </row>
    <row r="1694" ht="15" customHeight="1">
      <c r="A1694" s="12">
        <f>IF(OR($B1694="",$G1694=""),"",TEXT($B1694,"YYYYMMDD")&amp;"-"&amp;SUBSTITUTE($E1694," ","")&amp;"-"&amp;$F1694&amp;"-"&amp;$G1694)</f>
        <v/>
      </c>
      <c r="B1694" s="15" t="n"/>
      <c r="C1694" s="16" t="n"/>
      <c r="D1694" s="10" t="n"/>
      <c r="E1694" s="9" t="n"/>
      <c r="F1694" s="9" t="n"/>
      <c r="G1694" s="13" t="n"/>
      <c r="H1694" s="21" t="n"/>
      <c r="I1694" s="21" t="n"/>
      <c r="J1694" s="17">
        <f>IF($G1694="","",IFERROR(INDEX(NomsEmployes,MATCH($G1694,MatriculesEmployes,0)),"MATRICULE INCONNU"))</f>
        <v/>
      </c>
      <c r="K1694" s="33">
        <f>IF(OR($D1694="",$F1694=""),"",IFERROR(IF(INDEX(RUNS!$L$6:$S$1005,MATCH($D1694,RUNS!$A$6:$A$1005,0),MATCH("ACTIVITÉ "&amp;$F1694,RUNS!$L$5:$S$5,0))="","",INDEX(RUNS!$L$6:$S$1005,MATCH($D1694,RUNS!$A$6:$A$1005,0),MATCH("ACTIVITÉ "&amp;$F1694,RUNS!$L$5:$S$5,0))),""))</f>
        <v/>
      </c>
      <c r="L1694" s="33">
        <f>IF($D1694="","",IFERROR(IF(INDEX(RUNS!$E$6:$E$1005,MATCH($D1694,RUNS!$A$6:$A$1005,0))="","",INDEX(RUNS!$E$6:$E$1005,MATCH($D1694,RUNS!$A$6:$A$1005,0))),""))</f>
        <v/>
      </c>
      <c r="M1694" s="33">
        <f>IF($D1694="","",IFERROR(IF(INDEX(RUNS!$F$6:$F$1005,MATCH($D1694,RUNS!$A$6:$A$1005,0))="","",INDEX(RUNS!$F$6:$F$1005,MATCH($D1694,RUNS!$A$6:$A$1005,0))),""))</f>
        <v/>
      </c>
      <c r="N1694" s="33">
        <f>IF($D1694="","",IFERROR(IF(INDEX(RUNS!$G$6:$G$1005,MATCH($D1694,RUNS!$A$6:$A$1005,0))="","",INDEX(RUNS!$G$6:$G$1005,MATCH($D1694,RUNS!$A$6:$A$1005,0))),""))</f>
        <v/>
      </c>
      <c r="O1694" s="33">
        <f>IF($D1694="","",IFERROR(IF(INDEX(RUNS!$H$6:$H$1005,MATCH($D1694,RUNS!$A$6:$A$1005,0))="","",INDEX(RUNS!$H$6:$H$1005,MATCH($D1694,RUNS!$A$6:$A$1005,0))),""))</f>
        <v/>
      </c>
      <c r="P1694" s="33">
        <f>IF($D1694="","",IFERROR(IF(INDEX(RUNS!$J$6:$J$1005,MATCH($D1694,RUNS!$A$6:$A$1005,0))="","",INDEX(RUNS!$J$6:$J$1005,MATCH($D1694,RUNS!$A$6:$A$1005,0))),""))</f>
        <v/>
      </c>
      <c r="Q1694" s="33">
        <f>IF($D1694="","",IFERROR(IF(INDEX(RUNS!$K$6:$K$1005,MATCH($D1694,RUNS!$A$6:$A$1005,0))="","",INDEX(RUNS!$K$6:$K$1005,MATCH($D1694,RUNS!$A$6:$A$1005,0))),""))</f>
        <v/>
      </c>
      <c r="R1694" s="34">
        <f>IF(OR($L1694="",$K1694=""),"",IFERROR(IF(INDEX(PARAMETRES!$H$43:$H$342,MATCH($L1694&amp;"|"&amp;$M1694&amp;"|"&amp;$N1694&amp;"|"&amp;$O1694&amp;"|"&amp;$P1694&amp;"|"&amp;$Q1694&amp;"|"&amp;$K1694,PARAMETRES!$J$43:$J$342,0))="","",INDEX(PARAMETRES!$H$43:$H$342,MATCH($L1694&amp;"|"&amp;$M1694&amp;"|"&amp;$N1694&amp;"|"&amp;$O1694&amp;"|"&amp;$P1694&amp;"|"&amp;$Q1694&amp;"|"&amp;$K1694,PARAMETRES!$J$43:$J$342,0))),""))</f>
        <v/>
      </c>
      <c r="S1694" s="35">
        <f>IF(OR($G1694="",$X1694&lt;&gt;"VALIDE"),"",IFERROR(LOOKUP(2,1/(($B794:$B1693=$B1694)*($G794:$G1693=$G1694)*($X794:$X1693="VALIDE")),$C794:$C1693),""))</f>
        <v/>
      </c>
      <c r="T1694" s="36">
        <f>IF(OR($C1694="",$S1694=""),"",ROUND(($C1694-$S1694+IF($C1694&lt;$S1694,1,0))*1440,0))</f>
        <v/>
      </c>
      <c r="U1694" s="22">
        <f>IF(OR($H1694="",$T1694="",$T1694&lt;=0),"",$H1694*60/$T1694)</f>
        <v/>
      </c>
      <c r="V1694" s="37">
        <f>IF(OR($U1694="",$R1694="",$R1694=0),"",$U1694/$R1694)</f>
        <v/>
      </c>
      <c r="W1694" s="20">
        <f>IF($G1694="","",IF($X1694="CONTEXTE INCOMPLET","CONTEXTE INCOMPLET",IF($X1694="DOUBLON",StatutDoublon,IF($S1694="",StatutInitial,IF($R1694="",StatutStandardManquant,IF($V1694="","DONNEES INSUFFISANTES",IF($V1694&gt;=SeuilConforme,StatutConforme,IF($V1694&gt;=SeuilSurveiller,StatutSurveiller,StatutSousStandard))))))))</f>
        <v/>
      </c>
      <c r="X1694" s="33">
        <f>IF($G1694="","",IF(OR($D1694="",$E1694="",$F1694=""),"CONTEXTE INCOMPLET",IF(COUNTIFS($D794:$D1693,$D1694,$E794:$E1693,$E1694,$F794:$F1693,$F1694,$G794:$G1693,$G1694)&gt;0,"DOUBLON","VALIDE")))</f>
        <v/>
      </c>
    </row>
    <row r="1695" ht="15" customHeight="1">
      <c r="A1695" s="12">
        <f>IF(OR($B1695="",$G1695=""),"",TEXT($B1695,"YYYYMMDD")&amp;"-"&amp;SUBSTITUTE($E1695," ","")&amp;"-"&amp;$F1695&amp;"-"&amp;$G1695)</f>
        <v/>
      </c>
      <c r="B1695" s="15" t="n"/>
      <c r="C1695" s="16" t="n"/>
      <c r="D1695" s="10" t="n"/>
      <c r="E1695" s="9" t="n"/>
      <c r="F1695" s="9" t="n"/>
      <c r="G1695" s="13" t="n"/>
      <c r="H1695" s="21" t="n"/>
      <c r="I1695" s="21" t="n"/>
      <c r="J1695" s="17">
        <f>IF($G1695="","",IFERROR(INDEX(NomsEmployes,MATCH($G1695,MatriculesEmployes,0)),"MATRICULE INCONNU"))</f>
        <v/>
      </c>
      <c r="K1695" s="33">
        <f>IF(OR($D1695="",$F1695=""),"",IFERROR(IF(INDEX(RUNS!$L$6:$S$1005,MATCH($D1695,RUNS!$A$6:$A$1005,0),MATCH("ACTIVITÉ "&amp;$F1695,RUNS!$L$5:$S$5,0))="","",INDEX(RUNS!$L$6:$S$1005,MATCH($D1695,RUNS!$A$6:$A$1005,0),MATCH("ACTIVITÉ "&amp;$F1695,RUNS!$L$5:$S$5,0))),""))</f>
        <v/>
      </c>
      <c r="L1695" s="33">
        <f>IF($D1695="","",IFERROR(IF(INDEX(RUNS!$E$6:$E$1005,MATCH($D1695,RUNS!$A$6:$A$1005,0))="","",INDEX(RUNS!$E$6:$E$1005,MATCH($D1695,RUNS!$A$6:$A$1005,0))),""))</f>
        <v/>
      </c>
      <c r="M1695" s="33">
        <f>IF($D1695="","",IFERROR(IF(INDEX(RUNS!$F$6:$F$1005,MATCH($D1695,RUNS!$A$6:$A$1005,0))="","",INDEX(RUNS!$F$6:$F$1005,MATCH($D1695,RUNS!$A$6:$A$1005,0))),""))</f>
        <v/>
      </c>
      <c r="N1695" s="33">
        <f>IF($D1695="","",IFERROR(IF(INDEX(RUNS!$G$6:$G$1005,MATCH($D1695,RUNS!$A$6:$A$1005,0))="","",INDEX(RUNS!$G$6:$G$1005,MATCH($D1695,RUNS!$A$6:$A$1005,0))),""))</f>
        <v/>
      </c>
      <c r="O1695" s="33">
        <f>IF($D1695="","",IFERROR(IF(INDEX(RUNS!$H$6:$H$1005,MATCH($D1695,RUNS!$A$6:$A$1005,0))="","",INDEX(RUNS!$H$6:$H$1005,MATCH($D1695,RUNS!$A$6:$A$1005,0))),""))</f>
        <v/>
      </c>
      <c r="P1695" s="33">
        <f>IF($D1695="","",IFERROR(IF(INDEX(RUNS!$J$6:$J$1005,MATCH($D1695,RUNS!$A$6:$A$1005,0))="","",INDEX(RUNS!$J$6:$J$1005,MATCH($D1695,RUNS!$A$6:$A$1005,0))),""))</f>
        <v/>
      </c>
      <c r="Q1695" s="33">
        <f>IF($D1695="","",IFERROR(IF(INDEX(RUNS!$K$6:$K$1005,MATCH($D1695,RUNS!$A$6:$A$1005,0))="","",INDEX(RUNS!$K$6:$K$1005,MATCH($D1695,RUNS!$A$6:$A$1005,0))),""))</f>
        <v/>
      </c>
      <c r="R1695" s="34">
        <f>IF(OR($L1695="",$K1695=""),"",IFERROR(IF(INDEX(PARAMETRES!$H$43:$H$342,MATCH($L1695&amp;"|"&amp;$M1695&amp;"|"&amp;$N1695&amp;"|"&amp;$O1695&amp;"|"&amp;$P1695&amp;"|"&amp;$Q1695&amp;"|"&amp;$K1695,PARAMETRES!$J$43:$J$342,0))="","",INDEX(PARAMETRES!$H$43:$H$342,MATCH($L1695&amp;"|"&amp;$M1695&amp;"|"&amp;$N1695&amp;"|"&amp;$O1695&amp;"|"&amp;$P1695&amp;"|"&amp;$Q1695&amp;"|"&amp;$K1695,PARAMETRES!$J$43:$J$342,0))),""))</f>
        <v/>
      </c>
      <c r="S1695" s="35">
        <f>IF(OR($G1695="",$X1695&lt;&gt;"VALIDE"),"",IFERROR(LOOKUP(2,1/(($B795:$B1694=$B1695)*($G795:$G1694=$G1695)*($X795:$X1694="VALIDE")),$C795:$C1694),""))</f>
        <v/>
      </c>
      <c r="T1695" s="36">
        <f>IF(OR($C1695="",$S1695=""),"",ROUND(($C1695-$S1695+IF($C1695&lt;$S1695,1,0))*1440,0))</f>
        <v/>
      </c>
      <c r="U1695" s="22">
        <f>IF(OR($H1695="",$T1695="",$T1695&lt;=0),"",$H1695*60/$T1695)</f>
        <v/>
      </c>
      <c r="V1695" s="37">
        <f>IF(OR($U1695="",$R1695="",$R1695=0),"",$U1695/$R1695)</f>
        <v/>
      </c>
      <c r="W1695" s="20">
        <f>IF($G1695="","",IF($X1695="CONTEXTE INCOMPLET","CONTEXTE INCOMPLET",IF($X1695="DOUBLON",StatutDoublon,IF($S1695="",StatutInitial,IF($R1695="",StatutStandardManquant,IF($V1695="","DONNEES INSUFFISANTES",IF($V1695&gt;=SeuilConforme,StatutConforme,IF($V1695&gt;=SeuilSurveiller,StatutSurveiller,StatutSousStandard))))))))</f>
        <v/>
      </c>
      <c r="X1695" s="33">
        <f>IF($G1695="","",IF(OR($D1695="",$E1695="",$F1695=""),"CONTEXTE INCOMPLET",IF(COUNTIFS($D795:$D1694,$D1695,$E795:$E1694,$E1695,$F795:$F1694,$F1695,$G795:$G1694,$G1695)&gt;0,"DOUBLON","VALIDE")))</f>
        <v/>
      </c>
    </row>
    <row r="1696" ht="15" customHeight="1">
      <c r="A1696" s="12">
        <f>IF(OR($B1696="",$G1696=""),"",TEXT($B1696,"YYYYMMDD")&amp;"-"&amp;SUBSTITUTE($E1696," ","")&amp;"-"&amp;$F1696&amp;"-"&amp;$G1696)</f>
        <v/>
      </c>
      <c r="B1696" s="15" t="n"/>
      <c r="C1696" s="16" t="n"/>
      <c r="D1696" s="10" t="n"/>
      <c r="E1696" s="9" t="n"/>
      <c r="F1696" s="9" t="n"/>
      <c r="G1696" s="13" t="n"/>
      <c r="H1696" s="21" t="n"/>
      <c r="I1696" s="21" t="n"/>
      <c r="J1696" s="17">
        <f>IF($G1696="","",IFERROR(INDEX(NomsEmployes,MATCH($G1696,MatriculesEmployes,0)),"MATRICULE INCONNU"))</f>
        <v/>
      </c>
      <c r="K1696" s="33">
        <f>IF(OR($D1696="",$F1696=""),"",IFERROR(IF(INDEX(RUNS!$L$6:$S$1005,MATCH($D1696,RUNS!$A$6:$A$1005,0),MATCH("ACTIVITÉ "&amp;$F1696,RUNS!$L$5:$S$5,0))="","",INDEX(RUNS!$L$6:$S$1005,MATCH($D1696,RUNS!$A$6:$A$1005,0),MATCH("ACTIVITÉ "&amp;$F1696,RUNS!$L$5:$S$5,0))),""))</f>
        <v/>
      </c>
      <c r="L1696" s="33">
        <f>IF($D1696="","",IFERROR(IF(INDEX(RUNS!$E$6:$E$1005,MATCH($D1696,RUNS!$A$6:$A$1005,0))="","",INDEX(RUNS!$E$6:$E$1005,MATCH($D1696,RUNS!$A$6:$A$1005,0))),""))</f>
        <v/>
      </c>
      <c r="M1696" s="33">
        <f>IF($D1696="","",IFERROR(IF(INDEX(RUNS!$F$6:$F$1005,MATCH($D1696,RUNS!$A$6:$A$1005,0))="","",INDEX(RUNS!$F$6:$F$1005,MATCH($D1696,RUNS!$A$6:$A$1005,0))),""))</f>
        <v/>
      </c>
      <c r="N1696" s="33">
        <f>IF($D1696="","",IFERROR(IF(INDEX(RUNS!$G$6:$G$1005,MATCH($D1696,RUNS!$A$6:$A$1005,0))="","",INDEX(RUNS!$G$6:$G$1005,MATCH($D1696,RUNS!$A$6:$A$1005,0))),""))</f>
        <v/>
      </c>
      <c r="O1696" s="33">
        <f>IF($D1696="","",IFERROR(IF(INDEX(RUNS!$H$6:$H$1005,MATCH($D1696,RUNS!$A$6:$A$1005,0))="","",INDEX(RUNS!$H$6:$H$1005,MATCH($D1696,RUNS!$A$6:$A$1005,0))),""))</f>
        <v/>
      </c>
      <c r="P1696" s="33">
        <f>IF($D1696="","",IFERROR(IF(INDEX(RUNS!$J$6:$J$1005,MATCH($D1696,RUNS!$A$6:$A$1005,0))="","",INDEX(RUNS!$J$6:$J$1005,MATCH($D1696,RUNS!$A$6:$A$1005,0))),""))</f>
        <v/>
      </c>
      <c r="Q1696" s="33">
        <f>IF($D1696="","",IFERROR(IF(INDEX(RUNS!$K$6:$K$1005,MATCH($D1696,RUNS!$A$6:$A$1005,0))="","",INDEX(RUNS!$K$6:$K$1005,MATCH($D1696,RUNS!$A$6:$A$1005,0))),""))</f>
        <v/>
      </c>
      <c r="R1696" s="34">
        <f>IF(OR($L1696="",$K1696=""),"",IFERROR(IF(INDEX(PARAMETRES!$H$43:$H$342,MATCH($L1696&amp;"|"&amp;$M1696&amp;"|"&amp;$N1696&amp;"|"&amp;$O1696&amp;"|"&amp;$P1696&amp;"|"&amp;$Q1696&amp;"|"&amp;$K1696,PARAMETRES!$J$43:$J$342,0))="","",INDEX(PARAMETRES!$H$43:$H$342,MATCH($L1696&amp;"|"&amp;$M1696&amp;"|"&amp;$N1696&amp;"|"&amp;$O1696&amp;"|"&amp;$P1696&amp;"|"&amp;$Q1696&amp;"|"&amp;$K1696,PARAMETRES!$J$43:$J$342,0))),""))</f>
        <v/>
      </c>
      <c r="S1696" s="35">
        <f>IF(OR($G1696="",$X1696&lt;&gt;"VALIDE"),"",IFERROR(LOOKUP(2,1/(($B796:$B1695=$B1696)*($G796:$G1695=$G1696)*($X796:$X1695="VALIDE")),$C796:$C1695),""))</f>
        <v/>
      </c>
      <c r="T1696" s="36">
        <f>IF(OR($C1696="",$S1696=""),"",ROUND(($C1696-$S1696+IF($C1696&lt;$S1696,1,0))*1440,0))</f>
        <v/>
      </c>
      <c r="U1696" s="22">
        <f>IF(OR($H1696="",$T1696="",$T1696&lt;=0),"",$H1696*60/$T1696)</f>
        <v/>
      </c>
      <c r="V1696" s="37">
        <f>IF(OR($U1696="",$R1696="",$R1696=0),"",$U1696/$R1696)</f>
        <v/>
      </c>
      <c r="W1696" s="20">
        <f>IF($G1696="","",IF($X1696="CONTEXTE INCOMPLET","CONTEXTE INCOMPLET",IF($X1696="DOUBLON",StatutDoublon,IF($S1696="",StatutInitial,IF($R1696="",StatutStandardManquant,IF($V1696="","DONNEES INSUFFISANTES",IF($V1696&gt;=SeuilConforme,StatutConforme,IF($V1696&gt;=SeuilSurveiller,StatutSurveiller,StatutSousStandard))))))))</f>
        <v/>
      </c>
      <c r="X1696" s="33">
        <f>IF($G1696="","",IF(OR($D1696="",$E1696="",$F1696=""),"CONTEXTE INCOMPLET",IF(COUNTIFS($D796:$D1695,$D1696,$E796:$E1695,$E1696,$F796:$F1695,$F1696,$G796:$G1695,$G1696)&gt;0,"DOUBLON","VALIDE")))</f>
        <v/>
      </c>
    </row>
    <row r="1697" ht="15" customHeight="1">
      <c r="A1697" s="12">
        <f>IF(OR($B1697="",$G1697=""),"",TEXT($B1697,"YYYYMMDD")&amp;"-"&amp;SUBSTITUTE($E1697," ","")&amp;"-"&amp;$F1697&amp;"-"&amp;$G1697)</f>
        <v/>
      </c>
      <c r="B1697" s="15" t="n"/>
      <c r="C1697" s="16" t="n"/>
      <c r="D1697" s="10" t="n"/>
      <c r="E1697" s="9" t="n"/>
      <c r="F1697" s="9" t="n"/>
      <c r="G1697" s="13" t="n"/>
      <c r="H1697" s="21" t="n"/>
      <c r="I1697" s="21" t="n"/>
      <c r="J1697" s="17">
        <f>IF($G1697="","",IFERROR(INDEX(NomsEmployes,MATCH($G1697,MatriculesEmployes,0)),"MATRICULE INCONNU"))</f>
        <v/>
      </c>
      <c r="K1697" s="33">
        <f>IF(OR($D1697="",$F1697=""),"",IFERROR(IF(INDEX(RUNS!$L$6:$S$1005,MATCH($D1697,RUNS!$A$6:$A$1005,0),MATCH("ACTIVITÉ "&amp;$F1697,RUNS!$L$5:$S$5,0))="","",INDEX(RUNS!$L$6:$S$1005,MATCH($D1697,RUNS!$A$6:$A$1005,0),MATCH("ACTIVITÉ "&amp;$F1697,RUNS!$L$5:$S$5,0))),""))</f>
        <v/>
      </c>
      <c r="L1697" s="33">
        <f>IF($D1697="","",IFERROR(IF(INDEX(RUNS!$E$6:$E$1005,MATCH($D1697,RUNS!$A$6:$A$1005,0))="","",INDEX(RUNS!$E$6:$E$1005,MATCH($D1697,RUNS!$A$6:$A$1005,0))),""))</f>
        <v/>
      </c>
      <c r="M1697" s="33">
        <f>IF($D1697="","",IFERROR(IF(INDEX(RUNS!$F$6:$F$1005,MATCH($D1697,RUNS!$A$6:$A$1005,0))="","",INDEX(RUNS!$F$6:$F$1005,MATCH($D1697,RUNS!$A$6:$A$1005,0))),""))</f>
        <v/>
      </c>
      <c r="N1697" s="33">
        <f>IF($D1697="","",IFERROR(IF(INDEX(RUNS!$G$6:$G$1005,MATCH($D1697,RUNS!$A$6:$A$1005,0))="","",INDEX(RUNS!$G$6:$G$1005,MATCH($D1697,RUNS!$A$6:$A$1005,0))),""))</f>
        <v/>
      </c>
      <c r="O1697" s="33">
        <f>IF($D1697="","",IFERROR(IF(INDEX(RUNS!$H$6:$H$1005,MATCH($D1697,RUNS!$A$6:$A$1005,0))="","",INDEX(RUNS!$H$6:$H$1005,MATCH($D1697,RUNS!$A$6:$A$1005,0))),""))</f>
        <v/>
      </c>
      <c r="P1697" s="33">
        <f>IF($D1697="","",IFERROR(IF(INDEX(RUNS!$J$6:$J$1005,MATCH($D1697,RUNS!$A$6:$A$1005,0))="","",INDEX(RUNS!$J$6:$J$1005,MATCH($D1697,RUNS!$A$6:$A$1005,0))),""))</f>
        <v/>
      </c>
      <c r="Q1697" s="33">
        <f>IF($D1697="","",IFERROR(IF(INDEX(RUNS!$K$6:$K$1005,MATCH($D1697,RUNS!$A$6:$A$1005,0))="","",INDEX(RUNS!$K$6:$K$1005,MATCH($D1697,RUNS!$A$6:$A$1005,0))),""))</f>
        <v/>
      </c>
      <c r="R1697" s="34">
        <f>IF(OR($L1697="",$K1697=""),"",IFERROR(IF(INDEX(PARAMETRES!$H$43:$H$342,MATCH($L1697&amp;"|"&amp;$M1697&amp;"|"&amp;$N1697&amp;"|"&amp;$O1697&amp;"|"&amp;$P1697&amp;"|"&amp;$Q1697&amp;"|"&amp;$K1697,PARAMETRES!$J$43:$J$342,0))="","",INDEX(PARAMETRES!$H$43:$H$342,MATCH($L1697&amp;"|"&amp;$M1697&amp;"|"&amp;$N1697&amp;"|"&amp;$O1697&amp;"|"&amp;$P1697&amp;"|"&amp;$Q1697&amp;"|"&amp;$K1697,PARAMETRES!$J$43:$J$342,0))),""))</f>
        <v/>
      </c>
      <c r="S1697" s="35">
        <f>IF(OR($G1697="",$X1697&lt;&gt;"VALIDE"),"",IFERROR(LOOKUP(2,1/(($B797:$B1696=$B1697)*($G797:$G1696=$G1697)*($X797:$X1696="VALIDE")),$C797:$C1696),""))</f>
        <v/>
      </c>
      <c r="T1697" s="36">
        <f>IF(OR($C1697="",$S1697=""),"",ROUND(($C1697-$S1697+IF($C1697&lt;$S1697,1,0))*1440,0))</f>
        <v/>
      </c>
      <c r="U1697" s="22">
        <f>IF(OR($H1697="",$T1697="",$T1697&lt;=0),"",$H1697*60/$T1697)</f>
        <v/>
      </c>
      <c r="V1697" s="37">
        <f>IF(OR($U1697="",$R1697="",$R1697=0),"",$U1697/$R1697)</f>
        <v/>
      </c>
      <c r="W1697" s="20">
        <f>IF($G1697="","",IF($X1697="CONTEXTE INCOMPLET","CONTEXTE INCOMPLET",IF($X1697="DOUBLON",StatutDoublon,IF($S1697="",StatutInitial,IF($R1697="",StatutStandardManquant,IF($V1697="","DONNEES INSUFFISANTES",IF($V1697&gt;=SeuilConforme,StatutConforme,IF($V1697&gt;=SeuilSurveiller,StatutSurveiller,StatutSousStandard))))))))</f>
        <v/>
      </c>
      <c r="X1697" s="33">
        <f>IF($G1697="","",IF(OR($D1697="",$E1697="",$F1697=""),"CONTEXTE INCOMPLET",IF(COUNTIFS($D797:$D1696,$D1697,$E797:$E1696,$E1697,$F797:$F1696,$F1697,$G797:$G1696,$G1697)&gt;0,"DOUBLON","VALIDE")))</f>
        <v/>
      </c>
    </row>
    <row r="1698" ht="15" customHeight="1">
      <c r="A1698" s="12">
        <f>IF(OR($B1698="",$G1698=""),"",TEXT($B1698,"YYYYMMDD")&amp;"-"&amp;SUBSTITUTE($E1698," ","")&amp;"-"&amp;$F1698&amp;"-"&amp;$G1698)</f>
        <v/>
      </c>
      <c r="B1698" s="15" t="n"/>
      <c r="C1698" s="16" t="n"/>
      <c r="D1698" s="10" t="n"/>
      <c r="E1698" s="9" t="n"/>
      <c r="F1698" s="9" t="n"/>
      <c r="G1698" s="13" t="n"/>
      <c r="H1698" s="21" t="n"/>
      <c r="I1698" s="21" t="n"/>
      <c r="J1698" s="17">
        <f>IF($G1698="","",IFERROR(INDEX(NomsEmployes,MATCH($G1698,MatriculesEmployes,0)),"MATRICULE INCONNU"))</f>
        <v/>
      </c>
      <c r="K1698" s="33">
        <f>IF(OR($D1698="",$F1698=""),"",IFERROR(IF(INDEX(RUNS!$L$6:$S$1005,MATCH($D1698,RUNS!$A$6:$A$1005,0),MATCH("ACTIVITÉ "&amp;$F1698,RUNS!$L$5:$S$5,0))="","",INDEX(RUNS!$L$6:$S$1005,MATCH($D1698,RUNS!$A$6:$A$1005,0),MATCH("ACTIVITÉ "&amp;$F1698,RUNS!$L$5:$S$5,0))),""))</f>
        <v/>
      </c>
      <c r="L1698" s="33">
        <f>IF($D1698="","",IFERROR(IF(INDEX(RUNS!$E$6:$E$1005,MATCH($D1698,RUNS!$A$6:$A$1005,0))="","",INDEX(RUNS!$E$6:$E$1005,MATCH($D1698,RUNS!$A$6:$A$1005,0))),""))</f>
        <v/>
      </c>
      <c r="M1698" s="33">
        <f>IF($D1698="","",IFERROR(IF(INDEX(RUNS!$F$6:$F$1005,MATCH($D1698,RUNS!$A$6:$A$1005,0))="","",INDEX(RUNS!$F$6:$F$1005,MATCH($D1698,RUNS!$A$6:$A$1005,0))),""))</f>
        <v/>
      </c>
      <c r="N1698" s="33">
        <f>IF($D1698="","",IFERROR(IF(INDEX(RUNS!$G$6:$G$1005,MATCH($D1698,RUNS!$A$6:$A$1005,0))="","",INDEX(RUNS!$G$6:$G$1005,MATCH($D1698,RUNS!$A$6:$A$1005,0))),""))</f>
        <v/>
      </c>
      <c r="O1698" s="33">
        <f>IF($D1698="","",IFERROR(IF(INDEX(RUNS!$H$6:$H$1005,MATCH($D1698,RUNS!$A$6:$A$1005,0))="","",INDEX(RUNS!$H$6:$H$1005,MATCH($D1698,RUNS!$A$6:$A$1005,0))),""))</f>
        <v/>
      </c>
      <c r="P1698" s="33">
        <f>IF($D1698="","",IFERROR(IF(INDEX(RUNS!$J$6:$J$1005,MATCH($D1698,RUNS!$A$6:$A$1005,0))="","",INDEX(RUNS!$J$6:$J$1005,MATCH($D1698,RUNS!$A$6:$A$1005,0))),""))</f>
        <v/>
      </c>
      <c r="Q1698" s="33">
        <f>IF($D1698="","",IFERROR(IF(INDEX(RUNS!$K$6:$K$1005,MATCH($D1698,RUNS!$A$6:$A$1005,0))="","",INDEX(RUNS!$K$6:$K$1005,MATCH($D1698,RUNS!$A$6:$A$1005,0))),""))</f>
        <v/>
      </c>
      <c r="R1698" s="34">
        <f>IF(OR($L1698="",$K1698=""),"",IFERROR(IF(INDEX(PARAMETRES!$H$43:$H$342,MATCH($L1698&amp;"|"&amp;$M1698&amp;"|"&amp;$N1698&amp;"|"&amp;$O1698&amp;"|"&amp;$P1698&amp;"|"&amp;$Q1698&amp;"|"&amp;$K1698,PARAMETRES!$J$43:$J$342,0))="","",INDEX(PARAMETRES!$H$43:$H$342,MATCH($L1698&amp;"|"&amp;$M1698&amp;"|"&amp;$N1698&amp;"|"&amp;$O1698&amp;"|"&amp;$P1698&amp;"|"&amp;$Q1698&amp;"|"&amp;$K1698,PARAMETRES!$J$43:$J$342,0))),""))</f>
        <v/>
      </c>
      <c r="S1698" s="35">
        <f>IF(OR($G1698="",$X1698&lt;&gt;"VALIDE"),"",IFERROR(LOOKUP(2,1/(($B798:$B1697=$B1698)*($G798:$G1697=$G1698)*($X798:$X1697="VALIDE")),$C798:$C1697),""))</f>
        <v/>
      </c>
      <c r="T1698" s="36">
        <f>IF(OR($C1698="",$S1698=""),"",ROUND(($C1698-$S1698+IF($C1698&lt;$S1698,1,0))*1440,0))</f>
        <v/>
      </c>
      <c r="U1698" s="22">
        <f>IF(OR($H1698="",$T1698="",$T1698&lt;=0),"",$H1698*60/$T1698)</f>
        <v/>
      </c>
      <c r="V1698" s="37">
        <f>IF(OR($U1698="",$R1698="",$R1698=0),"",$U1698/$R1698)</f>
        <v/>
      </c>
      <c r="W1698" s="20">
        <f>IF($G1698="","",IF($X1698="CONTEXTE INCOMPLET","CONTEXTE INCOMPLET",IF($X1698="DOUBLON",StatutDoublon,IF($S1698="",StatutInitial,IF($R1698="",StatutStandardManquant,IF($V1698="","DONNEES INSUFFISANTES",IF($V1698&gt;=SeuilConforme,StatutConforme,IF($V1698&gt;=SeuilSurveiller,StatutSurveiller,StatutSousStandard))))))))</f>
        <v/>
      </c>
      <c r="X1698" s="33">
        <f>IF($G1698="","",IF(OR($D1698="",$E1698="",$F1698=""),"CONTEXTE INCOMPLET",IF(COUNTIFS($D798:$D1697,$D1698,$E798:$E1697,$E1698,$F798:$F1697,$F1698,$G798:$G1697,$G1698)&gt;0,"DOUBLON","VALIDE")))</f>
        <v/>
      </c>
    </row>
    <row r="1699" ht="15" customHeight="1">
      <c r="A1699" s="12">
        <f>IF(OR($B1699="",$G1699=""),"",TEXT($B1699,"YYYYMMDD")&amp;"-"&amp;SUBSTITUTE($E1699," ","")&amp;"-"&amp;$F1699&amp;"-"&amp;$G1699)</f>
        <v/>
      </c>
      <c r="B1699" s="15" t="n"/>
      <c r="C1699" s="16" t="n"/>
      <c r="D1699" s="10" t="n"/>
      <c r="E1699" s="9" t="n"/>
      <c r="F1699" s="9" t="n"/>
      <c r="G1699" s="13" t="n"/>
      <c r="H1699" s="21" t="n"/>
      <c r="I1699" s="21" t="n"/>
      <c r="J1699" s="17">
        <f>IF($G1699="","",IFERROR(INDEX(NomsEmployes,MATCH($G1699,MatriculesEmployes,0)),"MATRICULE INCONNU"))</f>
        <v/>
      </c>
      <c r="K1699" s="33">
        <f>IF(OR($D1699="",$F1699=""),"",IFERROR(IF(INDEX(RUNS!$L$6:$S$1005,MATCH($D1699,RUNS!$A$6:$A$1005,0),MATCH("ACTIVITÉ "&amp;$F1699,RUNS!$L$5:$S$5,0))="","",INDEX(RUNS!$L$6:$S$1005,MATCH($D1699,RUNS!$A$6:$A$1005,0),MATCH("ACTIVITÉ "&amp;$F1699,RUNS!$L$5:$S$5,0))),""))</f>
        <v/>
      </c>
      <c r="L1699" s="33">
        <f>IF($D1699="","",IFERROR(IF(INDEX(RUNS!$E$6:$E$1005,MATCH($D1699,RUNS!$A$6:$A$1005,0))="","",INDEX(RUNS!$E$6:$E$1005,MATCH($D1699,RUNS!$A$6:$A$1005,0))),""))</f>
        <v/>
      </c>
      <c r="M1699" s="33">
        <f>IF($D1699="","",IFERROR(IF(INDEX(RUNS!$F$6:$F$1005,MATCH($D1699,RUNS!$A$6:$A$1005,0))="","",INDEX(RUNS!$F$6:$F$1005,MATCH($D1699,RUNS!$A$6:$A$1005,0))),""))</f>
        <v/>
      </c>
      <c r="N1699" s="33">
        <f>IF($D1699="","",IFERROR(IF(INDEX(RUNS!$G$6:$G$1005,MATCH($D1699,RUNS!$A$6:$A$1005,0))="","",INDEX(RUNS!$G$6:$G$1005,MATCH($D1699,RUNS!$A$6:$A$1005,0))),""))</f>
        <v/>
      </c>
      <c r="O1699" s="33">
        <f>IF($D1699="","",IFERROR(IF(INDEX(RUNS!$H$6:$H$1005,MATCH($D1699,RUNS!$A$6:$A$1005,0))="","",INDEX(RUNS!$H$6:$H$1005,MATCH($D1699,RUNS!$A$6:$A$1005,0))),""))</f>
        <v/>
      </c>
      <c r="P1699" s="33">
        <f>IF($D1699="","",IFERROR(IF(INDEX(RUNS!$J$6:$J$1005,MATCH($D1699,RUNS!$A$6:$A$1005,0))="","",INDEX(RUNS!$J$6:$J$1005,MATCH($D1699,RUNS!$A$6:$A$1005,0))),""))</f>
        <v/>
      </c>
      <c r="Q1699" s="33">
        <f>IF($D1699="","",IFERROR(IF(INDEX(RUNS!$K$6:$K$1005,MATCH($D1699,RUNS!$A$6:$A$1005,0))="","",INDEX(RUNS!$K$6:$K$1005,MATCH($D1699,RUNS!$A$6:$A$1005,0))),""))</f>
        <v/>
      </c>
      <c r="R1699" s="34">
        <f>IF(OR($L1699="",$K1699=""),"",IFERROR(IF(INDEX(PARAMETRES!$H$43:$H$342,MATCH($L1699&amp;"|"&amp;$M1699&amp;"|"&amp;$N1699&amp;"|"&amp;$O1699&amp;"|"&amp;$P1699&amp;"|"&amp;$Q1699&amp;"|"&amp;$K1699,PARAMETRES!$J$43:$J$342,0))="","",INDEX(PARAMETRES!$H$43:$H$342,MATCH($L1699&amp;"|"&amp;$M1699&amp;"|"&amp;$N1699&amp;"|"&amp;$O1699&amp;"|"&amp;$P1699&amp;"|"&amp;$Q1699&amp;"|"&amp;$K1699,PARAMETRES!$J$43:$J$342,0))),""))</f>
        <v/>
      </c>
      <c r="S1699" s="35">
        <f>IF(OR($G1699="",$X1699&lt;&gt;"VALIDE"),"",IFERROR(LOOKUP(2,1/(($B799:$B1698=$B1699)*($G799:$G1698=$G1699)*($X799:$X1698="VALIDE")),$C799:$C1698),""))</f>
        <v/>
      </c>
      <c r="T1699" s="36">
        <f>IF(OR($C1699="",$S1699=""),"",ROUND(($C1699-$S1699+IF($C1699&lt;$S1699,1,0))*1440,0))</f>
        <v/>
      </c>
      <c r="U1699" s="22">
        <f>IF(OR($H1699="",$T1699="",$T1699&lt;=0),"",$H1699*60/$T1699)</f>
        <v/>
      </c>
      <c r="V1699" s="37">
        <f>IF(OR($U1699="",$R1699="",$R1699=0),"",$U1699/$R1699)</f>
        <v/>
      </c>
      <c r="W1699" s="20">
        <f>IF($G1699="","",IF($X1699="CONTEXTE INCOMPLET","CONTEXTE INCOMPLET",IF($X1699="DOUBLON",StatutDoublon,IF($S1699="",StatutInitial,IF($R1699="",StatutStandardManquant,IF($V1699="","DONNEES INSUFFISANTES",IF($V1699&gt;=SeuilConforme,StatutConforme,IF($V1699&gt;=SeuilSurveiller,StatutSurveiller,StatutSousStandard))))))))</f>
        <v/>
      </c>
      <c r="X1699" s="33">
        <f>IF($G1699="","",IF(OR($D1699="",$E1699="",$F1699=""),"CONTEXTE INCOMPLET",IF(COUNTIFS($D799:$D1698,$D1699,$E799:$E1698,$E1699,$F799:$F1698,$F1699,$G799:$G1698,$G1699)&gt;0,"DOUBLON","VALIDE")))</f>
        <v/>
      </c>
    </row>
    <row r="1700" ht="15" customHeight="1">
      <c r="A1700" s="12">
        <f>IF(OR($B1700="",$G1700=""),"",TEXT($B1700,"YYYYMMDD")&amp;"-"&amp;SUBSTITUTE($E1700," ","")&amp;"-"&amp;$F1700&amp;"-"&amp;$G1700)</f>
        <v/>
      </c>
      <c r="B1700" s="15" t="n"/>
      <c r="C1700" s="16" t="n"/>
      <c r="D1700" s="10" t="n"/>
      <c r="E1700" s="9" t="n"/>
      <c r="F1700" s="9" t="n"/>
      <c r="G1700" s="13" t="n"/>
      <c r="H1700" s="21" t="n"/>
      <c r="I1700" s="21" t="n"/>
      <c r="J1700" s="17">
        <f>IF($G1700="","",IFERROR(INDEX(NomsEmployes,MATCH($G1700,MatriculesEmployes,0)),"MATRICULE INCONNU"))</f>
        <v/>
      </c>
      <c r="K1700" s="33">
        <f>IF(OR($D1700="",$F1700=""),"",IFERROR(IF(INDEX(RUNS!$L$6:$S$1005,MATCH($D1700,RUNS!$A$6:$A$1005,0),MATCH("ACTIVITÉ "&amp;$F1700,RUNS!$L$5:$S$5,0))="","",INDEX(RUNS!$L$6:$S$1005,MATCH($D1700,RUNS!$A$6:$A$1005,0),MATCH("ACTIVITÉ "&amp;$F1700,RUNS!$L$5:$S$5,0))),""))</f>
        <v/>
      </c>
      <c r="L1700" s="33">
        <f>IF($D1700="","",IFERROR(IF(INDEX(RUNS!$E$6:$E$1005,MATCH($D1700,RUNS!$A$6:$A$1005,0))="","",INDEX(RUNS!$E$6:$E$1005,MATCH($D1700,RUNS!$A$6:$A$1005,0))),""))</f>
        <v/>
      </c>
      <c r="M1700" s="33">
        <f>IF($D1700="","",IFERROR(IF(INDEX(RUNS!$F$6:$F$1005,MATCH($D1700,RUNS!$A$6:$A$1005,0))="","",INDEX(RUNS!$F$6:$F$1005,MATCH($D1700,RUNS!$A$6:$A$1005,0))),""))</f>
        <v/>
      </c>
      <c r="N1700" s="33">
        <f>IF($D1700="","",IFERROR(IF(INDEX(RUNS!$G$6:$G$1005,MATCH($D1700,RUNS!$A$6:$A$1005,0))="","",INDEX(RUNS!$G$6:$G$1005,MATCH($D1700,RUNS!$A$6:$A$1005,0))),""))</f>
        <v/>
      </c>
      <c r="O1700" s="33">
        <f>IF($D1700="","",IFERROR(IF(INDEX(RUNS!$H$6:$H$1005,MATCH($D1700,RUNS!$A$6:$A$1005,0))="","",INDEX(RUNS!$H$6:$H$1005,MATCH($D1700,RUNS!$A$6:$A$1005,0))),""))</f>
        <v/>
      </c>
      <c r="P1700" s="33">
        <f>IF($D1700="","",IFERROR(IF(INDEX(RUNS!$J$6:$J$1005,MATCH($D1700,RUNS!$A$6:$A$1005,0))="","",INDEX(RUNS!$J$6:$J$1005,MATCH($D1700,RUNS!$A$6:$A$1005,0))),""))</f>
        <v/>
      </c>
      <c r="Q1700" s="33">
        <f>IF($D1700="","",IFERROR(IF(INDEX(RUNS!$K$6:$K$1005,MATCH($D1700,RUNS!$A$6:$A$1005,0))="","",INDEX(RUNS!$K$6:$K$1005,MATCH($D1700,RUNS!$A$6:$A$1005,0))),""))</f>
        <v/>
      </c>
      <c r="R1700" s="34">
        <f>IF(OR($L1700="",$K1700=""),"",IFERROR(IF(INDEX(PARAMETRES!$H$43:$H$342,MATCH($L1700&amp;"|"&amp;$M1700&amp;"|"&amp;$N1700&amp;"|"&amp;$O1700&amp;"|"&amp;$P1700&amp;"|"&amp;$Q1700&amp;"|"&amp;$K1700,PARAMETRES!$J$43:$J$342,0))="","",INDEX(PARAMETRES!$H$43:$H$342,MATCH($L1700&amp;"|"&amp;$M1700&amp;"|"&amp;$N1700&amp;"|"&amp;$O1700&amp;"|"&amp;$P1700&amp;"|"&amp;$Q1700&amp;"|"&amp;$K1700,PARAMETRES!$J$43:$J$342,0))),""))</f>
        <v/>
      </c>
      <c r="S1700" s="35">
        <f>IF(OR($G1700="",$X1700&lt;&gt;"VALIDE"),"",IFERROR(LOOKUP(2,1/(($B800:$B1699=$B1700)*($G800:$G1699=$G1700)*($X800:$X1699="VALIDE")),$C800:$C1699),""))</f>
        <v/>
      </c>
      <c r="T1700" s="36">
        <f>IF(OR($C1700="",$S1700=""),"",ROUND(($C1700-$S1700+IF($C1700&lt;$S1700,1,0))*1440,0))</f>
        <v/>
      </c>
      <c r="U1700" s="22">
        <f>IF(OR($H1700="",$T1700="",$T1700&lt;=0),"",$H1700*60/$T1700)</f>
        <v/>
      </c>
      <c r="V1700" s="37">
        <f>IF(OR($U1700="",$R1700="",$R1700=0),"",$U1700/$R1700)</f>
        <v/>
      </c>
      <c r="W1700" s="20">
        <f>IF($G1700="","",IF($X1700="CONTEXTE INCOMPLET","CONTEXTE INCOMPLET",IF($X1700="DOUBLON",StatutDoublon,IF($S1700="",StatutInitial,IF($R1700="",StatutStandardManquant,IF($V1700="","DONNEES INSUFFISANTES",IF($V1700&gt;=SeuilConforme,StatutConforme,IF($V1700&gt;=SeuilSurveiller,StatutSurveiller,StatutSousStandard))))))))</f>
        <v/>
      </c>
      <c r="X1700" s="33">
        <f>IF($G1700="","",IF(OR($D1700="",$E1700="",$F1700=""),"CONTEXTE INCOMPLET",IF(COUNTIFS($D800:$D1699,$D1700,$E800:$E1699,$E1700,$F800:$F1699,$F1700,$G800:$G1699,$G1700)&gt;0,"DOUBLON","VALIDE")))</f>
        <v/>
      </c>
    </row>
    <row r="1701" ht="15" customHeight="1">
      <c r="A1701" s="12">
        <f>IF(OR($B1701="",$G1701=""),"",TEXT($B1701,"YYYYMMDD")&amp;"-"&amp;SUBSTITUTE($E1701," ","")&amp;"-"&amp;$F1701&amp;"-"&amp;$G1701)</f>
        <v/>
      </c>
      <c r="B1701" s="15" t="n"/>
      <c r="C1701" s="16" t="n"/>
      <c r="D1701" s="10" t="n"/>
      <c r="E1701" s="9" t="n"/>
      <c r="F1701" s="9" t="n"/>
      <c r="G1701" s="13" t="n"/>
      <c r="H1701" s="21" t="n"/>
      <c r="I1701" s="21" t="n"/>
      <c r="J1701" s="17">
        <f>IF($G1701="","",IFERROR(INDEX(NomsEmployes,MATCH($G1701,MatriculesEmployes,0)),"MATRICULE INCONNU"))</f>
        <v/>
      </c>
      <c r="K1701" s="33">
        <f>IF(OR($D1701="",$F1701=""),"",IFERROR(IF(INDEX(RUNS!$L$6:$S$1005,MATCH($D1701,RUNS!$A$6:$A$1005,0),MATCH("ACTIVITÉ "&amp;$F1701,RUNS!$L$5:$S$5,0))="","",INDEX(RUNS!$L$6:$S$1005,MATCH($D1701,RUNS!$A$6:$A$1005,0),MATCH("ACTIVITÉ "&amp;$F1701,RUNS!$L$5:$S$5,0))),""))</f>
        <v/>
      </c>
      <c r="L1701" s="33">
        <f>IF($D1701="","",IFERROR(IF(INDEX(RUNS!$E$6:$E$1005,MATCH($D1701,RUNS!$A$6:$A$1005,0))="","",INDEX(RUNS!$E$6:$E$1005,MATCH($D1701,RUNS!$A$6:$A$1005,0))),""))</f>
        <v/>
      </c>
      <c r="M1701" s="33">
        <f>IF($D1701="","",IFERROR(IF(INDEX(RUNS!$F$6:$F$1005,MATCH($D1701,RUNS!$A$6:$A$1005,0))="","",INDEX(RUNS!$F$6:$F$1005,MATCH($D1701,RUNS!$A$6:$A$1005,0))),""))</f>
        <v/>
      </c>
      <c r="N1701" s="33">
        <f>IF($D1701="","",IFERROR(IF(INDEX(RUNS!$G$6:$G$1005,MATCH($D1701,RUNS!$A$6:$A$1005,0))="","",INDEX(RUNS!$G$6:$G$1005,MATCH($D1701,RUNS!$A$6:$A$1005,0))),""))</f>
        <v/>
      </c>
      <c r="O1701" s="33">
        <f>IF($D1701="","",IFERROR(IF(INDEX(RUNS!$H$6:$H$1005,MATCH($D1701,RUNS!$A$6:$A$1005,0))="","",INDEX(RUNS!$H$6:$H$1005,MATCH($D1701,RUNS!$A$6:$A$1005,0))),""))</f>
        <v/>
      </c>
      <c r="P1701" s="33">
        <f>IF($D1701="","",IFERROR(IF(INDEX(RUNS!$J$6:$J$1005,MATCH($D1701,RUNS!$A$6:$A$1005,0))="","",INDEX(RUNS!$J$6:$J$1005,MATCH($D1701,RUNS!$A$6:$A$1005,0))),""))</f>
        <v/>
      </c>
      <c r="Q1701" s="33">
        <f>IF($D1701="","",IFERROR(IF(INDEX(RUNS!$K$6:$K$1005,MATCH($D1701,RUNS!$A$6:$A$1005,0))="","",INDEX(RUNS!$K$6:$K$1005,MATCH($D1701,RUNS!$A$6:$A$1005,0))),""))</f>
        <v/>
      </c>
      <c r="R1701" s="34">
        <f>IF(OR($L1701="",$K1701=""),"",IFERROR(IF(INDEX(PARAMETRES!$H$43:$H$342,MATCH($L1701&amp;"|"&amp;$M1701&amp;"|"&amp;$N1701&amp;"|"&amp;$O1701&amp;"|"&amp;$P1701&amp;"|"&amp;$Q1701&amp;"|"&amp;$K1701,PARAMETRES!$J$43:$J$342,0))="","",INDEX(PARAMETRES!$H$43:$H$342,MATCH($L1701&amp;"|"&amp;$M1701&amp;"|"&amp;$N1701&amp;"|"&amp;$O1701&amp;"|"&amp;$P1701&amp;"|"&amp;$Q1701&amp;"|"&amp;$K1701,PARAMETRES!$J$43:$J$342,0))),""))</f>
        <v/>
      </c>
      <c r="S1701" s="35">
        <f>IF(OR($G1701="",$X1701&lt;&gt;"VALIDE"),"",IFERROR(LOOKUP(2,1/(($B801:$B1700=$B1701)*($G801:$G1700=$G1701)*($X801:$X1700="VALIDE")),$C801:$C1700),""))</f>
        <v/>
      </c>
      <c r="T1701" s="36">
        <f>IF(OR($C1701="",$S1701=""),"",ROUND(($C1701-$S1701+IF($C1701&lt;$S1701,1,0))*1440,0))</f>
        <v/>
      </c>
      <c r="U1701" s="22">
        <f>IF(OR($H1701="",$T1701="",$T1701&lt;=0),"",$H1701*60/$T1701)</f>
        <v/>
      </c>
      <c r="V1701" s="37">
        <f>IF(OR($U1701="",$R1701="",$R1701=0),"",$U1701/$R1701)</f>
        <v/>
      </c>
      <c r="W1701" s="20">
        <f>IF($G1701="","",IF($X1701="CONTEXTE INCOMPLET","CONTEXTE INCOMPLET",IF($X1701="DOUBLON",StatutDoublon,IF($S1701="",StatutInitial,IF($R1701="",StatutStandardManquant,IF($V1701="","DONNEES INSUFFISANTES",IF($V1701&gt;=SeuilConforme,StatutConforme,IF($V1701&gt;=SeuilSurveiller,StatutSurveiller,StatutSousStandard))))))))</f>
        <v/>
      </c>
      <c r="X1701" s="33">
        <f>IF($G1701="","",IF(OR($D1701="",$E1701="",$F1701=""),"CONTEXTE INCOMPLET",IF(COUNTIFS($D801:$D1700,$D1701,$E801:$E1700,$E1701,$F801:$F1700,$F1701,$G801:$G1700,$G1701)&gt;0,"DOUBLON","VALIDE")))</f>
        <v/>
      </c>
    </row>
    <row r="1702" ht="15" customHeight="1">
      <c r="A1702" s="12">
        <f>IF(OR($B1702="",$G1702=""),"",TEXT($B1702,"YYYYMMDD")&amp;"-"&amp;SUBSTITUTE($E1702," ","")&amp;"-"&amp;$F1702&amp;"-"&amp;$G1702)</f>
        <v/>
      </c>
      <c r="B1702" s="15" t="n"/>
      <c r="C1702" s="16" t="n"/>
      <c r="D1702" s="10" t="n"/>
      <c r="E1702" s="9" t="n"/>
      <c r="F1702" s="9" t="n"/>
      <c r="G1702" s="13" t="n"/>
      <c r="H1702" s="21" t="n"/>
      <c r="I1702" s="21" t="n"/>
      <c r="J1702" s="17">
        <f>IF($G1702="","",IFERROR(INDEX(NomsEmployes,MATCH($G1702,MatriculesEmployes,0)),"MATRICULE INCONNU"))</f>
        <v/>
      </c>
      <c r="K1702" s="33">
        <f>IF(OR($D1702="",$F1702=""),"",IFERROR(IF(INDEX(RUNS!$L$6:$S$1005,MATCH($D1702,RUNS!$A$6:$A$1005,0),MATCH("ACTIVITÉ "&amp;$F1702,RUNS!$L$5:$S$5,0))="","",INDEX(RUNS!$L$6:$S$1005,MATCH($D1702,RUNS!$A$6:$A$1005,0),MATCH("ACTIVITÉ "&amp;$F1702,RUNS!$L$5:$S$5,0))),""))</f>
        <v/>
      </c>
      <c r="L1702" s="33">
        <f>IF($D1702="","",IFERROR(IF(INDEX(RUNS!$E$6:$E$1005,MATCH($D1702,RUNS!$A$6:$A$1005,0))="","",INDEX(RUNS!$E$6:$E$1005,MATCH($D1702,RUNS!$A$6:$A$1005,0))),""))</f>
        <v/>
      </c>
      <c r="M1702" s="33">
        <f>IF($D1702="","",IFERROR(IF(INDEX(RUNS!$F$6:$F$1005,MATCH($D1702,RUNS!$A$6:$A$1005,0))="","",INDEX(RUNS!$F$6:$F$1005,MATCH($D1702,RUNS!$A$6:$A$1005,0))),""))</f>
        <v/>
      </c>
      <c r="N1702" s="33">
        <f>IF($D1702="","",IFERROR(IF(INDEX(RUNS!$G$6:$G$1005,MATCH($D1702,RUNS!$A$6:$A$1005,0))="","",INDEX(RUNS!$G$6:$G$1005,MATCH($D1702,RUNS!$A$6:$A$1005,0))),""))</f>
        <v/>
      </c>
      <c r="O1702" s="33">
        <f>IF($D1702="","",IFERROR(IF(INDEX(RUNS!$H$6:$H$1005,MATCH($D1702,RUNS!$A$6:$A$1005,0))="","",INDEX(RUNS!$H$6:$H$1005,MATCH($D1702,RUNS!$A$6:$A$1005,0))),""))</f>
        <v/>
      </c>
      <c r="P1702" s="33">
        <f>IF($D1702="","",IFERROR(IF(INDEX(RUNS!$J$6:$J$1005,MATCH($D1702,RUNS!$A$6:$A$1005,0))="","",INDEX(RUNS!$J$6:$J$1005,MATCH($D1702,RUNS!$A$6:$A$1005,0))),""))</f>
        <v/>
      </c>
      <c r="Q1702" s="33">
        <f>IF($D1702="","",IFERROR(IF(INDEX(RUNS!$K$6:$K$1005,MATCH($D1702,RUNS!$A$6:$A$1005,0))="","",INDEX(RUNS!$K$6:$K$1005,MATCH($D1702,RUNS!$A$6:$A$1005,0))),""))</f>
        <v/>
      </c>
      <c r="R1702" s="34">
        <f>IF(OR($L1702="",$K1702=""),"",IFERROR(IF(INDEX(PARAMETRES!$H$43:$H$342,MATCH($L1702&amp;"|"&amp;$M1702&amp;"|"&amp;$N1702&amp;"|"&amp;$O1702&amp;"|"&amp;$P1702&amp;"|"&amp;$Q1702&amp;"|"&amp;$K1702,PARAMETRES!$J$43:$J$342,0))="","",INDEX(PARAMETRES!$H$43:$H$342,MATCH($L1702&amp;"|"&amp;$M1702&amp;"|"&amp;$N1702&amp;"|"&amp;$O1702&amp;"|"&amp;$P1702&amp;"|"&amp;$Q1702&amp;"|"&amp;$K1702,PARAMETRES!$J$43:$J$342,0))),""))</f>
        <v/>
      </c>
      <c r="S1702" s="35">
        <f>IF(OR($G1702="",$X1702&lt;&gt;"VALIDE"),"",IFERROR(LOOKUP(2,1/(($B802:$B1701=$B1702)*($G802:$G1701=$G1702)*($X802:$X1701="VALIDE")),$C802:$C1701),""))</f>
        <v/>
      </c>
      <c r="T1702" s="36">
        <f>IF(OR($C1702="",$S1702=""),"",ROUND(($C1702-$S1702+IF($C1702&lt;$S1702,1,0))*1440,0))</f>
        <v/>
      </c>
      <c r="U1702" s="22">
        <f>IF(OR($H1702="",$T1702="",$T1702&lt;=0),"",$H1702*60/$T1702)</f>
        <v/>
      </c>
      <c r="V1702" s="37">
        <f>IF(OR($U1702="",$R1702="",$R1702=0),"",$U1702/$R1702)</f>
        <v/>
      </c>
      <c r="W1702" s="20">
        <f>IF($G1702="","",IF($X1702="CONTEXTE INCOMPLET","CONTEXTE INCOMPLET",IF($X1702="DOUBLON",StatutDoublon,IF($S1702="",StatutInitial,IF($R1702="",StatutStandardManquant,IF($V1702="","DONNEES INSUFFISANTES",IF($V1702&gt;=SeuilConforme,StatutConforme,IF($V1702&gt;=SeuilSurveiller,StatutSurveiller,StatutSousStandard))))))))</f>
        <v/>
      </c>
      <c r="X1702" s="33">
        <f>IF($G1702="","",IF(OR($D1702="",$E1702="",$F1702=""),"CONTEXTE INCOMPLET",IF(COUNTIFS($D802:$D1701,$D1702,$E802:$E1701,$E1702,$F802:$F1701,$F1702,$G802:$G1701,$G1702)&gt;0,"DOUBLON","VALIDE")))</f>
        <v/>
      </c>
    </row>
    <row r="1703" ht="15" customHeight="1">
      <c r="A1703" s="12">
        <f>IF(OR($B1703="",$G1703=""),"",TEXT($B1703,"YYYYMMDD")&amp;"-"&amp;SUBSTITUTE($E1703," ","")&amp;"-"&amp;$F1703&amp;"-"&amp;$G1703)</f>
        <v/>
      </c>
      <c r="B1703" s="15" t="n"/>
      <c r="C1703" s="16" t="n"/>
      <c r="D1703" s="10" t="n"/>
      <c r="E1703" s="9" t="n"/>
      <c r="F1703" s="9" t="n"/>
      <c r="G1703" s="13" t="n"/>
      <c r="H1703" s="21" t="n"/>
      <c r="I1703" s="21" t="n"/>
      <c r="J1703" s="17">
        <f>IF($G1703="","",IFERROR(INDEX(NomsEmployes,MATCH($G1703,MatriculesEmployes,0)),"MATRICULE INCONNU"))</f>
        <v/>
      </c>
      <c r="K1703" s="33">
        <f>IF(OR($D1703="",$F1703=""),"",IFERROR(IF(INDEX(RUNS!$L$6:$S$1005,MATCH($D1703,RUNS!$A$6:$A$1005,0),MATCH("ACTIVITÉ "&amp;$F1703,RUNS!$L$5:$S$5,0))="","",INDEX(RUNS!$L$6:$S$1005,MATCH($D1703,RUNS!$A$6:$A$1005,0),MATCH("ACTIVITÉ "&amp;$F1703,RUNS!$L$5:$S$5,0))),""))</f>
        <v/>
      </c>
      <c r="L1703" s="33">
        <f>IF($D1703="","",IFERROR(IF(INDEX(RUNS!$E$6:$E$1005,MATCH($D1703,RUNS!$A$6:$A$1005,0))="","",INDEX(RUNS!$E$6:$E$1005,MATCH($D1703,RUNS!$A$6:$A$1005,0))),""))</f>
        <v/>
      </c>
      <c r="M1703" s="33">
        <f>IF($D1703="","",IFERROR(IF(INDEX(RUNS!$F$6:$F$1005,MATCH($D1703,RUNS!$A$6:$A$1005,0))="","",INDEX(RUNS!$F$6:$F$1005,MATCH($D1703,RUNS!$A$6:$A$1005,0))),""))</f>
        <v/>
      </c>
      <c r="N1703" s="33">
        <f>IF($D1703="","",IFERROR(IF(INDEX(RUNS!$G$6:$G$1005,MATCH($D1703,RUNS!$A$6:$A$1005,0))="","",INDEX(RUNS!$G$6:$G$1005,MATCH($D1703,RUNS!$A$6:$A$1005,0))),""))</f>
        <v/>
      </c>
      <c r="O1703" s="33">
        <f>IF($D1703="","",IFERROR(IF(INDEX(RUNS!$H$6:$H$1005,MATCH($D1703,RUNS!$A$6:$A$1005,0))="","",INDEX(RUNS!$H$6:$H$1005,MATCH($D1703,RUNS!$A$6:$A$1005,0))),""))</f>
        <v/>
      </c>
      <c r="P1703" s="33">
        <f>IF($D1703="","",IFERROR(IF(INDEX(RUNS!$J$6:$J$1005,MATCH($D1703,RUNS!$A$6:$A$1005,0))="","",INDEX(RUNS!$J$6:$J$1005,MATCH($D1703,RUNS!$A$6:$A$1005,0))),""))</f>
        <v/>
      </c>
      <c r="Q1703" s="33">
        <f>IF($D1703="","",IFERROR(IF(INDEX(RUNS!$K$6:$K$1005,MATCH($D1703,RUNS!$A$6:$A$1005,0))="","",INDEX(RUNS!$K$6:$K$1005,MATCH($D1703,RUNS!$A$6:$A$1005,0))),""))</f>
        <v/>
      </c>
      <c r="R1703" s="34">
        <f>IF(OR($L1703="",$K1703=""),"",IFERROR(IF(INDEX(PARAMETRES!$H$43:$H$342,MATCH($L1703&amp;"|"&amp;$M1703&amp;"|"&amp;$N1703&amp;"|"&amp;$O1703&amp;"|"&amp;$P1703&amp;"|"&amp;$Q1703&amp;"|"&amp;$K1703,PARAMETRES!$J$43:$J$342,0))="","",INDEX(PARAMETRES!$H$43:$H$342,MATCH($L1703&amp;"|"&amp;$M1703&amp;"|"&amp;$N1703&amp;"|"&amp;$O1703&amp;"|"&amp;$P1703&amp;"|"&amp;$Q1703&amp;"|"&amp;$K1703,PARAMETRES!$J$43:$J$342,0))),""))</f>
        <v/>
      </c>
      <c r="S1703" s="35">
        <f>IF(OR($G1703="",$X1703&lt;&gt;"VALIDE"),"",IFERROR(LOOKUP(2,1/(($B803:$B1702=$B1703)*($G803:$G1702=$G1703)*($X803:$X1702="VALIDE")),$C803:$C1702),""))</f>
        <v/>
      </c>
      <c r="T1703" s="36">
        <f>IF(OR($C1703="",$S1703=""),"",ROUND(($C1703-$S1703+IF($C1703&lt;$S1703,1,0))*1440,0))</f>
        <v/>
      </c>
      <c r="U1703" s="22">
        <f>IF(OR($H1703="",$T1703="",$T1703&lt;=0),"",$H1703*60/$T1703)</f>
        <v/>
      </c>
      <c r="V1703" s="37">
        <f>IF(OR($U1703="",$R1703="",$R1703=0),"",$U1703/$R1703)</f>
        <v/>
      </c>
      <c r="W1703" s="20">
        <f>IF($G1703="","",IF($X1703="CONTEXTE INCOMPLET","CONTEXTE INCOMPLET",IF($X1703="DOUBLON",StatutDoublon,IF($S1703="",StatutInitial,IF($R1703="",StatutStandardManquant,IF($V1703="","DONNEES INSUFFISANTES",IF($V1703&gt;=SeuilConforme,StatutConforme,IF($V1703&gt;=SeuilSurveiller,StatutSurveiller,StatutSousStandard))))))))</f>
        <v/>
      </c>
      <c r="X1703" s="33">
        <f>IF($G1703="","",IF(OR($D1703="",$E1703="",$F1703=""),"CONTEXTE INCOMPLET",IF(COUNTIFS($D803:$D1702,$D1703,$E803:$E1702,$E1703,$F803:$F1702,$F1703,$G803:$G1702,$G1703)&gt;0,"DOUBLON","VALIDE")))</f>
        <v/>
      </c>
    </row>
    <row r="1704" ht="15" customHeight="1">
      <c r="A1704" s="12">
        <f>IF(OR($B1704="",$G1704=""),"",TEXT($B1704,"YYYYMMDD")&amp;"-"&amp;SUBSTITUTE($E1704," ","")&amp;"-"&amp;$F1704&amp;"-"&amp;$G1704)</f>
        <v/>
      </c>
      <c r="B1704" s="15" t="n"/>
      <c r="C1704" s="16" t="n"/>
      <c r="D1704" s="10" t="n"/>
      <c r="E1704" s="9" t="n"/>
      <c r="F1704" s="9" t="n"/>
      <c r="G1704" s="13" t="n"/>
      <c r="H1704" s="21" t="n"/>
      <c r="I1704" s="21" t="n"/>
      <c r="J1704" s="17">
        <f>IF($G1704="","",IFERROR(INDEX(NomsEmployes,MATCH($G1704,MatriculesEmployes,0)),"MATRICULE INCONNU"))</f>
        <v/>
      </c>
      <c r="K1704" s="33">
        <f>IF(OR($D1704="",$F1704=""),"",IFERROR(IF(INDEX(RUNS!$L$6:$S$1005,MATCH($D1704,RUNS!$A$6:$A$1005,0),MATCH("ACTIVITÉ "&amp;$F1704,RUNS!$L$5:$S$5,0))="","",INDEX(RUNS!$L$6:$S$1005,MATCH($D1704,RUNS!$A$6:$A$1005,0),MATCH("ACTIVITÉ "&amp;$F1704,RUNS!$L$5:$S$5,0))),""))</f>
        <v/>
      </c>
      <c r="L1704" s="33">
        <f>IF($D1704="","",IFERROR(IF(INDEX(RUNS!$E$6:$E$1005,MATCH($D1704,RUNS!$A$6:$A$1005,0))="","",INDEX(RUNS!$E$6:$E$1005,MATCH($D1704,RUNS!$A$6:$A$1005,0))),""))</f>
        <v/>
      </c>
      <c r="M1704" s="33">
        <f>IF($D1704="","",IFERROR(IF(INDEX(RUNS!$F$6:$F$1005,MATCH($D1704,RUNS!$A$6:$A$1005,0))="","",INDEX(RUNS!$F$6:$F$1005,MATCH($D1704,RUNS!$A$6:$A$1005,0))),""))</f>
        <v/>
      </c>
      <c r="N1704" s="33">
        <f>IF($D1704="","",IFERROR(IF(INDEX(RUNS!$G$6:$G$1005,MATCH($D1704,RUNS!$A$6:$A$1005,0))="","",INDEX(RUNS!$G$6:$G$1005,MATCH($D1704,RUNS!$A$6:$A$1005,0))),""))</f>
        <v/>
      </c>
      <c r="O1704" s="33">
        <f>IF($D1704="","",IFERROR(IF(INDEX(RUNS!$H$6:$H$1005,MATCH($D1704,RUNS!$A$6:$A$1005,0))="","",INDEX(RUNS!$H$6:$H$1005,MATCH($D1704,RUNS!$A$6:$A$1005,0))),""))</f>
        <v/>
      </c>
      <c r="P1704" s="33">
        <f>IF($D1704="","",IFERROR(IF(INDEX(RUNS!$J$6:$J$1005,MATCH($D1704,RUNS!$A$6:$A$1005,0))="","",INDEX(RUNS!$J$6:$J$1005,MATCH($D1704,RUNS!$A$6:$A$1005,0))),""))</f>
        <v/>
      </c>
      <c r="Q1704" s="33">
        <f>IF($D1704="","",IFERROR(IF(INDEX(RUNS!$K$6:$K$1005,MATCH($D1704,RUNS!$A$6:$A$1005,0))="","",INDEX(RUNS!$K$6:$K$1005,MATCH($D1704,RUNS!$A$6:$A$1005,0))),""))</f>
        <v/>
      </c>
      <c r="R1704" s="34">
        <f>IF(OR($L1704="",$K1704=""),"",IFERROR(IF(INDEX(PARAMETRES!$H$43:$H$342,MATCH($L1704&amp;"|"&amp;$M1704&amp;"|"&amp;$N1704&amp;"|"&amp;$O1704&amp;"|"&amp;$P1704&amp;"|"&amp;$Q1704&amp;"|"&amp;$K1704,PARAMETRES!$J$43:$J$342,0))="","",INDEX(PARAMETRES!$H$43:$H$342,MATCH($L1704&amp;"|"&amp;$M1704&amp;"|"&amp;$N1704&amp;"|"&amp;$O1704&amp;"|"&amp;$P1704&amp;"|"&amp;$Q1704&amp;"|"&amp;$K1704,PARAMETRES!$J$43:$J$342,0))),""))</f>
        <v/>
      </c>
      <c r="S1704" s="35">
        <f>IF(OR($G1704="",$X1704&lt;&gt;"VALIDE"),"",IFERROR(LOOKUP(2,1/(($B804:$B1703=$B1704)*($G804:$G1703=$G1704)*($X804:$X1703="VALIDE")),$C804:$C1703),""))</f>
        <v/>
      </c>
      <c r="T1704" s="36">
        <f>IF(OR($C1704="",$S1704=""),"",ROUND(($C1704-$S1704+IF($C1704&lt;$S1704,1,0))*1440,0))</f>
        <v/>
      </c>
      <c r="U1704" s="22">
        <f>IF(OR($H1704="",$T1704="",$T1704&lt;=0),"",$H1704*60/$T1704)</f>
        <v/>
      </c>
      <c r="V1704" s="37">
        <f>IF(OR($U1704="",$R1704="",$R1704=0),"",$U1704/$R1704)</f>
        <v/>
      </c>
      <c r="W1704" s="20">
        <f>IF($G1704="","",IF($X1704="CONTEXTE INCOMPLET","CONTEXTE INCOMPLET",IF($X1704="DOUBLON",StatutDoublon,IF($S1704="",StatutInitial,IF($R1704="",StatutStandardManquant,IF($V1704="","DONNEES INSUFFISANTES",IF($V1704&gt;=SeuilConforme,StatutConforme,IF($V1704&gt;=SeuilSurveiller,StatutSurveiller,StatutSousStandard))))))))</f>
        <v/>
      </c>
      <c r="X1704" s="33">
        <f>IF($G1704="","",IF(OR($D1704="",$E1704="",$F1704=""),"CONTEXTE INCOMPLET",IF(COUNTIFS($D804:$D1703,$D1704,$E804:$E1703,$E1704,$F804:$F1703,$F1704,$G804:$G1703,$G1704)&gt;0,"DOUBLON","VALIDE")))</f>
        <v/>
      </c>
    </row>
    <row r="1705" ht="15" customHeight="1">
      <c r="A1705" s="12">
        <f>IF(OR($B1705="",$G1705=""),"",TEXT($B1705,"YYYYMMDD")&amp;"-"&amp;SUBSTITUTE($E1705," ","")&amp;"-"&amp;$F1705&amp;"-"&amp;$G1705)</f>
        <v/>
      </c>
      <c r="B1705" s="15" t="n"/>
      <c r="C1705" s="16" t="n"/>
      <c r="D1705" s="10" t="n"/>
      <c r="E1705" s="9" t="n"/>
      <c r="F1705" s="9" t="n"/>
      <c r="G1705" s="13" t="n"/>
      <c r="H1705" s="21" t="n"/>
      <c r="I1705" s="21" t="n"/>
      <c r="J1705" s="17">
        <f>IF($G1705="","",IFERROR(INDEX(NomsEmployes,MATCH($G1705,MatriculesEmployes,0)),"MATRICULE INCONNU"))</f>
        <v/>
      </c>
      <c r="K1705" s="33">
        <f>IF(OR($D1705="",$F1705=""),"",IFERROR(IF(INDEX(RUNS!$L$6:$S$1005,MATCH($D1705,RUNS!$A$6:$A$1005,0),MATCH("ACTIVITÉ "&amp;$F1705,RUNS!$L$5:$S$5,0))="","",INDEX(RUNS!$L$6:$S$1005,MATCH($D1705,RUNS!$A$6:$A$1005,0),MATCH("ACTIVITÉ "&amp;$F1705,RUNS!$L$5:$S$5,0))),""))</f>
        <v/>
      </c>
      <c r="L1705" s="33">
        <f>IF($D1705="","",IFERROR(IF(INDEX(RUNS!$E$6:$E$1005,MATCH($D1705,RUNS!$A$6:$A$1005,0))="","",INDEX(RUNS!$E$6:$E$1005,MATCH($D1705,RUNS!$A$6:$A$1005,0))),""))</f>
        <v/>
      </c>
      <c r="M1705" s="33">
        <f>IF($D1705="","",IFERROR(IF(INDEX(RUNS!$F$6:$F$1005,MATCH($D1705,RUNS!$A$6:$A$1005,0))="","",INDEX(RUNS!$F$6:$F$1005,MATCH($D1705,RUNS!$A$6:$A$1005,0))),""))</f>
        <v/>
      </c>
      <c r="N1705" s="33">
        <f>IF($D1705="","",IFERROR(IF(INDEX(RUNS!$G$6:$G$1005,MATCH($D1705,RUNS!$A$6:$A$1005,0))="","",INDEX(RUNS!$G$6:$G$1005,MATCH($D1705,RUNS!$A$6:$A$1005,0))),""))</f>
        <v/>
      </c>
      <c r="O1705" s="33">
        <f>IF($D1705="","",IFERROR(IF(INDEX(RUNS!$H$6:$H$1005,MATCH($D1705,RUNS!$A$6:$A$1005,0))="","",INDEX(RUNS!$H$6:$H$1005,MATCH($D1705,RUNS!$A$6:$A$1005,0))),""))</f>
        <v/>
      </c>
      <c r="P1705" s="33">
        <f>IF($D1705="","",IFERROR(IF(INDEX(RUNS!$J$6:$J$1005,MATCH($D1705,RUNS!$A$6:$A$1005,0))="","",INDEX(RUNS!$J$6:$J$1005,MATCH($D1705,RUNS!$A$6:$A$1005,0))),""))</f>
        <v/>
      </c>
      <c r="Q1705" s="33">
        <f>IF($D1705="","",IFERROR(IF(INDEX(RUNS!$K$6:$K$1005,MATCH($D1705,RUNS!$A$6:$A$1005,0))="","",INDEX(RUNS!$K$6:$K$1005,MATCH($D1705,RUNS!$A$6:$A$1005,0))),""))</f>
        <v/>
      </c>
      <c r="R1705" s="34">
        <f>IF(OR($L1705="",$K1705=""),"",IFERROR(IF(INDEX(PARAMETRES!$H$43:$H$342,MATCH($L1705&amp;"|"&amp;$M1705&amp;"|"&amp;$N1705&amp;"|"&amp;$O1705&amp;"|"&amp;$P1705&amp;"|"&amp;$Q1705&amp;"|"&amp;$K1705,PARAMETRES!$J$43:$J$342,0))="","",INDEX(PARAMETRES!$H$43:$H$342,MATCH($L1705&amp;"|"&amp;$M1705&amp;"|"&amp;$N1705&amp;"|"&amp;$O1705&amp;"|"&amp;$P1705&amp;"|"&amp;$Q1705&amp;"|"&amp;$K1705,PARAMETRES!$J$43:$J$342,0))),""))</f>
        <v/>
      </c>
      <c r="S1705" s="35">
        <f>IF(OR($G1705="",$X1705&lt;&gt;"VALIDE"),"",IFERROR(LOOKUP(2,1/(($B805:$B1704=$B1705)*($G805:$G1704=$G1705)*($X805:$X1704="VALIDE")),$C805:$C1704),""))</f>
        <v/>
      </c>
      <c r="T1705" s="36">
        <f>IF(OR($C1705="",$S1705=""),"",ROUND(($C1705-$S1705+IF($C1705&lt;$S1705,1,0))*1440,0))</f>
        <v/>
      </c>
      <c r="U1705" s="22">
        <f>IF(OR($H1705="",$T1705="",$T1705&lt;=0),"",$H1705*60/$T1705)</f>
        <v/>
      </c>
      <c r="V1705" s="37">
        <f>IF(OR($U1705="",$R1705="",$R1705=0),"",$U1705/$R1705)</f>
        <v/>
      </c>
      <c r="W1705" s="20">
        <f>IF($G1705="","",IF($X1705="CONTEXTE INCOMPLET","CONTEXTE INCOMPLET",IF($X1705="DOUBLON",StatutDoublon,IF($S1705="",StatutInitial,IF($R1705="",StatutStandardManquant,IF($V1705="","DONNEES INSUFFISANTES",IF($V1705&gt;=SeuilConforme,StatutConforme,IF($V1705&gt;=SeuilSurveiller,StatutSurveiller,StatutSousStandard))))))))</f>
        <v/>
      </c>
      <c r="X1705" s="33">
        <f>IF($G1705="","",IF(OR($D1705="",$E1705="",$F1705=""),"CONTEXTE INCOMPLET",IF(COUNTIFS($D805:$D1704,$D1705,$E805:$E1704,$E1705,$F805:$F1704,$F1705,$G805:$G1704,$G1705)&gt;0,"DOUBLON","VALIDE")))</f>
        <v/>
      </c>
    </row>
    <row r="1706" ht="15" customHeight="1">
      <c r="A1706" s="12">
        <f>IF(OR($B1706="",$G1706=""),"",TEXT($B1706,"YYYYMMDD")&amp;"-"&amp;SUBSTITUTE($E1706," ","")&amp;"-"&amp;$F1706&amp;"-"&amp;$G1706)</f>
        <v/>
      </c>
      <c r="B1706" s="15" t="n"/>
      <c r="C1706" s="16" t="n"/>
      <c r="D1706" s="10" t="n"/>
      <c r="E1706" s="9" t="n"/>
      <c r="F1706" s="9" t="n"/>
      <c r="G1706" s="13" t="n"/>
      <c r="H1706" s="21" t="n"/>
      <c r="I1706" s="21" t="n"/>
      <c r="J1706" s="17">
        <f>IF($G1706="","",IFERROR(INDEX(NomsEmployes,MATCH($G1706,MatriculesEmployes,0)),"MATRICULE INCONNU"))</f>
        <v/>
      </c>
      <c r="K1706" s="33">
        <f>IF(OR($D1706="",$F1706=""),"",IFERROR(IF(INDEX(RUNS!$L$6:$S$1005,MATCH($D1706,RUNS!$A$6:$A$1005,0),MATCH("ACTIVITÉ "&amp;$F1706,RUNS!$L$5:$S$5,0))="","",INDEX(RUNS!$L$6:$S$1005,MATCH($D1706,RUNS!$A$6:$A$1005,0),MATCH("ACTIVITÉ "&amp;$F1706,RUNS!$L$5:$S$5,0))),""))</f>
        <v/>
      </c>
      <c r="L1706" s="33">
        <f>IF($D1706="","",IFERROR(IF(INDEX(RUNS!$E$6:$E$1005,MATCH($D1706,RUNS!$A$6:$A$1005,0))="","",INDEX(RUNS!$E$6:$E$1005,MATCH($D1706,RUNS!$A$6:$A$1005,0))),""))</f>
        <v/>
      </c>
      <c r="M1706" s="33">
        <f>IF($D1706="","",IFERROR(IF(INDEX(RUNS!$F$6:$F$1005,MATCH($D1706,RUNS!$A$6:$A$1005,0))="","",INDEX(RUNS!$F$6:$F$1005,MATCH($D1706,RUNS!$A$6:$A$1005,0))),""))</f>
        <v/>
      </c>
      <c r="N1706" s="33">
        <f>IF($D1706="","",IFERROR(IF(INDEX(RUNS!$G$6:$G$1005,MATCH($D1706,RUNS!$A$6:$A$1005,0))="","",INDEX(RUNS!$G$6:$G$1005,MATCH($D1706,RUNS!$A$6:$A$1005,0))),""))</f>
        <v/>
      </c>
      <c r="O1706" s="33">
        <f>IF($D1706="","",IFERROR(IF(INDEX(RUNS!$H$6:$H$1005,MATCH($D1706,RUNS!$A$6:$A$1005,0))="","",INDEX(RUNS!$H$6:$H$1005,MATCH($D1706,RUNS!$A$6:$A$1005,0))),""))</f>
        <v/>
      </c>
      <c r="P1706" s="33">
        <f>IF($D1706="","",IFERROR(IF(INDEX(RUNS!$J$6:$J$1005,MATCH($D1706,RUNS!$A$6:$A$1005,0))="","",INDEX(RUNS!$J$6:$J$1005,MATCH($D1706,RUNS!$A$6:$A$1005,0))),""))</f>
        <v/>
      </c>
      <c r="Q1706" s="33">
        <f>IF($D1706="","",IFERROR(IF(INDEX(RUNS!$K$6:$K$1005,MATCH($D1706,RUNS!$A$6:$A$1005,0))="","",INDEX(RUNS!$K$6:$K$1005,MATCH($D1706,RUNS!$A$6:$A$1005,0))),""))</f>
        <v/>
      </c>
      <c r="R1706" s="34">
        <f>IF(OR($L1706="",$K1706=""),"",IFERROR(IF(INDEX(PARAMETRES!$H$43:$H$342,MATCH($L1706&amp;"|"&amp;$M1706&amp;"|"&amp;$N1706&amp;"|"&amp;$O1706&amp;"|"&amp;$P1706&amp;"|"&amp;$Q1706&amp;"|"&amp;$K1706,PARAMETRES!$J$43:$J$342,0))="","",INDEX(PARAMETRES!$H$43:$H$342,MATCH($L1706&amp;"|"&amp;$M1706&amp;"|"&amp;$N1706&amp;"|"&amp;$O1706&amp;"|"&amp;$P1706&amp;"|"&amp;$Q1706&amp;"|"&amp;$K1706,PARAMETRES!$J$43:$J$342,0))),""))</f>
        <v/>
      </c>
      <c r="S1706" s="35">
        <f>IF(OR($G1706="",$X1706&lt;&gt;"VALIDE"),"",IFERROR(LOOKUP(2,1/(($B806:$B1705=$B1706)*($G806:$G1705=$G1706)*($X806:$X1705="VALIDE")),$C806:$C1705),""))</f>
        <v/>
      </c>
      <c r="T1706" s="36">
        <f>IF(OR($C1706="",$S1706=""),"",ROUND(($C1706-$S1706+IF($C1706&lt;$S1706,1,0))*1440,0))</f>
        <v/>
      </c>
      <c r="U1706" s="22">
        <f>IF(OR($H1706="",$T1706="",$T1706&lt;=0),"",$H1706*60/$T1706)</f>
        <v/>
      </c>
      <c r="V1706" s="37">
        <f>IF(OR($U1706="",$R1706="",$R1706=0),"",$U1706/$R1706)</f>
        <v/>
      </c>
      <c r="W1706" s="20">
        <f>IF($G1706="","",IF($X1706="CONTEXTE INCOMPLET","CONTEXTE INCOMPLET",IF($X1706="DOUBLON",StatutDoublon,IF($S1706="",StatutInitial,IF($R1706="",StatutStandardManquant,IF($V1706="","DONNEES INSUFFISANTES",IF($V1706&gt;=SeuilConforme,StatutConforme,IF($V1706&gt;=SeuilSurveiller,StatutSurveiller,StatutSousStandard))))))))</f>
        <v/>
      </c>
      <c r="X1706" s="33">
        <f>IF($G1706="","",IF(OR($D1706="",$E1706="",$F1706=""),"CONTEXTE INCOMPLET",IF(COUNTIFS($D806:$D1705,$D1706,$E806:$E1705,$E1706,$F806:$F1705,$F1706,$G806:$G1705,$G1706)&gt;0,"DOUBLON","VALIDE")))</f>
        <v/>
      </c>
    </row>
    <row r="1707" ht="15" customHeight="1">
      <c r="A1707" s="12">
        <f>IF(OR($B1707="",$G1707=""),"",TEXT($B1707,"YYYYMMDD")&amp;"-"&amp;SUBSTITUTE($E1707," ","")&amp;"-"&amp;$F1707&amp;"-"&amp;$G1707)</f>
        <v/>
      </c>
      <c r="B1707" s="15" t="n"/>
      <c r="C1707" s="16" t="n"/>
      <c r="D1707" s="10" t="n"/>
      <c r="E1707" s="9" t="n"/>
      <c r="F1707" s="9" t="n"/>
      <c r="G1707" s="13" t="n"/>
      <c r="H1707" s="21" t="n"/>
      <c r="I1707" s="21" t="n"/>
      <c r="J1707" s="17">
        <f>IF($G1707="","",IFERROR(INDEX(NomsEmployes,MATCH($G1707,MatriculesEmployes,0)),"MATRICULE INCONNU"))</f>
        <v/>
      </c>
      <c r="K1707" s="33">
        <f>IF(OR($D1707="",$F1707=""),"",IFERROR(IF(INDEX(RUNS!$L$6:$S$1005,MATCH($D1707,RUNS!$A$6:$A$1005,0),MATCH("ACTIVITÉ "&amp;$F1707,RUNS!$L$5:$S$5,0))="","",INDEX(RUNS!$L$6:$S$1005,MATCH($D1707,RUNS!$A$6:$A$1005,0),MATCH("ACTIVITÉ "&amp;$F1707,RUNS!$L$5:$S$5,0))),""))</f>
        <v/>
      </c>
      <c r="L1707" s="33">
        <f>IF($D1707="","",IFERROR(IF(INDEX(RUNS!$E$6:$E$1005,MATCH($D1707,RUNS!$A$6:$A$1005,0))="","",INDEX(RUNS!$E$6:$E$1005,MATCH($D1707,RUNS!$A$6:$A$1005,0))),""))</f>
        <v/>
      </c>
      <c r="M1707" s="33">
        <f>IF($D1707="","",IFERROR(IF(INDEX(RUNS!$F$6:$F$1005,MATCH($D1707,RUNS!$A$6:$A$1005,0))="","",INDEX(RUNS!$F$6:$F$1005,MATCH($D1707,RUNS!$A$6:$A$1005,0))),""))</f>
        <v/>
      </c>
      <c r="N1707" s="33">
        <f>IF($D1707="","",IFERROR(IF(INDEX(RUNS!$G$6:$G$1005,MATCH($D1707,RUNS!$A$6:$A$1005,0))="","",INDEX(RUNS!$G$6:$G$1005,MATCH($D1707,RUNS!$A$6:$A$1005,0))),""))</f>
        <v/>
      </c>
      <c r="O1707" s="33">
        <f>IF($D1707="","",IFERROR(IF(INDEX(RUNS!$H$6:$H$1005,MATCH($D1707,RUNS!$A$6:$A$1005,0))="","",INDEX(RUNS!$H$6:$H$1005,MATCH($D1707,RUNS!$A$6:$A$1005,0))),""))</f>
        <v/>
      </c>
      <c r="P1707" s="33">
        <f>IF($D1707="","",IFERROR(IF(INDEX(RUNS!$J$6:$J$1005,MATCH($D1707,RUNS!$A$6:$A$1005,0))="","",INDEX(RUNS!$J$6:$J$1005,MATCH($D1707,RUNS!$A$6:$A$1005,0))),""))</f>
        <v/>
      </c>
      <c r="Q1707" s="33">
        <f>IF($D1707="","",IFERROR(IF(INDEX(RUNS!$K$6:$K$1005,MATCH($D1707,RUNS!$A$6:$A$1005,0))="","",INDEX(RUNS!$K$6:$K$1005,MATCH($D1707,RUNS!$A$6:$A$1005,0))),""))</f>
        <v/>
      </c>
      <c r="R1707" s="34">
        <f>IF(OR($L1707="",$K1707=""),"",IFERROR(IF(INDEX(PARAMETRES!$H$43:$H$342,MATCH($L1707&amp;"|"&amp;$M1707&amp;"|"&amp;$N1707&amp;"|"&amp;$O1707&amp;"|"&amp;$P1707&amp;"|"&amp;$Q1707&amp;"|"&amp;$K1707,PARAMETRES!$J$43:$J$342,0))="","",INDEX(PARAMETRES!$H$43:$H$342,MATCH($L1707&amp;"|"&amp;$M1707&amp;"|"&amp;$N1707&amp;"|"&amp;$O1707&amp;"|"&amp;$P1707&amp;"|"&amp;$Q1707&amp;"|"&amp;$K1707,PARAMETRES!$J$43:$J$342,0))),""))</f>
        <v/>
      </c>
      <c r="S1707" s="35">
        <f>IF(OR($G1707="",$X1707&lt;&gt;"VALIDE"),"",IFERROR(LOOKUP(2,1/(($B807:$B1706=$B1707)*($G807:$G1706=$G1707)*($X807:$X1706="VALIDE")),$C807:$C1706),""))</f>
        <v/>
      </c>
      <c r="T1707" s="36">
        <f>IF(OR($C1707="",$S1707=""),"",ROUND(($C1707-$S1707+IF($C1707&lt;$S1707,1,0))*1440,0))</f>
        <v/>
      </c>
      <c r="U1707" s="22">
        <f>IF(OR($H1707="",$T1707="",$T1707&lt;=0),"",$H1707*60/$T1707)</f>
        <v/>
      </c>
      <c r="V1707" s="37">
        <f>IF(OR($U1707="",$R1707="",$R1707=0),"",$U1707/$R1707)</f>
        <v/>
      </c>
      <c r="W1707" s="20">
        <f>IF($G1707="","",IF($X1707="CONTEXTE INCOMPLET","CONTEXTE INCOMPLET",IF($X1707="DOUBLON",StatutDoublon,IF($S1707="",StatutInitial,IF($R1707="",StatutStandardManquant,IF($V1707="","DONNEES INSUFFISANTES",IF($V1707&gt;=SeuilConforme,StatutConforme,IF($V1707&gt;=SeuilSurveiller,StatutSurveiller,StatutSousStandard))))))))</f>
        <v/>
      </c>
      <c r="X1707" s="33">
        <f>IF($G1707="","",IF(OR($D1707="",$E1707="",$F1707=""),"CONTEXTE INCOMPLET",IF(COUNTIFS($D807:$D1706,$D1707,$E807:$E1706,$E1707,$F807:$F1706,$F1707,$G807:$G1706,$G1707)&gt;0,"DOUBLON","VALIDE")))</f>
        <v/>
      </c>
    </row>
    <row r="1708" ht="15" customHeight="1">
      <c r="A1708" s="12">
        <f>IF(OR($B1708="",$G1708=""),"",TEXT($B1708,"YYYYMMDD")&amp;"-"&amp;SUBSTITUTE($E1708," ","")&amp;"-"&amp;$F1708&amp;"-"&amp;$G1708)</f>
        <v/>
      </c>
      <c r="B1708" s="15" t="n"/>
      <c r="C1708" s="16" t="n"/>
      <c r="D1708" s="10" t="n"/>
      <c r="E1708" s="9" t="n"/>
      <c r="F1708" s="9" t="n"/>
      <c r="G1708" s="13" t="n"/>
      <c r="H1708" s="21" t="n"/>
      <c r="I1708" s="21" t="n"/>
      <c r="J1708" s="17">
        <f>IF($G1708="","",IFERROR(INDEX(NomsEmployes,MATCH($G1708,MatriculesEmployes,0)),"MATRICULE INCONNU"))</f>
        <v/>
      </c>
      <c r="K1708" s="33">
        <f>IF(OR($D1708="",$F1708=""),"",IFERROR(IF(INDEX(RUNS!$L$6:$S$1005,MATCH($D1708,RUNS!$A$6:$A$1005,0),MATCH("ACTIVITÉ "&amp;$F1708,RUNS!$L$5:$S$5,0))="","",INDEX(RUNS!$L$6:$S$1005,MATCH($D1708,RUNS!$A$6:$A$1005,0),MATCH("ACTIVITÉ "&amp;$F1708,RUNS!$L$5:$S$5,0))),""))</f>
        <v/>
      </c>
      <c r="L1708" s="33">
        <f>IF($D1708="","",IFERROR(IF(INDEX(RUNS!$E$6:$E$1005,MATCH($D1708,RUNS!$A$6:$A$1005,0))="","",INDEX(RUNS!$E$6:$E$1005,MATCH($D1708,RUNS!$A$6:$A$1005,0))),""))</f>
        <v/>
      </c>
      <c r="M1708" s="33">
        <f>IF($D1708="","",IFERROR(IF(INDEX(RUNS!$F$6:$F$1005,MATCH($D1708,RUNS!$A$6:$A$1005,0))="","",INDEX(RUNS!$F$6:$F$1005,MATCH($D1708,RUNS!$A$6:$A$1005,0))),""))</f>
        <v/>
      </c>
      <c r="N1708" s="33">
        <f>IF($D1708="","",IFERROR(IF(INDEX(RUNS!$G$6:$G$1005,MATCH($D1708,RUNS!$A$6:$A$1005,0))="","",INDEX(RUNS!$G$6:$G$1005,MATCH($D1708,RUNS!$A$6:$A$1005,0))),""))</f>
        <v/>
      </c>
      <c r="O1708" s="33">
        <f>IF($D1708="","",IFERROR(IF(INDEX(RUNS!$H$6:$H$1005,MATCH($D1708,RUNS!$A$6:$A$1005,0))="","",INDEX(RUNS!$H$6:$H$1005,MATCH($D1708,RUNS!$A$6:$A$1005,0))),""))</f>
        <v/>
      </c>
      <c r="P1708" s="33">
        <f>IF($D1708="","",IFERROR(IF(INDEX(RUNS!$J$6:$J$1005,MATCH($D1708,RUNS!$A$6:$A$1005,0))="","",INDEX(RUNS!$J$6:$J$1005,MATCH($D1708,RUNS!$A$6:$A$1005,0))),""))</f>
        <v/>
      </c>
      <c r="Q1708" s="33">
        <f>IF($D1708="","",IFERROR(IF(INDEX(RUNS!$K$6:$K$1005,MATCH($D1708,RUNS!$A$6:$A$1005,0))="","",INDEX(RUNS!$K$6:$K$1005,MATCH($D1708,RUNS!$A$6:$A$1005,0))),""))</f>
        <v/>
      </c>
      <c r="R1708" s="34">
        <f>IF(OR($L1708="",$K1708=""),"",IFERROR(IF(INDEX(PARAMETRES!$H$43:$H$342,MATCH($L1708&amp;"|"&amp;$M1708&amp;"|"&amp;$N1708&amp;"|"&amp;$O1708&amp;"|"&amp;$P1708&amp;"|"&amp;$Q1708&amp;"|"&amp;$K1708,PARAMETRES!$J$43:$J$342,0))="","",INDEX(PARAMETRES!$H$43:$H$342,MATCH($L1708&amp;"|"&amp;$M1708&amp;"|"&amp;$N1708&amp;"|"&amp;$O1708&amp;"|"&amp;$P1708&amp;"|"&amp;$Q1708&amp;"|"&amp;$K1708,PARAMETRES!$J$43:$J$342,0))),""))</f>
        <v/>
      </c>
      <c r="S1708" s="35">
        <f>IF(OR($G1708="",$X1708&lt;&gt;"VALIDE"),"",IFERROR(LOOKUP(2,1/(($B808:$B1707=$B1708)*($G808:$G1707=$G1708)*($X808:$X1707="VALIDE")),$C808:$C1707),""))</f>
        <v/>
      </c>
      <c r="T1708" s="36">
        <f>IF(OR($C1708="",$S1708=""),"",ROUND(($C1708-$S1708+IF($C1708&lt;$S1708,1,0))*1440,0))</f>
        <v/>
      </c>
      <c r="U1708" s="22">
        <f>IF(OR($H1708="",$T1708="",$T1708&lt;=0),"",$H1708*60/$T1708)</f>
        <v/>
      </c>
      <c r="V1708" s="37">
        <f>IF(OR($U1708="",$R1708="",$R1708=0),"",$U1708/$R1708)</f>
        <v/>
      </c>
      <c r="W1708" s="20">
        <f>IF($G1708="","",IF($X1708="CONTEXTE INCOMPLET","CONTEXTE INCOMPLET",IF($X1708="DOUBLON",StatutDoublon,IF($S1708="",StatutInitial,IF($R1708="",StatutStandardManquant,IF($V1708="","DONNEES INSUFFISANTES",IF($V1708&gt;=SeuilConforme,StatutConforme,IF($V1708&gt;=SeuilSurveiller,StatutSurveiller,StatutSousStandard))))))))</f>
        <v/>
      </c>
      <c r="X1708" s="33">
        <f>IF($G1708="","",IF(OR($D1708="",$E1708="",$F1708=""),"CONTEXTE INCOMPLET",IF(COUNTIFS($D808:$D1707,$D1708,$E808:$E1707,$E1708,$F808:$F1707,$F1708,$G808:$G1707,$G1708)&gt;0,"DOUBLON","VALIDE")))</f>
        <v/>
      </c>
    </row>
    <row r="1709" ht="15" customHeight="1">
      <c r="A1709" s="12">
        <f>IF(OR($B1709="",$G1709=""),"",TEXT($B1709,"YYYYMMDD")&amp;"-"&amp;SUBSTITUTE($E1709," ","")&amp;"-"&amp;$F1709&amp;"-"&amp;$G1709)</f>
        <v/>
      </c>
      <c r="B1709" s="15" t="n"/>
      <c r="C1709" s="16" t="n"/>
      <c r="D1709" s="10" t="n"/>
      <c r="E1709" s="9" t="n"/>
      <c r="F1709" s="9" t="n"/>
      <c r="G1709" s="13" t="n"/>
      <c r="H1709" s="21" t="n"/>
      <c r="I1709" s="21" t="n"/>
      <c r="J1709" s="17">
        <f>IF($G1709="","",IFERROR(INDEX(NomsEmployes,MATCH($G1709,MatriculesEmployes,0)),"MATRICULE INCONNU"))</f>
        <v/>
      </c>
      <c r="K1709" s="33">
        <f>IF(OR($D1709="",$F1709=""),"",IFERROR(IF(INDEX(RUNS!$L$6:$S$1005,MATCH($D1709,RUNS!$A$6:$A$1005,0),MATCH("ACTIVITÉ "&amp;$F1709,RUNS!$L$5:$S$5,0))="","",INDEX(RUNS!$L$6:$S$1005,MATCH($D1709,RUNS!$A$6:$A$1005,0),MATCH("ACTIVITÉ "&amp;$F1709,RUNS!$L$5:$S$5,0))),""))</f>
        <v/>
      </c>
      <c r="L1709" s="33">
        <f>IF($D1709="","",IFERROR(IF(INDEX(RUNS!$E$6:$E$1005,MATCH($D1709,RUNS!$A$6:$A$1005,0))="","",INDEX(RUNS!$E$6:$E$1005,MATCH($D1709,RUNS!$A$6:$A$1005,0))),""))</f>
        <v/>
      </c>
      <c r="M1709" s="33">
        <f>IF($D1709="","",IFERROR(IF(INDEX(RUNS!$F$6:$F$1005,MATCH($D1709,RUNS!$A$6:$A$1005,0))="","",INDEX(RUNS!$F$6:$F$1005,MATCH($D1709,RUNS!$A$6:$A$1005,0))),""))</f>
        <v/>
      </c>
      <c r="N1709" s="33">
        <f>IF($D1709="","",IFERROR(IF(INDEX(RUNS!$G$6:$G$1005,MATCH($D1709,RUNS!$A$6:$A$1005,0))="","",INDEX(RUNS!$G$6:$G$1005,MATCH($D1709,RUNS!$A$6:$A$1005,0))),""))</f>
        <v/>
      </c>
      <c r="O1709" s="33">
        <f>IF($D1709="","",IFERROR(IF(INDEX(RUNS!$H$6:$H$1005,MATCH($D1709,RUNS!$A$6:$A$1005,0))="","",INDEX(RUNS!$H$6:$H$1005,MATCH($D1709,RUNS!$A$6:$A$1005,0))),""))</f>
        <v/>
      </c>
      <c r="P1709" s="33">
        <f>IF($D1709="","",IFERROR(IF(INDEX(RUNS!$J$6:$J$1005,MATCH($D1709,RUNS!$A$6:$A$1005,0))="","",INDEX(RUNS!$J$6:$J$1005,MATCH($D1709,RUNS!$A$6:$A$1005,0))),""))</f>
        <v/>
      </c>
      <c r="Q1709" s="33">
        <f>IF($D1709="","",IFERROR(IF(INDEX(RUNS!$K$6:$K$1005,MATCH($D1709,RUNS!$A$6:$A$1005,0))="","",INDEX(RUNS!$K$6:$K$1005,MATCH($D1709,RUNS!$A$6:$A$1005,0))),""))</f>
        <v/>
      </c>
      <c r="R1709" s="34">
        <f>IF(OR($L1709="",$K1709=""),"",IFERROR(IF(INDEX(PARAMETRES!$H$43:$H$342,MATCH($L1709&amp;"|"&amp;$M1709&amp;"|"&amp;$N1709&amp;"|"&amp;$O1709&amp;"|"&amp;$P1709&amp;"|"&amp;$Q1709&amp;"|"&amp;$K1709,PARAMETRES!$J$43:$J$342,0))="","",INDEX(PARAMETRES!$H$43:$H$342,MATCH($L1709&amp;"|"&amp;$M1709&amp;"|"&amp;$N1709&amp;"|"&amp;$O1709&amp;"|"&amp;$P1709&amp;"|"&amp;$Q1709&amp;"|"&amp;$K1709,PARAMETRES!$J$43:$J$342,0))),""))</f>
        <v/>
      </c>
      <c r="S1709" s="35">
        <f>IF(OR($G1709="",$X1709&lt;&gt;"VALIDE"),"",IFERROR(LOOKUP(2,1/(($B809:$B1708=$B1709)*($G809:$G1708=$G1709)*($X809:$X1708="VALIDE")),$C809:$C1708),""))</f>
        <v/>
      </c>
      <c r="T1709" s="36">
        <f>IF(OR($C1709="",$S1709=""),"",ROUND(($C1709-$S1709+IF($C1709&lt;$S1709,1,0))*1440,0))</f>
        <v/>
      </c>
      <c r="U1709" s="22">
        <f>IF(OR($H1709="",$T1709="",$T1709&lt;=0),"",$H1709*60/$T1709)</f>
        <v/>
      </c>
      <c r="V1709" s="37">
        <f>IF(OR($U1709="",$R1709="",$R1709=0),"",$U1709/$R1709)</f>
        <v/>
      </c>
      <c r="W1709" s="20">
        <f>IF($G1709="","",IF($X1709="CONTEXTE INCOMPLET","CONTEXTE INCOMPLET",IF($X1709="DOUBLON",StatutDoublon,IF($S1709="",StatutInitial,IF($R1709="",StatutStandardManquant,IF($V1709="","DONNEES INSUFFISANTES",IF($V1709&gt;=SeuilConforme,StatutConforme,IF($V1709&gt;=SeuilSurveiller,StatutSurveiller,StatutSousStandard))))))))</f>
        <v/>
      </c>
      <c r="X1709" s="33">
        <f>IF($G1709="","",IF(OR($D1709="",$E1709="",$F1709=""),"CONTEXTE INCOMPLET",IF(COUNTIFS($D809:$D1708,$D1709,$E809:$E1708,$E1709,$F809:$F1708,$F1709,$G809:$G1708,$G1709)&gt;0,"DOUBLON","VALIDE")))</f>
        <v/>
      </c>
    </row>
    <row r="1710" ht="15" customHeight="1">
      <c r="A1710" s="12">
        <f>IF(OR($B1710="",$G1710=""),"",TEXT($B1710,"YYYYMMDD")&amp;"-"&amp;SUBSTITUTE($E1710," ","")&amp;"-"&amp;$F1710&amp;"-"&amp;$G1710)</f>
        <v/>
      </c>
      <c r="B1710" s="15" t="n"/>
      <c r="C1710" s="16" t="n"/>
      <c r="D1710" s="10" t="n"/>
      <c r="E1710" s="9" t="n"/>
      <c r="F1710" s="9" t="n"/>
      <c r="G1710" s="13" t="n"/>
      <c r="H1710" s="21" t="n"/>
      <c r="I1710" s="21" t="n"/>
      <c r="J1710" s="17">
        <f>IF($G1710="","",IFERROR(INDEX(NomsEmployes,MATCH($G1710,MatriculesEmployes,0)),"MATRICULE INCONNU"))</f>
        <v/>
      </c>
      <c r="K1710" s="33">
        <f>IF(OR($D1710="",$F1710=""),"",IFERROR(IF(INDEX(RUNS!$L$6:$S$1005,MATCH($D1710,RUNS!$A$6:$A$1005,0),MATCH("ACTIVITÉ "&amp;$F1710,RUNS!$L$5:$S$5,0))="","",INDEX(RUNS!$L$6:$S$1005,MATCH($D1710,RUNS!$A$6:$A$1005,0),MATCH("ACTIVITÉ "&amp;$F1710,RUNS!$L$5:$S$5,0))),""))</f>
        <v/>
      </c>
      <c r="L1710" s="33">
        <f>IF($D1710="","",IFERROR(IF(INDEX(RUNS!$E$6:$E$1005,MATCH($D1710,RUNS!$A$6:$A$1005,0))="","",INDEX(RUNS!$E$6:$E$1005,MATCH($D1710,RUNS!$A$6:$A$1005,0))),""))</f>
        <v/>
      </c>
      <c r="M1710" s="33">
        <f>IF($D1710="","",IFERROR(IF(INDEX(RUNS!$F$6:$F$1005,MATCH($D1710,RUNS!$A$6:$A$1005,0))="","",INDEX(RUNS!$F$6:$F$1005,MATCH($D1710,RUNS!$A$6:$A$1005,0))),""))</f>
        <v/>
      </c>
      <c r="N1710" s="33">
        <f>IF($D1710="","",IFERROR(IF(INDEX(RUNS!$G$6:$G$1005,MATCH($D1710,RUNS!$A$6:$A$1005,0))="","",INDEX(RUNS!$G$6:$G$1005,MATCH($D1710,RUNS!$A$6:$A$1005,0))),""))</f>
        <v/>
      </c>
      <c r="O1710" s="33">
        <f>IF($D1710="","",IFERROR(IF(INDEX(RUNS!$H$6:$H$1005,MATCH($D1710,RUNS!$A$6:$A$1005,0))="","",INDEX(RUNS!$H$6:$H$1005,MATCH($D1710,RUNS!$A$6:$A$1005,0))),""))</f>
        <v/>
      </c>
      <c r="P1710" s="33">
        <f>IF($D1710="","",IFERROR(IF(INDEX(RUNS!$J$6:$J$1005,MATCH($D1710,RUNS!$A$6:$A$1005,0))="","",INDEX(RUNS!$J$6:$J$1005,MATCH($D1710,RUNS!$A$6:$A$1005,0))),""))</f>
        <v/>
      </c>
      <c r="Q1710" s="33">
        <f>IF($D1710="","",IFERROR(IF(INDEX(RUNS!$K$6:$K$1005,MATCH($D1710,RUNS!$A$6:$A$1005,0))="","",INDEX(RUNS!$K$6:$K$1005,MATCH($D1710,RUNS!$A$6:$A$1005,0))),""))</f>
        <v/>
      </c>
      <c r="R1710" s="34">
        <f>IF(OR($L1710="",$K1710=""),"",IFERROR(IF(INDEX(PARAMETRES!$H$43:$H$342,MATCH($L1710&amp;"|"&amp;$M1710&amp;"|"&amp;$N1710&amp;"|"&amp;$O1710&amp;"|"&amp;$P1710&amp;"|"&amp;$Q1710&amp;"|"&amp;$K1710,PARAMETRES!$J$43:$J$342,0))="","",INDEX(PARAMETRES!$H$43:$H$342,MATCH($L1710&amp;"|"&amp;$M1710&amp;"|"&amp;$N1710&amp;"|"&amp;$O1710&amp;"|"&amp;$P1710&amp;"|"&amp;$Q1710&amp;"|"&amp;$K1710,PARAMETRES!$J$43:$J$342,0))),""))</f>
        <v/>
      </c>
      <c r="S1710" s="35">
        <f>IF(OR($G1710="",$X1710&lt;&gt;"VALIDE"),"",IFERROR(LOOKUP(2,1/(($B810:$B1709=$B1710)*($G810:$G1709=$G1710)*($X810:$X1709="VALIDE")),$C810:$C1709),""))</f>
        <v/>
      </c>
      <c r="T1710" s="36">
        <f>IF(OR($C1710="",$S1710=""),"",ROUND(($C1710-$S1710+IF($C1710&lt;$S1710,1,0))*1440,0))</f>
        <v/>
      </c>
      <c r="U1710" s="22">
        <f>IF(OR($H1710="",$T1710="",$T1710&lt;=0),"",$H1710*60/$T1710)</f>
        <v/>
      </c>
      <c r="V1710" s="37">
        <f>IF(OR($U1710="",$R1710="",$R1710=0),"",$U1710/$R1710)</f>
        <v/>
      </c>
      <c r="W1710" s="20">
        <f>IF($G1710="","",IF($X1710="CONTEXTE INCOMPLET","CONTEXTE INCOMPLET",IF($X1710="DOUBLON",StatutDoublon,IF($S1710="",StatutInitial,IF($R1710="",StatutStandardManquant,IF($V1710="","DONNEES INSUFFISANTES",IF($V1710&gt;=SeuilConforme,StatutConforme,IF($V1710&gt;=SeuilSurveiller,StatutSurveiller,StatutSousStandard))))))))</f>
        <v/>
      </c>
      <c r="X1710" s="33">
        <f>IF($G1710="","",IF(OR($D1710="",$E1710="",$F1710=""),"CONTEXTE INCOMPLET",IF(COUNTIFS($D810:$D1709,$D1710,$E810:$E1709,$E1710,$F810:$F1709,$F1710,$G810:$G1709,$G1710)&gt;0,"DOUBLON","VALIDE")))</f>
        <v/>
      </c>
    </row>
    <row r="1711" ht="15" customHeight="1">
      <c r="A1711" s="12">
        <f>IF(OR($B1711="",$G1711=""),"",TEXT($B1711,"YYYYMMDD")&amp;"-"&amp;SUBSTITUTE($E1711," ","")&amp;"-"&amp;$F1711&amp;"-"&amp;$G1711)</f>
        <v/>
      </c>
      <c r="B1711" s="15" t="n"/>
      <c r="C1711" s="16" t="n"/>
      <c r="D1711" s="10" t="n"/>
      <c r="E1711" s="9" t="n"/>
      <c r="F1711" s="9" t="n"/>
      <c r="G1711" s="13" t="n"/>
      <c r="H1711" s="21" t="n"/>
      <c r="I1711" s="21" t="n"/>
      <c r="J1711" s="17">
        <f>IF($G1711="","",IFERROR(INDEX(NomsEmployes,MATCH($G1711,MatriculesEmployes,0)),"MATRICULE INCONNU"))</f>
        <v/>
      </c>
      <c r="K1711" s="33">
        <f>IF(OR($D1711="",$F1711=""),"",IFERROR(IF(INDEX(RUNS!$L$6:$S$1005,MATCH($D1711,RUNS!$A$6:$A$1005,0),MATCH("ACTIVITÉ "&amp;$F1711,RUNS!$L$5:$S$5,0))="","",INDEX(RUNS!$L$6:$S$1005,MATCH($D1711,RUNS!$A$6:$A$1005,0),MATCH("ACTIVITÉ "&amp;$F1711,RUNS!$L$5:$S$5,0))),""))</f>
        <v/>
      </c>
      <c r="L1711" s="33">
        <f>IF($D1711="","",IFERROR(IF(INDEX(RUNS!$E$6:$E$1005,MATCH($D1711,RUNS!$A$6:$A$1005,0))="","",INDEX(RUNS!$E$6:$E$1005,MATCH($D1711,RUNS!$A$6:$A$1005,0))),""))</f>
        <v/>
      </c>
      <c r="M1711" s="33">
        <f>IF($D1711="","",IFERROR(IF(INDEX(RUNS!$F$6:$F$1005,MATCH($D1711,RUNS!$A$6:$A$1005,0))="","",INDEX(RUNS!$F$6:$F$1005,MATCH($D1711,RUNS!$A$6:$A$1005,0))),""))</f>
        <v/>
      </c>
      <c r="N1711" s="33">
        <f>IF($D1711="","",IFERROR(IF(INDEX(RUNS!$G$6:$G$1005,MATCH($D1711,RUNS!$A$6:$A$1005,0))="","",INDEX(RUNS!$G$6:$G$1005,MATCH($D1711,RUNS!$A$6:$A$1005,0))),""))</f>
        <v/>
      </c>
      <c r="O1711" s="33">
        <f>IF($D1711="","",IFERROR(IF(INDEX(RUNS!$H$6:$H$1005,MATCH($D1711,RUNS!$A$6:$A$1005,0))="","",INDEX(RUNS!$H$6:$H$1005,MATCH($D1711,RUNS!$A$6:$A$1005,0))),""))</f>
        <v/>
      </c>
      <c r="P1711" s="33">
        <f>IF($D1711="","",IFERROR(IF(INDEX(RUNS!$J$6:$J$1005,MATCH($D1711,RUNS!$A$6:$A$1005,0))="","",INDEX(RUNS!$J$6:$J$1005,MATCH($D1711,RUNS!$A$6:$A$1005,0))),""))</f>
        <v/>
      </c>
      <c r="Q1711" s="33">
        <f>IF($D1711="","",IFERROR(IF(INDEX(RUNS!$K$6:$K$1005,MATCH($D1711,RUNS!$A$6:$A$1005,0))="","",INDEX(RUNS!$K$6:$K$1005,MATCH($D1711,RUNS!$A$6:$A$1005,0))),""))</f>
        <v/>
      </c>
      <c r="R1711" s="34">
        <f>IF(OR($L1711="",$K1711=""),"",IFERROR(IF(INDEX(PARAMETRES!$H$43:$H$342,MATCH($L1711&amp;"|"&amp;$M1711&amp;"|"&amp;$N1711&amp;"|"&amp;$O1711&amp;"|"&amp;$P1711&amp;"|"&amp;$Q1711&amp;"|"&amp;$K1711,PARAMETRES!$J$43:$J$342,0))="","",INDEX(PARAMETRES!$H$43:$H$342,MATCH($L1711&amp;"|"&amp;$M1711&amp;"|"&amp;$N1711&amp;"|"&amp;$O1711&amp;"|"&amp;$P1711&amp;"|"&amp;$Q1711&amp;"|"&amp;$K1711,PARAMETRES!$J$43:$J$342,0))),""))</f>
        <v/>
      </c>
      <c r="S1711" s="35">
        <f>IF(OR($G1711="",$X1711&lt;&gt;"VALIDE"),"",IFERROR(LOOKUP(2,1/(($B811:$B1710=$B1711)*($G811:$G1710=$G1711)*($X811:$X1710="VALIDE")),$C811:$C1710),""))</f>
        <v/>
      </c>
      <c r="T1711" s="36">
        <f>IF(OR($C1711="",$S1711=""),"",ROUND(($C1711-$S1711+IF($C1711&lt;$S1711,1,0))*1440,0))</f>
        <v/>
      </c>
      <c r="U1711" s="22">
        <f>IF(OR($H1711="",$T1711="",$T1711&lt;=0),"",$H1711*60/$T1711)</f>
        <v/>
      </c>
      <c r="V1711" s="37">
        <f>IF(OR($U1711="",$R1711="",$R1711=0),"",$U1711/$R1711)</f>
        <v/>
      </c>
      <c r="W1711" s="20">
        <f>IF($G1711="","",IF($X1711="CONTEXTE INCOMPLET","CONTEXTE INCOMPLET",IF($X1711="DOUBLON",StatutDoublon,IF($S1711="",StatutInitial,IF($R1711="",StatutStandardManquant,IF($V1711="","DONNEES INSUFFISANTES",IF($V1711&gt;=SeuilConforme,StatutConforme,IF($V1711&gt;=SeuilSurveiller,StatutSurveiller,StatutSousStandard))))))))</f>
        <v/>
      </c>
      <c r="X1711" s="33">
        <f>IF($G1711="","",IF(OR($D1711="",$E1711="",$F1711=""),"CONTEXTE INCOMPLET",IF(COUNTIFS($D811:$D1710,$D1711,$E811:$E1710,$E1711,$F811:$F1710,$F1711,$G811:$G1710,$G1711)&gt;0,"DOUBLON","VALIDE")))</f>
        <v/>
      </c>
    </row>
    <row r="1712" ht="15" customHeight="1">
      <c r="A1712" s="12">
        <f>IF(OR($B1712="",$G1712=""),"",TEXT($B1712,"YYYYMMDD")&amp;"-"&amp;SUBSTITUTE($E1712," ","")&amp;"-"&amp;$F1712&amp;"-"&amp;$G1712)</f>
        <v/>
      </c>
      <c r="B1712" s="15" t="n"/>
      <c r="C1712" s="16" t="n"/>
      <c r="D1712" s="10" t="n"/>
      <c r="E1712" s="9" t="n"/>
      <c r="F1712" s="9" t="n"/>
      <c r="G1712" s="13" t="n"/>
      <c r="H1712" s="21" t="n"/>
      <c r="I1712" s="21" t="n"/>
      <c r="J1712" s="17">
        <f>IF($G1712="","",IFERROR(INDEX(NomsEmployes,MATCH($G1712,MatriculesEmployes,0)),"MATRICULE INCONNU"))</f>
        <v/>
      </c>
      <c r="K1712" s="33">
        <f>IF(OR($D1712="",$F1712=""),"",IFERROR(IF(INDEX(RUNS!$L$6:$S$1005,MATCH($D1712,RUNS!$A$6:$A$1005,0),MATCH("ACTIVITÉ "&amp;$F1712,RUNS!$L$5:$S$5,0))="","",INDEX(RUNS!$L$6:$S$1005,MATCH($D1712,RUNS!$A$6:$A$1005,0),MATCH("ACTIVITÉ "&amp;$F1712,RUNS!$L$5:$S$5,0))),""))</f>
        <v/>
      </c>
      <c r="L1712" s="33">
        <f>IF($D1712="","",IFERROR(IF(INDEX(RUNS!$E$6:$E$1005,MATCH($D1712,RUNS!$A$6:$A$1005,0))="","",INDEX(RUNS!$E$6:$E$1005,MATCH($D1712,RUNS!$A$6:$A$1005,0))),""))</f>
        <v/>
      </c>
      <c r="M1712" s="33">
        <f>IF($D1712="","",IFERROR(IF(INDEX(RUNS!$F$6:$F$1005,MATCH($D1712,RUNS!$A$6:$A$1005,0))="","",INDEX(RUNS!$F$6:$F$1005,MATCH($D1712,RUNS!$A$6:$A$1005,0))),""))</f>
        <v/>
      </c>
      <c r="N1712" s="33">
        <f>IF($D1712="","",IFERROR(IF(INDEX(RUNS!$G$6:$G$1005,MATCH($D1712,RUNS!$A$6:$A$1005,0))="","",INDEX(RUNS!$G$6:$G$1005,MATCH($D1712,RUNS!$A$6:$A$1005,0))),""))</f>
        <v/>
      </c>
      <c r="O1712" s="33">
        <f>IF($D1712="","",IFERROR(IF(INDEX(RUNS!$H$6:$H$1005,MATCH($D1712,RUNS!$A$6:$A$1005,0))="","",INDEX(RUNS!$H$6:$H$1005,MATCH($D1712,RUNS!$A$6:$A$1005,0))),""))</f>
        <v/>
      </c>
      <c r="P1712" s="33">
        <f>IF($D1712="","",IFERROR(IF(INDEX(RUNS!$J$6:$J$1005,MATCH($D1712,RUNS!$A$6:$A$1005,0))="","",INDEX(RUNS!$J$6:$J$1005,MATCH($D1712,RUNS!$A$6:$A$1005,0))),""))</f>
        <v/>
      </c>
      <c r="Q1712" s="33">
        <f>IF($D1712="","",IFERROR(IF(INDEX(RUNS!$K$6:$K$1005,MATCH($D1712,RUNS!$A$6:$A$1005,0))="","",INDEX(RUNS!$K$6:$K$1005,MATCH($D1712,RUNS!$A$6:$A$1005,0))),""))</f>
        <v/>
      </c>
      <c r="R1712" s="34">
        <f>IF(OR($L1712="",$K1712=""),"",IFERROR(IF(INDEX(PARAMETRES!$H$43:$H$342,MATCH($L1712&amp;"|"&amp;$M1712&amp;"|"&amp;$N1712&amp;"|"&amp;$O1712&amp;"|"&amp;$P1712&amp;"|"&amp;$Q1712&amp;"|"&amp;$K1712,PARAMETRES!$J$43:$J$342,0))="","",INDEX(PARAMETRES!$H$43:$H$342,MATCH($L1712&amp;"|"&amp;$M1712&amp;"|"&amp;$N1712&amp;"|"&amp;$O1712&amp;"|"&amp;$P1712&amp;"|"&amp;$Q1712&amp;"|"&amp;$K1712,PARAMETRES!$J$43:$J$342,0))),""))</f>
        <v/>
      </c>
      <c r="S1712" s="35">
        <f>IF(OR($G1712="",$X1712&lt;&gt;"VALIDE"),"",IFERROR(LOOKUP(2,1/(($B812:$B1711=$B1712)*($G812:$G1711=$G1712)*($X812:$X1711="VALIDE")),$C812:$C1711),""))</f>
        <v/>
      </c>
      <c r="T1712" s="36">
        <f>IF(OR($C1712="",$S1712=""),"",ROUND(($C1712-$S1712+IF($C1712&lt;$S1712,1,0))*1440,0))</f>
        <v/>
      </c>
      <c r="U1712" s="22">
        <f>IF(OR($H1712="",$T1712="",$T1712&lt;=0),"",$H1712*60/$T1712)</f>
        <v/>
      </c>
      <c r="V1712" s="37">
        <f>IF(OR($U1712="",$R1712="",$R1712=0),"",$U1712/$R1712)</f>
        <v/>
      </c>
      <c r="W1712" s="20">
        <f>IF($G1712="","",IF($X1712="CONTEXTE INCOMPLET","CONTEXTE INCOMPLET",IF($X1712="DOUBLON",StatutDoublon,IF($S1712="",StatutInitial,IF($R1712="",StatutStandardManquant,IF($V1712="","DONNEES INSUFFISANTES",IF($V1712&gt;=SeuilConforme,StatutConforme,IF($V1712&gt;=SeuilSurveiller,StatutSurveiller,StatutSousStandard))))))))</f>
        <v/>
      </c>
      <c r="X1712" s="33">
        <f>IF($G1712="","",IF(OR($D1712="",$E1712="",$F1712=""),"CONTEXTE INCOMPLET",IF(COUNTIFS($D812:$D1711,$D1712,$E812:$E1711,$E1712,$F812:$F1711,$F1712,$G812:$G1711,$G1712)&gt;0,"DOUBLON","VALIDE")))</f>
        <v/>
      </c>
    </row>
    <row r="1713" ht="15" customHeight="1">
      <c r="A1713" s="12">
        <f>IF(OR($B1713="",$G1713=""),"",TEXT($B1713,"YYYYMMDD")&amp;"-"&amp;SUBSTITUTE($E1713," ","")&amp;"-"&amp;$F1713&amp;"-"&amp;$G1713)</f>
        <v/>
      </c>
      <c r="B1713" s="15" t="n"/>
      <c r="C1713" s="16" t="n"/>
      <c r="D1713" s="10" t="n"/>
      <c r="E1713" s="9" t="n"/>
      <c r="F1713" s="9" t="n"/>
      <c r="G1713" s="13" t="n"/>
      <c r="H1713" s="21" t="n"/>
      <c r="I1713" s="21" t="n"/>
      <c r="J1713" s="17">
        <f>IF($G1713="","",IFERROR(INDEX(NomsEmployes,MATCH($G1713,MatriculesEmployes,0)),"MATRICULE INCONNU"))</f>
        <v/>
      </c>
      <c r="K1713" s="33">
        <f>IF(OR($D1713="",$F1713=""),"",IFERROR(IF(INDEX(RUNS!$L$6:$S$1005,MATCH($D1713,RUNS!$A$6:$A$1005,0),MATCH("ACTIVITÉ "&amp;$F1713,RUNS!$L$5:$S$5,0))="","",INDEX(RUNS!$L$6:$S$1005,MATCH($D1713,RUNS!$A$6:$A$1005,0),MATCH("ACTIVITÉ "&amp;$F1713,RUNS!$L$5:$S$5,0))),""))</f>
        <v/>
      </c>
      <c r="L1713" s="33">
        <f>IF($D1713="","",IFERROR(IF(INDEX(RUNS!$E$6:$E$1005,MATCH($D1713,RUNS!$A$6:$A$1005,0))="","",INDEX(RUNS!$E$6:$E$1005,MATCH($D1713,RUNS!$A$6:$A$1005,0))),""))</f>
        <v/>
      </c>
      <c r="M1713" s="33">
        <f>IF($D1713="","",IFERROR(IF(INDEX(RUNS!$F$6:$F$1005,MATCH($D1713,RUNS!$A$6:$A$1005,0))="","",INDEX(RUNS!$F$6:$F$1005,MATCH($D1713,RUNS!$A$6:$A$1005,0))),""))</f>
        <v/>
      </c>
      <c r="N1713" s="33">
        <f>IF($D1713="","",IFERROR(IF(INDEX(RUNS!$G$6:$G$1005,MATCH($D1713,RUNS!$A$6:$A$1005,0))="","",INDEX(RUNS!$G$6:$G$1005,MATCH($D1713,RUNS!$A$6:$A$1005,0))),""))</f>
        <v/>
      </c>
      <c r="O1713" s="33">
        <f>IF($D1713="","",IFERROR(IF(INDEX(RUNS!$H$6:$H$1005,MATCH($D1713,RUNS!$A$6:$A$1005,0))="","",INDEX(RUNS!$H$6:$H$1005,MATCH($D1713,RUNS!$A$6:$A$1005,0))),""))</f>
        <v/>
      </c>
      <c r="P1713" s="33">
        <f>IF($D1713="","",IFERROR(IF(INDEX(RUNS!$J$6:$J$1005,MATCH($D1713,RUNS!$A$6:$A$1005,0))="","",INDEX(RUNS!$J$6:$J$1005,MATCH($D1713,RUNS!$A$6:$A$1005,0))),""))</f>
        <v/>
      </c>
      <c r="Q1713" s="33">
        <f>IF($D1713="","",IFERROR(IF(INDEX(RUNS!$K$6:$K$1005,MATCH($D1713,RUNS!$A$6:$A$1005,0))="","",INDEX(RUNS!$K$6:$K$1005,MATCH($D1713,RUNS!$A$6:$A$1005,0))),""))</f>
        <v/>
      </c>
      <c r="R1713" s="34">
        <f>IF(OR($L1713="",$K1713=""),"",IFERROR(IF(INDEX(PARAMETRES!$H$43:$H$342,MATCH($L1713&amp;"|"&amp;$M1713&amp;"|"&amp;$N1713&amp;"|"&amp;$O1713&amp;"|"&amp;$P1713&amp;"|"&amp;$Q1713&amp;"|"&amp;$K1713,PARAMETRES!$J$43:$J$342,0))="","",INDEX(PARAMETRES!$H$43:$H$342,MATCH($L1713&amp;"|"&amp;$M1713&amp;"|"&amp;$N1713&amp;"|"&amp;$O1713&amp;"|"&amp;$P1713&amp;"|"&amp;$Q1713&amp;"|"&amp;$K1713,PARAMETRES!$J$43:$J$342,0))),""))</f>
        <v/>
      </c>
      <c r="S1713" s="35">
        <f>IF(OR($G1713="",$X1713&lt;&gt;"VALIDE"),"",IFERROR(LOOKUP(2,1/(($B813:$B1712=$B1713)*($G813:$G1712=$G1713)*($X813:$X1712="VALIDE")),$C813:$C1712),""))</f>
        <v/>
      </c>
      <c r="T1713" s="36">
        <f>IF(OR($C1713="",$S1713=""),"",ROUND(($C1713-$S1713+IF($C1713&lt;$S1713,1,0))*1440,0))</f>
        <v/>
      </c>
      <c r="U1713" s="22">
        <f>IF(OR($H1713="",$T1713="",$T1713&lt;=0),"",$H1713*60/$T1713)</f>
        <v/>
      </c>
      <c r="V1713" s="37">
        <f>IF(OR($U1713="",$R1713="",$R1713=0),"",$U1713/$R1713)</f>
        <v/>
      </c>
      <c r="W1713" s="20">
        <f>IF($G1713="","",IF($X1713="CONTEXTE INCOMPLET","CONTEXTE INCOMPLET",IF($X1713="DOUBLON",StatutDoublon,IF($S1713="",StatutInitial,IF($R1713="",StatutStandardManquant,IF($V1713="","DONNEES INSUFFISANTES",IF($V1713&gt;=SeuilConforme,StatutConforme,IF($V1713&gt;=SeuilSurveiller,StatutSurveiller,StatutSousStandard))))))))</f>
        <v/>
      </c>
      <c r="X1713" s="33">
        <f>IF($G1713="","",IF(OR($D1713="",$E1713="",$F1713=""),"CONTEXTE INCOMPLET",IF(COUNTIFS($D813:$D1712,$D1713,$E813:$E1712,$E1713,$F813:$F1712,$F1713,$G813:$G1712,$G1713)&gt;0,"DOUBLON","VALIDE")))</f>
        <v/>
      </c>
    </row>
    <row r="1714" ht="15" customHeight="1">
      <c r="A1714" s="12">
        <f>IF(OR($B1714="",$G1714=""),"",TEXT($B1714,"YYYYMMDD")&amp;"-"&amp;SUBSTITUTE($E1714," ","")&amp;"-"&amp;$F1714&amp;"-"&amp;$G1714)</f>
        <v/>
      </c>
      <c r="B1714" s="15" t="n"/>
      <c r="C1714" s="16" t="n"/>
      <c r="D1714" s="10" t="n"/>
      <c r="E1714" s="9" t="n"/>
      <c r="F1714" s="9" t="n"/>
      <c r="G1714" s="13" t="n"/>
      <c r="H1714" s="21" t="n"/>
      <c r="I1714" s="21" t="n"/>
      <c r="J1714" s="17">
        <f>IF($G1714="","",IFERROR(INDEX(NomsEmployes,MATCH($G1714,MatriculesEmployes,0)),"MATRICULE INCONNU"))</f>
        <v/>
      </c>
      <c r="K1714" s="33">
        <f>IF(OR($D1714="",$F1714=""),"",IFERROR(IF(INDEX(RUNS!$L$6:$S$1005,MATCH($D1714,RUNS!$A$6:$A$1005,0),MATCH("ACTIVITÉ "&amp;$F1714,RUNS!$L$5:$S$5,0))="","",INDEX(RUNS!$L$6:$S$1005,MATCH($D1714,RUNS!$A$6:$A$1005,0),MATCH("ACTIVITÉ "&amp;$F1714,RUNS!$L$5:$S$5,0))),""))</f>
        <v/>
      </c>
      <c r="L1714" s="33">
        <f>IF($D1714="","",IFERROR(IF(INDEX(RUNS!$E$6:$E$1005,MATCH($D1714,RUNS!$A$6:$A$1005,0))="","",INDEX(RUNS!$E$6:$E$1005,MATCH($D1714,RUNS!$A$6:$A$1005,0))),""))</f>
        <v/>
      </c>
      <c r="M1714" s="33">
        <f>IF($D1714="","",IFERROR(IF(INDEX(RUNS!$F$6:$F$1005,MATCH($D1714,RUNS!$A$6:$A$1005,0))="","",INDEX(RUNS!$F$6:$F$1005,MATCH($D1714,RUNS!$A$6:$A$1005,0))),""))</f>
        <v/>
      </c>
      <c r="N1714" s="33">
        <f>IF($D1714="","",IFERROR(IF(INDEX(RUNS!$G$6:$G$1005,MATCH($D1714,RUNS!$A$6:$A$1005,0))="","",INDEX(RUNS!$G$6:$G$1005,MATCH($D1714,RUNS!$A$6:$A$1005,0))),""))</f>
        <v/>
      </c>
      <c r="O1714" s="33">
        <f>IF($D1714="","",IFERROR(IF(INDEX(RUNS!$H$6:$H$1005,MATCH($D1714,RUNS!$A$6:$A$1005,0))="","",INDEX(RUNS!$H$6:$H$1005,MATCH($D1714,RUNS!$A$6:$A$1005,0))),""))</f>
        <v/>
      </c>
      <c r="P1714" s="33">
        <f>IF($D1714="","",IFERROR(IF(INDEX(RUNS!$J$6:$J$1005,MATCH($D1714,RUNS!$A$6:$A$1005,0))="","",INDEX(RUNS!$J$6:$J$1005,MATCH($D1714,RUNS!$A$6:$A$1005,0))),""))</f>
        <v/>
      </c>
      <c r="Q1714" s="33">
        <f>IF($D1714="","",IFERROR(IF(INDEX(RUNS!$K$6:$K$1005,MATCH($D1714,RUNS!$A$6:$A$1005,0))="","",INDEX(RUNS!$K$6:$K$1005,MATCH($D1714,RUNS!$A$6:$A$1005,0))),""))</f>
        <v/>
      </c>
      <c r="R1714" s="34">
        <f>IF(OR($L1714="",$K1714=""),"",IFERROR(IF(INDEX(PARAMETRES!$H$43:$H$342,MATCH($L1714&amp;"|"&amp;$M1714&amp;"|"&amp;$N1714&amp;"|"&amp;$O1714&amp;"|"&amp;$P1714&amp;"|"&amp;$Q1714&amp;"|"&amp;$K1714,PARAMETRES!$J$43:$J$342,0))="","",INDEX(PARAMETRES!$H$43:$H$342,MATCH($L1714&amp;"|"&amp;$M1714&amp;"|"&amp;$N1714&amp;"|"&amp;$O1714&amp;"|"&amp;$P1714&amp;"|"&amp;$Q1714&amp;"|"&amp;$K1714,PARAMETRES!$J$43:$J$342,0))),""))</f>
        <v/>
      </c>
      <c r="S1714" s="35">
        <f>IF(OR($G1714="",$X1714&lt;&gt;"VALIDE"),"",IFERROR(LOOKUP(2,1/(($B814:$B1713=$B1714)*($G814:$G1713=$G1714)*($X814:$X1713="VALIDE")),$C814:$C1713),""))</f>
        <v/>
      </c>
      <c r="T1714" s="36">
        <f>IF(OR($C1714="",$S1714=""),"",ROUND(($C1714-$S1714+IF($C1714&lt;$S1714,1,0))*1440,0))</f>
        <v/>
      </c>
      <c r="U1714" s="22">
        <f>IF(OR($H1714="",$T1714="",$T1714&lt;=0),"",$H1714*60/$T1714)</f>
        <v/>
      </c>
      <c r="V1714" s="37">
        <f>IF(OR($U1714="",$R1714="",$R1714=0),"",$U1714/$R1714)</f>
        <v/>
      </c>
      <c r="W1714" s="20">
        <f>IF($G1714="","",IF($X1714="CONTEXTE INCOMPLET","CONTEXTE INCOMPLET",IF($X1714="DOUBLON",StatutDoublon,IF($S1714="",StatutInitial,IF($R1714="",StatutStandardManquant,IF($V1714="","DONNEES INSUFFISANTES",IF($V1714&gt;=SeuilConforme,StatutConforme,IF($V1714&gt;=SeuilSurveiller,StatutSurveiller,StatutSousStandard))))))))</f>
        <v/>
      </c>
      <c r="X1714" s="33">
        <f>IF($G1714="","",IF(OR($D1714="",$E1714="",$F1714=""),"CONTEXTE INCOMPLET",IF(COUNTIFS($D814:$D1713,$D1714,$E814:$E1713,$E1714,$F814:$F1713,$F1714,$G814:$G1713,$G1714)&gt;0,"DOUBLON","VALIDE")))</f>
        <v/>
      </c>
    </row>
    <row r="1715" ht="15" customHeight="1">
      <c r="A1715" s="12">
        <f>IF(OR($B1715="",$G1715=""),"",TEXT($B1715,"YYYYMMDD")&amp;"-"&amp;SUBSTITUTE($E1715," ","")&amp;"-"&amp;$F1715&amp;"-"&amp;$G1715)</f>
        <v/>
      </c>
      <c r="B1715" s="15" t="n"/>
      <c r="C1715" s="16" t="n"/>
      <c r="D1715" s="10" t="n"/>
      <c r="E1715" s="9" t="n"/>
      <c r="F1715" s="9" t="n"/>
      <c r="G1715" s="13" t="n"/>
      <c r="H1715" s="21" t="n"/>
      <c r="I1715" s="21" t="n"/>
      <c r="J1715" s="17">
        <f>IF($G1715="","",IFERROR(INDEX(NomsEmployes,MATCH($G1715,MatriculesEmployes,0)),"MATRICULE INCONNU"))</f>
        <v/>
      </c>
      <c r="K1715" s="33">
        <f>IF(OR($D1715="",$F1715=""),"",IFERROR(IF(INDEX(RUNS!$L$6:$S$1005,MATCH($D1715,RUNS!$A$6:$A$1005,0),MATCH("ACTIVITÉ "&amp;$F1715,RUNS!$L$5:$S$5,0))="","",INDEX(RUNS!$L$6:$S$1005,MATCH($D1715,RUNS!$A$6:$A$1005,0),MATCH("ACTIVITÉ "&amp;$F1715,RUNS!$L$5:$S$5,0))),""))</f>
        <v/>
      </c>
      <c r="L1715" s="33">
        <f>IF($D1715="","",IFERROR(IF(INDEX(RUNS!$E$6:$E$1005,MATCH($D1715,RUNS!$A$6:$A$1005,0))="","",INDEX(RUNS!$E$6:$E$1005,MATCH($D1715,RUNS!$A$6:$A$1005,0))),""))</f>
        <v/>
      </c>
      <c r="M1715" s="33">
        <f>IF($D1715="","",IFERROR(IF(INDEX(RUNS!$F$6:$F$1005,MATCH($D1715,RUNS!$A$6:$A$1005,0))="","",INDEX(RUNS!$F$6:$F$1005,MATCH($D1715,RUNS!$A$6:$A$1005,0))),""))</f>
        <v/>
      </c>
      <c r="N1715" s="33">
        <f>IF($D1715="","",IFERROR(IF(INDEX(RUNS!$G$6:$G$1005,MATCH($D1715,RUNS!$A$6:$A$1005,0))="","",INDEX(RUNS!$G$6:$G$1005,MATCH($D1715,RUNS!$A$6:$A$1005,0))),""))</f>
        <v/>
      </c>
      <c r="O1715" s="33">
        <f>IF($D1715="","",IFERROR(IF(INDEX(RUNS!$H$6:$H$1005,MATCH($D1715,RUNS!$A$6:$A$1005,0))="","",INDEX(RUNS!$H$6:$H$1005,MATCH($D1715,RUNS!$A$6:$A$1005,0))),""))</f>
        <v/>
      </c>
      <c r="P1715" s="33">
        <f>IF($D1715="","",IFERROR(IF(INDEX(RUNS!$J$6:$J$1005,MATCH($D1715,RUNS!$A$6:$A$1005,0))="","",INDEX(RUNS!$J$6:$J$1005,MATCH($D1715,RUNS!$A$6:$A$1005,0))),""))</f>
        <v/>
      </c>
      <c r="Q1715" s="33">
        <f>IF($D1715="","",IFERROR(IF(INDEX(RUNS!$K$6:$K$1005,MATCH($D1715,RUNS!$A$6:$A$1005,0))="","",INDEX(RUNS!$K$6:$K$1005,MATCH($D1715,RUNS!$A$6:$A$1005,0))),""))</f>
        <v/>
      </c>
      <c r="R1715" s="34">
        <f>IF(OR($L1715="",$K1715=""),"",IFERROR(IF(INDEX(PARAMETRES!$H$43:$H$342,MATCH($L1715&amp;"|"&amp;$M1715&amp;"|"&amp;$N1715&amp;"|"&amp;$O1715&amp;"|"&amp;$P1715&amp;"|"&amp;$Q1715&amp;"|"&amp;$K1715,PARAMETRES!$J$43:$J$342,0))="","",INDEX(PARAMETRES!$H$43:$H$342,MATCH($L1715&amp;"|"&amp;$M1715&amp;"|"&amp;$N1715&amp;"|"&amp;$O1715&amp;"|"&amp;$P1715&amp;"|"&amp;$Q1715&amp;"|"&amp;$K1715,PARAMETRES!$J$43:$J$342,0))),""))</f>
        <v/>
      </c>
      <c r="S1715" s="35">
        <f>IF(OR($G1715="",$X1715&lt;&gt;"VALIDE"),"",IFERROR(LOOKUP(2,1/(($B815:$B1714=$B1715)*($G815:$G1714=$G1715)*($X815:$X1714="VALIDE")),$C815:$C1714),""))</f>
        <v/>
      </c>
      <c r="T1715" s="36">
        <f>IF(OR($C1715="",$S1715=""),"",ROUND(($C1715-$S1715+IF($C1715&lt;$S1715,1,0))*1440,0))</f>
        <v/>
      </c>
      <c r="U1715" s="22">
        <f>IF(OR($H1715="",$T1715="",$T1715&lt;=0),"",$H1715*60/$T1715)</f>
        <v/>
      </c>
      <c r="V1715" s="37">
        <f>IF(OR($U1715="",$R1715="",$R1715=0),"",$U1715/$R1715)</f>
        <v/>
      </c>
      <c r="W1715" s="20">
        <f>IF($G1715="","",IF($X1715="CONTEXTE INCOMPLET","CONTEXTE INCOMPLET",IF($X1715="DOUBLON",StatutDoublon,IF($S1715="",StatutInitial,IF($R1715="",StatutStandardManquant,IF($V1715="","DONNEES INSUFFISANTES",IF($V1715&gt;=SeuilConforme,StatutConforme,IF($V1715&gt;=SeuilSurveiller,StatutSurveiller,StatutSousStandard))))))))</f>
        <v/>
      </c>
      <c r="X1715" s="33">
        <f>IF($G1715="","",IF(OR($D1715="",$E1715="",$F1715=""),"CONTEXTE INCOMPLET",IF(COUNTIFS($D815:$D1714,$D1715,$E815:$E1714,$E1715,$F815:$F1714,$F1715,$G815:$G1714,$G1715)&gt;0,"DOUBLON","VALIDE")))</f>
        <v/>
      </c>
    </row>
    <row r="1716" ht="15" customHeight="1">
      <c r="A1716" s="12">
        <f>IF(OR($B1716="",$G1716=""),"",TEXT($B1716,"YYYYMMDD")&amp;"-"&amp;SUBSTITUTE($E1716," ","")&amp;"-"&amp;$F1716&amp;"-"&amp;$G1716)</f>
        <v/>
      </c>
      <c r="B1716" s="15" t="n"/>
      <c r="C1716" s="16" t="n"/>
      <c r="D1716" s="10" t="n"/>
      <c r="E1716" s="9" t="n"/>
      <c r="F1716" s="9" t="n"/>
      <c r="G1716" s="13" t="n"/>
      <c r="H1716" s="21" t="n"/>
      <c r="I1716" s="21" t="n"/>
      <c r="J1716" s="17">
        <f>IF($G1716="","",IFERROR(INDEX(NomsEmployes,MATCH($G1716,MatriculesEmployes,0)),"MATRICULE INCONNU"))</f>
        <v/>
      </c>
      <c r="K1716" s="33">
        <f>IF(OR($D1716="",$F1716=""),"",IFERROR(IF(INDEX(RUNS!$L$6:$S$1005,MATCH($D1716,RUNS!$A$6:$A$1005,0),MATCH("ACTIVITÉ "&amp;$F1716,RUNS!$L$5:$S$5,0))="","",INDEX(RUNS!$L$6:$S$1005,MATCH($D1716,RUNS!$A$6:$A$1005,0),MATCH("ACTIVITÉ "&amp;$F1716,RUNS!$L$5:$S$5,0))),""))</f>
        <v/>
      </c>
      <c r="L1716" s="33">
        <f>IF($D1716="","",IFERROR(IF(INDEX(RUNS!$E$6:$E$1005,MATCH($D1716,RUNS!$A$6:$A$1005,0))="","",INDEX(RUNS!$E$6:$E$1005,MATCH($D1716,RUNS!$A$6:$A$1005,0))),""))</f>
        <v/>
      </c>
      <c r="M1716" s="33">
        <f>IF($D1716="","",IFERROR(IF(INDEX(RUNS!$F$6:$F$1005,MATCH($D1716,RUNS!$A$6:$A$1005,0))="","",INDEX(RUNS!$F$6:$F$1005,MATCH($D1716,RUNS!$A$6:$A$1005,0))),""))</f>
        <v/>
      </c>
      <c r="N1716" s="33">
        <f>IF($D1716="","",IFERROR(IF(INDEX(RUNS!$G$6:$G$1005,MATCH($D1716,RUNS!$A$6:$A$1005,0))="","",INDEX(RUNS!$G$6:$G$1005,MATCH($D1716,RUNS!$A$6:$A$1005,0))),""))</f>
        <v/>
      </c>
      <c r="O1716" s="33">
        <f>IF($D1716="","",IFERROR(IF(INDEX(RUNS!$H$6:$H$1005,MATCH($D1716,RUNS!$A$6:$A$1005,0))="","",INDEX(RUNS!$H$6:$H$1005,MATCH($D1716,RUNS!$A$6:$A$1005,0))),""))</f>
        <v/>
      </c>
      <c r="P1716" s="33">
        <f>IF($D1716="","",IFERROR(IF(INDEX(RUNS!$J$6:$J$1005,MATCH($D1716,RUNS!$A$6:$A$1005,0))="","",INDEX(RUNS!$J$6:$J$1005,MATCH($D1716,RUNS!$A$6:$A$1005,0))),""))</f>
        <v/>
      </c>
      <c r="Q1716" s="33">
        <f>IF($D1716="","",IFERROR(IF(INDEX(RUNS!$K$6:$K$1005,MATCH($D1716,RUNS!$A$6:$A$1005,0))="","",INDEX(RUNS!$K$6:$K$1005,MATCH($D1716,RUNS!$A$6:$A$1005,0))),""))</f>
        <v/>
      </c>
      <c r="R1716" s="34">
        <f>IF(OR($L1716="",$K1716=""),"",IFERROR(IF(INDEX(PARAMETRES!$H$43:$H$342,MATCH($L1716&amp;"|"&amp;$M1716&amp;"|"&amp;$N1716&amp;"|"&amp;$O1716&amp;"|"&amp;$P1716&amp;"|"&amp;$Q1716&amp;"|"&amp;$K1716,PARAMETRES!$J$43:$J$342,0))="","",INDEX(PARAMETRES!$H$43:$H$342,MATCH($L1716&amp;"|"&amp;$M1716&amp;"|"&amp;$N1716&amp;"|"&amp;$O1716&amp;"|"&amp;$P1716&amp;"|"&amp;$Q1716&amp;"|"&amp;$K1716,PARAMETRES!$J$43:$J$342,0))),""))</f>
        <v/>
      </c>
      <c r="S1716" s="35">
        <f>IF(OR($G1716="",$X1716&lt;&gt;"VALIDE"),"",IFERROR(LOOKUP(2,1/(($B816:$B1715=$B1716)*($G816:$G1715=$G1716)*($X816:$X1715="VALIDE")),$C816:$C1715),""))</f>
        <v/>
      </c>
      <c r="T1716" s="36">
        <f>IF(OR($C1716="",$S1716=""),"",ROUND(($C1716-$S1716+IF($C1716&lt;$S1716,1,0))*1440,0))</f>
        <v/>
      </c>
      <c r="U1716" s="22">
        <f>IF(OR($H1716="",$T1716="",$T1716&lt;=0),"",$H1716*60/$T1716)</f>
        <v/>
      </c>
      <c r="V1716" s="37">
        <f>IF(OR($U1716="",$R1716="",$R1716=0),"",$U1716/$R1716)</f>
        <v/>
      </c>
      <c r="W1716" s="20">
        <f>IF($G1716="","",IF($X1716="CONTEXTE INCOMPLET","CONTEXTE INCOMPLET",IF($X1716="DOUBLON",StatutDoublon,IF($S1716="",StatutInitial,IF($R1716="",StatutStandardManquant,IF($V1716="","DONNEES INSUFFISANTES",IF($V1716&gt;=SeuilConforme,StatutConforme,IF($V1716&gt;=SeuilSurveiller,StatutSurveiller,StatutSousStandard))))))))</f>
        <v/>
      </c>
      <c r="X1716" s="33">
        <f>IF($G1716="","",IF(OR($D1716="",$E1716="",$F1716=""),"CONTEXTE INCOMPLET",IF(COUNTIFS($D816:$D1715,$D1716,$E816:$E1715,$E1716,$F816:$F1715,$F1716,$G816:$G1715,$G1716)&gt;0,"DOUBLON","VALIDE")))</f>
        <v/>
      </c>
    </row>
    <row r="1717" ht="15" customHeight="1">
      <c r="A1717" s="12">
        <f>IF(OR($B1717="",$G1717=""),"",TEXT($B1717,"YYYYMMDD")&amp;"-"&amp;SUBSTITUTE($E1717," ","")&amp;"-"&amp;$F1717&amp;"-"&amp;$G1717)</f>
        <v/>
      </c>
      <c r="B1717" s="15" t="n"/>
      <c r="C1717" s="16" t="n"/>
      <c r="D1717" s="10" t="n"/>
      <c r="E1717" s="9" t="n"/>
      <c r="F1717" s="9" t="n"/>
      <c r="G1717" s="13" t="n"/>
      <c r="H1717" s="21" t="n"/>
      <c r="I1717" s="21" t="n"/>
      <c r="J1717" s="17">
        <f>IF($G1717="","",IFERROR(INDEX(NomsEmployes,MATCH($G1717,MatriculesEmployes,0)),"MATRICULE INCONNU"))</f>
        <v/>
      </c>
      <c r="K1717" s="33">
        <f>IF(OR($D1717="",$F1717=""),"",IFERROR(IF(INDEX(RUNS!$L$6:$S$1005,MATCH($D1717,RUNS!$A$6:$A$1005,0),MATCH("ACTIVITÉ "&amp;$F1717,RUNS!$L$5:$S$5,0))="","",INDEX(RUNS!$L$6:$S$1005,MATCH($D1717,RUNS!$A$6:$A$1005,0),MATCH("ACTIVITÉ "&amp;$F1717,RUNS!$L$5:$S$5,0))),""))</f>
        <v/>
      </c>
      <c r="L1717" s="33">
        <f>IF($D1717="","",IFERROR(IF(INDEX(RUNS!$E$6:$E$1005,MATCH($D1717,RUNS!$A$6:$A$1005,0))="","",INDEX(RUNS!$E$6:$E$1005,MATCH($D1717,RUNS!$A$6:$A$1005,0))),""))</f>
        <v/>
      </c>
      <c r="M1717" s="33">
        <f>IF($D1717="","",IFERROR(IF(INDEX(RUNS!$F$6:$F$1005,MATCH($D1717,RUNS!$A$6:$A$1005,0))="","",INDEX(RUNS!$F$6:$F$1005,MATCH($D1717,RUNS!$A$6:$A$1005,0))),""))</f>
        <v/>
      </c>
      <c r="N1717" s="33">
        <f>IF($D1717="","",IFERROR(IF(INDEX(RUNS!$G$6:$G$1005,MATCH($D1717,RUNS!$A$6:$A$1005,0))="","",INDEX(RUNS!$G$6:$G$1005,MATCH($D1717,RUNS!$A$6:$A$1005,0))),""))</f>
        <v/>
      </c>
      <c r="O1717" s="33">
        <f>IF($D1717="","",IFERROR(IF(INDEX(RUNS!$H$6:$H$1005,MATCH($D1717,RUNS!$A$6:$A$1005,0))="","",INDEX(RUNS!$H$6:$H$1005,MATCH($D1717,RUNS!$A$6:$A$1005,0))),""))</f>
        <v/>
      </c>
      <c r="P1717" s="33">
        <f>IF($D1717="","",IFERROR(IF(INDEX(RUNS!$J$6:$J$1005,MATCH($D1717,RUNS!$A$6:$A$1005,0))="","",INDEX(RUNS!$J$6:$J$1005,MATCH($D1717,RUNS!$A$6:$A$1005,0))),""))</f>
        <v/>
      </c>
      <c r="Q1717" s="33">
        <f>IF($D1717="","",IFERROR(IF(INDEX(RUNS!$K$6:$K$1005,MATCH($D1717,RUNS!$A$6:$A$1005,0))="","",INDEX(RUNS!$K$6:$K$1005,MATCH($D1717,RUNS!$A$6:$A$1005,0))),""))</f>
        <v/>
      </c>
      <c r="R1717" s="34">
        <f>IF(OR($L1717="",$K1717=""),"",IFERROR(IF(INDEX(PARAMETRES!$H$43:$H$342,MATCH($L1717&amp;"|"&amp;$M1717&amp;"|"&amp;$N1717&amp;"|"&amp;$O1717&amp;"|"&amp;$P1717&amp;"|"&amp;$Q1717&amp;"|"&amp;$K1717,PARAMETRES!$J$43:$J$342,0))="","",INDEX(PARAMETRES!$H$43:$H$342,MATCH($L1717&amp;"|"&amp;$M1717&amp;"|"&amp;$N1717&amp;"|"&amp;$O1717&amp;"|"&amp;$P1717&amp;"|"&amp;$Q1717&amp;"|"&amp;$K1717,PARAMETRES!$J$43:$J$342,0))),""))</f>
        <v/>
      </c>
      <c r="S1717" s="35">
        <f>IF(OR($G1717="",$X1717&lt;&gt;"VALIDE"),"",IFERROR(LOOKUP(2,1/(($B817:$B1716=$B1717)*($G817:$G1716=$G1717)*($X817:$X1716="VALIDE")),$C817:$C1716),""))</f>
        <v/>
      </c>
      <c r="T1717" s="36">
        <f>IF(OR($C1717="",$S1717=""),"",ROUND(($C1717-$S1717+IF($C1717&lt;$S1717,1,0))*1440,0))</f>
        <v/>
      </c>
      <c r="U1717" s="22">
        <f>IF(OR($H1717="",$T1717="",$T1717&lt;=0),"",$H1717*60/$T1717)</f>
        <v/>
      </c>
      <c r="V1717" s="37">
        <f>IF(OR($U1717="",$R1717="",$R1717=0),"",$U1717/$R1717)</f>
        <v/>
      </c>
      <c r="W1717" s="20">
        <f>IF($G1717="","",IF($X1717="CONTEXTE INCOMPLET","CONTEXTE INCOMPLET",IF($X1717="DOUBLON",StatutDoublon,IF($S1717="",StatutInitial,IF($R1717="",StatutStandardManquant,IF($V1717="","DONNEES INSUFFISANTES",IF($V1717&gt;=SeuilConforme,StatutConforme,IF($V1717&gt;=SeuilSurveiller,StatutSurveiller,StatutSousStandard))))))))</f>
        <v/>
      </c>
      <c r="X1717" s="33">
        <f>IF($G1717="","",IF(OR($D1717="",$E1717="",$F1717=""),"CONTEXTE INCOMPLET",IF(COUNTIFS($D817:$D1716,$D1717,$E817:$E1716,$E1717,$F817:$F1716,$F1717,$G817:$G1716,$G1717)&gt;0,"DOUBLON","VALIDE")))</f>
        <v/>
      </c>
    </row>
    <row r="1718" ht="15" customHeight="1">
      <c r="A1718" s="12">
        <f>IF(OR($B1718="",$G1718=""),"",TEXT($B1718,"YYYYMMDD")&amp;"-"&amp;SUBSTITUTE($E1718," ","")&amp;"-"&amp;$F1718&amp;"-"&amp;$G1718)</f>
        <v/>
      </c>
      <c r="B1718" s="15" t="n"/>
      <c r="C1718" s="16" t="n"/>
      <c r="D1718" s="10" t="n"/>
      <c r="E1718" s="9" t="n"/>
      <c r="F1718" s="9" t="n"/>
      <c r="G1718" s="13" t="n"/>
      <c r="H1718" s="21" t="n"/>
      <c r="I1718" s="21" t="n"/>
      <c r="J1718" s="17">
        <f>IF($G1718="","",IFERROR(INDEX(NomsEmployes,MATCH($G1718,MatriculesEmployes,0)),"MATRICULE INCONNU"))</f>
        <v/>
      </c>
      <c r="K1718" s="33">
        <f>IF(OR($D1718="",$F1718=""),"",IFERROR(IF(INDEX(RUNS!$L$6:$S$1005,MATCH($D1718,RUNS!$A$6:$A$1005,0),MATCH("ACTIVITÉ "&amp;$F1718,RUNS!$L$5:$S$5,0))="","",INDEX(RUNS!$L$6:$S$1005,MATCH($D1718,RUNS!$A$6:$A$1005,0),MATCH("ACTIVITÉ "&amp;$F1718,RUNS!$L$5:$S$5,0))),""))</f>
        <v/>
      </c>
      <c r="L1718" s="33">
        <f>IF($D1718="","",IFERROR(IF(INDEX(RUNS!$E$6:$E$1005,MATCH($D1718,RUNS!$A$6:$A$1005,0))="","",INDEX(RUNS!$E$6:$E$1005,MATCH($D1718,RUNS!$A$6:$A$1005,0))),""))</f>
        <v/>
      </c>
      <c r="M1718" s="33">
        <f>IF($D1718="","",IFERROR(IF(INDEX(RUNS!$F$6:$F$1005,MATCH($D1718,RUNS!$A$6:$A$1005,0))="","",INDEX(RUNS!$F$6:$F$1005,MATCH($D1718,RUNS!$A$6:$A$1005,0))),""))</f>
        <v/>
      </c>
      <c r="N1718" s="33">
        <f>IF($D1718="","",IFERROR(IF(INDEX(RUNS!$G$6:$G$1005,MATCH($D1718,RUNS!$A$6:$A$1005,0))="","",INDEX(RUNS!$G$6:$G$1005,MATCH($D1718,RUNS!$A$6:$A$1005,0))),""))</f>
        <v/>
      </c>
      <c r="O1718" s="33">
        <f>IF($D1718="","",IFERROR(IF(INDEX(RUNS!$H$6:$H$1005,MATCH($D1718,RUNS!$A$6:$A$1005,0))="","",INDEX(RUNS!$H$6:$H$1005,MATCH($D1718,RUNS!$A$6:$A$1005,0))),""))</f>
        <v/>
      </c>
      <c r="P1718" s="33">
        <f>IF($D1718="","",IFERROR(IF(INDEX(RUNS!$J$6:$J$1005,MATCH($D1718,RUNS!$A$6:$A$1005,0))="","",INDEX(RUNS!$J$6:$J$1005,MATCH($D1718,RUNS!$A$6:$A$1005,0))),""))</f>
        <v/>
      </c>
      <c r="Q1718" s="33">
        <f>IF($D1718="","",IFERROR(IF(INDEX(RUNS!$K$6:$K$1005,MATCH($D1718,RUNS!$A$6:$A$1005,0))="","",INDEX(RUNS!$K$6:$K$1005,MATCH($D1718,RUNS!$A$6:$A$1005,0))),""))</f>
        <v/>
      </c>
      <c r="R1718" s="34">
        <f>IF(OR($L1718="",$K1718=""),"",IFERROR(IF(INDEX(PARAMETRES!$H$43:$H$342,MATCH($L1718&amp;"|"&amp;$M1718&amp;"|"&amp;$N1718&amp;"|"&amp;$O1718&amp;"|"&amp;$P1718&amp;"|"&amp;$Q1718&amp;"|"&amp;$K1718,PARAMETRES!$J$43:$J$342,0))="","",INDEX(PARAMETRES!$H$43:$H$342,MATCH($L1718&amp;"|"&amp;$M1718&amp;"|"&amp;$N1718&amp;"|"&amp;$O1718&amp;"|"&amp;$P1718&amp;"|"&amp;$Q1718&amp;"|"&amp;$K1718,PARAMETRES!$J$43:$J$342,0))),""))</f>
        <v/>
      </c>
      <c r="S1718" s="35">
        <f>IF(OR($G1718="",$X1718&lt;&gt;"VALIDE"),"",IFERROR(LOOKUP(2,1/(($B818:$B1717=$B1718)*($G818:$G1717=$G1718)*($X818:$X1717="VALIDE")),$C818:$C1717),""))</f>
        <v/>
      </c>
      <c r="T1718" s="36">
        <f>IF(OR($C1718="",$S1718=""),"",ROUND(($C1718-$S1718+IF($C1718&lt;$S1718,1,0))*1440,0))</f>
        <v/>
      </c>
      <c r="U1718" s="22">
        <f>IF(OR($H1718="",$T1718="",$T1718&lt;=0),"",$H1718*60/$T1718)</f>
        <v/>
      </c>
      <c r="V1718" s="37">
        <f>IF(OR($U1718="",$R1718="",$R1718=0),"",$U1718/$R1718)</f>
        <v/>
      </c>
      <c r="W1718" s="20">
        <f>IF($G1718="","",IF($X1718="CONTEXTE INCOMPLET","CONTEXTE INCOMPLET",IF($X1718="DOUBLON",StatutDoublon,IF($S1718="",StatutInitial,IF($R1718="",StatutStandardManquant,IF($V1718="","DONNEES INSUFFISANTES",IF($V1718&gt;=SeuilConforme,StatutConforme,IF($V1718&gt;=SeuilSurveiller,StatutSurveiller,StatutSousStandard))))))))</f>
        <v/>
      </c>
      <c r="X1718" s="33">
        <f>IF($G1718="","",IF(OR($D1718="",$E1718="",$F1718=""),"CONTEXTE INCOMPLET",IF(COUNTIFS($D818:$D1717,$D1718,$E818:$E1717,$E1718,$F818:$F1717,$F1718,$G818:$G1717,$G1718)&gt;0,"DOUBLON","VALIDE")))</f>
        <v/>
      </c>
    </row>
    <row r="1719" ht="15" customHeight="1">
      <c r="A1719" s="12">
        <f>IF(OR($B1719="",$G1719=""),"",TEXT($B1719,"YYYYMMDD")&amp;"-"&amp;SUBSTITUTE($E1719," ","")&amp;"-"&amp;$F1719&amp;"-"&amp;$G1719)</f>
        <v/>
      </c>
      <c r="B1719" s="15" t="n"/>
      <c r="C1719" s="16" t="n"/>
      <c r="D1719" s="10" t="n"/>
      <c r="E1719" s="9" t="n"/>
      <c r="F1719" s="9" t="n"/>
      <c r="G1719" s="13" t="n"/>
      <c r="H1719" s="21" t="n"/>
      <c r="I1719" s="21" t="n"/>
      <c r="J1719" s="17">
        <f>IF($G1719="","",IFERROR(INDEX(NomsEmployes,MATCH($G1719,MatriculesEmployes,0)),"MATRICULE INCONNU"))</f>
        <v/>
      </c>
      <c r="K1719" s="33">
        <f>IF(OR($D1719="",$F1719=""),"",IFERROR(IF(INDEX(RUNS!$L$6:$S$1005,MATCH($D1719,RUNS!$A$6:$A$1005,0),MATCH("ACTIVITÉ "&amp;$F1719,RUNS!$L$5:$S$5,0))="","",INDEX(RUNS!$L$6:$S$1005,MATCH($D1719,RUNS!$A$6:$A$1005,0),MATCH("ACTIVITÉ "&amp;$F1719,RUNS!$L$5:$S$5,0))),""))</f>
        <v/>
      </c>
      <c r="L1719" s="33">
        <f>IF($D1719="","",IFERROR(IF(INDEX(RUNS!$E$6:$E$1005,MATCH($D1719,RUNS!$A$6:$A$1005,0))="","",INDEX(RUNS!$E$6:$E$1005,MATCH($D1719,RUNS!$A$6:$A$1005,0))),""))</f>
        <v/>
      </c>
      <c r="M1719" s="33">
        <f>IF($D1719="","",IFERROR(IF(INDEX(RUNS!$F$6:$F$1005,MATCH($D1719,RUNS!$A$6:$A$1005,0))="","",INDEX(RUNS!$F$6:$F$1005,MATCH($D1719,RUNS!$A$6:$A$1005,0))),""))</f>
        <v/>
      </c>
      <c r="N1719" s="33">
        <f>IF($D1719="","",IFERROR(IF(INDEX(RUNS!$G$6:$G$1005,MATCH($D1719,RUNS!$A$6:$A$1005,0))="","",INDEX(RUNS!$G$6:$G$1005,MATCH($D1719,RUNS!$A$6:$A$1005,0))),""))</f>
        <v/>
      </c>
      <c r="O1719" s="33">
        <f>IF($D1719="","",IFERROR(IF(INDEX(RUNS!$H$6:$H$1005,MATCH($D1719,RUNS!$A$6:$A$1005,0))="","",INDEX(RUNS!$H$6:$H$1005,MATCH($D1719,RUNS!$A$6:$A$1005,0))),""))</f>
        <v/>
      </c>
      <c r="P1719" s="33">
        <f>IF($D1719="","",IFERROR(IF(INDEX(RUNS!$J$6:$J$1005,MATCH($D1719,RUNS!$A$6:$A$1005,0))="","",INDEX(RUNS!$J$6:$J$1005,MATCH($D1719,RUNS!$A$6:$A$1005,0))),""))</f>
        <v/>
      </c>
      <c r="Q1719" s="33">
        <f>IF($D1719="","",IFERROR(IF(INDEX(RUNS!$K$6:$K$1005,MATCH($D1719,RUNS!$A$6:$A$1005,0))="","",INDEX(RUNS!$K$6:$K$1005,MATCH($D1719,RUNS!$A$6:$A$1005,0))),""))</f>
        <v/>
      </c>
      <c r="R1719" s="34">
        <f>IF(OR($L1719="",$K1719=""),"",IFERROR(IF(INDEX(PARAMETRES!$H$43:$H$342,MATCH($L1719&amp;"|"&amp;$M1719&amp;"|"&amp;$N1719&amp;"|"&amp;$O1719&amp;"|"&amp;$P1719&amp;"|"&amp;$Q1719&amp;"|"&amp;$K1719,PARAMETRES!$J$43:$J$342,0))="","",INDEX(PARAMETRES!$H$43:$H$342,MATCH($L1719&amp;"|"&amp;$M1719&amp;"|"&amp;$N1719&amp;"|"&amp;$O1719&amp;"|"&amp;$P1719&amp;"|"&amp;$Q1719&amp;"|"&amp;$K1719,PARAMETRES!$J$43:$J$342,0))),""))</f>
        <v/>
      </c>
      <c r="S1719" s="35">
        <f>IF(OR($G1719="",$X1719&lt;&gt;"VALIDE"),"",IFERROR(LOOKUP(2,1/(($B819:$B1718=$B1719)*($G819:$G1718=$G1719)*($X819:$X1718="VALIDE")),$C819:$C1718),""))</f>
        <v/>
      </c>
      <c r="T1719" s="36">
        <f>IF(OR($C1719="",$S1719=""),"",ROUND(($C1719-$S1719+IF($C1719&lt;$S1719,1,0))*1440,0))</f>
        <v/>
      </c>
      <c r="U1719" s="22">
        <f>IF(OR($H1719="",$T1719="",$T1719&lt;=0),"",$H1719*60/$T1719)</f>
        <v/>
      </c>
      <c r="V1719" s="37">
        <f>IF(OR($U1719="",$R1719="",$R1719=0),"",$U1719/$R1719)</f>
        <v/>
      </c>
      <c r="W1719" s="20">
        <f>IF($G1719="","",IF($X1719="CONTEXTE INCOMPLET","CONTEXTE INCOMPLET",IF($X1719="DOUBLON",StatutDoublon,IF($S1719="",StatutInitial,IF($R1719="",StatutStandardManquant,IF($V1719="","DONNEES INSUFFISANTES",IF($V1719&gt;=SeuilConforme,StatutConforme,IF($V1719&gt;=SeuilSurveiller,StatutSurveiller,StatutSousStandard))))))))</f>
        <v/>
      </c>
      <c r="X1719" s="33">
        <f>IF($G1719="","",IF(OR($D1719="",$E1719="",$F1719=""),"CONTEXTE INCOMPLET",IF(COUNTIFS($D819:$D1718,$D1719,$E819:$E1718,$E1719,$F819:$F1718,$F1719,$G819:$G1718,$G1719)&gt;0,"DOUBLON","VALIDE")))</f>
        <v/>
      </c>
    </row>
    <row r="1720" ht="15" customHeight="1">
      <c r="A1720" s="12">
        <f>IF(OR($B1720="",$G1720=""),"",TEXT($B1720,"YYYYMMDD")&amp;"-"&amp;SUBSTITUTE($E1720," ","")&amp;"-"&amp;$F1720&amp;"-"&amp;$G1720)</f>
        <v/>
      </c>
      <c r="B1720" s="15" t="n"/>
      <c r="C1720" s="16" t="n"/>
      <c r="D1720" s="10" t="n"/>
      <c r="E1720" s="9" t="n"/>
      <c r="F1720" s="9" t="n"/>
      <c r="G1720" s="13" t="n"/>
      <c r="H1720" s="21" t="n"/>
      <c r="I1720" s="21" t="n"/>
      <c r="J1720" s="17">
        <f>IF($G1720="","",IFERROR(INDEX(NomsEmployes,MATCH($G1720,MatriculesEmployes,0)),"MATRICULE INCONNU"))</f>
        <v/>
      </c>
      <c r="K1720" s="33">
        <f>IF(OR($D1720="",$F1720=""),"",IFERROR(IF(INDEX(RUNS!$L$6:$S$1005,MATCH($D1720,RUNS!$A$6:$A$1005,0),MATCH("ACTIVITÉ "&amp;$F1720,RUNS!$L$5:$S$5,0))="","",INDEX(RUNS!$L$6:$S$1005,MATCH($D1720,RUNS!$A$6:$A$1005,0),MATCH("ACTIVITÉ "&amp;$F1720,RUNS!$L$5:$S$5,0))),""))</f>
        <v/>
      </c>
      <c r="L1720" s="33">
        <f>IF($D1720="","",IFERROR(IF(INDEX(RUNS!$E$6:$E$1005,MATCH($D1720,RUNS!$A$6:$A$1005,0))="","",INDEX(RUNS!$E$6:$E$1005,MATCH($D1720,RUNS!$A$6:$A$1005,0))),""))</f>
        <v/>
      </c>
      <c r="M1720" s="33">
        <f>IF($D1720="","",IFERROR(IF(INDEX(RUNS!$F$6:$F$1005,MATCH($D1720,RUNS!$A$6:$A$1005,0))="","",INDEX(RUNS!$F$6:$F$1005,MATCH($D1720,RUNS!$A$6:$A$1005,0))),""))</f>
        <v/>
      </c>
      <c r="N1720" s="33">
        <f>IF($D1720="","",IFERROR(IF(INDEX(RUNS!$G$6:$G$1005,MATCH($D1720,RUNS!$A$6:$A$1005,0))="","",INDEX(RUNS!$G$6:$G$1005,MATCH($D1720,RUNS!$A$6:$A$1005,0))),""))</f>
        <v/>
      </c>
      <c r="O1720" s="33">
        <f>IF($D1720="","",IFERROR(IF(INDEX(RUNS!$H$6:$H$1005,MATCH($D1720,RUNS!$A$6:$A$1005,0))="","",INDEX(RUNS!$H$6:$H$1005,MATCH($D1720,RUNS!$A$6:$A$1005,0))),""))</f>
        <v/>
      </c>
      <c r="P1720" s="33">
        <f>IF($D1720="","",IFERROR(IF(INDEX(RUNS!$J$6:$J$1005,MATCH($D1720,RUNS!$A$6:$A$1005,0))="","",INDEX(RUNS!$J$6:$J$1005,MATCH($D1720,RUNS!$A$6:$A$1005,0))),""))</f>
        <v/>
      </c>
      <c r="Q1720" s="33">
        <f>IF($D1720="","",IFERROR(IF(INDEX(RUNS!$K$6:$K$1005,MATCH($D1720,RUNS!$A$6:$A$1005,0))="","",INDEX(RUNS!$K$6:$K$1005,MATCH($D1720,RUNS!$A$6:$A$1005,0))),""))</f>
        <v/>
      </c>
      <c r="R1720" s="34">
        <f>IF(OR($L1720="",$K1720=""),"",IFERROR(IF(INDEX(PARAMETRES!$H$43:$H$342,MATCH($L1720&amp;"|"&amp;$M1720&amp;"|"&amp;$N1720&amp;"|"&amp;$O1720&amp;"|"&amp;$P1720&amp;"|"&amp;$Q1720&amp;"|"&amp;$K1720,PARAMETRES!$J$43:$J$342,0))="","",INDEX(PARAMETRES!$H$43:$H$342,MATCH($L1720&amp;"|"&amp;$M1720&amp;"|"&amp;$N1720&amp;"|"&amp;$O1720&amp;"|"&amp;$P1720&amp;"|"&amp;$Q1720&amp;"|"&amp;$K1720,PARAMETRES!$J$43:$J$342,0))),""))</f>
        <v/>
      </c>
      <c r="S1720" s="35">
        <f>IF(OR($G1720="",$X1720&lt;&gt;"VALIDE"),"",IFERROR(LOOKUP(2,1/(($B820:$B1719=$B1720)*($G820:$G1719=$G1720)*($X820:$X1719="VALIDE")),$C820:$C1719),""))</f>
        <v/>
      </c>
      <c r="T1720" s="36">
        <f>IF(OR($C1720="",$S1720=""),"",ROUND(($C1720-$S1720+IF($C1720&lt;$S1720,1,0))*1440,0))</f>
        <v/>
      </c>
      <c r="U1720" s="22">
        <f>IF(OR($H1720="",$T1720="",$T1720&lt;=0),"",$H1720*60/$T1720)</f>
        <v/>
      </c>
      <c r="V1720" s="37">
        <f>IF(OR($U1720="",$R1720="",$R1720=0),"",$U1720/$R1720)</f>
        <v/>
      </c>
      <c r="W1720" s="20">
        <f>IF($G1720="","",IF($X1720="CONTEXTE INCOMPLET","CONTEXTE INCOMPLET",IF($X1720="DOUBLON",StatutDoublon,IF($S1720="",StatutInitial,IF($R1720="",StatutStandardManquant,IF($V1720="","DONNEES INSUFFISANTES",IF($V1720&gt;=SeuilConforme,StatutConforme,IF($V1720&gt;=SeuilSurveiller,StatutSurveiller,StatutSousStandard))))))))</f>
        <v/>
      </c>
      <c r="X1720" s="33">
        <f>IF($G1720="","",IF(OR($D1720="",$E1720="",$F1720=""),"CONTEXTE INCOMPLET",IF(COUNTIFS($D820:$D1719,$D1720,$E820:$E1719,$E1720,$F820:$F1719,$F1720,$G820:$G1719,$G1720)&gt;0,"DOUBLON","VALIDE")))</f>
        <v/>
      </c>
    </row>
    <row r="1721" ht="15" customHeight="1">
      <c r="A1721" s="12">
        <f>IF(OR($B1721="",$G1721=""),"",TEXT($B1721,"YYYYMMDD")&amp;"-"&amp;SUBSTITUTE($E1721," ","")&amp;"-"&amp;$F1721&amp;"-"&amp;$G1721)</f>
        <v/>
      </c>
      <c r="B1721" s="15" t="n"/>
      <c r="C1721" s="16" t="n"/>
      <c r="D1721" s="10" t="n"/>
      <c r="E1721" s="9" t="n"/>
      <c r="F1721" s="9" t="n"/>
      <c r="G1721" s="13" t="n"/>
      <c r="H1721" s="21" t="n"/>
      <c r="I1721" s="21" t="n"/>
      <c r="J1721" s="17">
        <f>IF($G1721="","",IFERROR(INDEX(NomsEmployes,MATCH($G1721,MatriculesEmployes,0)),"MATRICULE INCONNU"))</f>
        <v/>
      </c>
      <c r="K1721" s="33">
        <f>IF(OR($D1721="",$F1721=""),"",IFERROR(IF(INDEX(RUNS!$L$6:$S$1005,MATCH($D1721,RUNS!$A$6:$A$1005,0),MATCH("ACTIVITÉ "&amp;$F1721,RUNS!$L$5:$S$5,0))="","",INDEX(RUNS!$L$6:$S$1005,MATCH($D1721,RUNS!$A$6:$A$1005,0),MATCH("ACTIVITÉ "&amp;$F1721,RUNS!$L$5:$S$5,0))),""))</f>
        <v/>
      </c>
      <c r="L1721" s="33">
        <f>IF($D1721="","",IFERROR(IF(INDEX(RUNS!$E$6:$E$1005,MATCH($D1721,RUNS!$A$6:$A$1005,0))="","",INDEX(RUNS!$E$6:$E$1005,MATCH($D1721,RUNS!$A$6:$A$1005,0))),""))</f>
        <v/>
      </c>
      <c r="M1721" s="33">
        <f>IF($D1721="","",IFERROR(IF(INDEX(RUNS!$F$6:$F$1005,MATCH($D1721,RUNS!$A$6:$A$1005,0))="","",INDEX(RUNS!$F$6:$F$1005,MATCH($D1721,RUNS!$A$6:$A$1005,0))),""))</f>
        <v/>
      </c>
      <c r="N1721" s="33">
        <f>IF($D1721="","",IFERROR(IF(INDEX(RUNS!$G$6:$G$1005,MATCH($D1721,RUNS!$A$6:$A$1005,0))="","",INDEX(RUNS!$G$6:$G$1005,MATCH($D1721,RUNS!$A$6:$A$1005,0))),""))</f>
        <v/>
      </c>
      <c r="O1721" s="33">
        <f>IF($D1721="","",IFERROR(IF(INDEX(RUNS!$H$6:$H$1005,MATCH($D1721,RUNS!$A$6:$A$1005,0))="","",INDEX(RUNS!$H$6:$H$1005,MATCH($D1721,RUNS!$A$6:$A$1005,0))),""))</f>
        <v/>
      </c>
      <c r="P1721" s="33">
        <f>IF($D1721="","",IFERROR(IF(INDEX(RUNS!$J$6:$J$1005,MATCH($D1721,RUNS!$A$6:$A$1005,0))="","",INDEX(RUNS!$J$6:$J$1005,MATCH($D1721,RUNS!$A$6:$A$1005,0))),""))</f>
        <v/>
      </c>
      <c r="Q1721" s="33">
        <f>IF($D1721="","",IFERROR(IF(INDEX(RUNS!$K$6:$K$1005,MATCH($D1721,RUNS!$A$6:$A$1005,0))="","",INDEX(RUNS!$K$6:$K$1005,MATCH($D1721,RUNS!$A$6:$A$1005,0))),""))</f>
        <v/>
      </c>
      <c r="R1721" s="34">
        <f>IF(OR($L1721="",$K1721=""),"",IFERROR(IF(INDEX(PARAMETRES!$H$43:$H$342,MATCH($L1721&amp;"|"&amp;$M1721&amp;"|"&amp;$N1721&amp;"|"&amp;$O1721&amp;"|"&amp;$P1721&amp;"|"&amp;$Q1721&amp;"|"&amp;$K1721,PARAMETRES!$J$43:$J$342,0))="","",INDEX(PARAMETRES!$H$43:$H$342,MATCH($L1721&amp;"|"&amp;$M1721&amp;"|"&amp;$N1721&amp;"|"&amp;$O1721&amp;"|"&amp;$P1721&amp;"|"&amp;$Q1721&amp;"|"&amp;$K1721,PARAMETRES!$J$43:$J$342,0))),""))</f>
        <v/>
      </c>
      <c r="S1721" s="35">
        <f>IF(OR($G1721="",$X1721&lt;&gt;"VALIDE"),"",IFERROR(LOOKUP(2,1/(($B821:$B1720=$B1721)*($G821:$G1720=$G1721)*($X821:$X1720="VALIDE")),$C821:$C1720),""))</f>
        <v/>
      </c>
      <c r="T1721" s="36">
        <f>IF(OR($C1721="",$S1721=""),"",ROUND(($C1721-$S1721+IF($C1721&lt;$S1721,1,0))*1440,0))</f>
        <v/>
      </c>
      <c r="U1721" s="22">
        <f>IF(OR($H1721="",$T1721="",$T1721&lt;=0),"",$H1721*60/$T1721)</f>
        <v/>
      </c>
      <c r="V1721" s="37">
        <f>IF(OR($U1721="",$R1721="",$R1721=0),"",$U1721/$R1721)</f>
        <v/>
      </c>
      <c r="W1721" s="20">
        <f>IF($G1721="","",IF($X1721="CONTEXTE INCOMPLET","CONTEXTE INCOMPLET",IF($X1721="DOUBLON",StatutDoublon,IF($S1721="",StatutInitial,IF($R1721="",StatutStandardManquant,IF($V1721="","DONNEES INSUFFISANTES",IF($V1721&gt;=SeuilConforme,StatutConforme,IF($V1721&gt;=SeuilSurveiller,StatutSurveiller,StatutSousStandard))))))))</f>
        <v/>
      </c>
      <c r="X1721" s="33">
        <f>IF($G1721="","",IF(OR($D1721="",$E1721="",$F1721=""),"CONTEXTE INCOMPLET",IF(COUNTIFS($D821:$D1720,$D1721,$E821:$E1720,$E1721,$F821:$F1720,$F1721,$G821:$G1720,$G1721)&gt;0,"DOUBLON","VALIDE")))</f>
        <v/>
      </c>
    </row>
    <row r="1722" ht="15" customHeight="1">
      <c r="A1722" s="12">
        <f>IF(OR($B1722="",$G1722=""),"",TEXT($B1722,"YYYYMMDD")&amp;"-"&amp;SUBSTITUTE($E1722," ","")&amp;"-"&amp;$F1722&amp;"-"&amp;$G1722)</f>
        <v/>
      </c>
      <c r="B1722" s="15" t="n"/>
      <c r="C1722" s="16" t="n"/>
      <c r="D1722" s="10" t="n"/>
      <c r="E1722" s="9" t="n"/>
      <c r="F1722" s="9" t="n"/>
      <c r="G1722" s="13" t="n"/>
      <c r="H1722" s="21" t="n"/>
      <c r="I1722" s="21" t="n"/>
      <c r="J1722" s="17">
        <f>IF($G1722="","",IFERROR(INDEX(NomsEmployes,MATCH($G1722,MatriculesEmployes,0)),"MATRICULE INCONNU"))</f>
        <v/>
      </c>
      <c r="K1722" s="33">
        <f>IF(OR($D1722="",$F1722=""),"",IFERROR(IF(INDEX(RUNS!$L$6:$S$1005,MATCH($D1722,RUNS!$A$6:$A$1005,0),MATCH("ACTIVITÉ "&amp;$F1722,RUNS!$L$5:$S$5,0))="","",INDEX(RUNS!$L$6:$S$1005,MATCH($D1722,RUNS!$A$6:$A$1005,0),MATCH("ACTIVITÉ "&amp;$F1722,RUNS!$L$5:$S$5,0))),""))</f>
        <v/>
      </c>
      <c r="L1722" s="33">
        <f>IF($D1722="","",IFERROR(IF(INDEX(RUNS!$E$6:$E$1005,MATCH($D1722,RUNS!$A$6:$A$1005,0))="","",INDEX(RUNS!$E$6:$E$1005,MATCH($D1722,RUNS!$A$6:$A$1005,0))),""))</f>
        <v/>
      </c>
      <c r="M1722" s="33">
        <f>IF($D1722="","",IFERROR(IF(INDEX(RUNS!$F$6:$F$1005,MATCH($D1722,RUNS!$A$6:$A$1005,0))="","",INDEX(RUNS!$F$6:$F$1005,MATCH($D1722,RUNS!$A$6:$A$1005,0))),""))</f>
        <v/>
      </c>
      <c r="N1722" s="33">
        <f>IF($D1722="","",IFERROR(IF(INDEX(RUNS!$G$6:$G$1005,MATCH($D1722,RUNS!$A$6:$A$1005,0))="","",INDEX(RUNS!$G$6:$G$1005,MATCH($D1722,RUNS!$A$6:$A$1005,0))),""))</f>
        <v/>
      </c>
      <c r="O1722" s="33">
        <f>IF($D1722="","",IFERROR(IF(INDEX(RUNS!$H$6:$H$1005,MATCH($D1722,RUNS!$A$6:$A$1005,0))="","",INDEX(RUNS!$H$6:$H$1005,MATCH($D1722,RUNS!$A$6:$A$1005,0))),""))</f>
        <v/>
      </c>
      <c r="P1722" s="33">
        <f>IF($D1722="","",IFERROR(IF(INDEX(RUNS!$J$6:$J$1005,MATCH($D1722,RUNS!$A$6:$A$1005,0))="","",INDEX(RUNS!$J$6:$J$1005,MATCH($D1722,RUNS!$A$6:$A$1005,0))),""))</f>
        <v/>
      </c>
      <c r="Q1722" s="33">
        <f>IF($D1722="","",IFERROR(IF(INDEX(RUNS!$K$6:$K$1005,MATCH($D1722,RUNS!$A$6:$A$1005,0))="","",INDEX(RUNS!$K$6:$K$1005,MATCH($D1722,RUNS!$A$6:$A$1005,0))),""))</f>
        <v/>
      </c>
      <c r="R1722" s="34">
        <f>IF(OR($L1722="",$K1722=""),"",IFERROR(IF(INDEX(PARAMETRES!$H$43:$H$342,MATCH($L1722&amp;"|"&amp;$M1722&amp;"|"&amp;$N1722&amp;"|"&amp;$O1722&amp;"|"&amp;$P1722&amp;"|"&amp;$Q1722&amp;"|"&amp;$K1722,PARAMETRES!$J$43:$J$342,0))="","",INDEX(PARAMETRES!$H$43:$H$342,MATCH($L1722&amp;"|"&amp;$M1722&amp;"|"&amp;$N1722&amp;"|"&amp;$O1722&amp;"|"&amp;$P1722&amp;"|"&amp;$Q1722&amp;"|"&amp;$K1722,PARAMETRES!$J$43:$J$342,0))),""))</f>
        <v/>
      </c>
      <c r="S1722" s="35">
        <f>IF(OR($G1722="",$X1722&lt;&gt;"VALIDE"),"",IFERROR(LOOKUP(2,1/(($B822:$B1721=$B1722)*($G822:$G1721=$G1722)*($X822:$X1721="VALIDE")),$C822:$C1721),""))</f>
        <v/>
      </c>
      <c r="T1722" s="36">
        <f>IF(OR($C1722="",$S1722=""),"",ROUND(($C1722-$S1722+IF($C1722&lt;$S1722,1,0))*1440,0))</f>
        <v/>
      </c>
      <c r="U1722" s="22">
        <f>IF(OR($H1722="",$T1722="",$T1722&lt;=0),"",$H1722*60/$T1722)</f>
        <v/>
      </c>
      <c r="V1722" s="37">
        <f>IF(OR($U1722="",$R1722="",$R1722=0),"",$U1722/$R1722)</f>
        <v/>
      </c>
      <c r="W1722" s="20">
        <f>IF($G1722="","",IF($X1722="CONTEXTE INCOMPLET","CONTEXTE INCOMPLET",IF($X1722="DOUBLON",StatutDoublon,IF($S1722="",StatutInitial,IF($R1722="",StatutStandardManquant,IF($V1722="","DONNEES INSUFFISANTES",IF($V1722&gt;=SeuilConforme,StatutConforme,IF($V1722&gt;=SeuilSurveiller,StatutSurveiller,StatutSousStandard))))))))</f>
        <v/>
      </c>
      <c r="X1722" s="33">
        <f>IF($G1722="","",IF(OR($D1722="",$E1722="",$F1722=""),"CONTEXTE INCOMPLET",IF(COUNTIFS($D822:$D1721,$D1722,$E822:$E1721,$E1722,$F822:$F1721,$F1722,$G822:$G1721,$G1722)&gt;0,"DOUBLON","VALIDE")))</f>
        <v/>
      </c>
    </row>
    <row r="1723" ht="15" customHeight="1">
      <c r="A1723" s="12">
        <f>IF(OR($B1723="",$G1723=""),"",TEXT($B1723,"YYYYMMDD")&amp;"-"&amp;SUBSTITUTE($E1723," ","")&amp;"-"&amp;$F1723&amp;"-"&amp;$G1723)</f>
        <v/>
      </c>
      <c r="B1723" s="15" t="n"/>
      <c r="C1723" s="16" t="n"/>
      <c r="D1723" s="10" t="n"/>
      <c r="E1723" s="9" t="n"/>
      <c r="F1723" s="9" t="n"/>
      <c r="G1723" s="13" t="n"/>
      <c r="H1723" s="21" t="n"/>
      <c r="I1723" s="21" t="n"/>
      <c r="J1723" s="17">
        <f>IF($G1723="","",IFERROR(INDEX(NomsEmployes,MATCH($G1723,MatriculesEmployes,0)),"MATRICULE INCONNU"))</f>
        <v/>
      </c>
      <c r="K1723" s="33">
        <f>IF(OR($D1723="",$F1723=""),"",IFERROR(IF(INDEX(RUNS!$L$6:$S$1005,MATCH($D1723,RUNS!$A$6:$A$1005,0),MATCH("ACTIVITÉ "&amp;$F1723,RUNS!$L$5:$S$5,0))="","",INDEX(RUNS!$L$6:$S$1005,MATCH($D1723,RUNS!$A$6:$A$1005,0),MATCH("ACTIVITÉ "&amp;$F1723,RUNS!$L$5:$S$5,0))),""))</f>
        <v/>
      </c>
      <c r="L1723" s="33">
        <f>IF($D1723="","",IFERROR(IF(INDEX(RUNS!$E$6:$E$1005,MATCH($D1723,RUNS!$A$6:$A$1005,0))="","",INDEX(RUNS!$E$6:$E$1005,MATCH($D1723,RUNS!$A$6:$A$1005,0))),""))</f>
        <v/>
      </c>
      <c r="M1723" s="33">
        <f>IF($D1723="","",IFERROR(IF(INDEX(RUNS!$F$6:$F$1005,MATCH($D1723,RUNS!$A$6:$A$1005,0))="","",INDEX(RUNS!$F$6:$F$1005,MATCH($D1723,RUNS!$A$6:$A$1005,0))),""))</f>
        <v/>
      </c>
      <c r="N1723" s="33">
        <f>IF($D1723="","",IFERROR(IF(INDEX(RUNS!$G$6:$G$1005,MATCH($D1723,RUNS!$A$6:$A$1005,0))="","",INDEX(RUNS!$G$6:$G$1005,MATCH($D1723,RUNS!$A$6:$A$1005,0))),""))</f>
        <v/>
      </c>
      <c r="O1723" s="33">
        <f>IF($D1723="","",IFERROR(IF(INDEX(RUNS!$H$6:$H$1005,MATCH($D1723,RUNS!$A$6:$A$1005,0))="","",INDEX(RUNS!$H$6:$H$1005,MATCH($D1723,RUNS!$A$6:$A$1005,0))),""))</f>
        <v/>
      </c>
      <c r="P1723" s="33">
        <f>IF($D1723="","",IFERROR(IF(INDEX(RUNS!$J$6:$J$1005,MATCH($D1723,RUNS!$A$6:$A$1005,0))="","",INDEX(RUNS!$J$6:$J$1005,MATCH($D1723,RUNS!$A$6:$A$1005,0))),""))</f>
        <v/>
      </c>
      <c r="Q1723" s="33">
        <f>IF($D1723="","",IFERROR(IF(INDEX(RUNS!$K$6:$K$1005,MATCH($D1723,RUNS!$A$6:$A$1005,0))="","",INDEX(RUNS!$K$6:$K$1005,MATCH($D1723,RUNS!$A$6:$A$1005,0))),""))</f>
        <v/>
      </c>
      <c r="R1723" s="34">
        <f>IF(OR($L1723="",$K1723=""),"",IFERROR(IF(INDEX(PARAMETRES!$H$43:$H$342,MATCH($L1723&amp;"|"&amp;$M1723&amp;"|"&amp;$N1723&amp;"|"&amp;$O1723&amp;"|"&amp;$P1723&amp;"|"&amp;$Q1723&amp;"|"&amp;$K1723,PARAMETRES!$J$43:$J$342,0))="","",INDEX(PARAMETRES!$H$43:$H$342,MATCH($L1723&amp;"|"&amp;$M1723&amp;"|"&amp;$N1723&amp;"|"&amp;$O1723&amp;"|"&amp;$P1723&amp;"|"&amp;$Q1723&amp;"|"&amp;$K1723,PARAMETRES!$J$43:$J$342,0))),""))</f>
        <v/>
      </c>
      <c r="S1723" s="35">
        <f>IF(OR($G1723="",$X1723&lt;&gt;"VALIDE"),"",IFERROR(LOOKUP(2,1/(($B823:$B1722=$B1723)*($G823:$G1722=$G1723)*($X823:$X1722="VALIDE")),$C823:$C1722),""))</f>
        <v/>
      </c>
      <c r="T1723" s="36">
        <f>IF(OR($C1723="",$S1723=""),"",ROUND(($C1723-$S1723+IF($C1723&lt;$S1723,1,0))*1440,0))</f>
        <v/>
      </c>
      <c r="U1723" s="22">
        <f>IF(OR($H1723="",$T1723="",$T1723&lt;=0),"",$H1723*60/$T1723)</f>
        <v/>
      </c>
      <c r="V1723" s="37">
        <f>IF(OR($U1723="",$R1723="",$R1723=0),"",$U1723/$R1723)</f>
        <v/>
      </c>
      <c r="W1723" s="20">
        <f>IF($G1723="","",IF($X1723="CONTEXTE INCOMPLET","CONTEXTE INCOMPLET",IF($X1723="DOUBLON",StatutDoublon,IF($S1723="",StatutInitial,IF($R1723="",StatutStandardManquant,IF($V1723="","DONNEES INSUFFISANTES",IF($V1723&gt;=SeuilConforme,StatutConforme,IF($V1723&gt;=SeuilSurveiller,StatutSurveiller,StatutSousStandard))))))))</f>
        <v/>
      </c>
      <c r="X1723" s="33">
        <f>IF($G1723="","",IF(OR($D1723="",$E1723="",$F1723=""),"CONTEXTE INCOMPLET",IF(COUNTIFS($D823:$D1722,$D1723,$E823:$E1722,$E1723,$F823:$F1722,$F1723,$G823:$G1722,$G1723)&gt;0,"DOUBLON","VALIDE")))</f>
        <v/>
      </c>
    </row>
    <row r="1724" ht="15" customHeight="1">
      <c r="A1724" s="12">
        <f>IF(OR($B1724="",$G1724=""),"",TEXT($B1724,"YYYYMMDD")&amp;"-"&amp;SUBSTITUTE($E1724," ","")&amp;"-"&amp;$F1724&amp;"-"&amp;$G1724)</f>
        <v/>
      </c>
      <c r="B1724" s="15" t="n"/>
      <c r="C1724" s="16" t="n"/>
      <c r="D1724" s="10" t="n"/>
      <c r="E1724" s="9" t="n"/>
      <c r="F1724" s="9" t="n"/>
      <c r="G1724" s="13" t="n"/>
      <c r="H1724" s="21" t="n"/>
      <c r="I1724" s="21" t="n"/>
      <c r="J1724" s="17">
        <f>IF($G1724="","",IFERROR(INDEX(NomsEmployes,MATCH($G1724,MatriculesEmployes,0)),"MATRICULE INCONNU"))</f>
        <v/>
      </c>
      <c r="K1724" s="33">
        <f>IF(OR($D1724="",$F1724=""),"",IFERROR(IF(INDEX(RUNS!$L$6:$S$1005,MATCH($D1724,RUNS!$A$6:$A$1005,0),MATCH("ACTIVITÉ "&amp;$F1724,RUNS!$L$5:$S$5,0))="","",INDEX(RUNS!$L$6:$S$1005,MATCH($D1724,RUNS!$A$6:$A$1005,0),MATCH("ACTIVITÉ "&amp;$F1724,RUNS!$L$5:$S$5,0))),""))</f>
        <v/>
      </c>
      <c r="L1724" s="33">
        <f>IF($D1724="","",IFERROR(IF(INDEX(RUNS!$E$6:$E$1005,MATCH($D1724,RUNS!$A$6:$A$1005,0))="","",INDEX(RUNS!$E$6:$E$1005,MATCH($D1724,RUNS!$A$6:$A$1005,0))),""))</f>
        <v/>
      </c>
      <c r="M1724" s="33">
        <f>IF($D1724="","",IFERROR(IF(INDEX(RUNS!$F$6:$F$1005,MATCH($D1724,RUNS!$A$6:$A$1005,0))="","",INDEX(RUNS!$F$6:$F$1005,MATCH($D1724,RUNS!$A$6:$A$1005,0))),""))</f>
        <v/>
      </c>
      <c r="N1724" s="33">
        <f>IF($D1724="","",IFERROR(IF(INDEX(RUNS!$G$6:$G$1005,MATCH($D1724,RUNS!$A$6:$A$1005,0))="","",INDEX(RUNS!$G$6:$G$1005,MATCH($D1724,RUNS!$A$6:$A$1005,0))),""))</f>
        <v/>
      </c>
      <c r="O1724" s="33">
        <f>IF($D1724="","",IFERROR(IF(INDEX(RUNS!$H$6:$H$1005,MATCH($D1724,RUNS!$A$6:$A$1005,0))="","",INDEX(RUNS!$H$6:$H$1005,MATCH($D1724,RUNS!$A$6:$A$1005,0))),""))</f>
        <v/>
      </c>
      <c r="P1724" s="33">
        <f>IF($D1724="","",IFERROR(IF(INDEX(RUNS!$J$6:$J$1005,MATCH($D1724,RUNS!$A$6:$A$1005,0))="","",INDEX(RUNS!$J$6:$J$1005,MATCH($D1724,RUNS!$A$6:$A$1005,0))),""))</f>
        <v/>
      </c>
      <c r="Q1724" s="33">
        <f>IF($D1724="","",IFERROR(IF(INDEX(RUNS!$K$6:$K$1005,MATCH($D1724,RUNS!$A$6:$A$1005,0))="","",INDEX(RUNS!$K$6:$K$1005,MATCH($D1724,RUNS!$A$6:$A$1005,0))),""))</f>
        <v/>
      </c>
      <c r="R1724" s="34">
        <f>IF(OR($L1724="",$K1724=""),"",IFERROR(IF(INDEX(PARAMETRES!$H$43:$H$342,MATCH($L1724&amp;"|"&amp;$M1724&amp;"|"&amp;$N1724&amp;"|"&amp;$O1724&amp;"|"&amp;$P1724&amp;"|"&amp;$Q1724&amp;"|"&amp;$K1724,PARAMETRES!$J$43:$J$342,0))="","",INDEX(PARAMETRES!$H$43:$H$342,MATCH($L1724&amp;"|"&amp;$M1724&amp;"|"&amp;$N1724&amp;"|"&amp;$O1724&amp;"|"&amp;$P1724&amp;"|"&amp;$Q1724&amp;"|"&amp;$K1724,PARAMETRES!$J$43:$J$342,0))),""))</f>
        <v/>
      </c>
      <c r="S1724" s="35">
        <f>IF(OR($G1724="",$X1724&lt;&gt;"VALIDE"),"",IFERROR(LOOKUP(2,1/(($B824:$B1723=$B1724)*($G824:$G1723=$G1724)*($X824:$X1723="VALIDE")),$C824:$C1723),""))</f>
        <v/>
      </c>
      <c r="T1724" s="36">
        <f>IF(OR($C1724="",$S1724=""),"",ROUND(($C1724-$S1724+IF($C1724&lt;$S1724,1,0))*1440,0))</f>
        <v/>
      </c>
      <c r="U1724" s="22">
        <f>IF(OR($H1724="",$T1724="",$T1724&lt;=0),"",$H1724*60/$T1724)</f>
        <v/>
      </c>
      <c r="V1724" s="37">
        <f>IF(OR($U1724="",$R1724="",$R1724=0),"",$U1724/$R1724)</f>
        <v/>
      </c>
      <c r="W1724" s="20">
        <f>IF($G1724="","",IF($X1724="CONTEXTE INCOMPLET","CONTEXTE INCOMPLET",IF($X1724="DOUBLON",StatutDoublon,IF($S1724="",StatutInitial,IF($R1724="",StatutStandardManquant,IF($V1724="","DONNEES INSUFFISANTES",IF($V1724&gt;=SeuilConforme,StatutConforme,IF($V1724&gt;=SeuilSurveiller,StatutSurveiller,StatutSousStandard))))))))</f>
        <v/>
      </c>
      <c r="X1724" s="33">
        <f>IF($G1724="","",IF(OR($D1724="",$E1724="",$F1724=""),"CONTEXTE INCOMPLET",IF(COUNTIFS($D824:$D1723,$D1724,$E824:$E1723,$E1724,$F824:$F1723,$F1724,$G824:$G1723,$G1724)&gt;0,"DOUBLON","VALIDE")))</f>
        <v/>
      </c>
    </row>
    <row r="1725" ht="15" customHeight="1">
      <c r="A1725" s="12">
        <f>IF(OR($B1725="",$G1725=""),"",TEXT($B1725,"YYYYMMDD")&amp;"-"&amp;SUBSTITUTE($E1725," ","")&amp;"-"&amp;$F1725&amp;"-"&amp;$G1725)</f>
        <v/>
      </c>
      <c r="B1725" s="15" t="n"/>
      <c r="C1725" s="16" t="n"/>
      <c r="D1725" s="10" t="n"/>
      <c r="E1725" s="9" t="n"/>
      <c r="F1725" s="9" t="n"/>
      <c r="G1725" s="13" t="n"/>
      <c r="H1725" s="21" t="n"/>
      <c r="I1725" s="21" t="n"/>
      <c r="J1725" s="17">
        <f>IF($G1725="","",IFERROR(INDEX(NomsEmployes,MATCH($G1725,MatriculesEmployes,0)),"MATRICULE INCONNU"))</f>
        <v/>
      </c>
      <c r="K1725" s="33">
        <f>IF(OR($D1725="",$F1725=""),"",IFERROR(IF(INDEX(RUNS!$L$6:$S$1005,MATCH($D1725,RUNS!$A$6:$A$1005,0),MATCH("ACTIVITÉ "&amp;$F1725,RUNS!$L$5:$S$5,0))="","",INDEX(RUNS!$L$6:$S$1005,MATCH($D1725,RUNS!$A$6:$A$1005,0),MATCH("ACTIVITÉ "&amp;$F1725,RUNS!$L$5:$S$5,0))),""))</f>
        <v/>
      </c>
      <c r="L1725" s="33">
        <f>IF($D1725="","",IFERROR(IF(INDEX(RUNS!$E$6:$E$1005,MATCH($D1725,RUNS!$A$6:$A$1005,0))="","",INDEX(RUNS!$E$6:$E$1005,MATCH($D1725,RUNS!$A$6:$A$1005,0))),""))</f>
        <v/>
      </c>
      <c r="M1725" s="33">
        <f>IF($D1725="","",IFERROR(IF(INDEX(RUNS!$F$6:$F$1005,MATCH($D1725,RUNS!$A$6:$A$1005,0))="","",INDEX(RUNS!$F$6:$F$1005,MATCH($D1725,RUNS!$A$6:$A$1005,0))),""))</f>
        <v/>
      </c>
      <c r="N1725" s="33">
        <f>IF($D1725="","",IFERROR(IF(INDEX(RUNS!$G$6:$G$1005,MATCH($D1725,RUNS!$A$6:$A$1005,0))="","",INDEX(RUNS!$G$6:$G$1005,MATCH($D1725,RUNS!$A$6:$A$1005,0))),""))</f>
        <v/>
      </c>
      <c r="O1725" s="33">
        <f>IF($D1725="","",IFERROR(IF(INDEX(RUNS!$H$6:$H$1005,MATCH($D1725,RUNS!$A$6:$A$1005,0))="","",INDEX(RUNS!$H$6:$H$1005,MATCH($D1725,RUNS!$A$6:$A$1005,0))),""))</f>
        <v/>
      </c>
      <c r="P1725" s="33">
        <f>IF($D1725="","",IFERROR(IF(INDEX(RUNS!$J$6:$J$1005,MATCH($D1725,RUNS!$A$6:$A$1005,0))="","",INDEX(RUNS!$J$6:$J$1005,MATCH($D1725,RUNS!$A$6:$A$1005,0))),""))</f>
        <v/>
      </c>
      <c r="Q1725" s="33">
        <f>IF($D1725="","",IFERROR(IF(INDEX(RUNS!$K$6:$K$1005,MATCH($D1725,RUNS!$A$6:$A$1005,0))="","",INDEX(RUNS!$K$6:$K$1005,MATCH($D1725,RUNS!$A$6:$A$1005,0))),""))</f>
        <v/>
      </c>
      <c r="R1725" s="34">
        <f>IF(OR($L1725="",$K1725=""),"",IFERROR(IF(INDEX(PARAMETRES!$H$43:$H$342,MATCH($L1725&amp;"|"&amp;$M1725&amp;"|"&amp;$N1725&amp;"|"&amp;$O1725&amp;"|"&amp;$P1725&amp;"|"&amp;$Q1725&amp;"|"&amp;$K1725,PARAMETRES!$J$43:$J$342,0))="","",INDEX(PARAMETRES!$H$43:$H$342,MATCH($L1725&amp;"|"&amp;$M1725&amp;"|"&amp;$N1725&amp;"|"&amp;$O1725&amp;"|"&amp;$P1725&amp;"|"&amp;$Q1725&amp;"|"&amp;$K1725,PARAMETRES!$J$43:$J$342,0))),""))</f>
        <v/>
      </c>
      <c r="S1725" s="35">
        <f>IF(OR($G1725="",$X1725&lt;&gt;"VALIDE"),"",IFERROR(LOOKUP(2,1/(($B825:$B1724=$B1725)*($G825:$G1724=$G1725)*($X825:$X1724="VALIDE")),$C825:$C1724),""))</f>
        <v/>
      </c>
      <c r="T1725" s="36">
        <f>IF(OR($C1725="",$S1725=""),"",ROUND(($C1725-$S1725+IF($C1725&lt;$S1725,1,0))*1440,0))</f>
        <v/>
      </c>
      <c r="U1725" s="22">
        <f>IF(OR($H1725="",$T1725="",$T1725&lt;=0),"",$H1725*60/$T1725)</f>
        <v/>
      </c>
      <c r="V1725" s="37">
        <f>IF(OR($U1725="",$R1725="",$R1725=0),"",$U1725/$R1725)</f>
        <v/>
      </c>
      <c r="W1725" s="20">
        <f>IF($G1725="","",IF($X1725="CONTEXTE INCOMPLET","CONTEXTE INCOMPLET",IF($X1725="DOUBLON",StatutDoublon,IF($S1725="",StatutInitial,IF($R1725="",StatutStandardManquant,IF($V1725="","DONNEES INSUFFISANTES",IF($V1725&gt;=SeuilConforme,StatutConforme,IF($V1725&gt;=SeuilSurveiller,StatutSurveiller,StatutSousStandard))))))))</f>
        <v/>
      </c>
      <c r="X1725" s="33">
        <f>IF($G1725="","",IF(OR($D1725="",$E1725="",$F1725=""),"CONTEXTE INCOMPLET",IF(COUNTIFS($D825:$D1724,$D1725,$E825:$E1724,$E1725,$F825:$F1724,$F1725,$G825:$G1724,$G1725)&gt;0,"DOUBLON","VALIDE")))</f>
        <v/>
      </c>
    </row>
    <row r="1726" ht="15" customHeight="1">
      <c r="A1726" s="12">
        <f>IF(OR($B1726="",$G1726=""),"",TEXT($B1726,"YYYYMMDD")&amp;"-"&amp;SUBSTITUTE($E1726," ","")&amp;"-"&amp;$F1726&amp;"-"&amp;$G1726)</f>
        <v/>
      </c>
      <c r="B1726" s="15" t="n"/>
      <c r="C1726" s="16" t="n"/>
      <c r="D1726" s="10" t="n"/>
      <c r="E1726" s="9" t="n"/>
      <c r="F1726" s="9" t="n"/>
      <c r="G1726" s="13" t="n"/>
      <c r="H1726" s="21" t="n"/>
      <c r="I1726" s="21" t="n"/>
      <c r="J1726" s="17">
        <f>IF($G1726="","",IFERROR(INDEX(NomsEmployes,MATCH($G1726,MatriculesEmployes,0)),"MATRICULE INCONNU"))</f>
        <v/>
      </c>
      <c r="K1726" s="33">
        <f>IF(OR($D1726="",$F1726=""),"",IFERROR(IF(INDEX(RUNS!$L$6:$S$1005,MATCH($D1726,RUNS!$A$6:$A$1005,0),MATCH("ACTIVITÉ "&amp;$F1726,RUNS!$L$5:$S$5,0))="","",INDEX(RUNS!$L$6:$S$1005,MATCH($D1726,RUNS!$A$6:$A$1005,0),MATCH("ACTIVITÉ "&amp;$F1726,RUNS!$L$5:$S$5,0))),""))</f>
        <v/>
      </c>
      <c r="L1726" s="33">
        <f>IF($D1726="","",IFERROR(IF(INDEX(RUNS!$E$6:$E$1005,MATCH($D1726,RUNS!$A$6:$A$1005,0))="","",INDEX(RUNS!$E$6:$E$1005,MATCH($D1726,RUNS!$A$6:$A$1005,0))),""))</f>
        <v/>
      </c>
      <c r="M1726" s="33">
        <f>IF($D1726="","",IFERROR(IF(INDEX(RUNS!$F$6:$F$1005,MATCH($D1726,RUNS!$A$6:$A$1005,0))="","",INDEX(RUNS!$F$6:$F$1005,MATCH($D1726,RUNS!$A$6:$A$1005,0))),""))</f>
        <v/>
      </c>
      <c r="N1726" s="33">
        <f>IF($D1726="","",IFERROR(IF(INDEX(RUNS!$G$6:$G$1005,MATCH($D1726,RUNS!$A$6:$A$1005,0))="","",INDEX(RUNS!$G$6:$G$1005,MATCH($D1726,RUNS!$A$6:$A$1005,0))),""))</f>
        <v/>
      </c>
      <c r="O1726" s="33">
        <f>IF($D1726="","",IFERROR(IF(INDEX(RUNS!$H$6:$H$1005,MATCH($D1726,RUNS!$A$6:$A$1005,0))="","",INDEX(RUNS!$H$6:$H$1005,MATCH($D1726,RUNS!$A$6:$A$1005,0))),""))</f>
        <v/>
      </c>
      <c r="P1726" s="33">
        <f>IF($D1726="","",IFERROR(IF(INDEX(RUNS!$J$6:$J$1005,MATCH($D1726,RUNS!$A$6:$A$1005,0))="","",INDEX(RUNS!$J$6:$J$1005,MATCH($D1726,RUNS!$A$6:$A$1005,0))),""))</f>
        <v/>
      </c>
      <c r="Q1726" s="33">
        <f>IF($D1726="","",IFERROR(IF(INDEX(RUNS!$K$6:$K$1005,MATCH($D1726,RUNS!$A$6:$A$1005,0))="","",INDEX(RUNS!$K$6:$K$1005,MATCH($D1726,RUNS!$A$6:$A$1005,0))),""))</f>
        <v/>
      </c>
      <c r="R1726" s="34">
        <f>IF(OR($L1726="",$K1726=""),"",IFERROR(IF(INDEX(PARAMETRES!$H$43:$H$342,MATCH($L1726&amp;"|"&amp;$M1726&amp;"|"&amp;$N1726&amp;"|"&amp;$O1726&amp;"|"&amp;$P1726&amp;"|"&amp;$Q1726&amp;"|"&amp;$K1726,PARAMETRES!$J$43:$J$342,0))="","",INDEX(PARAMETRES!$H$43:$H$342,MATCH($L1726&amp;"|"&amp;$M1726&amp;"|"&amp;$N1726&amp;"|"&amp;$O1726&amp;"|"&amp;$P1726&amp;"|"&amp;$Q1726&amp;"|"&amp;$K1726,PARAMETRES!$J$43:$J$342,0))),""))</f>
        <v/>
      </c>
      <c r="S1726" s="35">
        <f>IF(OR($G1726="",$X1726&lt;&gt;"VALIDE"),"",IFERROR(LOOKUP(2,1/(($B826:$B1725=$B1726)*($G826:$G1725=$G1726)*($X826:$X1725="VALIDE")),$C826:$C1725),""))</f>
        <v/>
      </c>
      <c r="T1726" s="36">
        <f>IF(OR($C1726="",$S1726=""),"",ROUND(($C1726-$S1726+IF($C1726&lt;$S1726,1,0))*1440,0))</f>
        <v/>
      </c>
      <c r="U1726" s="22">
        <f>IF(OR($H1726="",$T1726="",$T1726&lt;=0),"",$H1726*60/$T1726)</f>
        <v/>
      </c>
      <c r="V1726" s="37">
        <f>IF(OR($U1726="",$R1726="",$R1726=0),"",$U1726/$R1726)</f>
        <v/>
      </c>
      <c r="W1726" s="20">
        <f>IF($G1726="","",IF($X1726="CONTEXTE INCOMPLET","CONTEXTE INCOMPLET",IF($X1726="DOUBLON",StatutDoublon,IF($S1726="",StatutInitial,IF($R1726="",StatutStandardManquant,IF($V1726="","DONNEES INSUFFISANTES",IF($V1726&gt;=SeuilConforme,StatutConforme,IF($V1726&gt;=SeuilSurveiller,StatutSurveiller,StatutSousStandard))))))))</f>
        <v/>
      </c>
      <c r="X1726" s="33">
        <f>IF($G1726="","",IF(OR($D1726="",$E1726="",$F1726=""),"CONTEXTE INCOMPLET",IF(COUNTIFS($D826:$D1725,$D1726,$E826:$E1725,$E1726,$F826:$F1725,$F1726,$G826:$G1725,$G1726)&gt;0,"DOUBLON","VALIDE")))</f>
        <v/>
      </c>
    </row>
    <row r="1727" ht="15" customHeight="1">
      <c r="A1727" s="12">
        <f>IF(OR($B1727="",$G1727=""),"",TEXT($B1727,"YYYYMMDD")&amp;"-"&amp;SUBSTITUTE($E1727," ","")&amp;"-"&amp;$F1727&amp;"-"&amp;$G1727)</f>
        <v/>
      </c>
      <c r="B1727" s="15" t="n"/>
      <c r="C1727" s="16" t="n"/>
      <c r="D1727" s="10" t="n"/>
      <c r="E1727" s="9" t="n"/>
      <c r="F1727" s="9" t="n"/>
      <c r="G1727" s="13" t="n"/>
      <c r="H1727" s="21" t="n"/>
      <c r="I1727" s="21" t="n"/>
      <c r="J1727" s="17">
        <f>IF($G1727="","",IFERROR(INDEX(NomsEmployes,MATCH($G1727,MatriculesEmployes,0)),"MATRICULE INCONNU"))</f>
        <v/>
      </c>
      <c r="K1727" s="33">
        <f>IF(OR($D1727="",$F1727=""),"",IFERROR(IF(INDEX(RUNS!$L$6:$S$1005,MATCH($D1727,RUNS!$A$6:$A$1005,0),MATCH("ACTIVITÉ "&amp;$F1727,RUNS!$L$5:$S$5,0))="","",INDEX(RUNS!$L$6:$S$1005,MATCH($D1727,RUNS!$A$6:$A$1005,0),MATCH("ACTIVITÉ "&amp;$F1727,RUNS!$L$5:$S$5,0))),""))</f>
        <v/>
      </c>
      <c r="L1727" s="33">
        <f>IF($D1727="","",IFERROR(IF(INDEX(RUNS!$E$6:$E$1005,MATCH($D1727,RUNS!$A$6:$A$1005,0))="","",INDEX(RUNS!$E$6:$E$1005,MATCH($D1727,RUNS!$A$6:$A$1005,0))),""))</f>
        <v/>
      </c>
      <c r="M1727" s="33">
        <f>IF($D1727="","",IFERROR(IF(INDEX(RUNS!$F$6:$F$1005,MATCH($D1727,RUNS!$A$6:$A$1005,0))="","",INDEX(RUNS!$F$6:$F$1005,MATCH($D1727,RUNS!$A$6:$A$1005,0))),""))</f>
        <v/>
      </c>
      <c r="N1727" s="33">
        <f>IF($D1727="","",IFERROR(IF(INDEX(RUNS!$G$6:$G$1005,MATCH($D1727,RUNS!$A$6:$A$1005,0))="","",INDEX(RUNS!$G$6:$G$1005,MATCH($D1727,RUNS!$A$6:$A$1005,0))),""))</f>
        <v/>
      </c>
      <c r="O1727" s="33">
        <f>IF($D1727="","",IFERROR(IF(INDEX(RUNS!$H$6:$H$1005,MATCH($D1727,RUNS!$A$6:$A$1005,0))="","",INDEX(RUNS!$H$6:$H$1005,MATCH($D1727,RUNS!$A$6:$A$1005,0))),""))</f>
        <v/>
      </c>
      <c r="P1727" s="33">
        <f>IF($D1727="","",IFERROR(IF(INDEX(RUNS!$J$6:$J$1005,MATCH($D1727,RUNS!$A$6:$A$1005,0))="","",INDEX(RUNS!$J$6:$J$1005,MATCH($D1727,RUNS!$A$6:$A$1005,0))),""))</f>
        <v/>
      </c>
      <c r="Q1727" s="33">
        <f>IF($D1727="","",IFERROR(IF(INDEX(RUNS!$K$6:$K$1005,MATCH($D1727,RUNS!$A$6:$A$1005,0))="","",INDEX(RUNS!$K$6:$K$1005,MATCH($D1727,RUNS!$A$6:$A$1005,0))),""))</f>
        <v/>
      </c>
      <c r="R1727" s="34">
        <f>IF(OR($L1727="",$K1727=""),"",IFERROR(IF(INDEX(PARAMETRES!$H$43:$H$342,MATCH($L1727&amp;"|"&amp;$M1727&amp;"|"&amp;$N1727&amp;"|"&amp;$O1727&amp;"|"&amp;$P1727&amp;"|"&amp;$Q1727&amp;"|"&amp;$K1727,PARAMETRES!$J$43:$J$342,0))="","",INDEX(PARAMETRES!$H$43:$H$342,MATCH($L1727&amp;"|"&amp;$M1727&amp;"|"&amp;$N1727&amp;"|"&amp;$O1727&amp;"|"&amp;$P1727&amp;"|"&amp;$Q1727&amp;"|"&amp;$K1727,PARAMETRES!$J$43:$J$342,0))),""))</f>
        <v/>
      </c>
      <c r="S1727" s="35">
        <f>IF(OR($G1727="",$X1727&lt;&gt;"VALIDE"),"",IFERROR(LOOKUP(2,1/(($B827:$B1726=$B1727)*($G827:$G1726=$G1727)*($X827:$X1726="VALIDE")),$C827:$C1726),""))</f>
        <v/>
      </c>
      <c r="T1727" s="36">
        <f>IF(OR($C1727="",$S1727=""),"",ROUND(($C1727-$S1727+IF($C1727&lt;$S1727,1,0))*1440,0))</f>
        <v/>
      </c>
      <c r="U1727" s="22">
        <f>IF(OR($H1727="",$T1727="",$T1727&lt;=0),"",$H1727*60/$T1727)</f>
        <v/>
      </c>
      <c r="V1727" s="37">
        <f>IF(OR($U1727="",$R1727="",$R1727=0),"",$U1727/$R1727)</f>
        <v/>
      </c>
      <c r="W1727" s="20">
        <f>IF($G1727="","",IF($X1727="CONTEXTE INCOMPLET","CONTEXTE INCOMPLET",IF($X1727="DOUBLON",StatutDoublon,IF($S1727="",StatutInitial,IF($R1727="",StatutStandardManquant,IF($V1727="","DONNEES INSUFFISANTES",IF($V1727&gt;=SeuilConforme,StatutConforme,IF($V1727&gt;=SeuilSurveiller,StatutSurveiller,StatutSousStandard))))))))</f>
        <v/>
      </c>
      <c r="X1727" s="33">
        <f>IF($G1727="","",IF(OR($D1727="",$E1727="",$F1727=""),"CONTEXTE INCOMPLET",IF(COUNTIFS($D827:$D1726,$D1727,$E827:$E1726,$E1727,$F827:$F1726,$F1727,$G827:$G1726,$G1727)&gt;0,"DOUBLON","VALIDE")))</f>
        <v/>
      </c>
    </row>
    <row r="1728" ht="15" customHeight="1">
      <c r="A1728" s="12">
        <f>IF(OR($B1728="",$G1728=""),"",TEXT($B1728,"YYYYMMDD")&amp;"-"&amp;SUBSTITUTE($E1728," ","")&amp;"-"&amp;$F1728&amp;"-"&amp;$G1728)</f>
        <v/>
      </c>
      <c r="B1728" s="15" t="n"/>
      <c r="C1728" s="16" t="n"/>
      <c r="D1728" s="10" t="n"/>
      <c r="E1728" s="9" t="n"/>
      <c r="F1728" s="9" t="n"/>
      <c r="G1728" s="13" t="n"/>
      <c r="H1728" s="21" t="n"/>
      <c r="I1728" s="21" t="n"/>
      <c r="J1728" s="17">
        <f>IF($G1728="","",IFERROR(INDEX(NomsEmployes,MATCH($G1728,MatriculesEmployes,0)),"MATRICULE INCONNU"))</f>
        <v/>
      </c>
      <c r="K1728" s="33">
        <f>IF(OR($D1728="",$F1728=""),"",IFERROR(IF(INDEX(RUNS!$L$6:$S$1005,MATCH($D1728,RUNS!$A$6:$A$1005,0),MATCH("ACTIVITÉ "&amp;$F1728,RUNS!$L$5:$S$5,0))="","",INDEX(RUNS!$L$6:$S$1005,MATCH($D1728,RUNS!$A$6:$A$1005,0),MATCH("ACTIVITÉ "&amp;$F1728,RUNS!$L$5:$S$5,0))),""))</f>
        <v/>
      </c>
      <c r="L1728" s="33">
        <f>IF($D1728="","",IFERROR(IF(INDEX(RUNS!$E$6:$E$1005,MATCH($D1728,RUNS!$A$6:$A$1005,0))="","",INDEX(RUNS!$E$6:$E$1005,MATCH($D1728,RUNS!$A$6:$A$1005,0))),""))</f>
        <v/>
      </c>
      <c r="M1728" s="33">
        <f>IF($D1728="","",IFERROR(IF(INDEX(RUNS!$F$6:$F$1005,MATCH($D1728,RUNS!$A$6:$A$1005,0))="","",INDEX(RUNS!$F$6:$F$1005,MATCH($D1728,RUNS!$A$6:$A$1005,0))),""))</f>
        <v/>
      </c>
      <c r="N1728" s="33">
        <f>IF($D1728="","",IFERROR(IF(INDEX(RUNS!$G$6:$G$1005,MATCH($D1728,RUNS!$A$6:$A$1005,0))="","",INDEX(RUNS!$G$6:$G$1005,MATCH($D1728,RUNS!$A$6:$A$1005,0))),""))</f>
        <v/>
      </c>
      <c r="O1728" s="33">
        <f>IF($D1728="","",IFERROR(IF(INDEX(RUNS!$H$6:$H$1005,MATCH($D1728,RUNS!$A$6:$A$1005,0))="","",INDEX(RUNS!$H$6:$H$1005,MATCH($D1728,RUNS!$A$6:$A$1005,0))),""))</f>
        <v/>
      </c>
      <c r="P1728" s="33">
        <f>IF($D1728="","",IFERROR(IF(INDEX(RUNS!$J$6:$J$1005,MATCH($D1728,RUNS!$A$6:$A$1005,0))="","",INDEX(RUNS!$J$6:$J$1005,MATCH($D1728,RUNS!$A$6:$A$1005,0))),""))</f>
        <v/>
      </c>
      <c r="Q1728" s="33">
        <f>IF($D1728="","",IFERROR(IF(INDEX(RUNS!$K$6:$K$1005,MATCH($D1728,RUNS!$A$6:$A$1005,0))="","",INDEX(RUNS!$K$6:$K$1005,MATCH($D1728,RUNS!$A$6:$A$1005,0))),""))</f>
        <v/>
      </c>
      <c r="R1728" s="34">
        <f>IF(OR($L1728="",$K1728=""),"",IFERROR(IF(INDEX(PARAMETRES!$H$43:$H$342,MATCH($L1728&amp;"|"&amp;$M1728&amp;"|"&amp;$N1728&amp;"|"&amp;$O1728&amp;"|"&amp;$P1728&amp;"|"&amp;$Q1728&amp;"|"&amp;$K1728,PARAMETRES!$J$43:$J$342,0))="","",INDEX(PARAMETRES!$H$43:$H$342,MATCH($L1728&amp;"|"&amp;$M1728&amp;"|"&amp;$N1728&amp;"|"&amp;$O1728&amp;"|"&amp;$P1728&amp;"|"&amp;$Q1728&amp;"|"&amp;$K1728,PARAMETRES!$J$43:$J$342,0))),""))</f>
        <v/>
      </c>
      <c r="S1728" s="35">
        <f>IF(OR($G1728="",$X1728&lt;&gt;"VALIDE"),"",IFERROR(LOOKUP(2,1/(($B828:$B1727=$B1728)*($G828:$G1727=$G1728)*($X828:$X1727="VALIDE")),$C828:$C1727),""))</f>
        <v/>
      </c>
      <c r="T1728" s="36">
        <f>IF(OR($C1728="",$S1728=""),"",ROUND(($C1728-$S1728+IF($C1728&lt;$S1728,1,0))*1440,0))</f>
        <v/>
      </c>
      <c r="U1728" s="22">
        <f>IF(OR($H1728="",$T1728="",$T1728&lt;=0),"",$H1728*60/$T1728)</f>
        <v/>
      </c>
      <c r="V1728" s="37">
        <f>IF(OR($U1728="",$R1728="",$R1728=0),"",$U1728/$R1728)</f>
        <v/>
      </c>
      <c r="W1728" s="20">
        <f>IF($G1728="","",IF($X1728="CONTEXTE INCOMPLET","CONTEXTE INCOMPLET",IF($X1728="DOUBLON",StatutDoublon,IF($S1728="",StatutInitial,IF($R1728="",StatutStandardManquant,IF($V1728="","DONNEES INSUFFISANTES",IF($V1728&gt;=SeuilConforme,StatutConforme,IF($V1728&gt;=SeuilSurveiller,StatutSurveiller,StatutSousStandard))))))))</f>
        <v/>
      </c>
      <c r="X1728" s="33">
        <f>IF($G1728="","",IF(OR($D1728="",$E1728="",$F1728=""),"CONTEXTE INCOMPLET",IF(COUNTIFS($D828:$D1727,$D1728,$E828:$E1727,$E1728,$F828:$F1727,$F1728,$G828:$G1727,$G1728)&gt;0,"DOUBLON","VALIDE")))</f>
        <v/>
      </c>
    </row>
    <row r="1729" ht="15" customHeight="1">
      <c r="A1729" s="12">
        <f>IF(OR($B1729="",$G1729=""),"",TEXT($B1729,"YYYYMMDD")&amp;"-"&amp;SUBSTITUTE($E1729," ","")&amp;"-"&amp;$F1729&amp;"-"&amp;$G1729)</f>
        <v/>
      </c>
      <c r="B1729" s="15" t="n"/>
      <c r="C1729" s="16" t="n"/>
      <c r="D1729" s="10" t="n"/>
      <c r="E1729" s="9" t="n"/>
      <c r="F1729" s="9" t="n"/>
      <c r="G1729" s="13" t="n"/>
      <c r="H1729" s="21" t="n"/>
      <c r="I1729" s="21" t="n"/>
      <c r="J1729" s="17">
        <f>IF($G1729="","",IFERROR(INDEX(NomsEmployes,MATCH($G1729,MatriculesEmployes,0)),"MATRICULE INCONNU"))</f>
        <v/>
      </c>
      <c r="K1729" s="33">
        <f>IF(OR($D1729="",$F1729=""),"",IFERROR(IF(INDEX(RUNS!$L$6:$S$1005,MATCH($D1729,RUNS!$A$6:$A$1005,0),MATCH("ACTIVITÉ "&amp;$F1729,RUNS!$L$5:$S$5,0))="","",INDEX(RUNS!$L$6:$S$1005,MATCH($D1729,RUNS!$A$6:$A$1005,0),MATCH("ACTIVITÉ "&amp;$F1729,RUNS!$L$5:$S$5,0))),""))</f>
        <v/>
      </c>
      <c r="L1729" s="33">
        <f>IF($D1729="","",IFERROR(IF(INDEX(RUNS!$E$6:$E$1005,MATCH($D1729,RUNS!$A$6:$A$1005,0))="","",INDEX(RUNS!$E$6:$E$1005,MATCH($D1729,RUNS!$A$6:$A$1005,0))),""))</f>
        <v/>
      </c>
      <c r="M1729" s="33">
        <f>IF($D1729="","",IFERROR(IF(INDEX(RUNS!$F$6:$F$1005,MATCH($D1729,RUNS!$A$6:$A$1005,0))="","",INDEX(RUNS!$F$6:$F$1005,MATCH($D1729,RUNS!$A$6:$A$1005,0))),""))</f>
        <v/>
      </c>
      <c r="N1729" s="33">
        <f>IF($D1729="","",IFERROR(IF(INDEX(RUNS!$G$6:$G$1005,MATCH($D1729,RUNS!$A$6:$A$1005,0))="","",INDEX(RUNS!$G$6:$G$1005,MATCH($D1729,RUNS!$A$6:$A$1005,0))),""))</f>
        <v/>
      </c>
      <c r="O1729" s="33">
        <f>IF($D1729="","",IFERROR(IF(INDEX(RUNS!$H$6:$H$1005,MATCH($D1729,RUNS!$A$6:$A$1005,0))="","",INDEX(RUNS!$H$6:$H$1005,MATCH($D1729,RUNS!$A$6:$A$1005,0))),""))</f>
        <v/>
      </c>
      <c r="P1729" s="33">
        <f>IF($D1729="","",IFERROR(IF(INDEX(RUNS!$J$6:$J$1005,MATCH($D1729,RUNS!$A$6:$A$1005,0))="","",INDEX(RUNS!$J$6:$J$1005,MATCH($D1729,RUNS!$A$6:$A$1005,0))),""))</f>
        <v/>
      </c>
      <c r="Q1729" s="33">
        <f>IF($D1729="","",IFERROR(IF(INDEX(RUNS!$K$6:$K$1005,MATCH($D1729,RUNS!$A$6:$A$1005,0))="","",INDEX(RUNS!$K$6:$K$1005,MATCH($D1729,RUNS!$A$6:$A$1005,0))),""))</f>
        <v/>
      </c>
      <c r="R1729" s="34">
        <f>IF(OR($L1729="",$K1729=""),"",IFERROR(IF(INDEX(PARAMETRES!$H$43:$H$342,MATCH($L1729&amp;"|"&amp;$M1729&amp;"|"&amp;$N1729&amp;"|"&amp;$O1729&amp;"|"&amp;$P1729&amp;"|"&amp;$Q1729&amp;"|"&amp;$K1729,PARAMETRES!$J$43:$J$342,0))="","",INDEX(PARAMETRES!$H$43:$H$342,MATCH($L1729&amp;"|"&amp;$M1729&amp;"|"&amp;$N1729&amp;"|"&amp;$O1729&amp;"|"&amp;$P1729&amp;"|"&amp;$Q1729&amp;"|"&amp;$K1729,PARAMETRES!$J$43:$J$342,0))),""))</f>
        <v/>
      </c>
      <c r="S1729" s="35">
        <f>IF(OR($G1729="",$X1729&lt;&gt;"VALIDE"),"",IFERROR(LOOKUP(2,1/(($B829:$B1728=$B1729)*($G829:$G1728=$G1729)*($X829:$X1728="VALIDE")),$C829:$C1728),""))</f>
        <v/>
      </c>
      <c r="T1729" s="36">
        <f>IF(OR($C1729="",$S1729=""),"",ROUND(($C1729-$S1729+IF($C1729&lt;$S1729,1,0))*1440,0))</f>
        <v/>
      </c>
      <c r="U1729" s="22">
        <f>IF(OR($H1729="",$T1729="",$T1729&lt;=0),"",$H1729*60/$T1729)</f>
        <v/>
      </c>
      <c r="V1729" s="37">
        <f>IF(OR($U1729="",$R1729="",$R1729=0),"",$U1729/$R1729)</f>
        <v/>
      </c>
      <c r="W1729" s="20">
        <f>IF($G1729="","",IF($X1729="CONTEXTE INCOMPLET","CONTEXTE INCOMPLET",IF($X1729="DOUBLON",StatutDoublon,IF($S1729="",StatutInitial,IF($R1729="",StatutStandardManquant,IF($V1729="","DONNEES INSUFFISANTES",IF($V1729&gt;=SeuilConforme,StatutConforme,IF($V1729&gt;=SeuilSurveiller,StatutSurveiller,StatutSousStandard))))))))</f>
        <v/>
      </c>
      <c r="X1729" s="33">
        <f>IF($G1729="","",IF(OR($D1729="",$E1729="",$F1729=""),"CONTEXTE INCOMPLET",IF(COUNTIFS($D829:$D1728,$D1729,$E829:$E1728,$E1729,$F829:$F1728,$F1729,$G829:$G1728,$G1729)&gt;0,"DOUBLON","VALIDE")))</f>
        <v/>
      </c>
    </row>
    <row r="1730" ht="15" customHeight="1">
      <c r="A1730" s="12">
        <f>IF(OR($B1730="",$G1730=""),"",TEXT($B1730,"YYYYMMDD")&amp;"-"&amp;SUBSTITUTE($E1730," ","")&amp;"-"&amp;$F1730&amp;"-"&amp;$G1730)</f>
        <v/>
      </c>
      <c r="B1730" s="15" t="n"/>
      <c r="C1730" s="16" t="n"/>
      <c r="D1730" s="10" t="n"/>
      <c r="E1730" s="9" t="n"/>
      <c r="F1730" s="9" t="n"/>
      <c r="G1730" s="13" t="n"/>
      <c r="H1730" s="21" t="n"/>
      <c r="I1730" s="21" t="n"/>
      <c r="J1730" s="17">
        <f>IF($G1730="","",IFERROR(INDEX(NomsEmployes,MATCH($G1730,MatriculesEmployes,0)),"MATRICULE INCONNU"))</f>
        <v/>
      </c>
      <c r="K1730" s="33">
        <f>IF(OR($D1730="",$F1730=""),"",IFERROR(IF(INDEX(RUNS!$L$6:$S$1005,MATCH($D1730,RUNS!$A$6:$A$1005,0),MATCH("ACTIVITÉ "&amp;$F1730,RUNS!$L$5:$S$5,0))="","",INDEX(RUNS!$L$6:$S$1005,MATCH($D1730,RUNS!$A$6:$A$1005,0),MATCH("ACTIVITÉ "&amp;$F1730,RUNS!$L$5:$S$5,0))),""))</f>
        <v/>
      </c>
      <c r="L1730" s="33">
        <f>IF($D1730="","",IFERROR(IF(INDEX(RUNS!$E$6:$E$1005,MATCH($D1730,RUNS!$A$6:$A$1005,0))="","",INDEX(RUNS!$E$6:$E$1005,MATCH($D1730,RUNS!$A$6:$A$1005,0))),""))</f>
        <v/>
      </c>
      <c r="M1730" s="33">
        <f>IF($D1730="","",IFERROR(IF(INDEX(RUNS!$F$6:$F$1005,MATCH($D1730,RUNS!$A$6:$A$1005,0))="","",INDEX(RUNS!$F$6:$F$1005,MATCH($D1730,RUNS!$A$6:$A$1005,0))),""))</f>
        <v/>
      </c>
      <c r="N1730" s="33">
        <f>IF($D1730="","",IFERROR(IF(INDEX(RUNS!$G$6:$G$1005,MATCH($D1730,RUNS!$A$6:$A$1005,0))="","",INDEX(RUNS!$G$6:$G$1005,MATCH($D1730,RUNS!$A$6:$A$1005,0))),""))</f>
        <v/>
      </c>
      <c r="O1730" s="33">
        <f>IF($D1730="","",IFERROR(IF(INDEX(RUNS!$H$6:$H$1005,MATCH($D1730,RUNS!$A$6:$A$1005,0))="","",INDEX(RUNS!$H$6:$H$1005,MATCH($D1730,RUNS!$A$6:$A$1005,0))),""))</f>
        <v/>
      </c>
      <c r="P1730" s="33">
        <f>IF($D1730="","",IFERROR(IF(INDEX(RUNS!$J$6:$J$1005,MATCH($D1730,RUNS!$A$6:$A$1005,0))="","",INDEX(RUNS!$J$6:$J$1005,MATCH($D1730,RUNS!$A$6:$A$1005,0))),""))</f>
        <v/>
      </c>
      <c r="Q1730" s="33">
        <f>IF($D1730="","",IFERROR(IF(INDEX(RUNS!$K$6:$K$1005,MATCH($D1730,RUNS!$A$6:$A$1005,0))="","",INDEX(RUNS!$K$6:$K$1005,MATCH($D1730,RUNS!$A$6:$A$1005,0))),""))</f>
        <v/>
      </c>
      <c r="R1730" s="34">
        <f>IF(OR($L1730="",$K1730=""),"",IFERROR(IF(INDEX(PARAMETRES!$H$43:$H$342,MATCH($L1730&amp;"|"&amp;$M1730&amp;"|"&amp;$N1730&amp;"|"&amp;$O1730&amp;"|"&amp;$P1730&amp;"|"&amp;$Q1730&amp;"|"&amp;$K1730,PARAMETRES!$J$43:$J$342,0))="","",INDEX(PARAMETRES!$H$43:$H$342,MATCH($L1730&amp;"|"&amp;$M1730&amp;"|"&amp;$N1730&amp;"|"&amp;$O1730&amp;"|"&amp;$P1730&amp;"|"&amp;$Q1730&amp;"|"&amp;$K1730,PARAMETRES!$J$43:$J$342,0))),""))</f>
        <v/>
      </c>
      <c r="S1730" s="35">
        <f>IF(OR($G1730="",$X1730&lt;&gt;"VALIDE"),"",IFERROR(LOOKUP(2,1/(($B830:$B1729=$B1730)*($G830:$G1729=$G1730)*($X830:$X1729="VALIDE")),$C830:$C1729),""))</f>
        <v/>
      </c>
      <c r="T1730" s="36">
        <f>IF(OR($C1730="",$S1730=""),"",ROUND(($C1730-$S1730+IF($C1730&lt;$S1730,1,0))*1440,0))</f>
        <v/>
      </c>
      <c r="U1730" s="22">
        <f>IF(OR($H1730="",$T1730="",$T1730&lt;=0),"",$H1730*60/$T1730)</f>
        <v/>
      </c>
      <c r="V1730" s="37">
        <f>IF(OR($U1730="",$R1730="",$R1730=0),"",$U1730/$R1730)</f>
        <v/>
      </c>
      <c r="W1730" s="20">
        <f>IF($G1730="","",IF($X1730="CONTEXTE INCOMPLET","CONTEXTE INCOMPLET",IF($X1730="DOUBLON",StatutDoublon,IF($S1730="",StatutInitial,IF($R1730="",StatutStandardManquant,IF($V1730="","DONNEES INSUFFISANTES",IF($V1730&gt;=SeuilConforme,StatutConforme,IF($V1730&gt;=SeuilSurveiller,StatutSurveiller,StatutSousStandard))))))))</f>
        <v/>
      </c>
      <c r="X1730" s="33">
        <f>IF($G1730="","",IF(OR($D1730="",$E1730="",$F1730=""),"CONTEXTE INCOMPLET",IF(COUNTIFS($D830:$D1729,$D1730,$E830:$E1729,$E1730,$F830:$F1729,$F1730,$G830:$G1729,$G1730)&gt;0,"DOUBLON","VALIDE")))</f>
        <v/>
      </c>
    </row>
    <row r="1731" ht="15" customHeight="1">
      <c r="A1731" s="12">
        <f>IF(OR($B1731="",$G1731=""),"",TEXT($B1731,"YYYYMMDD")&amp;"-"&amp;SUBSTITUTE($E1731," ","")&amp;"-"&amp;$F1731&amp;"-"&amp;$G1731)</f>
        <v/>
      </c>
      <c r="B1731" s="15" t="n"/>
      <c r="C1731" s="16" t="n"/>
      <c r="D1731" s="10" t="n"/>
      <c r="E1731" s="9" t="n"/>
      <c r="F1731" s="9" t="n"/>
      <c r="G1731" s="13" t="n"/>
      <c r="H1731" s="21" t="n"/>
      <c r="I1731" s="21" t="n"/>
      <c r="J1731" s="17">
        <f>IF($G1731="","",IFERROR(INDEX(NomsEmployes,MATCH($G1731,MatriculesEmployes,0)),"MATRICULE INCONNU"))</f>
        <v/>
      </c>
      <c r="K1731" s="33">
        <f>IF(OR($D1731="",$F1731=""),"",IFERROR(IF(INDEX(RUNS!$L$6:$S$1005,MATCH($D1731,RUNS!$A$6:$A$1005,0),MATCH("ACTIVITÉ "&amp;$F1731,RUNS!$L$5:$S$5,0))="","",INDEX(RUNS!$L$6:$S$1005,MATCH($D1731,RUNS!$A$6:$A$1005,0),MATCH("ACTIVITÉ "&amp;$F1731,RUNS!$L$5:$S$5,0))),""))</f>
        <v/>
      </c>
      <c r="L1731" s="33">
        <f>IF($D1731="","",IFERROR(IF(INDEX(RUNS!$E$6:$E$1005,MATCH($D1731,RUNS!$A$6:$A$1005,0))="","",INDEX(RUNS!$E$6:$E$1005,MATCH($D1731,RUNS!$A$6:$A$1005,0))),""))</f>
        <v/>
      </c>
      <c r="M1731" s="33">
        <f>IF($D1731="","",IFERROR(IF(INDEX(RUNS!$F$6:$F$1005,MATCH($D1731,RUNS!$A$6:$A$1005,0))="","",INDEX(RUNS!$F$6:$F$1005,MATCH($D1731,RUNS!$A$6:$A$1005,0))),""))</f>
        <v/>
      </c>
      <c r="N1731" s="33">
        <f>IF($D1731="","",IFERROR(IF(INDEX(RUNS!$G$6:$G$1005,MATCH($D1731,RUNS!$A$6:$A$1005,0))="","",INDEX(RUNS!$G$6:$G$1005,MATCH($D1731,RUNS!$A$6:$A$1005,0))),""))</f>
        <v/>
      </c>
      <c r="O1731" s="33">
        <f>IF($D1731="","",IFERROR(IF(INDEX(RUNS!$H$6:$H$1005,MATCH($D1731,RUNS!$A$6:$A$1005,0))="","",INDEX(RUNS!$H$6:$H$1005,MATCH($D1731,RUNS!$A$6:$A$1005,0))),""))</f>
        <v/>
      </c>
      <c r="P1731" s="33">
        <f>IF($D1731="","",IFERROR(IF(INDEX(RUNS!$J$6:$J$1005,MATCH($D1731,RUNS!$A$6:$A$1005,0))="","",INDEX(RUNS!$J$6:$J$1005,MATCH($D1731,RUNS!$A$6:$A$1005,0))),""))</f>
        <v/>
      </c>
      <c r="Q1731" s="33">
        <f>IF($D1731="","",IFERROR(IF(INDEX(RUNS!$K$6:$K$1005,MATCH($D1731,RUNS!$A$6:$A$1005,0))="","",INDEX(RUNS!$K$6:$K$1005,MATCH($D1731,RUNS!$A$6:$A$1005,0))),""))</f>
        <v/>
      </c>
      <c r="R1731" s="34">
        <f>IF(OR($L1731="",$K1731=""),"",IFERROR(IF(INDEX(PARAMETRES!$H$43:$H$342,MATCH($L1731&amp;"|"&amp;$M1731&amp;"|"&amp;$N1731&amp;"|"&amp;$O1731&amp;"|"&amp;$P1731&amp;"|"&amp;$Q1731&amp;"|"&amp;$K1731,PARAMETRES!$J$43:$J$342,0))="","",INDEX(PARAMETRES!$H$43:$H$342,MATCH($L1731&amp;"|"&amp;$M1731&amp;"|"&amp;$N1731&amp;"|"&amp;$O1731&amp;"|"&amp;$P1731&amp;"|"&amp;$Q1731&amp;"|"&amp;$K1731,PARAMETRES!$J$43:$J$342,0))),""))</f>
        <v/>
      </c>
      <c r="S1731" s="35">
        <f>IF(OR($G1731="",$X1731&lt;&gt;"VALIDE"),"",IFERROR(LOOKUP(2,1/(($B831:$B1730=$B1731)*($G831:$G1730=$G1731)*($X831:$X1730="VALIDE")),$C831:$C1730),""))</f>
        <v/>
      </c>
      <c r="T1731" s="36">
        <f>IF(OR($C1731="",$S1731=""),"",ROUND(($C1731-$S1731+IF($C1731&lt;$S1731,1,0))*1440,0))</f>
        <v/>
      </c>
      <c r="U1731" s="22">
        <f>IF(OR($H1731="",$T1731="",$T1731&lt;=0),"",$H1731*60/$T1731)</f>
        <v/>
      </c>
      <c r="V1731" s="37">
        <f>IF(OR($U1731="",$R1731="",$R1731=0),"",$U1731/$R1731)</f>
        <v/>
      </c>
      <c r="W1731" s="20">
        <f>IF($G1731="","",IF($X1731="CONTEXTE INCOMPLET","CONTEXTE INCOMPLET",IF($X1731="DOUBLON",StatutDoublon,IF($S1731="",StatutInitial,IF($R1731="",StatutStandardManquant,IF($V1731="","DONNEES INSUFFISANTES",IF($V1731&gt;=SeuilConforme,StatutConforme,IF($V1731&gt;=SeuilSurveiller,StatutSurveiller,StatutSousStandard))))))))</f>
        <v/>
      </c>
      <c r="X1731" s="33">
        <f>IF($G1731="","",IF(OR($D1731="",$E1731="",$F1731=""),"CONTEXTE INCOMPLET",IF(COUNTIFS($D831:$D1730,$D1731,$E831:$E1730,$E1731,$F831:$F1730,$F1731,$G831:$G1730,$G1731)&gt;0,"DOUBLON","VALIDE")))</f>
        <v/>
      </c>
    </row>
    <row r="1732" ht="15" customHeight="1">
      <c r="A1732" s="12">
        <f>IF(OR($B1732="",$G1732=""),"",TEXT($B1732,"YYYYMMDD")&amp;"-"&amp;SUBSTITUTE($E1732," ","")&amp;"-"&amp;$F1732&amp;"-"&amp;$G1732)</f>
        <v/>
      </c>
      <c r="B1732" s="15" t="n"/>
      <c r="C1732" s="16" t="n"/>
      <c r="D1732" s="10" t="n"/>
      <c r="E1732" s="9" t="n"/>
      <c r="F1732" s="9" t="n"/>
      <c r="G1732" s="13" t="n"/>
      <c r="H1732" s="21" t="n"/>
      <c r="I1732" s="21" t="n"/>
      <c r="J1732" s="17">
        <f>IF($G1732="","",IFERROR(INDEX(NomsEmployes,MATCH($G1732,MatriculesEmployes,0)),"MATRICULE INCONNU"))</f>
        <v/>
      </c>
      <c r="K1732" s="33">
        <f>IF(OR($D1732="",$F1732=""),"",IFERROR(IF(INDEX(RUNS!$L$6:$S$1005,MATCH($D1732,RUNS!$A$6:$A$1005,0),MATCH("ACTIVITÉ "&amp;$F1732,RUNS!$L$5:$S$5,0))="","",INDEX(RUNS!$L$6:$S$1005,MATCH($D1732,RUNS!$A$6:$A$1005,0),MATCH("ACTIVITÉ "&amp;$F1732,RUNS!$L$5:$S$5,0))),""))</f>
        <v/>
      </c>
      <c r="L1732" s="33">
        <f>IF($D1732="","",IFERROR(IF(INDEX(RUNS!$E$6:$E$1005,MATCH($D1732,RUNS!$A$6:$A$1005,0))="","",INDEX(RUNS!$E$6:$E$1005,MATCH($D1732,RUNS!$A$6:$A$1005,0))),""))</f>
        <v/>
      </c>
      <c r="M1732" s="33">
        <f>IF($D1732="","",IFERROR(IF(INDEX(RUNS!$F$6:$F$1005,MATCH($D1732,RUNS!$A$6:$A$1005,0))="","",INDEX(RUNS!$F$6:$F$1005,MATCH($D1732,RUNS!$A$6:$A$1005,0))),""))</f>
        <v/>
      </c>
      <c r="N1732" s="33">
        <f>IF($D1732="","",IFERROR(IF(INDEX(RUNS!$G$6:$G$1005,MATCH($D1732,RUNS!$A$6:$A$1005,0))="","",INDEX(RUNS!$G$6:$G$1005,MATCH($D1732,RUNS!$A$6:$A$1005,0))),""))</f>
        <v/>
      </c>
      <c r="O1732" s="33">
        <f>IF($D1732="","",IFERROR(IF(INDEX(RUNS!$H$6:$H$1005,MATCH($D1732,RUNS!$A$6:$A$1005,0))="","",INDEX(RUNS!$H$6:$H$1005,MATCH($D1732,RUNS!$A$6:$A$1005,0))),""))</f>
        <v/>
      </c>
      <c r="P1732" s="33">
        <f>IF($D1732="","",IFERROR(IF(INDEX(RUNS!$J$6:$J$1005,MATCH($D1732,RUNS!$A$6:$A$1005,0))="","",INDEX(RUNS!$J$6:$J$1005,MATCH($D1732,RUNS!$A$6:$A$1005,0))),""))</f>
        <v/>
      </c>
      <c r="Q1732" s="33">
        <f>IF($D1732="","",IFERROR(IF(INDEX(RUNS!$K$6:$K$1005,MATCH($D1732,RUNS!$A$6:$A$1005,0))="","",INDEX(RUNS!$K$6:$K$1005,MATCH($D1732,RUNS!$A$6:$A$1005,0))),""))</f>
        <v/>
      </c>
      <c r="R1732" s="34">
        <f>IF(OR($L1732="",$K1732=""),"",IFERROR(IF(INDEX(PARAMETRES!$H$43:$H$342,MATCH($L1732&amp;"|"&amp;$M1732&amp;"|"&amp;$N1732&amp;"|"&amp;$O1732&amp;"|"&amp;$P1732&amp;"|"&amp;$Q1732&amp;"|"&amp;$K1732,PARAMETRES!$J$43:$J$342,0))="","",INDEX(PARAMETRES!$H$43:$H$342,MATCH($L1732&amp;"|"&amp;$M1732&amp;"|"&amp;$N1732&amp;"|"&amp;$O1732&amp;"|"&amp;$P1732&amp;"|"&amp;$Q1732&amp;"|"&amp;$K1732,PARAMETRES!$J$43:$J$342,0))),""))</f>
        <v/>
      </c>
      <c r="S1732" s="35">
        <f>IF(OR($G1732="",$X1732&lt;&gt;"VALIDE"),"",IFERROR(LOOKUP(2,1/(($B832:$B1731=$B1732)*($G832:$G1731=$G1732)*($X832:$X1731="VALIDE")),$C832:$C1731),""))</f>
        <v/>
      </c>
      <c r="T1732" s="36">
        <f>IF(OR($C1732="",$S1732=""),"",ROUND(($C1732-$S1732+IF($C1732&lt;$S1732,1,0))*1440,0))</f>
        <v/>
      </c>
      <c r="U1732" s="22">
        <f>IF(OR($H1732="",$T1732="",$T1732&lt;=0),"",$H1732*60/$T1732)</f>
        <v/>
      </c>
      <c r="V1732" s="37">
        <f>IF(OR($U1732="",$R1732="",$R1732=0),"",$U1732/$R1732)</f>
        <v/>
      </c>
      <c r="W1732" s="20">
        <f>IF($G1732="","",IF($X1732="CONTEXTE INCOMPLET","CONTEXTE INCOMPLET",IF($X1732="DOUBLON",StatutDoublon,IF($S1732="",StatutInitial,IF($R1732="",StatutStandardManquant,IF($V1732="","DONNEES INSUFFISANTES",IF($V1732&gt;=SeuilConforme,StatutConforme,IF($V1732&gt;=SeuilSurveiller,StatutSurveiller,StatutSousStandard))))))))</f>
        <v/>
      </c>
      <c r="X1732" s="33">
        <f>IF($G1732="","",IF(OR($D1732="",$E1732="",$F1732=""),"CONTEXTE INCOMPLET",IF(COUNTIFS($D832:$D1731,$D1732,$E832:$E1731,$E1732,$F832:$F1731,$F1732,$G832:$G1731,$G1732)&gt;0,"DOUBLON","VALIDE")))</f>
        <v/>
      </c>
    </row>
    <row r="1733" ht="15" customHeight="1">
      <c r="A1733" s="12">
        <f>IF(OR($B1733="",$G1733=""),"",TEXT($B1733,"YYYYMMDD")&amp;"-"&amp;SUBSTITUTE($E1733," ","")&amp;"-"&amp;$F1733&amp;"-"&amp;$G1733)</f>
        <v/>
      </c>
      <c r="B1733" s="15" t="n"/>
      <c r="C1733" s="16" t="n"/>
      <c r="D1733" s="10" t="n"/>
      <c r="E1733" s="9" t="n"/>
      <c r="F1733" s="9" t="n"/>
      <c r="G1733" s="13" t="n"/>
      <c r="H1733" s="21" t="n"/>
      <c r="I1733" s="21" t="n"/>
      <c r="J1733" s="17">
        <f>IF($G1733="","",IFERROR(INDEX(NomsEmployes,MATCH($G1733,MatriculesEmployes,0)),"MATRICULE INCONNU"))</f>
        <v/>
      </c>
      <c r="K1733" s="33">
        <f>IF(OR($D1733="",$F1733=""),"",IFERROR(IF(INDEX(RUNS!$L$6:$S$1005,MATCH($D1733,RUNS!$A$6:$A$1005,0),MATCH("ACTIVITÉ "&amp;$F1733,RUNS!$L$5:$S$5,0))="","",INDEX(RUNS!$L$6:$S$1005,MATCH($D1733,RUNS!$A$6:$A$1005,0),MATCH("ACTIVITÉ "&amp;$F1733,RUNS!$L$5:$S$5,0))),""))</f>
        <v/>
      </c>
      <c r="L1733" s="33">
        <f>IF($D1733="","",IFERROR(IF(INDEX(RUNS!$E$6:$E$1005,MATCH($D1733,RUNS!$A$6:$A$1005,0))="","",INDEX(RUNS!$E$6:$E$1005,MATCH($D1733,RUNS!$A$6:$A$1005,0))),""))</f>
        <v/>
      </c>
      <c r="M1733" s="33">
        <f>IF($D1733="","",IFERROR(IF(INDEX(RUNS!$F$6:$F$1005,MATCH($D1733,RUNS!$A$6:$A$1005,0))="","",INDEX(RUNS!$F$6:$F$1005,MATCH($D1733,RUNS!$A$6:$A$1005,0))),""))</f>
        <v/>
      </c>
      <c r="N1733" s="33">
        <f>IF($D1733="","",IFERROR(IF(INDEX(RUNS!$G$6:$G$1005,MATCH($D1733,RUNS!$A$6:$A$1005,0))="","",INDEX(RUNS!$G$6:$G$1005,MATCH($D1733,RUNS!$A$6:$A$1005,0))),""))</f>
        <v/>
      </c>
      <c r="O1733" s="33">
        <f>IF($D1733="","",IFERROR(IF(INDEX(RUNS!$H$6:$H$1005,MATCH($D1733,RUNS!$A$6:$A$1005,0))="","",INDEX(RUNS!$H$6:$H$1005,MATCH($D1733,RUNS!$A$6:$A$1005,0))),""))</f>
        <v/>
      </c>
      <c r="P1733" s="33">
        <f>IF($D1733="","",IFERROR(IF(INDEX(RUNS!$J$6:$J$1005,MATCH($D1733,RUNS!$A$6:$A$1005,0))="","",INDEX(RUNS!$J$6:$J$1005,MATCH($D1733,RUNS!$A$6:$A$1005,0))),""))</f>
        <v/>
      </c>
      <c r="Q1733" s="33">
        <f>IF($D1733="","",IFERROR(IF(INDEX(RUNS!$K$6:$K$1005,MATCH($D1733,RUNS!$A$6:$A$1005,0))="","",INDEX(RUNS!$K$6:$K$1005,MATCH($D1733,RUNS!$A$6:$A$1005,0))),""))</f>
        <v/>
      </c>
      <c r="R1733" s="34">
        <f>IF(OR($L1733="",$K1733=""),"",IFERROR(IF(INDEX(PARAMETRES!$H$43:$H$342,MATCH($L1733&amp;"|"&amp;$M1733&amp;"|"&amp;$N1733&amp;"|"&amp;$O1733&amp;"|"&amp;$P1733&amp;"|"&amp;$Q1733&amp;"|"&amp;$K1733,PARAMETRES!$J$43:$J$342,0))="","",INDEX(PARAMETRES!$H$43:$H$342,MATCH($L1733&amp;"|"&amp;$M1733&amp;"|"&amp;$N1733&amp;"|"&amp;$O1733&amp;"|"&amp;$P1733&amp;"|"&amp;$Q1733&amp;"|"&amp;$K1733,PARAMETRES!$J$43:$J$342,0))),""))</f>
        <v/>
      </c>
      <c r="S1733" s="35">
        <f>IF(OR($G1733="",$X1733&lt;&gt;"VALIDE"),"",IFERROR(LOOKUP(2,1/(($B833:$B1732=$B1733)*($G833:$G1732=$G1733)*($X833:$X1732="VALIDE")),$C833:$C1732),""))</f>
        <v/>
      </c>
      <c r="T1733" s="36">
        <f>IF(OR($C1733="",$S1733=""),"",ROUND(($C1733-$S1733+IF($C1733&lt;$S1733,1,0))*1440,0))</f>
        <v/>
      </c>
      <c r="U1733" s="22">
        <f>IF(OR($H1733="",$T1733="",$T1733&lt;=0),"",$H1733*60/$T1733)</f>
        <v/>
      </c>
      <c r="V1733" s="37">
        <f>IF(OR($U1733="",$R1733="",$R1733=0),"",$U1733/$R1733)</f>
        <v/>
      </c>
      <c r="W1733" s="20">
        <f>IF($G1733="","",IF($X1733="CONTEXTE INCOMPLET","CONTEXTE INCOMPLET",IF($X1733="DOUBLON",StatutDoublon,IF($S1733="",StatutInitial,IF($R1733="",StatutStandardManquant,IF($V1733="","DONNEES INSUFFISANTES",IF($V1733&gt;=SeuilConforme,StatutConforme,IF($V1733&gt;=SeuilSurveiller,StatutSurveiller,StatutSousStandard))))))))</f>
        <v/>
      </c>
      <c r="X1733" s="33">
        <f>IF($G1733="","",IF(OR($D1733="",$E1733="",$F1733=""),"CONTEXTE INCOMPLET",IF(COUNTIFS($D833:$D1732,$D1733,$E833:$E1732,$E1733,$F833:$F1732,$F1733,$G833:$G1732,$G1733)&gt;0,"DOUBLON","VALIDE")))</f>
        <v/>
      </c>
    </row>
    <row r="1734" ht="15" customHeight="1">
      <c r="A1734" s="12">
        <f>IF(OR($B1734="",$G1734=""),"",TEXT($B1734,"YYYYMMDD")&amp;"-"&amp;SUBSTITUTE($E1734," ","")&amp;"-"&amp;$F1734&amp;"-"&amp;$G1734)</f>
        <v/>
      </c>
      <c r="B1734" s="15" t="n"/>
      <c r="C1734" s="16" t="n"/>
      <c r="D1734" s="10" t="n"/>
      <c r="E1734" s="9" t="n"/>
      <c r="F1734" s="9" t="n"/>
      <c r="G1734" s="13" t="n"/>
      <c r="H1734" s="21" t="n"/>
      <c r="I1734" s="21" t="n"/>
      <c r="J1734" s="17">
        <f>IF($G1734="","",IFERROR(INDEX(NomsEmployes,MATCH($G1734,MatriculesEmployes,0)),"MATRICULE INCONNU"))</f>
        <v/>
      </c>
      <c r="K1734" s="33">
        <f>IF(OR($D1734="",$F1734=""),"",IFERROR(IF(INDEX(RUNS!$L$6:$S$1005,MATCH($D1734,RUNS!$A$6:$A$1005,0),MATCH("ACTIVITÉ "&amp;$F1734,RUNS!$L$5:$S$5,0))="","",INDEX(RUNS!$L$6:$S$1005,MATCH($D1734,RUNS!$A$6:$A$1005,0),MATCH("ACTIVITÉ "&amp;$F1734,RUNS!$L$5:$S$5,0))),""))</f>
        <v/>
      </c>
      <c r="L1734" s="33">
        <f>IF($D1734="","",IFERROR(IF(INDEX(RUNS!$E$6:$E$1005,MATCH($D1734,RUNS!$A$6:$A$1005,0))="","",INDEX(RUNS!$E$6:$E$1005,MATCH($D1734,RUNS!$A$6:$A$1005,0))),""))</f>
        <v/>
      </c>
      <c r="M1734" s="33">
        <f>IF($D1734="","",IFERROR(IF(INDEX(RUNS!$F$6:$F$1005,MATCH($D1734,RUNS!$A$6:$A$1005,0))="","",INDEX(RUNS!$F$6:$F$1005,MATCH($D1734,RUNS!$A$6:$A$1005,0))),""))</f>
        <v/>
      </c>
      <c r="N1734" s="33">
        <f>IF($D1734="","",IFERROR(IF(INDEX(RUNS!$G$6:$G$1005,MATCH($D1734,RUNS!$A$6:$A$1005,0))="","",INDEX(RUNS!$G$6:$G$1005,MATCH($D1734,RUNS!$A$6:$A$1005,0))),""))</f>
        <v/>
      </c>
      <c r="O1734" s="33">
        <f>IF($D1734="","",IFERROR(IF(INDEX(RUNS!$H$6:$H$1005,MATCH($D1734,RUNS!$A$6:$A$1005,0))="","",INDEX(RUNS!$H$6:$H$1005,MATCH($D1734,RUNS!$A$6:$A$1005,0))),""))</f>
        <v/>
      </c>
      <c r="P1734" s="33">
        <f>IF($D1734="","",IFERROR(IF(INDEX(RUNS!$J$6:$J$1005,MATCH($D1734,RUNS!$A$6:$A$1005,0))="","",INDEX(RUNS!$J$6:$J$1005,MATCH($D1734,RUNS!$A$6:$A$1005,0))),""))</f>
        <v/>
      </c>
      <c r="Q1734" s="33">
        <f>IF($D1734="","",IFERROR(IF(INDEX(RUNS!$K$6:$K$1005,MATCH($D1734,RUNS!$A$6:$A$1005,0))="","",INDEX(RUNS!$K$6:$K$1005,MATCH($D1734,RUNS!$A$6:$A$1005,0))),""))</f>
        <v/>
      </c>
      <c r="R1734" s="34">
        <f>IF(OR($L1734="",$K1734=""),"",IFERROR(IF(INDEX(PARAMETRES!$H$43:$H$342,MATCH($L1734&amp;"|"&amp;$M1734&amp;"|"&amp;$N1734&amp;"|"&amp;$O1734&amp;"|"&amp;$P1734&amp;"|"&amp;$Q1734&amp;"|"&amp;$K1734,PARAMETRES!$J$43:$J$342,0))="","",INDEX(PARAMETRES!$H$43:$H$342,MATCH($L1734&amp;"|"&amp;$M1734&amp;"|"&amp;$N1734&amp;"|"&amp;$O1734&amp;"|"&amp;$P1734&amp;"|"&amp;$Q1734&amp;"|"&amp;$K1734,PARAMETRES!$J$43:$J$342,0))),""))</f>
        <v/>
      </c>
      <c r="S1734" s="35">
        <f>IF(OR($G1734="",$X1734&lt;&gt;"VALIDE"),"",IFERROR(LOOKUP(2,1/(($B834:$B1733=$B1734)*($G834:$G1733=$G1734)*($X834:$X1733="VALIDE")),$C834:$C1733),""))</f>
        <v/>
      </c>
      <c r="T1734" s="36">
        <f>IF(OR($C1734="",$S1734=""),"",ROUND(($C1734-$S1734+IF($C1734&lt;$S1734,1,0))*1440,0))</f>
        <v/>
      </c>
      <c r="U1734" s="22">
        <f>IF(OR($H1734="",$T1734="",$T1734&lt;=0),"",$H1734*60/$T1734)</f>
        <v/>
      </c>
      <c r="V1734" s="37">
        <f>IF(OR($U1734="",$R1734="",$R1734=0),"",$U1734/$R1734)</f>
        <v/>
      </c>
      <c r="W1734" s="20">
        <f>IF($G1734="","",IF($X1734="CONTEXTE INCOMPLET","CONTEXTE INCOMPLET",IF($X1734="DOUBLON",StatutDoublon,IF($S1734="",StatutInitial,IF($R1734="",StatutStandardManquant,IF($V1734="","DONNEES INSUFFISANTES",IF($V1734&gt;=SeuilConforme,StatutConforme,IF($V1734&gt;=SeuilSurveiller,StatutSurveiller,StatutSousStandard))))))))</f>
        <v/>
      </c>
      <c r="X1734" s="33">
        <f>IF($G1734="","",IF(OR($D1734="",$E1734="",$F1734=""),"CONTEXTE INCOMPLET",IF(COUNTIFS($D834:$D1733,$D1734,$E834:$E1733,$E1734,$F834:$F1733,$F1734,$G834:$G1733,$G1734)&gt;0,"DOUBLON","VALIDE")))</f>
        <v/>
      </c>
    </row>
    <row r="1735" ht="15" customHeight="1">
      <c r="A1735" s="12">
        <f>IF(OR($B1735="",$G1735=""),"",TEXT($B1735,"YYYYMMDD")&amp;"-"&amp;SUBSTITUTE($E1735," ","")&amp;"-"&amp;$F1735&amp;"-"&amp;$G1735)</f>
        <v/>
      </c>
      <c r="B1735" s="15" t="n"/>
      <c r="C1735" s="16" t="n"/>
      <c r="D1735" s="10" t="n"/>
      <c r="E1735" s="9" t="n"/>
      <c r="F1735" s="9" t="n"/>
      <c r="G1735" s="13" t="n"/>
      <c r="H1735" s="21" t="n"/>
      <c r="I1735" s="21" t="n"/>
      <c r="J1735" s="17">
        <f>IF($G1735="","",IFERROR(INDEX(NomsEmployes,MATCH($G1735,MatriculesEmployes,0)),"MATRICULE INCONNU"))</f>
        <v/>
      </c>
      <c r="K1735" s="33">
        <f>IF(OR($D1735="",$F1735=""),"",IFERROR(IF(INDEX(RUNS!$L$6:$S$1005,MATCH($D1735,RUNS!$A$6:$A$1005,0),MATCH("ACTIVITÉ "&amp;$F1735,RUNS!$L$5:$S$5,0))="","",INDEX(RUNS!$L$6:$S$1005,MATCH($D1735,RUNS!$A$6:$A$1005,0),MATCH("ACTIVITÉ "&amp;$F1735,RUNS!$L$5:$S$5,0))),""))</f>
        <v/>
      </c>
      <c r="L1735" s="33">
        <f>IF($D1735="","",IFERROR(IF(INDEX(RUNS!$E$6:$E$1005,MATCH($D1735,RUNS!$A$6:$A$1005,0))="","",INDEX(RUNS!$E$6:$E$1005,MATCH($D1735,RUNS!$A$6:$A$1005,0))),""))</f>
        <v/>
      </c>
      <c r="M1735" s="33">
        <f>IF($D1735="","",IFERROR(IF(INDEX(RUNS!$F$6:$F$1005,MATCH($D1735,RUNS!$A$6:$A$1005,0))="","",INDEX(RUNS!$F$6:$F$1005,MATCH($D1735,RUNS!$A$6:$A$1005,0))),""))</f>
        <v/>
      </c>
      <c r="N1735" s="33">
        <f>IF($D1735="","",IFERROR(IF(INDEX(RUNS!$G$6:$G$1005,MATCH($D1735,RUNS!$A$6:$A$1005,0))="","",INDEX(RUNS!$G$6:$G$1005,MATCH($D1735,RUNS!$A$6:$A$1005,0))),""))</f>
        <v/>
      </c>
      <c r="O1735" s="33">
        <f>IF($D1735="","",IFERROR(IF(INDEX(RUNS!$H$6:$H$1005,MATCH($D1735,RUNS!$A$6:$A$1005,0))="","",INDEX(RUNS!$H$6:$H$1005,MATCH($D1735,RUNS!$A$6:$A$1005,0))),""))</f>
        <v/>
      </c>
      <c r="P1735" s="33">
        <f>IF($D1735="","",IFERROR(IF(INDEX(RUNS!$J$6:$J$1005,MATCH($D1735,RUNS!$A$6:$A$1005,0))="","",INDEX(RUNS!$J$6:$J$1005,MATCH($D1735,RUNS!$A$6:$A$1005,0))),""))</f>
        <v/>
      </c>
      <c r="Q1735" s="33">
        <f>IF($D1735="","",IFERROR(IF(INDEX(RUNS!$K$6:$K$1005,MATCH($D1735,RUNS!$A$6:$A$1005,0))="","",INDEX(RUNS!$K$6:$K$1005,MATCH($D1735,RUNS!$A$6:$A$1005,0))),""))</f>
        <v/>
      </c>
      <c r="R1735" s="34">
        <f>IF(OR($L1735="",$K1735=""),"",IFERROR(IF(INDEX(PARAMETRES!$H$43:$H$342,MATCH($L1735&amp;"|"&amp;$M1735&amp;"|"&amp;$N1735&amp;"|"&amp;$O1735&amp;"|"&amp;$P1735&amp;"|"&amp;$Q1735&amp;"|"&amp;$K1735,PARAMETRES!$J$43:$J$342,0))="","",INDEX(PARAMETRES!$H$43:$H$342,MATCH($L1735&amp;"|"&amp;$M1735&amp;"|"&amp;$N1735&amp;"|"&amp;$O1735&amp;"|"&amp;$P1735&amp;"|"&amp;$Q1735&amp;"|"&amp;$K1735,PARAMETRES!$J$43:$J$342,0))),""))</f>
        <v/>
      </c>
      <c r="S1735" s="35">
        <f>IF(OR($G1735="",$X1735&lt;&gt;"VALIDE"),"",IFERROR(LOOKUP(2,1/(($B835:$B1734=$B1735)*($G835:$G1734=$G1735)*($X835:$X1734="VALIDE")),$C835:$C1734),""))</f>
        <v/>
      </c>
      <c r="T1735" s="36">
        <f>IF(OR($C1735="",$S1735=""),"",ROUND(($C1735-$S1735+IF($C1735&lt;$S1735,1,0))*1440,0))</f>
        <v/>
      </c>
      <c r="U1735" s="22">
        <f>IF(OR($H1735="",$T1735="",$T1735&lt;=0),"",$H1735*60/$T1735)</f>
        <v/>
      </c>
      <c r="V1735" s="37">
        <f>IF(OR($U1735="",$R1735="",$R1735=0),"",$U1735/$R1735)</f>
        <v/>
      </c>
      <c r="W1735" s="20">
        <f>IF($G1735="","",IF($X1735="CONTEXTE INCOMPLET","CONTEXTE INCOMPLET",IF($X1735="DOUBLON",StatutDoublon,IF($S1735="",StatutInitial,IF($R1735="",StatutStandardManquant,IF($V1735="","DONNEES INSUFFISANTES",IF($V1735&gt;=SeuilConforme,StatutConforme,IF($V1735&gt;=SeuilSurveiller,StatutSurveiller,StatutSousStandard))))))))</f>
        <v/>
      </c>
      <c r="X1735" s="33">
        <f>IF($G1735="","",IF(OR($D1735="",$E1735="",$F1735=""),"CONTEXTE INCOMPLET",IF(COUNTIFS($D835:$D1734,$D1735,$E835:$E1734,$E1735,$F835:$F1734,$F1735,$G835:$G1734,$G1735)&gt;0,"DOUBLON","VALIDE")))</f>
        <v/>
      </c>
    </row>
    <row r="1736" ht="15" customHeight="1">
      <c r="A1736" s="12">
        <f>IF(OR($B1736="",$G1736=""),"",TEXT($B1736,"YYYYMMDD")&amp;"-"&amp;SUBSTITUTE($E1736," ","")&amp;"-"&amp;$F1736&amp;"-"&amp;$G1736)</f>
        <v/>
      </c>
      <c r="B1736" s="15" t="n"/>
      <c r="C1736" s="16" t="n"/>
      <c r="D1736" s="10" t="n"/>
      <c r="E1736" s="9" t="n"/>
      <c r="F1736" s="9" t="n"/>
      <c r="G1736" s="13" t="n"/>
      <c r="H1736" s="21" t="n"/>
      <c r="I1736" s="21" t="n"/>
      <c r="J1736" s="17">
        <f>IF($G1736="","",IFERROR(INDEX(NomsEmployes,MATCH($G1736,MatriculesEmployes,0)),"MATRICULE INCONNU"))</f>
        <v/>
      </c>
      <c r="K1736" s="33">
        <f>IF(OR($D1736="",$F1736=""),"",IFERROR(IF(INDEX(RUNS!$L$6:$S$1005,MATCH($D1736,RUNS!$A$6:$A$1005,0),MATCH("ACTIVITÉ "&amp;$F1736,RUNS!$L$5:$S$5,0))="","",INDEX(RUNS!$L$6:$S$1005,MATCH($D1736,RUNS!$A$6:$A$1005,0),MATCH("ACTIVITÉ "&amp;$F1736,RUNS!$L$5:$S$5,0))),""))</f>
        <v/>
      </c>
      <c r="L1736" s="33">
        <f>IF($D1736="","",IFERROR(IF(INDEX(RUNS!$E$6:$E$1005,MATCH($D1736,RUNS!$A$6:$A$1005,0))="","",INDEX(RUNS!$E$6:$E$1005,MATCH($D1736,RUNS!$A$6:$A$1005,0))),""))</f>
        <v/>
      </c>
      <c r="M1736" s="33">
        <f>IF($D1736="","",IFERROR(IF(INDEX(RUNS!$F$6:$F$1005,MATCH($D1736,RUNS!$A$6:$A$1005,0))="","",INDEX(RUNS!$F$6:$F$1005,MATCH($D1736,RUNS!$A$6:$A$1005,0))),""))</f>
        <v/>
      </c>
      <c r="N1736" s="33">
        <f>IF($D1736="","",IFERROR(IF(INDEX(RUNS!$G$6:$G$1005,MATCH($D1736,RUNS!$A$6:$A$1005,0))="","",INDEX(RUNS!$G$6:$G$1005,MATCH($D1736,RUNS!$A$6:$A$1005,0))),""))</f>
        <v/>
      </c>
      <c r="O1736" s="33">
        <f>IF($D1736="","",IFERROR(IF(INDEX(RUNS!$H$6:$H$1005,MATCH($D1736,RUNS!$A$6:$A$1005,0))="","",INDEX(RUNS!$H$6:$H$1005,MATCH($D1736,RUNS!$A$6:$A$1005,0))),""))</f>
        <v/>
      </c>
      <c r="P1736" s="33">
        <f>IF($D1736="","",IFERROR(IF(INDEX(RUNS!$J$6:$J$1005,MATCH($D1736,RUNS!$A$6:$A$1005,0))="","",INDEX(RUNS!$J$6:$J$1005,MATCH($D1736,RUNS!$A$6:$A$1005,0))),""))</f>
        <v/>
      </c>
      <c r="Q1736" s="33">
        <f>IF($D1736="","",IFERROR(IF(INDEX(RUNS!$K$6:$K$1005,MATCH($D1736,RUNS!$A$6:$A$1005,0))="","",INDEX(RUNS!$K$6:$K$1005,MATCH($D1736,RUNS!$A$6:$A$1005,0))),""))</f>
        <v/>
      </c>
      <c r="R1736" s="34">
        <f>IF(OR($L1736="",$K1736=""),"",IFERROR(IF(INDEX(PARAMETRES!$H$43:$H$342,MATCH($L1736&amp;"|"&amp;$M1736&amp;"|"&amp;$N1736&amp;"|"&amp;$O1736&amp;"|"&amp;$P1736&amp;"|"&amp;$Q1736&amp;"|"&amp;$K1736,PARAMETRES!$J$43:$J$342,0))="","",INDEX(PARAMETRES!$H$43:$H$342,MATCH($L1736&amp;"|"&amp;$M1736&amp;"|"&amp;$N1736&amp;"|"&amp;$O1736&amp;"|"&amp;$P1736&amp;"|"&amp;$Q1736&amp;"|"&amp;$K1736,PARAMETRES!$J$43:$J$342,0))),""))</f>
        <v/>
      </c>
      <c r="S1736" s="35">
        <f>IF(OR($G1736="",$X1736&lt;&gt;"VALIDE"),"",IFERROR(LOOKUP(2,1/(($B836:$B1735=$B1736)*($G836:$G1735=$G1736)*($X836:$X1735="VALIDE")),$C836:$C1735),""))</f>
        <v/>
      </c>
      <c r="T1736" s="36">
        <f>IF(OR($C1736="",$S1736=""),"",ROUND(($C1736-$S1736+IF($C1736&lt;$S1736,1,0))*1440,0))</f>
        <v/>
      </c>
      <c r="U1736" s="22">
        <f>IF(OR($H1736="",$T1736="",$T1736&lt;=0),"",$H1736*60/$T1736)</f>
        <v/>
      </c>
      <c r="V1736" s="37">
        <f>IF(OR($U1736="",$R1736="",$R1736=0),"",$U1736/$R1736)</f>
        <v/>
      </c>
      <c r="W1736" s="20">
        <f>IF($G1736="","",IF($X1736="CONTEXTE INCOMPLET","CONTEXTE INCOMPLET",IF($X1736="DOUBLON",StatutDoublon,IF($S1736="",StatutInitial,IF($R1736="",StatutStandardManquant,IF($V1736="","DONNEES INSUFFISANTES",IF($V1736&gt;=SeuilConforme,StatutConforme,IF($V1736&gt;=SeuilSurveiller,StatutSurveiller,StatutSousStandard))))))))</f>
        <v/>
      </c>
      <c r="X1736" s="33">
        <f>IF($G1736="","",IF(OR($D1736="",$E1736="",$F1736=""),"CONTEXTE INCOMPLET",IF(COUNTIFS($D836:$D1735,$D1736,$E836:$E1735,$E1736,$F836:$F1735,$F1736,$G836:$G1735,$G1736)&gt;0,"DOUBLON","VALIDE")))</f>
        <v/>
      </c>
    </row>
    <row r="1737" ht="15" customHeight="1">
      <c r="A1737" s="12">
        <f>IF(OR($B1737="",$G1737=""),"",TEXT($B1737,"YYYYMMDD")&amp;"-"&amp;SUBSTITUTE($E1737," ","")&amp;"-"&amp;$F1737&amp;"-"&amp;$G1737)</f>
        <v/>
      </c>
      <c r="B1737" s="15" t="n"/>
      <c r="C1737" s="16" t="n"/>
      <c r="D1737" s="10" t="n"/>
      <c r="E1737" s="9" t="n"/>
      <c r="F1737" s="9" t="n"/>
      <c r="G1737" s="13" t="n"/>
      <c r="H1737" s="21" t="n"/>
      <c r="I1737" s="21" t="n"/>
      <c r="J1737" s="17">
        <f>IF($G1737="","",IFERROR(INDEX(NomsEmployes,MATCH($G1737,MatriculesEmployes,0)),"MATRICULE INCONNU"))</f>
        <v/>
      </c>
      <c r="K1737" s="33">
        <f>IF(OR($D1737="",$F1737=""),"",IFERROR(IF(INDEX(RUNS!$L$6:$S$1005,MATCH($D1737,RUNS!$A$6:$A$1005,0),MATCH("ACTIVITÉ "&amp;$F1737,RUNS!$L$5:$S$5,0))="","",INDEX(RUNS!$L$6:$S$1005,MATCH($D1737,RUNS!$A$6:$A$1005,0),MATCH("ACTIVITÉ "&amp;$F1737,RUNS!$L$5:$S$5,0))),""))</f>
        <v/>
      </c>
      <c r="L1737" s="33">
        <f>IF($D1737="","",IFERROR(IF(INDEX(RUNS!$E$6:$E$1005,MATCH($D1737,RUNS!$A$6:$A$1005,0))="","",INDEX(RUNS!$E$6:$E$1005,MATCH($D1737,RUNS!$A$6:$A$1005,0))),""))</f>
        <v/>
      </c>
      <c r="M1737" s="33">
        <f>IF($D1737="","",IFERROR(IF(INDEX(RUNS!$F$6:$F$1005,MATCH($D1737,RUNS!$A$6:$A$1005,0))="","",INDEX(RUNS!$F$6:$F$1005,MATCH($D1737,RUNS!$A$6:$A$1005,0))),""))</f>
        <v/>
      </c>
      <c r="N1737" s="33">
        <f>IF($D1737="","",IFERROR(IF(INDEX(RUNS!$G$6:$G$1005,MATCH($D1737,RUNS!$A$6:$A$1005,0))="","",INDEX(RUNS!$G$6:$G$1005,MATCH($D1737,RUNS!$A$6:$A$1005,0))),""))</f>
        <v/>
      </c>
      <c r="O1737" s="33">
        <f>IF($D1737="","",IFERROR(IF(INDEX(RUNS!$H$6:$H$1005,MATCH($D1737,RUNS!$A$6:$A$1005,0))="","",INDEX(RUNS!$H$6:$H$1005,MATCH($D1737,RUNS!$A$6:$A$1005,0))),""))</f>
        <v/>
      </c>
      <c r="P1737" s="33">
        <f>IF($D1737="","",IFERROR(IF(INDEX(RUNS!$J$6:$J$1005,MATCH($D1737,RUNS!$A$6:$A$1005,0))="","",INDEX(RUNS!$J$6:$J$1005,MATCH($D1737,RUNS!$A$6:$A$1005,0))),""))</f>
        <v/>
      </c>
      <c r="Q1737" s="33">
        <f>IF($D1737="","",IFERROR(IF(INDEX(RUNS!$K$6:$K$1005,MATCH($D1737,RUNS!$A$6:$A$1005,0))="","",INDEX(RUNS!$K$6:$K$1005,MATCH($D1737,RUNS!$A$6:$A$1005,0))),""))</f>
        <v/>
      </c>
      <c r="R1737" s="34">
        <f>IF(OR($L1737="",$K1737=""),"",IFERROR(IF(INDEX(PARAMETRES!$H$43:$H$342,MATCH($L1737&amp;"|"&amp;$M1737&amp;"|"&amp;$N1737&amp;"|"&amp;$O1737&amp;"|"&amp;$P1737&amp;"|"&amp;$Q1737&amp;"|"&amp;$K1737,PARAMETRES!$J$43:$J$342,0))="","",INDEX(PARAMETRES!$H$43:$H$342,MATCH($L1737&amp;"|"&amp;$M1737&amp;"|"&amp;$N1737&amp;"|"&amp;$O1737&amp;"|"&amp;$P1737&amp;"|"&amp;$Q1737&amp;"|"&amp;$K1737,PARAMETRES!$J$43:$J$342,0))),""))</f>
        <v/>
      </c>
      <c r="S1737" s="35">
        <f>IF(OR($G1737="",$X1737&lt;&gt;"VALIDE"),"",IFERROR(LOOKUP(2,1/(($B837:$B1736=$B1737)*($G837:$G1736=$G1737)*($X837:$X1736="VALIDE")),$C837:$C1736),""))</f>
        <v/>
      </c>
      <c r="T1737" s="36">
        <f>IF(OR($C1737="",$S1737=""),"",ROUND(($C1737-$S1737+IF($C1737&lt;$S1737,1,0))*1440,0))</f>
        <v/>
      </c>
      <c r="U1737" s="22">
        <f>IF(OR($H1737="",$T1737="",$T1737&lt;=0),"",$H1737*60/$T1737)</f>
        <v/>
      </c>
      <c r="V1737" s="37">
        <f>IF(OR($U1737="",$R1737="",$R1737=0),"",$U1737/$R1737)</f>
        <v/>
      </c>
      <c r="W1737" s="20">
        <f>IF($G1737="","",IF($X1737="CONTEXTE INCOMPLET","CONTEXTE INCOMPLET",IF($X1737="DOUBLON",StatutDoublon,IF($S1737="",StatutInitial,IF($R1737="",StatutStandardManquant,IF($V1737="","DONNEES INSUFFISANTES",IF($V1737&gt;=SeuilConforme,StatutConforme,IF($V1737&gt;=SeuilSurveiller,StatutSurveiller,StatutSousStandard))))))))</f>
        <v/>
      </c>
      <c r="X1737" s="33">
        <f>IF($G1737="","",IF(OR($D1737="",$E1737="",$F1737=""),"CONTEXTE INCOMPLET",IF(COUNTIFS($D837:$D1736,$D1737,$E837:$E1736,$E1737,$F837:$F1736,$F1737,$G837:$G1736,$G1737)&gt;0,"DOUBLON","VALIDE")))</f>
        <v/>
      </c>
    </row>
    <row r="1738" ht="15" customHeight="1">
      <c r="A1738" s="12">
        <f>IF(OR($B1738="",$G1738=""),"",TEXT($B1738,"YYYYMMDD")&amp;"-"&amp;SUBSTITUTE($E1738," ","")&amp;"-"&amp;$F1738&amp;"-"&amp;$G1738)</f>
        <v/>
      </c>
      <c r="B1738" s="15" t="n"/>
      <c r="C1738" s="16" t="n"/>
      <c r="D1738" s="10" t="n"/>
      <c r="E1738" s="9" t="n"/>
      <c r="F1738" s="9" t="n"/>
      <c r="G1738" s="13" t="n"/>
      <c r="H1738" s="21" t="n"/>
      <c r="I1738" s="21" t="n"/>
      <c r="J1738" s="17">
        <f>IF($G1738="","",IFERROR(INDEX(NomsEmployes,MATCH($G1738,MatriculesEmployes,0)),"MATRICULE INCONNU"))</f>
        <v/>
      </c>
      <c r="K1738" s="33">
        <f>IF(OR($D1738="",$F1738=""),"",IFERROR(IF(INDEX(RUNS!$L$6:$S$1005,MATCH($D1738,RUNS!$A$6:$A$1005,0),MATCH("ACTIVITÉ "&amp;$F1738,RUNS!$L$5:$S$5,0))="","",INDEX(RUNS!$L$6:$S$1005,MATCH($D1738,RUNS!$A$6:$A$1005,0),MATCH("ACTIVITÉ "&amp;$F1738,RUNS!$L$5:$S$5,0))),""))</f>
        <v/>
      </c>
      <c r="L1738" s="33">
        <f>IF($D1738="","",IFERROR(IF(INDEX(RUNS!$E$6:$E$1005,MATCH($D1738,RUNS!$A$6:$A$1005,0))="","",INDEX(RUNS!$E$6:$E$1005,MATCH($D1738,RUNS!$A$6:$A$1005,0))),""))</f>
        <v/>
      </c>
      <c r="M1738" s="33">
        <f>IF($D1738="","",IFERROR(IF(INDEX(RUNS!$F$6:$F$1005,MATCH($D1738,RUNS!$A$6:$A$1005,0))="","",INDEX(RUNS!$F$6:$F$1005,MATCH($D1738,RUNS!$A$6:$A$1005,0))),""))</f>
        <v/>
      </c>
      <c r="N1738" s="33">
        <f>IF($D1738="","",IFERROR(IF(INDEX(RUNS!$G$6:$G$1005,MATCH($D1738,RUNS!$A$6:$A$1005,0))="","",INDEX(RUNS!$G$6:$G$1005,MATCH($D1738,RUNS!$A$6:$A$1005,0))),""))</f>
        <v/>
      </c>
      <c r="O1738" s="33">
        <f>IF($D1738="","",IFERROR(IF(INDEX(RUNS!$H$6:$H$1005,MATCH($D1738,RUNS!$A$6:$A$1005,0))="","",INDEX(RUNS!$H$6:$H$1005,MATCH($D1738,RUNS!$A$6:$A$1005,0))),""))</f>
        <v/>
      </c>
      <c r="P1738" s="33">
        <f>IF($D1738="","",IFERROR(IF(INDEX(RUNS!$J$6:$J$1005,MATCH($D1738,RUNS!$A$6:$A$1005,0))="","",INDEX(RUNS!$J$6:$J$1005,MATCH($D1738,RUNS!$A$6:$A$1005,0))),""))</f>
        <v/>
      </c>
      <c r="Q1738" s="33">
        <f>IF($D1738="","",IFERROR(IF(INDEX(RUNS!$K$6:$K$1005,MATCH($D1738,RUNS!$A$6:$A$1005,0))="","",INDEX(RUNS!$K$6:$K$1005,MATCH($D1738,RUNS!$A$6:$A$1005,0))),""))</f>
        <v/>
      </c>
      <c r="R1738" s="34">
        <f>IF(OR($L1738="",$K1738=""),"",IFERROR(IF(INDEX(PARAMETRES!$H$43:$H$342,MATCH($L1738&amp;"|"&amp;$M1738&amp;"|"&amp;$N1738&amp;"|"&amp;$O1738&amp;"|"&amp;$P1738&amp;"|"&amp;$Q1738&amp;"|"&amp;$K1738,PARAMETRES!$J$43:$J$342,0))="","",INDEX(PARAMETRES!$H$43:$H$342,MATCH($L1738&amp;"|"&amp;$M1738&amp;"|"&amp;$N1738&amp;"|"&amp;$O1738&amp;"|"&amp;$P1738&amp;"|"&amp;$Q1738&amp;"|"&amp;$K1738,PARAMETRES!$J$43:$J$342,0))),""))</f>
        <v/>
      </c>
      <c r="S1738" s="35">
        <f>IF(OR($G1738="",$X1738&lt;&gt;"VALIDE"),"",IFERROR(LOOKUP(2,1/(($B838:$B1737=$B1738)*($G838:$G1737=$G1738)*($X838:$X1737="VALIDE")),$C838:$C1737),""))</f>
        <v/>
      </c>
      <c r="T1738" s="36">
        <f>IF(OR($C1738="",$S1738=""),"",ROUND(($C1738-$S1738+IF($C1738&lt;$S1738,1,0))*1440,0))</f>
        <v/>
      </c>
      <c r="U1738" s="22">
        <f>IF(OR($H1738="",$T1738="",$T1738&lt;=0),"",$H1738*60/$T1738)</f>
        <v/>
      </c>
      <c r="V1738" s="37">
        <f>IF(OR($U1738="",$R1738="",$R1738=0),"",$U1738/$R1738)</f>
        <v/>
      </c>
      <c r="W1738" s="20">
        <f>IF($G1738="","",IF($X1738="CONTEXTE INCOMPLET","CONTEXTE INCOMPLET",IF($X1738="DOUBLON",StatutDoublon,IF($S1738="",StatutInitial,IF($R1738="",StatutStandardManquant,IF($V1738="","DONNEES INSUFFISANTES",IF($V1738&gt;=SeuilConforme,StatutConforme,IF($V1738&gt;=SeuilSurveiller,StatutSurveiller,StatutSousStandard))))))))</f>
        <v/>
      </c>
      <c r="X1738" s="33">
        <f>IF($G1738="","",IF(OR($D1738="",$E1738="",$F1738=""),"CONTEXTE INCOMPLET",IF(COUNTIFS($D838:$D1737,$D1738,$E838:$E1737,$E1738,$F838:$F1737,$F1738,$G838:$G1737,$G1738)&gt;0,"DOUBLON","VALIDE")))</f>
        <v/>
      </c>
    </row>
    <row r="1739" ht="15" customHeight="1">
      <c r="A1739" s="12">
        <f>IF(OR($B1739="",$G1739=""),"",TEXT($B1739,"YYYYMMDD")&amp;"-"&amp;SUBSTITUTE($E1739," ","")&amp;"-"&amp;$F1739&amp;"-"&amp;$G1739)</f>
        <v/>
      </c>
      <c r="B1739" s="15" t="n"/>
      <c r="C1739" s="16" t="n"/>
      <c r="D1739" s="10" t="n"/>
      <c r="E1739" s="9" t="n"/>
      <c r="F1739" s="9" t="n"/>
      <c r="G1739" s="13" t="n"/>
      <c r="H1739" s="21" t="n"/>
      <c r="I1739" s="21" t="n"/>
      <c r="J1739" s="17">
        <f>IF($G1739="","",IFERROR(INDEX(NomsEmployes,MATCH($G1739,MatriculesEmployes,0)),"MATRICULE INCONNU"))</f>
        <v/>
      </c>
      <c r="K1739" s="33">
        <f>IF(OR($D1739="",$F1739=""),"",IFERROR(IF(INDEX(RUNS!$L$6:$S$1005,MATCH($D1739,RUNS!$A$6:$A$1005,0),MATCH("ACTIVITÉ "&amp;$F1739,RUNS!$L$5:$S$5,0))="","",INDEX(RUNS!$L$6:$S$1005,MATCH($D1739,RUNS!$A$6:$A$1005,0),MATCH("ACTIVITÉ "&amp;$F1739,RUNS!$L$5:$S$5,0))),""))</f>
        <v/>
      </c>
      <c r="L1739" s="33">
        <f>IF($D1739="","",IFERROR(IF(INDEX(RUNS!$E$6:$E$1005,MATCH($D1739,RUNS!$A$6:$A$1005,0))="","",INDEX(RUNS!$E$6:$E$1005,MATCH($D1739,RUNS!$A$6:$A$1005,0))),""))</f>
        <v/>
      </c>
      <c r="M1739" s="33">
        <f>IF($D1739="","",IFERROR(IF(INDEX(RUNS!$F$6:$F$1005,MATCH($D1739,RUNS!$A$6:$A$1005,0))="","",INDEX(RUNS!$F$6:$F$1005,MATCH($D1739,RUNS!$A$6:$A$1005,0))),""))</f>
        <v/>
      </c>
      <c r="N1739" s="33">
        <f>IF($D1739="","",IFERROR(IF(INDEX(RUNS!$G$6:$G$1005,MATCH($D1739,RUNS!$A$6:$A$1005,0))="","",INDEX(RUNS!$G$6:$G$1005,MATCH($D1739,RUNS!$A$6:$A$1005,0))),""))</f>
        <v/>
      </c>
      <c r="O1739" s="33">
        <f>IF($D1739="","",IFERROR(IF(INDEX(RUNS!$H$6:$H$1005,MATCH($D1739,RUNS!$A$6:$A$1005,0))="","",INDEX(RUNS!$H$6:$H$1005,MATCH($D1739,RUNS!$A$6:$A$1005,0))),""))</f>
        <v/>
      </c>
      <c r="P1739" s="33">
        <f>IF($D1739="","",IFERROR(IF(INDEX(RUNS!$J$6:$J$1005,MATCH($D1739,RUNS!$A$6:$A$1005,0))="","",INDEX(RUNS!$J$6:$J$1005,MATCH($D1739,RUNS!$A$6:$A$1005,0))),""))</f>
        <v/>
      </c>
      <c r="Q1739" s="33">
        <f>IF($D1739="","",IFERROR(IF(INDEX(RUNS!$K$6:$K$1005,MATCH($D1739,RUNS!$A$6:$A$1005,0))="","",INDEX(RUNS!$K$6:$K$1005,MATCH($D1739,RUNS!$A$6:$A$1005,0))),""))</f>
        <v/>
      </c>
      <c r="R1739" s="34">
        <f>IF(OR($L1739="",$K1739=""),"",IFERROR(IF(INDEX(PARAMETRES!$H$43:$H$342,MATCH($L1739&amp;"|"&amp;$M1739&amp;"|"&amp;$N1739&amp;"|"&amp;$O1739&amp;"|"&amp;$P1739&amp;"|"&amp;$Q1739&amp;"|"&amp;$K1739,PARAMETRES!$J$43:$J$342,0))="","",INDEX(PARAMETRES!$H$43:$H$342,MATCH($L1739&amp;"|"&amp;$M1739&amp;"|"&amp;$N1739&amp;"|"&amp;$O1739&amp;"|"&amp;$P1739&amp;"|"&amp;$Q1739&amp;"|"&amp;$K1739,PARAMETRES!$J$43:$J$342,0))),""))</f>
        <v/>
      </c>
      <c r="S1739" s="35">
        <f>IF(OR($G1739="",$X1739&lt;&gt;"VALIDE"),"",IFERROR(LOOKUP(2,1/(($B839:$B1738=$B1739)*($G839:$G1738=$G1739)*($X839:$X1738="VALIDE")),$C839:$C1738),""))</f>
        <v/>
      </c>
      <c r="T1739" s="36">
        <f>IF(OR($C1739="",$S1739=""),"",ROUND(($C1739-$S1739+IF($C1739&lt;$S1739,1,0))*1440,0))</f>
        <v/>
      </c>
      <c r="U1739" s="22">
        <f>IF(OR($H1739="",$T1739="",$T1739&lt;=0),"",$H1739*60/$T1739)</f>
        <v/>
      </c>
      <c r="V1739" s="37">
        <f>IF(OR($U1739="",$R1739="",$R1739=0),"",$U1739/$R1739)</f>
        <v/>
      </c>
      <c r="W1739" s="20">
        <f>IF($G1739="","",IF($X1739="CONTEXTE INCOMPLET","CONTEXTE INCOMPLET",IF($X1739="DOUBLON",StatutDoublon,IF($S1739="",StatutInitial,IF($R1739="",StatutStandardManquant,IF($V1739="","DONNEES INSUFFISANTES",IF($V1739&gt;=SeuilConforme,StatutConforme,IF($V1739&gt;=SeuilSurveiller,StatutSurveiller,StatutSousStandard))))))))</f>
        <v/>
      </c>
      <c r="X1739" s="33">
        <f>IF($G1739="","",IF(OR($D1739="",$E1739="",$F1739=""),"CONTEXTE INCOMPLET",IF(COUNTIFS($D839:$D1738,$D1739,$E839:$E1738,$E1739,$F839:$F1738,$F1739,$G839:$G1738,$G1739)&gt;0,"DOUBLON","VALIDE")))</f>
        <v/>
      </c>
    </row>
    <row r="1740" ht="15" customHeight="1">
      <c r="A1740" s="12">
        <f>IF(OR($B1740="",$G1740=""),"",TEXT($B1740,"YYYYMMDD")&amp;"-"&amp;SUBSTITUTE($E1740," ","")&amp;"-"&amp;$F1740&amp;"-"&amp;$G1740)</f>
        <v/>
      </c>
      <c r="B1740" s="15" t="n"/>
      <c r="C1740" s="16" t="n"/>
      <c r="D1740" s="10" t="n"/>
      <c r="E1740" s="9" t="n"/>
      <c r="F1740" s="9" t="n"/>
      <c r="G1740" s="13" t="n"/>
      <c r="H1740" s="21" t="n"/>
      <c r="I1740" s="21" t="n"/>
      <c r="J1740" s="17">
        <f>IF($G1740="","",IFERROR(INDEX(NomsEmployes,MATCH($G1740,MatriculesEmployes,0)),"MATRICULE INCONNU"))</f>
        <v/>
      </c>
      <c r="K1740" s="33">
        <f>IF(OR($D1740="",$F1740=""),"",IFERROR(IF(INDEX(RUNS!$L$6:$S$1005,MATCH($D1740,RUNS!$A$6:$A$1005,0),MATCH("ACTIVITÉ "&amp;$F1740,RUNS!$L$5:$S$5,0))="","",INDEX(RUNS!$L$6:$S$1005,MATCH($D1740,RUNS!$A$6:$A$1005,0),MATCH("ACTIVITÉ "&amp;$F1740,RUNS!$L$5:$S$5,0))),""))</f>
        <v/>
      </c>
      <c r="L1740" s="33">
        <f>IF($D1740="","",IFERROR(IF(INDEX(RUNS!$E$6:$E$1005,MATCH($D1740,RUNS!$A$6:$A$1005,0))="","",INDEX(RUNS!$E$6:$E$1005,MATCH($D1740,RUNS!$A$6:$A$1005,0))),""))</f>
        <v/>
      </c>
      <c r="M1740" s="33">
        <f>IF($D1740="","",IFERROR(IF(INDEX(RUNS!$F$6:$F$1005,MATCH($D1740,RUNS!$A$6:$A$1005,0))="","",INDEX(RUNS!$F$6:$F$1005,MATCH($D1740,RUNS!$A$6:$A$1005,0))),""))</f>
        <v/>
      </c>
      <c r="N1740" s="33">
        <f>IF($D1740="","",IFERROR(IF(INDEX(RUNS!$G$6:$G$1005,MATCH($D1740,RUNS!$A$6:$A$1005,0))="","",INDEX(RUNS!$G$6:$G$1005,MATCH($D1740,RUNS!$A$6:$A$1005,0))),""))</f>
        <v/>
      </c>
      <c r="O1740" s="33">
        <f>IF($D1740="","",IFERROR(IF(INDEX(RUNS!$H$6:$H$1005,MATCH($D1740,RUNS!$A$6:$A$1005,0))="","",INDEX(RUNS!$H$6:$H$1005,MATCH($D1740,RUNS!$A$6:$A$1005,0))),""))</f>
        <v/>
      </c>
      <c r="P1740" s="33">
        <f>IF($D1740="","",IFERROR(IF(INDEX(RUNS!$J$6:$J$1005,MATCH($D1740,RUNS!$A$6:$A$1005,0))="","",INDEX(RUNS!$J$6:$J$1005,MATCH($D1740,RUNS!$A$6:$A$1005,0))),""))</f>
        <v/>
      </c>
      <c r="Q1740" s="33">
        <f>IF($D1740="","",IFERROR(IF(INDEX(RUNS!$K$6:$K$1005,MATCH($D1740,RUNS!$A$6:$A$1005,0))="","",INDEX(RUNS!$K$6:$K$1005,MATCH($D1740,RUNS!$A$6:$A$1005,0))),""))</f>
        <v/>
      </c>
      <c r="R1740" s="34">
        <f>IF(OR($L1740="",$K1740=""),"",IFERROR(IF(INDEX(PARAMETRES!$H$43:$H$342,MATCH($L1740&amp;"|"&amp;$M1740&amp;"|"&amp;$N1740&amp;"|"&amp;$O1740&amp;"|"&amp;$P1740&amp;"|"&amp;$Q1740&amp;"|"&amp;$K1740,PARAMETRES!$J$43:$J$342,0))="","",INDEX(PARAMETRES!$H$43:$H$342,MATCH($L1740&amp;"|"&amp;$M1740&amp;"|"&amp;$N1740&amp;"|"&amp;$O1740&amp;"|"&amp;$P1740&amp;"|"&amp;$Q1740&amp;"|"&amp;$K1740,PARAMETRES!$J$43:$J$342,0))),""))</f>
        <v/>
      </c>
      <c r="S1740" s="35">
        <f>IF(OR($G1740="",$X1740&lt;&gt;"VALIDE"),"",IFERROR(LOOKUP(2,1/(($B840:$B1739=$B1740)*($G840:$G1739=$G1740)*($X840:$X1739="VALIDE")),$C840:$C1739),""))</f>
        <v/>
      </c>
      <c r="T1740" s="36">
        <f>IF(OR($C1740="",$S1740=""),"",ROUND(($C1740-$S1740+IF($C1740&lt;$S1740,1,0))*1440,0))</f>
        <v/>
      </c>
      <c r="U1740" s="22">
        <f>IF(OR($H1740="",$T1740="",$T1740&lt;=0),"",$H1740*60/$T1740)</f>
        <v/>
      </c>
      <c r="V1740" s="37">
        <f>IF(OR($U1740="",$R1740="",$R1740=0),"",$U1740/$R1740)</f>
        <v/>
      </c>
      <c r="W1740" s="20">
        <f>IF($G1740="","",IF($X1740="CONTEXTE INCOMPLET","CONTEXTE INCOMPLET",IF($X1740="DOUBLON",StatutDoublon,IF($S1740="",StatutInitial,IF($R1740="",StatutStandardManquant,IF($V1740="","DONNEES INSUFFISANTES",IF($V1740&gt;=SeuilConforme,StatutConforme,IF($V1740&gt;=SeuilSurveiller,StatutSurveiller,StatutSousStandard))))))))</f>
        <v/>
      </c>
      <c r="X1740" s="33">
        <f>IF($G1740="","",IF(OR($D1740="",$E1740="",$F1740=""),"CONTEXTE INCOMPLET",IF(COUNTIFS($D840:$D1739,$D1740,$E840:$E1739,$E1740,$F840:$F1739,$F1740,$G840:$G1739,$G1740)&gt;0,"DOUBLON","VALIDE")))</f>
        <v/>
      </c>
    </row>
    <row r="1741" ht="15" customHeight="1">
      <c r="A1741" s="12">
        <f>IF(OR($B1741="",$G1741=""),"",TEXT($B1741,"YYYYMMDD")&amp;"-"&amp;SUBSTITUTE($E1741," ","")&amp;"-"&amp;$F1741&amp;"-"&amp;$G1741)</f>
        <v/>
      </c>
      <c r="B1741" s="15" t="n"/>
      <c r="C1741" s="16" t="n"/>
      <c r="D1741" s="10" t="n"/>
      <c r="E1741" s="9" t="n"/>
      <c r="F1741" s="9" t="n"/>
      <c r="G1741" s="13" t="n"/>
      <c r="H1741" s="21" t="n"/>
      <c r="I1741" s="21" t="n"/>
      <c r="J1741" s="17">
        <f>IF($G1741="","",IFERROR(INDEX(NomsEmployes,MATCH($G1741,MatriculesEmployes,0)),"MATRICULE INCONNU"))</f>
        <v/>
      </c>
      <c r="K1741" s="33">
        <f>IF(OR($D1741="",$F1741=""),"",IFERROR(IF(INDEX(RUNS!$L$6:$S$1005,MATCH($D1741,RUNS!$A$6:$A$1005,0),MATCH("ACTIVITÉ "&amp;$F1741,RUNS!$L$5:$S$5,0))="","",INDEX(RUNS!$L$6:$S$1005,MATCH($D1741,RUNS!$A$6:$A$1005,0),MATCH("ACTIVITÉ "&amp;$F1741,RUNS!$L$5:$S$5,0))),""))</f>
        <v/>
      </c>
      <c r="L1741" s="33">
        <f>IF($D1741="","",IFERROR(IF(INDEX(RUNS!$E$6:$E$1005,MATCH($D1741,RUNS!$A$6:$A$1005,0))="","",INDEX(RUNS!$E$6:$E$1005,MATCH($D1741,RUNS!$A$6:$A$1005,0))),""))</f>
        <v/>
      </c>
      <c r="M1741" s="33">
        <f>IF($D1741="","",IFERROR(IF(INDEX(RUNS!$F$6:$F$1005,MATCH($D1741,RUNS!$A$6:$A$1005,0))="","",INDEX(RUNS!$F$6:$F$1005,MATCH($D1741,RUNS!$A$6:$A$1005,0))),""))</f>
        <v/>
      </c>
      <c r="N1741" s="33">
        <f>IF($D1741="","",IFERROR(IF(INDEX(RUNS!$G$6:$G$1005,MATCH($D1741,RUNS!$A$6:$A$1005,0))="","",INDEX(RUNS!$G$6:$G$1005,MATCH($D1741,RUNS!$A$6:$A$1005,0))),""))</f>
        <v/>
      </c>
      <c r="O1741" s="33">
        <f>IF($D1741="","",IFERROR(IF(INDEX(RUNS!$H$6:$H$1005,MATCH($D1741,RUNS!$A$6:$A$1005,0))="","",INDEX(RUNS!$H$6:$H$1005,MATCH($D1741,RUNS!$A$6:$A$1005,0))),""))</f>
        <v/>
      </c>
      <c r="P1741" s="33">
        <f>IF($D1741="","",IFERROR(IF(INDEX(RUNS!$J$6:$J$1005,MATCH($D1741,RUNS!$A$6:$A$1005,0))="","",INDEX(RUNS!$J$6:$J$1005,MATCH($D1741,RUNS!$A$6:$A$1005,0))),""))</f>
        <v/>
      </c>
      <c r="Q1741" s="33">
        <f>IF($D1741="","",IFERROR(IF(INDEX(RUNS!$K$6:$K$1005,MATCH($D1741,RUNS!$A$6:$A$1005,0))="","",INDEX(RUNS!$K$6:$K$1005,MATCH($D1741,RUNS!$A$6:$A$1005,0))),""))</f>
        <v/>
      </c>
      <c r="R1741" s="34">
        <f>IF(OR($L1741="",$K1741=""),"",IFERROR(IF(INDEX(PARAMETRES!$H$43:$H$342,MATCH($L1741&amp;"|"&amp;$M1741&amp;"|"&amp;$N1741&amp;"|"&amp;$O1741&amp;"|"&amp;$P1741&amp;"|"&amp;$Q1741&amp;"|"&amp;$K1741,PARAMETRES!$J$43:$J$342,0))="","",INDEX(PARAMETRES!$H$43:$H$342,MATCH($L1741&amp;"|"&amp;$M1741&amp;"|"&amp;$N1741&amp;"|"&amp;$O1741&amp;"|"&amp;$P1741&amp;"|"&amp;$Q1741&amp;"|"&amp;$K1741,PARAMETRES!$J$43:$J$342,0))),""))</f>
        <v/>
      </c>
      <c r="S1741" s="35">
        <f>IF(OR($G1741="",$X1741&lt;&gt;"VALIDE"),"",IFERROR(LOOKUP(2,1/(($B841:$B1740=$B1741)*($G841:$G1740=$G1741)*($X841:$X1740="VALIDE")),$C841:$C1740),""))</f>
        <v/>
      </c>
      <c r="T1741" s="36">
        <f>IF(OR($C1741="",$S1741=""),"",ROUND(($C1741-$S1741+IF($C1741&lt;$S1741,1,0))*1440,0))</f>
        <v/>
      </c>
      <c r="U1741" s="22">
        <f>IF(OR($H1741="",$T1741="",$T1741&lt;=0),"",$H1741*60/$T1741)</f>
        <v/>
      </c>
      <c r="V1741" s="37">
        <f>IF(OR($U1741="",$R1741="",$R1741=0),"",$U1741/$R1741)</f>
        <v/>
      </c>
      <c r="W1741" s="20">
        <f>IF($G1741="","",IF($X1741="CONTEXTE INCOMPLET","CONTEXTE INCOMPLET",IF($X1741="DOUBLON",StatutDoublon,IF($S1741="",StatutInitial,IF($R1741="",StatutStandardManquant,IF($V1741="","DONNEES INSUFFISANTES",IF($V1741&gt;=SeuilConforme,StatutConforme,IF($V1741&gt;=SeuilSurveiller,StatutSurveiller,StatutSousStandard))))))))</f>
        <v/>
      </c>
      <c r="X1741" s="33">
        <f>IF($G1741="","",IF(OR($D1741="",$E1741="",$F1741=""),"CONTEXTE INCOMPLET",IF(COUNTIFS($D841:$D1740,$D1741,$E841:$E1740,$E1741,$F841:$F1740,$F1741,$G841:$G1740,$G1741)&gt;0,"DOUBLON","VALIDE")))</f>
        <v/>
      </c>
    </row>
    <row r="1742" ht="15" customHeight="1">
      <c r="A1742" s="12">
        <f>IF(OR($B1742="",$G1742=""),"",TEXT($B1742,"YYYYMMDD")&amp;"-"&amp;SUBSTITUTE($E1742," ","")&amp;"-"&amp;$F1742&amp;"-"&amp;$G1742)</f>
        <v/>
      </c>
      <c r="B1742" s="15" t="n"/>
      <c r="C1742" s="16" t="n"/>
      <c r="D1742" s="10" t="n"/>
      <c r="E1742" s="9" t="n"/>
      <c r="F1742" s="9" t="n"/>
      <c r="G1742" s="13" t="n"/>
      <c r="H1742" s="21" t="n"/>
      <c r="I1742" s="21" t="n"/>
      <c r="J1742" s="17">
        <f>IF($G1742="","",IFERROR(INDEX(NomsEmployes,MATCH($G1742,MatriculesEmployes,0)),"MATRICULE INCONNU"))</f>
        <v/>
      </c>
      <c r="K1742" s="33">
        <f>IF(OR($D1742="",$F1742=""),"",IFERROR(IF(INDEX(RUNS!$L$6:$S$1005,MATCH($D1742,RUNS!$A$6:$A$1005,0),MATCH("ACTIVITÉ "&amp;$F1742,RUNS!$L$5:$S$5,0))="","",INDEX(RUNS!$L$6:$S$1005,MATCH($D1742,RUNS!$A$6:$A$1005,0),MATCH("ACTIVITÉ "&amp;$F1742,RUNS!$L$5:$S$5,0))),""))</f>
        <v/>
      </c>
      <c r="L1742" s="33">
        <f>IF($D1742="","",IFERROR(IF(INDEX(RUNS!$E$6:$E$1005,MATCH($D1742,RUNS!$A$6:$A$1005,0))="","",INDEX(RUNS!$E$6:$E$1005,MATCH($D1742,RUNS!$A$6:$A$1005,0))),""))</f>
        <v/>
      </c>
      <c r="M1742" s="33">
        <f>IF($D1742="","",IFERROR(IF(INDEX(RUNS!$F$6:$F$1005,MATCH($D1742,RUNS!$A$6:$A$1005,0))="","",INDEX(RUNS!$F$6:$F$1005,MATCH($D1742,RUNS!$A$6:$A$1005,0))),""))</f>
        <v/>
      </c>
      <c r="N1742" s="33">
        <f>IF($D1742="","",IFERROR(IF(INDEX(RUNS!$G$6:$G$1005,MATCH($D1742,RUNS!$A$6:$A$1005,0))="","",INDEX(RUNS!$G$6:$G$1005,MATCH($D1742,RUNS!$A$6:$A$1005,0))),""))</f>
        <v/>
      </c>
      <c r="O1742" s="33">
        <f>IF($D1742="","",IFERROR(IF(INDEX(RUNS!$H$6:$H$1005,MATCH($D1742,RUNS!$A$6:$A$1005,0))="","",INDEX(RUNS!$H$6:$H$1005,MATCH($D1742,RUNS!$A$6:$A$1005,0))),""))</f>
        <v/>
      </c>
      <c r="P1742" s="33">
        <f>IF($D1742="","",IFERROR(IF(INDEX(RUNS!$J$6:$J$1005,MATCH($D1742,RUNS!$A$6:$A$1005,0))="","",INDEX(RUNS!$J$6:$J$1005,MATCH($D1742,RUNS!$A$6:$A$1005,0))),""))</f>
        <v/>
      </c>
      <c r="Q1742" s="33">
        <f>IF($D1742="","",IFERROR(IF(INDEX(RUNS!$K$6:$K$1005,MATCH($D1742,RUNS!$A$6:$A$1005,0))="","",INDEX(RUNS!$K$6:$K$1005,MATCH($D1742,RUNS!$A$6:$A$1005,0))),""))</f>
        <v/>
      </c>
      <c r="R1742" s="34">
        <f>IF(OR($L1742="",$K1742=""),"",IFERROR(IF(INDEX(PARAMETRES!$H$43:$H$342,MATCH($L1742&amp;"|"&amp;$M1742&amp;"|"&amp;$N1742&amp;"|"&amp;$O1742&amp;"|"&amp;$P1742&amp;"|"&amp;$Q1742&amp;"|"&amp;$K1742,PARAMETRES!$J$43:$J$342,0))="","",INDEX(PARAMETRES!$H$43:$H$342,MATCH($L1742&amp;"|"&amp;$M1742&amp;"|"&amp;$N1742&amp;"|"&amp;$O1742&amp;"|"&amp;$P1742&amp;"|"&amp;$Q1742&amp;"|"&amp;$K1742,PARAMETRES!$J$43:$J$342,0))),""))</f>
        <v/>
      </c>
      <c r="S1742" s="35">
        <f>IF(OR($G1742="",$X1742&lt;&gt;"VALIDE"),"",IFERROR(LOOKUP(2,1/(($B842:$B1741=$B1742)*($G842:$G1741=$G1742)*($X842:$X1741="VALIDE")),$C842:$C1741),""))</f>
        <v/>
      </c>
      <c r="T1742" s="36">
        <f>IF(OR($C1742="",$S1742=""),"",ROUND(($C1742-$S1742+IF($C1742&lt;$S1742,1,0))*1440,0))</f>
        <v/>
      </c>
      <c r="U1742" s="22">
        <f>IF(OR($H1742="",$T1742="",$T1742&lt;=0),"",$H1742*60/$T1742)</f>
        <v/>
      </c>
      <c r="V1742" s="37">
        <f>IF(OR($U1742="",$R1742="",$R1742=0),"",$U1742/$R1742)</f>
        <v/>
      </c>
      <c r="W1742" s="20">
        <f>IF($G1742="","",IF($X1742="CONTEXTE INCOMPLET","CONTEXTE INCOMPLET",IF($X1742="DOUBLON",StatutDoublon,IF($S1742="",StatutInitial,IF($R1742="",StatutStandardManquant,IF($V1742="","DONNEES INSUFFISANTES",IF($V1742&gt;=SeuilConforme,StatutConforme,IF($V1742&gt;=SeuilSurveiller,StatutSurveiller,StatutSousStandard))))))))</f>
        <v/>
      </c>
      <c r="X1742" s="33">
        <f>IF($G1742="","",IF(OR($D1742="",$E1742="",$F1742=""),"CONTEXTE INCOMPLET",IF(COUNTIFS($D842:$D1741,$D1742,$E842:$E1741,$E1742,$F842:$F1741,$F1742,$G842:$G1741,$G1742)&gt;0,"DOUBLON","VALIDE")))</f>
        <v/>
      </c>
    </row>
    <row r="1743" ht="15" customHeight="1">
      <c r="A1743" s="12">
        <f>IF(OR($B1743="",$G1743=""),"",TEXT($B1743,"YYYYMMDD")&amp;"-"&amp;SUBSTITUTE($E1743," ","")&amp;"-"&amp;$F1743&amp;"-"&amp;$G1743)</f>
        <v/>
      </c>
      <c r="B1743" s="15" t="n"/>
      <c r="C1743" s="16" t="n"/>
      <c r="D1743" s="10" t="n"/>
      <c r="E1743" s="9" t="n"/>
      <c r="F1743" s="9" t="n"/>
      <c r="G1743" s="13" t="n"/>
      <c r="H1743" s="21" t="n"/>
      <c r="I1743" s="21" t="n"/>
      <c r="J1743" s="17">
        <f>IF($G1743="","",IFERROR(INDEX(NomsEmployes,MATCH($G1743,MatriculesEmployes,0)),"MATRICULE INCONNU"))</f>
        <v/>
      </c>
      <c r="K1743" s="33">
        <f>IF(OR($D1743="",$F1743=""),"",IFERROR(IF(INDEX(RUNS!$L$6:$S$1005,MATCH($D1743,RUNS!$A$6:$A$1005,0),MATCH("ACTIVITÉ "&amp;$F1743,RUNS!$L$5:$S$5,0))="","",INDEX(RUNS!$L$6:$S$1005,MATCH($D1743,RUNS!$A$6:$A$1005,0),MATCH("ACTIVITÉ "&amp;$F1743,RUNS!$L$5:$S$5,0))),""))</f>
        <v/>
      </c>
      <c r="L1743" s="33">
        <f>IF($D1743="","",IFERROR(IF(INDEX(RUNS!$E$6:$E$1005,MATCH($D1743,RUNS!$A$6:$A$1005,0))="","",INDEX(RUNS!$E$6:$E$1005,MATCH($D1743,RUNS!$A$6:$A$1005,0))),""))</f>
        <v/>
      </c>
      <c r="M1743" s="33">
        <f>IF($D1743="","",IFERROR(IF(INDEX(RUNS!$F$6:$F$1005,MATCH($D1743,RUNS!$A$6:$A$1005,0))="","",INDEX(RUNS!$F$6:$F$1005,MATCH($D1743,RUNS!$A$6:$A$1005,0))),""))</f>
        <v/>
      </c>
      <c r="N1743" s="33">
        <f>IF($D1743="","",IFERROR(IF(INDEX(RUNS!$G$6:$G$1005,MATCH($D1743,RUNS!$A$6:$A$1005,0))="","",INDEX(RUNS!$G$6:$G$1005,MATCH($D1743,RUNS!$A$6:$A$1005,0))),""))</f>
        <v/>
      </c>
      <c r="O1743" s="33">
        <f>IF($D1743="","",IFERROR(IF(INDEX(RUNS!$H$6:$H$1005,MATCH($D1743,RUNS!$A$6:$A$1005,0))="","",INDEX(RUNS!$H$6:$H$1005,MATCH($D1743,RUNS!$A$6:$A$1005,0))),""))</f>
        <v/>
      </c>
      <c r="P1743" s="33">
        <f>IF($D1743="","",IFERROR(IF(INDEX(RUNS!$J$6:$J$1005,MATCH($D1743,RUNS!$A$6:$A$1005,0))="","",INDEX(RUNS!$J$6:$J$1005,MATCH($D1743,RUNS!$A$6:$A$1005,0))),""))</f>
        <v/>
      </c>
      <c r="Q1743" s="33">
        <f>IF($D1743="","",IFERROR(IF(INDEX(RUNS!$K$6:$K$1005,MATCH($D1743,RUNS!$A$6:$A$1005,0))="","",INDEX(RUNS!$K$6:$K$1005,MATCH($D1743,RUNS!$A$6:$A$1005,0))),""))</f>
        <v/>
      </c>
      <c r="R1743" s="34">
        <f>IF(OR($L1743="",$K1743=""),"",IFERROR(IF(INDEX(PARAMETRES!$H$43:$H$342,MATCH($L1743&amp;"|"&amp;$M1743&amp;"|"&amp;$N1743&amp;"|"&amp;$O1743&amp;"|"&amp;$P1743&amp;"|"&amp;$Q1743&amp;"|"&amp;$K1743,PARAMETRES!$J$43:$J$342,0))="","",INDEX(PARAMETRES!$H$43:$H$342,MATCH($L1743&amp;"|"&amp;$M1743&amp;"|"&amp;$N1743&amp;"|"&amp;$O1743&amp;"|"&amp;$P1743&amp;"|"&amp;$Q1743&amp;"|"&amp;$K1743,PARAMETRES!$J$43:$J$342,0))),""))</f>
        <v/>
      </c>
      <c r="S1743" s="35">
        <f>IF(OR($G1743="",$X1743&lt;&gt;"VALIDE"),"",IFERROR(LOOKUP(2,1/(($B843:$B1742=$B1743)*($G843:$G1742=$G1743)*($X843:$X1742="VALIDE")),$C843:$C1742),""))</f>
        <v/>
      </c>
      <c r="T1743" s="36">
        <f>IF(OR($C1743="",$S1743=""),"",ROUND(($C1743-$S1743+IF($C1743&lt;$S1743,1,0))*1440,0))</f>
        <v/>
      </c>
      <c r="U1743" s="22">
        <f>IF(OR($H1743="",$T1743="",$T1743&lt;=0),"",$H1743*60/$T1743)</f>
        <v/>
      </c>
      <c r="V1743" s="37">
        <f>IF(OR($U1743="",$R1743="",$R1743=0),"",$U1743/$R1743)</f>
        <v/>
      </c>
      <c r="W1743" s="20">
        <f>IF($G1743="","",IF($X1743="CONTEXTE INCOMPLET","CONTEXTE INCOMPLET",IF($X1743="DOUBLON",StatutDoublon,IF($S1743="",StatutInitial,IF($R1743="",StatutStandardManquant,IF($V1743="","DONNEES INSUFFISANTES",IF($V1743&gt;=SeuilConforme,StatutConforme,IF($V1743&gt;=SeuilSurveiller,StatutSurveiller,StatutSousStandard))))))))</f>
        <v/>
      </c>
      <c r="X1743" s="33">
        <f>IF($G1743="","",IF(OR($D1743="",$E1743="",$F1743=""),"CONTEXTE INCOMPLET",IF(COUNTIFS($D843:$D1742,$D1743,$E843:$E1742,$E1743,$F843:$F1742,$F1743,$G843:$G1742,$G1743)&gt;0,"DOUBLON","VALIDE")))</f>
        <v/>
      </c>
    </row>
    <row r="1744" ht="15" customHeight="1">
      <c r="A1744" s="12">
        <f>IF(OR($B1744="",$G1744=""),"",TEXT($B1744,"YYYYMMDD")&amp;"-"&amp;SUBSTITUTE($E1744," ","")&amp;"-"&amp;$F1744&amp;"-"&amp;$G1744)</f>
        <v/>
      </c>
      <c r="B1744" s="15" t="n"/>
      <c r="C1744" s="16" t="n"/>
      <c r="D1744" s="10" t="n"/>
      <c r="E1744" s="9" t="n"/>
      <c r="F1744" s="9" t="n"/>
      <c r="G1744" s="13" t="n"/>
      <c r="H1744" s="21" t="n"/>
      <c r="I1744" s="21" t="n"/>
      <c r="J1744" s="17">
        <f>IF($G1744="","",IFERROR(INDEX(NomsEmployes,MATCH($G1744,MatriculesEmployes,0)),"MATRICULE INCONNU"))</f>
        <v/>
      </c>
      <c r="K1744" s="33">
        <f>IF(OR($D1744="",$F1744=""),"",IFERROR(IF(INDEX(RUNS!$L$6:$S$1005,MATCH($D1744,RUNS!$A$6:$A$1005,0),MATCH("ACTIVITÉ "&amp;$F1744,RUNS!$L$5:$S$5,0))="","",INDEX(RUNS!$L$6:$S$1005,MATCH($D1744,RUNS!$A$6:$A$1005,0),MATCH("ACTIVITÉ "&amp;$F1744,RUNS!$L$5:$S$5,0))),""))</f>
        <v/>
      </c>
      <c r="L1744" s="33">
        <f>IF($D1744="","",IFERROR(IF(INDEX(RUNS!$E$6:$E$1005,MATCH($D1744,RUNS!$A$6:$A$1005,0))="","",INDEX(RUNS!$E$6:$E$1005,MATCH($D1744,RUNS!$A$6:$A$1005,0))),""))</f>
        <v/>
      </c>
      <c r="M1744" s="33">
        <f>IF($D1744="","",IFERROR(IF(INDEX(RUNS!$F$6:$F$1005,MATCH($D1744,RUNS!$A$6:$A$1005,0))="","",INDEX(RUNS!$F$6:$F$1005,MATCH($D1744,RUNS!$A$6:$A$1005,0))),""))</f>
        <v/>
      </c>
      <c r="N1744" s="33">
        <f>IF($D1744="","",IFERROR(IF(INDEX(RUNS!$G$6:$G$1005,MATCH($D1744,RUNS!$A$6:$A$1005,0))="","",INDEX(RUNS!$G$6:$G$1005,MATCH($D1744,RUNS!$A$6:$A$1005,0))),""))</f>
        <v/>
      </c>
      <c r="O1744" s="33">
        <f>IF($D1744="","",IFERROR(IF(INDEX(RUNS!$H$6:$H$1005,MATCH($D1744,RUNS!$A$6:$A$1005,0))="","",INDEX(RUNS!$H$6:$H$1005,MATCH($D1744,RUNS!$A$6:$A$1005,0))),""))</f>
        <v/>
      </c>
      <c r="P1744" s="33">
        <f>IF($D1744="","",IFERROR(IF(INDEX(RUNS!$J$6:$J$1005,MATCH($D1744,RUNS!$A$6:$A$1005,0))="","",INDEX(RUNS!$J$6:$J$1005,MATCH($D1744,RUNS!$A$6:$A$1005,0))),""))</f>
        <v/>
      </c>
      <c r="Q1744" s="33">
        <f>IF($D1744="","",IFERROR(IF(INDEX(RUNS!$K$6:$K$1005,MATCH($D1744,RUNS!$A$6:$A$1005,0))="","",INDEX(RUNS!$K$6:$K$1005,MATCH($D1744,RUNS!$A$6:$A$1005,0))),""))</f>
        <v/>
      </c>
      <c r="R1744" s="34">
        <f>IF(OR($L1744="",$K1744=""),"",IFERROR(IF(INDEX(PARAMETRES!$H$43:$H$342,MATCH($L1744&amp;"|"&amp;$M1744&amp;"|"&amp;$N1744&amp;"|"&amp;$O1744&amp;"|"&amp;$P1744&amp;"|"&amp;$Q1744&amp;"|"&amp;$K1744,PARAMETRES!$J$43:$J$342,0))="","",INDEX(PARAMETRES!$H$43:$H$342,MATCH($L1744&amp;"|"&amp;$M1744&amp;"|"&amp;$N1744&amp;"|"&amp;$O1744&amp;"|"&amp;$P1744&amp;"|"&amp;$Q1744&amp;"|"&amp;$K1744,PARAMETRES!$J$43:$J$342,0))),""))</f>
        <v/>
      </c>
      <c r="S1744" s="35">
        <f>IF(OR($G1744="",$X1744&lt;&gt;"VALIDE"),"",IFERROR(LOOKUP(2,1/(($B844:$B1743=$B1744)*($G844:$G1743=$G1744)*($X844:$X1743="VALIDE")),$C844:$C1743),""))</f>
        <v/>
      </c>
      <c r="T1744" s="36">
        <f>IF(OR($C1744="",$S1744=""),"",ROUND(($C1744-$S1744+IF($C1744&lt;$S1744,1,0))*1440,0))</f>
        <v/>
      </c>
      <c r="U1744" s="22">
        <f>IF(OR($H1744="",$T1744="",$T1744&lt;=0),"",$H1744*60/$T1744)</f>
        <v/>
      </c>
      <c r="V1744" s="37">
        <f>IF(OR($U1744="",$R1744="",$R1744=0),"",$U1744/$R1744)</f>
        <v/>
      </c>
      <c r="W1744" s="20">
        <f>IF($G1744="","",IF($X1744="CONTEXTE INCOMPLET","CONTEXTE INCOMPLET",IF($X1744="DOUBLON",StatutDoublon,IF($S1744="",StatutInitial,IF($R1744="",StatutStandardManquant,IF($V1744="","DONNEES INSUFFISANTES",IF($V1744&gt;=SeuilConforme,StatutConforme,IF($V1744&gt;=SeuilSurveiller,StatutSurveiller,StatutSousStandard))))))))</f>
        <v/>
      </c>
      <c r="X1744" s="33">
        <f>IF($G1744="","",IF(OR($D1744="",$E1744="",$F1744=""),"CONTEXTE INCOMPLET",IF(COUNTIFS($D844:$D1743,$D1744,$E844:$E1743,$E1744,$F844:$F1743,$F1744,$G844:$G1743,$G1744)&gt;0,"DOUBLON","VALIDE")))</f>
        <v/>
      </c>
    </row>
    <row r="1745" ht="15" customHeight="1">
      <c r="A1745" s="12">
        <f>IF(OR($B1745="",$G1745=""),"",TEXT($B1745,"YYYYMMDD")&amp;"-"&amp;SUBSTITUTE($E1745," ","")&amp;"-"&amp;$F1745&amp;"-"&amp;$G1745)</f>
        <v/>
      </c>
      <c r="B1745" s="15" t="n"/>
      <c r="C1745" s="16" t="n"/>
      <c r="D1745" s="10" t="n"/>
      <c r="E1745" s="9" t="n"/>
      <c r="F1745" s="9" t="n"/>
      <c r="G1745" s="13" t="n"/>
      <c r="H1745" s="21" t="n"/>
      <c r="I1745" s="21" t="n"/>
      <c r="J1745" s="17">
        <f>IF($G1745="","",IFERROR(INDEX(NomsEmployes,MATCH($G1745,MatriculesEmployes,0)),"MATRICULE INCONNU"))</f>
        <v/>
      </c>
      <c r="K1745" s="33">
        <f>IF(OR($D1745="",$F1745=""),"",IFERROR(IF(INDEX(RUNS!$L$6:$S$1005,MATCH($D1745,RUNS!$A$6:$A$1005,0),MATCH("ACTIVITÉ "&amp;$F1745,RUNS!$L$5:$S$5,0))="","",INDEX(RUNS!$L$6:$S$1005,MATCH($D1745,RUNS!$A$6:$A$1005,0),MATCH("ACTIVITÉ "&amp;$F1745,RUNS!$L$5:$S$5,0))),""))</f>
        <v/>
      </c>
      <c r="L1745" s="33">
        <f>IF($D1745="","",IFERROR(IF(INDEX(RUNS!$E$6:$E$1005,MATCH($D1745,RUNS!$A$6:$A$1005,0))="","",INDEX(RUNS!$E$6:$E$1005,MATCH($D1745,RUNS!$A$6:$A$1005,0))),""))</f>
        <v/>
      </c>
      <c r="M1745" s="33">
        <f>IF($D1745="","",IFERROR(IF(INDEX(RUNS!$F$6:$F$1005,MATCH($D1745,RUNS!$A$6:$A$1005,0))="","",INDEX(RUNS!$F$6:$F$1005,MATCH($D1745,RUNS!$A$6:$A$1005,0))),""))</f>
        <v/>
      </c>
      <c r="N1745" s="33">
        <f>IF($D1745="","",IFERROR(IF(INDEX(RUNS!$G$6:$G$1005,MATCH($D1745,RUNS!$A$6:$A$1005,0))="","",INDEX(RUNS!$G$6:$G$1005,MATCH($D1745,RUNS!$A$6:$A$1005,0))),""))</f>
        <v/>
      </c>
      <c r="O1745" s="33">
        <f>IF($D1745="","",IFERROR(IF(INDEX(RUNS!$H$6:$H$1005,MATCH($D1745,RUNS!$A$6:$A$1005,0))="","",INDEX(RUNS!$H$6:$H$1005,MATCH($D1745,RUNS!$A$6:$A$1005,0))),""))</f>
        <v/>
      </c>
      <c r="P1745" s="33">
        <f>IF($D1745="","",IFERROR(IF(INDEX(RUNS!$J$6:$J$1005,MATCH($D1745,RUNS!$A$6:$A$1005,0))="","",INDEX(RUNS!$J$6:$J$1005,MATCH($D1745,RUNS!$A$6:$A$1005,0))),""))</f>
        <v/>
      </c>
      <c r="Q1745" s="33">
        <f>IF($D1745="","",IFERROR(IF(INDEX(RUNS!$K$6:$K$1005,MATCH($D1745,RUNS!$A$6:$A$1005,0))="","",INDEX(RUNS!$K$6:$K$1005,MATCH($D1745,RUNS!$A$6:$A$1005,0))),""))</f>
        <v/>
      </c>
      <c r="R1745" s="34">
        <f>IF(OR($L1745="",$K1745=""),"",IFERROR(IF(INDEX(PARAMETRES!$H$43:$H$342,MATCH($L1745&amp;"|"&amp;$M1745&amp;"|"&amp;$N1745&amp;"|"&amp;$O1745&amp;"|"&amp;$P1745&amp;"|"&amp;$Q1745&amp;"|"&amp;$K1745,PARAMETRES!$J$43:$J$342,0))="","",INDEX(PARAMETRES!$H$43:$H$342,MATCH($L1745&amp;"|"&amp;$M1745&amp;"|"&amp;$N1745&amp;"|"&amp;$O1745&amp;"|"&amp;$P1745&amp;"|"&amp;$Q1745&amp;"|"&amp;$K1745,PARAMETRES!$J$43:$J$342,0))),""))</f>
        <v/>
      </c>
      <c r="S1745" s="35">
        <f>IF(OR($G1745="",$X1745&lt;&gt;"VALIDE"),"",IFERROR(LOOKUP(2,1/(($B845:$B1744=$B1745)*($G845:$G1744=$G1745)*($X845:$X1744="VALIDE")),$C845:$C1744),""))</f>
        <v/>
      </c>
      <c r="T1745" s="36">
        <f>IF(OR($C1745="",$S1745=""),"",ROUND(($C1745-$S1745+IF($C1745&lt;$S1745,1,0))*1440,0))</f>
        <v/>
      </c>
      <c r="U1745" s="22">
        <f>IF(OR($H1745="",$T1745="",$T1745&lt;=0),"",$H1745*60/$T1745)</f>
        <v/>
      </c>
      <c r="V1745" s="37">
        <f>IF(OR($U1745="",$R1745="",$R1745=0),"",$U1745/$R1745)</f>
        <v/>
      </c>
      <c r="W1745" s="20">
        <f>IF($G1745="","",IF($X1745="CONTEXTE INCOMPLET","CONTEXTE INCOMPLET",IF($X1745="DOUBLON",StatutDoublon,IF($S1745="",StatutInitial,IF($R1745="",StatutStandardManquant,IF($V1745="","DONNEES INSUFFISANTES",IF($V1745&gt;=SeuilConforme,StatutConforme,IF($V1745&gt;=SeuilSurveiller,StatutSurveiller,StatutSousStandard))))))))</f>
        <v/>
      </c>
      <c r="X1745" s="33">
        <f>IF($G1745="","",IF(OR($D1745="",$E1745="",$F1745=""),"CONTEXTE INCOMPLET",IF(COUNTIFS($D845:$D1744,$D1745,$E845:$E1744,$E1745,$F845:$F1744,$F1745,$G845:$G1744,$G1745)&gt;0,"DOUBLON","VALIDE")))</f>
        <v/>
      </c>
    </row>
    <row r="1746" ht="15" customHeight="1">
      <c r="A1746" s="12">
        <f>IF(OR($B1746="",$G1746=""),"",TEXT($B1746,"YYYYMMDD")&amp;"-"&amp;SUBSTITUTE($E1746," ","")&amp;"-"&amp;$F1746&amp;"-"&amp;$G1746)</f>
        <v/>
      </c>
      <c r="B1746" s="15" t="n"/>
      <c r="C1746" s="16" t="n"/>
      <c r="D1746" s="10" t="n"/>
      <c r="E1746" s="9" t="n"/>
      <c r="F1746" s="9" t="n"/>
      <c r="G1746" s="13" t="n"/>
      <c r="H1746" s="21" t="n"/>
      <c r="I1746" s="21" t="n"/>
      <c r="J1746" s="17">
        <f>IF($G1746="","",IFERROR(INDEX(NomsEmployes,MATCH($G1746,MatriculesEmployes,0)),"MATRICULE INCONNU"))</f>
        <v/>
      </c>
      <c r="K1746" s="33">
        <f>IF(OR($D1746="",$F1746=""),"",IFERROR(IF(INDEX(RUNS!$L$6:$S$1005,MATCH($D1746,RUNS!$A$6:$A$1005,0),MATCH("ACTIVITÉ "&amp;$F1746,RUNS!$L$5:$S$5,0))="","",INDEX(RUNS!$L$6:$S$1005,MATCH($D1746,RUNS!$A$6:$A$1005,0),MATCH("ACTIVITÉ "&amp;$F1746,RUNS!$L$5:$S$5,0))),""))</f>
        <v/>
      </c>
      <c r="L1746" s="33">
        <f>IF($D1746="","",IFERROR(IF(INDEX(RUNS!$E$6:$E$1005,MATCH($D1746,RUNS!$A$6:$A$1005,0))="","",INDEX(RUNS!$E$6:$E$1005,MATCH($D1746,RUNS!$A$6:$A$1005,0))),""))</f>
        <v/>
      </c>
      <c r="M1746" s="33">
        <f>IF($D1746="","",IFERROR(IF(INDEX(RUNS!$F$6:$F$1005,MATCH($D1746,RUNS!$A$6:$A$1005,0))="","",INDEX(RUNS!$F$6:$F$1005,MATCH($D1746,RUNS!$A$6:$A$1005,0))),""))</f>
        <v/>
      </c>
      <c r="N1746" s="33">
        <f>IF($D1746="","",IFERROR(IF(INDEX(RUNS!$G$6:$G$1005,MATCH($D1746,RUNS!$A$6:$A$1005,0))="","",INDEX(RUNS!$G$6:$G$1005,MATCH($D1746,RUNS!$A$6:$A$1005,0))),""))</f>
        <v/>
      </c>
      <c r="O1746" s="33">
        <f>IF($D1746="","",IFERROR(IF(INDEX(RUNS!$H$6:$H$1005,MATCH($D1746,RUNS!$A$6:$A$1005,0))="","",INDEX(RUNS!$H$6:$H$1005,MATCH($D1746,RUNS!$A$6:$A$1005,0))),""))</f>
        <v/>
      </c>
      <c r="P1746" s="33">
        <f>IF($D1746="","",IFERROR(IF(INDEX(RUNS!$J$6:$J$1005,MATCH($D1746,RUNS!$A$6:$A$1005,0))="","",INDEX(RUNS!$J$6:$J$1005,MATCH($D1746,RUNS!$A$6:$A$1005,0))),""))</f>
        <v/>
      </c>
      <c r="Q1746" s="33">
        <f>IF($D1746="","",IFERROR(IF(INDEX(RUNS!$K$6:$K$1005,MATCH($D1746,RUNS!$A$6:$A$1005,0))="","",INDEX(RUNS!$K$6:$K$1005,MATCH($D1746,RUNS!$A$6:$A$1005,0))),""))</f>
        <v/>
      </c>
      <c r="R1746" s="34">
        <f>IF(OR($L1746="",$K1746=""),"",IFERROR(IF(INDEX(PARAMETRES!$H$43:$H$342,MATCH($L1746&amp;"|"&amp;$M1746&amp;"|"&amp;$N1746&amp;"|"&amp;$O1746&amp;"|"&amp;$P1746&amp;"|"&amp;$Q1746&amp;"|"&amp;$K1746,PARAMETRES!$J$43:$J$342,0))="","",INDEX(PARAMETRES!$H$43:$H$342,MATCH($L1746&amp;"|"&amp;$M1746&amp;"|"&amp;$N1746&amp;"|"&amp;$O1746&amp;"|"&amp;$P1746&amp;"|"&amp;$Q1746&amp;"|"&amp;$K1746,PARAMETRES!$J$43:$J$342,0))),""))</f>
        <v/>
      </c>
      <c r="S1746" s="35">
        <f>IF(OR($G1746="",$X1746&lt;&gt;"VALIDE"),"",IFERROR(LOOKUP(2,1/(($B846:$B1745=$B1746)*($G846:$G1745=$G1746)*($X846:$X1745="VALIDE")),$C846:$C1745),""))</f>
        <v/>
      </c>
      <c r="T1746" s="36">
        <f>IF(OR($C1746="",$S1746=""),"",ROUND(($C1746-$S1746+IF($C1746&lt;$S1746,1,0))*1440,0))</f>
        <v/>
      </c>
      <c r="U1746" s="22">
        <f>IF(OR($H1746="",$T1746="",$T1746&lt;=0),"",$H1746*60/$T1746)</f>
        <v/>
      </c>
      <c r="V1746" s="37">
        <f>IF(OR($U1746="",$R1746="",$R1746=0),"",$U1746/$R1746)</f>
        <v/>
      </c>
      <c r="W1746" s="20">
        <f>IF($G1746="","",IF($X1746="CONTEXTE INCOMPLET","CONTEXTE INCOMPLET",IF($X1746="DOUBLON",StatutDoublon,IF($S1746="",StatutInitial,IF($R1746="",StatutStandardManquant,IF($V1746="","DONNEES INSUFFISANTES",IF($V1746&gt;=SeuilConforme,StatutConforme,IF($V1746&gt;=SeuilSurveiller,StatutSurveiller,StatutSousStandard))))))))</f>
        <v/>
      </c>
      <c r="X1746" s="33">
        <f>IF($G1746="","",IF(OR($D1746="",$E1746="",$F1746=""),"CONTEXTE INCOMPLET",IF(COUNTIFS($D846:$D1745,$D1746,$E846:$E1745,$E1746,$F846:$F1745,$F1746,$G846:$G1745,$G1746)&gt;0,"DOUBLON","VALIDE")))</f>
        <v/>
      </c>
    </row>
    <row r="1747" ht="15" customHeight="1">
      <c r="A1747" s="12">
        <f>IF(OR($B1747="",$G1747=""),"",TEXT($B1747,"YYYYMMDD")&amp;"-"&amp;SUBSTITUTE($E1747," ","")&amp;"-"&amp;$F1747&amp;"-"&amp;$G1747)</f>
        <v/>
      </c>
      <c r="B1747" s="15" t="n"/>
      <c r="C1747" s="16" t="n"/>
      <c r="D1747" s="10" t="n"/>
      <c r="E1747" s="9" t="n"/>
      <c r="F1747" s="9" t="n"/>
      <c r="G1747" s="13" t="n"/>
      <c r="H1747" s="21" t="n"/>
      <c r="I1747" s="21" t="n"/>
      <c r="J1747" s="17">
        <f>IF($G1747="","",IFERROR(INDEX(NomsEmployes,MATCH($G1747,MatriculesEmployes,0)),"MATRICULE INCONNU"))</f>
        <v/>
      </c>
      <c r="K1747" s="33">
        <f>IF(OR($D1747="",$F1747=""),"",IFERROR(IF(INDEX(RUNS!$L$6:$S$1005,MATCH($D1747,RUNS!$A$6:$A$1005,0),MATCH("ACTIVITÉ "&amp;$F1747,RUNS!$L$5:$S$5,0))="","",INDEX(RUNS!$L$6:$S$1005,MATCH($D1747,RUNS!$A$6:$A$1005,0),MATCH("ACTIVITÉ "&amp;$F1747,RUNS!$L$5:$S$5,0))),""))</f>
        <v/>
      </c>
      <c r="L1747" s="33">
        <f>IF($D1747="","",IFERROR(IF(INDEX(RUNS!$E$6:$E$1005,MATCH($D1747,RUNS!$A$6:$A$1005,0))="","",INDEX(RUNS!$E$6:$E$1005,MATCH($D1747,RUNS!$A$6:$A$1005,0))),""))</f>
        <v/>
      </c>
      <c r="M1747" s="33">
        <f>IF($D1747="","",IFERROR(IF(INDEX(RUNS!$F$6:$F$1005,MATCH($D1747,RUNS!$A$6:$A$1005,0))="","",INDEX(RUNS!$F$6:$F$1005,MATCH($D1747,RUNS!$A$6:$A$1005,0))),""))</f>
        <v/>
      </c>
      <c r="N1747" s="33">
        <f>IF($D1747="","",IFERROR(IF(INDEX(RUNS!$G$6:$G$1005,MATCH($D1747,RUNS!$A$6:$A$1005,0))="","",INDEX(RUNS!$G$6:$G$1005,MATCH($D1747,RUNS!$A$6:$A$1005,0))),""))</f>
        <v/>
      </c>
      <c r="O1747" s="33">
        <f>IF($D1747="","",IFERROR(IF(INDEX(RUNS!$H$6:$H$1005,MATCH($D1747,RUNS!$A$6:$A$1005,0))="","",INDEX(RUNS!$H$6:$H$1005,MATCH($D1747,RUNS!$A$6:$A$1005,0))),""))</f>
        <v/>
      </c>
      <c r="P1747" s="33">
        <f>IF($D1747="","",IFERROR(IF(INDEX(RUNS!$J$6:$J$1005,MATCH($D1747,RUNS!$A$6:$A$1005,0))="","",INDEX(RUNS!$J$6:$J$1005,MATCH($D1747,RUNS!$A$6:$A$1005,0))),""))</f>
        <v/>
      </c>
      <c r="Q1747" s="33">
        <f>IF($D1747="","",IFERROR(IF(INDEX(RUNS!$K$6:$K$1005,MATCH($D1747,RUNS!$A$6:$A$1005,0))="","",INDEX(RUNS!$K$6:$K$1005,MATCH($D1747,RUNS!$A$6:$A$1005,0))),""))</f>
        <v/>
      </c>
      <c r="R1747" s="34">
        <f>IF(OR($L1747="",$K1747=""),"",IFERROR(IF(INDEX(PARAMETRES!$H$43:$H$342,MATCH($L1747&amp;"|"&amp;$M1747&amp;"|"&amp;$N1747&amp;"|"&amp;$O1747&amp;"|"&amp;$P1747&amp;"|"&amp;$Q1747&amp;"|"&amp;$K1747,PARAMETRES!$J$43:$J$342,0))="","",INDEX(PARAMETRES!$H$43:$H$342,MATCH($L1747&amp;"|"&amp;$M1747&amp;"|"&amp;$N1747&amp;"|"&amp;$O1747&amp;"|"&amp;$P1747&amp;"|"&amp;$Q1747&amp;"|"&amp;$K1747,PARAMETRES!$J$43:$J$342,0))),""))</f>
        <v/>
      </c>
      <c r="S1747" s="35">
        <f>IF(OR($G1747="",$X1747&lt;&gt;"VALIDE"),"",IFERROR(LOOKUP(2,1/(($B847:$B1746=$B1747)*($G847:$G1746=$G1747)*($X847:$X1746="VALIDE")),$C847:$C1746),""))</f>
        <v/>
      </c>
      <c r="T1747" s="36">
        <f>IF(OR($C1747="",$S1747=""),"",ROUND(($C1747-$S1747+IF($C1747&lt;$S1747,1,0))*1440,0))</f>
        <v/>
      </c>
      <c r="U1747" s="22">
        <f>IF(OR($H1747="",$T1747="",$T1747&lt;=0),"",$H1747*60/$T1747)</f>
        <v/>
      </c>
      <c r="V1747" s="37">
        <f>IF(OR($U1747="",$R1747="",$R1747=0),"",$U1747/$R1747)</f>
        <v/>
      </c>
      <c r="W1747" s="20">
        <f>IF($G1747="","",IF($X1747="CONTEXTE INCOMPLET","CONTEXTE INCOMPLET",IF($X1747="DOUBLON",StatutDoublon,IF($S1747="",StatutInitial,IF($R1747="",StatutStandardManquant,IF($V1747="","DONNEES INSUFFISANTES",IF($V1747&gt;=SeuilConforme,StatutConforme,IF($V1747&gt;=SeuilSurveiller,StatutSurveiller,StatutSousStandard))))))))</f>
        <v/>
      </c>
      <c r="X1747" s="33">
        <f>IF($G1747="","",IF(OR($D1747="",$E1747="",$F1747=""),"CONTEXTE INCOMPLET",IF(COUNTIFS($D847:$D1746,$D1747,$E847:$E1746,$E1747,$F847:$F1746,$F1747,$G847:$G1746,$G1747)&gt;0,"DOUBLON","VALIDE")))</f>
        <v/>
      </c>
    </row>
    <row r="1748" ht="15" customHeight="1">
      <c r="A1748" s="12">
        <f>IF(OR($B1748="",$G1748=""),"",TEXT($B1748,"YYYYMMDD")&amp;"-"&amp;SUBSTITUTE($E1748," ","")&amp;"-"&amp;$F1748&amp;"-"&amp;$G1748)</f>
        <v/>
      </c>
      <c r="B1748" s="15" t="n"/>
      <c r="C1748" s="16" t="n"/>
      <c r="D1748" s="10" t="n"/>
      <c r="E1748" s="9" t="n"/>
      <c r="F1748" s="9" t="n"/>
      <c r="G1748" s="13" t="n"/>
      <c r="H1748" s="21" t="n"/>
      <c r="I1748" s="21" t="n"/>
      <c r="J1748" s="17">
        <f>IF($G1748="","",IFERROR(INDEX(NomsEmployes,MATCH($G1748,MatriculesEmployes,0)),"MATRICULE INCONNU"))</f>
        <v/>
      </c>
      <c r="K1748" s="33">
        <f>IF(OR($D1748="",$F1748=""),"",IFERROR(IF(INDEX(RUNS!$L$6:$S$1005,MATCH($D1748,RUNS!$A$6:$A$1005,0),MATCH("ACTIVITÉ "&amp;$F1748,RUNS!$L$5:$S$5,0))="","",INDEX(RUNS!$L$6:$S$1005,MATCH($D1748,RUNS!$A$6:$A$1005,0),MATCH("ACTIVITÉ "&amp;$F1748,RUNS!$L$5:$S$5,0))),""))</f>
        <v/>
      </c>
      <c r="L1748" s="33">
        <f>IF($D1748="","",IFERROR(IF(INDEX(RUNS!$E$6:$E$1005,MATCH($D1748,RUNS!$A$6:$A$1005,0))="","",INDEX(RUNS!$E$6:$E$1005,MATCH($D1748,RUNS!$A$6:$A$1005,0))),""))</f>
        <v/>
      </c>
      <c r="M1748" s="33">
        <f>IF($D1748="","",IFERROR(IF(INDEX(RUNS!$F$6:$F$1005,MATCH($D1748,RUNS!$A$6:$A$1005,0))="","",INDEX(RUNS!$F$6:$F$1005,MATCH($D1748,RUNS!$A$6:$A$1005,0))),""))</f>
        <v/>
      </c>
      <c r="N1748" s="33">
        <f>IF($D1748="","",IFERROR(IF(INDEX(RUNS!$G$6:$G$1005,MATCH($D1748,RUNS!$A$6:$A$1005,0))="","",INDEX(RUNS!$G$6:$G$1005,MATCH($D1748,RUNS!$A$6:$A$1005,0))),""))</f>
        <v/>
      </c>
      <c r="O1748" s="33">
        <f>IF($D1748="","",IFERROR(IF(INDEX(RUNS!$H$6:$H$1005,MATCH($D1748,RUNS!$A$6:$A$1005,0))="","",INDEX(RUNS!$H$6:$H$1005,MATCH($D1748,RUNS!$A$6:$A$1005,0))),""))</f>
        <v/>
      </c>
      <c r="P1748" s="33">
        <f>IF($D1748="","",IFERROR(IF(INDEX(RUNS!$J$6:$J$1005,MATCH($D1748,RUNS!$A$6:$A$1005,0))="","",INDEX(RUNS!$J$6:$J$1005,MATCH($D1748,RUNS!$A$6:$A$1005,0))),""))</f>
        <v/>
      </c>
      <c r="Q1748" s="33">
        <f>IF($D1748="","",IFERROR(IF(INDEX(RUNS!$K$6:$K$1005,MATCH($D1748,RUNS!$A$6:$A$1005,0))="","",INDEX(RUNS!$K$6:$K$1005,MATCH($D1748,RUNS!$A$6:$A$1005,0))),""))</f>
        <v/>
      </c>
      <c r="R1748" s="34">
        <f>IF(OR($L1748="",$K1748=""),"",IFERROR(IF(INDEX(PARAMETRES!$H$43:$H$342,MATCH($L1748&amp;"|"&amp;$M1748&amp;"|"&amp;$N1748&amp;"|"&amp;$O1748&amp;"|"&amp;$P1748&amp;"|"&amp;$Q1748&amp;"|"&amp;$K1748,PARAMETRES!$J$43:$J$342,0))="","",INDEX(PARAMETRES!$H$43:$H$342,MATCH($L1748&amp;"|"&amp;$M1748&amp;"|"&amp;$N1748&amp;"|"&amp;$O1748&amp;"|"&amp;$P1748&amp;"|"&amp;$Q1748&amp;"|"&amp;$K1748,PARAMETRES!$J$43:$J$342,0))),""))</f>
        <v/>
      </c>
      <c r="S1748" s="35">
        <f>IF(OR($G1748="",$X1748&lt;&gt;"VALIDE"),"",IFERROR(LOOKUP(2,1/(($B848:$B1747=$B1748)*($G848:$G1747=$G1748)*($X848:$X1747="VALIDE")),$C848:$C1747),""))</f>
        <v/>
      </c>
      <c r="T1748" s="36">
        <f>IF(OR($C1748="",$S1748=""),"",ROUND(($C1748-$S1748+IF($C1748&lt;$S1748,1,0))*1440,0))</f>
        <v/>
      </c>
      <c r="U1748" s="22">
        <f>IF(OR($H1748="",$T1748="",$T1748&lt;=0),"",$H1748*60/$T1748)</f>
        <v/>
      </c>
      <c r="V1748" s="37">
        <f>IF(OR($U1748="",$R1748="",$R1748=0),"",$U1748/$R1748)</f>
        <v/>
      </c>
      <c r="W1748" s="20">
        <f>IF($G1748="","",IF($X1748="CONTEXTE INCOMPLET","CONTEXTE INCOMPLET",IF($X1748="DOUBLON",StatutDoublon,IF($S1748="",StatutInitial,IF($R1748="",StatutStandardManquant,IF($V1748="","DONNEES INSUFFISANTES",IF($V1748&gt;=SeuilConforme,StatutConforme,IF($V1748&gt;=SeuilSurveiller,StatutSurveiller,StatutSousStandard))))))))</f>
        <v/>
      </c>
      <c r="X1748" s="33">
        <f>IF($G1748="","",IF(OR($D1748="",$E1748="",$F1748=""),"CONTEXTE INCOMPLET",IF(COUNTIFS($D848:$D1747,$D1748,$E848:$E1747,$E1748,$F848:$F1747,$F1748,$G848:$G1747,$G1748)&gt;0,"DOUBLON","VALIDE")))</f>
        <v/>
      </c>
    </row>
    <row r="1749" ht="15" customHeight="1">
      <c r="A1749" s="12">
        <f>IF(OR($B1749="",$G1749=""),"",TEXT($B1749,"YYYYMMDD")&amp;"-"&amp;SUBSTITUTE($E1749," ","")&amp;"-"&amp;$F1749&amp;"-"&amp;$G1749)</f>
        <v/>
      </c>
      <c r="B1749" s="15" t="n"/>
      <c r="C1749" s="16" t="n"/>
      <c r="D1749" s="10" t="n"/>
      <c r="E1749" s="9" t="n"/>
      <c r="F1749" s="9" t="n"/>
      <c r="G1749" s="13" t="n"/>
      <c r="H1749" s="21" t="n"/>
      <c r="I1749" s="21" t="n"/>
      <c r="J1749" s="17">
        <f>IF($G1749="","",IFERROR(INDEX(NomsEmployes,MATCH($G1749,MatriculesEmployes,0)),"MATRICULE INCONNU"))</f>
        <v/>
      </c>
      <c r="K1749" s="33">
        <f>IF(OR($D1749="",$F1749=""),"",IFERROR(IF(INDEX(RUNS!$L$6:$S$1005,MATCH($D1749,RUNS!$A$6:$A$1005,0),MATCH("ACTIVITÉ "&amp;$F1749,RUNS!$L$5:$S$5,0))="","",INDEX(RUNS!$L$6:$S$1005,MATCH($D1749,RUNS!$A$6:$A$1005,0),MATCH("ACTIVITÉ "&amp;$F1749,RUNS!$L$5:$S$5,0))),""))</f>
        <v/>
      </c>
      <c r="L1749" s="33">
        <f>IF($D1749="","",IFERROR(IF(INDEX(RUNS!$E$6:$E$1005,MATCH($D1749,RUNS!$A$6:$A$1005,0))="","",INDEX(RUNS!$E$6:$E$1005,MATCH($D1749,RUNS!$A$6:$A$1005,0))),""))</f>
        <v/>
      </c>
      <c r="M1749" s="33">
        <f>IF($D1749="","",IFERROR(IF(INDEX(RUNS!$F$6:$F$1005,MATCH($D1749,RUNS!$A$6:$A$1005,0))="","",INDEX(RUNS!$F$6:$F$1005,MATCH($D1749,RUNS!$A$6:$A$1005,0))),""))</f>
        <v/>
      </c>
      <c r="N1749" s="33">
        <f>IF($D1749="","",IFERROR(IF(INDEX(RUNS!$G$6:$G$1005,MATCH($D1749,RUNS!$A$6:$A$1005,0))="","",INDEX(RUNS!$G$6:$G$1005,MATCH($D1749,RUNS!$A$6:$A$1005,0))),""))</f>
        <v/>
      </c>
      <c r="O1749" s="33">
        <f>IF($D1749="","",IFERROR(IF(INDEX(RUNS!$H$6:$H$1005,MATCH($D1749,RUNS!$A$6:$A$1005,0))="","",INDEX(RUNS!$H$6:$H$1005,MATCH($D1749,RUNS!$A$6:$A$1005,0))),""))</f>
        <v/>
      </c>
      <c r="P1749" s="33">
        <f>IF($D1749="","",IFERROR(IF(INDEX(RUNS!$J$6:$J$1005,MATCH($D1749,RUNS!$A$6:$A$1005,0))="","",INDEX(RUNS!$J$6:$J$1005,MATCH($D1749,RUNS!$A$6:$A$1005,0))),""))</f>
        <v/>
      </c>
      <c r="Q1749" s="33">
        <f>IF($D1749="","",IFERROR(IF(INDEX(RUNS!$K$6:$K$1005,MATCH($D1749,RUNS!$A$6:$A$1005,0))="","",INDEX(RUNS!$K$6:$K$1005,MATCH($D1749,RUNS!$A$6:$A$1005,0))),""))</f>
        <v/>
      </c>
      <c r="R1749" s="34">
        <f>IF(OR($L1749="",$K1749=""),"",IFERROR(IF(INDEX(PARAMETRES!$H$43:$H$342,MATCH($L1749&amp;"|"&amp;$M1749&amp;"|"&amp;$N1749&amp;"|"&amp;$O1749&amp;"|"&amp;$P1749&amp;"|"&amp;$Q1749&amp;"|"&amp;$K1749,PARAMETRES!$J$43:$J$342,0))="","",INDEX(PARAMETRES!$H$43:$H$342,MATCH($L1749&amp;"|"&amp;$M1749&amp;"|"&amp;$N1749&amp;"|"&amp;$O1749&amp;"|"&amp;$P1749&amp;"|"&amp;$Q1749&amp;"|"&amp;$K1749,PARAMETRES!$J$43:$J$342,0))),""))</f>
        <v/>
      </c>
      <c r="S1749" s="35">
        <f>IF(OR($G1749="",$X1749&lt;&gt;"VALIDE"),"",IFERROR(LOOKUP(2,1/(($B849:$B1748=$B1749)*($G849:$G1748=$G1749)*($X849:$X1748="VALIDE")),$C849:$C1748),""))</f>
        <v/>
      </c>
      <c r="T1749" s="36">
        <f>IF(OR($C1749="",$S1749=""),"",ROUND(($C1749-$S1749+IF($C1749&lt;$S1749,1,0))*1440,0))</f>
        <v/>
      </c>
      <c r="U1749" s="22">
        <f>IF(OR($H1749="",$T1749="",$T1749&lt;=0),"",$H1749*60/$T1749)</f>
        <v/>
      </c>
      <c r="V1749" s="37">
        <f>IF(OR($U1749="",$R1749="",$R1749=0),"",$U1749/$R1749)</f>
        <v/>
      </c>
      <c r="W1749" s="20">
        <f>IF($G1749="","",IF($X1749="CONTEXTE INCOMPLET","CONTEXTE INCOMPLET",IF($X1749="DOUBLON",StatutDoublon,IF($S1749="",StatutInitial,IF($R1749="",StatutStandardManquant,IF($V1749="","DONNEES INSUFFISANTES",IF($V1749&gt;=SeuilConforme,StatutConforme,IF($V1749&gt;=SeuilSurveiller,StatutSurveiller,StatutSousStandard))))))))</f>
        <v/>
      </c>
      <c r="X1749" s="33">
        <f>IF($G1749="","",IF(OR($D1749="",$E1749="",$F1749=""),"CONTEXTE INCOMPLET",IF(COUNTIFS($D849:$D1748,$D1749,$E849:$E1748,$E1749,$F849:$F1748,$F1749,$G849:$G1748,$G1749)&gt;0,"DOUBLON","VALIDE")))</f>
        <v/>
      </c>
    </row>
    <row r="1750" ht="15" customHeight="1">
      <c r="A1750" s="12">
        <f>IF(OR($B1750="",$G1750=""),"",TEXT($B1750,"YYYYMMDD")&amp;"-"&amp;SUBSTITUTE($E1750," ","")&amp;"-"&amp;$F1750&amp;"-"&amp;$G1750)</f>
        <v/>
      </c>
      <c r="B1750" s="15" t="n"/>
      <c r="C1750" s="16" t="n"/>
      <c r="D1750" s="10" t="n"/>
      <c r="E1750" s="9" t="n"/>
      <c r="F1750" s="9" t="n"/>
      <c r="G1750" s="13" t="n"/>
      <c r="H1750" s="21" t="n"/>
      <c r="I1750" s="21" t="n"/>
      <c r="J1750" s="17">
        <f>IF($G1750="","",IFERROR(INDEX(NomsEmployes,MATCH($G1750,MatriculesEmployes,0)),"MATRICULE INCONNU"))</f>
        <v/>
      </c>
      <c r="K1750" s="33">
        <f>IF(OR($D1750="",$F1750=""),"",IFERROR(IF(INDEX(RUNS!$L$6:$S$1005,MATCH($D1750,RUNS!$A$6:$A$1005,0),MATCH("ACTIVITÉ "&amp;$F1750,RUNS!$L$5:$S$5,0))="","",INDEX(RUNS!$L$6:$S$1005,MATCH($D1750,RUNS!$A$6:$A$1005,0),MATCH("ACTIVITÉ "&amp;$F1750,RUNS!$L$5:$S$5,0))),""))</f>
        <v/>
      </c>
      <c r="L1750" s="33">
        <f>IF($D1750="","",IFERROR(IF(INDEX(RUNS!$E$6:$E$1005,MATCH($D1750,RUNS!$A$6:$A$1005,0))="","",INDEX(RUNS!$E$6:$E$1005,MATCH($D1750,RUNS!$A$6:$A$1005,0))),""))</f>
        <v/>
      </c>
      <c r="M1750" s="33">
        <f>IF($D1750="","",IFERROR(IF(INDEX(RUNS!$F$6:$F$1005,MATCH($D1750,RUNS!$A$6:$A$1005,0))="","",INDEX(RUNS!$F$6:$F$1005,MATCH($D1750,RUNS!$A$6:$A$1005,0))),""))</f>
        <v/>
      </c>
      <c r="N1750" s="33">
        <f>IF($D1750="","",IFERROR(IF(INDEX(RUNS!$G$6:$G$1005,MATCH($D1750,RUNS!$A$6:$A$1005,0))="","",INDEX(RUNS!$G$6:$G$1005,MATCH($D1750,RUNS!$A$6:$A$1005,0))),""))</f>
        <v/>
      </c>
      <c r="O1750" s="33">
        <f>IF($D1750="","",IFERROR(IF(INDEX(RUNS!$H$6:$H$1005,MATCH($D1750,RUNS!$A$6:$A$1005,0))="","",INDEX(RUNS!$H$6:$H$1005,MATCH($D1750,RUNS!$A$6:$A$1005,0))),""))</f>
        <v/>
      </c>
      <c r="P1750" s="33">
        <f>IF($D1750="","",IFERROR(IF(INDEX(RUNS!$J$6:$J$1005,MATCH($D1750,RUNS!$A$6:$A$1005,0))="","",INDEX(RUNS!$J$6:$J$1005,MATCH($D1750,RUNS!$A$6:$A$1005,0))),""))</f>
        <v/>
      </c>
      <c r="Q1750" s="33">
        <f>IF($D1750="","",IFERROR(IF(INDEX(RUNS!$K$6:$K$1005,MATCH($D1750,RUNS!$A$6:$A$1005,0))="","",INDEX(RUNS!$K$6:$K$1005,MATCH($D1750,RUNS!$A$6:$A$1005,0))),""))</f>
        <v/>
      </c>
      <c r="R1750" s="34">
        <f>IF(OR($L1750="",$K1750=""),"",IFERROR(IF(INDEX(PARAMETRES!$H$43:$H$342,MATCH($L1750&amp;"|"&amp;$M1750&amp;"|"&amp;$N1750&amp;"|"&amp;$O1750&amp;"|"&amp;$P1750&amp;"|"&amp;$Q1750&amp;"|"&amp;$K1750,PARAMETRES!$J$43:$J$342,0))="","",INDEX(PARAMETRES!$H$43:$H$342,MATCH($L1750&amp;"|"&amp;$M1750&amp;"|"&amp;$N1750&amp;"|"&amp;$O1750&amp;"|"&amp;$P1750&amp;"|"&amp;$Q1750&amp;"|"&amp;$K1750,PARAMETRES!$J$43:$J$342,0))),""))</f>
        <v/>
      </c>
      <c r="S1750" s="35">
        <f>IF(OR($G1750="",$X1750&lt;&gt;"VALIDE"),"",IFERROR(LOOKUP(2,1/(($B850:$B1749=$B1750)*($G850:$G1749=$G1750)*($X850:$X1749="VALIDE")),$C850:$C1749),""))</f>
        <v/>
      </c>
      <c r="T1750" s="36">
        <f>IF(OR($C1750="",$S1750=""),"",ROUND(($C1750-$S1750+IF($C1750&lt;$S1750,1,0))*1440,0))</f>
        <v/>
      </c>
      <c r="U1750" s="22">
        <f>IF(OR($H1750="",$T1750="",$T1750&lt;=0),"",$H1750*60/$T1750)</f>
        <v/>
      </c>
      <c r="V1750" s="37">
        <f>IF(OR($U1750="",$R1750="",$R1750=0),"",$U1750/$R1750)</f>
        <v/>
      </c>
      <c r="W1750" s="20">
        <f>IF($G1750="","",IF($X1750="CONTEXTE INCOMPLET","CONTEXTE INCOMPLET",IF($X1750="DOUBLON",StatutDoublon,IF($S1750="",StatutInitial,IF($R1750="",StatutStandardManquant,IF($V1750="","DONNEES INSUFFISANTES",IF($V1750&gt;=SeuilConforme,StatutConforme,IF($V1750&gt;=SeuilSurveiller,StatutSurveiller,StatutSousStandard))))))))</f>
        <v/>
      </c>
      <c r="X1750" s="33">
        <f>IF($G1750="","",IF(OR($D1750="",$E1750="",$F1750=""),"CONTEXTE INCOMPLET",IF(COUNTIFS($D850:$D1749,$D1750,$E850:$E1749,$E1750,$F850:$F1749,$F1750,$G850:$G1749,$G1750)&gt;0,"DOUBLON","VALIDE")))</f>
        <v/>
      </c>
    </row>
    <row r="1751" ht="15" customHeight="1">
      <c r="A1751" s="12">
        <f>IF(OR($B1751="",$G1751=""),"",TEXT($B1751,"YYYYMMDD")&amp;"-"&amp;SUBSTITUTE($E1751," ","")&amp;"-"&amp;$F1751&amp;"-"&amp;$G1751)</f>
        <v/>
      </c>
      <c r="B1751" s="15" t="n"/>
      <c r="C1751" s="16" t="n"/>
      <c r="D1751" s="10" t="n"/>
      <c r="E1751" s="9" t="n"/>
      <c r="F1751" s="9" t="n"/>
      <c r="G1751" s="13" t="n"/>
      <c r="H1751" s="21" t="n"/>
      <c r="I1751" s="21" t="n"/>
      <c r="J1751" s="17">
        <f>IF($G1751="","",IFERROR(INDEX(NomsEmployes,MATCH($G1751,MatriculesEmployes,0)),"MATRICULE INCONNU"))</f>
        <v/>
      </c>
      <c r="K1751" s="33">
        <f>IF(OR($D1751="",$F1751=""),"",IFERROR(IF(INDEX(RUNS!$L$6:$S$1005,MATCH($D1751,RUNS!$A$6:$A$1005,0),MATCH("ACTIVITÉ "&amp;$F1751,RUNS!$L$5:$S$5,0))="","",INDEX(RUNS!$L$6:$S$1005,MATCH($D1751,RUNS!$A$6:$A$1005,0),MATCH("ACTIVITÉ "&amp;$F1751,RUNS!$L$5:$S$5,0))),""))</f>
        <v/>
      </c>
      <c r="L1751" s="33">
        <f>IF($D1751="","",IFERROR(IF(INDEX(RUNS!$E$6:$E$1005,MATCH($D1751,RUNS!$A$6:$A$1005,0))="","",INDEX(RUNS!$E$6:$E$1005,MATCH($D1751,RUNS!$A$6:$A$1005,0))),""))</f>
        <v/>
      </c>
      <c r="M1751" s="33">
        <f>IF($D1751="","",IFERROR(IF(INDEX(RUNS!$F$6:$F$1005,MATCH($D1751,RUNS!$A$6:$A$1005,0))="","",INDEX(RUNS!$F$6:$F$1005,MATCH($D1751,RUNS!$A$6:$A$1005,0))),""))</f>
        <v/>
      </c>
      <c r="N1751" s="33">
        <f>IF($D1751="","",IFERROR(IF(INDEX(RUNS!$G$6:$G$1005,MATCH($D1751,RUNS!$A$6:$A$1005,0))="","",INDEX(RUNS!$G$6:$G$1005,MATCH($D1751,RUNS!$A$6:$A$1005,0))),""))</f>
        <v/>
      </c>
      <c r="O1751" s="33">
        <f>IF($D1751="","",IFERROR(IF(INDEX(RUNS!$H$6:$H$1005,MATCH($D1751,RUNS!$A$6:$A$1005,0))="","",INDEX(RUNS!$H$6:$H$1005,MATCH($D1751,RUNS!$A$6:$A$1005,0))),""))</f>
        <v/>
      </c>
      <c r="P1751" s="33">
        <f>IF($D1751="","",IFERROR(IF(INDEX(RUNS!$J$6:$J$1005,MATCH($D1751,RUNS!$A$6:$A$1005,0))="","",INDEX(RUNS!$J$6:$J$1005,MATCH($D1751,RUNS!$A$6:$A$1005,0))),""))</f>
        <v/>
      </c>
      <c r="Q1751" s="33">
        <f>IF($D1751="","",IFERROR(IF(INDEX(RUNS!$K$6:$K$1005,MATCH($D1751,RUNS!$A$6:$A$1005,0))="","",INDEX(RUNS!$K$6:$K$1005,MATCH($D1751,RUNS!$A$6:$A$1005,0))),""))</f>
        <v/>
      </c>
      <c r="R1751" s="34">
        <f>IF(OR($L1751="",$K1751=""),"",IFERROR(IF(INDEX(PARAMETRES!$H$43:$H$342,MATCH($L1751&amp;"|"&amp;$M1751&amp;"|"&amp;$N1751&amp;"|"&amp;$O1751&amp;"|"&amp;$P1751&amp;"|"&amp;$Q1751&amp;"|"&amp;$K1751,PARAMETRES!$J$43:$J$342,0))="","",INDEX(PARAMETRES!$H$43:$H$342,MATCH($L1751&amp;"|"&amp;$M1751&amp;"|"&amp;$N1751&amp;"|"&amp;$O1751&amp;"|"&amp;$P1751&amp;"|"&amp;$Q1751&amp;"|"&amp;$K1751,PARAMETRES!$J$43:$J$342,0))),""))</f>
        <v/>
      </c>
      <c r="S1751" s="35">
        <f>IF(OR($G1751="",$X1751&lt;&gt;"VALIDE"),"",IFERROR(LOOKUP(2,1/(($B851:$B1750=$B1751)*($G851:$G1750=$G1751)*($X851:$X1750="VALIDE")),$C851:$C1750),""))</f>
        <v/>
      </c>
      <c r="T1751" s="36">
        <f>IF(OR($C1751="",$S1751=""),"",ROUND(($C1751-$S1751+IF($C1751&lt;$S1751,1,0))*1440,0))</f>
        <v/>
      </c>
      <c r="U1751" s="22">
        <f>IF(OR($H1751="",$T1751="",$T1751&lt;=0),"",$H1751*60/$T1751)</f>
        <v/>
      </c>
      <c r="V1751" s="37">
        <f>IF(OR($U1751="",$R1751="",$R1751=0),"",$U1751/$R1751)</f>
        <v/>
      </c>
      <c r="W1751" s="20">
        <f>IF($G1751="","",IF($X1751="CONTEXTE INCOMPLET","CONTEXTE INCOMPLET",IF($X1751="DOUBLON",StatutDoublon,IF($S1751="",StatutInitial,IF($R1751="",StatutStandardManquant,IF($V1751="","DONNEES INSUFFISANTES",IF($V1751&gt;=SeuilConforme,StatutConforme,IF($V1751&gt;=SeuilSurveiller,StatutSurveiller,StatutSousStandard))))))))</f>
        <v/>
      </c>
      <c r="X1751" s="33">
        <f>IF($G1751="","",IF(OR($D1751="",$E1751="",$F1751=""),"CONTEXTE INCOMPLET",IF(COUNTIFS($D851:$D1750,$D1751,$E851:$E1750,$E1751,$F851:$F1750,$F1751,$G851:$G1750,$G1751)&gt;0,"DOUBLON","VALIDE")))</f>
        <v/>
      </c>
    </row>
    <row r="1752" ht="15" customHeight="1">
      <c r="A1752" s="12">
        <f>IF(OR($B1752="",$G1752=""),"",TEXT($B1752,"YYYYMMDD")&amp;"-"&amp;SUBSTITUTE($E1752," ","")&amp;"-"&amp;$F1752&amp;"-"&amp;$G1752)</f>
        <v/>
      </c>
      <c r="B1752" s="15" t="n"/>
      <c r="C1752" s="16" t="n"/>
      <c r="D1752" s="10" t="n"/>
      <c r="E1752" s="9" t="n"/>
      <c r="F1752" s="9" t="n"/>
      <c r="G1752" s="13" t="n"/>
      <c r="H1752" s="21" t="n"/>
      <c r="I1752" s="21" t="n"/>
      <c r="J1752" s="17">
        <f>IF($G1752="","",IFERROR(INDEX(NomsEmployes,MATCH($G1752,MatriculesEmployes,0)),"MATRICULE INCONNU"))</f>
        <v/>
      </c>
      <c r="K1752" s="33">
        <f>IF(OR($D1752="",$F1752=""),"",IFERROR(IF(INDEX(RUNS!$L$6:$S$1005,MATCH($D1752,RUNS!$A$6:$A$1005,0),MATCH("ACTIVITÉ "&amp;$F1752,RUNS!$L$5:$S$5,0))="","",INDEX(RUNS!$L$6:$S$1005,MATCH($D1752,RUNS!$A$6:$A$1005,0),MATCH("ACTIVITÉ "&amp;$F1752,RUNS!$L$5:$S$5,0))),""))</f>
        <v/>
      </c>
      <c r="L1752" s="33">
        <f>IF($D1752="","",IFERROR(IF(INDEX(RUNS!$E$6:$E$1005,MATCH($D1752,RUNS!$A$6:$A$1005,0))="","",INDEX(RUNS!$E$6:$E$1005,MATCH($D1752,RUNS!$A$6:$A$1005,0))),""))</f>
        <v/>
      </c>
      <c r="M1752" s="33">
        <f>IF($D1752="","",IFERROR(IF(INDEX(RUNS!$F$6:$F$1005,MATCH($D1752,RUNS!$A$6:$A$1005,0))="","",INDEX(RUNS!$F$6:$F$1005,MATCH($D1752,RUNS!$A$6:$A$1005,0))),""))</f>
        <v/>
      </c>
      <c r="N1752" s="33">
        <f>IF($D1752="","",IFERROR(IF(INDEX(RUNS!$G$6:$G$1005,MATCH($D1752,RUNS!$A$6:$A$1005,0))="","",INDEX(RUNS!$G$6:$G$1005,MATCH($D1752,RUNS!$A$6:$A$1005,0))),""))</f>
        <v/>
      </c>
      <c r="O1752" s="33">
        <f>IF($D1752="","",IFERROR(IF(INDEX(RUNS!$H$6:$H$1005,MATCH($D1752,RUNS!$A$6:$A$1005,0))="","",INDEX(RUNS!$H$6:$H$1005,MATCH($D1752,RUNS!$A$6:$A$1005,0))),""))</f>
        <v/>
      </c>
      <c r="P1752" s="33">
        <f>IF($D1752="","",IFERROR(IF(INDEX(RUNS!$J$6:$J$1005,MATCH($D1752,RUNS!$A$6:$A$1005,0))="","",INDEX(RUNS!$J$6:$J$1005,MATCH($D1752,RUNS!$A$6:$A$1005,0))),""))</f>
        <v/>
      </c>
      <c r="Q1752" s="33">
        <f>IF($D1752="","",IFERROR(IF(INDEX(RUNS!$K$6:$K$1005,MATCH($D1752,RUNS!$A$6:$A$1005,0))="","",INDEX(RUNS!$K$6:$K$1005,MATCH($D1752,RUNS!$A$6:$A$1005,0))),""))</f>
        <v/>
      </c>
      <c r="R1752" s="34">
        <f>IF(OR($L1752="",$K1752=""),"",IFERROR(IF(INDEX(PARAMETRES!$H$43:$H$342,MATCH($L1752&amp;"|"&amp;$M1752&amp;"|"&amp;$N1752&amp;"|"&amp;$O1752&amp;"|"&amp;$P1752&amp;"|"&amp;$Q1752&amp;"|"&amp;$K1752,PARAMETRES!$J$43:$J$342,0))="","",INDEX(PARAMETRES!$H$43:$H$342,MATCH($L1752&amp;"|"&amp;$M1752&amp;"|"&amp;$N1752&amp;"|"&amp;$O1752&amp;"|"&amp;$P1752&amp;"|"&amp;$Q1752&amp;"|"&amp;$K1752,PARAMETRES!$J$43:$J$342,0))),""))</f>
        <v/>
      </c>
      <c r="S1752" s="35">
        <f>IF(OR($G1752="",$X1752&lt;&gt;"VALIDE"),"",IFERROR(LOOKUP(2,1/(($B852:$B1751=$B1752)*($G852:$G1751=$G1752)*($X852:$X1751="VALIDE")),$C852:$C1751),""))</f>
        <v/>
      </c>
      <c r="T1752" s="36">
        <f>IF(OR($C1752="",$S1752=""),"",ROUND(($C1752-$S1752+IF($C1752&lt;$S1752,1,0))*1440,0))</f>
        <v/>
      </c>
      <c r="U1752" s="22">
        <f>IF(OR($H1752="",$T1752="",$T1752&lt;=0),"",$H1752*60/$T1752)</f>
        <v/>
      </c>
      <c r="V1752" s="37">
        <f>IF(OR($U1752="",$R1752="",$R1752=0),"",$U1752/$R1752)</f>
        <v/>
      </c>
      <c r="W1752" s="20">
        <f>IF($G1752="","",IF($X1752="CONTEXTE INCOMPLET","CONTEXTE INCOMPLET",IF($X1752="DOUBLON",StatutDoublon,IF($S1752="",StatutInitial,IF($R1752="",StatutStandardManquant,IF($V1752="","DONNEES INSUFFISANTES",IF($V1752&gt;=SeuilConforme,StatutConforme,IF($V1752&gt;=SeuilSurveiller,StatutSurveiller,StatutSousStandard))))))))</f>
        <v/>
      </c>
      <c r="X1752" s="33">
        <f>IF($G1752="","",IF(OR($D1752="",$E1752="",$F1752=""),"CONTEXTE INCOMPLET",IF(COUNTIFS($D852:$D1751,$D1752,$E852:$E1751,$E1752,$F852:$F1751,$F1752,$G852:$G1751,$G1752)&gt;0,"DOUBLON","VALIDE")))</f>
        <v/>
      </c>
    </row>
    <row r="1753" ht="15" customHeight="1">
      <c r="A1753" s="12">
        <f>IF(OR($B1753="",$G1753=""),"",TEXT($B1753,"YYYYMMDD")&amp;"-"&amp;SUBSTITUTE($E1753," ","")&amp;"-"&amp;$F1753&amp;"-"&amp;$G1753)</f>
        <v/>
      </c>
      <c r="B1753" s="15" t="n"/>
      <c r="C1753" s="16" t="n"/>
      <c r="D1753" s="10" t="n"/>
      <c r="E1753" s="9" t="n"/>
      <c r="F1753" s="9" t="n"/>
      <c r="G1753" s="13" t="n"/>
      <c r="H1753" s="21" t="n"/>
      <c r="I1753" s="21" t="n"/>
      <c r="J1753" s="17">
        <f>IF($G1753="","",IFERROR(INDEX(NomsEmployes,MATCH($G1753,MatriculesEmployes,0)),"MATRICULE INCONNU"))</f>
        <v/>
      </c>
      <c r="K1753" s="33">
        <f>IF(OR($D1753="",$F1753=""),"",IFERROR(IF(INDEX(RUNS!$L$6:$S$1005,MATCH($D1753,RUNS!$A$6:$A$1005,0),MATCH("ACTIVITÉ "&amp;$F1753,RUNS!$L$5:$S$5,0))="","",INDEX(RUNS!$L$6:$S$1005,MATCH($D1753,RUNS!$A$6:$A$1005,0),MATCH("ACTIVITÉ "&amp;$F1753,RUNS!$L$5:$S$5,0))),""))</f>
        <v/>
      </c>
      <c r="L1753" s="33">
        <f>IF($D1753="","",IFERROR(IF(INDEX(RUNS!$E$6:$E$1005,MATCH($D1753,RUNS!$A$6:$A$1005,0))="","",INDEX(RUNS!$E$6:$E$1005,MATCH($D1753,RUNS!$A$6:$A$1005,0))),""))</f>
        <v/>
      </c>
      <c r="M1753" s="33">
        <f>IF($D1753="","",IFERROR(IF(INDEX(RUNS!$F$6:$F$1005,MATCH($D1753,RUNS!$A$6:$A$1005,0))="","",INDEX(RUNS!$F$6:$F$1005,MATCH($D1753,RUNS!$A$6:$A$1005,0))),""))</f>
        <v/>
      </c>
      <c r="N1753" s="33">
        <f>IF($D1753="","",IFERROR(IF(INDEX(RUNS!$G$6:$G$1005,MATCH($D1753,RUNS!$A$6:$A$1005,0))="","",INDEX(RUNS!$G$6:$G$1005,MATCH($D1753,RUNS!$A$6:$A$1005,0))),""))</f>
        <v/>
      </c>
      <c r="O1753" s="33">
        <f>IF($D1753="","",IFERROR(IF(INDEX(RUNS!$H$6:$H$1005,MATCH($D1753,RUNS!$A$6:$A$1005,0))="","",INDEX(RUNS!$H$6:$H$1005,MATCH($D1753,RUNS!$A$6:$A$1005,0))),""))</f>
        <v/>
      </c>
      <c r="P1753" s="33">
        <f>IF($D1753="","",IFERROR(IF(INDEX(RUNS!$J$6:$J$1005,MATCH($D1753,RUNS!$A$6:$A$1005,0))="","",INDEX(RUNS!$J$6:$J$1005,MATCH($D1753,RUNS!$A$6:$A$1005,0))),""))</f>
        <v/>
      </c>
      <c r="Q1753" s="33">
        <f>IF($D1753="","",IFERROR(IF(INDEX(RUNS!$K$6:$K$1005,MATCH($D1753,RUNS!$A$6:$A$1005,0))="","",INDEX(RUNS!$K$6:$K$1005,MATCH($D1753,RUNS!$A$6:$A$1005,0))),""))</f>
        <v/>
      </c>
      <c r="R1753" s="34">
        <f>IF(OR($L1753="",$K1753=""),"",IFERROR(IF(INDEX(PARAMETRES!$H$43:$H$342,MATCH($L1753&amp;"|"&amp;$M1753&amp;"|"&amp;$N1753&amp;"|"&amp;$O1753&amp;"|"&amp;$P1753&amp;"|"&amp;$Q1753&amp;"|"&amp;$K1753,PARAMETRES!$J$43:$J$342,0))="","",INDEX(PARAMETRES!$H$43:$H$342,MATCH($L1753&amp;"|"&amp;$M1753&amp;"|"&amp;$N1753&amp;"|"&amp;$O1753&amp;"|"&amp;$P1753&amp;"|"&amp;$Q1753&amp;"|"&amp;$K1753,PARAMETRES!$J$43:$J$342,0))),""))</f>
        <v/>
      </c>
      <c r="S1753" s="35">
        <f>IF(OR($G1753="",$X1753&lt;&gt;"VALIDE"),"",IFERROR(LOOKUP(2,1/(($B853:$B1752=$B1753)*($G853:$G1752=$G1753)*($X853:$X1752="VALIDE")),$C853:$C1752),""))</f>
        <v/>
      </c>
      <c r="T1753" s="36">
        <f>IF(OR($C1753="",$S1753=""),"",ROUND(($C1753-$S1753+IF($C1753&lt;$S1753,1,0))*1440,0))</f>
        <v/>
      </c>
      <c r="U1753" s="22">
        <f>IF(OR($H1753="",$T1753="",$T1753&lt;=0),"",$H1753*60/$T1753)</f>
        <v/>
      </c>
      <c r="V1753" s="37">
        <f>IF(OR($U1753="",$R1753="",$R1753=0),"",$U1753/$R1753)</f>
        <v/>
      </c>
      <c r="W1753" s="20">
        <f>IF($G1753="","",IF($X1753="CONTEXTE INCOMPLET","CONTEXTE INCOMPLET",IF($X1753="DOUBLON",StatutDoublon,IF($S1753="",StatutInitial,IF($R1753="",StatutStandardManquant,IF($V1753="","DONNEES INSUFFISANTES",IF($V1753&gt;=SeuilConforme,StatutConforme,IF($V1753&gt;=SeuilSurveiller,StatutSurveiller,StatutSousStandard))))))))</f>
        <v/>
      </c>
      <c r="X1753" s="33">
        <f>IF($G1753="","",IF(OR($D1753="",$E1753="",$F1753=""),"CONTEXTE INCOMPLET",IF(COUNTIFS($D853:$D1752,$D1753,$E853:$E1752,$E1753,$F853:$F1752,$F1753,$G853:$G1752,$G1753)&gt;0,"DOUBLON","VALIDE")))</f>
        <v/>
      </c>
    </row>
    <row r="1754" ht="15" customHeight="1">
      <c r="A1754" s="12">
        <f>IF(OR($B1754="",$G1754=""),"",TEXT($B1754,"YYYYMMDD")&amp;"-"&amp;SUBSTITUTE($E1754," ","")&amp;"-"&amp;$F1754&amp;"-"&amp;$G1754)</f>
        <v/>
      </c>
      <c r="B1754" s="15" t="n"/>
      <c r="C1754" s="16" t="n"/>
      <c r="D1754" s="10" t="n"/>
      <c r="E1754" s="9" t="n"/>
      <c r="F1754" s="9" t="n"/>
      <c r="G1754" s="13" t="n"/>
      <c r="H1754" s="21" t="n"/>
      <c r="I1754" s="21" t="n"/>
      <c r="J1754" s="17">
        <f>IF($G1754="","",IFERROR(INDEX(NomsEmployes,MATCH($G1754,MatriculesEmployes,0)),"MATRICULE INCONNU"))</f>
        <v/>
      </c>
      <c r="K1754" s="33">
        <f>IF(OR($D1754="",$F1754=""),"",IFERROR(IF(INDEX(RUNS!$L$6:$S$1005,MATCH($D1754,RUNS!$A$6:$A$1005,0),MATCH("ACTIVITÉ "&amp;$F1754,RUNS!$L$5:$S$5,0))="","",INDEX(RUNS!$L$6:$S$1005,MATCH($D1754,RUNS!$A$6:$A$1005,0),MATCH("ACTIVITÉ "&amp;$F1754,RUNS!$L$5:$S$5,0))),""))</f>
        <v/>
      </c>
      <c r="L1754" s="33">
        <f>IF($D1754="","",IFERROR(IF(INDEX(RUNS!$E$6:$E$1005,MATCH($D1754,RUNS!$A$6:$A$1005,0))="","",INDEX(RUNS!$E$6:$E$1005,MATCH($D1754,RUNS!$A$6:$A$1005,0))),""))</f>
        <v/>
      </c>
      <c r="M1754" s="33">
        <f>IF($D1754="","",IFERROR(IF(INDEX(RUNS!$F$6:$F$1005,MATCH($D1754,RUNS!$A$6:$A$1005,0))="","",INDEX(RUNS!$F$6:$F$1005,MATCH($D1754,RUNS!$A$6:$A$1005,0))),""))</f>
        <v/>
      </c>
      <c r="N1754" s="33">
        <f>IF($D1754="","",IFERROR(IF(INDEX(RUNS!$G$6:$G$1005,MATCH($D1754,RUNS!$A$6:$A$1005,0))="","",INDEX(RUNS!$G$6:$G$1005,MATCH($D1754,RUNS!$A$6:$A$1005,0))),""))</f>
        <v/>
      </c>
      <c r="O1754" s="33">
        <f>IF($D1754="","",IFERROR(IF(INDEX(RUNS!$H$6:$H$1005,MATCH($D1754,RUNS!$A$6:$A$1005,0))="","",INDEX(RUNS!$H$6:$H$1005,MATCH($D1754,RUNS!$A$6:$A$1005,0))),""))</f>
        <v/>
      </c>
      <c r="P1754" s="33">
        <f>IF($D1754="","",IFERROR(IF(INDEX(RUNS!$J$6:$J$1005,MATCH($D1754,RUNS!$A$6:$A$1005,0))="","",INDEX(RUNS!$J$6:$J$1005,MATCH($D1754,RUNS!$A$6:$A$1005,0))),""))</f>
        <v/>
      </c>
      <c r="Q1754" s="33">
        <f>IF($D1754="","",IFERROR(IF(INDEX(RUNS!$K$6:$K$1005,MATCH($D1754,RUNS!$A$6:$A$1005,0))="","",INDEX(RUNS!$K$6:$K$1005,MATCH($D1754,RUNS!$A$6:$A$1005,0))),""))</f>
        <v/>
      </c>
      <c r="R1754" s="34">
        <f>IF(OR($L1754="",$K1754=""),"",IFERROR(IF(INDEX(PARAMETRES!$H$43:$H$342,MATCH($L1754&amp;"|"&amp;$M1754&amp;"|"&amp;$N1754&amp;"|"&amp;$O1754&amp;"|"&amp;$P1754&amp;"|"&amp;$Q1754&amp;"|"&amp;$K1754,PARAMETRES!$J$43:$J$342,0))="","",INDEX(PARAMETRES!$H$43:$H$342,MATCH($L1754&amp;"|"&amp;$M1754&amp;"|"&amp;$N1754&amp;"|"&amp;$O1754&amp;"|"&amp;$P1754&amp;"|"&amp;$Q1754&amp;"|"&amp;$K1754,PARAMETRES!$J$43:$J$342,0))),""))</f>
        <v/>
      </c>
      <c r="S1754" s="35">
        <f>IF(OR($G1754="",$X1754&lt;&gt;"VALIDE"),"",IFERROR(LOOKUP(2,1/(($B854:$B1753=$B1754)*($G854:$G1753=$G1754)*($X854:$X1753="VALIDE")),$C854:$C1753),""))</f>
        <v/>
      </c>
      <c r="T1754" s="36">
        <f>IF(OR($C1754="",$S1754=""),"",ROUND(($C1754-$S1754+IF($C1754&lt;$S1754,1,0))*1440,0))</f>
        <v/>
      </c>
      <c r="U1754" s="22">
        <f>IF(OR($H1754="",$T1754="",$T1754&lt;=0),"",$H1754*60/$T1754)</f>
        <v/>
      </c>
      <c r="V1754" s="37">
        <f>IF(OR($U1754="",$R1754="",$R1754=0),"",$U1754/$R1754)</f>
        <v/>
      </c>
      <c r="W1754" s="20">
        <f>IF($G1754="","",IF($X1754="CONTEXTE INCOMPLET","CONTEXTE INCOMPLET",IF($X1754="DOUBLON",StatutDoublon,IF($S1754="",StatutInitial,IF($R1754="",StatutStandardManquant,IF($V1754="","DONNEES INSUFFISANTES",IF($V1754&gt;=SeuilConforme,StatutConforme,IF($V1754&gt;=SeuilSurveiller,StatutSurveiller,StatutSousStandard))))))))</f>
        <v/>
      </c>
      <c r="X1754" s="33">
        <f>IF($G1754="","",IF(OR($D1754="",$E1754="",$F1754=""),"CONTEXTE INCOMPLET",IF(COUNTIFS($D854:$D1753,$D1754,$E854:$E1753,$E1754,$F854:$F1753,$F1754,$G854:$G1753,$G1754)&gt;0,"DOUBLON","VALIDE")))</f>
        <v/>
      </c>
    </row>
    <row r="1755" ht="15" customHeight="1">
      <c r="A1755" s="12">
        <f>IF(OR($B1755="",$G1755=""),"",TEXT($B1755,"YYYYMMDD")&amp;"-"&amp;SUBSTITUTE($E1755," ","")&amp;"-"&amp;$F1755&amp;"-"&amp;$G1755)</f>
        <v/>
      </c>
      <c r="B1755" s="15" t="n"/>
      <c r="C1755" s="16" t="n"/>
      <c r="D1755" s="10" t="n"/>
      <c r="E1755" s="9" t="n"/>
      <c r="F1755" s="9" t="n"/>
      <c r="G1755" s="13" t="n"/>
      <c r="H1755" s="21" t="n"/>
      <c r="I1755" s="21" t="n"/>
      <c r="J1755" s="17">
        <f>IF($G1755="","",IFERROR(INDEX(NomsEmployes,MATCH($G1755,MatriculesEmployes,0)),"MATRICULE INCONNU"))</f>
        <v/>
      </c>
      <c r="K1755" s="33">
        <f>IF(OR($D1755="",$F1755=""),"",IFERROR(IF(INDEX(RUNS!$L$6:$S$1005,MATCH($D1755,RUNS!$A$6:$A$1005,0),MATCH("ACTIVITÉ "&amp;$F1755,RUNS!$L$5:$S$5,0))="","",INDEX(RUNS!$L$6:$S$1005,MATCH($D1755,RUNS!$A$6:$A$1005,0),MATCH("ACTIVITÉ "&amp;$F1755,RUNS!$L$5:$S$5,0))),""))</f>
        <v/>
      </c>
      <c r="L1755" s="33">
        <f>IF($D1755="","",IFERROR(IF(INDEX(RUNS!$E$6:$E$1005,MATCH($D1755,RUNS!$A$6:$A$1005,0))="","",INDEX(RUNS!$E$6:$E$1005,MATCH($D1755,RUNS!$A$6:$A$1005,0))),""))</f>
        <v/>
      </c>
      <c r="M1755" s="33">
        <f>IF($D1755="","",IFERROR(IF(INDEX(RUNS!$F$6:$F$1005,MATCH($D1755,RUNS!$A$6:$A$1005,0))="","",INDEX(RUNS!$F$6:$F$1005,MATCH($D1755,RUNS!$A$6:$A$1005,0))),""))</f>
        <v/>
      </c>
      <c r="N1755" s="33">
        <f>IF($D1755="","",IFERROR(IF(INDEX(RUNS!$G$6:$G$1005,MATCH($D1755,RUNS!$A$6:$A$1005,0))="","",INDEX(RUNS!$G$6:$G$1005,MATCH($D1755,RUNS!$A$6:$A$1005,0))),""))</f>
        <v/>
      </c>
      <c r="O1755" s="33">
        <f>IF($D1755="","",IFERROR(IF(INDEX(RUNS!$H$6:$H$1005,MATCH($D1755,RUNS!$A$6:$A$1005,0))="","",INDEX(RUNS!$H$6:$H$1005,MATCH($D1755,RUNS!$A$6:$A$1005,0))),""))</f>
        <v/>
      </c>
      <c r="P1755" s="33">
        <f>IF($D1755="","",IFERROR(IF(INDEX(RUNS!$J$6:$J$1005,MATCH($D1755,RUNS!$A$6:$A$1005,0))="","",INDEX(RUNS!$J$6:$J$1005,MATCH($D1755,RUNS!$A$6:$A$1005,0))),""))</f>
        <v/>
      </c>
      <c r="Q1755" s="33">
        <f>IF($D1755="","",IFERROR(IF(INDEX(RUNS!$K$6:$K$1005,MATCH($D1755,RUNS!$A$6:$A$1005,0))="","",INDEX(RUNS!$K$6:$K$1005,MATCH($D1755,RUNS!$A$6:$A$1005,0))),""))</f>
        <v/>
      </c>
      <c r="R1755" s="34">
        <f>IF(OR($L1755="",$K1755=""),"",IFERROR(IF(INDEX(PARAMETRES!$H$43:$H$342,MATCH($L1755&amp;"|"&amp;$M1755&amp;"|"&amp;$N1755&amp;"|"&amp;$O1755&amp;"|"&amp;$P1755&amp;"|"&amp;$Q1755&amp;"|"&amp;$K1755,PARAMETRES!$J$43:$J$342,0))="","",INDEX(PARAMETRES!$H$43:$H$342,MATCH($L1755&amp;"|"&amp;$M1755&amp;"|"&amp;$N1755&amp;"|"&amp;$O1755&amp;"|"&amp;$P1755&amp;"|"&amp;$Q1755&amp;"|"&amp;$K1755,PARAMETRES!$J$43:$J$342,0))),""))</f>
        <v/>
      </c>
      <c r="S1755" s="35">
        <f>IF(OR($G1755="",$X1755&lt;&gt;"VALIDE"),"",IFERROR(LOOKUP(2,1/(($B855:$B1754=$B1755)*($G855:$G1754=$G1755)*($X855:$X1754="VALIDE")),$C855:$C1754),""))</f>
        <v/>
      </c>
      <c r="T1755" s="36">
        <f>IF(OR($C1755="",$S1755=""),"",ROUND(($C1755-$S1755+IF($C1755&lt;$S1755,1,0))*1440,0))</f>
        <v/>
      </c>
      <c r="U1755" s="22">
        <f>IF(OR($H1755="",$T1755="",$T1755&lt;=0),"",$H1755*60/$T1755)</f>
        <v/>
      </c>
      <c r="V1755" s="37">
        <f>IF(OR($U1755="",$R1755="",$R1755=0),"",$U1755/$R1755)</f>
        <v/>
      </c>
      <c r="W1755" s="20">
        <f>IF($G1755="","",IF($X1755="CONTEXTE INCOMPLET","CONTEXTE INCOMPLET",IF($X1755="DOUBLON",StatutDoublon,IF($S1755="",StatutInitial,IF($R1755="",StatutStandardManquant,IF($V1755="","DONNEES INSUFFISANTES",IF($V1755&gt;=SeuilConforme,StatutConforme,IF($V1755&gt;=SeuilSurveiller,StatutSurveiller,StatutSousStandard))))))))</f>
        <v/>
      </c>
      <c r="X1755" s="33">
        <f>IF($G1755="","",IF(OR($D1755="",$E1755="",$F1755=""),"CONTEXTE INCOMPLET",IF(COUNTIFS($D855:$D1754,$D1755,$E855:$E1754,$E1755,$F855:$F1754,$F1755,$G855:$G1754,$G1755)&gt;0,"DOUBLON","VALIDE")))</f>
        <v/>
      </c>
    </row>
    <row r="1756" ht="15" customHeight="1">
      <c r="A1756" s="12">
        <f>IF(OR($B1756="",$G1756=""),"",TEXT($B1756,"YYYYMMDD")&amp;"-"&amp;SUBSTITUTE($E1756," ","")&amp;"-"&amp;$F1756&amp;"-"&amp;$G1756)</f>
        <v/>
      </c>
      <c r="B1756" s="15" t="n"/>
      <c r="C1756" s="16" t="n"/>
      <c r="D1756" s="10" t="n"/>
      <c r="E1756" s="9" t="n"/>
      <c r="F1756" s="9" t="n"/>
      <c r="G1756" s="13" t="n"/>
      <c r="H1756" s="21" t="n"/>
      <c r="I1756" s="21" t="n"/>
      <c r="J1756" s="17">
        <f>IF($G1756="","",IFERROR(INDEX(NomsEmployes,MATCH($G1756,MatriculesEmployes,0)),"MATRICULE INCONNU"))</f>
        <v/>
      </c>
      <c r="K1756" s="33">
        <f>IF(OR($D1756="",$F1756=""),"",IFERROR(IF(INDEX(RUNS!$L$6:$S$1005,MATCH($D1756,RUNS!$A$6:$A$1005,0),MATCH("ACTIVITÉ "&amp;$F1756,RUNS!$L$5:$S$5,0))="","",INDEX(RUNS!$L$6:$S$1005,MATCH($D1756,RUNS!$A$6:$A$1005,0),MATCH("ACTIVITÉ "&amp;$F1756,RUNS!$L$5:$S$5,0))),""))</f>
        <v/>
      </c>
      <c r="L1756" s="33">
        <f>IF($D1756="","",IFERROR(IF(INDEX(RUNS!$E$6:$E$1005,MATCH($D1756,RUNS!$A$6:$A$1005,0))="","",INDEX(RUNS!$E$6:$E$1005,MATCH($D1756,RUNS!$A$6:$A$1005,0))),""))</f>
        <v/>
      </c>
      <c r="M1756" s="33">
        <f>IF($D1756="","",IFERROR(IF(INDEX(RUNS!$F$6:$F$1005,MATCH($D1756,RUNS!$A$6:$A$1005,0))="","",INDEX(RUNS!$F$6:$F$1005,MATCH($D1756,RUNS!$A$6:$A$1005,0))),""))</f>
        <v/>
      </c>
      <c r="N1756" s="33">
        <f>IF($D1756="","",IFERROR(IF(INDEX(RUNS!$G$6:$G$1005,MATCH($D1756,RUNS!$A$6:$A$1005,0))="","",INDEX(RUNS!$G$6:$G$1005,MATCH($D1756,RUNS!$A$6:$A$1005,0))),""))</f>
        <v/>
      </c>
      <c r="O1756" s="33">
        <f>IF($D1756="","",IFERROR(IF(INDEX(RUNS!$H$6:$H$1005,MATCH($D1756,RUNS!$A$6:$A$1005,0))="","",INDEX(RUNS!$H$6:$H$1005,MATCH($D1756,RUNS!$A$6:$A$1005,0))),""))</f>
        <v/>
      </c>
      <c r="P1756" s="33">
        <f>IF($D1756="","",IFERROR(IF(INDEX(RUNS!$J$6:$J$1005,MATCH($D1756,RUNS!$A$6:$A$1005,0))="","",INDEX(RUNS!$J$6:$J$1005,MATCH($D1756,RUNS!$A$6:$A$1005,0))),""))</f>
        <v/>
      </c>
      <c r="Q1756" s="33">
        <f>IF($D1756="","",IFERROR(IF(INDEX(RUNS!$K$6:$K$1005,MATCH($D1756,RUNS!$A$6:$A$1005,0))="","",INDEX(RUNS!$K$6:$K$1005,MATCH($D1756,RUNS!$A$6:$A$1005,0))),""))</f>
        <v/>
      </c>
      <c r="R1756" s="34">
        <f>IF(OR($L1756="",$K1756=""),"",IFERROR(IF(INDEX(PARAMETRES!$H$43:$H$342,MATCH($L1756&amp;"|"&amp;$M1756&amp;"|"&amp;$N1756&amp;"|"&amp;$O1756&amp;"|"&amp;$P1756&amp;"|"&amp;$Q1756&amp;"|"&amp;$K1756,PARAMETRES!$J$43:$J$342,0))="","",INDEX(PARAMETRES!$H$43:$H$342,MATCH($L1756&amp;"|"&amp;$M1756&amp;"|"&amp;$N1756&amp;"|"&amp;$O1756&amp;"|"&amp;$P1756&amp;"|"&amp;$Q1756&amp;"|"&amp;$K1756,PARAMETRES!$J$43:$J$342,0))),""))</f>
        <v/>
      </c>
      <c r="S1756" s="35">
        <f>IF(OR($G1756="",$X1756&lt;&gt;"VALIDE"),"",IFERROR(LOOKUP(2,1/(($B856:$B1755=$B1756)*($G856:$G1755=$G1756)*($X856:$X1755="VALIDE")),$C856:$C1755),""))</f>
        <v/>
      </c>
      <c r="T1756" s="36">
        <f>IF(OR($C1756="",$S1756=""),"",ROUND(($C1756-$S1756+IF($C1756&lt;$S1756,1,0))*1440,0))</f>
        <v/>
      </c>
      <c r="U1756" s="22">
        <f>IF(OR($H1756="",$T1756="",$T1756&lt;=0),"",$H1756*60/$T1756)</f>
        <v/>
      </c>
      <c r="V1756" s="37">
        <f>IF(OR($U1756="",$R1756="",$R1756=0),"",$U1756/$R1756)</f>
        <v/>
      </c>
      <c r="W1756" s="20">
        <f>IF($G1756="","",IF($X1756="CONTEXTE INCOMPLET","CONTEXTE INCOMPLET",IF($X1756="DOUBLON",StatutDoublon,IF($S1756="",StatutInitial,IF($R1756="",StatutStandardManquant,IF($V1756="","DONNEES INSUFFISANTES",IF($V1756&gt;=SeuilConforme,StatutConforme,IF($V1756&gt;=SeuilSurveiller,StatutSurveiller,StatutSousStandard))))))))</f>
        <v/>
      </c>
      <c r="X1756" s="33">
        <f>IF($G1756="","",IF(OR($D1756="",$E1756="",$F1756=""),"CONTEXTE INCOMPLET",IF(COUNTIFS($D856:$D1755,$D1756,$E856:$E1755,$E1756,$F856:$F1755,$F1756,$G856:$G1755,$G1756)&gt;0,"DOUBLON","VALIDE")))</f>
        <v/>
      </c>
    </row>
    <row r="1757" ht="15" customHeight="1">
      <c r="A1757" s="12">
        <f>IF(OR($B1757="",$G1757=""),"",TEXT($B1757,"YYYYMMDD")&amp;"-"&amp;SUBSTITUTE($E1757," ","")&amp;"-"&amp;$F1757&amp;"-"&amp;$G1757)</f>
        <v/>
      </c>
      <c r="B1757" s="15" t="n"/>
      <c r="C1757" s="16" t="n"/>
      <c r="D1757" s="10" t="n"/>
      <c r="E1757" s="9" t="n"/>
      <c r="F1757" s="9" t="n"/>
      <c r="G1757" s="13" t="n"/>
      <c r="H1757" s="21" t="n"/>
      <c r="I1757" s="21" t="n"/>
      <c r="J1757" s="17">
        <f>IF($G1757="","",IFERROR(INDEX(NomsEmployes,MATCH($G1757,MatriculesEmployes,0)),"MATRICULE INCONNU"))</f>
        <v/>
      </c>
      <c r="K1757" s="33">
        <f>IF(OR($D1757="",$F1757=""),"",IFERROR(IF(INDEX(RUNS!$L$6:$S$1005,MATCH($D1757,RUNS!$A$6:$A$1005,0),MATCH("ACTIVITÉ "&amp;$F1757,RUNS!$L$5:$S$5,0))="","",INDEX(RUNS!$L$6:$S$1005,MATCH($D1757,RUNS!$A$6:$A$1005,0),MATCH("ACTIVITÉ "&amp;$F1757,RUNS!$L$5:$S$5,0))),""))</f>
        <v/>
      </c>
      <c r="L1757" s="33">
        <f>IF($D1757="","",IFERROR(IF(INDEX(RUNS!$E$6:$E$1005,MATCH($D1757,RUNS!$A$6:$A$1005,0))="","",INDEX(RUNS!$E$6:$E$1005,MATCH($D1757,RUNS!$A$6:$A$1005,0))),""))</f>
        <v/>
      </c>
      <c r="M1757" s="33">
        <f>IF($D1757="","",IFERROR(IF(INDEX(RUNS!$F$6:$F$1005,MATCH($D1757,RUNS!$A$6:$A$1005,0))="","",INDEX(RUNS!$F$6:$F$1005,MATCH($D1757,RUNS!$A$6:$A$1005,0))),""))</f>
        <v/>
      </c>
      <c r="N1757" s="33">
        <f>IF($D1757="","",IFERROR(IF(INDEX(RUNS!$G$6:$G$1005,MATCH($D1757,RUNS!$A$6:$A$1005,0))="","",INDEX(RUNS!$G$6:$G$1005,MATCH($D1757,RUNS!$A$6:$A$1005,0))),""))</f>
        <v/>
      </c>
      <c r="O1757" s="33">
        <f>IF($D1757="","",IFERROR(IF(INDEX(RUNS!$H$6:$H$1005,MATCH($D1757,RUNS!$A$6:$A$1005,0))="","",INDEX(RUNS!$H$6:$H$1005,MATCH($D1757,RUNS!$A$6:$A$1005,0))),""))</f>
        <v/>
      </c>
      <c r="P1757" s="33">
        <f>IF($D1757="","",IFERROR(IF(INDEX(RUNS!$J$6:$J$1005,MATCH($D1757,RUNS!$A$6:$A$1005,0))="","",INDEX(RUNS!$J$6:$J$1005,MATCH($D1757,RUNS!$A$6:$A$1005,0))),""))</f>
        <v/>
      </c>
      <c r="Q1757" s="33">
        <f>IF($D1757="","",IFERROR(IF(INDEX(RUNS!$K$6:$K$1005,MATCH($D1757,RUNS!$A$6:$A$1005,0))="","",INDEX(RUNS!$K$6:$K$1005,MATCH($D1757,RUNS!$A$6:$A$1005,0))),""))</f>
        <v/>
      </c>
      <c r="R1757" s="34">
        <f>IF(OR($L1757="",$K1757=""),"",IFERROR(IF(INDEX(PARAMETRES!$H$43:$H$342,MATCH($L1757&amp;"|"&amp;$M1757&amp;"|"&amp;$N1757&amp;"|"&amp;$O1757&amp;"|"&amp;$P1757&amp;"|"&amp;$Q1757&amp;"|"&amp;$K1757,PARAMETRES!$J$43:$J$342,0))="","",INDEX(PARAMETRES!$H$43:$H$342,MATCH($L1757&amp;"|"&amp;$M1757&amp;"|"&amp;$N1757&amp;"|"&amp;$O1757&amp;"|"&amp;$P1757&amp;"|"&amp;$Q1757&amp;"|"&amp;$K1757,PARAMETRES!$J$43:$J$342,0))),""))</f>
        <v/>
      </c>
      <c r="S1757" s="35">
        <f>IF(OR($G1757="",$X1757&lt;&gt;"VALIDE"),"",IFERROR(LOOKUP(2,1/(($B857:$B1756=$B1757)*($G857:$G1756=$G1757)*($X857:$X1756="VALIDE")),$C857:$C1756),""))</f>
        <v/>
      </c>
      <c r="T1757" s="36">
        <f>IF(OR($C1757="",$S1757=""),"",ROUND(($C1757-$S1757+IF($C1757&lt;$S1757,1,0))*1440,0))</f>
        <v/>
      </c>
      <c r="U1757" s="22">
        <f>IF(OR($H1757="",$T1757="",$T1757&lt;=0),"",$H1757*60/$T1757)</f>
        <v/>
      </c>
      <c r="V1757" s="37">
        <f>IF(OR($U1757="",$R1757="",$R1757=0),"",$U1757/$R1757)</f>
        <v/>
      </c>
      <c r="W1757" s="20">
        <f>IF($G1757="","",IF($X1757="CONTEXTE INCOMPLET","CONTEXTE INCOMPLET",IF($X1757="DOUBLON",StatutDoublon,IF($S1757="",StatutInitial,IF($R1757="",StatutStandardManquant,IF($V1757="","DONNEES INSUFFISANTES",IF($V1757&gt;=SeuilConforme,StatutConforme,IF($V1757&gt;=SeuilSurveiller,StatutSurveiller,StatutSousStandard))))))))</f>
        <v/>
      </c>
      <c r="X1757" s="33">
        <f>IF($G1757="","",IF(OR($D1757="",$E1757="",$F1757=""),"CONTEXTE INCOMPLET",IF(COUNTIFS($D857:$D1756,$D1757,$E857:$E1756,$E1757,$F857:$F1756,$F1757,$G857:$G1756,$G1757)&gt;0,"DOUBLON","VALIDE")))</f>
        <v/>
      </c>
    </row>
    <row r="1758" ht="15" customHeight="1">
      <c r="A1758" s="12">
        <f>IF(OR($B1758="",$G1758=""),"",TEXT($B1758,"YYYYMMDD")&amp;"-"&amp;SUBSTITUTE($E1758," ","")&amp;"-"&amp;$F1758&amp;"-"&amp;$G1758)</f>
        <v/>
      </c>
      <c r="B1758" s="15" t="n"/>
      <c r="C1758" s="16" t="n"/>
      <c r="D1758" s="10" t="n"/>
      <c r="E1758" s="9" t="n"/>
      <c r="F1758" s="9" t="n"/>
      <c r="G1758" s="13" t="n"/>
      <c r="H1758" s="21" t="n"/>
      <c r="I1758" s="21" t="n"/>
      <c r="J1758" s="17">
        <f>IF($G1758="","",IFERROR(INDEX(NomsEmployes,MATCH($G1758,MatriculesEmployes,0)),"MATRICULE INCONNU"))</f>
        <v/>
      </c>
      <c r="K1758" s="33">
        <f>IF(OR($D1758="",$F1758=""),"",IFERROR(IF(INDEX(RUNS!$L$6:$S$1005,MATCH($D1758,RUNS!$A$6:$A$1005,0),MATCH("ACTIVITÉ "&amp;$F1758,RUNS!$L$5:$S$5,0))="","",INDEX(RUNS!$L$6:$S$1005,MATCH($D1758,RUNS!$A$6:$A$1005,0),MATCH("ACTIVITÉ "&amp;$F1758,RUNS!$L$5:$S$5,0))),""))</f>
        <v/>
      </c>
      <c r="L1758" s="33">
        <f>IF($D1758="","",IFERROR(IF(INDEX(RUNS!$E$6:$E$1005,MATCH($D1758,RUNS!$A$6:$A$1005,0))="","",INDEX(RUNS!$E$6:$E$1005,MATCH($D1758,RUNS!$A$6:$A$1005,0))),""))</f>
        <v/>
      </c>
      <c r="M1758" s="33">
        <f>IF($D1758="","",IFERROR(IF(INDEX(RUNS!$F$6:$F$1005,MATCH($D1758,RUNS!$A$6:$A$1005,0))="","",INDEX(RUNS!$F$6:$F$1005,MATCH($D1758,RUNS!$A$6:$A$1005,0))),""))</f>
        <v/>
      </c>
      <c r="N1758" s="33">
        <f>IF($D1758="","",IFERROR(IF(INDEX(RUNS!$G$6:$G$1005,MATCH($D1758,RUNS!$A$6:$A$1005,0))="","",INDEX(RUNS!$G$6:$G$1005,MATCH($D1758,RUNS!$A$6:$A$1005,0))),""))</f>
        <v/>
      </c>
      <c r="O1758" s="33">
        <f>IF($D1758="","",IFERROR(IF(INDEX(RUNS!$H$6:$H$1005,MATCH($D1758,RUNS!$A$6:$A$1005,0))="","",INDEX(RUNS!$H$6:$H$1005,MATCH($D1758,RUNS!$A$6:$A$1005,0))),""))</f>
        <v/>
      </c>
      <c r="P1758" s="33">
        <f>IF($D1758="","",IFERROR(IF(INDEX(RUNS!$J$6:$J$1005,MATCH($D1758,RUNS!$A$6:$A$1005,0))="","",INDEX(RUNS!$J$6:$J$1005,MATCH($D1758,RUNS!$A$6:$A$1005,0))),""))</f>
        <v/>
      </c>
      <c r="Q1758" s="33">
        <f>IF($D1758="","",IFERROR(IF(INDEX(RUNS!$K$6:$K$1005,MATCH($D1758,RUNS!$A$6:$A$1005,0))="","",INDEX(RUNS!$K$6:$K$1005,MATCH($D1758,RUNS!$A$6:$A$1005,0))),""))</f>
        <v/>
      </c>
      <c r="R1758" s="34">
        <f>IF(OR($L1758="",$K1758=""),"",IFERROR(IF(INDEX(PARAMETRES!$H$43:$H$342,MATCH($L1758&amp;"|"&amp;$M1758&amp;"|"&amp;$N1758&amp;"|"&amp;$O1758&amp;"|"&amp;$P1758&amp;"|"&amp;$Q1758&amp;"|"&amp;$K1758,PARAMETRES!$J$43:$J$342,0))="","",INDEX(PARAMETRES!$H$43:$H$342,MATCH($L1758&amp;"|"&amp;$M1758&amp;"|"&amp;$N1758&amp;"|"&amp;$O1758&amp;"|"&amp;$P1758&amp;"|"&amp;$Q1758&amp;"|"&amp;$K1758,PARAMETRES!$J$43:$J$342,0))),""))</f>
        <v/>
      </c>
      <c r="S1758" s="35">
        <f>IF(OR($G1758="",$X1758&lt;&gt;"VALIDE"),"",IFERROR(LOOKUP(2,1/(($B858:$B1757=$B1758)*($G858:$G1757=$G1758)*($X858:$X1757="VALIDE")),$C858:$C1757),""))</f>
        <v/>
      </c>
      <c r="T1758" s="36">
        <f>IF(OR($C1758="",$S1758=""),"",ROUND(($C1758-$S1758+IF($C1758&lt;$S1758,1,0))*1440,0))</f>
        <v/>
      </c>
      <c r="U1758" s="22">
        <f>IF(OR($H1758="",$T1758="",$T1758&lt;=0),"",$H1758*60/$T1758)</f>
        <v/>
      </c>
      <c r="V1758" s="37">
        <f>IF(OR($U1758="",$R1758="",$R1758=0),"",$U1758/$R1758)</f>
        <v/>
      </c>
      <c r="W1758" s="20">
        <f>IF($G1758="","",IF($X1758="CONTEXTE INCOMPLET","CONTEXTE INCOMPLET",IF($X1758="DOUBLON",StatutDoublon,IF($S1758="",StatutInitial,IF($R1758="",StatutStandardManquant,IF($V1758="","DONNEES INSUFFISANTES",IF($V1758&gt;=SeuilConforme,StatutConforme,IF($V1758&gt;=SeuilSurveiller,StatutSurveiller,StatutSousStandard))))))))</f>
        <v/>
      </c>
      <c r="X1758" s="33">
        <f>IF($G1758="","",IF(OR($D1758="",$E1758="",$F1758=""),"CONTEXTE INCOMPLET",IF(COUNTIFS($D858:$D1757,$D1758,$E858:$E1757,$E1758,$F858:$F1757,$F1758,$G858:$G1757,$G1758)&gt;0,"DOUBLON","VALIDE")))</f>
        <v/>
      </c>
    </row>
    <row r="1759" ht="15" customHeight="1">
      <c r="A1759" s="12">
        <f>IF(OR($B1759="",$G1759=""),"",TEXT($B1759,"YYYYMMDD")&amp;"-"&amp;SUBSTITUTE($E1759," ","")&amp;"-"&amp;$F1759&amp;"-"&amp;$G1759)</f>
        <v/>
      </c>
      <c r="B1759" s="15" t="n"/>
      <c r="C1759" s="16" t="n"/>
      <c r="D1759" s="10" t="n"/>
      <c r="E1759" s="9" t="n"/>
      <c r="F1759" s="9" t="n"/>
      <c r="G1759" s="13" t="n"/>
      <c r="H1759" s="21" t="n"/>
      <c r="I1759" s="21" t="n"/>
      <c r="J1759" s="17">
        <f>IF($G1759="","",IFERROR(INDEX(NomsEmployes,MATCH($G1759,MatriculesEmployes,0)),"MATRICULE INCONNU"))</f>
        <v/>
      </c>
      <c r="K1759" s="33">
        <f>IF(OR($D1759="",$F1759=""),"",IFERROR(IF(INDEX(RUNS!$L$6:$S$1005,MATCH($D1759,RUNS!$A$6:$A$1005,0),MATCH("ACTIVITÉ "&amp;$F1759,RUNS!$L$5:$S$5,0))="","",INDEX(RUNS!$L$6:$S$1005,MATCH($D1759,RUNS!$A$6:$A$1005,0),MATCH("ACTIVITÉ "&amp;$F1759,RUNS!$L$5:$S$5,0))),""))</f>
        <v/>
      </c>
      <c r="L1759" s="33">
        <f>IF($D1759="","",IFERROR(IF(INDEX(RUNS!$E$6:$E$1005,MATCH($D1759,RUNS!$A$6:$A$1005,0))="","",INDEX(RUNS!$E$6:$E$1005,MATCH($D1759,RUNS!$A$6:$A$1005,0))),""))</f>
        <v/>
      </c>
      <c r="M1759" s="33">
        <f>IF($D1759="","",IFERROR(IF(INDEX(RUNS!$F$6:$F$1005,MATCH($D1759,RUNS!$A$6:$A$1005,0))="","",INDEX(RUNS!$F$6:$F$1005,MATCH($D1759,RUNS!$A$6:$A$1005,0))),""))</f>
        <v/>
      </c>
      <c r="N1759" s="33">
        <f>IF($D1759="","",IFERROR(IF(INDEX(RUNS!$G$6:$G$1005,MATCH($D1759,RUNS!$A$6:$A$1005,0))="","",INDEX(RUNS!$G$6:$G$1005,MATCH($D1759,RUNS!$A$6:$A$1005,0))),""))</f>
        <v/>
      </c>
      <c r="O1759" s="33">
        <f>IF($D1759="","",IFERROR(IF(INDEX(RUNS!$H$6:$H$1005,MATCH($D1759,RUNS!$A$6:$A$1005,0))="","",INDEX(RUNS!$H$6:$H$1005,MATCH($D1759,RUNS!$A$6:$A$1005,0))),""))</f>
        <v/>
      </c>
      <c r="P1759" s="33">
        <f>IF($D1759="","",IFERROR(IF(INDEX(RUNS!$J$6:$J$1005,MATCH($D1759,RUNS!$A$6:$A$1005,0))="","",INDEX(RUNS!$J$6:$J$1005,MATCH($D1759,RUNS!$A$6:$A$1005,0))),""))</f>
        <v/>
      </c>
      <c r="Q1759" s="33">
        <f>IF($D1759="","",IFERROR(IF(INDEX(RUNS!$K$6:$K$1005,MATCH($D1759,RUNS!$A$6:$A$1005,0))="","",INDEX(RUNS!$K$6:$K$1005,MATCH($D1759,RUNS!$A$6:$A$1005,0))),""))</f>
        <v/>
      </c>
      <c r="R1759" s="34">
        <f>IF(OR($L1759="",$K1759=""),"",IFERROR(IF(INDEX(PARAMETRES!$H$43:$H$342,MATCH($L1759&amp;"|"&amp;$M1759&amp;"|"&amp;$N1759&amp;"|"&amp;$O1759&amp;"|"&amp;$P1759&amp;"|"&amp;$Q1759&amp;"|"&amp;$K1759,PARAMETRES!$J$43:$J$342,0))="","",INDEX(PARAMETRES!$H$43:$H$342,MATCH($L1759&amp;"|"&amp;$M1759&amp;"|"&amp;$N1759&amp;"|"&amp;$O1759&amp;"|"&amp;$P1759&amp;"|"&amp;$Q1759&amp;"|"&amp;$K1759,PARAMETRES!$J$43:$J$342,0))),""))</f>
        <v/>
      </c>
      <c r="S1759" s="35">
        <f>IF(OR($G1759="",$X1759&lt;&gt;"VALIDE"),"",IFERROR(LOOKUP(2,1/(($B859:$B1758=$B1759)*($G859:$G1758=$G1759)*($X859:$X1758="VALIDE")),$C859:$C1758),""))</f>
        <v/>
      </c>
      <c r="T1759" s="36">
        <f>IF(OR($C1759="",$S1759=""),"",ROUND(($C1759-$S1759+IF($C1759&lt;$S1759,1,0))*1440,0))</f>
        <v/>
      </c>
      <c r="U1759" s="22">
        <f>IF(OR($H1759="",$T1759="",$T1759&lt;=0),"",$H1759*60/$T1759)</f>
        <v/>
      </c>
      <c r="V1759" s="37">
        <f>IF(OR($U1759="",$R1759="",$R1759=0),"",$U1759/$R1759)</f>
        <v/>
      </c>
      <c r="W1759" s="20">
        <f>IF($G1759="","",IF($X1759="CONTEXTE INCOMPLET","CONTEXTE INCOMPLET",IF($X1759="DOUBLON",StatutDoublon,IF($S1759="",StatutInitial,IF($R1759="",StatutStandardManquant,IF($V1759="","DONNEES INSUFFISANTES",IF($V1759&gt;=SeuilConforme,StatutConforme,IF($V1759&gt;=SeuilSurveiller,StatutSurveiller,StatutSousStandard))))))))</f>
        <v/>
      </c>
      <c r="X1759" s="33">
        <f>IF($G1759="","",IF(OR($D1759="",$E1759="",$F1759=""),"CONTEXTE INCOMPLET",IF(COUNTIFS($D859:$D1758,$D1759,$E859:$E1758,$E1759,$F859:$F1758,$F1759,$G859:$G1758,$G1759)&gt;0,"DOUBLON","VALIDE")))</f>
        <v/>
      </c>
    </row>
    <row r="1760" ht="15" customHeight="1">
      <c r="A1760" s="12">
        <f>IF(OR($B1760="",$G1760=""),"",TEXT($B1760,"YYYYMMDD")&amp;"-"&amp;SUBSTITUTE($E1760," ","")&amp;"-"&amp;$F1760&amp;"-"&amp;$G1760)</f>
        <v/>
      </c>
      <c r="B1760" s="15" t="n"/>
      <c r="C1760" s="16" t="n"/>
      <c r="D1760" s="10" t="n"/>
      <c r="E1760" s="9" t="n"/>
      <c r="F1760" s="9" t="n"/>
      <c r="G1760" s="13" t="n"/>
      <c r="H1760" s="21" t="n"/>
      <c r="I1760" s="21" t="n"/>
      <c r="J1760" s="17">
        <f>IF($G1760="","",IFERROR(INDEX(NomsEmployes,MATCH($G1760,MatriculesEmployes,0)),"MATRICULE INCONNU"))</f>
        <v/>
      </c>
      <c r="K1760" s="33">
        <f>IF(OR($D1760="",$F1760=""),"",IFERROR(IF(INDEX(RUNS!$L$6:$S$1005,MATCH($D1760,RUNS!$A$6:$A$1005,0),MATCH("ACTIVITÉ "&amp;$F1760,RUNS!$L$5:$S$5,0))="","",INDEX(RUNS!$L$6:$S$1005,MATCH($D1760,RUNS!$A$6:$A$1005,0),MATCH("ACTIVITÉ "&amp;$F1760,RUNS!$L$5:$S$5,0))),""))</f>
        <v/>
      </c>
      <c r="L1760" s="33">
        <f>IF($D1760="","",IFERROR(IF(INDEX(RUNS!$E$6:$E$1005,MATCH($D1760,RUNS!$A$6:$A$1005,0))="","",INDEX(RUNS!$E$6:$E$1005,MATCH($D1760,RUNS!$A$6:$A$1005,0))),""))</f>
        <v/>
      </c>
      <c r="M1760" s="33">
        <f>IF($D1760="","",IFERROR(IF(INDEX(RUNS!$F$6:$F$1005,MATCH($D1760,RUNS!$A$6:$A$1005,0))="","",INDEX(RUNS!$F$6:$F$1005,MATCH($D1760,RUNS!$A$6:$A$1005,0))),""))</f>
        <v/>
      </c>
      <c r="N1760" s="33">
        <f>IF($D1760="","",IFERROR(IF(INDEX(RUNS!$G$6:$G$1005,MATCH($D1760,RUNS!$A$6:$A$1005,0))="","",INDEX(RUNS!$G$6:$G$1005,MATCH($D1760,RUNS!$A$6:$A$1005,0))),""))</f>
        <v/>
      </c>
      <c r="O1760" s="33">
        <f>IF($D1760="","",IFERROR(IF(INDEX(RUNS!$H$6:$H$1005,MATCH($D1760,RUNS!$A$6:$A$1005,0))="","",INDEX(RUNS!$H$6:$H$1005,MATCH($D1760,RUNS!$A$6:$A$1005,0))),""))</f>
        <v/>
      </c>
      <c r="P1760" s="33">
        <f>IF($D1760="","",IFERROR(IF(INDEX(RUNS!$J$6:$J$1005,MATCH($D1760,RUNS!$A$6:$A$1005,0))="","",INDEX(RUNS!$J$6:$J$1005,MATCH($D1760,RUNS!$A$6:$A$1005,0))),""))</f>
        <v/>
      </c>
      <c r="Q1760" s="33">
        <f>IF($D1760="","",IFERROR(IF(INDEX(RUNS!$K$6:$K$1005,MATCH($D1760,RUNS!$A$6:$A$1005,0))="","",INDEX(RUNS!$K$6:$K$1005,MATCH($D1760,RUNS!$A$6:$A$1005,0))),""))</f>
        <v/>
      </c>
      <c r="R1760" s="34">
        <f>IF(OR($L1760="",$K1760=""),"",IFERROR(IF(INDEX(PARAMETRES!$H$43:$H$342,MATCH($L1760&amp;"|"&amp;$M1760&amp;"|"&amp;$N1760&amp;"|"&amp;$O1760&amp;"|"&amp;$P1760&amp;"|"&amp;$Q1760&amp;"|"&amp;$K1760,PARAMETRES!$J$43:$J$342,0))="","",INDEX(PARAMETRES!$H$43:$H$342,MATCH($L1760&amp;"|"&amp;$M1760&amp;"|"&amp;$N1760&amp;"|"&amp;$O1760&amp;"|"&amp;$P1760&amp;"|"&amp;$Q1760&amp;"|"&amp;$K1760,PARAMETRES!$J$43:$J$342,0))),""))</f>
        <v/>
      </c>
      <c r="S1760" s="35">
        <f>IF(OR($G1760="",$X1760&lt;&gt;"VALIDE"),"",IFERROR(LOOKUP(2,1/(($B860:$B1759=$B1760)*($G860:$G1759=$G1760)*($X860:$X1759="VALIDE")),$C860:$C1759),""))</f>
        <v/>
      </c>
      <c r="T1760" s="36">
        <f>IF(OR($C1760="",$S1760=""),"",ROUND(($C1760-$S1760+IF($C1760&lt;$S1760,1,0))*1440,0))</f>
        <v/>
      </c>
      <c r="U1760" s="22">
        <f>IF(OR($H1760="",$T1760="",$T1760&lt;=0),"",$H1760*60/$T1760)</f>
        <v/>
      </c>
      <c r="V1760" s="37">
        <f>IF(OR($U1760="",$R1760="",$R1760=0),"",$U1760/$R1760)</f>
        <v/>
      </c>
      <c r="W1760" s="20">
        <f>IF($G1760="","",IF($X1760="CONTEXTE INCOMPLET","CONTEXTE INCOMPLET",IF($X1760="DOUBLON",StatutDoublon,IF($S1760="",StatutInitial,IF($R1760="",StatutStandardManquant,IF($V1760="","DONNEES INSUFFISANTES",IF($V1760&gt;=SeuilConforme,StatutConforme,IF($V1760&gt;=SeuilSurveiller,StatutSurveiller,StatutSousStandard))))))))</f>
        <v/>
      </c>
      <c r="X1760" s="33">
        <f>IF($G1760="","",IF(OR($D1760="",$E1760="",$F1760=""),"CONTEXTE INCOMPLET",IF(COUNTIFS($D860:$D1759,$D1760,$E860:$E1759,$E1760,$F860:$F1759,$F1760,$G860:$G1759,$G1760)&gt;0,"DOUBLON","VALIDE")))</f>
        <v/>
      </c>
    </row>
    <row r="1761" ht="15" customHeight="1">
      <c r="A1761" s="12">
        <f>IF(OR($B1761="",$G1761=""),"",TEXT($B1761,"YYYYMMDD")&amp;"-"&amp;SUBSTITUTE($E1761," ","")&amp;"-"&amp;$F1761&amp;"-"&amp;$G1761)</f>
        <v/>
      </c>
      <c r="B1761" s="15" t="n"/>
      <c r="C1761" s="16" t="n"/>
      <c r="D1761" s="10" t="n"/>
      <c r="E1761" s="9" t="n"/>
      <c r="F1761" s="9" t="n"/>
      <c r="G1761" s="13" t="n"/>
      <c r="H1761" s="21" t="n"/>
      <c r="I1761" s="21" t="n"/>
      <c r="J1761" s="17">
        <f>IF($G1761="","",IFERROR(INDEX(NomsEmployes,MATCH($G1761,MatriculesEmployes,0)),"MATRICULE INCONNU"))</f>
        <v/>
      </c>
      <c r="K1761" s="33">
        <f>IF(OR($D1761="",$F1761=""),"",IFERROR(IF(INDEX(RUNS!$L$6:$S$1005,MATCH($D1761,RUNS!$A$6:$A$1005,0),MATCH("ACTIVITÉ "&amp;$F1761,RUNS!$L$5:$S$5,0))="","",INDEX(RUNS!$L$6:$S$1005,MATCH($D1761,RUNS!$A$6:$A$1005,0),MATCH("ACTIVITÉ "&amp;$F1761,RUNS!$L$5:$S$5,0))),""))</f>
        <v/>
      </c>
      <c r="L1761" s="33">
        <f>IF($D1761="","",IFERROR(IF(INDEX(RUNS!$E$6:$E$1005,MATCH($D1761,RUNS!$A$6:$A$1005,0))="","",INDEX(RUNS!$E$6:$E$1005,MATCH($D1761,RUNS!$A$6:$A$1005,0))),""))</f>
        <v/>
      </c>
      <c r="M1761" s="33">
        <f>IF($D1761="","",IFERROR(IF(INDEX(RUNS!$F$6:$F$1005,MATCH($D1761,RUNS!$A$6:$A$1005,0))="","",INDEX(RUNS!$F$6:$F$1005,MATCH($D1761,RUNS!$A$6:$A$1005,0))),""))</f>
        <v/>
      </c>
      <c r="N1761" s="33">
        <f>IF($D1761="","",IFERROR(IF(INDEX(RUNS!$G$6:$G$1005,MATCH($D1761,RUNS!$A$6:$A$1005,0))="","",INDEX(RUNS!$G$6:$G$1005,MATCH($D1761,RUNS!$A$6:$A$1005,0))),""))</f>
        <v/>
      </c>
      <c r="O1761" s="33">
        <f>IF($D1761="","",IFERROR(IF(INDEX(RUNS!$H$6:$H$1005,MATCH($D1761,RUNS!$A$6:$A$1005,0))="","",INDEX(RUNS!$H$6:$H$1005,MATCH($D1761,RUNS!$A$6:$A$1005,0))),""))</f>
        <v/>
      </c>
      <c r="P1761" s="33">
        <f>IF($D1761="","",IFERROR(IF(INDEX(RUNS!$J$6:$J$1005,MATCH($D1761,RUNS!$A$6:$A$1005,0))="","",INDEX(RUNS!$J$6:$J$1005,MATCH($D1761,RUNS!$A$6:$A$1005,0))),""))</f>
        <v/>
      </c>
      <c r="Q1761" s="33">
        <f>IF($D1761="","",IFERROR(IF(INDEX(RUNS!$K$6:$K$1005,MATCH($D1761,RUNS!$A$6:$A$1005,0))="","",INDEX(RUNS!$K$6:$K$1005,MATCH($D1761,RUNS!$A$6:$A$1005,0))),""))</f>
        <v/>
      </c>
      <c r="R1761" s="34">
        <f>IF(OR($L1761="",$K1761=""),"",IFERROR(IF(INDEX(PARAMETRES!$H$43:$H$342,MATCH($L1761&amp;"|"&amp;$M1761&amp;"|"&amp;$N1761&amp;"|"&amp;$O1761&amp;"|"&amp;$P1761&amp;"|"&amp;$Q1761&amp;"|"&amp;$K1761,PARAMETRES!$J$43:$J$342,0))="","",INDEX(PARAMETRES!$H$43:$H$342,MATCH($L1761&amp;"|"&amp;$M1761&amp;"|"&amp;$N1761&amp;"|"&amp;$O1761&amp;"|"&amp;$P1761&amp;"|"&amp;$Q1761&amp;"|"&amp;$K1761,PARAMETRES!$J$43:$J$342,0))),""))</f>
        <v/>
      </c>
      <c r="S1761" s="35">
        <f>IF(OR($G1761="",$X1761&lt;&gt;"VALIDE"),"",IFERROR(LOOKUP(2,1/(($B861:$B1760=$B1761)*($G861:$G1760=$G1761)*($X861:$X1760="VALIDE")),$C861:$C1760),""))</f>
        <v/>
      </c>
      <c r="T1761" s="36">
        <f>IF(OR($C1761="",$S1761=""),"",ROUND(($C1761-$S1761+IF($C1761&lt;$S1761,1,0))*1440,0))</f>
        <v/>
      </c>
      <c r="U1761" s="22">
        <f>IF(OR($H1761="",$T1761="",$T1761&lt;=0),"",$H1761*60/$T1761)</f>
        <v/>
      </c>
      <c r="V1761" s="37">
        <f>IF(OR($U1761="",$R1761="",$R1761=0),"",$U1761/$R1761)</f>
        <v/>
      </c>
      <c r="W1761" s="20">
        <f>IF($G1761="","",IF($X1761="CONTEXTE INCOMPLET","CONTEXTE INCOMPLET",IF($X1761="DOUBLON",StatutDoublon,IF($S1761="",StatutInitial,IF($R1761="",StatutStandardManquant,IF($V1761="","DONNEES INSUFFISANTES",IF($V1761&gt;=SeuilConforme,StatutConforme,IF($V1761&gt;=SeuilSurveiller,StatutSurveiller,StatutSousStandard))))))))</f>
        <v/>
      </c>
      <c r="X1761" s="33">
        <f>IF($G1761="","",IF(OR($D1761="",$E1761="",$F1761=""),"CONTEXTE INCOMPLET",IF(COUNTIFS($D861:$D1760,$D1761,$E861:$E1760,$E1761,$F861:$F1760,$F1761,$G861:$G1760,$G1761)&gt;0,"DOUBLON","VALIDE")))</f>
        <v/>
      </c>
    </row>
    <row r="1762" ht="15" customHeight="1">
      <c r="A1762" s="12">
        <f>IF(OR($B1762="",$G1762=""),"",TEXT($B1762,"YYYYMMDD")&amp;"-"&amp;SUBSTITUTE($E1762," ","")&amp;"-"&amp;$F1762&amp;"-"&amp;$G1762)</f>
        <v/>
      </c>
      <c r="B1762" s="15" t="n"/>
      <c r="C1762" s="16" t="n"/>
      <c r="D1762" s="10" t="n"/>
      <c r="E1762" s="9" t="n"/>
      <c r="F1762" s="9" t="n"/>
      <c r="G1762" s="13" t="n"/>
      <c r="H1762" s="21" t="n"/>
      <c r="I1762" s="21" t="n"/>
      <c r="J1762" s="17">
        <f>IF($G1762="","",IFERROR(INDEX(NomsEmployes,MATCH($G1762,MatriculesEmployes,0)),"MATRICULE INCONNU"))</f>
        <v/>
      </c>
      <c r="K1762" s="33">
        <f>IF(OR($D1762="",$F1762=""),"",IFERROR(IF(INDEX(RUNS!$L$6:$S$1005,MATCH($D1762,RUNS!$A$6:$A$1005,0),MATCH("ACTIVITÉ "&amp;$F1762,RUNS!$L$5:$S$5,0))="","",INDEX(RUNS!$L$6:$S$1005,MATCH($D1762,RUNS!$A$6:$A$1005,0),MATCH("ACTIVITÉ "&amp;$F1762,RUNS!$L$5:$S$5,0))),""))</f>
        <v/>
      </c>
      <c r="L1762" s="33">
        <f>IF($D1762="","",IFERROR(IF(INDEX(RUNS!$E$6:$E$1005,MATCH($D1762,RUNS!$A$6:$A$1005,0))="","",INDEX(RUNS!$E$6:$E$1005,MATCH($D1762,RUNS!$A$6:$A$1005,0))),""))</f>
        <v/>
      </c>
      <c r="M1762" s="33">
        <f>IF($D1762="","",IFERROR(IF(INDEX(RUNS!$F$6:$F$1005,MATCH($D1762,RUNS!$A$6:$A$1005,0))="","",INDEX(RUNS!$F$6:$F$1005,MATCH($D1762,RUNS!$A$6:$A$1005,0))),""))</f>
        <v/>
      </c>
      <c r="N1762" s="33">
        <f>IF($D1762="","",IFERROR(IF(INDEX(RUNS!$G$6:$G$1005,MATCH($D1762,RUNS!$A$6:$A$1005,0))="","",INDEX(RUNS!$G$6:$G$1005,MATCH($D1762,RUNS!$A$6:$A$1005,0))),""))</f>
        <v/>
      </c>
      <c r="O1762" s="33">
        <f>IF($D1762="","",IFERROR(IF(INDEX(RUNS!$H$6:$H$1005,MATCH($D1762,RUNS!$A$6:$A$1005,0))="","",INDEX(RUNS!$H$6:$H$1005,MATCH($D1762,RUNS!$A$6:$A$1005,0))),""))</f>
        <v/>
      </c>
      <c r="P1762" s="33">
        <f>IF($D1762="","",IFERROR(IF(INDEX(RUNS!$J$6:$J$1005,MATCH($D1762,RUNS!$A$6:$A$1005,0))="","",INDEX(RUNS!$J$6:$J$1005,MATCH($D1762,RUNS!$A$6:$A$1005,0))),""))</f>
        <v/>
      </c>
      <c r="Q1762" s="33">
        <f>IF($D1762="","",IFERROR(IF(INDEX(RUNS!$K$6:$K$1005,MATCH($D1762,RUNS!$A$6:$A$1005,0))="","",INDEX(RUNS!$K$6:$K$1005,MATCH($D1762,RUNS!$A$6:$A$1005,0))),""))</f>
        <v/>
      </c>
      <c r="R1762" s="34">
        <f>IF(OR($L1762="",$K1762=""),"",IFERROR(IF(INDEX(PARAMETRES!$H$43:$H$342,MATCH($L1762&amp;"|"&amp;$M1762&amp;"|"&amp;$N1762&amp;"|"&amp;$O1762&amp;"|"&amp;$P1762&amp;"|"&amp;$Q1762&amp;"|"&amp;$K1762,PARAMETRES!$J$43:$J$342,0))="","",INDEX(PARAMETRES!$H$43:$H$342,MATCH($L1762&amp;"|"&amp;$M1762&amp;"|"&amp;$N1762&amp;"|"&amp;$O1762&amp;"|"&amp;$P1762&amp;"|"&amp;$Q1762&amp;"|"&amp;$K1762,PARAMETRES!$J$43:$J$342,0))),""))</f>
        <v/>
      </c>
      <c r="S1762" s="35">
        <f>IF(OR($G1762="",$X1762&lt;&gt;"VALIDE"),"",IFERROR(LOOKUP(2,1/(($B862:$B1761=$B1762)*($G862:$G1761=$G1762)*($X862:$X1761="VALIDE")),$C862:$C1761),""))</f>
        <v/>
      </c>
      <c r="T1762" s="36">
        <f>IF(OR($C1762="",$S1762=""),"",ROUND(($C1762-$S1762+IF($C1762&lt;$S1762,1,0))*1440,0))</f>
        <v/>
      </c>
      <c r="U1762" s="22">
        <f>IF(OR($H1762="",$T1762="",$T1762&lt;=0),"",$H1762*60/$T1762)</f>
        <v/>
      </c>
      <c r="V1762" s="37">
        <f>IF(OR($U1762="",$R1762="",$R1762=0),"",$U1762/$R1762)</f>
        <v/>
      </c>
      <c r="W1762" s="20">
        <f>IF($G1762="","",IF($X1762="CONTEXTE INCOMPLET","CONTEXTE INCOMPLET",IF($X1762="DOUBLON",StatutDoublon,IF($S1762="",StatutInitial,IF($R1762="",StatutStandardManquant,IF($V1762="","DONNEES INSUFFISANTES",IF($V1762&gt;=SeuilConforme,StatutConforme,IF($V1762&gt;=SeuilSurveiller,StatutSurveiller,StatutSousStandard))))))))</f>
        <v/>
      </c>
      <c r="X1762" s="33">
        <f>IF($G1762="","",IF(OR($D1762="",$E1762="",$F1762=""),"CONTEXTE INCOMPLET",IF(COUNTIFS($D862:$D1761,$D1762,$E862:$E1761,$E1762,$F862:$F1761,$F1762,$G862:$G1761,$G1762)&gt;0,"DOUBLON","VALIDE")))</f>
        <v/>
      </c>
    </row>
    <row r="1763" ht="15" customHeight="1">
      <c r="A1763" s="12">
        <f>IF(OR($B1763="",$G1763=""),"",TEXT($B1763,"YYYYMMDD")&amp;"-"&amp;SUBSTITUTE($E1763," ","")&amp;"-"&amp;$F1763&amp;"-"&amp;$G1763)</f>
        <v/>
      </c>
      <c r="B1763" s="15" t="n"/>
      <c r="C1763" s="16" t="n"/>
      <c r="D1763" s="10" t="n"/>
      <c r="E1763" s="9" t="n"/>
      <c r="F1763" s="9" t="n"/>
      <c r="G1763" s="13" t="n"/>
      <c r="H1763" s="21" t="n"/>
      <c r="I1763" s="21" t="n"/>
      <c r="J1763" s="17">
        <f>IF($G1763="","",IFERROR(INDEX(NomsEmployes,MATCH($G1763,MatriculesEmployes,0)),"MATRICULE INCONNU"))</f>
        <v/>
      </c>
      <c r="K1763" s="33">
        <f>IF(OR($D1763="",$F1763=""),"",IFERROR(IF(INDEX(RUNS!$L$6:$S$1005,MATCH($D1763,RUNS!$A$6:$A$1005,0),MATCH("ACTIVITÉ "&amp;$F1763,RUNS!$L$5:$S$5,0))="","",INDEX(RUNS!$L$6:$S$1005,MATCH($D1763,RUNS!$A$6:$A$1005,0),MATCH("ACTIVITÉ "&amp;$F1763,RUNS!$L$5:$S$5,0))),""))</f>
        <v/>
      </c>
      <c r="L1763" s="33">
        <f>IF($D1763="","",IFERROR(IF(INDEX(RUNS!$E$6:$E$1005,MATCH($D1763,RUNS!$A$6:$A$1005,0))="","",INDEX(RUNS!$E$6:$E$1005,MATCH($D1763,RUNS!$A$6:$A$1005,0))),""))</f>
        <v/>
      </c>
      <c r="M1763" s="33">
        <f>IF($D1763="","",IFERROR(IF(INDEX(RUNS!$F$6:$F$1005,MATCH($D1763,RUNS!$A$6:$A$1005,0))="","",INDEX(RUNS!$F$6:$F$1005,MATCH($D1763,RUNS!$A$6:$A$1005,0))),""))</f>
        <v/>
      </c>
      <c r="N1763" s="33">
        <f>IF($D1763="","",IFERROR(IF(INDEX(RUNS!$G$6:$G$1005,MATCH($D1763,RUNS!$A$6:$A$1005,0))="","",INDEX(RUNS!$G$6:$G$1005,MATCH($D1763,RUNS!$A$6:$A$1005,0))),""))</f>
        <v/>
      </c>
      <c r="O1763" s="33">
        <f>IF($D1763="","",IFERROR(IF(INDEX(RUNS!$H$6:$H$1005,MATCH($D1763,RUNS!$A$6:$A$1005,0))="","",INDEX(RUNS!$H$6:$H$1005,MATCH($D1763,RUNS!$A$6:$A$1005,0))),""))</f>
        <v/>
      </c>
      <c r="P1763" s="33">
        <f>IF($D1763="","",IFERROR(IF(INDEX(RUNS!$J$6:$J$1005,MATCH($D1763,RUNS!$A$6:$A$1005,0))="","",INDEX(RUNS!$J$6:$J$1005,MATCH($D1763,RUNS!$A$6:$A$1005,0))),""))</f>
        <v/>
      </c>
      <c r="Q1763" s="33">
        <f>IF($D1763="","",IFERROR(IF(INDEX(RUNS!$K$6:$K$1005,MATCH($D1763,RUNS!$A$6:$A$1005,0))="","",INDEX(RUNS!$K$6:$K$1005,MATCH($D1763,RUNS!$A$6:$A$1005,0))),""))</f>
        <v/>
      </c>
      <c r="R1763" s="34">
        <f>IF(OR($L1763="",$K1763=""),"",IFERROR(IF(INDEX(PARAMETRES!$H$43:$H$342,MATCH($L1763&amp;"|"&amp;$M1763&amp;"|"&amp;$N1763&amp;"|"&amp;$O1763&amp;"|"&amp;$P1763&amp;"|"&amp;$Q1763&amp;"|"&amp;$K1763,PARAMETRES!$J$43:$J$342,0))="","",INDEX(PARAMETRES!$H$43:$H$342,MATCH($L1763&amp;"|"&amp;$M1763&amp;"|"&amp;$N1763&amp;"|"&amp;$O1763&amp;"|"&amp;$P1763&amp;"|"&amp;$Q1763&amp;"|"&amp;$K1763,PARAMETRES!$J$43:$J$342,0))),""))</f>
        <v/>
      </c>
      <c r="S1763" s="35">
        <f>IF(OR($G1763="",$X1763&lt;&gt;"VALIDE"),"",IFERROR(LOOKUP(2,1/(($B863:$B1762=$B1763)*($G863:$G1762=$G1763)*($X863:$X1762="VALIDE")),$C863:$C1762),""))</f>
        <v/>
      </c>
      <c r="T1763" s="36">
        <f>IF(OR($C1763="",$S1763=""),"",ROUND(($C1763-$S1763+IF($C1763&lt;$S1763,1,0))*1440,0))</f>
        <v/>
      </c>
      <c r="U1763" s="22">
        <f>IF(OR($H1763="",$T1763="",$T1763&lt;=0),"",$H1763*60/$T1763)</f>
        <v/>
      </c>
      <c r="V1763" s="37">
        <f>IF(OR($U1763="",$R1763="",$R1763=0),"",$U1763/$R1763)</f>
        <v/>
      </c>
      <c r="W1763" s="20">
        <f>IF($G1763="","",IF($X1763="CONTEXTE INCOMPLET","CONTEXTE INCOMPLET",IF($X1763="DOUBLON",StatutDoublon,IF($S1763="",StatutInitial,IF($R1763="",StatutStandardManquant,IF($V1763="","DONNEES INSUFFISANTES",IF($V1763&gt;=SeuilConforme,StatutConforme,IF($V1763&gt;=SeuilSurveiller,StatutSurveiller,StatutSousStandard))))))))</f>
        <v/>
      </c>
      <c r="X1763" s="33">
        <f>IF($G1763="","",IF(OR($D1763="",$E1763="",$F1763=""),"CONTEXTE INCOMPLET",IF(COUNTIFS($D863:$D1762,$D1763,$E863:$E1762,$E1763,$F863:$F1762,$F1763,$G863:$G1762,$G1763)&gt;0,"DOUBLON","VALIDE")))</f>
        <v/>
      </c>
    </row>
    <row r="1764" ht="15" customHeight="1">
      <c r="A1764" s="12">
        <f>IF(OR($B1764="",$G1764=""),"",TEXT($B1764,"YYYYMMDD")&amp;"-"&amp;SUBSTITUTE($E1764," ","")&amp;"-"&amp;$F1764&amp;"-"&amp;$G1764)</f>
        <v/>
      </c>
      <c r="B1764" s="15" t="n"/>
      <c r="C1764" s="16" t="n"/>
      <c r="D1764" s="10" t="n"/>
      <c r="E1764" s="9" t="n"/>
      <c r="F1764" s="9" t="n"/>
      <c r="G1764" s="13" t="n"/>
      <c r="H1764" s="21" t="n"/>
      <c r="I1764" s="21" t="n"/>
      <c r="J1764" s="17">
        <f>IF($G1764="","",IFERROR(INDEX(NomsEmployes,MATCH($G1764,MatriculesEmployes,0)),"MATRICULE INCONNU"))</f>
        <v/>
      </c>
      <c r="K1764" s="33">
        <f>IF(OR($D1764="",$F1764=""),"",IFERROR(IF(INDEX(RUNS!$L$6:$S$1005,MATCH($D1764,RUNS!$A$6:$A$1005,0),MATCH("ACTIVITÉ "&amp;$F1764,RUNS!$L$5:$S$5,0))="","",INDEX(RUNS!$L$6:$S$1005,MATCH($D1764,RUNS!$A$6:$A$1005,0),MATCH("ACTIVITÉ "&amp;$F1764,RUNS!$L$5:$S$5,0))),""))</f>
        <v/>
      </c>
      <c r="L1764" s="33">
        <f>IF($D1764="","",IFERROR(IF(INDEX(RUNS!$E$6:$E$1005,MATCH($D1764,RUNS!$A$6:$A$1005,0))="","",INDEX(RUNS!$E$6:$E$1005,MATCH($D1764,RUNS!$A$6:$A$1005,0))),""))</f>
        <v/>
      </c>
      <c r="M1764" s="33">
        <f>IF($D1764="","",IFERROR(IF(INDEX(RUNS!$F$6:$F$1005,MATCH($D1764,RUNS!$A$6:$A$1005,0))="","",INDEX(RUNS!$F$6:$F$1005,MATCH($D1764,RUNS!$A$6:$A$1005,0))),""))</f>
        <v/>
      </c>
      <c r="N1764" s="33">
        <f>IF($D1764="","",IFERROR(IF(INDEX(RUNS!$G$6:$G$1005,MATCH($D1764,RUNS!$A$6:$A$1005,0))="","",INDEX(RUNS!$G$6:$G$1005,MATCH($D1764,RUNS!$A$6:$A$1005,0))),""))</f>
        <v/>
      </c>
      <c r="O1764" s="33">
        <f>IF($D1764="","",IFERROR(IF(INDEX(RUNS!$H$6:$H$1005,MATCH($D1764,RUNS!$A$6:$A$1005,0))="","",INDEX(RUNS!$H$6:$H$1005,MATCH($D1764,RUNS!$A$6:$A$1005,0))),""))</f>
        <v/>
      </c>
      <c r="P1764" s="33">
        <f>IF($D1764="","",IFERROR(IF(INDEX(RUNS!$J$6:$J$1005,MATCH($D1764,RUNS!$A$6:$A$1005,0))="","",INDEX(RUNS!$J$6:$J$1005,MATCH($D1764,RUNS!$A$6:$A$1005,0))),""))</f>
        <v/>
      </c>
      <c r="Q1764" s="33">
        <f>IF($D1764="","",IFERROR(IF(INDEX(RUNS!$K$6:$K$1005,MATCH($D1764,RUNS!$A$6:$A$1005,0))="","",INDEX(RUNS!$K$6:$K$1005,MATCH($D1764,RUNS!$A$6:$A$1005,0))),""))</f>
        <v/>
      </c>
      <c r="R1764" s="34">
        <f>IF(OR($L1764="",$K1764=""),"",IFERROR(IF(INDEX(PARAMETRES!$H$43:$H$342,MATCH($L1764&amp;"|"&amp;$M1764&amp;"|"&amp;$N1764&amp;"|"&amp;$O1764&amp;"|"&amp;$P1764&amp;"|"&amp;$Q1764&amp;"|"&amp;$K1764,PARAMETRES!$J$43:$J$342,0))="","",INDEX(PARAMETRES!$H$43:$H$342,MATCH($L1764&amp;"|"&amp;$M1764&amp;"|"&amp;$N1764&amp;"|"&amp;$O1764&amp;"|"&amp;$P1764&amp;"|"&amp;$Q1764&amp;"|"&amp;$K1764,PARAMETRES!$J$43:$J$342,0))),""))</f>
        <v/>
      </c>
      <c r="S1764" s="35">
        <f>IF(OR($G1764="",$X1764&lt;&gt;"VALIDE"),"",IFERROR(LOOKUP(2,1/(($B864:$B1763=$B1764)*($G864:$G1763=$G1764)*($X864:$X1763="VALIDE")),$C864:$C1763),""))</f>
        <v/>
      </c>
      <c r="T1764" s="36">
        <f>IF(OR($C1764="",$S1764=""),"",ROUND(($C1764-$S1764+IF($C1764&lt;$S1764,1,0))*1440,0))</f>
        <v/>
      </c>
      <c r="U1764" s="22">
        <f>IF(OR($H1764="",$T1764="",$T1764&lt;=0),"",$H1764*60/$T1764)</f>
        <v/>
      </c>
      <c r="V1764" s="37">
        <f>IF(OR($U1764="",$R1764="",$R1764=0),"",$U1764/$R1764)</f>
        <v/>
      </c>
      <c r="W1764" s="20">
        <f>IF($G1764="","",IF($X1764="CONTEXTE INCOMPLET","CONTEXTE INCOMPLET",IF($X1764="DOUBLON",StatutDoublon,IF($S1764="",StatutInitial,IF($R1764="",StatutStandardManquant,IF($V1764="","DONNEES INSUFFISANTES",IF($V1764&gt;=SeuilConforme,StatutConforme,IF($V1764&gt;=SeuilSurveiller,StatutSurveiller,StatutSousStandard))))))))</f>
        <v/>
      </c>
      <c r="X1764" s="33">
        <f>IF($G1764="","",IF(OR($D1764="",$E1764="",$F1764=""),"CONTEXTE INCOMPLET",IF(COUNTIFS($D864:$D1763,$D1764,$E864:$E1763,$E1764,$F864:$F1763,$F1764,$G864:$G1763,$G1764)&gt;0,"DOUBLON","VALIDE")))</f>
        <v/>
      </c>
    </row>
    <row r="1765" ht="15" customHeight="1">
      <c r="A1765" s="12">
        <f>IF(OR($B1765="",$G1765=""),"",TEXT($B1765,"YYYYMMDD")&amp;"-"&amp;SUBSTITUTE($E1765," ","")&amp;"-"&amp;$F1765&amp;"-"&amp;$G1765)</f>
        <v/>
      </c>
      <c r="B1765" s="15" t="n"/>
      <c r="C1765" s="16" t="n"/>
      <c r="D1765" s="10" t="n"/>
      <c r="E1765" s="9" t="n"/>
      <c r="F1765" s="9" t="n"/>
      <c r="G1765" s="13" t="n"/>
      <c r="H1765" s="21" t="n"/>
      <c r="I1765" s="21" t="n"/>
      <c r="J1765" s="17">
        <f>IF($G1765="","",IFERROR(INDEX(NomsEmployes,MATCH($G1765,MatriculesEmployes,0)),"MATRICULE INCONNU"))</f>
        <v/>
      </c>
      <c r="K1765" s="33">
        <f>IF(OR($D1765="",$F1765=""),"",IFERROR(IF(INDEX(RUNS!$L$6:$S$1005,MATCH($D1765,RUNS!$A$6:$A$1005,0),MATCH("ACTIVITÉ "&amp;$F1765,RUNS!$L$5:$S$5,0))="","",INDEX(RUNS!$L$6:$S$1005,MATCH($D1765,RUNS!$A$6:$A$1005,0),MATCH("ACTIVITÉ "&amp;$F1765,RUNS!$L$5:$S$5,0))),""))</f>
        <v/>
      </c>
      <c r="L1765" s="33">
        <f>IF($D1765="","",IFERROR(IF(INDEX(RUNS!$E$6:$E$1005,MATCH($D1765,RUNS!$A$6:$A$1005,0))="","",INDEX(RUNS!$E$6:$E$1005,MATCH($D1765,RUNS!$A$6:$A$1005,0))),""))</f>
        <v/>
      </c>
      <c r="M1765" s="33">
        <f>IF($D1765="","",IFERROR(IF(INDEX(RUNS!$F$6:$F$1005,MATCH($D1765,RUNS!$A$6:$A$1005,0))="","",INDEX(RUNS!$F$6:$F$1005,MATCH($D1765,RUNS!$A$6:$A$1005,0))),""))</f>
        <v/>
      </c>
      <c r="N1765" s="33">
        <f>IF($D1765="","",IFERROR(IF(INDEX(RUNS!$G$6:$G$1005,MATCH($D1765,RUNS!$A$6:$A$1005,0))="","",INDEX(RUNS!$G$6:$G$1005,MATCH($D1765,RUNS!$A$6:$A$1005,0))),""))</f>
        <v/>
      </c>
      <c r="O1765" s="33">
        <f>IF($D1765="","",IFERROR(IF(INDEX(RUNS!$H$6:$H$1005,MATCH($D1765,RUNS!$A$6:$A$1005,0))="","",INDEX(RUNS!$H$6:$H$1005,MATCH($D1765,RUNS!$A$6:$A$1005,0))),""))</f>
        <v/>
      </c>
      <c r="P1765" s="33">
        <f>IF($D1765="","",IFERROR(IF(INDEX(RUNS!$J$6:$J$1005,MATCH($D1765,RUNS!$A$6:$A$1005,0))="","",INDEX(RUNS!$J$6:$J$1005,MATCH($D1765,RUNS!$A$6:$A$1005,0))),""))</f>
        <v/>
      </c>
      <c r="Q1765" s="33">
        <f>IF($D1765="","",IFERROR(IF(INDEX(RUNS!$K$6:$K$1005,MATCH($D1765,RUNS!$A$6:$A$1005,0))="","",INDEX(RUNS!$K$6:$K$1005,MATCH($D1765,RUNS!$A$6:$A$1005,0))),""))</f>
        <v/>
      </c>
      <c r="R1765" s="34">
        <f>IF(OR($L1765="",$K1765=""),"",IFERROR(IF(INDEX(PARAMETRES!$H$43:$H$342,MATCH($L1765&amp;"|"&amp;$M1765&amp;"|"&amp;$N1765&amp;"|"&amp;$O1765&amp;"|"&amp;$P1765&amp;"|"&amp;$Q1765&amp;"|"&amp;$K1765,PARAMETRES!$J$43:$J$342,0))="","",INDEX(PARAMETRES!$H$43:$H$342,MATCH($L1765&amp;"|"&amp;$M1765&amp;"|"&amp;$N1765&amp;"|"&amp;$O1765&amp;"|"&amp;$P1765&amp;"|"&amp;$Q1765&amp;"|"&amp;$K1765,PARAMETRES!$J$43:$J$342,0))),""))</f>
        <v/>
      </c>
      <c r="S1765" s="35">
        <f>IF(OR($G1765="",$X1765&lt;&gt;"VALIDE"),"",IFERROR(LOOKUP(2,1/(($B865:$B1764=$B1765)*($G865:$G1764=$G1765)*($X865:$X1764="VALIDE")),$C865:$C1764),""))</f>
        <v/>
      </c>
      <c r="T1765" s="36">
        <f>IF(OR($C1765="",$S1765=""),"",ROUND(($C1765-$S1765+IF($C1765&lt;$S1765,1,0))*1440,0))</f>
        <v/>
      </c>
      <c r="U1765" s="22">
        <f>IF(OR($H1765="",$T1765="",$T1765&lt;=0),"",$H1765*60/$T1765)</f>
        <v/>
      </c>
      <c r="V1765" s="37">
        <f>IF(OR($U1765="",$R1765="",$R1765=0),"",$U1765/$R1765)</f>
        <v/>
      </c>
      <c r="W1765" s="20">
        <f>IF($G1765="","",IF($X1765="CONTEXTE INCOMPLET","CONTEXTE INCOMPLET",IF($X1765="DOUBLON",StatutDoublon,IF($S1765="",StatutInitial,IF($R1765="",StatutStandardManquant,IF($V1765="","DONNEES INSUFFISANTES",IF($V1765&gt;=SeuilConforme,StatutConforme,IF($V1765&gt;=SeuilSurveiller,StatutSurveiller,StatutSousStandard))))))))</f>
        <v/>
      </c>
      <c r="X1765" s="33">
        <f>IF($G1765="","",IF(OR($D1765="",$E1765="",$F1765=""),"CONTEXTE INCOMPLET",IF(COUNTIFS($D865:$D1764,$D1765,$E865:$E1764,$E1765,$F865:$F1764,$F1765,$G865:$G1764,$G1765)&gt;0,"DOUBLON","VALIDE")))</f>
        <v/>
      </c>
    </row>
    <row r="1766" ht="15" customHeight="1">
      <c r="A1766" s="12">
        <f>IF(OR($B1766="",$G1766=""),"",TEXT($B1766,"YYYYMMDD")&amp;"-"&amp;SUBSTITUTE($E1766," ","")&amp;"-"&amp;$F1766&amp;"-"&amp;$G1766)</f>
        <v/>
      </c>
      <c r="B1766" s="15" t="n"/>
      <c r="C1766" s="16" t="n"/>
      <c r="D1766" s="10" t="n"/>
      <c r="E1766" s="9" t="n"/>
      <c r="F1766" s="9" t="n"/>
      <c r="G1766" s="13" t="n"/>
      <c r="H1766" s="21" t="n"/>
      <c r="I1766" s="21" t="n"/>
      <c r="J1766" s="17">
        <f>IF($G1766="","",IFERROR(INDEX(NomsEmployes,MATCH($G1766,MatriculesEmployes,0)),"MATRICULE INCONNU"))</f>
        <v/>
      </c>
      <c r="K1766" s="33">
        <f>IF(OR($D1766="",$F1766=""),"",IFERROR(IF(INDEX(RUNS!$L$6:$S$1005,MATCH($D1766,RUNS!$A$6:$A$1005,0),MATCH("ACTIVITÉ "&amp;$F1766,RUNS!$L$5:$S$5,0))="","",INDEX(RUNS!$L$6:$S$1005,MATCH($D1766,RUNS!$A$6:$A$1005,0),MATCH("ACTIVITÉ "&amp;$F1766,RUNS!$L$5:$S$5,0))),""))</f>
        <v/>
      </c>
      <c r="L1766" s="33">
        <f>IF($D1766="","",IFERROR(IF(INDEX(RUNS!$E$6:$E$1005,MATCH($D1766,RUNS!$A$6:$A$1005,0))="","",INDEX(RUNS!$E$6:$E$1005,MATCH($D1766,RUNS!$A$6:$A$1005,0))),""))</f>
        <v/>
      </c>
      <c r="M1766" s="33">
        <f>IF($D1766="","",IFERROR(IF(INDEX(RUNS!$F$6:$F$1005,MATCH($D1766,RUNS!$A$6:$A$1005,0))="","",INDEX(RUNS!$F$6:$F$1005,MATCH($D1766,RUNS!$A$6:$A$1005,0))),""))</f>
        <v/>
      </c>
      <c r="N1766" s="33">
        <f>IF($D1766="","",IFERROR(IF(INDEX(RUNS!$G$6:$G$1005,MATCH($D1766,RUNS!$A$6:$A$1005,0))="","",INDEX(RUNS!$G$6:$G$1005,MATCH($D1766,RUNS!$A$6:$A$1005,0))),""))</f>
        <v/>
      </c>
      <c r="O1766" s="33">
        <f>IF($D1766="","",IFERROR(IF(INDEX(RUNS!$H$6:$H$1005,MATCH($D1766,RUNS!$A$6:$A$1005,0))="","",INDEX(RUNS!$H$6:$H$1005,MATCH($D1766,RUNS!$A$6:$A$1005,0))),""))</f>
        <v/>
      </c>
      <c r="P1766" s="33">
        <f>IF($D1766="","",IFERROR(IF(INDEX(RUNS!$J$6:$J$1005,MATCH($D1766,RUNS!$A$6:$A$1005,0))="","",INDEX(RUNS!$J$6:$J$1005,MATCH($D1766,RUNS!$A$6:$A$1005,0))),""))</f>
        <v/>
      </c>
      <c r="Q1766" s="33">
        <f>IF($D1766="","",IFERROR(IF(INDEX(RUNS!$K$6:$K$1005,MATCH($D1766,RUNS!$A$6:$A$1005,0))="","",INDEX(RUNS!$K$6:$K$1005,MATCH($D1766,RUNS!$A$6:$A$1005,0))),""))</f>
        <v/>
      </c>
      <c r="R1766" s="34">
        <f>IF(OR($L1766="",$K1766=""),"",IFERROR(IF(INDEX(PARAMETRES!$H$43:$H$342,MATCH($L1766&amp;"|"&amp;$M1766&amp;"|"&amp;$N1766&amp;"|"&amp;$O1766&amp;"|"&amp;$P1766&amp;"|"&amp;$Q1766&amp;"|"&amp;$K1766,PARAMETRES!$J$43:$J$342,0))="","",INDEX(PARAMETRES!$H$43:$H$342,MATCH($L1766&amp;"|"&amp;$M1766&amp;"|"&amp;$N1766&amp;"|"&amp;$O1766&amp;"|"&amp;$P1766&amp;"|"&amp;$Q1766&amp;"|"&amp;$K1766,PARAMETRES!$J$43:$J$342,0))),""))</f>
        <v/>
      </c>
      <c r="S1766" s="35">
        <f>IF(OR($G1766="",$X1766&lt;&gt;"VALIDE"),"",IFERROR(LOOKUP(2,1/(($B866:$B1765=$B1766)*($G866:$G1765=$G1766)*($X866:$X1765="VALIDE")),$C866:$C1765),""))</f>
        <v/>
      </c>
      <c r="T1766" s="36">
        <f>IF(OR($C1766="",$S1766=""),"",ROUND(($C1766-$S1766+IF($C1766&lt;$S1766,1,0))*1440,0))</f>
        <v/>
      </c>
      <c r="U1766" s="22">
        <f>IF(OR($H1766="",$T1766="",$T1766&lt;=0),"",$H1766*60/$T1766)</f>
        <v/>
      </c>
      <c r="V1766" s="37">
        <f>IF(OR($U1766="",$R1766="",$R1766=0),"",$U1766/$R1766)</f>
        <v/>
      </c>
      <c r="W1766" s="20">
        <f>IF($G1766="","",IF($X1766="CONTEXTE INCOMPLET","CONTEXTE INCOMPLET",IF($X1766="DOUBLON",StatutDoublon,IF($S1766="",StatutInitial,IF($R1766="",StatutStandardManquant,IF($V1766="","DONNEES INSUFFISANTES",IF($V1766&gt;=SeuilConforme,StatutConforme,IF($V1766&gt;=SeuilSurveiller,StatutSurveiller,StatutSousStandard))))))))</f>
        <v/>
      </c>
      <c r="X1766" s="33">
        <f>IF($G1766="","",IF(OR($D1766="",$E1766="",$F1766=""),"CONTEXTE INCOMPLET",IF(COUNTIFS($D866:$D1765,$D1766,$E866:$E1765,$E1766,$F866:$F1765,$F1766,$G866:$G1765,$G1766)&gt;0,"DOUBLON","VALIDE")))</f>
        <v/>
      </c>
    </row>
    <row r="1767" ht="15" customHeight="1">
      <c r="A1767" s="12">
        <f>IF(OR($B1767="",$G1767=""),"",TEXT($B1767,"YYYYMMDD")&amp;"-"&amp;SUBSTITUTE($E1767," ","")&amp;"-"&amp;$F1767&amp;"-"&amp;$G1767)</f>
        <v/>
      </c>
      <c r="B1767" s="15" t="n"/>
      <c r="C1767" s="16" t="n"/>
      <c r="D1767" s="10" t="n"/>
      <c r="E1767" s="9" t="n"/>
      <c r="F1767" s="9" t="n"/>
      <c r="G1767" s="13" t="n"/>
      <c r="H1767" s="21" t="n"/>
      <c r="I1767" s="21" t="n"/>
      <c r="J1767" s="17">
        <f>IF($G1767="","",IFERROR(INDEX(NomsEmployes,MATCH($G1767,MatriculesEmployes,0)),"MATRICULE INCONNU"))</f>
        <v/>
      </c>
      <c r="K1767" s="33">
        <f>IF(OR($D1767="",$F1767=""),"",IFERROR(IF(INDEX(RUNS!$L$6:$S$1005,MATCH($D1767,RUNS!$A$6:$A$1005,0),MATCH("ACTIVITÉ "&amp;$F1767,RUNS!$L$5:$S$5,0))="","",INDEX(RUNS!$L$6:$S$1005,MATCH($D1767,RUNS!$A$6:$A$1005,0),MATCH("ACTIVITÉ "&amp;$F1767,RUNS!$L$5:$S$5,0))),""))</f>
        <v/>
      </c>
      <c r="L1767" s="33">
        <f>IF($D1767="","",IFERROR(IF(INDEX(RUNS!$E$6:$E$1005,MATCH($D1767,RUNS!$A$6:$A$1005,0))="","",INDEX(RUNS!$E$6:$E$1005,MATCH($D1767,RUNS!$A$6:$A$1005,0))),""))</f>
        <v/>
      </c>
      <c r="M1767" s="33">
        <f>IF($D1767="","",IFERROR(IF(INDEX(RUNS!$F$6:$F$1005,MATCH($D1767,RUNS!$A$6:$A$1005,0))="","",INDEX(RUNS!$F$6:$F$1005,MATCH($D1767,RUNS!$A$6:$A$1005,0))),""))</f>
        <v/>
      </c>
      <c r="N1767" s="33">
        <f>IF($D1767="","",IFERROR(IF(INDEX(RUNS!$G$6:$G$1005,MATCH($D1767,RUNS!$A$6:$A$1005,0))="","",INDEX(RUNS!$G$6:$G$1005,MATCH($D1767,RUNS!$A$6:$A$1005,0))),""))</f>
        <v/>
      </c>
      <c r="O1767" s="33">
        <f>IF($D1767="","",IFERROR(IF(INDEX(RUNS!$H$6:$H$1005,MATCH($D1767,RUNS!$A$6:$A$1005,0))="","",INDEX(RUNS!$H$6:$H$1005,MATCH($D1767,RUNS!$A$6:$A$1005,0))),""))</f>
        <v/>
      </c>
      <c r="P1767" s="33">
        <f>IF($D1767="","",IFERROR(IF(INDEX(RUNS!$J$6:$J$1005,MATCH($D1767,RUNS!$A$6:$A$1005,0))="","",INDEX(RUNS!$J$6:$J$1005,MATCH($D1767,RUNS!$A$6:$A$1005,0))),""))</f>
        <v/>
      </c>
      <c r="Q1767" s="33">
        <f>IF($D1767="","",IFERROR(IF(INDEX(RUNS!$K$6:$K$1005,MATCH($D1767,RUNS!$A$6:$A$1005,0))="","",INDEX(RUNS!$K$6:$K$1005,MATCH($D1767,RUNS!$A$6:$A$1005,0))),""))</f>
        <v/>
      </c>
      <c r="R1767" s="34">
        <f>IF(OR($L1767="",$K1767=""),"",IFERROR(IF(INDEX(PARAMETRES!$H$43:$H$342,MATCH($L1767&amp;"|"&amp;$M1767&amp;"|"&amp;$N1767&amp;"|"&amp;$O1767&amp;"|"&amp;$P1767&amp;"|"&amp;$Q1767&amp;"|"&amp;$K1767,PARAMETRES!$J$43:$J$342,0))="","",INDEX(PARAMETRES!$H$43:$H$342,MATCH($L1767&amp;"|"&amp;$M1767&amp;"|"&amp;$N1767&amp;"|"&amp;$O1767&amp;"|"&amp;$P1767&amp;"|"&amp;$Q1767&amp;"|"&amp;$K1767,PARAMETRES!$J$43:$J$342,0))),""))</f>
        <v/>
      </c>
      <c r="S1767" s="35">
        <f>IF(OR($G1767="",$X1767&lt;&gt;"VALIDE"),"",IFERROR(LOOKUP(2,1/(($B867:$B1766=$B1767)*($G867:$G1766=$G1767)*($X867:$X1766="VALIDE")),$C867:$C1766),""))</f>
        <v/>
      </c>
      <c r="T1767" s="36">
        <f>IF(OR($C1767="",$S1767=""),"",ROUND(($C1767-$S1767+IF($C1767&lt;$S1767,1,0))*1440,0))</f>
        <v/>
      </c>
      <c r="U1767" s="22">
        <f>IF(OR($H1767="",$T1767="",$T1767&lt;=0),"",$H1767*60/$T1767)</f>
        <v/>
      </c>
      <c r="V1767" s="37">
        <f>IF(OR($U1767="",$R1767="",$R1767=0),"",$U1767/$R1767)</f>
        <v/>
      </c>
      <c r="W1767" s="20">
        <f>IF($G1767="","",IF($X1767="CONTEXTE INCOMPLET","CONTEXTE INCOMPLET",IF($X1767="DOUBLON",StatutDoublon,IF($S1767="",StatutInitial,IF($R1767="",StatutStandardManquant,IF($V1767="","DONNEES INSUFFISANTES",IF($V1767&gt;=SeuilConforme,StatutConforme,IF($V1767&gt;=SeuilSurveiller,StatutSurveiller,StatutSousStandard))))))))</f>
        <v/>
      </c>
      <c r="X1767" s="33">
        <f>IF($G1767="","",IF(OR($D1767="",$E1767="",$F1767=""),"CONTEXTE INCOMPLET",IF(COUNTIFS($D867:$D1766,$D1767,$E867:$E1766,$E1767,$F867:$F1766,$F1767,$G867:$G1766,$G1767)&gt;0,"DOUBLON","VALIDE")))</f>
        <v/>
      </c>
    </row>
    <row r="1768" ht="15" customHeight="1">
      <c r="A1768" s="12">
        <f>IF(OR($B1768="",$G1768=""),"",TEXT($B1768,"YYYYMMDD")&amp;"-"&amp;SUBSTITUTE($E1768," ","")&amp;"-"&amp;$F1768&amp;"-"&amp;$G1768)</f>
        <v/>
      </c>
      <c r="B1768" s="15" t="n"/>
      <c r="C1768" s="16" t="n"/>
      <c r="D1768" s="10" t="n"/>
      <c r="E1768" s="9" t="n"/>
      <c r="F1768" s="9" t="n"/>
      <c r="G1768" s="13" t="n"/>
      <c r="H1768" s="21" t="n"/>
      <c r="I1768" s="21" t="n"/>
      <c r="J1768" s="17">
        <f>IF($G1768="","",IFERROR(INDEX(NomsEmployes,MATCH($G1768,MatriculesEmployes,0)),"MATRICULE INCONNU"))</f>
        <v/>
      </c>
      <c r="K1768" s="33">
        <f>IF(OR($D1768="",$F1768=""),"",IFERROR(IF(INDEX(RUNS!$L$6:$S$1005,MATCH($D1768,RUNS!$A$6:$A$1005,0),MATCH("ACTIVITÉ "&amp;$F1768,RUNS!$L$5:$S$5,0))="","",INDEX(RUNS!$L$6:$S$1005,MATCH($D1768,RUNS!$A$6:$A$1005,0),MATCH("ACTIVITÉ "&amp;$F1768,RUNS!$L$5:$S$5,0))),""))</f>
        <v/>
      </c>
      <c r="L1768" s="33">
        <f>IF($D1768="","",IFERROR(IF(INDEX(RUNS!$E$6:$E$1005,MATCH($D1768,RUNS!$A$6:$A$1005,0))="","",INDEX(RUNS!$E$6:$E$1005,MATCH($D1768,RUNS!$A$6:$A$1005,0))),""))</f>
        <v/>
      </c>
      <c r="M1768" s="33">
        <f>IF($D1768="","",IFERROR(IF(INDEX(RUNS!$F$6:$F$1005,MATCH($D1768,RUNS!$A$6:$A$1005,0))="","",INDEX(RUNS!$F$6:$F$1005,MATCH($D1768,RUNS!$A$6:$A$1005,0))),""))</f>
        <v/>
      </c>
      <c r="N1768" s="33">
        <f>IF($D1768="","",IFERROR(IF(INDEX(RUNS!$G$6:$G$1005,MATCH($D1768,RUNS!$A$6:$A$1005,0))="","",INDEX(RUNS!$G$6:$G$1005,MATCH($D1768,RUNS!$A$6:$A$1005,0))),""))</f>
        <v/>
      </c>
      <c r="O1768" s="33">
        <f>IF($D1768="","",IFERROR(IF(INDEX(RUNS!$H$6:$H$1005,MATCH($D1768,RUNS!$A$6:$A$1005,0))="","",INDEX(RUNS!$H$6:$H$1005,MATCH($D1768,RUNS!$A$6:$A$1005,0))),""))</f>
        <v/>
      </c>
      <c r="P1768" s="33">
        <f>IF($D1768="","",IFERROR(IF(INDEX(RUNS!$J$6:$J$1005,MATCH($D1768,RUNS!$A$6:$A$1005,0))="","",INDEX(RUNS!$J$6:$J$1005,MATCH($D1768,RUNS!$A$6:$A$1005,0))),""))</f>
        <v/>
      </c>
      <c r="Q1768" s="33">
        <f>IF($D1768="","",IFERROR(IF(INDEX(RUNS!$K$6:$K$1005,MATCH($D1768,RUNS!$A$6:$A$1005,0))="","",INDEX(RUNS!$K$6:$K$1005,MATCH($D1768,RUNS!$A$6:$A$1005,0))),""))</f>
        <v/>
      </c>
      <c r="R1768" s="34">
        <f>IF(OR($L1768="",$K1768=""),"",IFERROR(IF(INDEX(PARAMETRES!$H$43:$H$342,MATCH($L1768&amp;"|"&amp;$M1768&amp;"|"&amp;$N1768&amp;"|"&amp;$O1768&amp;"|"&amp;$P1768&amp;"|"&amp;$Q1768&amp;"|"&amp;$K1768,PARAMETRES!$J$43:$J$342,0))="","",INDEX(PARAMETRES!$H$43:$H$342,MATCH($L1768&amp;"|"&amp;$M1768&amp;"|"&amp;$N1768&amp;"|"&amp;$O1768&amp;"|"&amp;$P1768&amp;"|"&amp;$Q1768&amp;"|"&amp;$K1768,PARAMETRES!$J$43:$J$342,0))),""))</f>
        <v/>
      </c>
      <c r="S1768" s="35">
        <f>IF(OR($G1768="",$X1768&lt;&gt;"VALIDE"),"",IFERROR(LOOKUP(2,1/(($B868:$B1767=$B1768)*($G868:$G1767=$G1768)*($X868:$X1767="VALIDE")),$C868:$C1767),""))</f>
        <v/>
      </c>
      <c r="T1768" s="36">
        <f>IF(OR($C1768="",$S1768=""),"",ROUND(($C1768-$S1768+IF($C1768&lt;$S1768,1,0))*1440,0))</f>
        <v/>
      </c>
      <c r="U1768" s="22">
        <f>IF(OR($H1768="",$T1768="",$T1768&lt;=0),"",$H1768*60/$T1768)</f>
        <v/>
      </c>
      <c r="V1768" s="37">
        <f>IF(OR($U1768="",$R1768="",$R1768=0),"",$U1768/$R1768)</f>
        <v/>
      </c>
      <c r="W1768" s="20">
        <f>IF($G1768="","",IF($X1768="CONTEXTE INCOMPLET","CONTEXTE INCOMPLET",IF($X1768="DOUBLON",StatutDoublon,IF($S1768="",StatutInitial,IF($R1768="",StatutStandardManquant,IF($V1768="","DONNEES INSUFFISANTES",IF($V1768&gt;=SeuilConforme,StatutConforme,IF($V1768&gt;=SeuilSurveiller,StatutSurveiller,StatutSousStandard))))))))</f>
        <v/>
      </c>
      <c r="X1768" s="33">
        <f>IF($G1768="","",IF(OR($D1768="",$E1768="",$F1768=""),"CONTEXTE INCOMPLET",IF(COUNTIFS($D868:$D1767,$D1768,$E868:$E1767,$E1768,$F868:$F1767,$F1768,$G868:$G1767,$G1768)&gt;0,"DOUBLON","VALIDE")))</f>
        <v/>
      </c>
    </row>
    <row r="1769" ht="15" customHeight="1">
      <c r="A1769" s="12">
        <f>IF(OR($B1769="",$G1769=""),"",TEXT($B1769,"YYYYMMDD")&amp;"-"&amp;SUBSTITUTE($E1769," ","")&amp;"-"&amp;$F1769&amp;"-"&amp;$G1769)</f>
        <v/>
      </c>
      <c r="B1769" s="15" t="n"/>
      <c r="C1769" s="16" t="n"/>
      <c r="D1769" s="10" t="n"/>
      <c r="E1769" s="9" t="n"/>
      <c r="F1769" s="9" t="n"/>
      <c r="G1769" s="13" t="n"/>
      <c r="H1769" s="21" t="n"/>
      <c r="I1769" s="21" t="n"/>
      <c r="J1769" s="17">
        <f>IF($G1769="","",IFERROR(INDEX(NomsEmployes,MATCH($G1769,MatriculesEmployes,0)),"MATRICULE INCONNU"))</f>
        <v/>
      </c>
      <c r="K1769" s="33">
        <f>IF(OR($D1769="",$F1769=""),"",IFERROR(IF(INDEX(RUNS!$L$6:$S$1005,MATCH($D1769,RUNS!$A$6:$A$1005,0),MATCH("ACTIVITÉ "&amp;$F1769,RUNS!$L$5:$S$5,0))="","",INDEX(RUNS!$L$6:$S$1005,MATCH($D1769,RUNS!$A$6:$A$1005,0),MATCH("ACTIVITÉ "&amp;$F1769,RUNS!$L$5:$S$5,0))),""))</f>
        <v/>
      </c>
      <c r="L1769" s="33">
        <f>IF($D1769="","",IFERROR(IF(INDEX(RUNS!$E$6:$E$1005,MATCH($D1769,RUNS!$A$6:$A$1005,0))="","",INDEX(RUNS!$E$6:$E$1005,MATCH($D1769,RUNS!$A$6:$A$1005,0))),""))</f>
        <v/>
      </c>
      <c r="M1769" s="33">
        <f>IF($D1769="","",IFERROR(IF(INDEX(RUNS!$F$6:$F$1005,MATCH($D1769,RUNS!$A$6:$A$1005,0))="","",INDEX(RUNS!$F$6:$F$1005,MATCH($D1769,RUNS!$A$6:$A$1005,0))),""))</f>
        <v/>
      </c>
      <c r="N1769" s="33">
        <f>IF($D1769="","",IFERROR(IF(INDEX(RUNS!$G$6:$G$1005,MATCH($D1769,RUNS!$A$6:$A$1005,0))="","",INDEX(RUNS!$G$6:$G$1005,MATCH($D1769,RUNS!$A$6:$A$1005,0))),""))</f>
        <v/>
      </c>
      <c r="O1769" s="33">
        <f>IF($D1769="","",IFERROR(IF(INDEX(RUNS!$H$6:$H$1005,MATCH($D1769,RUNS!$A$6:$A$1005,0))="","",INDEX(RUNS!$H$6:$H$1005,MATCH($D1769,RUNS!$A$6:$A$1005,0))),""))</f>
        <v/>
      </c>
      <c r="P1769" s="33">
        <f>IF($D1769="","",IFERROR(IF(INDEX(RUNS!$J$6:$J$1005,MATCH($D1769,RUNS!$A$6:$A$1005,0))="","",INDEX(RUNS!$J$6:$J$1005,MATCH($D1769,RUNS!$A$6:$A$1005,0))),""))</f>
        <v/>
      </c>
      <c r="Q1769" s="33">
        <f>IF($D1769="","",IFERROR(IF(INDEX(RUNS!$K$6:$K$1005,MATCH($D1769,RUNS!$A$6:$A$1005,0))="","",INDEX(RUNS!$K$6:$K$1005,MATCH($D1769,RUNS!$A$6:$A$1005,0))),""))</f>
        <v/>
      </c>
      <c r="R1769" s="34">
        <f>IF(OR($L1769="",$K1769=""),"",IFERROR(IF(INDEX(PARAMETRES!$H$43:$H$342,MATCH($L1769&amp;"|"&amp;$M1769&amp;"|"&amp;$N1769&amp;"|"&amp;$O1769&amp;"|"&amp;$P1769&amp;"|"&amp;$Q1769&amp;"|"&amp;$K1769,PARAMETRES!$J$43:$J$342,0))="","",INDEX(PARAMETRES!$H$43:$H$342,MATCH($L1769&amp;"|"&amp;$M1769&amp;"|"&amp;$N1769&amp;"|"&amp;$O1769&amp;"|"&amp;$P1769&amp;"|"&amp;$Q1769&amp;"|"&amp;$K1769,PARAMETRES!$J$43:$J$342,0))),""))</f>
        <v/>
      </c>
      <c r="S1769" s="35">
        <f>IF(OR($G1769="",$X1769&lt;&gt;"VALIDE"),"",IFERROR(LOOKUP(2,1/(($B869:$B1768=$B1769)*($G869:$G1768=$G1769)*($X869:$X1768="VALIDE")),$C869:$C1768),""))</f>
        <v/>
      </c>
      <c r="T1769" s="36">
        <f>IF(OR($C1769="",$S1769=""),"",ROUND(($C1769-$S1769+IF($C1769&lt;$S1769,1,0))*1440,0))</f>
        <v/>
      </c>
      <c r="U1769" s="22">
        <f>IF(OR($H1769="",$T1769="",$T1769&lt;=0),"",$H1769*60/$T1769)</f>
        <v/>
      </c>
      <c r="V1769" s="37">
        <f>IF(OR($U1769="",$R1769="",$R1769=0),"",$U1769/$R1769)</f>
        <v/>
      </c>
      <c r="W1769" s="20">
        <f>IF($G1769="","",IF($X1769="CONTEXTE INCOMPLET","CONTEXTE INCOMPLET",IF($X1769="DOUBLON",StatutDoublon,IF($S1769="",StatutInitial,IF($R1769="",StatutStandardManquant,IF($V1769="","DONNEES INSUFFISANTES",IF($V1769&gt;=SeuilConforme,StatutConforme,IF($V1769&gt;=SeuilSurveiller,StatutSurveiller,StatutSousStandard))))))))</f>
        <v/>
      </c>
      <c r="X1769" s="33">
        <f>IF($G1769="","",IF(OR($D1769="",$E1769="",$F1769=""),"CONTEXTE INCOMPLET",IF(COUNTIFS($D869:$D1768,$D1769,$E869:$E1768,$E1769,$F869:$F1768,$F1769,$G869:$G1768,$G1769)&gt;0,"DOUBLON","VALIDE")))</f>
        <v/>
      </c>
    </row>
    <row r="1770" ht="15" customHeight="1">
      <c r="A1770" s="12">
        <f>IF(OR($B1770="",$G1770=""),"",TEXT($B1770,"YYYYMMDD")&amp;"-"&amp;SUBSTITUTE($E1770," ","")&amp;"-"&amp;$F1770&amp;"-"&amp;$G1770)</f>
        <v/>
      </c>
      <c r="B1770" s="15" t="n"/>
      <c r="C1770" s="16" t="n"/>
      <c r="D1770" s="10" t="n"/>
      <c r="E1770" s="9" t="n"/>
      <c r="F1770" s="9" t="n"/>
      <c r="G1770" s="13" t="n"/>
      <c r="H1770" s="21" t="n"/>
      <c r="I1770" s="21" t="n"/>
      <c r="J1770" s="17">
        <f>IF($G1770="","",IFERROR(INDEX(NomsEmployes,MATCH($G1770,MatriculesEmployes,0)),"MATRICULE INCONNU"))</f>
        <v/>
      </c>
      <c r="K1770" s="33">
        <f>IF(OR($D1770="",$F1770=""),"",IFERROR(IF(INDEX(RUNS!$L$6:$S$1005,MATCH($D1770,RUNS!$A$6:$A$1005,0),MATCH("ACTIVITÉ "&amp;$F1770,RUNS!$L$5:$S$5,0))="","",INDEX(RUNS!$L$6:$S$1005,MATCH($D1770,RUNS!$A$6:$A$1005,0),MATCH("ACTIVITÉ "&amp;$F1770,RUNS!$L$5:$S$5,0))),""))</f>
        <v/>
      </c>
      <c r="L1770" s="33">
        <f>IF($D1770="","",IFERROR(IF(INDEX(RUNS!$E$6:$E$1005,MATCH($D1770,RUNS!$A$6:$A$1005,0))="","",INDEX(RUNS!$E$6:$E$1005,MATCH($D1770,RUNS!$A$6:$A$1005,0))),""))</f>
        <v/>
      </c>
      <c r="M1770" s="33">
        <f>IF($D1770="","",IFERROR(IF(INDEX(RUNS!$F$6:$F$1005,MATCH($D1770,RUNS!$A$6:$A$1005,0))="","",INDEX(RUNS!$F$6:$F$1005,MATCH($D1770,RUNS!$A$6:$A$1005,0))),""))</f>
        <v/>
      </c>
      <c r="N1770" s="33">
        <f>IF($D1770="","",IFERROR(IF(INDEX(RUNS!$G$6:$G$1005,MATCH($D1770,RUNS!$A$6:$A$1005,0))="","",INDEX(RUNS!$G$6:$G$1005,MATCH($D1770,RUNS!$A$6:$A$1005,0))),""))</f>
        <v/>
      </c>
      <c r="O1770" s="33">
        <f>IF($D1770="","",IFERROR(IF(INDEX(RUNS!$H$6:$H$1005,MATCH($D1770,RUNS!$A$6:$A$1005,0))="","",INDEX(RUNS!$H$6:$H$1005,MATCH($D1770,RUNS!$A$6:$A$1005,0))),""))</f>
        <v/>
      </c>
      <c r="P1770" s="33">
        <f>IF($D1770="","",IFERROR(IF(INDEX(RUNS!$J$6:$J$1005,MATCH($D1770,RUNS!$A$6:$A$1005,0))="","",INDEX(RUNS!$J$6:$J$1005,MATCH($D1770,RUNS!$A$6:$A$1005,0))),""))</f>
        <v/>
      </c>
      <c r="Q1770" s="33">
        <f>IF($D1770="","",IFERROR(IF(INDEX(RUNS!$K$6:$K$1005,MATCH($D1770,RUNS!$A$6:$A$1005,0))="","",INDEX(RUNS!$K$6:$K$1005,MATCH($D1770,RUNS!$A$6:$A$1005,0))),""))</f>
        <v/>
      </c>
      <c r="R1770" s="34">
        <f>IF(OR($L1770="",$K1770=""),"",IFERROR(IF(INDEX(PARAMETRES!$H$43:$H$342,MATCH($L1770&amp;"|"&amp;$M1770&amp;"|"&amp;$N1770&amp;"|"&amp;$O1770&amp;"|"&amp;$P1770&amp;"|"&amp;$Q1770&amp;"|"&amp;$K1770,PARAMETRES!$J$43:$J$342,0))="","",INDEX(PARAMETRES!$H$43:$H$342,MATCH($L1770&amp;"|"&amp;$M1770&amp;"|"&amp;$N1770&amp;"|"&amp;$O1770&amp;"|"&amp;$P1770&amp;"|"&amp;$Q1770&amp;"|"&amp;$K1770,PARAMETRES!$J$43:$J$342,0))),""))</f>
        <v/>
      </c>
      <c r="S1770" s="35">
        <f>IF(OR($G1770="",$X1770&lt;&gt;"VALIDE"),"",IFERROR(LOOKUP(2,1/(($B870:$B1769=$B1770)*($G870:$G1769=$G1770)*($X870:$X1769="VALIDE")),$C870:$C1769),""))</f>
        <v/>
      </c>
      <c r="T1770" s="36">
        <f>IF(OR($C1770="",$S1770=""),"",ROUND(($C1770-$S1770+IF($C1770&lt;$S1770,1,0))*1440,0))</f>
        <v/>
      </c>
      <c r="U1770" s="22">
        <f>IF(OR($H1770="",$T1770="",$T1770&lt;=0),"",$H1770*60/$T1770)</f>
        <v/>
      </c>
      <c r="V1770" s="37">
        <f>IF(OR($U1770="",$R1770="",$R1770=0),"",$U1770/$R1770)</f>
        <v/>
      </c>
      <c r="W1770" s="20">
        <f>IF($G1770="","",IF($X1770="CONTEXTE INCOMPLET","CONTEXTE INCOMPLET",IF($X1770="DOUBLON",StatutDoublon,IF($S1770="",StatutInitial,IF($R1770="",StatutStandardManquant,IF($V1770="","DONNEES INSUFFISANTES",IF($V1770&gt;=SeuilConforme,StatutConforme,IF($V1770&gt;=SeuilSurveiller,StatutSurveiller,StatutSousStandard))))))))</f>
        <v/>
      </c>
      <c r="X1770" s="33">
        <f>IF($G1770="","",IF(OR($D1770="",$E1770="",$F1770=""),"CONTEXTE INCOMPLET",IF(COUNTIFS($D870:$D1769,$D1770,$E870:$E1769,$E1770,$F870:$F1769,$F1770,$G870:$G1769,$G1770)&gt;0,"DOUBLON","VALIDE")))</f>
        <v/>
      </c>
    </row>
    <row r="1771" ht="15" customHeight="1">
      <c r="A1771" s="12">
        <f>IF(OR($B1771="",$G1771=""),"",TEXT($B1771,"YYYYMMDD")&amp;"-"&amp;SUBSTITUTE($E1771," ","")&amp;"-"&amp;$F1771&amp;"-"&amp;$G1771)</f>
        <v/>
      </c>
      <c r="B1771" s="15" t="n"/>
      <c r="C1771" s="16" t="n"/>
      <c r="D1771" s="10" t="n"/>
      <c r="E1771" s="9" t="n"/>
      <c r="F1771" s="9" t="n"/>
      <c r="G1771" s="13" t="n"/>
      <c r="H1771" s="21" t="n"/>
      <c r="I1771" s="21" t="n"/>
      <c r="J1771" s="17">
        <f>IF($G1771="","",IFERROR(INDEX(NomsEmployes,MATCH($G1771,MatriculesEmployes,0)),"MATRICULE INCONNU"))</f>
        <v/>
      </c>
      <c r="K1771" s="33">
        <f>IF(OR($D1771="",$F1771=""),"",IFERROR(IF(INDEX(RUNS!$L$6:$S$1005,MATCH($D1771,RUNS!$A$6:$A$1005,0),MATCH("ACTIVITÉ "&amp;$F1771,RUNS!$L$5:$S$5,0))="","",INDEX(RUNS!$L$6:$S$1005,MATCH($D1771,RUNS!$A$6:$A$1005,0),MATCH("ACTIVITÉ "&amp;$F1771,RUNS!$L$5:$S$5,0))),""))</f>
        <v/>
      </c>
      <c r="L1771" s="33">
        <f>IF($D1771="","",IFERROR(IF(INDEX(RUNS!$E$6:$E$1005,MATCH($D1771,RUNS!$A$6:$A$1005,0))="","",INDEX(RUNS!$E$6:$E$1005,MATCH($D1771,RUNS!$A$6:$A$1005,0))),""))</f>
        <v/>
      </c>
      <c r="M1771" s="33">
        <f>IF($D1771="","",IFERROR(IF(INDEX(RUNS!$F$6:$F$1005,MATCH($D1771,RUNS!$A$6:$A$1005,0))="","",INDEX(RUNS!$F$6:$F$1005,MATCH($D1771,RUNS!$A$6:$A$1005,0))),""))</f>
        <v/>
      </c>
      <c r="N1771" s="33">
        <f>IF($D1771="","",IFERROR(IF(INDEX(RUNS!$G$6:$G$1005,MATCH($D1771,RUNS!$A$6:$A$1005,0))="","",INDEX(RUNS!$G$6:$G$1005,MATCH($D1771,RUNS!$A$6:$A$1005,0))),""))</f>
        <v/>
      </c>
      <c r="O1771" s="33">
        <f>IF($D1771="","",IFERROR(IF(INDEX(RUNS!$H$6:$H$1005,MATCH($D1771,RUNS!$A$6:$A$1005,0))="","",INDEX(RUNS!$H$6:$H$1005,MATCH($D1771,RUNS!$A$6:$A$1005,0))),""))</f>
        <v/>
      </c>
      <c r="P1771" s="33">
        <f>IF($D1771="","",IFERROR(IF(INDEX(RUNS!$J$6:$J$1005,MATCH($D1771,RUNS!$A$6:$A$1005,0))="","",INDEX(RUNS!$J$6:$J$1005,MATCH($D1771,RUNS!$A$6:$A$1005,0))),""))</f>
        <v/>
      </c>
      <c r="Q1771" s="33">
        <f>IF($D1771="","",IFERROR(IF(INDEX(RUNS!$K$6:$K$1005,MATCH($D1771,RUNS!$A$6:$A$1005,0))="","",INDEX(RUNS!$K$6:$K$1005,MATCH($D1771,RUNS!$A$6:$A$1005,0))),""))</f>
        <v/>
      </c>
      <c r="R1771" s="34">
        <f>IF(OR($L1771="",$K1771=""),"",IFERROR(IF(INDEX(PARAMETRES!$H$43:$H$342,MATCH($L1771&amp;"|"&amp;$M1771&amp;"|"&amp;$N1771&amp;"|"&amp;$O1771&amp;"|"&amp;$P1771&amp;"|"&amp;$Q1771&amp;"|"&amp;$K1771,PARAMETRES!$J$43:$J$342,0))="","",INDEX(PARAMETRES!$H$43:$H$342,MATCH($L1771&amp;"|"&amp;$M1771&amp;"|"&amp;$N1771&amp;"|"&amp;$O1771&amp;"|"&amp;$P1771&amp;"|"&amp;$Q1771&amp;"|"&amp;$K1771,PARAMETRES!$J$43:$J$342,0))),""))</f>
        <v/>
      </c>
      <c r="S1771" s="35">
        <f>IF(OR($G1771="",$X1771&lt;&gt;"VALIDE"),"",IFERROR(LOOKUP(2,1/(($B871:$B1770=$B1771)*($G871:$G1770=$G1771)*($X871:$X1770="VALIDE")),$C871:$C1770),""))</f>
        <v/>
      </c>
      <c r="T1771" s="36">
        <f>IF(OR($C1771="",$S1771=""),"",ROUND(($C1771-$S1771+IF($C1771&lt;$S1771,1,0))*1440,0))</f>
        <v/>
      </c>
      <c r="U1771" s="22">
        <f>IF(OR($H1771="",$T1771="",$T1771&lt;=0),"",$H1771*60/$T1771)</f>
        <v/>
      </c>
      <c r="V1771" s="37">
        <f>IF(OR($U1771="",$R1771="",$R1771=0),"",$U1771/$R1771)</f>
        <v/>
      </c>
      <c r="W1771" s="20">
        <f>IF($G1771="","",IF($X1771="CONTEXTE INCOMPLET","CONTEXTE INCOMPLET",IF($X1771="DOUBLON",StatutDoublon,IF($S1771="",StatutInitial,IF($R1771="",StatutStandardManquant,IF($V1771="","DONNEES INSUFFISANTES",IF($V1771&gt;=SeuilConforme,StatutConforme,IF($V1771&gt;=SeuilSurveiller,StatutSurveiller,StatutSousStandard))))))))</f>
        <v/>
      </c>
      <c r="X1771" s="33">
        <f>IF($G1771="","",IF(OR($D1771="",$E1771="",$F1771=""),"CONTEXTE INCOMPLET",IF(COUNTIFS($D871:$D1770,$D1771,$E871:$E1770,$E1771,$F871:$F1770,$F1771,$G871:$G1770,$G1771)&gt;0,"DOUBLON","VALIDE")))</f>
        <v/>
      </c>
    </row>
    <row r="1772" ht="15" customHeight="1">
      <c r="A1772" s="12">
        <f>IF(OR($B1772="",$G1772=""),"",TEXT($B1772,"YYYYMMDD")&amp;"-"&amp;SUBSTITUTE($E1772," ","")&amp;"-"&amp;$F1772&amp;"-"&amp;$G1772)</f>
        <v/>
      </c>
      <c r="B1772" s="15" t="n"/>
      <c r="C1772" s="16" t="n"/>
      <c r="D1772" s="10" t="n"/>
      <c r="E1772" s="9" t="n"/>
      <c r="F1772" s="9" t="n"/>
      <c r="G1772" s="13" t="n"/>
      <c r="H1772" s="21" t="n"/>
      <c r="I1772" s="21" t="n"/>
      <c r="J1772" s="17">
        <f>IF($G1772="","",IFERROR(INDEX(NomsEmployes,MATCH($G1772,MatriculesEmployes,0)),"MATRICULE INCONNU"))</f>
        <v/>
      </c>
      <c r="K1772" s="33">
        <f>IF(OR($D1772="",$F1772=""),"",IFERROR(IF(INDEX(RUNS!$L$6:$S$1005,MATCH($D1772,RUNS!$A$6:$A$1005,0),MATCH("ACTIVITÉ "&amp;$F1772,RUNS!$L$5:$S$5,0))="","",INDEX(RUNS!$L$6:$S$1005,MATCH($D1772,RUNS!$A$6:$A$1005,0),MATCH("ACTIVITÉ "&amp;$F1772,RUNS!$L$5:$S$5,0))),""))</f>
        <v/>
      </c>
      <c r="L1772" s="33">
        <f>IF($D1772="","",IFERROR(IF(INDEX(RUNS!$E$6:$E$1005,MATCH($D1772,RUNS!$A$6:$A$1005,0))="","",INDEX(RUNS!$E$6:$E$1005,MATCH($D1772,RUNS!$A$6:$A$1005,0))),""))</f>
        <v/>
      </c>
      <c r="M1772" s="33">
        <f>IF($D1772="","",IFERROR(IF(INDEX(RUNS!$F$6:$F$1005,MATCH($D1772,RUNS!$A$6:$A$1005,0))="","",INDEX(RUNS!$F$6:$F$1005,MATCH($D1772,RUNS!$A$6:$A$1005,0))),""))</f>
        <v/>
      </c>
      <c r="N1772" s="33">
        <f>IF($D1772="","",IFERROR(IF(INDEX(RUNS!$G$6:$G$1005,MATCH($D1772,RUNS!$A$6:$A$1005,0))="","",INDEX(RUNS!$G$6:$G$1005,MATCH($D1772,RUNS!$A$6:$A$1005,0))),""))</f>
        <v/>
      </c>
      <c r="O1772" s="33">
        <f>IF($D1772="","",IFERROR(IF(INDEX(RUNS!$H$6:$H$1005,MATCH($D1772,RUNS!$A$6:$A$1005,0))="","",INDEX(RUNS!$H$6:$H$1005,MATCH($D1772,RUNS!$A$6:$A$1005,0))),""))</f>
        <v/>
      </c>
      <c r="P1772" s="33">
        <f>IF($D1772="","",IFERROR(IF(INDEX(RUNS!$J$6:$J$1005,MATCH($D1772,RUNS!$A$6:$A$1005,0))="","",INDEX(RUNS!$J$6:$J$1005,MATCH($D1772,RUNS!$A$6:$A$1005,0))),""))</f>
        <v/>
      </c>
      <c r="Q1772" s="33">
        <f>IF($D1772="","",IFERROR(IF(INDEX(RUNS!$K$6:$K$1005,MATCH($D1772,RUNS!$A$6:$A$1005,0))="","",INDEX(RUNS!$K$6:$K$1005,MATCH($D1772,RUNS!$A$6:$A$1005,0))),""))</f>
        <v/>
      </c>
      <c r="R1772" s="34">
        <f>IF(OR($L1772="",$K1772=""),"",IFERROR(IF(INDEX(PARAMETRES!$H$43:$H$342,MATCH($L1772&amp;"|"&amp;$M1772&amp;"|"&amp;$N1772&amp;"|"&amp;$O1772&amp;"|"&amp;$P1772&amp;"|"&amp;$Q1772&amp;"|"&amp;$K1772,PARAMETRES!$J$43:$J$342,0))="","",INDEX(PARAMETRES!$H$43:$H$342,MATCH($L1772&amp;"|"&amp;$M1772&amp;"|"&amp;$N1772&amp;"|"&amp;$O1772&amp;"|"&amp;$P1772&amp;"|"&amp;$Q1772&amp;"|"&amp;$K1772,PARAMETRES!$J$43:$J$342,0))),""))</f>
        <v/>
      </c>
      <c r="S1772" s="35">
        <f>IF(OR($G1772="",$X1772&lt;&gt;"VALIDE"),"",IFERROR(LOOKUP(2,1/(($B872:$B1771=$B1772)*($G872:$G1771=$G1772)*($X872:$X1771="VALIDE")),$C872:$C1771),""))</f>
        <v/>
      </c>
      <c r="T1772" s="36">
        <f>IF(OR($C1772="",$S1772=""),"",ROUND(($C1772-$S1772+IF($C1772&lt;$S1772,1,0))*1440,0))</f>
        <v/>
      </c>
      <c r="U1772" s="22">
        <f>IF(OR($H1772="",$T1772="",$T1772&lt;=0),"",$H1772*60/$T1772)</f>
        <v/>
      </c>
      <c r="V1772" s="37">
        <f>IF(OR($U1772="",$R1772="",$R1772=0),"",$U1772/$R1772)</f>
        <v/>
      </c>
      <c r="W1772" s="20">
        <f>IF($G1772="","",IF($X1772="CONTEXTE INCOMPLET","CONTEXTE INCOMPLET",IF($X1772="DOUBLON",StatutDoublon,IF($S1772="",StatutInitial,IF($R1772="",StatutStandardManquant,IF($V1772="","DONNEES INSUFFISANTES",IF($V1772&gt;=SeuilConforme,StatutConforme,IF($V1772&gt;=SeuilSurveiller,StatutSurveiller,StatutSousStandard))))))))</f>
        <v/>
      </c>
      <c r="X1772" s="33">
        <f>IF($G1772="","",IF(OR($D1772="",$E1772="",$F1772=""),"CONTEXTE INCOMPLET",IF(COUNTIFS($D872:$D1771,$D1772,$E872:$E1771,$E1772,$F872:$F1771,$F1772,$G872:$G1771,$G1772)&gt;0,"DOUBLON","VALIDE")))</f>
        <v/>
      </c>
    </row>
    <row r="1773" ht="15" customHeight="1">
      <c r="A1773" s="12">
        <f>IF(OR($B1773="",$G1773=""),"",TEXT($B1773,"YYYYMMDD")&amp;"-"&amp;SUBSTITUTE($E1773," ","")&amp;"-"&amp;$F1773&amp;"-"&amp;$G1773)</f>
        <v/>
      </c>
      <c r="B1773" s="15" t="n"/>
      <c r="C1773" s="16" t="n"/>
      <c r="D1773" s="10" t="n"/>
      <c r="E1773" s="9" t="n"/>
      <c r="F1773" s="9" t="n"/>
      <c r="G1773" s="13" t="n"/>
      <c r="H1773" s="21" t="n"/>
      <c r="I1773" s="21" t="n"/>
      <c r="J1773" s="17">
        <f>IF($G1773="","",IFERROR(INDEX(NomsEmployes,MATCH($G1773,MatriculesEmployes,0)),"MATRICULE INCONNU"))</f>
        <v/>
      </c>
      <c r="K1773" s="33">
        <f>IF(OR($D1773="",$F1773=""),"",IFERROR(IF(INDEX(RUNS!$L$6:$S$1005,MATCH($D1773,RUNS!$A$6:$A$1005,0),MATCH("ACTIVITÉ "&amp;$F1773,RUNS!$L$5:$S$5,0))="","",INDEX(RUNS!$L$6:$S$1005,MATCH($D1773,RUNS!$A$6:$A$1005,0),MATCH("ACTIVITÉ "&amp;$F1773,RUNS!$L$5:$S$5,0))),""))</f>
        <v/>
      </c>
      <c r="L1773" s="33">
        <f>IF($D1773="","",IFERROR(IF(INDEX(RUNS!$E$6:$E$1005,MATCH($D1773,RUNS!$A$6:$A$1005,0))="","",INDEX(RUNS!$E$6:$E$1005,MATCH($D1773,RUNS!$A$6:$A$1005,0))),""))</f>
        <v/>
      </c>
      <c r="M1773" s="33">
        <f>IF($D1773="","",IFERROR(IF(INDEX(RUNS!$F$6:$F$1005,MATCH($D1773,RUNS!$A$6:$A$1005,0))="","",INDEX(RUNS!$F$6:$F$1005,MATCH($D1773,RUNS!$A$6:$A$1005,0))),""))</f>
        <v/>
      </c>
      <c r="N1773" s="33">
        <f>IF($D1773="","",IFERROR(IF(INDEX(RUNS!$G$6:$G$1005,MATCH($D1773,RUNS!$A$6:$A$1005,0))="","",INDEX(RUNS!$G$6:$G$1005,MATCH($D1773,RUNS!$A$6:$A$1005,0))),""))</f>
        <v/>
      </c>
      <c r="O1773" s="33">
        <f>IF($D1773="","",IFERROR(IF(INDEX(RUNS!$H$6:$H$1005,MATCH($D1773,RUNS!$A$6:$A$1005,0))="","",INDEX(RUNS!$H$6:$H$1005,MATCH($D1773,RUNS!$A$6:$A$1005,0))),""))</f>
        <v/>
      </c>
      <c r="P1773" s="33">
        <f>IF($D1773="","",IFERROR(IF(INDEX(RUNS!$J$6:$J$1005,MATCH($D1773,RUNS!$A$6:$A$1005,0))="","",INDEX(RUNS!$J$6:$J$1005,MATCH($D1773,RUNS!$A$6:$A$1005,0))),""))</f>
        <v/>
      </c>
      <c r="Q1773" s="33">
        <f>IF($D1773="","",IFERROR(IF(INDEX(RUNS!$K$6:$K$1005,MATCH($D1773,RUNS!$A$6:$A$1005,0))="","",INDEX(RUNS!$K$6:$K$1005,MATCH($D1773,RUNS!$A$6:$A$1005,0))),""))</f>
        <v/>
      </c>
      <c r="R1773" s="34">
        <f>IF(OR($L1773="",$K1773=""),"",IFERROR(IF(INDEX(PARAMETRES!$H$43:$H$342,MATCH($L1773&amp;"|"&amp;$M1773&amp;"|"&amp;$N1773&amp;"|"&amp;$O1773&amp;"|"&amp;$P1773&amp;"|"&amp;$Q1773&amp;"|"&amp;$K1773,PARAMETRES!$J$43:$J$342,0))="","",INDEX(PARAMETRES!$H$43:$H$342,MATCH($L1773&amp;"|"&amp;$M1773&amp;"|"&amp;$N1773&amp;"|"&amp;$O1773&amp;"|"&amp;$P1773&amp;"|"&amp;$Q1773&amp;"|"&amp;$K1773,PARAMETRES!$J$43:$J$342,0))),""))</f>
        <v/>
      </c>
      <c r="S1773" s="35">
        <f>IF(OR($G1773="",$X1773&lt;&gt;"VALIDE"),"",IFERROR(LOOKUP(2,1/(($B873:$B1772=$B1773)*($G873:$G1772=$G1773)*($X873:$X1772="VALIDE")),$C873:$C1772),""))</f>
        <v/>
      </c>
      <c r="T1773" s="36">
        <f>IF(OR($C1773="",$S1773=""),"",ROUND(($C1773-$S1773+IF($C1773&lt;$S1773,1,0))*1440,0))</f>
        <v/>
      </c>
      <c r="U1773" s="22">
        <f>IF(OR($H1773="",$T1773="",$T1773&lt;=0),"",$H1773*60/$T1773)</f>
        <v/>
      </c>
      <c r="V1773" s="37">
        <f>IF(OR($U1773="",$R1773="",$R1773=0),"",$U1773/$R1773)</f>
        <v/>
      </c>
      <c r="W1773" s="20">
        <f>IF($G1773="","",IF($X1773="CONTEXTE INCOMPLET","CONTEXTE INCOMPLET",IF($X1773="DOUBLON",StatutDoublon,IF($S1773="",StatutInitial,IF($R1773="",StatutStandardManquant,IF($V1773="","DONNEES INSUFFISANTES",IF($V1773&gt;=SeuilConforme,StatutConforme,IF($V1773&gt;=SeuilSurveiller,StatutSurveiller,StatutSousStandard))))))))</f>
        <v/>
      </c>
      <c r="X1773" s="33">
        <f>IF($G1773="","",IF(OR($D1773="",$E1773="",$F1773=""),"CONTEXTE INCOMPLET",IF(COUNTIFS($D873:$D1772,$D1773,$E873:$E1772,$E1773,$F873:$F1772,$F1773,$G873:$G1772,$G1773)&gt;0,"DOUBLON","VALIDE")))</f>
        <v/>
      </c>
    </row>
    <row r="1774" ht="15" customHeight="1">
      <c r="A1774" s="12">
        <f>IF(OR($B1774="",$G1774=""),"",TEXT($B1774,"YYYYMMDD")&amp;"-"&amp;SUBSTITUTE($E1774," ","")&amp;"-"&amp;$F1774&amp;"-"&amp;$G1774)</f>
        <v/>
      </c>
      <c r="B1774" s="15" t="n"/>
      <c r="C1774" s="16" t="n"/>
      <c r="D1774" s="10" t="n"/>
      <c r="E1774" s="9" t="n"/>
      <c r="F1774" s="9" t="n"/>
      <c r="G1774" s="13" t="n"/>
      <c r="H1774" s="21" t="n"/>
      <c r="I1774" s="21" t="n"/>
      <c r="J1774" s="17">
        <f>IF($G1774="","",IFERROR(INDEX(NomsEmployes,MATCH($G1774,MatriculesEmployes,0)),"MATRICULE INCONNU"))</f>
        <v/>
      </c>
      <c r="K1774" s="33">
        <f>IF(OR($D1774="",$F1774=""),"",IFERROR(IF(INDEX(RUNS!$L$6:$S$1005,MATCH($D1774,RUNS!$A$6:$A$1005,0),MATCH("ACTIVITÉ "&amp;$F1774,RUNS!$L$5:$S$5,0))="","",INDEX(RUNS!$L$6:$S$1005,MATCH($D1774,RUNS!$A$6:$A$1005,0),MATCH("ACTIVITÉ "&amp;$F1774,RUNS!$L$5:$S$5,0))),""))</f>
        <v/>
      </c>
      <c r="L1774" s="33">
        <f>IF($D1774="","",IFERROR(IF(INDEX(RUNS!$E$6:$E$1005,MATCH($D1774,RUNS!$A$6:$A$1005,0))="","",INDEX(RUNS!$E$6:$E$1005,MATCH($D1774,RUNS!$A$6:$A$1005,0))),""))</f>
        <v/>
      </c>
      <c r="M1774" s="33">
        <f>IF($D1774="","",IFERROR(IF(INDEX(RUNS!$F$6:$F$1005,MATCH($D1774,RUNS!$A$6:$A$1005,0))="","",INDEX(RUNS!$F$6:$F$1005,MATCH($D1774,RUNS!$A$6:$A$1005,0))),""))</f>
        <v/>
      </c>
      <c r="N1774" s="33">
        <f>IF($D1774="","",IFERROR(IF(INDEX(RUNS!$G$6:$G$1005,MATCH($D1774,RUNS!$A$6:$A$1005,0))="","",INDEX(RUNS!$G$6:$G$1005,MATCH($D1774,RUNS!$A$6:$A$1005,0))),""))</f>
        <v/>
      </c>
      <c r="O1774" s="33">
        <f>IF($D1774="","",IFERROR(IF(INDEX(RUNS!$H$6:$H$1005,MATCH($D1774,RUNS!$A$6:$A$1005,0))="","",INDEX(RUNS!$H$6:$H$1005,MATCH($D1774,RUNS!$A$6:$A$1005,0))),""))</f>
        <v/>
      </c>
      <c r="P1774" s="33">
        <f>IF($D1774="","",IFERROR(IF(INDEX(RUNS!$J$6:$J$1005,MATCH($D1774,RUNS!$A$6:$A$1005,0))="","",INDEX(RUNS!$J$6:$J$1005,MATCH($D1774,RUNS!$A$6:$A$1005,0))),""))</f>
        <v/>
      </c>
      <c r="Q1774" s="33">
        <f>IF($D1774="","",IFERROR(IF(INDEX(RUNS!$K$6:$K$1005,MATCH($D1774,RUNS!$A$6:$A$1005,0))="","",INDEX(RUNS!$K$6:$K$1005,MATCH($D1774,RUNS!$A$6:$A$1005,0))),""))</f>
        <v/>
      </c>
      <c r="R1774" s="34">
        <f>IF(OR($L1774="",$K1774=""),"",IFERROR(IF(INDEX(PARAMETRES!$H$43:$H$342,MATCH($L1774&amp;"|"&amp;$M1774&amp;"|"&amp;$N1774&amp;"|"&amp;$O1774&amp;"|"&amp;$P1774&amp;"|"&amp;$Q1774&amp;"|"&amp;$K1774,PARAMETRES!$J$43:$J$342,0))="","",INDEX(PARAMETRES!$H$43:$H$342,MATCH($L1774&amp;"|"&amp;$M1774&amp;"|"&amp;$N1774&amp;"|"&amp;$O1774&amp;"|"&amp;$P1774&amp;"|"&amp;$Q1774&amp;"|"&amp;$K1774,PARAMETRES!$J$43:$J$342,0))),""))</f>
        <v/>
      </c>
      <c r="S1774" s="35">
        <f>IF(OR($G1774="",$X1774&lt;&gt;"VALIDE"),"",IFERROR(LOOKUP(2,1/(($B874:$B1773=$B1774)*($G874:$G1773=$G1774)*($X874:$X1773="VALIDE")),$C874:$C1773),""))</f>
        <v/>
      </c>
      <c r="T1774" s="36">
        <f>IF(OR($C1774="",$S1774=""),"",ROUND(($C1774-$S1774+IF($C1774&lt;$S1774,1,0))*1440,0))</f>
        <v/>
      </c>
      <c r="U1774" s="22">
        <f>IF(OR($H1774="",$T1774="",$T1774&lt;=0),"",$H1774*60/$T1774)</f>
        <v/>
      </c>
      <c r="V1774" s="37">
        <f>IF(OR($U1774="",$R1774="",$R1774=0),"",$U1774/$R1774)</f>
        <v/>
      </c>
      <c r="W1774" s="20">
        <f>IF($G1774="","",IF($X1774="CONTEXTE INCOMPLET","CONTEXTE INCOMPLET",IF($X1774="DOUBLON",StatutDoublon,IF($S1774="",StatutInitial,IF($R1774="",StatutStandardManquant,IF($V1774="","DONNEES INSUFFISANTES",IF($V1774&gt;=SeuilConforme,StatutConforme,IF($V1774&gt;=SeuilSurveiller,StatutSurveiller,StatutSousStandard))))))))</f>
        <v/>
      </c>
      <c r="X1774" s="33">
        <f>IF($G1774="","",IF(OR($D1774="",$E1774="",$F1774=""),"CONTEXTE INCOMPLET",IF(COUNTIFS($D874:$D1773,$D1774,$E874:$E1773,$E1774,$F874:$F1773,$F1774,$G874:$G1773,$G1774)&gt;0,"DOUBLON","VALIDE")))</f>
        <v/>
      </c>
    </row>
    <row r="1775" ht="15" customHeight="1">
      <c r="A1775" s="12">
        <f>IF(OR($B1775="",$G1775=""),"",TEXT($B1775,"YYYYMMDD")&amp;"-"&amp;SUBSTITUTE($E1775," ","")&amp;"-"&amp;$F1775&amp;"-"&amp;$G1775)</f>
        <v/>
      </c>
      <c r="B1775" s="15" t="n"/>
      <c r="C1775" s="16" t="n"/>
      <c r="D1775" s="10" t="n"/>
      <c r="E1775" s="9" t="n"/>
      <c r="F1775" s="9" t="n"/>
      <c r="G1775" s="13" t="n"/>
      <c r="H1775" s="21" t="n"/>
      <c r="I1775" s="21" t="n"/>
      <c r="J1775" s="17">
        <f>IF($G1775="","",IFERROR(INDEX(NomsEmployes,MATCH($G1775,MatriculesEmployes,0)),"MATRICULE INCONNU"))</f>
        <v/>
      </c>
      <c r="K1775" s="33">
        <f>IF(OR($D1775="",$F1775=""),"",IFERROR(IF(INDEX(RUNS!$L$6:$S$1005,MATCH($D1775,RUNS!$A$6:$A$1005,0),MATCH("ACTIVITÉ "&amp;$F1775,RUNS!$L$5:$S$5,0))="","",INDEX(RUNS!$L$6:$S$1005,MATCH($D1775,RUNS!$A$6:$A$1005,0),MATCH("ACTIVITÉ "&amp;$F1775,RUNS!$L$5:$S$5,0))),""))</f>
        <v/>
      </c>
      <c r="L1775" s="33">
        <f>IF($D1775="","",IFERROR(IF(INDEX(RUNS!$E$6:$E$1005,MATCH($D1775,RUNS!$A$6:$A$1005,0))="","",INDEX(RUNS!$E$6:$E$1005,MATCH($D1775,RUNS!$A$6:$A$1005,0))),""))</f>
        <v/>
      </c>
      <c r="M1775" s="33">
        <f>IF($D1775="","",IFERROR(IF(INDEX(RUNS!$F$6:$F$1005,MATCH($D1775,RUNS!$A$6:$A$1005,0))="","",INDEX(RUNS!$F$6:$F$1005,MATCH($D1775,RUNS!$A$6:$A$1005,0))),""))</f>
        <v/>
      </c>
      <c r="N1775" s="33">
        <f>IF($D1775="","",IFERROR(IF(INDEX(RUNS!$G$6:$G$1005,MATCH($D1775,RUNS!$A$6:$A$1005,0))="","",INDEX(RUNS!$G$6:$G$1005,MATCH($D1775,RUNS!$A$6:$A$1005,0))),""))</f>
        <v/>
      </c>
      <c r="O1775" s="33">
        <f>IF($D1775="","",IFERROR(IF(INDEX(RUNS!$H$6:$H$1005,MATCH($D1775,RUNS!$A$6:$A$1005,0))="","",INDEX(RUNS!$H$6:$H$1005,MATCH($D1775,RUNS!$A$6:$A$1005,0))),""))</f>
        <v/>
      </c>
      <c r="P1775" s="33">
        <f>IF($D1775="","",IFERROR(IF(INDEX(RUNS!$J$6:$J$1005,MATCH($D1775,RUNS!$A$6:$A$1005,0))="","",INDEX(RUNS!$J$6:$J$1005,MATCH($D1775,RUNS!$A$6:$A$1005,0))),""))</f>
        <v/>
      </c>
      <c r="Q1775" s="33">
        <f>IF($D1775="","",IFERROR(IF(INDEX(RUNS!$K$6:$K$1005,MATCH($D1775,RUNS!$A$6:$A$1005,0))="","",INDEX(RUNS!$K$6:$K$1005,MATCH($D1775,RUNS!$A$6:$A$1005,0))),""))</f>
        <v/>
      </c>
      <c r="R1775" s="34">
        <f>IF(OR($L1775="",$K1775=""),"",IFERROR(IF(INDEX(PARAMETRES!$H$43:$H$342,MATCH($L1775&amp;"|"&amp;$M1775&amp;"|"&amp;$N1775&amp;"|"&amp;$O1775&amp;"|"&amp;$P1775&amp;"|"&amp;$Q1775&amp;"|"&amp;$K1775,PARAMETRES!$J$43:$J$342,0))="","",INDEX(PARAMETRES!$H$43:$H$342,MATCH($L1775&amp;"|"&amp;$M1775&amp;"|"&amp;$N1775&amp;"|"&amp;$O1775&amp;"|"&amp;$P1775&amp;"|"&amp;$Q1775&amp;"|"&amp;$K1775,PARAMETRES!$J$43:$J$342,0))),""))</f>
        <v/>
      </c>
      <c r="S1775" s="35">
        <f>IF(OR($G1775="",$X1775&lt;&gt;"VALIDE"),"",IFERROR(LOOKUP(2,1/(($B875:$B1774=$B1775)*($G875:$G1774=$G1775)*($X875:$X1774="VALIDE")),$C875:$C1774),""))</f>
        <v/>
      </c>
      <c r="T1775" s="36">
        <f>IF(OR($C1775="",$S1775=""),"",ROUND(($C1775-$S1775+IF($C1775&lt;$S1775,1,0))*1440,0))</f>
        <v/>
      </c>
      <c r="U1775" s="22">
        <f>IF(OR($H1775="",$T1775="",$T1775&lt;=0),"",$H1775*60/$T1775)</f>
        <v/>
      </c>
      <c r="V1775" s="37">
        <f>IF(OR($U1775="",$R1775="",$R1775=0),"",$U1775/$R1775)</f>
        <v/>
      </c>
      <c r="W1775" s="20">
        <f>IF($G1775="","",IF($X1775="CONTEXTE INCOMPLET","CONTEXTE INCOMPLET",IF($X1775="DOUBLON",StatutDoublon,IF($S1775="",StatutInitial,IF($R1775="",StatutStandardManquant,IF($V1775="","DONNEES INSUFFISANTES",IF($V1775&gt;=SeuilConforme,StatutConforme,IF($V1775&gt;=SeuilSurveiller,StatutSurveiller,StatutSousStandard))))))))</f>
        <v/>
      </c>
      <c r="X1775" s="33">
        <f>IF($G1775="","",IF(OR($D1775="",$E1775="",$F1775=""),"CONTEXTE INCOMPLET",IF(COUNTIFS($D875:$D1774,$D1775,$E875:$E1774,$E1775,$F875:$F1774,$F1775,$G875:$G1774,$G1775)&gt;0,"DOUBLON","VALIDE")))</f>
        <v/>
      </c>
    </row>
    <row r="1776" ht="15" customHeight="1">
      <c r="A1776" s="12">
        <f>IF(OR($B1776="",$G1776=""),"",TEXT($B1776,"YYYYMMDD")&amp;"-"&amp;SUBSTITUTE($E1776," ","")&amp;"-"&amp;$F1776&amp;"-"&amp;$G1776)</f>
        <v/>
      </c>
      <c r="B1776" s="15" t="n"/>
      <c r="C1776" s="16" t="n"/>
      <c r="D1776" s="10" t="n"/>
      <c r="E1776" s="9" t="n"/>
      <c r="F1776" s="9" t="n"/>
      <c r="G1776" s="13" t="n"/>
      <c r="H1776" s="21" t="n"/>
      <c r="I1776" s="21" t="n"/>
      <c r="J1776" s="17">
        <f>IF($G1776="","",IFERROR(INDEX(NomsEmployes,MATCH($G1776,MatriculesEmployes,0)),"MATRICULE INCONNU"))</f>
        <v/>
      </c>
      <c r="K1776" s="33">
        <f>IF(OR($D1776="",$F1776=""),"",IFERROR(IF(INDEX(RUNS!$L$6:$S$1005,MATCH($D1776,RUNS!$A$6:$A$1005,0),MATCH("ACTIVITÉ "&amp;$F1776,RUNS!$L$5:$S$5,0))="","",INDEX(RUNS!$L$6:$S$1005,MATCH($D1776,RUNS!$A$6:$A$1005,0),MATCH("ACTIVITÉ "&amp;$F1776,RUNS!$L$5:$S$5,0))),""))</f>
        <v/>
      </c>
      <c r="L1776" s="33">
        <f>IF($D1776="","",IFERROR(IF(INDEX(RUNS!$E$6:$E$1005,MATCH($D1776,RUNS!$A$6:$A$1005,0))="","",INDEX(RUNS!$E$6:$E$1005,MATCH($D1776,RUNS!$A$6:$A$1005,0))),""))</f>
        <v/>
      </c>
      <c r="M1776" s="33">
        <f>IF($D1776="","",IFERROR(IF(INDEX(RUNS!$F$6:$F$1005,MATCH($D1776,RUNS!$A$6:$A$1005,0))="","",INDEX(RUNS!$F$6:$F$1005,MATCH($D1776,RUNS!$A$6:$A$1005,0))),""))</f>
        <v/>
      </c>
      <c r="N1776" s="33">
        <f>IF($D1776="","",IFERROR(IF(INDEX(RUNS!$G$6:$G$1005,MATCH($D1776,RUNS!$A$6:$A$1005,0))="","",INDEX(RUNS!$G$6:$G$1005,MATCH($D1776,RUNS!$A$6:$A$1005,0))),""))</f>
        <v/>
      </c>
      <c r="O1776" s="33">
        <f>IF($D1776="","",IFERROR(IF(INDEX(RUNS!$H$6:$H$1005,MATCH($D1776,RUNS!$A$6:$A$1005,0))="","",INDEX(RUNS!$H$6:$H$1005,MATCH($D1776,RUNS!$A$6:$A$1005,0))),""))</f>
        <v/>
      </c>
      <c r="P1776" s="33">
        <f>IF($D1776="","",IFERROR(IF(INDEX(RUNS!$J$6:$J$1005,MATCH($D1776,RUNS!$A$6:$A$1005,0))="","",INDEX(RUNS!$J$6:$J$1005,MATCH($D1776,RUNS!$A$6:$A$1005,0))),""))</f>
        <v/>
      </c>
      <c r="Q1776" s="33">
        <f>IF($D1776="","",IFERROR(IF(INDEX(RUNS!$K$6:$K$1005,MATCH($D1776,RUNS!$A$6:$A$1005,0))="","",INDEX(RUNS!$K$6:$K$1005,MATCH($D1776,RUNS!$A$6:$A$1005,0))),""))</f>
        <v/>
      </c>
      <c r="R1776" s="34">
        <f>IF(OR($L1776="",$K1776=""),"",IFERROR(IF(INDEX(PARAMETRES!$H$43:$H$342,MATCH($L1776&amp;"|"&amp;$M1776&amp;"|"&amp;$N1776&amp;"|"&amp;$O1776&amp;"|"&amp;$P1776&amp;"|"&amp;$Q1776&amp;"|"&amp;$K1776,PARAMETRES!$J$43:$J$342,0))="","",INDEX(PARAMETRES!$H$43:$H$342,MATCH($L1776&amp;"|"&amp;$M1776&amp;"|"&amp;$N1776&amp;"|"&amp;$O1776&amp;"|"&amp;$P1776&amp;"|"&amp;$Q1776&amp;"|"&amp;$K1776,PARAMETRES!$J$43:$J$342,0))),""))</f>
        <v/>
      </c>
      <c r="S1776" s="35">
        <f>IF(OR($G1776="",$X1776&lt;&gt;"VALIDE"),"",IFERROR(LOOKUP(2,1/(($B876:$B1775=$B1776)*($G876:$G1775=$G1776)*($X876:$X1775="VALIDE")),$C876:$C1775),""))</f>
        <v/>
      </c>
      <c r="T1776" s="36">
        <f>IF(OR($C1776="",$S1776=""),"",ROUND(($C1776-$S1776+IF($C1776&lt;$S1776,1,0))*1440,0))</f>
        <v/>
      </c>
      <c r="U1776" s="22">
        <f>IF(OR($H1776="",$T1776="",$T1776&lt;=0),"",$H1776*60/$T1776)</f>
        <v/>
      </c>
      <c r="V1776" s="37">
        <f>IF(OR($U1776="",$R1776="",$R1776=0),"",$U1776/$R1776)</f>
        <v/>
      </c>
      <c r="W1776" s="20">
        <f>IF($G1776="","",IF($X1776="CONTEXTE INCOMPLET","CONTEXTE INCOMPLET",IF($X1776="DOUBLON",StatutDoublon,IF($S1776="",StatutInitial,IF($R1776="",StatutStandardManquant,IF($V1776="","DONNEES INSUFFISANTES",IF($V1776&gt;=SeuilConforme,StatutConforme,IF($V1776&gt;=SeuilSurveiller,StatutSurveiller,StatutSousStandard))))))))</f>
        <v/>
      </c>
      <c r="X1776" s="33">
        <f>IF($G1776="","",IF(OR($D1776="",$E1776="",$F1776=""),"CONTEXTE INCOMPLET",IF(COUNTIFS($D876:$D1775,$D1776,$E876:$E1775,$E1776,$F876:$F1775,$F1776,$G876:$G1775,$G1776)&gt;0,"DOUBLON","VALIDE")))</f>
        <v/>
      </c>
    </row>
    <row r="1777" ht="15" customHeight="1">
      <c r="A1777" s="12">
        <f>IF(OR($B1777="",$G1777=""),"",TEXT($B1777,"YYYYMMDD")&amp;"-"&amp;SUBSTITUTE($E1777," ","")&amp;"-"&amp;$F1777&amp;"-"&amp;$G1777)</f>
        <v/>
      </c>
      <c r="B1777" s="15" t="n"/>
      <c r="C1777" s="16" t="n"/>
      <c r="D1777" s="10" t="n"/>
      <c r="E1777" s="9" t="n"/>
      <c r="F1777" s="9" t="n"/>
      <c r="G1777" s="13" t="n"/>
      <c r="H1777" s="21" t="n"/>
      <c r="I1777" s="21" t="n"/>
      <c r="J1777" s="17">
        <f>IF($G1777="","",IFERROR(INDEX(NomsEmployes,MATCH($G1777,MatriculesEmployes,0)),"MATRICULE INCONNU"))</f>
        <v/>
      </c>
      <c r="K1777" s="33">
        <f>IF(OR($D1777="",$F1777=""),"",IFERROR(IF(INDEX(RUNS!$L$6:$S$1005,MATCH($D1777,RUNS!$A$6:$A$1005,0),MATCH("ACTIVITÉ "&amp;$F1777,RUNS!$L$5:$S$5,0))="","",INDEX(RUNS!$L$6:$S$1005,MATCH($D1777,RUNS!$A$6:$A$1005,0),MATCH("ACTIVITÉ "&amp;$F1777,RUNS!$L$5:$S$5,0))),""))</f>
        <v/>
      </c>
      <c r="L1777" s="33">
        <f>IF($D1777="","",IFERROR(IF(INDEX(RUNS!$E$6:$E$1005,MATCH($D1777,RUNS!$A$6:$A$1005,0))="","",INDEX(RUNS!$E$6:$E$1005,MATCH($D1777,RUNS!$A$6:$A$1005,0))),""))</f>
        <v/>
      </c>
      <c r="M1777" s="33">
        <f>IF($D1777="","",IFERROR(IF(INDEX(RUNS!$F$6:$F$1005,MATCH($D1777,RUNS!$A$6:$A$1005,0))="","",INDEX(RUNS!$F$6:$F$1005,MATCH($D1777,RUNS!$A$6:$A$1005,0))),""))</f>
        <v/>
      </c>
      <c r="N1777" s="33">
        <f>IF($D1777="","",IFERROR(IF(INDEX(RUNS!$G$6:$G$1005,MATCH($D1777,RUNS!$A$6:$A$1005,0))="","",INDEX(RUNS!$G$6:$G$1005,MATCH($D1777,RUNS!$A$6:$A$1005,0))),""))</f>
        <v/>
      </c>
      <c r="O1777" s="33">
        <f>IF($D1777="","",IFERROR(IF(INDEX(RUNS!$H$6:$H$1005,MATCH($D1777,RUNS!$A$6:$A$1005,0))="","",INDEX(RUNS!$H$6:$H$1005,MATCH($D1777,RUNS!$A$6:$A$1005,0))),""))</f>
        <v/>
      </c>
      <c r="P1777" s="33">
        <f>IF($D1777="","",IFERROR(IF(INDEX(RUNS!$J$6:$J$1005,MATCH($D1777,RUNS!$A$6:$A$1005,0))="","",INDEX(RUNS!$J$6:$J$1005,MATCH($D1777,RUNS!$A$6:$A$1005,0))),""))</f>
        <v/>
      </c>
      <c r="Q1777" s="33">
        <f>IF($D1777="","",IFERROR(IF(INDEX(RUNS!$K$6:$K$1005,MATCH($D1777,RUNS!$A$6:$A$1005,0))="","",INDEX(RUNS!$K$6:$K$1005,MATCH($D1777,RUNS!$A$6:$A$1005,0))),""))</f>
        <v/>
      </c>
      <c r="R1777" s="34">
        <f>IF(OR($L1777="",$K1777=""),"",IFERROR(IF(INDEX(PARAMETRES!$H$43:$H$342,MATCH($L1777&amp;"|"&amp;$M1777&amp;"|"&amp;$N1777&amp;"|"&amp;$O1777&amp;"|"&amp;$P1777&amp;"|"&amp;$Q1777&amp;"|"&amp;$K1777,PARAMETRES!$J$43:$J$342,0))="","",INDEX(PARAMETRES!$H$43:$H$342,MATCH($L1777&amp;"|"&amp;$M1777&amp;"|"&amp;$N1777&amp;"|"&amp;$O1777&amp;"|"&amp;$P1777&amp;"|"&amp;$Q1777&amp;"|"&amp;$K1777,PARAMETRES!$J$43:$J$342,0))),""))</f>
        <v/>
      </c>
      <c r="S1777" s="35">
        <f>IF(OR($G1777="",$X1777&lt;&gt;"VALIDE"),"",IFERROR(LOOKUP(2,1/(($B877:$B1776=$B1777)*($G877:$G1776=$G1777)*($X877:$X1776="VALIDE")),$C877:$C1776),""))</f>
        <v/>
      </c>
      <c r="T1777" s="36">
        <f>IF(OR($C1777="",$S1777=""),"",ROUND(($C1777-$S1777+IF($C1777&lt;$S1777,1,0))*1440,0))</f>
        <v/>
      </c>
      <c r="U1777" s="22">
        <f>IF(OR($H1777="",$T1777="",$T1777&lt;=0),"",$H1777*60/$T1777)</f>
        <v/>
      </c>
      <c r="V1777" s="37">
        <f>IF(OR($U1777="",$R1777="",$R1777=0),"",$U1777/$R1777)</f>
        <v/>
      </c>
      <c r="W1777" s="20">
        <f>IF($G1777="","",IF($X1777="CONTEXTE INCOMPLET","CONTEXTE INCOMPLET",IF($X1777="DOUBLON",StatutDoublon,IF($S1777="",StatutInitial,IF($R1777="",StatutStandardManquant,IF($V1777="","DONNEES INSUFFISANTES",IF($V1777&gt;=SeuilConforme,StatutConforme,IF($V1777&gt;=SeuilSurveiller,StatutSurveiller,StatutSousStandard))))))))</f>
        <v/>
      </c>
      <c r="X1777" s="33">
        <f>IF($G1777="","",IF(OR($D1777="",$E1777="",$F1777=""),"CONTEXTE INCOMPLET",IF(COUNTIFS($D877:$D1776,$D1777,$E877:$E1776,$E1777,$F877:$F1776,$F1777,$G877:$G1776,$G1777)&gt;0,"DOUBLON","VALIDE")))</f>
        <v/>
      </c>
    </row>
    <row r="1778" ht="15" customHeight="1">
      <c r="A1778" s="12">
        <f>IF(OR($B1778="",$G1778=""),"",TEXT($B1778,"YYYYMMDD")&amp;"-"&amp;SUBSTITUTE($E1778," ","")&amp;"-"&amp;$F1778&amp;"-"&amp;$G1778)</f>
        <v/>
      </c>
      <c r="B1778" s="15" t="n"/>
      <c r="C1778" s="16" t="n"/>
      <c r="D1778" s="10" t="n"/>
      <c r="E1778" s="9" t="n"/>
      <c r="F1778" s="9" t="n"/>
      <c r="G1778" s="13" t="n"/>
      <c r="H1778" s="21" t="n"/>
      <c r="I1778" s="21" t="n"/>
      <c r="J1778" s="17">
        <f>IF($G1778="","",IFERROR(INDEX(NomsEmployes,MATCH($G1778,MatriculesEmployes,0)),"MATRICULE INCONNU"))</f>
        <v/>
      </c>
      <c r="K1778" s="33">
        <f>IF(OR($D1778="",$F1778=""),"",IFERROR(IF(INDEX(RUNS!$L$6:$S$1005,MATCH($D1778,RUNS!$A$6:$A$1005,0),MATCH("ACTIVITÉ "&amp;$F1778,RUNS!$L$5:$S$5,0))="","",INDEX(RUNS!$L$6:$S$1005,MATCH($D1778,RUNS!$A$6:$A$1005,0),MATCH("ACTIVITÉ "&amp;$F1778,RUNS!$L$5:$S$5,0))),""))</f>
        <v/>
      </c>
      <c r="L1778" s="33">
        <f>IF($D1778="","",IFERROR(IF(INDEX(RUNS!$E$6:$E$1005,MATCH($D1778,RUNS!$A$6:$A$1005,0))="","",INDEX(RUNS!$E$6:$E$1005,MATCH($D1778,RUNS!$A$6:$A$1005,0))),""))</f>
        <v/>
      </c>
      <c r="M1778" s="33">
        <f>IF($D1778="","",IFERROR(IF(INDEX(RUNS!$F$6:$F$1005,MATCH($D1778,RUNS!$A$6:$A$1005,0))="","",INDEX(RUNS!$F$6:$F$1005,MATCH($D1778,RUNS!$A$6:$A$1005,0))),""))</f>
        <v/>
      </c>
      <c r="N1778" s="33">
        <f>IF($D1778="","",IFERROR(IF(INDEX(RUNS!$G$6:$G$1005,MATCH($D1778,RUNS!$A$6:$A$1005,0))="","",INDEX(RUNS!$G$6:$G$1005,MATCH($D1778,RUNS!$A$6:$A$1005,0))),""))</f>
        <v/>
      </c>
      <c r="O1778" s="33">
        <f>IF($D1778="","",IFERROR(IF(INDEX(RUNS!$H$6:$H$1005,MATCH($D1778,RUNS!$A$6:$A$1005,0))="","",INDEX(RUNS!$H$6:$H$1005,MATCH($D1778,RUNS!$A$6:$A$1005,0))),""))</f>
        <v/>
      </c>
      <c r="P1778" s="33">
        <f>IF($D1778="","",IFERROR(IF(INDEX(RUNS!$J$6:$J$1005,MATCH($D1778,RUNS!$A$6:$A$1005,0))="","",INDEX(RUNS!$J$6:$J$1005,MATCH($D1778,RUNS!$A$6:$A$1005,0))),""))</f>
        <v/>
      </c>
      <c r="Q1778" s="33">
        <f>IF($D1778="","",IFERROR(IF(INDEX(RUNS!$K$6:$K$1005,MATCH($D1778,RUNS!$A$6:$A$1005,0))="","",INDEX(RUNS!$K$6:$K$1005,MATCH($D1778,RUNS!$A$6:$A$1005,0))),""))</f>
        <v/>
      </c>
      <c r="R1778" s="34">
        <f>IF(OR($L1778="",$K1778=""),"",IFERROR(IF(INDEX(PARAMETRES!$H$43:$H$342,MATCH($L1778&amp;"|"&amp;$M1778&amp;"|"&amp;$N1778&amp;"|"&amp;$O1778&amp;"|"&amp;$P1778&amp;"|"&amp;$Q1778&amp;"|"&amp;$K1778,PARAMETRES!$J$43:$J$342,0))="","",INDEX(PARAMETRES!$H$43:$H$342,MATCH($L1778&amp;"|"&amp;$M1778&amp;"|"&amp;$N1778&amp;"|"&amp;$O1778&amp;"|"&amp;$P1778&amp;"|"&amp;$Q1778&amp;"|"&amp;$K1778,PARAMETRES!$J$43:$J$342,0))),""))</f>
        <v/>
      </c>
      <c r="S1778" s="35">
        <f>IF(OR($G1778="",$X1778&lt;&gt;"VALIDE"),"",IFERROR(LOOKUP(2,1/(($B878:$B1777=$B1778)*($G878:$G1777=$G1778)*($X878:$X1777="VALIDE")),$C878:$C1777),""))</f>
        <v/>
      </c>
      <c r="T1778" s="36">
        <f>IF(OR($C1778="",$S1778=""),"",ROUND(($C1778-$S1778+IF($C1778&lt;$S1778,1,0))*1440,0))</f>
        <v/>
      </c>
      <c r="U1778" s="22">
        <f>IF(OR($H1778="",$T1778="",$T1778&lt;=0),"",$H1778*60/$T1778)</f>
        <v/>
      </c>
      <c r="V1778" s="37">
        <f>IF(OR($U1778="",$R1778="",$R1778=0),"",$U1778/$R1778)</f>
        <v/>
      </c>
      <c r="W1778" s="20">
        <f>IF($G1778="","",IF($X1778="CONTEXTE INCOMPLET","CONTEXTE INCOMPLET",IF($X1778="DOUBLON",StatutDoublon,IF($S1778="",StatutInitial,IF($R1778="",StatutStandardManquant,IF($V1778="","DONNEES INSUFFISANTES",IF($V1778&gt;=SeuilConforme,StatutConforme,IF($V1778&gt;=SeuilSurveiller,StatutSurveiller,StatutSousStandard))))))))</f>
        <v/>
      </c>
      <c r="X1778" s="33">
        <f>IF($G1778="","",IF(OR($D1778="",$E1778="",$F1778=""),"CONTEXTE INCOMPLET",IF(COUNTIFS($D878:$D1777,$D1778,$E878:$E1777,$E1778,$F878:$F1777,$F1778,$G878:$G1777,$G1778)&gt;0,"DOUBLON","VALIDE")))</f>
        <v/>
      </c>
    </row>
    <row r="1779" ht="15" customHeight="1">
      <c r="A1779" s="12">
        <f>IF(OR($B1779="",$G1779=""),"",TEXT($B1779,"YYYYMMDD")&amp;"-"&amp;SUBSTITUTE($E1779," ","")&amp;"-"&amp;$F1779&amp;"-"&amp;$G1779)</f>
        <v/>
      </c>
      <c r="B1779" s="15" t="n"/>
      <c r="C1779" s="16" t="n"/>
      <c r="D1779" s="10" t="n"/>
      <c r="E1779" s="9" t="n"/>
      <c r="F1779" s="9" t="n"/>
      <c r="G1779" s="13" t="n"/>
      <c r="H1779" s="21" t="n"/>
      <c r="I1779" s="21" t="n"/>
      <c r="J1779" s="17">
        <f>IF($G1779="","",IFERROR(INDEX(NomsEmployes,MATCH($G1779,MatriculesEmployes,0)),"MATRICULE INCONNU"))</f>
        <v/>
      </c>
      <c r="K1779" s="33">
        <f>IF(OR($D1779="",$F1779=""),"",IFERROR(IF(INDEX(RUNS!$L$6:$S$1005,MATCH($D1779,RUNS!$A$6:$A$1005,0),MATCH("ACTIVITÉ "&amp;$F1779,RUNS!$L$5:$S$5,0))="","",INDEX(RUNS!$L$6:$S$1005,MATCH($D1779,RUNS!$A$6:$A$1005,0),MATCH("ACTIVITÉ "&amp;$F1779,RUNS!$L$5:$S$5,0))),""))</f>
        <v/>
      </c>
      <c r="L1779" s="33">
        <f>IF($D1779="","",IFERROR(IF(INDEX(RUNS!$E$6:$E$1005,MATCH($D1779,RUNS!$A$6:$A$1005,0))="","",INDEX(RUNS!$E$6:$E$1005,MATCH($D1779,RUNS!$A$6:$A$1005,0))),""))</f>
        <v/>
      </c>
      <c r="M1779" s="33">
        <f>IF($D1779="","",IFERROR(IF(INDEX(RUNS!$F$6:$F$1005,MATCH($D1779,RUNS!$A$6:$A$1005,0))="","",INDEX(RUNS!$F$6:$F$1005,MATCH($D1779,RUNS!$A$6:$A$1005,0))),""))</f>
        <v/>
      </c>
      <c r="N1779" s="33">
        <f>IF($D1779="","",IFERROR(IF(INDEX(RUNS!$G$6:$G$1005,MATCH($D1779,RUNS!$A$6:$A$1005,0))="","",INDEX(RUNS!$G$6:$G$1005,MATCH($D1779,RUNS!$A$6:$A$1005,0))),""))</f>
        <v/>
      </c>
      <c r="O1779" s="33">
        <f>IF($D1779="","",IFERROR(IF(INDEX(RUNS!$H$6:$H$1005,MATCH($D1779,RUNS!$A$6:$A$1005,0))="","",INDEX(RUNS!$H$6:$H$1005,MATCH($D1779,RUNS!$A$6:$A$1005,0))),""))</f>
        <v/>
      </c>
      <c r="P1779" s="33">
        <f>IF($D1779="","",IFERROR(IF(INDEX(RUNS!$J$6:$J$1005,MATCH($D1779,RUNS!$A$6:$A$1005,0))="","",INDEX(RUNS!$J$6:$J$1005,MATCH($D1779,RUNS!$A$6:$A$1005,0))),""))</f>
        <v/>
      </c>
      <c r="Q1779" s="33">
        <f>IF($D1779="","",IFERROR(IF(INDEX(RUNS!$K$6:$K$1005,MATCH($D1779,RUNS!$A$6:$A$1005,0))="","",INDEX(RUNS!$K$6:$K$1005,MATCH($D1779,RUNS!$A$6:$A$1005,0))),""))</f>
        <v/>
      </c>
      <c r="R1779" s="34">
        <f>IF(OR($L1779="",$K1779=""),"",IFERROR(IF(INDEX(PARAMETRES!$H$43:$H$342,MATCH($L1779&amp;"|"&amp;$M1779&amp;"|"&amp;$N1779&amp;"|"&amp;$O1779&amp;"|"&amp;$P1779&amp;"|"&amp;$Q1779&amp;"|"&amp;$K1779,PARAMETRES!$J$43:$J$342,0))="","",INDEX(PARAMETRES!$H$43:$H$342,MATCH($L1779&amp;"|"&amp;$M1779&amp;"|"&amp;$N1779&amp;"|"&amp;$O1779&amp;"|"&amp;$P1779&amp;"|"&amp;$Q1779&amp;"|"&amp;$K1779,PARAMETRES!$J$43:$J$342,0))),""))</f>
        <v/>
      </c>
      <c r="S1779" s="35">
        <f>IF(OR($G1779="",$X1779&lt;&gt;"VALIDE"),"",IFERROR(LOOKUP(2,1/(($B879:$B1778=$B1779)*($G879:$G1778=$G1779)*($X879:$X1778="VALIDE")),$C879:$C1778),""))</f>
        <v/>
      </c>
      <c r="T1779" s="36">
        <f>IF(OR($C1779="",$S1779=""),"",ROUND(($C1779-$S1779+IF($C1779&lt;$S1779,1,0))*1440,0))</f>
        <v/>
      </c>
      <c r="U1779" s="22">
        <f>IF(OR($H1779="",$T1779="",$T1779&lt;=0),"",$H1779*60/$T1779)</f>
        <v/>
      </c>
      <c r="V1779" s="37">
        <f>IF(OR($U1779="",$R1779="",$R1779=0),"",$U1779/$R1779)</f>
        <v/>
      </c>
      <c r="W1779" s="20">
        <f>IF($G1779="","",IF($X1779="CONTEXTE INCOMPLET","CONTEXTE INCOMPLET",IF($X1779="DOUBLON",StatutDoublon,IF($S1779="",StatutInitial,IF($R1779="",StatutStandardManquant,IF($V1779="","DONNEES INSUFFISANTES",IF($V1779&gt;=SeuilConforme,StatutConforme,IF($V1779&gt;=SeuilSurveiller,StatutSurveiller,StatutSousStandard))))))))</f>
        <v/>
      </c>
      <c r="X1779" s="33">
        <f>IF($G1779="","",IF(OR($D1779="",$E1779="",$F1779=""),"CONTEXTE INCOMPLET",IF(COUNTIFS($D879:$D1778,$D1779,$E879:$E1778,$E1779,$F879:$F1778,$F1779,$G879:$G1778,$G1779)&gt;0,"DOUBLON","VALIDE")))</f>
        <v/>
      </c>
    </row>
    <row r="1780" ht="15" customHeight="1">
      <c r="A1780" s="12">
        <f>IF(OR($B1780="",$G1780=""),"",TEXT($B1780,"YYYYMMDD")&amp;"-"&amp;SUBSTITUTE($E1780," ","")&amp;"-"&amp;$F1780&amp;"-"&amp;$G1780)</f>
        <v/>
      </c>
      <c r="B1780" s="15" t="n"/>
      <c r="C1780" s="16" t="n"/>
      <c r="D1780" s="10" t="n"/>
      <c r="E1780" s="9" t="n"/>
      <c r="F1780" s="9" t="n"/>
      <c r="G1780" s="13" t="n"/>
      <c r="H1780" s="21" t="n"/>
      <c r="I1780" s="21" t="n"/>
      <c r="J1780" s="17">
        <f>IF($G1780="","",IFERROR(INDEX(NomsEmployes,MATCH($G1780,MatriculesEmployes,0)),"MATRICULE INCONNU"))</f>
        <v/>
      </c>
      <c r="K1780" s="33">
        <f>IF(OR($D1780="",$F1780=""),"",IFERROR(IF(INDEX(RUNS!$L$6:$S$1005,MATCH($D1780,RUNS!$A$6:$A$1005,0),MATCH("ACTIVITÉ "&amp;$F1780,RUNS!$L$5:$S$5,0))="","",INDEX(RUNS!$L$6:$S$1005,MATCH($D1780,RUNS!$A$6:$A$1005,0),MATCH("ACTIVITÉ "&amp;$F1780,RUNS!$L$5:$S$5,0))),""))</f>
        <v/>
      </c>
      <c r="L1780" s="33">
        <f>IF($D1780="","",IFERROR(IF(INDEX(RUNS!$E$6:$E$1005,MATCH($D1780,RUNS!$A$6:$A$1005,0))="","",INDEX(RUNS!$E$6:$E$1005,MATCH($D1780,RUNS!$A$6:$A$1005,0))),""))</f>
        <v/>
      </c>
      <c r="M1780" s="33">
        <f>IF($D1780="","",IFERROR(IF(INDEX(RUNS!$F$6:$F$1005,MATCH($D1780,RUNS!$A$6:$A$1005,0))="","",INDEX(RUNS!$F$6:$F$1005,MATCH($D1780,RUNS!$A$6:$A$1005,0))),""))</f>
        <v/>
      </c>
      <c r="N1780" s="33">
        <f>IF($D1780="","",IFERROR(IF(INDEX(RUNS!$G$6:$G$1005,MATCH($D1780,RUNS!$A$6:$A$1005,0))="","",INDEX(RUNS!$G$6:$G$1005,MATCH($D1780,RUNS!$A$6:$A$1005,0))),""))</f>
        <v/>
      </c>
      <c r="O1780" s="33">
        <f>IF($D1780="","",IFERROR(IF(INDEX(RUNS!$H$6:$H$1005,MATCH($D1780,RUNS!$A$6:$A$1005,0))="","",INDEX(RUNS!$H$6:$H$1005,MATCH($D1780,RUNS!$A$6:$A$1005,0))),""))</f>
        <v/>
      </c>
      <c r="P1780" s="33">
        <f>IF($D1780="","",IFERROR(IF(INDEX(RUNS!$J$6:$J$1005,MATCH($D1780,RUNS!$A$6:$A$1005,0))="","",INDEX(RUNS!$J$6:$J$1005,MATCH($D1780,RUNS!$A$6:$A$1005,0))),""))</f>
        <v/>
      </c>
      <c r="Q1780" s="33">
        <f>IF($D1780="","",IFERROR(IF(INDEX(RUNS!$K$6:$K$1005,MATCH($D1780,RUNS!$A$6:$A$1005,0))="","",INDEX(RUNS!$K$6:$K$1005,MATCH($D1780,RUNS!$A$6:$A$1005,0))),""))</f>
        <v/>
      </c>
      <c r="R1780" s="34">
        <f>IF(OR($L1780="",$K1780=""),"",IFERROR(IF(INDEX(PARAMETRES!$H$43:$H$342,MATCH($L1780&amp;"|"&amp;$M1780&amp;"|"&amp;$N1780&amp;"|"&amp;$O1780&amp;"|"&amp;$P1780&amp;"|"&amp;$Q1780&amp;"|"&amp;$K1780,PARAMETRES!$J$43:$J$342,0))="","",INDEX(PARAMETRES!$H$43:$H$342,MATCH($L1780&amp;"|"&amp;$M1780&amp;"|"&amp;$N1780&amp;"|"&amp;$O1780&amp;"|"&amp;$P1780&amp;"|"&amp;$Q1780&amp;"|"&amp;$K1780,PARAMETRES!$J$43:$J$342,0))),""))</f>
        <v/>
      </c>
      <c r="S1780" s="35">
        <f>IF(OR($G1780="",$X1780&lt;&gt;"VALIDE"),"",IFERROR(LOOKUP(2,1/(($B880:$B1779=$B1780)*($G880:$G1779=$G1780)*($X880:$X1779="VALIDE")),$C880:$C1779),""))</f>
        <v/>
      </c>
      <c r="T1780" s="36">
        <f>IF(OR($C1780="",$S1780=""),"",ROUND(($C1780-$S1780+IF($C1780&lt;$S1780,1,0))*1440,0))</f>
        <v/>
      </c>
      <c r="U1780" s="22">
        <f>IF(OR($H1780="",$T1780="",$T1780&lt;=0),"",$H1780*60/$T1780)</f>
        <v/>
      </c>
      <c r="V1780" s="37">
        <f>IF(OR($U1780="",$R1780="",$R1780=0),"",$U1780/$R1780)</f>
        <v/>
      </c>
      <c r="W1780" s="20">
        <f>IF($G1780="","",IF($X1780="CONTEXTE INCOMPLET","CONTEXTE INCOMPLET",IF($X1780="DOUBLON",StatutDoublon,IF($S1780="",StatutInitial,IF($R1780="",StatutStandardManquant,IF($V1780="","DONNEES INSUFFISANTES",IF($V1780&gt;=SeuilConforme,StatutConforme,IF($V1780&gt;=SeuilSurveiller,StatutSurveiller,StatutSousStandard))))))))</f>
        <v/>
      </c>
      <c r="X1780" s="33">
        <f>IF($G1780="","",IF(OR($D1780="",$E1780="",$F1780=""),"CONTEXTE INCOMPLET",IF(COUNTIFS($D880:$D1779,$D1780,$E880:$E1779,$E1780,$F880:$F1779,$F1780,$G880:$G1779,$G1780)&gt;0,"DOUBLON","VALIDE")))</f>
        <v/>
      </c>
    </row>
    <row r="1781" ht="15" customHeight="1">
      <c r="A1781" s="12">
        <f>IF(OR($B1781="",$G1781=""),"",TEXT($B1781,"YYYYMMDD")&amp;"-"&amp;SUBSTITUTE($E1781," ","")&amp;"-"&amp;$F1781&amp;"-"&amp;$G1781)</f>
        <v/>
      </c>
      <c r="B1781" s="15" t="n"/>
      <c r="C1781" s="16" t="n"/>
      <c r="D1781" s="10" t="n"/>
      <c r="E1781" s="9" t="n"/>
      <c r="F1781" s="9" t="n"/>
      <c r="G1781" s="13" t="n"/>
      <c r="H1781" s="21" t="n"/>
      <c r="I1781" s="21" t="n"/>
      <c r="J1781" s="17">
        <f>IF($G1781="","",IFERROR(INDEX(NomsEmployes,MATCH($G1781,MatriculesEmployes,0)),"MATRICULE INCONNU"))</f>
        <v/>
      </c>
      <c r="K1781" s="33">
        <f>IF(OR($D1781="",$F1781=""),"",IFERROR(IF(INDEX(RUNS!$L$6:$S$1005,MATCH($D1781,RUNS!$A$6:$A$1005,0),MATCH("ACTIVITÉ "&amp;$F1781,RUNS!$L$5:$S$5,0))="","",INDEX(RUNS!$L$6:$S$1005,MATCH($D1781,RUNS!$A$6:$A$1005,0),MATCH("ACTIVITÉ "&amp;$F1781,RUNS!$L$5:$S$5,0))),""))</f>
        <v/>
      </c>
      <c r="L1781" s="33">
        <f>IF($D1781="","",IFERROR(IF(INDEX(RUNS!$E$6:$E$1005,MATCH($D1781,RUNS!$A$6:$A$1005,0))="","",INDEX(RUNS!$E$6:$E$1005,MATCH($D1781,RUNS!$A$6:$A$1005,0))),""))</f>
        <v/>
      </c>
      <c r="M1781" s="33">
        <f>IF($D1781="","",IFERROR(IF(INDEX(RUNS!$F$6:$F$1005,MATCH($D1781,RUNS!$A$6:$A$1005,0))="","",INDEX(RUNS!$F$6:$F$1005,MATCH($D1781,RUNS!$A$6:$A$1005,0))),""))</f>
        <v/>
      </c>
      <c r="N1781" s="33">
        <f>IF($D1781="","",IFERROR(IF(INDEX(RUNS!$G$6:$G$1005,MATCH($D1781,RUNS!$A$6:$A$1005,0))="","",INDEX(RUNS!$G$6:$G$1005,MATCH($D1781,RUNS!$A$6:$A$1005,0))),""))</f>
        <v/>
      </c>
      <c r="O1781" s="33">
        <f>IF($D1781="","",IFERROR(IF(INDEX(RUNS!$H$6:$H$1005,MATCH($D1781,RUNS!$A$6:$A$1005,0))="","",INDEX(RUNS!$H$6:$H$1005,MATCH($D1781,RUNS!$A$6:$A$1005,0))),""))</f>
        <v/>
      </c>
      <c r="P1781" s="33">
        <f>IF($D1781="","",IFERROR(IF(INDEX(RUNS!$J$6:$J$1005,MATCH($D1781,RUNS!$A$6:$A$1005,0))="","",INDEX(RUNS!$J$6:$J$1005,MATCH($D1781,RUNS!$A$6:$A$1005,0))),""))</f>
        <v/>
      </c>
      <c r="Q1781" s="33">
        <f>IF($D1781="","",IFERROR(IF(INDEX(RUNS!$K$6:$K$1005,MATCH($D1781,RUNS!$A$6:$A$1005,0))="","",INDEX(RUNS!$K$6:$K$1005,MATCH($D1781,RUNS!$A$6:$A$1005,0))),""))</f>
        <v/>
      </c>
      <c r="R1781" s="34">
        <f>IF(OR($L1781="",$K1781=""),"",IFERROR(IF(INDEX(PARAMETRES!$H$43:$H$342,MATCH($L1781&amp;"|"&amp;$M1781&amp;"|"&amp;$N1781&amp;"|"&amp;$O1781&amp;"|"&amp;$P1781&amp;"|"&amp;$Q1781&amp;"|"&amp;$K1781,PARAMETRES!$J$43:$J$342,0))="","",INDEX(PARAMETRES!$H$43:$H$342,MATCH($L1781&amp;"|"&amp;$M1781&amp;"|"&amp;$N1781&amp;"|"&amp;$O1781&amp;"|"&amp;$P1781&amp;"|"&amp;$Q1781&amp;"|"&amp;$K1781,PARAMETRES!$J$43:$J$342,0))),""))</f>
        <v/>
      </c>
      <c r="S1781" s="35">
        <f>IF(OR($G1781="",$X1781&lt;&gt;"VALIDE"),"",IFERROR(LOOKUP(2,1/(($B881:$B1780=$B1781)*($G881:$G1780=$G1781)*($X881:$X1780="VALIDE")),$C881:$C1780),""))</f>
        <v/>
      </c>
      <c r="T1781" s="36">
        <f>IF(OR($C1781="",$S1781=""),"",ROUND(($C1781-$S1781+IF($C1781&lt;$S1781,1,0))*1440,0))</f>
        <v/>
      </c>
      <c r="U1781" s="22">
        <f>IF(OR($H1781="",$T1781="",$T1781&lt;=0),"",$H1781*60/$T1781)</f>
        <v/>
      </c>
      <c r="V1781" s="37">
        <f>IF(OR($U1781="",$R1781="",$R1781=0),"",$U1781/$R1781)</f>
        <v/>
      </c>
      <c r="W1781" s="20">
        <f>IF($G1781="","",IF($X1781="CONTEXTE INCOMPLET","CONTEXTE INCOMPLET",IF($X1781="DOUBLON",StatutDoublon,IF($S1781="",StatutInitial,IF($R1781="",StatutStandardManquant,IF($V1781="","DONNEES INSUFFISANTES",IF($V1781&gt;=SeuilConforme,StatutConforme,IF($V1781&gt;=SeuilSurveiller,StatutSurveiller,StatutSousStandard))))))))</f>
        <v/>
      </c>
      <c r="X1781" s="33">
        <f>IF($G1781="","",IF(OR($D1781="",$E1781="",$F1781=""),"CONTEXTE INCOMPLET",IF(COUNTIFS($D881:$D1780,$D1781,$E881:$E1780,$E1781,$F881:$F1780,$F1781,$G881:$G1780,$G1781)&gt;0,"DOUBLON","VALIDE")))</f>
        <v/>
      </c>
    </row>
    <row r="1782" ht="15" customHeight="1">
      <c r="A1782" s="12">
        <f>IF(OR($B1782="",$G1782=""),"",TEXT($B1782,"YYYYMMDD")&amp;"-"&amp;SUBSTITUTE($E1782," ","")&amp;"-"&amp;$F1782&amp;"-"&amp;$G1782)</f>
        <v/>
      </c>
      <c r="B1782" s="15" t="n"/>
      <c r="C1782" s="16" t="n"/>
      <c r="D1782" s="10" t="n"/>
      <c r="E1782" s="9" t="n"/>
      <c r="F1782" s="9" t="n"/>
      <c r="G1782" s="13" t="n"/>
      <c r="H1782" s="21" t="n"/>
      <c r="I1782" s="21" t="n"/>
      <c r="J1782" s="17">
        <f>IF($G1782="","",IFERROR(INDEX(NomsEmployes,MATCH($G1782,MatriculesEmployes,0)),"MATRICULE INCONNU"))</f>
        <v/>
      </c>
      <c r="K1782" s="33">
        <f>IF(OR($D1782="",$F1782=""),"",IFERROR(IF(INDEX(RUNS!$L$6:$S$1005,MATCH($D1782,RUNS!$A$6:$A$1005,0),MATCH("ACTIVITÉ "&amp;$F1782,RUNS!$L$5:$S$5,0))="","",INDEX(RUNS!$L$6:$S$1005,MATCH($D1782,RUNS!$A$6:$A$1005,0),MATCH("ACTIVITÉ "&amp;$F1782,RUNS!$L$5:$S$5,0))),""))</f>
        <v/>
      </c>
      <c r="L1782" s="33">
        <f>IF($D1782="","",IFERROR(IF(INDEX(RUNS!$E$6:$E$1005,MATCH($D1782,RUNS!$A$6:$A$1005,0))="","",INDEX(RUNS!$E$6:$E$1005,MATCH($D1782,RUNS!$A$6:$A$1005,0))),""))</f>
        <v/>
      </c>
      <c r="M1782" s="33">
        <f>IF($D1782="","",IFERROR(IF(INDEX(RUNS!$F$6:$F$1005,MATCH($D1782,RUNS!$A$6:$A$1005,0))="","",INDEX(RUNS!$F$6:$F$1005,MATCH($D1782,RUNS!$A$6:$A$1005,0))),""))</f>
        <v/>
      </c>
      <c r="N1782" s="33">
        <f>IF($D1782="","",IFERROR(IF(INDEX(RUNS!$G$6:$G$1005,MATCH($D1782,RUNS!$A$6:$A$1005,0))="","",INDEX(RUNS!$G$6:$G$1005,MATCH($D1782,RUNS!$A$6:$A$1005,0))),""))</f>
        <v/>
      </c>
      <c r="O1782" s="33">
        <f>IF($D1782="","",IFERROR(IF(INDEX(RUNS!$H$6:$H$1005,MATCH($D1782,RUNS!$A$6:$A$1005,0))="","",INDEX(RUNS!$H$6:$H$1005,MATCH($D1782,RUNS!$A$6:$A$1005,0))),""))</f>
        <v/>
      </c>
      <c r="P1782" s="33">
        <f>IF($D1782="","",IFERROR(IF(INDEX(RUNS!$J$6:$J$1005,MATCH($D1782,RUNS!$A$6:$A$1005,0))="","",INDEX(RUNS!$J$6:$J$1005,MATCH($D1782,RUNS!$A$6:$A$1005,0))),""))</f>
        <v/>
      </c>
      <c r="Q1782" s="33">
        <f>IF($D1782="","",IFERROR(IF(INDEX(RUNS!$K$6:$K$1005,MATCH($D1782,RUNS!$A$6:$A$1005,0))="","",INDEX(RUNS!$K$6:$K$1005,MATCH($D1782,RUNS!$A$6:$A$1005,0))),""))</f>
        <v/>
      </c>
      <c r="R1782" s="34">
        <f>IF(OR($L1782="",$K1782=""),"",IFERROR(IF(INDEX(PARAMETRES!$H$43:$H$342,MATCH($L1782&amp;"|"&amp;$M1782&amp;"|"&amp;$N1782&amp;"|"&amp;$O1782&amp;"|"&amp;$P1782&amp;"|"&amp;$Q1782&amp;"|"&amp;$K1782,PARAMETRES!$J$43:$J$342,0))="","",INDEX(PARAMETRES!$H$43:$H$342,MATCH($L1782&amp;"|"&amp;$M1782&amp;"|"&amp;$N1782&amp;"|"&amp;$O1782&amp;"|"&amp;$P1782&amp;"|"&amp;$Q1782&amp;"|"&amp;$K1782,PARAMETRES!$J$43:$J$342,0))),""))</f>
        <v/>
      </c>
      <c r="S1782" s="35">
        <f>IF(OR($G1782="",$X1782&lt;&gt;"VALIDE"),"",IFERROR(LOOKUP(2,1/(($B882:$B1781=$B1782)*($G882:$G1781=$G1782)*($X882:$X1781="VALIDE")),$C882:$C1781),""))</f>
        <v/>
      </c>
      <c r="T1782" s="36">
        <f>IF(OR($C1782="",$S1782=""),"",ROUND(($C1782-$S1782+IF($C1782&lt;$S1782,1,0))*1440,0))</f>
        <v/>
      </c>
      <c r="U1782" s="22">
        <f>IF(OR($H1782="",$T1782="",$T1782&lt;=0),"",$H1782*60/$T1782)</f>
        <v/>
      </c>
      <c r="V1782" s="37">
        <f>IF(OR($U1782="",$R1782="",$R1782=0),"",$U1782/$R1782)</f>
        <v/>
      </c>
      <c r="W1782" s="20">
        <f>IF($G1782="","",IF($X1782="CONTEXTE INCOMPLET","CONTEXTE INCOMPLET",IF($X1782="DOUBLON",StatutDoublon,IF($S1782="",StatutInitial,IF($R1782="",StatutStandardManquant,IF($V1782="","DONNEES INSUFFISANTES",IF($V1782&gt;=SeuilConforme,StatutConforme,IF($V1782&gt;=SeuilSurveiller,StatutSurveiller,StatutSousStandard))))))))</f>
        <v/>
      </c>
      <c r="X1782" s="33">
        <f>IF($G1782="","",IF(OR($D1782="",$E1782="",$F1782=""),"CONTEXTE INCOMPLET",IF(COUNTIFS($D882:$D1781,$D1782,$E882:$E1781,$E1782,$F882:$F1781,$F1782,$G882:$G1781,$G1782)&gt;0,"DOUBLON","VALIDE")))</f>
        <v/>
      </c>
    </row>
    <row r="1783" ht="15" customHeight="1">
      <c r="A1783" s="12">
        <f>IF(OR($B1783="",$G1783=""),"",TEXT($B1783,"YYYYMMDD")&amp;"-"&amp;SUBSTITUTE($E1783," ","")&amp;"-"&amp;$F1783&amp;"-"&amp;$G1783)</f>
        <v/>
      </c>
      <c r="B1783" s="15" t="n"/>
      <c r="C1783" s="16" t="n"/>
      <c r="D1783" s="10" t="n"/>
      <c r="E1783" s="9" t="n"/>
      <c r="F1783" s="9" t="n"/>
      <c r="G1783" s="13" t="n"/>
      <c r="H1783" s="21" t="n"/>
      <c r="I1783" s="21" t="n"/>
      <c r="J1783" s="17">
        <f>IF($G1783="","",IFERROR(INDEX(NomsEmployes,MATCH($G1783,MatriculesEmployes,0)),"MATRICULE INCONNU"))</f>
        <v/>
      </c>
      <c r="K1783" s="33">
        <f>IF(OR($D1783="",$F1783=""),"",IFERROR(IF(INDEX(RUNS!$L$6:$S$1005,MATCH($D1783,RUNS!$A$6:$A$1005,0),MATCH("ACTIVITÉ "&amp;$F1783,RUNS!$L$5:$S$5,0))="","",INDEX(RUNS!$L$6:$S$1005,MATCH($D1783,RUNS!$A$6:$A$1005,0),MATCH("ACTIVITÉ "&amp;$F1783,RUNS!$L$5:$S$5,0))),""))</f>
        <v/>
      </c>
      <c r="L1783" s="33">
        <f>IF($D1783="","",IFERROR(IF(INDEX(RUNS!$E$6:$E$1005,MATCH($D1783,RUNS!$A$6:$A$1005,0))="","",INDEX(RUNS!$E$6:$E$1005,MATCH($D1783,RUNS!$A$6:$A$1005,0))),""))</f>
        <v/>
      </c>
      <c r="M1783" s="33">
        <f>IF($D1783="","",IFERROR(IF(INDEX(RUNS!$F$6:$F$1005,MATCH($D1783,RUNS!$A$6:$A$1005,0))="","",INDEX(RUNS!$F$6:$F$1005,MATCH($D1783,RUNS!$A$6:$A$1005,0))),""))</f>
        <v/>
      </c>
      <c r="N1783" s="33">
        <f>IF($D1783="","",IFERROR(IF(INDEX(RUNS!$G$6:$G$1005,MATCH($D1783,RUNS!$A$6:$A$1005,0))="","",INDEX(RUNS!$G$6:$G$1005,MATCH($D1783,RUNS!$A$6:$A$1005,0))),""))</f>
        <v/>
      </c>
      <c r="O1783" s="33">
        <f>IF($D1783="","",IFERROR(IF(INDEX(RUNS!$H$6:$H$1005,MATCH($D1783,RUNS!$A$6:$A$1005,0))="","",INDEX(RUNS!$H$6:$H$1005,MATCH($D1783,RUNS!$A$6:$A$1005,0))),""))</f>
        <v/>
      </c>
      <c r="P1783" s="33">
        <f>IF($D1783="","",IFERROR(IF(INDEX(RUNS!$J$6:$J$1005,MATCH($D1783,RUNS!$A$6:$A$1005,0))="","",INDEX(RUNS!$J$6:$J$1005,MATCH($D1783,RUNS!$A$6:$A$1005,0))),""))</f>
        <v/>
      </c>
      <c r="Q1783" s="33">
        <f>IF($D1783="","",IFERROR(IF(INDEX(RUNS!$K$6:$K$1005,MATCH($D1783,RUNS!$A$6:$A$1005,0))="","",INDEX(RUNS!$K$6:$K$1005,MATCH($D1783,RUNS!$A$6:$A$1005,0))),""))</f>
        <v/>
      </c>
      <c r="R1783" s="34">
        <f>IF(OR($L1783="",$K1783=""),"",IFERROR(IF(INDEX(PARAMETRES!$H$43:$H$342,MATCH($L1783&amp;"|"&amp;$M1783&amp;"|"&amp;$N1783&amp;"|"&amp;$O1783&amp;"|"&amp;$P1783&amp;"|"&amp;$Q1783&amp;"|"&amp;$K1783,PARAMETRES!$J$43:$J$342,0))="","",INDEX(PARAMETRES!$H$43:$H$342,MATCH($L1783&amp;"|"&amp;$M1783&amp;"|"&amp;$N1783&amp;"|"&amp;$O1783&amp;"|"&amp;$P1783&amp;"|"&amp;$Q1783&amp;"|"&amp;$K1783,PARAMETRES!$J$43:$J$342,0))),""))</f>
        <v/>
      </c>
      <c r="S1783" s="35">
        <f>IF(OR($G1783="",$X1783&lt;&gt;"VALIDE"),"",IFERROR(LOOKUP(2,1/(($B883:$B1782=$B1783)*($G883:$G1782=$G1783)*($X883:$X1782="VALIDE")),$C883:$C1782),""))</f>
        <v/>
      </c>
      <c r="T1783" s="36">
        <f>IF(OR($C1783="",$S1783=""),"",ROUND(($C1783-$S1783+IF($C1783&lt;$S1783,1,0))*1440,0))</f>
        <v/>
      </c>
      <c r="U1783" s="22">
        <f>IF(OR($H1783="",$T1783="",$T1783&lt;=0),"",$H1783*60/$T1783)</f>
        <v/>
      </c>
      <c r="V1783" s="37">
        <f>IF(OR($U1783="",$R1783="",$R1783=0),"",$U1783/$R1783)</f>
        <v/>
      </c>
      <c r="W1783" s="20">
        <f>IF($G1783="","",IF($X1783="CONTEXTE INCOMPLET","CONTEXTE INCOMPLET",IF($X1783="DOUBLON",StatutDoublon,IF($S1783="",StatutInitial,IF($R1783="",StatutStandardManquant,IF($V1783="","DONNEES INSUFFISANTES",IF($V1783&gt;=SeuilConforme,StatutConforme,IF($V1783&gt;=SeuilSurveiller,StatutSurveiller,StatutSousStandard))))))))</f>
        <v/>
      </c>
      <c r="X1783" s="33">
        <f>IF($G1783="","",IF(OR($D1783="",$E1783="",$F1783=""),"CONTEXTE INCOMPLET",IF(COUNTIFS($D883:$D1782,$D1783,$E883:$E1782,$E1783,$F883:$F1782,$F1783,$G883:$G1782,$G1783)&gt;0,"DOUBLON","VALIDE")))</f>
        <v/>
      </c>
    </row>
    <row r="1784" ht="15" customHeight="1">
      <c r="A1784" s="12">
        <f>IF(OR($B1784="",$G1784=""),"",TEXT($B1784,"YYYYMMDD")&amp;"-"&amp;SUBSTITUTE($E1784," ","")&amp;"-"&amp;$F1784&amp;"-"&amp;$G1784)</f>
        <v/>
      </c>
      <c r="B1784" s="15" t="n"/>
      <c r="C1784" s="16" t="n"/>
      <c r="D1784" s="10" t="n"/>
      <c r="E1784" s="9" t="n"/>
      <c r="F1784" s="9" t="n"/>
      <c r="G1784" s="13" t="n"/>
      <c r="H1784" s="21" t="n"/>
      <c r="I1784" s="21" t="n"/>
      <c r="J1784" s="17">
        <f>IF($G1784="","",IFERROR(INDEX(NomsEmployes,MATCH($G1784,MatriculesEmployes,0)),"MATRICULE INCONNU"))</f>
        <v/>
      </c>
      <c r="K1784" s="33">
        <f>IF(OR($D1784="",$F1784=""),"",IFERROR(IF(INDEX(RUNS!$L$6:$S$1005,MATCH($D1784,RUNS!$A$6:$A$1005,0),MATCH("ACTIVITÉ "&amp;$F1784,RUNS!$L$5:$S$5,0))="","",INDEX(RUNS!$L$6:$S$1005,MATCH($D1784,RUNS!$A$6:$A$1005,0),MATCH("ACTIVITÉ "&amp;$F1784,RUNS!$L$5:$S$5,0))),""))</f>
        <v/>
      </c>
      <c r="L1784" s="33">
        <f>IF($D1784="","",IFERROR(IF(INDEX(RUNS!$E$6:$E$1005,MATCH($D1784,RUNS!$A$6:$A$1005,0))="","",INDEX(RUNS!$E$6:$E$1005,MATCH($D1784,RUNS!$A$6:$A$1005,0))),""))</f>
        <v/>
      </c>
      <c r="M1784" s="33">
        <f>IF($D1784="","",IFERROR(IF(INDEX(RUNS!$F$6:$F$1005,MATCH($D1784,RUNS!$A$6:$A$1005,0))="","",INDEX(RUNS!$F$6:$F$1005,MATCH($D1784,RUNS!$A$6:$A$1005,0))),""))</f>
        <v/>
      </c>
      <c r="N1784" s="33">
        <f>IF($D1784="","",IFERROR(IF(INDEX(RUNS!$G$6:$G$1005,MATCH($D1784,RUNS!$A$6:$A$1005,0))="","",INDEX(RUNS!$G$6:$G$1005,MATCH($D1784,RUNS!$A$6:$A$1005,0))),""))</f>
        <v/>
      </c>
      <c r="O1784" s="33">
        <f>IF($D1784="","",IFERROR(IF(INDEX(RUNS!$H$6:$H$1005,MATCH($D1784,RUNS!$A$6:$A$1005,0))="","",INDEX(RUNS!$H$6:$H$1005,MATCH($D1784,RUNS!$A$6:$A$1005,0))),""))</f>
        <v/>
      </c>
      <c r="P1784" s="33">
        <f>IF($D1784="","",IFERROR(IF(INDEX(RUNS!$J$6:$J$1005,MATCH($D1784,RUNS!$A$6:$A$1005,0))="","",INDEX(RUNS!$J$6:$J$1005,MATCH($D1784,RUNS!$A$6:$A$1005,0))),""))</f>
        <v/>
      </c>
      <c r="Q1784" s="33">
        <f>IF($D1784="","",IFERROR(IF(INDEX(RUNS!$K$6:$K$1005,MATCH($D1784,RUNS!$A$6:$A$1005,0))="","",INDEX(RUNS!$K$6:$K$1005,MATCH($D1784,RUNS!$A$6:$A$1005,0))),""))</f>
        <v/>
      </c>
      <c r="R1784" s="34">
        <f>IF(OR($L1784="",$K1784=""),"",IFERROR(IF(INDEX(PARAMETRES!$H$43:$H$342,MATCH($L1784&amp;"|"&amp;$M1784&amp;"|"&amp;$N1784&amp;"|"&amp;$O1784&amp;"|"&amp;$P1784&amp;"|"&amp;$Q1784&amp;"|"&amp;$K1784,PARAMETRES!$J$43:$J$342,0))="","",INDEX(PARAMETRES!$H$43:$H$342,MATCH($L1784&amp;"|"&amp;$M1784&amp;"|"&amp;$N1784&amp;"|"&amp;$O1784&amp;"|"&amp;$P1784&amp;"|"&amp;$Q1784&amp;"|"&amp;$K1784,PARAMETRES!$J$43:$J$342,0))),""))</f>
        <v/>
      </c>
      <c r="S1784" s="35">
        <f>IF(OR($G1784="",$X1784&lt;&gt;"VALIDE"),"",IFERROR(LOOKUP(2,1/(($B884:$B1783=$B1784)*($G884:$G1783=$G1784)*($X884:$X1783="VALIDE")),$C884:$C1783),""))</f>
        <v/>
      </c>
      <c r="T1784" s="36">
        <f>IF(OR($C1784="",$S1784=""),"",ROUND(($C1784-$S1784+IF($C1784&lt;$S1784,1,0))*1440,0))</f>
        <v/>
      </c>
      <c r="U1784" s="22">
        <f>IF(OR($H1784="",$T1784="",$T1784&lt;=0),"",$H1784*60/$T1784)</f>
        <v/>
      </c>
      <c r="V1784" s="37">
        <f>IF(OR($U1784="",$R1784="",$R1784=0),"",$U1784/$R1784)</f>
        <v/>
      </c>
      <c r="W1784" s="20">
        <f>IF($G1784="","",IF($X1784="CONTEXTE INCOMPLET","CONTEXTE INCOMPLET",IF($X1784="DOUBLON",StatutDoublon,IF($S1784="",StatutInitial,IF($R1784="",StatutStandardManquant,IF($V1784="","DONNEES INSUFFISANTES",IF($V1784&gt;=SeuilConforme,StatutConforme,IF($V1784&gt;=SeuilSurveiller,StatutSurveiller,StatutSousStandard))))))))</f>
        <v/>
      </c>
      <c r="X1784" s="33">
        <f>IF($G1784="","",IF(OR($D1784="",$E1784="",$F1784=""),"CONTEXTE INCOMPLET",IF(COUNTIFS($D884:$D1783,$D1784,$E884:$E1783,$E1784,$F884:$F1783,$F1784,$G884:$G1783,$G1784)&gt;0,"DOUBLON","VALIDE")))</f>
        <v/>
      </c>
    </row>
    <row r="1785" ht="15" customHeight="1">
      <c r="A1785" s="12">
        <f>IF(OR($B1785="",$G1785=""),"",TEXT($B1785,"YYYYMMDD")&amp;"-"&amp;SUBSTITUTE($E1785," ","")&amp;"-"&amp;$F1785&amp;"-"&amp;$G1785)</f>
        <v/>
      </c>
      <c r="B1785" s="15" t="n"/>
      <c r="C1785" s="16" t="n"/>
      <c r="D1785" s="10" t="n"/>
      <c r="E1785" s="9" t="n"/>
      <c r="F1785" s="9" t="n"/>
      <c r="G1785" s="13" t="n"/>
      <c r="H1785" s="21" t="n"/>
      <c r="I1785" s="21" t="n"/>
      <c r="J1785" s="17">
        <f>IF($G1785="","",IFERROR(INDEX(NomsEmployes,MATCH($G1785,MatriculesEmployes,0)),"MATRICULE INCONNU"))</f>
        <v/>
      </c>
      <c r="K1785" s="33">
        <f>IF(OR($D1785="",$F1785=""),"",IFERROR(IF(INDEX(RUNS!$L$6:$S$1005,MATCH($D1785,RUNS!$A$6:$A$1005,0),MATCH("ACTIVITÉ "&amp;$F1785,RUNS!$L$5:$S$5,0))="","",INDEX(RUNS!$L$6:$S$1005,MATCH($D1785,RUNS!$A$6:$A$1005,0),MATCH("ACTIVITÉ "&amp;$F1785,RUNS!$L$5:$S$5,0))),""))</f>
        <v/>
      </c>
      <c r="L1785" s="33">
        <f>IF($D1785="","",IFERROR(IF(INDEX(RUNS!$E$6:$E$1005,MATCH($D1785,RUNS!$A$6:$A$1005,0))="","",INDEX(RUNS!$E$6:$E$1005,MATCH($D1785,RUNS!$A$6:$A$1005,0))),""))</f>
        <v/>
      </c>
      <c r="M1785" s="33">
        <f>IF($D1785="","",IFERROR(IF(INDEX(RUNS!$F$6:$F$1005,MATCH($D1785,RUNS!$A$6:$A$1005,0))="","",INDEX(RUNS!$F$6:$F$1005,MATCH($D1785,RUNS!$A$6:$A$1005,0))),""))</f>
        <v/>
      </c>
      <c r="N1785" s="33">
        <f>IF($D1785="","",IFERROR(IF(INDEX(RUNS!$G$6:$G$1005,MATCH($D1785,RUNS!$A$6:$A$1005,0))="","",INDEX(RUNS!$G$6:$G$1005,MATCH($D1785,RUNS!$A$6:$A$1005,0))),""))</f>
        <v/>
      </c>
      <c r="O1785" s="33">
        <f>IF($D1785="","",IFERROR(IF(INDEX(RUNS!$H$6:$H$1005,MATCH($D1785,RUNS!$A$6:$A$1005,0))="","",INDEX(RUNS!$H$6:$H$1005,MATCH($D1785,RUNS!$A$6:$A$1005,0))),""))</f>
        <v/>
      </c>
      <c r="P1785" s="33">
        <f>IF($D1785="","",IFERROR(IF(INDEX(RUNS!$J$6:$J$1005,MATCH($D1785,RUNS!$A$6:$A$1005,0))="","",INDEX(RUNS!$J$6:$J$1005,MATCH($D1785,RUNS!$A$6:$A$1005,0))),""))</f>
        <v/>
      </c>
      <c r="Q1785" s="33">
        <f>IF($D1785="","",IFERROR(IF(INDEX(RUNS!$K$6:$K$1005,MATCH($D1785,RUNS!$A$6:$A$1005,0))="","",INDEX(RUNS!$K$6:$K$1005,MATCH($D1785,RUNS!$A$6:$A$1005,0))),""))</f>
        <v/>
      </c>
      <c r="R1785" s="34">
        <f>IF(OR($L1785="",$K1785=""),"",IFERROR(IF(INDEX(PARAMETRES!$H$43:$H$342,MATCH($L1785&amp;"|"&amp;$M1785&amp;"|"&amp;$N1785&amp;"|"&amp;$O1785&amp;"|"&amp;$P1785&amp;"|"&amp;$Q1785&amp;"|"&amp;$K1785,PARAMETRES!$J$43:$J$342,0))="","",INDEX(PARAMETRES!$H$43:$H$342,MATCH($L1785&amp;"|"&amp;$M1785&amp;"|"&amp;$N1785&amp;"|"&amp;$O1785&amp;"|"&amp;$P1785&amp;"|"&amp;$Q1785&amp;"|"&amp;$K1785,PARAMETRES!$J$43:$J$342,0))),""))</f>
        <v/>
      </c>
      <c r="S1785" s="35">
        <f>IF(OR($G1785="",$X1785&lt;&gt;"VALIDE"),"",IFERROR(LOOKUP(2,1/(($B885:$B1784=$B1785)*($G885:$G1784=$G1785)*($X885:$X1784="VALIDE")),$C885:$C1784),""))</f>
        <v/>
      </c>
      <c r="T1785" s="36">
        <f>IF(OR($C1785="",$S1785=""),"",ROUND(($C1785-$S1785+IF($C1785&lt;$S1785,1,0))*1440,0))</f>
        <v/>
      </c>
      <c r="U1785" s="22">
        <f>IF(OR($H1785="",$T1785="",$T1785&lt;=0),"",$H1785*60/$T1785)</f>
        <v/>
      </c>
      <c r="V1785" s="37">
        <f>IF(OR($U1785="",$R1785="",$R1785=0),"",$U1785/$R1785)</f>
        <v/>
      </c>
      <c r="W1785" s="20">
        <f>IF($G1785="","",IF($X1785="CONTEXTE INCOMPLET","CONTEXTE INCOMPLET",IF($X1785="DOUBLON",StatutDoublon,IF($S1785="",StatutInitial,IF($R1785="",StatutStandardManquant,IF($V1785="","DONNEES INSUFFISANTES",IF($V1785&gt;=SeuilConforme,StatutConforme,IF($V1785&gt;=SeuilSurveiller,StatutSurveiller,StatutSousStandard))))))))</f>
        <v/>
      </c>
      <c r="X1785" s="33">
        <f>IF($G1785="","",IF(OR($D1785="",$E1785="",$F1785=""),"CONTEXTE INCOMPLET",IF(COUNTIFS($D885:$D1784,$D1785,$E885:$E1784,$E1785,$F885:$F1784,$F1785,$G885:$G1784,$G1785)&gt;0,"DOUBLON","VALIDE")))</f>
        <v/>
      </c>
    </row>
    <row r="1786" ht="15" customHeight="1">
      <c r="A1786" s="12">
        <f>IF(OR($B1786="",$G1786=""),"",TEXT($B1786,"YYYYMMDD")&amp;"-"&amp;SUBSTITUTE($E1786," ","")&amp;"-"&amp;$F1786&amp;"-"&amp;$G1786)</f>
        <v/>
      </c>
      <c r="B1786" s="15" t="n"/>
      <c r="C1786" s="16" t="n"/>
      <c r="D1786" s="10" t="n"/>
      <c r="E1786" s="9" t="n"/>
      <c r="F1786" s="9" t="n"/>
      <c r="G1786" s="13" t="n"/>
      <c r="H1786" s="21" t="n"/>
      <c r="I1786" s="21" t="n"/>
      <c r="J1786" s="17">
        <f>IF($G1786="","",IFERROR(INDEX(NomsEmployes,MATCH($G1786,MatriculesEmployes,0)),"MATRICULE INCONNU"))</f>
        <v/>
      </c>
      <c r="K1786" s="33">
        <f>IF(OR($D1786="",$F1786=""),"",IFERROR(IF(INDEX(RUNS!$L$6:$S$1005,MATCH($D1786,RUNS!$A$6:$A$1005,0),MATCH("ACTIVITÉ "&amp;$F1786,RUNS!$L$5:$S$5,0))="","",INDEX(RUNS!$L$6:$S$1005,MATCH($D1786,RUNS!$A$6:$A$1005,0),MATCH("ACTIVITÉ "&amp;$F1786,RUNS!$L$5:$S$5,0))),""))</f>
        <v/>
      </c>
      <c r="L1786" s="33">
        <f>IF($D1786="","",IFERROR(IF(INDEX(RUNS!$E$6:$E$1005,MATCH($D1786,RUNS!$A$6:$A$1005,0))="","",INDEX(RUNS!$E$6:$E$1005,MATCH($D1786,RUNS!$A$6:$A$1005,0))),""))</f>
        <v/>
      </c>
      <c r="M1786" s="33">
        <f>IF($D1786="","",IFERROR(IF(INDEX(RUNS!$F$6:$F$1005,MATCH($D1786,RUNS!$A$6:$A$1005,0))="","",INDEX(RUNS!$F$6:$F$1005,MATCH($D1786,RUNS!$A$6:$A$1005,0))),""))</f>
        <v/>
      </c>
      <c r="N1786" s="33">
        <f>IF($D1786="","",IFERROR(IF(INDEX(RUNS!$G$6:$G$1005,MATCH($D1786,RUNS!$A$6:$A$1005,0))="","",INDEX(RUNS!$G$6:$G$1005,MATCH($D1786,RUNS!$A$6:$A$1005,0))),""))</f>
        <v/>
      </c>
      <c r="O1786" s="33">
        <f>IF($D1786="","",IFERROR(IF(INDEX(RUNS!$H$6:$H$1005,MATCH($D1786,RUNS!$A$6:$A$1005,0))="","",INDEX(RUNS!$H$6:$H$1005,MATCH($D1786,RUNS!$A$6:$A$1005,0))),""))</f>
        <v/>
      </c>
      <c r="P1786" s="33">
        <f>IF($D1786="","",IFERROR(IF(INDEX(RUNS!$J$6:$J$1005,MATCH($D1786,RUNS!$A$6:$A$1005,0))="","",INDEX(RUNS!$J$6:$J$1005,MATCH($D1786,RUNS!$A$6:$A$1005,0))),""))</f>
        <v/>
      </c>
      <c r="Q1786" s="33">
        <f>IF($D1786="","",IFERROR(IF(INDEX(RUNS!$K$6:$K$1005,MATCH($D1786,RUNS!$A$6:$A$1005,0))="","",INDEX(RUNS!$K$6:$K$1005,MATCH($D1786,RUNS!$A$6:$A$1005,0))),""))</f>
        <v/>
      </c>
      <c r="R1786" s="34">
        <f>IF(OR($L1786="",$K1786=""),"",IFERROR(IF(INDEX(PARAMETRES!$H$43:$H$342,MATCH($L1786&amp;"|"&amp;$M1786&amp;"|"&amp;$N1786&amp;"|"&amp;$O1786&amp;"|"&amp;$P1786&amp;"|"&amp;$Q1786&amp;"|"&amp;$K1786,PARAMETRES!$J$43:$J$342,0))="","",INDEX(PARAMETRES!$H$43:$H$342,MATCH($L1786&amp;"|"&amp;$M1786&amp;"|"&amp;$N1786&amp;"|"&amp;$O1786&amp;"|"&amp;$P1786&amp;"|"&amp;$Q1786&amp;"|"&amp;$K1786,PARAMETRES!$J$43:$J$342,0))),""))</f>
        <v/>
      </c>
      <c r="S1786" s="35">
        <f>IF(OR($G1786="",$X1786&lt;&gt;"VALIDE"),"",IFERROR(LOOKUP(2,1/(($B886:$B1785=$B1786)*($G886:$G1785=$G1786)*($X886:$X1785="VALIDE")),$C886:$C1785),""))</f>
        <v/>
      </c>
      <c r="T1786" s="36">
        <f>IF(OR($C1786="",$S1786=""),"",ROUND(($C1786-$S1786+IF($C1786&lt;$S1786,1,0))*1440,0))</f>
        <v/>
      </c>
      <c r="U1786" s="22">
        <f>IF(OR($H1786="",$T1786="",$T1786&lt;=0),"",$H1786*60/$T1786)</f>
        <v/>
      </c>
      <c r="V1786" s="37">
        <f>IF(OR($U1786="",$R1786="",$R1786=0),"",$U1786/$R1786)</f>
        <v/>
      </c>
      <c r="W1786" s="20">
        <f>IF($G1786="","",IF($X1786="CONTEXTE INCOMPLET","CONTEXTE INCOMPLET",IF($X1786="DOUBLON",StatutDoublon,IF($S1786="",StatutInitial,IF($R1786="",StatutStandardManquant,IF($V1786="","DONNEES INSUFFISANTES",IF($V1786&gt;=SeuilConforme,StatutConforme,IF($V1786&gt;=SeuilSurveiller,StatutSurveiller,StatutSousStandard))))))))</f>
        <v/>
      </c>
      <c r="X1786" s="33">
        <f>IF($G1786="","",IF(OR($D1786="",$E1786="",$F1786=""),"CONTEXTE INCOMPLET",IF(COUNTIFS($D886:$D1785,$D1786,$E886:$E1785,$E1786,$F886:$F1785,$F1786,$G886:$G1785,$G1786)&gt;0,"DOUBLON","VALIDE")))</f>
        <v/>
      </c>
    </row>
    <row r="1787" ht="15" customHeight="1">
      <c r="A1787" s="12">
        <f>IF(OR($B1787="",$G1787=""),"",TEXT($B1787,"YYYYMMDD")&amp;"-"&amp;SUBSTITUTE($E1787," ","")&amp;"-"&amp;$F1787&amp;"-"&amp;$G1787)</f>
        <v/>
      </c>
      <c r="B1787" s="15" t="n"/>
      <c r="C1787" s="16" t="n"/>
      <c r="D1787" s="10" t="n"/>
      <c r="E1787" s="9" t="n"/>
      <c r="F1787" s="9" t="n"/>
      <c r="G1787" s="13" t="n"/>
      <c r="H1787" s="21" t="n"/>
      <c r="I1787" s="21" t="n"/>
      <c r="J1787" s="17">
        <f>IF($G1787="","",IFERROR(INDEX(NomsEmployes,MATCH($G1787,MatriculesEmployes,0)),"MATRICULE INCONNU"))</f>
        <v/>
      </c>
      <c r="K1787" s="33">
        <f>IF(OR($D1787="",$F1787=""),"",IFERROR(IF(INDEX(RUNS!$L$6:$S$1005,MATCH($D1787,RUNS!$A$6:$A$1005,0),MATCH("ACTIVITÉ "&amp;$F1787,RUNS!$L$5:$S$5,0))="","",INDEX(RUNS!$L$6:$S$1005,MATCH($D1787,RUNS!$A$6:$A$1005,0),MATCH("ACTIVITÉ "&amp;$F1787,RUNS!$L$5:$S$5,0))),""))</f>
        <v/>
      </c>
      <c r="L1787" s="33">
        <f>IF($D1787="","",IFERROR(IF(INDEX(RUNS!$E$6:$E$1005,MATCH($D1787,RUNS!$A$6:$A$1005,0))="","",INDEX(RUNS!$E$6:$E$1005,MATCH($D1787,RUNS!$A$6:$A$1005,0))),""))</f>
        <v/>
      </c>
      <c r="M1787" s="33">
        <f>IF($D1787="","",IFERROR(IF(INDEX(RUNS!$F$6:$F$1005,MATCH($D1787,RUNS!$A$6:$A$1005,0))="","",INDEX(RUNS!$F$6:$F$1005,MATCH($D1787,RUNS!$A$6:$A$1005,0))),""))</f>
        <v/>
      </c>
      <c r="N1787" s="33">
        <f>IF($D1787="","",IFERROR(IF(INDEX(RUNS!$G$6:$G$1005,MATCH($D1787,RUNS!$A$6:$A$1005,0))="","",INDEX(RUNS!$G$6:$G$1005,MATCH($D1787,RUNS!$A$6:$A$1005,0))),""))</f>
        <v/>
      </c>
      <c r="O1787" s="33">
        <f>IF($D1787="","",IFERROR(IF(INDEX(RUNS!$H$6:$H$1005,MATCH($D1787,RUNS!$A$6:$A$1005,0))="","",INDEX(RUNS!$H$6:$H$1005,MATCH($D1787,RUNS!$A$6:$A$1005,0))),""))</f>
        <v/>
      </c>
      <c r="P1787" s="33">
        <f>IF($D1787="","",IFERROR(IF(INDEX(RUNS!$J$6:$J$1005,MATCH($D1787,RUNS!$A$6:$A$1005,0))="","",INDEX(RUNS!$J$6:$J$1005,MATCH($D1787,RUNS!$A$6:$A$1005,0))),""))</f>
        <v/>
      </c>
      <c r="Q1787" s="33">
        <f>IF($D1787="","",IFERROR(IF(INDEX(RUNS!$K$6:$K$1005,MATCH($D1787,RUNS!$A$6:$A$1005,0))="","",INDEX(RUNS!$K$6:$K$1005,MATCH($D1787,RUNS!$A$6:$A$1005,0))),""))</f>
        <v/>
      </c>
      <c r="R1787" s="34">
        <f>IF(OR($L1787="",$K1787=""),"",IFERROR(IF(INDEX(PARAMETRES!$H$43:$H$342,MATCH($L1787&amp;"|"&amp;$M1787&amp;"|"&amp;$N1787&amp;"|"&amp;$O1787&amp;"|"&amp;$P1787&amp;"|"&amp;$Q1787&amp;"|"&amp;$K1787,PARAMETRES!$J$43:$J$342,0))="","",INDEX(PARAMETRES!$H$43:$H$342,MATCH($L1787&amp;"|"&amp;$M1787&amp;"|"&amp;$N1787&amp;"|"&amp;$O1787&amp;"|"&amp;$P1787&amp;"|"&amp;$Q1787&amp;"|"&amp;$K1787,PARAMETRES!$J$43:$J$342,0))),""))</f>
        <v/>
      </c>
      <c r="S1787" s="35">
        <f>IF(OR($G1787="",$X1787&lt;&gt;"VALIDE"),"",IFERROR(LOOKUP(2,1/(($B887:$B1786=$B1787)*($G887:$G1786=$G1787)*($X887:$X1786="VALIDE")),$C887:$C1786),""))</f>
        <v/>
      </c>
      <c r="T1787" s="36">
        <f>IF(OR($C1787="",$S1787=""),"",ROUND(($C1787-$S1787+IF($C1787&lt;$S1787,1,0))*1440,0))</f>
        <v/>
      </c>
      <c r="U1787" s="22">
        <f>IF(OR($H1787="",$T1787="",$T1787&lt;=0),"",$H1787*60/$T1787)</f>
        <v/>
      </c>
      <c r="V1787" s="37">
        <f>IF(OR($U1787="",$R1787="",$R1787=0),"",$U1787/$R1787)</f>
        <v/>
      </c>
      <c r="W1787" s="20">
        <f>IF($G1787="","",IF($X1787="CONTEXTE INCOMPLET","CONTEXTE INCOMPLET",IF($X1787="DOUBLON",StatutDoublon,IF($S1787="",StatutInitial,IF($R1787="",StatutStandardManquant,IF($V1787="","DONNEES INSUFFISANTES",IF($V1787&gt;=SeuilConforme,StatutConforme,IF($V1787&gt;=SeuilSurveiller,StatutSurveiller,StatutSousStandard))))))))</f>
        <v/>
      </c>
      <c r="X1787" s="33">
        <f>IF($G1787="","",IF(OR($D1787="",$E1787="",$F1787=""),"CONTEXTE INCOMPLET",IF(COUNTIFS($D887:$D1786,$D1787,$E887:$E1786,$E1787,$F887:$F1786,$F1787,$G887:$G1786,$G1787)&gt;0,"DOUBLON","VALIDE")))</f>
        <v/>
      </c>
    </row>
    <row r="1788" ht="15" customHeight="1">
      <c r="A1788" s="12">
        <f>IF(OR($B1788="",$G1788=""),"",TEXT($B1788,"YYYYMMDD")&amp;"-"&amp;SUBSTITUTE($E1788," ","")&amp;"-"&amp;$F1788&amp;"-"&amp;$G1788)</f>
        <v/>
      </c>
      <c r="B1788" s="15" t="n"/>
      <c r="C1788" s="16" t="n"/>
      <c r="D1788" s="10" t="n"/>
      <c r="E1788" s="9" t="n"/>
      <c r="F1788" s="9" t="n"/>
      <c r="G1788" s="13" t="n"/>
      <c r="H1788" s="21" t="n"/>
      <c r="I1788" s="21" t="n"/>
      <c r="J1788" s="17">
        <f>IF($G1788="","",IFERROR(INDEX(NomsEmployes,MATCH($G1788,MatriculesEmployes,0)),"MATRICULE INCONNU"))</f>
        <v/>
      </c>
      <c r="K1788" s="33">
        <f>IF(OR($D1788="",$F1788=""),"",IFERROR(IF(INDEX(RUNS!$L$6:$S$1005,MATCH($D1788,RUNS!$A$6:$A$1005,0),MATCH("ACTIVITÉ "&amp;$F1788,RUNS!$L$5:$S$5,0))="","",INDEX(RUNS!$L$6:$S$1005,MATCH($D1788,RUNS!$A$6:$A$1005,0),MATCH("ACTIVITÉ "&amp;$F1788,RUNS!$L$5:$S$5,0))),""))</f>
        <v/>
      </c>
      <c r="L1788" s="33">
        <f>IF($D1788="","",IFERROR(IF(INDEX(RUNS!$E$6:$E$1005,MATCH($D1788,RUNS!$A$6:$A$1005,0))="","",INDEX(RUNS!$E$6:$E$1005,MATCH($D1788,RUNS!$A$6:$A$1005,0))),""))</f>
        <v/>
      </c>
      <c r="M1788" s="33">
        <f>IF($D1788="","",IFERROR(IF(INDEX(RUNS!$F$6:$F$1005,MATCH($D1788,RUNS!$A$6:$A$1005,0))="","",INDEX(RUNS!$F$6:$F$1005,MATCH($D1788,RUNS!$A$6:$A$1005,0))),""))</f>
        <v/>
      </c>
      <c r="N1788" s="33">
        <f>IF($D1788="","",IFERROR(IF(INDEX(RUNS!$G$6:$G$1005,MATCH($D1788,RUNS!$A$6:$A$1005,0))="","",INDEX(RUNS!$G$6:$G$1005,MATCH($D1788,RUNS!$A$6:$A$1005,0))),""))</f>
        <v/>
      </c>
      <c r="O1788" s="33">
        <f>IF($D1788="","",IFERROR(IF(INDEX(RUNS!$H$6:$H$1005,MATCH($D1788,RUNS!$A$6:$A$1005,0))="","",INDEX(RUNS!$H$6:$H$1005,MATCH($D1788,RUNS!$A$6:$A$1005,0))),""))</f>
        <v/>
      </c>
      <c r="P1788" s="33">
        <f>IF($D1788="","",IFERROR(IF(INDEX(RUNS!$J$6:$J$1005,MATCH($D1788,RUNS!$A$6:$A$1005,0))="","",INDEX(RUNS!$J$6:$J$1005,MATCH($D1788,RUNS!$A$6:$A$1005,0))),""))</f>
        <v/>
      </c>
      <c r="Q1788" s="33">
        <f>IF($D1788="","",IFERROR(IF(INDEX(RUNS!$K$6:$K$1005,MATCH($D1788,RUNS!$A$6:$A$1005,0))="","",INDEX(RUNS!$K$6:$K$1005,MATCH($D1788,RUNS!$A$6:$A$1005,0))),""))</f>
        <v/>
      </c>
      <c r="R1788" s="34">
        <f>IF(OR($L1788="",$K1788=""),"",IFERROR(IF(INDEX(PARAMETRES!$H$43:$H$342,MATCH($L1788&amp;"|"&amp;$M1788&amp;"|"&amp;$N1788&amp;"|"&amp;$O1788&amp;"|"&amp;$P1788&amp;"|"&amp;$Q1788&amp;"|"&amp;$K1788,PARAMETRES!$J$43:$J$342,0))="","",INDEX(PARAMETRES!$H$43:$H$342,MATCH($L1788&amp;"|"&amp;$M1788&amp;"|"&amp;$N1788&amp;"|"&amp;$O1788&amp;"|"&amp;$P1788&amp;"|"&amp;$Q1788&amp;"|"&amp;$K1788,PARAMETRES!$J$43:$J$342,0))),""))</f>
        <v/>
      </c>
      <c r="S1788" s="35">
        <f>IF(OR($G1788="",$X1788&lt;&gt;"VALIDE"),"",IFERROR(LOOKUP(2,1/(($B888:$B1787=$B1788)*($G888:$G1787=$G1788)*($X888:$X1787="VALIDE")),$C888:$C1787),""))</f>
        <v/>
      </c>
      <c r="T1788" s="36">
        <f>IF(OR($C1788="",$S1788=""),"",ROUND(($C1788-$S1788+IF($C1788&lt;$S1788,1,0))*1440,0))</f>
        <v/>
      </c>
      <c r="U1788" s="22">
        <f>IF(OR($H1788="",$T1788="",$T1788&lt;=0),"",$H1788*60/$T1788)</f>
        <v/>
      </c>
      <c r="V1788" s="37">
        <f>IF(OR($U1788="",$R1788="",$R1788=0),"",$U1788/$R1788)</f>
        <v/>
      </c>
      <c r="W1788" s="20">
        <f>IF($G1788="","",IF($X1788="CONTEXTE INCOMPLET","CONTEXTE INCOMPLET",IF($X1788="DOUBLON",StatutDoublon,IF($S1788="",StatutInitial,IF($R1788="",StatutStandardManquant,IF($V1788="","DONNEES INSUFFISANTES",IF($V1788&gt;=SeuilConforme,StatutConforme,IF($V1788&gt;=SeuilSurveiller,StatutSurveiller,StatutSousStandard))))))))</f>
        <v/>
      </c>
      <c r="X1788" s="33">
        <f>IF($G1788="","",IF(OR($D1788="",$E1788="",$F1788=""),"CONTEXTE INCOMPLET",IF(COUNTIFS($D888:$D1787,$D1788,$E888:$E1787,$E1788,$F888:$F1787,$F1788,$G888:$G1787,$G1788)&gt;0,"DOUBLON","VALIDE")))</f>
        <v/>
      </c>
    </row>
    <row r="1789" ht="15" customHeight="1">
      <c r="A1789" s="12">
        <f>IF(OR($B1789="",$G1789=""),"",TEXT($B1789,"YYYYMMDD")&amp;"-"&amp;SUBSTITUTE($E1789," ","")&amp;"-"&amp;$F1789&amp;"-"&amp;$G1789)</f>
        <v/>
      </c>
      <c r="B1789" s="15" t="n"/>
      <c r="C1789" s="16" t="n"/>
      <c r="D1789" s="10" t="n"/>
      <c r="E1789" s="9" t="n"/>
      <c r="F1789" s="9" t="n"/>
      <c r="G1789" s="13" t="n"/>
      <c r="H1789" s="21" t="n"/>
      <c r="I1789" s="21" t="n"/>
      <c r="J1789" s="17">
        <f>IF($G1789="","",IFERROR(INDEX(NomsEmployes,MATCH($G1789,MatriculesEmployes,0)),"MATRICULE INCONNU"))</f>
        <v/>
      </c>
      <c r="K1789" s="33">
        <f>IF(OR($D1789="",$F1789=""),"",IFERROR(IF(INDEX(RUNS!$L$6:$S$1005,MATCH($D1789,RUNS!$A$6:$A$1005,0),MATCH("ACTIVITÉ "&amp;$F1789,RUNS!$L$5:$S$5,0))="","",INDEX(RUNS!$L$6:$S$1005,MATCH($D1789,RUNS!$A$6:$A$1005,0),MATCH("ACTIVITÉ "&amp;$F1789,RUNS!$L$5:$S$5,0))),""))</f>
        <v/>
      </c>
      <c r="L1789" s="33">
        <f>IF($D1789="","",IFERROR(IF(INDEX(RUNS!$E$6:$E$1005,MATCH($D1789,RUNS!$A$6:$A$1005,0))="","",INDEX(RUNS!$E$6:$E$1005,MATCH($D1789,RUNS!$A$6:$A$1005,0))),""))</f>
        <v/>
      </c>
      <c r="M1789" s="33">
        <f>IF($D1789="","",IFERROR(IF(INDEX(RUNS!$F$6:$F$1005,MATCH($D1789,RUNS!$A$6:$A$1005,0))="","",INDEX(RUNS!$F$6:$F$1005,MATCH($D1789,RUNS!$A$6:$A$1005,0))),""))</f>
        <v/>
      </c>
      <c r="N1789" s="33">
        <f>IF($D1789="","",IFERROR(IF(INDEX(RUNS!$G$6:$G$1005,MATCH($D1789,RUNS!$A$6:$A$1005,0))="","",INDEX(RUNS!$G$6:$G$1005,MATCH($D1789,RUNS!$A$6:$A$1005,0))),""))</f>
        <v/>
      </c>
      <c r="O1789" s="33">
        <f>IF($D1789="","",IFERROR(IF(INDEX(RUNS!$H$6:$H$1005,MATCH($D1789,RUNS!$A$6:$A$1005,0))="","",INDEX(RUNS!$H$6:$H$1005,MATCH($D1789,RUNS!$A$6:$A$1005,0))),""))</f>
        <v/>
      </c>
      <c r="P1789" s="33">
        <f>IF($D1789="","",IFERROR(IF(INDEX(RUNS!$J$6:$J$1005,MATCH($D1789,RUNS!$A$6:$A$1005,0))="","",INDEX(RUNS!$J$6:$J$1005,MATCH($D1789,RUNS!$A$6:$A$1005,0))),""))</f>
        <v/>
      </c>
      <c r="Q1789" s="33">
        <f>IF($D1789="","",IFERROR(IF(INDEX(RUNS!$K$6:$K$1005,MATCH($D1789,RUNS!$A$6:$A$1005,0))="","",INDEX(RUNS!$K$6:$K$1005,MATCH($D1789,RUNS!$A$6:$A$1005,0))),""))</f>
        <v/>
      </c>
      <c r="R1789" s="34">
        <f>IF(OR($L1789="",$K1789=""),"",IFERROR(IF(INDEX(PARAMETRES!$H$43:$H$342,MATCH($L1789&amp;"|"&amp;$M1789&amp;"|"&amp;$N1789&amp;"|"&amp;$O1789&amp;"|"&amp;$P1789&amp;"|"&amp;$Q1789&amp;"|"&amp;$K1789,PARAMETRES!$J$43:$J$342,0))="","",INDEX(PARAMETRES!$H$43:$H$342,MATCH($L1789&amp;"|"&amp;$M1789&amp;"|"&amp;$N1789&amp;"|"&amp;$O1789&amp;"|"&amp;$P1789&amp;"|"&amp;$Q1789&amp;"|"&amp;$K1789,PARAMETRES!$J$43:$J$342,0))),""))</f>
        <v/>
      </c>
      <c r="S1789" s="35">
        <f>IF(OR($G1789="",$X1789&lt;&gt;"VALIDE"),"",IFERROR(LOOKUP(2,1/(($B889:$B1788=$B1789)*($G889:$G1788=$G1789)*($X889:$X1788="VALIDE")),$C889:$C1788),""))</f>
        <v/>
      </c>
      <c r="T1789" s="36">
        <f>IF(OR($C1789="",$S1789=""),"",ROUND(($C1789-$S1789+IF($C1789&lt;$S1789,1,0))*1440,0))</f>
        <v/>
      </c>
      <c r="U1789" s="22">
        <f>IF(OR($H1789="",$T1789="",$T1789&lt;=0),"",$H1789*60/$T1789)</f>
        <v/>
      </c>
      <c r="V1789" s="37">
        <f>IF(OR($U1789="",$R1789="",$R1789=0),"",$U1789/$R1789)</f>
        <v/>
      </c>
      <c r="W1789" s="20">
        <f>IF($G1789="","",IF($X1789="CONTEXTE INCOMPLET","CONTEXTE INCOMPLET",IF($X1789="DOUBLON",StatutDoublon,IF($S1789="",StatutInitial,IF($R1789="",StatutStandardManquant,IF($V1789="","DONNEES INSUFFISANTES",IF($V1789&gt;=SeuilConforme,StatutConforme,IF($V1789&gt;=SeuilSurveiller,StatutSurveiller,StatutSousStandard))))))))</f>
        <v/>
      </c>
      <c r="X1789" s="33">
        <f>IF($G1789="","",IF(OR($D1789="",$E1789="",$F1789=""),"CONTEXTE INCOMPLET",IF(COUNTIFS($D889:$D1788,$D1789,$E889:$E1788,$E1789,$F889:$F1788,$F1789,$G889:$G1788,$G1789)&gt;0,"DOUBLON","VALIDE")))</f>
        <v/>
      </c>
    </row>
    <row r="1790" ht="15" customHeight="1">
      <c r="A1790" s="12">
        <f>IF(OR($B1790="",$G1790=""),"",TEXT($B1790,"YYYYMMDD")&amp;"-"&amp;SUBSTITUTE($E1790," ","")&amp;"-"&amp;$F1790&amp;"-"&amp;$G1790)</f>
        <v/>
      </c>
      <c r="B1790" s="15" t="n"/>
      <c r="C1790" s="16" t="n"/>
      <c r="D1790" s="10" t="n"/>
      <c r="E1790" s="9" t="n"/>
      <c r="F1790" s="9" t="n"/>
      <c r="G1790" s="13" t="n"/>
      <c r="H1790" s="21" t="n"/>
      <c r="I1790" s="21" t="n"/>
      <c r="J1790" s="17">
        <f>IF($G1790="","",IFERROR(INDEX(NomsEmployes,MATCH($G1790,MatriculesEmployes,0)),"MATRICULE INCONNU"))</f>
        <v/>
      </c>
      <c r="K1790" s="33">
        <f>IF(OR($D1790="",$F1790=""),"",IFERROR(IF(INDEX(RUNS!$L$6:$S$1005,MATCH($D1790,RUNS!$A$6:$A$1005,0),MATCH("ACTIVITÉ "&amp;$F1790,RUNS!$L$5:$S$5,0))="","",INDEX(RUNS!$L$6:$S$1005,MATCH($D1790,RUNS!$A$6:$A$1005,0),MATCH("ACTIVITÉ "&amp;$F1790,RUNS!$L$5:$S$5,0))),""))</f>
        <v/>
      </c>
      <c r="L1790" s="33">
        <f>IF($D1790="","",IFERROR(IF(INDEX(RUNS!$E$6:$E$1005,MATCH($D1790,RUNS!$A$6:$A$1005,0))="","",INDEX(RUNS!$E$6:$E$1005,MATCH($D1790,RUNS!$A$6:$A$1005,0))),""))</f>
        <v/>
      </c>
      <c r="M1790" s="33">
        <f>IF($D1790="","",IFERROR(IF(INDEX(RUNS!$F$6:$F$1005,MATCH($D1790,RUNS!$A$6:$A$1005,0))="","",INDEX(RUNS!$F$6:$F$1005,MATCH($D1790,RUNS!$A$6:$A$1005,0))),""))</f>
        <v/>
      </c>
      <c r="N1790" s="33">
        <f>IF($D1790="","",IFERROR(IF(INDEX(RUNS!$G$6:$G$1005,MATCH($D1790,RUNS!$A$6:$A$1005,0))="","",INDEX(RUNS!$G$6:$G$1005,MATCH($D1790,RUNS!$A$6:$A$1005,0))),""))</f>
        <v/>
      </c>
      <c r="O1790" s="33">
        <f>IF($D1790="","",IFERROR(IF(INDEX(RUNS!$H$6:$H$1005,MATCH($D1790,RUNS!$A$6:$A$1005,0))="","",INDEX(RUNS!$H$6:$H$1005,MATCH($D1790,RUNS!$A$6:$A$1005,0))),""))</f>
        <v/>
      </c>
      <c r="P1790" s="33">
        <f>IF($D1790="","",IFERROR(IF(INDEX(RUNS!$J$6:$J$1005,MATCH($D1790,RUNS!$A$6:$A$1005,0))="","",INDEX(RUNS!$J$6:$J$1005,MATCH($D1790,RUNS!$A$6:$A$1005,0))),""))</f>
        <v/>
      </c>
      <c r="Q1790" s="33">
        <f>IF($D1790="","",IFERROR(IF(INDEX(RUNS!$K$6:$K$1005,MATCH($D1790,RUNS!$A$6:$A$1005,0))="","",INDEX(RUNS!$K$6:$K$1005,MATCH($D1790,RUNS!$A$6:$A$1005,0))),""))</f>
        <v/>
      </c>
      <c r="R1790" s="34">
        <f>IF(OR($L1790="",$K1790=""),"",IFERROR(IF(INDEX(PARAMETRES!$H$43:$H$342,MATCH($L1790&amp;"|"&amp;$M1790&amp;"|"&amp;$N1790&amp;"|"&amp;$O1790&amp;"|"&amp;$P1790&amp;"|"&amp;$Q1790&amp;"|"&amp;$K1790,PARAMETRES!$J$43:$J$342,0))="","",INDEX(PARAMETRES!$H$43:$H$342,MATCH($L1790&amp;"|"&amp;$M1790&amp;"|"&amp;$N1790&amp;"|"&amp;$O1790&amp;"|"&amp;$P1790&amp;"|"&amp;$Q1790&amp;"|"&amp;$K1790,PARAMETRES!$J$43:$J$342,0))),""))</f>
        <v/>
      </c>
      <c r="S1790" s="35">
        <f>IF(OR($G1790="",$X1790&lt;&gt;"VALIDE"),"",IFERROR(LOOKUP(2,1/(($B890:$B1789=$B1790)*($G890:$G1789=$G1790)*($X890:$X1789="VALIDE")),$C890:$C1789),""))</f>
        <v/>
      </c>
      <c r="T1790" s="36">
        <f>IF(OR($C1790="",$S1790=""),"",ROUND(($C1790-$S1790+IF($C1790&lt;$S1790,1,0))*1440,0))</f>
        <v/>
      </c>
      <c r="U1790" s="22">
        <f>IF(OR($H1790="",$T1790="",$T1790&lt;=0),"",$H1790*60/$T1790)</f>
        <v/>
      </c>
      <c r="V1790" s="37">
        <f>IF(OR($U1790="",$R1790="",$R1790=0),"",$U1790/$R1790)</f>
        <v/>
      </c>
      <c r="W1790" s="20">
        <f>IF($G1790="","",IF($X1790="CONTEXTE INCOMPLET","CONTEXTE INCOMPLET",IF($X1790="DOUBLON",StatutDoublon,IF($S1790="",StatutInitial,IF($R1790="",StatutStandardManquant,IF($V1790="","DONNEES INSUFFISANTES",IF($V1790&gt;=SeuilConforme,StatutConforme,IF($V1790&gt;=SeuilSurveiller,StatutSurveiller,StatutSousStandard))))))))</f>
        <v/>
      </c>
      <c r="X1790" s="33">
        <f>IF($G1790="","",IF(OR($D1790="",$E1790="",$F1790=""),"CONTEXTE INCOMPLET",IF(COUNTIFS($D890:$D1789,$D1790,$E890:$E1789,$E1790,$F890:$F1789,$F1790,$G890:$G1789,$G1790)&gt;0,"DOUBLON","VALIDE")))</f>
        <v/>
      </c>
    </row>
    <row r="1791" ht="15" customHeight="1">
      <c r="A1791" s="12">
        <f>IF(OR($B1791="",$G1791=""),"",TEXT($B1791,"YYYYMMDD")&amp;"-"&amp;SUBSTITUTE($E1791," ","")&amp;"-"&amp;$F1791&amp;"-"&amp;$G1791)</f>
        <v/>
      </c>
      <c r="B1791" s="15" t="n"/>
      <c r="C1791" s="16" t="n"/>
      <c r="D1791" s="10" t="n"/>
      <c r="E1791" s="9" t="n"/>
      <c r="F1791" s="9" t="n"/>
      <c r="G1791" s="13" t="n"/>
      <c r="H1791" s="21" t="n"/>
      <c r="I1791" s="21" t="n"/>
      <c r="J1791" s="17">
        <f>IF($G1791="","",IFERROR(INDEX(NomsEmployes,MATCH($G1791,MatriculesEmployes,0)),"MATRICULE INCONNU"))</f>
        <v/>
      </c>
      <c r="K1791" s="33">
        <f>IF(OR($D1791="",$F1791=""),"",IFERROR(IF(INDEX(RUNS!$L$6:$S$1005,MATCH($D1791,RUNS!$A$6:$A$1005,0),MATCH("ACTIVITÉ "&amp;$F1791,RUNS!$L$5:$S$5,0))="","",INDEX(RUNS!$L$6:$S$1005,MATCH($D1791,RUNS!$A$6:$A$1005,0),MATCH("ACTIVITÉ "&amp;$F1791,RUNS!$L$5:$S$5,0))),""))</f>
        <v/>
      </c>
      <c r="L1791" s="33">
        <f>IF($D1791="","",IFERROR(IF(INDEX(RUNS!$E$6:$E$1005,MATCH($D1791,RUNS!$A$6:$A$1005,0))="","",INDEX(RUNS!$E$6:$E$1005,MATCH($D1791,RUNS!$A$6:$A$1005,0))),""))</f>
        <v/>
      </c>
      <c r="M1791" s="33">
        <f>IF($D1791="","",IFERROR(IF(INDEX(RUNS!$F$6:$F$1005,MATCH($D1791,RUNS!$A$6:$A$1005,0))="","",INDEX(RUNS!$F$6:$F$1005,MATCH($D1791,RUNS!$A$6:$A$1005,0))),""))</f>
        <v/>
      </c>
      <c r="N1791" s="33">
        <f>IF($D1791="","",IFERROR(IF(INDEX(RUNS!$G$6:$G$1005,MATCH($D1791,RUNS!$A$6:$A$1005,0))="","",INDEX(RUNS!$G$6:$G$1005,MATCH($D1791,RUNS!$A$6:$A$1005,0))),""))</f>
        <v/>
      </c>
      <c r="O1791" s="33">
        <f>IF($D1791="","",IFERROR(IF(INDEX(RUNS!$H$6:$H$1005,MATCH($D1791,RUNS!$A$6:$A$1005,0))="","",INDEX(RUNS!$H$6:$H$1005,MATCH($D1791,RUNS!$A$6:$A$1005,0))),""))</f>
        <v/>
      </c>
      <c r="P1791" s="33">
        <f>IF($D1791="","",IFERROR(IF(INDEX(RUNS!$J$6:$J$1005,MATCH($D1791,RUNS!$A$6:$A$1005,0))="","",INDEX(RUNS!$J$6:$J$1005,MATCH($D1791,RUNS!$A$6:$A$1005,0))),""))</f>
        <v/>
      </c>
      <c r="Q1791" s="33">
        <f>IF($D1791="","",IFERROR(IF(INDEX(RUNS!$K$6:$K$1005,MATCH($D1791,RUNS!$A$6:$A$1005,0))="","",INDEX(RUNS!$K$6:$K$1005,MATCH($D1791,RUNS!$A$6:$A$1005,0))),""))</f>
        <v/>
      </c>
      <c r="R1791" s="34">
        <f>IF(OR($L1791="",$K1791=""),"",IFERROR(IF(INDEX(PARAMETRES!$H$43:$H$342,MATCH($L1791&amp;"|"&amp;$M1791&amp;"|"&amp;$N1791&amp;"|"&amp;$O1791&amp;"|"&amp;$P1791&amp;"|"&amp;$Q1791&amp;"|"&amp;$K1791,PARAMETRES!$J$43:$J$342,0))="","",INDEX(PARAMETRES!$H$43:$H$342,MATCH($L1791&amp;"|"&amp;$M1791&amp;"|"&amp;$N1791&amp;"|"&amp;$O1791&amp;"|"&amp;$P1791&amp;"|"&amp;$Q1791&amp;"|"&amp;$K1791,PARAMETRES!$J$43:$J$342,0))),""))</f>
        <v/>
      </c>
      <c r="S1791" s="35">
        <f>IF(OR($G1791="",$X1791&lt;&gt;"VALIDE"),"",IFERROR(LOOKUP(2,1/(($B891:$B1790=$B1791)*($G891:$G1790=$G1791)*($X891:$X1790="VALIDE")),$C891:$C1790),""))</f>
        <v/>
      </c>
      <c r="T1791" s="36">
        <f>IF(OR($C1791="",$S1791=""),"",ROUND(($C1791-$S1791+IF($C1791&lt;$S1791,1,0))*1440,0))</f>
        <v/>
      </c>
      <c r="U1791" s="22">
        <f>IF(OR($H1791="",$T1791="",$T1791&lt;=0),"",$H1791*60/$T1791)</f>
        <v/>
      </c>
      <c r="V1791" s="37">
        <f>IF(OR($U1791="",$R1791="",$R1791=0),"",$U1791/$R1791)</f>
        <v/>
      </c>
      <c r="W1791" s="20">
        <f>IF($G1791="","",IF($X1791="CONTEXTE INCOMPLET","CONTEXTE INCOMPLET",IF($X1791="DOUBLON",StatutDoublon,IF($S1791="",StatutInitial,IF($R1791="",StatutStandardManquant,IF($V1791="","DONNEES INSUFFISANTES",IF($V1791&gt;=SeuilConforme,StatutConforme,IF($V1791&gt;=SeuilSurveiller,StatutSurveiller,StatutSousStandard))))))))</f>
        <v/>
      </c>
      <c r="X1791" s="33">
        <f>IF($G1791="","",IF(OR($D1791="",$E1791="",$F1791=""),"CONTEXTE INCOMPLET",IF(COUNTIFS($D891:$D1790,$D1791,$E891:$E1790,$E1791,$F891:$F1790,$F1791,$G891:$G1790,$G1791)&gt;0,"DOUBLON","VALIDE")))</f>
        <v/>
      </c>
    </row>
    <row r="1792" ht="15" customHeight="1">
      <c r="A1792" s="12">
        <f>IF(OR($B1792="",$G1792=""),"",TEXT($B1792,"YYYYMMDD")&amp;"-"&amp;SUBSTITUTE($E1792," ","")&amp;"-"&amp;$F1792&amp;"-"&amp;$G1792)</f>
        <v/>
      </c>
      <c r="B1792" s="15" t="n"/>
      <c r="C1792" s="16" t="n"/>
      <c r="D1792" s="10" t="n"/>
      <c r="E1792" s="9" t="n"/>
      <c r="F1792" s="9" t="n"/>
      <c r="G1792" s="13" t="n"/>
      <c r="H1792" s="21" t="n"/>
      <c r="I1792" s="21" t="n"/>
      <c r="J1792" s="17">
        <f>IF($G1792="","",IFERROR(INDEX(NomsEmployes,MATCH($G1792,MatriculesEmployes,0)),"MATRICULE INCONNU"))</f>
        <v/>
      </c>
      <c r="K1792" s="33">
        <f>IF(OR($D1792="",$F1792=""),"",IFERROR(IF(INDEX(RUNS!$L$6:$S$1005,MATCH($D1792,RUNS!$A$6:$A$1005,0),MATCH("ACTIVITÉ "&amp;$F1792,RUNS!$L$5:$S$5,0))="","",INDEX(RUNS!$L$6:$S$1005,MATCH($D1792,RUNS!$A$6:$A$1005,0),MATCH("ACTIVITÉ "&amp;$F1792,RUNS!$L$5:$S$5,0))),""))</f>
        <v/>
      </c>
      <c r="L1792" s="33">
        <f>IF($D1792="","",IFERROR(IF(INDEX(RUNS!$E$6:$E$1005,MATCH($D1792,RUNS!$A$6:$A$1005,0))="","",INDEX(RUNS!$E$6:$E$1005,MATCH($D1792,RUNS!$A$6:$A$1005,0))),""))</f>
        <v/>
      </c>
      <c r="M1792" s="33">
        <f>IF($D1792="","",IFERROR(IF(INDEX(RUNS!$F$6:$F$1005,MATCH($D1792,RUNS!$A$6:$A$1005,0))="","",INDEX(RUNS!$F$6:$F$1005,MATCH($D1792,RUNS!$A$6:$A$1005,0))),""))</f>
        <v/>
      </c>
      <c r="N1792" s="33">
        <f>IF($D1792="","",IFERROR(IF(INDEX(RUNS!$G$6:$G$1005,MATCH($D1792,RUNS!$A$6:$A$1005,0))="","",INDEX(RUNS!$G$6:$G$1005,MATCH($D1792,RUNS!$A$6:$A$1005,0))),""))</f>
        <v/>
      </c>
      <c r="O1792" s="33">
        <f>IF($D1792="","",IFERROR(IF(INDEX(RUNS!$H$6:$H$1005,MATCH($D1792,RUNS!$A$6:$A$1005,0))="","",INDEX(RUNS!$H$6:$H$1005,MATCH($D1792,RUNS!$A$6:$A$1005,0))),""))</f>
        <v/>
      </c>
      <c r="P1792" s="33">
        <f>IF($D1792="","",IFERROR(IF(INDEX(RUNS!$J$6:$J$1005,MATCH($D1792,RUNS!$A$6:$A$1005,0))="","",INDEX(RUNS!$J$6:$J$1005,MATCH($D1792,RUNS!$A$6:$A$1005,0))),""))</f>
        <v/>
      </c>
      <c r="Q1792" s="33">
        <f>IF($D1792="","",IFERROR(IF(INDEX(RUNS!$K$6:$K$1005,MATCH($D1792,RUNS!$A$6:$A$1005,0))="","",INDEX(RUNS!$K$6:$K$1005,MATCH($D1792,RUNS!$A$6:$A$1005,0))),""))</f>
        <v/>
      </c>
      <c r="R1792" s="34">
        <f>IF(OR($L1792="",$K1792=""),"",IFERROR(IF(INDEX(PARAMETRES!$H$43:$H$342,MATCH($L1792&amp;"|"&amp;$M1792&amp;"|"&amp;$N1792&amp;"|"&amp;$O1792&amp;"|"&amp;$P1792&amp;"|"&amp;$Q1792&amp;"|"&amp;$K1792,PARAMETRES!$J$43:$J$342,0))="","",INDEX(PARAMETRES!$H$43:$H$342,MATCH($L1792&amp;"|"&amp;$M1792&amp;"|"&amp;$N1792&amp;"|"&amp;$O1792&amp;"|"&amp;$P1792&amp;"|"&amp;$Q1792&amp;"|"&amp;$K1792,PARAMETRES!$J$43:$J$342,0))),""))</f>
        <v/>
      </c>
      <c r="S1792" s="35">
        <f>IF(OR($G1792="",$X1792&lt;&gt;"VALIDE"),"",IFERROR(LOOKUP(2,1/(($B892:$B1791=$B1792)*($G892:$G1791=$G1792)*($X892:$X1791="VALIDE")),$C892:$C1791),""))</f>
        <v/>
      </c>
      <c r="T1792" s="36">
        <f>IF(OR($C1792="",$S1792=""),"",ROUND(($C1792-$S1792+IF($C1792&lt;$S1792,1,0))*1440,0))</f>
        <v/>
      </c>
      <c r="U1792" s="22">
        <f>IF(OR($H1792="",$T1792="",$T1792&lt;=0),"",$H1792*60/$T1792)</f>
        <v/>
      </c>
      <c r="V1792" s="37">
        <f>IF(OR($U1792="",$R1792="",$R1792=0),"",$U1792/$R1792)</f>
        <v/>
      </c>
      <c r="W1792" s="20">
        <f>IF($G1792="","",IF($X1792="CONTEXTE INCOMPLET","CONTEXTE INCOMPLET",IF($X1792="DOUBLON",StatutDoublon,IF($S1792="",StatutInitial,IF($R1792="",StatutStandardManquant,IF($V1792="","DONNEES INSUFFISANTES",IF($V1792&gt;=SeuilConforme,StatutConforme,IF($V1792&gt;=SeuilSurveiller,StatutSurveiller,StatutSousStandard))))))))</f>
        <v/>
      </c>
      <c r="X1792" s="33">
        <f>IF($G1792="","",IF(OR($D1792="",$E1792="",$F1792=""),"CONTEXTE INCOMPLET",IF(COUNTIFS($D892:$D1791,$D1792,$E892:$E1791,$E1792,$F892:$F1791,$F1792,$G892:$G1791,$G1792)&gt;0,"DOUBLON","VALIDE")))</f>
        <v/>
      </c>
    </row>
    <row r="1793" ht="15" customHeight="1">
      <c r="A1793" s="12">
        <f>IF(OR($B1793="",$G1793=""),"",TEXT($B1793,"YYYYMMDD")&amp;"-"&amp;SUBSTITUTE($E1793," ","")&amp;"-"&amp;$F1793&amp;"-"&amp;$G1793)</f>
        <v/>
      </c>
      <c r="B1793" s="15" t="n"/>
      <c r="C1793" s="16" t="n"/>
      <c r="D1793" s="10" t="n"/>
      <c r="E1793" s="9" t="n"/>
      <c r="F1793" s="9" t="n"/>
      <c r="G1793" s="13" t="n"/>
      <c r="H1793" s="21" t="n"/>
      <c r="I1793" s="21" t="n"/>
      <c r="J1793" s="17">
        <f>IF($G1793="","",IFERROR(INDEX(NomsEmployes,MATCH($G1793,MatriculesEmployes,0)),"MATRICULE INCONNU"))</f>
        <v/>
      </c>
      <c r="K1793" s="33">
        <f>IF(OR($D1793="",$F1793=""),"",IFERROR(IF(INDEX(RUNS!$L$6:$S$1005,MATCH($D1793,RUNS!$A$6:$A$1005,0),MATCH("ACTIVITÉ "&amp;$F1793,RUNS!$L$5:$S$5,0))="","",INDEX(RUNS!$L$6:$S$1005,MATCH($D1793,RUNS!$A$6:$A$1005,0),MATCH("ACTIVITÉ "&amp;$F1793,RUNS!$L$5:$S$5,0))),""))</f>
        <v/>
      </c>
      <c r="L1793" s="33">
        <f>IF($D1793="","",IFERROR(IF(INDEX(RUNS!$E$6:$E$1005,MATCH($D1793,RUNS!$A$6:$A$1005,0))="","",INDEX(RUNS!$E$6:$E$1005,MATCH($D1793,RUNS!$A$6:$A$1005,0))),""))</f>
        <v/>
      </c>
      <c r="M1793" s="33">
        <f>IF($D1793="","",IFERROR(IF(INDEX(RUNS!$F$6:$F$1005,MATCH($D1793,RUNS!$A$6:$A$1005,0))="","",INDEX(RUNS!$F$6:$F$1005,MATCH($D1793,RUNS!$A$6:$A$1005,0))),""))</f>
        <v/>
      </c>
      <c r="N1793" s="33">
        <f>IF($D1793="","",IFERROR(IF(INDEX(RUNS!$G$6:$G$1005,MATCH($D1793,RUNS!$A$6:$A$1005,0))="","",INDEX(RUNS!$G$6:$G$1005,MATCH($D1793,RUNS!$A$6:$A$1005,0))),""))</f>
        <v/>
      </c>
      <c r="O1793" s="33">
        <f>IF($D1793="","",IFERROR(IF(INDEX(RUNS!$H$6:$H$1005,MATCH($D1793,RUNS!$A$6:$A$1005,0))="","",INDEX(RUNS!$H$6:$H$1005,MATCH($D1793,RUNS!$A$6:$A$1005,0))),""))</f>
        <v/>
      </c>
      <c r="P1793" s="33">
        <f>IF($D1793="","",IFERROR(IF(INDEX(RUNS!$J$6:$J$1005,MATCH($D1793,RUNS!$A$6:$A$1005,0))="","",INDEX(RUNS!$J$6:$J$1005,MATCH($D1793,RUNS!$A$6:$A$1005,0))),""))</f>
        <v/>
      </c>
      <c r="Q1793" s="33">
        <f>IF($D1793="","",IFERROR(IF(INDEX(RUNS!$K$6:$K$1005,MATCH($D1793,RUNS!$A$6:$A$1005,0))="","",INDEX(RUNS!$K$6:$K$1005,MATCH($D1793,RUNS!$A$6:$A$1005,0))),""))</f>
        <v/>
      </c>
      <c r="R1793" s="34">
        <f>IF(OR($L1793="",$K1793=""),"",IFERROR(IF(INDEX(PARAMETRES!$H$43:$H$342,MATCH($L1793&amp;"|"&amp;$M1793&amp;"|"&amp;$N1793&amp;"|"&amp;$O1793&amp;"|"&amp;$P1793&amp;"|"&amp;$Q1793&amp;"|"&amp;$K1793,PARAMETRES!$J$43:$J$342,0))="","",INDEX(PARAMETRES!$H$43:$H$342,MATCH($L1793&amp;"|"&amp;$M1793&amp;"|"&amp;$N1793&amp;"|"&amp;$O1793&amp;"|"&amp;$P1793&amp;"|"&amp;$Q1793&amp;"|"&amp;$K1793,PARAMETRES!$J$43:$J$342,0))),""))</f>
        <v/>
      </c>
      <c r="S1793" s="35">
        <f>IF(OR($G1793="",$X1793&lt;&gt;"VALIDE"),"",IFERROR(LOOKUP(2,1/(($B893:$B1792=$B1793)*($G893:$G1792=$G1793)*($X893:$X1792="VALIDE")),$C893:$C1792),""))</f>
        <v/>
      </c>
      <c r="T1793" s="36">
        <f>IF(OR($C1793="",$S1793=""),"",ROUND(($C1793-$S1793+IF($C1793&lt;$S1793,1,0))*1440,0))</f>
        <v/>
      </c>
      <c r="U1793" s="22">
        <f>IF(OR($H1793="",$T1793="",$T1793&lt;=0),"",$H1793*60/$T1793)</f>
        <v/>
      </c>
      <c r="V1793" s="37">
        <f>IF(OR($U1793="",$R1793="",$R1793=0),"",$U1793/$R1793)</f>
        <v/>
      </c>
      <c r="W1793" s="20">
        <f>IF($G1793="","",IF($X1793="CONTEXTE INCOMPLET","CONTEXTE INCOMPLET",IF($X1793="DOUBLON",StatutDoublon,IF($S1793="",StatutInitial,IF($R1793="",StatutStandardManquant,IF($V1793="","DONNEES INSUFFISANTES",IF($V1793&gt;=SeuilConforme,StatutConforme,IF($V1793&gt;=SeuilSurveiller,StatutSurveiller,StatutSousStandard))))))))</f>
        <v/>
      </c>
      <c r="X1793" s="33">
        <f>IF($G1793="","",IF(OR($D1793="",$E1793="",$F1793=""),"CONTEXTE INCOMPLET",IF(COUNTIFS($D893:$D1792,$D1793,$E893:$E1792,$E1793,$F893:$F1792,$F1793,$G893:$G1792,$G1793)&gt;0,"DOUBLON","VALIDE")))</f>
        <v/>
      </c>
    </row>
    <row r="1794" ht="15" customHeight="1">
      <c r="A1794" s="12">
        <f>IF(OR($B1794="",$G1794=""),"",TEXT($B1794,"YYYYMMDD")&amp;"-"&amp;SUBSTITUTE($E1794," ","")&amp;"-"&amp;$F1794&amp;"-"&amp;$G1794)</f>
        <v/>
      </c>
      <c r="B1794" s="15" t="n"/>
      <c r="C1794" s="16" t="n"/>
      <c r="D1794" s="10" t="n"/>
      <c r="E1794" s="9" t="n"/>
      <c r="F1794" s="9" t="n"/>
      <c r="G1794" s="13" t="n"/>
      <c r="H1794" s="21" t="n"/>
      <c r="I1794" s="21" t="n"/>
      <c r="J1794" s="17">
        <f>IF($G1794="","",IFERROR(INDEX(NomsEmployes,MATCH($G1794,MatriculesEmployes,0)),"MATRICULE INCONNU"))</f>
        <v/>
      </c>
      <c r="K1794" s="33">
        <f>IF(OR($D1794="",$F1794=""),"",IFERROR(IF(INDEX(RUNS!$L$6:$S$1005,MATCH($D1794,RUNS!$A$6:$A$1005,0),MATCH("ACTIVITÉ "&amp;$F1794,RUNS!$L$5:$S$5,0))="","",INDEX(RUNS!$L$6:$S$1005,MATCH($D1794,RUNS!$A$6:$A$1005,0),MATCH("ACTIVITÉ "&amp;$F1794,RUNS!$L$5:$S$5,0))),""))</f>
        <v/>
      </c>
      <c r="L1794" s="33">
        <f>IF($D1794="","",IFERROR(IF(INDEX(RUNS!$E$6:$E$1005,MATCH($D1794,RUNS!$A$6:$A$1005,0))="","",INDEX(RUNS!$E$6:$E$1005,MATCH($D1794,RUNS!$A$6:$A$1005,0))),""))</f>
        <v/>
      </c>
      <c r="M1794" s="33">
        <f>IF($D1794="","",IFERROR(IF(INDEX(RUNS!$F$6:$F$1005,MATCH($D1794,RUNS!$A$6:$A$1005,0))="","",INDEX(RUNS!$F$6:$F$1005,MATCH($D1794,RUNS!$A$6:$A$1005,0))),""))</f>
        <v/>
      </c>
      <c r="N1794" s="33">
        <f>IF($D1794="","",IFERROR(IF(INDEX(RUNS!$G$6:$G$1005,MATCH($D1794,RUNS!$A$6:$A$1005,0))="","",INDEX(RUNS!$G$6:$G$1005,MATCH($D1794,RUNS!$A$6:$A$1005,0))),""))</f>
        <v/>
      </c>
      <c r="O1794" s="33">
        <f>IF($D1794="","",IFERROR(IF(INDEX(RUNS!$H$6:$H$1005,MATCH($D1794,RUNS!$A$6:$A$1005,0))="","",INDEX(RUNS!$H$6:$H$1005,MATCH($D1794,RUNS!$A$6:$A$1005,0))),""))</f>
        <v/>
      </c>
      <c r="P1794" s="33">
        <f>IF($D1794="","",IFERROR(IF(INDEX(RUNS!$J$6:$J$1005,MATCH($D1794,RUNS!$A$6:$A$1005,0))="","",INDEX(RUNS!$J$6:$J$1005,MATCH($D1794,RUNS!$A$6:$A$1005,0))),""))</f>
        <v/>
      </c>
      <c r="Q1794" s="33">
        <f>IF($D1794="","",IFERROR(IF(INDEX(RUNS!$K$6:$K$1005,MATCH($D1794,RUNS!$A$6:$A$1005,0))="","",INDEX(RUNS!$K$6:$K$1005,MATCH($D1794,RUNS!$A$6:$A$1005,0))),""))</f>
        <v/>
      </c>
      <c r="R1794" s="34">
        <f>IF(OR($L1794="",$K1794=""),"",IFERROR(IF(INDEX(PARAMETRES!$H$43:$H$342,MATCH($L1794&amp;"|"&amp;$M1794&amp;"|"&amp;$N1794&amp;"|"&amp;$O1794&amp;"|"&amp;$P1794&amp;"|"&amp;$Q1794&amp;"|"&amp;$K1794,PARAMETRES!$J$43:$J$342,0))="","",INDEX(PARAMETRES!$H$43:$H$342,MATCH($L1794&amp;"|"&amp;$M1794&amp;"|"&amp;$N1794&amp;"|"&amp;$O1794&amp;"|"&amp;$P1794&amp;"|"&amp;$Q1794&amp;"|"&amp;$K1794,PARAMETRES!$J$43:$J$342,0))),""))</f>
        <v/>
      </c>
      <c r="S1794" s="35">
        <f>IF(OR($G1794="",$X1794&lt;&gt;"VALIDE"),"",IFERROR(LOOKUP(2,1/(($B894:$B1793=$B1794)*($G894:$G1793=$G1794)*($X894:$X1793="VALIDE")),$C894:$C1793),""))</f>
        <v/>
      </c>
      <c r="T1794" s="36">
        <f>IF(OR($C1794="",$S1794=""),"",ROUND(($C1794-$S1794+IF($C1794&lt;$S1794,1,0))*1440,0))</f>
        <v/>
      </c>
      <c r="U1794" s="22">
        <f>IF(OR($H1794="",$T1794="",$T1794&lt;=0),"",$H1794*60/$T1794)</f>
        <v/>
      </c>
      <c r="V1794" s="37">
        <f>IF(OR($U1794="",$R1794="",$R1794=0),"",$U1794/$R1794)</f>
        <v/>
      </c>
      <c r="W1794" s="20">
        <f>IF($G1794="","",IF($X1794="CONTEXTE INCOMPLET","CONTEXTE INCOMPLET",IF($X1794="DOUBLON",StatutDoublon,IF($S1794="",StatutInitial,IF($R1794="",StatutStandardManquant,IF($V1794="","DONNEES INSUFFISANTES",IF($V1794&gt;=SeuilConforme,StatutConforme,IF($V1794&gt;=SeuilSurveiller,StatutSurveiller,StatutSousStandard))))))))</f>
        <v/>
      </c>
      <c r="X1794" s="33">
        <f>IF($G1794="","",IF(OR($D1794="",$E1794="",$F1794=""),"CONTEXTE INCOMPLET",IF(COUNTIFS($D894:$D1793,$D1794,$E894:$E1793,$E1794,$F894:$F1793,$F1794,$G894:$G1793,$G1794)&gt;0,"DOUBLON","VALIDE")))</f>
        <v/>
      </c>
    </row>
    <row r="1795" ht="15" customHeight="1">
      <c r="A1795" s="12">
        <f>IF(OR($B1795="",$G1795=""),"",TEXT($B1795,"YYYYMMDD")&amp;"-"&amp;SUBSTITUTE($E1795," ","")&amp;"-"&amp;$F1795&amp;"-"&amp;$G1795)</f>
        <v/>
      </c>
      <c r="B1795" s="15" t="n"/>
      <c r="C1795" s="16" t="n"/>
      <c r="D1795" s="10" t="n"/>
      <c r="E1795" s="9" t="n"/>
      <c r="F1795" s="9" t="n"/>
      <c r="G1795" s="13" t="n"/>
      <c r="H1795" s="21" t="n"/>
      <c r="I1795" s="21" t="n"/>
      <c r="J1795" s="17">
        <f>IF($G1795="","",IFERROR(INDEX(NomsEmployes,MATCH($G1795,MatriculesEmployes,0)),"MATRICULE INCONNU"))</f>
        <v/>
      </c>
      <c r="K1795" s="33">
        <f>IF(OR($D1795="",$F1795=""),"",IFERROR(IF(INDEX(RUNS!$L$6:$S$1005,MATCH($D1795,RUNS!$A$6:$A$1005,0),MATCH("ACTIVITÉ "&amp;$F1795,RUNS!$L$5:$S$5,0))="","",INDEX(RUNS!$L$6:$S$1005,MATCH($D1795,RUNS!$A$6:$A$1005,0),MATCH("ACTIVITÉ "&amp;$F1795,RUNS!$L$5:$S$5,0))),""))</f>
        <v/>
      </c>
      <c r="L1795" s="33">
        <f>IF($D1795="","",IFERROR(IF(INDEX(RUNS!$E$6:$E$1005,MATCH($D1795,RUNS!$A$6:$A$1005,0))="","",INDEX(RUNS!$E$6:$E$1005,MATCH($D1795,RUNS!$A$6:$A$1005,0))),""))</f>
        <v/>
      </c>
      <c r="M1795" s="33">
        <f>IF($D1795="","",IFERROR(IF(INDEX(RUNS!$F$6:$F$1005,MATCH($D1795,RUNS!$A$6:$A$1005,0))="","",INDEX(RUNS!$F$6:$F$1005,MATCH($D1795,RUNS!$A$6:$A$1005,0))),""))</f>
        <v/>
      </c>
      <c r="N1795" s="33">
        <f>IF($D1795="","",IFERROR(IF(INDEX(RUNS!$G$6:$G$1005,MATCH($D1795,RUNS!$A$6:$A$1005,0))="","",INDEX(RUNS!$G$6:$G$1005,MATCH($D1795,RUNS!$A$6:$A$1005,0))),""))</f>
        <v/>
      </c>
      <c r="O1795" s="33">
        <f>IF($D1795="","",IFERROR(IF(INDEX(RUNS!$H$6:$H$1005,MATCH($D1795,RUNS!$A$6:$A$1005,0))="","",INDEX(RUNS!$H$6:$H$1005,MATCH($D1795,RUNS!$A$6:$A$1005,0))),""))</f>
        <v/>
      </c>
      <c r="P1795" s="33">
        <f>IF($D1795="","",IFERROR(IF(INDEX(RUNS!$J$6:$J$1005,MATCH($D1795,RUNS!$A$6:$A$1005,0))="","",INDEX(RUNS!$J$6:$J$1005,MATCH($D1795,RUNS!$A$6:$A$1005,0))),""))</f>
        <v/>
      </c>
      <c r="Q1795" s="33">
        <f>IF($D1795="","",IFERROR(IF(INDEX(RUNS!$K$6:$K$1005,MATCH($D1795,RUNS!$A$6:$A$1005,0))="","",INDEX(RUNS!$K$6:$K$1005,MATCH($D1795,RUNS!$A$6:$A$1005,0))),""))</f>
        <v/>
      </c>
      <c r="R1795" s="34">
        <f>IF(OR($L1795="",$K1795=""),"",IFERROR(IF(INDEX(PARAMETRES!$H$43:$H$342,MATCH($L1795&amp;"|"&amp;$M1795&amp;"|"&amp;$N1795&amp;"|"&amp;$O1795&amp;"|"&amp;$P1795&amp;"|"&amp;$Q1795&amp;"|"&amp;$K1795,PARAMETRES!$J$43:$J$342,0))="","",INDEX(PARAMETRES!$H$43:$H$342,MATCH($L1795&amp;"|"&amp;$M1795&amp;"|"&amp;$N1795&amp;"|"&amp;$O1795&amp;"|"&amp;$P1795&amp;"|"&amp;$Q1795&amp;"|"&amp;$K1795,PARAMETRES!$J$43:$J$342,0))),""))</f>
        <v/>
      </c>
      <c r="S1795" s="35">
        <f>IF(OR($G1795="",$X1795&lt;&gt;"VALIDE"),"",IFERROR(LOOKUP(2,1/(($B895:$B1794=$B1795)*($G895:$G1794=$G1795)*($X895:$X1794="VALIDE")),$C895:$C1794),""))</f>
        <v/>
      </c>
      <c r="T1795" s="36">
        <f>IF(OR($C1795="",$S1795=""),"",ROUND(($C1795-$S1795+IF($C1795&lt;$S1795,1,0))*1440,0))</f>
        <v/>
      </c>
      <c r="U1795" s="22">
        <f>IF(OR($H1795="",$T1795="",$T1795&lt;=0),"",$H1795*60/$T1795)</f>
        <v/>
      </c>
      <c r="V1795" s="37">
        <f>IF(OR($U1795="",$R1795="",$R1795=0),"",$U1795/$R1795)</f>
        <v/>
      </c>
      <c r="W1795" s="20">
        <f>IF($G1795="","",IF($X1795="CONTEXTE INCOMPLET","CONTEXTE INCOMPLET",IF($X1795="DOUBLON",StatutDoublon,IF($S1795="",StatutInitial,IF($R1795="",StatutStandardManquant,IF($V1795="","DONNEES INSUFFISANTES",IF($V1795&gt;=SeuilConforme,StatutConforme,IF($V1795&gt;=SeuilSurveiller,StatutSurveiller,StatutSousStandard))))))))</f>
        <v/>
      </c>
      <c r="X1795" s="33">
        <f>IF($G1795="","",IF(OR($D1795="",$E1795="",$F1795=""),"CONTEXTE INCOMPLET",IF(COUNTIFS($D895:$D1794,$D1795,$E895:$E1794,$E1795,$F895:$F1794,$F1795,$G895:$G1794,$G1795)&gt;0,"DOUBLON","VALIDE")))</f>
        <v/>
      </c>
    </row>
    <row r="1796" ht="15" customHeight="1">
      <c r="A1796" s="12">
        <f>IF(OR($B1796="",$G1796=""),"",TEXT($B1796,"YYYYMMDD")&amp;"-"&amp;SUBSTITUTE($E1796," ","")&amp;"-"&amp;$F1796&amp;"-"&amp;$G1796)</f>
        <v/>
      </c>
      <c r="B1796" s="15" t="n"/>
      <c r="C1796" s="16" t="n"/>
      <c r="D1796" s="10" t="n"/>
      <c r="E1796" s="9" t="n"/>
      <c r="F1796" s="9" t="n"/>
      <c r="G1796" s="13" t="n"/>
      <c r="H1796" s="21" t="n"/>
      <c r="I1796" s="21" t="n"/>
      <c r="J1796" s="17">
        <f>IF($G1796="","",IFERROR(INDEX(NomsEmployes,MATCH($G1796,MatriculesEmployes,0)),"MATRICULE INCONNU"))</f>
        <v/>
      </c>
      <c r="K1796" s="33">
        <f>IF(OR($D1796="",$F1796=""),"",IFERROR(IF(INDEX(RUNS!$L$6:$S$1005,MATCH($D1796,RUNS!$A$6:$A$1005,0),MATCH("ACTIVITÉ "&amp;$F1796,RUNS!$L$5:$S$5,0))="","",INDEX(RUNS!$L$6:$S$1005,MATCH($D1796,RUNS!$A$6:$A$1005,0),MATCH("ACTIVITÉ "&amp;$F1796,RUNS!$L$5:$S$5,0))),""))</f>
        <v/>
      </c>
      <c r="L1796" s="33">
        <f>IF($D1796="","",IFERROR(IF(INDEX(RUNS!$E$6:$E$1005,MATCH($D1796,RUNS!$A$6:$A$1005,0))="","",INDEX(RUNS!$E$6:$E$1005,MATCH($D1796,RUNS!$A$6:$A$1005,0))),""))</f>
        <v/>
      </c>
      <c r="M1796" s="33">
        <f>IF($D1796="","",IFERROR(IF(INDEX(RUNS!$F$6:$F$1005,MATCH($D1796,RUNS!$A$6:$A$1005,0))="","",INDEX(RUNS!$F$6:$F$1005,MATCH($D1796,RUNS!$A$6:$A$1005,0))),""))</f>
        <v/>
      </c>
      <c r="N1796" s="33">
        <f>IF($D1796="","",IFERROR(IF(INDEX(RUNS!$G$6:$G$1005,MATCH($D1796,RUNS!$A$6:$A$1005,0))="","",INDEX(RUNS!$G$6:$G$1005,MATCH($D1796,RUNS!$A$6:$A$1005,0))),""))</f>
        <v/>
      </c>
      <c r="O1796" s="33">
        <f>IF($D1796="","",IFERROR(IF(INDEX(RUNS!$H$6:$H$1005,MATCH($D1796,RUNS!$A$6:$A$1005,0))="","",INDEX(RUNS!$H$6:$H$1005,MATCH($D1796,RUNS!$A$6:$A$1005,0))),""))</f>
        <v/>
      </c>
      <c r="P1796" s="33">
        <f>IF($D1796="","",IFERROR(IF(INDEX(RUNS!$J$6:$J$1005,MATCH($D1796,RUNS!$A$6:$A$1005,0))="","",INDEX(RUNS!$J$6:$J$1005,MATCH($D1796,RUNS!$A$6:$A$1005,0))),""))</f>
        <v/>
      </c>
      <c r="Q1796" s="33">
        <f>IF($D1796="","",IFERROR(IF(INDEX(RUNS!$K$6:$K$1005,MATCH($D1796,RUNS!$A$6:$A$1005,0))="","",INDEX(RUNS!$K$6:$K$1005,MATCH($D1796,RUNS!$A$6:$A$1005,0))),""))</f>
        <v/>
      </c>
      <c r="R1796" s="34">
        <f>IF(OR($L1796="",$K1796=""),"",IFERROR(IF(INDEX(PARAMETRES!$H$43:$H$342,MATCH($L1796&amp;"|"&amp;$M1796&amp;"|"&amp;$N1796&amp;"|"&amp;$O1796&amp;"|"&amp;$P1796&amp;"|"&amp;$Q1796&amp;"|"&amp;$K1796,PARAMETRES!$J$43:$J$342,0))="","",INDEX(PARAMETRES!$H$43:$H$342,MATCH($L1796&amp;"|"&amp;$M1796&amp;"|"&amp;$N1796&amp;"|"&amp;$O1796&amp;"|"&amp;$P1796&amp;"|"&amp;$Q1796&amp;"|"&amp;$K1796,PARAMETRES!$J$43:$J$342,0))),""))</f>
        <v/>
      </c>
      <c r="S1796" s="35">
        <f>IF(OR($G1796="",$X1796&lt;&gt;"VALIDE"),"",IFERROR(LOOKUP(2,1/(($B896:$B1795=$B1796)*($G896:$G1795=$G1796)*($X896:$X1795="VALIDE")),$C896:$C1795),""))</f>
        <v/>
      </c>
      <c r="T1796" s="36">
        <f>IF(OR($C1796="",$S1796=""),"",ROUND(($C1796-$S1796+IF($C1796&lt;$S1796,1,0))*1440,0))</f>
        <v/>
      </c>
      <c r="U1796" s="22">
        <f>IF(OR($H1796="",$T1796="",$T1796&lt;=0),"",$H1796*60/$T1796)</f>
        <v/>
      </c>
      <c r="V1796" s="37">
        <f>IF(OR($U1796="",$R1796="",$R1796=0),"",$U1796/$R1796)</f>
        <v/>
      </c>
      <c r="W1796" s="20">
        <f>IF($G1796="","",IF($X1796="CONTEXTE INCOMPLET","CONTEXTE INCOMPLET",IF($X1796="DOUBLON",StatutDoublon,IF($S1796="",StatutInitial,IF($R1796="",StatutStandardManquant,IF($V1796="","DONNEES INSUFFISANTES",IF($V1796&gt;=SeuilConforme,StatutConforme,IF($V1796&gt;=SeuilSurveiller,StatutSurveiller,StatutSousStandard))))))))</f>
        <v/>
      </c>
      <c r="X1796" s="33">
        <f>IF($G1796="","",IF(OR($D1796="",$E1796="",$F1796=""),"CONTEXTE INCOMPLET",IF(COUNTIFS($D896:$D1795,$D1796,$E896:$E1795,$E1796,$F896:$F1795,$F1796,$G896:$G1795,$G1796)&gt;0,"DOUBLON","VALIDE")))</f>
        <v/>
      </c>
    </row>
    <row r="1797" ht="15" customHeight="1">
      <c r="A1797" s="12">
        <f>IF(OR($B1797="",$G1797=""),"",TEXT($B1797,"YYYYMMDD")&amp;"-"&amp;SUBSTITUTE($E1797," ","")&amp;"-"&amp;$F1797&amp;"-"&amp;$G1797)</f>
        <v/>
      </c>
      <c r="B1797" s="15" t="n"/>
      <c r="C1797" s="16" t="n"/>
      <c r="D1797" s="10" t="n"/>
      <c r="E1797" s="9" t="n"/>
      <c r="F1797" s="9" t="n"/>
      <c r="G1797" s="13" t="n"/>
      <c r="H1797" s="21" t="n"/>
      <c r="I1797" s="21" t="n"/>
      <c r="J1797" s="17">
        <f>IF($G1797="","",IFERROR(INDEX(NomsEmployes,MATCH($G1797,MatriculesEmployes,0)),"MATRICULE INCONNU"))</f>
        <v/>
      </c>
      <c r="K1797" s="33">
        <f>IF(OR($D1797="",$F1797=""),"",IFERROR(IF(INDEX(RUNS!$L$6:$S$1005,MATCH($D1797,RUNS!$A$6:$A$1005,0),MATCH("ACTIVITÉ "&amp;$F1797,RUNS!$L$5:$S$5,0))="","",INDEX(RUNS!$L$6:$S$1005,MATCH($D1797,RUNS!$A$6:$A$1005,0),MATCH("ACTIVITÉ "&amp;$F1797,RUNS!$L$5:$S$5,0))),""))</f>
        <v/>
      </c>
      <c r="L1797" s="33">
        <f>IF($D1797="","",IFERROR(IF(INDEX(RUNS!$E$6:$E$1005,MATCH($D1797,RUNS!$A$6:$A$1005,0))="","",INDEX(RUNS!$E$6:$E$1005,MATCH($D1797,RUNS!$A$6:$A$1005,0))),""))</f>
        <v/>
      </c>
      <c r="M1797" s="33">
        <f>IF($D1797="","",IFERROR(IF(INDEX(RUNS!$F$6:$F$1005,MATCH($D1797,RUNS!$A$6:$A$1005,0))="","",INDEX(RUNS!$F$6:$F$1005,MATCH($D1797,RUNS!$A$6:$A$1005,0))),""))</f>
        <v/>
      </c>
      <c r="N1797" s="33">
        <f>IF($D1797="","",IFERROR(IF(INDEX(RUNS!$G$6:$G$1005,MATCH($D1797,RUNS!$A$6:$A$1005,0))="","",INDEX(RUNS!$G$6:$G$1005,MATCH($D1797,RUNS!$A$6:$A$1005,0))),""))</f>
        <v/>
      </c>
      <c r="O1797" s="33">
        <f>IF($D1797="","",IFERROR(IF(INDEX(RUNS!$H$6:$H$1005,MATCH($D1797,RUNS!$A$6:$A$1005,0))="","",INDEX(RUNS!$H$6:$H$1005,MATCH($D1797,RUNS!$A$6:$A$1005,0))),""))</f>
        <v/>
      </c>
      <c r="P1797" s="33">
        <f>IF($D1797="","",IFERROR(IF(INDEX(RUNS!$J$6:$J$1005,MATCH($D1797,RUNS!$A$6:$A$1005,0))="","",INDEX(RUNS!$J$6:$J$1005,MATCH($D1797,RUNS!$A$6:$A$1005,0))),""))</f>
        <v/>
      </c>
      <c r="Q1797" s="33">
        <f>IF($D1797="","",IFERROR(IF(INDEX(RUNS!$K$6:$K$1005,MATCH($D1797,RUNS!$A$6:$A$1005,0))="","",INDEX(RUNS!$K$6:$K$1005,MATCH($D1797,RUNS!$A$6:$A$1005,0))),""))</f>
        <v/>
      </c>
      <c r="R1797" s="34">
        <f>IF(OR($L1797="",$K1797=""),"",IFERROR(IF(INDEX(PARAMETRES!$H$43:$H$342,MATCH($L1797&amp;"|"&amp;$M1797&amp;"|"&amp;$N1797&amp;"|"&amp;$O1797&amp;"|"&amp;$P1797&amp;"|"&amp;$Q1797&amp;"|"&amp;$K1797,PARAMETRES!$J$43:$J$342,0))="","",INDEX(PARAMETRES!$H$43:$H$342,MATCH($L1797&amp;"|"&amp;$M1797&amp;"|"&amp;$N1797&amp;"|"&amp;$O1797&amp;"|"&amp;$P1797&amp;"|"&amp;$Q1797&amp;"|"&amp;$K1797,PARAMETRES!$J$43:$J$342,0))),""))</f>
        <v/>
      </c>
      <c r="S1797" s="35">
        <f>IF(OR($G1797="",$X1797&lt;&gt;"VALIDE"),"",IFERROR(LOOKUP(2,1/(($B897:$B1796=$B1797)*($G897:$G1796=$G1797)*($X897:$X1796="VALIDE")),$C897:$C1796),""))</f>
        <v/>
      </c>
      <c r="T1797" s="36">
        <f>IF(OR($C1797="",$S1797=""),"",ROUND(($C1797-$S1797+IF($C1797&lt;$S1797,1,0))*1440,0))</f>
        <v/>
      </c>
      <c r="U1797" s="22">
        <f>IF(OR($H1797="",$T1797="",$T1797&lt;=0),"",$H1797*60/$T1797)</f>
        <v/>
      </c>
      <c r="V1797" s="37">
        <f>IF(OR($U1797="",$R1797="",$R1797=0),"",$U1797/$R1797)</f>
        <v/>
      </c>
      <c r="W1797" s="20">
        <f>IF($G1797="","",IF($X1797="CONTEXTE INCOMPLET","CONTEXTE INCOMPLET",IF($X1797="DOUBLON",StatutDoublon,IF($S1797="",StatutInitial,IF($R1797="",StatutStandardManquant,IF($V1797="","DONNEES INSUFFISANTES",IF($V1797&gt;=SeuilConforme,StatutConforme,IF($V1797&gt;=SeuilSurveiller,StatutSurveiller,StatutSousStandard))))))))</f>
        <v/>
      </c>
      <c r="X1797" s="33">
        <f>IF($G1797="","",IF(OR($D1797="",$E1797="",$F1797=""),"CONTEXTE INCOMPLET",IF(COUNTIFS($D897:$D1796,$D1797,$E897:$E1796,$E1797,$F897:$F1796,$F1797,$G897:$G1796,$G1797)&gt;0,"DOUBLON","VALIDE")))</f>
        <v/>
      </c>
    </row>
    <row r="1798" ht="15" customHeight="1">
      <c r="A1798" s="12">
        <f>IF(OR($B1798="",$G1798=""),"",TEXT($B1798,"YYYYMMDD")&amp;"-"&amp;SUBSTITUTE($E1798," ","")&amp;"-"&amp;$F1798&amp;"-"&amp;$G1798)</f>
        <v/>
      </c>
      <c r="B1798" s="15" t="n"/>
      <c r="C1798" s="16" t="n"/>
      <c r="D1798" s="10" t="n"/>
      <c r="E1798" s="9" t="n"/>
      <c r="F1798" s="9" t="n"/>
      <c r="G1798" s="13" t="n"/>
      <c r="H1798" s="21" t="n"/>
      <c r="I1798" s="21" t="n"/>
      <c r="J1798" s="17">
        <f>IF($G1798="","",IFERROR(INDEX(NomsEmployes,MATCH($G1798,MatriculesEmployes,0)),"MATRICULE INCONNU"))</f>
        <v/>
      </c>
      <c r="K1798" s="33">
        <f>IF(OR($D1798="",$F1798=""),"",IFERROR(IF(INDEX(RUNS!$L$6:$S$1005,MATCH($D1798,RUNS!$A$6:$A$1005,0),MATCH("ACTIVITÉ "&amp;$F1798,RUNS!$L$5:$S$5,0))="","",INDEX(RUNS!$L$6:$S$1005,MATCH($D1798,RUNS!$A$6:$A$1005,0),MATCH("ACTIVITÉ "&amp;$F1798,RUNS!$L$5:$S$5,0))),""))</f>
        <v/>
      </c>
      <c r="L1798" s="33">
        <f>IF($D1798="","",IFERROR(IF(INDEX(RUNS!$E$6:$E$1005,MATCH($D1798,RUNS!$A$6:$A$1005,0))="","",INDEX(RUNS!$E$6:$E$1005,MATCH($D1798,RUNS!$A$6:$A$1005,0))),""))</f>
        <v/>
      </c>
      <c r="M1798" s="33">
        <f>IF($D1798="","",IFERROR(IF(INDEX(RUNS!$F$6:$F$1005,MATCH($D1798,RUNS!$A$6:$A$1005,0))="","",INDEX(RUNS!$F$6:$F$1005,MATCH($D1798,RUNS!$A$6:$A$1005,0))),""))</f>
        <v/>
      </c>
      <c r="N1798" s="33">
        <f>IF($D1798="","",IFERROR(IF(INDEX(RUNS!$G$6:$G$1005,MATCH($D1798,RUNS!$A$6:$A$1005,0))="","",INDEX(RUNS!$G$6:$G$1005,MATCH($D1798,RUNS!$A$6:$A$1005,0))),""))</f>
        <v/>
      </c>
      <c r="O1798" s="33">
        <f>IF($D1798="","",IFERROR(IF(INDEX(RUNS!$H$6:$H$1005,MATCH($D1798,RUNS!$A$6:$A$1005,0))="","",INDEX(RUNS!$H$6:$H$1005,MATCH($D1798,RUNS!$A$6:$A$1005,0))),""))</f>
        <v/>
      </c>
      <c r="P1798" s="33">
        <f>IF($D1798="","",IFERROR(IF(INDEX(RUNS!$J$6:$J$1005,MATCH($D1798,RUNS!$A$6:$A$1005,0))="","",INDEX(RUNS!$J$6:$J$1005,MATCH($D1798,RUNS!$A$6:$A$1005,0))),""))</f>
        <v/>
      </c>
      <c r="Q1798" s="33">
        <f>IF($D1798="","",IFERROR(IF(INDEX(RUNS!$K$6:$K$1005,MATCH($D1798,RUNS!$A$6:$A$1005,0))="","",INDEX(RUNS!$K$6:$K$1005,MATCH($D1798,RUNS!$A$6:$A$1005,0))),""))</f>
        <v/>
      </c>
      <c r="R1798" s="34">
        <f>IF(OR($L1798="",$K1798=""),"",IFERROR(IF(INDEX(PARAMETRES!$H$43:$H$342,MATCH($L1798&amp;"|"&amp;$M1798&amp;"|"&amp;$N1798&amp;"|"&amp;$O1798&amp;"|"&amp;$P1798&amp;"|"&amp;$Q1798&amp;"|"&amp;$K1798,PARAMETRES!$J$43:$J$342,0))="","",INDEX(PARAMETRES!$H$43:$H$342,MATCH($L1798&amp;"|"&amp;$M1798&amp;"|"&amp;$N1798&amp;"|"&amp;$O1798&amp;"|"&amp;$P1798&amp;"|"&amp;$Q1798&amp;"|"&amp;$K1798,PARAMETRES!$J$43:$J$342,0))),""))</f>
        <v/>
      </c>
      <c r="S1798" s="35">
        <f>IF(OR($G1798="",$X1798&lt;&gt;"VALIDE"),"",IFERROR(LOOKUP(2,1/(($B898:$B1797=$B1798)*($G898:$G1797=$G1798)*($X898:$X1797="VALIDE")),$C898:$C1797),""))</f>
        <v/>
      </c>
      <c r="T1798" s="36">
        <f>IF(OR($C1798="",$S1798=""),"",ROUND(($C1798-$S1798+IF($C1798&lt;$S1798,1,0))*1440,0))</f>
        <v/>
      </c>
      <c r="U1798" s="22">
        <f>IF(OR($H1798="",$T1798="",$T1798&lt;=0),"",$H1798*60/$T1798)</f>
        <v/>
      </c>
      <c r="V1798" s="37">
        <f>IF(OR($U1798="",$R1798="",$R1798=0),"",$U1798/$R1798)</f>
        <v/>
      </c>
      <c r="W1798" s="20">
        <f>IF($G1798="","",IF($X1798="CONTEXTE INCOMPLET","CONTEXTE INCOMPLET",IF($X1798="DOUBLON",StatutDoublon,IF($S1798="",StatutInitial,IF($R1798="",StatutStandardManquant,IF($V1798="","DONNEES INSUFFISANTES",IF($V1798&gt;=SeuilConforme,StatutConforme,IF($V1798&gt;=SeuilSurveiller,StatutSurveiller,StatutSousStandard))))))))</f>
        <v/>
      </c>
      <c r="X1798" s="33">
        <f>IF($G1798="","",IF(OR($D1798="",$E1798="",$F1798=""),"CONTEXTE INCOMPLET",IF(COUNTIFS($D898:$D1797,$D1798,$E898:$E1797,$E1798,$F898:$F1797,$F1798,$G898:$G1797,$G1798)&gt;0,"DOUBLON","VALIDE")))</f>
        <v/>
      </c>
    </row>
    <row r="1799" ht="15" customHeight="1">
      <c r="A1799" s="12">
        <f>IF(OR($B1799="",$G1799=""),"",TEXT($B1799,"YYYYMMDD")&amp;"-"&amp;SUBSTITUTE($E1799," ","")&amp;"-"&amp;$F1799&amp;"-"&amp;$G1799)</f>
        <v/>
      </c>
      <c r="B1799" s="15" t="n"/>
      <c r="C1799" s="16" t="n"/>
      <c r="D1799" s="10" t="n"/>
      <c r="E1799" s="9" t="n"/>
      <c r="F1799" s="9" t="n"/>
      <c r="G1799" s="13" t="n"/>
      <c r="H1799" s="21" t="n"/>
      <c r="I1799" s="21" t="n"/>
      <c r="J1799" s="17">
        <f>IF($G1799="","",IFERROR(INDEX(NomsEmployes,MATCH($G1799,MatriculesEmployes,0)),"MATRICULE INCONNU"))</f>
        <v/>
      </c>
      <c r="K1799" s="33">
        <f>IF(OR($D1799="",$F1799=""),"",IFERROR(IF(INDEX(RUNS!$L$6:$S$1005,MATCH($D1799,RUNS!$A$6:$A$1005,0),MATCH("ACTIVITÉ "&amp;$F1799,RUNS!$L$5:$S$5,0))="","",INDEX(RUNS!$L$6:$S$1005,MATCH($D1799,RUNS!$A$6:$A$1005,0),MATCH("ACTIVITÉ "&amp;$F1799,RUNS!$L$5:$S$5,0))),""))</f>
        <v/>
      </c>
      <c r="L1799" s="33">
        <f>IF($D1799="","",IFERROR(IF(INDEX(RUNS!$E$6:$E$1005,MATCH($D1799,RUNS!$A$6:$A$1005,0))="","",INDEX(RUNS!$E$6:$E$1005,MATCH($D1799,RUNS!$A$6:$A$1005,0))),""))</f>
        <v/>
      </c>
      <c r="M1799" s="33">
        <f>IF($D1799="","",IFERROR(IF(INDEX(RUNS!$F$6:$F$1005,MATCH($D1799,RUNS!$A$6:$A$1005,0))="","",INDEX(RUNS!$F$6:$F$1005,MATCH($D1799,RUNS!$A$6:$A$1005,0))),""))</f>
        <v/>
      </c>
      <c r="N1799" s="33">
        <f>IF($D1799="","",IFERROR(IF(INDEX(RUNS!$G$6:$G$1005,MATCH($D1799,RUNS!$A$6:$A$1005,0))="","",INDEX(RUNS!$G$6:$G$1005,MATCH($D1799,RUNS!$A$6:$A$1005,0))),""))</f>
        <v/>
      </c>
      <c r="O1799" s="33">
        <f>IF($D1799="","",IFERROR(IF(INDEX(RUNS!$H$6:$H$1005,MATCH($D1799,RUNS!$A$6:$A$1005,0))="","",INDEX(RUNS!$H$6:$H$1005,MATCH($D1799,RUNS!$A$6:$A$1005,0))),""))</f>
        <v/>
      </c>
      <c r="P1799" s="33">
        <f>IF($D1799="","",IFERROR(IF(INDEX(RUNS!$J$6:$J$1005,MATCH($D1799,RUNS!$A$6:$A$1005,0))="","",INDEX(RUNS!$J$6:$J$1005,MATCH($D1799,RUNS!$A$6:$A$1005,0))),""))</f>
        <v/>
      </c>
      <c r="Q1799" s="33">
        <f>IF($D1799="","",IFERROR(IF(INDEX(RUNS!$K$6:$K$1005,MATCH($D1799,RUNS!$A$6:$A$1005,0))="","",INDEX(RUNS!$K$6:$K$1005,MATCH($D1799,RUNS!$A$6:$A$1005,0))),""))</f>
        <v/>
      </c>
      <c r="R1799" s="34">
        <f>IF(OR($L1799="",$K1799=""),"",IFERROR(IF(INDEX(PARAMETRES!$H$43:$H$342,MATCH($L1799&amp;"|"&amp;$M1799&amp;"|"&amp;$N1799&amp;"|"&amp;$O1799&amp;"|"&amp;$P1799&amp;"|"&amp;$Q1799&amp;"|"&amp;$K1799,PARAMETRES!$J$43:$J$342,0))="","",INDEX(PARAMETRES!$H$43:$H$342,MATCH($L1799&amp;"|"&amp;$M1799&amp;"|"&amp;$N1799&amp;"|"&amp;$O1799&amp;"|"&amp;$P1799&amp;"|"&amp;$Q1799&amp;"|"&amp;$K1799,PARAMETRES!$J$43:$J$342,0))),""))</f>
        <v/>
      </c>
      <c r="S1799" s="35">
        <f>IF(OR($G1799="",$X1799&lt;&gt;"VALIDE"),"",IFERROR(LOOKUP(2,1/(($B899:$B1798=$B1799)*($G899:$G1798=$G1799)*($X899:$X1798="VALIDE")),$C899:$C1798),""))</f>
        <v/>
      </c>
      <c r="T1799" s="36">
        <f>IF(OR($C1799="",$S1799=""),"",ROUND(($C1799-$S1799+IF($C1799&lt;$S1799,1,0))*1440,0))</f>
        <v/>
      </c>
      <c r="U1799" s="22">
        <f>IF(OR($H1799="",$T1799="",$T1799&lt;=0),"",$H1799*60/$T1799)</f>
        <v/>
      </c>
      <c r="V1799" s="37">
        <f>IF(OR($U1799="",$R1799="",$R1799=0),"",$U1799/$R1799)</f>
        <v/>
      </c>
      <c r="W1799" s="20">
        <f>IF($G1799="","",IF($X1799="CONTEXTE INCOMPLET","CONTEXTE INCOMPLET",IF($X1799="DOUBLON",StatutDoublon,IF($S1799="",StatutInitial,IF($R1799="",StatutStandardManquant,IF($V1799="","DONNEES INSUFFISANTES",IF($V1799&gt;=SeuilConforme,StatutConforme,IF($V1799&gt;=SeuilSurveiller,StatutSurveiller,StatutSousStandard))))))))</f>
        <v/>
      </c>
      <c r="X1799" s="33">
        <f>IF($G1799="","",IF(OR($D1799="",$E1799="",$F1799=""),"CONTEXTE INCOMPLET",IF(COUNTIFS($D899:$D1798,$D1799,$E899:$E1798,$E1799,$F899:$F1798,$F1799,$G899:$G1798,$G1799)&gt;0,"DOUBLON","VALIDE")))</f>
        <v/>
      </c>
    </row>
    <row r="1800" ht="15" customHeight="1">
      <c r="A1800" s="12">
        <f>IF(OR($B1800="",$G1800=""),"",TEXT($B1800,"YYYYMMDD")&amp;"-"&amp;SUBSTITUTE($E1800," ","")&amp;"-"&amp;$F1800&amp;"-"&amp;$G1800)</f>
        <v/>
      </c>
      <c r="B1800" s="15" t="n"/>
      <c r="C1800" s="16" t="n"/>
      <c r="D1800" s="10" t="n"/>
      <c r="E1800" s="9" t="n"/>
      <c r="F1800" s="9" t="n"/>
      <c r="G1800" s="13" t="n"/>
      <c r="H1800" s="21" t="n"/>
      <c r="I1800" s="21" t="n"/>
      <c r="J1800" s="17">
        <f>IF($G1800="","",IFERROR(INDEX(NomsEmployes,MATCH($G1800,MatriculesEmployes,0)),"MATRICULE INCONNU"))</f>
        <v/>
      </c>
      <c r="K1800" s="33">
        <f>IF(OR($D1800="",$F1800=""),"",IFERROR(IF(INDEX(RUNS!$L$6:$S$1005,MATCH($D1800,RUNS!$A$6:$A$1005,0),MATCH("ACTIVITÉ "&amp;$F1800,RUNS!$L$5:$S$5,0))="","",INDEX(RUNS!$L$6:$S$1005,MATCH($D1800,RUNS!$A$6:$A$1005,0),MATCH("ACTIVITÉ "&amp;$F1800,RUNS!$L$5:$S$5,0))),""))</f>
        <v/>
      </c>
      <c r="L1800" s="33">
        <f>IF($D1800="","",IFERROR(IF(INDEX(RUNS!$E$6:$E$1005,MATCH($D1800,RUNS!$A$6:$A$1005,0))="","",INDEX(RUNS!$E$6:$E$1005,MATCH($D1800,RUNS!$A$6:$A$1005,0))),""))</f>
        <v/>
      </c>
      <c r="M1800" s="33">
        <f>IF($D1800="","",IFERROR(IF(INDEX(RUNS!$F$6:$F$1005,MATCH($D1800,RUNS!$A$6:$A$1005,0))="","",INDEX(RUNS!$F$6:$F$1005,MATCH($D1800,RUNS!$A$6:$A$1005,0))),""))</f>
        <v/>
      </c>
      <c r="N1800" s="33">
        <f>IF($D1800="","",IFERROR(IF(INDEX(RUNS!$G$6:$G$1005,MATCH($D1800,RUNS!$A$6:$A$1005,0))="","",INDEX(RUNS!$G$6:$G$1005,MATCH($D1800,RUNS!$A$6:$A$1005,0))),""))</f>
        <v/>
      </c>
      <c r="O1800" s="33">
        <f>IF($D1800="","",IFERROR(IF(INDEX(RUNS!$H$6:$H$1005,MATCH($D1800,RUNS!$A$6:$A$1005,0))="","",INDEX(RUNS!$H$6:$H$1005,MATCH($D1800,RUNS!$A$6:$A$1005,0))),""))</f>
        <v/>
      </c>
      <c r="P1800" s="33">
        <f>IF($D1800="","",IFERROR(IF(INDEX(RUNS!$J$6:$J$1005,MATCH($D1800,RUNS!$A$6:$A$1005,0))="","",INDEX(RUNS!$J$6:$J$1005,MATCH($D1800,RUNS!$A$6:$A$1005,0))),""))</f>
        <v/>
      </c>
      <c r="Q1800" s="33">
        <f>IF($D1800="","",IFERROR(IF(INDEX(RUNS!$K$6:$K$1005,MATCH($D1800,RUNS!$A$6:$A$1005,0))="","",INDEX(RUNS!$K$6:$K$1005,MATCH($D1800,RUNS!$A$6:$A$1005,0))),""))</f>
        <v/>
      </c>
      <c r="R1800" s="34">
        <f>IF(OR($L1800="",$K1800=""),"",IFERROR(IF(INDEX(PARAMETRES!$H$43:$H$342,MATCH($L1800&amp;"|"&amp;$M1800&amp;"|"&amp;$N1800&amp;"|"&amp;$O1800&amp;"|"&amp;$P1800&amp;"|"&amp;$Q1800&amp;"|"&amp;$K1800,PARAMETRES!$J$43:$J$342,0))="","",INDEX(PARAMETRES!$H$43:$H$342,MATCH($L1800&amp;"|"&amp;$M1800&amp;"|"&amp;$N1800&amp;"|"&amp;$O1800&amp;"|"&amp;$P1800&amp;"|"&amp;$Q1800&amp;"|"&amp;$K1800,PARAMETRES!$J$43:$J$342,0))),""))</f>
        <v/>
      </c>
      <c r="S1800" s="35">
        <f>IF(OR($G1800="",$X1800&lt;&gt;"VALIDE"),"",IFERROR(LOOKUP(2,1/(($B900:$B1799=$B1800)*($G900:$G1799=$G1800)*($X900:$X1799="VALIDE")),$C900:$C1799),""))</f>
        <v/>
      </c>
      <c r="T1800" s="36">
        <f>IF(OR($C1800="",$S1800=""),"",ROUND(($C1800-$S1800+IF($C1800&lt;$S1800,1,0))*1440,0))</f>
        <v/>
      </c>
      <c r="U1800" s="22">
        <f>IF(OR($H1800="",$T1800="",$T1800&lt;=0),"",$H1800*60/$T1800)</f>
        <v/>
      </c>
      <c r="V1800" s="37">
        <f>IF(OR($U1800="",$R1800="",$R1800=0),"",$U1800/$R1800)</f>
        <v/>
      </c>
      <c r="W1800" s="20">
        <f>IF($G1800="","",IF($X1800="CONTEXTE INCOMPLET","CONTEXTE INCOMPLET",IF($X1800="DOUBLON",StatutDoublon,IF($S1800="",StatutInitial,IF($R1800="",StatutStandardManquant,IF($V1800="","DONNEES INSUFFISANTES",IF($V1800&gt;=SeuilConforme,StatutConforme,IF($V1800&gt;=SeuilSurveiller,StatutSurveiller,StatutSousStandard))))))))</f>
        <v/>
      </c>
      <c r="X1800" s="33">
        <f>IF($G1800="","",IF(OR($D1800="",$E1800="",$F1800=""),"CONTEXTE INCOMPLET",IF(COUNTIFS($D900:$D1799,$D1800,$E900:$E1799,$E1800,$F900:$F1799,$F1800,$G900:$G1799,$G1800)&gt;0,"DOUBLON","VALIDE")))</f>
        <v/>
      </c>
    </row>
    <row r="1801" ht="15" customHeight="1">
      <c r="A1801" s="12">
        <f>IF(OR($B1801="",$G1801=""),"",TEXT($B1801,"YYYYMMDD")&amp;"-"&amp;SUBSTITUTE($E1801," ","")&amp;"-"&amp;$F1801&amp;"-"&amp;$G1801)</f>
        <v/>
      </c>
      <c r="B1801" s="15" t="n"/>
      <c r="C1801" s="16" t="n"/>
      <c r="D1801" s="10" t="n"/>
      <c r="E1801" s="9" t="n"/>
      <c r="F1801" s="9" t="n"/>
      <c r="G1801" s="13" t="n"/>
      <c r="H1801" s="21" t="n"/>
      <c r="I1801" s="21" t="n"/>
      <c r="J1801" s="17">
        <f>IF($G1801="","",IFERROR(INDEX(NomsEmployes,MATCH($G1801,MatriculesEmployes,0)),"MATRICULE INCONNU"))</f>
        <v/>
      </c>
      <c r="K1801" s="33">
        <f>IF(OR($D1801="",$F1801=""),"",IFERROR(IF(INDEX(RUNS!$L$6:$S$1005,MATCH($D1801,RUNS!$A$6:$A$1005,0),MATCH("ACTIVITÉ "&amp;$F1801,RUNS!$L$5:$S$5,0))="","",INDEX(RUNS!$L$6:$S$1005,MATCH($D1801,RUNS!$A$6:$A$1005,0),MATCH("ACTIVITÉ "&amp;$F1801,RUNS!$L$5:$S$5,0))),""))</f>
        <v/>
      </c>
      <c r="L1801" s="33">
        <f>IF($D1801="","",IFERROR(IF(INDEX(RUNS!$E$6:$E$1005,MATCH($D1801,RUNS!$A$6:$A$1005,0))="","",INDEX(RUNS!$E$6:$E$1005,MATCH($D1801,RUNS!$A$6:$A$1005,0))),""))</f>
        <v/>
      </c>
      <c r="M1801" s="33">
        <f>IF($D1801="","",IFERROR(IF(INDEX(RUNS!$F$6:$F$1005,MATCH($D1801,RUNS!$A$6:$A$1005,0))="","",INDEX(RUNS!$F$6:$F$1005,MATCH($D1801,RUNS!$A$6:$A$1005,0))),""))</f>
        <v/>
      </c>
      <c r="N1801" s="33">
        <f>IF($D1801="","",IFERROR(IF(INDEX(RUNS!$G$6:$G$1005,MATCH($D1801,RUNS!$A$6:$A$1005,0))="","",INDEX(RUNS!$G$6:$G$1005,MATCH($D1801,RUNS!$A$6:$A$1005,0))),""))</f>
        <v/>
      </c>
      <c r="O1801" s="33">
        <f>IF($D1801="","",IFERROR(IF(INDEX(RUNS!$H$6:$H$1005,MATCH($D1801,RUNS!$A$6:$A$1005,0))="","",INDEX(RUNS!$H$6:$H$1005,MATCH($D1801,RUNS!$A$6:$A$1005,0))),""))</f>
        <v/>
      </c>
      <c r="P1801" s="33">
        <f>IF($D1801="","",IFERROR(IF(INDEX(RUNS!$J$6:$J$1005,MATCH($D1801,RUNS!$A$6:$A$1005,0))="","",INDEX(RUNS!$J$6:$J$1005,MATCH($D1801,RUNS!$A$6:$A$1005,0))),""))</f>
        <v/>
      </c>
      <c r="Q1801" s="33">
        <f>IF($D1801="","",IFERROR(IF(INDEX(RUNS!$K$6:$K$1005,MATCH($D1801,RUNS!$A$6:$A$1005,0))="","",INDEX(RUNS!$K$6:$K$1005,MATCH($D1801,RUNS!$A$6:$A$1005,0))),""))</f>
        <v/>
      </c>
      <c r="R1801" s="34">
        <f>IF(OR($L1801="",$K1801=""),"",IFERROR(IF(INDEX(PARAMETRES!$H$43:$H$342,MATCH($L1801&amp;"|"&amp;$M1801&amp;"|"&amp;$N1801&amp;"|"&amp;$O1801&amp;"|"&amp;$P1801&amp;"|"&amp;$Q1801&amp;"|"&amp;$K1801,PARAMETRES!$J$43:$J$342,0))="","",INDEX(PARAMETRES!$H$43:$H$342,MATCH($L1801&amp;"|"&amp;$M1801&amp;"|"&amp;$N1801&amp;"|"&amp;$O1801&amp;"|"&amp;$P1801&amp;"|"&amp;$Q1801&amp;"|"&amp;$K1801,PARAMETRES!$J$43:$J$342,0))),""))</f>
        <v/>
      </c>
      <c r="S1801" s="35">
        <f>IF(OR($G1801="",$X1801&lt;&gt;"VALIDE"),"",IFERROR(LOOKUP(2,1/(($B901:$B1800=$B1801)*($G901:$G1800=$G1801)*($X901:$X1800="VALIDE")),$C901:$C1800),""))</f>
        <v/>
      </c>
      <c r="T1801" s="36">
        <f>IF(OR($C1801="",$S1801=""),"",ROUND(($C1801-$S1801+IF($C1801&lt;$S1801,1,0))*1440,0))</f>
        <v/>
      </c>
      <c r="U1801" s="22">
        <f>IF(OR($H1801="",$T1801="",$T1801&lt;=0),"",$H1801*60/$T1801)</f>
        <v/>
      </c>
      <c r="V1801" s="37">
        <f>IF(OR($U1801="",$R1801="",$R1801=0),"",$U1801/$R1801)</f>
        <v/>
      </c>
      <c r="W1801" s="20">
        <f>IF($G1801="","",IF($X1801="CONTEXTE INCOMPLET","CONTEXTE INCOMPLET",IF($X1801="DOUBLON",StatutDoublon,IF($S1801="",StatutInitial,IF($R1801="",StatutStandardManquant,IF($V1801="","DONNEES INSUFFISANTES",IF($V1801&gt;=SeuilConforme,StatutConforme,IF($V1801&gt;=SeuilSurveiller,StatutSurveiller,StatutSousStandard))))))))</f>
        <v/>
      </c>
      <c r="X1801" s="33">
        <f>IF($G1801="","",IF(OR($D1801="",$E1801="",$F1801=""),"CONTEXTE INCOMPLET",IF(COUNTIFS($D901:$D1800,$D1801,$E901:$E1800,$E1801,$F901:$F1800,$F1801,$G901:$G1800,$G1801)&gt;0,"DOUBLON","VALIDE")))</f>
        <v/>
      </c>
    </row>
    <row r="1802" ht="15" customHeight="1">
      <c r="A1802" s="12">
        <f>IF(OR($B1802="",$G1802=""),"",TEXT($B1802,"YYYYMMDD")&amp;"-"&amp;SUBSTITUTE($E1802," ","")&amp;"-"&amp;$F1802&amp;"-"&amp;$G1802)</f>
        <v/>
      </c>
      <c r="B1802" s="15" t="n"/>
      <c r="C1802" s="16" t="n"/>
      <c r="D1802" s="10" t="n"/>
      <c r="E1802" s="9" t="n"/>
      <c r="F1802" s="9" t="n"/>
      <c r="G1802" s="13" t="n"/>
      <c r="H1802" s="21" t="n"/>
      <c r="I1802" s="21" t="n"/>
      <c r="J1802" s="17">
        <f>IF($G1802="","",IFERROR(INDEX(NomsEmployes,MATCH($G1802,MatriculesEmployes,0)),"MATRICULE INCONNU"))</f>
        <v/>
      </c>
      <c r="K1802" s="33">
        <f>IF(OR($D1802="",$F1802=""),"",IFERROR(IF(INDEX(RUNS!$L$6:$S$1005,MATCH($D1802,RUNS!$A$6:$A$1005,0),MATCH("ACTIVITÉ "&amp;$F1802,RUNS!$L$5:$S$5,0))="","",INDEX(RUNS!$L$6:$S$1005,MATCH($D1802,RUNS!$A$6:$A$1005,0),MATCH("ACTIVITÉ "&amp;$F1802,RUNS!$L$5:$S$5,0))),""))</f>
        <v/>
      </c>
      <c r="L1802" s="33">
        <f>IF($D1802="","",IFERROR(IF(INDEX(RUNS!$E$6:$E$1005,MATCH($D1802,RUNS!$A$6:$A$1005,0))="","",INDEX(RUNS!$E$6:$E$1005,MATCH($D1802,RUNS!$A$6:$A$1005,0))),""))</f>
        <v/>
      </c>
      <c r="M1802" s="33">
        <f>IF($D1802="","",IFERROR(IF(INDEX(RUNS!$F$6:$F$1005,MATCH($D1802,RUNS!$A$6:$A$1005,0))="","",INDEX(RUNS!$F$6:$F$1005,MATCH($D1802,RUNS!$A$6:$A$1005,0))),""))</f>
        <v/>
      </c>
      <c r="N1802" s="33">
        <f>IF($D1802="","",IFERROR(IF(INDEX(RUNS!$G$6:$G$1005,MATCH($D1802,RUNS!$A$6:$A$1005,0))="","",INDEX(RUNS!$G$6:$G$1005,MATCH($D1802,RUNS!$A$6:$A$1005,0))),""))</f>
        <v/>
      </c>
      <c r="O1802" s="33">
        <f>IF($D1802="","",IFERROR(IF(INDEX(RUNS!$H$6:$H$1005,MATCH($D1802,RUNS!$A$6:$A$1005,0))="","",INDEX(RUNS!$H$6:$H$1005,MATCH($D1802,RUNS!$A$6:$A$1005,0))),""))</f>
        <v/>
      </c>
      <c r="P1802" s="33">
        <f>IF($D1802="","",IFERROR(IF(INDEX(RUNS!$J$6:$J$1005,MATCH($D1802,RUNS!$A$6:$A$1005,0))="","",INDEX(RUNS!$J$6:$J$1005,MATCH($D1802,RUNS!$A$6:$A$1005,0))),""))</f>
        <v/>
      </c>
      <c r="Q1802" s="33">
        <f>IF($D1802="","",IFERROR(IF(INDEX(RUNS!$K$6:$K$1005,MATCH($D1802,RUNS!$A$6:$A$1005,0))="","",INDEX(RUNS!$K$6:$K$1005,MATCH($D1802,RUNS!$A$6:$A$1005,0))),""))</f>
        <v/>
      </c>
      <c r="R1802" s="34">
        <f>IF(OR($L1802="",$K1802=""),"",IFERROR(IF(INDEX(PARAMETRES!$H$43:$H$342,MATCH($L1802&amp;"|"&amp;$M1802&amp;"|"&amp;$N1802&amp;"|"&amp;$O1802&amp;"|"&amp;$P1802&amp;"|"&amp;$Q1802&amp;"|"&amp;$K1802,PARAMETRES!$J$43:$J$342,0))="","",INDEX(PARAMETRES!$H$43:$H$342,MATCH($L1802&amp;"|"&amp;$M1802&amp;"|"&amp;$N1802&amp;"|"&amp;$O1802&amp;"|"&amp;$P1802&amp;"|"&amp;$Q1802&amp;"|"&amp;$K1802,PARAMETRES!$J$43:$J$342,0))),""))</f>
        <v/>
      </c>
      <c r="S1802" s="35">
        <f>IF(OR($G1802="",$X1802&lt;&gt;"VALIDE"),"",IFERROR(LOOKUP(2,1/(($B902:$B1801=$B1802)*($G902:$G1801=$G1802)*($X902:$X1801="VALIDE")),$C902:$C1801),""))</f>
        <v/>
      </c>
      <c r="T1802" s="36">
        <f>IF(OR($C1802="",$S1802=""),"",ROUND(($C1802-$S1802+IF($C1802&lt;$S1802,1,0))*1440,0))</f>
        <v/>
      </c>
      <c r="U1802" s="22">
        <f>IF(OR($H1802="",$T1802="",$T1802&lt;=0),"",$H1802*60/$T1802)</f>
        <v/>
      </c>
      <c r="V1802" s="37">
        <f>IF(OR($U1802="",$R1802="",$R1802=0),"",$U1802/$R1802)</f>
        <v/>
      </c>
      <c r="W1802" s="20">
        <f>IF($G1802="","",IF($X1802="CONTEXTE INCOMPLET","CONTEXTE INCOMPLET",IF($X1802="DOUBLON",StatutDoublon,IF($S1802="",StatutInitial,IF($R1802="",StatutStandardManquant,IF($V1802="","DONNEES INSUFFISANTES",IF($V1802&gt;=SeuilConforme,StatutConforme,IF($V1802&gt;=SeuilSurveiller,StatutSurveiller,StatutSousStandard))))))))</f>
        <v/>
      </c>
      <c r="X1802" s="33">
        <f>IF($G1802="","",IF(OR($D1802="",$E1802="",$F1802=""),"CONTEXTE INCOMPLET",IF(COUNTIFS($D902:$D1801,$D1802,$E902:$E1801,$E1802,$F902:$F1801,$F1802,$G902:$G1801,$G1802)&gt;0,"DOUBLON","VALIDE")))</f>
        <v/>
      </c>
    </row>
    <row r="1803" ht="15" customHeight="1">
      <c r="A1803" s="12">
        <f>IF(OR($B1803="",$G1803=""),"",TEXT($B1803,"YYYYMMDD")&amp;"-"&amp;SUBSTITUTE($E1803," ","")&amp;"-"&amp;$F1803&amp;"-"&amp;$G1803)</f>
        <v/>
      </c>
      <c r="B1803" s="15" t="n"/>
      <c r="C1803" s="16" t="n"/>
      <c r="D1803" s="10" t="n"/>
      <c r="E1803" s="9" t="n"/>
      <c r="F1803" s="9" t="n"/>
      <c r="G1803" s="13" t="n"/>
      <c r="H1803" s="21" t="n"/>
      <c r="I1803" s="21" t="n"/>
      <c r="J1803" s="17">
        <f>IF($G1803="","",IFERROR(INDEX(NomsEmployes,MATCH($G1803,MatriculesEmployes,0)),"MATRICULE INCONNU"))</f>
        <v/>
      </c>
      <c r="K1803" s="33">
        <f>IF(OR($D1803="",$F1803=""),"",IFERROR(IF(INDEX(RUNS!$L$6:$S$1005,MATCH($D1803,RUNS!$A$6:$A$1005,0),MATCH("ACTIVITÉ "&amp;$F1803,RUNS!$L$5:$S$5,0))="","",INDEX(RUNS!$L$6:$S$1005,MATCH($D1803,RUNS!$A$6:$A$1005,0),MATCH("ACTIVITÉ "&amp;$F1803,RUNS!$L$5:$S$5,0))),""))</f>
        <v/>
      </c>
      <c r="L1803" s="33">
        <f>IF($D1803="","",IFERROR(IF(INDEX(RUNS!$E$6:$E$1005,MATCH($D1803,RUNS!$A$6:$A$1005,0))="","",INDEX(RUNS!$E$6:$E$1005,MATCH($D1803,RUNS!$A$6:$A$1005,0))),""))</f>
        <v/>
      </c>
      <c r="M1803" s="33">
        <f>IF($D1803="","",IFERROR(IF(INDEX(RUNS!$F$6:$F$1005,MATCH($D1803,RUNS!$A$6:$A$1005,0))="","",INDEX(RUNS!$F$6:$F$1005,MATCH($D1803,RUNS!$A$6:$A$1005,0))),""))</f>
        <v/>
      </c>
      <c r="N1803" s="33">
        <f>IF($D1803="","",IFERROR(IF(INDEX(RUNS!$G$6:$G$1005,MATCH($D1803,RUNS!$A$6:$A$1005,0))="","",INDEX(RUNS!$G$6:$G$1005,MATCH($D1803,RUNS!$A$6:$A$1005,0))),""))</f>
        <v/>
      </c>
      <c r="O1803" s="33">
        <f>IF($D1803="","",IFERROR(IF(INDEX(RUNS!$H$6:$H$1005,MATCH($D1803,RUNS!$A$6:$A$1005,0))="","",INDEX(RUNS!$H$6:$H$1005,MATCH($D1803,RUNS!$A$6:$A$1005,0))),""))</f>
        <v/>
      </c>
      <c r="P1803" s="33">
        <f>IF($D1803="","",IFERROR(IF(INDEX(RUNS!$J$6:$J$1005,MATCH($D1803,RUNS!$A$6:$A$1005,0))="","",INDEX(RUNS!$J$6:$J$1005,MATCH($D1803,RUNS!$A$6:$A$1005,0))),""))</f>
        <v/>
      </c>
      <c r="Q1803" s="33">
        <f>IF($D1803="","",IFERROR(IF(INDEX(RUNS!$K$6:$K$1005,MATCH($D1803,RUNS!$A$6:$A$1005,0))="","",INDEX(RUNS!$K$6:$K$1005,MATCH($D1803,RUNS!$A$6:$A$1005,0))),""))</f>
        <v/>
      </c>
      <c r="R1803" s="34">
        <f>IF(OR($L1803="",$K1803=""),"",IFERROR(IF(INDEX(PARAMETRES!$H$43:$H$342,MATCH($L1803&amp;"|"&amp;$M1803&amp;"|"&amp;$N1803&amp;"|"&amp;$O1803&amp;"|"&amp;$P1803&amp;"|"&amp;$Q1803&amp;"|"&amp;$K1803,PARAMETRES!$J$43:$J$342,0))="","",INDEX(PARAMETRES!$H$43:$H$342,MATCH($L1803&amp;"|"&amp;$M1803&amp;"|"&amp;$N1803&amp;"|"&amp;$O1803&amp;"|"&amp;$P1803&amp;"|"&amp;$Q1803&amp;"|"&amp;$K1803,PARAMETRES!$J$43:$J$342,0))),""))</f>
        <v/>
      </c>
      <c r="S1803" s="35">
        <f>IF(OR($G1803="",$X1803&lt;&gt;"VALIDE"),"",IFERROR(LOOKUP(2,1/(($B903:$B1802=$B1803)*($G903:$G1802=$G1803)*($X903:$X1802="VALIDE")),$C903:$C1802),""))</f>
        <v/>
      </c>
      <c r="T1803" s="36">
        <f>IF(OR($C1803="",$S1803=""),"",ROUND(($C1803-$S1803+IF($C1803&lt;$S1803,1,0))*1440,0))</f>
        <v/>
      </c>
      <c r="U1803" s="22">
        <f>IF(OR($H1803="",$T1803="",$T1803&lt;=0),"",$H1803*60/$T1803)</f>
        <v/>
      </c>
      <c r="V1803" s="37">
        <f>IF(OR($U1803="",$R1803="",$R1803=0),"",$U1803/$R1803)</f>
        <v/>
      </c>
      <c r="W1803" s="20">
        <f>IF($G1803="","",IF($X1803="CONTEXTE INCOMPLET","CONTEXTE INCOMPLET",IF($X1803="DOUBLON",StatutDoublon,IF($S1803="",StatutInitial,IF($R1803="",StatutStandardManquant,IF($V1803="","DONNEES INSUFFISANTES",IF($V1803&gt;=SeuilConforme,StatutConforme,IF($V1803&gt;=SeuilSurveiller,StatutSurveiller,StatutSousStandard))))))))</f>
        <v/>
      </c>
      <c r="X1803" s="33">
        <f>IF($G1803="","",IF(OR($D1803="",$E1803="",$F1803=""),"CONTEXTE INCOMPLET",IF(COUNTIFS($D903:$D1802,$D1803,$E903:$E1802,$E1803,$F903:$F1802,$F1803,$G903:$G1802,$G1803)&gt;0,"DOUBLON","VALIDE")))</f>
        <v/>
      </c>
    </row>
    <row r="1804" ht="15" customHeight="1">
      <c r="A1804" s="12">
        <f>IF(OR($B1804="",$G1804=""),"",TEXT($B1804,"YYYYMMDD")&amp;"-"&amp;SUBSTITUTE($E1804," ","")&amp;"-"&amp;$F1804&amp;"-"&amp;$G1804)</f>
        <v/>
      </c>
      <c r="B1804" s="15" t="n"/>
      <c r="C1804" s="16" t="n"/>
      <c r="D1804" s="10" t="n"/>
      <c r="E1804" s="9" t="n"/>
      <c r="F1804" s="9" t="n"/>
      <c r="G1804" s="13" t="n"/>
      <c r="H1804" s="21" t="n"/>
      <c r="I1804" s="21" t="n"/>
      <c r="J1804" s="17">
        <f>IF($G1804="","",IFERROR(INDEX(NomsEmployes,MATCH($G1804,MatriculesEmployes,0)),"MATRICULE INCONNU"))</f>
        <v/>
      </c>
      <c r="K1804" s="33">
        <f>IF(OR($D1804="",$F1804=""),"",IFERROR(IF(INDEX(RUNS!$L$6:$S$1005,MATCH($D1804,RUNS!$A$6:$A$1005,0),MATCH("ACTIVITÉ "&amp;$F1804,RUNS!$L$5:$S$5,0))="","",INDEX(RUNS!$L$6:$S$1005,MATCH($D1804,RUNS!$A$6:$A$1005,0),MATCH("ACTIVITÉ "&amp;$F1804,RUNS!$L$5:$S$5,0))),""))</f>
        <v/>
      </c>
      <c r="L1804" s="33">
        <f>IF($D1804="","",IFERROR(IF(INDEX(RUNS!$E$6:$E$1005,MATCH($D1804,RUNS!$A$6:$A$1005,0))="","",INDEX(RUNS!$E$6:$E$1005,MATCH($D1804,RUNS!$A$6:$A$1005,0))),""))</f>
        <v/>
      </c>
      <c r="M1804" s="33">
        <f>IF($D1804="","",IFERROR(IF(INDEX(RUNS!$F$6:$F$1005,MATCH($D1804,RUNS!$A$6:$A$1005,0))="","",INDEX(RUNS!$F$6:$F$1005,MATCH($D1804,RUNS!$A$6:$A$1005,0))),""))</f>
        <v/>
      </c>
      <c r="N1804" s="33">
        <f>IF($D1804="","",IFERROR(IF(INDEX(RUNS!$G$6:$G$1005,MATCH($D1804,RUNS!$A$6:$A$1005,0))="","",INDEX(RUNS!$G$6:$G$1005,MATCH($D1804,RUNS!$A$6:$A$1005,0))),""))</f>
        <v/>
      </c>
      <c r="O1804" s="33">
        <f>IF($D1804="","",IFERROR(IF(INDEX(RUNS!$H$6:$H$1005,MATCH($D1804,RUNS!$A$6:$A$1005,0))="","",INDEX(RUNS!$H$6:$H$1005,MATCH($D1804,RUNS!$A$6:$A$1005,0))),""))</f>
        <v/>
      </c>
      <c r="P1804" s="33">
        <f>IF($D1804="","",IFERROR(IF(INDEX(RUNS!$J$6:$J$1005,MATCH($D1804,RUNS!$A$6:$A$1005,0))="","",INDEX(RUNS!$J$6:$J$1005,MATCH($D1804,RUNS!$A$6:$A$1005,0))),""))</f>
        <v/>
      </c>
      <c r="Q1804" s="33">
        <f>IF($D1804="","",IFERROR(IF(INDEX(RUNS!$K$6:$K$1005,MATCH($D1804,RUNS!$A$6:$A$1005,0))="","",INDEX(RUNS!$K$6:$K$1005,MATCH($D1804,RUNS!$A$6:$A$1005,0))),""))</f>
        <v/>
      </c>
      <c r="R1804" s="34">
        <f>IF(OR($L1804="",$K1804=""),"",IFERROR(IF(INDEX(PARAMETRES!$H$43:$H$342,MATCH($L1804&amp;"|"&amp;$M1804&amp;"|"&amp;$N1804&amp;"|"&amp;$O1804&amp;"|"&amp;$P1804&amp;"|"&amp;$Q1804&amp;"|"&amp;$K1804,PARAMETRES!$J$43:$J$342,0))="","",INDEX(PARAMETRES!$H$43:$H$342,MATCH($L1804&amp;"|"&amp;$M1804&amp;"|"&amp;$N1804&amp;"|"&amp;$O1804&amp;"|"&amp;$P1804&amp;"|"&amp;$Q1804&amp;"|"&amp;$K1804,PARAMETRES!$J$43:$J$342,0))),""))</f>
        <v/>
      </c>
      <c r="S1804" s="35">
        <f>IF(OR($G1804="",$X1804&lt;&gt;"VALIDE"),"",IFERROR(LOOKUP(2,1/(($B904:$B1803=$B1804)*($G904:$G1803=$G1804)*($X904:$X1803="VALIDE")),$C904:$C1803),""))</f>
        <v/>
      </c>
      <c r="T1804" s="36">
        <f>IF(OR($C1804="",$S1804=""),"",ROUND(($C1804-$S1804+IF($C1804&lt;$S1804,1,0))*1440,0))</f>
        <v/>
      </c>
      <c r="U1804" s="22">
        <f>IF(OR($H1804="",$T1804="",$T1804&lt;=0),"",$H1804*60/$T1804)</f>
        <v/>
      </c>
      <c r="V1804" s="37">
        <f>IF(OR($U1804="",$R1804="",$R1804=0),"",$U1804/$R1804)</f>
        <v/>
      </c>
      <c r="W1804" s="20">
        <f>IF($G1804="","",IF($X1804="CONTEXTE INCOMPLET","CONTEXTE INCOMPLET",IF($X1804="DOUBLON",StatutDoublon,IF($S1804="",StatutInitial,IF($R1804="",StatutStandardManquant,IF($V1804="","DONNEES INSUFFISANTES",IF($V1804&gt;=SeuilConforme,StatutConforme,IF($V1804&gt;=SeuilSurveiller,StatutSurveiller,StatutSousStandard))))))))</f>
        <v/>
      </c>
      <c r="X1804" s="33">
        <f>IF($G1804="","",IF(OR($D1804="",$E1804="",$F1804=""),"CONTEXTE INCOMPLET",IF(COUNTIFS($D904:$D1803,$D1804,$E904:$E1803,$E1804,$F904:$F1803,$F1804,$G904:$G1803,$G1804)&gt;0,"DOUBLON","VALIDE")))</f>
        <v/>
      </c>
    </row>
    <row r="1805" ht="15" customHeight="1">
      <c r="A1805" s="12">
        <f>IF(OR($B1805="",$G1805=""),"",TEXT($B1805,"YYYYMMDD")&amp;"-"&amp;SUBSTITUTE($E1805," ","")&amp;"-"&amp;$F1805&amp;"-"&amp;$G1805)</f>
        <v/>
      </c>
      <c r="B1805" s="15" t="n"/>
      <c r="C1805" s="16" t="n"/>
      <c r="D1805" s="10" t="n"/>
      <c r="E1805" s="9" t="n"/>
      <c r="F1805" s="9" t="n"/>
      <c r="G1805" s="13" t="n"/>
      <c r="H1805" s="21" t="n"/>
      <c r="I1805" s="21" t="n"/>
      <c r="J1805" s="17">
        <f>IF($G1805="","",IFERROR(INDEX(NomsEmployes,MATCH($G1805,MatriculesEmployes,0)),"MATRICULE INCONNU"))</f>
        <v/>
      </c>
      <c r="K1805" s="33">
        <f>IF(OR($D1805="",$F1805=""),"",IFERROR(IF(INDEX(RUNS!$L$6:$S$1005,MATCH($D1805,RUNS!$A$6:$A$1005,0),MATCH("ACTIVITÉ "&amp;$F1805,RUNS!$L$5:$S$5,0))="","",INDEX(RUNS!$L$6:$S$1005,MATCH($D1805,RUNS!$A$6:$A$1005,0),MATCH("ACTIVITÉ "&amp;$F1805,RUNS!$L$5:$S$5,0))),""))</f>
        <v/>
      </c>
      <c r="L1805" s="33">
        <f>IF($D1805="","",IFERROR(IF(INDEX(RUNS!$E$6:$E$1005,MATCH($D1805,RUNS!$A$6:$A$1005,0))="","",INDEX(RUNS!$E$6:$E$1005,MATCH($D1805,RUNS!$A$6:$A$1005,0))),""))</f>
        <v/>
      </c>
      <c r="M1805" s="33">
        <f>IF($D1805="","",IFERROR(IF(INDEX(RUNS!$F$6:$F$1005,MATCH($D1805,RUNS!$A$6:$A$1005,0))="","",INDEX(RUNS!$F$6:$F$1005,MATCH($D1805,RUNS!$A$6:$A$1005,0))),""))</f>
        <v/>
      </c>
      <c r="N1805" s="33">
        <f>IF($D1805="","",IFERROR(IF(INDEX(RUNS!$G$6:$G$1005,MATCH($D1805,RUNS!$A$6:$A$1005,0))="","",INDEX(RUNS!$G$6:$G$1005,MATCH($D1805,RUNS!$A$6:$A$1005,0))),""))</f>
        <v/>
      </c>
      <c r="O1805" s="33">
        <f>IF($D1805="","",IFERROR(IF(INDEX(RUNS!$H$6:$H$1005,MATCH($D1805,RUNS!$A$6:$A$1005,0))="","",INDEX(RUNS!$H$6:$H$1005,MATCH($D1805,RUNS!$A$6:$A$1005,0))),""))</f>
        <v/>
      </c>
      <c r="P1805" s="33">
        <f>IF($D1805="","",IFERROR(IF(INDEX(RUNS!$J$6:$J$1005,MATCH($D1805,RUNS!$A$6:$A$1005,0))="","",INDEX(RUNS!$J$6:$J$1005,MATCH($D1805,RUNS!$A$6:$A$1005,0))),""))</f>
        <v/>
      </c>
      <c r="Q1805" s="33">
        <f>IF($D1805="","",IFERROR(IF(INDEX(RUNS!$K$6:$K$1005,MATCH($D1805,RUNS!$A$6:$A$1005,0))="","",INDEX(RUNS!$K$6:$K$1005,MATCH($D1805,RUNS!$A$6:$A$1005,0))),""))</f>
        <v/>
      </c>
      <c r="R1805" s="34">
        <f>IF(OR($L1805="",$K1805=""),"",IFERROR(IF(INDEX(PARAMETRES!$H$43:$H$342,MATCH($L1805&amp;"|"&amp;$M1805&amp;"|"&amp;$N1805&amp;"|"&amp;$O1805&amp;"|"&amp;$P1805&amp;"|"&amp;$Q1805&amp;"|"&amp;$K1805,PARAMETRES!$J$43:$J$342,0))="","",INDEX(PARAMETRES!$H$43:$H$342,MATCH($L1805&amp;"|"&amp;$M1805&amp;"|"&amp;$N1805&amp;"|"&amp;$O1805&amp;"|"&amp;$P1805&amp;"|"&amp;$Q1805&amp;"|"&amp;$K1805,PARAMETRES!$J$43:$J$342,0))),""))</f>
        <v/>
      </c>
      <c r="S1805" s="35">
        <f>IF(OR($G1805="",$X1805&lt;&gt;"VALIDE"),"",IFERROR(LOOKUP(2,1/(($B905:$B1804=$B1805)*($G905:$G1804=$G1805)*($X905:$X1804="VALIDE")),$C905:$C1804),""))</f>
        <v/>
      </c>
      <c r="T1805" s="36">
        <f>IF(OR($C1805="",$S1805=""),"",ROUND(($C1805-$S1805+IF($C1805&lt;$S1805,1,0))*1440,0))</f>
        <v/>
      </c>
      <c r="U1805" s="22">
        <f>IF(OR($H1805="",$T1805="",$T1805&lt;=0),"",$H1805*60/$T1805)</f>
        <v/>
      </c>
      <c r="V1805" s="37">
        <f>IF(OR($U1805="",$R1805="",$R1805=0),"",$U1805/$R1805)</f>
        <v/>
      </c>
      <c r="W1805" s="20">
        <f>IF($G1805="","",IF($X1805="CONTEXTE INCOMPLET","CONTEXTE INCOMPLET",IF($X1805="DOUBLON",StatutDoublon,IF($S1805="",StatutInitial,IF($R1805="",StatutStandardManquant,IF($V1805="","DONNEES INSUFFISANTES",IF($V1805&gt;=SeuilConforme,StatutConforme,IF($V1805&gt;=SeuilSurveiller,StatutSurveiller,StatutSousStandard))))))))</f>
        <v/>
      </c>
      <c r="X1805" s="33">
        <f>IF($G1805="","",IF(OR($D1805="",$E1805="",$F1805=""),"CONTEXTE INCOMPLET",IF(COUNTIFS($D905:$D1804,$D1805,$E905:$E1804,$E1805,$F905:$F1804,$F1805,$G905:$G1804,$G1805)&gt;0,"DOUBLON","VALIDE")))</f>
        <v/>
      </c>
    </row>
    <row r="1806" ht="15" customHeight="1">
      <c r="A1806" s="12">
        <f>IF(OR($B1806="",$G1806=""),"",TEXT($B1806,"YYYYMMDD")&amp;"-"&amp;SUBSTITUTE($E1806," ","")&amp;"-"&amp;$F1806&amp;"-"&amp;$G1806)</f>
        <v/>
      </c>
      <c r="B1806" s="15" t="n"/>
      <c r="C1806" s="16" t="n"/>
      <c r="D1806" s="10" t="n"/>
      <c r="E1806" s="9" t="n"/>
      <c r="F1806" s="9" t="n"/>
      <c r="G1806" s="13" t="n"/>
      <c r="H1806" s="21" t="n"/>
      <c r="I1806" s="21" t="n"/>
      <c r="J1806" s="17">
        <f>IF($G1806="","",IFERROR(INDEX(NomsEmployes,MATCH($G1806,MatriculesEmployes,0)),"MATRICULE INCONNU"))</f>
        <v/>
      </c>
      <c r="K1806" s="33">
        <f>IF(OR($D1806="",$F1806=""),"",IFERROR(IF(INDEX(RUNS!$L$6:$S$1005,MATCH($D1806,RUNS!$A$6:$A$1005,0),MATCH("ACTIVITÉ "&amp;$F1806,RUNS!$L$5:$S$5,0))="","",INDEX(RUNS!$L$6:$S$1005,MATCH($D1806,RUNS!$A$6:$A$1005,0),MATCH("ACTIVITÉ "&amp;$F1806,RUNS!$L$5:$S$5,0))),""))</f>
        <v/>
      </c>
      <c r="L1806" s="33">
        <f>IF($D1806="","",IFERROR(IF(INDEX(RUNS!$E$6:$E$1005,MATCH($D1806,RUNS!$A$6:$A$1005,0))="","",INDEX(RUNS!$E$6:$E$1005,MATCH($D1806,RUNS!$A$6:$A$1005,0))),""))</f>
        <v/>
      </c>
      <c r="M1806" s="33">
        <f>IF($D1806="","",IFERROR(IF(INDEX(RUNS!$F$6:$F$1005,MATCH($D1806,RUNS!$A$6:$A$1005,0))="","",INDEX(RUNS!$F$6:$F$1005,MATCH($D1806,RUNS!$A$6:$A$1005,0))),""))</f>
        <v/>
      </c>
      <c r="N1806" s="33">
        <f>IF($D1806="","",IFERROR(IF(INDEX(RUNS!$G$6:$G$1005,MATCH($D1806,RUNS!$A$6:$A$1005,0))="","",INDEX(RUNS!$G$6:$G$1005,MATCH($D1806,RUNS!$A$6:$A$1005,0))),""))</f>
        <v/>
      </c>
      <c r="O1806" s="33">
        <f>IF($D1806="","",IFERROR(IF(INDEX(RUNS!$H$6:$H$1005,MATCH($D1806,RUNS!$A$6:$A$1005,0))="","",INDEX(RUNS!$H$6:$H$1005,MATCH($D1806,RUNS!$A$6:$A$1005,0))),""))</f>
        <v/>
      </c>
      <c r="P1806" s="33">
        <f>IF($D1806="","",IFERROR(IF(INDEX(RUNS!$J$6:$J$1005,MATCH($D1806,RUNS!$A$6:$A$1005,0))="","",INDEX(RUNS!$J$6:$J$1005,MATCH($D1806,RUNS!$A$6:$A$1005,0))),""))</f>
        <v/>
      </c>
      <c r="Q1806" s="33">
        <f>IF($D1806="","",IFERROR(IF(INDEX(RUNS!$K$6:$K$1005,MATCH($D1806,RUNS!$A$6:$A$1005,0))="","",INDEX(RUNS!$K$6:$K$1005,MATCH($D1806,RUNS!$A$6:$A$1005,0))),""))</f>
        <v/>
      </c>
      <c r="R1806" s="34">
        <f>IF(OR($L1806="",$K1806=""),"",IFERROR(IF(INDEX(PARAMETRES!$H$43:$H$342,MATCH($L1806&amp;"|"&amp;$M1806&amp;"|"&amp;$N1806&amp;"|"&amp;$O1806&amp;"|"&amp;$P1806&amp;"|"&amp;$Q1806&amp;"|"&amp;$K1806,PARAMETRES!$J$43:$J$342,0))="","",INDEX(PARAMETRES!$H$43:$H$342,MATCH($L1806&amp;"|"&amp;$M1806&amp;"|"&amp;$N1806&amp;"|"&amp;$O1806&amp;"|"&amp;$P1806&amp;"|"&amp;$Q1806&amp;"|"&amp;$K1806,PARAMETRES!$J$43:$J$342,0))),""))</f>
        <v/>
      </c>
      <c r="S1806" s="35">
        <f>IF(OR($G1806="",$X1806&lt;&gt;"VALIDE"),"",IFERROR(LOOKUP(2,1/(($B906:$B1805=$B1806)*($G906:$G1805=$G1806)*($X906:$X1805="VALIDE")),$C906:$C1805),""))</f>
        <v/>
      </c>
      <c r="T1806" s="36">
        <f>IF(OR($C1806="",$S1806=""),"",ROUND(($C1806-$S1806+IF($C1806&lt;$S1806,1,0))*1440,0))</f>
        <v/>
      </c>
      <c r="U1806" s="22">
        <f>IF(OR($H1806="",$T1806="",$T1806&lt;=0),"",$H1806*60/$T1806)</f>
        <v/>
      </c>
      <c r="V1806" s="37">
        <f>IF(OR($U1806="",$R1806="",$R1806=0),"",$U1806/$R1806)</f>
        <v/>
      </c>
      <c r="W1806" s="20">
        <f>IF($G1806="","",IF($X1806="CONTEXTE INCOMPLET","CONTEXTE INCOMPLET",IF($X1806="DOUBLON",StatutDoublon,IF($S1806="",StatutInitial,IF($R1806="",StatutStandardManquant,IF($V1806="","DONNEES INSUFFISANTES",IF($V1806&gt;=SeuilConforme,StatutConforme,IF($V1806&gt;=SeuilSurveiller,StatutSurveiller,StatutSousStandard))))))))</f>
        <v/>
      </c>
      <c r="X1806" s="33">
        <f>IF($G1806="","",IF(OR($D1806="",$E1806="",$F1806=""),"CONTEXTE INCOMPLET",IF(COUNTIFS($D906:$D1805,$D1806,$E906:$E1805,$E1806,$F906:$F1805,$F1806,$G906:$G1805,$G1806)&gt;0,"DOUBLON","VALIDE")))</f>
        <v/>
      </c>
    </row>
    <row r="1807" ht="15" customHeight="1">
      <c r="A1807" s="12">
        <f>IF(OR($B1807="",$G1807=""),"",TEXT($B1807,"YYYYMMDD")&amp;"-"&amp;SUBSTITUTE($E1807," ","")&amp;"-"&amp;$F1807&amp;"-"&amp;$G1807)</f>
        <v/>
      </c>
      <c r="B1807" s="15" t="n"/>
      <c r="C1807" s="16" t="n"/>
      <c r="D1807" s="10" t="n"/>
      <c r="E1807" s="9" t="n"/>
      <c r="F1807" s="9" t="n"/>
      <c r="G1807" s="13" t="n"/>
      <c r="H1807" s="21" t="n"/>
      <c r="I1807" s="21" t="n"/>
      <c r="J1807" s="17">
        <f>IF($G1807="","",IFERROR(INDEX(NomsEmployes,MATCH($G1807,MatriculesEmployes,0)),"MATRICULE INCONNU"))</f>
        <v/>
      </c>
      <c r="K1807" s="33">
        <f>IF(OR($D1807="",$F1807=""),"",IFERROR(IF(INDEX(RUNS!$L$6:$S$1005,MATCH($D1807,RUNS!$A$6:$A$1005,0),MATCH("ACTIVITÉ "&amp;$F1807,RUNS!$L$5:$S$5,0))="","",INDEX(RUNS!$L$6:$S$1005,MATCH($D1807,RUNS!$A$6:$A$1005,0),MATCH("ACTIVITÉ "&amp;$F1807,RUNS!$L$5:$S$5,0))),""))</f>
        <v/>
      </c>
      <c r="L1807" s="33">
        <f>IF($D1807="","",IFERROR(IF(INDEX(RUNS!$E$6:$E$1005,MATCH($D1807,RUNS!$A$6:$A$1005,0))="","",INDEX(RUNS!$E$6:$E$1005,MATCH($D1807,RUNS!$A$6:$A$1005,0))),""))</f>
        <v/>
      </c>
      <c r="M1807" s="33">
        <f>IF($D1807="","",IFERROR(IF(INDEX(RUNS!$F$6:$F$1005,MATCH($D1807,RUNS!$A$6:$A$1005,0))="","",INDEX(RUNS!$F$6:$F$1005,MATCH($D1807,RUNS!$A$6:$A$1005,0))),""))</f>
        <v/>
      </c>
      <c r="N1807" s="33">
        <f>IF($D1807="","",IFERROR(IF(INDEX(RUNS!$G$6:$G$1005,MATCH($D1807,RUNS!$A$6:$A$1005,0))="","",INDEX(RUNS!$G$6:$G$1005,MATCH($D1807,RUNS!$A$6:$A$1005,0))),""))</f>
        <v/>
      </c>
      <c r="O1807" s="33">
        <f>IF($D1807="","",IFERROR(IF(INDEX(RUNS!$H$6:$H$1005,MATCH($D1807,RUNS!$A$6:$A$1005,0))="","",INDEX(RUNS!$H$6:$H$1005,MATCH($D1807,RUNS!$A$6:$A$1005,0))),""))</f>
        <v/>
      </c>
      <c r="P1807" s="33">
        <f>IF($D1807="","",IFERROR(IF(INDEX(RUNS!$J$6:$J$1005,MATCH($D1807,RUNS!$A$6:$A$1005,0))="","",INDEX(RUNS!$J$6:$J$1005,MATCH($D1807,RUNS!$A$6:$A$1005,0))),""))</f>
        <v/>
      </c>
      <c r="Q1807" s="33">
        <f>IF($D1807="","",IFERROR(IF(INDEX(RUNS!$K$6:$K$1005,MATCH($D1807,RUNS!$A$6:$A$1005,0))="","",INDEX(RUNS!$K$6:$K$1005,MATCH($D1807,RUNS!$A$6:$A$1005,0))),""))</f>
        <v/>
      </c>
      <c r="R1807" s="34">
        <f>IF(OR($L1807="",$K1807=""),"",IFERROR(IF(INDEX(PARAMETRES!$H$43:$H$342,MATCH($L1807&amp;"|"&amp;$M1807&amp;"|"&amp;$N1807&amp;"|"&amp;$O1807&amp;"|"&amp;$P1807&amp;"|"&amp;$Q1807&amp;"|"&amp;$K1807,PARAMETRES!$J$43:$J$342,0))="","",INDEX(PARAMETRES!$H$43:$H$342,MATCH($L1807&amp;"|"&amp;$M1807&amp;"|"&amp;$N1807&amp;"|"&amp;$O1807&amp;"|"&amp;$P1807&amp;"|"&amp;$Q1807&amp;"|"&amp;$K1807,PARAMETRES!$J$43:$J$342,0))),""))</f>
        <v/>
      </c>
      <c r="S1807" s="35">
        <f>IF(OR($G1807="",$X1807&lt;&gt;"VALIDE"),"",IFERROR(LOOKUP(2,1/(($B907:$B1806=$B1807)*($G907:$G1806=$G1807)*($X907:$X1806="VALIDE")),$C907:$C1806),""))</f>
        <v/>
      </c>
      <c r="T1807" s="36">
        <f>IF(OR($C1807="",$S1807=""),"",ROUND(($C1807-$S1807+IF($C1807&lt;$S1807,1,0))*1440,0))</f>
        <v/>
      </c>
      <c r="U1807" s="22">
        <f>IF(OR($H1807="",$T1807="",$T1807&lt;=0),"",$H1807*60/$T1807)</f>
        <v/>
      </c>
      <c r="V1807" s="37">
        <f>IF(OR($U1807="",$R1807="",$R1807=0),"",$U1807/$R1807)</f>
        <v/>
      </c>
      <c r="W1807" s="20">
        <f>IF($G1807="","",IF($X1807="CONTEXTE INCOMPLET","CONTEXTE INCOMPLET",IF($X1807="DOUBLON",StatutDoublon,IF($S1807="",StatutInitial,IF($R1807="",StatutStandardManquant,IF($V1807="","DONNEES INSUFFISANTES",IF($V1807&gt;=SeuilConforme,StatutConforme,IF($V1807&gt;=SeuilSurveiller,StatutSurveiller,StatutSousStandard))))))))</f>
        <v/>
      </c>
      <c r="X1807" s="33">
        <f>IF($G1807="","",IF(OR($D1807="",$E1807="",$F1807=""),"CONTEXTE INCOMPLET",IF(COUNTIFS($D907:$D1806,$D1807,$E907:$E1806,$E1807,$F907:$F1806,$F1807,$G907:$G1806,$G1807)&gt;0,"DOUBLON","VALIDE")))</f>
        <v/>
      </c>
    </row>
    <row r="1808" ht="15" customHeight="1">
      <c r="A1808" s="12">
        <f>IF(OR($B1808="",$G1808=""),"",TEXT($B1808,"YYYYMMDD")&amp;"-"&amp;SUBSTITUTE($E1808," ","")&amp;"-"&amp;$F1808&amp;"-"&amp;$G1808)</f>
        <v/>
      </c>
      <c r="B1808" s="15" t="n"/>
      <c r="C1808" s="16" t="n"/>
      <c r="D1808" s="10" t="n"/>
      <c r="E1808" s="9" t="n"/>
      <c r="F1808" s="9" t="n"/>
      <c r="G1808" s="13" t="n"/>
      <c r="H1808" s="21" t="n"/>
      <c r="I1808" s="21" t="n"/>
      <c r="J1808" s="17">
        <f>IF($G1808="","",IFERROR(INDEX(NomsEmployes,MATCH($G1808,MatriculesEmployes,0)),"MATRICULE INCONNU"))</f>
        <v/>
      </c>
      <c r="K1808" s="33">
        <f>IF(OR($D1808="",$F1808=""),"",IFERROR(IF(INDEX(RUNS!$L$6:$S$1005,MATCH($D1808,RUNS!$A$6:$A$1005,0),MATCH("ACTIVITÉ "&amp;$F1808,RUNS!$L$5:$S$5,0))="","",INDEX(RUNS!$L$6:$S$1005,MATCH($D1808,RUNS!$A$6:$A$1005,0),MATCH("ACTIVITÉ "&amp;$F1808,RUNS!$L$5:$S$5,0))),""))</f>
        <v/>
      </c>
      <c r="L1808" s="33">
        <f>IF($D1808="","",IFERROR(IF(INDEX(RUNS!$E$6:$E$1005,MATCH($D1808,RUNS!$A$6:$A$1005,0))="","",INDEX(RUNS!$E$6:$E$1005,MATCH($D1808,RUNS!$A$6:$A$1005,0))),""))</f>
        <v/>
      </c>
      <c r="M1808" s="33">
        <f>IF($D1808="","",IFERROR(IF(INDEX(RUNS!$F$6:$F$1005,MATCH($D1808,RUNS!$A$6:$A$1005,0))="","",INDEX(RUNS!$F$6:$F$1005,MATCH($D1808,RUNS!$A$6:$A$1005,0))),""))</f>
        <v/>
      </c>
      <c r="N1808" s="33">
        <f>IF($D1808="","",IFERROR(IF(INDEX(RUNS!$G$6:$G$1005,MATCH($D1808,RUNS!$A$6:$A$1005,0))="","",INDEX(RUNS!$G$6:$G$1005,MATCH($D1808,RUNS!$A$6:$A$1005,0))),""))</f>
        <v/>
      </c>
      <c r="O1808" s="33">
        <f>IF($D1808="","",IFERROR(IF(INDEX(RUNS!$H$6:$H$1005,MATCH($D1808,RUNS!$A$6:$A$1005,0))="","",INDEX(RUNS!$H$6:$H$1005,MATCH($D1808,RUNS!$A$6:$A$1005,0))),""))</f>
        <v/>
      </c>
      <c r="P1808" s="33">
        <f>IF($D1808="","",IFERROR(IF(INDEX(RUNS!$J$6:$J$1005,MATCH($D1808,RUNS!$A$6:$A$1005,0))="","",INDEX(RUNS!$J$6:$J$1005,MATCH($D1808,RUNS!$A$6:$A$1005,0))),""))</f>
        <v/>
      </c>
      <c r="Q1808" s="33">
        <f>IF($D1808="","",IFERROR(IF(INDEX(RUNS!$K$6:$K$1005,MATCH($D1808,RUNS!$A$6:$A$1005,0))="","",INDEX(RUNS!$K$6:$K$1005,MATCH($D1808,RUNS!$A$6:$A$1005,0))),""))</f>
        <v/>
      </c>
      <c r="R1808" s="34">
        <f>IF(OR($L1808="",$K1808=""),"",IFERROR(IF(INDEX(PARAMETRES!$H$43:$H$342,MATCH($L1808&amp;"|"&amp;$M1808&amp;"|"&amp;$N1808&amp;"|"&amp;$O1808&amp;"|"&amp;$P1808&amp;"|"&amp;$Q1808&amp;"|"&amp;$K1808,PARAMETRES!$J$43:$J$342,0))="","",INDEX(PARAMETRES!$H$43:$H$342,MATCH($L1808&amp;"|"&amp;$M1808&amp;"|"&amp;$N1808&amp;"|"&amp;$O1808&amp;"|"&amp;$P1808&amp;"|"&amp;$Q1808&amp;"|"&amp;$K1808,PARAMETRES!$J$43:$J$342,0))),""))</f>
        <v/>
      </c>
      <c r="S1808" s="35">
        <f>IF(OR($G1808="",$X1808&lt;&gt;"VALIDE"),"",IFERROR(LOOKUP(2,1/(($B908:$B1807=$B1808)*($G908:$G1807=$G1808)*($X908:$X1807="VALIDE")),$C908:$C1807),""))</f>
        <v/>
      </c>
      <c r="T1808" s="36">
        <f>IF(OR($C1808="",$S1808=""),"",ROUND(($C1808-$S1808+IF($C1808&lt;$S1808,1,0))*1440,0))</f>
        <v/>
      </c>
      <c r="U1808" s="22">
        <f>IF(OR($H1808="",$T1808="",$T1808&lt;=0),"",$H1808*60/$T1808)</f>
        <v/>
      </c>
      <c r="V1808" s="37">
        <f>IF(OR($U1808="",$R1808="",$R1808=0),"",$U1808/$R1808)</f>
        <v/>
      </c>
      <c r="W1808" s="20">
        <f>IF($G1808="","",IF($X1808="CONTEXTE INCOMPLET","CONTEXTE INCOMPLET",IF($X1808="DOUBLON",StatutDoublon,IF($S1808="",StatutInitial,IF($R1808="",StatutStandardManquant,IF($V1808="","DONNEES INSUFFISANTES",IF($V1808&gt;=SeuilConforme,StatutConforme,IF($V1808&gt;=SeuilSurveiller,StatutSurveiller,StatutSousStandard))))))))</f>
        <v/>
      </c>
      <c r="X1808" s="33">
        <f>IF($G1808="","",IF(OR($D1808="",$E1808="",$F1808=""),"CONTEXTE INCOMPLET",IF(COUNTIFS($D908:$D1807,$D1808,$E908:$E1807,$E1808,$F908:$F1807,$F1808,$G908:$G1807,$G1808)&gt;0,"DOUBLON","VALIDE")))</f>
        <v/>
      </c>
    </row>
    <row r="1809" ht="15" customHeight="1">
      <c r="A1809" s="12">
        <f>IF(OR($B1809="",$G1809=""),"",TEXT($B1809,"YYYYMMDD")&amp;"-"&amp;SUBSTITUTE($E1809," ","")&amp;"-"&amp;$F1809&amp;"-"&amp;$G1809)</f>
        <v/>
      </c>
      <c r="B1809" s="15" t="n"/>
      <c r="C1809" s="16" t="n"/>
      <c r="D1809" s="10" t="n"/>
      <c r="E1809" s="9" t="n"/>
      <c r="F1809" s="9" t="n"/>
      <c r="G1809" s="13" t="n"/>
      <c r="H1809" s="21" t="n"/>
      <c r="I1809" s="21" t="n"/>
      <c r="J1809" s="17">
        <f>IF($G1809="","",IFERROR(INDEX(NomsEmployes,MATCH($G1809,MatriculesEmployes,0)),"MATRICULE INCONNU"))</f>
        <v/>
      </c>
      <c r="K1809" s="33">
        <f>IF(OR($D1809="",$F1809=""),"",IFERROR(IF(INDEX(RUNS!$L$6:$S$1005,MATCH($D1809,RUNS!$A$6:$A$1005,0),MATCH("ACTIVITÉ "&amp;$F1809,RUNS!$L$5:$S$5,0))="","",INDEX(RUNS!$L$6:$S$1005,MATCH($D1809,RUNS!$A$6:$A$1005,0),MATCH("ACTIVITÉ "&amp;$F1809,RUNS!$L$5:$S$5,0))),""))</f>
        <v/>
      </c>
      <c r="L1809" s="33">
        <f>IF($D1809="","",IFERROR(IF(INDEX(RUNS!$E$6:$E$1005,MATCH($D1809,RUNS!$A$6:$A$1005,0))="","",INDEX(RUNS!$E$6:$E$1005,MATCH($D1809,RUNS!$A$6:$A$1005,0))),""))</f>
        <v/>
      </c>
      <c r="M1809" s="33">
        <f>IF($D1809="","",IFERROR(IF(INDEX(RUNS!$F$6:$F$1005,MATCH($D1809,RUNS!$A$6:$A$1005,0))="","",INDEX(RUNS!$F$6:$F$1005,MATCH($D1809,RUNS!$A$6:$A$1005,0))),""))</f>
        <v/>
      </c>
      <c r="N1809" s="33">
        <f>IF($D1809="","",IFERROR(IF(INDEX(RUNS!$G$6:$G$1005,MATCH($D1809,RUNS!$A$6:$A$1005,0))="","",INDEX(RUNS!$G$6:$G$1005,MATCH($D1809,RUNS!$A$6:$A$1005,0))),""))</f>
        <v/>
      </c>
      <c r="O1809" s="33">
        <f>IF($D1809="","",IFERROR(IF(INDEX(RUNS!$H$6:$H$1005,MATCH($D1809,RUNS!$A$6:$A$1005,0))="","",INDEX(RUNS!$H$6:$H$1005,MATCH($D1809,RUNS!$A$6:$A$1005,0))),""))</f>
        <v/>
      </c>
      <c r="P1809" s="33">
        <f>IF($D1809="","",IFERROR(IF(INDEX(RUNS!$J$6:$J$1005,MATCH($D1809,RUNS!$A$6:$A$1005,0))="","",INDEX(RUNS!$J$6:$J$1005,MATCH($D1809,RUNS!$A$6:$A$1005,0))),""))</f>
        <v/>
      </c>
      <c r="Q1809" s="33">
        <f>IF($D1809="","",IFERROR(IF(INDEX(RUNS!$K$6:$K$1005,MATCH($D1809,RUNS!$A$6:$A$1005,0))="","",INDEX(RUNS!$K$6:$K$1005,MATCH($D1809,RUNS!$A$6:$A$1005,0))),""))</f>
        <v/>
      </c>
      <c r="R1809" s="34">
        <f>IF(OR($L1809="",$K1809=""),"",IFERROR(IF(INDEX(PARAMETRES!$H$43:$H$342,MATCH($L1809&amp;"|"&amp;$M1809&amp;"|"&amp;$N1809&amp;"|"&amp;$O1809&amp;"|"&amp;$P1809&amp;"|"&amp;$Q1809&amp;"|"&amp;$K1809,PARAMETRES!$J$43:$J$342,0))="","",INDEX(PARAMETRES!$H$43:$H$342,MATCH($L1809&amp;"|"&amp;$M1809&amp;"|"&amp;$N1809&amp;"|"&amp;$O1809&amp;"|"&amp;$P1809&amp;"|"&amp;$Q1809&amp;"|"&amp;$K1809,PARAMETRES!$J$43:$J$342,0))),""))</f>
        <v/>
      </c>
      <c r="S1809" s="35">
        <f>IF(OR($G1809="",$X1809&lt;&gt;"VALIDE"),"",IFERROR(LOOKUP(2,1/(($B909:$B1808=$B1809)*($G909:$G1808=$G1809)*($X909:$X1808="VALIDE")),$C909:$C1808),""))</f>
        <v/>
      </c>
      <c r="T1809" s="36">
        <f>IF(OR($C1809="",$S1809=""),"",ROUND(($C1809-$S1809+IF($C1809&lt;$S1809,1,0))*1440,0))</f>
        <v/>
      </c>
      <c r="U1809" s="22">
        <f>IF(OR($H1809="",$T1809="",$T1809&lt;=0),"",$H1809*60/$T1809)</f>
        <v/>
      </c>
      <c r="V1809" s="37">
        <f>IF(OR($U1809="",$R1809="",$R1809=0),"",$U1809/$R1809)</f>
        <v/>
      </c>
      <c r="W1809" s="20">
        <f>IF($G1809="","",IF($X1809="CONTEXTE INCOMPLET","CONTEXTE INCOMPLET",IF($X1809="DOUBLON",StatutDoublon,IF($S1809="",StatutInitial,IF($R1809="",StatutStandardManquant,IF($V1809="","DONNEES INSUFFISANTES",IF($V1809&gt;=SeuilConforme,StatutConforme,IF($V1809&gt;=SeuilSurveiller,StatutSurveiller,StatutSousStandard))))))))</f>
        <v/>
      </c>
      <c r="X1809" s="33">
        <f>IF($G1809="","",IF(OR($D1809="",$E1809="",$F1809=""),"CONTEXTE INCOMPLET",IF(COUNTIFS($D909:$D1808,$D1809,$E909:$E1808,$E1809,$F909:$F1808,$F1809,$G909:$G1808,$G1809)&gt;0,"DOUBLON","VALIDE")))</f>
        <v/>
      </c>
    </row>
    <row r="1810" ht="15" customHeight="1">
      <c r="A1810" s="12">
        <f>IF(OR($B1810="",$G1810=""),"",TEXT($B1810,"YYYYMMDD")&amp;"-"&amp;SUBSTITUTE($E1810," ","")&amp;"-"&amp;$F1810&amp;"-"&amp;$G1810)</f>
        <v/>
      </c>
      <c r="B1810" s="15" t="n"/>
      <c r="C1810" s="16" t="n"/>
      <c r="D1810" s="10" t="n"/>
      <c r="E1810" s="9" t="n"/>
      <c r="F1810" s="9" t="n"/>
      <c r="G1810" s="13" t="n"/>
      <c r="H1810" s="21" t="n"/>
      <c r="I1810" s="21" t="n"/>
      <c r="J1810" s="17">
        <f>IF($G1810="","",IFERROR(INDEX(NomsEmployes,MATCH($G1810,MatriculesEmployes,0)),"MATRICULE INCONNU"))</f>
        <v/>
      </c>
      <c r="K1810" s="33">
        <f>IF(OR($D1810="",$F1810=""),"",IFERROR(IF(INDEX(RUNS!$L$6:$S$1005,MATCH($D1810,RUNS!$A$6:$A$1005,0),MATCH("ACTIVITÉ "&amp;$F1810,RUNS!$L$5:$S$5,0))="","",INDEX(RUNS!$L$6:$S$1005,MATCH($D1810,RUNS!$A$6:$A$1005,0),MATCH("ACTIVITÉ "&amp;$F1810,RUNS!$L$5:$S$5,0))),""))</f>
        <v/>
      </c>
      <c r="L1810" s="33">
        <f>IF($D1810="","",IFERROR(IF(INDEX(RUNS!$E$6:$E$1005,MATCH($D1810,RUNS!$A$6:$A$1005,0))="","",INDEX(RUNS!$E$6:$E$1005,MATCH($D1810,RUNS!$A$6:$A$1005,0))),""))</f>
        <v/>
      </c>
      <c r="M1810" s="33">
        <f>IF($D1810="","",IFERROR(IF(INDEX(RUNS!$F$6:$F$1005,MATCH($D1810,RUNS!$A$6:$A$1005,0))="","",INDEX(RUNS!$F$6:$F$1005,MATCH($D1810,RUNS!$A$6:$A$1005,0))),""))</f>
        <v/>
      </c>
      <c r="N1810" s="33">
        <f>IF($D1810="","",IFERROR(IF(INDEX(RUNS!$G$6:$G$1005,MATCH($D1810,RUNS!$A$6:$A$1005,0))="","",INDEX(RUNS!$G$6:$G$1005,MATCH($D1810,RUNS!$A$6:$A$1005,0))),""))</f>
        <v/>
      </c>
      <c r="O1810" s="33">
        <f>IF($D1810="","",IFERROR(IF(INDEX(RUNS!$H$6:$H$1005,MATCH($D1810,RUNS!$A$6:$A$1005,0))="","",INDEX(RUNS!$H$6:$H$1005,MATCH($D1810,RUNS!$A$6:$A$1005,0))),""))</f>
        <v/>
      </c>
      <c r="P1810" s="33">
        <f>IF($D1810="","",IFERROR(IF(INDEX(RUNS!$J$6:$J$1005,MATCH($D1810,RUNS!$A$6:$A$1005,0))="","",INDEX(RUNS!$J$6:$J$1005,MATCH($D1810,RUNS!$A$6:$A$1005,0))),""))</f>
        <v/>
      </c>
      <c r="Q1810" s="33">
        <f>IF($D1810="","",IFERROR(IF(INDEX(RUNS!$K$6:$K$1005,MATCH($D1810,RUNS!$A$6:$A$1005,0))="","",INDEX(RUNS!$K$6:$K$1005,MATCH($D1810,RUNS!$A$6:$A$1005,0))),""))</f>
        <v/>
      </c>
      <c r="R1810" s="34">
        <f>IF(OR($L1810="",$K1810=""),"",IFERROR(IF(INDEX(PARAMETRES!$H$43:$H$342,MATCH($L1810&amp;"|"&amp;$M1810&amp;"|"&amp;$N1810&amp;"|"&amp;$O1810&amp;"|"&amp;$P1810&amp;"|"&amp;$Q1810&amp;"|"&amp;$K1810,PARAMETRES!$J$43:$J$342,0))="","",INDEX(PARAMETRES!$H$43:$H$342,MATCH($L1810&amp;"|"&amp;$M1810&amp;"|"&amp;$N1810&amp;"|"&amp;$O1810&amp;"|"&amp;$P1810&amp;"|"&amp;$Q1810&amp;"|"&amp;$K1810,PARAMETRES!$J$43:$J$342,0))),""))</f>
        <v/>
      </c>
      <c r="S1810" s="35">
        <f>IF(OR($G1810="",$X1810&lt;&gt;"VALIDE"),"",IFERROR(LOOKUP(2,1/(($B910:$B1809=$B1810)*($G910:$G1809=$G1810)*($X910:$X1809="VALIDE")),$C910:$C1809),""))</f>
        <v/>
      </c>
      <c r="T1810" s="36">
        <f>IF(OR($C1810="",$S1810=""),"",ROUND(($C1810-$S1810+IF($C1810&lt;$S1810,1,0))*1440,0))</f>
        <v/>
      </c>
      <c r="U1810" s="22">
        <f>IF(OR($H1810="",$T1810="",$T1810&lt;=0),"",$H1810*60/$T1810)</f>
        <v/>
      </c>
      <c r="V1810" s="37">
        <f>IF(OR($U1810="",$R1810="",$R1810=0),"",$U1810/$R1810)</f>
        <v/>
      </c>
      <c r="W1810" s="20">
        <f>IF($G1810="","",IF($X1810="CONTEXTE INCOMPLET","CONTEXTE INCOMPLET",IF($X1810="DOUBLON",StatutDoublon,IF($S1810="",StatutInitial,IF($R1810="",StatutStandardManquant,IF($V1810="","DONNEES INSUFFISANTES",IF($V1810&gt;=SeuilConforme,StatutConforme,IF($V1810&gt;=SeuilSurveiller,StatutSurveiller,StatutSousStandard))))))))</f>
        <v/>
      </c>
      <c r="X1810" s="33">
        <f>IF($G1810="","",IF(OR($D1810="",$E1810="",$F1810=""),"CONTEXTE INCOMPLET",IF(COUNTIFS($D910:$D1809,$D1810,$E910:$E1809,$E1810,$F910:$F1809,$F1810,$G910:$G1809,$G1810)&gt;0,"DOUBLON","VALIDE")))</f>
        <v/>
      </c>
    </row>
    <row r="1811" ht="15" customHeight="1">
      <c r="A1811" s="12">
        <f>IF(OR($B1811="",$G1811=""),"",TEXT($B1811,"YYYYMMDD")&amp;"-"&amp;SUBSTITUTE($E1811," ","")&amp;"-"&amp;$F1811&amp;"-"&amp;$G1811)</f>
        <v/>
      </c>
      <c r="B1811" s="15" t="n"/>
      <c r="C1811" s="16" t="n"/>
      <c r="D1811" s="10" t="n"/>
      <c r="E1811" s="9" t="n"/>
      <c r="F1811" s="9" t="n"/>
      <c r="G1811" s="13" t="n"/>
      <c r="H1811" s="21" t="n"/>
      <c r="I1811" s="21" t="n"/>
      <c r="J1811" s="17">
        <f>IF($G1811="","",IFERROR(INDEX(NomsEmployes,MATCH($G1811,MatriculesEmployes,0)),"MATRICULE INCONNU"))</f>
        <v/>
      </c>
      <c r="K1811" s="33">
        <f>IF(OR($D1811="",$F1811=""),"",IFERROR(IF(INDEX(RUNS!$L$6:$S$1005,MATCH($D1811,RUNS!$A$6:$A$1005,0),MATCH("ACTIVITÉ "&amp;$F1811,RUNS!$L$5:$S$5,0))="","",INDEX(RUNS!$L$6:$S$1005,MATCH($D1811,RUNS!$A$6:$A$1005,0),MATCH("ACTIVITÉ "&amp;$F1811,RUNS!$L$5:$S$5,0))),""))</f>
        <v/>
      </c>
      <c r="L1811" s="33">
        <f>IF($D1811="","",IFERROR(IF(INDEX(RUNS!$E$6:$E$1005,MATCH($D1811,RUNS!$A$6:$A$1005,0))="","",INDEX(RUNS!$E$6:$E$1005,MATCH($D1811,RUNS!$A$6:$A$1005,0))),""))</f>
        <v/>
      </c>
      <c r="M1811" s="33">
        <f>IF($D1811="","",IFERROR(IF(INDEX(RUNS!$F$6:$F$1005,MATCH($D1811,RUNS!$A$6:$A$1005,0))="","",INDEX(RUNS!$F$6:$F$1005,MATCH($D1811,RUNS!$A$6:$A$1005,0))),""))</f>
        <v/>
      </c>
      <c r="N1811" s="33">
        <f>IF($D1811="","",IFERROR(IF(INDEX(RUNS!$G$6:$G$1005,MATCH($D1811,RUNS!$A$6:$A$1005,0))="","",INDEX(RUNS!$G$6:$G$1005,MATCH($D1811,RUNS!$A$6:$A$1005,0))),""))</f>
        <v/>
      </c>
      <c r="O1811" s="33">
        <f>IF($D1811="","",IFERROR(IF(INDEX(RUNS!$H$6:$H$1005,MATCH($D1811,RUNS!$A$6:$A$1005,0))="","",INDEX(RUNS!$H$6:$H$1005,MATCH($D1811,RUNS!$A$6:$A$1005,0))),""))</f>
        <v/>
      </c>
      <c r="P1811" s="33">
        <f>IF($D1811="","",IFERROR(IF(INDEX(RUNS!$J$6:$J$1005,MATCH($D1811,RUNS!$A$6:$A$1005,0))="","",INDEX(RUNS!$J$6:$J$1005,MATCH($D1811,RUNS!$A$6:$A$1005,0))),""))</f>
        <v/>
      </c>
      <c r="Q1811" s="33">
        <f>IF($D1811="","",IFERROR(IF(INDEX(RUNS!$K$6:$K$1005,MATCH($D1811,RUNS!$A$6:$A$1005,0))="","",INDEX(RUNS!$K$6:$K$1005,MATCH($D1811,RUNS!$A$6:$A$1005,0))),""))</f>
        <v/>
      </c>
      <c r="R1811" s="34">
        <f>IF(OR($L1811="",$K1811=""),"",IFERROR(IF(INDEX(PARAMETRES!$H$43:$H$342,MATCH($L1811&amp;"|"&amp;$M1811&amp;"|"&amp;$N1811&amp;"|"&amp;$O1811&amp;"|"&amp;$P1811&amp;"|"&amp;$Q1811&amp;"|"&amp;$K1811,PARAMETRES!$J$43:$J$342,0))="","",INDEX(PARAMETRES!$H$43:$H$342,MATCH($L1811&amp;"|"&amp;$M1811&amp;"|"&amp;$N1811&amp;"|"&amp;$O1811&amp;"|"&amp;$P1811&amp;"|"&amp;$Q1811&amp;"|"&amp;$K1811,PARAMETRES!$J$43:$J$342,0))),""))</f>
        <v/>
      </c>
      <c r="S1811" s="35">
        <f>IF(OR($G1811="",$X1811&lt;&gt;"VALIDE"),"",IFERROR(LOOKUP(2,1/(($B911:$B1810=$B1811)*($G911:$G1810=$G1811)*($X911:$X1810="VALIDE")),$C911:$C1810),""))</f>
        <v/>
      </c>
      <c r="T1811" s="36">
        <f>IF(OR($C1811="",$S1811=""),"",ROUND(($C1811-$S1811+IF($C1811&lt;$S1811,1,0))*1440,0))</f>
        <v/>
      </c>
      <c r="U1811" s="22">
        <f>IF(OR($H1811="",$T1811="",$T1811&lt;=0),"",$H1811*60/$T1811)</f>
        <v/>
      </c>
      <c r="V1811" s="37">
        <f>IF(OR($U1811="",$R1811="",$R1811=0),"",$U1811/$R1811)</f>
        <v/>
      </c>
      <c r="W1811" s="20">
        <f>IF($G1811="","",IF($X1811="CONTEXTE INCOMPLET","CONTEXTE INCOMPLET",IF($X1811="DOUBLON",StatutDoublon,IF($S1811="",StatutInitial,IF($R1811="",StatutStandardManquant,IF($V1811="","DONNEES INSUFFISANTES",IF($V1811&gt;=SeuilConforme,StatutConforme,IF($V1811&gt;=SeuilSurveiller,StatutSurveiller,StatutSousStandard))))))))</f>
        <v/>
      </c>
      <c r="X1811" s="33">
        <f>IF($G1811="","",IF(OR($D1811="",$E1811="",$F1811=""),"CONTEXTE INCOMPLET",IF(COUNTIFS($D911:$D1810,$D1811,$E911:$E1810,$E1811,$F911:$F1810,$F1811,$G911:$G1810,$G1811)&gt;0,"DOUBLON","VALIDE")))</f>
        <v/>
      </c>
    </row>
    <row r="1812" ht="15" customHeight="1">
      <c r="A1812" s="12">
        <f>IF(OR($B1812="",$G1812=""),"",TEXT($B1812,"YYYYMMDD")&amp;"-"&amp;SUBSTITUTE($E1812," ","")&amp;"-"&amp;$F1812&amp;"-"&amp;$G1812)</f>
        <v/>
      </c>
      <c r="B1812" s="15" t="n"/>
      <c r="C1812" s="16" t="n"/>
      <c r="D1812" s="10" t="n"/>
      <c r="E1812" s="9" t="n"/>
      <c r="F1812" s="9" t="n"/>
      <c r="G1812" s="13" t="n"/>
      <c r="H1812" s="21" t="n"/>
      <c r="I1812" s="21" t="n"/>
      <c r="J1812" s="17">
        <f>IF($G1812="","",IFERROR(INDEX(NomsEmployes,MATCH($G1812,MatriculesEmployes,0)),"MATRICULE INCONNU"))</f>
        <v/>
      </c>
      <c r="K1812" s="33">
        <f>IF(OR($D1812="",$F1812=""),"",IFERROR(IF(INDEX(RUNS!$L$6:$S$1005,MATCH($D1812,RUNS!$A$6:$A$1005,0),MATCH("ACTIVITÉ "&amp;$F1812,RUNS!$L$5:$S$5,0))="","",INDEX(RUNS!$L$6:$S$1005,MATCH($D1812,RUNS!$A$6:$A$1005,0),MATCH("ACTIVITÉ "&amp;$F1812,RUNS!$L$5:$S$5,0))),""))</f>
        <v/>
      </c>
      <c r="L1812" s="33">
        <f>IF($D1812="","",IFERROR(IF(INDEX(RUNS!$E$6:$E$1005,MATCH($D1812,RUNS!$A$6:$A$1005,0))="","",INDEX(RUNS!$E$6:$E$1005,MATCH($D1812,RUNS!$A$6:$A$1005,0))),""))</f>
        <v/>
      </c>
      <c r="M1812" s="33">
        <f>IF($D1812="","",IFERROR(IF(INDEX(RUNS!$F$6:$F$1005,MATCH($D1812,RUNS!$A$6:$A$1005,0))="","",INDEX(RUNS!$F$6:$F$1005,MATCH($D1812,RUNS!$A$6:$A$1005,0))),""))</f>
        <v/>
      </c>
      <c r="N1812" s="33">
        <f>IF($D1812="","",IFERROR(IF(INDEX(RUNS!$G$6:$G$1005,MATCH($D1812,RUNS!$A$6:$A$1005,0))="","",INDEX(RUNS!$G$6:$G$1005,MATCH($D1812,RUNS!$A$6:$A$1005,0))),""))</f>
        <v/>
      </c>
      <c r="O1812" s="33">
        <f>IF($D1812="","",IFERROR(IF(INDEX(RUNS!$H$6:$H$1005,MATCH($D1812,RUNS!$A$6:$A$1005,0))="","",INDEX(RUNS!$H$6:$H$1005,MATCH($D1812,RUNS!$A$6:$A$1005,0))),""))</f>
        <v/>
      </c>
      <c r="P1812" s="33">
        <f>IF($D1812="","",IFERROR(IF(INDEX(RUNS!$J$6:$J$1005,MATCH($D1812,RUNS!$A$6:$A$1005,0))="","",INDEX(RUNS!$J$6:$J$1005,MATCH($D1812,RUNS!$A$6:$A$1005,0))),""))</f>
        <v/>
      </c>
      <c r="Q1812" s="33">
        <f>IF($D1812="","",IFERROR(IF(INDEX(RUNS!$K$6:$K$1005,MATCH($D1812,RUNS!$A$6:$A$1005,0))="","",INDEX(RUNS!$K$6:$K$1005,MATCH($D1812,RUNS!$A$6:$A$1005,0))),""))</f>
        <v/>
      </c>
      <c r="R1812" s="34">
        <f>IF(OR($L1812="",$K1812=""),"",IFERROR(IF(INDEX(PARAMETRES!$H$43:$H$342,MATCH($L1812&amp;"|"&amp;$M1812&amp;"|"&amp;$N1812&amp;"|"&amp;$O1812&amp;"|"&amp;$P1812&amp;"|"&amp;$Q1812&amp;"|"&amp;$K1812,PARAMETRES!$J$43:$J$342,0))="","",INDEX(PARAMETRES!$H$43:$H$342,MATCH($L1812&amp;"|"&amp;$M1812&amp;"|"&amp;$N1812&amp;"|"&amp;$O1812&amp;"|"&amp;$P1812&amp;"|"&amp;$Q1812&amp;"|"&amp;$K1812,PARAMETRES!$J$43:$J$342,0))),""))</f>
        <v/>
      </c>
      <c r="S1812" s="35">
        <f>IF(OR($G1812="",$X1812&lt;&gt;"VALIDE"),"",IFERROR(LOOKUP(2,1/(($B912:$B1811=$B1812)*($G912:$G1811=$G1812)*($X912:$X1811="VALIDE")),$C912:$C1811),""))</f>
        <v/>
      </c>
      <c r="T1812" s="36">
        <f>IF(OR($C1812="",$S1812=""),"",ROUND(($C1812-$S1812+IF($C1812&lt;$S1812,1,0))*1440,0))</f>
        <v/>
      </c>
      <c r="U1812" s="22">
        <f>IF(OR($H1812="",$T1812="",$T1812&lt;=0),"",$H1812*60/$T1812)</f>
        <v/>
      </c>
      <c r="V1812" s="37">
        <f>IF(OR($U1812="",$R1812="",$R1812=0),"",$U1812/$R1812)</f>
        <v/>
      </c>
      <c r="W1812" s="20">
        <f>IF($G1812="","",IF($X1812="CONTEXTE INCOMPLET","CONTEXTE INCOMPLET",IF($X1812="DOUBLON",StatutDoublon,IF($S1812="",StatutInitial,IF($R1812="",StatutStandardManquant,IF($V1812="","DONNEES INSUFFISANTES",IF($V1812&gt;=SeuilConforme,StatutConforme,IF($V1812&gt;=SeuilSurveiller,StatutSurveiller,StatutSousStandard))))))))</f>
        <v/>
      </c>
      <c r="X1812" s="33">
        <f>IF($G1812="","",IF(OR($D1812="",$E1812="",$F1812=""),"CONTEXTE INCOMPLET",IF(COUNTIFS($D912:$D1811,$D1812,$E912:$E1811,$E1812,$F912:$F1811,$F1812,$G912:$G1811,$G1812)&gt;0,"DOUBLON","VALIDE")))</f>
        <v/>
      </c>
    </row>
    <row r="1813" ht="15" customHeight="1">
      <c r="A1813" s="12">
        <f>IF(OR($B1813="",$G1813=""),"",TEXT($B1813,"YYYYMMDD")&amp;"-"&amp;SUBSTITUTE($E1813," ","")&amp;"-"&amp;$F1813&amp;"-"&amp;$G1813)</f>
        <v/>
      </c>
      <c r="B1813" s="15" t="n"/>
      <c r="C1813" s="16" t="n"/>
      <c r="D1813" s="10" t="n"/>
      <c r="E1813" s="9" t="n"/>
      <c r="F1813" s="9" t="n"/>
      <c r="G1813" s="13" t="n"/>
      <c r="H1813" s="21" t="n"/>
      <c r="I1813" s="21" t="n"/>
      <c r="J1813" s="17">
        <f>IF($G1813="","",IFERROR(INDEX(NomsEmployes,MATCH($G1813,MatriculesEmployes,0)),"MATRICULE INCONNU"))</f>
        <v/>
      </c>
      <c r="K1813" s="33">
        <f>IF(OR($D1813="",$F1813=""),"",IFERROR(IF(INDEX(RUNS!$L$6:$S$1005,MATCH($D1813,RUNS!$A$6:$A$1005,0),MATCH("ACTIVITÉ "&amp;$F1813,RUNS!$L$5:$S$5,0))="","",INDEX(RUNS!$L$6:$S$1005,MATCH($D1813,RUNS!$A$6:$A$1005,0),MATCH("ACTIVITÉ "&amp;$F1813,RUNS!$L$5:$S$5,0))),""))</f>
        <v/>
      </c>
      <c r="L1813" s="33">
        <f>IF($D1813="","",IFERROR(IF(INDEX(RUNS!$E$6:$E$1005,MATCH($D1813,RUNS!$A$6:$A$1005,0))="","",INDEX(RUNS!$E$6:$E$1005,MATCH($D1813,RUNS!$A$6:$A$1005,0))),""))</f>
        <v/>
      </c>
      <c r="M1813" s="33">
        <f>IF($D1813="","",IFERROR(IF(INDEX(RUNS!$F$6:$F$1005,MATCH($D1813,RUNS!$A$6:$A$1005,0))="","",INDEX(RUNS!$F$6:$F$1005,MATCH($D1813,RUNS!$A$6:$A$1005,0))),""))</f>
        <v/>
      </c>
      <c r="N1813" s="33">
        <f>IF($D1813="","",IFERROR(IF(INDEX(RUNS!$G$6:$G$1005,MATCH($D1813,RUNS!$A$6:$A$1005,0))="","",INDEX(RUNS!$G$6:$G$1005,MATCH($D1813,RUNS!$A$6:$A$1005,0))),""))</f>
        <v/>
      </c>
      <c r="O1813" s="33">
        <f>IF($D1813="","",IFERROR(IF(INDEX(RUNS!$H$6:$H$1005,MATCH($D1813,RUNS!$A$6:$A$1005,0))="","",INDEX(RUNS!$H$6:$H$1005,MATCH($D1813,RUNS!$A$6:$A$1005,0))),""))</f>
        <v/>
      </c>
      <c r="P1813" s="33">
        <f>IF($D1813="","",IFERROR(IF(INDEX(RUNS!$J$6:$J$1005,MATCH($D1813,RUNS!$A$6:$A$1005,0))="","",INDEX(RUNS!$J$6:$J$1005,MATCH($D1813,RUNS!$A$6:$A$1005,0))),""))</f>
        <v/>
      </c>
      <c r="Q1813" s="33">
        <f>IF($D1813="","",IFERROR(IF(INDEX(RUNS!$K$6:$K$1005,MATCH($D1813,RUNS!$A$6:$A$1005,0))="","",INDEX(RUNS!$K$6:$K$1005,MATCH($D1813,RUNS!$A$6:$A$1005,0))),""))</f>
        <v/>
      </c>
      <c r="R1813" s="34">
        <f>IF(OR($L1813="",$K1813=""),"",IFERROR(IF(INDEX(PARAMETRES!$H$43:$H$342,MATCH($L1813&amp;"|"&amp;$M1813&amp;"|"&amp;$N1813&amp;"|"&amp;$O1813&amp;"|"&amp;$P1813&amp;"|"&amp;$Q1813&amp;"|"&amp;$K1813,PARAMETRES!$J$43:$J$342,0))="","",INDEX(PARAMETRES!$H$43:$H$342,MATCH($L1813&amp;"|"&amp;$M1813&amp;"|"&amp;$N1813&amp;"|"&amp;$O1813&amp;"|"&amp;$P1813&amp;"|"&amp;$Q1813&amp;"|"&amp;$K1813,PARAMETRES!$J$43:$J$342,0))),""))</f>
        <v/>
      </c>
      <c r="S1813" s="35">
        <f>IF(OR($G1813="",$X1813&lt;&gt;"VALIDE"),"",IFERROR(LOOKUP(2,1/(($B913:$B1812=$B1813)*($G913:$G1812=$G1813)*($X913:$X1812="VALIDE")),$C913:$C1812),""))</f>
        <v/>
      </c>
      <c r="T1813" s="36">
        <f>IF(OR($C1813="",$S1813=""),"",ROUND(($C1813-$S1813+IF($C1813&lt;$S1813,1,0))*1440,0))</f>
        <v/>
      </c>
      <c r="U1813" s="22">
        <f>IF(OR($H1813="",$T1813="",$T1813&lt;=0),"",$H1813*60/$T1813)</f>
        <v/>
      </c>
      <c r="V1813" s="37">
        <f>IF(OR($U1813="",$R1813="",$R1813=0),"",$U1813/$R1813)</f>
        <v/>
      </c>
      <c r="W1813" s="20">
        <f>IF($G1813="","",IF($X1813="CONTEXTE INCOMPLET","CONTEXTE INCOMPLET",IF($X1813="DOUBLON",StatutDoublon,IF($S1813="",StatutInitial,IF($R1813="",StatutStandardManquant,IF($V1813="","DONNEES INSUFFISANTES",IF($V1813&gt;=SeuilConforme,StatutConforme,IF($V1813&gt;=SeuilSurveiller,StatutSurveiller,StatutSousStandard))))))))</f>
        <v/>
      </c>
      <c r="X1813" s="33">
        <f>IF($G1813="","",IF(OR($D1813="",$E1813="",$F1813=""),"CONTEXTE INCOMPLET",IF(COUNTIFS($D913:$D1812,$D1813,$E913:$E1812,$E1813,$F913:$F1812,$F1813,$G913:$G1812,$G1813)&gt;0,"DOUBLON","VALIDE")))</f>
        <v/>
      </c>
    </row>
    <row r="1814" ht="15" customHeight="1">
      <c r="A1814" s="12">
        <f>IF(OR($B1814="",$G1814=""),"",TEXT($B1814,"YYYYMMDD")&amp;"-"&amp;SUBSTITUTE($E1814," ","")&amp;"-"&amp;$F1814&amp;"-"&amp;$G1814)</f>
        <v/>
      </c>
      <c r="B1814" s="15" t="n"/>
      <c r="C1814" s="16" t="n"/>
      <c r="D1814" s="10" t="n"/>
      <c r="E1814" s="9" t="n"/>
      <c r="F1814" s="9" t="n"/>
      <c r="G1814" s="13" t="n"/>
      <c r="H1814" s="21" t="n"/>
      <c r="I1814" s="21" t="n"/>
      <c r="J1814" s="17">
        <f>IF($G1814="","",IFERROR(INDEX(NomsEmployes,MATCH($G1814,MatriculesEmployes,0)),"MATRICULE INCONNU"))</f>
        <v/>
      </c>
      <c r="K1814" s="33">
        <f>IF(OR($D1814="",$F1814=""),"",IFERROR(IF(INDEX(RUNS!$L$6:$S$1005,MATCH($D1814,RUNS!$A$6:$A$1005,0),MATCH("ACTIVITÉ "&amp;$F1814,RUNS!$L$5:$S$5,0))="","",INDEX(RUNS!$L$6:$S$1005,MATCH($D1814,RUNS!$A$6:$A$1005,0),MATCH("ACTIVITÉ "&amp;$F1814,RUNS!$L$5:$S$5,0))),""))</f>
        <v/>
      </c>
      <c r="L1814" s="33">
        <f>IF($D1814="","",IFERROR(IF(INDEX(RUNS!$E$6:$E$1005,MATCH($D1814,RUNS!$A$6:$A$1005,0))="","",INDEX(RUNS!$E$6:$E$1005,MATCH($D1814,RUNS!$A$6:$A$1005,0))),""))</f>
        <v/>
      </c>
      <c r="M1814" s="33">
        <f>IF($D1814="","",IFERROR(IF(INDEX(RUNS!$F$6:$F$1005,MATCH($D1814,RUNS!$A$6:$A$1005,0))="","",INDEX(RUNS!$F$6:$F$1005,MATCH($D1814,RUNS!$A$6:$A$1005,0))),""))</f>
        <v/>
      </c>
      <c r="N1814" s="33">
        <f>IF($D1814="","",IFERROR(IF(INDEX(RUNS!$G$6:$G$1005,MATCH($D1814,RUNS!$A$6:$A$1005,0))="","",INDEX(RUNS!$G$6:$G$1005,MATCH($D1814,RUNS!$A$6:$A$1005,0))),""))</f>
        <v/>
      </c>
      <c r="O1814" s="33">
        <f>IF($D1814="","",IFERROR(IF(INDEX(RUNS!$H$6:$H$1005,MATCH($D1814,RUNS!$A$6:$A$1005,0))="","",INDEX(RUNS!$H$6:$H$1005,MATCH($D1814,RUNS!$A$6:$A$1005,0))),""))</f>
        <v/>
      </c>
      <c r="P1814" s="33">
        <f>IF($D1814="","",IFERROR(IF(INDEX(RUNS!$J$6:$J$1005,MATCH($D1814,RUNS!$A$6:$A$1005,0))="","",INDEX(RUNS!$J$6:$J$1005,MATCH($D1814,RUNS!$A$6:$A$1005,0))),""))</f>
        <v/>
      </c>
      <c r="Q1814" s="33">
        <f>IF($D1814="","",IFERROR(IF(INDEX(RUNS!$K$6:$K$1005,MATCH($D1814,RUNS!$A$6:$A$1005,0))="","",INDEX(RUNS!$K$6:$K$1005,MATCH($D1814,RUNS!$A$6:$A$1005,0))),""))</f>
        <v/>
      </c>
      <c r="R1814" s="34">
        <f>IF(OR($L1814="",$K1814=""),"",IFERROR(IF(INDEX(PARAMETRES!$H$43:$H$342,MATCH($L1814&amp;"|"&amp;$M1814&amp;"|"&amp;$N1814&amp;"|"&amp;$O1814&amp;"|"&amp;$P1814&amp;"|"&amp;$Q1814&amp;"|"&amp;$K1814,PARAMETRES!$J$43:$J$342,0))="","",INDEX(PARAMETRES!$H$43:$H$342,MATCH($L1814&amp;"|"&amp;$M1814&amp;"|"&amp;$N1814&amp;"|"&amp;$O1814&amp;"|"&amp;$P1814&amp;"|"&amp;$Q1814&amp;"|"&amp;$K1814,PARAMETRES!$J$43:$J$342,0))),""))</f>
        <v/>
      </c>
      <c r="S1814" s="35">
        <f>IF(OR($G1814="",$X1814&lt;&gt;"VALIDE"),"",IFERROR(LOOKUP(2,1/(($B914:$B1813=$B1814)*($G914:$G1813=$G1814)*($X914:$X1813="VALIDE")),$C914:$C1813),""))</f>
        <v/>
      </c>
      <c r="T1814" s="36">
        <f>IF(OR($C1814="",$S1814=""),"",ROUND(($C1814-$S1814+IF($C1814&lt;$S1814,1,0))*1440,0))</f>
        <v/>
      </c>
      <c r="U1814" s="22">
        <f>IF(OR($H1814="",$T1814="",$T1814&lt;=0),"",$H1814*60/$T1814)</f>
        <v/>
      </c>
      <c r="V1814" s="37">
        <f>IF(OR($U1814="",$R1814="",$R1814=0),"",$U1814/$R1814)</f>
        <v/>
      </c>
      <c r="W1814" s="20">
        <f>IF($G1814="","",IF($X1814="CONTEXTE INCOMPLET","CONTEXTE INCOMPLET",IF($X1814="DOUBLON",StatutDoublon,IF($S1814="",StatutInitial,IF($R1814="",StatutStandardManquant,IF($V1814="","DONNEES INSUFFISANTES",IF($V1814&gt;=SeuilConforme,StatutConforme,IF($V1814&gt;=SeuilSurveiller,StatutSurveiller,StatutSousStandard))))))))</f>
        <v/>
      </c>
      <c r="X1814" s="33">
        <f>IF($G1814="","",IF(OR($D1814="",$E1814="",$F1814=""),"CONTEXTE INCOMPLET",IF(COUNTIFS($D914:$D1813,$D1814,$E914:$E1813,$E1814,$F914:$F1813,$F1814,$G914:$G1813,$G1814)&gt;0,"DOUBLON","VALIDE")))</f>
        <v/>
      </c>
    </row>
    <row r="1815" ht="15" customHeight="1">
      <c r="A1815" s="12">
        <f>IF(OR($B1815="",$G1815=""),"",TEXT($B1815,"YYYYMMDD")&amp;"-"&amp;SUBSTITUTE($E1815," ","")&amp;"-"&amp;$F1815&amp;"-"&amp;$G1815)</f>
        <v/>
      </c>
      <c r="B1815" s="15" t="n"/>
      <c r="C1815" s="16" t="n"/>
      <c r="D1815" s="10" t="n"/>
      <c r="E1815" s="9" t="n"/>
      <c r="F1815" s="9" t="n"/>
      <c r="G1815" s="13" t="n"/>
      <c r="H1815" s="21" t="n"/>
      <c r="I1815" s="21" t="n"/>
      <c r="J1815" s="17">
        <f>IF($G1815="","",IFERROR(INDEX(NomsEmployes,MATCH($G1815,MatriculesEmployes,0)),"MATRICULE INCONNU"))</f>
        <v/>
      </c>
      <c r="K1815" s="33">
        <f>IF(OR($D1815="",$F1815=""),"",IFERROR(IF(INDEX(RUNS!$L$6:$S$1005,MATCH($D1815,RUNS!$A$6:$A$1005,0),MATCH("ACTIVITÉ "&amp;$F1815,RUNS!$L$5:$S$5,0))="","",INDEX(RUNS!$L$6:$S$1005,MATCH($D1815,RUNS!$A$6:$A$1005,0),MATCH("ACTIVITÉ "&amp;$F1815,RUNS!$L$5:$S$5,0))),""))</f>
        <v/>
      </c>
      <c r="L1815" s="33">
        <f>IF($D1815="","",IFERROR(IF(INDEX(RUNS!$E$6:$E$1005,MATCH($D1815,RUNS!$A$6:$A$1005,0))="","",INDEX(RUNS!$E$6:$E$1005,MATCH($D1815,RUNS!$A$6:$A$1005,0))),""))</f>
        <v/>
      </c>
      <c r="M1815" s="33">
        <f>IF($D1815="","",IFERROR(IF(INDEX(RUNS!$F$6:$F$1005,MATCH($D1815,RUNS!$A$6:$A$1005,0))="","",INDEX(RUNS!$F$6:$F$1005,MATCH($D1815,RUNS!$A$6:$A$1005,0))),""))</f>
        <v/>
      </c>
      <c r="N1815" s="33">
        <f>IF($D1815="","",IFERROR(IF(INDEX(RUNS!$G$6:$G$1005,MATCH($D1815,RUNS!$A$6:$A$1005,0))="","",INDEX(RUNS!$G$6:$G$1005,MATCH($D1815,RUNS!$A$6:$A$1005,0))),""))</f>
        <v/>
      </c>
      <c r="O1815" s="33">
        <f>IF($D1815="","",IFERROR(IF(INDEX(RUNS!$H$6:$H$1005,MATCH($D1815,RUNS!$A$6:$A$1005,0))="","",INDEX(RUNS!$H$6:$H$1005,MATCH($D1815,RUNS!$A$6:$A$1005,0))),""))</f>
        <v/>
      </c>
      <c r="P1815" s="33">
        <f>IF($D1815="","",IFERROR(IF(INDEX(RUNS!$J$6:$J$1005,MATCH($D1815,RUNS!$A$6:$A$1005,0))="","",INDEX(RUNS!$J$6:$J$1005,MATCH($D1815,RUNS!$A$6:$A$1005,0))),""))</f>
        <v/>
      </c>
      <c r="Q1815" s="33">
        <f>IF($D1815="","",IFERROR(IF(INDEX(RUNS!$K$6:$K$1005,MATCH($D1815,RUNS!$A$6:$A$1005,0))="","",INDEX(RUNS!$K$6:$K$1005,MATCH($D1815,RUNS!$A$6:$A$1005,0))),""))</f>
        <v/>
      </c>
      <c r="R1815" s="34">
        <f>IF(OR($L1815="",$K1815=""),"",IFERROR(IF(INDEX(PARAMETRES!$H$43:$H$342,MATCH($L1815&amp;"|"&amp;$M1815&amp;"|"&amp;$N1815&amp;"|"&amp;$O1815&amp;"|"&amp;$P1815&amp;"|"&amp;$Q1815&amp;"|"&amp;$K1815,PARAMETRES!$J$43:$J$342,0))="","",INDEX(PARAMETRES!$H$43:$H$342,MATCH($L1815&amp;"|"&amp;$M1815&amp;"|"&amp;$N1815&amp;"|"&amp;$O1815&amp;"|"&amp;$P1815&amp;"|"&amp;$Q1815&amp;"|"&amp;$K1815,PARAMETRES!$J$43:$J$342,0))),""))</f>
        <v/>
      </c>
      <c r="S1815" s="35">
        <f>IF(OR($G1815="",$X1815&lt;&gt;"VALIDE"),"",IFERROR(LOOKUP(2,1/(($B915:$B1814=$B1815)*($G915:$G1814=$G1815)*($X915:$X1814="VALIDE")),$C915:$C1814),""))</f>
        <v/>
      </c>
      <c r="T1815" s="36">
        <f>IF(OR($C1815="",$S1815=""),"",ROUND(($C1815-$S1815+IF($C1815&lt;$S1815,1,0))*1440,0))</f>
        <v/>
      </c>
      <c r="U1815" s="22">
        <f>IF(OR($H1815="",$T1815="",$T1815&lt;=0),"",$H1815*60/$T1815)</f>
        <v/>
      </c>
      <c r="V1815" s="37">
        <f>IF(OR($U1815="",$R1815="",$R1815=0),"",$U1815/$R1815)</f>
        <v/>
      </c>
      <c r="W1815" s="20">
        <f>IF($G1815="","",IF($X1815="CONTEXTE INCOMPLET","CONTEXTE INCOMPLET",IF($X1815="DOUBLON",StatutDoublon,IF($S1815="",StatutInitial,IF($R1815="",StatutStandardManquant,IF($V1815="","DONNEES INSUFFISANTES",IF($V1815&gt;=SeuilConforme,StatutConforme,IF($V1815&gt;=SeuilSurveiller,StatutSurveiller,StatutSousStandard))))))))</f>
        <v/>
      </c>
      <c r="X1815" s="33">
        <f>IF($G1815="","",IF(OR($D1815="",$E1815="",$F1815=""),"CONTEXTE INCOMPLET",IF(COUNTIFS($D915:$D1814,$D1815,$E915:$E1814,$E1815,$F915:$F1814,$F1815,$G915:$G1814,$G1815)&gt;0,"DOUBLON","VALIDE")))</f>
        <v/>
      </c>
    </row>
    <row r="1816" ht="15" customHeight="1">
      <c r="A1816" s="12">
        <f>IF(OR($B1816="",$G1816=""),"",TEXT($B1816,"YYYYMMDD")&amp;"-"&amp;SUBSTITUTE($E1816," ","")&amp;"-"&amp;$F1816&amp;"-"&amp;$G1816)</f>
        <v/>
      </c>
      <c r="B1816" s="15" t="n"/>
      <c r="C1816" s="16" t="n"/>
      <c r="D1816" s="10" t="n"/>
      <c r="E1816" s="9" t="n"/>
      <c r="F1816" s="9" t="n"/>
      <c r="G1816" s="13" t="n"/>
      <c r="H1816" s="21" t="n"/>
      <c r="I1816" s="21" t="n"/>
      <c r="J1816" s="17">
        <f>IF($G1816="","",IFERROR(INDEX(NomsEmployes,MATCH($G1816,MatriculesEmployes,0)),"MATRICULE INCONNU"))</f>
        <v/>
      </c>
      <c r="K1816" s="33">
        <f>IF(OR($D1816="",$F1816=""),"",IFERROR(IF(INDEX(RUNS!$L$6:$S$1005,MATCH($D1816,RUNS!$A$6:$A$1005,0),MATCH("ACTIVITÉ "&amp;$F1816,RUNS!$L$5:$S$5,0))="","",INDEX(RUNS!$L$6:$S$1005,MATCH($D1816,RUNS!$A$6:$A$1005,0),MATCH("ACTIVITÉ "&amp;$F1816,RUNS!$L$5:$S$5,0))),""))</f>
        <v/>
      </c>
      <c r="L1816" s="33">
        <f>IF($D1816="","",IFERROR(IF(INDEX(RUNS!$E$6:$E$1005,MATCH($D1816,RUNS!$A$6:$A$1005,0))="","",INDEX(RUNS!$E$6:$E$1005,MATCH($D1816,RUNS!$A$6:$A$1005,0))),""))</f>
        <v/>
      </c>
      <c r="M1816" s="33">
        <f>IF($D1816="","",IFERROR(IF(INDEX(RUNS!$F$6:$F$1005,MATCH($D1816,RUNS!$A$6:$A$1005,0))="","",INDEX(RUNS!$F$6:$F$1005,MATCH($D1816,RUNS!$A$6:$A$1005,0))),""))</f>
        <v/>
      </c>
      <c r="N1816" s="33">
        <f>IF($D1816="","",IFERROR(IF(INDEX(RUNS!$G$6:$G$1005,MATCH($D1816,RUNS!$A$6:$A$1005,0))="","",INDEX(RUNS!$G$6:$G$1005,MATCH($D1816,RUNS!$A$6:$A$1005,0))),""))</f>
        <v/>
      </c>
      <c r="O1816" s="33">
        <f>IF($D1816="","",IFERROR(IF(INDEX(RUNS!$H$6:$H$1005,MATCH($D1816,RUNS!$A$6:$A$1005,0))="","",INDEX(RUNS!$H$6:$H$1005,MATCH($D1816,RUNS!$A$6:$A$1005,0))),""))</f>
        <v/>
      </c>
      <c r="P1816" s="33">
        <f>IF($D1816="","",IFERROR(IF(INDEX(RUNS!$J$6:$J$1005,MATCH($D1816,RUNS!$A$6:$A$1005,0))="","",INDEX(RUNS!$J$6:$J$1005,MATCH($D1816,RUNS!$A$6:$A$1005,0))),""))</f>
        <v/>
      </c>
      <c r="Q1816" s="33">
        <f>IF($D1816="","",IFERROR(IF(INDEX(RUNS!$K$6:$K$1005,MATCH($D1816,RUNS!$A$6:$A$1005,0))="","",INDEX(RUNS!$K$6:$K$1005,MATCH($D1816,RUNS!$A$6:$A$1005,0))),""))</f>
        <v/>
      </c>
      <c r="R1816" s="34">
        <f>IF(OR($L1816="",$K1816=""),"",IFERROR(IF(INDEX(PARAMETRES!$H$43:$H$342,MATCH($L1816&amp;"|"&amp;$M1816&amp;"|"&amp;$N1816&amp;"|"&amp;$O1816&amp;"|"&amp;$P1816&amp;"|"&amp;$Q1816&amp;"|"&amp;$K1816,PARAMETRES!$J$43:$J$342,0))="","",INDEX(PARAMETRES!$H$43:$H$342,MATCH($L1816&amp;"|"&amp;$M1816&amp;"|"&amp;$N1816&amp;"|"&amp;$O1816&amp;"|"&amp;$P1816&amp;"|"&amp;$Q1816&amp;"|"&amp;$K1816,PARAMETRES!$J$43:$J$342,0))),""))</f>
        <v/>
      </c>
      <c r="S1816" s="35">
        <f>IF(OR($G1816="",$X1816&lt;&gt;"VALIDE"),"",IFERROR(LOOKUP(2,1/(($B916:$B1815=$B1816)*($G916:$G1815=$G1816)*($X916:$X1815="VALIDE")),$C916:$C1815),""))</f>
        <v/>
      </c>
      <c r="T1816" s="36">
        <f>IF(OR($C1816="",$S1816=""),"",ROUND(($C1816-$S1816+IF($C1816&lt;$S1816,1,0))*1440,0))</f>
        <v/>
      </c>
      <c r="U1816" s="22">
        <f>IF(OR($H1816="",$T1816="",$T1816&lt;=0),"",$H1816*60/$T1816)</f>
        <v/>
      </c>
      <c r="V1816" s="37">
        <f>IF(OR($U1816="",$R1816="",$R1816=0),"",$U1816/$R1816)</f>
        <v/>
      </c>
      <c r="W1816" s="20">
        <f>IF($G1816="","",IF($X1816="CONTEXTE INCOMPLET","CONTEXTE INCOMPLET",IF($X1816="DOUBLON",StatutDoublon,IF($S1816="",StatutInitial,IF($R1816="",StatutStandardManquant,IF($V1816="","DONNEES INSUFFISANTES",IF($V1816&gt;=SeuilConforme,StatutConforme,IF($V1816&gt;=SeuilSurveiller,StatutSurveiller,StatutSousStandard))))))))</f>
        <v/>
      </c>
      <c r="X1816" s="33">
        <f>IF($G1816="","",IF(OR($D1816="",$E1816="",$F1816=""),"CONTEXTE INCOMPLET",IF(COUNTIFS($D916:$D1815,$D1816,$E916:$E1815,$E1816,$F916:$F1815,$F1816,$G916:$G1815,$G1816)&gt;0,"DOUBLON","VALIDE")))</f>
        <v/>
      </c>
    </row>
    <row r="1817" ht="15" customHeight="1">
      <c r="A1817" s="12">
        <f>IF(OR($B1817="",$G1817=""),"",TEXT($B1817,"YYYYMMDD")&amp;"-"&amp;SUBSTITUTE($E1817," ","")&amp;"-"&amp;$F1817&amp;"-"&amp;$G1817)</f>
        <v/>
      </c>
      <c r="B1817" s="15" t="n"/>
      <c r="C1817" s="16" t="n"/>
      <c r="D1817" s="10" t="n"/>
      <c r="E1817" s="9" t="n"/>
      <c r="F1817" s="9" t="n"/>
      <c r="G1817" s="13" t="n"/>
      <c r="H1817" s="21" t="n"/>
      <c r="I1817" s="21" t="n"/>
      <c r="J1817" s="17">
        <f>IF($G1817="","",IFERROR(INDEX(NomsEmployes,MATCH($G1817,MatriculesEmployes,0)),"MATRICULE INCONNU"))</f>
        <v/>
      </c>
      <c r="K1817" s="33">
        <f>IF(OR($D1817="",$F1817=""),"",IFERROR(IF(INDEX(RUNS!$L$6:$S$1005,MATCH($D1817,RUNS!$A$6:$A$1005,0),MATCH("ACTIVITÉ "&amp;$F1817,RUNS!$L$5:$S$5,0))="","",INDEX(RUNS!$L$6:$S$1005,MATCH($D1817,RUNS!$A$6:$A$1005,0),MATCH("ACTIVITÉ "&amp;$F1817,RUNS!$L$5:$S$5,0))),""))</f>
        <v/>
      </c>
      <c r="L1817" s="33">
        <f>IF($D1817="","",IFERROR(IF(INDEX(RUNS!$E$6:$E$1005,MATCH($D1817,RUNS!$A$6:$A$1005,0))="","",INDEX(RUNS!$E$6:$E$1005,MATCH($D1817,RUNS!$A$6:$A$1005,0))),""))</f>
        <v/>
      </c>
      <c r="M1817" s="33">
        <f>IF($D1817="","",IFERROR(IF(INDEX(RUNS!$F$6:$F$1005,MATCH($D1817,RUNS!$A$6:$A$1005,0))="","",INDEX(RUNS!$F$6:$F$1005,MATCH($D1817,RUNS!$A$6:$A$1005,0))),""))</f>
        <v/>
      </c>
      <c r="N1817" s="33">
        <f>IF($D1817="","",IFERROR(IF(INDEX(RUNS!$G$6:$G$1005,MATCH($D1817,RUNS!$A$6:$A$1005,0))="","",INDEX(RUNS!$G$6:$G$1005,MATCH($D1817,RUNS!$A$6:$A$1005,0))),""))</f>
        <v/>
      </c>
      <c r="O1817" s="33">
        <f>IF($D1817="","",IFERROR(IF(INDEX(RUNS!$H$6:$H$1005,MATCH($D1817,RUNS!$A$6:$A$1005,0))="","",INDEX(RUNS!$H$6:$H$1005,MATCH($D1817,RUNS!$A$6:$A$1005,0))),""))</f>
        <v/>
      </c>
      <c r="P1817" s="33">
        <f>IF($D1817="","",IFERROR(IF(INDEX(RUNS!$J$6:$J$1005,MATCH($D1817,RUNS!$A$6:$A$1005,0))="","",INDEX(RUNS!$J$6:$J$1005,MATCH($D1817,RUNS!$A$6:$A$1005,0))),""))</f>
        <v/>
      </c>
      <c r="Q1817" s="33">
        <f>IF($D1817="","",IFERROR(IF(INDEX(RUNS!$K$6:$K$1005,MATCH($D1817,RUNS!$A$6:$A$1005,0))="","",INDEX(RUNS!$K$6:$K$1005,MATCH($D1817,RUNS!$A$6:$A$1005,0))),""))</f>
        <v/>
      </c>
      <c r="R1817" s="34">
        <f>IF(OR($L1817="",$K1817=""),"",IFERROR(IF(INDEX(PARAMETRES!$H$43:$H$342,MATCH($L1817&amp;"|"&amp;$M1817&amp;"|"&amp;$N1817&amp;"|"&amp;$O1817&amp;"|"&amp;$P1817&amp;"|"&amp;$Q1817&amp;"|"&amp;$K1817,PARAMETRES!$J$43:$J$342,0))="","",INDEX(PARAMETRES!$H$43:$H$342,MATCH($L1817&amp;"|"&amp;$M1817&amp;"|"&amp;$N1817&amp;"|"&amp;$O1817&amp;"|"&amp;$P1817&amp;"|"&amp;$Q1817&amp;"|"&amp;$K1817,PARAMETRES!$J$43:$J$342,0))),""))</f>
        <v/>
      </c>
      <c r="S1817" s="35">
        <f>IF(OR($G1817="",$X1817&lt;&gt;"VALIDE"),"",IFERROR(LOOKUP(2,1/(($B917:$B1816=$B1817)*($G917:$G1816=$G1817)*($X917:$X1816="VALIDE")),$C917:$C1816),""))</f>
        <v/>
      </c>
      <c r="T1817" s="36">
        <f>IF(OR($C1817="",$S1817=""),"",ROUND(($C1817-$S1817+IF($C1817&lt;$S1817,1,0))*1440,0))</f>
        <v/>
      </c>
      <c r="U1817" s="22">
        <f>IF(OR($H1817="",$T1817="",$T1817&lt;=0),"",$H1817*60/$T1817)</f>
        <v/>
      </c>
      <c r="V1817" s="37">
        <f>IF(OR($U1817="",$R1817="",$R1817=0),"",$U1817/$R1817)</f>
        <v/>
      </c>
      <c r="W1817" s="20">
        <f>IF($G1817="","",IF($X1817="CONTEXTE INCOMPLET","CONTEXTE INCOMPLET",IF($X1817="DOUBLON",StatutDoublon,IF($S1817="",StatutInitial,IF($R1817="",StatutStandardManquant,IF($V1817="","DONNEES INSUFFISANTES",IF($V1817&gt;=SeuilConforme,StatutConforme,IF($V1817&gt;=SeuilSurveiller,StatutSurveiller,StatutSousStandard))))))))</f>
        <v/>
      </c>
      <c r="X1817" s="33">
        <f>IF($G1817="","",IF(OR($D1817="",$E1817="",$F1817=""),"CONTEXTE INCOMPLET",IF(COUNTIFS($D917:$D1816,$D1817,$E917:$E1816,$E1817,$F917:$F1816,$F1817,$G917:$G1816,$G1817)&gt;0,"DOUBLON","VALIDE")))</f>
        <v/>
      </c>
    </row>
    <row r="1818" ht="15" customHeight="1">
      <c r="A1818" s="12">
        <f>IF(OR($B1818="",$G1818=""),"",TEXT($B1818,"YYYYMMDD")&amp;"-"&amp;SUBSTITUTE($E1818," ","")&amp;"-"&amp;$F1818&amp;"-"&amp;$G1818)</f>
        <v/>
      </c>
      <c r="B1818" s="15" t="n"/>
      <c r="C1818" s="16" t="n"/>
      <c r="D1818" s="10" t="n"/>
      <c r="E1818" s="9" t="n"/>
      <c r="F1818" s="9" t="n"/>
      <c r="G1818" s="13" t="n"/>
      <c r="H1818" s="21" t="n"/>
      <c r="I1818" s="21" t="n"/>
      <c r="J1818" s="17">
        <f>IF($G1818="","",IFERROR(INDEX(NomsEmployes,MATCH($G1818,MatriculesEmployes,0)),"MATRICULE INCONNU"))</f>
        <v/>
      </c>
      <c r="K1818" s="33">
        <f>IF(OR($D1818="",$F1818=""),"",IFERROR(IF(INDEX(RUNS!$L$6:$S$1005,MATCH($D1818,RUNS!$A$6:$A$1005,0),MATCH("ACTIVITÉ "&amp;$F1818,RUNS!$L$5:$S$5,0))="","",INDEX(RUNS!$L$6:$S$1005,MATCH($D1818,RUNS!$A$6:$A$1005,0),MATCH("ACTIVITÉ "&amp;$F1818,RUNS!$L$5:$S$5,0))),""))</f>
        <v/>
      </c>
      <c r="L1818" s="33">
        <f>IF($D1818="","",IFERROR(IF(INDEX(RUNS!$E$6:$E$1005,MATCH($D1818,RUNS!$A$6:$A$1005,0))="","",INDEX(RUNS!$E$6:$E$1005,MATCH($D1818,RUNS!$A$6:$A$1005,0))),""))</f>
        <v/>
      </c>
      <c r="M1818" s="33">
        <f>IF($D1818="","",IFERROR(IF(INDEX(RUNS!$F$6:$F$1005,MATCH($D1818,RUNS!$A$6:$A$1005,0))="","",INDEX(RUNS!$F$6:$F$1005,MATCH($D1818,RUNS!$A$6:$A$1005,0))),""))</f>
        <v/>
      </c>
      <c r="N1818" s="33">
        <f>IF($D1818="","",IFERROR(IF(INDEX(RUNS!$G$6:$G$1005,MATCH($D1818,RUNS!$A$6:$A$1005,0))="","",INDEX(RUNS!$G$6:$G$1005,MATCH($D1818,RUNS!$A$6:$A$1005,0))),""))</f>
        <v/>
      </c>
      <c r="O1818" s="33">
        <f>IF($D1818="","",IFERROR(IF(INDEX(RUNS!$H$6:$H$1005,MATCH($D1818,RUNS!$A$6:$A$1005,0))="","",INDEX(RUNS!$H$6:$H$1005,MATCH($D1818,RUNS!$A$6:$A$1005,0))),""))</f>
        <v/>
      </c>
      <c r="P1818" s="33">
        <f>IF($D1818="","",IFERROR(IF(INDEX(RUNS!$J$6:$J$1005,MATCH($D1818,RUNS!$A$6:$A$1005,0))="","",INDEX(RUNS!$J$6:$J$1005,MATCH($D1818,RUNS!$A$6:$A$1005,0))),""))</f>
        <v/>
      </c>
      <c r="Q1818" s="33">
        <f>IF($D1818="","",IFERROR(IF(INDEX(RUNS!$K$6:$K$1005,MATCH($D1818,RUNS!$A$6:$A$1005,0))="","",INDEX(RUNS!$K$6:$K$1005,MATCH($D1818,RUNS!$A$6:$A$1005,0))),""))</f>
        <v/>
      </c>
      <c r="R1818" s="34">
        <f>IF(OR($L1818="",$K1818=""),"",IFERROR(IF(INDEX(PARAMETRES!$H$43:$H$342,MATCH($L1818&amp;"|"&amp;$M1818&amp;"|"&amp;$N1818&amp;"|"&amp;$O1818&amp;"|"&amp;$P1818&amp;"|"&amp;$Q1818&amp;"|"&amp;$K1818,PARAMETRES!$J$43:$J$342,0))="","",INDEX(PARAMETRES!$H$43:$H$342,MATCH($L1818&amp;"|"&amp;$M1818&amp;"|"&amp;$N1818&amp;"|"&amp;$O1818&amp;"|"&amp;$P1818&amp;"|"&amp;$Q1818&amp;"|"&amp;$K1818,PARAMETRES!$J$43:$J$342,0))),""))</f>
        <v/>
      </c>
      <c r="S1818" s="35">
        <f>IF(OR($G1818="",$X1818&lt;&gt;"VALIDE"),"",IFERROR(LOOKUP(2,1/(($B918:$B1817=$B1818)*($G918:$G1817=$G1818)*($X918:$X1817="VALIDE")),$C918:$C1817),""))</f>
        <v/>
      </c>
      <c r="T1818" s="36">
        <f>IF(OR($C1818="",$S1818=""),"",ROUND(($C1818-$S1818+IF($C1818&lt;$S1818,1,0))*1440,0))</f>
        <v/>
      </c>
      <c r="U1818" s="22">
        <f>IF(OR($H1818="",$T1818="",$T1818&lt;=0),"",$H1818*60/$T1818)</f>
        <v/>
      </c>
      <c r="V1818" s="37">
        <f>IF(OR($U1818="",$R1818="",$R1818=0),"",$U1818/$R1818)</f>
        <v/>
      </c>
      <c r="W1818" s="20">
        <f>IF($G1818="","",IF($X1818="CONTEXTE INCOMPLET","CONTEXTE INCOMPLET",IF($X1818="DOUBLON",StatutDoublon,IF($S1818="",StatutInitial,IF($R1818="",StatutStandardManquant,IF($V1818="","DONNEES INSUFFISANTES",IF($V1818&gt;=SeuilConforme,StatutConforme,IF($V1818&gt;=SeuilSurveiller,StatutSurveiller,StatutSousStandard))))))))</f>
        <v/>
      </c>
      <c r="X1818" s="33">
        <f>IF($G1818="","",IF(OR($D1818="",$E1818="",$F1818=""),"CONTEXTE INCOMPLET",IF(COUNTIFS($D918:$D1817,$D1818,$E918:$E1817,$E1818,$F918:$F1817,$F1818,$G918:$G1817,$G1818)&gt;0,"DOUBLON","VALIDE")))</f>
        <v/>
      </c>
    </row>
    <row r="1819" ht="15" customHeight="1">
      <c r="A1819" s="12">
        <f>IF(OR($B1819="",$G1819=""),"",TEXT($B1819,"YYYYMMDD")&amp;"-"&amp;SUBSTITUTE($E1819," ","")&amp;"-"&amp;$F1819&amp;"-"&amp;$G1819)</f>
        <v/>
      </c>
      <c r="B1819" s="15" t="n"/>
      <c r="C1819" s="16" t="n"/>
      <c r="D1819" s="10" t="n"/>
      <c r="E1819" s="9" t="n"/>
      <c r="F1819" s="9" t="n"/>
      <c r="G1819" s="13" t="n"/>
      <c r="H1819" s="21" t="n"/>
      <c r="I1819" s="21" t="n"/>
      <c r="J1819" s="17">
        <f>IF($G1819="","",IFERROR(INDEX(NomsEmployes,MATCH($G1819,MatriculesEmployes,0)),"MATRICULE INCONNU"))</f>
        <v/>
      </c>
      <c r="K1819" s="33">
        <f>IF(OR($D1819="",$F1819=""),"",IFERROR(IF(INDEX(RUNS!$L$6:$S$1005,MATCH($D1819,RUNS!$A$6:$A$1005,0),MATCH("ACTIVITÉ "&amp;$F1819,RUNS!$L$5:$S$5,0))="","",INDEX(RUNS!$L$6:$S$1005,MATCH($D1819,RUNS!$A$6:$A$1005,0),MATCH("ACTIVITÉ "&amp;$F1819,RUNS!$L$5:$S$5,0))),""))</f>
        <v/>
      </c>
      <c r="L1819" s="33">
        <f>IF($D1819="","",IFERROR(IF(INDEX(RUNS!$E$6:$E$1005,MATCH($D1819,RUNS!$A$6:$A$1005,0))="","",INDEX(RUNS!$E$6:$E$1005,MATCH($D1819,RUNS!$A$6:$A$1005,0))),""))</f>
        <v/>
      </c>
      <c r="M1819" s="33">
        <f>IF($D1819="","",IFERROR(IF(INDEX(RUNS!$F$6:$F$1005,MATCH($D1819,RUNS!$A$6:$A$1005,0))="","",INDEX(RUNS!$F$6:$F$1005,MATCH($D1819,RUNS!$A$6:$A$1005,0))),""))</f>
        <v/>
      </c>
      <c r="N1819" s="33">
        <f>IF($D1819="","",IFERROR(IF(INDEX(RUNS!$G$6:$G$1005,MATCH($D1819,RUNS!$A$6:$A$1005,0))="","",INDEX(RUNS!$G$6:$G$1005,MATCH($D1819,RUNS!$A$6:$A$1005,0))),""))</f>
        <v/>
      </c>
      <c r="O1819" s="33">
        <f>IF($D1819="","",IFERROR(IF(INDEX(RUNS!$H$6:$H$1005,MATCH($D1819,RUNS!$A$6:$A$1005,0))="","",INDEX(RUNS!$H$6:$H$1005,MATCH($D1819,RUNS!$A$6:$A$1005,0))),""))</f>
        <v/>
      </c>
      <c r="P1819" s="33">
        <f>IF($D1819="","",IFERROR(IF(INDEX(RUNS!$J$6:$J$1005,MATCH($D1819,RUNS!$A$6:$A$1005,0))="","",INDEX(RUNS!$J$6:$J$1005,MATCH($D1819,RUNS!$A$6:$A$1005,0))),""))</f>
        <v/>
      </c>
      <c r="Q1819" s="33">
        <f>IF($D1819="","",IFERROR(IF(INDEX(RUNS!$K$6:$K$1005,MATCH($D1819,RUNS!$A$6:$A$1005,0))="","",INDEX(RUNS!$K$6:$K$1005,MATCH($D1819,RUNS!$A$6:$A$1005,0))),""))</f>
        <v/>
      </c>
      <c r="R1819" s="34">
        <f>IF(OR($L1819="",$K1819=""),"",IFERROR(IF(INDEX(PARAMETRES!$H$43:$H$342,MATCH($L1819&amp;"|"&amp;$M1819&amp;"|"&amp;$N1819&amp;"|"&amp;$O1819&amp;"|"&amp;$P1819&amp;"|"&amp;$Q1819&amp;"|"&amp;$K1819,PARAMETRES!$J$43:$J$342,0))="","",INDEX(PARAMETRES!$H$43:$H$342,MATCH($L1819&amp;"|"&amp;$M1819&amp;"|"&amp;$N1819&amp;"|"&amp;$O1819&amp;"|"&amp;$P1819&amp;"|"&amp;$Q1819&amp;"|"&amp;$K1819,PARAMETRES!$J$43:$J$342,0))),""))</f>
        <v/>
      </c>
      <c r="S1819" s="35">
        <f>IF(OR($G1819="",$X1819&lt;&gt;"VALIDE"),"",IFERROR(LOOKUP(2,1/(($B919:$B1818=$B1819)*($G919:$G1818=$G1819)*($X919:$X1818="VALIDE")),$C919:$C1818),""))</f>
        <v/>
      </c>
      <c r="T1819" s="36">
        <f>IF(OR($C1819="",$S1819=""),"",ROUND(($C1819-$S1819+IF($C1819&lt;$S1819,1,0))*1440,0))</f>
        <v/>
      </c>
      <c r="U1819" s="22">
        <f>IF(OR($H1819="",$T1819="",$T1819&lt;=0),"",$H1819*60/$T1819)</f>
        <v/>
      </c>
      <c r="V1819" s="37">
        <f>IF(OR($U1819="",$R1819="",$R1819=0),"",$U1819/$R1819)</f>
        <v/>
      </c>
      <c r="W1819" s="20">
        <f>IF($G1819="","",IF($X1819="CONTEXTE INCOMPLET","CONTEXTE INCOMPLET",IF($X1819="DOUBLON",StatutDoublon,IF($S1819="",StatutInitial,IF($R1819="",StatutStandardManquant,IF($V1819="","DONNEES INSUFFISANTES",IF($V1819&gt;=SeuilConforme,StatutConforme,IF($V1819&gt;=SeuilSurveiller,StatutSurveiller,StatutSousStandard))))))))</f>
        <v/>
      </c>
      <c r="X1819" s="33">
        <f>IF($G1819="","",IF(OR($D1819="",$E1819="",$F1819=""),"CONTEXTE INCOMPLET",IF(COUNTIFS($D919:$D1818,$D1819,$E919:$E1818,$E1819,$F919:$F1818,$F1819,$G919:$G1818,$G1819)&gt;0,"DOUBLON","VALIDE")))</f>
        <v/>
      </c>
    </row>
    <row r="1820" ht="15" customHeight="1">
      <c r="A1820" s="12">
        <f>IF(OR($B1820="",$G1820=""),"",TEXT($B1820,"YYYYMMDD")&amp;"-"&amp;SUBSTITUTE($E1820," ","")&amp;"-"&amp;$F1820&amp;"-"&amp;$G1820)</f>
        <v/>
      </c>
      <c r="B1820" s="15" t="n"/>
      <c r="C1820" s="16" t="n"/>
      <c r="D1820" s="10" t="n"/>
      <c r="E1820" s="9" t="n"/>
      <c r="F1820" s="9" t="n"/>
      <c r="G1820" s="13" t="n"/>
      <c r="H1820" s="21" t="n"/>
      <c r="I1820" s="21" t="n"/>
      <c r="J1820" s="17">
        <f>IF($G1820="","",IFERROR(INDEX(NomsEmployes,MATCH($G1820,MatriculesEmployes,0)),"MATRICULE INCONNU"))</f>
        <v/>
      </c>
      <c r="K1820" s="33">
        <f>IF(OR($D1820="",$F1820=""),"",IFERROR(IF(INDEX(RUNS!$L$6:$S$1005,MATCH($D1820,RUNS!$A$6:$A$1005,0),MATCH("ACTIVITÉ "&amp;$F1820,RUNS!$L$5:$S$5,0))="","",INDEX(RUNS!$L$6:$S$1005,MATCH($D1820,RUNS!$A$6:$A$1005,0),MATCH("ACTIVITÉ "&amp;$F1820,RUNS!$L$5:$S$5,0))),""))</f>
        <v/>
      </c>
      <c r="L1820" s="33">
        <f>IF($D1820="","",IFERROR(IF(INDEX(RUNS!$E$6:$E$1005,MATCH($D1820,RUNS!$A$6:$A$1005,0))="","",INDEX(RUNS!$E$6:$E$1005,MATCH($D1820,RUNS!$A$6:$A$1005,0))),""))</f>
        <v/>
      </c>
      <c r="M1820" s="33">
        <f>IF($D1820="","",IFERROR(IF(INDEX(RUNS!$F$6:$F$1005,MATCH($D1820,RUNS!$A$6:$A$1005,0))="","",INDEX(RUNS!$F$6:$F$1005,MATCH($D1820,RUNS!$A$6:$A$1005,0))),""))</f>
        <v/>
      </c>
      <c r="N1820" s="33">
        <f>IF($D1820="","",IFERROR(IF(INDEX(RUNS!$G$6:$G$1005,MATCH($D1820,RUNS!$A$6:$A$1005,0))="","",INDEX(RUNS!$G$6:$G$1005,MATCH($D1820,RUNS!$A$6:$A$1005,0))),""))</f>
        <v/>
      </c>
      <c r="O1820" s="33">
        <f>IF($D1820="","",IFERROR(IF(INDEX(RUNS!$H$6:$H$1005,MATCH($D1820,RUNS!$A$6:$A$1005,0))="","",INDEX(RUNS!$H$6:$H$1005,MATCH($D1820,RUNS!$A$6:$A$1005,0))),""))</f>
        <v/>
      </c>
      <c r="P1820" s="33">
        <f>IF($D1820="","",IFERROR(IF(INDEX(RUNS!$J$6:$J$1005,MATCH($D1820,RUNS!$A$6:$A$1005,0))="","",INDEX(RUNS!$J$6:$J$1005,MATCH($D1820,RUNS!$A$6:$A$1005,0))),""))</f>
        <v/>
      </c>
      <c r="Q1820" s="33">
        <f>IF($D1820="","",IFERROR(IF(INDEX(RUNS!$K$6:$K$1005,MATCH($D1820,RUNS!$A$6:$A$1005,0))="","",INDEX(RUNS!$K$6:$K$1005,MATCH($D1820,RUNS!$A$6:$A$1005,0))),""))</f>
        <v/>
      </c>
      <c r="R1820" s="34">
        <f>IF(OR($L1820="",$K1820=""),"",IFERROR(IF(INDEX(PARAMETRES!$H$43:$H$342,MATCH($L1820&amp;"|"&amp;$M1820&amp;"|"&amp;$N1820&amp;"|"&amp;$O1820&amp;"|"&amp;$P1820&amp;"|"&amp;$Q1820&amp;"|"&amp;$K1820,PARAMETRES!$J$43:$J$342,0))="","",INDEX(PARAMETRES!$H$43:$H$342,MATCH($L1820&amp;"|"&amp;$M1820&amp;"|"&amp;$N1820&amp;"|"&amp;$O1820&amp;"|"&amp;$P1820&amp;"|"&amp;$Q1820&amp;"|"&amp;$K1820,PARAMETRES!$J$43:$J$342,0))),""))</f>
        <v/>
      </c>
      <c r="S1820" s="35">
        <f>IF(OR($G1820="",$X1820&lt;&gt;"VALIDE"),"",IFERROR(LOOKUP(2,1/(($B920:$B1819=$B1820)*($G920:$G1819=$G1820)*($X920:$X1819="VALIDE")),$C920:$C1819),""))</f>
        <v/>
      </c>
      <c r="T1820" s="36">
        <f>IF(OR($C1820="",$S1820=""),"",ROUND(($C1820-$S1820+IF($C1820&lt;$S1820,1,0))*1440,0))</f>
        <v/>
      </c>
      <c r="U1820" s="22">
        <f>IF(OR($H1820="",$T1820="",$T1820&lt;=0),"",$H1820*60/$T1820)</f>
        <v/>
      </c>
      <c r="V1820" s="37">
        <f>IF(OR($U1820="",$R1820="",$R1820=0),"",$U1820/$R1820)</f>
        <v/>
      </c>
      <c r="W1820" s="20">
        <f>IF($G1820="","",IF($X1820="CONTEXTE INCOMPLET","CONTEXTE INCOMPLET",IF($X1820="DOUBLON",StatutDoublon,IF($S1820="",StatutInitial,IF($R1820="",StatutStandardManquant,IF($V1820="","DONNEES INSUFFISANTES",IF($V1820&gt;=SeuilConforme,StatutConforme,IF($V1820&gt;=SeuilSurveiller,StatutSurveiller,StatutSousStandard))))))))</f>
        <v/>
      </c>
      <c r="X1820" s="33">
        <f>IF($G1820="","",IF(OR($D1820="",$E1820="",$F1820=""),"CONTEXTE INCOMPLET",IF(COUNTIFS($D920:$D1819,$D1820,$E920:$E1819,$E1820,$F920:$F1819,$F1820,$G920:$G1819,$G1820)&gt;0,"DOUBLON","VALIDE")))</f>
        <v/>
      </c>
    </row>
    <row r="1821" ht="15" customHeight="1">
      <c r="A1821" s="12">
        <f>IF(OR($B1821="",$G1821=""),"",TEXT($B1821,"YYYYMMDD")&amp;"-"&amp;SUBSTITUTE($E1821," ","")&amp;"-"&amp;$F1821&amp;"-"&amp;$G1821)</f>
        <v/>
      </c>
      <c r="B1821" s="15" t="n"/>
      <c r="C1821" s="16" t="n"/>
      <c r="D1821" s="10" t="n"/>
      <c r="E1821" s="9" t="n"/>
      <c r="F1821" s="9" t="n"/>
      <c r="G1821" s="13" t="n"/>
      <c r="H1821" s="21" t="n"/>
      <c r="I1821" s="21" t="n"/>
      <c r="J1821" s="17">
        <f>IF($G1821="","",IFERROR(INDEX(NomsEmployes,MATCH($G1821,MatriculesEmployes,0)),"MATRICULE INCONNU"))</f>
        <v/>
      </c>
      <c r="K1821" s="33">
        <f>IF(OR($D1821="",$F1821=""),"",IFERROR(IF(INDEX(RUNS!$L$6:$S$1005,MATCH($D1821,RUNS!$A$6:$A$1005,0),MATCH("ACTIVITÉ "&amp;$F1821,RUNS!$L$5:$S$5,0))="","",INDEX(RUNS!$L$6:$S$1005,MATCH($D1821,RUNS!$A$6:$A$1005,0),MATCH("ACTIVITÉ "&amp;$F1821,RUNS!$L$5:$S$5,0))),""))</f>
        <v/>
      </c>
      <c r="L1821" s="33">
        <f>IF($D1821="","",IFERROR(IF(INDEX(RUNS!$E$6:$E$1005,MATCH($D1821,RUNS!$A$6:$A$1005,0))="","",INDEX(RUNS!$E$6:$E$1005,MATCH($D1821,RUNS!$A$6:$A$1005,0))),""))</f>
        <v/>
      </c>
      <c r="M1821" s="33">
        <f>IF($D1821="","",IFERROR(IF(INDEX(RUNS!$F$6:$F$1005,MATCH($D1821,RUNS!$A$6:$A$1005,0))="","",INDEX(RUNS!$F$6:$F$1005,MATCH($D1821,RUNS!$A$6:$A$1005,0))),""))</f>
        <v/>
      </c>
      <c r="N1821" s="33">
        <f>IF($D1821="","",IFERROR(IF(INDEX(RUNS!$G$6:$G$1005,MATCH($D1821,RUNS!$A$6:$A$1005,0))="","",INDEX(RUNS!$G$6:$G$1005,MATCH($D1821,RUNS!$A$6:$A$1005,0))),""))</f>
        <v/>
      </c>
      <c r="O1821" s="33">
        <f>IF($D1821="","",IFERROR(IF(INDEX(RUNS!$H$6:$H$1005,MATCH($D1821,RUNS!$A$6:$A$1005,0))="","",INDEX(RUNS!$H$6:$H$1005,MATCH($D1821,RUNS!$A$6:$A$1005,0))),""))</f>
        <v/>
      </c>
      <c r="P1821" s="33">
        <f>IF($D1821="","",IFERROR(IF(INDEX(RUNS!$J$6:$J$1005,MATCH($D1821,RUNS!$A$6:$A$1005,0))="","",INDEX(RUNS!$J$6:$J$1005,MATCH($D1821,RUNS!$A$6:$A$1005,0))),""))</f>
        <v/>
      </c>
      <c r="Q1821" s="33">
        <f>IF($D1821="","",IFERROR(IF(INDEX(RUNS!$K$6:$K$1005,MATCH($D1821,RUNS!$A$6:$A$1005,0))="","",INDEX(RUNS!$K$6:$K$1005,MATCH($D1821,RUNS!$A$6:$A$1005,0))),""))</f>
        <v/>
      </c>
      <c r="R1821" s="34">
        <f>IF(OR($L1821="",$K1821=""),"",IFERROR(IF(INDEX(PARAMETRES!$H$43:$H$342,MATCH($L1821&amp;"|"&amp;$M1821&amp;"|"&amp;$N1821&amp;"|"&amp;$O1821&amp;"|"&amp;$P1821&amp;"|"&amp;$Q1821&amp;"|"&amp;$K1821,PARAMETRES!$J$43:$J$342,0))="","",INDEX(PARAMETRES!$H$43:$H$342,MATCH($L1821&amp;"|"&amp;$M1821&amp;"|"&amp;$N1821&amp;"|"&amp;$O1821&amp;"|"&amp;$P1821&amp;"|"&amp;$Q1821&amp;"|"&amp;$K1821,PARAMETRES!$J$43:$J$342,0))),""))</f>
        <v/>
      </c>
      <c r="S1821" s="35">
        <f>IF(OR($G1821="",$X1821&lt;&gt;"VALIDE"),"",IFERROR(LOOKUP(2,1/(($B921:$B1820=$B1821)*($G921:$G1820=$G1821)*($X921:$X1820="VALIDE")),$C921:$C1820),""))</f>
        <v/>
      </c>
      <c r="T1821" s="36">
        <f>IF(OR($C1821="",$S1821=""),"",ROUND(($C1821-$S1821+IF($C1821&lt;$S1821,1,0))*1440,0))</f>
        <v/>
      </c>
      <c r="U1821" s="22">
        <f>IF(OR($H1821="",$T1821="",$T1821&lt;=0),"",$H1821*60/$T1821)</f>
        <v/>
      </c>
      <c r="V1821" s="37">
        <f>IF(OR($U1821="",$R1821="",$R1821=0),"",$U1821/$R1821)</f>
        <v/>
      </c>
      <c r="W1821" s="20">
        <f>IF($G1821="","",IF($X1821="CONTEXTE INCOMPLET","CONTEXTE INCOMPLET",IF($X1821="DOUBLON",StatutDoublon,IF($S1821="",StatutInitial,IF($R1821="",StatutStandardManquant,IF($V1821="","DONNEES INSUFFISANTES",IF($V1821&gt;=SeuilConforme,StatutConforme,IF($V1821&gt;=SeuilSurveiller,StatutSurveiller,StatutSousStandard))))))))</f>
        <v/>
      </c>
      <c r="X1821" s="33">
        <f>IF($G1821="","",IF(OR($D1821="",$E1821="",$F1821=""),"CONTEXTE INCOMPLET",IF(COUNTIFS($D921:$D1820,$D1821,$E921:$E1820,$E1821,$F921:$F1820,$F1821,$G921:$G1820,$G1821)&gt;0,"DOUBLON","VALIDE")))</f>
        <v/>
      </c>
    </row>
    <row r="1822" ht="15" customHeight="1">
      <c r="A1822" s="12">
        <f>IF(OR($B1822="",$G1822=""),"",TEXT($B1822,"YYYYMMDD")&amp;"-"&amp;SUBSTITUTE($E1822," ","")&amp;"-"&amp;$F1822&amp;"-"&amp;$G1822)</f>
        <v/>
      </c>
      <c r="B1822" s="15" t="n"/>
      <c r="C1822" s="16" t="n"/>
      <c r="D1822" s="10" t="n"/>
      <c r="E1822" s="9" t="n"/>
      <c r="F1822" s="9" t="n"/>
      <c r="G1822" s="13" t="n"/>
      <c r="H1822" s="21" t="n"/>
      <c r="I1822" s="21" t="n"/>
      <c r="J1822" s="17">
        <f>IF($G1822="","",IFERROR(INDEX(NomsEmployes,MATCH($G1822,MatriculesEmployes,0)),"MATRICULE INCONNU"))</f>
        <v/>
      </c>
      <c r="K1822" s="33">
        <f>IF(OR($D1822="",$F1822=""),"",IFERROR(IF(INDEX(RUNS!$L$6:$S$1005,MATCH($D1822,RUNS!$A$6:$A$1005,0),MATCH("ACTIVITÉ "&amp;$F1822,RUNS!$L$5:$S$5,0))="","",INDEX(RUNS!$L$6:$S$1005,MATCH($D1822,RUNS!$A$6:$A$1005,0),MATCH("ACTIVITÉ "&amp;$F1822,RUNS!$L$5:$S$5,0))),""))</f>
        <v/>
      </c>
      <c r="L1822" s="33">
        <f>IF($D1822="","",IFERROR(IF(INDEX(RUNS!$E$6:$E$1005,MATCH($D1822,RUNS!$A$6:$A$1005,0))="","",INDEX(RUNS!$E$6:$E$1005,MATCH($D1822,RUNS!$A$6:$A$1005,0))),""))</f>
        <v/>
      </c>
      <c r="M1822" s="33">
        <f>IF($D1822="","",IFERROR(IF(INDEX(RUNS!$F$6:$F$1005,MATCH($D1822,RUNS!$A$6:$A$1005,0))="","",INDEX(RUNS!$F$6:$F$1005,MATCH($D1822,RUNS!$A$6:$A$1005,0))),""))</f>
        <v/>
      </c>
      <c r="N1822" s="33">
        <f>IF($D1822="","",IFERROR(IF(INDEX(RUNS!$G$6:$G$1005,MATCH($D1822,RUNS!$A$6:$A$1005,0))="","",INDEX(RUNS!$G$6:$G$1005,MATCH($D1822,RUNS!$A$6:$A$1005,0))),""))</f>
        <v/>
      </c>
      <c r="O1822" s="33">
        <f>IF($D1822="","",IFERROR(IF(INDEX(RUNS!$H$6:$H$1005,MATCH($D1822,RUNS!$A$6:$A$1005,0))="","",INDEX(RUNS!$H$6:$H$1005,MATCH($D1822,RUNS!$A$6:$A$1005,0))),""))</f>
        <v/>
      </c>
      <c r="P1822" s="33">
        <f>IF($D1822="","",IFERROR(IF(INDEX(RUNS!$J$6:$J$1005,MATCH($D1822,RUNS!$A$6:$A$1005,0))="","",INDEX(RUNS!$J$6:$J$1005,MATCH($D1822,RUNS!$A$6:$A$1005,0))),""))</f>
        <v/>
      </c>
      <c r="Q1822" s="33">
        <f>IF($D1822="","",IFERROR(IF(INDEX(RUNS!$K$6:$K$1005,MATCH($D1822,RUNS!$A$6:$A$1005,0))="","",INDEX(RUNS!$K$6:$K$1005,MATCH($D1822,RUNS!$A$6:$A$1005,0))),""))</f>
        <v/>
      </c>
      <c r="R1822" s="34">
        <f>IF(OR($L1822="",$K1822=""),"",IFERROR(IF(INDEX(PARAMETRES!$H$43:$H$342,MATCH($L1822&amp;"|"&amp;$M1822&amp;"|"&amp;$N1822&amp;"|"&amp;$O1822&amp;"|"&amp;$P1822&amp;"|"&amp;$Q1822&amp;"|"&amp;$K1822,PARAMETRES!$J$43:$J$342,0))="","",INDEX(PARAMETRES!$H$43:$H$342,MATCH($L1822&amp;"|"&amp;$M1822&amp;"|"&amp;$N1822&amp;"|"&amp;$O1822&amp;"|"&amp;$P1822&amp;"|"&amp;$Q1822&amp;"|"&amp;$K1822,PARAMETRES!$J$43:$J$342,0))),""))</f>
        <v/>
      </c>
      <c r="S1822" s="35">
        <f>IF(OR($G1822="",$X1822&lt;&gt;"VALIDE"),"",IFERROR(LOOKUP(2,1/(($B922:$B1821=$B1822)*($G922:$G1821=$G1822)*($X922:$X1821="VALIDE")),$C922:$C1821),""))</f>
        <v/>
      </c>
      <c r="T1822" s="36">
        <f>IF(OR($C1822="",$S1822=""),"",ROUND(($C1822-$S1822+IF($C1822&lt;$S1822,1,0))*1440,0))</f>
        <v/>
      </c>
      <c r="U1822" s="22">
        <f>IF(OR($H1822="",$T1822="",$T1822&lt;=0),"",$H1822*60/$T1822)</f>
        <v/>
      </c>
      <c r="V1822" s="37">
        <f>IF(OR($U1822="",$R1822="",$R1822=0),"",$U1822/$R1822)</f>
        <v/>
      </c>
      <c r="W1822" s="20">
        <f>IF($G1822="","",IF($X1822="CONTEXTE INCOMPLET","CONTEXTE INCOMPLET",IF($X1822="DOUBLON",StatutDoublon,IF($S1822="",StatutInitial,IF($R1822="",StatutStandardManquant,IF($V1822="","DONNEES INSUFFISANTES",IF($V1822&gt;=SeuilConforme,StatutConforme,IF($V1822&gt;=SeuilSurveiller,StatutSurveiller,StatutSousStandard))))))))</f>
        <v/>
      </c>
      <c r="X1822" s="33">
        <f>IF($G1822="","",IF(OR($D1822="",$E1822="",$F1822=""),"CONTEXTE INCOMPLET",IF(COUNTIFS($D922:$D1821,$D1822,$E922:$E1821,$E1822,$F922:$F1821,$F1822,$G922:$G1821,$G1822)&gt;0,"DOUBLON","VALIDE")))</f>
        <v/>
      </c>
    </row>
    <row r="1823" ht="15" customHeight="1">
      <c r="A1823" s="12">
        <f>IF(OR($B1823="",$G1823=""),"",TEXT($B1823,"YYYYMMDD")&amp;"-"&amp;SUBSTITUTE($E1823," ","")&amp;"-"&amp;$F1823&amp;"-"&amp;$G1823)</f>
        <v/>
      </c>
      <c r="B1823" s="15" t="n"/>
      <c r="C1823" s="16" t="n"/>
      <c r="D1823" s="10" t="n"/>
      <c r="E1823" s="9" t="n"/>
      <c r="F1823" s="9" t="n"/>
      <c r="G1823" s="13" t="n"/>
      <c r="H1823" s="21" t="n"/>
      <c r="I1823" s="21" t="n"/>
      <c r="J1823" s="17">
        <f>IF($G1823="","",IFERROR(INDEX(NomsEmployes,MATCH($G1823,MatriculesEmployes,0)),"MATRICULE INCONNU"))</f>
        <v/>
      </c>
      <c r="K1823" s="33">
        <f>IF(OR($D1823="",$F1823=""),"",IFERROR(IF(INDEX(RUNS!$L$6:$S$1005,MATCH($D1823,RUNS!$A$6:$A$1005,0),MATCH("ACTIVITÉ "&amp;$F1823,RUNS!$L$5:$S$5,0))="","",INDEX(RUNS!$L$6:$S$1005,MATCH($D1823,RUNS!$A$6:$A$1005,0),MATCH("ACTIVITÉ "&amp;$F1823,RUNS!$L$5:$S$5,0))),""))</f>
        <v/>
      </c>
      <c r="L1823" s="33">
        <f>IF($D1823="","",IFERROR(IF(INDEX(RUNS!$E$6:$E$1005,MATCH($D1823,RUNS!$A$6:$A$1005,0))="","",INDEX(RUNS!$E$6:$E$1005,MATCH($D1823,RUNS!$A$6:$A$1005,0))),""))</f>
        <v/>
      </c>
      <c r="M1823" s="33">
        <f>IF($D1823="","",IFERROR(IF(INDEX(RUNS!$F$6:$F$1005,MATCH($D1823,RUNS!$A$6:$A$1005,0))="","",INDEX(RUNS!$F$6:$F$1005,MATCH($D1823,RUNS!$A$6:$A$1005,0))),""))</f>
        <v/>
      </c>
      <c r="N1823" s="33">
        <f>IF($D1823="","",IFERROR(IF(INDEX(RUNS!$G$6:$G$1005,MATCH($D1823,RUNS!$A$6:$A$1005,0))="","",INDEX(RUNS!$G$6:$G$1005,MATCH($D1823,RUNS!$A$6:$A$1005,0))),""))</f>
        <v/>
      </c>
      <c r="O1823" s="33">
        <f>IF($D1823="","",IFERROR(IF(INDEX(RUNS!$H$6:$H$1005,MATCH($D1823,RUNS!$A$6:$A$1005,0))="","",INDEX(RUNS!$H$6:$H$1005,MATCH($D1823,RUNS!$A$6:$A$1005,0))),""))</f>
        <v/>
      </c>
      <c r="P1823" s="33">
        <f>IF($D1823="","",IFERROR(IF(INDEX(RUNS!$J$6:$J$1005,MATCH($D1823,RUNS!$A$6:$A$1005,0))="","",INDEX(RUNS!$J$6:$J$1005,MATCH($D1823,RUNS!$A$6:$A$1005,0))),""))</f>
        <v/>
      </c>
      <c r="Q1823" s="33">
        <f>IF($D1823="","",IFERROR(IF(INDEX(RUNS!$K$6:$K$1005,MATCH($D1823,RUNS!$A$6:$A$1005,0))="","",INDEX(RUNS!$K$6:$K$1005,MATCH($D1823,RUNS!$A$6:$A$1005,0))),""))</f>
        <v/>
      </c>
      <c r="R1823" s="34">
        <f>IF(OR($L1823="",$K1823=""),"",IFERROR(IF(INDEX(PARAMETRES!$H$43:$H$342,MATCH($L1823&amp;"|"&amp;$M1823&amp;"|"&amp;$N1823&amp;"|"&amp;$O1823&amp;"|"&amp;$P1823&amp;"|"&amp;$Q1823&amp;"|"&amp;$K1823,PARAMETRES!$J$43:$J$342,0))="","",INDEX(PARAMETRES!$H$43:$H$342,MATCH($L1823&amp;"|"&amp;$M1823&amp;"|"&amp;$N1823&amp;"|"&amp;$O1823&amp;"|"&amp;$P1823&amp;"|"&amp;$Q1823&amp;"|"&amp;$K1823,PARAMETRES!$J$43:$J$342,0))),""))</f>
        <v/>
      </c>
      <c r="S1823" s="35">
        <f>IF(OR($G1823="",$X1823&lt;&gt;"VALIDE"),"",IFERROR(LOOKUP(2,1/(($B923:$B1822=$B1823)*($G923:$G1822=$G1823)*($X923:$X1822="VALIDE")),$C923:$C1822),""))</f>
        <v/>
      </c>
      <c r="T1823" s="36">
        <f>IF(OR($C1823="",$S1823=""),"",ROUND(($C1823-$S1823+IF($C1823&lt;$S1823,1,0))*1440,0))</f>
        <v/>
      </c>
      <c r="U1823" s="22">
        <f>IF(OR($H1823="",$T1823="",$T1823&lt;=0),"",$H1823*60/$T1823)</f>
        <v/>
      </c>
      <c r="V1823" s="37">
        <f>IF(OR($U1823="",$R1823="",$R1823=0),"",$U1823/$R1823)</f>
        <v/>
      </c>
      <c r="W1823" s="20">
        <f>IF($G1823="","",IF($X1823="CONTEXTE INCOMPLET","CONTEXTE INCOMPLET",IF($X1823="DOUBLON",StatutDoublon,IF($S1823="",StatutInitial,IF($R1823="",StatutStandardManquant,IF($V1823="","DONNEES INSUFFISANTES",IF($V1823&gt;=SeuilConforme,StatutConforme,IF($V1823&gt;=SeuilSurveiller,StatutSurveiller,StatutSousStandard))))))))</f>
        <v/>
      </c>
      <c r="X1823" s="33">
        <f>IF($G1823="","",IF(OR($D1823="",$E1823="",$F1823=""),"CONTEXTE INCOMPLET",IF(COUNTIFS($D923:$D1822,$D1823,$E923:$E1822,$E1823,$F923:$F1822,$F1823,$G923:$G1822,$G1823)&gt;0,"DOUBLON","VALIDE")))</f>
        <v/>
      </c>
    </row>
    <row r="1824" ht="15" customHeight="1">
      <c r="A1824" s="12">
        <f>IF(OR($B1824="",$G1824=""),"",TEXT($B1824,"YYYYMMDD")&amp;"-"&amp;SUBSTITUTE($E1824," ","")&amp;"-"&amp;$F1824&amp;"-"&amp;$G1824)</f>
        <v/>
      </c>
      <c r="B1824" s="15" t="n"/>
      <c r="C1824" s="16" t="n"/>
      <c r="D1824" s="10" t="n"/>
      <c r="E1824" s="9" t="n"/>
      <c r="F1824" s="9" t="n"/>
      <c r="G1824" s="13" t="n"/>
      <c r="H1824" s="21" t="n"/>
      <c r="I1824" s="21" t="n"/>
      <c r="J1824" s="17">
        <f>IF($G1824="","",IFERROR(INDEX(NomsEmployes,MATCH($G1824,MatriculesEmployes,0)),"MATRICULE INCONNU"))</f>
        <v/>
      </c>
      <c r="K1824" s="33">
        <f>IF(OR($D1824="",$F1824=""),"",IFERROR(IF(INDEX(RUNS!$L$6:$S$1005,MATCH($D1824,RUNS!$A$6:$A$1005,0),MATCH("ACTIVITÉ "&amp;$F1824,RUNS!$L$5:$S$5,0))="","",INDEX(RUNS!$L$6:$S$1005,MATCH($D1824,RUNS!$A$6:$A$1005,0),MATCH("ACTIVITÉ "&amp;$F1824,RUNS!$L$5:$S$5,0))),""))</f>
        <v/>
      </c>
      <c r="L1824" s="33">
        <f>IF($D1824="","",IFERROR(IF(INDEX(RUNS!$E$6:$E$1005,MATCH($D1824,RUNS!$A$6:$A$1005,0))="","",INDEX(RUNS!$E$6:$E$1005,MATCH($D1824,RUNS!$A$6:$A$1005,0))),""))</f>
        <v/>
      </c>
      <c r="M1824" s="33">
        <f>IF($D1824="","",IFERROR(IF(INDEX(RUNS!$F$6:$F$1005,MATCH($D1824,RUNS!$A$6:$A$1005,0))="","",INDEX(RUNS!$F$6:$F$1005,MATCH($D1824,RUNS!$A$6:$A$1005,0))),""))</f>
        <v/>
      </c>
      <c r="N1824" s="33">
        <f>IF($D1824="","",IFERROR(IF(INDEX(RUNS!$G$6:$G$1005,MATCH($D1824,RUNS!$A$6:$A$1005,0))="","",INDEX(RUNS!$G$6:$G$1005,MATCH($D1824,RUNS!$A$6:$A$1005,0))),""))</f>
        <v/>
      </c>
      <c r="O1824" s="33">
        <f>IF($D1824="","",IFERROR(IF(INDEX(RUNS!$H$6:$H$1005,MATCH($D1824,RUNS!$A$6:$A$1005,0))="","",INDEX(RUNS!$H$6:$H$1005,MATCH($D1824,RUNS!$A$6:$A$1005,0))),""))</f>
        <v/>
      </c>
      <c r="P1824" s="33">
        <f>IF($D1824="","",IFERROR(IF(INDEX(RUNS!$J$6:$J$1005,MATCH($D1824,RUNS!$A$6:$A$1005,0))="","",INDEX(RUNS!$J$6:$J$1005,MATCH($D1824,RUNS!$A$6:$A$1005,0))),""))</f>
        <v/>
      </c>
      <c r="Q1824" s="33">
        <f>IF($D1824="","",IFERROR(IF(INDEX(RUNS!$K$6:$K$1005,MATCH($D1824,RUNS!$A$6:$A$1005,0))="","",INDEX(RUNS!$K$6:$K$1005,MATCH($D1824,RUNS!$A$6:$A$1005,0))),""))</f>
        <v/>
      </c>
      <c r="R1824" s="34">
        <f>IF(OR($L1824="",$K1824=""),"",IFERROR(IF(INDEX(PARAMETRES!$H$43:$H$342,MATCH($L1824&amp;"|"&amp;$M1824&amp;"|"&amp;$N1824&amp;"|"&amp;$O1824&amp;"|"&amp;$P1824&amp;"|"&amp;$Q1824&amp;"|"&amp;$K1824,PARAMETRES!$J$43:$J$342,0))="","",INDEX(PARAMETRES!$H$43:$H$342,MATCH($L1824&amp;"|"&amp;$M1824&amp;"|"&amp;$N1824&amp;"|"&amp;$O1824&amp;"|"&amp;$P1824&amp;"|"&amp;$Q1824&amp;"|"&amp;$K1824,PARAMETRES!$J$43:$J$342,0))),""))</f>
        <v/>
      </c>
      <c r="S1824" s="35">
        <f>IF(OR($G1824="",$X1824&lt;&gt;"VALIDE"),"",IFERROR(LOOKUP(2,1/(($B924:$B1823=$B1824)*($G924:$G1823=$G1824)*($X924:$X1823="VALIDE")),$C924:$C1823),""))</f>
        <v/>
      </c>
      <c r="T1824" s="36">
        <f>IF(OR($C1824="",$S1824=""),"",ROUND(($C1824-$S1824+IF($C1824&lt;$S1824,1,0))*1440,0))</f>
        <v/>
      </c>
      <c r="U1824" s="22">
        <f>IF(OR($H1824="",$T1824="",$T1824&lt;=0),"",$H1824*60/$T1824)</f>
        <v/>
      </c>
      <c r="V1824" s="37">
        <f>IF(OR($U1824="",$R1824="",$R1824=0),"",$U1824/$R1824)</f>
        <v/>
      </c>
      <c r="W1824" s="20">
        <f>IF($G1824="","",IF($X1824="CONTEXTE INCOMPLET","CONTEXTE INCOMPLET",IF($X1824="DOUBLON",StatutDoublon,IF($S1824="",StatutInitial,IF($R1824="",StatutStandardManquant,IF($V1824="","DONNEES INSUFFISANTES",IF($V1824&gt;=SeuilConforme,StatutConforme,IF($V1824&gt;=SeuilSurveiller,StatutSurveiller,StatutSousStandard))))))))</f>
        <v/>
      </c>
      <c r="X1824" s="33">
        <f>IF($G1824="","",IF(OR($D1824="",$E1824="",$F1824=""),"CONTEXTE INCOMPLET",IF(COUNTIFS($D924:$D1823,$D1824,$E924:$E1823,$E1824,$F924:$F1823,$F1824,$G924:$G1823,$G1824)&gt;0,"DOUBLON","VALIDE")))</f>
        <v/>
      </c>
    </row>
    <row r="1825" ht="15" customHeight="1">
      <c r="A1825" s="12">
        <f>IF(OR($B1825="",$G1825=""),"",TEXT($B1825,"YYYYMMDD")&amp;"-"&amp;SUBSTITUTE($E1825," ","")&amp;"-"&amp;$F1825&amp;"-"&amp;$G1825)</f>
        <v/>
      </c>
      <c r="B1825" s="15" t="n"/>
      <c r="C1825" s="16" t="n"/>
      <c r="D1825" s="10" t="n"/>
      <c r="E1825" s="9" t="n"/>
      <c r="F1825" s="9" t="n"/>
      <c r="G1825" s="13" t="n"/>
      <c r="H1825" s="21" t="n"/>
      <c r="I1825" s="21" t="n"/>
      <c r="J1825" s="17">
        <f>IF($G1825="","",IFERROR(INDEX(NomsEmployes,MATCH($G1825,MatriculesEmployes,0)),"MATRICULE INCONNU"))</f>
        <v/>
      </c>
      <c r="K1825" s="33">
        <f>IF(OR($D1825="",$F1825=""),"",IFERROR(IF(INDEX(RUNS!$L$6:$S$1005,MATCH($D1825,RUNS!$A$6:$A$1005,0),MATCH("ACTIVITÉ "&amp;$F1825,RUNS!$L$5:$S$5,0))="","",INDEX(RUNS!$L$6:$S$1005,MATCH($D1825,RUNS!$A$6:$A$1005,0),MATCH("ACTIVITÉ "&amp;$F1825,RUNS!$L$5:$S$5,0))),""))</f>
        <v/>
      </c>
      <c r="L1825" s="33">
        <f>IF($D1825="","",IFERROR(IF(INDEX(RUNS!$E$6:$E$1005,MATCH($D1825,RUNS!$A$6:$A$1005,0))="","",INDEX(RUNS!$E$6:$E$1005,MATCH($D1825,RUNS!$A$6:$A$1005,0))),""))</f>
        <v/>
      </c>
      <c r="M1825" s="33">
        <f>IF($D1825="","",IFERROR(IF(INDEX(RUNS!$F$6:$F$1005,MATCH($D1825,RUNS!$A$6:$A$1005,0))="","",INDEX(RUNS!$F$6:$F$1005,MATCH($D1825,RUNS!$A$6:$A$1005,0))),""))</f>
        <v/>
      </c>
      <c r="N1825" s="33">
        <f>IF($D1825="","",IFERROR(IF(INDEX(RUNS!$G$6:$G$1005,MATCH($D1825,RUNS!$A$6:$A$1005,0))="","",INDEX(RUNS!$G$6:$G$1005,MATCH($D1825,RUNS!$A$6:$A$1005,0))),""))</f>
        <v/>
      </c>
      <c r="O1825" s="33">
        <f>IF($D1825="","",IFERROR(IF(INDEX(RUNS!$H$6:$H$1005,MATCH($D1825,RUNS!$A$6:$A$1005,0))="","",INDEX(RUNS!$H$6:$H$1005,MATCH($D1825,RUNS!$A$6:$A$1005,0))),""))</f>
        <v/>
      </c>
      <c r="P1825" s="33">
        <f>IF($D1825="","",IFERROR(IF(INDEX(RUNS!$J$6:$J$1005,MATCH($D1825,RUNS!$A$6:$A$1005,0))="","",INDEX(RUNS!$J$6:$J$1005,MATCH($D1825,RUNS!$A$6:$A$1005,0))),""))</f>
        <v/>
      </c>
      <c r="Q1825" s="33">
        <f>IF($D1825="","",IFERROR(IF(INDEX(RUNS!$K$6:$K$1005,MATCH($D1825,RUNS!$A$6:$A$1005,0))="","",INDEX(RUNS!$K$6:$K$1005,MATCH($D1825,RUNS!$A$6:$A$1005,0))),""))</f>
        <v/>
      </c>
      <c r="R1825" s="34">
        <f>IF(OR($L1825="",$K1825=""),"",IFERROR(IF(INDEX(PARAMETRES!$H$43:$H$342,MATCH($L1825&amp;"|"&amp;$M1825&amp;"|"&amp;$N1825&amp;"|"&amp;$O1825&amp;"|"&amp;$P1825&amp;"|"&amp;$Q1825&amp;"|"&amp;$K1825,PARAMETRES!$J$43:$J$342,0))="","",INDEX(PARAMETRES!$H$43:$H$342,MATCH($L1825&amp;"|"&amp;$M1825&amp;"|"&amp;$N1825&amp;"|"&amp;$O1825&amp;"|"&amp;$P1825&amp;"|"&amp;$Q1825&amp;"|"&amp;$K1825,PARAMETRES!$J$43:$J$342,0))),""))</f>
        <v/>
      </c>
      <c r="S1825" s="35">
        <f>IF(OR($G1825="",$X1825&lt;&gt;"VALIDE"),"",IFERROR(LOOKUP(2,1/(($B925:$B1824=$B1825)*($G925:$G1824=$G1825)*($X925:$X1824="VALIDE")),$C925:$C1824),""))</f>
        <v/>
      </c>
      <c r="T1825" s="36">
        <f>IF(OR($C1825="",$S1825=""),"",ROUND(($C1825-$S1825+IF($C1825&lt;$S1825,1,0))*1440,0))</f>
        <v/>
      </c>
      <c r="U1825" s="22">
        <f>IF(OR($H1825="",$T1825="",$T1825&lt;=0),"",$H1825*60/$T1825)</f>
        <v/>
      </c>
      <c r="V1825" s="37">
        <f>IF(OR($U1825="",$R1825="",$R1825=0),"",$U1825/$R1825)</f>
        <v/>
      </c>
      <c r="W1825" s="20">
        <f>IF($G1825="","",IF($X1825="CONTEXTE INCOMPLET","CONTEXTE INCOMPLET",IF($X1825="DOUBLON",StatutDoublon,IF($S1825="",StatutInitial,IF($R1825="",StatutStandardManquant,IF($V1825="","DONNEES INSUFFISANTES",IF($V1825&gt;=SeuilConforme,StatutConforme,IF($V1825&gt;=SeuilSurveiller,StatutSurveiller,StatutSousStandard))))))))</f>
        <v/>
      </c>
      <c r="X1825" s="33">
        <f>IF($G1825="","",IF(OR($D1825="",$E1825="",$F1825=""),"CONTEXTE INCOMPLET",IF(COUNTIFS($D925:$D1824,$D1825,$E925:$E1824,$E1825,$F925:$F1824,$F1825,$G925:$G1824,$G1825)&gt;0,"DOUBLON","VALIDE")))</f>
        <v/>
      </c>
    </row>
    <row r="1826" ht="15" customHeight="1">
      <c r="A1826" s="12">
        <f>IF(OR($B1826="",$G1826=""),"",TEXT($B1826,"YYYYMMDD")&amp;"-"&amp;SUBSTITUTE($E1826," ","")&amp;"-"&amp;$F1826&amp;"-"&amp;$G1826)</f>
        <v/>
      </c>
      <c r="B1826" s="15" t="n"/>
      <c r="C1826" s="16" t="n"/>
      <c r="D1826" s="10" t="n"/>
      <c r="E1826" s="9" t="n"/>
      <c r="F1826" s="9" t="n"/>
      <c r="G1826" s="13" t="n"/>
      <c r="H1826" s="21" t="n"/>
      <c r="I1826" s="21" t="n"/>
      <c r="J1826" s="17">
        <f>IF($G1826="","",IFERROR(INDEX(NomsEmployes,MATCH($G1826,MatriculesEmployes,0)),"MATRICULE INCONNU"))</f>
        <v/>
      </c>
      <c r="K1826" s="33">
        <f>IF(OR($D1826="",$F1826=""),"",IFERROR(IF(INDEX(RUNS!$L$6:$S$1005,MATCH($D1826,RUNS!$A$6:$A$1005,0),MATCH("ACTIVITÉ "&amp;$F1826,RUNS!$L$5:$S$5,0))="","",INDEX(RUNS!$L$6:$S$1005,MATCH($D1826,RUNS!$A$6:$A$1005,0),MATCH("ACTIVITÉ "&amp;$F1826,RUNS!$L$5:$S$5,0))),""))</f>
        <v/>
      </c>
      <c r="L1826" s="33">
        <f>IF($D1826="","",IFERROR(IF(INDEX(RUNS!$E$6:$E$1005,MATCH($D1826,RUNS!$A$6:$A$1005,0))="","",INDEX(RUNS!$E$6:$E$1005,MATCH($D1826,RUNS!$A$6:$A$1005,0))),""))</f>
        <v/>
      </c>
      <c r="M1826" s="33">
        <f>IF($D1826="","",IFERROR(IF(INDEX(RUNS!$F$6:$F$1005,MATCH($D1826,RUNS!$A$6:$A$1005,0))="","",INDEX(RUNS!$F$6:$F$1005,MATCH($D1826,RUNS!$A$6:$A$1005,0))),""))</f>
        <v/>
      </c>
      <c r="N1826" s="33">
        <f>IF($D1826="","",IFERROR(IF(INDEX(RUNS!$G$6:$G$1005,MATCH($D1826,RUNS!$A$6:$A$1005,0))="","",INDEX(RUNS!$G$6:$G$1005,MATCH($D1826,RUNS!$A$6:$A$1005,0))),""))</f>
        <v/>
      </c>
      <c r="O1826" s="33">
        <f>IF($D1826="","",IFERROR(IF(INDEX(RUNS!$H$6:$H$1005,MATCH($D1826,RUNS!$A$6:$A$1005,0))="","",INDEX(RUNS!$H$6:$H$1005,MATCH($D1826,RUNS!$A$6:$A$1005,0))),""))</f>
        <v/>
      </c>
      <c r="P1826" s="33">
        <f>IF($D1826="","",IFERROR(IF(INDEX(RUNS!$J$6:$J$1005,MATCH($D1826,RUNS!$A$6:$A$1005,0))="","",INDEX(RUNS!$J$6:$J$1005,MATCH($D1826,RUNS!$A$6:$A$1005,0))),""))</f>
        <v/>
      </c>
      <c r="Q1826" s="33">
        <f>IF($D1826="","",IFERROR(IF(INDEX(RUNS!$K$6:$K$1005,MATCH($D1826,RUNS!$A$6:$A$1005,0))="","",INDEX(RUNS!$K$6:$K$1005,MATCH($D1826,RUNS!$A$6:$A$1005,0))),""))</f>
        <v/>
      </c>
      <c r="R1826" s="34">
        <f>IF(OR($L1826="",$K1826=""),"",IFERROR(IF(INDEX(PARAMETRES!$H$43:$H$342,MATCH($L1826&amp;"|"&amp;$M1826&amp;"|"&amp;$N1826&amp;"|"&amp;$O1826&amp;"|"&amp;$P1826&amp;"|"&amp;$Q1826&amp;"|"&amp;$K1826,PARAMETRES!$J$43:$J$342,0))="","",INDEX(PARAMETRES!$H$43:$H$342,MATCH($L1826&amp;"|"&amp;$M1826&amp;"|"&amp;$N1826&amp;"|"&amp;$O1826&amp;"|"&amp;$P1826&amp;"|"&amp;$Q1826&amp;"|"&amp;$K1826,PARAMETRES!$J$43:$J$342,0))),""))</f>
        <v/>
      </c>
      <c r="S1826" s="35">
        <f>IF(OR($G1826="",$X1826&lt;&gt;"VALIDE"),"",IFERROR(LOOKUP(2,1/(($B926:$B1825=$B1826)*($G926:$G1825=$G1826)*($X926:$X1825="VALIDE")),$C926:$C1825),""))</f>
        <v/>
      </c>
      <c r="T1826" s="36">
        <f>IF(OR($C1826="",$S1826=""),"",ROUND(($C1826-$S1826+IF($C1826&lt;$S1826,1,0))*1440,0))</f>
        <v/>
      </c>
      <c r="U1826" s="22">
        <f>IF(OR($H1826="",$T1826="",$T1826&lt;=0),"",$H1826*60/$T1826)</f>
        <v/>
      </c>
      <c r="V1826" s="37">
        <f>IF(OR($U1826="",$R1826="",$R1826=0),"",$U1826/$R1826)</f>
        <v/>
      </c>
      <c r="W1826" s="20">
        <f>IF($G1826="","",IF($X1826="CONTEXTE INCOMPLET","CONTEXTE INCOMPLET",IF($X1826="DOUBLON",StatutDoublon,IF($S1826="",StatutInitial,IF($R1826="",StatutStandardManquant,IF($V1826="","DONNEES INSUFFISANTES",IF($V1826&gt;=SeuilConforme,StatutConforme,IF($V1826&gt;=SeuilSurveiller,StatutSurveiller,StatutSousStandard))))))))</f>
        <v/>
      </c>
      <c r="X1826" s="33">
        <f>IF($G1826="","",IF(OR($D1826="",$E1826="",$F1826=""),"CONTEXTE INCOMPLET",IF(COUNTIFS($D926:$D1825,$D1826,$E926:$E1825,$E1826,$F926:$F1825,$F1826,$G926:$G1825,$G1826)&gt;0,"DOUBLON","VALIDE")))</f>
        <v/>
      </c>
    </row>
    <row r="1827" ht="15" customHeight="1">
      <c r="A1827" s="12">
        <f>IF(OR($B1827="",$G1827=""),"",TEXT($B1827,"YYYYMMDD")&amp;"-"&amp;SUBSTITUTE($E1827," ","")&amp;"-"&amp;$F1827&amp;"-"&amp;$G1827)</f>
        <v/>
      </c>
      <c r="B1827" s="15" t="n"/>
      <c r="C1827" s="16" t="n"/>
      <c r="D1827" s="10" t="n"/>
      <c r="E1827" s="9" t="n"/>
      <c r="F1827" s="9" t="n"/>
      <c r="G1827" s="13" t="n"/>
      <c r="H1827" s="21" t="n"/>
      <c r="I1827" s="21" t="n"/>
      <c r="J1827" s="17">
        <f>IF($G1827="","",IFERROR(INDEX(NomsEmployes,MATCH($G1827,MatriculesEmployes,0)),"MATRICULE INCONNU"))</f>
        <v/>
      </c>
      <c r="K1827" s="33">
        <f>IF(OR($D1827="",$F1827=""),"",IFERROR(IF(INDEX(RUNS!$L$6:$S$1005,MATCH($D1827,RUNS!$A$6:$A$1005,0),MATCH("ACTIVITÉ "&amp;$F1827,RUNS!$L$5:$S$5,0))="","",INDEX(RUNS!$L$6:$S$1005,MATCH($D1827,RUNS!$A$6:$A$1005,0),MATCH("ACTIVITÉ "&amp;$F1827,RUNS!$L$5:$S$5,0))),""))</f>
        <v/>
      </c>
      <c r="L1827" s="33">
        <f>IF($D1827="","",IFERROR(IF(INDEX(RUNS!$E$6:$E$1005,MATCH($D1827,RUNS!$A$6:$A$1005,0))="","",INDEX(RUNS!$E$6:$E$1005,MATCH($D1827,RUNS!$A$6:$A$1005,0))),""))</f>
        <v/>
      </c>
      <c r="M1827" s="33">
        <f>IF($D1827="","",IFERROR(IF(INDEX(RUNS!$F$6:$F$1005,MATCH($D1827,RUNS!$A$6:$A$1005,0))="","",INDEX(RUNS!$F$6:$F$1005,MATCH($D1827,RUNS!$A$6:$A$1005,0))),""))</f>
        <v/>
      </c>
      <c r="N1827" s="33">
        <f>IF($D1827="","",IFERROR(IF(INDEX(RUNS!$G$6:$G$1005,MATCH($D1827,RUNS!$A$6:$A$1005,0))="","",INDEX(RUNS!$G$6:$G$1005,MATCH($D1827,RUNS!$A$6:$A$1005,0))),""))</f>
        <v/>
      </c>
      <c r="O1827" s="33">
        <f>IF($D1827="","",IFERROR(IF(INDEX(RUNS!$H$6:$H$1005,MATCH($D1827,RUNS!$A$6:$A$1005,0))="","",INDEX(RUNS!$H$6:$H$1005,MATCH($D1827,RUNS!$A$6:$A$1005,0))),""))</f>
        <v/>
      </c>
      <c r="P1827" s="33">
        <f>IF($D1827="","",IFERROR(IF(INDEX(RUNS!$J$6:$J$1005,MATCH($D1827,RUNS!$A$6:$A$1005,0))="","",INDEX(RUNS!$J$6:$J$1005,MATCH($D1827,RUNS!$A$6:$A$1005,0))),""))</f>
        <v/>
      </c>
      <c r="Q1827" s="33">
        <f>IF($D1827="","",IFERROR(IF(INDEX(RUNS!$K$6:$K$1005,MATCH($D1827,RUNS!$A$6:$A$1005,0))="","",INDEX(RUNS!$K$6:$K$1005,MATCH($D1827,RUNS!$A$6:$A$1005,0))),""))</f>
        <v/>
      </c>
      <c r="R1827" s="34">
        <f>IF(OR($L1827="",$K1827=""),"",IFERROR(IF(INDEX(PARAMETRES!$H$43:$H$342,MATCH($L1827&amp;"|"&amp;$M1827&amp;"|"&amp;$N1827&amp;"|"&amp;$O1827&amp;"|"&amp;$P1827&amp;"|"&amp;$Q1827&amp;"|"&amp;$K1827,PARAMETRES!$J$43:$J$342,0))="","",INDEX(PARAMETRES!$H$43:$H$342,MATCH($L1827&amp;"|"&amp;$M1827&amp;"|"&amp;$N1827&amp;"|"&amp;$O1827&amp;"|"&amp;$P1827&amp;"|"&amp;$Q1827&amp;"|"&amp;$K1827,PARAMETRES!$J$43:$J$342,0))),""))</f>
        <v/>
      </c>
      <c r="S1827" s="35">
        <f>IF(OR($G1827="",$X1827&lt;&gt;"VALIDE"),"",IFERROR(LOOKUP(2,1/(($B927:$B1826=$B1827)*($G927:$G1826=$G1827)*($X927:$X1826="VALIDE")),$C927:$C1826),""))</f>
        <v/>
      </c>
      <c r="T1827" s="36">
        <f>IF(OR($C1827="",$S1827=""),"",ROUND(($C1827-$S1827+IF($C1827&lt;$S1827,1,0))*1440,0))</f>
        <v/>
      </c>
      <c r="U1827" s="22">
        <f>IF(OR($H1827="",$T1827="",$T1827&lt;=0),"",$H1827*60/$T1827)</f>
        <v/>
      </c>
      <c r="V1827" s="37">
        <f>IF(OR($U1827="",$R1827="",$R1827=0),"",$U1827/$R1827)</f>
        <v/>
      </c>
      <c r="W1827" s="20">
        <f>IF($G1827="","",IF($X1827="CONTEXTE INCOMPLET","CONTEXTE INCOMPLET",IF($X1827="DOUBLON",StatutDoublon,IF($S1827="",StatutInitial,IF($R1827="",StatutStandardManquant,IF($V1827="","DONNEES INSUFFISANTES",IF($V1827&gt;=SeuilConforme,StatutConforme,IF($V1827&gt;=SeuilSurveiller,StatutSurveiller,StatutSousStandard))))))))</f>
        <v/>
      </c>
      <c r="X1827" s="33">
        <f>IF($G1827="","",IF(OR($D1827="",$E1827="",$F1827=""),"CONTEXTE INCOMPLET",IF(COUNTIFS($D927:$D1826,$D1827,$E927:$E1826,$E1827,$F927:$F1826,$F1827,$G927:$G1826,$G1827)&gt;0,"DOUBLON","VALIDE")))</f>
        <v/>
      </c>
    </row>
    <row r="1828" ht="15" customHeight="1">
      <c r="A1828" s="12">
        <f>IF(OR($B1828="",$G1828=""),"",TEXT($B1828,"YYYYMMDD")&amp;"-"&amp;SUBSTITUTE($E1828," ","")&amp;"-"&amp;$F1828&amp;"-"&amp;$G1828)</f>
        <v/>
      </c>
      <c r="B1828" s="15" t="n"/>
      <c r="C1828" s="16" t="n"/>
      <c r="D1828" s="10" t="n"/>
      <c r="E1828" s="9" t="n"/>
      <c r="F1828" s="9" t="n"/>
      <c r="G1828" s="13" t="n"/>
      <c r="H1828" s="21" t="n"/>
      <c r="I1828" s="21" t="n"/>
      <c r="J1828" s="17">
        <f>IF($G1828="","",IFERROR(INDEX(NomsEmployes,MATCH($G1828,MatriculesEmployes,0)),"MATRICULE INCONNU"))</f>
        <v/>
      </c>
      <c r="K1828" s="33">
        <f>IF(OR($D1828="",$F1828=""),"",IFERROR(IF(INDEX(RUNS!$L$6:$S$1005,MATCH($D1828,RUNS!$A$6:$A$1005,0),MATCH("ACTIVITÉ "&amp;$F1828,RUNS!$L$5:$S$5,0))="","",INDEX(RUNS!$L$6:$S$1005,MATCH($D1828,RUNS!$A$6:$A$1005,0),MATCH("ACTIVITÉ "&amp;$F1828,RUNS!$L$5:$S$5,0))),""))</f>
        <v/>
      </c>
      <c r="L1828" s="33">
        <f>IF($D1828="","",IFERROR(IF(INDEX(RUNS!$E$6:$E$1005,MATCH($D1828,RUNS!$A$6:$A$1005,0))="","",INDEX(RUNS!$E$6:$E$1005,MATCH($D1828,RUNS!$A$6:$A$1005,0))),""))</f>
        <v/>
      </c>
      <c r="M1828" s="33">
        <f>IF($D1828="","",IFERROR(IF(INDEX(RUNS!$F$6:$F$1005,MATCH($D1828,RUNS!$A$6:$A$1005,0))="","",INDEX(RUNS!$F$6:$F$1005,MATCH($D1828,RUNS!$A$6:$A$1005,0))),""))</f>
        <v/>
      </c>
      <c r="N1828" s="33">
        <f>IF($D1828="","",IFERROR(IF(INDEX(RUNS!$G$6:$G$1005,MATCH($D1828,RUNS!$A$6:$A$1005,0))="","",INDEX(RUNS!$G$6:$G$1005,MATCH($D1828,RUNS!$A$6:$A$1005,0))),""))</f>
        <v/>
      </c>
      <c r="O1828" s="33">
        <f>IF($D1828="","",IFERROR(IF(INDEX(RUNS!$H$6:$H$1005,MATCH($D1828,RUNS!$A$6:$A$1005,0))="","",INDEX(RUNS!$H$6:$H$1005,MATCH($D1828,RUNS!$A$6:$A$1005,0))),""))</f>
        <v/>
      </c>
      <c r="P1828" s="33">
        <f>IF($D1828="","",IFERROR(IF(INDEX(RUNS!$J$6:$J$1005,MATCH($D1828,RUNS!$A$6:$A$1005,0))="","",INDEX(RUNS!$J$6:$J$1005,MATCH($D1828,RUNS!$A$6:$A$1005,0))),""))</f>
        <v/>
      </c>
      <c r="Q1828" s="33">
        <f>IF($D1828="","",IFERROR(IF(INDEX(RUNS!$K$6:$K$1005,MATCH($D1828,RUNS!$A$6:$A$1005,0))="","",INDEX(RUNS!$K$6:$K$1005,MATCH($D1828,RUNS!$A$6:$A$1005,0))),""))</f>
        <v/>
      </c>
      <c r="R1828" s="34">
        <f>IF(OR($L1828="",$K1828=""),"",IFERROR(IF(INDEX(PARAMETRES!$H$43:$H$342,MATCH($L1828&amp;"|"&amp;$M1828&amp;"|"&amp;$N1828&amp;"|"&amp;$O1828&amp;"|"&amp;$P1828&amp;"|"&amp;$Q1828&amp;"|"&amp;$K1828,PARAMETRES!$J$43:$J$342,0))="","",INDEX(PARAMETRES!$H$43:$H$342,MATCH($L1828&amp;"|"&amp;$M1828&amp;"|"&amp;$N1828&amp;"|"&amp;$O1828&amp;"|"&amp;$P1828&amp;"|"&amp;$Q1828&amp;"|"&amp;$K1828,PARAMETRES!$J$43:$J$342,0))),""))</f>
        <v/>
      </c>
      <c r="S1828" s="35">
        <f>IF(OR($G1828="",$X1828&lt;&gt;"VALIDE"),"",IFERROR(LOOKUP(2,1/(($B928:$B1827=$B1828)*($G928:$G1827=$G1828)*($X928:$X1827="VALIDE")),$C928:$C1827),""))</f>
        <v/>
      </c>
      <c r="T1828" s="36">
        <f>IF(OR($C1828="",$S1828=""),"",ROUND(($C1828-$S1828+IF($C1828&lt;$S1828,1,0))*1440,0))</f>
        <v/>
      </c>
      <c r="U1828" s="22">
        <f>IF(OR($H1828="",$T1828="",$T1828&lt;=0),"",$H1828*60/$T1828)</f>
        <v/>
      </c>
      <c r="V1828" s="37">
        <f>IF(OR($U1828="",$R1828="",$R1828=0),"",$U1828/$R1828)</f>
        <v/>
      </c>
      <c r="W1828" s="20">
        <f>IF($G1828="","",IF($X1828="CONTEXTE INCOMPLET","CONTEXTE INCOMPLET",IF($X1828="DOUBLON",StatutDoublon,IF($S1828="",StatutInitial,IF($R1828="",StatutStandardManquant,IF($V1828="","DONNEES INSUFFISANTES",IF($V1828&gt;=SeuilConforme,StatutConforme,IF($V1828&gt;=SeuilSurveiller,StatutSurveiller,StatutSousStandard))))))))</f>
        <v/>
      </c>
      <c r="X1828" s="33">
        <f>IF($G1828="","",IF(OR($D1828="",$E1828="",$F1828=""),"CONTEXTE INCOMPLET",IF(COUNTIFS($D928:$D1827,$D1828,$E928:$E1827,$E1828,$F928:$F1827,$F1828,$G928:$G1827,$G1828)&gt;0,"DOUBLON","VALIDE")))</f>
        <v/>
      </c>
    </row>
    <row r="1829" ht="15" customHeight="1">
      <c r="A1829" s="12">
        <f>IF(OR($B1829="",$G1829=""),"",TEXT($B1829,"YYYYMMDD")&amp;"-"&amp;SUBSTITUTE($E1829," ","")&amp;"-"&amp;$F1829&amp;"-"&amp;$G1829)</f>
        <v/>
      </c>
      <c r="B1829" s="15" t="n"/>
      <c r="C1829" s="16" t="n"/>
      <c r="D1829" s="10" t="n"/>
      <c r="E1829" s="9" t="n"/>
      <c r="F1829" s="9" t="n"/>
      <c r="G1829" s="13" t="n"/>
      <c r="H1829" s="21" t="n"/>
      <c r="I1829" s="21" t="n"/>
      <c r="J1829" s="17">
        <f>IF($G1829="","",IFERROR(INDEX(NomsEmployes,MATCH($G1829,MatriculesEmployes,0)),"MATRICULE INCONNU"))</f>
        <v/>
      </c>
      <c r="K1829" s="33">
        <f>IF(OR($D1829="",$F1829=""),"",IFERROR(IF(INDEX(RUNS!$L$6:$S$1005,MATCH($D1829,RUNS!$A$6:$A$1005,0),MATCH("ACTIVITÉ "&amp;$F1829,RUNS!$L$5:$S$5,0))="","",INDEX(RUNS!$L$6:$S$1005,MATCH($D1829,RUNS!$A$6:$A$1005,0),MATCH("ACTIVITÉ "&amp;$F1829,RUNS!$L$5:$S$5,0))),""))</f>
        <v/>
      </c>
      <c r="L1829" s="33">
        <f>IF($D1829="","",IFERROR(IF(INDEX(RUNS!$E$6:$E$1005,MATCH($D1829,RUNS!$A$6:$A$1005,0))="","",INDEX(RUNS!$E$6:$E$1005,MATCH($D1829,RUNS!$A$6:$A$1005,0))),""))</f>
        <v/>
      </c>
      <c r="M1829" s="33">
        <f>IF($D1829="","",IFERROR(IF(INDEX(RUNS!$F$6:$F$1005,MATCH($D1829,RUNS!$A$6:$A$1005,0))="","",INDEX(RUNS!$F$6:$F$1005,MATCH($D1829,RUNS!$A$6:$A$1005,0))),""))</f>
        <v/>
      </c>
      <c r="N1829" s="33">
        <f>IF($D1829="","",IFERROR(IF(INDEX(RUNS!$G$6:$G$1005,MATCH($D1829,RUNS!$A$6:$A$1005,0))="","",INDEX(RUNS!$G$6:$G$1005,MATCH($D1829,RUNS!$A$6:$A$1005,0))),""))</f>
        <v/>
      </c>
      <c r="O1829" s="33">
        <f>IF($D1829="","",IFERROR(IF(INDEX(RUNS!$H$6:$H$1005,MATCH($D1829,RUNS!$A$6:$A$1005,0))="","",INDEX(RUNS!$H$6:$H$1005,MATCH($D1829,RUNS!$A$6:$A$1005,0))),""))</f>
        <v/>
      </c>
      <c r="P1829" s="33">
        <f>IF($D1829="","",IFERROR(IF(INDEX(RUNS!$J$6:$J$1005,MATCH($D1829,RUNS!$A$6:$A$1005,0))="","",INDEX(RUNS!$J$6:$J$1005,MATCH($D1829,RUNS!$A$6:$A$1005,0))),""))</f>
        <v/>
      </c>
      <c r="Q1829" s="33">
        <f>IF($D1829="","",IFERROR(IF(INDEX(RUNS!$K$6:$K$1005,MATCH($D1829,RUNS!$A$6:$A$1005,0))="","",INDEX(RUNS!$K$6:$K$1005,MATCH($D1829,RUNS!$A$6:$A$1005,0))),""))</f>
        <v/>
      </c>
      <c r="R1829" s="34">
        <f>IF(OR($L1829="",$K1829=""),"",IFERROR(IF(INDEX(PARAMETRES!$H$43:$H$342,MATCH($L1829&amp;"|"&amp;$M1829&amp;"|"&amp;$N1829&amp;"|"&amp;$O1829&amp;"|"&amp;$P1829&amp;"|"&amp;$Q1829&amp;"|"&amp;$K1829,PARAMETRES!$J$43:$J$342,0))="","",INDEX(PARAMETRES!$H$43:$H$342,MATCH($L1829&amp;"|"&amp;$M1829&amp;"|"&amp;$N1829&amp;"|"&amp;$O1829&amp;"|"&amp;$P1829&amp;"|"&amp;$Q1829&amp;"|"&amp;$K1829,PARAMETRES!$J$43:$J$342,0))),""))</f>
        <v/>
      </c>
      <c r="S1829" s="35">
        <f>IF(OR($G1829="",$X1829&lt;&gt;"VALIDE"),"",IFERROR(LOOKUP(2,1/(($B929:$B1828=$B1829)*($G929:$G1828=$G1829)*($X929:$X1828="VALIDE")),$C929:$C1828),""))</f>
        <v/>
      </c>
      <c r="T1829" s="36">
        <f>IF(OR($C1829="",$S1829=""),"",ROUND(($C1829-$S1829+IF($C1829&lt;$S1829,1,0))*1440,0))</f>
        <v/>
      </c>
      <c r="U1829" s="22">
        <f>IF(OR($H1829="",$T1829="",$T1829&lt;=0),"",$H1829*60/$T1829)</f>
        <v/>
      </c>
      <c r="V1829" s="37">
        <f>IF(OR($U1829="",$R1829="",$R1829=0),"",$U1829/$R1829)</f>
        <v/>
      </c>
      <c r="W1829" s="20">
        <f>IF($G1829="","",IF($X1829="CONTEXTE INCOMPLET","CONTEXTE INCOMPLET",IF($X1829="DOUBLON",StatutDoublon,IF($S1829="",StatutInitial,IF($R1829="",StatutStandardManquant,IF($V1829="","DONNEES INSUFFISANTES",IF($V1829&gt;=SeuilConforme,StatutConforme,IF($V1829&gt;=SeuilSurveiller,StatutSurveiller,StatutSousStandard))))))))</f>
        <v/>
      </c>
      <c r="X1829" s="33">
        <f>IF($G1829="","",IF(OR($D1829="",$E1829="",$F1829=""),"CONTEXTE INCOMPLET",IF(COUNTIFS($D929:$D1828,$D1829,$E929:$E1828,$E1829,$F929:$F1828,$F1829,$G929:$G1828,$G1829)&gt;0,"DOUBLON","VALIDE")))</f>
        <v/>
      </c>
    </row>
    <row r="1830" ht="15" customHeight="1">
      <c r="A1830" s="12">
        <f>IF(OR($B1830="",$G1830=""),"",TEXT($B1830,"YYYYMMDD")&amp;"-"&amp;SUBSTITUTE($E1830," ","")&amp;"-"&amp;$F1830&amp;"-"&amp;$G1830)</f>
        <v/>
      </c>
      <c r="B1830" s="15" t="n"/>
      <c r="C1830" s="16" t="n"/>
      <c r="D1830" s="10" t="n"/>
      <c r="E1830" s="9" t="n"/>
      <c r="F1830" s="9" t="n"/>
      <c r="G1830" s="13" t="n"/>
      <c r="H1830" s="21" t="n"/>
      <c r="I1830" s="21" t="n"/>
      <c r="J1830" s="17">
        <f>IF($G1830="","",IFERROR(INDEX(NomsEmployes,MATCH($G1830,MatriculesEmployes,0)),"MATRICULE INCONNU"))</f>
        <v/>
      </c>
      <c r="K1830" s="33">
        <f>IF(OR($D1830="",$F1830=""),"",IFERROR(IF(INDEX(RUNS!$L$6:$S$1005,MATCH($D1830,RUNS!$A$6:$A$1005,0),MATCH("ACTIVITÉ "&amp;$F1830,RUNS!$L$5:$S$5,0))="","",INDEX(RUNS!$L$6:$S$1005,MATCH($D1830,RUNS!$A$6:$A$1005,0),MATCH("ACTIVITÉ "&amp;$F1830,RUNS!$L$5:$S$5,0))),""))</f>
        <v/>
      </c>
      <c r="L1830" s="33">
        <f>IF($D1830="","",IFERROR(IF(INDEX(RUNS!$E$6:$E$1005,MATCH($D1830,RUNS!$A$6:$A$1005,0))="","",INDEX(RUNS!$E$6:$E$1005,MATCH($D1830,RUNS!$A$6:$A$1005,0))),""))</f>
        <v/>
      </c>
      <c r="M1830" s="33">
        <f>IF($D1830="","",IFERROR(IF(INDEX(RUNS!$F$6:$F$1005,MATCH($D1830,RUNS!$A$6:$A$1005,0))="","",INDEX(RUNS!$F$6:$F$1005,MATCH($D1830,RUNS!$A$6:$A$1005,0))),""))</f>
        <v/>
      </c>
      <c r="N1830" s="33">
        <f>IF($D1830="","",IFERROR(IF(INDEX(RUNS!$G$6:$G$1005,MATCH($D1830,RUNS!$A$6:$A$1005,0))="","",INDEX(RUNS!$G$6:$G$1005,MATCH($D1830,RUNS!$A$6:$A$1005,0))),""))</f>
        <v/>
      </c>
      <c r="O1830" s="33">
        <f>IF($D1830="","",IFERROR(IF(INDEX(RUNS!$H$6:$H$1005,MATCH($D1830,RUNS!$A$6:$A$1005,0))="","",INDEX(RUNS!$H$6:$H$1005,MATCH($D1830,RUNS!$A$6:$A$1005,0))),""))</f>
        <v/>
      </c>
      <c r="P1830" s="33">
        <f>IF($D1830="","",IFERROR(IF(INDEX(RUNS!$J$6:$J$1005,MATCH($D1830,RUNS!$A$6:$A$1005,0))="","",INDEX(RUNS!$J$6:$J$1005,MATCH($D1830,RUNS!$A$6:$A$1005,0))),""))</f>
        <v/>
      </c>
      <c r="Q1830" s="33">
        <f>IF($D1830="","",IFERROR(IF(INDEX(RUNS!$K$6:$K$1005,MATCH($D1830,RUNS!$A$6:$A$1005,0))="","",INDEX(RUNS!$K$6:$K$1005,MATCH($D1830,RUNS!$A$6:$A$1005,0))),""))</f>
        <v/>
      </c>
      <c r="R1830" s="34">
        <f>IF(OR($L1830="",$K1830=""),"",IFERROR(IF(INDEX(PARAMETRES!$H$43:$H$342,MATCH($L1830&amp;"|"&amp;$M1830&amp;"|"&amp;$N1830&amp;"|"&amp;$O1830&amp;"|"&amp;$P1830&amp;"|"&amp;$Q1830&amp;"|"&amp;$K1830,PARAMETRES!$J$43:$J$342,0))="","",INDEX(PARAMETRES!$H$43:$H$342,MATCH($L1830&amp;"|"&amp;$M1830&amp;"|"&amp;$N1830&amp;"|"&amp;$O1830&amp;"|"&amp;$P1830&amp;"|"&amp;$Q1830&amp;"|"&amp;$K1830,PARAMETRES!$J$43:$J$342,0))),""))</f>
        <v/>
      </c>
      <c r="S1830" s="35">
        <f>IF(OR($G1830="",$X1830&lt;&gt;"VALIDE"),"",IFERROR(LOOKUP(2,1/(($B930:$B1829=$B1830)*($G930:$G1829=$G1830)*($X930:$X1829="VALIDE")),$C930:$C1829),""))</f>
        <v/>
      </c>
      <c r="T1830" s="36">
        <f>IF(OR($C1830="",$S1830=""),"",ROUND(($C1830-$S1830+IF($C1830&lt;$S1830,1,0))*1440,0))</f>
        <v/>
      </c>
      <c r="U1830" s="22">
        <f>IF(OR($H1830="",$T1830="",$T1830&lt;=0),"",$H1830*60/$T1830)</f>
        <v/>
      </c>
      <c r="V1830" s="37">
        <f>IF(OR($U1830="",$R1830="",$R1830=0),"",$U1830/$R1830)</f>
        <v/>
      </c>
      <c r="W1830" s="20">
        <f>IF($G1830="","",IF($X1830="CONTEXTE INCOMPLET","CONTEXTE INCOMPLET",IF($X1830="DOUBLON",StatutDoublon,IF($S1830="",StatutInitial,IF($R1830="",StatutStandardManquant,IF($V1830="","DONNEES INSUFFISANTES",IF($V1830&gt;=SeuilConforme,StatutConforme,IF($V1830&gt;=SeuilSurveiller,StatutSurveiller,StatutSousStandard))))))))</f>
        <v/>
      </c>
      <c r="X1830" s="33">
        <f>IF($G1830="","",IF(OR($D1830="",$E1830="",$F1830=""),"CONTEXTE INCOMPLET",IF(COUNTIFS($D930:$D1829,$D1830,$E930:$E1829,$E1830,$F930:$F1829,$F1830,$G930:$G1829,$G1830)&gt;0,"DOUBLON","VALIDE")))</f>
        <v/>
      </c>
    </row>
    <row r="1831" ht="15" customHeight="1">
      <c r="A1831" s="12">
        <f>IF(OR($B1831="",$G1831=""),"",TEXT($B1831,"YYYYMMDD")&amp;"-"&amp;SUBSTITUTE($E1831," ","")&amp;"-"&amp;$F1831&amp;"-"&amp;$G1831)</f>
        <v/>
      </c>
      <c r="B1831" s="15" t="n"/>
      <c r="C1831" s="16" t="n"/>
      <c r="D1831" s="10" t="n"/>
      <c r="E1831" s="9" t="n"/>
      <c r="F1831" s="9" t="n"/>
      <c r="G1831" s="13" t="n"/>
      <c r="H1831" s="21" t="n"/>
      <c r="I1831" s="21" t="n"/>
      <c r="J1831" s="17">
        <f>IF($G1831="","",IFERROR(INDEX(NomsEmployes,MATCH($G1831,MatriculesEmployes,0)),"MATRICULE INCONNU"))</f>
        <v/>
      </c>
      <c r="K1831" s="33">
        <f>IF(OR($D1831="",$F1831=""),"",IFERROR(IF(INDEX(RUNS!$L$6:$S$1005,MATCH($D1831,RUNS!$A$6:$A$1005,0),MATCH("ACTIVITÉ "&amp;$F1831,RUNS!$L$5:$S$5,0))="","",INDEX(RUNS!$L$6:$S$1005,MATCH($D1831,RUNS!$A$6:$A$1005,0),MATCH("ACTIVITÉ "&amp;$F1831,RUNS!$L$5:$S$5,0))),""))</f>
        <v/>
      </c>
      <c r="L1831" s="33">
        <f>IF($D1831="","",IFERROR(IF(INDEX(RUNS!$E$6:$E$1005,MATCH($D1831,RUNS!$A$6:$A$1005,0))="","",INDEX(RUNS!$E$6:$E$1005,MATCH($D1831,RUNS!$A$6:$A$1005,0))),""))</f>
        <v/>
      </c>
      <c r="M1831" s="33">
        <f>IF($D1831="","",IFERROR(IF(INDEX(RUNS!$F$6:$F$1005,MATCH($D1831,RUNS!$A$6:$A$1005,0))="","",INDEX(RUNS!$F$6:$F$1005,MATCH($D1831,RUNS!$A$6:$A$1005,0))),""))</f>
        <v/>
      </c>
      <c r="N1831" s="33">
        <f>IF($D1831="","",IFERROR(IF(INDEX(RUNS!$G$6:$G$1005,MATCH($D1831,RUNS!$A$6:$A$1005,0))="","",INDEX(RUNS!$G$6:$G$1005,MATCH($D1831,RUNS!$A$6:$A$1005,0))),""))</f>
        <v/>
      </c>
      <c r="O1831" s="33">
        <f>IF($D1831="","",IFERROR(IF(INDEX(RUNS!$H$6:$H$1005,MATCH($D1831,RUNS!$A$6:$A$1005,0))="","",INDEX(RUNS!$H$6:$H$1005,MATCH($D1831,RUNS!$A$6:$A$1005,0))),""))</f>
        <v/>
      </c>
      <c r="P1831" s="33">
        <f>IF($D1831="","",IFERROR(IF(INDEX(RUNS!$J$6:$J$1005,MATCH($D1831,RUNS!$A$6:$A$1005,0))="","",INDEX(RUNS!$J$6:$J$1005,MATCH($D1831,RUNS!$A$6:$A$1005,0))),""))</f>
        <v/>
      </c>
      <c r="Q1831" s="33">
        <f>IF($D1831="","",IFERROR(IF(INDEX(RUNS!$K$6:$K$1005,MATCH($D1831,RUNS!$A$6:$A$1005,0))="","",INDEX(RUNS!$K$6:$K$1005,MATCH($D1831,RUNS!$A$6:$A$1005,0))),""))</f>
        <v/>
      </c>
      <c r="R1831" s="34">
        <f>IF(OR($L1831="",$K1831=""),"",IFERROR(IF(INDEX(PARAMETRES!$H$43:$H$342,MATCH($L1831&amp;"|"&amp;$M1831&amp;"|"&amp;$N1831&amp;"|"&amp;$O1831&amp;"|"&amp;$P1831&amp;"|"&amp;$Q1831&amp;"|"&amp;$K1831,PARAMETRES!$J$43:$J$342,0))="","",INDEX(PARAMETRES!$H$43:$H$342,MATCH($L1831&amp;"|"&amp;$M1831&amp;"|"&amp;$N1831&amp;"|"&amp;$O1831&amp;"|"&amp;$P1831&amp;"|"&amp;$Q1831&amp;"|"&amp;$K1831,PARAMETRES!$J$43:$J$342,0))),""))</f>
        <v/>
      </c>
      <c r="S1831" s="35">
        <f>IF(OR($G1831="",$X1831&lt;&gt;"VALIDE"),"",IFERROR(LOOKUP(2,1/(($B931:$B1830=$B1831)*($G931:$G1830=$G1831)*($X931:$X1830="VALIDE")),$C931:$C1830),""))</f>
        <v/>
      </c>
      <c r="T1831" s="36">
        <f>IF(OR($C1831="",$S1831=""),"",ROUND(($C1831-$S1831+IF($C1831&lt;$S1831,1,0))*1440,0))</f>
        <v/>
      </c>
      <c r="U1831" s="22">
        <f>IF(OR($H1831="",$T1831="",$T1831&lt;=0),"",$H1831*60/$T1831)</f>
        <v/>
      </c>
      <c r="V1831" s="37">
        <f>IF(OR($U1831="",$R1831="",$R1831=0),"",$U1831/$R1831)</f>
        <v/>
      </c>
      <c r="W1831" s="20">
        <f>IF($G1831="","",IF($X1831="CONTEXTE INCOMPLET","CONTEXTE INCOMPLET",IF($X1831="DOUBLON",StatutDoublon,IF($S1831="",StatutInitial,IF($R1831="",StatutStandardManquant,IF($V1831="","DONNEES INSUFFISANTES",IF($V1831&gt;=SeuilConforme,StatutConforme,IF($V1831&gt;=SeuilSurveiller,StatutSurveiller,StatutSousStandard))))))))</f>
        <v/>
      </c>
      <c r="X1831" s="33">
        <f>IF($G1831="","",IF(OR($D1831="",$E1831="",$F1831=""),"CONTEXTE INCOMPLET",IF(COUNTIFS($D931:$D1830,$D1831,$E931:$E1830,$E1831,$F931:$F1830,$F1831,$G931:$G1830,$G1831)&gt;0,"DOUBLON","VALIDE")))</f>
        <v/>
      </c>
    </row>
    <row r="1832" ht="15" customHeight="1">
      <c r="A1832" s="12">
        <f>IF(OR($B1832="",$G1832=""),"",TEXT($B1832,"YYYYMMDD")&amp;"-"&amp;SUBSTITUTE($E1832," ","")&amp;"-"&amp;$F1832&amp;"-"&amp;$G1832)</f>
        <v/>
      </c>
      <c r="B1832" s="15" t="n"/>
      <c r="C1832" s="16" t="n"/>
      <c r="D1832" s="10" t="n"/>
      <c r="E1832" s="9" t="n"/>
      <c r="F1832" s="9" t="n"/>
      <c r="G1832" s="13" t="n"/>
      <c r="H1832" s="21" t="n"/>
      <c r="I1832" s="21" t="n"/>
      <c r="J1832" s="17">
        <f>IF($G1832="","",IFERROR(INDEX(NomsEmployes,MATCH($G1832,MatriculesEmployes,0)),"MATRICULE INCONNU"))</f>
        <v/>
      </c>
      <c r="K1832" s="33">
        <f>IF(OR($D1832="",$F1832=""),"",IFERROR(IF(INDEX(RUNS!$L$6:$S$1005,MATCH($D1832,RUNS!$A$6:$A$1005,0),MATCH("ACTIVITÉ "&amp;$F1832,RUNS!$L$5:$S$5,0))="","",INDEX(RUNS!$L$6:$S$1005,MATCH($D1832,RUNS!$A$6:$A$1005,0),MATCH("ACTIVITÉ "&amp;$F1832,RUNS!$L$5:$S$5,0))),""))</f>
        <v/>
      </c>
      <c r="L1832" s="33">
        <f>IF($D1832="","",IFERROR(IF(INDEX(RUNS!$E$6:$E$1005,MATCH($D1832,RUNS!$A$6:$A$1005,0))="","",INDEX(RUNS!$E$6:$E$1005,MATCH($D1832,RUNS!$A$6:$A$1005,0))),""))</f>
        <v/>
      </c>
      <c r="M1832" s="33">
        <f>IF($D1832="","",IFERROR(IF(INDEX(RUNS!$F$6:$F$1005,MATCH($D1832,RUNS!$A$6:$A$1005,0))="","",INDEX(RUNS!$F$6:$F$1005,MATCH($D1832,RUNS!$A$6:$A$1005,0))),""))</f>
        <v/>
      </c>
      <c r="N1832" s="33">
        <f>IF($D1832="","",IFERROR(IF(INDEX(RUNS!$G$6:$G$1005,MATCH($D1832,RUNS!$A$6:$A$1005,0))="","",INDEX(RUNS!$G$6:$G$1005,MATCH($D1832,RUNS!$A$6:$A$1005,0))),""))</f>
        <v/>
      </c>
      <c r="O1832" s="33">
        <f>IF($D1832="","",IFERROR(IF(INDEX(RUNS!$H$6:$H$1005,MATCH($D1832,RUNS!$A$6:$A$1005,0))="","",INDEX(RUNS!$H$6:$H$1005,MATCH($D1832,RUNS!$A$6:$A$1005,0))),""))</f>
        <v/>
      </c>
      <c r="P1832" s="33">
        <f>IF($D1832="","",IFERROR(IF(INDEX(RUNS!$J$6:$J$1005,MATCH($D1832,RUNS!$A$6:$A$1005,0))="","",INDEX(RUNS!$J$6:$J$1005,MATCH($D1832,RUNS!$A$6:$A$1005,0))),""))</f>
        <v/>
      </c>
      <c r="Q1832" s="33">
        <f>IF($D1832="","",IFERROR(IF(INDEX(RUNS!$K$6:$K$1005,MATCH($D1832,RUNS!$A$6:$A$1005,0))="","",INDEX(RUNS!$K$6:$K$1005,MATCH($D1832,RUNS!$A$6:$A$1005,0))),""))</f>
        <v/>
      </c>
      <c r="R1832" s="34">
        <f>IF(OR($L1832="",$K1832=""),"",IFERROR(IF(INDEX(PARAMETRES!$H$43:$H$342,MATCH($L1832&amp;"|"&amp;$M1832&amp;"|"&amp;$N1832&amp;"|"&amp;$O1832&amp;"|"&amp;$P1832&amp;"|"&amp;$Q1832&amp;"|"&amp;$K1832,PARAMETRES!$J$43:$J$342,0))="","",INDEX(PARAMETRES!$H$43:$H$342,MATCH($L1832&amp;"|"&amp;$M1832&amp;"|"&amp;$N1832&amp;"|"&amp;$O1832&amp;"|"&amp;$P1832&amp;"|"&amp;$Q1832&amp;"|"&amp;$K1832,PARAMETRES!$J$43:$J$342,0))),""))</f>
        <v/>
      </c>
      <c r="S1832" s="35">
        <f>IF(OR($G1832="",$X1832&lt;&gt;"VALIDE"),"",IFERROR(LOOKUP(2,1/(($B932:$B1831=$B1832)*($G932:$G1831=$G1832)*($X932:$X1831="VALIDE")),$C932:$C1831),""))</f>
        <v/>
      </c>
      <c r="T1832" s="36">
        <f>IF(OR($C1832="",$S1832=""),"",ROUND(($C1832-$S1832+IF($C1832&lt;$S1832,1,0))*1440,0))</f>
        <v/>
      </c>
      <c r="U1832" s="22">
        <f>IF(OR($H1832="",$T1832="",$T1832&lt;=0),"",$H1832*60/$T1832)</f>
        <v/>
      </c>
      <c r="V1832" s="37">
        <f>IF(OR($U1832="",$R1832="",$R1832=0),"",$U1832/$R1832)</f>
        <v/>
      </c>
      <c r="W1832" s="20">
        <f>IF($G1832="","",IF($X1832="CONTEXTE INCOMPLET","CONTEXTE INCOMPLET",IF($X1832="DOUBLON",StatutDoublon,IF($S1832="",StatutInitial,IF($R1832="",StatutStandardManquant,IF($V1832="","DONNEES INSUFFISANTES",IF($V1832&gt;=SeuilConforme,StatutConforme,IF($V1832&gt;=SeuilSurveiller,StatutSurveiller,StatutSousStandard))))))))</f>
        <v/>
      </c>
      <c r="X1832" s="33">
        <f>IF($G1832="","",IF(OR($D1832="",$E1832="",$F1832=""),"CONTEXTE INCOMPLET",IF(COUNTIFS($D932:$D1831,$D1832,$E932:$E1831,$E1832,$F932:$F1831,$F1832,$G932:$G1831,$G1832)&gt;0,"DOUBLON","VALIDE")))</f>
        <v/>
      </c>
    </row>
    <row r="1833" ht="15" customHeight="1">
      <c r="A1833" s="12">
        <f>IF(OR($B1833="",$G1833=""),"",TEXT($B1833,"YYYYMMDD")&amp;"-"&amp;SUBSTITUTE($E1833," ","")&amp;"-"&amp;$F1833&amp;"-"&amp;$G1833)</f>
        <v/>
      </c>
      <c r="B1833" s="15" t="n"/>
      <c r="C1833" s="16" t="n"/>
      <c r="D1833" s="10" t="n"/>
      <c r="E1833" s="9" t="n"/>
      <c r="F1833" s="9" t="n"/>
      <c r="G1833" s="13" t="n"/>
      <c r="H1833" s="21" t="n"/>
      <c r="I1833" s="21" t="n"/>
      <c r="J1833" s="17">
        <f>IF($G1833="","",IFERROR(INDEX(NomsEmployes,MATCH($G1833,MatriculesEmployes,0)),"MATRICULE INCONNU"))</f>
        <v/>
      </c>
      <c r="K1833" s="33">
        <f>IF(OR($D1833="",$F1833=""),"",IFERROR(IF(INDEX(RUNS!$L$6:$S$1005,MATCH($D1833,RUNS!$A$6:$A$1005,0),MATCH("ACTIVITÉ "&amp;$F1833,RUNS!$L$5:$S$5,0))="","",INDEX(RUNS!$L$6:$S$1005,MATCH($D1833,RUNS!$A$6:$A$1005,0),MATCH("ACTIVITÉ "&amp;$F1833,RUNS!$L$5:$S$5,0))),""))</f>
        <v/>
      </c>
      <c r="L1833" s="33">
        <f>IF($D1833="","",IFERROR(IF(INDEX(RUNS!$E$6:$E$1005,MATCH($D1833,RUNS!$A$6:$A$1005,0))="","",INDEX(RUNS!$E$6:$E$1005,MATCH($D1833,RUNS!$A$6:$A$1005,0))),""))</f>
        <v/>
      </c>
      <c r="M1833" s="33">
        <f>IF($D1833="","",IFERROR(IF(INDEX(RUNS!$F$6:$F$1005,MATCH($D1833,RUNS!$A$6:$A$1005,0))="","",INDEX(RUNS!$F$6:$F$1005,MATCH($D1833,RUNS!$A$6:$A$1005,0))),""))</f>
        <v/>
      </c>
      <c r="N1833" s="33">
        <f>IF($D1833="","",IFERROR(IF(INDEX(RUNS!$G$6:$G$1005,MATCH($D1833,RUNS!$A$6:$A$1005,0))="","",INDEX(RUNS!$G$6:$G$1005,MATCH($D1833,RUNS!$A$6:$A$1005,0))),""))</f>
        <v/>
      </c>
      <c r="O1833" s="33">
        <f>IF($D1833="","",IFERROR(IF(INDEX(RUNS!$H$6:$H$1005,MATCH($D1833,RUNS!$A$6:$A$1005,0))="","",INDEX(RUNS!$H$6:$H$1005,MATCH($D1833,RUNS!$A$6:$A$1005,0))),""))</f>
        <v/>
      </c>
      <c r="P1833" s="33">
        <f>IF($D1833="","",IFERROR(IF(INDEX(RUNS!$J$6:$J$1005,MATCH($D1833,RUNS!$A$6:$A$1005,0))="","",INDEX(RUNS!$J$6:$J$1005,MATCH($D1833,RUNS!$A$6:$A$1005,0))),""))</f>
        <v/>
      </c>
      <c r="Q1833" s="33">
        <f>IF($D1833="","",IFERROR(IF(INDEX(RUNS!$K$6:$K$1005,MATCH($D1833,RUNS!$A$6:$A$1005,0))="","",INDEX(RUNS!$K$6:$K$1005,MATCH($D1833,RUNS!$A$6:$A$1005,0))),""))</f>
        <v/>
      </c>
      <c r="R1833" s="34">
        <f>IF(OR($L1833="",$K1833=""),"",IFERROR(IF(INDEX(PARAMETRES!$H$43:$H$342,MATCH($L1833&amp;"|"&amp;$M1833&amp;"|"&amp;$N1833&amp;"|"&amp;$O1833&amp;"|"&amp;$P1833&amp;"|"&amp;$Q1833&amp;"|"&amp;$K1833,PARAMETRES!$J$43:$J$342,0))="","",INDEX(PARAMETRES!$H$43:$H$342,MATCH($L1833&amp;"|"&amp;$M1833&amp;"|"&amp;$N1833&amp;"|"&amp;$O1833&amp;"|"&amp;$P1833&amp;"|"&amp;$Q1833&amp;"|"&amp;$K1833,PARAMETRES!$J$43:$J$342,0))),""))</f>
        <v/>
      </c>
      <c r="S1833" s="35">
        <f>IF(OR($G1833="",$X1833&lt;&gt;"VALIDE"),"",IFERROR(LOOKUP(2,1/(($B933:$B1832=$B1833)*($G933:$G1832=$G1833)*($X933:$X1832="VALIDE")),$C933:$C1832),""))</f>
        <v/>
      </c>
      <c r="T1833" s="36">
        <f>IF(OR($C1833="",$S1833=""),"",ROUND(($C1833-$S1833+IF($C1833&lt;$S1833,1,0))*1440,0))</f>
        <v/>
      </c>
      <c r="U1833" s="22">
        <f>IF(OR($H1833="",$T1833="",$T1833&lt;=0),"",$H1833*60/$T1833)</f>
        <v/>
      </c>
      <c r="V1833" s="37">
        <f>IF(OR($U1833="",$R1833="",$R1833=0),"",$U1833/$R1833)</f>
        <v/>
      </c>
      <c r="W1833" s="20">
        <f>IF($G1833="","",IF($X1833="CONTEXTE INCOMPLET","CONTEXTE INCOMPLET",IF($X1833="DOUBLON",StatutDoublon,IF($S1833="",StatutInitial,IF($R1833="",StatutStandardManquant,IF($V1833="","DONNEES INSUFFISANTES",IF($V1833&gt;=SeuilConforme,StatutConforme,IF($V1833&gt;=SeuilSurveiller,StatutSurveiller,StatutSousStandard))))))))</f>
        <v/>
      </c>
      <c r="X1833" s="33">
        <f>IF($G1833="","",IF(OR($D1833="",$E1833="",$F1833=""),"CONTEXTE INCOMPLET",IF(COUNTIFS($D933:$D1832,$D1833,$E933:$E1832,$E1833,$F933:$F1832,$F1833,$G933:$G1832,$G1833)&gt;0,"DOUBLON","VALIDE")))</f>
        <v/>
      </c>
    </row>
    <row r="1834" ht="15" customHeight="1">
      <c r="A1834" s="12">
        <f>IF(OR($B1834="",$G1834=""),"",TEXT($B1834,"YYYYMMDD")&amp;"-"&amp;SUBSTITUTE($E1834," ","")&amp;"-"&amp;$F1834&amp;"-"&amp;$G1834)</f>
        <v/>
      </c>
      <c r="B1834" s="15" t="n"/>
      <c r="C1834" s="16" t="n"/>
      <c r="D1834" s="10" t="n"/>
      <c r="E1834" s="9" t="n"/>
      <c r="F1834" s="9" t="n"/>
      <c r="G1834" s="13" t="n"/>
      <c r="H1834" s="21" t="n"/>
      <c r="I1834" s="21" t="n"/>
      <c r="J1834" s="17">
        <f>IF($G1834="","",IFERROR(INDEX(NomsEmployes,MATCH($G1834,MatriculesEmployes,0)),"MATRICULE INCONNU"))</f>
        <v/>
      </c>
      <c r="K1834" s="33">
        <f>IF(OR($D1834="",$F1834=""),"",IFERROR(IF(INDEX(RUNS!$L$6:$S$1005,MATCH($D1834,RUNS!$A$6:$A$1005,0),MATCH("ACTIVITÉ "&amp;$F1834,RUNS!$L$5:$S$5,0))="","",INDEX(RUNS!$L$6:$S$1005,MATCH($D1834,RUNS!$A$6:$A$1005,0),MATCH("ACTIVITÉ "&amp;$F1834,RUNS!$L$5:$S$5,0))),""))</f>
        <v/>
      </c>
      <c r="L1834" s="33">
        <f>IF($D1834="","",IFERROR(IF(INDEX(RUNS!$E$6:$E$1005,MATCH($D1834,RUNS!$A$6:$A$1005,0))="","",INDEX(RUNS!$E$6:$E$1005,MATCH($D1834,RUNS!$A$6:$A$1005,0))),""))</f>
        <v/>
      </c>
      <c r="M1834" s="33">
        <f>IF($D1834="","",IFERROR(IF(INDEX(RUNS!$F$6:$F$1005,MATCH($D1834,RUNS!$A$6:$A$1005,0))="","",INDEX(RUNS!$F$6:$F$1005,MATCH($D1834,RUNS!$A$6:$A$1005,0))),""))</f>
        <v/>
      </c>
      <c r="N1834" s="33">
        <f>IF($D1834="","",IFERROR(IF(INDEX(RUNS!$G$6:$G$1005,MATCH($D1834,RUNS!$A$6:$A$1005,0))="","",INDEX(RUNS!$G$6:$G$1005,MATCH($D1834,RUNS!$A$6:$A$1005,0))),""))</f>
        <v/>
      </c>
      <c r="O1834" s="33">
        <f>IF($D1834="","",IFERROR(IF(INDEX(RUNS!$H$6:$H$1005,MATCH($D1834,RUNS!$A$6:$A$1005,0))="","",INDEX(RUNS!$H$6:$H$1005,MATCH($D1834,RUNS!$A$6:$A$1005,0))),""))</f>
        <v/>
      </c>
      <c r="P1834" s="33">
        <f>IF($D1834="","",IFERROR(IF(INDEX(RUNS!$J$6:$J$1005,MATCH($D1834,RUNS!$A$6:$A$1005,0))="","",INDEX(RUNS!$J$6:$J$1005,MATCH($D1834,RUNS!$A$6:$A$1005,0))),""))</f>
        <v/>
      </c>
      <c r="Q1834" s="33">
        <f>IF($D1834="","",IFERROR(IF(INDEX(RUNS!$K$6:$K$1005,MATCH($D1834,RUNS!$A$6:$A$1005,0))="","",INDEX(RUNS!$K$6:$K$1005,MATCH($D1834,RUNS!$A$6:$A$1005,0))),""))</f>
        <v/>
      </c>
      <c r="R1834" s="34">
        <f>IF(OR($L1834="",$K1834=""),"",IFERROR(IF(INDEX(PARAMETRES!$H$43:$H$342,MATCH($L1834&amp;"|"&amp;$M1834&amp;"|"&amp;$N1834&amp;"|"&amp;$O1834&amp;"|"&amp;$P1834&amp;"|"&amp;$Q1834&amp;"|"&amp;$K1834,PARAMETRES!$J$43:$J$342,0))="","",INDEX(PARAMETRES!$H$43:$H$342,MATCH($L1834&amp;"|"&amp;$M1834&amp;"|"&amp;$N1834&amp;"|"&amp;$O1834&amp;"|"&amp;$P1834&amp;"|"&amp;$Q1834&amp;"|"&amp;$K1834,PARAMETRES!$J$43:$J$342,0))),""))</f>
        <v/>
      </c>
      <c r="S1834" s="35">
        <f>IF(OR($G1834="",$X1834&lt;&gt;"VALIDE"),"",IFERROR(LOOKUP(2,1/(($B934:$B1833=$B1834)*($G934:$G1833=$G1834)*($X934:$X1833="VALIDE")),$C934:$C1833),""))</f>
        <v/>
      </c>
      <c r="T1834" s="36">
        <f>IF(OR($C1834="",$S1834=""),"",ROUND(($C1834-$S1834+IF($C1834&lt;$S1834,1,0))*1440,0))</f>
        <v/>
      </c>
      <c r="U1834" s="22">
        <f>IF(OR($H1834="",$T1834="",$T1834&lt;=0),"",$H1834*60/$T1834)</f>
        <v/>
      </c>
      <c r="V1834" s="37">
        <f>IF(OR($U1834="",$R1834="",$R1834=0),"",$U1834/$R1834)</f>
        <v/>
      </c>
      <c r="W1834" s="20">
        <f>IF($G1834="","",IF($X1834="CONTEXTE INCOMPLET","CONTEXTE INCOMPLET",IF($X1834="DOUBLON",StatutDoublon,IF($S1834="",StatutInitial,IF($R1834="",StatutStandardManquant,IF($V1834="","DONNEES INSUFFISANTES",IF($V1834&gt;=SeuilConforme,StatutConforme,IF($V1834&gt;=SeuilSurveiller,StatutSurveiller,StatutSousStandard))))))))</f>
        <v/>
      </c>
      <c r="X1834" s="33">
        <f>IF($G1834="","",IF(OR($D1834="",$E1834="",$F1834=""),"CONTEXTE INCOMPLET",IF(COUNTIFS($D934:$D1833,$D1834,$E934:$E1833,$E1834,$F934:$F1833,$F1834,$G934:$G1833,$G1834)&gt;0,"DOUBLON","VALIDE")))</f>
        <v/>
      </c>
    </row>
    <row r="1835" ht="15" customHeight="1">
      <c r="A1835" s="12">
        <f>IF(OR($B1835="",$G1835=""),"",TEXT($B1835,"YYYYMMDD")&amp;"-"&amp;SUBSTITUTE($E1835," ","")&amp;"-"&amp;$F1835&amp;"-"&amp;$G1835)</f>
        <v/>
      </c>
      <c r="B1835" s="15" t="n"/>
      <c r="C1835" s="16" t="n"/>
      <c r="D1835" s="10" t="n"/>
      <c r="E1835" s="9" t="n"/>
      <c r="F1835" s="9" t="n"/>
      <c r="G1835" s="13" t="n"/>
      <c r="H1835" s="21" t="n"/>
      <c r="I1835" s="21" t="n"/>
      <c r="J1835" s="17">
        <f>IF($G1835="","",IFERROR(INDEX(NomsEmployes,MATCH($G1835,MatriculesEmployes,0)),"MATRICULE INCONNU"))</f>
        <v/>
      </c>
      <c r="K1835" s="33">
        <f>IF(OR($D1835="",$F1835=""),"",IFERROR(IF(INDEX(RUNS!$L$6:$S$1005,MATCH($D1835,RUNS!$A$6:$A$1005,0),MATCH("ACTIVITÉ "&amp;$F1835,RUNS!$L$5:$S$5,0))="","",INDEX(RUNS!$L$6:$S$1005,MATCH($D1835,RUNS!$A$6:$A$1005,0),MATCH("ACTIVITÉ "&amp;$F1835,RUNS!$L$5:$S$5,0))),""))</f>
        <v/>
      </c>
      <c r="L1835" s="33">
        <f>IF($D1835="","",IFERROR(IF(INDEX(RUNS!$E$6:$E$1005,MATCH($D1835,RUNS!$A$6:$A$1005,0))="","",INDEX(RUNS!$E$6:$E$1005,MATCH($D1835,RUNS!$A$6:$A$1005,0))),""))</f>
        <v/>
      </c>
      <c r="M1835" s="33">
        <f>IF($D1835="","",IFERROR(IF(INDEX(RUNS!$F$6:$F$1005,MATCH($D1835,RUNS!$A$6:$A$1005,0))="","",INDEX(RUNS!$F$6:$F$1005,MATCH($D1835,RUNS!$A$6:$A$1005,0))),""))</f>
        <v/>
      </c>
      <c r="N1835" s="33">
        <f>IF($D1835="","",IFERROR(IF(INDEX(RUNS!$G$6:$G$1005,MATCH($D1835,RUNS!$A$6:$A$1005,0))="","",INDEX(RUNS!$G$6:$G$1005,MATCH($D1835,RUNS!$A$6:$A$1005,0))),""))</f>
        <v/>
      </c>
      <c r="O1835" s="33">
        <f>IF($D1835="","",IFERROR(IF(INDEX(RUNS!$H$6:$H$1005,MATCH($D1835,RUNS!$A$6:$A$1005,0))="","",INDEX(RUNS!$H$6:$H$1005,MATCH($D1835,RUNS!$A$6:$A$1005,0))),""))</f>
        <v/>
      </c>
      <c r="P1835" s="33">
        <f>IF($D1835="","",IFERROR(IF(INDEX(RUNS!$J$6:$J$1005,MATCH($D1835,RUNS!$A$6:$A$1005,0))="","",INDEX(RUNS!$J$6:$J$1005,MATCH($D1835,RUNS!$A$6:$A$1005,0))),""))</f>
        <v/>
      </c>
      <c r="Q1835" s="33">
        <f>IF($D1835="","",IFERROR(IF(INDEX(RUNS!$K$6:$K$1005,MATCH($D1835,RUNS!$A$6:$A$1005,0))="","",INDEX(RUNS!$K$6:$K$1005,MATCH($D1835,RUNS!$A$6:$A$1005,0))),""))</f>
        <v/>
      </c>
      <c r="R1835" s="34">
        <f>IF(OR($L1835="",$K1835=""),"",IFERROR(IF(INDEX(PARAMETRES!$H$43:$H$342,MATCH($L1835&amp;"|"&amp;$M1835&amp;"|"&amp;$N1835&amp;"|"&amp;$O1835&amp;"|"&amp;$P1835&amp;"|"&amp;$Q1835&amp;"|"&amp;$K1835,PARAMETRES!$J$43:$J$342,0))="","",INDEX(PARAMETRES!$H$43:$H$342,MATCH($L1835&amp;"|"&amp;$M1835&amp;"|"&amp;$N1835&amp;"|"&amp;$O1835&amp;"|"&amp;$P1835&amp;"|"&amp;$Q1835&amp;"|"&amp;$K1835,PARAMETRES!$J$43:$J$342,0))),""))</f>
        <v/>
      </c>
      <c r="S1835" s="35">
        <f>IF(OR($G1835="",$X1835&lt;&gt;"VALIDE"),"",IFERROR(LOOKUP(2,1/(($B935:$B1834=$B1835)*($G935:$G1834=$G1835)*($X935:$X1834="VALIDE")),$C935:$C1834),""))</f>
        <v/>
      </c>
      <c r="T1835" s="36">
        <f>IF(OR($C1835="",$S1835=""),"",ROUND(($C1835-$S1835+IF($C1835&lt;$S1835,1,0))*1440,0))</f>
        <v/>
      </c>
      <c r="U1835" s="22">
        <f>IF(OR($H1835="",$T1835="",$T1835&lt;=0),"",$H1835*60/$T1835)</f>
        <v/>
      </c>
      <c r="V1835" s="37">
        <f>IF(OR($U1835="",$R1835="",$R1835=0),"",$U1835/$R1835)</f>
        <v/>
      </c>
      <c r="W1835" s="20">
        <f>IF($G1835="","",IF($X1835="CONTEXTE INCOMPLET","CONTEXTE INCOMPLET",IF($X1835="DOUBLON",StatutDoublon,IF($S1835="",StatutInitial,IF($R1835="",StatutStandardManquant,IF($V1835="","DONNEES INSUFFISANTES",IF($V1835&gt;=SeuilConforme,StatutConforme,IF($V1835&gt;=SeuilSurveiller,StatutSurveiller,StatutSousStandard))))))))</f>
        <v/>
      </c>
      <c r="X1835" s="33">
        <f>IF($G1835="","",IF(OR($D1835="",$E1835="",$F1835=""),"CONTEXTE INCOMPLET",IF(COUNTIFS($D935:$D1834,$D1835,$E935:$E1834,$E1835,$F935:$F1834,$F1835,$G935:$G1834,$G1835)&gt;0,"DOUBLON","VALIDE")))</f>
        <v/>
      </c>
    </row>
    <row r="1836" ht="15" customHeight="1">
      <c r="A1836" s="12">
        <f>IF(OR($B1836="",$G1836=""),"",TEXT($B1836,"YYYYMMDD")&amp;"-"&amp;SUBSTITUTE($E1836," ","")&amp;"-"&amp;$F1836&amp;"-"&amp;$G1836)</f>
        <v/>
      </c>
      <c r="B1836" s="15" t="n"/>
      <c r="C1836" s="16" t="n"/>
      <c r="D1836" s="10" t="n"/>
      <c r="E1836" s="9" t="n"/>
      <c r="F1836" s="9" t="n"/>
      <c r="G1836" s="13" t="n"/>
      <c r="H1836" s="21" t="n"/>
      <c r="I1836" s="21" t="n"/>
      <c r="J1836" s="17">
        <f>IF($G1836="","",IFERROR(INDEX(NomsEmployes,MATCH($G1836,MatriculesEmployes,0)),"MATRICULE INCONNU"))</f>
        <v/>
      </c>
      <c r="K1836" s="33">
        <f>IF(OR($D1836="",$F1836=""),"",IFERROR(IF(INDEX(RUNS!$L$6:$S$1005,MATCH($D1836,RUNS!$A$6:$A$1005,0),MATCH("ACTIVITÉ "&amp;$F1836,RUNS!$L$5:$S$5,0))="","",INDEX(RUNS!$L$6:$S$1005,MATCH($D1836,RUNS!$A$6:$A$1005,0),MATCH("ACTIVITÉ "&amp;$F1836,RUNS!$L$5:$S$5,0))),""))</f>
        <v/>
      </c>
      <c r="L1836" s="33">
        <f>IF($D1836="","",IFERROR(IF(INDEX(RUNS!$E$6:$E$1005,MATCH($D1836,RUNS!$A$6:$A$1005,0))="","",INDEX(RUNS!$E$6:$E$1005,MATCH($D1836,RUNS!$A$6:$A$1005,0))),""))</f>
        <v/>
      </c>
      <c r="M1836" s="33">
        <f>IF($D1836="","",IFERROR(IF(INDEX(RUNS!$F$6:$F$1005,MATCH($D1836,RUNS!$A$6:$A$1005,0))="","",INDEX(RUNS!$F$6:$F$1005,MATCH($D1836,RUNS!$A$6:$A$1005,0))),""))</f>
        <v/>
      </c>
      <c r="N1836" s="33">
        <f>IF($D1836="","",IFERROR(IF(INDEX(RUNS!$G$6:$G$1005,MATCH($D1836,RUNS!$A$6:$A$1005,0))="","",INDEX(RUNS!$G$6:$G$1005,MATCH($D1836,RUNS!$A$6:$A$1005,0))),""))</f>
        <v/>
      </c>
      <c r="O1836" s="33">
        <f>IF($D1836="","",IFERROR(IF(INDEX(RUNS!$H$6:$H$1005,MATCH($D1836,RUNS!$A$6:$A$1005,0))="","",INDEX(RUNS!$H$6:$H$1005,MATCH($D1836,RUNS!$A$6:$A$1005,0))),""))</f>
        <v/>
      </c>
      <c r="P1836" s="33">
        <f>IF($D1836="","",IFERROR(IF(INDEX(RUNS!$J$6:$J$1005,MATCH($D1836,RUNS!$A$6:$A$1005,0))="","",INDEX(RUNS!$J$6:$J$1005,MATCH($D1836,RUNS!$A$6:$A$1005,0))),""))</f>
        <v/>
      </c>
      <c r="Q1836" s="33">
        <f>IF($D1836="","",IFERROR(IF(INDEX(RUNS!$K$6:$K$1005,MATCH($D1836,RUNS!$A$6:$A$1005,0))="","",INDEX(RUNS!$K$6:$K$1005,MATCH($D1836,RUNS!$A$6:$A$1005,0))),""))</f>
        <v/>
      </c>
      <c r="R1836" s="34">
        <f>IF(OR($L1836="",$K1836=""),"",IFERROR(IF(INDEX(PARAMETRES!$H$43:$H$342,MATCH($L1836&amp;"|"&amp;$M1836&amp;"|"&amp;$N1836&amp;"|"&amp;$O1836&amp;"|"&amp;$P1836&amp;"|"&amp;$Q1836&amp;"|"&amp;$K1836,PARAMETRES!$J$43:$J$342,0))="","",INDEX(PARAMETRES!$H$43:$H$342,MATCH($L1836&amp;"|"&amp;$M1836&amp;"|"&amp;$N1836&amp;"|"&amp;$O1836&amp;"|"&amp;$P1836&amp;"|"&amp;$Q1836&amp;"|"&amp;$K1836,PARAMETRES!$J$43:$J$342,0))),""))</f>
        <v/>
      </c>
      <c r="S1836" s="35">
        <f>IF(OR($G1836="",$X1836&lt;&gt;"VALIDE"),"",IFERROR(LOOKUP(2,1/(($B936:$B1835=$B1836)*($G936:$G1835=$G1836)*($X936:$X1835="VALIDE")),$C936:$C1835),""))</f>
        <v/>
      </c>
      <c r="T1836" s="36">
        <f>IF(OR($C1836="",$S1836=""),"",ROUND(($C1836-$S1836+IF($C1836&lt;$S1836,1,0))*1440,0))</f>
        <v/>
      </c>
      <c r="U1836" s="22">
        <f>IF(OR($H1836="",$T1836="",$T1836&lt;=0),"",$H1836*60/$T1836)</f>
        <v/>
      </c>
      <c r="V1836" s="37">
        <f>IF(OR($U1836="",$R1836="",$R1836=0),"",$U1836/$R1836)</f>
        <v/>
      </c>
      <c r="W1836" s="20">
        <f>IF($G1836="","",IF($X1836="CONTEXTE INCOMPLET","CONTEXTE INCOMPLET",IF($X1836="DOUBLON",StatutDoublon,IF($S1836="",StatutInitial,IF($R1836="",StatutStandardManquant,IF($V1836="","DONNEES INSUFFISANTES",IF($V1836&gt;=SeuilConforme,StatutConforme,IF($V1836&gt;=SeuilSurveiller,StatutSurveiller,StatutSousStandard))))))))</f>
        <v/>
      </c>
      <c r="X1836" s="33">
        <f>IF($G1836="","",IF(OR($D1836="",$E1836="",$F1836=""),"CONTEXTE INCOMPLET",IF(COUNTIFS($D936:$D1835,$D1836,$E936:$E1835,$E1836,$F936:$F1835,$F1836,$G936:$G1835,$G1836)&gt;0,"DOUBLON","VALIDE")))</f>
        <v/>
      </c>
    </row>
    <row r="1837" ht="15" customHeight="1">
      <c r="A1837" s="12">
        <f>IF(OR($B1837="",$G1837=""),"",TEXT($B1837,"YYYYMMDD")&amp;"-"&amp;SUBSTITUTE($E1837," ","")&amp;"-"&amp;$F1837&amp;"-"&amp;$G1837)</f>
        <v/>
      </c>
      <c r="B1837" s="15" t="n"/>
      <c r="C1837" s="16" t="n"/>
      <c r="D1837" s="10" t="n"/>
      <c r="E1837" s="9" t="n"/>
      <c r="F1837" s="9" t="n"/>
      <c r="G1837" s="13" t="n"/>
      <c r="H1837" s="21" t="n"/>
      <c r="I1837" s="21" t="n"/>
      <c r="J1837" s="17">
        <f>IF($G1837="","",IFERROR(INDEX(NomsEmployes,MATCH($G1837,MatriculesEmployes,0)),"MATRICULE INCONNU"))</f>
        <v/>
      </c>
      <c r="K1837" s="33">
        <f>IF(OR($D1837="",$F1837=""),"",IFERROR(IF(INDEX(RUNS!$L$6:$S$1005,MATCH($D1837,RUNS!$A$6:$A$1005,0),MATCH("ACTIVITÉ "&amp;$F1837,RUNS!$L$5:$S$5,0))="","",INDEX(RUNS!$L$6:$S$1005,MATCH($D1837,RUNS!$A$6:$A$1005,0),MATCH("ACTIVITÉ "&amp;$F1837,RUNS!$L$5:$S$5,0))),""))</f>
        <v/>
      </c>
      <c r="L1837" s="33">
        <f>IF($D1837="","",IFERROR(IF(INDEX(RUNS!$E$6:$E$1005,MATCH($D1837,RUNS!$A$6:$A$1005,0))="","",INDEX(RUNS!$E$6:$E$1005,MATCH($D1837,RUNS!$A$6:$A$1005,0))),""))</f>
        <v/>
      </c>
      <c r="M1837" s="33">
        <f>IF($D1837="","",IFERROR(IF(INDEX(RUNS!$F$6:$F$1005,MATCH($D1837,RUNS!$A$6:$A$1005,0))="","",INDEX(RUNS!$F$6:$F$1005,MATCH($D1837,RUNS!$A$6:$A$1005,0))),""))</f>
        <v/>
      </c>
      <c r="N1837" s="33">
        <f>IF($D1837="","",IFERROR(IF(INDEX(RUNS!$G$6:$G$1005,MATCH($D1837,RUNS!$A$6:$A$1005,0))="","",INDEX(RUNS!$G$6:$G$1005,MATCH($D1837,RUNS!$A$6:$A$1005,0))),""))</f>
        <v/>
      </c>
      <c r="O1837" s="33">
        <f>IF($D1837="","",IFERROR(IF(INDEX(RUNS!$H$6:$H$1005,MATCH($D1837,RUNS!$A$6:$A$1005,0))="","",INDEX(RUNS!$H$6:$H$1005,MATCH($D1837,RUNS!$A$6:$A$1005,0))),""))</f>
        <v/>
      </c>
      <c r="P1837" s="33">
        <f>IF($D1837="","",IFERROR(IF(INDEX(RUNS!$J$6:$J$1005,MATCH($D1837,RUNS!$A$6:$A$1005,0))="","",INDEX(RUNS!$J$6:$J$1005,MATCH($D1837,RUNS!$A$6:$A$1005,0))),""))</f>
        <v/>
      </c>
      <c r="Q1837" s="33">
        <f>IF($D1837="","",IFERROR(IF(INDEX(RUNS!$K$6:$K$1005,MATCH($D1837,RUNS!$A$6:$A$1005,0))="","",INDEX(RUNS!$K$6:$K$1005,MATCH($D1837,RUNS!$A$6:$A$1005,0))),""))</f>
        <v/>
      </c>
      <c r="R1837" s="34">
        <f>IF(OR($L1837="",$K1837=""),"",IFERROR(IF(INDEX(PARAMETRES!$H$43:$H$342,MATCH($L1837&amp;"|"&amp;$M1837&amp;"|"&amp;$N1837&amp;"|"&amp;$O1837&amp;"|"&amp;$P1837&amp;"|"&amp;$Q1837&amp;"|"&amp;$K1837,PARAMETRES!$J$43:$J$342,0))="","",INDEX(PARAMETRES!$H$43:$H$342,MATCH($L1837&amp;"|"&amp;$M1837&amp;"|"&amp;$N1837&amp;"|"&amp;$O1837&amp;"|"&amp;$P1837&amp;"|"&amp;$Q1837&amp;"|"&amp;$K1837,PARAMETRES!$J$43:$J$342,0))),""))</f>
        <v/>
      </c>
      <c r="S1837" s="35">
        <f>IF(OR($G1837="",$X1837&lt;&gt;"VALIDE"),"",IFERROR(LOOKUP(2,1/(($B937:$B1836=$B1837)*($G937:$G1836=$G1837)*($X937:$X1836="VALIDE")),$C937:$C1836),""))</f>
        <v/>
      </c>
      <c r="T1837" s="36">
        <f>IF(OR($C1837="",$S1837=""),"",ROUND(($C1837-$S1837+IF($C1837&lt;$S1837,1,0))*1440,0))</f>
        <v/>
      </c>
      <c r="U1837" s="22">
        <f>IF(OR($H1837="",$T1837="",$T1837&lt;=0),"",$H1837*60/$T1837)</f>
        <v/>
      </c>
      <c r="V1837" s="37">
        <f>IF(OR($U1837="",$R1837="",$R1837=0),"",$U1837/$R1837)</f>
        <v/>
      </c>
      <c r="W1837" s="20">
        <f>IF($G1837="","",IF($X1837="CONTEXTE INCOMPLET","CONTEXTE INCOMPLET",IF($X1837="DOUBLON",StatutDoublon,IF($S1837="",StatutInitial,IF($R1837="",StatutStandardManquant,IF($V1837="","DONNEES INSUFFISANTES",IF($V1837&gt;=SeuilConforme,StatutConforme,IF($V1837&gt;=SeuilSurveiller,StatutSurveiller,StatutSousStandard))))))))</f>
        <v/>
      </c>
      <c r="X1837" s="33">
        <f>IF($G1837="","",IF(OR($D1837="",$E1837="",$F1837=""),"CONTEXTE INCOMPLET",IF(COUNTIFS($D937:$D1836,$D1837,$E937:$E1836,$E1837,$F937:$F1836,$F1837,$G937:$G1836,$G1837)&gt;0,"DOUBLON","VALIDE")))</f>
        <v/>
      </c>
    </row>
    <row r="1838" ht="15" customHeight="1">
      <c r="A1838" s="12">
        <f>IF(OR($B1838="",$G1838=""),"",TEXT($B1838,"YYYYMMDD")&amp;"-"&amp;SUBSTITUTE($E1838," ","")&amp;"-"&amp;$F1838&amp;"-"&amp;$G1838)</f>
        <v/>
      </c>
      <c r="B1838" s="15" t="n"/>
      <c r="C1838" s="16" t="n"/>
      <c r="D1838" s="10" t="n"/>
      <c r="E1838" s="9" t="n"/>
      <c r="F1838" s="9" t="n"/>
      <c r="G1838" s="13" t="n"/>
      <c r="H1838" s="21" t="n"/>
      <c r="I1838" s="21" t="n"/>
      <c r="J1838" s="17">
        <f>IF($G1838="","",IFERROR(INDEX(NomsEmployes,MATCH($G1838,MatriculesEmployes,0)),"MATRICULE INCONNU"))</f>
        <v/>
      </c>
      <c r="K1838" s="33">
        <f>IF(OR($D1838="",$F1838=""),"",IFERROR(IF(INDEX(RUNS!$L$6:$S$1005,MATCH($D1838,RUNS!$A$6:$A$1005,0),MATCH("ACTIVITÉ "&amp;$F1838,RUNS!$L$5:$S$5,0))="","",INDEX(RUNS!$L$6:$S$1005,MATCH($D1838,RUNS!$A$6:$A$1005,0),MATCH("ACTIVITÉ "&amp;$F1838,RUNS!$L$5:$S$5,0))),""))</f>
        <v/>
      </c>
      <c r="L1838" s="33">
        <f>IF($D1838="","",IFERROR(IF(INDEX(RUNS!$E$6:$E$1005,MATCH($D1838,RUNS!$A$6:$A$1005,0))="","",INDEX(RUNS!$E$6:$E$1005,MATCH($D1838,RUNS!$A$6:$A$1005,0))),""))</f>
        <v/>
      </c>
      <c r="M1838" s="33">
        <f>IF($D1838="","",IFERROR(IF(INDEX(RUNS!$F$6:$F$1005,MATCH($D1838,RUNS!$A$6:$A$1005,0))="","",INDEX(RUNS!$F$6:$F$1005,MATCH($D1838,RUNS!$A$6:$A$1005,0))),""))</f>
        <v/>
      </c>
      <c r="N1838" s="33">
        <f>IF($D1838="","",IFERROR(IF(INDEX(RUNS!$G$6:$G$1005,MATCH($D1838,RUNS!$A$6:$A$1005,0))="","",INDEX(RUNS!$G$6:$G$1005,MATCH($D1838,RUNS!$A$6:$A$1005,0))),""))</f>
        <v/>
      </c>
      <c r="O1838" s="33">
        <f>IF($D1838="","",IFERROR(IF(INDEX(RUNS!$H$6:$H$1005,MATCH($D1838,RUNS!$A$6:$A$1005,0))="","",INDEX(RUNS!$H$6:$H$1005,MATCH($D1838,RUNS!$A$6:$A$1005,0))),""))</f>
        <v/>
      </c>
      <c r="P1838" s="33">
        <f>IF($D1838="","",IFERROR(IF(INDEX(RUNS!$J$6:$J$1005,MATCH($D1838,RUNS!$A$6:$A$1005,0))="","",INDEX(RUNS!$J$6:$J$1005,MATCH($D1838,RUNS!$A$6:$A$1005,0))),""))</f>
        <v/>
      </c>
      <c r="Q1838" s="33">
        <f>IF($D1838="","",IFERROR(IF(INDEX(RUNS!$K$6:$K$1005,MATCH($D1838,RUNS!$A$6:$A$1005,0))="","",INDEX(RUNS!$K$6:$K$1005,MATCH($D1838,RUNS!$A$6:$A$1005,0))),""))</f>
        <v/>
      </c>
      <c r="R1838" s="34">
        <f>IF(OR($L1838="",$K1838=""),"",IFERROR(IF(INDEX(PARAMETRES!$H$43:$H$342,MATCH($L1838&amp;"|"&amp;$M1838&amp;"|"&amp;$N1838&amp;"|"&amp;$O1838&amp;"|"&amp;$P1838&amp;"|"&amp;$Q1838&amp;"|"&amp;$K1838,PARAMETRES!$J$43:$J$342,0))="","",INDEX(PARAMETRES!$H$43:$H$342,MATCH($L1838&amp;"|"&amp;$M1838&amp;"|"&amp;$N1838&amp;"|"&amp;$O1838&amp;"|"&amp;$P1838&amp;"|"&amp;$Q1838&amp;"|"&amp;$K1838,PARAMETRES!$J$43:$J$342,0))),""))</f>
        <v/>
      </c>
      <c r="S1838" s="35">
        <f>IF(OR($G1838="",$X1838&lt;&gt;"VALIDE"),"",IFERROR(LOOKUP(2,1/(($B938:$B1837=$B1838)*($G938:$G1837=$G1838)*($X938:$X1837="VALIDE")),$C938:$C1837),""))</f>
        <v/>
      </c>
      <c r="T1838" s="36">
        <f>IF(OR($C1838="",$S1838=""),"",ROUND(($C1838-$S1838+IF($C1838&lt;$S1838,1,0))*1440,0))</f>
        <v/>
      </c>
      <c r="U1838" s="22">
        <f>IF(OR($H1838="",$T1838="",$T1838&lt;=0),"",$H1838*60/$T1838)</f>
        <v/>
      </c>
      <c r="V1838" s="37">
        <f>IF(OR($U1838="",$R1838="",$R1838=0),"",$U1838/$R1838)</f>
        <v/>
      </c>
      <c r="W1838" s="20">
        <f>IF($G1838="","",IF($X1838="CONTEXTE INCOMPLET","CONTEXTE INCOMPLET",IF($X1838="DOUBLON",StatutDoublon,IF($S1838="",StatutInitial,IF($R1838="",StatutStandardManquant,IF($V1838="","DONNEES INSUFFISANTES",IF($V1838&gt;=SeuilConforme,StatutConforme,IF($V1838&gt;=SeuilSurveiller,StatutSurveiller,StatutSousStandard))))))))</f>
        <v/>
      </c>
      <c r="X1838" s="33">
        <f>IF($G1838="","",IF(OR($D1838="",$E1838="",$F1838=""),"CONTEXTE INCOMPLET",IF(COUNTIFS($D938:$D1837,$D1838,$E938:$E1837,$E1838,$F938:$F1837,$F1838,$G938:$G1837,$G1838)&gt;0,"DOUBLON","VALIDE")))</f>
        <v/>
      </c>
    </row>
    <row r="1839" ht="15" customHeight="1">
      <c r="A1839" s="12">
        <f>IF(OR($B1839="",$G1839=""),"",TEXT($B1839,"YYYYMMDD")&amp;"-"&amp;SUBSTITUTE($E1839," ","")&amp;"-"&amp;$F1839&amp;"-"&amp;$G1839)</f>
        <v/>
      </c>
      <c r="B1839" s="15" t="n"/>
      <c r="C1839" s="16" t="n"/>
      <c r="D1839" s="10" t="n"/>
      <c r="E1839" s="9" t="n"/>
      <c r="F1839" s="9" t="n"/>
      <c r="G1839" s="13" t="n"/>
      <c r="H1839" s="21" t="n"/>
      <c r="I1839" s="21" t="n"/>
      <c r="J1839" s="17">
        <f>IF($G1839="","",IFERROR(INDEX(NomsEmployes,MATCH($G1839,MatriculesEmployes,0)),"MATRICULE INCONNU"))</f>
        <v/>
      </c>
      <c r="K1839" s="33">
        <f>IF(OR($D1839="",$F1839=""),"",IFERROR(IF(INDEX(RUNS!$L$6:$S$1005,MATCH($D1839,RUNS!$A$6:$A$1005,0),MATCH("ACTIVITÉ "&amp;$F1839,RUNS!$L$5:$S$5,0))="","",INDEX(RUNS!$L$6:$S$1005,MATCH($D1839,RUNS!$A$6:$A$1005,0),MATCH("ACTIVITÉ "&amp;$F1839,RUNS!$L$5:$S$5,0))),""))</f>
        <v/>
      </c>
      <c r="L1839" s="33">
        <f>IF($D1839="","",IFERROR(IF(INDEX(RUNS!$E$6:$E$1005,MATCH($D1839,RUNS!$A$6:$A$1005,0))="","",INDEX(RUNS!$E$6:$E$1005,MATCH($D1839,RUNS!$A$6:$A$1005,0))),""))</f>
        <v/>
      </c>
      <c r="M1839" s="33">
        <f>IF($D1839="","",IFERROR(IF(INDEX(RUNS!$F$6:$F$1005,MATCH($D1839,RUNS!$A$6:$A$1005,0))="","",INDEX(RUNS!$F$6:$F$1005,MATCH($D1839,RUNS!$A$6:$A$1005,0))),""))</f>
        <v/>
      </c>
      <c r="N1839" s="33">
        <f>IF($D1839="","",IFERROR(IF(INDEX(RUNS!$G$6:$G$1005,MATCH($D1839,RUNS!$A$6:$A$1005,0))="","",INDEX(RUNS!$G$6:$G$1005,MATCH($D1839,RUNS!$A$6:$A$1005,0))),""))</f>
        <v/>
      </c>
      <c r="O1839" s="33">
        <f>IF($D1839="","",IFERROR(IF(INDEX(RUNS!$H$6:$H$1005,MATCH($D1839,RUNS!$A$6:$A$1005,0))="","",INDEX(RUNS!$H$6:$H$1005,MATCH($D1839,RUNS!$A$6:$A$1005,0))),""))</f>
        <v/>
      </c>
      <c r="P1839" s="33">
        <f>IF($D1839="","",IFERROR(IF(INDEX(RUNS!$J$6:$J$1005,MATCH($D1839,RUNS!$A$6:$A$1005,0))="","",INDEX(RUNS!$J$6:$J$1005,MATCH($D1839,RUNS!$A$6:$A$1005,0))),""))</f>
        <v/>
      </c>
      <c r="Q1839" s="33">
        <f>IF($D1839="","",IFERROR(IF(INDEX(RUNS!$K$6:$K$1005,MATCH($D1839,RUNS!$A$6:$A$1005,0))="","",INDEX(RUNS!$K$6:$K$1005,MATCH($D1839,RUNS!$A$6:$A$1005,0))),""))</f>
        <v/>
      </c>
      <c r="R1839" s="34">
        <f>IF(OR($L1839="",$K1839=""),"",IFERROR(IF(INDEX(PARAMETRES!$H$43:$H$342,MATCH($L1839&amp;"|"&amp;$M1839&amp;"|"&amp;$N1839&amp;"|"&amp;$O1839&amp;"|"&amp;$P1839&amp;"|"&amp;$Q1839&amp;"|"&amp;$K1839,PARAMETRES!$J$43:$J$342,0))="","",INDEX(PARAMETRES!$H$43:$H$342,MATCH($L1839&amp;"|"&amp;$M1839&amp;"|"&amp;$N1839&amp;"|"&amp;$O1839&amp;"|"&amp;$P1839&amp;"|"&amp;$Q1839&amp;"|"&amp;$K1839,PARAMETRES!$J$43:$J$342,0))),""))</f>
        <v/>
      </c>
      <c r="S1839" s="35">
        <f>IF(OR($G1839="",$X1839&lt;&gt;"VALIDE"),"",IFERROR(LOOKUP(2,1/(($B939:$B1838=$B1839)*($G939:$G1838=$G1839)*($X939:$X1838="VALIDE")),$C939:$C1838),""))</f>
        <v/>
      </c>
      <c r="T1839" s="36">
        <f>IF(OR($C1839="",$S1839=""),"",ROUND(($C1839-$S1839+IF($C1839&lt;$S1839,1,0))*1440,0))</f>
        <v/>
      </c>
      <c r="U1839" s="22">
        <f>IF(OR($H1839="",$T1839="",$T1839&lt;=0),"",$H1839*60/$T1839)</f>
        <v/>
      </c>
      <c r="V1839" s="37">
        <f>IF(OR($U1839="",$R1839="",$R1839=0),"",$U1839/$R1839)</f>
        <v/>
      </c>
      <c r="W1839" s="20">
        <f>IF($G1839="","",IF($X1839="CONTEXTE INCOMPLET","CONTEXTE INCOMPLET",IF($X1839="DOUBLON",StatutDoublon,IF($S1839="",StatutInitial,IF($R1839="",StatutStandardManquant,IF($V1839="","DONNEES INSUFFISANTES",IF($V1839&gt;=SeuilConforme,StatutConforme,IF($V1839&gt;=SeuilSurveiller,StatutSurveiller,StatutSousStandard))))))))</f>
        <v/>
      </c>
      <c r="X1839" s="33">
        <f>IF($G1839="","",IF(OR($D1839="",$E1839="",$F1839=""),"CONTEXTE INCOMPLET",IF(COUNTIFS($D939:$D1838,$D1839,$E939:$E1838,$E1839,$F939:$F1838,$F1839,$G939:$G1838,$G1839)&gt;0,"DOUBLON","VALIDE")))</f>
        <v/>
      </c>
    </row>
    <row r="1840" ht="15" customHeight="1">
      <c r="A1840" s="12">
        <f>IF(OR($B1840="",$G1840=""),"",TEXT($B1840,"YYYYMMDD")&amp;"-"&amp;SUBSTITUTE($E1840," ","")&amp;"-"&amp;$F1840&amp;"-"&amp;$G1840)</f>
        <v/>
      </c>
      <c r="B1840" s="15" t="n"/>
      <c r="C1840" s="16" t="n"/>
      <c r="D1840" s="10" t="n"/>
      <c r="E1840" s="9" t="n"/>
      <c r="F1840" s="9" t="n"/>
      <c r="G1840" s="13" t="n"/>
      <c r="H1840" s="21" t="n"/>
      <c r="I1840" s="21" t="n"/>
      <c r="J1840" s="17">
        <f>IF($G1840="","",IFERROR(INDEX(NomsEmployes,MATCH($G1840,MatriculesEmployes,0)),"MATRICULE INCONNU"))</f>
        <v/>
      </c>
      <c r="K1840" s="33">
        <f>IF(OR($D1840="",$F1840=""),"",IFERROR(IF(INDEX(RUNS!$L$6:$S$1005,MATCH($D1840,RUNS!$A$6:$A$1005,0),MATCH("ACTIVITÉ "&amp;$F1840,RUNS!$L$5:$S$5,0))="","",INDEX(RUNS!$L$6:$S$1005,MATCH($D1840,RUNS!$A$6:$A$1005,0),MATCH("ACTIVITÉ "&amp;$F1840,RUNS!$L$5:$S$5,0))),""))</f>
        <v/>
      </c>
      <c r="L1840" s="33">
        <f>IF($D1840="","",IFERROR(IF(INDEX(RUNS!$E$6:$E$1005,MATCH($D1840,RUNS!$A$6:$A$1005,0))="","",INDEX(RUNS!$E$6:$E$1005,MATCH($D1840,RUNS!$A$6:$A$1005,0))),""))</f>
        <v/>
      </c>
      <c r="M1840" s="33">
        <f>IF($D1840="","",IFERROR(IF(INDEX(RUNS!$F$6:$F$1005,MATCH($D1840,RUNS!$A$6:$A$1005,0))="","",INDEX(RUNS!$F$6:$F$1005,MATCH($D1840,RUNS!$A$6:$A$1005,0))),""))</f>
        <v/>
      </c>
      <c r="N1840" s="33">
        <f>IF($D1840="","",IFERROR(IF(INDEX(RUNS!$G$6:$G$1005,MATCH($D1840,RUNS!$A$6:$A$1005,0))="","",INDEX(RUNS!$G$6:$G$1005,MATCH($D1840,RUNS!$A$6:$A$1005,0))),""))</f>
        <v/>
      </c>
      <c r="O1840" s="33">
        <f>IF($D1840="","",IFERROR(IF(INDEX(RUNS!$H$6:$H$1005,MATCH($D1840,RUNS!$A$6:$A$1005,0))="","",INDEX(RUNS!$H$6:$H$1005,MATCH($D1840,RUNS!$A$6:$A$1005,0))),""))</f>
        <v/>
      </c>
      <c r="P1840" s="33">
        <f>IF($D1840="","",IFERROR(IF(INDEX(RUNS!$J$6:$J$1005,MATCH($D1840,RUNS!$A$6:$A$1005,0))="","",INDEX(RUNS!$J$6:$J$1005,MATCH($D1840,RUNS!$A$6:$A$1005,0))),""))</f>
        <v/>
      </c>
      <c r="Q1840" s="33">
        <f>IF($D1840="","",IFERROR(IF(INDEX(RUNS!$K$6:$K$1005,MATCH($D1840,RUNS!$A$6:$A$1005,0))="","",INDEX(RUNS!$K$6:$K$1005,MATCH($D1840,RUNS!$A$6:$A$1005,0))),""))</f>
        <v/>
      </c>
      <c r="R1840" s="34">
        <f>IF(OR($L1840="",$K1840=""),"",IFERROR(IF(INDEX(PARAMETRES!$H$43:$H$342,MATCH($L1840&amp;"|"&amp;$M1840&amp;"|"&amp;$N1840&amp;"|"&amp;$O1840&amp;"|"&amp;$P1840&amp;"|"&amp;$Q1840&amp;"|"&amp;$K1840,PARAMETRES!$J$43:$J$342,0))="","",INDEX(PARAMETRES!$H$43:$H$342,MATCH($L1840&amp;"|"&amp;$M1840&amp;"|"&amp;$N1840&amp;"|"&amp;$O1840&amp;"|"&amp;$P1840&amp;"|"&amp;$Q1840&amp;"|"&amp;$K1840,PARAMETRES!$J$43:$J$342,0))),""))</f>
        <v/>
      </c>
      <c r="S1840" s="35">
        <f>IF(OR($G1840="",$X1840&lt;&gt;"VALIDE"),"",IFERROR(LOOKUP(2,1/(($B940:$B1839=$B1840)*($G940:$G1839=$G1840)*($X940:$X1839="VALIDE")),$C940:$C1839),""))</f>
        <v/>
      </c>
      <c r="T1840" s="36">
        <f>IF(OR($C1840="",$S1840=""),"",ROUND(($C1840-$S1840+IF($C1840&lt;$S1840,1,0))*1440,0))</f>
        <v/>
      </c>
      <c r="U1840" s="22">
        <f>IF(OR($H1840="",$T1840="",$T1840&lt;=0),"",$H1840*60/$T1840)</f>
        <v/>
      </c>
      <c r="V1840" s="37">
        <f>IF(OR($U1840="",$R1840="",$R1840=0),"",$U1840/$R1840)</f>
        <v/>
      </c>
      <c r="W1840" s="20">
        <f>IF($G1840="","",IF($X1840="CONTEXTE INCOMPLET","CONTEXTE INCOMPLET",IF($X1840="DOUBLON",StatutDoublon,IF($S1840="",StatutInitial,IF($R1840="",StatutStandardManquant,IF($V1840="","DONNEES INSUFFISANTES",IF($V1840&gt;=SeuilConforme,StatutConforme,IF($V1840&gt;=SeuilSurveiller,StatutSurveiller,StatutSousStandard))))))))</f>
        <v/>
      </c>
      <c r="X1840" s="33">
        <f>IF($G1840="","",IF(OR($D1840="",$E1840="",$F1840=""),"CONTEXTE INCOMPLET",IF(COUNTIFS($D940:$D1839,$D1840,$E940:$E1839,$E1840,$F940:$F1839,$F1840,$G940:$G1839,$G1840)&gt;0,"DOUBLON","VALIDE")))</f>
        <v/>
      </c>
    </row>
    <row r="1841" ht="15" customHeight="1">
      <c r="A1841" s="12">
        <f>IF(OR($B1841="",$G1841=""),"",TEXT($B1841,"YYYYMMDD")&amp;"-"&amp;SUBSTITUTE($E1841," ","")&amp;"-"&amp;$F1841&amp;"-"&amp;$G1841)</f>
        <v/>
      </c>
      <c r="B1841" s="15" t="n"/>
      <c r="C1841" s="16" t="n"/>
      <c r="D1841" s="10" t="n"/>
      <c r="E1841" s="9" t="n"/>
      <c r="F1841" s="9" t="n"/>
      <c r="G1841" s="13" t="n"/>
      <c r="H1841" s="21" t="n"/>
      <c r="I1841" s="21" t="n"/>
      <c r="J1841" s="17">
        <f>IF($G1841="","",IFERROR(INDEX(NomsEmployes,MATCH($G1841,MatriculesEmployes,0)),"MATRICULE INCONNU"))</f>
        <v/>
      </c>
      <c r="K1841" s="33">
        <f>IF(OR($D1841="",$F1841=""),"",IFERROR(IF(INDEX(RUNS!$L$6:$S$1005,MATCH($D1841,RUNS!$A$6:$A$1005,0),MATCH("ACTIVITÉ "&amp;$F1841,RUNS!$L$5:$S$5,0))="","",INDEX(RUNS!$L$6:$S$1005,MATCH($D1841,RUNS!$A$6:$A$1005,0),MATCH("ACTIVITÉ "&amp;$F1841,RUNS!$L$5:$S$5,0))),""))</f>
        <v/>
      </c>
      <c r="L1841" s="33">
        <f>IF($D1841="","",IFERROR(IF(INDEX(RUNS!$E$6:$E$1005,MATCH($D1841,RUNS!$A$6:$A$1005,0))="","",INDEX(RUNS!$E$6:$E$1005,MATCH($D1841,RUNS!$A$6:$A$1005,0))),""))</f>
        <v/>
      </c>
      <c r="M1841" s="33">
        <f>IF($D1841="","",IFERROR(IF(INDEX(RUNS!$F$6:$F$1005,MATCH($D1841,RUNS!$A$6:$A$1005,0))="","",INDEX(RUNS!$F$6:$F$1005,MATCH($D1841,RUNS!$A$6:$A$1005,0))),""))</f>
        <v/>
      </c>
      <c r="N1841" s="33">
        <f>IF($D1841="","",IFERROR(IF(INDEX(RUNS!$G$6:$G$1005,MATCH($D1841,RUNS!$A$6:$A$1005,0))="","",INDEX(RUNS!$G$6:$G$1005,MATCH($D1841,RUNS!$A$6:$A$1005,0))),""))</f>
        <v/>
      </c>
      <c r="O1841" s="33">
        <f>IF($D1841="","",IFERROR(IF(INDEX(RUNS!$H$6:$H$1005,MATCH($D1841,RUNS!$A$6:$A$1005,0))="","",INDEX(RUNS!$H$6:$H$1005,MATCH($D1841,RUNS!$A$6:$A$1005,0))),""))</f>
        <v/>
      </c>
      <c r="P1841" s="33">
        <f>IF($D1841="","",IFERROR(IF(INDEX(RUNS!$J$6:$J$1005,MATCH($D1841,RUNS!$A$6:$A$1005,0))="","",INDEX(RUNS!$J$6:$J$1005,MATCH($D1841,RUNS!$A$6:$A$1005,0))),""))</f>
        <v/>
      </c>
      <c r="Q1841" s="33">
        <f>IF($D1841="","",IFERROR(IF(INDEX(RUNS!$K$6:$K$1005,MATCH($D1841,RUNS!$A$6:$A$1005,0))="","",INDEX(RUNS!$K$6:$K$1005,MATCH($D1841,RUNS!$A$6:$A$1005,0))),""))</f>
        <v/>
      </c>
      <c r="R1841" s="34">
        <f>IF(OR($L1841="",$K1841=""),"",IFERROR(IF(INDEX(PARAMETRES!$H$43:$H$342,MATCH($L1841&amp;"|"&amp;$M1841&amp;"|"&amp;$N1841&amp;"|"&amp;$O1841&amp;"|"&amp;$P1841&amp;"|"&amp;$Q1841&amp;"|"&amp;$K1841,PARAMETRES!$J$43:$J$342,0))="","",INDEX(PARAMETRES!$H$43:$H$342,MATCH($L1841&amp;"|"&amp;$M1841&amp;"|"&amp;$N1841&amp;"|"&amp;$O1841&amp;"|"&amp;$P1841&amp;"|"&amp;$Q1841&amp;"|"&amp;$K1841,PARAMETRES!$J$43:$J$342,0))),""))</f>
        <v/>
      </c>
      <c r="S1841" s="35">
        <f>IF(OR($G1841="",$X1841&lt;&gt;"VALIDE"),"",IFERROR(LOOKUP(2,1/(($B941:$B1840=$B1841)*($G941:$G1840=$G1841)*($X941:$X1840="VALIDE")),$C941:$C1840),""))</f>
        <v/>
      </c>
      <c r="T1841" s="36">
        <f>IF(OR($C1841="",$S1841=""),"",ROUND(($C1841-$S1841+IF($C1841&lt;$S1841,1,0))*1440,0))</f>
        <v/>
      </c>
      <c r="U1841" s="22">
        <f>IF(OR($H1841="",$T1841="",$T1841&lt;=0),"",$H1841*60/$T1841)</f>
        <v/>
      </c>
      <c r="V1841" s="37">
        <f>IF(OR($U1841="",$R1841="",$R1841=0),"",$U1841/$R1841)</f>
        <v/>
      </c>
      <c r="W1841" s="20">
        <f>IF($G1841="","",IF($X1841="CONTEXTE INCOMPLET","CONTEXTE INCOMPLET",IF($X1841="DOUBLON",StatutDoublon,IF($S1841="",StatutInitial,IF($R1841="",StatutStandardManquant,IF($V1841="","DONNEES INSUFFISANTES",IF($V1841&gt;=SeuilConforme,StatutConforme,IF($V1841&gt;=SeuilSurveiller,StatutSurveiller,StatutSousStandard))))))))</f>
        <v/>
      </c>
      <c r="X1841" s="33">
        <f>IF($G1841="","",IF(OR($D1841="",$E1841="",$F1841=""),"CONTEXTE INCOMPLET",IF(COUNTIFS($D941:$D1840,$D1841,$E941:$E1840,$E1841,$F941:$F1840,$F1841,$G941:$G1840,$G1841)&gt;0,"DOUBLON","VALIDE")))</f>
        <v/>
      </c>
    </row>
    <row r="1842" ht="15" customHeight="1">
      <c r="A1842" s="12">
        <f>IF(OR($B1842="",$G1842=""),"",TEXT($B1842,"YYYYMMDD")&amp;"-"&amp;SUBSTITUTE($E1842," ","")&amp;"-"&amp;$F1842&amp;"-"&amp;$G1842)</f>
        <v/>
      </c>
      <c r="B1842" s="15" t="n"/>
      <c r="C1842" s="16" t="n"/>
      <c r="D1842" s="10" t="n"/>
      <c r="E1842" s="9" t="n"/>
      <c r="F1842" s="9" t="n"/>
      <c r="G1842" s="13" t="n"/>
      <c r="H1842" s="21" t="n"/>
      <c r="I1842" s="21" t="n"/>
      <c r="J1842" s="17">
        <f>IF($G1842="","",IFERROR(INDEX(NomsEmployes,MATCH($G1842,MatriculesEmployes,0)),"MATRICULE INCONNU"))</f>
        <v/>
      </c>
      <c r="K1842" s="33">
        <f>IF(OR($D1842="",$F1842=""),"",IFERROR(IF(INDEX(RUNS!$L$6:$S$1005,MATCH($D1842,RUNS!$A$6:$A$1005,0),MATCH("ACTIVITÉ "&amp;$F1842,RUNS!$L$5:$S$5,0))="","",INDEX(RUNS!$L$6:$S$1005,MATCH($D1842,RUNS!$A$6:$A$1005,0),MATCH("ACTIVITÉ "&amp;$F1842,RUNS!$L$5:$S$5,0))),""))</f>
        <v/>
      </c>
      <c r="L1842" s="33">
        <f>IF($D1842="","",IFERROR(IF(INDEX(RUNS!$E$6:$E$1005,MATCH($D1842,RUNS!$A$6:$A$1005,0))="","",INDEX(RUNS!$E$6:$E$1005,MATCH($D1842,RUNS!$A$6:$A$1005,0))),""))</f>
        <v/>
      </c>
      <c r="M1842" s="33">
        <f>IF($D1842="","",IFERROR(IF(INDEX(RUNS!$F$6:$F$1005,MATCH($D1842,RUNS!$A$6:$A$1005,0))="","",INDEX(RUNS!$F$6:$F$1005,MATCH($D1842,RUNS!$A$6:$A$1005,0))),""))</f>
        <v/>
      </c>
      <c r="N1842" s="33">
        <f>IF($D1842="","",IFERROR(IF(INDEX(RUNS!$G$6:$G$1005,MATCH($D1842,RUNS!$A$6:$A$1005,0))="","",INDEX(RUNS!$G$6:$G$1005,MATCH($D1842,RUNS!$A$6:$A$1005,0))),""))</f>
        <v/>
      </c>
      <c r="O1842" s="33">
        <f>IF($D1842="","",IFERROR(IF(INDEX(RUNS!$H$6:$H$1005,MATCH($D1842,RUNS!$A$6:$A$1005,0))="","",INDEX(RUNS!$H$6:$H$1005,MATCH($D1842,RUNS!$A$6:$A$1005,0))),""))</f>
        <v/>
      </c>
      <c r="P1842" s="33">
        <f>IF($D1842="","",IFERROR(IF(INDEX(RUNS!$J$6:$J$1005,MATCH($D1842,RUNS!$A$6:$A$1005,0))="","",INDEX(RUNS!$J$6:$J$1005,MATCH($D1842,RUNS!$A$6:$A$1005,0))),""))</f>
        <v/>
      </c>
      <c r="Q1842" s="33">
        <f>IF($D1842="","",IFERROR(IF(INDEX(RUNS!$K$6:$K$1005,MATCH($D1842,RUNS!$A$6:$A$1005,0))="","",INDEX(RUNS!$K$6:$K$1005,MATCH($D1842,RUNS!$A$6:$A$1005,0))),""))</f>
        <v/>
      </c>
      <c r="R1842" s="34">
        <f>IF(OR($L1842="",$K1842=""),"",IFERROR(IF(INDEX(PARAMETRES!$H$43:$H$342,MATCH($L1842&amp;"|"&amp;$M1842&amp;"|"&amp;$N1842&amp;"|"&amp;$O1842&amp;"|"&amp;$P1842&amp;"|"&amp;$Q1842&amp;"|"&amp;$K1842,PARAMETRES!$J$43:$J$342,0))="","",INDEX(PARAMETRES!$H$43:$H$342,MATCH($L1842&amp;"|"&amp;$M1842&amp;"|"&amp;$N1842&amp;"|"&amp;$O1842&amp;"|"&amp;$P1842&amp;"|"&amp;$Q1842&amp;"|"&amp;$K1842,PARAMETRES!$J$43:$J$342,0))),""))</f>
        <v/>
      </c>
      <c r="S1842" s="35">
        <f>IF(OR($G1842="",$X1842&lt;&gt;"VALIDE"),"",IFERROR(LOOKUP(2,1/(($B942:$B1841=$B1842)*($G942:$G1841=$G1842)*($X942:$X1841="VALIDE")),$C942:$C1841),""))</f>
        <v/>
      </c>
      <c r="T1842" s="36">
        <f>IF(OR($C1842="",$S1842=""),"",ROUND(($C1842-$S1842+IF($C1842&lt;$S1842,1,0))*1440,0))</f>
        <v/>
      </c>
      <c r="U1842" s="22">
        <f>IF(OR($H1842="",$T1842="",$T1842&lt;=0),"",$H1842*60/$T1842)</f>
        <v/>
      </c>
      <c r="V1842" s="37">
        <f>IF(OR($U1842="",$R1842="",$R1842=0),"",$U1842/$R1842)</f>
        <v/>
      </c>
      <c r="W1842" s="20">
        <f>IF($G1842="","",IF($X1842="CONTEXTE INCOMPLET","CONTEXTE INCOMPLET",IF($X1842="DOUBLON",StatutDoublon,IF($S1842="",StatutInitial,IF($R1842="",StatutStandardManquant,IF($V1842="","DONNEES INSUFFISANTES",IF($V1842&gt;=SeuilConforme,StatutConforme,IF($V1842&gt;=SeuilSurveiller,StatutSurveiller,StatutSousStandard))))))))</f>
        <v/>
      </c>
      <c r="X1842" s="33">
        <f>IF($G1842="","",IF(OR($D1842="",$E1842="",$F1842=""),"CONTEXTE INCOMPLET",IF(COUNTIFS($D942:$D1841,$D1842,$E942:$E1841,$E1842,$F942:$F1841,$F1842,$G942:$G1841,$G1842)&gt;0,"DOUBLON","VALIDE")))</f>
        <v/>
      </c>
    </row>
    <row r="1843" ht="15" customHeight="1">
      <c r="A1843" s="12">
        <f>IF(OR($B1843="",$G1843=""),"",TEXT($B1843,"YYYYMMDD")&amp;"-"&amp;SUBSTITUTE($E1843," ","")&amp;"-"&amp;$F1843&amp;"-"&amp;$G1843)</f>
        <v/>
      </c>
      <c r="B1843" s="15" t="n"/>
      <c r="C1843" s="16" t="n"/>
      <c r="D1843" s="10" t="n"/>
      <c r="E1843" s="9" t="n"/>
      <c r="F1843" s="9" t="n"/>
      <c r="G1843" s="13" t="n"/>
      <c r="H1843" s="21" t="n"/>
      <c r="I1843" s="21" t="n"/>
      <c r="J1843" s="17">
        <f>IF($G1843="","",IFERROR(INDEX(NomsEmployes,MATCH($G1843,MatriculesEmployes,0)),"MATRICULE INCONNU"))</f>
        <v/>
      </c>
      <c r="K1843" s="33">
        <f>IF(OR($D1843="",$F1843=""),"",IFERROR(IF(INDEX(RUNS!$L$6:$S$1005,MATCH($D1843,RUNS!$A$6:$A$1005,0),MATCH("ACTIVITÉ "&amp;$F1843,RUNS!$L$5:$S$5,0))="","",INDEX(RUNS!$L$6:$S$1005,MATCH($D1843,RUNS!$A$6:$A$1005,0),MATCH("ACTIVITÉ "&amp;$F1843,RUNS!$L$5:$S$5,0))),""))</f>
        <v/>
      </c>
      <c r="L1843" s="33">
        <f>IF($D1843="","",IFERROR(IF(INDEX(RUNS!$E$6:$E$1005,MATCH($D1843,RUNS!$A$6:$A$1005,0))="","",INDEX(RUNS!$E$6:$E$1005,MATCH($D1843,RUNS!$A$6:$A$1005,0))),""))</f>
        <v/>
      </c>
      <c r="M1843" s="33">
        <f>IF($D1843="","",IFERROR(IF(INDEX(RUNS!$F$6:$F$1005,MATCH($D1843,RUNS!$A$6:$A$1005,0))="","",INDEX(RUNS!$F$6:$F$1005,MATCH($D1843,RUNS!$A$6:$A$1005,0))),""))</f>
        <v/>
      </c>
      <c r="N1843" s="33">
        <f>IF($D1843="","",IFERROR(IF(INDEX(RUNS!$G$6:$G$1005,MATCH($D1843,RUNS!$A$6:$A$1005,0))="","",INDEX(RUNS!$G$6:$G$1005,MATCH($D1843,RUNS!$A$6:$A$1005,0))),""))</f>
        <v/>
      </c>
      <c r="O1843" s="33">
        <f>IF($D1843="","",IFERROR(IF(INDEX(RUNS!$H$6:$H$1005,MATCH($D1843,RUNS!$A$6:$A$1005,0))="","",INDEX(RUNS!$H$6:$H$1005,MATCH($D1843,RUNS!$A$6:$A$1005,0))),""))</f>
        <v/>
      </c>
      <c r="P1843" s="33">
        <f>IF($D1843="","",IFERROR(IF(INDEX(RUNS!$J$6:$J$1005,MATCH($D1843,RUNS!$A$6:$A$1005,0))="","",INDEX(RUNS!$J$6:$J$1005,MATCH($D1843,RUNS!$A$6:$A$1005,0))),""))</f>
        <v/>
      </c>
      <c r="Q1843" s="33">
        <f>IF($D1843="","",IFERROR(IF(INDEX(RUNS!$K$6:$K$1005,MATCH($D1843,RUNS!$A$6:$A$1005,0))="","",INDEX(RUNS!$K$6:$K$1005,MATCH($D1843,RUNS!$A$6:$A$1005,0))),""))</f>
        <v/>
      </c>
      <c r="R1843" s="34">
        <f>IF(OR($L1843="",$K1843=""),"",IFERROR(IF(INDEX(PARAMETRES!$H$43:$H$342,MATCH($L1843&amp;"|"&amp;$M1843&amp;"|"&amp;$N1843&amp;"|"&amp;$O1843&amp;"|"&amp;$P1843&amp;"|"&amp;$Q1843&amp;"|"&amp;$K1843,PARAMETRES!$J$43:$J$342,0))="","",INDEX(PARAMETRES!$H$43:$H$342,MATCH($L1843&amp;"|"&amp;$M1843&amp;"|"&amp;$N1843&amp;"|"&amp;$O1843&amp;"|"&amp;$P1843&amp;"|"&amp;$Q1843&amp;"|"&amp;$K1843,PARAMETRES!$J$43:$J$342,0))),""))</f>
        <v/>
      </c>
      <c r="S1843" s="35">
        <f>IF(OR($G1843="",$X1843&lt;&gt;"VALIDE"),"",IFERROR(LOOKUP(2,1/(($B943:$B1842=$B1843)*($G943:$G1842=$G1843)*($X943:$X1842="VALIDE")),$C943:$C1842),""))</f>
        <v/>
      </c>
      <c r="T1843" s="36">
        <f>IF(OR($C1843="",$S1843=""),"",ROUND(($C1843-$S1843+IF($C1843&lt;$S1843,1,0))*1440,0))</f>
        <v/>
      </c>
      <c r="U1843" s="22">
        <f>IF(OR($H1843="",$T1843="",$T1843&lt;=0),"",$H1843*60/$T1843)</f>
        <v/>
      </c>
      <c r="V1843" s="37">
        <f>IF(OR($U1843="",$R1843="",$R1843=0),"",$U1843/$R1843)</f>
        <v/>
      </c>
      <c r="W1843" s="20">
        <f>IF($G1843="","",IF($X1843="CONTEXTE INCOMPLET","CONTEXTE INCOMPLET",IF($X1843="DOUBLON",StatutDoublon,IF($S1843="",StatutInitial,IF($R1843="",StatutStandardManquant,IF($V1843="","DONNEES INSUFFISANTES",IF($V1843&gt;=SeuilConforme,StatutConforme,IF($V1843&gt;=SeuilSurveiller,StatutSurveiller,StatutSousStandard))))))))</f>
        <v/>
      </c>
      <c r="X1843" s="33">
        <f>IF($G1843="","",IF(OR($D1843="",$E1843="",$F1843=""),"CONTEXTE INCOMPLET",IF(COUNTIFS($D943:$D1842,$D1843,$E943:$E1842,$E1843,$F943:$F1842,$F1843,$G943:$G1842,$G1843)&gt;0,"DOUBLON","VALIDE")))</f>
        <v/>
      </c>
    </row>
    <row r="1844" ht="15" customHeight="1">
      <c r="A1844" s="12">
        <f>IF(OR($B1844="",$G1844=""),"",TEXT($B1844,"YYYYMMDD")&amp;"-"&amp;SUBSTITUTE($E1844," ","")&amp;"-"&amp;$F1844&amp;"-"&amp;$G1844)</f>
        <v/>
      </c>
      <c r="B1844" s="15" t="n"/>
      <c r="C1844" s="16" t="n"/>
      <c r="D1844" s="10" t="n"/>
      <c r="E1844" s="9" t="n"/>
      <c r="F1844" s="9" t="n"/>
      <c r="G1844" s="13" t="n"/>
      <c r="H1844" s="21" t="n"/>
      <c r="I1844" s="21" t="n"/>
      <c r="J1844" s="17">
        <f>IF($G1844="","",IFERROR(INDEX(NomsEmployes,MATCH($G1844,MatriculesEmployes,0)),"MATRICULE INCONNU"))</f>
        <v/>
      </c>
      <c r="K1844" s="33">
        <f>IF(OR($D1844="",$F1844=""),"",IFERROR(IF(INDEX(RUNS!$L$6:$S$1005,MATCH($D1844,RUNS!$A$6:$A$1005,0),MATCH("ACTIVITÉ "&amp;$F1844,RUNS!$L$5:$S$5,0))="","",INDEX(RUNS!$L$6:$S$1005,MATCH($D1844,RUNS!$A$6:$A$1005,0),MATCH("ACTIVITÉ "&amp;$F1844,RUNS!$L$5:$S$5,0))),""))</f>
        <v/>
      </c>
      <c r="L1844" s="33">
        <f>IF($D1844="","",IFERROR(IF(INDEX(RUNS!$E$6:$E$1005,MATCH($D1844,RUNS!$A$6:$A$1005,0))="","",INDEX(RUNS!$E$6:$E$1005,MATCH($D1844,RUNS!$A$6:$A$1005,0))),""))</f>
        <v/>
      </c>
      <c r="M1844" s="33">
        <f>IF($D1844="","",IFERROR(IF(INDEX(RUNS!$F$6:$F$1005,MATCH($D1844,RUNS!$A$6:$A$1005,0))="","",INDEX(RUNS!$F$6:$F$1005,MATCH($D1844,RUNS!$A$6:$A$1005,0))),""))</f>
        <v/>
      </c>
      <c r="N1844" s="33">
        <f>IF($D1844="","",IFERROR(IF(INDEX(RUNS!$G$6:$G$1005,MATCH($D1844,RUNS!$A$6:$A$1005,0))="","",INDEX(RUNS!$G$6:$G$1005,MATCH($D1844,RUNS!$A$6:$A$1005,0))),""))</f>
        <v/>
      </c>
      <c r="O1844" s="33">
        <f>IF($D1844="","",IFERROR(IF(INDEX(RUNS!$H$6:$H$1005,MATCH($D1844,RUNS!$A$6:$A$1005,0))="","",INDEX(RUNS!$H$6:$H$1005,MATCH($D1844,RUNS!$A$6:$A$1005,0))),""))</f>
        <v/>
      </c>
      <c r="P1844" s="33">
        <f>IF($D1844="","",IFERROR(IF(INDEX(RUNS!$J$6:$J$1005,MATCH($D1844,RUNS!$A$6:$A$1005,0))="","",INDEX(RUNS!$J$6:$J$1005,MATCH($D1844,RUNS!$A$6:$A$1005,0))),""))</f>
        <v/>
      </c>
      <c r="Q1844" s="33">
        <f>IF($D1844="","",IFERROR(IF(INDEX(RUNS!$K$6:$K$1005,MATCH($D1844,RUNS!$A$6:$A$1005,0))="","",INDEX(RUNS!$K$6:$K$1005,MATCH($D1844,RUNS!$A$6:$A$1005,0))),""))</f>
        <v/>
      </c>
      <c r="R1844" s="34">
        <f>IF(OR($L1844="",$K1844=""),"",IFERROR(IF(INDEX(PARAMETRES!$H$43:$H$342,MATCH($L1844&amp;"|"&amp;$M1844&amp;"|"&amp;$N1844&amp;"|"&amp;$O1844&amp;"|"&amp;$P1844&amp;"|"&amp;$Q1844&amp;"|"&amp;$K1844,PARAMETRES!$J$43:$J$342,0))="","",INDEX(PARAMETRES!$H$43:$H$342,MATCH($L1844&amp;"|"&amp;$M1844&amp;"|"&amp;$N1844&amp;"|"&amp;$O1844&amp;"|"&amp;$P1844&amp;"|"&amp;$Q1844&amp;"|"&amp;$K1844,PARAMETRES!$J$43:$J$342,0))),""))</f>
        <v/>
      </c>
      <c r="S1844" s="35">
        <f>IF(OR($G1844="",$X1844&lt;&gt;"VALIDE"),"",IFERROR(LOOKUP(2,1/(($B944:$B1843=$B1844)*($G944:$G1843=$G1844)*($X944:$X1843="VALIDE")),$C944:$C1843),""))</f>
        <v/>
      </c>
      <c r="T1844" s="36">
        <f>IF(OR($C1844="",$S1844=""),"",ROUND(($C1844-$S1844+IF($C1844&lt;$S1844,1,0))*1440,0))</f>
        <v/>
      </c>
      <c r="U1844" s="22">
        <f>IF(OR($H1844="",$T1844="",$T1844&lt;=0),"",$H1844*60/$T1844)</f>
        <v/>
      </c>
      <c r="V1844" s="37">
        <f>IF(OR($U1844="",$R1844="",$R1844=0),"",$U1844/$R1844)</f>
        <v/>
      </c>
      <c r="W1844" s="20">
        <f>IF($G1844="","",IF($X1844="CONTEXTE INCOMPLET","CONTEXTE INCOMPLET",IF($X1844="DOUBLON",StatutDoublon,IF($S1844="",StatutInitial,IF($R1844="",StatutStandardManquant,IF($V1844="","DONNEES INSUFFISANTES",IF($V1844&gt;=SeuilConforme,StatutConforme,IF($V1844&gt;=SeuilSurveiller,StatutSurveiller,StatutSousStandard))))))))</f>
        <v/>
      </c>
      <c r="X1844" s="33">
        <f>IF($G1844="","",IF(OR($D1844="",$E1844="",$F1844=""),"CONTEXTE INCOMPLET",IF(COUNTIFS($D944:$D1843,$D1844,$E944:$E1843,$E1844,$F944:$F1843,$F1844,$G944:$G1843,$G1844)&gt;0,"DOUBLON","VALIDE")))</f>
        <v/>
      </c>
    </row>
    <row r="1845" ht="15" customHeight="1">
      <c r="A1845" s="12">
        <f>IF(OR($B1845="",$G1845=""),"",TEXT($B1845,"YYYYMMDD")&amp;"-"&amp;SUBSTITUTE($E1845," ","")&amp;"-"&amp;$F1845&amp;"-"&amp;$G1845)</f>
        <v/>
      </c>
      <c r="B1845" s="15" t="n"/>
      <c r="C1845" s="16" t="n"/>
      <c r="D1845" s="10" t="n"/>
      <c r="E1845" s="9" t="n"/>
      <c r="F1845" s="9" t="n"/>
      <c r="G1845" s="13" t="n"/>
      <c r="H1845" s="21" t="n"/>
      <c r="I1845" s="21" t="n"/>
      <c r="J1845" s="17">
        <f>IF($G1845="","",IFERROR(INDEX(NomsEmployes,MATCH($G1845,MatriculesEmployes,0)),"MATRICULE INCONNU"))</f>
        <v/>
      </c>
      <c r="K1845" s="33">
        <f>IF(OR($D1845="",$F1845=""),"",IFERROR(IF(INDEX(RUNS!$L$6:$S$1005,MATCH($D1845,RUNS!$A$6:$A$1005,0),MATCH("ACTIVITÉ "&amp;$F1845,RUNS!$L$5:$S$5,0))="","",INDEX(RUNS!$L$6:$S$1005,MATCH($D1845,RUNS!$A$6:$A$1005,0),MATCH("ACTIVITÉ "&amp;$F1845,RUNS!$L$5:$S$5,0))),""))</f>
        <v/>
      </c>
      <c r="L1845" s="33">
        <f>IF($D1845="","",IFERROR(IF(INDEX(RUNS!$E$6:$E$1005,MATCH($D1845,RUNS!$A$6:$A$1005,0))="","",INDEX(RUNS!$E$6:$E$1005,MATCH($D1845,RUNS!$A$6:$A$1005,0))),""))</f>
        <v/>
      </c>
      <c r="M1845" s="33">
        <f>IF($D1845="","",IFERROR(IF(INDEX(RUNS!$F$6:$F$1005,MATCH($D1845,RUNS!$A$6:$A$1005,0))="","",INDEX(RUNS!$F$6:$F$1005,MATCH($D1845,RUNS!$A$6:$A$1005,0))),""))</f>
        <v/>
      </c>
      <c r="N1845" s="33">
        <f>IF($D1845="","",IFERROR(IF(INDEX(RUNS!$G$6:$G$1005,MATCH($D1845,RUNS!$A$6:$A$1005,0))="","",INDEX(RUNS!$G$6:$G$1005,MATCH($D1845,RUNS!$A$6:$A$1005,0))),""))</f>
        <v/>
      </c>
      <c r="O1845" s="33">
        <f>IF($D1845="","",IFERROR(IF(INDEX(RUNS!$H$6:$H$1005,MATCH($D1845,RUNS!$A$6:$A$1005,0))="","",INDEX(RUNS!$H$6:$H$1005,MATCH($D1845,RUNS!$A$6:$A$1005,0))),""))</f>
        <v/>
      </c>
      <c r="P1845" s="33">
        <f>IF($D1845="","",IFERROR(IF(INDEX(RUNS!$J$6:$J$1005,MATCH($D1845,RUNS!$A$6:$A$1005,0))="","",INDEX(RUNS!$J$6:$J$1005,MATCH($D1845,RUNS!$A$6:$A$1005,0))),""))</f>
        <v/>
      </c>
      <c r="Q1845" s="33">
        <f>IF($D1845="","",IFERROR(IF(INDEX(RUNS!$K$6:$K$1005,MATCH($D1845,RUNS!$A$6:$A$1005,0))="","",INDEX(RUNS!$K$6:$K$1005,MATCH($D1845,RUNS!$A$6:$A$1005,0))),""))</f>
        <v/>
      </c>
      <c r="R1845" s="34">
        <f>IF(OR($L1845="",$K1845=""),"",IFERROR(IF(INDEX(PARAMETRES!$H$43:$H$342,MATCH($L1845&amp;"|"&amp;$M1845&amp;"|"&amp;$N1845&amp;"|"&amp;$O1845&amp;"|"&amp;$P1845&amp;"|"&amp;$Q1845&amp;"|"&amp;$K1845,PARAMETRES!$J$43:$J$342,0))="","",INDEX(PARAMETRES!$H$43:$H$342,MATCH($L1845&amp;"|"&amp;$M1845&amp;"|"&amp;$N1845&amp;"|"&amp;$O1845&amp;"|"&amp;$P1845&amp;"|"&amp;$Q1845&amp;"|"&amp;$K1845,PARAMETRES!$J$43:$J$342,0))),""))</f>
        <v/>
      </c>
      <c r="S1845" s="35">
        <f>IF(OR($G1845="",$X1845&lt;&gt;"VALIDE"),"",IFERROR(LOOKUP(2,1/(($B945:$B1844=$B1845)*($G945:$G1844=$G1845)*($X945:$X1844="VALIDE")),$C945:$C1844),""))</f>
        <v/>
      </c>
      <c r="T1845" s="36">
        <f>IF(OR($C1845="",$S1845=""),"",ROUND(($C1845-$S1845+IF($C1845&lt;$S1845,1,0))*1440,0))</f>
        <v/>
      </c>
      <c r="U1845" s="22">
        <f>IF(OR($H1845="",$T1845="",$T1845&lt;=0),"",$H1845*60/$T1845)</f>
        <v/>
      </c>
      <c r="V1845" s="37">
        <f>IF(OR($U1845="",$R1845="",$R1845=0),"",$U1845/$R1845)</f>
        <v/>
      </c>
      <c r="W1845" s="20">
        <f>IF($G1845="","",IF($X1845="CONTEXTE INCOMPLET","CONTEXTE INCOMPLET",IF($X1845="DOUBLON",StatutDoublon,IF($S1845="",StatutInitial,IF($R1845="",StatutStandardManquant,IF($V1845="","DONNEES INSUFFISANTES",IF($V1845&gt;=SeuilConforme,StatutConforme,IF($V1845&gt;=SeuilSurveiller,StatutSurveiller,StatutSousStandard))))))))</f>
        <v/>
      </c>
      <c r="X1845" s="33">
        <f>IF($G1845="","",IF(OR($D1845="",$E1845="",$F1845=""),"CONTEXTE INCOMPLET",IF(COUNTIFS($D945:$D1844,$D1845,$E945:$E1844,$E1845,$F945:$F1844,$F1845,$G945:$G1844,$G1845)&gt;0,"DOUBLON","VALIDE")))</f>
        <v/>
      </c>
    </row>
    <row r="1846" ht="15" customHeight="1">
      <c r="A1846" s="12">
        <f>IF(OR($B1846="",$G1846=""),"",TEXT($B1846,"YYYYMMDD")&amp;"-"&amp;SUBSTITUTE($E1846," ","")&amp;"-"&amp;$F1846&amp;"-"&amp;$G1846)</f>
        <v/>
      </c>
      <c r="B1846" s="15" t="n"/>
      <c r="C1846" s="16" t="n"/>
      <c r="D1846" s="10" t="n"/>
      <c r="E1846" s="9" t="n"/>
      <c r="F1846" s="9" t="n"/>
      <c r="G1846" s="13" t="n"/>
      <c r="H1846" s="21" t="n"/>
      <c r="I1846" s="21" t="n"/>
      <c r="J1846" s="17">
        <f>IF($G1846="","",IFERROR(INDEX(NomsEmployes,MATCH($G1846,MatriculesEmployes,0)),"MATRICULE INCONNU"))</f>
        <v/>
      </c>
      <c r="K1846" s="33">
        <f>IF(OR($D1846="",$F1846=""),"",IFERROR(IF(INDEX(RUNS!$L$6:$S$1005,MATCH($D1846,RUNS!$A$6:$A$1005,0),MATCH("ACTIVITÉ "&amp;$F1846,RUNS!$L$5:$S$5,0))="","",INDEX(RUNS!$L$6:$S$1005,MATCH($D1846,RUNS!$A$6:$A$1005,0),MATCH("ACTIVITÉ "&amp;$F1846,RUNS!$L$5:$S$5,0))),""))</f>
        <v/>
      </c>
      <c r="L1846" s="33">
        <f>IF($D1846="","",IFERROR(IF(INDEX(RUNS!$E$6:$E$1005,MATCH($D1846,RUNS!$A$6:$A$1005,0))="","",INDEX(RUNS!$E$6:$E$1005,MATCH($D1846,RUNS!$A$6:$A$1005,0))),""))</f>
        <v/>
      </c>
      <c r="M1846" s="33">
        <f>IF($D1846="","",IFERROR(IF(INDEX(RUNS!$F$6:$F$1005,MATCH($D1846,RUNS!$A$6:$A$1005,0))="","",INDEX(RUNS!$F$6:$F$1005,MATCH($D1846,RUNS!$A$6:$A$1005,0))),""))</f>
        <v/>
      </c>
      <c r="N1846" s="33">
        <f>IF($D1846="","",IFERROR(IF(INDEX(RUNS!$G$6:$G$1005,MATCH($D1846,RUNS!$A$6:$A$1005,0))="","",INDEX(RUNS!$G$6:$G$1005,MATCH($D1846,RUNS!$A$6:$A$1005,0))),""))</f>
        <v/>
      </c>
      <c r="O1846" s="33">
        <f>IF($D1846="","",IFERROR(IF(INDEX(RUNS!$H$6:$H$1005,MATCH($D1846,RUNS!$A$6:$A$1005,0))="","",INDEX(RUNS!$H$6:$H$1005,MATCH($D1846,RUNS!$A$6:$A$1005,0))),""))</f>
        <v/>
      </c>
      <c r="P1846" s="33">
        <f>IF($D1846="","",IFERROR(IF(INDEX(RUNS!$J$6:$J$1005,MATCH($D1846,RUNS!$A$6:$A$1005,0))="","",INDEX(RUNS!$J$6:$J$1005,MATCH($D1846,RUNS!$A$6:$A$1005,0))),""))</f>
        <v/>
      </c>
      <c r="Q1846" s="33">
        <f>IF($D1846="","",IFERROR(IF(INDEX(RUNS!$K$6:$K$1005,MATCH($D1846,RUNS!$A$6:$A$1005,0))="","",INDEX(RUNS!$K$6:$K$1005,MATCH($D1846,RUNS!$A$6:$A$1005,0))),""))</f>
        <v/>
      </c>
      <c r="R1846" s="34">
        <f>IF(OR($L1846="",$K1846=""),"",IFERROR(IF(INDEX(PARAMETRES!$H$43:$H$342,MATCH($L1846&amp;"|"&amp;$M1846&amp;"|"&amp;$N1846&amp;"|"&amp;$O1846&amp;"|"&amp;$P1846&amp;"|"&amp;$Q1846&amp;"|"&amp;$K1846,PARAMETRES!$J$43:$J$342,0))="","",INDEX(PARAMETRES!$H$43:$H$342,MATCH($L1846&amp;"|"&amp;$M1846&amp;"|"&amp;$N1846&amp;"|"&amp;$O1846&amp;"|"&amp;$P1846&amp;"|"&amp;$Q1846&amp;"|"&amp;$K1846,PARAMETRES!$J$43:$J$342,0))),""))</f>
        <v/>
      </c>
      <c r="S1846" s="35">
        <f>IF(OR($G1846="",$X1846&lt;&gt;"VALIDE"),"",IFERROR(LOOKUP(2,1/(($B946:$B1845=$B1846)*($G946:$G1845=$G1846)*($X946:$X1845="VALIDE")),$C946:$C1845),""))</f>
        <v/>
      </c>
      <c r="T1846" s="36">
        <f>IF(OR($C1846="",$S1846=""),"",ROUND(($C1846-$S1846+IF($C1846&lt;$S1846,1,0))*1440,0))</f>
        <v/>
      </c>
      <c r="U1846" s="22">
        <f>IF(OR($H1846="",$T1846="",$T1846&lt;=0),"",$H1846*60/$T1846)</f>
        <v/>
      </c>
      <c r="V1846" s="37">
        <f>IF(OR($U1846="",$R1846="",$R1846=0),"",$U1846/$R1846)</f>
        <v/>
      </c>
      <c r="W1846" s="20">
        <f>IF($G1846="","",IF($X1846="CONTEXTE INCOMPLET","CONTEXTE INCOMPLET",IF($X1846="DOUBLON",StatutDoublon,IF($S1846="",StatutInitial,IF($R1846="",StatutStandardManquant,IF($V1846="","DONNEES INSUFFISANTES",IF($V1846&gt;=SeuilConforme,StatutConforme,IF($V1846&gt;=SeuilSurveiller,StatutSurveiller,StatutSousStandard))))))))</f>
        <v/>
      </c>
      <c r="X1846" s="33">
        <f>IF($G1846="","",IF(OR($D1846="",$E1846="",$F1846=""),"CONTEXTE INCOMPLET",IF(COUNTIFS($D946:$D1845,$D1846,$E946:$E1845,$E1846,$F946:$F1845,$F1846,$G946:$G1845,$G1846)&gt;0,"DOUBLON","VALIDE")))</f>
        <v/>
      </c>
    </row>
    <row r="1847" ht="15" customHeight="1">
      <c r="A1847" s="12">
        <f>IF(OR($B1847="",$G1847=""),"",TEXT($B1847,"YYYYMMDD")&amp;"-"&amp;SUBSTITUTE($E1847," ","")&amp;"-"&amp;$F1847&amp;"-"&amp;$G1847)</f>
        <v/>
      </c>
      <c r="B1847" s="15" t="n"/>
      <c r="C1847" s="16" t="n"/>
      <c r="D1847" s="10" t="n"/>
      <c r="E1847" s="9" t="n"/>
      <c r="F1847" s="9" t="n"/>
      <c r="G1847" s="13" t="n"/>
      <c r="H1847" s="21" t="n"/>
      <c r="I1847" s="21" t="n"/>
      <c r="J1847" s="17">
        <f>IF($G1847="","",IFERROR(INDEX(NomsEmployes,MATCH($G1847,MatriculesEmployes,0)),"MATRICULE INCONNU"))</f>
        <v/>
      </c>
      <c r="K1847" s="33">
        <f>IF(OR($D1847="",$F1847=""),"",IFERROR(IF(INDEX(RUNS!$L$6:$S$1005,MATCH($D1847,RUNS!$A$6:$A$1005,0),MATCH("ACTIVITÉ "&amp;$F1847,RUNS!$L$5:$S$5,0))="","",INDEX(RUNS!$L$6:$S$1005,MATCH($D1847,RUNS!$A$6:$A$1005,0),MATCH("ACTIVITÉ "&amp;$F1847,RUNS!$L$5:$S$5,0))),""))</f>
        <v/>
      </c>
      <c r="L1847" s="33">
        <f>IF($D1847="","",IFERROR(IF(INDEX(RUNS!$E$6:$E$1005,MATCH($D1847,RUNS!$A$6:$A$1005,0))="","",INDEX(RUNS!$E$6:$E$1005,MATCH($D1847,RUNS!$A$6:$A$1005,0))),""))</f>
        <v/>
      </c>
      <c r="M1847" s="33">
        <f>IF($D1847="","",IFERROR(IF(INDEX(RUNS!$F$6:$F$1005,MATCH($D1847,RUNS!$A$6:$A$1005,0))="","",INDEX(RUNS!$F$6:$F$1005,MATCH($D1847,RUNS!$A$6:$A$1005,0))),""))</f>
        <v/>
      </c>
      <c r="N1847" s="33">
        <f>IF($D1847="","",IFERROR(IF(INDEX(RUNS!$G$6:$G$1005,MATCH($D1847,RUNS!$A$6:$A$1005,0))="","",INDEX(RUNS!$G$6:$G$1005,MATCH($D1847,RUNS!$A$6:$A$1005,0))),""))</f>
        <v/>
      </c>
      <c r="O1847" s="33">
        <f>IF($D1847="","",IFERROR(IF(INDEX(RUNS!$H$6:$H$1005,MATCH($D1847,RUNS!$A$6:$A$1005,0))="","",INDEX(RUNS!$H$6:$H$1005,MATCH($D1847,RUNS!$A$6:$A$1005,0))),""))</f>
        <v/>
      </c>
      <c r="P1847" s="33">
        <f>IF($D1847="","",IFERROR(IF(INDEX(RUNS!$J$6:$J$1005,MATCH($D1847,RUNS!$A$6:$A$1005,0))="","",INDEX(RUNS!$J$6:$J$1005,MATCH($D1847,RUNS!$A$6:$A$1005,0))),""))</f>
        <v/>
      </c>
      <c r="Q1847" s="33">
        <f>IF($D1847="","",IFERROR(IF(INDEX(RUNS!$K$6:$K$1005,MATCH($D1847,RUNS!$A$6:$A$1005,0))="","",INDEX(RUNS!$K$6:$K$1005,MATCH($D1847,RUNS!$A$6:$A$1005,0))),""))</f>
        <v/>
      </c>
      <c r="R1847" s="34">
        <f>IF(OR($L1847="",$K1847=""),"",IFERROR(IF(INDEX(PARAMETRES!$H$43:$H$342,MATCH($L1847&amp;"|"&amp;$M1847&amp;"|"&amp;$N1847&amp;"|"&amp;$O1847&amp;"|"&amp;$P1847&amp;"|"&amp;$Q1847&amp;"|"&amp;$K1847,PARAMETRES!$J$43:$J$342,0))="","",INDEX(PARAMETRES!$H$43:$H$342,MATCH($L1847&amp;"|"&amp;$M1847&amp;"|"&amp;$N1847&amp;"|"&amp;$O1847&amp;"|"&amp;$P1847&amp;"|"&amp;$Q1847&amp;"|"&amp;$K1847,PARAMETRES!$J$43:$J$342,0))),""))</f>
        <v/>
      </c>
      <c r="S1847" s="35">
        <f>IF(OR($G1847="",$X1847&lt;&gt;"VALIDE"),"",IFERROR(LOOKUP(2,1/(($B947:$B1846=$B1847)*($G947:$G1846=$G1847)*($X947:$X1846="VALIDE")),$C947:$C1846),""))</f>
        <v/>
      </c>
      <c r="T1847" s="36">
        <f>IF(OR($C1847="",$S1847=""),"",ROUND(($C1847-$S1847+IF($C1847&lt;$S1847,1,0))*1440,0))</f>
        <v/>
      </c>
      <c r="U1847" s="22">
        <f>IF(OR($H1847="",$T1847="",$T1847&lt;=0),"",$H1847*60/$T1847)</f>
        <v/>
      </c>
      <c r="V1847" s="37">
        <f>IF(OR($U1847="",$R1847="",$R1847=0),"",$U1847/$R1847)</f>
        <v/>
      </c>
      <c r="W1847" s="20">
        <f>IF($G1847="","",IF($X1847="CONTEXTE INCOMPLET","CONTEXTE INCOMPLET",IF($X1847="DOUBLON",StatutDoublon,IF($S1847="",StatutInitial,IF($R1847="",StatutStandardManquant,IF($V1847="","DONNEES INSUFFISANTES",IF($V1847&gt;=SeuilConforme,StatutConforme,IF($V1847&gt;=SeuilSurveiller,StatutSurveiller,StatutSousStandard))))))))</f>
        <v/>
      </c>
      <c r="X1847" s="33">
        <f>IF($G1847="","",IF(OR($D1847="",$E1847="",$F1847=""),"CONTEXTE INCOMPLET",IF(COUNTIFS($D947:$D1846,$D1847,$E947:$E1846,$E1847,$F947:$F1846,$F1847,$G947:$G1846,$G1847)&gt;0,"DOUBLON","VALIDE")))</f>
        <v/>
      </c>
    </row>
    <row r="1848" ht="15" customHeight="1">
      <c r="A1848" s="12">
        <f>IF(OR($B1848="",$G1848=""),"",TEXT($B1848,"YYYYMMDD")&amp;"-"&amp;SUBSTITUTE($E1848," ","")&amp;"-"&amp;$F1848&amp;"-"&amp;$G1848)</f>
        <v/>
      </c>
      <c r="B1848" s="15" t="n"/>
      <c r="C1848" s="16" t="n"/>
      <c r="D1848" s="10" t="n"/>
      <c r="E1848" s="9" t="n"/>
      <c r="F1848" s="9" t="n"/>
      <c r="G1848" s="13" t="n"/>
      <c r="H1848" s="21" t="n"/>
      <c r="I1848" s="21" t="n"/>
      <c r="J1848" s="17">
        <f>IF($G1848="","",IFERROR(INDEX(NomsEmployes,MATCH($G1848,MatriculesEmployes,0)),"MATRICULE INCONNU"))</f>
        <v/>
      </c>
      <c r="K1848" s="33">
        <f>IF(OR($D1848="",$F1848=""),"",IFERROR(IF(INDEX(RUNS!$L$6:$S$1005,MATCH($D1848,RUNS!$A$6:$A$1005,0),MATCH("ACTIVITÉ "&amp;$F1848,RUNS!$L$5:$S$5,0))="","",INDEX(RUNS!$L$6:$S$1005,MATCH($D1848,RUNS!$A$6:$A$1005,0),MATCH("ACTIVITÉ "&amp;$F1848,RUNS!$L$5:$S$5,0))),""))</f>
        <v/>
      </c>
      <c r="L1848" s="33">
        <f>IF($D1848="","",IFERROR(IF(INDEX(RUNS!$E$6:$E$1005,MATCH($D1848,RUNS!$A$6:$A$1005,0))="","",INDEX(RUNS!$E$6:$E$1005,MATCH($D1848,RUNS!$A$6:$A$1005,0))),""))</f>
        <v/>
      </c>
      <c r="M1848" s="33">
        <f>IF($D1848="","",IFERROR(IF(INDEX(RUNS!$F$6:$F$1005,MATCH($D1848,RUNS!$A$6:$A$1005,0))="","",INDEX(RUNS!$F$6:$F$1005,MATCH($D1848,RUNS!$A$6:$A$1005,0))),""))</f>
        <v/>
      </c>
      <c r="N1848" s="33">
        <f>IF($D1848="","",IFERROR(IF(INDEX(RUNS!$G$6:$G$1005,MATCH($D1848,RUNS!$A$6:$A$1005,0))="","",INDEX(RUNS!$G$6:$G$1005,MATCH($D1848,RUNS!$A$6:$A$1005,0))),""))</f>
        <v/>
      </c>
      <c r="O1848" s="33">
        <f>IF($D1848="","",IFERROR(IF(INDEX(RUNS!$H$6:$H$1005,MATCH($D1848,RUNS!$A$6:$A$1005,0))="","",INDEX(RUNS!$H$6:$H$1005,MATCH($D1848,RUNS!$A$6:$A$1005,0))),""))</f>
        <v/>
      </c>
      <c r="P1848" s="33">
        <f>IF($D1848="","",IFERROR(IF(INDEX(RUNS!$J$6:$J$1005,MATCH($D1848,RUNS!$A$6:$A$1005,0))="","",INDEX(RUNS!$J$6:$J$1005,MATCH($D1848,RUNS!$A$6:$A$1005,0))),""))</f>
        <v/>
      </c>
      <c r="Q1848" s="33">
        <f>IF($D1848="","",IFERROR(IF(INDEX(RUNS!$K$6:$K$1005,MATCH($D1848,RUNS!$A$6:$A$1005,0))="","",INDEX(RUNS!$K$6:$K$1005,MATCH($D1848,RUNS!$A$6:$A$1005,0))),""))</f>
        <v/>
      </c>
      <c r="R1848" s="34">
        <f>IF(OR($L1848="",$K1848=""),"",IFERROR(IF(INDEX(PARAMETRES!$H$43:$H$342,MATCH($L1848&amp;"|"&amp;$M1848&amp;"|"&amp;$N1848&amp;"|"&amp;$O1848&amp;"|"&amp;$P1848&amp;"|"&amp;$Q1848&amp;"|"&amp;$K1848,PARAMETRES!$J$43:$J$342,0))="","",INDEX(PARAMETRES!$H$43:$H$342,MATCH($L1848&amp;"|"&amp;$M1848&amp;"|"&amp;$N1848&amp;"|"&amp;$O1848&amp;"|"&amp;$P1848&amp;"|"&amp;$Q1848&amp;"|"&amp;$K1848,PARAMETRES!$J$43:$J$342,0))),""))</f>
        <v/>
      </c>
      <c r="S1848" s="35">
        <f>IF(OR($G1848="",$X1848&lt;&gt;"VALIDE"),"",IFERROR(LOOKUP(2,1/(($B948:$B1847=$B1848)*($G948:$G1847=$G1848)*($X948:$X1847="VALIDE")),$C948:$C1847),""))</f>
        <v/>
      </c>
      <c r="T1848" s="36">
        <f>IF(OR($C1848="",$S1848=""),"",ROUND(($C1848-$S1848+IF($C1848&lt;$S1848,1,0))*1440,0))</f>
        <v/>
      </c>
      <c r="U1848" s="22">
        <f>IF(OR($H1848="",$T1848="",$T1848&lt;=0),"",$H1848*60/$T1848)</f>
        <v/>
      </c>
      <c r="V1848" s="37">
        <f>IF(OR($U1848="",$R1848="",$R1848=0),"",$U1848/$R1848)</f>
        <v/>
      </c>
      <c r="W1848" s="20">
        <f>IF($G1848="","",IF($X1848="CONTEXTE INCOMPLET","CONTEXTE INCOMPLET",IF($X1848="DOUBLON",StatutDoublon,IF($S1848="",StatutInitial,IF($R1848="",StatutStandardManquant,IF($V1848="","DONNEES INSUFFISANTES",IF($V1848&gt;=SeuilConforme,StatutConforme,IF($V1848&gt;=SeuilSurveiller,StatutSurveiller,StatutSousStandard))))))))</f>
        <v/>
      </c>
      <c r="X1848" s="33">
        <f>IF($G1848="","",IF(OR($D1848="",$E1848="",$F1848=""),"CONTEXTE INCOMPLET",IF(COUNTIFS($D948:$D1847,$D1848,$E948:$E1847,$E1848,$F948:$F1847,$F1848,$G948:$G1847,$G1848)&gt;0,"DOUBLON","VALIDE")))</f>
        <v/>
      </c>
    </row>
    <row r="1849" ht="15" customHeight="1">
      <c r="A1849" s="12">
        <f>IF(OR($B1849="",$G1849=""),"",TEXT($B1849,"YYYYMMDD")&amp;"-"&amp;SUBSTITUTE($E1849," ","")&amp;"-"&amp;$F1849&amp;"-"&amp;$G1849)</f>
        <v/>
      </c>
      <c r="B1849" s="15" t="n"/>
      <c r="C1849" s="16" t="n"/>
      <c r="D1849" s="10" t="n"/>
      <c r="E1849" s="9" t="n"/>
      <c r="F1849" s="9" t="n"/>
      <c r="G1849" s="13" t="n"/>
      <c r="H1849" s="21" t="n"/>
      <c r="I1849" s="21" t="n"/>
      <c r="J1849" s="17">
        <f>IF($G1849="","",IFERROR(INDEX(NomsEmployes,MATCH($G1849,MatriculesEmployes,0)),"MATRICULE INCONNU"))</f>
        <v/>
      </c>
      <c r="K1849" s="33">
        <f>IF(OR($D1849="",$F1849=""),"",IFERROR(IF(INDEX(RUNS!$L$6:$S$1005,MATCH($D1849,RUNS!$A$6:$A$1005,0),MATCH("ACTIVITÉ "&amp;$F1849,RUNS!$L$5:$S$5,0))="","",INDEX(RUNS!$L$6:$S$1005,MATCH($D1849,RUNS!$A$6:$A$1005,0),MATCH("ACTIVITÉ "&amp;$F1849,RUNS!$L$5:$S$5,0))),""))</f>
        <v/>
      </c>
      <c r="L1849" s="33">
        <f>IF($D1849="","",IFERROR(IF(INDEX(RUNS!$E$6:$E$1005,MATCH($D1849,RUNS!$A$6:$A$1005,0))="","",INDEX(RUNS!$E$6:$E$1005,MATCH($D1849,RUNS!$A$6:$A$1005,0))),""))</f>
        <v/>
      </c>
      <c r="M1849" s="33">
        <f>IF($D1849="","",IFERROR(IF(INDEX(RUNS!$F$6:$F$1005,MATCH($D1849,RUNS!$A$6:$A$1005,0))="","",INDEX(RUNS!$F$6:$F$1005,MATCH($D1849,RUNS!$A$6:$A$1005,0))),""))</f>
        <v/>
      </c>
      <c r="N1849" s="33">
        <f>IF($D1849="","",IFERROR(IF(INDEX(RUNS!$G$6:$G$1005,MATCH($D1849,RUNS!$A$6:$A$1005,0))="","",INDEX(RUNS!$G$6:$G$1005,MATCH($D1849,RUNS!$A$6:$A$1005,0))),""))</f>
        <v/>
      </c>
      <c r="O1849" s="33">
        <f>IF($D1849="","",IFERROR(IF(INDEX(RUNS!$H$6:$H$1005,MATCH($D1849,RUNS!$A$6:$A$1005,0))="","",INDEX(RUNS!$H$6:$H$1005,MATCH($D1849,RUNS!$A$6:$A$1005,0))),""))</f>
        <v/>
      </c>
      <c r="P1849" s="33">
        <f>IF($D1849="","",IFERROR(IF(INDEX(RUNS!$J$6:$J$1005,MATCH($D1849,RUNS!$A$6:$A$1005,0))="","",INDEX(RUNS!$J$6:$J$1005,MATCH($D1849,RUNS!$A$6:$A$1005,0))),""))</f>
        <v/>
      </c>
      <c r="Q1849" s="33">
        <f>IF($D1849="","",IFERROR(IF(INDEX(RUNS!$K$6:$K$1005,MATCH($D1849,RUNS!$A$6:$A$1005,0))="","",INDEX(RUNS!$K$6:$K$1005,MATCH($D1849,RUNS!$A$6:$A$1005,0))),""))</f>
        <v/>
      </c>
      <c r="R1849" s="34">
        <f>IF(OR($L1849="",$K1849=""),"",IFERROR(IF(INDEX(PARAMETRES!$H$43:$H$342,MATCH($L1849&amp;"|"&amp;$M1849&amp;"|"&amp;$N1849&amp;"|"&amp;$O1849&amp;"|"&amp;$P1849&amp;"|"&amp;$Q1849&amp;"|"&amp;$K1849,PARAMETRES!$J$43:$J$342,0))="","",INDEX(PARAMETRES!$H$43:$H$342,MATCH($L1849&amp;"|"&amp;$M1849&amp;"|"&amp;$N1849&amp;"|"&amp;$O1849&amp;"|"&amp;$P1849&amp;"|"&amp;$Q1849&amp;"|"&amp;$K1849,PARAMETRES!$J$43:$J$342,0))),""))</f>
        <v/>
      </c>
      <c r="S1849" s="35">
        <f>IF(OR($G1849="",$X1849&lt;&gt;"VALIDE"),"",IFERROR(LOOKUP(2,1/(($B949:$B1848=$B1849)*($G949:$G1848=$G1849)*($X949:$X1848="VALIDE")),$C949:$C1848),""))</f>
        <v/>
      </c>
      <c r="T1849" s="36">
        <f>IF(OR($C1849="",$S1849=""),"",ROUND(($C1849-$S1849+IF($C1849&lt;$S1849,1,0))*1440,0))</f>
        <v/>
      </c>
      <c r="U1849" s="22">
        <f>IF(OR($H1849="",$T1849="",$T1849&lt;=0),"",$H1849*60/$T1849)</f>
        <v/>
      </c>
      <c r="V1849" s="37">
        <f>IF(OR($U1849="",$R1849="",$R1849=0),"",$U1849/$R1849)</f>
        <v/>
      </c>
      <c r="W1849" s="20">
        <f>IF($G1849="","",IF($X1849="CONTEXTE INCOMPLET","CONTEXTE INCOMPLET",IF($X1849="DOUBLON",StatutDoublon,IF($S1849="",StatutInitial,IF($R1849="",StatutStandardManquant,IF($V1849="","DONNEES INSUFFISANTES",IF($V1849&gt;=SeuilConforme,StatutConforme,IF($V1849&gt;=SeuilSurveiller,StatutSurveiller,StatutSousStandard))))))))</f>
        <v/>
      </c>
      <c r="X1849" s="33">
        <f>IF($G1849="","",IF(OR($D1849="",$E1849="",$F1849=""),"CONTEXTE INCOMPLET",IF(COUNTIFS($D949:$D1848,$D1849,$E949:$E1848,$E1849,$F949:$F1848,$F1849,$G949:$G1848,$G1849)&gt;0,"DOUBLON","VALIDE")))</f>
        <v/>
      </c>
    </row>
    <row r="1850" ht="15" customHeight="1">
      <c r="A1850" s="12">
        <f>IF(OR($B1850="",$G1850=""),"",TEXT($B1850,"YYYYMMDD")&amp;"-"&amp;SUBSTITUTE($E1850," ","")&amp;"-"&amp;$F1850&amp;"-"&amp;$G1850)</f>
        <v/>
      </c>
      <c r="B1850" s="15" t="n"/>
      <c r="C1850" s="16" t="n"/>
      <c r="D1850" s="10" t="n"/>
      <c r="E1850" s="9" t="n"/>
      <c r="F1850" s="9" t="n"/>
      <c r="G1850" s="13" t="n"/>
      <c r="H1850" s="21" t="n"/>
      <c r="I1850" s="21" t="n"/>
      <c r="J1850" s="17">
        <f>IF($G1850="","",IFERROR(INDEX(NomsEmployes,MATCH($G1850,MatriculesEmployes,0)),"MATRICULE INCONNU"))</f>
        <v/>
      </c>
      <c r="K1850" s="33">
        <f>IF(OR($D1850="",$F1850=""),"",IFERROR(IF(INDEX(RUNS!$L$6:$S$1005,MATCH($D1850,RUNS!$A$6:$A$1005,0),MATCH("ACTIVITÉ "&amp;$F1850,RUNS!$L$5:$S$5,0))="","",INDEX(RUNS!$L$6:$S$1005,MATCH($D1850,RUNS!$A$6:$A$1005,0),MATCH("ACTIVITÉ "&amp;$F1850,RUNS!$L$5:$S$5,0))),""))</f>
        <v/>
      </c>
      <c r="L1850" s="33">
        <f>IF($D1850="","",IFERROR(IF(INDEX(RUNS!$E$6:$E$1005,MATCH($D1850,RUNS!$A$6:$A$1005,0))="","",INDEX(RUNS!$E$6:$E$1005,MATCH($D1850,RUNS!$A$6:$A$1005,0))),""))</f>
        <v/>
      </c>
      <c r="M1850" s="33">
        <f>IF($D1850="","",IFERROR(IF(INDEX(RUNS!$F$6:$F$1005,MATCH($D1850,RUNS!$A$6:$A$1005,0))="","",INDEX(RUNS!$F$6:$F$1005,MATCH($D1850,RUNS!$A$6:$A$1005,0))),""))</f>
        <v/>
      </c>
      <c r="N1850" s="33">
        <f>IF($D1850="","",IFERROR(IF(INDEX(RUNS!$G$6:$G$1005,MATCH($D1850,RUNS!$A$6:$A$1005,0))="","",INDEX(RUNS!$G$6:$G$1005,MATCH($D1850,RUNS!$A$6:$A$1005,0))),""))</f>
        <v/>
      </c>
      <c r="O1850" s="33">
        <f>IF($D1850="","",IFERROR(IF(INDEX(RUNS!$H$6:$H$1005,MATCH($D1850,RUNS!$A$6:$A$1005,0))="","",INDEX(RUNS!$H$6:$H$1005,MATCH($D1850,RUNS!$A$6:$A$1005,0))),""))</f>
        <v/>
      </c>
      <c r="P1850" s="33">
        <f>IF($D1850="","",IFERROR(IF(INDEX(RUNS!$J$6:$J$1005,MATCH($D1850,RUNS!$A$6:$A$1005,0))="","",INDEX(RUNS!$J$6:$J$1005,MATCH($D1850,RUNS!$A$6:$A$1005,0))),""))</f>
        <v/>
      </c>
      <c r="Q1850" s="33">
        <f>IF($D1850="","",IFERROR(IF(INDEX(RUNS!$K$6:$K$1005,MATCH($D1850,RUNS!$A$6:$A$1005,0))="","",INDEX(RUNS!$K$6:$K$1005,MATCH($D1850,RUNS!$A$6:$A$1005,0))),""))</f>
        <v/>
      </c>
      <c r="R1850" s="34">
        <f>IF(OR($L1850="",$K1850=""),"",IFERROR(IF(INDEX(PARAMETRES!$H$43:$H$342,MATCH($L1850&amp;"|"&amp;$M1850&amp;"|"&amp;$N1850&amp;"|"&amp;$O1850&amp;"|"&amp;$P1850&amp;"|"&amp;$Q1850&amp;"|"&amp;$K1850,PARAMETRES!$J$43:$J$342,0))="","",INDEX(PARAMETRES!$H$43:$H$342,MATCH($L1850&amp;"|"&amp;$M1850&amp;"|"&amp;$N1850&amp;"|"&amp;$O1850&amp;"|"&amp;$P1850&amp;"|"&amp;$Q1850&amp;"|"&amp;$K1850,PARAMETRES!$J$43:$J$342,0))),""))</f>
        <v/>
      </c>
      <c r="S1850" s="35">
        <f>IF(OR($G1850="",$X1850&lt;&gt;"VALIDE"),"",IFERROR(LOOKUP(2,1/(($B950:$B1849=$B1850)*($G950:$G1849=$G1850)*($X950:$X1849="VALIDE")),$C950:$C1849),""))</f>
        <v/>
      </c>
      <c r="T1850" s="36">
        <f>IF(OR($C1850="",$S1850=""),"",ROUND(($C1850-$S1850+IF($C1850&lt;$S1850,1,0))*1440,0))</f>
        <v/>
      </c>
      <c r="U1850" s="22">
        <f>IF(OR($H1850="",$T1850="",$T1850&lt;=0),"",$H1850*60/$T1850)</f>
        <v/>
      </c>
      <c r="V1850" s="37">
        <f>IF(OR($U1850="",$R1850="",$R1850=0),"",$U1850/$R1850)</f>
        <v/>
      </c>
      <c r="W1850" s="20">
        <f>IF($G1850="","",IF($X1850="CONTEXTE INCOMPLET","CONTEXTE INCOMPLET",IF($X1850="DOUBLON",StatutDoublon,IF($S1850="",StatutInitial,IF($R1850="",StatutStandardManquant,IF($V1850="","DONNEES INSUFFISANTES",IF($V1850&gt;=SeuilConforme,StatutConforme,IF($V1850&gt;=SeuilSurveiller,StatutSurveiller,StatutSousStandard))))))))</f>
        <v/>
      </c>
      <c r="X1850" s="33">
        <f>IF($G1850="","",IF(OR($D1850="",$E1850="",$F1850=""),"CONTEXTE INCOMPLET",IF(COUNTIFS($D950:$D1849,$D1850,$E950:$E1849,$E1850,$F950:$F1849,$F1850,$G950:$G1849,$G1850)&gt;0,"DOUBLON","VALIDE")))</f>
        <v/>
      </c>
    </row>
    <row r="1851" ht="15" customHeight="1">
      <c r="A1851" s="12">
        <f>IF(OR($B1851="",$G1851=""),"",TEXT($B1851,"YYYYMMDD")&amp;"-"&amp;SUBSTITUTE($E1851," ","")&amp;"-"&amp;$F1851&amp;"-"&amp;$G1851)</f>
        <v/>
      </c>
      <c r="B1851" s="15" t="n"/>
      <c r="C1851" s="16" t="n"/>
      <c r="D1851" s="10" t="n"/>
      <c r="E1851" s="9" t="n"/>
      <c r="F1851" s="9" t="n"/>
      <c r="G1851" s="13" t="n"/>
      <c r="H1851" s="21" t="n"/>
      <c r="I1851" s="21" t="n"/>
      <c r="J1851" s="17">
        <f>IF($G1851="","",IFERROR(INDEX(NomsEmployes,MATCH($G1851,MatriculesEmployes,0)),"MATRICULE INCONNU"))</f>
        <v/>
      </c>
      <c r="K1851" s="33">
        <f>IF(OR($D1851="",$F1851=""),"",IFERROR(IF(INDEX(RUNS!$L$6:$S$1005,MATCH($D1851,RUNS!$A$6:$A$1005,0),MATCH("ACTIVITÉ "&amp;$F1851,RUNS!$L$5:$S$5,0))="","",INDEX(RUNS!$L$6:$S$1005,MATCH($D1851,RUNS!$A$6:$A$1005,0),MATCH("ACTIVITÉ "&amp;$F1851,RUNS!$L$5:$S$5,0))),""))</f>
        <v/>
      </c>
      <c r="L1851" s="33">
        <f>IF($D1851="","",IFERROR(IF(INDEX(RUNS!$E$6:$E$1005,MATCH($D1851,RUNS!$A$6:$A$1005,0))="","",INDEX(RUNS!$E$6:$E$1005,MATCH($D1851,RUNS!$A$6:$A$1005,0))),""))</f>
        <v/>
      </c>
      <c r="M1851" s="33">
        <f>IF($D1851="","",IFERROR(IF(INDEX(RUNS!$F$6:$F$1005,MATCH($D1851,RUNS!$A$6:$A$1005,0))="","",INDEX(RUNS!$F$6:$F$1005,MATCH($D1851,RUNS!$A$6:$A$1005,0))),""))</f>
        <v/>
      </c>
      <c r="N1851" s="33">
        <f>IF($D1851="","",IFERROR(IF(INDEX(RUNS!$G$6:$G$1005,MATCH($D1851,RUNS!$A$6:$A$1005,0))="","",INDEX(RUNS!$G$6:$G$1005,MATCH($D1851,RUNS!$A$6:$A$1005,0))),""))</f>
        <v/>
      </c>
      <c r="O1851" s="33">
        <f>IF($D1851="","",IFERROR(IF(INDEX(RUNS!$H$6:$H$1005,MATCH($D1851,RUNS!$A$6:$A$1005,0))="","",INDEX(RUNS!$H$6:$H$1005,MATCH($D1851,RUNS!$A$6:$A$1005,0))),""))</f>
        <v/>
      </c>
      <c r="P1851" s="33">
        <f>IF($D1851="","",IFERROR(IF(INDEX(RUNS!$J$6:$J$1005,MATCH($D1851,RUNS!$A$6:$A$1005,0))="","",INDEX(RUNS!$J$6:$J$1005,MATCH($D1851,RUNS!$A$6:$A$1005,0))),""))</f>
        <v/>
      </c>
      <c r="Q1851" s="33">
        <f>IF($D1851="","",IFERROR(IF(INDEX(RUNS!$K$6:$K$1005,MATCH($D1851,RUNS!$A$6:$A$1005,0))="","",INDEX(RUNS!$K$6:$K$1005,MATCH($D1851,RUNS!$A$6:$A$1005,0))),""))</f>
        <v/>
      </c>
      <c r="R1851" s="34">
        <f>IF(OR($L1851="",$K1851=""),"",IFERROR(IF(INDEX(PARAMETRES!$H$43:$H$342,MATCH($L1851&amp;"|"&amp;$M1851&amp;"|"&amp;$N1851&amp;"|"&amp;$O1851&amp;"|"&amp;$P1851&amp;"|"&amp;$Q1851&amp;"|"&amp;$K1851,PARAMETRES!$J$43:$J$342,0))="","",INDEX(PARAMETRES!$H$43:$H$342,MATCH($L1851&amp;"|"&amp;$M1851&amp;"|"&amp;$N1851&amp;"|"&amp;$O1851&amp;"|"&amp;$P1851&amp;"|"&amp;$Q1851&amp;"|"&amp;$K1851,PARAMETRES!$J$43:$J$342,0))),""))</f>
        <v/>
      </c>
      <c r="S1851" s="35">
        <f>IF(OR($G1851="",$X1851&lt;&gt;"VALIDE"),"",IFERROR(LOOKUP(2,1/(($B951:$B1850=$B1851)*($G951:$G1850=$G1851)*($X951:$X1850="VALIDE")),$C951:$C1850),""))</f>
        <v/>
      </c>
      <c r="T1851" s="36">
        <f>IF(OR($C1851="",$S1851=""),"",ROUND(($C1851-$S1851+IF($C1851&lt;$S1851,1,0))*1440,0))</f>
        <v/>
      </c>
      <c r="U1851" s="22">
        <f>IF(OR($H1851="",$T1851="",$T1851&lt;=0),"",$H1851*60/$T1851)</f>
        <v/>
      </c>
      <c r="V1851" s="37">
        <f>IF(OR($U1851="",$R1851="",$R1851=0),"",$U1851/$R1851)</f>
        <v/>
      </c>
      <c r="W1851" s="20">
        <f>IF($G1851="","",IF($X1851="CONTEXTE INCOMPLET","CONTEXTE INCOMPLET",IF($X1851="DOUBLON",StatutDoublon,IF($S1851="",StatutInitial,IF($R1851="",StatutStandardManquant,IF($V1851="","DONNEES INSUFFISANTES",IF($V1851&gt;=SeuilConforme,StatutConforme,IF($V1851&gt;=SeuilSurveiller,StatutSurveiller,StatutSousStandard))))))))</f>
        <v/>
      </c>
      <c r="X1851" s="33">
        <f>IF($G1851="","",IF(OR($D1851="",$E1851="",$F1851=""),"CONTEXTE INCOMPLET",IF(COUNTIFS($D951:$D1850,$D1851,$E951:$E1850,$E1851,$F951:$F1850,$F1851,$G951:$G1850,$G1851)&gt;0,"DOUBLON","VALIDE")))</f>
        <v/>
      </c>
    </row>
    <row r="1852" ht="15" customHeight="1">
      <c r="A1852" s="12">
        <f>IF(OR($B1852="",$G1852=""),"",TEXT($B1852,"YYYYMMDD")&amp;"-"&amp;SUBSTITUTE($E1852," ","")&amp;"-"&amp;$F1852&amp;"-"&amp;$G1852)</f>
        <v/>
      </c>
      <c r="B1852" s="15" t="n"/>
      <c r="C1852" s="16" t="n"/>
      <c r="D1852" s="10" t="n"/>
      <c r="E1852" s="9" t="n"/>
      <c r="F1852" s="9" t="n"/>
      <c r="G1852" s="13" t="n"/>
      <c r="H1852" s="21" t="n"/>
      <c r="I1852" s="21" t="n"/>
      <c r="J1852" s="17">
        <f>IF($G1852="","",IFERROR(INDEX(NomsEmployes,MATCH($G1852,MatriculesEmployes,0)),"MATRICULE INCONNU"))</f>
        <v/>
      </c>
      <c r="K1852" s="33">
        <f>IF(OR($D1852="",$F1852=""),"",IFERROR(IF(INDEX(RUNS!$L$6:$S$1005,MATCH($D1852,RUNS!$A$6:$A$1005,0),MATCH("ACTIVITÉ "&amp;$F1852,RUNS!$L$5:$S$5,0))="","",INDEX(RUNS!$L$6:$S$1005,MATCH($D1852,RUNS!$A$6:$A$1005,0),MATCH("ACTIVITÉ "&amp;$F1852,RUNS!$L$5:$S$5,0))),""))</f>
        <v/>
      </c>
      <c r="L1852" s="33">
        <f>IF($D1852="","",IFERROR(IF(INDEX(RUNS!$E$6:$E$1005,MATCH($D1852,RUNS!$A$6:$A$1005,0))="","",INDEX(RUNS!$E$6:$E$1005,MATCH($D1852,RUNS!$A$6:$A$1005,0))),""))</f>
        <v/>
      </c>
      <c r="M1852" s="33">
        <f>IF($D1852="","",IFERROR(IF(INDEX(RUNS!$F$6:$F$1005,MATCH($D1852,RUNS!$A$6:$A$1005,0))="","",INDEX(RUNS!$F$6:$F$1005,MATCH($D1852,RUNS!$A$6:$A$1005,0))),""))</f>
        <v/>
      </c>
      <c r="N1852" s="33">
        <f>IF($D1852="","",IFERROR(IF(INDEX(RUNS!$G$6:$G$1005,MATCH($D1852,RUNS!$A$6:$A$1005,0))="","",INDEX(RUNS!$G$6:$G$1005,MATCH($D1852,RUNS!$A$6:$A$1005,0))),""))</f>
        <v/>
      </c>
      <c r="O1852" s="33">
        <f>IF($D1852="","",IFERROR(IF(INDEX(RUNS!$H$6:$H$1005,MATCH($D1852,RUNS!$A$6:$A$1005,0))="","",INDEX(RUNS!$H$6:$H$1005,MATCH($D1852,RUNS!$A$6:$A$1005,0))),""))</f>
        <v/>
      </c>
      <c r="P1852" s="33">
        <f>IF($D1852="","",IFERROR(IF(INDEX(RUNS!$J$6:$J$1005,MATCH($D1852,RUNS!$A$6:$A$1005,0))="","",INDEX(RUNS!$J$6:$J$1005,MATCH($D1852,RUNS!$A$6:$A$1005,0))),""))</f>
        <v/>
      </c>
      <c r="Q1852" s="33">
        <f>IF($D1852="","",IFERROR(IF(INDEX(RUNS!$K$6:$K$1005,MATCH($D1852,RUNS!$A$6:$A$1005,0))="","",INDEX(RUNS!$K$6:$K$1005,MATCH($D1852,RUNS!$A$6:$A$1005,0))),""))</f>
        <v/>
      </c>
      <c r="R1852" s="34">
        <f>IF(OR($L1852="",$K1852=""),"",IFERROR(IF(INDEX(PARAMETRES!$H$43:$H$342,MATCH($L1852&amp;"|"&amp;$M1852&amp;"|"&amp;$N1852&amp;"|"&amp;$O1852&amp;"|"&amp;$P1852&amp;"|"&amp;$Q1852&amp;"|"&amp;$K1852,PARAMETRES!$J$43:$J$342,0))="","",INDEX(PARAMETRES!$H$43:$H$342,MATCH($L1852&amp;"|"&amp;$M1852&amp;"|"&amp;$N1852&amp;"|"&amp;$O1852&amp;"|"&amp;$P1852&amp;"|"&amp;$Q1852&amp;"|"&amp;$K1852,PARAMETRES!$J$43:$J$342,0))),""))</f>
        <v/>
      </c>
      <c r="S1852" s="35">
        <f>IF(OR($G1852="",$X1852&lt;&gt;"VALIDE"),"",IFERROR(LOOKUP(2,1/(($B952:$B1851=$B1852)*($G952:$G1851=$G1852)*($X952:$X1851="VALIDE")),$C952:$C1851),""))</f>
        <v/>
      </c>
      <c r="T1852" s="36">
        <f>IF(OR($C1852="",$S1852=""),"",ROUND(($C1852-$S1852+IF($C1852&lt;$S1852,1,0))*1440,0))</f>
        <v/>
      </c>
      <c r="U1852" s="22">
        <f>IF(OR($H1852="",$T1852="",$T1852&lt;=0),"",$H1852*60/$T1852)</f>
        <v/>
      </c>
      <c r="V1852" s="37">
        <f>IF(OR($U1852="",$R1852="",$R1852=0),"",$U1852/$R1852)</f>
        <v/>
      </c>
      <c r="W1852" s="20">
        <f>IF($G1852="","",IF($X1852="CONTEXTE INCOMPLET","CONTEXTE INCOMPLET",IF($X1852="DOUBLON",StatutDoublon,IF($S1852="",StatutInitial,IF($R1852="",StatutStandardManquant,IF($V1852="","DONNEES INSUFFISANTES",IF($V1852&gt;=SeuilConforme,StatutConforme,IF($V1852&gt;=SeuilSurveiller,StatutSurveiller,StatutSousStandard))))))))</f>
        <v/>
      </c>
      <c r="X1852" s="33">
        <f>IF($G1852="","",IF(OR($D1852="",$E1852="",$F1852=""),"CONTEXTE INCOMPLET",IF(COUNTIFS($D952:$D1851,$D1852,$E952:$E1851,$E1852,$F952:$F1851,$F1852,$G952:$G1851,$G1852)&gt;0,"DOUBLON","VALIDE")))</f>
        <v/>
      </c>
    </row>
    <row r="1853" ht="15" customHeight="1">
      <c r="A1853" s="12">
        <f>IF(OR($B1853="",$G1853=""),"",TEXT($B1853,"YYYYMMDD")&amp;"-"&amp;SUBSTITUTE($E1853," ","")&amp;"-"&amp;$F1853&amp;"-"&amp;$G1853)</f>
        <v/>
      </c>
      <c r="B1853" s="15" t="n"/>
      <c r="C1853" s="16" t="n"/>
      <c r="D1853" s="10" t="n"/>
      <c r="E1853" s="9" t="n"/>
      <c r="F1853" s="9" t="n"/>
      <c r="G1853" s="13" t="n"/>
      <c r="H1853" s="21" t="n"/>
      <c r="I1853" s="21" t="n"/>
      <c r="J1853" s="17">
        <f>IF($G1853="","",IFERROR(INDEX(NomsEmployes,MATCH($G1853,MatriculesEmployes,0)),"MATRICULE INCONNU"))</f>
        <v/>
      </c>
      <c r="K1853" s="33">
        <f>IF(OR($D1853="",$F1853=""),"",IFERROR(IF(INDEX(RUNS!$L$6:$S$1005,MATCH($D1853,RUNS!$A$6:$A$1005,0),MATCH("ACTIVITÉ "&amp;$F1853,RUNS!$L$5:$S$5,0))="","",INDEX(RUNS!$L$6:$S$1005,MATCH($D1853,RUNS!$A$6:$A$1005,0),MATCH("ACTIVITÉ "&amp;$F1853,RUNS!$L$5:$S$5,0))),""))</f>
        <v/>
      </c>
      <c r="L1853" s="33">
        <f>IF($D1853="","",IFERROR(IF(INDEX(RUNS!$E$6:$E$1005,MATCH($D1853,RUNS!$A$6:$A$1005,0))="","",INDEX(RUNS!$E$6:$E$1005,MATCH($D1853,RUNS!$A$6:$A$1005,0))),""))</f>
        <v/>
      </c>
      <c r="M1853" s="33">
        <f>IF($D1853="","",IFERROR(IF(INDEX(RUNS!$F$6:$F$1005,MATCH($D1853,RUNS!$A$6:$A$1005,0))="","",INDEX(RUNS!$F$6:$F$1005,MATCH($D1853,RUNS!$A$6:$A$1005,0))),""))</f>
        <v/>
      </c>
      <c r="N1853" s="33">
        <f>IF($D1853="","",IFERROR(IF(INDEX(RUNS!$G$6:$G$1005,MATCH($D1853,RUNS!$A$6:$A$1005,0))="","",INDEX(RUNS!$G$6:$G$1005,MATCH($D1853,RUNS!$A$6:$A$1005,0))),""))</f>
        <v/>
      </c>
      <c r="O1853" s="33">
        <f>IF($D1853="","",IFERROR(IF(INDEX(RUNS!$H$6:$H$1005,MATCH($D1853,RUNS!$A$6:$A$1005,0))="","",INDEX(RUNS!$H$6:$H$1005,MATCH($D1853,RUNS!$A$6:$A$1005,0))),""))</f>
        <v/>
      </c>
      <c r="P1853" s="33">
        <f>IF($D1853="","",IFERROR(IF(INDEX(RUNS!$J$6:$J$1005,MATCH($D1853,RUNS!$A$6:$A$1005,0))="","",INDEX(RUNS!$J$6:$J$1005,MATCH($D1853,RUNS!$A$6:$A$1005,0))),""))</f>
        <v/>
      </c>
      <c r="Q1853" s="33">
        <f>IF($D1853="","",IFERROR(IF(INDEX(RUNS!$K$6:$K$1005,MATCH($D1853,RUNS!$A$6:$A$1005,0))="","",INDEX(RUNS!$K$6:$K$1005,MATCH($D1853,RUNS!$A$6:$A$1005,0))),""))</f>
        <v/>
      </c>
      <c r="R1853" s="34">
        <f>IF(OR($L1853="",$K1853=""),"",IFERROR(IF(INDEX(PARAMETRES!$H$43:$H$342,MATCH($L1853&amp;"|"&amp;$M1853&amp;"|"&amp;$N1853&amp;"|"&amp;$O1853&amp;"|"&amp;$P1853&amp;"|"&amp;$Q1853&amp;"|"&amp;$K1853,PARAMETRES!$J$43:$J$342,0))="","",INDEX(PARAMETRES!$H$43:$H$342,MATCH($L1853&amp;"|"&amp;$M1853&amp;"|"&amp;$N1853&amp;"|"&amp;$O1853&amp;"|"&amp;$P1853&amp;"|"&amp;$Q1853&amp;"|"&amp;$K1853,PARAMETRES!$J$43:$J$342,0))),""))</f>
        <v/>
      </c>
      <c r="S1853" s="35">
        <f>IF(OR($G1853="",$X1853&lt;&gt;"VALIDE"),"",IFERROR(LOOKUP(2,1/(($B953:$B1852=$B1853)*($G953:$G1852=$G1853)*($X953:$X1852="VALIDE")),$C953:$C1852),""))</f>
        <v/>
      </c>
      <c r="T1853" s="36">
        <f>IF(OR($C1853="",$S1853=""),"",ROUND(($C1853-$S1853+IF($C1853&lt;$S1853,1,0))*1440,0))</f>
        <v/>
      </c>
      <c r="U1853" s="22">
        <f>IF(OR($H1853="",$T1853="",$T1853&lt;=0),"",$H1853*60/$T1853)</f>
        <v/>
      </c>
      <c r="V1853" s="37">
        <f>IF(OR($U1853="",$R1853="",$R1853=0),"",$U1853/$R1853)</f>
        <v/>
      </c>
      <c r="W1853" s="20">
        <f>IF($G1853="","",IF($X1853="CONTEXTE INCOMPLET","CONTEXTE INCOMPLET",IF($X1853="DOUBLON",StatutDoublon,IF($S1853="",StatutInitial,IF($R1853="",StatutStandardManquant,IF($V1853="","DONNEES INSUFFISANTES",IF($V1853&gt;=SeuilConforme,StatutConforme,IF($V1853&gt;=SeuilSurveiller,StatutSurveiller,StatutSousStandard))))))))</f>
        <v/>
      </c>
      <c r="X1853" s="33">
        <f>IF($G1853="","",IF(OR($D1853="",$E1853="",$F1853=""),"CONTEXTE INCOMPLET",IF(COUNTIFS($D953:$D1852,$D1853,$E953:$E1852,$E1853,$F953:$F1852,$F1853,$G953:$G1852,$G1853)&gt;0,"DOUBLON","VALIDE")))</f>
        <v/>
      </c>
    </row>
    <row r="1854" ht="15" customHeight="1">
      <c r="A1854" s="12">
        <f>IF(OR($B1854="",$G1854=""),"",TEXT($B1854,"YYYYMMDD")&amp;"-"&amp;SUBSTITUTE($E1854," ","")&amp;"-"&amp;$F1854&amp;"-"&amp;$G1854)</f>
        <v/>
      </c>
      <c r="B1854" s="15" t="n"/>
      <c r="C1854" s="16" t="n"/>
      <c r="D1854" s="10" t="n"/>
      <c r="E1854" s="9" t="n"/>
      <c r="F1854" s="9" t="n"/>
      <c r="G1854" s="13" t="n"/>
      <c r="H1854" s="21" t="n"/>
      <c r="I1854" s="21" t="n"/>
      <c r="J1854" s="17">
        <f>IF($G1854="","",IFERROR(INDEX(NomsEmployes,MATCH($G1854,MatriculesEmployes,0)),"MATRICULE INCONNU"))</f>
        <v/>
      </c>
      <c r="K1854" s="33">
        <f>IF(OR($D1854="",$F1854=""),"",IFERROR(IF(INDEX(RUNS!$L$6:$S$1005,MATCH($D1854,RUNS!$A$6:$A$1005,0),MATCH("ACTIVITÉ "&amp;$F1854,RUNS!$L$5:$S$5,0))="","",INDEX(RUNS!$L$6:$S$1005,MATCH($D1854,RUNS!$A$6:$A$1005,0),MATCH("ACTIVITÉ "&amp;$F1854,RUNS!$L$5:$S$5,0))),""))</f>
        <v/>
      </c>
      <c r="L1854" s="33">
        <f>IF($D1854="","",IFERROR(IF(INDEX(RUNS!$E$6:$E$1005,MATCH($D1854,RUNS!$A$6:$A$1005,0))="","",INDEX(RUNS!$E$6:$E$1005,MATCH($D1854,RUNS!$A$6:$A$1005,0))),""))</f>
        <v/>
      </c>
      <c r="M1854" s="33">
        <f>IF($D1854="","",IFERROR(IF(INDEX(RUNS!$F$6:$F$1005,MATCH($D1854,RUNS!$A$6:$A$1005,0))="","",INDEX(RUNS!$F$6:$F$1005,MATCH($D1854,RUNS!$A$6:$A$1005,0))),""))</f>
        <v/>
      </c>
      <c r="N1854" s="33">
        <f>IF($D1854="","",IFERROR(IF(INDEX(RUNS!$G$6:$G$1005,MATCH($D1854,RUNS!$A$6:$A$1005,0))="","",INDEX(RUNS!$G$6:$G$1005,MATCH($D1854,RUNS!$A$6:$A$1005,0))),""))</f>
        <v/>
      </c>
      <c r="O1854" s="33">
        <f>IF($D1854="","",IFERROR(IF(INDEX(RUNS!$H$6:$H$1005,MATCH($D1854,RUNS!$A$6:$A$1005,0))="","",INDEX(RUNS!$H$6:$H$1005,MATCH($D1854,RUNS!$A$6:$A$1005,0))),""))</f>
        <v/>
      </c>
      <c r="P1854" s="33">
        <f>IF($D1854="","",IFERROR(IF(INDEX(RUNS!$J$6:$J$1005,MATCH($D1854,RUNS!$A$6:$A$1005,0))="","",INDEX(RUNS!$J$6:$J$1005,MATCH($D1854,RUNS!$A$6:$A$1005,0))),""))</f>
        <v/>
      </c>
      <c r="Q1854" s="33">
        <f>IF($D1854="","",IFERROR(IF(INDEX(RUNS!$K$6:$K$1005,MATCH($D1854,RUNS!$A$6:$A$1005,0))="","",INDEX(RUNS!$K$6:$K$1005,MATCH($D1854,RUNS!$A$6:$A$1005,0))),""))</f>
        <v/>
      </c>
      <c r="R1854" s="34">
        <f>IF(OR($L1854="",$K1854=""),"",IFERROR(IF(INDEX(PARAMETRES!$H$43:$H$342,MATCH($L1854&amp;"|"&amp;$M1854&amp;"|"&amp;$N1854&amp;"|"&amp;$O1854&amp;"|"&amp;$P1854&amp;"|"&amp;$Q1854&amp;"|"&amp;$K1854,PARAMETRES!$J$43:$J$342,0))="","",INDEX(PARAMETRES!$H$43:$H$342,MATCH($L1854&amp;"|"&amp;$M1854&amp;"|"&amp;$N1854&amp;"|"&amp;$O1854&amp;"|"&amp;$P1854&amp;"|"&amp;$Q1854&amp;"|"&amp;$K1854,PARAMETRES!$J$43:$J$342,0))),""))</f>
        <v/>
      </c>
      <c r="S1854" s="35">
        <f>IF(OR($G1854="",$X1854&lt;&gt;"VALIDE"),"",IFERROR(LOOKUP(2,1/(($B954:$B1853=$B1854)*($G954:$G1853=$G1854)*($X954:$X1853="VALIDE")),$C954:$C1853),""))</f>
        <v/>
      </c>
      <c r="T1854" s="36">
        <f>IF(OR($C1854="",$S1854=""),"",ROUND(($C1854-$S1854+IF($C1854&lt;$S1854,1,0))*1440,0))</f>
        <v/>
      </c>
      <c r="U1854" s="22">
        <f>IF(OR($H1854="",$T1854="",$T1854&lt;=0),"",$H1854*60/$T1854)</f>
        <v/>
      </c>
      <c r="V1854" s="37">
        <f>IF(OR($U1854="",$R1854="",$R1854=0),"",$U1854/$R1854)</f>
        <v/>
      </c>
      <c r="W1854" s="20">
        <f>IF($G1854="","",IF($X1854="CONTEXTE INCOMPLET","CONTEXTE INCOMPLET",IF($X1854="DOUBLON",StatutDoublon,IF($S1854="",StatutInitial,IF($R1854="",StatutStandardManquant,IF($V1854="","DONNEES INSUFFISANTES",IF($V1854&gt;=SeuilConforme,StatutConforme,IF($V1854&gt;=SeuilSurveiller,StatutSurveiller,StatutSousStandard))))))))</f>
        <v/>
      </c>
      <c r="X1854" s="33">
        <f>IF($G1854="","",IF(OR($D1854="",$E1854="",$F1854=""),"CONTEXTE INCOMPLET",IF(COUNTIFS($D954:$D1853,$D1854,$E954:$E1853,$E1854,$F954:$F1853,$F1854,$G954:$G1853,$G1854)&gt;0,"DOUBLON","VALIDE")))</f>
        <v/>
      </c>
    </row>
    <row r="1855" ht="15" customHeight="1">
      <c r="A1855" s="12">
        <f>IF(OR($B1855="",$G1855=""),"",TEXT($B1855,"YYYYMMDD")&amp;"-"&amp;SUBSTITUTE($E1855," ","")&amp;"-"&amp;$F1855&amp;"-"&amp;$G1855)</f>
        <v/>
      </c>
      <c r="B1855" s="15" t="n"/>
      <c r="C1855" s="16" t="n"/>
      <c r="D1855" s="10" t="n"/>
      <c r="E1855" s="9" t="n"/>
      <c r="F1855" s="9" t="n"/>
      <c r="G1855" s="13" t="n"/>
      <c r="H1855" s="21" t="n"/>
      <c r="I1855" s="21" t="n"/>
      <c r="J1855" s="17">
        <f>IF($G1855="","",IFERROR(INDEX(NomsEmployes,MATCH($G1855,MatriculesEmployes,0)),"MATRICULE INCONNU"))</f>
        <v/>
      </c>
      <c r="K1855" s="33">
        <f>IF(OR($D1855="",$F1855=""),"",IFERROR(IF(INDEX(RUNS!$L$6:$S$1005,MATCH($D1855,RUNS!$A$6:$A$1005,0),MATCH("ACTIVITÉ "&amp;$F1855,RUNS!$L$5:$S$5,0))="","",INDEX(RUNS!$L$6:$S$1005,MATCH($D1855,RUNS!$A$6:$A$1005,0),MATCH("ACTIVITÉ "&amp;$F1855,RUNS!$L$5:$S$5,0))),""))</f>
        <v/>
      </c>
      <c r="L1855" s="33">
        <f>IF($D1855="","",IFERROR(IF(INDEX(RUNS!$E$6:$E$1005,MATCH($D1855,RUNS!$A$6:$A$1005,0))="","",INDEX(RUNS!$E$6:$E$1005,MATCH($D1855,RUNS!$A$6:$A$1005,0))),""))</f>
        <v/>
      </c>
      <c r="M1855" s="33">
        <f>IF($D1855="","",IFERROR(IF(INDEX(RUNS!$F$6:$F$1005,MATCH($D1855,RUNS!$A$6:$A$1005,0))="","",INDEX(RUNS!$F$6:$F$1005,MATCH($D1855,RUNS!$A$6:$A$1005,0))),""))</f>
        <v/>
      </c>
      <c r="N1855" s="33">
        <f>IF($D1855="","",IFERROR(IF(INDEX(RUNS!$G$6:$G$1005,MATCH($D1855,RUNS!$A$6:$A$1005,0))="","",INDEX(RUNS!$G$6:$G$1005,MATCH($D1855,RUNS!$A$6:$A$1005,0))),""))</f>
        <v/>
      </c>
      <c r="O1855" s="33">
        <f>IF($D1855="","",IFERROR(IF(INDEX(RUNS!$H$6:$H$1005,MATCH($D1855,RUNS!$A$6:$A$1005,0))="","",INDEX(RUNS!$H$6:$H$1005,MATCH($D1855,RUNS!$A$6:$A$1005,0))),""))</f>
        <v/>
      </c>
      <c r="P1855" s="33">
        <f>IF($D1855="","",IFERROR(IF(INDEX(RUNS!$J$6:$J$1005,MATCH($D1855,RUNS!$A$6:$A$1005,0))="","",INDEX(RUNS!$J$6:$J$1005,MATCH($D1855,RUNS!$A$6:$A$1005,0))),""))</f>
        <v/>
      </c>
      <c r="Q1855" s="33">
        <f>IF($D1855="","",IFERROR(IF(INDEX(RUNS!$K$6:$K$1005,MATCH($D1855,RUNS!$A$6:$A$1005,0))="","",INDEX(RUNS!$K$6:$K$1005,MATCH($D1855,RUNS!$A$6:$A$1005,0))),""))</f>
        <v/>
      </c>
      <c r="R1855" s="34">
        <f>IF(OR($L1855="",$K1855=""),"",IFERROR(IF(INDEX(PARAMETRES!$H$43:$H$342,MATCH($L1855&amp;"|"&amp;$M1855&amp;"|"&amp;$N1855&amp;"|"&amp;$O1855&amp;"|"&amp;$P1855&amp;"|"&amp;$Q1855&amp;"|"&amp;$K1855,PARAMETRES!$J$43:$J$342,0))="","",INDEX(PARAMETRES!$H$43:$H$342,MATCH($L1855&amp;"|"&amp;$M1855&amp;"|"&amp;$N1855&amp;"|"&amp;$O1855&amp;"|"&amp;$P1855&amp;"|"&amp;$Q1855&amp;"|"&amp;$K1855,PARAMETRES!$J$43:$J$342,0))),""))</f>
        <v/>
      </c>
      <c r="S1855" s="35">
        <f>IF(OR($G1855="",$X1855&lt;&gt;"VALIDE"),"",IFERROR(LOOKUP(2,1/(($B955:$B1854=$B1855)*($G955:$G1854=$G1855)*($X955:$X1854="VALIDE")),$C955:$C1854),""))</f>
        <v/>
      </c>
      <c r="T1855" s="36">
        <f>IF(OR($C1855="",$S1855=""),"",ROUND(($C1855-$S1855+IF($C1855&lt;$S1855,1,0))*1440,0))</f>
        <v/>
      </c>
      <c r="U1855" s="22">
        <f>IF(OR($H1855="",$T1855="",$T1855&lt;=0),"",$H1855*60/$T1855)</f>
        <v/>
      </c>
      <c r="V1855" s="37">
        <f>IF(OR($U1855="",$R1855="",$R1855=0),"",$U1855/$R1855)</f>
        <v/>
      </c>
      <c r="W1855" s="20">
        <f>IF($G1855="","",IF($X1855="CONTEXTE INCOMPLET","CONTEXTE INCOMPLET",IF($X1855="DOUBLON",StatutDoublon,IF($S1855="",StatutInitial,IF($R1855="",StatutStandardManquant,IF($V1855="","DONNEES INSUFFISANTES",IF($V1855&gt;=SeuilConforme,StatutConforme,IF($V1855&gt;=SeuilSurveiller,StatutSurveiller,StatutSousStandard))))))))</f>
        <v/>
      </c>
      <c r="X1855" s="33">
        <f>IF($G1855="","",IF(OR($D1855="",$E1855="",$F1855=""),"CONTEXTE INCOMPLET",IF(COUNTIFS($D955:$D1854,$D1855,$E955:$E1854,$E1855,$F955:$F1854,$F1855,$G955:$G1854,$G1855)&gt;0,"DOUBLON","VALIDE")))</f>
        <v/>
      </c>
    </row>
    <row r="1856" ht="15" customHeight="1">
      <c r="A1856" s="12">
        <f>IF(OR($B1856="",$G1856=""),"",TEXT($B1856,"YYYYMMDD")&amp;"-"&amp;SUBSTITUTE($E1856," ","")&amp;"-"&amp;$F1856&amp;"-"&amp;$G1856)</f>
        <v/>
      </c>
      <c r="B1856" s="15" t="n"/>
      <c r="C1856" s="16" t="n"/>
      <c r="D1856" s="10" t="n"/>
      <c r="E1856" s="9" t="n"/>
      <c r="F1856" s="9" t="n"/>
      <c r="G1856" s="13" t="n"/>
      <c r="H1856" s="21" t="n"/>
      <c r="I1856" s="21" t="n"/>
      <c r="J1856" s="17">
        <f>IF($G1856="","",IFERROR(INDEX(NomsEmployes,MATCH($G1856,MatriculesEmployes,0)),"MATRICULE INCONNU"))</f>
        <v/>
      </c>
      <c r="K1856" s="33">
        <f>IF(OR($D1856="",$F1856=""),"",IFERROR(IF(INDEX(RUNS!$L$6:$S$1005,MATCH($D1856,RUNS!$A$6:$A$1005,0),MATCH("ACTIVITÉ "&amp;$F1856,RUNS!$L$5:$S$5,0))="","",INDEX(RUNS!$L$6:$S$1005,MATCH($D1856,RUNS!$A$6:$A$1005,0),MATCH("ACTIVITÉ "&amp;$F1856,RUNS!$L$5:$S$5,0))),""))</f>
        <v/>
      </c>
      <c r="L1856" s="33">
        <f>IF($D1856="","",IFERROR(IF(INDEX(RUNS!$E$6:$E$1005,MATCH($D1856,RUNS!$A$6:$A$1005,0))="","",INDEX(RUNS!$E$6:$E$1005,MATCH($D1856,RUNS!$A$6:$A$1005,0))),""))</f>
        <v/>
      </c>
      <c r="M1856" s="33">
        <f>IF($D1856="","",IFERROR(IF(INDEX(RUNS!$F$6:$F$1005,MATCH($D1856,RUNS!$A$6:$A$1005,0))="","",INDEX(RUNS!$F$6:$F$1005,MATCH($D1856,RUNS!$A$6:$A$1005,0))),""))</f>
        <v/>
      </c>
      <c r="N1856" s="33">
        <f>IF($D1856="","",IFERROR(IF(INDEX(RUNS!$G$6:$G$1005,MATCH($D1856,RUNS!$A$6:$A$1005,0))="","",INDEX(RUNS!$G$6:$G$1005,MATCH($D1856,RUNS!$A$6:$A$1005,0))),""))</f>
        <v/>
      </c>
      <c r="O1856" s="33">
        <f>IF($D1856="","",IFERROR(IF(INDEX(RUNS!$H$6:$H$1005,MATCH($D1856,RUNS!$A$6:$A$1005,0))="","",INDEX(RUNS!$H$6:$H$1005,MATCH($D1856,RUNS!$A$6:$A$1005,0))),""))</f>
        <v/>
      </c>
      <c r="P1856" s="33">
        <f>IF($D1856="","",IFERROR(IF(INDEX(RUNS!$J$6:$J$1005,MATCH($D1856,RUNS!$A$6:$A$1005,0))="","",INDEX(RUNS!$J$6:$J$1005,MATCH($D1856,RUNS!$A$6:$A$1005,0))),""))</f>
        <v/>
      </c>
      <c r="Q1856" s="33">
        <f>IF($D1856="","",IFERROR(IF(INDEX(RUNS!$K$6:$K$1005,MATCH($D1856,RUNS!$A$6:$A$1005,0))="","",INDEX(RUNS!$K$6:$K$1005,MATCH($D1856,RUNS!$A$6:$A$1005,0))),""))</f>
        <v/>
      </c>
      <c r="R1856" s="34">
        <f>IF(OR($L1856="",$K1856=""),"",IFERROR(IF(INDEX(PARAMETRES!$H$43:$H$342,MATCH($L1856&amp;"|"&amp;$M1856&amp;"|"&amp;$N1856&amp;"|"&amp;$O1856&amp;"|"&amp;$P1856&amp;"|"&amp;$Q1856&amp;"|"&amp;$K1856,PARAMETRES!$J$43:$J$342,0))="","",INDEX(PARAMETRES!$H$43:$H$342,MATCH($L1856&amp;"|"&amp;$M1856&amp;"|"&amp;$N1856&amp;"|"&amp;$O1856&amp;"|"&amp;$P1856&amp;"|"&amp;$Q1856&amp;"|"&amp;$K1856,PARAMETRES!$J$43:$J$342,0))),""))</f>
        <v/>
      </c>
      <c r="S1856" s="35">
        <f>IF(OR($G1856="",$X1856&lt;&gt;"VALIDE"),"",IFERROR(LOOKUP(2,1/(($B956:$B1855=$B1856)*($G956:$G1855=$G1856)*($X956:$X1855="VALIDE")),$C956:$C1855),""))</f>
        <v/>
      </c>
      <c r="T1856" s="36">
        <f>IF(OR($C1856="",$S1856=""),"",ROUND(($C1856-$S1856+IF($C1856&lt;$S1856,1,0))*1440,0))</f>
        <v/>
      </c>
      <c r="U1856" s="22">
        <f>IF(OR($H1856="",$T1856="",$T1856&lt;=0),"",$H1856*60/$T1856)</f>
        <v/>
      </c>
      <c r="V1856" s="37">
        <f>IF(OR($U1856="",$R1856="",$R1856=0),"",$U1856/$R1856)</f>
        <v/>
      </c>
      <c r="W1856" s="20">
        <f>IF($G1856="","",IF($X1856="CONTEXTE INCOMPLET","CONTEXTE INCOMPLET",IF($X1856="DOUBLON",StatutDoublon,IF($S1856="",StatutInitial,IF($R1856="",StatutStandardManquant,IF($V1856="","DONNEES INSUFFISANTES",IF($V1856&gt;=SeuilConforme,StatutConforme,IF($V1856&gt;=SeuilSurveiller,StatutSurveiller,StatutSousStandard))))))))</f>
        <v/>
      </c>
      <c r="X1856" s="33">
        <f>IF($G1856="","",IF(OR($D1856="",$E1856="",$F1856=""),"CONTEXTE INCOMPLET",IF(COUNTIFS($D956:$D1855,$D1856,$E956:$E1855,$E1856,$F956:$F1855,$F1856,$G956:$G1855,$G1856)&gt;0,"DOUBLON","VALIDE")))</f>
        <v/>
      </c>
    </row>
    <row r="1857" ht="15" customHeight="1">
      <c r="A1857" s="12">
        <f>IF(OR($B1857="",$G1857=""),"",TEXT($B1857,"YYYYMMDD")&amp;"-"&amp;SUBSTITUTE($E1857," ","")&amp;"-"&amp;$F1857&amp;"-"&amp;$G1857)</f>
        <v/>
      </c>
      <c r="B1857" s="15" t="n"/>
      <c r="C1857" s="16" t="n"/>
      <c r="D1857" s="10" t="n"/>
      <c r="E1857" s="9" t="n"/>
      <c r="F1857" s="9" t="n"/>
      <c r="G1857" s="13" t="n"/>
      <c r="H1857" s="21" t="n"/>
      <c r="I1857" s="21" t="n"/>
      <c r="J1857" s="17">
        <f>IF($G1857="","",IFERROR(INDEX(NomsEmployes,MATCH($G1857,MatriculesEmployes,0)),"MATRICULE INCONNU"))</f>
        <v/>
      </c>
      <c r="K1857" s="33">
        <f>IF(OR($D1857="",$F1857=""),"",IFERROR(IF(INDEX(RUNS!$L$6:$S$1005,MATCH($D1857,RUNS!$A$6:$A$1005,0),MATCH("ACTIVITÉ "&amp;$F1857,RUNS!$L$5:$S$5,0))="","",INDEX(RUNS!$L$6:$S$1005,MATCH($D1857,RUNS!$A$6:$A$1005,0),MATCH("ACTIVITÉ "&amp;$F1857,RUNS!$L$5:$S$5,0))),""))</f>
        <v/>
      </c>
      <c r="L1857" s="33">
        <f>IF($D1857="","",IFERROR(IF(INDEX(RUNS!$E$6:$E$1005,MATCH($D1857,RUNS!$A$6:$A$1005,0))="","",INDEX(RUNS!$E$6:$E$1005,MATCH($D1857,RUNS!$A$6:$A$1005,0))),""))</f>
        <v/>
      </c>
      <c r="M1857" s="33">
        <f>IF($D1857="","",IFERROR(IF(INDEX(RUNS!$F$6:$F$1005,MATCH($D1857,RUNS!$A$6:$A$1005,0))="","",INDEX(RUNS!$F$6:$F$1005,MATCH($D1857,RUNS!$A$6:$A$1005,0))),""))</f>
        <v/>
      </c>
      <c r="N1857" s="33">
        <f>IF($D1857="","",IFERROR(IF(INDEX(RUNS!$G$6:$G$1005,MATCH($D1857,RUNS!$A$6:$A$1005,0))="","",INDEX(RUNS!$G$6:$G$1005,MATCH($D1857,RUNS!$A$6:$A$1005,0))),""))</f>
        <v/>
      </c>
      <c r="O1857" s="33">
        <f>IF($D1857="","",IFERROR(IF(INDEX(RUNS!$H$6:$H$1005,MATCH($D1857,RUNS!$A$6:$A$1005,0))="","",INDEX(RUNS!$H$6:$H$1005,MATCH($D1857,RUNS!$A$6:$A$1005,0))),""))</f>
        <v/>
      </c>
      <c r="P1857" s="33">
        <f>IF($D1857="","",IFERROR(IF(INDEX(RUNS!$J$6:$J$1005,MATCH($D1857,RUNS!$A$6:$A$1005,0))="","",INDEX(RUNS!$J$6:$J$1005,MATCH($D1857,RUNS!$A$6:$A$1005,0))),""))</f>
        <v/>
      </c>
      <c r="Q1857" s="33">
        <f>IF($D1857="","",IFERROR(IF(INDEX(RUNS!$K$6:$K$1005,MATCH($D1857,RUNS!$A$6:$A$1005,0))="","",INDEX(RUNS!$K$6:$K$1005,MATCH($D1857,RUNS!$A$6:$A$1005,0))),""))</f>
        <v/>
      </c>
      <c r="R1857" s="34">
        <f>IF(OR($L1857="",$K1857=""),"",IFERROR(IF(INDEX(PARAMETRES!$H$43:$H$342,MATCH($L1857&amp;"|"&amp;$M1857&amp;"|"&amp;$N1857&amp;"|"&amp;$O1857&amp;"|"&amp;$P1857&amp;"|"&amp;$Q1857&amp;"|"&amp;$K1857,PARAMETRES!$J$43:$J$342,0))="","",INDEX(PARAMETRES!$H$43:$H$342,MATCH($L1857&amp;"|"&amp;$M1857&amp;"|"&amp;$N1857&amp;"|"&amp;$O1857&amp;"|"&amp;$P1857&amp;"|"&amp;$Q1857&amp;"|"&amp;$K1857,PARAMETRES!$J$43:$J$342,0))),""))</f>
        <v/>
      </c>
      <c r="S1857" s="35">
        <f>IF(OR($G1857="",$X1857&lt;&gt;"VALIDE"),"",IFERROR(LOOKUP(2,1/(($B957:$B1856=$B1857)*($G957:$G1856=$G1857)*($X957:$X1856="VALIDE")),$C957:$C1856),""))</f>
        <v/>
      </c>
      <c r="T1857" s="36">
        <f>IF(OR($C1857="",$S1857=""),"",ROUND(($C1857-$S1857+IF($C1857&lt;$S1857,1,0))*1440,0))</f>
        <v/>
      </c>
      <c r="U1857" s="22">
        <f>IF(OR($H1857="",$T1857="",$T1857&lt;=0),"",$H1857*60/$T1857)</f>
        <v/>
      </c>
      <c r="V1857" s="37">
        <f>IF(OR($U1857="",$R1857="",$R1857=0),"",$U1857/$R1857)</f>
        <v/>
      </c>
      <c r="W1857" s="20">
        <f>IF($G1857="","",IF($X1857="CONTEXTE INCOMPLET","CONTEXTE INCOMPLET",IF($X1857="DOUBLON",StatutDoublon,IF($S1857="",StatutInitial,IF($R1857="",StatutStandardManquant,IF($V1857="","DONNEES INSUFFISANTES",IF($V1857&gt;=SeuilConforme,StatutConforme,IF($V1857&gt;=SeuilSurveiller,StatutSurveiller,StatutSousStandard))))))))</f>
        <v/>
      </c>
      <c r="X1857" s="33">
        <f>IF($G1857="","",IF(OR($D1857="",$E1857="",$F1857=""),"CONTEXTE INCOMPLET",IF(COUNTIFS($D957:$D1856,$D1857,$E957:$E1856,$E1857,$F957:$F1856,$F1857,$G957:$G1856,$G1857)&gt;0,"DOUBLON","VALIDE")))</f>
        <v/>
      </c>
    </row>
    <row r="1858" ht="15" customHeight="1">
      <c r="A1858" s="12">
        <f>IF(OR($B1858="",$G1858=""),"",TEXT($B1858,"YYYYMMDD")&amp;"-"&amp;SUBSTITUTE($E1858," ","")&amp;"-"&amp;$F1858&amp;"-"&amp;$G1858)</f>
        <v/>
      </c>
      <c r="B1858" s="15" t="n"/>
      <c r="C1858" s="16" t="n"/>
      <c r="D1858" s="10" t="n"/>
      <c r="E1858" s="9" t="n"/>
      <c r="F1858" s="9" t="n"/>
      <c r="G1858" s="13" t="n"/>
      <c r="H1858" s="21" t="n"/>
      <c r="I1858" s="21" t="n"/>
      <c r="J1858" s="17">
        <f>IF($G1858="","",IFERROR(INDEX(NomsEmployes,MATCH($G1858,MatriculesEmployes,0)),"MATRICULE INCONNU"))</f>
        <v/>
      </c>
      <c r="K1858" s="33">
        <f>IF(OR($D1858="",$F1858=""),"",IFERROR(IF(INDEX(RUNS!$L$6:$S$1005,MATCH($D1858,RUNS!$A$6:$A$1005,0),MATCH("ACTIVITÉ "&amp;$F1858,RUNS!$L$5:$S$5,0))="","",INDEX(RUNS!$L$6:$S$1005,MATCH($D1858,RUNS!$A$6:$A$1005,0),MATCH("ACTIVITÉ "&amp;$F1858,RUNS!$L$5:$S$5,0))),""))</f>
        <v/>
      </c>
      <c r="L1858" s="33">
        <f>IF($D1858="","",IFERROR(IF(INDEX(RUNS!$E$6:$E$1005,MATCH($D1858,RUNS!$A$6:$A$1005,0))="","",INDEX(RUNS!$E$6:$E$1005,MATCH($D1858,RUNS!$A$6:$A$1005,0))),""))</f>
        <v/>
      </c>
      <c r="M1858" s="33">
        <f>IF($D1858="","",IFERROR(IF(INDEX(RUNS!$F$6:$F$1005,MATCH($D1858,RUNS!$A$6:$A$1005,0))="","",INDEX(RUNS!$F$6:$F$1005,MATCH($D1858,RUNS!$A$6:$A$1005,0))),""))</f>
        <v/>
      </c>
      <c r="N1858" s="33">
        <f>IF($D1858="","",IFERROR(IF(INDEX(RUNS!$G$6:$G$1005,MATCH($D1858,RUNS!$A$6:$A$1005,0))="","",INDEX(RUNS!$G$6:$G$1005,MATCH($D1858,RUNS!$A$6:$A$1005,0))),""))</f>
        <v/>
      </c>
      <c r="O1858" s="33">
        <f>IF($D1858="","",IFERROR(IF(INDEX(RUNS!$H$6:$H$1005,MATCH($D1858,RUNS!$A$6:$A$1005,0))="","",INDEX(RUNS!$H$6:$H$1005,MATCH($D1858,RUNS!$A$6:$A$1005,0))),""))</f>
        <v/>
      </c>
      <c r="P1858" s="33">
        <f>IF($D1858="","",IFERROR(IF(INDEX(RUNS!$J$6:$J$1005,MATCH($D1858,RUNS!$A$6:$A$1005,0))="","",INDEX(RUNS!$J$6:$J$1005,MATCH($D1858,RUNS!$A$6:$A$1005,0))),""))</f>
        <v/>
      </c>
      <c r="Q1858" s="33">
        <f>IF($D1858="","",IFERROR(IF(INDEX(RUNS!$K$6:$K$1005,MATCH($D1858,RUNS!$A$6:$A$1005,0))="","",INDEX(RUNS!$K$6:$K$1005,MATCH($D1858,RUNS!$A$6:$A$1005,0))),""))</f>
        <v/>
      </c>
      <c r="R1858" s="34">
        <f>IF(OR($L1858="",$K1858=""),"",IFERROR(IF(INDEX(PARAMETRES!$H$43:$H$342,MATCH($L1858&amp;"|"&amp;$M1858&amp;"|"&amp;$N1858&amp;"|"&amp;$O1858&amp;"|"&amp;$P1858&amp;"|"&amp;$Q1858&amp;"|"&amp;$K1858,PARAMETRES!$J$43:$J$342,0))="","",INDEX(PARAMETRES!$H$43:$H$342,MATCH($L1858&amp;"|"&amp;$M1858&amp;"|"&amp;$N1858&amp;"|"&amp;$O1858&amp;"|"&amp;$P1858&amp;"|"&amp;$Q1858&amp;"|"&amp;$K1858,PARAMETRES!$J$43:$J$342,0))),""))</f>
        <v/>
      </c>
      <c r="S1858" s="35">
        <f>IF(OR($G1858="",$X1858&lt;&gt;"VALIDE"),"",IFERROR(LOOKUP(2,1/(($B958:$B1857=$B1858)*($G958:$G1857=$G1858)*($X958:$X1857="VALIDE")),$C958:$C1857),""))</f>
        <v/>
      </c>
      <c r="T1858" s="36">
        <f>IF(OR($C1858="",$S1858=""),"",ROUND(($C1858-$S1858+IF($C1858&lt;$S1858,1,0))*1440,0))</f>
        <v/>
      </c>
      <c r="U1858" s="22">
        <f>IF(OR($H1858="",$T1858="",$T1858&lt;=0),"",$H1858*60/$T1858)</f>
        <v/>
      </c>
      <c r="V1858" s="37">
        <f>IF(OR($U1858="",$R1858="",$R1858=0),"",$U1858/$R1858)</f>
        <v/>
      </c>
      <c r="W1858" s="20">
        <f>IF($G1858="","",IF($X1858="CONTEXTE INCOMPLET","CONTEXTE INCOMPLET",IF($X1858="DOUBLON",StatutDoublon,IF($S1858="",StatutInitial,IF($R1858="",StatutStandardManquant,IF($V1858="","DONNEES INSUFFISANTES",IF($V1858&gt;=SeuilConforme,StatutConforme,IF($V1858&gt;=SeuilSurveiller,StatutSurveiller,StatutSousStandard))))))))</f>
        <v/>
      </c>
      <c r="X1858" s="33">
        <f>IF($G1858="","",IF(OR($D1858="",$E1858="",$F1858=""),"CONTEXTE INCOMPLET",IF(COUNTIFS($D958:$D1857,$D1858,$E958:$E1857,$E1858,$F958:$F1857,$F1858,$G958:$G1857,$G1858)&gt;0,"DOUBLON","VALIDE")))</f>
        <v/>
      </c>
    </row>
    <row r="1859" ht="15" customHeight="1">
      <c r="A1859" s="12">
        <f>IF(OR($B1859="",$G1859=""),"",TEXT($B1859,"YYYYMMDD")&amp;"-"&amp;SUBSTITUTE($E1859," ","")&amp;"-"&amp;$F1859&amp;"-"&amp;$G1859)</f>
        <v/>
      </c>
      <c r="B1859" s="15" t="n"/>
      <c r="C1859" s="16" t="n"/>
      <c r="D1859" s="10" t="n"/>
      <c r="E1859" s="9" t="n"/>
      <c r="F1859" s="9" t="n"/>
      <c r="G1859" s="13" t="n"/>
      <c r="H1859" s="21" t="n"/>
      <c r="I1859" s="21" t="n"/>
      <c r="J1859" s="17">
        <f>IF($G1859="","",IFERROR(INDEX(NomsEmployes,MATCH($G1859,MatriculesEmployes,0)),"MATRICULE INCONNU"))</f>
        <v/>
      </c>
      <c r="K1859" s="33">
        <f>IF(OR($D1859="",$F1859=""),"",IFERROR(IF(INDEX(RUNS!$L$6:$S$1005,MATCH($D1859,RUNS!$A$6:$A$1005,0),MATCH("ACTIVITÉ "&amp;$F1859,RUNS!$L$5:$S$5,0))="","",INDEX(RUNS!$L$6:$S$1005,MATCH($D1859,RUNS!$A$6:$A$1005,0),MATCH("ACTIVITÉ "&amp;$F1859,RUNS!$L$5:$S$5,0))),""))</f>
        <v/>
      </c>
      <c r="L1859" s="33">
        <f>IF($D1859="","",IFERROR(IF(INDEX(RUNS!$E$6:$E$1005,MATCH($D1859,RUNS!$A$6:$A$1005,0))="","",INDEX(RUNS!$E$6:$E$1005,MATCH($D1859,RUNS!$A$6:$A$1005,0))),""))</f>
        <v/>
      </c>
      <c r="M1859" s="33">
        <f>IF($D1859="","",IFERROR(IF(INDEX(RUNS!$F$6:$F$1005,MATCH($D1859,RUNS!$A$6:$A$1005,0))="","",INDEX(RUNS!$F$6:$F$1005,MATCH($D1859,RUNS!$A$6:$A$1005,0))),""))</f>
        <v/>
      </c>
      <c r="N1859" s="33">
        <f>IF($D1859="","",IFERROR(IF(INDEX(RUNS!$G$6:$G$1005,MATCH($D1859,RUNS!$A$6:$A$1005,0))="","",INDEX(RUNS!$G$6:$G$1005,MATCH($D1859,RUNS!$A$6:$A$1005,0))),""))</f>
        <v/>
      </c>
      <c r="O1859" s="33">
        <f>IF($D1859="","",IFERROR(IF(INDEX(RUNS!$H$6:$H$1005,MATCH($D1859,RUNS!$A$6:$A$1005,0))="","",INDEX(RUNS!$H$6:$H$1005,MATCH($D1859,RUNS!$A$6:$A$1005,0))),""))</f>
        <v/>
      </c>
      <c r="P1859" s="33">
        <f>IF($D1859="","",IFERROR(IF(INDEX(RUNS!$J$6:$J$1005,MATCH($D1859,RUNS!$A$6:$A$1005,0))="","",INDEX(RUNS!$J$6:$J$1005,MATCH($D1859,RUNS!$A$6:$A$1005,0))),""))</f>
        <v/>
      </c>
      <c r="Q1859" s="33">
        <f>IF($D1859="","",IFERROR(IF(INDEX(RUNS!$K$6:$K$1005,MATCH($D1859,RUNS!$A$6:$A$1005,0))="","",INDEX(RUNS!$K$6:$K$1005,MATCH($D1859,RUNS!$A$6:$A$1005,0))),""))</f>
        <v/>
      </c>
      <c r="R1859" s="34">
        <f>IF(OR($L1859="",$K1859=""),"",IFERROR(IF(INDEX(PARAMETRES!$H$43:$H$342,MATCH($L1859&amp;"|"&amp;$M1859&amp;"|"&amp;$N1859&amp;"|"&amp;$O1859&amp;"|"&amp;$P1859&amp;"|"&amp;$Q1859&amp;"|"&amp;$K1859,PARAMETRES!$J$43:$J$342,0))="","",INDEX(PARAMETRES!$H$43:$H$342,MATCH($L1859&amp;"|"&amp;$M1859&amp;"|"&amp;$N1859&amp;"|"&amp;$O1859&amp;"|"&amp;$P1859&amp;"|"&amp;$Q1859&amp;"|"&amp;$K1859,PARAMETRES!$J$43:$J$342,0))),""))</f>
        <v/>
      </c>
      <c r="S1859" s="35">
        <f>IF(OR($G1859="",$X1859&lt;&gt;"VALIDE"),"",IFERROR(LOOKUP(2,1/(($B959:$B1858=$B1859)*($G959:$G1858=$G1859)*($X959:$X1858="VALIDE")),$C959:$C1858),""))</f>
        <v/>
      </c>
      <c r="T1859" s="36">
        <f>IF(OR($C1859="",$S1859=""),"",ROUND(($C1859-$S1859+IF($C1859&lt;$S1859,1,0))*1440,0))</f>
        <v/>
      </c>
      <c r="U1859" s="22">
        <f>IF(OR($H1859="",$T1859="",$T1859&lt;=0),"",$H1859*60/$T1859)</f>
        <v/>
      </c>
      <c r="V1859" s="37">
        <f>IF(OR($U1859="",$R1859="",$R1859=0),"",$U1859/$R1859)</f>
        <v/>
      </c>
      <c r="W1859" s="20">
        <f>IF($G1859="","",IF($X1859="CONTEXTE INCOMPLET","CONTEXTE INCOMPLET",IF($X1859="DOUBLON",StatutDoublon,IF($S1859="",StatutInitial,IF($R1859="",StatutStandardManquant,IF($V1859="","DONNEES INSUFFISANTES",IF($V1859&gt;=SeuilConforme,StatutConforme,IF($V1859&gt;=SeuilSurveiller,StatutSurveiller,StatutSousStandard))))))))</f>
        <v/>
      </c>
      <c r="X1859" s="33">
        <f>IF($G1859="","",IF(OR($D1859="",$E1859="",$F1859=""),"CONTEXTE INCOMPLET",IF(COUNTIFS($D959:$D1858,$D1859,$E959:$E1858,$E1859,$F959:$F1858,$F1859,$G959:$G1858,$G1859)&gt;0,"DOUBLON","VALIDE")))</f>
        <v/>
      </c>
    </row>
    <row r="1860" ht="15" customHeight="1">
      <c r="A1860" s="12">
        <f>IF(OR($B1860="",$G1860=""),"",TEXT($B1860,"YYYYMMDD")&amp;"-"&amp;SUBSTITUTE($E1860," ","")&amp;"-"&amp;$F1860&amp;"-"&amp;$G1860)</f>
        <v/>
      </c>
      <c r="B1860" s="15" t="n"/>
      <c r="C1860" s="16" t="n"/>
      <c r="D1860" s="10" t="n"/>
      <c r="E1860" s="9" t="n"/>
      <c r="F1860" s="9" t="n"/>
      <c r="G1860" s="13" t="n"/>
      <c r="H1860" s="21" t="n"/>
      <c r="I1860" s="21" t="n"/>
      <c r="J1860" s="17">
        <f>IF($G1860="","",IFERROR(INDEX(NomsEmployes,MATCH($G1860,MatriculesEmployes,0)),"MATRICULE INCONNU"))</f>
        <v/>
      </c>
      <c r="K1860" s="33">
        <f>IF(OR($D1860="",$F1860=""),"",IFERROR(IF(INDEX(RUNS!$L$6:$S$1005,MATCH($D1860,RUNS!$A$6:$A$1005,0),MATCH("ACTIVITÉ "&amp;$F1860,RUNS!$L$5:$S$5,0))="","",INDEX(RUNS!$L$6:$S$1005,MATCH($D1860,RUNS!$A$6:$A$1005,0),MATCH("ACTIVITÉ "&amp;$F1860,RUNS!$L$5:$S$5,0))),""))</f>
        <v/>
      </c>
      <c r="L1860" s="33">
        <f>IF($D1860="","",IFERROR(IF(INDEX(RUNS!$E$6:$E$1005,MATCH($D1860,RUNS!$A$6:$A$1005,0))="","",INDEX(RUNS!$E$6:$E$1005,MATCH($D1860,RUNS!$A$6:$A$1005,0))),""))</f>
        <v/>
      </c>
      <c r="M1860" s="33">
        <f>IF($D1860="","",IFERROR(IF(INDEX(RUNS!$F$6:$F$1005,MATCH($D1860,RUNS!$A$6:$A$1005,0))="","",INDEX(RUNS!$F$6:$F$1005,MATCH($D1860,RUNS!$A$6:$A$1005,0))),""))</f>
        <v/>
      </c>
      <c r="N1860" s="33">
        <f>IF($D1860="","",IFERROR(IF(INDEX(RUNS!$G$6:$G$1005,MATCH($D1860,RUNS!$A$6:$A$1005,0))="","",INDEX(RUNS!$G$6:$G$1005,MATCH($D1860,RUNS!$A$6:$A$1005,0))),""))</f>
        <v/>
      </c>
      <c r="O1860" s="33">
        <f>IF($D1860="","",IFERROR(IF(INDEX(RUNS!$H$6:$H$1005,MATCH($D1860,RUNS!$A$6:$A$1005,0))="","",INDEX(RUNS!$H$6:$H$1005,MATCH($D1860,RUNS!$A$6:$A$1005,0))),""))</f>
        <v/>
      </c>
      <c r="P1860" s="33">
        <f>IF($D1860="","",IFERROR(IF(INDEX(RUNS!$J$6:$J$1005,MATCH($D1860,RUNS!$A$6:$A$1005,0))="","",INDEX(RUNS!$J$6:$J$1005,MATCH($D1860,RUNS!$A$6:$A$1005,0))),""))</f>
        <v/>
      </c>
      <c r="Q1860" s="33">
        <f>IF($D1860="","",IFERROR(IF(INDEX(RUNS!$K$6:$K$1005,MATCH($D1860,RUNS!$A$6:$A$1005,0))="","",INDEX(RUNS!$K$6:$K$1005,MATCH($D1860,RUNS!$A$6:$A$1005,0))),""))</f>
        <v/>
      </c>
      <c r="R1860" s="34">
        <f>IF(OR($L1860="",$K1860=""),"",IFERROR(IF(INDEX(PARAMETRES!$H$43:$H$342,MATCH($L1860&amp;"|"&amp;$M1860&amp;"|"&amp;$N1860&amp;"|"&amp;$O1860&amp;"|"&amp;$P1860&amp;"|"&amp;$Q1860&amp;"|"&amp;$K1860,PARAMETRES!$J$43:$J$342,0))="","",INDEX(PARAMETRES!$H$43:$H$342,MATCH($L1860&amp;"|"&amp;$M1860&amp;"|"&amp;$N1860&amp;"|"&amp;$O1860&amp;"|"&amp;$P1860&amp;"|"&amp;$Q1860&amp;"|"&amp;$K1860,PARAMETRES!$J$43:$J$342,0))),""))</f>
        <v/>
      </c>
      <c r="S1860" s="35">
        <f>IF(OR($G1860="",$X1860&lt;&gt;"VALIDE"),"",IFERROR(LOOKUP(2,1/(($B960:$B1859=$B1860)*($G960:$G1859=$G1860)*($X960:$X1859="VALIDE")),$C960:$C1859),""))</f>
        <v/>
      </c>
      <c r="T1860" s="36">
        <f>IF(OR($C1860="",$S1860=""),"",ROUND(($C1860-$S1860+IF($C1860&lt;$S1860,1,0))*1440,0))</f>
        <v/>
      </c>
      <c r="U1860" s="22">
        <f>IF(OR($H1860="",$T1860="",$T1860&lt;=0),"",$H1860*60/$T1860)</f>
        <v/>
      </c>
      <c r="V1860" s="37">
        <f>IF(OR($U1860="",$R1860="",$R1860=0),"",$U1860/$R1860)</f>
        <v/>
      </c>
      <c r="W1860" s="20">
        <f>IF($G1860="","",IF($X1860="CONTEXTE INCOMPLET","CONTEXTE INCOMPLET",IF($X1860="DOUBLON",StatutDoublon,IF($S1860="",StatutInitial,IF($R1860="",StatutStandardManquant,IF($V1860="","DONNEES INSUFFISANTES",IF($V1860&gt;=SeuilConforme,StatutConforme,IF($V1860&gt;=SeuilSurveiller,StatutSurveiller,StatutSousStandard))))))))</f>
        <v/>
      </c>
      <c r="X1860" s="33">
        <f>IF($G1860="","",IF(OR($D1860="",$E1860="",$F1860=""),"CONTEXTE INCOMPLET",IF(COUNTIFS($D960:$D1859,$D1860,$E960:$E1859,$E1860,$F960:$F1859,$F1860,$G960:$G1859,$G1860)&gt;0,"DOUBLON","VALIDE")))</f>
        <v/>
      </c>
    </row>
    <row r="1861" ht="15" customHeight="1">
      <c r="A1861" s="12">
        <f>IF(OR($B1861="",$G1861=""),"",TEXT($B1861,"YYYYMMDD")&amp;"-"&amp;SUBSTITUTE($E1861," ","")&amp;"-"&amp;$F1861&amp;"-"&amp;$G1861)</f>
        <v/>
      </c>
      <c r="B1861" s="15" t="n"/>
      <c r="C1861" s="16" t="n"/>
      <c r="D1861" s="10" t="n"/>
      <c r="E1861" s="9" t="n"/>
      <c r="F1861" s="9" t="n"/>
      <c r="G1861" s="13" t="n"/>
      <c r="H1861" s="21" t="n"/>
      <c r="I1861" s="21" t="n"/>
      <c r="J1861" s="17">
        <f>IF($G1861="","",IFERROR(INDEX(NomsEmployes,MATCH($G1861,MatriculesEmployes,0)),"MATRICULE INCONNU"))</f>
        <v/>
      </c>
      <c r="K1861" s="33">
        <f>IF(OR($D1861="",$F1861=""),"",IFERROR(IF(INDEX(RUNS!$L$6:$S$1005,MATCH($D1861,RUNS!$A$6:$A$1005,0),MATCH("ACTIVITÉ "&amp;$F1861,RUNS!$L$5:$S$5,0))="","",INDEX(RUNS!$L$6:$S$1005,MATCH($D1861,RUNS!$A$6:$A$1005,0),MATCH("ACTIVITÉ "&amp;$F1861,RUNS!$L$5:$S$5,0))),""))</f>
        <v/>
      </c>
      <c r="L1861" s="33">
        <f>IF($D1861="","",IFERROR(IF(INDEX(RUNS!$E$6:$E$1005,MATCH($D1861,RUNS!$A$6:$A$1005,0))="","",INDEX(RUNS!$E$6:$E$1005,MATCH($D1861,RUNS!$A$6:$A$1005,0))),""))</f>
        <v/>
      </c>
      <c r="M1861" s="33">
        <f>IF($D1861="","",IFERROR(IF(INDEX(RUNS!$F$6:$F$1005,MATCH($D1861,RUNS!$A$6:$A$1005,0))="","",INDEX(RUNS!$F$6:$F$1005,MATCH($D1861,RUNS!$A$6:$A$1005,0))),""))</f>
        <v/>
      </c>
      <c r="N1861" s="33">
        <f>IF($D1861="","",IFERROR(IF(INDEX(RUNS!$G$6:$G$1005,MATCH($D1861,RUNS!$A$6:$A$1005,0))="","",INDEX(RUNS!$G$6:$G$1005,MATCH($D1861,RUNS!$A$6:$A$1005,0))),""))</f>
        <v/>
      </c>
      <c r="O1861" s="33">
        <f>IF($D1861="","",IFERROR(IF(INDEX(RUNS!$H$6:$H$1005,MATCH($D1861,RUNS!$A$6:$A$1005,0))="","",INDEX(RUNS!$H$6:$H$1005,MATCH($D1861,RUNS!$A$6:$A$1005,0))),""))</f>
        <v/>
      </c>
      <c r="P1861" s="33">
        <f>IF($D1861="","",IFERROR(IF(INDEX(RUNS!$J$6:$J$1005,MATCH($D1861,RUNS!$A$6:$A$1005,0))="","",INDEX(RUNS!$J$6:$J$1005,MATCH($D1861,RUNS!$A$6:$A$1005,0))),""))</f>
        <v/>
      </c>
      <c r="Q1861" s="33">
        <f>IF($D1861="","",IFERROR(IF(INDEX(RUNS!$K$6:$K$1005,MATCH($D1861,RUNS!$A$6:$A$1005,0))="","",INDEX(RUNS!$K$6:$K$1005,MATCH($D1861,RUNS!$A$6:$A$1005,0))),""))</f>
        <v/>
      </c>
      <c r="R1861" s="34">
        <f>IF(OR($L1861="",$K1861=""),"",IFERROR(IF(INDEX(PARAMETRES!$H$43:$H$342,MATCH($L1861&amp;"|"&amp;$M1861&amp;"|"&amp;$N1861&amp;"|"&amp;$O1861&amp;"|"&amp;$P1861&amp;"|"&amp;$Q1861&amp;"|"&amp;$K1861,PARAMETRES!$J$43:$J$342,0))="","",INDEX(PARAMETRES!$H$43:$H$342,MATCH($L1861&amp;"|"&amp;$M1861&amp;"|"&amp;$N1861&amp;"|"&amp;$O1861&amp;"|"&amp;$P1861&amp;"|"&amp;$Q1861&amp;"|"&amp;$K1861,PARAMETRES!$J$43:$J$342,0))),""))</f>
        <v/>
      </c>
      <c r="S1861" s="35">
        <f>IF(OR($G1861="",$X1861&lt;&gt;"VALIDE"),"",IFERROR(LOOKUP(2,1/(($B961:$B1860=$B1861)*($G961:$G1860=$G1861)*($X961:$X1860="VALIDE")),$C961:$C1860),""))</f>
        <v/>
      </c>
      <c r="T1861" s="36">
        <f>IF(OR($C1861="",$S1861=""),"",ROUND(($C1861-$S1861+IF($C1861&lt;$S1861,1,0))*1440,0))</f>
        <v/>
      </c>
      <c r="U1861" s="22">
        <f>IF(OR($H1861="",$T1861="",$T1861&lt;=0),"",$H1861*60/$T1861)</f>
        <v/>
      </c>
      <c r="V1861" s="37">
        <f>IF(OR($U1861="",$R1861="",$R1861=0),"",$U1861/$R1861)</f>
        <v/>
      </c>
      <c r="W1861" s="20">
        <f>IF($G1861="","",IF($X1861="CONTEXTE INCOMPLET","CONTEXTE INCOMPLET",IF($X1861="DOUBLON",StatutDoublon,IF($S1861="",StatutInitial,IF($R1861="",StatutStandardManquant,IF($V1861="","DONNEES INSUFFISANTES",IF($V1861&gt;=SeuilConforme,StatutConforme,IF($V1861&gt;=SeuilSurveiller,StatutSurveiller,StatutSousStandard))))))))</f>
        <v/>
      </c>
      <c r="X1861" s="33">
        <f>IF($G1861="","",IF(OR($D1861="",$E1861="",$F1861=""),"CONTEXTE INCOMPLET",IF(COUNTIFS($D961:$D1860,$D1861,$E961:$E1860,$E1861,$F961:$F1860,$F1861,$G961:$G1860,$G1861)&gt;0,"DOUBLON","VALIDE")))</f>
        <v/>
      </c>
    </row>
    <row r="1862" ht="15" customHeight="1">
      <c r="A1862" s="12">
        <f>IF(OR($B1862="",$G1862=""),"",TEXT($B1862,"YYYYMMDD")&amp;"-"&amp;SUBSTITUTE($E1862," ","")&amp;"-"&amp;$F1862&amp;"-"&amp;$G1862)</f>
        <v/>
      </c>
      <c r="B1862" s="15" t="n"/>
      <c r="C1862" s="16" t="n"/>
      <c r="D1862" s="10" t="n"/>
      <c r="E1862" s="9" t="n"/>
      <c r="F1862" s="9" t="n"/>
      <c r="G1862" s="13" t="n"/>
      <c r="H1862" s="21" t="n"/>
      <c r="I1862" s="21" t="n"/>
      <c r="J1862" s="17">
        <f>IF($G1862="","",IFERROR(INDEX(NomsEmployes,MATCH($G1862,MatriculesEmployes,0)),"MATRICULE INCONNU"))</f>
        <v/>
      </c>
      <c r="K1862" s="33">
        <f>IF(OR($D1862="",$F1862=""),"",IFERROR(IF(INDEX(RUNS!$L$6:$S$1005,MATCH($D1862,RUNS!$A$6:$A$1005,0),MATCH("ACTIVITÉ "&amp;$F1862,RUNS!$L$5:$S$5,0))="","",INDEX(RUNS!$L$6:$S$1005,MATCH($D1862,RUNS!$A$6:$A$1005,0),MATCH("ACTIVITÉ "&amp;$F1862,RUNS!$L$5:$S$5,0))),""))</f>
        <v/>
      </c>
      <c r="L1862" s="33">
        <f>IF($D1862="","",IFERROR(IF(INDEX(RUNS!$E$6:$E$1005,MATCH($D1862,RUNS!$A$6:$A$1005,0))="","",INDEX(RUNS!$E$6:$E$1005,MATCH($D1862,RUNS!$A$6:$A$1005,0))),""))</f>
        <v/>
      </c>
      <c r="M1862" s="33">
        <f>IF($D1862="","",IFERROR(IF(INDEX(RUNS!$F$6:$F$1005,MATCH($D1862,RUNS!$A$6:$A$1005,0))="","",INDEX(RUNS!$F$6:$F$1005,MATCH($D1862,RUNS!$A$6:$A$1005,0))),""))</f>
        <v/>
      </c>
      <c r="N1862" s="33">
        <f>IF($D1862="","",IFERROR(IF(INDEX(RUNS!$G$6:$G$1005,MATCH($D1862,RUNS!$A$6:$A$1005,0))="","",INDEX(RUNS!$G$6:$G$1005,MATCH($D1862,RUNS!$A$6:$A$1005,0))),""))</f>
        <v/>
      </c>
      <c r="O1862" s="33">
        <f>IF($D1862="","",IFERROR(IF(INDEX(RUNS!$H$6:$H$1005,MATCH($D1862,RUNS!$A$6:$A$1005,0))="","",INDEX(RUNS!$H$6:$H$1005,MATCH($D1862,RUNS!$A$6:$A$1005,0))),""))</f>
        <v/>
      </c>
      <c r="P1862" s="33">
        <f>IF($D1862="","",IFERROR(IF(INDEX(RUNS!$J$6:$J$1005,MATCH($D1862,RUNS!$A$6:$A$1005,0))="","",INDEX(RUNS!$J$6:$J$1005,MATCH($D1862,RUNS!$A$6:$A$1005,0))),""))</f>
        <v/>
      </c>
      <c r="Q1862" s="33">
        <f>IF($D1862="","",IFERROR(IF(INDEX(RUNS!$K$6:$K$1005,MATCH($D1862,RUNS!$A$6:$A$1005,0))="","",INDEX(RUNS!$K$6:$K$1005,MATCH($D1862,RUNS!$A$6:$A$1005,0))),""))</f>
        <v/>
      </c>
      <c r="R1862" s="34">
        <f>IF(OR($L1862="",$K1862=""),"",IFERROR(IF(INDEX(PARAMETRES!$H$43:$H$342,MATCH($L1862&amp;"|"&amp;$M1862&amp;"|"&amp;$N1862&amp;"|"&amp;$O1862&amp;"|"&amp;$P1862&amp;"|"&amp;$Q1862&amp;"|"&amp;$K1862,PARAMETRES!$J$43:$J$342,0))="","",INDEX(PARAMETRES!$H$43:$H$342,MATCH($L1862&amp;"|"&amp;$M1862&amp;"|"&amp;$N1862&amp;"|"&amp;$O1862&amp;"|"&amp;$P1862&amp;"|"&amp;$Q1862&amp;"|"&amp;$K1862,PARAMETRES!$J$43:$J$342,0))),""))</f>
        <v/>
      </c>
      <c r="S1862" s="35">
        <f>IF(OR($G1862="",$X1862&lt;&gt;"VALIDE"),"",IFERROR(LOOKUP(2,1/(($B962:$B1861=$B1862)*($G962:$G1861=$G1862)*($X962:$X1861="VALIDE")),$C962:$C1861),""))</f>
        <v/>
      </c>
      <c r="T1862" s="36">
        <f>IF(OR($C1862="",$S1862=""),"",ROUND(($C1862-$S1862+IF($C1862&lt;$S1862,1,0))*1440,0))</f>
        <v/>
      </c>
      <c r="U1862" s="22">
        <f>IF(OR($H1862="",$T1862="",$T1862&lt;=0),"",$H1862*60/$T1862)</f>
        <v/>
      </c>
      <c r="V1862" s="37">
        <f>IF(OR($U1862="",$R1862="",$R1862=0),"",$U1862/$R1862)</f>
        <v/>
      </c>
      <c r="W1862" s="20">
        <f>IF($G1862="","",IF($X1862="CONTEXTE INCOMPLET","CONTEXTE INCOMPLET",IF($X1862="DOUBLON",StatutDoublon,IF($S1862="",StatutInitial,IF($R1862="",StatutStandardManquant,IF($V1862="","DONNEES INSUFFISANTES",IF($V1862&gt;=SeuilConforme,StatutConforme,IF($V1862&gt;=SeuilSurveiller,StatutSurveiller,StatutSousStandard))))))))</f>
        <v/>
      </c>
      <c r="X1862" s="33">
        <f>IF($G1862="","",IF(OR($D1862="",$E1862="",$F1862=""),"CONTEXTE INCOMPLET",IF(COUNTIFS($D962:$D1861,$D1862,$E962:$E1861,$E1862,$F962:$F1861,$F1862,$G962:$G1861,$G1862)&gt;0,"DOUBLON","VALIDE")))</f>
        <v/>
      </c>
    </row>
    <row r="1863" ht="15" customHeight="1">
      <c r="A1863" s="12">
        <f>IF(OR($B1863="",$G1863=""),"",TEXT($B1863,"YYYYMMDD")&amp;"-"&amp;SUBSTITUTE($E1863," ","")&amp;"-"&amp;$F1863&amp;"-"&amp;$G1863)</f>
        <v/>
      </c>
      <c r="B1863" s="15" t="n"/>
      <c r="C1863" s="16" t="n"/>
      <c r="D1863" s="10" t="n"/>
      <c r="E1863" s="9" t="n"/>
      <c r="F1863" s="9" t="n"/>
      <c r="G1863" s="13" t="n"/>
      <c r="H1863" s="21" t="n"/>
      <c r="I1863" s="21" t="n"/>
      <c r="J1863" s="17">
        <f>IF($G1863="","",IFERROR(INDEX(NomsEmployes,MATCH($G1863,MatriculesEmployes,0)),"MATRICULE INCONNU"))</f>
        <v/>
      </c>
      <c r="K1863" s="33">
        <f>IF(OR($D1863="",$F1863=""),"",IFERROR(IF(INDEX(RUNS!$L$6:$S$1005,MATCH($D1863,RUNS!$A$6:$A$1005,0),MATCH("ACTIVITÉ "&amp;$F1863,RUNS!$L$5:$S$5,0))="","",INDEX(RUNS!$L$6:$S$1005,MATCH($D1863,RUNS!$A$6:$A$1005,0),MATCH("ACTIVITÉ "&amp;$F1863,RUNS!$L$5:$S$5,0))),""))</f>
        <v/>
      </c>
      <c r="L1863" s="33">
        <f>IF($D1863="","",IFERROR(IF(INDEX(RUNS!$E$6:$E$1005,MATCH($D1863,RUNS!$A$6:$A$1005,0))="","",INDEX(RUNS!$E$6:$E$1005,MATCH($D1863,RUNS!$A$6:$A$1005,0))),""))</f>
        <v/>
      </c>
      <c r="M1863" s="33">
        <f>IF($D1863="","",IFERROR(IF(INDEX(RUNS!$F$6:$F$1005,MATCH($D1863,RUNS!$A$6:$A$1005,0))="","",INDEX(RUNS!$F$6:$F$1005,MATCH($D1863,RUNS!$A$6:$A$1005,0))),""))</f>
        <v/>
      </c>
      <c r="N1863" s="33">
        <f>IF($D1863="","",IFERROR(IF(INDEX(RUNS!$G$6:$G$1005,MATCH($D1863,RUNS!$A$6:$A$1005,0))="","",INDEX(RUNS!$G$6:$G$1005,MATCH($D1863,RUNS!$A$6:$A$1005,0))),""))</f>
        <v/>
      </c>
      <c r="O1863" s="33">
        <f>IF($D1863="","",IFERROR(IF(INDEX(RUNS!$H$6:$H$1005,MATCH($D1863,RUNS!$A$6:$A$1005,0))="","",INDEX(RUNS!$H$6:$H$1005,MATCH($D1863,RUNS!$A$6:$A$1005,0))),""))</f>
        <v/>
      </c>
      <c r="P1863" s="33">
        <f>IF($D1863="","",IFERROR(IF(INDEX(RUNS!$J$6:$J$1005,MATCH($D1863,RUNS!$A$6:$A$1005,0))="","",INDEX(RUNS!$J$6:$J$1005,MATCH($D1863,RUNS!$A$6:$A$1005,0))),""))</f>
        <v/>
      </c>
      <c r="Q1863" s="33">
        <f>IF($D1863="","",IFERROR(IF(INDEX(RUNS!$K$6:$K$1005,MATCH($D1863,RUNS!$A$6:$A$1005,0))="","",INDEX(RUNS!$K$6:$K$1005,MATCH($D1863,RUNS!$A$6:$A$1005,0))),""))</f>
        <v/>
      </c>
      <c r="R1863" s="34">
        <f>IF(OR($L1863="",$K1863=""),"",IFERROR(IF(INDEX(PARAMETRES!$H$43:$H$342,MATCH($L1863&amp;"|"&amp;$M1863&amp;"|"&amp;$N1863&amp;"|"&amp;$O1863&amp;"|"&amp;$P1863&amp;"|"&amp;$Q1863&amp;"|"&amp;$K1863,PARAMETRES!$J$43:$J$342,0))="","",INDEX(PARAMETRES!$H$43:$H$342,MATCH($L1863&amp;"|"&amp;$M1863&amp;"|"&amp;$N1863&amp;"|"&amp;$O1863&amp;"|"&amp;$P1863&amp;"|"&amp;$Q1863&amp;"|"&amp;$K1863,PARAMETRES!$J$43:$J$342,0))),""))</f>
        <v/>
      </c>
      <c r="S1863" s="35">
        <f>IF(OR($G1863="",$X1863&lt;&gt;"VALIDE"),"",IFERROR(LOOKUP(2,1/(($B963:$B1862=$B1863)*($G963:$G1862=$G1863)*($X963:$X1862="VALIDE")),$C963:$C1862),""))</f>
        <v/>
      </c>
      <c r="T1863" s="36">
        <f>IF(OR($C1863="",$S1863=""),"",ROUND(($C1863-$S1863+IF($C1863&lt;$S1863,1,0))*1440,0))</f>
        <v/>
      </c>
      <c r="U1863" s="22">
        <f>IF(OR($H1863="",$T1863="",$T1863&lt;=0),"",$H1863*60/$T1863)</f>
        <v/>
      </c>
      <c r="V1863" s="37">
        <f>IF(OR($U1863="",$R1863="",$R1863=0),"",$U1863/$R1863)</f>
        <v/>
      </c>
      <c r="W1863" s="20">
        <f>IF($G1863="","",IF($X1863="CONTEXTE INCOMPLET","CONTEXTE INCOMPLET",IF($X1863="DOUBLON",StatutDoublon,IF($S1863="",StatutInitial,IF($R1863="",StatutStandardManquant,IF($V1863="","DONNEES INSUFFISANTES",IF($V1863&gt;=SeuilConforme,StatutConforme,IF($V1863&gt;=SeuilSurveiller,StatutSurveiller,StatutSousStandard))))))))</f>
        <v/>
      </c>
      <c r="X1863" s="33">
        <f>IF($G1863="","",IF(OR($D1863="",$E1863="",$F1863=""),"CONTEXTE INCOMPLET",IF(COUNTIFS($D963:$D1862,$D1863,$E963:$E1862,$E1863,$F963:$F1862,$F1863,$G963:$G1862,$G1863)&gt;0,"DOUBLON","VALIDE")))</f>
        <v/>
      </c>
    </row>
    <row r="1864" ht="15" customHeight="1">
      <c r="A1864" s="12">
        <f>IF(OR($B1864="",$G1864=""),"",TEXT($B1864,"YYYYMMDD")&amp;"-"&amp;SUBSTITUTE($E1864," ","")&amp;"-"&amp;$F1864&amp;"-"&amp;$G1864)</f>
        <v/>
      </c>
      <c r="B1864" s="15" t="n"/>
      <c r="C1864" s="16" t="n"/>
      <c r="D1864" s="10" t="n"/>
      <c r="E1864" s="9" t="n"/>
      <c r="F1864" s="9" t="n"/>
      <c r="G1864" s="13" t="n"/>
      <c r="H1864" s="21" t="n"/>
      <c r="I1864" s="21" t="n"/>
      <c r="J1864" s="17">
        <f>IF($G1864="","",IFERROR(INDEX(NomsEmployes,MATCH($G1864,MatriculesEmployes,0)),"MATRICULE INCONNU"))</f>
        <v/>
      </c>
      <c r="K1864" s="33">
        <f>IF(OR($D1864="",$F1864=""),"",IFERROR(IF(INDEX(RUNS!$L$6:$S$1005,MATCH($D1864,RUNS!$A$6:$A$1005,0),MATCH("ACTIVITÉ "&amp;$F1864,RUNS!$L$5:$S$5,0))="","",INDEX(RUNS!$L$6:$S$1005,MATCH($D1864,RUNS!$A$6:$A$1005,0),MATCH("ACTIVITÉ "&amp;$F1864,RUNS!$L$5:$S$5,0))),""))</f>
        <v/>
      </c>
      <c r="L1864" s="33">
        <f>IF($D1864="","",IFERROR(IF(INDEX(RUNS!$E$6:$E$1005,MATCH($D1864,RUNS!$A$6:$A$1005,0))="","",INDEX(RUNS!$E$6:$E$1005,MATCH($D1864,RUNS!$A$6:$A$1005,0))),""))</f>
        <v/>
      </c>
      <c r="M1864" s="33">
        <f>IF($D1864="","",IFERROR(IF(INDEX(RUNS!$F$6:$F$1005,MATCH($D1864,RUNS!$A$6:$A$1005,0))="","",INDEX(RUNS!$F$6:$F$1005,MATCH($D1864,RUNS!$A$6:$A$1005,0))),""))</f>
        <v/>
      </c>
      <c r="N1864" s="33">
        <f>IF($D1864="","",IFERROR(IF(INDEX(RUNS!$G$6:$G$1005,MATCH($D1864,RUNS!$A$6:$A$1005,0))="","",INDEX(RUNS!$G$6:$G$1005,MATCH($D1864,RUNS!$A$6:$A$1005,0))),""))</f>
        <v/>
      </c>
      <c r="O1864" s="33">
        <f>IF($D1864="","",IFERROR(IF(INDEX(RUNS!$H$6:$H$1005,MATCH($D1864,RUNS!$A$6:$A$1005,0))="","",INDEX(RUNS!$H$6:$H$1005,MATCH($D1864,RUNS!$A$6:$A$1005,0))),""))</f>
        <v/>
      </c>
      <c r="P1864" s="33">
        <f>IF($D1864="","",IFERROR(IF(INDEX(RUNS!$J$6:$J$1005,MATCH($D1864,RUNS!$A$6:$A$1005,0))="","",INDEX(RUNS!$J$6:$J$1005,MATCH($D1864,RUNS!$A$6:$A$1005,0))),""))</f>
        <v/>
      </c>
      <c r="Q1864" s="33">
        <f>IF($D1864="","",IFERROR(IF(INDEX(RUNS!$K$6:$K$1005,MATCH($D1864,RUNS!$A$6:$A$1005,0))="","",INDEX(RUNS!$K$6:$K$1005,MATCH($D1864,RUNS!$A$6:$A$1005,0))),""))</f>
        <v/>
      </c>
      <c r="R1864" s="34">
        <f>IF(OR($L1864="",$K1864=""),"",IFERROR(IF(INDEX(PARAMETRES!$H$43:$H$342,MATCH($L1864&amp;"|"&amp;$M1864&amp;"|"&amp;$N1864&amp;"|"&amp;$O1864&amp;"|"&amp;$P1864&amp;"|"&amp;$Q1864&amp;"|"&amp;$K1864,PARAMETRES!$J$43:$J$342,0))="","",INDEX(PARAMETRES!$H$43:$H$342,MATCH($L1864&amp;"|"&amp;$M1864&amp;"|"&amp;$N1864&amp;"|"&amp;$O1864&amp;"|"&amp;$P1864&amp;"|"&amp;$Q1864&amp;"|"&amp;$K1864,PARAMETRES!$J$43:$J$342,0))),""))</f>
        <v/>
      </c>
      <c r="S1864" s="35">
        <f>IF(OR($G1864="",$X1864&lt;&gt;"VALIDE"),"",IFERROR(LOOKUP(2,1/(($B964:$B1863=$B1864)*($G964:$G1863=$G1864)*($X964:$X1863="VALIDE")),$C964:$C1863),""))</f>
        <v/>
      </c>
      <c r="T1864" s="36">
        <f>IF(OR($C1864="",$S1864=""),"",ROUND(($C1864-$S1864+IF($C1864&lt;$S1864,1,0))*1440,0))</f>
        <v/>
      </c>
      <c r="U1864" s="22">
        <f>IF(OR($H1864="",$T1864="",$T1864&lt;=0),"",$H1864*60/$T1864)</f>
        <v/>
      </c>
      <c r="V1864" s="37">
        <f>IF(OR($U1864="",$R1864="",$R1864=0),"",$U1864/$R1864)</f>
        <v/>
      </c>
      <c r="W1864" s="20">
        <f>IF($G1864="","",IF($X1864="CONTEXTE INCOMPLET","CONTEXTE INCOMPLET",IF($X1864="DOUBLON",StatutDoublon,IF($S1864="",StatutInitial,IF($R1864="",StatutStandardManquant,IF($V1864="","DONNEES INSUFFISANTES",IF($V1864&gt;=SeuilConforme,StatutConforme,IF($V1864&gt;=SeuilSurveiller,StatutSurveiller,StatutSousStandard))))))))</f>
        <v/>
      </c>
      <c r="X1864" s="33">
        <f>IF($G1864="","",IF(OR($D1864="",$E1864="",$F1864=""),"CONTEXTE INCOMPLET",IF(COUNTIFS($D964:$D1863,$D1864,$E964:$E1863,$E1864,$F964:$F1863,$F1864,$G964:$G1863,$G1864)&gt;0,"DOUBLON","VALIDE")))</f>
        <v/>
      </c>
    </row>
    <row r="1865" ht="15" customHeight="1">
      <c r="A1865" s="12">
        <f>IF(OR($B1865="",$G1865=""),"",TEXT($B1865,"YYYYMMDD")&amp;"-"&amp;SUBSTITUTE($E1865," ","")&amp;"-"&amp;$F1865&amp;"-"&amp;$G1865)</f>
        <v/>
      </c>
      <c r="B1865" s="15" t="n"/>
      <c r="C1865" s="16" t="n"/>
      <c r="D1865" s="10" t="n"/>
      <c r="E1865" s="9" t="n"/>
      <c r="F1865" s="9" t="n"/>
      <c r="G1865" s="13" t="n"/>
      <c r="H1865" s="21" t="n"/>
      <c r="I1865" s="21" t="n"/>
      <c r="J1865" s="17">
        <f>IF($G1865="","",IFERROR(INDEX(NomsEmployes,MATCH($G1865,MatriculesEmployes,0)),"MATRICULE INCONNU"))</f>
        <v/>
      </c>
      <c r="K1865" s="33">
        <f>IF(OR($D1865="",$F1865=""),"",IFERROR(IF(INDEX(RUNS!$L$6:$S$1005,MATCH($D1865,RUNS!$A$6:$A$1005,0),MATCH("ACTIVITÉ "&amp;$F1865,RUNS!$L$5:$S$5,0))="","",INDEX(RUNS!$L$6:$S$1005,MATCH($D1865,RUNS!$A$6:$A$1005,0),MATCH("ACTIVITÉ "&amp;$F1865,RUNS!$L$5:$S$5,0))),""))</f>
        <v/>
      </c>
      <c r="L1865" s="33">
        <f>IF($D1865="","",IFERROR(IF(INDEX(RUNS!$E$6:$E$1005,MATCH($D1865,RUNS!$A$6:$A$1005,0))="","",INDEX(RUNS!$E$6:$E$1005,MATCH($D1865,RUNS!$A$6:$A$1005,0))),""))</f>
        <v/>
      </c>
      <c r="M1865" s="33">
        <f>IF($D1865="","",IFERROR(IF(INDEX(RUNS!$F$6:$F$1005,MATCH($D1865,RUNS!$A$6:$A$1005,0))="","",INDEX(RUNS!$F$6:$F$1005,MATCH($D1865,RUNS!$A$6:$A$1005,0))),""))</f>
        <v/>
      </c>
      <c r="N1865" s="33">
        <f>IF($D1865="","",IFERROR(IF(INDEX(RUNS!$G$6:$G$1005,MATCH($D1865,RUNS!$A$6:$A$1005,0))="","",INDEX(RUNS!$G$6:$G$1005,MATCH($D1865,RUNS!$A$6:$A$1005,0))),""))</f>
        <v/>
      </c>
      <c r="O1865" s="33">
        <f>IF($D1865="","",IFERROR(IF(INDEX(RUNS!$H$6:$H$1005,MATCH($D1865,RUNS!$A$6:$A$1005,0))="","",INDEX(RUNS!$H$6:$H$1005,MATCH($D1865,RUNS!$A$6:$A$1005,0))),""))</f>
        <v/>
      </c>
      <c r="P1865" s="33">
        <f>IF($D1865="","",IFERROR(IF(INDEX(RUNS!$J$6:$J$1005,MATCH($D1865,RUNS!$A$6:$A$1005,0))="","",INDEX(RUNS!$J$6:$J$1005,MATCH($D1865,RUNS!$A$6:$A$1005,0))),""))</f>
        <v/>
      </c>
      <c r="Q1865" s="33">
        <f>IF($D1865="","",IFERROR(IF(INDEX(RUNS!$K$6:$K$1005,MATCH($D1865,RUNS!$A$6:$A$1005,0))="","",INDEX(RUNS!$K$6:$K$1005,MATCH($D1865,RUNS!$A$6:$A$1005,0))),""))</f>
        <v/>
      </c>
      <c r="R1865" s="34">
        <f>IF(OR($L1865="",$K1865=""),"",IFERROR(IF(INDEX(PARAMETRES!$H$43:$H$342,MATCH($L1865&amp;"|"&amp;$M1865&amp;"|"&amp;$N1865&amp;"|"&amp;$O1865&amp;"|"&amp;$P1865&amp;"|"&amp;$Q1865&amp;"|"&amp;$K1865,PARAMETRES!$J$43:$J$342,0))="","",INDEX(PARAMETRES!$H$43:$H$342,MATCH($L1865&amp;"|"&amp;$M1865&amp;"|"&amp;$N1865&amp;"|"&amp;$O1865&amp;"|"&amp;$P1865&amp;"|"&amp;$Q1865&amp;"|"&amp;$K1865,PARAMETRES!$J$43:$J$342,0))),""))</f>
        <v/>
      </c>
      <c r="S1865" s="35">
        <f>IF(OR($G1865="",$X1865&lt;&gt;"VALIDE"),"",IFERROR(LOOKUP(2,1/(($B965:$B1864=$B1865)*($G965:$G1864=$G1865)*($X965:$X1864="VALIDE")),$C965:$C1864),""))</f>
        <v/>
      </c>
      <c r="T1865" s="36">
        <f>IF(OR($C1865="",$S1865=""),"",ROUND(($C1865-$S1865+IF($C1865&lt;$S1865,1,0))*1440,0))</f>
        <v/>
      </c>
      <c r="U1865" s="22">
        <f>IF(OR($H1865="",$T1865="",$T1865&lt;=0),"",$H1865*60/$T1865)</f>
        <v/>
      </c>
      <c r="V1865" s="37">
        <f>IF(OR($U1865="",$R1865="",$R1865=0),"",$U1865/$R1865)</f>
        <v/>
      </c>
      <c r="W1865" s="20">
        <f>IF($G1865="","",IF($X1865="CONTEXTE INCOMPLET","CONTEXTE INCOMPLET",IF($X1865="DOUBLON",StatutDoublon,IF($S1865="",StatutInitial,IF($R1865="",StatutStandardManquant,IF($V1865="","DONNEES INSUFFISANTES",IF($V1865&gt;=SeuilConforme,StatutConforme,IF($V1865&gt;=SeuilSurveiller,StatutSurveiller,StatutSousStandard))))))))</f>
        <v/>
      </c>
      <c r="X1865" s="33">
        <f>IF($G1865="","",IF(OR($D1865="",$E1865="",$F1865=""),"CONTEXTE INCOMPLET",IF(COUNTIFS($D965:$D1864,$D1865,$E965:$E1864,$E1865,$F965:$F1864,$F1865,$G965:$G1864,$G1865)&gt;0,"DOUBLON","VALIDE")))</f>
        <v/>
      </c>
    </row>
    <row r="1866" ht="15" customHeight="1">
      <c r="A1866" s="12">
        <f>IF(OR($B1866="",$G1866=""),"",TEXT($B1866,"YYYYMMDD")&amp;"-"&amp;SUBSTITUTE($E1866," ","")&amp;"-"&amp;$F1866&amp;"-"&amp;$G1866)</f>
        <v/>
      </c>
      <c r="B1866" s="15" t="n"/>
      <c r="C1866" s="16" t="n"/>
      <c r="D1866" s="10" t="n"/>
      <c r="E1866" s="9" t="n"/>
      <c r="F1866" s="9" t="n"/>
      <c r="G1866" s="13" t="n"/>
      <c r="H1866" s="21" t="n"/>
      <c r="I1866" s="21" t="n"/>
      <c r="J1866" s="17">
        <f>IF($G1866="","",IFERROR(INDEX(NomsEmployes,MATCH($G1866,MatriculesEmployes,0)),"MATRICULE INCONNU"))</f>
        <v/>
      </c>
      <c r="K1866" s="33">
        <f>IF(OR($D1866="",$F1866=""),"",IFERROR(IF(INDEX(RUNS!$L$6:$S$1005,MATCH($D1866,RUNS!$A$6:$A$1005,0),MATCH("ACTIVITÉ "&amp;$F1866,RUNS!$L$5:$S$5,0))="","",INDEX(RUNS!$L$6:$S$1005,MATCH($D1866,RUNS!$A$6:$A$1005,0),MATCH("ACTIVITÉ "&amp;$F1866,RUNS!$L$5:$S$5,0))),""))</f>
        <v/>
      </c>
      <c r="L1866" s="33">
        <f>IF($D1866="","",IFERROR(IF(INDEX(RUNS!$E$6:$E$1005,MATCH($D1866,RUNS!$A$6:$A$1005,0))="","",INDEX(RUNS!$E$6:$E$1005,MATCH($D1866,RUNS!$A$6:$A$1005,0))),""))</f>
        <v/>
      </c>
      <c r="M1866" s="33">
        <f>IF($D1866="","",IFERROR(IF(INDEX(RUNS!$F$6:$F$1005,MATCH($D1866,RUNS!$A$6:$A$1005,0))="","",INDEX(RUNS!$F$6:$F$1005,MATCH($D1866,RUNS!$A$6:$A$1005,0))),""))</f>
        <v/>
      </c>
      <c r="N1866" s="33">
        <f>IF($D1866="","",IFERROR(IF(INDEX(RUNS!$G$6:$G$1005,MATCH($D1866,RUNS!$A$6:$A$1005,0))="","",INDEX(RUNS!$G$6:$G$1005,MATCH($D1866,RUNS!$A$6:$A$1005,0))),""))</f>
        <v/>
      </c>
      <c r="O1866" s="33">
        <f>IF($D1866="","",IFERROR(IF(INDEX(RUNS!$H$6:$H$1005,MATCH($D1866,RUNS!$A$6:$A$1005,0))="","",INDEX(RUNS!$H$6:$H$1005,MATCH($D1866,RUNS!$A$6:$A$1005,0))),""))</f>
        <v/>
      </c>
      <c r="P1866" s="33">
        <f>IF($D1866="","",IFERROR(IF(INDEX(RUNS!$J$6:$J$1005,MATCH($D1866,RUNS!$A$6:$A$1005,0))="","",INDEX(RUNS!$J$6:$J$1005,MATCH($D1866,RUNS!$A$6:$A$1005,0))),""))</f>
        <v/>
      </c>
      <c r="Q1866" s="33">
        <f>IF($D1866="","",IFERROR(IF(INDEX(RUNS!$K$6:$K$1005,MATCH($D1866,RUNS!$A$6:$A$1005,0))="","",INDEX(RUNS!$K$6:$K$1005,MATCH($D1866,RUNS!$A$6:$A$1005,0))),""))</f>
        <v/>
      </c>
      <c r="R1866" s="34">
        <f>IF(OR($L1866="",$K1866=""),"",IFERROR(IF(INDEX(PARAMETRES!$H$43:$H$342,MATCH($L1866&amp;"|"&amp;$M1866&amp;"|"&amp;$N1866&amp;"|"&amp;$O1866&amp;"|"&amp;$P1866&amp;"|"&amp;$Q1866&amp;"|"&amp;$K1866,PARAMETRES!$J$43:$J$342,0))="","",INDEX(PARAMETRES!$H$43:$H$342,MATCH($L1866&amp;"|"&amp;$M1866&amp;"|"&amp;$N1866&amp;"|"&amp;$O1866&amp;"|"&amp;$P1866&amp;"|"&amp;$Q1866&amp;"|"&amp;$K1866,PARAMETRES!$J$43:$J$342,0))),""))</f>
        <v/>
      </c>
      <c r="S1866" s="35">
        <f>IF(OR($G1866="",$X1866&lt;&gt;"VALIDE"),"",IFERROR(LOOKUP(2,1/(($B966:$B1865=$B1866)*($G966:$G1865=$G1866)*($X966:$X1865="VALIDE")),$C966:$C1865),""))</f>
        <v/>
      </c>
      <c r="T1866" s="36">
        <f>IF(OR($C1866="",$S1866=""),"",ROUND(($C1866-$S1866+IF($C1866&lt;$S1866,1,0))*1440,0))</f>
        <v/>
      </c>
      <c r="U1866" s="22">
        <f>IF(OR($H1866="",$T1866="",$T1866&lt;=0),"",$H1866*60/$T1866)</f>
        <v/>
      </c>
      <c r="V1866" s="37">
        <f>IF(OR($U1866="",$R1866="",$R1866=0),"",$U1866/$R1866)</f>
        <v/>
      </c>
      <c r="W1866" s="20">
        <f>IF($G1866="","",IF($X1866="CONTEXTE INCOMPLET","CONTEXTE INCOMPLET",IF($X1866="DOUBLON",StatutDoublon,IF($S1866="",StatutInitial,IF($R1866="",StatutStandardManquant,IF($V1866="","DONNEES INSUFFISANTES",IF($V1866&gt;=SeuilConforme,StatutConforme,IF($V1866&gt;=SeuilSurveiller,StatutSurveiller,StatutSousStandard))))))))</f>
        <v/>
      </c>
      <c r="X1866" s="33">
        <f>IF($G1866="","",IF(OR($D1866="",$E1866="",$F1866=""),"CONTEXTE INCOMPLET",IF(COUNTIFS($D966:$D1865,$D1866,$E966:$E1865,$E1866,$F966:$F1865,$F1866,$G966:$G1865,$G1866)&gt;0,"DOUBLON","VALIDE")))</f>
        <v/>
      </c>
    </row>
    <row r="1867" ht="15" customHeight="1">
      <c r="A1867" s="12">
        <f>IF(OR($B1867="",$G1867=""),"",TEXT($B1867,"YYYYMMDD")&amp;"-"&amp;SUBSTITUTE($E1867," ","")&amp;"-"&amp;$F1867&amp;"-"&amp;$G1867)</f>
        <v/>
      </c>
      <c r="B1867" s="15" t="n"/>
      <c r="C1867" s="16" t="n"/>
      <c r="D1867" s="10" t="n"/>
      <c r="E1867" s="9" t="n"/>
      <c r="F1867" s="9" t="n"/>
      <c r="G1867" s="13" t="n"/>
      <c r="H1867" s="21" t="n"/>
      <c r="I1867" s="21" t="n"/>
      <c r="J1867" s="17">
        <f>IF($G1867="","",IFERROR(INDEX(NomsEmployes,MATCH($G1867,MatriculesEmployes,0)),"MATRICULE INCONNU"))</f>
        <v/>
      </c>
      <c r="K1867" s="33">
        <f>IF(OR($D1867="",$F1867=""),"",IFERROR(IF(INDEX(RUNS!$L$6:$S$1005,MATCH($D1867,RUNS!$A$6:$A$1005,0),MATCH("ACTIVITÉ "&amp;$F1867,RUNS!$L$5:$S$5,0))="","",INDEX(RUNS!$L$6:$S$1005,MATCH($D1867,RUNS!$A$6:$A$1005,0),MATCH("ACTIVITÉ "&amp;$F1867,RUNS!$L$5:$S$5,0))),""))</f>
        <v/>
      </c>
      <c r="L1867" s="33">
        <f>IF($D1867="","",IFERROR(IF(INDEX(RUNS!$E$6:$E$1005,MATCH($D1867,RUNS!$A$6:$A$1005,0))="","",INDEX(RUNS!$E$6:$E$1005,MATCH($D1867,RUNS!$A$6:$A$1005,0))),""))</f>
        <v/>
      </c>
      <c r="M1867" s="33">
        <f>IF($D1867="","",IFERROR(IF(INDEX(RUNS!$F$6:$F$1005,MATCH($D1867,RUNS!$A$6:$A$1005,0))="","",INDEX(RUNS!$F$6:$F$1005,MATCH($D1867,RUNS!$A$6:$A$1005,0))),""))</f>
        <v/>
      </c>
      <c r="N1867" s="33">
        <f>IF($D1867="","",IFERROR(IF(INDEX(RUNS!$G$6:$G$1005,MATCH($D1867,RUNS!$A$6:$A$1005,0))="","",INDEX(RUNS!$G$6:$G$1005,MATCH($D1867,RUNS!$A$6:$A$1005,0))),""))</f>
        <v/>
      </c>
      <c r="O1867" s="33">
        <f>IF($D1867="","",IFERROR(IF(INDEX(RUNS!$H$6:$H$1005,MATCH($D1867,RUNS!$A$6:$A$1005,0))="","",INDEX(RUNS!$H$6:$H$1005,MATCH($D1867,RUNS!$A$6:$A$1005,0))),""))</f>
        <v/>
      </c>
      <c r="P1867" s="33">
        <f>IF($D1867="","",IFERROR(IF(INDEX(RUNS!$J$6:$J$1005,MATCH($D1867,RUNS!$A$6:$A$1005,0))="","",INDEX(RUNS!$J$6:$J$1005,MATCH($D1867,RUNS!$A$6:$A$1005,0))),""))</f>
        <v/>
      </c>
      <c r="Q1867" s="33">
        <f>IF($D1867="","",IFERROR(IF(INDEX(RUNS!$K$6:$K$1005,MATCH($D1867,RUNS!$A$6:$A$1005,0))="","",INDEX(RUNS!$K$6:$K$1005,MATCH($D1867,RUNS!$A$6:$A$1005,0))),""))</f>
        <v/>
      </c>
      <c r="R1867" s="34">
        <f>IF(OR($L1867="",$K1867=""),"",IFERROR(IF(INDEX(PARAMETRES!$H$43:$H$342,MATCH($L1867&amp;"|"&amp;$M1867&amp;"|"&amp;$N1867&amp;"|"&amp;$O1867&amp;"|"&amp;$P1867&amp;"|"&amp;$Q1867&amp;"|"&amp;$K1867,PARAMETRES!$J$43:$J$342,0))="","",INDEX(PARAMETRES!$H$43:$H$342,MATCH($L1867&amp;"|"&amp;$M1867&amp;"|"&amp;$N1867&amp;"|"&amp;$O1867&amp;"|"&amp;$P1867&amp;"|"&amp;$Q1867&amp;"|"&amp;$K1867,PARAMETRES!$J$43:$J$342,0))),""))</f>
        <v/>
      </c>
      <c r="S1867" s="35">
        <f>IF(OR($G1867="",$X1867&lt;&gt;"VALIDE"),"",IFERROR(LOOKUP(2,1/(($B967:$B1866=$B1867)*($G967:$G1866=$G1867)*($X967:$X1866="VALIDE")),$C967:$C1866),""))</f>
        <v/>
      </c>
      <c r="T1867" s="36">
        <f>IF(OR($C1867="",$S1867=""),"",ROUND(($C1867-$S1867+IF($C1867&lt;$S1867,1,0))*1440,0))</f>
        <v/>
      </c>
      <c r="U1867" s="22">
        <f>IF(OR($H1867="",$T1867="",$T1867&lt;=0),"",$H1867*60/$T1867)</f>
        <v/>
      </c>
      <c r="V1867" s="37">
        <f>IF(OR($U1867="",$R1867="",$R1867=0),"",$U1867/$R1867)</f>
        <v/>
      </c>
      <c r="W1867" s="20">
        <f>IF($G1867="","",IF($X1867="CONTEXTE INCOMPLET","CONTEXTE INCOMPLET",IF($X1867="DOUBLON",StatutDoublon,IF($S1867="",StatutInitial,IF($R1867="",StatutStandardManquant,IF($V1867="","DONNEES INSUFFISANTES",IF($V1867&gt;=SeuilConforme,StatutConforme,IF($V1867&gt;=SeuilSurveiller,StatutSurveiller,StatutSousStandard))))))))</f>
        <v/>
      </c>
      <c r="X1867" s="33">
        <f>IF($G1867="","",IF(OR($D1867="",$E1867="",$F1867=""),"CONTEXTE INCOMPLET",IF(COUNTIFS($D967:$D1866,$D1867,$E967:$E1866,$E1867,$F967:$F1866,$F1867,$G967:$G1866,$G1867)&gt;0,"DOUBLON","VALIDE")))</f>
        <v/>
      </c>
    </row>
    <row r="1868" ht="15" customHeight="1">
      <c r="A1868" s="12">
        <f>IF(OR($B1868="",$G1868=""),"",TEXT($B1868,"YYYYMMDD")&amp;"-"&amp;SUBSTITUTE($E1868," ","")&amp;"-"&amp;$F1868&amp;"-"&amp;$G1868)</f>
        <v/>
      </c>
      <c r="B1868" s="15" t="n"/>
      <c r="C1868" s="16" t="n"/>
      <c r="D1868" s="10" t="n"/>
      <c r="E1868" s="9" t="n"/>
      <c r="F1868" s="9" t="n"/>
      <c r="G1868" s="13" t="n"/>
      <c r="H1868" s="21" t="n"/>
      <c r="I1868" s="21" t="n"/>
      <c r="J1868" s="17">
        <f>IF($G1868="","",IFERROR(INDEX(NomsEmployes,MATCH($G1868,MatriculesEmployes,0)),"MATRICULE INCONNU"))</f>
        <v/>
      </c>
      <c r="K1868" s="33">
        <f>IF(OR($D1868="",$F1868=""),"",IFERROR(IF(INDEX(RUNS!$L$6:$S$1005,MATCH($D1868,RUNS!$A$6:$A$1005,0),MATCH("ACTIVITÉ "&amp;$F1868,RUNS!$L$5:$S$5,0))="","",INDEX(RUNS!$L$6:$S$1005,MATCH($D1868,RUNS!$A$6:$A$1005,0),MATCH("ACTIVITÉ "&amp;$F1868,RUNS!$L$5:$S$5,0))),""))</f>
        <v/>
      </c>
      <c r="L1868" s="33">
        <f>IF($D1868="","",IFERROR(IF(INDEX(RUNS!$E$6:$E$1005,MATCH($D1868,RUNS!$A$6:$A$1005,0))="","",INDEX(RUNS!$E$6:$E$1005,MATCH($D1868,RUNS!$A$6:$A$1005,0))),""))</f>
        <v/>
      </c>
      <c r="M1868" s="33">
        <f>IF($D1868="","",IFERROR(IF(INDEX(RUNS!$F$6:$F$1005,MATCH($D1868,RUNS!$A$6:$A$1005,0))="","",INDEX(RUNS!$F$6:$F$1005,MATCH($D1868,RUNS!$A$6:$A$1005,0))),""))</f>
        <v/>
      </c>
      <c r="N1868" s="33">
        <f>IF($D1868="","",IFERROR(IF(INDEX(RUNS!$G$6:$G$1005,MATCH($D1868,RUNS!$A$6:$A$1005,0))="","",INDEX(RUNS!$G$6:$G$1005,MATCH($D1868,RUNS!$A$6:$A$1005,0))),""))</f>
        <v/>
      </c>
      <c r="O1868" s="33">
        <f>IF($D1868="","",IFERROR(IF(INDEX(RUNS!$H$6:$H$1005,MATCH($D1868,RUNS!$A$6:$A$1005,0))="","",INDEX(RUNS!$H$6:$H$1005,MATCH($D1868,RUNS!$A$6:$A$1005,0))),""))</f>
        <v/>
      </c>
      <c r="P1868" s="33">
        <f>IF($D1868="","",IFERROR(IF(INDEX(RUNS!$J$6:$J$1005,MATCH($D1868,RUNS!$A$6:$A$1005,0))="","",INDEX(RUNS!$J$6:$J$1005,MATCH($D1868,RUNS!$A$6:$A$1005,0))),""))</f>
        <v/>
      </c>
      <c r="Q1868" s="33">
        <f>IF($D1868="","",IFERROR(IF(INDEX(RUNS!$K$6:$K$1005,MATCH($D1868,RUNS!$A$6:$A$1005,0))="","",INDEX(RUNS!$K$6:$K$1005,MATCH($D1868,RUNS!$A$6:$A$1005,0))),""))</f>
        <v/>
      </c>
      <c r="R1868" s="34">
        <f>IF(OR($L1868="",$K1868=""),"",IFERROR(IF(INDEX(PARAMETRES!$H$43:$H$342,MATCH($L1868&amp;"|"&amp;$M1868&amp;"|"&amp;$N1868&amp;"|"&amp;$O1868&amp;"|"&amp;$P1868&amp;"|"&amp;$Q1868&amp;"|"&amp;$K1868,PARAMETRES!$J$43:$J$342,0))="","",INDEX(PARAMETRES!$H$43:$H$342,MATCH($L1868&amp;"|"&amp;$M1868&amp;"|"&amp;$N1868&amp;"|"&amp;$O1868&amp;"|"&amp;$P1868&amp;"|"&amp;$Q1868&amp;"|"&amp;$K1868,PARAMETRES!$J$43:$J$342,0))),""))</f>
        <v/>
      </c>
      <c r="S1868" s="35">
        <f>IF(OR($G1868="",$X1868&lt;&gt;"VALIDE"),"",IFERROR(LOOKUP(2,1/(($B968:$B1867=$B1868)*($G968:$G1867=$G1868)*($X968:$X1867="VALIDE")),$C968:$C1867),""))</f>
        <v/>
      </c>
      <c r="T1868" s="36">
        <f>IF(OR($C1868="",$S1868=""),"",ROUND(($C1868-$S1868+IF($C1868&lt;$S1868,1,0))*1440,0))</f>
        <v/>
      </c>
      <c r="U1868" s="22">
        <f>IF(OR($H1868="",$T1868="",$T1868&lt;=0),"",$H1868*60/$T1868)</f>
        <v/>
      </c>
      <c r="V1868" s="37">
        <f>IF(OR($U1868="",$R1868="",$R1868=0),"",$U1868/$R1868)</f>
        <v/>
      </c>
      <c r="W1868" s="20">
        <f>IF($G1868="","",IF($X1868="CONTEXTE INCOMPLET","CONTEXTE INCOMPLET",IF($X1868="DOUBLON",StatutDoublon,IF($S1868="",StatutInitial,IF($R1868="",StatutStandardManquant,IF($V1868="","DONNEES INSUFFISANTES",IF($V1868&gt;=SeuilConforme,StatutConforme,IF($V1868&gt;=SeuilSurveiller,StatutSurveiller,StatutSousStandard))))))))</f>
        <v/>
      </c>
      <c r="X1868" s="33">
        <f>IF($G1868="","",IF(OR($D1868="",$E1868="",$F1868=""),"CONTEXTE INCOMPLET",IF(COUNTIFS($D968:$D1867,$D1868,$E968:$E1867,$E1868,$F968:$F1867,$F1868,$G968:$G1867,$G1868)&gt;0,"DOUBLON","VALIDE")))</f>
        <v/>
      </c>
    </row>
    <row r="1869" ht="15" customHeight="1">
      <c r="A1869" s="12">
        <f>IF(OR($B1869="",$G1869=""),"",TEXT($B1869,"YYYYMMDD")&amp;"-"&amp;SUBSTITUTE($E1869," ","")&amp;"-"&amp;$F1869&amp;"-"&amp;$G1869)</f>
        <v/>
      </c>
      <c r="B1869" s="15" t="n"/>
      <c r="C1869" s="16" t="n"/>
      <c r="D1869" s="10" t="n"/>
      <c r="E1869" s="9" t="n"/>
      <c r="F1869" s="9" t="n"/>
      <c r="G1869" s="13" t="n"/>
      <c r="H1869" s="21" t="n"/>
      <c r="I1869" s="21" t="n"/>
      <c r="J1869" s="17">
        <f>IF($G1869="","",IFERROR(INDEX(NomsEmployes,MATCH($G1869,MatriculesEmployes,0)),"MATRICULE INCONNU"))</f>
        <v/>
      </c>
      <c r="K1869" s="33">
        <f>IF(OR($D1869="",$F1869=""),"",IFERROR(IF(INDEX(RUNS!$L$6:$S$1005,MATCH($D1869,RUNS!$A$6:$A$1005,0),MATCH("ACTIVITÉ "&amp;$F1869,RUNS!$L$5:$S$5,0))="","",INDEX(RUNS!$L$6:$S$1005,MATCH($D1869,RUNS!$A$6:$A$1005,0),MATCH("ACTIVITÉ "&amp;$F1869,RUNS!$L$5:$S$5,0))),""))</f>
        <v/>
      </c>
      <c r="L1869" s="33">
        <f>IF($D1869="","",IFERROR(IF(INDEX(RUNS!$E$6:$E$1005,MATCH($D1869,RUNS!$A$6:$A$1005,0))="","",INDEX(RUNS!$E$6:$E$1005,MATCH($D1869,RUNS!$A$6:$A$1005,0))),""))</f>
        <v/>
      </c>
      <c r="M1869" s="33">
        <f>IF($D1869="","",IFERROR(IF(INDEX(RUNS!$F$6:$F$1005,MATCH($D1869,RUNS!$A$6:$A$1005,0))="","",INDEX(RUNS!$F$6:$F$1005,MATCH($D1869,RUNS!$A$6:$A$1005,0))),""))</f>
        <v/>
      </c>
      <c r="N1869" s="33">
        <f>IF($D1869="","",IFERROR(IF(INDEX(RUNS!$G$6:$G$1005,MATCH($D1869,RUNS!$A$6:$A$1005,0))="","",INDEX(RUNS!$G$6:$G$1005,MATCH($D1869,RUNS!$A$6:$A$1005,0))),""))</f>
        <v/>
      </c>
      <c r="O1869" s="33">
        <f>IF($D1869="","",IFERROR(IF(INDEX(RUNS!$H$6:$H$1005,MATCH($D1869,RUNS!$A$6:$A$1005,0))="","",INDEX(RUNS!$H$6:$H$1005,MATCH($D1869,RUNS!$A$6:$A$1005,0))),""))</f>
        <v/>
      </c>
      <c r="P1869" s="33">
        <f>IF($D1869="","",IFERROR(IF(INDEX(RUNS!$J$6:$J$1005,MATCH($D1869,RUNS!$A$6:$A$1005,0))="","",INDEX(RUNS!$J$6:$J$1005,MATCH($D1869,RUNS!$A$6:$A$1005,0))),""))</f>
        <v/>
      </c>
      <c r="Q1869" s="33">
        <f>IF($D1869="","",IFERROR(IF(INDEX(RUNS!$K$6:$K$1005,MATCH($D1869,RUNS!$A$6:$A$1005,0))="","",INDEX(RUNS!$K$6:$K$1005,MATCH($D1869,RUNS!$A$6:$A$1005,0))),""))</f>
        <v/>
      </c>
      <c r="R1869" s="34">
        <f>IF(OR($L1869="",$K1869=""),"",IFERROR(IF(INDEX(PARAMETRES!$H$43:$H$342,MATCH($L1869&amp;"|"&amp;$M1869&amp;"|"&amp;$N1869&amp;"|"&amp;$O1869&amp;"|"&amp;$P1869&amp;"|"&amp;$Q1869&amp;"|"&amp;$K1869,PARAMETRES!$J$43:$J$342,0))="","",INDEX(PARAMETRES!$H$43:$H$342,MATCH($L1869&amp;"|"&amp;$M1869&amp;"|"&amp;$N1869&amp;"|"&amp;$O1869&amp;"|"&amp;$P1869&amp;"|"&amp;$Q1869&amp;"|"&amp;$K1869,PARAMETRES!$J$43:$J$342,0))),""))</f>
        <v/>
      </c>
      <c r="S1869" s="35">
        <f>IF(OR($G1869="",$X1869&lt;&gt;"VALIDE"),"",IFERROR(LOOKUP(2,1/(($B969:$B1868=$B1869)*($G969:$G1868=$G1869)*($X969:$X1868="VALIDE")),$C969:$C1868),""))</f>
        <v/>
      </c>
      <c r="T1869" s="36">
        <f>IF(OR($C1869="",$S1869=""),"",ROUND(($C1869-$S1869+IF($C1869&lt;$S1869,1,0))*1440,0))</f>
        <v/>
      </c>
      <c r="U1869" s="22">
        <f>IF(OR($H1869="",$T1869="",$T1869&lt;=0),"",$H1869*60/$T1869)</f>
        <v/>
      </c>
      <c r="V1869" s="37">
        <f>IF(OR($U1869="",$R1869="",$R1869=0),"",$U1869/$R1869)</f>
        <v/>
      </c>
      <c r="W1869" s="20">
        <f>IF($G1869="","",IF($X1869="CONTEXTE INCOMPLET","CONTEXTE INCOMPLET",IF($X1869="DOUBLON",StatutDoublon,IF($S1869="",StatutInitial,IF($R1869="",StatutStandardManquant,IF($V1869="","DONNEES INSUFFISANTES",IF($V1869&gt;=SeuilConforme,StatutConforme,IF($V1869&gt;=SeuilSurveiller,StatutSurveiller,StatutSousStandard))))))))</f>
        <v/>
      </c>
      <c r="X1869" s="33">
        <f>IF($G1869="","",IF(OR($D1869="",$E1869="",$F1869=""),"CONTEXTE INCOMPLET",IF(COUNTIFS($D969:$D1868,$D1869,$E969:$E1868,$E1869,$F969:$F1868,$F1869,$G969:$G1868,$G1869)&gt;0,"DOUBLON","VALIDE")))</f>
        <v/>
      </c>
    </row>
    <row r="1870" ht="15" customHeight="1">
      <c r="A1870" s="12">
        <f>IF(OR($B1870="",$G1870=""),"",TEXT($B1870,"YYYYMMDD")&amp;"-"&amp;SUBSTITUTE($E1870," ","")&amp;"-"&amp;$F1870&amp;"-"&amp;$G1870)</f>
        <v/>
      </c>
      <c r="B1870" s="15" t="n"/>
      <c r="C1870" s="16" t="n"/>
      <c r="D1870" s="10" t="n"/>
      <c r="E1870" s="9" t="n"/>
      <c r="F1870" s="9" t="n"/>
      <c r="G1870" s="13" t="n"/>
      <c r="H1870" s="21" t="n"/>
      <c r="I1870" s="21" t="n"/>
      <c r="J1870" s="17">
        <f>IF($G1870="","",IFERROR(INDEX(NomsEmployes,MATCH($G1870,MatriculesEmployes,0)),"MATRICULE INCONNU"))</f>
        <v/>
      </c>
      <c r="K1870" s="33">
        <f>IF(OR($D1870="",$F1870=""),"",IFERROR(IF(INDEX(RUNS!$L$6:$S$1005,MATCH($D1870,RUNS!$A$6:$A$1005,0),MATCH("ACTIVITÉ "&amp;$F1870,RUNS!$L$5:$S$5,0))="","",INDEX(RUNS!$L$6:$S$1005,MATCH($D1870,RUNS!$A$6:$A$1005,0),MATCH("ACTIVITÉ "&amp;$F1870,RUNS!$L$5:$S$5,0))),""))</f>
        <v/>
      </c>
      <c r="L1870" s="33">
        <f>IF($D1870="","",IFERROR(IF(INDEX(RUNS!$E$6:$E$1005,MATCH($D1870,RUNS!$A$6:$A$1005,0))="","",INDEX(RUNS!$E$6:$E$1005,MATCH($D1870,RUNS!$A$6:$A$1005,0))),""))</f>
        <v/>
      </c>
      <c r="M1870" s="33">
        <f>IF($D1870="","",IFERROR(IF(INDEX(RUNS!$F$6:$F$1005,MATCH($D1870,RUNS!$A$6:$A$1005,0))="","",INDEX(RUNS!$F$6:$F$1005,MATCH($D1870,RUNS!$A$6:$A$1005,0))),""))</f>
        <v/>
      </c>
      <c r="N1870" s="33">
        <f>IF($D1870="","",IFERROR(IF(INDEX(RUNS!$G$6:$G$1005,MATCH($D1870,RUNS!$A$6:$A$1005,0))="","",INDEX(RUNS!$G$6:$G$1005,MATCH($D1870,RUNS!$A$6:$A$1005,0))),""))</f>
        <v/>
      </c>
      <c r="O1870" s="33">
        <f>IF($D1870="","",IFERROR(IF(INDEX(RUNS!$H$6:$H$1005,MATCH($D1870,RUNS!$A$6:$A$1005,0))="","",INDEX(RUNS!$H$6:$H$1005,MATCH($D1870,RUNS!$A$6:$A$1005,0))),""))</f>
        <v/>
      </c>
      <c r="P1870" s="33">
        <f>IF($D1870="","",IFERROR(IF(INDEX(RUNS!$J$6:$J$1005,MATCH($D1870,RUNS!$A$6:$A$1005,0))="","",INDEX(RUNS!$J$6:$J$1005,MATCH($D1870,RUNS!$A$6:$A$1005,0))),""))</f>
        <v/>
      </c>
      <c r="Q1870" s="33">
        <f>IF($D1870="","",IFERROR(IF(INDEX(RUNS!$K$6:$K$1005,MATCH($D1870,RUNS!$A$6:$A$1005,0))="","",INDEX(RUNS!$K$6:$K$1005,MATCH($D1870,RUNS!$A$6:$A$1005,0))),""))</f>
        <v/>
      </c>
      <c r="R1870" s="34">
        <f>IF(OR($L1870="",$K1870=""),"",IFERROR(IF(INDEX(PARAMETRES!$H$43:$H$342,MATCH($L1870&amp;"|"&amp;$M1870&amp;"|"&amp;$N1870&amp;"|"&amp;$O1870&amp;"|"&amp;$P1870&amp;"|"&amp;$Q1870&amp;"|"&amp;$K1870,PARAMETRES!$J$43:$J$342,0))="","",INDEX(PARAMETRES!$H$43:$H$342,MATCH($L1870&amp;"|"&amp;$M1870&amp;"|"&amp;$N1870&amp;"|"&amp;$O1870&amp;"|"&amp;$P1870&amp;"|"&amp;$Q1870&amp;"|"&amp;$K1870,PARAMETRES!$J$43:$J$342,0))),""))</f>
        <v/>
      </c>
      <c r="S1870" s="35">
        <f>IF(OR($G1870="",$X1870&lt;&gt;"VALIDE"),"",IFERROR(LOOKUP(2,1/(($B970:$B1869=$B1870)*($G970:$G1869=$G1870)*($X970:$X1869="VALIDE")),$C970:$C1869),""))</f>
        <v/>
      </c>
      <c r="T1870" s="36">
        <f>IF(OR($C1870="",$S1870=""),"",ROUND(($C1870-$S1870+IF($C1870&lt;$S1870,1,0))*1440,0))</f>
        <v/>
      </c>
      <c r="U1870" s="22">
        <f>IF(OR($H1870="",$T1870="",$T1870&lt;=0),"",$H1870*60/$T1870)</f>
        <v/>
      </c>
      <c r="V1870" s="37">
        <f>IF(OR($U1870="",$R1870="",$R1870=0),"",$U1870/$R1870)</f>
        <v/>
      </c>
      <c r="W1870" s="20">
        <f>IF($G1870="","",IF($X1870="CONTEXTE INCOMPLET","CONTEXTE INCOMPLET",IF($X1870="DOUBLON",StatutDoublon,IF($S1870="",StatutInitial,IF($R1870="",StatutStandardManquant,IF($V1870="","DONNEES INSUFFISANTES",IF($V1870&gt;=SeuilConforme,StatutConforme,IF($V1870&gt;=SeuilSurveiller,StatutSurveiller,StatutSousStandard))))))))</f>
        <v/>
      </c>
      <c r="X1870" s="33">
        <f>IF($G1870="","",IF(OR($D1870="",$E1870="",$F1870=""),"CONTEXTE INCOMPLET",IF(COUNTIFS($D970:$D1869,$D1870,$E970:$E1869,$E1870,$F970:$F1869,$F1870,$G970:$G1869,$G1870)&gt;0,"DOUBLON","VALIDE")))</f>
        <v/>
      </c>
    </row>
    <row r="1871" ht="15" customHeight="1">
      <c r="A1871" s="12">
        <f>IF(OR($B1871="",$G1871=""),"",TEXT($B1871,"YYYYMMDD")&amp;"-"&amp;SUBSTITUTE($E1871," ","")&amp;"-"&amp;$F1871&amp;"-"&amp;$G1871)</f>
        <v/>
      </c>
      <c r="B1871" s="15" t="n"/>
      <c r="C1871" s="16" t="n"/>
      <c r="D1871" s="10" t="n"/>
      <c r="E1871" s="9" t="n"/>
      <c r="F1871" s="9" t="n"/>
      <c r="G1871" s="13" t="n"/>
      <c r="H1871" s="21" t="n"/>
      <c r="I1871" s="21" t="n"/>
      <c r="J1871" s="17">
        <f>IF($G1871="","",IFERROR(INDEX(NomsEmployes,MATCH($G1871,MatriculesEmployes,0)),"MATRICULE INCONNU"))</f>
        <v/>
      </c>
      <c r="K1871" s="33">
        <f>IF(OR($D1871="",$F1871=""),"",IFERROR(IF(INDEX(RUNS!$L$6:$S$1005,MATCH($D1871,RUNS!$A$6:$A$1005,0),MATCH("ACTIVITÉ "&amp;$F1871,RUNS!$L$5:$S$5,0))="","",INDEX(RUNS!$L$6:$S$1005,MATCH($D1871,RUNS!$A$6:$A$1005,0),MATCH("ACTIVITÉ "&amp;$F1871,RUNS!$L$5:$S$5,0))),""))</f>
        <v/>
      </c>
      <c r="L1871" s="33">
        <f>IF($D1871="","",IFERROR(IF(INDEX(RUNS!$E$6:$E$1005,MATCH($D1871,RUNS!$A$6:$A$1005,0))="","",INDEX(RUNS!$E$6:$E$1005,MATCH($D1871,RUNS!$A$6:$A$1005,0))),""))</f>
        <v/>
      </c>
      <c r="M1871" s="33">
        <f>IF($D1871="","",IFERROR(IF(INDEX(RUNS!$F$6:$F$1005,MATCH($D1871,RUNS!$A$6:$A$1005,0))="","",INDEX(RUNS!$F$6:$F$1005,MATCH($D1871,RUNS!$A$6:$A$1005,0))),""))</f>
        <v/>
      </c>
      <c r="N1871" s="33">
        <f>IF($D1871="","",IFERROR(IF(INDEX(RUNS!$G$6:$G$1005,MATCH($D1871,RUNS!$A$6:$A$1005,0))="","",INDEX(RUNS!$G$6:$G$1005,MATCH($D1871,RUNS!$A$6:$A$1005,0))),""))</f>
        <v/>
      </c>
      <c r="O1871" s="33">
        <f>IF($D1871="","",IFERROR(IF(INDEX(RUNS!$H$6:$H$1005,MATCH($D1871,RUNS!$A$6:$A$1005,0))="","",INDEX(RUNS!$H$6:$H$1005,MATCH($D1871,RUNS!$A$6:$A$1005,0))),""))</f>
        <v/>
      </c>
      <c r="P1871" s="33">
        <f>IF($D1871="","",IFERROR(IF(INDEX(RUNS!$J$6:$J$1005,MATCH($D1871,RUNS!$A$6:$A$1005,0))="","",INDEX(RUNS!$J$6:$J$1005,MATCH($D1871,RUNS!$A$6:$A$1005,0))),""))</f>
        <v/>
      </c>
      <c r="Q1871" s="33">
        <f>IF($D1871="","",IFERROR(IF(INDEX(RUNS!$K$6:$K$1005,MATCH($D1871,RUNS!$A$6:$A$1005,0))="","",INDEX(RUNS!$K$6:$K$1005,MATCH($D1871,RUNS!$A$6:$A$1005,0))),""))</f>
        <v/>
      </c>
      <c r="R1871" s="34">
        <f>IF(OR($L1871="",$K1871=""),"",IFERROR(IF(INDEX(PARAMETRES!$H$43:$H$342,MATCH($L1871&amp;"|"&amp;$M1871&amp;"|"&amp;$N1871&amp;"|"&amp;$O1871&amp;"|"&amp;$P1871&amp;"|"&amp;$Q1871&amp;"|"&amp;$K1871,PARAMETRES!$J$43:$J$342,0))="","",INDEX(PARAMETRES!$H$43:$H$342,MATCH($L1871&amp;"|"&amp;$M1871&amp;"|"&amp;$N1871&amp;"|"&amp;$O1871&amp;"|"&amp;$P1871&amp;"|"&amp;$Q1871&amp;"|"&amp;$K1871,PARAMETRES!$J$43:$J$342,0))),""))</f>
        <v/>
      </c>
      <c r="S1871" s="35">
        <f>IF(OR($G1871="",$X1871&lt;&gt;"VALIDE"),"",IFERROR(LOOKUP(2,1/(($B971:$B1870=$B1871)*($G971:$G1870=$G1871)*($X971:$X1870="VALIDE")),$C971:$C1870),""))</f>
        <v/>
      </c>
      <c r="T1871" s="36">
        <f>IF(OR($C1871="",$S1871=""),"",ROUND(($C1871-$S1871+IF($C1871&lt;$S1871,1,0))*1440,0))</f>
        <v/>
      </c>
      <c r="U1871" s="22">
        <f>IF(OR($H1871="",$T1871="",$T1871&lt;=0),"",$H1871*60/$T1871)</f>
        <v/>
      </c>
      <c r="V1871" s="37">
        <f>IF(OR($U1871="",$R1871="",$R1871=0),"",$U1871/$R1871)</f>
        <v/>
      </c>
      <c r="W1871" s="20">
        <f>IF($G1871="","",IF($X1871="CONTEXTE INCOMPLET","CONTEXTE INCOMPLET",IF($X1871="DOUBLON",StatutDoublon,IF($S1871="",StatutInitial,IF($R1871="",StatutStandardManquant,IF($V1871="","DONNEES INSUFFISANTES",IF($V1871&gt;=SeuilConforme,StatutConforme,IF($V1871&gt;=SeuilSurveiller,StatutSurveiller,StatutSousStandard))))))))</f>
        <v/>
      </c>
      <c r="X1871" s="33">
        <f>IF($G1871="","",IF(OR($D1871="",$E1871="",$F1871=""),"CONTEXTE INCOMPLET",IF(COUNTIFS($D971:$D1870,$D1871,$E971:$E1870,$E1871,$F971:$F1870,$F1871,$G971:$G1870,$G1871)&gt;0,"DOUBLON","VALIDE")))</f>
        <v/>
      </c>
    </row>
    <row r="1872" ht="15" customHeight="1">
      <c r="A1872" s="12">
        <f>IF(OR($B1872="",$G1872=""),"",TEXT($B1872,"YYYYMMDD")&amp;"-"&amp;SUBSTITUTE($E1872," ","")&amp;"-"&amp;$F1872&amp;"-"&amp;$G1872)</f>
        <v/>
      </c>
      <c r="B1872" s="15" t="n"/>
      <c r="C1872" s="16" t="n"/>
      <c r="D1872" s="10" t="n"/>
      <c r="E1872" s="9" t="n"/>
      <c r="F1872" s="9" t="n"/>
      <c r="G1872" s="13" t="n"/>
      <c r="H1872" s="21" t="n"/>
      <c r="I1872" s="21" t="n"/>
      <c r="J1872" s="17">
        <f>IF($G1872="","",IFERROR(INDEX(NomsEmployes,MATCH($G1872,MatriculesEmployes,0)),"MATRICULE INCONNU"))</f>
        <v/>
      </c>
      <c r="K1872" s="33">
        <f>IF(OR($D1872="",$F1872=""),"",IFERROR(IF(INDEX(RUNS!$L$6:$S$1005,MATCH($D1872,RUNS!$A$6:$A$1005,0),MATCH("ACTIVITÉ "&amp;$F1872,RUNS!$L$5:$S$5,0))="","",INDEX(RUNS!$L$6:$S$1005,MATCH($D1872,RUNS!$A$6:$A$1005,0),MATCH("ACTIVITÉ "&amp;$F1872,RUNS!$L$5:$S$5,0))),""))</f>
        <v/>
      </c>
      <c r="L1872" s="33">
        <f>IF($D1872="","",IFERROR(IF(INDEX(RUNS!$E$6:$E$1005,MATCH($D1872,RUNS!$A$6:$A$1005,0))="","",INDEX(RUNS!$E$6:$E$1005,MATCH($D1872,RUNS!$A$6:$A$1005,0))),""))</f>
        <v/>
      </c>
      <c r="M1872" s="33">
        <f>IF($D1872="","",IFERROR(IF(INDEX(RUNS!$F$6:$F$1005,MATCH($D1872,RUNS!$A$6:$A$1005,0))="","",INDEX(RUNS!$F$6:$F$1005,MATCH($D1872,RUNS!$A$6:$A$1005,0))),""))</f>
        <v/>
      </c>
      <c r="N1872" s="33">
        <f>IF($D1872="","",IFERROR(IF(INDEX(RUNS!$G$6:$G$1005,MATCH($D1872,RUNS!$A$6:$A$1005,0))="","",INDEX(RUNS!$G$6:$G$1005,MATCH($D1872,RUNS!$A$6:$A$1005,0))),""))</f>
        <v/>
      </c>
      <c r="O1872" s="33">
        <f>IF($D1872="","",IFERROR(IF(INDEX(RUNS!$H$6:$H$1005,MATCH($D1872,RUNS!$A$6:$A$1005,0))="","",INDEX(RUNS!$H$6:$H$1005,MATCH($D1872,RUNS!$A$6:$A$1005,0))),""))</f>
        <v/>
      </c>
      <c r="P1872" s="33">
        <f>IF($D1872="","",IFERROR(IF(INDEX(RUNS!$J$6:$J$1005,MATCH($D1872,RUNS!$A$6:$A$1005,0))="","",INDEX(RUNS!$J$6:$J$1005,MATCH($D1872,RUNS!$A$6:$A$1005,0))),""))</f>
        <v/>
      </c>
      <c r="Q1872" s="33">
        <f>IF($D1872="","",IFERROR(IF(INDEX(RUNS!$K$6:$K$1005,MATCH($D1872,RUNS!$A$6:$A$1005,0))="","",INDEX(RUNS!$K$6:$K$1005,MATCH($D1872,RUNS!$A$6:$A$1005,0))),""))</f>
        <v/>
      </c>
      <c r="R1872" s="34">
        <f>IF(OR($L1872="",$K1872=""),"",IFERROR(IF(INDEX(PARAMETRES!$H$43:$H$342,MATCH($L1872&amp;"|"&amp;$M1872&amp;"|"&amp;$N1872&amp;"|"&amp;$O1872&amp;"|"&amp;$P1872&amp;"|"&amp;$Q1872&amp;"|"&amp;$K1872,PARAMETRES!$J$43:$J$342,0))="","",INDEX(PARAMETRES!$H$43:$H$342,MATCH($L1872&amp;"|"&amp;$M1872&amp;"|"&amp;$N1872&amp;"|"&amp;$O1872&amp;"|"&amp;$P1872&amp;"|"&amp;$Q1872&amp;"|"&amp;$K1872,PARAMETRES!$J$43:$J$342,0))),""))</f>
        <v/>
      </c>
      <c r="S1872" s="35">
        <f>IF(OR($G1872="",$X1872&lt;&gt;"VALIDE"),"",IFERROR(LOOKUP(2,1/(($B972:$B1871=$B1872)*($G972:$G1871=$G1872)*($X972:$X1871="VALIDE")),$C972:$C1871),""))</f>
        <v/>
      </c>
      <c r="T1872" s="36">
        <f>IF(OR($C1872="",$S1872=""),"",ROUND(($C1872-$S1872+IF($C1872&lt;$S1872,1,0))*1440,0))</f>
        <v/>
      </c>
      <c r="U1872" s="22">
        <f>IF(OR($H1872="",$T1872="",$T1872&lt;=0),"",$H1872*60/$T1872)</f>
        <v/>
      </c>
      <c r="V1872" s="37">
        <f>IF(OR($U1872="",$R1872="",$R1872=0),"",$U1872/$R1872)</f>
        <v/>
      </c>
      <c r="W1872" s="20">
        <f>IF($G1872="","",IF($X1872="CONTEXTE INCOMPLET","CONTEXTE INCOMPLET",IF($X1872="DOUBLON",StatutDoublon,IF($S1872="",StatutInitial,IF($R1872="",StatutStandardManquant,IF($V1872="","DONNEES INSUFFISANTES",IF($V1872&gt;=SeuilConforme,StatutConforme,IF($V1872&gt;=SeuilSurveiller,StatutSurveiller,StatutSousStandard))))))))</f>
        <v/>
      </c>
      <c r="X1872" s="33">
        <f>IF($G1872="","",IF(OR($D1872="",$E1872="",$F1872=""),"CONTEXTE INCOMPLET",IF(COUNTIFS($D972:$D1871,$D1872,$E972:$E1871,$E1872,$F972:$F1871,$F1872,$G972:$G1871,$G1872)&gt;0,"DOUBLON","VALIDE")))</f>
        <v/>
      </c>
    </row>
    <row r="1873" ht="15" customHeight="1">
      <c r="A1873" s="12">
        <f>IF(OR($B1873="",$G1873=""),"",TEXT($B1873,"YYYYMMDD")&amp;"-"&amp;SUBSTITUTE($E1873," ","")&amp;"-"&amp;$F1873&amp;"-"&amp;$G1873)</f>
        <v/>
      </c>
      <c r="B1873" s="15" t="n"/>
      <c r="C1873" s="16" t="n"/>
      <c r="D1873" s="10" t="n"/>
      <c r="E1873" s="9" t="n"/>
      <c r="F1873" s="9" t="n"/>
      <c r="G1873" s="13" t="n"/>
      <c r="H1873" s="21" t="n"/>
      <c r="I1873" s="21" t="n"/>
      <c r="J1873" s="17">
        <f>IF($G1873="","",IFERROR(INDEX(NomsEmployes,MATCH($G1873,MatriculesEmployes,0)),"MATRICULE INCONNU"))</f>
        <v/>
      </c>
      <c r="K1873" s="33">
        <f>IF(OR($D1873="",$F1873=""),"",IFERROR(IF(INDEX(RUNS!$L$6:$S$1005,MATCH($D1873,RUNS!$A$6:$A$1005,0),MATCH("ACTIVITÉ "&amp;$F1873,RUNS!$L$5:$S$5,0))="","",INDEX(RUNS!$L$6:$S$1005,MATCH($D1873,RUNS!$A$6:$A$1005,0),MATCH("ACTIVITÉ "&amp;$F1873,RUNS!$L$5:$S$5,0))),""))</f>
        <v/>
      </c>
      <c r="L1873" s="33">
        <f>IF($D1873="","",IFERROR(IF(INDEX(RUNS!$E$6:$E$1005,MATCH($D1873,RUNS!$A$6:$A$1005,0))="","",INDEX(RUNS!$E$6:$E$1005,MATCH($D1873,RUNS!$A$6:$A$1005,0))),""))</f>
        <v/>
      </c>
      <c r="M1873" s="33">
        <f>IF($D1873="","",IFERROR(IF(INDEX(RUNS!$F$6:$F$1005,MATCH($D1873,RUNS!$A$6:$A$1005,0))="","",INDEX(RUNS!$F$6:$F$1005,MATCH($D1873,RUNS!$A$6:$A$1005,0))),""))</f>
        <v/>
      </c>
      <c r="N1873" s="33">
        <f>IF($D1873="","",IFERROR(IF(INDEX(RUNS!$G$6:$G$1005,MATCH($D1873,RUNS!$A$6:$A$1005,0))="","",INDEX(RUNS!$G$6:$G$1005,MATCH($D1873,RUNS!$A$6:$A$1005,0))),""))</f>
        <v/>
      </c>
      <c r="O1873" s="33">
        <f>IF($D1873="","",IFERROR(IF(INDEX(RUNS!$H$6:$H$1005,MATCH($D1873,RUNS!$A$6:$A$1005,0))="","",INDEX(RUNS!$H$6:$H$1005,MATCH($D1873,RUNS!$A$6:$A$1005,0))),""))</f>
        <v/>
      </c>
      <c r="P1873" s="33">
        <f>IF($D1873="","",IFERROR(IF(INDEX(RUNS!$J$6:$J$1005,MATCH($D1873,RUNS!$A$6:$A$1005,0))="","",INDEX(RUNS!$J$6:$J$1005,MATCH($D1873,RUNS!$A$6:$A$1005,0))),""))</f>
        <v/>
      </c>
      <c r="Q1873" s="33">
        <f>IF($D1873="","",IFERROR(IF(INDEX(RUNS!$K$6:$K$1005,MATCH($D1873,RUNS!$A$6:$A$1005,0))="","",INDEX(RUNS!$K$6:$K$1005,MATCH($D1873,RUNS!$A$6:$A$1005,0))),""))</f>
        <v/>
      </c>
      <c r="R1873" s="34">
        <f>IF(OR($L1873="",$K1873=""),"",IFERROR(IF(INDEX(PARAMETRES!$H$43:$H$342,MATCH($L1873&amp;"|"&amp;$M1873&amp;"|"&amp;$N1873&amp;"|"&amp;$O1873&amp;"|"&amp;$P1873&amp;"|"&amp;$Q1873&amp;"|"&amp;$K1873,PARAMETRES!$J$43:$J$342,0))="","",INDEX(PARAMETRES!$H$43:$H$342,MATCH($L1873&amp;"|"&amp;$M1873&amp;"|"&amp;$N1873&amp;"|"&amp;$O1873&amp;"|"&amp;$P1873&amp;"|"&amp;$Q1873&amp;"|"&amp;$K1873,PARAMETRES!$J$43:$J$342,0))),""))</f>
        <v/>
      </c>
      <c r="S1873" s="35">
        <f>IF(OR($G1873="",$X1873&lt;&gt;"VALIDE"),"",IFERROR(LOOKUP(2,1/(($B973:$B1872=$B1873)*($G973:$G1872=$G1873)*($X973:$X1872="VALIDE")),$C973:$C1872),""))</f>
        <v/>
      </c>
      <c r="T1873" s="36">
        <f>IF(OR($C1873="",$S1873=""),"",ROUND(($C1873-$S1873+IF($C1873&lt;$S1873,1,0))*1440,0))</f>
        <v/>
      </c>
      <c r="U1873" s="22">
        <f>IF(OR($H1873="",$T1873="",$T1873&lt;=0),"",$H1873*60/$T1873)</f>
        <v/>
      </c>
      <c r="V1873" s="37">
        <f>IF(OR($U1873="",$R1873="",$R1873=0),"",$U1873/$R1873)</f>
        <v/>
      </c>
      <c r="W1873" s="20">
        <f>IF($G1873="","",IF($X1873="CONTEXTE INCOMPLET","CONTEXTE INCOMPLET",IF($X1873="DOUBLON",StatutDoublon,IF($S1873="",StatutInitial,IF($R1873="",StatutStandardManquant,IF($V1873="","DONNEES INSUFFISANTES",IF($V1873&gt;=SeuilConforme,StatutConforme,IF($V1873&gt;=SeuilSurveiller,StatutSurveiller,StatutSousStandard))))))))</f>
        <v/>
      </c>
      <c r="X1873" s="33">
        <f>IF($G1873="","",IF(OR($D1873="",$E1873="",$F1873=""),"CONTEXTE INCOMPLET",IF(COUNTIFS($D973:$D1872,$D1873,$E973:$E1872,$E1873,$F973:$F1872,$F1873,$G973:$G1872,$G1873)&gt;0,"DOUBLON","VALIDE")))</f>
        <v/>
      </c>
    </row>
    <row r="1874" ht="15" customHeight="1">
      <c r="A1874" s="12">
        <f>IF(OR($B1874="",$G1874=""),"",TEXT($B1874,"YYYYMMDD")&amp;"-"&amp;SUBSTITUTE($E1874," ","")&amp;"-"&amp;$F1874&amp;"-"&amp;$G1874)</f>
        <v/>
      </c>
      <c r="B1874" s="15" t="n"/>
      <c r="C1874" s="16" t="n"/>
      <c r="D1874" s="10" t="n"/>
      <c r="E1874" s="9" t="n"/>
      <c r="F1874" s="9" t="n"/>
      <c r="G1874" s="13" t="n"/>
      <c r="H1874" s="21" t="n"/>
      <c r="I1874" s="21" t="n"/>
      <c r="J1874" s="17">
        <f>IF($G1874="","",IFERROR(INDEX(NomsEmployes,MATCH($G1874,MatriculesEmployes,0)),"MATRICULE INCONNU"))</f>
        <v/>
      </c>
      <c r="K1874" s="33">
        <f>IF(OR($D1874="",$F1874=""),"",IFERROR(IF(INDEX(RUNS!$L$6:$S$1005,MATCH($D1874,RUNS!$A$6:$A$1005,0),MATCH("ACTIVITÉ "&amp;$F1874,RUNS!$L$5:$S$5,0))="","",INDEX(RUNS!$L$6:$S$1005,MATCH($D1874,RUNS!$A$6:$A$1005,0),MATCH("ACTIVITÉ "&amp;$F1874,RUNS!$L$5:$S$5,0))),""))</f>
        <v/>
      </c>
      <c r="L1874" s="33">
        <f>IF($D1874="","",IFERROR(IF(INDEX(RUNS!$E$6:$E$1005,MATCH($D1874,RUNS!$A$6:$A$1005,0))="","",INDEX(RUNS!$E$6:$E$1005,MATCH($D1874,RUNS!$A$6:$A$1005,0))),""))</f>
        <v/>
      </c>
      <c r="M1874" s="33">
        <f>IF($D1874="","",IFERROR(IF(INDEX(RUNS!$F$6:$F$1005,MATCH($D1874,RUNS!$A$6:$A$1005,0))="","",INDEX(RUNS!$F$6:$F$1005,MATCH($D1874,RUNS!$A$6:$A$1005,0))),""))</f>
        <v/>
      </c>
      <c r="N1874" s="33">
        <f>IF($D1874="","",IFERROR(IF(INDEX(RUNS!$G$6:$G$1005,MATCH($D1874,RUNS!$A$6:$A$1005,0))="","",INDEX(RUNS!$G$6:$G$1005,MATCH($D1874,RUNS!$A$6:$A$1005,0))),""))</f>
        <v/>
      </c>
      <c r="O1874" s="33">
        <f>IF($D1874="","",IFERROR(IF(INDEX(RUNS!$H$6:$H$1005,MATCH($D1874,RUNS!$A$6:$A$1005,0))="","",INDEX(RUNS!$H$6:$H$1005,MATCH($D1874,RUNS!$A$6:$A$1005,0))),""))</f>
        <v/>
      </c>
      <c r="P1874" s="33">
        <f>IF($D1874="","",IFERROR(IF(INDEX(RUNS!$J$6:$J$1005,MATCH($D1874,RUNS!$A$6:$A$1005,0))="","",INDEX(RUNS!$J$6:$J$1005,MATCH($D1874,RUNS!$A$6:$A$1005,0))),""))</f>
        <v/>
      </c>
      <c r="Q1874" s="33">
        <f>IF($D1874="","",IFERROR(IF(INDEX(RUNS!$K$6:$K$1005,MATCH($D1874,RUNS!$A$6:$A$1005,0))="","",INDEX(RUNS!$K$6:$K$1005,MATCH($D1874,RUNS!$A$6:$A$1005,0))),""))</f>
        <v/>
      </c>
      <c r="R1874" s="34">
        <f>IF(OR($L1874="",$K1874=""),"",IFERROR(IF(INDEX(PARAMETRES!$H$43:$H$342,MATCH($L1874&amp;"|"&amp;$M1874&amp;"|"&amp;$N1874&amp;"|"&amp;$O1874&amp;"|"&amp;$P1874&amp;"|"&amp;$Q1874&amp;"|"&amp;$K1874,PARAMETRES!$J$43:$J$342,0))="","",INDEX(PARAMETRES!$H$43:$H$342,MATCH($L1874&amp;"|"&amp;$M1874&amp;"|"&amp;$N1874&amp;"|"&amp;$O1874&amp;"|"&amp;$P1874&amp;"|"&amp;$Q1874&amp;"|"&amp;$K1874,PARAMETRES!$J$43:$J$342,0))),""))</f>
        <v/>
      </c>
      <c r="S1874" s="35">
        <f>IF(OR($G1874="",$X1874&lt;&gt;"VALIDE"),"",IFERROR(LOOKUP(2,1/(($B974:$B1873=$B1874)*($G974:$G1873=$G1874)*($X974:$X1873="VALIDE")),$C974:$C1873),""))</f>
        <v/>
      </c>
      <c r="T1874" s="36">
        <f>IF(OR($C1874="",$S1874=""),"",ROUND(($C1874-$S1874+IF($C1874&lt;$S1874,1,0))*1440,0))</f>
        <v/>
      </c>
      <c r="U1874" s="22">
        <f>IF(OR($H1874="",$T1874="",$T1874&lt;=0),"",$H1874*60/$T1874)</f>
        <v/>
      </c>
      <c r="V1874" s="37">
        <f>IF(OR($U1874="",$R1874="",$R1874=0),"",$U1874/$R1874)</f>
        <v/>
      </c>
      <c r="W1874" s="20">
        <f>IF($G1874="","",IF($X1874="CONTEXTE INCOMPLET","CONTEXTE INCOMPLET",IF($X1874="DOUBLON",StatutDoublon,IF($S1874="",StatutInitial,IF($R1874="",StatutStandardManquant,IF($V1874="","DONNEES INSUFFISANTES",IF($V1874&gt;=SeuilConforme,StatutConforme,IF($V1874&gt;=SeuilSurveiller,StatutSurveiller,StatutSousStandard))))))))</f>
        <v/>
      </c>
      <c r="X1874" s="33">
        <f>IF($G1874="","",IF(OR($D1874="",$E1874="",$F1874=""),"CONTEXTE INCOMPLET",IF(COUNTIFS($D974:$D1873,$D1874,$E974:$E1873,$E1874,$F974:$F1873,$F1874,$G974:$G1873,$G1874)&gt;0,"DOUBLON","VALIDE")))</f>
        <v/>
      </c>
    </row>
    <row r="1875" ht="15" customHeight="1">
      <c r="A1875" s="12">
        <f>IF(OR($B1875="",$G1875=""),"",TEXT($B1875,"YYYYMMDD")&amp;"-"&amp;SUBSTITUTE($E1875," ","")&amp;"-"&amp;$F1875&amp;"-"&amp;$G1875)</f>
        <v/>
      </c>
      <c r="B1875" s="15" t="n"/>
      <c r="C1875" s="16" t="n"/>
      <c r="D1875" s="10" t="n"/>
      <c r="E1875" s="9" t="n"/>
      <c r="F1875" s="9" t="n"/>
      <c r="G1875" s="13" t="n"/>
      <c r="H1875" s="21" t="n"/>
      <c r="I1875" s="21" t="n"/>
      <c r="J1875" s="17">
        <f>IF($G1875="","",IFERROR(INDEX(NomsEmployes,MATCH($G1875,MatriculesEmployes,0)),"MATRICULE INCONNU"))</f>
        <v/>
      </c>
      <c r="K1875" s="33">
        <f>IF(OR($D1875="",$F1875=""),"",IFERROR(IF(INDEX(RUNS!$L$6:$S$1005,MATCH($D1875,RUNS!$A$6:$A$1005,0),MATCH("ACTIVITÉ "&amp;$F1875,RUNS!$L$5:$S$5,0))="","",INDEX(RUNS!$L$6:$S$1005,MATCH($D1875,RUNS!$A$6:$A$1005,0),MATCH("ACTIVITÉ "&amp;$F1875,RUNS!$L$5:$S$5,0))),""))</f>
        <v/>
      </c>
      <c r="L1875" s="33">
        <f>IF($D1875="","",IFERROR(IF(INDEX(RUNS!$E$6:$E$1005,MATCH($D1875,RUNS!$A$6:$A$1005,0))="","",INDEX(RUNS!$E$6:$E$1005,MATCH($D1875,RUNS!$A$6:$A$1005,0))),""))</f>
        <v/>
      </c>
      <c r="M1875" s="33">
        <f>IF($D1875="","",IFERROR(IF(INDEX(RUNS!$F$6:$F$1005,MATCH($D1875,RUNS!$A$6:$A$1005,0))="","",INDEX(RUNS!$F$6:$F$1005,MATCH($D1875,RUNS!$A$6:$A$1005,0))),""))</f>
        <v/>
      </c>
      <c r="N1875" s="33">
        <f>IF($D1875="","",IFERROR(IF(INDEX(RUNS!$G$6:$G$1005,MATCH($D1875,RUNS!$A$6:$A$1005,0))="","",INDEX(RUNS!$G$6:$G$1005,MATCH($D1875,RUNS!$A$6:$A$1005,0))),""))</f>
        <v/>
      </c>
      <c r="O1875" s="33">
        <f>IF($D1875="","",IFERROR(IF(INDEX(RUNS!$H$6:$H$1005,MATCH($D1875,RUNS!$A$6:$A$1005,0))="","",INDEX(RUNS!$H$6:$H$1005,MATCH($D1875,RUNS!$A$6:$A$1005,0))),""))</f>
        <v/>
      </c>
      <c r="P1875" s="33">
        <f>IF($D1875="","",IFERROR(IF(INDEX(RUNS!$J$6:$J$1005,MATCH($D1875,RUNS!$A$6:$A$1005,0))="","",INDEX(RUNS!$J$6:$J$1005,MATCH($D1875,RUNS!$A$6:$A$1005,0))),""))</f>
        <v/>
      </c>
      <c r="Q1875" s="33">
        <f>IF($D1875="","",IFERROR(IF(INDEX(RUNS!$K$6:$K$1005,MATCH($D1875,RUNS!$A$6:$A$1005,0))="","",INDEX(RUNS!$K$6:$K$1005,MATCH($D1875,RUNS!$A$6:$A$1005,0))),""))</f>
        <v/>
      </c>
      <c r="R1875" s="34">
        <f>IF(OR($L1875="",$K1875=""),"",IFERROR(IF(INDEX(PARAMETRES!$H$43:$H$342,MATCH($L1875&amp;"|"&amp;$M1875&amp;"|"&amp;$N1875&amp;"|"&amp;$O1875&amp;"|"&amp;$P1875&amp;"|"&amp;$Q1875&amp;"|"&amp;$K1875,PARAMETRES!$J$43:$J$342,0))="","",INDEX(PARAMETRES!$H$43:$H$342,MATCH($L1875&amp;"|"&amp;$M1875&amp;"|"&amp;$N1875&amp;"|"&amp;$O1875&amp;"|"&amp;$P1875&amp;"|"&amp;$Q1875&amp;"|"&amp;$K1875,PARAMETRES!$J$43:$J$342,0))),""))</f>
        <v/>
      </c>
      <c r="S1875" s="35">
        <f>IF(OR($G1875="",$X1875&lt;&gt;"VALIDE"),"",IFERROR(LOOKUP(2,1/(($B975:$B1874=$B1875)*($G975:$G1874=$G1875)*($X975:$X1874="VALIDE")),$C975:$C1874),""))</f>
        <v/>
      </c>
      <c r="T1875" s="36">
        <f>IF(OR($C1875="",$S1875=""),"",ROUND(($C1875-$S1875+IF($C1875&lt;$S1875,1,0))*1440,0))</f>
        <v/>
      </c>
      <c r="U1875" s="22">
        <f>IF(OR($H1875="",$T1875="",$T1875&lt;=0),"",$H1875*60/$T1875)</f>
        <v/>
      </c>
      <c r="V1875" s="37">
        <f>IF(OR($U1875="",$R1875="",$R1875=0),"",$U1875/$R1875)</f>
        <v/>
      </c>
      <c r="W1875" s="20">
        <f>IF($G1875="","",IF($X1875="CONTEXTE INCOMPLET","CONTEXTE INCOMPLET",IF($X1875="DOUBLON",StatutDoublon,IF($S1875="",StatutInitial,IF($R1875="",StatutStandardManquant,IF($V1875="","DONNEES INSUFFISANTES",IF($V1875&gt;=SeuilConforme,StatutConforme,IF($V1875&gt;=SeuilSurveiller,StatutSurveiller,StatutSousStandard))))))))</f>
        <v/>
      </c>
      <c r="X1875" s="33">
        <f>IF($G1875="","",IF(OR($D1875="",$E1875="",$F1875=""),"CONTEXTE INCOMPLET",IF(COUNTIFS($D975:$D1874,$D1875,$E975:$E1874,$E1875,$F975:$F1874,$F1875,$G975:$G1874,$G1875)&gt;0,"DOUBLON","VALIDE")))</f>
        <v/>
      </c>
    </row>
    <row r="1876" ht="15" customHeight="1">
      <c r="A1876" s="12">
        <f>IF(OR($B1876="",$G1876=""),"",TEXT($B1876,"YYYYMMDD")&amp;"-"&amp;SUBSTITUTE($E1876," ","")&amp;"-"&amp;$F1876&amp;"-"&amp;$G1876)</f>
        <v/>
      </c>
      <c r="B1876" s="15" t="n"/>
      <c r="C1876" s="16" t="n"/>
      <c r="D1876" s="10" t="n"/>
      <c r="E1876" s="9" t="n"/>
      <c r="F1876" s="9" t="n"/>
      <c r="G1876" s="13" t="n"/>
      <c r="H1876" s="21" t="n"/>
      <c r="I1876" s="21" t="n"/>
      <c r="J1876" s="17">
        <f>IF($G1876="","",IFERROR(INDEX(NomsEmployes,MATCH($G1876,MatriculesEmployes,0)),"MATRICULE INCONNU"))</f>
        <v/>
      </c>
      <c r="K1876" s="33">
        <f>IF(OR($D1876="",$F1876=""),"",IFERROR(IF(INDEX(RUNS!$L$6:$S$1005,MATCH($D1876,RUNS!$A$6:$A$1005,0),MATCH("ACTIVITÉ "&amp;$F1876,RUNS!$L$5:$S$5,0))="","",INDEX(RUNS!$L$6:$S$1005,MATCH($D1876,RUNS!$A$6:$A$1005,0),MATCH("ACTIVITÉ "&amp;$F1876,RUNS!$L$5:$S$5,0))),""))</f>
        <v/>
      </c>
      <c r="L1876" s="33">
        <f>IF($D1876="","",IFERROR(IF(INDEX(RUNS!$E$6:$E$1005,MATCH($D1876,RUNS!$A$6:$A$1005,0))="","",INDEX(RUNS!$E$6:$E$1005,MATCH($D1876,RUNS!$A$6:$A$1005,0))),""))</f>
        <v/>
      </c>
      <c r="M1876" s="33">
        <f>IF($D1876="","",IFERROR(IF(INDEX(RUNS!$F$6:$F$1005,MATCH($D1876,RUNS!$A$6:$A$1005,0))="","",INDEX(RUNS!$F$6:$F$1005,MATCH($D1876,RUNS!$A$6:$A$1005,0))),""))</f>
        <v/>
      </c>
      <c r="N1876" s="33">
        <f>IF($D1876="","",IFERROR(IF(INDEX(RUNS!$G$6:$G$1005,MATCH($D1876,RUNS!$A$6:$A$1005,0))="","",INDEX(RUNS!$G$6:$G$1005,MATCH($D1876,RUNS!$A$6:$A$1005,0))),""))</f>
        <v/>
      </c>
      <c r="O1876" s="33">
        <f>IF($D1876="","",IFERROR(IF(INDEX(RUNS!$H$6:$H$1005,MATCH($D1876,RUNS!$A$6:$A$1005,0))="","",INDEX(RUNS!$H$6:$H$1005,MATCH($D1876,RUNS!$A$6:$A$1005,0))),""))</f>
        <v/>
      </c>
      <c r="P1876" s="33">
        <f>IF($D1876="","",IFERROR(IF(INDEX(RUNS!$J$6:$J$1005,MATCH($D1876,RUNS!$A$6:$A$1005,0))="","",INDEX(RUNS!$J$6:$J$1005,MATCH($D1876,RUNS!$A$6:$A$1005,0))),""))</f>
        <v/>
      </c>
      <c r="Q1876" s="33">
        <f>IF($D1876="","",IFERROR(IF(INDEX(RUNS!$K$6:$K$1005,MATCH($D1876,RUNS!$A$6:$A$1005,0))="","",INDEX(RUNS!$K$6:$K$1005,MATCH($D1876,RUNS!$A$6:$A$1005,0))),""))</f>
        <v/>
      </c>
      <c r="R1876" s="34">
        <f>IF(OR($L1876="",$K1876=""),"",IFERROR(IF(INDEX(PARAMETRES!$H$43:$H$342,MATCH($L1876&amp;"|"&amp;$M1876&amp;"|"&amp;$N1876&amp;"|"&amp;$O1876&amp;"|"&amp;$P1876&amp;"|"&amp;$Q1876&amp;"|"&amp;$K1876,PARAMETRES!$J$43:$J$342,0))="","",INDEX(PARAMETRES!$H$43:$H$342,MATCH($L1876&amp;"|"&amp;$M1876&amp;"|"&amp;$N1876&amp;"|"&amp;$O1876&amp;"|"&amp;$P1876&amp;"|"&amp;$Q1876&amp;"|"&amp;$K1876,PARAMETRES!$J$43:$J$342,0))),""))</f>
        <v/>
      </c>
      <c r="S1876" s="35">
        <f>IF(OR($G1876="",$X1876&lt;&gt;"VALIDE"),"",IFERROR(LOOKUP(2,1/(($B976:$B1875=$B1876)*($G976:$G1875=$G1876)*($X976:$X1875="VALIDE")),$C976:$C1875),""))</f>
        <v/>
      </c>
      <c r="T1876" s="36">
        <f>IF(OR($C1876="",$S1876=""),"",ROUND(($C1876-$S1876+IF($C1876&lt;$S1876,1,0))*1440,0))</f>
        <v/>
      </c>
      <c r="U1876" s="22">
        <f>IF(OR($H1876="",$T1876="",$T1876&lt;=0),"",$H1876*60/$T1876)</f>
        <v/>
      </c>
      <c r="V1876" s="37">
        <f>IF(OR($U1876="",$R1876="",$R1876=0),"",$U1876/$R1876)</f>
        <v/>
      </c>
      <c r="W1876" s="20">
        <f>IF($G1876="","",IF($X1876="CONTEXTE INCOMPLET","CONTEXTE INCOMPLET",IF($X1876="DOUBLON",StatutDoublon,IF($S1876="",StatutInitial,IF($R1876="",StatutStandardManquant,IF($V1876="","DONNEES INSUFFISANTES",IF($V1876&gt;=SeuilConforme,StatutConforme,IF($V1876&gt;=SeuilSurveiller,StatutSurveiller,StatutSousStandard))))))))</f>
        <v/>
      </c>
      <c r="X1876" s="33">
        <f>IF($G1876="","",IF(OR($D1876="",$E1876="",$F1876=""),"CONTEXTE INCOMPLET",IF(COUNTIFS($D976:$D1875,$D1876,$E976:$E1875,$E1876,$F976:$F1875,$F1876,$G976:$G1875,$G1876)&gt;0,"DOUBLON","VALIDE")))</f>
        <v/>
      </c>
    </row>
    <row r="1877" ht="15" customHeight="1">
      <c r="A1877" s="12">
        <f>IF(OR($B1877="",$G1877=""),"",TEXT($B1877,"YYYYMMDD")&amp;"-"&amp;SUBSTITUTE($E1877," ","")&amp;"-"&amp;$F1877&amp;"-"&amp;$G1877)</f>
        <v/>
      </c>
      <c r="B1877" s="15" t="n"/>
      <c r="C1877" s="16" t="n"/>
      <c r="D1877" s="10" t="n"/>
      <c r="E1877" s="9" t="n"/>
      <c r="F1877" s="9" t="n"/>
      <c r="G1877" s="13" t="n"/>
      <c r="H1877" s="21" t="n"/>
      <c r="I1877" s="21" t="n"/>
      <c r="J1877" s="17">
        <f>IF($G1877="","",IFERROR(INDEX(NomsEmployes,MATCH($G1877,MatriculesEmployes,0)),"MATRICULE INCONNU"))</f>
        <v/>
      </c>
      <c r="K1877" s="33">
        <f>IF(OR($D1877="",$F1877=""),"",IFERROR(IF(INDEX(RUNS!$L$6:$S$1005,MATCH($D1877,RUNS!$A$6:$A$1005,0),MATCH("ACTIVITÉ "&amp;$F1877,RUNS!$L$5:$S$5,0))="","",INDEX(RUNS!$L$6:$S$1005,MATCH($D1877,RUNS!$A$6:$A$1005,0),MATCH("ACTIVITÉ "&amp;$F1877,RUNS!$L$5:$S$5,0))),""))</f>
        <v/>
      </c>
      <c r="L1877" s="33">
        <f>IF($D1877="","",IFERROR(IF(INDEX(RUNS!$E$6:$E$1005,MATCH($D1877,RUNS!$A$6:$A$1005,0))="","",INDEX(RUNS!$E$6:$E$1005,MATCH($D1877,RUNS!$A$6:$A$1005,0))),""))</f>
        <v/>
      </c>
      <c r="M1877" s="33">
        <f>IF($D1877="","",IFERROR(IF(INDEX(RUNS!$F$6:$F$1005,MATCH($D1877,RUNS!$A$6:$A$1005,0))="","",INDEX(RUNS!$F$6:$F$1005,MATCH($D1877,RUNS!$A$6:$A$1005,0))),""))</f>
        <v/>
      </c>
      <c r="N1877" s="33">
        <f>IF($D1877="","",IFERROR(IF(INDEX(RUNS!$G$6:$G$1005,MATCH($D1877,RUNS!$A$6:$A$1005,0))="","",INDEX(RUNS!$G$6:$G$1005,MATCH($D1877,RUNS!$A$6:$A$1005,0))),""))</f>
        <v/>
      </c>
      <c r="O1877" s="33">
        <f>IF($D1877="","",IFERROR(IF(INDEX(RUNS!$H$6:$H$1005,MATCH($D1877,RUNS!$A$6:$A$1005,0))="","",INDEX(RUNS!$H$6:$H$1005,MATCH($D1877,RUNS!$A$6:$A$1005,0))),""))</f>
        <v/>
      </c>
      <c r="P1877" s="33">
        <f>IF($D1877="","",IFERROR(IF(INDEX(RUNS!$J$6:$J$1005,MATCH($D1877,RUNS!$A$6:$A$1005,0))="","",INDEX(RUNS!$J$6:$J$1005,MATCH($D1877,RUNS!$A$6:$A$1005,0))),""))</f>
        <v/>
      </c>
      <c r="Q1877" s="33">
        <f>IF($D1877="","",IFERROR(IF(INDEX(RUNS!$K$6:$K$1005,MATCH($D1877,RUNS!$A$6:$A$1005,0))="","",INDEX(RUNS!$K$6:$K$1005,MATCH($D1877,RUNS!$A$6:$A$1005,0))),""))</f>
        <v/>
      </c>
      <c r="R1877" s="34">
        <f>IF(OR($L1877="",$K1877=""),"",IFERROR(IF(INDEX(PARAMETRES!$H$43:$H$342,MATCH($L1877&amp;"|"&amp;$M1877&amp;"|"&amp;$N1877&amp;"|"&amp;$O1877&amp;"|"&amp;$P1877&amp;"|"&amp;$Q1877&amp;"|"&amp;$K1877,PARAMETRES!$J$43:$J$342,0))="","",INDEX(PARAMETRES!$H$43:$H$342,MATCH($L1877&amp;"|"&amp;$M1877&amp;"|"&amp;$N1877&amp;"|"&amp;$O1877&amp;"|"&amp;$P1877&amp;"|"&amp;$Q1877&amp;"|"&amp;$K1877,PARAMETRES!$J$43:$J$342,0))),""))</f>
        <v/>
      </c>
      <c r="S1877" s="35">
        <f>IF(OR($G1877="",$X1877&lt;&gt;"VALIDE"),"",IFERROR(LOOKUP(2,1/(($B977:$B1876=$B1877)*($G977:$G1876=$G1877)*($X977:$X1876="VALIDE")),$C977:$C1876),""))</f>
        <v/>
      </c>
      <c r="T1877" s="36">
        <f>IF(OR($C1877="",$S1877=""),"",ROUND(($C1877-$S1877+IF($C1877&lt;$S1877,1,0))*1440,0))</f>
        <v/>
      </c>
      <c r="U1877" s="22">
        <f>IF(OR($H1877="",$T1877="",$T1877&lt;=0),"",$H1877*60/$T1877)</f>
        <v/>
      </c>
      <c r="V1877" s="37">
        <f>IF(OR($U1877="",$R1877="",$R1877=0),"",$U1877/$R1877)</f>
        <v/>
      </c>
      <c r="W1877" s="20">
        <f>IF($G1877="","",IF($X1877="CONTEXTE INCOMPLET","CONTEXTE INCOMPLET",IF($X1877="DOUBLON",StatutDoublon,IF($S1877="",StatutInitial,IF($R1877="",StatutStandardManquant,IF($V1877="","DONNEES INSUFFISANTES",IF($V1877&gt;=SeuilConforme,StatutConforme,IF($V1877&gt;=SeuilSurveiller,StatutSurveiller,StatutSousStandard))))))))</f>
        <v/>
      </c>
      <c r="X1877" s="33">
        <f>IF($G1877="","",IF(OR($D1877="",$E1877="",$F1877=""),"CONTEXTE INCOMPLET",IF(COUNTIFS($D977:$D1876,$D1877,$E977:$E1876,$E1877,$F977:$F1876,$F1877,$G977:$G1876,$G1877)&gt;0,"DOUBLON","VALIDE")))</f>
        <v/>
      </c>
    </row>
    <row r="1878" ht="15" customHeight="1">
      <c r="A1878" s="12">
        <f>IF(OR($B1878="",$G1878=""),"",TEXT($B1878,"YYYYMMDD")&amp;"-"&amp;SUBSTITUTE($E1878," ","")&amp;"-"&amp;$F1878&amp;"-"&amp;$G1878)</f>
        <v/>
      </c>
      <c r="B1878" s="15" t="n"/>
      <c r="C1878" s="16" t="n"/>
      <c r="D1878" s="10" t="n"/>
      <c r="E1878" s="9" t="n"/>
      <c r="F1878" s="9" t="n"/>
      <c r="G1878" s="13" t="n"/>
      <c r="H1878" s="21" t="n"/>
      <c r="I1878" s="21" t="n"/>
      <c r="J1878" s="17">
        <f>IF($G1878="","",IFERROR(INDEX(NomsEmployes,MATCH($G1878,MatriculesEmployes,0)),"MATRICULE INCONNU"))</f>
        <v/>
      </c>
      <c r="K1878" s="33">
        <f>IF(OR($D1878="",$F1878=""),"",IFERROR(IF(INDEX(RUNS!$L$6:$S$1005,MATCH($D1878,RUNS!$A$6:$A$1005,0),MATCH("ACTIVITÉ "&amp;$F1878,RUNS!$L$5:$S$5,0))="","",INDEX(RUNS!$L$6:$S$1005,MATCH($D1878,RUNS!$A$6:$A$1005,0),MATCH("ACTIVITÉ "&amp;$F1878,RUNS!$L$5:$S$5,0))),""))</f>
        <v/>
      </c>
      <c r="L1878" s="33">
        <f>IF($D1878="","",IFERROR(IF(INDEX(RUNS!$E$6:$E$1005,MATCH($D1878,RUNS!$A$6:$A$1005,0))="","",INDEX(RUNS!$E$6:$E$1005,MATCH($D1878,RUNS!$A$6:$A$1005,0))),""))</f>
        <v/>
      </c>
      <c r="M1878" s="33">
        <f>IF($D1878="","",IFERROR(IF(INDEX(RUNS!$F$6:$F$1005,MATCH($D1878,RUNS!$A$6:$A$1005,0))="","",INDEX(RUNS!$F$6:$F$1005,MATCH($D1878,RUNS!$A$6:$A$1005,0))),""))</f>
        <v/>
      </c>
      <c r="N1878" s="33">
        <f>IF($D1878="","",IFERROR(IF(INDEX(RUNS!$G$6:$G$1005,MATCH($D1878,RUNS!$A$6:$A$1005,0))="","",INDEX(RUNS!$G$6:$G$1005,MATCH($D1878,RUNS!$A$6:$A$1005,0))),""))</f>
        <v/>
      </c>
      <c r="O1878" s="33">
        <f>IF($D1878="","",IFERROR(IF(INDEX(RUNS!$H$6:$H$1005,MATCH($D1878,RUNS!$A$6:$A$1005,0))="","",INDEX(RUNS!$H$6:$H$1005,MATCH($D1878,RUNS!$A$6:$A$1005,0))),""))</f>
        <v/>
      </c>
      <c r="P1878" s="33">
        <f>IF($D1878="","",IFERROR(IF(INDEX(RUNS!$J$6:$J$1005,MATCH($D1878,RUNS!$A$6:$A$1005,0))="","",INDEX(RUNS!$J$6:$J$1005,MATCH($D1878,RUNS!$A$6:$A$1005,0))),""))</f>
        <v/>
      </c>
      <c r="Q1878" s="33">
        <f>IF($D1878="","",IFERROR(IF(INDEX(RUNS!$K$6:$K$1005,MATCH($D1878,RUNS!$A$6:$A$1005,0))="","",INDEX(RUNS!$K$6:$K$1005,MATCH($D1878,RUNS!$A$6:$A$1005,0))),""))</f>
        <v/>
      </c>
      <c r="R1878" s="34">
        <f>IF(OR($L1878="",$K1878=""),"",IFERROR(IF(INDEX(PARAMETRES!$H$43:$H$342,MATCH($L1878&amp;"|"&amp;$M1878&amp;"|"&amp;$N1878&amp;"|"&amp;$O1878&amp;"|"&amp;$P1878&amp;"|"&amp;$Q1878&amp;"|"&amp;$K1878,PARAMETRES!$J$43:$J$342,0))="","",INDEX(PARAMETRES!$H$43:$H$342,MATCH($L1878&amp;"|"&amp;$M1878&amp;"|"&amp;$N1878&amp;"|"&amp;$O1878&amp;"|"&amp;$P1878&amp;"|"&amp;$Q1878&amp;"|"&amp;$K1878,PARAMETRES!$J$43:$J$342,0))),""))</f>
        <v/>
      </c>
      <c r="S1878" s="35">
        <f>IF(OR($G1878="",$X1878&lt;&gt;"VALIDE"),"",IFERROR(LOOKUP(2,1/(($B978:$B1877=$B1878)*($G978:$G1877=$G1878)*($X978:$X1877="VALIDE")),$C978:$C1877),""))</f>
        <v/>
      </c>
      <c r="T1878" s="36">
        <f>IF(OR($C1878="",$S1878=""),"",ROUND(($C1878-$S1878+IF($C1878&lt;$S1878,1,0))*1440,0))</f>
        <v/>
      </c>
      <c r="U1878" s="22">
        <f>IF(OR($H1878="",$T1878="",$T1878&lt;=0),"",$H1878*60/$T1878)</f>
        <v/>
      </c>
      <c r="V1878" s="37">
        <f>IF(OR($U1878="",$R1878="",$R1878=0),"",$U1878/$R1878)</f>
        <v/>
      </c>
      <c r="W1878" s="20">
        <f>IF($G1878="","",IF($X1878="CONTEXTE INCOMPLET","CONTEXTE INCOMPLET",IF($X1878="DOUBLON",StatutDoublon,IF($S1878="",StatutInitial,IF($R1878="",StatutStandardManquant,IF($V1878="","DONNEES INSUFFISANTES",IF($V1878&gt;=SeuilConforme,StatutConforme,IF($V1878&gt;=SeuilSurveiller,StatutSurveiller,StatutSousStandard))))))))</f>
        <v/>
      </c>
      <c r="X1878" s="33">
        <f>IF($G1878="","",IF(OR($D1878="",$E1878="",$F1878=""),"CONTEXTE INCOMPLET",IF(COUNTIFS($D978:$D1877,$D1878,$E978:$E1877,$E1878,$F978:$F1877,$F1878,$G978:$G1877,$G1878)&gt;0,"DOUBLON","VALIDE")))</f>
        <v/>
      </c>
    </row>
    <row r="1879" ht="15" customHeight="1">
      <c r="A1879" s="12">
        <f>IF(OR($B1879="",$G1879=""),"",TEXT($B1879,"YYYYMMDD")&amp;"-"&amp;SUBSTITUTE($E1879," ","")&amp;"-"&amp;$F1879&amp;"-"&amp;$G1879)</f>
        <v/>
      </c>
      <c r="B1879" s="15" t="n"/>
      <c r="C1879" s="16" t="n"/>
      <c r="D1879" s="10" t="n"/>
      <c r="E1879" s="9" t="n"/>
      <c r="F1879" s="9" t="n"/>
      <c r="G1879" s="13" t="n"/>
      <c r="H1879" s="21" t="n"/>
      <c r="I1879" s="21" t="n"/>
      <c r="J1879" s="17">
        <f>IF($G1879="","",IFERROR(INDEX(NomsEmployes,MATCH($G1879,MatriculesEmployes,0)),"MATRICULE INCONNU"))</f>
        <v/>
      </c>
      <c r="K1879" s="33">
        <f>IF(OR($D1879="",$F1879=""),"",IFERROR(IF(INDEX(RUNS!$L$6:$S$1005,MATCH($D1879,RUNS!$A$6:$A$1005,0),MATCH("ACTIVITÉ "&amp;$F1879,RUNS!$L$5:$S$5,0))="","",INDEX(RUNS!$L$6:$S$1005,MATCH($D1879,RUNS!$A$6:$A$1005,0),MATCH("ACTIVITÉ "&amp;$F1879,RUNS!$L$5:$S$5,0))),""))</f>
        <v/>
      </c>
      <c r="L1879" s="33">
        <f>IF($D1879="","",IFERROR(IF(INDEX(RUNS!$E$6:$E$1005,MATCH($D1879,RUNS!$A$6:$A$1005,0))="","",INDEX(RUNS!$E$6:$E$1005,MATCH($D1879,RUNS!$A$6:$A$1005,0))),""))</f>
        <v/>
      </c>
      <c r="M1879" s="33">
        <f>IF($D1879="","",IFERROR(IF(INDEX(RUNS!$F$6:$F$1005,MATCH($D1879,RUNS!$A$6:$A$1005,0))="","",INDEX(RUNS!$F$6:$F$1005,MATCH($D1879,RUNS!$A$6:$A$1005,0))),""))</f>
        <v/>
      </c>
      <c r="N1879" s="33">
        <f>IF($D1879="","",IFERROR(IF(INDEX(RUNS!$G$6:$G$1005,MATCH($D1879,RUNS!$A$6:$A$1005,0))="","",INDEX(RUNS!$G$6:$G$1005,MATCH($D1879,RUNS!$A$6:$A$1005,0))),""))</f>
        <v/>
      </c>
      <c r="O1879" s="33">
        <f>IF($D1879="","",IFERROR(IF(INDEX(RUNS!$H$6:$H$1005,MATCH($D1879,RUNS!$A$6:$A$1005,0))="","",INDEX(RUNS!$H$6:$H$1005,MATCH($D1879,RUNS!$A$6:$A$1005,0))),""))</f>
        <v/>
      </c>
      <c r="P1879" s="33">
        <f>IF($D1879="","",IFERROR(IF(INDEX(RUNS!$J$6:$J$1005,MATCH($D1879,RUNS!$A$6:$A$1005,0))="","",INDEX(RUNS!$J$6:$J$1005,MATCH($D1879,RUNS!$A$6:$A$1005,0))),""))</f>
        <v/>
      </c>
      <c r="Q1879" s="33">
        <f>IF($D1879="","",IFERROR(IF(INDEX(RUNS!$K$6:$K$1005,MATCH($D1879,RUNS!$A$6:$A$1005,0))="","",INDEX(RUNS!$K$6:$K$1005,MATCH($D1879,RUNS!$A$6:$A$1005,0))),""))</f>
        <v/>
      </c>
      <c r="R1879" s="34">
        <f>IF(OR($L1879="",$K1879=""),"",IFERROR(IF(INDEX(PARAMETRES!$H$43:$H$342,MATCH($L1879&amp;"|"&amp;$M1879&amp;"|"&amp;$N1879&amp;"|"&amp;$O1879&amp;"|"&amp;$P1879&amp;"|"&amp;$Q1879&amp;"|"&amp;$K1879,PARAMETRES!$J$43:$J$342,0))="","",INDEX(PARAMETRES!$H$43:$H$342,MATCH($L1879&amp;"|"&amp;$M1879&amp;"|"&amp;$N1879&amp;"|"&amp;$O1879&amp;"|"&amp;$P1879&amp;"|"&amp;$Q1879&amp;"|"&amp;$K1879,PARAMETRES!$J$43:$J$342,0))),""))</f>
        <v/>
      </c>
      <c r="S1879" s="35">
        <f>IF(OR($G1879="",$X1879&lt;&gt;"VALIDE"),"",IFERROR(LOOKUP(2,1/(($B979:$B1878=$B1879)*($G979:$G1878=$G1879)*($X979:$X1878="VALIDE")),$C979:$C1878),""))</f>
        <v/>
      </c>
      <c r="T1879" s="36">
        <f>IF(OR($C1879="",$S1879=""),"",ROUND(($C1879-$S1879+IF($C1879&lt;$S1879,1,0))*1440,0))</f>
        <v/>
      </c>
      <c r="U1879" s="22">
        <f>IF(OR($H1879="",$T1879="",$T1879&lt;=0),"",$H1879*60/$T1879)</f>
        <v/>
      </c>
      <c r="V1879" s="37">
        <f>IF(OR($U1879="",$R1879="",$R1879=0),"",$U1879/$R1879)</f>
        <v/>
      </c>
      <c r="W1879" s="20">
        <f>IF($G1879="","",IF($X1879="CONTEXTE INCOMPLET","CONTEXTE INCOMPLET",IF($X1879="DOUBLON",StatutDoublon,IF($S1879="",StatutInitial,IF($R1879="",StatutStandardManquant,IF($V1879="","DONNEES INSUFFISANTES",IF($V1879&gt;=SeuilConforme,StatutConforme,IF($V1879&gt;=SeuilSurveiller,StatutSurveiller,StatutSousStandard))))))))</f>
        <v/>
      </c>
      <c r="X1879" s="33">
        <f>IF($G1879="","",IF(OR($D1879="",$E1879="",$F1879=""),"CONTEXTE INCOMPLET",IF(COUNTIFS($D979:$D1878,$D1879,$E979:$E1878,$E1879,$F979:$F1878,$F1879,$G979:$G1878,$G1879)&gt;0,"DOUBLON","VALIDE")))</f>
        <v/>
      </c>
    </row>
    <row r="1880" ht="15" customHeight="1">
      <c r="A1880" s="12">
        <f>IF(OR($B1880="",$G1880=""),"",TEXT($B1880,"YYYYMMDD")&amp;"-"&amp;SUBSTITUTE($E1880," ","")&amp;"-"&amp;$F1880&amp;"-"&amp;$G1880)</f>
        <v/>
      </c>
      <c r="B1880" s="15" t="n"/>
      <c r="C1880" s="16" t="n"/>
      <c r="D1880" s="10" t="n"/>
      <c r="E1880" s="9" t="n"/>
      <c r="F1880" s="9" t="n"/>
      <c r="G1880" s="13" t="n"/>
      <c r="H1880" s="21" t="n"/>
      <c r="I1880" s="21" t="n"/>
      <c r="J1880" s="17">
        <f>IF($G1880="","",IFERROR(INDEX(NomsEmployes,MATCH($G1880,MatriculesEmployes,0)),"MATRICULE INCONNU"))</f>
        <v/>
      </c>
      <c r="K1880" s="33">
        <f>IF(OR($D1880="",$F1880=""),"",IFERROR(IF(INDEX(RUNS!$L$6:$S$1005,MATCH($D1880,RUNS!$A$6:$A$1005,0),MATCH("ACTIVITÉ "&amp;$F1880,RUNS!$L$5:$S$5,0))="","",INDEX(RUNS!$L$6:$S$1005,MATCH($D1880,RUNS!$A$6:$A$1005,0),MATCH("ACTIVITÉ "&amp;$F1880,RUNS!$L$5:$S$5,0))),""))</f>
        <v/>
      </c>
      <c r="L1880" s="33">
        <f>IF($D1880="","",IFERROR(IF(INDEX(RUNS!$E$6:$E$1005,MATCH($D1880,RUNS!$A$6:$A$1005,0))="","",INDEX(RUNS!$E$6:$E$1005,MATCH($D1880,RUNS!$A$6:$A$1005,0))),""))</f>
        <v/>
      </c>
      <c r="M1880" s="33">
        <f>IF($D1880="","",IFERROR(IF(INDEX(RUNS!$F$6:$F$1005,MATCH($D1880,RUNS!$A$6:$A$1005,0))="","",INDEX(RUNS!$F$6:$F$1005,MATCH($D1880,RUNS!$A$6:$A$1005,0))),""))</f>
        <v/>
      </c>
      <c r="N1880" s="33">
        <f>IF($D1880="","",IFERROR(IF(INDEX(RUNS!$G$6:$G$1005,MATCH($D1880,RUNS!$A$6:$A$1005,0))="","",INDEX(RUNS!$G$6:$G$1005,MATCH($D1880,RUNS!$A$6:$A$1005,0))),""))</f>
        <v/>
      </c>
      <c r="O1880" s="33">
        <f>IF($D1880="","",IFERROR(IF(INDEX(RUNS!$H$6:$H$1005,MATCH($D1880,RUNS!$A$6:$A$1005,0))="","",INDEX(RUNS!$H$6:$H$1005,MATCH($D1880,RUNS!$A$6:$A$1005,0))),""))</f>
        <v/>
      </c>
      <c r="P1880" s="33">
        <f>IF($D1880="","",IFERROR(IF(INDEX(RUNS!$J$6:$J$1005,MATCH($D1880,RUNS!$A$6:$A$1005,0))="","",INDEX(RUNS!$J$6:$J$1005,MATCH($D1880,RUNS!$A$6:$A$1005,0))),""))</f>
        <v/>
      </c>
      <c r="Q1880" s="33">
        <f>IF($D1880="","",IFERROR(IF(INDEX(RUNS!$K$6:$K$1005,MATCH($D1880,RUNS!$A$6:$A$1005,0))="","",INDEX(RUNS!$K$6:$K$1005,MATCH($D1880,RUNS!$A$6:$A$1005,0))),""))</f>
        <v/>
      </c>
      <c r="R1880" s="34">
        <f>IF(OR($L1880="",$K1880=""),"",IFERROR(IF(INDEX(PARAMETRES!$H$43:$H$342,MATCH($L1880&amp;"|"&amp;$M1880&amp;"|"&amp;$N1880&amp;"|"&amp;$O1880&amp;"|"&amp;$P1880&amp;"|"&amp;$Q1880&amp;"|"&amp;$K1880,PARAMETRES!$J$43:$J$342,0))="","",INDEX(PARAMETRES!$H$43:$H$342,MATCH($L1880&amp;"|"&amp;$M1880&amp;"|"&amp;$N1880&amp;"|"&amp;$O1880&amp;"|"&amp;$P1880&amp;"|"&amp;$Q1880&amp;"|"&amp;$K1880,PARAMETRES!$J$43:$J$342,0))),""))</f>
        <v/>
      </c>
      <c r="S1880" s="35">
        <f>IF(OR($G1880="",$X1880&lt;&gt;"VALIDE"),"",IFERROR(LOOKUP(2,1/(($B980:$B1879=$B1880)*($G980:$G1879=$G1880)*($X980:$X1879="VALIDE")),$C980:$C1879),""))</f>
        <v/>
      </c>
      <c r="T1880" s="36">
        <f>IF(OR($C1880="",$S1880=""),"",ROUND(($C1880-$S1880+IF($C1880&lt;$S1880,1,0))*1440,0))</f>
        <v/>
      </c>
      <c r="U1880" s="22">
        <f>IF(OR($H1880="",$T1880="",$T1880&lt;=0),"",$H1880*60/$T1880)</f>
        <v/>
      </c>
      <c r="V1880" s="37">
        <f>IF(OR($U1880="",$R1880="",$R1880=0),"",$U1880/$R1880)</f>
        <v/>
      </c>
      <c r="W1880" s="20">
        <f>IF($G1880="","",IF($X1880="CONTEXTE INCOMPLET","CONTEXTE INCOMPLET",IF($X1880="DOUBLON",StatutDoublon,IF($S1880="",StatutInitial,IF($R1880="",StatutStandardManquant,IF($V1880="","DONNEES INSUFFISANTES",IF($V1880&gt;=SeuilConforme,StatutConforme,IF($V1880&gt;=SeuilSurveiller,StatutSurveiller,StatutSousStandard))))))))</f>
        <v/>
      </c>
      <c r="X1880" s="33">
        <f>IF($G1880="","",IF(OR($D1880="",$E1880="",$F1880=""),"CONTEXTE INCOMPLET",IF(COUNTIFS($D980:$D1879,$D1880,$E980:$E1879,$E1880,$F980:$F1879,$F1880,$G980:$G1879,$G1880)&gt;0,"DOUBLON","VALIDE")))</f>
        <v/>
      </c>
    </row>
    <row r="1881" ht="15" customHeight="1">
      <c r="A1881" s="12">
        <f>IF(OR($B1881="",$G1881=""),"",TEXT($B1881,"YYYYMMDD")&amp;"-"&amp;SUBSTITUTE($E1881," ","")&amp;"-"&amp;$F1881&amp;"-"&amp;$G1881)</f>
        <v/>
      </c>
      <c r="B1881" s="15" t="n"/>
      <c r="C1881" s="16" t="n"/>
      <c r="D1881" s="10" t="n"/>
      <c r="E1881" s="9" t="n"/>
      <c r="F1881" s="9" t="n"/>
      <c r="G1881" s="13" t="n"/>
      <c r="H1881" s="21" t="n"/>
      <c r="I1881" s="21" t="n"/>
      <c r="J1881" s="17">
        <f>IF($G1881="","",IFERROR(INDEX(NomsEmployes,MATCH($G1881,MatriculesEmployes,0)),"MATRICULE INCONNU"))</f>
        <v/>
      </c>
      <c r="K1881" s="33">
        <f>IF(OR($D1881="",$F1881=""),"",IFERROR(IF(INDEX(RUNS!$L$6:$S$1005,MATCH($D1881,RUNS!$A$6:$A$1005,0),MATCH("ACTIVITÉ "&amp;$F1881,RUNS!$L$5:$S$5,0))="","",INDEX(RUNS!$L$6:$S$1005,MATCH($D1881,RUNS!$A$6:$A$1005,0),MATCH("ACTIVITÉ "&amp;$F1881,RUNS!$L$5:$S$5,0))),""))</f>
        <v/>
      </c>
      <c r="L1881" s="33">
        <f>IF($D1881="","",IFERROR(IF(INDEX(RUNS!$E$6:$E$1005,MATCH($D1881,RUNS!$A$6:$A$1005,0))="","",INDEX(RUNS!$E$6:$E$1005,MATCH($D1881,RUNS!$A$6:$A$1005,0))),""))</f>
        <v/>
      </c>
      <c r="M1881" s="33">
        <f>IF($D1881="","",IFERROR(IF(INDEX(RUNS!$F$6:$F$1005,MATCH($D1881,RUNS!$A$6:$A$1005,0))="","",INDEX(RUNS!$F$6:$F$1005,MATCH($D1881,RUNS!$A$6:$A$1005,0))),""))</f>
        <v/>
      </c>
      <c r="N1881" s="33">
        <f>IF($D1881="","",IFERROR(IF(INDEX(RUNS!$G$6:$G$1005,MATCH($D1881,RUNS!$A$6:$A$1005,0))="","",INDEX(RUNS!$G$6:$G$1005,MATCH($D1881,RUNS!$A$6:$A$1005,0))),""))</f>
        <v/>
      </c>
      <c r="O1881" s="33">
        <f>IF($D1881="","",IFERROR(IF(INDEX(RUNS!$H$6:$H$1005,MATCH($D1881,RUNS!$A$6:$A$1005,0))="","",INDEX(RUNS!$H$6:$H$1005,MATCH($D1881,RUNS!$A$6:$A$1005,0))),""))</f>
        <v/>
      </c>
      <c r="P1881" s="33">
        <f>IF($D1881="","",IFERROR(IF(INDEX(RUNS!$J$6:$J$1005,MATCH($D1881,RUNS!$A$6:$A$1005,0))="","",INDEX(RUNS!$J$6:$J$1005,MATCH($D1881,RUNS!$A$6:$A$1005,0))),""))</f>
        <v/>
      </c>
      <c r="Q1881" s="33">
        <f>IF($D1881="","",IFERROR(IF(INDEX(RUNS!$K$6:$K$1005,MATCH($D1881,RUNS!$A$6:$A$1005,0))="","",INDEX(RUNS!$K$6:$K$1005,MATCH($D1881,RUNS!$A$6:$A$1005,0))),""))</f>
        <v/>
      </c>
      <c r="R1881" s="34">
        <f>IF(OR($L1881="",$K1881=""),"",IFERROR(IF(INDEX(PARAMETRES!$H$43:$H$342,MATCH($L1881&amp;"|"&amp;$M1881&amp;"|"&amp;$N1881&amp;"|"&amp;$O1881&amp;"|"&amp;$P1881&amp;"|"&amp;$Q1881&amp;"|"&amp;$K1881,PARAMETRES!$J$43:$J$342,0))="","",INDEX(PARAMETRES!$H$43:$H$342,MATCH($L1881&amp;"|"&amp;$M1881&amp;"|"&amp;$N1881&amp;"|"&amp;$O1881&amp;"|"&amp;$P1881&amp;"|"&amp;$Q1881&amp;"|"&amp;$K1881,PARAMETRES!$J$43:$J$342,0))),""))</f>
        <v/>
      </c>
      <c r="S1881" s="35">
        <f>IF(OR($G1881="",$X1881&lt;&gt;"VALIDE"),"",IFERROR(LOOKUP(2,1/(($B981:$B1880=$B1881)*($G981:$G1880=$G1881)*($X981:$X1880="VALIDE")),$C981:$C1880),""))</f>
        <v/>
      </c>
      <c r="T1881" s="36">
        <f>IF(OR($C1881="",$S1881=""),"",ROUND(($C1881-$S1881+IF($C1881&lt;$S1881,1,0))*1440,0))</f>
        <v/>
      </c>
      <c r="U1881" s="22">
        <f>IF(OR($H1881="",$T1881="",$T1881&lt;=0),"",$H1881*60/$T1881)</f>
        <v/>
      </c>
      <c r="V1881" s="37">
        <f>IF(OR($U1881="",$R1881="",$R1881=0),"",$U1881/$R1881)</f>
        <v/>
      </c>
      <c r="W1881" s="20">
        <f>IF($G1881="","",IF($X1881="CONTEXTE INCOMPLET","CONTEXTE INCOMPLET",IF($X1881="DOUBLON",StatutDoublon,IF($S1881="",StatutInitial,IF($R1881="",StatutStandardManquant,IF($V1881="","DONNEES INSUFFISANTES",IF($V1881&gt;=SeuilConforme,StatutConforme,IF($V1881&gt;=SeuilSurveiller,StatutSurveiller,StatutSousStandard))))))))</f>
        <v/>
      </c>
      <c r="X1881" s="33">
        <f>IF($G1881="","",IF(OR($D1881="",$E1881="",$F1881=""),"CONTEXTE INCOMPLET",IF(COUNTIFS($D981:$D1880,$D1881,$E981:$E1880,$E1881,$F981:$F1880,$F1881,$G981:$G1880,$G1881)&gt;0,"DOUBLON","VALIDE")))</f>
        <v/>
      </c>
    </row>
    <row r="1882" ht="15" customHeight="1">
      <c r="A1882" s="12">
        <f>IF(OR($B1882="",$G1882=""),"",TEXT($B1882,"YYYYMMDD")&amp;"-"&amp;SUBSTITUTE($E1882," ","")&amp;"-"&amp;$F1882&amp;"-"&amp;$G1882)</f>
        <v/>
      </c>
      <c r="B1882" s="15" t="n"/>
      <c r="C1882" s="16" t="n"/>
      <c r="D1882" s="10" t="n"/>
      <c r="E1882" s="9" t="n"/>
      <c r="F1882" s="9" t="n"/>
      <c r="G1882" s="13" t="n"/>
      <c r="H1882" s="21" t="n"/>
      <c r="I1882" s="21" t="n"/>
      <c r="J1882" s="17">
        <f>IF($G1882="","",IFERROR(INDEX(NomsEmployes,MATCH($G1882,MatriculesEmployes,0)),"MATRICULE INCONNU"))</f>
        <v/>
      </c>
      <c r="K1882" s="33">
        <f>IF(OR($D1882="",$F1882=""),"",IFERROR(IF(INDEX(RUNS!$L$6:$S$1005,MATCH($D1882,RUNS!$A$6:$A$1005,0),MATCH("ACTIVITÉ "&amp;$F1882,RUNS!$L$5:$S$5,0))="","",INDEX(RUNS!$L$6:$S$1005,MATCH($D1882,RUNS!$A$6:$A$1005,0),MATCH("ACTIVITÉ "&amp;$F1882,RUNS!$L$5:$S$5,0))),""))</f>
        <v/>
      </c>
      <c r="L1882" s="33">
        <f>IF($D1882="","",IFERROR(IF(INDEX(RUNS!$E$6:$E$1005,MATCH($D1882,RUNS!$A$6:$A$1005,0))="","",INDEX(RUNS!$E$6:$E$1005,MATCH($D1882,RUNS!$A$6:$A$1005,0))),""))</f>
        <v/>
      </c>
      <c r="M1882" s="33">
        <f>IF($D1882="","",IFERROR(IF(INDEX(RUNS!$F$6:$F$1005,MATCH($D1882,RUNS!$A$6:$A$1005,0))="","",INDEX(RUNS!$F$6:$F$1005,MATCH($D1882,RUNS!$A$6:$A$1005,0))),""))</f>
        <v/>
      </c>
      <c r="N1882" s="33">
        <f>IF($D1882="","",IFERROR(IF(INDEX(RUNS!$G$6:$G$1005,MATCH($D1882,RUNS!$A$6:$A$1005,0))="","",INDEX(RUNS!$G$6:$G$1005,MATCH($D1882,RUNS!$A$6:$A$1005,0))),""))</f>
        <v/>
      </c>
      <c r="O1882" s="33">
        <f>IF($D1882="","",IFERROR(IF(INDEX(RUNS!$H$6:$H$1005,MATCH($D1882,RUNS!$A$6:$A$1005,0))="","",INDEX(RUNS!$H$6:$H$1005,MATCH($D1882,RUNS!$A$6:$A$1005,0))),""))</f>
        <v/>
      </c>
      <c r="P1882" s="33">
        <f>IF($D1882="","",IFERROR(IF(INDEX(RUNS!$J$6:$J$1005,MATCH($D1882,RUNS!$A$6:$A$1005,0))="","",INDEX(RUNS!$J$6:$J$1005,MATCH($D1882,RUNS!$A$6:$A$1005,0))),""))</f>
        <v/>
      </c>
      <c r="Q1882" s="33">
        <f>IF($D1882="","",IFERROR(IF(INDEX(RUNS!$K$6:$K$1005,MATCH($D1882,RUNS!$A$6:$A$1005,0))="","",INDEX(RUNS!$K$6:$K$1005,MATCH($D1882,RUNS!$A$6:$A$1005,0))),""))</f>
        <v/>
      </c>
      <c r="R1882" s="34">
        <f>IF(OR($L1882="",$K1882=""),"",IFERROR(IF(INDEX(PARAMETRES!$H$43:$H$342,MATCH($L1882&amp;"|"&amp;$M1882&amp;"|"&amp;$N1882&amp;"|"&amp;$O1882&amp;"|"&amp;$P1882&amp;"|"&amp;$Q1882&amp;"|"&amp;$K1882,PARAMETRES!$J$43:$J$342,0))="","",INDEX(PARAMETRES!$H$43:$H$342,MATCH($L1882&amp;"|"&amp;$M1882&amp;"|"&amp;$N1882&amp;"|"&amp;$O1882&amp;"|"&amp;$P1882&amp;"|"&amp;$Q1882&amp;"|"&amp;$K1882,PARAMETRES!$J$43:$J$342,0))),""))</f>
        <v/>
      </c>
      <c r="S1882" s="35">
        <f>IF(OR($G1882="",$X1882&lt;&gt;"VALIDE"),"",IFERROR(LOOKUP(2,1/(($B982:$B1881=$B1882)*($G982:$G1881=$G1882)*($X982:$X1881="VALIDE")),$C982:$C1881),""))</f>
        <v/>
      </c>
      <c r="T1882" s="36">
        <f>IF(OR($C1882="",$S1882=""),"",ROUND(($C1882-$S1882+IF($C1882&lt;$S1882,1,0))*1440,0))</f>
        <v/>
      </c>
      <c r="U1882" s="22">
        <f>IF(OR($H1882="",$T1882="",$T1882&lt;=0),"",$H1882*60/$T1882)</f>
        <v/>
      </c>
      <c r="V1882" s="37">
        <f>IF(OR($U1882="",$R1882="",$R1882=0),"",$U1882/$R1882)</f>
        <v/>
      </c>
      <c r="W1882" s="20">
        <f>IF($G1882="","",IF($X1882="CONTEXTE INCOMPLET","CONTEXTE INCOMPLET",IF($X1882="DOUBLON",StatutDoublon,IF($S1882="",StatutInitial,IF($R1882="",StatutStandardManquant,IF($V1882="","DONNEES INSUFFISANTES",IF($V1882&gt;=SeuilConforme,StatutConforme,IF($V1882&gt;=SeuilSurveiller,StatutSurveiller,StatutSousStandard))))))))</f>
        <v/>
      </c>
      <c r="X1882" s="33">
        <f>IF($G1882="","",IF(OR($D1882="",$E1882="",$F1882=""),"CONTEXTE INCOMPLET",IF(COUNTIFS($D982:$D1881,$D1882,$E982:$E1881,$E1882,$F982:$F1881,$F1882,$G982:$G1881,$G1882)&gt;0,"DOUBLON","VALIDE")))</f>
        <v/>
      </c>
    </row>
    <row r="1883" ht="15" customHeight="1">
      <c r="A1883" s="12">
        <f>IF(OR($B1883="",$G1883=""),"",TEXT($B1883,"YYYYMMDD")&amp;"-"&amp;SUBSTITUTE($E1883," ","")&amp;"-"&amp;$F1883&amp;"-"&amp;$G1883)</f>
        <v/>
      </c>
      <c r="B1883" s="15" t="n"/>
      <c r="C1883" s="16" t="n"/>
      <c r="D1883" s="10" t="n"/>
      <c r="E1883" s="9" t="n"/>
      <c r="F1883" s="9" t="n"/>
      <c r="G1883" s="13" t="n"/>
      <c r="H1883" s="21" t="n"/>
      <c r="I1883" s="21" t="n"/>
      <c r="J1883" s="17">
        <f>IF($G1883="","",IFERROR(INDEX(NomsEmployes,MATCH($G1883,MatriculesEmployes,0)),"MATRICULE INCONNU"))</f>
        <v/>
      </c>
      <c r="K1883" s="33">
        <f>IF(OR($D1883="",$F1883=""),"",IFERROR(IF(INDEX(RUNS!$L$6:$S$1005,MATCH($D1883,RUNS!$A$6:$A$1005,0),MATCH("ACTIVITÉ "&amp;$F1883,RUNS!$L$5:$S$5,0))="","",INDEX(RUNS!$L$6:$S$1005,MATCH($D1883,RUNS!$A$6:$A$1005,0),MATCH("ACTIVITÉ "&amp;$F1883,RUNS!$L$5:$S$5,0))),""))</f>
        <v/>
      </c>
      <c r="L1883" s="33">
        <f>IF($D1883="","",IFERROR(IF(INDEX(RUNS!$E$6:$E$1005,MATCH($D1883,RUNS!$A$6:$A$1005,0))="","",INDEX(RUNS!$E$6:$E$1005,MATCH($D1883,RUNS!$A$6:$A$1005,0))),""))</f>
        <v/>
      </c>
      <c r="M1883" s="33">
        <f>IF($D1883="","",IFERROR(IF(INDEX(RUNS!$F$6:$F$1005,MATCH($D1883,RUNS!$A$6:$A$1005,0))="","",INDEX(RUNS!$F$6:$F$1005,MATCH($D1883,RUNS!$A$6:$A$1005,0))),""))</f>
        <v/>
      </c>
      <c r="N1883" s="33">
        <f>IF($D1883="","",IFERROR(IF(INDEX(RUNS!$G$6:$G$1005,MATCH($D1883,RUNS!$A$6:$A$1005,0))="","",INDEX(RUNS!$G$6:$G$1005,MATCH($D1883,RUNS!$A$6:$A$1005,0))),""))</f>
        <v/>
      </c>
      <c r="O1883" s="33">
        <f>IF($D1883="","",IFERROR(IF(INDEX(RUNS!$H$6:$H$1005,MATCH($D1883,RUNS!$A$6:$A$1005,0))="","",INDEX(RUNS!$H$6:$H$1005,MATCH($D1883,RUNS!$A$6:$A$1005,0))),""))</f>
        <v/>
      </c>
      <c r="P1883" s="33">
        <f>IF($D1883="","",IFERROR(IF(INDEX(RUNS!$J$6:$J$1005,MATCH($D1883,RUNS!$A$6:$A$1005,0))="","",INDEX(RUNS!$J$6:$J$1005,MATCH($D1883,RUNS!$A$6:$A$1005,0))),""))</f>
        <v/>
      </c>
      <c r="Q1883" s="33">
        <f>IF($D1883="","",IFERROR(IF(INDEX(RUNS!$K$6:$K$1005,MATCH($D1883,RUNS!$A$6:$A$1005,0))="","",INDEX(RUNS!$K$6:$K$1005,MATCH($D1883,RUNS!$A$6:$A$1005,0))),""))</f>
        <v/>
      </c>
      <c r="R1883" s="34">
        <f>IF(OR($L1883="",$K1883=""),"",IFERROR(IF(INDEX(PARAMETRES!$H$43:$H$342,MATCH($L1883&amp;"|"&amp;$M1883&amp;"|"&amp;$N1883&amp;"|"&amp;$O1883&amp;"|"&amp;$P1883&amp;"|"&amp;$Q1883&amp;"|"&amp;$K1883,PARAMETRES!$J$43:$J$342,0))="","",INDEX(PARAMETRES!$H$43:$H$342,MATCH($L1883&amp;"|"&amp;$M1883&amp;"|"&amp;$N1883&amp;"|"&amp;$O1883&amp;"|"&amp;$P1883&amp;"|"&amp;$Q1883&amp;"|"&amp;$K1883,PARAMETRES!$J$43:$J$342,0))),""))</f>
        <v/>
      </c>
      <c r="S1883" s="35">
        <f>IF(OR($G1883="",$X1883&lt;&gt;"VALIDE"),"",IFERROR(LOOKUP(2,1/(($B983:$B1882=$B1883)*($G983:$G1882=$G1883)*($X983:$X1882="VALIDE")),$C983:$C1882),""))</f>
        <v/>
      </c>
      <c r="T1883" s="36">
        <f>IF(OR($C1883="",$S1883=""),"",ROUND(($C1883-$S1883+IF($C1883&lt;$S1883,1,0))*1440,0))</f>
        <v/>
      </c>
      <c r="U1883" s="22">
        <f>IF(OR($H1883="",$T1883="",$T1883&lt;=0),"",$H1883*60/$T1883)</f>
        <v/>
      </c>
      <c r="V1883" s="37">
        <f>IF(OR($U1883="",$R1883="",$R1883=0),"",$U1883/$R1883)</f>
        <v/>
      </c>
      <c r="W1883" s="20">
        <f>IF($G1883="","",IF($X1883="CONTEXTE INCOMPLET","CONTEXTE INCOMPLET",IF($X1883="DOUBLON",StatutDoublon,IF($S1883="",StatutInitial,IF($R1883="",StatutStandardManquant,IF($V1883="","DONNEES INSUFFISANTES",IF($V1883&gt;=SeuilConforme,StatutConforme,IF($V1883&gt;=SeuilSurveiller,StatutSurveiller,StatutSousStandard))))))))</f>
        <v/>
      </c>
      <c r="X1883" s="33">
        <f>IF($G1883="","",IF(OR($D1883="",$E1883="",$F1883=""),"CONTEXTE INCOMPLET",IF(COUNTIFS($D983:$D1882,$D1883,$E983:$E1882,$E1883,$F983:$F1882,$F1883,$G983:$G1882,$G1883)&gt;0,"DOUBLON","VALIDE")))</f>
        <v/>
      </c>
    </row>
    <row r="1884" ht="15" customHeight="1">
      <c r="A1884" s="12">
        <f>IF(OR($B1884="",$G1884=""),"",TEXT($B1884,"YYYYMMDD")&amp;"-"&amp;SUBSTITUTE($E1884," ","")&amp;"-"&amp;$F1884&amp;"-"&amp;$G1884)</f>
        <v/>
      </c>
      <c r="B1884" s="15" t="n"/>
      <c r="C1884" s="16" t="n"/>
      <c r="D1884" s="10" t="n"/>
      <c r="E1884" s="9" t="n"/>
      <c r="F1884" s="9" t="n"/>
      <c r="G1884" s="13" t="n"/>
      <c r="H1884" s="21" t="n"/>
      <c r="I1884" s="21" t="n"/>
      <c r="J1884" s="17">
        <f>IF($G1884="","",IFERROR(INDEX(NomsEmployes,MATCH($G1884,MatriculesEmployes,0)),"MATRICULE INCONNU"))</f>
        <v/>
      </c>
      <c r="K1884" s="33">
        <f>IF(OR($D1884="",$F1884=""),"",IFERROR(IF(INDEX(RUNS!$L$6:$S$1005,MATCH($D1884,RUNS!$A$6:$A$1005,0),MATCH("ACTIVITÉ "&amp;$F1884,RUNS!$L$5:$S$5,0))="","",INDEX(RUNS!$L$6:$S$1005,MATCH($D1884,RUNS!$A$6:$A$1005,0),MATCH("ACTIVITÉ "&amp;$F1884,RUNS!$L$5:$S$5,0))),""))</f>
        <v/>
      </c>
      <c r="L1884" s="33">
        <f>IF($D1884="","",IFERROR(IF(INDEX(RUNS!$E$6:$E$1005,MATCH($D1884,RUNS!$A$6:$A$1005,0))="","",INDEX(RUNS!$E$6:$E$1005,MATCH($D1884,RUNS!$A$6:$A$1005,0))),""))</f>
        <v/>
      </c>
      <c r="M1884" s="33">
        <f>IF($D1884="","",IFERROR(IF(INDEX(RUNS!$F$6:$F$1005,MATCH($D1884,RUNS!$A$6:$A$1005,0))="","",INDEX(RUNS!$F$6:$F$1005,MATCH($D1884,RUNS!$A$6:$A$1005,0))),""))</f>
        <v/>
      </c>
      <c r="N1884" s="33">
        <f>IF($D1884="","",IFERROR(IF(INDEX(RUNS!$G$6:$G$1005,MATCH($D1884,RUNS!$A$6:$A$1005,0))="","",INDEX(RUNS!$G$6:$G$1005,MATCH($D1884,RUNS!$A$6:$A$1005,0))),""))</f>
        <v/>
      </c>
      <c r="O1884" s="33">
        <f>IF($D1884="","",IFERROR(IF(INDEX(RUNS!$H$6:$H$1005,MATCH($D1884,RUNS!$A$6:$A$1005,0))="","",INDEX(RUNS!$H$6:$H$1005,MATCH($D1884,RUNS!$A$6:$A$1005,0))),""))</f>
        <v/>
      </c>
      <c r="P1884" s="33">
        <f>IF($D1884="","",IFERROR(IF(INDEX(RUNS!$J$6:$J$1005,MATCH($D1884,RUNS!$A$6:$A$1005,0))="","",INDEX(RUNS!$J$6:$J$1005,MATCH($D1884,RUNS!$A$6:$A$1005,0))),""))</f>
        <v/>
      </c>
      <c r="Q1884" s="33">
        <f>IF($D1884="","",IFERROR(IF(INDEX(RUNS!$K$6:$K$1005,MATCH($D1884,RUNS!$A$6:$A$1005,0))="","",INDEX(RUNS!$K$6:$K$1005,MATCH($D1884,RUNS!$A$6:$A$1005,0))),""))</f>
        <v/>
      </c>
      <c r="R1884" s="34">
        <f>IF(OR($L1884="",$K1884=""),"",IFERROR(IF(INDEX(PARAMETRES!$H$43:$H$342,MATCH($L1884&amp;"|"&amp;$M1884&amp;"|"&amp;$N1884&amp;"|"&amp;$O1884&amp;"|"&amp;$P1884&amp;"|"&amp;$Q1884&amp;"|"&amp;$K1884,PARAMETRES!$J$43:$J$342,0))="","",INDEX(PARAMETRES!$H$43:$H$342,MATCH($L1884&amp;"|"&amp;$M1884&amp;"|"&amp;$N1884&amp;"|"&amp;$O1884&amp;"|"&amp;$P1884&amp;"|"&amp;$Q1884&amp;"|"&amp;$K1884,PARAMETRES!$J$43:$J$342,0))),""))</f>
        <v/>
      </c>
      <c r="S1884" s="35">
        <f>IF(OR($G1884="",$X1884&lt;&gt;"VALIDE"),"",IFERROR(LOOKUP(2,1/(($B984:$B1883=$B1884)*($G984:$G1883=$G1884)*($X984:$X1883="VALIDE")),$C984:$C1883),""))</f>
        <v/>
      </c>
      <c r="T1884" s="36">
        <f>IF(OR($C1884="",$S1884=""),"",ROUND(($C1884-$S1884+IF($C1884&lt;$S1884,1,0))*1440,0))</f>
        <v/>
      </c>
      <c r="U1884" s="22">
        <f>IF(OR($H1884="",$T1884="",$T1884&lt;=0),"",$H1884*60/$T1884)</f>
        <v/>
      </c>
      <c r="V1884" s="37">
        <f>IF(OR($U1884="",$R1884="",$R1884=0),"",$U1884/$R1884)</f>
        <v/>
      </c>
      <c r="W1884" s="20">
        <f>IF($G1884="","",IF($X1884="CONTEXTE INCOMPLET","CONTEXTE INCOMPLET",IF($X1884="DOUBLON",StatutDoublon,IF($S1884="",StatutInitial,IF($R1884="",StatutStandardManquant,IF($V1884="","DONNEES INSUFFISANTES",IF($V1884&gt;=SeuilConforme,StatutConforme,IF($V1884&gt;=SeuilSurveiller,StatutSurveiller,StatutSousStandard))))))))</f>
        <v/>
      </c>
      <c r="X1884" s="33">
        <f>IF($G1884="","",IF(OR($D1884="",$E1884="",$F1884=""),"CONTEXTE INCOMPLET",IF(COUNTIFS($D984:$D1883,$D1884,$E984:$E1883,$E1884,$F984:$F1883,$F1884,$G984:$G1883,$G1884)&gt;0,"DOUBLON","VALIDE")))</f>
        <v/>
      </c>
    </row>
    <row r="1885" ht="15" customHeight="1">
      <c r="A1885" s="12">
        <f>IF(OR($B1885="",$G1885=""),"",TEXT($B1885,"YYYYMMDD")&amp;"-"&amp;SUBSTITUTE($E1885," ","")&amp;"-"&amp;$F1885&amp;"-"&amp;$G1885)</f>
        <v/>
      </c>
      <c r="B1885" s="15" t="n"/>
      <c r="C1885" s="16" t="n"/>
      <c r="D1885" s="10" t="n"/>
      <c r="E1885" s="9" t="n"/>
      <c r="F1885" s="9" t="n"/>
      <c r="G1885" s="13" t="n"/>
      <c r="H1885" s="21" t="n"/>
      <c r="I1885" s="21" t="n"/>
      <c r="J1885" s="17">
        <f>IF($G1885="","",IFERROR(INDEX(NomsEmployes,MATCH($G1885,MatriculesEmployes,0)),"MATRICULE INCONNU"))</f>
        <v/>
      </c>
      <c r="K1885" s="33">
        <f>IF(OR($D1885="",$F1885=""),"",IFERROR(IF(INDEX(RUNS!$L$6:$S$1005,MATCH($D1885,RUNS!$A$6:$A$1005,0),MATCH("ACTIVITÉ "&amp;$F1885,RUNS!$L$5:$S$5,0))="","",INDEX(RUNS!$L$6:$S$1005,MATCH($D1885,RUNS!$A$6:$A$1005,0),MATCH("ACTIVITÉ "&amp;$F1885,RUNS!$L$5:$S$5,0))),""))</f>
        <v/>
      </c>
      <c r="L1885" s="33">
        <f>IF($D1885="","",IFERROR(IF(INDEX(RUNS!$E$6:$E$1005,MATCH($D1885,RUNS!$A$6:$A$1005,0))="","",INDEX(RUNS!$E$6:$E$1005,MATCH($D1885,RUNS!$A$6:$A$1005,0))),""))</f>
        <v/>
      </c>
      <c r="M1885" s="33">
        <f>IF($D1885="","",IFERROR(IF(INDEX(RUNS!$F$6:$F$1005,MATCH($D1885,RUNS!$A$6:$A$1005,0))="","",INDEX(RUNS!$F$6:$F$1005,MATCH($D1885,RUNS!$A$6:$A$1005,0))),""))</f>
        <v/>
      </c>
      <c r="N1885" s="33">
        <f>IF($D1885="","",IFERROR(IF(INDEX(RUNS!$G$6:$G$1005,MATCH($D1885,RUNS!$A$6:$A$1005,0))="","",INDEX(RUNS!$G$6:$G$1005,MATCH($D1885,RUNS!$A$6:$A$1005,0))),""))</f>
        <v/>
      </c>
      <c r="O1885" s="33">
        <f>IF($D1885="","",IFERROR(IF(INDEX(RUNS!$H$6:$H$1005,MATCH($D1885,RUNS!$A$6:$A$1005,0))="","",INDEX(RUNS!$H$6:$H$1005,MATCH($D1885,RUNS!$A$6:$A$1005,0))),""))</f>
        <v/>
      </c>
      <c r="P1885" s="33">
        <f>IF($D1885="","",IFERROR(IF(INDEX(RUNS!$J$6:$J$1005,MATCH($D1885,RUNS!$A$6:$A$1005,0))="","",INDEX(RUNS!$J$6:$J$1005,MATCH($D1885,RUNS!$A$6:$A$1005,0))),""))</f>
        <v/>
      </c>
      <c r="Q1885" s="33">
        <f>IF($D1885="","",IFERROR(IF(INDEX(RUNS!$K$6:$K$1005,MATCH($D1885,RUNS!$A$6:$A$1005,0))="","",INDEX(RUNS!$K$6:$K$1005,MATCH($D1885,RUNS!$A$6:$A$1005,0))),""))</f>
        <v/>
      </c>
      <c r="R1885" s="34">
        <f>IF(OR($L1885="",$K1885=""),"",IFERROR(IF(INDEX(PARAMETRES!$H$43:$H$342,MATCH($L1885&amp;"|"&amp;$M1885&amp;"|"&amp;$N1885&amp;"|"&amp;$O1885&amp;"|"&amp;$P1885&amp;"|"&amp;$Q1885&amp;"|"&amp;$K1885,PARAMETRES!$J$43:$J$342,0))="","",INDEX(PARAMETRES!$H$43:$H$342,MATCH($L1885&amp;"|"&amp;$M1885&amp;"|"&amp;$N1885&amp;"|"&amp;$O1885&amp;"|"&amp;$P1885&amp;"|"&amp;$Q1885&amp;"|"&amp;$K1885,PARAMETRES!$J$43:$J$342,0))),""))</f>
        <v/>
      </c>
      <c r="S1885" s="35">
        <f>IF(OR($G1885="",$X1885&lt;&gt;"VALIDE"),"",IFERROR(LOOKUP(2,1/(($B985:$B1884=$B1885)*($G985:$G1884=$G1885)*($X985:$X1884="VALIDE")),$C985:$C1884),""))</f>
        <v/>
      </c>
      <c r="T1885" s="36">
        <f>IF(OR($C1885="",$S1885=""),"",ROUND(($C1885-$S1885+IF($C1885&lt;$S1885,1,0))*1440,0))</f>
        <v/>
      </c>
      <c r="U1885" s="22">
        <f>IF(OR($H1885="",$T1885="",$T1885&lt;=0),"",$H1885*60/$T1885)</f>
        <v/>
      </c>
      <c r="V1885" s="37">
        <f>IF(OR($U1885="",$R1885="",$R1885=0),"",$U1885/$R1885)</f>
        <v/>
      </c>
      <c r="W1885" s="20">
        <f>IF($G1885="","",IF($X1885="CONTEXTE INCOMPLET","CONTEXTE INCOMPLET",IF($X1885="DOUBLON",StatutDoublon,IF($S1885="",StatutInitial,IF($R1885="",StatutStandardManquant,IF($V1885="","DONNEES INSUFFISANTES",IF($V1885&gt;=SeuilConforme,StatutConforme,IF($V1885&gt;=SeuilSurveiller,StatutSurveiller,StatutSousStandard))))))))</f>
        <v/>
      </c>
      <c r="X1885" s="33">
        <f>IF($G1885="","",IF(OR($D1885="",$E1885="",$F1885=""),"CONTEXTE INCOMPLET",IF(COUNTIFS($D985:$D1884,$D1885,$E985:$E1884,$E1885,$F985:$F1884,$F1885,$G985:$G1884,$G1885)&gt;0,"DOUBLON","VALIDE")))</f>
        <v/>
      </c>
    </row>
    <row r="1886" ht="15" customHeight="1">
      <c r="A1886" s="12">
        <f>IF(OR($B1886="",$G1886=""),"",TEXT($B1886,"YYYYMMDD")&amp;"-"&amp;SUBSTITUTE($E1886," ","")&amp;"-"&amp;$F1886&amp;"-"&amp;$G1886)</f>
        <v/>
      </c>
      <c r="B1886" s="15" t="n"/>
      <c r="C1886" s="16" t="n"/>
      <c r="D1886" s="10" t="n"/>
      <c r="E1886" s="9" t="n"/>
      <c r="F1886" s="9" t="n"/>
      <c r="G1886" s="13" t="n"/>
      <c r="H1886" s="21" t="n"/>
      <c r="I1886" s="21" t="n"/>
      <c r="J1886" s="17">
        <f>IF($G1886="","",IFERROR(INDEX(NomsEmployes,MATCH($G1886,MatriculesEmployes,0)),"MATRICULE INCONNU"))</f>
        <v/>
      </c>
      <c r="K1886" s="33">
        <f>IF(OR($D1886="",$F1886=""),"",IFERROR(IF(INDEX(RUNS!$L$6:$S$1005,MATCH($D1886,RUNS!$A$6:$A$1005,0),MATCH("ACTIVITÉ "&amp;$F1886,RUNS!$L$5:$S$5,0))="","",INDEX(RUNS!$L$6:$S$1005,MATCH($D1886,RUNS!$A$6:$A$1005,0),MATCH("ACTIVITÉ "&amp;$F1886,RUNS!$L$5:$S$5,0))),""))</f>
        <v/>
      </c>
      <c r="L1886" s="33">
        <f>IF($D1886="","",IFERROR(IF(INDEX(RUNS!$E$6:$E$1005,MATCH($D1886,RUNS!$A$6:$A$1005,0))="","",INDEX(RUNS!$E$6:$E$1005,MATCH($D1886,RUNS!$A$6:$A$1005,0))),""))</f>
        <v/>
      </c>
      <c r="M1886" s="33">
        <f>IF($D1886="","",IFERROR(IF(INDEX(RUNS!$F$6:$F$1005,MATCH($D1886,RUNS!$A$6:$A$1005,0))="","",INDEX(RUNS!$F$6:$F$1005,MATCH($D1886,RUNS!$A$6:$A$1005,0))),""))</f>
        <v/>
      </c>
      <c r="N1886" s="33">
        <f>IF($D1886="","",IFERROR(IF(INDEX(RUNS!$G$6:$G$1005,MATCH($D1886,RUNS!$A$6:$A$1005,0))="","",INDEX(RUNS!$G$6:$G$1005,MATCH($D1886,RUNS!$A$6:$A$1005,0))),""))</f>
        <v/>
      </c>
      <c r="O1886" s="33">
        <f>IF($D1886="","",IFERROR(IF(INDEX(RUNS!$H$6:$H$1005,MATCH($D1886,RUNS!$A$6:$A$1005,0))="","",INDEX(RUNS!$H$6:$H$1005,MATCH($D1886,RUNS!$A$6:$A$1005,0))),""))</f>
        <v/>
      </c>
      <c r="P1886" s="33">
        <f>IF($D1886="","",IFERROR(IF(INDEX(RUNS!$J$6:$J$1005,MATCH($D1886,RUNS!$A$6:$A$1005,0))="","",INDEX(RUNS!$J$6:$J$1005,MATCH($D1886,RUNS!$A$6:$A$1005,0))),""))</f>
        <v/>
      </c>
      <c r="Q1886" s="33">
        <f>IF($D1886="","",IFERROR(IF(INDEX(RUNS!$K$6:$K$1005,MATCH($D1886,RUNS!$A$6:$A$1005,0))="","",INDEX(RUNS!$K$6:$K$1005,MATCH($D1886,RUNS!$A$6:$A$1005,0))),""))</f>
        <v/>
      </c>
      <c r="R1886" s="34">
        <f>IF(OR($L1886="",$K1886=""),"",IFERROR(IF(INDEX(PARAMETRES!$H$43:$H$342,MATCH($L1886&amp;"|"&amp;$M1886&amp;"|"&amp;$N1886&amp;"|"&amp;$O1886&amp;"|"&amp;$P1886&amp;"|"&amp;$Q1886&amp;"|"&amp;$K1886,PARAMETRES!$J$43:$J$342,0))="","",INDEX(PARAMETRES!$H$43:$H$342,MATCH($L1886&amp;"|"&amp;$M1886&amp;"|"&amp;$N1886&amp;"|"&amp;$O1886&amp;"|"&amp;$P1886&amp;"|"&amp;$Q1886&amp;"|"&amp;$K1886,PARAMETRES!$J$43:$J$342,0))),""))</f>
        <v/>
      </c>
      <c r="S1886" s="35">
        <f>IF(OR($G1886="",$X1886&lt;&gt;"VALIDE"),"",IFERROR(LOOKUP(2,1/(($B986:$B1885=$B1886)*($G986:$G1885=$G1886)*($X986:$X1885="VALIDE")),$C986:$C1885),""))</f>
        <v/>
      </c>
      <c r="T1886" s="36">
        <f>IF(OR($C1886="",$S1886=""),"",ROUND(($C1886-$S1886+IF($C1886&lt;$S1886,1,0))*1440,0))</f>
        <v/>
      </c>
      <c r="U1886" s="22">
        <f>IF(OR($H1886="",$T1886="",$T1886&lt;=0),"",$H1886*60/$T1886)</f>
        <v/>
      </c>
      <c r="V1886" s="37">
        <f>IF(OR($U1886="",$R1886="",$R1886=0),"",$U1886/$R1886)</f>
        <v/>
      </c>
      <c r="W1886" s="20">
        <f>IF($G1886="","",IF($X1886="CONTEXTE INCOMPLET","CONTEXTE INCOMPLET",IF($X1886="DOUBLON",StatutDoublon,IF($S1886="",StatutInitial,IF($R1886="",StatutStandardManquant,IF($V1886="","DONNEES INSUFFISANTES",IF($V1886&gt;=SeuilConforme,StatutConforme,IF($V1886&gt;=SeuilSurveiller,StatutSurveiller,StatutSousStandard))))))))</f>
        <v/>
      </c>
      <c r="X1886" s="33">
        <f>IF($G1886="","",IF(OR($D1886="",$E1886="",$F1886=""),"CONTEXTE INCOMPLET",IF(COUNTIFS($D986:$D1885,$D1886,$E986:$E1885,$E1886,$F986:$F1885,$F1886,$G986:$G1885,$G1886)&gt;0,"DOUBLON","VALIDE")))</f>
        <v/>
      </c>
    </row>
    <row r="1887" ht="15" customHeight="1">
      <c r="A1887" s="12">
        <f>IF(OR($B1887="",$G1887=""),"",TEXT($B1887,"YYYYMMDD")&amp;"-"&amp;SUBSTITUTE($E1887," ","")&amp;"-"&amp;$F1887&amp;"-"&amp;$G1887)</f>
        <v/>
      </c>
      <c r="B1887" s="15" t="n"/>
      <c r="C1887" s="16" t="n"/>
      <c r="D1887" s="10" t="n"/>
      <c r="E1887" s="9" t="n"/>
      <c r="F1887" s="9" t="n"/>
      <c r="G1887" s="13" t="n"/>
      <c r="H1887" s="21" t="n"/>
      <c r="I1887" s="21" t="n"/>
      <c r="J1887" s="17">
        <f>IF($G1887="","",IFERROR(INDEX(NomsEmployes,MATCH($G1887,MatriculesEmployes,0)),"MATRICULE INCONNU"))</f>
        <v/>
      </c>
      <c r="K1887" s="33">
        <f>IF(OR($D1887="",$F1887=""),"",IFERROR(IF(INDEX(RUNS!$L$6:$S$1005,MATCH($D1887,RUNS!$A$6:$A$1005,0),MATCH("ACTIVITÉ "&amp;$F1887,RUNS!$L$5:$S$5,0))="","",INDEX(RUNS!$L$6:$S$1005,MATCH($D1887,RUNS!$A$6:$A$1005,0),MATCH("ACTIVITÉ "&amp;$F1887,RUNS!$L$5:$S$5,0))),""))</f>
        <v/>
      </c>
      <c r="L1887" s="33">
        <f>IF($D1887="","",IFERROR(IF(INDEX(RUNS!$E$6:$E$1005,MATCH($D1887,RUNS!$A$6:$A$1005,0))="","",INDEX(RUNS!$E$6:$E$1005,MATCH($D1887,RUNS!$A$6:$A$1005,0))),""))</f>
        <v/>
      </c>
      <c r="M1887" s="33">
        <f>IF($D1887="","",IFERROR(IF(INDEX(RUNS!$F$6:$F$1005,MATCH($D1887,RUNS!$A$6:$A$1005,0))="","",INDEX(RUNS!$F$6:$F$1005,MATCH($D1887,RUNS!$A$6:$A$1005,0))),""))</f>
        <v/>
      </c>
      <c r="N1887" s="33">
        <f>IF($D1887="","",IFERROR(IF(INDEX(RUNS!$G$6:$G$1005,MATCH($D1887,RUNS!$A$6:$A$1005,0))="","",INDEX(RUNS!$G$6:$G$1005,MATCH($D1887,RUNS!$A$6:$A$1005,0))),""))</f>
        <v/>
      </c>
      <c r="O1887" s="33">
        <f>IF($D1887="","",IFERROR(IF(INDEX(RUNS!$H$6:$H$1005,MATCH($D1887,RUNS!$A$6:$A$1005,0))="","",INDEX(RUNS!$H$6:$H$1005,MATCH($D1887,RUNS!$A$6:$A$1005,0))),""))</f>
        <v/>
      </c>
      <c r="P1887" s="33">
        <f>IF($D1887="","",IFERROR(IF(INDEX(RUNS!$J$6:$J$1005,MATCH($D1887,RUNS!$A$6:$A$1005,0))="","",INDEX(RUNS!$J$6:$J$1005,MATCH($D1887,RUNS!$A$6:$A$1005,0))),""))</f>
        <v/>
      </c>
      <c r="Q1887" s="33">
        <f>IF($D1887="","",IFERROR(IF(INDEX(RUNS!$K$6:$K$1005,MATCH($D1887,RUNS!$A$6:$A$1005,0))="","",INDEX(RUNS!$K$6:$K$1005,MATCH($D1887,RUNS!$A$6:$A$1005,0))),""))</f>
        <v/>
      </c>
      <c r="R1887" s="34">
        <f>IF(OR($L1887="",$K1887=""),"",IFERROR(IF(INDEX(PARAMETRES!$H$43:$H$342,MATCH($L1887&amp;"|"&amp;$M1887&amp;"|"&amp;$N1887&amp;"|"&amp;$O1887&amp;"|"&amp;$P1887&amp;"|"&amp;$Q1887&amp;"|"&amp;$K1887,PARAMETRES!$J$43:$J$342,0))="","",INDEX(PARAMETRES!$H$43:$H$342,MATCH($L1887&amp;"|"&amp;$M1887&amp;"|"&amp;$N1887&amp;"|"&amp;$O1887&amp;"|"&amp;$P1887&amp;"|"&amp;$Q1887&amp;"|"&amp;$K1887,PARAMETRES!$J$43:$J$342,0))),""))</f>
        <v/>
      </c>
      <c r="S1887" s="35">
        <f>IF(OR($G1887="",$X1887&lt;&gt;"VALIDE"),"",IFERROR(LOOKUP(2,1/(($B987:$B1886=$B1887)*($G987:$G1886=$G1887)*($X987:$X1886="VALIDE")),$C987:$C1886),""))</f>
        <v/>
      </c>
      <c r="T1887" s="36">
        <f>IF(OR($C1887="",$S1887=""),"",ROUND(($C1887-$S1887+IF($C1887&lt;$S1887,1,0))*1440,0))</f>
        <v/>
      </c>
      <c r="U1887" s="22">
        <f>IF(OR($H1887="",$T1887="",$T1887&lt;=0),"",$H1887*60/$T1887)</f>
        <v/>
      </c>
      <c r="V1887" s="37">
        <f>IF(OR($U1887="",$R1887="",$R1887=0),"",$U1887/$R1887)</f>
        <v/>
      </c>
      <c r="W1887" s="20">
        <f>IF($G1887="","",IF($X1887="CONTEXTE INCOMPLET","CONTEXTE INCOMPLET",IF($X1887="DOUBLON",StatutDoublon,IF($S1887="",StatutInitial,IF($R1887="",StatutStandardManquant,IF($V1887="","DONNEES INSUFFISANTES",IF($V1887&gt;=SeuilConforme,StatutConforme,IF($V1887&gt;=SeuilSurveiller,StatutSurveiller,StatutSousStandard))))))))</f>
        <v/>
      </c>
      <c r="X1887" s="33">
        <f>IF($G1887="","",IF(OR($D1887="",$E1887="",$F1887=""),"CONTEXTE INCOMPLET",IF(COUNTIFS($D987:$D1886,$D1887,$E987:$E1886,$E1887,$F987:$F1886,$F1887,$G987:$G1886,$G1887)&gt;0,"DOUBLON","VALIDE")))</f>
        <v/>
      </c>
    </row>
    <row r="1888" ht="15" customHeight="1">
      <c r="A1888" s="12">
        <f>IF(OR($B1888="",$G1888=""),"",TEXT($B1888,"YYYYMMDD")&amp;"-"&amp;SUBSTITUTE($E1888," ","")&amp;"-"&amp;$F1888&amp;"-"&amp;$G1888)</f>
        <v/>
      </c>
      <c r="B1888" s="15" t="n"/>
      <c r="C1888" s="16" t="n"/>
      <c r="D1888" s="10" t="n"/>
      <c r="E1888" s="9" t="n"/>
      <c r="F1888" s="9" t="n"/>
      <c r="G1888" s="13" t="n"/>
      <c r="H1888" s="21" t="n"/>
      <c r="I1888" s="21" t="n"/>
      <c r="J1888" s="17">
        <f>IF($G1888="","",IFERROR(INDEX(NomsEmployes,MATCH($G1888,MatriculesEmployes,0)),"MATRICULE INCONNU"))</f>
        <v/>
      </c>
      <c r="K1888" s="33">
        <f>IF(OR($D1888="",$F1888=""),"",IFERROR(IF(INDEX(RUNS!$L$6:$S$1005,MATCH($D1888,RUNS!$A$6:$A$1005,0),MATCH("ACTIVITÉ "&amp;$F1888,RUNS!$L$5:$S$5,0))="","",INDEX(RUNS!$L$6:$S$1005,MATCH($D1888,RUNS!$A$6:$A$1005,0),MATCH("ACTIVITÉ "&amp;$F1888,RUNS!$L$5:$S$5,0))),""))</f>
        <v/>
      </c>
      <c r="L1888" s="33">
        <f>IF($D1888="","",IFERROR(IF(INDEX(RUNS!$E$6:$E$1005,MATCH($D1888,RUNS!$A$6:$A$1005,0))="","",INDEX(RUNS!$E$6:$E$1005,MATCH($D1888,RUNS!$A$6:$A$1005,0))),""))</f>
        <v/>
      </c>
      <c r="M1888" s="33">
        <f>IF($D1888="","",IFERROR(IF(INDEX(RUNS!$F$6:$F$1005,MATCH($D1888,RUNS!$A$6:$A$1005,0))="","",INDEX(RUNS!$F$6:$F$1005,MATCH($D1888,RUNS!$A$6:$A$1005,0))),""))</f>
        <v/>
      </c>
      <c r="N1888" s="33">
        <f>IF($D1888="","",IFERROR(IF(INDEX(RUNS!$G$6:$G$1005,MATCH($D1888,RUNS!$A$6:$A$1005,0))="","",INDEX(RUNS!$G$6:$G$1005,MATCH($D1888,RUNS!$A$6:$A$1005,0))),""))</f>
        <v/>
      </c>
      <c r="O1888" s="33">
        <f>IF($D1888="","",IFERROR(IF(INDEX(RUNS!$H$6:$H$1005,MATCH($D1888,RUNS!$A$6:$A$1005,0))="","",INDEX(RUNS!$H$6:$H$1005,MATCH($D1888,RUNS!$A$6:$A$1005,0))),""))</f>
        <v/>
      </c>
      <c r="P1888" s="33">
        <f>IF($D1888="","",IFERROR(IF(INDEX(RUNS!$J$6:$J$1005,MATCH($D1888,RUNS!$A$6:$A$1005,0))="","",INDEX(RUNS!$J$6:$J$1005,MATCH($D1888,RUNS!$A$6:$A$1005,0))),""))</f>
        <v/>
      </c>
      <c r="Q1888" s="33">
        <f>IF($D1888="","",IFERROR(IF(INDEX(RUNS!$K$6:$K$1005,MATCH($D1888,RUNS!$A$6:$A$1005,0))="","",INDEX(RUNS!$K$6:$K$1005,MATCH($D1888,RUNS!$A$6:$A$1005,0))),""))</f>
        <v/>
      </c>
      <c r="R1888" s="34">
        <f>IF(OR($L1888="",$K1888=""),"",IFERROR(IF(INDEX(PARAMETRES!$H$43:$H$342,MATCH($L1888&amp;"|"&amp;$M1888&amp;"|"&amp;$N1888&amp;"|"&amp;$O1888&amp;"|"&amp;$P1888&amp;"|"&amp;$Q1888&amp;"|"&amp;$K1888,PARAMETRES!$J$43:$J$342,0))="","",INDEX(PARAMETRES!$H$43:$H$342,MATCH($L1888&amp;"|"&amp;$M1888&amp;"|"&amp;$N1888&amp;"|"&amp;$O1888&amp;"|"&amp;$P1888&amp;"|"&amp;$Q1888&amp;"|"&amp;$K1888,PARAMETRES!$J$43:$J$342,0))),""))</f>
        <v/>
      </c>
      <c r="S1888" s="35">
        <f>IF(OR($G1888="",$X1888&lt;&gt;"VALIDE"),"",IFERROR(LOOKUP(2,1/(($B988:$B1887=$B1888)*($G988:$G1887=$G1888)*($X988:$X1887="VALIDE")),$C988:$C1887),""))</f>
        <v/>
      </c>
      <c r="T1888" s="36">
        <f>IF(OR($C1888="",$S1888=""),"",ROUND(($C1888-$S1888+IF($C1888&lt;$S1888,1,0))*1440,0))</f>
        <v/>
      </c>
      <c r="U1888" s="22">
        <f>IF(OR($H1888="",$T1888="",$T1888&lt;=0),"",$H1888*60/$T1888)</f>
        <v/>
      </c>
      <c r="V1888" s="37">
        <f>IF(OR($U1888="",$R1888="",$R1888=0),"",$U1888/$R1888)</f>
        <v/>
      </c>
      <c r="W1888" s="20">
        <f>IF($G1888="","",IF($X1888="CONTEXTE INCOMPLET","CONTEXTE INCOMPLET",IF($X1888="DOUBLON",StatutDoublon,IF($S1888="",StatutInitial,IF($R1888="",StatutStandardManquant,IF($V1888="","DONNEES INSUFFISANTES",IF($V1888&gt;=SeuilConforme,StatutConforme,IF($V1888&gt;=SeuilSurveiller,StatutSurveiller,StatutSousStandard))))))))</f>
        <v/>
      </c>
      <c r="X1888" s="33">
        <f>IF($G1888="","",IF(OR($D1888="",$E1888="",$F1888=""),"CONTEXTE INCOMPLET",IF(COUNTIFS($D988:$D1887,$D1888,$E988:$E1887,$E1888,$F988:$F1887,$F1888,$G988:$G1887,$G1888)&gt;0,"DOUBLON","VALIDE")))</f>
        <v/>
      </c>
    </row>
    <row r="1889" ht="15" customHeight="1">
      <c r="A1889" s="12">
        <f>IF(OR($B1889="",$G1889=""),"",TEXT($B1889,"YYYYMMDD")&amp;"-"&amp;SUBSTITUTE($E1889," ","")&amp;"-"&amp;$F1889&amp;"-"&amp;$G1889)</f>
        <v/>
      </c>
      <c r="B1889" s="15" t="n"/>
      <c r="C1889" s="16" t="n"/>
      <c r="D1889" s="10" t="n"/>
      <c r="E1889" s="9" t="n"/>
      <c r="F1889" s="9" t="n"/>
      <c r="G1889" s="13" t="n"/>
      <c r="H1889" s="21" t="n"/>
      <c r="I1889" s="21" t="n"/>
      <c r="J1889" s="17">
        <f>IF($G1889="","",IFERROR(INDEX(NomsEmployes,MATCH($G1889,MatriculesEmployes,0)),"MATRICULE INCONNU"))</f>
        <v/>
      </c>
      <c r="K1889" s="33">
        <f>IF(OR($D1889="",$F1889=""),"",IFERROR(IF(INDEX(RUNS!$L$6:$S$1005,MATCH($D1889,RUNS!$A$6:$A$1005,0),MATCH("ACTIVITÉ "&amp;$F1889,RUNS!$L$5:$S$5,0))="","",INDEX(RUNS!$L$6:$S$1005,MATCH($D1889,RUNS!$A$6:$A$1005,0),MATCH("ACTIVITÉ "&amp;$F1889,RUNS!$L$5:$S$5,0))),""))</f>
        <v/>
      </c>
      <c r="L1889" s="33">
        <f>IF($D1889="","",IFERROR(IF(INDEX(RUNS!$E$6:$E$1005,MATCH($D1889,RUNS!$A$6:$A$1005,0))="","",INDEX(RUNS!$E$6:$E$1005,MATCH($D1889,RUNS!$A$6:$A$1005,0))),""))</f>
        <v/>
      </c>
      <c r="M1889" s="33">
        <f>IF($D1889="","",IFERROR(IF(INDEX(RUNS!$F$6:$F$1005,MATCH($D1889,RUNS!$A$6:$A$1005,0))="","",INDEX(RUNS!$F$6:$F$1005,MATCH($D1889,RUNS!$A$6:$A$1005,0))),""))</f>
        <v/>
      </c>
      <c r="N1889" s="33">
        <f>IF($D1889="","",IFERROR(IF(INDEX(RUNS!$G$6:$G$1005,MATCH($D1889,RUNS!$A$6:$A$1005,0))="","",INDEX(RUNS!$G$6:$G$1005,MATCH($D1889,RUNS!$A$6:$A$1005,0))),""))</f>
        <v/>
      </c>
      <c r="O1889" s="33">
        <f>IF($D1889="","",IFERROR(IF(INDEX(RUNS!$H$6:$H$1005,MATCH($D1889,RUNS!$A$6:$A$1005,0))="","",INDEX(RUNS!$H$6:$H$1005,MATCH($D1889,RUNS!$A$6:$A$1005,0))),""))</f>
        <v/>
      </c>
      <c r="P1889" s="33">
        <f>IF($D1889="","",IFERROR(IF(INDEX(RUNS!$J$6:$J$1005,MATCH($D1889,RUNS!$A$6:$A$1005,0))="","",INDEX(RUNS!$J$6:$J$1005,MATCH($D1889,RUNS!$A$6:$A$1005,0))),""))</f>
        <v/>
      </c>
      <c r="Q1889" s="33">
        <f>IF($D1889="","",IFERROR(IF(INDEX(RUNS!$K$6:$K$1005,MATCH($D1889,RUNS!$A$6:$A$1005,0))="","",INDEX(RUNS!$K$6:$K$1005,MATCH($D1889,RUNS!$A$6:$A$1005,0))),""))</f>
        <v/>
      </c>
      <c r="R1889" s="34">
        <f>IF(OR($L1889="",$K1889=""),"",IFERROR(IF(INDEX(PARAMETRES!$H$43:$H$342,MATCH($L1889&amp;"|"&amp;$M1889&amp;"|"&amp;$N1889&amp;"|"&amp;$O1889&amp;"|"&amp;$P1889&amp;"|"&amp;$Q1889&amp;"|"&amp;$K1889,PARAMETRES!$J$43:$J$342,0))="","",INDEX(PARAMETRES!$H$43:$H$342,MATCH($L1889&amp;"|"&amp;$M1889&amp;"|"&amp;$N1889&amp;"|"&amp;$O1889&amp;"|"&amp;$P1889&amp;"|"&amp;$Q1889&amp;"|"&amp;$K1889,PARAMETRES!$J$43:$J$342,0))),""))</f>
        <v/>
      </c>
      <c r="S1889" s="35">
        <f>IF(OR($G1889="",$X1889&lt;&gt;"VALIDE"),"",IFERROR(LOOKUP(2,1/(($B989:$B1888=$B1889)*($G989:$G1888=$G1889)*($X989:$X1888="VALIDE")),$C989:$C1888),""))</f>
        <v/>
      </c>
      <c r="T1889" s="36">
        <f>IF(OR($C1889="",$S1889=""),"",ROUND(($C1889-$S1889+IF($C1889&lt;$S1889,1,0))*1440,0))</f>
        <v/>
      </c>
      <c r="U1889" s="22">
        <f>IF(OR($H1889="",$T1889="",$T1889&lt;=0),"",$H1889*60/$T1889)</f>
        <v/>
      </c>
      <c r="V1889" s="37">
        <f>IF(OR($U1889="",$R1889="",$R1889=0),"",$U1889/$R1889)</f>
        <v/>
      </c>
      <c r="W1889" s="20">
        <f>IF($G1889="","",IF($X1889="CONTEXTE INCOMPLET","CONTEXTE INCOMPLET",IF($X1889="DOUBLON",StatutDoublon,IF($S1889="",StatutInitial,IF($R1889="",StatutStandardManquant,IF($V1889="","DONNEES INSUFFISANTES",IF($V1889&gt;=SeuilConforme,StatutConforme,IF($V1889&gt;=SeuilSurveiller,StatutSurveiller,StatutSousStandard))))))))</f>
        <v/>
      </c>
      <c r="X1889" s="33">
        <f>IF($G1889="","",IF(OR($D1889="",$E1889="",$F1889=""),"CONTEXTE INCOMPLET",IF(COUNTIFS($D989:$D1888,$D1889,$E989:$E1888,$E1889,$F989:$F1888,$F1889,$G989:$G1888,$G1889)&gt;0,"DOUBLON","VALIDE")))</f>
        <v/>
      </c>
    </row>
    <row r="1890" ht="15" customHeight="1">
      <c r="A1890" s="12">
        <f>IF(OR($B1890="",$G1890=""),"",TEXT($B1890,"YYYYMMDD")&amp;"-"&amp;SUBSTITUTE($E1890," ","")&amp;"-"&amp;$F1890&amp;"-"&amp;$G1890)</f>
        <v/>
      </c>
      <c r="B1890" s="15" t="n"/>
      <c r="C1890" s="16" t="n"/>
      <c r="D1890" s="10" t="n"/>
      <c r="E1890" s="9" t="n"/>
      <c r="F1890" s="9" t="n"/>
      <c r="G1890" s="13" t="n"/>
      <c r="H1890" s="21" t="n"/>
      <c r="I1890" s="21" t="n"/>
      <c r="J1890" s="17">
        <f>IF($G1890="","",IFERROR(INDEX(NomsEmployes,MATCH($G1890,MatriculesEmployes,0)),"MATRICULE INCONNU"))</f>
        <v/>
      </c>
      <c r="K1890" s="33">
        <f>IF(OR($D1890="",$F1890=""),"",IFERROR(IF(INDEX(RUNS!$L$6:$S$1005,MATCH($D1890,RUNS!$A$6:$A$1005,0),MATCH("ACTIVITÉ "&amp;$F1890,RUNS!$L$5:$S$5,0))="","",INDEX(RUNS!$L$6:$S$1005,MATCH($D1890,RUNS!$A$6:$A$1005,0),MATCH("ACTIVITÉ "&amp;$F1890,RUNS!$L$5:$S$5,0))),""))</f>
        <v/>
      </c>
      <c r="L1890" s="33">
        <f>IF($D1890="","",IFERROR(IF(INDEX(RUNS!$E$6:$E$1005,MATCH($D1890,RUNS!$A$6:$A$1005,0))="","",INDEX(RUNS!$E$6:$E$1005,MATCH($D1890,RUNS!$A$6:$A$1005,0))),""))</f>
        <v/>
      </c>
      <c r="M1890" s="33">
        <f>IF($D1890="","",IFERROR(IF(INDEX(RUNS!$F$6:$F$1005,MATCH($D1890,RUNS!$A$6:$A$1005,0))="","",INDEX(RUNS!$F$6:$F$1005,MATCH($D1890,RUNS!$A$6:$A$1005,0))),""))</f>
        <v/>
      </c>
      <c r="N1890" s="33">
        <f>IF($D1890="","",IFERROR(IF(INDEX(RUNS!$G$6:$G$1005,MATCH($D1890,RUNS!$A$6:$A$1005,0))="","",INDEX(RUNS!$G$6:$G$1005,MATCH($D1890,RUNS!$A$6:$A$1005,0))),""))</f>
        <v/>
      </c>
      <c r="O1890" s="33">
        <f>IF($D1890="","",IFERROR(IF(INDEX(RUNS!$H$6:$H$1005,MATCH($D1890,RUNS!$A$6:$A$1005,0))="","",INDEX(RUNS!$H$6:$H$1005,MATCH($D1890,RUNS!$A$6:$A$1005,0))),""))</f>
        <v/>
      </c>
      <c r="P1890" s="33">
        <f>IF($D1890="","",IFERROR(IF(INDEX(RUNS!$J$6:$J$1005,MATCH($D1890,RUNS!$A$6:$A$1005,0))="","",INDEX(RUNS!$J$6:$J$1005,MATCH($D1890,RUNS!$A$6:$A$1005,0))),""))</f>
        <v/>
      </c>
      <c r="Q1890" s="33">
        <f>IF($D1890="","",IFERROR(IF(INDEX(RUNS!$K$6:$K$1005,MATCH($D1890,RUNS!$A$6:$A$1005,0))="","",INDEX(RUNS!$K$6:$K$1005,MATCH($D1890,RUNS!$A$6:$A$1005,0))),""))</f>
        <v/>
      </c>
      <c r="R1890" s="34">
        <f>IF(OR($L1890="",$K1890=""),"",IFERROR(IF(INDEX(PARAMETRES!$H$43:$H$342,MATCH($L1890&amp;"|"&amp;$M1890&amp;"|"&amp;$N1890&amp;"|"&amp;$O1890&amp;"|"&amp;$P1890&amp;"|"&amp;$Q1890&amp;"|"&amp;$K1890,PARAMETRES!$J$43:$J$342,0))="","",INDEX(PARAMETRES!$H$43:$H$342,MATCH($L1890&amp;"|"&amp;$M1890&amp;"|"&amp;$N1890&amp;"|"&amp;$O1890&amp;"|"&amp;$P1890&amp;"|"&amp;$Q1890&amp;"|"&amp;$K1890,PARAMETRES!$J$43:$J$342,0))),""))</f>
        <v/>
      </c>
      <c r="S1890" s="35">
        <f>IF(OR($G1890="",$X1890&lt;&gt;"VALIDE"),"",IFERROR(LOOKUP(2,1/(($B990:$B1889=$B1890)*($G990:$G1889=$G1890)*($X990:$X1889="VALIDE")),$C990:$C1889),""))</f>
        <v/>
      </c>
      <c r="T1890" s="36">
        <f>IF(OR($C1890="",$S1890=""),"",ROUND(($C1890-$S1890+IF($C1890&lt;$S1890,1,0))*1440,0))</f>
        <v/>
      </c>
      <c r="U1890" s="22">
        <f>IF(OR($H1890="",$T1890="",$T1890&lt;=0),"",$H1890*60/$T1890)</f>
        <v/>
      </c>
      <c r="V1890" s="37">
        <f>IF(OR($U1890="",$R1890="",$R1890=0),"",$U1890/$R1890)</f>
        <v/>
      </c>
      <c r="W1890" s="20">
        <f>IF($G1890="","",IF($X1890="CONTEXTE INCOMPLET","CONTEXTE INCOMPLET",IF($X1890="DOUBLON",StatutDoublon,IF($S1890="",StatutInitial,IF($R1890="",StatutStandardManquant,IF($V1890="","DONNEES INSUFFISANTES",IF($V1890&gt;=SeuilConforme,StatutConforme,IF($V1890&gt;=SeuilSurveiller,StatutSurveiller,StatutSousStandard))))))))</f>
        <v/>
      </c>
      <c r="X1890" s="33">
        <f>IF($G1890="","",IF(OR($D1890="",$E1890="",$F1890=""),"CONTEXTE INCOMPLET",IF(COUNTIFS($D990:$D1889,$D1890,$E990:$E1889,$E1890,$F990:$F1889,$F1890,$G990:$G1889,$G1890)&gt;0,"DOUBLON","VALIDE")))</f>
        <v/>
      </c>
    </row>
    <row r="1891" ht="15" customHeight="1">
      <c r="A1891" s="12">
        <f>IF(OR($B1891="",$G1891=""),"",TEXT($B1891,"YYYYMMDD")&amp;"-"&amp;SUBSTITUTE($E1891," ","")&amp;"-"&amp;$F1891&amp;"-"&amp;$G1891)</f>
        <v/>
      </c>
      <c r="B1891" s="15" t="n"/>
      <c r="C1891" s="16" t="n"/>
      <c r="D1891" s="10" t="n"/>
      <c r="E1891" s="9" t="n"/>
      <c r="F1891" s="9" t="n"/>
      <c r="G1891" s="13" t="n"/>
      <c r="H1891" s="21" t="n"/>
      <c r="I1891" s="21" t="n"/>
      <c r="J1891" s="17">
        <f>IF($G1891="","",IFERROR(INDEX(NomsEmployes,MATCH($G1891,MatriculesEmployes,0)),"MATRICULE INCONNU"))</f>
        <v/>
      </c>
      <c r="K1891" s="33">
        <f>IF(OR($D1891="",$F1891=""),"",IFERROR(IF(INDEX(RUNS!$L$6:$S$1005,MATCH($D1891,RUNS!$A$6:$A$1005,0),MATCH("ACTIVITÉ "&amp;$F1891,RUNS!$L$5:$S$5,0))="","",INDEX(RUNS!$L$6:$S$1005,MATCH($D1891,RUNS!$A$6:$A$1005,0),MATCH("ACTIVITÉ "&amp;$F1891,RUNS!$L$5:$S$5,0))),""))</f>
        <v/>
      </c>
      <c r="L1891" s="33">
        <f>IF($D1891="","",IFERROR(IF(INDEX(RUNS!$E$6:$E$1005,MATCH($D1891,RUNS!$A$6:$A$1005,0))="","",INDEX(RUNS!$E$6:$E$1005,MATCH($D1891,RUNS!$A$6:$A$1005,0))),""))</f>
        <v/>
      </c>
      <c r="M1891" s="33">
        <f>IF($D1891="","",IFERROR(IF(INDEX(RUNS!$F$6:$F$1005,MATCH($D1891,RUNS!$A$6:$A$1005,0))="","",INDEX(RUNS!$F$6:$F$1005,MATCH($D1891,RUNS!$A$6:$A$1005,0))),""))</f>
        <v/>
      </c>
      <c r="N1891" s="33">
        <f>IF($D1891="","",IFERROR(IF(INDEX(RUNS!$G$6:$G$1005,MATCH($D1891,RUNS!$A$6:$A$1005,0))="","",INDEX(RUNS!$G$6:$G$1005,MATCH($D1891,RUNS!$A$6:$A$1005,0))),""))</f>
        <v/>
      </c>
      <c r="O1891" s="33">
        <f>IF($D1891="","",IFERROR(IF(INDEX(RUNS!$H$6:$H$1005,MATCH($D1891,RUNS!$A$6:$A$1005,0))="","",INDEX(RUNS!$H$6:$H$1005,MATCH($D1891,RUNS!$A$6:$A$1005,0))),""))</f>
        <v/>
      </c>
      <c r="P1891" s="33">
        <f>IF($D1891="","",IFERROR(IF(INDEX(RUNS!$J$6:$J$1005,MATCH($D1891,RUNS!$A$6:$A$1005,0))="","",INDEX(RUNS!$J$6:$J$1005,MATCH($D1891,RUNS!$A$6:$A$1005,0))),""))</f>
        <v/>
      </c>
      <c r="Q1891" s="33">
        <f>IF($D1891="","",IFERROR(IF(INDEX(RUNS!$K$6:$K$1005,MATCH($D1891,RUNS!$A$6:$A$1005,0))="","",INDEX(RUNS!$K$6:$K$1005,MATCH($D1891,RUNS!$A$6:$A$1005,0))),""))</f>
        <v/>
      </c>
      <c r="R1891" s="34">
        <f>IF(OR($L1891="",$K1891=""),"",IFERROR(IF(INDEX(PARAMETRES!$H$43:$H$342,MATCH($L1891&amp;"|"&amp;$M1891&amp;"|"&amp;$N1891&amp;"|"&amp;$O1891&amp;"|"&amp;$P1891&amp;"|"&amp;$Q1891&amp;"|"&amp;$K1891,PARAMETRES!$J$43:$J$342,0))="","",INDEX(PARAMETRES!$H$43:$H$342,MATCH($L1891&amp;"|"&amp;$M1891&amp;"|"&amp;$N1891&amp;"|"&amp;$O1891&amp;"|"&amp;$P1891&amp;"|"&amp;$Q1891&amp;"|"&amp;$K1891,PARAMETRES!$J$43:$J$342,0))),""))</f>
        <v/>
      </c>
      <c r="S1891" s="35">
        <f>IF(OR($G1891="",$X1891&lt;&gt;"VALIDE"),"",IFERROR(LOOKUP(2,1/(($B991:$B1890=$B1891)*($G991:$G1890=$G1891)*($X991:$X1890="VALIDE")),$C991:$C1890),""))</f>
        <v/>
      </c>
      <c r="T1891" s="36">
        <f>IF(OR($C1891="",$S1891=""),"",ROUND(($C1891-$S1891+IF($C1891&lt;$S1891,1,0))*1440,0))</f>
        <v/>
      </c>
      <c r="U1891" s="22">
        <f>IF(OR($H1891="",$T1891="",$T1891&lt;=0),"",$H1891*60/$T1891)</f>
        <v/>
      </c>
      <c r="V1891" s="37">
        <f>IF(OR($U1891="",$R1891="",$R1891=0),"",$U1891/$R1891)</f>
        <v/>
      </c>
      <c r="W1891" s="20">
        <f>IF($G1891="","",IF($X1891="CONTEXTE INCOMPLET","CONTEXTE INCOMPLET",IF($X1891="DOUBLON",StatutDoublon,IF($S1891="",StatutInitial,IF($R1891="",StatutStandardManquant,IF($V1891="","DONNEES INSUFFISANTES",IF($V1891&gt;=SeuilConforme,StatutConforme,IF($V1891&gt;=SeuilSurveiller,StatutSurveiller,StatutSousStandard))))))))</f>
        <v/>
      </c>
      <c r="X1891" s="33">
        <f>IF($G1891="","",IF(OR($D1891="",$E1891="",$F1891=""),"CONTEXTE INCOMPLET",IF(COUNTIFS($D991:$D1890,$D1891,$E991:$E1890,$E1891,$F991:$F1890,$F1891,$G991:$G1890,$G1891)&gt;0,"DOUBLON","VALIDE")))</f>
        <v/>
      </c>
    </row>
    <row r="1892" ht="15" customHeight="1">
      <c r="A1892" s="12">
        <f>IF(OR($B1892="",$G1892=""),"",TEXT($B1892,"YYYYMMDD")&amp;"-"&amp;SUBSTITUTE($E1892," ","")&amp;"-"&amp;$F1892&amp;"-"&amp;$G1892)</f>
        <v/>
      </c>
      <c r="B1892" s="15" t="n"/>
      <c r="C1892" s="16" t="n"/>
      <c r="D1892" s="10" t="n"/>
      <c r="E1892" s="9" t="n"/>
      <c r="F1892" s="9" t="n"/>
      <c r="G1892" s="13" t="n"/>
      <c r="H1892" s="21" t="n"/>
      <c r="I1892" s="21" t="n"/>
      <c r="J1892" s="17">
        <f>IF($G1892="","",IFERROR(INDEX(NomsEmployes,MATCH($G1892,MatriculesEmployes,0)),"MATRICULE INCONNU"))</f>
        <v/>
      </c>
      <c r="K1892" s="33">
        <f>IF(OR($D1892="",$F1892=""),"",IFERROR(IF(INDEX(RUNS!$L$6:$S$1005,MATCH($D1892,RUNS!$A$6:$A$1005,0),MATCH("ACTIVITÉ "&amp;$F1892,RUNS!$L$5:$S$5,0))="","",INDEX(RUNS!$L$6:$S$1005,MATCH($D1892,RUNS!$A$6:$A$1005,0),MATCH("ACTIVITÉ "&amp;$F1892,RUNS!$L$5:$S$5,0))),""))</f>
        <v/>
      </c>
      <c r="L1892" s="33">
        <f>IF($D1892="","",IFERROR(IF(INDEX(RUNS!$E$6:$E$1005,MATCH($D1892,RUNS!$A$6:$A$1005,0))="","",INDEX(RUNS!$E$6:$E$1005,MATCH($D1892,RUNS!$A$6:$A$1005,0))),""))</f>
        <v/>
      </c>
      <c r="M1892" s="33">
        <f>IF($D1892="","",IFERROR(IF(INDEX(RUNS!$F$6:$F$1005,MATCH($D1892,RUNS!$A$6:$A$1005,0))="","",INDEX(RUNS!$F$6:$F$1005,MATCH($D1892,RUNS!$A$6:$A$1005,0))),""))</f>
        <v/>
      </c>
      <c r="N1892" s="33">
        <f>IF($D1892="","",IFERROR(IF(INDEX(RUNS!$G$6:$G$1005,MATCH($D1892,RUNS!$A$6:$A$1005,0))="","",INDEX(RUNS!$G$6:$G$1005,MATCH($D1892,RUNS!$A$6:$A$1005,0))),""))</f>
        <v/>
      </c>
      <c r="O1892" s="33">
        <f>IF($D1892="","",IFERROR(IF(INDEX(RUNS!$H$6:$H$1005,MATCH($D1892,RUNS!$A$6:$A$1005,0))="","",INDEX(RUNS!$H$6:$H$1005,MATCH($D1892,RUNS!$A$6:$A$1005,0))),""))</f>
        <v/>
      </c>
      <c r="P1892" s="33">
        <f>IF($D1892="","",IFERROR(IF(INDEX(RUNS!$J$6:$J$1005,MATCH($D1892,RUNS!$A$6:$A$1005,0))="","",INDEX(RUNS!$J$6:$J$1005,MATCH($D1892,RUNS!$A$6:$A$1005,0))),""))</f>
        <v/>
      </c>
      <c r="Q1892" s="33">
        <f>IF($D1892="","",IFERROR(IF(INDEX(RUNS!$K$6:$K$1005,MATCH($D1892,RUNS!$A$6:$A$1005,0))="","",INDEX(RUNS!$K$6:$K$1005,MATCH($D1892,RUNS!$A$6:$A$1005,0))),""))</f>
        <v/>
      </c>
      <c r="R1892" s="34">
        <f>IF(OR($L1892="",$K1892=""),"",IFERROR(IF(INDEX(PARAMETRES!$H$43:$H$342,MATCH($L1892&amp;"|"&amp;$M1892&amp;"|"&amp;$N1892&amp;"|"&amp;$O1892&amp;"|"&amp;$P1892&amp;"|"&amp;$Q1892&amp;"|"&amp;$K1892,PARAMETRES!$J$43:$J$342,0))="","",INDEX(PARAMETRES!$H$43:$H$342,MATCH($L1892&amp;"|"&amp;$M1892&amp;"|"&amp;$N1892&amp;"|"&amp;$O1892&amp;"|"&amp;$P1892&amp;"|"&amp;$Q1892&amp;"|"&amp;$K1892,PARAMETRES!$J$43:$J$342,0))),""))</f>
        <v/>
      </c>
      <c r="S1892" s="35">
        <f>IF(OR($G1892="",$X1892&lt;&gt;"VALIDE"),"",IFERROR(LOOKUP(2,1/(($B992:$B1891=$B1892)*($G992:$G1891=$G1892)*($X992:$X1891="VALIDE")),$C992:$C1891),""))</f>
        <v/>
      </c>
      <c r="T1892" s="36">
        <f>IF(OR($C1892="",$S1892=""),"",ROUND(($C1892-$S1892+IF($C1892&lt;$S1892,1,0))*1440,0))</f>
        <v/>
      </c>
      <c r="U1892" s="22">
        <f>IF(OR($H1892="",$T1892="",$T1892&lt;=0),"",$H1892*60/$T1892)</f>
        <v/>
      </c>
      <c r="V1892" s="37">
        <f>IF(OR($U1892="",$R1892="",$R1892=0),"",$U1892/$R1892)</f>
        <v/>
      </c>
      <c r="W1892" s="20">
        <f>IF($G1892="","",IF($X1892="CONTEXTE INCOMPLET","CONTEXTE INCOMPLET",IF($X1892="DOUBLON",StatutDoublon,IF($S1892="",StatutInitial,IF($R1892="",StatutStandardManquant,IF($V1892="","DONNEES INSUFFISANTES",IF($V1892&gt;=SeuilConforme,StatutConforme,IF($V1892&gt;=SeuilSurveiller,StatutSurveiller,StatutSousStandard))))))))</f>
        <v/>
      </c>
      <c r="X1892" s="33">
        <f>IF($G1892="","",IF(OR($D1892="",$E1892="",$F1892=""),"CONTEXTE INCOMPLET",IF(COUNTIFS($D992:$D1891,$D1892,$E992:$E1891,$E1892,$F992:$F1891,$F1892,$G992:$G1891,$G1892)&gt;0,"DOUBLON","VALIDE")))</f>
        <v/>
      </c>
    </row>
    <row r="1893" ht="15" customHeight="1">
      <c r="A1893" s="12">
        <f>IF(OR($B1893="",$G1893=""),"",TEXT($B1893,"YYYYMMDD")&amp;"-"&amp;SUBSTITUTE($E1893," ","")&amp;"-"&amp;$F1893&amp;"-"&amp;$G1893)</f>
        <v/>
      </c>
      <c r="B1893" s="15" t="n"/>
      <c r="C1893" s="16" t="n"/>
      <c r="D1893" s="10" t="n"/>
      <c r="E1893" s="9" t="n"/>
      <c r="F1893" s="9" t="n"/>
      <c r="G1893" s="13" t="n"/>
      <c r="H1893" s="21" t="n"/>
      <c r="I1893" s="21" t="n"/>
      <c r="J1893" s="17">
        <f>IF($G1893="","",IFERROR(INDEX(NomsEmployes,MATCH($G1893,MatriculesEmployes,0)),"MATRICULE INCONNU"))</f>
        <v/>
      </c>
      <c r="K1893" s="33">
        <f>IF(OR($D1893="",$F1893=""),"",IFERROR(IF(INDEX(RUNS!$L$6:$S$1005,MATCH($D1893,RUNS!$A$6:$A$1005,0),MATCH("ACTIVITÉ "&amp;$F1893,RUNS!$L$5:$S$5,0))="","",INDEX(RUNS!$L$6:$S$1005,MATCH($D1893,RUNS!$A$6:$A$1005,0),MATCH("ACTIVITÉ "&amp;$F1893,RUNS!$L$5:$S$5,0))),""))</f>
        <v/>
      </c>
      <c r="L1893" s="33">
        <f>IF($D1893="","",IFERROR(IF(INDEX(RUNS!$E$6:$E$1005,MATCH($D1893,RUNS!$A$6:$A$1005,0))="","",INDEX(RUNS!$E$6:$E$1005,MATCH($D1893,RUNS!$A$6:$A$1005,0))),""))</f>
        <v/>
      </c>
      <c r="M1893" s="33">
        <f>IF($D1893="","",IFERROR(IF(INDEX(RUNS!$F$6:$F$1005,MATCH($D1893,RUNS!$A$6:$A$1005,0))="","",INDEX(RUNS!$F$6:$F$1005,MATCH($D1893,RUNS!$A$6:$A$1005,0))),""))</f>
        <v/>
      </c>
      <c r="N1893" s="33">
        <f>IF($D1893="","",IFERROR(IF(INDEX(RUNS!$G$6:$G$1005,MATCH($D1893,RUNS!$A$6:$A$1005,0))="","",INDEX(RUNS!$G$6:$G$1005,MATCH($D1893,RUNS!$A$6:$A$1005,0))),""))</f>
        <v/>
      </c>
      <c r="O1893" s="33">
        <f>IF($D1893="","",IFERROR(IF(INDEX(RUNS!$H$6:$H$1005,MATCH($D1893,RUNS!$A$6:$A$1005,0))="","",INDEX(RUNS!$H$6:$H$1005,MATCH($D1893,RUNS!$A$6:$A$1005,0))),""))</f>
        <v/>
      </c>
      <c r="P1893" s="33">
        <f>IF($D1893="","",IFERROR(IF(INDEX(RUNS!$J$6:$J$1005,MATCH($D1893,RUNS!$A$6:$A$1005,0))="","",INDEX(RUNS!$J$6:$J$1005,MATCH($D1893,RUNS!$A$6:$A$1005,0))),""))</f>
        <v/>
      </c>
      <c r="Q1893" s="33">
        <f>IF($D1893="","",IFERROR(IF(INDEX(RUNS!$K$6:$K$1005,MATCH($D1893,RUNS!$A$6:$A$1005,0))="","",INDEX(RUNS!$K$6:$K$1005,MATCH($D1893,RUNS!$A$6:$A$1005,0))),""))</f>
        <v/>
      </c>
      <c r="R1893" s="34">
        <f>IF(OR($L1893="",$K1893=""),"",IFERROR(IF(INDEX(PARAMETRES!$H$43:$H$342,MATCH($L1893&amp;"|"&amp;$M1893&amp;"|"&amp;$N1893&amp;"|"&amp;$O1893&amp;"|"&amp;$P1893&amp;"|"&amp;$Q1893&amp;"|"&amp;$K1893,PARAMETRES!$J$43:$J$342,0))="","",INDEX(PARAMETRES!$H$43:$H$342,MATCH($L1893&amp;"|"&amp;$M1893&amp;"|"&amp;$N1893&amp;"|"&amp;$O1893&amp;"|"&amp;$P1893&amp;"|"&amp;$Q1893&amp;"|"&amp;$K1893,PARAMETRES!$J$43:$J$342,0))),""))</f>
        <v/>
      </c>
      <c r="S1893" s="35">
        <f>IF(OR($G1893="",$X1893&lt;&gt;"VALIDE"),"",IFERROR(LOOKUP(2,1/(($B993:$B1892=$B1893)*($G993:$G1892=$G1893)*($X993:$X1892="VALIDE")),$C993:$C1892),""))</f>
        <v/>
      </c>
      <c r="T1893" s="36">
        <f>IF(OR($C1893="",$S1893=""),"",ROUND(($C1893-$S1893+IF($C1893&lt;$S1893,1,0))*1440,0))</f>
        <v/>
      </c>
      <c r="U1893" s="22">
        <f>IF(OR($H1893="",$T1893="",$T1893&lt;=0),"",$H1893*60/$T1893)</f>
        <v/>
      </c>
      <c r="V1893" s="37">
        <f>IF(OR($U1893="",$R1893="",$R1893=0),"",$U1893/$R1893)</f>
        <v/>
      </c>
      <c r="W1893" s="20">
        <f>IF($G1893="","",IF($X1893="CONTEXTE INCOMPLET","CONTEXTE INCOMPLET",IF($X1893="DOUBLON",StatutDoublon,IF($S1893="",StatutInitial,IF($R1893="",StatutStandardManquant,IF($V1893="","DONNEES INSUFFISANTES",IF($V1893&gt;=SeuilConforme,StatutConforme,IF($V1893&gt;=SeuilSurveiller,StatutSurveiller,StatutSousStandard))))))))</f>
        <v/>
      </c>
      <c r="X1893" s="33">
        <f>IF($G1893="","",IF(OR($D1893="",$E1893="",$F1893=""),"CONTEXTE INCOMPLET",IF(COUNTIFS($D993:$D1892,$D1893,$E993:$E1892,$E1893,$F993:$F1892,$F1893,$G993:$G1892,$G1893)&gt;0,"DOUBLON","VALIDE")))</f>
        <v/>
      </c>
    </row>
    <row r="1894" ht="15" customHeight="1">
      <c r="A1894" s="12">
        <f>IF(OR($B1894="",$G1894=""),"",TEXT($B1894,"YYYYMMDD")&amp;"-"&amp;SUBSTITUTE($E1894," ","")&amp;"-"&amp;$F1894&amp;"-"&amp;$G1894)</f>
        <v/>
      </c>
      <c r="B1894" s="15" t="n"/>
      <c r="C1894" s="16" t="n"/>
      <c r="D1894" s="10" t="n"/>
      <c r="E1894" s="9" t="n"/>
      <c r="F1894" s="9" t="n"/>
      <c r="G1894" s="13" t="n"/>
      <c r="H1894" s="21" t="n"/>
      <c r="I1894" s="21" t="n"/>
      <c r="J1894" s="17">
        <f>IF($G1894="","",IFERROR(INDEX(NomsEmployes,MATCH($G1894,MatriculesEmployes,0)),"MATRICULE INCONNU"))</f>
        <v/>
      </c>
      <c r="K1894" s="33">
        <f>IF(OR($D1894="",$F1894=""),"",IFERROR(IF(INDEX(RUNS!$L$6:$S$1005,MATCH($D1894,RUNS!$A$6:$A$1005,0),MATCH("ACTIVITÉ "&amp;$F1894,RUNS!$L$5:$S$5,0))="","",INDEX(RUNS!$L$6:$S$1005,MATCH($D1894,RUNS!$A$6:$A$1005,0),MATCH("ACTIVITÉ "&amp;$F1894,RUNS!$L$5:$S$5,0))),""))</f>
        <v/>
      </c>
      <c r="L1894" s="33">
        <f>IF($D1894="","",IFERROR(IF(INDEX(RUNS!$E$6:$E$1005,MATCH($D1894,RUNS!$A$6:$A$1005,0))="","",INDEX(RUNS!$E$6:$E$1005,MATCH($D1894,RUNS!$A$6:$A$1005,0))),""))</f>
        <v/>
      </c>
      <c r="M1894" s="33">
        <f>IF($D1894="","",IFERROR(IF(INDEX(RUNS!$F$6:$F$1005,MATCH($D1894,RUNS!$A$6:$A$1005,0))="","",INDEX(RUNS!$F$6:$F$1005,MATCH($D1894,RUNS!$A$6:$A$1005,0))),""))</f>
        <v/>
      </c>
      <c r="N1894" s="33">
        <f>IF($D1894="","",IFERROR(IF(INDEX(RUNS!$G$6:$G$1005,MATCH($D1894,RUNS!$A$6:$A$1005,0))="","",INDEX(RUNS!$G$6:$G$1005,MATCH($D1894,RUNS!$A$6:$A$1005,0))),""))</f>
        <v/>
      </c>
      <c r="O1894" s="33">
        <f>IF($D1894="","",IFERROR(IF(INDEX(RUNS!$H$6:$H$1005,MATCH($D1894,RUNS!$A$6:$A$1005,0))="","",INDEX(RUNS!$H$6:$H$1005,MATCH($D1894,RUNS!$A$6:$A$1005,0))),""))</f>
        <v/>
      </c>
      <c r="P1894" s="33">
        <f>IF($D1894="","",IFERROR(IF(INDEX(RUNS!$J$6:$J$1005,MATCH($D1894,RUNS!$A$6:$A$1005,0))="","",INDEX(RUNS!$J$6:$J$1005,MATCH($D1894,RUNS!$A$6:$A$1005,0))),""))</f>
        <v/>
      </c>
      <c r="Q1894" s="33">
        <f>IF($D1894="","",IFERROR(IF(INDEX(RUNS!$K$6:$K$1005,MATCH($D1894,RUNS!$A$6:$A$1005,0))="","",INDEX(RUNS!$K$6:$K$1005,MATCH($D1894,RUNS!$A$6:$A$1005,0))),""))</f>
        <v/>
      </c>
      <c r="R1894" s="34">
        <f>IF(OR($L1894="",$K1894=""),"",IFERROR(IF(INDEX(PARAMETRES!$H$43:$H$342,MATCH($L1894&amp;"|"&amp;$M1894&amp;"|"&amp;$N1894&amp;"|"&amp;$O1894&amp;"|"&amp;$P1894&amp;"|"&amp;$Q1894&amp;"|"&amp;$K1894,PARAMETRES!$J$43:$J$342,0))="","",INDEX(PARAMETRES!$H$43:$H$342,MATCH($L1894&amp;"|"&amp;$M1894&amp;"|"&amp;$N1894&amp;"|"&amp;$O1894&amp;"|"&amp;$P1894&amp;"|"&amp;$Q1894&amp;"|"&amp;$K1894,PARAMETRES!$J$43:$J$342,0))),""))</f>
        <v/>
      </c>
      <c r="S1894" s="35">
        <f>IF(OR($G1894="",$X1894&lt;&gt;"VALIDE"),"",IFERROR(LOOKUP(2,1/(($B994:$B1893=$B1894)*($G994:$G1893=$G1894)*($X994:$X1893="VALIDE")),$C994:$C1893),""))</f>
        <v/>
      </c>
      <c r="T1894" s="36">
        <f>IF(OR($C1894="",$S1894=""),"",ROUND(($C1894-$S1894+IF($C1894&lt;$S1894,1,0))*1440,0))</f>
        <v/>
      </c>
      <c r="U1894" s="22">
        <f>IF(OR($H1894="",$T1894="",$T1894&lt;=0),"",$H1894*60/$T1894)</f>
        <v/>
      </c>
      <c r="V1894" s="37">
        <f>IF(OR($U1894="",$R1894="",$R1894=0),"",$U1894/$R1894)</f>
        <v/>
      </c>
      <c r="W1894" s="20">
        <f>IF($G1894="","",IF($X1894="CONTEXTE INCOMPLET","CONTEXTE INCOMPLET",IF($X1894="DOUBLON",StatutDoublon,IF($S1894="",StatutInitial,IF($R1894="",StatutStandardManquant,IF($V1894="","DONNEES INSUFFISANTES",IF($V1894&gt;=SeuilConforme,StatutConforme,IF($V1894&gt;=SeuilSurveiller,StatutSurveiller,StatutSousStandard))))))))</f>
        <v/>
      </c>
      <c r="X1894" s="33">
        <f>IF($G1894="","",IF(OR($D1894="",$E1894="",$F1894=""),"CONTEXTE INCOMPLET",IF(COUNTIFS($D994:$D1893,$D1894,$E994:$E1893,$E1894,$F994:$F1893,$F1894,$G994:$G1893,$G1894)&gt;0,"DOUBLON","VALIDE")))</f>
        <v/>
      </c>
    </row>
    <row r="1895" ht="15" customHeight="1">
      <c r="A1895" s="12">
        <f>IF(OR($B1895="",$G1895=""),"",TEXT($B1895,"YYYYMMDD")&amp;"-"&amp;SUBSTITUTE($E1895," ","")&amp;"-"&amp;$F1895&amp;"-"&amp;$G1895)</f>
        <v/>
      </c>
      <c r="B1895" s="15" t="n"/>
      <c r="C1895" s="16" t="n"/>
      <c r="D1895" s="10" t="n"/>
      <c r="E1895" s="9" t="n"/>
      <c r="F1895" s="9" t="n"/>
      <c r="G1895" s="13" t="n"/>
      <c r="H1895" s="21" t="n"/>
      <c r="I1895" s="21" t="n"/>
      <c r="J1895" s="17">
        <f>IF($G1895="","",IFERROR(INDEX(NomsEmployes,MATCH($G1895,MatriculesEmployes,0)),"MATRICULE INCONNU"))</f>
        <v/>
      </c>
      <c r="K1895" s="33">
        <f>IF(OR($D1895="",$F1895=""),"",IFERROR(IF(INDEX(RUNS!$L$6:$S$1005,MATCH($D1895,RUNS!$A$6:$A$1005,0),MATCH("ACTIVITÉ "&amp;$F1895,RUNS!$L$5:$S$5,0))="","",INDEX(RUNS!$L$6:$S$1005,MATCH($D1895,RUNS!$A$6:$A$1005,0),MATCH("ACTIVITÉ "&amp;$F1895,RUNS!$L$5:$S$5,0))),""))</f>
        <v/>
      </c>
      <c r="L1895" s="33">
        <f>IF($D1895="","",IFERROR(IF(INDEX(RUNS!$E$6:$E$1005,MATCH($D1895,RUNS!$A$6:$A$1005,0))="","",INDEX(RUNS!$E$6:$E$1005,MATCH($D1895,RUNS!$A$6:$A$1005,0))),""))</f>
        <v/>
      </c>
      <c r="M1895" s="33">
        <f>IF($D1895="","",IFERROR(IF(INDEX(RUNS!$F$6:$F$1005,MATCH($D1895,RUNS!$A$6:$A$1005,0))="","",INDEX(RUNS!$F$6:$F$1005,MATCH($D1895,RUNS!$A$6:$A$1005,0))),""))</f>
        <v/>
      </c>
      <c r="N1895" s="33">
        <f>IF($D1895="","",IFERROR(IF(INDEX(RUNS!$G$6:$G$1005,MATCH($D1895,RUNS!$A$6:$A$1005,0))="","",INDEX(RUNS!$G$6:$G$1005,MATCH($D1895,RUNS!$A$6:$A$1005,0))),""))</f>
        <v/>
      </c>
      <c r="O1895" s="33">
        <f>IF($D1895="","",IFERROR(IF(INDEX(RUNS!$H$6:$H$1005,MATCH($D1895,RUNS!$A$6:$A$1005,0))="","",INDEX(RUNS!$H$6:$H$1005,MATCH($D1895,RUNS!$A$6:$A$1005,0))),""))</f>
        <v/>
      </c>
      <c r="P1895" s="33">
        <f>IF($D1895="","",IFERROR(IF(INDEX(RUNS!$J$6:$J$1005,MATCH($D1895,RUNS!$A$6:$A$1005,0))="","",INDEX(RUNS!$J$6:$J$1005,MATCH($D1895,RUNS!$A$6:$A$1005,0))),""))</f>
        <v/>
      </c>
      <c r="Q1895" s="33">
        <f>IF($D1895="","",IFERROR(IF(INDEX(RUNS!$K$6:$K$1005,MATCH($D1895,RUNS!$A$6:$A$1005,0))="","",INDEX(RUNS!$K$6:$K$1005,MATCH($D1895,RUNS!$A$6:$A$1005,0))),""))</f>
        <v/>
      </c>
      <c r="R1895" s="34">
        <f>IF(OR($L1895="",$K1895=""),"",IFERROR(IF(INDEX(PARAMETRES!$H$43:$H$342,MATCH($L1895&amp;"|"&amp;$M1895&amp;"|"&amp;$N1895&amp;"|"&amp;$O1895&amp;"|"&amp;$P1895&amp;"|"&amp;$Q1895&amp;"|"&amp;$K1895,PARAMETRES!$J$43:$J$342,0))="","",INDEX(PARAMETRES!$H$43:$H$342,MATCH($L1895&amp;"|"&amp;$M1895&amp;"|"&amp;$N1895&amp;"|"&amp;$O1895&amp;"|"&amp;$P1895&amp;"|"&amp;$Q1895&amp;"|"&amp;$K1895,PARAMETRES!$J$43:$J$342,0))),""))</f>
        <v/>
      </c>
      <c r="S1895" s="35">
        <f>IF(OR($G1895="",$X1895&lt;&gt;"VALIDE"),"",IFERROR(LOOKUP(2,1/(($B995:$B1894=$B1895)*($G995:$G1894=$G1895)*($X995:$X1894="VALIDE")),$C995:$C1894),""))</f>
        <v/>
      </c>
      <c r="T1895" s="36">
        <f>IF(OR($C1895="",$S1895=""),"",ROUND(($C1895-$S1895+IF($C1895&lt;$S1895,1,0))*1440,0))</f>
        <v/>
      </c>
      <c r="U1895" s="22">
        <f>IF(OR($H1895="",$T1895="",$T1895&lt;=0),"",$H1895*60/$T1895)</f>
        <v/>
      </c>
      <c r="V1895" s="37">
        <f>IF(OR($U1895="",$R1895="",$R1895=0),"",$U1895/$R1895)</f>
        <v/>
      </c>
      <c r="W1895" s="20">
        <f>IF($G1895="","",IF($X1895="CONTEXTE INCOMPLET","CONTEXTE INCOMPLET",IF($X1895="DOUBLON",StatutDoublon,IF($S1895="",StatutInitial,IF($R1895="",StatutStandardManquant,IF($V1895="","DONNEES INSUFFISANTES",IF($V1895&gt;=SeuilConforme,StatutConforme,IF($V1895&gt;=SeuilSurveiller,StatutSurveiller,StatutSousStandard))))))))</f>
        <v/>
      </c>
      <c r="X1895" s="33">
        <f>IF($G1895="","",IF(OR($D1895="",$E1895="",$F1895=""),"CONTEXTE INCOMPLET",IF(COUNTIFS($D995:$D1894,$D1895,$E995:$E1894,$E1895,$F995:$F1894,$F1895,$G995:$G1894,$G1895)&gt;0,"DOUBLON","VALIDE")))</f>
        <v/>
      </c>
    </row>
    <row r="1896" ht="15" customHeight="1">
      <c r="A1896" s="12">
        <f>IF(OR($B1896="",$G1896=""),"",TEXT($B1896,"YYYYMMDD")&amp;"-"&amp;SUBSTITUTE($E1896," ","")&amp;"-"&amp;$F1896&amp;"-"&amp;$G1896)</f>
        <v/>
      </c>
      <c r="B1896" s="15" t="n"/>
      <c r="C1896" s="16" t="n"/>
      <c r="D1896" s="10" t="n"/>
      <c r="E1896" s="9" t="n"/>
      <c r="F1896" s="9" t="n"/>
      <c r="G1896" s="13" t="n"/>
      <c r="H1896" s="21" t="n"/>
      <c r="I1896" s="21" t="n"/>
      <c r="J1896" s="17">
        <f>IF($G1896="","",IFERROR(INDEX(NomsEmployes,MATCH($G1896,MatriculesEmployes,0)),"MATRICULE INCONNU"))</f>
        <v/>
      </c>
      <c r="K1896" s="33">
        <f>IF(OR($D1896="",$F1896=""),"",IFERROR(IF(INDEX(RUNS!$L$6:$S$1005,MATCH($D1896,RUNS!$A$6:$A$1005,0),MATCH("ACTIVITÉ "&amp;$F1896,RUNS!$L$5:$S$5,0))="","",INDEX(RUNS!$L$6:$S$1005,MATCH($D1896,RUNS!$A$6:$A$1005,0),MATCH("ACTIVITÉ "&amp;$F1896,RUNS!$L$5:$S$5,0))),""))</f>
        <v/>
      </c>
      <c r="L1896" s="33">
        <f>IF($D1896="","",IFERROR(IF(INDEX(RUNS!$E$6:$E$1005,MATCH($D1896,RUNS!$A$6:$A$1005,0))="","",INDEX(RUNS!$E$6:$E$1005,MATCH($D1896,RUNS!$A$6:$A$1005,0))),""))</f>
        <v/>
      </c>
      <c r="M1896" s="33">
        <f>IF($D1896="","",IFERROR(IF(INDEX(RUNS!$F$6:$F$1005,MATCH($D1896,RUNS!$A$6:$A$1005,0))="","",INDEX(RUNS!$F$6:$F$1005,MATCH($D1896,RUNS!$A$6:$A$1005,0))),""))</f>
        <v/>
      </c>
      <c r="N1896" s="33">
        <f>IF($D1896="","",IFERROR(IF(INDEX(RUNS!$G$6:$G$1005,MATCH($D1896,RUNS!$A$6:$A$1005,0))="","",INDEX(RUNS!$G$6:$G$1005,MATCH($D1896,RUNS!$A$6:$A$1005,0))),""))</f>
        <v/>
      </c>
      <c r="O1896" s="33">
        <f>IF($D1896="","",IFERROR(IF(INDEX(RUNS!$H$6:$H$1005,MATCH($D1896,RUNS!$A$6:$A$1005,0))="","",INDEX(RUNS!$H$6:$H$1005,MATCH($D1896,RUNS!$A$6:$A$1005,0))),""))</f>
        <v/>
      </c>
      <c r="P1896" s="33">
        <f>IF($D1896="","",IFERROR(IF(INDEX(RUNS!$J$6:$J$1005,MATCH($D1896,RUNS!$A$6:$A$1005,0))="","",INDEX(RUNS!$J$6:$J$1005,MATCH($D1896,RUNS!$A$6:$A$1005,0))),""))</f>
        <v/>
      </c>
      <c r="Q1896" s="33">
        <f>IF($D1896="","",IFERROR(IF(INDEX(RUNS!$K$6:$K$1005,MATCH($D1896,RUNS!$A$6:$A$1005,0))="","",INDEX(RUNS!$K$6:$K$1005,MATCH($D1896,RUNS!$A$6:$A$1005,0))),""))</f>
        <v/>
      </c>
      <c r="R1896" s="34">
        <f>IF(OR($L1896="",$K1896=""),"",IFERROR(IF(INDEX(PARAMETRES!$H$43:$H$342,MATCH($L1896&amp;"|"&amp;$M1896&amp;"|"&amp;$N1896&amp;"|"&amp;$O1896&amp;"|"&amp;$P1896&amp;"|"&amp;$Q1896&amp;"|"&amp;$K1896,PARAMETRES!$J$43:$J$342,0))="","",INDEX(PARAMETRES!$H$43:$H$342,MATCH($L1896&amp;"|"&amp;$M1896&amp;"|"&amp;$N1896&amp;"|"&amp;$O1896&amp;"|"&amp;$P1896&amp;"|"&amp;$Q1896&amp;"|"&amp;$K1896,PARAMETRES!$J$43:$J$342,0))),""))</f>
        <v/>
      </c>
      <c r="S1896" s="35">
        <f>IF(OR($G1896="",$X1896&lt;&gt;"VALIDE"),"",IFERROR(LOOKUP(2,1/(($B996:$B1895=$B1896)*($G996:$G1895=$G1896)*($X996:$X1895="VALIDE")),$C996:$C1895),""))</f>
        <v/>
      </c>
      <c r="T1896" s="36">
        <f>IF(OR($C1896="",$S1896=""),"",ROUND(($C1896-$S1896+IF($C1896&lt;$S1896,1,0))*1440,0))</f>
        <v/>
      </c>
      <c r="U1896" s="22">
        <f>IF(OR($H1896="",$T1896="",$T1896&lt;=0),"",$H1896*60/$T1896)</f>
        <v/>
      </c>
      <c r="V1896" s="37">
        <f>IF(OR($U1896="",$R1896="",$R1896=0),"",$U1896/$R1896)</f>
        <v/>
      </c>
      <c r="W1896" s="20">
        <f>IF($G1896="","",IF($X1896="CONTEXTE INCOMPLET","CONTEXTE INCOMPLET",IF($X1896="DOUBLON",StatutDoublon,IF($S1896="",StatutInitial,IF($R1896="",StatutStandardManquant,IF($V1896="","DONNEES INSUFFISANTES",IF($V1896&gt;=SeuilConforme,StatutConforme,IF($V1896&gt;=SeuilSurveiller,StatutSurveiller,StatutSousStandard))))))))</f>
        <v/>
      </c>
      <c r="X1896" s="33">
        <f>IF($G1896="","",IF(OR($D1896="",$E1896="",$F1896=""),"CONTEXTE INCOMPLET",IF(COUNTIFS($D996:$D1895,$D1896,$E996:$E1895,$E1896,$F996:$F1895,$F1896,$G996:$G1895,$G1896)&gt;0,"DOUBLON","VALIDE")))</f>
        <v/>
      </c>
    </row>
    <row r="1897" ht="15" customHeight="1">
      <c r="A1897" s="12">
        <f>IF(OR($B1897="",$G1897=""),"",TEXT($B1897,"YYYYMMDD")&amp;"-"&amp;SUBSTITUTE($E1897," ","")&amp;"-"&amp;$F1897&amp;"-"&amp;$G1897)</f>
        <v/>
      </c>
      <c r="B1897" s="15" t="n"/>
      <c r="C1897" s="16" t="n"/>
      <c r="D1897" s="10" t="n"/>
      <c r="E1897" s="9" t="n"/>
      <c r="F1897" s="9" t="n"/>
      <c r="G1897" s="13" t="n"/>
      <c r="H1897" s="21" t="n"/>
      <c r="I1897" s="21" t="n"/>
      <c r="J1897" s="17">
        <f>IF($G1897="","",IFERROR(INDEX(NomsEmployes,MATCH($G1897,MatriculesEmployes,0)),"MATRICULE INCONNU"))</f>
        <v/>
      </c>
      <c r="K1897" s="33">
        <f>IF(OR($D1897="",$F1897=""),"",IFERROR(IF(INDEX(RUNS!$L$6:$S$1005,MATCH($D1897,RUNS!$A$6:$A$1005,0),MATCH("ACTIVITÉ "&amp;$F1897,RUNS!$L$5:$S$5,0))="","",INDEX(RUNS!$L$6:$S$1005,MATCH($D1897,RUNS!$A$6:$A$1005,0),MATCH("ACTIVITÉ "&amp;$F1897,RUNS!$L$5:$S$5,0))),""))</f>
        <v/>
      </c>
      <c r="L1897" s="33">
        <f>IF($D1897="","",IFERROR(IF(INDEX(RUNS!$E$6:$E$1005,MATCH($D1897,RUNS!$A$6:$A$1005,0))="","",INDEX(RUNS!$E$6:$E$1005,MATCH($D1897,RUNS!$A$6:$A$1005,0))),""))</f>
        <v/>
      </c>
      <c r="M1897" s="33">
        <f>IF($D1897="","",IFERROR(IF(INDEX(RUNS!$F$6:$F$1005,MATCH($D1897,RUNS!$A$6:$A$1005,0))="","",INDEX(RUNS!$F$6:$F$1005,MATCH($D1897,RUNS!$A$6:$A$1005,0))),""))</f>
        <v/>
      </c>
      <c r="N1897" s="33">
        <f>IF($D1897="","",IFERROR(IF(INDEX(RUNS!$G$6:$G$1005,MATCH($D1897,RUNS!$A$6:$A$1005,0))="","",INDEX(RUNS!$G$6:$G$1005,MATCH($D1897,RUNS!$A$6:$A$1005,0))),""))</f>
        <v/>
      </c>
      <c r="O1897" s="33">
        <f>IF($D1897="","",IFERROR(IF(INDEX(RUNS!$H$6:$H$1005,MATCH($D1897,RUNS!$A$6:$A$1005,0))="","",INDEX(RUNS!$H$6:$H$1005,MATCH($D1897,RUNS!$A$6:$A$1005,0))),""))</f>
        <v/>
      </c>
      <c r="P1897" s="33">
        <f>IF($D1897="","",IFERROR(IF(INDEX(RUNS!$J$6:$J$1005,MATCH($D1897,RUNS!$A$6:$A$1005,0))="","",INDEX(RUNS!$J$6:$J$1005,MATCH($D1897,RUNS!$A$6:$A$1005,0))),""))</f>
        <v/>
      </c>
      <c r="Q1897" s="33">
        <f>IF($D1897="","",IFERROR(IF(INDEX(RUNS!$K$6:$K$1005,MATCH($D1897,RUNS!$A$6:$A$1005,0))="","",INDEX(RUNS!$K$6:$K$1005,MATCH($D1897,RUNS!$A$6:$A$1005,0))),""))</f>
        <v/>
      </c>
      <c r="R1897" s="34">
        <f>IF(OR($L1897="",$K1897=""),"",IFERROR(IF(INDEX(PARAMETRES!$H$43:$H$342,MATCH($L1897&amp;"|"&amp;$M1897&amp;"|"&amp;$N1897&amp;"|"&amp;$O1897&amp;"|"&amp;$P1897&amp;"|"&amp;$Q1897&amp;"|"&amp;$K1897,PARAMETRES!$J$43:$J$342,0))="","",INDEX(PARAMETRES!$H$43:$H$342,MATCH($L1897&amp;"|"&amp;$M1897&amp;"|"&amp;$N1897&amp;"|"&amp;$O1897&amp;"|"&amp;$P1897&amp;"|"&amp;$Q1897&amp;"|"&amp;$K1897,PARAMETRES!$J$43:$J$342,0))),""))</f>
        <v/>
      </c>
      <c r="S1897" s="35">
        <f>IF(OR($G1897="",$X1897&lt;&gt;"VALIDE"),"",IFERROR(LOOKUP(2,1/(($B997:$B1896=$B1897)*($G997:$G1896=$G1897)*($X997:$X1896="VALIDE")),$C997:$C1896),""))</f>
        <v/>
      </c>
      <c r="T1897" s="36">
        <f>IF(OR($C1897="",$S1897=""),"",ROUND(($C1897-$S1897+IF($C1897&lt;$S1897,1,0))*1440,0))</f>
        <v/>
      </c>
      <c r="U1897" s="22">
        <f>IF(OR($H1897="",$T1897="",$T1897&lt;=0),"",$H1897*60/$T1897)</f>
        <v/>
      </c>
      <c r="V1897" s="37">
        <f>IF(OR($U1897="",$R1897="",$R1897=0),"",$U1897/$R1897)</f>
        <v/>
      </c>
      <c r="W1897" s="20">
        <f>IF($G1897="","",IF($X1897="CONTEXTE INCOMPLET","CONTEXTE INCOMPLET",IF($X1897="DOUBLON",StatutDoublon,IF($S1897="",StatutInitial,IF($R1897="",StatutStandardManquant,IF($V1897="","DONNEES INSUFFISANTES",IF($V1897&gt;=SeuilConforme,StatutConforme,IF($V1897&gt;=SeuilSurveiller,StatutSurveiller,StatutSousStandard))))))))</f>
        <v/>
      </c>
      <c r="X1897" s="33">
        <f>IF($G1897="","",IF(OR($D1897="",$E1897="",$F1897=""),"CONTEXTE INCOMPLET",IF(COUNTIFS($D997:$D1896,$D1897,$E997:$E1896,$E1897,$F997:$F1896,$F1897,$G997:$G1896,$G1897)&gt;0,"DOUBLON","VALIDE")))</f>
        <v/>
      </c>
    </row>
    <row r="1898" ht="15" customHeight="1">
      <c r="A1898" s="12">
        <f>IF(OR($B1898="",$G1898=""),"",TEXT($B1898,"YYYYMMDD")&amp;"-"&amp;SUBSTITUTE($E1898," ","")&amp;"-"&amp;$F1898&amp;"-"&amp;$G1898)</f>
        <v/>
      </c>
      <c r="B1898" s="15" t="n"/>
      <c r="C1898" s="16" t="n"/>
      <c r="D1898" s="10" t="n"/>
      <c r="E1898" s="9" t="n"/>
      <c r="F1898" s="9" t="n"/>
      <c r="G1898" s="13" t="n"/>
      <c r="H1898" s="21" t="n"/>
      <c r="I1898" s="21" t="n"/>
      <c r="J1898" s="17">
        <f>IF($G1898="","",IFERROR(INDEX(NomsEmployes,MATCH($G1898,MatriculesEmployes,0)),"MATRICULE INCONNU"))</f>
        <v/>
      </c>
      <c r="K1898" s="33">
        <f>IF(OR($D1898="",$F1898=""),"",IFERROR(IF(INDEX(RUNS!$L$6:$S$1005,MATCH($D1898,RUNS!$A$6:$A$1005,0),MATCH("ACTIVITÉ "&amp;$F1898,RUNS!$L$5:$S$5,0))="","",INDEX(RUNS!$L$6:$S$1005,MATCH($D1898,RUNS!$A$6:$A$1005,0),MATCH("ACTIVITÉ "&amp;$F1898,RUNS!$L$5:$S$5,0))),""))</f>
        <v/>
      </c>
      <c r="L1898" s="33">
        <f>IF($D1898="","",IFERROR(IF(INDEX(RUNS!$E$6:$E$1005,MATCH($D1898,RUNS!$A$6:$A$1005,0))="","",INDEX(RUNS!$E$6:$E$1005,MATCH($D1898,RUNS!$A$6:$A$1005,0))),""))</f>
        <v/>
      </c>
      <c r="M1898" s="33">
        <f>IF($D1898="","",IFERROR(IF(INDEX(RUNS!$F$6:$F$1005,MATCH($D1898,RUNS!$A$6:$A$1005,0))="","",INDEX(RUNS!$F$6:$F$1005,MATCH($D1898,RUNS!$A$6:$A$1005,0))),""))</f>
        <v/>
      </c>
      <c r="N1898" s="33">
        <f>IF($D1898="","",IFERROR(IF(INDEX(RUNS!$G$6:$G$1005,MATCH($D1898,RUNS!$A$6:$A$1005,0))="","",INDEX(RUNS!$G$6:$G$1005,MATCH($D1898,RUNS!$A$6:$A$1005,0))),""))</f>
        <v/>
      </c>
      <c r="O1898" s="33">
        <f>IF($D1898="","",IFERROR(IF(INDEX(RUNS!$H$6:$H$1005,MATCH($D1898,RUNS!$A$6:$A$1005,0))="","",INDEX(RUNS!$H$6:$H$1005,MATCH($D1898,RUNS!$A$6:$A$1005,0))),""))</f>
        <v/>
      </c>
      <c r="P1898" s="33">
        <f>IF($D1898="","",IFERROR(IF(INDEX(RUNS!$J$6:$J$1005,MATCH($D1898,RUNS!$A$6:$A$1005,0))="","",INDEX(RUNS!$J$6:$J$1005,MATCH($D1898,RUNS!$A$6:$A$1005,0))),""))</f>
        <v/>
      </c>
      <c r="Q1898" s="33">
        <f>IF($D1898="","",IFERROR(IF(INDEX(RUNS!$K$6:$K$1005,MATCH($D1898,RUNS!$A$6:$A$1005,0))="","",INDEX(RUNS!$K$6:$K$1005,MATCH($D1898,RUNS!$A$6:$A$1005,0))),""))</f>
        <v/>
      </c>
      <c r="R1898" s="34">
        <f>IF(OR($L1898="",$K1898=""),"",IFERROR(IF(INDEX(PARAMETRES!$H$43:$H$342,MATCH($L1898&amp;"|"&amp;$M1898&amp;"|"&amp;$N1898&amp;"|"&amp;$O1898&amp;"|"&amp;$P1898&amp;"|"&amp;$Q1898&amp;"|"&amp;$K1898,PARAMETRES!$J$43:$J$342,0))="","",INDEX(PARAMETRES!$H$43:$H$342,MATCH($L1898&amp;"|"&amp;$M1898&amp;"|"&amp;$N1898&amp;"|"&amp;$O1898&amp;"|"&amp;$P1898&amp;"|"&amp;$Q1898&amp;"|"&amp;$K1898,PARAMETRES!$J$43:$J$342,0))),""))</f>
        <v/>
      </c>
      <c r="S1898" s="35">
        <f>IF(OR($G1898="",$X1898&lt;&gt;"VALIDE"),"",IFERROR(LOOKUP(2,1/(($B998:$B1897=$B1898)*($G998:$G1897=$G1898)*($X998:$X1897="VALIDE")),$C998:$C1897),""))</f>
        <v/>
      </c>
      <c r="T1898" s="36">
        <f>IF(OR($C1898="",$S1898=""),"",ROUND(($C1898-$S1898+IF($C1898&lt;$S1898,1,0))*1440,0))</f>
        <v/>
      </c>
      <c r="U1898" s="22">
        <f>IF(OR($H1898="",$T1898="",$T1898&lt;=0),"",$H1898*60/$T1898)</f>
        <v/>
      </c>
      <c r="V1898" s="37">
        <f>IF(OR($U1898="",$R1898="",$R1898=0),"",$U1898/$R1898)</f>
        <v/>
      </c>
      <c r="W1898" s="20">
        <f>IF($G1898="","",IF($X1898="CONTEXTE INCOMPLET","CONTEXTE INCOMPLET",IF($X1898="DOUBLON",StatutDoublon,IF($S1898="",StatutInitial,IF($R1898="",StatutStandardManquant,IF($V1898="","DONNEES INSUFFISANTES",IF($V1898&gt;=SeuilConforme,StatutConforme,IF($V1898&gt;=SeuilSurveiller,StatutSurveiller,StatutSousStandard))))))))</f>
        <v/>
      </c>
      <c r="X1898" s="33">
        <f>IF($G1898="","",IF(OR($D1898="",$E1898="",$F1898=""),"CONTEXTE INCOMPLET",IF(COUNTIFS($D998:$D1897,$D1898,$E998:$E1897,$E1898,$F998:$F1897,$F1898,$G998:$G1897,$G1898)&gt;0,"DOUBLON","VALIDE")))</f>
        <v/>
      </c>
    </row>
    <row r="1899" ht="15" customHeight="1">
      <c r="A1899" s="12">
        <f>IF(OR($B1899="",$G1899=""),"",TEXT($B1899,"YYYYMMDD")&amp;"-"&amp;SUBSTITUTE($E1899," ","")&amp;"-"&amp;$F1899&amp;"-"&amp;$G1899)</f>
        <v/>
      </c>
      <c r="B1899" s="15" t="n"/>
      <c r="C1899" s="16" t="n"/>
      <c r="D1899" s="10" t="n"/>
      <c r="E1899" s="9" t="n"/>
      <c r="F1899" s="9" t="n"/>
      <c r="G1899" s="13" t="n"/>
      <c r="H1899" s="21" t="n"/>
      <c r="I1899" s="21" t="n"/>
      <c r="J1899" s="17">
        <f>IF($G1899="","",IFERROR(INDEX(NomsEmployes,MATCH($G1899,MatriculesEmployes,0)),"MATRICULE INCONNU"))</f>
        <v/>
      </c>
      <c r="K1899" s="33">
        <f>IF(OR($D1899="",$F1899=""),"",IFERROR(IF(INDEX(RUNS!$L$6:$S$1005,MATCH($D1899,RUNS!$A$6:$A$1005,0),MATCH("ACTIVITÉ "&amp;$F1899,RUNS!$L$5:$S$5,0))="","",INDEX(RUNS!$L$6:$S$1005,MATCH($D1899,RUNS!$A$6:$A$1005,0),MATCH("ACTIVITÉ "&amp;$F1899,RUNS!$L$5:$S$5,0))),""))</f>
        <v/>
      </c>
      <c r="L1899" s="33">
        <f>IF($D1899="","",IFERROR(IF(INDEX(RUNS!$E$6:$E$1005,MATCH($D1899,RUNS!$A$6:$A$1005,0))="","",INDEX(RUNS!$E$6:$E$1005,MATCH($D1899,RUNS!$A$6:$A$1005,0))),""))</f>
        <v/>
      </c>
      <c r="M1899" s="33">
        <f>IF($D1899="","",IFERROR(IF(INDEX(RUNS!$F$6:$F$1005,MATCH($D1899,RUNS!$A$6:$A$1005,0))="","",INDEX(RUNS!$F$6:$F$1005,MATCH($D1899,RUNS!$A$6:$A$1005,0))),""))</f>
        <v/>
      </c>
      <c r="N1899" s="33">
        <f>IF($D1899="","",IFERROR(IF(INDEX(RUNS!$G$6:$G$1005,MATCH($D1899,RUNS!$A$6:$A$1005,0))="","",INDEX(RUNS!$G$6:$G$1005,MATCH($D1899,RUNS!$A$6:$A$1005,0))),""))</f>
        <v/>
      </c>
      <c r="O1899" s="33">
        <f>IF($D1899="","",IFERROR(IF(INDEX(RUNS!$H$6:$H$1005,MATCH($D1899,RUNS!$A$6:$A$1005,0))="","",INDEX(RUNS!$H$6:$H$1005,MATCH($D1899,RUNS!$A$6:$A$1005,0))),""))</f>
        <v/>
      </c>
      <c r="P1899" s="33">
        <f>IF($D1899="","",IFERROR(IF(INDEX(RUNS!$J$6:$J$1005,MATCH($D1899,RUNS!$A$6:$A$1005,0))="","",INDEX(RUNS!$J$6:$J$1005,MATCH($D1899,RUNS!$A$6:$A$1005,0))),""))</f>
        <v/>
      </c>
      <c r="Q1899" s="33">
        <f>IF($D1899="","",IFERROR(IF(INDEX(RUNS!$K$6:$K$1005,MATCH($D1899,RUNS!$A$6:$A$1005,0))="","",INDEX(RUNS!$K$6:$K$1005,MATCH($D1899,RUNS!$A$6:$A$1005,0))),""))</f>
        <v/>
      </c>
      <c r="R1899" s="34">
        <f>IF(OR($L1899="",$K1899=""),"",IFERROR(IF(INDEX(PARAMETRES!$H$43:$H$342,MATCH($L1899&amp;"|"&amp;$M1899&amp;"|"&amp;$N1899&amp;"|"&amp;$O1899&amp;"|"&amp;$P1899&amp;"|"&amp;$Q1899&amp;"|"&amp;$K1899,PARAMETRES!$J$43:$J$342,0))="","",INDEX(PARAMETRES!$H$43:$H$342,MATCH($L1899&amp;"|"&amp;$M1899&amp;"|"&amp;$N1899&amp;"|"&amp;$O1899&amp;"|"&amp;$P1899&amp;"|"&amp;$Q1899&amp;"|"&amp;$K1899,PARAMETRES!$J$43:$J$342,0))),""))</f>
        <v/>
      </c>
      <c r="S1899" s="35">
        <f>IF(OR($G1899="",$X1899&lt;&gt;"VALIDE"),"",IFERROR(LOOKUP(2,1/(($B999:$B1898=$B1899)*($G999:$G1898=$G1899)*($X999:$X1898="VALIDE")),$C999:$C1898),""))</f>
        <v/>
      </c>
      <c r="T1899" s="36">
        <f>IF(OR($C1899="",$S1899=""),"",ROUND(($C1899-$S1899+IF($C1899&lt;$S1899,1,0))*1440,0))</f>
        <v/>
      </c>
      <c r="U1899" s="22">
        <f>IF(OR($H1899="",$T1899="",$T1899&lt;=0),"",$H1899*60/$T1899)</f>
        <v/>
      </c>
      <c r="V1899" s="37">
        <f>IF(OR($U1899="",$R1899="",$R1899=0),"",$U1899/$R1899)</f>
        <v/>
      </c>
      <c r="W1899" s="20">
        <f>IF($G1899="","",IF($X1899="CONTEXTE INCOMPLET","CONTEXTE INCOMPLET",IF($X1899="DOUBLON",StatutDoublon,IF($S1899="",StatutInitial,IF($R1899="",StatutStandardManquant,IF($V1899="","DONNEES INSUFFISANTES",IF($V1899&gt;=SeuilConforme,StatutConforme,IF($V1899&gt;=SeuilSurveiller,StatutSurveiller,StatutSousStandard))))))))</f>
        <v/>
      </c>
      <c r="X1899" s="33">
        <f>IF($G1899="","",IF(OR($D1899="",$E1899="",$F1899=""),"CONTEXTE INCOMPLET",IF(COUNTIFS($D999:$D1898,$D1899,$E999:$E1898,$E1899,$F999:$F1898,$F1899,$G999:$G1898,$G1899)&gt;0,"DOUBLON","VALIDE")))</f>
        <v/>
      </c>
    </row>
    <row r="1900" ht="15" customHeight="1">
      <c r="A1900" s="12">
        <f>IF(OR($B1900="",$G1900=""),"",TEXT($B1900,"YYYYMMDD")&amp;"-"&amp;SUBSTITUTE($E1900," ","")&amp;"-"&amp;$F1900&amp;"-"&amp;$G1900)</f>
        <v/>
      </c>
      <c r="B1900" s="15" t="n"/>
      <c r="C1900" s="16" t="n"/>
      <c r="D1900" s="10" t="n"/>
      <c r="E1900" s="9" t="n"/>
      <c r="F1900" s="9" t="n"/>
      <c r="G1900" s="13" t="n"/>
      <c r="H1900" s="21" t="n"/>
      <c r="I1900" s="21" t="n"/>
      <c r="J1900" s="17">
        <f>IF($G1900="","",IFERROR(INDEX(NomsEmployes,MATCH($G1900,MatriculesEmployes,0)),"MATRICULE INCONNU"))</f>
        <v/>
      </c>
      <c r="K1900" s="33">
        <f>IF(OR($D1900="",$F1900=""),"",IFERROR(IF(INDEX(RUNS!$L$6:$S$1005,MATCH($D1900,RUNS!$A$6:$A$1005,0),MATCH("ACTIVITÉ "&amp;$F1900,RUNS!$L$5:$S$5,0))="","",INDEX(RUNS!$L$6:$S$1005,MATCH($D1900,RUNS!$A$6:$A$1005,0),MATCH("ACTIVITÉ "&amp;$F1900,RUNS!$L$5:$S$5,0))),""))</f>
        <v/>
      </c>
      <c r="L1900" s="33">
        <f>IF($D1900="","",IFERROR(IF(INDEX(RUNS!$E$6:$E$1005,MATCH($D1900,RUNS!$A$6:$A$1005,0))="","",INDEX(RUNS!$E$6:$E$1005,MATCH($D1900,RUNS!$A$6:$A$1005,0))),""))</f>
        <v/>
      </c>
      <c r="M1900" s="33">
        <f>IF($D1900="","",IFERROR(IF(INDEX(RUNS!$F$6:$F$1005,MATCH($D1900,RUNS!$A$6:$A$1005,0))="","",INDEX(RUNS!$F$6:$F$1005,MATCH($D1900,RUNS!$A$6:$A$1005,0))),""))</f>
        <v/>
      </c>
      <c r="N1900" s="33">
        <f>IF($D1900="","",IFERROR(IF(INDEX(RUNS!$G$6:$G$1005,MATCH($D1900,RUNS!$A$6:$A$1005,0))="","",INDEX(RUNS!$G$6:$G$1005,MATCH($D1900,RUNS!$A$6:$A$1005,0))),""))</f>
        <v/>
      </c>
      <c r="O1900" s="33">
        <f>IF($D1900="","",IFERROR(IF(INDEX(RUNS!$H$6:$H$1005,MATCH($D1900,RUNS!$A$6:$A$1005,0))="","",INDEX(RUNS!$H$6:$H$1005,MATCH($D1900,RUNS!$A$6:$A$1005,0))),""))</f>
        <v/>
      </c>
      <c r="P1900" s="33">
        <f>IF($D1900="","",IFERROR(IF(INDEX(RUNS!$J$6:$J$1005,MATCH($D1900,RUNS!$A$6:$A$1005,0))="","",INDEX(RUNS!$J$6:$J$1005,MATCH($D1900,RUNS!$A$6:$A$1005,0))),""))</f>
        <v/>
      </c>
      <c r="Q1900" s="33">
        <f>IF($D1900="","",IFERROR(IF(INDEX(RUNS!$K$6:$K$1005,MATCH($D1900,RUNS!$A$6:$A$1005,0))="","",INDEX(RUNS!$K$6:$K$1005,MATCH($D1900,RUNS!$A$6:$A$1005,0))),""))</f>
        <v/>
      </c>
      <c r="R1900" s="34">
        <f>IF(OR($L1900="",$K1900=""),"",IFERROR(IF(INDEX(PARAMETRES!$H$43:$H$342,MATCH($L1900&amp;"|"&amp;$M1900&amp;"|"&amp;$N1900&amp;"|"&amp;$O1900&amp;"|"&amp;$P1900&amp;"|"&amp;$Q1900&amp;"|"&amp;$K1900,PARAMETRES!$J$43:$J$342,0))="","",INDEX(PARAMETRES!$H$43:$H$342,MATCH($L1900&amp;"|"&amp;$M1900&amp;"|"&amp;$N1900&amp;"|"&amp;$O1900&amp;"|"&amp;$P1900&amp;"|"&amp;$Q1900&amp;"|"&amp;$K1900,PARAMETRES!$J$43:$J$342,0))),""))</f>
        <v/>
      </c>
      <c r="S1900" s="35">
        <f>IF(OR($G1900="",$X1900&lt;&gt;"VALIDE"),"",IFERROR(LOOKUP(2,1/(($B1000:$B1899=$B1900)*($G1000:$G1899=$G1900)*($X1000:$X1899="VALIDE")),$C1000:$C1899),""))</f>
        <v/>
      </c>
      <c r="T1900" s="36">
        <f>IF(OR($C1900="",$S1900=""),"",ROUND(($C1900-$S1900+IF($C1900&lt;$S1900,1,0))*1440,0))</f>
        <v/>
      </c>
      <c r="U1900" s="22">
        <f>IF(OR($H1900="",$T1900="",$T1900&lt;=0),"",$H1900*60/$T1900)</f>
        <v/>
      </c>
      <c r="V1900" s="37">
        <f>IF(OR($U1900="",$R1900="",$R1900=0),"",$U1900/$R1900)</f>
        <v/>
      </c>
      <c r="W1900" s="20">
        <f>IF($G1900="","",IF($X1900="CONTEXTE INCOMPLET","CONTEXTE INCOMPLET",IF($X1900="DOUBLON",StatutDoublon,IF($S1900="",StatutInitial,IF($R1900="",StatutStandardManquant,IF($V1900="","DONNEES INSUFFISANTES",IF($V1900&gt;=SeuilConforme,StatutConforme,IF($V1900&gt;=SeuilSurveiller,StatutSurveiller,StatutSousStandard))))))))</f>
        <v/>
      </c>
      <c r="X1900" s="33">
        <f>IF($G1900="","",IF(OR($D1900="",$E1900="",$F1900=""),"CONTEXTE INCOMPLET",IF(COUNTIFS($D1000:$D1899,$D1900,$E1000:$E1899,$E1900,$F1000:$F1899,$F1900,$G1000:$G1899,$G1900)&gt;0,"DOUBLON","VALIDE")))</f>
        <v/>
      </c>
    </row>
    <row r="1901" ht="15" customHeight="1">
      <c r="A1901" s="12">
        <f>IF(OR($B1901="",$G1901=""),"",TEXT($B1901,"YYYYMMDD")&amp;"-"&amp;SUBSTITUTE($E1901," ","")&amp;"-"&amp;$F1901&amp;"-"&amp;$G1901)</f>
        <v/>
      </c>
      <c r="B1901" s="15" t="n"/>
      <c r="C1901" s="16" t="n"/>
      <c r="D1901" s="10" t="n"/>
      <c r="E1901" s="9" t="n"/>
      <c r="F1901" s="9" t="n"/>
      <c r="G1901" s="13" t="n"/>
      <c r="H1901" s="21" t="n"/>
      <c r="I1901" s="21" t="n"/>
      <c r="J1901" s="17">
        <f>IF($G1901="","",IFERROR(INDEX(NomsEmployes,MATCH($G1901,MatriculesEmployes,0)),"MATRICULE INCONNU"))</f>
        <v/>
      </c>
      <c r="K1901" s="33">
        <f>IF(OR($D1901="",$F1901=""),"",IFERROR(IF(INDEX(RUNS!$L$6:$S$1005,MATCH($D1901,RUNS!$A$6:$A$1005,0),MATCH("ACTIVITÉ "&amp;$F1901,RUNS!$L$5:$S$5,0))="","",INDEX(RUNS!$L$6:$S$1005,MATCH($D1901,RUNS!$A$6:$A$1005,0),MATCH("ACTIVITÉ "&amp;$F1901,RUNS!$L$5:$S$5,0))),""))</f>
        <v/>
      </c>
      <c r="L1901" s="33">
        <f>IF($D1901="","",IFERROR(IF(INDEX(RUNS!$E$6:$E$1005,MATCH($D1901,RUNS!$A$6:$A$1005,0))="","",INDEX(RUNS!$E$6:$E$1005,MATCH($D1901,RUNS!$A$6:$A$1005,0))),""))</f>
        <v/>
      </c>
      <c r="M1901" s="33">
        <f>IF($D1901="","",IFERROR(IF(INDEX(RUNS!$F$6:$F$1005,MATCH($D1901,RUNS!$A$6:$A$1005,0))="","",INDEX(RUNS!$F$6:$F$1005,MATCH($D1901,RUNS!$A$6:$A$1005,0))),""))</f>
        <v/>
      </c>
      <c r="N1901" s="33">
        <f>IF($D1901="","",IFERROR(IF(INDEX(RUNS!$G$6:$G$1005,MATCH($D1901,RUNS!$A$6:$A$1005,0))="","",INDEX(RUNS!$G$6:$G$1005,MATCH($D1901,RUNS!$A$6:$A$1005,0))),""))</f>
        <v/>
      </c>
      <c r="O1901" s="33">
        <f>IF($D1901="","",IFERROR(IF(INDEX(RUNS!$H$6:$H$1005,MATCH($D1901,RUNS!$A$6:$A$1005,0))="","",INDEX(RUNS!$H$6:$H$1005,MATCH($D1901,RUNS!$A$6:$A$1005,0))),""))</f>
        <v/>
      </c>
      <c r="P1901" s="33">
        <f>IF($D1901="","",IFERROR(IF(INDEX(RUNS!$J$6:$J$1005,MATCH($D1901,RUNS!$A$6:$A$1005,0))="","",INDEX(RUNS!$J$6:$J$1005,MATCH($D1901,RUNS!$A$6:$A$1005,0))),""))</f>
        <v/>
      </c>
      <c r="Q1901" s="33">
        <f>IF($D1901="","",IFERROR(IF(INDEX(RUNS!$K$6:$K$1005,MATCH($D1901,RUNS!$A$6:$A$1005,0))="","",INDEX(RUNS!$K$6:$K$1005,MATCH($D1901,RUNS!$A$6:$A$1005,0))),""))</f>
        <v/>
      </c>
      <c r="R1901" s="34">
        <f>IF(OR($L1901="",$K1901=""),"",IFERROR(IF(INDEX(PARAMETRES!$H$43:$H$342,MATCH($L1901&amp;"|"&amp;$M1901&amp;"|"&amp;$N1901&amp;"|"&amp;$O1901&amp;"|"&amp;$P1901&amp;"|"&amp;$Q1901&amp;"|"&amp;$K1901,PARAMETRES!$J$43:$J$342,0))="","",INDEX(PARAMETRES!$H$43:$H$342,MATCH($L1901&amp;"|"&amp;$M1901&amp;"|"&amp;$N1901&amp;"|"&amp;$O1901&amp;"|"&amp;$P1901&amp;"|"&amp;$Q1901&amp;"|"&amp;$K1901,PARAMETRES!$J$43:$J$342,0))),""))</f>
        <v/>
      </c>
      <c r="S1901" s="35">
        <f>IF(OR($G1901="",$X1901&lt;&gt;"VALIDE"),"",IFERROR(LOOKUP(2,1/(($B1001:$B1900=$B1901)*($G1001:$G1900=$G1901)*($X1001:$X1900="VALIDE")),$C1001:$C1900),""))</f>
        <v/>
      </c>
      <c r="T1901" s="36">
        <f>IF(OR($C1901="",$S1901=""),"",ROUND(($C1901-$S1901+IF($C1901&lt;$S1901,1,0))*1440,0))</f>
        <v/>
      </c>
      <c r="U1901" s="22">
        <f>IF(OR($H1901="",$T1901="",$T1901&lt;=0),"",$H1901*60/$T1901)</f>
        <v/>
      </c>
      <c r="V1901" s="37">
        <f>IF(OR($U1901="",$R1901="",$R1901=0),"",$U1901/$R1901)</f>
        <v/>
      </c>
      <c r="W1901" s="20">
        <f>IF($G1901="","",IF($X1901="CONTEXTE INCOMPLET","CONTEXTE INCOMPLET",IF($X1901="DOUBLON",StatutDoublon,IF($S1901="",StatutInitial,IF($R1901="",StatutStandardManquant,IF($V1901="","DONNEES INSUFFISANTES",IF($V1901&gt;=SeuilConforme,StatutConforme,IF($V1901&gt;=SeuilSurveiller,StatutSurveiller,StatutSousStandard))))))))</f>
        <v/>
      </c>
      <c r="X1901" s="33">
        <f>IF($G1901="","",IF(OR($D1901="",$E1901="",$F1901=""),"CONTEXTE INCOMPLET",IF(COUNTIFS($D1001:$D1900,$D1901,$E1001:$E1900,$E1901,$F1001:$F1900,$F1901,$G1001:$G1900,$G1901)&gt;0,"DOUBLON","VALIDE")))</f>
        <v/>
      </c>
    </row>
    <row r="1902" ht="15" customHeight="1">
      <c r="A1902" s="12">
        <f>IF(OR($B1902="",$G1902=""),"",TEXT($B1902,"YYYYMMDD")&amp;"-"&amp;SUBSTITUTE($E1902," ","")&amp;"-"&amp;$F1902&amp;"-"&amp;$G1902)</f>
        <v/>
      </c>
      <c r="B1902" s="15" t="n"/>
      <c r="C1902" s="16" t="n"/>
      <c r="D1902" s="10" t="n"/>
      <c r="E1902" s="9" t="n"/>
      <c r="F1902" s="9" t="n"/>
      <c r="G1902" s="13" t="n"/>
      <c r="H1902" s="21" t="n"/>
      <c r="I1902" s="21" t="n"/>
      <c r="J1902" s="17">
        <f>IF($G1902="","",IFERROR(INDEX(NomsEmployes,MATCH($G1902,MatriculesEmployes,0)),"MATRICULE INCONNU"))</f>
        <v/>
      </c>
      <c r="K1902" s="33">
        <f>IF(OR($D1902="",$F1902=""),"",IFERROR(IF(INDEX(RUNS!$L$6:$S$1005,MATCH($D1902,RUNS!$A$6:$A$1005,0),MATCH("ACTIVITÉ "&amp;$F1902,RUNS!$L$5:$S$5,0))="","",INDEX(RUNS!$L$6:$S$1005,MATCH($D1902,RUNS!$A$6:$A$1005,0),MATCH("ACTIVITÉ "&amp;$F1902,RUNS!$L$5:$S$5,0))),""))</f>
        <v/>
      </c>
      <c r="L1902" s="33">
        <f>IF($D1902="","",IFERROR(IF(INDEX(RUNS!$E$6:$E$1005,MATCH($D1902,RUNS!$A$6:$A$1005,0))="","",INDEX(RUNS!$E$6:$E$1005,MATCH($D1902,RUNS!$A$6:$A$1005,0))),""))</f>
        <v/>
      </c>
      <c r="M1902" s="33">
        <f>IF($D1902="","",IFERROR(IF(INDEX(RUNS!$F$6:$F$1005,MATCH($D1902,RUNS!$A$6:$A$1005,0))="","",INDEX(RUNS!$F$6:$F$1005,MATCH($D1902,RUNS!$A$6:$A$1005,0))),""))</f>
        <v/>
      </c>
      <c r="N1902" s="33">
        <f>IF($D1902="","",IFERROR(IF(INDEX(RUNS!$G$6:$G$1005,MATCH($D1902,RUNS!$A$6:$A$1005,0))="","",INDEX(RUNS!$G$6:$G$1005,MATCH($D1902,RUNS!$A$6:$A$1005,0))),""))</f>
        <v/>
      </c>
      <c r="O1902" s="33">
        <f>IF($D1902="","",IFERROR(IF(INDEX(RUNS!$H$6:$H$1005,MATCH($D1902,RUNS!$A$6:$A$1005,0))="","",INDEX(RUNS!$H$6:$H$1005,MATCH($D1902,RUNS!$A$6:$A$1005,0))),""))</f>
        <v/>
      </c>
      <c r="P1902" s="33">
        <f>IF($D1902="","",IFERROR(IF(INDEX(RUNS!$J$6:$J$1005,MATCH($D1902,RUNS!$A$6:$A$1005,0))="","",INDEX(RUNS!$J$6:$J$1005,MATCH($D1902,RUNS!$A$6:$A$1005,0))),""))</f>
        <v/>
      </c>
      <c r="Q1902" s="33">
        <f>IF($D1902="","",IFERROR(IF(INDEX(RUNS!$K$6:$K$1005,MATCH($D1902,RUNS!$A$6:$A$1005,0))="","",INDEX(RUNS!$K$6:$K$1005,MATCH($D1902,RUNS!$A$6:$A$1005,0))),""))</f>
        <v/>
      </c>
      <c r="R1902" s="34">
        <f>IF(OR($L1902="",$K1902=""),"",IFERROR(IF(INDEX(PARAMETRES!$H$43:$H$342,MATCH($L1902&amp;"|"&amp;$M1902&amp;"|"&amp;$N1902&amp;"|"&amp;$O1902&amp;"|"&amp;$P1902&amp;"|"&amp;$Q1902&amp;"|"&amp;$K1902,PARAMETRES!$J$43:$J$342,0))="","",INDEX(PARAMETRES!$H$43:$H$342,MATCH($L1902&amp;"|"&amp;$M1902&amp;"|"&amp;$N1902&amp;"|"&amp;$O1902&amp;"|"&amp;$P1902&amp;"|"&amp;$Q1902&amp;"|"&amp;$K1902,PARAMETRES!$J$43:$J$342,0))),""))</f>
        <v/>
      </c>
      <c r="S1902" s="35">
        <f>IF(OR($G1902="",$X1902&lt;&gt;"VALIDE"),"",IFERROR(LOOKUP(2,1/(($B1002:$B1901=$B1902)*($G1002:$G1901=$G1902)*($X1002:$X1901="VALIDE")),$C1002:$C1901),""))</f>
        <v/>
      </c>
      <c r="T1902" s="36">
        <f>IF(OR($C1902="",$S1902=""),"",ROUND(($C1902-$S1902+IF($C1902&lt;$S1902,1,0))*1440,0))</f>
        <v/>
      </c>
      <c r="U1902" s="22">
        <f>IF(OR($H1902="",$T1902="",$T1902&lt;=0),"",$H1902*60/$T1902)</f>
        <v/>
      </c>
      <c r="V1902" s="37">
        <f>IF(OR($U1902="",$R1902="",$R1902=0),"",$U1902/$R1902)</f>
        <v/>
      </c>
      <c r="W1902" s="20">
        <f>IF($G1902="","",IF($X1902="CONTEXTE INCOMPLET","CONTEXTE INCOMPLET",IF($X1902="DOUBLON",StatutDoublon,IF($S1902="",StatutInitial,IF($R1902="",StatutStandardManquant,IF($V1902="","DONNEES INSUFFISANTES",IF($V1902&gt;=SeuilConforme,StatutConforme,IF($V1902&gt;=SeuilSurveiller,StatutSurveiller,StatutSousStandard))))))))</f>
        <v/>
      </c>
      <c r="X1902" s="33">
        <f>IF($G1902="","",IF(OR($D1902="",$E1902="",$F1902=""),"CONTEXTE INCOMPLET",IF(COUNTIFS($D1002:$D1901,$D1902,$E1002:$E1901,$E1902,$F1002:$F1901,$F1902,$G1002:$G1901,$G1902)&gt;0,"DOUBLON","VALIDE")))</f>
        <v/>
      </c>
    </row>
    <row r="1903" ht="15" customHeight="1">
      <c r="A1903" s="12">
        <f>IF(OR($B1903="",$G1903=""),"",TEXT($B1903,"YYYYMMDD")&amp;"-"&amp;SUBSTITUTE($E1903," ","")&amp;"-"&amp;$F1903&amp;"-"&amp;$G1903)</f>
        <v/>
      </c>
      <c r="B1903" s="15" t="n"/>
      <c r="C1903" s="16" t="n"/>
      <c r="D1903" s="10" t="n"/>
      <c r="E1903" s="9" t="n"/>
      <c r="F1903" s="9" t="n"/>
      <c r="G1903" s="13" t="n"/>
      <c r="H1903" s="21" t="n"/>
      <c r="I1903" s="21" t="n"/>
      <c r="J1903" s="17">
        <f>IF($G1903="","",IFERROR(INDEX(NomsEmployes,MATCH($G1903,MatriculesEmployes,0)),"MATRICULE INCONNU"))</f>
        <v/>
      </c>
      <c r="K1903" s="33">
        <f>IF(OR($D1903="",$F1903=""),"",IFERROR(IF(INDEX(RUNS!$L$6:$S$1005,MATCH($D1903,RUNS!$A$6:$A$1005,0),MATCH("ACTIVITÉ "&amp;$F1903,RUNS!$L$5:$S$5,0))="","",INDEX(RUNS!$L$6:$S$1005,MATCH($D1903,RUNS!$A$6:$A$1005,0),MATCH("ACTIVITÉ "&amp;$F1903,RUNS!$L$5:$S$5,0))),""))</f>
        <v/>
      </c>
      <c r="L1903" s="33">
        <f>IF($D1903="","",IFERROR(IF(INDEX(RUNS!$E$6:$E$1005,MATCH($D1903,RUNS!$A$6:$A$1005,0))="","",INDEX(RUNS!$E$6:$E$1005,MATCH($D1903,RUNS!$A$6:$A$1005,0))),""))</f>
        <v/>
      </c>
      <c r="M1903" s="33">
        <f>IF($D1903="","",IFERROR(IF(INDEX(RUNS!$F$6:$F$1005,MATCH($D1903,RUNS!$A$6:$A$1005,0))="","",INDEX(RUNS!$F$6:$F$1005,MATCH($D1903,RUNS!$A$6:$A$1005,0))),""))</f>
        <v/>
      </c>
      <c r="N1903" s="33">
        <f>IF($D1903="","",IFERROR(IF(INDEX(RUNS!$G$6:$G$1005,MATCH($D1903,RUNS!$A$6:$A$1005,0))="","",INDEX(RUNS!$G$6:$G$1005,MATCH($D1903,RUNS!$A$6:$A$1005,0))),""))</f>
        <v/>
      </c>
      <c r="O1903" s="33">
        <f>IF($D1903="","",IFERROR(IF(INDEX(RUNS!$H$6:$H$1005,MATCH($D1903,RUNS!$A$6:$A$1005,0))="","",INDEX(RUNS!$H$6:$H$1005,MATCH($D1903,RUNS!$A$6:$A$1005,0))),""))</f>
        <v/>
      </c>
      <c r="P1903" s="33">
        <f>IF($D1903="","",IFERROR(IF(INDEX(RUNS!$J$6:$J$1005,MATCH($D1903,RUNS!$A$6:$A$1005,0))="","",INDEX(RUNS!$J$6:$J$1005,MATCH($D1903,RUNS!$A$6:$A$1005,0))),""))</f>
        <v/>
      </c>
      <c r="Q1903" s="33">
        <f>IF($D1903="","",IFERROR(IF(INDEX(RUNS!$K$6:$K$1005,MATCH($D1903,RUNS!$A$6:$A$1005,0))="","",INDEX(RUNS!$K$6:$K$1005,MATCH($D1903,RUNS!$A$6:$A$1005,0))),""))</f>
        <v/>
      </c>
      <c r="R1903" s="34">
        <f>IF(OR($L1903="",$K1903=""),"",IFERROR(IF(INDEX(PARAMETRES!$H$43:$H$342,MATCH($L1903&amp;"|"&amp;$M1903&amp;"|"&amp;$N1903&amp;"|"&amp;$O1903&amp;"|"&amp;$P1903&amp;"|"&amp;$Q1903&amp;"|"&amp;$K1903,PARAMETRES!$J$43:$J$342,0))="","",INDEX(PARAMETRES!$H$43:$H$342,MATCH($L1903&amp;"|"&amp;$M1903&amp;"|"&amp;$N1903&amp;"|"&amp;$O1903&amp;"|"&amp;$P1903&amp;"|"&amp;$Q1903&amp;"|"&amp;$K1903,PARAMETRES!$J$43:$J$342,0))),""))</f>
        <v/>
      </c>
      <c r="S1903" s="35">
        <f>IF(OR($G1903="",$X1903&lt;&gt;"VALIDE"),"",IFERROR(LOOKUP(2,1/(($B1003:$B1902=$B1903)*($G1003:$G1902=$G1903)*($X1003:$X1902="VALIDE")),$C1003:$C1902),""))</f>
        <v/>
      </c>
      <c r="T1903" s="36">
        <f>IF(OR($C1903="",$S1903=""),"",ROUND(($C1903-$S1903+IF($C1903&lt;$S1903,1,0))*1440,0))</f>
        <v/>
      </c>
      <c r="U1903" s="22">
        <f>IF(OR($H1903="",$T1903="",$T1903&lt;=0),"",$H1903*60/$T1903)</f>
        <v/>
      </c>
      <c r="V1903" s="37">
        <f>IF(OR($U1903="",$R1903="",$R1903=0),"",$U1903/$R1903)</f>
        <v/>
      </c>
      <c r="W1903" s="20">
        <f>IF($G1903="","",IF($X1903="CONTEXTE INCOMPLET","CONTEXTE INCOMPLET",IF($X1903="DOUBLON",StatutDoublon,IF($S1903="",StatutInitial,IF($R1903="",StatutStandardManquant,IF($V1903="","DONNEES INSUFFISANTES",IF($V1903&gt;=SeuilConforme,StatutConforme,IF($V1903&gt;=SeuilSurveiller,StatutSurveiller,StatutSousStandard))))))))</f>
        <v/>
      </c>
      <c r="X1903" s="33">
        <f>IF($G1903="","",IF(OR($D1903="",$E1903="",$F1903=""),"CONTEXTE INCOMPLET",IF(COUNTIFS($D1003:$D1902,$D1903,$E1003:$E1902,$E1903,$F1003:$F1902,$F1903,$G1003:$G1902,$G1903)&gt;0,"DOUBLON","VALIDE")))</f>
        <v/>
      </c>
    </row>
    <row r="1904" ht="15" customHeight="1">
      <c r="A1904" s="12">
        <f>IF(OR($B1904="",$G1904=""),"",TEXT($B1904,"YYYYMMDD")&amp;"-"&amp;SUBSTITUTE($E1904," ","")&amp;"-"&amp;$F1904&amp;"-"&amp;$G1904)</f>
        <v/>
      </c>
      <c r="B1904" s="15" t="n"/>
      <c r="C1904" s="16" t="n"/>
      <c r="D1904" s="10" t="n"/>
      <c r="E1904" s="9" t="n"/>
      <c r="F1904" s="9" t="n"/>
      <c r="G1904" s="13" t="n"/>
      <c r="H1904" s="21" t="n"/>
      <c r="I1904" s="21" t="n"/>
      <c r="J1904" s="17">
        <f>IF($G1904="","",IFERROR(INDEX(NomsEmployes,MATCH($G1904,MatriculesEmployes,0)),"MATRICULE INCONNU"))</f>
        <v/>
      </c>
      <c r="K1904" s="33">
        <f>IF(OR($D1904="",$F1904=""),"",IFERROR(IF(INDEX(RUNS!$L$6:$S$1005,MATCH($D1904,RUNS!$A$6:$A$1005,0),MATCH("ACTIVITÉ "&amp;$F1904,RUNS!$L$5:$S$5,0))="","",INDEX(RUNS!$L$6:$S$1005,MATCH($D1904,RUNS!$A$6:$A$1005,0),MATCH("ACTIVITÉ "&amp;$F1904,RUNS!$L$5:$S$5,0))),""))</f>
        <v/>
      </c>
      <c r="L1904" s="33">
        <f>IF($D1904="","",IFERROR(IF(INDEX(RUNS!$E$6:$E$1005,MATCH($D1904,RUNS!$A$6:$A$1005,0))="","",INDEX(RUNS!$E$6:$E$1005,MATCH($D1904,RUNS!$A$6:$A$1005,0))),""))</f>
        <v/>
      </c>
      <c r="M1904" s="33">
        <f>IF($D1904="","",IFERROR(IF(INDEX(RUNS!$F$6:$F$1005,MATCH($D1904,RUNS!$A$6:$A$1005,0))="","",INDEX(RUNS!$F$6:$F$1005,MATCH($D1904,RUNS!$A$6:$A$1005,0))),""))</f>
        <v/>
      </c>
      <c r="N1904" s="33">
        <f>IF($D1904="","",IFERROR(IF(INDEX(RUNS!$G$6:$G$1005,MATCH($D1904,RUNS!$A$6:$A$1005,0))="","",INDEX(RUNS!$G$6:$G$1005,MATCH($D1904,RUNS!$A$6:$A$1005,0))),""))</f>
        <v/>
      </c>
      <c r="O1904" s="33">
        <f>IF($D1904="","",IFERROR(IF(INDEX(RUNS!$H$6:$H$1005,MATCH($D1904,RUNS!$A$6:$A$1005,0))="","",INDEX(RUNS!$H$6:$H$1005,MATCH($D1904,RUNS!$A$6:$A$1005,0))),""))</f>
        <v/>
      </c>
      <c r="P1904" s="33">
        <f>IF($D1904="","",IFERROR(IF(INDEX(RUNS!$J$6:$J$1005,MATCH($D1904,RUNS!$A$6:$A$1005,0))="","",INDEX(RUNS!$J$6:$J$1005,MATCH($D1904,RUNS!$A$6:$A$1005,0))),""))</f>
        <v/>
      </c>
      <c r="Q1904" s="33">
        <f>IF($D1904="","",IFERROR(IF(INDEX(RUNS!$K$6:$K$1005,MATCH($D1904,RUNS!$A$6:$A$1005,0))="","",INDEX(RUNS!$K$6:$K$1005,MATCH($D1904,RUNS!$A$6:$A$1005,0))),""))</f>
        <v/>
      </c>
      <c r="R1904" s="34">
        <f>IF(OR($L1904="",$K1904=""),"",IFERROR(IF(INDEX(PARAMETRES!$H$43:$H$342,MATCH($L1904&amp;"|"&amp;$M1904&amp;"|"&amp;$N1904&amp;"|"&amp;$O1904&amp;"|"&amp;$P1904&amp;"|"&amp;$Q1904&amp;"|"&amp;$K1904,PARAMETRES!$J$43:$J$342,0))="","",INDEX(PARAMETRES!$H$43:$H$342,MATCH($L1904&amp;"|"&amp;$M1904&amp;"|"&amp;$N1904&amp;"|"&amp;$O1904&amp;"|"&amp;$P1904&amp;"|"&amp;$Q1904&amp;"|"&amp;$K1904,PARAMETRES!$J$43:$J$342,0))),""))</f>
        <v/>
      </c>
      <c r="S1904" s="35">
        <f>IF(OR($G1904="",$X1904&lt;&gt;"VALIDE"),"",IFERROR(LOOKUP(2,1/(($B1004:$B1903=$B1904)*($G1004:$G1903=$G1904)*($X1004:$X1903="VALIDE")),$C1004:$C1903),""))</f>
        <v/>
      </c>
      <c r="T1904" s="36">
        <f>IF(OR($C1904="",$S1904=""),"",ROUND(($C1904-$S1904+IF($C1904&lt;$S1904,1,0))*1440,0))</f>
        <v/>
      </c>
      <c r="U1904" s="22">
        <f>IF(OR($H1904="",$T1904="",$T1904&lt;=0),"",$H1904*60/$T1904)</f>
        <v/>
      </c>
      <c r="V1904" s="37">
        <f>IF(OR($U1904="",$R1904="",$R1904=0),"",$U1904/$R1904)</f>
        <v/>
      </c>
      <c r="W1904" s="20">
        <f>IF($G1904="","",IF($X1904="CONTEXTE INCOMPLET","CONTEXTE INCOMPLET",IF($X1904="DOUBLON",StatutDoublon,IF($S1904="",StatutInitial,IF($R1904="",StatutStandardManquant,IF($V1904="","DONNEES INSUFFISANTES",IF($V1904&gt;=SeuilConforme,StatutConforme,IF($V1904&gt;=SeuilSurveiller,StatutSurveiller,StatutSousStandard))))))))</f>
        <v/>
      </c>
      <c r="X1904" s="33">
        <f>IF($G1904="","",IF(OR($D1904="",$E1904="",$F1904=""),"CONTEXTE INCOMPLET",IF(COUNTIFS($D1004:$D1903,$D1904,$E1004:$E1903,$E1904,$F1004:$F1903,$F1904,$G1004:$G1903,$G1904)&gt;0,"DOUBLON","VALIDE")))</f>
        <v/>
      </c>
    </row>
    <row r="1905" ht="15" customHeight="1">
      <c r="A1905" s="12">
        <f>IF(OR($B1905="",$G1905=""),"",TEXT($B1905,"YYYYMMDD")&amp;"-"&amp;SUBSTITUTE($E1905," ","")&amp;"-"&amp;$F1905&amp;"-"&amp;$G1905)</f>
        <v/>
      </c>
      <c r="B1905" s="15" t="n"/>
      <c r="C1905" s="16" t="n"/>
      <c r="D1905" s="10" t="n"/>
      <c r="E1905" s="9" t="n"/>
      <c r="F1905" s="9" t="n"/>
      <c r="G1905" s="13" t="n"/>
      <c r="H1905" s="21" t="n"/>
      <c r="I1905" s="21" t="n"/>
      <c r="J1905" s="17">
        <f>IF($G1905="","",IFERROR(INDEX(NomsEmployes,MATCH($G1905,MatriculesEmployes,0)),"MATRICULE INCONNU"))</f>
        <v/>
      </c>
      <c r="K1905" s="33">
        <f>IF(OR($D1905="",$F1905=""),"",IFERROR(IF(INDEX(RUNS!$L$6:$S$1005,MATCH($D1905,RUNS!$A$6:$A$1005,0),MATCH("ACTIVITÉ "&amp;$F1905,RUNS!$L$5:$S$5,0))="","",INDEX(RUNS!$L$6:$S$1005,MATCH($D1905,RUNS!$A$6:$A$1005,0),MATCH("ACTIVITÉ "&amp;$F1905,RUNS!$L$5:$S$5,0))),""))</f>
        <v/>
      </c>
      <c r="L1905" s="33">
        <f>IF($D1905="","",IFERROR(IF(INDEX(RUNS!$E$6:$E$1005,MATCH($D1905,RUNS!$A$6:$A$1005,0))="","",INDEX(RUNS!$E$6:$E$1005,MATCH($D1905,RUNS!$A$6:$A$1005,0))),""))</f>
        <v/>
      </c>
      <c r="M1905" s="33">
        <f>IF($D1905="","",IFERROR(IF(INDEX(RUNS!$F$6:$F$1005,MATCH($D1905,RUNS!$A$6:$A$1005,0))="","",INDEX(RUNS!$F$6:$F$1005,MATCH($D1905,RUNS!$A$6:$A$1005,0))),""))</f>
        <v/>
      </c>
      <c r="N1905" s="33">
        <f>IF($D1905="","",IFERROR(IF(INDEX(RUNS!$G$6:$G$1005,MATCH($D1905,RUNS!$A$6:$A$1005,0))="","",INDEX(RUNS!$G$6:$G$1005,MATCH($D1905,RUNS!$A$6:$A$1005,0))),""))</f>
        <v/>
      </c>
      <c r="O1905" s="33">
        <f>IF($D1905="","",IFERROR(IF(INDEX(RUNS!$H$6:$H$1005,MATCH($D1905,RUNS!$A$6:$A$1005,0))="","",INDEX(RUNS!$H$6:$H$1005,MATCH($D1905,RUNS!$A$6:$A$1005,0))),""))</f>
        <v/>
      </c>
      <c r="P1905" s="33">
        <f>IF($D1905="","",IFERROR(IF(INDEX(RUNS!$J$6:$J$1005,MATCH($D1905,RUNS!$A$6:$A$1005,0))="","",INDEX(RUNS!$J$6:$J$1005,MATCH($D1905,RUNS!$A$6:$A$1005,0))),""))</f>
        <v/>
      </c>
      <c r="Q1905" s="33">
        <f>IF($D1905="","",IFERROR(IF(INDEX(RUNS!$K$6:$K$1005,MATCH($D1905,RUNS!$A$6:$A$1005,0))="","",INDEX(RUNS!$K$6:$K$1005,MATCH($D1905,RUNS!$A$6:$A$1005,0))),""))</f>
        <v/>
      </c>
      <c r="R1905" s="34">
        <f>IF(OR($L1905="",$K1905=""),"",IFERROR(IF(INDEX(PARAMETRES!$H$43:$H$342,MATCH($L1905&amp;"|"&amp;$M1905&amp;"|"&amp;$N1905&amp;"|"&amp;$O1905&amp;"|"&amp;$P1905&amp;"|"&amp;$Q1905&amp;"|"&amp;$K1905,PARAMETRES!$J$43:$J$342,0))="","",INDEX(PARAMETRES!$H$43:$H$342,MATCH($L1905&amp;"|"&amp;$M1905&amp;"|"&amp;$N1905&amp;"|"&amp;$O1905&amp;"|"&amp;$P1905&amp;"|"&amp;$Q1905&amp;"|"&amp;$K1905,PARAMETRES!$J$43:$J$342,0))),""))</f>
        <v/>
      </c>
      <c r="S1905" s="35">
        <f>IF(OR($G1905="",$X1905&lt;&gt;"VALIDE"),"",IFERROR(LOOKUP(2,1/(($B1005:$B1904=$B1905)*($G1005:$G1904=$G1905)*($X1005:$X1904="VALIDE")),$C1005:$C1904),""))</f>
        <v/>
      </c>
      <c r="T1905" s="36">
        <f>IF(OR($C1905="",$S1905=""),"",ROUND(($C1905-$S1905+IF($C1905&lt;$S1905,1,0))*1440,0))</f>
        <v/>
      </c>
      <c r="U1905" s="22">
        <f>IF(OR($H1905="",$T1905="",$T1905&lt;=0),"",$H1905*60/$T1905)</f>
        <v/>
      </c>
      <c r="V1905" s="37">
        <f>IF(OR($U1905="",$R1905="",$R1905=0),"",$U1905/$R1905)</f>
        <v/>
      </c>
      <c r="W1905" s="20">
        <f>IF($G1905="","",IF($X1905="CONTEXTE INCOMPLET","CONTEXTE INCOMPLET",IF($X1905="DOUBLON",StatutDoublon,IF($S1905="",StatutInitial,IF($R1905="",StatutStandardManquant,IF($V1905="","DONNEES INSUFFISANTES",IF($V1905&gt;=SeuilConforme,StatutConforme,IF($V1905&gt;=SeuilSurveiller,StatutSurveiller,StatutSousStandard))))))))</f>
        <v/>
      </c>
      <c r="X1905" s="33">
        <f>IF($G1905="","",IF(OR($D1905="",$E1905="",$F1905=""),"CONTEXTE INCOMPLET",IF(COUNTIFS($D1005:$D1904,$D1905,$E1005:$E1904,$E1905,$F1005:$F1904,$F1905,$G1005:$G1904,$G1905)&gt;0,"DOUBLON","VALIDE")))</f>
        <v/>
      </c>
    </row>
    <row r="1906" ht="15" customHeight="1">
      <c r="A1906" s="12">
        <f>IF(OR($B1906="",$G1906=""),"",TEXT($B1906,"YYYYMMDD")&amp;"-"&amp;SUBSTITUTE($E1906," ","")&amp;"-"&amp;$F1906&amp;"-"&amp;$G1906)</f>
        <v/>
      </c>
      <c r="B1906" s="15" t="n"/>
      <c r="C1906" s="16" t="n"/>
      <c r="D1906" s="10" t="n"/>
      <c r="E1906" s="9" t="n"/>
      <c r="F1906" s="9" t="n"/>
      <c r="G1906" s="13" t="n"/>
      <c r="H1906" s="21" t="n"/>
      <c r="I1906" s="21" t="n"/>
      <c r="J1906" s="17">
        <f>IF($G1906="","",IFERROR(INDEX(NomsEmployes,MATCH($G1906,MatriculesEmployes,0)),"MATRICULE INCONNU"))</f>
        <v/>
      </c>
      <c r="K1906" s="33">
        <f>IF(OR($D1906="",$F1906=""),"",IFERROR(IF(INDEX(RUNS!$L$6:$S$1005,MATCH($D1906,RUNS!$A$6:$A$1005,0),MATCH("ACTIVITÉ "&amp;$F1906,RUNS!$L$5:$S$5,0))="","",INDEX(RUNS!$L$6:$S$1005,MATCH($D1906,RUNS!$A$6:$A$1005,0),MATCH("ACTIVITÉ "&amp;$F1906,RUNS!$L$5:$S$5,0))),""))</f>
        <v/>
      </c>
      <c r="L1906" s="33">
        <f>IF($D1906="","",IFERROR(IF(INDEX(RUNS!$E$6:$E$1005,MATCH($D1906,RUNS!$A$6:$A$1005,0))="","",INDEX(RUNS!$E$6:$E$1005,MATCH($D1906,RUNS!$A$6:$A$1005,0))),""))</f>
        <v/>
      </c>
      <c r="M1906" s="33">
        <f>IF($D1906="","",IFERROR(IF(INDEX(RUNS!$F$6:$F$1005,MATCH($D1906,RUNS!$A$6:$A$1005,0))="","",INDEX(RUNS!$F$6:$F$1005,MATCH($D1906,RUNS!$A$6:$A$1005,0))),""))</f>
        <v/>
      </c>
      <c r="N1906" s="33">
        <f>IF($D1906="","",IFERROR(IF(INDEX(RUNS!$G$6:$G$1005,MATCH($D1906,RUNS!$A$6:$A$1005,0))="","",INDEX(RUNS!$G$6:$G$1005,MATCH($D1906,RUNS!$A$6:$A$1005,0))),""))</f>
        <v/>
      </c>
      <c r="O1906" s="33">
        <f>IF($D1906="","",IFERROR(IF(INDEX(RUNS!$H$6:$H$1005,MATCH($D1906,RUNS!$A$6:$A$1005,0))="","",INDEX(RUNS!$H$6:$H$1005,MATCH($D1906,RUNS!$A$6:$A$1005,0))),""))</f>
        <v/>
      </c>
      <c r="P1906" s="33">
        <f>IF($D1906="","",IFERROR(IF(INDEX(RUNS!$J$6:$J$1005,MATCH($D1906,RUNS!$A$6:$A$1005,0))="","",INDEX(RUNS!$J$6:$J$1005,MATCH($D1906,RUNS!$A$6:$A$1005,0))),""))</f>
        <v/>
      </c>
      <c r="Q1906" s="33">
        <f>IF($D1906="","",IFERROR(IF(INDEX(RUNS!$K$6:$K$1005,MATCH($D1906,RUNS!$A$6:$A$1005,0))="","",INDEX(RUNS!$K$6:$K$1005,MATCH($D1906,RUNS!$A$6:$A$1005,0))),""))</f>
        <v/>
      </c>
      <c r="R1906" s="34">
        <f>IF(OR($L1906="",$K1906=""),"",IFERROR(IF(INDEX(PARAMETRES!$H$43:$H$342,MATCH($L1906&amp;"|"&amp;$M1906&amp;"|"&amp;$N1906&amp;"|"&amp;$O1906&amp;"|"&amp;$P1906&amp;"|"&amp;$Q1906&amp;"|"&amp;$K1906,PARAMETRES!$J$43:$J$342,0))="","",INDEX(PARAMETRES!$H$43:$H$342,MATCH($L1906&amp;"|"&amp;$M1906&amp;"|"&amp;$N1906&amp;"|"&amp;$O1906&amp;"|"&amp;$P1906&amp;"|"&amp;$Q1906&amp;"|"&amp;$K1906,PARAMETRES!$J$43:$J$342,0))),""))</f>
        <v/>
      </c>
      <c r="S1906" s="35">
        <f>IF(OR($G1906="",$X1906&lt;&gt;"VALIDE"),"",IFERROR(LOOKUP(2,1/(($B1006:$B1905=$B1906)*($G1006:$G1905=$G1906)*($X1006:$X1905="VALIDE")),$C1006:$C1905),""))</f>
        <v/>
      </c>
      <c r="T1906" s="36">
        <f>IF(OR($C1906="",$S1906=""),"",ROUND(($C1906-$S1906+IF($C1906&lt;$S1906,1,0))*1440,0))</f>
        <v/>
      </c>
      <c r="U1906" s="22">
        <f>IF(OR($H1906="",$T1906="",$T1906&lt;=0),"",$H1906*60/$T1906)</f>
        <v/>
      </c>
      <c r="V1906" s="37">
        <f>IF(OR($U1906="",$R1906="",$R1906=0),"",$U1906/$R1906)</f>
        <v/>
      </c>
      <c r="W1906" s="20">
        <f>IF($G1906="","",IF($X1906="CONTEXTE INCOMPLET","CONTEXTE INCOMPLET",IF($X1906="DOUBLON",StatutDoublon,IF($S1906="",StatutInitial,IF($R1906="",StatutStandardManquant,IF($V1906="","DONNEES INSUFFISANTES",IF($V1906&gt;=SeuilConforme,StatutConforme,IF($V1906&gt;=SeuilSurveiller,StatutSurveiller,StatutSousStandard))))))))</f>
        <v/>
      </c>
      <c r="X1906" s="33">
        <f>IF($G1906="","",IF(OR($D1906="",$E1906="",$F1906=""),"CONTEXTE INCOMPLET",IF(COUNTIFS($D1006:$D1905,$D1906,$E1006:$E1905,$E1906,$F1006:$F1905,$F1906,$G1006:$G1905,$G1906)&gt;0,"DOUBLON","VALIDE")))</f>
        <v/>
      </c>
    </row>
    <row r="1907" ht="15" customHeight="1">
      <c r="A1907" s="12">
        <f>IF(OR($B1907="",$G1907=""),"",TEXT($B1907,"YYYYMMDD")&amp;"-"&amp;SUBSTITUTE($E1907," ","")&amp;"-"&amp;$F1907&amp;"-"&amp;$G1907)</f>
        <v/>
      </c>
      <c r="B1907" s="15" t="n"/>
      <c r="C1907" s="16" t="n"/>
      <c r="D1907" s="10" t="n"/>
      <c r="E1907" s="9" t="n"/>
      <c r="F1907" s="9" t="n"/>
      <c r="G1907" s="13" t="n"/>
      <c r="H1907" s="21" t="n"/>
      <c r="I1907" s="21" t="n"/>
      <c r="J1907" s="17">
        <f>IF($G1907="","",IFERROR(INDEX(NomsEmployes,MATCH($G1907,MatriculesEmployes,0)),"MATRICULE INCONNU"))</f>
        <v/>
      </c>
      <c r="K1907" s="33">
        <f>IF(OR($D1907="",$F1907=""),"",IFERROR(IF(INDEX(RUNS!$L$6:$S$1005,MATCH($D1907,RUNS!$A$6:$A$1005,0),MATCH("ACTIVITÉ "&amp;$F1907,RUNS!$L$5:$S$5,0))="","",INDEX(RUNS!$L$6:$S$1005,MATCH($D1907,RUNS!$A$6:$A$1005,0),MATCH("ACTIVITÉ "&amp;$F1907,RUNS!$L$5:$S$5,0))),""))</f>
        <v/>
      </c>
      <c r="L1907" s="33">
        <f>IF($D1907="","",IFERROR(IF(INDEX(RUNS!$E$6:$E$1005,MATCH($D1907,RUNS!$A$6:$A$1005,0))="","",INDEX(RUNS!$E$6:$E$1005,MATCH($D1907,RUNS!$A$6:$A$1005,0))),""))</f>
        <v/>
      </c>
      <c r="M1907" s="33">
        <f>IF($D1907="","",IFERROR(IF(INDEX(RUNS!$F$6:$F$1005,MATCH($D1907,RUNS!$A$6:$A$1005,0))="","",INDEX(RUNS!$F$6:$F$1005,MATCH($D1907,RUNS!$A$6:$A$1005,0))),""))</f>
        <v/>
      </c>
      <c r="N1907" s="33">
        <f>IF($D1907="","",IFERROR(IF(INDEX(RUNS!$G$6:$G$1005,MATCH($D1907,RUNS!$A$6:$A$1005,0))="","",INDEX(RUNS!$G$6:$G$1005,MATCH($D1907,RUNS!$A$6:$A$1005,0))),""))</f>
        <v/>
      </c>
      <c r="O1907" s="33">
        <f>IF($D1907="","",IFERROR(IF(INDEX(RUNS!$H$6:$H$1005,MATCH($D1907,RUNS!$A$6:$A$1005,0))="","",INDEX(RUNS!$H$6:$H$1005,MATCH($D1907,RUNS!$A$6:$A$1005,0))),""))</f>
        <v/>
      </c>
      <c r="P1907" s="33">
        <f>IF($D1907="","",IFERROR(IF(INDEX(RUNS!$J$6:$J$1005,MATCH($D1907,RUNS!$A$6:$A$1005,0))="","",INDEX(RUNS!$J$6:$J$1005,MATCH($D1907,RUNS!$A$6:$A$1005,0))),""))</f>
        <v/>
      </c>
      <c r="Q1907" s="33">
        <f>IF($D1907="","",IFERROR(IF(INDEX(RUNS!$K$6:$K$1005,MATCH($D1907,RUNS!$A$6:$A$1005,0))="","",INDEX(RUNS!$K$6:$K$1005,MATCH($D1907,RUNS!$A$6:$A$1005,0))),""))</f>
        <v/>
      </c>
      <c r="R1907" s="34">
        <f>IF(OR($L1907="",$K1907=""),"",IFERROR(IF(INDEX(PARAMETRES!$H$43:$H$342,MATCH($L1907&amp;"|"&amp;$M1907&amp;"|"&amp;$N1907&amp;"|"&amp;$O1907&amp;"|"&amp;$P1907&amp;"|"&amp;$Q1907&amp;"|"&amp;$K1907,PARAMETRES!$J$43:$J$342,0))="","",INDEX(PARAMETRES!$H$43:$H$342,MATCH($L1907&amp;"|"&amp;$M1907&amp;"|"&amp;$N1907&amp;"|"&amp;$O1907&amp;"|"&amp;$P1907&amp;"|"&amp;$Q1907&amp;"|"&amp;$K1907,PARAMETRES!$J$43:$J$342,0))),""))</f>
        <v/>
      </c>
      <c r="S1907" s="35">
        <f>IF(OR($G1907="",$X1907&lt;&gt;"VALIDE"),"",IFERROR(LOOKUP(2,1/(($B1007:$B1906=$B1907)*($G1007:$G1906=$G1907)*($X1007:$X1906="VALIDE")),$C1007:$C1906),""))</f>
        <v/>
      </c>
      <c r="T1907" s="36">
        <f>IF(OR($C1907="",$S1907=""),"",ROUND(($C1907-$S1907+IF($C1907&lt;$S1907,1,0))*1440,0))</f>
        <v/>
      </c>
      <c r="U1907" s="22">
        <f>IF(OR($H1907="",$T1907="",$T1907&lt;=0),"",$H1907*60/$T1907)</f>
        <v/>
      </c>
      <c r="V1907" s="37">
        <f>IF(OR($U1907="",$R1907="",$R1907=0),"",$U1907/$R1907)</f>
        <v/>
      </c>
      <c r="W1907" s="20">
        <f>IF($G1907="","",IF($X1907="CONTEXTE INCOMPLET","CONTEXTE INCOMPLET",IF($X1907="DOUBLON",StatutDoublon,IF($S1907="",StatutInitial,IF($R1907="",StatutStandardManquant,IF($V1907="","DONNEES INSUFFISANTES",IF($V1907&gt;=SeuilConforme,StatutConforme,IF($V1907&gt;=SeuilSurveiller,StatutSurveiller,StatutSousStandard))))))))</f>
        <v/>
      </c>
      <c r="X1907" s="33">
        <f>IF($G1907="","",IF(OR($D1907="",$E1907="",$F1907=""),"CONTEXTE INCOMPLET",IF(COUNTIFS($D1007:$D1906,$D1907,$E1007:$E1906,$E1907,$F1007:$F1906,$F1907,$G1007:$G1906,$G1907)&gt;0,"DOUBLON","VALIDE")))</f>
        <v/>
      </c>
    </row>
    <row r="1908" ht="15" customHeight="1">
      <c r="A1908" s="12">
        <f>IF(OR($B1908="",$G1908=""),"",TEXT($B1908,"YYYYMMDD")&amp;"-"&amp;SUBSTITUTE($E1908," ","")&amp;"-"&amp;$F1908&amp;"-"&amp;$G1908)</f>
        <v/>
      </c>
      <c r="B1908" s="15" t="n"/>
      <c r="C1908" s="16" t="n"/>
      <c r="D1908" s="10" t="n"/>
      <c r="E1908" s="9" t="n"/>
      <c r="F1908" s="9" t="n"/>
      <c r="G1908" s="13" t="n"/>
      <c r="H1908" s="21" t="n"/>
      <c r="I1908" s="21" t="n"/>
      <c r="J1908" s="17">
        <f>IF($G1908="","",IFERROR(INDEX(NomsEmployes,MATCH($G1908,MatriculesEmployes,0)),"MATRICULE INCONNU"))</f>
        <v/>
      </c>
      <c r="K1908" s="33">
        <f>IF(OR($D1908="",$F1908=""),"",IFERROR(IF(INDEX(RUNS!$L$6:$S$1005,MATCH($D1908,RUNS!$A$6:$A$1005,0),MATCH("ACTIVITÉ "&amp;$F1908,RUNS!$L$5:$S$5,0))="","",INDEX(RUNS!$L$6:$S$1005,MATCH($D1908,RUNS!$A$6:$A$1005,0),MATCH("ACTIVITÉ "&amp;$F1908,RUNS!$L$5:$S$5,0))),""))</f>
        <v/>
      </c>
      <c r="L1908" s="33">
        <f>IF($D1908="","",IFERROR(IF(INDEX(RUNS!$E$6:$E$1005,MATCH($D1908,RUNS!$A$6:$A$1005,0))="","",INDEX(RUNS!$E$6:$E$1005,MATCH($D1908,RUNS!$A$6:$A$1005,0))),""))</f>
        <v/>
      </c>
      <c r="M1908" s="33">
        <f>IF($D1908="","",IFERROR(IF(INDEX(RUNS!$F$6:$F$1005,MATCH($D1908,RUNS!$A$6:$A$1005,0))="","",INDEX(RUNS!$F$6:$F$1005,MATCH($D1908,RUNS!$A$6:$A$1005,0))),""))</f>
        <v/>
      </c>
      <c r="N1908" s="33">
        <f>IF($D1908="","",IFERROR(IF(INDEX(RUNS!$G$6:$G$1005,MATCH($D1908,RUNS!$A$6:$A$1005,0))="","",INDEX(RUNS!$G$6:$G$1005,MATCH($D1908,RUNS!$A$6:$A$1005,0))),""))</f>
        <v/>
      </c>
      <c r="O1908" s="33">
        <f>IF($D1908="","",IFERROR(IF(INDEX(RUNS!$H$6:$H$1005,MATCH($D1908,RUNS!$A$6:$A$1005,0))="","",INDEX(RUNS!$H$6:$H$1005,MATCH($D1908,RUNS!$A$6:$A$1005,0))),""))</f>
        <v/>
      </c>
      <c r="P1908" s="33">
        <f>IF($D1908="","",IFERROR(IF(INDEX(RUNS!$J$6:$J$1005,MATCH($D1908,RUNS!$A$6:$A$1005,0))="","",INDEX(RUNS!$J$6:$J$1005,MATCH($D1908,RUNS!$A$6:$A$1005,0))),""))</f>
        <v/>
      </c>
      <c r="Q1908" s="33">
        <f>IF($D1908="","",IFERROR(IF(INDEX(RUNS!$K$6:$K$1005,MATCH($D1908,RUNS!$A$6:$A$1005,0))="","",INDEX(RUNS!$K$6:$K$1005,MATCH($D1908,RUNS!$A$6:$A$1005,0))),""))</f>
        <v/>
      </c>
      <c r="R1908" s="34">
        <f>IF(OR($L1908="",$K1908=""),"",IFERROR(IF(INDEX(PARAMETRES!$H$43:$H$342,MATCH($L1908&amp;"|"&amp;$M1908&amp;"|"&amp;$N1908&amp;"|"&amp;$O1908&amp;"|"&amp;$P1908&amp;"|"&amp;$Q1908&amp;"|"&amp;$K1908,PARAMETRES!$J$43:$J$342,0))="","",INDEX(PARAMETRES!$H$43:$H$342,MATCH($L1908&amp;"|"&amp;$M1908&amp;"|"&amp;$N1908&amp;"|"&amp;$O1908&amp;"|"&amp;$P1908&amp;"|"&amp;$Q1908&amp;"|"&amp;$K1908,PARAMETRES!$J$43:$J$342,0))),""))</f>
        <v/>
      </c>
      <c r="S1908" s="35">
        <f>IF(OR($G1908="",$X1908&lt;&gt;"VALIDE"),"",IFERROR(LOOKUP(2,1/(($B1008:$B1907=$B1908)*($G1008:$G1907=$G1908)*($X1008:$X1907="VALIDE")),$C1008:$C1907),""))</f>
        <v/>
      </c>
      <c r="T1908" s="36">
        <f>IF(OR($C1908="",$S1908=""),"",ROUND(($C1908-$S1908+IF($C1908&lt;$S1908,1,0))*1440,0))</f>
        <v/>
      </c>
      <c r="U1908" s="22">
        <f>IF(OR($H1908="",$T1908="",$T1908&lt;=0),"",$H1908*60/$T1908)</f>
        <v/>
      </c>
      <c r="V1908" s="37">
        <f>IF(OR($U1908="",$R1908="",$R1908=0),"",$U1908/$R1908)</f>
        <v/>
      </c>
      <c r="W1908" s="20">
        <f>IF($G1908="","",IF($X1908="CONTEXTE INCOMPLET","CONTEXTE INCOMPLET",IF($X1908="DOUBLON",StatutDoublon,IF($S1908="",StatutInitial,IF($R1908="",StatutStandardManquant,IF($V1908="","DONNEES INSUFFISANTES",IF($V1908&gt;=SeuilConforme,StatutConforme,IF($V1908&gt;=SeuilSurveiller,StatutSurveiller,StatutSousStandard))))))))</f>
        <v/>
      </c>
      <c r="X1908" s="33">
        <f>IF($G1908="","",IF(OR($D1908="",$E1908="",$F1908=""),"CONTEXTE INCOMPLET",IF(COUNTIFS($D1008:$D1907,$D1908,$E1008:$E1907,$E1908,$F1008:$F1907,$F1908,$G1008:$G1907,$G1908)&gt;0,"DOUBLON","VALIDE")))</f>
        <v/>
      </c>
    </row>
    <row r="1909" ht="15" customHeight="1">
      <c r="A1909" s="12">
        <f>IF(OR($B1909="",$G1909=""),"",TEXT($B1909,"YYYYMMDD")&amp;"-"&amp;SUBSTITUTE($E1909," ","")&amp;"-"&amp;$F1909&amp;"-"&amp;$G1909)</f>
        <v/>
      </c>
      <c r="B1909" s="15" t="n"/>
      <c r="C1909" s="16" t="n"/>
      <c r="D1909" s="10" t="n"/>
      <c r="E1909" s="9" t="n"/>
      <c r="F1909" s="9" t="n"/>
      <c r="G1909" s="13" t="n"/>
      <c r="H1909" s="21" t="n"/>
      <c r="I1909" s="21" t="n"/>
      <c r="J1909" s="17">
        <f>IF($G1909="","",IFERROR(INDEX(NomsEmployes,MATCH($G1909,MatriculesEmployes,0)),"MATRICULE INCONNU"))</f>
        <v/>
      </c>
      <c r="K1909" s="33">
        <f>IF(OR($D1909="",$F1909=""),"",IFERROR(IF(INDEX(RUNS!$L$6:$S$1005,MATCH($D1909,RUNS!$A$6:$A$1005,0),MATCH("ACTIVITÉ "&amp;$F1909,RUNS!$L$5:$S$5,0))="","",INDEX(RUNS!$L$6:$S$1005,MATCH($D1909,RUNS!$A$6:$A$1005,0),MATCH("ACTIVITÉ "&amp;$F1909,RUNS!$L$5:$S$5,0))),""))</f>
        <v/>
      </c>
      <c r="L1909" s="33">
        <f>IF($D1909="","",IFERROR(IF(INDEX(RUNS!$E$6:$E$1005,MATCH($D1909,RUNS!$A$6:$A$1005,0))="","",INDEX(RUNS!$E$6:$E$1005,MATCH($D1909,RUNS!$A$6:$A$1005,0))),""))</f>
        <v/>
      </c>
      <c r="M1909" s="33">
        <f>IF($D1909="","",IFERROR(IF(INDEX(RUNS!$F$6:$F$1005,MATCH($D1909,RUNS!$A$6:$A$1005,0))="","",INDEX(RUNS!$F$6:$F$1005,MATCH($D1909,RUNS!$A$6:$A$1005,0))),""))</f>
        <v/>
      </c>
      <c r="N1909" s="33">
        <f>IF($D1909="","",IFERROR(IF(INDEX(RUNS!$G$6:$G$1005,MATCH($D1909,RUNS!$A$6:$A$1005,0))="","",INDEX(RUNS!$G$6:$G$1005,MATCH($D1909,RUNS!$A$6:$A$1005,0))),""))</f>
        <v/>
      </c>
      <c r="O1909" s="33">
        <f>IF($D1909="","",IFERROR(IF(INDEX(RUNS!$H$6:$H$1005,MATCH($D1909,RUNS!$A$6:$A$1005,0))="","",INDEX(RUNS!$H$6:$H$1005,MATCH($D1909,RUNS!$A$6:$A$1005,0))),""))</f>
        <v/>
      </c>
      <c r="P1909" s="33">
        <f>IF($D1909="","",IFERROR(IF(INDEX(RUNS!$J$6:$J$1005,MATCH($D1909,RUNS!$A$6:$A$1005,0))="","",INDEX(RUNS!$J$6:$J$1005,MATCH($D1909,RUNS!$A$6:$A$1005,0))),""))</f>
        <v/>
      </c>
      <c r="Q1909" s="33">
        <f>IF($D1909="","",IFERROR(IF(INDEX(RUNS!$K$6:$K$1005,MATCH($D1909,RUNS!$A$6:$A$1005,0))="","",INDEX(RUNS!$K$6:$K$1005,MATCH($D1909,RUNS!$A$6:$A$1005,0))),""))</f>
        <v/>
      </c>
      <c r="R1909" s="34">
        <f>IF(OR($L1909="",$K1909=""),"",IFERROR(IF(INDEX(PARAMETRES!$H$43:$H$342,MATCH($L1909&amp;"|"&amp;$M1909&amp;"|"&amp;$N1909&amp;"|"&amp;$O1909&amp;"|"&amp;$P1909&amp;"|"&amp;$Q1909&amp;"|"&amp;$K1909,PARAMETRES!$J$43:$J$342,0))="","",INDEX(PARAMETRES!$H$43:$H$342,MATCH($L1909&amp;"|"&amp;$M1909&amp;"|"&amp;$N1909&amp;"|"&amp;$O1909&amp;"|"&amp;$P1909&amp;"|"&amp;$Q1909&amp;"|"&amp;$K1909,PARAMETRES!$J$43:$J$342,0))),""))</f>
        <v/>
      </c>
      <c r="S1909" s="35">
        <f>IF(OR($G1909="",$X1909&lt;&gt;"VALIDE"),"",IFERROR(LOOKUP(2,1/(($B1009:$B1908=$B1909)*($G1009:$G1908=$G1909)*($X1009:$X1908="VALIDE")),$C1009:$C1908),""))</f>
        <v/>
      </c>
      <c r="T1909" s="36">
        <f>IF(OR($C1909="",$S1909=""),"",ROUND(($C1909-$S1909+IF($C1909&lt;$S1909,1,0))*1440,0))</f>
        <v/>
      </c>
      <c r="U1909" s="22">
        <f>IF(OR($H1909="",$T1909="",$T1909&lt;=0),"",$H1909*60/$T1909)</f>
        <v/>
      </c>
      <c r="V1909" s="37">
        <f>IF(OR($U1909="",$R1909="",$R1909=0),"",$U1909/$R1909)</f>
        <v/>
      </c>
      <c r="W1909" s="20">
        <f>IF($G1909="","",IF($X1909="CONTEXTE INCOMPLET","CONTEXTE INCOMPLET",IF($X1909="DOUBLON",StatutDoublon,IF($S1909="",StatutInitial,IF($R1909="",StatutStandardManquant,IF($V1909="","DONNEES INSUFFISANTES",IF($V1909&gt;=SeuilConforme,StatutConforme,IF($V1909&gt;=SeuilSurveiller,StatutSurveiller,StatutSousStandard))))))))</f>
        <v/>
      </c>
      <c r="X1909" s="33">
        <f>IF($G1909="","",IF(OR($D1909="",$E1909="",$F1909=""),"CONTEXTE INCOMPLET",IF(COUNTIFS($D1009:$D1908,$D1909,$E1009:$E1908,$E1909,$F1009:$F1908,$F1909,$G1009:$G1908,$G1909)&gt;0,"DOUBLON","VALIDE")))</f>
        <v/>
      </c>
    </row>
    <row r="1910" ht="15" customHeight="1">
      <c r="A1910" s="12">
        <f>IF(OR($B1910="",$G1910=""),"",TEXT($B1910,"YYYYMMDD")&amp;"-"&amp;SUBSTITUTE($E1910," ","")&amp;"-"&amp;$F1910&amp;"-"&amp;$G1910)</f>
        <v/>
      </c>
      <c r="B1910" s="15" t="n"/>
      <c r="C1910" s="16" t="n"/>
      <c r="D1910" s="10" t="n"/>
      <c r="E1910" s="9" t="n"/>
      <c r="F1910" s="9" t="n"/>
      <c r="G1910" s="13" t="n"/>
      <c r="H1910" s="21" t="n"/>
      <c r="I1910" s="21" t="n"/>
      <c r="J1910" s="17">
        <f>IF($G1910="","",IFERROR(INDEX(NomsEmployes,MATCH($G1910,MatriculesEmployes,0)),"MATRICULE INCONNU"))</f>
        <v/>
      </c>
      <c r="K1910" s="33">
        <f>IF(OR($D1910="",$F1910=""),"",IFERROR(IF(INDEX(RUNS!$L$6:$S$1005,MATCH($D1910,RUNS!$A$6:$A$1005,0),MATCH("ACTIVITÉ "&amp;$F1910,RUNS!$L$5:$S$5,0))="","",INDEX(RUNS!$L$6:$S$1005,MATCH($D1910,RUNS!$A$6:$A$1005,0),MATCH("ACTIVITÉ "&amp;$F1910,RUNS!$L$5:$S$5,0))),""))</f>
        <v/>
      </c>
      <c r="L1910" s="33">
        <f>IF($D1910="","",IFERROR(IF(INDEX(RUNS!$E$6:$E$1005,MATCH($D1910,RUNS!$A$6:$A$1005,0))="","",INDEX(RUNS!$E$6:$E$1005,MATCH($D1910,RUNS!$A$6:$A$1005,0))),""))</f>
        <v/>
      </c>
      <c r="M1910" s="33">
        <f>IF($D1910="","",IFERROR(IF(INDEX(RUNS!$F$6:$F$1005,MATCH($D1910,RUNS!$A$6:$A$1005,0))="","",INDEX(RUNS!$F$6:$F$1005,MATCH($D1910,RUNS!$A$6:$A$1005,0))),""))</f>
        <v/>
      </c>
      <c r="N1910" s="33">
        <f>IF($D1910="","",IFERROR(IF(INDEX(RUNS!$G$6:$G$1005,MATCH($D1910,RUNS!$A$6:$A$1005,0))="","",INDEX(RUNS!$G$6:$G$1005,MATCH($D1910,RUNS!$A$6:$A$1005,0))),""))</f>
        <v/>
      </c>
      <c r="O1910" s="33">
        <f>IF($D1910="","",IFERROR(IF(INDEX(RUNS!$H$6:$H$1005,MATCH($D1910,RUNS!$A$6:$A$1005,0))="","",INDEX(RUNS!$H$6:$H$1005,MATCH($D1910,RUNS!$A$6:$A$1005,0))),""))</f>
        <v/>
      </c>
      <c r="P1910" s="33">
        <f>IF($D1910="","",IFERROR(IF(INDEX(RUNS!$J$6:$J$1005,MATCH($D1910,RUNS!$A$6:$A$1005,0))="","",INDEX(RUNS!$J$6:$J$1005,MATCH($D1910,RUNS!$A$6:$A$1005,0))),""))</f>
        <v/>
      </c>
      <c r="Q1910" s="33">
        <f>IF($D1910="","",IFERROR(IF(INDEX(RUNS!$K$6:$K$1005,MATCH($D1910,RUNS!$A$6:$A$1005,0))="","",INDEX(RUNS!$K$6:$K$1005,MATCH($D1910,RUNS!$A$6:$A$1005,0))),""))</f>
        <v/>
      </c>
      <c r="R1910" s="34">
        <f>IF(OR($L1910="",$K1910=""),"",IFERROR(IF(INDEX(PARAMETRES!$H$43:$H$342,MATCH($L1910&amp;"|"&amp;$M1910&amp;"|"&amp;$N1910&amp;"|"&amp;$O1910&amp;"|"&amp;$P1910&amp;"|"&amp;$Q1910&amp;"|"&amp;$K1910,PARAMETRES!$J$43:$J$342,0))="","",INDEX(PARAMETRES!$H$43:$H$342,MATCH($L1910&amp;"|"&amp;$M1910&amp;"|"&amp;$N1910&amp;"|"&amp;$O1910&amp;"|"&amp;$P1910&amp;"|"&amp;$Q1910&amp;"|"&amp;$K1910,PARAMETRES!$J$43:$J$342,0))),""))</f>
        <v/>
      </c>
      <c r="S1910" s="35">
        <f>IF(OR($G1910="",$X1910&lt;&gt;"VALIDE"),"",IFERROR(LOOKUP(2,1/(($B1010:$B1909=$B1910)*($G1010:$G1909=$G1910)*($X1010:$X1909="VALIDE")),$C1010:$C1909),""))</f>
        <v/>
      </c>
      <c r="T1910" s="36">
        <f>IF(OR($C1910="",$S1910=""),"",ROUND(($C1910-$S1910+IF($C1910&lt;$S1910,1,0))*1440,0))</f>
        <v/>
      </c>
      <c r="U1910" s="22">
        <f>IF(OR($H1910="",$T1910="",$T1910&lt;=0),"",$H1910*60/$T1910)</f>
        <v/>
      </c>
      <c r="V1910" s="37">
        <f>IF(OR($U1910="",$R1910="",$R1910=0),"",$U1910/$R1910)</f>
        <v/>
      </c>
      <c r="W1910" s="20">
        <f>IF($G1910="","",IF($X1910="CONTEXTE INCOMPLET","CONTEXTE INCOMPLET",IF($X1910="DOUBLON",StatutDoublon,IF($S1910="",StatutInitial,IF($R1910="",StatutStandardManquant,IF($V1910="","DONNEES INSUFFISANTES",IF($V1910&gt;=SeuilConforme,StatutConforme,IF($V1910&gt;=SeuilSurveiller,StatutSurveiller,StatutSousStandard))))))))</f>
        <v/>
      </c>
      <c r="X1910" s="33">
        <f>IF($G1910="","",IF(OR($D1910="",$E1910="",$F1910=""),"CONTEXTE INCOMPLET",IF(COUNTIFS($D1010:$D1909,$D1910,$E1010:$E1909,$E1910,$F1010:$F1909,$F1910,$G1010:$G1909,$G1910)&gt;0,"DOUBLON","VALIDE")))</f>
        <v/>
      </c>
    </row>
    <row r="1911" ht="15" customHeight="1">
      <c r="A1911" s="12">
        <f>IF(OR($B1911="",$G1911=""),"",TEXT($B1911,"YYYYMMDD")&amp;"-"&amp;SUBSTITUTE($E1911," ","")&amp;"-"&amp;$F1911&amp;"-"&amp;$G1911)</f>
        <v/>
      </c>
      <c r="B1911" s="15" t="n"/>
      <c r="C1911" s="16" t="n"/>
      <c r="D1911" s="10" t="n"/>
      <c r="E1911" s="9" t="n"/>
      <c r="F1911" s="9" t="n"/>
      <c r="G1911" s="13" t="n"/>
      <c r="H1911" s="21" t="n"/>
      <c r="I1911" s="21" t="n"/>
      <c r="J1911" s="17">
        <f>IF($G1911="","",IFERROR(INDEX(NomsEmployes,MATCH($G1911,MatriculesEmployes,0)),"MATRICULE INCONNU"))</f>
        <v/>
      </c>
      <c r="K1911" s="33">
        <f>IF(OR($D1911="",$F1911=""),"",IFERROR(IF(INDEX(RUNS!$L$6:$S$1005,MATCH($D1911,RUNS!$A$6:$A$1005,0),MATCH("ACTIVITÉ "&amp;$F1911,RUNS!$L$5:$S$5,0))="","",INDEX(RUNS!$L$6:$S$1005,MATCH($D1911,RUNS!$A$6:$A$1005,0),MATCH("ACTIVITÉ "&amp;$F1911,RUNS!$L$5:$S$5,0))),""))</f>
        <v/>
      </c>
      <c r="L1911" s="33">
        <f>IF($D1911="","",IFERROR(IF(INDEX(RUNS!$E$6:$E$1005,MATCH($D1911,RUNS!$A$6:$A$1005,0))="","",INDEX(RUNS!$E$6:$E$1005,MATCH($D1911,RUNS!$A$6:$A$1005,0))),""))</f>
        <v/>
      </c>
      <c r="M1911" s="33">
        <f>IF($D1911="","",IFERROR(IF(INDEX(RUNS!$F$6:$F$1005,MATCH($D1911,RUNS!$A$6:$A$1005,0))="","",INDEX(RUNS!$F$6:$F$1005,MATCH($D1911,RUNS!$A$6:$A$1005,0))),""))</f>
        <v/>
      </c>
      <c r="N1911" s="33">
        <f>IF($D1911="","",IFERROR(IF(INDEX(RUNS!$G$6:$G$1005,MATCH($D1911,RUNS!$A$6:$A$1005,0))="","",INDEX(RUNS!$G$6:$G$1005,MATCH($D1911,RUNS!$A$6:$A$1005,0))),""))</f>
        <v/>
      </c>
      <c r="O1911" s="33">
        <f>IF($D1911="","",IFERROR(IF(INDEX(RUNS!$H$6:$H$1005,MATCH($D1911,RUNS!$A$6:$A$1005,0))="","",INDEX(RUNS!$H$6:$H$1005,MATCH($D1911,RUNS!$A$6:$A$1005,0))),""))</f>
        <v/>
      </c>
      <c r="P1911" s="33">
        <f>IF($D1911="","",IFERROR(IF(INDEX(RUNS!$J$6:$J$1005,MATCH($D1911,RUNS!$A$6:$A$1005,0))="","",INDEX(RUNS!$J$6:$J$1005,MATCH($D1911,RUNS!$A$6:$A$1005,0))),""))</f>
        <v/>
      </c>
      <c r="Q1911" s="33">
        <f>IF($D1911="","",IFERROR(IF(INDEX(RUNS!$K$6:$K$1005,MATCH($D1911,RUNS!$A$6:$A$1005,0))="","",INDEX(RUNS!$K$6:$K$1005,MATCH($D1911,RUNS!$A$6:$A$1005,0))),""))</f>
        <v/>
      </c>
      <c r="R1911" s="34">
        <f>IF(OR($L1911="",$K1911=""),"",IFERROR(IF(INDEX(PARAMETRES!$H$43:$H$342,MATCH($L1911&amp;"|"&amp;$M1911&amp;"|"&amp;$N1911&amp;"|"&amp;$O1911&amp;"|"&amp;$P1911&amp;"|"&amp;$Q1911&amp;"|"&amp;$K1911,PARAMETRES!$J$43:$J$342,0))="","",INDEX(PARAMETRES!$H$43:$H$342,MATCH($L1911&amp;"|"&amp;$M1911&amp;"|"&amp;$N1911&amp;"|"&amp;$O1911&amp;"|"&amp;$P1911&amp;"|"&amp;$Q1911&amp;"|"&amp;$K1911,PARAMETRES!$J$43:$J$342,0))),""))</f>
        <v/>
      </c>
      <c r="S1911" s="35">
        <f>IF(OR($G1911="",$X1911&lt;&gt;"VALIDE"),"",IFERROR(LOOKUP(2,1/(($B1011:$B1910=$B1911)*($G1011:$G1910=$G1911)*($X1011:$X1910="VALIDE")),$C1011:$C1910),""))</f>
        <v/>
      </c>
      <c r="T1911" s="36">
        <f>IF(OR($C1911="",$S1911=""),"",ROUND(($C1911-$S1911+IF($C1911&lt;$S1911,1,0))*1440,0))</f>
        <v/>
      </c>
      <c r="U1911" s="22">
        <f>IF(OR($H1911="",$T1911="",$T1911&lt;=0),"",$H1911*60/$T1911)</f>
        <v/>
      </c>
      <c r="V1911" s="37">
        <f>IF(OR($U1911="",$R1911="",$R1911=0),"",$U1911/$R1911)</f>
        <v/>
      </c>
      <c r="W1911" s="20">
        <f>IF($G1911="","",IF($X1911="CONTEXTE INCOMPLET","CONTEXTE INCOMPLET",IF($X1911="DOUBLON",StatutDoublon,IF($S1911="",StatutInitial,IF($R1911="",StatutStandardManquant,IF($V1911="","DONNEES INSUFFISANTES",IF($V1911&gt;=SeuilConforme,StatutConforme,IF($V1911&gt;=SeuilSurveiller,StatutSurveiller,StatutSousStandard))))))))</f>
        <v/>
      </c>
      <c r="X1911" s="33">
        <f>IF($G1911="","",IF(OR($D1911="",$E1911="",$F1911=""),"CONTEXTE INCOMPLET",IF(COUNTIFS($D1011:$D1910,$D1911,$E1011:$E1910,$E1911,$F1011:$F1910,$F1911,$G1011:$G1910,$G1911)&gt;0,"DOUBLON","VALIDE")))</f>
        <v/>
      </c>
    </row>
    <row r="1912" ht="15" customHeight="1">
      <c r="A1912" s="12">
        <f>IF(OR($B1912="",$G1912=""),"",TEXT($B1912,"YYYYMMDD")&amp;"-"&amp;SUBSTITUTE($E1912," ","")&amp;"-"&amp;$F1912&amp;"-"&amp;$G1912)</f>
        <v/>
      </c>
      <c r="B1912" s="15" t="n"/>
      <c r="C1912" s="16" t="n"/>
      <c r="D1912" s="10" t="n"/>
      <c r="E1912" s="9" t="n"/>
      <c r="F1912" s="9" t="n"/>
      <c r="G1912" s="13" t="n"/>
      <c r="H1912" s="21" t="n"/>
      <c r="I1912" s="21" t="n"/>
      <c r="J1912" s="17">
        <f>IF($G1912="","",IFERROR(INDEX(NomsEmployes,MATCH($G1912,MatriculesEmployes,0)),"MATRICULE INCONNU"))</f>
        <v/>
      </c>
      <c r="K1912" s="33">
        <f>IF(OR($D1912="",$F1912=""),"",IFERROR(IF(INDEX(RUNS!$L$6:$S$1005,MATCH($D1912,RUNS!$A$6:$A$1005,0),MATCH("ACTIVITÉ "&amp;$F1912,RUNS!$L$5:$S$5,0))="","",INDEX(RUNS!$L$6:$S$1005,MATCH($D1912,RUNS!$A$6:$A$1005,0),MATCH("ACTIVITÉ "&amp;$F1912,RUNS!$L$5:$S$5,0))),""))</f>
        <v/>
      </c>
      <c r="L1912" s="33">
        <f>IF($D1912="","",IFERROR(IF(INDEX(RUNS!$E$6:$E$1005,MATCH($D1912,RUNS!$A$6:$A$1005,0))="","",INDEX(RUNS!$E$6:$E$1005,MATCH($D1912,RUNS!$A$6:$A$1005,0))),""))</f>
        <v/>
      </c>
      <c r="M1912" s="33">
        <f>IF($D1912="","",IFERROR(IF(INDEX(RUNS!$F$6:$F$1005,MATCH($D1912,RUNS!$A$6:$A$1005,0))="","",INDEX(RUNS!$F$6:$F$1005,MATCH($D1912,RUNS!$A$6:$A$1005,0))),""))</f>
        <v/>
      </c>
      <c r="N1912" s="33">
        <f>IF($D1912="","",IFERROR(IF(INDEX(RUNS!$G$6:$G$1005,MATCH($D1912,RUNS!$A$6:$A$1005,0))="","",INDEX(RUNS!$G$6:$G$1005,MATCH($D1912,RUNS!$A$6:$A$1005,0))),""))</f>
        <v/>
      </c>
      <c r="O1912" s="33">
        <f>IF($D1912="","",IFERROR(IF(INDEX(RUNS!$H$6:$H$1005,MATCH($D1912,RUNS!$A$6:$A$1005,0))="","",INDEX(RUNS!$H$6:$H$1005,MATCH($D1912,RUNS!$A$6:$A$1005,0))),""))</f>
        <v/>
      </c>
      <c r="P1912" s="33">
        <f>IF($D1912="","",IFERROR(IF(INDEX(RUNS!$J$6:$J$1005,MATCH($D1912,RUNS!$A$6:$A$1005,0))="","",INDEX(RUNS!$J$6:$J$1005,MATCH($D1912,RUNS!$A$6:$A$1005,0))),""))</f>
        <v/>
      </c>
      <c r="Q1912" s="33">
        <f>IF($D1912="","",IFERROR(IF(INDEX(RUNS!$K$6:$K$1005,MATCH($D1912,RUNS!$A$6:$A$1005,0))="","",INDEX(RUNS!$K$6:$K$1005,MATCH($D1912,RUNS!$A$6:$A$1005,0))),""))</f>
        <v/>
      </c>
      <c r="R1912" s="34">
        <f>IF(OR($L1912="",$K1912=""),"",IFERROR(IF(INDEX(PARAMETRES!$H$43:$H$342,MATCH($L1912&amp;"|"&amp;$M1912&amp;"|"&amp;$N1912&amp;"|"&amp;$O1912&amp;"|"&amp;$P1912&amp;"|"&amp;$Q1912&amp;"|"&amp;$K1912,PARAMETRES!$J$43:$J$342,0))="","",INDEX(PARAMETRES!$H$43:$H$342,MATCH($L1912&amp;"|"&amp;$M1912&amp;"|"&amp;$N1912&amp;"|"&amp;$O1912&amp;"|"&amp;$P1912&amp;"|"&amp;$Q1912&amp;"|"&amp;$K1912,PARAMETRES!$J$43:$J$342,0))),""))</f>
        <v/>
      </c>
      <c r="S1912" s="35">
        <f>IF(OR($G1912="",$X1912&lt;&gt;"VALIDE"),"",IFERROR(LOOKUP(2,1/(($B1012:$B1911=$B1912)*($G1012:$G1911=$G1912)*($X1012:$X1911="VALIDE")),$C1012:$C1911),""))</f>
        <v/>
      </c>
      <c r="T1912" s="36">
        <f>IF(OR($C1912="",$S1912=""),"",ROUND(($C1912-$S1912+IF($C1912&lt;$S1912,1,0))*1440,0))</f>
        <v/>
      </c>
      <c r="U1912" s="22">
        <f>IF(OR($H1912="",$T1912="",$T1912&lt;=0),"",$H1912*60/$T1912)</f>
        <v/>
      </c>
      <c r="V1912" s="37">
        <f>IF(OR($U1912="",$R1912="",$R1912=0),"",$U1912/$R1912)</f>
        <v/>
      </c>
      <c r="W1912" s="20">
        <f>IF($G1912="","",IF($X1912="CONTEXTE INCOMPLET","CONTEXTE INCOMPLET",IF($X1912="DOUBLON",StatutDoublon,IF($S1912="",StatutInitial,IF($R1912="",StatutStandardManquant,IF($V1912="","DONNEES INSUFFISANTES",IF($V1912&gt;=SeuilConforme,StatutConforme,IF($V1912&gt;=SeuilSurveiller,StatutSurveiller,StatutSousStandard))))))))</f>
        <v/>
      </c>
      <c r="X1912" s="33">
        <f>IF($G1912="","",IF(OR($D1912="",$E1912="",$F1912=""),"CONTEXTE INCOMPLET",IF(COUNTIFS($D1012:$D1911,$D1912,$E1012:$E1911,$E1912,$F1012:$F1911,$F1912,$G1012:$G1911,$G1912)&gt;0,"DOUBLON","VALIDE")))</f>
        <v/>
      </c>
    </row>
    <row r="1913" ht="15" customHeight="1">
      <c r="A1913" s="12">
        <f>IF(OR($B1913="",$G1913=""),"",TEXT($B1913,"YYYYMMDD")&amp;"-"&amp;SUBSTITUTE($E1913," ","")&amp;"-"&amp;$F1913&amp;"-"&amp;$G1913)</f>
        <v/>
      </c>
      <c r="B1913" s="15" t="n"/>
      <c r="C1913" s="16" t="n"/>
      <c r="D1913" s="10" t="n"/>
      <c r="E1913" s="9" t="n"/>
      <c r="F1913" s="9" t="n"/>
      <c r="G1913" s="13" t="n"/>
      <c r="H1913" s="21" t="n"/>
      <c r="I1913" s="21" t="n"/>
      <c r="J1913" s="17">
        <f>IF($G1913="","",IFERROR(INDEX(NomsEmployes,MATCH($G1913,MatriculesEmployes,0)),"MATRICULE INCONNU"))</f>
        <v/>
      </c>
      <c r="K1913" s="33">
        <f>IF(OR($D1913="",$F1913=""),"",IFERROR(IF(INDEX(RUNS!$L$6:$S$1005,MATCH($D1913,RUNS!$A$6:$A$1005,0),MATCH("ACTIVITÉ "&amp;$F1913,RUNS!$L$5:$S$5,0))="","",INDEX(RUNS!$L$6:$S$1005,MATCH($D1913,RUNS!$A$6:$A$1005,0),MATCH("ACTIVITÉ "&amp;$F1913,RUNS!$L$5:$S$5,0))),""))</f>
        <v/>
      </c>
      <c r="L1913" s="33">
        <f>IF($D1913="","",IFERROR(IF(INDEX(RUNS!$E$6:$E$1005,MATCH($D1913,RUNS!$A$6:$A$1005,0))="","",INDEX(RUNS!$E$6:$E$1005,MATCH($D1913,RUNS!$A$6:$A$1005,0))),""))</f>
        <v/>
      </c>
      <c r="M1913" s="33">
        <f>IF($D1913="","",IFERROR(IF(INDEX(RUNS!$F$6:$F$1005,MATCH($D1913,RUNS!$A$6:$A$1005,0))="","",INDEX(RUNS!$F$6:$F$1005,MATCH($D1913,RUNS!$A$6:$A$1005,0))),""))</f>
        <v/>
      </c>
      <c r="N1913" s="33">
        <f>IF($D1913="","",IFERROR(IF(INDEX(RUNS!$G$6:$G$1005,MATCH($D1913,RUNS!$A$6:$A$1005,0))="","",INDEX(RUNS!$G$6:$G$1005,MATCH($D1913,RUNS!$A$6:$A$1005,0))),""))</f>
        <v/>
      </c>
      <c r="O1913" s="33">
        <f>IF($D1913="","",IFERROR(IF(INDEX(RUNS!$H$6:$H$1005,MATCH($D1913,RUNS!$A$6:$A$1005,0))="","",INDEX(RUNS!$H$6:$H$1005,MATCH($D1913,RUNS!$A$6:$A$1005,0))),""))</f>
        <v/>
      </c>
      <c r="P1913" s="33">
        <f>IF($D1913="","",IFERROR(IF(INDEX(RUNS!$J$6:$J$1005,MATCH($D1913,RUNS!$A$6:$A$1005,0))="","",INDEX(RUNS!$J$6:$J$1005,MATCH($D1913,RUNS!$A$6:$A$1005,0))),""))</f>
        <v/>
      </c>
      <c r="Q1913" s="33">
        <f>IF($D1913="","",IFERROR(IF(INDEX(RUNS!$K$6:$K$1005,MATCH($D1913,RUNS!$A$6:$A$1005,0))="","",INDEX(RUNS!$K$6:$K$1005,MATCH($D1913,RUNS!$A$6:$A$1005,0))),""))</f>
        <v/>
      </c>
      <c r="R1913" s="34">
        <f>IF(OR($L1913="",$K1913=""),"",IFERROR(IF(INDEX(PARAMETRES!$H$43:$H$342,MATCH($L1913&amp;"|"&amp;$M1913&amp;"|"&amp;$N1913&amp;"|"&amp;$O1913&amp;"|"&amp;$P1913&amp;"|"&amp;$Q1913&amp;"|"&amp;$K1913,PARAMETRES!$J$43:$J$342,0))="","",INDEX(PARAMETRES!$H$43:$H$342,MATCH($L1913&amp;"|"&amp;$M1913&amp;"|"&amp;$N1913&amp;"|"&amp;$O1913&amp;"|"&amp;$P1913&amp;"|"&amp;$Q1913&amp;"|"&amp;$K1913,PARAMETRES!$J$43:$J$342,0))),""))</f>
        <v/>
      </c>
      <c r="S1913" s="35">
        <f>IF(OR($G1913="",$X1913&lt;&gt;"VALIDE"),"",IFERROR(LOOKUP(2,1/(($B1013:$B1912=$B1913)*($G1013:$G1912=$G1913)*($X1013:$X1912="VALIDE")),$C1013:$C1912),""))</f>
        <v/>
      </c>
      <c r="T1913" s="36">
        <f>IF(OR($C1913="",$S1913=""),"",ROUND(($C1913-$S1913+IF($C1913&lt;$S1913,1,0))*1440,0))</f>
        <v/>
      </c>
      <c r="U1913" s="22">
        <f>IF(OR($H1913="",$T1913="",$T1913&lt;=0),"",$H1913*60/$T1913)</f>
        <v/>
      </c>
      <c r="V1913" s="37">
        <f>IF(OR($U1913="",$R1913="",$R1913=0),"",$U1913/$R1913)</f>
        <v/>
      </c>
      <c r="W1913" s="20">
        <f>IF($G1913="","",IF($X1913="CONTEXTE INCOMPLET","CONTEXTE INCOMPLET",IF($X1913="DOUBLON",StatutDoublon,IF($S1913="",StatutInitial,IF($R1913="",StatutStandardManquant,IF($V1913="","DONNEES INSUFFISANTES",IF($V1913&gt;=SeuilConforme,StatutConforme,IF($V1913&gt;=SeuilSurveiller,StatutSurveiller,StatutSousStandard))))))))</f>
        <v/>
      </c>
      <c r="X1913" s="33">
        <f>IF($G1913="","",IF(OR($D1913="",$E1913="",$F1913=""),"CONTEXTE INCOMPLET",IF(COUNTIFS($D1013:$D1912,$D1913,$E1013:$E1912,$E1913,$F1013:$F1912,$F1913,$G1013:$G1912,$G1913)&gt;0,"DOUBLON","VALIDE")))</f>
        <v/>
      </c>
    </row>
    <row r="1914" ht="15" customHeight="1">
      <c r="A1914" s="12">
        <f>IF(OR($B1914="",$G1914=""),"",TEXT($B1914,"YYYYMMDD")&amp;"-"&amp;SUBSTITUTE($E1914," ","")&amp;"-"&amp;$F1914&amp;"-"&amp;$G1914)</f>
        <v/>
      </c>
      <c r="B1914" s="15" t="n"/>
      <c r="C1914" s="16" t="n"/>
      <c r="D1914" s="10" t="n"/>
      <c r="E1914" s="9" t="n"/>
      <c r="F1914" s="9" t="n"/>
      <c r="G1914" s="13" t="n"/>
      <c r="H1914" s="21" t="n"/>
      <c r="I1914" s="21" t="n"/>
      <c r="J1914" s="17">
        <f>IF($G1914="","",IFERROR(INDEX(NomsEmployes,MATCH($G1914,MatriculesEmployes,0)),"MATRICULE INCONNU"))</f>
        <v/>
      </c>
      <c r="K1914" s="33">
        <f>IF(OR($D1914="",$F1914=""),"",IFERROR(IF(INDEX(RUNS!$L$6:$S$1005,MATCH($D1914,RUNS!$A$6:$A$1005,0),MATCH("ACTIVITÉ "&amp;$F1914,RUNS!$L$5:$S$5,0))="","",INDEX(RUNS!$L$6:$S$1005,MATCH($D1914,RUNS!$A$6:$A$1005,0),MATCH("ACTIVITÉ "&amp;$F1914,RUNS!$L$5:$S$5,0))),""))</f>
        <v/>
      </c>
      <c r="L1914" s="33">
        <f>IF($D1914="","",IFERROR(IF(INDEX(RUNS!$E$6:$E$1005,MATCH($D1914,RUNS!$A$6:$A$1005,0))="","",INDEX(RUNS!$E$6:$E$1005,MATCH($D1914,RUNS!$A$6:$A$1005,0))),""))</f>
        <v/>
      </c>
      <c r="M1914" s="33">
        <f>IF($D1914="","",IFERROR(IF(INDEX(RUNS!$F$6:$F$1005,MATCH($D1914,RUNS!$A$6:$A$1005,0))="","",INDEX(RUNS!$F$6:$F$1005,MATCH($D1914,RUNS!$A$6:$A$1005,0))),""))</f>
        <v/>
      </c>
      <c r="N1914" s="33">
        <f>IF($D1914="","",IFERROR(IF(INDEX(RUNS!$G$6:$G$1005,MATCH($D1914,RUNS!$A$6:$A$1005,0))="","",INDEX(RUNS!$G$6:$G$1005,MATCH($D1914,RUNS!$A$6:$A$1005,0))),""))</f>
        <v/>
      </c>
      <c r="O1914" s="33">
        <f>IF($D1914="","",IFERROR(IF(INDEX(RUNS!$H$6:$H$1005,MATCH($D1914,RUNS!$A$6:$A$1005,0))="","",INDEX(RUNS!$H$6:$H$1005,MATCH($D1914,RUNS!$A$6:$A$1005,0))),""))</f>
        <v/>
      </c>
      <c r="P1914" s="33">
        <f>IF($D1914="","",IFERROR(IF(INDEX(RUNS!$J$6:$J$1005,MATCH($D1914,RUNS!$A$6:$A$1005,0))="","",INDEX(RUNS!$J$6:$J$1005,MATCH($D1914,RUNS!$A$6:$A$1005,0))),""))</f>
        <v/>
      </c>
      <c r="Q1914" s="33">
        <f>IF($D1914="","",IFERROR(IF(INDEX(RUNS!$K$6:$K$1005,MATCH($D1914,RUNS!$A$6:$A$1005,0))="","",INDEX(RUNS!$K$6:$K$1005,MATCH($D1914,RUNS!$A$6:$A$1005,0))),""))</f>
        <v/>
      </c>
      <c r="R1914" s="34">
        <f>IF(OR($L1914="",$K1914=""),"",IFERROR(IF(INDEX(PARAMETRES!$H$43:$H$342,MATCH($L1914&amp;"|"&amp;$M1914&amp;"|"&amp;$N1914&amp;"|"&amp;$O1914&amp;"|"&amp;$P1914&amp;"|"&amp;$Q1914&amp;"|"&amp;$K1914,PARAMETRES!$J$43:$J$342,0))="","",INDEX(PARAMETRES!$H$43:$H$342,MATCH($L1914&amp;"|"&amp;$M1914&amp;"|"&amp;$N1914&amp;"|"&amp;$O1914&amp;"|"&amp;$P1914&amp;"|"&amp;$Q1914&amp;"|"&amp;$K1914,PARAMETRES!$J$43:$J$342,0))),""))</f>
        <v/>
      </c>
      <c r="S1914" s="35">
        <f>IF(OR($G1914="",$X1914&lt;&gt;"VALIDE"),"",IFERROR(LOOKUP(2,1/(($B1014:$B1913=$B1914)*($G1014:$G1913=$G1914)*($X1014:$X1913="VALIDE")),$C1014:$C1913),""))</f>
        <v/>
      </c>
      <c r="T1914" s="36">
        <f>IF(OR($C1914="",$S1914=""),"",ROUND(($C1914-$S1914+IF($C1914&lt;$S1914,1,0))*1440,0))</f>
        <v/>
      </c>
      <c r="U1914" s="22">
        <f>IF(OR($H1914="",$T1914="",$T1914&lt;=0),"",$H1914*60/$T1914)</f>
        <v/>
      </c>
      <c r="V1914" s="37">
        <f>IF(OR($U1914="",$R1914="",$R1914=0),"",$U1914/$R1914)</f>
        <v/>
      </c>
      <c r="W1914" s="20">
        <f>IF($G1914="","",IF($X1914="CONTEXTE INCOMPLET","CONTEXTE INCOMPLET",IF($X1914="DOUBLON",StatutDoublon,IF($S1914="",StatutInitial,IF($R1914="",StatutStandardManquant,IF($V1914="","DONNEES INSUFFISANTES",IF($V1914&gt;=SeuilConforme,StatutConforme,IF($V1914&gt;=SeuilSurveiller,StatutSurveiller,StatutSousStandard))))))))</f>
        <v/>
      </c>
      <c r="X1914" s="33">
        <f>IF($G1914="","",IF(OR($D1914="",$E1914="",$F1914=""),"CONTEXTE INCOMPLET",IF(COUNTIFS($D1014:$D1913,$D1914,$E1014:$E1913,$E1914,$F1014:$F1913,$F1914,$G1014:$G1913,$G1914)&gt;0,"DOUBLON","VALIDE")))</f>
        <v/>
      </c>
    </row>
    <row r="1915" ht="15" customHeight="1">
      <c r="A1915" s="12">
        <f>IF(OR($B1915="",$G1915=""),"",TEXT($B1915,"YYYYMMDD")&amp;"-"&amp;SUBSTITUTE($E1915," ","")&amp;"-"&amp;$F1915&amp;"-"&amp;$G1915)</f>
        <v/>
      </c>
      <c r="B1915" s="15" t="n"/>
      <c r="C1915" s="16" t="n"/>
      <c r="D1915" s="10" t="n"/>
      <c r="E1915" s="9" t="n"/>
      <c r="F1915" s="9" t="n"/>
      <c r="G1915" s="13" t="n"/>
      <c r="H1915" s="21" t="n"/>
      <c r="I1915" s="21" t="n"/>
      <c r="J1915" s="17">
        <f>IF($G1915="","",IFERROR(INDEX(NomsEmployes,MATCH($G1915,MatriculesEmployes,0)),"MATRICULE INCONNU"))</f>
        <v/>
      </c>
      <c r="K1915" s="33">
        <f>IF(OR($D1915="",$F1915=""),"",IFERROR(IF(INDEX(RUNS!$L$6:$S$1005,MATCH($D1915,RUNS!$A$6:$A$1005,0),MATCH("ACTIVITÉ "&amp;$F1915,RUNS!$L$5:$S$5,0))="","",INDEX(RUNS!$L$6:$S$1005,MATCH($D1915,RUNS!$A$6:$A$1005,0),MATCH("ACTIVITÉ "&amp;$F1915,RUNS!$L$5:$S$5,0))),""))</f>
        <v/>
      </c>
      <c r="L1915" s="33">
        <f>IF($D1915="","",IFERROR(IF(INDEX(RUNS!$E$6:$E$1005,MATCH($D1915,RUNS!$A$6:$A$1005,0))="","",INDEX(RUNS!$E$6:$E$1005,MATCH($D1915,RUNS!$A$6:$A$1005,0))),""))</f>
        <v/>
      </c>
      <c r="M1915" s="33">
        <f>IF($D1915="","",IFERROR(IF(INDEX(RUNS!$F$6:$F$1005,MATCH($D1915,RUNS!$A$6:$A$1005,0))="","",INDEX(RUNS!$F$6:$F$1005,MATCH($D1915,RUNS!$A$6:$A$1005,0))),""))</f>
        <v/>
      </c>
      <c r="N1915" s="33">
        <f>IF($D1915="","",IFERROR(IF(INDEX(RUNS!$G$6:$G$1005,MATCH($D1915,RUNS!$A$6:$A$1005,0))="","",INDEX(RUNS!$G$6:$G$1005,MATCH($D1915,RUNS!$A$6:$A$1005,0))),""))</f>
        <v/>
      </c>
      <c r="O1915" s="33">
        <f>IF($D1915="","",IFERROR(IF(INDEX(RUNS!$H$6:$H$1005,MATCH($D1915,RUNS!$A$6:$A$1005,0))="","",INDEX(RUNS!$H$6:$H$1005,MATCH($D1915,RUNS!$A$6:$A$1005,0))),""))</f>
        <v/>
      </c>
      <c r="P1915" s="33">
        <f>IF($D1915="","",IFERROR(IF(INDEX(RUNS!$J$6:$J$1005,MATCH($D1915,RUNS!$A$6:$A$1005,0))="","",INDEX(RUNS!$J$6:$J$1005,MATCH($D1915,RUNS!$A$6:$A$1005,0))),""))</f>
        <v/>
      </c>
      <c r="Q1915" s="33">
        <f>IF($D1915="","",IFERROR(IF(INDEX(RUNS!$K$6:$K$1005,MATCH($D1915,RUNS!$A$6:$A$1005,0))="","",INDEX(RUNS!$K$6:$K$1005,MATCH($D1915,RUNS!$A$6:$A$1005,0))),""))</f>
        <v/>
      </c>
      <c r="R1915" s="34">
        <f>IF(OR($L1915="",$K1915=""),"",IFERROR(IF(INDEX(PARAMETRES!$H$43:$H$342,MATCH($L1915&amp;"|"&amp;$M1915&amp;"|"&amp;$N1915&amp;"|"&amp;$O1915&amp;"|"&amp;$P1915&amp;"|"&amp;$Q1915&amp;"|"&amp;$K1915,PARAMETRES!$J$43:$J$342,0))="","",INDEX(PARAMETRES!$H$43:$H$342,MATCH($L1915&amp;"|"&amp;$M1915&amp;"|"&amp;$N1915&amp;"|"&amp;$O1915&amp;"|"&amp;$P1915&amp;"|"&amp;$Q1915&amp;"|"&amp;$K1915,PARAMETRES!$J$43:$J$342,0))),""))</f>
        <v/>
      </c>
      <c r="S1915" s="35">
        <f>IF(OR($G1915="",$X1915&lt;&gt;"VALIDE"),"",IFERROR(LOOKUP(2,1/(($B1015:$B1914=$B1915)*($G1015:$G1914=$G1915)*($X1015:$X1914="VALIDE")),$C1015:$C1914),""))</f>
        <v/>
      </c>
      <c r="T1915" s="36">
        <f>IF(OR($C1915="",$S1915=""),"",ROUND(($C1915-$S1915+IF($C1915&lt;$S1915,1,0))*1440,0))</f>
        <v/>
      </c>
      <c r="U1915" s="22">
        <f>IF(OR($H1915="",$T1915="",$T1915&lt;=0),"",$H1915*60/$T1915)</f>
        <v/>
      </c>
      <c r="V1915" s="37">
        <f>IF(OR($U1915="",$R1915="",$R1915=0),"",$U1915/$R1915)</f>
        <v/>
      </c>
      <c r="W1915" s="20">
        <f>IF($G1915="","",IF($X1915="CONTEXTE INCOMPLET","CONTEXTE INCOMPLET",IF($X1915="DOUBLON",StatutDoublon,IF($S1915="",StatutInitial,IF($R1915="",StatutStandardManquant,IF($V1915="","DONNEES INSUFFISANTES",IF($V1915&gt;=SeuilConforme,StatutConforme,IF($V1915&gt;=SeuilSurveiller,StatutSurveiller,StatutSousStandard))))))))</f>
        <v/>
      </c>
      <c r="X1915" s="33">
        <f>IF($G1915="","",IF(OR($D1915="",$E1915="",$F1915=""),"CONTEXTE INCOMPLET",IF(COUNTIFS($D1015:$D1914,$D1915,$E1015:$E1914,$E1915,$F1015:$F1914,$F1915,$G1015:$G1914,$G1915)&gt;0,"DOUBLON","VALIDE")))</f>
        <v/>
      </c>
    </row>
    <row r="1916" ht="15" customHeight="1">
      <c r="A1916" s="12">
        <f>IF(OR($B1916="",$G1916=""),"",TEXT($B1916,"YYYYMMDD")&amp;"-"&amp;SUBSTITUTE($E1916," ","")&amp;"-"&amp;$F1916&amp;"-"&amp;$G1916)</f>
        <v/>
      </c>
      <c r="B1916" s="15" t="n"/>
      <c r="C1916" s="16" t="n"/>
      <c r="D1916" s="10" t="n"/>
      <c r="E1916" s="9" t="n"/>
      <c r="F1916" s="9" t="n"/>
      <c r="G1916" s="13" t="n"/>
      <c r="H1916" s="21" t="n"/>
      <c r="I1916" s="21" t="n"/>
      <c r="J1916" s="17">
        <f>IF($G1916="","",IFERROR(INDEX(NomsEmployes,MATCH($G1916,MatriculesEmployes,0)),"MATRICULE INCONNU"))</f>
        <v/>
      </c>
      <c r="K1916" s="33">
        <f>IF(OR($D1916="",$F1916=""),"",IFERROR(IF(INDEX(RUNS!$L$6:$S$1005,MATCH($D1916,RUNS!$A$6:$A$1005,0),MATCH("ACTIVITÉ "&amp;$F1916,RUNS!$L$5:$S$5,0))="","",INDEX(RUNS!$L$6:$S$1005,MATCH($D1916,RUNS!$A$6:$A$1005,0),MATCH("ACTIVITÉ "&amp;$F1916,RUNS!$L$5:$S$5,0))),""))</f>
        <v/>
      </c>
      <c r="L1916" s="33">
        <f>IF($D1916="","",IFERROR(IF(INDEX(RUNS!$E$6:$E$1005,MATCH($D1916,RUNS!$A$6:$A$1005,0))="","",INDEX(RUNS!$E$6:$E$1005,MATCH($D1916,RUNS!$A$6:$A$1005,0))),""))</f>
        <v/>
      </c>
      <c r="M1916" s="33">
        <f>IF($D1916="","",IFERROR(IF(INDEX(RUNS!$F$6:$F$1005,MATCH($D1916,RUNS!$A$6:$A$1005,0))="","",INDEX(RUNS!$F$6:$F$1005,MATCH($D1916,RUNS!$A$6:$A$1005,0))),""))</f>
        <v/>
      </c>
      <c r="N1916" s="33">
        <f>IF($D1916="","",IFERROR(IF(INDEX(RUNS!$G$6:$G$1005,MATCH($D1916,RUNS!$A$6:$A$1005,0))="","",INDEX(RUNS!$G$6:$G$1005,MATCH($D1916,RUNS!$A$6:$A$1005,0))),""))</f>
        <v/>
      </c>
      <c r="O1916" s="33">
        <f>IF($D1916="","",IFERROR(IF(INDEX(RUNS!$H$6:$H$1005,MATCH($D1916,RUNS!$A$6:$A$1005,0))="","",INDEX(RUNS!$H$6:$H$1005,MATCH($D1916,RUNS!$A$6:$A$1005,0))),""))</f>
        <v/>
      </c>
      <c r="P1916" s="33">
        <f>IF($D1916="","",IFERROR(IF(INDEX(RUNS!$J$6:$J$1005,MATCH($D1916,RUNS!$A$6:$A$1005,0))="","",INDEX(RUNS!$J$6:$J$1005,MATCH($D1916,RUNS!$A$6:$A$1005,0))),""))</f>
        <v/>
      </c>
      <c r="Q1916" s="33">
        <f>IF($D1916="","",IFERROR(IF(INDEX(RUNS!$K$6:$K$1005,MATCH($D1916,RUNS!$A$6:$A$1005,0))="","",INDEX(RUNS!$K$6:$K$1005,MATCH($D1916,RUNS!$A$6:$A$1005,0))),""))</f>
        <v/>
      </c>
      <c r="R1916" s="34">
        <f>IF(OR($L1916="",$K1916=""),"",IFERROR(IF(INDEX(PARAMETRES!$H$43:$H$342,MATCH($L1916&amp;"|"&amp;$M1916&amp;"|"&amp;$N1916&amp;"|"&amp;$O1916&amp;"|"&amp;$P1916&amp;"|"&amp;$Q1916&amp;"|"&amp;$K1916,PARAMETRES!$J$43:$J$342,0))="","",INDEX(PARAMETRES!$H$43:$H$342,MATCH($L1916&amp;"|"&amp;$M1916&amp;"|"&amp;$N1916&amp;"|"&amp;$O1916&amp;"|"&amp;$P1916&amp;"|"&amp;$Q1916&amp;"|"&amp;$K1916,PARAMETRES!$J$43:$J$342,0))),""))</f>
        <v/>
      </c>
      <c r="S1916" s="35">
        <f>IF(OR($G1916="",$X1916&lt;&gt;"VALIDE"),"",IFERROR(LOOKUP(2,1/(($B1016:$B1915=$B1916)*($G1016:$G1915=$G1916)*($X1016:$X1915="VALIDE")),$C1016:$C1915),""))</f>
        <v/>
      </c>
      <c r="T1916" s="36">
        <f>IF(OR($C1916="",$S1916=""),"",ROUND(($C1916-$S1916+IF($C1916&lt;$S1916,1,0))*1440,0))</f>
        <v/>
      </c>
      <c r="U1916" s="22">
        <f>IF(OR($H1916="",$T1916="",$T1916&lt;=0),"",$H1916*60/$T1916)</f>
        <v/>
      </c>
      <c r="V1916" s="37">
        <f>IF(OR($U1916="",$R1916="",$R1916=0),"",$U1916/$R1916)</f>
        <v/>
      </c>
      <c r="W1916" s="20">
        <f>IF($G1916="","",IF($X1916="CONTEXTE INCOMPLET","CONTEXTE INCOMPLET",IF($X1916="DOUBLON",StatutDoublon,IF($S1916="",StatutInitial,IF($R1916="",StatutStandardManquant,IF($V1916="","DONNEES INSUFFISANTES",IF($V1916&gt;=SeuilConforme,StatutConforme,IF($V1916&gt;=SeuilSurveiller,StatutSurveiller,StatutSousStandard))))))))</f>
        <v/>
      </c>
      <c r="X1916" s="33">
        <f>IF($G1916="","",IF(OR($D1916="",$E1916="",$F1916=""),"CONTEXTE INCOMPLET",IF(COUNTIFS($D1016:$D1915,$D1916,$E1016:$E1915,$E1916,$F1016:$F1915,$F1916,$G1016:$G1915,$G1916)&gt;0,"DOUBLON","VALIDE")))</f>
        <v/>
      </c>
    </row>
    <row r="1917" ht="15" customHeight="1">
      <c r="A1917" s="12">
        <f>IF(OR($B1917="",$G1917=""),"",TEXT($B1917,"YYYYMMDD")&amp;"-"&amp;SUBSTITUTE($E1917," ","")&amp;"-"&amp;$F1917&amp;"-"&amp;$G1917)</f>
        <v/>
      </c>
      <c r="B1917" s="15" t="n"/>
      <c r="C1917" s="16" t="n"/>
      <c r="D1917" s="10" t="n"/>
      <c r="E1917" s="9" t="n"/>
      <c r="F1917" s="9" t="n"/>
      <c r="G1917" s="13" t="n"/>
      <c r="H1917" s="21" t="n"/>
      <c r="I1917" s="21" t="n"/>
      <c r="J1917" s="17">
        <f>IF($G1917="","",IFERROR(INDEX(NomsEmployes,MATCH($G1917,MatriculesEmployes,0)),"MATRICULE INCONNU"))</f>
        <v/>
      </c>
      <c r="K1917" s="33">
        <f>IF(OR($D1917="",$F1917=""),"",IFERROR(IF(INDEX(RUNS!$L$6:$S$1005,MATCH($D1917,RUNS!$A$6:$A$1005,0),MATCH("ACTIVITÉ "&amp;$F1917,RUNS!$L$5:$S$5,0))="","",INDEX(RUNS!$L$6:$S$1005,MATCH($D1917,RUNS!$A$6:$A$1005,0),MATCH("ACTIVITÉ "&amp;$F1917,RUNS!$L$5:$S$5,0))),""))</f>
        <v/>
      </c>
      <c r="L1917" s="33">
        <f>IF($D1917="","",IFERROR(IF(INDEX(RUNS!$E$6:$E$1005,MATCH($D1917,RUNS!$A$6:$A$1005,0))="","",INDEX(RUNS!$E$6:$E$1005,MATCH($D1917,RUNS!$A$6:$A$1005,0))),""))</f>
        <v/>
      </c>
      <c r="M1917" s="33">
        <f>IF($D1917="","",IFERROR(IF(INDEX(RUNS!$F$6:$F$1005,MATCH($D1917,RUNS!$A$6:$A$1005,0))="","",INDEX(RUNS!$F$6:$F$1005,MATCH($D1917,RUNS!$A$6:$A$1005,0))),""))</f>
        <v/>
      </c>
      <c r="N1917" s="33">
        <f>IF($D1917="","",IFERROR(IF(INDEX(RUNS!$G$6:$G$1005,MATCH($D1917,RUNS!$A$6:$A$1005,0))="","",INDEX(RUNS!$G$6:$G$1005,MATCH($D1917,RUNS!$A$6:$A$1005,0))),""))</f>
        <v/>
      </c>
      <c r="O1917" s="33">
        <f>IF($D1917="","",IFERROR(IF(INDEX(RUNS!$H$6:$H$1005,MATCH($D1917,RUNS!$A$6:$A$1005,0))="","",INDEX(RUNS!$H$6:$H$1005,MATCH($D1917,RUNS!$A$6:$A$1005,0))),""))</f>
        <v/>
      </c>
      <c r="P1917" s="33">
        <f>IF($D1917="","",IFERROR(IF(INDEX(RUNS!$J$6:$J$1005,MATCH($D1917,RUNS!$A$6:$A$1005,0))="","",INDEX(RUNS!$J$6:$J$1005,MATCH($D1917,RUNS!$A$6:$A$1005,0))),""))</f>
        <v/>
      </c>
      <c r="Q1917" s="33">
        <f>IF($D1917="","",IFERROR(IF(INDEX(RUNS!$K$6:$K$1005,MATCH($D1917,RUNS!$A$6:$A$1005,0))="","",INDEX(RUNS!$K$6:$K$1005,MATCH($D1917,RUNS!$A$6:$A$1005,0))),""))</f>
        <v/>
      </c>
      <c r="R1917" s="34">
        <f>IF(OR($L1917="",$K1917=""),"",IFERROR(IF(INDEX(PARAMETRES!$H$43:$H$342,MATCH($L1917&amp;"|"&amp;$M1917&amp;"|"&amp;$N1917&amp;"|"&amp;$O1917&amp;"|"&amp;$P1917&amp;"|"&amp;$Q1917&amp;"|"&amp;$K1917,PARAMETRES!$J$43:$J$342,0))="","",INDEX(PARAMETRES!$H$43:$H$342,MATCH($L1917&amp;"|"&amp;$M1917&amp;"|"&amp;$N1917&amp;"|"&amp;$O1917&amp;"|"&amp;$P1917&amp;"|"&amp;$Q1917&amp;"|"&amp;$K1917,PARAMETRES!$J$43:$J$342,0))),""))</f>
        <v/>
      </c>
      <c r="S1917" s="35">
        <f>IF(OR($G1917="",$X1917&lt;&gt;"VALIDE"),"",IFERROR(LOOKUP(2,1/(($B1017:$B1916=$B1917)*($G1017:$G1916=$G1917)*($X1017:$X1916="VALIDE")),$C1017:$C1916),""))</f>
        <v/>
      </c>
      <c r="T1917" s="36">
        <f>IF(OR($C1917="",$S1917=""),"",ROUND(($C1917-$S1917+IF($C1917&lt;$S1917,1,0))*1440,0))</f>
        <v/>
      </c>
      <c r="U1917" s="22">
        <f>IF(OR($H1917="",$T1917="",$T1917&lt;=0),"",$H1917*60/$T1917)</f>
        <v/>
      </c>
      <c r="V1917" s="37">
        <f>IF(OR($U1917="",$R1917="",$R1917=0),"",$U1917/$R1917)</f>
        <v/>
      </c>
      <c r="W1917" s="20">
        <f>IF($G1917="","",IF($X1917="CONTEXTE INCOMPLET","CONTEXTE INCOMPLET",IF($X1917="DOUBLON",StatutDoublon,IF($S1917="",StatutInitial,IF($R1917="",StatutStandardManquant,IF($V1917="","DONNEES INSUFFISANTES",IF($V1917&gt;=SeuilConforme,StatutConforme,IF($V1917&gt;=SeuilSurveiller,StatutSurveiller,StatutSousStandard))))))))</f>
        <v/>
      </c>
      <c r="X1917" s="33">
        <f>IF($G1917="","",IF(OR($D1917="",$E1917="",$F1917=""),"CONTEXTE INCOMPLET",IF(COUNTIFS($D1017:$D1916,$D1917,$E1017:$E1916,$E1917,$F1017:$F1916,$F1917,$G1017:$G1916,$G1917)&gt;0,"DOUBLON","VALIDE")))</f>
        <v/>
      </c>
    </row>
    <row r="1918" ht="15" customHeight="1">
      <c r="A1918" s="12">
        <f>IF(OR($B1918="",$G1918=""),"",TEXT($B1918,"YYYYMMDD")&amp;"-"&amp;SUBSTITUTE($E1918," ","")&amp;"-"&amp;$F1918&amp;"-"&amp;$G1918)</f>
        <v/>
      </c>
      <c r="B1918" s="15" t="n"/>
      <c r="C1918" s="16" t="n"/>
      <c r="D1918" s="10" t="n"/>
      <c r="E1918" s="9" t="n"/>
      <c r="F1918" s="9" t="n"/>
      <c r="G1918" s="13" t="n"/>
      <c r="H1918" s="21" t="n"/>
      <c r="I1918" s="21" t="n"/>
      <c r="J1918" s="17">
        <f>IF($G1918="","",IFERROR(INDEX(NomsEmployes,MATCH($G1918,MatriculesEmployes,0)),"MATRICULE INCONNU"))</f>
        <v/>
      </c>
      <c r="K1918" s="33">
        <f>IF(OR($D1918="",$F1918=""),"",IFERROR(IF(INDEX(RUNS!$L$6:$S$1005,MATCH($D1918,RUNS!$A$6:$A$1005,0),MATCH("ACTIVITÉ "&amp;$F1918,RUNS!$L$5:$S$5,0))="","",INDEX(RUNS!$L$6:$S$1005,MATCH($D1918,RUNS!$A$6:$A$1005,0),MATCH("ACTIVITÉ "&amp;$F1918,RUNS!$L$5:$S$5,0))),""))</f>
        <v/>
      </c>
      <c r="L1918" s="33">
        <f>IF($D1918="","",IFERROR(IF(INDEX(RUNS!$E$6:$E$1005,MATCH($D1918,RUNS!$A$6:$A$1005,0))="","",INDEX(RUNS!$E$6:$E$1005,MATCH($D1918,RUNS!$A$6:$A$1005,0))),""))</f>
        <v/>
      </c>
      <c r="M1918" s="33">
        <f>IF($D1918="","",IFERROR(IF(INDEX(RUNS!$F$6:$F$1005,MATCH($D1918,RUNS!$A$6:$A$1005,0))="","",INDEX(RUNS!$F$6:$F$1005,MATCH($D1918,RUNS!$A$6:$A$1005,0))),""))</f>
        <v/>
      </c>
      <c r="N1918" s="33">
        <f>IF($D1918="","",IFERROR(IF(INDEX(RUNS!$G$6:$G$1005,MATCH($D1918,RUNS!$A$6:$A$1005,0))="","",INDEX(RUNS!$G$6:$G$1005,MATCH($D1918,RUNS!$A$6:$A$1005,0))),""))</f>
        <v/>
      </c>
      <c r="O1918" s="33">
        <f>IF($D1918="","",IFERROR(IF(INDEX(RUNS!$H$6:$H$1005,MATCH($D1918,RUNS!$A$6:$A$1005,0))="","",INDEX(RUNS!$H$6:$H$1005,MATCH($D1918,RUNS!$A$6:$A$1005,0))),""))</f>
        <v/>
      </c>
      <c r="P1918" s="33">
        <f>IF($D1918="","",IFERROR(IF(INDEX(RUNS!$J$6:$J$1005,MATCH($D1918,RUNS!$A$6:$A$1005,0))="","",INDEX(RUNS!$J$6:$J$1005,MATCH($D1918,RUNS!$A$6:$A$1005,0))),""))</f>
        <v/>
      </c>
      <c r="Q1918" s="33">
        <f>IF($D1918="","",IFERROR(IF(INDEX(RUNS!$K$6:$K$1005,MATCH($D1918,RUNS!$A$6:$A$1005,0))="","",INDEX(RUNS!$K$6:$K$1005,MATCH($D1918,RUNS!$A$6:$A$1005,0))),""))</f>
        <v/>
      </c>
      <c r="R1918" s="34">
        <f>IF(OR($L1918="",$K1918=""),"",IFERROR(IF(INDEX(PARAMETRES!$H$43:$H$342,MATCH($L1918&amp;"|"&amp;$M1918&amp;"|"&amp;$N1918&amp;"|"&amp;$O1918&amp;"|"&amp;$P1918&amp;"|"&amp;$Q1918&amp;"|"&amp;$K1918,PARAMETRES!$J$43:$J$342,0))="","",INDEX(PARAMETRES!$H$43:$H$342,MATCH($L1918&amp;"|"&amp;$M1918&amp;"|"&amp;$N1918&amp;"|"&amp;$O1918&amp;"|"&amp;$P1918&amp;"|"&amp;$Q1918&amp;"|"&amp;$K1918,PARAMETRES!$J$43:$J$342,0))),""))</f>
        <v/>
      </c>
      <c r="S1918" s="35">
        <f>IF(OR($G1918="",$X1918&lt;&gt;"VALIDE"),"",IFERROR(LOOKUP(2,1/(($B1018:$B1917=$B1918)*($G1018:$G1917=$G1918)*($X1018:$X1917="VALIDE")),$C1018:$C1917),""))</f>
        <v/>
      </c>
      <c r="T1918" s="36">
        <f>IF(OR($C1918="",$S1918=""),"",ROUND(($C1918-$S1918+IF($C1918&lt;$S1918,1,0))*1440,0))</f>
        <v/>
      </c>
      <c r="U1918" s="22">
        <f>IF(OR($H1918="",$T1918="",$T1918&lt;=0),"",$H1918*60/$T1918)</f>
        <v/>
      </c>
      <c r="V1918" s="37">
        <f>IF(OR($U1918="",$R1918="",$R1918=0),"",$U1918/$R1918)</f>
        <v/>
      </c>
      <c r="W1918" s="20">
        <f>IF($G1918="","",IF($X1918="CONTEXTE INCOMPLET","CONTEXTE INCOMPLET",IF($X1918="DOUBLON",StatutDoublon,IF($S1918="",StatutInitial,IF($R1918="",StatutStandardManquant,IF($V1918="","DONNEES INSUFFISANTES",IF($V1918&gt;=SeuilConforme,StatutConforme,IF($V1918&gt;=SeuilSurveiller,StatutSurveiller,StatutSousStandard))))))))</f>
        <v/>
      </c>
      <c r="X1918" s="33">
        <f>IF($G1918="","",IF(OR($D1918="",$E1918="",$F1918=""),"CONTEXTE INCOMPLET",IF(COUNTIFS($D1018:$D1917,$D1918,$E1018:$E1917,$E1918,$F1018:$F1917,$F1918,$G1018:$G1917,$G1918)&gt;0,"DOUBLON","VALIDE")))</f>
        <v/>
      </c>
    </row>
    <row r="1919" ht="15" customHeight="1">
      <c r="A1919" s="12">
        <f>IF(OR($B1919="",$G1919=""),"",TEXT($B1919,"YYYYMMDD")&amp;"-"&amp;SUBSTITUTE($E1919," ","")&amp;"-"&amp;$F1919&amp;"-"&amp;$G1919)</f>
        <v/>
      </c>
      <c r="B1919" s="15" t="n"/>
      <c r="C1919" s="16" t="n"/>
      <c r="D1919" s="10" t="n"/>
      <c r="E1919" s="9" t="n"/>
      <c r="F1919" s="9" t="n"/>
      <c r="G1919" s="13" t="n"/>
      <c r="H1919" s="21" t="n"/>
      <c r="I1919" s="21" t="n"/>
      <c r="J1919" s="17">
        <f>IF($G1919="","",IFERROR(INDEX(NomsEmployes,MATCH($G1919,MatriculesEmployes,0)),"MATRICULE INCONNU"))</f>
        <v/>
      </c>
      <c r="K1919" s="33">
        <f>IF(OR($D1919="",$F1919=""),"",IFERROR(IF(INDEX(RUNS!$L$6:$S$1005,MATCH($D1919,RUNS!$A$6:$A$1005,0),MATCH("ACTIVITÉ "&amp;$F1919,RUNS!$L$5:$S$5,0))="","",INDEX(RUNS!$L$6:$S$1005,MATCH($D1919,RUNS!$A$6:$A$1005,0),MATCH("ACTIVITÉ "&amp;$F1919,RUNS!$L$5:$S$5,0))),""))</f>
        <v/>
      </c>
      <c r="L1919" s="33">
        <f>IF($D1919="","",IFERROR(IF(INDEX(RUNS!$E$6:$E$1005,MATCH($D1919,RUNS!$A$6:$A$1005,0))="","",INDEX(RUNS!$E$6:$E$1005,MATCH($D1919,RUNS!$A$6:$A$1005,0))),""))</f>
        <v/>
      </c>
      <c r="M1919" s="33">
        <f>IF($D1919="","",IFERROR(IF(INDEX(RUNS!$F$6:$F$1005,MATCH($D1919,RUNS!$A$6:$A$1005,0))="","",INDEX(RUNS!$F$6:$F$1005,MATCH($D1919,RUNS!$A$6:$A$1005,0))),""))</f>
        <v/>
      </c>
      <c r="N1919" s="33">
        <f>IF($D1919="","",IFERROR(IF(INDEX(RUNS!$G$6:$G$1005,MATCH($D1919,RUNS!$A$6:$A$1005,0))="","",INDEX(RUNS!$G$6:$G$1005,MATCH($D1919,RUNS!$A$6:$A$1005,0))),""))</f>
        <v/>
      </c>
      <c r="O1919" s="33">
        <f>IF($D1919="","",IFERROR(IF(INDEX(RUNS!$H$6:$H$1005,MATCH($D1919,RUNS!$A$6:$A$1005,0))="","",INDEX(RUNS!$H$6:$H$1005,MATCH($D1919,RUNS!$A$6:$A$1005,0))),""))</f>
        <v/>
      </c>
      <c r="P1919" s="33">
        <f>IF($D1919="","",IFERROR(IF(INDEX(RUNS!$J$6:$J$1005,MATCH($D1919,RUNS!$A$6:$A$1005,0))="","",INDEX(RUNS!$J$6:$J$1005,MATCH($D1919,RUNS!$A$6:$A$1005,0))),""))</f>
        <v/>
      </c>
      <c r="Q1919" s="33">
        <f>IF($D1919="","",IFERROR(IF(INDEX(RUNS!$K$6:$K$1005,MATCH($D1919,RUNS!$A$6:$A$1005,0))="","",INDEX(RUNS!$K$6:$K$1005,MATCH($D1919,RUNS!$A$6:$A$1005,0))),""))</f>
        <v/>
      </c>
      <c r="R1919" s="34">
        <f>IF(OR($L1919="",$K1919=""),"",IFERROR(IF(INDEX(PARAMETRES!$H$43:$H$342,MATCH($L1919&amp;"|"&amp;$M1919&amp;"|"&amp;$N1919&amp;"|"&amp;$O1919&amp;"|"&amp;$P1919&amp;"|"&amp;$Q1919&amp;"|"&amp;$K1919,PARAMETRES!$J$43:$J$342,0))="","",INDEX(PARAMETRES!$H$43:$H$342,MATCH($L1919&amp;"|"&amp;$M1919&amp;"|"&amp;$N1919&amp;"|"&amp;$O1919&amp;"|"&amp;$P1919&amp;"|"&amp;$Q1919&amp;"|"&amp;$K1919,PARAMETRES!$J$43:$J$342,0))),""))</f>
        <v/>
      </c>
      <c r="S1919" s="35">
        <f>IF(OR($G1919="",$X1919&lt;&gt;"VALIDE"),"",IFERROR(LOOKUP(2,1/(($B1019:$B1918=$B1919)*($G1019:$G1918=$G1919)*($X1019:$X1918="VALIDE")),$C1019:$C1918),""))</f>
        <v/>
      </c>
      <c r="T1919" s="36">
        <f>IF(OR($C1919="",$S1919=""),"",ROUND(($C1919-$S1919+IF($C1919&lt;$S1919,1,0))*1440,0))</f>
        <v/>
      </c>
      <c r="U1919" s="22">
        <f>IF(OR($H1919="",$T1919="",$T1919&lt;=0),"",$H1919*60/$T1919)</f>
        <v/>
      </c>
      <c r="V1919" s="37">
        <f>IF(OR($U1919="",$R1919="",$R1919=0),"",$U1919/$R1919)</f>
        <v/>
      </c>
      <c r="W1919" s="20">
        <f>IF($G1919="","",IF($X1919="CONTEXTE INCOMPLET","CONTEXTE INCOMPLET",IF($X1919="DOUBLON",StatutDoublon,IF($S1919="",StatutInitial,IF($R1919="",StatutStandardManquant,IF($V1919="","DONNEES INSUFFISANTES",IF($V1919&gt;=SeuilConforme,StatutConforme,IF($V1919&gt;=SeuilSurveiller,StatutSurveiller,StatutSousStandard))))))))</f>
        <v/>
      </c>
      <c r="X1919" s="33">
        <f>IF($G1919="","",IF(OR($D1919="",$E1919="",$F1919=""),"CONTEXTE INCOMPLET",IF(COUNTIFS($D1019:$D1918,$D1919,$E1019:$E1918,$E1919,$F1019:$F1918,$F1919,$G1019:$G1918,$G1919)&gt;0,"DOUBLON","VALIDE")))</f>
        <v/>
      </c>
    </row>
    <row r="1920" ht="15" customHeight="1">
      <c r="A1920" s="12">
        <f>IF(OR($B1920="",$G1920=""),"",TEXT($B1920,"YYYYMMDD")&amp;"-"&amp;SUBSTITUTE($E1920," ","")&amp;"-"&amp;$F1920&amp;"-"&amp;$G1920)</f>
        <v/>
      </c>
      <c r="B1920" s="15" t="n"/>
      <c r="C1920" s="16" t="n"/>
      <c r="D1920" s="10" t="n"/>
      <c r="E1920" s="9" t="n"/>
      <c r="F1920" s="9" t="n"/>
      <c r="G1920" s="13" t="n"/>
      <c r="H1920" s="21" t="n"/>
      <c r="I1920" s="21" t="n"/>
      <c r="J1920" s="17">
        <f>IF($G1920="","",IFERROR(INDEX(NomsEmployes,MATCH($G1920,MatriculesEmployes,0)),"MATRICULE INCONNU"))</f>
        <v/>
      </c>
      <c r="K1920" s="33">
        <f>IF(OR($D1920="",$F1920=""),"",IFERROR(IF(INDEX(RUNS!$L$6:$S$1005,MATCH($D1920,RUNS!$A$6:$A$1005,0),MATCH("ACTIVITÉ "&amp;$F1920,RUNS!$L$5:$S$5,0))="","",INDEX(RUNS!$L$6:$S$1005,MATCH($D1920,RUNS!$A$6:$A$1005,0),MATCH("ACTIVITÉ "&amp;$F1920,RUNS!$L$5:$S$5,0))),""))</f>
        <v/>
      </c>
      <c r="L1920" s="33">
        <f>IF($D1920="","",IFERROR(IF(INDEX(RUNS!$E$6:$E$1005,MATCH($D1920,RUNS!$A$6:$A$1005,0))="","",INDEX(RUNS!$E$6:$E$1005,MATCH($D1920,RUNS!$A$6:$A$1005,0))),""))</f>
        <v/>
      </c>
      <c r="M1920" s="33">
        <f>IF($D1920="","",IFERROR(IF(INDEX(RUNS!$F$6:$F$1005,MATCH($D1920,RUNS!$A$6:$A$1005,0))="","",INDEX(RUNS!$F$6:$F$1005,MATCH($D1920,RUNS!$A$6:$A$1005,0))),""))</f>
        <v/>
      </c>
      <c r="N1920" s="33">
        <f>IF($D1920="","",IFERROR(IF(INDEX(RUNS!$G$6:$G$1005,MATCH($D1920,RUNS!$A$6:$A$1005,0))="","",INDEX(RUNS!$G$6:$G$1005,MATCH($D1920,RUNS!$A$6:$A$1005,0))),""))</f>
        <v/>
      </c>
      <c r="O1920" s="33">
        <f>IF($D1920="","",IFERROR(IF(INDEX(RUNS!$H$6:$H$1005,MATCH($D1920,RUNS!$A$6:$A$1005,0))="","",INDEX(RUNS!$H$6:$H$1005,MATCH($D1920,RUNS!$A$6:$A$1005,0))),""))</f>
        <v/>
      </c>
      <c r="P1920" s="33">
        <f>IF($D1920="","",IFERROR(IF(INDEX(RUNS!$J$6:$J$1005,MATCH($D1920,RUNS!$A$6:$A$1005,0))="","",INDEX(RUNS!$J$6:$J$1005,MATCH($D1920,RUNS!$A$6:$A$1005,0))),""))</f>
        <v/>
      </c>
      <c r="Q1920" s="33">
        <f>IF($D1920="","",IFERROR(IF(INDEX(RUNS!$K$6:$K$1005,MATCH($D1920,RUNS!$A$6:$A$1005,0))="","",INDEX(RUNS!$K$6:$K$1005,MATCH($D1920,RUNS!$A$6:$A$1005,0))),""))</f>
        <v/>
      </c>
      <c r="R1920" s="34">
        <f>IF(OR($L1920="",$K1920=""),"",IFERROR(IF(INDEX(PARAMETRES!$H$43:$H$342,MATCH($L1920&amp;"|"&amp;$M1920&amp;"|"&amp;$N1920&amp;"|"&amp;$O1920&amp;"|"&amp;$P1920&amp;"|"&amp;$Q1920&amp;"|"&amp;$K1920,PARAMETRES!$J$43:$J$342,0))="","",INDEX(PARAMETRES!$H$43:$H$342,MATCH($L1920&amp;"|"&amp;$M1920&amp;"|"&amp;$N1920&amp;"|"&amp;$O1920&amp;"|"&amp;$P1920&amp;"|"&amp;$Q1920&amp;"|"&amp;$K1920,PARAMETRES!$J$43:$J$342,0))),""))</f>
        <v/>
      </c>
      <c r="S1920" s="35">
        <f>IF(OR($G1920="",$X1920&lt;&gt;"VALIDE"),"",IFERROR(LOOKUP(2,1/(($B1020:$B1919=$B1920)*($G1020:$G1919=$G1920)*($X1020:$X1919="VALIDE")),$C1020:$C1919),""))</f>
        <v/>
      </c>
      <c r="T1920" s="36">
        <f>IF(OR($C1920="",$S1920=""),"",ROUND(($C1920-$S1920+IF($C1920&lt;$S1920,1,0))*1440,0))</f>
        <v/>
      </c>
      <c r="U1920" s="22">
        <f>IF(OR($H1920="",$T1920="",$T1920&lt;=0),"",$H1920*60/$T1920)</f>
        <v/>
      </c>
      <c r="V1920" s="37">
        <f>IF(OR($U1920="",$R1920="",$R1920=0),"",$U1920/$R1920)</f>
        <v/>
      </c>
      <c r="W1920" s="20">
        <f>IF($G1920="","",IF($X1920="CONTEXTE INCOMPLET","CONTEXTE INCOMPLET",IF($X1920="DOUBLON",StatutDoublon,IF($S1920="",StatutInitial,IF($R1920="",StatutStandardManquant,IF($V1920="","DONNEES INSUFFISANTES",IF($V1920&gt;=SeuilConforme,StatutConforme,IF($V1920&gt;=SeuilSurveiller,StatutSurveiller,StatutSousStandard))))))))</f>
        <v/>
      </c>
      <c r="X1920" s="33">
        <f>IF($G1920="","",IF(OR($D1920="",$E1920="",$F1920=""),"CONTEXTE INCOMPLET",IF(COUNTIFS($D1020:$D1919,$D1920,$E1020:$E1919,$E1920,$F1020:$F1919,$F1920,$G1020:$G1919,$G1920)&gt;0,"DOUBLON","VALIDE")))</f>
        <v/>
      </c>
    </row>
    <row r="1921" ht="15" customHeight="1">
      <c r="A1921" s="12">
        <f>IF(OR($B1921="",$G1921=""),"",TEXT($B1921,"YYYYMMDD")&amp;"-"&amp;SUBSTITUTE($E1921," ","")&amp;"-"&amp;$F1921&amp;"-"&amp;$G1921)</f>
        <v/>
      </c>
      <c r="B1921" s="15" t="n"/>
      <c r="C1921" s="16" t="n"/>
      <c r="D1921" s="10" t="n"/>
      <c r="E1921" s="9" t="n"/>
      <c r="F1921" s="9" t="n"/>
      <c r="G1921" s="13" t="n"/>
      <c r="H1921" s="21" t="n"/>
      <c r="I1921" s="21" t="n"/>
      <c r="J1921" s="17">
        <f>IF($G1921="","",IFERROR(INDEX(NomsEmployes,MATCH($G1921,MatriculesEmployes,0)),"MATRICULE INCONNU"))</f>
        <v/>
      </c>
      <c r="K1921" s="33">
        <f>IF(OR($D1921="",$F1921=""),"",IFERROR(IF(INDEX(RUNS!$L$6:$S$1005,MATCH($D1921,RUNS!$A$6:$A$1005,0),MATCH("ACTIVITÉ "&amp;$F1921,RUNS!$L$5:$S$5,0))="","",INDEX(RUNS!$L$6:$S$1005,MATCH($D1921,RUNS!$A$6:$A$1005,0),MATCH("ACTIVITÉ "&amp;$F1921,RUNS!$L$5:$S$5,0))),""))</f>
        <v/>
      </c>
      <c r="L1921" s="33">
        <f>IF($D1921="","",IFERROR(IF(INDEX(RUNS!$E$6:$E$1005,MATCH($D1921,RUNS!$A$6:$A$1005,0))="","",INDEX(RUNS!$E$6:$E$1005,MATCH($D1921,RUNS!$A$6:$A$1005,0))),""))</f>
        <v/>
      </c>
      <c r="M1921" s="33">
        <f>IF($D1921="","",IFERROR(IF(INDEX(RUNS!$F$6:$F$1005,MATCH($D1921,RUNS!$A$6:$A$1005,0))="","",INDEX(RUNS!$F$6:$F$1005,MATCH($D1921,RUNS!$A$6:$A$1005,0))),""))</f>
        <v/>
      </c>
      <c r="N1921" s="33">
        <f>IF($D1921="","",IFERROR(IF(INDEX(RUNS!$G$6:$G$1005,MATCH($D1921,RUNS!$A$6:$A$1005,0))="","",INDEX(RUNS!$G$6:$G$1005,MATCH($D1921,RUNS!$A$6:$A$1005,0))),""))</f>
        <v/>
      </c>
      <c r="O1921" s="33">
        <f>IF($D1921="","",IFERROR(IF(INDEX(RUNS!$H$6:$H$1005,MATCH($D1921,RUNS!$A$6:$A$1005,0))="","",INDEX(RUNS!$H$6:$H$1005,MATCH($D1921,RUNS!$A$6:$A$1005,0))),""))</f>
        <v/>
      </c>
      <c r="P1921" s="33">
        <f>IF($D1921="","",IFERROR(IF(INDEX(RUNS!$J$6:$J$1005,MATCH($D1921,RUNS!$A$6:$A$1005,0))="","",INDEX(RUNS!$J$6:$J$1005,MATCH($D1921,RUNS!$A$6:$A$1005,0))),""))</f>
        <v/>
      </c>
      <c r="Q1921" s="33">
        <f>IF($D1921="","",IFERROR(IF(INDEX(RUNS!$K$6:$K$1005,MATCH($D1921,RUNS!$A$6:$A$1005,0))="","",INDEX(RUNS!$K$6:$K$1005,MATCH($D1921,RUNS!$A$6:$A$1005,0))),""))</f>
        <v/>
      </c>
      <c r="R1921" s="34">
        <f>IF(OR($L1921="",$K1921=""),"",IFERROR(IF(INDEX(PARAMETRES!$H$43:$H$342,MATCH($L1921&amp;"|"&amp;$M1921&amp;"|"&amp;$N1921&amp;"|"&amp;$O1921&amp;"|"&amp;$P1921&amp;"|"&amp;$Q1921&amp;"|"&amp;$K1921,PARAMETRES!$J$43:$J$342,0))="","",INDEX(PARAMETRES!$H$43:$H$342,MATCH($L1921&amp;"|"&amp;$M1921&amp;"|"&amp;$N1921&amp;"|"&amp;$O1921&amp;"|"&amp;$P1921&amp;"|"&amp;$Q1921&amp;"|"&amp;$K1921,PARAMETRES!$J$43:$J$342,0))),""))</f>
        <v/>
      </c>
      <c r="S1921" s="35">
        <f>IF(OR($G1921="",$X1921&lt;&gt;"VALIDE"),"",IFERROR(LOOKUP(2,1/(($B1021:$B1920=$B1921)*($G1021:$G1920=$G1921)*($X1021:$X1920="VALIDE")),$C1021:$C1920),""))</f>
        <v/>
      </c>
      <c r="T1921" s="36">
        <f>IF(OR($C1921="",$S1921=""),"",ROUND(($C1921-$S1921+IF($C1921&lt;$S1921,1,0))*1440,0))</f>
        <v/>
      </c>
      <c r="U1921" s="22">
        <f>IF(OR($H1921="",$T1921="",$T1921&lt;=0),"",$H1921*60/$T1921)</f>
        <v/>
      </c>
      <c r="V1921" s="37">
        <f>IF(OR($U1921="",$R1921="",$R1921=0),"",$U1921/$R1921)</f>
        <v/>
      </c>
      <c r="W1921" s="20">
        <f>IF($G1921="","",IF($X1921="CONTEXTE INCOMPLET","CONTEXTE INCOMPLET",IF($X1921="DOUBLON",StatutDoublon,IF($S1921="",StatutInitial,IF($R1921="",StatutStandardManquant,IF($V1921="","DONNEES INSUFFISANTES",IF($V1921&gt;=SeuilConforme,StatutConforme,IF($V1921&gt;=SeuilSurveiller,StatutSurveiller,StatutSousStandard))))))))</f>
        <v/>
      </c>
      <c r="X1921" s="33">
        <f>IF($G1921="","",IF(OR($D1921="",$E1921="",$F1921=""),"CONTEXTE INCOMPLET",IF(COUNTIFS($D1021:$D1920,$D1921,$E1021:$E1920,$E1921,$F1021:$F1920,$F1921,$G1021:$G1920,$G1921)&gt;0,"DOUBLON","VALIDE")))</f>
        <v/>
      </c>
    </row>
    <row r="1922" ht="15" customHeight="1">
      <c r="A1922" s="12">
        <f>IF(OR($B1922="",$G1922=""),"",TEXT($B1922,"YYYYMMDD")&amp;"-"&amp;SUBSTITUTE($E1922," ","")&amp;"-"&amp;$F1922&amp;"-"&amp;$G1922)</f>
        <v/>
      </c>
      <c r="B1922" s="15" t="n"/>
      <c r="C1922" s="16" t="n"/>
      <c r="D1922" s="10" t="n"/>
      <c r="E1922" s="9" t="n"/>
      <c r="F1922" s="9" t="n"/>
      <c r="G1922" s="13" t="n"/>
      <c r="H1922" s="21" t="n"/>
      <c r="I1922" s="21" t="n"/>
      <c r="J1922" s="17">
        <f>IF($G1922="","",IFERROR(INDEX(NomsEmployes,MATCH($G1922,MatriculesEmployes,0)),"MATRICULE INCONNU"))</f>
        <v/>
      </c>
      <c r="K1922" s="33">
        <f>IF(OR($D1922="",$F1922=""),"",IFERROR(IF(INDEX(RUNS!$L$6:$S$1005,MATCH($D1922,RUNS!$A$6:$A$1005,0),MATCH("ACTIVITÉ "&amp;$F1922,RUNS!$L$5:$S$5,0))="","",INDEX(RUNS!$L$6:$S$1005,MATCH($D1922,RUNS!$A$6:$A$1005,0),MATCH("ACTIVITÉ "&amp;$F1922,RUNS!$L$5:$S$5,0))),""))</f>
        <v/>
      </c>
      <c r="L1922" s="33">
        <f>IF($D1922="","",IFERROR(IF(INDEX(RUNS!$E$6:$E$1005,MATCH($D1922,RUNS!$A$6:$A$1005,0))="","",INDEX(RUNS!$E$6:$E$1005,MATCH($D1922,RUNS!$A$6:$A$1005,0))),""))</f>
        <v/>
      </c>
      <c r="M1922" s="33">
        <f>IF($D1922="","",IFERROR(IF(INDEX(RUNS!$F$6:$F$1005,MATCH($D1922,RUNS!$A$6:$A$1005,0))="","",INDEX(RUNS!$F$6:$F$1005,MATCH($D1922,RUNS!$A$6:$A$1005,0))),""))</f>
        <v/>
      </c>
      <c r="N1922" s="33">
        <f>IF($D1922="","",IFERROR(IF(INDEX(RUNS!$G$6:$G$1005,MATCH($D1922,RUNS!$A$6:$A$1005,0))="","",INDEX(RUNS!$G$6:$G$1005,MATCH($D1922,RUNS!$A$6:$A$1005,0))),""))</f>
        <v/>
      </c>
      <c r="O1922" s="33">
        <f>IF($D1922="","",IFERROR(IF(INDEX(RUNS!$H$6:$H$1005,MATCH($D1922,RUNS!$A$6:$A$1005,0))="","",INDEX(RUNS!$H$6:$H$1005,MATCH($D1922,RUNS!$A$6:$A$1005,0))),""))</f>
        <v/>
      </c>
      <c r="P1922" s="33">
        <f>IF($D1922="","",IFERROR(IF(INDEX(RUNS!$J$6:$J$1005,MATCH($D1922,RUNS!$A$6:$A$1005,0))="","",INDEX(RUNS!$J$6:$J$1005,MATCH($D1922,RUNS!$A$6:$A$1005,0))),""))</f>
        <v/>
      </c>
      <c r="Q1922" s="33">
        <f>IF($D1922="","",IFERROR(IF(INDEX(RUNS!$K$6:$K$1005,MATCH($D1922,RUNS!$A$6:$A$1005,0))="","",INDEX(RUNS!$K$6:$K$1005,MATCH($D1922,RUNS!$A$6:$A$1005,0))),""))</f>
        <v/>
      </c>
      <c r="R1922" s="34">
        <f>IF(OR($L1922="",$K1922=""),"",IFERROR(IF(INDEX(PARAMETRES!$H$43:$H$342,MATCH($L1922&amp;"|"&amp;$M1922&amp;"|"&amp;$N1922&amp;"|"&amp;$O1922&amp;"|"&amp;$P1922&amp;"|"&amp;$Q1922&amp;"|"&amp;$K1922,PARAMETRES!$J$43:$J$342,0))="","",INDEX(PARAMETRES!$H$43:$H$342,MATCH($L1922&amp;"|"&amp;$M1922&amp;"|"&amp;$N1922&amp;"|"&amp;$O1922&amp;"|"&amp;$P1922&amp;"|"&amp;$Q1922&amp;"|"&amp;$K1922,PARAMETRES!$J$43:$J$342,0))),""))</f>
        <v/>
      </c>
      <c r="S1922" s="35">
        <f>IF(OR($G1922="",$X1922&lt;&gt;"VALIDE"),"",IFERROR(LOOKUP(2,1/(($B1022:$B1921=$B1922)*($G1022:$G1921=$G1922)*($X1022:$X1921="VALIDE")),$C1022:$C1921),""))</f>
        <v/>
      </c>
      <c r="T1922" s="36">
        <f>IF(OR($C1922="",$S1922=""),"",ROUND(($C1922-$S1922+IF($C1922&lt;$S1922,1,0))*1440,0))</f>
        <v/>
      </c>
      <c r="U1922" s="22">
        <f>IF(OR($H1922="",$T1922="",$T1922&lt;=0),"",$H1922*60/$T1922)</f>
        <v/>
      </c>
      <c r="V1922" s="37">
        <f>IF(OR($U1922="",$R1922="",$R1922=0),"",$U1922/$R1922)</f>
        <v/>
      </c>
      <c r="W1922" s="20">
        <f>IF($G1922="","",IF($X1922="CONTEXTE INCOMPLET","CONTEXTE INCOMPLET",IF($X1922="DOUBLON",StatutDoublon,IF($S1922="",StatutInitial,IF($R1922="",StatutStandardManquant,IF($V1922="","DONNEES INSUFFISANTES",IF($V1922&gt;=SeuilConforme,StatutConforme,IF($V1922&gt;=SeuilSurveiller,StatutSurveiller,StatutSousStandard))))))))</f>
        <v/>
      </c>
      <c r="X1922" s="33">
        <f>IF($G1922="","",IF(OR($D1922="",$E1922="",$F1922=""),"CONTEXTE INCOMPLET",IF(COUNTIFS($D1022:$D1921,$D1922,$E1022:$E1921,$E1922,$F1022:$F1921,$F1922,$G1022:$G1921,$G1922)&gt;0,"DOUBLON","VALIDE")))</f>
        <v/>
      </c>
    </row>
    <row r="1923" ht="15" customHeight="1">
      <c r="A1923" s="12">
        <f>IF(OR($B1923="",$G1923=""),"",TEXT($B1923,"YYYYMMDD")&amp;"-"&amp;SUBSTITUTE($E1923," ","")&amp;"-"&amp;$F1923&amp;"-"&amp;$G1923)</f>
        <v/>
      </c>
      <c r="B1923" s="15" t="n"/>
      <c r="C1923" s="16" t="n"/>
      <c r="D1923" s="10" t="n"/>
      <c r="E1923" s="9" t="n"/>
      <c r="F1923" s="9" t="n"/>
      <c r="G1923" s="13" t="n"/>
      <c r="H1923" s="21" t="n"/>
      <c r="I1923" s="21" t="n"/>
      <c r="J1923" s="17">
        <f>IF($G1923="","",IFERROR(INDEX(NomsEmployes,MATCH($G1923,MatriculesEmployes,0)),"MATRICULE INCONNU"))</f>
        <v/>
      </c>
      <c r="K1923" s="33">
        <f>IF(OR($D1923="",$F1923=""),"",IFERROR(IF(INDEX(RUNS!$L$6:$S$1005,MATCH($D1923,RUNS!$A$6:$A$1005,0),MATCH("ACTIVITÉ "&amp;$F1923,RUNS!$L$5:$S$5,0))="","",INDEX(RUNS!$L$6:$S$1005,MATCH($D1923,RUNS!$A$6:$A$1005,0),MATCH("ACTIVITÉ "&amp;$F1923,RUNS!$L$5:$S$5,0))),""))</f>
        <v/>
      </c>
      <c r="L1923" s="33">
        <f>IF($D1923="","",IFERROR(IF(INDEX(RUNS!$E$6:$E$1005,MATCH($D1923,RUNS!$A$6:$A$1005,0))="","",INDEX(RUNS!$E$6:$E$1005,MATCH($D1923,RUNS!$A$6:$A$1005,0))),""))</f>
        <v/>
      </c>
      <c r="M1923" s="33">
        <f>IF($D1923="","",IFERROR(IF(INDEX(RUNS!$F$6:$F$1005,MATCH($D1923,RUNS!$A$6:$A$1005,0))="","",INDEX(RUNS!$F$6:$F$1005,MATCH($D1923,RUNS!$A$6:$A$1005,0))),""))</f>
        <v/>
      </c>
      <c r="N1923" s="33">
        <f>IF($D1923="","",IFERROR(IF(INDEX(RUNS!$G$6:$G$1005,MATCH($D1923,RUNS!$A$6:$A$1005,0))="","",INDEX(RUNS!$G$6:$G$1005,MATCH($D1923,RUNS!$A$6:$A$1005,0))),""))</f>
        <v/>
      </c>
      <c r="O1923" s="33">
        <f>IF($D1923="","",IFERROR(IF(INDEX(RUNS!$H$6:$H$1005,MATCH($D1923,RUNS!$A$6:$A$1005,0))="","",INDEX(RUNS!$H$6:$H$1005,MATCH($D1923,RUNS!$A$6:$A$1005,0))),""))</f>
        <v/>
      </c>
      <c r="P1923" s="33">
        <f>IF($D1923="","",IFERROR(IF(INDEX(RUNS!$J$6:$J$1005,MATCH($D1923,RUNS!$A$6:$A$1005,0))="","",INDEX(RUNS!$J$6:$J$1005,MATCH($D1923,RUNS!$A$6:$A$1005,0))),""))</f>
        <v/>
      </c>
      <c r="Q1923" s="33">
        <f>IF($D1923="","",IFERROR(IF(INDEX(RUNS!$K$6:$K$1005,MATCH($D1923,RUNS!$A$6:$A$1005,0))="","",INDEX(RUNS!$K$6:$K$1005,MATCH($D1923,RUNS!$A$6:$A$1005,0))),""))</f>
        <v/>
      </c>
      <c r="R1923" s="34">
        <f>IF(OR($L1923="",$K1923=""),"",IFERROR(IF(INDEX(PARAMETRES!$H$43:$H$342,MATCH($L1923&amp;"|"&amp;$M1923&amp;"|"&amp;$N1923&amp;"|"&amp;$O1923&amp;"|"&amp;$P1923&amp;"|"&amp;$Q1923&amp;"|"&amp;$K1923,PARAMETRES!$J$43:$J$342,0))="","",INDEX(PARAMETRES!$H$43:$H$342,MATCH($L1923&amp;"|"&amp;$M1923&amp;"|"&amp;$N1923&amp;"|"&amp;$O1923&amp;"|"&amp;$P1923&amp;"|"&amp;$Q1923&amp;"|"&amp;$K1923,PARAMETRES!$J$43:$J$342,0))),""))</f>
        <v/>
      </c>
      <c r="S1923" s="35">
        <f>IF(OR($G1923="",$X1923&lt;&gt;"VALIDE"),"",IFERROR(LOOKUP(2,1/(($B1023:$B1922=$B1923)*($G1023:$G1922=$G1923)*($X1023:$X1922="VALIDE")),$C1023:$C1922),""))</f>
        <v/>
      </c>
      <c r="T1923" s="36">
        <f>IF(OR($C1923="",$S1923=""),"",ROUND(($C1923-$S1923+IF($C1923&lt;$S1923,1,0))*1440,0))</f>
        <v/>
      </c>
      <c r="U1923" s="22">
        <f>IF(OR($H1923="",$T1923="",$T1923&lt;=0),"",$H1923*60/$T1923)</f>
        <v/>
      </c>
      <c r="V1923" s="37">
        <f>IF(OR($U1923="",$R1923="",$R1923=0),"",$U1923/$R1923)</f>
        <v/>
      </c>
      <c r="W1923" s="20">
        <f>IF($G1923="","",IF($X1923="CONTEXTE INCOMPLET","CONTEXTE INCOMPLET",IF($X1923="DOUBLON",StatutDoublon,IF($S1923="",StatutInitial,IF($R1923="",StatutStandardManquant,IF($V1923="","DONNEES INSUFFISANTES",IF($V1923&gt;=SeuilConforme,StatutConforme,IF($V1923&gt;=SeuilSurveiller,StatutSurveiller,StatutSousStandard))))))))</f>
        <v/>
      </c>
      <c r="X1923" s="33">
        <f>IF($G1923="","",IF(OR($D1923="",$E1923="",$F1923=""),"CONTEXTE INCOMPLET",IF(COUNTIFS($D1023:$D1922,$D1923,$E1023:$E1922,$E1923,$F1023:$F1922,$F1923,$G1023:$G1922,$G1923)&gt;0,"DOUBLON","VALIDE")))</f>
        <v/>
      </c>
    </row>
    <row r="1924" ht="15" customHeight="1">
      <c r="A1924" s="12">
        <f>IF(OR($B1924="",$G1924=""),"",TEXT($B1924,"YYYYMMDD")&amp;"-"&amp;SUBSTITUTE($E1924," ","")&amp;"-"&amp;$F1924&amp;"-"&amp;$G1924)</f>
        <v/>
      </c>
      <c r="B1924" s="15" t="n"/>
      <c r="C1924" s="16" t="n"/>
      <c r="D1924" s="10" t="n"/>
      <c r="E1924" s="9" t="n"/>
      <c r="F1924" s="9" t="n"/>
      <c r="G1924" s="13" t="n"/>
      <c r="H1924" s="21" t="n"/>
      <c r="I1924" s="21" t="n"/>
      <c r="J1924" s="17">
        <f>IF($G1924="","",IFERROR(INDEX(NomsEmployes,MATCH($G1924,MatriculesEmployes,0)),"MATRICULE INCONNU"))</f>
        <v/>
      </c>
      <c r="K1924" s="33">
        <f>IF(OR($D1924="",$F1924=""),"",IFERROR(IF(INDEX(RUNS!$L$6:$S$1005,MATCH($D1924,RUNS!$A$6:$A$1005,0),MATCH("ACTIVITÉ "&amp;$F1924,RUNS!$L$5:$S$5,0))="","",INDEX(RUNS!$L$6:$S$1005,MATCH($D1924,RUNS!$A$6:$A$1005,0),MATCH("ACTIVITÉ "&amp;$F1924,RUNS!$L$5:$S$5,0))),""))</f>
        <v/>
      </c>
      <c r="L1924" s="33">
        <f>IF($D1924="","",IFERROR(IF(INDEX(RUNS!$E$6:$E$1005,MATCH($D1924,RUNS!$A$6:$A$1005,0))="","",INDEX(RUNS!$E$6:$E$1005,MATCH($D1924,RUNS!$A$6:$A$1005,0))),""))</f>
        <v/>
      </c>
      <c r="M1924" s="33">
        <f>IF($D1924="","",IFERROR(IF(INDEX(RUNS!$F$6:$F$1005,MATCH($D1924,RUNS!$A$6:$A$1005,0))="","",INDEX(RUNS!$F$6:$F$1005,MATCH($D1924,RUNS!$A$6:$A$1005,0))),""))</f>
        <v/>
      </c>
      <c r="N1924" s="33">
        <f>IF($D1924="","",IFERROR(IF(INDEX(RUNS!$G$6:$G$1005,MATCH($D1924,RUNS!$A$6:$A$1005,0))="","",INDEX(RUNS!$G$6:$G$1005,MATCH($D1924,RUNS!$A$6:$A$1005,0))),""))</f>
        <v/>
      </c>
      <c r="O1924" s="33">
        <f>IF($D1924="","",IFERROR(IF(INDEX(RUNS!$H$6:$H$1005,MATCH($D1924,RUNS!$A$6:$A$1005,0))="","",INDEX(RUNS!$H$6:$H$1005,MATCH($D1924,RUNS!$A$6:$A$1005,0))),""))</f>
        <v/>
      </c>
      <c r="P1924" s="33">
        <f>IF($D1924="","",IFERROR(IF(INDEX(RUNS!$J$6:$J$1005,MATCH($D1924,RUNS!$A$6:$A$1005,0))="","",INDEX(RUNS!$J$6:$J$1005,MATCH($D1924,RUNS!$A$6:$A$1005,0))),""))</f>
        <v/>
      </c>
      <c r="Q1924" s="33">
        <f>IF($D1924="","",IFERROR(IF(INDEX(RUNS!$K$6:$K$1005,MATCH($D1924,RUNS!$A$6:$A$1005,0))="","",INDEX(RUNS!$K$6:$K$1005,MATCH($D1924,RUNS!$A$6:$A$1005,0))),""))</f>
        <v/>
      </c>
      <c r="R1924" s="34">
        <f>IF(OR($L1924="",$K1924=""),"",IFERROR(IF(INDEX(PARAMETRES!$H$43:$H$342,MATCH($L1924&amp;"|"&amp;$M1924&amp;"|"&amp;$N1924&amp;"|"&amp;$O1924&amp;"|"&amp;$P1924&amp;"|"&amp;$Q1924&amp;"|"&amp;$K1924,PARAMETRES!$J$43:$J$342,0))="","",INDEX(PARAMETRES!$H$43:$H$342,MATCH($L1924&amp;"|"&amp;$M1924&amp;"|"&amp;$N1924&amp;"|"&amp;$O1924&amp;"|"&amp;$P1924&amp;"|"&amp;$Q1924&amp;"|"&amp;$K1924,PARAMETRES!$J$43:$J$342,0))),""))</f>
        <v/>
      </c>
      <c r="S1924" s="35">
        <f>IF(OR($G1924="",$X1924&lt;&gt;"VALIDE"),"",IFERROR(LOOKUP(2,1/(($B1024:$B1923=$B1924)*($G1024:$G1923=$G1924)*($X1024:$X1923="VALIDE")),$C1024:$C1923),""))</f>
        <v/>
      </c>
      <c r="T1924" s="36">
        <f>IF(OR($C1924="",$S1924=""),"",ROUND(($C1924-$S1924+IF($C1924&lt;$S1924,1,0))*1440,0))</f>
        <v/>
      </c>
      <c r="U1924" s="22">
        <f>IF(OR($H1924="",$T1924="",$T1924&lt;=0),"",$H1924*60/$T1924)</f>
        <v/>
      </c>
      <c r="V1924" s="37">
        <f>IF(OR($U1924="",$R1924="",$R1924=0),"",$U1924/$R1924)</f>
        <v/>
      </c>
      <c r="W1924" s="20">
        <f>IF($G1924="","",IF($X1924="CONTEXTE INCOMPLET","CONTEXTE INCOMPLET",IF($X1924="DOUBLON",StatutDoublon,IF($S1924="",StatutInitial,IF($R1924="",StatutStandardManquant,IF($V1924="","DONNEES INSUFFISANTES",IF($V1924&gt;=SeuilConforme,StatutConforme,IF($V1924&gt;=SeuilSurveiller,StatutSurveiller,StatutSousStandard))))))))</f>
        <v/>
      </c>
      <c r="X1924" s="33">
        <f>IF($G1924="","",IF(OR($D1924="",$E1924="",$F1924=""),"CONTEXTE INCOMPLET",IF(COUNTIFS($D1024:$D1923,$D1924,$E1024:$E1923,$E1924,$F1024:$F1923,$F1924,$G1024:$G1923,$G1924)&gt;0,"DOUBLON","VALIDE")))</f>
        <v/>
      </c>
    </row>
    <row r="1925" ht="15" customHeight="1">
      <c r="A1925" s="12">
        <f>IF(OR($B1925="",$G1925=""),"",TEXT($B1925,"YYYYMMDD")&amp;"-"&amp;SUBSTITUTE($E1925," ","")&amp;"-"&amp;$F1925&amp;"-"&amp;$G1925)</f>
        <v/>
      </c>
      <c r="B1925" s="15" t="n"/>
      <c r="C1925" s="16" t="n"/>
      <c r="D1925" s="10" t="n"/>
      <c r="E1925" s="9" t="n"/>
      <c r="F1925" s="9" t="n"/>
      <c r="G1925" s="13" t="n"/>
      <c r="H1925" s="21" t="n"/>
      <c r="I1925" s="21" t="n"/>
      <c r="J1925" s="17">
        <f>IF($G1925="","",IFERROR(INDEX(NomsEmployes,MATCH($G1925,MatriculesEmployes,0)),"MATRICULE INCONNU"))</f>
        <v/>
      </c>
      <c r="K1925" s="33">
        <f>IF(OR($D1925="",$F1925=""),"",IFERROR(IF(INDEX(RUNS!$L$6:$S$1005,MATCH($D1925,RUNS!$A$6:$A$1005,0),MATCH("ACTIVITÉ "&amp;$F1925,RUNS!$L$5:$S$5,0))="","",INDEX(RUNS!$L$6:$S$1005,MATCH($D1925,RUNS!$A$6:$A$1005,0),MATCH("ACTIVITÉ "&amp;$F1925,RUNS!$L$5:$S$5,0))),""))</f>
        <v/>
      </c>
      <c r="L1925" s="33">
        <f>IF($D1925="","",IFERROR(IF(INDEX(RUNS!$E$6:$E$1005,MATCH($D1925,RUNS!$A$6:$A$1005,0))="","",INDEX(RUNS!$E$6:$E$1005,MATCH($D1925,RUNS!$A$6:$A$1005,0))),""))</f>
        <v/>
      </c>
      <c r="M1925" s="33">
        <f>IF($D1925="","",IFERROR(IF(INDEX(RUNS!$F$6:$F$1005,MATCH($D1925,RUNS!$A$6:$A$1005,0))="","",INDEX(RUNS!$F$6:$F$1005,MATCH($D1925,RUNS!$A$6:$A$1005,0))),""))</f>
        <v/>
      </c>
      <c r="N1925" s="33">
        <f>IF($D1925="","",IFERROR(IF(INDEX(RUNS!$G$6:$G$1005,MATCH($D1925,RUNS!$A$6:$A$1005,0))="","",INDEX(RUNS!$G$6:$G$1005,MATCH($D1925,RUNS!$A$6:$A$1005,0))),""))</f>
        <v/>
      </c>
      <c r="O1925" s="33">
        <f>IF($D1925="","",IFERROR(IF(INDEX(RUNS!$H$6:$H$1005,MATCH($D1925,RUNS!$A$6:$A$1005,0))="","",INDEX(RUNS!$H$6:$H$1005,MATCH($D1925,RUNS!$A$6:$A$1005,0))),""))</f>
        <v/>
      </c>
      <c r="P1925" s="33">
        <f>IF($D1925="","",IFERROR(IF(INDEX(RUNS!$J$6:$J$1005,MATCH($D1925,RUNS!$A$6:$A$1005,0))="","",INDEX(RUNS!$J$6:$J$1005,MATCH($D1925,RUNS!$A$6:$A$1005,0))),""))</f>
        <v/>
      </c>
      <c r="Q1925" s="33">
        <f>IF($D1925="","",IFERROR(IF(INDEX(RUNS!$K$6:$K$1005,MATCH($D1925,RUNS!$A$6:$A$1005,0))="","",INDEX(RUNS!$K$6:$K$1005,MATCH($D1925,RUNS!$A$6:$A$1005,0))),""))</f>
        <v/>
      </c>
      <c r="R1925" s="34">
        <f>IF(OR($L1925="",$K1925=""),"",IFERROR(IF(INDEX(PARAMETRES!$H$43:$H$342,MATCH($L1925&amp;"|"&amp;$M1925&amp;"|"&amp;$N1925&amp;"|"&amp;$O1925&amp;"|"&amp;$P1925&amp;"|"&amp;$Q1925&amp;"|"&amp;$K1925,PARAMETRES!$J$43:$J$342,0))="","",INDEX(PARAMETRES!$H$43:$H$342,MATCH($L1925&amp;"|"&amp;$M1925&amp;"|"&amp;$N1925&amp;"|"&amp;$O1925&amp;"|"&amp;$P1925&amp;"|"&amp;$Q1925&amp;"|"&amp;$K1925,PARAMETRES!$J$43:$J$342,0))),""))</f>
        <v/>
      </c>
      <c r="S1925" s="35">
        <f>IF(OR($G1925="",$X1925&lt;&gt;"VALIDE"),"",IFERROR(LOOKUP(2,1/(($B1025:$B1924=$B1925)*($G1025:$G1924=$G1925)*($X1025:$X1924="VALIDE")),$C1025:$C1924),""))</f>
        <v/>
      </c>
      <c r="T1925" s="36">
        <f>IF(OR($C1925="",$S1925=""),"",ROUND(($C1925-$S1925+IF($C1925&lt;$S1925,1,0))*1440,0))</f>
        <v/>
      </c>
      <c r="U1925" s="22">
        <f>IF(OR($H1925="",$T1925="",$T1925&lt;=0),"",$H1925*60/$T1925)</f>
        <v/>
      </c>
      <c r="V1925" s="37">
        <f>IF(OR($U1925="",$R1925="",$R1925=0),"",$U1925/$R1925)</f>
        <v/>
      </c>
      <c r="W1925" s="20">
        <f>IF($G1925="","",IF($X1925="CONTEXTE INCOMPLET","CONTEXTE INCOMPLET",IF($X1925="DOUBLON",StatutDoublon,IF($S1925="",StatutInitial,IF($R1925="",StatutStandardManquant,IF($V1925="","DONNEES INSUFFISANTES",IF($V1925&gt;=SeuilConforme,StatutConforme,IF($V1925&gt;=SeuilSurveiller,StatutSurveiller,StatutSousStandard))))))))</f>
        <v/>
      </c>
      <c r="X1925" s="33">
        <f>IF($G1925="","",IF(OR($D1925="",$E1925="",$F1925=""),"CONTEXTE INCOMPLET",IF(COUNTIFS($D1025:$D1924,$D1925,$E1025:$E1924,$E1925,$F1025:$F1924,$F1925,$G1025:$G1924,$G1925)&gt;0,"DOUBLON","VALIDE")))</f>
        <v/>
      </c>
    </row>
    <row r="1926" ht="15" customHeight="1">
      <c r="A1926" s="12">
        <f>IF(OR($B1926="",$G1926=""),"",TEXT($B1926,"YYYYMMDD")&amp;"-"&amp;SUBSTITUTE($E1926," ","")&amp;"-"&amp;$F1926&amp;"-"&amp;$G1926)</f>
        <v/>
      </c>
      <c r="B1926" s="15" t="n"/>
      <c r="C1926" s="16" t="n"/>
      <c r="D1926" s="10" t="n"/>
      <c r="E1926" s="9" t="n"/>
      <c r="F1926" s="9" t="n"/>
      <c r="G1926" s="13" t="n"/>
      <c r="H1926" s="21" t="n"/>
      <c r="I1926" s="21" t="n"/>
      <c r="J1926" s="17">
        <f>IF($G1926="","",IFERROR(INDEX(NomsEmployes,MATCH($G1926,MatriculesEmployes,0)),"MATRICULE INCONNU"))</f>
        <v/>
      </c>
      <c r="K1926" s="33">
        <f>IF(OR($D1926="",$F1926=""),"",IFERROR(IF(INDEX(RUNS!$L$6:$S$1005,MATCH($D1926,RUNS!$A$6:$A$1005,0),MATCH("ACTIVITÉ "&amp;$F1926,RUNS!$L$5:$S$5,0))="","",INDEX(RUNS!$L$6:$S$1005,MATCH($D1926,RUNS!$A$6:$A$1005,0),MATCH("ACTIVITÉ "&amp;$F1926,RUNS!$L$5:$S$5,0))),""))</f>
        <v/>
      </c>
      <c r="L1926" s="33">
        <f>IF($D1926="","",IFERROR(IF(INDEX(RUNS!$E$6:$E$1005,MATCH($D1926,RUNS!$A$6:$A$1005,0))="","",INDEX(RUNS!$E$6:$E$1005,MATCH($D1926,RUNS!$A$6:$A$1005,0))),""))</f>
        <v/>
      </c>
      <c r="M1926" s="33">
        <f>IF($D1926="","",IFERROR(IF(INDEX(RUNS!$F$6:$F$1005,MATCH($D1926,RUNS!$A$6:$A$1005,0))="","",INDEX(RUNS!$F$6:$F$1005,MATCH($D1926,RUNS!$A$6:$A$1005,0))),""))</f>
        <v/>
      </c>
      <c r="N1926" s="33">
        <f>IF($D1926="","",IFERROR(IF(INDEX(RUNS!$G$6:$G$1005,MATCH($D1926,RUNS!$A$6:$A$1005,0))="","",INDEX(RUNS!$G$6:$G$1005,MATCH($D1926,RUNS!$A$6:$A$1005,0))),""))</f>
        <v/>
      </c>
      <c r="O1926" s="33">
        <f>IF($D1926="","",IFERROR(IF(INDEX(RUNS!$H$6:$H$1005,MATCH($D1926,RUNS!$A$6:$A$1005,0))="","",INDEX(RUNS!$H$6:$H$1005,MATCH($D1926,RUNS!$A$6:$A$1005,0))),""))</f>
        <v/>
      </c>
      <c r="P1926" s="33">
        <f>IF($D1926="","",IFERROR(IF(INDEX(RUNS!$J$6:$J$1005,MATCH($D1926,RUNS!$A$6:$A$1005,0))="","",INDEX(RUNS!$J$6:$J$1005,MATCH($D1926,RUNS!$A$6:$A$1005,0))),""))</f>
        <v/>
      </c>
      <c r="Q1926" s="33">
        <f>IF($D1926="","",IFERROR(IF(INDEX(RUNS!$K$6:$K$1005,MATCH($D1926,RUNS!$A$6:$A$1005,0))="","",INDEX(RUNS!$K$6:$K$1005,MATCH($D1926,RUNS!$A$6:$A$1005,0))),""))</f>
        <v/>
      </c>
      <c r="R1926" s="34">
        <f>IF(OR($L1926="",$K1926=""),"",IFERROR(IF(INDEX(PARAMETRES!$H$43:$H$342,MATCH($L1926&amp;"|"&amp;$M1926&amp;"|"&amp;$N1926&amp;"|"&amp;$O1926&amp;"|"&amp;$P1926&amp;"|"&amp;$Q1926&amp;"|"&amp;$K1926,PARAMETRES!$J$43:$J$342,0))="","",INDEX(PARAMETRES!$H$43:$H$342,MATCH($L1926&amp;"|"&amp;$M1926&amp;"|"&amp;$N1926&amp;"|"&amp;$O1926&amp;"|"&amp;$P1926&amp;"|"&amp;$Q1926&amp;"|"&amp;$K1926,PARAMETRES!$J$43:$J$342,0))),""))</f>
        <v/>
      </c>
      <c r="S1926" s="35">
        <f>IF(OR($G1926="",$X1926&lt;&gt;"VALIDE"),"",IFERROR(LOOKUP(2,1/(($B1026:$B1925=$B1926)*($G1026:$G1925=$G1926)*($X1026:$X1925="VALIDE")),$C1026:$C1925),""))</f>
        <v/>
      </c>
      <c r="T1926" s="36">
        <f>IF(OR($C1926="",$S1926=""),"",ROUND(($C1926-$S1926+IF($C1926&lt;$S1926,1,0))*1440,0))</f>
        <v/>
      </c>
      <c r="U1926" s="22">
        <f>IF(OR($H1926="",$T1926="",$T1926&lt;=0),"",$H1926*60/$T1926)</f>
        <v/>
      </c>
      <c r="V1926" s="37">
        <f>IF(OR($U1926="",$R1926="",$R1926=0),"",$U1926/$R1926)</f>
        <v/>
      </c>
      <c r="W1926" s="20">
        <f>IF($G1926="","",IF($X1926="CONTEXTE INCOMPLET","CONTEXTE INCOMPLET",IF($X1926="DOUBLON",StatutDoublon,IF($S1926="",StatutInitial,IF($R1926="",StatutStandardManquant,IF($V1926="","DONNEES INSUFFISANTES",IF($V1926&gt;=SeuilConforme,StatutConforme,IF($V1926&gt;=SeuilSurveiller,StatutSurveiller,StatutSousStandard))))))))</f>
        <v/>
      </c>
      <c r="X1926" s="33">
        <f>IF($G1926="","",IF(OR($D1926="",$E1926="",$F1926=""),"CONTEXTE INCOMPLET",IF(COUNTIFS($D1026:$D1925,$D1926,$E1026:$E1925,$E1926,$F1026:$F1925,$F1926,$G1026:$G1925,$G1926)&gt;0,"DOUBLON","VALIDE")))</f>
        <v/>
      </c>
    </row>
    <row r="1927" ht="15" customHeight="1">
      <c r="A1927" s="12">
        <f>IF(OR($B1927="",$G1927=""),"",TEXT($B1927,"YYYYMMDD")&amp;"-"&amp;SUBSTITUTE($E1927," ","")&amp;"-"&amp;$F1927&amp;"-"&amp;$G1927)</f>
        <v/>
      </c>
      <c r="B1927" s="15" t="n"/>
      <c r="C1927" s="16" t="n"/>
      <c r="D1927" s="10" t="n"/>
      <c r="E1927" s="9" t="n"/>
      <c r="F1927" s="9" t="n"/>
      <c r="G1927" s="13" t="n"/>
      <c r="H1927" s="21" t="n"/>
      <c r="I1927" s="21" t="n"/>
      <c r="J1927" s="17">
        <f>IF($G1927="","",IFERROR(INDEX(NomsEmployes,MATCH($G1927,MatriculesEmployes,0)),"MATRICULE INCONNU"))</f>
        <v/>
      </c>
      <c r="K1927" s="33">
        <f>IF(OR($D1927="",$F1927=""),"",IFERROR(IF(INDEX(RUNS!$L$6:$S$1005,MATCH($D1927,RUNS!$A$6:$A$1005,0),MATCH("ACTIVITÉ "&amp;$F1927,RUNS!$L$5:$S$5,0))="","",INDEX(RUNS!$L$6:$S$1005,MATCH($D1927,RUNS!$A$6:$A$1005,0),MATCH("ACTIVITÉ "&amp;$F1927,RUNS!$L$5:$S$5,0))),""))</f>
        <v/>
      </c>
      <c r="L1927" s="33">
        <f>IF($D1927="","",IFERROR(IF(INDEX(RUNS!$E$6:$E$1005,MATCH($D1927,RUNS!$A$6:$A$1005,0))="","",INDEX(RUNS!$E$6:$E$1005,MATCH($D1927,RUNS!$A$6:$A$1005,0))),""))</f>
        <v/>
      </c>
      <c r="M1927" s="33">
        <f>IF($D1927="","",IFERROR(IF(INDEX(RUNS!$F$6:$F$1005,MATCH($D1927,RUNS!$A$6:$A$1005,0))="","",INDEX(RUNS!$F$6:$F$1005,MATCH($D1927,RUNS!$A$6:$A$1005,0))),""))</f>
        <v/>
      </c>
      <c r="N1927" s="33">
        <f>IF($D1927="","",IFERROR(IF(INDEX(RUNS!$G$6:$G$1005,MATCH($D1927,RUNS!$A$6:$A$1005,0))="","",INDEX(RUNS!$G$6:$G$1005,MATCH($D1927,RUNS!$A$6:$A$1005,0))),""))</f>
        <v/>
      </c>
      <c r="O1927" s="33">
        <f>IF($D1927="","",IFERROR(IF(INDEX(RUNS!$H$6:$H$1005,MATCH($D1927,RUNS!$A$6:$A$1005,0))="","",INDEX(RUNS!$H$6:$H$1005,MATCH($D1927,RUNS!$A$6:$A$1005,0))),""))</f>
        <v/>
      </c>
      <c r="P1927" s="33">
        <f>IF($D1927="","",IFERROR(IF(INDEX(RUNS!$J$6:$J$1005,MATCH($D1927,RUNS!$A$6:$A$1005,0))="","",INDEX(RUNS!$J$6:$J$1005,MATCH($D1927,RUNS!$A$6:$A$1005,0))),""))</f>
        <v/>
      </c>
      <c r="Q1927" s="33">
        <f>IF($D1927="","",IFERROR(IF(INDEX(RUNS!$K$6:$K$1005,MATCH($D1927,RUNS!$A$6:$A$1005,0))="","",INDEX(RUNS!$K$6:$K$1005,MATCH($D1927,RUNS!$A$6:$A$1005,0))),""))</f>
        <v/>
      </c>
      <c r="R1927" s="34">
        <f>IF(OR($L1927="",$K1927=""),"",IFERROR(IF(INDEX(PARAMETRES!$H$43:$H$342,MATCH($L1927&amp;"|"&amp;$M1927&amp;"|"&amp;$N1927&amp;"|"&amp;$O1927&amp;"|"&amp;$P1927&amp;"|"&amp;$Q1927&amp;"|"&amp;$K1927,PARAMETRES!$J$43:$J$342,0))="","",INDEX(PARAMETRES!$H$43:$H$342,MATCH($L1927&amp;"|"&amp;$M1927&amp;"|"&amp;$N1927&amp;"|"&amp;$O1927&amp;"|"&amp;$P1927&amp;"|"&amp;$Q1927&amp;"|"&amp;$K1927,PARAMETRES!$J$43:$J$342,0))),""))</f>
        <v/>
      </c>
      <c r="S1927" s="35">
        <f>IF(OR($G1927="",$X1927&lt;&gt;"VALIDE"),"",IFERROR(LOOKUP(2,1/(($B1027:$B1926=$B1927)*($G1027:$G1926=$G1927)*($X1027:$X1926="VALIDE")),$C1027:$C1926),""))</f>
        <v/>
      </c>
      <c r="T1927" s="36">
        <f>IF(OR($C1927="",$S1927=""),"",ROUND(($C1927-$S1927+IF($C1927&lt;$S1927,1,0))*1440,0))</f>
        <v/>
      </c>
      <c r="U1927" s="22">
        <f>IF(OR($H1927="",$T1927="",$T1927&lt;=0),"",$H1927*60/$T1927)</f>
        <v/>
      </c>
      <c r="V1927" s="37">
        <f>IF(OR($U1927="",$R1927="",$R1927=0),"",$U1927/$R1927)</f>
        <v/>
      </c>
      <c r="W1927" s="20">
        <f>IF($G1927="","",IF($X1927="CONTEXTE INCOMPLET","CONTEXTE INCOMPLET",IF($X1927="DOUBLON",StatutDoublon,IF($S1927="",StatutInitial,IF($R1927="",StatutStandardManquant,IF($V1927="","DONNEES INSUFFISANTES",IF($V1927&gt;=SeuilConforme,StatutConforme,IF($V1927&gt;=SeuilSurveiller,StatutSurveiller,StatutSousStandard))))))))</f>
        <v/>
      </c>
      <c r="X1927" s="33">
        <f>IF($G1927="","",IF(OR($D1927="",$E1927="",$F1927=""),"CONTEXTE INCOMPLET",IF(COUNTIFS($D1027:$D1926,$D1927,$E1027:$E1926,$E1927,$F1027:$F1926,$F1927,$G1027:$G1926,$G1927)&gt;0,"DOUBLON","VALIDE")))</f>
        <v/>
      </c>
    </row>
    <row r="1928" ht="15" customHeight="1">
      <c r="A1928" s="12">
        <f>IF(OR($B1928="",$G1928=""),"",TEXT($B1928,"YYYYMMDD")&amp;"-"&amp;SUBSTITUTE($E1928," ","")&amp;"-"&amp;$F1928&amp;"-"&amp;$G1928)</f>
        <v/>
      </c>
      <c r="B1928" s="15" t="n"/>
      <c r="C1928" s="16" t="n"/>
      <c r="D1928" s="10" t="n"/>
      <c r="E1928" s="9" t="n"/>
      <c r="F1928" s="9" t="n"/>
      <c r="G1928" s="13" t="n"/>
      <c r="H1928" s="21" t="n"/>
      <c r="I1928" s="21" t="n"/>
      <c r="J1928" s="17">
        <f>IF($G1928="","",IFERROR(INDEX(NomsEmployes,MATCH($G1928,MatriculesEmployes,0)),"MATRICULE INCONNU"))</f>
        <v/>
      </c>
      <c r="K1928" s="33">
        <f>IF(OR($D1928="",$F1928=""),"",IFERROR(IF(INDEX(RUNS!$L$6:$S$1005,MATCH($D1928,RUNS!$A$6:$A$1005,0),MATCH("ACTIVITÉ "&amp;$F1928,RUNS!$L$5:$S$5,0))="","",INDEX(RUNS!$L$6:$S$1005,MATCH($D1928,RUNS!$A$6:$A$1005,0),MATCH("ACTIVITÉ "&amp;$F1928,RUNS!$L$5:$S$5,0))),""))</f>
        <v/>
      </c>
      <c r="L1928" s="33">
        <f>IF($D1928="","",IFERROR(IF(INDEX(RUNS!$E$6:$E$1005,MATCH($D1928,RUNS!$A$6:$A$1005,0))="","",INDEX(RUNS!$E$6:$E$1005,MATCH($D1928,RUNS!$A$6:$A$1005,0))),""))</f>
        <v/>
      </c>
      <c r="M1928" s="33">
        <f>IF($D1928="","",IFERROR(IF(INDEX(RUNS!$F$6:$F$1005,MATCH($D1928,RUNS!$A$6:$A$1005,0))="","",INDEX(RUNS!$F$6:$F$1005,MATCH($D1928,RUNS!$A$6:$A$1005,0))),""))</f>
        <v/>
      </c>
      <c r="N1928" s="33">
        <f>IF($D1928="","",IFERROR(IF(INDEX(RUNS!$G$6:$G$1005,MATCH($D1928,RUNS!$A$6:$A$1005,0))="","",INDEX(RUNS!$G$6:$G$1005,MATCH($D1928,RUNS!$A$6:$A$1005,0))),""))</f>
        <v/>
      </c>
      <c r="O1928" s="33">
        <f>IF($D1928="","",IFERROR(IF(INDEX(RUNS!$H$6:$H$1005,MATCH($D1928,RUNS!$A$6:$A$1005,0))="","",INDEX(RUNS!$H$6:$H$1005,MATCH($D1928,RUNS!$A$6:$A$1005,0))),""))</f>
        <v/>
      </c>
      <c r="P1928" s="33">
        <f>IF($D1928="","",IFERROR(IF(INDEX(RUNS!$J$6:$J$1005,MATCH($D1928,RUNS!$A$6:$A$1005,0))="","",INDEX(RUNS!$J$6:$J$1005,MATCH($D1928,RUNS!$A$6:$A$1005,0))),""))</f>
        <v/>
      </c>
      <c r="Q1928" s="33">
        <f>IF($D1928="","",IFERROR(IF(INDEX(RUNS!$K$6:$K$1005,MATCH($D1928,RUNS!$A$6:$A$1005,0))="","",INDEX(RUNS!$K$6:$K$1005,MATCH($D1928,RUNS!$A$6:$A$1005,0))),""))</f>
        <v/>
      </c>
      <c r="R1928" s="34">
        <f>IF(OR($L1928="",$K1928=""),"",IFERROR(IF(INDEX(PARAMETRES!$H$43:$H$342,MATCH($L1928&amp;"|"&amp;$M1928&amp;"|"&amp;$N1928&amp;"|"&amp;$O1928&amp;"|"&amp;$P1928&amp;"|"&amp;$Q1928&amp;"|"&amp;$K1928,PARAMETRES!$J$43:$J$342,0))="","",INDEX(PARAMETRES!$H$43:$H$342,MATCH($L1928&amp;"|"&amp;$M1928&amp;"|"&amp;$N1928&amp;"|"&amp;$O1928&amp;"|"&amp;$P1928&amp;"|"&amp;$Q1928&amp;"|"&amp;$K1928,PARAMETRES!$J$43:$J$342,0))),""))</f>
        <v/>
      </c>
      <c r="S1928" s="35">
        <f>IF(OR($G1928="",$X1928&lt;&gt;"VALIDE"),"",IFERROR(LOOKUP(2,1/(($B1028:$B1927=$B1928)*($G1028:$G1927=$G1928)*($X1028:$X1927="VALIDE")),$C1028:$C1927),""))</f>
        <v/>
      </c>
      <c r="T1928" s="36">
        <f>IF(OR($C1928="",$S1928=""),"",ROUND(($C1928-$S1928+IF($C1928&lt;$S1928,1,0))*1440,0))</f>
        <v/>
      </c>
      <c r="U1928" s="22">
        <f>IF(OR($H1928="",$T1928="",$T1928&lt;=0),"",$H1928*60/$T1928)</f>
        <v/>
      </c>
      <c r="V1928" s="37">
        <f>IF(OR($U1928="",$R1928="",$R1928=0),"",$U1928/$R1928)</f>
        <v/>
      </c>
      <c r="W1928" s="20">
        <f>IF($G1928="","",IF($X1928="CONTEXTE INCOMPLET","CONTEXTE INCOMPLET",IF($X1928="DOUBLON",StatutDoublon,IF($S1928="",StatutInitial,IF($R1928="",StatutStandardManquant,IF($V1928="","DONNEES INSUFFISANTES",IF($V1928&gt;=SeuilConforme,StatutConforme,IF($V1928&gt;=SeuilSurveiller,StatutSurveiller,StatutSousStandard))))))))</f>
        <v/>
      </c>
      <c r="X1928" s="33">
        <f>IF($G1928="","",IF(OR($D1928="",$E1928="",$F1928=""),"CONTEXTE INCOMPLET",IF(COUNTIFS($D1028:$D1927,$D1928,$E1028:$E1927,$E1928,$F1028:$F1927,$F1928,$G1028:$G1927,$G1928)&gt;0,"DOUBLON","VALIDE")))</f>
        <v/>
      </c>
    </row>
    <row r="1929" ht="15" customHeight="1">
      <c r="A1929" s="12">
        <f>IF(OR($B1929="",$G1929=""),"",TEXT($B1929,"YYYYMMDD")&amp;"-"&amp;SUBSTITUTE($E1929," ","")&amp;"-"&amp;$F1929&amp;"-"&amp;$G1929)</f>
        <v/>
      </c>
      <c r="B1929" s="15" t="n"/>
      <c r="C1929" s="16" t="n"/>
      <c r="D1929" s="10" t="n"/>
      <c r="E1929" s="9" t="n"/>
      <c r="F1929" s="9" t="n"/>
      <c r="G1929" s="13" t="n"/>
      <c r="H1929" s="21" t="n"/>
      <c r="I1929" s="21" t="n"/>
      <c r="J1929" s="17">
        <f>IF($G1929="","",IFERROR(INDEX(NomsEmployes,MATCH($G1929,MatriculesEmployes,0)),"MATRICULE INCONNU"))</f>
        <v/>
      </c>
      <c r="K1929" s="33">
        <f>IF(OR($D1929="",$F1929=""),"",IFERROR(IF(INDEX(RUNS!$L$6:$S$1005,MATCH($D1929,RUNS!$A$6:$A$1005,0),MATCH("ACTIVITÉ "&amp;$F1929,RUNS!$L$5:$S$5,0))="","",INDEX(RUNS!$L$6:$S$1005,MATCH($D1929,RUNS!$A$6:$A$1005,0),MATCH("ACTIVITÉ "&amp;$F1929,RUNS!$L$5:$S$5,0))),""))</f>
        <v/>
      </c>
      <c r="L1929" s="33">
        <f>IF($D1929="","",IFERROR(IF(INDEX(RUNS!$E$6:$E$1005,MATCH($D1929,RUNS!$A$6:$A$1005,0))="","",INDEX(RUNS!$E$6:$E$1005,MATCH($D1929,RUNS!$A$6:$A$1005,0))),""))</f>
        <v/>
      </c>
      <c r="M1929" s="33">
        <f>IF($D1929="","",IFERROR(IF(INDEX(RUNS!$F$6:$F$1005,MATCH($D1929,RUNS!$A$6:$A$1005,0))="","",INDEX(RUNS!$F$6:$F$1005,MATCH($D1929,RUNS!$A$6:$A$1005,0))),""))</f>
        <v/>
      </c>
      <c r="N1929" s="33">
        <f>IF($D1929="","",IFERROR(IF(INDEX(RUNS!$G$6:$G$1005,MATCH($D1929,RUNS!$A$6:$A$1005,0))="","",INDEX(RUNS!$G$6:$G$1005,MATCH($D1929,RUNS!$A$6:$A$1005,0))),""))</f>
        <v/>
      </c>
      <c r="O1929" s="33">
        <f>IF($D1929="","",IFERROR(IF(INDEX(RUNS!$H$6:$H$1005,MATCH($D1929,RUNS!$A$6:$A$1005,0))="","",INDEX(RUNS!$H$6:$H$1005,MATCH($D1929,RUNS!$A$6:$A$1005,0))),""))</f>
        <v/>
      </c>
      <c r="P1929" s="33">
        <f>IF($D1929="","",IFERROR(IF(INDEX(RUNS!$J$6:$J$1005,MATCH($D1929,RUNS!$A$6:$A$1005,0))="","",INDEX(RUNS!$J$6:$J$1005,MATCH($D1929,RUNS!$A$6:$A$1005,0))),""))</f>
        <v/>
      </c>
      <c r="Q1929" s="33">
        <f>IF($D1929="","",IFERROR(IF(INDEX(RUNS!$K$6:$K$1005,MATCH($D1929,RUNS!$A$6:$A$1005,0))="","",INDEX(RUNS!$K$6:$K$1005,MATCH($D1929,RUNS!$A$6:$A$1005,0))),""))</f>
        <v/>
      </c>
      <c r="R1929" s="34">
        <f>IF(OR($L1929="",$K1929=""),"",IFERROR(IF(INDEX(PARAMETRES!$H$43:$H$342,MATCH($L1929&amp;"|"&amp;$M1929&amp;"|"&amp;$N1929&amp;"|"&amp;$O1929&amp;"|"&amp;$P1929&amp;"|"&amp;$Q1929&amp;"|"&amp;$K1929,PARAMETRES!$J$43:$J$342,0))="","",INDEX(PARAMETRES!$H$43:$H$342,MATCH($L1929&amp;"|"&amp;$M1929&amp;"|"&amp;$N1929&amp;"|"&amp;$O1929&amp;"|"&amp;$P1929&amp;"|"&amp;$Q1929&amp;"|"&amp;$K1929,PARAMETRES!$J$43:$J$342,0))),""))</f>
        <v/>
      </c>
      <c r="S1929" s="35">
        <f>IF(OR($G1929="",$X1929&lt;&gt;"VALIDE"),"",IFERROR(LOOKUP(2,1/(($B1029:$B1928=$B1929)*($G1029:$G1928=$G1929)*($X1029:$X1928="VALIDE")),$C1029:$C1928),""))</f>
        <v/>
      </c>
      <c r="T1929" s="36">
        <f>IF(OR($C1929="",$S1929=""),"",ROUND(($C1929-$S1929+IF($C1929&lt;$S1929,1,0))*1440,0))</f>
        <v/>
      </c>
      <c r="U1929" s="22">
        <f>IF(OR($H1929="",$T1929="",$T1929&lt;=0),"",$H1929*60/$T1929)</f>
        <v/>
      </c>
      <c r="V1929" s="37">
        <f>IF(OR($U1929="",$R1929="",$R1929=0),"",$U1929/$R1929)</f>
        <v/>
      </c>
      <c r="W1929" s="20">
        <f>IF($G1929="","",IF($X1929="CONTEXTE INCOMPLET","CONTEXTE INCOMPLET",IF($X1929="DOUBLON",StatutDoublon,IF($S1929="",StatutInitial,IF($R1929="",StatutStandardManquant,IF($V1929="","DONNEES INSUFFISANTES",IF($V1929&gt;=SeuilConforme,StatutConforme,IF($V1929&gt;=SeuilSurveiller,StatutSurveiller,StatutSousStandard))))))))</f>
        <v/>
      </c>
      <c r="X1929" s="33">
        <f>IF($G1929="","",IF(OR($D1929="",$E1929="",$F1929=""),"CONTEXTE INCOMPLET",IF(COUNTIFS($D1029:$D1928,$D1929,$E1029:$E1928,$E1929,$F1029:$F1928,$F1929,$G1029:$G1928,$G1929)&gt;0,"DOUBLON","VALIDE")))</f>
        <v/>
      </c>
    </row>
    <row r="1930" ht="15" customHeight="1">
      <c r="A1930" s="12">
        <f>IF(OR($B1930="",$G1930=""),"",TEXT($B1930,"YYYYMMDD")&amp;"-"&amp;SUBSTITUTE($E1930," ","")&amp;"-"&amp;$F1930&amp;"-"&amp;$G1930)</f>
        <v/>
      </c>
      <c r="B1930" s="15" t="n"/>
      <c r="C1930" s="16" t="n"/>
      <c r="D1930" s="10" t="n"/>
      <c r="E1930" s="9" t="n"/>
      <c r="F1930" s="9" t="n"/>
      <c r="G1930" s="13" t="n"/>
      <c r="H1930" s="21" t="n"/>
      <c r="I1930" s="21" t="n"/>
      <c r="J1930" s="17">
        <f>IF($G1930="","",IFERROR(INDEX(NomsEmployes,MATCH($G1930,MatriculesEmployes,0)),"MATRICULE INCONNU"))</f>
        <v/>
      </c>
      <c r="K1930" s="33">
        <f>IF(OR($D1930="",$F1930=""),"",IFERROR(IF(INDEX(RUNS!$L$6:$S$1005,MATCH($D1930,RUNS!$A$6:$A$1005,0),MATCH("ACTIVITÉ "&amp;$F1930,RUNS!$L$5:$S$5,0))="","",INDEX(RUNS!$L$6:$S$1005,MATCH($D1930,RUNS!$A$6:$A$1005,0),MATCH("ACTIVITÉ "&amp;$F1930,RUNS!$L$5:$S$5,0))),""))</f>
        <v/>
      </c>
      <c r="L1930" s="33">
        <f>IF($D1930="","",IFERROR(IF(INDEX(RUNS!$E$6:$E$1005,MATCH($D1930,RUNS!$A$6:$A$1005,0))="","",INDEX(RUNS!$E$6:$E$1005,MATCH($D1930,RUNS!$A$6:$A$1005,0))),""))</f>
        <v/>
      </c>
      <c r="M1930" s="33">
        <f>IF($D1930="","",IFERROR(IF(INDEX(RUNS!$F$6:$F$1005,MATCH($D1930,RUNS!$A$6:$A$1005,0))="","",INDEX(RUNS!$F$6:$F$1005,MATCH($D1930,RUNS!$A$6:$A$1005,0))),""))</f>
        <v/>
      </c>
      <c r="N1930" s="33">
        <f>IF($D1930="","",IFERROR(IF(INDEX(RUNS!$G$6:$G$1005,MATCH($D1930,RUNS!$A$6:$A$1005,0))="","",INDEX(RUNS!$G$6:$G$1005,MATCH($D1930,RUNS!$A$6:$A$1005,0))),""))</f>
        <v/>
      </c>
      <c r="O1930" s="33">
        <f>IF($D1930="","",IFERROR(IF(INDEX(RUNS!$H$6:$H$1005,MATCH($D1930,RUNS!$A$6:$A$1005,0))="","",INDEX(RUNS!$H$6:$H$1005,MATCH($D1930,RUNS!$A$6:$A$1005,0))),""))</f>
        <v/>
      </c>
      <c r="P1930" s="33">
        <f>IF($D1930="","",IFERROR(IF(INDEX(RUNS!$J$6:$J$1005,MATCH($D1930,RUNS!$A$6:$A$1005,0))="","",INDEX(RUNS!$J$6:$J$1005,MATCH($D1930,RUNS!$A$6:$A$1005,0))),""))</f>
        <v/>
      </c>
      <c r="Q1930" s="33">
        <f>IF($D1930="","",IFERROR(IF(INDEX(RUNS!$K$6:$K$1005,MATCH($D1930,RUNS!$A$6:$A$1005,0))="","",INDEX(RUNS!$K$6:$K$1005,MATCH($D1930,RUNS!$A$6:$A$1005,0))),""))</f>
        <v/>
      </c>
      <c r="R1930" s="34">
        <f>IF(OR($L1930="",$K1930=""),"",IFERROR(IF(INDEX(PARAMETRES!$H$43:$H$342,MATCH($L1930&amp;"|"&amp;$M1930&amp;"|"&amp;$N1930&amp;"|"&amp;$O1930&amp;"|"&amp;$P1930&amp;"|"&amp;$Q1930&amp;"|"&amp;$K1930,PARAMETRES!$J$43:$J$342,0))="","",INDEX(PARAMETRES!$H$43:$H$342,MATCH($L1930&amp;"|"&amp;$M1930&amp;"|"&amp;$N1930&amp;"|"&amp;$O1930&amp;"|"&amp;$P1930&amp;"|"&amp;$Q1930&amp;"|"&amp;$K1930,PARAMETRES!$J$43:$J$342,0))),""))</f>
        <v/>
      </c>
      <c r="S1930" s="35">
        <f>IF(OR($G1930="",$X1930&lt;&gt;"VALIDE"),"",IFERROR(LOOKUP(2,1/(($B1030:$B1929=$B1930)*($G1030:$G1929=$G1930)*($X1030:$X1929="VALIDE")),$C1030:$C1929),""))</f>
        <v/>
      </c>
      <c r="T1930" s="36">
        <f>IF(OR($C1930="",$S1930=""),"",ROUND(($C1930-$S1930+IF($C1930&lt;$S1930,1,0))*1440,0))</f>
        <v/>
      </c>
      <c r="U1930" s="22">
        <f>IF(OR($H1930="",$T1930="",$T1930&lt;=0),"",$H1930*60/$T1930)</f>
        <v/>
      </c>
      <c r="V1930" s="37">
        <f>IF(OR($U1930="",$R1930="",$R1930=0),"",$U1930/$R1930)</f>
        <v/>
      </c>
      <c r="W1930" s="20">
        <f>IF($G1930="","",IF($X1930="CONTEXTE INCOMPLET","CONTEXTE INCOMPLET",IF($X1930="DOUBLON",StatutDoublon,IF($S1930="",StatutInitial,IF($R1930="",StatutStandardManquant,IF($V1930="","DONNEES INSUFFISANTES",IF($V1930&gt;=SeuilConforme,StatutConforme,IF($V1930&gt;=SeuilSurveiller,StatutSurveiller,StatutSousStandard))))))))</f>
        <v/>
      </c>
      <c r="X1930" s="33">
        <f>IF($G1930="","",IF(OR($D1930="",$E1930="",$F1930=""),"CONTEXTE INCOMPLET",IF(COUNTIFS($D1030:$D1929,$D1930,$E1030:$E1929,$E1930,$F1030:$F1929,$F1930,$G1030:$G1929,$G1930)&gt;0,"DOUBLON","VALIDE")))</f>
        <v/>
      </c>
    </row>
    <row r="1931" ht="15" customHeight="1">
      <c r="A1931" s="12">
        <f>IF(OR($B1931="",$G1931=""),"",TEXT($B1931,"YYYYMMDD")&amp;"-"&amp;SUBSTITUTE($E1931," ","")&amp;"-"&amp;$F1931&amp;"-"&amp;$G1931)</f>
        <v/>
      </c>
      <c r="B1931" s="15" t="n"/>
      <c r="C1931" s="16" t="n"/>
      <c r="D1931" s="10" t="n"/>
      <c r="E1931" s="9" t="n"/>
      <c r="F1931" s="9" t="n"/>
      <c r="G1931" s="13" t="n"/>
      <c r="H1931" s="21" t="n"/>
      <c r="I1931" s="21" t="n"/>
      <c r="J1931" s="17">
        <f>IF($G1931="","",IFERROR(INDEX(NomsEmployes,MATCH($G1931,MatriculesEmployes,0)),"MATRICULE INCONNU"))</f>
        <v/>
      </c>
      <c r="K1931" s="33">
        <f>IF(OR($D1931="",$F1931=""),"",IFERROR(IF(INDEX(RUNS!$L$6:$S$1005,MATCH($D1931,RUNS!$A$6:$A$1005,0),MATCH("ACTIVITÉ "&amp;$F1931,RUNS!$L$5:$S$5,0))="","",INDEX(RUNS!$L$6:$S$1005,MATCH($D1931,RUNS!$A$6:$A$1005,0),MATCH("ACTIVITÉ "&amp;$F1931,RUNS!$L$5:$S$5,0))),""))</f>
        <v/>
      </c>
      <c r="L1931" s="33">
        <f>IF($D1931="","",IFERROR(IF(INDEX(RUNS!$E$6:$E$1005,MATCH($D1931,RUNS!$A$6:$A$1005,0))="","",INDEX(RUNS!$E$6:$E$1005,MATCH($D1931,RUNS!$A$6:$A$1005,0))),""))</f>
        <v/>
      </c>
      <c r="M1931" s="33">
        <f>IF($D1931="","",IFERROR(IF(INDEX(RUNS!$F$6:$F$1005,MATCH($D1931,RUNS!$A$6:$A$1005,0))="","",INDEX(RUNS!$F$6:$F$1005,MATCH($D1931,RUNS!$A$6:$A$1005,0))),""))</f>
        <v/>
      </c>
      <c r="N1931" s="33">
        <f>IF($D1931="","",IFERROR(IF(INDEX(RUNS!$G$6:$G$1005,MATCH($D1931,RUNS!$A$6:$A$1005,0))="","",INDEX(RUNS!$G$6:$G$1005,MATCH($D1931,RUNS!$A$6:$A$1005,0))),""))</f>
        <v/>
      </c>
      <c r="O1931" s="33">
        <f>IF($D1931="","",IFERROR(IF(INDEX(RUNS!$H$6:$H$1005,MATCH($D1931,RUNS!$A$6:$A$1005,0))="","",INDEX(RUNS!$H$6:$H$1005,MATCH($D1931,RUNS!$A$6:$A$1005,0))),""))</f>
        <v/>
      </c>
      <c r="P1931" s="33">
        <f>IF($D1931="","",IFERROR(IF(INDEX(RUNS!$J$6:$J$1005,MATCH($D1931,RUNS!$A$6:$A$1005,0))="","",INDEX(RUNS!$J$6:$J$1005,MATCH($D1931,RUNS!$A$6:$A$1005,0))),""))</f>
        <v/>
      </c>
      <c r="Q1931" s="33">
        <f>IF($D1931="","",IFERROR(IF(INDEX(RUNS!$K$6:$K$1005,MATCH($D1931,RUNS!$A$6:$A$1005,0))="","",INDEX(RUNS!$K$6:$K$1005,MATCH($D1931,RUNS!$A$6:$A$1005,0))),""))</f>
        <v/>
      </c>
      <c r="R1931" s="34">
        <f>IF(OR($L1931="",$K1931=""),"",IFERROR(IF(INDEX(PARAMETRES!$H$43:$H$342,MATCH($L1931&amp;"|"&amp;$M1931&amp;"|"&amp;$N1931&amp;"|"&amp;$O1931&amp;"|"&amp;$P1931&amp;"|"&amp;$Q1931&amp;"|"&amp;$K1931,PARAMETRES!$J$43:$J$342,0))="","",INDEX(PARAMETRES!$H$43:$H$342,MATCH($L1931&amp;"|"&amp;$M1931&amp;"|"&amp;$N1931&amp;"|"&amp;$O1931&amp;"|"&amp;$P1931&amp;"|"&amp;$Q1931&amp;"|"&amp;$K1931,PARAMETRES!$J$43:$J$342,0))),""))</f>
        <v/>
      </c>
      <c r="S1931" s="35">
        <f>IF(OR($G1931="",$X1931&lt;&gt;"VALIDE"),"",IFERROR(LOOKUP(2,1/(($B1031:$B1930=$B1931)*($G1031:$G1930=$G1931)*($X1031:$X1930="VALIDE")),$C1031:$C1930),""))</f>
        <v/>
      </c>
      <c r="T1931" s="36">
        <f>IF(OR($C1931="",$S1931=""),"",ROUND(($C1931-$S1931+IF($C1931&lt;$S1931,1,0))*1440,0))</f>
        <v/>
      </c>
      <c r="U1931" s="22">
        <f>IF(OR($H1931="",$T1931="",$T1931&lt;=0),"",$H1931*60/$T1931)</f>
        <v/>
      </c>
      <c r="V1931" s="37">
        <f>IF(OR($U1931="",$R1931="",$R1931=0),"",$U1931/$R1931)</f>
        <v/>
      </c>
      <c r="W1931" s="20">
        <f>IF($G1931="","",IF($X1931="CONTEXTE INCOMPLET","CONTEXTE INCOMPLET",IF($X1931="DOUBLON",StatutDoublon,IF($S1931="",StatutInitial,IF($R1931="",StatutStandardManquant,IF($V1931="","DONNEES INSUFFISANTES",IF($V1931&gt;=SeuilConforme,StatutConforme,IF($V1931&gt;=SeuilSurveiller,StatutSurveiller,StatutSousStandard))))))))</f>
        <v/>
      </c>
      <c r="X1931" s="33">
        <f>IF($G1931="","",IF(OR($D1931="",$E1931="",$F1931=""),"CONTEXTE INCOMPLET",IF(COUNTIFS($D1031:$D1930,$D1931,$E1031:$E1930,$E1931,$F1031:$F1930,$F1931,$G1031:$G1930,$G1931)&gt;0,"DOUBLON","VALIDE")))</f>
        <v/>
      </c>
    </row>
    <row r="1932" ht="15" customHeight="1">
      <c r="A1932" s="12">
        <f>IF(OR($B1932="",$G1932=""),"",TEXT($B1932,"YYYYMMDD")&amp;"-"&amp;SUBSTITUTE($E1932," ","")&amp;"-"&amp;$F1932&amp;"-"&amp;$G1932)</f>
        <v/>
      </c>
      <c r="B1932" s="15" t="n"/>
      <c r="C1932" s="16" t="n"/>
      <c r="D1932" s="10" t="n"/>
      <c r="E1932" s="9" t="n"/>
      <c r="F1932" s="9" t="n"/>
      <c r="G1932" s="13" t="n"/>
      <c r="H1932" s="21" t="n"/>
      <c r="I1932" s="21" t="n"/>
      <c r="J1932" s="17">
        <f>IF($G1932="","",IFERROR(INDEX(NomsEmployes,MATCH($G1932,MatriculesEmployes,0)),"MATRICULE INCONNU"))</f>
        <v/>
      </c>
      <c r="K1932" s="33">
        <f>IF(OR($D1932="",$F1932=""),"",IFERROR(IF(INDEX(RUNS!$L$6:$S$1005,MATCH($D1932,RUNS!$A$6:$A$1005,0),MATCH("ACTIVITÉ "&amp;$F1932,RUNS!$L$5:$S$5,0))="","",INDEX(RUNS!$L$6:$S$1005,MATCH($D1932,RUNS!$A$6:$A$1005,0),MATCH("ACTIVITÉ "&amp;$F1932,RUNS!$L$5:$S$5,0))),""))</f>
        <v/>
      </c>
      <c r="L1932" s="33">
        <f>IF($D1932="","",IFERROR(IF(INDEX(RUNS!$E$6:$E$1005,MATCH($D1932,RUNS!$A$6:$A$1005,0))="","",INDEX(RUNS!$E$6:$E$1005,MATCH($D1932,RUNS!$A$6:$A$1005,0))),""))</f>
        <v/>
      </c>
      <c r="M1932" s="33">
        <f>IF($D1932="","",IFERROR(IF(INDEX(RUNS!$F$6:$F$1005,MATCH($D1932,RUNS!$A$6:$A$1005,0))="","",INDEX(RUNS!$F$6:$F$1005,MATCH($D1932,RUNS!$A$6:$A$1005,0))),""))</f>
        <v/>
      </c>
      <c r="N1932" s="33">
        <f>IF($D1932="","",IFERROR(IF(INDEX(RUNS!$G$6:$G$1005,MATCH($D1932,RUNS!$A$6:$A$1005,0))="","",INDEX(RUNS!$G$6:$G$1005,MATCH($D1932,RUNS!$A$6:$A$1005,0))),""))</f>
        <v/>
      </c>
      <c r="O1932" s="33">
        <f>IF($D1932="","",IFERROR(IF(INDEX(RUNS!$H$6:$H$1005,MATCH($D1932,RUNS!$A$6:$A$1005,0))="","",INDEX(RUNS!$H$6:$H$1005,MATCH($D1932,RUNS!$A$6:$A$1005,0))),""))</f>
        <v/>
      </c>
      <c r="P1932" s="33">
        <f>IF($D1932="","",IFERROR(IF(INDEX(RUNS!$J$6:$J$1005,MATCH($D1932,RUNS!$A$6:$A$1005,0))="","",INDEX(RUNS!$J$6:$J$1005,MATCH($D1932,RUNS!$A$6:$A$1005,0))),""))</f>
        <v/>
      </c>
      <c r="Q1932" s="33">
        <f>IF($D1932="","",IFERROR(IF(INDEX(RUNS!$K$6:$K$1005,MATCH($D1932,RUNS!$A$6:$A$1005,0))="","",INDEX(RUNS!$K$6:$K$1005,MATCH($D1932,RUNS!$A$6:$A$1005,0))),""))</f>
        <v/>
      </c>
      <c r="R1932" s="34">
        <f>IF(OR($L1932="",$K1932=""),"",IFERROR(IF(INDEX(PARAMETRES!$H$43:$H$342,MATCH($L1932&amp;"|"&amp;$M1932&amp;"|"&amp;$N1932&amp;"|"&amp;$O1932&amp;"|"&amp;$P1932&amp;"|"&amp;$Q1932&amp;"|"&amp;$K1932,PARAMETRES!$J$43:$J$342,0))="","",INDEX(PARAMETRES!$H$43:$H$342,MATCH($L1932&amp;"|"&amp;$M1932&amp;"|"&amp;$N1932&amp;"|"&amp;$O1932&amp;"|"&amp;$P1932&amp;"|"&amp;$Q1932&amp;"|"&amp;$K1932,PARAMETRES!$J$43:$J$342,0))),""))</f>
        <v/>
      </c>
      <c r="S1932" s="35">
        <f>IF(OR($G1932="",$X1932&lt;&gt;"VALIDE"),"",IFERROR(LOOKUP(2,1/(($B1032:$B1931=$B1932)*($G1032:$G1931=$G1932)*($X1032:$X1931="VALIDE")),$C1032:$C1931),""))</f>
        <v/>
      </c>
      <c r="T1932" s="36">
        <f>IF(OR($C1932="",$S1932=""),"",ROUND(($C1932-$S1932+IF($C1932&lt;$S1932,1,0))*1440,0))</f>
        <v/>
      </c>
      <c r="U1932" s="22">
        <f>IF(OR($H1932="",$T1932="",$T1932&lt;=0),"",$H1932*60/$T1932)</f>
        <v/>
      </c>
      <c r="V1932" s="37">
        <f>IF(OR($U1932="",$R1932="",$R1932=0),"",$U1932/$R1932)</f>
        <v/>
      </c>
      <c r="W1932" s="20">
        <f>IF($G1932="","",IF($X1932="CONTEXTE INCOMPLET","CONTEXTE INCOMPLET",IF($X1932="DOUBLON",StatutDoublon,IF($S1932="",StatutInitial,IF($R1932="",StatutStandardManquant,IF($V1932="","DONNEES INSUFFISANTES",IF($V1932&gt;=SeuilConforme,StatutConforme,IF($V1932&gt;=SeuilSurveiller,StatutSurveiller,StatutSousStandard))))))))</f>
        <v/>
      </c>
      <c r="X1932" s="33">
        <f>IF($G1932="","",IF(OR($D1932="",$E1932="",$F1932=""),"CONTEXTE INCOMPLET",IF(COUNTIFS($D1032:$D1931,$D1932,$E1032:$E1931,$E1932,$F1032:$F1931,$F1932,$G1032:$G1931,$G1932)&gt;0,"DOUBLON","VALIDE")))</f>
        <v/>
      </c>
    </row>
    <row r="1933" ht="15" customHeight="1">
      <c r="A1933" s="12">
        <f>IF(OR($B1933="",$G1933=""),"",TEXT($B1933,"YYYYMMDD")&amp;"-"&amp;SUBSTITUTE($E1933," ","")&amp;"-"&amp;$F1933&amp;"-"&amp;$G1933)</f>
        <v/>
      </c>
      <c r="B1933" s="15" t="n"/>
      <c r="C1933" s="16" t="n"/>
      <c r="D1933" s="10" t="n"/>
      <c r="E1933" s="9" t="n"/>
      <c r="F1933" s="9" t="n"/>
      <c r="G1933" s="13" t="n"/>
      <c r="H1933" s="21" t="n"/>
      <c r="I1933" s="21" t="n"/>
      <c r="J1933" s="17">
        <f>IF($G1933="","",IFERROR(INDEX(NomsEmployes,MATCH($G1933,MatriculesEmployes,0)),"MATRICULE INCONNU"))</f>
        <v/>
      </c>
      <c r="K1933" s="33">
        <f>IF(OR($D1933="",$F1933=""),"",IFERROR(IF(INDEX(RUNS!$L$6:$S$1005,MATCH($D1933,RUNS!$A$6:$A$1005,0),MATCH("ACTIVITÉ "&amp;$F1933,RUNS!$L$5:$S$5,0))="","",INDEX(RUNS!$L$6:$S$1005,MATCH($D1933,RUNS!$A$6:$A$1005,0),MATCH("ACTIVITÉ "&amp;$F1933,RUNS!$L$5:$S$5,0))),""))</f>
        <v/>
      </c>
      <c r="L1933" s="33">
        <f>IF($D1933="","",IFERROR(IF(INDEX(RUNS!$E$6:$E$1005,MATCH($D1933,RUNS!$A$6:$A$1005,0))="","",INDEX(RUNS!$E$6:$E$1005,MATCH($D1933,RUNS!$A$6:$A$1005,0))),""))</f>
        <v/>
      </c>
      <c r="M1933" s="33">
        <f>IF($D1933="","",IFERROR(IF(INDEX(RUNS!$F$6:$F$1005,MATCH($D1933,RUNS!$A$6:$A$1005,0))="","",INDEX(RUNS!$F$6:$F$1005,MATCH($D1933,RUNS!$A$6:$A$1005,0))),""))</f>
        <v/>
      </c>
      <c r="N1933" s="33">
        <f>IF($D1933="","",IFERROR(IF(INDEX(RUNS!$G$6:$G$1005,MATCH($D1933,RUNS!$A$6:$A$1005,0))="","",INDEX(RUNS!$G$6:$G$1005,MATCH($D1933,RUNS!$A$6:$A$1005,0))),""))</f>
        <v/>
      </c>
      <c r="O1933" s="33">
        <f>IF($D1933="","",IFERROR(IF(INDEX(RUNS!$H$6:$H$1005,MATCH($D1933,RUNS!$A$6:$A$1005,0))="","",INDEX(RUNS!$H$6:$H$1005,MATCH($D1933,RUNS!$A$6:$A$1005,0))),""))</f>
        <v/>
      </c>
      <c r="P1933" s="33">
        <f>IF($D1933="","",IFERROR(IF(INDEX(RUNS!$J$6:$J$1005,MATCH($D1933,RUNS!$A$6:$A$1005,0))="","",INDEX(RUNS!$J$6:$J$1005,MATCH($D1933,RUNS!$A$6:$A$1005,0))),""))</f>
        <v/>
      </c>
      <c r="Q1933" s="33">
        <f>IF($D1933="","",IFERROR(IF(INDEX(RUNS!$K$6:$K$1005,MATCH($D1933,RUNS!$A$6:$A$1005,0))="","",INDEX(RUNS!$K$6:$K$1005,MATCH($D1933,RUNS!$A$6:$A$1005,0))),""))</f>
        <v/>
      </c>
      <c r="R1933" s="34">
        <f>IF(OR($L1933="",$K1933=""),"",IFERROR(IF(INDEX(PARAMETRES!$H$43:$H$342,MATCH($L1933&amp;"|"&amp;$M1933&amp;"|"&amp;$N1933&amp;"|"&amp;$O1933&amp;"|"&amp;$P1933&amp;"|"&amp;$Q1933&amp;"|"&amp;$K1933,PARAMETRES!$J$43:$J$342,0))="","",INDEX(PARAMETRES!$H$43:$H$342,MATCH($L1933&amp;"|"&amp;$M1933&amp;"|"&amp;$N1933&amp;"|"&amp;$O1933&amp;"|"&amp;$P1933&amp;"|"&amp;$Q1933&amp;"|"&amp;$K1933,PARAMETRES!$J$43:$J$342,0))),""))</f>
        <v/>
      </c>
      <c r="S1933" s="35">
        <f>IF(OR($G1933="",$X1933&lt;&gt;"VALIDE"),"",IFERROR(LOOKUP(2,1/(($B1033:$B1932=$B1933)*($G1033:$G1932=$G1933)*($X1033:$X1932="VALIDE")),$C1033:$C1932),""))</f>
        <v/>
      </c>
      <c r="T1933" s="36">
        <f>IF(OR($C1933="",$S1933=""),"",ROUND(($C1933-$S1933+IF($C1933&lt;$S1933,1,0))*1440,0))</f>
        <v/>
      </c>
      <c r="U1933" s="22">
        <f>IF(OR($H1933="",$T1933="",$T1933&lt;=0),"",$H1933*60/$T1933)</f>
        <v/>
      </c>
      <c r="V1933" s="37">
        <f>IF(OR($U1933="",$R1933="",$R1933=0),"",$U1933/$R1933)</f>
        <v/>
      </c>
      <c r="W1933" s="20">
        <f>IF($G1933="","",IF($X1933="CONTEXTE INCOMPLET","CONTEXTE INCOMPLET",IF($X1933="DOUBLON",StatutDoublon,IF($S1933="",StatutInitial,IF($R1933="",StatutStandardManquant,IF($V1933="","DONNEES INSUFFISANTES",IF($V1933&gt;=SeuilConforme,StatutConforme,IF($V1933&gt;=SeuilSurveiller,StatutSurveiller,StatutSousStandard))))))))</f>
        <v/>
      </c>
      <c r="X1933" s="33">
        <f>IF($G1933="","",IF(OR($D1933="",$E1933="",$F1933=""),"CONTEXTE INCOMPLET",IF(COUNTIFS($D1033:$D1932,$D1933,$E1033:$E1932,$E1933,$F1033:$F1932,$F1933,$G1033:$G1932,$G1933)&gt;0,"DOUBLON","VALIDE")))</f>
        <v/>
      </c>
    </row>
    <row r="1934" ht="15" customHeight="1">
      <c r="A1934" s="12">
        <f>IF(OR($B1934="",$G1934=""),"",TEXT($B1934,"YYYYMMDD")&amp;"-"&amp;SUBSTITUTE($E1934," ","")&amp;"-"&amp;$F1934&amp;"-"&amp;$G1934)</f>
        <v/>
      </c>
      <c r="B1934" s="15" t="n"/>
      <c r="C1934" s="16" t="n"/>
      <c r="D1934" s="10" t="n"/>
      <c r="E1934" s="9" t="n"/>
      <c r="F1934" s="9" t="n"/>
      <c r="G1934" s="13" t="n"/>
      <c r="H1934" s="21" t="n"/>
      <c r="I1934" s="21" t="n"/>
      <c r="J1934" s="17">
        <f>IF($G1934="","",IFERROR(INDEX(NomsEmployes,MATCH($G1934,MatriculesEmployes,0)),"MATRICULE INCONNU"))</f>
        <v/>
      </c>
      <c r="K1934" s="33">
        <f>IF(OR($D1934="",$F1934=""),"",IFERROR(IF(INDEX(RUNS!$L$6:$S$1005,MATCH($D1934,RUNS!$A$6:$A$1005,0),MATCH("ACTIVITÉ "&amp;$F1934,RUNS!$L$5:$S$5,0))="","",INDEX(RUNS!$L$6:$S$1005,MATCH($D1934,RUNS!$A$6:$A$1005,0),MATCH("ACTIVITÉ "&amp;$F1934,RUNS!$L$5:$S$5,0))),""))</f>
        <v/>
      </c>
      <c r="L1934" s="33">
        <f>IF($D1934="","",IFERROR(IF(INDEX(RUNS!$E$6:$E$1005,MATCH($D1934,RUNS!$A$6:$A$1005,0))="","",INDEX(RUNS!$E$6:$E$1005,MATCH($D1934,RUNS!$A$6:$A$1005,0))),""))</f>
        <v/>
      </c>
      <c r="M1934" s="33">
        <f>IF($D1934="","",IFERROR(IF(INDEX(RUNS!$F$6:$F$1005,MATCH($D1934,RUNS!$A$6:$A$1005,0))="","",INDEX(RUNS!$F$6:$F$1005,MATCH($D1934,RUNS!$A$6:$A$1005,0))),""))</f>
        <v/>
      </c>
      <c r="N1934" s="33">
        <f>IF($D1934="","",IFERROR(IF(INDEX(RUNS!$G$6:$G$1005,MATCH($D1934,RUNS!$A$6:$A$1005,0))="","",INDEX(RUNS!$G$6:$G$1005,MATCH($D1934,RUNS!$A$6:$A$1005,0))),""))</f>
        <v/>
      </c>
      <c r="O1934" s="33">
        <f>IF($D1934="","",IFERROR(IF(INDEX(RUNS!$H$6:$H$1005,MATCH($D1934,RUNS!$A$6:$A$1005,0))="","",INDEX(RUNS!$H$6:$H$1005,MATCH($D1934,RUNS!$A$6:$A$1005,0))),""))</f>
        <v/>
      </c>
      <c r="P1934" s="33">
        <f>IF($D1934="","",IFERROR(IF(INDEX(RUNS!$J$6:$J$1005,MATCH($D1934,RUNS!$A$6:$A$1005,0))="","",INDEX(RUNS!$J$6:$J$1005,MATCH($D1934,RUNS!$A$6:$A$1005,0))),""))</f>
        <v/>
      </c>
      <c r="Q1934" s="33">
        <f>IF($D1934="","",IFERROR(IF(INDEX(RUNS!$K$6:$K$1005,MATCH($D1934,RUNS!$A$6:$A$1005,0))="","",INDEX(RUNS!$K$6:$K$1005,MATCH($D1934,RUNS!$A$6:$A$1005,0))),""))</f>
        <v/>
      </c>
      <c r="R1934" s="34">
        <f>IF(OR($L1934="",$K1934=""),"",IFERROR(IF(INDEX(PARAMETRES!$H$43:$H$342,MATCH($L1934&amp;"|"&amp;$M1934&amp;"|"&amp;$N1934&amp;"|"&amp;$O1934&amp;"|"&amp;$P1934&amp;"|"&amp;$Q1934&amp;"|"&amp;$K1934,PARAMETRES!$J$43:$J$342,0))="","",INDEX(PARAMETRES!$H$43:$H$342,MATCH($L1934&amp;"|"&amp;$M1934&amp;"|"&amp;$N1934&amp;"|"&amp;$O1934&amp;"|"&amp;$P1934&amp;"|"&amp;$Q1934&amp;"|"&amp;$K1934,PARAMETRES!$J$43:$J$342,0))),""))</f>
        <v/>
      </c>
      <c r="S1934" s="35">
        <f>IF(OR($G1934="",$X1934&lt;&gt;"VALIDE"),"",IFERROR(LOOKUP(2,1/(($B1034:$B1933=$B1934)*($G1034:$G1933=$G1934)*($X1034:$X1933="VALIDE")),$C1034:$C1933),""))</f>
        <v/>
      </c>
      <c r="T1934" s="36">
        <f>IF(OR($C1934="",$S1934=""),"",ROUND(($C1934-$S1934+IF($C1934&lt;$S1934,1,0))*1440,0))</f>
        <v/>
      </c>
      <c r="U1934" s="22">
        <f>IF(OR($H1934="",$T1934="",$T1934&lt;=0),"",$H1934*60/$T1934)</f>
        <v/>
      </c>
      <c r="V1934" s="37">
        <f>IF(OR($U1934="",$R1934="",$R1934=0),"",$U1934/$R1934)</f>
        <v/>
      </c>
      <c r="W1934" s="20">
        <f>IF($G1934="","",IF($X1934="CONTEXTE INCOMPLET","CONTEXTE INCOMPLET",IF($X1934="DOUBLON",StatutDoublon,IF($S1934="",StatutInitial,IF($R1934="",StatutStandardManquant,IF($V1934="","DONNEES INSUFFISANTES",IF($V1934&gt;=SeuilConforme,StatutConforme,IF($V1934&gt;=SeuilSurveiller,StatutSurveiller,StatutSousStandard))))))))</f>
        <v/>
      </c>
      <c r="X1934" s="33">
        <f>IF($G1934="","",IF(OR($D1934="",$E1934="",$F1934=""),"CONTEXTE INCOMPLET",IF(COUNTIFS($D1034:$D1933,$D1934,$E1034:$E1933,$E1934,$F1034:$F1933,$F1934,$G1034:$G1933,$G1934)&gt;0,"DOUBLON","VALIDE")))</f>
        <v/>
      </c>
    </row>
    <row r="1935" ht="15" customHeight="1">
      <c r="A1935" s="12">
        <f>IF(OR($B1935="",$G1935=""),"",TEXT($B1935,"YYYYMMDD")&amp;"-"&amp;SUBSTITUTE($E1935," ","")&amp;"-"&amp;$F1935&amp;"-"&amp;$G1935)</f>
        <v/>
      </c>
      <c r="B1935" s="15" t="n"/>
      <c r="C1935" s="16" t="n"/>
      <c r="D1935" s="10" t="n"/>
      <c r="E1935" s="9" t="n"/>
      <c r="F1935" s="9" t="n"/>
      <c r="G1935" s="13" t="n"/>
      <c r="H1935" s="21" t="n"/>
      <c r="I1935" s="21" t="n"/>
      <c r="J1935" s="17">
        <f>IF($G1935="","",IFERROR(INDEX(NomsEmployes,MATCH($G1935,MatriculesEmployes,0)),"MATRICULE INCONNU"))</f>
        <v/>
      </c>
      <c r="K1935" s="33">
        <f>IF(OR($D1935="",$F1935=""),"",IFERROR(IF(INDEX(RUNS!$L$6:$S$1005,MATCH($D1935,RUNS!$A$6:$A$1005,0),MATCH("ACTIVITÉ "&amp;$F1935,RUNS!$L$5:$S$5,0))="","",INDEX(RUNS!$L$6:$S$1005,MATCH($D1935,RUNS!$A$6:$A$1005,0),MATCH("ACTIVITÉ "&amp;$F1935,RUNS!$L$5:$S$5,0))),""))</f>
        <v/>
      </c>
      <c r="L1935" s="33">
        <f>IF($D1935="","",IFERROR(IF(INDEX(RUNS!$E$6:$E$1005,MATCH($D1935,RUNS!$A$6:$A$1005,0))="","",INDEX(RUNS!$E$6:$E$1005,MATCH($D1935,RUNS!$A$6:$A$1005,0))),""))</f>
        <v/>
      </c>
      <c r="M1935" s="33">
        <f>IF($D1935="","",IFERROR(IF(INDEX(RUNS!$F$6:$F$1005,MATCH($D1935,RUNS!$A$6:$A$1005,0))="","",INDEX(RUNS!$F$6:$F$1005,MATCH($D1935,RUNS!$A$6:$A$1005,0))),""))</f>
        <v/>
      </c>
      <c r="N1935" s="33">
        <f>IF($D1935="","",IFERROR(IF(INDEX(RUNS!$G$6:$G$1005,MATCH($D1935,RUNS!$A$6:$A$1005,0))="","",INDEX(RUNS!$G$6:$G$1005,MATCH($D1935,RUNS!$A$6:$A$1005,0))),""))</f>
        <v/>
      </c>
      <c r="O1935" s="33">
        <f>IF($D1935="","",IFERROR(IF(INDEX(RUNS!$H$6:$H$1005,MATCH($D1935,RUNS!$A$6:$A$1005,0))="","",INDEX(RUNS!$H$6:$H$1005,MATCH($D1935,RUNS!$A$6:$A$1005,0))),""))</f>
        <v/>
      </c>
      <c r="P1935" s="33">
        <f>IF($D1935="","",IFERROR(IF(INDEX(RUNS!$J$6:$J$1005,MATCH($D1935,RUNS!$A$6:$A$1005,0))="","",INDEX(RUNS!$J$6:$J$1005,MATCH($D1935,RUNS!$A$6:$A$1005,0))),""))</f>
        <v/>
      </c>
      <c r="Q1935" s="33">
        <f>IF($D1935="","",IFERROR(IF(INDEX(RUNS!$K$6:$K$1005,MATCH($D1935,RUNS!$A$6:$A$1005,0))="","",INDEX(RUNS!$K$6:$K$1005,MATCH($D1935,RUNS!$A$6:$A$1005,0))),""))</f>
        <v/>
      </c>
      <c r="R1935" s="34">
        <f>IF(OR($L1935="",$K1935=""),"",IFERROR(IF(INDEX(PARAMETRES!$H$43:$H$342,MATCH($L1935&amp;"|"&amp;$M1935&amp;"|"&amp;$N1935&amp;"|"&amp;$O1935&amp;"|"&amp;$P1935&amp;"|"&amp;$Q1935&amp;"|"&amp;$K1935,PARAMETRES!$J$43:$J$342,0))="","",INDEX(PARAMETRES!$H$43:$H$342,MATCH($L1935&amp;"|"&amp;$M1935&amp;"|"&amp;$N1935&amp;"|"&amp;$O1935&amp;"|"&amp;$P1935&amp;"|"&amp;$Q1935&amp;"|"&amp;$K1935,PARAMETRES!$J$43:$J$342,0))),""))</f>
        <v/>
      </c>
      <c r="S1935" s="35">
        <f>IF(OR($G1935="",$X1935&lt;&gt;"VALIDE"),"",IFERROR(LOOKUP(2,1/(($B1035:$B1934=$B1935)*($G1035:$G1934=$G1935)*($X1035:$X1934="VALIDE")),$C1035:$C1934),""))</f>
        <v/>
      </c>
      <c r="T1935" s="36">
        <f>IF(OR($C1935="",$S1935=""),"",ROUND(($C1935-$S1935+IF($C1935&lt;$S1935,1,0))*1440,0))</f>
        <v/>
      </c>
      <c r="U1935" s="22">
        <f>IF(OR($H1935="",$T1935="",$T1935&lt;=0),"",$H1935*60/$T1935)</f>
        <v/>
      </c>
      <c r="V1935" s="37">
        <f>IF(OR($U1935="",$R1935="",$R1935=0),"",$U1935/$R1935)</f>
        <v/>
      </c>
      <c r="W1935" s="20">
        <f>IF($G1935="","",IF($X1935="CONTEXTE INCOMPLET","CONTEXTE INCOMPLET",IF($X1935="DOUBLON",StatutDoublon,IF($S1935="",StatutInitial,IF($R1935="",StatutStandardManquant,IF($V1935="","DONNEES INSUFFISANTES",IF($V1935&gt;=SeuilConforme,StatutConforme,IF($V1935&gt;=SeuilSurveiller,StatutSurveiller,StatutSousStandard))))))))</f>
        <v/>
      </c>
      <c r="X1935" s="33">
        <f>IF($G1935="","",IF(OR($D1935="",$E1935="",$F1935=""),"CONTEXTE INCOMPLET",IF(COUNTIFS($D1035:$D1934,$D1935,$E1035:$E1934,$E1935,$F1035:$F1934,$F1935,$G1035:$G1934,$G1935)&gt;0,"DOUBLON","VALIDE")))</f>
        <v/>
      </c>
    </row>
    <row r="1936" ht="15" customHeight="1">
      <c r="A1936" s="12">
        <f>IF(OR($B1936="",$G1936=""),"",TEXT($B1936,"YYYYMMDD")&amp;"-"&amp;SUBSTITUTE($E1936," ","")&amp;"-"&amp;$F1936&amp;"-"&amp;$G1936)</f>
        <v/>
      </c>
      <c r="B1936" s="15" t="n"/>
      <c r="C1936" s="16" t="n"/>
      <c r="D1936" s="10" t="n"/>
      <c r="E1936" s="9" t="n"/>
      <c r="F1936" s="9" t="n"/>
      <c r="G1936" s="13" t="n"/>
      <c r="H1936" s="21" t="n"/>
      <c r="I1936" s="21" t="n"/>
      <c r="J1936" s="17">
        <f>IF($G1936="","",IFERROR(INDEX(NomsEmployes,MATCH($G1936,MatriculesEmployes,0)),"MATRICULE INCONNU"))</f>
        <v/>
      </c>
      <c r="K1936" s="33">
        <f>IF(OR($D1936="",$F1936=""),"",IFERROR(IF(INDEX(RUNS!$L$6:$S$1005,MATCH($D1936,RUNS!$A$6:$A$1005,0),MATCH("ACTIVITÉ "&amp;$F1936,RUNS!$L$5:$S$5,0))="","",INDEX(RUNS!$L$6:$S$1005,MATCH($D1936,RUNS!$A$6:$A$1005,0),MATCH("ACTIVITÉ "&amp;$F1936,RUNS!$L$5:$S$5,0))),""))</f>
        <v/>
      </c>
      <c r="L1936" s="33">
        <f>IF($D1936="","",IFERROR(IF(INDEX(RUNS!$E$6:$E$1005,MATCH($D1936,RUNS!$A$6:$A$1005,0))="","",INDEX(RUNS!$E$6:$E$1005,MATCH($D1936,RUNS!$A$6:$A$1005,0))),""))</f>
        <v/>
      </c>
      <c r="M1936" s="33">
        <f>IF($D1936="","",IFERROR(IF(INDEX(RUNS!$F$6:$F$1005,MATCH($D1936,RUNS!$A$6:$A$1005,0))="","",INDEX(RUNS!$F$6:$F$1005,MATCH($D1936,RUNS!$A$6:$A$1005,0))),""))</f>
        <v/>
      </c>
      <c r="N1936" s="33">
        <f>IF($D1936="","",IFERROR(IF(INDEX(RUNS!$G$6:$G$1005,MATCH($D1936,RUNS!$A$6:$A$1005,0))="","",INDEX(RUNS!$G$6:$G$1005,MATCH($D1936,RUNS!$A$6:$A$1005,0))),""))</f>
        <v/>
      </c>
      <c r="O1936" s="33">
        <f>IF($D1936="","",IFERROR(IF(INDEX(RUNS!$H$6:$H$1005,MATCH($D1936,RUNS!$A$6:$A$1005,0))="","",INDEX(RUNS!$H$6:$H$1005,MATCH($D1936,RUNS!$A$6:$A$1005,0))),""))</f>
        <v/>
      </c>
      <c r="P1936" s="33">
        <f>IF($D1936="","",IFERROR(IF(INDEX(RUNS!$J$6:$J$1005,MATCH($D1936,RUNS!$A$6:$A$1005,0))="","",INDEX(RUNS!$J$6:$J$1005,MATCH($D1936,RUNS!$A$6:$A$1005,0))),""))</f>
        <v/>
      </c>
      <c r="Q1936" s="33">
        <f>IF($D1936="","",IFERROR(IF(INDEX(RUNS!$K$6:$K$1005,MATCH($D1936,RUNS!$A$6:$A$1005,0))="","",INDEX(RUNS!$K$6:$K$1005,MATCH($D1936,RUNS!$A$6:$A$1005,0))),""))</f>
        <v/>
      </c>
      <c r="R1936" s="34">
        <f>IF(OR($L1936="",$K1936=""),"",IFERROR(IF(INDEX(PARAMETRES!$H$43:$H$342,MATCH($L1936&amp;"|"&amp;$M1936&amp;"|"&amp;$N1936&amp;"|"&amp;$O1936&amp;"|"&amp;$P1936&amp;"|"&amp;$Q1936&amp;"|"&amp;$K1936,PARAMETRES!$J$43:$J$342,0))="","",INDEX(PARAMETRES!$H$43:$H$342,MATCH($L1936&amp;"|"&amp;$M1936&amp;"|"&amp;$N1936&amp;"|"&amp;$O1936&amp;"|"&amp;$P1936&amp;"|"&amp;$Q1936&amp;"|"&amp;$K1936,PARAMETRES!$J$43:$J$342,0))),""))</f>
        <v/>
      </c>
      <c r="S1936" s="35">
        <f>IF(OR($G1936="",$X1936&lt;&gt;"VALIDE"),"",IFERROR(LOOKUP(2,1/(($B1036:$B1935=$B1936)*($G1036:$G1935=$G1936)*($X1036:$X1935="VALIDE")),$C1036:$C1935),""))</f>
        <v/>
      </c>
      <c r="T1936" s="36">
        <f>IF(OR($C1936="",$S1936=""),"",ROUND(($C1936-$S1936+IF($C1936&lt;$S1936,1,0))*1440,0))</f>
        <v/>
      </c>
      <c r="U1936" s="22">
        <f>IF(OR($H1936="",$T1936="",$T1936&lt;=0),"",$H1936*60/$T1936)</f>
        <v/>
      </c>
      <c r="V1936" s="37">
        <f>IF(OR($U1936="",$R1936="",$R1936=0),"",$U1936/$R1936)</f>
        <v/>
      </c>
      <c r="W1936" s="20">
        <f>IF($G1936="","",IF($X1936="CONTEXTE INCOMPLET","CONTEXTE INCOMPLET",IF($X1936="DOUBLON",StatutDoublon,IF($S1936="",StatutInitial,IF($R1936="",StatutStandardManquant,IF($V1936="","DONNEES INSUFFISANTES",IF($V1936&gt;=SeuilConforme,StatutConforme,IF($V1936&gt;=SeuilSurveiller,StatutSurveiller,StatutSousStandard))))))))</f>
        <v/>
      </c>
      <c r="X1936" s="33">
        <f>IF($G1936="","",IF(OR($D1936="",$E1936="",$F1936=""),"CONTEXTE INCOMPLET",IF(COUNTIFS($D1036:$D1935,$D1936,$E1036:$E1935,$E1936,$F1036:$F1935,$F1936,$G1036:$G1935,$G1936)&gt;0,"DOUBLON","VALIDE")))</f>
        <v/>
      </c>
    </row>
    <row r="1937" ht="15" customHeight="1">
      <c r="A1937" s="12">
        <f>IF(OR($B1937="",$G1937=""),"",TEXT($B1937,"YYYYMMDD")&amp;"-"&amp;SUBSTITUTE($E1937," ","")&amp;"-"&amp;$F1937&amp;"-"&amp;$G1937)</f>
        <v/>
      </c>
      <c r="B1937" s="15" t="n"/>
      <c r="C1937" s="16" t="n"/>
      <c r="D1937" s="10" t="n"/>
      <c r="E1937" s="9" t="n"/>
      <c r="F1937" s="9" t="n"/>
      <c r="G1937" s="13" t="n"/>
      <c r="H1937" s="21" t="n"/>
      <c r="I1937" s="21" t="n"/>
      <c r="J1937" s="17">
        <f>IF($G1937="","",IFERROR(INDEX(NomsEmployes,MATCH($G1937,MatriculesEmployes,0)),"MATRICULE INCONNU"))</f>
        <v/>
      </c>
      <c r="K1937" s="33">
        <f>IF(OR($D1937="",$F1937=""),"",IFERROR(IF(INDEX(RUNS!$L$6:$S$1005,MATCH($D1937,RUNS!$A$6:$A$1005,0),MATCH("ACTIVITÉ "&amp;$F1937,RUNS!$L$5:$S$5,0))="","",INDEX(RUNS!$L$6:$S$1005,MATCH($D1937,RUNS!$A$6:$A$1005,0),MATCH("ACTIVITÉ "&amp;$F1937,RUNS!$L$5:$S$5,0))),""))</f>
        <v/>
      </c>
      <c r="L1937" s="33">
        <f>IF($D1937="","",IFERROR(IF(INDEX(RUNS!$E$6:$E$1005,MATCH($D1937,RUNS!$A$6:$A$1005,0))="","",INDEX(RUNS!$E$6:$E$1005,MATCH($D1937,RUNS!$A$6:$A$1005,0))),""))</f>
        <v/>
      </c>
      <c r="M1937" s="33">
        <f>IF($D1937="","",IFERROR(IF(INDEX(RUNS!$F$6:$F$1005,MATCH($D1937,RUNS!$A$6:$A$1005,0))="","",INDEX(RUNS!$F$6:$F$1005,MATCH($D1937,RUNS!$A$6:$A$1005,0))),""))</f>
        <v/>
      </c>
      <c r="N1937" s="33">
        <f>IF($D1937="","",IFERROR(IF(INDEX(RUNS!$G$6:$G$1005,MATCH($D1937,RUNS!$A$6:$A$1005,0))="","",INDEX(RUNS!$G$6:$G$1005,MATCH($D1937,RUNS!$A$6:$A$1005,0))),""))</f>
        <v/>
      </c>
      <c r="O1937" s="33">
        <f>IF($D1937="","",IFERROR(IF(INDEX(RUNS!$H$6:$H$1005,MATCH($D1937,RUNS!$A$6:$A$1005,0))="","",INDEX(RUNS!$H$6:$H$1005,MATCH($D1937,RUNS!$A$6:$A$1005,0))),""))</f>
        <v/>
      </c>
      <c r="P1937" s="33">
        <f>IF($D1937="","",IFERROR(IF(INDEX(RUNS!$J$6:$J$1005,MATCH($D1937,RUNS!$A$6:$A$1005,0))="","",INDEX(RUNS!$J$6:$J$1005,MATCH($D1937,RUNS!$A$6:$A$1005,0))),""))</f>
        <v/>
      </c>
      <c r="Q1937" s="33">
        <f>IF($D1937="","",IFERROR(IF(INDEX(RUNS!$K$6:$K$1005,MATCH($D1937,RUNS!$A$6:$A$1005,0))="","",INDEX(RUNS!$K$6:$K$1005,MATCH($D1937,RUNS!$A$6:$A$1005,0))),""))</f>
        <v/>
      </c>
      <c r="R1937" s="34">
        <f>IF(OR($L1937="",$K1937=""),"",IFERROR(IF(INDEX(PARAMETRES!$H$43:$H$342,MATCH($L1937&amp;"|"&amp;$M1937&amp;"|"&amp;$N1937&amp;"|"&amp;$O1937&amp;"|"&amp;$P1937&amp;"|"&amp;$Q1937&amp;"|"&amp;$K1937,PARAMETRES!$J$43:$J$342,0))="","",INDEX(PARAMETRES!$H$43:$H$342,MATCH($L1937&amp;"|"&amp;$M1937&amp;"|"&amp;$N1937&amp;"|"&amp;$O1937&amp;"|"&amp;$P1937&amp;"|"&amp;$Q1937&amp;"|"&amp;$K1937,PARAMETRES!$J$43:$J$342,0))),""))</f>
        <v/>
      </c>
      <c r="S1937" s="35">
        <f>IF(OR($G1937="",$X1937&lt;&gt;"VALIDE"),"",IFERROR(LOOKUP(2,1/(($B1037:$B1936=$B1937)*($G1037:$G1936=$G1937)*($X1037:$X1936="VALIDE")),$C1037:$C1936),""))</f>
        <v/>
      </c>
      <c r="T1937" s="36">
        <f>IF(OR($C1937="",$S1937=""),"",ROUND(($C1937-$S1937+IF($C1937&lt;$S1937,1,0))*1440,0))</f>
        <v/>
      </c>
      <c r="U1937" s="22">
        <f>IF(OR($H1937="",$T1937="",$T1937&lt;=0),"",$H1937*60/$T1937)</f>
        <v/>
      </c>
      <c r="V1937" s="37">
        <f>IF(OR($U1937="",$R1937="",$R1937=0),"",$U1937/$R1937)</f>
        <v/>
      </c>
      <c r="W1937" s="20">
        <f>IF($G1937="","",IF($X1937="CONTEXTE INCOMPLET","CONTEXTE INCOMPLET",IF($X1937="DOUBLON",StatutDoublon,IF($S1937="",StatutInitial,IF($R1937="",StatutStandardManquant,IF($V1937="","DONNEES INSUFFISANTES",IF($V1937&gt;=SeuilConforme,StatutConforme,IF($V1937&gt;=SeuilSurveiller,StatutSurveiller,StatutSousStandard))))))))</f>
        <v/>
      </c>
      <c r="X1937" s="33">
        <f>IF($G1937="","",IF(OR($D1937="",$E1937="",$F1937=""),"CONTEXTE INCOMPLET",IF(COUNTIFS($D1037:$D1936,$D1937,$E1037:$E1936,$E1937,$F1037:$F1936,$F1937,$G1037:$G1936,$G1937)&gt;0,"DOUBLON","VALIDE")))</f>
        <v/>
      </c>
    </row>
    <row r="1938" ht="15" customHeight="1">
      <c r="A1938" s="12">
        <f>IF(OR($B1938="",$G1938=""),"",TEXT($B1938,"YYYYMMDD")&amp;"-"&amp;SUBSTITUTE($E1938," ","")&amp;"-"&amp;$F1938&amp;"-"&amp;$G1938)</f>
        <v/>
      </c>
      <c r="B1938" s="15" t="n"/>
      <c r="C1938" s="16" t="n"/>
      <c r="D1938" s="10" t="n"/>
      <c r="E1938" s="9" t="n"/>
      <c r="F1938" s="9" t="n"/>
      <c r="G1938" s="13" t="n"/>
      <c r="H1938" s="21" t="n"/>
      <c r="I1938" s="21" t="n"/>
      <c r="J1938" s="17">
        <f>IF($G1938="","",IFERROR(INDEX(NomsEmployes,MATCH($G1938,MatriculesEmployes,0)),"MATRICULE INCONNU"))</f>
        <v/>
      </c>
      <c r="K1938" s="33">
        <f>IF(OR($D1938="",$F1938=""),"",IFERROR(IF(INDEX(RUNS!$L$6:$S$1005,MATCH($D1938,RUNS!$A$6:$A$1005,0),MATCH("ACTIVITÉ "&amp;$F1938,RUNS!$L$5:$S$5,0))="","",INDEX(RUNS!$L$6:$S$1005,MATCH($D1938,RUNS!$A$6:$A$1005,0),MATCH("ACTIVITÉ "&amp;$F1938,RUNS!$L$5:$S$5,0))),""))</f>
        <v/>
      </c>
      <c r="L1938" s="33">
        <f>IF($D1938="","",IFERROR(IF(INDEX(RUNS!$E$6:$E$1005,MATCH($D1938,RUNS!$A$6:$A$1005,0))="","",INDEX(RUNS!$E$6:$E$1005,MATCH($D1938,RUNS!$A$6:$A$1005,0))),""))</f>
        <v/>
      </c>
      <c r="M1938" s="33">
        <f>IF($D1938="","",IFERROR(IF(INDEX(RUNS!$F$6:$F$1005,MATCH($D1938,RUNS!$A$6:$A$1005,0))="","",INDEX(RUNS!$F$6:$F$1005,MATCH($D1938,RUNS!$A$6:$A$1005,0))),""))</f>
        <v/>
      </c>
      <c r="N1938" s="33">
        <f>IF($D1938="","",IFERROR(IF(INDEX(RUNS!$G$6:$G$1005,MATCH($D1938,RUNS!$A$6:$A$1005,0))="","",INDEX(RUNS!$G$6:$G$1005,MATCH($D1938,RUNS!$A$6:$A$1005,0))),""))</f>
        <v/>
      </c>
      <c r="O1938" s="33">
        <f>IF($D1938="","",IFERROR(IF(INDEX(RUNS!$H$6:$H$1005,MATCH($D1938,RUNS!$A$6:$A$1005,0))="","",INDEX(RUNS!$H$6:$H$1005,MATCH($D1938,RUNS!$A$6:$A$1005,0))),""))</f>
        <v/>
      </c>
      <c r="P1938" s="33">
        <f>IF($D1938="","",IFERROR(IF(INDEX(RUNS!$J$6:$J$1005,MATCH($D1938,RUNS!$A$6:$A$1005,0))="","",INDEX(RUNS!$J$6:$J$1005,MATCH($D1938,RUNS!$A$6:$A$1005,0))),""))</f>
        <v/>
      </c>
      <c r="Q1938" s="33">
        <f>IF($D1938="","",IFERROR(IF(INDEX(RUNS!$K$6:$K$1005,MATCH($D1938,RUNS!$A$6:$A$1005,0))="","",INDEX(RUNS!$K$6:$K$1005,MATCH($D1938,RUNS!$A$6:$A$1005,0))),""))</f>
        <v/>
      </c>
      <c r="R1938" s="34">
        <f>IF(OR($L1938="",$K1938=""),"",IFERROR(IF(INDEX(PARAMETRES!$H$43:$H$342,MATCH($L1938&amp;"|"&amp;$M1938&amp;"|"&amp;$N1938&amp;"|"&amp;$O1938&amp;"|"&amp;$P1938&amp;"|"&amp;$Q1938&amp;"|"&amp;$K1938,PARAMETRES!$J$43:$J$342,0))="","",INDEX(PARAMETRES!$H$43:$H$342,MATCH($L1938&amp;"|"&amp;$M1938&amp;"|"&amp;$N1938&amp;"|"&amp;$O1938&amp;"|"&amp;$P1938&amp;"|"&amp;$Q1938&amp;"|"&amp;$K1938,PARAMETRES!$J$43:$J$342,0))),""))</f>
        <v/>
      </c>
      <c r="S1938" s="35">
        <f>IF(OR($G1938="",$X1938&lt;&gt;"VALIDE"),"",IFERROR(LOOKUP(2,1/(($B1038:$B1937=$B1938)*($G1038:$G1937=$G1938)*($X1038:$X1937="VALIDE")),$C1038:$C1937),""))</f>
        <v/>
      </c>
      <c r="T1938" s="36">
        <f>IF(OR($C1938="",$S1938=""),"",ROUND(($C1938-$S1938+IF($C1938&lt;$S1938,1,0))*1440,0))</f>
        <v/>
      </c>
      <c r="U1938" s="22">
        <f>IF(OR($H1938="",$T1938="",$T1938&lt;=0),"",$H1938*60/$T1938)</f>
        <v/>
      </c>
      <c r="V1938" s="37">
        <f>IF(OR($U1938="",$R1938="",$R1938=0),"",$U1938/$R1938)</f>
        <v/>
      </c>
      <c r="W1938" s="20">
        <f>IF($G1938="","",IF($X1938="CONTEXTE INCOMPLET","CONTEXTE INCOMPLET",IF($X1938="DOUBLON",StatutDoublon,IF($S1938="",StatutInitial,IF($R1938="",StatutStandardManquant,IF($V1938="","DONNEES INSUFFISANTES",IF($V1938&gt;=SeuilConforme,StatutConforme,IF($V1938&gt;=SeuilSurveiller,StatutSurveiller,StatutSousStandard))))))))</f>
        <v/>
      </c>
      <c r="X1938" s="33">
        <f>IF($G1938="","",IF(OR($D1938="",$E1938="",$F1938=""),"CONTEXTE INCOMPLET",IF(COUNTIFS($D1038:$D1937,$D1938,$E1038:$E1937,$E1938,$F1038:$F1937,$F1938,$G1038:$G1937,$G1938)&gt;0,"DOUBLON","VALIDE")))</f>
        <v/>
      </c>
    </row>
    <row r="1939" ht="15" customHeight="1">
      <c r="A1939" s="12">
        <f>IF(OR($B1939="",$G1939=""),"",TEXT($B1939,"YYYYMMDD")&amp;"-"&amp;SUBSTITUTE($E1939," ","")&amp;"-"&amp;$F1939&amp;"-"&amp;$G1939)</f>
        <v/>
      </c>
      <c r="B1939" s="15" t="n"/>
      <c r="C1939" s="16" t="n"/>
      <c r="D1939" s="10" t="n"/>
      <c r="E1939" s="9" t="n"/>
      <c r="F1939" s="9" t="n"/>
      <c r="G1939" s="13" t="n"/>
      <c r="H1939" s="21" t="n"/>
      <c r="I1939" s="21" t="n"/>
      <c r="J1939" s="17">
        <f>IF($G1939="","",IFERROR(INDEX(NomsEmployes,MATCH($G1939,MatriculesEmployes,0)),"MATRICULE INCONNU"))</f>
        <v/>
      </c>
      <c r="K1939" s="33">
        <f>IF(OR($D1939="",$F1939=""),"",IFERROR(IF(INDEX(RUNS!$L$6:$S$1005,MATCH($D1939,RUNS!$A$6:$A$1005,0),MATCH("ACTIVITÉ "&amp;$F1939,RUNS!$L$5:$S$5,0))="","",INDEX(RUNS!$L$6:$S$1005,MATCH($D1939,RUNS!$A$6:$A$1005,0),MATCH("ACTIVITÉ "&amp;$F1939,RUNS!$L$5:$S$5,0))),""))</f>
        <v/>
      </c>
      <c r="L1939" s="33">
        <f>IF($D1939="","",IFERROR(IF(INDEX(RUNS!$E$6:$E$1005,MATCH($D1939,RUNS!$A$6:$A$1005,0))="","",INDEX(RUNS!$E$6:$E$1005,MATCH($D1939,RUNS!$A$6:$A$1005,0))),""))</f>
        <v/>
      </c>
      <c r="M1939" s="33">
        <f>IF($D1939="","",IFERROR(IF(INDEX(RUNS!$F$6:$F$1005,MATCH($D1939,RUNS!$A$6:$A$1005,0))="","",INDEX(RUNS!$F$6:$F$1005,MATCH($D1939,RUNS!$A$6:$A$1005,0))),""))</f>
        <v/>
      </c>
      <c r="N1939" s="33">
        <f>IF($D1939="","",IFERROR(IF(INDEX(RUNS!$G$6:$G$1005,MATCH($D1939,RUNS!$A$6:$A$1005,0))="","",INDEX(RUNS!$G$6:$G$1005,MATCH($D1939,RUNS!$A$6:$A$1005,0))),""))</f>
        <v/>
      </c>
      <c r="O1939" s="33">
        <f>IF($D1939="","",IFERROR(IF(INDEX(RUNS!$H$6:$H$1005,MATCH($D1939,RUNS!$A$6:$A$1005,0))="","",INDEX(RUNS!$H$6:$H$1005,MATCH($D1939,RUNS!$A$6:$A$1005,0))),""))</f>
        <v/>
      </c>
      <c r="P1939" s="33">
        <f>IF($D1939="","",IFERROR(IF(INDEX(RUNS!$J$6:$J$1005,MATCH($D1939,RUNS!$A$6:$A$1005,0))="","",INDEX(RUNS!$J$6:$J$1005,MATCH($D1939,RUNS!$A$6:$A$1005,0))),""))</f>
        <v/>
      </c>
      <c r="Q1939" s="33">
        <f>IF($D1939="","",IFERROR(IF(INDEX(RUNS!$K$6:$K$1005,MATCH($D1939,RUNS!$A$6:$A$1005,0))="","",INDEX(RUNS!$K$6:$K$1005,MATCH($D1939,RUNS!$A$6:$A$1005,0))),""))</f>
        <v/>
      </c>
      <c r="R1939" s="34">
        <f>IF(OR($L1939="",$K1939=""),"",IFERROR(IF(INDEX(PARAMETRES!$H$43:$H$342,MATCH($L1939&amp;"|"&amp;$M1939&amp;"|"&amp;$N1939&amp;"|"&amp;$O1939&amp;"|"&amp;$P1939&amp;"|"&amp;$Q1939&amp;"|"&amp;$K1939,PARAMETRES!$J$43:$J$342,0))="","",INDEX(PARAMETRES!$H$43:$H$342,MATCH($L1939&amp;"|"&amp;$M1939&amp;"|"&amp;$N1939&amp;"|"&amp;$O1939&amp;"|"&amp;$P1939&amp;"|"&amp;$Q1939&amp;"|"&amp;$K1939,PARAMETRES!$J$43:$J$342,0))),""))</f>
        <v/>
      </c>
      <c r="S1939" s="35">
        <f>IF(OR($G1939="",$X1939&lt;&gt;"VALIDE"),"",IFERROR(LOOKUP(2,1/(($B1039:$B1938=$B1939)*($G1039:$G1938=$G1939)*($X1039:$X1938="VALIDE")),$C1039:$C1938),""))</f>
        <v/>
      </c>
      <c r="T1939" s="36">
        <f>IF(OR($C1939="",$S1939=""),"",ROUND(($C1939-$S1939+IF($C1939&lt;$S1939,1,0))*1440,0))</f>
        <v/>
      </c>
      <c r="U1939" s="22">
        <f>IF(OR($H1939="",$T1939="",$T1939&lt;=0),"",$H1939*60/$T1939)</f>
        <v/>
      </c>
      <c r="V1939" s="37">
        <f>IF(OR($U1939="",$R1939="",$R1939=0),"",$U1939/$R1939)</f>
        <v/>
      </c>
      <c r="W1939" s="20">
        <f>IF($G1939="","",IF($X1939="CONTEXTE INCOMPLET","CONTEXTE INCOMPLET",IF($X1939="DOUBLON",StatutDoublon,IF($S1939="",StatutInitial,IF($R1939="",StatutStandardManquant,IF($V1939="","DONNEES INSUFFISANTES",IF($V1939&gt;=SeuilConforme,StatutConforme,IF($V1939&gt;=SeuilSurveiller,StatutSurveiller,StatutSousStandard))))))))</f>
        <v/>
      </c>
      <c r="X1939" s="33">
        <f>IF($G1939="","",IF(OR($D1939="",$E1939="",$F1939=""),"CONTEXTE INCOMPLET",IF(COUNTIFS($D1039:$D1938,$D1939,$E1039:$E1938,$E1939,$F1039:$F1938,$F1939,$G1039:$G1938,$G1939)&gt;0,"DOUBLON","VALIDE")))</f>
        <v/>
      </c>
    </row>
    <row r="1940" ht="15" customHeight="1">
      <c r="A1940" s="12">
        <f>IF(OR($B1940="",$G1940=""),"",TEXT($B1940,"YYYYMMDD")&amp;"-"&amp;SUBSTITUTE($E1940," ","")&amp;"-"&amp;$F1940&amp;"-"&amp;$G1940)</f>
        <v/>
      </c>
      <c r="B1940" s="15" t="n"/>
      <c r="C1940" s="16" t="n"/>
      <c r="D1940" s="10" t="n"/>
      <c r="E1940" s="9" t="n"/>
      <c r="F1940" s="9" t="n"/>
      <c r="G1940" s="13" t="n"/>
      <c r="H1940" s="21" t="n"/>
      <c r="I1940" s="21" t="n"/>
      <c r="J1940" s="17">
        <f>IF($G1940="","",IFERROR(INDEX(NomsEmployes,MATCH($G1940,MatriculesEmployes,0)),"MATRICULE INCONNU"))</f>
        <v/>
      </c>
      <c r="K1940" s="33">
        <f>IF(OR($D1940="",$F1940=""),"",IFERROR(IF(INDEX(RUNS!$L$6:$S$1005,MATCH($D1940,RUNS!$A$6:$A$1005,0),MATCH("ACTIVITÉ "&amp;$F1940,RUNS!$L$5:$S$5,0))="","",INDEX(RUNS!$L$6:$S$1005,MATCH($D1940,RUNS!$A$6:$A$1005,0),MATCH("ACTIVITÉ "&amp;$F1940,RUNS!$L$5:$S$5,0))),""))</f>
        <v/>
      </c>
      <c r="L1940" s="33">
        <f>IF($D1940="","",IFERROR(IF(INDEX(RUNS!$E$6:$E$1005,MATCH($D1940,RUNS!$A$6:$A$1005,0))="","",INDEX(RUNS!$E$6:$E$1005,MATCH($D1940,RUNS!$A$6:$A$1005,0))),""))</f>
        <v/>
      </c>
      <c r="M1940" s="33">
        <f>IF($D1940="","",IFERROR(IF(INDEX(RUNS!$F$6:$F$1005,MATCH($D1940,RUNS!$A$6:$A$1005,0))="","",INDEX(RUNS!$F$6:$F$1005,MATCH($D1940,RUNS!$A$6:$A$1005,0))),""))</f>
        <v/>
      </c>
      <c r="N1940" s="33">
        <f>IF($D1940="","",IFERROR(IF(INDEX(RUNS!$G$6:$G$1005,MATCH($D1940,RUNS!$A$6:$A$1005,0))="","",INDEX(RUNS!$G$6:$G$1005,MATCH($D1940,RUNS!$A$6:$A$1005,0))),""))</f>
        <v/>
      </c>
      <c r="O1940" s="33">
        <f>IF($D1940="","",IFERROR(IF(INDEX(RUNS!$H$6:$H$1005,MATCH($D1940,RUNS!$A$6:$A$1005,0))="","",INDEX(RUNS!$H$6:$H$1005,MATCH($D1940,RUNS!$A$6:$A$1005,0))),""))</f>
        <v/>
      </c>
      <c r="P1940" s="33">
        <f>IF($D1940="","",IFERROR(IF(INDEX(RUNS!$J$6:$J$1005,MATCH($D1940,RUNS!$A$6:$A$1005,0))="","",INDEX(RUNS!$J$6:$J$1005,MATCH($D1940,RUNS!$A$6:$A$1005,0))),""))</f>
        <v/>
      </c>
      <c r="Q1940" s="33">
        <f>IF($D1940="","",IFERROR(IF(INDEX(RUNS!$K$6:$K$1005,MATCH($D1940,RUNS!$A$6:$A$1005,0))="","",INDEX(RUNS!$K$6:$K$1005,MATCH($D1940,RUNS!$A$6:$A$1005,0))),""))</f>
        <v/>
      </c>
      <c r="R1940" s="34">
        <f>IF(OR($L1940="",$K1940=""),"",IFERROR(IF(INDEX(PARAMETRES!$H$43:$H$342,MATCH($L1940&amp;"|"&amp;$M1940&amp;"|"&amp;$N1940&amp;"|"&amp;$O1940&amp;"|"&amp;$P1940&amp;"|"&amp;$Q1940&amp;"|"&amp;$K1940,PARAMETRES!$J$43:$J$342,0))="","",INDEX(PARAMETRES!$H$43:$H$342,MATCH($L1940&amp;"|"&amp;$M1940&amp;"|"&amp;$N1940&amp;"|"&amp;$O1940&amp;"|"&amp;$P1940&amp;"|"&amp;$Q1940&amp;"|"&amp;$K1940,PARAMETRES!$J$43:$J$342,0))),""))</f>
        <v/>
      </c>
      <c r="S1940" s="35">
        <f>IF(OR($G1940="",$X1940&lt;&gt;"VALIDE"),"",IFERROR(LOOKUP(2,1/(($B1040:$B1939=$B1940)*($G1040:$G1939=$G1940)*($X1040:$X1939="VALIDE")),$C1040:$C1939),""))</f>
        <v/>
      </c>
      <c r="T1940" s="36">
        <f>IF(OR($C1940="",$S1940=""),"",ROUND(($C1940-$S1940+IF($C1940&lt;$S1940,1,0))*1440,0))</f>
        <v/>
      </c>
      <c r="U1940" s="22">
        <f>IF(OR($H1940="",$T1940="",$T1940&lt;=0),"",$H1940*60/$T1940)</f>
        <v/>
      </c>
      <c r="V1940" s="37">
        <f>IF(OR($U1940="",$R1940="",$R1940=0),"",$U1940/$R1940)</f>
        <v/>
      </c>
      <c r="W1940" s="20">
        <f>IF($G1940="","",IF($X1940="CONTEXTE INCOMPLET","CONTEXTE INCOMPLET",IF($X1940="DOUBLON",StatutDoublon,IF($S1940="",StatutInitial,IF($R1940="",StatutStandardManquant,IF($V1940="","DONNEES INSUFFISANTES",IF($V1940&gt;=SeuilConforme,StatutConforme,IF($V1940&gt;=SeuilSurveiller,StatutSurveiller,StatutSousStandard))))))))</f>
        <v/>
      </c>
      <c r="X1940" s="33">
        <f>IF($G1940="","",IF(OR($D1940="",$E1940="",$F1940=""),"CONTEXTE INCOMPLET",IF(COUNTIFS($D1040:$D1939,$D1940,$E1040:$E1939,$E1940,$F1040:$F1939,$F1940,$G1040:$G1939,$G1940)&gt;0,"DOUBLON","VALIDE")))</f>
        <v/>
      </c>
    </row>
    <row r="1941" ht="15" customHeight="1">
      <c r="A1941" s="12">
        <f>IF(OR($B1941="",$G1941=""),"",TEXT($B1941,"YYYYMMDD")&amp;"-"&amp;SUBSTITUTE($E1941," ","")&amp;"-"&amp;$F1941&amp;"-"&amp;$G1941)</f>
        <v/>
      </c>
      <c r="B1941" s="15" t="n"/>
      <c r="C1941" s="16" t="n"/>
      <c r="D1941" s="10" t="n"/>
      <c r="E1941" s="9" t="n"/>
      <c r="F1941" s="9" t="n"/>
      <c r="G1941" s="13" t="n"/>
      <c r="H1941" s="21" t="n"/>
      <c r="I1941" s="21" t="n"/>
      <c r="J1941" s="17">
        <f>IF($G1941="","",IFERROR(INDEX(NomsEmployes,MATCH($G1941,MatriculesEmployes,0)),"MATRICULE INCONNU"))</f>
        <v/>
      </c>
      <c r="K1941" s="33">
        <f>IF(OR($D1941="",$F1941=""),"",IFERROR(IF(INDEX(RUNS!$L$6:$S$1005,MATCH($D1941,RUNS!$A$6:$A$1005,0),MATCH("ACTIVITÉ "&amp;$F1941,RUNS!$L$5:$S$5,0))="","",INDEX(RUNS!$L$6:$S$1005,MATCH($D1941,RUNS!$A$6:$A$1005,0),MATCH("ACTIVITÉ "&amp;$F1941,RUNS!$L$5:$S$5,0))),""))</f>
        <v/>
      </c>
      <c r="L1941" s="33">
        <f>IF($D1941="","",IFERROR(IF(INDEX(RUNS!$E$6:$E$1005,MATCH($D1941,RUNS!$A$6:$A$1005,0))="","",INDEX(RUNS!$E$6:$E$1005,MATCH($D1941,RUNS!$A$6:$A$1005,0))),""))</f>
        <v/>
      </c>
      <c r="M1941" s="33">
        <f>IF($D1941="","",IFERROR(IF(INDEX(RUNS!$F$6:$F$1005,MATCH($D1941,RUNS!$A$6:$A$1005,0))="","",INDEX(RUNS!$F$6:$F$1005,MATCH($D1941,RUNS!$A$6:$A$1005,0))),""))</f>
        <v/>
      </c>
      <c r="N1941" s="33">
        <f>IF($D1941="","",IFERROR(IF(INDEX(RUNS!$G$6:$G$1005,MATCH($D1941,RUNS!$A$6:$A$1005,0))="","",INDEX(RUNS!$G$6:$G$1005,MATCH($D1941,RUNS!$A$6:$A$1005,0))),""))</f>
        <v/>
      </c>
      <c r="O1941" s="33">
        <f>IF($D1941="","",IFERROR(IF(INDEX(RUNS!$H$6:$H$1005,MATCH($D1941,RUNS!$A$6:$A$1005,0))="","",INDEX(RUNS!$H$6:$H$1005,MATCH($D1941,RUNS!$A$6:$A$1005,0))),""))</f>
        <v/>
      </c>
      <c r="P1941" s="33">
        <f>IF($D1941="","",IFERROR(IF(INDEX(RUNS!$J$6:$J$1005,MATCH($D1941,RUNS!$A$6:$A$1005,0))="","",INDEX(RUNS!$J$6:$J$1005,MATCH($D1941,RUNS!$A$6:$A$1005,0))),""))</f>
        <v/>
      </c>
      <c r="Q1941" s="33">
        <f>IF($D1941="","",IFERROR(IF(INDEX(RUNS!$K$6:$K$1005,MATCH($D1941,RUNS!$A$6:$A$1005,0))="","",INDEX(RUNS!$K$6:$K$1005,MATCH($D1941,RUNS!$A$6:$A$1005,0))),""))</f>
        <v/>
      </c>
      <c r="R1941" s="34">
        <f>IF(OR($L1941="",$K1941=""),"",IFERROR(IF(INDEX(PARAMETRES!$H$43:$H$342,MATCH($L1941&amp;"|"&amp;$M1941&amp;"|"&amp;$N1941&amp;"|"&amp;$O1941&amp;"|"&amp;$P1941&amp;"|"&amp;$Q1941&amp;"|"&amp;$K1941,PARAMETRES!$J$43:$J$342,0))="","",INDEX(PARAMETRES!$H$43:$H$342,MATCH($L1941&amp;"|"&amp;$M1941&amp;"|"&amp;$N1941&amp;"|"&amp;$O1941&amp;"|"&amp;$P1941&amp;"|"&amp;$Q1941&amp;"|"&amp;$K1941,PARAMETRES!$J$43:$J$342,0))),""))</f>
        <v/>
      </c>
      <c r="S1941" s="35">
        <f>IF(OR($G1941="",$X1941&lt;&gt;"VALIDE"),"",IFERROR(LOOKUP(2,1/(($B1041:$B1940=$B1941)*($G1041:$G1940=$G1941)*($X1041:$X1940="VALIDE")),$C1041:$C1940),""))</f>
        <v/>
      </c>
      <c r="T1941" s="36">
        <f>IF(OR($C1941="",$S1941=""),"",ROUND(($C1941-$S1941+IF($C1941&lt;$S1941,1,0))*1440,0))</f>
        <v/>
      </c>
      <c r="U1941" s="22">
        <f>IF(OR($H1941="",$T1941="",$T1941&lt;=0),"",$H1941*60/$T1941)</f>
        <v/>
      </c>
      <c r="V1941" s="37">
        <f>IF(OR($U1941="",$R1941="",$R1941=0),"",$U1941/$R1941)</f>
        <v/>
      </c>
      <c r="W1941" s="20">
        <f>IF($G1941="","",IF($X1941="CONTEXTE INCOMPLET","CONTEXTE INCOMPLET",IF($X1941="DOUBLON",StatutDoublon,IF($S1941="",StatutInitial,IF($R1941="",StatutStandardManquant,IF($V1941="","DONNEES INSUFFISANTES",IF($V1941&gt;=SeuilConforme,StatutConforme,IF($V1941&gt;=SeuilSurveiller,StatutSurveiller,StatutSousStandard))))))))</f>
        <v/>
      </c>
      <c r="X1941" s="33">
        <f>IF($G1941="","",IF(OR($D1941="",$E1941="",$F1941=""),"CONTEXTE INCOMPLET",IF(COUNTIFS($D1041:$D1940,$D1941,$E1041:$E1940,$E1941,$F1041:$F1940,$F1941,$G1041:$G1940,$G1941)&gt;0,"DOUBLON","VALIDE")))</f>
        <v/>
      </c>
    </row>
    <row r="1942" ht="15" customHeight="1">
      <c r="A1942" s="12">
        <f>IF(OR($B1942="",$G1942=""),"",TEXT($B1942,"YYYYMMDD")&amp;"-"&amp;SUBSTITUTE($E1942," ","")&amp;"-"&amp;$F1942&amp;"-"&amp;$G1942)</f>
        <v/>
      </c>
      <c r="B1942" s="15" t="n"/>
      <c r="C1942" s="16" t="n"/>
      <c r="D1942" s="10" t="n"/>
      <c r="E1942" s="9" t="n"/>
      <c r="F1942" s="9" t="n"/>
      <c r="G1942" s="13" t="n"/>
      <c r="H1942" s="21" t="n"/>
      <c r="I1942" s="21" t="n"/>
      <c r="J1942" s="17">
        <f>IF($G1942="","",IFERROR(INDEX(NomsEmployes,MATCH($G1942,MatriculesEmployes,0)),"MATRICULE INCONNU"))</f>
        <v/>
      </c>
      <c r="K1942" s="33">
        <f>IF(OR($D1942="",$F1942=""),"",IFERROR(IF(INDEX(RUNS!$L$6:$S$1005,MATCH($D1942,RUNS!$A$6:$A$1005,0),MATCH("ACTIVITÉ "&amp;$F1942,RUNS!$L$5:$S$5,0))="","",INDEX(RUNS!$L$6:$S$1005,MATCH($D1942,RUNS!$A$6:$A$1005,0),MATCH("ACTIVITÉ "&amp;$F1942,RUNS!$L$5:$S$5,0))),""))</f>
        <v/>
      </c>
      <c r="L1942" s="33">
        <f>IF($D1942="","",IFERROR(IF(INDEX(RUNS!$E$6:$E$1005,MATCH($D1942,RUNS!$A$6:$A$1005,0))="","",INDEX(RUNS!$E$6:$E$1005,MATCH($D1942,RUNS!$A$6:$A$1005,0))),""))</f>
        <v/>
      </c>
      <c r="M1942" s="33">
        <f>IF($D1942="","",IFERROR(IF(INDEX(RUNS!$F$6:$F$1005,MATCH($D1942,RUNS!$A$6:$A$1005,0))="","",INDEX(RUNS!$F$6:$F$1005,MATCH($D1942,RUNS!$A$6:$A$1005,0))),""))</f>
        <v/>
      </c>
      <c r="N1942" s="33">
        <f>IF($D1942="","",IFERROR(IF(INDEX(RUNS!$G$6:$G$1005,MATCH($D1942,RUNS!$A$6:$A$1005,0))="","",INDEX(RUNS!$G$6:$G$1005,MATCH($D1942,RUNS!$A$6:$A$1005,0))),""))</f>
        <v/>
      </c>
      <c r="O1942" s="33">
        <f>IF($D1942="","",IFERROR(IF(INDEX(RUNS!$H$6:$H$1005,MATCH($D1942,RUNS!$A$6:$A$1005,0))="","",INDEX(RUNS!$H$6:$H$1005,MATCH($D1942,RUNS!$A$6:$A$1005,0))),""))</f>
        <v/>
      </c>
      <c r="P1942" s="33">
        <f>IF($D1942="","",IFERROR(IF(INDEX(RUNS!$J$6:$J$1005,MATCH($D1942,RUNS!$A$6:$A$1005,0))="","",INDEX(RUNS!$J$6:$J$1005,MATCH($D1942,RUNS!$A$6:$A$1005,0))),""))</f>
        <v/>
      </c>
      <c r="Q1942" s="33">
        <f>IF($D1942="","",IFERROR(IF(INDEX(RUNS!$K$6:$K$1005,MATCH($D1942,RUNS!$A$6:$A$1005,0))="","",INDEX(RUNS!$K$6:$K$1005,MATCH($D1942,RUNS!$A$6:$A$1005,0))),""))</f>
        <v/>
      </c>
      <c r="R1942" s="34">
        <f>IF(OR($L1942="",$K1942=""),"",IFERROR(IF(INDEX(PARAMETRES!$H$43:$H$342,MATCH($L1942&amp;"|"&amp;$M1942&amp;"|"&amp;$N1942&amp;"|"&amp;$O1942&amp;"|"&amp;$P1942&amp;"|"&amp;$Q1942&amp;"|"&amp;$K1942,PARAMETRES!$J$43:$J$342,0))="","",INDEX(PARAMETRES!$H$43:$H$342,MATCH($L1942&amp;"|"&amp;$M1942&amp;"|"&amp;$N1942&amp;"|"&amp;$O1942&amp;"|"&amp;$P1942&amp;"|"&amp;$Q1942&amp;"|"&amp;$K1942,PARAMETRES!$J$43:$J$342,0))),""))</f>
        <v/>
      </c>
      <c r="S1942" s="35">
        <f>IF(OR($G1942="",$X1942&lt;&gt;"VALIDE"),"",IFERROR(LOOKUP(2,1/(($B1042:$B1941=$B1942)*($G1042:$G1941=$G1942)*($X1042:$X1941="VALIDE")),$C1042:$C1941),""))</f>
        <v/>
      </c>
      <c r="T1942" s="36">
        <f>IF(OR($C1942="",$S1942=""),"",ROUND(($C1942-$S1942+IF($C1942&lt;$S1942,1,0))*1440,0))</f>
        <v/>
      </c>
      <c r="U1942" s="22">
        <f>IF(OR($H1942="",$T1942="",$T1942&lt;=0),"",$H1942*60/$T1942)</f>
        <v/>
      </c>
      <c r="V1942" s="37">
        <f>IF(OR($U1942="",$R1942="",$R1942=0),"",$U1942/$R1942)</f>
        <v/>
      </c>
      <c r="W1942" s="20">
        <f>IF($G1942="","",IF($X1942="CONTEXTE INCOMPLET","CONTEXTE INCOMPLET",IF($X1942="DOUBLON",StatutDoublon,IF($S1942="",StatutInitial,IF($R1942="",StatutStandardManquant,IF($V1942="","DONNEES INSUFFISANTES",IF($V1942&gt;=SeuilConforme,StatutConforme,IF($V1942&gt;=SeuilSurveiller,StatutSurveiller,StatutSousStandard))))))))</f>
        <v/>
      </c>
      <c r="X1942" s="33">
        <f>IF($G1942="","",IF(OR($D1942="",$E1942="",$F1942=""),"CONTEXTE INCOMPLET",IF(COUNTIFS($D1042:$D1941,$D1942,$E1042:$E1941,$E1942,$F1042:$F1941,$F1942,$G1042:$G1941,$G1942)&gt;0,"DOUBLON","VALIDE")))</f>
        <v/>
      </c>
    </row>
    <row r="1943" ht="15" customHeight="1">
      <c r="A1943" s="12">
        <f>IF(OR($B1943="",$G1943=""),"",TEXT($B1943,"YYYYMMDD")&amp;"-"&amp;SUBSTITUTE($E1943," ","")&amp;"-"&amp;$F1943&amp;"-"&amp;$G1943)</f>
        <v/>
      </c>
      <c r="B1943" s="15" t="n"/>
      <c r="C1943" s="16" t="n"/>
      <c r="D1943" s="10" t="n"/>
      <c r="E1943" s="9" t="n"/>
      <c r="F1943" s="9" t="n"/>
      <c r="G1943" s="13" t="n"/>
      <c r="H1943" s="21" t="n"/>
      <c r="I1943" s="21" t="n"/>
      <c r="J1943" s="17">
        <f>IF($G1943="","",IFERROR(INDEX(NomsEmployes,MATCH($G1943,MatriculesEmployes,0)),"MATRICULE INCONNU"))</f>
        <v/>
      </c>
      <c r="K1943" s="33">
        <f>IF(OR($D1943="",$F1943=""),"",IFERROR(IF(INDEX(RUNS!$L$6:$S$1005,MATCH($D1943,RUNS!$A$6:$A$1005,0),MATCH("ACTIVITÉ "&amp;$F1943,RUNS!$L$5:$S$5,0))="","",INDEX(RUNS!$L$6:$S$1005,MATCH($D1943,RUNS!$A$6:$A$1005,0),MATCH("ACTIVITÉ "&amp;$F1943,RUNS!$L$5:$S$5,0))),""))</f>
        <v/>
      </c>
      <c r="L1943" s="33">
        <f>IF($D1943="","",IFERROR(IF(INDEX(RUNS!$E$6:$E$1005,MATCH($D1943,RUNS!$A$6:$A$1005,0))="","",INDEX(RUNS!$E$6:$E$1005,MATCH($D1943,RUNS!$A$6:$A$1005,0))),""))</f>
        <v/>
      </c>
      <c r="M1943" s="33">
        <f>IF($D1943="","",IFERROR(IF(INDEX(RUNS!$F$6:$F$1005,MATCH($D1943,RUNS!$A$6:$A$1005,0))="","",INDEX(RUNS!$F$6:$F$1005,MATCH($D1943,RUNS!$A$6:$A$1005,0))),""))</f>
        <v/>
      </c>
      <c r="N1943" s="33">
        <f>IF($D1943="","",IFERROR(IF(INDEX(RUNS!$G$6:$G$1005,MATCH($D1943,RUNS!$A$6:$A$1005,0))="","",INDEX(RUNS!$G$6:$G$1005,MATCH($D1943,RUNS!$A$6:$A$1005,0))),""))</f>
        <v/>
      </c>
      <c r="O1943" s="33">
        <f>IF($D1943="","",IFERROR(IF(INDEX(RUNS!$H$6:$H$1005,MATCH($D1943,RUNS!$A$6:$A$1005,0))="","",INDEX(RUNS!$H$6:$H$1005,MATCH($D1943,RUNS!$A$6:$A$1005,0))),""))</f>
        <v/>
      </c>
      <c r="P1943" s="33">
        <f>IF($D1943="","",IFERROR(IF(INDEX(RUNS!$J$6:$J$1005,MATCH($D1943,RUNS!$A$6:$A$1005,0))="","",INDEX(RUNS!$J$6:$J$1005,MATCH($D1943,RUNS!$A$6:$A$1005,0))),""))</f>
        <v/>
      </c>
      <c r="Q1943" s="33">
        <f>IF($D1943="","",IFERROR(IF(INDEX(RUNS!$K$6:$K$1005,MATCH($D1943,RUNS!$A$6:$A$1005,0))="","",INDEX(RUNS!$K$6:$K$1005,MATCH($D1943,RUNS!$A$6:$A$1005,0))),""))</f>
        <v/>
      </c>
      <c r="R1943" s="34">
        <f>IF(OR($L1943="",$K1943=""),"",IFERROR(IF(INDEX(PARAMETRES!$H$43:$H$342,MATCH($L1943&amp;"|"&amp;$M1943&amp;"|"&amp;$N1943&amp;"|"&amp;$O1943&amp;"|"&amp;$P1943&amp;"|"&amp;$Q1943&amp;"|"&amp;$K1943,PARAMETRES!$J$43:$J$342,0))="","",INDEX(PARAMETRES!$H$43:$H$342,MATCH($L1943&amp;"|"&amp;$M1943&amp;"|"&amp;$N1943&amp;"|"&amp;$O1943&amp;"|"&amp;$P1943&amp;"|"&amp;$Q1943&amp;"|"&amp;$K1943,PARAMETRES!$J$43:$J$342,0))),""))</f>
        <v/>
      </c>
      <c r="S1943" s="35">
        <f>IF(OR($G1943="",$X1943&lt;&gt;"VALIDE"),"",IFERROR(LOOKUP(2,1/(($B1043:$B1942=$B1943)*($G1043:$G1942=$G1943)*($X1043:$X1942="VALIDE")),$C1043:$C1942),""))</f>
        <v/>
      </c>
      <c r="T1943" s="36">
        <f>IF(OR($C1943="",$S1943=""),"",ROUND(($C1943-$S1943+IF($C1943&lt;$S1943,1,0))*1440,0))</f>
        <v/>
      </c>
      <c r="U1943" s="22">
        <f>IF(OR($H1943="",$T1943="",$T1943&lt;=0),"",$H1943*60/$T1943)</f>
        <v/>
      </c>
      <c r="V1943" s="37">
        <f>IF(OR($U1943="",$R1943="",$R1943=0),"",$U1943/$R1943)</f>
        <v/>
      </c>
      <c r="W1943" s="20">
        <f>IF($G1943="","",IF($X1943="CONTEXTE INCOMPLET","CONTEXTE INCOMPLET",IF($X1943="DOUBLON",StatutDoublon,IF($S1943="",StatutInitial,IF($R1943="",StatutStandardManquant,IF($V1943="","DONNEES INSUFFISANTES",IF($V1943&gt;=SeuilConforme,StatutConforme,IF($V1943&gt;=SeuilSurveiller,StatutSurveiller,StatutSousStandard))))))))</f>
        <v/>
      </c>
      <c r="X1943" s="33">
        <f>IF($G1943="","",IF(OR($D1943="",$E1943="",$F1943=""),"CONTEXTE INCOMPLET",IF(COUNTIFS($D1043:$D1942,$D1943,$E1043:$E1942,$E1943,$F1043:$F1942,$F1943,$G1043:$G1942,$G1943)&gt;0,"DOUBLON","VALIDE")))</f>
        <v/>
      </c>
    </row>
    <row r="1944" ht="15" customHeight="1">
      <c r="A1944" s="12">
        <f>IF(OR($B1944="",$G1944=""),"",TEXT($B1944,"YYYYMMDD")&amp;"-"&amp;SUBSTITUTE($E1944," ","")&amp;"-"&amp;$F1944&amp;"-"&amp;$G1944)</f>
        <v/>
      </c>
      <c r="B1944" s="15" t="n"/>
      <c r="C1944" s="16" t="n"/>
      <c r="D1944" s="10" t="n"/>
      <c r="E1944" s="9" t="n"/>
      <c r="F1944" s="9" t="n"/>
      <c r="G1944" s="13" t="n"/>
      <c r="H1944" s="21" t="n"/>
      <c r="I1944" s="21" t="n"/>
      <c r="J1944" s="17">
        <f>IF($G1944="","",IFERROR(INDEX(NomsEmployes,MATCH($G1944,MatriculesEmployes,0)),"MATRICULE INCONNU"))</f>
        <v/>
      </c>
      <c r="K1944" s="33">
        <f>IF(OR($D1944="",$F1944=""),"",IFERROR(IF(INDEX(RUNS!$L$6:$S$1005,MATCH($D1944,RUNS!$A$6:$A$1005,0),MATCH("ACTIVITÉ "&amp;$F1944,RUNS!$L$5:$S$5,0))="","",INDEX(RUNS!$L$6:$S$1005,MATCH($D1944,RUNS!$A$6:$A$1005,0),MATCH("ACTIVITÉ "&amp;$F1944,RUNS!$L$5:$S$5,0))),""))</f>
        <v/>
      </c>
      <c r="L1944" s="33">
        <f>IF($D1944="","",IFERROR(IF(INDEX(RUNS!$E$6:$E$1005,MATCH($D1944,RUNS!$A$6:$A$1005,0))="","",INDEX(RUNS!$E$6:$E$1005,MATCH($D1944,RUNS!$A$6:$A$1005,0))),""))</f>
        <v/>
      </c>
      <c r="M1944" s="33">
        <f>IF($D1944="","",IFERROR(IF(INDEX(RUNS!$F$6:$F$1005,MATCH($D1944,RUNS!$A$6:$A$1005,0))="","",INDEX(RUNS!$F$6:$F$1005,MATCH($D1944,RUNS!$A$6:$A$1005,0))),""))</f>
        <v/>
      </c>
      <c r="N1944" s="33">
        <f>IF($D1944="","",IFERROR(IF(INDEX(RUNS!$G$6:$G$1005,MATCH($D1944,RUNS!$A$6:$A$1005,0))="","",INDEX(RUNS!$G$6:$G$1005,MATCH($D1944,RUNS!$A$6:$A$1005,0))),""))</f>
        <v/>
      </c>
      <c r="O1944" s="33">
        <f>IF($D1944="","",IFERROR(IF(INDEX(RUNS!$H$6:$H$1005,MATCH($D1944,RUNS!$A$6:$A$1005,0))="","",INDEX(RUNS!$H$6:$H$1005,MATCH($D1944,RUNS!$A$6:$A$1005,0))),""))</f>
        <v/>
      </c>
      <c r="P1944" s="33">
        <f>IF($D1944="","",IFERROR(IF(INDEX(RUNS!$J$6:$J$1005,MATCH($D1944,RUNS!$A$6:$A$1005,0))="","",INDEX(RUNS!$J$6:$J$1005,MATCH($D1944,RUNS!$A$6:$A$1005,0))),""))</f>
        <v/>
      </c>
      <c r="Q1944" s="33">
        <f>IF($D1944="","",IFERROR(IF(INDEX(RUNS!$K$6:$K$1005,MATCH($D1944,RUNS!$A$6:$A$1005,0))="","",INDEX(RUNS!$K$6:$K$1005,MATCH($D1944,RUNS!$A$6:$A$1005,0))),""))</f>
        <v/>
      </c>
      <c r="R1944" s="34">
        <f>IF(OR($L1944="",$K1944=""),"",IFERROR(IF(INDEX(PARAMETRES!$H$43:$H$342,MATCH($L1944&amp;"|"&amp;$M1944&amp;"|"&amp;$N1944&amp;"|"&amp;$O1944&amp;"|"&amp;$P1944&amp;"|"&amp;$Q1944&amp;"|"&amp;$K1944,PARAMETRES!$J$43:$J$342,0))="","",INDEX(PARAMETRES!$H$43:$H$342,MATCH($L1944&amp;"|"&amp;$M1944&amp;"|"&amp;$N1944&amp;"|"&amp;$O1944&amp;"|"&amp;$P1944&amp;"|"&amp;$Q1944&amp;"|"&amp;$K1944,PARAMETRES!$J$43:$J$342,0))),""))</f>
        <v/>
      </c>
      <c r="S1944" s="35">
        <f>IF(OR($G1944="",$X1944&lt;&gt;"VALIDE"),"",IFERROR(LOOKUP(2,1/(($B1044:$B1943=$B1944)*($G1044:$G1943=$G1944)*($X1044:$X1943="VALIDE")),$C1044:$C1943),""))</f>
        <v/>
      </c>
      <c r="T1944" s="36">
        <f>IF(OR($C1944="",$S1944=""),"",ROUND(($C1944-$S1944+IF($C1944&lt;$S1944,1,0))*1440,0))</f>
        <v/>
      </c>
      <c r="U1944" s="22">
        <f>IF(OR($H1944="",$T1944="",$T1944&lt;=0),"",$H1944*60/$T1944)</f>
        <v/>
      </c>
      <c r="V1944" s="37">
        <f>IF(OR($U1944="",$R1944="",$R1944=0),"",$U1944/$R1944)</f>
        <v/>
      </c>
      <c r="W1944" s="20">
        <f>IF($G1944="","",IF($X1944="CONTEXTE INCOMPLET","CONTEXTE INCOMPLET",IF($X1944="DOUBLON",StatutDoublon,IF($S1944="",StatutInitial,IF($R1944="",StatutStandardManquant,IF($V1944="","DONNEES INSUFFISANTES",IF($V1944&gt;=SeuilConforme,StatutConforme,IF($V1944&gt;=SeuilSurveiller,StatutSurveiller,StatutSousStandard))))))))</f>
        <v/>
      </c>
      <c r="X1944" s="33">
        <f>IF($G1944="","",IF(OR($D1944="",$E1944="",$F1944=""),"CONTEXTE INCOMPLET",IF(COUNTIFS($D1044:$D1943,$D1944,$E1044:$E1943,$E1944,$F1044:$F1943,$F1944,$G1044:$G1943,$G1944)&gt;0,"DOUBLON","VALIDE")))</f>
        <v/>
      </c>
    </row>
    <row r="1945" ht="15" customHeight="1">
      <c r="A1945" s="12">
        <f>IF(OR($B1945="",$G1945=""),"",TEXT($B1945,"YYYYMMDD")&amp;"-"&amp;SUBSTITUTE($E1945," ","")&amp;"-"&amp;$F1945&amp;"-"&amp;$G1945)</f>
        <v/>
      </c>
      <c r="B1945" s="15" t="n"/>
      <c r="C1945" s="16" t="n"/>
      <c r="D1945" s="10" t="n"/>
      <c r="E1945" s="9" t="n"/>
      <c r="F1945" s="9" t="n"/>
      <c r="G1945" s="13" t="n"/>
      <c r="H1945" s="21" t="n"/>
      <c r="I1945" s="21" t="n"/>
      <c r="J1945" s="17">
        <f>IF($G1945="","",IFERROR(INDEX(NomsEmployes,MATCH($G1945,MatriculesEmployes,0)),"MATRICULE INCONNU"))</f>
        <v/>
      </c>
      <c r="K1945" s="33">
        <f>IF(OR($D1945="",$F1945=""),"",IFERROR(IF(INDEX(RUNS!$L$6:$S$1005,MATCH($D1945,RUNS!$A$6:$A$1005,0),MATCH("ACTIVITÉ "&amp;$F1945,RUNS!$L$5:$S$5,0))="","",INDEX(RUNS!$L$6:$S$1005,MATCH($D1945,RUNS!$A$6:$A$1005,0),MATCH("ACTIVITÉ "&amp;$F1945,RUNS!$L$5:$S$5,0))),""))</f>
        <v/>
      </c>
      <c r="L1945" s="33">
        <f>IF($D1945="","",IFERROR(IF(INDEX(RUNS!$E$6:$E$1005,MATCH($D1945,RUNS!$A$6:$A$1005,0))="","",INDEX(RUNS!$E$6:$E$1005,MATCH($D1945,RUNS!$A$6:$A$1005,0))),""))</f>
        <v/>
      </c>
      <c r="M1945" s="33">
        <f>IF($D1945="","",IFERROR(IF(INDEX(RUNS!$F$6:$F$1005,MATCH($D1945,RUNS!$A$6:$A$1005,0))="","",INDEX(RUNS!$F$6:$F$1005,MATCH($D1945,RUNS!$A$6:$A$1005,0))),""))</f>
        <v/>
      </c>
      <c r="N1945" s="33">
        <f>IF($D1945="","",IFERROR(IF(INDEX(RUNS!$G$6:$G$1005,MATCH($D1945,RUNS!$A$6:$A$1005,0))="","",INDEX(RUNS!$G$6:$G$1005,MATCH($D1945,RUNS!$A$6:$A$1005,0))),""))</f>
        <v/>
      </c>
      <c r="O1945" s="33">
        <f>IF($D1945="","",IFERROR(IF(INDEX(RUNS!$H$6:$H$1005,MATCH($D1945,RUNS!$A$6:$A$1005,0))="","",INDEX(RUNS!$H$6:$H$1005,MATCH($D1945,RUNS!$A$6:$A$1005,0))),""))</f>
        <v/>
      </c>
      <c r="P1945" s="33">
        <f>IF($D1945="","",IFERROR(IF(INDEX(RUNS!$J$6:$J$1005,MATCH($D1945,RUNS!$A$6:$A$1005,0))="","",INDEX(RUNS!$J$6:$J$1005,MATCH($D1945,RUNS!$A$6:$A$1005,0))),""))</f>
        <v/>
      </c>
      <c r="Q1945" s="33">
        <f>IF($D1945="","",IFERROR(IF(INDEX(RUNS!$K$6:$K$1005,MATCH($D1945,RUNS!$A$6:$A$1005,0))="","",INDEX(RUNS!$K$6:$K$1005,MATCH($D1945,RUNS!$A$6:$A$1005,0))),""))</f>
        <v/>
      </c>
      <c r="R1945" s="34">
        <f>IF(OR($L1945="",$K1945=""),"",IFERROR(IF(INDEX(PARAMETRES!$H$43:$H$342,MATCH($L1945&amp;"|"&amp;$M1945&amp;"|"&amp;$N1945&amp;"|"&amp;$O1945&amp;"|"&amp;$P1945&amp;"|"&amp;$Q1945&amp;"|"&amp;$K1945,PARAMETRES!$J$43:$J$342,0))="","",INDEX(PARAMETRES!$H$43:$H$342,MATCH($L1945&amp;"|"&amp;$M1945&amp;"|"&amp;$N1945&amp;"|"&amp;$O1945&amp;"|"&amp;$P1945&amp;"|"&amp;$Q1945&amp;"|"&amp;$K1945,PARAMETRES!$J$43:$J$342,0))),""))</f>
        <v/>
      </c>
      <c r="S1945" s="35">
        <f>IF(OR($G1945="",$X1945&lt;&gt;"VALIDE"),"",IFERROR(LOOKUP(2,1/(($B1045:$B1944=$B1945)*($G1045:$G1944=$G1945)*($X1045:$X1944="VALIDE")),$C1045:$C1944),""))</f>
        <v/>
      </c>
      <c r="T1945" s="36">
        <f>IF(OR($C1945="",$S1945=""),"",ROUND(($C1945-$S1945+IF($C1945&lt;$S1945,1,0))*1440,0))</f>
        <v/>
      </c>
      <c r="U1945" s="22">
        <f>IF(OR($H1945="",$T1945="",$T1945&lt;=0),"",$H1945*60/$T1945)</f>
        <v/>
      </c>
      <c r="V1945" s="37">
        <f>IF(OR($U1945="",$R1945="",$R1945=0),"",$U1945/$R1945)</f>
        <v/>
      </c>
      <c r="W1945" s="20">
        <f>IF($G1945="","",IF($X1945="CONTEXTE INCOMPLET","CONTEXTE INCOMPLET",IF($X1945="DOUBLON",StatutDoublon,IF($S1945="",StatutInitial,IF($R1945="",StatutStandardManquant,IF($V1945="","DONNEES INSUFFISANTES",IF($V1945&gt;=SeuilConforme,StatutConforme,IF($V1945&gt;=SeuilSurveiller,StatutSurveiller,StatutSousStandard))))))))</f>
        <v/>
      </c>
      <c r="X1945" s="33">
        <f>IF($G1945="","",IF(OR($D1945="",$E1945="",$F1945=""),"CONTEXTE INCOMPLET",IF(COUNTIFS($D1045:$D1944,$D1945,$E1045:$E1944,$E1945,$F1045:$F1944,$F1945,$G1045:$G1944,$G1945)&gt;0,"DOUBLON","VALIDE")))</f>
        <v/>
      </c>
    </row>
    <row r="1946" ht="15" customHeight="1">
      <c r="A1946" s="12">
        <f>IF(OR($B1946="",$G1946=""),"",TEXT($B1946,"YYYYMMDD")&amp;"-"&amp;SUBSTITUTE($E1946," ","")&amp;"-"&amp;$F1946&amp;"-"&amp;$G1946)</f>
        <v/>
      </c>
      <c r="B1946" s="15" t="n"/>
      <c r="C1946" s="16" t="n"/>
      <c r="D1946" s="10" t="n"/>
      <c r="E1946" s="9" t="n"/>
      <c r="F1946" s="9" t="n"/>
      <c r="G1946" s="13" t="n"/>
      <c r="H1946" s="21" t="n"/>
      <c r="I1946" s="21" t="n"/>
      <c r="J1946" s="17">
        <f>IF($G1946="","",IFERROR(INDEX(NomsEmployes,MATCH($G1946,MatriculesEmployes,0)),"MATRICULE INCONNU"))</f>
        <v/>
      </c>
      <c r="K1946" s="33">
        <f>IF(OR($D1946="",$F1946=""),"",IFERROR(IF(INDEX(RUNS!$L$6:$S$1005,MATCH($D1946,RUNS!$A$6:$A$1005,0),MATCH("ACTIVITÉ "&amp;$F1946,RUNS!$L$5:$S$5,0))="","",INDEX(RUNS!$L$6:$S$1005,MATCH($D1946,RUNS!$A$6:$A$1005,0),MATCH("ACTIVITÉ "&amp;$F1946,RUNS!$L$5:$S$5,0))),""))</f>
        <v/>
      </c>
      <c r="L1946" s="33">
        <f>IF($D1946="","",IFERROR(IF(INDEX(RUNS!$E$6:$E$1005,MATCH($D1946,RUNS!$A$6:$A$1005,0))="","",INDEX(RUNS!$E$6:$E$1005,MATCH($D1946,RUNS!$A$6:$A$1005,0))),""))</f>
        <v/>
      </c>
      <c r="M1946" s="33">
        <f>IF($D1946="","",IFERROR(IF(INDEX(RUNS!$F$6:$F$1005,MATCH($D1946,RUNS!$A$6:$A$1005,0))="","",INDEX(RUNS!$F$6:$F$1005,MATCH($D1946,RUNS!$A$6:$A$1005,0))),""))</f>
        <v/>
      </c>
      <c r="N1946" s="33">
        <f>IF($D1946="","",IFERROR(IF(INDEX(RUNS!$G$6:$G$1005,MATCH($D1946,RUNS!$A$6:$A$1005,0))="","",INDEX(RUNS!$G$6:$G$1005,MATCH($D1946,RUNS!$A$6:$A$1005,0))),""))</f>
        <v/>
      </c>
      <c r="O1946" s="33">
        <f>IF($D1946="","",IFERROR(IF(INDEX(RUNS!$H$6:$H$1005,MATCH($D1946,RUNS!$A$6:$A$1005,0))="","",INDEX(RUNS!$H$6:$H$1005,MATCH($D1946,RUNS!$A$6:$A$1005,0))),""))</f>
        <v/>
      </c>
      <c r="P1946" s="33">
        <f>IF($D1946="","",IFERROR(IF(INDEX(RUNS!$J$6:$J$1005,MATCH($D1946,RUNS!$A$6:$A$1005,0))="","",INDEX(RUNS!$J$6:$J$1005,MATCH($D1946,RUNS!$A$6:$A$1005,0))),""))</f>
        <v/>
      </c>
      <c r="Q1946" s="33">
        <f>IF($D1946="","",IFERROR(IF(INDEX(RUNS!$K$6:$K$1005,MATCH($D1946,RUNS!$A$6:$A$1005,0))="","",INDEX(RUNS!$K$6:$K$1005,MATCH($D1946,RUNS!$A$6:$A$1005,0))),""))</f>
        <v/>
      </c>
      <c r="R1946" s="34">
        <f>IF(OR($L1946="",$K1946=""),"",IFERROR(IF(INDEX(PARAMETRES!$H$43:$H$342,MATCH($L1946&amp;"|"&amp;$M1946&amp;"|"&amp;$N1946&amp;"|"&amp;$O1946&amp;"|"&amp;$P1946&amp;"|"&amp;$Q1946&amp;"|"&amp;$K1946,PARAMETRES!$J$43:$J$342,0))="","",INDEX(PARAMETRES!$H$43:$H$342,MATCH($L1946&amp;"|"&amp;$M1946&amp;"|"&amp;$N1946&amp;"|"&amp;$O1946&amp;"|"&amp;$P1946&amp;"|"&amp;$Q1946&amp;"|"&amp;$K1946,PARAMETRES!$J$43:$J$342,0))),""))</f>
        <v/>
      </c>
      <c r="S1946" s="35">
        <f>IF(OR($G1946="",$X1946&lt;&gt;"VALIDE"),"",IFERROR(LOOKUP(2,1/(($B1046:$B1945=$B1946)*($G1046:$G1945=$G1946)*($X1046:$X1945="VALIDE")),$C1046:$C1945),""))</f>
        <v/>
      </c>
      <c r="T1946" s="36">
        <f>IF(OR($C1946="",$S1946=""),"",ROUND(($C1946-$S1946+IF($C1946&lt;$S1946,1,0))*1440,0))</f>
        <v/>
      </c>
      <c r="U1946" s="22">
        <f>IF(OR($H1946="",$T1946="",$T1946&lt;=0),"",$H1946*60/$T1946)</f>
        <v/>
      </c>
      <c r="V1946" s="37">
        <f>IF(OR($U1946="",$R1946="",$R1946=0),"",$U1946/$R1946)</f>
        <v/>
      </c>
      <c r="W1946" s="20">
        <f>IF($G1946="","",IF($X1946="CONTEXTE INCOMPLET","CONTEXTE INCOMPLET",IF($X1946="DOUBLON",StatutDoublon,IF($S1946="",StatutInitial,IF($R1946="",StatutStandardManquant,IF($V1946="","DONNEES INSUFFISANTES",IF($V1946&gt;=SeuilConforme,StatutConforme,IF($V1946&gt;=SeuilSurveiller,StatutSurveiller,StatutSousStandard))))))))</f>
        <v/>
      </c>
      <c r="X1946" s="33">
        <f>IF($G1946="","",IF(OR($D1946="",$E1946="",$F1946=""),"CONTEXTE INCOMPLET",IF(COUNTIFS($D1046:$D1945,$D1946,$E1046:$E1945,$E1946,$F1046:$F1945,$F1946,$G1046:$G1945,$G1946)&gt;0,"DOUBLON","VALIDE")))</f>
        <v/>
      </c>
    </row>
    <row r="1947" ht="15" customHeight="1">
      <c r="A1947" s="12">
        <f>IF(OR($B1947="",$G1947=""),"",TEXT($B1947,"YYYYMMDD")&amp;"-"&amp;SUBSTITUTE($E1947," ","")&amp;"-"&amp;$F1947&amp;"-"&amp;$G1947)</f>
        <v/>
      </c>
      <c r="B1947" s="15" t="n"/>
      <c r="C1947" s="16" t="n"/>
      <c r="D1947" s="10" t="n"/>
      <c r="E1947" s="9" t="n"/>
      <c r="F1947" s="9" t="n"/>
      <c r="G1947" s="13" t="n"/>
      <c r="H1947" s="21" t="n"/>
      <c r="I1947" s="21" t="n"/>
      <c r="J1947" s="17">
        <f>IF($G1947="","",IFERROR(INDEX(NomsEmployes,MATCH($G1947,MatriculesEmployes,0)),"MATRICULE INCONNU"))</f>
        <v/>
      </c>
      <c r="K1947" s="33">
        <f>IF(OR($D1947="",$F1947=""),"",IFERROR(IF(INDEX(RUNS!$L$6:$S$1005,MATCH($D1947,RUNS!$A$6:$A$1005,0),MATCH("ACTIVITÉ "&amp;$F1947,RUNS!$L$5:$S$5,0))="","",INDEX(RUNS!$L$6:$S$1005,MATCH($D1947,RUNS!$A$6:$A$1005,0),MATCH("ACTIVITÉ "&amp;$F1947,RUNS!$L$5:$S$5,0))),""))</f>
        <v/>
      </c>
      <c r="L1947" s="33">
        <f>IF($D1947="","",IFERROR(IF(INDEX(RUNS!$E$6:$E$1005,MATCH($D1947,RUNS!$A$6:$A$1005,0))="","",INDEX(RUNS!$E$6:$E$1005,MATCH($D1947,RUNS!$A$6:$A$1005,0))),""))</f>
        <v/>
      </c>
      <c r="M1947" s="33">
        <f>IF($D1947="","",IFERROR(IF(INDEX(RUNS!$F$6:$F$1005,MATCH($D1947,RUNS!$A$6:$A$1005,0))="","",INDEX(RUNS!$F$6:$F$1005,MATCH($D1947,RUNS!$A$6:$A$1005,0))),""))</f>
        <v/>
      </c>
      <c r="N1947" s="33">
        <f>IF($D1947="","",IFERROR(IF(INDEX(RUNS!$G$6:$G$1005,MATCH($D1947,RUNS!$A$6:$A$1005,0))="","",INDEX(RUNS!$G$6:$G$1005,MATCH($D1947,RUNS!$A$6:$A$1005,0))),""))</f>
        <v/>
      </c>
      <c r="O1947" s="33">
        <f>IF($D1947="","",IFERROR(IF(INDEX(RUNS!$H$6:$H$1005,MATCH($D1947,RUNS!$A$6:$A$1005,0))="","",INDEX(RUNS!$H$6:$H$1005,MATCH($D1947,RUNS!$A$6:$A$1005,0))),""))</f>
        <v/>
      </c>
      <c r="P1947" s="33">
        <f>IF($D1947="","",IFERROR(IF(INDEX(RUNS!$J$6:$J$1005,MATCH($D1947,RUNS!$A$6:$A$1005,0))="","",INDEX(RUNS!$J$6:$J$1005,MATCH($D1947,RUNS!$A$6:$A$1005,0))),""))</f>
        <v/>
      </c>
      <c r="Q1947" s="33">
        <f>IF($D1947="","",IFERROR(IF(INDEX(RUNS!$K$6:$K$1005,MATCH($D1947,RUNS!$A$6:$A$1005,0))="","",INDEX(RUNS!$K$6:$K$1005,MATCH($D1947,RUNS!$A$6:$A$1005,0))),""))</f>
        <v/>
      </c>
      <c r="R1947" s="34">
        <f>IF(OR($L1947="",$K1947=""),"",IFERROR(IF(INDEX(PARAMETRES!$H$43:$H$342,MATCH($L1947&amp;"|"&amp;$M1947&amp;"|"&amp;$N1947&amp;"|"&amp;$O1947&amp;"|"&amp;$P1947&amp;"|"&amp;$Q1947&amp;"|"&amp;$K1947,PARAMETRES!$J$43:$J$342,0))="","",INDEX(PARAMETRES!$H$43:$H$342,MATCH($L1947&amp;"|"&amp;$M1947&amp;"|"&amp;$N1947&amp;"|"&amp;$O1947&amp;"|"&amp;$P1947&amp;"|"&amp;$Q1947&amp;"|"&amp;$K1947,PARAMETRES!$J$43:$J$342,0))),""))</f>
        <v/>
      </c>
      <c r="S1947" s="35">
        <f>IF(OR($G1947="",$X1947&lt;&gt;"VALIDE"),"",IFERROR(LOOKUP(2,1/(($B1047:$B1946=$B1947)*($G1047:$G1946=$G1947)*($X1047:$X1946="VALIDE")),$C1047:$C1946),""))</f>
        <v/>
      </c>
      <c r="T1947" s="36">
        <f>IF(OR($C1947="",$S1947=""),"",ROUND(($C1947-$S1947+IF($C1947&lt;$S1947,1,0))*1440,0))</f>
        <v/>
      </c>
      <c r="U1947" s="22">
        <f>IF(OR($H1947="",$T1947="",$T1947&lt;=0),"",$H1947*60/$T1947)</f>
        <v/>
      </c>
      <c r="V1947" s="37">
        <f>IF(OR($U1947="",$R1947="",$R1947=0),"",$U1947/$R1947)</f>
        <v/>
      </c>
      <c r="W1947" s="20">
        <f>IF($G1947="","",IF($X1947="CONTEXTE INCOMPLET","CONTEXTE INCOMPLET",IF($X1947="DOUBLON",StatutDoublon,IF($S1947="",StatutInitial,IF($R1947="",StatutStandardManquant,IF($V1947="","DONNEES INSUFFISANTES",IF($V1947&gt;=SeuilConforme,StatutConforme,IF($V1947&gt;=SeuilSurveiller,StatutSurveiller,StatutSousStandard))))))))</f>
        <v/>
      </c>
      <c r="X1947" s="33">
        <f>IF($G1947="","",IF(OR($D1947="",$E1947="",$F1947=""),"CONTEXTE INCOMPLET",IF(COUNTIFS($D1047:$D1946,$D1947,$E1047:$E1946,$E1947,$F1047:$F1946,$F1947,$G1047:$G1946,$G1947)&gt;0,"DOUBLON","VALIDE")))</f>
        <v/>
      </c>
    </row>
    <row r="1948" ht="15" customHeight="1">
      <c r="A1948" s="12">
        <f>IF(OR($B1948="",$G1948=""),"",TEXT($B1948,"YYYYMMDD")&amp;"-"&amp;SUBSTITUTE($E1948," ","")&amp;"-"&amp;$F1948&amp;"-"&amp;$G1948)</f>
        <v/>
      </c>
      <c r="B1948" s="15" t="n"/>
      <c r="C1948" s="16" t="n"/>
      <c r="D1948" s="10" t="n"/>
      <c r="E1948" s="9" t="n"/>
      <c r="F1948" s="9" t="n"/>
      <c r="G1948" s="13" t="n"/>
      <c r="H1948" s="21" t="n"/>
      <c r="I1948" s="21" t="n"/>
      <c r="J1948" s="17">
        <f>IF($G1948="","",IFERROR(INDEX(NomsEmployes,MATCH($G1948,MatriculesEmployes,0)),"MATRICULE INCONNU"))</f>
        <v/>
      </c>
      <c r="K1948" s="33">
        <f>IF(OR($D1948="",$F1948=""),"",IFERROR(IF(INDEX(RUNS!$L$6:$S$1005,MATCH($D1948,RUNS!$A$6:$A$1005,0),MATCH("ACTIVITÉ "&amp;$F1948,RUNS!$L$5:$S$5,0))="","",INDEX(RUNS!$L$6:$S$1005,MATCH($D1948,RUNS!$A$6:$A$1005,0),MATCH("ACTIVITÉ "&amp;$F1948,RUNS!$L$5:$S$5,0))),""))</f>
        <v/>
      </c>
      <c r="L1948" s="33">
        <f>IF($D1948="","",IFERROR(IF(INDEX(RUNS!$E$6:$E$1005,MATCH($D1948,RUNS!$A$6:$A$1005,0))="","",INDEX(RUNS!$E$6:$E$1005,MATCH($D1948,RUNS!$A$6:$A$1005,0))),""))</f>
        <v/>
      </c>
      <c r="M1948" s="33">
        <f>IF($D1948="","",IFERROR(IF(INDEX(RUNS!$F$6:$F$1005,MATCH($D1948,RUNS!$A$6:$A$1005,0))="","",INDEX(RUNS!$F$6:$F$1005,MATCH($D1948,RUNS!$A$6:$A$1005,0))),""))</f>
        <v/>
      </c>
      <c r="N1948" s="33">
        <f>IF($D1948="","",IFERROR(IF(INDEX(RUNS!$G$6:$G$1005,MATCH($D1948,RUNS!$A$6:$A$1005,0))="","",INDEX(RUNS!$G$6:$G$1005,MATCH($D1948,RUNS!$A$6:$A$1005,0))),""))</f>
        <v/>
      </c>
      <c r="O1948" s="33">
        <f>IF($D1948="","",IFERROR(IF(INDEX(RUNS!$H$6:$H$1005,MATCH($D1948,RUNS!$A$6:$A$1005,0))="","",INDEX(RUNS!$H$6:$H$1005,MATCH($D1948,RUNS!$A$6:$A$1005,0))),""))</f>
        <v/>
      </c>
      <c r="P1948" s="33">
        <f>IF($D1948="","",IFERROR(IF(INDEX(RUNS!$J$6:$J$1005,MATCH($D1948,RUNS!$A$6:$A$1005,0))="","",INDEX(RUNS!$J$6:$J$1005,MATCH($D1948,RUNS!$A$6:$A$1005,0))),""))</f>
        <v/>
      </c>
      <c r="Q1948" s="33">
        <f>IF($D1948="","",IFERROR(IF(INDEX(RUNS!$K$6:$K$1005,MATCH($D1948,RUNS!$A$6:$A$1005,0))="","",INDEX(RUNS!$K$6:$K$1005,MATCH($D1948,RUNS!$A$6:$A$1005,0))),""))</f>
        <v/>
      </c>
      <c r="R1948" s="34">
        <f>IF(OR($L1948="",$K1948=""),"",IFERROR(IF(INDEX(PARAMETRES!$H$43:$H$342,MATCH($L1948&amp;"|"&amp;$M1948&amp;"|"&amp;$N1948&amp;"|"&amp;$O1948&amp;"|"&amp;$P1948&amp;"|"&amp;$Q1948&amp;"|"&amp;$K1948,PARAMETRES!$J$43:$J$342,0))="","",INDEX(PARAMETRES!$H$43:$H$342,MATCH($L1948&amp;"|"&amp;$M1948&amp;"|"&amp;$N1948&amp;"|"&amp;$O1948&amp;"|"&amp;$P1948&amp;"|"&amp;$Q1948&amp;"|"&amp;$K1948,PARAMETRES!$J$43:$J$342,0))),""))</f>
        <v/>
      </c>
      <c r="S1948" s="35">
        <f>IF(OR($G1948="",$X1948&lt;&gt;"VALIDE"),"",IFERROR(LOOKUP(2,1/(($B1048:$B1947=$B1948)*($G1048:$G1947=$G1948)*($X1048:$X1947="VALIDE")),$C1048:$C1947),""))</f>
        <v/>
      </c>
      <c r="T1948" s="36">
        <f>IF(OR($C1948="",$S1948=""),"",ROUND(($C1948-$S1948+IF($C1948&lt;$S1948,1,0))*1440,0))</f>
        <v/>
      </c>
      <c r="U1948" s="22">
        <f>IF(OR($H1948="",$T1948="",$T1948&lt;=0),"",$H1948*60/$T1948)</f>
        <v/>
      </c>
      <c r="V1948" s="37">
        <f>IF(OR($U1948="",$R1948="",$R1948=0),"",$U1948/$R1948)</f>
        <v/>
      </c>
      <c r="W1948" s="20">
        <f>IF($G1948="","",IF($X1948="CONTEXTE INCOMPLET","CONTEXTE INCOMPLET",IF($X1948="DOUBLON",StatutDoublon,IF($S1948="",StatutInitial,IF($R1948="",StatutStandardManquant,IF($V1948="","DONNEES INSUFFISANTES",IF($V1948&gt;=SeuilConforme,StatutConforme,IF($V1948&gt;=SeuilSurveiller,StatutSurveiller,StatutSousStandard))))))))</f>
        <v/>
      </c>
      <c r="X1948" s="33">
        <f>IF($G1948="","",IF(OR($D1948="",$E1948="",$F1948=""),"CONTEXTE INCOMPLET",IF(COUNTIFS($D1048:$D1947,$D1948,$E1048:$E1947,$E1948,$F1048:$F1947,$F1948,$G1048:$G1947,$G1948)&gt;0,"DOUBLON","VALIDE")))</f>
        <v/>
      </c>
    </row>
    <row r="1949" ht="15" customHeight="1">
      <c r="A1949" s="12">
        <f>IF(OR($B1949="",$G1949=""),"",TEXT($B1949,"YYYYMMDD")&amp;"-"&amp;SUBSTITUTE($E1949," ","")&amp;"-"&amp;$F1949&amp;"-"&amp;$G1949)</f>
        <v/>
      </c>
      <c r="B1949" s="15" t="n"/>
      <c r="C1949" s="16" t="n"/>
      <c r="D1949" s="10" t="n"/>
      <c r="E1949" s="9" t="n"/>
      <c r="F1949" s="9" t="n"/>
      <c r="G1949" s="13" t="n"/>
      <c r="H1949" s="21" t="n"/>
      <c r="I1949" s="21" t="n"/>
      <c r="J1949" s="17">
        <f>IF($G1949="","",IFERROR(INDEX(NomsEmployes,MATCH($G1949,MatriculesEmployes,0)),"MATRICULE INCONNU"))</f>
        <v/>
      </c>
      <c r="K1949" s="33">
        <f>IF(OR($D1949="",$F1949=""),"",IFERROR(IF(INDEX(RUNS!$L$6:$S$1005,MATCH($D1949,RUNS!$A$6:$A$1005,0),MATCH("ACTIVITÉ "&amp;$F1949,RUNS!$L$5:$S$5,0))="","",INDEX(RUNS!$L$6:$S$1005,MATCH($D1949,RUNS!$A$6:$A$1005,0),MATCH("ACTIVITÉ "&amp;$F1949,RUNS!$L$5:$S$5,0))),""))</f>
        <v/>
      </c>
      <c r="L1949" s="33">
        <f>IF($D1949="","",IFERROR(IF(INDEX(RUNS!$E$6:$E$1005,MATCH($D1949,RUNS!$A$6:$A$1005,0))="","",INDEX(RUNS!$E$6:$E$1005,MATCH($D1949,RUNS!$A$6:$A$1005,0))),""))</f>
        <v/>
      </c>
      <c r="M1949" s="33">
        <f>IF($D1949="","",IFERROR(IF(INDEX(RUNS!$F$6:$F$1005,MATCH($D1949,RUNS!$A$6:$A$1005,0))="","",INDEX(RUNS!$F$6:$F$1005,MATCH($D1949,RUNS!$A$6:$A$1005,0))),""))</f>
        <v/>
      </c>
      <c r="N1949" s="33">
        <f>IF($D1949="","",IFERROR(IF(INDEX(RUNS!$G$6:$G$1005,MATCH($D1949,RUNS!$A$6:$A$1005,0))="","",INDEX(RUNS!$G$6:$G$1005,MATCH($D1949,RUNS!$A$6:$A$1005,0))),""))</f>
        <v/>
      </c>
      <c r="O1949" s="33">
        <f>IF($D1949="","",IFERROR(IF(INDEX(RUNS!$H$6:$H$1005,MATCH($D1949,RUNS!$A$6:$A$1005,0))="","",INDEX(RUNS!$H$6:$H$1005,MATCH($D1949,RUNS!$A$6:$A$1005,0))),""))</f>
        <v/>
      </c>
      <c r="P1949" s="33">
        <f>IF($D1949="","",IFERROR(IF(INDEX(RUNS!$J$6:$J$1005,MATCH($D1949,RUNS!$A$6:$A$1005,0))="","",INDEX(RUNS!$J$6:$J$1005,MATCH($D1949,RUNS!$A$6:$A$1005,0))),""))</f>
        <v/>
      </c>
      <c r="Q1949" s="33">
        <f>IF($D1949="","",IFERROR(IF(INDEX(RUNS!$K$6:$K$1005,MATCH($D1949,RUNS!$A$6:$A$1005,0))="","",INDEX(RUNS!$K$6:$K$1005,MATCH($D1949,RUNS!$A$6:$A$1005,0))),""))</f>
        <v/>
      </c>
      <c r="R1949" s="34">
        <f>IF(OR($L1949="",$K1949=""),"",IFERROR(IF(INDEX(PARAMETRES!$H$43:$H$342,MATCH($L1949&amp;"|"&amp;$M1949&amp;"|"&amp;$N1949&amp;"|"&amp;$O1949&amp;"|"&amp;$P1949&amp;"|"&amp;$Q1949&amp;"|"&amp;$K1949,PARAMETRES!$J$43:$J$342,0))="","",INDEX(PARAMETRES!$H$43:$H$342,MATCH($L1949&amp;"|"&amp;$M1949&amp;"|"&amp;$N1949&amp;"|"&amp;$O1949&amp;"|"&amp;$P1949&amp;"|"&amp;$Q1949&amp;"|"&amp;$K1949,PARAMETRES!$J$43:$J$342,0))),""))</f>
        <v/>
      </c>
      <c r="S1949" s="35">
        <f>IF(OR($G1949="",$X1949&lt;&gt;"VALIDE"),"",IFERROR(LOOKUP(2,1/(($B1049:$B1948=$B1949)*($G1049:$G1948=$G1949)*($X1049:$X1948="VALIDE")),$C1049:$C1948),""))</f>
        <v/>
      </c>
      <c r="T1949" s="36">
        <f>IF(OR($C1949="",$S1949=""),"",ROUND(($C1949-$S1949+IF($C1949&lt;$S1949,1,0))*1440,0))</f>
        <v/>
      </c>
      <c r="U1949" s="22">
        <f>IF(OR($H1949="",$T1949="",$T1949&lt;=0),"",$H1949*60/$T1949)</f>
        <v/>
      </c>
      <c r="V1949" s="37">
        <f>IF(OR($U1949="",$R1949="",$R1949=0),"",$U1949/$R1949)</f>
        <v/>
      </c>
      <c r="W1949" s="20">
        <f>IF($G1949="","",IF($X1949="CONTEXTE INCOMPLET","CONTEXTE INCOMPLET",IF($X1949="DOUBLON",StatutDoublon,IF($S1949="",StatutInitial,IF($R1949="",StatutStandardManquant,IF($V1949="","DONNEES INSUFFISANTES",IF($V1949&gt;=SeuilConforme,StatutConforme,IF($V1949&gt;=SeuilSurveiller,StatutSurveiller,StatutSousStandard))))))))</f>
        <v/>
      </c>
      <c r="X1949" s="33">
        <f>IF($G1949="","",IF(OR($D1949="",$E1949="",$F1949=""),"CONTEXTE INCOMPLET",IF(COUNTIFS($D1049:$D1948,$D1949,$E1049:$E1948,$E1949,$F1049:$F1948,$F1949,$G1049:$G1948,$G1949)&gt;0,"DOUBLON","VALIDE")))</f>
        <v/>
      </c>
    </row>
    <row r="1950" ht="15" customHeight="1">
      <c r="A1950" s="12">
        <f>IF(OR($B1950="",$G1950=""),"",TEXT($B1950,"YYYYMMDD")&amp;"-"&amp;SUBSTITUTE($E1950," ","")&amp;"-"&amp;$F1950&amp;"-"&amp;$G1950)</f>
        <v/>
      </c>
      <c r="B1950" s="15" t="n"/>
      <c r="C1950" s="16" t="n"/>
      <c r="D1950" s="10" t="n"/>
      <c r="E1950" s="9" t="n"/>
      <c r="F1950" s="9" t="n"/>
      <c r="G1950" s="13" t="n"/>
      <c r="H1950" s="21" t="n"/>
      <c r="I1950" s="21" t="n"/>
      <c r="J1950" s="17">
        <f>IF($G1950="","",IFERROR(INDEX(NomsEmployes,MATCH($G1950,MatriculesEmployes,0)),"MATRICULE INCONNU"))</f>
        <v/>
      </c>
      <c r="K1950" s="33">
        <f>IF(OR($D1950="",$F1950=""),"",IFERROR(IF(INDEX(RUNS!$L$6:$S$1005,MATCH($D1950,RUNS!$A$6:$A$1005,0),MATCH("ACTIVITÉ "&amp;$F1950,RUNS!$L$5:$S$5,0))="","",INDEX(RUNS!$L$6:$S$1005,MATCH($D1950,RUNS!$A$6:$A$1005,0),MATCH("ACTIVITÉ "&amp;$F1950,RUNS!$L$5:$S$5,0))),""))</f>
        <v/>
      </c>
      <c r="L1950" s="33">
        <f>IF($D1950="","",IFERROR(IF(INDEX(RUNS!$E$6:$E$1005,MATCH($D1950,RUNS!$A$6:$A$1005,0))="","",INDEX(RUNS!$E$6:$E$1005,MATCH($D1950,RUNS!$A$6:$A$1005,0))),""))</f>
        <v/>
      </c>
      <c r="M1950" s="33">
        <f>IF($D1950="","",IFERROR(IF(INDEX(RUNS!$F$6:$F$1005,MATCH($D1950,RUNS!$A$6:$A$1005,0))="","",INDEX(RUNS!$F$6:$F$1005,MATCH($D1950,RUNS!$A$6:$A$1005,0))),""))</f>
        <v/>
      </c>
      <c r="N1950" s="33">
        <f>IF($D1950="","",IFERROR(IF(INDEX(RUNS!$G$6:$G$1005,MATCH($D1950,RUNS!$A$6:$A$1005,0))="","",INDEX(RUNS!$G$6:$G$1005,MATCH($D1950,RUNS!$A$6:$A$1005,0))),""))</f>
        <v/>
      </c>
      <c r="O1950" s="33">
        <f>IF($D1950="","",IFERROR(IF(INDEX(RUNS!$H$6:$H$1005,MATCH($D1950,RUNS!$A$6:$A$1005,0))="","",INDEX(RUNS!$H$6:$H$1005,MATCH($D1950,RUNS!$A$6:$A$1005,0))),""))</f>
        <v/>
      </c>
      <c r="P1950" s="33">
        <f>IF($D1950="","",IFERROR(IF(INDEX(RUNS!$J$6:$J$1005,MATCH($D1950,RUNS!$A$6:$A$1005,0))="","",INDEX(RUNS!$J$6:$J$1005,MATCH($D1950,RUNS!$A$6:$A$1005,0))),""))</f>
        <v/>
      </c>
      <c r="Q1950" s="33">
        <f>IF($D1950="","",IFERROR(IF(INDEX(RUNS!$K$6:$K$1005,MATCH($D1950,RUNS!$A$6:$A$1005,0))="","",INDEX(RUNS!$K$6:$K$1005,MATCH($D1950,RUNS!$A$6:$A$1005,0))),""))</f>
        <v/>
      </c>
      <c r="R1950" s="34">
        <f>IF(OR($L1950="",$K1950=""),"",IFERROR(IF(INDEX(PARAMETRES!$H$43:$H$342,MATCH($L1950&amp;"|"&amp;$M1950&amp;"|"&amp;$N1950&amp;"|"&amp;$O1950&amp;"|"&amp;$P1950&amp;"|"&amp;$Q1950&amp;"|"&amp;$K1950,PARAMETRES!$J$43:$J$342,0))="","",INDEX(PARAMETRES!$H$43:$H$342,MATCH($L1950&amp;"|"&amp;$M1950&amp;"|"&amp;$N1950&amp;"|"&amp;$O1950&amp;"|"&amp;$P1950&amp;"|"&amp;$Q1950&amp;"|"&amp;$K1950,PARAMETRES!$J$43:$J$342,0))),""))</f>
        <v/>
      </c>
      <c r="S1950" s="35">
        <f>IF(OR($G1950="",$X1950&lt;&gt;"VALIDE"),"",IFERROR(LOOKUP(2,1/(($B1050:$B1949=$B1950)*($G1050:$G1949=$G1950)*($X1050:$X1949="VALIDE")),$C1050:$C1949),""))</f>
        <v/>
      </c>
      <c r="T1950" s="36">
        <f>IF(OR($C1950="",$S1950=""),"",ROUND(($C1950-$S1950+IF($C1950&lt;$S1950,1,0))*1440,0))</f>
        <v/>
      </c>
      <c r="U1950" s="22">
        <f>IF(OR($H1950="",$T1950="",$T1950&lt;=0),"",$H1950*60/$T1950)</f>
        <v/>
      </c>
      <c r="V1950" s="37">
        <f>IF(OR($U1950="",$R1950="",$R1950=0),"",$U1950/$R1950)</f>
        <v/>
      </c>
      <c r="W1950" s="20">
        <f>IF($G1950="","",IF($X1950="CONTEXTE INCOMPLET","CONTEXTE INCOMPLET",IF($X1950="DOUBLON",StatutDoublon,IF($S1950="",StatutInitial,IF($R1950="",StatutStandardManquant,IF($V1950="","DONNEES INSUFFISANTES",IF($V1950&gt;=SeuilConforme,StatutConforme,IF($V1950&gt;=SeuilSurveiller,StatutSurveiller,StatutSousStandard))))))))</f>
        <v/>
      </c>
      <c r="X1950" s="33">
        <f>IF($G1950="","",IF(OR($D1950="",$E1950="",$F1950=""),"CONTEXTE INCOMPLET",IF(COUNTIFS($D1050:$D1949,$D1950,$E1050:$E1949,$E1950,$F1050:$F1949,$F1950,$G1050:$G1949,$G1950)&gt;0,"DOUBLON","VALIDE")))</f>
        <v/>
      </c>
    </row>
    <row r="1951" ht="15" customHeight="1">
      <c r="A1951" s="12">
        <f>IF(OR($B1951="",$G1951=""),"",TEXT($B1951,"YYYYMMDD")&amp;"-"&amp;SUBSTITUTE($E1951," ","")&amp;"-"&amp;$F1951&amp;"-"&amp;$G1951)</f>
        <v/>
      </c>
      <c r="B1951" s="15" t="n"/>
      <c r="C1951" s="16" t="n"/>
      <c r="D1951" s="10" t="n"/>
      <c r="E1951" s="9" t="n"/>
      <c r="F1951" s="9" t="n"/>
      <c r="G1951" s="13" t="n"/>
      <c r="H1951" s="21" t="n"/>
      <c r="I1951" s="21" t="n"/>
      <c r="J1951" s="17">
        <f>IF($G1951="","",IFERROR(INDEX(NomsEmployes,MATCH($G1951,MatriculesEmployes,0)),"MATRICULE INCONNU"))</f>
        <v/>
      </c>
      <c r="K1951" s="33">
        <f>IF(OR($D1951="",$F1951=""),"",IFERROR(IF(INDEX(RUNS!$L$6:$S$1005,MATCH($D1951,RUNS!$A$6:$A$1005,0),MATCH("ACTIVITÉ "&amp;$F1951,RUNS!$L$5:$S$5,0))="","",INDEX(RUNS!$L$6:$S$1005,MATCH($D1951,RUNS!$A$6:$A$1005,0),MATCH("ACTIVITÉ "&amp;$F1951,RUNS!$L$5:$S$5,0))),""))</f>
        <v/>
      </c>
      <c r="L1951" s="33">
        <f>IF($D1951="","",IFERROR(IF(INDEX(RUNS!$E$6:$E$1005,MATCH($D1951,RUNS!$A$6:$A$1005,0))="","",INDEX(RUNS!$E$6:$E$1005,MATCH($D1951,RUNS!$A$6:$A$1005,0))),""))</f>
        <v/>
      </c>
      <c r="M1951" s="33">
        <f>IF($D1951="","",IFERROR(IF(INDEX(RUNS!$F$6:$F$1005,MATCH($D1951,RUNS!$A$6:$A$1005,0))="","",INDEX(RUNS!$F$6:$F$1005,MATCH($D1951,RUNS!$A$6:$A$1005,0))),""))</f>
        <v/>
      </c>
      <c r="N1951" s="33">
        <f>IF($D1951="","",IFERROR(IF(INDEX(RUNS!$G$6:$G$1005,MATCH($D1951,RUNS!$A$6:$A$1005,0))="","",INDEX(RUNS!$G$6:$G$1005,MATCH($D1951,RUNS!$A$6:$A$1005,0))),""))</f>
        <v/>
      </c>
      <c r="O1951" s="33">
        <f>IF($D1951="","",IFERROR(IF(INDEX(RUNS!$H$6:$H$1005,MATCH($D1951,RUNS!$A$6:$A$1005,0))="","",INDEX(RUNS!$H$6:$H$1005,MATCH($D1951,RUNS!$A$6:$A$1005,0))),""))</f>
        <v/>
      </c>
      <c r="P1951" s="33">
        <f>IF($D1951="","",IFERROR(IF(INDEX(RUNS!$J$6:$J$1005,MATCH($D1951,RUNS!$A$6:$A$1005,0))="","",INDEX(RUNS!$J$6:$J$1005,MATCH($D1951,RUNS!$A$6:$A$1005,0))),""))</f>
        <v/>
      </c>
      <c r="Q1951" s="33">
        <f>IF($D1951="","",IFERROR(IF(INDEX(RUNS!$K$6:$K$1005,MATCH($D1951,RUNS!$A$6:$A$1005,0))="","",INDEX(RUNS!$K$6:$K$1005,MATCH($D1951,RUNS!$A$6:$A$1005,0))),""))</f>
        <v/>
      </c>
      <c r="R1951" s="34">
        <f>IF(OR($L1951="",$K1951=""),"",IFERROR(IF(INDEX(PARAMETRES!$H$43:$H$342,MATCH($L1951&amp;"|"&amp;$M1951&amp;"|"&amp;$N1951&amp;"|"&amp;$O1951&amp;"|"&amp;$P1951&amp;"|"&amp;$Q1951&amp;"|"&amp;$K1951,PARAMETRES!$J$43:$J$342,0))="","",INDEX(PARAMETRES!$H$43:$H$342,MATCH($L1951&amp;"|"&amp;$M1951&amp;"|"&amp;$N1951&amp;"|"&amp;$O1951&amp;"|"&amp;$P1951&amp;"|"&amp;$Q1951&amp;"|"&amp;$K1951,PARAMETRES!$J$43:$J$342,0))),""))</f>
        <v/>
      </c>
      <c r="S1951" s="35">
        <f>IF(OR($G1951="",$X1951&lt;&gt;"VALIDE"),"",IFERROR(LOOKUP(2,1/(($B1051:$B1950=$B1951)*($G1051:$G1950=$G1951)*($X1051:$X1950="VALIDE")),$C1051:$C1950),""))</f>
        <v/>
      </c>
      <c r="T1951" s="36">
        <f>IF(OR($C1951="",$S1951=""),"",ROUND(($C1951-$S1951+IF($C1951&lt;$S1951,1,0))*1440,0))</f>
        <v/>
      </c>
      <c r="U1951" s="22">
        <f>IF(OR($H1951="",$T1951="",$T1951&lt;=0),"",$H1951*60/$T1951)</f>
        <v/>
      </c>
      <c r="V1951" s="37">
        <f>IF(OR($U1951="",$R1951="",$R1951=0),"",$U1951/$R1951)</f>
        <v/>
      </c>
      <c r="W1951" s="20">
        <f>IF($G1951="","",IF($X1951="CONTEXTE INCOMPLET","CONTEXTE INCOMPLET",IF($X1951="DOUBLON",StatutDoublon,IF($S1951="",StatutInitial,IF($R1951="",StatutStandardManquant,IF($V1951="","DONNEES INSUFFISANTES",IF($V1951&gt;=SeuilConforme,StatutConforme,IF($V1951&gt;=SeuilSurveiller,StatutSurveiller,StatutSousStandard))))))))</f>
        <v/>
      </c>
      <c r="X1951" s="33">
        <f>IF($G1951="","",IF(OR($D1951="",$E1951="",$F1951=""),"CONTEXTE INCOMPLET",IF(COUNTIFS($D1051:$D1950,$D1951,$E1051:$E1950,$E1951,$F1051:$F1950,$F1951,$G1051:$G1950,$G1951)&gt;0,"DOUBLON","VALIDE")))</f>
        <v/>
      </c>
    </row>
    <row r="1952" ht="15" customHeight="1">
      <c r="A1952" s="12">
        <f>IF(OR($B1952="",$G1952=""),"",TEXT($B1952,"YYYYMMDD")&amp;"-"&amp;SUBSTITUTE($E1952," ","")&amp;"-"&amp;$F1952&amp;"-"&amp;$G1952)</f>
        <v/>
      </c>
      <c r="B1952" s="15" t="n"/>
      <c r="C1952" s="16" t="n"/>
      <c r="D1952" s="10" t="n"/>
      <c r="E1952" s="9" t="n"/>
      <c r="F1952" s="9" t="n"/>
      <c r="G1952" s="13" t="n"/>
      <c r="H1952" s="21" t="n"/>
      <c r="I1952" s="21" t="n"/>
      <c r="J1952" s="17">
        <f>IF($G1952="","",IFERROR(INDEX(NomsEmployes,MATCH($G1952,MatriculesEmployes,0)),"MATRICULE INCONNU"))</f>
        <v/>
      </c>
      <c r="K1952" s="33">
        <f>IF(OR($D1952="",$F1952=""),"",IFERROR(IF(INDEX(RUNS!$L$6:$S$1005,MATCH($D1952,RUNS!$A$6:$A$1005,0),MATCH("ACTIVITÉ "&amp;$F1952,RUNS!$L$5:$S$5,0))="","",INDEX(RUNS!$L$6:$S$1005,MATCH($D1952,RUNS!$A$6:$A$1005,0),MATCH("ACTIVITÉ "&amp;$F1952,RUNS!$L$5:$S$5,0))),""))</f>
        <v/>
      </c>
      <c r="L1952" s="33">
        <f>IF($D1952="","",IFERROR(IF(INDEX(RUNS!$E$6:$E$1005,MATCH($D1952,RUNS!$A$6:$A$1005,0))="","",INDEX(RUNS!$E$6:$E$1005,MATCH($D1952,RUNS!$A$6:$A$1005,0))),""))</f>
        <v/>
      </c>
      <c r="M1952" s="33">
        <f>IF($D1952="","",IFERROR(IF(INDEX(RUNS!$F$6:$F$1005,MATCH($D1952,RUNS!$A$6:$A$1005,0))="","",INDEX(RUNS!$F$6:$F$1005,MATCH($D1952,RUNS!$A$6:$A$1005,0))),""))</f>
        <v/>
      </c>
      <c r="N1952" s="33">
        <f>IF($D1952="","",IFERROR(IF(INDEX(RUNS!$G$6:$G$1005,MATCH($D1952,RUNS!$A$6:$A$1005,0))="","",INDEX(RUNS!$G$6:$G$1005,MATCH($D1952,RUNS!$A$6:$A$1005,0))),""))</f>
        <v/>
      </c>
      <c r="O1952" s="33">
        <f>IF($D1952="","",IFERROR(IF(INDEX(RUNS!$H$6:$H$1005,MATCH($D1952,RUNS!$A$6:$A$1005,0))="","",INDEX(RUNS!$H$6:$H$1005,MATCH($D1952,RUNS!$A$6:$A$1005,0))),""))</f>
        <v/>
      </c>
      <c r="P1952" s="33">
        <f>IF($D1952="","",IFERROR(IF(INDEX(RUNS!$J$6:$J$1005,MATCH($D1952,RUNS!$A$6:$A$1005,0))="","",INDEX(RUNS!$J$6:$J$1005,MATCH($D1952,RUNS!$A$6:$A$1005,0))),""))</f>
        <v/>
      </c>
      <c r="Q1952" s="33">
        <f>IF($D1952="","",IFERROR(IF(INDEX(RUNS!$K$6:$K$1005,MATCH($D1952,RUNS!$A$6:$A$1005,0))="","",INDEX(RUNS!$K$6:$K$1005,MATCH($D1952,RUNS!$A$6:$A$1005,0))),""))</f>
        <v/>
      </c>
      <c r="R1952" s="34">
        <f>IF(OR($L1952="",$K1952=""),"",IFERROR(IF(INDEX(PARAMETRES!$H$43:$H$342,MATCH($L1952&amp;"|"&amp;$M1952&amp;"|"&amp;$N1952&amp;"|"&amp;$O1952&amp;"|"&amp;$P1952&amp;"|"&amp;$Q1952&amp;"|"&amp;$K1952,PARAMETRES!$J$43:$J$342,0))="","",INDEX(PARAMETRES!$H$43:$H$342,MATCH($L1952&amp;"|"&amp;$M1952&amp;"|"&amp;$N1952&amp;"|"&amp;$O1952&amp;"|"&amp;$P1952&amp;"|"&amp;$Q1952&amp;"|"&amp;$K1952,PARAMETRES!$J$43:$J$342,0))),""))</f>
        <v/>
      </c>
      <c r="S1952" s="35">
        <f>IF(OR($G1952="",$X1952&lt;&gt;"VALIDE"),"",IFERROR(LOOKUP(2,1/(($B1052:$B1951=$B1952)*($G1052:$G1951=$G1952)*($X1052:$X1951="VALIDE")),$C1052:$C1951),""))</f>
        <v/>
      </c>
      <c r="T1952" s="36">
        <f>IF(OR($C1952="",$S1952=""),"",ROUND(($C1952-$S1952+IF($C1952&lt;$S1952,1,0))*1440,0))</f>
        <v/>
      </c>
      <c r="U1952" s="22">
        <f>IF(OR($H1952="",$T1952="",$T1952&lt;=0),"",$H1952*60/$T1952)</f>
        <v/>
      </c>
      <c r="V1952" s="37">
        <f>IF(OR($U1952="",$R1952="",$R1952=0),"",$U1952/$R1952)</f>
        <v/>
      </c>
      <c r="W1952" s="20">
        <f>IF($G1952="","",IF($X1952="CONTEXTE INCOMPLET","CONTEXTE INCOMPLET",IF($X1952="DOUBLON",StatutDoublon,IF($S1952="",StatutInitial,IF($R1952="",StatutStandardManquant,IF($V1952="","DONNEES INSUFFISANTES",IF($V1952&gt;=SeuilConforme,StatutConforme,IF($V1952&gt;=SeuilSurveiller,StatutSurveiller,StatutSousStandard))))))))</f>
        <v/>
      </c>
      <c r="X1952" s="33">
        <f>IF($G1952="","",IF(OR($D1952="",$E1952="",$F1952=""),"CONTEXTE INCOMPLET",IF(COUNTIFS($D1052:$D1951,$D1952,$E1052:$E1951,$E1952,$F1052:$F1951,$F1952,$G1052:$G1951,$G1952)&gt;0,"DOUBLON","VALIDE")))</f>
        <v/>
      </c>
    </row>
    <row r="1953" ht="15" customHeight="1">
      <c r="A1953" s="12">
        <f>IF(OR($B1953="",$G1953=""),"",TEXT($B1953,"YYYYMMDD")&amp;"-"&amp;SUBSTITUTE($E1953," ","")&amp;"-"&amp;$F1953&amp;"-"&amp;$G1953)</f>
        <v/>
      </c>
      <c r="B1953" s="15" t="n"/>
      <c r="C1953" s="16" t="n"/>
      <c r="D1953" s="10" t="n"/>
      <c r="E1953" s="9" t="n"/>
      <c r="F1953" s="9" t="n"/>
      <c r="G1953" s="13" t="n"/>
      <c r="H1953" s="21" t="n"/>
      <c r="I1953" s="21" t="n"/>
      <c r="J1953" s="17">
        <f>IF($G1953="","",IFERROR(INDEX(NomsEmployes,MATCH($G1953,MatriculesEmployes,0)),"MATRICULE INCONNU"))</f>
        <v/>
      </c>
      <c r="K1953" s="33">
        <f>IF(OR($D1953="",$F1953=""),"",IFERROR(IF(INDEX(RUNS!$L$6:$S$1005,MATCH($D1953,RUNS!$A$6:$A$1005,0),MATCH("ACTIVITÉ "&amp;$F1953,RUNS!$L$5:$S$5,0))="","",INDEX(RUNS!$L$6:$S$1005,MATCH($D1953,RUNS!$A$6:$A$1005,0),MATCH("ACTIVITÉ "&amp;$F1953,RUNS!$L$5:$S$5,0))),""))</f>
        <v/>
      </c>
      <c r="L1953" s="33">
        <f>IF($D1953="","",IFERROR(IF(INDEX(RUNS!$E$6:$E$1005,MATCH($D1953,RUNS!$A$6:$A$1005,0))="","",INDEX(RUNS!$E$6:$E$1005,MATCH($D1953,RUNS!$A$6:$A$1005,0))),""))</f>
        <v/>
      </c>
      <c r="M1953" s="33">
        <f>IF($D1953="","",IFERROR(IF(INDEX(RUNS!$F$6:$F$1005,MATCH($D1953,RUNS!$A$6:$A$1005,0))="","",INDEX(RUNS!$F$6:$F$1005,MATCH($D1953,RUNS!$A$6:$A$1005,0))),""))</f>
        <v/>
      </c>
      <c r="N1953" s="33">
        <f>IF($D1953="","",IFERROR(IF(INDEX(RUNS!$G$6:$G$1005,MATCH($D1953,RUNS!$A$6:$A$1005,0))="","",INDEX(RUNS!$G$6:$G$1005,MATCH($D1953,RUNS!$A$6:$A$1005,0))),""))</f>
        <v/>
      </c>
      <c r="O1953" s="33">
        <f>IF($D1953="","",IFERROR(IF(INDEX(RUNS!$H$6:$H$1005,MATCH($D1953,RUNS!$A$6:$A$1005,0))="","",INDEX(RUNS!$H$6:$H$1005,MATCH($D1953,RUNS!$A$6:$A$1005,0))),""))</f>
        <v/>
      </c>
      <c r="P1953" s="33">
        <f>IF($D1953="","",IFERROR(IF(INDEX(RUNS!$J$6:$J$1005,MATCH($D1953,RUNS!$A$6:$A$1005,0))="","",INDEX(RUNS!$J$6:$J$1005,MATCH($D1953,RUNS!$A$6:$A$1005,0))),""))</f>
        <v/>
      </c>
      <c r="Q1953" s="33">
        <f>IF($D1953="","",IFERROR(IF(INDEX(RUNS!$K$6:$K$1005,MATCH($D1953,RUNS!$A$6:$A$1005,0))="","",INDEX(RUNS!$K$6:$K$1005,MATCH($D1953,RUNS!$A$6:$A$1005,0))),""))</f>
        <v/>
      </c>
      <c r="R1953" s="34">
        <f>IF(OR($L1953="",$K1953=""),"",IFERROR(IF(INDEX(PARAMETRES!$H$43:$H$342,MATCH($L1953&amp;"|"&amp;$M1953&amp;"|"&amp;$N1953&amp;"|"&amp;$O1953&amp;"|"&amp;$P1953&amp;"|"&amp;$Q1953&amp;"|"&amp;$K1953,PARAMETRES!$J$43:$J$342,0))="","",INDEX(PARAMETRES!$H$43:$H$342,MATCH($L1953&amp;"|"&amp;$M1953&amp;"|"&amp;$N1953&amp;"|"&amp;$O1953&amp;"|"&amp;$P1953&amp;"|"&amp;$Q1953&amp;"|"&amp;$K1953,PARAMETRES!$J$43:$J$342,0))),""))</f>
        <v/>
      </c>
      <c r="S1953" s="35">
        <f>IF(OR($G1953="",$X1953&lt;&gt;"VALIDE"),"",IFERROR(LOOKUP(2,1/(($B1053:$B1952=$B1953)*($G1053:$G1952=$G1953)*($X1053:$X1952="VALIDE")),$C1053:$C1952),""))</f>
        <v/>
      </c>
      <c r="T1953" s="36">
        <f>IF(OR($C1953="",$S1953=""),"",ROUND(($C1953-$S1953+IF($C1953&lt;$S1953,1,0))*1440,0))</f>
        <v/>
      </c>
      <c r="U1953" s="22">
        <f>IF(OR($H1953="",$T1953="",$T1953&lt;=0),"",$H1953*60/$T1953)</f>
        <v/>
      </c>
      <c r="V1953" s="37">
        <f>IF(OR($U1953="",$R1953="",$R1953=0),"",$U1953/$R1953)</f>
        <v/>
      </c>
      <c r="W1953" s="20">
        <f>IF($G1953="","",IF($X1953="CONTEXTE INCOMPLET","CONTEXTE INCOMPLET",IF($X1953="DOUBLON",StatutDoublon,IF($S1953="",StatutInitial,IF($R1953="",StatutStandardManquant,IF($V1953="","DONNEES INSUFFISANTES",IF($V1953&gt;=SeuilConforme,StatutConforme,IF($V1953&gt;=SeuilSurveiller,StatutSurveiller,StatutSousStandard))))))))</f>
        <v/>
      </c>
      <c r="X1953" s="33">
        <f>IF($G1953="","",IF(OR($D1953="",$E1953="",$F1953=""),"CONTEXTE INCOMPLET",IF(COUNTIFS($D1053:$D1952,$D1953,$E1053:$E1952,$E1953,$F1053:$F1952,$F1953,$G1053:$G1952,$G1953)&gt;0,"DOUBLON","VALIDE")))</f>
        <v/>
      </c>
    </row>
    <row r="1954" ht="15" customHeight="1">
      <c r="A1954" s="12">
        <f>IF(OR($B1954="",$G1954=""),"",TEXT($B1954,"YYYYMMDD")&amp;"-"&amp;SUBSTITUTE($E1954," ","")&amp;"-"&amp;$F1954&amp;"-"&amp;$G1954)</f>
        <v/>
      </c>
      <c r="B1954" s="15" t="n"/>
      <c r="C1954" s="16" t="n"/>
      <c r="D1954" s="10" t="n"/>
      <c r="E1954" s="9" t="n"/>
      <c r="F1954" s="9" t="n"/>
      <c r="G1954" s="13" t="n"/>
      <c r="H1954" s="21" t="n"/>
      <c r="I1954" s="21" t="n"/>
      <c r="J1954" s="17">
        <f>IF($G1954="","",IFERROR(INDEX(NomsEmployes,MATCH($G1954,MatriculesEmployes,0)),"MATRICULE INCONNU"))</f>
        <v/>
      </c>
      <c r="K1954" s="33">
        <f>IF(OR($D1954="",$F1954=""),"",IFERROR(IF(INDEX(RUNS!$L$6:$S$1005,MATCH($D1954,RUNS!$A$6:$A$1005,0),MATCH("ACTIVITÉ "&amp;$F1954,RUNS!$L$5:$S$5,0))="","",INDEX(RUNS!$L$6:$S$1005,MATCH($D1954,RUNS!$A$6:$A$1005,0),MATCH("ACTIVITÉ "&amp;$F1954,RUNS!$L$5:$S$5,0))),""))</f>
        <v/>
      </c>
      <c r="L1954" s="33">
        <f>IF($D1954="","",IFERROR(IF(INDEX(RUNS!$E$6:$E$1005,MATCH($D1954,RUNS!$A$6:$A$1005,0))="","",INDEX(RUNS!$E$6:$E$1005,MATCH($D1954,RUNS!$A$6:$A$1005,0))),""))</f>
        <v/>
      </c>
      <c r="M1954" s="33">
        <f>IF($D1954="","",IFERROR(IF(INDEX(RUNS!$F$6:$F$1005,MATCH($D1954,RUNS!$A$6:$A$1005,0))="","",INDEX(RUNS!$F$6:$F$1005,MATCH($D1954,RUNS!$A$6:$A$1005,0))),""))</f>
        <v/>
      </c>
      <c r="N1954" s="33">
        <f>IF($D1954="","",IFERROR(IF(INDEX(RUNS!$G$6:$G$1005,MATCH($D1954,RUNS!$A$6:$A$1005,0))="","",INDEX(RUNS!$G$6:$G$1005,MATCH($D1954,RUNS!$A$6:$A$1005,0))),""))</f>
        <v/>
      </c>
      <c r="O1954" s="33">
        <f>IF($D1954="","",IFERROR(IF(INDEX(RUNS!$H$6:$H$1005,MATCH($D1954,RUNS!$A$6:$A$1005,0))="","",INDEX(RUNS!$H$6:$H$1005,MATCH($D1954,RUNS!$A$6:$A$1005,0))),""))</f>
        <v/>
      </c>
      <c r="P1954" s="33">
        <f>IF($D1954="","",IFERROR(IF(INDEX(RUNS!$J$6:$J$1005,MATCH($D1954,RUNS!$A$6:$A$1005,0))="","",INDEX(RUNS!$J$6:$J$1005,MATCH($D1954,RUNS!$A$6:$A$1005,0))),""))</f>
        <v/>
      </c>
      <c r="Q1954" s="33">
        <f>IF($D1954="","",IFERROR(IF(INDEX(RUNS!$K$6:$K$1005,MATCH($D1954,RUNS!$A$6:$A$1005,0))="","",INDEX(RUNS!$K$6:$K$1005,MATCH($D1954,RUNS!$A$6:$A$1005,0))),""))</f>
        <v/>
      </c>
      <c r="R1954" s="34">
        <f>IF(OR($L1954="",$K1954=""),"",IFERROR(IF(INDEX(PARAMETRES!$H$43:$H$342,MATCH($L1954&amp;"|"&amp;$M1954&amp;"|"&amp;$N1954&amp;"|"&amp;$O1954&amp;"|"&amp;$P1954&amp;"|"&amp;$Q1954&amp;"|"&amp;$K1954,PARAMETRES!$J$43:$J$342,0))="","",INDEX(PARAMETRES!$H$43:$H$342,MATCH($L1954&amp;"|"&amp;$M1954&amp;"|"&amp;$N1954&amp;"|"&amp;$O1954&amp;"|"&amp;$P1954&amp;"|"&amp;$Q1954&amp;"|"&amp;$K1954,PARAMETRES!$J$43:$J$342,0))),""))</f>
        <v/>
      </c>
      <c r="S1954" s="35">
        <f>IF(OR($G1954="",$X1954&lt;&gt;"VALIDE"),"",IFERROR(LOOKUP(2,1/(($B1054:$B1953=$B1954)*($G1054:$G1953=$G1954)*($X1054:$X1953="VALIDE")),$C1054:$C1953),""))</f>
        <v/>
      </c>
      <c r="T1954" s="36">
        <f>IF(OR($C1954="",$S1954=""),"",ROUND(($C1954-$S1954+IF($C1954&lt;$S1954,1,0))*1440,0))</f>
        <v/>
      </c>
      <c r="U1954" s="22">
        <f>IF(OR($H1954="",$T1954="",$T1954&lt;=0),"",$H1954*60/$T1954)</f>
        <v/>
      </c>
      <c r="V1954" s="37">
        <f>IF(OR($U1954="",$R1954="",$R1954=0),"",$U1954/$R1954)</f>
        <v/>
      </c>
      <c r="W1954" s="20">
        <f>IF($G1954="","",IF($X1954="CONTEXTE INCOMPLET","CONTEXTE INCOMPLET",IF($X1954="DOUBLON",StatutDoublon,IF($S1954="",StatutInitial,IF($R1954="",StatutStandardManquant,IF($V1954="","DONNEES INSUFFISANTES",IF($V1954&gt;=SeuilConforme,StatutConforme,IF($V1954&gt;=SeuilSurveiller,StatutSurveiller,StatutSousStandard))))))))</f>
        <v/>
      </c>
      <c r="X1954" s="33">
        <f>IF($G1954="","",IF(OR($D1954="",$E1954="",$F1954=""),"CONTEXTE INCOMPLET",IF(COUNTIFS($D1054:$D1953,$D1954,$E1054:$E1953,$E1954,$F1054:$F1953,$F1954,$G1054:$G1953,$G1954)&gt;0,"DOUBLON","VALIDE")))</f>
        <v/>
      </c>
    </row>
    <row r="1955" ht="15" customHeight="1">
      <c r="A1955" s="12">
        <f>IF(OR($B1955="",$G1955=""),"",TEXT($B1955,"YYYYMMDD")&amp;"-"&amp;SUBSTITUTE($E1955," ","")&amp;"-"&amp;$F1955&amp;"-"&amp;$G1955)</f>
        <v/>
      </c>
      <c r="B1955" s="15" t="n"/>
      <c r="C1955" s="16" t="n"/>
      <c r="D1955" s="10" t="n"/>
      <c r="E1955" s="9" t="n"/>
      <c r="F1955" s="9" t="n"/>
      <c r="G1955" s="13" t="n"/>
      <c r="H1955" s="21" t="n"/>
      <c r="I1955" s="21" t="n"/>
      <c r="J1955" s="17">
        <f>IF($G1955="","",IFERROR(INDEX(NomsEmployes,MATCH($G1955,MatriculesEmployes,0)),"MATRICULE INCONNU"))</f>
        <v/>
      </c>
      <c r="K1955" s="33">
        <f>IF(OR($D1955="",$F1955=""),"",IFERROR(IF(INDEX(RUNS!$L$6:$S$1005,MATCH($D1955,RUNS!$A$6:$A$1005,0),MATCH("ACTIVITÉ "&amp;$F1955,RUNS!$L$5:$S$5,0))="","",INDEX(RUNS!$L$6:$S$1005,MATCH($D1955,RUNS!$A$6:$A$1005,0),MATCH("ACTIVITÉ "&amp;$F1955,RUNS!$L$5:$S$5,0))),""))</f>
        <v/>
      </c>
      <c r="L1955" s="33">
        <f>IF($D1955="","",IFERROR(IF(INDEX(RUNS!$E$6:$E$1005,MATCH($D1955,RUNS!$A$6:$A$1005,0))="","",INDEX(RUNS!$E$6:$E$1005,MATCH($D1955,RUNS!$A$6:$A$1005,0))),""))</f>
        <v/>
      </c>
      <c r="M1955" s="33">
        <f>IF($D1955="","",IFERROR(IF(INDEX(RUNS!$F$6:$F$1005,MATCH($D1955,RUNS!$A$6:$A$1005,0))="","",INDEX(RUNS!$F$6:$F$1005,MATCH($D1955,RUNS!$A$6:$A$1005,0))),""))</f>
        <v/>
      </c>
      <c r="N1955" s="33">
        <f>IF($D1955="","",IFERROR(IF(INDEX(RUNS!$G$6:$G$1005,MATCH($D1955,RUNS!$A$6:$A$1005,0))="","",INDEX(RUNS!$G$6:$G$1005,MATCH($D1955,RUNS!$A$6:$A$1005,0))),""))</f>
        <v/>
      </c>
      <c r="O1955" s="33">
        <f>IF($D1955="","",IFERROR(IF(INDEX(RUNS!$H$6:$H$1005,MATCH($D1955,RUNS!$A$6:$A$1005,0))="","",INDEX(RUNS!$H$6:$H$1005,MATCH($D1955,RUNS!$A$6:$A$1005,0))),""))</f>
        <v/>
      </c>
      <c r="P1955" s="33">
        <f>IF($D1955="","",IFERROR(IF(INDEX(RUNS!$J$6:$J$1005,MATCH($D1955,RUNS!$A$6:$A$1005,0))="","",INDEX(RUNS!$J$6:$J$1005,MATCH($D1955,RUNS!$A$6:$A$1005,0))),""))</f>
        <v/>
      </c>
      <c r="Q1955" s="33">
        <f>IF($D1955="","",IFERROR(IF(INDEX(RUNS!$K$6:$K$1005,MATCH($D1955,RUNS!$A$6:$A$1005,0))="","",INDEX(RUNS!$K$6:$K$1005,MATCH($D1955,RUNS!$A$6:$A$1005,0))),""))</f>
        <v/>
      </c>
      <c r="R1955" s="34">
        <f>IF(OR($L1955="",$K1955=""),"",IFERROR(IF(INDEX(PARAMETRES!$H$43:$H$342,MATCH($L1955&amp;"|"&amp;$M1955&amp;"|"&amp;$N1955&amp;"|"&amp;$O1955&amp;"|"&amp;$P1955&amp;"|"&amp;$Q1955&amp;"|"&amp;$K1955,PARAMETRES!$J$43:$J$342,0))="","",INDEX(PARAMETRES!$H$43:$H$342,MATCH($L1955&amp;"|"&amp;$M1955&amp;"|"&amp;$N1955&amp;"|"&amp;$O1955&amp;"|"&amp;$P1955&amp;"|"&amp;$Q1955&amp;"|"&amp;$K1955,PARAMETRES!$J$43:$J$342,0))),""))</f>
        <v/>
      </c>
      <c r="S1955" s="35">
        <f>IF(OR($G1955="",$X1955&lt;&gt;"VALIDE"),"",IFERROR(LOOKUP(2,1/(($B1055:$B1954=$B1955)*($G1055:$G1954=$G1955)*($X1055:$X1954="VALIDE")),$C1055:$C1954),""))</f>
        <v/>
      </c>
      <c r="T1955" s="36">
        <f>IF(OR($C1955="",$S1955=""),"",ROUND(($C1955-$S1955+IF($C1955&lt;$S1955,1,0))*1440,0))</f>
        <v/>
      </c>
      <c r="U1955" s="22">
        <f>IF(OR($H1955="",$T1955="",$T1955&lt;=0),"",$H1955*60/$T1955)</f>
        <v/>
      </c>
      <c r="V1955" s="37">
        <f>IF(OR($U1955="",$R1955="",$R1955=0),"",$U1955/$R1955)</f>
        <v/>
      </c>
      <c r="W1955" s="20">
        <f>IF($G1955="","",IF($X1955="CONTEXTE INCOMPLET","CONTEXTE INCOMPLET",IF($X1955="DOUBLON",StatutDoublon,IF($S1955="",StatutInitial,IF($R1955="",StatutStandardManquant,IF($V1955="","DONNEES INSUFFISANTES",IF($V1955&gt;=SeuilConforme,StatutConforme,IF($V1955&gt;=SeuilSurveiller,StatutSurveiller,StatutSousStandard))))))))</f>
        <v/>
      </c>
      <c r="X1955" s="33">
        <f>IF($G1955="","",IF(OR($D1955="",$E1955="",$F1955=""),"CONTEXTE INCOMPLET",IF(COUNTIFS($D1055:$D1954,$D1955,$E1055:$E1954,$E1955,$F1055:$F1954,$F1955,$G1055:$G1954,$G1955)&gt;0,"DOUBLON","VALIDE")))</f>
        <v/>
      </c>
    </row>
    <row r="1956" ht="15" customHeight="1">
      <c r="A1956" s="12">
        <f>IF(OR($B1956="",$G1956=""),"",TEXT($B1956,"YYYYMMDD")&amp;"-"&amp;SUBSTITUTE($E1956," ","")&amp;"-"&amp;$F1956&amp;"-"&amp;$G1956)</f>
        <v/>
      </c>
      <c r="B1956" s="15" t="n"/>
      <c r="C1956" s="16" t="n"/>
      <c r="D1956" s="10" t="n"/>
      <c r="E1956" s="9" t="n"/>
      <c r="F1956" s="9" t="n"/>
      <c r="G1956" s="13" t="n"/>
      <c r="H1956" s="21" t="n"/>
      <c r="I1956" s="21" t="n"/>
      <c r="J1956" s="17">
        <f>IF($G1956="","",IFERROR(INDEX(NomsEmployes,MATCH($G1956,MatriculesEmployes,0)),"MATRICULE INCONNU"))</f>
        <v/>
      </c>
      <c r="K1956" s="33">
        <f>IF(OR($D1956="",$F1956=""),"",IFERROR(IF(INDEX(RUNS!$L$6:$S$1005,MATCH($D1956,RUNS!$A$6:$A$1005,0),MATCH("ACTIVITÉ "&amp;$F1956,RUNS!$L$5:$S$5,0))="","",INDEX(RUNS!$L$6:$S$1005,MATCH($D1956,RUNS!$A$6:$A$1005,0),MATCH("ACTIVITÉ "&amp;$F1956,RUNS!$L$5:$S$5,0))),""))</f>
        <v/>
      </c>
      <c r="L1956" s="33">
        <f>IF($D1956="","",IFERROR(IF(INDEX(RUNS!$E$6:$E$1005,MATCH($D1956,RUNS!$A$6:$A$1005,0))="","",INDEX(RUNS!$E$6:$E$1005,MATCH($D1956,RUNS!$A$6:$A$1005,0))),""))</f>
        <v/>
      </c>
      <c r="M1956" s="33">
        <f>IF($D1956="","",IFERROR(IF(INDEX(RUNS!$F$6:$F$1005,MATCH($D1956,RUNS!$A$6:$A$1005,0))="","",INDEX(RUNS!$F$6:$F$1005,MATCH($D1956,RUNS!$A$6:$A$1005,0))),""))</f>
        <v/>
      </c>
      <c r="N1956" s="33">
        <f>IF($D1956="","",IFERROR(IF(INDEX(RUNS!$G$6:$G$1005,MATCH($D1956,RUNS!$A$6:$A$1005,0))="","",INDEX(RUNS!$G$6:$G$1005,MATCH($D1956,RUNS!$A$6:$A$1005,0))),""))</f>
        <v/>
      </c>
      <c r="O1956" s="33">
        <f>IF($D1956="","",IFERROR(IF(INDEX(RUNS!$H$6:$H$1005,MATCH($D1956,RUNS!$A$6:$A$1005,0))="","",INDEX(RUNS!$H$6:$H$1005,MATCH($D1956,RUNS!$A$6:$A$1005,0))),""))</f>
        <v/>
      </c>
      <c r="P1956" s="33">
        <f>IF($D1956="","",IFERROR(IF(INDEX(RUNS!$J$6:$J$1005,MATCH($D1956,RUNS!$A$6:$A$1005,0))="","",INDEX(RUNS!$J$6:$J$1005,MATCH($D1956,RUNS!$A$6:$A$1005,0))),""))</f>
        <v/>
      </c>
      <c r="Q1956" s="33">
        <f>IF($D1956="","",IFERROR(IF(INDEX(RUNS!$K$6:$K$1005,MATCH($D1956,RUNS!$A$6:$A$1005,0))="","",INDEX(RUNS!$K$6:$K$1005,MATCH($D1956,RUNS!$A$6:$A$1005,0))),""))</f>
        <v/>
      </c>
      <c r="R1956" s="34">
        <f>IF(OR($L1956="",$K1956=""),"",IFERROR(IF(INDEX(PARAMETRES!$H$43:$H$342,MATCH($L1956&amp;"|"&amp;$M1956&amp;"|"&amp;$N1956&amp;"|"&amp;$O1956&amp;"|"&amp;$P1956&amp;"|"&amp;$Q1956&amp;"|"&amp;$K1956,PARAMETRES!$J$43:$J$342,0))="","",INDEX(PARAMETRES!$H$43:$H$342,MATCH($L1956&amp;"|"&amp;$M1956&amp;"|"&amp;$N1956&amp;"|"&amp;$O1956&amp;"|"&amp;$P1956&amp;"|"&amp;$Q1956&amp;"|"&amp;$K1956,PARAMETRES!$J$43:$J$342,0))),""))</f>
        <v/>
      </c>
      <c r="S1956" s="35">
        <f>IF(OR($G1956="",$X1956&lt;&gt;"VALIDE"),"",IFERROR(LOOKUP(2,1/(($B1056:$B1955=$B1956)*($G1056:$G1955=$G1956)*($X1056:$X1955="VALIDE")),$C1056:$C1955),""))</f>
        <v/>
      </c>
      <c r="T1956" s="36">
        <f>IF(OR($C1956="",$S1956=""),"",ROUND(($C1956-$S1956+IF($C1956&lt;$S1956,1,0))*1440,0))</f>
        <v/>
      </c>
      <c r="U1956" s="22">
        <f>IF(OR($H1956="",$T1956="",$T1956&lt;=0),"",$H1956*60/$T1956)</f>
        <v/>
      </c>
      <c r="V1956" s="37">
        <f>IF(OR($U1956="",$R1956="",$R1956=0),"",$U1956/$R1956)</f>
        <v/>
      </c>
      <c r="W1956" s="20">
        <f>IF($G1956="","",IF($X1956="CONTEXTE INCOMPLET","CONTEXTE INCOMPLET",IF($X1956="DOUBLON",StatutDoublon,IF($S1956="",StatutInitial,IF($R1956="",StatutStandardManquant,IF($V1956="","DONNEES INSUFFISANTES",IF($V1956&gt;=SeuilConforme,StatutConforme,IF($V1956&gt;=SeuilSurveiller,StatutSurveiller,StatutSousStandard))))))))</f>
        <v/>
      </c>
      <c r="X1956" s="33">
        <f>IF($G1956="","",IF(OR($D1956="",$E1956="",$F1956=""),"CONTEXTE INCOMPLET",IF(COUNTIFS($D1056:$D1955,$D1956,$E1056:$E1955,$E1956,$F1056:$F1955,$F1956,$G1056:$G1955,$G1956)&gt;0,"DOUBLON","VALIDE")))</f>
        <v/>
      </c>
    </row>
    <row r="1957" ht="15" customHeight="1">
      <c r="A1957" s="12">
        <f>IF(OR($B1957="",$G1957=""),"",TEXT($B1957,"YYYYMMDD")&amp;"-"&amp;SUBSTITUTE($E1957," ","")&amp;"-"&amp;$F1957&amp;"-"&amp;$G1957)</f>
        <v/>
      </c>
      <c r="B1957" s="15" t="n"/>
      <c r="C1957" s="16" t="n"/>
      <c r="D1957" s="10" t="n"/>
      <c r="E1957" s="9" t="n"/>
      <c r="F1957" s="9" t="n"/>
      <c r="G1957" s="13" t="n"/>
      <c r="H1957" s="21" t="n"/>
      <c r="I1957" s="21" t="n"/>
      <c r="J1957" s="17">
        <f>IF($G1957="","",IFERROR(INDEX(NomsEmployes,MATCH($G1957,MatriculesEmployes,0)),"MATRICULE INCONNU"))</f>
        <v/>
      </c>
      <c r="K1957" s="33">
        <f>IF(OR($D1957="",$F1957=""),"",IFERROR(IF(INDEX(RUNS!$L$6:$S$1005,MATCH($D1957,RUNS!$A$6:$A$1005,0),MATCH("ACTIVITÉ "&amp;$F1957,RUNS!$L$5:$S$5,0))="","",INDEX(RUNS!$L$6:$S$1005,MATCH($D1957,RUNS!$A$6:$A$1005,0),MATCH("ACTIVITÉ "&amp;$F1957,RUNS!$L$5:$S$5,0))),""))</f>
        <v/>
      </c>
      <c r="L1957" s="33">
        <f>IF($D1957="","",IFERROR(IF(INDEX(RUNS!$E$6:$E$1005,MATCH($D1957,RUNS!$A$6:$A$1005,0))="","",INDEX(RUNS!$E$6:$E$1005,MATCH($D1957,RUNS!$A$6:$A$1005,0))),""))</f>
        <v/>
      </c>
      <c r="M1957" s="33">
        <f>IF($D1957="","",IFERROR(IF(INDEX(RUNS!$F$6:$F$1005,MATCH($D1957,RUNS!$A$6:$A$1005,0))="","",INDEX(RUNS!$F$6:$F$1005,MATCH($D1957,RUNS!$A$6:$A$1005,0))),""))</f>
        <v/>
      </c>
      <c r="N1957" s="33">
        <f>IF($D1957="","",IFERROR(IF(INDEX(RUNS!$G$6:$G$1005,MATCH($D1957,RUNS!$A$6:$A$1005,0))="","",INDEX(RUNS!$G$6:$G$1005,MATCH($D1957,RUNS!$A$6:$A$1005,0))),""))</f>
        <v/>
      </c>
      <c r="O1957" s="33">
        <f>IF($D1957="","",IFERROR(IF(INDEX(RUNS!$H$6:$H$1005,MATCH($D1957,RUNS!$A$6:$A$1005,0))="","",INDEX(RUNS!$H$6:$H$1005,MATCH($D1957,RUNS!$A$6:$A$1005,0))),""))</f>
        <v/>
      </c>
      <c r="P1957" s="33">
        <f>IF($D1957="","",IFERROR(IF(INDEX(RUNS!$J$6:$J$1005,MATCH($D1957,RUNS!$A$6:$A$1005,0))="","",INDEX(RUNS!$J$6:$J$1005,MATCH($D1957,RUNS!$A$6:$A$1005,0))),""))</f>
        <v/>
      </c>
      <c r="Q1957" s="33">
        <f>IF($D1957="","",IFERROR(IF(INDEX(RUNS!$K$6:$K$1005,MATCH($D1957,RUNS!$A$6:$A$1005,0))="","",INDEX(RUNS!$K$6:$K$1005,MATCH($D1957,RUNS!$A$6:$A$1005,0))),""))</f>
        <v/>
      </c>
      <c r="R1957" s="34">
        <f>IF(OR($L1957="",$K1957=""),"",IFERROR(IF(INDEX(PARAMETRES!$H$43:$H$342,MATCH($L1957&amp;"|"&amp;$M1957&amp;"|"&amp;$N1957&amp;"|"&amp;$O1957&amp;"|"&amp;$P1957&amp;"|"&amp;$Q1957&amp;"|"&amp;$K1957,PARAMETRES!$J$43:$J$342,0))="","",INDEX(PARAMETRES!$H$43:$H$342,MATCH($L1957&amp;"|"&amp;$M1957&amp;"|"&amp;$N1957&amp;"|"&amp;$O1957&amp;"|"&amp;$P1957&amp;"|"&amp;$Q1957&amp;"|"&amp;$K1957,PARAMETRES!$J$43:$J$342,0))),""))</f>
        <v/>
      </c>
      <c r="S1957" s="35">
        <f>IF(OR($G1957="",$X1957&lt;&gt;"VALIDE"),"",IFERROR(LOOKUP(2,1/(($B1057:$B1956=$B1957)*($G1057:$G1956=$G1957)*($X1057:$X1956="VALIDE")),$C1057:$C1956),""))</f>
        <v/>
      </c>
      <c r="T1957" s="36">
        <f>IF(OR($C1957="",$S1957=""),"",ROUND(($C1957-$S1957+IF($C1957&lt;$S1957,1,0))*1440,0))</f>
        <v/>
      </c>
      <c r="U1957" s="22">
        <f>IF(OR($H1957="",$T1957="",$T1957&lt;=0),"",$H1957*60/$T1957)</f>
        <v/>
      </c>
      <c r="V1957" s="37">
        <f>IF(OR($U1957="",$R1957="",$R1957=0),"",$U1957/$R1957)</f>
        <v/>
      </c>
      <c r="W1957" s="20">
        <f>IF($G1957="","",IF($X1957="CONTEXTE INCOMPLET","CONTEXTE INCOMPLET",IF($X1957="DOUBLON",StatutDoublon,IF($S1957="",StatutInitial,IF($R1957="",StatutStandardManquant,IF($V1957="","DONNEES INSUFFISANTES",IF($V1957&gt;=SeuilConforme,StatutConforme,IF($V1957&gt;=SeuilSurveiller,StatutSurveiller,StatutSousStandard))))))))</f>
        <v/>
      </c>
      <c r="X1957" s="33">
        <f>IF($G1957="","",IF(OR($D1957="",$E1957="",$F1957=""),"CONTEXTE INCOMPLET",IF(COUNTIFS($D1057:$D1956,$D1957,$E1057:$E1956,$E1957,$F1057:$F1956,$F1957,$G1057:$G1956,$G1957)&gt;0,"DOUBLON","VALIDE")))</f>
        <v/>
      </c>
    </row>
    <row r="1958" ht="15" customHeight="1">
      <c r="A1958" s="12">
        <f>IF(OR($B1958="",$G1958=""),"",TEXT($B1958,"YYYYMMDD")&amp;"-"&amp;SUBSTITUTE($E1958," ","")&amp;"-"&amp;$F1958&amp;"-"&amp;$G1958)</f>
        <v/>
      </c>
      <c r="B1958" s="15" t="n"/>
      <c r="C1958" s="16" t="n"/>
      <c r="D1958" s="10" t="n"/>
      <c r="E1958" s="9" t="n"/>
      <c r="F1958" s="9" t="n"/>
      <c r="G1958" s="13" t="n"/>
      <c r="H1958" s="21" t="n"/>
      <c r="I1958" s="21" t="n"/>
      <c r="J1958" s="17">
        <f>IF($G1958="","",IFERROR(INDEX(NomsEmployes,MATCH($G1958,MatriculesEmployes,0)),"MATRICULE INCONNU"))</f>
        <v/>
      </c>
      <c r="K1958" s="33">
        <f>IF(OR($D1958="",$F1958=""),"",IFERROR(IF(INDEX(RUNS!$L$6:$S$1005,MATCH($D1958,RUNS!$A$6:$A$1005,0),MATCH("ACTIVITÉ "&amp;$F1958,RUNS!$L$5:$S$5,0))="","",INDEX(RUNS!$L$6:$S$1005,MATCH($D1958,RUNS!$A$6:$A$1005,0),MATCH("ACTIVITÉ "&amp;$F1958,RUNS!$L$5:$S$5,0))),""))</f>
        <v/>
      </c>
      <c r="L1958" s="33">
        <f>IF($D1958="","",IFERROR(IF(INDEX(RUNS!$E$6:$E$1005,MATCH($D1958,RUNS!$A$6:$A$1005,0))="","",INDEX(RUNS!$E$6:$E$1005,MATCH($D1958,RUNS!$A$6:$A$1005,0))),""))</f>
        <v/>
      </c>
      <c r="M1958" s="33">
        <f>IF($D1958="","",IFERROR(IF(INDEX(RUNS!$F$6:$F$1005,MATCH($D1958,RUNS!$A$6:$A$1005,0))="","",INDEX(RUNS!$F$6:$F$1005,MATCH($D1958,RUNS!$A$6:$A$1005,0))),""))</f>
        <v/>
      </c>
      <c r="N1958" s="33">
        <f>IF($D1958="","",IFERROR(IF(INDEX(RUNS!$G$6:$G$1005,MATCH($D1958,RUNS!$A$6:$A$1005,0))="","",INDEX(RUNS!$G$6:$G$1005,MATCH($D1958,RUNS!$A$6:$A$1005,0))),""))</f>
        <v/>
      </c>
      <c r="O1958" s="33">
        <f>IF($D1958="","",IFERROR(IF(INDEX(RUNS!$H$6:$H$1005,MATCH($D1958,RUNS!$A$6:$A$1005,0))="","",INDEX(RUNS!$H$6:$H$1005,MATCH($D1958,RUNS!$A$6:$A$1005,0))),""))</f>
        <v/>
      </c>
      <c r="P1958" s="33">
        <f>IF($D1958="","",IFERROR(IF(INDEX(RUNS!$J$6:$J$1005,MATCH($D1958,RUNS!$A$6:$A$1005,0))="","",INDEX(RUNS!$J$6:$J$1005,MATCH($D1958,RUNS!$A$6:$A$1005,0))),""))</f>
        <v/>
      </c>
      <c r="Q1958" s="33">
        <f>IF($D1958="","",IFERROR(IF(INDEX(RUNS!$K$6:$K$1005,MATCH($D1958,RUNS!$A$6:$A$1005,0))="","",INDEX(RUNS!$K$6:$K$1005,MATCH($D1958,RUNS!$A$6:$A$1005,0))),""))</f>
        <v/>
      </c>
      <c r="R1958" s="34">
        <f>IF(OR($L1958="",$K1958=""),"",IFERROR(IF(INDEX(PARAMETRES!$H$43:$H$342,MATCH($L1958&amp;"|"&amp;$M1958&amp;"|"&amp;$N1958&amp;"|"&amp;$O1958&amp;"|"&amp;$P1958&amp;"|"&amp;$Q1958&amp;"|"&amp;$K1958,PARAMETRES!$J$43:$J$342,0))="","",INDEX(PARAMETRES!$H$43:$H$342,MATCH($L1958&amp;"|"&amp;$M1958&amp;"|"&amp;$N1958&amp;"|"&amp;$O1958&amp;"|"&amp;$P1958&amp;"|"&amp;$Q1958&amp;"|"&amp;$K1958,PARAMETRES!$J$43:$J$342,0))),""))</f>
        <v/>
      </c>
      <c r="S1958" s="35">
        <f>IF(OR($G1958="",$X1958&lt;&gt;"VALIDE"),"",IFERROR(LOOKUP(2,1/(($B1058:$B1957=$B1958)*($G1058:$G1957=$G1958)*($X1058:$X1957="VALIDE")),$C1058:$C1957),""))</f>
        <v/>
      </c>
      <c r="T1958" s="36">
        <f>IF(OR($C1958="",$S1958=""),"",ROUND(($C1958-$S1958+IF($C1958&lt;$S1958,1,0))*1440,0))</f>
        <v/>
      </c>
      <c r="U1958" s="22">
        <f>IF(OR($H1958="",$T1958="",$T1958&lt;=0),"",$H1958*60/$T1958)</f>
        <v/>
      </c>
      <c r="V1958" s="37">
        <f>IF(OR($U1958="",$R1958="",$R1958=0),"",$U1958/$R1958)</f>
        <v/>
      </c>
      <c r="W1958" s="20">
        <f>IF($G1958="","",IF($X1958="CONTEXTE INCOMPLET","CONTEXTE INCOMPLET",IF($X1958="DOUBLON",StatutDoublon,IF($S1958="",StatutInitial,IF($R1958="",StatutStandardManquant,IF($V1958="","DONNEES INSUFFISANTES",IF($V1958&gt;=SeuilConforme,StatutConforme,IF($V1958&gt;=SeuilSurveiller,StatutSurveiller,StatutSousStandard))))))))</f>
        <v/>
      </c>
      <c r="X1958" s="33">
        <f>IF($G1958="","",IF(OR($D1958="",$E1958="",$F1958=""),"CONTEXTE INCOMPLET",IF(COUNTIFS($D1058:$D1957,$D1958,$E1058:$E1957,$E1958,$F1058:$F1957,$F1958,$G1058:$G1957,$G1958)&gt;0,"DOUBLON","VALIDE")))</f>
        <v/>
      </c>
    </row>
    <row r="1959" ht="15" customHeight="1">
      <c r="A1959" s="12">
        <f>IF(OR($B1959="",$G1959=""),"",TEXT($B1959,"YYYYMMDD")&amp;"-"&amp;SUBSTITUTE($E1959," ","")&amp;"-"&amp;$F1959&amp;"-"&amp;$G1959)</f>
        <v/>
      </c>
      <c r="B1959" s="15" t="n"/>
      <c r="C1959" s="16" t="n"/>
      <c r="D1959" s="10" t="n"/>
      <c r="E1959" s="9" t="n"/>
      <c r="F1959" s="9" t="n"/>
      <c r="G1959" s="13" t="n"/>
      <c r="H1959" s="21" t="n"/>
      <c r="I1959" s="21" t="n"/>
      <c r="J1959" s="17">
        <f>IF($G1959="","",IFERROR(INDEX(NomsEmployes,MATCH($G1959,MatriculesEmployes,0)),"MATRICULE INCONNU"))</f>
        <v/>
      </c>
      <c r="K1959" s="33">
        <f>IF(OR($D1959="",$F1959=""),"",IFERROR(IF(INDEX(RUNS!$L$6:$S$1005,MATCH($D1959,RUNS!$A$6:$A$1005,0),MATCH("ACTIVITÉ "&amp;$F1959,RUNS!$L$5:$S$5,0))="","",INDEX(RUNS!$L$6:$S$1005,MATCH($D1959,RUNS!$A$6:$A$1005,0),MATCH("ACTIVITÉ "&amp;$F1959,RUNS!$L$5:$S$5,0))),""))</f>
        <v/>
      </c>
      <c r="L1959" s="33">
        <f>IF($D1959="","",IFERROR(IF(INDEX(RUNS!$E$6:$E$1005,MATCH($D1959,RUNS!$A$6:$A$1005,0))="","",INDEX(RUNS!$E$6:$E$1005,MATCH($D1959,RUNS!$A$6:$A$1005,0))),""))</f>
        <v/>
      </c>
      <c r="M1959" s="33">
        <f>IF($D1959="","",IFERROR(IF(INDEX(RUNS!$F$6:$F$1005,MATCH($D1959,RUNS!$A$6:$A$1005,0))="","",INDEX(RUNS!$F$6:$F$1005,MATCH($D1959,RUNS!$A$6:$A$1005,0))),""))</f>
        <v/>
      </c>
      <c r="N1959" s="33">
        <f>IF($D1959="","",IFERROR(IF(INDEX(RUNS!$G$6:$G$1005,MATCH($D1959,RUNS!$A$6:$A$1005,0))="","",INDEX(RUNS!$G$6:$G$1005,MATCH($D1959,RUNS!$A$6:$A$1005,0))),""))</f>
        <v/>
      </c>
      <c r="O1959" s="33">
        <f>IF($D1959="","",IFERROR(IF(INDEX(RUNS!$H$6:$H$1005,MATCH($D1959,RUNS!$A$6:$A$1005,0))="","",INDEX(RUNS!$H$6:$H$1005,MATCH($D1959,RUNS!$A$6:$A$1005,0))),""))</f>
        <v/>
      </c>
      <c r="P1959" s="33">
        <f>IF($D1959="","",IFERROR(IF(INDEX(RUNS!$J$6:$J$1005,MATCH($D1959,RUNS!$A$6:$A$1005,0))="","",INDEX(RUNS!$J$6:$J$1005,MATCH($D1959,RUNS!$A$6:$A$1005,0))),""))</f>
        <v/>
      </c>
      <c r="Q1959" s="33">
        <f>IF($D1959="","",IFERROR(IF(INDEX(RUNS!$K$6:$K$1005,MATCH($D1959,RUNS!$A$6:$A$1005,0))="","",INDEX(RUNS!$K$6:$K$1005,MATCH($D1959,RUNS!$A$6:$A$1005,0))),""))</f>
        <v/>
      </c>
      <c r="R1959" s="34">
        <f>IF(OR($L1959="",$K1959=""),"",IFERROR(IF(INDEX(PARAMETRES!$H$43:$H$342,MATCH($L1959&amp;"|"&amp;$M1959&amp;"|"&amp;$N1959&amp;"|"&amp;$O1959&amp;"|"&amp;$P1959&amp;"|"&amp;$Q1959&amp;"|"&amp;$K1959,PARAMETRES!$J$43:$J$342,0))="","",INDEX(PARAMETRES!$H$43:$H$342,MATCH($L1959&amp;"|"&amp;$M1959&amp;"|"&amp;$N1959&amp;"|"&amp;$O1959&amp;"|"&amp;$P1959&amp;"|"&amp;$Q1959&amp;"|"&amp;$K1959,PARAMETRES!$J$43:$J$342,0))),""))</f>
        <v/>
      </c>
      <c r="S1959" s="35">
        <f>IF(OR($G1959="",$X1959&lt;&gt;"VALIDE"),"",IFERROR(LOOKUP(2,1/(($B1059:$B1958=$B1959)*($G1059:$G1958=$G1959)*($X1059:$X1958="VALIDE")),$C1059:$C1958),""))</f>
        <v/>
      </c>
      <c r="T1959" s="36">
        <f>IF(OR($C1959="",$S1959=""),"",ROUND(($C1959-$S1959+IF($C1959&lt;$S1959,1,0))*1440,0))</f>
        <v/>
      </c>
      <c r="U1959" s="22">
        <f>IF(OR($H1959="",$T1959="",$T1959&lt;=0),"",$H1959*60/$T1959)</f>
        <v/>
      </c>
      <c r="V1959" s="37">
        <f>IF(OR($U1959="",$R1959="",$R1959=0),"",$U1959/$R1959)</f>
        <v/>
      </c>
      <c r="W1959" s="20">
        <f>IF($G1959="","",IF($X1959="CONTEXTE INCOMPLET","CONTEXTE INCOMPLET",IF($X1959="DOUBLON",StatutDoublon,IF($S1959="",StatutInitial,IF($R1959="",StatutStandardManquant,IF($V1959="","DONNEES INSUFFISANTES",IF($V1959&gt;=SeuilConforme,StatutConforme,IF($V1959&gt;=SeuilSurveiller,StatutSurveiller,StatutSousStandard))))))))</f>
        <v/>
      </c>
      <c r="X1959" s="33">
        <f>IF($G1959="","",IF(OR($D1959="",$E1959="",$F1959=""),"CONTEXTE INCOMPLET",IF(COUNTIFS($D1059:$D1958,$D1959,$E1059:$E1958,$E1959,$F1059:$F1958,$F1959,$G1059:$G1958,$G1959)&gt;0,"DOUBLON","VALIDE")))</f>
        <v/>
      </c>
    </row>
    <row r="1960" ht="15" customHeight="1">
      <c r="A1960" s="12">
        <f>IF(OR($B1960="",$G1960=""),"",TEXT($B1960,"YYYYMMDD")&amp;"-"&amp;SUBSTITUTE($E1960," ","")&amp;"-"&amp;$F1960&amp;"-"&amp;$G1960)</f>
        <v/>
      </c>
      <c r="B1960" s="15" t="n"/>
      <c r="C1960" s="16" t="n"/>
      <c r="D1960" s="10" t="n"/>
      <c r="E1960" s="9" t="n"/>
      <c r="F1960" s="9" t="n"/>
      <c r="G1960" s="13" t="n"/>
      <c r="H1960" s="21" t="n"/>
      <c r="I1960" s="21" t="n"/>
      <c r="J1960" s="17">
        <f>IF($G1960="","",IFERROR(INDEX(NomsEmployes,MATCH($G1960,MatriculesEmployes,0)),"MATRICULE INCONNU"))</f>
        <v/>
      </c>
      <c r="K1960" s="33">
        <f>IF(OR($D1960="",$F1960=""),"",IFERROR(IF(INDEX(RUNS!$L$6:$S$1005,MATCH($D1960,RUNS!$A$6:$A$1005,0),MATCH("ACTIVITÉ "&amp;$F1960,RUNS!$L$5:$S$5,0))="","",INDEX(RUNS!$L$6:$S$1005,MATCH($D1960,RUNS!$A$6:$A$1005,0),MATCH("ACTIVITÉ "&amp;$F1960,RUNS!$L$5:$S$5,0))),""))</f>
        <v/>
      </c>
      <c r="L1960" s="33">
        <f>IF($D1960="","",IFERROR(IF(INDEX(RUNS!$E$6:$E$1005,MATCH($D1960,RUNS!$A$6:$A$1005,0))="","",INDEX(RUNS!$E$6:$E$1005,MATCH($D1960,RUNS!$A$6:$A$1005,0))),""))</f>
        <v/>
      </c>
      <c r="M1960" s="33">
        <f>IF($D1960="","",IFERROR(IF(INDEX(RUNS!$F$6:$F$1005,MATCH($D1960,RUNS!$A$6:$A$1005,0))="","",INDEX(RUNS!$F$6:$F$1005,MATCH($D1960,RUNS!$A$6:$A$1005,0))),""))</f>
        <v/>
      </c>
      <c r="N1960" s="33">
        <f>IF($D1960="","",IFERROR(IF(INDEX(RUNS!$G$6:$G$1005,MATCH($D1960,RUNS!$A$6:$A$1005,0))="","",INDEX(RUNS!$G$6:$G$1005,MATCH($D1960,RUNS!$A$6:$A$1005,0))),""))</f>
        <v/>
      </c>
      <c r="O1960" s="33">
        <f>IF($D1960="","",IFERROR(IF(INDEX(RUNS!$H$6:$H$1005,MATCH($D1960,RUNS!$A$6:$A$1005,0))="","",INDEX(RUNS!$H$6:$H$1005,MATCH($D1960,RUNS!$A$6:$A$1005,0))),""))</f>
        <v/>
      </c>
      <c r="P1960" s="33">
        <f>IF($D1960="","",IFERROR(IF(INDEX(RUNS!$J$6:$J$1005,MATCH($D1960,RUNS!$A$6:$A$1005,0))="","",INDEX(RUNS!$J$6:$J$1005,MATCH($D1960,RUNS!$A$6:$A$1005,0))),""))</f>
        <v/>
      </c>
      <c r="Q1960" s="33">
        <f>IF($D1960="","",IFERROR(IF(INDEX(RUNS!$K$6:$K$1005,MATCH($D1960,RUNS!$A$6:$A$1005,0))="","",INDEX(RUNS!$K$6:$K$1005,MATCH($D1960,RUNS!$A$6:$A$1005,0))),""))</f>
        <v/>
      </c>
      <c r="R1960" s="34">
        <f>IF(OR($L1960="",$K1960=""),"",IFERROR(IF(INDEX(PARAMETRES!$H$43:$H$342,MATCH($L1960&amp;"|"&amp;$M1960&amp;"|"&amp;$N1960&amp;"|"&amp;$O1960&amp;"|"&amp;$P1960&amp;"|"&amp;$Q1960&amp;"|"&amp;$K1960,PARAMETRES!$J$43:$J$342,0))="","",INDEX(PARAMETRES!$H$43:$H$342,MATCH($L1960&amp;"|"&amp;$M1960&amp;"|"&amp;$N1960&amp;"|"&amp;$O1960&amp;"|"&amp;$P1960&amp;"|"&amp;$Q1960&amp;"|"&amp;$K1960,PARAMETRES!$J$43:$J$342,0))),""))</f>
        <v/>
      </c>
      <c r="S1960" s="35">
        <f>IF(OR($G1960="",$X1960&lt;&gt;"VALIDE"),"",IFERROR(LOOKUP(2,1/(($B1060:$B1959=$B1960)*($G1060:$G1959=$G1960)*($X1060:$X1959="VALIDE")),$C1060:$C1959),""))</f>
        <v/>
      </c>
      <c r="T1960" s="36">
        <f>IF(OR($C1960="",$S1960=""),"",ROUND(($C1960-$S1960+IF($C1960&lt;$S1960,1,0))*1440,0))</f>
        <v/>
      </c>
      <c r="U1960" s="22">
        <f>IF(OR($H1960="",$T1960="",$T1960&lt;=0),"",$H1960*60/$T1960)</f>
        <v/>
      </c>
      <c r="V1960" s="37">
        <f>IF(OR($U1960="",$R1960="",$R1960=0),"",$U1960/$R1960)</f>
        <v/>
      </c>
      <c r="W1960" s="20">
        <f>IF($G1960="","",IF($X1960="CONTEXTE INCOMPLET","CONTEXTE INCOMPLET",IF($X1960="DOUBLON",StatutDoublon,IF($S1960="",StatutInitial,IF($R1960="",StatutStandardManquant,IF($V1960="","DONNEES INSUFFISANTES",IF($V1960&gt;=SeuilConforme,StatutConforme,IF($V1960&gt;=SeuilSurveiller,StatutSurveiller,StatutSousStandard))))))))</f>
        <v/>
      </c>
      <c r="X1960" s="33">
        <f>IF($G1960="","",IF(OR($D1960="",$E1960="",$F1960=""),"CONTEXTE INCOMPLET",IF(COUNTIFS($D1060:$D1959,$D1960,$E1060:$E1959,$E1960,$F1060:$F1959,$F1960,$G1060:$G1959,$G1960)&gt;0,"DOUBLON","VALIDE")))</f>
        <v/>
      </c>
    </row>
    <row r="1961" ht="15" customHeight="1">
      <c r="A1961" s="12">
        <f>IF(OR($B1961="",$G1961=""),"",TEXT($B1961,"YYYYMMDD")&amp;"-"&amp;SUBSTITUTE($E1961," ","")&amp;"-"&amp;$F1961&amp;"-"&amp;$G1961)</f>
        <v/>
      </c>
      <c r="B1961" s="15" t="n"/>
      <c r="C1961" s="16" t="n"/>
      <c r="D1961" s="10" t="n"/>
      <c r="E1961" s="9" t="n"/>
      <c r="F1961" s="9" t="n"/>
      <c r="G1961" s="13" t="n"/>
      <c r="H1961" s="21" t="n"/>
      <c r="I1961" s="21" t="n"/>
      <c r="J1961" s="17">
        <f>IF($G1961="","",IFERROR(INDEX(NomsEmployes,MATCH($G1961,MatriculesEmployes,0)),"MATRICULE INCONNU"))</f>
        <v/>
      </c>
      <c r="K1961" s="33">
        <f>IF(OR($D1961="",$F1961=""),"",IFERROR(IF(INDEX(RUNS!$L$6:$S$1005,MATCH($D1961,RUNS!$A$6:$A$1005,0),MATCH("ACTIVITÉ "&amp;$F1961,RUNS!$L$5:$S$5,0))="","",INDEX(RUNS!$L$6:$S$1005,MATCH($D1961,RUNS!$A$6:$A$1005,0),MATCH("ACTIVITÉ "&amp;$F1961,RUNS!$L$5:$S$5,0))),""))</f>
        <v/>
      </c>
      <c r="L1961" s="33">
        <f>IF($D1961="","",IFERROR(IF(INDEX(RUNS!$E$6:$E$1005,MATCH($D1961,RUNS!$A$6:$A$1005,0))="","",INDEX(RUNS!$E$6:$E$1005,MATCH($D1961,RUNS!$A$6:$A$1005,0))),""))</f>
        <v/>
      </c>
      <c r="M1961" s="33">
        <f>IF($D1961="","",IFERROR(IF(INDEX(RUNS!$F$6:$F$1005,MATCH($D1961,RUNS!$A$6:$A$1005,0))="","",INDEX(RUNS!$F$6:$F$1005,MATCH($D1961,RUNS!$A$6:$A$1005,0))),""))</f>
        <v/>
      </c>
      <c r="N1961" s="33">
        <f>IF($D1961="","",IFERROR(IF(INDEX(RUNS!$G$6:$G$1005,MATCH($D1961,RUNS!$A$6:$A$1005,0))="","",INDEX(RUNS!$G$6:$G$1005,MATCH($D1961,RUNS!$A$6:$A$1005,0))),""))</f>
        <v/>
      </c>
      <c r="O1961" s="33">
        <f>IF($D1961="","",IFERROR(IF(INDEX(RUNS!$H$6:$H$1005,MATCH($D1961,RUNS!$A$6:$A$1005,0))="","",INDEX(RUNS!$H$6:$H$1005,MATCH($D1961,RUNS!$A$6:$A$1005,0))),""))</f>
        <v/>
      </c>
      <c r="P1961" s="33">
        <f>IF($D1961="","",IFERROR(IF(INDEX(RUNS!$J$6:$J$1005,MATCH($D1961,RUNS!$A$6:$A$1005,0))="","",INDEX(RUNS!$J$6:$J$1005,MATCH($D1961,RUNS!$A$6:$A$1005,0))),""))</f>
        <v/>
      </c>
      <c r="Q1961" s="33">
        <f>IF($D1961="","",IFERROR(IF(INDEX(RUNS!$K$6:$K$1005,MATCH($D1961,RUNS!$A$6:$A$1005,0))="","",INDEX(RUNS!$K$6:$K$1005,MATCH($D1961,RUNS!$A$6:$A$1005,0))),""))</f>
        <v/>
      </c>
      <c r="R1961" s="34">
        <f>IF(OR($L1961="",$K1961=""),"",IFERROR(IF(INDEX(PARAMETRES!$H$43:$H$342,MATCH($L1961&amp;"|"&amp;$M1961&amp;"|"&amp;$N1961&amp;"|"&amp;$O1961&amp;"|"&amp;$P1961&amp;"|"&amp;$Q1961&amp;"|"&amp;$K1961,PARAMETRES!$J$43:$J$342,0))="","",INDEX(PARAMETRES!$H$43:$H$342,MATCH($L1961&amp;"|"&amp;$M1961&amp;"|"&amp;$N1961&amp;"|"&amp;$O1961&amp;"|"&amp;$P1961&amp;"|"&amp;$Q1961&amp;"|"&amp;$K1961,PARAMETRES!$J$43:$J$342,0))),""))</f>
        <v/>
      </c>
      <c r="S1961" s="35">
        <f>IF(OR($G1961="",$X1961&lt;&gt;"VALIDE"),"",IFERROR(LOOKUP(2,1/(($B1061:$B1960=$B1961)*($G1061:$G1960=$G1961)*($X1061:$X1960="VALIDE")),$C1061:$C1960),""))</f>
        <v/>
      </c>
      <c r="T1961" s="36">
        <f>IF(OR($C1961="",$S1961=""),"",ROUND(($C1961-$S1961+IF($C1961&lt;$S1961,1,0))*1440,0))</f>
        <v/>
      </c>
      <c r="U1961" s="22">
        <f>IF(OR($H1961="",$T1961="",$T1961&lt;=0),"",$H1961*60/$T1961)</f>
        <v/>
      </c>
      <c r="V1961" s="37">
        <f>IF(OR($U1961="",$R1961="",$R1961=0),"",$U1961/$R1961)</f>
        <v/>
      </c>
      <c r="W1961" s="20">
        <f>IF($G1961="","",IF($X1961="CONTEXTE INCOMPLET","CONTEXTE INCOMPLET",IF($X1961="DOUBLON",StatutDoublon,IF($S1961="",StatutInitial,IF($R1961="",StatutStandardManquant,IF($V1961="","DONNEES INSUFFISANTES",IF($V1961&gt;=SeuilConforme,StatutConforme,IF($V1961&gt;=SeuilSurveiller,StatutSurveiller,StatutSousStandard))))))))</f>
        <v/>
      </c>
      <c r="X1961" s="33">
        <f>IF($G1961="","",IF(OR($D1961="",$E1961="",$F1961=""),"CONTEXTE INCOMPLET",IF(COUNTIFS($D1061:$D1960,$D1961,$E1061:$E1960,$E1961,$F1061:$F1960,$F1961,$G1061:$G1960,$G1961)&gt;0,"DOUBLON","VALIDE")))</f>
        <v/>
      </c>
    </row>
    <row r="1962" ht="15" customHeight="1">
      <c r="A1962" s="12">
        <f>IF(OR($B1962="",$G1962=""),"",TEXT($B1962,"YYYYMMDD")&amp;"-"&amp;SUBSTITUTE($E1962," ","")&amp;"-"&amp;$F1962&amp;"-"&amp;$G1962)</f>
        <v/>
      </c>
      <c r="B1962" s="15" t="n"/>
      <c r="C1962" s="16" t="n"/>
      <c r="D1962" s="10" t="n"/>
      <c r="E1962" s="9" t="n"/>
      <c r="F1962" s="9" t="n"/>
      <c r="G1962" s="13" t="n"/>
      <c r="H1962" s="21" t="n"/>
      <c r="I1962" s="21" t="n"/>
      <c r="J1962" s="17">
        <f>IF($G1962="","",IFERROR(INDEX(NomsEmployes,MATCH($G1962,MatriculesEmployes,0)),"MATRICULE INCONNU"))</f>
        <v/>
      </c>
      <c r="K1962" s="33">
        <f>IF(OR($D1962="",$F1962=""),"",IFERROR(IF(INDEX(RUNS!$L$6:$S$1005,MATCH($D1962,RUNS!$A$6:$A$1005,0),MATCH("ACTIVITÉ "&amp;$F1962,RUNS!$L$5:$S$5,0))="","",INDEX(RUNS!$L$6:$S$1005,MATCH($D1962,RUNS!$A$6:$A$1005,0),MATCH("ACTIVITÉ "&amp;$F1962,RUNS!$L$5:$S$5,0))),""))</f>
        <v/>
      </c>
      <c r="L1962" s="33">
        <f>IF($D1962="","",IFERROR(IF(INDEX(RUNS!$E$6:$E$1005,MATCH($D1962,RUNS!$A$6:$A$1005,0))="","",INDEX(RUNS!$E$6:$E$1005,MATCH($D1962,RUNS!$A$6:$A$1005,0))),""))</f>
        <v/>
      </c>
      <c r="M1962" s="33">
        <f>IF($D1962="","",IFERROR(IF(INDEX(RUNS!$F$6:$F$1005,MATCH($D1962,RUNS!$A$6:$A$1005,0))="","",INDEX(RUNS!$F$6:$F$1005,MATCH($D1962,RUNS!$A$6:$A$1005,0))),""))</f>
        <v/>
      </c>
      <c r="N1962" s="33">
        <f>IF($D1962="","",IFERROR(IF(INDEX(RUNS!$G$6:$G$1005,MATCH($D1962,RUNS!$A$6:$A$1005,0))="","",INDEX(RUNS!$G$6:$G$1005,MATCH($D1962,RUNS!$A$6:$A$1005,0))),""))</f>
        <v/>
      </c>
      <c r="O1962" s="33">
        <f>IF($D1962="","",IFERROR(IF(INDEX(RUNS!$H$6:$H$1005,MATCH($D1962,RUNS!$A$6:$A$1005,0))="","",INDEX(RUNS!$H$6:$H$1005,MATCH($D1962,RUNS!$A$6:$A$1005,0))),""))</f>
        <v/>
      </c>
      <c r="P1962" s="33">
        <f>IF($D1962="","",IFERROR(IF(INDEX(RUNS!$J$6:$J$1005,MATCH($D1962,RUNS!$A$6:$A$1005,0))="","",INDEX(RUNS!$J$6:$J$1005,MATCH($D1962,RUNS!$A$6:$A$1005,0))),""))</f>
        <v/>
      </c>
      <c r="Q1962" s="33">
        <f>IF($D1962="","",IFERROR(IF(INDEX(RUNS!$K$6:$K$1005,MATCH($D1962,RUNS!$A$6:$A$1005,0))="","",INDEX(RUNS!$K$6:$K$1005,MATCH($D1962,RUNS!$A$6:$A$1005,0))),""))</f>
        <v/>
      </c>
      <c r="R1962" s="34">
        <f>IF(OR($L1962="",$K1962=""),"",IFERROR(IF(INDEX(PARAMETRES!$H$43:$H$342,MATCH($L1962&amp;"|"&amp;$M1962&amp;"|"&amp;$N1962&amp;"|"&amp;$O1962&amp;"|"&amp;$P1962&amp;"|"&amp;$Q1962&amp;"|"&amp;$K1962,PARAMETRES!$J$43:$J$342,0))="","",INDEX(PARAMETRES!$H$43:$H$342,MATCH($L1962&amp;"|"&amp;$M1962&amp;"|"&amp;$N1962&amp;"|"&amp;$O1962&amp;"|"&amp;$P1962&amp;"|"&amp;$Q1962&amp;"|"&amp;$K1962,PARAMETRES!$J$43:$J$342,0))),""))</f>
        <v/>
      </c>
      <c r="S1962" s="35">
        <f>IF(OR($G1962="",$X1962&lt;&gt;"VALIDE"),"",IFERROR(LOOKUP(2,1/(($B1062:$B1961=$B1962)*($G1062:$G1961=$G1962)*($X1062:$X1961="VALIDE")),$C1062:$C1961),""))</f>
        <v/>
      </c>
      <c r="T1962" s="36">
        <f>IF(OR($C1962="",$S1962=""),"",ROUND(($C1962-$S1962+IF($C1962&lt;$S1962,1,0))*1440,0))</f>
        <v/>
      </c>
      <c r="U1962" s="22">
        <f>IF(OR($H1962="",$T1962="",$T1962&lt;=0),"",$H1962*60/$T1962)</f>
        <v/>
      </c>
      <c r="V1962" s="37">
        <f>IF(OR($U1962="",$R1962="",$R1962=0),"",$U1962/$R1962)</f>
        <v/>
      </c>
      <c r="W1962" s="20">
        <f>IF($G1962="","",IF($X1962="CONTEXTE INCOMPLET","CONTEXTE INCOMPLET",IF($X1962="DOUBLON",StatutDoublon,IF($S1962="",StatutInitial,IF($R1962="",StatutStandardManquant,IF($V1962="","DONNEES INSUFFISANTES",IF($V1962&gt;=SeuilConforme,StatutConforme,IF($V1962&gt;=SeuilSurveiller,StatutSurveiller,StatutSousStandard))))))))</f>
        <v/>
      </c>
      <c r="X1962" s="33">
        <f>IF($G1962="","",IF(OR($D1962="",$E1962="",$F1962=""),"CONTEXTE INCOMPLET",IF(COUNTIFS($D1062:$D1961,$D1962,$E1062:$E1961,$E1962,$F1062:$F1961,$F1962,$G1062:$G1961,$G1962)&gt;0,"DOUBLON","VALIDE")))</f>
        <v/>
      </c>
    </row>
    <row r="1963" ht="15" customHeight="1">
      <c r="A1963" s="12">
        <f>IF(OR($B1963="",$G1963=""),"",TEXT($B1963,"YYYYMMDD")&amp;"-"&amp;SUBSTITUTE($E1963," ","")&amp;"-"&amp;$F1963&amp;"-"&amp;$G1963)</f>
        <v/>
      </c>
      <c r="B1963" s="15" t="n"/>
      <c r="C1963" s="16" t="n"/>
      <c r="D1963" s="10" t="n"/>
      <c r="E1963" s="9" t="n"/>
      <c r="F1963" s="9" t="n"/>
      <c r="G1963" s="13" t="n"/>
      <c r="H1963" s="21" t="n"/>
      <c r="I1963" s="21" t="n"/>
      <c r="J1963" s="17">
        <f>IF($G1963="","",IFERROR(INDEX(NomsEmployes,MATCH($G1963,MatriculesEmployes,0)),"MATRICULE INCONNU"))</f>
        <v/>
      </c>
      <c r="K1963" s="33">
        <f>IF(OR($D1963="",$F1963=""),"",IFERROR(IF(INDEX(RUNS!$L$6:$S$1005,MATCH($D1963,RUNS!$A$6:$A$1005,0),MATCH("ACTIVITÉ "&amp;$F1963,RUNS!$L$5:$S$5,0))="","",INDEX(RUNS!$L$6:$S$1005,MATCH($D1963,RUNS!$A$6:$A$1005,0),MATCH("ACTIVITÉ "&amp;$F1963,RUNS!$L$5:$S$5,0))),""))</f>
        <v/>
      </c>
      <c r="L1963" s="33">
        <f>IF($D1963="","",IFERROR(IF(INDEX(RUNS!$E$6:$E$1005,MATCH($D1963,RUNS!$A$6:$A$1005,0))="","",INDEX(RUNS!$E$6:$E$1005,MATCH($D1963,RUNS!$A$6:$A$1005,0))),""))</f>
        <v/>
      </c>
      <c r="M1963" s="33">
        <f>IF($D1963="","",IFERROR(IF(INDEX(RUNS!$F$6:$F$1005,MATCH($D1963,RUNS!$A$6:$A$1005,0))="","",INDEX(RUNS!$F$6:$F$1005,MATCH($D1963,RUNS!$A$6:$A$1005,0))),""))</f>
        <v/>
      </c>
      <c r="N1963" s="33">
        <f>IF($D1963="","",IFERROR(IF(INDEX(RUNS!$G$6:$G$1005,MATCH($D1963,RUNS!$A$6:$A$1005,0))="","",INDEX(RUNS!$G$6:$G$1005,MATCH($D1963,RUNS!$A$6:$A$1005,0))),""))</f>
        <v/>
      </c>
      <c r="O1963" s="33">
        <f>IF($D1963="","",IFERROR(IF(INDEX(RUNS!$H$6:$H$1005,MATCH($D1963,RUNS!$A$6:$A$1005,0))="","",INDEX(RUNS!$H$6:$H$1005,MATCH($D1963,RUNS!$A$6:$A$1005,0))),""))</f>
        <v/>
      </c>
      <c r="P1963" s="33">
        <f>IF($D1963="","",IFERROR(IF(INDEX(RUNS!$J$6:$J$1005,MATCH($D1963,RUNS!$A$6:$A$1005,0))="","",INDEX(RUNS!$J$6:$J$1005,MATCH($D1963,RUNS!$A$6:$A$1005,0))),""))</f>
        <v/>
      </c>
      <c r="Q1963" s="33">
        <f>IF($D1963="","",IFERROR(IF(INDEX(RUNS!$K$6:$K$1005,MATCH($D1963,RUNS!$A$6:$A$1005,0))="","",INDEX(RUNS!$K$6:$K$1005,MATCH($D1963,RUNS!$A$6:$A$1005,0))),""))</f>
        <v/>
      </c>
      <c r="R1963" s="34">
        <f>IF(OR($L1963="",$K1963=""),"",IFERROR(IF(INDEX(PARAMETRES!$H$43:$H$342,MATCH($L1963&amp;"|"&amp;$M1963&amp;"|"&amp;$N1963&amp;"|"&amp;$O1963&amp;"|"&amp;$P1963&amp;"|"&amp;$Q1963&amp;"|"&amp;$K1963,PARAMETRES!$J$43:$J$342,0))="","",INDEX(PARAMETRES!$H$43:$H$342,MATCH($L1963&amp;"|"&amp;$M1963&amp;"|"&amp;$N1963&amp;"|"&amp;$O1963&amp;"|"&amp;$P1963&amp;"|"&amp;$Q1963&amp;"|"&amp;$K1963,PARAMETRES!$J$43:$J$342,0))),""))</f>
        <v/>
      </c>
      <c r="S1963" s="35">
        <f>IF(OR($G1963="",$X1963&lt;&gt;"VALIDE"),"",IFERROR(LOOKUP(2,1/(($B1063:$B1962=$B1963)*($G1063:$G1962=$G1963)*($X1063:$X1962="VALIDE")),$C1063:$C1962),""))</f>
        <v/>
      </c>
      <c r="T1963" s="36">
        <f>IF(OR($C1963="",$S1963=""),"",ROUND(($C1963-$S1963+IF($C1963&lt;$S1963,1,0))*1440,0))</f>
        <v/>
      </c>
      <c r="U1963" s="22">
        <f>IF(OR($H1963="",$T1963="",$T1963&lt;=0),"",$H1963*60/$T1963)</f>
        <v/>
      </c>
      <c r="V1963" s="37">
        <f>IF(OR($U1963="",$R1963="",$R1963=0),"",$U1963/$R1963)</f>
        <v/>
      </c>
      <c r="W1963" s="20">
        <f>IF($G1963="","",IF($X1963="CONTEXTE INCOMPLET","CONTEXTE INCOMPLET",IF($X1963="DOUBLON",StatutDoublon,IF($S1963="",StatutInitial,IF($R1963="",StatutStandardManquant,IF($V1963="","DONNEES INSUFFISANTES",IF($V1963&gt;=SeuilConforme,StatutConforme,IF($V1963&gt;=SeuilSurveiller,StatutSurveiller,StatutSousStandard))))))))</f>
        <v/>
      </c>
      <c r="X1963" s="33">
        <f>IF($G1963="","",IF(OR($D1963="",$E1963="",$F1963=""),"CONTEXTE INCOMPLET",IF(COUNTIFS($D1063:$D1962,$D1963,$E1063:$E1962,$E1963,$F1063:$F1962,$F1963,$G1063:$G1962,$G1963)&gt;0,"DOUBLON","VALIDE")))</f>
        <v/>
      </c>
    </row>
    <row r="1964" ht="15" customHeight="1">
      <c r="A1964" s="12">
        <f>IF(OR($B1964="",$G1964=""),"",TEXT($B1964,"YYYYMMDD")&amp;"-"&amp;SUBSTITUTE($E1964," ","")&amp;"-"&amp;$F1964&amp;"-"&amp;$G1964)</f>
        <v/>
      </c>
      <c r="B1964" s="15" t="n"/>
      <c r="C1964" s="16" t="n"/>
      <c r="D1964" s="10" t="n"/>
      <c r="E1964" s="9" t="n"/>
      <c r="F1964" s="9" t="n"/>
      <c r="G1964" s="13" t="n"/>
      <c r="H1964" s="21" t="n"/>
      <c r="I1964" s="21" t="n"/>
      <c r="J1964" s="17">
        <f>IF($G1964="","",IFERROR(INDEX(NomsEmployes,MATCH($G1964,MatriculesEmployes,0)),"MATRICULE INCONNU"))</f>
        <v/>
      </c>
      <c r="K1964" s="33">
        <f>IF(OR($D1964="",$F1964=""),"",IFERROR(IF(INDEX(RUNS!$L$6:$S$1005,MATCH($D1964,RUNS!$A$6:$A$1005,0),MATCH("ACTIVITÉ "&amp;$F1964,RUNS!$L$5:$S$5,0))="","",INDEX(RUNS!$L$6:$S$1005,MATCH($D1964,RUNS!$A$6:$A$1005,0),MATCH("ACTIVITÉ "&amp;$F1964,RUNS!$L$5:$S$5,0))),""))</f>
        <v/>
      </c>
      <c r="L1964" s="33">
        <f>IF($D1964="","",IFERROR(IF(INDEX(RUNS!$E$6:$E$1005,MATCH($D1964,RUNS!$A$6:$A$1005,0))="","",INDEX(RUNS!$E$6:$E$1005,MATCH($D1964,RUNS!$A$6:$A$1005,0))),""))</f>
        <v/>
      </c>
      <c r="M1964" s="33">
        <f>IF($D1964="","",IFERROR(IF(INDEX(RUNS!$F$6:$F$1005,MATCH($D1964,RUNS!$A$6:$A$1005,0))="","",INDEX(RUNS!$F$6:$F$1005,MATCH($D1964,RUNS!$A$6:$A$1005,0))),""))</f>
        <v/>
      </c>
      <c r="N1964" s="33">
        <f>IF($D1964="","",IFERROR(IF(INDEX(RUNS!$G$6:$G$1005,MATCH($D1964,RUNS!$A$6:$A$1005,0))="","",INDEX(RUNS!$G$6:$G$1005,MATCH($D1964,RUNS!$A$6:$A$1005,0))),""))</f>
        <v/>
      </c>
      <c r="O1964" s="33">
        <f>IF($D1964="","",IFERROR(IF(INDEX(RUNS!$H$6:$H$1005,MATCH($D1964,RUNS!$A$6:$A$1005,0))="","",INDEX(RUNS!$H$6:$H$1005,MATCH($D1964,RUNS!$A$6:$A$1005,0))),""))</f>
        <v/>
      </c>
      <c r="P1964" s="33">
        <f>IF($D1964="","",IFERROR(IF(INDEX(RUNS!$J$6:$J$1005,MATCH($D1964,RUNS!$A$6:$A$1005,0))="","",INDEX(RUNS!$J$6:$J$1005,MATCH($D1964,RUNS!$A$6:$A$1005,0))),""))</f>
        <v/>
      </c>
      <c r="Q1964" s="33">
        <f>IF($D1964="","",IFERROR(IF(INDEX(RUNS!$K$6:$K$1005,MATCH($D1964,RUNS!$A$6:$A$1005,0))="","",INDEX(RUNS!$K$6:$K$1005,MATCH($D1964,RUNS!$A$6:$A$1005,0))),""))</f>
        <v/>
      </c>
      <c r="R1964" s="34">
        <f>IF(OR($L1964="",$K1964=""),"",IFERROR(IF(INDEX(PARAMETRES!$H$43:$H$342,MATCH($L1964&amp;"|"&amp;$M1964&amp;"|"&amp;$N1964&amp;"|"&amp;$O1964&amp;"|"&amp;$P1964&amp;"|"&amp;$Q1964&amp;"|"&amp;$K1964,PARAMETRES!$J$43:$J$342,0))="","",INDEX(PARAMETRES!$H$43:$H$342,MATCH($L1964&amp;"|"&amp;$M1964&amp;"|"&amp;$N1964&amp;"|"&amp;$O1964&amp;"|"&amp;$P1964&amp;"|"&amp;$Q1964&amp;"|"&amp;$K1964,PARAMETRES!$J$43:$J$342,0))),""))</f>
        <v/>
      </c>
      <c r="S1964" s="35">
        <f>IF(OR($G1964="",$X1964&lt;&gt;"VALIDE"),"",IFERROR(LOOKUP(2,1/(($B1064:$B1963=$B1964)*($G1064:$G1963=$G1964)*($X1064:$X1963="VALIDE")),$C1064:$C1963),""))</f>
        <v/>
      </c>
      <c r="T1964" s="36">
        <f>IF(OR($C1964="",$S1964=""),"",ROUND(($C1964-$S1964+IF($C1964&lt;$S1964,1,0))*1440,0))</f>
        <v/>
      </c>
      <c r="U1964" s="22">
        <f>IF(OR($H1964="",$T1964="",$T1964&lt;=0),"",$H1964*60/$T1964)</f>
        <v/>
      </c>
      <c r="V1964" s="37">
        <f>IF(OR($U1964="",$R1964="",$R1964=0),"",$U1964/$R1964)</f>
        <v/>
      </c>
      <c r="W1964" s="20">
        <f>IF($G1964="","",IF($X1964="CONTEXTE INCOMPLET","CONTEXTE INCOMPLET",IF($X1964="DOUBLON",StatutDoublon,IF($S1964="",StatutInitial,IF($R1964="",StatutStandardManquant,IF($V1964="","DONNEES INSUFFISANTES",IF($V1964&gt;=SeuilConforme,StatutConforme,IF($V1964&gt;=SeuilSurveiller,StatutSurveiller,StatutSousStandard))))))))</f>
        <v/>
      </c>
      <c r="X1964" s="33">
        <f>IF($G1964="","",IF(OR($D1964="",$E1964="",$F1964=""),"CONTEXTE INCOMPLET",IF(COUNTIFS($D1064:$D1963,$D1964,$E1064:$E1963,$E1964,$F1064:$F1963,$F1964,$G1064:$G1963,$G1964)&gt;0,"DOUBLON","VALIDE")))</f>
        <v/>
      </c>
    </row>
    <row r="1965" ht="15" customHeight="1">
      <c r="A1965" s="12">
        <f>IF(OR($B1965="",$G1965=""),"",TEXT($B1965,"YYYYMMDD")&amp;"-"&amp;SUBSTITUTE($E1965," ","")&amp;"-"&amp;$F1965&amp;"-"&amp;$G1965)</f>
        <v/>
      </c>
      <c r="B1965" s="15" t="n"/>
      <c r="C1965" s="16" t="n"/>
      <c r="D1965" s="10" t="n"/>
      <c r="E1965" s="9" t="n"/>
      <c r="F1965" s="9" t="n"/>
      <c r="G1965" s="13" t="n"/>
      <c r="H1965" s="21" t="n"/>
      <c r="I1965" s="21" t="n"/>
      <c r="J1965" s="17">
        <f>IF($G1965="","",IFERROR(INDEX(NomsEmployes,MATCH($G1965,MatriculesEmployes,0)),"MATRICULE INCONNU"))</f>
        <v/>
      </c>
      <c r="K1965" s="33">
        <f>IF(OR($D1965="",$F1965=""),"",IFERROR(IF(INDEX(RUNS!$L$6:$S$1005,MATCH($D1965,RUNS!$A$6:$A$1005,0),MATCH("ACTIVITÉ "&amp;$F1965,RUNS!$L$5:$S$5,0))="","",INDEX(RUNS!$L$6:$S$1005,MATCH($D1965,RUNS!$A$6:$A$1005,0),MATCH("ACTIVITÉ "&amp;$F1965,RUNS!$L$5:$S$5,0))),""))</f>
        <v/>
      </c>
      <c r="L1965" s="33">
        <f>IF($D1965="","",IFERROR(IF(INDEX(RUNS!$E$6:$E$1005,MATCH($D1965,RUNS!$A$6:$A$1005,0))="","",INDEX(RUNS!$E$6:$E$1005,MATCH($D1965,RUNS!$A$6:$A$1005,0))),""))</f>
        <v/>
      </c>
      <c r="M1965" s="33">
        <f>IF($D1965="","",IFERROR(IF(INDEX(RUNS!$F$6:$F$1005,MATCH($D1965,RUNS!$A$6:$A$1005,0))="","",INDEX(RUNS!$F$6:$F$1005,MATCH($D1965,RUNS!$A$6:$A$1005,0))),""))</f>
        <v/>
      </c>
      <c r="N1965" s="33">
        <f>IF($D1965="","",IFERROR(IF(INDEX(RUNS!$G$6:$G$1005,MATCH($D1965,RUNS!$A$6:$A$1005,0))="","",INDEX(RUNS!$G$6:$G$1005,MATCH($D1965,RUNS!$A$6:$A$1005,0))),""))</f>
        <v/>
      </c>
      <c r="O1965" s="33">
        <f>IF($D1965="","",IFERROR(IF(INDEX(RUNS!$H$6:$H$1005,MATCH($D1965,RUNS!$A$6:$A$1005,0))="","",INDEX(RUNS!$H$6:$H$1005,MATCH($D1965,RUNS!$A$6:$A$1005,0))),""))</f>
        <v/>
      </c>
      <c r="P1965" s="33">
        <f>IF($D1965="","",IFERROR(IF(INDEX(RUNS!$J$6:$J$1005,MATCH($D1965,RUNS!$A$6:$A$1005,0))="","",INDEX(RUNS!$J$6:$J$1005,MATCH($D1965,RUNS!$A$6:$A$1005,0))),""))</f>
        <v/>
      </c>
      <c r="Q1965" s="33">
        <f>IF($D1965="","",IFERROR(IF(INDEX(RUNS!$K$6:$K$1005,MATCH($D1965,RUNS!$A$6:$A$1005,0))="","",INDEX(RUNS!$K$6:$K$1005,MATCH($D1965,RUNS!$A$6:$A$1005,0))),""))</f>
        <v/>
      </c>
      <c r="R1965" s="34">
        <f>IF(OR($L1965="",$K1965=""),"",IFERROR(IF(INDEX(PARAMETRES!$H$43:$H$342,MATCH($L1965&amp;"|"&amp;$M1965&amp;"|"&amp;$N1965&amp;"|"&amp;$O1965&amp;"|"&amp;$P1965&amp;"|"&amp;$Q1965&amp;"|"&amp;$K1965,PARAMETRES!$J$43:$J$342,0))="","",INDEX(PARAMETRES!$H$43:$H$342,MATCH($L1965&amp;"|"&amp;$M1965&amp;"|"&amp;$N1965&amp;"|"&amp;$O1965&amp;"|"&amp;$P1965&amp;"|"&amp;$Q1965&amp;"|"&amp;$K1965,PARAMETRES!$J$43:$J$342,0))),""))</f>
        <v/>
      </c>
      <c r="S1965" s="35">
        <f>IF(OR($G1965="",$X1965&lt;&gt;"VALIDE"),"",IFERROR(LOOKUP(2,1/(($B1065:$B1964=$B1965)*($G1065:$G1964=$G1965)*($X1065:$X1964="VALIDE")),$C1065:$C1964),""))</f>
        <v/>
      </c>
      <c r="T1965" s="36">
        <f>IF(OR($C1965="",$S1965=""),"",ROUND(($C1965-$S1965+IF($C1965&lt;$S1965,1,0))*1440,0))</f>
        <v/>
      </c>
      <c r="U1965" s="22">
        <f>IF(OR($H1965="",$T1965="",$T1965&lt;=0),"",$H1965*60/$T1965)</f>
        <v/>
      </c>
      <c r="V1965" s="37">
        <f>IF(OR($U1965="",$R1965="",$R1965=0),"",$U1965/$R1965)</f>
        <v/>
      </c>
      <c r="W1965" s="20">
        <f>IF($G1965="","",IF($X1965="CONTEXTE INCOMPLET","CONTEXTE INCOMPLET",IF($X1965="DOUBLON",StatutDoublon,IF($S1965="",StatutInitial,IF($R1965="",StatutStandardManquant,IF($V1965="","DONNEES INSUFFISANTES",IF($V1965&gt;=SeuilConforme,StatutConforme,IF($V1965&gt;=SeuilSurveiller,StatutSurveiller,StatutSousStandard))))))))</f>
        <v/>
      </c>
      <c r="X1965" s="33">
        <f>IF($G1965="","",IF(OR($D1965="",$E1965="",$F1965=""),"CONTEXTE INCOMPLET",IF(COUNTIFS($D1065:$D1964,$D1965,$E1065:$E1964,$E1965,$F1065:$F1964,$F1965,$G1065:$G1964,$G1965)&gt;0,"DOUBLON","VALIDE")))</f>
        <v/>
      </c>
    </row>
    <row r="1966" ht="15" customHeight="1">
      <c r="A1966" s="12">
        <f>IF(OR($B1966="",$G1966=""),"",TEXT($B1966,"YYYYMMDD")&amp;"-"&amp;SUBSTITUTE($E1966," ","")&amp;"-"&amp;$F1966&amp;"-"&amp;$G1966)</f>
        <v/>
      </c>
      <c r="B1966" s="15" t="n"/>
      <c r="C1966" s="16" t="n"/>
      <c r="D1966" s="10" t="n"/>
      <c r="E1966" s="9" t="n"/>
      <c r="F1966" s="9" t="n"/>
      <c r="G1966" s="13" t="n"/>
      <c r="H1966" s="21" t="n"/>
      <c r="I1966" s="21" t="n"/>
      <c r="J1966" s="17">
        <f>IF($G1966="","",IFERROR(INDEX(NomsEmployes,MATCH($G1966,MatriculesEmployes,0)),"MATRICULE INCONNU"))</f>
        <v/>
      </c>
      <c r="K1966" s="33">
        <f>IF(OR($D1966="",$F1966=""),"",IFERROR(IF(INDEX(RUNS!$L$6:$S$1005,MATCH($D1966,RUNS!$A$6:$A$1005,0),MATCH("ACTIVITÉ "&amp;$F1966,RUNS!$L$5:$S$5,0))="","",INDEX(RUNS!$L$6:$S$1005,MATCH($D1966,RUNS!$A$6:$A$1005,0),MATCH("ACTIVITÉ "&amp;$F1966,RUNS!$L$5:$S$5,0))),""))</f>
        <v/>
      </c>
      <c r="L1966" s="33">
        <f>IF($D1966="","",IFERROR(IF(INDEX(RUNS!$E$6:$E$1005,MATCH($D1966,RUNS!$A$6:$A$1005,0))="","",INDEX(RUNS!$E$6:$E$1005,MATCH($D1966,RUNS!$A$6:$A$1005,0))),""))</f>
        <v/>
      </c>
      <c r="M1966" s="33">
        <f>IF($D1966="","",IFERROR(IF(INDEX(RUNS!$F$6:$F$1005,MATCH($D1966,RUNS!$A$6:$A$1005,0))="","",INDEX(RUNS!$F$6:$F$1005,MATCH($D1966,RUNS!$A$6:$A$1005,0))),""))</f>
        <v/>
      </c>
      <c r="N1966" s="33">
        <f>IF($D1966="","",IFERROR(IF(INDEX(RUNS!$G$6:$G$1005,MATCH($D1966,RUNS!$A$6:$A$1005,0))="","",INDEX(RUNS!$G$6:$G$1005,MATCH($D1966,RUNS!$A$6:$A$1005,0))),""))</f>
        <v/>
      </c>
      <c r="O1966" s="33">
        <f>IF($D1966="","",IFERROR(IF(INDEX(RUNS!$H$6:$H$1005,MATCH($D1966,RUNS!$A$6:$A$1005,0))="","",INDEX(RUNS!$H$6:$H$1005,MATCH($D1966,RUNS!$A$6:$A$1005,0))),""))</f>
        <v/>
      </c>
      <c r="P1966" s="33">
        <f>IF($D1966="","",IFERROR(IF(INDEX(RUNS!$J$6:$J$1005,MATCH($D1966,RUNS!$A$6:$A$1005,0))="","",INDEX(RUNS!$J$6:$J$1005,MATCH($D1966,RUNS!$A$6:$A$1005,0))),""))</f>
        <v/>
      </c>
      <c r="Q1966" s="33">
        <f>IF($D1966="","",IFERROR(IF(INDEX(RUNS!$K$6:$K$1005,MATCH($D1966,RUNS!$A$6:$A$1005,0))="","",INDEX(RUNS!$K$6:$K$1005,MATCH($D1966,RUNS!$A$6:$A$1005,0))),""))</f>
        <v/>
      </c>
      <c r="R1966" s="34">
        <f>IF(OR($L1966="",$K1966=""),"",IFERROR(IF(INDEX(PARAMETRES!$H$43:$H$342,MATCH($L1966&amp;"|"&amp;$M1966&amp;"|"&amp;$N1966&amp;"|"&amp;$O1966&amp;"|"&amp;$P1966&amp;"|"&amp;$Q1966&amp;"|"&amp;$K1966,PARAMETRES!$J$43:$J$342,0))="","",INDEX(PARAMETRES!$H$43:$H$342,MATCH($L1966&amp;"|"&amp;$M1966&amp;"|"&amp;$N1966&amp;"|"&amp;$O1966&amp;"|"&amp;$P1966&amp;"|"&amp;$Q1966&amp;"|"&amp;$K1966,PARAMETRES!$J$43:$J$342,0))),""))</f>
        <v/>
      </c>
      <c r="S1966" s="35">
        <f>IF(OR($G1966="",$X1966&lt;&gt;"VALIDE"),"",IFERROR(LOOKUP(2,1/(($B1066:$B1965=$B1966)*($G1066:$G1965=$G1966)*($X1066:$X1965="VALIDE")),$C1066:$C1965),""))</f>
        <v/>
      </c>
      <c r="T1966" s="36">
        <f>IF(OR($C1966="",$S1966=""),"",ROUND(($C1966-$S1966+IF($C1966&lt;$S1966,1,0))*1440,0))</f>
        <v/>
      </c>
      <c r="U1966" s="22">
        <f>IF(OR($H1966="",$T1966="",$T1966&lt;=0),"",$H1966*60/$T1966)</f>
        <v/>
      </c>
      <c r="V1966" s="37">
        <f>IF(OR($U1966="",$R1966="",$R1966=0),"",$U1966/$R1966)</f>
        <v/>
      </c>
      <c r="W1966" s="20">
        <f>IF($G1966="","",IF($X1966="CONTEXTE INCOMPLET","CONTEXTE INCOMPLET",IF($X1966="DOUBLON",StatutDoublon,IF($S1966="",StatutInitial,IF($R1966="",StatutStandardManquant,IF($V1966="","DONNEES INSUFFISANTES",IF($V1966&gt;=SeuilConforme,StatutConforme,IF($V1966&gt;=SeuilSurveiller,StatutSurveiller,StatutSousStandard))))))))</f>
        <v/>
      </c>
      <c r="X1966" s="33">
        <f>IF($G1966="","",IF(OR($D1966="",$E1966="",$F1966=""),"CONTEXTE INCOMPLET",IF(COUNTIFS($D1066:$D1965,$D1966,$E1066:$E1965,$E1966,$F1066:$F1965,$F1966,$G1066:$G1965,$G1966)&gt;0,"DOUBLON","VALIDE")))</f>
        <v/>
      </c>
    </row>
    <row r="1967" ht="15" customHeight="1">
      <c r="A1967" s="12">
        <f>IF(OR($B1967="",$G1967=""),"",TEXT($B1967,"YYYYMMDD")&amp;"-"&amp;SUBSTITUTE($E1967," ","")&amp;"-"&amp;$F1967&amp;"-"&amp;$G1967)</f>
        <v/>
      </c>
      <c r="B1967" s="15" t="n"/>
      <c r="C1967" s="16" t="n"/>
      <c r="D1967" s="10" t="n"/>
      <c r="E1967" s="9" t="n"/>
      <c r="F1967" s="9" t="n"/>
      <c r="G1967" s="13" t="n"/>
      <c r="H1967" s="21" t="n"/>
      <c r="I1967" s="21" t="n"/>
      <c r="J1967" s="17">
        <f>IF($G1967="","",IFERROR(INDEX(NomsEmployes,MATCH($G1967,MatriculesEmployes,0)),"MATRICULE INCONNU"))</f>
        <v/>
      </c>
      <c r="K1967" s="33">
        <f>IF(OR($D1967="",$F1967=""),"",IFERROR(IF(INDEX(RUNS!$L$6:$S$1005,MATCH($D1967,RUNS!$A$6:$A$1005,0),MATCH("ACTIVITÉ "&amp;$F1967,RUNS!$L$5:$S$5,0))="","",INDEX(RUNS!$L$6:$S$1005,MATCH($D1967,RUNS!$A$6:$A$1005,0),MATCH("ACTIVITÉ "&amp;$F1967,RUNS!$L$5:$S$5,0))),""))</f>
        <v/>
      </c>
      <c r="L1967" s="33">
        <f>IF($D1967="","",IFERROR(IF(INDEX(RUNS!$E$6:$E$1005,MATCH($D1967,RUNS!$A$6:$A$1005,0))="","",INDEX(RUNS!$E$6:$E$1005,MATCH($D1967,RUNS!$A$6:$A$1005,0))),""))</f>
        <v/>
      </c>
      <c r="M1967" s="33">
        <f>IF($D1967="","",IFERROR(IF(INDEX(RUNS!$F$6:$F$1005,MATCH($D1967,RUNS!$A$6:$A$1005,0))="","",INDEX(RUNS!$F$6:$F$1005,MATCH($D1967,RUNS!$A$6:$A$1005,0))),""))</f>
        <v/>
      </c>
      <c r="N1967" s="33">
        <f>IF($D1967="","",IFERROR(IF(INDEX(RUNS!$G$6:$G$1005,MATCH($D1967,RUNS!$A$6:$A$1005,0))="","",INDEX(RUNS!$G$6:$G$1005,MATCH($D1967,RUNS!$A$6:$A$1005,0))),""))</f>
        <v/>
      </c>
      <c r="O1967" s="33">
        <f>IF($D1967="","",IFERROR(IF(INDEX(RUNS!$H$6:$H$1005,MATCH($D1967,RUNS!$A$6:$A$1005,0))="","",INDEX(RUNS!$H$6:$H$1005,MATCH($D1967,RUNS!$A$6:$A$1005,0))),""))</f>
        <v/>
      </c>
      <c r="P1967" s="33">
        <f>IF($D1967="","",IFERROR(IF(INDEX(RUNS!$J$6:$J$1005,MATCH($D1967,RUNS!$A$6:$A$1005,0))="","",INDEX(RUNS!$J$6:$J$1005,MATCH($D1967,RUNS!$A$6:$A$1005,0))),""))</f>
        <v/>
      </c>
      <c r="Q1967" s="33">
        <f>IF($D1967="","",IFERROR(IF(INDEX(RUNS!$K$6:$K$1005,MATCH($D1967,RUNS!$A$6:$A$1005,0))="","",INDEX(RUNS!$K$6:$K$1005,MATCH($D1967,RUNS!$A$6:$A$1005,0))),""))</f>
        <v/>
      </c>
      <c r="R1967" s="34">
        <f>IF(OR($L1967="",$K1967=""),"",IFERROR(IF(INDEX(PARAMETRES!$H$43:$H$342,MATCH($L1967&amp;"|"&amp;$M1967&amp;"|"&amp;$N1967&amp;"|"&amp;$O1967&amp;"|"&amp;$P1967&amp;"|"&amp;$Q1967&amp;"|"&amp;$K1967,PARAMETRES!$J$43:$J$342,0))="","",INDEX(PARAMETRES!$H$43:$H$342,MATCH($L1967&amp;"|"&amp;$M1967&amp;"|"&amp;$N1967&amp;"|"&amp;$O1967&amp;"|"&amp;$P1967&amp;"|"&amp;$Q1967&amp;"|"&amp;$K1967,PARAMETRES!$J$43:$J$342,0))),""))</f>
        <v/>
      </c>
      <c r="S1967" s="35">
        <f>IF(OR($G1967="",$X1967&lt;&gt;"VALIDE"),"",IFERROR(LOOKUP(2,1/(($B1067:$B1966=$B1967)*($G1067:$G1966=$G1967)*($X1067:$X1966="VALIDE")),$C1067:$C1966),""))</f>
        <v/>
      </c>
      <c r="T1967" s="36">
        <f>IF(OR($C1967="",$S1967=""),"",ROUND(($C1967-$S1967+IF($C1967&lt;$S1967,1,0))*1440,0))</f>
        <v/>
      </c>
      <c r="U1967" s="22">
        <f>IF(OR($H1967="",$T1967="",$T1967&lt;=0),"",$H1967*60/$T1967)</f>
        <v/>
      </c>
      <c r="V1967" s="37">
        <f>IF(OR($U1967="",$R1967="",$R1967=0),"",$U1967/$R1967)</f>
        <v/>
      </c>
      <c r="W1967" s="20">
        <f>IF($G1967="","",IF($X1967="CONTEXTE INCOMPLET","CONTEXTE INCOMPLET",IF($X1967="DOUBLON",StatutDoublon,IF($S1967="",StatutInitial,IF($R1967="",StatutStandardManquant,IF($V1967="","DONNEES INSUFFISANTES",IF($V1967&gt;=SeuilConforme,StatutConforme,IF($V1967&gt;=SeuilSurveiller,StatutSurveiller,StatutSousStandard))))))))</f>
        <v/>
      </c>
      <c r="X1967" s="33">
        <f>IF($G1967="","",IF(OR($D1967="",$E1967="",$F1967=""),"CONTEXTE INCOMPLET",IF(COUNTIFS($D1067:$D1966,$D1967,$E1067:$E1966,$E1967,$F1067:$F1966,$F1967,$G1067:$G1966,$G1967)&gt;0,"DOUBLON","VALIDE")))</f>
        <v/>
      </c>
    </row>
    <row r="1968" ht="15" customHeight="1">
      <c r="A1968" s="12">
        <f>IF(OR($B1968="",$G1968=""),"",TEXT($B1968,"YYYYMMDD")&amp;"-"&amp;SUBSTITUTE($E1968," ","")&amp;"-"&amp;$F1968&amp;"-"&amp;$G1968)</f>
        <v/>
      </c>
      <c r="B1968" s="15" t="n"/>
      <c r="C1968" s="16" t="n"/>
      <c r="D1968" s="10" t="n"/>
      <c r="E1968" s="9" t="n"/>
      <c r="F1968" s="9" t="n"/>
      <c r="G1968" s="13" t="n"/>
      <c r="H1968" s="21" t="n"/>
      <c r="I1968" s="21" t="n"/>
      <c r="J1968" s="17">
        <f>IF($G1968="","",IFERROR(INDEX(NomsEmployes,MATCH($G1968,MatriculesEmployes,0)),"MATRICULE INCONNU"))</f>
        <v/>
      </c>
      <c r="K1968" s="33">
        <f>IF(OR($D1968="",$F1968=""),"",IFERROR(IF(INDEX(RUNS!$L$6:$S$1005,MATCH($D1968,RUNS!$A$6:$A$1005,0),MATCH("ACTIVITÉ "&amp;$F1968,RUNS!$L$5:$S$5,0))="","",INDEX(RUNS!$L$6:$S$1005,MATCH($D1968,RUNS!$A$6:$A$1005,0),MATCH("ACTIVITÉ "&amp;$F1968,RUNS!$L$5:$S$5,0))),""))</f>
        <v/>
      </c>
      <c r="L1968" s="33">
        <f>IF($D1968="","",IFERROR(IF(INDEX(RUNS!$E$6:$E$1005,MATCH($D1968,RUNS!$A$6:$A$1005,0))="","",INDEX(RUNS!$E$6:$E$1005,MATCH($D1968,RUNS!$A$6:$A$1005,0))),""))</f>
        <v/>
      </c>
      <c r="M1968" s="33">
        <f>IF($D1968="","",IFERROR(IF(INDEX(RUNS!$F$6:$F$1005,MATCH($D1968,RUNS!$A$6:$A$1005,0))="","",INDEX(RUNS!$F$6:$F$1005,MATCH($D1968,RUNS!$A$6:$A$1005,0))),""))</f>
        <v/>
      </c>
      <c r="N1968" s="33">
        <f>IF($D1968="","",IFERROR(IF(INDEX(RUNS!$G$6:$G$1005,MATCH($D1968,RUNS!$A$6:$A$1005,0))="","",INDEX(RUNS!$G$6:$G$1005,MATCH($D1968,RUNS!$A$6:$A$1005,0))),""))</f>
        <v/>
      </c>
      <c r="O1968" s="33">
        <f>IF($D1968="","",IFERROR(IF(INDEX(RUNS!$H$6:$H$1005,MATCH($D1968,RUNS!$A$6:$A$1005,0))="","",INDEX(RUNS!$H$6:$H$1005,MATCH($D1968,RUNS!$A$6:$A$1005,0))),""))</f>
        <v/>
      </c>
      <c r="P1968" s="33">
        <f>IF($D1968="","",IFERROR(IF(INDEX(RUNS!$J$6:$J$1005,MATCH($D1968,RUNS!$A$6:$A$1005,0))="","",INDEX(RUNS!$J$6:$J$1005,MATCH($D1968,RUNS!$A$6:$A$1005,0))),""))</f>
        <v/>
      </c>
      <c r="Q1968" s="33">
        <f>IF($D1968="","",IFERROR(IF(INDEX(RUNS!$K$6:$K$1005,MATCH($D1968,RUNS!$A$6:$A$1005,0))="","",INDEX(RUNS!$K$6:$K$1005,MATCH($D1968,RUNS!$A$6:$A$1005,0))),""))</f>
        <v/>
      </c>
      <c r="R1968" s="34">
        <f>IF(OR($L1968="",$K1968=""),"",IFERROR(IF(INDEX(PARAMETRES!$H$43:$H$342,MATCH($L1968&amp;"|"&amp;$M1968&amp;"|"&amp;$N1968&amp;"|"&amp;$O1968&amp;"|"&amp;$P1968&amp;"|"&amp;$Q1968&amp;"|"&amp;$K1968,PARAMETRES!$J$43:$J$342,0))="","",INDEX(PARAMETRES!$H$43:$H$342,MATCH($L1968&amp;"|"&amp;$M1968&amp;"|"&amp;$N1968&amp;"|"&amp;$O1968&amp;"|"&amp;$P1968&amp;"|"&amp;$Q1968&amp;"|"&amp;$K1968,PARAMETRES!$J$43:$J$342,0))),""))</f>
        <v/>
      </c>
      <c r="S1968" s="35">
        <f>IF(OR($G1968="",$X1968&lt;&gt;"VALIDE"),"",IFERROR(LOOKUP(2,1/(($B1068:$B1967=$B1968)*($G1068:$G1967=$G1968)*($X1068:$X1967="VALIDE")),$C1068:$C1967),""))</f>
        <v/>
      </c>
      <c r="T1968" s="36">
        <f>IF(OR($C1968="",$S1968=""),"",ROUND(($C1968-$S1968+IF($C1968&lt;$S1968,1,0))*1440,0))</f>
        <v/>
      </c>
      <c r="U1968" s="22">
        <f>IF(OR($H1968="",$T1968="",$T1968&lt;=0),"",$H1968*60/$T1968)</f>
        <v/>
      </c>
      <c r="V1968" s="37">
        <f>IF(OR($U1968="",$R1968="",$R1968=0),"",$U1968/$R1968)</f>
        <v/>
      </c>
      <c r="W1968" s="20">
        <f>IF($G1968="","",IF($X1968="CONTEXTE INCOMPLET","CONTEXTE INCOMPLET",IF($X1968="DOUBLON",StatutDoublon,IF($S1968="",StatutInitial,IF($R1968="",StatutStandardManquant,IF($V1968="","DONNEES INSUFFISANTES",IF($V1968&gt;=SeuilConforme,StatutConforme,IF($V1968&gt;=SeuilSurveiller,StatutSurveiller,StatutSousStandard))))))))</f>
        <v/>
      </c>
      <c r="X1968" s="33">
        <f>IF($G1968="","",IF(OR($D1968="",$E1968="",$F1968=""),"CONTEXTE INCOMPLET",IF(COUNTIFS($D1068:$D1967,$D1968,$E1068:$E1967,$E1968,$F1068:$F1967,$F1968,$G1068:$G1967,$G1968)&gt;0,"DOUBLON","VALIDE")))</f>
        <v/>
      </c>
    </row>
    <row r="1969" ht="15" customHeight="1">
      <c r="A1969" s="12">
        <f>IF(OR($B1969="",$G1969=""),"",TEXT($B1969,"YYYYMMDD")&amp;"-"&amp;SUBSTITUTE($E1969," ","")&amp;"-"&amp;$F1969&amp;"-"&amp;$G1969)</f>
        <v/>
      </c>
      <c r="B1969" s="15" t="n"/>
      <c r="C1969" s="16" t="n"/>
      <c r="D1969" s="10" t="n"/>
      <c r="E1969" s="9" t="n"/>
      <c r="F1969" s="9" t="n"/>
      <c r="G1969" s="13" t="n"/>
      <c r="H1969" s="21" t="n"/>
      <c r="I1969" s="21" t="n"/>
      <c r="J1969" s="17">
        <f>IF($G1969="","",IFERROR(INDEX(NomsEmployes,MATCH($G1969,MatriculesEmployes,0)),"MATRICULE INCONNU"))</f>
        <v/>
      </c>
      <c r="K1969" s="33">
        <f>IF(OR($D1969="",$F1969=""),"",IFERROR(IF(INDEX(RUNS!$L$6:$S$1005,MATCH($D1969,RUNS!$A$6:$A$1005,0),MATCH("ACTIVITÉ "&amp;$F1969,RUNS!$L$5:$S$5,0))="","",INDEX(RUNS!$L$6:$S$1005,MATCH($D1969,RUNS!$A$6:$A$1005,0),MATCH("ACTIVITÉ "&amp;$F1969,RUNS!$L$5:$S$5,0))),""))</f>
        <v/>
      </c>
      <c r="L1969" s="33">
        <f>IF($D1969="","",IFERROR(IF(INDEX(RUNS!$E$6:$E$1005,MATCH($D1969,RUNS!$A$6:$A$1005,0))="","",INDEX(RUNS!$E$6:$E$1005,MATCH($D1969,RUNS!$A$6:$A$1005,0))),""))</f>
        <v/>
      </c>
      <c r="M1969" s="33">
        <f>IF($D1969="","",IFERROR(IF(INDEX(RUNS!$F$6:$F$1005,MATCH($D1969,RUNS!$A$6:$A$1005,0))="","",INDEX(RUNS!$F$6:$F$1005,MATCH($D1969,RUNS!$A$6:$A$1005,0))),""))</f>
        <v/>
      </c>
      <c r="N1969" s="33">
        <f>IF($D1969="","",IFERROR(IF(INDEX(RUNS!$G$6:$G$1005,MATCH($D1969,RUNS!$A$6:$A$1005,0))="","",INDEX(RUNS!$G$6:$G$1005,MATCH($D1969,RUNS!$A$6:$A$1005,0))),""))</f>
        <v/>
      </c>
      <c r="O1969" s="33">
        <f>IF($D1969="","",IFERROR(IF(INDEX(RUNS!$H$6:$H$1005,MATCH($D1969,RUNS!$A$6:$A$1005,0))="","",INDEX(RUNS!$H$6:$H$1005,MATCH($D1969,RUNS!$A$6:$A$1005,0))),""))</f>
        <v/>
      </c>
      <c r="P1969" s="33">
        <f>IF($D1969="","",IFERROR(IF(INDEX(RUNS!$J$6:$J$1005,MATCH($D1969,RUNS!$A$6:$A$1005,0))="","",INDEX(RUNS!$J$6:$J$1005,MATCH($D1969,RUNS!$A$6:$A$1005,0))),""))</f>
        <v/>
      </c>
      <c r="Q1969" s="33">
        <f>IF($D1969="","",IFERROR(IF(INDEX(RUNS!$K$6:$K$1005,MATCH($D1969,RUNS!$A$6:$A$1005,0))="","",INDEX(RUNS!$K$6:$K$1005,MATCH($D1969,RUNS!$A$6:$A$1005,0))),""))</f>
        <v/>
      </c>
      <c r="R1969" s="34">
        <f>IF(OR($L1969="",$K1969=""),"",IFERROR(IF(INDEX(PARAMETRES!$H$43:$H$342,MATCH($L1969&amp;"|"&amp;$M1969&amp;"|"&amp;$N1969&amp;"|"&amp;$O1969&amp;"|"&amp;$P1969&amp;"|"&amp;$Q1969&amp;"|"&amp;$K1969,PARAMETRES!$J$43:$J$342,0))="","",INDEX(PARAMETRES!$H$43:$H$342,MATCH($L1969&amp;"|"&amp;$M1969&amp;"|"&amp;$N1969&amp;"|"&amp;$O1969&amp;"|"&amp;$P1969&amp;"|"&amp;$Q1969&amp;"|"&amp;$K1969,PARAMETRES!$J$43:$J$342,0))),""))</f>
        <v/>
      </c>
      <c r="S1969" s="35">
        <f>IF(OR($G1969="",$X1969&lt;&gt;"VALIDE"),"",IFERROR(LOOKUP(2,1/(($B1069:$B1968=$B1969)*($G1069:$G1968=$G1969)*($X1069:$X1968="VALIDE")),$C1069:$C1968),""))</f>
        <v/>
      </c>
      <c r="T1969" s="36">
        <f>IF(OR($C1969="",$S1969=""),"",ROUND(($C1969-$S1969+IF($C1969&lt;$S1969,1,0))*1440,0))</f>
        <v/>
      </c>
      <c r="U1969" s="22">
        <f>IF(OR($H1969="",$T1969="",$T1969&lt;=0),"",$H1969*60/$T1969)</f>
        <v/>
      </c>
      <c r="V1969" s="37">
        <f>IF(OR($U1969="",$R1969="",$R1969=0),"",$U1969/$R1969)</f>
        <v/>
      </c>
      <c r="W1969" s="20">
        <f>IF($G1969="","",IF($X1969="CONTEXTE INCOMPLET","CONTEXTE INCOMPLET",IF($X1969="DOUBLON",StatutDoublon,IF($S1969="",StatutInitial,IF($R1969="",StatutStandardManquant,IF($V1969="","DONNEES INSUFFISANTES",IF($V1969&gt;=SeuilConforme,StatutConforme,IF($V1969&gt;=SeuilSurveiller,StatutSurveiller,StatutSousStandard))))))))</f>
        <v/>
      </c>
      <c r="X1969" s="33">
        <f>IF($G1969="","",IF(OR($D1969="",$E1969="",$F1969=""),"CONTEXTE INCOMPLET",IF(COUNTIFS($D1069:$D1968,$D1969,$E1069:$E1968,$E1969,$F1069:$F1968,$F1969,$G1069:$G1968,$G1969)&gt;0,"DOUBLON","VALIDE")))</f>
        <v/>
      </c>
    </row>
    <row r="1970" ht="15" customHeight="1">
      <c r="A1970" s="12">
        <f>IF(OR($B1970="",$G1970=""),"",TEXT($B1970,"YYYYMMDD")&amp;"-"&amp;SUBSTITUTE($E1970," ","")&amp;"-"&amp;$F1970&amp;"-"&amp;$G1970)</f>
        <v/>
      </c>
      <c r="B1970" s="15" t="n"/>
      <c r="C1970" s="16" t="n"/>
      <c r="D1970" s="10" t="n"/>
      <c r="E1970" s="9" t="n"/>
      <c r="F1970" s="9" t="n"/>
      <c r="G1970" s="13" t="n"/>
      <c r="H1970" s="21" t="n"/>
      <c r="I1970" s="21" t="n"/>
      <c r="J1970" s="17">
        <f>IF($G1970="","",IFERROR(INDEX(NomsEmployes,MATCH($G1970,MatriculesEmployes,0)),"MATRICULE INCONNU"))</f>
        <v/>
      </c>
      <c r="K1970" s="33">
        <f>IF(OR($D1970="",$F1970=""),"",IFERROR(IF(INDEX(RUNS!$L$6:$S$1005,MATCH($D1970,RUNS!$A$6:$A$1005,0),MATCH("ACTIVITÉ "&amp;$F1970,RUNS!$L$5:$S$5,0))="","",INDEX(RUNS!$L$6:$S$1005,MATCH($D1970,RUNS!$A$6:$A$1005,0),MATCH("ACTIVITÉ "&amp;$F1970,RUNS!$L$5:$S$5,0))),""))</f>
        <v/>
      </c>
      <c r="L1970" s="33">
        <f>IF($D1970="","",IFERROR(IF(INDEX(RUNS!$E$6:$E$1005,MATCH($D1970,RUNS!$A$6:$A$1005,0))="","",INDEX(RUNS!$E$6:$E$1005,MATCH($D1970,RUNS!$A$6:$A$1005,0))),""))</f>
        <v/>
      </c>
      <c r="M1970" s="33">
        <f>IF($D1970="","",IFERROR(IF(INDEX(RUNS!$F$6:$F$1005,MATCH($D1970,RUNS!$A$6:$A$1005,0))="","",INDEX(RUNS!$F$6:$F$1005,MATCH($D1970,RUNS!$A$6:$A$1005,0))),""))</f>
        <v/>
      </c>
      <c r="N1970" s="33">
        <f>IF($D1970="","",IFERROR(IF(INDEX(RUNS!$G$6:$G$1005,MATCH($D1970,RUNS!$A$6:$A$1005,0))="","",INDEX(RUNS!$G$6:$G$1005,MATCH($D1970,RUNS!$A$6:$A$1005,0))),""))</f>
        <v/>
      </c>
      <c r="O1970" s="33">
        <f>IF($D1970="","",IFERROR(IF(INDEX(RUNS!$H$6:$H$1005,MATCH($D1970,RUNS!$A$6:$A$1005,0))="","",INDEX(RUNS!$H$6:$H$1005,MATCH($D1970,RUNS!$A$6:$A$1005,0))),""))</f>
        <v/>
      </c>
      <c r="P1970" s="33">
        <f>IF($D1970="","",IFERROR(IF(INDEX(RUNS!$J$6:$J$1005,MATCH($D1970,RUNS!$A$6:$A$1005,0))="","",INDEX(RUNS!$J$6:$J$1005,MATCH($D1970,RUNS!$A$6:$A$1005,0))),""))</f>
        <v/>
      </c>
      <c r="Q1970" s="33">
        <f>IF($D1970="","",IFERROR(IF(INDEX(RUNS!$K$6:$K$1005,MATCH($D1970,RUNS!$A$6:$A$1005,0))="","",INDEX(RUNS!$K$6:$K$1005,MATCH($D1970,RUNS!$A$6:$A$1005,0))),""))</f>
        <v/>
      </c>
      <c r="R1970" s="34">
        <f>IF(OR($L1970="",$K1970=""),"",IFERROR(IF(INDEX(PARAMETRES!$H$43:$H$342,MATCH($L1970&amp;"|"&amp;$M1970&amp;"|"&amp;$N1970&amp;"|"&amp;$O1970&amp;"|"&amp;$P1970&amp;"|"&amp;$Q1970&amp;"|"&amp;$K1970,PARAMETRES!$J$43:$J$342,0))="","",INDEX(PARAMETRES!$H$43:$H$342,MATCH($L1970&amp;"|"&amp;$M1970&amp;"|"&amp;$N1970&amp;"|"&amp;$O1970&amp;"|"&amp;$P1970&amp;"|"&amp;$Q1970&amp;"|"&amp;$K1970,PARAMETRES!$J$43:$J$342,0))),""))</f>
        <v/>
      </c>
      <c r="S1970" s="35">
        <f>IF(OR($G1970="",$X1970&lt;&gt;"VALIDE"),"",IFERROR(LOOKUP(2,1/(($B1070:$B1969=$B1970)*($G1070:$G1969=$G1970)*($X1070:$X1969="VALIDE")),$C1070:$C1969),""))</f>
        <v/>
      </c>
      <c r="T1970" s="36">
        <f>IF(OR($C1970="",$S1970=""),"",ROUND(($C1970-$S1970+IF($C1970&lt;$S1970,1,0))*1440,0))</f>
        <v/>
      </c>
      <c r="U1970" s="22">
        <f>IF(OR($H1970="",$T1970="",$T1970&lt;=0),"",$H1970*60/$T1970)</f>
        <v/>
      </c>
      <c r="V1970" s="37">
        <f>IF(OR($U1970="",$R1970="",$R1970=0),"",$U1970/$R1970)</f>
        <v/>
      </c>
      <c r="W1970" s="20">
        <f>IF($G1970="","",IF($X1970="CONTEXTE INCOMPLET","CONTEXTE INCOMPLET",IF($X1970="DOUBLON",StatutDoublon,IF($S1970="",StatutInitial,IF($R1970="",StatutStandardManquant,IF($V1970="","DONNEES INSUFFISANTES",IF($V1970&gt;=SeuilConforme,StatutConforme,IF($V1970&gt;=SeuilSurveiller,StatutSurveiller,StatutSousStandard))))))))</f>
        <v/>
      </c>
      <c r="X1970" s="33">
        <f>IF($G1970="","",IF(OR($D1970="",$E1970="",$F1970=""),"CONTEXTE INCOMPLET",IF(COUNTIFS($D1070:$D1969,$D1970,$E1070:$E1969,$E1970,$F1070:$F1969,$F1970,$G1070:$G1969,$G1970)&gt;0,"DOUBLON","VALIDE")))</f>
        <v/>
      </c>
    </row>
    <row r="1971" ht="15" customHeight="1">
      <c r="A1971" s="12">
        <f>IF(OR($B1971="",$G1971=""),"",TEXT($B1971,"YYYYMMDD")&amp;"-"&amp;SUBSTITUTE($E1971," ","")&amp;"-"&amp;$F1971&amp;"-"&amp;$G1971)</f>
        <v/>
      </c>
      <c r="B1971" s="15" t="n"/>
      <c r="C1971" s="16" t="n"/>
      <c r="D1971" s="10" t="n"/>
      <c r="E1971" s="9" t="n"/>
      <c r="F1971" s="9" t="n"/>
      <c r="G1971" s="13" t="n"/>
      <c r="H1971" s="21" t="n"/>
      <c r="I1971" s="21" t="n"/>
      <c r="J1971" s="17">
        <f>IF($G1971="","",IFERROR(INDEX(NomsEmployes,MATCH($G1971,MatriculesEmployes,0)),"MATRICULE INCONNU"))</f>
        <v/>
      </c>
      <c r="K1971" s="33">
        <f>IF(OR($D1971="",$F1971=""),"",IFERROR(IF(INDEX(RUNS!$L$6:$S$1005,MATCH($D1971,RUNS!$A$6:$A$1005,0),MATCH("ACTIVITÉ "&amp;$F1971,RUNS!$L$5:$S$5,0))="","",INDEX(RUNS!$L$6:$S$1005,MATCH($D1971,RUNS!$A$6:$A$1005,0),MATCH("ACTIVITÉ "&amp;$F1971,RUNS!$L$5:$S$5,0))),""))</f>
        <v/>
      </c>
      <c r="L1971" s="33">
        <f>IF($D1971="","",IFERROR(IF(INDEX(RUNS!$E$6:$E$1005,MATCH($D1971,RUNS!$A$6:$A$1005,0))="","",INDEX(RUNS!$E$6:$E$1005,MATCH($D1971,RUNS!$A$6:$A$1005,0))),""))</f>
        <v/>
      </c>
      <c r="M1971" s="33">
        <f>IF($D1971="","",IFERROR(IF(INDEX(RUNS!$F$6:$F$1005,MATCH($D1971,RUNS!$A$6:$A$1005,0))="","",INDEX(RUNS!$F$6:$F$1005,MATCH($D1971,RUNS!$A$6:$A$1005,0))),""))</f>
        <v/>
      </c>
      <c r="N1971" s="33">
        <f>IF($D1971="","",IFERROR(IF(INDEX(RUNS!$G$6:$G$1005,MATCH($D1971,RUNS!$A$6:$A$1005,0))="","",INDEX(RUNS!$G$6:$G$1005,MATCH($D1971,RUNS!$A$6:$A$1005,0))),""))</f>
        <v/>
      </c>
      <c r="O1971" s="33">
        <f>IF($D1971="","",IFERROR(IF(INDEX(RUNS!$H$6:$H$1005,MATCH($D1971,RUNS!$A$6:$A$1005,0))="","",INDEX(RUNS!$H$6:$H$1005,MATCH($D1971,RUNS!$A$6:$A$1005,0))),""))</f>
        <v/>
      </c>
      <c r="P1971" s="33">
        <f>IF($D1971="","",IFERROR(IF(INDEX(RUNS!$J$6:$J$1005,MATCH($D1971,RUNS!$A$6:$A$1005,0))="","",INDEX(RUNS!$J$6:$J$1005,MATCH($D1971,RUNS!$A$6:$A$1005,0))),""))</f>
        <v/>
      </c>
      <c r="Q1971" s="33">
        <f>IF($D1971="","",IFERROR(IF(INDEX(RUNS!$K$6:$K$1005,MATCH($D1971,RUNS!$A$6:$A$1005,0))="","",INDEX(RUNS!$K$6:$K$1005,MATCH($D1971,RUNS!$A$6:$A$1005,0))),""))</f>
        <v/>
      </c>
      <c r="R1971" s="34">
        <f>IF(OR($L1971="",$K1971=""),"",IFERROR(IF(INDEX(PARAMETRES!$H$43:$H$342,MATCH($L1971&amp;"|"&amp;$M1971&amp;"|"&amp;$N1971&amp;"|"&amp;$O1971&amp;"|"&amp;$P1971&amp;"|"&amp;$Q1971&amp;"|"&amp;$K1971,PARAMETRES!$J$43:$J$342,0))="","",INDEX(PARAMETRES!$H$43:$H$342,MATCH($L1971&amp;"|"&amp;$M1971&amp;"|"&amp;$N1971&amp;"|"&amp;$O1971&amp;"|"&amp;$P1971&amp;"|"&amp;$Q1971&amp;"|"&amp;$K1971,PARAMETRES!$J$43:$J$342,0))),""))</f>
        <v/>
      </c>
      <c r="S1971" s="35">
        <f>IF(OR($G1971="",$X1971&lt;&gt;"VALIDE"),"",IFERROR(LOOKUP(2,1/(($B1071:$B1970=$B1971)*($G1071:$G1970=$G1971)*($X1071:$X1970="VALIDE")),$C1071:$C1970),""))</f>
        <v/>
      </c>
      <c r="T1971" s="36">
        <f>IF(OR($C1971="",$S1971=""),"",ROUND(($C1971-$S1971+IF($C1971&lt;$S1971,1,0))*1440,0))</f>
        <v/>
      </c>
      <c r="U1971" s="22">
        <f>IF(OR($H1971="",$T1971="",$T1971&lt;=0),"",$H1971*60/$T1971)</f>
        <v/>
      </c>
      <c r="V1971" s="37">
        <f>IF(OR($U1971="",$R1971="",$R1971=0),"",$U1971/$R1971)</f>
        <v/>
      </c>
      <c r="W1971" s="20">
        <f>IF($G1971="","",IF($X1971="CONTEXTE INCOMPLET","CONTEXTE INCOMPLET",IF($X1971="DOUBLON",StatutDoublon,IF($S1971="",StatutInitial,IF($R1971="",StatutStandardManquant,IF($V1971="","DONNEES INSUFFISANTES",IF($V1971&gt;=SeuilConforme,StatutConforme,IF($V1971&gt;=SeuilSurveiller,StatutSurveiller,StatutSousStandard))))))))</f>
        <v/>
      </c>
      <c r="X1971" s="33">
        <f>IF($G1971="","",IF(OR($D1971="",$E1971="",$F1971=""),"CONTEXTE INCOMPLET",IF(COUNTIFS($D1071:$D1970,$D1971,$E1071:$E1970,$E1971,$F1071:$F1970,$F1971,$G1071:$G1970,$G1971)&gt;0,"DOUBLON","VALIDE")))</f>
        <v/>
      </c>
    </row>
    <row r="1972" ht="15" customHeight="1">
      <c r="A1972" s="12">
        <f>IF(OR($B1972="",$G1972=""),"",TEXT($B1972,"YYYYMMDD")&amp;"-"&amp;SUBSTITUTE($E1972," ","")&amp;"-"&amp;$F1972&amp;"-"&amp;$G1972)</f>
        <v/>
      </c>
      <c r="B1972" s="15" t="n"/>
      <c r="C1972" s="16" t="n"/>
      <c r="D1972" s="10" t="n"/>
      <c r="E1972" s="9" t="n"/>
      <c r="F1972" s="9" t="n"/>
      <c r="G1972" s="13" t="n"/>
      <c r="H1972" s="21" t="n"/>
      <c r="I1972" s="21" t="n"/>
      <c r="J1972" s="17">
        <f>IF($G1972="","",IFERROR(INDEX(NomsEmployes,MATCH($G1972,MatriculesEmployes,0)),"MATRICULE INCONNU"))</f>
        <v/>
      </c>
      <c r="K1972" s="33">
        <f>IF(OR($D1972="",$F1972=""),"",IFERROR(IF(INDEX(RUNS!$L$6:$S$1005,MATCH($D1972,RUNS!$A$6:$A$1005,0),MATCH("ACTIVITÉ "&amp;$F1972,RUNS!$L$5:$S$5,0))="","",INDEX(RUNS!$L$6:$S$1005,MATCH($D1972,RUNS!$A$6:$A$1005,0),MATCH("ACTIVITÉ "&amp;$F1972,RUNS!$L$5:$S$5,0))),""))</f>
        <v/>
      </c>
      <c r="L1972" s="33">
        <f>IF($D1972="","",IFERROR(IF(INDEX(RUNS!$E$6:$E$1005,MATCH($D1972,RUNS!$A$6:$A$1005,0))="","",INDEX(RUNS!$E$6:$E$1005,MATCH($D1972,RUNS!$A$6:$A$1005,0))),""))</f>
        <v/>
      </c>
      <c r="M1972" s="33">
        <f>IF($D1972="","",IFERROR(IF(INDEX(RUNS!$F$6:$F$1005,MATCH($D1972,RUNS!$A$6:$A$1005,0))="","",INDEX(RUNS!$F$6:$F$1005,MATCH($D1972,RUNS!$A$6:$A$1005,0))),""))</f>
        <v/>
      </c>
      <c r="N1972" s="33">
        <f>IF($D1972="","",IFERROR(IF(INDEX(RUNS!$G$6:$G$1005,MATCH($D1972,RUNS!$A$6:$A$1005,0))="","",INDEX(RUNS!$G$6:$G$1005,MATCH($D1972,RUNS!$A$6:$A$1005,0))),""))</f>
        <v/>
      </c>
      <c r="O1972" s="33">
        <f>IF($D1972="","",IFERROR(IF(INDEX(RUNS!$H$6:$H$1005,MATCH($D1972,RUNS!$A$6:$A$1005,0))="","",INDEX(RUNS!$H$6:$H$1005,MATCH($D1972,RUNS!$A$6:$A$1005,0))),""))</f>
        <v/>
      </c>
      <c r="P1972" s="33">
        <f>IF($D1972="","",IFERROR(IF(INDEX(RUNS!$J$6:$J$1005,MATCH($D1972,RUNS!$A$6:$A$1005,0))="","",INDEX(RUNS!$J$6:$J$1005,MATCH($D1972,RUNS!$A$6:$A$1005,0))),""))</f>
        <v/>
      </c>
      <c r="Q1972" s="33">
        <f>IF($D1972="","",IFERROR(IF(INDEX(RUNS!$K$6:$K$1005,MATCH($D1972,RUNS!$A$6:$A$1005,0))="","",INDEX(RUNS!$K$6:$K$1005,MATCH($D1972,RUNS!$A$6:$A$1005,0))),""))</f>
        <v/>
      </c>
      <c r="R1972" s="34">
        <f>IF(OR($L1972="",$K1972=""),"",IFERROR(IF(INDEX(PARAMETRES!$H$43:$H$342,MATCH($L1972&amp;"|"&amp;$M1972&amp;"|"&amp;$N1972&amp;"|"&amp;$O1972&amp;"|"&amp;$P1972&amp;"|"&amp;$Q1972&amp;"|"&amp;$K1972,PARAMETRES!$J$43:$J$342,0))="","",INDEX(PARAMETRES!$H$43:$H$342,MATCH($L1972&amp;"|"&amp;$M1972&amp;"|"&amp;$N1972&amp;"|"&amp;$O1972&amp;"|"&amp;$P1972&amp;"|"&amp;$Q1972&amp;"|"&amp;$K1972,PARAMETRES!$J$43:$J$342,0))),""))</f>
        <v/>
      </c>
      <c r="S1972" s="35">
        <f>IF(OR($G1972="",$X1972&lt;&gt;"VALIDE"),"",IFERROR(LOOKUP(2,1/(($B1072:$B1971=$B1972)*($G1072:$G1971=$G1972)*($X1072:$X1971="VALIDE")),$C1072:$C1971),""))</f>
        <v/>
      </c>
      <c r="T1972" s="36">
        <f>IF(OR($C1972="",$S1972=""),"",ROUND(($C1972-$S1972+IF($C1972&lt;$S1972,1,0))*1440,0))</f>
        <v/>
      </c>
      <c r="U1972" s="22">
        <f>IF(OR($H1972="",$T1972="",$T1972&lt;=0),"",$H1972*60/$T1972)</f>
        <v/>
      </c>
      <c r="V1972" s="37">
        <f>IF(OR($U1972="",$R1972="",$R1972=0),"",$U1972/$R1972)</f>
        <v/>
      </c>
      <c r="W1972" s="20">
        <f>IF($G1972="","",IF($X1972="CONTEXTE INCOMPLET","CONTEXTE INCOMPLET",IF($X1972="DOUBLON",StatutDoublon,IF($S1972="",StatutInitial,IF($R1972="",StatutStandardManquant,IF($V1972="","DONNEES INSUFFISANTES",IF($V1972&gt;=SeuilConforme,StatutConforme,IF($V1972&gt;=SeuilSurveiller,StatutSurveiller,StatutSousStandard))))))))</f>
        <v/>
      </c>
      <c r="X1972" s="33">
        <f>IF($G1972="","",IF(OR($D1972="",$E1972="",$F1972=""),"CONTEXTE INCOMPLET",IF(COUNTIFS($D1072:$D1971,$D1972,$E1072:$E1971,$E1972,$F1072:$F1971,$F1972,$G1072:$G1971,$G1972)&gt;0,"DOUBLON","VALIDE")))</f>
        <v/>
      </c>
    </row>
    <row r="1973" ht="15" customHeight="1">
      <c r="A1973" s="12">
        <f>IF(OR($B1973="",$G1973=""),"",TEXT($B1973,"YYYYMMDD")&amp;"-"&amp;SUBSTITUTE($E1973," ","")&amp;"-"&amp;$F1973&amp;"-"&amp;$G1973)</f>
        <v/>
      </c>
      <c r="B1973" s="15" t="n"/>
      <c r="C1973" s="16" t="n"/>
      <c r="D1973" s="10" t="n"/>
      <c r="E1973" s="9" t="n"/>
      <c r="F1973" s="9" t="n"/>
      <c r="G1973" s="13" t="n"/>
      <c r="H1973" s="21" t="n"/>
      <c r="I1973" s="21" t="n"/>
      <c r="J1973" s="17">
        <f>IF($G1973="","",IFERROR(INDEX(NomsEmployes,MATCH($G1973,MatriculesEmployes,0)),"MATRICULE INCONNU"))</f>
        <v/>
      </c>
      <c r="K1973" s="33">
        <f>IF(OR($D1973="",$F1973=""),"",IFERROR(IF(INDEX(RUNS!$L$6:$S$1005,MATCH($D1973,RUNS!$A$6:$A$1005,0),MATCH("ACTIVITÉ "&amp;$F1973,RUNS!$L$5:$S$5,0))="","",INDEX(RUNS!$L$6:$S$1005,MATCH($D1973,RUNS!$A$6:$A$1005,0),MATCH("ACTIVITÉ "&amp;$F1973,RUNS!$L$5:$S$5,0))),""))</f>
        <v/>
      </c>
      <c r="L1973" s="33">
        <f>IF($D1973="","",IFERROR(IF(INDEX(RUNS!$E$6:$E$1005,MATCH($D1973,RUNS!$A$6:$A$1005,0))="","",INDEX(RUNS!$E$6:$E$1005,MATCH($D1973,RUNS!$A$6:$A$1005,0))),""))</f>
        <v/>
      </c>
      <c r="M1973" s="33">
        <f>IF($D1973="","",IFERROR(IF(INDEX(RUNS!$F$6:$F$1005,MATCH($D1973,RUNS!$A$6:$A$1005,0))="","",INDEX(RUNS!$F$6:$F$1005,MATCH($D1973,RUNS!$A$6:$A$1005,0))),""))</f>
        <v/>
      </c>
      <c r="N1973" s="33">
        <f>IF($D1973="","",IFERROR(IF(INDEX(RUNS!$G$6:$G$1005,MATCH($D1973,RUNS!$A$6:$A$1005,0))="","",INDEX(RUNS!$G$6:$G$1005,MATCH($D1973,RUNS!$A$6:$A$1005,0))),""))</f>
        <v/>
      </c>
      <c r="O1973" s="33">
        <f>IF($D1973="","",IFERROR(IF(INDEX(RUNS!$H$6:$H$1005,MATCH($D1973,RUNS!$A$6:$A$1005,0))="","",INDEX(RUNS!$H$6:$H$1005,MATCH($D1973,RUNS!$A$6:$A$1005,0))),""))</f>
        <v/>
      </c>
      <c r="P1973" s="33">
        <f>IF($D1973="","",IFERROR(IF(INDEX(RUNS!$J$6:$J$1005,MATCH($D1973,RUNS!$A$6:$A$1005,0))="","",INDEX(RUNS!$J$6:$J$1005,MATCH($D1973,RUNS!$A$6:$A$1005,0))),""))</f>
        <v/>
      </c>
      <c r="Q1973" s="33">
        <f>IF($D1973="","",IFERROR(IF(INDEX(RUNS!$K$6:$K$1005,MATCH($D1973,RUNS!$A$6:$A$1005,0))="","",INDEX(RUNS!$K$6:$K$1005,MATCH($D1973,RUNS!$A$6:$A$1005,0))),""))</f>
        <v/>
      </c>
      <c r="R1973" s="34">
        <f>IF(OR($L1973="",$K1973=""),"",IFERROR(IF(INDEX(PARAMETRES!$H$43:$H$342,MATCH($L1973&amp;"|"&amp;$M1973&amp;"|"&amp;$N1973&amp;"|"&amp;$O1973&amp;"|"&amp;$P1973&amp;"|"&amp;$Q1973&amp;"|"&amp;$K1973,PARAMETRES!$J$43:$J$342,0))="","",INDEX(PARAMETRES!$H$43:$H$342,MATCH($L1973&amp;"|"&amp;$M1973&amp;"|"&amp;$N1973&amp;"|"&amp;$O1973&amp;"|"&amp;$P1973&amp;"|"&amp;$Q1973&amp;"|"&amp;$K1973,PARAMETRES!$J$43:$J$342,0))),""))</f>
        <v/>
      </c>
      <c r="S1973" s="35">
        <f>IF(OR($G1973="",$X1973&lt;&gt;"VALIDE"),"",IFERROR(LOOKUP(2,1/(($B1073:$B1972=$B1973)*($G1073:$G1972=$G1973)*($X1073:$X1972="VALIDE")),$C1073:$C1972),""))</f>
        <v/>
      </c>
      <c r="T1973" s="36">
        <f>IF(OR($C1973="",$S1973=""),"",ROUND(($C1973-$S1973+IF($C1973&lt;$S1973,1,0))*1440,0))</f>
        <v/>
      </c>
      <c r="U1973" s="22">
        <f>IF(OR($H1973="",$T1973="",$T1973&lt;=0),"",$H1973*60/$T1973)</f>
        <v/>
      </c>
      <c r="V1973" s="37">
        <f>IF(OR($U1973="",$R1973="",$R1973=0),"",$U1973/$R1973)</f>
        <v/>
      </c>
      <c r="W1973" s="20">
        <f>IF($G1973="","",IF($X1973="CONTEXTE INCOMPLET","CONTEXTE INCOMPLET",IF($X1973="DOUBLON",StatutDoublon,IF($S1973="",StatutInitial,IF($R1973="",StatutStandardManquant,IF($V1973="","DONNEES INSUFFISANTES",IF($V1973&gt;=SeuilConforme,StatutConforme,IF($V1973&gt;=SeuilSurveiller,StatutSurveiller,StatutSousStandard))))))))</f>
        <v/>
      </c>
      <c r="X1973" s="33">
        <f>IF($G1973="","",IF(OR($D1973="",$E1973="",$F1973=""),"CONTEXTE INCOMPLET",IF(COUNTIFS($D1073:$D1972,$D1973,$E1073:$E1972,$E1973,$F1073:$F1972,$F1973,$G1073:$G1972,$G1973)&gt;0,"DOUBLON","VALIDE")))</f>
        <v/>
      </c>
    </row>
    <row r="1974" ht="15" customHeight="1">
      <c r="A1974" s="12">
        <f>IF(OR($B1974="",$G1974=""),"",TEXT($B1974,"YYYYMMDD")&amp;"-"&amp;SUBSTITUTE($E1974," ","")&amp;"-"&amp;$F1974&amp;"-"&amp;$G1974)</f>
        <v/>
      </c>
      <c r="B1974" s="15" t="n"/>
      <c r="C1974" s="16" t="n"/>
      <c r="D1974" s="10" t="n"/>
      <c r="E1974" s="9" t="n"/>
      <c r="F1974" s="9" t="n"/>
      <c r="G1974" s="13" t="n"/>
      <c r="H1974" s="21" t="n"/>
      <c r="I1974" s="21" t="n"/>
      <c r="J1974" s="17">
        <f>IF($G1974="","",IFERROR(INDEX(NomsEmployes,MATCH($G1974,MatriculesEmployes,0)),"MATRICULE INCONNU"))</f>
        <v/>
      </c>
      <c r="K1974" s="33">
        <f>IF(OR($D1974="",$F1974=""),"",IFERROR(IF(INDEX(RUNS!$L$6:$S$1005,MATCH($D1974,RUNS!$A$6:$A$1005,0),MATCH("ACTIVITÉ "&amp;$F1974,RUNS!$L$5:$S$5,0))="","",INDEX(RUNS!$L$6:$S$1005,MATCH($D1974,RUNS!$A$6:$A$1005,0),MATCH("ACTIVITÉ "&amp;$F1974,RUNS!$L$5:$S$5,0))),""))</f>
        <v/>
      </c>
      <c r="L1974" s="33">
        <f>IF($D1974="","",IFERROR(IF(INDEX(RUNS!$E$6:$E$1005,MATCH($D1974,RUNS!$A$6:$A$1005,0))="","",INDEX(RUNS!$E$6:$E$1005,MATCH($D1974,RUNS!$A$6:$A$1005,0))),""))</f>
        <v/>
      </c>
      <c r="M1974" s="33">
        <f>IF($D1974="","",IFERROR(IF(INDEX(RUNS!$F$6:$F$1005,MATCH($D1974,RUNS!$A$6:$A$1005,0))="","",INDEX(RUNS!$F$6:$F$1005,MATCH($D1974,RUNS!$A$6:$A$1005,0))),""))</f>
        <v/>
      </c>
      <c r="N1974" s="33">
        <f>IF($D1974="","",IFERROR(IF(INDEX(RUNS!$G$6:$G$1005,MATCH($D1974,RUNS!$A$6:$A$1005,0))="","",INDEX(RUNS!$G$6:$G$1005,MATCH($D1974,RUNS!$A$6:$A$1005,0))),""))</f>
        <v/>
      </c>
      <c r="O1974" s="33">
        <f>IF($D1974="","",IFERROR(IF(INDEX(RUNS!$H$6:$H$1005,MATCH($D1974,RUNS!$A$6:$A$1005,0))="","",INDEX(RUNS!$H$6:$H$1005,MATCH($D1974,RUNS!$A$6:$A$1005,0))),""))</f>
        <v/>
      </c>
      <c r="P1974" s="33">
        <f>IF($D1974="","",IFERROR(IF(INDEX(RUNS!$J$6:$J$1005,MATCH($D1974,RUNS!$A$6:$A$1005,0))="","",INDEX(RUNS!$J$6:$J$1005,MATCH($D1974,RUNS!$A$6:$A$1005,0))),""))</f>
        <v/>
      </c>
      <c r="Q1974" s="33">
        <f>IF($D1974="","",IFERROR(IF(INDEX(RUNS!$K$6:$K$1005,MATCH($D1974,RUNS!$A$6:$A$1005,0))="","",INDEX(RUNS!$K$6:$K$1005,MATCH($D1974,RUNS!$A$6:$A$1005,0))),""))</f>
        <v/>
      </c>
      <c r="R1974" s="34">
        <f>IF(OR($L1974="",$K1974=""),"",IFERROR(IF(INDEX(PARAMETRES!$H$43:$H$342,MATCH($L1974&amp;"|"&amp;$M1974&amp;"|"&amp;$N1974&amp;"|"&amp;$O1974&amp;"|"&amp;$P1974&amp;"|"&amp;$Q1974&amp;"|"&amp;$K1974,PARAMETRES!$J$43:$J$342,0))="","",INDEX(PARAMETRES!$H$43:$H$342,MATCH($L1974&amp;"|"&amp;$M1974&amp;"|"&amp;$N1974&amp;"|"&amp;$O1974&amp;"|"&amp;$P1974&amp;"|"&amp;$Q1974&amp;"|"&amp;$K1974,PARAMETRES!$J$43:$J$342,0))),""))</f>
        <v/>
      </c>
      <c r="S1974" s="35">
        <f>IF(OR($G1974="",$X1974&lt;&gt;"VALIDE"),"",IFERROR(LOOKUP(2,1/(($B1074:$B1973=$B1974)*($G1074:$G1973=$G1974)*($X1074:$X1973="VALIDE")),$C1074:$C1973),""))</f>
        <v/>
      </c>
      <c r="T1974" s="36">
        <f>IF(OR($C1974="",$S1974=""),"",ROUND(($C1974-$S1974+IF($C1974&lt;$S1974,1,0))*1440,0))</f>
        <v/>
      </c>
      <c r="U1974" s="22">
        <f>IF(OR($H1974="",$T1974="",$T1974&lt;=0),"",$H1974*60/$T1974)</f>
        <v/>
      </c>
      <c r="V1974" s="37">
        <f>IF(OR($U1974="",$R1974="",$R1974=0),"",$U1974/$R1974)</f>
        <v/>
      </c>
      <c r="W1974" s="20">
        <f>IF($G1974="","",IF($X1974="CONTEXTE INCOMPLET","CONTEXTE INCOMPLET",IF($X1974="DOUBLON",StatutDoublon,IF($S1974="",StatutInitial,IF($R1974="",StatutStandardManquant,IF($V1974="","DONNEES INSUFFISANTES",IF($V1974&gt;=SeuilConforme,StatutConforme,IF($V1974&gt;=SeuilSurveiller,StatutSurveiller,StatutSousStandard))))))))</f>
        <v/>
      </c>
      <c r="X1974" s="33">
        <f>IF($G1974="","",IF(OR($D1974="",$E1974="",$F1974=""),"CONTEXTE INCOMPLET",IF(COUNTIFS($D1074:$D1973,$D1974,$E1074:$E1973,$E1974,$F1074:$F1973,$F1974,$G1074:$G1973,$G1974)&gt;0,"DOUBLON","VALIDE")))</f>
        <v/>
      </c>
    </row>
    <row r="1975" ht="15" customHeight="1">
      <c r="A1975" s="12">
        <f>IF(OR($B1975="",$G1975=""),"",TEXT($B1975,"YYYYMMDD")&amp;"-"&amp;SUBSTITUTE($E1975," ","")&amp;"-"&amp;$F1975&amp;"-"&amp;$G1975)</f>
        <v/>
      </c>
      <c r="B1975" s="15" t="n"/>
      <c r="C1975" s="16" t="n"/>
      <c r="D1975" s="10" t="n"/>
      <c r="E1975" s="9" t="n"/>
      <c r="F1975" s="9" t="n"/>
      <c r="G1975" s="13" t="n"/>
      <c r="H1975" s="21" t="n"/>
      <c r="I1975" s="21" t="n"/>
      <c r="J1975" s="17">
        <f>IF($G1975="","",IFERROR(INDEX(NomsEmployes,MATCH($G1975,MatriculesEmployes,0)),"MATRICULE INCONNU"))</f>
        <v/>
      </c>
      <c r="K1975" s="33">
        <f>IF(OR($D1975="",$F1975=""),"",IFERROR(IF(INDEX(RUNS!$L$6:$S$1005,MATCH($D1975,RUNS!$A$6:$A$1005,0),MATCH("ACTIVITÉ "&amp;$F1975,RUNS!$L$5:$S$5,0))="","",INDEX(RUNS!$L$6:$S$1005,MATCH($D1975,RUNS!$A$6:$A$1005,0),MATCH("ACTIVITÉ "&amp;$F1975,RUNS!$L$5:$S$5,0))),""))</f>
        <v/>
      </c>
      <c r="L1975" s="33">
        <f>IF($D1975="","",IFERROR(IF(INDEX(RUNS!$E$6:$E$1005,MATCH($D1975,RUNS!$A$6:$A$1005,0))="","",INDEX(RUNS!$E$6:$E$1005,MATCH($D1975,RUNS!$A$6:$A$1005,0))),""))</f>
        <v/>
      </c>
      <c r="M1975" s="33">
        <f>IF($D1975="","",IFERROR(IF(INDEX(RUNS!$F$6:$F$1005,MATCH($D1975,RUNS!$A$6:$A$1005,0))="","",INDEX(RUNS!$F$6:$F$1005,MATCH($D1975,RUNS!$A$6:$A$1005,0))),""))</f>
        <v/>
      </c>
      <c r="N1975" s="33">
        <f>IF($D1975="","",IFERROR(IF(INDEX(RUNS!$G$6:$G$1005,MATCH($D1975,RUNS!$A$6:$A$1005,0))="","",INDEX(RUNS!$G$6:$G$1005,MATCH($D1975,RUNS!$A$6:$A$1005,0))),""))</f>
        <v/>
      </c>
      <c r="O1975" s="33">
        <f>IF($D1975="","",IFERROR(IF(INDEX(RUNS!$H$6:$H$1005,MATCH($D1975,RUNS!$A$6:$A$1005,0))="","",INDEX(RUNS!$H$6:$H$1005,MATCH($D1975,RUNS!$A$6:$A$1005,0))),""))</f>
        <v/>
      </c>
      <c r="P1975" s="33">
        <f>IF($D1975="","",IFERROR(IF(INDEX(RUNS!$J$6:$J$1005,MATCH($D1975,RUNS!$A$6:$A$1005,0))="","",INDEX(RUNS!$J$6:$J$1005,MATCH($D1975,RUNS!$A$6:$A$1005,0))),""))</f>
        <v/>
      </c>
      <c r="Q1975" s="33">
        <f>IF($D1975="","",IFERROR(IF(INDEX(RUNS!$K$6:$K$1005,MATCH($D1975,RUNS!$A$6:$A$1005,0))="","",INDEX(RUNS!$K$6:$K$1005,MATCH($D1975,RUNS!$A$6:$A$1005,0))),""))</f>
        <v/>
      </c>
      <c r="R1975" s="34">
        <f>IF(OR($L1975="",$K1975=""),"",IFERROR(IF(INDEX(PARAMETRES!$H$43:$H$342,MATCH($L1975&amp;"|"&amp;$M1975&amp;"|"&amp;$N1975&amp;"|"&amp;$O1975&amp;"|"&amp;$P1975&amp;"|"&amp;$Q1975&amp;"|"&amp;$K1975,PARAMETRES!$J$43:$J$342,0))="","",INDEX(PARAMETRES!$H$43:$H$342,MATCH($L1975&amp;"|"&amp;$M1975&amp;"|"&amp;$N1975&amp;"|"&amp;$O1975&amp;"|"&amp;$P1975&amp;"|"&amp;$Q1975&amp;"|"&amp;$K1975,PARAMETRES!$J$43:$J$342,0))),""))</f>
        <v/>
      </c>
      <c r="S1975" s="35">
        <f>IF(OR($G1975="",$X1975&lt;&gt;"VALIDE"),"",IFERROR(LOOKUP(2,1/(($B1075:$B1974=$B1975)*($G1075:$G1974=$G1975)*($X1075:$X1974="VALIDE")),$C1075:$C1974),""))</f>
        <v/>
      </c>
      <c r="T1975" s="36">
        <f>IF(OR($C1975="",$S1975=""),"",ROUND(($C1975-$S1975+IF($C1975&lt;$S1975,1,0))*1440,0))</f>
        <v/>
      </c>
      <c r="U1975" s="22">
        <f>IF(OR($H1975="",$T1975="",$T1975&lt;=0),"",$H1975*60/$T1975)</f>
        <v/>
      </c>
      <c r="V1975" s="37">
        <f>IF(OR($U1975="",$R1975="",$R1975=0),"",$U1975/$R1975)</f>
        <v/>
      </c>
      <c r="W1975" s="20">
        <f>IF($G1975="","",IF($X1975="CONTEXTE INCOMPLET","CONTEXTE INCOMPLET",IF($X1975="DOUBLON",StatutDoublon,IF($S1975="",StatutInitial,IF($R1975="",StatutStandardManquant,IF($V1975="","DONNEES INSUFFISANTES",IF($V1975&gt;=SeuilConforme,StatutConforme,IF($V1975&gt;=SeuilSurveiller,StatutSurveiller,StatutSousStandard))))))))</f>
        <v/>
      </c>
      <c r="X1975" s="33">
        <f>IF($G1975="","",IF(OR($D1975="",$E1975="",$F1975=""),"CONTEXTE INCOMPLET",IF(COUNTIFS($D1075:$D1974,$D1975,$E1075:$E1974,$E1975,$F1075:$F1974,$F1975,$G1075:$G1974,$G1975)&gt;0,"DOUBLON","VALIDE")))</f>
        <v/>
      </c>
    </row>
    <row r="1976" ht="15" customHeight="1">
      <c r="A1976" s="12">
        <f>IF(OR($B1976="",$G1976=""),"",TEXT($B1976,"YYYYMMDD")&amp;"-"&amp;SUBSTITUTE($E1976," ","")&amp;"-"&amp;$F1976&amp;"-"&amp;$G1976)</f>
        <v/>
      </c>
      <c r="B1976" s="15" t="n"/>
      <c r="C1976" s="16" t="n"/>
      <c r="D1976" s="10" t="n"/>
      <c r="E1976" s="9" t="n"/>
      <c r="F1976" s="9" t="n"/>
      <c r="G1976" s="13" t="n"/>
      <c r="H1976" s="21" t="n"/>
      <c r="I1976" s="21" t="n"/>
      <c r="J1976" s="17">
        <f>IF($G1976="","",IFERROR(INDEX(NomsEmployes,MATCH($G1976,MatriculesEmployes,0)),"MATRICULE INCONNU"))</f>
        <v/>
      </c>
      <c r="K1976" s="33">
        <f>IF(OR($D1976="",$F1976=""),"",IFERROR(IF(INDEX(RUNS!$L$6:$S$1005,MATCH($D1976,RUNS!$A$6:$A$1005,0),MATCH("ACTIVITÉ "&amp;$F1976,RUNS!$L$5:$S$5,0))="","",INDEX(RUNS!$L$6:$S$1005,MATCH($D1976,RUNS!$A$6:$A$1005,0),MATCH("ACTIVITÉ "&amp;$F1976,RUNS!$L$5:$S$5,0))),""))</f>
        <v/>
      </c>
      <c r="L1976" s="33">
        <f>IF($D1976="","",IFERROR(IF(INDEX(RUNS!$E$6:$E$1005,MATCH($D1976,RUNS!$A$6:$A$1005,0))="","",INDEX(RUNS!$E$6:$E$1005,MATCH($D1976,RUNS!$A$6:$A$1005,0))),""))</f>
        <v/>
      </c>
      <c r="M1976" s="33">
        <f>IF($D1976="","",IFERROR(IF(INDEX(RUNS!$F$6:$F$1005,MATCH($D1976,RUNS!$A$6:$A$1005,0))="","",INDEX(RUNS!$F$6:$F$1005,MATCH($D1976,RUNS!$A$6:$A$1005,0))),""))</f>
        <v/>
      </c>
      <c r="N1976" s="33">
        <f>IF($D1976="","",IFERROR(IF(INDEX(RUNS!$G$6:$G$1005,MATCH($D1976,RUNS!$A$6:$A$1005,0))="","",INDEX(RUNS!$G$6:$G$1005,MATCH($D1976,RUNS!$A$6:$A$1005,0))),""))</f>
        <v/>
      </c>
      <c r="O1976" s="33">
        <f>IF($D1976="","",IFERROR(IF(INDEX(RUNS!$H$6:$H$1005,MATCH($D1976,RUNS!$A$6:$A$1005,0))="","",INDEX(RUNS!$H$6:$H$1005,MATCH($D1976,RUNS!$A$6:$A$1005,0))),""))</f>
        <v/>
      </c>
      <c r="P1976" s="33">
        <f>IF($D1976="","",IFERROR(IF(INDEX(RUNS!$J$6:$J$1005,MATCH($D1976,RUNS!$A$6:$A$1005,0))="","",INDEX(RUNS!$J$6:$J$1005,MATCH($D1976,RUNS!$A$6:$A$1005,0))),""))</f>
        <v/>
      </c>
      <c r="Q1976" s="33">
        <f>IF($D1976="","",IFERROR(IF(INDEX(RUNS!$K$6:$K$1005,MATCH($D1976,RUNS!$A$6:$A$1005,0))="","",INDEX(RUNS!$K$6:$K$1005,MATCH($D1976,RUNS!$A$6:$A$1005,0))),""))</f>
        <v/>
      </c>
      <c r="R1976" s="34">
        <f>IF(OR($L1976="",$K1976=""),"",IFERROR(IF(INDEX(PARAMETRES!$H$43:$H$342,MATCH($L1976&amp;"|"&amp;$M1976&amp;"|"&amp;$N1976&amp;"|"&amp;$O1976&amp;"|"&amp;$P1976&amp;"|"&amp;$Q1976&amp;"|"&amp;$K1976,PARAMETRES!$J$43:$J$342,0))="","",INDEX(PARAMETRES!$H$43:$H$342,MATCH($L1976&amp;"|"&amp;$M1976&amp;"|"&amp;$N1976&amp;"|"&amp;$O1976&amp;"|"&amp;$P1976&amp;"|"&amp;$Q1976&amp;"|"&amp;$K1976,PARAMETRES!$J$43:$J$342,0))),""))</f>
        <v/>
      </c>
      <c r="S1976" s="35">
        <f>IF(OR($G1976="",$X1976&lt;&gt;"VALIDE"),"",IFERROR(LOOKUP(2,1/(($B1076:$B1975=$B1976)*($G1076:$G1975=$G1976)*($X1076:$X1975="VALIDE")),$C1076:$C1975),""))</f>
        <v/>
      </c>
      <c r="T1976" s="36">
        <f>IF(OR($C1976="",$S1976=""),"",ROUND(($C1976-$S1976+IF($C1976&lt;$S1976,1,0))*1440,0))</f>
        <v/>
      </c>
      <c r="U1976" s="22">
        <f>IF(OR($H1976="",$T1976="",$T1976&lt;=0),"",$H1976*60/$T1976)</f>
        <v/>
      </c>
      <c r="V1976" s="37">
        <f>IF(OR($U1976="",$R1976="",$R1976=0),"",$U1976/$R1976)</f>
        <v/>
      </c>
      <c r="W1976" s="20">
        <f>IF($G1976="","",IF($X1976="CONTEXTE INCOMPLET","CONTEXTE INCOMPLET",IF($X1976="DOUBLON",StatutDoublon,IF($S1976="",StatutInitial,IF($R1976="",StatutStandardManquant,IF($V1976="","DONNEES INSUFFISANTES",IF($V1976&gt;=SeuilConforme,StatutConforme,IF($V1976&gt;=SeuilSurveiller,StatutSurveiller,StatutSousStandard))))))))</f>
        <v/>
      </c>
      <c r="X1976" s="33">
        <f>IF($G1976="","",IF(OR($D1976="",$E1976="",$F1976=""),"CONTEXTE INCOMPLET",IF(COUNTIFS($D1076:$D1975,$D1976,$E1076:$E1975,$E1976,$F1076:$F1975,$F1976,$G1076:$G1975,$G1976)&gt;0,"DOUBLON","VALIDE")))</f>
        <v/>
      </c>
    </row>
    <row r="1977" ht="15" customHeight="1">
      <c r="A1977" s="12">
        <f>IF(OR($B1977="",$G1977=""),"",TEXT($B1977,"YYYYMMDD")&amp;"-"&amp;SUBSTITUTE($E1977," ","")&amp;"-"&amp;$F1977&amp;"-"&amp;$G1977)</f>
        <v/>
      </c>
      <c r="B1977" s="15" t="n"/>
      <c r="C1977" s="16" t="n"/>
      <c r="D1977" s="10" t="n"/>
      <c r="E1977" s="9" t="n"/>
      <c r="F1977" s="9" t="n"/>
      <c r="G1977" s="13" t="n"/>
      <c r="H1977" s="21" t="n"/>
      <c r="I1977" s="21" t="n"/>
      <c r="J1977" s="17">
        <f>IF($G1977="","",IFERROR(INDEX(NomsEmployes,MATCH($G1977,MatriculesEmployes,0)),"MATRICULE INCONNU"))</f>
        <v/>
      </c>
      <c r="K1977" s="33">
        <f>IF(OR($D1977="",$F1977=""),"",IFERROR(IF(INDEX(RUNS!$L$6:$S$1005,MATCH($D1977,RUNS!$A$6:$A$1005,0),MATCH("ACTIVITÉ "&amp;$F1977,RUNS!$L$5:$S$5,0))="","",INDEX(RUNS!$L$6:$S$1005,MATCH($D1977,RUNS!$A$6:$A$1005,0),MATCH("ACTIVITÉ "&amp;$F1977,RUNS!$L$5:$S$5,0))),""))</f>
        <v/>
      </c>
      <c r="L1977" s="33">
        <f>IF($D1977="","",IFERROR(IF(INDEX(RUNS!$E$6:$E$1005,MATCH($D1977,RUNS!$A$6:$A$1005,0))="","",INDEX(RUNS!$E$6:$E$1005,MATCH($D1977,RUNS!$A$6:$A$1005,0))),""))</f>
        <v/>
      </c>
      <c r="M1977" s="33">
        <f>IF($D1977="","",IFERROR(IF(INDEX(RUNS!$F$6:$F$1005,MATCH($D1977,RUNS!$A$6:$A$1005,0))="","",INDEX(RUNS!$F$6:$F$1005,MATCH($D1977,RUNS!$A$6:$A$1005,0))),""))</f>
        <v/>
      </c>
      <c r="N1977" s="33">
        <f>IF($D1977="","",IFERROR(IF(INDEX(RUNS!$G$6:$G$1005,MATCH($D1977,RUNS!$A$6:$A$1005,0))="","",INDEX(RUNS!$G$6:$G$1005,MATCH($D1977,RUNS!$A$6:$A$1005,0))),""))</f>
        <v/>
      </c>
      <c r="O1977" s="33">
        <f>IF($D1977="","",IFERROR(IF(INDEX(RUNS!$H$6:$H$1005,MATCH($D1977,RUNS!$A$6:$A$1005,0))="","",INDEX(RUNS!$H$6:$H$1005,MATCH($D1977,RUNS!$A$6:$A$1005,0))),""))</f>
        <v/>
      </c>
      <c r="P1977" s="33">
        <f>IF($D1977="","",IFERROR(IF(INDEX(RUNS!$J$6:$J$1005,MATCH($D1977,RUNS!$A$6:$A$1005,0))="","",INDEX(RUNS!$J$6:$J$1005,MATCH($D1977,RUNS!$A$6:$A$1005,0))),""))</f>
        <v/>
      </c>
      <c r="Q1977" s="33">
        <f>IF($D1977="","",IFERROR(IF(INDEX(RUNS!$K$6:$K$1005,MATCH($D1977,RUNS!$A$6:$A$1005,0))="","",INDEX(RUNS!$K$6:$K$1005,MATCH($D1977,RUNS!$A$6:$A$1005,0))),""))</f>
        <v/>
      </c>
      <c r="R1977" s="34">
        <f>IF(OR($L1977="",$K1977=""),"",IFERROR(IF(INDEX(PARAMETRES!$H$43:$H$342,MATCH($L1977&amp;"|"&amp;$M1977&amp;"|"&amp;$N1977&amp;"|"&amp;$O1977&amp;"|"&amp;$P1977&amp;"|"&amp;$Q1977&amp;"|"&amp;$K1977,PARAMETRES!$J$43:$J$342,0))="","",INDEX(PARAMETRES!$H$43:$H$342,MATCH($L1977&amp;"|"&amp;$M1977&amp;"|"&amp;$N1977&amp;"|"&amp;$O1977&amp;"|"&amp;$P1977&amp;"|"&amp;$Q1977&amp;"|"&amp;$K1977,PARAMETRES!$J$43:$J$342,0))),""))</f>
        <v/>
      </c>
      <c r="S1977" s="35">
        <f>IF(OR($G1977="",$X1977&lt;&gt;"VALIDE"),"",IFERROR(LOOKUP(2,1/(($B1077:$B1976=$B1977)*($G1077:$G1976=$G1977)*($X1077:$X1976="VALIDE")),$C1077:$C1976),""))</f>
        <v/>
      </c>
      <c r="T1977" s="36">
        <f>IF(OR($C1977="",$S1977=""),"",ROUND(($C1977-$S1977+IF($C1977&lt;$S1977,1,0))*1440,0))</f>
        <v/>
      </c>
      <c r="U1977" s="22">
        <f>IF(OR($H1977="",$T1977="",$T1977&lt;=0),"",$H1977*60/$T1977)</f>
        <v/>
      </c>
      <c r="V1977" s="37">
        <f>IF(OR($U1977="",$R1977="",$R1977=0),"",$U1977/$R1977)</f>
        <v/>
      </c>
      <c r="W1977" s="20">
        <f>IF($G1977="","",IF($X1977="CONTEXTE INCOMPLET","CONTEXTE INCOMPLET",IF($X1977="DOUBLON",StatutDoublon,IF($S1977="",StatutInitial,IF($R1977="",StatutStandardManquant,IF($V1977="","DONNEES INSUFFISANTES",IF($V1977&gt;=SeuilConforme,StatutConforme,IF($V1977&gt;=SeuilSurveiller,StatutSurveiller,StatutSousStandard))))))))</f>
        <v/>
      </c>
      <c r="X1977" s="33">
        <f>IF($G1977="","",IF(OR($D1977="",$E1977="",$F1977=""),"CONTEXTE INCOMPLET",IF(COUNTIFS($D1077:$D1976,$D1977,$E1077:$E1976,$E1977,$F1077:$F1976,$F1977,$G1077:$G1976,$G1977)&gt;0,"DOUBLON","VALIDE")))</f>
        <v/>
      </c>
    </row>
    <row r="1978" ht="15" customHeight="1">
      <c r="A1978" s="12">
        <f>IF(OR($B1978="",$G1978=""),"",TEXT($B1978,"YYYYMMDD")&amp;"-"&amp;SUBSTITUTE($E1978," ","")&amp;"-"&amp;$F1978&amp;"-"&amp;$G1978)</f>
        <v/>
      </c>
      <c r="B1978" s="15" t="n"/>
      <c r="C1978" s="16" t="n"/>
      <c r="D1978" s="10" t="n"/>
      <c r="E1978" s="9" t="n"/>
      <c r="F1978" s="9" t="n"/>
      <c r="G1978" s="13" t="n"/>
      <c r="H1978" s="21" t="n"/>
      <c r="I1978" s="21" t="n"/>
      <c r="J1978" s="17">
        <f>IF($G1978="","",IFERROR(INDEX(NomsEmployes,MATCH($G1978,MatriculesEmployes,0)),"MATRICULE INCONNU"))</f>
        <v/>
      </c>
      <c r="K1978" s="33">
        <f>IF(OR($D1978="",$F1978=""),"",IFERROR(IF(INDEX(RUNS!$L$6:$S$1005,MATCH($D1978,RUNS!$A$6:$A$1005,0),MATCH("ACTIVITÉ "&amp;$F1978,RUNS!$L$5:$S$5,0))="","",INDEX(RUNS!$L$6:$S$1005,MATCH($D1978,RUNS!$A$6:$A$1005,0),MATCH("ACTIVITÉ "&amp;$F1978,RUNS!$L$5:$S$5,0))),""))</f>
        <v/>
      </c>
      <c r="L1978" s="33">
        <f>IF($D1978="","",IFERROR(IF(INDEX(RUNS!$E$6:$E$1005,MATCH($D1978,RUNS!$A$6:$A$1005,0))="","",INDEX(RUNS!$E$6:$E$1005,MATCH($D1978,RUNS!$A$6:$A$1005,0))),""))</f>
        <v/>
      </c>
      <c r="M1978" s="33">
        <f>IF($D1978="","",IFERROR(IF(INDEX(RUNS!$F$6:$F$1005,MATCH($D1978,RUNS!$A$6:$A$1005,0))="","",INDEX(RUNS!$F$6:$F$1005,MATCH($D1978,RUNS!$A$6:$A$1005,0))),""))</f>
        <v/>
      </c>
      <c r="N1978" s="33">
        <f>IF($D1978="","",IFERROR(IF(INDEX(RUNS!$G$6:$G$1005,MATCH($D1978,RUNS!$A$6:$A$1005,0))="","",INDEX(RUNS!$G$6:$G$1005,MATCH($D1978,RUNS!$A$6:$A$1005,0))),""))</f>
        <v/>
      </c>
      <c r="O1978" s="33">
        <f>IF($D1978="","",IFERROR(IF(INDEX(RUNS!$H$6:$H$1005,MATCH($D1978,RUNS!$A$6:$A$1005,0))="","",INDEX(RUNS!$H$6:$H$1005,MATCH($D1978,RUNS!$A$6:$A$1005,0))),""))</f>
        <v/>
      </c>
      <c r="P1978" s="33">
        <f>IF($D1978="","",IFERROR(IF(INDEX(RUNS!$J$6:$J$1005,MATCH($D1978,RUNS!$A$6:$A$1005,0))="","",INDEX(RUNS!$J$6:$J$1005,MATCH($D1978,RUNS!$A$6:$A$1005,0))),""))</f>
        <v/>
      </c>
      <c r="Q1978" s="33">
        <f>IF($D1978="","",IFERROR(IF(INDEX(RUNS!$K$6:$K$1005,MATCH($D1978,RUNS!$A$6:$A$1005,0))="","",INDEX(RUNS!$K$6:$K$1005,MATCH($D1978,RUNS!$A$6:$A$1005,0))),""))</f>
        <v/>
      </c>
      <c r="R1978" s="34">
        <f>IF(OR($L1978="",$K1978=""),"",IFERROR(IF(INDEX(PARAMETRES!$H$43:$H$342,MATCH($L1978&amp;"|"&amp;$M1978&amp;"|"&amp;$N1978&amp;"|"&amp;$O1978&amp;"|"&amp;$P1978&amp;"|"&amp;$Q1978&amp;"|"&amp;$K1978,PARAMETRES!$J$43:$J$342,0))="","",INDEX(PARAMETRES!$H$43:$H$342,MATCH($L1978&amp;"|"&amp;$M1978&amp;"|"&amp;$N1978&amp;"|"&amp;$O1978&amp;"|"&amp;$P1978&amp;"|"&amp;$Q1978&amp;"|"&amp;$K1978,PARAMETRES!$J$43:$J$342,0))),""))</f>
        <v/>
      </c>
      <c r="S1978" s="35">
        <f>IF(OR($G1978="",$X1978&lt;&gt;"VALIDE"),"",IFERROR(LOOKUP(2,1/(($B1078:$B1977=$B1978)*($G1078:$G1977=$G1978)*($X1078:$X1977="VALIDE")),$C1078:$C1977),""))</f>
        <v/>
      </c>
      <c r="T1978" s="36">
        <f>IF(OR($C1978="",$S1978=""),"",ROUND(($C1978-$S1978+IF($C1978&lt;$S1978,1,0))*1440,0))</f>
        <v/>
      </c>
      <c r="U1978" s="22">
        <f>IF(OR($H1978="",$T1978="",$T1978&lt;=0),"",$H1978*60/$T1978)</f>
        <v/>
      </c>
      <c r="V1978" s="37">
        <f>IF(OR($U1978="",$R1978="",$R1978=0),"",$U1978/$R1978)</f>
        <v/>
      </c>
      <c r="W1978" s="20">
        <f>IF($G1978="","",IF($X1978="CONTEXTE INCOMPLET","CONTEXTE INCOMPLET",IF($X1978="DOUBLON",StatutDoublon,IF($S1978="",StatutInitial,IF($R1978="",StatutStandardManquant,IF($V1978="","DONNEES INSUFFISANTES",IF($V1978&gt;=SeuilConforme,StatutConforme,IF($V1978&gt;=SeuilSurveiller,StatutSurveiller,StatutSousStandard))))))))</f>
        <v/>
      </c>
      <c r="X1978" s="33">
        <f>IF($G1978="","",IF(OR($D1978="",$E1978="",$F1978=""),"CONTEXTE INCOMPLET",IF(COUNTIFS($D1078:$D1977,$D1978,$E1078:$E1977,$E1978,$F1078:$F1977,$F1978,$G1078:$G1977,$G1978)&gt;0,"DOUBLON","VALIDE")))</f>
        <v/>
      </c>
    </row>
    <row r="1979" ht="15" customHeight="1">
      <c r="A1979" s="12">
        <f>IF(OR($B1979="",$G1979=""),"",TEXT($B1979,"YYYYMMDD")&amp;"-"&amp;SUBSTITUTE($E1979," ","")&amp;"-"&amp;$F1979&amp;"-"&amp;$G1979)</f>
        <v/>
      </c>
      <c r="B1979" s="15" t="n"/>
      <c r="C1979" s="16" t="n"/>
      <c r="D1979" s="10" t="n"/>
      <c r="E1979" s="9" t="n"/>
      <c r="F1979" s="9" t="n"/>
      <c r="G1979" s="13" t="n"/>
      <c r="H1979" s="21" t="n"/>
      <c r="I1979" s="21" t="n"/>
      <c r="J1979" s="17">
        <f>IF($G1979="","",IFERROR(INDEX(NomsEmployes,MATCH($G1979,MatriculesEmployes,0)),"MATRICULE INCONNU"))</f>
        <v/>
      </c>
      <c r="K1979" s="33">
        <f>IF(OR($D1979="",$F1979=""),"",IFERROR(IF(INDEX(RUNS!$L$6:$S$1005,MATCH($D1979,RUNS!$A$6:$A$1005,0),MATCH("ACTIVITÉ "&amp;$F1979,RUNS!$L$5:$S$5,0))="","",INDEX(RUNS!$L$6:$S$1005,MATCH($D1979,RUNS!$A$6:$A$1005,0),MATCH("ACTIVITÉ "&amp;$F1979,RUNS!$L$5:$S$5,0))),""))</f>
        <v/>
      </c>
      <c r="L1979" s="33">
        <f>IF($D1979="","",IFERROR(IF(INDEX(RUNS!$E$6:$E$1005,MATCH($D1979,RUNS!$A$6:$A$1005,0))="","",INDEX(RUNS!$E$6:$E$1005,MATCH($D1979,RUNS!$A$6:$A$1005,0))),""))</f>
        <v/>
      </c>
      <c r="M1979" s="33">
        <f>IF($D1979="","",IFERROR(IF(INDEX(RUNS!$F$6:$F$1005,MATCH($D1979,RUNS!$A$6:$A$1005,0))="","",INDEX(RUNS!$F$6:$F$1005,MATCH($D1979,RUNS!$A$6:$A$1005,0))),""))</f>
        <v/>
      </c>
      <c r="N1979" s="33">
        <f>IF($D1979="","",IFERROR(IF(INDEX(RUNS!$G$6:$G$1005,MATCH($D1979,RUNS!$A$6:$A$1005,0))="","",INDEX(RUNS!$G$6:$G$1005,MATCH($D1979,RUNS!$A$6:$A$1005,0))),""))</f>
        <v/>
      </c>
      <c r="O1979" s="33">
        <f>IF($D1979="","",IFERROR(IF(INDEX(RUNS!$H$6:$H$1005,MATCH($D1979,RUNS!$A$6:$A$1005,0))="","",INDEX(RUNS!$H$6:$H$1005,MATCH($D1979,RUNS!$A$6:$A$1005,0))),""))</f>
        <v/>
      </c>
      <c r="P1979" s="33">
        <f>IF($D1979="","",IFERROR(IF(INDEX(RUNS!$J$6:$J$1005,MATCH($D1979,RUNS!$A$6:$A$1005,0))="","",INDEX(RUNS!$J$6:$J$1005,MATCH($D1979,RUNS!$A$6:$A$1005,0))),""))</f>
        <v/>
      </c>
      <c r="Q1979" s="33">
        <f>IF($D1979="","",IFERROR(IF(INDEX(RUNS!$K$6:$K$1005,MATCH($D1979,RUNS!$A$6:$A$1005,0))="","",INDEX(RUNS!$K$6:$K$1005,MATCH($D1979,RUNS!$A$6:$A$1005,0))),""))</f>
        <v/>
      </c>
      <c r="R1979" s="34">
        <f>IF(OR($L1979="",$K1979=""),"",IFERROR(IF(INDEX(PARAMETRES!$H$43:$H$342,MATCH($L1979&amp;"|"&amp;$M1979&amp;"|"&amp;$N1979&amp;"|"&amp;$O1979&amp;"|"&amp;$P1979&amp;"|"&amp;$Q1979&amp;"|"&amp;$K1979,PARAMETRES!$J$43:$J$342,0))="","",INDEX(PARAMETRES!$H$43:$H$342,MATCH($L1979&amp;"|"&amp;$M1979&amp;"|"&amp;$N1979&amp;"|"&amp;$O1979&amp;"|"&amp;$P1979&amp;"|"&amp;$Q1979&amp;"|"&amp;$K1979,PARAMETRES!$J$43:$J$342,0))),""))</f>
        <v/>
      </c>
      <c r="S1979" s="35">
        <f>IF(OR($G1979="",$X1979&lt;&gt;"VALIDE"),"",IFERROR(LOOKUP(2,1/(($B1079:$B1978=$B1979)*($G1079:$G1978=$G1979)*($X1079:$X1978="VALIDE")),$C1079:$C1978),""))</f>
        <v/>
      </c>
      <c r="T1979" s="36">
        <f>IF(OR($C1979="",$S1979=""),"",ROUND(($C1979-$S1979+IF($C1979&lt;$S1979,1,0))*1440,0))</f>
        <v/>
      </c>
      <c r="U1979" s="22">
        <f>IF(OR($H1979="",$T1979="",$T1979&lt;=0),"",$H1979*60/$T1979)</f>
        <v/>
      </c>
      <c r="V1979" s="37">
        <f>IF(OR($U1979="",$R1979="",$R1979=0),"",$U1979/$R1979)</f>
        <v/>
      </c>
      <c r="W1979" s="20">
        <f>IF($G1979="","",IF($X1979="CONTEXTE INCOMPLET","CONTEXTE INCOMPLET",IF($X1979="DOUBLON",StatutDoublon,IF($S1979="",StatutInitial,IF($R1979="",StatutStandardManquant,IF($V1979="","DONNEES INSUFFISANTES",IF($V1979&gt;=SeuilConforme,StatutConforme,IF($V1979&gt;=SeuilSurveiller,StatutSurveiller,StatutSousStandard))))))))</f>
        <v/>
      </c>
      <c r="X1979" s="33">
        <f>IF($G1979="","",IF(OR($D1979="",$E1979="",$F1979=""),"CONTEXTE INCOMPLET",IF(COUNTIFS($D1079:$D1978,$D1979,$E1079:$E1978,$E1979,$F1079:$F1978,$F1979,$G1079:$G1978,$G1979)&gt;0,"DOUBLON","VALIDE")))</f>
        <v/>
      </c>
    </row>
    <row r="1980" ht="15" customHeight="1">
      <c r="A1980" s="12">
        <f>IF(OR($B1980="",$G1980=""),"",TEXT($B1980,"YYYYMMDD")&amp;"-"&amp;SUBSTITUTE($E1980," ","")&amp;"-"&amp;$F1980&amp;"-"&amp;$G1980)</f>
        <v/>
      </c>
      <c r="B1980" s="15" t="n"/>
      <c r="C1980" s="16" t="n"/>
      <c r="D1980" s="10" t="n"/>
      <c r="E1980" s="9" t="n"/>
      <c r="F1980" s="9" t="n"/>
      <c r="G1980" s="13" t="n"/>
      <c r="H1980" s="21" t="n"/>
      <c r="I1980" s="21" t="n"/>
      <c r="J1980" s="17">
        <f>IF($G1980="","",IFERROR(INDEX(NomsEmployes,MATCH($G1980,MatriculesEmployes,0)),"MATRICULE INCONNU"))</f>
        <v/>
      </c>
      <c r="K1980" s="33">
        <f>IF(OR($D1980="",$F1980=""),"",IFERROR(IF(INDEX(RUNS!$L$6:$S$1005,MATCH($D1980,RUNS!$A$6:$A$1005,0),MATCH("ACTIVITÉ "&amp;$F1980,RUNS!$L$5:$S$5,0))="","",INDEX(RUNS!$L$6:$S$1005,MATCH($D1980,RUNS!$A$6:$A$1005,0),MATCH("ACTIVITÉ "&amp;$F1980,RUNS!$L$5:$S$5,0))),""))</f>
        <v/>
      </c>
      <c r="L1980" s="33">
        <f>IF($D1980="","",IFERROR(IF(INDEX(RUNS!$E$6:$E$1005,MATCH($D1980,RUNS!$A$6:$A$1005,0))="","",INDEX(RUNS!$E$6:$E$1005,MATCH($D1980,RUNS!$A$6:$A$1005,0))),""))</f>
        <v/>
      </c>
      <c r="M1980" s="33">
        <f>IF($D1980="","",IFERROR(IF(INDEX(RUNS!$F$6:$F$1005,MATCH($D1980,RUNS!$A$6:$A$1005,0))="","",INDEX(RUNS!$F$6:$F$1005,MATCH($D1980,RUNS!$A$6:$A$1005,0))),""))</f>
        <v/>
      </c>
      <c r="N1980" s="33">
        <f>IF($D1980="","",IFERROR(IF(INDEX(RUNS!$G$6:$G$1005,MATCH($D1980,RUNS!$A$6:$A$1005,0))="","",INDEX(RUNS!$G$6:$G$1005,MATCH($D1980,RUNS!$A$6:$A$1005,0))),""))</f>
        <v/>
      </c>
      <c r="O1980" s="33">
        <f>IF($D1980="","",IFERROR(IF(INDEX(RUNS!$H$6:$H$1005,MATCH($D1980,RUNS!$A$6:$A$1005,0))="","",INDEX(RUNS!$H$6:$H$1005,MATCH($D1980,RUNS!$A$6:$A$1005,0))),""))</f>
        <v/>
      </c>
      <c r="P1980" s="33">
        <f>IF($D1980="","",IFERROR(IF(INDEX(RUNS!$J$6:$J$1005,MATCH($D1980,RUNS!$A$6:$A$1005,0))="","",INDEX(RUNS!$J$6:$J$1005,MATCH($D1980,RUNS!$A$6:$A$1005,0))),""))</f>
        <v/>
      </c>
      <c r="Q1980" s="33">
        <f>IF($D1980="","",IFERROR(IF(INDEX(RUNS!$K$6:$K$1005,MATCH($D1980,RUNS!$A$6:$A$1005,0))="","",INDEX(RUNS!$K$6:$K$1005,MATCH($D1980,RUNS!$A$6:$A$1005,0))),""))</f>
        <v/>
      </c>
      <c r="R1980" s="34">
        <f>IF(OR($L1980="",$K1980=""),"",IFERROR(IF(INDEX(PARAMETRES!$H$43:$H$342,MATCH($L1980&amp;"|"&amp;$M1980&amp;"|"&amp;$N1980&amp;"|"&amp;$O1980&amp;"|"&amp;$P1980&amp;"|"&amp;$Q1980&amp;"|"&amp;$K1980,PARAMETRES!$J$43:$J$342,0))="","",INDEX(PARAMETRES!$H$43:$H$342,MATCH($L1980&amp;"|"&amp;$M1980&amp;"|"&amp;$N1980&amp;"|"&amp;$O1980&amp;"|"&amp;$P1980&amp;"|"&amp;$Q1980&amp;"|"&amp;$K1980,PARAMETRES!$J$43:$J$342,0))),""))</f>
        <v/>
      </c>
      <c r="S1980" s="35">
        <f>IF(OR($G1980="",$X1980&lt;&gt;"VALIDE"),"",IFERROR(LOOKUP(2,1/(($B1080:$B1979=$B1980)*($G1080:$G1979=$G1980)*($X1080:$X1979="VALIDE")),$C1080:$C1979),""))</f>
        <v/>
      </c>
      <c r="T1980" s="36">
        <f>IF(OR($C1980="",$S1980=""),"",ROUND(($C1980-$S1980+IF($C1980&lt;$S1980,1,0))*1440,0))</f>
        <v/>
      </c>
      <c r="U1980" s="22">
        <f>IF(OR($H1980="",$T1980="",$T1980&lt;=0),"",$H1980*60/$T1980)</f>
        <v/>
      </c>
      <c r="V1980" s="37">
        <f>IF(OR($U1980="",$R1980="",$R1980=0),"",$U1980/$R1980)</f>
        <v/>
      </c>
      <c r="W1980" s="20">
        <f>IF($G1980="","",IF($X1980="CONTEXTE INCOMPLET","CONTEXTE INCOMPLET",IF($X1980="DOUBLON",StatutDoublon,IF($S1980="",StatutInitial,IF($R1980="",StatutStandardManquant,IF($V1980="","DONNEES INSUFFISANTES",IF($V1980&gt;=SeuilConforme,StatutConforme,IF($V1980&gt;=SeuilSurveiller,StatutSurveiller,StatutSousStandard))))))))</f>
        <v/>
      </c>
      <c r="X1980" s="33">
        <f>IF($G1980="","",IF(OR($D1980="",$E1980="",$F1980=""),"CONTEXTE INCOMPLET",IF(COUNTIFS($D1080:$D1979,$D1980,$E1080:$E1979,$E1980,$F1080:$F1979,$F1980,$G1080:$G1979,$G1980)&gt;0,"DOUBLON","VALIDE")))</f>
        <v/>
      </c>
    </row>
    <row r="1981" ht="15" customHeight="1">
      <c r="A1981" s="12">
        <f>IF(OR($B1981="",$G1981=""),"",TEXT($B1981,"YYYYMMDD")&amp;"-"&amp;SUBSTITUTE($E1981," ","")&amp;"-"&amp;$F1981&amp;"-"&amp;$G1981)</f>
        <v/>
      </c>
      <c r="B1981" s="15" t="n"/>
      <c r="C1981" s="16" t="n"/>
      <c r="D1981" s="10" t="n"/>
      <c r="E1981" s="9" t="n"/>
      <c r="F1981" s="9" t="n"/>
      <c r="G1981" s="13" t="n"/>
      <c r="H1981" s="21" t="n"/>
      <c r="I1981" s="21" t="n"/>
      <c r="J1981" s="17">
        <f>IF($G1981="","",IFERROR(INDEX(NomsEmployes,MATCH($G1981,MatriculesEmployes,0)),"MATRICULE INCONNU"))</f>
        <v/>
      </c>
      <c r="K1981" s="33">
        <f>IF(OR($D1981="",$F1981=""),"",IFERROR(IF(INDEX(RUNS!$L$6:$S$1005,MATCH($D1981,RUNS!$A$6:$A$1005,0),MATCH("ACTIVITÉ "&amp;$F1981,RUNS!$L$5:$S$5,0))="","",INDEX(RUNS!$L$6:$S$1005,MATCH($D1981,RUNS!$A$6:$A$1005,0),MATCH("ACTIVITÉ "&amp;$F1981,RUNS!$L$5:$S$5,0))),""))</f>
        <v/>
      </c>
      <c r="L1981" s="33">
        <f>IF($D1981="","",IFERROR(IF(INDEX(RUNS!$E$6:$E$1005,MATCH($D1981,RUNS!$A$6:$A$1005,0))="","",INDEX(RUNS!$E$6:$E$1005,MATCH($D1981,RUNS!$A$6:$A$1005,0))),""))</f>
        <v/>
      </c>
      <c r="M1981" s="33">
        <f>IF($D1981="","",IFERROR(IF(INDEX(RUNS!$F$6:$F$1005,MATCH($D1981,RUNS!$A$6:$A$1005,0))="","",INDEX(RUNS!$F$6:$F$1005,MATCH($D1981,RUNS!$A$6:$A$1005,0))),""))</f>
        <v/>
      </c>
      <c r="N1981" s="33">
        <f>IF($D1981="","",IFERROR(IF(INDEX(RUNS!$G$6:$G$1005,MATCH($D1981,RUNS!$A$6:$A$1005,0))="","",INDEX(RUNS!$G$6:$G$1005,MATCH($D1981,RUNS!$A$6:$A$1005,0))),""))</f>
        <v/>
      </c>
      <c r="O1981" s="33">
        <f>IF($D1981="","",IFERROR(IF(INDEX(RUNS!$H$6:$H$1005,MATCH($D1981,RUNS!$A$6:$A$1005,0))="","",INDEX(RUNS!$H$6:$H$1005,MATCH($D1981,RUNS!$A$6:$A$1005,0))),""))</f>
        <v/>
      </c>
      <c r="P1981" s="33">
        <f>IF($D1981="","",IFERROR(IF(INDEX(RUNS!$J$6:$J$1005,MATCH($D1981,RUNS!$A$6:$A$1005,0))="","",INDEX(RUNS!$J$6:$J$1005,MATCH($D1981,RUNS!$A$6:$A$1005,0))),""))</f>
        <v/>
      </c>
      <c r="Q1981" s="33">
        <f>IF($D1981="","",IFERROR(IF(INDEX(RUNS!$K$6:$K$1005,MATCH($D1981,RUNS!$A$6:$A$1005,0))="","",INDEX(RUNS!$K$6:$K$1005,MATCH($D1981,RUNS!$A$6:$A$1005,0))),""))</f>
        <v/>
      </c>
      <c r="R1981" s="34">
        <f>IF(OR($L1981="",$K1981=""),"",IFERROR(IF(INDEX(PARAMETRES!$H$43:$H$342,MATCH($L1981&amp;"|"&amp;$M1981&amp;"|"&amp;$N1981&amp;"|"&amp;$O1981&amp;"|"&amp;$P1981&amp;"|"&amp;$Q1981&amp;"|"&amp;$K1981,PARAMETRES!$J$43:$J$342,0))="","",INDEX(PARAMETRES!$H$43:$H$342,MATCH($L1981&amp;"|"&amp;$M1981&amp;"|"&amp;$N1981&amp;"|"&amp;$O1981&amp;"|"&amp;$P1981&amp;"|"&amp;$Q1981&amp;"|"&amp;$K1981,PARAMETRES!$J$43:$J$342,0))),""))</f>
        <v/>
      </c>
      <c r="S1981" s="35">
        <f>IF(OR($G1981="",$X1981&lt;&gt;"VALIDE"),"",IFERROR(LOOKUP(2,1/(($B1081:$B1980=$B1981)*($G1081:$G1980=$G1981)*($X1081:$X1980="VALIDE")),$C1081:$C1980),""))</f>
        <v/>
      </c>
      <c r="T1981" s="36">
        <f>IF(OR($C1981="",$S1981=""),"",ROUND(($C1981-$S1981+IF($C1981&lt;$S1981,1,0))*1440,0))</f>
        <v/>
      </c>
      <c r="U1981" s="22">
        <f>IF(OR($H1981="",$T1981="",$T1981&lt;=0),"",$H1981*60/$T1981)</f>
        <v/>
      </c>
      <c r="V1981" s="37">
        <f>IF(OR($U1981="",$R1981="",$R1981=0),"",$U1981/$R1981)</f>
        <v/>
      </c>
      <c r="W1981" s="20">
        <f>IF($G1981="","",IF($X1981="CONTEXTE INCOMPLET","CONTEXTE INCOMPLET",IF($X1981="DOUBLON",StatutDoublon,IF($S1981="",StatutInitial,IF($R1981="",StatutStandardManquant,IF($V1981="","DONNEES INSUFFISANTES",IF($V1981&gt;=SeuilConforme,StatutConforme,IF($V1981&gt;=SeuilSurveiller,StatutSurveiller,StatutSousStandard))))))))</f>
        <v/>
      </c>
      <c r="X1981" s="33">
        <f>IF($G1981="","",IF(OR($D1981="",$E1981="",$F1981=""),"CONTEXTE INCOMPLET",IF(COUNTIFS($D1081:$D1980,$D1981,$E1081:$E1980,$E1981,$F1081:$F1980,$F1981,$G1081:$G1980,$G1981)&gt;0,"DOUBLON","VALIDE")))</f>
        <v/>
      </c>
    </row>
    <row r="1982" ht="15" customHeight="1">
      <c r="A1982" s="12">
        <f>IF(OR($B1982="",$G1982=""),"",TEXT($B1982,"YYYYMMDD")&amp;"-"&amp;SUBSTITUTE($E1982," ","")&amp;"-"&amp;$F1982&amp;"-"&amp;$G1982)</f>
        <v/>
      </c>
      <c r="B1982" s="15" t="n"/>
      <c r="C1982" s="16" t="n"/>
      <c r="D1982" s="10" t="n"/>
      <c r="E1982" s="9" t="n"/>
      <c r="F1982" s="9" t="n"/>
      <c r="G1982" s="13" t="n"/>
      <c r="H1982" s="21" t="n"/>
      <c r="I1982" s="21" t="n"/>
      <c r="J1982" s="17">
        <f>IF($G1982="","",IFERROR(INDEX(NomsEmployes,MATCH($G1982,MatriculesEmployes,0)),"MATRICULE INCONNU"))</f>
        <v/>
      </c>
      <c r="K1982" s="33">
        <f>IF(OR($D1982="",$F1982=""),"",IFERROR(IF(INDEX(RUNS!$L$6:$S$1005,MATCH($D1982,RUNS!$A$6:$A$1005,0),MATCH("ACTIVITÉ "&amp;$F1982,RUNS!$L$5:$S$5,0))="","",INDEX(RUNS!$L$6:$S$1005,MATCH($D1982,RUNS!$A$6:$A$1005,0),MATCH("ACTIVITÉ "&amp;$F1982,RUNS!$L$5:$S$5,0))),""))</f>
        <v/>
      </c>
      <c r="L1982" s="33">
        <f>IF($D1982="","",IFERROR(IF(INDEX(RUNS!$E$6:$E$1005,MATCH($D1982,RUNS!$A$6:$A$1005,0))="","",INDEX(RUNS!$E$6:$E$1005,MATCH($D1982,RUNS!$A$6:$A$1005,0))),""))</f>
        <v/>
      </c>
      <c r="M1982" s="33">
        <f>IF($D1982="","",IFERROR(IF(INDEX(RUNS!$F$6:$F$1005,MATCH($D1982,RUNS!$A$6:$A$1005,0))="","",INDEX(RUNS!$F$6:$F$1005,MATCH($D1982,RUNS!$A$6:$A$1005,0))),""))</f>
        <v/>
      </c>
      <c r="N1982" s="33">
        <f>IF($D1982="","",IFERROR(IF(INDEX(RUNS!$G$6:$G$1005,MATCH($D1982,RUNS!$A$6:$A$1005,0))="","",INDEX(RUNS!$G$6:$G$1005,MATCH($D1982,RUNS!$A$6:$A$1005,0))),""))</f>
        <v/>
      </c>
      <c r="O1982" s="33">
        <f>IF($D1982="","",IFERROR(IF(INDEX(RUNS!$H$6:$H$1005,MATCH($D1982,RUNS!$A$6:$A$1005,0))="","",INDEX(RUNS!$H$6:$H$1005,MATCH($D1982,RUNS!$A$6:$A$1005,0))),""))</f>
        <v/>
      </c>
      <c r="P1982" s="33">
        <f>IF($D1982="","",IFERROR(IF(INDEX(RUNS!$J$6:$J$1005,MATCH($D1982,RUNS!$A$6:$A$1005,0))="","",INDEX(RUNS!$J$6:$J$1005,MATCH($D1982,RUNS!$A$6:$A$1005,0))),""))</f>
        <v/>
      </c>
      <c r="Q1982" s="33">
        <f>IF($D1982="","",IFERROR(IF(INDEX(RUNS!$K$6:$K$1005,MATCH($D1982,RUNS!$A$6:$A$1005,0))="","",INDEX(RUNS!$K$6:$K$1005,MATCH($D1982,RUNS!$A$6:$A$1005,0))),""))</f>
        <v/>
      </c>
      <c r="R1982" s="34">
        <f>IF(OR($L1982="",$K1982=""),"",IFERROR(IF(INDEX(PARAMETRES!$H$43:$H$342,MATCH($L1982&amp;"|"&amp;$M1982&amp;"|"&amp;$N1982&amp;"|"&amp;$O1982&amp;"|"&amp;$P1982&amp;"|"&amp;$Q1982&amp;"|"&amp;$K1982,PARAMETRES!$J$43:$J$342,0))="","",INDEX(PARAMETRES!$H$43:$H$342,MATCH($L1982&amp;"|"&amp;$M1982&amp;"|"&amp;$N1982&amp;"|"&amp;$O1982&amp;"|"&amp;$P1982&amp;"|"&amp;$Q1982&amp;"|"&amp;$K1982,PARAMETRES!$J$43:$J$342,0))),""))</f>
        <v/>
      </c>
      <c r="S1982" s="35">
        <f>IF(OR($G1982="",$X1982&lt;&gt;"VALIDE"),"",IFERROR(LOOKUP(2,1/(($B1082:$B1981=$B1982)*($G1082:$G1981=$G1982)*($X1082:$X1981="VALIDE")),$C1082:$C1981),""))</f>
        <v/>
      </c>
      <c r="T1982" s="36">
        <f>IF(OR($C1982="",$S1982=""),"",ROUND(($C1982-$S1982+IF($C1982&lt;$S1982,1,0))*1440,0))</f>
        <v/>
      </c>
      <c r="U1982" s="22">
        <f>IF(OR($H1982="",$T1982="",$T1982&lt;=0),"",$H1982*60/$T1982)</f>
        <v/>
      </c>
      <c r="V1982" s="37">
        <f>IF(OR($U1982="",$R1982="",$R1982=0),"",$U1982/$R1982)</f>
        <v/>
      </c>
      <c r="W1982" s="20">
        <f>IF($G1982="","",IF($X1982="CONTEXTE INCOMPLET","CONTEXTE INCOMPLET",IF($X1982="DOUBLON",StatutDoublon,IF($S1982="",StatutInitial,IF($R1982="",StatutStandardManquant,IF($V1982="","DONNEES INSUFFISANTES",IF($V1982&gt;=SeuilConforme,StatutConforme,IF($V1982&gt;=SeuilSurveiller,StatutSurveiller,StatutSousStandard))))))))</f>
        <v/>
      </c>
      <c r="X1982" s="33">
        <f>IF($G1982="","",IF(OR($D1982="",$E1982="",$F1982=""),"CONTEXTE INCOMPLET",IF(COUNTIFS($D1082:$D1981,$D1982,$E1082:$E1981,$E1982,$F1082:$F1981,$F1982,$G1082:$G1981,$G1982)&gt;0,"DOUBLON","VALIDE")))</f>
        <v/>
      </c>
    </row>
    <row r="1983" ht="15" customHeight="1">
      <c r="A1983" s="12">
        <f>IF(OR($B1983="",$G1983=""),"",TEXT($B1983,"YYYYMMDD")&amp;"-"&amp;SUBSTITUTE($E1983," ","")&amp;"-"&amp;$F1983&amp;"-"&amp;$G1983)</f>
        <v/>
      </c>
      <c r="B1983" s="15" t="n"/>
      <c r="C1983" s="16" t="n"/>
      <c r="D1983" s="10" t="n"/>
      <c r="E1983" s="9" t="n"/>
      <c r="F1983" s="9" t="n"/>
      <c r="G1983" s="13" t="n"/>
      <c r="H1983" s="21" t="n"/>
      <c r="I1983" s="21" t="n"/>
      <c r="J1983" s="17">
        <f>IF($G1983="","",IFERROR(INDEX(NomsEmployes,MATCH($G1983,MatriculesEmployes,0)),"MATRICULE INCONNU"))</f>
        <v/>
      </c>
      <c r="K1983" s="33">
        <f>IF(OR($D1983="",$F1983=""),"",IFERROR(IF(INDEX(RUNS!$L$6:$S$1005,MATCH($D1983,RUNS!$A$6:$A$1005,0),MATCH("ACTIVITÉ "&amp;$F1983,RUNS!$L$5:$S$5,0))="","",INDEX(RUNS!$L$6:$S$1005,MATCH($D1983,RUNS!$A$6:$A$1005,0),MATCH("ACTIVITÉ "&amp;$F1983,RUNS!$L$5:$S$5,0))),""))</f>
        <v/>
      </c>
      <c r="L1983" s="33">
        <f>IF($D1983="","",IFERROR(IF(INDEX(RUNS!$E$6:$E$1005,MATCH($D1983,RUNS!$A$6:$A$1005,0))="","",INDEX(RUNS!$E$6:$E$1005,MATCH($D1983,RUNS!$A$6:$A$1005,0))),""))</f>
        <v/>
      </c>
      <c r="M1983" s="33">
        <f>IF($D1983="","",IFERROR(IF(INDEX(RUNS!$F$6:$F$1005,MATCH($D1983,RUNS!$A$6:$A$1005,0))="","",INDEX(RUNS!$F$6:$F$1005,MATCH($D1983,RUNS!$A$6:$A$1005,0))),""))</f>
        <v/>
      </c>
      <c r="N1983" s="33">
        <f>IF($D1983="","",IFERROR(IF(INDEX(RUNS!$G$6:$G$1005,MATCH($D1983,RUNS!$A$6:$A$1005,0))="","",INDEX(RUNS!$G$6:$G$1005,MATCH($D1983,RUNS!$A$6:$A$1005,0))),""))</f>
        <v/>
      </c>
      <c r="O1983" s="33">
        <f>IF($D1983="","",IFERROR(IF(INDEX(RUNS!$H$6:$H$1005,MATCH($D1983,RUNS!$A$6:$A$1005,0))="","",INDEX(RUNS!$H$6:$H$1005,MATCH($D1983,RUNS!$A$6:$A$1005,0))),""))</f>
        <v/>
      </c>
      <c r="P1983" s="33">
        <f>IF($D1983="","",IFERROR(IF(INDEX(RUNS!$J$6:$J$1005,MATCH($D1983,RUNS!$A$6:$A$1005,0))="","",INDEX(RUNS!$J$6:$J$1005,MATCH($D1983,RUNS!$A$6:$A$1005,0))),""))</f>
        <v/>
      </c>
      <c r="Q1983" s="33">
        <f>IF($D1983="","",IFERROR(IF(INDEX(RUNS!$K$6:$K$1005,MATCH($D1983,RUNS!$A$6:$A$1005,0))="","",INDEX(RUNS!$K$6:$K$1005,MATCH($D1983,RUNS!$A$6:$A$1005,0))),""))</f>
        <v/>
      </c>
      <c r="R1983" s="34">
        <f>IF(OR($L1983="",$K1983=""),"",IFERROR(IF(INDEX(PARAMETRES!$H$43:$H$342,MATCH($L1983&amp;"|"&amp;$M1983&amp;"|"&amp;$N1983&amp;"|"&amp;$O1983&amp;"|"&amp;$P1983&amp;"|"&amp;$Q1983&amp;"|"&amp;$K1983,PARAMETRES!$J$43:$J$342,0))="","",INDEX(PARAMETRES!$H$43:$H$342,MATCH($L1983&amp;"|"&amp;$M1983&amp;"|"&amp;$N1983&amp;"|"&amp;$O1983&amp;"|"&amp;$P1983&amp;"|"&amp;$Q1983&amp;"|"&amp;$K1983,PARAMETRES!$J$43:$J$342,0))),""))</f>
        <v/>
      </c>
      <c r="S1983" s="35">
        <f>IF(OR($G1983="",$X1983&lt;&gt;"VALIDE"),"",IFERROR(LOOKUP(2,1/(($B1083:$B1982=$B1983)*($G1083:$G1982=$G1983)*($X1083:$X1982="VALIDE")),$C1083:$C1982),""))</f>
        <v/>
      </c>
      <c r="T1983" s="36">
        <f>IF(OR($C1983="",$S1983=""),"",ROUND(($C1983-$S1983+IF($C1983&lt;$S1983,1,0))*1440,0))</f>
        <v/>
      </c>
      <c r="U1983" s="22">
        <f>IF(OR($H1983="",$T1983="",$T1983&lt;=0),"",$H1983*60/$T1983)</f>
        <v/>
      </c>
      <c r="V1983" s="37">
        <f>IF(OR($U1983="",$R1983="",$R1983=0),"",$U1983/$R1983)</f>
        <v/>
      </c>
      <c r="W1983" s="20">
        <f>IF($G1983="","",IF($X1983="CONTEXTE INCOMPLET","CONTEXTE INCOMPLET",IF($X1983="DOUBLON",StatutDoublon,IF($S1983="",StatutInitial,IF($R1983="",StatutStandardManquant,IF($V1983="","DONNEES INSUFFISANTES",IF($V1983&gt;=SeuilConforme,StatutConforme,IF($V1983&gt;=SeuilSurveiller,StatutSurveiller,StatutSousStandard))))))))</f>
        <v/>
      </c>
      <c r="X1983" s="33">
        <f>IF($G1983="","",IF(OR($D1983="",$E1983="",$F1983=""),"CONTEXTE INCOMPLET",IF(COUNTIFS($D1083:$D1982,$D1983,$E1083:$E1982,$E1983,$F1083:$F1982,$F1983,$G1083:$G1982,$G1983)&gt;0,"DOUBLON","VALIDE")))</f>
        <v/>
      </c>
    </row>
    <row r="1984" ht="15" customHeight="1">
      <c r="A1984" s="12">
        <f>IF(OR($B1984="",$G1984=""),"",TEXT($B1984,"YYYYMMDD")&amp;"-"&amp;SUBSTITUTE($E1984," ","")&amp;"-"&amp;$F1984&amp;"-"&amp;$G1984)</f>
        <v/>
      </c>
      <c r="B1984" s="15" t="n"/>
      <c r="C1984" s="16" t="n"/>
      <c r="D1984" s="10" t="n"/>
      <c r="E1984" s="9" t="n"/>
      <c r="F1984" s="9" t="n"/>
      <c r="G1984" s="13" t="n"/>
      <c r="H1984" s="21" t="n"/>
      <c r="I1984" s="21" t="n"/>
      <c r="J1984" s="17">
        <f>IF($G1984="","",IFERROR(INDEX(NomsEmployes,MATCH($G1984,MatriculesEmployes,0)),"MATRICULE INCONNU"))</f>
        <v/>
      </c>
      <c r="K1984" s="33">
        <f>IF(OR($D1984="",$F1984=""),"",IFERROR(IF(INDEX(RUNS!$L$6:$S$1005,MATCH($D1984,RUNS!$A$6:$A$1005,0),MATCH("ACTIVITÉ "&amp;$F1984,RUNS!$L$5:$S$5,0))="","",INDEX(RUNS!$L$6:$S$1005,MATCH($D1984,RUNS!$A$6:$A$1005,0),MATCH("ACTIVITÉ "&amp;$F1984,RUNS!$L$5:$S$5,0))),""))</f>
        <v/>
      </c>
      <c r="L1984" s="33">
        <f>IF($D1984="","",IFERROR(IF(INDEX(RUNS!$E$6:$E$1005,MATCH($D1984,RUNS!$A$6:$A$1005,0))="","",INDEX(RUNS!$E$6:$E$1005,MATCH($D1984,RUNS!$A$6:$A$1005,0))),""))</f>
        <v/>
      </c>
      <c r="M1984" s="33">
        <f>IF($D1984="","",IFERROR(IF(INDEX(RUNS!$F$6:$F$1005,MATCH($D1984,RUNS!$A$6:$A$1005,0))="","",INDEX(RUNS!$F$6:$F$1005,MATCH($D1984,RUNS!$A$6:$A$1005,0))),""))</f>
        <v/>
      </c>
      <c r="N1984" s="33">
        <f>IF($D1984="","",IFERROR(IF(INDEX(RUNS!$G$6:$G$1005,MATCH($D1984,RUNS!$A$6:$A$1005,0))="","",INDEX(RUNS!$G$6:$G$1005,MATCH($D1984,RUNS!$A$6:$A$1005,0))),""))</f>
        <v/>
      </c>
      <c r="O1984" s="33">
        <f>IF($D1984="","",IFERROR(IF(INDEX(RUNS!$H$6:$H$1005,MATCH($D1984,RUNS!$A$6:$A$1005,0))="","",INDEX(RUNS!$H$6:$H$1005,MATCH($D1984,RUNS!$A$6:$A$1005,0))),""))</f>
        <v/>
      </c>
      <c r="P1984" s="33">
        <f>IF($D1984="","",IFERROR(IF(INDEX(RUNS!$J$6:$J$1005,MATCH($D1984,RUNS!$A$6:$A$1005,0))="","",INDEX(RUNS!$J$6:$J$1005,MATCH($D1984,RUNS!$A$6:$A$1005,0))),""))</f>
        <v/>
      </c>
      <c r="Q1984" s="33">
        <f>IF($D1984="","",IFERROR(IF(INDEX(RUNS!$K$6:$K$1005,MATCH($D1984,RUNS!$A$6:$A$1005,0))="","",INDEX(RUNS!$K$6:$K$1005,MATCH($D1984,RUNS!$A$6:$A$1005,0))),""))</f>
        <v/>
      </c>
      <c r="R1984" s="34">
        <f>IF(OR($L1984="",$K1984=""),"",IFERROR(IF(INDEX(PARAMETRES!$H$43:$H$342,MATCH($L1984&amp;"|"&amp;$M1984&amp;"|"&amp;$N1984&amp;"|"&amp;$O1984&amp;"|"&amp;$P1984&amp;"|"&amp;$Q1984&amp;"|"&amp;$K1984,PARAMETRES!$J$43:$J$342,0))="","",INDEX(PARAMETRES!$H$43:$H$342,MATCH($L1984&amp;"|"&amp;$M1984&amp;"|"&amp;$N1984&amp;"|"&amp;$O1984&amp;"|"&amp;$P1984&amp;"|"&amp;$Q1984&amp;"|"&amp;$K1984,PARAMETRES!$J$43:$J$342,0))),""))</f>
        <v/>
      </c>
      <c r="S1984" s="35">
        <f>IF(OR($G1984="",$X1984&lt;&gt;"VALIDE"),"",IFERROR(LOOKUP(2,1/(($B1084:$B1983=$B1984)*($G1084:$G1983=$G1984)*($X1084:$X1983="VALIDE")),$C1084:$C1983),""))</f>
        <v/>
      </c>
      <c r="T1984" s="36">
        <f>IF(OR($C1984="",$S1984=""),"",ROUND(($C1984-$S1984+IF($C1984&lt;$S1984,1,0))*1440,0))</f>
        <v/>
      </c>
      <c r="U1984" s="22">
        <f>IF(OR($H1984="",$T1984="",$T1984&lt;=0),"",$H1984*60/$T1984)</f>
        <v/>
      </c>
      <c r="V1984" s="37">
        <f>IF(OR($U1984="",$R1984="",$R1984=0),"",$U1984/$R1984)</f>
        <v/>
      </c>
      <c r="W1984" s="20">
        <f>IF($G1984="","",IF($X1984="CONTEXTE INCOMPLET","CONTEXTE INCOMPLET",IF($X1984="DOUBLON",StatutDoublon,IF($S1984="",StatutInitial,IF($R1984="",StatutStandardManquant,IF($V1984="","DONNEES INSUFFISANTES",IF($V1984&gt;=SeuilConforme,StatutConforme,IF($V1984&gt;=SeuilSurveiller,StatutSurveiller,StatutSousStandard))))))))</f>
        <v/>
      </c>
      <c r="X1984" s="33">
        <f>IF($G1984="","",IF(OR($D1984="",$E1984="",$F1984=""),"CONTEXTE INCOMPLET",IF(COUNTIFS($D1084:$D1983,$D1984,$E1084:$E1983,$E1984,$F1084:$F1983,$F1984,$G1084:$G1983,$G1984)&gt;0,"DOUBLON","VALIDE")))</f>
        <v/>
      </c>
    </row>
    <row r="1985" ht="15" customHeight="1">
      <c r="A1985" s="12">
        <f>IF(OR($B1985="",$G1985=""),"",TEXT($B1985,"YYYYMMDD")&amp;"-"&amp;SUBSTITUTE($E1985," ","")&amp;"-"&amp;$F1985&amp;"-"&amp;$G1985)</f>
        <v/>
      </c>
      <c r="B1985" s="15" t="n"/>
      <c r="C1985" s="16" t="n"/>
      <c r="D1985" s="10" t="n"/>
      <c r="E1985" s="9" t="n"/>
      <c r="F1985" s="9" t="n"/>
      <c r="G1985" s="13" t="n"/>
      <c r="H1985" s="21" t="n"/>
      <c r="I1985" s="21" t="n"/>
      <c r="J1985" s="17">
        <f>IF($G1985="","",IFERROR(INDEX(NomsEmployes,MATCH($G1985,MatriculesEmployes,0)),"MATRICULE INCONNU"))</f>
        <v/>
      </c>
      <c r="K1985" s="33">
        <f>IF(OR($D1985="",$F1985=""),"",IFERROR(IF(INDEX(RUNS!$L$6:$S$1005,MATCH($D1985,RUNS!$A$6:$A$1005,0),MATCH("ACTIVITÉ "&amp;$F1985,RUNS!$L$5:$S$5,0))="","",INDEX(RUNS!$L$6:$S$1005,MATCH($D1985,RUNS!$A$6:$A$1005,0),MATCH("ACTIVITÉ "&amp;$F1985,RUNS!$L$5:$S$5,0))),""))</f>
        <v/>
      </c>
      <c r="L1985" s="33">
        <f>IF($D1985="","",IFERROR(IF(INDEX(RUNS!$E$6:$E$1005,MATCH($D1985,RUNS!$A$6:$A$1005,0))="","",INDEX(RUNS!$E$6:$E$1005,MATCH($D1985,RUNS!$A$6:$A$1005,0))),""))</f>
        <v/>
      </c>
      <c r="M1985" s="33">
        <f>IF($D1985="","",IFERROR(IF(INDEX(RUNS!$F$6:$F$1005,MATCH($D1985,RUNS!$A$6:$A$1005,0))="","",INDEX(RUNS!$F$6:$F$1005,MATCH($D1985,RUNS!$A$6:$A$1005,0))),""))</f>
        <v/>
      </c>
      <c r="N1985" s="33">
        <f>IF($D1985="","",IFERROR(IF(INDEX(RUNS!$G$6:$G$1005,MATCH($D1985,RUNS!$A$6:$A$1005,0))="","",INDEX(RUNS!$G$6:$G$1005,MATCH($D1985,RUNS!$A$6:$A$1005,0))),""))</f>
        <v/>
      </c>
      <c r="O1985" s="33">
        <f>IF($D1985="","",IFERROR(IF(INDEX(RUNS!$H$6:$H$1005,MATCH($D1985,RUNS!$A$6:$A$1005,0))="","",INDEX(RUNS!$H$6:$H$1005,MATCH($D1985,RUNS!$A$6:$A$1005,0))),""))</f>
        <v/>
      </c>
      <c r="P1985" s="33">
        <f>IF($D1985="","",IFERROR(IF(INDEX(RUNS!$J$6:$J$1005,MATCH($D1985,RUNS!$A$6:$A$1005,0))="","",INDEX(RUNS!$J$6:$J$1005,MATCH($D1985,RUNS!$A$6:$A$1005,0))),""))</f>
        <v/>
      </c>
      <c r="Q1985" s="33">
        <f>IF($D1985="","",IFERROR(IF(INDEX(RUNS!$K$6:$K$1005,MATCH($D1985,RUNS!$A$6:$A$1005,0))="","",INDEX(RUNS!$K$6:$K$1005,MATCH($D1985,RUNS!$A$6:$A$1005,0))),""))</f>
        <v/>
      </c>
      <c r="R1985" s="34">
        <f>IF(OR($L1985="",$K1985=""),"",IFERROR(IF(INDEX(PARAMETRES!$H$43:$H$342,MATCH($L1985&amp;"|"&amp;$M1985&amp;"|"&amp;$N1985&amp;"|"&amp;$O1985&amp;"|"&amp;$P1985&amp;"|"&amp;$Q1985&amp;"|"&amp;$K1985,PARAMETRES!$J$43:$J$342,0))="","",INDEX(PARAMETRES!$H$43:$H$342,MATCH($L1985&amp;"|"&amp;$M1985&amp;"|"&amp;$N1985&amp;"|"&amp;$O1985&amp;"|"&amp;$P1985&amp;"|"&amp;$Q1985&amp;"|"&amp;$K1985,PARAMETRES!$J$43:$J$342,0))),""))</f>
        <v/>
      </c>
      <c r="S1985" s="35">
        <f>IF(OR($G1985="",$X1985&lt;&gt;"VALIDE"),"",IFERROR(LOOKUP(2,1/(($B1085:$B1984=$B1985)*($G1085:$G1984=$G1985)*($X1085:$X1984="VALIDE")),$C1085:$C1984),""))</f>
        <v/>
      </c>
      <c r="T1985" s="36">
        <f>IF(OR($C1985="",$S1985=""),"",ROUND(($C1985-$S1985+IF($C1985&lt;$S1985,1,0))*1440,0))</f>
        <v/>
      </c>
      <c r="U1985" s="22">
        <f>IF(OR($H1985="",$T1985="",$T1985&lt;=0),"",$H1985*60/$T1985)</f>
        <v/>
      </c>
      <c r="V1985" s="37">
        <f>IF(OR($U1985="",$R1985="",$R1985=0),"",$U1985/$R1985)</f>
        <v/>
      </c>
      <c r="W1985" s="20">
        <f>IF($G1985="","",IF($X1985="CONTEXTE INCOMPLET","CONTEXTE INCOMPLET",IF($X1985="DOUBLON",StatutDoublon,IF($S1985="",StatutInitial,IF($R1985="",StatutStandardManquant,IF($V1985="","DONNEES INSUFFISANTES",IF($V1985&gt;=SeuilConforme,StatutConforme,IF($V1985&gt;=SeuilSurveiller,StatutSurveiller,StatutSousStandard))))))))</f>
        <v/>
      </c>
      <c r="X1985" s="33">
        <f>IF($G1985="","",IF(OR($D1985="",$E1985="",$F1985=""),"CONTEXTE INCOMPLET",IF(COUNTIFS($D1085:$D1984,$D1985,$E1085:$E1984,$E1985,$F1085:$F1984,$F1985,$G1085:$G1984,$G1985)&gt;0,"DOUBLON","VALIDE")))</f>
        <v/>
      </c>
    </row>
    <row r="1986" ht="15" customHeight="1">
      <c r="A1986" s="12">
        <f>IF(OR($B1986="",$G1986=""),"",TEXT($B1986,"YYYYMMDD")&amp;"-"&amp;SUBSTITUTE($E1986," ","")&amp;"-"&amp;$F1986&amp;"-"&amp;$G1986)</f>
        <v/>
      </c>
      <c r="B1986" s="15" t="n"/>
      <c r="C1986" s="16" t="n"/>
      <c r="D1986" s="10" t="n"/>
      <c r="E1986" s="9" t="n"/>
      <c r="F1986" s="9" t="n"/>
      <c r="G1986" s="13" t="n"/>
      <c r="H1986" s="21" t="n"/>
      <c r="I1986" s="21" t="n"/>
      <c r="J1986" s="17">
        <f>IF($G1986="","",IFERROR(INDEX(NomsEmployes,MATCH($G1986,MatriculesEmployes,0)),"MATRICULE INCONNU"))</f>
        <v/>
      </c>
      <c r="K1986" s="33">
        <f>IF(OR($D1986="",$F1986=""),"",IFERROR(IF(INDEX(RUNS!$L$6:$S$1005,MATCH($D1986,RUNS!$A$6:$A$1005,0),MATCH("ACTIVITÉ "&amp;$F1986,RUNS!$L$5:$S$5,0))="","",INDEX(RUNS!$L$6:$S$1005,MATCH($D1986,RUNS!$A$6:$A$1005,0),MATCH("ACTIVITÉ "&amp;$F1986,RUNS!$L$5:$S$5,0))),""))</f>
        <v/>
      </c>
      <c r="L1986" s="33">
        <f>IF($D1986="","",IFERROR(IF(INDEX(RUNS!$E$6:$E$1005,MATCH($D1986,RUNS!$A$6:$A$1005,0))="","",INDEX(RUNS!$E$6:$E$1005,MATCH($D1986,RUNS!$A$6:$A$1005,0))),""))</f>
        <v/>
      </c>
      <c r="M1986" s="33">
        <f>IF($D1986="","",IFERROR(IF(INDEX(RUNS!$F$6:$F$1005,MATCH($D1986,RUNS!$A$6:$A$1005,0))="","",INDEX(RUNS!$F$6:$F$1005,MATCH($D1986,RUNS!$A$6:$A$1005,0))),""))</f>
        <v/>
      </c>
      <c r="N1986" s="33">
        <f>IF($D1986="","",IFERROR(IF(INDEX(RUNS!$G$6:$G$1005,MATCH($D1986,RUNS!$A$6:$A$1005,0))="","",INDEX(RUNS!$G$6:$G$1005,MATCH($D1986,RUNS!$A$6:$A$1005,0))),""))</f>
        <v/>
      </c>
      <c r="O1986" s="33">
        <f>IF($D1986="","",IFERROR(IF(INDEX(RUNS!$H$6:$H$1005,MATCH($D1986,RUNS!$A$6:$A$1005,0))="","",INDEX(RUNS!$H$6:$H$1005,MATCH($D1986,RUNS!$A$6:$A$1005,0))),""))</f>
        <v/>
      </c>
      <c r="P1986" s="33">
        <f>IF($D1986="","",IFERROR(IF(INDEX(RUNS!$J$6:$J$1005,MATCH($D1986,RUNS!$A$6:$A$1005,0))="","",INDEX(RUNS!$J$6:$J$1005,MATCH($D1986,RUNS!$A$6:$A$1005,0))),""))</f>
        <v/>
      </c>
      <c r="Q1986" s="33">
        <f>IF($D1986="","",IFERROR(IF(INDEX(RUNS!$K$6:$K$1005,MATCH($D1986,RUNS!$A$6:$A$1005,0))="","",INDEX(RUNS!$K$6:$K$1005,MATCH($D1986,RUNS!$A$6:$A$1005,0))),""))</f>
        <v/>
      </c>
      <c r="R1986" s="34">
        <f>IF(OR($L1986="",$K1986=""),"",IFERROR(IF(INDEX(PARAMETRES!$H$43:$H$342,MATCH($L1986&amp;"|"&amp;$M1986&amp;"|"&amp;$N1986&amp;"|"&amp;$O1986&amp;"|"&amp;$P1986&amp;"|"&amp;$Q1986&amp;"|"&amp;$K1986,PARAMETRES!$J$43:$J$342,0))="","",INDEX(PARAMETRES!$H$43:$H$342,MATCH($L1986&amp;"|"&amp;$M1986&amp;"|"&amp;$N1986&amp;"|"&amp;$O1986&amp;"|"&amp;$P1986&amp;"|"&amp;$Q1986&amp;"|"&amp;$K1986,PARAMETRES!$J$43:$J$342,0))),""))</f>
        <v/>
      </c>
      <c r="S1986" s="35">
        <f>IF(OR($G1986="",$X1986&lt;&gt;"VALIDE"),"",IFERROR(LOOKUP(2,1/(($B1086:$B1985=$B1986)*($G1086:$G1985=$G1986)*($X1086:$X1985="VALIDE")),$C1086:$C1985),""))</f>
        <v/>
      </c>
      <c r="T1986" s="36">
        <f>IF(OR($C1986="",$S1986=""),"",ROUND(($C1986-$S1986+IF($C1986&lt;$S1986,1,0))*1440,0))</f>
        <v/>
      </c>
      <c r="U1986" s="22">
        <f>IF(OR($H1986="",$T1986="",$T1986&lt;=0),"",$H1986*60/$T1986)</f>
        <v/>
      </c>
      <c r="V1986" s="37">
        <f>IF(OR($U1986="",$R1986="",$R1986=0),"",$U1986/$R1986)</f>
        <v/>
      </c>
      <c r="W1986" s="20">
        <f>IF($G1986="","",IF($X1986="CONTEXTE INCOMPLET","CONTEXTE INCOMPLET",IF($X1986="DOUBLON",StatutDoublon,IF($S1986="",StatutInitial,IF($R1986="",StatutStandardManquant,IF($V1986="","DONNEES INSUFFISANTES",IF($V1986&gt;=SeuilConforme,StatutConforme,IF($V1986&gt;=SeuilSurveiller,StatutSurveiller,StatutSousStandard))))))))</f>
        <v/>
      </c>
      <c r="X1986" s="33">
        <f>IF($G1986="","",IF(OR($D1986="",$E1986="",$F1986=""),"CONTEXTE INCOMPLET",IF(COUNTIFS($D1086:$D1985,$D1986,$E1086:$E1985,$E1986,$F1086:$F1985,$F1986,$G1086:$G1985,$G1986)&gt;0,"DOUBLON","VALIDE")))</f>
        <v/>
      </c>
    </row>
    <row r="1987" ht="15" customHeight="1">
      <c r="A1987" s="12">
        <f>IF(OR($B1987="",$G1987=""),"",TEXT($B1987,"YYYYMMDD")&amp;"-"&amp;SUBSTITUTE($E1987," ","")&amp;"-"&amp;$F1987&amp;"-"&amp;$G1987)</f>
        <v/>
      </c>
      <c r="B1987" s="15" t="n"/>
      <c r="C1987" s="16" t="n"/>
      <c r="D1987" s="10" t="n"/>
      <c r="E1987" s="9" t="n"/>
      <c r="F1987" s="9" t="n"/>
      <c r="G1987" s="13" t="n"/>
      <c r="H1987" s="21" t="n"/>
      <c r="I1987" s="21" t="n"/>
      <c r="J1987" s="17">
        <f>IF($G1987="","",IFERROR(INDEX(NomsEmployes,MATCH($G1987,MatriculesEmployes,0)),"MATRICULE INCONNU"))</f>
        <v/>
      </c>
      <c r="K1987" s="33">
        <f>IF(OR($D1987="",$F1987=""),"",IFERROR(IF(INDEX(RUNS!$L$6:$S$1005,MATCH($D1987,RUNS!$A$6:$A$1005,0),MATCH("ACTIVITÉ "&amp;$F1987,RUNS!$L$5:$S$5,0))="","",INDEX(RUNS!$L$6:$S$1005,MATCH($D1987,RUNS!$A$6:$A$1005,0),MATCH("ACTIVITÉ "&amp;$F1987,RUNS!$L$5:$S$5,0))),""))</f>
        <v/>
      </c>
      <c r="L1987" s="33">
        <f>IF($D1987="","",IFERROR(IF(INDEX(RUNS!$E$6:$E$1005,MATCH($D1987,RUNS!$A$6:$A$1005,0))="","",INDEX(RUNS!$E$6:$E$1005,MATCH($D1987,RUNS!$A$6:$A$1005,0))),""))</f>
        <v/>
      </c>
      <c r="M1987" s="33">
        <f>IF($D1987="","",IFERROR(IF(INDEX(RUNS!$F$6:$F$1005,MATCH($D1987,RUNS!$A$6:$A$1005,0))="","",INDEX(RUNS!$F$6:$F$1005,MATCH($D1987,RUNS!$A$6:$A$1005,0))),""))</f>
        <v/>
      </c>
      <c r="N1987" s="33">
        <f>IF($D1987="","",IFERROR(IF(INDEX(RUNS!$G$6:$G$1005,MATCH($D1987,RUNS!$A$6:$A$1005,0))="","",INDEX(RUNS!$G$6:$G$1005,MATCH($D1987,RUNS!$A$6:$A$1005,0))),""))</f>
        <v/>
      </c>
      <c r="O1987" s="33">
        <f>IF($D1987="","",IFERROR(IF(INDEX(RUNS!$H$6:$H$1005,MATCH($D1987,RUNS!$A$6:$A$1005,0))="","",INDEX(RUNS!$H$6:$H$1005,MATCH($D1987,RUNS!$A$6:$A$1005,0))),""))</f>
        <v/>
      </c>
      <c r="P1987" s="33">
        <f>IF($D1987="","",IFERROR(IF(INDEX(RUNS!$J$6:$J$1005,MATCH($D1987,RUNS!$A$6:$A$1005,0))="","",INDEX(RUNS!$J$6:$J$1005,MATCH($D1987,RUNS!$A$6:$A$1005,0))),""))</f>
        <v/>
      </c>
      <c r="Q1987" s="33">
        <f>IF($D1987="","",IFERROR(IF(INDEX(RUNS!$K$6:$K$1005,MATCH($D1987,RUNS!$A$6:$A$1005,0))="","",INDEX(RUNS!$K$6:$K$1005,MATCH($D1987,RUNS!$A$6:$A$1005,0))),""))</f>
        <v/>
      </c>
      <c r="R1987" s="34">
        <f>IF(OR($L1987="",$K1987=""),"",IFERROR(IF(INDEX(PARAMETRES!$H$43:$H$342,MATCH($L1987&amp;"|"&amp;$M1987&amp;"|"&amp;$N1987&amp;"|"&amp;$O1987&amp;"|"&amp;$P1987&amp;"|"&amp;$Q1987&amp;"|"&amp;$K1987,PARAMETRES!$J$43:$J$342,0))="","",INDEX(PARAMETRES!$H$43:$H$342,MATCH($L1987&amp;"|"&amp;$M1987&amp;"|"&amp;$N1987&amp;"|"&amp;$O1987&amp;"|"&amp;$P1987&amp;"|"&amp;$Q1987&amp;"|"&amp;$K1987,PARAMETRES!$J$43:$J$342,0))),""))</f>
        <v/>
      </c>
      <c r="S1987" s="35">
        <f>IF(OR($G1987="",$X1987&lt;&gt;"VALIDE"),"",IFERROR(LOOKUP(2,1/(($B1087:$B1986=$B1987)*($G1087:$G1986=$G1987)*($X1087:$X1986="VALIDE")),$C1087:$C1986),""))</f>
        <v/>
      </c>
      <c r="T1987" s="36">
        <f>IF(OR($C1987="",$S1987=""),"",ROUND(($C1987-$S1987+IF($C1987&lt;$S1987,1,0))*1440,0))</f>
        <v/>
      </c>
      <c r="U1987" s="22">
        <f>IF(OR($H1987="",$T1987="",$T1987&lt;=0),"",$H1987*60/$T1987)</f>
        <v/>
      </c>
      <c r="V1987" s="37">
        <f>IF(OR($U1987="",$R1987="",$R1987=0),"",$U1987/$R1987)</f>
        <v/>
      </c>
      <c r="W1987" s="20">
        <f>IF($G1987="","",IF($X1987="CONTEXTE INCOMPLET","CONTEXTE INCOMPLET",IF($X1987="DOUBLON",StatutDoublon,IF($S1987="",StatutInitial,IF($R1987="",StatutStandardManquant,IF($V1987="","DONNEES INSUFFISANTES",IF($V1987&gt;=SeuilConforme,StatutConforme,IF($V1987&gt;=SeuilSurveiller,StatutSurveiller,StatutSousStandard))))))))</f>
        <v/>
      </c>
      <c r="X1987" s="33">
        <f>IF($G1987="","",IF(OR($D1987="",$E1987="",$F1987=""),"CONTEXTE INCOMPLET",IF(COUNTIFS($D1087:$D1986,$D1987,$E1087:$E1986,$E1987,$F1087:$F1986,$F1987,$G1087:$G1986,$G1987)&gt;0,"DOUBLON","VALIDE")))</f>
        <v/>
      </c>
    </row>
    <row r="1988" ht="15" customHeight="1">
      <c r="A1988" s="12">
        <f>IF(OR($B1988="",$G1988=""),"",TEXT($B1988,"YYYYMMDD")&amp;"-"&amp;SUBSTITUTE($E1988," ","")&amp;"-"&amp;$F1988&amp;"-"&amp;$G1988)</f>
        <v/>
      </c>
      <c r="B1988" s="15" t="n"/>
      <c r="C1988" s="16" t="n"/>
      <c r="D1988" s="10" t="n"/>
      <c r="E1988" s="9" t="n"/>
      <c r="F1988" s="9" t="n"/>
      <c r="G1988" s="13" t="n"/>
      <c r="H1988" s="21" t="n"/>
      <c r="I1988" s="21" t="n"/>
      <c r="J1988" s="17">
        <f>IF($G1988="","",IFERROR(INDEX(NomsEmployes,MATCH($G1988,MatriculesEmployes,0)),"MATRICULE INCONNU"))</f>
        <v/>
      </c>
      <c r="K1988" s="33">
        <f>IF(OR($D1988="",$F1988=""),"",IFERROR(IF(INDEX(RUNS!$L$6:$S$1005,MATCH($D1988,RUNS!$A$6:$A$1005,0),MATCH("ACTIVITÉ "&amp;$F1988,RUNS!$L$5:$S$5,0))="","",INDEX(RUNS!$L$6:$S$1005,MATCH($D1988,RUNS!$A$6:$A$1005,0),MATCH("ACTIVITÉ "&amp;$F1988,RUNS!$L$5:$S$5,0))),""))</f>
        <v/>
      </c>
      <c r="L1988" s="33">
        <f>IF($D1988="","",IFERROR(IF(INDEX(RUNS!$E$6:$E$1005,MATCH($D1988,RUNS!$A$6:$A$1005,0))="","",INDEX(RUNS!$E$6:$E$1005,MATCH($D1988,RUNS!$A$6:$A$1005,0))),""))</f>
        <v/>
      </c>
      <c r="M1988" s="33">
        <f>IF($D1988="","",IFERROR(IF(INDEX(RUNS!$F$6:$F$1005,MATCH($D1988,RUNS!$A$6:$A$1005,0))="","",INDEX(RUNS!$F$6:$F$1005,MATCH($D1988,RUNS!$A$6:$A$1005,0))),""))</f>
        <v/>
      </c>
      <c r="N1988" s="33">
        <f>IF($D1988="","",IFERROR(IF(INDEX(RUNS!$G$6:$G$1005,MATCH($D1988,RUNS!$A$6:$A$1005,0))="","",INDEX(RUNS!$G$6:$G$1005,MATCH($D1988,RUNS!$A$6:$A$1005,0))),""))</f>
        <v/>
      </c>
      <c r="O1988" s="33">
        <f>IF($D1988="","",IFERROR(IF(INDEX(RUNS!$H$6:$H$1005,MATCH($D1988,RUNS!$A$6:$A$1005,0))="","",INDEX(RUNS!$H$6:$H$1005,MATCH($D1988,RUNS!$A$6:$A$1005,0))),""))</f>
        <v/>
      </c>
      <c r="P1988" s="33">
        <f>IF($D1988="","",IFERROR(IF(INDEX(RUNS!$J$6:$J$1005,MATCH($D1988,RUNS!$A$6:$A$1005,0))="","",INDEX(RUNS!$J$6:$J$1005,MATCH($D1988,RUNS!$A$6:$A$1005,0))),""))</f>
        <v/>
      </c>
      <c r="Q1988" s="33">
        <f>IF($D1988="","",IFERROR(IF(INDEX(RUNS!$K$6:$K$1005,MATCH($D1988,RUNS!$A$6:$A$1005,0))="","",INDEX(RUNS!$K$6:$K$1005,MATCH($D1988,RUNS!$A$6:$A$1005,0))),""))</f>
        <v/>
      </c>
      <c r="R1988" s="34">
        <f>IF(OR($L1988="",$K1988=""),"",IFERROR(IF(INDEX(PARAMETRES!$H$43:$H$342,MATCH($L1988&amp;"|"&amp;$M1988&amp;"|"&amp;$N1988&amp;"|"&amp;$O1988&amp;"|"&amp;$P1988&amp;"|"&amp;$Q1988&amp;"|"&amp;$K1988,PARAMETRES!$J$43:$J$342,0))="","",INDEX(PARAMETRES!$H$43:$H$342,MATCH($L1988&amp;"|"&amp;$M1988&amp;"|"&amp;$N1988&amp;"|"&amp;$O1988&amp;"|"&amp;$P1988&amp;"|"&amp;$Q1988&amp;"|"&amp;$K1988,PARAMETRES!$J$43:$J$342,0))),""))</f>
        <v/>
      </c>
      <c r="S1988" s="35">
        <f>IF(OR($G1988="",$X1988&lt;&gt;"VALIDE"),"",IFERROR(LOOKUP(2,1/(($B1088:$B1987=$B1988)*($G1088:$G1987=$G1988)*($X1088:$X1987="VALIDE")),$C1088:$C1987),""))</f>
        <v/>
      </c>
      <c r="T1988" s="36">
        <f>IF(OR($C1988="",$S1988=""),"",ROUND(($C1988-$S1988+IF($C1988&lt;$S1988,1,0))*1440,0))</f>
        <v/>
      </c>
      <c r="U1988" s="22">
        <f>IF(OR($H1988="",$T1988="",$T1988&lt;=0),"",$H1988*60/$T1988)</f>
        <v/>
      </c>
      <c r="V1988" s="37">
        <f>IF(OR($U1988="",$R1988="",$R1988=0),"",$U1988/$R1988)</f>
        <v/>
      </c>
      <c r="W1988" s="20">
        <f>IF($G1988="","",IF($X1988="CONTEXTE INCOMPLET","CONTEXTE INCOMPLET",IF($X1988="DOUBLON",StatutDoublon,IF($S1988="",StatutInitial,IF($R1988="",StatutStandardManquant,IF($V1988="","DONNEES INSUFFISANTES",IF($V1988&gt;=SeuilConforme,StatutConforme,IF($V1988&gt;=SeuilSurveiller,StatutSurveiller,StatutSousStandard))))))))</f>
        <v/>
      </c>
      <c r="X1988" s="33">
        <f>IF($G1988="","",IF(OR($D1988="",$E1988="",$F1988=""),"CONTEXTE INCOMPLET",IF(COUNTIFS($D1088:$D1987,$D1988,$E1088:$E1987,$E1988,$F1088:$F1987,$F1988,$G1088:$G1987,$G1988)&gt;0,"DOUBLON","VALIDE")))</f>
        <v/>
      </c>
    </row>
    <row r="1989" ht="15" customHeight="1">
      <c r="A1989" s="12">
        <f>IF(OR($B1989="",$G1989=""),"",TEXT($B1989,"YYYYMMDD")&amp;"-"&amp;SUBSTITUTE($E1989," ","")&amp;"-"&amp;$F1989&amp;"-"&amp;$G1989)</f>
        <v/>
      </c>
      <c r="B1989" s="15" t="n"/>
      <c r="C1989" s="16" t="n"/>
      <c r="D1989" s="10" t="n"/>
      <c r="E1989" s="9" t="n"/>
      <c r="F1989" s="9" t="n"/>
      <c r="G1989" s="13" t="n"/>
      <c r="H1989" s="21" t="n"/>
      <c r="I1989" s="21" t="n"/>
      <c r="J1989" s="17">
        <f>IF($G1989="","",IFERROR(INDEX(NomsEmployes,MATCH($G1989,MatriculesEmployes,0)),"MATRICULE INCONNU"))</f>
        <v/>
      </c>
      <c r="K1989" s="33">
        <f>IF(OR($D1989="",$F1989=""),"",IFERROR(IF(INDEX(RUNS!$L$6:$S$1005,MATCH($D1989,RUNS!$A$6:$A$1005,0),MATCH("ACTIVITÉ "&amp;$F1989,RUNS!$L$5:$S$5,0))="","",INDEX(RUNS!$L$6:$S$1005,MATCH($D1989,RUNS!$A$6:$A$1005,0),MATCH("ACTIVITÉ "&amp;$F1989,RUNS!$L$5:$S$5,0))),""))</f>
        <v/>
      </c>
      <c r="L1989" s="33">
        <f>IF($D1989="","",IFERROR(IF(INDEX(RUNS!$E$6:$E$1005,MATCH($D1989,RUNS!$A$6:$A$1005,0))="","",INDEX(RUNS!$E$6:$E$1005,MATCH($D1989,RUNS!$A$6:$A$1005,0))),""))</f>
        <v/>
      </c>
      <c r="M1989" s="33">
        <f>IF($D1989="","",IFERROR(IF(INDEX(RUNS!$F$6:$F$1005,MATCH($D1989,RUNS!$A$6:$A$1005,0))="","",INDEX(RUNS!$F$6:$F$1005,MATCH($D1989,RUNS!$A$6:$A$1005,0))),""))</f>
        <v/>
      </c>
      <c r="N1989" s="33">
        <f>IF($D1989="","",IFERROR(IF(INDEX(RUNS!$G$6:$G$1005,MATCH($D1989,RUNS!$A$6:$A$1005,0))="","",INDEX(RUNS!$G$6:$G$1005,MATCH($D1989,RUNS!$A$6:$A$1005,0))),""))</f>
        <v/>
      </c>
      <c r="O1989" s="33">
        <f>IF($D1989="","",IFERROR(IF(INDEX(RUNS!$H$6:$H$1005,MATCH($D1989,RUNS!$A$6:$A$1005,0))="","",INDEX(RUNS!$H$6:$H$1005,MATCH($D1989,RUNS!$A$6:$A$1005,0))),""))</f>
        <v/>
      </c>
      <c r="P1989" s="33">
        <f>IF($D1989="","",IFERROR(IF(INDEX(RUNS!$J$6:$J$1005,MATCH($D1989,RUNS!$A$6:$A$1005,0))="","",INDEX(RUNS!$J$6:$J$1005,MATCH($D1989,RUNS!$A$6:$A$1005,0))),""))</f>
        <v/>
      </c>
      <c r="Q1989" s="33">
        <f>IF($D1989="","",IFERROR(IF(INDEX(RUNS!$K$6:$K$1005,MATCH($D1989,RUNS!$A$6:$A$1005,0))="","",INDEX(RUNS!$K$6:$K$1005,MATCH($D1989,RUNS!$A$6:$A$1005,0))),""))</f>
        <v/>
      </c>
      <c r="R1989" s="34">
        <f>IF(OR($L1989="",$K1989=""),"",IFERROR(IF(INDEX(PARAMETRES!$H$43:$H$342,MATCH($L1989&amp;"|"&amp;$M1989&amp;"|"&amp;$N1989&amp;"|"&amp;$O1989&amp;"|"&amp;$P1989&amp;"|"&amp;$Q1989&amp;"|"&amp;$K1989,PARAMETRES!$J$43:$J$342,0))="","",INDEX(PARAMETRES!$H$43:$H$342,MATCH($L1989&amp;"|"&amp;$M1989&amp;"|"&amp;$N1989&amp;"|"&amp;$O1989&amp;"|"&amp;$P1989&amp;"|"&amp;$Q1989&amp;"|"&amp;$K1989,PARAMETRES!$J$43:$J$342,0))),""))</f>
        <v/>
      </c>
      <c r="S1989" s="35">
        <f>IF(OR($G1989="",$X1989&lt;&gt;"VALIDE"),"",IFERROR(LOOKUP(2,1/(($B1089:$B1988=$B1989)*($G1089:$G1988=$G1989)*($X1089:$X1988="VALIDE")),$C1089:$C1988),""))</f>
        <v/>
      </c>
      <c r="T1989" s="36">
        <f>IF(OR($C1989="",$S1989=""),"",ROUND(($C1989-$S1989+IF($C1989&lt;$S1989,1,0))*1440,0))</f>
        <v/>
      </c>
      <c r="U1989" s="22">
        <f>IF(OR($H1989="",$T1989="",$T1989&lt;=0),"",$H1989*60/$T1989)</f>
        <v/>
      </c>
      <c r="V1989" s="37">
        <f>IF(OR($U1989="",$R1989="",$R1989=0),"",$U1989/$R1989)</f>
        <v/>
      </c>
      <c r="W1989" s="20">
        <f>IF($G1989="","",IF($X1989="CONTEXTE INCOMPLET","CONTEXTE INCOMPLET",IF($X1989="DOUBLON",StatutDoublon,IF($S1989="",StatutInitial,IF($R1989="",StatutStandardManquant,IF($V1989="","DONNEES INSUFFISANTES",IF($V1989&gt;=SeuilConforme,StatutConforme,IF($V1989&gt;=SeuilSurveiller,StatutSurveiller,StatutSousStandard))))))))</f>
        <v/>
      </c>
      <c r="X1989" s="33">
        <f>IF($G1989="","",IF(OR($D1989="",$E1989="",$F1989=""),"CONTEXTE INCOMPLET",IF(COUNTIFS($D1089:$D1988,$D1989,$E1089:$E1988,$E1989,$F1089:$F1988,$F1989,$G1089:$G1988,$G1989)&gt;0,"DOUBLON","VALIDE")))</f>
        <v/>
      </c>
    </row>
    <row r="1990" ht="15" customHeight="1">
      <c r="A1990" s="12">
        <f>IF(OR($B1990="",$G1990=""),"",TEXT($B1990,"YYYYMMDD")&amp;"-"&amp;SUBSTITUTE($E1990," ","")&amp;"-"&amp;$F1990&amp;"-"&amp;$G1990)</f>
        <v/>
      </c>
      <c r="B1990" s="15" t="n"/>
      <c r="C1990" s="16" t="n"/>
      <c r="D1990" s="10" t="n"/>
      <c r="E1990" s="9" t="n"/>
      <c r="F1990" s="9" t="n"/>
      <c r="G1990" s="13" t="n"/>
      <c r="H1990" s="21" t="n"/>
      <c r="I1990" s="21" t="n"/>
      <c r="J1990" s="17">
        <f>IF($G1990="","",IFERROR(INDEX(NomsEmployes,MATCH($G1990,MatriculesEmployes,0)),"MATRICULE INCONNU"))</f>
        <v/>
      </c>
      <c r="K1990" s="33">
        <f>IF(OR($D1990="",$F1990=""),"",IFERROR(IF(INDEX(RUNS!$L$6:$S$1005,MATCH($D1990,RUNS!$A$6:$A$1005,0),MATCH("ACTIVITÉ "&amp;$F1990,RUNS!$L$5:$S$5,0))="","",INDEX(RUNS!$L$6:$S$1005,MATCH($D1990,RUNS!$A$6:$A$1005,0),MATCH("ACTIVITÉ "&amp;$F1990,RUNS!$L$5:$S$5,0))),""))</f>
        <v/>
      </c>
      <c r="L1990" s="33">
        <f>IF($D1990="","",IFERROR(IF(INDEX(RUNS!$E$6:$E$1005,MATCH($D1990,RUNS!$A$6:$A$1005,0))="","",INDEX(RUNS!$E$6:$E$1005,MATCH($D1990,RUNS!$A$6:$A$1005,0))),""))</f>
        <v/>
      </c>
      <c r="M1990" s="33">
        <f>IF($D1990="","",IFERROR(IF(INDEX(RUNS!$F$6:$F$1005,MATCH($D1990,RUNS!$A$6:$A$1005,0))="","",INDEX(RUNS!$F$6:$F$1005,MATCH($D1990,RUNS!$A$6:$A$1005,0))),""))</f>
        <v/>
      </c>
      <c r="N1990" s="33">
        <f>IF($D1990="","",IFERROR(IF(INDEX(RUNS!$G$6:$G$1005,MATCH($D1990,RUNS!$A$6:$A$1005,0))="","",INDEX(RUNS!$G$6:$G$1005,MATCH($D1990,RUNS!$A$6:$A$1005,0))),""))</f>
        <v/>
      </c>
      <c r="O1990" s="33">
        <f>IF($D1990="","",IFERROR(IF(INDEX(RUNS!$H$6:$H$1005,MATCH($D1990,RUNS!$A$6:$A$1005,0))="","",INDEX(RUNS!$H$6:$H$1005,MATCH($D1990,RUNS!$A$6:$A$1005,0))),""))</f>
        <v/>
      </c>
      <c r="P1990" s="33">
        <f>IF($D1990="","",IFERROR(IF(INDEX(RUNS!$J$6:$J$1005,MATCH($D1990,RUNS!$A$6:$A$1005,0))="","",INDEX(RUNS!$J$6:$J$1005,MATCH($D1990,RUNS!$A$6:$A$1005,0))),""))</f>
        <v/>
      </c>
      <c r="Q1990" s="33">
        <f>IF($D1990="","",IFERROR(IF(INDEX(RUNS!$K$6:$K$1005,MATCH($D1990,RUNS!$A$6:$A$1005,0))="","",INDEX(RUNS!$K$6:$K$1005,MATCH($D1990,RUNS!$A$6:$A$1005,0))),""))</f>
        <v/>
      </c>
      <c r="R1990" s="34">
        <f>IF(OR($L1990="",$K1990=""),"",IFERROR(IF(INDEX(PARAMETRES!$H$43:$H$342,MATCH($L1990&amp;"|"&amp;$M1990&amp;"|"&amp;$N1990&amp;"|"&amp;$O1990&amp;"|"&amp;$P1990&amp;"|"&amp;$Q1990&amp;"|"&amp;$K1990,PARAMETRES!$J$43:$J$342,0))="","",INDEX(PARAMETRES!$H$43:$H$342,MATCH($L1990&amp;"|"&amp;$M1990&amp;"|"&amp;$N1990&amp;"|"&amp;$O1990&amp;"|"&amp;$P1990&amp;"|"&amp;$Q1990&amp;"|"&amp;$K1990,PARAMETRES!$J$43:$J$342,0))),""))</f>
        <v/>
      </c>
      <c r="S1990" s="35">
        <f>IF(OR($G1990="",$X1990&lt;&gt;"VALIDE"),"",IFERROR(LOOKUP(2,1/(($B1090:$B1989=$B1990)*($G1090:$G1989=$G1990)*($X1090:$X1989="VALIDE")),$C1090:$C1989),""))</f>
        <v/>
      </c>
      <c r="T1990" s="36">
        <f>IF(OR($C1990="",$S1990=""),"",ROUND(($C1990-$S1990+IF($C1990&lt;$S1990,1,0))*1440,0))</f>
        <v/>
      </c>
      <c r="U1990" s="22">
        <f>IF(OR($H1990="",$T1990="",$T1990&lt;=0),"",$H1990*60/$T1990)</f>
        <v/>
      </c>
      <c r="V1990" s="37">
        <f>IF(OR($U1990="",$R1990="",$R1990=0),"",$U1990/$R1990)</f>
        <v/>
      </c>
      <c r="W1990" s="20">
        <f>IF($G1990="","",IF($X1990="CONTEXTE INCOMPLET","CONTEXTE INCOMPLET",IF($X1990="DOUBLON",StatutDoublon,IF($S1990="",StatutInitial,IF($R1990="",StatutStandardManquant,IF($V1990="","DONNEES INSUFFISANTES",IF($V1990&gt;=SeuilConforme,StatutConforme,IF($V1990&gt;=SeuilSurveiller,StatutSurveiller,StatutSousStandard))))))))</f>
        <v/>
      </c>
      <c r="X1990" s="33">
        <f>IF($G1990="","",IF(OR($D1990="",$E1990="",$F1990=""),"CONTEXTE INCOMPLET",IF(COUNTIFS($D1090:$D1989,$D1990,$E1090:$E1989,$E1990,$F1090:$F1989,$F1990,$G1090:$G1989,$G1990)&gt;0,"DOUBLON","VALIDE")))</f>
        <v/>
      </c>
    </row>
    <row r="1991" ht="15" customHeight="1">
      <c r="A1991" s="12">
        <f>IF(OR($B1991="",$G1991=""),"",TEXT($B1991,"YYYYMMDD")&amp;"-"&amp;SUBSTITUTE($E1991," ","")&amp;"-"&amp;$F1991&amp;"-"&amp;$G1991)</f>
        <v/>
      </c>
      <c r="B1991" s="15" t="n"/>
      <c r="C1991" s="16" t="n"/>
      <c r="D1991" s="10" t="n"/>
      <c r="E1991" s="9" t="n"/>
      <c r="F1991" s="9" t="n"/>
      <c r="G1991" s="13" t="n"/>
      <c r="H1991" s="21" t="n"/>
      <c r="I1991" s="21" t="n"/>
      <c r="J1991" s="17">
        <f>IF($G1991="","",IFERROR(INDEX(NomsEmployes,MATCH($G1991,MatriculesEmployes,0)),"MATRICULE INCONNU"))</f>
        <v/>
      </c>
      <c r="K1991" s="33">
        <f>IF(OR($D1991="",$F1991=""),"",IFERROR(IF(INDEX(RUNS!$L$6:$S$1005,MATCH($D1991,RUNS!$A$6:$A$1005,0),MATCH("ACTIVITÉ "&amp;$F1991,RUNS!$L$5:$S$5,0))="","",INDEX(RUNS!$L$6:$S$1005,MATCH($D1991,RUNS!$A$6:$A$1005,0),MATCH("ACTIVITÉ "&amp;$F1991,RUNS!$L$5:$S$5,0))),""))</f>
        <v/>
      </c>
      <c r="L1991" s="33">
        <f>IF($D1991="","",IFERROR(IF(INDEX(RUNS!$E$6:$E$1005,MATCH($D1991,RUNS!$A$6:$A$1005,0))="","",INDEX(RUNS!$E$6:$E$1005,MATCH($D1991,RUNS!$A$6:$A$1005,0))),""))</f>
        <v/>
      </c>
      <c r="M1991" s="33">
        <f>IF($D1991="","",IFERROR(IF(INDEX(RUNS!$F$6:$F$1005,MATCH($D1991,RUNS!$A$6:$A$1005,0))="","",INDEX(RUNS!$F$6:$F$1005,MATCH($D1991,RUNS!$A$6:$A$1005,0))),""))</f>
        <v/>
      </c>
      <c r="N1991" s="33">
        <f>IF($D1991="","",IFERROR(IF(INDEX(RUNS!$G$6:$G$1005,MATCH($D1991,RUNS!$A$6:$A$1005,0))="","",INDEX(RUNS!$G$6:$G$1005,MATCH($D1991,RUNS!$A$6:$A$1005,0))),""))</f>
        <v/>
      </c>
      <c r="O1991" s="33">
        <f>IF($D1991="","",IFERROR(IF(INDEX(RUNS!$H$6:$H$1005,MATCH($D1991,RUNS!$A$6:$A$1005,0))="","",INDEX(RUNS!$H$6:$H$1005,MATCH($D1991,RUNS!$A$6:$A$1005,0))),""))</f>
        <v/>
      </c>
      <c r="P1991" s="33">
        <f>IF($D1991="","",IFERROR(IF(INDEX(RUNS!$J$6:$J$1005,MATCH($D1991,RUNS!$A$6:$A$1005,0))="","",INDEX(RUNS!$J$6:$J$1005,MATCH($D1991,RUNS!$A$6:$A$1005,0))),""))</f>
        <v/>
      </c>
      <c r="Q1991" s="33">
        <f>IF($D1991="","",IFERROR(IF(INDEX(RUNS!$K$6:$K$1005,MATCH($D1991,RUNS!$A$6:$A$1005,0))="","",INDEX(RUNS!$K$6:$K$1005,MATCH($D1991,RUNS!$A$6:$A$1005,0))),""))</f>
        <v/>
      </c>
      <c r="R1991" s="34">
        <f>IF(OR($L1991="",$K1991=""),"",IFERROR(IF(INDEX(PARAMETRES!$H$43:$H$342,MATCH($L1991&amp;"|"&amp;$M1991&amp;"|"&amp;$N1991&amp;"|"&amp;$O1991&amp;"|"&amp;$P1991&amp;"|"&amp;$Q1991&amp;"|"&amp;$K1991,PARAMETRES!$J$43:$J$342,0))="","",INDEX(PARAMETRES!$H$43:$H$342,MATCH($L1991&amp;"|"&amp;$M1991&amp;"|"&amp;$N1991&amp;"|"&amp;$O1991&amp;"|"&amp;$P1991&amp;"|"&amp;$Q1991&amp;"|"&amp;$K1991,PARAMETRES!$J$43:$J$342,0))),""))</f>
        <v/>
      </c>
      <c r="S1991" s="35">
        <f>IF(OR($G1991="",$X1991&lt;&gt;"VALIDE"),"",IFERROR(LOOKUP(2,1/(($B1091:$B1990=$B1991)*($G1091:$G1990=$G1991)*($X1091:$X1990="VALIDE")),$C1091:$C1990),""))</f>
        <v/>
      </c>
      <c r="T1991" s="36">
        <f>IF(OR($C1991="",$S1991=""),"",ROUND(($C1991-$S1991+IF($C1991&lt;$S1991,1,0))*1440,0))</f>
        <v/>
      </c>
      <c r="U1991" s="22">
        <f>IF(OR($H1991="",$T1991="",$T1991&lt;=0),"",$H1991*60/$T1991)</f>
        <v/>
      </c>
      <c r="V1991" s="37">
        <f>IF(OR($U1991="",$R1991="",$R1991=0),"",$U1991/$R1991)</f>
        <v/>
      </c>
      <c r="W1991" s="20">
        <f>IF($G1991="","",IF($X1991="CONTEXTE INCOMPLET","CONTEXTE INCOMPLET",IF($X1991="DOUBLON",StatutDoublon,IF($S1991="",StatutInitial,IF($R1991="",StatutStandardManquant,IF($V1991="","DONNEES INSUFFISANTES",IF($V1991&gt;=SeuilConforme,StatutConforme,IF($V1991&gt;=SeuilSurveiller,StatutSurveiller,StatutSousStandard))))))))</f>
        <v/>
      </c>
      <c r="X1991" s="33">
        <f>IF($G1991="","",IF(OR($D1991="",$E1991="",$F1991=""),"CONTEXTE INCOMPLET",IF(COUNTIFS($D1091:$D1990,$D1991,$E1091:$E1990,$E1991,$F1091:$F1990,$F1991,$G1091:$G1990,$G1991)&gt;0,"DOUBLON","VALIDE")))</f>
        <v/>
      </c>
    </row>
    <row r="1992" ht="15" customHeight="1">
      <c r="A1992" s="12">
        <f>IF(OR($B1992="",$G1992=""),"",TEXT($B1992,"YYYYMMDD")&amp;"-"&amp;SUBSTITUTE($E1992," ","")&amp;"-"&amp;$F1992&amp;"-"&amp;$G1992)</f>
        <v/>
      </c>
      <c r="B1992" s="15" t="n"/>
      <c r="C1992" s="16" t="n"/>
      <c r="D1992" s="10" t="n"/>
      <c r="E1992" s="9" t="n"/>
      <c r="F1992" s="9" t="n"/>
      <c r="G1992" s="13" t="n"/>
      <c r="H1992" s="21" t="n"/>
      <c r="I1992" s="21" t="n"/>
      <c r="J1992" s="17">
        <f>IF($G1992="","",IFERROR(INDEX(NomsEmployes,MATCH($G1992,MatriculesEmployes,0)),"MATRICULE INCONNU"))</f>
        <v/>
      </c>
      <c r="K1992" s="33">
        <f>IF(OR($D1992="",$F1992=""),"",IFERROR(IF(INDEX(RUNS!$L$6:$S$1005,MATCH($D1992,RUNS!$A$6:$A$1005,0),MATCH("ACTIVITÉ "&amp;$F1992,RUNS!$L$5:$S$5,0))="","",INDEX(RUNS!$L$6:$S$1005,MATCH($D1992,RUNS!$A$6:$A$1005,0),MATCH("ACTIVITÉ "&amp;$F1992,RUNS!$L$5:$S$5,0))),""))</f>
        <v/>
      </c>
      <c r="L1992" s="33">
        <f>IF($D1992="","",IFERROR(IF(INDEX(RUNS!$E$6:$E$1005,MATCH($D1992,RUNS!$A$6:$A$1005,0))="","",INDEX(RUNS!$E$6:$E$1005,MATCH($D1992,RUNS!$A$6:$A$1005,0))),""))</f>
        <v/>
      </c>
      <c r="M1992" s="33">
        <f>IF($D1992="","",IFERROR(IF(INDEX(RUNS!$F$6:$F$1005,MATCH($D1992,RUNS!$A$6:$A$1005,0))="","",INDEX(RUNS!$F$6:$F$1005,MATCH($D1992,RUNS!$A$6:$A$1005,0))),""))</f>
        <v/>
      </c>
      <c r="N1992" s="33">
        <f>IF($D1992="","",IFERROR(IF(INDEX(RUNS!$G$6:$G$1005,MATCH($D1992,RUNS!$A$6:$A$1005,0))="","",INDEX(RUNS!$G$6:$G$1005,MATCH($D1992,RUNS!$A$6:$A$1005,0))),""))</f>
        <v/>
      </c>
      <c r="O1992" s="33">
        <f>IF($D1992="","",IFERROR(IF(INDEX(RUNS!$H$6:$H$1005,MATCH($D1992,RUNS!$A$6:$A$1005,0))="","",INDEX(RUNS!$H$6:$H$1005,MATCH($D1992,RUNS!$A$6:$A$1005,0))),""))</f>
        <v/>
      </c>
      <c r="P1992" s="33">
        <f>IF($D1992="","",IFERROR(IF(INDEX(RUNS!$J$6:$J$1005,MATCH($D1992,RUNS!$A$6:$A$1005,0))="","",INDEX(RUNS!$J$6:$J$1005,MATCH($D1992,RUNS!$A$6:$A$1005,0))),""))</f>
        <v/>
      </c>
      <c r="Q1992" s="33">
        <f>IF($D1992="","",IFERROR(IF(INDEX(RUNS!$K$6:$K$1005,MATCH($D1992,RUNS!$A$6:$A$1005,0))="","",INDEX(RUNS!$K$6:$K$1005,MATCH($D1992,RUNS!$A$6:$A$1005,0))),""))</f>
        <v/>
      </c>
      <c r="R1992" s="34">
        <f>IF(OR($L1992="",$K1992=""),"",IFERROR(IF(INDEX(PARAMETRES!$H$43:$H$342,MATCH($L1992&amp;"|"&amp;$M1992&amp;"|"&amp;$N1992&amp;"|"&amp;$O1992&amp;"|"&amp;$P1992&amp;"|"&amp;$Q1992&amp;"|"&amp;$K1992,PARAMETRES!$J$43:$J$342,0))="","",INDEX(PARAMETRES!$H$43:$H$342,MATCH($L1992&amp;"|"&amp;$M1992&amp;"|"&amp;$N1992&amp;"|"&amp;$O1992&amp;"|"&amp;$P1992&amp;"|"&amp;$Q1992&amp;"|"&amp;$K1992,PARAMETRES!$J$43:$J$342,0))),""))</f>
        <v/>
      </c>
      <c r="S1992" s="35">
        <f>IF(OR($G1992="",$X1992&lt;&gt;"VALIDE"),"",IFERROR(LOOKUP(2,1/(($B1092:$B1991=$B1992)*($G1092:$G1991=$G1992)*($X1092:$X1991="VALIDE")),$C1092:$C1991),""))</f>
        <v/>
      </c>
      <c r="T1992" s="36">
        <f>IF(OR($C1992="",$S1992=""),"",ROUND(($C1992-$S1992+IF($C1992&lt;$S1992,1,0))*1440,0))</f>
        <v/>
      </c>
      <c r="U1992" s="22">
        <f>IF(OR($H1992="",$T1992="",$T1992&lt;=0),"",$H1992*60/$T1992)</f>
        <v/>
      </c>
      <c r="V1992" s="37">
        <f>IF(OR($U1992="",$R1992="",$R1992=0),"",$U1992/$R1992)</f>
        <v/>
      </c>
      <c r="W1992" s="20">
        <f>IF($G1992="","",IF($X1992="CONTEXTE INCOMPLET","CONTEXTE INCOMPLET",IF($X1992="DOUBLON",StatutDoublon,IF($S1992="",StatutInitial,IF($R1992="",StatutStandardManquant,IF($V1992="","DONNEES INSUFFISANTES",IF($V1992&gt;=SeuilConforme,StatutConforme,IF($V1992&gt;=SeuilSurveiller,StatutSurveiller,StatutSousStandard))))))))</f>
        <v/>
      </c>
      <c r="X1992" s="33">
        <f>IF($G1992="","",IF(OR($D1992="",$E1992="",$F1992=""),"CONTEXTE INCOMPLET",IF(COUNTIFS($D1092:$D1991,$D1992,$E1092:$E1991,$E1992,$F1092:$F1991,$F1992,$G1092:$G1991,$G1992)&gt;0,"DOUBLON","VALIDE")))</f>
        <v/>
      </c>
    </row>
    <row r="1993" ht="15" customHeight="1">
      <c r="A1993" s="12">
        <f>IF(OR($B1993="",$G1993=""),"",TEXT($B1993,"YYYYMMDD")&amp;"-"&amp;SUBSTITUTE($E1993," ","")&amp;"-"&amp;$F1993&amp;"-"&amp;$G1993)</f>
        <v/>
      </c>
      <c r="B1993" s="15" t="n"/>
      <c r="C1993" s="16" t="n"/>
      <c r="D1993" s="10" t="n"/>
      <c r="E1993" s="9" t="n"/>
      <c r="F1993" s="9" t="n"/>
      <c r="G1993" s="13" t="n"/>
      <c r="H1993" s="21" t="n"/>
      <c r="I1993" s="21" t="n"/>
      <c r="J1993" s="17">
        <f>IF($G1993="","",IFERROR(INDEX(NomsEmployes,MATCH($G1993,MatriculesEmployes,0)),"MATRICULE INCONNU"))</f>
        <v/>
      </c>
      <c r="K1993" s="33">
        <f>IF(OR($D1993="",$F1993=""),"",IFERROR(IF(INDEX(RUNS!$L$6:$S$1005,MATCH($D1993,RUNS!$A$6:$A$1005,0),MATCH("ACTIVITÉ "&amp;$F1993,RUNS!$L$5:$S$5,0))="","",INDEX(RUNS!$L$6:$S$1005,MATCH($D1993,RUNS!$A$6:$A$1005,0),MATCH("ACTIVITÉ "&amp;$F1993,RUNS!$L$5:$S$5,0))),""))</f>
        <v/>
      </c>
      <c r="L1993" s="33">
        <f>IF($D1993="","",IFERROR(IF(INDEX(RUNS!$E$6:$E$1005,MATCH($D1993,RUNS!$A$6:$A$1005,0))="","",INDEX(RUNS!$E$6:$E$1005,MATCH($D1993,RUNS!$A$6:$A$1005,0))),""))</f>
        <v/>
      </c>
      <c r="M1993" s="33">
        <f>IF($D1993="","",IFERROR(IF(INDEX(RUNS!$F$6:$F$1005,MATCH($D1993,RUNS!$A$6:$A$1005,0))="","",INDEX(RUNS!$F$6:$F$1005,MATCH($D1993,RUNS!$A$6:$A$1005,0))),""))</f>
        <v/>
      </c>
      <c r="N1993" s="33">
        <f>IF($D1993="","",IFERROR(IF(INDEX(RUNS!$G$6:$G$1005,MATCH($D1993,RUNS!$A$6:$A$1005,0))="","",INDEX(RUNS!$G$6:$G$1005,MATCH($D1993,RUNS!$A$6:$A$1005,0))),""))</f>
        <v/>
      </c>
      <c r="O1993" s="33">
        <f>IF($D1993="","",IFERROR(IF(INDEX(RUNS!$H$6:$H$1005,MATCH($D1993,RUNS!$A$6:$A$1005,0))="","",INDEX(RUNS!$H$6:$H$1005,MATCH($D1993,RUNS!$A$6:$A$1005,0))),""))</f>
        <v/>
      </c>
      <c r="P1993" s="33">
        <f>IF($D1993="","",IFERROR(IF(INDEX(RUNS!$J$6:$J$1005,MATCH($D1993,RUNS!$A$6:$A$1005,0))="","",INDEX(RUNS!$J$6:$J$1005,MATCH($D1993,RUNS!$A$6:$A$1005,0))),""))</f>
        <v/>
      </c>
      <c r="Q1993" s="33">
        <f>IF($D1993="","",IFERROR(IF(INDEX(RUNS!$K$6:$K$1005,MATCH($D1993,RUNS!$A$6:$A$1005,0))="","",INDEX(RUNS!$K$6:$K$1005,MATCH($D1993,RUNS!$A$6:$A$1005,0))),""))</f>
        <v/>
      </c>
      <c r="R1993" s="34">
        <f>IF(OR($L1993="",$K1993=""),"",IFERROR(IF(INDEX(PARAMETRES!$H$43:$H$342,MATCH($L1993&amp;"|"&amp;$M1993&amp;"|"&amp;$N1993&amp;"|"&amp;$O1993&amp;"|"&amp;$P1993&amp;"|"&amp;$Q1993&amp;"|"&amp;$K1993,PARAMETRES!$J$43:$J$342,0))="","",INDEX(PARAMETRES!$H$43:$H$342,MATCH($L1993&amp;"|"&amp;$M1993&amp;"|"&amp;$N1993&amp;"|"&amp;$O1993&amp;"|"&amp;$P1993&amp;"|"&amp;$Q1993&amp;"|"&amp;$K1993,PARAMETRES!$J$43:$J$342,0))),""))</f>
        <v/>
      </c>
      <c r="S1993" s="35">
        <f>IF(OR($G1993="",$X1993&lt;&gt;"VALIDE"),"",IFERROR(LOOKUP(2,1/(($B1093:$B1992=$B1993)*($G1093:$G1992=$G1993)*($X1093:$X1992="VALIDE")),$C1093:$C1992),""))</f>
        <v/>
      </c>
      <c r="T1993" s="36">
        <f>IF(OR($C1993="",$S1993=""),"",ROUND(($C1993-$S1993+IF($C1993&lt;$S1993,1,0))*1440,0))</f>
        <v/>
      </c>
      <c r="U1993" s="22">
        <f>IF(OR($H1993="",$T1993="",$T1993&lt;=0),"",$H1993*60/$T1993)</f>
        <v/>
      </c>
      <c r="V1993" s="37">
        <f>IF(OR($U1993="",$R1993="",$R1993=0),"",$U1993/$R1993)</f>
        <v/>
      </c>
      <c r="W1993" s="20">
        <f>IF($G1993="","",IF($X1993="CONTEXTE INCOMPLET","CONTEXTE INCOMPLET",IF($X1993="DOUBLON",StatutDoublon,IF($S1993="",StatutInitial,IF($R1993="",StatutStandardManquant,IF($V1993="","DONNEES INSUFFISANTES",IF($V1993&gt;=SeuilConforme,StatutConforme,IF($V1993&gt;=SeuilSurveiller,StatutSurveiller,StatutSousStandard))))))))</f>
        <v/>
      </c>
      <c r="X1993" s="33">
        <f>IF($G1993="","",IF(OR($D1993="",$E1993="",$F1993=""),"CONTEXTE INCOMPLET",IF(COUNTIFS($D1093:$D1992,$D1993,$E1093:$E1992,$E1993,$F1093:$F1992,$F1993,$G1093:$G1992,$G1993)&gt;0,"DOUBLON","VALIDE")))</f>
        <v/>
      </c>
    </row>
    <row r="1994" ht="15" customHeight="1">
      <c r="A1994" s="12">
        <f>IF(OR($B1994="",$G1994=""),"",TEXT($B1994,"YYYYMMDD")&amp;"-"&amp;SUBSTITUTE($E1994," ","")&amp;"-"&amp;$F1994&amp;"-"&amp;$G1994)</f>
        <v/>
      </c>
      <c r="B1994" s="15" t="n"/>
      <c r="C1994" s="16" t="n"/>
      <c r="D1994" s="10" t="n"/>
      <c r="E1994" s="9" t="n"/>
      <c r="F1994" s="9" t="n"/>
      <c r="G1994" s="13" t="n"/>
      <c r="H1994" s="21" t="n"/>
      <c r="I1994" s="21" t="n"/>
      <c r="J1994" s="17">
        <f>IF($G1994="","",IFERROR(INDEX(NomsEmployes,MATCH($G1994,MatriculesEmployes,0)),"MATRICULE INCONNU"))</f>
        <v/>
      </c>
      <c r="K1994" s="33">
        <f>IF(OR($D1994="",$F1994=""),"",IFERROR(IF(INDEX(RUNS!$L$6:$S$1005,MATCH($D1994,RUNS!$A$6:$A$1005,0),MATCH("ACTIVITÉ "&amp;$F1994,RUNS!$L$5:$S$5,0))="","",INDEX(RUNS!$L$6:$S$1005,MATCH($D1994,RUNS!$A$6:$A$1005,0),MATCH("ACTIVITÉ "&amp;$F1994,RUNS!$L$5:$S$5,0))),""))</f>
        <v/>
      </c>
      <c r="L1994" s="33">
        <f>IF($D1994="","",IFERROR(IF(INDEX(RUNS!$E$6:$E$1005,MATCH($D1994,RUNS!$A$6:$A$1005,0))="","",INDEX(RUNS!$E$6:$E$1005,MATCH($D1994,RUNS!$A$6:$A$1005,0))),""))</f>
        <v/>
      </c>
      <c r="M1994" s="33">
        <f>IF($D1994="","",IFERROR(IF(INDEX(RUNS!$F$6:$F$1005,MATCH($D1994,RUNS!$A$6:$A$1005,0))="","",INDEX(RUNS!$F$6:$F$1005,MATCH($D1994,RUNS!$A$6:$A$1005,0))),""))</f>
        <v/>
      </c>
      <c r="N1994" s="33">
        <f>IF($D1994="","",IFERROR(IF(INDEX(RUNS!$G$6:$G$1005,MATCH($D1994,RUNS!$A$6:$A$1005,0))="","",INDEX(RUNS!$G$6:$G$1005,MATCH($D1994,RUNS!$A$6:$A$1005,0))),""))</f>
        <v/>
      </c>
      <c r="O1994" s="33">
        <f>IF($D1994="","",IFERROR(IF(INDEX(RUNS!$H$6:$H$1005,MATCH($D1994,RUNS!$A$6:$A$1005,0))="","",INDEX(RUNS!$H$6:$H$1005,MATCH($D1994,RUNS!$A$6:$A$1005,0))),""))</f>
        <v/>
      </c>
      <c r="P1994" s="33">
        <f>IF($D1994="","",IFERROR(IF(INDEX(RUNS!$J$6:$J$1005,MATCH($D1994,RUNS!$A$6:$A$1005,0))="","",INDEX(RUNS!$J$6:$J$1005,MATCH($D1994,RUNS!$A$6:$A$1005,0))),""))</f>
        <v/>
      </c>
      <c r="Q1994" s="33">
        <f>IF($D1994="","",IFERROR(IF(INDEX(RUNS!$K$6:$K$1005,MATCH($D1994,RUNS!$A$6:$A$1005,0))="","",INDEX(RUNS!$K$6:$K$1005,MATCH($D1994,RUNS!$A$6:$A$1005,0))),""))</f>
        <v/>
      </c>
      <c r="R1994" s="34">
        <f>IF(OR($L1994="",$K1994=""),"",IFERROR(IF(INDEX(PARAMETRES!$H$43:$H$342,MATCH($L1994&amp;"|"&amp;$M1994&amp;"|"&amp;$N1994&amp;"|"&amp;$O1994&amp;"|"&amp;$P1994&amp;"|"&amp;$Q1994&amp;"|"&amp;$K1994,PARAMETRES!$J$43:$J$342,0))="","",INDEX(PARAMETRES!$H$43:$H$342,MATCH($L1994&amp;"|"&amp;$M1994&amp;"|"&amp;$N1994&amp;"|"&amp;$O1994&amp;"|"&amp;$P1994&amp;"|"&amp;$Q1994&amp;"|"&amp;$K1994,PARAMETRES!$J$43:$J$342,0))),""))</f>
        <v/>
      </c>
      <c r="S1994" s="35">
        <f>IF(OR($G1994="",$X1994&lt;&gt;"VALIDE"),"",IFERROR(LOOKUP(2,1/(($B1094:$B1993=$B1994)*($G1094:$G1993=$G1994)*($X1094:$X1993="VALIDE")),$C1094:$C1993),""))</f>
        <v/>
      </c>
      <c r="T1994" s="36">
        <f>IF(OR($C1994="",$S1994=""),"",ROUND(($C1994-$S1994+IF($C1994&lt;$S1994,1,0))*1440,0))</f>
        <v/>
      </c>
      <c r="U1994" s="22">
        <f>IF(OR($H1994="",$T1994="",$T1994&lt;=0),"",$H1994*60/$T1994)</f>
        <v/>
      </c>
      <c r="V1994" s="37">
        <f>IF(OR($U1994="",$R1994="",$R1994=0),"",$U1994/$R1994)</f>
        <v/>
      </c>
      <c r="W1994" s="20">
        <f>IF($G1994="","",IF($X1994="CONTEXTE INCOMPLET","CONTEXTE INCOMPLET",IF($X1994="DOUBLON",StatutDoublon,IF($S1994="",StatutInitial,IF($R1994="",StatutStandardManquant,IF($V1994="","DONNEES INSUFFISANTES",IF($V1994&gt;=SeuilConforme,StatutConforme,IF($V1994&gt;=SeuilSurveiller,StatutSurveiller,StatutSousStandard))))))))</f>
        <v/>
      </c>
      <c r="X1994" s="33">
        <f>IF($G1994="","",IF(OR($D1994="",$E1994="",$F1994=""),"CONTEXTE INCOMPLET",IF(COUNTIFS($D1094:$D1993,$D1994,$E1094:$E1993,$E1994,$F1094:$F1993,$F1994,$G1094:$G1993,$G1994)&gt;0,"DOUBLON","VALIDE")))</f>
        <v/>
      </c>
    </row>
    <row r="1995" ht="15" customHeight="1">
      <c r="A1995" s="12">
        <f>IF(OR($B1995="",$G1995=""),"",TEXT($B1995,"YYYYMMDD")&amp;"-"&amp;SUBSTITUTE($E1995," ","")&amp;"-"&amp;$F1995&amp;"-"&amp;$G1995)</f>
        <v/>
      </c>
      <c r="B1995" s="15" t="n"/>
      <c r="C1995" s="16" t="n"/>
      <c r="D1995" s="10" t="n"/>
      <c r="E1995" s="9" t="n"/>
      <c r="F1995" s="9" t="n"/>
      <c r="G1995" s="13" t="n"/>
      <c r="H1995" s="21" t="n"/>
      <c r="I1995" s="21" t="n"/>
      <c r="J1995" s="17">
        <f>IF($G1995="","",IFERROR(INDEX(NomsEmployes,MATCH($G1995,MatriculesEmployes,0)),"MATRICULE INCONNU"))</f>
        <v/>
      </c>
      <c r="K1995" s="33">
        <f>IF(OR($D1995="",$F1995=""),"",IFERROR(IF(INDEX(RUNS!$L$6:$S$1005,MATCH($D1995,RUNS!$A$6:$A$1005,0),MATCH("ACTIVITÉ "&amp;$F1995,RUNS!$L$5:$S$5,0))="","",INDEX(RUNS!$L$6:$S$1005,MATCH($D1995,RUNS!$A$6:$A$1005,0),MATCH("ACTIVITÉ "&amp;$F1995,RUNS!$L$5:$S$5,0))),""))</f>
        <v/>
      </c>
      <c r="L1995" s="33">
        <f>IF($D1995="","",IFERROR(IF(INDEX(RUNS!$E$6:$E$1005,MATCH($D1995,RUNS!$A$6:$A$1005,0))="","",INDEX(RUNS!$E$6:$E$1005,MATCH($D1995,RUNS!$A$6:$A$1005,0))),""))</f>
        <v/>
      </c>
      <c r="M1995" s="33">
        <f>IF($D1995="","",IFERROR(IF(INDEX(RUNS!$F$6:$F$1005,MATCH($D1995,RUNS!$A$6:$A$1005,0))="","",INDEX(RUNS!$F$6:$F$1005,MATCH($D1995,RUNS!$A$6:$A$1005,0))),""))</f>
        <v/>
      </c>
      <c r="N1995" s="33">
        <f>IF($D1995="","",IFERROR(IF(INDEX(RUNS!$G$6:$G$1005,MATCH($D1995,RUNS!$A$6:$A$1005,0))="","",INDEX(RUNS!$G$6:$G$1005,MATCH($D1995,RUNS!$A$6:$A$1005,0))),""))</f>
        <v/>
      </c>
      <c r="O1995" s="33">
        <f>IF($D1995="","",IFERROR(IF(INDEX(RUNS!$H$6:$H$1005,MATCH($D1995,RUNS!$A$6:$A$1005,0))="","",INDEX(RUNS!$H$6:$H$1005,MATCH($D1995,RUNS!$A$6:$A$1005,0))),""))</f>
        <v/>
      </c>
      <c r="P1995" s="33">
        <f>IF($D1995="","",IFERROR(IF(INDEX(RUNS!$J$6:$J$1005,MATCH($D1995,RUNS!$A$6:$A$1005,0))="","",INDEX(RUNS!$J$6:$J$1005,MATCH($D1995,RUNS!$A$6:$A$1005,0))),""))</f>
        <v/>
      </c>
      <c r="Q1995" s="33">
        <f>IF($D1995="","",IFERROR(IF(INDEX(RUNS!$K$6:$K$1005,MATCH($D1995,RUNS!$A$6:$A$1005,0))="","",INDEX(RUNS!$K$6:$K$1005,MATCH($D1995,RUNS!$A$6:$A$1005,0))),""))</f>
        <v/>
      </c>
      <c r="R1995" s="34">
        <f>IF(OR($L1995="",$K1995=""),"",IFERROR(IF(INDEX(PARAMETRES!$H$43:$H$342,MATCH($L1995&amp;"|"&amp;$M1995&amp;"|"&amp;$N1995&amp;"|"&amp;$O1995&amp;"|"&amp;$P1995&amp;"|"&amp;$Q1995&amp;"|"&amp;$K1995,PARAMETRES!$J$43:$J$342,0))="","",INDEX(PARAMETRES!$H$43:$H$342,MATCH($L1995&amp;"|"&amp;$M1995&amp;"|"&amp;$N1995&amp;"|"&amp;$O1995&amp;"|"&amp;$P1995&amp;"|"&amp;$Q1995&amp;"|"&amp;$K1995,PARAMETRES!$J$43:$J$342,0))),""))</f>
        <v/>
      </c>
      <c r="S1995" s="35">
        <f>IF(OR($G1995="",$X1995&lt;&gt;"VALIDE"),"",IFERROR(LOOKUP(2,1/(($B1095:$B1994=$B1995)*($G1095:$G1994=$G1995)*($X1095:$X1994="VALIDE")),$C1095:$C1994),""))</f>
        <v/>
      </c>
      <c r="T1995" s="36">
        <f>IF(OR($C1995="",$S1995=""),"",ROUND(($C1995-$S1995+IF($C1995&lt;$S1995,1,0))*1440,0))</f>
        <v/>
      </c>
      <c r="U1995" s="22">
        <f>IF(OR($H1995="",$T1995="",$T1995&lt;=0),"",$H1995*60/$T1995)</f>
        <v/>
      </c>
      <c r="V1995" s="37">
        <f>IF(OR($U1995="",$R1995="",$R1995=0),"",$U1995/$R1995)</f>
        <v/>
      </c>
      <c r="W1995" s="20">
        <f>IF($G1995="","",IF($X1995="CONTEXTE INCOMPLET","CONTEXTE INCOMPLET",IF($X1995="DOUBLON",StatutDoublon,IF($S1995="",StatutInitial,IF($R1995="",StatutStandardManquant,IF($V1995="","DONNEES INSUFFISANTES",IF($V1995&gt;=SeuilConforme,StatutConforme,IF($V1995&gt;=SeuilSurveiller,StatutSurveiller,StatutSousStandard))))))))</f>
        <v/>
      </c>
      <c r="X1995" s="33">
        <f>IF($G1995="","",IF(OR($D1995="",$E1995="",$F1995=""),"CONTEXTE INCOMPLET",IF(COUNTIFS($D1095:$D1994,$D1995,$E1095:$E1994,$E1995,$F1095:$F1994,$F1995,$G1095:$G1994,$G1995)&gt;0,"DOUBLON","VALIDE")))</f>
        <v/>
      </c>
    </row>
    <row r="1996" ht="15" customHeight="1">
      <c r="A1996" s="12">
        <f>IF(OR($B1996="",$G1996=""),"",TEXT($B1996,"YYYYMMDD")&amp;"-"&amp;SUBSTITUTE($E1996," ","")&amp;"-"&amp;$F1996&amp;"-"&amp;$G1996)</f>
        <v/>
      </c>
      <c r="B1996" s="15" t="n"/>
      <c r="C1996" s="16" t="n"/>
      <c r="D1996" s="10" t="n"/>
      <c r="E1996" s="9" t="n"/>
      <c r="F1996" s="9" t="n"/>
      <c r="G1996" s="13" t="n"/>
      <c r="H1996" s="21" t="n"/>
      <c r="I1996" s="21" t="n"/>
      <c r="J1996" s="17">
        <f>IF($G1996="","",IFERROR(INDEX(NomsEmployes,MATCH($G1996,MatriculesEmployes,0)),"MATRICULE INCONNU"))</f>
        <v/>
      </c>
      <c r="K1996" s="33">
        <f>IF(OR($D1996="",$F1996=""),"",IFERROR(IF(INDEX(RUNS!$L$6:$S$1005,MATCH($D1996,RUNS!$A$6:$A$1005,0),MATCH("ACTIVITÉ "&amp;$F1996,RUNS!$L$5:$S$5,0))="","",INDEX(RUNS!$L$6:$S$1005,MATCH($D1996,RUNS!$A$6:$A$1005,0),MATCH("ACTIVITÉ "&amp;$F1996,RUNS!$L$5:$S$5,0))),""))</f>
        <v/>
      </c>
      <c r="L1996" s="33">
        <f>IF($D1996="","",IFERROR(IF(INDEX(RUNS!$E$6:$E$1005,MATCH($D1996,RUNS!$A$6:$A$1005,0))="","",INDEX(RUNS!$E$6:$E$1005,MATCH($D1996,RUNS!$A$6:$A$1005,0))),""))</f>
        <v/>
      </c>
      <c r="M1996" s="33">
        <f>IF($D1996="","",IFERROR(IF(INDEX(RUNS!$F$6:$F$1005,MATCH($D1996,RUNS!$A$6:$A$1005,0))="","",INDEX(RUNS!$F$6:$F$1005,MATCH($D1996,RUNS!$A$6:$A$1005,0))),""))</f>
        <v/>
      </c>
      <c r="N1996" s="33">
        <f>IF($D1996="","",IFERROR(IF(INDEX(RUNS!$G$6:$G$1005,MATCH($D1996,RUNS!$A$6:$A$1005,0))="","",INDEX(RUNS!$G$6:$G$1005,MATCH($D1996,RUNS!$A$6:$A$1005,0))),""))</f>
        <v/>
      </c>
      <c r="O1996" s="33">
        <f>IF($D1996="","",IFERROR(IF(INDEX(RUNS!$H$6:$H$1005,MATCH($D1996,RUNS!$A$6:$A$1005,0))="","",INDEX(RUNS!$H$6:$H$1005,MATCH($D1996,RUNS!$A$6:$A$1005,0))),""))</f>
        <v/>
      </c>
      <c r="P1996" s="33">
        <f>IF($D1996="","",IFERROR(IF(INDEX(RUNS!$J$6:$J$1005,MATCH($D1996,RUNS!$A$6:$A$1005,0))="","",INDEX(RUNS!$J$6:$J$1005,MATCH($D1996,RUNS!$A$6:$A$1005,0))),""))</f>
        <v/>
      </c>
      <c r="Q1996" s="33">
        <f>IF($D1996="","",IFERROR(IF(INDEX(RUNS!$K$6:$K$1005,MATCH($D1996,RUNS!$A$6:$A$1005,0))="","",INDEX(RUNS!$K$6:$K$1005,MATCH($D1996,RUNS!$A$6:$A$1005,0))),""))</f>
        <v/>
      </c>
      <c r="R1996" s="34">
        <f>IF(OR($L1996="",$K1996=""),"",IFERROR(IF(INDEX(PARAMETRES!$H$43:$H$342,MATCH($L1996&amp;"|"&amp;$M1996&amp;"|"&amp;$N1996&amp;"|"&amp;$O1996&amp;"|"&amp;$P1996&amp;"|"&amp;$Q1996&amp;"|"&amp;$K1996,PARAMETRES!$J$43:$J$342,0))="","",INDEX(PARAMETRES!$H$43:$H$342,MATCH($L1996&amp;"|"&amp;$M1996&amp;"|"&amp;$N1996&amp;"|"&amp;$O1996&amp;"|"&amp;$P1996&amp;"|"&amp;$Q1996&amp;"|"&amp;$K1996,PARAMETRES!$J$43:$J$342,0))),""))</f>
        <v/>
      </c>
      <c r="S1996" s="35">
        <f>IF(OR($G1996="",$X1996&lt;&gt;"VALIDE"),"",IFERROR(LOOKUP(2,1/(($B1096:$B1995=$B1996)*($G1096:$G1995=$G1996)*($X1096:$X1995="VALIDE")),$C1096:$C1995),""))</f>
        <v/>
      </c>
      <c r="T1996" s="36">
        <f>IF(OR($C1996="",$S1996=""),"",ROUND(($C1996-$S1996+IF($C1996&lt;$S1996,1,0))*1440,0))</f>
        <v/>
      </c>
      <c r="U1996" s="22">
        <f>IF(OR($H1996="",$T1996="",$T1996&lt;=0),"",$H1996*60/$T1996)</f>
        <v/>
      </c>
      <c r="V1996" s="37">
        <f>IF(OR($U1996="",$R1996="",$R1996=0),"",$U1996/$R1996)</f>
        <v/>
      </c>
      <c r="W1996" s="20">
        <f>IF($G1996="","",IF($X1996="CONTEXTE INCOMPLET","CONTEXTE INCOMPLET",IF($X1996="DOUBLON",StatutDoublon,IF($S1996="",StatutInitial,IF($R1996="",StatutStandardManquant,IF($V1996="","DONNEES INSUFFISANTES",IF($V1996&gt;=SeuilConforme,StatutConforme,IF($V1996&gt;=SeuilSurveiller,StatutSurveiller,StatutSousStandard))))))))</f>
        <v/>
      </c>
      <c r="X1996" s="33">
        <f>IF($G1996="","",IF(OR($D1996="",$E1996="",$F1996=""),"CONTEXTE INCOMPLET",IF(COUNTIFS($D1096:$D1995,$D1996,$E1096:$E1995,$E1996,$F1096:$F1995,$F1996,$G1096:$G1995,$G1996)&gt;0,"DOUBLON","VALIDE")))</f>
        <v/>
      </c>
    </row>
    <row r="1997" ht="15" customHeight="1">
      <c r="A1997" s="12">
        <f>IF(OR($B1997="",$G1997=""),"",TEXT($B1997,"YYYYMMDD")&amp;"-"&amp;SUBSTITUTE($E1997," ","")&amp;"-"&amp;$F1997&amp;"-"&amp;$G1997)</f>
        <v/>
      </c>
      <c r="B1997" s="15" t="n"/>
      <c r="C1997" s="16" t="n"/>
      <c r="D1997" s="10" t="n"/>
      <c r="E1997" s="9" t="n"/>
      <c r="F1997" s="9" t="n"/>
      <c r="G1997" s="13" t="n"/>
      <c r="H1997" s="21" t="n"/>
      <c r="I1997" s="21" t="n"/>
      <c r="J1997" s="17">
        <f>IF($G1997="","",IFERROR(INDEX(NomsEmployes,MATCH($G1997,MatriculesEmployes,0)),"MATRICULE INCONNU"))</f>
        <v/>
      </c>
      <c r="K1997" s="33">
        <f>IF(OR($D1997="",$F1997=""),"",IFERROR(IF(INDEX(RUNS!$L$6:$S$1005,MATCH($D1997,RUNS!$A$6:$A$1005,0),MATCH("ACTIVITÉ "&amp;$F1997,RUNS!$L$5:$S$5,0))="","",INDEX(RUNS!$L$6:$S$1005,MATCH($D1997,RUNS!$A$6:$A$1005,0),MATCH("ACTIVITÉ "&amp;$F1997,RUNS!$L$5:$S$5,0))),""))</f>
        <v/>
      </c>
      <c r="L1997" s="33">
        <f>IF($D1997="","",IFERROR(IF(INDEX(RUNS!$E$6:$E$1005,MATCH($D1997,RUNS!$A$6:$A$1005,0))="","",INDEX(RUNS!$E$6:$E$1005,MATCH($D1997,RUNS!$A$6:$A$1005,0))),""))</f>
        <v/>
      </c>
      <c r="M1997" s="33">
        <f>IF($D1997="","",IFERROR(IF(INDEX(RUNS!$F$6:$F$1005,MATCH($D1997,RUNS!$A$6:$A$1005,0))="","",INDEX(RUNS!$F$6:$F$1005,MATCH($D1997,RUNS!$A$6:$A$1005,0))),""))</f>
        <v/>
      </c>
      <c r="N1997" s="33">
        <f>IF($D1997="","",IFERROR(IF(INDEX(RUNS!$G$6:$G$1005,MATCH($D1997,RUNS!$A$6:$A$1005,0))="","",INDEX(RUNS!$G$6:$G$1005,MATCH($D1997,RUNS!$A$6:$A$1005,0))),""))</f>
        <v/>
      </c>
      <c r="O1997" s="33">
        <f>IF($D1997="","",IFERROR(IF(INDEX(RUNS!$H$6:$H$1005,MATCH($D1997,RUNS!$A$6:$A$1005,0))="","",INDEX(RUNS!$H$6:$H$1005,MATCH($D1997,RUNS!$A$6:$A$1005,0))),""))</f>
        <v/>
      </c>
      <c r="P1997" s="33">
        <f>IF($D1997="","",IFERROR(IF(INDEX(RUNS!$J$6:$J$1005,MATCH($D1997,RUNS!$A$6:$A$1005,0))="","",INDEX(RUNS!$J$6:$J$1005,MATCH($D1997,RUNS!$A$6:$A$1005,0))),""))</f>
        <v/>
      </c>
      <c r="Q1997" s="33">
        <f>IF($D1997="","",IFERROR(IF(INDEX(RUNS!$K$6:$K$1005,MATCH($D1997,RUNS!$A$6:$A$1005,0))="","",INDEX(RUNS!$K$6:$K$1005,MATCH($D1997,RUNS!$A$6:$A$1005,0))),""))</f>
        <v/>
      </c>
      <c r="R1997" s="34">
        <f>IF(OR($L1997="",$K1997=""),"",IFERROR(IF(INDEX(PARAMETRES!$H$43:$H$342,MATCH($L1997&amp;"|"&amp;$M1997&amp;"|"&amp;$N1997&amp;"|"&amp;$O1997&amp;"|"&amp;$P1997&amp;"|"&amp;$Q1997&amp;"|"&amp;$K1997,PARAMETRES!$J$43:$J$342,0))="","",INDEX(PARAMETRES!$H$43:$H$342,MATCH($L1997&amp;"|"&amp;$M1997&amp;"|"&amp;$N1997&amp;"|"&amp;$O1997&amp;"|"&amp;$P1997&amp;"|"&amp;$Q1997&amp;"|"&amp;$K1997,PARAMETRES!$J$43:$J$342,0))),""))</f>
        <v/>
      </c>
      <c r="S1997" s="35">
        <f>IF(OR($G1997="",$X1997&lt;&gt;"VALIDE"),"",IFERROR(LOOKUP(2,1/(($B1097:$B1996=$B1997)*($G1097:$G1996=$G1997)*($X1097:$X1996="VALIDE")),$C1097:$C1996),""))</f>
        <v/>
      </c>
      <c r="T1997" s="36">
        <f>IF(OR($C1997="",$S1997=""),"",ROUND(($C1997-$S1997+IF($C1997&lt;$S1997,1,0))*1440,0))</f>
        <v/>
      </c>
      <c r="U1997" s="22">
        <f>IF(OR($H1997="",$T1997="",$T1997&lt;=0),"",$H1997*60/$T1997)</f>
        <v/>
      </c>
      <c r="V1997" s="37">
        <f>IF(OR($U1997="",$R1997="",$R1997=0),"",$U1997/$R1997)</f>
        <v/>
      </c>
      <c r="W1997" s="20">
        <f>IF($G1997="","",IF($X1997="CONTEXTE INCOMPLET","CONTEXTE INCOMPLET",IF($X1997="DOUBLON",StatutDoublon,IF($S1997="",StatutInitial,IF($R1997="",StatutStandardManquant,IF($V1997="","DONNEES INSUFFISANTES",IF($V1997&gt;=SeuilConforme,StatutConforme,IF($V1997&gt;=SeuilSurveiller,StatutSurveiller,StatutSousStandard))))))))</f>
        <v/>
      </c>
      <c r="X1997" s="33">
        <f>IF($G1997="","",IF(OR($D1997="",$E1997="",$F1997=""),"CONTEXTE INCOMPLET",IF(COUNTIFS($D1097:$D1996,$D1997,$E1097:$E1996,$E1997,$F1097:$F1996,$F1997,$G1097:$G1996,$G1997)&gt;0,"DOUBLON","VALIDE")))</f>
        <v/>
      </c>
    </row>
    <row r="1998" ht="15" customHeight="1">
      <c r="A1998" s="12">
        <f>IF(OR($B1998="",$G1998=""),"",TEXT($B1998,"YYYYMMDD")&amp;"-"&amp;SUBSTITUTE($E1998," ","")&amp;"-"&amp;$F1998&amp;"-"&amp;$G1998)</f>
        <v/>
      </c>
      <c r="B1998" s="15" t="n"/>
      <c r="C1998" s="16" t="n"/>
      <c r="D1998" s="10" t="n"/>
      <c r="E1998" s="9" t="n"/>
      <c r="F1998" s="9" t="n"/>
      <c r="G1998" s="13" t="n"/>
      <c r="H1998" s="21" t="n"/>
      <c r="I1998" s="21" t="n"/>
      <c r="J1998" s="17">
        <f>IF($G1998="","",IFERROR(INDEX(NomsEmployes,MATCH($G1998,MatriculesEmployes,0)),"MATRICULE INCONNU"))</f>
        <v/>
      </c>
      <c r="K1998" s="33">
        <f>IF(OR($D1998="",$F1998=""),"",IFERROR(IF(INDEX(RUNS!$L$6:$S$1005,MATCH($D1998,RUNS!$A$6:$A$1005,0),MATCH("ACTIVITÉ "&amp;$F1998,RUNS!$L$5:$S$5,0))="","",INDEX(RUNS!$L$6:$S$1005,MATCH($D1998,RUNS!$A$6:$A$1005,0),MATCH("ACTIVITÉ "&amp;$F1998,RUNS!$L$5:$S$5,0))),""))</f>
        <v/>
      </c>
      <c r="L1998" s="33">
        <f>IF($D1998="","",IFERROR(IF(INDEX(RUNS!$E$6:$E$1005,MATCH($D1998,RUNS!$A$6:$A$1005,0))="","",INDEX(RUNS!$E$6:$E$1005,MATCH($D1998,RUNS!$A$6:$A$1005,0))),""))</f>
        <v/>
      </c>
      <c r="M1998" s="33">
        <f>IF($D1998="","",IFERROR(IF(INDEX(RUNS!$F$6:$F$1005,MATCH($D1998,RUNS!$A$6:$A$1005,0))="","",INDEX(RUNS!$F$6:$F$1005,MATCH($D1998,RUNS!$A$6:$A$1005,0))),""))</f>
        <v/>
      </c>
      <c r="N1998" s="33">
        <f>IF($D1998="","",IFERROR(IF(INDEX(RUNS!$G$6:$G$1005,MATCH($D1998,RUNS!$A$6:$A$1005,0))="","",INDEX(RUNS!$G$6:$G$1005,MATCH($D1998,RUNS!$A$6:$A$1005,0))),""))</f>
        <v/>
      </c>
      <c r="O1998" s="33">
        <f>IF($D1998="","",IFERROR(IF(INDEX(RUNS!$H$6:$H$1005,MATCH($D1998,RUNS!$A$6:$A$1005,0))="","",INDEX(RUNS!$H$6:$H$1005,MATCH($D1998,RUNS!$A$6:$A$1005,0))),""))</f>
        <v/>
      </c>
      <c r="P1998" s="33">
        <f>IF($D1998="","",IFERROR(IF(INDEX(RUNS!$J$6:$J$1005,MATCH($D1998,RUNS!$A$6:$A$1005,0))="","",INDEX(RUNS!$J$6:$J$1005,MATCH($D1998,RUNS!$A$6:$A$1005,0))),""))</f>
        <v/>
      </c>
      <c r="Q1998" s="33">
        <f>IF($D1998="","",IFERROR(IF(INDEX(RUNS!$K$6:$K$1005,MATCH($D1998,RUNS!$A$6:$A$1005,0))="","",INDEX(RUNS!$K$6:$K$1005,MATCH($D1998,RUNS!$A$6:$A$1005,0))),""))</f>
        <v/>
      </c>
      <c r="R1998" s="34">
        <f>IF(OR($L1998="",$K1998=""),"",IFERROR(IF(INDEX(PARAMETRES!$H$43:$H$342,MATCH($L1998&amp;"|"&amp;$M1998&amp;"|"&amp;$N1998&amp;"|"&amp;$O1998&amp;"|"&amp;$P1998&amp;"|"&amp;$Q1998&amp;"|"&amp;$K1998,PARAMETRES!$J$43:$J$342,0))="","",INDEX(PARAMETRES!$H$43:$H$342,MATCH($L1998&amp;"|"&amp;$M1998&amp;"|"&amp;$N1998&amp;"|"&amp;$O1998&amp;"|"&amp;$P1998&amp;"|"&amp;$Q1998&amp;"|"&amp;$K1998,PARAMETRES!$J$43:$J$342,0))),""))</f>
        <v/>
      </c>
      <c r="S1998" s="35">
        <f>IF(OR($G1998="",$X1998&lt;&gt;"VALIDE"),"",IFERROR(LOOKUP(2,1/(($B1098:$B1997=$B1998)*($G1098:$G1997=$G1998)*($X1098:$X1997="VALIDE")),$C1098:$C1997),""))</f>
        <v/>
      </c>
      <c r="T1998" s="36">
        <f>IF(OR($C1998="",$S1998=""),"",ROUND(($C1998-$S1998+IF($C1998&lt;$S1998,1,0))*1440,0))</f>
        <v/>
      </c>
      <c r="U1998" s="22">
        <f>IF(OR($H1998="",$T1998="",$T1998&lt;=0),"",$H1998*60/$T1998)</f>
        <v/>
      </c>
      <c r="V1998" s="37">
        <f>IF(OR($U1998="",$R1998="",$R1998=0),"",$U1998/$R1998)</f>
        <v/>
      </c>
      <c r="W1998" s="20">
        <f>IF($G1998="","",IF($X1998="CONTEXTE INCOMPLET","CONTEXTE INCOMPLET",IF($X1998="DOUBLON",StatutDoublon,IF($S1998="",StatutInitial,IF($R1998="",StatutStandardManquant,IF($V1998="","DONNEES INSUFFISANTES",IF($V1998&gt;=SeuilConforme,StatutConforme,IF($V1998&gt;=SeuilSurveiller,StatutSurveiller,StatutSousStandard))))))))</f>
        <v/>
      </c>
      <c r="X1998" s="33">
        <f>IF($G1998="","",IF(OR($D1998="",$E1998="",$F1998=""),"CONTEXTE INCOMPLET",IF(COUNTIFS($D1098:$D1997,$D1998,$E1098:$E1997,$E1998,$F1098:$F1997,$F1998,$G1098:$G1997,$G1998)&gt;0,"DOUBLON","VALIDE")))</f>
        <v/>
      </c>
    </row>
    <row r="1999" ht="15" customHeight="1">
      <c r="A1999" s="12">
        <f>IF(OR($B1999="",$G1999=""),"",TEXT($B1999,"YYYYMMDD")&amp;"-"&amp;SUBSTITUTE($E1999," ","")&amp;"-"&amp;$F1999&amp;"-"&amp;$G1999)</f>
        <v/>
      </c>
      <c r="B1999" s="15" t="n"/>
      <c r="C1999" s="16" t="n"/>
      <c r="D1999" s="10" t="n"/>
      <c r="E1999" s="9" t="n"/>
      <c r="F1999" s="9" t="n"/>
      <c r="G1999" s="13" t="n"/>
      <c r="H1999" s="21" t="n"/>
      <c r="I1999" s="21" t="n"/>
      <c r="J1999" s="17">
        <f>IF($G1999="","",IFERROR(INDEX(NomsEmployes,MATCH($G1999,MatriculesEmployes,0)),"MATRICULE INCONNU"))</f>
        <v/>
      </c>
      <c r="K1999" s="33">
        <f>IF(OR($D1999="",$F1999=""),"",IFERROR(IF(INDEX(RUNS!$L$6:$S$1005,MATCH($D1999,RUNS!$A$6:$A$1005,0),MATCH("ACTIVITÉ "&amp;$F1999,RUNS!$L$5:$S$5,0))="","",INDEX(RUNS!$L$6:$S$1005,MATCH($D1999,RUNS!$A$6:$A$1005,0),MATCH("ACTIVITÉ "&amp;$F1999,RUNS!$L$5:$S$5,0))),""))</f>
        <v/>
      </c>
      <c r="L1999" s="33">
        <f>IF($D1999="","",IFERROR(IF(INDEX(RUNS!$E$6:$E$1005,MATCH($D1999,RUNS!$A$6:$A$1005,0))="","",INDEX(RUNS!$E$6:$E$1005,MATCH($D1999,RUNS!$A$6:$A$1005,0))),""))</f>
        <v/>
      </c>
      <c r="M1999" s="33">
        <f>IF($D1999="","",IFERROR(IF(INDEX(RUNS!$F$6:$F$1005,MATCH($D1999,RUNS!$A$6:$A$1005,0))="","",INDEX(RUNS!$F$6:$F$1005,MATCH($D1999,RUNS!$A$6:$A$1005,0))),""))</f>
        <v/>
      </c>
      <c r="N1999" s="33">
        <f>IF($D1999="","",IFERROR(IF(INDEX(RUNS!$G$6:$G$1005,MATCH($D1999,RUNS!$A$6:$A$1005,0))="","",INDEX(RUNS!$G$6:$G$1005,MATCH($D1999,RUNS!$A$6:$A$1005,0))),""))</f>
        <v/>
      </c>
      <c r="O1999" s="33">
        <f>IF($D1999="","",IFERROR(IF(INDEX(RUNS!$H$6:$H$1005,MATCH($D1999,RUNS!$A$6:$A$1005,0))="","",INDEX(RUNS!$H$6:$H$1005,MATCH($D1999,RUNS!$A$6:$A$1005,0))),""))</f>
        <v/>
      </c>
      <c r="P1999" s="33">
        <f>IF($D1999="","",IFERROR(IF(INDEX(RUNS!$J$6:$J$1005,MATCH($D1999,RUNS!$A$6:$A$1005,0))="","",INDEX(RUNS!$J$6:$J$1005,MATCH($D1999,RUNS!$A$6:$A$1005,0))),""))</f>
        <v/>
      </c>
      <c r="Q1999" s="33">
        <f>IF($D1999="","",IFERROR(IF(INDEX(RUNS!$K$6:$K$1005,MATCH($D1999,RUNS!$A$6:$A$1005,0))="","",INDEX(RUNS!$K$6:$K$1005,MATCH($D1999,RUNS!$A$6:$A$1005,0))),""))</f>
        <v/>
      </c>
      <c r="R1999" s="34">
        <f>IF(OR($L1999="",$K1999=""),"",IFERROR(IF(INDEX(PARAMETRES!$H$43:$H$342,MATCH($L1999&amp;"|"&amp;$M1999&amp;"|"&amp;$N1999&amp;"|"&amp;$O1999&amp;"|"&amp;$P1999&amp;"|"&amp;$Q1999&amp;"|"&amp;$K1999,PARAMETRES!$J$43:$J$342,0))="","",INDEX(PARAMETRES!$H$43:$H$342,MATCH($L1999&amp;"|"&amp;$M1999&amp;"|"&amp;$N1999&amp;"|"&amp;$O1999&amp;"|"&amp;$P1999&amp;"|"&amp;$Q1999&amp;"|"&amp;$K1999,PARAMETRES!$J$43:$J$342,0))),""))</f>
        <v/>
      </c>
      <c r="S1999" s="35">
        <f>IF(OR($G1999="",$X1999&lt;&gt;"VALIDE"),"",IFERROR(LOOKUP(2,1/(($B1099:$B1998=$B1999)*($G1099:$G1998=$G1999)*($X1099:$X1998="VALIDE")),$C1099:$C1998),""))</f>
        <v/>
      </c>
      <c r="T1999" s="36">
        <f>IF(OR($C1999="",$S1999=""),"",ROUND(($C1999-$S1999+IF($C1999&lt;$S1999,1,0))*1440,0))</f>
        <v/>
      </c>
      <c r="U1999" s="22">
        <f>IF(OR($H1999="",$T1999="",$T1999&lt;=0),"",$H1999*60/$T1999)</f>
        <v/>
      </c>
      <c r="V1999" s="37">
        <f>IF(OR($U1999="",$R1999="",$R1999=0),"",$U1999/$R1999)</f>
        <v/>
      </c>
      <c r="W1999" s="20">
        <f>IF($G1999="","",IF($X1999="CONTEXTE INCOMPLET","CONTEXTE INCOMPLET",IF($X1999="DOUBLON",StatutDoublon,IF($S1999="",StatutInitial,IF($R1999="",StatutStandardManquant,IF($V1999="","DONNEES INSUFFISANTES",IF($V1999&gt;=SeuilConforme,StatutConforme,IF($V1999&gt;=SeuilSurveiller,StatutSurveiller,StatutSousStandard))))))))</f>
        <v/>
      </c>
      <c r="X1999" s="33">
        <f>IF($G1999="","",IF(OR($D1999="",$E1999="",$F1999=""),"CONTEXTE INCOMPLET",IF(COUNTIFS($D1099:$D1998,$D1999,$E1099:$E1998,$E1999,$F1099:$F1998,$F1999,$G1099:$G1998,$G1999)&gt;0,"DOUBLON","VALIDE")))</f>
        <v/>
      </c>
    </row>
    <row r="2000" ht="15" customHeight="1">
      <c r="A2000" s="12">
        <f>IF(OR($B2000="",$G2000=""),"",TEXT($B2000,"YYYYMMDD")&amp;"-"&amp;SUBSTITUTE($E2000," ","")&amp;"-"&amp;$F2000&amp;"-"&amp;$G2000)</f>
        <v/>
      </c>
      <c r="B2000" s="15" t="n"/>
      <c r="C2000" s="16" t="n"/>
      <c r="D2000" s="10" t="n"/>
      <c r="E2000" s="9" t="n"/>
      <c r="F2000" s="9" t="n"/>
      <c r="G2000" s="13" t="n"/>
      <c r="H2000" s="21" t="n"/>
      <c r="I2000" s="21" t="n"/>
      <c r="J2000" s="17">
        <f>IF($G2000="","",IFERROR(INDEX(NomsEmployes,MATCH($G2000,MatriculesEmployes,0)),"MATRICULE INCONNU"))</f>
        <v/>
      </c>
      <c r="K2000" s="33">
        <f>IF(OR($D2000="",$F2000=""),"",IFERROR(IF(INDEX(RUNS!$L$6:$S$1005,MATCH($D2000,RUNS!$A$6:$A$1005,0),MATCH("ACTIVITÉ "&amp;$F2000,RUNS!$L$5:$S$5,0))="","",INDEX(RUNS!$L$6:$S$1005,MATCH($D2000,RUNS!$A$6:$A$1005,0),MATCH("ACTIVITÉ "&amp;$F2000,RUNS!$L$5:$S$5,0))),""))</f>
        <v/>
      </c>
      <c r="L2000" s="33">
        <f>IF($D2000="","",IFERROR(IF(INDEX(RUNS!$E$6:$E$1005,MATCH($D2000,RUNS!$A$6:$A$1005,0))="","",INDEX(RUNS!$E$6:$E$1005,MATCH($D2000,RUNS!$A$6:$A$1005,0))),""))</f>
        <v/>
      </c>
      <c r="M2000" s="33">
        <f>IF($D2000="","",IFERROR(IF(INDEX(RUNS!$F$6:$F$1005,MATCH($D2000,RUNS!$A$6:$A$1005,0))="","",INDEX(RUNS!$F$6:$F$1005,MATCH($D2000,RUNS!$A$6:$A$1005,0))),""))</f>
        <v/>
      </c>
      <c r="N2000" s="33">
        <f>IF($D2000="","",IFERROR(IF(INDEX(RUNS!$G$6:$G$1005,MATCH($D2000,RUNS!$A$6:$A$1005,0))="","",INDEX(RUNS!$G$6:$G$1005,MATCH($D2000,RUNS!$A$6:$A$1005,0))),""))</f>
        <v/>
      </c>
      <c r="O2000" s="33">
        <f>IF($D2000="","",IFERROR(IF(INDEX(RUNS!$H$6:$H$1005,MATCH($D2000,RUNS!$A$6:$A$1005,0))="","",INDEX(RUNS!$H$6:$H$1005,MATCH($D2000,RUNS!$A$6:$A$1005,0))),""))</f>
        <v/>
      </c>
      <c r="P2000" s="33">
        <f>IF($D2000="","",IFERROR(IF(INDEX(RUNS!$J$6:$J$1005,MATCH($D2000,RUNS!$A$6:$A$1005,0))="","",INDEX(RUNS!$J$6:$J$1005,MATCH($D2000,RUNS!$A$6:$A$1005,0))),""))</f>
        <v/>
      </c>
      <c r="Q2000" s="33">
        <f>IF($D2000="","",IFERROR(IF(INDEX(RUNS!$K$6:$K$1005,MATCH($D2000,RUNS!$A$6:$A$1005,0))="","",INDEX(RUNS!$K$6:$K$1005,MATCH($D2000,RUNS!$A$6:$A$1005,0))),""))</f>
        <v/>
      </c>
      <c r="R2000" s="34">
        <f>IF(OR($L2000="",$K2000=""),"",IFERROR(IF(INDEX(PARAMETRES!$H$43:$H$342,MATCH($L2000&amp;"|"&amp;$M2000&amp;"|"&amp;$N2000&amp;"|"&amp;$O2000&amp;"|"&amp;$P2000&amp;"|"&amp;$Q2000&amp;"|"&amp;$K2000,PARAMETRES!$J$43:$J$342,0))="","",INDEX(PARAMETRES!$H$43:$H$342,MATCH($L2000&amp;"|"&amp;$M2000&amp;"|"&amp;$N2000&amp;"|"&amp;$O2000&amp;"|"&amp;$P2000&amp;"|"&amp;$Q2000&amp;"|"&amp;$K2000,PARAMETRES!$J$43:$J$342,0))),""))</f>
        <v/>
      </c>
      <c r="S2000" s="35">
        <f>IF(OR($G2000="",$X2000&lt;&gt;"VALIDE"),"",IFERROR(LOOKUP(2,1/(($B1100:$B1999=$B2000)*($G1100:$G1999=$G2000)*($X1100:$X1999="VALIDE")),$C1100:$C1999),""))</f>
        <v/>
      </c>
      <c r="T2000" s="36">
        <f>IF(OR($C2000="",$S2000=""),"",ROUND(($C2000-$S2000+IF($C2000&lt;$S2000,1,0))*1440,0))</f>
        <v/>
      </c>
      <c r="U2000" s="22">
        <f>IF(OR($H2000="",$T2000="",$T2000&lt;=0),"",$H2000*60/$T2000)</f>
        <v/>
      </c>
      <c r="V2000" s="37">
        <f>IF(OR($U2000="",$R2000="",$R2000=0),"",$U2000/$R2000)</f>
        <v/>
      </c>
      <c r="W2000" s="20">
        <f>IF($G2000="","",IF($X2000="CONTEXTE INCOMPLET","CONTEXTE INCOMPLET",IF($X2000="DOUBLON",StatutDoublon,IF($S2000="",StatutInitial,IF($R2000="",StatutStandardManquant,IF($V2000="","DONNEES INSUFFISANTES",IF($V2000&gt;=SeuilConforme,StatutConforme,IF($V2000&gt;=SeuilSurveiller,StatutSurveiller,StatutSousStandard))))))))</f>
        <v/>
      </c>
      <c r="X2000" s="33">
        <f>IF($G2000="","",IF(OR($D2000="",$E2000="",$F2000=""),"CONTEXTE INCOMPLET",IF(COUNTIFS($D1100:$D1999,$D2000,$E1100:$E1999,$E2000,$F1100:$F1999,$F2000,$G1100:$G1999,$G2000)&gt;0,"DOUBLON","VALIDE")))</f>
        <v/>
      </c>
    </row>
    <row r="2001" ht="15" customHeight="1">
      <c r="A2001" s="12">
        <f>IF(OR($B2001="",$G2001=""),"",TEXT($B2001,"YYYYMMDD")&amp;"-"&amp;SUBSTITUTE($E2001," ","")&amp;"-"&amp;$F2001&amp;"-"&amp;$G2001)</f>
        <v/>
      </c>
      <c r="B2001" s="15" t="n"/>
      <c r="C2001" s="16" t="n"/>
      <c r="D2001" s="10" t="n"/>
      <c r="E2001" s="9" t="n"/>
      <c r="F2001" s="9" t="n"/>
      <c r="G2001" s="13" t="n"/>
      <c r="H2001" s="21" t="n"/>
      <c r="I2001" s="21" t="n"/>
      <c r="J2001" s="17">
        <f>IF($G2001="","",IFERROR(INDEX(NomsEmployes,MATCH($G2001,MatriculesEmployes,0)),"MATRICULE INCONNU"))</f>
        <v/>
      </c>
      <c r="K2001" s="33">
        <f>IF(OR($D2001="",$F2001=""),"",IFERROR(IF(INDEX(RUNS!$L$6:$S$1005,MATCH($D2001,RUNS!$A$6:$A$1005,0),MATCH("ACTIVITÉ "&amp;$F2001,RUNS!$L$5:$S$5,0))="","",INDEX(RUNS!$L$6:$S$1005,MATCH($D2001,RUNS!$A$6:$A$1005,0),MATCH("ACTIVITÉ "&amp;$F2001,RUNS!$L$5:$S$5,0))),""))</f>
        <v/>
      </c>
      <c r="L2001" s="33">
        <f>IF($D2001="","",IFERROR(IF(INDEX(RUNS!$E$6:$E$1005,MATCH($D2001,RUNS!$A$6:$A$1005,0))="","",INDEX(RUNS!$E$6:$E$1005,MATCH($D2001,RUNS!$A$6:$A$1005,0))),""))</f>
        <v/>
      </c>
      <c r="M2001" s="33">
        <f>IF($D2001="","",IFERROR(IF(INDEX(RUNS!$F$6:$F$1005,MATCH($D2001,RUNS!$A$6:$A$1005,0))="","",INDEX(RUNS!$F$6:$F$1005,MATCH($D2001,RUNS!$A$6:$A$1005,0))),""))</f>
        <v/>
      </c>
      <c r="N2001" s="33">
        <f>IF($D2001="","",IFERROR(IF(INDEX(RUNS!$G$6:$G$1005,MATCH($D2001,RUNS!$A$6:$A$1005,0))="","",INDEX(RUNS!$G$6:$G$1005,MATCH($D2001,RUNS!$A$6:$A$1005,0))),""))</f>
        <v/>
      </c>
      <c r="O2001" s="33">
        <f>IF($D2001="","",IFERROR(IF(INDEX(RUNS!$H$6:$H$1005,MATCH($D2001,RUNS!$A$6:$A$1005,0))="","",INDEX(RUNS!$H$6:$H$1005,MATCH($D2001,RUNS!$A$6:$A$1005,0))),""))</f>
        <v/>
      </c>
      <c r="P2001" s="33">
        <f>IF($D2001="","",IFERROR(IF(INDEX(RUNS!$J$6:$J$1005,MATCH($D2001,RUNS!$A$6:$A$1005,0))="","",INDEX(RUNS!$J$6:$J$1005,MATCH($D2001,RUNS!$A$6:$A$1005,0))),""))</f>
        <v/>
      </c>
      <c r="Q2001" s="33">
        <f>IF($D2001="","",IFERROR(IF(INDEX(RUNS!$K$6:$K$1005,MATCH($D2001,RUNS!$A$6:$A$1005,0))="","",INDEX(RUNS!$K$6:$K$1005,MATCH($D2001,RUNS!$A$6:$A$1005,0))),""))</f>
        <v/>
      </c>
      <c r="R2001" s="34">
        <f>IF(OR($L2001="",$K2001=""),"",IFERROR(IF(INDEX(PARAMETRES!$H$43:$H$342,MATCH($L2001&amp;"|"&amp;$M2001&amp;"|"&amp;$N2001&amp;"|"&amp;$O2001&amp;"|"&amp;$P2001&amp;"|"&amp;$Q2001&amp;"|"&amp;$K2001,PARAMETRES!$J$43:$J$342,0))="","",INDEX(PARAMETRES!$H$43:$H$342,MATCH($L2001&amp;"|"&amp;$M2001&amp;"|"&amp;$N2001&amp;"|"&amp;$O2001&amp;"|"&amp;$P2001&amp;"|"&amp;$Q2001&amp;"|"&amp;$K2001,PARAMETRES!$J$43:$J$342,0))),""))</f>
        <v/>
      </c>
      <c r="S2001" s="35">
        <f>IF(OR($G2001="",$X2001&lt;&gt;"VALIDE"),"",IFERROR(LOOKUP(2,1/(($B1101:$B2000=$B2001)*($G1101:$G2000=$G2001)*($X1101:$X2000="VALIDE")),$C1101:$C2000),""))</f>
        <v/>
      </c>
      <c r="T2001" s="36">
        <f>IF(OR($C2001="",$S2001=""),"",ROUND(($C2001-$S2001+IF($C2001&lt;$S2001,1,0))*1440,0))</f>
        <v/>
      </c>
      <c r="U2001" s="22">
        <f>IF(OR($H2001="",$T2001="",$T2001&lt;=0),"",$H2001*60/$T2001)</f>
        <v/>
      </c>
      <c r="V2001" s="37">
        <f>IF(OR($U2001="",$R2001="",$R2001=0),"",$U2001/$R2001)</f>
        <v/>
      </c>
      <c r="W2001" s="20">
        <f>IF($G2001="","",IF($X2001="CONTEXTE INCOMPLET","CONTEXTE INCOMPLET",IF($X2001="DOUBLON",StatutDoublon,IF($S2001="",StatutInitial,IF($R2001="",StatutStandardManquant,IF($V2001="","DONNEES INSUFFISANTES",IF($V2001&gt;=SeuilConforme,StatutConforme,IF($V2001&gt;=SeuilSurveiller,StatutSurveiller,StatutSousStandard))))))))</f>
        <v/>
      </c>
      <c r="X2001" s="33">
        <f>IF($G2001="","",IF(OR($D2001="",$E2001="",$F2001=""),"CONTEXTE INCOMPLET",IF(COUNTIFS($D1101:$D2000,$D2001,$E1101:$E2000,$E2001,$F1101:$F2000,$F2001,$G1101:$G2000,$G2001)&gt;0,"DOUBLON","VALIDE")))</f>
        <v/>
      </c>
    </row>
    <row r="2002" ht="15" customHeight="1">
      <c r="A2002" s="12">
        <f>IF(OR($B2002="",$G2002=""),"",TEXT($B2002,"YYYYMMDD")&amp;"-"&amp;SUBSTITUTE($E2002," ","")&amp;"-"&amp;$F2002&amp;"-"&amp;$G2002)</f>
        <v/>
      </c>
      <c r="B2002" s="15" t="n"/>
      <c r="C2002" s="16" t="n"/>
      <c r="D2002" s="10" t="n"/>
      <c r="E2002" s="9" t="n"/>
      <c r="F2002" s="9" t="n"/>
      <c r="G2002" s="13" t="n"/>
      <c r="H2002" s="21" t="n"/>
      <c r="I2002" s="21" t="n"/>
      <c r="J2002" s="17">
        <f>IF($G2002="","",IFERROR(INDEX(NomsEmployes,MATCH($G2002,MatriculesEmployes,0)),"MATRICULE INCONNU"))</f>
        <v/>
      </c>
      <c r="K2002" s="33">
        <f>IF(OR($D2002="",$F2002=""),"",IFERROR(IF(INDEX(RUNS!$L$6:$S$1005,MATCH($D2002,RUNS!$A$6:$A$1005,0),MATCH("ACTIVITÉ "&amp;$F2002,RUNS!$L$5:$S$5,0))="","",INDEX(RUNS!$L$6:$S$1005,MATCH($D2002,RUNS!$A$6:$A$1005,0),MATCH("ACTIVITÉ "&amp;$F2002,RUNS!$L$5:$S$5,0))),""))</f>
        <v/>
      </c>
      <c r="L2002" s="33">
        <f>IF($D2002="","",IFERROR(IF(INDEX(RUNS!$E$6:$E$1005,MATCH($D2002,RUNS!$A$6:$A$1005,0))="","",INDEX(RUNS!$E$6:$E$1005,MATCH($D2002,RUNS!$A$6:$A$1005,0))),""))</f>
        <v/>
      </c>
      <c r="M2002" s="33">
        <f>IF($D2002="","",IFERROR(IF(INDEX(RUNS!$F$6:$F$1005,MATCH($D2002,RUNS!$A$6:$A$1005,0))="","",INDEX(RUNS!$F$6:$F$1005,MATCH($D2002,RUNS!$A$6:$A$1005,0))),""))</f>
        <v/>
      </c>
      <c r="N2002" s="33">
        <f>IF($D2002="","",IFERROR(IF(INDEX(RUNS!$G$6:$G$1005,MATCH($D2002,RUNS!$A$6:$A$1005,0))="","",INDEX(RUNS!$G$6:$G$1005,MATCH($D2002,RUNS!$A$6:$A$1005,0))),""))</f>
        <v/>
      </c>
      <c r="O2002" s="33">
        <f>IF($D2002="","",IFERROR(IF(INDEX(RUNS!$H$6:$H$1005,MATCH($D2002,RUNS!$A$6:$A$1005,0))="","",INDEX(RUNS!$H$6:$H$1005,MATCH($D2002,RUNS!$A$6:$A$1005,0))),""))</f>
        <v/>
      </c>
      <c r="P2002" s="33">
        <f>IF($D2002="","",IFERROR(IF(INDEX(RUNS!$J$6:$J$1005,MATCH($D2002,RUNS!$A$6:$A$1005,0))="","",INDEX(RUNS!$J$6:$J$1005,MATCH($D2002,RUNS!$A$6:$A$1005,0))),""))</f>
        <v/>
      </c>
      <c r="Q2002" s="33">
        <f>IF($D2002="","",IFERROR(IF(INDEX(RUNS!$K$6:$K$1005,MATCH($D2002,RUNS!$A$6:$A$1005,0))="","",INDEX(RUNS!$K$6:$K$1005,MATCH($D2002,RUNS!$A$6:$A$1005,0))),""))</f>
        <v/>
      </c>
      <c r="R2002" s="34">
        <f>IF(OR($L2002="",$K2002=""),"",IFERROR(IF(INDEX(PARAMETRES!$H$43:$H$342,MATCH($L2002&amp;"|"&amp;$M2002&amp;"|"&amp;$N2002&amp;"|"&amp;$O2002&amp;"|"&amp;$P2002&amp;"|"&amp;$Q2002&amp;"|"&amp;$K2002,PARAMETRES!$J$43:$J$342,0))="","",INDEX(PARAMETRES!$H$43:$H$342,MATCH($L2002&amp;"|"&amp;$M2002&amp;"|"&amp;$N2002&amp;"|"&amp;$O2002&amp;"|"&amp;$P2002&amp;"|"&amp;$Q2002&amp;"|"&amp;$K2002,PARAMETRES!$J$43:$J$342,0))),""))</f>
        <v/>
      </c>
      <c r="S2002" s="35">
        <f>IF(OR($G2002="",$X2002&lt;&gt;"VALIDE"),"",IFERROR(LOOKUP(2,1/(($B1102:$B2001=$B2002)*($G1102:$G2001=$G2002)*($X1102:$X2001="VALIDE")),$C1102:$C2001),""))</f>
        <v/>
      </c>
      <c r="T2002" s="36">
        <f>IF(OR($C2002="",$S2002=""),"",ROUND(($C2002-$S2002+IF($C2002&lt;$S2002,1,0))*1440,0))</f>
        <v/>
      </c>
      <c r="U2002" s="22">
        <f>IF(OR($H2002="",$T2002="",$T2002&lt;=0),"",$H2002*60/$T2002)</f>
        <v/>
      </c>
      <c r="V2002" s="37">
        <f>IF(OR($U2002="",$R2002="",$R2002=0),"",$U2002/$R2002)</f>
        <v/>
      </c>
      <c r="W2002" s="20">
        <f>IF($G2002="","",IF($X2002="CONTEXTE INCOMPLET","CONTEXTE INCOMPLET",IF($X2002="DOUBLON",StatutDoublon,IF($S2002="",StatutInitial,IF($R2002="",StatutStandardManquant,IF($V2002="","DONNEES INSUFFISANTES",IF($V2002&gt;=SeuilConforme,StatutConforme,IF($V2002&gt;=SeuilSurveiller,StatutSurveiller,StatutSousStandard))))))))</f>
        <v/>
      </c>
      <c r="X2002" s="33">
        <f>IF($G2002="","",IF(OR($D2002="",$E2002="",$F2002=""),"CONTEXTE INCOMPLET",IF(COUNTIFS($D1102:$D2001,$D2002,$E1102:$E2001,$E2002,$F1102:$F2001,$F2002,$G1102:$G2001,$G2002)&gt;0,"DOUBLON","VALIDE")))</f>
        <v/>
      </c>
    </row>
    <row r="2003" ht="15" customHeight="1">
      <c r="A2003" s="12">
        <f>IF(OR($B2003="",$G2003=""),"",TEXT($B2003,"YYYYMMDD")&amp;"-"&amp;SUBSTITUTE($E2003," ","")&amp;"-"&amp;$F2003&amp;"-"&amp;$G2003)</f>
        <v/>
      </c>
      <c r="B2003" s="15" t="n"/>
      <c r="C2003" s="16" t="n"/>
      <c r="D2003" s="10" t="n"/>
      <c r="E2003" s="9" t="n"/>
      <c r="F2003" s="9" t="n"/>
      <c r="G2003" s="13" t="n"/>
      <c r="H2003" s="21" t="n"/>
      <c r="I2003" s="21" t="n"/>
      <c r="J2003" s="17">
        <f>IF($G2003="","",IFERROR(INDEX(NomsEmployes,MATCH($G2003,MatriculesEmployes,0)),"MATRICULE INCONNU"))</f>
        <v/>
      </c>
      <c r="K2003" s="33">
        <f>IF(OR($D2003="",$F2003=""),"",IFERROR(IF(INDEX(RUNS!$L$6:$S$1005,MATCH($D2003,RUNS!$A$6:$A$1005,0),MATCH("ACTIVITÉ "&amp;$F2003,RUNS!$L$5:$S$5,0))="","",INDEX(RUNS!$L$6:$S$1005,MATCH($D2003,RUNS!$A$6:$A$1005,0),MATCH("ACTIVITÉ "&amp;$F2003,RUNS!$L$5:$S$5,0))),""))</f>
        <v/>
      </c>
      <c r="L2003" s="33">
        <f>IF($D2003="","",IFERROR(IF(INDEX(RUNS!$E$6:$E$1005,MATCH($D2003,RUNS!$A$6:$A$1005,0))="","",INDEX(RUNS!$E$6:$E$1005,MATCH($D2003,RUNS!$A$6:$A$1005,0))),""))</f>
        <v/>
      </c>
      <c r="M2003" s="33">
        <f>IF($D2003="","",IFERROR(IF(INDEX(RUNS!$F$6:$F$1005,MATCH($D2003,RUNS!$A$6:$A$1005,0))="","",INDEX(RUNS!$F$6:$F$1005,MATCH($D2003,RUNS!$A$6:$A$1005,0))),""))</f>
        <v/>
      </c>
      <c r="N2003" s="33">
        <f>IF($D2003="","",IFERROR(IF(INDEX(RUNS!$G$6:$G$1005,MATCH($D2003,RUNS!$A$6:$A$1005,0))="","",INDEX(RUNS!$G$6:$G$1005,MATCH($D2003,RUNS!$A$6:$A$1005,0))),""))</f>
        <v/>
      </c>
      <c r="O2003" s="33">
        <f>IF($D2003="","",IFERROR(IF(INDEX(RUNS!$H$6:$H$1005,MATCH($D2003,RUNS!$A$6:$A$1005,0))="","",INDEX(RUNS!$H$6:$H$1005,MATCH($D2003,RUNS!$A$6:$A$1005,0))),""))</f>
        <v/>
      </c>
      <c r="P2003" s="33">
        <f>IF($D2003="","",IFERROR(IF(INDEX(RUNS!$J$6:$J$1005,MATCH($D2003,RUNS!$A$6:$A$1005,0))="","",INDEX(RUNS!$J$6:$J$1005,MATCH($D2003,RUNS!$A$6:$A$1005,0))),""))</f>
        <v/>
      </c>
      <c r="Q2003" s="33">
        <f>IF($D2003="","",IFERROR(IF(INDEX(RUNS!$K$6:$K$1005,MATCH($D2003,RUNS!$A$6:$A$1005,0))="","",INDEX(RUNS!$K$6:$K$1005,MATCH($D2003,RUNS!$A$6:$A$1005,0))),""))</f>
        <v/>
      </c>
      <c r="R2003" s="34">
        <f>IF(OR($L2003="",$K2003=""),"",IFERROR(IF(INDEX(PARAMETRES!$H$43:$H$342,MATCH($L2003&amp;"|"&amp;$M2003&amp;"|"&amp;$N2003&amp;"|"&amp;$O2003&amp;"|"&amp;$P2003&amp;"|"&amp;$Q2003&amp;"|"&amp;$K2003,PARAMETRES!$J$43:$J$342,0))="","",INDEX(PARAMETRES!$H$43:$H$342,MATCH($L2003&amp;"|"&amp;$M2003&amp;"|"&amp;$N2003&amp;"|"&amp;$O2003&amp;"|"&amp;$P2003&amp;"|"&amp;$Q2003&amp;"|"&amp;$K2003,PARAMETRES!$J$43:$J$342,0))),""))</f>
        <v/>
      </c>
      <c r="S2003" s="35">
        <f>IF(OR($G2003="",$X2003&lt;&gt;"VALIDE"),"",IFERROR(LOOKUP(2,1/(($B1103:$B2002=$B2003)*($G1103:$G2002=$G2003)*($X1103:$X2002="VALIDE")),$C1103:$C2002),""))</f>
        <v/>
      </c>
      <c r="T2003" s="36">
        <f>IF(OR($C2003="",$S2003=""),"",ROUND(($C2003-$S2003+IF($C2003&lt;$S2003,1,0))*1440,0))</f>
        <v/>
      </c>
      <c r="U2003" s="22">
        <f>IF(OR($H2003="",$T2003="",$T2003&lt;=0),"",$H2003*60/$T2003)</f>
        <v/>
      </c>
      <c r="V2003" s="37">
        <f>IF(OR($U2003="",$R2003="",$R2003=0),"",$U2003/$R2003)</f>
        <v/>
      </c>
      <c r="W2003" s="20">
        <f>IF($G2003="","",IF($X2003="CONTEXTE INCOMPLET","CONTEXTE INCOMPLET",IF($X2003="DOUBLON",StatutDoublon,IF($S2003="",StatutInitial,IF($R2003="",StatutStandardManquant,IF($V2003="","DONNEES INSUFFISANTES",IF($V2003&gt;=SeuilConforme,StatutConforme,IF($V2003&gt;=SeuilSurveiller,StatutSurveiller,StatutSousStandard))))))))</f>
        <v/>
      </c>
      <c r="X2003" s="33">
        <f>IF($G2003="","",IF(OR($D2003="",$E2003="",$F2003=""),"CONTEXTE INCOMPLET",IF(COUNTIFS($D1103:$D2002,$D2003,$E1103:$E2002,$E2003,$F1103:$F2002,$F2003,$G1103:$G2002,$G2003)&gt;0,"DOUBLON","VALIDE")))</f>
        <v/>
      </c>
    </row>
  </sheetData>
  <mergeCells count="2">
    <mergeCell ref="A2:X2"/>
    <mergeCell ref="A1:X1"/>
  </mergeCells>
  <conditionalFormatting sqref="W4:W2003">
    <cfRule type="expression" priority="1" dxfId="0" stopIfTrue="0">
      <formula>=$W4=StatutConforme</formula>
    </cfRule>
    <cfRule type="expression" priority="2" dxfId="6" stopIfTrue="0">
      <formula>=$W4=StatutSurveiller</formula>
    </cfRule>
    <cfRule type="expression" priority="3" dxfId="3" stopIfTrue="0">
      <formula>=$W4=StatutSousStandard</formula>
    </cfRule>
    <cfRule type="expression" priority="4" dxfId="7" stopIfTrue="0">
      <formula>=AND($W4&lt;&gt;"",$U4="")</formula>
    </cfRule>
  </conditionalFormatting>
  <conditionalFormatting sqref="X4:X2003">
    <cfRule type="expression" priority="5" dxfId="3" stopIfTrue="0">
      <formula>=$X4="DOUBLON"</formula>
    </cfRule>
    <cfRule type="expression" priority="6" dxfId="6" stopIfTrue="0">
      <formula>=$X4="CONTEXTE INCOMPLET"</formula>
    </cfRule>
  </conditionalFormatting>
  <conditionalFormatting sqref="J4:J2003">
    <cfRule type="expression" priority="7" dxfId="2" stopIfTrue="0">
      <formula>=$J4="MATRICULE INCONNU"</formula>
    </cfRule>
  </conditionalFormatting>
  <dataValidations count="5">
    <dataValidation sqref="D4:D2003" showDropDown="0" showInputMessage="0" showErrorMessage="1" allowBlank="1" errorTitle="SAISIE REFUSEE" error="Valeur non autorisee. Choisir une valeur proposee dans la liste." type="list">
      <formula1>=ListeRuns</formula1>
    </dataValidation>
    <dataValidation sqref="E4:E2003" showDropDown="0" showInputMessage="0" showErrorMessage="1" allowBlank="1" errorTitle="SAISIE REFUSEE" error="Valeur non autorisee. Choisir une valeur proposee dans la liste." type="list">
      <formula1>=ListeTours</formula1>
    </dataValidation>
    <dataValidation sqref="F4:F2003" showDropDown="0" showInputMessage="0" showErrorMessage="1" allowBlank="1" errorTitle="SAISIE REFUSEE" error="Valeur non autorisee. Choisir une valeur proposee dans la liste." type="list">
      <formula1>=ListeLignes</formula1>
    </dataValidation>
    <dataValidation sqref="G4:G2003" showDropDown="0" showInputMessage="0" showErrorMessage="1" allowBlank="1" errorTitle="SAISIE REFUSEE" error="Valeur non autorisee. Choisir une valeur proposee dans la liste." type="list">
      <formula1>=ListeMatricules</formula1>
    </dataValidation>
    <dataValidation sqref="H4:H2003" showDropDown="0" showInputMessage="0" showErrorMessage="1" allowBlank="1" errorTitle="NB BOITES INVALIDE" error="Le nombre de boites doit etre un entier strictement positif." type="whole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7A598"/>
    <outlinePr summaryBelow="1" summaryRight="1"/>
    <pageSetUpPr/>
  </sheetPr>
  <dimension ref="A1:N17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13" customWidth="1" min="4" max="4"/>
    <col width="13" customWidth="1" min="5" max="5"/>
    <col width="14" customWidth="1" min="6" max="6"/>
    <col width="15" customWidth="1" min="7" max="7"/>
    <col width="14" customWidth="1" min="8" max="8"/>
    <col width="12" customWidth="1" min="9" max="9"/>
    <col width="12" customWidth="1" min="10" max="10"/>
    <col width="13" customWidth="1" min="11" max="11"/>
    <col width="15" customWidth="1" min="12" max="12"/>
    <col width="13" customWidth="1" min="13" max="13"/>
    <col width="13" customWidth="1" min="14" max="14"/>
  </cols>
  <sheetData>
    <row r="1" ht="30" customHeight="1">
      <c r="A1" s="1" t="inlineStr">
        <is>
          <t>SYNTHESE CONTROLES — PAR RUN ET PAR TOUR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3" t="inlineStr">
        <is>
          <t>Choisir un ID RUN et un TOUR : les huit lignes se calculent seules. La cadence MO est une productivite ponderee (total boites / total heures-femmes mesurees), jamais une moyenne des cadences individuelles.</t>
        </is>
      </c>
    </row>
    <row r="3" ht="21" customHeight="1">
      <c r="A3" s="4" t="inlineStr">
        <is>
          <t>SELECTION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0" customHeight="1">
      <c r="A4" s="38" t="inlineStr">
        <is>
          <t>ID RUN</t>
        </is>
      </c>
      <c r="C4" s="9" t="n"/>
      <c r="F4" s="18" t="inlineStr">
        <is>
          <t>DATE DU RUN</t>
        </is>
      </c>
      <c r="G4" s="19">
        <f>IF($C$4="","",IFERROR(IF(INDEX(RUNS!$B$6:$B$1005,MATCH($C$4,RUNS!$A$6:$A$1005,0))="","",INDEX(RUNS!$B$6:$B$1005,MATCH($C$4,RUNS!$A$6:$A$1005,0))),""))</f>
        <v/>
      </c>
    </row>
    <row r="5" ht="20" customHeight="1">
      <c r="A5" s="38" t="inlineStr">
        <is>
          <t>TOUR</t>
        </is>
      </c>
      <c r="C5" s="9" t="n"/>
      <c r="F5" s="18" t="inlineStr">
        <is>
          <t>CONFIGURATION</t>
        </is>
      </c>
      <c r="G5" s="23">
        <f>IF($C$4="","",_xlfn.TEXTJOIN(" / ",TRUE,IFERROR(IF(INDEX(RUNS!$E$6:$E$1005,MATCH($C$4,RUNS!$A$6:$A$1005,0))="","",INDEX(RUNS!$E$6:$E$1005,MATCH($C$4,RUNS!$A$6:$A$1005,0))),""),IFERROR(IF(INDEX(RUNS!$F$6:$F$1005,MATCH($C$4,RUNS!$A$6:$A$1005,0))="","",INDEX(RUNS!$F$6:$F$1005,MATCH($C$4,RUNS!$A$6:$A$1005,0))),""),IFERROR(IF(INDEX(RUNS!$G$6:$G$1005,MATCH($C$4,RUNS!$A$6:$A$1005,0))="","",INDEX(RUNS!$G$6:$G$1005,MATCH($C$4,RUNS!$A$6:$A$1005,0))),""),IFERROR(IF(INDEX(RUNS!$H$6:$H$1005,MATCH($C$4,RUNS!$A$6:$A$1005,0))="","",INDEX(RUNS!$H$6:$H$1005,MATCH($C$4,RUNS!$A$6:$A$1005,0))),""),IFERROR(IF(INDEX(RUNS!$J$6:$J$1005,MATCH($C$4,RUNS!$A$6:$A$1005,0))="","",INDEX(RUNS!$J$6:$J$1005,MATCH($C$4,RUNS!$A$6:$A$1005,0))),""),IFERROR(IF(INDEX(RUNS!$K$6:$K$1005,MATCH($C$4,RUNS!$A$6:$A$1005,0))="","",INDEX(RUNS!$K$6:$K$1005,MATCH($C$4,RUNS!$A$6:$A$1005,0))),"")))</f>
        <v/>
      </c>
    </row>
    <row r="7" ht="21" customHeight="1">
      <c r="A7" s="4" t="inlineStr">
        <is>
          <t>SYNTHESE PAR LIGNE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 ht="33" customHeight="1">
      <c r="A8" s="5" t="inlineStr">
        <is>
          <t>LIGNE</t>
        </is>
      </c>
      <c r="B8" s="5" t="inlineStr">
        <is>
          <t>ACTIVITÉ</t>
        </is>
      </c>
      <c r="C8" s="5" t="inlineStr">
        <is>
          <t>EFFECTIF PRESENT</t>
        </is>
      </c>
      <c r="D8" s="5" t="inlineStr">
        <is>
          <t>FEMMES CONTROLEES</t>
        </is>
      </c>
      <c r="E8" s="5" t="inlineStr">
        <is>
          <t>COUVERTURE %</t>
        </is>
      </c>
      <c r="F8" s="5" t="inlineStr">
        <is>
          <t>TOTAL BOITES CONTROLEES</t>
        </is>
      </c>
      <c r="G8" s="5" t="inlineStr">
        <is>
          <t>HEURES-FEMMES MESUREES</t>
        </is>
      </c>
      <c r="H8" s="5" t="inlineStr">
        <is>
          <t>CADENCE MO BOITES/H/FEMME</t>
        </is>
      </c>
      <c r="I8" s="5" t="inlineStr">
        <is>
          <t>STANDARD</t>
        </is>
      </c>
      <c r="J8" s="5" t="inlineStr">
        <is>
          <t>ATTEINTE %</t>
        </is>
      </c>
      <c r="K8" s="5" t="inlineStr">
        <is>
          <t>NB FEMMES CONFORMES</t>
        </is>
      </c>
      <c r="L8" s="5" t="inlineStr">
        <is>
          <t>NB FEMMES SOUS STANDARD</t>
        </is>
      </c>
      <c r="M8" s="5" t="inlineStr">
        <is>
          <t>CADENCE MIN</t>
        </is>
      </c>
      <c r="N8" s="5" t="inlineStr">
        <is>
          <t>CADENCE MAX</t>
        </is>
      </c>
    </row>
    <row r="9" ht="19" customHeight="1">
      <c r="A9" s="39" t="inlineStr">
        <is>
          <t>L1</t>
        </is>
      </c>
      <c r="B9" s="33">
        <f>IF($C$4="","",IFERROR(IF(INDEX(RUNS!$L$6:$S$1005,MATCH($C$4,RUNS!$A$6:$A$1005,0),MATCH("ACTIVITÉ "&amp;$A9,RUNS!$L$5:$S$5,0))="","",INDEX(RUNS!$L$6:$S$1005,MATCH($C$4,RUNS!$A$6:$A$1005,0),MATCH("ACTIVITÉ "&amp;$A9,RUNS!$L$5:$S$5,0))),""))</f>
        <v/>
      </c>
      <c r="C9" s="36">
        <f>IF($C$4="","",IF(_xlfn.MAXIFS('BASE CONTROLES'!$I$4:$I$50003,'BASE CONTROLES'!$D$4:$D$50003,$C$4,'BASE CONTROLES'!$E$4:$E$50003,$C$5,'BASE CONTROLES'!$F$4:$F$50003,$A9,'BASE CONTROLES'!$X$4:$X$50003,"VALIDE")=0,"",_xlfn.MAXIFS('BASE CONTROLES'!$I$4:$I$50003,'BASE CONTROLES'!$D$4:$D$50003,$C$4,'BASE CONTROLES'!$E$4:$E$50003,$C$5,'BASE CONTROLES'!$F$4:$F$50003,$A9,'BASE CONTROLES'!$X$4:$X$50003,"VALIDE")))</f>
        <v/>
      </c>
      <c r="D9" s="36">
        <f>IF($C$4="","",COUNTIFS('BASE CONTROLES'!$D$4:$D$50003,$C$4,'BASE CONTROLES'!$E$4:$E$50003,$C$5,'BASE CONTROLES'!$F$4:$F$50003,$A9,'BASE CONTROLES'!$X$4:$X$50003,"VALIDE"))</f>
        <v/>
      </c>
      <c r="E9" s="37">
        <f>IF(OR($C9="",$C9=0,$D9=""),"",$D9/$C9)</f>
        <v/>
      </c>
      <c r="F9" s="36">
        <f>IF($C$4="","",SUMIFS('BASE CONTROLES'!$H$4:$H$50003,'BASE CONTROLES'!$D$4:$D$50003,$C$4,'BASE CONTROLES'!$E$4:$E$50003,$C$5,'BASE CONTROLES'!$F$4:$F$50003,$A9,'BASE CONTROLES'!$X$4:$X$50003,"VALIDE"))</f>
        <v/>
      </c>
      <c r="G9" s="34">
        <f>IF($C$4="","",SUMIFS('BASE CONTROLES'!$T$4:$T$50003,'BASE CONTROLES'!$D$4:$D$50003,$C$4,'BASE CONTROLES'!$E$4:$E$50003,$C$5,'BASE CONTROLES'!$F$4:$F$50003,$A9,'BASE CONTROLES'!$X$4:$X$50003,"VALIDE")/60)</f>
        <v/>
      </c>
      <c r="H9" s="22">
        <f>IF(OR($G9="",$G9=0),"",$F9/$G9)</f>
        <v/>
      </c>
      <c r="I9" s="34">
        <f>IF($C$4="","",IF(_xlfn.MAXIFS('BASE CONTROLES'!$R$4:$R$50003,'BASE CONTROLES'!$D$4:$D$50003,$C$4,'BASE CONTROLES'!$E$4:$E$50003,$C$5,'BASE CONTROLES'!$F$4:$F$50003,$A9,'BASE CONTROLES'!$X$4:$X$50003,"VALIDE")=0,"",_xlfn.MAXIFS('BASE CONTROLES'!$R$4:$R$50003,'BASE CONTROLES'!$D$4:$D$50003,$C$4,'BASE CONTROLES'!$E$4:$E$50003,$C$5,'BASE CONTROLES'!$F$4:$F$50003,$A9,'BASE CONTROLES'!$X$4:$X$50003,"VALIDE")))</f>
        <v/>
      </c>
      <c r="J9" s="27">
        <f>IF(OR($H9="",$I9="",$I9=0),"",$H9/$I9)</f>
        <v/>
      </c>
      <c r="K9" s="36">
        <f>IF($C$4="","",COUNTIFS('BASE CONTROLES'!$D$4:$D$50003,$C$4,'BASE CONTROLES'!$E$4:$E$50003,$C$5,'BASE CONTROLES'!$F$4:$F$50003,$A9,'BASE CONTROLES'!$W$4:$W$50003,StatutConforme))</f>
        <v/>
      </c>
      <c r="L9" s="36">
        <f>IF($C$4="","",COUNTIFS('BASE CONTROLES'!$D$4:$D$50003,$C$4,'BASE CONTROLES'!$E$4:$E$50003,$C$5,'BASE CONTROLES'!$F$4:$F$50003,$A9,'BASE CONTROLES'!$W$4:$W$50003,StatutSousStandard))</f>
        <v/>
      </c>
      <c r="M9" s="34">
        <f>IF(COUNTIFS('BASE CONTROLES'!$D$4:$D$50003,$C$4,'BASE CONTROLES'!$E$4:$E$50003,$C$5,'BASE CONTROLES'!$F$4:$F$50003,$A9,'BASE CONTROLES'!$X$4:$X$50003,"VALIDE",'BASE CONTROLES'!$U$4:$U$50003,"&gt;0")=0,"",_xlfn.MINIFS('BASE CONTROLES'!$U$4:$U$50003,'BASE CONTROLES'!$D$4:$D$50003,$C$4,'BASE CONTROLES'!$E$4:$E$50003,$C$5,'BASE CONTROLES'!$F$4:$F$50003,$A9,'BASE CONTROLES'!$X$4:$X$50003,"VALIDE",'BASE CONTROLES'!$U$4:$U$50003,"&gt;0"))</f>
        <v/>
      </c>
      <c r="N9" s="34">
        <f>IF(COUNTIFS('BASE CONTROLES'!$D$4:$D$50003,$C$4,'BASE CONTROLES'!$E$4:$E$50003,$C$5,'BASE CONTROLES'!$F$4:$F$50003,$A9,'BASE CONTROLES'!$X$4:$X$50003,"VALIDE",'BASE CONTROLES'!$U$4:$U$50003,"&gt;0")=0,"",_xlfn.MAXIFS('BASE CONTROLES'!$U$4:$U$50003,'BASE CONTROLES'!$D$4:$D$50003,$C$4,'BASE CONTROLES'!$E$4:$E$50003,$C$5,'BASE CONTROLES'!$F$4:$F$50003,$A9,'BASE CONTROLES'!$X$4:$X$50003,"VALIDE",'BASE CONTROLES'!$U$4:$U$50003,"&gt;0"))</f>
        <v/>
      </c>
    </row>
    <row r="10" ht="19" customHeight="1">
      <c r="A10" s="39" t="inlineStr">
        <is>
          <t>L2</t>
        </is>
      </c>
      <c r="B10" s="33">
        <f>IF($C$4="","",IFERROR(IF(INDEX(RUNS!$L$6:$S$1005,MATCH($C$4,RUNS!$A$6:$A$1005,0),MATCH("ACTIVITÉ "&amp;$A10,RUNS!$L$5:$S$5,0))="","",INDEX(RUNS!$L$6:$S$1005,MATCH($C$4,RUNS!$A$6:$A$1005,0),MATCH("ACTIVITÉ "&amp;$A10,RUNS!$L$5:$S$5,0))),""))</f>
        <v/>
      </c>
      <c r="C10" s="36">
        <f>IF($C$4="","",IF(_xlfn.MAXIFS('BASE CONTROLES'!$I$4:$I$50003,'BASE CONTROLES'!$D$4:$D$50003,$C$4,'BASE CONTROLES'!$E$4:$E$50003,$C$5,'BASE CONTROLES'!$F$4:$F$50003,$A10,'BASE CONTROLES'!$X$4:$X$50003,"VALIDE")=0,"",_xlfn.MAXIFS('BASE CONTROLES'!$I$4:$I$50003,'BASE CONTROLES'!$D$4:$D$50003,$C$4,'BASE CONTROLES'!$E$4:$E$50003,$C$5,'BASE CONTROLES'!$F$4:$F$50003,$A10,'BASE CONTROLES'!$X$4:$X$50003,"VALIDE")))</f>
        <v/>
      </c>
      <c r="D10" s="36">
        <f>IF($C$4="","",COUNTIFS('BASE CONTROLES'!$D$4:$D$50003,$C$4,'BASE CONTROLES'!$E$4:$E$50003,$C$5,'BASE CONTROLES'!$F$4:$F$50003,$A10,'BASE CONTROLES'!$X$4:$X$50003,"VALIDE"))</f>
        <v/>
      </c>
      <c r="E10" s="37">
        <f>IF(OR($C10="",$C10=0,$D10=""),"",$D10/$C10)</f>
        <v/>
      </c>
      <c r="F10" s="36">
        <f>IF($C$4="","",SUMIFS('BASE CONTROLES'!$H$4:$H$50003,'BASE CONTROLES'!$D$4:$D$50003,$C$4,'BASE CONTROLES'!$E$4:$E$50003,$C$5,'BASE CONTROLES'!$F$4:$F$50003,$A10,'BASE CONTROLES'!$X$4:$X$50003,"VALIDE"))</f>
        <v/>
      </c>
      <c r="G10" s="34">
        <f>IF($C$4="","",SUMIFS('BASE CONTROLES'!$T$4:$T$50003,'BASE CONTROLES'!$D$4:$D$50003,$C$4,'BASE CONTROLES'!$E$4:$E$50003,$C$5,'BASE CONTROLES'!$F$4:$F$50003,$A10,'BASE CONTROLES'!$X$4:$X$50003,"VALIDE")/60)</f>
        <v/>
      </c>
      <c r="H10" s="22">
        <f>IF(OR($G10="",$G10=0),"",$F10/$G10)</f>
        <v/>
      </c>
      <c r="I10" s="34">
        <f>IF($C$4="","",IF(_xlfn.MAXIFS('BASE CONTROLES'!$R$4:$R$50003,'BASE CONTROLES'!$D$4:$D$50003,$C$4,'BASE CONTROLES'!$E$4:$E$50003,$C$5,'BASE CONTROLES'!$F$4:$F$50003,$A10,'BASE CONTROLES'!$X$4:$X$50003,"VALIDE")=0,"",_xlfn.MAXIFS('BASE CONTROLES'!$R$4:$R$50003,'BASE CONTROLES'!$D$4:$D$50003,$C$4,'BASE CONTROLES'!$E$4:$E$50003,$C$5,'BASE CONTROLES'!$F$4:$F$50003,$A10,'BASE CONTROLES'!$X$4:$X$50003,"VALIDE")))</f>
        <v/>
      </c>
      <c r="J10" s="27">
        <f>IF(OR($H10="",$I10="",$I10=0),"",$H10/$I10)</f>
        <v/>
      </c>
      <c r="K10" s="36">
        <f>IF($C$4="","",COUNTIFS('BASE CONTROLES'!$D$4:$D$50003,$C$4,'BASE CONTROLES'!$E$4:$E$50003,$C$5,'BASE CONTROLES'!$F$4:$F$50003,$A10,'BASE CONTROLES'!$W$4:$W$50003,StatutConforme))</f>
        <v/>
      </c>
      <c r="L10" s="36">
        <f>IF($C$4="","",COUNTIFS('BASE CONTROLES'!$D$4:$D$50003,$C$4,'BASE CONTROLES'!$E$4:$E$50003,$C$5,'BASE CONTROLES'!$F$4:$F$50003,$A10,'BASE CONTROLES'!$W$4:$W$50003,StatutSousStandard))</f>
        <v/>
      </c>
      <c r="M10" s="34">
        <f>IF(COUNTIFS('BASE CONTROLES'!$D$4:$D$50003,$C$4,'BASE CONTROLES'!$E$4:$E$50003,$C$5,'BASE CONTROLES'!$F$4:$F$50003,$A10,'BASE CONTROLES'!$X$4:$X$50003,"VALIDE",'BASE CONTROLES'!$U$4:$U$50003,"&gt;0")=0,"",_xlfn.MINIFS('BASE CONTROLES'!$U$4:$U$50003,'BASE CONTROLES'!$D$4:$D$50003,$C$4,'BASE CONTROLES'!$E$4:$E$50003,$C$5,'BASE CONTROLES'!$F$4:$F$50003,$A10,'BASE CONTROLES'!$X$4:$X$50003,"VALIDE",'BASE CONTROLES'!$U$4:$U$50003,"&gt;0"))</f>
        <v/>
      </c>
      <c r="N10" s="34">
        <f>IF(COUNTIFS('BASE CONTROLES'!$D$4:$D$50003,$C$4,'BASE CONTROLES'!$E$4:$E$50003,$C$5,'BASE CONTROLES'!$F$4:$F$50003,$A10,'BASE CONTROLES'!$X$4:$X$50003,"VALIDE",'BASE CONTROLES'!$U$4:$U$50003,"&gt;0")=0,"",_xlfn.MAXIFS('BASE CONTROLES'!$U$4:$U$50003,'BASE CONTROLES'!$D$4:$D$50003,$C$4,'BASE CONTROLES'!$E$4:$E$50003,$C$5,'BASE CONTROLES'!$F$4:$F$50003,$A10,'BASE CONTROLES'!$X$4:$X$50003,"VALIDE",'BASE CONTROLES'!$U$4:$U$50003,"&gt;0"))</f>
        <v/>
      </c>
    </row>
    <row r="11" ht="19" customHeight="1">
      <c r="A11" s="39" t="inlineStr">
        <is>
          <t>L3</t>
        </is>
      </c>
      <c r="B11" s="33">
        <f>IF($C$4="","",IFERROR(IF(INDEX(RUNS!$L$6:$S$1005,MATCH($C$4,RUNS!$A$6:$A$1005,0),MATCH("ACTIVITÉ "&amp;$A11,RUNS!$L$5:$S$5,0))="","",INDEX(RUNS!$L$6:$S$1005,MATCH($C$4,RUNS!$A$6:$A$1005,0),MATCH("ACTIVITÉ "&amp;$A11,RUNS!$L$5:$S$5,0))),""))</f>
        <v/>
      </c>
      <c r="C11" s="36">
        <f>IF($C$4="","",IF(_xlfn.MAXIFS('BASE CONTROLES'!$I$4:$I$50003,'BASE CONTROLES'!$D$4:$D$50003,$C$4,'BASE CONTROLES'!$E$4:$E$50003,$C$5,'BASE CONTROLES'!$F$4:$F$50003,$A11,'BASE CONTROLES'!$X$4:$X$50003,"VALIDE")=0,"",_xlfn.MAXIFS('BASE CONTROLES'!$I$4:$I$50003,'BASE CONTROLES'!$D$4:$D$50003,$C$4,'BASE CONTROLES'!$E$4:$E$50003,$C$5,'BASE CONTROLES'!$F$4:$F$50003,$A11,'BASE CONTROLES'!$X$4:$X$50003,"VALIDE")))</f>
        <v/>
      </c>
      <c r="D11" s="36">
        <f>IF($C$4="","",COUNTIFS('BASE CONTROLES'!$D$4:$D$50003,$C$4,'BASE CONTROLES'!$E$4:$E$50003,$C$5,'BASE CONTROLES'!$F$4:$F$50003,$A11,'BASE CONTROLES'!$X$4:$X$50003,"VALIDE"))</f>
        <v/>
      </c>
      <c r="E11" s="37">
        <f>IF(OR($C11="",$C11=0,$D11=""),"",$D11/$C11)</f>
        <v/>
      </c>
      <c r="F11" s="36">
        <f>IF($C$4="","",SUMIFS('BASE CONTROLES'!$H$4:$H$50003,'BASE CONTROLES'!$D$4:$D$50003,$C$4,'BASE CONTROLES'!$E$4:$E$50003,$C$5,'BASE CONTROLES'!$F$4:$F$50003,$A11,'BASE CONTROLES'!$X$4:$X$50003,"VALIDE"))</f>
        <v/>
      </c>
      <c r="G11" s="34">
        <f>IF($C$4="","",SUMIFS('BASE CONTROLES'!$T$4:$T$50003,'BASE CONTROLES'!$D$4:$D$50003,$C$4,'BASE CONTROLES'!$E$4:$E$50003,$C$5,'BASE CONTROLES'!$F$4:$F$50003,$A11,'BASE CONTROLES'!$X$4:$X$50003,"VALIDE")/60)</f>
        <v/>
      </c>
      <c r="H11" s="22">
        <f>IF(OR($G11="",$G11=0),"",$F11/$G11)</f>
        <v/>
      </c>
      <c r="I11" s="34">
        <f>IF($C$4="","",IF(_xlfn.MAXIFS('BASE CONTROLES'!$R$4:$R$50003,'BASE CONTROLES'!$D$4:$D$50003,$C$4,'BASE CONTROLES'!$E$4:$E$50003,$C$5,'BASE CONTROLES'!$F$4:$F$50003,$A11,'BASE CONTROLES'!$X$4:$X$50003,"VALIDE")=0,"",_xlfn.MAXIFS('BASE CONTROLES'!$R$4:$R$50003,'BASE CONTROLES'!$D$4:$D$50003,$C$4,'BASE CONTROLES'!$E$4:$E$50003,$C$5,'BASE CONTROLES'!$F$4:$F$50003,$A11,'BASE CONTROLES'!$X$4:$X$50003,"VALIDE")))</f>
        <v/>
      </c>
      <c r="J11" s="27">
        <f>IF(OR($H11="",$I11="",$I11=0),"",$H11/$I11)</f>
        <v/>
      </c>
      <c r="K11" s="36">
        <f>IF($C$4="","",COUNTIFS('BASE CONTROLES'!$D$4:$D$50003,$C$4,'BASE CONTROLES'!$E$4:$E$50003,$C$5,'BASE CONTROLES'!$F$4:$F$50003,$A11,'BASE CONTROLES'!$W$4:$W$50003,StatutConforme))</f>
        <v/>
      </c>
      <c r="L11" s="36">
        <f>IF($C$4="","",COUNTIFS('BASE CONTROLES'!$D$4:$D$50003,$C$4,'BASE CONTROLES'!$E$4:$E$50003,$C$5,'BASE CONTROLES'!$F$4:$F$50003,$A11,'BASE CONTROLES'!$W$4:$W$50003,StatutSousStandard))</f>
        <v/>
      </c>
      <c r="M11" s="34">
        <f>IF(COUNTIFS('BASE CONTROLES'!$D$4:$D$50003,$C$4,'BASE CONTROLES'!$E$4:$E$50003,$C$5,'BASE CONTROLES'!$F$4:$F$50003,$A11,'BASE CONTROLES'!$X$4:$X$50003,"VALIDE",'BASE CONTROLES'!$U$4:$U$50003,"&gt;0")=0,"",_xlfn.MINIFS('BASE CONTROLES'!$U$4:$U$50003,'BASE CONTROLES'!$D$4:$D$50003,$C$4,'BASE CONTROLES'!$E$4:$E$50003,$C$5,'BASE CONTROLES'!$F$4:$F$50003,$A11,'BASE CONTROLES'!$X$4:$X$50003,"VALIDE",'BASE CONTROLES'!$U$4:$U$50003,"&gt;0"))</f>
        <v/>
      </c>
      <c r="N11" s="34">
        <f>IF(COUNTIFS('BASE CONTROLES'!$D$4:$D$50003,$C$4,'BASE CONTROLES'!$E$4:$E$50003,$C$5,'BASE CONTROLES'!$F$4:$F$50003,$A11,'BASE CONTROLES'!$X$4:$X$50003,"VALIDE",'BASE CONTROLES'!$U$4:$U$50003,"&gt;0")=0,"",_xlfn.MAXIFS('BASE CONTROLES'!$U$4:$U$50003,'BASE CONTROLES'!$D$4:$D$50003,$C$4,'BASE CONTROLES'!$E$4:$E$50003,$C$5,'BASE CONTROLES'!$F$4:$F$50003,$A11,'BASE CONTROLES'!$X$4:$X$50003,"VALIDE",'BASE CONTROLES'!$U$4:$U$50003,"&gt;0"))</f>
        <v/>
      </c>
    </row>
    <row r="12" ht="19" customHeight="1">
      <c r="A12" s="39" t="inlineStr">
        <is>
          <t>L4</t>
        </is>
      </c>
      <c r="B12" s="33">
        <f>IF($C$4="","",IFERROR(IF(INDEX(RUNS!$L$6:$S$1005,MATCH($C$4,RUNS!$A$6:$A$1005,0),MATCH("ACTIVITÉ "&amp;$A12,RUNS!$L$5:$S$5,0))="","",INDEX(RUNS!$L$6:$S$1005,MATCH($C$4,RUNS!$A$6:$A$1005,0),MATCH("ACTIVITÉ "&amp;$A12,RUNS!$L$5:$S$5,0))),""))</f>
        <v/>
      </c>
      <c r="C12" s="36">
        <f>IF($C$4="","",IF(_xlfn.MAXIFS('BASE CONTROLES'!$I$4:$I$50003,'BASE CONTROLES'!$D$4:$D$50003,$C$4,'BASE CONTROLES'!$E$4:$E$50003,$C$5,'BASE CONTROLES'!$F$4:$F$50003,$A12,'BASE CONTROLES'!$X$4:$X$50003,"VALIDE")=0,"",_xlfn.MAXIFS('BASE CONTROLES'!$I$4:$I$50003,'BASE CONTROLES'!$D$4:$D$50003,$C$4,'BASE CONTROLES'!$E$4:$E$50003,$C$5,'BASE CONTROLES'!$F$4:$F$50003,$A12,'BASE CONTROLES'!$X$4:$X$50003,"VALIDE")))</f>
        <v/>
      </c>
      <c r="D12" s="36">
        <f>IF($C$4="","",COUNTIFS('BASE CONTROLES'!$D$4:$D$50003,$C$4,'BASE CONTROLES'!$E$4:$E$50003,$C$5,'BASE CONTROLES'!$F$4:$F$50003,$A12,'BASE CONTROLES'!$X$4:$X$50003,"VALIDE"))</f>
        <v/>
      </c>
      <c r="E12" s="37">
        <f>IF(OR($C12="",$C12=0,$D12=""),"",$D12/$C12)</f>
        <v/>
      </c>
      <c r="F12" s="36">
        <f>IF($C$4="","",SUMIFS('BASE CONTROLES'!$H$4:$H$50003,'BASE CONTROLES'!$D$4:$D$50003,$C$4,'BASE CONTROLES'!$E$4:$E$50003,$C$5,'BASE CONTROLES'!$F$4:$F$50003,$A12,'BASE CONTROLES'!$X$4:$X$50003,"VALIDE"))</f>
        <v/>
      </c>
      <c r="G12" s="34">
        <f>IF($C$4="","",SUMIFS('BASE CONTROLES'!$T$4:$T$50003,'BASE CONTROLES'!$D$4:$D$50003,$C$4,'BASE CONTROLES'!$E$4:$E$50003,$C$5,'BASE CONTROLES'!$F$4:$F$50003,$A12,'BASE CONTROLES'!$X$4:$X$50003,"VALIDE")/60)</f>
        <v/>
      </c>
      <c r="H12" s="22">
        <f>IF(OR($G12="",$G12=0),"",$F12/$G12)</f>
        <v/>
      </c>
      <c r="I12" s="34">
        <f>IF($C$4="","",IF(_xlfn.MAXIFS('BASE CONTROLES'!$R$4:$R$50003,'BASE CONTROLES'!$D$4:$D$50003,$C$4,'BASE CONTROLES'!$E$4:$E$50003,$C$5,'BASE CONTROLES'!$F$4:$F$50003,$A12,'BASE CONTROLES'!$X$4:$X$50003,"VALIDE")=0,"",_xlfn.MAXIFS('BASE CONTROLES'!$R$4:$R$50003,'BASE CONTROLES'!$D$4:$D$50003,$C$4,'BASE CONTROLES'!$E$4:$E$50003,$C$5,'BASE CONTROLES'!$F$4:$F$50003,$A12,'BASE CONTROLES'!$X$4:$X$50003,"VALIDE")))</f>
        <v/>
      </c>
      <c r="J12" s="27">
        <f>IF(OR($H12="",$I12="",$I12=0),"",$H12/$I12)</f>
        <v/>
      </c>
      <c r="K12" s="36">
        <f>IF($C$4="","",COUNTIFS('BASE CONTROLES'!$D$4:$D$50003,$C$4,'BASE CONTROLES'!$E$4:$E$50003,$C$5,'BASE CONTROLES'!$F$4:$F$50003,$A12,'BASE CONTROLES'!$W$4:$W$50003,StatutConforme))</f>
        <v/>
      </c>
      <c r="L12" s="36">
        <f>IF($C$4="","",COUNTIFS('BASE CONTROLES'!$D$4:$D$50003,$C$4,'BASE CONTROLES'!$E$4:$E$50003,$C$5,'BASE CONTROLES'!$F$4:$F$50003,$A12,'BASE CONTROLES'!$W$4:$W$50003,StatutSousStandard))</f>
        <v/>
      </c>
      <c r="M12" s="34">
        <f>IF(COUNTIFS('BASE CONTROLES'!$D$4:$D$50003,$C$4,'BASE CONTROLES'!$E$4:$E$50003,$C$5,'BASE CONTROLES'!$F$4:$F$50003,$A12,'BASE CONTROLES'!$X$4:$X$50003,"VALIDE",'BASE CONTROLES'!$U$4:$U$50003,"&gt;0")=0,"",_xlfn.MINIFS('BASE CONTROLES'!$U$4:$U$50003,'BASE CONTROLES'!$D$4:$D$50003,$C$4,'BASE CONTROLES'!$E$4:$E$50003,$C$5,'BASE CONTROLES'!$F$4:$F$50003,$A12,'BASE CONTROLES'!$X$4:$X$50003,"VALIDE",'BASE CONTROLES'!$U$4:$U$50003,"&gt;0"))</f>
        <v/>
      </c>
      <c r="N12" s="34">
        <f>IF(COUNTIFS('BASE CONTROLES'!$D$4:$D$50003,$C$4,'BASE CONTROLES'!$E$4:$E$50003,$C$5,'BASE CONTROLES'!$F$4:$F$50003,$A12,'BASE CONTROLES'!$X$4:$X$50003,"VALIDE",'BASE CONTROLES'!$U$4:$U$50003,"&gt;0")=0,"",_xlfn.MAXIFS('BASE CONTROLES'!$U$4:$U$50003,'BASE CONTROLES'!$D$4:$D$50003,$C$4,'BASE CONTROLES'!$E$4:$E$50003,$C$5,'BASE CONTROLES'!$F$4:$F$50003,$A12,'BASE CONTROLES'!$X$4:$X$50003,"VALIDE",'BASE CONTROLES'!$U$4:$U$50003,"&gt;0"))</f>
        <v/>
      </c>
    </row>
    <row r="13" ht="19" customHeight="1">
      <c r="A13" s="39" t="inlineStr">
        <is>
          <t>L5</t>
        </is>
      </c>
      <c r="B13" s="33">
        <f>IF($C$4="","",IFERROR(IF(INDEX(RUNS!$L$6:$S$1005,MATCH($C$4,RUNS!$A$6:$A$1005,0),MATCH("ACTIVITÉ "&amp;$A13,RUNS!$L$5:$S$5,0))="","",INDEX(RUNS!$L$6:$S$1005,MATCH($C$4,RUNS!$A$6:$A$1005,0),MATCH("ACTIVITÉ "&amp;$A13,RUNS!$L$5:$S$5,0))),""))</f>
        <v/>
      </c>
      <c r="C13" s="36">
        <f>IF($C$4="","",IF(_xlfn.MAXIFS('BASE CONTROLES'!$I$4:$I$50003,'BASE CONTROLES'!$D$4:$D$50003,$C$4,'BASE CONTROLES'!$E$4:$E$50003,$C$5,'BASE CONTROLES'!$F$4:$F$50003,$A13,'BASE CONTROLES'!$X$4:$X$50003,"VALIDE")=0,"",_xlfn.MAXIFS('BASE CONTROLES'!$I$4:$I$50003,'BASE CONTROLES'!$D$4:$D$50003,$C$4,'BASE CONTROLES'!$E$4:$E$50003,$C$5,'BASE CONTROLES'!$F$4:$F$50003,$A13,'BASE CONTROLES'!$X$4:$X$50003,"VALIDE")))</f>
        <v/>
      </c>
      <c r="D13" s="36">
        <f>IF($C$4="","",COUNTIFS('BASE CONTROLES'!$D$4:$D$50003,$C$4,'BASE CONTROLES'!$E$4:$E$50003,$C$5,'BASE CONTROLES'!$F$4:$F$50003,$A13,'BASE CONTROLES'!$X$4:$X$50003,"VALIDE"))</f>
        <v/>
      </c>
      <c r="E13" s="37">
        <f>IF(OR($C13="",$C13=0,$D13=""),"",$D13/$C13)</f>
        <v/>
      </c>
      <c r="F13" s="36">
        <f>IF($C$4="","",SUMIFS('BASE CONTROLES'!$H$4:$H$50003,'BASE CONTROLES'!$D$4:$D$50003,$C$4,'BASE CONTROLES'!$E$4:$E$50003,$C$5,'BASE CONTROLES'!$F$4:$F$50003,$A13,'BASE CONTROLES'!$X$4:$X$50003,"VALIDE"))</f>
        <v/>
      </c>
      <c r="G13" s="34">
        <f>IF($C$4="","",SUMIFS('BASE CONTROLES'!$T$4:$T$50003,'BASE CONTROLES'!$D$4:$D$50003,$C$4,'BASE CONTROLES'!$E$4:$E$50003,$C$5,'BASE CONTROLES'!$F$4:$F$50003,$A13,'BASE CONTROLES'!$X$4:$X$50003,"VALIDE")/60)</f>
        <v/>
      </c>
      <c r="H13" s="22">
        <f>IF(OR($G13="",$G13=0),"",$F13/$G13)</f>
        <v/>
      </c>
      <c r="I13" s="34">
        <f>IF($C$4="","",IF(_xlfn.MAXIFS('BASE CONTROLES'!$R$4:$R$50003,'BASE CONTROLES'!$D$4:$D$50003,$C$4,'BASE CONTROLES'!$E$4:$E$50003,$C$5,'BASE CONTROLES'!$F$4:$F$50003,$A13,'BASE CONTROLES'!$X$4:$X$50003,"VALIDE")=0,"",_xlfn.MAXIFS('BASE CONTROLES'!$R$4:$R$50003,'BASE CONTROLES'!$D$4:$D$50003,$C$4,'BASE CONTROLES'!$E$4:$E$50003,$C$5,'BASE CONTROLES'!$F$4:$F$50003,$A13,'BASE CONTROLES'!$X$4:$X$50003,"VALIDE")))</f>
        <v/>
      </c>
      <c r="J13" s="27">
        <f>IF(OR($H13="",$I13="",$I13=0),"",$H13/$I13)</f>
        <v/>
      </c>
      <c r="K13" s="36">
        <f>IF($C$4="","",COUNTIFS('BASE CONTROLES'!$D$4:$D$50003,$C$4,'BASE CONTROLES'!$E$4:$E$50003,$C$5,'BASE CONTROLES'!$F$4:$F$50003,$A13,'BASE CONTROLES'!$W$4:$W$50003,StatutConforme))</f>
        <v/>
      </c>
      <c r="L13" s="36">
        <f>IF($C$4="","",COUNTIFS('BASE CONTROLES'!$D$4:$D$50003,$C$4,'BASE CONTROLES'!$E$4:$E$50003,$C$5,'BASE CONTROLES'!$F$4:$F$50003,$A13,'BASE CONTROLES'!$W$4:$W$50003,StatutSousStandard))</f>
        <v/>
      </c>
      <c r="M13" s="34">
        <f>IF(COUNTIFS('BASE CONTROLES'!$D$4:$D$50003,$C$4,'BASE CONTROLES'!$E$4:$E$50003,$C$5,'BASE CONTROLES'!$F$4:$F$50003,$A13,'BASE CONTROLES'!$X$4:$X$50003,"VALIDE",'BASE CONTROLES'!$U$4:$U$50003,"&gt;0")=0,"",_xlfn.MINIFS('BASE CONTROLES'!$U$4:$U$50003,'BASE CONTROLES'!$D$4:$D$50003,$C$4,'BASE CONTROLES'!$E$4:$E$50003,$C$5,'BASE CONTROLES'!$F$4:$F$50003,$A13,'BASE CONTROLES'!$X$4:$X$50003,"VALIDE",'BASE CONTROLES'!$U$4:$U$50003,"&gt;0"))</f>
        <v/>
      </c>
      <c r="N13" s="34">
        <f>IF(COUNTIFS('BASE CONTROLES'!$D$4:$D$50003,$C$4,'BASE CONTROLES'!$E$4:$E$50003,$C$5,'BASE CONTROLES'!$F$4:$F$50003,$A13,'BASE CONTROLES'!$X$4:$X$50003,"VALIDE",'BASE CONTROLES'!$U$4:$U$50003,"&gt;0")=0,"",_xlfn.MAXIFS('BASE CONTROLES'!$U$4:$U$50003,'BASE CONTROLES'!$D$4:$D$50003,$C$4,'BASE CONTROLES'!$E$4:$E$50003,$C$5,'BASE CONTROLES'!$F$4:$F$50003,$A13,'BASE CONTROLES'!$X$4:$X$50003,"VALIDE",'BASE CONTROLES'!$U$4:$U$50003,"&gt;0"))</f>
        <v/>
      </c>
    </row>
    <row r="14" ht="19" customHeight="1">
      <c r="A14" s="39" t="inlineStr">
        <is>
          <t>L6</t>
        </is>
      </c>
      <c r="B14" s="33">
        <f>IF($C$4="","",IFERROR(IF(INDEX(RUNS!$L$6:$S$1005,MATCH($C$4,RUNS!$A$6:$A$1005,0),MATCH("ACTIVITÉ "&amp;$A14,RUNS!$L$5:$S$5,0))="","",INDEX(RUNS!$L$6:$S$1005,MATCH($C$4,RUNS!$A$6:$A$1005,0),MATCH("ACTIVITÉ "&amp;$A14,RUNS!$L$5:$S$5,0))),""))</f>
        <v/>
      </c>
      <c r="C14" s="36">
        <f>IF($C$4="","",IF(_xlfn.MAXIFS('BASE CONTROLES'!$I$4:$I$50003,'BASE CONTROLES'!$D$4:$D$50003,$C$4,'BASE CONTROLES'!$E$4:$E$50003,$C$5,'BASE CONTROLES'!$F$4:$F$50003,$A14,'BASE CONTROLES'!$X$4:$X$50003,"VALIDE")=0,"",_xlfn.MAXIFS('BASE CONTROLES'!$I$4:$I$50003,'BASE CONTROLES'!$D$4:$D$50003,$C$4,'BASE CONTROLES'!$E$4:$E$50003,$C$5,'BASE CONTROLES'!$F$4:$F$50003,$A14,'BASE CONTROLES'!$X$4:$X$50003,"VALIDE")))</f>
        <v/>
      </c>
      <c r="D14" s="36">
        <f>IF($C$4="","",COUNTIFS('BASE CONTROLES'!$D$4:$D$50003,$C$4,'BASE CONTROLES'!$E$4:$E$50003,$C$5,'BASE CONTROLES'!$F$4:$F$50003,$A14,'BASE CONTROLES'!$X$4:$X$50003,"VALIDE"))</f>
        <v/>
      </c>
      <c r="E14" s="37">
        <f>IF(OR($C14="",$C14=0,$D14=""),"",$D14/$C14)</f>
        <v/>
      </c>
      <c r="F14" s="36">
        <f>IF($C$4="","",SUMIFS('BASE CONTROLES'!$H$4:$H$50003,'BASE CONTROLES'!$D$4:$D$50003,$C$4,'BASE CONTROLES'!$E$4:$E$50003,$C$5,'BASE CONTROLES'!$F$4:$F$50003,$A14,'BASE CONTROLES'!$X$4:$X$50003,"VALIDE"))</f>
        <v/>
      </c>
      <c r="G14" s="34">
        <f>IF($C$4="","",SUMIFS('BASE CONTROLES'!$T$4:$T$50003,'BASE CONTROLES'!$D$4:$D$50003,$C$4,'BASE CONTROLES'!$E$4:$E$50003,$C$5,'BASE CONTROLES'!$F$4:$F$50003,$A14,'BASE CONTROLES'!$X$4:$X$50003,"VALIDE")/60)</f>
        <v/>
      </c>
      <c r="H14" s="22">
        <f>IF(OR($G14="",$G14=0),"",$F14/$G14)</f>
        <v/>
      </c>
      <c r="I14" s="34">
        <f>IF($C$4="","",IF(_xlfn.MAXIFS('BASE CONTROLES'!$R$4:$R$50003,'BASE CONTROLES'!$D$4:$D$50003,$C$4,'BASE CONTROLES'!$E$4:$E$50003,$C$5,'BASE CONTROLES'!$F$4:$F$50003,$A14,'BASE CONTROLES'!$X$4:$X$50003,"VALIDE")=0,"",_xlfn.MAXIFS('BASE CONTROLES'!$R$4:$R$50003,'BASE CONTROLES'!$D$4:$D$50003,$C$4,'BASE CONTROLES'!$E$4:$E$50003,$C$5,'BASE CONTROLES'!$F$4:$F$50003,$A14,'BASE CONTROLES'!$X$4:$X$50003,"VALIDE")))</f>
        <v/>
      </c>
      <c r="J14" s="27">
        <f>IF(OR($H14="",$I14="",$I14=0),"",$H14/$I14)</f>
        <v/>
      </c>
      <c r="K14" s="36">
        <f>IF($C$4="","",COUNTIFS('BASE CONTROLES'!$D$4:$D$50003,$C$4,'BASE CONTROLES'!$E$4:$E$50003,$C$5,'BASE CONTROLES'!$F$4:$F$50003,$A14,'BASE CONTROLES'!$W$4:$W$50003,StatutConforme))</f>
        <v/>
      </c>
      <c r="L14" s="36">
        <f>IF($C$4="","",COUNTIFS('BASE CONTROLES'!$D$4:$D$50003,$C$4,'BASE CONTROLES'!$E$4:$E$50003,$C$5,'BASE CONTROLES'!$F$4:$F$50003,$A14,'BASE CONTROLES'!$W$4:$W$50003,StatutSousStandard))</f>
        <v/>
      </c>
      <c r="M14" s="34">
        <f>IF(COUNTIFS('BASE CONTROLES'!$D$4:$D$50003,$C$4,'BASE CONTROLES'!$E$4:$E$50003,$C$5,'BASE CONTROLES'!$F$4:$F$50003,$A14,'BASE CONTROLES'!$X$4:$X$50003,"VALIDE",'BASE CONTROLES'!$U$4:$U$50003,"&gt;0")=0,"",_xlfn.MINIFS('BASE CONTROLES'!$U$4:$U$50003,'BASE CONTROLES'!$D$4:$D$50003,$C$4,'BASE CONTROLES'!$E$4:$E$50003,$C$5,'BASE CONTROLES'!$F$4:$F$50003,$A14,'BASE CONTROLES'!$X$4:$X$50003,"VALIDE",'BASE CONTROLES'!$U$4:$U$50003,"&gt;0"))</f>
        <v/>
      </c>
      <c r="N14" s="34">
        <f>IF(COUNTIFS('BASE CONTROLES'!$D$4:$D$50003,$C$4,'BASE CONTROLES'!$E$4:$E$50003,$C$5,'BASE CONTROLES'!$F$4:$F$50003,$A14,'BASE CONTROLES'!$X$4:$X$50003,"VALIDE",'BASE CONTROLES'!$U$4:$U$50003,"&gt;0")=0,"",_xlfn.MAXIFS('BASE CONTROLES'!$U$4:$U$50003,'BASE CONTROLES'!$D$4:$D$50003,$C$4,'BASE CONTROLES'!$E$4:$E$50003,$C$5,'BASE CONTROLES'!$F$4:$F$50003,$A14,'BASE CONTROLES'!$X$4:$X$50003,"VALIDE",'BASE CONTROLES'!$U$4:$U$50003,"&gt;0"))</f>
        <v/>
      </c>
    </row>
    <row r="15" ht="19" customHeight="1">
      <c r="A15" s="39" t="inlineStr">
        <is>
          <t>L7</t>
        </is>
      </c>
      <c r="B15" s="33">
        <f>IF($C$4="","",IFERROR(IF(INDEX(RUNS!$L$6:$S$1005,MATCH($C$4,RUNS!$A$6:$A$1005,0),MATCH("ACTIVITÉ "&amp;$A15,RUNS!$L$5:$S$5,0))="","",INDEX(RUNS!$L$6:$S$1005,MATCH($C$4,RUNS!$A$6:$A$1005,0),MATCH("ACTIVITÉ "&amp;$A15,RUNS!$L$5:$S$5,0))),""))</f>
        <v/>
      </c>
      <c r="C15" s="36">
        <f>IF($C$4="","",IF(_xlfn.MAXIFS('BASE CONTROLES'!$I$4:$I$50003,'BASE CONTROLES'!$D$4:$D$50003,$C$4,'BASE CONTROLES'!$E$4:$E$50003,$C$5,'BASE CONTROLES'!$F$4:$F$50003,$A15,'BASE CONTROLES'!$X$4:$X$50003,"VALIDE")=0,"",_xlfn.MAXIFS('BASE CONTROLES'!$I$4:$I$50003,'BASE CONTROLES'!$D$4:$D$50003,$C$4,'BASE CONTROLES'!$E$4:$E$50003,$C$5,'BASE CONTROLES'!$F$4:$F$50003,$A15,'BASE CONTROLES'!$X$4:$X$50003,"VALIDE")))</f>
        <v/>
      </c>
      <c r="D15" s="36">
        <f>IF($C$4="","",COUNTIFS('BASE CONTROLES'!$D$4:$D$50003,$C$4,'BASE CONTROLES'!$E$4:$E$50003,$C$5,'BASE CONTROLES'!$F$4:$F$50003,$A15,'BASE CONTROLES'!$X$4:$X$50003,"VALIDE"))</f>
        <v/>
      </c>
      <c r="E15" s="37">
        <f>IF(OR($C15="",$C15=0,$D15=""),"",$D15/$C15)</f>
        <v/>
      </c>
      <c r="F15" s="36">
        <f>IF($C$4="","",SUMIFS('BASE CONTROLES'!$H$4:$H$50003,'BASE CONTROLES'!$D$4:$D$50003,$C$4,'BASE CONTROLES'!$E$4:$E$50003,$C$5,'BASE CONTROLES'!$F$4:$F$50003,$A15,'BASE CONTROLES'!$X$4:$X$50003,"VALIDE"))</f>
        <v/>
      </c>
      <c r="G15" s="34">
        <f>IF($C$4="","",SUMIFS('BASE CONTROLES'!$T$4:$T$50003,'BASE CONTROLES'!$D$4:$D$50003,$C$4,'BASE CONTROLES'!$E$4:$E$50003,$C$5,'BASE CONTROLES'!$F$4:$F$50003,$A15,'BASE CONTROLES'!$X$4:$X$50003,"VALIDE")/60)</f>
        <v/>
      </c>
      <c r="H15" s="22">
        <f>IF(OR($G15="",$G15=0),"",$F15/$G15)</f>
        <v/>
      </c>
      <c r="I15" s="34">
        <f>IF($C$4="","",IF(_xlfn.MAXIFS('BASE CONTROLES'!$R$4:$R$50003,'BASE CONTROLES'!$D$4:$D$50003,$C$4,'BASE CONTROLES'!$E$4:$E$50003,$C$5,'BASE CONTROLES'!$F$4:$F$50003,$A15,'BASE CONTROLES'!$X$4:$X$50003,"VALIDE")=0,"",_xlfn.MAXIFS('BASE CONTROLES'!$R$4:$R$50003,'BASE CONTROLES'!$D$4:$D$50003,$C$4,'BASE CONTROLES'!$E$4:$E$50003,$C$5,'BASE CONTROLES'!$F$4:$F$50003,$A15,'BASE CONTROLES'!$X$4:$X$50003,"VALIDE")))</f>
        <v/>
      </c>
      <c r="J15" s="27">
        <f>IF(OR($H15="",$I15="",$I15=0),"",$H15/$I15)</f>
        <v/>
      </c>
      <c r="K15" s="36">
        <f>IF($C$4="","",COUNTIFS('BASE CONTROLES'!$D$4:$D$50003,$C$4,'BASE CONTROLES'!$E$4:$E$50003,$C$5,'BASE CONTROLES'!$F$4:$F$50003,$A15,'BASE CONTROLES'!$W$4:$W$50003,StatutConforme))</f>
        <v/>
      </c>
      <c r="L15" s="36">
        <f>IF($C$4="","",COUNTIFS('BASE CONTROLES'!$D$4:$D$50003,$C$4,'BASE CONTROLES'!$E$4:$E$50003,$C$5,'BASE CONTROLES'!$F$4:$F$50003,$A15,'BASE CONTROLES'!$W$4:$W$50003,StatutSousStandard))</f>
        <v/>
      </c>
      <c r="M15" s="34">
        <f>IF(COUNTIFS('BASE CONTROLES'!$D$4:$D$50003,$C$4,'BASE CONTROLES'!$E$4:$E$50003,$C$5,'BASE CONTROLES'!$F$4:$F$50003,$A15,'BASE CONTROLES'!$X$4:$X$50003,"VALIDE",'BASE CONTROLES'!$U$4:$U$50003,"&gt;0")=0,"",_xlfn.MINIFS('BASE CONTROLES'!$U$4:$U$50003,'BASE CONTROLES'!$D$4:$D$50003,$C$4,'BASE CONTROLES'!$E$4:$E$50003,$C$5,'BASE CONTROLES'!$F$4:$F$50003,$A15,'BASE CONTROLES'!$X$4:$X$50003,"VALIDE",'BASE CONTROLES'!$U$4:$U$50003,"&gt;0"))</f>
        <v/>
      </c>
      <c r="N15" s="34">
        <f>IF(COUNTIFS('BASE CONTROLES'!$D$4:$D$50003,$C$4,'BASE CONTROLES'!$E$4:$E$50003,$C$5,'BASE CONTROLES'!$F$4:$F$50003,$A15,'BASE CONTROLES'!$X$4:$X$50003,"VALIDE",'BASE CONTROLES'!$U$4:$U$50003,"&gt;0")=0,"",_xlfn.MAXIFS('BASE CONTROLES'!$U$4:$U$50003,'BASE CONTROLES'!$D$4:$D$50003,$C$4,'BASE CONTROLES'!$E$4:$E$50003,$C$5,'BASE CONTROLES'!$F$4:$F$50003,$A15,'BASE CONTROLES'!$X$4:$X$50003,"VALIDE",'BASE CONTROLES'!$U$4:$U$50003,"&gt;0"))</f>
        <v/>
      </c>
    </row>
    <row r="16" ht="19" customHeight="1">
      <c r="A16" s="39" t="inlineStr">
        <is>
          <t>L8</t>
        </is>
      </c>
      <c r="B16" s="33">
        <f>IF($C$4="","",IFERROR(IF(INDEX(RUNS!$L$6:$S$1005,MATCH($C$4,RUNS!$A$6:$A$1005,0),MATCH("ACTIVITÉ "&amp;$A16,RUNS!$L$5:$S$5,0))="","",INDEX(RUNS!$L$6:$S$1005,MATCH($C$4,RUNS!$A$6:$A$1005,0),MATCH("ACTIVITÉ "&amp;$A16,RUNS!$L$5:$S$5,0))),""))</f>
        <v/>
      </c>
      <c r="C16" s="36">
        <f>IF($C$4="","",IF(_xlfn.MAXIFS('BASE CONTROLES'!$I$4:$I$50003,'BASE CONTROLES'!$D$4:$D$50003,$C$4,'BASE CONTROLES'!$E$4:$E$50003,$C$5,'BASE CONTROLES'!$F$4:$F$50003,$A16,'BASE CONTROLES'!$X$4:$X$50003,"VALIDE")=0,"",_xlfn.MAXIFS('BASE CONTROLES'!$I$4:$I$50003,'BASE CONTROLES'!$D$4:$D$50003,$C$4,'BASE CONTROLES'!$E$4:$E$50003,$C$5,'BASE CONTROLES'!$F$4:$F$50003,$A16,'BASE CONTROLES'!$X$4:$X$50003,"VALIDE")))</f>
        <v/>
      </c>
      <c r="D16" s="36">
        <f>IF($C$4="","",COUNTIFS('BASE CONTROLES'!$D$4:$D$50003,$C$4,'BASE CONTROLES'!$E$4:$E$50003,$C$5,'BASE CONTROLES'!$F$4:$F$50003,$A16,'BASE CONTROLES'!$X$4:$X$50003,"VALIDE"))</f>
        <v/>
      </c>
      <c r="E16" s="37">
        <f>IF(OR($C16="",$C16=0,$D16=""),"",$D16/$C16)</f>
        <v/>
      </c>
      <c r="F16" s="36">
        <f>IF($C$4="","",SUMIFS('BASE CONTROLES'!$H$4:$H$50003,'BASE CONTROLES'!$D$4:$D$50003,$C$4,'BASE CONTROLES'!$E$4:$E$50003,$C$5,'BASE CONTROLES'!$F$4:$F$50003,$A16,'BASE CONTROLES'!$X$4:$X$50003,"VALIDE"))</f>
        <v/>
      </c>
      <c r="G16" s="34">
        <f>IF($C$4="","",SUMIFS('BASE CONTROLES'!$T$4:$T$50003,'BASE CONTROLES'!$D$4:$D$50003,$C$4,'BASE CONTROLES'!$E$4:$E$50003,$C$5,'BASE CONTROLES'!$F$4:$F$50003,$A16,'BASE CONTROLES'!$X$4:$X$50003,"VALIDE")/60)</f>
        <v/>
      </c>
      <c r="H16" s="22">
        <f>IF(OR($G16="",$G16=0),"",$F16/$G16)</f>
        <v/>
      </c>
      <c r="I16" s="34">
        <f>IF($C$4="","",IF(_xlfn.MAXIFS('BASE CONTROLES'!$R$4:$R$50003,'BASE CONTROLES'!$D$4:$D$50003,$C$4,'BASE CONTROLES'!$E$4:$E$50003,$C$5,'BASE CONTROLES'!$F$4:$F$50003,$A16,'BASE CONTROLES'!$X$4:$X$50003,"VALIDE")=0,"",_xlfn.MAXIFS('BASE CONTROLES'!$R$4:$R$50003,'BASE CONTROLES'!$D$4:$D$50003,$C$4,'BASE CONTROLES'!$E$4:$E$50003,$C$5,'BASE CONTROLES'!$F$4:$F$50003,$A16,'BASE CONTROLES'!$X$4:$X$50003,"VALIDE")))</f>
        <v/>
      </c>
      <c r="J16" s="27">
        <f>IF(OR($H16="",$I16="",$I16=0),"",$H16/$I16)</f>
        <v/>
      </c>
      <c r="K16" s="36">
        <f>IF($C$4="","",COUNTIFS('BASE CONTROLES'!$D$4:$D$50003,$C$4,'BASE CONTROLES'!$E$4:$E$50003,$C$5,'BASE CONTROLES'!$F$4:$F$50003,$A16,'BASE CONTROLES'!$W$4:$W$50003,StatutConforme))</f>
        <v/>
      </c>
      <c r="L16" s="36">
        <f>IF($C$4="","",COUNTIFS('BASE CONTROLES'!$D$4:$D$50003,$C$4,'BASE CONTROLES'!$E$4:$E$50003,$C$5,'BASE CONTROLES'!$F$4:$F$50003,$A16,'BASE CONTROLES'!$W$4:$W$50003,StatutSousStandard))</f>
        <v/>
      </c>
      <c r="M16" s="34">
        <f>IF(COUNTIFS('BASE CONTROLES'!$D$4:$D$50003,$C$4,'BASE CONTROLES'!$E$4:$E$50003,$C$5,'BASE CONTROLES'!$F$4:$F$50003,$A16,'BASE CONTROLES'!$X$4:$X$50003,"VALIDE",'BASE CONTROLES'!$U$4:$U$50003,"&gt;0")=0,"",_xlfn.MINIFS('BASE CONTROLES'!$U$4:$U$50003,'BASE CONTROLES'!$D$4:$D$50003,$C$4,'BASE CONTROLES'!$E$4:$E$50003,$C$5,'BASE CONTROLES'!$F$4:$F$50003,$A16,'BASE CONTROLES'!$X$4:$X$50003,"VALIDE",'BASE CONTROLES'!$U$4:$U$50003,"&gt;0"))</f>
        <v/>
      </c>
      <c r="N16" s="34">
        <f>IF(COUNTIFS('BASE CONTROLES'!$D$4:$D$50003,$C$4,'BASE CONTROLES'!$E$4:$E$50003,$C$5,'BASE CONTROLES'!$F$4:$F$50003,$A16,'BASE CONTROLES'!$X$4:$X$50003,"VALIDE",'BASE CONTROLES'!$U$4:$U$50003,"&gt;0")=0,"",_xlfn.MAXIFS('BASE CONTROLES'!$U$4:$U$50003,'BASE CONTROLES'!$D$4:$D$50003,$C$4,'BASE CONTROLES'!$E$4:$E$50003,$C$5,'BASE CONTROLES'!$F$4:$F$50003,$A16,'BASE CONTROLES'!$X$4:$X$50003,"VALIDE",'BASE CONTROLES'!$U$4:$U$50003,"&gt;0"))</f>
        <v/>
      </c>
    </row>
    <row r="17" ht="22" customHeight="1">
      <c r="A17" s="40">
        <f>"TOTAL"</f>
        <v/>
      </c>
      <c r="B17" s="40" t="n"/>
      <c r="C17" s="41">
        <f>SUM($C$9:$C$16)</f>
        <v/>
      </c>
      <c r="D17" s="41">
        <f>SUM($D$9:$D$16)</f>
        <v/>
      </c>
      <c r="E17" s="42">
        <f>IF($C$17=0,"",$D$17/$C$17)</f>
        <v/>
      </c>
      <c r="F17" s="41">
        <f>SUM($F$9:$F$16)</f>
        <v/>
      </c>
      <c r="G17" s="43">
        <f>SUM($G$9:$G$16)</f>
        <v/>
      </c>
      <c r="H17" s="43">
        <f>IF($G$17=0,"",$F$17/$G$17)</f>
        <v/>
      </c>
      <c r="I17" s="43">
        <f>IF(OR($C$4="",$G$17=0),"",SUMPRODUCT(IF($G$9:$G$16="",0,$G$9:$G$16)*IF($I$9:$I$16="",0,$I$9:$I$16))/$G$17)</f>
        <v/>
      </c>
      <c r="J17" s="42">
        <f>IF(OR($H$17="",$I$17="",$I$17=0),"",$H$17/$I$17)</f>
        <v/>
      </c>
      <c r="K17" s="41">
        <f>SUM($K$9:$K$16)</f>
        <v/>
      </c>
      <c r="L17" s="41">
        <f>SUM($L$9:$L$16)</f>
        <v/>
      </c>
      <c r="M17" s="43">
        <f>IF(COUNT($M$9:$M$16)=0,"",MIN($M$9:$M$16))</f>
        <v/>
      </c>
      <c r="N17" s="43">
        <f>IF(COUNT($N$9:$N$16)=0,"",MAX($N$9:$N$16))</f>
        <v/>
      </c>
    </row>
  </sheetData>
  <mergeCells count="8">
    <mergeCell ref="A1:N1"/>
    <mergeCell ref="G4:H4"/>
    <mergeCell ref="A3:N3"/>
    <mergeCell ref="A2:N2"/>
    <mergeCell ref="C5:D5"/>
    <mergeCell ref="A7:N7"/>
    <mergeCell ref="G5:N5"/>
    <mergeCell ref="C4:D4"/>
  </mergeCells>
  <conditionalFormatting sqref="A9:N16">
    <cfRule type="expression" priority="1" dxfId="7" stopIfTrue="0">
      <formula>=OR($B9="INACTIVE",$B9="")</formula>
    </cfRule>
  </conditionalFormatting>
  <conditionalFormatting sqref="E9:E17">
    <cfRule type="expression" priority="2" dxfId="0" stopIfTrue="0">
      <formula>=AND($E9&lt;&gt;"",$E9&gt;=1)</formula>
    </cfRule>
    <cfRule type="expression" priority="3" dxfId="6" stopIfTrue="0">
      <formula>=AND($E9&lt;&gt;"",$E9&gt;=SeuilAlerte,$E9&lt;1)</formula>
    </cfRule>
    <cfRule type="expression" priority="4" dxfId="3" stopIfTrue="0">
      <formula>=AND($E9&lt;&gt;"",$E9&lt;SeuilAlerte)</formula>
    </cfRule>
  </conditionalFormatting>
  <conditionalFormatting sqref="J9:J17">
    <cfRule type="expression" priority="5" dxfId="0" stopIfTrue="0">
      <formula>=AND($J9&lt;&gt;"",$J9&gt;=1)</formula>
    </cfRule>
    <cfRule type="expression" priority="6" dxfId="6" stopIfTrue="0">
      <formula>=AND($J9&lt;&gt;"",$J9&gt;=SeuilAlerte,$J9&lt;1)</formula>
    </cfRule>
    <cfRule type="expression" priority="7" dxfId="3" stopIfTrue="0">
      <formula>=AND($J9&lt;&gt;"",$J9&lt;SeuilAlerte)</formula>
    </cfRule>
  </conditionalFormatting>
  <conditionalFormatting sqref="L9:L17">
    <cfRule type="expression" priority="8" dxfId="3" stopIfTrue="0">
      <formula>=AND($L9&lt;&gt;"",$L9&gt;0)</formula>
    </cfRule>
  </conditionalFormatting>
  <dataValidations count="2">
    <dataValidation sqref="C4" showDropDown="0" showInputMessage="0" showErrorMessage="1" allowBlank="1" errorTitle="SAISIE REFUSEE" error="Valeur non autorisee. Choisir une valeur proposee dans la liste." type="list">
      <formula1>=ListeRuns</formula1>
    </dataValidation>
    <dataValidation sqref="C5" showDropDown="0" showInputMessage="0" showErrorMessage="1" allowBlank="1" errorTitle="SAISIE REFUSEE" error="Valeur non autorisee. Choisir une valeur proposee dans la liste." type="list">
      <formula1>=ListeTours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7A598"/>
    <outlinePr summaryBelow="1" summaryRight="1"/>
    <pageSetUpPr/>
  </sheetPr>
  <dimension ref="A1:V66"/>
  <sheetViews>
    <sheetView showGridLines="0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2" customWidth="1" min="3" max="3"/>
    <col width="11" customWidth="1" min="4" max="4"/>
    <col width="8" customWidth="1" min="5" max="5"/>
    <col width="20" customWidth="1" min="6" max="6"/>
    <col width="16" customWidth="1" min="7" max="7"/>
    <col width="15" customWidth="1" min="8" max="8"/>
    <col width="14" customWidth="1" min="9" max="9"/>
    <col width="13" customWidth="1" min="10" max="10"/>
    <col width="14" customWidth="1" min="11" max="11"/>
    <col width="11" customWidth="1" min="12" max="12"/>
    <col width="12" customWidth="1" min="13" max="13"/>
    <col width="14" customWidth="1" min="14" max="14"/>
    <col width="11" customWidth="1" min="15" max="15"/>
    <col width="12" customWidth="1" min="16" max="16"/>
    <col width="20" customWidth="1" min="17" max="17"/>
    <col hidden="1" width="7" customWidth="1" min="19" max="19"/>
    <col hidden="1" width="22" customWidth="1" min="21" max="21"/>
    <col hidden="1" width="9" customWidth="1" min="22" max="22"/>
  </cols>
  <sheetData>
    <row r="1" ht="30" customHeight="1">
      <c r="A1" s="1" t="inlineStr">
        <is>
          <t>RECHERCHE MATRICULE — HISTORIQUE EMPLOYE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A2" s="3" t="inlineStr">
        <is>
          <t>Choisir un matricule : la synthese porte sur tout l'historique de BASE CONTROLES. Les filtres ne servent qu'au detail ; laisser un filtre vide signifie TOUS.</t>
        </is>
      </c>
    </row>
    <row r="3" ht="21" customHeight="1">
      <c r="A3" s="4" t="inlineStr">
        <is>
          <t>EMPLOYE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 ht="21" customHeight="1">
      <c r="A4" s="38" t="inlineStr">
        <is>
          <t>MATRICULE</t>
        </is>
      </c>
      <c r="B4" s="13" t="n"/>
      <c r="C4" s="18" t="inlineStr">
        <is>
          <t>NOM ET PRENOM</t>
        </is>
      </c>
      <c r="D4" s="23">
        <f>IF($B$4="","",IFERROR(INDEX(NomsEmployes,MATCH($B$4,MatriculesEmployes,0)),"MATRICULE INCONNU"))</f>
        <v/>
      </c>
    </row>
    <row r="6" ht="21" customHeight="1">
      <c r="A6" s="4" t="inlineStr">
        <is>
          <t>SYNTHESE HISTORIQUE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  <row r="7" ht="33" customHeight="1">
      <c r="A7" s="24" t="inlineStr">
        <is>
          <t>NB CONTROLES</t>
        </is>
      </c>
      <c r="B7" s="24" t="inlineStr">
        <is>
          <t>TOTAL BOITES CONTROLEES</t>
        </is>
      </c>
      <c r="C7" s="24" t="inlineStr">
        <is>
          <t>CADENCE MOYENNE PONDEREE</t>
        </is>
      </c>
      <c r="D7" s="24" t="inlineStr">
        <is>
          <t>CADENCE MIN</t>
        </is>
      </c>
      <c r="E7" s="24" t="inlineStr">
        <is>
          <t>CADENCE MAX</t>
        </is>
      </c>
      <c r="F7" s="24" t="inlineStr">
        <is>
          <t>ATTEINTE MOYENNE %</t>
        </is>
      </c>
      <c r="G7" s="24" t="inlineStr">
        <is>
          <t>DERNIER CONTROLE</t>
        </is>
      </c>
    </row>
    <row r="8" ht="22" customHeight="1">
      <c r="A8" s="26">
        <f>IF($B$4="","",COUNTIFS('BASE CONTROLES'!$G$4:$G$50003,$B$4,'BASE CONTROLES'!$X$4:$X$50003,"VALIDE"))</f>
        <v/>
      </c>
      <c r="B8" s="26">
        <f>IF($B$4="","",SUMIFS('BASE CONTROLES'!$H$4:$H$50003,'BASE CONTROLES'!$G$4:$G$50003,$B$4,'BASE CONTROLES'!$X$4:$X$50003,"VALIDE"))</f>
        <v/>
      </c>
      <c r="C8" s="22">
        <f>IF(OR($B$4="",SUMIFS('BASE CONTROLES'!$T$4:$T$50003,'BASE CONTROLES'!$G$4:$G$50003,$B$4,'BASE CONTROLES'!$X$4:$X$50003,"VALIDE",'BASE CONTROLES'!$T$4:$T$50003,"&gt;0")=0),"",SUMIFS('BASE CONTROLES'!$H$4:$H$50003,'BASE CONTROLES'!$G$4:$G$50003,$B$4,'BASE CONTROLES'!$X$4:$X$50003,"VALIDE",'BASE CONTROLES'!$T$4:$T$50003,"&gt;0")*60/SUMIFS('BASE CONTROLES'!$T$4:$T$50003,'BASE CONTROLES'!$G$4:$G$50003,$B$4,'BASE CONTROLES'!$X$4:$X$50003,"VALIDE",'BASE CONTROLES'!$T$4:$T$50003,"&gt;0"))</f>
        <v/>
      </c>
      <c r="D8" s="22">
        <f>IF(COUNTIFS('BASE CONTROLES'!$G$4:$G$50003,$B$4,'BASE CONTROLES'!$X$4:$X$50003,"VALIDE",'BASE CONTROLES'!$U$4:$U$50003,"&gt;0")=0,"",_xlfn.MINIFS('BASE CONTROLES'!$U$4:$U$50003,'BASE CONTROLES'!$G$4:$G$50003,$B$4,'BASE CONTROLES'!$X$4:$X$50003,"VALIDE",'BASE CONTROLES'!$U$4:$U$50003,"&gt;0"))</f>
        <v/>
      </c>
      <c r="E8" s="22">
        <f>IF(COUNTIFS('BASE CONTROLES'!$G$4:$G$50003,$B$4,'BASE CONTROLES'!$X$4:$X$50003,"VALIDE",'BASE CONTROLES'!$U$4:$U$50003,"&gt;0")=0,"",_xlfn.MAXIFS('BASE CONTROLES'!$U$4:$U$50003,'BASE CONTROLES'!$G$4:$G$50003,$B$4,'BASE CONTROLES'!$X$4:$X$50003,"VALIDE",'BASE CONTROLES'!$U$4:$U$50003,"&gt;0"))</f>
        <v/>
      </c>
      <c r="F8" s="27">
        <f>IF(COUNTIFS('BASE CONTROLES'!$G$4:$G$50003,$B$4,'BASE CONTROLES'!$X$4:$X$50003,"VALIDE",'BASE CONTROLES'!$V$4:$V$50003,"&gt;0")=0,"",AVERAGEIFS('BASE CONTROLES'!$V$4:$V$50003,'BASE CONTROLES'!$G$4:$G$50003,$B$4,'BASE CONTROLES'!$X$4:$X$50003,"VALIDE",'BASE CONTROLES'!$V$4:$V$50003,"&gt;0"))</f>
        <v/>
      </c>
      <c r="G8" s="19">
        <f>IF(OR($B$4="",COUNTIFS('BASE CONTROLES'!$G$4:$G$50003,$B$4,'BASE CONTROLES'!$X$4:$X$50003,"VALIDE")=0),"",_xlfn.MAXIFS('BASE CONTROLES'!$B$4:$B$50003,'BASE CONTROLES'!$G$4:$G$50003,$B$4,'BASE CONTROLES'!$X$4:$X$50003,"VALIDE"))</f>
        <v/>
      </c>
    </row>
    <row r="9" ht="19" customHeight="1">
      <c r="A9" s="38" t="inlineStr">
        <is>
          <t>PRODUITS TRAVAILLES</t>
        </is>
      </c>
      <c r="B9" s="17">
        <f>IF($B$4="","",_xlfn.TEXTJOIN(", ",TRUE,$U$17:$U$38))</f>
        <v/>
      </c>
    </row>
    <row r="10" ht="19" customHeight="1">
      <c r="A10" s="38" t="inlineStr">
        <is>
          <t>LIGNES TRAVAILLEES</t>
        </is>
      </c>
      <c r="B10" s="17">
        <f>IF($B$4="","",_xlfn.TEXTJOIN(", ",TRUE,$V$17:$V$24))</f>
        <v/>
      </c>
    </row>
    <row r="12" ht="21" customHeight="1">
      <c r="A12" s="4" t="inlineStr">
        <is>
          <t>FILTRES DU DETAIL — LAISSER VIDE = TOUS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</row>
    <row r="13" ht="33" customHeight="1">
      <c r="A13" s="24" t="inlineStr">
        <is>
          <t>PRODUIT</t>
        </is>
      </c>
      <c r="B13" s="24" t="inlineStr">
        <is>
          <t>MARQUE</t>
        </is>
      </c>
      <c r="C13" s="24" t="inlineStr">
        <is>
          <t>FORMAT</t>
        </is>
      </c>
      <c r="D13" s="24" t="inlineStr">
        <is>
          <t>PRÉPARATION</t>
        </is>
      </c>
      <c r="E13" s="24" t="inlineStr">
        <is>
          <t>MOULE</t>
        </is>
      </c>
      <c r="F13" s="24" t="inlineStr">
        <is>
          <t>LIGNE</t>
        </is>
      </c>
      <c r="G13" s="24" t="inlineStr">
        <is>
          <t>DATE DÉBUT</t>
        </is>
      </c>
      <c r="H13" s="24" t="inlineStr">
        <is>
          <t>DATE FIN</t>
        </is>
      </c>
    </row>
    <row r="14" ht="20" customHeight="1">
      <c r="A14" s="9" t="n"/>
      <c r="B14" s="9" t="n"/>
      <c r="C14" s="9" t="n"/>
      <c r="D14" s="9" t="n"/>
      <c r="E14" s="9" t="n"/>
      <c r="F14" s="9" t="n"/>
      <c r="G14" s="15" t="n"/>
      <c r="H14" s="15" t="n"/>
    </row>
    <row r="15" ht="21" customHeight="1">
      <c r="A15" s="4" t="inlineStr">
        <is>
          <t>DETAIL DES CONTROLES — DU PLUS RECENT AU PLUS ANCIEN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</row>
    <row r="16" ht="33" customHeight="1">
      <c r="A16" s="5" t="inlineStr">
        <is>
          <t>DATE</t>
        </is>
      </c>
      <c r="B16" s="5" t="inlineStr">
        <is>
          <t>HEURE</t>
        </is>
      </c>
      <c r="C16" s="5" t="inlineStr">
        <is>
          <t>ID RUN</t>
        </is>
      </c>
      <c r="D16" s="5" t="inlineStr">
        <is>
          <t>TOUR</t>
        </is>
      </c>
      <c r="E16" s="5" t="inlineStr">
        <is>
          <t>LIGNE</t>
        </is>
      </c>
      <c r="F16" s="5" t="inlineStr">
        <is>
          <t>ACTIVITÉ</t>
        </is>
      </c>
      <c r="G16" s="5" t="inlineStr">
        <is>
          <t>PRODUIT</t>
        </is>
      </c>
      <c r="H16" s="5" t="inlineStr">
        <is>
          <t>MARQUE</t>
        </is>
      </c>
      <c r="I16" s="5" t="inlineStr">
        <is>
          <t>FORMAT</t>
        </is>
      </c>
      <c r="J16" s="5" t="inlineStr">
        <is>
          <t>PRÉPARATION</t>
        </is>
      </c>
      <c r="K16" s="5" t="inlineStr">
        <is>
          <t>MOULE</t>
        </is>
      </c>
      <c r="L16" s="5" t="inlineStr">
        <is>
          <t>NB BOÎTES</t>
        </is>
      </c>
      <c r="M16" s="5" t="inlineStr">
        <is>
          <t>DUREE MESUREE MIN</t>
        </is>
      </c>
      <c r="N16" s="5" t="inlineStr">
        <is>
          <t>CADENCE BOITES/H/FEMME</t>
        </is>
      </c>
      <c r="O16" s="5" t="inlineStr">
        <is>
          <t>STANDARD</t>
        </is>
      </c>
      <c r="P16" s="5" t="inlineStr">
        <is>
          <t>ATTEINTE %</t>
        </is>
      </c>
      <c r="Q16" s="5" t="inlineStr">
        <is>
          <t>STATUT PERFORMANCE</t>
        </is>
      </c>
      <c r="S16" s="44" t="inlineStr">
        <is>
          <t>INDEX</t>
        </is>
      </c>
    </row>
    <row r="17" ht="15" customHeight="1">
      <c r="A17" s="45">
        <f>IF($S17="","",INDEX('BASE CONTROLES'!$B$4:$B$50003,$S17))</f>
        <v/>
      </c>
      <c r="B17" s="35">
        <f>IF($S17="","",INDEX('BASE CONTROLES'!$C$4:$C$50003,$S17))</f>
        <v/>
      </c>
      <c r="C17" s="17">
        <f>IF($S17="","",INDEX('BASE CONTROLES'!$D$4:$D$50003,$S17))</f>
        <v/>
      </c>
      <c r="D17" s="33">
        <f>IF($S17="","",INDEX('BASE CONTROLES'!$E$4:$E$50003,$S17))</f>
        <v/>
      </c>
      <c r="E17" s="33">
        <f>IF($S17="","",INDEX('BASE CONTROLES'!$F$4:$F$50003,$S17))</f>
        <v/>
      </c>
      <c r="F17" s="17">
        <f>IF($S17="","",INDEX('BASE CONTROLES'!$K$4:$K$50003,$S17))</f>
        <v/>
      </c>
      <c r="G17" s="17">
        <f>IF($S17="","",INDEX('BASE CONTROLES'!$M$4:$M$50003,$S17))</f>
        <v/>
      </c>
      <c r="H17" s="17">
        <f>IF($S17="","",INDEX('BASE CONTROLES'!$N$4:$N$50003,$S17))</f>
        <v/>
      </c>
      <c r="I17" s="33">
        <f>IF($S17="","",INDEX('BASE CONTROLES'!$O$4:$O$50003,$S17))</f>
        <v/>
      </c>
      <c r="J17" s="33">
        <f>IF($S17="","",INDEX('BASE CONTROLES'!$P$4:$P$50003,$S17))</f>
        <v/>
      </c>
      <c r="K17" s="33">
        <f>IF($S17="","",INDEX('BASE CONTROLES'!$Q$4:$Q$50003,$S17))</f>
        <v/>
      </c>
      <c r="L17" s="36">
        <f>IF($S17="","",INDEX('BASE CONTROLES'!$H$4:$H$50003,$S17))</f>
        <v/>
      </c>
      <c r="M17" s="36">
        <f>IF($S17="","",INDEX('BASE CONTROLES'!$T$4:$T$50003,$S17))</f>
        <v/>
      </c>
      <c r="N17" s="34">
        <f>IF($S17="","",INDEX('BASE CONTROLES'!$U$4:$U$50003,$S17))</f>
        <v/>
      </c>
      <c r="O17" s="34">
        <f>IF($S17="","",INDEX('BASE CONTROLES'!$R$4:$R$50003,$S17))</f>
        <v/>
      </c>
      <c r="P17" s="37">
        <f>IF($S17="","",INDEX('BASE CONTROLES'!$V$4:$V$50003,$S17))</f>
        <v/>
      </c>
      <c r="Q17" s="17">
        <f>IF($S17="","",INDEX('BASE CONTROLES'!$W$4:$W$50003,$S17))</f>
        <v/>
      </c>
      <c r="S1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CONTROLES'!$G$4:$G$50003)-4+1),1)),""))</f>
        <v/>
      </c>
      <c r="U17" s="44">
        <f>IF(PARAMETRES!$C16="","",IF(COUNTIFS('BASE CONTROLES'!$G$4:$G$50003,$B$4,'BASE CONTROLES'!$M$4:$M$50003,PARAMETRES!$C16,'BASE CONTROLES'!$X$4:$X$50003,"VALIDE")&gt;0,PARAMETRES!$C16,""))</f>
        <v/>
      </c>
      <c r="V17" s="44">
        <f>IF(PARAMETRES!$A16="","",IF(COUNTIFS('BASE CONTROLES'!$G$4:$G$50003,$B$4,'BASE CONTROLES'!$F$4:$F$50003,PARAMETRES!$A16,'BASE CONTROLES'!$X$4:$X$50003,"VALIDE")&gt;0,PARAMETRES!$A16,""))</f>
        <v/>
      </c>
    </row>
    <row r="18" ht="15" customHeight="1">
      <c r="A18" s="45">
        <f>IF($S18="","",INDEX('BASE CONTROLES'!$B$4:$B$50003,$S18))</f>
        <v/>
      </c>
      <c r="B18" s="35">
        <f>IF($S18="","",INDEX('BASE CONTROLES'!$C$4:$C$50003,$S18))</f>
        <v/>
      </c>
      <c r="C18" s="17">
        <f>IF($S18="","",INDEX('BASE CONTROLES'!$D$4:$D$50003,$S18))</f>
        <v/>
      </c>
      <c r="D18" s="33">
        <f>IF($S18="","",INDEX('BASE CONTROLES'!$E$4:$E$50003,$S18))</f>
        <v/>
      </c>
      <c r="E18" s="33">
        <f>IF($S18="","",INDEX('BASE CONTROLES'!$F$4:$F$50003,$S18))</f>
        <v/>
      </c>
      <c r="F18" s="17">
        <f>IF($S18="","",INDEX('BASE CONTROLES'!$K$4:$K$50003,$S18))</f>
        <v/>
      </c>
      <c r="G18" s="17">
        <f>IF($S18="","",INDEX('BASE CONTROLES'!$M$4:$M$50003,$S18))</f>
        <v/>
      </c>
      <c r="H18" s="17">
        <f>IF($S18="","",INDEX('BASE CONTROLES'!$N$4:$N$50003,$S18))</f>
        <v/>
      </c>
      <c r="I18" s="33">
        <f>IF($S18="","",INDEX('BASE CONTROLES'!$O$4:$O$50003,$S18))</f>
        <v/>
      </c>
      <c r="J18" s="33">
        <f>IF($S18="","",INDEX('BASE CONTROLES'!$P$4:$P$50003,$S18))</f>
        <v/>
      </c>
      <c r="K18" s="33">
        <f>IF($S18="","",INDEX('BASE CONTROLES'!$Q$4:$Q$50003,$S18))</f>
        <v/>
      </c>
      <c r="L18" s="36">
        <f>IF($S18="","",INDEX('BASE CONTROLES'!$H$4:$H$50003,$S18))</f>
        <v/>
      </c>
      <c r="M18" s="36">
        <f>IF($S18="","",INDEX('BASE CONTROLES'!$T$4:$T$50003,$S18))</f>
        <v/>
      </c>
      <c r="N18" s="34">
        <f>IF($S18="","",INDEX('BASE CONTROLES'!$U$4:$U$50003,$S18))</f>
        <v/>
      </c>
      <c r="O18" s="34">
        <f>IF($S18="","",INDEX('BASE CONTROLES'!$R$4:$R$50003,$S18))</f>
        <v/>
      </c>
      <c r="P18" s="37">
        <f>IF($S18="","",INDEX('BASE CONTROLES'!$V$4:$V$50003,$S18))</f>
        <v/>
      </c>
      <c r="Q18" s="17">
        <f>IF($S18="","",INDEX('BASE CONTROLES'!$W$4:$W$50003,$S18))</f>
        <v/>
      </c>
      <c r="S1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CONTROLES'!$G$4:$G$50003)-4+1),2)),""))</f>
        <v/>
      </c>
      <c r="U18" s="44">
        <f>IF(PARAMETRES!$C17="","",IF(COUNTIFS('BASE CONTROLES'!$G$4:$G$50003,$B$4,'BASE CONTROLES'!$M$4:$M$50003,PARAMETRES!$C17,'BASE CONTROLES'!$X$4:$X$50003,"VALIDE")&gt;0,PARAMETRES!$C17,""))</f>
        <v/>
      </c>
      <c r="V18" s="44">
        <f>IF(PARAMETRES!$A17="","",IF(COUNTIFS('BASE CONTROLES'!$G$4:$G$50003,$B$4,'BASE CONTROLES'!$F$4:$F$50003,PARAMETRES!$A17,'BASE CONTROLES'!$X$4:$X$50003,"VALIDE")&gt;0,PARAMETRES!$A17,""))</f>
        <v/>
      </c>
    </row>
    <row r="19" ht="15" customHeight="1">
      <c r="A19" s="45">
        <f>IF($S19="","",INDEX('BASE CONTROLES'!$B$4:$B$50003,$S19))</f>
        <v/>
      </c>
      <c r="B19" s="35">
        <f>IF($S19="","",INDEX('BASE CONTROLES'!$C$4:$C$50003,$S19))</f>
        <v/>
      </c>
      <c r="C19" s="17">
        <f>IF($S19="","",INDEX('BASE CONTROLES'!$D$4:$D$50003,$S19))</f>
        <v/>
      </c>
      <c r="D19" s="33">
        <f>IF($S19="","",INDEX('BASE CONTROLES'!$E$4:$E$50003,$S19))</f>
        <v/>
      </c>
      <c r="E19" s="33">
        <f>IF($S19="","",INDEX('BASE CONTROLES'!$F$4:$F$50003,$S19))</f>
        <v/>
      </c>
      <c r="F19" s="17">
        <f>IF($S19="","",INDEX('BASE CONTROLES'!$K$4:$K$50003,$S19))</f>
        <v/>
      </c>
      <c r="G19" s="17">
        <f>IF($S19="","",INDEX('BASE CONTROLES'!$M$4:$M$50003,$S19))</f>
        <v/>
      </c>
      <c r="H19" s="17">
        <f>IF($S19="","",INDEX('BASE CONTROLES'!$N$4:$N$50003,$S19))</f>
        <v/>
      </c>
      <c r="I19" s="33">
        <f>IF($S19="","",INDEX('BASE CONTROLES'!$O$4:$O$50003,$S19))</f>
        <v/>
      </c>
      <c r="J19" s="33">
        <f>IF($S19="","",INDEX('BASE CONTROLES'!$P$4:$P$50003,$S19))</f>
        <v/>
      </c>
      <c r="K19" s="33">
        <f>IF($S19="","",INDEX('BASE CONTROLES'!$Q$4:$Q$50003,$S19))</f>
        <v/>
      </c>
      <c r="L19" s="36">
        <f>IF($S19="","",INDEX('BASE CONTROLES'!$H$4:$H$50003,$S19))</f>
        <v/>
      </c>
      <c r="M19" s="36">
        <f>IF($S19="","",INDEX('BASE CONTROLES'!$T$4:$T$50003,$S19))</f>
        <v/>
      </c>
      <c r="N19" s="34">
        <f>IF($S19="","",INDEX('BASE CONTROLES'!$U$4:$U$50003,$S19))</f>
        <v/>
      </c>
      <c r="O19" s="34">
        <f>IF($S19="","",INDEX('BASE CONTROLES'!$R$4:$R$50003,$S19))</f>
        <v/>
      </c>
      <c r="P19" s="37">
        <f>IF($S19="","",INDEX('BASE CONTROLES'!$V$4:$V$50003,$S19))</f>
        <v/>
      </c>
      <c r="Q19" s="17">
        <f>IF($S19="","",INDEX('BASE CONTROLES'!$W$4:$W$50003,$S19))</f>
        <v/>
      </c>
      <c r="S1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CONTROLES'!$G$4:$G$50003)-4+1),3)),""))</f>
        <v/>
      </c>
      <c r="U19" s="44">
        <f>IF(PARAMETRES!$C18="","",IF(COUNTIFS('BASE CONTROLES'!$G$4:$G$50003,$B$4,'BASE CONTROLES'!$M$4:$M$50003,PARAMETRES!$C18,'BASE CONTROLES'!$X$4:$X$50003,"VALIDE")&gt;0,PARAMETRES!$C18,""))</f>
        <v/>
      </c>
      <c r="V19" s="44">
        <f>IF(PARAMETRES!$A18="","",IF(COUNTIFS('BASE CONTROLES'!$G$4:$G$50003,$B$4,'BASE CONTROLES'!$F$4:$F$50003,PARAMETRES!$A18,'BASE CONTROLES'!$X$4:$X$50003,"VALIDE")&gt;0,PARAMETRES!$A18,""))</f>
        <v/>
      </c>
    </row>
    <row r="20" ht="15" customHeight="1">
      <c r="A20" s="45">
        <f>IF($S20="","",INDEX('BASE CONTROLES'!$B$4:$B$50003,$S20))</f>
        <v/>
      </c>
      <c r="B20" s="35">
        <f>IF($S20="","",INDEX('BASE CONTROLES'!$C$4:$C$50003,$S20))</f>
        <v/>
      </c>
      <c r="C20" s="17">
        <f>IF($S20="","",INDEX('BASE CONTROLES'!$D$4:$D$50003,$S20))</f>
        <v/>
      </c>
      <c r="D20" s="33">
        <f>IF($S20="","",INDEX('BASE CONTROLES'!$E$4:$E$50003,$S20))</f>
        <v/>
      </c>
      <c r="E20" s="33">
        <f>IF($S20="","",INDEX('BASE CONTROLES'!$F$4:$F$50003,$S20))</f>
        <v/>
      </c>
      <c r="F20" s="17">
        <f>IF($S20="","",INDEX('BASE CONTROLES'!$K$4:$K$50003,$S20))</f>
        <v/>
      </c>
      <c r="G20" s="17">
        <f>IF($S20="","",INDEX('BASE CONTROLES'!$M$4:$M$50003,$S20))</f>
        <v/>
      </c>
      <c r="H20" s="17">
        <f>IF($S20="","",INDEX('BASE CONTROLES'!$N$4:$N$50003,$S20))</f>
        <v/>
      </c>
      <c r="I20" s="33">
        <f>IF($S20="","",INDEX('BASE CONTROLES'!$O$4:$O$50003,$S20))</f>
        <v/>
      </c>
      <c r="J20" s="33">
        <f>IF($S20="","",INDEX('BASE CONTROLES'!$P$4:$P$50003,$S20))</f>
        <v/>
      </c>
      <c r="K20" s="33">
        <f>IF($S20="","",INDEX('BASE CONTROLES'!$Q$4:$Q$50003,$S20))</f>
        <v/>
      </c>
      <c r="L20" s="36">
        <f>IF($S20="","",INDEX('BASE CONTROLES'!$H$4:$H$50003,$S20))</f>
        <v/>
      </c>
      <c r="M20" s="36">
        <f>IF($S20="","",INDEX('BASE CONTROLES'!$T$4:$T$50003,$S20))</f>
        <v/>
      </c>
      <c r="N20" s="34">
        <f>IF($S20="","",INDEX('BASE CONTROLES'!$U$4:$U$50003,$S20))</f>
        <v/>
      </c>
      <c r="O20" s="34">
        <f>IF($S20="","",INDEX('BASE CONTROLES'!$R$4:$R$50003,$S20))</f>
        <v/>
      </c>
      <c r="P20" s="37">
        <f>IF($S20="","",INDEX('BASE CONTROLES'!$V$4:$V$50003,$S20))</f>
        <v/>
      </c>
      <c r="Q20" s="17">
        <f>IF($S20="","",INDEX('BASE CONTROLES'!$W$4:$W$50003,$S20))</f>
        <v/>
      </c>
      <c r="S2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CONTROLES'!$G$4:$G$50003)-4+1),4)),""))</f>
        <v/>
      </c>
      <c r="U20" s="44">
        <f>IF(PARAMETRES!$C19="","",IF(COUNTIFS('BASE CONTROLES'!$G$4:$G$50003,$B$4,'BASE CONTROLES'!$M$4:$M$50003,PARAMETRES!$C19,'BASE CONTROLES'!$X$4:$X$50003,"VALIDE")&gt;0,PARAMETRES!$C19,""))</f>
        <v/>
      </c>
      <c r="V20" s="44">
        <f>IF(PARAMETRES!$A19="","",IF(COUNTIFS('BASE CONTROLES'!$G$4:$G$50003,$B$4,'BASE CONTROLES'!$F$4:$F$50003,PARAMETRES!$A19,'BASE CONTROLES'!$X$4:$X$50003,"VALIDE")&gt;0,PARAMETRES!$A19,""))</f>
        <v/>
      </c>
    </row>
    <row r="21" ht="15" customHeight="1">
      <c r="A21" s="45">
        <f>IF($S21="","",INDEX('BASE CONTROLES'!$B$4:$B$50003,$S21))</f>
        <v/>
      </c>
      <c r="B21" s="35">
        <f>IF($S21="","",INDEX('BASE CONTROLES'!$C$4:$C$50003,$S21))</f>
        <v/>
      </c>
      <c r="C21" s="17">
        <f>IF($S21="","",INDEX('BASE CONTROLES'!$D$4:$D$50003,$S21))</f>
        <v/>
      </c>
      <c r="D21" s="33">
        <f>IF($S21="","",INDEX('BASE CONTROLES'!$E$4:$E$50003,$S21))</f>
        <v/>
      </c>
      <c r="E21" s="33">
        <f>IF($S21="","",INDEX('BASE CONTROLES'!$F$4:$F$50003,$S21))</f>
        <v/>
      </c>
      <c r="F21" s="17">
        <f>IF($S21="","",INDEX('BASE CONTROLES'!$K$4:$K$50003,$S21))</f>
        <v/>
      </c>
      <c r="G21" s="17">
        <f>IF($S21="","",INDEX('BASE CONTROLES'!$M$4:$M$50003,$S21))</f>
        <v/>
      </c>
      <c r="H21" s="17">
        <f>IF($S21="","",INDEX('BASE CONTROLES'!$N$4:$N$50003,$S21))</f>
        <v/>
      </c>
      <c r="I21" s="33">
        <f>IF($S21="","",INDEX('BASE CONTROLES'!$O$4:$O$50003,$S21))</f>
        <v/>
      </c>
      <c r="J21" s="33">
        <f>IF($S21="","",INDEX('BASE CONTROLES'!$P$4:$P$50003,$S21))</f>
        <v/>
      </c>
      <c r="K21" s="33">
        <f>IF($S21="","",INDEX('BASE CONTROLES'!$Q$4:$Q$50003,$S21))</f>
        <v/>
      </c>
      <c r="L21" s="36">
        <f>IF($S21="","",INDEX('BASE CONTROLES'!$H$4:$H$50003,$S21))</f>
        <v/>
      </c>
      <c r="M21" s="36">
        <f>IF($S21="","",INDEX('BASE CONTROLES'!$T$4:$T$50003,$S21))</f>
        <v/>
      </c>
      <c r="N21" s="34">
        <f>IF($S21="","",INDEX('BASE CONTROLES'!$U$4:$U$50003,$S21))</f>
        <v/>
      </c>
      <c r="O21" s="34">
        <f>IF($S21="","",INDEX('BASE CONTROLES'!$R$4:$R$50003,$S21))</f>
        <v/>
      </c>
      <c r="P21" s="37">
        <f>IF($S21="","",INDEX('BASE CONTROLES'!$V$4:$V$50003,$S21))</f>
        <v/>
      </c>
      <c r="Q21" s="17">
        <f>IF($S21="","",INDEX('BASE CONTROLES'!$W$4:$W$50003,$S21))</f>
        <v/>
      </c>
      <c r="S2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CONTROLES'!$G$4:$G$50003)-4+1),5)),""))</f>
        <v/>
      </c>
      <c r="U21" s="44">
        <f>IF(PARAMETRES!$C20="","",IF(COUNTIFS('BASE CONTROLES'!$G$4:$G$50003,$B$4,'BASE CONTROLES'!$M$4:$M$50003,PARAMETRES!$C20,'BASE CONTROLES'!$X$4:$X$50003,"VALIDE")&gt;0,PARAMETRES!$C20,""))</f>
        <v/>
      </c>
      <c r="V21" s="44">
        <f>IF(PARAMETRES!$A20="","",IF(COUNTIFS('BASE CONTROLES'!$G$4:$G$50003,$B$4,'BASE CONTROLES'!$F$4:$F$50003,PARAMETRES!$A20,'BASE CONTROLES'!$X$4:$X$50003,"VALIDE")&gt;0,PARAMETRES!$A20,""))</f>
        <v/>
      </c>
    </row>
    <row r="22" ht="15" customHeight="1">
      <c r="A22" s="45">
        <f>IF($S22="","",INDEX('BASE CONTROLES'!$B$4:$B$50003,$S22))</f>
        <v/>
      </c>
      <c r="B22" s="35">
        <f>IF($S22="","",INDEX('BASE CONTROLES'!$C$4:$C$50003,$S22))</f>
        <v/>
      </c>
      <c r="C22" s="17">
        <f>IF($S22="","",INDEX('BASE CONTROLES'!$D$4:$D$50003,$S22))</f>
        <v/>
      </c>
      <c r="D22" s="33">
        <f>IF($S22="","",INDEX('BASE CONTROLES'!$E$4:$E$50003,$S22))</f>
        <v/>
      </c>
      <c r="E22" s="33">
        <f>IF($S22="","",INDEX('BASE CONTROLES'!$F$4:$F$50003,$S22))</f>
        <v/>
      </c>
      <c r="F22" s="17">
        <f>IF($S22="","",INDEX('BASE CONTROLES'!$K$4:$K$50003,$S22))</f>
        <v/>
      </c>
      <c r="G22" s="17">
        <f>IF($S22="","",INDEX('BASE CONTROLES'!$M$4:$M$50003,$S22))</f>
        <v/>
      </c>
      <c r="H22" s="17">
        <f>IF($S22="","",INDEX('BASE CONTROLES'!$N$4:$N$50003,$S22))</f>
        <v/>
      </c>
      <c r="I22" s="33">
        <f>IF($S22="","",INDEX('BASE CONTROLES'!$O$4:$O$50003,$S22))</f>
        <v/>
      </c>
      <c r="J22" s="33">
        <f>IF($S22="","",INDEX('BASE CONTROLES'!$P$4:$P$50003,$S22))</f>
        <v/>
      </c>
      <c r="K22" s="33">
        <f>IF($S22="","",INDEX('BASE CONTROLES'!$Q$4:$Q$50003,$S22))</f>
        <v/>
      </c>
      <c r="L22" s="36">
        <f>IF($S22="","",INDEX('BASE CONTROLES'!$H$4:$H$50003,$S22))</f>
        <v/>
      </c>
      <c r="M22" s="36">
        <f>IF($S22="","",INDEX('BASE CONTROLES'!$T$4:$T$50003,$S22))</f>
        <v/>
      </c>
      <c r="N22" s="34">
        <f>IF($S22="","",INDEX('BASE CONTROLES'!$U$4:$U$50003,$S22))</f>
        <v/>
      </c>
      <c r="O22" s="34">
        <f>IF($S22="","",INDEX('BASE CONTROLES'!$R$4:$R$50003,$S22))</f>
        <v/>
      </c>
      <c r="P22" s="37">
        <f>IF($S22="","",INDEX('BASE CONTROLES'!$V$4:$V$50003,$S22))</f>
        <v/>
      </c>
      <c r="Q22" s="17">
        <f>IF($S22="","",INDEX('BASE CONTROLES'!$W$4:$W$50003,$S22))</f>
        <v/>
      </c>
      <c r="S2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CONTROLES'!$G$4:$G$50003)-4+1),6)),""))</f>
        <v/>
      </c>
      <c r="U22" s="44">
        <f>IF(PARAMETRES!$C21="","",IF(COUNTIFS('BASE CONTROLES'!$G$4:$G$50003,$B$4,'BASE CONTROLES'!$M$4:$M$50003,PARAMETRES!$C21,'BASE CONTROLES'!$X$4:$X$50003,"VALIDE")&gt;0,PARAMETRES!$C21,""))</f>
        <v/>
      </c>
      <c r="V22" s="44">
        <f>IF(PARAMETRES!$A21="","",IF(COUNTIFS('BASE CONTROLES'!$G$4:$G$50003,$B$4,'BASE CONTROLES'!$F$4:$F$50003,PARAMETRES!$A21,'BASE CONTROLES'!$X$4:$X$50003,"VALIDE")&gt;0,PARAMETRES!$A21,""))</f>
        <v/>
      </c>
    </row>
    <row r="23" ht="15" customHeight="1">
      <c r="A23" s="45">
        <f>IF($S23="","",INDEX('BASE CONTROLES'!$B$4:$B$50003,$S23))</f>
        <v/>
      </c>
      <c r="B23" s="35">
        <f>IF($S23="","",INDEX('BASE CONTROLES'!$C$4:$C$50003,$S23))</f>
        <v/>
      </c>
      <c r="C23" s="17">
        <f>IF($S23="","",INDEX('BASE CONTROLES'!$D$4:$D$50003,$S23))</f>
        <v/>
      </c>
      <c r="D23" s="33">
        <f>IF($S23="","",INDEX('BASE CONTROLES'!$E$4:$E$50003,$S23))</f>
        <v/>
      </c>
      <c r="E23" s="33">
        <f>IF($S23="","",INDEX('BASE CONTROLES'!$F$4:$F$50003,$S23))</f>
        <v/>
      </c>
      <c r="F23" s="17">
        <f>IF($S23="","",INDEX('BASE CONTROLES'!$K$4:$K$50003,$S23))</f>
        <v/>
      </c>
      <c r="G23" s="17">
        <f>IF($S23="","",INDEX('BASE CONTROLES'!$M$4:$M$50003,$S23))</f>
        <v/>
      </c>
      <c r="H23" s="17">
        <f>IF($S23="","",INDEX('BASE CONTROLES'!$N$4:$N$50003,$S23))</f>
        <v/>
      </c>
      <c r="I23" s="33">
        <f>IF($S23="","",INDEX('BASE CONTROLES'!$O$4:$O$50003,$S23))</f>
        <v/>
      </c>
      <c r="J23" s="33">
        <f>IF($S23="","",INDEX('BASE CONTROLES'!$P$4:$P$50003,$S23))</f>
        <v/>
      </c>
      <c r="K23" s="33">
        <f>IF($S23="","",INDEX('BASE CONTROLES'!$Q$4:$Q$50003,$S23))</f>
        <v/>
      </c>
      <c r="L23" s="36">
        <f>IF($S23="","",INDEX('BASE CONTROLES'!$H$4:$H$50003,$S23))</f>
        <v/>
      </c>
      <c r="M23" s="36">
        <f>IF($S23="","",INDEX('BASE CONTROLES'!$T$4:$T$50003,$S23))</f>
        <v/>
      </c>
      <c r="N23" s="34">
        <f>IF($S23="","",INDEX('BASE CONTROLES'!$U$4:$U$50003,$S23))</f>
        <v/>
      </c>
      <c r="O23" s="34">
        <f>IF($S23="","",INDEX('BASE CONTROLES'!$R$4:$R$50003,$S23))</f>
        <v/>
      </c>
      <c r="P23" s="37">
        <f>IF($S23="","",INDEX('BASE CONTROLES'!$V$4:$V$50003,$S23))</f>
        <v/>
      </c>
      <c r="Q23" s="17">
        <f>IF($S23="","",INDEX('BASE CONTROLES'!$W$4:$W$50003,$S23))</f>
        <v/>
      </c>
      <c r="S2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CONTROLES'!$G$4:$G$50003)-4+1),7)),""))</f>
        <v/>
      </c>
      <c r="U23" s="44">
        <f>IF(PARAMETRES!$C22="","",IF(COUNTIFS('BASE CONTROLES'!$G$4:$G$50003,$B$4,'BASE CONTROLES'!$M$4:$M$50003,PARAMETRES!$C22,'BASE CONTROLES'!$X$4:$X$50003,"VALIDE")&gt;0,PARAMETRES!$C22,""))</f>
        <v/>
      </c>
      <c r="V23" s="44">
        <f>IF(PARAMETRES!$A22="","",IF(COUNTIFS('BASE CONTROLES'!$G$4:$G$50003,$B$4,'BASE CONTROLES'!$F$4:$F$50003,PARAMETRES!$A22,'BASE CONTROLES'!$X$4:$X$50003,"VALIDE")&gt;0,PARAMETRES!$A22,""))</f>
        <v/>
      </c>
    </row>
    <row r="24" ht="15" customHeight="1">
      <c r="A24" s="45">
        <f>IF($S24="","",INDEX('BASE CONTROLES'!$B$4:$B$50003,$S24))</f>
        <v/>
      </c>
      <c r="B24" s="35">
        <f>IF($S24="","",INDEX('BASE CONTROLES'!$C$4:$C$50003,$S24))</f>
        <v/>
      </c>
      <c r="C24" s="17">
        <f>IF($S24="","",INDEX('BASE CONTROLES'!$D$4:$D$50003,$S24))</f>
        <v/>
      </c>
      <c r="D24" s="33">
        <f>IF($S24="","",INDEX('BASE CONTROLES'!$E$4:$E$50003,$S24))</f>
        <v/>
      </c>
      <c r="E24" s="33">
        <f>IF($S24="","",INDEX('BASE CONTROLES'!$F$4:$F$50003,$S24))</f>
        <v/>
      </c>
      <c r="F24" s="17">
        <f>IF($S24="","",INDEX('BASE CONTROLES'!$K$4:$K$50003,$S24))</f>
        <v/>
      </c>
      <c r="G24" s="17">
        <f>IF($S24="","",INDEX('BASE CONTROLES'!$M$4:$M$50003,$S24))</f>
        <v/>
      </c>
      <c r="H24" s="17">
        <f>IF($S24="","",INDEX('BASE CONTROLES'!$N$4:$N$50003,$S24))</f>
        <v/>
      </c>
      <c r="I24" s="33">
        <f>IF($S24="","",INDEX('BASE CONTROLES'!$O$4:$O$50003,$S24))</f>
        <v/>
      </c>
      <c r="J24" s="33">
        <f>IF($S24="","",INDEX('BASE CONTROLES'!$P$4:$P$50003,$S24))</f>
        <v/>
      </c>
      <c r="K24" s="33">
        <f>IF($S24="","",INDEX('BASE CONTROLES'!$Q$4:$Q$50003,$S24))</f>
        <v/>
      </c>
      <c r="L24" s="36">
        <f>IF($S24="","",INDEX('BASE CONTROLES'!$H$4:$H$50003,$S24))</f>
        <v/>
      </c>
      <c r="M24" s="36">
        <f>IF($S24="","",INDEX('BASE CONTROLES'!$T$4:$T$50003,$S24))</f>
        <v/>
      </c>
      <c r="N24" s="34">
        <f>IF($S24="","",INDEX('BASE CONTROLES'!$U$4:$U$50003,$S24))</f>
        <v/>
      </c>
      <c r="O24" s="34">
        <f>IF($S24="","",INDEX('BASE CONTROLES'!$R$4:$R$50003,$S24))</f>
        <v/>
      </c>
      <c r="P24" s="37">
        <f>IF($S24="","",INDEX('BASE CONTROLES'!$V$4:$V$50003,$S24))</f>
        <v/>
      </c>
      <c r="Q24" s="17">
        <f>IF($S24="","",INDEX('BASE CONTROLES'!$W$4:$W$50003,$S24))</f>
        <v/>
      </c>
      <c r="S2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CONTROLES'!$G$4:$G$50003)-4+1),8)),""))</f>
        <v/>
      </c>
      <c r="U24" s="44">
        <f>IF(PARAMETRES!$C23="","",IF(COUNTIFS('BASE CONTROLES'!$G$4:$G$50003,$B$4,'BASE CONTROLES'!$M$4:$M$50003,PARAMETRES!$C23,'BASE CONTROLES'!$X$4:$X$50003,"VALIDE")&gt;0,PARAMETRES!$C23,""))</f>
        <v/>
      </c>
      <c r="V24" s="44">
        <f>IF(PARAMETRES!$A23="","",IF(COUNTIFS('BASE CONTROLES'!$G$4:$G$50003,$B$4,'BASE CONTROLES'!$F$4:$F$50003,PARAMETRES!$A23,'BASE CONTROLES'!$X$4:$X$50003,"VALIDE")&gt;0,PARAMETRES!$A23,""))</f>
        <v/>
      </c>
    </row>
    <row r="25" ht="15" customHeight="1">
      <c r="A25" s="45">
        <f>IF($S25="","",INDEX('BASE CONTROLES'!$B$4:$B$50003,$S25))</f>
        <v/>
      </c>
      <c r="B25" s="35">
        <f>IF($S25="","",INDEX('BASE CONTROLES'!$C$4:$C$50003,$S25))</f>
        <v/>
      </c>
      <c r="C25" s="17">
        <f>IF($S25="","",INDEX('BASE CONTROLES'!$D$4:$D$50003,$S25))</f>
        <v/>
      </c>
      <c r="D25" s="33">
        <f>IF($S25="","",INDEX('BASE CONTROLES'!$E$4:$E$50003,$S25))</f>
        <v/>
      </c>
      <c r="E25" s="33">
        <f>IF($S25="","",INDEX('BASE CONTROLES'!$F$4:$F$50003,$S25))</f>
        <v/>
      </c>
      <c r="F25" s="17">
        <f>IF($S25="","",INDEX('BASE CONTROLES'!$K$4:$K$50003,$S25))</f>
        <v/>
      </c>
      <c r="G25" s="17">
        <f>IF($S25="","",INDEX('BASE CONTROLES'!$M$4:$M$50003,$S25))</f>
        <v/>
      </c>
      <c r="H25" s="17">
        <f>IF($S25="","",INDEX('BASE CONTROLES'!$N$4:$N$50003,$S25))</f>
        <v/>
      </c>
      <c r="I25" s="33">
        <f>IF($S25="","",INDEX('BASE CONTROLES'!$O$4:$O$50003,$S25))</f>
        <v/>
      </c>
      <c r="J25" s="33">
        <f>IF($S25="","",INDEX('BASE CONTROLES'!$P$4:$P$50003,$S25))</f>
        <v/>
      </c>
      <c r="K25" s="33">
        <f>IF($S25="","",INDEX('BASE CONTROLES'!$Q$4:$Q$50003,$S25))</f>
        <v/>
      </c>
      <c r="L25" s="36">
        <f>IF($S25="","",INDEX('BASE CONTROLES'!$H$4:$H$50003,$S25))</f>
        <v/>
      </c>
      <c r="M25" s="36">
        <f>IF($S25="","",INDEX('BASE CONTROLES'!$T$4:$T$50003,$S25))</f>
        <v/>
      </c>
      <c r="N25" s="34">
        <f>IF($S25="","",INDEX('BASE CONTROLES'!$U$4:$U$50003,$S25))</f>
        <v/>
      </c>
      <c r="O25" s="34">
        <f>IF($S25="","",INDEX('BASE CONTROLES'!$R$4:$R$50003,$S25))</f>
        <v/>
      </c>
      <c r="P25" s="37">
        <f>IF($S25="","",INDEX('BASE CONTROLES'!$V$4:$V$50003,$S25))</f>
        <v/>
      </c>
      <c r="Q25" s="17">
        <f>IF($S25="","",INDEX('BASE CONTROLES'!$W$4:$W$50003,$S25))</f>
        <v/>
      </c>
      <c r="S2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CONTROLES'!$G$4:$G$50003)-4+1),9)),""))</f>
        <v/>
      </c>
      <c r="U25" s="44">
        <f>IF(PARAMETRES!$C24="","",IF(COUNTIFS('BASE CONTROLES'!$G$4:$G$50003,$B$4,'BASE CONTROLES'!$M$4:$M$50003,PARAMETRES!$C24,'BASE CONTROLES'!$X$4:$X$50003,"VALIDE")&gt;0,PARAMETRES!$C24,""))</f>
        <v/>
      </c>
    </row>
    <row r="26" ht="15" customHeight="1">
      <c r="A26" s="45">
        <f>IF($S26="","",INDEX('BASE CONTROLES'!$B$4:$B$50003,$S26))</f>
        <v/>
      </c>
      <c r="B26" s="35">
        <f>IF($S26="","",INDEX('BASE CONTROLES'!$C$4:$C$50003,$S26))</f>
        <v/>
      </c>
      <c r="C26" s="17">
        <f>IF($S26="","",INDEX('BASE CONTROLES'!$D$4:$D$50003,$S26))</f>
        <v/>
      </c>
      <c r="D26" s="33">
        <f>IF($S26="","",INDEX('BASE CONTROLES'!$E$4:$E$50003,$S26))</f>
        <v/>
      </c>
      <c r="E26" s="33">
        <f>IF($S26="","",INDEX('BASE CONTROLES'!$F$4:$F$50003,$S26))</f>
        <v/>
      </c>
      <c r="F26" s="17">
        <f>IF($S26="","",INDEX('BASE CONTROLES'!$K$4:$K$50003,$S26))</f>
        <v/>
      </c>
      <c r="G26" s="17">
        <f>IF($S26="","",INDEX('BASE CONTROLES'!$M$4:$M$50003,$S26))</f>
        <v/>
      </c>
      <c r="H26" s="17">
        <f>IF($S26="","",INDEX('BASE CONTROLES'!$N$4:$N$50003,$S26))</f>
        <v/>
      </c>
      <c r="I26" s="33">
        <f>IF($S26="","",INDEX('BASE CONTROLES'!$O$4:$O$50003,$S26))</f>
        <v/>
      </c>
      <c r="J26" s="33">
        <f>IF($S26="","",INDEX('BASE CONTROLES'!$P$4:$P$50003,$S26))</f>
        <v/>
      </c>
      <c r="K26" s="33">
        <f>IF($S26="","",INDEX('BASE CONTROLES'!$Q$4:$Q$50003,$S26))</f>
        <v/>
      </c>
      <c r="L26" s="36">
        <f>IF($S26="","",INDEX('BASE CONTROLES'!$H$4:$H$50003,$S26))</f>
        <v/>
      </c>
      <c r="M26" s="36">
        <f>IF($S26="","",INDEX('BASE CONTROLES'!$T$4:$T$50003,$S26))</f>
        <v/>
      </c>
      <c r="N26" s="34">
        <f>IF($S26="","",INDEX('BASE CONTROLES'!$U$4:$U$50003,$S26))</f>
        <v/>
      </c>
      <c r="O26" s="34">
        <f>IF($S26="","",INDEX('BASE CONTROLES'!$R$4:$R$50003,$S26))</f>
        <v/>
      </c>
      <c r="P26" s="37">
        <f>IF($S26="","",INDEX('BASE CONTROLES'!$V$4:$V$50003,$S26))</f>
        <v/>
      </c>
      <c r="Q26" s="17">
        <f>IF($S26="","",INDEX('BASE CONTROLES'!$W$4:$W$50003,$S26))</f>
        <v/>
      </c>
      <c r="S2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CONTROLES'!$G$4:$G$50003)-4+1),10)),""))</f>
        <v/>
      </c>
      <c r="U26" s="44">
        <f>IF(PARAMETRES!$C25="","",IF(COUNTIFS('BASE CONTROLES'!$G$4:$G$50003,$B$4,'BASE CONTROLES'!$M$4:$M$50003,PARAMETRES!$C25,'BASE CONTROLES'!$X$4:$X$50003,"VALIDE")&gt;0,PARAMETRES!$C25,""))</f>
        <v/>
      </c>
    </row>
    <row r="27" ht="15" customHeight="1">
      <c r="A27" s="45">
        <f>IF($S27="","",INDEX('BASE CONTROLES'!$B$4:$B$50003,$S27))</f>
        <v/>
      </c>
      <c r="B27" s="35">
        <f>IF($S27="","",INDEX('BASE CONTROLES'!$C$4:$C$50003,$S27))</f>
        <v/>
      </c>
      <c r="C27" s="17">
        <f>IF($S27="","",INDEX('BASE CONTROLES'!$D$4:$D$50003,$S27))</f>
        <v/>
      </c>
      <c r="D27" s="33">
        <f>IF($S27="","",INDEX('BASE CONTROLES'!$E$4:$E$50003,$S27))</f>
        <v/>
      </c>
      <c r="E27" s="33">
        <f>IF($S27="","",INDEX('BASE CONTROLES'!$F$4:$F$50003,$S27))</f>
        <v/>
      </c>
      <c r="F27" s="17">
        <f>IF($S27="","",INDEX('BASE CONTROLES'!$K$4:$K$50003,$S27))</f>
        <v/>
      </c>
      <c r="G27" s="17">
        <f>IF($S27="","",INDEX('BASE CONTROLES'!$M$4:$M$50003,$S27))</f>
        <v/>
      </c>
      <c r="H27" s="17">
        <f>IF($S27="","",INDEX('BASE CONTROLES'!$N$4:$N$50003,$S27))</f>
        <v/>
      </c>
      <c r="I27" s="33">
        <f>IF($S27="","",INDEX('BASE CONTROLES'!$O$4:$O$50003,$S27))</f>
        <v/>
      </c>
      <c r="J27" s="33">
        <f>IF($S27="","",INDEX('BASE CONTROLES'!$P$4:$P$50003,$S27))</f>
        <v/>
      </c>
      <c r="K27" s="33">
        <f>IF($S27="","",INDEX('BASE CONTROLES'!$Q$4:$Q$50003,$S27))</f>
        <v/>
      </c>
      <c r="L27" s="36">
        <f>IF($S27="","",INDEX('BASE CONTROLES'!$H$4:$H$50003,$S27))</f>
        <v/>
      </c>
      <c r="M27" s="36">
        <f>IF($S27="","",INDEX('BASE CONTROLES'!$T$4:$T$50003,$S27))</f>
        <v/>
      </c>
      <c r="N27" s="34">
        <f>IF($S27="","",INDEX('BASE CONTROLES'!$U$4:$U$50003,$S27))</f>
        <v/>
      </c>
      <c r="O27" s="34">
        <f>IF($S27="","",INDEX('BASE CONTROLES'!$R$4:$R$50003,$S27))</f>
        <v/>
      </c>
      <c r="P27" s="37">
        <f>IF($S27="","",INDEX('BASE CONTROLES'!$V$4:$V$50003,$S27))</f>
        <v/>
      </c>
      <c r="Q27" s="17">
        <f>IF($S27="","",INDEX('BASE CONTROLES'!$W$4:$W$50003,$S27))</f>
        <v/>
      </c>
      <c r="S2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CONTROLES'!$G$4:$G$50003)-4+1),11)),""))</f>
        <v/>
      </c>
      <c r="U27" s="44">
        <f>IF(PARAMETRES!$C26="","",IF(COUNTIFS('BASE CONTROLES'!$G$4:$G$50003,$B$4,'BASE CONTROLES'!$M$4:$M$50003,PARAMETRES!$C26,'BASE CONTROLES'!$X$4:$X$50003,"VALIDE")&gt;0,PARAMETRES!$C26,""))</f>
        <v/>
      </c>
    </row>
    <row r="28" ht="15" customHeight="1">
      <c r="A28" s="45">
        <f>IF($S28="","",INDEX('BASE CONTROLES'!$B$4:$B$50003,$S28))</f>
        <v/>
      </c>
      <c r="B28" s="35">
        <f>IF($S28="","",INDEX('BASE CONTROLES'!$C$4:$C$50003,$S28))</f>
        <v/>
      </c>
      <c r="C28" s="17">
        <f>IF($S28="","",INDEX('BASE CONTROLES'!$D$4:$D$50003,$S28))</f>
        <v/>
      </c>
      <c r="D28" s="33">
        <f>IF($S28="","",INDEX('BASE CONTROLES'!$E$4:$E$50003,$S28))</f>
        <v/>
      </c>
      <c r="E28" s="33">
        <f>IF($S28="","",INDEX('BASE CONTROLES'!$F$4:$F$50003,$S28))</f>
        <v/>
      </c>
      <c r="F28" s="17">
        <f>IF($S28="","",INDEX('BASE CONTROLES'!$K$4:$K$50003,$S28))</f>
        <v/>
      </c>
      <c r="G28" s="17">
        <f>IF($S28="","",INDEX('BASE CONTROLES'!$M$4:$M$50003,$S28))</f>
        <v/>
      </c>
      <c r="H28" s="17">
        <f>IF($S28="","",INDEX('BASE CONTROLES'!$N$4:$N$50003,$S28))</f>
        <v/>
      </c>
      <c r="I28" s="33">
        <f>IF($S28="","",INDEX('BASE CONTROLES'!$O$4:$O$50003,$S28))</f>
        <v/>
      </c>
      <c r="J28" s="33">
        <f>IF($S28="","",INDEX('BASE CONTROLES'!$P$4:$P$50003,$S28))</f>
        <v/>
      </c>
      <c r="K28" s="33">
        <f>IF($S28="","",INDEX('BASE CONTROLES'!$Q$4:$Q$50003,$S28))</f>
        <v/>
      </c>
      <c r="L28" s="36">
        <f>IF($S28="","",INDEX('BASE CONTROLES'!$H$4:$H$50003,$S28))</f>
        <v/>
      </c>
      <c r="M28" s="36">
        <f>IF($S28="","",INDEX('BASE CONTROLES'!$T$4:$T$50003,$S28))</f>
        <v/>
      </c>
      <c r="N28" s="34">
        <f>IF($S28="","",INDEX('BASE CONTROLES'!$U$4:$U$50003,$S28))</f>
        <v/>
      </c>
      <c r="O28" s="34">
        <f>IF($S28="","",INDEX('BASE CONTROLES'!$R$4:$R$50003,$S28))</f>
        <v/>
      </c>
      <c r="P28" s="37">
        <f>IF($S28="","",INDEX('BASE CONTROLES'!$V$4:$V$50003,$S28))</f>
        <v/>
      </c>
      <c r="Q28" s="17">
        <f>IF($S28="","",INDEX('BASE CONTROLES'!$W$4:$W$50003,$S28))</f>
        <v/>
      </c>
      <c r="S2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CONTROLES'!$G$4:$G$50003)-4+1),12)),""))</f>
        <v/>
      </c>
      <c r="U28" s="44">
        <f>IF(PARAMETRES!$C27="","",IF(COUNTIFS('BASE CONTROLES'!$G$4:$G$50003,$B$4,'BASE CONTROLES'!$M$4:$M$50003,PARAMETRES!$C27,'BASE CONTROLES'!$X$4:$X$50003,"VALIDE")&gt;0,PARAMETRES!$C27,""))</f>
        <v/>
      </c>
    </row>
    <row r="29" ht="15" customHeight="1">
      <c r="A29" s="45">
        <f>IF($S29="","",INDEX('BASE CONTROLES'!$B$4:$B$50003,$S29))</f>
        <v/>
      </c>
      <c r="B29" s="35">
        <f>IF($S29="","",INDEX('BASE CONTROLES'!$C$4:$C$50003,$S29))</f>
        <v/>
      </c>
      <c r="C29" s="17">
        <f>IF($S29="","",INDEX('BASE CONTROLES'!$D$4:$D$50003,$S29))</f>
        <v/>
      </c>
      <c r="D29" s="33">
        <f>IF($S29="","",INDEX('BASE CONTROLES'!$E$4:$E$50003,$S29))</f>
        <v/>
      </c>
      <c r="E29" s="33">
        <f>IF($S29="","",INDEX('BASE CONTROLES'!$F$4:$F$50003,$S29))</f>
        <v/>
      </c>
      <c r="F29" s="17">
        <f>IF($S29="","",INDEX('BASE CONTROLES'!$K$4:$K$50003,$S29))</f>
        <v/>
      </c>
      <c r="G29" s="17">
        <f>IF($S29="","",INDEX('BASE CONTROLES'!$M$4:$M$50003,$S29))</f>
        <v/>
      </c>
      <c r="H29" s="17">
        <f>IF($S29="","",INDEX('BASE CONTROLES'!$N$4:$N$50003,$S29))</f>
        <v/>
      </c>
      <c r="I29" s="33">
        <f>IF($S29="","",INDEX('BASE CONTROLES'!$O$4:$O$50003,$S29))</f>
        <v/>
      </c>
      <c r="J29" s="33">
        <f>IF($S29="","",INDEX('BASE CONTROLES'!$P$4:$P$50003,$S29))</f>
        <v/>
      </c>
      <c r="K29" s="33">
        <f>IF($S29="","",INDEX('BASE CONTROLES'!$Q$4:$Q$50003,$S29))</f>
        <v/>
      </c>
      <c r="L29" s="36">
        <f>IF($S29="","",INDEX('BASE CONTROLES'!$H$4:$H$50003,$S29))</f>
        <v/>
      </c>
      <c r="M29" s="36">
        <f>IF($S29="","",INDEX('BASE CONTROLES'!$T$4:$T$50003,$S29))</f>
        <v/>
      </c>
      <c r="N29" s="34">
        <f>IF($S29="","",INDEX('BASE CONTROLES'!$U$4:$U$50003,$S29))</f>
        <v/>
      </c>
      <c r="O29" s="34">
        <f>IF($S29="","",INDEX('BASE CONTROLES'!$R$4:$R$50003,$S29))</f>
        <v/>
      </c>
      <c r="P29" s="37">
        <f>IF($S29="","",INDEX('BASE CONTROLES'!$V$4:$V$50003,$S29))</f>
        <v/>
      </c>
      <c r="Q29" s="17">
        <f>IF($S29="","",INDEX('BASE CONTROLES'!$W$4:$W$50003,$S29))</f>
        <v/>
      </c>
      <c r="S2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CONTROLES'!$G$4:$G$50003)-4+1),13)),""))</f>
        <v/>
      </c>
      <c r="U29" s="44">
        <f>IF(PARAMETRES!$C28="","",IF(COUNTIFS('BASE CONTROLES'!$G$4:$G$50003,$B$4,'BASE CONTROLES'!$M$4:$M$50003,PARAMETRES!$C28,'BASE CONTROLES'!$X$4:$X$50003,"VALIDE")&gt;0,PARAMETRES!$C28,""))</f>
        <v/>
      </c>
    </row>
    <row r="30" ht="15" customHeight="1">
      <c r="A30" s="45">
        <f>IF($S30="","",INDEX('BASE CONTROLES'!$B$4:$B$50003,$S30))</f>
        <v/>
      </c>
      <c r="B30" s="35">
        <f>IF($S30="","",INDEX('BASE CONTROLES'!$C$4:$C$50003,$S30))</f>
        <v/>
      </c>
      <c r="C30" s="17">
        <f>IF($S30="","",INDEX('BASE CONTROLES'!$D$4:$D$50003,$S30))</f>
        <v/>
      </c>
      <c r="D30" s="33">
        <f>IF($S30="","",INDEX('BASE CONTROLES'!$E$4:$E$50003,$S30))</f>
        <v/>
      </c>
      <c r="E30" s="33">
        <f>IF($S30="","",INDEX('BASE CONTROLES'!$F$4:$F$50003,$S30))</f>
        <v/>
      </c>
      <c r="F30" s="17">
        <f>IF($S30="","",INDEX('BASE CONTROLES'!$K$4:$K$50003,$S30))</f>
        <v/>
      </c>
      <c r="G30" s="17">
        <f>IF($S30="","",INDEX('BASE CONTROLES'!$M$4:$M$50003,$S30))</f>
        <v/>
      </c>
      <c r="H30" s="17">
        <f>IF($S30="","",INDEX('BASE CONTROLES'!$N$4:$N$50003,$S30))</f>
        <v/>
      </c>
      <c r="I30" s="33">
        <f>IF($S30="","",INDEX('BASE CONTROLES'!$O$4:$O$50003,$S30))</f>
        <v/>
      </c>
      <c r="J30" s="33">
        <f>IF($S30="","",INDEX('BASE CONTROLES'!$P$4:$P$50003,$S30))</f>
        <v/>
      </c>
      <c r="K30" s="33">
        <f>IF($S30="","",INDEX('BASE CONTROLES'!$Q$4:$Q$50003,$S30))</f>
        <v/>
      </c>
      <c r="L30" s="36">
        <f>IF($S30="","",INDEX('BASE CONTROLES'!$H$4:$H$50003,$S30))</f>
        <v/>
      </c>
      <c r="M30" s="36">
        <f>IF($S30="","",INDEX('BASE CONTROLES'!$T$4:$T$50003,$S30))</f>
        <v/>
      </c>
      <c r="N30" s="34">
        <f>IF($S30="","",INDEX('BASE CONTROLES'!$U$4:$U$50003,$S30))</f>
        <v/>
      </c>
      <c r="O30" s="34">
        <f>IF($S30="","",INDEX('BASE CONTROLES'!$R$4:$R$50003,$S30))</f>
        <v/>
      </c>
      <c r="P30" s="37">
        <f>IF($S30="","",INDEX('BASE CONTROLES'!$V$4:$V$50003,$S30))</f>
        <v/>
      </c>
      <c r="Q30" s="17">
        <f>IF($S30="","",INDEX('BASE CONTROLES'!$W$4:$W$50003,$S30))</f>
        <v/>
      </c>
      <c r="S3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CONTROLES'!$G$4:$G$50003)-4+1),14)),""))</f>
        <v/>
      </c>
      <c r="U30" s="44">
        <f>IF(PARAMETRES!$C29="","",IF(COUNTIFS('BASE CONTROLES'!$G$4:$G$50003,$B$4,'BASE CONTROLES'!$M$4:$M$50003,PARAMETRES!$C29,'BASE CONTROLES'!$X$4:$X$50003,"VALIDE")&gt;0,PARAMETRES!$C29,""))</f>
        <v/>
      </c>
    </row>
    <row r="31" ht="15" customHeight="1">
      <c r="A31" s="45">
        <f>IF($S31="","",INDEX('BASE CONTROLES'!$B$4:$B$50003,$S31))</f>
        <v/>
      </c>
      <c r="B31" s="35">
        <f>IF($S31="","",INDEX('BASE CONTROLES'!$C$4:$C$50003,$S31))</f>
        <v/>
      </c>
      <c r="C31" s="17">
        <f>IF($S31="","",INDEX('BASE CONTROLES'!$D$4:$D$50003,$S31))</f>
        <v/>
      </c>
      <c r="D31" s="33">
        <f>IF($S31="","",INDEX('BASE CONTROLES'!$E$4:$E$50003,$S31))</f>
        <v/>
      </c>
      <c r="E31" s="33">
        <f>IF($S31="","",INDEX('BASE CONTROLES'!$F$4:$F$50003,$S31))</f>
        <v/>
      </c>
      <c r="F31" s="17">
        <f>IF($S31="","",INDEX('BASE CONTROLES'!$K$4:$K$50003,$S31))</f>
        <v/>
      </c>
      <c r="G31" s="17">
        <f>IF($S31="","",INDEX('BASE CONTROLES'!$M$4:$M$50003,$S31))</f>
        <v/>
      </c>
      <c r="H31" s="17">
        <f>IF($S31="","",INDEX('BASE CONTROLES'!$N$4:$N$50003,$S31))</f>
        <v/>
      </c>
      <c r="I31" s="33">
        <f>IF($S31="","",INDEX('BASE CONTROLES'!$O$4:$O$50003,$S31))</f>
        <v/>
      </c>
      <c r="J31" s="33">
        <f>IF($S31="","",INDEX('BASE CONTROLES'!$P$4:$P$50003,$S31))</f>
        <v/>
      </c>
      <c r="K31" s="33">
        <f>IF($S31="","",INDEX('BASE CONTROLES'!$Q$4:$Q$50003,$S31))</f>
        <v/>
      </c>
      <c r="L31" s="36">
        <f>IF($S31="","",INDEX('BASE CONTROLES'!$H$4:$H$50003,$S31))</f>
        <v/>
      </c>
      <c r="M31" s="36">
        <f>IF($S31="","",INDEX('BASE CONTROLES'!$T$4:$T$50003,$S31))</f>
        <v/>
      </c>
      <c r="N31" s="34">
        <f>IF($S31="","",INDEX('BASE CONTROLES'!$U$4:$U$50003,$S31))</f>
        <v/>
      </c>
      <c r="O31" s="34">
        <f>IF($S31="","",INDEX('BASE CONTROLES'!$R$4:$R$50003,$S31))</f>
        <v/>
      </c>
      <c r="P31" s="37">
        <f>IF($S31="","",INDEX('BASE CONTROLES'!$V$4:$V$50003,$S31))</f>
        <v/>
      </c>
      <c r="Q31" s="17">
        <f>IF($S31="","",INDEX('BASE CONTROLES'!$W$4:$W$50003,$S31))</f>
        <v/>
      </c>
      <c r="S3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CONTROLES'!$G$4:$G$50003)-4+1),15)),""))</f>
        <v/>
      </c>
      <c r="U31" s="44">
        <f>IF(PARAMETRES!$C30="","",IF(COUNTIFS('BASE CONTROLES'!$G$4:$G$50003,$B$4,'BASE CONTROLES'!$M$4:$M$50003,PARAMETRES!$C30,'BASE CONTROLES'!$X$4:$X$50003,"VALIDE")&gt;0,PARAMETRES!$C30,""))</f>
        <v/>
      </c>
    </row>
    <row r="32" ht="15" customHeight="1">
      <c r="A32" s="45">
        <f>IF($S32="","",INDEX('BASE CONTROLES'!$B$4:$B$50003,$S32))</f>
        <v/>
      </c>
      <c r="B32" s="35">
        <f>IF($S32="","",INDEX('BASE CONTROLES'!$C$4:$C$50003,$S32))</f>
        <v/>
      </c>
      <c r="C32" s="17">
        <f>IF($S32="","",INDEX('BASE CONTROLES'!$D$4:$D$50003,$S32))</f>
        <v/>
      </c>
      <c r="D32" s="33">
        <f>IF($S32="","",INDEX('BASE CONTROLES'!$E$4:$E$50003,$S32))</f>
        <v/>
      </c>
      <c r="E32" s="33">
        <f>IF($S32="","",INDEX('BASE CONTROLES'!$F$4:$F$50003,$S32))</f>
        <v/>
      </c>
      <c r="F32" s="17">
        <f>IF($S32="","",INDEX('BASE CONTROLES'!$K$4:$K$50003,$S32))</f>
        <v/>
      </c>
      <c r="G32" s="17">
        <f>IF($S32="","",INDEX('BASE CONTROLES'!$M$4:$M$50003,$S32))</f>
        <v/>
      </c>
      <c r="H32" s="17">
        <f>IF($S32="","",INDEX('BASE CONTROLES'!$N$4:$N$50003,$S32))</f>
        <v/>
      </c>
      <c r="I32" s="33">
        <f>IF($S32="","",INDEX('BASE CONTROLES'!$O$4:$O$50003,$S32))</f>
        <v/>
      </c>
      <c r="J32" s="33">
        <f>IF($S32="","",INDEX('BASE CONTROLES'!$P$4:$P$50003,$S32))</f>
        <v/>
      </c>
      <c r="K32" s="33">
        <f>IF($S32="","",INDEX('BASE CONTROLES'!$Q$4:$Q$50003,$S32))</f>
        <v/>
      </c>
      <c r="L32" s="36">
        <f>IF($S32="","",INDEX('BASE CONTROLES'!$H$4:$H$50003,$S32))</f>
        <v/>
      </c>
      <c r="M32" s="36">
        <f>IF($S32="","",INDEX('BASE CONTROLES'!$T$4:$T$50003,$S32))</f>
        <v/>
      </c>
      <c r="N32" s="34">
        <f>IF($S32="","",INDEX('BASE CONTROLES'!$U$4:$U$50003,$S32))</f>
        <v/>
      </c>
      <c r="O32" s="34">
        <f>IF($S32="","",INDEX('BASE CONTROLES'!$R$4:$R$50003,$S32))</f>
        <v/>
      </c>
      <c r="P32" s="37">
        <f>IF($S32="","",INDEX('BASE CONTROLES'!$V$4:$V$50003,$S32))</f>
        <v/>
      </c>
      <c r="Q32" s="17">
        <f>IF($S32="","",INDEX('BASE CONTROLES'!$W$4:$W$50003,$S32))</f>
        <v/>
      </c>
      <c r="S3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CONTROLES'!$G$4:$G$50003)-4+1),16)),""))</f>
        <v/>
      </c>
      <c r="U32" s="44">
        <f>IF(PARAMETRES!$C31="","",IF(COUNTIFS('BASE CONTROLES'!$G$4:$G$50003,$B$4,'BASE CONTROLES'!$M$4:$M$50003,PARAMETRES!$C31,'BASE CONTROLES'!$X$4:$X$50003,"VALIDE")&gt;0,PARAMETRES!$C31,""))</f>
        <v/>
      </c>
    </row>
    <row r="33" ht="15" customHeight="1">
      <c r="A33" s="45">
        <f>IF($S33="","",INDEX('BASE CONTROLES'!$B$4:$B$50003,$S33))</f>
        <v/>
      </c>
      <c r="B33" s="35">
        <f>IF($S33="","",INDEX('BASE CONTROLES'!$C$4:$C$50003,$S33))</f>
        <v/>
      </c>
      <c r="C33" s="17">
        <f>IF($S33="","",INDEX('BASE CONTROLES'!$D$4:$D$50003,$S33))</f>
        <v/>
      </c>
      <c r="D33" s="33">
        <f>IF($S33="","",INDEX('BASE CONTROLES'!$E$4:$E$50003,$S33))</f>
        <v/>
      </c>
      <c r="E33" s="33">
        <f>IF($S33="","",INDEX('BASE CONTROLES'!$F$4:$F$50003,$S33))</f>
        <v/>
      </c>
      <c r="F33" s="17">
        <f>IF($S33="","",INDEX('BASE CONTROLES'!$K$4:$K$50003,$S33))</f>
        <v/>
      </c>
      <c r="G33" s="17">
        <f>IF($S33="","",INDEX('BASE CONTROLES'!$M$4:$M$50003,$S33))</f>
        <v/>
      </c>
      <c r="H33" s="17">
        <f>IF($S33="","",INDEX('BASE CONTROLES'!$N$4:$N$50003,$S33))</f>
        <v/>
      </c>
      <c r="I33" s="33">
        <f>IF($S33="","",INDEX('BASE CONTROLES'!$O$4:$O$50003,$S33))</f>
        <v/>
      </c>
      <c r="J33" s="33">
        <f>IF($S33="","",INDEX('BASE CONTROLES'!$P$4:$P$50003,$S33))</f>
        <v/>
      </c>
      <c r="K33" s="33">
        <f>IF($S33="","",INDEX('BASE CONTROLES'!$Q$4:$Q$50003,$S33))</f>
        <v/>
      </c>
      <c r="L33" s="36">
        <f>IF($S33="","",INDEX('BASE CONTROLES'!$H$4:$H$50003,$S33))</f>
        <v/>
      </c>
      <c r="M33" s="36">
        <f>IF($S33="","",INDEX('BASE CONTROLES'!$T$4:$T$50003,$S33))</f>
        <v/>
      </c>
      <c r="N33" s="34">
        <f>IF($S33="","",INDEX('BASE CONTROLES'!$U$4:$U$50003,$S33))</f>
        <v/>
      </c>
      <c r="O33" s="34">
        <f>IF($S33="","",INDEX('BASE CONTROLES'!$R$4:$R$50003,$S33))</f>
        <v/>
      </c>
      <c r="P33" s="37">
        <f>IF($S33="","",INDEX('BASE CONTROLES'!$V$4:$V$50003,$S33))</f>
        <v/>
      </c>
      <c r="Q33" s="17">
        <f>IF($S33="","",INDEX('BASE CONTROLES'!$W$4:$W$50003,$S33))</f>
        <v/>
      </c>
      <c r="S3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CONTROLES'!$G$4:$G$50003)-4+1),17)),""))</f>
        <v/>
      </c>
      <c r="U33" s="44">
        <f>IF(PARAMETRES!$C32="","",IF(COUNTIFS('BASE CONTROLES'!$G$4:$G$50003,$B$4,'BASE CONTROLES'!$M$4:$M$50003,PARAMETRES!$C32,'BASE CONTROLES'!$X$4:$X$50003,"VALIDE")&gt;0,PARAMETRES!$C32,""))</f>
        <v/>
      </c>
    </row>
    <row r="34" ht="15" customHeight="1">
      <c r="A34" s="45">
        <f>IF($S34="","",INDEX('BASE CONTROLES'!$B$4:$B$50003,$S34))</f>
        <v/>
      </c>
      <c r="B34" s="35">
        <f>IF($S34="","",INDEX('BASE CONTROLES'!$C$4:$C$50003,$S34))</f>
        <v/>
      </c>
      <c r="C34" s="17">
        <f>IF($S34="","",INDEX('BASE CONTROLES'!$D$4:$D$50003,$S34))</f>
        <v/>
      </c>
      <c r="D34" s="33">
        <f>IF($S34="","",INDEX('BASE CONTROLES'!$E$4:$E$50003,$S34))</f>
        <v/>
      </c>
      <c r="E34" s="33">
        <f>IF($S34="","",INDEX('BASE CONTROLES'!$F$4:$F$50003,$S34))</f>
        <v/>
      </c>
      <c r="F34" s="17">
        <f>IF($S34="","",INDEX('BASE CONTROLES'!$K$4:$K$50003,$S34))</f>
        <v/>
      </c>
      <c r="G34" s="17">
        <f>IF($S34="","",INDEX('BASE CONTROLES'!$M$4:$M$50003,$S34))</f>
        <v/>
      </c>
      <c r="H34" s="17">
        <f>IF($S34="","",INDEX('BASE CONTROLES'!$N$4:$N$50003,$S34))</f>
        <v/>
      </c>
      <c r="I34" s="33">
        <f>IF($S34="","",INDEX('BASE CONTROLES'!$O$4:$O$50003,$S34))</f>
        <v/>
      </c>
      <c r="J34" s="33">
        <f>IF($S34="","",INDEX('BASE CONTROLES'!$P$4:$P$50003,$S34))</f>
        <v/>
      </c>
      <c r="K34" s="33">
        <f>IF($S34="","",INDEX('BASE CONTROLES'!$Q$4:$Q$50003,$S34))</f>
        <v/>
      </c>
      <c r="L34" s="36">
        <f>IF($S34="","",INDEX('BASE CONTROLES'!$H$4:$H$50003,$S34))</f>
        <v/>
      </c>
      <c r="M34" s="36">
        <f>IF($S34="","",INDEX('BASE CONTROLES'!$T$4:$T$50003,$S34))</f>
        <v/>
      </c>
      <c r="N34" s="34">
        <f>IF($S34="","",INDEX('BASE CONTROLES'!$U$4:$U$50003,$S34))</f>
        <v/>
      </c>
      <c r="O34" s="34">
        <f>IF($S34="","",INDEX('BASE CONTROLES'!$R$4:$R$50003,$S34))</f>
        <v/>
      </c>
      <c r="P34" s="37">
        <f>IF($S34="","",INDEX('BASE CONTROLES'!$V$4:$V$50003,$S34))</f>
        <v/>
      </c>
      <c r="Q34" s="17">
        <f>IF($S34="","",INDEX('BASE CONTROLES'!$W$4:$W$50003,$S34))</f>
        <v/>
      </c>
      <c r="S3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CONTROLES'!$G$4:$G$50003)-4+1),18)),""))</f>
        <v/>
      </c>
      <c r="U34" s="44">
        <f>IF(PARAMETRES!$C33="","",IF(COUNTIFS('BASE CONTROLES'!$G$4:$G$50003,$B$4,'BASE CONTROLES'!$M$4:$M$50003,PARAMETRES!$C33,'BASE CONTROLES'!$X$4:$X$50003,"VALIDE")&gt;0,PARAMETRES!$C33,""))</f>
        <v/>
      </c>
    </row>
    <row r="35" ht="15" customHeight="1">
      <c r="A35" s="45">
        <f>IF($S35="","",INDEX('BASE CONTROLES'!$B$4:$B$50003,$S35))</f>
        <v/>
      </c>
      <c r="B35" s="35">
        <f>IF($S35="","",INDEX('BASE CONTROLES'!$C$4:$C$50003,$S35))</f>
        <v/>
      </c>
      <c r="C35" s="17">
        <f>IF($S35="","",INDEX('BASE CONTROLES'!$D$4:$D$50003,$S35))</f>
        <v/>
      </c>
      <c r="D35" s="33">
        <f>IF($S35="","",INDEX('BASE CONTROLES'!$E$4:$E$50003,$S35))</f>
        <v/>
      </c>
      <c r="E35" s="33">
        <f>IF($S35="","",INDEX('BASE CONTROLES'!$F$4:$F$50003,$S35))</f>
        <v/>
      </c>
      <c r="F35" s="17">
        <f>IF($S35="","",INDEX('BASE CONTROLES'!$K$4:$K$50003,$S35))</f>
        <v/>
      </c>
      <c r="G35" s="17">
        <f>IF($S35="","",INDEX('BASE CONTROLES'!$M$4:$M$50003,$S35))</f>
        <v/>
      </c>
      <c r="H35" s="17">
        <f>IF($S35="","",INDEX('BASE CONTROLES'!$N$4:$N$50003,$S35))</f>
        <v/>
      </c>
      <c r="I35" s="33">
        <f>IF($S35="","",INDEX('BASE CONTROLES'!$O$4:$O$50003,$S35))</f>
        <v/>
      </c>
      <c r="J35" s="33">
        <f>IF($S35="","",INDEX('BASE CONTROLES'!$P$4:$P$50003,$S35))</f>
        <v/>
      </c>
      <c r="K35" s="33">
        <f>IF($S35="","",INDEX('BASE CONTROLES'!$Q$4:$Q$50003,$S35))</f>
        <v/>
      </c>
      <c r="L35" s="36">
        <f>IF($S35="","",INDEX('BASE CONTROLES'!$H$4:$H$50003,$S35))</f>
        <v/>
      </c>
      <c r="M35" s="36">
        <f>IF($S35="","",INDEX('BASE CONTROLES'!$T$4:$T$50003,$S35))</f>
        <v/>
      </c>
      <c r="N35" s="34">
        <f>IF($S35="","",INDEX('BASE CONTROLES'!$U$4:$U$50003,$S35))</f>
        <v/>
      </c>
      <c r="O35" s="34">
        <f>IF($S35="","",INDEX('BASE CONTROLES'!$R$4:$R$50003,$S35))</f>
        <v/>
      </c>
      <c r="P35" s="37">
        <f>IF($S35="","",INDEX('BASE CONTROLES'!$V$4:$V$50003,$S35))</f>
        <v/>
      </c>
      <c r="Q35" s="17">
        <f>IF($S35="","",INDEX('BASE CONTROLES'!$W$4:$W$50003,$S35))</f>
        <v/>
      </c>
      <c r="S3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CONTROLES'!$G$4:$G$50003)-4+1),19)),""))</f>
        <v/>
      </c>
      <c r="U35" s="44">
        <f>IF(PARAMETRES!$C34="","",IF(COUNTIFS('BASE CONTROLES'!$G$4:$G$50003,$B$4,'BASE CONTROLES'!$M$4:$M$50003,PARAMETRES!$C34,'BASE CONTROLES'!$X$4:$X$50003,"VALIDE")&gt;0,PARAMETRES!$C34,""))</f>
        <v/>
      </c>
    </row>
    <row r="36" ht="15" customHeight="1">
      <c r="A36" s="45">
        <f>IF($S36="","",INDEX('BASE CONTROLES'!$B$4:$B$50003,$S36))</f>
        <v/>
      </c>
      <c r="B36" s="35">
        <f>IF($S36="","",INDEX('BASE CONTROLES'!$C$4:$C$50003,$S36))</f>
        <v/>
      </c>
      <c r="C36" s="17">
        <f>IF($S36="","",INDEX('BASE CONTROLES'!$D$4:$D$50003,$S36))</f>
        <v/>
      </c>
      <c r="D36" s="33">
        <f>IF($S36="","",INDEX('BASE CONTROLES'!$E$4:$E$50003,$S36))</f>
        <v/>
      </c>
      <c r="E36" s="33">
        <f>IF($S36="","",INDEX('BASE CONTROLES'!$F$4:$F$50003,$S36))</f>
        <v/>
      </c>
      <c r="F36" s="17">
        <f>IF($S36="","",INDEX('BASE CONTROLES'!$K$4:$K$50003,$S36))</f>
        <v/>
      </c>
      <c r="G36" s="17">
        <f>IF($S36="","",INDEX('BASE CONTROLES'!$M$4:$M$50003,$S36))</f>
        <v/>
      </c>
      <c r="H36" s="17">
        <f>IF($S36="","",INDEX('BASE CONTROLES'!$N$4:$N$50003,$S36))</f>
        <v/>
      </c>
      <c r="I36" s="33">
        <f>IF($S36="","",INDEX('BASE CONTROLES'!$O$4:$O$50003,$S36))</f>
        <v/>
      </c>
      <c r="J36" s="33">
        <f>IF($S36="","",INDEX('BASE CONTROLES'!$P$4:$P$50003,$S36))</f>
        <v/>
      </c>
      <c r="K36" s="33">
        <f>IF($S36="","",INDEX('BASE CONTROLES'!$Q$4:$Q$50003,$S36))</f>
        <v/>
      </c>
      <c r="L36" s="36">
        <f>IF($S36="","",INDEX('BASE CONTROLES'!$H$4:$H$50003,$S36))</f>
        <v/>
      </c>
      <c r="M36" s="36">
        <f>IF($S36="","",INDEX('BASE CONTROLES'!$T$4:$T$50003,$S36))</f>
        <v/>
      </c>
      <c r="N36" s="34">
        <f>IF($S36="","",INDEX('BASE CONTROLES'!$U$4:$U$50003,$S36))</f>
        <v/>
      </c>
      <c r="O36" s="34">
        <f>IF($S36="","",INDEX('BASE CONTROLES'!$R$4:$R$50003,$S36))</f>
        <v/>
      </c>
      <c r="P36" s="37">
        <f>IF($S36="","",INDEX('BASE CONTROLES'!$V$4:$V$50003,$S36))</f>
        <v/>
      </c>
      <c r="Q36" s="17">
        <f>IF($S36="","",INDEX('BASE CONTROLES'!$W$4:$W$50003,$S36))</f>
        <v/>
      </c>
      <c r="S3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CONTROLES'!$G$4:$G$50003)-4+1),20)),""))</f>
        <v/>
      </c>
      <c r="U36" s="44">
        <f>IF(PARAMETRES!$C35="","",IF(COUNTIFS('BASE CONTROLES'!$G$4:$G$50003,$B$4,'BASE CONTROLES'!$M$4:$M$50003,PARAMETRES!$C35,'BASE CONTROLES'!$X$4:$X$50003,"VALIDE")&gt;0,PARAMETRES!$C35,""))</f>
        <v/>
      </c>
    </row>
    <row r="37" ht="15" customHeight="1">
      <c r="A37" s="45">
        <f>IF($S37="","",INDEX('BASE CONTROLES'!$B$4:$B$50003,$S37))</f>
        <v/>
      </c>
      <c r="B37" s="35">
        <f>IF($S37="","",INDEX('BASE CONTROLES'!$C$4:$C$50003,$S37))</f>
        <v/>
      </c>
      <c r="C37" s="17">
        <f>IF($S37="","",INDEX('BASE CONTROLES'!$D$4:$D$50003,$S37))</f>
        <v/>
      </c>
      <c r="D37" s="33">
        <f>IF($S37="","",INDEX('BASE CONTROLES'!$E$4:$E$50003,$S37))</f>
        <v/>
      </c>
      <c r="E37" s="33">
        <f>IF($S37="","",INDEX('BASE CONTROLES'!$F$4:$F$50003,$S37))</f>
        <v/>
      </c>
      <c r="F37" s="17">
        <f>IF($S37="","",INDEX('BASE CONTROLES'!$K$4:$K$50003,$S37))</f>
        <v/>
      </c>
      <c r="G37" s="17">
        <f>IF($S37="","",INDEX('BASE CONTROLES'!$M$4:$M$50003,$S37))</f>
        <v/>
      </c>
      <c r="H37" s="17">
        <f>IF($S37="","",INDEX('BASE CONTROLES'!$N$4:$N$50003,$S37))</f>
        <v/>
      </c>
      <c r="I37" s="33">
        <f>IF($S37="","",INDEX('BASE CONTROLES'!$O$4:$O$50003,$S37))</f>
        <v/>
      </c>
      <c r="J37" s="33">
        <f>IF($S37="","",INDEX('BASE CONTROLES'!$P$4:$P$50003,$S37))</f>
        <v/>
      </c>
      <c r="K37" s="33">
        <f>IF($S37="","",INDEX('BASE CONTROLES'!$Q$4:$Q$50003,$S37))</f>
        <v/>
      </c>
      <c r="L37" s="36">
        <f>IF($S37="","",INDEX('BASE CONTROLES'!$H$4:$H$50003,$S37))</f>
        <v/>
      </c>
      <c r="M37" s="36">
        <f>IF($S37="","",INDEX('BASE CONTROLES'!$T$4:$T$50003,$S37))</f>
        <v/>
      </c>
      <c r="N37" s="34">
        <f>IF($S37="","",INDEX('BASE CONTROLES'!$U$4:$U$50003,$S37))</f>
        <v/>
      </c>
      <c r="O37" s="34">
        <f>IF($S37="","",INDEX('BASE CONTROLES'!$R$4:$R$50003,$S37))</f>
        <v/>
      </c>
      <c r="P37" s="37">
        <f>IF($S37="","",INDEX('BASE CONTROLES'!$V$4:$V$50003,$S37))</f>
        <v/>
      </c>
      <c r="Q37" s="17">
        <f>IF($S37="","",INDEX('BASE CONTROLES'!$W$4:$W$50003,$S37))</f>
        <v/>
      </c>
      <c r="S3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CONTROLES'!$G$4:$G$50003)-4+1),21)),""))</f>
        <v/>
      </c>
      <c r="U37" s="44">
        <f>IF(PARAMETRES!$C36="","",IF(COUNTIFS('BASE CONTROLES'!$G$4:$G$50003,$B$4,'BASE CONTROLES'!$M$4:$M$50003,PARAMETRES!$C36,'BASE CONTROLES'!$X$4:$X$50003,"VALIDE")&gt;0,PARAMETRES!$C36,""))</f>
        <v/>
      </c>
    </row>
    <row r="38" ht="15" customHeight="1">
      <c r="A38" s="45">
        <f>IF($S38="","",INDEX('BASE CONTROLES'!$B$4:$B$50003,$S38))</f>
        <v/>
      </c>
      <c r="B38" s="35">
        <f>IF($S38="","",INDEX('BASE CONTROLES'!$C$4:$C$50003,$S38))</f>
        <v/>
      </c>
      <c r="C38" s="17">
        <f>IF($S38="","",INDEX('BASE CONTROLES'!$D$4:$D$50003,$S38))</f>
        <v/>
      </c>
      <c r="D38" s="33">
        <f>IF($S38="","",INDEX('BASE CONTROLES'!$E$4:$E$50003,$S38))</f>
        <v/>
      </c>
      <c r="E38" s="33">
        <f>IF($S38="","",INDEX('BASE CONTROLES'!$F$4:$F$50003,$S38))</f>
        <v/>
      </c>
      <c r="F38" s="17">
        <f>IF($S38="","",INDEX('BASE CONTROLES'!$K$4:$K$50003,$S38))</f>
        <v/>
      </c>
      <c r="G38" s="17">
        <f>IF($S38="","",INDEX('BASE CONTROLES'!$M$4:$M$50003,$S38))</f>
        <v/>
      </c>
      <c r="H38" s="17">
        <f>IF($S38="","",INDEX('BASE CONTROLES'!$N$4:$N$50003,$S38))</f>
        <v/>
      </c>
      <c r="I38" s="33">
        <f>IF($S38="","",INDEX('BASE CONTROLES'!$O$4:$O$50003,$S38))</f>
        <v/>
      </c>
      <c r="J38" s="33">
        <f>IF($S38="","",INDEX('BASE CONTROLES'!$P$4:$P$50003,$S38))</f>
        <v/>
      </c>
      <c r="K38" s="33">
        <f>IF($S38="","",INDEX('BASE CONTROLES'!$Q$4:$Q$50003,$S38))</f>
        <v/>
      </c>
      <c r="L38" s="36">
        <f>IF($S38="","",INDEX('BASE CONTROLES'!$H$4:$H$50003,$S38))</f>
        <v/>
      </c>
      <c r="M38" s="36">
        <f>IF($S38="","",INDEX('BASE CONTROLES'!$T$4:$T$50003,$S38))</f>
        <v/>
      </c>
      <c r="N38" s="34">
        <f>IF($S38="","",INDEX('BASE CONTROLES'!$U$4:$U$50003,$S38))</f>
        <v/>
      </c>
      <c r="O38" s="34">
        <f>IF($S38="","",INDEX('BASE CONTROLES'!$R$4:$R$50003,$S38))</f>
        <v/>
      </c>
      <c r="P38" s="37">
        <f>IF($S38="","",INDEX('BASE CONTROLES'!$V$4:$V$50003,$S38))</f>
        <v/>
      </c>
      <c r="Q38" s="17">
        <f>IF($S38="","",INDEX('BASE CONTROLES'!$W$4:$W$50003,$S38))</f>
        <v/>
      </c>
      <c r="S3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CONTROLES'!$G$4:$G$50003)-4+1),22)),""))</f>
        <v/>
      </c>
      <c r="U38" s="44">
        <f>IF(PARAMETRES!$C37="","",IF(COUNTIFS('BASE CONTROLES'!$G$4:$G$50003,$B$4,'BASE CONTROLES'!$M$4:$M$50003,PARAMETRES!$C37,'BASE CONTROLES'!$X$4:$X$50003,"VALIDE")&gt;0,PARAMETRES!$C37,""))</f>
        <v/>
      </c>
    </row>
    <row r="39" ht="15" customHeight="1">
      <c r="A39" s="45">
        <f>IF($S39="","",INDEX('BASE CONTROLES'!$B$4:$B$50003,$S39))</f>
        <v/>
      </c>
      <c r="B39" s="35">
        <f>IF($S39="","",INDEX('BASE CONTROLES'!$C$4:$C$50003,$S39))</f>
        <v/>
      </c>
      <c r="C39" s="17">
        <f>IF($S39="","",INDEX('BASE CONTROLES'!$D$4:$D$50003,$S39))</f>
        <v/>
      </c>
      <c r="D39" s="33">
        <f>IF($S39="","",INDEX('BASE CONTROLES'!$E$4:$E$50003,$S39))</f>
        <v/>
      </c>
      <c r="E39" s="33">
        <f>IF($S39="","",INDEX('BASE CONTROLES'!$F$4:$F$50003,$S39))</f>
        <v/>
      </c>
      <c r="F39" s="17">
        <f>IF($S39="","",INDEX('BASE CONTROLES'!$K$4:$K$50003,$S39))</f>
        <v/>
      </c>
      <c r="G39" s="17">
        <f>IF($S39="","",INDEX('BASE CONTROLES'!$M$4:$M$50003,$S39))</f>
        <v/>
      </c>
      <c r="H39" s="17">
        <f>IF($S39="","",INDEX('BASE CONTROLES'!$N$4:$N$50003,$S39))</f>
        <v/>
      </c>
      <c r="I39" s="33">
        <f>IF($S39="","",INDEX('BASE CONTROLES'!$O$4:$O$50003,$S39))</f>
        <v/>
      </c>
      <c r="J39" s="33">
        <f>IF($S39="","",INDEX('BASE CONTROLES'!$P$4:$P$50003,$S39))</f>
        <v/>
      </c>
      <c r="K39" s="33">
        <f>IF($S39="","",INDEX('BASE CONTROLES'!$Q$4:$Q$50003,$S39))</f>
        <v/>
      </c>
      <c r="L39" s="36">
        <f>IF($S39="","",INDEX('BASE CONTROLES'!$H$4:$H$50003,$S39))</f>
        <v/>
      </c>
      <c r="M39" s="36">
        <f>IF($S39="","",INDEX('BASE CONTROLES'!$T$4:$T$50003,$S39))</f>
        <v/>
      </c>
      <c r="N39" s="34">
        <f>IF($S39="","",INDEX('BASE CONTROLES'!$U$4:$U$50003,$S39))</f>
        <v/>
      </c>
      <c r="O39" s="34">
        <f>IF($S39="","",INDEX('BASE CONTROLES'!$R$4:$R$50003,$S39))</f>
        <v/>
      </c>
      <c r="P39" s="37">
        <f>IF($S39="","",INDEX('BASE CONTROLES'!$V$4:$V$50003,$S39))</f>
        <v/>
      </c>
      <c r="Q39" s="17">
        <f>IF($S39="","",INDEX('BASE CONTROLES'!$W$4:$W$50003,$S39))</f>
        <v/>
      </c>
      <c r="S3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CONTROLES'!$G$4:$G$50003)-4+1),23)),""))</f>
        <v/>
      </c>
    </row>
    <row r="40" ht="15" customHeight="1">
      <c r="A40" s="45">
        <f>IF($S40="","",INDEX('BASE CONTROLES'!$B$4:$B$50003,$S40))</f>
        <v/>
      </c>
      <c r="B40" s="35">
        <f>IF($S40="","",INDEX('BASE CONTROLES'!$C$4:$C$50003,$S40))</f>
        <v/>
      </c>
      <c r="C40" s="17">
        <f>IF($S40="","",INDEX('BASE CONTROLES'!$D$4:$D$50003,$S40))</f>
        <v/>
      </c>
      <c r="D40" s="33">
        <f>IF($S40="","",INDEX('BASE CONTROLES'!$E$4:$E$50003,$S40))</f>
        <v/>
      </c>
      <c r="E40" s="33">
        <f>IF($S40="","",INDEX('BASE CONTROLES'!$F$4:$F$50003,$S40))</f>
        <v/>
      </c>
      <c r="F40" s="17">
        <f>IF($S40="","",INDEX('BASE CONTROLES'!$K$4:$K$50003,$S40))</f>
        <v/>
      </c>
      <c r="G40" s="17">
        <f>IF($S40="","",INDEX('BASE CONTROLES'!$M$4:$M$50003,$S40))</f>
        <v/>
      </c>
      <c r="H40" s="17">
        <f>IF($S40="","",INDEX('BASE CONTROLES'!$N$4:$N$50003,$S40))</f>
        <v/>
      </c>
      <c r="I40" s="33">
        <f>IF($S40="","",INDEX('BASE CONTROLES'!$O$4:$O$50003,$S40))</f>
        <v/>
      </c>
      <c r="J40" s="33">
        <f>IF($S40="","",INDEX('BASE CONTROLES'!$P$4:$P$50003,$S40))</f>
        <v/>
      </c>
      <c r="K40" s="33">
        <f>IF($S40="","",INDEX('BASE CONTROLES'!$Q$4:$Q$50003,$S40))</f>
        <v/>
      </c>
      <c r="L40" s="36">
        <f>IF($S40="","",INDEX('BASE CONTROLES'!$H$4:$H$50003,$S40))</f>
        <v/>
      </c>
      <c r="M40" s="36">
        <f>IF($S40="","",INDEX('BASE CONTROLES'!$T$4:$T$50003,$S40))</f>
        <v/>
      </c>
      <c r="N40" s="34">
        <f>IF($S40="","",INDEX('BASE CONTROLES'!$U$4:$U$50003,$S40))</f>
        <v/>
      </c>
      <c r="O40" s="34">
        <f>IF($S40="","",INDEX('BASE CONTROLES'!$R$4:$R$50003,$S40))</f>
        <v/>
      </c>
      <c r="P40" s="37">
        <f>IF($S40="","",INDEX('BASE CONTROLES'!$V$4:$V$50003,$S40))</f>
        <v/>
      </c>
      <c r="Q40" s="17">
        <f>IF($S40="","",INDEX('BASE CONTROLES'!$W$4:$W$50003,$S40))</f>
        <v/>
      </c>
      <c r="S4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CONTROLES'!$G$4:$G$50003)-4+1),24)),""))</f>
        <v/>
      </c>
    </row>
    <row r="41" ht="15" customHeight="1">
      <c r="A41" s="45">
        <f>IF($S41="","",INDEX('BASE CONTROLES'!$B$4:$B$50003,$S41))</f>
        <v/>
      </c>
      <c r="B41" s="35">
        <f>IF($S41="","",INDEX('BASE CONTROLES'!$C$4:$C$50003,$S41))</f>
        <v/>
      </c>
      <c r="C41" s="17">
        <f>IF($S41="","",INDEX('BASE CONTROLES'!$D$4:$D$50003,$S41))</f>
        <v/>
      </c>
      <c r="D41" s="33">
        <f>IF($S41="","",INDEX('BASE CONTROLES'!$E$4:$E$50003,$S41))</f>
        <v/>
      </c>
      <c r="E41" s="33">
        <f>IF($S41="","",INDEX('BASE CONTROLES'!$F$4:$F$50003,$S41))</f>
        <v/>
      </c>
      <c r="F41" s="17">
        <f>IF($S41="","",INDEX('BASE CONTROLES'!$K$4:$K$50003,$S41))</f>
        <v/>
      </c>
      <c r="G41" s="17">
        <f>IF($S41="","",INDEX('BASE CONTROLES'!$M$4:$M$50003,$S41))</f>
        <v/>
      </c>
      <c r="H41" s="17">
        <f>IF($S41="","",INDEX('BASE CONTROLES'!$N$4:$N$50003,$S41))</f>
        <v/>
      </c>
      <c r="I41" s="33">
        <f>IF($S41="","",INDEX('BASE CONTROLES'!$O$4:$O$50003,$S41))</f>
        <v/>
      </c>
      <c r="J41" s="33">
        <f>IF($S41="","",INDEX('BASE CONTROLES'!$P$4:$P$50003,$S41))</f>
        <v/>
      </c>
      <c r="K41" s="33">
        <f>IF($S41="","",INDEX('BASE CONTROLES'!$Q$4:$Q$50003,$S41))</f>
        <v/>
      </c>
      <c r="L41" s="36">
        <f>IF($S41="","",INDEX('BASE CONTROLES'!$H$4:$H$50003,$S41))</f>
        <v/>
      </c>
      <c r="M41" s="36">
        <f>IF($S41="","",INDEX('BASE CONTROLES'!$T$4:$T$50003,$S41))</f>
        <v/>
      </c>
      <c r="N41" s="34">
        <f>IF($S41="","",INDEX('BASE CONTROLES'!$U$4:$U$50003,$S41))</f>
        <v/>
      </c>
      <c r="O41" s="34">
        <f>IF($S41="","",INDEX('BASE CONTROLES'!$R$4:$R$50003,$S41))</f>
        <v/>
      </c>
      <c r="P41" s="37">
        <f>IF($S41="","",INDEX('BASE CONTROLES'!$V$4:$V$50003,$S41))</f>
        <v/>
      </c>
      <c r="Q41" s="17">
        <f>IF($S41="","",INDEX('BASE CONTROLES'!$W$4:$W$50003,$S41))</f>
        <v/>
      </c>
      <c r="S4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CONTROLES'!$G$4:$G$50003)-4+1),25)),""))</f>
        <v/>
      </c>
    </row>
    <row r="42" ht="15" customHeight="1">
      <c r="A42" s="45">
        <f>IF($S42="","",INDEX('BASE CONTROLES'!$B$4:$B$50003,$S42))</f>
        <v/>
      </c>
      <c r="B42" s="35">
        <f>IF($S42="","",INDEX('BASE CONTROLES'!$C$4:$C$50003,$S42))</f>
        <v/>
      </c>
      <c r="C42" s="17">
        <f>IF($S42="","",INDEX('BASE CONTROLES'!$D$4:$D$50003,$S42))</f>
        <v/>
      </c>
      <c r="D42" s="33">
        <f>IF($S42="","",INDEX('BASE CONTROLES'!$E$4:$E$50003,$S42))</f>
        <v/>
      </c>
      <c r="E42" s="33">
        <f>IF($S42="","",INDEX('BASE CONTROLES'!$F$4:$F$50003,$S42))</f>
        <v/>
      </c>
      <c r="F42" s="17">
        <f>IF($S42="","",INDEX('BASE CONTROLES'!$K$4:$K$50003,$S42))</f>
        <v/>
      </c>
      <c r="G42" s="17">
        <f>IF($S42="","",INDEX('BASE CONTROLES'!$M$4:$M$50003,$S42))</f>
        <v/>
      </c>
      <c r="H42" s="17">
        <f>IF($S42="","",INDEX('BASE CONTROLES'!$N$4:$N$50003,$S42))</f>
        <v/>
      </c>
      <c r="I42" s="33">
        <f>IF($S42="","",INDEX('BASE CONTROLES'!$O$4:$O$50003,$S42))</f>
        <v/>
      </c>
      <c r="J42" s="33">
        <f>IF($S42="","",INDEX('BASE CONTROLES'!$P$4:$P$50003,$S42))</f>
        <v/>
      </c>
      <c r="K42" s="33">
        <f>IF($S42="","",INDEX('BASE CONTROLES'!$Q$4:$Q$50003,$S42))</f>
        <v/>
      </c>
      <c r="L42" s="36">
        <f>IF($S42="","",INDEX('BASE CONTROLES'!$H$4:$H$50003,$S42))</f>
        <v/>
      </c>
      <c r="M42" s="36">
        <f>IF($S42="","",INDEX('BASE CONTROLES'!$T$4:$T$50003,$S42))</f>
        <v/>
      </c>
      <c r="N42" s="34">
        <f>IF($S42="","",INDEX('BASE CONTROLES'!$U$4:$U$50003,$S42))</f>
        <v/>
      </c>
      <c r="O42" s="34">
        <f>IF($S42="","",INDEX('BASE CONTROLES'!$R$4:$R$50003,$S42))</f>
        <v/>
      </c>
      <c r="P42" s="37">
        <f>IF($S42="","",INDEX('BASE CONTROLES'!$V$4:$V$50003,$S42))</f>
        <v/>
      </c>
      <c r="Q42" s="17">
        <f>IF($S42="","",INDEX('BASE CONTROLES'!$W$4:$W$50003,$S42))</f>
        <v/>
      </c>
      <c r="S4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CONTROLES'!$G$4:$G$50003)-4+1),26)),""))</f>
        <v/>
      </c>
    </row>
    <row r="43" ht="15" customHeight="1">
      <c r="A43" s="45">
        <f>IF($S43="","",INDEX('BASE CONTROLES'!$B$4:$B$50003,$S43))</f>
        <v/>
      </c>
      <c r="B43" s="35">
        <f>IF($S43="","",INDEX('BASE CONTROLES'!$C$4:$C$50003,$S43))</f>
        <v/>
      </c>
      <c r="C43" s="17">
        <f>IF($S43="","",INDEX('BASE CONTROLES'!$D$4:$D$50003,$S43))</f>
        <v/>
      </c>
      <c r="D43" s="33">
        <f>IF($S43="","",INDEX('BASE CONTROLES'!$E$4:$E$50003,$S43))</f>
        <v/>
      </c>
      <c r="E43" s="33">
        <f>IF($S43="","",INDEX('BASE CONTROLES'!$F$4:$F$50003,$S43))</f>
        <v/>
      </c>
      <c r="F43" s="17">
        <f>IF($S43="","",INDEX('BASE CONTROLES'!$K$4:$K$50003,$S43))</f>
        <v/>
      </c>
      <c r="G43" s="17">
        <f>IF($S43="","",INDEX('BASE CONTROLES'!$M$4:$M$50003,$S43))</f>
        <v/>
      </c>
      <c r="H43" s="17">
        <f>IF($S43="","",INDEX('BASE CONTROLES'!$N$4:$N$50003,$S43))</f>
        <v/>
      </c>
      <c r="I43" s="33">
        <f>IF($S43="","",INDEX('BASE CONTROLES'!$O$4:$O$50003,$S43))</f>
        <v/>
      </c>
      <c r="J43" s="33">
        <f>IF($S43="","",INDEX('BASE CONTROLES'!$P$4:$P$50003,$S43))</f>
        <v/>
      </c>
      <c r="K43" s="33">
        <f>IF($S43="","",INDEX('BASE CONTROLES'!$Q$4:$Q$50003,$S43))</f>
        <v/>
      </c>
      <c r="L43" s="36">
        <f>IF($S43="","",INDEX('BASE CONTROLES'!$H$4:$H$50003,$S43))</f>
        <v/>
      </c>
      <c r="M43" s="36">
        <f>IF($S43="","",INDEX('BASE CONTROLES'!$T$4:$T$50003,$S43))</f>
        <v/>
      </c>
      <c r="N43" s="34">
        <f>IF($S43="","",INDEX('BASE CONTROLES'!$U$4:$U$50003,$S43))</f>
        <v/>
      </c>
      <c r="O43" s="34">
        <f>IF($S43="","",INDEX('BASE CONTROLES'!$R$4:$R$50003,$S43))</f>
        <v/>
      </c>
      <c r="P43" s="37">
        <f>IF($S43="","",INDEX('BASE CONTROLES'!$V$4:$V$50003,$S43))</f>
        <v/>
      </c>
      <c r="Q43" s="17">
        <f>IF($S43="","",INDEX('BASE CONTROLES'!$W$4:$W$50003,$S43))</f>
        <v/>
      </c>
      <c r="S4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CONTROLES'!$G$4:$G$50003)-4+1),27)),""))</f>
        <v/>
      </c>
    </row>
    <row r="44" ht="15" customHeight="1">
      <c r="A44" s="45">
        <f>IF($S44="","",INDEX('BASE CONTROLES'!$B$4:$B$50003,$S44))</f>
        <v/>
      </c>
      <c r="B44" s="35">
        <f>IF($S44="","",INDEX('BASE CONTROLES'!$C$4:$C$50003,$S44))</f>
        <v/>
      </c>
      <c r="C44" s="17">
        <f>IF($S44="","",INDEX('BASE CONTROLES'!$D$4:$D$50003,$S44))</f>
        <v/>
      </c>
      <c r="D44" s="33">
        <f>IF($S44="","",INDEX('BASE CONTROLES'!$E$4:$E$50003,$S44))</f>
        <v/>
      </c>
      <c r="E44" s="33">
        <f>IF($S44="","",INDEX('BASE CONTROLES'!$F$4:$F$50003,$S44))</f>
        <v/>
      </c>
      <c r="F44" s="17">
        <f>IF($S44="","",INDEX('BASE CONTROLES'!$K$4:$K$50003,$S44))</f>
        <v/>
      </c>
      <c r="G44" s="17">
        <f>IF($S44="","",INDEX('BASE CONTROLES'!$M$4:$M$50003,$S44))</f>
        <v/>
      </c>
      <c r="H44" s="17">
        <f>IF($S44="","",INDEX('BASE CONTROLES'!$N$4:$N$50003,$S44))</f>
        <v/>
      </c>
      <c r="I44" s="33">
        <f>IF($S44="","",INDEX('BASE CONTROLES'!$O$4:$O$50003,$S44))</f>
        <v/>
      </c>
      <c r="J44" s="33">
        <f>IF($S44="","",INDEX('BASE CONTROLES'!$P$4:$P$50003,$S44))</f>
        <v/>
      </c>
      <c r="K44" s="33">
        <f>IF($S44="","",INDEX('BASE CONTROLES'!$Q$4:$Q$50003,$S44))</f>
        <v/>
      </c>
      <c r="L44" s="36">
        <f>IF($S44="","",INDEX('BASE CONTROLES'!$H$4:$H$50003,$S44))</f>
        <v/>
      </c>
      <c r="M44" s="36">
        <f>IF($S44="","",INDEX('BASE CONTROLES'!$T$4:$T$50003,$S44))</f>
        <v/>
      </c>
      <c r="N44" s="34">
        <f>IF($S44="","",INDEX('BASE CONTROLES'!$U$4:$U$50003,$S44))</f>
        <v/>
      </c>
      <c r="O44" s="34">
        <f>IF($S44="","",INDEX('BASE CONTROLES'!$R$4:$R$50003,$S44))</f>
        <v/>
      </c>
      <c r="P44" s="37">
        <f>IF($S44="","",INDEX('BASE CONTROLES'!$V$4:$V$50003,$S44))</f>
        <v/>
      </c>
      <c r="Q44" s="17">
        <f>IF($S44="","",INDEX('BASE CONTROLES'!$W$4:$W$50003,$S44))</f>
        <v/>
      </c>
      <c r="S4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CONTROLES'!$G$4:$G$50003)-4+1),28)),""))</f>
        <v/>
      </c>
    </row>
    <row r="45" ht="15" customHeight="1">
      <c r="A45" s="45">
        <f>IF($S45="","",INDEX('BASE CONTROLES'!$B$4:$B$50003,$S45))</f>
        <v/>
      </c>
      <c r="B45" s="35">
        <f>IF($S45="","",INDEX('BASE CONTROLES'!$C$4:$C$50003,$S45))</f>
        <v/>
      </c>
      <c r="C45" s="17">
        <f>IF($S45="","",INDEX('BASE CONTROLES'!$D$4:$D$50003,$S45))</f>
        <v/>
      </c>
      <c r="D45" s="33">
        <f>IF($S45="","",INDEX('BASE CONTROLES'!$E$4:$E$50003,$S45))</f>
        <v/>
      </c>
      <c r="E45" s="33">
        <f>IF($S45="","",INDEX('BASE CONTROLES'!$F$4:$F$50003,$S45))</f>
        <v/>
      </c>
      <c r="F45" s="17">
        <f>IF($S45="","",INDEX('BASE CONTROLES'!$K$4:$K$50003,$S45))</f>
        <v/>
      </c>
      <c r="G45" s="17">
        <f>IF($S45="","",INDEX('BASE CONTROLES'!$M$4:$M$50003,$S45))</f>
        <v/>
      </c>
      <c r="H45" s="17">
        <f>IF($S45="","",INDEX('BASE CONTROLES'!$N$4:$N$50003,$S45))</f>
        <v/>
      </c>
      <c r="I45" s="33">
        <f>IF($S45="","",INDEX('BASE CONTROLES'!$O$4:$O$50003,$S45))</f>
        <v/>
      </c>
      <c r="J45" s="33">
        <f>IF($S45="","",INDEX('BASE CONTROLES'!$P$4:$P$50003,$S45))</f>
        <v/>
      </c>
      <c r="K45" s="33">
        <f>IF($S45="","",INDEX('BASE CONTROLES'!$Q$4:$Q$50003,$S45))</f>
        <v/>
      </c>
      <c r="L45" s="36">
        <f>IF($S45="","",INDEX('BASE CONTROLES'!$H$4:$H$50003,$S45))</f>
        <v/>
      </c>
      <c r="M45" s="36">
        <f>IF($S45="","",INDEX('BASE CONTROLES'!$T$4:$T$50003,$S45))</f>
        <v/>
      </c>
      <c r="N45" s="34">
        <f>IF($S45="","",INDEX('BASE CONTROLES'!$U$4:$U$50003,$S45))</f>
        <v/>
      </c>
      <c r="O45" s="34">
        <f>IF($S45="","",INDEX('BASE CONTROLES'!$R$4:$R$50003,$S45))</f>
        <v/>
      </c>
      <c r="P45" s="37">
        <f>IF($S45="","",INDEX('BASE CONTROLES'!$V$4:$V$50003,$S45))</f>
        <v/>
      </c>
      <c r="Q45" s="17">
        <f>IF($S45="","",INDEX('BASE CONTROLES'!$W$4:$W$50003,$S45))</f>
        <v/>
      </c>
      <c r="S4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CONTROLES'!$G$4:$G$50003)-4+1),29)),""))</f>
        <v/>
      </c>
    </row>
    <row r="46" ht="15" customHeight="1">
      <c r="A46" s="45">
        <f>IF($S46="","",INDEX('BASE CONTROLES'!$B$4:$B$50003,$S46))</f>
        <v/>
      </c>
      <c r="B46" s="35">
        <f>IF($S46="","",INDEX('BASE CONTROLES'!$C$4:$C$50003,$S46))</f>
        <v/>
      </c>
      <c r="C46" s="17">
        <f>IF($S46="","",INDEX('BASE CONTROLES'!$D$4:$D$50003,$S46))</f>
        <v/>
      </c>
      <c r="D46" s="33">
        <f>IF($S46="","",INDEX('BASE CONTROLES'!$E$4:$E$50003,$S46))</f>
        <v/>
      </c>
      <c r="E46" s="33">
        <f>IF($S46="","",INDEX('BASE CONTROLES'!$F$4:$F$50003,$S46))</f>
        <v/>
      </c>
      <c r="F46" s="17">
        <f>IF($S46="","",INDEX('BASE CONTROLES'!$K$4:$K$50003,$S46))</f>
        <v/>
      </c>
      <c r="G46" s="17">
        <f>IF($S46="","",INDEX('BASE CONTROLES'!$M$4:$M$50003,$S46))</f>
        <v/>
      </c>
      <c r="H46" s="17">
        <f>IF($S46="","",INDEX('BASE CONTROLES'!$N$4:$N$50003,$S46))</f>
        <v/>
      </c>
      <c r="I46" s="33">
        <f>IF($S46="","",INDEX('BASE CONTROLES'!$O$4:$O$50003,$S46))</f>
        <v/>
      </c>
      <c r="J46" s="33">
        <f>IF($S46="","",INDEX('BASE CONTROLES'!$P$4:$P$50003,$S46))</f>
        <v/>
      </c>
      <c r="K46" s="33">
        <f>IF($S46="","",INDEX('BASE CONTROLES'!$Q$4:$Q$50003,$S46))</f>
        <v/>
      </c>
      <c r="L46" s="36">
        <f>IF($S46="","",INDEX('BASE CONTROLES'!$H$4:$H$50003,$S46))</f>
        <v/>
      </c>
      <c r="M46" s="36">
        <f>IF($S46="","",INDEX('BASE CONTROLES'!$T$4:$T$50003,$S46))</f>
        <v/>
      </c>
      <c r="N46" s="34">
        <f>IF($S46="","",INDEX('BASE CONTROLES'!$U$4:$U$50003,$S46))</f>
        <v/>
      </c>
      <c r="O46" s="34">
        <f>IF($S46="","",INDEX('BASE CONTROLES'!$R$4:$R$50003,$S46))</f>
        <v/>
      </c>
      <c r="P46" s="37">
        <f>IF($S46="","",INDEX('BASE CONTROLES'!$V$4:$V$50003,$S46))</f>
        <v/>
      </c>
      <c r="Q46" s="17">
        <f>IF($S46="","",INDEX('BASE CONTROLES'!$W$4:$W$50003,$S46))</f>
        <v/>
      </c>
      <c r="S4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CONTROLES'!$G$4:$G$50003)-4+1),30)),""))</f>
        <v/>
      </c>
    </row>
    <row r="47" ht="15" customHeight="1">
      <c r="A47" s="45">
        <f>IF($S47="","",INDEX('BASE CONTROLES'!$B$4:$B$50003,$S47))</f>
        <v/>
      </c>
      <c r="B47" s="35">
        <f>IF($S47="","",INDEX('BASE CONTROLES'!$C$4:$C$50003,$S47))</f>
        <v/>
      </c>
      <c r="C47" s="17">
        <f>IF($S47="","",INDEX('BASE CONTROLES'!$D$4:$D$50003,$S47))</f>
        <v/>
      </c>
      <c r="D47" s="33">
        <f>IF($S47="","",INDEX('BASE CONTROLES'!$E$4:$E$50003,$S47))</f>
        <v/>
      </c>
      <c r="E47" s="33">
        <f>IF($S47="","",INDEX('BASE CONTROLES'!$F$4:$F$50003,$S47))</f>
        <v/>
      </c>
      <c r="F47" s="17">
        <f>IF($S47="","",INDEX('BASE CONTROLES'!$K$4:$K$50003,$S47))</f>
        <v/>
      </c>
      <c r="G47" s="17">
        <f>IF($S47="","",INDEX('BASE CONTROLES'!$M$4:$M$50003,$S47))</f>
        <v/>
      </c>
      <c r="H47" s="17">
        <f>IF($S47="","",INDEX('BASE CONTROLES'!$N$4:$N$50003,$S47))</f>
        <v/>
      </c>
      <c r="I47" s="33">
        <f>IF($S47="","",INDEX('BASE CONTROLES'!$O$4:$O$50003,$S47))</f>
        <v/>
      </c>
      <c r="J47" s="33">
        <f>IF($S47="","",INDEX('BASE CONTROLES'!$P$4:$P$50003,$S47))</f>
        <v/>
      </c>
      <c r="K47" s="33">
        <f>IF($S47="","",INDEX('BASE CONTROLES'!$Q$4:$Q$50003,$S47))</f>
        <v/>
      </c>
      <c r="L47" s="36">
        <f>IF($S47="","",INDEX('BASE CONTROLES'!$H$4:$H$50003,$S47))</f>
        <v/>
      </c>
      <c r="M47" s="36">
        <f>IF($S47="","",INDEX('BASE CONTROLES'!$T$4:$T$50003,$S47))</f>
        <v/>
      </c>
      <c r="N47" s="34">
        <f>IF($S47="","",INDEX('BASE CONTROLES'!$U$4:$U$50003,$S47))</f>
        <v/>
      </c>
      <c r="O47" s="34">
        <f>IF($S47="","",INDEX('BASE CONTROLES'!$R$4:$R$50003,$S47))</f>
        <v/>
      </c>
      <c r="P47" s="37">
        <f>IF($S47="","",INDEX('BASE CONTROLES'!$V$4:$V$50003,$S47))</f>
        <v/>
      </c>
      <c r="Q47" s="17">
        <f>IF($S47="","",INDEX('BASE CONTROLES'!$W$4:$W$50003,$S47))</f>
        <v/>
      </c>
      <c r="S4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CONTROLES'!$G$4:$G$50003)-4+1),31)),""))</f>
        <v/>
      </c>
    </row>
    <row r="48" ht="15" customHeight="1">
      <c r="A48" s="45">
        <f>IF($S48="","",INDEX('BASE CONTROLES'!$B$4:$B$50003,$S48))</f>
        <v/>
      </c>
      <c r="B48" s="35">
        <f>IF($S48="","",INDEX('BASE CONTROLES'!$C$4:$C$50003,$S48))</f>
        <v/>
      </c>
      <c r="C48" s="17">
        <f>IF($S48="","",INDEX('BASE CONTROLES'!$D$4:$D$50003,$S48))</f>
        <v/>
      </c>
      <c r="D48" s="33">
        <f>IF($S48="","",INDEX('BASE CONTROLES'!$E$4:$E$50003,$S48))</f>
        <v/>
      </c>
      <c r="E48" s="33">
        <f>IF($S48="","",INDEX('BASE CONTROLES'!$F$4:$F$50003,$S48))</f>
        <v/>
      </c>
      <c r="F48" s="17">
        <f>IF($S48="","",INDEX('BASE CONTROLES'!$K$4:$K$50003,$S48))</f>
        <v/>
      </c>
      <c r="G48" s="17">
        <f>IF($S48="","",INDEX('BASE CONTROLES'!$M$4:$M$50003,$S48))</f>
        <v/>
      </c>
      <c r="H48" s="17">
        <f>IF($S48="","",INDEX('BASE CONTROLES'!$N$4:$N$50003,$S48))</f>
        <v/>
      </c>
      <c r="I48" s="33">
        <f>IF($S48="","",INDEX('BASE CONTROLES'!$O$4:$O$50003,$S48))</f>
        <v/>
      </c>
      <c r="J48" s="33">
        <f>IF($S48="","",INDEX('BASE CONTROLES'!$P$4:$P$50003,$S48))</f>
        <v/>
      </c>
      <c r="K48" s="33">
        <f>IF($S48="","",INDEX('BASE CONTROLES'!$Q$4:$Q$50003,$S48))</f>
        <v/>
      </c>
      <c r="L48" s="36">
        <f>IF($S48="","",INDEX('BASE CONTROLES'!$H$4:$H$50003,$S48))</f>
        <v/>
      </c>
      <c r="M48" s="36">
        <f>IF($S48="","",INDEX('BASE CONTROLES'!$T$4:$T$50003,$S48))</f>
        <v/>
      </c>
      <c r="N48" s="34">
        <f>IF($S48="","",INDEX('BASE CONTROLES'!$U$4:$U$50003,$S48))</f>
        <v/>
      </c>
      <c r="O48" s="34">
        <f>IF($S48="","",INDEX('BASE CONTROLES'!$R$4:$R$50003,$S48))</f>
        <v/>
      </c>
      <c r="P48" s="37">
        <f>IF($S48="","",INDEX('BASE CONTROLES'!$V$4:$V$50003,$S48))</f>
        <v/>
      </c>
      <c r="Q48" s="17">
        <f>IF($S48="","",INDEX('BASE CONTROLES'!$W$4:$W$50003,$S48))</f>
        <v/>
      </c>
      <c r="S4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CONTROLES'!$G$4:$G$50003)-4+1),32)),""))</f>
        <v/>
      </c>
    </row>
    <row r="49" ht="15" customHeight="1">
      <c r="A49" s="45">
        <f>IF($S49="","",INDEX('BASE CONTROLES'!$B$4:$B$50003,$S49))</f>
        <v/>
      </c>
      <c r="B49" s="35">
        <f>IF($S49="","",INDEX('BASE CONTROLES'!$C$4:$C$50003,$S49))</f>
        <v/>
      </c>
      <c r="C49" s="17">
        <f>IF($S49="","",INDEX('BASE CONTROLES'!$D$4:$D$50003,$S49))</f>
        <v/>
      </c>
      <c r="D49" s="33">
        <f>IF($S49="","",INDEX('BASE CONTROLES'!$E$4:$E$50003,$S49))</f>
        <v/>
      </c>
      <c r="E49" s="33">
        <f>IF($S49="","",INDEX('BASE CONTROLES'!$F$4:$F$50003,$S49))</f>
        <v/>
      </c>
      <c r="F49" s="17">
        <f>IF($S49="","",INDEX('BASE CONTROLES'!$K$4:$K$50003,$S49))</f>
        <v/>
      </c>
      <c r="G49" s="17">
        <f>IF($S49="","",INDEX('BASE CONTROLES'!$M$4:$M$50003,$S49))</f>
        <v/>
      </c>
      <c r="H49" s="17">
        <f>IF($S49="","",INDEX('BASE CONTROLES'!$N$4:$N$50003,$S49))</f>
        <v/>
      </c>
      <c r="I49" s="33">
        <f>IF($S49="","",INDEX('BASE CONTROLES'!$O$4:$O$50003,$S49))</f>
        <v/>
      </c>
      <c r="J49" s="33">
        <f>IF($S49="","",INDEX('BASE CONTROLES'!$P$4:$P$50003,$S49))</f>
        <v/>
      </c>
      <c r="K49" s="33">
        <f>IF($S49="","",INDEX('BASE CONTROLES'!$Q$4:$Q$50003,$S49))</f>
        <v/>
      </c>
      <c r="L49" s="36">
        <f>IF($S49="","",INDEX('BASE CONTROLES'!$H$4:$H$50003,$S49))</f>
        <v/>
      </c>
      <c r="M49" s="36">
        <f>IF($S49="","",INDEX('BASE CONTROLES'!$T$4:$T$50003,$S49))</f>
        <v/>
      </c>
      <c r="N49" s="34">
        <f>IF($S49="","",INDEX('BASE CONTROLES'!$U$4:$U$50003,$S49))</f>
        <v/>
      </c>
      <c r="O49" s="34">
        <f>IF($S49="","",INDEX('BASE CONTROLES'!$R$4:$R$50003,$S49))</f>
        <v/>
      </c>
      <c r="P49" s="37">
        <f>IF($S49="","",INDEX('BASE CONTROLES'!$V$4:$V$50003,$S49))</f>
        <v/>
      </c>
      <c r="Q49" s="17">
        <f>IF($S49="","",INDEX('BASE CONTROLES'!$W$4:$W$50003,$S49))</f>
        <v/>
      </c>
      <c r="S4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CONTROLES'!$G$4:$G$50003)-4+1),33)),""))</f>
        <v/>
      </c>
    </row>
    <row r="50" ht="15" customHeight="1">
      <c r="A50" s="45">
        <f>IF($S50="","",INDEX('BASE CONTROLES'!$B$4:$B$50003,$S50))</f>
        <v/>
      </c>
      <c r="B50" s="35">
        <f>IF($S50="","",INDEX('BASE CONTROLES'!$C$4:$C$50003,$S50))</f>
        <v/>
      </c>
      <c r="C50" s="17">
        <f>IF($S50="","",INDEX('BASE CONTROLES'!$D$4:$D$50003,$S50))</f>
        <v/>
      </c>
      <c r="D50" s="33">
        <f>IF($S50="","",INDEX('BASE CONTROLES'!$E$4:$E$50003,$S50))</f>
        <v/>
      </c>
      <c r="E50" s="33">
        <f>IF($S50="","",INDEX('BASE CONTROLES'!$F$4:$F$50003,$S50))</f>
        <v/>
      </c>
      <c r="F50" s="17">
        <f>IF($S50="","",INDEX('BASE CONTROLES'!$K$4:$K$50003,$S50))</f>
        <v/>
      </c>
      <c r="G50" s="17">
        <f>IF($S50="","",INDEX('BASE CONTROLES'!$M$4:$M$50003,$S50))</f>
        <v/>
      </c>
      <c r="H50" s="17">
        <f>IF($S50="","",INDEX('BASE CONTROLES'!$N$4:$N$50003,$S50))</f>
        <v/>
      </c>
      <c r="I50" s="33">
        <f>IF($S50="","",INDEX('BASE CONTROLES'!$O$4:$O$50003,$S50))</f>
        <v/>
      </c>
      <c r="J50" s="33">
        <f>IF($S50="","",INDEX('BASE CONTROLES'!$P$4:$P$50003,$S50))</f>
        <v/>
      </c>
      <c r="K50" s="33">
        <f>IF($S50="","",INDEX('BASE CONTROLES'!$Q$4:$Q$50003,$S50))</f>
        <v/>
      </c>
      <c r="L50" s="36">
        <f>IF($S50="","",INDEX('BASE CONTROLES'!$H$4:$H$50003,$S50))</f>
        <v/>
      </c>
      <c r="M50" s="36">
        <f>IF($S50="","",INDEX('BASE CONTROLES'!$T$4:$T$50003,$S50))</f>
        <v/>
      </c>
      <c r="N50" s="34">
        <f>IF($S50="","",INDEX('BASE CONTROLES'!$U$4:$U$50003,$S50))</f>
        <v/>
      </c>
      <c r="O50" s="34">
        <f>IF($S50="","",INDEX('BASE CONTROLES'!$R$4:$R$50003,$S50))</f>
        <v/>
      </c>
      <c r="P50" s="37">
        <f>IF($S50="","",INDEX('BASE CONTROLES'!$V$4:$V$50003,$S50))</f>
        <v/>
      </c>
      <c r="Q50" s="17">
        <f>IF($S50="","",INDEX('BASE CONTROLES'!$W$4:$W$50003,$S50))</f>
        <v/>
      </c>
      <c r="S5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CONTROLES'!$G$4:$G$50003)-4+1),34)),""))</f>
        <v/>
      </c>
    </row>
    <row r="51" ht="15" customHeight="1">
      <c r="A51" s="45">
        <f>IF($S51="","",INDEX('BASE CONTROLES'!$B$4:$B$50003,$S51))</f>
        <v/>
      </c>
      <c r="B51" s="35">
        <f>IF($S51="","",INDEX('BASE CONTROLES'!$C$4:$C$50003,$S51))</f>
        <v/>
      </c>
      <c r="C51" s="17">
        <f>IF($S51="","",INDEX('BASE CONTROLES'!$D$4:$D$50003,$S51))</f>
        <v/>
      </c>
      <c r="D51" s="33">
        <f>IF($S51="","",INDEX('BASE CONTROLES'!$E$4:$E$50003,$S51))</f>
        <v/>
      </c>
      <c r="E51" s="33">
        <f>IF($S51="","",INDEX('BASE CONTROLES'!$F$4:$F$50003,$S51))</f>
        <v/>
      </c>
      <c r="F51" s="17">
        <f>IF($S51="","",INDEX('BASE CONTROLES'!$K$4:$K$50003,$S51))</f>
        <v/>
      </c>
      <c r="G51" s="17">
        <f>IF($S51="","",INDEX('BASE CONTROLES'!$M$4:$M$50003,$S51))</f>
        <v/>
      </c>
      <c r="H51" s="17">
        <f>IF($S51="","",INDEX('BASE CONTROLES'!$N$4:$N$50003,$S51))</f>
        <v/>
      </c>
      <c r="I51" s="33">
        <f>IF($S51="","",INDEX('BASE CONTROLES'!$O$4:$O$50003,$S51))</f>
        <v/>
      </c>
      <c r="J51" s="33">
        <f>IF($S51="","",INDEX('BASE CONTROLES'!$P$4:$P$50003,$S51))</f>
        <v/>
      </c>
      <c r="K51" s="33">
        <f>IF($S51="","",INDEX('BASE CONTROLES'!$Q$4:$Q$50003,$S51))</f>
        <v/>
      </c>
      <c r="L51" s="36">
        <f>IF($S51="","",INDEX('BASE CONTROLES'!$H$4:$H$50003,$S51))</f>
        <v/>
      </c>
      <c r="M51" s="36">
        <f>IF($S51="","",INDEX('BASE CONTROLES'!$T$4:$T$50003,$S51))</f>
        <v/>
      </c>
      <c r="N51" s="34">
        <f>IF($S51="","",INDEX('BASE CONTROLES'!$U$4:$U$50003,$S51))</f>
        <v/>
      </c>
      <c r="O51" s="34">
        <f>IF($S51="","",INDEX('BASE CONTROLES'!$R$4:$R$50003,$S51))</f>
        <v/>
      </c>
      <c r="P51" s="37">
        <f>IF($S51="","",INDEX('BASE CONTROLES'!$V$4:$V$50003,$S51))</f>
        <v/>
      </c>
      <c r="Q51" s="17">
        <f>IF($S51="","",INDEX('BASE CONTROLES'!$W$4:$W$50003,$S51))</f>
        <v/>
      </c>
      <c r="S5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CONTROLES'!$G$4:$G$50003)-4+1),35)),""))</f>
        <v/>
      </c>
    </row>
    <row r="52" ht="15" customHeight="1">
      <c r="A52" s="45">
        <f>IF($S52="","",INDEX('BASE CONTROLES'!$B$4:$B$50003,$S52))</f>
        <v/>
      </c>
      <c r="B52" s="35">
        <f>IF($S52="","",INDEX('BASE CONTROLES'!$C$4:$C$50003,$S52))</f>
        <v/>
      </c>
      <c r="C52" s="17">
        <f>IF($S52="","",INDEX('BASE CONTROLES'!$D$4:$D$50003,$S52))</f>
        <v/>
      </c>
      <c r="D52" s="33">
        <f>IF($S52="","",INDEX('BASE CONTROLES'!$E$4:$E$50003,$S52))</f>
        <v/>
      </c>
      <c r="E52" s="33">
        <f>IF($S52="","",INDEX('BASE CONTROLES'!$F$4:$F$50003,$S52))</f>
        <v/>
      </c>
      <c r="F52" s="17">
        <f>IF($S52="","",INDEX('BASE CONTROLES'!$K$4:$K$50003,$S52))</f>
        <v/>
      </c>
      <c r="G52" s="17">
        <f>IF($S52="","",INDEX('BASE CONTROLES'!$M$4:$M$50003,$S52))</f>
        <v/>
      </c>
      <c r="H52" s="17">
        <f>IF($S52="","",INDEX('BASE CONTROLES'!$N$4:$N$50003,$S52))</f>
        <v/>
      </c>
      <c r="I52" s="33">
        <f>IF($S52="","",INDEX('BASE CONTROLES'!$O$4:$O$50003,$S52))</f>
        <v/>
      </c>
      <c r="J52" s="33">
        <f>IF($S52="","",INDEX('BASE CONTROLES'!$P$4:$P$50003,$S52))</f>
        <v/>
      </c>
      <c r="K52" s="33">
        <f>IF($S52="","",INDEX('BASE CONTROLES'!$Q$4:$Q$50003,$S52))</f>
        <v/>
      </c>
      <c r="L52" s="36">
        <f>IF($S52="","",INDEX('BASE CONTROLES'!$H$4:$H$50003,$S52))</f>
        <v/>
      </c>
      <c r="M52" s="36">
        <f>IF($S52="","",INDEX('BASE CONTROLES'!$T$4:$T$50003,$S52))</f>
        <v/>
      </c>
      <c r="N52" s="34">
        <f>IF($S52="","",INDEX('BASE CONTROLES'!$U$4:$U$50003,$S52))</f>
        <v/>
      </c>
      <c r="O52" s="34">
        <f>IF($S52="","",INDEX('BASE CONTROLES'!$R$4:$R$50003,$S52))</f>
        <v/>
      </c>
      <c r="P52" s="37">
        <f>IF($S52="","",INDEX('BASE CONTROLES'!$V$4:$V$50003,$S52))</f>
        <v/>
      </c>
      <c r="Q52" s="17">
        <f>IF($S52="","",INDEX('BASE CONTROLES'!$W$4:$W$50003,$S52))</f>
        <v/>
      </c>
      <c r="S5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CONTROLES'!$G$4:$G$50003)-4+1),36)),""))</f>
        <v/>
      </c>
    </row>
    <row r="53" ht="15" customHeight="1">
      <c r="A53" s="45">
        <f>IF($S53="","",INDEX('BASE CONTROLES'!$B$4:$B$50003,$S53))</f>
        <v/>
      </c>
      <c r="B53" s="35">
        <f>IF($S53="","",INDEX('BASE CONTROLES'!$C$4:$C$50003,$S53))</f>
        <v/>
      </c>
      <c r="C53" s="17">
        <f>IF($S53="","",INDEX('BASE CONTROLES'!$D$4:$D$50003,$S53))</f>
        <v/>
      </c>
      <c r="D53" s="33">
        <f>IF($S53="","",INDEX('BASE CONTROLES'!$E$4:$E$50003,$S53))</f>
        <v/>
      </c>
      <c r="E53" s="33">
        <f>IF($S53="","",INDEX('BASE CONTROLES'!$F$4:$F$50003,$S53))</f>
        <v/>
      </c>
      <c r="F53" s="17">
        <f>IF($S53="","",INDEX('BASE CONTROLES'!$K$4:$K$50003,$S53))</f>
        <v/>
      </c>
      <c r="G53" s="17">
        <f>IF($S53="","",INDEX('BASE CONTROLES'!$M$4:$M$50003,$S53))</f>
        <v/>
      </c>
      <c r="H53" s="17">
        <f>IF($S53="","",INDEX('BASE CONTROLES'!$N$4:$N$50003,$S53))</f>
        <v/>
      </c>
      <c r="I53" s="33">
        <f>IF($S53="","",INDEX('BASE CONTROLES'!$O$4:$O$50003,$S53))</f>
        <v/>
      </c>
      <c r="J53" s="33">
        <f>IF($S53="","",INDEX('BASE CONTROLES'!$P$4:$P$50003,$S53))</f>
        <v/>
      </c>
      <c r="K53" s="33">
        <f>IF($S53="","",INDEX('BASE CONTROLES'!$Q$4:$Q$50003,$S53))</f>
        <v/>
      </c>
      <c r="L53" s="36">
        <f>IF($S53="","",INDEX('BASE CONTROLES'!$H$4:$H$50003,$S53))</f>
        <v/>
      </c>
      <c r="M53" s="36">
        <f>IF($S53="","",INDEX('BASE CONTROLES'!$T$4:$T$50003,$S53))</f>
        <v/>
      </c>
      <c r="N53" s="34">
        <f>IF($S53="","",INDEX('BASE CONTROLES'!$U$4:$U$50003,$S53))</f>
        <v/>
      </c>
      <c r="O53" s="34">
        <f>IF($S53="","",INDEX('BASE CONTROLES'!$R$4:$R$50003,$S53))</f>
        <v/>
      </c>
      <c r="P53" s="37">
        <f>IF($S53="","",INDEX('BASE CONTROLES'!$V$4:$V$50003,$S53))</f>
        <v/>
      </c>
      <c r="Q53" s="17">
        <f>IF($S53="","",INDEX('BASE CONTROLES'!$W$4:$W$50003,$S53))</f>
        <v/>
      </c>
      <c r="S5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CONTROLES'!$G$4:$G$50003)-4+1),37)),""))</f>
        <v/>
      </c>
    </row>
    <row r="54" ht="15" customHeight="1">
      <c r="A54" s="45">
        <f>IF($S54="","",INDEX('BASE CONTROLES'!$B$4:$B$50003,$S54))</f>
        <v/>
      </c>
      <c r="B54" s="35">
        <f>IF($S54="","",INDEX('BASE CONTROLES'!$C$4:$C$50003,$S54))</f>
        <v/>
      </c>
      <c r="C54" s="17">
        <f>IF($S54="","",INDEX('BASE CONTROLES'!$D$4:$D$50003,$S54))</f>
        <v/>
      </c>
      <c r="D54" s="33">
        <f>IF($S54="","",INDEX('BASE CONTROLES'!$E$4:$E$50003,$S54))</f>
        <v/>
      </c>
      <c r="E54" s="33">
        <f>IF($S54="","",INDEX('BASE CONTROLES'!$F$4:$F$50003,$S54))</f>
        <v/>
      </c>
      <c r="F54" s="17">
        <f>IF($S54="","",INDEX('BASE CONTROLES'!$K$4:$K$50003,$S54))</f>
        <v/>
      </c>
      <c r="G54" s="17">
        <f>IF($S54="","",INDEX('BASE CONTROLES'!$M$4:$M$50003,$S54))</f>
        <v/>
      </c>
      <c r="H54" s="17">
        <f>IF($S54="","",INDEX('BASE CONTROLES'!$N$4:$N$50003,$S54))</f>
        <v/>
      </c>
      <c r="I54" s="33">
        <f>IF($S54="","",INDEX('BASE CONTROLES'!$O$4:$O$50003,$S54))</f>
        <v/>
      </c>
      <c r="J54" s="33">
        <f>IF($S54="","",INDEX('BASE CONTROLES'!$P$4:$P$50003,$S54))</f>
        <v/>
      </c>
      <c r="K54" s="33">
        <f>IF($S54="","",INDEX('BASE CONTROLES'!$Q$4:$Q$50003,$S54))</f>
        <v/>
      </c>
      <c r="L54" s="36">
        <f>IF($S54="","",INDEX('BASE CONTROLES'!$H$4:$H$50003,$S54))</f>
        <v/>
      </c>
      <c r="M54" s="36">
        <f>IF($S54="","",INDEX('BASE CONTROLES'!$T$4:$T$50003,$S54))</f>
        <v/>
      </c>
      <c r="N54" s="34">
        <f>IF($S54="","",INDEX('BASE CONTROLES'!$U$4:$U$50003,$S54))</f>
        <v/>
      </c>
      <c r="O54" s="34">
        <f>IF($S54="","",INDEX('BASE CONTROLES'!$R$4:$R$50003,$S54))</f>
        <v/>
      </c>
      <c r="P54" s="37">
        <f>IF($S54="","",INDEX('BASE CONTROLES'!$V$4:$V$50003,$S54))</f>
        <v/>
      </c>
      <c r="Q54" s="17">
        <f>IF($S54="","",INDEX('BASE CONTROLES'!$W$4:$W$50003,$S54))</f>
        <v/>
      </c>
      <c r="S5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CONTROLES'!$G$4:$G$50003)-4+1),38)),""))</f>
        <v/>
      </c>
    </row>
    <row r="55" ht="15" customHeight="1">
      <c r="A55" s="45">
        <f>IF($S55="","",INDEX('BASE CONTROLES'!$B$4:$B$50003,$S55))</f>
        <v/>
      </c>
      <c r="B55" s="35">
        <f>IF($S55="","",INDEX('BASE CONTROLES'!$C$4:$C$50003,$S55))</f>
        <v/>
      </c>
      <c r="C55" s="17">
        <f>IF($S55="","",INDEX('BASE CONTROLES'!$D$4:$D$50003,$S55))</f>
        <v/>
      </c>
      <c r="D55" s="33">
        <f>IF($S55="","",INDEX('BASE CONTROLES'!$E$4:$E$50003,$S55))</f>
        <v/>
      </c>
      <c r="E55" s="33">
        <f>IF($S55="","",INDEX('BASE CONTROLES'!$F$4:$F$50003,$S55))</f>
        <v/>
      </c>
      <c r="F55" s="17">
        <f>IF($S55="","",INDEX('BASE CONTROLES'!$K$4:$K$50003,$S55))</f>
        <v/>
      </c>
      <c r="G55" s="17">
        <f>IF($S55="","",INDEX('BASE CONTROLES'!$M$4:$M$50003,$S55))</f>
        <v/>
      </c>
      <c r="H55" s="17">
        <f>IF($S55="","",INDEX('BASE CONTROLES'!$N$4:$N$50003,$S55))</f>
        <v/>
      </c>
      <c r="I55" s="33">
        <f>IF($S55="","",INDEX('BASE CONTROLES'!$O$4:$O$50003,$S55))</f>
        <v/>
      </c>
      <c r="J55" s="33">
        <f>IF($S55="","",INDEX('BASE CONTROLES'!$P$4:$P$50003,$S55))</f>
        <v/>
      </c>
      <c r="K55" s="33">
        <f>IF($S55="","",INDEX('BASE CONTROLES'!$Q$4:$Q$50003,$S55))</f>
        <v/>
      </c>
      <c r="L55" s="36">
        <f>IF($S55="","",INDEX('BASE CONTROLES'!$H$4:$H$50003,$S55))</f>
        <v/>
      </c>
      <c r="M55" s="36">
        <f>IF($S55="","",INDEX('BASE CONTROLES'!$T$4:$T$50003,$S55))</f>
        <v/>
      </c>
      <c r="N55" s="34">
        <f>IF($S55="","",INDEX('BASE CONTROLES'!$U$4:$U$50003,$S55))</f>
        <v/>
      </c>
      <c r="O55" s="34">
        <f>IF($S55="","",INDEX('BASE CONTROLES'!$R$4:$R$50003,$S55))</f>
        <v/>
      </c>
      <c r="P55" s="37">
        <f>IF($S55="","",INDEX('BASE CONTROLES'!$V$4:$V$50003,$S55))</f>
        <v/>
      </c>
      <c r="Q55" s="17">
        <f>IF($S55="","",INDEX('BASE CONTROLES'!$W$4:$W$50003,$S55))</f>
        <v/>
      </c>
      <c r="S5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CONTROLES'!$G$4:$G$50003)-4+1),39)),""))</f>
        <v/>
      </c>
    </row>
    <row r="56" ht="15" customHeight="1">
      <c r="A56" s="45">
        <f>IF($S56="","",INDEX('BASE CONTROLES'!$B$4:$B$50003,$S56))</f>
        <v/>
      </c>
      <c r="B56" s="35">
        <f>IF($S56="","",INDEX('BASE CONTROLES'!$C$4:$C$50003,$S56))</f>
        <v/>
      </c>
      <c r="C56" s="17">
        <f>IF($S56="","",INDEX('BASE CONTROLES'!$D$4:$D$50003,$S56))</f>
        <v/>
      </c>
      <c r="D56" s="33">
        <f>IF($S56="","",INDEX('BASE CONTROLES'!$E$4:$E$50003,$S56))</f>
        <v/>
      </c>
      <c r="E56" s="33">
        <f>IF($S56="","",INDEX('BASE CONTROLES'!$F$4:$F$50003,$S56))</f>
        <v/>
      </c>
      <c r="F56" s="17">
        <f>IF($S56="","",INDEX('BASE CONTROLES'!$K$4:$K$50003,$S56))</f>
        <v/>
      </c>
      <c r="G56" s="17">
        <f>IF($S56="","",INDEX('BASE CONTROLES'!$M$4:$M$50003,$S56))</f>
        <v/>
      </c>
      <c r="H56" s="17">
        <f>IF($S56="","",INDEX('BASE CONTROLES'!$N$4:$N$50003,$S56))</f>
        <v/>
      </c>
      <c r="I56" s="33">
        <f>IF($S56="","",INDEX('BASE CONTROLES'!$O$4:$O$50003,$S56))</f>
        <v/>
      </c>
      <c r="J56" s="33">
        <f>IF($S56="","",INDEX('BASE CONTROLES'!$P$4:$P$50003,$S56))</f>
        <v/>
      </c>
      <c r="K56" s="33">
        <f>IF($S56="","",INDEX('BASE CONTROLES'!$Q$4:$Q$50003,$S56))</f>
        <v/>
      </c>
      <c r="L56" s="36">
        <f>IF($S56="","",INDEX('BASE CONTROLES'!$H$4:$H$50003,$S56))</f>
        <v/>
      </c>
      <c r="M56" s="36">
        <f>IF($S56="","",INDEX('BASE CONTROLES'!$T$4:$T$50003,$S56))</f>
        <v/>
      </c>
      <c r="N56" s="34">
        <f>IF($S56="","",INDEX('BASE CONTROLES'!$U$4:$U$50003,$S56))</f>
        <v/>
      </c>
      <c r="O56" s="34">
        <f>IF($S56="","",INDEX('BASE CONTROLES'!$R$4:$R$50003,$S56))</f>
        <v/>
      </c>
      <c r="P56" s="37">
        <f>IF($S56="","",INDEX('BASE CONTROLES'!$V$4:$V$50003,$S56))</f>
        <v/>
      </c>
      <c r="Q56" s="17">
        <f>IF($S56="","",INDEX('BASE CONTROLES'!$W$4:$W$50003,$S56))</f>
        <v/>
      </c>
      <c r="S5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CONTROLES'!$G$4:$G$50003)-4+1),40)),""))</f>
        <v/>
      </c>
    </row>
    <row r="57" ht="15" customHeight="1">
      <c r="A57" s="45">
        <f>IF($S57="","",INDEX('BASE CONTROLES'!$B$4:$B$50003,$S57))</f>
        <v/>
      </c>
      <c r="B57" s="35">
        <f>IF($S57="","",INDEX('BASE CONTROLES'!$C$4:$C$50003,$S57))</f>
        <v/>
      </c>
      <c r="C57" s="17">
        <f>IF($S57="","",INDEX('BASE CONTROLES'!$D$4:$D$50003,$S57))</f>
        <v/>
      </c>
      <c r="D57" s="33">
        <f>IF($S57="","",INDEX('BASE CONTROLES'!$E$4:$E$50003,$S57))</f>
        <v/>
      </c>
      <c r="E57" s="33">
        <f>IF($S57="","",INDEX('BASE CONTROLES'!$F$4:$F$50003,$S57))</f>
        <v/>
      </c>
      <c r="F57" s="17">
        <f>IF($S57="","",INDEX('BASE CONTROLES'!$K$4:$K$50003,$S57))</f>
        <v/>
      </c>
      <c r="G57" s="17">
        <f>IF($S57="","",INDEX('BASE CONTROLES'!$M$4:$M$50003,$S57))</f>
        <v/>
      </c>
      <c r="H57" s="17">
        <f>IF($S57="","",INDEX('BASE CONTROLES'!$N$4:$N$50003,$S57))</f>
        <v/>
      </c>
      <c r="I57" s="33">
        <f>IF($S57="","",INDEX('BASE CONTROLES'!$O$4:$O$50003,$S57))</f>
        <v/>
      </c>
      <c r="J57" s="33">
        <f>IF($S57="","",INDEX('BASE CONTROLES'!$P$4:$P$50003,$S57))</f>
        <v/>
      </c>
      <c r="K57" s="33">
        <f>IF($S57="","",INDEX('BASE CONTROLES'!$Q$4:$Q$50003,$S57))</f>
        <v/>
      </c>
      <c r="L57" s="36">
        <f>IF($S57="","",INDEX('BASE CONTROLES'!$H$4:$H$50003,$S57))</f>
        <v/>
      </c>
      <c r="M57" s="36">
        <f>IF($S57="","",INDEX('BASE CONTROLES'!$T$4:$T$50003,$S57))</f>
        <v/>
      </c>
      <c r="N57" s="34">
        <f>IF($S57="","",INDEX('BASE CONTROLES'!$U$4:$U$50003,$S57))</f>
        <v/>
      </c>
      <c r="O57" s="34">
        <f>IF($S57="","",INDEX('BASE CONTROLES'!$R$4:$R$50003,$S57))</f>
        <v/>
      </c>
      <c r="P57" s="37">
        <f>IF($S57="","",INDEX('BASE CONTROLES'!$V$4:$V$50003,$S57))</f>
        <v/>
      </c>
      <c r="Q57" s="17">
        <f>IF($S57="","",INDEX('BASE CONTROLES'!$W$4:$W$50003,$S57))</f>
        <v/>
      </c>
      <c r="S57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CONTROLES'!$G$4:$G$50003)-4+1),41)),""))</f>
        <v/>
      </c>
    </row>
    <row r="58" ht="15" customHeight="1">
      <c r="A58" s="45">
        <f>IF($S58="","",INDEX('BASE CONTROLES'!$B$4:$B$50003,$S58))</f>
        <v/>
      </c>
      <c r="B58" s="35">
        <f>IF($S58="","",INDEX('BASE CONTROLES'!$C$4:$C$50003,$S58))</f>
        <v/>
      </c>
      <c r="C58" s="17">
        <f>IF($S58="","",INDEX('BASE CONTROLES'!$D$4:$D$50003,$S58))</f>
        <v/>
      </c>
      <c r="D58" s="33">
        <f>IF($S58="","",INDEX('BASE CONTROLES'!$E$4:$E$50003,$S58))</f>
        <v/>
      </c>
      <c r="E58" s="33">
        <f>IF($S58="","",INDEX('BASE CONTROLES'!$F$4:$F$50003,$S58))</f>
        <v/>
      </c>
      <c r="F58" s="17">
        <f>IF($S58="","",INDEX('BASE CONTROLES'!$K$4:$K$50003,$S58))</f>
        <v/>
      </c>
      <c r="G58" s="17">
        <f>IF($S58="","",INDEX('BASE CONTROLES'!$M$4:$M$50003,$S58))</f>
        <v/>
      </c>
      <c r="H58" s="17">
        <f>IF($S58="","",INDEX('BASE CONTROLES'!$N$4:$N$50003,$S58))</f>
        <v/>
      </c>
      <c r="I58" s="33">
        <f>IF($S58="","",INDEX('BASE CONTROLES'!$O$4:$O$50003,$S58))</f>
        <v/>
      </c>
      <c r="J58" s="33">
        <f>IF($S58="","",INDEX('BASE CONTROLES'!$P$4:$P$50003,$S58))</f>
        <v/>
      </c>
      <c r="K58" s="33">
        <f>IF($S58="","",INDEX('BASE CONTROLES'!$Q$4:$Q$50003,$S58))</f>
        <v/>
      </c>
      <c r="L58" s="36">
        <f>IF($S58="","",INDEX('BASE CONTROLES'!$H$4:$H$50003,$S58))</f>
        <v/>
      </c>
      <c r="M58" s="36">
        <f>IF($S58="","",INDEX('BASE CONTROLES'!$T$4:$T$50003,$S58))</f>
        <v/>
      </c>
      <c r="N58" s="34">
        <f>IF($S58="","",INDEX('BASE CONTROLES'!$U$4:$U$50003,$S58))</f>
        <v/>
      </c>
      <c r="O58" s="34">
        <f>IF($S58="","",INDEX('BASE CONTROLES'!$R$4:$R$50003,$S58))</f>
        <v/>
      </c>
      <c r="P58" s="37">
        <f>IF($S58="","",INDEX('BASE CONTROLES'!$V$4:$V$50003,$S58))</f>
        <v/>
      </c>
      <c r="Q58" s="17">
        <f>IF($S58="","",INDEX('BASE CONTROLES'!$W$4:$W$50003,$S58))</f>
        <v/>
      </c>
      <c r="S58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CONTROLES'!$G$4:$G$50003)-4+1),42)),""))</f>
        <v/>
      </c>
    </row>
    <row r="59" ht="15" customHeight="1">
      <c r="A59" s="45">
        <f>IF($S59="","",INDEX('BASE CONTROLES'!$B$4:$B$50003,$S59))</f>
        <v/>
      </c>
      <c r="B59" s="35">
        <f>IF($S59="","",INDEX('BASE CONTROLES'!$C$4:$C$50003,$S59))</f>
        <v/>
      </c>
      <c r="C59" s="17">
        <f>IF($S59="","",INDEX('BASE CONTROLES'!$D$4:$D$50003,$S59))</f>
        <v/>
      </c>
      <c r="D59" s="33">
        <f>IF($S59="","",INDEX('BASE CONTROLES'!$E$4:$E$50003,$S59))</f>
        <v/>
      </c>
      <c r="E59" s="33">
        <f>IF($S59="","",INDEX('BASE CONTROLES'!$F$4:$F$50003,$S59))</f>
        <v/>
      </c>
      <c r="F59" s="17">
        <f>IF($S59="","",INDEX('BASE CONTROLES'!$K$4:$K$50003,$S59))</f>
        <v/>
      </c>
      <c r="G59" s="17">
        <f>IF($S59="","",INDEX('BASE CONTROLES'!$M$4:$M$50003,$S59))</f>
        <v/>
      </c>
      <c r="H59" s="17">
        <f>IF($S59="","",INDEX('BASE CONTROLES'!$N$4:$N$50003,$S59))</f>
        <v/>
      </c>
      <c r="I59" s="33">
        <f>IF($S59="","",INDEX('BASE CONTROLES'!$O$4:$O$50003,$S59))</f>
        <v/>
      </c>
      <c r="J59" s="33">
        <f>IF($S59="","",INDEX('BASE CONTROLES'!$P$4:$P$50003,$S59))</f>
        <v/>
      </c>
      <c r="K59" s="33">
        <f>IF($S59="","",INDEX('BASE CONTROLES'!$Q$4:$Q$50003,$S59))</f>
        <v/>
      </c>
      <c r="L59" s="36">
        <f>IF($S59="","",INDEX('BASE CONTROLES'!$H$4:$H$50003,$S59))</f>
        <v/>
      </c>
      <c r="M59" s="36">
        <f>IF($S59="","",INDEX('BASE CONTROLES'!$T$4:$T$50003,$S59))</f>
        <v/>
      </c>
      <c r="N59" s="34">
        <f>IF($S59="","",INDEX('BASE CONTROLES'!$U$4:$U$50003,$S59))</f>
        <v/>
      </c>
      <c r="O59" s="34">
        <f>IF($S59="","",INDEX('BASE CONTROLES'!$R$4:$R$50003,$S59))</f>
        <v/>
      </c>
      <c r="P59" s="37">
        <f>IF($S59="","",INDEX('BASE CONTROLES'!$V$4:$V$50003,$S59))</f>
        <v/>
      </c>
      <c r="Q59" s="17">
        <f>IF($S59="","",INDEX('BASE CONTROLES'!$W$4:$W$50003,$S59))</f>
        <v/>
      </c>
      <c r="S59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CONTROLES'!$G$4:$G$50003)-4+1),43)),""))</f>
        <v/>
      </c>
    </row>
    <row r="60" ht="15" customHeight="1">
      <c r="A60" s="45">
        <f>IF($S60="","",INDEX('BASE CONTROLES'!$B$4:$B$50003,$S60))</f>
        <v/>
      </c>
      <c r="B60" s="35">
        <f>IF($S60="","",INDEX('BASE CONTROLES'!$C$4:$C$50003,$S60))</f>
        <v/>
      </c>
      <c r="C60" s="17">
        <f>IF($S60="","",INDEX('BASE CONTROLES'!$D$4:$D$50003,$S60))</f>
        <v/>
      </c>
      <c r="D60" s="33">
        <f>IF($S60="","",INDEX('BASE CONTROLES'!$E$4:$E$50003,$S60))</f>
        <v/>
      </c>
      <c r="E60" s="33">
        <f>IF($S60="","",INDEX('BASE CONTROLES'!$F$4:$F$50003,$S60))</f>
        <v/>
      </c>
      <c r="F60" s="17">
        <f>IF($S60="","",INDEX('BASE CONTROLES'!$K$4:$K$50003,$S60))</f>
        <v/>
      </c>
      <c r="G60" s="17">
        <f>IF($S60="","",INDEX('BASE CONTROLES'!$M$4:$M$50003,$S60))</f>
        <v/>
      </c>
      <c r="H60" s="17">
        <f>IF($S60="","",INDEX('BASE CONTROLES'!$N$4:$N$50003,$S60))</f>
        <v/>
      </c>
      <c r="I60" s="33">
        <f>IF($S60="","",INDEX('BASE CONTROLES'!$O$4:$O$50003,$S60))</f>
        <v/>
      </c>
      <c r="J60" s="33">
        <f>IF($S60="","",INDEX('BASE CONTROLES'!$P$4:$P$50003,$S60))</f>
        <v/>
      </c>
      <c r="K60" s="33">
        <f>IF($S60="","",INDEX('BASE CONTROLES'!$Q$4:$Q$50003,$S60))</f>
        <v/>
      </c>
      <c r="L60" s="36">
        <f>IF($S60="","",INDEX('BASE CONTROLES'!$H$4:$H$50003,$S60))</f>
        <v/>
      </c>
      <c r="M60" s="36">
        <f>IF($S60="","",INDEX('BASE CONTROLES'!$T$4:$T$50003,$S60))</f>
        <v/>
      </c>
      <c r="N60" s="34">
        <f>IF($S60="","",INDEX('BASE CONTROLES'!$U$4:$U$50003,$S60))</f>
        <v/>
      </c>
      <c r="O60" s="34">
        <f>IF($S60="","",INDEX('BASE CONTROLES'!$R$4:$R$50003,$S60))</f>
        <v/>
      </c>
      <c r="P60" s="37">
        <f>IF($S60="","",INDEX('BASE CONTROLES'!$V$4:$V$50003,$S60))</f>
        <v/>
      </c>
      <c r="Q60" s="17">
        <f>IF($S60="","",INDEX('BASE CONTROLES'!$W$4:$W$50003,$S60))</f>
        <v/>
      </c>
      <c r="S60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CONTROLES'!$G$4:$G$50003)-4+1),44)),""))</f>
        <v/>
      </c>
    </row>
    <row r="61" ht="15" customHeight="1">
      <c r="A61" s="45">
        <f>IF($S61="","",INDEX('BASE CONTROLES'!$B$4:$B$50003,$S61))</f>
        <v/>
      </c>
      <c r="B61" s="35">
        <f>IF($S61="","",INDEX('BASE CONTROLES'!$C$4:$C$50003,$S61))</f>
        <v/>
      </c>
      <c r="C61" s="17">
        <f>IF($S61="","",INDEX('BASE CONTROLES'!$D$4:$D$50003,$S61))</f>
        <v/>
      </c>
      <c r="D61" s="33">
        <f>IF($S61="","",INDEX('BASE CONTROLES'!$E$4:$E$50003,$S61))</f>
        <v/>
      </c>
      <c r="E61" s="33">
        <f>IF($S61="","",INDEX('BASE CONTROLES'!$F$4:$F$50003,$S61))</f>
        <v/>
      </c>
      <c r="F61" s="17">
        <f>IF($S61="","",INDEX('BASE CONTROLES'!$K$4:$K$50003,$S61))</f>
        <v/>
      </c>
      <c r="G61" s="17">
        <f>IF($S61="","",INDEX('BASE CONTROLES'!$M$4:$M$50003,$S61))</f>
        <v/>
      </c>
      <c r="H61" s="17">
        <f>IF($S61="","",INDEX('BASE CONTROLES'!$N$4:$N$50003,$S61))</f>
        <v/>
      </c>
      <c r="I61" s="33">
        <f>IF($S61="","",INDEX('BASE CONTROLES'!$O$4:$O$50003,$S61))</f>
        <v/>
      </c>
      <c r="J61" s="33">
        <f>IF($S61="","",INDEX('BASE CONTROLES'!$P$4:$P$50003,$S61))</f>
        <v/>
      </c>
      <c r="K61" s="33">
        <f>IF($S61="","",INDEX('BASE CONTROLES'!$Q$4:$Q$50003,$S61))</f>
        <v/>
      </c>
      <c r="L61" s="36">
        <f>IF($S61="","",INDEX('BASE CONTROLES'!$H$4:$H$50003,$S61))</f>
        <v/>
      </c>
      <c r="M61" s="36">
        <f>IF($S61="","",INDEX('BASE CONTROLES'!$T$4:$T$50003,$S61))</f>
        <v/>
      </c>
      <c r="N61" s="34">
        <f>IF($S61="","",INDEX('BASE CONTROLES'!$U$4:$U$50003,$S61))</f>
        <v/>
      </c>
      <c r="O61" s="34">
        <f>IF($S61="","",INDEX('BASE CONTROLES'!$R$4:$R$50003,$S61))</f>
        <v/>
      </c>
      <c r="P61" s="37">
        <f>IF($S61="","",INDEX('BASE CONTROLES'!$V$4:$V$50003,$S61))</f>
        <v/>
      </c>
      <c r="Q61" s="17">
        <f>IF($S61="","",INDEX('BASE CONTROLES'!$W$4:$W$50003,$S61))</f>
        <v/>
      </c>
      <c r="S61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CONTROLES'!$G$4:$G$50003)-4+1),45)),""))</f>
        <v/>
      </c>
    </row>
    <row r="62" ht="15" customHeight="1">
      <c r="A62" s="45">
        <f>IF($S62="","",INDEX('BASE CONTROLES'!$B$4:$B$50003,$S62))</f>
        <v/>
      </c>
      <c r="B62" s="35">
        <f>IF($S62="","",INDEX('BASE CONTROLES'!$C$4:$C$50003,$S62))</f>
        <v/>
      </c>
      <c r="C62" s="17">
        <f>IF($S62="","",INDEX('BASE CONTROLES'!$D$4:$D$50003,$S62))</f>
        <v/>
      </c>
      <c r="D62" s="33">
        <f>IF($S62="","",INDEX('BASE CONTROLES'!$E$4:$E$50003,$S62))</f>
        <v/>
      </c>
      <c r="E62" s="33">
        <f>IF($S62="","",INDEX('BASE CONTROLES'!$F$4:$F$50003,$S62))</f>
        <v/>
      </c>
      <c r="F62" s="17">
        <f>IF($S62="","",INDEX('BASE CONTROLES'!$K$4:$K$50003,$S62))</f>
        <v/>
      </c>
      <c r="G62" s="17">
        <f>IF($S62="","",INDEX('BASE CONTROLES'!$M$4:$M$50003,$S62))</f>
        <v/>
      </c>
      <c r="H62" s="17">
        <f>IF($S62="","",INDEX('BASE CONTROLES'!$N$4:$N$50003,$S62))</f>
        <v/>
      </c>
      <c r="I62" s="33">
        <f>IF($S62="","",INDEX('BASE CONTROLES'!$O$4:$O$50003,$S62))</f>
        <v/>
      </c>
      <c r="J62" s="33">
        <f>IF($S62="","",INDEX('BASE CONTROLES'!$P$4:$P$50003,$S62))</f>
        <v/>
      </c>
      <c r="K62" s="33">
        <f>IF($S62="","",INDEX('BASE CONTROLES'!$Q$4:$Q$50003,$S62))</f>
        <v/>
      </c>
      <c r="L62" s="36">
        <f>IF($S62="","",INDEX('BASE CONTROLES'!$H$4:$H$50003,$S62))</f>
        <v/>
      </c>
      <c r="M62" s="36">
        <f>IF($S62="","",INDEX('BASE CONTROLES'!$T$4:$T$50003,$S62))</f>
        <v/>
      </c>
      <c r="N62" s="34">
        <f>IF($S62="","",INDEX('BASE CONTROLES'!$U$4:$U$50003,$S62))</f>
        <v/>
      </c>
      <c r="O62" s="34">
        <f>IF($S62="","",INDEX('BASE CONTROLES'!$R$4:$R$50003,$S62))</f>
        <v/>
      </c>
      <c r="P62" s="37">
        <f>IF($S62="","",INDEX('BASE CONTROLES'!$V$4:$V$50003,$S62))</f>
        <v/>
      </c>
      <c r="Q62" s="17">
        <f>IF($S62="","",INDEX('BASE CONTROLES'!$W$4:$W$50003,$S62))</f>
        <v/>
      </c>
      <c r="S62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CONTROLES'!$G$4:$G$50003)-4+1),46)),""))</f>
        <v/>
      </c>
    </row>
    <row r="63" ht="15" customHeight="1">
      <c r="A63" s="45">
        <f>IF($S63="","",INDEX('BASE CONTROLES'!$B$4:$B$50003,$S63))</f>
        <v/>
      </c>
      <c r="B63" s="35">
        <f>IF($S63="","",INDEX('BASE CONTROLES'!$C$4:$C$50003,$S63))</f>
        <v/>
      </c>
      <c r="C63" s="17">
        <f>IF($S63="","",INDEX('BASE CONTROLES'!$D$4:$D$50003,$S63))</f>
        <v/>
      </c>
      <c r="D63" s="33">
        <f>IF($S63="","",INDEX('BASE CONTROLES'!$E$4:$E$50003,$S63))</f>
        <v/>
      </c>
      <c r="E63" s="33">
        <f>IF($S63="","",INDEX('BASE CONTROLES'!$F$4:$F$50003,$S63))</f>
        <v/>
      </c>
      <c r="F63" s="17">
        <f>IF($S63="","",INDEX('BASE CONTROLES'!$K$4:$K$50003,$S63))</f>
        <v/>
      </c>
      <c r="G63" s="17">
        <f>IF($S63="","",INDEX('BASE CONTROLES'!$M$4:$M$50003,$S63))</f>
        <v/>
      </c>
      <c r="H63" s="17">
        <f>IF($S63="","",INDEX('BASE CONTROLES'!$N$4:$N$50003,$S63))</f>
        <v/>
      </c>
      <c r="I63" s="33">
        <f>IF($S63="","",INDEX('BASE CONTROLES'!$O$4:$O$50003,$S63))</f>
        <v/>
      </c>
      <c r="J63" s="33">
        <f>IF($S63="","",INDEX('BASE CONTROLES'!$P$4:$P$50003,$S63))</f>
        <v/>
      </c>
      <c r="K63" s="33">
        <f>IF($S63="","",INDEX('BASE CONTROLES'!$Q$4:$Q$50003,$S63))</f>
        <v/>
      </c>
      <c r="L63" s="36">
        <f>IF($S63="","",INDEX('BASE CONTROLES'!$H$4:$H$50003,$S63))</f>
        <v/>
      </c>
      <c r="M63" s="36">
        <f>IF($S63="","",INDEX('BASE CONTROLES'!$T$4:$T$50003,$S63))</f>
        <v/>
      </c>
      <c r="N63" s="34">
        <f>IF($S63="","",INDEX('BASE CONTROLES'!$U$4:$U$50003,$S63))</f>
        <v/>
      </c>
      <c r="O63" s="34">
        <f>IF($S63="","",INDEX('BASE CONTROLES'!$R$4:$R$50003,$S63))</f>
        <v/>
      </c>
      <c r="P63" s="37">
        <f>IF($S63="","",INDEX('BASE CONTROLES'!$V$4:$V$50003,$S63))</f>
        <v/>
      </c>
      <c r="Q63" s="17">
        <f>IF($S63="","",INDEX('BASE CONTROLES'!$W$4:$W$50003,$S63))</f>
        <v/>
      </c>
      <c r="S63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CONTROLES'!$G$4:$G$50003)-4+1),47)),""))</f>
        <v/>
      </c>
    </row>
    <row r="64" ht="15" customHeight="1">
      <c r="A64" s="45">
        <f>IF($S64="","",INDEX('BASE CONTROLES'!$B$4:$B$50003,$S64))</f>
        <v/>
      </c>
      <c r="B64" s="35">
        <f>IF($S64="","",INDEX('BASE CONTROLES'!$C$4:$C$50003,$S64))</f>
        <v/>
      </c>
      <c r="C64" s="17">
        <f>IF($S64="","",INDEX('BASE CONTROLES'!$D$4:$D$50003,$S64))</f>
        <v/>
      </c>
      <c r="D64" s="33">
        <f>IF($S64="","",INDEX('BASE CONTROLES'!$E$4:$E$50003,$S64))</f>
        <v/>
      </c>
      <c r="E64" s="33">
        <f>IF($S64="","",INDEX('BASE CONTROLES'!$F$4:$F$50003,$S64))</f>
        <v/>
      </c>
      <c r="F64" s="17">
        <f>IF($S64="","",INDEX('BASE CONTROLES'!$K$4:$K$50003,$S64))</f>
        <v/>
      </c>
      <c r="G64" s="17">
        <f>IF($S64="","",INDEX('BASE CONTROLES'!$M$4:$M$50003,$S64))</f>
        <v/>
      </c>
      <c r="H64" s="17">
        <f>IF($S64="","",INDEX('BASE CONTROLES'!$N$4:$N$50003,$S64))</f>
        <v/>
      </c>
      <c r="I64" s="33">
        <f>IF($S64="","",INDEX('BASE CONTROLES'!$O$4:$O$50003,$S64))</f>
        <v/>
      </c>
      <c r="J64" s="33">
        <f>IF($S64="","",INDEX('BASE CONTROLES'!$P$4:$P$50003,$S64))</f>
        <v/>
      </c>
      <c r="K64" s="33">
        <f>IF($S64="","",INDEX('BASE CONTROLES'!$Q$4:$Q$50003,$S64))</f>
        <v/>
      </c>
      <c r="L64" s="36">
        <f>IF($S64="","",INDEX('BASE CONTROLES'!$H$4:$H$50003,$S64))</f>
        <v/>
      </c>
      <c r="M64" s="36">
        <f>IF($S64="","",INDEX('BASE CONTROLES'!$T$4:$T$50003,$S64))</f>
        <v/>
      </c>
      <c r="N64" s="34">
        <f>IF($S64="","",INDEX('BASE CONTROLES'!$U$4:$U$50003,$S64))</f>
        <v/>
      </c>
      <c r="O64" s="34">
        <f>IF($S64="","",INDEX('BASE CONTROLES'!$R$4:$R$50003,$S64))</f>
        <v/>
      </c>
      <c r="P64" s="37">
        <f>IF($S64="","",INDEX('BASE CONTROLES'!$V$4:$V$50003,$S64))</f>
        <v/>
      </c>
      <c r="Q64" s="17">
        <f>IF($S64="","",INDEX('BASE CONTROLES'!$W$4:$W$50003,$S64))</f>
        <v/>
      </c>
      <c r="S64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CONTROLES'!$G$4:$G$50003)-4+1),48)),""))</f>
        <v/>
      </c>
    </row>
    <row r="65" ht="15" customHeight="1">
      <c r="A65" s="45">
        <f>IF($S65="","",INDEX('BASE CONTROLES'!$B$4:$B$50003,$S65))</f>
        <v/>
      </c>
      <c r="B65" s="35">
        <f>IF($S65="","",INDEX('BASE CONTROLES'!$C$4:$C$50003,$S65))</f>
        <v/>
      </c>
      <c r="C65" s="17">
        <f>IF($S65="","",INDEX('BASE CONTROLES'!$D$4:$D$50003,$S65))</f>
        <v/>
      </c>
      <c r="D65" s="33">
        <f>IF($S65="","",INDEX('BASE CONTROLES'!$E$4:$E$50003,$S65))</f>
        <v/>
      </c>
      <c r="E65" s="33">
        <f>IF($S65="","",INDEX('BASE CONTROLES'!$F$4:$F$50003,$S65))</f>
        <v/>
      </c>
      <c r="F65" s="17">
        <f>IF($S65="","",INDEX('BASE CONTROLES'!$K$4:$K$50003,$S65))</f>
        <v/>
      </c>
      <c r="G65" s="17">
        <f>IF($S65="","",INDEX('BASE CONTROLES'!$M$4:$M$50003,$S65))</f>
        <v/>
      </c>
      <c r="H65" s="17">
        <f>IF($S65="","",INDEX('BASE CONTROLES'!$N$4:$N$50003,$S65))</f>
        <v/>
      </c>
      <c r="I65" s="33">
        <f>IF($S65="","",INDEX('BASE CONTROLES'!$O$4:$O$50003,$S65))</f>
        <v/>
      </c>
      <c r="J65" s="33">
        <f>IF($S65="","",INDEX('BASE CONTROLES'!$P$4:$P$50003,$S65))</f>
        <v/>
      </c>
      <c r="K65" s="33">
        <f>IF($S65="","",INDEX('BASE CONTROLES'!$Q$4:$Q$50003,$S65))</f>
        <v/>
      </c>
      <c r="L65" s="36">
        <f>IF($S65="","",INDEX('BASE CONTROLES'!$H$4:$H$50003,$S65))</f>
        <v/>
      </c>
      <c r="M65" s="36">
        <f>IF($S65="","",INDEX('BASE CONTROLES'!$T$4:$T$50003,$S65))</f>
        <v/>
      </c>
      <c r="N65" s="34">
        <f>IF($S65="","",INDEX('BASE CONTROLES'!$U$4:$U$50003,$S65))</f>
        <v/>
      </c>
      <c r="O65" s="34">
        <f>IF($S65="","",INDEX('BASE CONTROLES'!$R$4:$R$50003,$S65))</f>
        <v/>
      </c>
      <c r="P65" s="37">
        <f>IF($S65="","",INDEX('BASE CONTROLES'!$V$4:$V$50003,$S65))</f>
        <v/>
      </c>
      <c r="Q65" s="17">
        <f>IF($S65="","",INDEX('BASE CONTROLES'!$W$4:$W$50003,$S65))</f>
        <v/>
      </c>
      <c r="S65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CONTROLES'!$G$4:$G$50003)-4+1),49)),""))</f>
        <v/>
      </c>
    </row>
    <row r="66" ht="15" customHeight="1">
      <c r="A66" s="45">
        <f>IF($S66="","",INDEX('BASE CONTROLES'!$B$4:$B$50003,$S66))</f>
        <v/>
      </c>
      <c r="B66" s="35">
        <f>IF($S66="","",INDEX('BASE CONTROLES'!$C$4:$C$50003,$S66))</f>
        <v/>
      </c>
      <c r="C66" s="17">
        <f>IF($S66="","",INDEX('BASE CONTROLES'!$D$4:$D$50003,$S66))</f>
        <v/>
      </c>
      <c r="D66" s="33">
        <f>IF($S66="","",INDEX('BASE CONTROLES'!$E$4:$E$50003,$S66))</f>
        <v/>
      </c>
      <c r="E66" s="33">
        <f>IF($S66="","",INDEX('BASE CONTROLES'!$F$4:$F$50003,$S66))</f>
        <v/>
      </c>
      <c r="F66" s="17">
        <f>IF($S66="","",INDEX('BASE CONTROLES'!$K$4:$K$50003,$S66))</f>
        <v/>
      </c>
      <c r="G66" s="17">
        <f>IF($S66="","",INDEX('BASE CONTROLES'!$M$4:$M$50003,$S66))</f>
        <v/>
      </c>
      <c r="H66" s="17">
        <f>IF($S66="","",INDEX('BASE CONTROLES'!$N$4:$N$50003,$S66))</f>
        <v/>
      </c>
      <c r="I66" s="33">
        <f>IF($S66="","",INDEX('BASE CONTROLES'!$O$4:$O$50003,$S66))</f>
        <v/>
      </c>
      <c r="J66" s="33">
        <f>IF($S66="","",INDEX('BASE CONTROLES'!$P$4:$P$50003,$S66))</f>
        <v/>
      </c>
      <c r="K66" s="33">
        <f>IF($S66="","",INDEX('BASE CONTROLES'!$Q$4:$Q$50003,$S66))</f>
        <v/>
      </c>
      <c r="L66" s="36">
        <f>IF($S66="","",INDEX('BASE CONTROLES'!$H$4:$H$50003,$S66))</f>
        <v/>
      </c>
      <c r="M66" s="36">
        <f>IF($S66="","",INDEX('BASE CONTROLES'!$T$4:$T$50003,$S66))</f>
        <v/>
      </c>
      <c r="N66" s="34">
        <f>IF($S66="","",INDEX('BASE CONTROLES'!$U$4:$U$50003,$S66))</f>
        <v/>
      </c>
      <c r="O66" s="34">
        <f>IF($S66="","",INDEX('BASE CONTROLES'!$R$4:$R$50003,$S66))</f>
        <v/>
      </c>
      <c r="P66" s="37">
        <f>IF($S66="","",INDEX('BASE CONTROLES'!$V$4:$V$50003,$S66))</f>
        <v/>
      </c>
      <c r="Q66" s="17">
        <f>IF($S66="","",INDEX('BASE CONTROLES'!$W$4:$W$50003,$S66))</f>
        <v/>
      </c>
      <c r="S66" s="44">
        <f>IF($B$4="","",IFERROR(SUMPRODUCT(LARGE(IF(('BASE CONTROLES'!$G$4:$G$50003=$B$4)*('BASE CONTROLES'!$X$4:$X$50003="VALIDE")*(('BASE CONTROLES'!$M$4:$M$50003=$A$14)+($A$14="")&gt;0)*(('BASE CONTROLES'!$N$4:$N$50003=$B$14)+($B$14="")&gt;0)*(('BASE CONTROLES'!$O$4:$O$50003=$C$14)+($C$14="")&gt;0)*(('BASE CONTROLES'!$P$4:$P$50003=$D$14)+($D$14="")&gt;0)*(('BASE CONTROLES'!$Q$4:$Q$50003=$E$14)+($E$14="")&gt;0)*(('BASE CONTROLES'!$F$4:$F$50003=$F$14)+($F$14="")&gt;0)*(('BASE CONTROLES'!$B$4:$B$50003&gt;=$G$14)+($G$14="")&gt;0)*(('BASE CONTROLES'!$B$4:$B$50003&lt;=$H$14)+($H$14="")&gt;0),ROW('BASE CONTROLES'!$G$4:$G$50003)-4+1),50)),""))</f>
        <v/>
      </c>
    </row>
  </sheetData>
  <mergeCells count="9">
    <mergeCell ref="A6:Q6"/>
    <mergeCell ref="B10:Q10"/>
    <mergeCell ref="A3:Q3"/>
    <mergeCell ref="B9:Q9"/>
    <mergeCell ref="A12:Q12"/>
    <mergeCell ref="A2:Q2"/>
    <mergeCell ref="A15:Q15"/>
    <mergeCell ref="D4:H4"/>
    <mergeCell ref="A1:Q1"/>
  </mergeCells>
  <conditionalFormatting sqref="Q17:Q66">
    <cfRule type="expression" priority="1" dxfId="0" stopIfTrue="0">
      <formula>=$Q17=StatutConforme</formula>
    </cfRule>
    <cfRule type="expression" priority="2" dxfId="6" stopIfTrue="0">
      <formula>=$Q17=StatutSurveiller</formula>
    </cfRule>
    <cfRule type="expression" priority="3" dxfId="3" stopIfTrue="0">
      <formula>=$Q17=StatutSousStandard</formula>
    </cfRule>
    <cfRule type="expression" priority="4" dxfId="7" stopIfTrue="0">
      <formula>=AND($Q17&lt;&gt;"",$N17="")</formula>
    </cfRule>
  </conditionalFormatting>
  <dataValidations count="7">
    <dataValidation sqref="B4" showDropDown="0" showInputMessage="0" showErrorMessage="1" allowBlank="1" errorTitle="SAISIE REFUSEE" error="Valeur non autorisee. Choisir une valeur proposee dans la liste." type="list">
      <formula1>=ListeMatricules</formula1>
    </dataValidation>
    <dataValidation sqref="A14" showDropDown="0" showInputMessage="0" showErrorMessage="1" allowBlank="1" errorTitle="SAISIE REFUSEE" error="Valeur non autorisee. Choisir une valeur proposee dans la liste." type="list">
      <formula1>=ListeProduits</formula1>
    </dataValidation>
    <dataValidation sqref="B14" showDropDown="0" showInputMessage="0" showErrorMessage="1" allowBlank="1" errorTitle="SAISIE REFUSEE" error="Valeur non autorisee. Choisir une valeur proposee dans la liste." type="list">
      <formula1>=ListeMarques</formula1>
    </dataValidation>
    <dataValidation sqref="C14" showDropDown="0" showInputMessage="0" showErrorMessage="1" allowBlank="1" errorTitle="SAISIE REFUSEE" error="Valeur non autorisee. Choisir une valeur proposee dans la liste." type="list">
      <formula1>=ListeFormats</formula1>
    </dataValidation>
    <dataValidation sqref="D14" showDropDown="0" showInputMessage="0" showErrorMessage="1" allowBlank="1" errorTitle="SAISIE REFUSEE" error="Valeur non autorisee. Choisir une valeur proposee dans la liste." type="list">
      <formula1>=ListePreparations</formula1>
    </dataValidation>
    <dataValidation sqref="E14" showDropDown="0" showInputMessage="0" showErrorMessage="1" allowBlank="1" errorTitle="SAISIE REFUSEE" error="Valeur non autorisee. Choisir une valeur proposee dans la liste." type="list">
      <formula1>=ListeMoules</formula1>
    </dataValidation>
    <dataValidation sqref="F14" showDropDown="0" showInputMessage="0" showErrorMessage="1" allowBlank="1" errorTitle="SAISIE REFUSEE" error="Valeur non autorisee. Choisir une valeur proposee dans la liste." type="list">
      <formula1>=ListeLignes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B04E14"/>
    <outlinePr summaryBelow="1" summaryRight="1"/>
    <pageSetUpPr/>
  </sheetPr>
  <dimension ref="A1:O20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28" customWidth="1" min="4" max="4"/>
    <col width="14" customWidth="1" min="5" max="5"/>
    <col width="16" customWidth="1" min="6" max="6"/>
    <col width="15" customWidth="1" min="7" max="7"/>
    <col width="14" customWidth="1" min="8" max="8"/>
    <col width="13" customWidth="1" min="9" max="9"/>
    <col width="14" customWidth="1" min="10" max="10"/>
    <col width="16" customWidth="1" min="11" max="11"/>
    <col width="18" customWidth="1" min="12" max="12"/>
    <col width="14" customWidth="1" min="13" max="13"/>
    <col width="19" customWidth="1" min="14" max="14"/>
    <col width="40" customWidth="1" min="15" max="15"/>
  </cols>
  <sheetData>
    <row r="1" ht="30" customHeight="1">
      <c r="A1" s="1" t="inlineStr">
        <is>
          <t>TEST RENDEMENT — TESTS PONCTUELS MATIERE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Systeme separe du controle horaire de cadence : une femme, une quantite de matiere premiere connue, une quantite de sortie pesee. RENDEMENT % = QUANTITE SORTIE KG / QUANTITE MP KG. Historique permanent.</t>
        </is>
      </c>
    </row>
    <row r="3" ht="33" customHeight="1">
      <c r="A3" s="5" t="inlineStr">
        <is>
          <t>ID TEST</t>
        </is>
      </c>
      <c r="B3" s="5" t="inlineStr">
        <is>
          <t>DATE</t>
        </is>
      </c>
      <c r="C3" s="5" t="inlineStr">
        <is>
          <t>MATRICULE</t>
        </is>
      </c>
      <c r="D3" s="5" t="inlineStr">
        <is>
          <t>NOM ET PRENOM</t>
        </is>
      </c>
      <c r="E3" s="5" t="inlineStr">
        <is>
          <t>ESPÈCE</t>
        </is>
      </c>
      <c r="F3" s="5" t="inlineStr">
        <is>
          <t>PRODUIT</t>
        </is>
      </c>
      <c r="G3" s="5" t="inlineStr">
        <is>
          <t>MARQUE</t>
        </is>
      </c>
      <c r="H3" s="5" t="inlineStr">
        <is>
          <t>FORMAT</t>
        </is>
      </c>
      <c r="I3" s="5" t="inlineStr">
        <is>
          <t>PRÉPARATION</t>
        </is>
      </c>
      <c r="J3" s="5" t="inlineStr">
        <is>
          <t>MOULE</t>
        </is>
      </c>
      <c r="K3" s="5" t="inlineStr">
        <is>
          <t>QUANTITE MP KG</t>
        </is>
      </c>
      <c r="L3" s="5" t="inlineStr">
        <is>
          <t>QUANTITE SORTIE KG</t>
        </is>
      </c>
      <c r="M3" s="5" t="inlineStr">
        <is>
          <t>RENDEMENT %</t>
        </is>
      </c>
      <c r="N3" s="5" t="inlineStr">
        <is>
          <t>TYPE TEST</t>
        </is>
      </c>
      <c r="O3" s="5" t="inlineStr">
        <is>
          <t>OBSERVATION</t>
        </is>
      </c>
    </row>
    <row r="4" ht="15" customHeight="1">
      <c r="A4" s="12">
        <f>IF(OR($B4="",$C4=""),"","TR-"&amp;TEXT($B4,"YYYYMMDD")&amp;"-"&amp;$C4&amp;"-"&amp;TEXT(COUNTIFS($B$3:$B4,$B4,$C$3:$C4,$C4),"00"))</f>
        <v/>
      </c>
      <c r="B4" s="15" t="n"/>
      <c r="C4" s="13" t="n"/>
      <c r="D4" s="17">
        <f>IF($C4="","",IFERROR(INDEX(NomsEmployes,MATCH($C4,MatriculesEmployes,0)),"MATRICULE INCONNU"))</f>
        <v/>
      </c>
      <c r="E4" s="9" t="n"/>
      <c r="F4" s="10" t="n"/>
      <c r="G4" s="10" t="n"/>
      <c r="H4" s="9" t="n"/>
      <c r="I4" s="9" t="n"/>
      <c r="J4" s="9" t="n"/>
      <c r="K4" s="46" t="n"/>
      <c r="L4" s="46" t="n"/>
      <c r="M4" s="27">
        <f>IF(OR($K4="",$L4="",$K4&lt;=0),"",$L4/$K4)</f>
        <v/>
      </c>
      <c r="N4" s="9" t="n"/>
      <c r="O4" s="10" t="n"/>
    </row>
    <row r="5" ht="15" customHeight="1">
      <c r="A5" s="12">
        <f>IF(OR($B5="",$C5=""),"","TR-"&amp;TEXT($B5,"YYYYMMDD")&amp;"-"&amp;$C5&amp;"-"&amp;TEXT(COUNTIFS($B$3:$B5,$B5,$C$3:$C5,$C5),"00"))</f>
        <v/>
      </c>
      <c r="B5" s="15" t="n"/>
      <c r="C5" s="13" t="n"/>
      <c r="D5" s="17">
        <f>IF($C5="","",IFERROR(INDEX(NomsEmployes,MATCH($C5,MatriculesEmployes,0)),"MATRICULE INCONNU"))</f>
        <v/>
      </c>
      <c r="E5" s="9" t="n"/>
      <c r="F5" s="10" t="n"/>
      <c r="G5" s="10" t="n"/>
      <c r="H5" s="9" t="n"/>
      <c r="I5" s="9" t="n"/>
      <c r="J5" s="9" t="n"/>
      <c r="K5" s="46" t="n"/>
      <c r="L5" s="46" t="n"/>
      <c r="M5" s="27">
        <f>IF(OR($K5="",$L5="",$K5&lt;=0),"",$L5/$K5)</f>
        <v/>
      </c>
      <c r="N5" s="9" t="n"/>
      <c r="O5" s="10" t="n"/>
    </row>
    <row r="6" ht="15" customHeight="1">
      <c r="A6" s="12">
        <f>IF(OR($B6="",$C6=""),"","TR-"&amp;TEXT($B6,"YYYYMMDD")&amp;"-"&amp;$C6&amp;"-"&amp;TEXT(COUNTIFS($B$3:$B6,$B6,$C$3:$C6,$C6),"00"))</f>
        <v/>
      </c>
      <c r="B6" s="15" t="n"/>
      <c r="C6" s="13" t="n"/>
      <c r="D6" s="17">
        <f>IF($C6="","",IFERROR(INDEX(NomsEmployes,MATCH($C6,MatriculesEmployes,0)),"MATRICULE INCONNU"))</f>
        <v/>
      </c>
      <c r="E6" s="9" t="n"/>
      <c r="F6" s="10" t="n"/>
      <c r="G6" s="10" t="n"/>
      <c r="H6" s="9" t="n"/>
      <c r="I6" s="9" t="n"/>
      <c r="J6" s="9" t="n"/>
      <c r="K6" s="46" t="n"/>
      <c r="L6" s="46" t="n"/>
      <c r="M6" s="27">
        <f>IF(OR($K6="",$L6="",$K6&lt;=0),"",$L6/$K6)</f>
        <v/>
      </c>
      <c r="N6" s="9" t="n"/>
      <c r="O6" s="10" t="n"/>
    </row>
    <row r="7" ht="15" customHeight="1">
      <c r="A7" s="12">
        <f>IF(OR($B7="",$C7=""),"","TR-"&amp;TEXT($B7,"YYYYMMDD")&amp;"-"&amp;$C7&amp;"-"&amp;TEXT(COUNTIFS($B$3:$B7,$B7,$C$3:$C7,$C7),"00"))</f>
        <v/>
      </c>
      <c r="B7" s="15" t="n"/>
      <c r="C7" s="13" t="n"/>
      <c r="D7" s="17">
        <f>IF($C7="","",IFERROR(INDEX(NomsEmployes,MATCH($C7,MatriculesEmployes,0)),"MATRICULE INCONNU"))</f>
        <v/>
      </c>
      <c r="E7" s="9" t="n"/>
      <c r="F7" s="10" t="n"/>
      <c r="G7" s="10" t="n"/>
      <c r="H7" s="9" t="n"/>
      <c r="I7" s="9" t="n"/>
      <c r="J7" s="9" t="n"/>
      <c r="K7" s="46" t="n"/>
      <c r="L7" s="46" t="n"/>
      <c r="M7" s="27">
        <f>IF(OR($K7="",$L7="",$K7&lt;=0),"",$L7/$K7)</f>
        <v/>
      </c>
      <c r="N7" s="9" t="n"/>
      <c r="O7" s="10" t="n"/>
    </row>
    <row r="8" ht="15" customHeight="1">
      <c r="A8" s="12">
        <f>IF(OR($B8="",$C8=""),"","TR-"&amp;TEXT($B8,"YYYYMMDD")&amp;"-"&amp;$C8&amp;"-"&amp;TEXT(COUNTIFS($B$3:$B8,$B8,$C$3:$C8,$C8),"00"))</f>
        <v/>
      </c>
      <c r="B8" s="15" t="n"/>
      <c r="C8" s="13" t="n"/>
      <c r="D8" s="17">
        <f>IF($C8="","",IFERROR(INDEX(NomsEmployes,MATCH($C8,MatriculesEmployes,0)),"MATRICULE INCONNU"))</f>
        <v/>
      </c>
      <c r="E8" s="9" t="n"/>
      <c r="F8" s="10" t="n"/>
      <c r="G8" s="10" t="n"/>
      <c r="H8" s="9" t="n"/>
      <c r="I8" s="9" t="n"/>
      <c r="J8" s="9" t="n"/>
      <c r="K8" s="46" t="n"/>
      <c r="L8" s="46" t="n"/>
      <c r="M8" s="27">
        <f>IF(OR($K8="",$L8="",$K8&lt;=0),"",$L8/$K8)</f>
        <v/>
      </c>
      <c r="N8" s="9" t="n"/>
      <c r="O8" s="10" t="n"/>
    </row>
    <row r="9" ht="15" customHeight="1">
      <c r="A9" s="12">
        <f>IF(OR($B9="",$C9=""),"","TR-"&amp;TEXT($B9,"YYYYMMDD")&amp;"-"&amp;$C9&amp;"-"&amp;TEXT(COUNTIFS($B$3:$B9,$B9,$C$3:$C9,$C9),"00"))</f>
        <v/>
      </c>
      <c r="B9" s="15" t="n"/>
      <c r="C9" s="13" t="n"/>
      <c r="D9" s="17">
        <f>IF($C9="","",IFERROR(INDEX(NomsEmployes,MATCH($C9,MatriculesEmployes,0)),"MATRICULE INCONNU"))</f>
        <v/>
      </c>
      <c r="E9" s="9" t="n"/>
      <c r="F9" s="10" t="n"/>
      <c r="G9" s="10" t="n"/>
      <c r="H9" s="9" t="n"/>
      <c r="I9" s="9" t="n"/>
      <c r="J9" s="9" t="n"/>
      <c r="K9" s="46" t="n"/>
      <c r="L9" s="46" t="n"/>
      <c r="M9" s="27">
        <f>IF(OR($K9="",$L9="",$K9&lt;=0),"",$L9/$K9)</f>
        <v/>
      </c>
      <c r="N9" s="9" t="n"/>
      <c r="O9" s="10" t="n"/>
    </row>
    <row r="10" ht="15" customHeight="1">
      <c r="A10" s="12">
        <f>IF(OR($B10="",$C10=""),"","TR-"&amp;TEXT($B10,"YYYYMMDD")&amp;"-"&amp;$C10&amp;"-"&amp;TEXT(COUNTIFS($B$3:$B10,$B10,$C$3:$C10,$C10),"00"))</f>
        <v/>
      </c>
      <c r="B10" s="15" t="n"/>
      <c r="C10" s="13" t="n"/>
      <c r="D10" s="17">
        <f>IF($C10="","",IFERROR(INDEX(NomsEmployes,MATCH($C10,MatriculesEmployes,0)),"MATRICULE INCONNU"))</f>
        <v/>
      </c>
      <c r="E10" s="9" t="n"/>
      <c r="F10" s="10" t="n"/>
      <c r="G10" s="10" t="n"/>
      <c r="H10" s="9" t="n"/>
      <c r="I10" s="9" t="n"/>
      <c r="J10" s="9" t="n"/>
      <c r="K10" s="46" t="n"/>
      <c r="L10" s="46" t="n"/>
      <c r="M10" s="27">
        <f>IF(OR($K10="",$L10="",$K10&lt;=0),"",$L10/$K10)</f>
        <v/>
      </c>
      <c r="N10" s="9" t="n"/>
      <c r="O10" s="10" t="n"/>
    </row>
    <row r="11" ht="15" customHeight="1">
      <c r="A11" s="12">
        <f>IF(OR($B11="",$C11=""),"","TR-"&amp;TEXT($B11,"YYYYMMDD")&amp;"-"&amp;$C11&amp;"-"&amp;TEXT(COUNTIFS($B$3:$B11,$B11,$C$3:$C11,$C11),"00"))</f>
        <v/>
      </c>
      <c r="B11" s="15" t="n"/>
      <c r="C11" s="13" t="n"/>
      <c r="D11" s="17">
        <f>IF($C11="","",IFERROR(INDEX(NomsEmployes,MATCH($C11,MatriculesEmployes,0)),"MATRICULE INCONNU"))</f>
        <v/>
      </c>
      <c r="E11" s="9" t="n"/>
      <c r="F11" s="10" t="n"/>
      <c r="G11" s="10" t="n"/>
      <c r="H11" s="9" t="n"/>
      <c r="I11" s="9" t="n"/>
      <c r="J11" s="9" t="n"/>
      <c r="K11" s="46" t="n"/>
      <c r="L11" s="46" t="n"/>
      <c r="M11" s="27">
        <f>IF(OR($K11="",$L11="",$K11&lt;=0),"",$L11/$K11)</f>
        <v/>
      </c>
      <c r="N11" s="9" t="n"/>
      <c r="O11" s="10" t="n"/>
    </row>
    <row r="12" ht="15" customHeight="1">
      <c r="A12" s="12">
        <f>IF(OR($B12="",$C12=""),"","TR-"&amp;TEXT($B12,"YYYYMMDD")&amp;"-"&amp;$C12&amp;"-"&amp;TEXT(COUNTIFS($B$3:$B12,$B12,$C$3:$C12,$C12),"00"))</f>
        <v/>
      </c>
      <c r="B12" s="15" t="n"/>
      <c r="C12" s="13" t="n"/>
      <c r="D12" s="17">
        <f>IF($C12="","",IFERROR(INDEX(NomsEmployes,MATCH($C12,MatriculesEmployes,0)),"MATRICULE INCONNU"))</f>
        <v/>
      </c>
      <c r="E12" s="9" t="n"/>
      <c r="F12" s="10" t="n"/>
      <c r="G12" s="10" t="n"/>
      <c r="H12" s="9" t="n"/>
      <c r="I12" s="9" t="n"/>
      <c r="J12" s="9" t="n"/>
      <c r="K12" s="46" t="n"/>
      <c r="L12" s="46" t="n"/>
      <c r="M12" s="27">
        <f>IF(OR($K12="",$L12="",$K12&lt;=0),"",$L12/$K12)</f>
        <v/>
      </c>
      <c r="N12" s="9" t="n"/>
      <c r="O12" s="10" t="n"/>
    </row>
    <row r="13" ht="15" customHeight="1">
      <c r="A13" s="12">
        <f>IF(OR($B13="",$C13=""),"","TR-"&amp;TEXT($B13,"YYYYMMDD")&amp;"-"&amp;$C13&amp;"-"&amp;TEXT(COUNTIFS($B$3:$B13,$B13,$C$3:$C13,$C13),"00"))</f>
        <v/>
      </c>
      <c r="B13" s="15" t="n"/>
      <c r="C13" s="13" t="n"/>
      <c r="D13" s="17">
        <f>IF($C13="","",IFERROR(INDEX(NomsEmployes,MATCH($C13,MatriculesEmployes,0)),"MATRICULE INCONNU"))</f>
        <v/>
      </c>
      <c r="E13" s="9" t="n"/>
      <c r="F13" s="10" t="n"/>
      <c r="G13" s="10" t="n"/>
      <c r="H13" s="9" t="n"/>
      <c r="I13" s="9" t="n"/>
      <c r="J13" s="9" t="n"/>
      <c r="K13" s="46" t="n"/>
      <c r="L13" s="46" t="n"/>
      <c r="M13" s="27">
        <f>IF(OR($K13="",$L13="",$K13&lt;=0),"",$L13/$K13)</f>
        <v/>
      </c>
      <c r="N13" s="9" t="n"/>
      <c r="O13" s="10" t="n"/>
    </row>
    <row r="14" ht="15" customHeight="1">
      <c r="A14" s="12">
        <f>IF(OR($B14="",$C14=""),"","TR-"&amp;TEXT($B14,"YYYYMMDD")&amp;"-"&amp;$C14&amp;"-"&amp;TEXT(COUNTIFS($B$3:$B14,$B14,$C$3:$C14,$C14),"00"))</f>
        <v/>
      </c>
      <c r="B14" s="15" t="n"/>
      <c r="C14" s="13" t="n"/>
      <c r="D14" s="17">
        <f>IF($C14="","",IFERROR(INDEX(NomsEmployes,MATCH($C14,MatriculesEmployes,0)),"MATRICULE INCONNU"))</f>
        <v/>
      </c>
      <c r="E14" s="9" t="n"/>
      <c r="F14" s="10" t="n"/>
      <c r="G14" s="10" t="n"/>
      <c r="H14" s="9" t="n"/>
      <c r="I14" s="9" t="n"/>
      <c r="J14" s="9" t="n"/>
      <c r="K14" s="46" t="n"/>
      <c r="L14" s="46" t="n"/>
      <c r="M14" s="27">
        <f>IF(OR($K14="",$L14="",$K14&lt;=0),"",$L14/$K14)</f>
        <v/>
      </c>
      <c r="N14" s="9" t="n"/>
      <c r="O14" s="10" t="n"/>
    </row>
    <row r="15" ht="15" customHeight="1">
      <c r="A15" s="12">
        <f>IF(OR($B15="",$C15=""),"","TR-"&amp;TEXT($B15,"YYYYMMDD")&amp;"-"&amp;$C15&amp;"-"&amp;TEXT(COUNTIFS($B$3:$B15,$B15,$C$3:$C15,$C15),"00"))</f>
        <v/>
      </c>
      <c r="B15" s="15" t="n"/>
      <c r="C15" s="13" t="n"/>
      <c r="D15" s="17">
        <f>IF($C15="","",IFERROR(INDEX(NomsEmployes,MATCH($C15,MatriculesEmployes,0)),"MATRICULE INCONNU"))</f>
        <v/>
      </c>
      <c r="E15" s="9" t="n"/>
      <c r="F15" s="10" t="n"/>
      <c r="G15" s="10" t="n"/>
      <c r="H15" s="9" t="n"/>
      <c r="I15" s="9" t="n"/>
      <c r="J15" s="9" t="n"/>
      <c r="K15" s="46" t="n"/>
      <c r="L15" s="46" t="n"/>
      <c r="M15" s="27">
        <f>IF(OR($K15="",$L15="",$K15&lt;=0),"",$L15/$K15)</f>
        <v/>
      </c>
      <c r="N15" s="9" t="n"/>
      <c r="O15" s="10" t="n"/>
    </row>
    <row r="16" ht="15" customHeight="1">
      <c r="A16" s="12">
        <f>IF(OR($B16="",$C16=""),"","TR-"&amp;TEXT($B16,"YYYYMMDD")&amp;"-"&amp;$C16&amp;"-"&amp;TEXT(COUNTIFS($B$3:$B16,$B16,$C$3:$C16,$C16),"00"))</f>
        <v/>
      </c>
      <c r="B16" s="15" t="n"/>
      <c r="C16" s="13" t="n"/>
      <c r="D16" s="17">
        <f>IF($C16="","",IFERROR(INDEX(NomsEmployes,MATCH($C16,MatriculesEmployes,0)),"MATRICULE INCONNU"))</f>
        <v/>
      </c>
      <c r="E16" s="9" t="n"/>
      <c r="F16" s="10" t="n"/>
      <c r="G16" s="10" t="n"/>
      <c r="H16" s="9" t="n"/>
      <c r="I16" s="9" t="n"/>
      <c r="J16" s="9" t="n"/>
      <c r="K16" s="46" t="n"/>
      <c r="L16" s="46" t="n"/>
      <c r="M16" s="27">
        <f>IF(OR($K16="",$L16="",$K16&lt;=0),"",$L16/$K16)</f>
        <v/>
      </c>
      <c r="N16" s="9" t="n"/>
      <c r="O16" s="10" t="n"/>
    </row>
    <row r="17" ht="15" customHeight="1">
      <c r="A17" s="12">
        <f>IF(OR($B17="",$C17=""),"","TR-"&amp;TEXT($B17,"YYYYMMDD")&amp;"-"&amp;$C17&amp;"-"&amp;TEXT(COUNTIFS($B$3:$B17,$B17,$C$3:$C17,$C17),"00"))</f>
        <v/>
      </c>
      <c r="B17" s="15" t="n"/>
      <c r="C17" s="13" t="n"/>
      <c r="D17" s="17">
        <f>IF($C17="","",IFERROR(INDEX(NomsEmployes,MATCH($C17,MatriculesEmployes,0)),"MATRICULE INCONNU"))</f>
        <v/>
      </c>
      <c r="E17" s="9" t="n"/>
      <c r="F17" s="10" t="n"/>
      <c r="G17" s="10" t="n"/>
      <c r="H17" s="9" t="n"/>
      <c r="I17" s="9" t="n"/>
      <c r="J17" s="9" t="n"/>
      <c r="K17" s="46" t="n"/>
      <c r="L17" s="46" t="n"/>
      <c r="M17" s="27">
        <f>IF(OR($K17="",$L17="",$K17&lt;=0),"",$L17/$K17)</f>
        <v/>
      </c>
      <c r="N17" s="9" t="n"/>
      <c r="O17" s="10" t="n"/>
    </row>
    <row r="18" ht="15" customHeight="1">
      <c r="A18" s="12">
        <f>IF(OR($B18="",$C18=""),"","TR-"&amp;TEXT($B18,"YYYYMMDD")&amp;"-"&amp;$C18&amp;"-"&amp;TEXT(COUNTIFS($B$3:$B18,$B18,$C$3:$C18,$C18),"00"))</f>
        <v/>
      </c>
      <c r="B18" s="15" t="n"/>
      <c r="C18" s="13" t="n"/>
      <c r="D18" s="17">
        <f>IF($C18="","",IFERROR(INDEX(NomsEmployes,MATCH($C18,MatriculesEmployes,0)),"MATRICULE INCONNU"))</f>
        <v/>
      </c>
      <c r="E18" s="9" t="n"/>
      <c r="F18" s="10" t="n"/>
      <c r="G18" s="10" t="n"/>
      <c r="H18" s="9" t="n"/>
      <c r="I18" s="9" t="n"/>
      <c r="J18" s="9" t="n"/>
      <c r="K18" s="46" t="n"/>
      <c r="L18" s="46" t="n"/>
      <c r="M18" s="27">
        <f>IF(OR($K18="",$L18="",$K18&lt;=0),"",$L18/$K18)</f>
        <v/>
      </c>
      <c r="N18" s="9" t="n"/>
      <c r="O18" s="10" t="n"/>
    </row>
    <row r="19" ht="15" customHeight="1">
      <c r="A19" s="12">
        <f>IF(OR($B19="",$C19=""),"","TR-"&amp;TEXT($B19,"YYYYMMDD")&amp;"-"&amp;$C19&amp;"-"&amp;TEXT(COUNTIFS($B$3:$B19,$B19,$C$3:$C19,$C19),"00"))</f>
        <v/>
      </c>
      <c r="B19" s="15" t="n"/>
      <c r="C19" s="13" t="n"/>
      <c r="D19" s="17">
        <f>IF($C19="","",IFERROR(INDEX(NomsEmployes,MATCH($C19,MatriculesEmployes,0)),"MATRICULE INCONNU"))</f>
        <v/>
      </c>
      <c r="E19" s="9" t="n"/>
      <c r="F19" s="10" t="n"/>
      <c r="G19" s="10" t="n"/>
      <c r="H19" s="9" t="n"/>
      <c r="I19" s="9" t="n"/>
      <c r="J19" s="9" t="n"/>
      <c r="K19" s="46" t="n"/>
      <c r="L19" s="46" t="n"/>
      <c r="M19" s="27">
        <f>IF(OR($K19="",$L19="",$K19&lt;=0),"",$L19/$K19)</f>
        <v/>
      </c>
      <c r="N19" s="9" t="n"/>
      <c r="O19" s="10" t="n"/>
    </row>
    <row r="20" ht="15" customHeight="1">
      <c r="A20" s="12">
        <f>IF(OR($B20="",$C20=""),"","TR-"&amp;TEXT($B20,"YYYYMMDD")&amp;"-"&amp;$C20&amp;"-"&amp;TEXT(COUNTIFS($B$3:$B20,$B20,$C$3:$C20,$C20),"00"))</f>
        <v/>
      </c>
      <c r="B20" s="15" t="n"/>
      <c r="C20" s="13" t="n"/>
      <c r="D20" s="17">
        <f>IF($C20="","",IFERROR(INDEX(NomsEmployes,MATCH($C20,MatriculesEmployes,0)),"MATRICULE INCONNU"))</f>
        <v/>
      </c>
      <c r="E20" s="9" t="n"/>
      <c r="F20" s="10" t="n"/>
      <c r="G20" s="10" t="n"/>
      <c r="H20" s="9" t="n"/>
      <c r="I20" s="9" t="n"/>
      <c r="J20" s="9" t="n"/>
      <c r="K20" s="46" t="n"/>
      <c r="L20" s="46" t="n"/>
      <c r="M20" s="27">
        <f>IF(OR($K20="",$L20="",$K20&lt;=0),"",$L20/$K20)</f>
        <v/>
      </c>
      <c r="N20" s="9" t="n"/>
      <c r="O20" s="10" t="n"/>
    </row>
    <row r="21" ht="15" customHeight="1">
      <c r="A21" s="12">
        <f>IF(OR($B21="",$C21=""),"","TR-"&amp;TEXT($B21,"YYYYMMDD")&amp;"-"&amp;$C21&amp;"-"&amp;TEXT(COUNTIFS($B$3:$B21,$B21,$C$3:$C21,$C21),"00"))</f>
        <v/>
      </c>
      <c r="B21" s="15" t="n"/>
      <c r="C21" s="13" t="n"/>
      <c r="D21" s="17">
        <f>IF($C21="","",IFERROR(INDEX(NomsEmployes,MATCH($C21,MatriculesEmployes,0)),"MATRICULE INCONNU"))</f>
        <v/>
      </c>
      <c r="E21" s="9" t="n"/>
      <c r="F21" s="10" t="n"/>
      <c r="G21" s="10" t="n"/>
      <c r="H21" s="9" t="n"/>
      <c r="I21" s="9" t="n"/>
      <c r="J21" s="9" t="n"/>
      <c r="K21" s="46" t="n"/>
      <c r="L21" s="46" t="n"/>
      <c r="M21" s="27">
        <f>IF(OR($K21="",$L21="",$K21&lt;=0),"",$L21/$K21)</f>
        <v/>
      </c>
      <c r="N21" s="9" t="n"/>
      <c r="O21" s="10" t="n"/>
    </row>
    <row r="22" ht="15" customHeight="1">
      <c r="A22" s="12">
        <f>IF(OR($B22="",$C22=""),"","TR-"&amp;TEXT($B22,"YYYYMMDD")&amp;"-"&amp;$C22&amp;"-"&amp;TEXT(COUNTIFS($B$3:$B22,$B22,$C$3:$C22,$C22),"00"))</f>
        <v/>
      </c>
      <c r="B22" s="15" t="n"/>
      <c r="C22" s="13" t="n"/>
      <c r="D22" s="17">
        <f>IF($C22="","",IFERROR(INDEX(NomsEmployes,MATCH($C22,MatriculesEmployes,0)),"MATRICULE INCONNU"))</f>
        <v/>
      </c>
      <c r="E22" s="9" t="n"/>
      <c r="F22" s="10" t="n"/>
      <c r="G22" s="10" t="n"/>
      <c r="H22" s="9" t="n"/>
      <c r="I22" s="9" t="n"/>
      <c r="J22" s="9" t="n"/>
      <c r="K22" s="46" t="n"/>
      <c r="L22" s="46" t="n"/>
      <c r="M22" s="27">
        <f>IF(OR($K22="",$L22="",$K22&lt;=0),"",$L22/$K22)</f>
        <v/>
      </c>
      <c r="N22" s="9" t="n"/>
      <c r="O22" s="10" t="n"/>
    </row>
    <row r="23" ht="15" customHeight="1">
      <c r="A23" s="12">
        <f>IF(OR($B23="",$C23=""),"","TR-"&amp;TEXT($B23,"YYYYMMDD")&amp;"-"&amp;$C23&amp;"-"&amp;TEXT(COUNTIFS($B$3:$B23,$B23,$C$3:$C23,$C23),"00"))</f>
        <v/>
      </c>
      <c r="B23" s="15" t="n"/>
      <c r="C23" s="13" t="n"/>
      <c r="D23" s="17">
        <f>IF($C23="","",IFERROR(INDEX(NomsEmployes,MATCH($C23,MatriculesEmployes,0)),"MATRICULE INCONNU"))</f>
        <v/>
      </c>
      <c r="E23" s="9" t="n"/>
      <c r="F23" s="10" t="n"/>
      <c r="G23" s="10" t="n"/>
      <c r="H23" s="9" t="n"/>
      <c r="I23" s="9" t="n"/>
      <c r="J23" s="9" t="n"/>
      <c r="K23" s="46" t="n"/>
      <c r="L23" s="46" t="n"/>
      <c r="M23" s="27">
        <f>IF(OR($K23="",$L23="",$K23&lt;=0),"",$L23/$K23)</f>
        <v/>
      </c>
      <c r="N23" s="9" t="n"/>
      <c r="O23" s="10" t="n"/>
    </row>
    <row r="24" ht="15" customHeight="1">
      <c r="A24" s="12">
        <f>IF(OR($B24="",$C24=""),"","TR-"&amp;TEXT($B24,"YYYYMMDD")&amp;"-"&amp;$C24&amp;"-"&amp;TEXT(COUNTIFS($B$3:$B24,$B24,$C$3:$C24,$C24),"00"))</f>
        <v/>
      </c>
      <c r="B24" s="15" t="n"/>
      <c r="C24" s="13" t="n"/>
      <c r="D24" s="17">
        <f>IF($C24="","",IFERROR(INDEX(NomsEmployes,MATCH($C24,MatriculesEmployes,0)),"MATRICULE INCONNU"))</f>
        <v/>
      </c>
      <c r="E24" s="9" t="n"/>
      <c r="F24" s="10" t="n"/>
      <c r="G24" s="10" t="n"/>
      <c r="H24" s="9" t="n"/>
      <c r="I24" s="9" t="n"/>
      <c r="J24" s="9" t="n"/>
      <c r="K24" s="46" t="n"/>
      <c r="L24" s="46" t="n"/>
      <c r="M24" s="27">
        <f>IF(OR($K24="",$L24="",$K24&lt;=0),"",$L24/$K24)</f>
        <v/>
      </c>
      <c r="N24" s="9" t="n"/>
      <c r="O24" s="10" t="n"/>
    </row>
    <row r="25" ht="15" customHeight="1">
      <c r="A25" s="12">
        <f>IF(OR($B25="",$C25=""),"","TR-"&amp;TEXT($B25,"YYYYMMDD")&amp;"-"&amp;$C25&amp;"-"&amp;TEXT(COUNTIFS($B$3:$B25,$B25,$C$3:$C25,$C25),"00"))</f>
        <v/>
      </c>
      <c r="B25" s="15" t="n"/>
      <c r="C25" s="13" t="n"/>
      <c r="D25" s="17">
        <f>IF($C25="","",IFERROR(INDEX(NomsEmployes,MATCH($C25,MatriculesEmployes,0)),"MATRICULE INCONNU"))</f>
        <v/>
      </c>
      <c r="E25" s="9" t="n"/>
      <c r="F25" s="10" t="n"/>
      <c r="G25" s="10" t="n"/>
      <c r="H25" s="9" t="n"/>
      <c r="I25" s="9" t="n"/>
      <c r="J25" s="9" t="n"/>
      <c r="K25" s="46" t="n"/>
      <c r="L25" s="46" t="n"/>
      <c r="M25" s="27">
        <f>IF(OR($K25="",$L25="",$K25&lt;=0),"",$L25/$K25)</f>
        <v/>
      </c>
      <c r="N25" s="9" t="n"/>
      <c r="O25" s="10" t="n"/>
    </row>
    <row r="26" ht="15" customHeight="1">
      <c r="A26" s="12">
        <f>IF(OR($B26="",$C26=""),"","TR-"&amp;TEXT($B26,"YYYYMMDD")&amp;"-"&amp;$C26&amp;"-"&amp;TEXT(COUNTIFS($B$3:$B26,$B26,$C$3:$C26,$C26),"00"))</f>
        <v/>
      </c>
      <c r="B26" s="15" t="n"/>
      <c r="C26" s="13" t="n"/>
      <c r="D26" s="17">
        <f>IF($C26="","",IFERROR(INDEX(NomsEmployes,MATCH($C26,MatriculesEmployes,0)),"MATRICULE INCONNU"))</f>
        <v/>
      </c>
      <c r="E26" s="9" t="n"/>
      <c r="F26" s="10" t="n"/>
      <c r="G26" s="10" t="n"/>
      <c r="H26" s="9" t="n"/>
      <c r="I26" s="9" t="n"/>
      <c r="J26" s="9" t="n"/>
      <c r="K26" s="46" t="n"/>
      <c r="L26" s="46" t="n"/>
      <c r="M26" s="27">
        <f>IF(OR($K26="",$L26="",$K26&lt;=0),"",$L26/$K26)</f>
        <v/>
      </c>
      <c r="N26" s="9" t="n"/>
      <c r="O26" s="10" t="n"/>
    </row>
    <row r="27" ht="15" customHeight="1">
      <c r="A27" s="12">
        <f>IF(OR($B27="",$C27=""),"","TR-"&amp;TEXT($B27,"YYYYMMDD")&amp;"-"&amp;$C27&amp;"-"&amp;TEXT(COUNTIFS($B$3:$B27,$B27,$C$3:$C27,$C27),"00"))</f>
        <v/>
      </c>
      <c r="B27" s="15" t="n"/>
      <c r="C27" s="13" t="n"/>
      <c r="D27" s="17">
        <f>IF($C27="","",IFERROR(INDEX(NomsEmployes,MATCH($C27,MatriculesEmployes,0)),"MATRICULE INCONNU"))</f>
        <v/>
      </c>
      <c r="E27" s="9" t="n"/>
      <c r="F27" s="10" t="n"/>
      <c r="G27" s="10" t="n"/>
      <c r="H27" s="9" t="n"/>
      <c r="I27" s="9" t="n"/>
      <c r="J27" s="9" t="n"/>
      <c r="K27" s="46" t="n"/>
      <c r="L27" s="46" t="n"/>
      <c r="M27" s="27">
        <f>IF(OR($K27="",$L27="",$K27&lt;=0),"",$L27/$K27)</f>
        <v/>
      </c>
      <c r="N27" s="9" t="n"/>
      <c r="O27" s="10" t="n"/>
    </row>
    <row r="28" ht="15" customHeight="1">
      <c r="A28" s="12">
        <f>IF(OR($B28="",$C28=""),"","TR-"&amp;TEXT($B28,"YYYYMMDD")&amp;"-"&amp;$C28&amp;"-"&amp;TEXT(COUNTIFS($B$3:$B28,$B28,$C$3:$C28,$C28),"00"))</f>
        <v/>
      </c>
      <c r="B28" s="15" t="n"/>
      <c r="C28" s="13" t="n"/>
      <c r="D28" s="17">
        <f>IF($C28="","",IFERROR(INDEX(NomsEmployes,MATCH($C28,MatriculesEmployes,0)),"MATRICULE INCONNU"))</f>
        <v/>
      </c>
      <c r="E28" s="9" t="n"/>
      <c r="F28" s="10" t="n"/>
      <c r="G28" s="10" t="n"/>
      <c r="H28" s="9" t="n"/>
      <c r="I28" s="9" t="n"/>
      <c r="J28" s="9" t="n"/>
      <c r="K28" s="46" t="n"/>
      <c r="L28" s="46" t="n"/>
      <c r="M28" s="27">
        <f>IF(OR($K28="",$L28="",$K28&lt;=0),"",$L28/$K28)</f>
        <v/>
      </c>
      <c r="N28" s="9" t="n"/>
      <c r="O28" s="10" t="n"/>
    </row>
    <row r="29" ht="15" customHeight="1">
      <c r="A29" s="12">
        <f>IF(OR($B29="",$C29=""),"","TR-"&amp;TEXT($B29,"YYYYMMDD")&amp;"-"&amp;$C29&amp;"-"&amp;TEXT(COUNTIFS($B$3:$B29,$B29,$C$3:$C29,$C29),"00"))</f>
        <v/>
      </c>
      <c r="B29" s="15" t="n"/>
      <c r="C29" s="13" t="n"/>
      <c r="D29" s="17">
        <f>IF($C29="","",IFERROR(INDEX(NomsEmployes,MATCH($C29,MatriculesEmployes,0)),"MATRICULE INCONNU"))</f>
        <v/>
      </c>
      <c r="E29" s="9" t="n"/>
      <c r="F29" s="10" t="n"/>
      <c r="G29" s="10" t="n"/>
      <c r="H29" s="9" t="n"/>
      <c r="I29" s="9" t="n"/>
      <c r="J29" s="9" t="n"/>
      <c r="K29" s="46" t="n"/>
      <c r="L29" s="46" t="n"/>
      <c r="M29" s="27">
        <f>IF(OR($K29="",$L29="",$K29&lt;=0),"",$L29/$K29)</f>
        <v/>
      </c>
      <c r="N29" s="9" t="n"/>
      <c r="O29" s="10" t="n"/>
    </row>
    <row r="30" ht="15" customHeight="1">
      <c r="A30" s="12">
        <f>IF(OR($B30="",$C30=""),"","TR-"&amp;TEXT($B30,"YYYYMMDD")&amp;"-"&amp;$C30&amp;"-"&amp;TEXT(COUNTIFS($B$3:$B30,$B30,$C$3:$C30,$C30),"00"))</f>
        <v/>
      </c>
      <c r="B30" s="15" t="n"/>
      <c r="C30" s="13" t="n"/>
      <c r="D30" s="17">
        <f>IF($C30="","",IFERROR(INDEX(NomsEmployes,MATCH($C30,MatriculesEmployes,0)),"MATRICULE INCONNU"))</f>
        <v/>
      </c>
      <c r="E30" s="9" t="n"/>
      <c r="F30" s="10" t="n"/>
      <c r="G30" s="10" t="n"/>
      <c r="H30" s="9" t="n"/>
      <c r="I30" s="9" t="n"/>
      <c r="J30" s="9" t="n"/>
      <c r="K30" s="46" t="n"/>
      <c r="L30" s="46" t="n"/>
      <c r="M30" s="27">
        <f>IF(OR($K30="",$L30="",$K30&lt;=0),"",$L30/$K30)</f>
        <v/>
      </c>
      <c r="N30" s="9" t="n"/>
      <c r="O30" s="10" t="n"/>
    </row>
    <row r="31" ht="15" customHeight="1">
      <c r="A31" s="12">
        <f>IF(OR($B31="",$C31=""),"","TR-"&amp;TEXT($B31,"YYYYMMDD")&amp;"-"&amp;$C31&amp;"-"&amp;TEXT(COUNTIFS($B$3:$B31,$B31,$C$3:$C31,$C31),"00"))</f>
        <v/>
      </c>
      <c r="B31" s="15" t="n"/>
      <c r="C31" s="13" t="n"/>
      <c r="D31" s="17">
        <f>IF($C31="","",IFERROR(INDEX(NomsEmployes,MATCH($C31,MatriculesEmployes,0)),"MATRICULE INCONNU"))</f>
        <v/>
      </c>
      <c r="E31" s="9" t="n"/>
      <c r="F31" s="10" t="n"/>
      <c r="G31" s="10" t="n"/>
      <c r="H31" s="9" t="n"/>
      <c r="I31" s="9" t="n"/>
      <c r="J31" s="9" t="n"/>
      <c r="K31" s="46" t="n"/>
      <c r="L31" s="46" t="n"/>
      <c r="M31" s="27">
        <f>IF(OR($K31="",$L31="",$K31&lt;=0),"",$L31/$K31)</f>
        <v/>
      </c>
      <c r="N31" s="9" t="n"/>
      <c r="O31" s="10" t="n"/>
    </row>
    <row r="32" ht="15" customHeight="1">
      <c r="A32" s="12">
        <f>IF(OR($B32="",$C32=""),"","TR-"&amp;TEXT($B32,"YYYYMMDD")&amp;"-"&amp;$C32&amp;"-"&amp;TEXT(COUNTIFS($B$3:$B32,$B32,$C$3:$C32,$C32),"00"))</f>
        <v/>
      </c>
      <c r="B32" s="15" t="n"/>
      <c r="C32" s="13" t="n"/>
      <c r="D32" s="17">
        <f>IF($C32="","",IFERROR(INDEX(NomsEmployes,MATCH($C32,MatriculesEmployes,0)),"MATRICULE INCONNU"))</f>
        <v/>
      </c>
      <c r="E32" s="9" t="n"/>
      <c r="F32" s="10" t="n"/>
      <c r="G32" s="10" t="n"/>
      <c r="H32" s="9" t="n"/>
      <c r="I32" s="9" t="n"/>
      <c r="J32" s="9" t="n"/>
      <c r="K32" s="46" t="n"/>
      <c r="L32" s="46" t="n"/>
      <c r="M32" s="27">
        <f>IF(OR($K32="",$L32="",$K32&lt;=0),"",$L32/$K32)</f>
        <v/>
      </c>
      <c r="N32" s="9" t="n"/>
      <c r="O32" s="10" t="n"/>
    </row>
    <row r="33" ht="15" customHeight="1">
      <c r="A33" s="12">
        <f>IF(OR($B33="",$C33=""),"","TR-"&amp;TEXT($B33,"YYYYMMDD")&amp;"-"&amp;$C33&amp;"-"&amp;TEXT(COUNTIFS($B$3:$B33,$B33,$C$3:$C33,$C33),"00"))</f>
        <v/>
      </c>
      <c r="B33" s="15" t="n"/>
      <c r="C33" s="13" t="n"/>
      <c r="D33" s="17">
        <f>IF($C33="","",IFERROR(INDEX(NomsEmployes,MATCH($C33,MatriculesEmployes,0)),"MATRICULE INCONNU"))</f>
        <v/>
      </c>
      <c r="E33" s="9" t="n"/>
      <c r="F33" s="10" t="n"/>
      <c r="G33" s="10" t="n"/>
      <c r="H33" s="9" t="n"/>
      <c r="I33" s="9" t="n"/>
      <c r="J33" s="9" t="n"/>
      <c r="K33" s="46" t="n"/>
      <c r="L33" s="46" t="n"/>
      <c r="M33" s="27">
        <f>IF(OR($K33="",$L33="",$K33&lt;=0),"",$L33/$K33)</f>
        <v/>
      </c>
      <c r="N33" s="9" t="n"/>
      <c r="O33" s="10" t="n"/>
    </row>
    <row r="34" ht="15" customHeight="1">
      <c r="A34" s="12">
        <f>IF(OR($B34="",$C34=""),"","TR-"&amp;TEXT($B34,"YYYYMMDD")&amp;"-"&amp;$C34&amp;"-"&amp;TEXT(COUNTIFS($B$3:$B34,$B34,$C$3:$C34,$C34),"00"))</f>
        <v/>
      </c>
      <c r="B34" s="15" t="n"/>
      <c r="C34" s="13" t="n"/>
      <c r="D34" s="17">
        <f>IF($C34="","",IFERROR(INDEX(NomsEmployes,MATCH($C34,MatriculesEmployes,0)),"MATRICULE INCONNU"))</f>
        <v/>
      </c>
      <c r="E34" s="9" t="n"/>
      <c r="F34" s="10" t="n"/>
      <c r="G34" s="10" t="n"/>
      <c r="H34" s="9" t="n"/>
      <c r="I34" s="9" t="n"/>
      <c r="J34" s="9" t="n"/>
      <c r="K34" s="46" t="n"/>
      <c r="L34" s="46" t="n"/>
      <c r="M34" s="27">
        <f>IF(OR($K34="",$L34="",$K34&lt;=0),"",$L34/$K34)</f>
        <v/>
      </c>
      <c r="N34" s="9" t="n"/>
      <c r="O34" s="10" t="n"/>
    </row>
    <row r="35" ht="15" customHeight="1">
      <c r="A35" s="12">
        <f>IF(OR($B35="",$C35=""),"","TR-"&amp;TEXT($B35,"YYYYMMDD")&amp;"-"&amp;$C35&amp;"-"&amp;TEXT(COUNTIFS($B$3:$B35,$B35,$C$3:$C35,$C35),"00"))</f>
        <v/>
      </c>
      <c r="B35" s="15" t="n"/>
      <c r="C35" s="13" t="n"/>
      <c r="D35" s="17">
        <f>IF($C35="","",IFERROR(INDEX(NomsEmployes,MATCH($C35,MatriculesEmployes,0)),"MATRICULE INCONNU"))</f>
        <v/>
      </c>
      <c r="E35" s="9" t="n"/>
      <c r="F35" s="10" t="n"/>
      <c r="G35" s="10" t="n"/>
      <c r="H35" s="9" t="n"/>
      <c r="I35" s="9" t="n"/>
      <c r="J35" s="9" t="n"/>
      <c r="K35" s="46" t="n"/>
      <c r="L35" s="46" t="n"/>
      <c r="M35" s="27">
        <f>IF(OR($K35="",$L35="",$K35&lt;=0),"",$L35/$K35)</f>
        <v/>
      </c>
      <c r="N35" s="9" t="n"/>
      <c r="O35" s="10" t="n"/>
    </row>
    <row r="36" ht="15" customHeight="1">
      <c r="A36" s="12">
        <f>IF(OR($B36="",$C36=""),"","TR-"&amp;TEXT($B36,"YYYYMMDD")&amp;"-"&amp;$C36&amp;"-"&amp;TEXT(COUNTIFS($B$3:$B36,$B36,$C$3:$C36,$C36),"00"))</f>
        <v/>
      </c>
      <c r="B36" s="15" t="n"/>
      <c r="C36" s="13" t="n"/>
      <c r="D36" s="17">
        <f>IF($C36="","",IFERROR(INDEX(NomsEmployes,MATCH($C36,MatriculesEmployes,0)),"MATRICULE INCONNU"))</f>
        <v/>
      </c>
      <c r="E36" s="9" t="n"/>
      <c r="F36" s="10" t="n"/>
      <c r="G36" s="10" t="n"/>
      <c r="H36" s="9" t="n"/>
      <c r="I36" s="9" t="n"/>
      <c r="J36" s="9" t="n"/>
      <c r="K36" s="46" t="n"/>
      <c r="L36" s="46" t="n"/>
      <c r="M36" s="27">
        <f>IF(OR($K36="",$L36="",$K36&lt;=0),"",$L36/$K36)</f>
        <v/>
      </c>
      <c r="N36" s="9" t="n"/>
      <c r="O36" s="10" t="n"/>
    </row>
    <row r="37" ht="15" customHeight="1">
      <c r="A37" s="12">
        <f>IF(OR($B37="",$C37=""),"","TR-"&amp;TEXT($B37,"YYYYMMDD")&amp;"-"&amp;$C37&amp;"-"&amp;TEXT(COUNTIFS($B$3:$B37,$B37,$C$3:$C37,$C37),"00"))</f>
        <v/>
      </c>
      <c r="B37" s="15" t="n"/>
      <c r="C37" s="13" t="n"/>
      <c r="D37" s="17">
        <f>IF($C37="","",IFERROR(INDEX(NomsEmployes,MATCH($C37,MatriculesEmployes,0)),"MATRICULE INCONNU"))</f>
        <v/>
      </c>
      <c r="E37" s="9" t="n"/>
      <c r="F37" s="10" t="n"/>
      <c r="G37" s="10" t="n"/>
      <c r="H37" s="9" t="n"/>
      <c r="I37" s="9" t="n"/>
      <c r="J37" s="9" t="n"/>
      <c r="K37" s="46" t="n"/>
      <c r="L37" s="46" t="n"/>
      <c r="M37" s="27">
        <f>IF(OR($K37="",$L37="",$K37&lt;=0),"",$L37/$K37)</f>
        <v/>
      </c>
      <c r="N37" s="9" t="n"/>
      <c r="O37" s="10" t="n"/>
    </row>
    <row r="38" ht="15" customHeight="1">
      <c r="A38" s="12">
        <f>IF(OR($B38="",$C38=""),"","TR-"&amp;TEXT($B38,"YYYYMMDD")&amp;"-"&amp;$C38&amp;"-"&amp;TEXT(COUNTIFS($B$3:$B38,$B38,$C$3:$C38,$C38),"00"))</f>
        <v/>
      </c>
      <c r="B38" s="15" t="n"/>
      <c r="C38" s="13" t="n"/>
      <c r="D38" s="17">
        <f>IF($C38="","",IFERROR(INDEX(NomsEmployes,MATCH($C38,MatriculesEmployes,0)),"MATRICULE INCONNU"))</f>
        <v/>
      </c>
      <c r="E38" s="9" t="n"/>
      <c r="F38" s="10" t="n"/>
      <c r="G38" s="10" t="n"/>
      <c r="H38" s="9" t="n"/>
      <c r="I38" s="9" t="n"/>
      <c r="J38" s="9" t="n"/>
      <c r="K38" s="46" t="n"/>
      <c r="L38" s="46" t="n"/>
      <c r="M38" s="27">
        <f>IF(OR($K38="",$L38="",$K38&lt;=0),"",$L38/$K38)</f>
        <v/>
      </c>
      <c r="N38" s="9" t="n"/>
      <c r="O38" s="10" t="n"/>
    </row>
    <row r="39" ht="15" customHeight="1">
      <c r="A39" s="12">
        <f>IF(OR($B39="",$C39=""),"","TR-"&amp;TEXT($B39,"YYYYMMDD")&amp;"-"&amp;$C39&amp;"-"&amp;TEXT(COUNTIFS($B$3:$B39,$B39,$C$3:$C39,$C39),"00"))</f>
        <v/>
      </c>
      <c r="B39" s="15" t="n"/>
      <c r="C39" s="13" t="n"/>
      <c r="D39" s="17">
        <f>IF($C39="","",IFERROR(INDEX(NomsEmployes,MATCH($C39,MatriculesEmployes,0)),"MATRICULE INCONNU"))</f>
        <v/>
      </c>
      <c r="E39" s="9" t="n"/>
      <c r="F39" s="10" t="n"/>
      <c r="G39" s="10" t="n"/>
      <c r="H39" s="9" t="n"/>
      <c r="I39" s="9" t="n"/>
      <c r="J39" s="9" t="n"/>
      <c r="K39" s="46" t="n"/>
      <c r="L39" s="46" t="n"/>
      <c r="M39" s="27">
        <f>IF(OR($K39="",$L39="",$K39&lt;=0),"",$L39/$K39)</f>
        <v/>
      </c>
      <c r="N39" s="9" t="n"/>
      <c r="O39" s="10" t="n"/>
    </row>
    <row r="40" ht="15" customHeight="1">
      <c r="A40" s="12">
        <f>IF(OR($B40="",$C40=""),"","TR-"&amp;TEXT($B40,"YYYYMMDD")&amp;"-"&amp;$C40&amp;"-"&amp;TEXT(COUNTIFS($B$3:$B40,$B40,$C$3:$C40,$C40),"00"))</f>
        <v/>
      </c>
      <c r="B40" s="15" t="n"/>
      <c r="C40" s="13" t="n"/>
      <c r="D40" s="17">
        <f>IF($C40="","",IFERROR(INDEX(NomsEmployes,MATCH($C40,MatriculesEmployes,0)),"MATRICULE INCONNU"))</f>
        <v/>
      </c>
      <c r="E40" s="9" t="n"/>
      <c r="F40" s="10" t="n"/>
      <c r="G40" s="10" t="n"/>
      <c r="H40" s="9" t="n"/>
      <c r="I40" s="9" t="n"/>
      <c r="J40" s="9" t="n"/>
      <c r="K40" s="46" t="n"/>
      <c r="L40" s="46" t="n"/>
      <c r="M40" s="27">
        <f>IF(OR($K40="",$L40="",$K40&lt;=0),"",$L40/$K40)</f>
        <v/>
      </c>
      <c r="N40" s="9" t="n"/>
      <c r="O40" s="10" t="n"/>
    </row>
    <row r="41" ht="15" customHeight="1">
      <c r="A41" s="12">
        <f>IF(OR($B41="",$C41=""),"","TR-"&amp;TEXT($B41,"YYYYMMDD")&amp;"-"&amp;$C41&amp;"-"&amp;TEXT(COUNTIFS($B$3:$B41,$B41,$C$3:$C41,$C41),"00"))</f>
        <v/>
      </c>
      <c r="B41" s="15" t="n"/>
      <c r="C41" s="13" t="n"/>
      <c r="D41" s="17">
        <f>IF($C41="","",IFERROR(INDEX(NomsEmployes,MATCH($C41,MatriculesEmployes,0)),"MATRICULE INCONNU"))</f>
        <v/>
      </c>
      <c r="E41" s="9" t="n"/>
      <c r="F41" s="10" t="n"/>
      <c r="G41" s="10" t="n"/>
      <c r="H41" s="9" t="n"/>
      <c r="I41" s="9" t="n"/>
      <c r="J41" s="9" t="n"/>
      <c r="K41" s="46" t="n"/>
      <c r="L41" s="46" t="n"/>
      <c r="M41" s="27">
        <f>IF(OR($K41="",$L41="",$K41&lt;=0),"",$L41/$K41)</f>
        <v/>
      </c>
      <c r="N41" s="9" t="n"/>
      <c r="O41" s="10" t="n"/>
    </row>
    <row r="42" ht="15" customHeight="1">
      <c r="A42" s="12">
        <f>IF(OR($B42="",$C42=""),"","TR-"&amp;TEXT($B42,"YYYYMMDD")&amp;"-"&amp;$C42&amp;"-"&amp;TEXT(COUNTIFS($B$3:$B42,$B42,$C$3:$C42,$C42),"00"))</f>
        <v/>
      </c>
      <c r="B42" s="15" t="n"/>
      <c r="C42" s="13" t="n"/>
      <c r="D42" s="17">
        <f>IF($C42="","",IFERROR(INDEX(NomsEmployes,MATCH($C42,MatriculesEmployes,0)),"MATRICULE INCONNU"))</f>
        <v/>
      </c>
      <c r="E42" s="9" t="n"/>
      <c r="F42" s="10" t="n"/>
      <c r="G42" s="10" t="n"/>
      <c r="H42" s="9" t="n"/>
      <c r="I42" s="9" t="n"/>
      <c r="J42" s="9" t="n"/>
      <c r="K42" s="46" t="n"/>
      <c r="L42" s="46" t="n"/>
      <c r="M42" s="27">
        <f>IF(OR($K42="",$L42="",$K42&lt;=0),"",$L42/$K42)</f>
        <v/>
      </c>
      <c r="N42" s="9" t="n"/>
      <c r="O42" s="10" t="n"/>
    </row>
    <row r="43" ht="15" customHeight="1">
      <c r="A43" s="12">
        <f>IF(OR($B43="",$C43=""),"","TR-"&amp;TEXT($B43,"YYYYMMDD")&amp;"-"&amp;$C43&amp;"-"&amp;TEXT(COUNTIFS($B$3:$B43,$B43,$C$3:$C43,$C43),"00"))</f>
        <v/>
      </c>
      <c r="B43" s="15" t="n"/>
      <c r="C43" s="13" t="n"/>
      <c r="D43" s="17">
        <f>IF($C43="","",IFERROR(INDEX(NomsEmployes,MATCH($C43,MatriculesEmployes,0)),"MATRICULE INCONNU"))</f>
        <v/>
      </c>
      <c r="E43" s="9" t="n"/>
      <c r="F43" s="10" t="n"/>
      <c r="G43" s="10" t="n"/>
      <c r="H43" s="9" t="n"/>
      <c r="I43" s="9" t="n"/>
      <c r="J43" s="9" t="n"/>
      <c r="K43" s="46" t="n"/>
      <c r="L43" s="46" t="n"/>
      <c r="M43" s="27">
        <f>IF(OR($K43="",$L43="",$K43&lt;=0),"",$L43/$K43)</f>
        <v/>
      </c>
      <c r="N43" s="9" t="n"/>
      <c r="O43" s="10" t="n"/>
    </row>
    <row r="44" ht="15" customHeight="1">
      <c r="A44" s="12">
        <f>IF(OR($B44="",$C44=""),"","TR-"&amp;TEXT($B44,"YYYYMMDD")&amp;"-"&amp;$C44&amp;"-"&amp;TEXT(COUNTIFS($B$3:$B44,$B44,$C$3:$C44,$C44),"00"))</f>
        <v/>
      </c>
      <c r="B44" s="15" t="n"/>
      <c r="C44" s="13" t="n"/>
      <c r="D44" s="17">
        <f>IF($C44="","",IFERROR(INDEX(NomsEmployes,MATCH($C44,MatriculesEmployes,0)),"MATRICULE INCONNU"))</f>
        <v/>
      </c>
      <c r="E44" s="9" t="n"/>
      <c r="F44" s="10" t="n"/>
      <c r="G44" s="10" t="n"/>
      <c r="H44" s="9" t="n"/>
      <c r="I44" s="9" t="n"/>
      <c r="J44" s="9" t="n"/>
      <c r="K44" s="46" t="n"/>
      <c r="L44" s="46" t="n"/>
      <c r="M44" s="27">
        <f>IF(OR($K44="",$L44="",$K44&lt;=0),"",$L44/$K44)</f>
        <v/>
      </c>
      <c r="N44" s="9" t="n"/>
      <c r="O44" s="10" t="n"/>
    </row>
    <row r="45" ht="15" customHeight="1">
      <c r="A45" s="12">
        <f>IF(OR($B45="",$C45=""),"","TR-"&amp;TEXT($B45,"YYYYMMDD")&amp;"-"&amp;$C45&amp;"-"&amp;TEXT(COUNTIFS($B$3:$B45,$B45,$C$3:$C45,$C45),"00"))</f>
        <v/>
      </c>
      <c r="B45" s="15" t="n"/>
      <c r="C45" s="13" t="n"/>
      <c r="D45" s="17">
        <f>IF($C45="","",IFERROR(INDEX(NomsEmployes,MATCH($C45,MatriculesEmployes,0)),"MATRICULE INCONNU"))</f>
        <v/>
      </c>
      <c r="E45" s="9" t="n"/>
      <c r="F45" s="10" t="n"/>
      <c r="G45" s="10" t="n"/>
      <c r="H45" s="9" t="n"/>
      <c r="I45" s="9" t="n"/>
      <c r="J45" s="9" t="n"/>
      <c r="K45" s="46" t="n"/>
      <c r="L45" s="46" t="n"/>
      <c r="M45" s="27">
        <f>IF(OR($K45="",$L45="",$K45&lt;=0),"",$L45/$K45)</f>
        <v/>
      </c>
      <c r="N45" s="9" t="n"/>
      <c r="O45" s="10" t="n"/>
    </row>
    <row r="46" ht="15" customHeight="1">
      <c r="A46" s="12">
        <f>IF(OR($B46="",$C46=""),"","TR-"&amp;TEXT($B46,"YYYYMMDD")&amp;"-"&amp;$C46&amp;"-"&amp;TEXT(COUNTIFS($B$3:$B46,$B46,$C$3:$C46,$C46),"00"))</f>
        <v/>
      </c>
      <c r="B46" s="15" t="n"/>
      <c r="C46" s="13" t="n"/>
      <c r="D46" s="17">
        <f>IF($C46="","",IFERROR(INDEX(NomsEmployes,MATCH($C46,MatriculesEmployes,0)),"MATRICULE INCONNU"))</f>
        <v/>
      </c>
      <c r="E46" s="9" t="n"/>
      <c r="F46" s="10" t="n"/>
      <c r="G46" s="10" t="n"/>
      <c r="H46" s="9" t="n"/>
      <c r="I46" s="9" t="n"/>
      <c r="J46" s="9" t="n"/>
      <c r="K46" s="46" t="n"/>
      <c r="L46" s="46" t="n"/>
      <c r="M46" s="27">
        <f>IF(OR($K46="",$L46="",$K46&lt;=0),"",$L46/$K46)</f>
        <v/>
      </c>
      <c r="N46" s="9" t="n"/>
      <c r="O46" s="10" t="n"/>
    </row>
    <row r="47" ht="15" customHeight="1">
      <c r="A47" s="12">
        <f>IF(OR($B47="",$C47=""),"","TR-"&amp;TEXT($B47,"YYYYMMDD")&amp;"-"&amp;$C47&amp;"-"&amp;TEXT(COUNTIFS($B$3:$B47,$B47,$C$3:$C47,$C47),"00"))</f>
        <v/>
      </c>
      <c r="B47" s="15" t="n"/>
      <c r="C47" s="13" t="n"/>
      <c r="D47" s="17">
        <f>IF($C47="","",IFERROR(INDEX(NomsEmployes,MATCH($C47,MatriculesEmployes,0)),"MATRICULE INCONNU"))</f>
        <v/>
      </c>
      <c r="E47" s="9" t="n"/>
      <c r="F47" s="10" t="n"/>
      <c r="G47" s="10" t="n"/>
      <c r="H47" s="9" t="n"/>
      <c r="I47" s="9" t="n"/>
      <c r="J47" s="9" t="n"/>
      <c r="K47" s="46" t="n"/>
      <c r="L47" s="46" t="n"/>
      <c r="M47" s="27">
        <f>IF(OR($K47="",$L47="",$K47&lt;=0),"",$L47/$K47)</f>
        <v/>
      </c>
      <c r="N47" s="9" t="n"/>
      <c r="O47" s="10" t="n"/>
    </row>
    <row r="48" ht="15" customHeight="1">
      <c r="A48" s="12">
        <f>IF(OR($B48="",$C48=""),"","TR-"&amp;TEXT($B48,"YYYYMMDD")&amp;"-"&amp;$C48&amp;"-"&amp;TEXT(COUNTIFS($B$3:$B48,$B48,$C$3:$C48,$C48),"00"))</f>
        <v/>
      </c>
      <c r="B48" s="15" t="n"/>
      <c r="C48" s="13" t="n"/>
      <c r="D48" s="17">
        <f>IF($C48="","",IFERROR(INDEX(NomsEmployes,MATCH($C48,MatriculesEmployes,0)),"MATRICULE INCONNU"))</f>
        <v/>
      </c>
      <c r="E48" s="9" t="n"/>
      <c r="F48" s="10" t="n"/>
      <c r="G48" s="10" t="n"/>
      <c r="H48" s="9" t="n"/>
      <c r="I48" s="9" t="n"/>
      <c r="J48" s="9" t="n"/>
      <c r="K48" s="46" t="n"/>
      <c r="L48" s="46" t="n"/>
      <c r="M48" s="27">
        <f>IF(OR($K48="",$L48="",$K48&lt;=0),"",$L48/$K48)</f>
        <v/>
      </c>
      <c r="N48" s="9" t="n"/>
      <c r="O48" s="10" t="n"/>
    </row>
    <row r="49" ht="15" customHeight="1">
      <c r="A49" s="12">
        <f>IF(OR($B49="",$C49=""),"","TR-"&amp;TEXT($B49,"YYYYMMDD")&amp;"-"&amp;$C49&amp;"-"&amp;TEXT(COUNTIFS($B$3:$B49,$B49,$C$3:$C49,$C49),"00"))</f>
        <v/>
      </c>
      <c r="B49" s="15" t="n"/>
      <c r="C49" s="13" t="n"/>
      <c r="D49" s="17">
        <f>IF($C49="","",IFERROR(INDEX(NomsEmployes,MATCH($C49,MatriculesEmployes,0)),"MATRICULE INCONNU"))</f>
        <v/>
      </c>
      <c r="E49" s="9" t="n"/>
      <c r="F49" s="10" t="n"/>
      <c r="G49" s="10" t="n"/>
      <c r="H49" s="9" t="n"/>
      <c r="I49" s="9" t="n"/>
      <c r="J49" s="9" t="n"/>
      <c r="K49" s="46" t="n"/>
      <c r="L49" s="46" t="n"/>
      <c r="M49" s="27">
        <f>IF(OR($K49="",$L49="",$K49&lt;=0),"",$L49/$K49)</f>
        <v/>
      </c>
      <c r="N49" s="9" t="n"/>
      <c r="O49" s="10" t="n"/>
    </row>
    <row r="50" ht="15" customHeight="1">
      <c r="A50" s="12">
        <f>IF(OR($B50="",$C50=""),"","TR-"&amp;TEXT($B50,"YYYYMMDD")&amp;"-"&amp;$C50&amp;"-"&amp;TEXT(COUNTIFS($B$3:$B50,$B50,$C$3:$C50,$C50),"00"))</f>
        <v/>
      </c>
      <c r="B50" s="15" t="n"/>
      <c r="C50" s="13" t="n"/>
      <c r="D50" s="17">
        <f>IF($C50="","",IFERROR(INDEX(NomsEmployes,MATCH($C50,MatriculesEmployes,0)),"MATRICULE INCONNU"))</f>
        <v/>
      </c>
      <c r="E50" s="9" t="n"/>
      <c r="F50" s="10" t="n"/>
      <c r="G50" s="10" t="n"/>
      <c r="H50" s="9" t="n"/>
      <c r="I50" s="9" t="n"/>
      <c r="J50" s="9" t="n"/>
      <c r="K50" s="46" t="n"/>
      <c r="L50" s="46" t="n"/>
      <c r="M50" s="27">
        <f>IF(OR($K50="",$L50="",$K50&lt;=0),"",$L50/$K50)</f>
        <v/>
      </c>
      <c r="N50" s="9" t="n"/>
      <c r="O50" s="10" t="n"/>
    </row>
    <row r="51" ht="15" customHeight="1">
      <c r="A51" s="12">
        <f>IF(OR($B51="",$C51=""),"","TR-"&amp;TEXT($B51,"YYYYMMDD")&amp;"-"&amp;$C51&amp;"-"&amp;TEXT(COUNTIFS($B$3:$B51,$B51,$C$3:$C51,$C51),"00"))</f>
        <v/>
      </c>
      <c r="B51" s="15" t="n"/>
      <c r="C51" s="13" t="n"/>
      <c r="D51" s="17">
        <f>IF($C51="","",IFERROR(INDEX(NomsEmployes,MATCH($C51,MatriculesEmployes,0)),"MATRICULE INCONNU"))</f>
        <v/>
      </c>
      <c r="E51" s="9" t="n"/>
      <c r="F51" s="10" t="n"/>
      <c r="G51" s="10" t="n"/>
      <c r="H51" s="9" t="n"/>
      <c r="I51" s="9" t="n"/>
      <c r="J51" s="9" t="n"/>
      <c r="K51" s="46" t="n"/>
      <c r="L51" s="46" t="n"/>
      <c r="M51" s="27">
        <f>IF(OR($K51="",$L51="",$K51&lt;=0),"",$L51/$K51)</f>
        <v/>
      </c>
      <c r="N51" s="9" t="n"/>
      <c r="O51" s="10" t="n"/>
    </row>
    <row r="52" ht="15" customHeight="1">
      <c r="A52" s="12">
        <f>IF(OR($B52="",$C52=""),"","TR-"&amp;TEXT($B52,"YYYYMMDD")&amp;"-"&amp;$C52&amp;"-"&amp;TEXT(COUNTIFS($B$3:$B52,$B52,$C$3:$C52,$C52),"00"))</f>
        <v/>
      </c>
      <c r="B52" s="15" t="n"/>
      <c r="C52" s="13" t="n"/>
      <c r="D52" s="17">
        <f>IF($C52="","",IFERROR(INDEX(NomsEmployes,MATCH($C52,MatriculesEmployes,0)),"MATRICULE INCONNU"))</f>
        <v/>
      </c>
      <c r="E52" s="9" t="n"/>
      <c r="F52" s="10" t="n"/>
      <c r="G52" s="10" t="n"/>
      <c r="H52" s="9" t="n"/>
      <c r="I52" s="9" t="n"/>
      <c r="J52" s="9" t="n"/>
      <c r="K52" s="46" t="n"/>
      <c r="L52" s="46" t="n"/>
      <c r="M52" s="27">
        <f>IF(OR($K52="",$L52="",$K52&lt;=0),"",$L52/$K52)</f>
        <v/>
      </c>
      <c r="N52" s="9" t="n"/>
      <c r="O52" s="10" t="n"/>
    </row>
    <row r="53" ht="15" customHeight="1">
      <c r="A53" s="12">
        <f>IF(OR($B53="",$C53=""),"","TR-"&amp;TEXT($B53,"YYYYMMDD")&amp;"-"&amp;$C53&amp;"-"&amp;TEXT(COUNTIFS($B$3:$B53,$B53,$C$3:$C53,$C53),"00"))</f>
        <v/>
      </c>
      <c r="B53" s="15" t="n"/>
      <c r="C53" s="13" t="n"/>
      <c r="D53" s="17">
        <f>IF($C53="","",IFERROR(INDEX(NomsEmployes,MATCH($C53,MatriculesEmployes,0)),"MATRICULE INCONNU"))</f>
        <v/>
      </c>
      <c r="E53" s="9" t="n"/>
      <c r="F53" s="10" t="n"/>
      <c r="G53" s="10" t="n"/>
      <c r="H53" s="9" t="n"/>
      <c r="I53" s="9" t="n"/>
      <c r="J53" s="9" t="n"/>
      <c r="K53" s="46" t="n"/>
      <c r="L53" s="46" t="n"/>
      <c r="M53" s="27">
        <f>IF(OR($K53="",$L53="",$K53&lt;=0),"",$L53/$K53)</f>
        <v/>
      </c>
      <c r="N53" s="9" t="n"/>
      <c r="O53" s="10" t="n"/>
    </row>
    <row r="54" ht="15" customHeight="1">
      <c r="A54" s="12">
        <f>IF(OR($B54="",$C54=""),"","TR-"&amp;TEXT($B54,"YYYYMMDD")&amp;"-"&amp;$C54&amp;"-"&amp;TEXT(COUNTIFS($B$3:$B54,$B54,$C$3:$C54,$C54),"00"))</f>
        <v/>
      </c>
      <c r="B54" s="15" t="n"/>
      <c r="C54" s="13" t="n"/>
      <c r="D54" s="17">
        <f>IF($C54="","",IFERROR(INDEX(NomsEmployes,MATCH($C54,MatriculesEmployes,0)),"MATRICULE INCONNU"))</f>
        <v/>
      </c>
      <c r="E54" s="9" t="n"/>
      <c r="F54" s="10" t="n"/>
      <c r="G54" s="10" t="n"/>
      <c r="H54" s="9" t="n"/>
      <c r="I54" s="9" t="n"/>
      <c r="J54" s="9" t="n"/>
      <c r="K54" s="46" t="n"/>
      <c r="L54" s="46" t="n"/>
      <c r="M54" s="27">
        <f>IF(OR($K54="",$L54="",$K54&lt;=0),"",$L54/$K54)</f>
        <v/>
      </c>
      <c r="N54" s="9" t="n"/>
      <c r="O54" s="10" t="n"/>
    </row>
    <row r="55" ht="15" customHeight="1">
      <c r="A55" s="12">
        <f>IF(OR($B55="",$C55=""),"","TR-"&amp;TEXT($B55,"YYYYMMDD")&amp;"-"&amp;$C55&amp;"-"&amp;TEXT(COUNTIFS($B$3:$B55,$B55,$C$3:$C55,$C55),"00"))</f>
        <v/>
      </c>
      <c r="B55" s="15" t="n"/>
      <c r="C55" s="13" t="n"/>
      <c r="D55" s="17">
        <f>IF($C55="","",IFERROR(INDEX(NomsEmployes,MATCH($C55,MatriculesEmployes,0)),"MATRICULE INCONNU"))</f>
        <v/>
      </c>
      <c r="E55" s="9" t="n"/>
      <c r="F55" s="10" t="n"/>
      <c r="G55" s="10" t="n"/>
      <c r="H55" s="9" t="n"/>
      <c r="I55" s="9" t="n"/>
      <c r="J55" s="9" t="n"/>
      <c r="K55" s="46" t="n"/>
      <c r="L55" s="46" t="n"/>
      <c r="M55" s="27">
        <f>IF(OR($K55="",$L55="",$K55&lt;=0),"",$L55/$K55)</f>
        <v/>
      </c>
      <c r="N55" s="9" t="n"/>
      <c r="O55" s="10" t="n"/>
    </row>
    <row r="56" ht="15" customHeight="1">
      <c r="A56" s="12">
        <f>IF(OR($B56="",$C56=""),"","TR-"&amp;TEXT($B56,"YYYYMMDD")&amp;"-"&amp;$C56&amp;"-"&amp;TEXT(COUNTIFS($B$3:$B56,$B56,$C$3:$C56,$C56),"00"))</f>
        <v/>
      </c>
      <c r="B56" s="15" t="n"/>
      <c r="C56" s="13" t="n"/>
      <c r="D56" s="17">
        <f>IF($C56="","",IFERROR(INDEX(NomsEmployes,MATCH($C56,MatriculesEmployes,0)),"MATRICULE INCONNU"))</f>
        <v/>
      </c>
      <c r="E56" s="9" t="n"/>
      <c r="F56" s="10" t="n"/>
      <c r="G56" s="10" t="n"/>
      <c r="H56" s="9" t="n"/>
      <c r="I56" s="9" t="n"/>
      <c r="J56" s="9" t="n"/>
      <c r="K56" s="46" t="n"/>
      <c r="L56" s="46" t="n"/>
      <c r="M56" s="27">
        <f>IF(OR($K56="",$L56="",$K56&lt;=0),"",$L56/$K56)</f>
        <v/>
      </c>
      <c r="N56" s="9" t="n"/>
      <c r="O56" s="10" t="n"/>
    </row>
    <row r="57" ht="15" customHeight="1">
      <c r="A57" s="12">
        <f>IF(OR($B57="",$C57=""),"","TR-"&amp;TEXT($B57,"YYYYMMDD")&amp;"-"&amp;$C57&amp;"-"&amp;TEXT(COUNTIFS($B$3:$B57,$B57,$C$3:$C57,$C57),"00"))</f>
        <v/>
      </c>
      <c r="B57" s="15" t="n"/>
      <c r="C57" s="13" t="n"/>
      <c r="D57" s="17">
        <f>IF($C57="","",IFERROR(INDEX(NomsEmployes,MATCH($C57,MatriculesEmployes,0)),"MATRICULE INCONNU"))</f>
        <v/>
      </c>
      <c r="E57" s="9" t="n"/>
      <c r="F57" s="10" t="n"/>
      <c r="G57" s="10" t="n"/>
      <c r="H57" s="9" t="n"/>
      <c r="I57" s="9" t="n"/>
      <c r="J57" s="9" t="n"/>
      <c r="K57" s="46" t="n"/>
      <c r="L57" s="46" t="n"/>
      <c r="M57" s="27">
        <f>IF(OR($K57="",$L57="",$K57&lt;=0),"",$L57/$K57)</f>
        <v/>
      </c>
      <c r="N57" s="9" t="n"/>
      <c r="O57" s="10" t="n"/>
    </row>
    <row r="58" ht="15" customHeight="1">
      <c r="A58" s="12">
        <f>IF(OR($B58="",$C58=""),"","TR-"&amp;TEXT($B58,"YYYYMMDD")&amp;"-"&amp;$C58&amp;"-"&amp;TEXT(COUNTIFS($B$3:$B58,$B58,$C$3:$C58,$C58),"00"))</f>
        <v/>
      </c>
      <c r="B58" s="15" t="n"/>
      <c r="C58" s="13" t="n"/>
      <c r="D58" s="17">
        <f>IF($C58="","",IFERROR(INDEX(NomsEmployes,MATCH($C58,MatriculesEmployes,0)),"MATRICULE INCONNU"))</f>
        <v/>
      </c>
      <c r="E58" s="9" t="n"/>
      <c r="F58" s="10" t="n"/>
      <c r="G58" s="10" t="n"/>
      <c r="H58" s="9" t="n"/>
      <c r="I58" s="9" t="n"/>
      <c r="J58" s="9" t="n"/>
      <c r="K58" s="46" t="n"/>
      <c r="L58" s="46" t="n"/>
      <c r="M58" s="27">
        <f>IF(OR($K58="",$L58="",$K58&lt;=0),"",$L58/$K58)</f>
        <v/>
      </c>
      <c r="N58" s="9" t="n"/>
      <c r="O58" s="10" t="n"/>
    </row>
    <row r="59" ht="15" customHeight="1">
      <c r="A59" s="12">
        <f>IF(OR($B59="",$C59=""),"","TR-"&amp;TEXT($B59,"YYYYMMDD")&amp;"-"&amp;$C59&amp;"-"&amp;TEXT(COUNTIFS($B$3:$B59,$B59,$C$3:$C59,$C59),"00"))</f>
        <v/>
      </c>
      <c r="B59" s="15" t="n"/>
      <c r="C59" s="13" t="n"/>
      <c r="D59" s="17">
        <f>IF($C59="","",IFERROR(INDEX(NomsEmployes,MATCH($C59,MatriculesEmployes,0)),"MATRICULE INCONNU"))</f>
        <v/>
      </c>
      <c r="E59" s="9" t="n"/>
      <c r="F59" s="10" t="n"/>
      <c r="G59" s="10" t="n"/>
      <c r="H59" s="9" t="n"/>
      <c r="I59" s="9" t="n"/>
      <c r="J59" s="9" t="n"/>
      <c r="K59" s="46" t="n"/>
      <c r="L59" s="46" t="n"/>
      <c r="M59" s="27">
        <f>IF(OR($K59="",$L59="",$K59&lt;=0),"",$L59/$K59)</f>
        <v/>
      </c>
      <c r="N59" s="9" t="n"/>
      <c r="O59" s="10" t="n"/>
    </row>
    <row r="60" ht="15" customHeight="1">
      <c r="A60" s="12">
        <f>IF(OR($B60="",$C60=""),"","TR-"&amp;TEXT($B60,"YYYYMMDD")&amp;"-"&amp;$C60&amp;"-"&amp;TEXT(COUNTIFS($B$3:$B60,$B60,$C$3:$C60,$C60),"00"))</f>
        <v/>
      </c>
      <c r="B60" s="15" t="n"/>
      <c r="C60" s="13" t="n"/>
      <c r="D60" s="17">
        <f>IF($C60="","",IFERROR(INDEX(NomsEmployes,MATCH($C60,MatriculesEmployes,0)),"MATRICULE INCONNU"))</f>
        <v/>
      </c>
      <c r="E60" s="9" t="n"/>
      <c r="F60" s="10" t="n"/>
      <c r="G60" s="10" t="n"/>
      <c r="H60" s="9" t="n"/>
      <c r="I60" s="9" t="n"/>
      <c r="J60" s="9" t="n"/>
      <c r="K60" s="46" t="n"/>
      <c r="L60" s="46" t="n"/>
      <c r="M60" s="27">
        <f>IF(OR($K60="",$L60="",$K60&lt;=0),"",$L60/$K60)</f>
        <v/>
      </c>
      <c r="N60" s="9" t="n"/>
      <c r="O60" s="10" t="n"/>
    </row>
    <row r="61" ht="15" customHeight="1">
      <c r="A61" s="12">
        <f>IF(OR($B61="",$C61=""),"","TR-"&amp;TEXT($B61,"YYYYMMDD")&amp;"-"&amp;$C61&amp;"-"&amp;TEXT(COUNTIFS($B$3:$B61,$B61,$C$3:$C61,$C61),"00"))</f>
        <v/>
      </c>
      <c r="B61" s="15" t="n"/>
      <c r="C61" s="13" t="n"/>
      <c r="D61" s="17">
        <f>IF($C61="","",IFERROR(INDEX(NomsEmployes,MATCH($C61,MatriculesEmployes,0)),"MATRICULE INCONNU"))</f>
        <v/>
      </c>
      <c r="E61" s="9" t="n"/>
      <c r="F61" s="10" t="n"/>
      <c r="G61" s="10" t="n"/>
      <c r="H61" s="9" t="n"/>
      <c r="I61" s="9" t="n"/>
      <c r="J61" s="9" t="n"/>
      <c r="K61" s="46" t="n"/>
      <c r="L61" s="46" t="n"/>
      <c r="M61" s="27">
        <f>IF(OR($K61="",$L61="",$K61&lt;=0),"",$L61/$K61)</f>
        <v/>
      </c>
      <c r="N61" s="9" t="n"/>
      <c r="O61" s="10" t="n"/>
    </row>
    <row r="62" ht="15" customHeight="1">
      <c r="A62" s="12">
        <f>IF(OR($B62="",$C62=""),"","TR-"&amp;TEXT($B62,"YYYYMMDD")&amp;"-"&amp;$C62&amp;"-"&amp;TEXT(COUNTIFS($B$3:$B62,$B62,$C$3:$C62,$C62),"00"))</f>
        <v/>
      </c>
      <c r="B62" s="15" t="n"/>
      <c r="C62" s="13" t="n"/>
      <c r="D62" s="17">
        <f>IF($C62="","",IFERROR(INDEX(NomsEmployes,MATCH($C62,MatriculesEmployes,0)),"MATRICULE INCONNU"))</f>
        <v/>
      </c>
      <c r="E62" s="9" t="n"/>
      <c r="F62" s="10" t="n"/>
      <c r="G62" s="10" t="n"/>
      <c r="H62" s="9" t="n"/>
      <c r="I62" s="9" t="n"/>
      <c r="J62" s="9" t="n"/>
      <c r="K62" s="46" t="n"/>
      <c r="L62" s="46" t="n"/>
      <c r="M62" s="27">
        <f>IF(OR($K62="",$L62="",$K62&lt;=0),"",$L62/$K62)</f>
        <v/>
      </c>
      <c r="N62" s="9" t="n"/>
      <c r="O62" s="10" t="n"/>
    </row>
    <row r="63" ht="15" customHeight="1">
      <c r="A63" s="12">
        <f>IF(OR($B63="",$C63=""),"","TR-"&amp;TEXT($B63,"YYYYMMDD")&amp;"-"&amp;$C63&amp;"-"&amp;TEXT(COUNTIFS($B$3:$B63,$B63,$C$3:$C63,$C63),"00"))</f>
        <v/>
      </c>
      <c r="B63" s="15" t="n"/>
      <c r="C63" s="13" t="n"/>
      <c r="D63" s="17">
        <f>IF($C63="","",IFERROR(INDEX(NomsEmployes,MATCH($C63,MatriculesEmployes,0)),"MATRICULE INCONNU"))</f>
        <v/>
      </c>
      <c r="E63" s="9" t="n"/>
      <c r="F63" s="10" t="n"/>
      <c r="G63" s="10" t="n"/>
      <c r="H63" s="9" t="n"/>
      <c r="I63" s="9" t="n"/>
      <c r="J63" s="9" t="n"/>
      <c r="K63" s="46" t="n"/>
      <c r="L63" s="46" t="n"/>
      <c r="M63" s="27">
        <f>IF(OR($K63="",$L63="",$K63&lt;=0),"",$L63/$K63)</f>
        <v/>
      </c>
      <c r="N63" s="9" t="n"/>
      <c r="O63" s="10" t="n"/>
    </row>
    <row r="64" ht="15" customHeight="1">
      <c r="A64" s="12">
        <f>IF(OR($B64="",$C64=""),"","TR-"&amp;TEXT($B64,"YYYYMMDD")&amp;"-"&amp;$C64&amp;"-"&amp;TEXT(COUNTIFS($B$3:$B64,$B64,$C$3:$C64,$C64),"00"))</f>
        <v/>
      </c>
      <c r="B64" s="15" t="n"/>
      <c r="C64" s="13" t="n"/>
      <c r="D64" s="17">
        <f>IF($C64="","",IFERROR(INDEX(NomsEmployes,MATCH($C64,MatriculesEmployes,0)),"MATRICULE INCONNU"))</f>
        <v/>
      </c>
      <c r="E64" s="9" t="n"/>
      <c r="F64" s="10" t="n"/>
      <c r="G64" s="10" t="n"/>
      <c r="H64" s="9" t="n"/>
      <c r="I64" s="9" t="n"/>
      <c r="J64" s="9" t="n"/>
      <c r="K64" s="46" t="n"/>
      <c r="L64" s="46" t="n"/>
      <c r="M64" s="27">
        <f>IF(OR($K64="",$L64="",$K64&lt;=0),"",$L64/$K64)</f>
        <v/>
      </c>
      <c r="N64" s="9" t="n"/>
      <c r="O64" s="10" t="n"/>
    </row>
    <row r="65" ht="15" customHeight="1">
      <c r="A65" s="12">
        <f>IF(OR($B65="",$C65=""),"","TR-"&amp;TEXT($B65,"YYYYMMDD")&amp;"-"&amp;$C65&amp;"-"&amp;TEXT(COUNTIFS($B$3:$B65,$B65,$C$3:$C65,$C65),"00"))</f>
        <v/>
      </c>
      <c r="B65" s="15" t="n"/>
      <c r="C65" s="13" t="n"/>
      <c r="D65" s="17">
        <f>IF($C65="","",IFERROR(INDEX(NomsEmployes,MATCH($C65,MatriculesEmployes,0)),"MATRICULE INCONNU"))</f>
        <v/>
      </c>
      <c r="E65" s="9" t="n"/>
      <c r="F65" s="10" t="n"/>
      <c r="G65" s="10" t="n"/>
      <c r="H65" s="9" t="n"/>
      <c r="I65" s="9" t="n"/>
      <c r="J65" s="9" t="n"/>
      <c r="K65" s="46" t="n"/>
      <c r="L65" s="46" t="n"/>
      <c r="M65" s="27">
        <f>IF(OR($K65="",$L65="",$K65&lt;=0),"",$L65/$K65)</f>
        <v/>
      </c>
      <c r="N65" s="9" t="n"/>
      <c r="O65" s="10" t="n"/>
    </row>
    <row r="66" ht="15" customHeight="1">
      <c r="A66" s="12">
        <f>IF(OR($B66="",$C66=""),"","TR-"&amp;TEXT($B66,"YYYYMMDD")&amp;"-"&amp;$C66&amp;"-"&amp;TEXT(COUNTIFS($B$3:$B66,$B66,$C$3:$C66,$C66),"00"))</f>
        <v/>
      </c>
      <c r="B66" s="15" t="n"/>
      <c r="C66" s="13" t="n"/>
      <c r="D66" s="17">
        <f>IF($C66="","",IFERROR(INDEX(NomsEmployes,MATCH($C66,MatriculesEmployes,0)),"MATRICULE INCONNU"))</f>
        <v/>
      </c>
      <c r="E66" s="9" t="n"/>
      <c r="F66" s="10" t="n"/>
      <c r="G66" s="10" t="n"/>
      <c r="H66" s="9" t="n"/>
      <c r="I66" s="9" t="n"/>
      <c r="J66" s="9" t="n"/>
      <c r="K66" s="46" t="n"/>
      <c r="L66" s="46" t="n"/>
      <c r="M66" s="27">
        <f>IF(OR($K66="",$L66="",$K66&lt;=0),"",$L66/$K66)</f>
        <v/>
      </c>
      <c r="N66" s="9" t="n"/>
      <c r="O66" s="10" t="n"/>
    </row>
    <row r="67" ht="15" customHeight="1">
      <c r="A67" s="12">
        <f>IF(OR($B67="",$C67=""),"","TR-"&amp;TEXT($B67,"YYYYMMDD")&amp;"-"&amp;$C67&amp;"-"&amp;TEXT(COUNTIFS($B$3:$B67,$B67,$C$3:$C67,$C67),"00"))</f>
        <v/>
      </c>
      <c r="B67" s="15" t="n"/>
      <c r="C67" s="13" t="n"/>
      <c r="D67" s="17">
        <f>IF($C67="","",IFERROR(INDEX(NomsEmployes,MATCH($C67,MatriculesEmployes,0)),"MATRICULE INCONNU"))</f>
        <v/>
      </c>
      <c r="E67" s="9" t="n"/>
      <c r="F67" s="10" t="n"/>
      <c r="G67" s="10" t="n"/>
      <c r="H67" s="9" t="n"/>
      <c r="I67" s="9" t="n"/>
      <c r="J67" s="9" t="n"/>
      <c r="K67" s="46" t="n"/>
      <c r="L67" s="46" t="n"/>
      <c r="M67" s="27">
        <f>IF(OR($K67="",$L67="",$K67&lt;=0),"",$L67/$K67)</f>
        <v/>
      </c>
      <c r="N67" s="9" t="n"/>
      <c r="O67" s="10" t="n"/>
    </row>
    <row r="68" ht="15" customHeight="1">
      <c r="A68" s="12">
        <f>IF(OR($B68="",$C68=""),"","TR-"&amp;TEXT($B68,"YYYYMMDD")&amp;"-"&amp;$C68&amp;"-"&amp;TEXT(COUNTIFS($B$3:$B68,$B68,$C$3:$C68,$C68),"00"))</f>
        <v/>
      </c>
      <c r="B68" s="15" t="n"/>
      <c r="C68" s="13" t="n"/>
      <c r="D68" s="17">
        <f>IF($C68="","",IFERROR(INDEX(NomsEmployes,MATCH($C68,MatriculesEmployes,0)),"MATRICULE INCONNU"))</f>
        <v/>
      </c>
      <c r="E68" s="9" t="n"/>
      <c r="F68" s="10" t="n"/>
      <c r="G68" s="10" t="n"/>
      <c r="H68" s="9" t="n"/>
      <c r="I68" s="9" t="n"/>
      <c r="J68" s="9" t="n"/>
      <c r="K68" s="46" t="n"/>
      <c r="L68" s="46" t="n"/>
      <c r="M68" s="27">
        <f>IF(OR($K68="",$L68="",$K68&lt;=0),"",$L68/$K68)</f>
        <v/>
      </c>
      <c r="N68" s="9" t="n"/>
      <c r="O68" s="10" t="n"/>
    </row>
    <row r="69" ht="15" customHeight="1">
      <c r="A69" s="12">
        <f>IF(OR($B69="",$C69=""),"","TR-"&amp;TEXT($B69,"YYYYMMDD")&amp;"-"&amp;$C69&amp;"-"&amp;TEXT(COUNTIFS($B$3:$B69,$B69,$C$3:$C69,$C69),"00"))</f>
        <v/>
      </c>
      <c r="B69" s="15" t="n"/>
      <c r="C69" s="13" t="n"/>
      <c r="D69" s="17">
        <f>IF($C69="","",IFERROR(INDEX(NomsEmployes,MATCH($C69,MatriculesEmployes,0)),"MATRICULE INCONNU"))</f>
        <v/>
      </c>
      <c r="E69" s="9" t="n"/>
      <c r="F69" s="10" t="n"/>
      <c r="G69" s="10" t="n"/>
      <c r="H69" s="9" t="n"/>
      <c r="I69" s="9" t="n"/>
      <c r="J69" s="9" t="n"/>
      <c r="K69" s="46" t="n"/>
      <c r="L69" s="46" t="n"/>
      <c r="M69" s="27">
        <f>IF(OR($K69="",$L69="",$K69&lt;=0),"",$L69/$K69)</f>
        <v/>
      </c>
      <c r="N69" s="9" t="n"/>
      <c r="O69" s="10" t="n"/>
    </row>
    <row r="70" ht="15" customHeight="1">
      <c r="A70" s="12">
        <f>IF(OR($B70="",$C70=""),"","TR-"&amp;TEXT($B70,"YYYYMMDD")&amp;"-"&amp;$C70&amp;"-"&amp;TEXT(COUNTIFS($B$3:$B70,$B70,$C$3:$C70,$C70),"00"))</f>
        <v/>
      </c>
      <c r="B70" s="15" t="n"/>
      <c r="C70" s="13" t="n"/>
      <c r="D70" s="17">
        <f>IF($C70="","",IFERROR(INDEX(NomsEmployes,MATCH($C70,MatriculesEmployes,0)),"MATRICULE INCONNU"))</f>
        <v/>
      </c>
      <c r="E70" s="9" t="n"/>
      <c r="F70" s="10" t="n"/>
      <c r="G70" s="10" t="n"/>
      <c r="H70" s="9" t="n"/>
      <c r="I70" s="9" t="n"/>
      <c r="J70" s="9" t="n"/>
      <c r="K70" s="46" t="n"/>
      <c r="L70" s="46" t="n"/>
      <c r="M70" s="27">
        <f>IF(OR($K70="",$L70="",$K70&lt;=0),"",$L70/$K70)</f>
        <v/>
      </c>
      <c r="N70" s="9" t="n"/>
      <c r="O70" s="10" t="n"/>
    </row>
    <row r="71" ht="15" customHeight="1">
      <c r="A71" s="12">
        <f>IF(OR($B71="",$C71=""),"","TR-"&amp;TEXT($B71,"YYYYMMDD")&amp;"-"&amp;$C71&amp;"-"&amp;TEXT(COUNTIFS($B$3:$B71,$B71,$C$3:$C71,$C71),"00"))</f>
        <v/>
      </c>
      <c r="B71" s="15" t="n"/>
      <c r="C71" s="13" t="n"/>
      <c r="D71" s="17">
        <f>IF($C71="","",IFERROR(INDEX(NomsEmployes,MATCH($C71,MatriculesEmployes,0)),"MATRICULE INCONNU"))</f>
        <v/>
      </c>
      <c r="E71" s="9" t="n"/>
      <c r="F71" s="10" t="n"/>
      <c r="G71" s="10" t="n"/>
      <c r="H71" s="9" t="n"/>
      <c r="I71" s="9" t="n"/>
      <c r="J71" s="9" t="n"/>
      <c r="K71" s="46" t="n"/>
      <c r="L71" s="46" t="n"/>
      <c r="M71" s="27">
        <f>IF(OR($K71="",$L71="",$K71&lt;=0),"",$L71/$K71)</f>
        <v/>
      </c>
      <c r="N71" s="9" t="n"/>
      <c r="O71" s="10" t="n"/>
    </row>
    <row r="72" ht="15" customHeight="1">
      <c r="A72" s="12">
        <f>IF(OR($B72="",$C72=""),"","TR-"&amp;TEXT($B72,"YYYYMMDD")&amp;"-"&amp;$C72&amp;"-"&amp;TEXT(COUNTIFS($B$3:$B72,$B72,$C$3:$C72,$C72),"00"))</f>
        <v/>
      </c>
      <c r="B72" s="15" t="n"/>
      <c r="C72" s="13" t="n"/>
      <c r="D72" s="17">
        <f>IF($C72="","",IFERROR(INDEX(NomsEmployes,MATCH($C72,MatriculesEmployes,0)),"MATRICULE INCONNU"))</f>
        <v/>
      </c>
      <c r="E72" s="9" t="n"/>
      <c r="F72" s="10" t="n"/>
      <c r="G72" s="10" t="n"/>
      <c r="H72" s="9" t="n"/>
      <c r="I72" s="9" t="n"/>
      <c r="J72" s="9" t="n"/>
      <c r="K72" s="46" t="n"/>
      <c r="L72" s="46" t="n"/>
      <c r="M72" s="27">
        <f>IF(OR($K72="",$L72="",$K72&lt;=0),"",$L72/$K72)</f>
        <v/>
      </c>
      <c r="N72" s="9" t="n"/>
      <c r="O72" s="10" t="n"/>
    </row>
    <row r="73" ht="15" customHeight="1">
      <c r="A73" s="12">
        <f>IF(OR($B73="",$C73=""),"","TR-"&amp;TEXT($B73,"YYYYMMDD")&amp;"-"&amp;$C73&amp;"-"&amp;TEXT(COUNTIFS($B$3:$B73,$B73,$C$3:$C73,$C73),"00"))</f>
        <v/>
      </c>
      <c r="B73" s="15" t="n"/>
      <c r="C73" s="13" t="n"/>
      <c r="D73" s="17">
        <f>IF($C73="","",IFERROR(INDEX(NomsEmployes,MATCH($C73,MatriculesEmployes,0)),"MATRICULE INCONNU"))</f>
        <v/>
      </c>
      <c r="E73" s="9" t="n"/>
      <c r="F73" s="10" t="n"/>
      <c r="G73" s="10" t="n"/>
      <c r="H73" s="9" t="n"/>
      <c r="I73" s="9" t="n"/>
      <c r="J73" s="9" t="n"/>
      <c r="K73" s="46" t="n"/>
      <c r="L73" s="46" t="n"/>
      <c r="M73" s="27">
        <f>IF(OR($K73="",$L73="",$K73&lt;=0),"",$L73/$K73)</f>
        <v/>
      </c>
      <c r="N73" s="9" t="n"/>
      <c r="O73" s="10" t="n"/>
    </row>
    <row r="74" ht="15" customHeight="1">
      <c r="A74" s="12">
        <f>IF(OR($B74="",$C74=""),"","TR-"&amp;TEXT($B74,"YYYYMMDD")&amp;"-"&amp;$C74&amp;"-"&amp;TEXT(COUNTIFS($B$3:$B74,$B74,$C$3:$C74,$C74),"00"))</f>
        <v/>
      </c>
      <c r="B74" s="15" t="n"/>
      <c r="C74" s="13" t="n"/>
      <c r="D74" s="17">
        <f>IF($C74="","",IFERROR(INDEX(NomsEmployes,MATCH($C74,MatriculesEmployes,0)),"MATRICULE INCONNU"))</f>
        <v/>
      </c>
      <c r="E74" s="9" t="n"/>
      <c r="F74" s="10" t="n"/>
      <c r="G74" s="10" t="n"/>
      <c r="H74" s="9" t="n"/>
      <c r="I74" s="9" t="n"/>
      <c r="J74" s="9" t="n"/>
      <c r="K74" s="46" t="n"/>
      <c r="L74" s="46" t="n"/>
      <c r="M74" s="27">
        <f>IF(OR($K74="",$L74="",$K74&lt;=0),"",$L74/$K74)</f>
        <v/>
      </c>
      <c r="N74" s="9" t="n"/>
      <c r="O74" s="10" t="n"/>
    </row>
    <row r="75" ht="15" customHeight="1">
      <c r="A75" s="12">
        <f>IF(OR($B75="",$C75=""),"","TR-"&amp;TEXT($B75,"YYYYMMDD")&amp;"-"&amp;$C75&amp;"-"&amp;TEXT(COUNTIFS($B$3:$B75,$B75,$C$3:$C75,$C75),"00"))</f>
        <v/>
      </c>
      <c r="B75" s="15" t="n"/>
      <c r="C75" s="13" t="n"/>
      <c r="D75" s="17">
        <f>IF($C75="","",IFERROR(INDEX(NomsEmployes,MATCH($C75,MatriculesEmployes,0)),"MATRICULE INCONNU"))</f>
        <v/>
      </c>
      <c r="E75" s="9" t="n"/>
      <c r="F75" s="10" t="n"/>
      <c r="G75" s="10" t="n"/>
      <c r="H75" s="9" t="n"/>
      <c r="I75" s="9" t="n"/>
      <c r="J75" s="9" t="n"/>
      <c r="K75" s="46" t="n"/>
      <c r="L75" s="46" t="n"/>
      <c r="M75" s="27">
        <f>IF(OR($K75="",$L75="",$K75&lt;=0),"",$L75/$K75)</f>
        <v/>
      </c>
      <c r="N75" s="9" t="n"/>
      <c r="O75" s="10" t="n"/>
    </row>
    <row r="76" ht="15" customHeight="1">
      <c r="A76" s="12">
        <f>IF(OR($B76="",$C76=""),"","TR-"&amp;TEXT($B76,"YYYYMMDD")&amp;"-"&amp;$C76&amp;"-"&amp;TEXT(COUNTIFS($B$3:$B76,$B76,$C$3:$C76,$C76),"00"))</f>
        <v/>
      </c>
      <c r="B76" s="15" t="n"/>
      <c r="C76" s="13" t="n"/>
      <c r="D76" s="17">
        <f>IF($C76="","",IFERROR(INDEX(NomsEmployes,MATCH($C76,MatriculesEmployes,0)),"MATRICULE INCONNU"))</f>
        <v/>
      </c>
      <c r="E76" s="9" t="n"/>
      <c r="F76" s="10" t="n"/>
      <c r="G76" s="10" t="n"/>
      <c r="H76" s="9" t="n"/>
      <c r="I76" s="9" t="n"/>
      <c r="J76" s="9" t="n"/>
      <c r="K76" s="46" t="n"/>
      <c r="L76" s="46" t="n"/>
      <c r="M76" s="27">
        <f>IF(OR($K76="",$L76="",$K76&lt;=0),"",$L76/$K76)</f>
        <v/>
      </c>
      <c r="N76" s="9" t="n"/>
      <c r="O76" s="10" t="n"/>
    </row>
    <row r="77" ht="15" customHeight="1">
      <c r="A77" s="12">
        <f>IF(OR($B77="",$C77=""),"","TR-"&amp;TEXT($B77,"YYYYMMDD")&amp;"-"&amp;$C77&amp;"-"&amp;TEXT(COUNTIFS($B$3:$B77,$B77,$C$3:$C77,$C77),"00"))</f>
        <v/>
      </c>
      <c r="B77" s="15" t="n"/>
      <c r="C77" s="13" t="n"/>
      <c r="D77" s="17">
        <f>IF($C77="","",IFERROR(INDEX(NomsEmployes,MATCH($C77,MatriculesEmployes,0)),"MATRICULE INCONNU"))</f>
        <v/>
      </c>
      <c r="E77" s="9" t="n"/>
      <c r="F77" s="10" t="n"/>
      <c r="G77" s="10" t="n"/>
      <c r="H77" s="9" t="n"/>
      <c r="I77" s="9" t="n"/>
      <c r="J77" s="9" t="n"/>
      <c r="K77" s="46" t="n"/>
      <c r="L77" s="46" t="n"/>
      <c r="M77" s="27">
        <f>IF(OR($K77="",$L77="",$K77&lt;=0),"",$L77/$K77)</f>
        <v/>
      </c>
      <c r="N77" s="9" t="n"/>
      <c r="O77" s="10" t="n"/>
    </row>
    <row r="78" ht="15" customHeight="1">
      <c r="A78" s="12">
        <f>IF(OR($B78="",$C78=""),"","TR-"&amp;TEXT($B78,"YYYYMMDD")&amp;"-"&amp;$C78&amp;"-"&amp;TEXT(COUNTIFS($B$3:$B78,$B78,$C$3:$C78,$C78),"00"))</f>
        <v/>
      </c>
      <c r="B78" s="15" t="n"/>
      <c r="C78" s="13" t="n"/>
      <c r="D78" s="17">
        <f>IF($C78="","",IFERROR(INDEX(NomsEmployes,MATCH($C78,MatriculesEmployes,0)),"MATRICULE INCONNU"))</f>
        <v/>
      </c>
      <c r="E78" s="9" t="n"/>
      <c r="F78" s="10" t="n"/>
      <c r="G78" s="10" t="n"/>
      <c r="H78" s="9" t="n"/>
      <c r="I78" s="9" t="n"/>
      <c r="J78" s="9" t="n"/>
      <c r="K78" s="46" t="n"/>
      <c r="L78" s="46" t="n"/>
      <c r="M78" s="27">
        <f>IF(OR($K78="",$L78="",$K78&lt;=0),"",$L78/$K78)</f>
        <v/>
      </c>
      <c r="N78" s="9" t="n"/>
      <c r="O78" s="10" t="n"/>
    </row>
    <row r="79" ht="15" customHeight="1">
      <c r="A79" s="12">
        <f>IF(OR($B79="",$C79=""),"","TR-"&amp;TEXT($B79,"YYYYMMDD")&amp;"-"&amp;$C79&amp;"-"&amp;TEXT(COUNTIFS($B$3:$B79,$B79,$C$3:$C79,$C79),"00"))</f>
        <v/>
      </c>
      <c r="B79" s="15" t="n"/>
      <c r="C79" s="13" t="n"/>
      <c r="D79" s="17">
        <f>IF($C79="","",IFERROR(INDEX(NomsEmployes,MATCH($C79,MatriculesEmployes,0)),"MATRICULE INCONNU"))</f>
        <v/>
      </c>
      <c r="E79" s="9" t="n"/>
      <c r="F79" s="10" t="n"/>
      <c r="G79" s="10" t="n"/>
      <c r="H79" s="9" t="n"/>
      <c r="I79" s="9" t="n"/>
      <c r="J79" s="9" t="n"/>
      <c r="K79" s="46" t="n"/>
      <c r="L79" s="46" t="n"/>
      <c r="M79" s="27">
        <f>IF(OR($K79="",$L79="",$K79&lt;=0),"",$L79/$K79)</f>
        <v/>
      </c>
      <c r="N79" s="9" t="n"/>
      <c r="O79" s="10" t="n"/>
    </row>
    <row r="80" ht="15" customHeight="1">
      <c r="A80" s="12">
        <f>IF(OR($B80="",$C80=""),"","TR-"&amp;TEXT($B80,"YYYYMMDD")&amp;"-"&amp;$C80&amp;"-"&amp;TEXT(COUNTIFS($B$3:$B80,$B80,$C$3:$C80,$C80),"00"))</f>
        <v/>
      </c>
      <c r="B80" s="15" t="n"/>
      <c r="C80" s="13" t="n"/>
      <c r="D80" s="17">
        <f>IF($C80="","",IFERROR(INDEX(NomsEmployes,MATCH($C80,MatriculesEmployes,0)),"MATRICULE INCONNU"))</f>
        <v/>
      </c>
      <c r="E80" s="9" t="n"/>
      <c r="F80" s="10" t="n"/>
      <c r="G80" s="10" t="n"/>
      <c r="H80" s="9" t="n"/>
      <c r="I80" s="9" t="n"/>
      <c r="J80" s="9" t="n"/>
      <c r="K80" s="46" t="n"/>
      <c r="L80" s="46" t="n"/>
      <c r="M80" s="27">
        <f>IF(OR($K80="",$L80="",$K80&lt;=0),"",$L80/$K80)</f>
        <v/>
      </c>
      <c r="N80" s="9" t="n"/>
      <c r="O80" s="10" t="n"/>
    </row>
    <row r="81" ht="15" customHeight="1">
      <c r="A81" s="12">
        <f>IF(OR($B81="",$C81=""),"","TR-"&amp;TEXT($B81,"YYYYMMDD")&amp;"-"&amp;$C81&amp;"-"&amp;TEXT(COUNTIFS($B$3:$B81,$B81,$C$3:$C81,$C81),"00"))</f>
        <v/>
      </c>
      <c r="B81" s="15" t="n"/>
      <c r="C81" s="13" t="n"/>
      <c r="D81" s="17">
        <f>IF($C81="","",IFERROR(INDEX(NomsEmployes,MATCH($C81,MatriculesEmployes,0)),"MATRICULE INCONNU"))</f>
        <v/>
      </c>
      <c r="E81" s="9" t="n"/>
      <c r="F81" s="10" t="n"/>
      <c r="G81" s="10" t="n"/>
      <c r="H81" s="9" t="n"/>
      <c r="I81" s="9" t="n"/>
      <c r="J81" s="9" t="n"/>
      <c r="K81" s="46" t="n"/>
      <c r="L81" s="46" t="n"/>
      <c r="M81" s="27">
        <f>IF(OR($K81="",$L81="",$K81&lt;=0),"",$L81/$K81)</f>
        <v/>
      </c>
      <c r="N81" s="9" t="n"/>
      <c r="O81" s="10" t="n"/>
    </row>
    <row r="82" ht="15" customHeight="1">
      <c r="A82" s="12">
        <f>IF(OR($B82="",$C82=""),"","TR-"&amp;TEXT($B82,"YYYYMMDD")&amp;"-"&amp;$C82&amp;"-"&amp;TEXT(COUNTIFS($B$3:$B82,$B82,$C$3:$C82,$C82),"00"))</f>
        <v/>
      </c>
      <c r="B82" s="15" t="n"/>
      <c r="C82" s="13" t="n"/>
      <c r="D82" s="17">
        <f>IF($C82="","",IFERROR(INDEX(NomsEmployes,MATCH($C82,MatriculesEmployes,0)),"MATRICULE INCONNU"))</f>
        <v/>
      </c>
      <c r="E82" s="9" t="n"/>
      <c r="F82" s="10" t="n"/>
      <c r="G82" s="10" t="n"/>
      <c r="H82" s="9" t="n"/>
      <c r="I82" s="9" t="n"/>
      <c r="J82" s="9" t="n"/>
      <c r="K82" s="46" t="n"/>
      <c r="L82" s="46" t="n"/>
      <c r="M82" s="27">
        <f>IF(OR($K82="",$L82="",$K82&lt;=0),"",$L82/$K82)</f>
        <v/>
      </c>
      <c r="N82" s="9" t="n"/>
      <c r="O82" s="10" t="n"/>
    </row>
    <row r="83" ht="15" customHeight="1">
      <c r="A83" s="12">
        <f>IF(OR($B83="",$C83=""),"","TR-"&amp;TEXT($B83,"YYYYMMDD")&amp;"-"&amp;$C83&amp;"-"&amp;TEXT(COUNTIFS($B$3:$B83,$B83,$C$3:$C83,$C83),"00"))</f>
        <v/>
      </c>
      <c r="B83" s="15" t="n"/>
      <c r="C83" s="13" t="n"/>
      <c r="D83" s="17">
        <f>IF($C83="","",IFERROR(INDEX(NomsEmployes,MATCH($C83,MatriculesEmployes,0)),"MATRICULE INCONNU"))</f>
        <v/>
      </c>
      <c r="E83" s="9" t="n"/>
      <c r="F83" s="10" t="n"/>
      <c r="G83" s="10" t="n"/>
      <c r="H83" s="9" t="n"/>
      <c r="I83" s="9" t="n"/>
      <c r="J83" s="9" t="n"/>
      <c r="K83" s="46" t="n"/>
      <c r="L83" s="46" t="n"/>
      <c r="M83" s="27">
        <f>IF(OR($K83="",$L83="",$K83&lt;=0),"",$L83/$K83)</f>
        <v/>
      </c>
      <c r="N83" s="9" t="n"/>
      <c r="O83" s="10" t="n"/>
    </row>
    <row r="84" ht="15" customHeight="1">
      <c r="A84" s="12">
        <f>IF(OR($B84="",$C84=""),"","TR-"&amp;TEXT($B84,"YYYYMMDD")&amp;"-"&amp;$C84&amp;"-"&amp;TEXT(COUNTIFS($B$3:$B84,$B84,$C$3:$C84,$C84),"00"))</f>
        <v/>
      </c>
      <c r="B84" s="15" t="n"/>
      <c r="C84" s="13" t="n"/>
      <c r="D84" s="17">
        <f>IF($C84="","",IFERROR(INDEX(NomsEmployes,MATCH($C84,MatriculesEmployes,0)),"MATRICULE INCONNU"))</f>
        <v/>
      </c>
      <c r="E84" s="9" t="n"/>
      <c r="F84" s="10" t="n"/>
      <c r="G84" s="10" t="n"/>
      <c r="H84" s="9" t="n"/>
      <c r="I84" s="9" t="n"/>
      <c r="J84" s="9" t="n"/>
      <c r="K84" s="46" t="n"/>
      <c r="L84" s="46" t="n"/>
      <c r="M84" s="27">
        <f>IF(OR($K84="",$L84="",$K84&lt;=0),"",$L84/$K84)</f>
        <v/>
      </c>
      <c r="N84" s="9" t="n"/>
      <c r="O84" s="10" t="n"/>
    </row>
    <row r="85" ht="15" customHeight="1">
      <c r="A85" s="12">
        <f>IF(OR($B85="",$C85=""),"","TR-"&amp;TEXT($B85,"YYYYMMDD")&amp;"-"&amp;$C85&amp;"-"&amp;TEXT(COUNTIFS($B$3:$B85,$B85,$C$3:$C85,$C85),"00"))</f>
        <v/>
      </c>
      <c r="B85" s="15" t="n"/>
      <c r="C85" s="13" t="n"/>
      <c r="D85" s="17">
        <f>IF($C85="","",IFERROR(INDEX(NomsEmployes,MATCH($C85,MatriculesEmployes,0)),"MATRICULE INCONNU"))</f>
        <v/>
      </c>
      <c r="E85" s="9" t="n"/>
      <c r="F85" s="10" t="n"/>
      <c r="G85" s="10" t="n"/>
      <c r="H85" s="9" t="n"/>
      <c r="I85" s="9" t="n"/>
      <c r="J85" s="9" t="n"/>
      <c r="K85" s="46" t="n"/>
      <c r="L85" s="46" t="n"/>
      <c r="M85" s="27">
        <f>IF(OR($K85="",$L85="",$K85&lt;=0),"",$L85/$K85)</f>
        <v/>
      </c>
      <c r="N85" s="9" t="n"/>
      <c r="O85" s="10" t="n"/>
    </row>
    <row r="86" ht="15" customHeight="1">
      <c r="A86" s="12">
        <f>IF(OR($B86="",$C86=""),"","TR-"&amp;TEXT($B86,"YYYYMMDD")&amp;"-"&amp;$C86&amp;"-"&amp;TEXT(COUNTIFS($B$3:$B86,$B86,$C$3:$C86,$C86),"00"))</f>
        <v/>
      </c>
      <c r="B86" s="15" t="n"/>
      <c r="C86" s="13" t="n"/>
      <c r="D86" s="17">
        <f>IF($C86="","",IFERROR(INDEX(NomsEmployes,MATCH($C86,MatriculesEmployes,0)),"MATRICULE INCONNU"))</f>
        <v/>
      </c>
      <c r="E86" s="9" t="n"/>
      <c r="F86" s="10" t="n"/>
      <c r="G86" s="10" t="n"/>
      <c r="H86" s="9" t="n"/>
      <c r="I86" s="9" t="n"/>
      <c r="J86" s="9" t="n"/>
      <c r="K86" s="46" t="n"/>
      <c r="L86" s="46" t="n"/>
      <c r="M86" s="27">
        <f>IF(OR($K86="",$L86="",$K86&lt;=0),"",$L86/$K86)</f>
        <v/>
      </c>
      <c r="N86" s="9" t="n"/>
      <c r="O86" s="10" t="n"/>
    </row>
    <row r="87" ht="15" customHeight="1">
      <c r="A87" s="12">
        <f>IF(OR($B87="",$C87=""),"","TR-"&amp;TEXT($B87,"YYYYMMDD")&amp;"-"&amp;$C87&amp;"-"&amp;TEXT(COUNTIFS($B$3:$B87,$B87,$C$3:$C87,$C87),"00"))</f>
        <v/>
      </c>
      <c r="B87" s="15" t="n"/>
      <c r="C87" s="13" t="n"/>
      <c r="D87" s="17">
        <f>IF($C87="","",IFERROR(INDEX(NomsEmployes,MATCH($C87,MatriculesEmployes,0)),"MATRICULE INCONNU"))</f>
        <v/>
      </c>
      <c r="E87" s="9" t="n"/>
      <c r="F87" s="10" t="n"/>
      <c r="G87" s="10" t="n"/>
      <c r="H87" s="9" t="n"/>
      <c r="I87" s="9" t="n"/>
      <c r="J87" s="9" t="n"/>
      <c r="K87" s="46" t="n"/>
      <c r="L87" s="46" t="n"/>
      <c r="M87" s="27">
        <f>IF(OR($K87="",$L87="",$K87&lt;=0),"",$L87/$K87)</f>
        <v/>
      </c>
      <c r="N87" s="9" t="n"/>
      <c r="O87" s="10" t="n"/>
    </row>
    <row r="88" ht="15" customHeight="1">
      <c r="A88" s="12">
        <f>IF(OR($B88="",$C88=""),"","TR-"&amp;TEXT($B88,"YYYYMMDD")&amp;"-"&amp;$C88&amp;"-"&amp;TEXT(COUNTIFS($B$3:$B88,$B88,$C$3:$C88,$C88),"00"))</f>
        <v/>
      </c>
      <c r="B88" s="15" t="n"/>
      <c r="C88" s="13" t="n"/>
      <c r="D88" s="17">
        <f>IF($C88="","",IFERROR(INDEX(NomsEmployes,MATCH($C88,MatriculesEmployes,0)),"MATRICULE INCONNU"))</f>
        <v/>
      </c>
      <c r="E88" s="9" t="n"/>
      <c r="F88" s="10" t="n"/>
      <c r="G88" s="10" t="n"/>
      <c r="H88" s="9" t="n"/>
      <c r="I88" s="9" t="n"/>
      <c r="J88" s="9" t="n"/>
      <c r="K88" s="46" t="n"/>
      <c r="L88" s="46" t="n"/>
      <c r="M88" s="27">
        <f>IF(OR($K88="",$L88="",$K88&lt;=0),"",$L88/$K88)</f>
        <v/>
      </c>
      <c r="N88" s="9" t="n"/>
      <c r="O88" s="10" t="n"/>
    </row>
    <row r="89" ht="15" customHeight="1">
      <c r="A89" s="12">
        <f>IF(OR($B89="",$C89=""),"","TR-"&amp;TEXT($B89,"YYYYMMDD")&amp;"-"&amp;$C89&amp;"-"&amp;TEXT(COUNTIFS($B$3:$B89,$B89,$C$3:$C89,$C89),"00"))</f>
        <v/>
      </c>
      <c r="B89" s="15" t="n"/>
      <c r="C89" s="13" t="n"/>
      <c r="D89" s="17">
        <f>IF($C89="","",IFERROR(INDEX(NomsEmployes,MATCH($C89,MatriculesEmployes,0)),"MATRICULE INCONNU"))</f>
        <v/>
      </c>
      <c r="E89" s="9" t="n"/>
      <c r="F89" s="10" t="n"/>
      <c r="G89" s="10" t="n"/>
      <c r="H89" s="9" t="n"/>
      <c r="I89" s="9" t="n"/>
      <c r="J89" s="9" t="n"/>
      <c r="K89" s="46" t="n"/>
      <c r="L89" s="46" t="n"/>
      <c r="M89" s="27">
        <f>IF(OR($K89="",$L89="",$K89&lt;=0),"",$L89/$K89)</f>
        <v/>
      </c>
      <c r="N89" s="9" t="n"/>
      <c r="O89" s="10" t="n"/>
    </row>
    <row r="90" ht="15" customHeight="1">
      <c r="A90" s="12">
        <f>IF(OR($B90="",$C90=""),"","TR-"&amp;TEXT($B90,"YYYYMMDD")&amp;"-"&amp;$C90&amp;"-"&amp;TEXT(COUNTIFS($B$3:$B90,$B90,$C$3:$C90,$C90),"00"))</f>
        <v/>
      </c>
      <c r="B90" s="15" t="n"/>
      <c r="C90" s="13" t="n"/>
      <c r="D90" s="17">
        <f>IF($C90="","",IFERROR(INDEX(NomsEmployes,MATCH($C90,MatriculesEmployes,0)),"MATRICULE INCONNU"))</f>
        <v/>
      </c>
      <c r="E90" s="9" t="n"/>
      <c r="F90" s="10" t="n"/>
      <c r="G90" s="10" t="n"/>
      <c r="H90" s="9" t="n"/>
      <c r="I90" s="9" t="n"/>
      <c r="J90" s="9" t="n"/>
      <c r="K90" s="46" t="n"/>
      <c r="L90" s="46" t="n"/>
      <c r="M90" s="27">
        <f>IF(OR($K90="",$L90="",$K90&lt;=0),"",$L90/$K90)</f>
        <v/>
      </c>
      <c r="N90" s="9" t="n"/>
      <c r="O90" s="10" t="n"/>
    </row>
    <row r="91" ht="15" customHeight="1">
      <c r="A91" s="12">
        <f>IF(OR($B91="",$C91=""),"","TR-"&amp;TEXT($B91,"YYYYMMDD")&amp;"-"&amp;$C91&amp;"-"&amp;TEXT(COUNTIFS($B$3:$B91,$B91,$C$3:$C91,$C91),"00"))</f>
        <v/>
      </c>
      <c r="B91" s="15" t="n"/>
      <c r="C91" s="13" t="n"/>
      <c r="D91" s="17">
        <f>IF($C91="","",IFERROR(INDEX(NomsEmployes,MATCH($C91,MatriculesEmployes,0)),"MATRICULE INCONNU"))</f>
        <v/>
      </c>
      <c r="E91" s="9" t="n"/>
      <c r="F91" s="10" t="n"/>
      <c r="G91" s="10" t="n"/>
      <c r="H91" s="9" t="n"/>
      <c r="I91" s="9" t="n"/>
      <c r="J91" s="9" t="n"/>
      <c r="K91" s="46" t="n"/>
      <c r="L91" s="46" t="n"/>
      <c r="M91" s="27">
        <f>IF(OR($K91="",$L91="",$K91&lt;=0),"",$L91/$K91)</f>
        <v/>
      </c>
      <c r="N91" s="9" t="n"/>
      <c r="O91" s="10" t="n"/>
    </row>
    <row r="92" ht="15" customHeight="1">
      <c r="A92" s="12">
        <f>IF(OR($B92="",$C92=""),"","TR-"&amp;TEXT($B92,"YYYYMMDD")&amp;"-"&amp;$C92&amp;"-"&amp;TEXT(COUNTIFS($B$3:$B92,$B92,$C$3:$C92,$C92),"00"))</f>
        <v/>
      </c>
      <c r="B92" s="15" t="n"/>
      <c r="C92" s="13" t="n"/>
      <c r="D92" s="17">
        <f>IF($C92="","",IFERROR(INDEX(NomsEmployes,MATCH($C92,MatriculesEmployes,0)),"MATRICULE INCONNU"))</f>
        <v/>
      </c>
      <c r="E92" s="9" t="n"/>
      <c r="F92" s="10" t="n"/>
      <c r="G92" s="10" t="n"/>
      <c r="H92" s="9" t="n"/>
      <c r="I92" s="9" t="n"/>
      <c r="J92" s="9" t="n"/>
      <c r="K92" s="46" t="n"/>
      <c r="L92" s="46" t="n"/>
      <c r="M92" s="27">
        <f>IF(OR($K92="",$L92="",$K92&lt;=0),"",$L92/$K92)</f>
        <v/>
      </c>
      <c r="N92" s="9" t="n"/>
      <c r="O92" s="10" t="n"/>
    </row>
    <row r="93" ht="15" customHeight="1">
      <c r="A93" s="12">
        <f>IF(OR($B93="",$C93=""),"","TR-"&amp;TEXT($B93,"YYYYMMDD")&amp;"-"&amp;$C93&amp;"-"&amp;TEXT(COUNTIFS($B$3:$B93,$B93,$C$3:$C93,$C93),"00"))</f>
        <v/>
      </c>
      <c r="B93" s="15" t="n"/>
      <c r="C93" s="13" t="n"/>
      <c r="D93" s="17">
        <f>IF($C93="","",IFERROR(INDEX(NomsEmployes,MATCH($C93,MatriculesEmployes,0)),"MATRICULE INCONNU"))</f>
        <v/>
      </c>
      <c r="E93" s="9" t="n"/>
      <c r="F93" s="10" t="n"/>
      <c r="G93" s="10" t="n"/>
      <c r="H93" s="9" t="n"/>
      <c r="I93" s="9" t="n"/>
      <c r="J93" s="9" t="n"/>
      <c r="K93" s="46" t="n"/>
      <c r="L93" s="46" t="n"/>
      <c r="M93" s="27">
        <f>IF(OR($K93="",$L93="",$K93&lt;=0),"",$L93/$K93)</f>
        <v/>
      </c>
      <c r="N93" s="9" t="n"/>
      <c r="O93" s="10" t="n"/>
    </row>
    <row r="94" ht="15" customHeight="1">
      <c r="A94" s="12">
        <f>IF(OR($B94="",$C94=""),"","TR-"&amp;TEXT($B94,"YYYYMMDD")&amp;"-"&amp;$C94&amp;"-"&amp;TEXT(COUNTIFS($B$3:$B94,$B94,$C$3:$C94,$C94),"00"))</f>
        <v/>
      </c>
      <c r="B94" s="15" t="n"/>
      <c r="C94" s="13" t="n"/>
      <c r="D94" s="17">
        <f>IF($C94="","",IFERROR(INDEX(NomsEmployes,MATCH($C94,MatriculesEmployes,0)),"MATRICULE INCONNU"))</f>
        <v/>
      </c>
      <c r="E94" s="9" t="n"/>
      <c r="F94" s="10" t="n"/>
      <c r="G94" s="10" t="n"/>
      <c r="H94" s="9" t="n"/>
      <c r="I94" s="9" t="n"/>
      <c r="J94" s="9" t="n"/>
      <c r="K94" s="46" t="n"/>
      <c r="L94" s="46" t="n"/>
      <c r="M94" s="27">
        <f>IF(OR($K94="",$L94="",$K94&lt;=0),"",$L94/$K94)</f>
        <v/>
      </c>
      <c r="N94" s="9" t="n"/>
      <c r="O94" s="10" t="n"/>
    </row>
    <row r="95" ht="15" customHeight="1">
      <c r="A95" s="12">
        <f>IF(OR($B95="",$C95=""),"","TR-"&amp;TEXT($B95,"YYYYMMDD")&amp;"-"&amp;$C95&amp;"-"&amp;TEXT(COUNTIFS($B$3:$B95,$B95,$C$3:$C95,$C95),"00"))</f>
        <v/>
      </c>
      <c r="B95" s="15" t="n"/>
      <c r="C95" s="13" t="n"/>
      <c r="D95" s="17">
        <f>IF($C95="","",IFERROR(INDEX(NomsEmployes,MATCH($C95,MatriculesEmployes,0)),"MATRICULE INCONNU"))</f>
        <v/>
      </c>
      <c r="E95" s="9" t="n"/>
      <c r="F95" s="10" t="n"/>
      <c r="G95" s="10" t="n"/>
      <c r="H95" s="9" t="n"/>
      <c r="I95" s="9" t="n"/>
      <c r="J95" s="9" t="n"/>
      <c r="K95" s="46" t="n"/>
      <c r="L95" s="46" t="n"/>
      <c r="M95" s="27">
        <f>IF(OR($K95="",$L95="",$K95&lt;=0),"",$L95/$K95)</f>
        <v/>
      </c>
      <c r="N95" s="9" t="n"/>
      <c r="O95" s="10" t="n"/>
    </row>
    <row r="96" ht="15" customHeight="1">
      <c r="A96" s="12">
        <f>IF(OR($B96="",$C96=""),"","TR-"&amp;TEXT($B96,"YYYYMMDD")&amp;"-"&amp;$C96&amp;"-"&amp;TEXT(COUNTIFS($B$3:$B96,$B96,$C$3:$C96,$C96),"00"))</f>
        <v/>
      </c>
      <c r="B96" s="15" t="n"/>
      <c r="C96" s="13" t="n"/>
      <c r="D96" s="17">
        <f>IF($C96="","",IFERROR(INDEX(NomsEmployes,MATCH($C96,MatriculesEmployes,0)),"MATRICULE INCONNU"))</f>
        <v/>
      </c>
      <c r="E96" s="9" t="n"/>
      <c r="F96" s="10" t="n"/>
      <c r="G96" s="10" t="n"/>
      <c r="H96" s="9" t="n"/>
      <c r="I96" s="9" t="n"/>
      <c r="J96" s="9" t="n"/>
      <c r="K96" s="46" t="n"/>
      <c r="L96" s="46" t="n"/>
      <c r="M96" s="27">
        <f>IF(OR($K96="",$L96="",$K96&lt;=0),"",$L96/$K96)</f>
        <v/>
      </c>
      <c r="N96" s="9" t="n"/>
      <c r="O96" s="10" t="n"/>
    </row>
    <row r="97" ht="15" customHeight="1">
      <c r="A97" s="12">
        <f>IF(OR($B97="",$C97=""),"","TR-"&amp;TEXT($B97,"YYYYMMDD")&amp;"-"&amp;$C97&amp;"-"&amp;TEXT(COUNTIFS($B$3:$B97,$B97,$C$3:$C97,$C97),"00"))</f>
        <v/>
      </c>
      <c r="B97" s="15" t="n"/>
      <c r="C97" s="13" t="n"/>
      <c r="D97" s="17">
        <f>IF($C97="","",IFERROR(INDEX(NomsEmployes,MATCH($C97,MatriculesEmployes,0)),"MATRICULE INCONNU"))</f>
        <v/>
      </c>
      <c r="E97" s="9" t="n"/>
      <c r="F97" s="10" t="n"/>
      <c r="G97" s="10" t="n"/>
      <c r="H97" s="9" t="n"/>
      <c r="I97" s="9" t="n"/>
      <c r="J97" s="9" t="n"/>
      <c r="K97" s="46" t="n"/>
      <c r="L97" s="46" t="n"/>
      <c r="M97" s="27">
        <f>IF(OR($K97="",$L97="",$K97&lt;=0),"",$L97/$K97)</f>
        <v/>
      </c>
      <c r="N97" s="9" t="n"/>
      <c r="O97" s="10" t="n"/>
    </row>
    <row r="98" ht="15" customHeight="1">
      <c r="A98" s="12">
        <f>IF(OR($B98="",$C98=""),"","TR-"&amp;TEXT($B98,"YYYYMMDD")&amp;"-"&amp;$C98&amp;"-"&amp;TEXT(COUNTIFS($B$3:$B98,$B98,$C$3:$C98,$C98),"00"))</f>
        <v/>
      </c>
      <c r="B98" s="15" t="n"/>
      <c r="C98" s="13" t="n"/>
      <c r="D98" s="17">
        <f>IF($C98="","",IFERROR(INDEX(NomsEmployes,MATCH($C98,MatriculesEmployes,0)),"MATRICULE INCONNU"))</f>
        <v/>
      </c>
      <c r="E98" s="9" t="n"/>
      <c r="F98" s="10" t="n"/>
      <c r="G98" s="10" t="n"/>
      <c r="H98" s="9" t="n"/>
      <c r="I98" s="9" t="n"/>
      <c r="J98" s="9" t="n"/>
      <c r="K98" s="46" t="n"/>
      <c r="L98" s="46" t="n"/>
      <c r="M98" s="27">
        <f>IF(OR($K98="",$L98="",$K98&lt;=0),"",$L98/$K98)</f>
        <v/>
      </c>
      <c r="N98" s="9" t="n"/>
      <c r="O98" s="10" t="n"/>
    </row>
    <row r="99" ht="15" customHeight="1">
      <c r="A99" s="12">
        <f>IF(OR($B99="",$C99=""),"","TR-"&amp;TEXT($B99,"YYYYMMDD")&amp;"-"&amp;$C99&amp;"-"&amp;TEXT(COUNTIFS($B$3:$B99,$B99,$C$3:$C99,$C99),"00"))</f>
        <v/>
      </c>
      <c r="B99" s="15" t="n"/>
      <c r="C99" s="13" t="n"/>
      <c r="D99" s="17">
        <f>IF($C99="","",IFERROR(INDEX(NomsEmployes,MATCH($C99,MatriculesEmployes,0)),"MATRICULE INCONNU"))</f>
        <v/>
      </c>
      <c r="E99" s="9" t="n"/>
      <c r="F99" s="10" t="n"/>
      <c r="G99" s="10" t="n"/>
      <c r="H99" s="9" t="n"/>
      <c r="I99" s="9" t="n"/>
      <c r="J99" s="9" t="n"/>
      <c r="K99" s="46" t="n"/>
      <c r="L99" s="46" t="n"/>
      <c r="M99" s="27">
        <f>IF(OR($K99="",$L99="",$K99&lt;=0),"",$L99/$K99)</f>
        <v/>
      </c>
      <c r="N99" s="9" t="n"/>
      <c r="O99" s="10" t="n"/>
    </row>
    <row r="100" ht="15" customHeight="1">
      <c r="A100" s="12">
        <f>IF(OR($B100="",$C100=""),"","TR-"&amp;TEXT($B100,"YYYYMMDD")&amp;"-"&amp;$C100&amp;"-"&amp;TEXT(COUNTIFS($B$3:$B100,$B100,$C$3:$C100,$C100),"00"))</f>
        <v/>
      </c>
      <c r="B100" s="15" t="n"/>
      <c r="C100" s="13" t="n"/>
      <c r="D100" s="17">
        <f>IF($C100="","",IFERROR(INDEX(NomsEmployes,MATCH($C100,MatriculesEmployes,0)),"MATRICULE INCONNU"))</f>
        <v/>
      </c>
      <c r="E100" s="9" t="n"/>
      <c r="F100" s="10" t="n"/>
      <c r="G100" s="10" t="n"/>
      <c r="H100" s="9" t="n"/>
      <c r="I100" s="9" t="n"/>
      <c r="J100" s="9" t="n"/>
      <c r="K100" s="46" t="n"/>
      <c r="L100" s="46" t="n"/>
      <c r="M100" s="27">
        <f>IF(OR($K100="",$L100="",$K100&lt;=0),"",$L100/$K100)</f>
        <v/>
      </c>
      <c r="N100" s="9" t="n"/>
      <c r="O100" s="10" t="n"/>
    </row>
    <row r="101" ht="15" customHeight="1">
      <c r="A101" s="12">
        <f>IF(OR($B101="",$C101=""),"","TR-"&amp;TEXT($B101,"YYYYMMDD")&amp;"-"&amp;$C101&amp;"-"&amp;TEXT(COUNTIFS($B$3:$B101,$B101,$C$3:$C101,$C101),"00"))</f>
        <v/>
      </c>
      <c r="B101" s="15" t="n"/>
      <c r="C101" s="13" t="n"/>
      <c r="D101" s="17">
        <f>IF($C101="","",IFERROR(INDEX(NomsEmployes,MATCH($C101,MatriculesEmployes,0)),"MATRICULE INCONNU"))</f>
        <v/>
      </c>
      <c r="E101" s="9" t="n"/>
      <c r="F101" s="10" t="n"/>
      <c r="G101" s="10" t="n"/>
      <c r="H101" s="9" t="n"/>
      <c r="I101" s="9" t="n"/>
      <c r="J101" s="9" t="n"/>
      <c r="K101" s="46" t="n"/>
      <c r="L101" s="46" t="n"/>
      <c r="M101" s="27">
        <f>IF(OR($K101="",$L101="",$K101&lt;=0),"",$L101/$K101)</f>
        <v/>
      </c>
      <c r="N101" s="9" t="n"/>
      <c r="O101" s="10" t="n"/>
    </row>
    <row r="102" ht="15" customHeight="1">
      <c r="A102" s="12">
        <f>IF(OR($B102="",$C102=""),"","TR-"&amp;TEXT($B102,"YYYYMMDD")&amp;"-"&amp;$C102&amp;"-"&amp;TEXT(COUNTIFS($B$3:$B102,$B102,$C$3:$C102,$C102),"00"))</f>
        <v/>
      </c>
      <c r="B102" s="15" t="n"/>
      <c r="C102" s="13" t="n"/>
      <c r="D102" s="17">
        <f>IF($C102="","",IFERROR(INDEX(NomsEmployes,MATCH($C102,MatriculesEmployes,0)),"MATRICULE INCONNU"))</f>
        <v/>
      </c>
      <c r="E102" s="9" t="n"/>
      <c r="F102" s="10" t="n"/>
      <c r="G102" s="10" t="n"/>
      <c r="H102" s="9" t="n"/>
      <c r="I102" s="9" t="n"/>
      <c r="J102" s="9" t="n"/>
      <c r="K102" s="46" t="n"/>
      <c r="L102" s="46" t="n"/>
      <c r="M102" s="27">
        <f>IF(OR($K102="",$L102="",$K102&lt;=0),"",$L102/$K102)</f>
        <v/>
      </c>
      <c r="N102" s="9" t="n"/>
      <c r="O102" s="10" t="n"/>
    </row>
    <row r="103" ht="15" customHeight="1">
      <c r="A103" s="12">
        <f>IF(OR($B103="",$C103=""),"","TR-"&amp;TEXT($B103,"YYYYMMDD")&amp;"-"&amp;$C103&amp;"-"&amp;TEXT(COUNTIFS($B$3:$B103,$B103,$C$3:$C103,$C103),"00"))</f>
        <v/>
      </c>
      <c r="B103" s="15" t="n"/>
      <c r="C103" s="13" t="n"/>
      <c r="D103" s="17">
        <f>IF($C103="","",IFERROR(INDEX(NomsEmployes,MATCH($C103,MatriculesEmployes,0)),"MATRICULE INCONNU"))</f>
        <v/>
      </c>
      <c r="E103" s="9" t="n"/>
      <c r="F103" s="10" t="n"/>
      <c r="G103" s="10" t="n"/>
      <c r="H103" s="9" t="n"/>
      <c r="I103" s="9" t="n"/>
      <c r="J103" s="9" t="n"/>
      <c r="K103" s="46" t="n"/>
      <c r="L103" s="46" t="n"/>
      <c r="M103" s="27">
        <f>IF(OR($K103="",$L103="",$K103&lt;=0),"",$L103/$K103)</f>
        <v/>
      </c>
      <c r="N103" s="9" t="n"/>
      <c r="O103" s="10" t="n"/>
    </row>
    <row r="104" ht="15" customHeight="1">
      <c r="A104" s="12">
        <f>IF(OR($B104="",$C104=""),"","TR-"&amp;TEXT($B104,"YYYYMMDD")&amp;"-"&amp;$C104&amp;"-"&amp;TEXT(COUNTIFS($B$3:$B104,$B104,$C$3:$C104,$C104),"00"))</f>
        <v/>
      </c>
      <c r="B104" s="15" t="n"/>
      <c r="C104" s="13" t="n"/>
      <c r="D104" s="17">
        <f>IF($C104="","",IFERROR(INDEX(NomsEmployes,MATCH($C104,MatriculesEmployes,0)),"MATRICULE INCONNU"))</f>
        <v/>
      </c>
      <c r="E104" s="9" t="n"/>
      <c r="F104" s="10" t="n"/>
      <c r="G104" s="10" t="n"/>
      <c r="H104" s="9" t="n"/>
      <c r="I104" s="9" t="n"/>
      <c r="J104" s="9" t="n"/>
      <c r="K104" s="46" t="n"/>
      <c r="L104" s="46" t="n"/>
      <c r="M104" s="27">
        <f>IF(OR($K104="",$L104="",$K104&lt;=0),"",$L104/$K104)</f>
        <v/>
      </c>
      <c r="N104" s="9" t="n"/>
      <c r="O104" s="10" t="n"/>
    </row>
    <row r="105" ht="15" customHeight="1">
      <c r="A105" s="12">
        <f>IF(OR($B105="",$C105=""),"","TR-"&amp;TEXT($B105,"YYYYMMDD")&amp;"-"&amp;$C105&amp;"-"&amp;TEXT(COUNTIFS($B$3:$B105,$B105,$C$3:$C105,$C105),"00"))</f>
        <v/>
      </c>
      <c r="B105" s="15" t="n"/>
      <c r="C105" s="13" t="n"/>
      <c r="D105" s="17">
        <f>IF($C105="","",IFERROR(INDEX(NomsEmployes,MATCH($C105,MatriculesEmployes,0)),"MATRICULE INCONNU"))</f>
        <v/>
      </c>
      <c r="E105" s="9" t="n"/>
      <c r="F105" s="10" t="n"/>
      <c r="G105" s="10" t="n"/>
      <c r="H105" s="9" t="n"/>
      <c r="I105" s="9" t="n"/>
      <c r="J105" s="9" t="n"/>
      <c r="K105" s="46" t="n"/>
      <c r="L105" s="46" t="n"/>
      <c r="M105" s="27">
        <f>IF(OR($K105="",$L105="",$K105&lt;=0),"",$L105/$K105)</f>
        <v/>
      </c>
      <c r="N105" s="9" t="n"/>
      <c r="O105" s="10" t="n"/>
    </row>
    <row r="106" ht="15" customHeight="1">
      <c r="A106" s="12">
        <f>IF(OR($B106="",$C106=""),"","TR-"&amp;TEXT($B106,"YYYYMMDD")&amp;"-"&amp;$C106&amp;"-"&amp;TEXT(COUNTIFS($B$3:$B106,$B106,$C$3:$C106,$C106),"00"))</f>
        <v/>
      </c>
      <c r="B106" s="15" t="n"/>
      <c r="C106" s="13" t="n"/>
      <c r="D106" s="17">
        <f>IF($C106="","",IFERROR(INDEX(NomsEmployes,MATCH($C106,MatriculesEmployes,0)),"MATRICULE INCONNU"))</f>
        <v/>
      </c>
      <c r="E106" s="9" t="n"/>
      <c r="F106" s="10" t="n"/>
      <c r="G106" s="10" t="n"/>
      <c r="H106" s="9" t="n"/>
      <c r="I106" s="9" t="n"/>
      <c r="J106" s="9" t="n"/>
      <c r="K106" s="46" t="n"/>
      <c r="L106" s="46" t="n"/>
      <c r="M106" s="27">
        <f>IF(OR($K106="",$L106="",$K106&lt;=0),"",$L106/$K106)</f>
        <v/>
      </c>
      <c r="N106" s="9" t="n"/>
      <c r="O106" s="10" t="n"/>
    </row>
    <row r="107" ht="15" customHeight="1">
      <c r="A107" s="12">
        <f>IF(OR($B107="",$C107=""),"","TR-"&amp;TEXT($B107,"YYYYMMDD")&amp;"-"&amp;$C107&amp;"-"&amp;TEXT(COUNTIFS($B$3:$B107,$B107,$C$3:$C107,$C107),"00"))</f>
        <v/>
      </c>
      <c r="B107" s="15" t="n"/>
      <c r="C107" s="13" t="n"/>
      <c r="D107" s="17">
        <f>IF($C107="","",IFERROR(INDEX(NomsEmployes,MATCH($C107,MatriculesEmployes,0)),"MATRICULE INCONNU"))</f>
        <v/>
      </c>
      <c r="E107" s="9" t="n"/>
      <c r="F107" s="10" t="n"/>
      <c r="G107" s="10" t="n"/>
      <c r="H107" s="9" t="n"/>
      <c r="I107" s="9" t="n"/>
      <c r="J107" s="9" t="n"/>
      <c r="K107" s="46" t="n"/>
      <c r="L107" s="46" t="n"/>
      <c r="M107" s="27">
        <f>IF(OR($K107="",$L107="",$K107&lt;=0),"",$L107/$K107)</f>
        <v/>
      </c>
      <c r="N107" s="9" t="n"/>
      <c r="O107" s="10" t="n"/>
    </row>
    <row r="108" ht="15" customHeight="1">
      <c r="A108" s="12">
        <f>IF(OR($B108="",$C108=""),"","TR-"&amp;TEXT($B108,"YYYYMMDD")&amp;"-"&amp;$C108&amp;"-"&amp;TEXT(COUNTIFS($B$3:$B108,$B108,$C$3:$C108,$C108),"00"))</f>
        <v/>
      </c>
      <c r="B108" s="15" t="n"/>
      <c r="C108" s="13" t="n"/>
      <c r="D108" s="17">
        <f>IF($C108="","",IFERROR(INDEX(NomsEmployes,MATCH($C108,MatriculesEmployes,0)),"MATRICULE INCONNU"))</f>
        <v/>
      </c>
      <c r="E108" s="9" t="n"/>
      <c r="F108" s="10" t="n"/>
      <c r="G108" s="10" t="n"/>
      <c r="H108" s="9" t="n"/>
      <c r="I108" s="9" t="n"/>
      <c r="J108" s="9" t="n"/>
      <c r="K108" s="46" t="n"/>
      <c r="L108" s="46" t="n"/>
      <c r="M108" s="27">
        <f>IF(OR($K108="",$L108="",$K108&lt;=0),"",$L108/$K108)</f>
        <v/>
      </c>
      <c r="N108" s="9" t="n"/>
      <c r="O108" s="10" t="n"/>
    </row>
    <row r="109" ht="15" customHeight="1">
      <c r="A109" s="12">
        <f>IF(OR($B109="",$C109=""),"","TR-"&amp;TEXT($B109,"YYYYMMDD")&amp;"-"&amp;$C109&amp;"-"&amp;TEXT(COUNTIFS($B$3:$B109,$B109,$C$3:$C109,$C109),"00"))</f>
        <v/>
      </c>
      <c r="B109" s="15" t="n"/>
      <c r="C109" s="13" t="n"/>
      <c r="D109" s="17">
        <f>IF($C109="","",IFERROR(INDEX(NomsEmployes,MATCH($C109,MatriculesEmployes,0)),"MATRICULE INCONNU"))</f>
        <v/>
      </c>
      <c r="E109" s="9" t="n"/>
      <c r="F109" s="10" t="n"/>
      <c r="G109" s="10" t="n"/>
      <c r="H109" s="9" t="n"/>
      <c r="I109" s="9" t="n"/>
      <c r="J109" s="9" t="n"/>
      <c r="K109" s="46" t="n"/>
      <c r="L109" s="46" t="n"/>
      <c r="M109" s="27">
        <f>IF(OR($K109="",$L109="",$K109&lt;=0),"",$L109/$K109)</f>
        <v/>
      </c>
      <c r="N109" s="9" t="n"/>
      <c r="O109" s="10" t="n"/>
    </row>
    <row r="110" ht="15" customHeight="1">
      <c r="A110" s="12">
        <f>IF(OR($B110="",$C110=""),"","TR-"&amp;TEXT($B110,"YYYYMMDD")&amp;"-"&amp;$C110&amp;"-"&amp;TEXT(COUNTIFS($B$3:$B110,$B110,$C$3:$C110,$C110),"00"))</f>
        <v/>
      </c>
      <c r="B110" s="15" t="n"/>
      <c r="C110" s="13" t="n"/>
      <c r="D110" s="17">
        <f>IF($C110="","",IFERROR(INDEX(NomsEmployes,MATCH($C110,MatriculesEmployes,0)),"MATRICULE INCONNU"))</f>
        <v/>
      </c>
      <c r="E110" s="9" t="n"/>
      <c r="F110" s="10" t="n"/>
      <c r="G110" s="10" t="n"/>
      <c r="H110" s="9" t="n"/>
      <c r="I110" s="9" t="n"/>
      <c r="J110" s="9" t="n"/>
      <c r="K110" s="46" t="n"/>
      <c r="L110" s="46" t="n"/>
      <c r="M110" s="27">
        <f>IF(OR($K110="",$L110="",$K110&lt;=0),"",$L110/$K110)</f>
        <v/>
      </c>
      <c r="N110" s="9" t="n"/>
      <c r="O110" s="10" t="n"/>
    </row>
    <row r="111" ht="15" customHeight="1">
      <c r="A111" s="12">
        <f>IF(OR($B111="",$C111=""),"","TR-"&amp;TEXT($B111,"YYYYMMDD")&amp;"-"&amp;$C111&amp;"-"&amp;TEXT(COUNTIFS($B$3:$B111,$B111,$C$3:$C111,$C111),"00"))</f>
        <v/>
      </c>
      <c r="B111" s="15" t="n"/>
      <c r="C111" s="13" t="n"/>
      <c r="D111" s="17">
        <f>IF($C111="","",IFERROR(INDEX(NomsEmployes,MATCH($C111,MatriculesEmployes,0)),"MATRICULE INCONNU"))</f>
        <v/>
      </c>
      <c r="E111" s="9" t="n"/>
      <c r="F111" s="10" t="n"/>
      <c r="G111" s="10" t="n"/>
      <c r="H111" s="9" t="n"/>
      <c r="I111" s="9" t="n"/>
      <c r="J111" s="9" t="n"/>
      <c r="K111" s="46" t="n"/>
      <c r="L111" s="46" t="n"/>
      <c r="M111" s="27">
        <f>IF(OR($K111="",$L111="",$K111&lt;=0),"",$L111/$K111)</f>
        <v/>
      </c>
      <c r="N111" s="9" t="n"/>
      <c r="O111" s="10" t="n"/>
    </row>
    <row r="112" ht="15" customHeight="1">
      <c r="A112" s="12">
        <f>IF(OR($B112="",$C112=""),"","TR-"&amp;TEXT($B112,"YYYYMMDD")&amp;"-"&amp;$C112&amp;"-"&amp;TEXT(COUNTIFS($B$3:$B112,$B112,$C$3:$C112,$C112),"00"))</f>
        <v/>
      </c>
      <c r="B112" s="15" t="n"/>
      <c r="C112" s="13" t="n"/>
      <c r="D112" s="17">
        <f>IF($C112="","",IFERROR(INDEX(NomsEmployes,MATCH($C112,MatriculesEmployes,0)),"MATRICULE INCONNU"))</f>
        <v/>
      </c>
      <c r="E112" s="9" t="n"/>
      <c r="F112" s="10" t="n"/>
      <c r="G112" s="10" t="n"/>
      <c r="H112" s="9" t="n"/>
      <c r="I112" s="9" t="n"/>
      <c r="J112" s="9" t="n"/>
      <c r="K112" s="46" t="n"/>
      <c r="L112" s="46" t="n"/>
      <c r="M112" s="27">
        <f>IF(OR($K112="",$L112="",$K112&lt;=0),"",$L112/$K112)</f>
        <v/>
      </c>
      <c r="N112" s="9" t="n"/>
      <c r="O112" s="10" t="n"/>
    </row>
    <row r="113" ht="15" customHeight="1">
      <c r="A113" s="12">
        <f>IF(OR($B113="",$C113=""),"","TR-"&amp;TEXT($B113,"YYYYMMDD")&amp;"-"&amp;$C113&amp;"-"&amp;TEXT(COUNTIFS($B$3:$B113,$B113,$C$3:$C113,$C113),"00"))</f>
        <v/>
      </c>
      <c r="B113" s="15" t="n"/>
      <c r="C113" s="13" t="n"/>
      <c r="D113" s="17">
        <f>IF($C113="","",IFERROR(INDEX(NomsEmployes,MATCH($C113,MatriculesEmployes,0)),"MATRICULE INCONNU"))</f>
        <v/>
      </c>
      <c r="E113" s="9" t="n"/>
      <c r="F113" s="10" t="n"/>
      <c r="G113" s="10" t="n"/>
      <c r="H113" s="9" t="n"/>
      <c r="I113" s="9" t="n"/>
      <c r="J113" s="9" t="n"/>
      <c r="K113" s="46" t="n"/>
      <c r="L113" s="46" t="n"/>
      <c r="M113" s="27">
        <f>IF(OR($K113="",$L113="",$K113&lt;=0),"",$L113/$K113)</f>
        <v/>
      </c>
      <c r="N113" s="9" t="n"/>
      <c r="O113" s="10" t="n"/>
    </row>
    <row r="114" ht="15" customHeight="1">
      <c r="A114" s="12">
        <f>IF(OR($B114="",$C114=""),"","TR-"&amp;TEXT($B114,"YYYYMMDD")&amp;"-"&amp;$C114&amp;"-"&amp;TEXT(COUNTIFS($B$3:$B114,$B114,$C$3:$C114,$C114),"00"))</f>
        <v/>
      </c>
      <c r="B114" s="15" t="n"/>
      <c r="C114" s="13" t="n"/>
      <c r="D114" s="17">
        <f>IF($C114="","",IFERROR(INDEX(NomsEmployes,MATCH($C114,MatriculesEmployes,0)),"MATRICULE INCONNU"))</f>
        <v/>
      </c>
      <c r="E114" s="9" t="n"/>
      <c r="F114" s="10" t="n"/>
      <c r="G114" s="10" t="n"/>
      <c r="H114" s="9" t="n"/>
      <c r="I114" s="9" t="n"/>
      <c r="J114" s="9" t="n"/>
      <c r="K114" s="46" t="n"/>
      <c r="L114" s="46" t="n"/>
      <c r="M114" s="27">
        <f>IF(OR($K114="",$L114="",$K114&lt;=0),"",$L114/$K114)</f>
        <v/>
      </c>
      <c r="N114" s="9" t="n"/>
      <c r="O114" s="10" t="n"/>
    </row>
    <row r="115" ht="15" customHeight="1">
      <c r="A115" s="12">
        <f>IF(OR($B115="",$C115=""),"","TR-"&amp;TEXT($B115,"YYYYMMDD")&amp;"-"&amp;$C115&amp;"-"&amp;TEXT(COUNTIFS($B$3:$B115,$B115,$C$3:$C115,$C115),"00"))</f>
        <v/>
      </c>
      <c r="B115" s="15" t="n"/>
      <c r="C115" s="13" t="n"/>
      <c r="D115" s="17">
        <f>IF($C115="","",IFERROR(INDEX(NomsEmployes,MATCH($C115,MatriculesEmployes,0)),"MATRICULE INCONNU"))</f>
        <v/>
      </c>
      <c r="E115" s="9" t="n"/>
      <c r="F115" s="10" t="n"/>
      <c r="G115" s="10" t="n"/>
      <c r="H115" s="9" t="n"/>
      <c r="I115" s="9" t="n"/>
      <c r="J115" s="9" t="n"/>
      <c r="K115" s="46" t="n"/>
      <c r="L115" s="46" t="n"/>
      <c r="M115" s="27">
        <f>IF(OR($K115="",$L115="",$K115&lt;=0),"",$L115/$K115)</f>
        <v/>
      </c>
      <c r="N115" s="9" t="n"/>
      <c r="O115" s="10" t="n"/>
    </row>
    <row r="116" ht="15" customHeight="1">
      <c r="A116" s="12">
        <f>IF(OR($B116="",$C116=""),"","TR-"&amp;TEXT($B116,"YYYYMMDD")&amp;"-"&amp;$C116&amp;"-"&amp;TEXT(COUNTIFS($B$3:$B116,$B116,$C$3:$C116,$C116),"00"))</f>
        <v/>
      </c>
      <c r="B116" s="15" t="n"/>
      <c r="C116" s="13" t="n"/>
      <c r="D116" s="17">
        <f>IF($C116="","",IFERROR(INDEX(NomsEmployes,MATCH($C116,MatriculesEmployes,0)),"MATRICULE INCONNU"))</f>
        <v/>
      </c>
      <c r="E116" s="9" t="n"/>
      <c r="F116" s="10" t="n"/>
      <c r="G116" s="10" t="n"/>
      <c r="H116" s="9" t="n"/>
      <c r="I116" s="9" t="n"/>
      <c r="J116" s="9" t="n"/>
      <c r="K116" s="46" t="n"/>
      <c r="L116" s="46" t="n"/>
      <c r="M116" s="27">
        <f>IF(OR($K116="",$L116="",$K116&lt;=0),"",$L116/$K116)</f>
        <v/>
      </c>
      <c r="N116" s="9" t="n"/>
      <c r="O116" s="10" t="n"/>
    </row>
    <row r="117" ht="15" customHeight="1">
      <c r="A117" s="12">
        <f>IF(OR($B117="",$C117=""),"","TR-"&amp;TEXT($B117,"YYYYMMDD")&amp;"-"&amp;$C117&amp;"-"&amp;TEXT(COUNTIFS($B$3:$B117,$B117,$C$3:$C117,$C117),"00"))</f>
        <v/>
      </c>
      <c r="B117" s="15" t="n"/>
      <c r="C117" s="13" t="n"/>
      <c r="D117" s="17">
        <f>IF($C117="","",IFERROR(INDEX(NomsEmployes,MATCH($C117,MatriculesEmployes,0)),"MATRICULE INCONNU"))</f>
        <v/>
      </c>
      <c r="E117" s="9" t="n"/>
      <c r="F117" s="10" t="n"/>
      <c r="G117" s="10" t="n"/>
      <c r="H117" s="9" t="n"/>
      <c r="I117" s="9" t="n"/>
      <c r="J117" s="9" t="n"/>
      <c r="K117" s="46" t="n"/>
      <c r="L117" s="46" t="n"/>
      <c r="M117" s="27">
        <f>IF(OR($K117="",$L117="",$K117&lt;=0),"",$L117/$K117)</f>
        <v/>
      </c>
      <c r="N117" s="9" t="n"/>
      <c r="O117" s="10" t="n"/>
    </row>
    <row r="118" ht="15" customHeight="1">
      <c r="A118" s="12">
        <f>IF(OR($B118="",$C118=""),"","TR-"&amp;TEXT($B118,"YYYYMMDD")&amp;"-"&amp;$C118&amp;"-"&amp;TEXT(COUNTIFS($B$3:$B118,$B118,$C$3:$C118,$C118),"00"))</f>
        <v/>
      </c>
      <c r="B118" s="15" t="n"/>
      <c r="C118" s="13" t="n"/>
      <c r="D118" s="17">
        <f>IF($C118="","",IFERROR(INDEX(NomsEmployes,MATCH($C118,MatriculesEmployes,0)),"MATRICULE INCONNU"))</f>
        <v/>
      </c>
      <c r="E118" s="9" t="n"/>
      <c r="F118" s="10" t="n"/>
      <c r="G118" s="10" t="n"/>
      <c r="H118" s="9" t="n"/>
      <c r="I118" s="9" t="n"/>
      <c r="J118" s="9" t="n"/>
      <c r="K118" s="46" t="n"/>
      <c r="L118" s="46" t="n"/>
      <c r="M118" s="27">
        <f>IF(OR($K118="",$L118="",$K118&lt;=0),"",$L118/$K118)</f>
        <v/>
      </c>
      <c r="N118" s="9" t="n"/>
      <c r="O118" s="10" t="n"/>
    </row>
    <row r="119" ht="15" customHeight="1">
      <c r="A119" s="12">
        <f>IF(OR($B119="",$C119=""),"","TR-"&amp;TEXT($B119,"YYYYMMDD")&amp;"-"&amp;$C119&amp;"-"&amp;TEXT(COUNTIFS($B$3:$B119,$B119,$C$3:$C119,$C119),"00"))</f>
        <v/>
      </c>
      <c r="B119" s="15" t="n"/>
      <c r="C119" s="13" t="n"/>
      <c r="D119" s="17">
        <f>IF($C119="","",IFERROR(INDEX(NomsEmployes,MATCH($C119,MatriculesEmployes,0)),"MATRICULE INCONNU"))</f>
        <v/>
      </c>
      <c r="E119" s="9" t="n"/>
      <c r="F119" s="10" t="n"/>
      <c r="G119" s="10" t="n"/>
      <c r="H119" s="9" t="n"/>
      <c r="I119" s="9" t="n"/>
      <c r="J119" s="9" t="n"/>
      <c r="K119" s="46" t="n"/>
      <c r="L119" s="46" t="n"/>
      <c r="M119" s="27">
        <f>IF(OR($K119="",$L119="",$K119&lt;=0),"",$L119/$K119)</f>
        <v/>
      </c>
      <c r="N119" s="9" t="n"/>
      <c r="O119" s="10" t="n"/>
    </row>
    <row r="120" ht="15" customHeight="1">
      <c r="A120" s="12">
        <f>IF(OR($B120="",$C120=""),"","TR-"&amp;TEXT($B120,"YYYYMMDD")&amp;"-"&amp;$C120&amp;"-"&amp;TEXT(COUNTIFS($B$3:$B120,$B120,$C$3:$C120,$C120),"00"))</f>
        <v/>
      </c>
      <c r="B120" s="15" t="n"/>
      <c r="C120" s="13" t="n"/>
      <c r="D120" s="17">
        <f>IF($C120="","",IFERROR(INDEX(NomsEmployes,MATCH($C120,MatriculesEmployes,0)),"MATRICULE INCONNU"))</f>
        <v/>
      </c>
      <c r="E120" s="9" t="n"/>
      <c r="F120" s="10" t="n"/>
      <c r="G120" s="10" t="n"/>
      <c r="H120" s="9" t="n"/>
      <c r="I120" s="9" t="n"/>
      <c r="J120" s="9" t="n"/>
      <c r="K120" s="46" t="n"/>
      <c r="L120" s="46" t="n"/>
      <c r="M120" s="27">
        <f>IF(OR($K120="",$L120="",$K120&lt;=0),"",$L120/$K120)</f>
        <v/>
      </c>
      <c r="N120" s="9" t="n"/>
      <c r="O120" s="10" t="n"/>
    </row>
    <row r="121" ht="15" customHeight="1">
      <c r="A121" s="12">
        <f>IF(OR($B121="",$C121=""),"","TR-"&amp;TEXT($B121,"YYYYMMDD")&amp;"-"&amp;$C121&amp;"-"&amp;TEXT(COUNTIFS($B$3:$B121,$B121,$C$3:$C121,$C121),"00"))</f>
        <v/>
      </c>
      <c r="B121" s="15" t="n"/>
      <c r="C121" s="13" t="n"/>
      <c r="D121" s="17">
        <f>IF($C121="","",IFERROR(INDEX(NomsEmployes,MATCH($C121,MatriculesEmployes,0)),"MATRICULE INCONNU"))</f>
        <v/>
      </c>
      <c r="E121" s="9" t="n"/>
      <c r="F121" s="10" t="n"/>
      <c r="G121" s="10" t="n"/>
      <c r="H121" s="9" t="n"/>
      <c r="I121" s="9" t="n"/>
      <c r="J121" s="9" t="n"/>
      <c r="K121" s="46" t="n"/>
      <c r="L121" s="46" t="n"/>
      <c r="M121" s="27">
        <f>IF(OR($K121="",$L121="",$K121&lt;=0),"",$L121/$K121)</f>
        <v/>
      </c>
      <c r="N121" s="9" t="n"/>
      <c r="O121" s="10" t="n"/>
    </row>
    <row r="122" ht="15" customHeight="1">
      <c r="A122" s="12">
        <f>IF(OR($B122="",$C122=""),"","TR-"&amp;TEXT($B122,"YYYYMMDD")&amp;"-"&amp;$C122&amp;"-"&amp;TEXT(COUNTIFS($B$3:$B122,$B122,$C$3:$C122,$C122),"00"))</f>
        <v/>
      </c>
      <c r="B122" s="15" t="n"/>
      <c r="C122" s="13" t="n"/>
      <c r="D122" s="17">
        <f>IF($C122="","",IFERROR(INDEX(NomsEmployes,MATCH($C122,MatriculesEmployes,0)),"MATRICULE INCONNU"))</f>
        <v/>
      </c>
      <c r="E122" s="9" t="n"/>
      <c r="F122" s="10" t="n"/>
      <c r="G122" s="10" t="n"/>
      <c r="H122" s="9" t="n"/>
      <c r="I122" s="9" t="n"/>
      <c r="J122" s="9" t="n"/>
      <c r="K122" s="46" t="n"/>
      <c r="L122" s="46" t="n"/>
      <c r="M122" s="27">
        <f>IF(OR($K122="",$L122="",$K122&lt;=0),"",$L122/$K122)</f>
        <v/>
      </c>
      <c r="N122" s="9" t="n"/>
      <c r="O122" s="10" t="n"/>
    </row>
    <row r="123" ht="15" customHeight="1">
      <c r="A123" s="12">
        <f>IF(OR($B123="",$C123=""),"","TR-"&amp;TEXT($B123,"YYYYMMDD")&amp;"-"&amp;$C123&amp;"-"&amp;TEXT(COUNTIFS($B$3:$B123,$B123,$C$3:$C123,$C123),"00"))</f>
        <v/>
      </c>
      <c r="B123" s="15" t="n"/>
      <c r="C123" s="13" t="n"/>
      <c r="D123" s="17">
        <f>IF($C123="","",IFERROR(INDEX(NomsEmployes,MATCH($C123,MatriculesEmployes,0)),"MATRICULE INCONNU"))</f>
        <v/>
      </c>
      <c r="E123" s="9" t="n"/>
      <c r="F123" s="10" t="n"/>
      <c r="G123" s="10" t="n"/>
      <c r="H123" s="9" t="n"/>
      <c r="I123" s="9" t="n"/>
      <c r="J123" s="9" t="n"/>
      <c r="K123" s="46" t="n"/>
      <c r="L123" s="46" t="n"/>
      <c r="M123" s="27">
        <f>IF(OR($K123="",$L123="",$K123&lt;=0),"",$L123/$K123)</f>
        <v/>
      </c>
      <c r="N123" s="9" t="n"/>
      <c r="O123" s="10" t="n"/>
    </row>
    <row r="124" ht="15" customHeight="1">
      <c r="A124" s="12">
        <f>IF(OR($B124="",$C124=""),"","TR-"&amp;TEXT($B124,"YYYYMMDD")&amp;"-"&amp;$C124&amp;"-"&amp;TEXT(COUNTIFS($B$3:$B124,$B124,$C$3:$C124,$C124),"00"))</f>
        <v/>
      </c>
      <c r="B124" s="15" t="n"/>
      <c r="C124" s="13" t="n"/>
      <c r="D124" s="17">
        <f>IF($C124="","",IFERROR(INDEX(NomsEmployes,MATCH($C124,MatriculesEmployes,0)),"MATRICULE INCONNU"))</f>
        <v/>
      </c>
      <c r="E124" s="9" t="n"/>
      <c r="F124" s="10" t="n"/>
      <c r="G124" s="10" t="n"/>
      <c r="H124" s="9" t="n"/>
      <c r="I124" s="9" t="n"/>
      <c r="J124" s="9" t="n"/>
      <c r="K124" s="46" t="n"/>
      <c r="L124" s="46" t="n"/>
      <c r="M124" s="27">
        <f>IF(OR($K124="",$L124="",$K124&lt;=0),"",$L124/$K124)</f>
        <v/>
      </c>
      <c r="N124" s="9" t="n"/>
      <c r="O124" s="10" t="n"/>
    </row>
    <row r="125" ht="15" customHeight="1">
      <c r="A125" s="12">
        <f>IF(OR($B125="",$C125=""),"","TR-"&amp;TEXT($B125,"YYYYMMDD")&amp;"-"&amp;$C125&amp;"-"&amp;TEXT(COUNTIFS($B$3:$B125,$B125,$C$3:$C125,$C125),"00"))</f>
        <v/>
      </c>
      <c r="B125" s="15" t="n"/>
      <c r="C125" s="13" t="n"/>
      <c r="D125" s="17">
        <f>IF($C125="","",IFERROR(INDEX(NomsEmployes,MATCH($C125,MatriculesEmployes,0)),"MATRICULE INCONNU"))</f>
        <v/>
      </c>
      <c r="E125" s="9" t="n"/>
      <c r="F125" s="10" t="n"/>
      <c r="G125" s="10" t="n"/>
      <c r="H125" s="9" t="n"/>
      <c r="I125" s="9" t="n"/>
      <c r="J125" s="9" t="n"/>
      <c r="K125" s="46" t="n"/>
      <c r="L125" s="46" t="n"/>
      <c r="M125" s="27">
        <f>IF(OR($K125="",$L125="",$K125&lt;=0),"",$L125/$K125)</f>
        <v/>
      </c>
      <c r="N125" s="9" t="n"/>
      <c r="O125" s="10" t="n"/>
    </row>
    <row r="126" ht="15" customHeight="1">
      <c r="A126" s="12">
        <f>IF(OR($B126="",$C126=""),"","TR-"&amp;TEXT($B126,"YYYYMMDD")&amp;"-"&amp;$C126&amp;"-"&amp;TEXT(COUNTIFS($B$3:$B126,$B126,$C$3:$C126,$C126),"00"))</f>
        <v/>
      </c>
      <c r="B126" s="15" t="n"/>
      <c r="C126" s="13" t="n"/>
      <c r="D126" s="17">
        <f>IF($C126="","",IFERROR(INDEX(NomsEmployes,MATCH($C126,MatriculesEmployes,0)),"MATRICULE INCONNU"))</f>
        <v/>
      </c>
      <c r="E126" s="9" t="n"/>
      <c r="F126" s="10" t="n"/>
      <c r="G126" s="10" t="n"/>
      <c r="H126" s="9" t="n"/>
      <c r="I126" s="9" t="n"/>
      <c r="J126" s="9" t="n"/>
      <c r="K126" s="46" t="n"/>
      <c r="L126" s="46" t="n"/>
      <c r="M126" s="27">
        <f>IF(OR($K126="",$L126="",$K126&lt;=0),"",$L126/$K126)</f>
        <v/>
      </c>
      <c r="N126" s="9" t="n"/>
      <c r="O126" s="10" t="n"/>
    </row>
    <row r="127" ht="15" customHeight="1">
      <c r="A127" s="12">
        <f>IF(OR($B127="",$C127=""),"","TR-"&amp;TEXT($B127,"YYYYMMDD")&amp;"-"&amp;$C127&amp;"-"&amp;TEXT(COUNTIFS($B$3:$B127,$B127,$C$3:$C127,$C127),"00"))</f>
        <v/>
      </c>
      <c r="B127" s="15" t="n"/>
      <c r="C127" s="13" t="n"/>
      <c r="D127" s="17">
        <f>IF($C127="","",IFERROR(INDEX(NomsEmployes,MATCH($C127,MatriculesEmployes,0)),"MATRICULE INCONNU"))</f>
        <v/>
      </c>
      <c r="E127" s="9" t="n"/>
      <c r="F127" s="10" t="n"/>
      <c r="G127" s="10" t="n"/>
      <c r="H127" s="9" t="n"/>
      <c r="I127" s="9" t="n"/>
      <c r="J127" s="9" t="n"/>
      <c r="K127" s="46" t="n"/>
      <c r="L127" s="46" t="n"/>
      <c r="M127" s="27">
        <f>IF(OR($K127="",$L127="",$K127&lt;=0),"",$L127/$K127)</f>
        <v/>
      </c>
      <c r="N127" s="9" t="n"/>
      <c r="O127" s="10" t="n"/>
    </row>
    <row r="128" ht="15" customHeight="1">
      <c r="A128" s="12">
        <f>IF(OR($B128="",$C128=""),"","TR-"&amp;TEXT($B128,"YYYYMMDD")&amp;"-"&amp;$C128&amp;"-"&amp;TEXT(COUNTIFS($B$3:$B128,$B128,$C$3:$C128,$C128),"00"))</f>
        <v/>
      </c>
      <c r="B128" s="15" t="n"/>
      <c r="C128" s="13" t="n"/>
      <c r="D128" s="17">
        <f>IF($C128="","",IFERROR(INDEX(NomsEmployes,MATCH($C128,MatriculesEmployes,0)),"MATRICULE INCONNU"))</f>
        <v/>
      </c>
      <c r="E128" s="9" t="n"/>
      <c r="F128" s="10" t="n"/>
      <c r="G128" s="10" t="n"/>
      <c r="H128" s="9" t="n"/>
      <c r="I128" s="9" t="n"/>
      <c r="J128" s="9" t="n"/>
      <c r="K128" s="46" t="n"/>
      <c r="L128" s="46" t="n"/>
      <c r="M128" s="27">
        <f>IF(OR($K128="",$L128="",$K128&lt;=0),"",$L128/$K128)</f>
        <v/>
      </c>
      <c r="N128" s="9" t="n"/>
      <c r="O128" s="10" t="n"/>
    </row>
    <row r="129" ht="15" customHeight="1">
      <c r="A129" s="12">
        <f>IF(OR($B129="",$C129=""),"","TR-"&amp;TEXT($B129,"YYYYMMDD")&amp;"-"&amp;$C129&amp;"-"&amp;TEXT(COUNTIFS($B$3:$B129,$B129,$C$3:$C129,$C129),"00"))</f>
        <v/>
      </c>
      <c r="B129" s="15" t="n"/>
      <c r="C129" s="13" t="n"/>
      <c r="D129" s="17">
        <f>IF($C129="","",IFERROR(INDEX(NomsEmployes,MATCH($C129,MatriculesEmployes,0)),"MATRICULE INCONNU"))</f>
        <v/>
      </c>
      <c r="E129" s="9" t="n"/>
      <c r="F129" s="10" t="n"/>
      <c r="G129" s="10" t="n"/>
      <c r="H129" s="9" t="n"/>
      <c r="I129" s="9" t="n"/>
      <c r="J129" s="9" t="n"/>
      <c r="K129" s="46" t="n"/>
      <c r="L129" s="46" t="n"/>
      <c r="M129" s="27">
        <f>IF(OR($K129="",$L129="",$K129&lt;=0),"",$L129/$K129)</f>
        <v/>
      </c>
      <c r="N129" s="9" t="n"/>
      <c r="O129" s="10" t="n"/>
    </row>
    <row r="130" ht="15" customHeight="1">
      <c r="A130" s="12">
        <f>IF(OR($B130="",$C130=""),"","TR-"&amp;TEXT($B130,"YYYYMMDD")&amp;"-"&amp;$C130&amp;"-"&amp;TEXT(COUNTIFS($B$3:$B130,$B130,$C$3:$C130,$C130),"00"))</f>
        <v/>
      </c>
      <c r="B130" s="15" t="n"/>
      <c r="C130" s="13" t="n"/>
      <c r="D130" s="17">
        <f>IF($C130="","",IFERROR(INDEX(NomsEmployes,MATCH($C130,MatriculesEmployes,0)),"MATRICULE INCONNU"))</f>
        <v/>
      </c>
      <c r="E130" s="9" t="n"/>
      <c r="F130" s="10" t="n"/>
      <c r="G130" s="10" t="n"/>
      <c r="H130" s="9" t="n"/>
      <c r="I130" s="9" t="n"/>
      <c r="J130" s="9" t="n"/>
      <c r="K130" s="46" t="n"/>
      <c r="L130" s="46" t="n"/>
      <c r="M130" s="27">
        <f>IF(OR($K130="",$L130="",$K130&lt;=0),"",$L130/$K130)</f>
        <v/>
      </c>
      <c r="N130" s="9" t="n"/>
      <c r="O130" s="10" t="n"/>
    </row>
    <row r="131" ht="15" customHeight="1">
      <c r="A131" s="12">
        <f>IF(OR($B131="",$C131=""),"","TR-"&amp;TEXT($B131,"YYYYMMDD")&amp;"-"&amp;$C131&amp;"-"&amp;TEXT(COUNTIFS($B$3:$B131,$B131,$C$3:$C131,$C131),"00"))</f>
        <v/>
      </c>
      <c r="B131" s="15" t="n"/>
      <c r="C131" s="13" t="n"/>
      <c r="D131" s="17">
        <f>IF($C131="","",IFERROR(INDEX(NomsEmployes,MATCH($C131,MatriculesEmployes,0)),"MATRICULE INCONNU"))</f>
        <v/>
      </c>
      <c r="E131" s="9" t="n"/>
      <c r="F131" s="10" t="n"/>
      <c r="G131" s="10" t="n"/>
      <c r="H131" s="9" t="n"/>
      <c r="I131" s="9" t="n"/>
      <c r="J131" s="9" t="n"/>
      <c r="K131" s="46" t="n"/>
      <c r="L131" s="46" t="n"/>
      <c r="M131" s="27">
        <f>IF(OR($K131="",$L131="",$K131&lt;=0),"",$L131/$K131)</f>
        <v/>
      </c>
      <c r="N131" s="9" t="n"/>
      <c r="O131" s="10" t="n"/>
    </row>
    <row r="132" ht="15" customHeight="1">
      <c r="A132" s="12">
        <f>IF(OR($B132="",$C132=""),"","TR-"&amp;TEXT($B132,"YYYYMMDD")&amp;"-"&amp;$C132&amp;"-"&amp;TEXT(COUNTIFS($B$3:$B132,$B132,$C$3:$C132,$C132),"00"))</f>
        <v/>
      </c>
      <c r="B132" s="15" t="n"/>
      <c r="C132" s="13" t="n"/>
      <c r="D132" s="17">
        <f>IF($C132="","",IFERROR(INDEX(NomsEmployes,MATCH($C132,MatriculesEmployes,0)),"MATRICULE INCONNU"))</f>
        <v/>
      </c>
      <c r="E132" s="9" t="n"/>
      <c r="F132" s="10" t="n"/>
      <c r="G132" s="10" t="n"/>
      <c r="H132" s="9" t="n"/>
      <c r="I132" s="9" t="n"/>
      <c r="J132" s="9" t="n"/>
      <c r="K132" s="46" t="n"/>
      <c r="L132" s="46" t="n"/>
      <c r="M132" s="27">
        <f>IF(OR($K132="",$L132="",$K132&lt;=0),"",$L132/$K132)</f>
        <v/>
      </c>
      <c r="N132" s="9" t="n"/>
      <c r="O132" s="10" t="n"/>
    </row>
    <row r="133" ht="15" customHeight="1">
      <c r="A133" s="12">
        <f>IF(OR($B133="",$C133=""),"","TR-"&amp;TEXT($B133,"YYYYMMDD")&amp;"-"&amp;$C133&amp;"-"&amp;TEXT(COUNTIFS($B$3:$B133,$B133,$C$3:$C133,$C133),"00"))</f>
        <v/>
      </c>
      <c r="B133" s="15" t="n"/>
      <c r="C133" s="13" t="n"/>
      <c r="D133" s="17">
        <f>IF($C133="","",IFERROR(INDEX(NomsEmployes,MATCH($C133,MatriculesEmployes,0)),"MATRICULE INCONNU"))</f>
        <v/>
      </c>
      <c r="E133" s="9" t="n"/>
      <c r="F133" s="10" t="n"/>
      <c r="G133" s="10" t="n"/>
      <c r="H133" s="9" t="n"/>
      <c r="I133" s="9" t="n"/>
      <c r="J133" s="9" t="n"/>
      <c r="K133" s="46" t="n"/>
      <c r="L133" s="46" t="n"/>
      <c r="M133" s="27">
        <f>IF(OR($K133="",$L133="",$K133&lt;=0),"",$L133/$K133)</f>
        <v/>
      </c>
      <c r="N133" s="9" t="n"/>
      <c r="O133" s="10" t="n"/>
    </row>
    <row r="134" ht="15" customHeight="1">
      <c r="A134" s="12">
        <f>IF(OR($B134="",$C134=""),"","TR-"&amp;TEXT($B134,"YYYYMMDD")&amp;"-"&amp;$C134&amp;"-"&amp;TEXT(COUNTIFS($B$3:$B134,$B134,$C$3:$C134,$C134),"00"))</f>
        <v/>
      </c>
      <c r="B134" s="15" t="n"/>
      <c r="C134" s="13" t="n"/>
      <c r="D134" s="17">
        <f>IF($C134="","",IFERROR(INDEX(NomsEmployes,MATCH($C134,MatriculesEmployes,0)),"MATRICULE INCONNU"))</f>
        <v/>
      </c>
      <c r="E134" s="9" t="n"/>
      <c r="F134" s="10" t="n"/>
      <c r="G134" s="10" t="n"/>
      <c r="H134" s="9" t="n"/>
      <c r="I134" s="9" t="n"/>
      <c r="J134" s="9" t="n"/>
      <c r="K134" s="46" t="n"/>
      <c r="L134" s="46" t="n"/>
      <c r="M134" s="27">
        <f>IF(OR($K134="",$L134="",$K134&lt;=0),"",$L134/$K134)</f>
        <v/>
      </c>
      <c r="N134" s="9" t="n"/>
      <c r="O134" s="10" t="n"/>
    </row>
    <row r="135" ht="15" customHeight="1">
      <c r="A135" s="12">
        <f>IF(OR($B135="",$C135=""),"","TR-"&amp;TEXT($B135,"YYYYMMDD")&amp;"-"&amp;$C135&amp;"-"&amp;TEXT(COUNTIFS($B$3:$B135,$B135,$C$3:$C135,$C135),"00"))</f>
        <v/>
      </c>
      <c r="B135" s="15" t="n"/>
      <c r="C135" s="13" t="n"/>
      <c r="D135" s="17">
        <f>IF($C135="","",IFERROR(INDEX(NomsEmployes,MATCH($C135,MatriculesEmployes,0)),"MATRICULE INCONNU"))</f>
        <v/>
      </c>
      <c r="E135" s="9" t="n"/>
      <c r="F135" s="10" t="n"/>
      <c r="G135" s="10" t="n"/>
      <c r="H135" s="9" t="n"/>
      <c r="I135" s="9" t="n"/>
      <c r="J135" s="9" t="n"/>
      <c r="K135" s="46" t="n"/>
      <c r="L135" s="46" t="n"/>
      <c r="M135" s="27">
        <f>IF(OR($K135="",$L135="",$K135&lt;=0),"",$L135/$K135)</f>
        <v/>
      </c>
      <c r="N135" s="9" t="n"/>
      <c r="O135" s="10" t="n"/>
    </row>
    <row r="136" ht="15" customHeight="1">
      <c r="A136" s="12">
        <f>IF(OR($B136="",$C136=""),"","TR-"&amp;TEXT($B136,"YYYYMMDD")&amp;"-"&amp;$C136&amp;"-"&amp;TEXT(COUNTIFS($B$3:$B136,$B136,$C$3:$C136,$C136),"00"))</f>
        <v/>
      </c>
      <c r="B136" s="15" t="n"/>
      <c r="C136" s="13" t="n"/>
      <c r="D136" s="17">
        <f>IF($C136="","",IFERROR(INDEX(NomsEmployes,MATCH($C136,MatriculesEmployes,0)),"MATRICULE INCONNU"))</f>
        <v/>
      </c>
      <c r="E136" s="9" t="n"/>
      <c r="F136" s="10" t="n"/>
      <c r="G136" s="10" t="n"/>
      <c r="H136" s="9" t="n"/>
      <c r="I136" s="9" t="n"/>
      <c r="J136" s="9" t="n"/>
      <c r="K136" s="46" t="n"/>
      <c r="L136" s="46" t="n"/>
      <c r="M136" s="27">
        <f>IF(OR($K136="",$L136="",$K136&lt;=0),"",$L136/$K136)</f>
        <v/>
      </c>
      <c r="N136" s="9" t="n"/>
      <c r="O136" s="10" t="n"/>
    </row>
    <row r="137" ht="15" customHeight="1">
      <c r="A137" s="12">
        <f>IF(OR($B137="",$C137=""),"","TR-"&amp;TEXT($B137,"YYYYMMDD")&amp;"-"&amp;$C137&amp;"-"&amp;TEXT(COUNTIFS($B$3:$B137,$B137,$C$3:$C137,$C137),"00"))</f>
        <v/>
      </c>
      <c r="B137" s="15" t="n"/>
      <c r="C137" s="13" t="n"/>
      <c r="D137" s="17">
        <f>IF($C137="","",IFERROR(INDEX(NomsEmployes,MATCH($C137,MatriculesEmployes,0)),"MATRICULE INCONNU"))</f>
        <v/>
      </c>
      <c r="E137" s="9" t="n"/>
      <c r="F137" s="10" t="n"/>
      <c r="G137" s="10" t="n"/>
      <c r="H137" s="9" t="n"/>
      <c r="I137" s="9" t="n"/>
      <c r="J137" s="9" t="n"/>
      <c r="K137" s="46" t="n"/>
      <c r="L137" s="46" t="n"/>
      <c r="M137" s="27">
        <f>IF(OR($K137="",$L137="",$K137&lt;=0),"",$L137/$K137)</f>
        <v/>
      </c>
      <c r="N137" s="9" t="n"/>
      <c r="O137" s="10" t="n"/>
    </row>
    <row r="138" ht="15" customHeight="1">
      <c r="A138" s="12">
        <f>IF(OR($B138="",$C138=""),"","TR-"&amp;TEXT($B138,"YYYYMMDD")&amp;"-"&amp;$C138&amp;"-"&amp;TEXT(COUNTIFS($B$3:$B138,$B138,$C$3:$C138,$C138),"00"))</f>
        <v/>
      </c>
      <c r="B138" s="15" t="n"/>
      <c r="C138" s="13" t="n"/>
      <c r="D138" s="17">
        <f>IF($C138="","",IFERROR(INDEX(NomsEmployes,MATCH($C138,MatriculesEmployes,0)),"MATRICULE INCONNU"))</f>
        <v/>
      </c>
      <c r="E138" s="9" t="n"/>
      <c r="F138" s="10" t="n"/>
      <c r="G138" s="10" t="n"/>
      <c r="H138" s="9" t="n"/>
      <c r="I138" s="9" t="n"/>
      <c r="J138" s="9" t="n"/>
      <c r="K138" s="46" t="n"/>
      <c r="L138" s="46" t="n"/>
      <c r="M138" s="27">
        <f>IF(OR($K138="",$L138="",$K138&lt;=0),"",$L138/$K138)</f>
        <v/>
      </c>
      <c r="N138" s="9" t="n"/>
      <c r="O138" s="10" t="n"/>
    </row>
    <row r="139" ht="15" customHeight="1">
      <c r="A139" s="12">
        <f>IF(OR($B139="",$C139=""),"","TR-"&amp;TEXT($B139,"YYYYMMDD")&amp;"-"&amp;$C139&amp;"-"&amp;TEXT(COUNTIFS($B$3:$B139,$B139,$C$3:$C139,$C139),"00"))</f>
        <v/>
      </c>
      <c r="B139" s="15" t="n"/>
      <c r="C139" s="13" t="n"/>
      <c r="D139" s="17">
        <f>IF($C139="","",IFERROR(INDEX(NomsEmployes,MATCH($C139,MatriculesEmployes,0)),"MATRICULE INCONNU"))</f>
        <v/>
      </c>
      <c r="E139" s="9" t="n"/>
      <c r="F139" s="10" t="n"/>
      <c r="G139" s="10" t="n"/>
      <c r="H139" s="9" t="n"/>
      <c r="I139" s="9" t="n"/>
      <c r="J139" s="9" t="n"/>
      <c r="K139" s="46" t="n"/>
      <c r="L139" s="46" t="n"/>
      <c r="M139" s="27">
        <f>IF(OR($K139="",$L139="",$K139&lt;=0),"",$L139/$K139)</f>
        <v/>
      </c>
      <c r="N139" s="9" t="n"/>
      <c r="O139" s="10" t="n"/>
    </row>
    <row r="140" ht="15" customHeight="1">
      <c r="A140" s="12">
        <f>IF(OR($B140="",$C140=""),"","TR-"&amp;TEXT($B140,"YYYYMMDD")&amp;"-"&amp;$C140&amp;"-"&amp;TEXT(COUNTIFS($B$3:$B140,$B140,$C$3:$C140,$C140),"00"))</f>
        <v/>
      </c>
      <c r="B140" s="15" t="n"/>
      <c r="C140" s="13" t="n"/>
      <c r="D140" s="17">
        <f>IF($C140="","",IFERROR(INDEX(NomsEmployes,MATCH($C140,MatriculesEmployes,0)),"MATRICULE INCONNU"))</f>
        <v/>
      </c>
      <c r="E140" s="9" t="n"/>
      <c r="F140" s="10" t="n"/>
      <c r="G140" s="10" t="n"/>
      <c r="H140" s="9" t="n"/>
      <c r="I140" s="9" t="n"/>
      <c r="J140" s="9" t="n"/>
      <c r="K140" s="46" t="n"/>
      <c r="L140" s="46" t="n"/>
      <c r="M140" s="27">
        <f>IF(OR($K140="",$L140="",$K140&lt;=0),"",$L140/$K140)</f>
        <v/>
      </c>
      <c r="N140" s="9" t="n"/>
      <c r="O140" s="10" t="n"/>
    </row>
    <row r="141" ht="15" customHeight="1">
      <c r="A141" s="12">
        <f>IF(OR($B141="",$C141=""),"","TR-"&amp;TEXT($B141,"YYYYMMDD")&amp;"-"&amp;$C141&amp;"-"&amp;TEXT(COUNTIFS($B$3:$B141,$B141,$C$3:$C141,$C141),"00"))</f>
        <v/>
      </c>
      <c r="B141" s="15" t="n"/>
      <c r="C141" s="13" t="n"/>
      <c r="D141" s="17">
        <f>IF($C141="","",IFERROR(INDEX(NomsEmployes,MATCH($C141,MatriculesEmployes,0)),"MATRICULE INCONNU"))</f>
        <v/>
      </c>
      <c r="E141" s="9" t="n"/>
      <c r="F141" s="10" t="n"/>
      <c r="G141" s="10" t="n"/>
      <c r="H141" s="9" t="n"/>
      <c r="I141" s="9" t="n"/>
      <c r="J141" s="9" t="n"/>
      <c r="K141" s="46" t="n"/>
      <c r="L141" s="46" t="n"/>
      <c r="M141" s="27">
        <f>IF(OR($K141="",$L141="",$K141&lt;=0),"",$L141/$K141)</f>
        <v/>
      </c>
      <c r="N141" s="9" t="n"/>
      <c r="O141" s="10" t="n"/>
    </row>
    <row r="142" ht="15" customHeight="1">
      <c r="A142" s="12">
        <f>IF(OR($B142="",$C142=""),"","TR-"&amp;TEXT($B142,"YYYYMMDD")&amp;"-"&amp;$C142&amp;"-"&amp;TEXT(COUNTIFS($B$3:$B142,$B142,$C$3:$C142,$C142),"00"))</f>
        <v/>
      </c>
      <c r="B142" s="15" t="n"/>
      <c r="C142" s="13" t="n"/>
      <c r="D142" s="17">
        <f>IF($C142="","",IFERROR(INDEX(NomsEmployes,MATCH($C142,MatriculesEmployes,0)),"MATRICULE INCONNU"))</f>
        <v/>
      </c>
      <c r="E142" s="9" t="n"/>
      <c r="F142" s="10" t="n"/>
      <c r="G142" s="10" t="n"/>
      <c r="H142" s="9" t="n"/>
      <c r="I142" s="9" t="n"/>
      <c r="J142" s="9" t="n"/>
      <c r="K142" s="46" t="n"/>
      <c r="L142" s="46" t="n"/>
      <c r="M142" s="27">
        <f>IF(OR($K142="",$L142="",$K142&lt;=0),"",$L142/$K142)</f>
        <v/>
      </c>
      <c r="N142" s="9" t="n"/>
      <c r="O142" s="10" t="n"/>
    </row>
    <row r="143" ht="15" customHeight="1">
      <c r="A143" s="12">
        <f>IF(OR($B143="",$C143=""),"","TR-"&amp;TEXT($B143,"YYYYMMDD")&amp;"-"&amp;$C143&amp;"-"&amp;TEXT(COUNTIFS($B$3:$B143,$B143,$C$3:$C143,$C143),"00"))</f>
        <v/>
      </c>
      <c r="B143" s="15" t="n"/>
      <c r="C143" s="13" t="n"/>
      <c r="D143" s="17">
        <f>IF($C143="","",IFERROR(INDEX(NomsEmployes,MATCH($C143,MatriculesEmployes,0)),"MATRICULE INCONNU"))</f>
        <v/>
      </c>
      <c r="E143" s="9" t="n"/>
      <c r="F143" s="10" t="n"/>
      <c r="G143" s="10" t="n"/>
      <c r="H143" s="9" t="n"/>
      <c r="I143" s="9" t="n"/>
      <c r="J143" s="9" t="n"/>
      <c r="K143" s="46" t="n"/>
      <c r="L143" s="46" t="n"/>
      <c r="M143" s="27">
        <f>IF(OR($K143="",$L143="",$K143&lt;=0),"",$L143/$K143)</f>
        <v/>
      </c>
      <c r="N143" s="9" t="n"/>
      <c r="O143" s="10" t="n"/>
    </row>
    <row r="144" ht="15" customHeight="1">
      <c r="A144" s="12">
        <f>IF(OR($B144="",$C144=""),"","TR-"&amp;TEXT($B144,"YYYYMMDD")&amp;"-"&amp;$C144&amp;"-"&amp;TEXT(COUNTIFS($B$3:$B144,$B144,$C$3:$C144,$C144),"00"))</f>
        <v/>
      </c>
      <c r="B144" s="15" t="n"/>
      <c r="C144" s="13" t="n"/>
      <c r="D144" s="17">
        <f>IF($C144="","",IFERROR(INDEX(NomsEmployes,MATCH($C144,MatriculesEmployes,0)),"MATRICULE INCONNU"))</f>
        <v/>
      </c>
      <c r="E144" s="9" t="n"/>
      <c r="F144" s="10" t="n"/>
      <c r="G144" s="10" t="n"/>
      <c r="H144" s="9" t="n"/>
      <c r="I144" s="9" t="n"/>
      <c r="J144" s="9" t="n"/>
      <c r="K144" s="46" t="n"/>
      <c r="L144" s="46" t="n"/>
      <c r="M144" s="27">
        <f>IF(OR($K144="",$L144="",$K144&lt;=0),"",$L144/$K144)</f>
        <v/>
      </c>
      <c r="N144" s="9" t="n"/>
      <c r="O144" s="10" t="n"/>
    </row>
    <row r="145" ht="15" customHeight="1">
      <c r="A145" s="12">
        <f>IF(OR($B145="",$C145=""),"","TR-"&amp;TEXT($B145,"YYYYMMDD")&amp;"-"&amp;$C145&amp;"-"&amp;TEXT(COUNTIFS($B$3:$B145,$B145,$C$3:$C145,$C145),"00"))</f>
        <v/>
      </c>
      <c r="B145" s="15" t="n"/>
      <c r="C145" s="13" t="n"/>
      <c r="D145" s="17">
        <f>IF($C145="","",IFERROR(INDEX(NomsEmployes,MATCH($C145,MatriculesEmployes,0)),"MATRICULE INCONNU"))</f>
        <v/>
      </c>
      <c r="E145" s="9" t="n"/>
      <c r="F145" s="10" t="n"/>
      <c r="G145" s="10" t="n"/>
      <c r="H145" s="9" t="n"/>
      <c r="I145" s="9" t="n"/>
      <c r="J145" s="9" t="n"/>
      <c r="K145" s="46" t="n"/>
      <c r="L145" s="46" t="n"/>
      <c r="M145" s="27">
        <f>IF(OR($K145="",$L145="",$K145&lt;=0),"",$L145/$K145)</f>
        <v/>
      </c>
      <c r="N145" s="9" t="n"/>
      <c r="O145" s="10" t="n"/>
    </row>
    <row r="146" ht="15" customHeight="1">
      <c r="A146" s="12">
        <f>IF(OR($B146="",$C146=""),"","TR-"&amp;TEXT($B146,"YYYYMMDD")&amp;"-"&amp;$C146&amp;"-"&amp;TEXT(COUNTIFS($B$3:$B146,$B146,$C$3:$C146,$C146),"00"))</f>
        <v/>
      </c>
      <c r="B146" s="15" t="n"/>
      <c r="C146" s="13" t="n"/>
      <c r="D146" s="17">
        <f>IF($C146="","",IFERROR(INDEX(NomsEmployes,MATCH($C146,MatriculesEmployes,0)),"MATRICULE INCONNU"))</f>
        <v/>
      </c>
      <c r="E146" s="9" t="n"/>
      <c r="F146" s="10" t="n"/>
      <c r="G146" s="10" t="n"/>
      <c r="H146" s="9" t="n"/>
      <c r="I146" s="9" t="n"/>
      <c r="J146" s="9" t="n"/>
      <c r="K146" s="46" t="n"/>
      <c r="L146" s="46" t="n"/>
      <c r="M146" s="27">
        <f>IF(OR($K146="",$L146="",$K146&lt;=0),"",$L146/$K146)</f>
        <v/>
      </c>
      <c r="N146" s="9" t="n"/>
      <c r="O146" s="10" t="n"/>
    </row>
    <row r="147" ht="15" customHeight="1">
      <c r="A147" s="12">
        <f>IF(OR($B147="",$C147=""),"","TR-"&amp;TEXT($B147,"YYYYMMDD")&amp;"-"&amp;$C147&amp;"-"&amp;TEXT(COUNTIFS($B$3:$B147,$B147,$C$3:$C147,$C147),"00"))</f>
        <v/>
      </c>
      <c r="B147" s="15" t="n"/>
      <c r="C147" s="13" t="n"/>
      <c r="D147" s="17">
        <f>IF($C147="","",IFERROR(INDEX(NomsEmployes,MATCH($C147,MatriculesEmployes,0)),"MATRICULE INCONNU"))</f>
        <v/>
      </c>
      <c r="E147" s="9" t="n"/>
      <c r="F147" s="10" t="n"/>
      <c r="G147" s="10" t="n"/>
      <c r="H147" s="9" t="n"/>
      <c r="I147" s="9" t="n"/>
      <c r="J147" s="9" t="n"/>
      <c r="K147" s="46" t="n"/>
      <c r="L147" s="46" t="n"/>
      <c r="M147" s="27">
        <f>IF(OR($K147="",$L147="",$K147&lt;=0),"",$L147/$K147)</f>
        <v/>
      </c>
      <c r="N147" s="9" t="n"/>
      <c r="O147" s="10" t="n"/>
    </row>
    <row r="148" ht="15" customHeight="1">
      <c r="A148" s="12">
        <f>IF(OR($B148="",$C148=""),"","TR-"&amp;TEXT($B148,"YYYYMMDD")&amp;"-"&amp;$C148&amp;"-"&amp;TEXT(COUNTIFS($B$3:$B148,$B148,$C$3:$C148,$C148),"00"))</f>
        <v/>
      </c>
      <c r="B148" s="15" t="n"/>
      <c r="C148" s="13" t="n"/>
      <c r="D148" s="17">
        <f>IF($C148="","",IFERROR(INDEX(NomsEmployes,MATCH($C148,MatriculesEmployes,0)),"MATRICULE INCONNU"))</f>
        <v/>
      </c>
      <c r="E148" s="9" t="n"/>
      <c r="F148" s="10" t="n"/>
      <c r="G148" s="10" t="n"/>
      <c r="H148" s="9" t="n"/>
      <c r="I148" s="9" t="n"/>
      <c r="J148" s="9" t="n"/>
      <c r="K148" s="46" t="n"/>
      <c r="L148" s="46" t="n"/>
      <c r="M148" s="27">
        <f>IF(OR($K148="",$L148="",$K148&lt;=0),"",$L148/$K148)</f>
        <v/>
      </c>
      <c r="N148" s="9" t="n"/>
      <c r="O148" s="10" t="n"/>
    </row>
    <row r="149" ht="15" customHeight="1">
      <c r="A149" s="12">
        <f>IF(OR($B149="",$C149=""),"","TR-"&amp;TEXT($B149,"YYYYMMDD")&amp;"-"&amp;$C149&amp;"-"&amp;TEXT(COUNTIFS($B$3:$B149,$B149,$C$3:$C149,$C149),"00"))</f>
        <v/>
      </c>
      <c r="B149" s="15" t="n"/>
      <c r="C149" s="13" t="n"/>
      <c r="D149" s="17">
        <f>IF($C149="","",IFERROR(INDEX(NomsEmployes,MATCH($C149,MatriculesEmployes,0)),"MATRICULE INCONNU"))</f>
        <v/>
      </c>
      <c r="E149" s="9" t="n"/>
      <c r="F149" s="10" t="n"/>
      <c r="G149" s="10" t="n"/>
      <c r="H149" s="9" t="n"/>
      <c r="I149" s="9" t="n"/>
      <c r="J149" s="9" t="n"/>
      <c r="K149" s="46" t="n"/>
      <c r="L149" s="46" t="n"/>
      <c r="M149" s="27">
        <f>IF(OR($K149="",$L149="",$K149&lt;=0),"",$L149/$K149)</f>
        <v/>
      </c>
      <c r="N149" s="9" t="n"/>
      <c r="O149" s="10" t="n"/>
    </row>
    <row r="150" ht="15" customHeight="1">
      <c r="A150" s="12">
        <f>IF(OR($B150="",$C150=""),"","TR-"&amp;TEXT($B150,"YYYYMMDD")&amp;"-"&amp;$C150&amp;"-"&amp;TEXT(COUNTIFS($B$3:$B150,$B150,$C$3:$C150,$C150),"00"))</f>
        <v/>
      </c>
      <c r="B150" s="15" t="n"/>
      <c r="C150" s="13" t="n"/>
      <c r="D150" s="17">
        <f>IF($C150="","",IFERROR(INDEX(NomsEmployes,MATCH($C150,MatriculesEmployes,0)),"MATRICULE INCONNU"))</f>
        <v/>
      </c>
      <c r="E150" s="9" t="n"/>
      <c r="F150" s="10" t="n"/>
      <c r="G150" s="10" t="n"/>
      <c r="H150" s="9" t="n"/>
      <c r="I150" s="9" t="n"/>
      <c r="J150" s="9" t="n"/>
      <c r="K150" s="46" t="n"/>
      <c r="L150" s="46" t="n"/>
      <c r="M150" s="27">
        <f>IF(OR($K150="",$L150="",$K150&lt;=0),"",$L150/$K150)</f>
        <v/>
      </c>
      <c r="N150" s="9" t="n"/>
      <c r="O150" s="10" t="n"/>
    </row>
    <row r="151" ht="15" customHeight="1">
      <c r="A151" s="12">
        <f>IF(OR($B151="",$C151=""),"","TR-"&amp;TEXT($B151,"YYYYMMDD")&amp;"-"&amp;$C151&amp;"-"&amp;TEXT(COUNTIFS($B$3:$B151,$B151,$C$3:$C151,$C151),"00"))</f>
        <v/>
      </c>
      <c r="B151" s="15" t="n"/>
      <c r="C151" s="13" t="n"/>
      <c r="D151" s="17">
        <f>IF($C151="","",IFERROR(INDEX(NomsEmployes,MATCH($C151,MatriculesEmployes,0)),"MATRICULE INCONNU"))</f>
        <v/>
      </c>
      <c r="E151" s="9" t="n"/>
      <c r="F151" s="10" t="n"/>
      <c r="G151" s="10" t="n"/>
      <c r="H151" s="9" t="n"/>
      <c r="I151" s="9" t="n"/>
      <c r="J151" s="9" t="n"/>
      <c r="K151" s="46" t="n"/>
      <c r="L151" s="46" t="n"/>
      <c r="M151" s="27">
        <f>IF(OR($K151="",$L151="",$K151&lt;=0),"",$L151/$K151)</f>
        <v/>
      </c>
      <c r="N151" s="9" t="n"/>
      <c r="O151" s="10" t="n"/>
    </row>
    <row r="152" ht="15" customHeight="1">
      <c r="A152" s="12">
        <f>IF(OR($B152="",$C152=""),"","TR-"&amp;TEXT($B152,"YYYYMMDD")&amp;"-"&amp;$C152&amp;"-"&amp;TEXT(COUNTIFS($B$3:$B152,$B152,$C$3:$C152,$C152),"00"))</f>
        <v/>
      </c>
      <c r="B152" s="15" t="n"/>
      <c r="C152" s="13" t="n"/>
      <c r="D152" s="17">
        <f>IF($C152="","",IFERROR(INDEX(NomsEmployes,MATCH($C152,MatriculesEmployes,0)),"MATRICULE INCONNU"))</f>
        <v/>
      </c>
      <c r="E152" s="9" t="n"/>
      <c r="F152" s="10" t="n"/>
      <c r="G152" s="10" t="n"/>
      <c r="H152" s="9" t="n"/>
      <c r="I152" s="9" t="n"/>
      <c r="J152" s="9" t="n"/>
      <c r="K152" s="46" t="n"/>
      <c r="L152" s="46" t="n"/>
      <c r="M152" s="27">
        <f>IF(OR($K152="",$L152="",$K152&lt;=0),"",$L152/$K152)</f>
        <v/>
      </c>
      <c r="N152" s="9" t="n"/>
      <c r="O152" s="10" t="n"/>
    </row>
    <row r="153" ht="15" customHeight="1">
      <c r="A153" s="12">
        <f>IF(OR($B153="",$C153=""),"","TR-"&amp;TEXT($B153,"YYYYMMDD")&amp;"-"&amp;$C153&amp;"-"&amp;TEXT(COUNTIFS($B$3:$B153,$B153,$C$3:$C153,$C153),"00"))</f>
        <v/>
      </c>
      <c r="B153" s="15" t="n"/>
      <c r="C153" s="13" t="n"/>
      <c r="D153" s="17">
        <f>IF($C153="","",IFERROR(INDEX(NomsEmployes,MATCH($C153,MatriculesEmployes,0)),"MATRICULE INCONNU"))</f>
        <v/>
      </c>
      <c r="E153" s="9" t="n"/>
      <c r="F153" s="10" t="n"/>
      <c r="G153" s="10" t="n"/>
      <c r="H153" s="9" t="n"/>
      <c r="I153" s="9" t="n"/>
      <c r="J153" s="9" t="n"/>
      <c r="K153" s="46" t="n"/>
      <c r="L153" s="46" t="n"/>
      <c r="M153" s="27">
        <f>IF(OR($K153="",$L153="",$K153&lt;=0),"",$L153/$K153)</f>
        <v/>
      </c>
      <c r="N153" s="9" t="n"/>
      <c r="O153" s="10" t="n"/>
    </row>
    <row r="154" ht="15" customHeight="1">
      <c r="A154" s="12">
        <f>IF(OR($B154="",$C154=""),"","TR-"&amp;TEXT($B154,"YYYYMMDD")&amp;"-"&amp;$C154&amp;"-"&amp;TEXT(COUNTIFS($B$3:$B154,$B154,$C$3:$C154,$C154),"00"))</f>
        <v/>
      </c>
      <c r="B154" s="15" t="n"/>
      <c r="C154" s="13" t="n"/>
      <c r="D154" s="17">
        <f>IF($C154="","",IFERROR(INDEX(NomsEmployes,MATCH($C154,MatriculesEmployes,0)),"MATRICULE INCONNU"))</f>
        <v/>
      </c>
      <c r="E154" s="9" t="n"/>
      <c r="F154" s="10" t="n"/>
      <c r="G154" s="10" t="n"/>
      <c r="H154" s="9" t="n"/>
      <c r="I154" s="9" t="n"/>
      <c r="J154" s="9" t="n"/>
      <c r="K154" s="46" t="n"/>
      <c r="L154" s="46" t="n"/>
      <c r="M154" s="27">
        <f>IF(OR($K154="",$L154="",$K154&lt;=0),"",$L154/$K154)</f>
        <v/>
      </c>
      <c r="N154" s="9" t="n"/>
      <c r="O154" s="10" t="n"/>
    </row>
    <row r="155" ht="15" customHeight="1">
      <c r="A155" s="12">
        <f>IF(OR($B155="",$C155=""),"","TR-"&amp;TEXT($B155,"YYYYMMDD")&amp;"-"&amp;$C155&amp;"-"&amp;TEXT(COUNTIFS($B$3:$B155,$B155,$C$3:$C155,$C155),"00"))</f>
        <v/>
      </c>
      <c r="B155" s="15" t="n"/>
      <c r="C155" s="13" t="n"/>
      <c r="D155" s="17">
        <f>IF($C155="","",IFERROR(INDEX(NomsEmployes,MATCH($C155,MatriculesEmployes,0)),"MATRICULE INCONNU"))</f>
        <v/>
      </c>
      <c r="E155" s="9" t="n"/>
      <c r="F155" s="10" t="n"/>
      <c r="G155" s="10" t="n"/>
      <c r="H155" s="9" t="n"/>
      <c r="I155" s="9" t="n"/>
      <c r="J155" s="9" t="n"/>
      <c r="K155" s="46" t="n"/>
      <c r="L155" s="46" t="n"/>
      <c r="M155" s="27">
        <f>IF(OR($K155="",$L155="",$K155&lt;=0),"",$L155/$K155)</f>
        <v/>
      </c>
      <c r="N155" s="9" t="n"/>
      <c r="O155" s="10" t="n"/>
    </row>
    <row r="156" ht="15" customHeight="1">
      <c r="A156" s="12">
        <f>IF(OR($B156="",$C156=""),"","TR-"&amp;TEXT($B156,"YYYYMMDD")&amp;"-"&amp;$C156&amp;"-"&amp;TEXT(COUNTIFS($B$3:$B156,$B156,$C$3:$C156,$C156),"00"))</f>
        <v/>
      </c>
      <c r="B156" s="15" t="n"/>
      <c r="C156" s="13" t="n"/>
      <c r="D156" s="17">
        <f>IF($C156="","",IFERROR(INDEX(NomsEmployes,MATCH($C156,MatriculesEmployes,0)),"MATRICULE INCONNU"))</f>
        <v/>
      </c>
      <c r="E156" s="9" t="n"/>
      <c r="F156" s="10" t="n"/>
      <c r="G156" s="10" t="n"/>
      <c r="H156" s="9" t="n"/>
      <c r="I156" s="9" t="n"/>
      <c r="J156" s="9" t="n"/>
      <c r="K156" s="46" t="n"/>
      <c r="L156" s="46" t="n"/>
      <c r="M156" s="27">
        <f>IF(OR($K156="",$L156="",$K156&lt;=0),"",$L156/$K156)</f>
        <v/>
      </c>
      <c r="N156" s="9" t="n"/>
      <c r="O156" s="10" t="n"/>
    </row>
    <row r="157" ht="15" customHeight="1">
      <c r="A157" s="12">
        <f>IF(OR($B157="",$C157=""),"","TR-"&amp;TEXT($B157,"YYYYMMDD")&amp;"-"&amp;$C157&amp;"-"&amp;TEXT(COUNTIFS($B$3:$B157,$B157,$C$3:$C157,$C157),"00"))</f>
        <v/>
      </c>
      <c r="B157" s="15" t="n"/>
      <c r="C157" s="13" t="n"/>
      <c r="D157" s="17">
        <f>IF($C157="","",IFERROR(INDEX(NomsEmployes,MATCH($C157,MatriculesEmployes,0)),"MATRICULE INCONNU"))</f>
        <v/>
      </c>
      <c r="E157" s="9" t="n"/>
      <c r="F157" s="10" t="n"/>
      <c r="G157" s="10" t="n"/>
      <c r="H157" s="9" t="n"/>
      <c r="I157" s="9" t="n"/>
      <c r="J157" s="9" t="n"/>
      <c r="K157" s="46" t="n"/>
      <c r="L157" s="46" t="n"/>
      <c r="M157" s="27">
        <f>IF(OR($K157="",$L157="",$K157&lt;=0),"",$L157/$K157)</f>
        <v/>
      </c>
      <c r="N157" s="9" t="n"/>
      <c r="O157" s="10" t="n"/>
    </row>
    <row r="158" ht="15" customHeight="1">
      <c r="A158" s="12">
        <f>IF(OR($B158="",$C158=""),"","TR-"&amp;TEXT($B158,"YYYYMMDD")&amp;"-"&amp;$C158&amp;"-"&amp;TEXT(COUNTIFS($B$3:$B158,$B158,$C$3:$C158,$C158),"00"))</f>
        <v/>
      </c>
      <c r="B158" s="15" t="n"/>
      <c r="C158" s="13" t="n"/>
      <c r="D158" s="17">
        <f>IF($C158="","",IFERROR(INDEX(NomsEmployes,MATCH($C158,MatriculesEmployes,0)),"MATRICULE INCONNU"))</f>
        <v/>
      </c>
      <c r="E158" s="9" t="n"/>
      <c r="F158" s="10" t="n"/>
      <c r="G158" s="10" t="n"/>
      <c r="H158" s="9" t="n"/>
      <c r="I158" s="9" t="n"/>
      <c r="J158" s="9" t="n"/>
      <c r="K158" s="46" t="n"/>
      <c r="L158" s="46" t="n"/>
      <c r="M158" s="27">
        <f>IF(OR($K158="",$L158="",$K158&lt;=0),"",$L158/$K158)</f>
        <v/>
      </c>
      <c r="N158" s="9" t="n"/>
      <c r="O158" s="10" t="n"/>
    </row>
    <row r="159" ht="15" customHeight="1">
      <c r="A159" s="12">
        <f>IF(OR($B159="",$C159=""),"","TR-"&amp;TEXT($B159,"YYYYMMDD")&amp;"-"&amp;$C159&amp;"-"&amp;TEXT(COUNTIFS($B$3:$B159,$B159,$C$3:$C159,$C159),"00"))</f>
        <v/>
      </c>
      <c r="B159" s="15" t="n"/>
      <c r="C159" s="13" t="n"/>
      <c r="D159" s="17">
        <f>IF($C159="","",IFERROR(INDEX(NomsEmployes,MATCH($C159,MatriculesEmployes,0)),"MATRICULE INCONNU"))</f>
        <v/>
      </c>
      <c r="E159" s="9" t="n"/>
      <c r="F159" s="10" t="n"/>
      <c r="G159" s="10" t="n"/>
      <c r="H159" s="9" t="n"/>
      <c r="I159" s="9" t="n"/>
      <c r="J159" s="9" t="n"/>
      <c r="K159" s="46" t="n"/>
      <c r="L159" s="46" t="n"/>
      <c r="M159" s="27">
        <f>IF(OR($K159="",$L159="",$K159&lt;=0),"",$L159/$K159)</f>
        <v/>
      </c>
      <c r="N159" s="9" t="n"/>
      <c r="O159" s="10" t="n"/>
    </row>
    <row r="160" ht="15" customHeight="1">
      <c r="A160" s="12">
        <f>IF(OR($B160="",$C160=""),"","TR-"&amp;TEXT($B160,"YYYYMMDD")&amp;"-"&amp;$C160&amp;"-"&amp;TEXT(COUNTIFS($B$3:$B160,$B160,$C$3:$C160,$C160),"00"))</f>
        <v/>
      </c>
      <c r="B160" s="15" t="n"/>
      <c r="C160" s="13" t="n"/>
      <c r="D160" s="17">
        <f>IF($C160="","",IFERROR(INDEX(NomsEmployes,MATCH($C160,MatriculesEmployes,0)),"MATRICULE INCONNU"))</f>
        <v/>
      </c>
      <c r="E160" s="9" t="n"/>
      <c r="F160" s="10" t="n"/>
      <c r="G160" s="10" t="n"/>
      <c r="H160" s="9" t="n"/>
      <c r="I160" s="9" t="n"/>
      <c r="J160" s="9" t="n"/>
      <c r="K160" s="46" t="n"/>
      <c r="L160" s="46" t="n"/>
      <c r="M160" s="27">
        <f>IF(OR($K160="",$L160="",$K160&lt;=0),"",$L160/$K160)</f>
        <v/>
      </c>
      <c r="N160" s="9" t="n"/>
      <c r="O160" s="10" t="n"/>
    </row>
    <row r="161" ht="15" customHeight="1">
      <c r="A161" s="12">
        <f>IF(OR($B161="",$C161=""),"","TR-"&amp;TEXT($B161,"YYYYMMDD")&amp;"-"&amp;$C161&amp;"-"&amp;TEXT(COUNTIFS($B$3:$B161,$B161,$C$3:$C161,$C161),"00"))</f>
        <v/>
      </c>
      <c r="B161" s="15" t="n"/>
      <c r="C161" s="13" t="n"/>
      <c r="D161" s="17">
        <f>IF($C161="","",IFERROR(INDEX(NomsEmployes,MATCH($C161,MatriculesEmployes,0)),"MATRICULE INCONNU"))</f>
        <v/>
      </c>
      <c r="E161" s="9" t="n"/>
      <c r="F161" s="10" t="n"/>
      <c r="G161" s="10" t="n"/>
      <c r="H161" s="9" t="n"/>
      <c r="I161" s="9" t="n"/>
      <c r="J161" s="9" t="n"/>
      <c r="K161" s="46" t="n"/>
      <c r="L161" s="46" t="n"/>
      <c r="M161" s="27">
        <f>IF(OR($K161="",$L161="",$K161&lt;=0),"",$L161/$K161)</f>
        <v/>
      </c>
      <c r="N161" s="9" t="n"/>
      <c r="O161" s="10" t="n"/>
    </row>
    <row r="162" ht="15" customHeight="1">
      <c r="A162" s="12">
        <f>IF(OR($B162="",$C162=""),"","TR-"&amp;TEXT($B162,"YYYYMMDD")&amp;"-"&amp;$C162&amp;"-"&amp;TEXT(COUNTIFS($B$3:$B162,$B162,$C$3:$C162,$C162),"00"))</f>
        <v/>
      </c>
      <c r="B162" s="15" t="n"/>
      <c r="C162" s="13" t="n"/>
      <c r="D162" s="17">
        <f>IF($C162="","",IFERROR(INDEX(NomsEmployes,MATCH($C162,MatriculesEmployes,0)),"MATRICULE INCONNU"))</f>
        <v/>
      </c>
      <c r="E162" s="9" t="n"/>
      <c r="F162" s="10" t="n"/>
      <c r="G162" s="10" t="n"/>
      <c r="H162" s="9" t="n"/>
      <c r="I162" s="9" t="n"/>
      <c r="J162" s="9" t="n"/>
      <c r="K162" s="46" t="n"/>
      <c r="L162" s="46" t="n"/>
      <c r="M162" s="27">
        <f>IF(OR($K162="",$L162="",$K162&lt;=0),"",$L162/$K162)</f>
        <v/>
      </c>
      <c r="N162" s="9" t="n"/>
      <c r="O162" s="10" t="n"/>
    </row>
    <row r="163" ht="15" customHeight="1">
      <c r="A163" s="12">
        <f>IF(OR($B163="",$C163=""),"","TR-"&amp;TEXT($B163,"YYYYMMDD")&amp;"-"&amp;$C163&amp;"-"&amp;TEXT(COUNTIFS($B$3:$B163,$B163,$C$3:$C163,$C163),"00"))</f>
        <v/>
      </c>
      <c r="B163" s="15" t="n"/>
      <c r="C163" s="13" t="n"/>
      <c r="D163" s="17">
        <f>IF($C163="","",IFERROR(INDEX(NomsEmployes,MATCH($C163,MatriculesEmployes,0)),"MATRICULE INCONNU"))</f>
        <v/>
      </c>
      <c r="E163" s="9" t="n"/>
      <c r="F163" s="10" t="n"/>
      <c r="G163" s="10" t="n"/>
      <c r="H163" s="9" t="n"/>
      <c r="I163" s="9" t="n"/>
      <c r="J163" s="9" t="n"/>
      <c r="K163" s="46" t="n"/>
      <c r="L163" s="46" t="n"/>
      <c r="M163" s="27">
        <f>IF(OR($K163="",$L163="",$K163&lt;=0),"",$L163/$K163)</f>
        <v/>
      </c>
      <c r="N163" s="9" t="n"/>
      <c r="O163" s="10" t="n"/>
    </row>
    <row r="164" ht="15" customHeight="1">
      <c r="A164" s="12">
        <f>IF(OR($B164="",$C164=""),"","TR-"&amp;TEXT($B164,"YYYYMMDD")&amp;"-"&amp;$C164&amp;"-"&amp;TEXT(COUNTIFS($B$3:$B164,$B164,$C$3:$C164,$C164),"00"))</f>
        <v/>
      </c>
      <c r="B164" s="15" t="n"/>
      <c r="C164" s="13" t="n"/>
      <c r="D164" s="17">
        <f>IF($C164="","",IFERROR(INDEX(NomsEmployes,MATCH($C164,MatriculesEmployes,0)),"MATRICULE INCONNU"))</f>
        <v/>
      </c>
      <c r="E164" s="9" t="n"/>
      <c r="F164" s="10" t="n"/>
      <c r="G164" s="10" t="n"/>
      <c r="H164" s="9" t="n"/>
      <c r="I164" s="9" t="n"/>
      <c r="J164" s="9" t="n"/>
      <c r="K164" s="46" t="n"/>
      <c r="L164" s="46" t="n"/>
      <c r="M164" s="27">
        <f>IF(OR($K164="",$L164="",$K164&lt;=0),"",$L164/$K164)</f>
        <v/>
      </c>
      <c r="N164" s="9" t="n"/>
      <c r="O164" s="10" t="n"/>
    </row>
    <row r="165" ht="15" customHeight="1">
      <c r="A165" s="12">
        <f>IF(OR($B165="",$C165=""),"","TR-"&amp;TEXT($B165,"YYYYMMDD")&amp;"-"&amp;$C165&amp;"-"&amp;TEXT(COUNTIFS($B$3:$B165,$B165,$C$3:$C165,$C165),"00"))</f>
        <v/>
      </c>
      <c r="B165" s="15" t="n"/>
      <c r="C165" s="13" t="n"/>
      <c r="D165" s="17">
        <f>IF($C165="","",IFERROR(INDEX(NomsEmployes,MATCH($C165,MatriculesEmployes,0)),"MATRICULE INCONNU"))</f>
        <v/>
      </c>
      <c r="E165" s="9" t="n"/>
      <c r="F165" s="10" t="n"/>
      <c r="G165" s="10" t="n"/>
      <c r="H165" s="9" t="n"/>
      <c r="I165" s="9" t="n"/>
      <c r="J165" s="9" t="n"/>
      <c r="K165" s="46" t="n"/>
      <c r="L165" s="46" t="n"/>
      <c r="M165" s="27">
        <f>IF(OR($K165="",$L165="",$K165&lt;=0),"",$L165/$K165)</f>
        <v/>
      </c>
      <c r="N165" s="9" t="n"/>
      <c r="O165" s="10" t="n"/>
    </row>
    <row r="166" ht="15" customHeight="1">
      <c r="A166" s="12">
        <f>IF(OR($B166="",$C166=""),"","TR-"&amp;TEXT($B166,"YYYYMMDD")&amp;"-"&amp;$C166&amp;"-"&amp;TEXT(COUNTIFS($B$3:$B166,$B166,$C$3:$C166,$C166),"00"))</f>
        <v/>
      </c>
      <c r="B166" s="15" t="n"/>
      <c r="C166" s="13" t="n"/>
      <c r="D166" s="17">
        <f>IF($C166="","",IFERROR(INDEX(NomsEmployes,MATCH($C166,MatriculesEmployes,0)),"MATRICULE INCONNU"))</f>
        <v/>
      </c>
      <c r="E166" s="9" t="n"/>
      <c r="F166" s="10" t="n"/>
      <c r="G166" s="10" t="n"/>
      <c r="H166" s="9" t="n"/>
      <c r="I166" s="9" t="n"/>
      <c r="J166" s="9" t="n"/>
      <c r="K166" s="46" t="n"/>
      <c r="L166" s="46" t="n"/>
      <c r="M166" s="27">
        <f>IF(OR($K166="",$L166="",$K166&lt;=0),"",$L166/$K166)</f>
        <v/>
      </c>
      <c r="N166" s="9" t="n"/>
      <c r="O166" s="10" t="n"/>
    </row>
    <row r="167" ht="15" customHeight="1">
      <c r="A167" s="12">
        <f>IF(OR($B167="",$C167=""),"","TR-"&amp;TEXT($B167,"YYYYMMDD")&amp;"-"&amp;$C167&amp;"-"&amp;TEXT(COUNTIFS($B$3:$B167,$B167,$C$3:$C167,$C167),"00"))</f>
        <v/>
      </c>
      <c r="B167" s="15" t="n"/>
      <c r="C167" s="13" t="n"/>
      <c r="D167" s="17">
        <f>IF($C167="","",IFERROR(INDEX(NomsEmployes,MATCH($C167,MatriculesEmployes,0)),"MATRICULE INCONNU"))</f>
        <v/>
      </c>
      <c r="E167" s="9" t="n"/>
      <c r="F167" s="10" t="n"/>
      <c r="G167" s="10" t="n"/>
      <c r="H167" s="9" t="n"/>
      <c r="I167" s="9" t="n"/>
      <c r="J167" s="9" t="n"/>
      <c r="K167" s="46" t="n"/>
      <c r="L167" s="46" t="n"/>
      <c r="M167" s="27">
        <f>IF(OR($K167="",$L167="",$K167&lt;=0),"",$L167/$K167)</f>
        <v/>
      </c>
      <c r="N167" s="9" t="n"/>
      <c r="O167" s="10" t="n"/>
    </row>
    <row r="168" ht="15" customHeight="1">
      <c r="A168" s="12">
        <f>IF(OR($B168="",$C168=""),"","TR-"&amp;TEXT($B168,"YYYYMMDD")&amp;"-"&amp;$C168&amp;"-"&amp;TEXT(COUNTIFS($B$3:$B168,$B168,$C$3:$C168,$C168),"00"))</f>
        <v/>
      </c>
      <c r="B168" s="15" t="n"/>
      <c r="C168" s="13" t="n"/>
      <c r="D168" s="17">
        <f>IF($C168="","",IFERROR(INDEX(NomsEmployes,MATCH($C168,MatriculesEmployes,0)),"MATRICULE INCONNU"))</f>
        <v/>
      </c>
      <c r="E168" s="9" t="n"/>
      <c r="F168" s="10" t="n"/>
      <c r="G168" s="10" t="n"/>
      <c r="H168" s="9" t="n"/>
      <c r="I168" s="9" t="n"/>
      <c r="J168" s="9" t="n"/>
      <c r="K168" s="46" t="n"/>
      <c r="L168" s="46" t="n"/>
      <c r="M168" s="27">
        <f>IF(OR($K168="",$L168="",$K168&lt;=0),"",$L168/$K168)</f>
        <v/>
      </c>
      <c r="N168" s="9" t="n"/>
      <c r="O168" s="10" t="n"/>
    </row>
    <row r="169" ht="15" customHeight="1">
      <c r="A169" s="12">
        <f>IF(OR($B169="",$C169=""),"","TR-"&amp;TEXT($B169,"YYYYMMDD")&amp;"-"&amp;$C169&amp;"-"&amp;TEXT(COUNTIFS($B$3:$B169,$B169,$C$3:$C169,$C169),"00"))</f>
        <v/>
      </c>
      <c r="B169" s="15" t="n"/>
      <c r="C169" s="13" t="n"/>
      <c r="D169" s="17">
        <f>IF($C169="","",IFERROR(INDEX(NomsEmployes,MATCH($C169,MatriculesEmployes,0)),"MATRICULE INCONNU"))</f>
        <v/>
      </c>
      <c r="E169" s="9" t="n"/>
      <c r="F169" s="10" t="n"/>
      <c r="G169" s="10" t="n"/>
      <c r="H169" s="9" t="n"/>
      <c r="I169" s="9" t="n"/>
      <c r="J169" s="9" t="n"/>
      <c r="K169" s="46" t="n"/>
      <c r="L169" s="46" t="n"/>
      <c r="M169" s="27">
        <f>IF(OR($K169="",$L169="",$K169&lt;=0),"",$L169/$K169)</f>
        <v/>
      </c>
      <c r="N169" s="9" t="n"/>
      <c r="O169" s="10" t="n"/>
    </row>
    <row r="170" ht="15" customHeight="1">
      <c r="A170" s="12">
        <f>IF(OR($B170="",$C170=""),"","TR-"&amp;TEXT($B170,"YYYYMMDD")&amp;"-"&amp;$C170&amp;"-"&amp;TEXT(COUNTIFS($B$3:$B170,$B170,$C$3:$C170,$C170),"00"))</f>
        <v/>
      </c>
      <c r="B170" s="15" t="n"/>
      <c r="C170" s="13" t="n"/>
      <c r="D170" s="17">
        <f>IF($C170="","",IFERROR(INDEX(NomsEmployes,MATCH($C170,MatriculesEmployes,0)),"MATRICULE INCONNU"))</f>
        <v/>
      </c>
      <c r="E170" s="9" t="n"/>
      <c r="F170" s="10" t="n"/>
      <c r="G170" s="10" t="n"/>
      <c r="H170" s="9" t="n"/>
      <c r="I170" s="9" t="n"/>
      <c r="J170" s="9" t="n"/>
      <c r="K170" s="46" t="n"/>
      <c r="L170" s="46" t="n"/>
      <c r="M170" s="27">
        <f>IF(OR($K170="",$L170="",$K170&lt;=0),"",$L170/$K170)</f>
        <v/>
      </c>
      <c r="N170" s="9" t="n"/>
      <c r="O170" s="10" t="n"/>
    </row>
    <row r="171" ht="15" customHeight="1">
      <c r="A171" s="12">
        <f>IF(OR($B171="",$C171=""),"","TR-"&amp;TEXT($B171,"YYYYMMDD")&amp;"-"&amp;$C171&amp;"-"&amp;TEXT(COUNTIFS($B$3:$B171,$B171,$C$3:$C171,$C171),"00"))</f>
        <v/>
      </c>
      <c r="B171" s="15" t="n"/>
      <c r="C171" s="13" t="n"/>
      <c r="D171" s="17">
        <f>IF($C171="","",IFERROR(INDEX(NomsEmployes,MATCH($C171,MatriculesEmployes,0)),"MATRICULE INCONNU"))</f>
        <v/>
      </c>
      <c r="E171" s="9" t="n"/>
      <c r="F171" s="10" t="n"/>
      <c r="G171" s="10" t="n"/>
      <c r="H171" s="9" t="n"/>
      <c r="I171" s="9" t="n"/>
      <c r="J171" s="9" t="n"/>
      <c r="K171" s="46" t="n"/>
      <c r="L171" s="46" t="n"/>
      <c r="M171" s="27">
        <f>IF(OR($K171="",$L171="",$K171&lt;=0),"",$L171/$K171)</f>
        <v/>
      </c>
      <c r="N171" s="9" t="n"/>
      <c r="O171" s="10" t="n"/>
    </row>
    <row r="172" ht="15" customHeight="1">
      <c r="A172" s="12">
        <f>IF(OR($B172="",$C172=""),"","TR-"&amp;TEXT($B172,"YYYYMMDD")&amp;"-"&amp;$C172&amp;"-"&amp;TEXT(COUNTIFS($B$3:$B172,$B172,$C$3:$C172,$C172),"00"))</f>
        <v/>
      </c>
      <c r="B172" s="15" t="n"/>
      <c r="C172" s="13" t="n"/>
      <c r="D172" s="17">
        <f>IF($C172="","",IFERROR(INDEX(NomsEmployes,MATCH($C172,MatriculesEmployes,0)),"MATRICULE INCONNU"))</f>
        <v/>
      </c>
      <c r="E172" s="9" t="n"/>
      <c r="F172" s="10" t="n"/>
      <c r="G172" s="10" t="n"/>
      <c r="H172" s="9" t="n"/>
      <c r="I172" s="9" t="n"/>
      <c r="J172" s="9" t="n"/>
      <c r="K172" s="46" t="n"/>
      <c r="L172" s="46" t="n"/>
      <c r="M172" s="27">
        <f>IF(OR($K172="",$L172="",$K172&lt;=0),"",$L172/$K172)</f>
        <v/>
      </c>
      <c r="N172" s="9" t="n"/>
      <c r="O172" s="10" t="n"/>
    </row>
    <row r="173" ht="15" customHeight="1">
      <c r="A173" s="12">
        <f>IF(OR($B173="",$C173=""),"","TR-"&amp;TEXT($B173,"YYYYMMDD")&amp;"-"&amp;$C173&amp;"-"&amp;TEXT(COUNTIFS($B$3:$B173,$B173,$C$3:$C173,$C173),"00"))</f>
        <v/>
      </c>
      <c r="B173" s="15" t="n"/>
      <c r="C173" s="13" t="n"/>
      <c r="D173" s="17">
        <f>IF($C173="","",IFERROR(INDEX(NomsEmployes,MATCH($C173,MatriculesEmployes,0)),"MATRICULE INCONNU"))</f>
        <v/>
      </c>
      <c r="E173" s="9" t="n"/>
      <c r="F173" s="10" t="n"/>
      <c r="G173" s="10" t="n"/>
      <c r="H173" s="9" t="n"/>
      <c r="I173" s="9" t="n"/>
      <c r="J173" s="9" t="n"/>
      <c r="K173" s="46" t="n"/>
      <c r="L173" s="46" t="n"/>
      <c r="M173" s="27">
        <f>IF(OR($K173="",$L173="",$K173&lt;=0),"",$L173/$K173)</f>
        <v/>
      </c>
      <c r="N173" s="9" t="n"/>
      <c r="O173" s="10" t="n"/>
    </row>
    <row r="174" ht="15" customHeight="1">
      <c r="A174" s="12">
        <f>IF(OR($B174="",$C174=""),"","TR-"&amp;TEXT($B174,"YYYYMMDD")&amp;"-"&amp;$C174&amp;"-"&amp;TEXT(COUNTIFS($B$3:$B174,$B174,$C$3:$C174,$C174),"00"))</f>
        <v/>
      </c>
      <c r="B174" s="15" t="n"/>
      <c r="C174" s="13" t="n"/>
      <c r="D174" s="17">
        <f>IF($C174="","",IFERROR(INDEX(NomsEmployes,MATCH($C174,MatriculesEmployes,0)),"MATRICULE INCONNU"))</f>
        <v/>
      </c>
      <c r="E174" s="9" t="n"/>
      <c r="F174" s="10" t="n"/>
      <c r="G174" s="10" t="n"/>
      <c r="H174" s="9" t="n"/>
      <c r="I174" s="9" t="n"/>
      <c r="J174" s="9" t="n"/>
      <c r="K174" s="46" t="n"/>
      <c r="L174" s="46" t="n"/>
      <c r="M174" s="27">
        <f>IF(OR($K174="",$L174="",$K174&lt;=0),"",$L174/$K174)</f>
        <v/>
      </c>
      <c r="N174" s="9" t="n"/>
      <c r="O174" s="10" t="n"/>
    </row>
    <row r="175" ht="15" customHeight="1">
      <c r="A175" s="12">
        <f>IF(OR($B175="",$C175=""),"","TR-"&amp;TEXT($B175,"YYYYMMDD")&amp;"-"&amp;$C175&amp;"-"&amp;TEXT(COUNTIFS($B$3:$B175,$B175,$C$3:$C175,$C175),"00"))</f>
        <v/>
      </c>
      <c r="B175" s="15" t="n"/>
      <c r="C175" s="13" t="n"/>
      <c r="D175" s="17">
        <f>IF($C175="","",IFERROR(INDEX(NomsEmployes,MATCH($C175,MatriculesEmployes,0)),"MATRICULE INCONNU"))</f>
        <v/>
      </c>
      <c r="E175" s="9" t="n"/>
      <c r="F175" s="10" t="n"/>
      <c r="G175" s="10" t="n"/>
      <c r="H175" s="9" t="n"/>
      <c r="I175" s="9" t="n"/>
      <c r="J175" s="9" t="n"/>
      <c r="K175" s="46" t="n"/>
      <c r="L175" s="46" t="n"/>
      <c r="M175" s="27">
        <f>IF(OR($K175="",$L175="",$K175&lt;=0),"",$L175/$K175)</f>
        <v/>
      </c>
      <c r="N175" s="9" t="n"/>
      <c r="O175" s="10" t="n"/>
    </row>
    <row r="176" ht="15" customHeight="1">
      <c r="A176" s="12">
        <f>IF(OR($B176="",$C176=""),"","TR-"&amp;TEXT($B176,"YYYYMMDD")&amp;"-"&amp;$C176&amp;"-"&amp;TEXT(COUNTIFS($B$3:$B176,$B176,$C$3:$C176,$C176),"00"))</f>
        <v/>
      </c>
      <c r="B176" s="15" t="n"/>
      <c r="C176" s="13" t="n"/>
      <c r="D176" s="17">
        <f>IF($C176="","",IFERROR(INDEX(NomsEmployes,MATCH($C176,MatriculesEmployes,0)),"MATRICULE INCONNU"))</f>
        <v/>
      </c>
      <c r="E176" s="9" t="n"/>
      <c r="F176" s="10" t="n"/>
      <c r="G176" s="10" t="n"/>
      <c r="H176" s="9" t="n"/>
      <c r="I176" s="9" t="n"/>
      <c r="J176" s="9" t="n"/>
      <c r="K176" s="46" t="n"/>
      <c r="L176" s="46" t="n"/>
      <c r="M176" s="27">
        <f>IF(OR($K176="",$L176="",$K176&lt;=0),"",$L176/$K176)</f>
        <v/>
      </c>
      <c r="N176" s="9" t="n"/>
      <c r="O176" s="10" t="n"/>
    </row>
    <row r="177" ht="15" customHeight="1">
      <c r="A177" s="12">
        <f>IF(OR($B177="",$C177=""),"","TR-"&amp;TEXT($B177,"YYYYMMDD")&amp;"-"&amp;$C177&amp;"-"&amp;TEXT(COUNTIFS($B$3:$B177,$B177,$C$3:$C177,$C177),"00"))</f>
        <v/>
      </c>
      <c r="B177" s="15" t="n"/>
      <c r="C177" s="13" t="n"/>
      <c r="D177" s="17">
        <f>IF($C177="","",IFERROR(INDEX(NomsEmployes,MATCH($C177,MatriculesEmployes,0)),"MATRICULE INCONNU"))</f>
        <v/>
      </c>
      <c r="E177" s="9" t="n"/>
      <c r="F177" s="10" t="n"/>
      <c r="G177" s="10" t="n"/>
      <c r="H177" s="9" t="n"/>
      <c r="I177" s="9" t="n"/>
      <c r="J177" s="9" t="n"/>
      <c r="K177" s="46" t="n"/>
      <c r="L177" s="46" t="n"/>
      <c r="M177" s="27">
        <f>IF(OR($K177="",$L177="",$K177&lt;=0),"",$L177/$K177)</f>
        <v/>
      </c>
      <c r="N177" s="9" t="n"/>
      <c r="O177" s="10" t="n"/>
    </row>
    <row r="178" ht="15" customHeight="1">
      <c r="A178" s="12">
        <f>IF(OR($B178="",$C178=""),"","TR-"&amp;TEXT($B178,"YYYYMMDD")&amp;"-"&amp;$C178&amp;"-"&amp;TEXT(COUNTIFS($B$3:$B178,$B178,$C$3:$C178,$C178),"00"))</f>
        <v/>
      </c>
      <c r="B178" s="15" t="n"/>
      <c r="C178" s="13" t="n"/>
      <c r="D178" s="17">
        <f>IF($C178="","",IFERROR(INDEX(NomsEmployes,MATCH($C178,MatriculesEmployes,0)),"MATRICULE INCONNU"))</f>
        <v/>
      </c>
      <c r="E178" s="9" t="n"/>
      <c r="F178" s="10" t="n"/>
      <c r="G178" s="10" t="n"/>
      <c r="H178" s="9" t="n"/>
      <c r="I178" s="9" t="n"/>
      <c r="J178" s="9" t="n"/>
      <c r="K178" s="46" t="n"/>
      <c r="L178" s="46" t="n"/>
      <c r="M178" s="27">
        <f>IF(OR($K178="",$L178="",$K178&lt;=0),"",$L178/$K178)</f>
        <v/>
      </c>
      <c r="N178" s="9" t="n"/>
      <c r="O178" s="10" t="n"/>
    </row>
    <row r="179" ht="15" customHeight="1">
      <c r="A179" s="12">
        <f>IF(OR($B179="",$C179=""),"","TR-"&amp;TEXT($B179,"YYYYMMDD")&amp;"-"&amp;$C179&amp;"-"&amp;TEXT(COUNTIFS($B$3:$B179,$B179,$C$3:$C179,$C179),"00"))</f>
        <v/>
      </c>
      <c r="B179" s="15" t="n"/>
      <c r="C179" s="13" t="n"/>
      <c r="D179" s="17">
        <f>IF($C179="","",IFERROR(INDEX(NomsEmployes,MATCH($C179,MatriculesEmployes,0)),"MATRICULE INCONNU"))</f>
        <v/>
      </c>
      <c r="E179" s="9" t="n"/>
      <c r="F179" s="10" t="n"/>
      <c r="G179" s="10" t="n"/>
      <c r="H179" s="9" t="n"/>
      <c r="I179" s="9" t="n"/>
      <c r="J179" s="9" t="n"/>
      <c r="K179" s="46" t="n"/>
      <c r="L179" s="46" t="n"/>
      <c r="M179" s="27">
        <f>IF(OR($K179="",$L179="",$K179&lt;=0),"",$L179/$K179)</f>
        <v/>
      </c>
      <c r="N179" s="9" t="n"/>
      <c r="O179" s="10" t="n"/>
    </row>
    <row r="180" ht="15" customHeight="1">
      <c r="A180" s="12">
        <f>IF(OR($B180="",$C180=""),"","TR-"&amp;TEXT($B180,"YYYYMMDD")&amp;"-"&amp;$C180&amp;"-"&amp;TEXT(COUNTIFS($B$3:$B180,$B180,$C$3:$C180,$C180),"00"))</f>
        <v/>
      </c>
      <c r="B180" s="15" t="n"/>
      <c r="C180" s="13" t="n"/>
      <c r="D180" s="17">
        <f>IF($C180="","",IFERROR(INDEX(NomsEmployes,MATCH($C180,MatriculesEmployes,0)),"MATRICULE INCONNU"))</f>
        <v/>
      </c>
      <c r="E180" s="9" t="n"/>
      <c r="F180" s="10" t="n"/>
      <c r="G180" s="10" t="n"/>
      <c r="H180" s="9" t="n"/>
      <c r="I180" s="9" t="n"/>
      <c r="J180" s="9" t="n"/>
      <c r="K180" s="46" t="n"/>
      <c r="L180" s="46" t="n"/>
      <c r="M180" s="27">
        <f>IF(OR($K180="",$L180="",$K180&lt;=0),"",$L180/$K180)</f>
        <v/>
      </c>
      <c r="N180" s="9" t="n"/>
      <c r="O180" s="10" t="n"/>
    </row>
    <row r="181" ht="15" customHeight="1">
      <c r="A181" s="12">
        <f>IF(OR($B181="",$C181=""),"","TR-"&amp;TEXT($B181,"YYYYMMDD")&amp;"-"&amp;$C181&amp;"-"&amp;TEXT(COUNTIFS($B$3:$B181,$B181,$C$3:$C181,$C181),"00"))</f>
        <v/>
      </c>
      <c r="B181" s="15" t="n"/>
      <c r="C181" s="13" t="n"/>
      <c r="D181" s="17">
        <f>IF($C181="","",IFERROR(INDEX(NomsEmployes,MATCH($C181,MatriculesEmployes,0)),"MATRICULE INCONNU"))</f>
        <v/>
      </c>
      <c r="E181" s="9" t="n"/>
      <c r="F181" s="10" t="n"/>
      <c r="G181" s="10" t="n"/>
      <c r="H181" s="9" t="n"/>
      <c r="I181" s="9" t="n"/>
      <c r="J181" s="9" t="n"/>
      <c r="K181" s="46" t="n"/>
      <c r="L181" s="46" t="n"/>
      <c r="M181" s="27">
        <f>IF(OR($K181="",$L181="",$K181&lt;=0),"",$L181/$K181)</f>
        <v/>
      </c>
      <c r="N181" s="9" t="n"/>
      <c r="O181" s="10" t="n"/>
    </row>
    <row r="182" ht="15" customHeight="1">
      <c r="A182" s="12">
        <f>IF(OR($B182="",$C182=""),"","TR-"&amp;TEXT($B182,"YYYYMMDD")&amp;"-"&amp;$C182&amp;"-"&amp;TEXT(COUNTIFS($B$3:$B182,$B182,$C$3:$C182,$C182),"00"))</f>
        <v/>
      </c>
      <c r="B182" s="15" t="n"/>
      <c r="C182" s="13" t="n"/>
      <c r="D182" s="17">
        <f>IF($C182="","",IFERROR(INDEX(NomsEmployes,MATCH($C182,MatriculesEmployes,0)),"MATRICULE INCONNU"))</f>
        <v/>
      </c>
      <c r="E182" s="9" t="n"/>
      <c r="F182" s="10" t="n"/>
      <c r="G182" s="10" t="n"/>
      <c r="H182" s="9" t="n"/>
      <c r="I182" s="9" t="n"/>
      <c r="J182" s="9" t="n"/>
      <c r="K182" s="46" t="n"/>
      <c r="L182" s="46" t="n"/>
      <c r="M182" s="27">
        <f>IF(OR($K182="",$L182="",$K182&lt;=0),"",$L182/$K182)</f>
        <v/>
      </c>
      <c r="N182" s="9" t="n"/>
      <c r="O182" s="10" t="n"/>
    </row>
    <row r="183" ht="15" customHeight="1">
      <c r="A183" s="12">
        <f>IF(OR($B183="",$C183=""),"","TR-"&amp;TEXT($B183,"YYYYMMDD")&amp;"-"&amp;$C183&amp;"-"&amp;TEXT(COUNTIFS($B$3:$B183,$B183,$C$3:$C183,$C183),"00"))</f>
        <v/>
      </c>
      <c r="B183" s="15" t="n"/>
      <c r="C183" s="13" t="n"/>
      <c r="D183" s="17">
        <f>IF($C183="","",IFERROR(INDEX(NomsEmployes,MATCH($C183,MatriculesEmployes,0)),"MATRICULE INCONNU"))</f>
        <v/>
      </c>
      <c r="E183" s="9" t="n"/>
      <c r="F183" s="10" t="n"/>
      <c r="G183" s="10" t="n"/>
      <c r="H183" s="9" t="n"/>
      <c r="I183" s="9" t="n"/>
      <c r="J183" s="9" t="n"/>
      <c r="K183" s="46" t="n"/>
      <c r="L183" s="46" t="n"/>
      <c r="M183" s="27">
        <f>IF(OR($K183="",$L183="",$K183&lt;=0),"",$L183/$K183)</f>
        <v/>
      </c>
      <c r="N183" s="9" t="n"/>
      <c r="O183" s="10" t="n"/>
    </row>
    <row r="184" ht="15" customHeight="1">
      <c r="A184" s="12">
        <f>IF(OR($B184="",$C184=""),"","TR-"&amp;TEXT($B184,"YYYYMMDD")&amp;"-"&amp;$C184&amp;"-"&amp;TEXT(COUNTIFS($B$3:$B184,$B184,$C$3:$C184,$C184),"00"))</f>
        <v/>
      </c>
      <c r="B184" s="15" t="n"/>
      <c r="C184" s="13" t="n"/>
      <c r="D184" s="17">
        <f>IF($C184="","",IFERROR(INDEX(NomsEmployes,MATCH($C184,MatriculesEmployes,0)),"MATRICULE INCONNU"))</f>
        <v/>
      </c>
      <c r="E184" s="9" t="n"/>
      <c r="F184" s="10" t="n"/>
      <c r="G184" s="10" t="n"/>
      <c r="H184" s="9" t="n"/>
      <c r="I184" s="9" t="n"/>
      <c r="J184" s="9" t="n"/>
      <c r="K184" s="46" t="n"/>
      <c r="L184" s="46" t="n"/>
      <c r="M184" s="27">
        <f>IF(OR($K184="",$L184="",$K184&lt;=0),"",$L184/$K184)</f>
        <v/>
      </c>
      <c r="N184" s="9" t="n"/>
      <c r="O184" s="10" t="n"/>
    </row>
    <row r="185" ht="15" customHeight="1">
      <c r="A185" s="12">
        <f>IF(OR($B185="",$C185=""),"","TR-"&amp;TEXT($B185,"YYYYMMDD")&amp;"-"&amp;$C185&amp;"-"&amp;TEXT(COUNTIFS($B$3:$B185,$B185,$C$3:$C185,$C185),"00"))</f>
        <v/>
      </c>
      <c r="B185" s="15" t="n"/>
      <c r="C185" s="13" t="n"/>
      <c r="D185" s="17">
        <f>IF($C185="","",IFERROR(INDEX(NomsEmployes,MATCH($C185,MatriculesEmployes,0)),"MATRICULE INCONNU"))</f>
        <v/>
      </c>
      <c r="E185" s="9" t="n"/>
      <c r="F185" s="10" t="n"/>
      <c r="G185" s="10" t="n"/>
      <c r="H185" s="9" t="n"/>
      <c r="I185" s="9" t="n"/>
      <c r="J185" s="9" t="n"/>
      <c r="K185" s="46" t="n"/>
      <c r="L185" s="46" t="n"/>
      <c r="M185" s="27">
        <f>IF(OR($K185="",$L185="",$K185&lt;=0),"",$L185/$K185)</f>
        <v/>
      </c>
      <c r="N185" s="9" t="n"/>
      <c r="O185" s="10" t="n"/>
    </row>
    <row r="186" ht="15" customHeight="1">
      <c r="A186" s="12">
        <f>IF(OR($B186="",$C186=""),"","TR-"&amp;TEXT($B186,"YYYYMMDD")&amp;"-"&amp;$C186&amp;"-"&amp;TEXT(COUNTIFS($B$3:$B186,$B186,$C$3:$C186,$C186),"00"))</f>
        <v/>
      </c>
      <c r="B186" s="15" t="n"/>
      <c r="C186" s="13" t="n"/>
      <c r="D186" s="17">
        <f>IF($C186="","",IFERROR(INDEX(NomsEmployes,MATCH($C186,MatriculesEmployes,0)),"MATRICULE INCONNU"))</f>
        <v/>
      </c>
      <c r="E186" s="9" t="n"/>
      <c r="F186" s="10" t="n"/>
      <c r="G186" s="10" t="n"/>
      <c r="H186" s="9" t="n"/>
      <c r="I186" s="9" t="n"/>
      <c r="J186" s="9" t="n"/>
      <c r="K186" s="46" t="n"/>
      <c r="L186" s="46" t="n"/>
      <c r="M186" s="27">
        <f>IF(OR($K186="",$L186="",$K186&lt;=0),"",$L186/$K186)</f>
        <v/>
      </c>
      <c r="N186" s="9" t="n"/>
      <c r="O186" s="10" t="n"/>
    </row>
    <row r="187" ht="15" customHeight="1">
      <c r="A187" s="12">
        <f>IF(OR($B187="",$C187=""),"","TR-"&amp;TEXT($B187,"YYYYMMDD")&amp;"-"&amp;$C187&amp;"-"&amp;TEXT(COUNTIFS($B$3:$B187,$B187,$C$3:$C187,$C187),"00"))</f>
        <v/>
      </c>
      <c r="B187" s="15" t="n"/>
      <c r="C187" s="13" t="n"/>
      <c r="D187" s="17">
        <f>IF($C187="","",IFERROR(INDEX(NomsEmployes,MATCH($C187,MatriculesEmployes,0)),"MATRICULE INCONNU"))</f>
        <v/>
      </c>
      <c r="E187" s="9" t="n"/>
      <c r="F187" s="10" t="n"/>
      <c r="G187" s="10" t="n"/>
      <c r="H187" s="9" t="n"/>
      <c r="I187" s="9" t="n"/>
      <c r="J187" s="9" t="n"/>
      <c r="K187" s="46" t="n"/>
      <c r="L187" s="46" t="n"/>
      <c r="M187" s="27">
        <f>IF(OR($K187="",$L187="",$K187&lt;=0),"",$L187/$K187)</f>
        <v/>
      </c>
      <c r="N187" s="9" t="n"/>
      <c r="O187" s="10" t="n"/>
    </row>
    <row r="188" ht="15" customHeight="1">
      <c r="A188" s="12">
        <f>IF(OR($B188="",$C188=""),"","TR-"&amp;TEXT($B188,"YYYYMMDD")&amp;"-"&amp;$C188&amp;"-"&amp;TEXT(COUNTIFS($B$3:$B188,$B188,$C$3:$C188,$C188),"00"))</f>
        <v/>
      </c>
      <c r="B188" s="15" t="n"/>
      <c r="C188" s="13" t="n"/>
      <c r="D188" s="17">
        <f>IF($C188="","",IFERROR(INDEX(NomsEmployes,MATCH($C188,MatriculesEmployes,0)),"MATRICULE INCONNU"))</f>
        <v/>
      </c>
      <c r="E188" s="9" t="n"/>
      <c r="F188" s="10" t="n"/>
      <c r="G188" s="10" t="n"/>
      <c r="H188" s="9" t="n"/>
      <c r="I188" s="9" t="n"/>
      <c r="J188" s="9" t="n"/>
      <c r="K188" s="46" t="n"/>
      <c r="L188" s="46" t="n"/>
      <c r="M188" s="27">
        <f>IF(OR($K188="",$L188="",$K188&lt;=0),"",$L188/$K188)</f>
        <v/>
      </c>
      <c r="N188" s="9" t="n"/>
      <c r="O188" s="10" t="n"/>
    </row>
    <row r="189" ht="15" customHeight="1">
      <c r="A189" s="12">
        <f>IF(OR($B189="",$C189=""),"","TR-"&amp;TEXT($B189,"YYYYMMDD")&amp;"-"&amp;$C189&amp;"-"&amp;TEXT(COUNTIFS($B$3:$B189,$B189,$C$3:$C189,$C189),"00"))</f>
        <v/>
      </c>
      <c r="B189" s="15" t="n"/>
      <c r="C189" s="13" t="n"/>
      <c r="D189" s="17">
        <f>IF($C189="","",IFERROR(INDEX(NomsEmployes,MATCH($C189,MatriculesEmployes,0)),"MATRICULE INCONNU"))</f>
        <v/>
      </c>
      <c r="E189" s="9" t="n"/>
      <c r="F189" s="10" t="n"/>
      <c r="G189" s="10" t="n"/>
      <c r="H189" s="9" t="n"/>
      <c r="I189" s="9" t="n"/>
      <c r="J189" s="9" t="n"/>
      <c r="K189" s="46" t="n"/>
      <c r="L189" s="46" t="n"/>
      <c r="M189" s="27">
        <f>IF(OR($K189="",$L189="",$K189&lt;=0),"",$L189/$K189)</f>
        <v/>
      </c>
      <c r="N189" s="9" t="n"/>
      <c r="O189" s="10" t="n"/>
    </row>
    <row r="190" ht="15" customHeight="1">
      <c r="A190" s="12">
        <f>IF(OR($B190="",$C190=""),"","TR-"&amp;TEXT($B190,"YYYYMMDD")&amp;"-"&amp;$C190&amp;"-"&amp;TEXT(COUNTIFS($B$3:$B190,$B190,$C$3:$C190,$C190),"00"))</f>
        <v/>
      </c>
      <c r="B190" s="15" t="n"/>
      <c r="C190" s="13" t="n"/>
      <c r="D190" s="17">
        <f>IF($C190="","",IFERROR(INDEX(NomsEmployes,MATCH($C190,MatriculesEmployes,0)),"MATRICULE INCONNU"))</f>
        <v/>
      </c>
      <c r="E190" s="9" t="n"/>
      <c r="F190" s="10" t="n"/>
      <c r="G190" s="10" t="n"/>
      <c r="H190" s="9" t="n"/>
      <c r="I190" s="9" t="n"/>
      <c r="J190" s="9" t="n"/>
      <c r="K190" s="46" t="n"/>
      <c r="L190" s="46" t="n"/>
      <c r="M190" s="27">
        <f>IF(OR($K190="",$L190="",$K190&lt;=0),"",$L190/$K190)</f>
        <v/>
      </c>
      <c r="N190" s="9" t="n"/>
      <c r="O190" s="10" t="n"/>
    </row>
    <row r="191" ht="15" customHeight="1">
      <c r="A191" s="12">
        <f>IF(OR($B191="",$C191=""),"","TR-"&amp;TEXT($B191,"YYYYMMDD")&amp;"-"&amp;$C191&amp;"-"&amp;TEXT(COUNTIFS($B$3:$B191,$B191,$C$3:$C191,$C191),"00"))</f>
        <v/>
      </c>
      <c r="B191" s="15" t="n"/>
      <c r="C191" s="13" t="n"/>
      <c r="D191" s="17">
        <f>IF($C191="","",IFERROR(INDEX(NomsEmployes,MATCH($C191,MatriculesEmployes,0)),"MATRICULE INCONNU"))</f>
        <v/>
      </c>
      <c r="E191" s="9" t="n"/>
      <c r="F191" s="10" t="n"/>
      <c r="G191" s="10" t="n"/>
      <c r="H191" s="9" t="n"/>
      <c r="I191" s="9" t="n"/>
      <c r="J191" s="9" t="n"/>
      <c r="K191" s="46" t="n"/>
      <c r="L191" s="46" t="n"/>
      <c r="M191" s="27">
        <f>IF(OR($K191="",$L191="",$K191&lt;=0),"",$L191/$K191)</f>
        <v/>
      </c>
      <c r="N191" s="9" t="n"/>
      <c r="O191" s="10" t="n"/>
    </row>
    <row r="192" ht="15" customHeight="1">
      <c r="A192" s="12">
        <f>IF(OR($B192="",$C192=""),"","TR-"&amp;TEXT($B192,"YYYYMMDD")&amp;"-"&amp;$C192&amp;"-"&amp;TEXT(COUNTIFS($B$3:$B192,$B192,$C$3:$C192,$C192),"00"))</f>
        <v/>
      </c>
      <c r="B192" s="15" t="n"/>
      <c r="C192" s="13" t="n"/>
      <c r="D192" s="17">
        <f>IF($C192="","",IFERROR(INDEX(NomsEmployes,MATCH($C192,MatriculesEmployes,0)),"MATRICULE INCONNU"))</f>
        <v/>
      </c>
      <c r="E192" s="9" t="n"/>
      <c r="F192" s="10" t="n"/>
      <c r="G192" s="10" t="n"/>
      <c r="H192" s="9" t="n"/>
      <c r="I192" s="9" t="n"/>
      <c r="J192" s="9" t="n"/>
      <c r="K192" s="46" t="n"/>
      <c r="L192" s="46" t="n"/>
      <c r="M192" s="27">
        <f>IF(OR($K192="",$L192="",$K192&lt;=0),"",$L192/$K192)</f>
        <v/>
      </c>
      <c r="N192" s="9" t="n"/>
      <c r="O192" s="10" t="n"/>
    </row>
    <row r="193" ht="15" customHeight="1">
      <c r="A193" s="12">
        <f>IF(OR($B193="",$C193=""),"","TR-"&amp;TEXT($B193,"YYYYMMDD")&amp;"-"&amp;$C193&amp;"-"&amp;TEXT(COUNTIFS($B$3:$B193,$B193,$C$3:$C193,$C193),"00"))</f>
        <v/>
      </c>
      <c r="B193" s="15" t="n"/>
      <c r="C193" s="13" t="n"/>
      <c r="D193" s="17">
        <f>IF($C193="","",IFERROR(INDEX(NomsEmployes,MATCH($C193,MatriculesEmployes,0)),"MATRICULE INCONNU"))</f>
        <v/>
      </c>
      <c r="E193" s="9" t="n"/>
      <c r="F193" s="10" t="n"/>
      <c r="G193" s="10" t="n"/>
      <c r="H193" s="9" t="n"/>
      <c r="I193" s="9" t="n"/>
      <c r="J193" s="9" t="n"/>
      <c r="K193" s="46" t="n"/>
      <c r="L193" s="46" t="n"/>
      <c r="M193" s="27">
        <f>IF(OR($K193="",$L193="",$K193&lt;=0),"",$L193/$K193)</f>
        <v/>
      </c>
      <c r="N193" s="9" t="n"/>
      <c r="O193" s="10" t="n"/>
    </row>
    <row r="194" ht="15" customHeight="1">
      <c r="A194" s="12">
        <f>IF(OR($B194="",$C194=""),"","TR-"&amp;TEXT($B194,"YYYYMMDD")&amp;"-"&amp;$C194&amp;"-"&amp;TEXT(COUNTIFS($B$3:$B194,$B194,$C$3:$C194,$C194),"00"))</f>
        <v/>
      </c>
      <c r="B194" s="15" t="n"/>
      <c r="C194" s="13" t="n"/>
      <c r="D194" s="17">
        <f>IF($C194="","",IFERROR(INDEX(NomsEmployes,MATCH($C194,MatriculesEmployes,0)),"MATRICULE INCONNU"))</f>
        <v/>
      </c>
      <c r="E194" s="9" t="n"/>
      <c r="F194" s="10" t="n"/>
      <c r="G194" s="10" t="n"/>
      <c r="H194" s="9" t="n"/>
      <c r="I194" s="9" t="n"/>
      <c r="J194" s="9" t="n"/>
      <c r="K194" s="46" t="n"/>
      <c r="L194" s="46" t="n"/>
      <c r="M194" s="27">
        <f>IF(OR($K194="",$L194="",$K194&lt;=0),"",$L194/$K194)</f>
        <v/>
      </c>
      <c r="N194" s="9" t="n"/>
      <c r="O194" s="10" t="n"/>
    </row>
    <row r="195" ht="15" customHeight="1">
      <c r="A195" s="12">
        <f>IF(OR($B195="",$C195=""),"","TR-"&amp;TEXT($B195,"YYYYMMDD")&amp;"-"&amp;$C195&amp;"-"&amp;TEXT(COUNTIFS($B$3:$B195,$B195,$C$3:$C195,$C195),"00"))</f>
        <v/>
      </c>
      <c r="B195" s="15" t="n"/>
      <c r="C195" s="13" t="n"/>
      <c r="D195" s="17">
        <f>IF($C195="","",IFERROR(INDEX(NomsEmployes,MATCH($C195,MatriculesEmployes,0)),"MATRICULE INCONNU"))</f>
        <v/>
      </c>
      <c r="E195" s="9" t="n"/>
      <c r="F195" s="10" t="n"/>
      <c r="G195" s="10" t="n"/>
      <c r="H195" s="9" t="n"/>
      <c r="I195" s="9" t="n"/>
      <c r="J195" s="9" t="n"/>
      <c r="K195" s="46" t="n"/>
      <c r="L195" s="46" t="n"/>
      <c r="M195" s="27">
        <f>IF(OR($K195="",$L195="",$K195&lt;=0),"",$L195/$K195)</f>
        <v/>
      </c>
      <c r="N195" s="9" t="n"/>
      <c r="O195" s="10" t="n"/>
    </row>
    <row r="196" ht="15" customHeight="1">
      <c r="A196" s="12">
        <f>IF(OR($B196="",$C196=""),"","TR-"&amp;TEXT($B196,"YYYYMMDD")&amp;"-"&amp;$C196&amp;"-"&amp;TEXT(COUNTIFS($B$3:$B196,$B196,$C$3:$C196,$C196),"00"))</f>
        <v/>
      </c>
      <c r="B196" s="15" t="n"/>
      <c r="C196" s="13" t="n"/>
      <c r="D196" s="17">
        <f>IF($C196="","",IFERROR(INDEX(NomsEmployes,MATCH($C196,MatriculesEmployes,0)),"MATRICULE INCONNU"))</f>
        <v/>
      </c>
      <c r="E196" s="9" t="n"/>
      <c r="F196" s="10" t="n"/>
      <c r="G196" s="10" t="n"/>
      <c r="H196" s="9" t="n"/>
      <c r="I196" s="9" t="n"/>
      <c r="J196" s="9" t="n"/>
      <c r="K196" s="46" t="n"/>
      <c r="L196" s="46" t="n"/>
      <c r="M196" s="27">
        <f>IF(OR($K196="",$L196="",$K196&lt;=0),"",$L196/$K196)</f>
        <v/>
      </c>
      <c r="N196" s="9" t="n"/>
      <c r="O196" s="10" t="n"/>
    </row>
    <row r="197" ht="15" customHeight="1">
      <c r="A197" s="12">
        <f>IF(OR($B197="",$C197=""),"","TR-"&amp;TEXT($B197,"YYYYMMDD")&amp;"-"&amp;$C197&amp;"-"&amp;TEXT(COUNTIFS($B$3:$B197,$B197,$C$3:$C197,$C197),"00"))</f>
        <v/>
      </c>
      <c r="B197" s="15" t="n"/>
      <c r="C197" s="13" t="n"/>
      <c r="D197" s="17">
        <f>IF($C197="","",IFERROR(INDEX(NomsEmployes,MATCH($C197,MatriculesEmployes,0)),"MATRICULE INCONNU"))</f>
        <v/>
      </c>
      <c r="E197" s="9" t="n"/>
      <c r="F197" s="10" t="n"/>
      <c r="G197" s="10" t="n"/>
      <c r="H197" s="9" t="n"/>
      <c r="I197" s="9" t="n"/>
      <c r="J197" s="9" t="n"/>
      <c r="K197" s="46" t="n"/>
      <c r="L197" s="46" t="n"/>
      <c r="M197" s="27">
        <f>IF(OR($K197="",$L197="",$K197&lt;=0),"",$L197/$K197)</f>
        <v/>
      </c>
      <c r="N197" s="9" t="n"/>
      <c r="O197" s="10" t="n"/>
    </row>
    <row r="198" ht="15" customHeight="1">
      <c r="A198" s="12">
        <f>IF(OR($B198="",$C198=""),"","TR-"&amp;TEXT($B198,"YYYYMMDD")&amp;"-"&amp;$C198&amp;"-"&amp;TEXT(COUNTIFS($B$3:$B198,$B198,$C$3:$C198,$C198),"00"))</f>
        <v/>
      </c>
      <c r="B198" s="15" t="n"/>
      <c r="C198" s="13" t="n"/>
      <c r="D198" s="17">
        <f>IF($C198="","",IFERROR(INDEX(NomsEmployes,MATCH($C198,MatriculesEmployes,0)),"MATRICULE INCONNU"))</f>
        <v/>
      </c>
      <c r="E198" s="9" t="n"/>
      <c r="F198" s="10" t="n"/>
      <c r="G198" s="10" t="n"/>
      <c r="H198" s="9" t="n"/>
      <c r="I198" s="9" t="n"/>
      <c r="J198" s="9" t="n"/>
      <c r="K198" s="46" t="n"/>
      <c r="L198" s="46" t="n"/>
      <c r="M198" s="27">
        <f>IF(OR($K198="",$L198="",$K198&lt;=0),"",$L198/$K198)</f>
        <v/>
      </c>
      <c r="N198" s="9" t="n"/>
      <c r="O198" s="10" t="n"/>
    </row>
    <row r="199" ht="15" customHeight="1">
      <c r="A199" s="12">
        <f>IF(OR($B199="",$C199=""),"","TR-"&amp;TEXT($B199,"YYYYMMDD")&amp;"-"&amp;$C199&amp;"-"&amp;TEXT(COUNTIFS($B$3:$B199,$B199,$C$3:$C199,$C199),"00"))</f>
        <v/>
      </c>
      <c r="B199" s="15" t="n"/>
      <c r="C199" s="13" t="n"/>
      <c r="D199" s="17">
        <f>IF($C199="","",IFERROR(INDEX(NomsEmployes,MATCH($C199,MatriculesEmployes,0)),"MATRICULE INCONNU"))</f>
        <v/>
      </c>
      <c r="E199" s="9" t="n"/>
      <c r="F199" s="10" t="n"/>
      <c r="G199" s="10" t="n"/>
      <c r="H199" s="9" t="n"/>
      <c r="I199" s="9" t="n"/>
      <c r="J199" s="9" t="n"/>
      <c r="K199" s="46" t="n"/>
      <c r="L199" s="46" t="n"/>
      <c r="M199" s="27">
        <f>IF(OR($K199="",$L199="",$K199&lt;=0),"",$L199/$K199)</f>
        <v/>
      </c>
      <c r="N199" s="9" t="n"/>
      <c r="O199" s="10" t="n"/>
    </row>
    <row r="200" ht="15" customHeight="1">
      <c r="A200" s="12">
        <f>IF(OR($B200="",$C200=""),"","TR-"&amp;TEXT($B200,"YYYYMMDD")&amp;"-"&amp;$C200&amp;"-"&amp;TEXT(COUNTIFS($B$3:$B200,$B200,$C$3:$C200,$C200),"00"))</f>
        <v/>
      </c>
      <c r="B200" s="15" t="n"/>
      <c r="C200" s="13" t="n"/>
      <c r="D200" s="17">
        <f>IF($C200="","",IFERROR(INDEX(NomsEmployes,MATCH($C200,MatriculesEmployes,0)),"MATRICULE INCONNU"))</f>
        <v/>
      </c>
      <c r="E200" s="9" t="n"/>
      <c r="F200" s="10" t="n"/>
      <c r="G200" s="10" t="n"/>
      <c r="H200" s="9" t="n"/>
      <c r="I200" s="9" t="n"/>
      <c r="J200" s="9" t="n"/>
      <c r="K200" s="46" t="n"/>
      <c r="L200" s="46" t="n"/>
      <c r="M200" s="27">
        <f>IF(OR($K200="",$L200="",$K200&lt;=0),"",$L200/$K200)</f>
        <v/>
      </c>
      <c r="N200" s="9" t="n"/>
      <c r="O200" s="10" t="n"/>
    </row>
    <row r="201" ht="15" customHeight="1">
      <c r="A201" s="12">
        <f>IF(OR($B201="",$C201=""),"","TR-"&amp;TEXT($B201,"YYYYMMDD")&amp;"-"&amp;$C201&amp;"-"&amp;TEXT(COUNTIFS($B$3:$B201,$B201,$C$3:$C201,$C201),"00"))</f>
        <v/>
      </c>
      <c r="B201" s="15" t="n"/>
      <c r="C201" s="13" t="n"/>
      <c r="D201" s="17">
        <f>IF($C201="","",IFERROR(INDEX(NomsEmployes,MATCH($C201,MatriculesEmployes,0)),"MATRICULE INCONNU"))</f>
        <v/>
      </c>
      <c r="E201" s="9" t="n"/>
      <c r="F201" s="10" t="n"/>
      <c r="G201" s="10" t="n"/>
      <c r="H201" s="9" t="n"/>
      <c r="I201" s="9" t="n"/>
      <c r="J201" s="9" t="n"/>
      <c r="K201" s="46" t="n"/>
      <c r="L201" s="46" t="n"/>
      <c r="M201" s="27">
        <f>IF(OR($K201="",$L201="",$K201&lt;=0),"",$L201/$K201)</f>
        <v/>
      </c>
      <c r="N201" s="9" t="n"/>
      <c r="O201" s="10" t="n"/>
    </row>
    <row r="202" ht="15" customHeight="1">
      <c r="A202" s="12">
        <f>IF(OR($B202="",$C202=""),"","TR-"&amp;TEXT($B202,"YYYYMMDD")&amp;"-"&amp;$C202&amp;"-"&amp;TEXT(COUNTIFS($B$3:$B202,$B202,$C$3:$C202,$C202),"00"))</f>
        <v/>
      </c>
      <c r="B202" s="15" t="n"/>
      <c r="C202" s="13" t="n"/>
      <c r="D202" s="17">
        <f>IF($C202="","",IFERROR(INDEX(NomsEmployes,MATCH($C202,MatriculesEmployes,0)),"MATRICULE INCONNU"))</f>
        <v/>
      </c>
      <c r="E202" s="9" t="n"/>
      <c r="F202" s="10" t="n"/>
      <c r="G202" s="10" t="n"/>
      <c r="H202" s="9" t="n"/>
      <c r="I202" s="9" t="n"/>
      <c r="J202" s="9" t="n"/>
      <c r="K202" s="46" t="n"/>
      <c r="L202" s="46" t="n"/>
      <c r="M202" s="27">
        <f>IF(OR($K202="",$L202="",$K202&lt;=0),"",$L202/$K202)</f>
        <v/>
      </c>
      <c r="N202" s="9" t="n"/>
      <c r="O202" s="10" t="n"/>
    </row>
    <row r="203" ht="15" customHeight="1">
      <c r="A203" s="12">
        <f>IF(OR($B203="",$C203=""),"","TR-"&amp;TEXT($B203,"YYYYMMDD")&amp;"-"&amp;$C203&amp;"-"&amp;TEXT(COUNTIFS($B$3:$B203,$B203,$C$3:$C203,$C203),"00"))</f>
        <v/>
      </c>
      <c r="B203" s="15" t="n"/>
      <c r="C203" s="13" t="n"/>
      <c r="D203" s="17">
        <f>IF($C203="","",IFERROR(INDEX(NomsEmployes,MATCH($C203,MatriculesEmployes,0)),"MATRICULE INCONNU"))</f>
        <v/>
      </c>
      <c r="E203" s="9" t="n"/>
      <c r="F203" s="10" t="n"/>
      <c r="G203" s="10" t="n"/>
      <c r="H203" s="9" t="n"/>
      <c r="I203" s="9" t="n"/>
      <c r="J203" s="9" t="n"/>
      <c r="K203" s="46" t="n"/>
      <c r="L203" s="46" t="n"/>
      <c r="M203" s="27">
        <f>IF(OR($K203="",$L203="",$K203&lt;=0),"",$L203/$K203)</f>
        <v/>
      </c>
      <c r="N203" s="9" t="n"/>
      <c r="O203" s="10" t="n"/>
    </row>
  </sheetData>
  <mergeCells count="2">
    <mergeCell ref="A1:O1"/>
    <mergeCell ref="A2:O2"/>
  </mergeCells>
  <conditionalFormatting sqref="M4:M203">
    <cfRule type="expression" priority="1" dxfId="3" stopIfTrue="0">
      <formula>=AND($M4&lt;&gt;"",$M4&gt;1)</formula>
    </cfRule>
  </conditionalFormatting>
  <dataValidations count="9">
    <dataValidation sqref="C4:C203" showDropDown="0" showInputMessage="0" showErrorMessage="1" allowBlank="1" errorTitle="SAISIE REFUSEE" error="Valeur non autorisee. Choisir une valeur proposee dans la liste." type="list">
      <formula1>=ListeMatricules</formula1>
    </dataValidation>
    <dataValidation sqref="E4:E203" showDropDown="0" showInputMessage="0" showErrorMessage="1" allowBlank="1" errorTitle="SAISIE REFUSEE" error="Valeur non autorisee. Choisir une valeur proposee dans la liste." type="list">
      <formula1>=ListeEspeces</formula1>
    </dataValidation>
    <dataValidation sqref="F4:F203" showDropDown="0" showInputMessage="0" showErrorMessage="1" allowBlank="1" errorTitle="SAISIE REFUSEE" error="Valeur non autorisee. Choisir une valeur proposee dans la liste." type="list">
      <formula1>=ListeProduits</formula1>
    </dataValidation>
    <dataValidation sqref="G4:G203" showDropDown="0" showInputMessage="0" showErrorMessage="1" allowBlank="1" errorTitle="SAISIE REFUSEE" error="Valeur non autorisee. Choisir une valeur proposee dans la liste." type="list">
      <formula1>=ListeMarques</formula1>
    </dataValidation>
    <dataValidation sqref="H4:H203" showDropDown="0" showInputMessage="0" showErrorMessage="1" allowBlank="1" errorTitle="SAISIE REFUSEE" error="Valeur non autorisee. Choisir une valeur proposee dans la liste." type="list">
      <formula1>=ListeFormats</formula1>
    </dataValidation>
    <dataValidation sqref="I4:I203" showDropDown="0" showInputMessage="0" showErrorMessage="1" allowBlank="1" errorTitle="SAISIE REFUSEE" error="Valeur non autorisee. Choisir une valeur proposee dans la liste." type="list">
      <formula1>=ListePreparations</formula1>
    </dataValidation>
    <dataValidation sqref="J4:J203" showDropDown="0" showInputMessage="0" showErrorMessage="1" allowBlank="1" errorTitle="SAISIE REFUSEE" error="Valeur non autorisee. Choisir une valeur proposee dans la liste." type="list">
      <formula1>=ListeMoules</formula1>
    </dataValidation>
    <dataValidation sqref="N4:N203" showDropDown="0" showInputMessage="0" showErrorMessage="1" allowBlank="1" errorTitle="SAISIE REFUSEE" error="Valeur non autorisee. Choisir une valeur proposee dans la liste." type="list">
      <formula1>=ListeTypesTest</formula1>
    </dataValidation>
    <dataValidation sqref="K4:L203" showDropDown="0" showInputMessage="0" showErrorMessage="1" allowBlank="1" errorTitle="QUANTITE INVALIDE" error="La quantite en kilogrammes doit etre strictement positive." type="decimal" operator="greaterThan">
      <formula1>0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A6672"/>
    <outlinePr summaryBelow="1" summaryRight="1"/>
    <pageSetUpPr/>
  </sheetPr>
  <dimension ref="A1:H2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4" customWidth="1" min="4" max="4"/>
    <col width="14" customWidth="1" min="5" max="5"/>
    <col width="14" customWidth="1" min="6" max="6"/>
    <col width="26" customWidth="1" min="7" max="7"/>
    <col width="46" customWidth="1" min="8" max="8"/>
  </cols>
  <sheetData>
    <row r="1" ht="30" customHeight="1">
      <c r="A1" s="1" t="inlineStr">
        <is>
          <t>ARRETS — SUIVI SIMPLIFIE DES ARRETS DE LIGNE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Journal d'arrets repris de la version 1.3 et simplifie. La duree se calcule seule et gere le passage de minuit. Ce suivi n'entre pas dans le calcul des cadences individuelles.</t>
        </is>
      </c>
    </row>
    <row r="3" ht="33" customHeight="1">
      <c r="A3" s="5" t="inlineStr">
        <is>
          <t>DATE</t>
        </is>
      </c>
      <c r="B3" s="5" t="inlineStr">
        <is>
          <t>ID RUN</t>
        </is>
      </c>
      <c r="C3" s="5" t="inlineStr">
        <is>
          <t>LIGNE</t>
        </is>
      </c>
      <c r="D3" s="5" t="inlineStr">
        <is>
          <t>HEURE DEBUT</t>
        </is>
      </c>
      <c r="E3" s="5" t="inlineStr">
        <is>
          <t>HEURE FIN</t>
        </is>
      </c>
      <c r="F3" s="5" t="inlineStr">
        <is>
          <t>DUREE MIN</t>
        </is>
      </c>
      <c r="G3" s="5" t="inlineStr">
        <is>
          <t>MOTIF</t>
        </is>
      </c>
      <c r="H3" s="5" t="inlineStr">
        <is>
          <t>OBSERVATION</t>
        </is>
      </c>
    </row>
    <row r="4" ht="15" customHeight="1">
      <c r="A4" s="15" t="n"/>
      <c r="B4" s="10" t="n"/>
      <c r="C4" s="9" t="n"/>
      <c r="D4" s="16" t="n"/>
      <c r="E4" s="16" t="n"/>
      <c r="F4" s="26">
        <f>IF(OR($D4="",$E4=""),"",ROUND(($E4-$D4+IF($E4&lt;$D4,1,0))*1440,0))</f>
        <v/>
      </c>
      <c r="G4" s="9" t="n"/>
      <c r="H4" s="10" t="n"/>
    </row>
    <row r="5" ht="15" customHeight="1">
      <c r="A5" s="15" t="n"/>
      <c r="B5" s="10" t="n"/>
      <c r="C5" s="9" t="n"/>
      <c r="D5" s="16" t="n"/>
      <c r="E5" s="16" t="n"/>
      <c r="F5" s="26">
        <f>IF(OR($D5="",$E5=""),"",ROUND(($E5-$D5+IF($E5&lt;$D5,1,0))*1440,0))</f>
        <v/>
      </c>
      <c r="G5" s="9" t="n"/>
      <c r="H5" s="10" t="n"/>
    </row>
    <row r="6" ht="15" customHeight="1">
      <c r="A6" s="15" t="n"/>
      <c r="B6" s="10" t="n"/>
      <c r="C6" s="9" t="n"/>
      <c r="D6" s="16" t="n"/>
      <c r="E6" s="16" t="n"/>
      <c r="F6" s="26">
        <f>IF(OR($D6="",$E6=""),"",ROUND(($E6-$D6+IF($E6&lt;$D6,1,0))*1440,0))</f>
        <v/>
      </c>
      <c r="G6" s="9" t="n"/>
      <c r="H6" s="10" t="n"/>
    </row>
    <row r="7" ht="15" customHeight="1">
      <c r="A7" s="15" t="n"/>
      <c r="B7" s="10" t="n"/>
      <c r="C7" s="9" t="n"/>
      <c r="D7" s="16" t="n"/>
      <c r="E7" s="16" t="n"/>
      <c r="F7" s="26">
        <f>IF(OR($D7="",$E7=""),"",ROUND(($E7-$D7+IF($E7&lt;$D7,1,0))*1440,0))</f>
        <v/>
      </c>
      <c r="G7" s="9" t="n"/>
      <c r="H7" s="10" t="n"/>
    </row>
    <row r="8" ht="15" customHeight="1">
      <c r="A8" s="15" t="n"/>
      <c r="B8" s="10" t="n"/>
      <c r="C8" s="9" t="n"/>
      <c r="D8" s="16" t="n"/>
      <c r="E8" s="16" t="n"/>
      <c r="F8" s="26">
        <f>IF(OR($D8="",$E8=""),"",ROUND(($E8-$D8+IF($E8&lt;$D8,1,0))*1440,0))</f>
        <v/>
      </c>
      <c r="G8" s="9" t="n"/>
      <c r="H8" s="10" t="n"/>
    </row>
    <row r="9" ht="15" customHeight="1">
      <c r="A9" s="15" t="n"/>
      <c r="B9" s="10" t="n"/>
      <c r="C9" s="9" t="n"/>
      <c r="D9" s="16" t="n"/>
      <c r="E9" s="16" t="n"/>
      <c r="F9" s="26">
        <f>IF(OR($D9="",$E9=""),"",ROUND(($E9-$D9+IF($E9&lt;$D9,1,0))*1440,0))</f>
        <v/>
      </c>
      <c r="G9" s="9" t="n"/>
      <c r="H9" s="10" t="n"/>
    </row>
    <row r="10" ht="15" customHeight="1">
      <c r="A10" s="15" t="n"/>
      <c r="B10" s="10" t="n"/>
      <c r="C10" s="9" t="n"/>
      <c r="D10" s="16" t="n"/>
      <c r="E10" s="16" t="n"/>
      <c r="F10" s="26">
        <f>IF(OR($D10="",$E10=""),"",ROUND(($E10-$D10+IF($E10&lt;$D10,1,0))*1440,0))</f>
        <v/>
      </c>
      <c r="G10" s="9" t="n"/>
      <c r="H10" s="10" t="n"/>
    </row>
    <row r="11" ht="15" customHeight="1">
      <c r="A11" s="15" t="n"/>
      <c r="B11" s="10" t="n"/>
      <c r="C11" s="9" t="n"/>
      <c r="D11" s="16" t="n"/>
      <c r="E11" s="16" t="n"/>
      <c r="F11" s="26">
        <f>IF(OR($D11="",$E11=""),"",ROUND(($E11-$D11+IF($E11&lt;$D11,1,0))*1440,0))</f>
        <v/>
      </c>
      <c r="G11" s="9" t="n"/>
      <c r="H11" s="10" t="n"/>
    </row>
    <row r="12" ht="15" customHeight="1">
      <c r="A12" s="15" t="n"/>
      <c r="B12" s="10" t="n"/>
      <c r="C12" s="9" t="n"/>
      <c r="D12" s="16" t="n"/>
      <c r="E12" s="16" t="n"/>
      <c r="F12" s="26">
        <f>IF(OR($D12="",$E12=""),"",ROUND(($E12-$D12+IF($E12&lt;$D12,1,0))*1440,0))</f>
        <v/>
      </c>
      <c r="G12" s="9" t="n"/>
      <c r="H12" s="10" t="n"/>
    </row>
    <row r="13" ht="15" customHeight="1">
      <c r="A13" s="15" t="n"/>
      <c r="B13" s="10" t="n"/>
      <c r="C13" s="9" t="n"/>
      <c r="D13" s="16" t="n"/>
      <c r="E13" s="16" t="n"/>
      <c r="F13" s="26">
        <f>IF(OR($D13="",$E13=""),"",ROUND(($E13-$D13+IF($E13&lt;$D13,1,0))*1440,0))</f>
        <v/>
      </c>
      <c r="G13" s="9" t="n"/>
      <c r="H13" s="10" t="n"/>
    </row>
    <row r="14" ht="15" customHeight="1">
      <c r="A14" s="15" t="n"/>
      <c r="B14" s="10" t="n"/>
      <c r="C14" s="9" t="n"/>
      <c r="D14" s="16" t="n"/>
      <c r="E14" s="16" t="n"/>
      <c r="F14" s="26">
        <f>IF(OR($D14="",$E14=""),"",ROUND(($E14-$D14+IF($E14&lt;$D14,1,0))*1440,0))</f>
        <v/>
      </c>
      <c r="G14" s="9" t="n"/>
      <c r="H14" s="10" t="n"/>
    </row>
    <row r="15" ht="15" customHeight="1">
      <c r="A15" s="15" t="n"/>
      <c r="B15" s="10" t="n"/>
      <c r="C15" s="9" t="n"/>
      <c r="D15" s="16" t="n"/>
      <c r="E15" s="16" t="n"/>
      <c r="F15" s="26">
        <f>IF(OR($D15="",$E15=""),"",ROUND(($E15-$D15+IF($E15&lt;$D15,1,0))*1440,0))</f>
        <v/>
      </c>
      <c r="G15" s="9" t="n"/>
      <c r="H15" s="10" t="n"/>
    </row>
    <row r="16" ht="15" customHeight="1">
      <c r="A16" s="15" t="n"/>
      <c r="B16" s="10" t="n"/>
      <c r="C16" s="9" t="n"/>
      <c r="D16" s="16" t="n"/>
      <c r="E16" s="16" t="n"/>
      <c r="F16" s="26">
        <f>IF(OR($D16="",$E16=""),"",ROUND(($E16-$D16+IF($E16&lt;$D16,1,0))*1440,0))</f>
        <v/>
      </c>
      <c r="G16" s="9" t="n"/>
      <c r="H16" s="10" t="n"/>
    </row>
    <row r="17" ht="15" customHeight="1">
      <c r="A17" s="15" t="n"/>
      <c r="B17" s="10" t="n"/>
      <c r="C17" s="9" t="n"/>
      <c r="D17" s="16" t="n"/>
      <c r="E17" s="16" t="n"/>
      <c r="F17" s="26">
        <f>IF(OR($D17="",$E17=""),"",ROUND(($E17-$D17+IF($E17&lt;$D17,1,0))*1440,0))</f>
        <v/>
      </c>
      <c r="G17" s="9" t="n"/>
      <c r="H17" s="10" t="n"/>
    </row>
    <row r="18" ht="15" customHeight="1">
      <c r="A18" s="15" t="n"/>
      <c r="B18" s="10" t="n"/>
      <c r="C18" s="9" t="n"/>
      <c r="D18" s="16" t="n"/>
      <c r="E18" s="16" t="n"/>
      <c r="F18" s="26">
        <f>IF(OR($D18="",$E18=""),"",ROUND(($E18-$D18+IF($E18&lt;$D18,1,0))*1440,0))</f>
        <v/>
      </c>
      <c r="G18" s="9" t="n"/>
      <c r="H18" s="10" t="n"/>
    </row>
    <row r="19" ht="15" customHeight="1">
      <c r="A19" s="15" t="n"/>
      <c r="B19" s="10" t="n"/>
      <c r="C19" s="9" t="n"/>
      <c r="D19" s="16" t="n"/>
      <c r="E19" s="16" t="n"/>
      <c r="F19" s="26">
        <f>IF(OR($D19="",$E19=""),"",ROUND(($E19-$D19+IF($E19&lt;$D19,1,0))*1440,0))</f>
        <v/>
      </c>
      <c r="G19" s="9" t="n"/>
      <c r="H19" s="10" t="n"/>
    </row>
    <row r="20" ht="15" customHeight="1">
      <c r="A20" s="15" t="n"/>
      <c r="B20" s="10" t="n"/>
      <c r="C20" s="9" t="n"/>
      <c r="D20" s="16" t="n"/>
      <c r="E20" s="16" t="n"/>
      <c r="F20" s="26">
        <f>IF(OR($D20="",$E20=""),"",ROUND(($E20-$D20+IF($E20&lt;$D20,1,0))*1440,0))</f>
        <v/>
      </c>
      <c r="G20" s="9" t="n"/>
      <c r="H20" s="10" t="n"/>
    </row>
    <row r="21" ht="15" customHeight="1">
      <c r="A21" s="15" t="n"/>
      <c r="B21" s="10" t="n"/>
      <c r="C21" s="9" t="n"/>
      <c r="D21" s="16" t="n"/>
      <c r="E21" s="16" t="n"/>
      <c r="F21" s="26">
        <f>IF(OR($D21="",$E21=""),"",ROUND(($E21-$D21+IF($E21&lt;$D21,1,0))*1440,0))</f>
        <v/>
      </c>
      <c r="G21" s="9" t="n"/>
      <c r="H21" s="10" t="n"/>
    </row>
    <row r="22" ht="15" customHeight="1">
      <c r="A22" s="15" t="n"/>
      <c r="B22" s="10" t="n"/>
      <c r="C22" s="9" t="n"/>
      <c r="D22" s="16" t="n"/>
      <c r="E22" s="16" t="n"/>
      <c r="F22" s="26">
        <f>IF(OR($D22="",$E22=""),"",ROUND(($E22-$D22+IF($E22&lt;$D22,1,0))*1440,0))</f>
        <v/>
      </c>
      <c r="G22" s="9" t="n"/>
      <c r="H22" s="10" t="n"/>
    </row>
    <row r="23" ht="15" customHeight="1">
      <c r="A23" s="15" t="n"/>
      <c r="B23" s="10" t="n"/>
      <c r="C23" s="9" t="n"/>
      <c r="D23" s="16" t="n"/>
      <c r="E23" s="16" t="n"/>
      <c r="F23" s="26">
        <f>IF(OR($D23="",$E23=""),"",ROUND(($E23-$D23+IF($E23&lt;$D23,1,0))*1440,0))</f>
        <v/>
      </c>
      <c r="G23" s="9" t="n"/>
      <c r="H23" s="10" t="n"/>
    </row>
    <row r="24" ht="15" customHeight="1">
      <c r="A24" s="15" t="n"/>
      <c r="B24" s="10" t="n"/>
      <c r="C24" s="9" t="n"/>
      <c r="D24" s="16" t="n"/>
      <c r="E24" s="16" t="n"/>
      <c r="F24" s="26">
        <f>IF(OR($D24="",$E24=""),"",ROUND(($E24-$D24+IF($E24&lt;$D24,1,0))*1440,0))</f>
        <v/>
      </c>
      <c r="G24" s="9" t="n"/>
      <c r="H24" s="10" t="n"/>
    </row>
    <row r="25" ht="15" customHeight="1">
      <c r="A25" s="15" t="n"/>
      <c r="B25" s="10" t="n"/>
      <c r="C25" s="9" t="n"/>
      <c r="D25" s="16" t="n"/>
      <c r="E25" s="16" t="n"/>
      <c r="F25" s="26">
        <f>IF(OR($D25="",$E25=""),"",ROUND(($E25-$D25+IF($E25&lt;$D25,1,0))*1440,0))</f>
        <v/>
      </c>
      <c r="G25" s="9" t="n"/>
      <c r="H25" s="10" t="n"/>
    </row>
    <row r="26" ht="15" customHeight="1">
      <c r="A26" s="15" t="n"/>
      <c r="B26" s="10" t="n"/>
      <c r="C26" s="9" t="n"/>
      <c r="D26" s="16" t="n"/>
      <c r="E26" s="16" t="n"/>
      <c r="F26" s="26">
        <f>IF(OR($D26="",$E26=""),"",ROUND(($E26-$D26+IF($E26&lt;$D26,1,0))*1440,0))</f>
        <v/>
      </c>
      <c r="G26" s="9" t="n"/>
      <c r="H26" s="10" t="n"/>
    </row>
    <row r="27" ht="15" customHeight="1">
      <c r="A27" s="15" t="n"/>
      <c r="B27" s="10" t="n"/>
      <c r="C27" s="9" t="n"/>
      <c r="D27" s="16" t="n"/>
      <c r="E27" s="16" t="n"/>
      <c r="F27" s="26">
        <f>IF(OR($D27="",$E27=""),"",ROUND(($E27-$D27+IF($E27&lt;$D27,1,0))*1440,0))</f>
        <v/>
      </c>
      <c r="G27" s="9" t="n"/>
      <c r="H27" s="10" t="n"/>
    </row>
    <row r="28" ht="15" customHeight="1">
      <c r="A28" s="15" t="n"/>
      <c r="B28" s="10" t="n"/>
      <c r="C28" s="9" t="n"/>
      <c r="D28" s="16" t="n"/>
      <c r="E28" s="16" t="n"/>
      <c r="F28" s="26">
        <f>IF(OR($D28="",$E28=""),"",ROUND(($E28-$D28+IF($E28&lt;$D28,1,0))*1440,0))</f>
        <v/>
      </c>
      <c r="G28" s="9" t="n"/>
      <c r="H28" s="10" t="n"/>
    </row>
    <row r="29" ht="15" customHeight="1">
      <c r="A29" s="15" t="n"/>
      <c r="B29" s="10" t="n"/>
      <c r="C29" s="9" t="n"/>
      <c r="D29" s="16" t="n"/>
      <c r="E29" s="16" t="n"/>
      <c r="F29" s="26">
        <f>IF(OR($D29="",$E29=""),"",ROUND(($E29-$D29+IF($E29&lt;$D29,1,0))*1440,0))</f>
        <v/>
      </c>
      <c r="G29" s="9" t="n"/>
      <c r="H29" s="10" t="n"/>
    </row>
    <row r="30" ht="15" customHeight="1">
      <c r="A30" s="15" t="n"/>
      <c r="B30" s="10" t="n"/>
      <c r="C30" s="9" t="n"/>
      <c r="D30" s="16" t="n"/>
      <c r="E30" s="16" t="n"/>
      <c r="F30" s="26">
        <f>IF(OR($D30="",$E30=""),"",ROUND(($E30-$D30+IF($E30&lt;$D30,1,0))*1440,0))</f>
        <v/>
      </c>
      <c r="G30" s="9" t="n"/>
      <c r="H30" s="10" t="n"/>
    </row>
    <row r="31" ht="15" customHeight="1">
      <c r="A31" s="15" t="n"/>
      <c r="B31" s="10" t="n"/>
      <c r="C31" s="9" t="n"/>
      <c r="D31" s="16" t="n"/>
      <c r="E31" s="16" t="n"/>
      <c r="F31" s="26">
        <f>IF(OR($D31="",$E31=""),"",ROUND(($E31-$D31+IF($E31&lt;$D31,1,0))*1440,0))</f>
        <v/>
      </c>
      <c r="G31" s="9" t="n"/>
      <c r="H31" s="10" t="n"/>
    </row>
    <row r="32" ht="15" customHeight="1">
      <c r="A32" s="15" t="n"/>
      <c r="B32" s="10" t="n"/>
      <c r="C32" s="9" t="n"/>
      <c r="D32" s="16" t="n"/>
      <c r="E32" s="16" t="n"/>
      <c r="F32" s="26">
        <f>IF(OR($D32="",$E32=""),"",ROUND(($E32-$D32+IF($E32&lt;$D32,1,0))*1440,0))</f>
        <v/>
      </c>
      <c r="G32" s="9" t="n"/>
      <c r="H32" s="10" t="n"/>
    </row>
    <row r="33" ht="15" customHeight="1">
      <c r="A33" s="15" t="n"/>
      <c r="B33" s="10" t="n"/>
      <c r="C33" s="9" t="n"/>
      <c r="D33" s="16" t="n"/>
      <c r="E33" s="16" t="n"/>
      <c r="F33" s="26">
        <f>IF(OR($D33="",$E33=""),"",ROUND(($E33-$D33+IF($E33&lt;$D33,1,0))*1440,0))</f>
        <v/>
      </c>
      <c r="G33" s="9" t="n"/>
      <c r="H33" s="10" t="n"/>
    </row>
    <row r="34" ht="15" customHeight="1">
      <c r="A34" s="15" t="n"/>
      <c r="B34" s="10" t="n"/>
      <c r="C34" s="9" t="n"/>
      <c r="D34" s="16" t="n"/>
      <c r="E34" s="16" t="n"/>
      <c r="F34" s="26">
        <f>IF(OR($D34="",$E34=""),"",ROUND(($E34-$D34+IF($E34&lt;$D34,1,0))*1440,0))</f>
        <v/>
      </c>
      <c r="G34" s="9" t="n"/>
      <c r="H34" s="10" t="n"/>
    </row>
    <row r="35" ht="15" customHeight="1">
      <c r="A35" s="15" t="n"/>
      <c r="B35" s="10" t="n"/>
      <c r="C35" s="9" t="n"/>
      <c r="D35" s="16" t="n"/>
      <c r="E35" s="16" t="n"/>
      <c r="F35" s="26">
        <f>IF(OR($D35="",$E35=""),"",ROUND(($E35-$D35+IF($E35&lt;$D35,1,0))*1440,0))</f>
        <v/>
      </c>
      <c r="G35" s="9" t="n"/>
      <c r="H35" s="10" t="n"/>
    </row>
    <row r="36" ht="15" customHeight="1">
      <c r="A36" s="15" t="n"/>
      <c r="B36" s="10" t="n"/>
      <c r="C36" s="9" t="n"/>
      <c r="D36" s="16" t="n"/>
      <c r="E36" s="16" t="n"/>
      <c r="F36" s="26">
        <f>IF(OR($D36="",$E36=""),"",ROUND(($E36-$D36+IF($E36&lt;$D36,1,0))*1440,0))</f>
        <v/>
      </c>
      <c r="G36" s="9" t="n"/>
      <c r="H36" s="10" t="n"/>
    </row>
    <row r="37" ht="15" customHeight="1">
      <c r="A37" s="15" t="n"/>
      <c r="B37" s="10" t="n"/>
      <c r="C37" s="9" t="n"/>
      <c r="D37" s="16" t="n"/>
      <c r="E37" s="16" t="n"/>
      <c r="F37" s="26">
        <f>IF(OR($D37="",$E37=""),"",ROUND(($E37-$D37+IF($E37&lt;$D37,1,0))*1440,0))</f>
        <v/>
      </c>
      <c r="G37" s="9" t="n"/>
      <c r="H37" s="10" t="n"/>
    </row>
    <row r="38" ht="15" customHeight="1">
      <c r="A38" s="15" t="n"/>
      <c r="B38" s="10" t="n"/>
      <c r="C38" s="9" t="n"/>
      <c r="D38" s="16" t="n"/>
      <c r="E38" s="16" t="n"/>
      <c r="F38" s="26">
        <f>IF(OR($D38="",$E38=""),"",ROUND(($E38-$D38+IF($E38&lt;$D38,1,0))*1440,0))</f>
        <v/>
      </c>
      <c r="G38" s="9" t="n"/>
      <c r="H38" s="10" t="n"/>
    </row>
    <row r="39" ht="15" customHeight="1">
      <c r="A39" s="15" t="n"/>
      <c r="B39" s="10" t="n"/>
      <c r="C39" s="9" t="n"/>
      <c r="D39" s="16" t="n"/>
      <c r="E39" s="16" t="n"/>
      <c r="F39" s="26">
        <f>IF(OR($D39="",$E39=""),"",ROUND(($E39-$D39+IF($E39&lt;$D39,1,0))*1440,0))</f>
        <v/>
      </c>
      <c r="G39" s="9" t="n"/>
      <c r="H39" s="10" t="n"/>
    </row>
    <row r="40" ht="15" customHeight="1">
      <c r="A40" s="15" t="n"/>
      <c r="B40" s="10" t="n"/>
      <c r="C40" s="9" t="n"/>
      <c r="D40" s="16" t="n"/>
      <c r="E40" s="16" t="n"/>
      <c r="F40" s="26">
        <f>IF(OR($D40="",$E40=""),"",ROUND(($E40-$D40+IF($E40&lt;$D40,1,0))*1440,0))</f>
        <v/>
      </c>
      <c r="G40" s="9" t="n"/>
      <c r="H40" s="10" t="n"/>
    </row>
    <row r="41" ht="15" customHeight="1">
      <c r="A41" s="15" t="n"/>
      <c r="B41" s="10" t="n"/>
      <c r="C41" s="9" t="n"/>
      <c r="D41" s="16" t="n"/>
      <c r="E41" s="16" t="n"/>
      <c r="F41" s="26">
        <f>IF(OR($D41="",$E41=""),"",ROUND(($E41-$D41+IF($E41&lt;$D41,1,0))*1440,0))</f>
        <v/>
      </c>
      <c r="G41" s="9" t="n"/>
      <c r="H41" s="10" t="n"/>
    </row>
    <row r="42" ht="15" customHeight="1">
      <c r="A42" s="15" t="n"/>
      <c r="B42" s="10" t="n"/>
      <c r="C42" s="9" t="n"/>
      <c r="D42" s="16" t="n"/>
      <c r="E42" s="16" t="n"/>
      <c r="F42" s="26">
        <f>IF(OR($D42="",$E42=""),"",ROUND(($E42-$D42+IF($E42&lt;$D42,1,0))*1440,0))</f>
        <v/>
      </c>
      <c r="G42" s="9" t="n"/>
      <c r="H42" s="10" t="n"/>
    </row>
    <row r="43" ht="15" customHeight="1">
      <c r="A43" s="15" t="n"/>
      <c r="B43" s="10" t="n"/>
      <c r="C43" s="9" t="n"/>
      <c r="D43" s="16" t="n"/>
      <c r="E43" s="16" t="n"/>
      <c r="F43" s="26">
        <f>IF(OR($D43="",$E43=""),"",ROUND(($E43-$D43+IF($E43&lt;$D43,1,0))*1440,0))</f>
        <v/>
      </c>
      <c r="G43" s="9" t="n"/>
      <c r="H43" s="10" t="n"/>
    </row>
    <row r="44" ht="15" customHeight="1">
      <c r="A44" s="15" t="n"/>
      <c r="B44" s="10" t="n"/>
      <c r="C44" s="9" t="n"/>
      <c r="D44" s="16" t="n"/>
      <c r="E44" s="16" t="n"/>
      <c r="F44" s="26">
        <f>IF(OR($D44="",$E44=""),"",ROUND(($E44-$D44+IF($E44&lt;$D44,1,0))*1440,0))</f>
        <v/>
      </c>
      <c r="G44" s="9" t="n"/>
      <c r="H44" s="10" t="n"/>
    </row>
    <row r="45" ht="15" customHeight="1">
      <c r="A45" s="15" t="n"/>
      <c r="B45" s="10" t="n"/>
      <c r="C45" s="9" t="n"/>
      <c r="D45" s="16" t="n"/>
      <c r="E45" s="16" t="n"/>
      <c r="F45" s="26">
        <f>IF(OR($D45="",$E45=""),"",ROUND(($E45-$D45+IF($E45&lt;$D45,1,0))*1440,0))</f>
        <v/>
      </c>
      <c r="G45" s="9" t="n"/>
      <c r="H45" s="10" t="n"/>
    </row>
    <row r="46" ht="15" customHeight="1">
      <c r="A46" s="15" t="n"/>
      <c r="B46" s="10" t="n"/>
      <c r="C46" s="9" t="n"/>
      <c r="D46" s="16" t="n"/>
      <c r="E46" s="16" t="n"/>
      <c r="F46" s="26">
        <f>IF(OR($D46="",$E46=""),"",ROUND(($E46-$D46+IF($E46&lt;$D46,1,0))*1440,0))</f>
        <v/>
      </c>
      <c r="G46" s="9" t="n"/>
      <c r="H46" s="10" t="n"/>
    </row>
    <row r="47" ht="15" customHeight="1">
      <c r="A47" s="15" t="n"/>
      <c r="B47" s="10" t="n"/>
      <c r="C47" s="9" t="n"/>
      <c r="D47" s="16" t="n"/>
      <c r="E47" s="16" t="n"/>
      <c r="F47" s="26">
        <f>IF(OR($D47="",$E47=""),"",ROUND(($E47-$D47+IF($E47&lt;$D47,1,0))*1440,0))</f>
        <v/>
      </c>
      <c r="G47" s="9" t="n"/>
      <c r="H47" s="10" t="n"/>
    </row>
    <row r="48" ht="15" customHeight="1">
      <c r="A48" s="15" t="n"/>
      <c r="B48" s="10" t="n"/>
      <c r="C48" s="9" t="n"/>
      <c r="D48" s="16" t="n"/>
      <c r="E48" s="16" t="n"/>
      <c r="F48" s="26">
        <f>IF(OR($D48="",$E48=""),"",ROUND(($E48-$D48+IF($E48&lt;$D48,1,0))*1440,0))</f>
        <v/>
      </c>
      <c r="G48" s="9" t="n"/>
      <c r="H48" s="10" t="n"/>
    </row>
    <row r="49" ht="15" customHeight="1">
      <c r="A49" s="15" t="n"/>
      <c r="B49" s="10" t="n"/>
      <c r="C49" s="9" t="n"/>
      <c r="D49" s="16" t="n"/>
      <c r="E49" s="16" t="n"/>
      <c r="F49" s="26">
        <f>IF(OR($D49="",$E49=""),"",ROUND(($E49-$D49+IF($E49&lt;$D49,1,0))*1440,0))</f>
        <v/>
      </c>
      <c r="G49" s="9" t="n"/>
      <c r="H49" s="10" t="n"/>
    </row>
    <row r="50" ht="15" customHeight="1">
      <c r="A50" s="15" t="n"/>
      <c r="B50" s="10" t="n"/>
      <c r="C50" s="9" t="n"/>
      <c r="D50" s="16" t="n"/>
      <c r="E50" s="16" t="n"/>
      <c r="F50" s="26">
        <f>IF(OR($D50="",$E50=""),"",ROUND(($E50-$D50+IF($E50&lt;$D50,1,0))*1440,0))</f>
        <v/>
      </c>
      <c r="G50" s="9" t="n"/>
      <c r="H50" s="10" t="n"/>
    </row>
    <row r="51" ht="15" customHeight="1">
      <c r="A51" s="15" t="n"/>
      <c r="B51" s="10" t="n"/>
      <c r="C51" s="9" t="n"/>
      <c r="D51" s="16" t="n"/>
      <c r="E51" s="16" t="n"/>
      <c r="F51" s="26">
        <f>IF(OR($D51="",$E51=""),"",ROUND(($E51-$D51+IF($E51&lt;$D51,1,0))*1440,0))</f>
        <v/>
      </c>
      <c r="G51" s="9" t="n"/>
      <c r="H51" s="10" t="n"/>
    </row>
    <row r="52" ht="15" customHeight="1">
      <c r="A52" s="15" t="n"/>
      <c r="B52" s="10" t="n"/>
      <c r="C52" s="9" t="n"/>
      <c r="D52" s="16" t="n"/>
      <c r="E52" s="16" t="n"/>
      <c r="F52" s="26">
        <f>IF(OR($D52="",$E52=""),"",ROUND(($E52-$D52+IF($E52&lt;$D52,1,0))*1440,0))</f>
        <v/>
      </c>
      <c r="G52" s="9" t="n"/>
      <c r="H52" s="10" t="n"/>
    </row>
    <row r="53" ht="15" customHeight="1">
      <c r="A53" s="15" t="n"/>
      <c r="B53" s="10" t="n"/>
      <c r="C53" s="9" t="n"/>
      <c r="D53" s="16" t="n"/>
      <c r="E53" s="16" t="n"/>
      <c r="F53" s="26">
        <f>IF(OR($D53="",$E53=""),"",ROUND(($E53-$D53+IF($E53&lt;$D53,1,0))*1440,0))</f>
        <v/>
      </c>
      <c r="G53" s="9" t="n"/>
      <c r="H53" s="10" t="n"/>
    </row>
    <row r="54" ht="15" customHeight="1">
      <c r="A54" s="15" t="n"/>
      <c r="B54" s="10" t="n"/>
      <c r="C54" s="9" t="n"/>
      <c r="D54" s="16" t="n"/>
      <c r="E54" s="16" t="n"/>
      <c r="F54" s="26">
        <f>IF(OR($D54="",$E54=""),"",ROUND(($E54-$D54+IF($E54&lt;$D54,1,0))*1440,0))</f>
        <v/>
      </c>
      <c r="G54" s="9" t="n"/>
      <c r="H54" s="10" t="n"/>
    </row>
    <row r="55" ht="15" customHeight="1">
      <c r="A55" s="15" t="n"/>
      <c r="B55" s="10" t="n"/>
      <c r="C55" s="9" t="n"/>
      <c r="D55" s="16" t="n"/>
      <c r="E55" s="16" t="n"/>
      <c r="F55" s="26">
        <f>IF(OR($D55="",$E55=""),"",ROUND(($E55-$D55+IF($E55&lt;$D55,1,0))*1440,0))</f>
        <v/>
      </c>
      <c r="G55" s="9" t="n"/>
      <c r="H55" s="10" t="n"/>
    </row>
    <row r="56" ht="15" customHeight="1">
      <c r="A56" s="15" t="n"/>
      <c r="B56" s="10" t="n"/>
      <c r="C56" s="9" t="n"/>
      <c r="D56" s="16" t="n"/>
      <c r="E56" s="16" t="n"/>
      <c r="F56" s="26">
        <f>IF(OR($D56="",$E56=""),"",ROUND(($E56-$D56+IF($E56&lt;$D56,1,0))*1440,0))</f>
        <v/>
      </c>
      <c r="G56" s="9" t="n"/>
      <c r="H56" s="10" t="n"/>
    </row>
    <row r="57" ht="15" customHeight="1">
      <c r="A57" s="15" t="n"/>
      <c r="B57" s="10" t="n"/>
      <c r="C57" s="9" t="n"/>
      <c r="D57" s="16" t="n"/>
      <c r="E57" s="16" t="n"/>
      <c r="F57" s="26">
        <f>IF(OR($D57="",$E57=""),"",ROUND(($E57-$D57+IF($E57&lt;$D57,1,0))*1440,0))</f>
        <v/>
      </c>
      <c r="G57" s="9" t="n"/>
      <c r="H57" s="10" t="n"/>
    </row>
    <row r="58" ht="15" customHeight="1">
      <c r="A58" s="15" t="n"/>
      <c r="B58" s="10" t="n"/>
      <c r="C58" s="9" t="n"/>
      <c r="D58" s="16" t="n"/>
      <c r="E58" s="16" t="n"/>
      <c r="F58" s="26">
        <f>IF(OR($D58="",$E58=""),"",ROUND(($E58-$D58+IF($E58&lt;$D58,1,0))*1440,0))</f>
        <v/>
      </c>
      <c r="G58" s="9" t="n"/>
      <c r="H58" s="10" t="n"/>
    </row>
    <row r="59" ht="15" customHeight="1">
      <c r="A59" s="15" t="n"/>
      <c r="B59" s="10" t="n"/>
      <c r="C59" s="9" t="n"/>
      <c r="D59" s="16" t="n"/>
      <c r="E59" s="16" t="n"/>
      <c r="F59" s="26">
        <f>IF(OR($D59="",$E59=""),"",ROUND(($E59-$D59+IF($E59&lt;$D59,1,0))*1440,0))</f>
        <v/>
      </c>
      <c r="G59" s="9" t="n"/>
      <c r="H59" s="10" t="n"/>
    </row>
    <row r="60" ht="15" customHeight="1">
      <c r="A60" s="15" t="n"/>
      <c r="B60" s="10" t="n"/>
      <c r="C60" s="9" t="n"/>
      <c r="D60" s="16" t="n"/>
      <c r="E60" s="16" t="n"/>
      <c r="F60" s="26">
        <f>IF(OR($D60="",$E60=""),"",ROUND(($E60-$D60+IF($E60&lt;$D60,1,0))*1440,0))</f>
        <v/>
      </c>
      <c r="G60" s="9" t="n"/>
      <c r="H60" s="10" t="n"/>
    </row>
    <row r="61" ht="15" customHeight="1">
      <c r="A61" s="15" t="n"/>
      <c r="B61" s="10" t="n"/>
      <c r="C61" s="9" t="n"/>
      <c r="D61" s="16" t="n"/>
      <c r="E61" s="16" t="n"/>
      <c r="F61" s="26">
        <f>IF(OR($D61="",$E61=""),"",ROUND(($E61-$D61+IF($E61&lt;$D61,1,0))*1440,0))</f>
        <v/>
      </c>
      <c r="G61" s="9" t="n"/>
      <c r="H61" s="10" t="n"/>
    </row>
    <row r="62" ht="15" customHeight="1">
      <c r="A62" s="15" t="n"/>
      <c r="B62" s="10" t="n"/>
      <c r="C62" s="9" t="n"/>
      <c r="D62" s="16" t="n"/>
      <c r="E62" s="16" t="n"/>
      <c r="F62" s="26">
        <f>IF(OR($D62="",$E62=""),"",ROUND(($E62-$D62+IF($E62&lt;$D62,1,0))*1440,0))</f>
        <v/>
      </c>
      <c r="G62" s="9" t="n"/>
      <c r="H62" s="10" t="n"/>
    </row>
    <row r="63" ht="15" customHeight="1">
      <c r="A63" s="15" t="n"/>
      <c r="B63" s="10" t="n"/>
      <c r="C63" s="9" t="n"/>
      <c r="D63" s="16" t="n"/>
      <c r="E63" s="16" t="n"/>
      <c r="F63" s="26">
        <f>IF(OR($D63="",$E63=""),"",ROUND(($E63-$D63+IF($E63&lt;$D63,1,0))*1440,0))</f>
        <v/>
      </c>
      <c r="G63" s="9" t="n"/>
      <c r="H63" s="10" t="n"/>
    </row>
    <row r="64" ht="15" customHeight="1">
      <c r="A64" s="15" t="n"/>
      <c r="B64" s="10" t="n"/>
      <c r="C64" s="9" t="n"/>
      <c r="D64" s="16" t="n"/>
      <c r="E64" s="16" t="n"/>
      <c r="F64" s="26">
        <f>IF(OR($D64="",$E64=""),"",ROUND(($E64-$D64+IF($E64&lt;$D64,1,0))*1440,0))</f>
        <v/>
      </c>
      <c r="G64" s="9" t="n"/>
      <c r="H64" s="10" t="n"/>
    </row>
    <row r="65" ht="15" customHeight="1">
      <c r="A65" s="15" t="n"/>
      <c r="B65" s="10" t="n"/>
      <c r="C65" s="9" t="n"/>
      <c r="D65" s="16" t="n"/>
      <c r="E65" s="16" t="n"/>
      <c r="F65" s="26">
        <f>IF(OR($D65="",$E65=""),"",ROUND(($E65-$D65+IF($E65&lt;$D65,1,0))*1440,0))</f>
        <v/>
      </c>
      <c r="G65" s="9" t="n"/>
      <c r="H65" s="10" t="n"/>
    </row>
    <row r="66" ht="15" customHeight="1">
      <c r="A66" s="15" t="n"/>
      <c r="B66" s="10" t="n"/>
      <c r="C66" s="9" t="n"/>
      <c r="D66" s="16" t="n"/>
      <c r="E66" s="16" t="n"/>
      <c r="F66" s="26">
        <f>IF(OR($D66="",$E66=""),"",ROUND(($E66-$D66+IF($E66&lt;$D66,1,0))*1440,0))</f>
        <v/>
      </c>
      <c r="G66" s="9" t="n"/>
      <c r="H66" s="10" t="n"/>
    </row>
    <row r="67" ht="15" customHeight="1">
      <c r="A67" s="15" t="n"/>
      <c r="B67" s="10" t="n"/>
      <c r="C67" s="9" t="n"/>
      <c r="D67" s="16" t="n"/>
      <c r="E67" s="16" t="n"/>
      <c r="F67" s="26">
        <f>IF(OR($D67="",$E67=""),"",ROUND(($E67-$D67+IF($E67&lt;$D67,1,0))*1440,0))</f>
        <v/>
      </c>
      <c r="G67" s="9" t="n"/>
      <c r="H67" s="10" t="n"/>
    </row>
    <row r="68" ht="15" customHeight="1">
      <c r="A68" s="15" t="n"/>
      <c r="B68" s="10" t="n"/>
      <c r="C68" s="9" t="n"/>
      <c r="D68" s="16" t="n"/>
      <c r="E68" s="16" t="n"/>
      <c r="F68" s="26">
        <f>IF(OR($D68="",$E68=""),"",ROUND(($E68-$D68+IF($E68&lt;$D68,1,0))*1440,0))</f>
        <v/>
      </c>
      <c r="G68" s="9" t="n"/>
      <c r="H68" s="10" t="n"/>
    </row>
    <row r="69" ht="15" customHeight="1">
      <c r="A69" s="15" t="n"/>
      <c r="B69" s="10" t="n"/>
      <c r="C69" s="9" t="n"/>
      <c r="D69" s="16" t="n"/>
      <c r="E69" s="16" t="n"/>
      <c r="F69" s="26">
        <f>IF(OR($D69="",$E69=""),"",ROUND(($E69-$D69+IF($E69&lt;$D69,1,0))*1440,0))</f>
        <v/>
      </c>
      <c r="G69" s="9" t="n"/>
      <c r="H69" s="10" t="n"/>
    </row>
    <row r="70" ht="15" customHeight="1">
      <c r="A70" s="15" t="n"/>
      <c r="B70" s="10" t="n"/>
      <c r="C70" s="9" t="n"/>
      <c r="D70" s="16" t="n"/>
      <c r="E70" s="16" t="n"/>
      <c r="F70" s="26">
        <f>IF(OR($D70="",$E70=""),"",ROUND(($E70-$D70+IF($E70&lt;$D70,1,0))*1440,0))</f>
        <v/>
      </c>
      <c r="G70" s="9" t="n"/>
      <c r="H70" s="10" t="n"/>
    </row>
    <row r="71" ht="15" customHeight="1">
      <c r="A71" s="15" t="n"/>
      <c r="B71" s="10" t="n"/>
      <c r="C71" s="9" t="n"/>
      <c r="D71" s="16" t="n"/>
      <c r="E71" s="16" t="n"/>
      <c r="F71" s="26">
        <f>IF(OR($D71="",$E71=""),"",ROUND(($E71-$D71+IF($E71&lt;$D71,1,0))*1440,0))</f>
        <v/>
      </c>
      <c r="G71" s="9" t="n"/>
      <c r="H71" s="10" t="n"/>
    </row>
    <row r="72" ht="15" customHeight="1">
      <c r="A72" s="15" t="n"/>
      <c r="B72" s="10" t="n"/>
      <c r="C72" s="9" t="n"/>
      <c r="D72" s="16" t="n"/>
      <c r="E72" s="16" t="n"/>
      <c r="F72" s="26">
        <f>IF(OR($D72="",$E72=""),"",ROUND(($E72-$D72+IF($E72&lt;$D72,1,0))*1440,0))</f>
        <v/>
      </c>
      <c r="G72" s="9" t="n"/>
      <c r="H72" s="10" t="n"/>
    </row>
    <row r="73" ht="15" customHeight="1">
      <c r="A73" s="15" t="n"/>
      <c r="B73" s="10" t="n"/>
      <c r="C73" s="9" t="n"/>
      <c r="D73" s="16" t="n"/>
      <c r="E73" s="16" t="n"/>
      <c r="F73" s="26">
        <f>IF(OR($D73="",$E73=""),"",ROUND(($E73-$D73+IF($E73&lt;$D73,1,0))*1440,0))</f>
        <v/>
      </c>
      <c r="G73" s="9" t="n"/>
      <c r="H73" s="10" t="n"/>
    </row>
    <row r="74" ht="15" customHeight="1">
      <c r="A74" s="15" t="n"/>
      <c r="B74" s="10" t="n"/>
      <c r="C74" s="9" t="n"/>
      <c r="D74" s="16" t="n"/>
      <c r="E74" s="16" t="n"/>
      <c r="F74" s="26">
        <f>IF(OR($D74="",$E74=""),"",ROUND(($E74-$D74+IF($E74&lt;$D74,1,0))*1440,0))</f>
        <v/>
      </c>
      <c r="G74" s="9" t="n"/>
      <c r="H74" s="10" t="n"/>
    </row>
    <row r="75" ht="15" customHeight="1">
      <c r="A75" s="15" t="n"/>
      <c r="B75" s="10" t="n"/>
      <c r="C75" s="9" t="n"/>
      <c r="D75" s="16" t="n"/>
      <c r="E75" s="16" t="n"/>
      <c r="F75" s="26">
        <f>IF(OR($D75="",$E75=""),"",ROUND(($E75-$D75+IF($E75&lt;$D75,1,0))*1440,0))</f>
        <v/>
      </c>
      <c r="G75" s="9" t="n"/>
      <c r="H75" s="10" t="n"/>
    </row>
    <row r="76" ht="15" customHeight="1">
      <c r="A76" s="15" t="n"/>
      <c r="B76" s="10" t="n"/>
      <c r="C76" s="9" t="n"/>
      <c r="D76" s="16" t="n"/>
      <c r="E76" s="16" t="n"/>
      <c r="F76" s="26">
        <f>IF(OR($D76="",$E76=""),"",ROUND(($E76-$D76+IF($E76&lt;$D76,1,0))*1440,0))</f>
        <v/>
      </c>
      <c r="G76" s="9" t="n"/>
      <c r="H76" s="10" t="n"/>
    </row>
    <row r="77" ht="15" customHeight="1">
      <c r="A77" s="15" t="n"/>
      <c r="B77" s="10" t="n"/>
      <c r="C77" s="9" t="n"/>
      <c r="D77" s="16" t="n"/>
      <c r="E77" s="16" t="n"/>
      <c r="F77" s="26">
        <f>IF(OR($D77="",$E77=""),"",ROUND(($E77-$D77+IF($E77&lt;$D77,1,0))*1440,0))</f>
        <v/>
      </c>
      <c r="G77" s="9" t="n"/>
      <c r="H77" s="10" t="n"/>
    </row>
    <row r="78" ht="15" customHeight="1">
      <c r="A78" s="15" t="n"/>
      <c r="B78" s="10" t="n"/>
      <c r="C78" s="9" t="n"/>
      <c r="D78" s="16" t="n"/>
      <c r="E78" s="16" t="n"/>
      <c r="F78" s="26">
        <f>IF(OR($D78="",$E78=""),"",ROUND(($E78-$D78+IF($E78&lt;$D78,1,0))*1440,0))</f>
        <v/>
      </c>
      <c r="G78" s="9" t="n"/>
      <c r="H78" s="10" t="n"/>
    </row>
    <row r="79" ht="15" customHeight="1">
      <c r="A79" s="15" t="n"/>
      <c r="B79" s="10" t="n"/>
      <c r="C79" s="9" t="n"/>
      <c r="D79" s="16" t="n"/>
      <c r="E79" s="16" t="n"/>
      <c r="F79" s="26">
        <f>IF(OR($D79="",$E79=""),"",ROUND(($E79-$D79+IF($E79&lt;$D79,1,0))*1440,0))</f>
        <v/>
      </c>
      <c r="G79" s="9" t="n"/>
      <c r="H79" s="10" t="n"/>
    </row>
    <row r="80" ht="15" customHeight="1">
      <c r="A80" s="15" t="n"/>
      <c r="B80" s="10" t="n"/>
      <c r="C80" s="9" t="n"/>
      <c r="D80" s="16" t="n"/>
      <c r="E80" s="16" t="n"/>
      <c r="F80" s="26">
        <f>IF(OR($D80="",$E80=""),"",ROUND(($E80-$D80+IF($E80&lt;$D80,1,0))*1440,0))</f>
        <v/>
      </c>
      <c r="G80" s="9" t="n"/>
      <c r="H80" s="10" t="n"/>
    </row>
    <row r="81" ht="15" customHeight="1">
      <c r="A81" s="15" t="n"/>
      <c r="B81" s="10" t="n"/>
      <c r="C81" s="9" t="n"/>
      <c r="D81" s="16" t="n"/>
      <c r="E81" s="16" t="n"/>
      <c r="F81" s="26">
        <f>IF(OR($D81="",$E81=""),"",ROUND(($E81-$D81+IF($E81&lt;$D81,1,0))*1440,0))</f>
        <v/>
      </c>
      <c r="G81" s="9" t="n"/>
      <c r="H81" s="10" t="n"/>
    </row>
    <row r="82" ht="15" customHeight="1">
      <c r="A82" s="15" t="n"/>
      <c r="B82" s="10" t="n"/>
      <c r="C82" s="9" t="n"/>
      <c r="D82" s="16" t="n"/>
      <c r="E82" s="16" t="n"/>
      <c r="F82" s="26">
        <f>IF(OR($D82="",$E82=""),"",ROUND(($E82-$D82+IF($E82&lt;$D82,1,0))*1440,0))</f>
        <v/>
      </c>
      <c r="G82" s="9" t="n"/>
      <c r="H82" s="10" t="n"/>
    </row>
    <row r="83" ht="15" customHeight="1">
      <c r="A83" s="15" t="n"/>
      <c r="B83" s="10" t="n"/>
      <c r="C83" s="9" t="n"/>
      <c r="D83" s="16" t="n"/>
      <c r="E83" s="16" t="n"/>
      <c r="F83" s="26">
        <f>IF(OR($D83="",$E83=""),"",ROUND(($E83-$D83+IF($E83&lt;$D83,1,0))*1440,0))</f>
        <v/>
      </c>
      <c r="G83" s="9" t="n"/>
      <c r="H83" s="10" t="n"/>
    </row>
    <row r="84" ht="15" customHeight="1">
      <c r="A84" s="15" t="n"/>
      <c r="B84" s="10" t="n"/>
      <c r="C84" s="9" t="n"/>
      <c r="D84" s="16" t="n"/>
      <c r="E84" s="16" t="n"/>
      <c r="F84" s="26">
        <f>IF(OR($D84="",$E84=""),"",ROUND(($E84-$D84+IF($E84&lt;$D84,1,0))*1440,0))</f>
        <v/>
      </c>
      <c r="G84" s="9" t="n"/>
      <c r="H84" s="10" t="n"/>
    </row>
    <row r="85" ht="15" customHeight="1">
      <c r="A85" s="15" t="n"/>
      <c r="B85" s="10" t="n"/>
      <c r="C85" s="9" t="n"/>
      <c r="D85" s="16" t="n"/>
      <c r="E85" s="16" t="n"/>
      <c r="F85" s="26">
        <f>IF(OR($D85="",$E85=""),"",ROUND(($E85-$D85+IF($E85&lt;$D85,1,0))*1440,0))</f>
        <v/>
      </c>
      <c r="G85" s="9" t="n"/>
      <c r="H85" s="10" t="n"/>
    </row>
    <row r="86" ht="15" customHeight="1">
      <c r="A86" s="15" t="n"/>
      <c r="B86" s="10" t="n"/>
      <c r="C86" s="9" t="n"/>
      <c r="D86" s="16" t="n"/>
      <c r="E86" s="16" t="n"/>
      <c r="F86" s="26">
        <f>IF(OR($D86="",$E86=""),"",ROUND(($E86-$D86+IF($E86&lt;$D86,1,0))*1440,0))</f>
        <v/>
      </c>
      <c r="G86" s="9" t="n"/>
      <c r="H86" s="10" t="n"/>
    </row>
    <row r="87" ht="15" customHeight="1">
      <c r="A87" s="15" t="n"/>
      <c r="B87" s="10" t="n"/>
      <c r="C87" s="9" t="n"/>
      <c r="D87" s="16" t="n"/>
      <c r="E87" s="16" t="n"/>
      <c r="F87" s="26">
        <f>IF(OR($D87="",$E87=""),"",ROUND(($E87-$D87+IF($E87&lt;$D87,1,0))*1440,0))</f>
        <v/>
      </c>
      <c r="G87" s="9" t="n"/>
      <c r="H87" s="10" t="n"/>
    </row>
    <row r="88" ht="15" customHeight="1">
      <c r="A88" s="15" t="n"/>
      <c r="B88" s="10" t="n"/>
      <c r="C88" s="9" t="n"/>
      <c r="D88" s="16" t="n"/>
      <c r="E88" s="16" t="n"/>
      <c r="F88" s="26">
        <f>IF(OR($D88="",$E88=""),"",ROUND(($E88-$D88+IF($E88&lt;$D88,1,0))*1440,0))</f>
        <v/>
      </c>
      <c r="G88" s="9" t="n"/>
      <c r="H88" s="10" t="n"/>
    </row>
    <row r="89" ht="15" customHeight="1">
      <c r="A89" s="15" t="n"/>
      <c r="B89" s="10" t="n"/>
      <c r="C89" s="9" t="n"/>
      <c r="D89" s="16" t="n"/>
      <c r="E89" s="16" t="n"/>
      <c r="F89" s="26">
        <f>IF(OR($D89="",$E89=""),"",ROUND(($E89-$D89+IF($E89&lt;$D89,1,0))*1440,0))</f>
        <v/>
      </c>
      <c r="G89" s="9" t="n"/>
      <c r="H89" s="10" t="n"/>
    </row>
    <row r="90" ht="15" customHeight="1">
      <c r="A90" s="15" t="n"/>
      <c r="B90" s="10" t="n"/>
      <c r="C90" s="9" t="n"/>
      <c r="D90" s="16" t="n"/>
      <c r="E90" s="16" t="n"/>
      <c r="F90" s="26">
        <f>IF(OR($D90="",$E90=""),"",ROUND(($E90-$D90+IF($E90&lt;$D90,1,0))*1440,0))</f>
        <v/>
      </c>
      <c r="G90" s="9" t="n"/>
      <c r="H90" s="10" t="n"/>
    </row>
    <row r="91" ht="15" customHeight="1">
      <c r="A91" s="15" t="n"/>
      <c r="B91" s="10" t="n"/>
      <c r="C91" s="9" t="n"/>
      <c r="D91" s="16" t="n"/>
      <c r="E91" s="16" t="n"/>
      <c r="F91" s="26">
        <f>IF(OR($D91="",$E91=""),"",ROUND(($E91-$D91+IF($E91&lt;$D91,1,0))*1440,0))</f>
        <v/>
      </c>
      <c r="G91" s="9" t="n"/>
      <c r="H91" s="10" t="n"/>
    </row>
    <row r="92" ht="15" customHeight="1">
      <c r="A92" s="15" t="n"/>
      <c r="B92" s="10" t="n"/>
      <c r="C92" s="9" t="n"/>
      <c r="D92" s="16" t="n"/>
      <c r="E92" s="16" t="n"/>
      <c r="F92" s="26">
        <f>IF(OR($D92="",$E92=""),"",ROUND(($E92-$D92+IF($E92&lt;$D92,1,0))*1440,0))</f>
        <v/>
      </c>
      <c r="G92" s="9" t="n"/>
      <c r="H92" s="10" t="n"/>
    </row>
    <row r="93" ht="15" customHeight="1">
      <c r="A93" s="15" t="n"/>
      <c r="B93" s="10" t="n"/>
      <c r="C93" s="9" t="n"/>
      <c r="D93" s="16" t="n"/>
      <c r="E93" s="16" t="n"/>
      <c r="F93" s="26">
        <f>IF(OR($D93="",$E93=""),"",ROUND(($E93-$D93+IF($E93&lt;$D93,1,0))*1440,0))</f>
        <v/>
      </c>
      <c r="G93" s="9" t="n"/>
      <c r="H93" s="10" t="n"/>
    </row>
    <row r="94" ht="15" customHeight="1">
      <c r="A94" s="15" t="n"/>
      <c r="B94" s="10" t="n"/>
      <c r="C94" s="9" t="n"/>
      <c r="D94" s="16" t="n"/>
      <c r="E94" s="16" t="n"/>
      <c r="F94" s="26">
        <f>IF(OR($D94="",$E94=""),"",ROUND(($E94-$D94+IF($E94&lt;$D94,1,0))*1440,0))</f>
        <v/>
      </c>
      <c r="G94" s="9" t="n"/>
      <c r="H94" s="10" t="n"/>
    </row>
    <row r="95" ht="15" customHeight="1">
      <c r="A95" s="15" t="n"/>
      <c r="B95" s="10" t="n"/>
      <c r="C95" s="9" t="n"/>
      <c r="D95" s="16" t="n"/>
      <c r="E95" s="16" t="n"/>
      <c r="F95" s="26">
        <f>IF(OR($D95="",$E95=""),"",ROUND(($E95-$D95+IF($E95&lt;$D95,1,0))*1440,0))</f>
        <v/>
      </c>
      <c r="G95" s="9" t="n"/>
      <c r="H95" s="10" t="n"/>
    </row>
    <row r="96" ht="15" customHeight="1">
      <c r="A96" s="15" t="n"/>
      <c r="B96" s="10" t="n"/>
      <c r="C96" s="9" t="n"/>
      <c r="D96" s="16" t="n"/>
      <c r="E96" s="16" t="n"/>
      <c r="F96" s="26">
        <f>IF(OR($D96="",$E96=""),"",ROUND(($E96-$D96+IF($E96&lt;$D96,1,0))*1440,0))</f>
        <v/>
      </c>
      <c r="G96" s="9" t="n"/>
      <c r="H96" s="10" t="n"/>
    </row>
    <row r="97" ht="15" customHeight="1">
      <c r="A97" s="15" t="n"/>
      <c r="B97" s="10" t="n"/>
      <c r="C97" s="9" t="n"/>
      <c r="D97" s="16" t="n"/>
      <c r="E97" s="16" t="n"/>
      <c r="F97" s="26">
        <f>IF(OR($D97="",$E97=""),"",ROUND(($E97-$D97+IF($E97&lt;$D97,1,0))*1440,0))</f>
        <v/>
      </c>
      <c r="G97" s="9" t="n"/>
      <c r="H97" s="10" t="n"/>
    </row>
    <row r="98" ht="15" customHeight="1">
      <c r="A98" s="15" t="n"/>
      <c r="B98" s="10" t="n"/>
      <c r="C98" s="9" t="n"/>
      <c r="D98" s="16" t="n"/>
      <c r="E98" s="16" t="n"/>
      <c r="F98" s="26">
        <f>IF(OR($D98="",$E98=""),"",ROUND(($E98-$D98+IF($E98&lt;$D98,1,0))*1440,0))</f>
        <v/>
      </c>
      <c r="G98" s="9" t="n"/>
      <c r="H98" s="10" t="n"/>
    </row>
    <row r="99" ht="15" customHeight="1">
      <c r="A99" s="15" t="n"/>
      <c r="B99" s="10" t="n"/>
      <c r="C99" s="9" t="n"/>
      <c r="D99" s="16" t="n"/>
      <c r="E99" s="16" t="n"/>
      <c r="F99" s="26">
        <f>IF(OR($D99="",$E99=""),"",ROUND(($E99-$D99+IF($E99&lt;$D99,1,0))*1440,0))</f>
        <v/>
      </c>
      <c r="G99" s="9" t="n"/>
      <c r="H99" s="10" t="n"/>
    </row>
    <row r="100" ht="15" customHeight="1">
      <c r="A100" s="15" t="n"/>
      <c r="B100" s="10" t="n"/>
      <c r="C100" s="9" t="n"/>
      <c r="D100" s="16" t="n"/>
      <c r="E100" s="16" t="n"/>
      <c r="F100" s="26">
        <f>IF(OR($D100="",$E100=""),"",ROUND(($E100-$D100+IF($E100&lt;$D100,1,0))*1440,0))</f>
        <v/>
      </c>
      <c r="G100" s="9" t="n"/>
      <c r="H100" s="10" t="n"/>
    </row>
    <row r="101" ht="15" customHeight="1">
      <c r="A101" s="15" t="n"/>
      <c r="B101" s="10" t="n"/>
      <c r="C101" s="9" t="n"/>
      <c r="D101" s="16" t="n"/>
      <c r="E101" s="16" t="n"/>
      <c r="F101" s="26">
        <f>IF(OR($D101="",$E101=""),"",ROUND(($E101-$D101+IF($E101&lt;$D101,1,0))*1440,0))</f>
        <v/>
      </c>
      <c r="G101" s="9" t="n"/>
      <c r="H101" s="10" t="n"/>
    </row>
    <row r="102" ht="15" customHeight="1">
      <c r="A102" s="15" t="n"/>
      <c r="B102" s="10" t="n"/>
      <c r="C102" s="9" t="n"/>
      <c r="D102" s="16" t="n"/>
      <c r="E102" s="16" t="n"/>
      <c r="F102" s="26">
        <f>IF(OR($D102="",$E102=""),"",ROUND(($E102-$D102+IF($E102&lt;$D102,1,0))*1440,0))</f>
        <v/>
      </c>
      <c r="G102" s="9" t="n"/>
      <c r="H102" s="10" t="n"/>
    </row>
    <row r="103" ht="15" customHeight="1">
      <c r="A103" s="15" t="n"/>
      <c r="B103" s="10" t="n"/>
      <c r="C103" s="9" t="n"/>
      <c r="D103" s="16" t="n"/>
      <c r="E103" s="16" t="n"/>
      <c r="F103" s="26">
        <f>IF(OR($D103="",$E103=""),"",ROUND(($E103-$D103+IF($E103&lt;$D103,1,0))*1440,0))</f>
        <v/>
      </c>
      <c r="G103" s="9" t="n"/>
      <c r="H103" s="10" t="n"/>
    </row>
    <row r="104" ht="15" customHeight="1">
      <c r="A104" s="15" t="n"/>
      <c r="B104" s="10" t="n"/>
      <c r="C104" s="9" t="n"/>
      <c r="D104" s="16" t="n"/>
      <c r="E104" s="16" t="n"/>
      <c r="F104" s="26">
        <f>IF(OR($D104="",$E104=""),"",ROUND(($E104-$D104+IF($E104&lt;$D104,1,0))*1440,0))</f>
        <v/>
      </c>
      <c r="G104" s="9" t="n"/>
      <c r="H104" s="10" t="n"/>
    </row>
    <row r="105" ht="15" customHeight="1">
      <c r="A105" s="15" t="n"/>
      <c r="B105" s="10" t="n"/>
      <c r="C105" s="9" t="n"/>
      <c r="D105" s="16" t="n"/>
      <c r="E105" s="16" t="n"/>
      <c r="F105" s="26">
        <f>IF(OR($D105="",$E105=""),"",ROUND(($E105-$D105+IF($E105&lt;$D105,1,0))*1440,0))</f>
        <v/>
      </c>
      <c r="G105" s="9" t="n"/>
      <c r="H105" s="10" t="n"/>
    </row>
    <row r="106" ht="15" customHeight="1">
      <c r="A106" s="15" t="n"/>
      <c r="B106" s="10" t="n"/>
      <c r="C106" s="9" t="n"/>
      <c r="D106" s="16" t="n"/>
      <c r="E106" s="16" t="n"/>
      <c r="F106" s="26">
        <f>IF(OR($D106="",$E106=""),"",ROUND(($E106-$D106+IF($E106&lt;$D106,1,0))*1440,0))</f>
        <v/>
      </c>
      <c r="G106" s="9" t="n"/>
      <c r="H106" s="10" t="n"/>
    </row>
    <row r="107" ht="15" customHeight="1">
      <c r="A107" s="15" t="n"/>
      <c r="B107" s="10" t="n"/>
      <c r="C107" s="9" t="n"/>
      <c r="D107" s="16" t="n"/>
      <c r="E107" s="16" t="n"/>
      <c r="F107" s="26">
        <f>IF(OR($D107="",$E107=""),"",ROUND(($E107-$D107+IF($E107&lt;$D107,1,0))*1440,0))</f>
        <v/>
      </c>
      <c r="G107" s="9" t="n"/>
      <c r="H107" s="10" t="n"/>
    </row>
    <row r="108" ht="15" customHeight="1">
      <c r="A108" s="15" t="n"/>
      <c r="B108" s="10" t="n"/>
      <c r="C108" s="9" t="n"/>
      <c r="D108" s="16" t="n"/>
      <c r="E108" s="16" t="n"/>
      <c r="F108" s="26">
        <f>IF(OR($D108="",$E108=""),"",ROUND(($E108-$D108+IF($E108&lt;$D108,1,0))*1440,0))</f>
        <v/>
      </c>
      <c r="G108" s="9" t="n"/>
      <c r="H108" s="10" t="n"/>
    </row>
    <row r="109" ht="15" customHeight="1">
      <c r="A109" s="15" t="n"/>
      <c r="B109" s="10" t="n"/>
      <c r="C109" s="9" t="n"/>
      <c r="D109" s="16" t="n"/>
      <c r="E109" s="16" t="n"/>
      <c r="F109" s="26">
        <f>IF(OR($D109="",$E109=""),"",ROUND(($E109-$D109+IF($E109&lt;$D109,1,0))*1440,0))</f>
        <v/>
      </c>
      <c r="G109" s="9" t="n"/>
      <c r="H109" s="10" t="n"/>
    </row>
    <row r="110" ht="15" customHeight="1">
      <c r="A110" s="15" t="n"/>
      <c r="B110" s="10" t="n"/>
      <c r="C110" s="9" t="n"/>
      <c r="D110" s="16" t="n"/>
      <c r="E110" s="16" t="n"/>
      <c r="F110" s="26">
        <f>IF(OR($D110="",$E110=""),"",ROUND(($E110-$D110+IF($E110&lt;$D110,1,0))*1440,0))</f>
        <v/>
      </c>
      <c r="G110" s="9" t="n"/>
      <c r="H110" s="10" t="n"/>
    </row>
    <row r="111" ht="15" customHeight="1">
      <c r="A111" s="15" t="n"/>
      <c r="B111" s="10" t="n"/>
      <c r="C111" s="9" t="n"/>
      <c r="D111" s="16" t="n"/>
      <c r="E111" s="16" t="n"/>
      <c r="F111" s="26">
        <f>IF(OR($D111="",$E111=""),"",ROUND(($E111-$D111+IF($E111&lt;$D111,1,0))*1440,0))</f>
        <v/>
      </c>
      <c r="G111" s="9" t="n"/>
      <c r="H111" s="10" t="n"/>
    </row>
    <row r="112" ht="15" customHeight="1">
      <c r="A112" s="15" t="n"/>
      <c r="B112" s="10" t="n"/>
      <c r="C112" s="9" t="n"/>
      <c r="D112" s="16" t="n"/>
      <c r="E112" s="16" t="n"/>
      <c r="F112" s="26">
        <f>IF(OR($D112="",$E112=""),"",ROUND(($E112-$D112+IF($E112&lt;$D112,1,0))*1440,0))</f>
        <v/>
      </c>
      <c r="G112" s="9" t="n"/>
      <c r="H112" s="10" t="n"/>
    </row>
    <row r="113" ht="15" customHeight="1">
      <c r="A113" s="15" t="n"/>
      <c r="B113" s="10" t="n"/>
      <c r="C113" s="9" t="n"/>
      <c r="D113" s="16" t="n"/>
      <c r="E113" s="16" t="n"/>
      <c r="F113" s="26">
        <f>IF(OR($D113="",$E113=""),"",ROUND(($E113-$D113+IF($E113&lt;$D113,1,0))*1440,0))</f>
        <v/>
      </c>
      <c r="G113" s="9" t="n"/>
      <c r="H113" s="10" t="n"/>
    </row>
    <row r="114" ht="15" customHeight="1">
      <c r="A114" s="15" t="n"/>
      <c r="B114" s="10" t="n"/>
      <c r="C114" s="9" t="n"/>
      <c r="D114" s="16" t="n"/>
      <c r="E114" s="16" t="n"/>
      <c r="F114" s="26">
        <f>IF(OR($D114="",$E114=""),"",ROUND(($E114-$D114+IF($E114&lt;$D114,1,0))*1440,0))</f>
        <v/>
      </c>
      <c r="G114" s="9" t="n"/>
      <c r="H114" s="10" t="n"/>
    </row>
    <row r="115" ht="15" customHeight="1">
      <c r="A115" s="15" t="n"/>
      <c r="B115" s="10" t="n"/>
      <c r="C115" s="9" t="n"/>
      <c r="D115" s="16" t="n"/>
      <c r="E115" s="16" t="n"/>
      <c r="F115" s="26">
        <f>IF(OR($D115="",$E115=""),"",ROUND(($E115-$D115+IF($E115&lt;$D115,1,0))*1440,0))</f>
        <v/>
      </c>
      <c r="G115" s="9" t="n"/>
      <c r="H115" s="10" t="n"/>
    </row>
    <row r="116" ht="15" customHeight="1">
      <c r="A116" s="15" t="n"/>
      <c r="B116" s="10" t="n"/>
      <c r="C116" s="9" t="n"/>
      <c r="D116" s="16" t="n"/>
      <c r="E116" s="16" t="n"/>
      <c r="F116" s="26">
        <f>IF(OR($D116="",$E116=""),"",ROUND(($E116-$D116+IF($E116&lt;$D116,1,0))*1440,0))</f>
        <v/>
      </c>
      <c r="G116" s="9" t="n"/>
      <c r="H116" s="10" t="n"/>
    </row>
    <row r="117" ht="15" customHeight="1">
      <c r="A117" s="15" t="n"/>
      <c r="B117" s="10" t="n"/>
      <c r="C117" s="9" t="n"/>
      <c r="D117" s="16" t="n"/>
      <c r="E117" s="16" t="n"/>
      <c r="F117" s="26">
        <f>IF(OR($D117="",$E117=""),"",ROUND(($E117-$D117+IF($E117&lt;$D117,1,0))*1440,0))</f>
        <v/>
      </c>
      <c r="G117" s="9" t="n"/>
      <c r="H117" s="10" t="n"/>
    </row>
    <row r="118" ht="15" customHeight="1">
      <c r="A118" s="15" t="n"/>
      <c r="B118" s="10" t="n"/>
      <c r="C118" s="9" t="n"/>
      <c r="D118" s="16" t="n"/>
      <c r="E118" s="16" t="n"/>
      <c r="F118" s="26">
        <f>IF(OR($D118="",$E118=""),"",ROUND(($E118-$D118+IF($E118&lt;$D118,1,0))*1440,0))</f>
        <v/>
      </c>
      <c r="G118" s="9" t="n"/>
      <c r="H118" s="10" t="n"/>
    </row>
    <row r="119" ht="15" customHeight="1">
      <c r="A119" s="15" t="n"/>
      <c r="B119" s="10" t="n"/>
      <c r="C119" s="9" t="n"/>
      <c r="D119" s="16" t="n"/>
      <c r="E119" s="16" t="n"/>
      <c r="F119" s="26">
        <f>IF(OR($D119="",$E119=""),"",ROUND(($E119-$D119+IF($E119&lt;$D119,1,0))*1440,0))</f>
        <v/>
      </c>
      <c r="G119" s="9" t="n"/>
      <c r="H119" s="10" t="n"/>
    </row>
    <row r="120" ht="15" customHeight="1">
      <c r="A120" s="15" t="n"/>
      <c r="B120" s="10" t="n"/>
      <c r="C120" s="9" t="n"/>
      <c r="D120" s="16" t="n"/>
      <c r="E120" s="16" t="n"/>
      <c r="F120" s="26">
        <f>IF(OR($D120="",$E120=""),"",ROUND(($E120-$D120+IF($E120&lt;$D120,1,0))*1440,0))</f>
        <v/>
      </c>
      <c r="G120" s="9" t="n"/>
      <c r="H120" s="10" t="n"/>
    </row>
    <row r="121" ht="15" customHeight="1">
      <c r="A121" s="15" t="n"/>
      <c r="B121" s="10" t="n"/>
      <c r="C121" s="9" t="n"/>
      <c r="D121" s="16" t="n"/>
      <c r="E121" s="16" t="n"/>
      <c r="F121" s="26">
        <f>IF(OR($D121="",$E121=""),"",ROUND(($E121-$D121+IF($E121&lt;$D121,1,0))*1440,0))</f>
        <v/>
      </c>
      <c r="G121" s="9" t="n"/>
      <c r="H121" s="10" t="n"/>
    </row>
    <row r="122" ht="15" customHeight="1">
      <c r="A122" s="15" t="n"/>
      <c r="B122" s="10" t="n"/>
      <c r="C122" s="9" t="n"/>
      <c r="D122" s="16" t="n"/>
      <c r="E122" s="16" t="n"/>
      <c r="F122" s="26">
        <f>IF(OR($D122="",$E122=""),"",ROUND(($E122-$D122+IF($E122&lt;$D122,1,0))*1440,0))</f>
        <v/>
      </c>
      <c r="G122" s="9" t="n"/>
      <c r="H122" s="10" t="n"/>
    </row>
    <row r="123" ht="15" customHeight="1">
      <c r="A123" s="15" t="n"/>
      <c r="B123" s="10" t="n"/>
      <c r="C123" s="9" t="n"/>
      <c r="D123" s="16" t="n"/>
      <c r="E123" s="16" t="n"/>
      <c r="F123" s="26">
        <f>IF(OR($D123="",$E123=""),"",ROUND(($E123-$D123+IF($E123&lt;$D123,1,0))*1440,0))</f>
        <v/>
      </c>
      <c r="G123" s="9" t="n"/>
      <c r="H123" s="10" t="n"/>
    </row>
    <row r="124" ht="15" customHeight="1">
      <c r="A124" s="15" t="n"/>
      <c r="B124" s="10" t="n"/>
      <c r="C124" s="9" t="n"/>
      <c r="D124" s="16" t="n"/>
      <c r="E124" s="16" t="n"/>
      <c r="F124" s="26">
        <f>IF(OR($D124="",$E124=""),"",ROUND(($E124-$D124+IF($E124&lt;$D124,1,0))*1440,0))</f>
        <v/>
      </c>
      <c r="G124" s="9" t="n"/>
      <c r="H124" s="10" t="n"/>
    </row>
    <row r="125" ht="15" customHeight="1">
      <c r="A125" s="15" t="n"/>
      <c r="B125" s="10" t="n"/>
      <c r="C125" s="9" t="n"/>
      <c r="D125" s="16" t="n"/>
      <c r="E125" s="16" t="n"/>
      <c r="F125" s="26">
        <f>IF(OR($D125="",$E125=""),"",ROUND(($E125-$D125+IF($E125&lt;$D125,1,0))*1440,0))</f>
        <v/>
      </c>
      <c r="G125" s="9" t="n"/>
      <c r="H125" s="10" t="n"/>
    </row>
    <row r="126" ht="15" customHeight="1">
      <c r="A126" s="15" t="n"/>
      <c r="B126" s="10" t="n"/>
      <c r="C126" s="9" t="n"/>
      <c r="D126" s="16" t="n"/>
      <c r="E126" s="16" t="n"/>
      <c r="F126" s="26">
        <f>IF(OR($D126="",$E126=""),"",ROUND(($E126-$D126+IF($E126&lt;$D126,1,0))*1440,0))</f>
        <v/>
      </c>
      <c r="G126" s="9" t="n"/>
      <c r="H126" s="10" t="n"/>
    </row>
    <row r="127" ht="15" customHeight="1">
      <c r="A127" s="15" t="n"/>
      <c r="B127" s="10" t="n"/>
      <c r="C127" s="9" t="n"/>
      <c r="D127" s="16" t="n"/>
      <c r="E127" s="16" t="n"/>
      <c r="F127" s="26">
        <f>IF(OR($D127="",$E127=""),"",ROUND(($E127-$D127+IF($E127&lt;$D127,1,0))*1440,0))</f>
        <v/>
      </c>
      <c r="G127" s="9" t="n"/>
      <c r="H127" s="10" t="n"/>
    </row>
    <row r="128" ht="15" customHeight="1">
      <c r="A128" s="15" t="n"/>
      <c r="B128" s="10" t="n"/>
      <c r="C128" s="9" t="n"/>
      <c r="D128" s="16" t="n"/>
      <c r="E128" s="16" t="n"/>
      <c r="F128" s="26">
        <f>IF(OR($D128="",$E128=""),"",ROUND(($E128-$D128+IF($E128&lt;$D128,1,0))*1440,0))</f>
        <v/>
      </c>
      <c r="G128" s="9" t="n"/>
      <c r="H128" s="10" t="n"/>
    </row>
    <row r="129" ht="15" customHeight="1">
      <c r="A129" s="15" t="n"/>
      <c r="B129" s="10" t="n"/>
      <c r="C129" s="9" t="n"/>
      <c r="D129" s="16" t="n"/>
      <c r="E129" s="16" t="n"/>
      <c r="F129" s="26">
        <f>IF(OR($D129="",$E129=""),"",ROUND(($E129-$D129+IF($E129&lt;$D129,1,0))*1440,0))</f>
        <v/>
      </c>
      <c r="G129" s="9" t="n"/>
      <c r="H129" s="10" t="n"/>
    </row>
    <row r="130" ht="15" customHeight="1">
      <c r="A130" s="15" t="n"/>
      <c r="B130" s="10" t="n"/>
      <c r="C130" s="9" t="n"/>
      <c r="D130" s="16" t="n"/>
      <c r="E130" s="16" t="n"/>
      <c r="F130" s="26">
        <f>IF(OR($D130="",$E130=""),"",ROUND(($E130-$D130+IF($E130&lt;$D130,1,0))*1440,0))</f>
        <v/>
      </c>
      <c r="G130" s="9" t="n"/>
      <c r="H130" s="10" t="n"/>
    </row>
    <row r="131" ht="15" customHeight="1">
      <c r="A131" s="15" t="n"/>
      <c r="B131" s="10" t="n"/>
      <c r="C131" s="9" t="n"/>
      <c r="D131" s="16" t="n"/>
      <c r="E131" s="16" t="n"/>
      <c r="F131" s="26">
        <f>IF(OR($D131="",$E131=""),"",ROUND(($E131-$D131+IF($E131&lt;$D131,1,0))*1440,0))</f>
        <v/>
      </c>
      <c r="G131" s="9" t="n"/>
      <c r="H131" s="10" t="n"/>
    </row>
    <row r="132" ht="15" customHeight="1">
      <c r="A132" s="15" t="n"/>
      <c r="B132" s="10" t="n"/>
      <c r="C132" s="9" t="n"/>
      <c r="D132" s="16" t="n"/>
      <c r="E132" s="16" t="n"/>
      <c r="F132" s="26">
        <f>IF(OR($D132="",$E132=""),"",ROUND(($E132-$D132+IF($E132&lt;$D132,1,0))*1440,0))</f>
        <v/>
      </c>
      <c r="G132" s="9" t="n"/>
      <c r="H132" s="10" t="n"/>
    </row>
    <row r="133" ht="15" customHeight="1">
      <c r="A133" s="15" t="n"/>
      <c r="B133" s="10" t="n"/>
      <c r="C133" s="9" t="n"/>
      <c r="D133" s="16" t="n"/>
      <c r="E133" s="16" t="n"/>
      <c r="F133" s="26">
        <f>IF(OR($D133="",$E133=""),"",ROUND(($E133-$D133+IF($E133&lt;$D133,1,0))*1440,0))</f>
        <v/>
      </c>
      <c r="G133" s="9" t="n"/>
      <c r="H133" s="10" t="n"/>
    </row>
    <row r="134" ht="15" customHeight="1">
      <c r="A134" s="15" t="n"/>
      <c r="B134" s="10" t="n"/>
      <c r="C134" s="9" t="n"/>
      <c r="D134" s="16" t="n"/>
      <c r="E134" s="16" t="n"/>
      <c r="F134" s="26">
        <f>IF(OR($D134="",$E134=""),"",ROUND(($E134-$D134+IF($E134&lt;$D134,1,0))*1440,0))</f>
        <v/>
      </c>
      <c r="G134" s="9" t="n"/>
      <c r="H134" s="10" t="n"/>
    </row>
    <row r="135" ht="15" customHeight="1">
      <c r="A135" s="15" t="n"/>
      <c r="B135" s="10" t="n"/>
      <c r="C135" s="9" t="n"/>
      <c r="D135" s="16" t="n"/>
      <c r="E135" s="16" t="n"/>
      <c r="F135" s="26">
        <f>IF(OR($D135="",$E135=""),"",ROUND(($E135-$D135+IF($E135&lt;$D135,1,0))*1440,0))</f>
        <v/>
      </c>
      <c r="G135" s="9" t="n"/>
      <c r="H135" s="10" t="n"/>
    </row>
    <row r="136" ht="15" customHeight="1">
      <c r="A136" s="15" t="n"/>
      <c r="B136" s="10" t="n"/>
      <c r="C136" s="9" t="n"/>
      <c r="D136" s="16" t="n"/>
      <c r="E136" s="16" t="n"/>
      <c r="F136" s="26">
        <f>IF(OR($D136="",$E136=""),"",ROUND(($E136-$D136+IF($E136&lt;$D136,1,0))*1440,0))</f>
        <v/>
      </c>
      <c r="G136" s="9" t="n"/>
      <c r="H136" s="10" t="n"/>
    </row>
    <row r="137" ht="15" customHeight="1">
      <c r="A137" s="15" t="n"/>
      <c r="B137" s="10" t="n"/>
      <c r="C137" s="9" t="n"/>
      <c r="D137" s="16" t="n"/>
      <c r="E137" s="16" t="n"/>
      <c r="F137" s="26">
        <f>IF(OR($D137="",$E137=""),"",ROUND(($E137-$D137+IF($E137&lt;$D137,1,0))*1440,0))</f>
        <v/>
      </c>
      <c r="G137" s="9" t="n"/>
      <c r="H137" s="10" t="n"/>
    </row>
    <row r="138" ht="15" customHeight="1">
      <c r="A138" s="15" t="n"/>
      <c r="B138" s="10" t="n"/>
      <c r="C138" s="9" t="n"/>
      <c r="D138" s="16" t="n"/>
      <c r="E138" s="16" t="n"/>
      <c r="F138" s="26">
        <f>IF(OR($D138="",$E138=""),"",ROUND(($E138-$D138+IF($E138&lt;$D138,1,0))*1440,0))</f>
        <v/>
      </c>
      <c r="G138" s="9" t="n"/>
      <c r="H138" s="10" t="n"/>
    </row>
    <row r="139" ht="15" customHeight="1">
      <c r="A139" s="15" t="n"/>
      <c r="B139" s="10" t="n"/>
      <c r="C139" s="9" t="n"/>
      <c r="D139" s="16" t="n"/>
      <c r="E139" s="16" t="n"/>
      <c r="F139" s="26">
        <f>IF(OR($D139="",$E139=""),"",ROUND(($E139-$D139+IF($E139&lt;$D139,1,0))*1440,0))</f>
        <v/>
      </c>
      <c r="G139" s="9" t="n"/>
      <c r="H139" s="10" t="n"/>
    </row>
    <row r="140" ht="15" customHeight="1">
      <c r="A140" s="15" t="n"/>
      <c r="B140" s="10" t="n"/>
      <c r="C140" s="9" t="n"/>
      <c r="D140" s="16" t="n"/>
      <c r="E140" s="16" t="n"/>
      <c r="F140" s="26">
        <f>IF(OR($D140="",$E140=""),"",ROUND(($E140-$D140+IF($E140&lt;$D140,1,0))*1440,0))</f>
        <v/>
      </c>
      <c r="G140" s="9" t="n"/>
      <c r="H140" s="10" t="n"/>
    </row>
    <row r="141" ht="15" customHeight="1">
      <c r="A141" s="15" t="n"/>
      <c r="B141" s="10" t="n"/>
      <c r="C141" s="9" t="n"/>
      <c r="D141" s="16" t="n"/>
      <c r="E141" s="16" t="n"/>
      <c r="F141" s="26">
        <f>IF(OR($D141="",$E141=""),"",ROUND(($E141-$D141+IF($E141&lt;$D141,1,0))*1440,0))</f>
        <v/>
      </c>
      <c r="G141" s="9" t="n"/>
      <c r="H141" s="10" t="n"/>
    </row>
    <row r="142" ht="15" customHeight="1">
      <c r="A142" s="15" t="n"/>
      <c r="B142" s="10" t="n"/>
      <c r="C142" s="9" t="n"/>
      <c r="D142" s="16" t="n"/>
      <c r="E142" s="16" t="n"/>
      <c r="F142" s="26">
        <f>IF(OR($D142="",$E142=""),"",ROUND(($E142-$D142+IF($E142&lt;$D142,1,0))*1440,0))</f>
        <v/>
      </c>
      <c r="G142" s="9" t="n"/>
      <c r="H142" s="10" t="n"/>
    </row>
    <row r="143" ht="15" customHeight="1">
      <c r="A143" s="15" t="n"/>
      <c r="B143" s="10" t="n"/>
      <c r="C143" s="9" t="n"/>
      <c r="D143" s="16" t="n"/>
      <c r="E143" s="16" t="n"/>
      <c r="F143" s="26">
        <f>IF(OR($D143="",$E143=""),"",ROUND(($E143-$D143+IF($E143&lt;$D143,1,0))*1440,0))</f>
        <v/>
      </c>
      <c r="G143" s="9" t="n"/>
      <c r="H143" s="10" t="n"/>
    </row>
    <row r="144" ht="15" customHeight="1">
      <c r="A144" s="15" t="n"/>
      <c r="B144" s="10" t="n"/>
      <c r="C144" s="9" t="n"/>
      <c r="D144" s="16" t="n"/>
      <c r="E144" s="16" t="n"/>
      <c r="F144" s="26">
        <f>IF(OR($D144="",$E144=""),"",ROUND(($E144-$D144+IF($E144&lt;$D144,1,0))*1440,0))</f>
        <v/>
      </c>
      <c r="G144" s="9" t="n"/>
      <c r="H144" s="10" t="n"/>
    </row>
    <row r="145" ht="15" customHeight="1">
      <c r="A145" s="15" t="n"/>
      <c r="B145" s="10" t="n"/>
      <c r="C145" s="9" t="n"/>
      <c r="D145" s="16" t="n"/>
      <c r="E145" s="16" t="n"/>
      <c r="F145" s="26">
        <f>IF(OR($D145="",$E145=""),"",ROUND(($E145-$D145+IF($E145&lt;$D145,1,0))*1440,0))</f>
        <v/>
      </c>
      <c r="G145" s="9" t="n"/>
      <c r="H145" s="10" t="n"/>
    </row>
    <row r="146" ht="15" customHeight="1">
      <c r="A146" s="15" t="n"/>
      <c r="B146" s="10" t="n"/>
      <c r="C146" s="9" t="n"/>
      <c r="D146" s="16" t="n"/>
      <c r="E146" s="16" t="n"/>
      <c r="F146" s="26">
        <f>IF(OR($D146="",$E146=""),"",ROUND(($E146-$D146+IF($E146&lt;$D146,1,0))*1440,0))</f>
        <v/>
      </c>
      <c r="G146" s="9" t="n"/>
      <c r="H146" s="10" t="n"/>
    </row>
    <row r="147" ht="15" customHeight="1">
      <c r="A147" s="15" t="n"/>
      <c r="B147" s="10" t="n"/>
      <c r="C147" s="9" t="n"/>
      <c r="D147" s="16" t="n"/>
      <c r="E147" s="16" t="n"/>
      <c r="F147" s="26">
        <f>IF(OR($D147="",$E147=""),"",ROUND(($E147-$D147+IF($E147&lt;$D147,1,0))*1440,0))</f>
        <v/>
      </c>
      <c r="G147" s="9" t="n"/>
      <c r="H147" s="10" t="n"/>
    </row>
    <row r="148" ht="15" customHeight="1">
      <c r="A148" s="15" t="n"/>
      <c r="B148" s="10" t="n"/>
      <c r="C148" s="9" t="n"/>
      <c r="D148" s="16" t="n"/>
      <c r="E148" s="16" t="n"/>
      <c r="F148" s="26">
        <f>IF(OR($D148="",$E148=""),"",ROUND(($E148-$D148+IF($E148&lt;$D148,1,0))*1440,0))</f>
        <v/>
      </c>
      <c r="G148" s="9" t="n"/>
      <c r="H148" s="10" t="n"/>
    </row>
    <row r="149" ht="15" customHeight="1">
      <c r="A149" s="15" t="n"/>
      <c r="B149" s="10" t="n"/>
      <c r="C149" s="9" t="n"/>
      <c r="D149" s="16" t="n"/>
      <c r="E149" s="16" t="n"/>
      <c r="F149" s="26">
        <f>IF(OR($D149="",$E149=""),"",ROUND(($E149-$D149+IF($E149&lt;$D149,1,0))*1440,0))</f>
        <v/>
      </c>
      <c r="G149" s="9" t="n"/>
      <c r="H149" s="10" t="n"/>
    </row>
    <row r="150" ht="15" customHeight="1">
      <c r="A150" s="15" t="n"/>
      <c r="B150" s="10" t="n"/>
      <c r="C150" s="9" t="n"/>
      <c r="D150" s="16" t="n"/>
      <c r="E150" s="16" t="n"/>
      <c r="F150" s="26">
        <f>IF(OR($D150="",$E150=""),"",ROUND(($E150-$D150+IF($E150&lt;$D150,1,0))*1440,0))</f>
        <v/>
      </c>
      <c r="G150" s="9" t="n"/>
      <c r="H150" s="10" t="n"/>
    </row>
    <row r="151" ht="15" customHeight="1">
      <c r="A151" s="15" t="n"/>
      <c r="B151" s="10" t="n"/>
      <c r="C151" s="9" t="n"/>
      <c r="D151" s="16" t="n"/>
      <c r="E151" s="16" t="n"/>
      <c r="F151" s="26">
        <f>IF(OR($D151="",$E151=""),"",ROUND(($E151-$D151+IF($E151&lt;$D151,1,0))*1440,0))</f>
        <v/>
      </c>
      <c r="G151" s="9" t="n"/>
      <c r="H151" s="10" t="n"/>
    </row>
    <row r="152" ht="15" customHeight="1">
      <c r="A152" s="15" t="n"/>
      <c r="B152" s="10" t="n"/>
      <c r="C152" s="9" t="n"/>
      <c r="D152" s="16" t="n"/>
      <c r="E152" s="16" t="n"/>
      <c r="F152" s="26">
        <f>IF(OR($D152="",$E152=""),"",ROUND(($E152-$D152+IF($E152&lt;$D152,1,0))*1440,0))</f>
        <v/>
      </c>
      <c r="G152" s="9" t="n"/>
      <c r="H152" s="10" t="n"/>
    </row>
    <row r="153" ht="15" customHeight="1">
      <c r="A153" s="15" t="n"/>
      <c r="B153" s="10" t="n"/>
      <c r="C153" s="9" t="n"/>
      <c r="D153" s="16" t="n"/>
      <c r="E153" s="16" t="n"/>
      <c r="F153" s="26">
        <f>IF(OR($D153="",$E153=""),"",ROUND(($E153-$D153+IF($E153&lt;$D153,1,0))*1440,0))</f>
        <v/>
      </c>
      <c r="G153" s="9" t="n"/>
      <c r="H153" s="10" t="n"/>
    </row>
    <row r="154" ht="15" customHeight="1">
      <c r="A154" s="15" t="n"/>
      <c r="B154" s="10" t="n"/>
      <c r="C154" s="9" t="n"/>
      <c r="D154" s="16" t="n"/>
      <c r="E154" s="16" t="n"/>
      <c r="F154" s="26">
        <f>IF(OR($D154="",$E154=""),"",ROUND(($E154-$D154+IF($E154&lt;$D154,1,0))*1440,0))</f>
        <v/>
      </c>
      <c r="G154" s="9" t="n"/>
      <c r="H154" s="10" t="n"/>
    </row>
    <row r="155" ht="15" customHeight="1">
      <c r="A155" s="15" t="n"/>
      <c r="B155" s="10" t="n"/>
      <c r="C155" s="9" t="n"/>
      <c r="D155" s="16" t="n"/>
      <c r="E155" s="16" t="n"/>
      <c r="F155" s="26">
        <f>IF(OR($D155="",$E155=""),"",ROUND(($E155-$D155+IF($E155&lt;$D155,1,0))*1440,0))</f>
        <v/>
      </c>
      <c r="G155" s="9" t="n"/>
      <c r="H155" s="10" t="n"/>
    </row>
    <row r="156" ht="15" customHeight="1">
      <c r="A156" s="15" t="n"/>
      <c r="B156" s="10" t="n"/>
      <c r="C156" s="9" t="n"/>
      <c r="D156" s="16" t="n"/>
      <c r="E156" s="16" t="n"/>
      <c r="F156" s="26">
        <f>IF(OR($D156="",$E156=""),"",ROUND(($E156-$D156+IF($E156&lt;$D156,1,0))*1440,0))</f>
        <v/>
      </c>
      <c r="G156" s="9" t="n"/>
      <c r="H156" s="10" t="n"/>
    </row>
    <row r="157" ht="15" customHeight="1">
      <c r="A157" s="15" t="n"/>
      <c r="B157" s="10" t="n"/>
      <c r="C157" s="9" t="n"/>
      <c r="D157" s="16" t="n"/>
      <c r="E157" s="16" t="n"/>
      <c r="F157" s="26">
        <f>IF(OR($D157="",$E157=""),"",ROUND(($E157-$D157+IF($E157&lt;$D157,1,0))*1440,0))</f>
        <v/>
      </c>
      <c r="G157" s="9" t="n"/>
      <c r="H157" s="10" t="n"/>
    </row>
    <row r="158" ht="15" customHeight="1">
      <c r="A158" s="15" t="n"/>
      <c r="B158" s="10" t="n"/>
      <c r="C158" s="9" t="n"/>
      <c r="D158" s="16" t="n"/>
      <c r="E158" s="16" t="n"/>
      <c r="F158" s="26">
        <f>IF(OR($D158="",$E158=""),"",ROUND(($E158-$D158+IF($E158&lt;$D158,1,0))*1440,0))</f>
        <v/>
      </c>
      <c r="G158" s="9" t="n"/>
      <c r="H158" s="10" t="n"/>
    </row>
    <row r="159" ht="15" customHeight="1">
      <c r="A159" s="15" t="n"/>
      <c r="B159" s="10" t="n"/>
      <c r="C159" s="9" t="n"/>
      <c r="D159" s="16" t="n"/>
      <c r="E159" s="16" t="n"/>
      <c r="F159" s="26">
        <f>IF(OR($D159="",$E159=""),"",ROUND(($E159-$D159+IF($E159&lt;$D159,1,0))*1440,0))</f>
        <v/>
      </c>
      <c r="G159" s="9" t="n"/>
      <c r="H159" s="10" t="n"/>
    </row>
    <row r="160" ht="15" customHeight="1">
      <c r="A160" s="15" t="n"/>
      <c r="B160" s="10" t="n"/>
      <c r="C160" s="9" t="n"/>
      <c r="D160" s="16" t="n"/>
      <c r="E160" s="16" t="n"/>
      <c r="F160" s="26">
        <f>IF(OR($D160="",$E160=""),"",ROUND(($E160-$D160+IF($E160&lt;$D160,1,0))*1440,0))</f>
        <v/>
      </c>
      <c r="G160" s="9" t="n"/>
      <c r="H160" s="10" t="n"/>
    </row>
    <row r="161" ht="15" customHeight="1">
      <c r="A161" s="15" t="n"/>
      <c r="B161" s="10" t="n"/>
      <c r="C161" s="9" t="n"/>
      <c r="D161" s="16" t="n"/>
      <c r="E161" s="16" t="n"/>
      <c r="F161" s="26">
        <f>IF(OR($D161="",$E161=""),"",ROUND(($E161-$D161+IF($E161&lt;$D161,1,0))*1440,0))</f>
        <v/>
      </c>
      <c r="G161" s="9" t="n"/>
      <c r="H161" s="10" t="n"/>
    </row>
    <row r="162" ht="15" customHeight="1">
      <c r="A162" s="15" t="n"/>
      <c r="B162" s="10" t="n"/>
      <c r="C162" s="9" t="n"/>
      <c r="D162" s="16" t="n"/>
      <c r="E162" s="16" t="n"/>
      <c r="F162" s="26">
        <f>IF(OR($D162="",$E162=""),"",ROUND(($E162-$D162+IF($E162&lt;$D162,1,0))*1440,0))</f>
        <v/>
      </c>
      <c r="G162" s="9" t="n"/>
      <c r="H162" s="10" t="n"/>
    </row>
    <row r="163" ht="15" customHeight="1">
      <c r="A163" s="15" t="n"/>
      <c r="B163" s="10" t="n"/>
      <c r="C163" s="9" t="n"/>
      <c r="D163" s="16" t="n"/>
      <c r="E163" s="16" t="n"/>
      <c r="F163" s="26">
        <f>IF(OR($D163="",$E163=""),"",ROUND(($E163-$D163+IF($E163&lt;$D163,1,0))*1440,0))</f>
        <v/>
      </c>
      <c r="G163" s="9" t="n"/>
      <c r="H163" s="10" t="n"/>
    </row>
    <row r="164" ht="15" customHeight="1">
      <c r="A164" s="15" t="n"/>
      <c r="B164" s="10" t="n"/>
      <c r="C164" s="9" t="n"/>
      <c r="D164" s="16" t="n"/>
      <c r="E164" s="16" t="n"/>
      <c r="F164" s="26">
        <f>IF(OR($D164="",$E164=""),"",ROUND(($E164-$D164+IF($E164&lt;$D164,1,0))*1440,0))</f>
        <v/>
      </c>
      <c r="G164" s="9" t="n"/>
      <c r="H164" s="10" t="n"/>
    </row>
    <row r="165" ht="15" customHeight="1">
      <c r="A165" s="15" t="n"/>
      <c r="B165" s="10" t="n"/>
      <c r="C165" s="9" t="n"/>
      <c r="D165" s="16" t="n"/>
      <c r="E165" s="16" t="n"/>
      <c r="F165" s="26">
        <f>IF(OR($D165="",$E165=""),"",ROUND(($E165-$D165+IF($E165&lt;$D165,1,0))*1440,0))</f>
        <v/>
      </c>
      <c r="G165" s="9" t="n"/>
      <c r="H165" s="10" t="n"/>
    </row>
    <row r="166" ht="15" customHeight="1">
      <c r="A166" s="15" t="n"/>
      <c r="B166" s="10" t="n"/>
      <c r="C166" s="9" t="n"/>
      <c r="D166" s="16" t="n"/>
      <c r="E166" s="16" t="n"/>
      <c r="F166" s="26">
        <f>IF(OR($D166="",$E166=""),"",ROUND(($E166-$D166+IF($E166&lt;$D166,1,0))*1440,0))</f>
        <v/>
      </c>
      <c r="G166" s="9" t="n"/>
      <c r="H166" s="10" t="n"/>
    </row>
    <row r="167" ht="15" customHeight="1">
      <c r="A167" s="15" t="n"/>
      <c r="B167" s="10" t="n"/>
      <c r="C167" s="9" t="n"/>
      <c r="D167" s="16" t="n"/>
      <c r="E167" s="16" t="n"/>
      <c r="F167" s="26">
        <f>IF(OR($D167="",$E167=""),"",ROUND(($E167-$D167+IF($E167&lt;$D167,1,0))*1440,0))</f>
        <v/>
      </c>
      <c r="G167" s="9" t="n"/>
      <c r="H167" s="10" t="n"/>
    </row>
    <row r="168" ht="15" customHeight="1">
      <c r="A168" s="15" t="n"/>
      <c r="B168" s="10" t="n"/>
      <c r="C168" s="9" t="n"/>
      <c r="D168" s="16" t="n"/>
      <c r="E168" s="16" t="n"/>
      <c r="F168" s="26">
        <f>IF(OR($D168="",$E168=""),"",ROUND(($E168-$D168+IF($E168&lt;$D168,1,0))*1440,0))</f>
        <v/>
      </c>
      <c r="G168" s="9" t="n"/>
      <c r="H168" s="10" t="n"/>
    </row>
    <row r="169" ht="15" customHeight="1">
      <c r="A169" s="15" t="n"/>
      <c r="B169" s="10" t="n"/>
      <c r="C169" s="9" t="n"/>
      <c r="D169" s="16" t="n"/>
      <c r="E169" s="16" t="n"/>
      <c r="F169" s="26">
        <f>IF(OR($D169="",$E169=""),"",ROUND(($E169-$D169+IF($E169&lt;$D169,1,0))*1440,0))</f>
        <v/>
      </c>
      <c r="G169" s="9" t="n"/>
      <c r="H169" s="10" t="n"/>
    </row>
    <row r="170" ht="15" customHeight="1">
      <c r="A170" s="15" t="n"/>
      <c r="B170" s="10" t="n"/>
      <c r="C170" s="9" t="n"/>
      <c r="D170" s="16" t="n"/>
      <c r="E170" s="16" t="n"/>
      <c r="F170" s="26">
        <f>IF(OR($D170="",$E170=""),"",ROUND(($E170-$D170+IF($E170&lt;$D170,1,0))*1440,0))</f>
        <v/>
      </c>
      <c r="G170" s="9" t="n"/>
      <c r="H170" s="10" t="n"/>
    </row>
    <row r="171" ht="15" customHeight="1">
      <c r="A171" s="15" t="n"/>
      <c r="B171" s="10" t="n"/>
      <c r="C171" s="9" t="n"/>
      <c r="D171" s="16" t="n"/>
      <c r="E171" s="16" t="n"/>
      <c r="F171" s="26">
        <f>IF(OR($D171="",$E171=""),"",ROUND(($E171-$D171+IF($E171&lt;$D171,1,0))*1440,0))</f>
        <v/>
      </c>
      <c r="G171" s="9" t="n"/>
      <c r="H171" s="10" t="n"/>
    </row>
    <row r="172" ht="15" customHeight="1">
      <c r="A172" s="15" t="n"/>
      <c r="B172" s="10" t="n"/>
      <c r="C172" s="9" t="n"/>
      <c r="D172" s="16" t="n"/>
      <c r="E172" s="16" t="n"/>
      <c r="F172" s="26">
        <f>IF(OR($D172="",$E172=""),"",ROUND(($E172-$D172+IF($E172&lt;$D172,1,0))*1440,0))</f>
        <v/>
      </c>
      <c r="G172" s="9" t="n"/>
      <c r="H172" s="10" t="n"/>
    </row>
    <row r="173" ht="15" customHeight="1">
      <c r="A173" s="15" t="n"/>
      <c r="B173" s="10" t="n"/>
      <c r="C173" s="9" t="n"/>
      <c r="D173" s="16" t="n"/>
      <c r="E173" s="16" t="n"/>
      <c r="F173" s="26">
        <f>IF(OR($D173="",$E173=""),"",ROUND(($E173-$D173+IF($E173&lt;$D173,1,0))*1440,0))</f>
        <v/>
      </c>
      <c r="G173" s="9" t="n"/>
      <c r="H173" s="10" t="n"/>
    </row>
    <row r="174" ht="15" customHeight="1">
      <c r="A174" s="15" t="n"/>
      <c r="B174" s="10" t="n"/>
      <c r="C174" s="9" t="n"/>
      <c r="D174" s="16" t="n"/>
      <c r="E174" s="16" t="n"/>
      <c r="F174" s="26">
        <f>IF(OR($D174="",$E174=""),"",ROUND(($E174-$D174+IF($E174&lt;$D174,1,0))*1440,0))</f>
        <v/>
      </c>
      <c r="G174" s="9" t="n"/>
      <c r="H174" s="10" t="n"/>
    </row>
    <row r="175" ht="15" customHeight="1">
      <c r="A175" s="15" t="n"/>
      <c r="B175" s="10" t="n"/>
      <c r="C175" s="9" t="n"/>
      <c r="D175" s="16" t="n"/>
      <c r="E175" s="16" t="n"/>
      <c r="F175" s="26">
        <f>IF(OR($D175="",$E175=""),"",ROUND(($E175-$D175+IF($E175&lt;$D175,1,0))*1440,0))</f>
        <v/>
      </c>
      <c r="G175" s="9" t="n"/>
      <c r="H175" s="10" t="n"/>
    </row>
    <row r="176" ht="15" customHeight="1">
      <c r="A176" s="15" t="n"/>
      <c r="B176" s="10" t="n"/>
      <c r="C176" s="9" t="n"/>
      <c r="D176" s="16" t="n"/>
      <c r="E176" s="16" t="n"/>
      <c r="F176" s="26">
        <f>IF(OR($D176="",$E176=""),"",ROUND(($E176-$D176+IF($E176&lt;$D176,1,0))*1440,0))</f>
        <v/>
      </c>
      <c r="G176" s="9" t="n"/>
      <c r="H176" s="10" t="n"/>
    </row>
    <row r="177" ht="15" customHeight="1">
      <c r="A177" s="15" t="n"/>
      <c r="B177" s="10" t="n"/>
      <c r="C177" s="9" t="n"/>
      <c r="D177" s="16" t="n"/>
      <c r="E177" s="16" t="n"/>
      <c r="F177" s="26">
        <f>IF(OR($D177="",$E177=""),"",ROUND(($E177-$D177+IF($E177&lt;$D177,1,0))*1440,0))</f>
        <v/>
      </c>
      <c r="G177" s="9" t="n"/>
      <c r="H177" s="10" t="n"/>
    </row>
    <row r="178" ht="15" customHeight="1">
      <c r="A178" s="15" t="n"/>
      <c r="B178" s="10" t="n"/>
      <c r="C178" s="9" t="n"/>
      <c r="D178" s="16" t="n"/>
      <c r="E178" s="16" t="n"/>
      <c r="F178" s="26">
        <f>IF(OR($D178="",$E178=""),"",ROUND(($E178-$D178+IF($E178&lt;$D178,1,0))*1440,0))</f>
        <v/>
      </c>
      <c r="G178" s="9" t="n"/>
      <c r="H178" s="10" t="n"/>
    </row>
    <row r="179" ht="15" customHeight="1">
      <c r="A179" s="15" t="n"/>
      <c r="B179" s="10" t="n"/>
      <c r="C179" s="9" t="n"/>
      <c r="D179" s="16" t="n"/>
      <c r="E179" s="16" t="n"/>
      <c r="F179" s="26">
        <f>IF(OR($D179="",$E179=""),"",ROUND(($E179-$D179+IF($E179&lt;$D179,1,0))*1440,0))</f>
        <v/>
      </c>
      <c r="G179" s="9" t="n"/>
      <c r="H179" s="10" t="n"/>
    </row>
    <row r="180" ht="15" customHeight="1">
      <c r="A180" s="15" t="n"/>
      <c r="B180" s="10" t="n"/>
      <c r="C180" s="9" t="n"/>
      <c r="D180" s="16" t="n"/>
      <c r="E180" s="16" t="n"/>
      <c r="F180" s="26">
        <f>IF(OR($D180="",$E180=""),"",ROUND(($E180-$D180+IF($E180&lt;$D180,1,0))*1440,0))</f>
        <v/>
      </c>
      <c r="G180" s="9" t="n"/>
      <c r="H180" s="10" t="n"/>
    </row>
    <row r="181" ht="15" customHeight="1">
      <c r="A181" s="15" t="n"/>
      <c r="B181" s="10" t="n"/>
      <c r="C181" s="9" t="n"/>
      <c r="D181" s="16" t="n"/>
      <c r="E181" s="16" t="n"/>
      <c r="F181" s="26">
        <f>IF(OR($D181="",$E181=""),"",ROUND(($E181-$D181+IF($E181&lt;$D181,1,0))*1440,0))</f>
        <v/>
      </c>
      <c r="G181" s="9" t="n"/>
      <c r="H181" s="10" t="n"/>
    </row>
    <row r="182" ht="15" customHeight="1">
      <c r="A182" s="15" t="n"/>
      <c r="B182" s="10" t="n"/>
      <c r="C182" s="9" t="n"/>
      <c r="D182" s="16" t="n"/>
      <c r="E182" s="16" t="n"/>
      <c r="F182" s="26">
        <f>IF(OR($D182="",$E182=""),"",ROUND(($E182-$D182+IF($E182&lt;$D182,1,0))*1440,0))</f>
        <v/>
      </c>
      <c r="G182" s="9" t="n"/>
      <c r="H182" s="10" t="n"/>
    </row>
    <row r="183" ht="15" customHeight="1">
      <c r="A183" s="15" t="n"/>
      <c r="B183" s="10" t="n"/>
      <c r="C183" s="9" t="n"/>
      <c r="D183" s="16" t="n"/>
      <c r="E183" s="16" t="n"/>
      <c r="F183" s="26">
        <f>IF(OR($D183="",$E183=""),"",ROUND(($E183-$D183+IF($E183&lt;$D183,1,0))*1440,0))</f>
        <v/>
      </c>
      <c r="G183" s="9" t="n"/>
      <c r="H183" s="10" t="n"/>
    </row>
    <row r="184" ht="15" customHeight="1">
      <c r="A184" s="15" t="n"/>
      <c r="B184" s="10" t="n"/>
      <c r="C184" s="9" t="n"/>
      <c r="D184" s="16" t="n"/>
      <c r="E184" s="16" t="n"/>
      <c r="F184" s="26">
        <f>IF(OR($D184="",$E184=""),"",ROUND(($E184-$D184+IF($E184&lt;$D184,1,0))*1440,0))</f>
        <v/>
      </c>
      <c r="G184" s="9" t="n"/>
      <c r="H184" s="10" t="n"/>
    </row>
    <row r="185" ht="15" customHeight="1">
      <c r="A185" s="15" t="n"/>
      <c r="B185" s="10" t="n"/>
      <c r="C185" s="9" t="n"/>
      <c r="D185" s="16" t="n"/>
      <c r="E185" s="16" t="n"/>
      <c r="F185" s="26">
        <f>IF(OR($D185="",$E185=""),"",ROUND(($E185-$D185+IF($E185&lt;$D185,1,0))*1440,0))</f>
        <v/>
      </c>
      <c r="G185" s="9" t="n"/>
      <c r="H185" s="10" t="n"/>
    </row>
    <row r="186" ht="15" customHeight="1">
      <c r="A186" s="15" t="n"/>
      <c r="B186" s="10" t="n"/>
      <c r="C186" s="9" t="n"/>
      <c r="D186" s="16" t="n"/>
      <c r="E186" s="16" t="n"/>
      <c r="F186" s="26">
        <f>IF(OR($D186="",$E186=""),"",ROUND(($E186-$D186+IF($E186&lt;$D186,1,0))*1440,0))</f>
        <v/>
      </c>
      <c r="G186" s="9" t="n"/>
      <c r="H186" s="10" t="n"/>
    </row>
    <row r="187" ht="15" customHeight="1">
      <c r="A187" s="15" t="n"/>
      <c r="B187" s="10" t="n"/>
      <c r="C187" s="9" t="n"/>
      <c r="D187" s="16" t="n"/>
      <c r="E187" s="16" t="n"/>
      <c r="F187" s="26">
        <f>IF(OR($D187="",$E187=""),"",ROUND(($E187-$D187+IF($E187&lt;$D187,1,0))*1440,0))</f>
        <v/>
      </c>
      <c r="G187" s="9" t="n"/>
      <c r="H187" s="10" t="n"/>
    </row>
    <row r="188" ht="15" customHeight="1">
      <c r="A188" s="15" t="n"/>
      <c r="B188" s="10" t="n"/>
      <c r="C188" s="9" t="n"/>
      <c r="D188" s="16" t="n"/>
      <c r="E188" s="16" t="n"/>
      <c r="F188" s="26">
        <f>IF(OR($D188="",$E188=""),"",ROUND(($E188-$D188+IF($E188&lt;$D188,1,0))*1440,0))</f>
        <v/>
      </c>
      <c r="G188" s="9" t="n"/>
      <c r="H188" s="10" t="n"/>
    </row>
    <row r="189" ht="15" customHeight="1">
      <c r="A189" s="15" t="n"/>
      <c r="B189" s="10" t="n"/>
      <c r="C189" s="9" t="n"/>
      <c r="D189" s="16" t="n"/>
      <c r="E189" s="16" t="n"/>
      <c r="F189" s="26">
        <f>IF(OR($D189="",$E189=""),"",ROUND(($E189-$D189+IF($E189&lt;$D189,1,0))*1440,0))</f>
        <v/>
      </c>
      <c r="G189" s="9" t="n"/>
      <c r="H189" s="10" t="n"/>
    </row>
    <row r="190" ht="15" customHeight="1">
      <c r="A190" s="15" t="n"/>
      <c r="B190" s="10" t="n"/>
      <c r="C190" s="9" t="n"/>
      <c r="D190" s="16" t="n"/>
      <c r="E190" s="16" t="n"/>
      <c r="F190" s="26">
        <f>IF(OR($D190="",$E190=""),"",ROUND(($E190-$D190+IF($E190&lt;$D190,1,0))*1440,0))</f>
        <v/>
      </c>
      <c r="G190" s="9" t="n"/>
      <c r="H190" s="10" t="n"/>
    </row>
    <row r="191" ht="15" customHeight="1">
      <c r="A191" s="15" t="n"/>
      <c r="B191" s="10" t="n"/>
      <c r="C191" s="9" t="n"/>
      <c r="D191" s="16" t="n"/>
      <c r="E191" s="16" t="n"/>
      <c r="F191" s="26">
        <f>IF(OR($D191="",$E191=""),"",ROUND(($E191-$D191+IF($E191&lt;$D191,1,0))*1440,0))</f>
        <v/>
      </c>
      <c r="G191" s="9" t="n"/>
      <c r="H191" s="10" t="n"/>
    </row>
    <row r="192" ht="15" customHeight="1">
      <c r="A192" s="15" t="n"/>
      <c r="B192" s="10" t="n"/>
      <c r="C192" s="9" t="n"/>
      <c r="D192" s="16" t="n"/>
      <c r="E192" s="16" t="n"/>
      <c r="F192" s="26">
        <f>IF(OR($D192="",$E192=""),"",ROUND(($E192-$D192+IF($E192&lt;$D192,1,0))*1440,0))</f>
        <v/>
      </c>
      <c r="G192" s="9" t="n"/>
      <c r="H192" s="10" t="n"/>
    </row>
    <row r="193" ht="15" customHeight="1">
      <c r="A193" s="15" t="n"/>
      <c r="B193" s="10" t="n"/>
      <c r="C193" s="9" t="n"/>
      <c r="D193" s="16" t="n"/>
      <c r="E193" s="16" t="n"/>
      <c r="F193" s="26">
        <f>IF(OR($D193="",$E193=""),"",ROUND(($E193-$D193+IF($E193&lt;$D193,1,0))*1440,0))</f>
        <v/>
      </c>
      <c r="G193" s="9" t="n"/>
      <c r="H193" s="10" t="n"/>
    </row>
    <row r="194" ht="15" customHeight="1">
      <c r="A194" s="15" t="n"/>
      <c r="B194" s="10" t="n"/>
      <c r="C194" s="9" t="n"/>
      <c r="D194" s="16" t="n"/>
      <c r="E194" s="16" t="n"/>
      <c r="F194" s="26">
        <f>IF(OR($D194="",$E194=""),"",ROUND(($E194-$D194+IF($E194&lt;$D194,1,0))*1440,0))</f>
        <v/>
      </c>
      <c r="G194" s="9" t="n"/>
      <c r="H194" s="10" t="n"/>
    </row>
    <row r="195" ht="15" customHeight="1">
      <c r="A195" s="15" t="n"/>
      <c r="B195" s="10" t="n"/>
      <c r="C195" s="9" t="n"/>
      <c r="D195" s="16" t="n"/>
      <c r="E195" s="16" t="n"/>
      <c r="F195" s="26">
        <f>IF(OR($D195="",$E195=""),"",ROUND(($E195-$D195+IF($E195&lt;$D195,1,0))*1440,0))</f>
        <v/>
      </c>
      <c r="G195" s="9" t="n"/>
      <c r="H195" s="10" t="n"/>
    </row>
    <row r="196" ht="15" customHeight="1">
      <c r="A196" s="15" t="n"/>
      <c r="B196" s="10" t="n"/>
      <c r="C196" s="9" t="n"/>
      <c r="D196" s="16" t="n"/>
      <c r="E196" s="16" t="n"/>
      <c r="F196" s="26">
        <f>IF(OR($D196="",$E196=""),"",ROUND(($E196-$D196+IF($E196&lt;$D196,1,0))*1440,0))</f>
        <v/>
      </c>
      <c r="G196" s="9" t="n"/>
      <c r="H196" s="10" t="n"/>
    </row>
    <row r="197" ht="15" customHeight="1">
      <c r="A197" s="15" t="n"/>
      <c r="B197" s="10" t="n"/>
      <c r="C197" s="9" t="n"/>
      <c r="D197" s="16" t="n"/>
      <c r="E197" s="16" t="n"/>
      <c r="F197" s="26">
        <f>IF(OR($D197="",$E197=""),"",ROUND(($E197-$D197+IF($E197&lt;$D197,1,0))*1440,0))</f>
        <v/>
      </c>
      <c r="G197" s="9" t="n"/>
      <c r="H197" s="10" t="n"/>
    </row>
    <row r="198" ht="15" customHeight="1">
      <c r="A198" s="15" t="n"/>
      <c r="B198" s="10" t="n"/>
      <c r="C198" s="9" t="n"/>
      <c r="D198" s="16" t="n"/>
      <c r="E198" s="16" t="n"/>
      <c r="F198" s="26">
        <f>IF(OR($D198="",$E198=""),"",ROUND(($E198-$D198+IF($E198&lt;$D198,1,0))*1440,0))</f>
        <v/>
      </c>
      <c r="G198" s="9" t="n"/>
      <c r="H198" s="10" t="n"/>
    </row>
    <row r="199" ht="15" customHeight="1">
      <c r="A199" s="15" t="n"/>
      <c r="B199" s="10" t="n"/>
      <c r="C199" s="9" t="n"/>
      <c r="D199" s="16" t="n"/>
      <c r="E199" s="16" t="n"/>
      <c r="F199" s="26">
        <f>IF(OR($D199="",$E199=""),"",ROUND(($E199-$D199+IF($E199&lt;$D199,1,0))*1440,0))</f>
        <v/>
      </c>
      <c r="G199" s="9" t="n"/>
      <c r="H199" s="10" t="n"/>
    </row>
    <row r="200" ht="15" customHeight="1">
      <c r="A200" s="15" t="n"/>
      <c r="B200" s="10" t="n"/>
      <c r="C200" s="9" t="n"/>
      <c r="D200" s="16" t="n"/>
      <c r="E200" s="16" t="n"/>
      <c r="F200" s="26">
        <f>IF(OR($D200="",$E200=""),"",ROUND(($E200-$D200+IF($E200&lt;$D200,1,0))*1440,0))</f>
        <v/>
      </c>
      <c r="G200" s="9" t="n"/>
      <c r="H200" s="10" t="n"/>
    </row>
    <row r="201" ht="15" customHeight="1">
      <c r="A201" s="15" t="n"/>
      <c r="B201" s="10" t="n"/>
      <c r="C201" s="9" t="n"/>
      <c r="D201" s="16" t="n"/>
      <c r="E201" s="16" t="n"/>
      <c r="F201" s="26">
        <f>IF(OR($D201="",$E201=""),"",ROUND(($E201-$D201+IF($E201&lt;$D201,1,0))*1440,0))</f>
        <v/>
      </c>
      <c r="G201" s="9" t="n"/>
      <c r="H201" s="10" t="n"/>
    </row>
    <row r="202" ht="15" customHeight="1">
      <c r="A202" s="15" t="n"/>
      <c r="B202" s="10" t="n"/>
      <c r="C202" s="9" t="n"/>
      <c r="D202" s="16" t="n"/>
      <c r="E202" s="16" t="n"/>
      <c r="F202" s="26">
        <f>IF(OR($D202="",$E202=""),"",ROUND(($E202-$D202+IF($E202&lt;$D202,1,0))*1440,0))</f>
        <v/>
      </c>
      <c r="G202" s="9" t="n"/>
      <c r="H202" s="10" t="n"/>
    </row>
    <row r="203" ht="15" customHeight="1">
      <c r="A203" s="15" t="n"/>
      <c r="B203" s="10" t="n"/>
      <c r="C203" s="9" t="n"/>
      <c r="D203" s="16" t="n"/>
      <c r="E203" s="16" t="n"/>
      <c r="F203" s="26">
        <f>IF(OR($D203="",$E203=""),"",ROUND(($E203-$D203+IF($E203&lt;$D203,1,0))*1440,0))</f>
        <v/>
      </c>
      <c r="G203" s="9" t="n"/>
      <c r="H203" s="10" t="n"/>
    </row>
  </sheetData>
  <mergeCells count="2">
    <mergeCell ref="A2:H2"/>
    <mergeCell ref="A1:H1"/>
  </mergeCells>
  <conditionalFormatting sqref="F4:F203">
    <cfRule type="expression" priority="1" dxfId="3" stopIfTrue="0">
      <formula>=AND($F4&lt;&gt;"",$F4&gt;=60)</formula>
    </cfRule>
    <cfRule type="expression" priority="2" dxfId="4" stopIfTrue="0">
      <formula>=AND($F4&lt;&gt;"",$F4&gt;=30,$F4&lt;60)</formula>
    </cfRule>
  </conditionalFormatting>
  <dataValidations count="3">
    <dataValidation sqref="B4:B203" showDropDown="0" showInputMessage="0" showErrorMessage="1" allowBlank="1" errorTitle="SAISIE REFUSEE" error="Valeur non autorisee. Choisir une valeur proposee dans la liste." type="list">
      <formula1>=ListeRuns</formula1>
    </dataValidation>
    <dataValidation sqref="C4:C203" showDropDown="0" showInputMessage="0" showErrorMessage="1" allowBlank="1" errorTitle="SAISIE REFUSEE" error="Valeur non autorisee. Choisir une valeur proposee dans la liste." type="list">
      <formula1>=ListeLignes</formula1>
    </dataValidation>
    <dataValidation sqref="G4:G203" showDropDown="0" showInputMessage="0" showErrorMessage="1" allowBlank="1" errorTitle="SAISIE REFUSEE" error="Valeur non autorisee. Choisir une valeur proposee dans la liste." type="list">
      <formula1>=ListeMotifs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2026-09-05T23:51:43Z</dcterms:created>
  <dcterms:modified xsi:type="dcterms:W3CDTF">2026-09-05T23:51:49Z</dcterms:modified>
</cp:coreProperties>
</file>